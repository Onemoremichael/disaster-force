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2baa45aa3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95b040250347bf"/>
    <x:sheet xmlns:r="http://schemas.openxmlformats.org/officeDocument/2006/relationships" name="Assumptions" sheetId="2" r:id="Rbd3ff2f5baca4ec0"/>
    <x:sheet xmlns:r="http://schemas.openxmlformats.org/officeDocument/2006/relationships" name="Article Baselines" sheetId="3" r:id="R41573e53a0db48c9"/>
    <x:sheet xmlns:r="http://schemas.openxmlformats.org/officeDocument/2006/relationships" name="Allocation Build" sheetId="4" r:id="R98c136ed6b3144a4"/>
    <x:sheet xmlns:r="http://schemas.openxmlformats.org/officeDocument/2006/relationships" name="Build Packages" sheetId="5" r:id="Rd8d8e5200b084c12"/>
    <x:sheet xmlns:r="http://schemas.openxmlformats.org/officeDocument/2006/relationships" name="Acceptance Register" sheetId="6" r:id="R2bafad7561c646a5"/>
    <x:sheet xmlns:r="http://schemas.openxmlformats.org/officeDocument/2006/relationships" name="Hazard Register" sheetId="7" r:id="R0d082db50f2a4742"/>
    <x:sheet xmlns:r="http://schemas.openxmlformats.org/officeDocument/2006/relationships" name="Interface Tests" sheetId="8" r:id="R4e96a315adc84751"/>
    <x:sheet xmlns:r="http://schemas.openxmlformats.org/officeDocument/2006/relationships" name="Calibration" sheetId="9" r:id="R77eccda818604186"/>
    <x:sheet xmlns:r="http://schemas.openxmlformats.org/officeDocument/2006/relationships" name="Ancestry Rights" sheetId="10" r:id="R4afad1eedeee4c91"/>
    <x:sheet xmlns:r="http://schemas.openxmlformats.org/officeDocument/2006/relationships" name="Article Lots" sheetId="11" r:id="R7e1a75725c1246b8"/>
    <x:sheet xmlns:r="http://schemas.openxmlformats.org/officeDocument/2006/relationships" name="Facility Load" sheetId="12" r:id="R6803ac6c6e824b9e"/>
    <x:sheet xmlns:r="http://schemas.openxmlformats.org/officeDocument/2006/relationships" name="Program Schedule" sheetId="13" r:id="Rd214275613414e84"/>
    <x:sheet xmlns:r="http://schemas.openxmlformats.org/officeDocument/2006/relationships" name="Cost Phasing" sheetId="14" r:id="R3ae595b0883443f9"/>
    <x:sheet xmlns:r="http://schemas.openxmlformats.org/officeDocument/2006/relationships" name="Release Gates" sheetId="15" r:id="R7facb195703e4873"/>
    <x:sheet xmlns:r="http://schemas.openxmlformats.org/officeDocument/2006/relationships" name="Audit" sheetId="16" r:id="R4fcd0e4f66584726"/>
    <x:sheet xmlns:r="http://schemas.openxmlformats.org/officeDocument/2006/relationships" name="ReadMe" sheetId="17" r:id="R08d9f3c39fc5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00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9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ae3a975f24115" /><Relationship Type="http://schemas.openxmlformats.org/officeDocument/2006/relationships/theme" Target="/xl/theme/theme1.xml" Id="Ref368c495c614f52" /><Relationship Type="http://schemas.openxmlformats.org/officeDocument/2006/relationships/sharedStrings" Target="/xl/sharedStrings.xml" Id="R2991d527246d41ec" /><Relationship Type="http://schemas.openxmlformats.org/officeDocument/2006/relationships/worksheet" Target="/xl/worksheets/sheet1.xml" Id="Rd495b040250347bf" /><Relationship Type="http://schemas.openxmlformats.org/officeDocument/2006/relationships/worksheet" Target="/xl/worksheets/sheet2.xml" Id="Rbd3ff2f5baca4ec0" /><Relationship Type="http://schemas.openxmlformats.org/officeDocument/2006/relationships/worksheet" Target="/xl/worksheets/sheet3.xml" Id="R41573e53a0db48c9" /><Relationship Type="http://schemas.openxmlformats.org/officeDocument/2006/relationships/worksheet" Target="/xl/worksheets/sheet4.xml" Id="R98c136ed6b3144a4" /><Relationship Type="http://schemas.openxmlformats.org/officeDocument/2006/relationships/worksheet" Target="/xl/worksheets/sheet5.xml" Id="Rd8d8e5200b084c12" /><Relationship Type="http://schemas.openxmlformats.org/officeDocument/2006/relationships/worksheet" Target="/xl/worksheets/sheet6.xml" Id="R2bafad7561c646a5" /><Relationship Type="http://schemas.openxmlformats.org/officeDocument/2006/relationships/worksheet" Target="/xl/worksheets/sheet7.xml" Id="R0d082db50f2a4742" /><Relationship Type="http://schemas.openxmlformats.org/officeDocument/2006/relationships/worksheet" Target="/xl/worksheets/sheet8.xml" Id="R4e96a315adc84751" /><Relationship Type="http://schemas.openxmlformats.org/officeDocument/2006/relationships/worksheet" Target="/xl/worksheets/sheet9.xml" Id="R77eccda818604186" /><Relationship Type="http://schemas.openxmlformats.org/officeDocument/2006/relationships/worksheet" Target="/xl/worksheets/sheet10.xml" Id="R4afad1eedeee4c91" /><Relationship Type="http://schemas.openxmlformats.org/officeDocument/2006/relationships/worksheet" Target="/xl/worksheets/sheet11.xml" Id="R7e1a75725c1246b8" /><Relationship Type="http://schemas.openxmlformats.org/officeDocument/2006/relationships/worksheet" Target="/xl/worksheets/sheet12.xml" Id="R6803ac6c6e824b9e" /><Relationship Type="http://schemas.openxmlformats.org/officeDocument/2006/relationships/worksheet" Target="/xl/worksheets/sheet13.xml" Id="Rd214275613414e84" /><Relationship Type="http://schemas.openxmlformats.org/officeDocument/2006/relationships/worksheet" Target="/xl/worksheets/sheet14.xml" Id="R3ae595b0883443f9" /><Relationship Type="http://schemas.openxmlformats.org/officeDocument/2006/relationships/worksheet" Target="/xl/worksheets/sheet15.xml" Id="R7facb195703e4873" /><Relationship Type="http://schemas.openxmlformats.org/officeDocument/2006/relationships/worksheet" Target="/xl/worksheets/sheet16.xml" Id="R4fcd0e4f66584726" /><Relationship Type="http://schemas.openxmlformats.org/officeDocument/2006/relationships/worksheet" Target="/xl/worksheets/sheet17.xml" Id="R08d9f3c39fc5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6" hidden="0" customWidth="1"/>
    <x:col min="3" max="3" width="112" hidden="0" customWidth="1"/>
    <x:col min="4" max="4" width="19" hidden="0" customWidth="1"/>
    <x:col min="5" max="5" width="18" hidden="0" customWidth="1"/>
    <x:col min="6" max="6" width="4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 ht="18" customHeight="1">
      <x:c r="B2" s="3" t="str">
        <x:v>MESA-1D prototype build-release and acceptance standard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8" customHeight="1">
      <x:c r="B3" s="4" t="str">
        <x:v>Current answer: the eleven selected architectures can enter controlled design, but a 24-month article-creation lead moves complete evidence to month 102.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8" customHeight="1">
      <x:c r="B6" s="8" t="str">
        <x:v>Executive decision record</x:v>
      </x:c>
      <x:c r="C6" s="9" t="str">
        <x:v>Executive decision record</x:v>
      </x:c>
      <x:c r="D6" s="9" t="str">
        <x:v>Executive decision record</x:v>
      </x:c>
      <x:c r="E6" s="9" t="str">
        <x:v>Executive decision record</x:v>
      </x:c>
      <x:c r="F6" s="9" t="str">
        <x:v>Executive decision record</x:v>
      </x:c>
      <x:c r="G6" s="9" t="str">
        <x:v>Executive decision record</x:v>
      </x:c>
      <x:c r="H6" s="9" t="str">
        <x:v>Executive decision record</x:v>
      </x:c>
      <x:c r="I6" s="9" t="str">
        <x:v>Executive decision record</x:v>
      </x:c>
      <x:c r="J6" s="9" t="str">
        <x:v>Executive decision record</x:v>
      </x:c>
      <x:c r="K6" s="9" t="str">
        <x:v>Executive decision record</x:v>
      </x:c>
      <x:c r="L6" s="9" t="str">
        <x:v>Executive decision record</x:v>
      </x:c>
      <x:c r="M6" s="9" t="str">
        <x:v>Executive decision record</x:v>
      </x:c>
      <x:c r="N6" s="9" t="str">
        <x:v>Executive decision record</x:v>
      </x:c>
      <x:c r="O6" s="9" t="str">
        <x:v>Executive decision record</x:v>
      </x:c>
      <x:c r="P6" s="10" t="str">
        <x:v>Executive decision record</x:v>
      </x:c>
    </x:row>
    <x:row r="7" ht="18" customHeight="1">
      <x:c r="B7" s="19" t="str">
        <x:v>Question</x:v>
      </x:c>
      <x:c r="C7" s="20" t="str">
        <x:v>Current answer</x:v>
      </x:c>
      <x:c r="D7" s="20" t="str">
        <x:v>Model state</x:v>
      </x:c>
      <x:c r="E7" s="20" t="str">
        <x:v>Evidence state</x:v>
      </x:c>
      <x:c r="F7" s="21" t="str">
        <x:v>Consequence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3" customHeight="1">
      <x:c r="B8" s="2" t="str">
        <x:v>What changed?</x:v>
      </x:c>
      <x:c r="C8" s="2" t="str">
        <x:v>MESA-1C concepts are now expressed as physical budgets, fourteen-document release packages, twelve acceptance tests and eight hazard worlds per family.</x:v>
      </x:c>
      <x:c r="D8" s="2" t="str">
        <x:v>PASS</x:v>
      </x:c>
      <x:c r="E8" s="2" t="str">
        <x:v>OPEN</x:v>
      </x:c>
      <x:c r="F8" s="2" t="str">
        <x:v>controlled design may begin; physical credit remains zero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3" customHeight="1">
      <x:c r="B9" s="2" t="str">
        <x:v>When can P01 begin?</x:v>
      </x:c>
      <x:c r="C9" s="2" t="str">
        <x:v>After a 24-month build-release lead; the inherited 78-month trial sequence begins at calendar month 25.</x:v>
      </x:c>
      <x:c r="D9" s="2" t="str">
        <x:v>PASS</x:v>
      </x:c>
      <x:c r="E9" s="2" t="str">
        <x:v>OPEN</x:v>
      </x:c>
      <x:c r="F9" s="2" t="str">
        <x:v>complete P08 moves from month 78 to month 102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3" customHeight="1">
      <x:c r="B10" s="2" t="str">
        <x:v>What is being built?</x:v>
      </x:c>
      <x:c r="C10" s="2" t="str">
        <x:v>254 articles in 33 separately controlled engineering, qualification/destructive and campaign/protected lots.</x:v>
      </x:c>
      <x:c r="D10" s="2" t="str">
        <x:v>PASS</x:v>
      </x:c>
      <x:c r="E10" s="2" t="str">
        <x:v>OPEN</x:v>
      </x:c>
      <x:c r="F10" s="2" t="str">
        <x:v>article populations cannot be borrowed across purposes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3" customHeight="1">
      <x:c r="B11" s="2" t="str">
        <x:v>What prevents hidden form lock-in?</x:v>
      </x:c>
      <x:c r="C11" s="2" t="str">
        <x:v>Five technical functions consume 85 percent of each envelope while 10 percent integration and 5 percent growth reserves remain unassigned.</x:v>
      </x:c>
      <x:c r="D11" s="2" t="str">
        <x:v>PASS</x:v>
      </x:c>
      <x:c r="E11" s="2" t="str">
        <x:v>OPEN</x:v>
      </x:c>
      <x:c r="F11" s="2" t="str">
        <x:v>geometry follows measured burden and access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3" customHeight="1">
      <x:c r="B12" s="2" t="str">
        <x:v>How is radical technology protected?</x:v>
      </x:c>
      <x:c r="C12" s="2" t="str">
        <x:v>Requirements specify physical effects, interfaces and failure behavior without selecting chemistry, material, process or exterior form.</x:v>
      </x:c>
      <x:c r="D12" s="2" t="str">
        <x:v>PASS</x:v>
      </x:c>
      <x:c r="E12" s="2" t="str">
        <x:v>OPEN</x:v>
      </x:c>
      <x:c r="F12" s="2" t="str">
        <x:v>rival technical roots can diverge honestly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3" customHeight="1">
      <x:c r="B13" s="2" t="str">
        <x:v>How is independence protected?</x:v>
      </x:c>
      <x:c r="C13" s="2" t="str">
        <x:v>Ninety-six disclosures and rights attach below the prime across twelve decisive chains.</x:v>
      </x:c>
      <x:c r="D13" s="2" t="str">
        <x:v>PASS</x:v>
      </x:c>
      <x:c r="E13" s="2" t="str">
        <x:v>OPEN</x:v>
      </x:c>
      <x:c r="F13" s="2" t="str">
        <x:v>undisclosed or shared roots force recompete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3" customHeight="1">
      <x:c r="B14" s="2" t="str">
        <x:v>What must each interface prove?</x:v>
      </x:c>
      <x:c r="C14" s="2" t="str">
        <x:v>Six physical challenges across twelve interfaces: path survey, reverse energy, return data, actuation, severance and calibration lockout.</x:v>
      </x:c>
      <x:c r="D14" s="2" t="str">
        <x:v>PASS</x:v>
      </x:c>
      <x:c r="E14" s="2" t="str">
        <x:v>OPEN</x:v>
      </x:c>
      <x:c r="F14" s="2" t="str">
        <x:v>one useful mission path rejects the family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3" customHeight="1">
      <x:c r="B15" s="2" t="str">
        <x:v>Does the budget grow?</x:v>
      </x:c>
      <x:c r="C15" s="2" t="str">
        <x:v>No. Nine-year phasing reconciles to the existing USD 6.8B subportfolio inside F01.</x:v>
      </x:c>
      <x:c r="D15" s="2" t="str">
        <x:v>PASS</x:v>
      </x:c>
      <x:c r="E15" s="2" t="str">
        <x:v>OPEN</x:v>
      </x:c>
      <x:c r="F15" s="2" t="str">
        <x:v>calendar correction changes phasing, not authorization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3" customHeight="1">
      <x:c r="B16" s="2" t="str">
        <x:v>May rival construction start?</x:v>
      </x:c>
      <x:c r="C16" s="2" t="str">
        <x:v>Not yet. Package drafting is authorized; serial construction waits for G01-G02.</x:v>
      </x:c>
      <x:c r="D16" s="2" t="str">
        <x:v>PASS</x:v>
      </x:c>
      <x:c r="E16" s="2" t="str">
        <x:v>OPEN</x:v>
      </x:c>
      <x:c r="F16" s="2" t="str">
        <x:v>authority and requirements freeze first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3" customHeight="1">
      <x:c r="B17" s="2" t="str">
        <x:v>May rendering start?</x:v>
      </x:c>
      <x:c r="C17" s="2" t="str">
        <x:v>No</x:v>
      </x:c>
      <x:c r="D17" s="2" t="str">
        <x:v>PASS</x:v>
      </x:c>
      <x:c r="E17" s="2" t="str">
        <x:v>OPEN</x:v>
      </x:c>
      <x:c r="F17" s="2" t="str">
        <x:v>internal and exterior rendering remain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8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8" customHeight="1">
      <x:c r="B20" s="8" t="str">
        <x:v>Derived control quantities</x:v>
      </x:c>
      <x:c r="C20" s="9" t="str">
        <x:v>Derived control quantities</x:v>
      </x:c>
      <x:c r="D20" s="9" t="str">
        <x:v>Derived control quantities</x:v>
      </x:c>
      <x:c r="E20" s="9" t="str">
        <x:v>Derived control quantities</x:v>
      </x:c>
      <x:c r="F20" s="9" t="str">
        <x:v>Derived control quantities</x:v>
      </x:c>
      <x:c r="G20" s="9" t="str">
        <x:v>Derived control quantities</x:v>
      </x:c>
      <x:c r="H20" s="9" t="str">
        <x:v>Derived control quantities</x:v>
      </x:c>
      <x:c r="I20" s="9" t="str">
        <x:v>Derived control quantities</x:v>
      </x:c>
      <x:c r="J20" s="9" t="str">
        <x:v>Derived control quantities</x:v>
      </x:c>
      <x:c r="K20" s="9" t="str">
        <x:v>Derived control quantities</x:v>
      </x:c>
      <x:c r="L20" s="9" t="str">
        <x:v>Derived control quantities</x:v>
      </x:c>
      <x:c r="M20" s="9" t="str">
        <x:v>Derived control quantities</x:v>
      </x:c>
      <x:c r="N20" s="9" t="str">
        <x:v>Derived control quantities</x:v>
      </x:c>
      <x:c r="O20" s="9" t="str">
        <x:v>Derived control quantities</x:v>
      </x:c>
      <x:c r="P20" s="10" t="str">
        <x:v>Derived control quantities</x:v>
      </x:c>
    </x:row>
    <x:row r="21" ht="18" customHeight="1">
      <x:c r="B21" s="19" t="str">
        <x:v>Measure</x:v>
      </x:c>
      <x:c r="C21" s="20" t="str">
        <x:v>Value</x:v>
      </x:c>
      <x:c r="D21" s="20" t="str">
        <x:v>Unit</x:v>
      </x:c>
      <x:c r="E21" s="20" t="str">
        <x:v>Required</x:v>
      </x:c>
      <x:c r="F21" s="21" t="str">
        <x:v>Result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8" customHeight="1">
      <x:c r="B22" s="2" t="str">
        <x:v>Prototype families</x:v>
      </x:c>
      <x:c r="C22" s="2" t="n">
        <x:f>COUNTA('Article Baselines'!B7:B17)</x:f>
        <x:v>11</x:v>
      </x:c>
      <x:c r="D22" s="2" t="str">
        <x:v>families</x:v>
      </x:c>
      <x:c r="E22" s="2" t="n">
        <x:v>11</x:v>
      </x:c>
      <x:c r="F22" s="2" t="str">
        <x:f>IF(ABS(C22-E22)&lt;0.000001,"PASS","FAIL")</x:f>
        <x:v>PASS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8" customHeight="1">
      <x:c r="B23" s="2" t="str">
        <x:v>Build-package records</x:v>
      </x:c>
      <x:c r="C23" s="2" t="n">
        <x:f>COUNTA('Build Packages'!B7:B160)</x:f>
        <x:v>154</x:v>
      </x:c>
      <x:c r="D23" s="2" t="str">
        <x:v>records</x:v>
      </x:c>
      <x:c r="E23" s="2" t="n">
        <x:v>154</x:v>
      </x:c>
      <x:c r="F23" s="2" t="str">
        <x:f>IF(ABS(C23-E23)&lt;0.000001,"PASS","FAIL")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8" customHeight="1">
      <x:c r="B24" s="2" t="str">
        <x:v>Acceptance records</x:v>
      </x:c>
      <x:c r="C24" s="2" t="n">
        <x:f>COUNTA('Acceptance Register'!B7:B138)</x:f>
        <x:v>132</x:v>
      </x:c>
      <x:c r="D24" s="2" t="str">
        <x:v>records</x:v>
      </x:c>
      <x:c r="E24" s="2" t="n">
        <x:v>132</x:v>
      </x:c>
      <x:c r="F24" s="2" t="str">
        <x:f>IF(ABS(C24-E24)&lt;0.000001,"PASS","FAIL")</x:f>
        <x:v>PASS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8" customHeight="1">
      <x:c r="B25" s="2" t="str">
        <x:v>Hazard records</x:v>
      </x:c>
      <x:c r="C25" s="2" t="n">
        <x:f>COUNTA('Hazard Register'!B7:B94)</x:f>
        <x:v>88</x:v>
      </x:c>
      <x:c r="D25" s="2" t="str">
        <x:v>records</x:v>
      </x:c>
      <x:c r="E25" s="2" t="n">
        <x:v>88</x:v>
      </x:c>
      <x:c r="F25" s="2" t="str">
        <x:f>IF(ABS(C25-E25)&lt;0.000001,"PASS","FAIL")</x:f>
        <x:v>PASS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8" customHeight="1">
      <x:c r="B26" s="2" t="str">
        <x:v>Interface tests</x:v>
      </x:c>
      <x:c r="C26" s="2" t="n">
        <x:f>COUNTA('Interface Tests'!B7:B78)</x:f>
        <x:v>72</x:v>
      </x:c>
      <x:c r="D26" s="2" t="str">
        <x:v>tests</x:v>
      </x:c>
      <x:c r="E26" s="2" t="n">
        <x:v>72</x:v>
      </x:c>
      <x:c r="F26" s="2" t="str">
        <x:f>IF(ABS(C26-E26)&lt;0.000001,"PASS","FAIL")</x:f>
        <x:v>PASS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8" customHeight="1">
      <x:c r="B27" s="2" t="str">
        <x:v>Calibration chains</x:v>
      </x:c>
      <x:c r="C27" s="2" t="n">
        <x:f>COUNTA(Calibration!B7:B29)</x:f>
        <x:v>23</x:v>
      </x:c>
      <x:c r="D27" s="2" t="str">
        <x:v>chains</x:v>
      </x:c>
      <x:c r="E27" s="2" t="n">
        <x:v>23</x:v>
      </x:c>
      <x:c r="F27" s="2" t="str">
        <x:f>IF(ABS(C27-E27)&lt;0.000001,"PASS","FAIL")</x:f>
        <x:v>PASS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8" customHeight="1">
      <x:c r="B28" s="2" t="str">
        <x:v>Ancestry-right records</x:v>
      </x:c>
      <x:c r="C28" s="2" t="n">
        <x:f>COUNTA('Ancestry Rights'!B7:B102)</x:f>
        <x:v>96</x:v>
      </x:c>
      <x:c r="D28" s="2" t="str">
        <x:v>records</x:v>
      </x:c>
      <x:c r="E28" s="2" t="n">
        <x:v>96</x:v>
      </x:c>
      <x:c r="F28" s="2" t="str">
        <x:f>IF(ABS(C28-E28)&lt;0.000001,"PASS","FAIL")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8" customHeight="1">
      <x:c r="B29" s="2" t="str">
        <x:v>Article lots</x:v>
      </x:c>
      <x:c r="C29" s="2" t="n">
        <x:f>COUNTA('Article Lots'!B7:B39)</x:f>
        <x:v>33</x:v>
      </x:c>
      <x:c r="D29" s="2" t="str">
        <x:v>lots</x:v>
      </x:c>
      <x:c r="E29" s="2" t="n">
        <x:v>33</x:v>
      </x:c>
      <x:c r="F29" s="2" t="str">
        <x:f>IF(ABS(C29-E29)&lt;0.000001,"PASS","FAIL")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8" customHeight="1">
      <x:c r="B30" s="2" t="str">
        <x:v>Built articles</x:v>
      </x:c>
      <x:c r="C30" s="2" t="n">
        <x:f>SUM('Article Lots'!F7:F39)</x:f>
        <x:v>254</x:v>
      </x:c>
      <x:c r="D30" s="2" t="str">
        <x:v>articles</x:v>
      </x:c>
      <x:c r="E30" s="2" t="n">
        <x:v>254</x:v>
      </x:c>
      <x:c r="F30" s="2" t="str">
        <x:f>IF(ABS(C30-E30)&lt;0.000001,"PASS","FAIL")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8" customHeight="1">
      <x:c r="B31" s="2" t="str">
        <x:v>Article-bank cost</x:v>
      </x:c>
      <x:c r="C31" s="34" t="n">
        <x:f>SUM('Article Lots'!H7:H39)</x:f>
        <x:v>1.764</x:v>
      </x:c>
      <x:c r="D31" s="2" t="str">
        <x:v>USD B</x:v>
      </x:c>
      <x:c r="E31" s="2" t="n">
        <x:v>1.764</x:v>
      </x:c>
      <x:c r="F31" s="2" t="str">
        <x:f>IF(ABS(C31-E31)&lt;0.000001,"PASS","FAIL")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8" customHeight="1">
      <x:c r="B32" s="2" t="str">
        <x:v>Facilities</x:v>
      </x:c>
      <x:c r="C32" s="34" t="n">
        <x:f>COUNTA('Facility Load'!B7:B78)/9</x:f>
        <x:v>8</x:v>
      </x:c>
      <x:c r="D32" s="2" t="str">
        <x:v>facilities</x:v>
      </x:c>
      <x:c r="E32" s="2" t="n">
        <x:v>8</x:v>
      </x:c>
      <x:c r="F32" s="2" t="str">
        <x:f>IF(ABS(C32-E32)&lt;0.000001,"PASS","FAIL")</x:f>
        <x:v>PASS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8" customHeight="1">
      <x:c r="B33" s="2" t="str">
        <x:v>Facility-year records</x:v>
      </x:c>
      <x:c r="C33" s="34" t="n">
        <x:f>COUNTA('Facility Load'!B7:B78)</x:f>
        <x:v>72</x:v>
      </x:c>
      <x:c r="D33" s="2" t="str">
        <x:v>records</x:v>
      </x:c>
      <x:c r="E33" s="2" t="n">
        <x:v>72</x:v>
      </x:c>
      <x:c r="F33" s="2" t="str">
        <x:f>IF(ABS(C33-E33)&lt;0.000001,"PASS","FAIL")</x:f>
        <x:v>PASS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8" customHeight="1">
      <x:c r="B34" s="2" t="str">
        <x:v>Build-release lead</x:v>
      </x:c>
      <x:c r="C34" s="34" t="n">
        <x:f>Assumptions!C13</x:f>
        <x:v>24</x:v>
      </x:c>
      <x:c r="D34" s="2" t="str">
        <x:v>months</x:v>
      </x:c>
      <x:c r="E34" s="2" t="n">
        <x:v>24</x:v>
      </x:c>
      <x:c r="F34" s="2" t="str">
        <x:f>IF(ABS(C34-E34)&lt;0.000001,"PASS","FAIL")</x:f>
        <x:v>PASS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8" customHeight="1">
      <x:c r="B35" s="2" t="str">
        <x:v>Calendar completion</x:v>
      </x:c>
      <x:c r="C35" s="34" t="n">
        <x:f>MAX('Program Schedule'!F7:F18)</x:f>
        <x:v>102</x:v>
      </x:c>
      <x:c r="D35" s="2" t="str">
        <x:v>months</x:v>
      </x:c>
      <x:c r="E35" s="2" t="n">
        <x:v>102</x:v>
      </x:c>
      <x:c r="F35" s="2" t="str">
        <x:f>IF(ABS(C35-E35)&lt;0.000001,"PASS","FAIL")</x:f>
        <x:v>PASS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8" customHeight="1">
      <x:c r="B36" s="2" t="str">
        <x:v>Program cost</x:v>
      </x:c>
      <x:c r="C36" s="34" t="n">
        <x:f>'Cost Phasing'!L20</x:f>
        <x:v>6.8</x:v>
      </x:c>
      <x:c r="D36" s="2" t="str">
        <x:v>USD B</x:v>
      </x:c>
      <x:c r="E36" s="2" t="n">
        <x:v>6.8</x:v>
      </x:c>
      <x:c r="F36" s="2" t="str">
        <x:f>IF(ABS(C36-E36)&lt;0.000001,"PASS","FAIL")</x:f>
        <x:v>PASS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8" customHeight="1">
      <x:c r="B37" s="2" t="str">
        <x:v>Physical evidence credit</x:v>
      </x:c>
      <x:c r="C37" s="34" t="n">
        <x:f>SUM('Release Gates'!J7:J21)</x:f>
        <x:v>0</x:v>
      </x:c>
      <x:c r="D37" s="2" t="str">
        <x:v>credits</x:v>
      </x:c>
      <x:c r="E37" s="2" t="n">
        <x:v>0</x:v>
      </x:c>
      <x:c r="F37" s="2" t="str">
        <x:f>IF(ABS(C37-E37)&lt;0.000001,"PASS","FAIL")</x:f>
        <x:v>PASS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8" customHeight="1">
      <x:c r="B38" s="2" t="str">
        <x:v>Rendering authorization</x:v>
      </x:c>
      <x:c r="C38" s="2" t="n">
        <x:f>Assumptions!C32</x:f>
        <x:v>0</x:v>
      </x:c>
      <x:c r="D38" s="2" t="str">
        <x:v>binary</x:v>
      </x:c>
      <x:c r="E38" s="2" t="n">
        <x:v>0</x:v>
      </x:c>
      <x:c r="F38" s="2" t="str">
        <x:f>IF(ABS(C38-E38)&lt;0.000001,"PASS","FAIL")</x:f>
        <x:v>PASS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8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8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8" customHeight="1">
      <x:c r="B41" s="8" t="str">
        <x:v>Authority boundary</x:v>
      </x:c>
      <x:c r="C41" s="9" t="str">
        <x:v>Authority boundary</x:v>
      </x:c>
      <x:c r="D41" s="9" t="str">
        <x:v>Authority boundary</x:v>
      </x:c>
      <x:c r="E41" s="9" t="str">
        <x:v>Authority boundary</x:v>
      </x:c>
      <x:c r="F41" s="9" t="str">
        <x:v>Authority boundary</x:v>
      </x:c>
      <x:c r="G41" s="9" t="str">
        <x:v>Authority boundary</x:v>
      </x:c>
      <x:c r="H41" s="9" t="str">
        <x:v>Authority boundary</x:v>
      </x:c>
      <x:c r="I41" s="9" t="str">
        <x:v>Authority boundary</x:v>
      </x:c>
      <x:c r="J41" s="9" t="str">
        <x:v>Authority boundary</x:v>
      </x:c>
      <x:c r="K41" s="9" t="str">
        <x:v>Authority boundary</x:v>
      </x:c>
      <x:c r="L41" s="9" t="str">
        <x:v>Authority boundary</x:v>
      </x:c>
      <x:c r="M41" s="9" t="str">
        <x:v>Authority boundary</x:v>
      </x:c>
      <x:c r="N41" s="9" t="str">
        <x:v>Authority boundary</x:v>
      </x:c>
      <x:c r="O41" s="9" t="str">
        <x:v>Authority boundary</x:v>
      </x:c>
      <x:c r="P41" s="10" t="str">
        <x:v>Authority boundary</x:v>
      </x:c>
    </x:row>
    <x:row r="42" ht="31" customHeight="1">
      <x:c r="B42" s="2" t="str">
        <x:v>Package drafting is authorized because it fixes inspectable requirements without claiming performance.</x:v>
      </x:c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</x:row>
    <x:row r="43" ht="31" customHeight="1">
      <x:c r="B43" s="2" t="str">
        <x:v>Rival serial construction begins only after requirements and authority separation are signed.</x:v>
      </x:c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</x:row>
    <x:row r="44" ht="31" customHeight="1">
      <x:c r="B44" s="2" t="str">
        <x:v>Production remains held through independent second-lot P08 acceptance at month 102 or later.</x:v>
      </x:c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</x:row>
    <x:row r="45" ht="31" customHeight="1">
      <x:c r="B45" s="2" t="str">
        <x:v>No rendering is authorized; the first permissible visuals are measured sections, heat paths, access volumes and contact maps.</x:v>
      </x:c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</x:row>
    <x:row r="46" ht="18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8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8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</x:sheetData>
  <x:mergeCells>
    <x:mergeCell ref="B3:P3"/>
    <x:mergeCell ref="B6:P6"/>
    <x:mergeCell ref="B20:P20"/>
    <x:mergeCell ref="B41:P41"/>
  </x:mergeCells>
  <x:conditionalFormatting sqref="D8:E17">
    <x:cfRule type="containsText" dxfId="85" priority="1" operator="containsText" text="OPEN"/>
    <x:cfRule type="containsText" dxfId="86" priority="2" operator="containsText" text="HOLD"/>
    <x:cfRule type="containsText" dxfId="87" priority="3" operator="containsText" text="BLOCKED"/>
    <x:cfRule type="containsText" dxfId="88" priority="4" operator="containsText" text="DRAFT"/>
    <x:cfRule type="containsText" dxfId="89" priority="5" operator="containsText" text="FAIL"/>
  </x:conditionalFormatting>
  <x:conditionalFormatting sqref="F22:F38">
    <x:cfRule type="containsText" dxfId="90" priority="6" operator="containsText" text="OPEN"/>
    <x:cfRule type="containsText" dxfId="91" priority="7" operator="containsText" text="HOLD"/>
    <x:cfRule type="containsText" dxfId="92" priority="8" operator="containsText" text="BLOCKED"/>
    <x:cfRule type="containsText" dxfId="93" priority="9" operator="containsText" text="DRAFT"/>
    <x:cfRule type="containsText" dxfId="94" priority="10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6" hidden="0" customWidth="1"/>
    <x:col min="3" max="3" width="18" hidden="0" customWidth="1"/>
    <x:col min="4" max="4" width="17" hidden="0" customWidth="1"/>
    <x:col min="5" max="5" width="18" hidden="0" customWidth="1"/>
    <x:col min="6" max="6" width="48" hidden="0" customWidth="1"/>
  </x:cols>
  <x:sheetData>
    <x:row r="2" ht="18" customHeight="1">
      <x:c r="B2" s="3" t="str">
        <x:v>MESA-1D assumptions</x:v>
      </x:c>
      <x:c r="C2" s="2"/>
      <x:c r="D2" s="2"/>
      <x:c r="E2" s="2"/>
      <x:c r="F2" s="2"/>
    </x:row>
    <x:row r="3" ht="18" customHeight="1">
      <x:c r="B3" s="4" t="str">
        <x:v>Blue cells are declared planning inputs. They are not measurements, standards, quotes or observed distributions.</x:v>
      </x:c>
      <x:c r="C3" s="2"/>
      <x:c r="D3" s="2"/>
      <x:c r="E3" s="2"/>
      <x:c r="F3" s="2"/>
    </x:row>
    <x:row r="4" ht="18" customHeight="1">
      <x:c r="B4" s="5"/>
      <x:c r="C4" s="5"/>
      <x:c r="D4" s="5"/>
      <x:c r="E4" s="5"/>
      <x:c r="F4" s="5"/>
    </x:row>
    <x:row r="5" ht="18" customHeight="1">
      <x:c r="B5" s="2"/>
      <x:c r="C5" s="2"/>
      <x:c r="D5" s="2"/>
      <x:c r="E5" s="2"/>
      <x:c r="F5" s="2"/>
    </x:row>
    <x:row r="6" ht="18" customHeight="1">
      <x:c r="B6" s="8" t="str">
        <x:v>Inherited and Pass 94 controls</x:v>
      </x:c>
      <x:c r="C6" s="9" t="str">
        <x:v>Inherited and Pass 94 controls</x:v>
      </x:c>
      <x:c r="D6" s="9" t="str">
        <x:v>Inherited and Pass 94 controls</x:v>
      </x:c>
      <x:c r="E6" s="9" t="str">
        <x:v>Inherited and Pass 94 controls</x:v>
      </x:c>
      <x:c r="F6" s="10" t="str">
        <x:v>Inherited and Pass 94 controls</x:v>
      </x:c>
    </x:row>
    <x:row r="7" ht="18" customHeight="1">
      <x:c r="B7" s="25" t="str">
        <x:v>Input</x:v>
      </x:c>
      <x:c r="C7" s="26" t="str">
        <x:v>Value</x:v>
      </x:c>
      <x:c r="D7" s="26" t="str">
        <x:v>Unit</x:v>
      </x:c>
      <x:c r="E7" s="26" t="str">
        <x:v>Origin</x:v>
      </x:c>
      <x:c r="F7" s="26" t="str">
        <x:v>Meaning</x:v>
      </x:c>
    </x:row>
    <x:row r="8" ht="18" customHeight="1">
      <x:c r="B8" s="27" t="str">
        <x:v>Evidence interval</x:v>
      </x:c>
      <x:c r="C8" s="28" t="n">
        <x:v>168</x:v>
      </x:c>
      <x:c r="D8" s="27" t="str">
        <x:v>h</x:v>
      </x:c>
      <x:c r="E8" s="27" t="str">
        <x:v>MESA-1R</x:v>
      </x:c>
      <x:c r="F8" s="29" t="str">
        <x:v>complete independent interval</x:v>
      </x:c>
    </x:row>
    <x:row r="9" ht="18" customHeight="1">
      <x:c r="B9" s="27" t="str">
        <x:v>Energy nameplate reserve</x:v>
      </x:c>
      <x:c r="C9" s="28" t="n">
        <x:v>1.25</x:v>
      </x:c>
      <x:c r="D9" s="27" t="str">
        <x:v>x</x:v>
      </x:c>
      <x:c r="E9" s="27" t="str">
        <x:v>MESA-1R</x:v>
      </x:c>
      <x:c r="F9" s="29" t="str">
        <x:v>sizing multiplier</x:v>
      </x:c>
    </x:row>
    <x:row r="10" ht="18" customHeight="1">
      <x:c r="B10" s="27" t="str">
        <x:v>Technical allocation share</x:v>
      </x:c>
      <x:c r="C10" s="30" t="n">
        <x:v>0.85</x:v>
      </x:c>
      <x:c r="D10" s="27" t="str">
        <x:v>fraction</x:v>
      </x:c>
      <x:c r="E10" s="27" t="str">
        <x:v>Pass 94</x:v>
      </x:c>
      <x:c r="F10" s="29" t="str">
        <x:v>five physical functions</x:v>
      </x:c>
    </x:row>
    <x:row r="11" ht="18" customHeight="1">
      <x:c r="B11" s="27" t="str">
        <x:v>Integration reserve</x:v>
      </x:c>
      <x:c r="C11" s="30" t="n">
        <x:v>0.1</x:v>
      </x:c>
      <x:c r="D11" s="27" t="str">
        <x:v>fraction</x:v>
      </x:c>
      <x:c r="E11" s="27" t="str">
        <x:v>Pass 94</x:v>
      </x:c>
      <x:c r="F11" s="29" t="str">
        <x:v>unallocated integration burden</x:v>
      </x:c>
    </x:row>
    <x:row r="12" ht="18" customHeight="1">
      <x:c r="B12" s="27" t="str">
        <x:v>Growth reserve</x:v>
      </x:c>
      <x:c r="C12" s="30" t="n">
        <x:v>0.05</x:v>
      </x:c>
      <x:c r="D12" s="27" t="str">
        <x:v>fraction</x:v>
      </x:c>
      <x:c r="E12" s="27" t="str">
        <x:v>Pass 94</x:v>
      </x:c>
      <x:c r="F12" s="29" t="str">
        <x:v>unallocated prototype growth</x:v>
      </x:c>
    </x:row>
    <x:row r="13" ht="18" customHeight="1">
      <x:c r="B13" s="27" t="str">
        <x:v>Build-release lead</x:v>
      </x:c>
      <x:c r="C13" s="28" t="n">
        <x:v>24</x:v>
      </x:c>
      <x:c r="D13" s="27" t="str">
        <x:v>months</x:v>
      </x:c>
      <x:c r="E13" s="27" t="str">
        <x:v>Pass 94</x:v>
      </x:c>
      <x:c r="F13" s="29" t="str">
        <x:v>before P01 trial clock</x:v>
      </x:c>
    </x:row>
    <x:row r="14" ht="18" customHeight="1">
      <x:c r="B14" s="27" t="str">
        <x:v>Trial-program duration</x:v>
      </x:c>
      <x:c r="C14" s="28" t="n">
        <x:v>78</x:v>
      </x:c>
      <x:c r="D14" s="27" t="str">
        <x:v>months</x:v>
      </x:c>
      <x:c r="E14" s="27" t="str">
        <x:v>MESA-1C</x:v>
      </x:c>
      <x:c r="F14" s="29" t="str">
        <x:v>P01-P08 sequence</x:v>
      </x:c>
    </x:row>
    <x:row r="15" ht="18" customHeight="1">
      <x:c r="B15" s="27" t="str">
        <x:v>Calendar completion</x:v>
      </x:c>
      <x:c r="C15" s="28" t="n">
        <x:v>102</x:v>
      </x:c>
      <x:c r="D15" s="27" t="str">
        <x:v>months</x:v>
      </x:c>
      <x:c r="E15" s="27" t="str">
        <x:v>Pass 94</x:v>
      </x:c>
      <x:c r="F15" s="29" t="str">
        <x:v>build lead plus trial sequence</x:v>
      </x:c>
    </x:row>
    <x:row r="16" ht="18" customHeight="1">
      <x:c r="B16" s="27" t="str">
        <x:v>Architecture classes</x:v>
      </x:c>
      <x:c r="C16" s="28" t="n">
        <x:v>11</x:v>
      </x:c>
      <x:c r="D16" s="27" t="str">
        <x:v>families</x:v>
      </x:c>
      <x:c r="E16" s="27" t="str">
        <x:v>MESA-1C</x:v>
      </x:c>
      <x:c r="F16" s="29" t="str">
        <x:v>selected prototype baselines</x:v>
      </x:c>
    </x:row>
    <x:row r="17" ht="18" customHeight="1">
      <x:c r="B17" s="27" t="str">
        <x:v>Build-package records</x:v>
      </x:c>
      <x:c r="C17" s="28" t="n">
        <x:v>154</x:v>
      </x:c>
      <x:c r="D17" s="27" t="str">
        <x:v>records</x:v>
      </x:c>
      <x:c r="E17" s="27" t="str">
        <x:v>Pass 94</x:v>
      </x:c>
      <x:c r="F17" s="29" t="str">
        <x:v>fourteen per family</x:v>
      </x:c>
    </x:row>
    <x:row r="18" ht="18" customHeight="1">
      <x:c r="B18" s="27" t="str">
        <x:v>Acceptance records</x:v>
      </x:c>
      <x:c r="C18" s="28" t="n">
        <x:v>132</x:v>
      </x:c>
      <x:c r="D18" s="27" t="str">
        <x:v>records</x:v>
      </x:c>
      <x:c r="E18" s="27" t="str">
        <x:v>Pass 94</x:v>
      </x:c>
      <x:c r="F18" s="29" t="str">
        <x:v>twelve per family</x:v>
      </x:c>
    </x:row>
    <x:row r="19" ht="18" customHeight="1">
      <x:c r="B19" s="27" t="str">
        <x:v>Hazard records</x:v>
      </x:c>
      <x:c r="C19" s="28" t="n">
        <x:v>88</x:v>
      </x:c>
      <x:c r="D19" s="27" t="str">
        <x:v>records</x:v>
      </x:c>
      <x:c r="E19" s="27" t="str">
        <x:v>Pass 94</x:v>
      </x:c>
      <x:c r="F19" s="29" t="str">
        <x:v>eight per family</x:v>
      </x:c>
    </x:row>
    <x:row r="20" ht="18" customHeight="1">
      <x:c r="B20" s="27" t="str">
        <x:v>Interface tests</x:v>
      </x:c>
      <x:c r="C20" s="28" t="n">
        <x:v>72</x:v>
      </x:c>
      <x:c r="D20" s="27" t="str">
        <x:v>tests</x:v>
      </x:c>
      <x:c r="E20" s="27" t="str">
        <x:v>Pass 94</x:v>
      </x:c>
      <x:c r="F20" s="29" t="str">
        <x:v>six per interface</x:v>
      </x:c>
    </x:row>
    <x:row r="21" ht="18" customHeight="1">
      <x:c r="B21" s="27" t="str">
        <x:v>Calibration chains</x:v>
      </x:c>
      <x:c r="C21" s="28" t="n">
        <x:v>23</x:v>
      </x:c>
      <x:c r="D21" s="27" t="str">
        <x:v>chains</x:v>
      </x:c>
      <x:c r="E21" s="27" t="str">
        <x:v>Pass 94</x:v>
      </x:c>
      <x:c r="F21" s="29" t="str">
        <x:v>measurand-specific</x:v>
      </x:c>
    </x:row>
    <x:row r="22" ht="18" customHeight="1">
      <x:c r="B22" s="27" t="str">
        <x:v>Ancestry-right records</x:v>
      </x:c>
      <x:c r="C22" s="28" t="n">
        <x:v>96</x:v>
      </x:c>
      <x:c r="D22" s="27" t="str">
        <x:v>records</x:v>
      </x:c>
      <x:c r="E22" s="27" t="str">
        <x:v>Pass 94</x:v>
      </x:c>
      <x:c r="F22" s="29" t="str">
        <x:v>eight per critical chain</x:v>
      </x:c>
    </x:row>
    <x:row r="23" ht="18" customHeight="1">
      <x:c r="B23" s="27" t="str">
        <x:v>Article lots</x:v>
      </x:c>
      <x:c r="C23" s="28" t="n">
        <x:v>33</x:v>
      </x:c>
      <x:c r="D23" s="27" t="str">
        <x:v>lots</x:v>
      </x:c>
      <x:c r="E23" s="27" t="str">
        <x:v>Pass 94</x:v>
      </x:c>
      <x:c r="F23" s="29" t="str">
        <x:v>three per family</x:v>
      </x:c>
    </x:row>
    <x:row r="24" ht="18" customHeight="1">
      <x:c r="B24" s="27" t="str">
        <x:v>Built articles</x:v>
      </x:c>
      <x:c r="C24" s="28" t="n">
        <x:v>254</x:v>
      </x:c>
      <x:c r="D24" s="27" t="str">
        <x:v>articles</x:v>
      </x:c>
      <x:c r="E24" s="27" t="str">
        <x:v>MESA-1C</x:v>
      </x:c>
      <x:c r="F24" s="29" t="str">
        <x:v>all family banks</x:v>
      </x:c>
    </x:row>
    <x:row r="25" ht="18" customHeight="1">
      <x:c r="B25" s="27" t="str">
        <x:v>Article-bank cost</x:v>
      </x:c>
      <x:c r="C25" s="28" t="n">
        <x:v>1.764</x:v>
      </x:c>
      <x:c r="D25" s="27" t="str">
        <x:v>USD B</x:v>
      </x:c>
      <x:c r="E25" s="27" t="str">
        <x:v>MESA-1C</x:v>
      </x:c>
      <x:c r="F25" s="29" t="str">
        <x:v>indicative unit costs</x:v>
      </x:c>
    </x:row>
    <x:row r="26" ht="18" customHeight="1">
      <x:c r="B26" s="27" t="str">
        <x:v>Program cost</x:v>
      </x:c>
      <x:c r="C26" s="28" t="n">
        <x:v>6.8</x:v>
      </x:c>
      <x:c r="D26" s="27" t="str">
        <x:v>USD B</x:v>
      </x:c>
      <x:c r="E26" s="27" t="str">
        <x:v>MESA-1C</x:v>
      </x:c>
      <x:c r="F26" s="29" t="str">
        <x:v>nested inside F01</x:v>
      </x:c>
    </x:row>
    <x:row r="27" ht="18" customHeight="1">
      <x:c r="B27" s="27" t="str">
        <x:v>F01 ceiling</x:v>
      </x:c>
      <x:c r="C27" s="28" t="n">
        <x:v>24</x:v>
      </x:c>
      <x:c r="D27" s="27" t="str">
        <x:v>USD B</x:v>
      </x:c>
      <x:c r="E27" s="27" t="str">
        <x:v>MESA-1</x:v>
      </x:c>
      <x:c r="F27" s="29" t="str">
        <x:v>unchanged</x:v>
      </x:c>
    </x:row>
    <x:row r="28" ht="18" customHeight="1">
      <x:c r="B28" s="27" t="str">
        <x:v>Qualified facilities</x:v>
      </x:c>
      <x:c r="C28" s="28" t="n">
        <x:v>8</x:v>
      </x:c>
      <x:c r="D28" s="27" t="str">
        <x:v>facilities</x:v>
      </x:c>
      <x:c r="E28" s="27" t="str">
        <x:v>Pass 94</x:v>
      </x:c>
      <x:c r="F28" s="29" t="str">
        <x:v>capacity schedule</x:v>
      </x:c>
    </x:row>
    <x:row r="29" ht="18" customHeight="1">
      <x:c r="B29" s="27" t="str">
        <x:v>Program years</x:v>
      </x:c>
      <x:c r="C29" s="28" t="n">
        <x:v>9</x:v>
      </x:c>
      <x:c r="D29" s="27" t="str">
        <x:v>years</x:v>
      </x:c>
      <x:c r="E29" s="27" t="str">
        <x:v>Pass 94</x:v>
      </x:c>
      <x:c r="F29" s="29" t="str">
        <x:v>102 months rounds into year nine</x:v>
      </x:c>
    </x:row>
    <x:row r="30" ht="18" customHeight="1">
      <x:c r="B30" s="27" t="str">
        <x:v>Release gates</x:v>
      </x:c>
      <x:c r="C30" s="28" t="n">
        <x:v>15</x:v>
      </x:c>
      <x:c r="D30" s="27" t="str">
        <x:v>gates</x:v>
      </x:c>
      <x:c r="E30" s="27" t="str">
        <x:v>Pass 94</x:v>
      </x:c>
      <x:c r="F30" s="29" t="str">
        <x:v>all open</x:v>
      </x:c>
    </x:row>
    <x:row r="31" ht="18" customHeight="1">
      <x:c r="B31" s="27" t="str">
        <x:v>Physical evidence credit</x:v>
      </x:c>
      <x:c r="C31" s="28" t="n">
        <x:v>0</x:v>
      </x:c>
      <x:c r="D31" s="27" t="str">
        <x:v>credits</x:v>
      </x:c>
      <x:c r="E31" s="27" t="str">
        <x:v>governance</x:v>
      </x:c>
      <x:c r="F31" s="29" t="str">
        <x:v>no paper maturity</x:v>
      </x:c>
    </x:row>
    <x:row r="32" ht="18" customHeight="1">
      <x:c r="B32" s="31" t="str">
        <x:v>Rendering authorization</x:v>
      </x:c>
      <x:c r="C32" s="32" t="n">
        <x:v>0</x:v>
      </x:c>
      <x:c r="D32" s="31" t="str">
        <x:v>binary</x:v>
      </x:c>
      <x:c r="E32" s="31" t="str">
        <x:v>governance</x:v>
      </x:c>
      <x:c r="F32" s="33" t="str">
        <x:v>form remains blocked</x:v>
      </x:c>
    </x:row>
    <x:row r="33" ht="18" customHeight="1">
      <x:c r="B33" s="2"/>
      <x:c r="C33" s="2"/>
      <x:c r="D33" s="2"/>
      <x:c r="E33" s="2"/>
      <x:c r="F33" s="2"/>
    </x:row>
    <x:row r="34" ht="18" customHeight="1">
      <x:c r="B34" s="2"/>
      <x:c r="C34" s="2"/>
      <x:c r="D34" s="2"/>
      <x:c r="E34" s="2"/>
      <x:c r="F34" s="2"/>
    </x:row>
    <x:row r="35" ht="18" customHeight="1">
      <x:c r="B35" s="2"/>
      <x:c r="C35" s="2"/>
      <x:c r="D35" s="2"/>
      <x:c r="E35" s="2"/>
      <x:c r="F35" s="2"/>
    </x:row>
    <x:row r="36" ht="18" customHeight="1">
      <x:c r="B36" s="2"/>
      <x:c r="C36" s="2"/>
      <x:c r="D36" s="2"/>
      <x:c r="E36" s="2"/>
      <x:c r="F36" s="2"/>
    </x:row>
    <x:row r="37" ht="18" customHeight="1">
      <x:c r="B37" s="2"/>
      <x:c r="C37" s="2"/>
      <x:c r="D37" s="2"/>
      <x:c r="E37" s="2"/>
      <x:c r="F37" s="2"/>
    </x:row>
    <x:row r="38" ht="18" customHeight="1">
      <x:c r="B38" s="2"/>
      <x:c r="C38" s="2"/>
      <x:c r="D38" s="2"/>
      <x:c r="E38" s="2"/>
      <x:c r="F38" s="2"/>
    </x:row>
    <x:row r="39" ht="18" customHeight="1">
      <x:c r="B39" s="2"/>
      <x:c r="C39" s="2"/>
      <x:c r="D39" s="2"/>
      <x:c r="E39" s="2"/>
      <x:c r="F39" s="2"/>
    </x:row>
    <x:row r="40" ht="18" customHeight="1">
      <x:c r="B40" s="2"/>
      <x:c r="C40" s="2"/>
      <x:c r="D40" s="2"/>
      <x:c r="E40" s="2"/>
      <x:c r="F40" s="2"/>
    </x:row>
    <x:row r="41" ht="18" customHeight="1">
      <x:c r="B41" s="2"/>
      <x:c r="C41" s="2"/>
      <x:c r="D41" s="2"/>
      <x:c r="E41" s="2"/>
      <x:c r="F41" s="2"/>
    </x:row>
    <x:row r="42" ht="18" customHeight="1">
      <x:c r="B42" s="2"/>
      <x:c r="C42" s="2"/>
      <x:c r="D42" s="2"/>
      <x:c r="E42" s="2"/>
      <x:c r="F42" s="2"/>
    </x:row>
    <x:row r="43" ht="18" customHeight="1">
      <x:c r="B43" s="2"/>
      <x:c r="C43" s="2"/>
      <x:c r="D43" s="2"/>
      <x:c r="E43" s="2"/>
      <x:c r="F43" s="2"/>
    </x:row>
    <x:row r="44" ht="18" customHeight="1">
      <x:c r="B44" s="2"/>
      <x:c r="C44" s="2"/>
      <x:c r="D44" s="2"/>
      <x:c r="E44" s="2"/>
      <x:c r="F44" s="2"/>
    </x:row>
  </x:sheetData>
  <x:mergeCells>
    <x:mergeCell ref="B3:F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26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21" hidden="0" customWidth="1"/>
    <x:col min="11" max="11" width="18" hidden="0" customWidth="1"/>
    <x:col min="12" max="12" width="12" hidden="0" customWidth="1"/>
    <x:col min="13" max="13" width="18" hidden="0" customWidth="1"/>
    <x:col min="14" max="14" width="12" hidden="0" customWidth="1"/>
    <x:col min="15" max="15" width="18" hidden="0" customWidth="1"/>
    <x:col min="16" max="16" width="27" hidden="0" customWidth="1"/>
    <x:col min="17" max="17" width="15" hidden="0" customWidth="1"/>
  </x:cols>
  <x:sheetData>
    <x:row r="2" ht="18" customHeight="1">
      <x:c r="B2" s="3" t="str">
        <x:v>Prototype article baselines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B3" s="4" t="str">
        <x:v>Each row is a burden and readiness envelope for one serial family. Submodules remain included in their host configuration.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18" customHeight="1">
      <x:c r="B6" s="25" t="str">
        <x:v>Family</x:v>
      </x:c>
      <x:c r="C6" s="26" t="str">
        <x:v>Subsystem</x:v>
      </x:c>
      <x:c r="D6" s="26" t="str">
        <x:v>Architecture</x:v>
      </x:c>
      <x:c r="E6" s="26" t="str">
        <x:v>Mass kg</x:v>
      </x:c>
      <x:c r="F6" s="26" t="str">
        <x:v>Volume m3</x:v>
      </x:c>
      <x:c r="G6" s="26" t="str">
        <x:v>Average W</x:v>
      </x:c>
      <x:c r="H6" s="26" t="str">
        <x:v>Peak W</x:v>
      </x:c>
      <x:c r="I6" s="26" t="str">
        <x:v>Storage TB</x:v>
      </x:c>
      <x:c r="J6" s="26" t="str">
        <x:v>Independent energy kWh</x:v>
      </x:c>
      <x:c r="K6" s="26" t="str">
        <x:v>Heat rejection kW</x:v>
      </x:c>
      <x:c r="L6" s="26" t="str">
        <x:v>Campaign</x:v>
      </x:c>
      <x:c r="M6" s="26" t="str">
        <x:v>Article-ready month</x:v>
      </x:c>
      <x:c r="N6" s="26" t="str">
        <x:v>Built</x:v>
      </x:c>
      <x:c r="O6" s="26" t="str">
        <x:v>Unit cost USD M</x:v>
      </x:c>
      <x:c r="P6" s="26" t="str">
        <x:v>Authority</x:v>
      </x:c>
      <x:c r="Q6" s="26" t="str">
        <x:v>Evidence state</x:v>
      </x:c>
    </x:row>
    <x:row r="7" ht="28" customHeight="1">
      <x:c r="B7" s="27" t="str">
        <x:v>ATC-A01</x:v>
      </x:c>
      <x:c r="C7" s="27" t="str">
        <x:v>Air tile cassette</x:v>
      </x:c>
      <x:c r="D7" s="35" t="str">
        <x:v>ATC-2</x:v>
      </x:c>
      <x:c r="E7" s="35" t="n">
        <x:v>110</x:v>
      </x:c>
      <x:c r="F7" s="35" t="n">
        <x:v>0.22</x:v>
      </x:c>
      <x:c r="G7" s="35" t="n">
        <x:v>55</x:v>
      </x:c>
      <x:c r="H7" s="35" t="n">
        <x:v>180</x:v>
      </x:c>
      <x:c r="I7" s="35" t="n">
        <x:v>8</x:v>
      </x:c>
      <x:c r="J7" s="35" t="n">
        <x:f>G7*Assumptions!C8*Assumptions!C9/1000</x:f>
        <x:v>11.55</x:v>
      </x:c>
      <x:c r="K7" s="35" t="n">
        <x:f>H7*1.2/1000</x:f>
        <x:v>0.216</x:v>
      </x:c>
      <x:c r="L7" s="35" t="str">
        <x:v>P02</x:v>
      </x:c>
      <x:c r="M7" s="35" t="n">
        <x:v>30</x:v>
      </x:c>
      <x:c r="N7" s="35" t="n">
        <x:v>36</x:v>
      </x:c>
      <x:c r="O7" s="35" t="n">
        <x:v>4</x:v>
      </x:c>
      <x:c r="P7" s="27" t="str">
        <x:v>article evidence authority</x:v>
      </x:c>
      <x:c r="Q7" s="29" t="str">
        <x:v>OPEN</x:v>
      </x:c>
    </x:row>
    <x:row r="8" ht="28" customHeight="1">
      <x:c r="B8" s="27" t="str">
        <x:v>TTC-T01</x:v>
      </x:c>
      <x:c r="C8" s="27" t="str">
        <x:v>Terrain tile cassette</x:v>
      </x:c>
      <x:c r="D8" s="35" t="str">
        <x:v>TTC-2</x:v>
      </x:c>
      <x:c r="E8" s="35" t="n">
        <x:v>135</x:v>
      </x:c>
      <x:c r="F8" s="35" t="n">
        <x:v>0.28</x:v>
      </x:c>
      <x:c r="G8" s="35" t="n">
        <x:v>65</x:v>
      </x:c>
      <x:c r="H8" s="35" t="n">
        <x:v>220</x:v>
      </x:c>
      <x:c r="I8" s="35" t="n">
        <x:v>8</x:v>
      </x:c>
      <x:c r="J8" s="35" t="n">
        <x:f>G8*Assumptions!C8*Assumptions!C9/1000</x:f>
        <x:v>13.65</x:v>
      </x:c>
      <x:c r="K8" s="35" t="n">
        <x:f>H8*1.2/1000</x:f>
        <x:v>0.264</x:v>
      </x:c>
      <x:c r="L8" s="35" t="str">
        <x:v>P02</x:v>
      </x:c>
      <x:c r="M8" s="35" t="n">
        <x:v>30</x:v>
      </x:c>
      <x:c r="N8" s="35" t="n">
        <x:v>36</x:v>
      </x:c>
      <x:c r="O8" s="35" t="n">
        <x:v>5</x:v>
      </x:c>
      <x:c r="P8" s="27" t="str">
        <x:v>article evidence authority</x:v>
      </x:c>
      <x:c r="Q8" s="29" t="str">
        <x:v>OPEN</x:v>
      </x:c>
    </x:row>
    <x:row r="9" ht="28" customHeight="1">
      <x:c r="B9" s="27" t="str">
        <x:v>ACN-A01</x:v>
      </x:c>
      <x:c r="C9" s="27" t="str">
        <x:v>Air carrier node</x:v>
      </x:c>
      <x:c r="D9" s="35" t="str">
        <x:v>ACN-2</x:v>
      </x:c>
      <x:c r="E9" s="35" t="n">
        <x:v>1200</x:v>
      </x:c>
      <x:c r="F9" s="35" t="n">
        <x:v>2.8</x:v>
      </x:c>
      <x:c r="G9" s="35" t="n">
        <x:v>800</x:v>
      </x:c>
      <x:c r="H9" s="35" t="n">
        <x:v>2200</x:v>
      </x:c>
      <x:c r="I9" s="35" t="n">
        <x:v>24</x:v>
      </x:c>
      <x:c r="J9" s="35" t="n">
        <x:f>G9*Assumptions!C8*Assumptions!C9/1000</x:f>
        <x:v>168</x:v>
      </x:c>
      <x:c r="K9" s="35" t="n">
        <x:f>H9*1.2/1000</x:f>
        <x:v>2.64</x:v>
      </x:c>
      <x:c r="L9" s="35" t="str">
        <x:v>P03</x:v>
      </x:c>
      <x:c r="M9" s="35" t="n">
        <x:v>42</x:v>
      </x:c>
      <x:c r="N9" s="35" t="n">
        <x:v>8</x:v>
      </x:c>
      <x:c r="O9" s="35" t="n">
        <x:v>25</x:v>
      </x:c>
      <x:c r="P9" s="27" t="str">
        <x:v>air evidence authority</x:v>
      </x:c>
      <x:c r="Q9" s="29" t="str">
        <x:v>OPEN</x:v>
      </x:c>
    </x:row>
    <x:row r="10" ht="28" customHeight="1">
      <x:c r="B10" s="27" t="str">
        <x:v>TCN-T01</x:v>
      </x:c>
      <x:c r="C10" s="27" t="str">
        <x:v>Terrain carrier node</x:v>
      </x:c>
      <x:c r="D10" s="35" t="str">
        <x:v>TCN-2</x:v>
      </x:c>
      <x:c r="E10" s="35" t="n">
        <x:v>2600</x:v>
      </x:c>
      <x:c r="F10" s="35" t="n">
        <x:v>8.5</x:v>
      </x:c>
      <x:c r="G10" s="35" t="n">
        <x:v>600</x:v>
      </x:c>
      <x:c r="H10" s="35" t="n">
        <x:v>3500</x:v>
      </x:c>
      <x:c r="I10" s="35" t="n">
        <x:v>24</x:v>
      </x:c>
      <x:c r="J10" s="35" t="n">
        <x:f>G10*Assumptions!C8*Assumptions!C9/1000</x:f>
        <x:v>126</x:v>
      </x:c>
      <x:c r="K10" s="35" t="n">
        <x:f>H10*1.2/1000</x:f>
        <x:v>4.2</x:v>
      </x:c>
      <x:c r="L10" s="35" t="str">
        <x:v>P04</x:v>
      </x:c>
      <x:c r="M10" s="35" t="n">
        <x:v>42</x:v>
      </x:c>
      <x:c r="N10" s="35" t="n">
        <x:v>10</x:v>
      </x:c>
      <x:c r="O10" s="35" t="n">
        <x:v>45</x:v>
      </x:c>
      <x:c r="P10" s="27" t="str">
        <x:v>terrain evidence authority</x:v>
      </x:c>
      <x:c r="Q10" s="29" t="str">
        <x:v>OPEN</x:v>
      </x:c>
    </x:row>
    <x:row r="11" ht="28" customHeight="1">
      <x:c r="B11" s="27" t="str">
        <x:v>CRS-R01</x:v>
      </x:c>
      <x:c r="C11" s="27" t="str">
        <x:v>Civil receiver</x:v>
      </x:c>
      <x:c r="D11" s="35" t="str">
        <x:v>CRS-2</x:v>
      </x:c>
      <x:c r="E11" s="35" t="n">
        <x:v>2800</x:v>
      </x:c>
      <x:c r="F11" s="35" t="n">
        <x:v>12</x:v>
      </x:c>
      <x:c r="G11" s="35" t="n">
        <x:v>1200</x:v>
      </x:c>
      <x:c r="H11" s="35" t="n">
        <x:v>3200</x:v>
      </x:c>
      <x:c r="I11" s="35" t="n">
        <x:v>64</x:v>
      </x:c>
      <x:c r="J11" s="35" t="n">
        <x:f>G11*Assumptions!C8*Assumptions!C9/1000</x:f>
        <x:v>252</x:v>
      </x:c>
      <x:c r="K11" s="35" t="n">
        <x:f>H11*1.2/1000</x:f>
        <x:v>3.84</x:v>
      </x:c>
      <x:c r="L11" s="35" t="str">
        <x:v>P05</x:v>
      </x:c>
      <x:c r="M11" s="35" t="n">
        <x:v>48</x:v>
      </x:c>
      <x:c r="N11" s="35" t="n">
        <x:v>8</x:v>
      </x:c>
      <x:c r="O11" s="35" t="n">
        <x:v>35</x:v>
      </x:c>
      <x:c r="P11" s="27" t="str">
        <x:v>civil-effect authority</x:v>
      </x:c>
      <x:c r="Q11" s="29" t="str">
        <x:v>OPEN</x:v>
      </x:c>
    </x:row>
    <x:row r="12" ht="28" customHeight="1">
      <x:c r="B12" s="27" t="str">
        <x:v>PSS-T01</x:v>
      </x:c>
      <x:c r="C12" s="27" t="str">
        <x:v>Pressure skin</x:v>
      </x:c>
      <x:c r="D12" s="35" t="str">
        <x:v>PSS-3</x:v>
      </x:c>
      <x:c r="E12" s="35" t="n">
        <x:v>1140</x:v>
      </x:c>
      <x:c r="F12" s="35" t="n">
        <x:v>3.42</x:v>
      </x:c>
      <x:c r="G12" s="35" t="n">
        <x:v>220</x:v>
      </x:c>
      <x:c r="H12" s="35" t="n">
        <x:v>1200</x:v>
      </x:c>
      <x:c r="I12" s="35" t="n">
        <x:v>0</x:v>
      </x:c>
      <x:c r="J12" s="35" t="n">
        <x:f>G12*Assumptions!C8*Assumptions!C9/1000</x:f>
        <x:v>46.2</x:v>
      </x:c>
      <x:c r="K12" s="35" t="n">
        <x:f>H12*1.2/1000</x:f>
        <x:v>1.44</x:v>
      </x:c>
      <x:c r="L12" s="35" t="str">
        <x:v>P04</x:v>
      </x:c>
      <x:c r="M12" s="35" t="n">
        <x:v>42</x:v>
      </x:c>
      <x:c r="N12" s="35" t="n">
        <x:v>16</x:v>
      </x:c>
      <x:c r="O12" s="35" t="n">
        <x:v>20</x:v>
      </x:c>
      <x:c r="P12" s="27" t="str">
        <x:v>terrain metrology</x:v>
      </x:c>
      <x:c r="Q12" s="29" t="str">
        <x:v>OPEN</x:v>
      </x:c>
    </x:row>
    <x:row r="13" ht="28" customHeight="1">
      <x:c r="B13" s="27" t="str">
        <x:v>PIF-I01</x:v>
      </x:c>
      <x:c r="C13" s="27" t="str">
        <x:v>Passive interface</x:v>
      </x:c>
      <x:c r="D13" s="35" t="str">
        <x:v>PIF-3</x:v>
      </x:c>
      <x:c r="E13" s="35" t="n">
        <x:v>40</x:v>
      </x:c>
      <x:c r="F13" s="35" t="n">
        <x:v>0.08</x:v>
      </x:c>
      <x:c r="G13" s="35" t="n">
        <x:v>20</x:v>
      </x:c>
      <x:c r="H13" s="35" t="n">
        <x:v>80</x:v>
      </x:c>
      <x:c r="I13" s="35" t="n">
        <x:v>0</x:v>
      </x:c>
      <x:c r="J13" s="35" t="n">
        <x:f>G13*Assumptions!C8*Assumptions!C9/1000</x:f>
        <x:v>4.2</x:v>
      </x:c>
      <x:c r="K13" s="35" t="n">
        <x:f>H13*1.2/1000</x:f>
        <x:v>0.096</x:v>
      </x:c>
      <x:c r="L13" s="35" t="str">
        <x:v>P02</x:v>
      </x:c>
      <x:c r="M13" s="35" t="n">
        <x:v>30</x:v>
      </x:c>
      <x:c r="N13" s="35" t="n">
        <x:v>60</x:v>
      </x:c>
      <x:c r="O13" s="35" t="n">
        <x:v>0.5</x:v>
      </x:c>
      <x:c r="P13" s="27" t="str">
        <x:v>interface authority</x:v>
      </x:c>
      <x:c r="Q13" s="29" t="str">
        <x:v>OPEN</x:v>
      </x:c>
    </x:row>
    <x:row r="14" ht="28" customHeight="1">
      <x:c r="B14" s="27" t="str">
        <x:v>EPS-P01</x:v>
      </x:c>
      <x:c r="C14" s="27" t="str">
        <x:v>Independent energy</x:v>
      </x:c>
      <x:c r="D14" s="35" t="str">
        <x:v>EPS-2</x:v>
      </x:c>
      <x:c r="E14" s="35" t="n">
        <x:v>1145.46</x:v>
      </x:c>
      <x:c r="F14" s="35" t="n">
        <x:v>2.5</x:v>
      </x:c>
      <x:c r="G14" s="35" t="n">
        <x:v>20</x:v>
      </x:c>
      <x:c r="H14" s="35" t="n">
        <x:v>200</x:v>
      </x:c>
      <x:c r="I14" s="35" t="n">
        <x:v>0</x:v>
      </x:c>
      <x:c r="J14" s="35" t="n">
        <x:f>G14*Assumptions!C8*Assumptions!C9/1000</x:f>
        <x:v>4.2</x:v>
      </x:c>
      <x:c r="K14" s="35" t="n">
        <x:f>H14*1.2/1000</x:f>
        <x:v>0.24</x:v>
      </x:c>
      <x:c r="L14" s="35" t="str">
        <x:v>P01</x:v>
      </x:c>
      <x:c r="M14" s="35" t="n">
        <x:v>24</x:v>
      </x:c>
      <x:c r="N14" s="35" t="n">
        <x:v>20</x:v>
      </x:c>
      <x:c r="O14" s="35" t="n">
        <x:v>3</x:v>
      </x:c>
      <x:c r="P14" s="27" t="str">
        <x:v>energy safety authority</x:v>
      </x:c>
      <x:c r="Q14" s="29" t="str">
        <x:v>OPEN</x:v>
      </x:c>
    </x:row>
    <x:row r="15" ht="28" customHeight="1">
      <x:c r="B15" s="27" t="str">
        <x:v>TKS-C01</x:v>
      </x:c>
      <x:c r="C15" s="27" t="str">
        <x:v>Denied time</x:v>
      </x:c>
      <x:c r="D15" s="35" t="str">
        <x:v>TKS-2</x:v>
      </x:c>
      <x:c r="E15" s="35" t="n">
        <x:v>10</x:v>
      </x:c>
      <x:c r="F15" s="35" t="n">
        <x:v>0.02</x:v>
      </x:c>
      <x:c r="G15" s="35" t="n">
        <x:v>20</x:v>
      </x:c>
      <x:c r="H15" s="35" t="n">
        <x:v>50</x:v>
      </x:c>
      <x:c r="I15" s="35" t="n">
        <x:v>0</x:v>
      </x:c>
      <x:c r="J15" s="35" t="n">
        <x:f>G15*Assumptions!C8*Assumptions!C9/1000</x:f>
        <x:v>4.2</x:v>
      </x:c>
      <x:c r="K15" s="35" t="n">
        <x:f>H15*1.2/1000</x:f>
        <x:v>0.06</x:v>
      </x:c>
      <x:c r="L15" s="35" t="str">
        <x:v>P06</x:v>
      </x:c>
      <x:c r="M15" s="35" t="n">
        <x:v>36</x:v>
      </x:c>
      <x:c r="N15" s="35" t="n">
        <x:v>20</x:v>
      </x:c>
      <x:c r="O15" s="35" t="n">
        <x:v>2</x:v>
      </x:c>
      <x:c r="P15" s="27" t="str">
        <x:v>time authority</x:v>
      </x:c>
      <x:c r="Q15" s="29" t="str">
        <x:v>OPEN</x:v>
      </x:c>
    </x:row>
    <x:row r="16" ht="28" customHeight="1">
      <x:c r="B16" s="27" t="str">
        <x:v>STG-S01</x:v>
      </x:c>
      <x:c r="C16" s="27" t="str">
        <x:v>Immutable storage</x:v>
      </x:c>
      <x:c r="D16" s="35" t="str">
        <x:v>STG-2</x:v>
      </x:c>
      <x:c r="E16" s="35" t="n">
        <x:v>40</x:v>
      </x:c>
      <x:c r="F16" s="35" t="n">
        <x:v>0.12</x:v>
      </x:c>
      <x:c r="G16" s="35" t="n">
        <x:v>90</x:v>
      </x:c>
      <x:c r="H16" s="35" t="n">
        <x:v>220</x:v>
      </x:c>
      <x:c r="I16" s="35" t="n">
        <x:v>64</x:v>
      </x:c>
      <x:c r="J16" s="35" t="n">
        <x:f>G16*Assumptions!C8*Assumptions!C9/1000</x:f>
        <x:v>18.9</x:v>
      </x:c>
      <x:c r="K16" s="35" t="n">
        <x:f>H16*1.2/1000</x:f>
        <x:v>0.264</x:v>
      </x:c>
      <x:c r="L16" s="35" t="str">
        <x:v>P01</x:v>
      </x:c>
      <x:c r="M16" s="35" t="n">
        <x:v>24</x:v>
      </x:c>
      <x:c r="N16" s="35" t="n">
        <x:v>20</x:v>
      </x:c>
      <x:c r="O16" s="35" t="n">
        <x:v>1</x:v>
      </x:c>
      <x:c r="P16" s="27" t="str">
        <x:v>data authority</x:v>
      </x:c>
      <x:c r="Q16" s="29" t="str">
        <x:v>OPEN</x:v>
      </x:c>
    </x:row>
    <x:row r="17" ht="28" customHeight="1">
      <x:c r="B17" s="31" t="str">
        <x:v>MHE-E01</x:v>
      </x:c>
      <x:c r="C17" s="31" t="str">
        <x:v>Mass and heat emulator</x:v>
      </x:c>
      <x:c r="D17" s="36" t="str">
        <x:v>MHE-3</x:v>
      </x:c>
      <x:c r="E17" s="36" t="n">
        <x:v>2800</x:v>
      </x:c>
      <x:c r="F17" s="36" t="n">
        <x:v>12</x:v>
      </x:c>
      <x:c r="G17" s="36" t="n">
        <x:v>1200</x:v>
      </x:c>
      <x:c r="H17" s="36" t="n">
        <x:v>3200</x:v>
      </x:c>
      <x:c r="I17" s="36" t="n">
        <x:v>0</x:v>
      </x:c>
      <x:c r="J17" s="36" t="n">
        <x:f>G17*Assumptions!C8*Assumptions!C9/1000</x:f>
        <x:v>252</x:v>
      </x:c>
      <x:c r="K17" s="36" t="n">
        <x:f>H17*1.2/1000</x:f>
        <x:v>3.84</x:v>
      </x:c>
      <x:c r="L17" s="36" t="str">
        <x:v>P07</x:v>
      </x:c>
      <x:c r="M17" s="36" t="n">
        <x:v>60</x:v>
      </x:c>
      <x:c r="N17" s="36" t="n">
        <x:v>20</x:v>
      </x:c>
      <x:c r="O17" s="36" t="n">
        <x:v>2</x:v>
      </x:c>
      <x:c r="P17" s="31" t="str">
        <x:v>equivalence authority</x:v>
      </x:c>
      <x:c r="Q17" s="33" t="str">
        <x:v>OPEN</x:v>
      </x:c>
    </x:row>
    <x:row r="18" ht="18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8" customHeight="1">
      <x:c r="B20" s="8" t="str">
        <x:v>Configuration boundary</x:v>
      </x:c>
      <x:c r="C20" s="9" t="str">
        <x:v>Configuration boundary</x:v>
      </x:c>
      <x:c r="D20" s="9" t="str">
        <x:v>Configuration boundary</x:v>
      </x:c>
      <x:c r="E20" s="9" t="str">
        <x:v>Configuration boundary</x:v>
      </x:c>
      <x:c r="F20" s="9" t="str">
        <x:v>Configuration boundary</x:v>
      </x:c>
      <x:c r="G20" s="9" t="str">
        <x:v>Configuration boundary</x:v>
      </x:c>
      <x:c r="H20" s="9" t="str">
        <x:v>Configuration boundary</x:v>
      </x:c>
      <x:c r="I20" s="9" t="str">
        <x:v>Configuration boundary</x:v>
      </x:c>
      <x:c r="J20" s="9" t="str">
        <x:v>Configuration boundary</x:v>
      </x:c>
      <x:c r="K20" s="9" t="str">
        <x:v>Configuration boundary</x:v>
      </x:c>
      <x:c r="L20" s="9" t="str">
        <x:v>Configuration boundary</x:v>
      </x:c>
      <x:c r="M20" s="9" t="str">
        <x:v>Configuration boundary</x:v>
      </x:c>
      <x:c r="N20" s="9" t="str">
        <x:v>Configuration boundary</x:v>
      </x:c>
      <x:c r="O20" s="9" t="str">
        <x:v>Configuration boundary</x:v>
      </x:c>
      <x:c r="P20" s="9" t="str">
        <x:v>Configuration boundary</x:v>
      </x:c>
      <x:c r="Q20" s="10" t="str">
        <x:v>Configuration boundary</x:v>
      </x:c>
    </x:row>
    <x:row r="21" ht="18" customHeight="1">
      <x:c r="B21" s="2" t="str">
        <x:v>Values allocate prototype acceptance burden; they do not establish physical performance or production form.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</x:row>
    <x:row r="22" ht="18" customHeight="1">
      <x:c r="B22" s="2" t="str">
        <x:v>Pressure skin and internal modules remain included in host carrier-node mass; the article bank is a custody count, not additive vehicle payload.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</x:row>
    <x:row r="23" ht="18" customHeight="1">
      <x:c r="B23" s="2" t="str">
        <x:v>Article-ready month is the latest accepted campaign lot release, not design completion.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</x:row>
    <x:row r="24" ht="18" customHeight="1">
      <x:c r="B24" s="2" t="str">
        <x:v>Every serial change after release reopens the affected acceptance record and dependent campaign.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</x:row>
  </x:sheetData>
  <x:mergeCells>
    <x:mergeCell ref="B3:Q3"/>
    <x:mergeCell ref="B20:Q20"/>
  </x:mergeCells>
  <x:conditionalFormatting sqref="Q7:Q17">
    <x:cfRule type="containsText" dxfId="0" priority="1" operator="containsText" text="OPEN"/>
    <x:cfRule type="containsText" dxfId="1" priority="2" operator="containsText" text="HOLD"/>
    <x:cfRule type="containsText" dxfId="2" priority="3" operator="containsText" text="BLOCKED"/>
    <x:cfRule type="containsText" dxfId="3" priority="4" operator="containsText" text="DRAFT"/>
    <x:cfRule type="containsText" dxfId="4" priority="5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25" hidden="0" customWidth="1"/>
    <x:col min="4" max="4" width="3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6" hidden="0" customWidth="1"/>
    <x:col min="14" max="14" width="12" hidden="0" customWidth="1"/>
  </x:cols>
  <x:sheetData>
    <x:row r="2" ht="18" customHeight="1">
      <x:c r="B2" s="3" t="str">
        <x:v>Physical allocation build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" customHeight="1">
      <x:c r="B3" s="4" t="str">
        <x:v>Five technical functions consume 85 percent of each envelope; integration and growth reserves remain explicit rather than assigned optimistically.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8" customHeight="1">
      <x:c r="B6" s="25" t="str">
        <x:v>Family</x:v>
      </x:c>
      <x:c r="C6" s="26" t="str">
        <x:v>Subsystem</x:v>
      </x:c>
      <x:c r="D6" s="26" t="str">
        <x:v>Function</x:v>
      </x:c>
      <x:c r="E6" s="26" t="str">
        <x:v>Share</x:v>
      </x:c>
      <x:c r="F6" s="26" t="str">
        <x:v>Mass kg</x:v>
      </x:c>
      <x:c r="G6" s="26" t="str">
        <x:v>Volume m3</x:v>
      </x:c>
      <x:c r="H6" s="26" t="str">
        <x:v>Average W</x:v>
      </x:c>
      <x:c r="I6" s="26" t="str">
        <x:v>Peak W</x:v>
      </x:c>
      <x:c r="J6" s="26" t="str">
        <x:v>Storage TB</x:v>
      </x:c>
      <x:c r="K6" s="26" t="str">
        <x:v>Energy kWh</x:v>
      </x:c>
      <x:c r="L6" s="26" t="str">
        <x:v>Heat kW</x:v>
      </x:c>
      <x:c r="M6" s="26" t="str">
        <x:v>Allocation type</x:v>
      </x:c>
      <x:c r="N6" s="26" t="str">
        <x:v>State</x:v>
      </x:c>
    </x:row>
    <x:row r="7" ht="24" customHeight="1">
      <x:c r="B7" s="27" t="str">
        <x:v>ATC-A01</x:v>
      </x:c>
      <x:c r="C7" s="27" t="str">
        <x:v>Air tile cassette</x:v>
      </x:c>
      <x:c r="D7" s="27" t="str">
        <x:v>sensing or physical burden</x:v>
      </x:c>
      <x:c r="E7" s="35" t="n">
        <x:v>0.25</x:v>
      </x:c>
      <x:c r="F7" s="35" t="n">
        <x:f>'Article Baselines'!E7*E7</x:f>
        <x:v>27.5</x:v>
      </x:c>
      <x:c r="G7" s="35" t="n">
        <x:f>'Article Baselines'!F7*E7</x:f>
        <x:v>0.055</x:v>
      </x:c>
      <x:c r="H7" s="35" t="n">
        <x:f>'Article Baselines'!G7*E7</x:f>
        <x:v>13.75</x:v>
      </x:c>
      <x:c r="I7" s="35" t="n">
        <x:f>'Article Baselines'!H7*E7</x:f>
        <x:v>45</x:v>
      </x:c>
      <x:c r="J7" s="35" t="n">
        <x:f>'Article Baselines'!I7*0</x:f>
        <x:v>0</x:v>
      </x:c>
      <x:c r="K7" s="35" t="n">
        <x:f>'Article Baselines'!J7*0</x:f>
        <x:v>0</x:v>
      </x:c>
      <x:c r="L7" s="35" t="n">
        <x:f>'Article Baselines'!K7*E7</x:f>
        <x:v>0.054</x:v>
      </x:c>
      <x:c r="M7" s="27" t="str">
        <x:v>technical</x:v>
      </x:c>
      <x:c r="N7" s="29" t="str">
        <x:v>OPEN</x:v>
      </x:c>
    </x:row>
    <x:row r="8" ht="24" customHeight="1">
      <x:c r="B8" s="27" t="str">
        <x:v>ATC-A01</x:v>
      </x:c>
      <x:c r="C8" s="27" t="str">
        <x:v>Air tile cassette</x:v>
      </x:c>
      <x:c r="D8" s="27" t="str">
        <x:v>acquisition and evidence compute</x:v>
      </x:c>
      <x:c r="E8" s="35" t="n">
        <x:v>0.15</x:v>
      </x:c>
      <x:c r="F8" s="35" t="n">
        <x:f>'Article Baselines'!E7*E8</x:f>
        <x:v>16.5</x:v>
      </x:c>
      <x:c r="G8" s="35" t="n">
        <x:f>'Article Baselines'!F7*E8</x:f>
        <x:v>0.033</x:v>
      </x:c>
      <x:c r="H8" s="35" t="n">
        <x:f>'Article Baselines'!G7*E8</x:f>
        <x:v>8.25</x:v>
      </x:c>
      <x:c r="I8" s="35" t="n">
        <x:f>'Article Baselines'!H7*E8</x:f>
        <x:v>27</x:v>
      </x:c>
      <x:c r="J8" s="35" t="n">
        <x:f>'Article Baselines'!I7*0</x:f>
        <x:v>0</x:v>
      </x:c>
      <x:c r="K8" s="35" t="n">
        <x:f>'Article Baselines'!J7*0</x:f>
        <x:v>0</x:v>
      </x:c>
      <x:c r="L8" s="35" t="n">
        <x:f>'Article Baselines'!K7*E8</x:f>
        <x:v>0.0324</x:v>
      </x:c>
      <x:c r="M8" s="27" t="str">
        <x:v>technical</x:v>
      </x:c>
      <x:c r="N8" s="29" t="str">
        <x:v>OPEN</x:v>
      </x:c>
    </x:row>
    <x:row r="9" ht="24" customHeight="1">
      <x:c r="B9" s="27" t="str">
        <x:v>ATC-A01</x:v>
      </x:c>
      <x:c r="C9" s="27" t="str">
        <x:v>Air tile cassette</x:v>
      </x:c>
      <x:c r="D9" s="27" t="str">
        <x:v>independent energy</x:v>
      </x:c>
      <x:c r="E9" s="35" t="n">
        <x:v>0.18</x:v>
      </x:c>
      <x:c r="F9" s="35" t="n">
        <x:f>'Article Baselines'!E7*E9</x:f>
        <x:v>19.8</x:v>
      </x:c>
      <x:c r="G9" s="35" t="n">
        <x:f>'Article Baselines'!F7*E9</x:f>
        <x:v>0.039599999999999996</x:v>
      </x:c>
      <x:c r="H9" s="35" t="n">
        <x:f>'Article Baselines'!G7*E9</x:f>
        <x:v>9.9</x:v>
      </x:c>
      <x:c r="I9" s="35" t="n">
        <x:f>'Article Baselines'!H7*E9</x:f>
        <x:v>32.4</x:v>
      </x:c>
      <x:c r="J9" s="35" t="n">
        <x:f>'Article Baselines'!I7*0</x:f>
        <x:v>0</x:v>
      </x:c>
      <x:c r="K9" s="35" t="n">
        <x:f>'Article Baselines'!J7*1</x:f>
        <x:v>11.55</x:v>
      </x:c>
      <x:c r="L9" s="35" t="n">
        <x:f>'Article Baselines'!K7*E9</x:f>
        <x:v>0.03888</x:v>
      </x:c>
      <x:c r="M9" s="27" t="str">
        <x:v>technical</x:v>
      </x:c>
      <x:c r="N9" s="29" t="str">
        <x:v>OPEN</x:v>
      </x:c>
    </x:row>
    <x:row r="10" ht="24" customHeight="1">
      <x:c r="B10" s="27" t="str">
        <x:v>ATC-A01</x:v>
      </x:c>
      <x:c r="C10" s="27" t="str">
        <x:v>Air tile cassette</x:v>
      </x:c>
      <x:c r="D10" s="27" t="str">
        <x:v>storage and denied time</x:v>
      </x:c>
      <x:c r="E10" s="35" t="n">
        <x:v>0.12</x:v>
      </x:c>
      <x:c r="F10" s="35" t="n">
        <x:f>'Article Baselines'!E7*E10</x:f>
        <x:v>13.2</x:v>
      </x:c>
      <x:c r="G10" s="35" t="n">
        <x:f>'Article Baselines'!F7*E10</x:f>
        <x:v>0.0264</x:v>
      </x:c>
      <x:c r="H10" s="35" t="n">
        <x:f>'Article Baselines'!G7*E10</x:f>
        <x:v>6.6</x:v>
      </x:c>
      <x:c r="I10" s="35" t="n">
        <x:f>'Article Baselines'!H7*E10</x:f>
        <x:v>21.599999999999998</x:v>
      </x:c>
      <x:c r="J10" s="35" t="n">
        <x:f>'Article Baselines'!I7*1</x:f>
        <x:v>8</x:v>
      </x:c>
      <x:c r="K10" s="35" t="n">
        <x:f>'Article Baselines'!J7*0</x:f>
        <x:v>0</x:v>
      </x:c>
      <x:c r="L10" s="35" t="n">
        <x:f>'Article Baselines'!K7*E10</x:f>
        <x:v>0.02592</x:v>
      </x:c>
      <x:c r="M10" s="27" t="str">
        <x:v>technical</x:v>
      </x:c>
      <x:c r="N10" s="29" t="str">
        <x:v>OPEN</x:v>
      </x:c>
    </x:row>
    <x:row r="11" ht="24" customHeight="1">
      <x:c r="B11" s="27" t="str">
        <x:v>ATC-A01</x:v>
      </x:c>
      <x:c r="C11" s="27" t="str">
        <x:v>Air tile cassette</x:v>
      </x:c>
      <x:c r="D11" s="27" t="str">
        <x:v>enclosure isolation and calibration</x:v>
      </x:c>
      <x:c r="E11" s="35" t="n">
        <x:v>0.15</x:v>
      </x:c>
      <x:c r="F11" s="35" t="n">
        <x:f>'Article Baselines'!E7*E11</x:f>
        <x:v>16.5</x:v>
      </x:c>
      <x:c r="G11" s="35" t="n">
        <x:f>'Article Baselines'!F7*E11</x:f>
        <x:v>0.033</x:v>
      </x:c>
      <x:c r="H11" s="35" t="n">
        <x:f>'Article Baselines'!G7*E11</x:f>
        <x:v>8.25</x:v>
      </x:c>
      <x:c r="I11" s="35" t="n">
        <x:f>'Article Baselines'!H7*E11</x:f>
        <x:v>27</x:v>
      </x:c>
      <x:c r="J11" s="35" t="n">
        <x:f>'Article Baselines'!I7*0</x:f>
        <x:v>0</x:v>
      </x:c>
      <x:c r="K11" s="35" t="n">
        <x:f>'Article Baselines'!J7*0</x:f>
        <x:v>0</x:v>
      </x:c>
      <x:c r="L11" s="35" t="n">
        <x:f>'Article Baselines'!K7*E11</x:f>
        <x:v>0.0324</x:v>
      </x:c>
      <x:c r="M11" s="27" t="str">
        <x:v>technical</x:v>
      </x:c>
      <x:c r="N11" s="29" t="str">
        <x:v>OPEN</x:v>
      </x:c>
    </x:row>
    <x:row r="12" ht="24" customHeight="1">
      <x:c r="B12" s="27" t="str">
        <x:v>ATC-A01</x:v>
      </x:c>
      <x:c r="C12" s="27" t="str">
        <x:v>Air tile cassette</x:v>
      </x:c>
      <x:c r="D12" s="27" t="str">
        <x:v>integration reserve</x:v>
      </x:c>
      <x:c r="E12" s="35" t="n">
        <x:v>0.1</x:v>
      </x:c>
      <x:c r="F12" s="35" t="n">
        <x:f>'Article Baselines'!E7*E12</x:f>
        <x:v>11</x:v>
      </x:c>
      <x:c r="G12" s="35" t="n">
        <x:f>'Article Baselines'!F7*E12</x:f>
        <x:v>0.022000000000000002</x:v>
      </x:c>
      <x:c r="H12" s="35" t="n">
        <x:f>'Article Baselines'!G7*E12</x:f>
        <x:v>5.5</x:v>
      </x:c>
      <x:c r="I12" s="35" t="n">
        <x:f>'Article Baselines'!H7*E12</x:f>
        <x:v>18</x:v>
      </x:c>
      <x:c r="J12" s="35" t="n">
        <x:f>'Article Baselines'!I7*0</x:f>
        <x:v>0</x:v>
      </x:c>
      <x:c r="K12" s="35" t="n">
        <x:f>'Article Baselines'!J7*0</x:f>
        <x:v>0</x:v>
      </x:c>
      <x:c r="L12" s="35" t="n">
        <x:f>'Article Baselines'!K7*E12</x:f>
        <x:v>0.0216</x:v>
      </x:c>
      <x:c r="M12" s="27" t="str">
        <x:v>reserve</x:v>
      </x:c>
      <x:c r="N12" s="29" t="str">
        <x:v>OPEN</x:v>
      </x:c>
    </x:row>
    <x:row r="13" ht="24" customHeight="1">
      <x:c r="B13" s="27" t="str">
        <x:v>ATC-A01</x:v>
      </x:c>
      <x:c r="C13" s="27" t="str">
        <x:v>Air tile cassette</x:v>
      </x:c>
      <x:c r="D13" s="27" t="str">
        <x:v>growth reserve</x:v>
      </x:c>
      <x:c r="E13" s="35" t="n">
        <x:v>0.05</x:v>
      </x:c>
      <x:c r="F13" s="35" t="n">
        <x:f>'Article Baselines'!E7*E13</x:f>
        <x:v>5.5</x:v>
      </x:c>
      <x:c r="G13" s="35" t="n">
        <x:f>'Article Baselines'!F7*E13</x:f>
        <x:v>0.011000000000000001</x:v>
      </x:c>
      <x:c r="H13" s="35" t="n">
        <x:f>'Article Baselines'!G7*E13</x:f>
        <x:v>2.75</x:v>
      </x:c>
      <x:c r="I13" s="35" t="n">
        <x:f>'Article Baselines'!H7*E13</x:f>
        <x:v>9</x:v>
      </x:c>
      <x:c r="J13" s="35" t="n">
        <x:f>'Article Baselines'!I7*0</x:f>
        <x:v>0</x:v>
      </x:c>
      <x:c r="K13" s="35" t="n">
        <x:f>'Article Baselines'!J7*0</x:f>
        <x:v>0</x:v>
      </x:c>
      <x:c r="L13" s="35" t="n">
        <x:f>'Article Baselines'!K7*E13</x:f>
        <x:v>0.0108</x:v>
      </x:c>
      <x:c r="M13" s="27" t="str">
        <x:v>reserve</x:v>
      </x:c>
      <x:c r="N13" s="29" t="str">
        <x:v>OPEN</x:v>
      </x:c>
    </x:row>
    <x:row r="14" ht="24" customHeight="1">
      <x:c r="B14" s="27" t="str">
        <x:v>TTC-T01</x:v>
      </x:c>
      <x:c r="C14" s="27" t="str">
        <x:v>Terrain tile cassette</x:v>
      </x:c>
      <x:c r="D14" s="27" t="str">
        <x:v>sensing or physical burden</x:v>
      </x:c>
      <x:c r="E14" s="35" t="n">
        <x:v>0.28</x:v>
      </x:c>
      <x:c r="F14" s="35" t="n">
        <x:f>'Article Baselines'!E8*E14</x:f>
        <x:v>37.800000000000004</x:v>
      </x:c>
      <x:c r="G14" s="35" t="n">
        <x:f>'Article Baselines'!F8*E14</x:f>
        <x:v>0.07840000000000001</x:v>
      </x:c>
      <x:c r="H14" s="35" t="n">
        <x:f>'Article Baselines'!G8*E14</x:f>
        <x:v>18.200000000000003</x:v>
      </x:c>
      <x:c r="I14" s="35" t="n">
        <x:f>'Article Baselines'!H8*E14</x:f>
        <x:v>61.60000000000001</x:v>
      </x:c>
      <x:c r="J14" s="35" t="n">
        <x:f>'Article Baselines'!I8*0</x:f>
        <x:v>0</x:v>
      </x:c>
      <x:c r="K14" s="35" t="n">
        <x:f>'Article Baselines'!J8*0</x:f>
        <x:v>0</x:v>
      </x:c>
      <x:c r="L14" s="35" t="n">
        <x:f>'Article Baselines'!K8*E14</x:f>
        <x:v>0.07392000000000001</x:v>
      </x:c>
      <x:c r="M14" s="27" t="str">
        <x:v>technical</x:v>
      </x:c>
      <x:c r="N14" s="29" t="str">
        <x:v>OPEN</x:v>
      </x:c>
    </x:row>
    <x:row r="15" ht="24" customHeight="1">
      <x:c r="B15" s="27" t="str">
        <x:v>TTC-T01</x:v>
      </x:c>
      <x:c r="C15" s="27" t="str">
        <x:v>Terrain tile cassette</x:v>
      </x:c>
      <x:c r="D15" s="27" t="str">
        <x:v>acquisition and evidence compute</x:v>
      </x:c>
      <x:c r="E15" s="35" t="n">
        <x:v>0.14</x:v>
      </x:c>
      <x:c r="F15" s="35" t="n">
        <x:f>'Article Baselines'!E8*E15</x:f>
        <x:v>18.900000000000002</x:v>
      </x:c>
      <x:c r="G15" s="35" t="n">
        <x:f>'Article Baselines'!F8*E15</x:f>
        <x:v>0.039200000000000006</x:v>
      </x:c>
      <x:c r="H15" s="35" t="n">
        <x:f>'Article Baselines'!G8*E15</x:f>
        <x:v>9.100000000000001</x:v>
      </x:c>
      <x:c r="I15" s="35" t="n">
        <x:f>'Article Baselines'!H8*E15</x:f>
        <x:v>30.800000000000004</x:v>
      </x:c>
      <x:c r="J15" s="35" t="n">
        <x:f>'Article Baselines'!I8*0</x:f>
        <x:v>0</x:v>
      </x:c>
      <x:c r="K15" s="35" t="n">
        <x:f>'Article Baselines'!J8*0</x:f>
        <x:v>0</x:v>
      </x:c>
      <x:c r="L15" s="35" t="n">
        <x:f>'Article Baselines'!K8*E15</x:f>
        <x:v>0.03696000000000001</x:v>
      </x:c>
      <x:c r="M15" s="27" t="str">
        <x:v>technical</x:v>
      </x:c>
      <x:c r="N15" s="29" t="str">
        <x:v>OPEN</x:v>
      </x:c>
    </x:row>
    <x:row r="16" ht="24" customHeight="1">
      <x:c r="B16" s="27" t="str">
        <x:v>TTC-T01</x:v>
      </x:c>
      <x:c r="C16" s="27" t="str">
        <x:v>Terrain tile cassette</x:v>
      </x:c>
      <x:c r="D16" s="27" t="str">
        <x:v>independent energy</x:v>
      </x:c>
      <x:c r="E16" s="35" t="n">
        <x:v>0.17</x:v>
      </x:c>
      <x:c r="F16" s="35" t="n">
        <x:f>'Article Baselines'!E8*E16</x:f>
        <x:v>22.950000000000003</x:v>
      </x:c>
      <x:c r="G16" s="35" t="n">
        <x:f>'Article Baselines'!F8*E16</x:f>
        <x:v>0.04760000000000001</x:v>
      </x:c>
      <x:c r="H16" s="35" t="n">
        <x:f>'Article Baselines'!G8*E16</x:f>
        <x:v>11.05</x:v>
      </x:c>
      <x:c r="I16" s="35" t="n">
        <x:f>'Article Baselines'!H8*E16</x:f>
        <x:v>37.400000000000006</x:v>
      </x:c>
      <x:c r="J16" s="35" t="n">
        <x:f>'Article Baselines'!I8*0</x:f>
        <x:v>0</x:v>
      </x:c>
      <x:c r="K16" s="35" t="n">
        <x:f>'Article Baselines'!J8*1</x:f>
        <x:v>13.65</x:v>
      </x:c>
      <x:c r="L16" s="35" t="n">
        <x:f>'Article Baselines'!K8*E16</x:f>
        <x:v>0.04488</x:v>
      </x:c>
      <x:c r="M16" s="27" t="str">
        <x:v>technical</x:v>
      </x:c>
      <x:c r="N16" s="29" t="str">
        <x:v>OPEN</x:v>
      </x:c>
    </x:row>
    <x:row r="17" ht="24" customHeight="1">
      <x:c r="B17" s="27" t="str">
        <x:v>TTC-T01</x:v>
      </x:c>
      <x:c r="C17" s="27" t="str">
        <x:v>Terrain tile cassette</x:v>
      </x:c>
      <x:c r="D17" s="27" t="str">
        <x:v>storage and denied time</x:v>
      </x:c>
      <x:c r="E17" s="35" t="n">
        <x:v>0.11</x:v>
      </x:c>
      <x:c r="F17" s="35" t="n">
        <x:f>'Article Baselines'!E8*E17</x:f>
        <x:v>14.85</x:v>
      </x:c>
      <x:c r="G17" s="35" t="n">
        <x:f>'Article Baselines'!F8*E17</x:f>
        <x:v>0.030800000000000004</x:v>
      </x:c>
      <x:c r="H17" s="35" t="n">
        <x:f>'Article Baselines'!G8*E17</x:f>
        <x:v>7.15</x:v>
      </x:c>
      <x:c r="I17" s="35" t="n">
        <x:f>'Article Baselines'!H8*E17</x:f>
        <x:v>24.2</x:v>
      </x:c>
      <x:c r="J17" s="35" t="n">
        <x:f>'Article Baselines'!I8*1</x:f>
        <x:v>8</x:v>
      </x:c>
      <x:c r="K17" s="35" t="n">
        <x:f>'Article Baselines'!J8*0</x:f>
        <x:v>0</x:v>
      </x:c>
      <x:c r="L17" s="35" t="n">
        <x:f>'Article Baselines'!K8*E17</x:f>
        <x:v>0.02904</x:v>
      </x:c>
      <x:c r="M17" s="27" t="str">
        <x:v>technical</x:v>
      </x:c>
      <x:c r="N17" s="29" t="str">
        <x:v>OPEN</x:v>
      </x:c>
    </x:row>
    <x:row r="18" ht="24" customHeight="1">
      <x:c r="B18" s="27" t="str">
        <x:v>TTC-T01</x:v>
      </x:c>
      <x:c r="C18" s="27" t="str">
        <x:v>Terrain tile cassette</x:v>
      </x:c>
      <x:c r="D18" s="27" t="str">
        <x:v>enclosure isolation and calibration</x:v>
      </x:c>
      <x:c r="E18" s="35" t="n">
        <x:v>0.15</x:v>
      </x:c>
      <x:c r="F18" s="35" t="n">
        <x:f>'Article Baselines'!E8*E18</x:f>
        <x:v>20.25</x:v>
      </x:c>
      <x:c r="G18" s="35" t="n">
        <x:f>'Article Baselines'!F8*E18</x:f>
        <x:v>0.042</x:v>
      </x:c>
      <x:c r="H18" s="35" t="n">
        <x:f>'Article Baselines'!G8*E18</x:f>
        <x:v>9.75</x:v>
      </x:c>
      <x:c r="I18" s="35" t="n">
        <x:f>'Article Baselines'!H8*E18</x:f>
        <x:v>33</x:v>
      </x:c>
      <x:c r="J18" s="35" t="n">
        <x:f>'Article Baselines'!I8*0</x:f>
        <x:v>0</x:v>
      </x:c>
      <x:c r="K18" s="35" t="n">
        <x:f>'Article Baselines'!J8*0</x:f>
        <x:v>0</x:v>
      </x:c>
      <x:c r="L18" s="35" t="n">
        <x:f>'Article Baselines'!K8*E18</x:f>
        <x:v>0.0396</x:v>
      </x:c>
      <x:c r="M18" s="27" t="str">
        <x:v>technical</x:v>
      </x:c>
      <x:c r="N18" s="29" t="str">
        <x:v>OPEN</x:v>
      </x:c>
    </x:row>
    <x:row r="19" ht="24" customHeight="1">
      <x:c r="B19" s="27" t="str">
        <x:v>TTC-T01</x:v>
      </x:c>
      <x:c r="C19" s="27" t="str">
        <x:v>Terrain tile cassette</x:v>
      </x:c>
      <x:c r="D19" s="27" t="str">
        <x:v>integration reserve</x:v>
      </x:c>
      <x:c r="E19" s="35" t="n">
        <x:v>0.1</x:v>
      </x:c>
      <x:c r="F19" s="35" t="n">
        <x:f>'Article Baselines'!E8*E19</x:f>
        <x:v>13.5</x:v>
      </x:c>
      <x:c r="G19" s="35" t="n">
        <x:f>'Article Baselines'!F8*E19</x:f>
        <x:v>0.028000000000000004</x:v>
      </x:c>
      <x:c r="H19" s="35" t="n">
        <x:f>'Article Baselines'!G8*E19</x:f>
        <x:v>6.5</x:v>
      </x:c>
      <x:c r="I19" s="35" t="n">
        <x:f>'Article Baselines'!H8*E19</x:f>
        <x:v>22</x:v>
      </x:c>
      <x:c r="J19" s="35" t="n">
        <x:f>'Article Baselines'!I8*0</x:f>
        <x:v>0</x:v>
      </x:c>
      <x:c r="K19" s="35" t="n">
        <x:f>'Article Baselines'!J8*0</x:f>
        <x:v>0</x:v>
      </x:c>
      <x:c r="L19" s="35" t="n">
        <x:f>'Article Baselines'!K8*E19</x:f>
        <x:v>0.026400000000000003</x:v>
      </x:c>
      <x:c r="M19" s="27" t="str">
        <x:v>reserve</x:v>
      </x:c>
      <x:c r="N19" s="29" t="str">
        <x:v>OPEN</x:v>
      </x:c>
    </x:row>
    <x:row r="20" ht="24" customHeight="1">
      <x:c r="B20" s="27" t="str">
        <x:v>TTC-T01</x:v>
      </x:c>
      <x:c r="C20" s="27" t="str">
        <x:v>Terrain tile cassette</x:v>
      </x:c>
      <x:c r="D20" s="27" t="str">
        <x:v>growth reserve</x:v>
      </x:c>
      <x:c r="E20" s="35" t="n">
        <x:v>0.05</x:v>
      </x:c>
      <x:c r="F20" s="35" t="n">
        <x:f>'Article Baselines'!E8*E20</x:f>
        <x:v>6.75</x:v>
      </x:c>
      <x:c r="G20" s="35" t="n">
        <x:f>'Article Baselines'!F8*E20</x:f>
        <x:v>0.014000000000000002</x:v>
      </x:c>
      <x:c r="H20" s="35" t="n">
        <x:f>'Article Baselines'!G8*E20</x:f>
        <x:v>3.25</x:v>
      </x:c>
      <x:c r="I20" s="35" t="n">
        <x:f>'Article Baselines'!H8*E20</x:f>
        <x:v>11</x:v>
      </x:c>
      <x:c r="J20" s="35" t="n">
        <x:f>'Article Baselines'!I8*0</x:f>
        <x:v>0</x:v>
      </x:c>
      <x:c r="K20" s="35" t="n">
        <x:f>'Article Baselines'!J8*0</x:f>
        <x:v>0</x:v>
      </x:c>
      <x:c r="L20" s="35" t="n">
        <x:f>'Article Baselines'!K8*E20</x:f>
        <x:v>0.013200000000000002</x:v>
      </x:c>
      <x:c r="M20" s="27" t="str">
        <x:v>reserve</x:v>
      </x:c>
      <x:c r="N20" s="29" t="str">
        <x:v>OPEN</x:v>
      </x:c>
    </x:row>
    <x:row r="21" ht="24" customHeight="1">
      <x:c r="B21" s="27" t="str">
        <x:v>ACN-A01</x:v>
      </x:c>
      <x:c r="C21" s="27" t="str">
        <x:v>Air carrier node</x:v>
      </x:c>
      <x:c r="D21" s="27" t="str">
        <x:v>sensing or physical burden</x:v>
      </x:c>
      <x:c r="E21" s="35" t="n">
        <x:v>0.24</x:v>
      </x:c>
      <x:c r="F21" s="35" t="n">
        <x:f>'Article Baselines'!E9*E21</x:f>
        <x:v>288</x:v>
      </x:c>
      <x:c r="G21" s="35" t="n">
        <x:f>'Article Baselines'!F9*E21</x:f>
        <x:v>0.6719999999999999</x:v>
      </x:c>
      <x:c r="H21" s="35" t="n">
        <x:f>'Article Baselines'!G9*E21</x:f>
        <x:v>192</x:v>
      </x:c>
      <x:c r="I21" s="35" t="n">
        <x:f>'Article Baselines'!H9*E21</x:f>
        <x:v>528</x:v>
      </x:c>
      <x:c r="J21" s="35" t="n">
        <x:f>'Article Baselines'!I9*0</x:f>
        <x:v>0</x:v>
      </x:c>
      <x:c r="K21" s="35" t="n">
        <x:f>'Article Baselines'!J9*0</x:f>
        <x:v>0</x:v>
      </x:c>
      <x:c r="L21" s="35" t="n">
        <x:f>'Article Baselines'!K9*E21</x:f>
        <x:v>0.6336</x:v>
      </x:c>
      <x:c r="M21" s="27" t="str">
        <x:v>technical</x:v>
      </x:c>
      <x:c r="N21" s="29" t="str">
        <x:v>OPEN</x:v>
      </x:c>
    </x:row>
    <x:row r="22" ht="24" customHeight="1">
      <x:c r="B22" s="27" t="str">
        <x:v>ACN-A01</x:v>
      </x:c>
      <x:c r="C22" s="27" t="str">
        <x:v>Air carrier node</x:v>
      </x:c>
      <x:c r="D22" s="27" t="str">
        <x:v>acquisition and evidence compute</x:v>
      </x:c>
      <x:c r="E22" s="35" t="n">
        <x:v>0.18</x:v>
      </x:c>
      <x:c r="F22" s="35" t="n">
        <x:f>'Article Baselines'!E9*E22</x:f>
        <x:v>216</x:v>
      </x:c>
      <x:c r="G22" s="35" t="n">
        <x:f>'Article Baselines'!F9*E22</x:f>
        <x:v>0.504</x:v>
      </x:c>
      <x:c r="H22" s="35" t="n">
        <x:f>'Article Baselines'!G9*E22</x:f>
        <x:v>144</x:v>
      </x:c>
      <x:c r="I22" s="35" t="n">
        <x:f>'Article Baselines'!H9*E22</x:f>
        <x:v>396</x:v>
      </x:c>
      <x:c r="J22" s="35" t="n">
        <x:f>'Article Baselines'!I9*0</x:f>
        <x:v>0</x:v>
      </x:c>
      <x:c r="K22" s="35" t="n">
        <x:f>'Article Baselines'!J9*0</x:f>
        <x:v>0</x:v>
      </x:c>
      <x:c r="L22" s="35" t="n">
        <x:f>'Article Baselines'!K9*E22</x:f>
        <x:v>0.4752</x:v>
      </x:c>
      <x:c r="M22" s="27" t="str">
        <x:v>technical</x:v>
      </x:c>
      <x:c r="N22" s="29" t="str">
        <x:v>OPEN</x:v>
      </x:c>
    </x:row>
    <x:row r="23" ht="24" customHeight="1">
      <x:c r="B23" s="27" t="str">
        <x:v>ACN-A01</x:v>
      </x:c>
      <x:c r="C23" s="27" t="str">
        <x:v>Air carrier node</x:v>
      </x:c>
      <x:c r="D23" s="27" t="str">
        <x:v>independent energy</x:v>
      </x:c>
      <x:c r="E23" s="35" t="n">
        <x:v>0.15</x:v>
      </x:c>
      <x:c r="F23" s="35" t="n">
        <x:f>'Article Baselines'!E9*E23</x:f>
        <x:v>180</x:v>
      </x:c>
      <x:c r="G23" s="35" t="n">
        <x:f>'Article Baselines'!F9*E23</x:f>
        <x:v>0.42</x:v>
      </x:c>
      <x:c r="H23" s="35" t="n">
        <x:f>'Article Baselines'!G9*E23</x:f>
        <x:v>120</x:v>
      </x:c>
      <x:c r="I23" s="35" t="n">
        <x:f>'Article Baselines'!H9*E23</x:f>
        <x:v>330</x:v>
      </x:c>
      <x:c r="J23" s="35" t="n">
        <x:f>'Article Baselines'!I9*0</x:f>
        <x:v>0</x:v>
      </x:c>
      <x:c r="K23" s="35" t="n">
        <x:f>'Article Baselines'!J9*1</x:f>
        <x:v>168</x:v>
      </x:c>
      <x:c r="L23" s="35" t="n">
        <x:f>'Article Baselines'!K9*E23</x:f>
        <x:v>0.396</x:v>
      </x:c>
      <x:c r="M23" s="27" t="str">
        <x:v>technical</x:v>
      </x:c>
      <x:c r="N23" s="29" t="str">
        <x:v>OPEN</x:v>
      </x:c>
    </x:row>
    <x:row r="24" ht="24" customHeight="1">
      <x:c r="B24" s="27" t="str">
        <x:v>ACN-A01</x:v>
      </x:c>
      <x:c r="C24" s="27" t="str">
        <x:v>Air carrier node</x:v>
      </x:c>
      <x:c r="D24" s="27" t="str">
        <x:v>storage and denied time</x:v>
      </x:c>
      <x:c r="E24" s="35" t="n">
        <x:v>0.1</x:v>
      </x:c>
      <x:c r="F24" s="35" t="n">
        <x:f>'Article Baselines'!E9*E24</x:f>
        <x:v>120</x:v>
      </x:c>
      <x:c r="G24" s="35" t="n">
        <x:f>'Article Baselines'!F9*E24</x:f>
        <x:v>0.27999999999999997</x:v>
      </x:c>
      <x:c r="H24" s="35" t="n">
        <x:f>'Article Baselines'!G9*E24</x:f>
        <x:v>80</x:v>
      </x:c>
      <x:c r="I24" s="35" t="n">
        <x:f>'Article Baselines'!H9*E24</x:f>
        <x:v>220</x:v>
      </x:c>
      <x:c r="J24" s="35" t="n">
        <x:f>'Article Baselines'!I9*1</x:f>
        <x:v>24</x:v>
      </x:c>
      <x:c r="K24" s="35" t="n">
        <x:f>'Article Baselines'!J9*0</x:f>
        <x:v>0</x:v>
      </x:c>
      <x:c r="L24" s="35" t="n">
        <x:f>'Article Baselines'!K9*E24</x:f>
        <x:v>0.264</x:v>
      </x:c>
      <x:c r="M24" s="27" t="str">
        <x:v>technical</x:v>
      </x:c>
      <x:c r="N24" s="29" t="str">
        <x:v>OPEN</x:v>
      </x:c>
    </x:row>
    <x:row r="25" ht="24" customHeight="1">
      <x:c r="B25" s="27" t="str">
        <x:v>ACN-A01</x:v>
      </x:c>
      <x:c r="C25" s="27" t="str">
        <x:v>Air carrier node</x:v>
      </x:c>
      <x:c r="D25" s="27" t="str">
        <x:v>enclosure isolation and calibration</x:v>
      </x:c>
      <x:c r="E25" s="35" t="n">
        <x:v>0.18</x:v>
      </x:c>
      <x:c r="F25" s="35" t="n">
        <x:f>'Article Baselines'!E9*E25</x:f>
        <x:v>216</x:v>
      </x:c>
      <x:c r="G25" s="35" t="n">
        <x:f>'Article Baselines'!F9*E25</x:f>
        <x:v>0.504</x:v>
      </x:c>
      <x:c r="H25" s="35" t="n">
        <x:f>'Article Baselines'!G9*E25</x:f>
        <x:v>144</x:v>
      </x:c>
      <x:c r="I25" s="35" t="n">
        <x:f>'Article Baselines'!H9*E25</x:f>
        <x:v>396</x:v>
      </x:c>
      <x:c r="J25" s="35" t="n">
        <x:f>'Article Baselines'!I9*0</x:f>
        <x:v>0</x:v>
      </x:c>
      <x:c r="K25" s="35" t="n">
        <x:f>'Article Baselines'!J9*0</x:f>
        <x:v>0</x:v>
      </x:c>
      <x:c r="L25" s="35" t="n">
        <x:f>'Article Baselines'!K9*E25</x:f>
        <x:v>0.4752</x:v>
      </x:c>
      <x:c r="M25" s="27" t="str">
        <x:v>technical</x:v>
      </x:c>
      <x:c r="N25" s="29" t="str">
        <x:v>OPEN</x:v>
      </x:c>
    </x:row>
    <x:row r="26" ht="24" customHeight="1">
      <x:c r="B26" s="27" t="str">
        <x:v>ACN-A01</x:v>
      </x:c>
      <x:c r="C26" s="27" t="str">
        <x:v>Air carrier node</x:v>
      </x:c>
      <x:c r="D26" s="27" t="str">
        <x:v>integration reserve</x:v>
      </x:c>
      <x:c r="E26" s="35" t="n">
        <x:v>0.1</x:v>
      </x:c>
      <x:c r="F26" s="35" t="n">
        <x:f>'Article Baselines'!E9*E26</x:f>
        <x:v>120</x:v>
      </x:c>
      <x:c r="G26" s="35" t="n">
        <x:f>'Article Baselines'!F9*E26</x:f>
        <x:v>0.27999999999999997</x:v>
      </x:c>
      <x:c r="H26" s="35" t="n">
        <x:f>'Article Baselines'!G9*E26</x:f>
        <x:v>80</x:v>
      </x:c>
      <x:c r="I26" s="35" t="n">
        <x:f>'Article Baselines'!H9*E26</x:f>
        <x:v>220</x:v>
      </x:c>
      <x:c r="J26" s="35" t="n">
        <x:f>'Article Baselines'!I9*0</x:f>
        <x:v>0</x:v>
      </x:c>
      <x:c r="K26" s="35" t="n">
        <x:f>'Article Baselines'!J9*0</x:f>
        <x:v>0</x:v>
      </x:c>
      <x:c r="L26" s="35" t="n">
        <x:f>'Article Baselines'!K9*E26</x:f>
        <x:v>0.264</x:v>
      </x:c>
      <x:c r="M26" s="27" t="str">
        <x:v>reserve</x:v>
      </x:c>
      <x:c r="N26" s="29" t="str">
        <x:v>OPEN</x:v>
      </x:c>
    </x:row>
    <x:row r="27" ht="24" customHeight="1">
      <x:c r="B27" s="27" t="str">
        <x:v>ACN-A01</x:v>
      </x:c>
      <x:c r="C27" s="27" t="str">
        <x:v>Air carrier node</x:v>
      </x:c>
      <x:c r="D27" s="27" t="str">
        <x:v>growth reserve</x:v>
      </x:c>
      <x:c r="E27" s="35" t="n">
        <x:v>0.05</x:v>
      </x:c>
      <x:c r="F27" s="35" t="n">
        <x:f>'Article Baselines'!E9*E27</x:f>
        <x:v>60</x:v>
      </x:c>
      <x:c r="G27" s="35" t="n">
        <x:f>'Article Baselines'!F9*E27</x:f>
        <x:v>0.13999999999999999</x:v>
      </x:c>
      <x:c r="H27" s="35" t="n">
        <x:f>'Article Baselines'!G9*E27</x:f>
        <x:v>40</x:v>
      </x:c>
      <x:c r="I27" s="35" t="n">
        <x:f>'Article Baselines'!H9*E27</x:f>
        <x:v>110</x:v>
      </x:c>
      <x:c r="J27" s="35" t="n">
        <x:f>'Article Baselines'!I9*0</x:f>
        <x:v>0</x:v>
      </x:c>
      <x:c r="K27" s="35" t="n">
        <x:f>'Article Baselines'!J9*0</x:f>
        <x:v>0</x:v>
      </x:c>
      <x:c r="L27" s="35" t="n">
        <x:f>'Article Baselines'!K9*E27</x:f>
        <x:v>0.132</x:v>
      </x:c>
      <x:c r="M27" s="27" t="str">
        <x:v>reserve</x:v>
      </x:c>
      <x:c r="N27" s="29" t="str">
        <x:v>OPEN</x:v>
      </x:c>
    </x:row>
    <x:row r="28" ht="24" customHeight="1">
      <x:c r="B28" s="27" t="str">
        <x:v>TCN-T01</x:v>
      </x:c>
      <x:c r="C28" s="27" t="str">
        <x:v>Terrain carrier node</x:v>
      </x:c>
      <x:c r="D28" s="27" t="str">
        <x:v>sensing or physical burden</x:v>
      </x:c>
      <x:c r="E28" s="35" t="n">
        <x:v>0.33</x:v>
      </x:c>
      <x:c r="F28" s="35" t="n">
        <x:f>'Article Baselines'!E10*E28</x:f>
        <x:v>858</x:v>
      </x:c>
      <x:c r="G28" s="35" t="n">
        <x:f>'Article Baselines'!F10*E28</x:f>
        <x:v>2.805</x:v>
      </x:c>
      <x:c r="H28" s="35" t="n">
        <x:f>'Article Baselines'!G10*E28</x:f>
        <x:v>198</x:v>
      </x:c>
      <x:c r="I28" s="35" t="n">
        <x:f>'Article Baselines'!H10*E28</x:f>
        <x:v>1155</x:v>
      </x:c>
      <x:c r="J28" s="35" t="n">
        <x:f>'Article Baselines'!I10*0</x:f>
        <x:v>0</x:v>
      </x:c>
      <x:c r="K28" s="35" t="n">
        <x:f>'Article Baselines'!J10*0</x:f>
        <x:v>0</x:v>
      </x:c>
      <x:c r="L28" s="35" t="n">
        <x:f>'Article Baselines'!K10*E28</x:f>
        <x:v>1.3860000000000001</x:v>
      </x:c>
      <x:c r="M28" s="27" t="str">
        <x:v>technical</x:v>
      </x:c>
      <x:c r="N28" s="29" t="str">
        <x:v>OPEN</x:v>
      </x:c>
    </x:row>
    <x:row r="29" ht="24" customHeight="1">
      <x:c r="B29" s="27" t="str">
        <x:v>TCN-T01</x:v>
      </x:c>
      <x:c r="C29" s="27" t="str">
        <x:v>Terrain carrier node</x:v>
      </x:c>
      <x:c r="D29" s="27" t="str">
        <x:v>acquisition and evidence compute</x:v>
      </x:c>
      <x:c r="E29" s="35" t="n">
        <x:v>0.14</x:v>
      </x:c>
      <x:c r="F29" s="35" t="n">
        <x:f>'Article Baselines'!E10*E29</x:f>
        <x:v>364.00000000000006</x:v>
      </x:c>
      <x:c r="G29" s="35" t="n">
        <x:f>'Article Baselines'!F10*E29</x:f>
        <x:v>1.1900000000000002</x:v>
      </x:c>
      <x:c r="H29" s="35" t="n">
        <x:f>'Article Baselines'!G10*E29</x:f>
        <x:v>84.00000000000001</x:v>
      </x:c>
      <x:c r="I29" s="35" t="n">
        <x:f>'Article Baselines'!H10*E29</x:f>
        <x:v>490.00000000000006</x:v>
      </x:c>
      <x:c r="J29" s="35" t="n">
        <x:f>'Article Baselines'!I10*0</x:f>
        <x:v>0</x:v>
      </x:c>
      <x:c r="K29" s="35" t="n">
        <x:f>'Article Baselines'!J10*0</x:f>
        <x:v>0</x:v>
      </x:c>
      <x:c r="L29" s="35" t="n">
        <x:f>'Article Baselines'!K10*E29</x:f>
        <x:v>0.5880000000000001</x:v>
      </x:c>
      <x:c r="M29" s="27" t="str">
        <x:v>technical</x:v>
      </x:c>
      <x:c r="N29" s="29" t="str">
        <x:v>OPEN</x:v>
      </x:c>
    </x:row>
    <x:row r="30" ht="24" customHeight="1">
      <x:c r="B30" s="27" t="str">
        <x:v>TCN-T01</x:v>
      </x:c>
      <x:c r="C30" s="27" t="str">
        <x:v>Terrain carrier node</x:v>
      </x:c>
      <x:c r="D30" s="27" t="str">
        <x:v>independent energy</x:v>
      </x:c>
      <x:c r="E30" s="35" t="n">
        <x:v>0.12</x:v>
      </x:c>
      <x:c r="F30" s="35" t="n">
        <x:f>'Article Baselines'!E10*E30</x:f>
        <x:v>312</x:v>
      </x:c>
      <x:c r="G30" s="35" t="n">
        <x:f>'Article Baselines'!F10*E30</x:f>
        <x:v>1.02</x:v>
      </x:c>
      <x:c r="H30" s="35" t="n">
        <x:f>'Article Baselines'!G10*E30</x:f>
        <x:v>72</x:v>
      </x:c>
      <x:c r="I30" s="35" t="n">
        <x:f>'Article Baselines'!H10*E30</x:f>
        <x:v>420</x:v>
      </x:c>
      <x:c r="J30" s="35" t="n">
        <x:f>'Article Baselines'!I10*0</x:f>
        <x:v>0</x:v>
      </x:c>
      <x:c r="K30" s="35" t="n">
        <x:f>'Article Baselines'!J10*1</x:f>
        <x:v>126</x:v>
      </x:c>
      <x:c r="L30" s="35" t="n">
        <x:f>'Article Baselines'!K10*E30</x:f>
        <x:v>0.504</x:v>
      </x:c>
      <x:c r="M30" s="27" t="str">
        <x:v>technical</x:v>
      </x:c>
      <x:c r="N30" s="29" t="str">
        <x:v>OPEN</x:v>
      </x:c>
    </x:row>
    <x:row r="31" ht="24" customHeight="1">
      <x:c r="B31" s="27" t="str">
        <x:v>TCN-T01</x:v>
      </x:c>
      <x:c r="C31" s="27" t="str">
        <x:v>Terrain carrier node</x:v>
      </x:c>
      <x:c r="D31" s="27" t="str">
        <x:v>storage and denied time</x:v>
      </x:c>
      <x:c r="E31" s="35" t="n">
        <x:v>0.08</x:v>
      </x:c>
      <x:c r="F31" s="35" t="n">
        <x:f>'Article Baselines'!E10*E31</x:f>
        <x:v>208</x:v>
      </x:c>
      <x:c r="G31" s="35" t="n">
        <x:f>'Article Baselines'!F10*E31</x:f>
        <x:v>0.68</x:v>
      </x:c>
      <x:c r="H31" s="35" t="n">
        <x:f>'Article Baselines'!G10*E31</x:f>
        <x:v>48</x:v>
      </x:c>
      <x:c r="I31" s="35" t="n">
        <x:f>'Article Baselines'!H10*E31</x:f>
        <x:v>280</x:v>
      </x:c>
      <x:c r="J31" s="35" t="n">
        <x:f>'Article Baselines'!I10*1</x:f>
        <x:v>24</x:v>
      </x:c>
      <x:c r="K31" s="35" t="n">
        <x:f>'Article Baselines'!J10*0</x:f>
        <x:v>0</x:v>
      </x:c>
      <x:c r="L31" s="35" t="n">
        <x:f>'Article Baselines'!K10*E31</x:f>
        <x:v>0.336</x:v>
      </x:c>
      <x:c r="M31" s="27" t="str">
        <x:v>technical</x:v>
      </x:c>
      <x:c r="N31" s="29" t="str">
        <x:v>OPEN</x:v>
      </x:c>
    </x:row>
    <x:row r="32" ht="24" customHeight="1">
      <x:c r="B32" s="27" t="str">
        <x:v>TCN-T01</x:v>
      </x:c>
      <x:c r="C32" s="27" t="str">
        <x:v>Terrain carrier node</x:v>
      </x:c>
      <x:c r="D32" s="27" t="str">
        <x:v>enclosure isolation and calibration</x:v>
      </x:c>
      <x:c r="E32" s="35" t="n">
        <x:v>0.18</x:v>
      </x:c>
      <x:c r="F32" s="35" t="n">
        <x:f>'Article Baselines'!E10*E32</x:f>
        <x:v>468</x:v>
      </x:c>
      <x:c r="G32" s="35" t="n">
        <x:f>'Article Baselines'!F10*E32</x:f>
        <x:v>1.53</x:v>
      </x:c>
      <x:c r="H32" s="35" t="n">
        <x:f>'Article Baselines'!G10*E32</x:f>
        <x:v>108</x:v>
      </x:c>
      <x:c r="I32" s="35" t="n">
        <x:f>'Article Baselines'!H10*E32</x:f>
        <x:v>630</x:v>
      </x:c>
      <x:c r="J32" s="35" t="n">
        <x:f>'Article Baselines'!I10*0</x:f>
        <x:v>0</x:v>
      </x:c>
      <x:c r="K32" s="35" t="n">
        <x:f>'Article Baselines'!J10*0</x:f>
        <x:v>0</x:v>
      </x:c>
      <x:c r="L32" s="35" t="n">
        <x:f>'Article Baselines'!K10*E32</x:f>
        <x:v>0.756</x:v>
      </x:c>
      <x:c r="M32" s="27" t="str">
        <x:v>technical</x:v>
      </x:c>
      <x:c r="N32" s="29" t="str">
        <x:v>OPEN</x:v>
      </x:c>
    </x:row>
    <x:row r="33" ht="24" customHeight="1">
      <x:c r="B33" s="27" t="str">
        <x:v>TCN-T01</x:v>
      </x:c>
      <x:c r="C33" s="27" t="str">
        <x:v>Terrain carrier node</x:v>
      </x:c>
      <x:c r="D33" s="27" t="str">
        <x:v>integration reserve</x:v>
      </x:c>
      <x:c r="E33" s="35" t="n">
        <x:v>0.1</x:v>
      </x:c>
      <x:c r="F33" s="35" t="n">
        <x:f>'Article Baselines'!E10*E33</x:f>
        <x:v>260</x:v>
      </x:c>
      <x:c r="G33" s="35" t="n">
        <x:f>'Article Baselines'!F10*E33</x:f>
        <x:v>0.8500000000000001</x:v>
      </x:c>
      <x:c r="H33" s="35" t="n">
        <x:f>'Article Baselines'!G10*E33</x:f>
        <x:v>60</x:v>
      </x:c>
      <x:c r="I33" s="35" t="n">
        <x:f>'Article Baselines'!H10*E33</x:f>
        <x:v>350</x:v>
      </x:c>
      <x:c r="J33" s="35" t="n">
        <x:f>'Article Baselines'!I10*0</x:f>
        <x:v>0</x:v>
      </x:c>
      <x:c r="K33" s="35" t="n">
        <x:f>'Article Baselines'!J10*0</x:f>
        <x:v>0</x:v>
      </x:c>
      <x:c r="L33" s="35" t="n">
        <x:f>'Article Baselines'!K10*E33</x:f>
        <x:v>0.42000000000000004</x:v>
      </x:c>
      <x:c r="M33" s="27" t="str">
        <x:v>reserve</x:v>
      </x:c>
      <x:c r="N33" s="29" t="str">
        <x:v>OPEN</x:v>
      </x:c>
    </x:row>
    <x:row r="34" ht="24" customHeight="1">
      <x:c r="B34" s="27" t="str">
        <x:v>TCN-T01</x:v>
      </x:c>
      <x:c r="C34" s="27" t="str">
        <x:v>Terrain carrier node</x:v>
      </x:c>
      <x:c r="D34" s="27" t="str">
        <x:v>growth reserve</x:v>
      </x:c>
      <x:c r="E34" s="35" t="n">
        <x:v>0.05</x:v>
      </x:c>
      <x:c r="F34" s="35" t="n">
        <x:f>'Article Baselines'!E10*E34</x:f>
        <x:v>130</x:v>
      </x:c>
      <x:c r="G34" s="35" t="n">
        <x:f>'Article Baselines'!F10*E34</x:f>
        <x:v>0.42500000000000004</x:v>
      </x:c>
      <x:c r="H34" s="35" t="n">
        <x:f>'Article Baselines'!G10*E34</x:f>
        <x:v>30</x:v>
      </x:c>
      <x:c r="I34" s="35" t="n">
        <x:f>'Article Baselines'!H10*E34</x:f>
        <x:v>175</x:v>
      </x:c>
      <x:c r="J34" s="35" t="n">
        <x:f>'Article Baselines'!I10*0</x:f>
        <x:v>0</x:v>
      </x:c>
      <x:c r="K34" s="35" t="n">
        <x:f>'Article Baselines'!J10*0</x:f>
        <x:v>0</x:v>
      </x:c>
      <x:c r="L34" s="35" t="n">
        <x:f>'Article Baselines'!K10*E34</x:f>
        <x:v>0.21000000000000002</x:v>
      </x:c>
      <x:c r="M34" s="27" t="str">
        <x:v>reserve</x:v>
      </x:c>
      <x:c r="N34" s="29" t="str">
        <x:v>OPEN</x:v>
      </x:c>
    </x:row>
    <x:row r="35" ht="24" customHeight="1">
      <x:c r="B35" s="27" t="str">
        <x:v>CRS-R01</x:v>
      </x:c>
      <x:c r="C35" s="27" t="str">
        <x:v>Civil receiver</x:v>
      </x:c>
      <x:c r="D35" s="27" t="str">
        <x:v>sensing or physical burden</x:v>
      </x:c>
      <x:c r="E35" s="35" t="n">
        <x:v>0.24</x:v>
      </x:c>
      <x:c r="F35" s="35" t="n">
        <x:f>'Article Baselines'!E11*E35</x:f>
        <x:v>672</x:v>
      </x:c>
      <x:c r="G35" s="35" t="n">
        <x:f>'Article Baselines'!F11*E35</x:f>
        <x:v>2.88</x:v>
      </x:c>
      <x:c r="H35" s="35" t="n">
        <x:f>'Article Baselines'!G11*E35</x:f>
        <x:v>288</x:v>
      </x:c>
      <x:c r="I35" s="35" t="n">
        <x:f>'Article Baselines'!H11*E35</x:f>
        <x:v>768</x:v>
      </x:c>
      <x:c r="J35" s="35" t="n">
        <x:f>'Article Baselines'!I11*0</x:f>
        <x:v>0</x:v>
      </x:c>
      <x:c r="K35" s="35" t="n">
        <x:f>'Article Baselines'!J11*0</x:f>
        <x:v>0</x:v>
      </x:c>
      <x:c r="L35" s="35" t="n">
        <x:f>'Article Baselines'!K11*E35</x:f>
        <x:v>0.9216</x:v>
      </x:c>
      <x:c r="M35" s="27" t="str">
        <x:v>technical</x:v>
      </x:c>
      <x:c r="N35" s="29" t="str">
        <x:v>OPEN</x:v>
      </x:c>
    </x:row>
    <x:row r="36" ht="24" customHeight="1">
      <x:c r="B36" s="27" t="str">
        <x:v>CRS-R01</x:v>
      </x:c>
      <x:c r="C36" s="27" t="str">
        <x:v>Civil receiver</x:v>
      </x:c>
      <x:c r="D36" s="27" t="str">
        <x:v>acquisition and evidence compute</x:v>
      </x:c>
      <x:c r="E36" s="35" t="n">
        <x:v>0.14</x:v>
      </x:c>
      <x:c r="F36" s="35" t="n">
        <x:f>'Article Baselines'!E11*E36</x:f>
        <x:v>392.00000000000006</x:v>
      </x:c>
      <x:c r="G36" s="35" t="n">
        <x:f>'Article Baselines'!F11*E36</x:f>
        <x:v>1.6800000000000002</x:v>
      </x:c>
      <x:c r="H36" s="35" t="n">
        <x:f>'Article Baselines'!G11*E36</x:f>
        <x:v>168.00000000000003</x:v>
      </x:c>
      <x:c r="I36" s="35" t="n">
        <x:f>'Article Baselines'!H11*E36</x:f>
        <x:v>448.00000000000006</x:v>
      </x:c>
      <x:c r="J36" s="35" t="n">
        <x:f>'Article Baselines'!I11*0</x:f>
        <x:v>0</x:v>
      </x:c>
      <x:c r="K36" s="35" t="n">
        <x:f>'Article Baselines'!J11*0</x:f>
        <x:v>0</x:v>
      </x:c>
      <x:c r="L36" s="35" t="n">
        <x:f>'Article Baselines'!K11*E36</x:f>
        <x:v>0.5376000000000001</x:v>
      </x:c>
      <x:c r="M36" s="27" t="str">
        <x:v>technical</x:v>
      </x:c>
      <x:c r="N36" s="29" t="str">
        <x:v>OPEN</x:v>
      </x:c>
    </x:row>
    <x:row r="37" ht="24" customHeight="1">
      <x:c r="B37" s="27" t="str">
        <x:v>CRS-R01</x:v>
      </x:c>
      <x:c r="C37" s="27" t="str">
        <x:v>Civil receiver</x:v>
      </x:c>
      <x:c r="D37" s="27" t="str">
        <x:v>independent energy</x:v>
      </x:c>
      <x:c r="E37" s="35" t="n">
        <x:v>0.17</x:v>
      </x:c>
      <x:c r="F37" s="35" t="n">
        <x:f>'Article Baselines'!E11*E37</x:f>
        <x:v>476.00000000000006</x:v>
      </x:c>
      <x:c r="G37" s="35" t="n">
        <x:f>'Article Baselines'!F11*E37</x:f>
        <x:v>2.04</x:v>
      </x:c>
      <x:c r="H37" s="35" t="n">
        <x:f>'Article Baselines'!G11*E37</x:f>
        <x:v>204.00000000000003</x:v>
      </x:c>
      <x:c r="I37" s="35" t="n">
        <x:f>'Article Baselines'!H11*E37</x:f>
        <x:v>544</x:v>
      </x:c>
      <x:c r="J37" s="35" t="n">
        <x:f>'Article Baselines'!I11*0</x:f>
        <x:v>0</x:v>
      </x:c>
      <x:c r="K37" s="35" t="n">
        <x:f>'Article Baselines'!J11*1</x:f>
        <x:v>252</x:v>
      </x:c>
      <x:c r="L37" s="35" t="n">
        <x:f>'Article Baselines'!K11*E37</x:f>
        <x:v>0.6528</x:v>
      </x:c>
      <x:c r="M37" s="27" t="str">
        <x:v>technical</x:v>
      </x:c>
      <x:c r="N37" s="29" t="str">
        <x:v>OPEN</x:v>
      </x:c>
    </x:row>
    <x:row r="38" ht="24" customHeight="1">
      <x:c r="B38" s="27" t="str">
        <x:v>CRS-R01</x:v>
      </x:c>
      <x:c r="C38" s="27" t="str">
        <x:v>Civil receiver</x:v>
      </x:c>
      <x:c r="D38" s="27" t="str">
        <x:v>storage and denied time</x:v>
      </x:c>
      <x:c r="E38" s="35" t="n">
        <x:v>0.1</x:v>
      </x:c>
      <x:c r="F38" s="35" t="n">
        <x:f>'Article Baselines'!E11*E38</x:f>
        <x:v>280</x:v>
      </x:c>
      <x:c r="G38" s="35" t="n">
        <x:f>'Article Baselines'!F11*E38</x:f>
        <x:v>1.2000000000000002</x:v>
      </x:c>
      <x:c r="H38" s="35" t="n">
        <x:f>'Article Baselines'!G11*E38</x:f>
        <x:v>120</x:v>
      </x:c>
      <x:c r="I38" s="35" t="n">
        <x:f>'Article Baselines'!H11*E38</x:f>
        <x:v>320</x:v>
      </x:c>
      <x:c r="J38" s="35" t="n">
        <x:f>'Article Baselines'!I11*1</x:f>
        <x:v>64</x:v>
      </x:c>
      <x:c r="K38" s="35" t="n">
        <x:f>'Article Baselines'!J11*0</x:f>
        <x:v>0</x:v>
      </x:c>
      <x:c r="L38" s="35" t="n">
        <x:f>'Article Baselines'!K11*E38</x:f>
        <x:v>0.384</x:v>
      </x:c>
      <x:c r="M38" s="27" t="str">
        <x:v>technical</x:v>
      </x:c>
      <x:c r="N38" s="29" t="str">
        <x:v>OPEN</x:v>
      </x:c>
    </x:row>
    <x:row r="39" ht="24" customHeight="1">
      <x:c r="B39" s="27" t="str">
        <x:v>CRS-R01</x:v>
      </x:c>
      <x:c r="C39" s="27" t="str">
        <x:v>Civil receiver</x:v>
      </x:c>
      <x:c r="D39" s="27" t="str">
        <x:v>enclosure isolation and calibration</x:v>
      </x:c>
      <x:c r="E39" s="35" t="n">
        <x:v>0.2</x:v>
      </x:c>
      <x:c r="F39" s="35" t="n">
        <x:f>'Article Baselines'!E11*E39</x:f>
        <x:v>560</x:v>
      </x:c>
      <x:c r="G39" s="35" t="n">
        <x:f>'Article Baselines'!F11*E39</x:f>
        <x:v>2.4000000000000004</x:v>
      </x:c>
      <x:c r="H39" s="35" t="n">
        <x:f>'Article Baselines'!G11*E39</x:f>
        <x:v>240</x:v>
      </x:c>
      <x:c r="I39" s="35" t="n">
        <x:f>'Article Baselines'!H11*E39</x:f>
        <x:v>640</x:v>
      </x:c>
      <x:c r="J39" s="35" t="n">
        <x:f>'Article Baselines'!I11*0</x:f>
        <x:v>0</x:v>
      </x:c>
      <x:c r="K39" s="35" t="n">
        <x:f>'Article Baselines'!J11*0</x:f>
        <x:v>0</x:v>
      </x:c>
      <x:c r="L39" s="35" t="n">
        <x:f>'Article Baselines'!K11*E39</x:f>
        <x:v>0.768</x:v>
      </x:c>
      <x:c r="M39" s="27" t="str">
        <x:v>technical</x:v>
      </x:c>
      <x:c r="N39" s="29" t="str">
        <x:v>OPEN</x:v>
      </x:c>
    </x:row>
    <x:row r="40" ht="24" customHeight="1">
      <x:c r="B40" s="27" t="str">
        <x:v>CRS-R01</x:v>
      </x:c>
      <x:c r="C40" s="27" t="str">
        <x:v>Civil receiver</x:v>
      </x:c>
      <x:c r="D40" s="27" t="str">
        <x:v>integration reserve</x:v>
      </x:c>
      <x:c r="E40" s="35" t="n">
        <x:v>0.1</x:v>
      </x:c>
      <x:c r="F40" s="35" t="n">
        <x:f>'Article Baselines'!E11*E40</x:f>
        <x:v>280</x:v>
      </x:c>
      <x:c r="G40" s="35" t="n">
        <x:f>'Article Baselines'!F11*E40</x:f>
        <x:v>1.2000000000000002</x:v>
      </x:c>
      <x:c r="H40" s="35" t="n">
        <x:f>'Article Baselines'!G11*E40</x:f>
        <x:v>120</x:v>
      </x:c>
      <x:c r="I40" s="35" t="n">
        <x:f>'Article Baselines'!H11*E40</x:f>
        <x:v>320</x:v>
      </x:c>
      <x:c r="J40" s="35" t="n">
        <x:f>'Article Baselines'!I11*0</x:f>
        <x:v>0</x:v>
      </x:c>
      <x:c r="K40" s="35" t="n">
        <x:f>'Article Baselines'!J11*0</x:f>
        <x:v>0</x:v>
      </x:c>
      <x:c r="L40" s="35" t="n">
        <x:f>'Article Baselines'!K11*E40</x:f>
        <x:v>0.384</x:v>
      </x:c>
      <x:c r="M40" s="27" t="str">
        <x:v>reserve</x:v>
      </x:c>
      <x:c r="N40" s="29" t="str">
        <x:v>OPEN</x:v>
      </x:c>
    </x:row>
    <x:row r="41" ht="24" customHeight="1">
      <x:c r="B41" s="27" t="str">
        <x:v>CRS-R01</x:v>
      </x:c>
      <x:c r="C41" s="27" t="str">
        <x:v>Civil receiver</x:v>
      </x:c>
      <x:c r="D41" s="27" t="str">
        <x:v>growth reserve</x:v>
      </x:c>
      <x:c r="E41" s="35" t="n">
        <x:v>0.05</x:v>
      </x:c>
      <x:c r="F41" s="35" t="n">
        <x:f>'Article Baselines'!E11*E41</x:f>
        <x:v>140</x:v>
      </x:c>
      <x:c r="G41" s="35" t="n">
        <x:f>'Article Baselines'!F11*E41</x:f>
        <x:v>0.6000000000000001</x:v>
      </x:c>
      <x:c r="H41" s="35" t="n">
        <x:f>'Article Baselines'!G11*E41</x:f>
        <x:v>60</x:v>
      </x:c>
      <x:c r="I41" s="35" t="n">
        <x:f>'Article Baselines'!H11*E41</x:f>
        <x:v>160</x:v>
      </x:c>
      <x:c r="J41" s="35" t="n">
        <x:f>'Article Baselines'!I11*0</x:f>
        <x:v>0</x:v>
      </x:c>
      <x:c r="K41" s="35" t="n">
        <x:f>'Article Baselines'!J11*0</x:f>
        <x:v>0</x:v>
      </x:c>
      <x:c r="L41" s="35" t="n">
        <x:f>'Article Baselines'!K11*E41</x:f>
        <x:v>0.192</x:v>
      </x:c>
      <x:c r="M41" s="27" t="str">
        <x:v>reserve</x:v>
      </x:c>
      <x:c r="N41" s="29" t="str">
        <x:v>OPEN</x:v>
      </x:c>
    </x:row>
    <x:row r="42" ht="24" customHeight="1">
      <x:c r="B42" s="27" t="str">
        <x:v>PSS-T01</x:v>
      </x:c>
      <x:c r="C42" s="27" t="str">
        <x:v>Pressure skin</x:v>
      </x:c>
      <x:c r="D42" s="27" t="str">
        <x:v>sensing or physical burden</x:v>
      </x:c>
      <x:c r="E42" s="35" t="n">
        <x:v>0.6</x:v>
      </x:c>
      <x:c r="F42" s="35" t="n">
        <x:f>'Article Baselines'!E12*E42</x:f>
        <x:v>684</x:v>
      </x:c>
      <x:c r="G42" s="35" t="n">
        <x:f>'Article Baselines'!F12*E42</x:f>
        <x:v>2.052</x:v>
      </x:c>
      <x:c r="H42" s="35" t="n">
        <x:f>'Article Baselines'!G12*E42</x:f>
        <x:v>132</x:v>
      </x:c>
      <x:c r="I42" s="35" t="n">
        <x:f>'Article Baselines'!H12*E42</x:f>
        <x:v>720</x:v>
      </x:c>
      <x:c r="J42" s="35" t="n">
        <x:f>'Article Baselines'!I12*0</x:f>
        <x:v>0</x:v>
      </x:c>
      <x:c r="K42" s="35" t="n">
        <x:f>'Article Baselines'!J12*0</x:f>
        <x:v>0</x:v>
      </x:c>
      <x:c r="L42" s="35" t="n">
        <x:f>'Article Baselines'!K12*E42</x:f>
        <x:v>0.864</x:v>
      </x:c>
      <x:c r="M42" s="27" t="str">
        <x:v>technical</x:v>
      </x:c>
      <x:c r="N42" s="29" t="str">
        <x:v>OPEN</x:v>
      </x:c>
    </x:row>
    <x:row r="43" ht="24" customHeight="1">
      <x:c r="B43" s="27" t="str">
        <x:v>PSS-T01</x:v>
      </x:c>
      <x:c r="C43" s="27" t="str">
        <x:v>Pressure skin</x:v>
      </x:c>
      <x:c r="D43" s="27" t="str">
        <x:v>acquisition and evidence compute</x:v>
      </x:c>
      <x:c r="E43" s="35" t="n">
        <x:v>0.08</x:v>
      </x:c>
      <x:c r="F43" s="35" t="n">
        <x:f>'Article Baselines'!E12*E43</x:f>
        <x:v>91.2</x:v>
      </x:c>
      <x:c r="G43" s="35" t="n">
        <x:f>'Article Baselines'!F12*E43</x:f>
        <x:v>0.2736</x:v>
      </x:c>
      <x:c r="H43" s="35" t="n">
        <x:f>'Article Baselines'!G12*E43</x:f>
        <x:v>17.6</x:v>
      </x:c>
      <x:c r="I43" s="35" t="n">
        <x:f>'Article Baselines'!H12*E43</x:f>
        <x:v>96</x:v>
      </x:c>
      <x:c r="J43" s="35" t="n">
        <x:f>'Article Baselines'!I12*0</x:f>
        <x:v>0</x:v>
      </x:c>
      <x:c r="K43" s="35" t="n">
        <x:f>'Article Baselines'!J12*0</x:f>
        <x:v>0</x:v>
      </x:c>
      <x:c r="L43" s="35" t="n">
        <x:f>'Article Baselines'!K12*E43</x:f>
        <x:v>0.1152</x:v>
      </x:c>
      <x:c r="M43" s="27" t="str">
        <x:v>technical</x:v>
      </x:c>
      <x:c r="N43" s="29" t="str">
        <x:v>OPEN</x:v>
      </x:c>
    </x:row>
    <x:row r="44" ht="24" customHeight="1">
      <x:c r="B44" s="27" t="str">
        <x:v>PSS-T01</x:v>
      </x:c>
      <x:c r="C44" s="27" t="str">
        <x:v>Pressure skin</x:v>
      </x:c>
      <x:c r="D44" s="27" t="str">
        <x:v>independent energy</x:v>
      </x:c>
      <x:c r="E44" s="35" t="n">
        <x:v>0.04</x:v>
      </x:c>
      <x:c r="F44" s="35" t="n">
        <x:f>'Article Baselines'!E12*E44</x:f>
        <x:v>45.6</x:v>
      </x:c>
      <x:c r="G44" s="35" t="n">
        <x:f>'Article Baselines'!F12*E44</x:f>
        <x:v>0.1368</x:v>
      </x:c>
      <x:c r="H44" s="35" t="n">
        <x:f>'Article Baselines'!G12*E44</x:f>
        <x:v>8.8</x:v>
      </x:c>
      <x:c r="I44" s="35" t="n">
        <x:f>'Article Baselines'!H12*E44</x:f>
        <x:v>48</x:v>
      </x:c>
      <x:c r="J44" s="35" t="n">
        <x:f>'Article Baselines'!I12*0</x:f>
        <x:v>0</x:v>
      </x:c>
      <x:c r="K44" s="35" t="n">
        <x:f>'Article Baselines'!J12*1</x:f>
        <x:v>46.2</x:v>
      </x:c>
      <x:c r="L44" s="35" t="n">
        <x:f>'Article Baselines'!K12*E44</x:f>
        <x:v>0.0576</x:v>
      </x:c>
      <x:c r="M44" s="27" t="str">
        <x:v>technical</x:v>
      </x:c>
      <x:c r="N44" s="29" t="str">
        <x:v>OPEN</x:v>
      </x:c>
    </x:row>
    <x:row r="45" ht="24" customHeight="1">
      <x:c r="B45" s="27" t="str">
        <x:v>PSS-T01</x:v>
      </x:c>
      <x:c r="C45" s="27" t="str">
        <x:v>Pressure skin</x:v>
      </x:c>
      <x:c r="D45" s="27" t="str">
        <x:v>storage and denied time</x:v>
      </x:c>
      <x:c r="E45" s="35" t="n">
        <x:v>0.02</x:v>
      </x:c>
      <x:c r="F45" s="35" t="n">
        <x:f>'Article Baselines'!E12*E45</x:f>
        <x:v>22.8</x:v>
      </x:c>
      <x:c r="G45" s="35" t="n">
        <x:f>'Article Baselines'!F12*E45</x:f>
        <x:v>0.0684</x:v>
      </x:c>
      <x:c r="H45" s="35" t="n">
        <x:f>'Article Baselines'!G12*E45</x:f>
        <x:v>4.4</x:v>
      </x:c>
      <x:c r="I45" s="35" t="n">
        <x:f>'Article Baselines'!H12*E45</x:f>
        <x:v>24</x:v>
      </x:c>
      <x:c r="J45" s="35" t="n">
        <x:f>'Article Baselines'!I12*1</x:f>
        <x:v>0</x:v>
      </x:c>
      <x:c r="K45" s="35" t="n">
        <x:f>'Article Baselines'!J12*0</x:f>
        <x:v>0</x:v>
      </x:c>
      <x:c r="L45" s="35" t="n">
        <x:f>'Article Baselines'!K12*E45</x:f>
        <x:v>0.0288</x:v>
      </x:c>
      <x:c r="M45" s="27" t="str">
        <x:v>technical</x:v>
      </x:c>
      <x:c r="N45" s="29" t="str">
        <x:v>OPEN</x:v>
      </x:c>
    </x:row>
    <x:row r="46" ht="24" customHeight="1">
      <x:c r="B46" s="27" t="str">
        <x:v>PSS-T01</x:v>
      </x:c>
      <x:c r="C46" s="27" t="str">
        <x:v>Pressure skin</x:v>
      </x:c>
      <x:c r="D46" s="27" t="str">
        <x:v>enclosure isolation and calibration</x:v>
      </x:c>
      <x:c r="E46" s="35" t="n">
        <x:v>0.11</x:v>
      </x:c>
      <x:c r="F46" s="35" t="n">
        <x:f>'Article Baselines'!E12*E46</x:f>
        <x:v>125.4</x:v>
      </x:c>
      <x:c r="G46" s="35" t="n">
        <x:f>'Article Baselines'!F12*E46</x:f>
        <x:v>0.3762</x:v>
      </x:c>
      <x:c r="H46" s="35" t="n">
        <x:f>'Article Baselines'!G12*E46</x:f>
        <x:v>24.2</x:v>
      </x:c>
      <x:c r="I46" s="35" t="n">
        <x:f>'Article Baselines'!H12*E46</x:f>
        <x:v>132</x:v>
      </x:c>
      <x:c r="J46" s="35" t="n">
        <x:f>'Article Baselines'!I12*0</x:f>
        <x:v>0</x:v>
      </x:c>
      <x:c r="K46" s="35" t="n">
        <x:f>'Article Baselines'!J12*0</x:f>
        <x:v>0</x:v>
      </x:c>
      <x:c r="L46" s="35" t="n">
        <x:f>'Article Baselines'!K12*E46</x:f>
        <x:v>0.15839999999999999</x:v>
      </x:c>
      <x:c r="M46" s="27" t="str">
        <x:v>technical</x:v>
      </x:c>
      <x:c r="N46" s="29" t="str">
        <x:v>OPEN</x:v>
      </x:c>
    </x:row>
    <x:row r="47" ht="24" customHeight="1">
      <x:c r="B47" s="27" t="str">
        <x:v>PSS-T01</x:v>
      </x:c>
      <x:c r="C47" s="27" t="str">
        <x:v>Pressure skin</x:v>
      </x:c>
      <x:c r="D47" s="27" t="str">
        <x:v>integration reserve</x:v>
      </x:c>
      <x:c r="E47" s="35" t="n">
        <x:v>0.1</x:v>
      </x:c>
      <x:c r="F47" s="35" t="n">
        <x:f>'Article Baselines'!E12*E47</x:f>
        <x:v>114</x:v>
      </x:c>
      <x:c r="G47" s="35" t="n">
        <x:f>'Article Baselines'!F12*E47</x:f>
        <x:v>0.342</x:v>
      </x:c>
      <x:c r="H47" s="35" t="n">
        <x:f>'Article Baselines'!G12*E47</x:f>
        <x:v>22</x:v>
      </x:c>
      <x:c r="I47" s="35" t="n">
        <x:f>'Article Baselines'!H12*E47</x:f>
        <x:v>120</x:v>
      </x:c>
      <x:c r="J47" s="35" t="n">
        <x:f>'Article Baselines'!I12*0</x:f>
        <x:v>0</x:v>
      </x:c>
      <x:c r="K47" s="35" t="n">
        <x:f>'Article Baselines'!J12*0</x:f>
        <x:v>0</x:v>
      </x:c>
      <x:c r="L47" s="35" t="n">
        <x:f>'Article Baselines'!K12*E47</x:f>
        <x:v>0.144</x:v>
      </x:c>
      <x:c r="M47" s="27" t="str">
        <x:v>reserve</x:v>
      </x:c>
      <x:c r="N47" s="29" t="str">
        <x:v>OPEN</x:v>
      </x:c>
    </x:row>
    <x:row r="48" ht="24" customHeight="1">
      <x:c r="B48" s="27" t="str">
        <x:v>PSS-T01</x:v>
      </x:c>
      <x:c r="C48" s="27" t="str">
        <x:v>Pressure skin</x:v>
      </x:c>
      <x:c r="D48" s="27" t="str">
        <x:v>growth reserve</x:v>
      </x:c>
      <x:c r="E48" s="35" t="n">
        <x:v>0.05</x:v>
      </x:c>
      <x:c r="F48" s="35" t="n">
        <x:f>'Article Baselines'!E12*E48</x:f>
        <x:v>57</x:v>
      </x:c>
      <x:c r="G48" s="35" t="n">
        <x:f>'Article Baselines'!F12*E48</x:f>
        <x:v>0.171</x:v>
      </x:c>
      <x:c r="H48" s="35" t="n">
        <x:f>'Article Baselines'!G12*E48</x:f>
        <x:v>11</x:v>
      </x:c>
      <x:c r="I48" s="35" t="n">
        <x:f>'Article Baselines'!H12*E48</x:f>
        <x:v>60</x:v>
      </x:c>
      <x:c r="J48" s="35" t="n">
        <x:f>'Article Baselines'!I12*0</x:f>
        <x:v>0</x:v>
      </x:c>
      <x:c r="K48" s="35" t="n">
        <x:f>'Article Baselines'!J12*0</x:f>
        <x:v>0</x:v>
      </x:c>
      <x:c r="L48" s="35" t="n">
        <x:f>'Article Baselines'!K12*E48</x:f>
        <x:v>0.072</x:v>
      </x:c>
      <x:c r="M48" s="27" t="str">
        <x:v>reserve</x:v>
      </x:c>
      <x:c r="N48" s="29" t="str">
        <x:v>OPEN</x:v>
      </x:c>
    </x:row>
    <x:row r="49" ht="24" customHeight="1">
      <x:c r="B49" s="27" t="str">
        <x:v>PIF-I01</x:v>
      </x:c>
      <x:c r="C49" s="27" t="str">
        <x:v>Passive interface</x:v>
      </x:c>
      <x:c r="D49" s="27" t="str">
        <x:v>sensing or physical burden</x:v>
      </x:c>
      <x:c r="E49" s="35" t="n">
        <x:v>0.3</x:v>
      </x:c>
      <x:c r="F49" s="35" t="n">
        <x:f>'Article Baselines'!E13*E49</x:f>
        <x:v>12</x:v>
      </x:c>
      <x:c r="G49" s="35" t="n">
        <x:f>'Article Baselines'!F13*E49</x:f>
        <x:v>0.024</x:v>
      </x:c>
      <x:c r="H49" s="35" t="n">
        <x:f>'Article Baselines'!G13*E49</x:f>
        <x:v>6</x:v>
      </x:c>
      <x:c r="I49" s="35" t="n">
        <x:f>'Article Baselines'!H13*E49</x:f>
        <x:v>24</x:v>
      </x:c>
      <x:c r="J49" s="35" t="n">
        <x:f>'Article Baselines'!I13*0</x:f>
        <x:v>0</x:v>
      </x:c>
      <x:c r="K49" s="35" t="n">
        <x:f>'Article Baselines'!J13*0</x:f>
        <x:v>0</x:v>
      </x:c>
      <x:c r="L49" s="35" t="n">
        <x:f>'Article Baselines'!K13*E49</x:f>
        <x:v>0.0288</x:v>
      </x:c>
      <x:c r="M49" s="27" t="str">
        <x:v>technical</x:v>
      </x:c>
      <x:c r="N49" s="29" t="str">
        <x:v>OPEN</x:v>
      </x:c>
    </x:row>
    <x:row r="50" ht="24" customHeight="1">
      <x:c r="B50" s="27" t="str">
        <x:v>PIF-I01</x:v>
      </x:c>
      <x:c r="C50" s="27" t="str">
        <x:v>Passive interface</x:v>
      </x:c>
      <x:c r="D50" s="27" t="str">
        <x:v>acquisition and evidence compute</x:v>
      </x:c>
      <x:c r="E50" s="35" t="n">
        <x:v>0.15</x:v>
      </x:c>
      <x:c r="F50" s="35" t="n">
        <x:f>'Article Baselines'!E13*E50</x:f>
        <x:v>6</x:v>
      </x:c>
      <x:c r="G50" s="35" t="n">
        <x:f>'Article Baselines'!F13*E50</x:f>
        <x:v>0.012</x:v>
      </x:c>
      <x:c r="H50" s="35" t="n">
        <x:f>'Article Baselines'!G13*E50</x:f>
        <x:v>3</x:v>
      </x:c>
      <x:c r="I50" s="35" t="n">
        <x:f>'Article Baselines'!H13*E50</x:f>
        <x:v>12</x:v>
      </x:c>
      <x:c r="J50" s="35" t="n">
        <x:f>'Article Baselines'!I13*0</x:f>
        <x:v>0</x:v>
      </x:c>
      <x:c r="K50" s="35" t="n">
        <x:f>'Article Baselines'!J13*0</x:f>
        <x:v>0</x:v>
      </x:c>
      <x:c r="L50" s="35" t="n">
        <x:f>'Article Baselines'!K13*E50</x:f>
        <x:v>0.0144</x:v>
      </x:c>
      <x:c r="M50" s="27" t="str">
        <x:v>technical</x:v>
      </x:c>
      <x:c r="N50" s="29" t="str">
        <x:v>OPEN</x:v>
      </x:c>
    </x:row>
    <x:row r="51" ht="24" customHeight="1">
      <x:c r="B51" s="27" t="str">
        <x:v>PIF-I01</x:v>
      </x:c>
      <x:c r="C51" s="27" t="str">
        <x:v>Passive interface</x:v>
      </x:c>
      <x:c r="D51" s="27" t="str">
        <x:v>independent energy</x:v>
      </x:c>
      <x:c r="E51" s="35" t="n">
        <x:v>0.05</x:v>
      </x:c>
      <x:c r="F51" s="35" t="n">
        <x:f>'Article Baselines'!E13*E51</x:f>
        <x:v>2</x:v>
      </x:c>
      <x:c r="G51" s="35" t="n">
        <x:f>'Article Baselines'!F13*E51</x:f>
        <x:v>0.004</x:v>
      </x:c>
      <x:c r="H51" s="35" t="n">
        <x:f>'Article Baselines'!G13*E51</x:f>
        <x:v>1</x:v>
      </x:c>
      <x:c r="I51" s="35" t="n">
        <x:f>'Article Baselines'!H13*E51</x:f>
        <x:v>4</x:v>
      </x:c>
      <x:c r="J51" s="35" t="n">
        <x:f>'Article Baselines'!I13*0</x:f>
        <x:v>0</x:v>
      </x:c>
      <x:c r="K51" s="35" t="n">
        <x:f>'Article Baselines'!J13*1</x:f>
        <x:v>4.2</x:v>
      </x:c>
      <x:c r="L51" s="35" t="n">
        <x:f>'Article Baselines'!K13*E51</x:f>
        <x:v>0.0048000000000000004</x:v>
      </x:c>
      <x:c r="M51" s="27" t="str">
        <x:v>technical</x:v>
      </x:c>
      <x:c r="N51" s="29" t="str">
        <x:v>OPEN</x:v>
      </x:c>
    </x:row>
    <x:row r="52" ht="24" customHeight="1">
      <x:c r="B52" s="27" t="str">
        <x:v>PIF-I01</x:v>
      </x:c>
      <x:c r="C52" s="27" t="str">
        <x:v>Passive interface</x:v>
      </x:c>
      <x:c r="D52" s="27" t="str">
        <x:v>storage and denied time</x:v>
      </x:c>
      <x:c r="E52" s="35" t="n">
        <x:v>0.05</x:v>
      </x:c>
      <x:c r="F52" s="35" t="n">
        <x:f>'Article Baselines'!E13*E52</x:f>
        <x:v>2</x:v>
      </x:c>
      <x:c r="G52" s="35" t="n">
        <x:f>'Article Baselines'!F13*E52</x:f>
        <x:v>0.004</x:v>
      </x:c>
      <x:c r="H52" s="35" t="n">
        <x:f>'Article Baselines'!G13*E52</x:f>
        <x:v>1</x:v>
      </x:c>
      <x:c r="I52" s="35" t="n">
        <x:f>'Article Baselines'!H13*E52</x:f>
        <x:v>4</x:v>
      </x:c>
      <x:c r="J52" s="35" t="n">
        <x:f>'Article Baselines'!I13*1</x:f>
        <x:v>0</x:v>
      </x:c>
      <x:c r="K52" s="35" t="n">
        <x:f>'Article Baselines'!J13*0</x:f>
        <x:v>0</x:v>
      </x:c>
      <x:c r="L52" s="35" t="n">
        <x:f>'Article Baselines'!K13*E52</x:f>
        <x:v>0.0048000000000000004</x:v>
      </x:c>
      <x:c r="M52" s="27" t="str">
        <x:v>technical</x:v>
      </x:c>
      <x:c r="N52" s="29" t="str">
        <x:v>OPEN</x:v>
      </x:c>
    </x:row>
    <x:row r="53" ht="24" customHeight="1">
      <x:c r="B53" s="27" t="str">
        <x:v>PIF-I01</x:v>
      </x:c>
      <x:c r="C53" s="27" t="str">
        <x:v>Passive interface</x:v>
      </x:c>
      <x:c r="D53" s="27" t="str">
        <x:v>enclosure isolation and calibration</x:v>
      </x:c>
      <x:c r="E53" s="35" t="n">
        <x:v>0.3</x:v>
      </x:c>
      <x:c r="F53" s="35" t="n">
        <x:f>'Article Baselines'!E13*E53</x:f>
        <x:v>12</x:v>
      </x:c>
      <x:c r="G53" s="35" t="n">
        <x:f>'Article Baselines'!F13*E53</x:f>
        <x:v>0.024</x:v>
      </x:c>
      <x:c r="H53" s="35" t="n">
        <x:f>'Article Baselines'!G13*E53</x:f>
        <x:v>6</x:v>
      </x:c>
      <x:c r="I53" s="35" t="n">
        <x:f>'Article Baselines'!H13*E53</x:f>
        <x:v>24</x:v>
      </x:c>
      <x:c r="J53" s="35" t="n">
        <x:f>'Article Baselines'!I13*0</x:f>
        <x:v>0</x:v>
      </x:c>
      <x:c r="K53" s="35" t="n">
        <x:f>'Article Baselines'!J13*0</x:f>
        <x:v>0</x:v>
      </x:c>
      <x:c r="L53" s="35" t="n">
        <x:f>'Article Baselines'!K13*E53</x:f>
        <x:v>0.0288</x:v>
      </x:c>
      <x:c r="M53" s="27" t="str">
        <x:v>technical</x:v>
      </x:c>
      <x:c r="N53" s="29" t="str">
        <x:v>OPEN</x:v>
      </x:c>
    </x:row>
    <x:row r="54" ht="24" customHeight="1">
      <x:c r="B54" s="27" t="str">
        <x:v>PIF-I01</x:v>
      </x:c>
      <x:c r="C54" s="27" t="str">
        <x:v>Passive interface</x:v>
      </x:c>
      <x:c r="D54" s="27" t="str">
        <x:v>integration reserve</x:v>
      </x:c>
      <x:c r="E54" s="35" t="n">
        <x:v>0.1</x:v>
      </x:c>
      <x:c r="F54" s="35" t="n">
        <x:f>'Article Baselines'!E13*E54</x:f>
        <x:v>4</x:v>
      </x:c>
      <x:c r="G54" s="35" t="n">
        <x:f>'Article Baselines'!F13*E54</x:f>
        <x:v>0.008</x:v>
      </x:c>
      <x:c r="H54" s="35" t="n">
        <x:f>'Article Baselines'!G13*E54</x:f>
        <x:v>2</x:v>
      </x:c>
      <x:c r="I54" s="35" t="n">
        <x:f>'Article Baselines'!H13*E54</x:f>
        <x:v>8</x:v>
      </x:c>
      <x:c r="J54" s="35" t="n">
        <x:f>'Article Baselines'!I13*0</x:f>
        <x:v>0</x:v>
      </x:c>
      <x:c r="K54" s="35" t="n">
        <x:f>'Article Baselines'!J13*0</x:f>
        <x:v>0</x:v>
      </x:c>
      <x:c r="L54" s="35" t="n">
        <x:f>'Article Baselines'!K13*E54</x:f>
        <x:v>0.009600000000000001</x:v>
      </x:c>
      <x:c r="M54" s="27" t="str">
        <x:v>reserve</x:v>
      </x:c>
      <x:c r="N54" s="29" t="str">
        <x:v>OPEN</x:v>
      </x:c>
    </x:row>
    <x:row r="55" ht="24" customHeight="1">
      <x:c r="B55" s="27" t="str">
        <x:v>PIF-I01</x:v>
      </x:c>
      <x:c r="C55" s="27" t="str">
        <x:v>Passive interface</x:v>
      </x:c>
      <x:c r="D55" s="27" t="str">
        <x:v>growth reserve</x:v>
      </x:c>
      <x:c r="E55" s="35" t="n">
        <x:v>0.05</x:v>
      </x:c>
      <x:c r="F55" s="35" t="n">
        <x:f>'Article Baselines'!E13*E55</x:f>
        <x:v>2</x:v>
      </x:c>
      <x:c r="G55" s="35" t="n">
        <x:f>'Article Baselines'!F13*E55</x:f>
        <x:v>0.004</x:v>
      </x:c>
      <x:c r="H55" s="35" t="n">
        <x:f>'Article Baselines'!G13*E55</x:f>
        <x:v>1</x:v>
      </x:c>
      <x:c r="I55" s="35" t="n">
        <x:f>'Article Baselines'!H13*E55</x:f>
        <x:v>4</x:v>
      </x:c>
      <x:c r="J55" s="35" t="n">
        <x:f>'Article Baselines'!I13*0</x:f>
        <x:v>0</x:v>
      </x:c>
      <x:c r="K55" s="35" t="n">
        <x:f>'Article Baselines'!J13*0</x:f>
        <x:v>0</x:v>
      </x:c>
      <x:c r="L55" s="35" t="n">
        <x:f>'Article Baselines'!K13*E55</x:f>
        <x:v>0.0048000000000000004</x:v>
      </x:c>
      <x:c r="M55" s="27" t="str">
        <x:v>reserve</x:v>
      </x:c>
      <x:c r="N55" s="29" t="str">
        <x:v>OPEN</x:v>
      </x:c>
    </x:row>
    <x:row r="56" ht="24" customHeight="1">
      <x:c r="B56" s="27" t="str">
        <x:v>EPS-P01</x:v>
      </x:c>
      <x:c r="C56" s="27" t="str">
        <x:v>Independent energy</x:v>
      </x:c>
      <x:c r="D56" s="27" t="str">
        <x:v>sensing or physical burden</x:v>
      </x:c>
      <x:c r="E56" s="35" t="n">
        <x:v>0.04</x:v>
      </x:c>
      <x:c r="F56" s="35" t="n">
        <x:f>'Article Baselines'!E14*E56</x:f>
        <x:v>45.818400000000004</x:v>
      </x:c>
      <x:c r="G56" s="35" t="n">
        <x:f>'Article Baselines'!F14*E56</x:f>
        <x:v>0.1</x:v>
      </x:c>
      <x:c r="H56" s="35" t="n">
        <x:f>'Article Baselines'!G14*E56</x:f>
        <x:v>0.8</x:v>
      </x:c>
      <x:c r="I56" s="35" t="n">
        <x:f>'Article Baselines'!H14*E56</x:f>
        <x:v>8</x:v>
      </x:c>
      <x:c r="J56" s="35" t="n">
        <x:f>'Article Baselines'!I14*0</x:f>
        <x:v>0</x:v>
      </x:c>
      <x:c r="K56" s="35" t="n">
        <x:f>'Article Baselines'!J14*0</x:f>
        <x:v>0</x:v>
      </x:c>
      <x:c r="L56" s="35" t="n">
        <x:f>'Article Baselines'!K14*E56</x:f>
        <x:v>0.0096</x:v>
      </x:c>
      <x:c r="M56" s="27" t="str">
        <x:v>technical</x:v>
      </x:c>
      <x:c r="N56" s="29" t="str">
        <x:v>OPEN</x:v>
      </x:c>
    </x:row>
    <x:row r="57" ht="24" customHeight="1">
      <x:c r="B57" s="27" t="str">
        <x:v>EPS-P01</x:v>
      </x:c>
      <x:c r="C57" s="27" t="str">
        <x:v>Independent energy</x:v>
      </x:c>
      <x:c r="D57" s="27" t="str">
        <x:v>acquisition and evidence compute</x:v>
      </x:c>
      <x:c r="E57" s="35" t="n">
        <x:v>0.03</x:v>
      </x:c>
      <x:c r="F57" s="35" t="n">
        <x:f>'Article Baselines'!E14*E57</x:f>
        <x:v>34.3638</x:v>
      </x:c>
      <x:c r="G57" s="35" t="n">
        <x:f>'Article Baselines'!F14*E57</x:f>
        <x:v>0.075</x:v>
      </x:c>
      <x:c r="H57" s="35" t="n">
        <x:f>'Article Baselines'!G14*E57</x:f>
        <x:v>0.6</x:v>
      </x:c>
      <x:c r="I57" s="35" t="n">
        <x:f>'Article Baselines'!H14*E57</x:f>
        <x:v>6</x:v>
      </x:c>
      <x:c r="J57" s="35" t="n">
        <x:f>'Article Baselines'!I14*0</x:f>
        <x:v>0</x:v>
      </x:c>
      <x:c r="K57" s="35" t="n">
        <x:f>'Article Baselines'!J14*0</x:f>
        <x:v>0</x:v>
      </x:c>
      <x:c r="L57" s="35" t="n">
        <x:f>'Article Baselines'!K14*E57</x:f>
        <x:v>0.0072</x:v>
      </x:c>
      <x:c r="M57" s="27" t="str">
        <x:v>technical</x:v>
      </x:c>
      <x:c r="N57" s="29" t="str">
        <x:v>OPEN</x:v>
      </x:c>
    </x:row>
    <x:row r="58" ht="24" customHeight="1">
      <x:c r="B58" s="27" t="str">
        <x:v>EPS-P01</x:v>
      </x:c>
      <x:c r="C58" s="27" t="str">
        <x:v>Independent energy</x:v>
      </x:c>
      <x:c r="D58" s="27" t="str">
        <x:v>independent energy</x:v>
      </x:c>
      <x:c r="E58" s="35" t="n">
        <x:v>0.66</x:v>
      </x:c>
      <x:c r="F58" s="35" t="n">
        <x:f>'Article Baselines'!E14*E58</x:f>
        <x:v>756.0036</x:v>
      </x:c>
      <x:c r="G58" s="35" t="n">
        <x:f>'Article Baselines'!F14*E58</x:f>
        <x:v>1.6500000000000001</x:v>
      </x:c>
      <x:c r="H58" s="35" t="n">
        <x:f>'Article Baselines'!G14*E58</x:f>
        <x:v>13.200000000000001</x:v>
      </x:c>
      <x:c r="I58" s="35" t="n">
        <x:f>'Article Baselines'!H14*E58</x:f>
        <x:v>132</x:v>
      </x:c>
      <x:c r="J58" s="35" t="n">
        <x:f>'Article Baselines'!I14*0</x:f>
        <x:v>0</x:v>
      </x:c>
      <x:c r="K58" s="35" t="n">
        <x:f>'Article Baselines'!J14*1</x:f>
        <x:v>4.2</x:v>
      </x:c>
      <x:c r="L58" s="35" t="n">
        <x:f>'Article Baselines'!K14*E58</x:f>
        <x:v>0.1584</x:v>
      </x:c>
      <x:c r="M58" s="27" t="str">
        <x:v>technical</x:v>
      </x:c>
      <x:c r="N58" s="29" t="str">
        <x:v>OPEN</x:v>
      </x:c>
    </x:row>
    <x:row r="59" ht="24" customHeight="1">
      <x:c r="B59" s="27" t="str">
        <x:v>EPS-P01</x:v>
      </x:c>
      <x:c r="C59" s="27" t="str">
        <x:v>Independent energy</x:v>
      </x:c>
      <x:c r="D59" s="27" t="str">
        <x:v>storage and denied time</x:v>
      </x:c>
      <x:c r="E59" s="35" t="n">
        <x:v>0.02</x:v>
      </x:c>
      <x:c r="F59" s="35" t="n">
        <x:f>'Article Baselines'!E14*E59</x:f>
        <x:v>22.909200000000002</x:v>
      </x:c>
      <x:c r="G59" s="35" t="n">
        <x:f>'Article Baselines'!F14*E59</x:f>
        <x:v>0.05</x:v>
      </x:c>
      <x:c r="H59" s="35" t="n">
        <x:f>'Article Baselines'!G14*E59</x:f>
        <x:v>0.4</x:v>
      </x:c>
      <x:c r="I59" s="35" t="n">
        <x:f>'Article Baselines'!H14*E59</x:f>
        <x:v>4</x:v>
      </x:c>
      <x:c r="J59" s="35" t="n">
        <x:f>'Article Baselines'!I14*1</x:f>
        <x:v>0</x:v>
      </x:c>
      <x:c r="K59" s="35" t="n">
        <x:f>'Article Baselines'!J14*0</x:f>
        <x:v>0</x:v>
      </x:c>
      <x:c r="L59" s="35" t="n">
        <x:f>'Article Baselines'!K14*E59</x:f>
        <x:v>0.0048</x:v>
      </x:c>
      <x:c r="M59" s="27" t="str">
        <x:v>technical</x:v>
      </x:c>
      <x:c r="N59" s="29" t="str">
        <x:v>OPEN</x:v>
      </x:c>
    </x:row>
    <x:row r="60" ht="24" customHeight="1">
      <x:c r="B60" s="27" t="str">
        <x:v>EPS-P01</x:v>
      </x:c>
      <x:c r="C60" s="27" t="str">
        <x:v>Independent energy</x:v>
      </x:c>
      <x:c r="D60" s="27" t="str">
        <x:v>enclosure isolation and calibration</x:v>
      </x:c>
      <x:c r="E60" s="35" t="n">
        <x:v>0.1</x:v>
      </x:c>
      <x:c r="F60" s="35" t="n">
        <x:f>'Article Baselines'!E14*E60</x:f>
        <x:v>114.546</x:v>
      </x:c>
      <x:c r="G60" s="35" t="n">
        <x:f>'Article Baselines'!F14*E60</x:f>
        <x:v>0.25</x:v>
      </x:c>
      <x:c r="H60" s="35" t="n">
        <x:f>'Article Baselines'!G14*E60</x:f>
        <x:v>2</x:v>
      </x:c>
      <x:c r="I60" s="35" t="n">
        <x:f>'Article Baselines'!H14*E60</x:f>
        <x:v>20</x:v>
      </x:c>
      <x:c r="J60" s="35" t="n">
        <x:f>'Article Baselines'!I14*0</x:f>
        <x:v>0</x:v>
      </x:c>
      <x:c r="K60" s="35" t="n">
        <x:f>'Article Baselines'!J14*0</x:f>
        <x:v>0</x:v>
      </x:c>
      <x:c r="L60" s="35" t="n">
        <x:f>'Article Baselines'!K14*E60</x:f>
        <x:v>0.024</x:v>
      </x:c>
      <x:c r="M60" s="27" t="str">
        <x:v>technical</x:v>
      </x:c>
      <x:c r="N60" s="29" t="str">
        <x:v>OPEN</x:v>
      </x:c>
    </x:row>
    <x:row r="61" ht="24" customHeight="1">
      <x:c r="B61" s="27" t="str">
        <x:v>EPS-P01</x:v>
      </x:c>
      <x:c r="C61" s="27" t="str">
        <x:v>Independent energy</x:v>
      </x:c>
      <x:c r="D61" s="27" t="str">
        <x:v>integration reserve</x:v>
      </x:c>
      <x:c r="E61" s="35" t="n">
        <x:v>0.1</x:v>
      </x:c>
      <x:c r="F61" s="35" t="n">
        <x:f>'Article Baselines'!E14*E61</x:f>
        <x:v>114.546</x:v>
      </x:c>
      <x:c r="G61" s="35" t="n">
        <x:f>'Article Baselines'!F14*E61</x:f>
        <x:v>0.25</x:v>
      </x:c>
      <x:c r="H61" s="35" t="n">
        <x:f>'Article Baselines'!G14*E61</x:f>
        <x:v>2</x:v>
      </x:c>
      <x:c r="I61" s="35" t="n">
        <x:f>'Article Baselines'!H14*E61</x:f>
        <x:v>20</x:v>
      </x:c>
      <x:c r="J61" s="35" t="n">
        <x:f>'Article Baselines'!I14*0</x:f>
        <x:v>0</x:v>
      </x:c>
      <x:c r="K61" s="35" t="n">
        <x:f>'Article Baselines'!J14*0</x:f>
        <x:v>0</x:v>
      </x:c>
      <x:c r="L61" s="35" t="n">
        <x:f>'Article Baselines'!K14*E61</x:f>
        <x:v>0.024</x:v>
      </x:c>
      <x:c r="M61" s="27" t="str">
        <x:v>reserve</x:v>
      </x:c>
      <x:c r="N61" s="29" t="str">
        <x:v>OPEN</x:v>
      </x:c>
    </x:row>
    <x:row r="62" ht="24" customHeight="1">
      <x:c r="B62" s="27" t="str">
        <x:v>EPS-P01</x:v>
      </x:c>
      <x:c r="C62" s="27" t="str">
        <x:v>Independent energy</x:v>
      </x:c>
      <x:c r="D62" s="27" t="str">
        <x:v>growth reserve</x:v>
      </x:c>
      <x:c r="E62" s="35" t="n">
        <x:v>0.05</x:v>
      </x:c>
      <x:c r="F62" s="35" t="n">
        <x:f>'Article Baselines'!E14*E62</x:f>
        <x:v>57.273</x:v>
      </x:c>
      <x:c r="G62" s="35" t="n">
        <x:f>'Article Baselines'!F14*E62</x:f>
        <x:v>0.125</x:v>
      </x:c>
      <x:c r="H62" s="35" t="n">
        <x:f>'Article Baselines'!G14*E62</x:f>
        <x:v>1</x:v>
      </x:c>
      <x:c r="I62" s="35" t="n">
        <x:f>'Article Baselines'!H14*E62</x:f>
        <x:v>10</x:v>
      </x:c>
      <x:c r="J62" s="35" t="n">
        <x:f>'Article Baselines'!I14*0</x:f>
        <x:v>0</x:v>
      </x:c>
      <x:c r="K62" s="35" t="n">
        <x:f>'Article Baselines'!J14*0</x:f>
        <x:v>0</x:v>
      </x:c>
      <x:c r="L62" s="35" t="n">
        <x:f>'Article Baselines'!K14*E62</x:f>
        <x:v>0.012</x:v>
      </x:c>
      <x:c r="M62" s="27" t="str">
        <x:v>reserve</x:v>
      </x:c>
      <x:c r="N62" s="29" t="str">
        <x:v>OPEN</x:v>
      </x:c>
    </x:row>
    <x:row r="63" ht="24" customHeight="1">
      <x:c r="B63" s="27" t="str">
        <x:v>TKS-C01</x:v>
      </x:c>
      <x:c r="C63" s="27" t="str">
        <x:v>Denied time</x:v>
      </x:c>
      <x:c r="D63" s="27" t="str">
        <x:v>sensing or physical burden</x:v>
      </x:c>
      <x:c r="E63" s="35" t="n">
        <x:v>0.28</x:v>
      </x:c>
      <x:c r="F63" s="35" t="n">
        <x:f>'Article Baselines'!E15*E63</x:f>
        <x:v>2.8000000000000003</x:v>
      </x:c>
      <x:c r="G63" s="35" t="n">
        <x:f>'Article Baselines'!F15*E63</x:f>
        <x:v>0.005600000000000001</x:v>
      </x:c>
      <x:c r="H63" s="35" t="n">
        <x:f>'Article Baselines'!G15*E63</x:f>
        <x:v>5.6000000000000005</x:v>
      </x:c>
      <x:c r="I63" s="35" t="n">
        <x:f>'Article Baselines'!H15*E63</x:f>
        <x:v>14.000000000000002</x:v>
      </x:c>
      <x:c r="J63" s="35" t="n">
        <x:f>'Article Baselines'!I15*0</x:f>
        <x:v>0</x:v>
      </x:c>
      <x:c r="K63" s="35" t="n">
        <x:f>'Article Baselines'!J15*0</x:f>
        <x:v>0</x:v>
      </x:c>
      <x:c r="L63" s="35" t="n">
        <x:f>'Article Baselines'!K15*E63</x:f>
        <x:v>0.016800000000000002</x:v>
      </x:c>
      <x:c r="M63" s="27" t="str">
        <x:v>technical</x:v>
      </x:c>
      <x:c r="N63" s="29" t="str">
        <x:v>OPEN</x:v>
      </x:c>
    </x:row>
    <x:row r="64" ht="24" customHeight="1">
      <x:c r="B64" s="27" t="str">
        <x:v>TKS-C01</x:v>
      </x:c>
      <x:c r="C64" s="27" t="str">
        <x:v>Denied time</x:v>
      </x:c>
      <x:c r="D64" s="27" t="str">
        <x:v>acquisition and evidence compute</x:v>
      </x:c>
      <x:c r="E64" s="35" t="n">
        <x:v>0.2</x:v>
      </x:c>
      <x:c r="F64" s="35" t="n">
        <x:f>'Article Baselines'!E15*E64</x:f>
        <x:v>2</x:v>
      </x:c>
      <x:c r="G64" s="35" t="n">
        <x:f>'Article Baselines'!F15*E64</x:f>
        <x:v>0.004</x:v>
      </x:c>
      <x:c r="H64" s="35" t="n">
        <x:f>'Article Baselines'!G15*E64</x:f>
        <x:v>4</x:v>
      </x:c>
      <x:c r="I64" s="35" t="n">
        <x:f>'Article Baselines'!H15*E64</x:f>
        <x:v>10</x:v>
      </x:c>
      <x:c r="J64" s="35" t="n">
        <x:f>'Article Baselines'!I15*0</x:f>
        <x:v>0</x:v>
      </x:c>
      <x:c r="K64" s="35" t="n">
        <x:f>'Article Baselines'!J15*0</x:f>
        <x:v>0</x:v>
      </x:c>
      <x:c r="L64" s="35" t="n">
        <x:f>'Article Baselines'!K15*E64</x:f>
        <x:v>0.012</x:v>
      </x:c>
      <x:c r="M64" s="27" t="str">
        <x:v>technical</x:v>
      </x:c>
      <x:c r="N64" s="29" t="str">
        <x:v>OPEN</x:v>
      </x:c>
    </x:row>
    <x:row r="65" ht="24" customHeight="1">
      <x:c r="B65" s="27" t="str">
        <x:v>TKS-C01</x:v>
      </x:c>
      <x:c r="C65" s="27" t="str">
        <x:v>Denied time</x:v>
      </x:c>
      <x:c r="D65" s="27" t="str">
        <x:v>independent energy</x:v>
      </x:c>
      <x:c r="E65" s="35" t="n">
        <x:v>0.12</x:v>
      </x:c>
      <x:c r="F65" s="35" t="n">
        <x:f>'Article Baselines'!E15*E65</x:f>
        <x:v>1.2</x:v>
      </x:c>
      <x:c r="G65" s="35" t="n">
        <x:f>'Article Baselines'!F15*E65</x:f>
        <x:v>0.0024</x:v>
      </x:c>
      <x:c r="H65" s="35" t="n">
        <x:f>'Article Baselines'!G15*E65</x:f>
        <x:v>2.4</x:v>
      </x:c>
      <x:c r="I65" s="35" t="n">
        <x:f>'Article Baselines'!H15*E65</x:f>
        <x:v>6</x:v>
      </x:c>
      <x:c r="J65" s="35" t="n">
        <x:f>'Article Baselines'!I15*0</x:f>
        <x:v>0</x:v>
      </x:c>
      <x:c r="K65" s="35" t="n">
        <x:f>'Article Baselines'!J15*1</x:f>
        <x:v>4.2</x:v>
      </x:c>
      <x:c r="L65" s="35" t="n">
        <x:f>'Article Baselines'!K15*E65</x:f>
        <x:v>0.0072</x:v>
      </x:c>
      <x:c r="M65" s="27" t="str">
        <x:v>technical</x:v>
      </x:c>
      <x:c r="N65" s="29" t="str">
        <x:v>OPEN</x:v>
      </x:c>
    </x:row>
    <x:row r="66" ht="24" customHeight="1">
      <x:c r="B66" s="27" t="str">
        <x:v>TKS-C01</x:v>
      </x:c>
      <x:c r="C66" s="27" t="str">
        <x:v>Denied time</x:v>
      </x:c>
      <x:c r="D66" s="27" t="str">
        <x:v>storage and denied time</x:v>
      </x:c>
      <x:c r="E66" s="35" t="n">
        <x:v>0.15</x:v>
      </x:c>
      <x:c r="F66" s="35" t="n">
        <x:f>'Article Baselines'!E15*E66</x:f>
        <x:v>1.5</x:v>
      </x:c>
      <x:c r="G66" s="35" t="n">
        <x:f>'Article Baselines'!F15*E66</x:f>
        <x:v>0.003</x:v>
      </x:c>
      <x:c r="H66" s="35" t="n">
        <x:f>'Article Baselines'!G15*E66</x:f>
        <x:v>3</x:v>
      </x:c>
      <x:c r="I66" s="35" t="n">
        <x:f>'Article Baselines'!H15*E66</x:f>
        <x:v>7.5</x:v>
      </x:c>
      <x:c r="J66" s="35" t="n">
        <x:f>'Article Baselines'!I15*1</x:f>
        <x:v>0</x:v>
      </x:c>
      <x:c r="K66" s="35" t="n">
        <x:f>'Article Baselines'!J15*0</x:f>
        <x:v>0</x:v>
      </x:c>
      <x:c r="L66" s="35" t="n">
        <x:f>'Article Baselines'!K15*E66</x:f>
        <x:v>0.009</x:v>
      </x:c>
      <x:c r="M66" s="27" t="str">
        <x:v>technical</x:v>
      </x:c>
      <x:c r="N66" s="29" t="str">
        <x:v>OPEN</x:v>
      </x:c>
    </x:row>
    <x:row r="67" ht="24" customHeight="1">
      <x:c r="B67" s="27" t="str">
        <x:v>TKS-C01</x:v>
      </x:c>
      <x:c r="C67" s="27" t="str">
        <x:v>Denied time</x:v>
      </x:c>
      <x:c r="D67" s="27" t="str">
        <x:v>enclosure isolation and calibration</x:v>
      </x:c>
      <x:c r="E67" s="35" t="n">
        <x:v>0.1</x:v>
      </x:c>
      <x:c r="F67" s="35" t="n">
        <x:f>'Article Baselines'!E15*E67</x:f>
        <x:v>1</x:v>
      </x:c>
      <x:c r="G67" s="35" t="n">
        <x:f>'Article Baselines'!F15*E67</x:f>
        <x:v>0.002</x:v>
      </x:c>
      <x:c r="H67" s="35" t="n">
        <x:f>'Article Baselines'!G15*E67</x:f>
        <x:v>2</x:v>
      </x:c>
      <x:c r="I67" s="35" t="n">
        <x:f>'Article Baselines'!H15*E67</x:f>
        <x:v>5</x:v>
      </x:c>
      <x:c r="J67" s="35" t="n">
        <x:f>'Article Baselines'!I15*0</x:f>
        <x:v>0</x:v>
      </x:c>
      <x:c r="K67" s="35" t="n">
        <x:f>'Article Baselines'!J15*0</x:f>
        <x:v>0</x:v>
      </x:c>
      <x:c r="L67" s="35" t="n">
        <x:f>'Article Baselines'!K15*E67</x:f>
        <x:v>0.006</x:v>
      </x:c>
      <x:c r="M67" s="27" t="str">
        <x:v>technical</x:v>
      </x:c>
      <x:c r="N67" s="29" t="str">
        <x:v>OPEN</x:v>
      </x:c>
    </x:row>
    <x:row r="68" ht="24" customHeight="1">
      <x:c r="B68" s="27" t="str">
        <x:v>TKS-C01</x:v>
      </x:c>
      <x:c r="C68" s="27" t="str">
        <x:v>Denied time</x:v>
      </x:c>
      <x:c r="D68" s="27" t="str">
        <x:v>integration reserve</x:v>
      </x:c>
      <x:c r="E68" s="35" t="n">
        <x:v>0.1</x:v>
      </x:c>
      <x:c r="F68" s="35" t="n">
        <x:f>'Article Baselines'!E15*E68</x:f>
        <x:v>1</x:v>
      </x:c>
      <x:c r="G68" s="35" t="n">
        <x:f>'Article Baselines'!F15*E68</x:f>
        <x:v>0.002</x:v>
      </x:c>
      <x:c r="H68" s="35" t="n">
        <x:f>'Article Baselines'!G15*E68</x:f>
        <x:v>2</x:v>
      </x:c>
      <x:c r="I68" s="35" t="n">
        <x:f>'Article Baselines'!H15*E68</x:f>
        <x:v>5</x:v>
      </x:c>
      <x:c r="J68" s="35" t="n">
        <x:f>'Article Baselines'!I15*0</x:f>
        <x:v>0</x:v>
      </x:c>
      <x:c r="K68" s="35" t="n">
        <x:f>'Article Baselines'!J15*0</x:f>
        <x:v>0</x:v>
      </x:c>
      <x:c r="L68" s="35" t="n">
        <x:f>'Article Baselines'!K15*E68</x:f>
        <x:v>0.006</x:v>
      </x:c>
      <x:c r="M68" s="27" t="str">
        <x:v>reserve</x:v>
      </x:c>
      <x:c r="N68" s="29" t="str">
        <x:v>OPEN</x:v>
      </x:c>
    </x:row>
    <x:row r="69" ht="24" customHeight="1">
      <x:c r="B69" s="27" t="str">
        <x:v>TKS-C01</x:v>
      </x:c>
      <x:c r="C69" s="27" t="str">
        <x:v>Denied time</x:v>
      </x:c>
      <x:c r="D69" s="27" t="str">
        <x:v>growth reserve</x:v>
      </x:c>
      <x:c r="E69" s="35" t="n">
        <x:v>0.05</x:v>
      </x:c>
      <x:c r="F69" s="35" t="n">
        <x:f>'Article Baselines'!E15*E69</x:f>
        <x:v>0.5</x:v>
      </x:c>
      <x:c r="G69" s="35" t="n">
        <x:f>'Article Baselines'!F15*E69</x:f>
        <x:v>0.001</x:v>
      </x:c>
      <x:c r="H69" s="35" t="n">
        <x:f>'Article Baselines'!G15*E69</x:f>
        <x:v>1</x:v>
      </x:c>
      <x:c r="I69" s="35" t="n">
        <x:f>'Article Baselines'!H15*E69</x:f>
        <x:v>2.5</x:v>
      </x:c>
      <x:c r="J69" s="35" t="n">
        <x:f>'Article Baselines'!I15*0</x:f>
        <x:v>0</x:v>
      </x:c>
      <x:c r="K69" s="35" t="n">
        <x:f>'Article Baselines'!J15*0</x:f>
        <x:v>0</x:v>
      </x:c>
      <x:c r="L69" s="35" t="n">
        <x:f>'Article Baselines'!K15*E69</x:f>
        <x:v>0.003</x:v>
      </x:c>
      <x:c r="M69" s="27" t="str">
        <x:v>reserve</x:v>
      </x:c>
      <x:c r="N69" s="29" t="str">
        <x:v>OPEN</x:v>
      </x:c>
    </x:row>
    <x:row r="70" ht="24" customHeight="1">
      <x:c r="B70" s="27" t="str">
        <x:v>STG-S01</x:v>
      </x:c>
      <x:c r="C70" s="27" t="str">
        <x:v>Immutable storage</x:v>
      </x:c>
      <x:c r="D70" s="27" t="str">
        <x:v>sensing or physical burden</x:v>
      </x:c>
      <x:c r="E70" s="35" t="n">
        <x:v>0.1</x:v>
      </x:c>
      <x:c r="F70" s="35" t="n">
        <x:f>'Article Baselines'!E16*E70</x:f>
        <x:v>4</x:v>
      </x:c>
      <x:c r="G70" s="35" t="n">
        <x:f>'Article Baselines'!F16*E70</x:f>
        <x:v>0.012</x:v>
      </x:c>
      <x:c r="H70" s="35" t="n">
        <x:f>'Article Baselines'!G16*E70</x:f>
        <x:v>9</x:v>
      </x:c>
      <x:c r="I70" s="35" t="n">
        <x:f>'Article Baselines'!H16*E70</x:f>
        <x:v>22</x:v>
      </x:c>
      <x:c r="J70" s="35" t="n">
        <x:f>'Article Baselines'!I16*0</x:f>
        <x:v>0</x:v>
      </x:c>
      <x:c r="K70" s="35" t="n">
        <x:f>'Article Baselines'!J16*0</x:f>
        <x:v>0</x:v>
      </x:c>
      <x:c r="L70" s="35" t="n">
        <x:f>'Article Baselines'!K16*E70</x:f>
        <x:v>0.026400000000000003</x:v>
      </x:c>
      <x:c r="M70" s="27" t="str">
        <x:v>technical</x:v>
      </x:c>
      <x:c r="N70" s="29" t="str">
        <x:v>OPEN</x:v>
      </x:c>
    </x:row>
    <x:row r="71" ht="24" customHeight="1">
      <x:c r="B71" s="27" t="str">
        <x:v>STG-S01</x:v>
      </x:c>
      <x:c r="C71" s="27" t="str">
        <x:v>Immutable storage</x:v>
      </x:c>
      <x:c r="D71" s="27" t="str">
        <x:v>acquisition and evidence compute</x:v>
      </x:c>
      <x:c r="E71" s="35" t="n">
        <x:v>0.15</x:v>
      </x:c>
      <x:c r="F71" s="35" t="n">
        <x:f>'Article Baselines'!E16*E71</x:f>
        <x:v>6</x:v>
      </x:c>
      <x:c r="G71" s="35" t="n">
        <x:f>'Article Baselines'!F16*E71</x:f>
        <x:v>0.018</x:v>
      </x:c>
      <x:c r="H71" s="35" t="n">
        <x:f>'Article Baselines'!G16*E71</x:f>
        <x:v>13.5</x:v>
      </x:c>
      <x:c r="I71" s="35" t="n">
        <x:f>'Article Baselines'!H16*E71</x:f>
        <x:v>33</x:v>
      </x:c>
      <x:c r="J71" s="35" t="n">
        <x:f>'Article Baselines'!I16*0</x:f>
        <x:v>0</x:v>
      </x:c>
      <x:c r="K71" s="35" t="n">
        <x:f>'Article Baselines'!J16*0</x:f>
        <x:v>0</x:v>
      </x:c>
      <x:c r="L71" s="35" t="n">
        <x:f>'Article Baselines'!K16*E71</x:f>
        <x:v>0.0396</x:v>
      </x:c>
      <x:c r="M71" s="27" t="str">
        <x:v>technical</x:v>
      </x:c>
      <x:c r="N71" s="29" t="str">
        <x:v>OPEN</x:v>
      </x:c>
    </x:row>
    <x:row r="72" ht="24" customHeight="1">
      <x:c r="B72" s="27" t="str">
        <x:v>STG-S01</x:v>
      </x:c>
      <x:c r="C72" s="27" t="str">
        <x:v>Immutable storage</x:v>
      </x:c>
      <x:c r="D72" s="27" t="str">
        <x:v>independent energy</x:v>
      </x:c>
      <x:c r="E72" s="35" t="n">
        <x:v>0.12</x:v>
      </x:c>
      <x:c r="F72" s="35" t="n">
        <x:f>'Article Baselines'!E16*E72</x:f>
        <x:v>4.8</x:v>
      </x:c>
      <x:c r="G72" s="35" t="n">
        <x:f>'Article Baselines'!F16*E72</x:f>
        <x:v>0.0144</x:v>
      </x:c>
      <x:c r="H72" s="35" t="n">
        <x:f>'Article Baselines'!G16*E72</x:f>
        <x:v>10.799999999999999</x:v>
      </x:c>
      <x:c r="I72" s="35" t="n">
        <x:f>'Article Baselines'!H16*E72</x:f>
        <x:v>26.4</x:v>
      </x:c>
      <x:c r="J72" s="35" t="n">
        <x:f>'Article Baselines'!I16*0</x:f>
        <x:v>0</x:v>
      </x:c>
      <x:c r="K72" s="35" t="n">
        <x:f>'Article Baselines'!J16*1</x:f>
        <x:v>18.9</x:v>
      </x:c>
      <x:c r="L72" s="35" t="n">
        <x:f>'Article Baselines'!K16*E72</x:f>
        <x:v>0.03168</x:v>
      </x:c>
      <x:c r="M72" s="27" t="str">
        <x:v>technical</x:v>
      </x:c>
      <x:c r="N72" s="29" t="str">
        <x:v>OPEN</x:v>
      </x:c>
    </x:row>
    <x:row r="73" ht="24" customHeight="1">
      <x:c r="B73" s="27" t="str">
        <x:v>STG-S01</x:v>
      </x:c>
      <x:c r="C73" s="27" t="str">
        <x:v>Immutable storage</x:v>
      </x:c>
      <x:c r="D73" s="27" t="str">
        <x:v>storage and denied time</x:v>
      </x:c>
      <x:c r="E73" s="35" t="n">
        <x:v>0.38</x:v>
      </x:c>
      <x:c r="F73" s="35" t="n">
        <x:f>'Article Baselines'!E16*E73</x:f>
        <x:v>15.2</x:v>
      </x:c>
      <x:c r="G73" s="35" t="n">
        <x:f>'Article Baselines'!F16*E73</x:f>
        <x:v>0.0456</x:v>
      </x:c>
      <x:c r="H73" s="35" t="n">
        <x:f>'Article Baselines'!G16*E73</x:f>
        <x:v>34.2</x:v>
      </x:c>
      <x:c r="I73" s="35" t="n">
        <x:f>'Article Baselines'!H16*E73</x:f>
        <x:v>83.6</x:v>
      </x:c>
      <x:c r="J73" s="35" t="n">
        <x:f>'Article Baselines'!I16*1</x:f>
        <x:v>64</x:v>
      </x:c>
      <x:c r="K73" s="35" t="n">
        <x:f>'Article Baselines'!J16*0</x:f>
        <x:v>0</x:v>
      </x:c>
      <x:c r="L73" s="35" t="n">
        <x:f>'Article Baselines'!K16*E73</x:f>
        <x:v>0.10032</x:v>
      </x:c>
      <x:c r="M73" s="27" t="str">
        <x:v>technical</x:v>
      </x:c>
      <x:c r="N73" s="29" t="str">
        <x:v>OPEN</x:v>
      </x:c>
    </x:row>
    <x:row r="74" ht="24" customHeight="1">
      <x:c r="B74" s="27" t="str">
        <x:v>STG-S01</x:v>
      </x:c>
      <x:c r="C74" s="27" t="str">
        <x:v>Immutable storage</x:v>
      </x:c>
      <x:c r="D74" s="27" t="str">
        <x:v>enclosure isolation and calibration</x:v>
      </x:c>
      <x:c r="E74" s="35" t="n">
        <x:v>0.1</x:v>
      </x:c>
      <x:c r="F74" s="35" t="n">
        <x:f>'Article Baselines'!E16*E74</x:f>
        <x:v>4</x:v>
      </x:c>
      <x:c r="G74" s="35" t="n">
        <x:f>'Article Baselines'!F16*E74</x:f>
        <x:v>0.012</x:v>
      </x:c>
      <x:c r="H74" s="35" t="n">
        <x:f>'Article Baselines'!G16*E74</x:f>
        <x:v>9</x:v>
      </x:c>
      <x:c r="I74" s="35" t="n">
        <x:f>'Article Baselines'!H16*E74</x:f>
        <x:v>22</x:v>
      </x:c>
      <x:c r="J74" s="35" t="n">
        <x:f>'Article Baselines'!I16*0</x:f>
        <x:v>0</x:v>
      </x:c>
      <x:c r="K74" s="35" t="n">
        <x:f>'Article Baselines'!J16*0</x:f>
        <x:v>0</x:v>
      </x:c>
      <x:c r="L74" s="35" t="n">
        <x:f>'Article Baselines'!K16*E74</x:f>
        <x:v>0.026400000000000003</x:v>
      </x:c>
      <x:c r="M74" s="27" t="str">
        <x:v>technical</x:v>
      </x:c>
      <x:c r="N74" s="29" t="str">
        <x:v>OPEN</x:v>
      </x:c>
    </x:row>
    <x:row r="75" ht="24" customHeight="1">
      <x:c r="B75" s="27" t="str">
        <x:v>STG-S01</x:v>
      </x:c>
      <x:c r="C75" s="27" t="str">
        <x:v>Immutable storage</x:v>
      </x:c>
      <x:c r="D75" s="27" t="str">
        <x:v>integration reserve</x:v>
      </x:c>
      <x:c r="E75" s="35" t="n">
        <x:v>0.1</x:v>
      </x:c>
      <x:c r="F75" s="35" t="n">
        <x:f>'Article Baselines'!E16*E75</x:f>
        <x:v>4</x:v>
      </x:c>
      <x:c r="G75" s="35" t="n">
        <x:f>'Article Baselines'!F16*E75</x:f>
        <x:v>0.012</x:v>
      </x:c>
      <x:c r="H75" s="35" t="n">
        <x:f>'Article Baselines'!G16*E75</x:f>
        <x:v>9</x:v>
      </x:c>
      <x:c r="I75" s="35" t="n">
        <x:f>'Article Baselines'!H16*E75</x:f>
        <x:v>22</x:v>
      </x:c>
      <x:c r="J75" s="35" t="n">
        <x:f>'Article Baselines'!I16*0</x:f>
        <x:v>0</x:v>
      </x:c>
      <x:c r="K75" s="35" t="n">
        <x:f>'Article Baselines'!J16*0</x:f>
        <x:v>0</x:v>
      </x:c>
      <x:c r="L75" s="35" t="n">
        <x:f>'Article Baselines'!K16*E75</x:f>
        <x:v>0.026400000000000003</x:v>
      </x:c>
      <x:c r="M75" s="27" t="str">
        <x:v>reserve</x:v>
      </x:c>
      <x:c r="N75" s="29" t="str">
        <x:v>OPEN</x:v>
      </x:c>
    </x:row>
    <x:row r="76" ht="24" customHeight="1">
      <x:c r="B76" s="27" t="str">
        <x:v>STG-S01</x:v>
      </x:c>
      <x:c r="C76" s="27" t="str">
        <x:v>Immutable storage</x:v>
      </x:c>
      <x:c r="D76" s="27" t="str">
        <x:v>growth reserve</x:v>
      </x:c>
      <x:c r="E76" s="35" t="n">
        <x:v>0.05</x:v>
      </x:c>
      <x:c r="F76" s="35" t="n">
        <x:f>'Article Baselines'!E16*E76</x:f>
        <x:v>2</x:v>
      </x:c>
      <x:c r="G76" s="35" t="n">
        <x:f>'Article Baselines'!F16*E76</x:f>
        <x:v>0.006</x:v>
      </x:c>
      <x:c r="H76" s="35" t="n">
        <x:f>'Article Baselines'!G16*E76</x:f>
        <x:v>4.5</x:v>
      </x:c>
      <x:c r="I76" s="35" t="n">
        <x:f>'Article Baselines'!H16*E76</x:f>
        <x:v>11</x:v>
      </x:c>
      <x:c r="J76" s="35" t="n">
        <x:f>'Article Baselines'!I16*0</x:f>
        <x:v>0</x:v>
      </x:c>
      <x:c r="K76" s="35" t="n">
        <x:f>'Article Baselines'!J16*0</x:f>
        <x:v>0</x:v>
      </x:c>
      <x:c r="L76" s="35" t="n">
        <x:f>'Article Baselines'!K16*E76</x:f>
        <x:v>0.013200000000000002</x:v>
      </x:c>
      <x:c r="M76" s="27" t="str">
        <x:v>reserve</x:v>
      </x:c>
      <x:c r="N76" s="29" t="str">
        <x:v>OPEN</x:v>
      </x:c>
    </x:row>
    <x:row r="77" ht="24" customHeight="1">
      <x:c r="B77" s="27" t="str">
        <x:v>MHE-E01</x:v>
      </x:c>
      <x:c r="C77" s="27" t="str">
        <x:v>Mass and heat emulator</x:v>
      </x:c>
      <x:c r="D77" s="27" t="str">
        <x:v>sensing or physical burden</x:v>
      </x:c>
      <x:c r="E77" s="35" t="n">
        <x:v>0.66</x:v>
      </x:c>
      <x:c r="F77" s="35" t="n">
        <x:f>'Article Baselines'!E17*E77</x:f>
        <x:v>1848</x:v>
      </x:c>
      <x:c r="G77" s="35" t="n">
        <x:f>'Article Baselines'!F17*E77</x:f>
        <x:v>7.92</x:v>
      </x:c>
      <x:c r="H77" s="35" t="n">
        <x:f>'Article Baselines'!G17*E77</x:f>
        <x:v>792</x:v>
      </x:c>
      <x:c r="I77" s="35" t="n">
        <x:f>'Article Baselines'!H17*E77</x:f>
        <x:v>2112</x:v>
      </x:c>
      <x:c r="J77" s="35" t="n">
        <x:f>'Article Baselines'!I17*0</x:f>
        <x:v>0</x:v>
      </x:c>
      <x:c r="K77" s="35" t="n">
        <x:f>'Article Baselines'!J17*0</x:f>
        <x:v>0</x:v>
      </x:c>
      <x:c r="L77" s="35" t="n">
        <x:f>'Article Baselines'!K17*E77</x:f>
        <x:v>2.5344</x:v>
      </x:c>
      <x:c r="M77" s="27" t="str">
        <x:v>technical</x:v>
      </x:c>
      <x:c r="N77" s="29" t="str">
        <x:v>OPEN</x:v>
      </x:c>
    </x:row>
    <x:row r="78" ht="24" customHeight="1">
      <x:c r="B78" s="27" t="str">
        <x:v>MHE-E01</x:v>
      </x:c>
      <x:c r="C78" s="27" t="str">
        <x:v>Mass and heat emulator</x:v>
      </x:c>
      <x:c r="D78" s="27" t="str">
        <x:v>acquisition and evidence compute</x:v>
      </x:c>
      <x:c r="E78" s="35" t="n">
        <x:v>0.02</x:v>
      </x:c>
      <x:c r="F78" s="35" t="n">
        <x:f>'Article Baselines'!E17*E78</x:f>
        <x:v>56</x:v>
      </x:c>
      <x:c r="G78" s="35" t="n">
        <x:f>'Article Baselines'!F17*E78</x:f>
        <x:v>0.24</x:v>
      </x:c>
      <x:c r="H78" s="35" t="n">
        <x:f>'Article Baselines'!G17*E78</x:f>
        <x:v>24</x:v>
      </x:c>
      <x:c r="I78" s="35" t="n">
        <x:f>'Article Baselines'!H17*E78</x:f>
        <x:v>64</x:v>
      </x:c>
      <x:c r="J78" s="35" t="n">
        <x:f>'Article Baselines'!I17*0</x:f>
        <x:v>0</x:v>
      </x:c>
      <x:c r="K78" s="35" t="n">
        <x:f>'Article Baselines'!J17*0</x:f>
        <x:v>0</x:v>
      </x:c>
      <x:c r="L78" s="35" t="n">
        <x:f>'Article Baselines'!K17*E78</x:f>
        <x:v>0.0768</x:v>
      </x:c>
      <x:c r="M78" s="27" t="str">
        <x:v>technical</x:v>
      </x:c>
      <x:c r="N78" s="29" t="str">
        <x:v>OPEN</x:v>
      </x:c>
    </x:row>
    <x:row r="79" ht="24" customHeight="1">
      <x:c r="B79" s="27" t="str">
        <x:v>MHE-E01</x:v>
      </x:c>
      <x:c r="C79" s="27" t="str">
        <x:v>Mass and heat emulator</x:v>
      </x:c>
      <x:c r="D79" s="27" t="str">
        <x:v>independent energy</x:v>
      </x:c>
      <x:c r="E79" s="35" t="n">
        <x:v>0</x:v>
      </x:c>
      <x:c r="F79" s="35" t="n">
        <x:f>'Article Baselines'!E17*E79</x:f>
        <x:v>0</x:v>
      </x:c>
      <x:c r="G79" s="35" t="n">
        <x:f>'Article Baselines'!F17*E79</x:f>
        <x:v>0</x:v>
      </x:c>
      <x:c r="H79" s="35" t="n">
        <x:f>'Article Baselines'!G17*E79</x:f>
        <x:v>0</x:v>
      </x:c>
      <x:c r="I79" s="35" t="n">
        <x:f>'Article Baselines'!H17*E79</x:f>
        <x:v>0</x:v>
      </x:c>
      <x:c r="J79" s="35" t="n">
        <x:f>'Article Baselines'!I17*0</x:f>
        <x:v>0</x:v>
      </x:c>
      <x:c r="K79" s="35" t="n">
        <x:f>'Article Baselines'!J17*1</x:f>
        <x:v>252</x:v>
      </x:c>
      <x:c r="L79" s="35" t="n">
        <x:f>'Article Baselines'!K17*E79</x:f>
        <x:v>0</x:v>
      </x:c>
      <x:c r="M79" s="27" t="str">
        <x:v>technical</x:v>
      </x:c>
      <x:c r="N79" s="29" t="str">
        <x:v>OPEN</x:v>
      </x:c>
    </x:row>
    <x:row r="80" ht="24" customHeight="1">
      <x:c r="B80" s="27" t="str">
        <x:v>MHE-E01</x:v>
      </x:c>
      <x:c r="C80" s="27" t="str">
        <x:v>Mass and heat emulator</x:v>
      </x:c>
      <x:c r="D80" s="27" t="str">
        <x:v>storage and denied time</x:v>
      </x:c>
      <x:c r="E80" s="35" t="n">
        <x:v>0</x:v>
      </x:c>
      <x:c r="F80" s="35" t="n">
        <x:f>'Article Baselines'!E17*E80</x:f>
        <x:v>0</x:v>
      </x:c>
      <x:c r="G80" s="35" t="n">
        <x:f>'Article Baselines'!F17*E80</x:f>
        <x:v>0</x:v>
      </x:c>
      <x:c r="H80" s="35" t="n">
        <x:f>'Article Baselines'!G17*E80</x:f>
        <x:v>0</x:v>
      </x:c>
      <x:c r="I80" s="35" t="n">
        <x:f>'Article Baselines'!H17*E80</x:f>
        <x:v>0</x:v>
      </x:c>
      <x:c r="J80" s="35" t="n">
        <x:f>'Article Baselines'!I17*1</x:f>
        <x:v>0</x:v>
      </x:c>
      <x:c r="K80" s="35" t="n">
        <x:f>'Article Baselines'!J17*0</x:f>
        <x:v>0</x:v>
      </x:c>
      <x:c r="L80" s="35" t="n">
        <x:f>'Article Baselines'!K17*E80</x:f>
        <x:v>0</x:v>
      </x:c>
      <x:c r="M80" s="27" t="str">
        <x:v>technical</x:v>
      </x:c>
      <x:c r="N80" s="29" t="str">
        <x:v>OPEN</x:v>
      </x:c>
    </x:row>
    <x:row r="81" ht="24" customHeight="1">
      <x:c r="B81" s="27" t="str">
        <x:v>MHE-E01</x:v>
      </x:c>
      <x:c r="C81" s="27" t="str">
        <x:v>Mass and heat emulator</x:v>
      </x:c>
      <x:c r="D81" s="27" t="str">
        <x:v>enclosure isolation and calibration</x:v>
      </x:c>
      <x:c r="E81" s="35" t="n">
        <x:v>0.17</x:v>
      </x:c>
      <x:c r="F81" s="35" t="n">
        <x:f>'Article Baselines'!E17*E81</x:f>
        <x:v>476.00000000000006</x:v>
      </x:c>
      <x:c r="G81" s="35" t="n">
        <x:f>'Article Baselines'!F17*E81</x:f>
        <x:v>2.04</x:v>
      </x:c>
      <x:c r="H81" s="35" t="n">
        <x:f>'Article Baselines'!G17*E81</x:f>
        <x:v>204.00000000000003</x:v>
      </x:c>
      <x:c r="I81" s="35" t="n">
        <x:f>'Article Baselines'!H17*E81</x:f>
        <x:v>544</x:v>
      </x:c>
      <x:c r="J81" s="35" t="n">
        <x:f>'Article Baselines'!I17*0</x:f>
        <x:v>0</x:v>
      </x:c>
      <x:c r="K81" s="35" t="n">
        <x:f>'Article Baselines'!J17*0</x:f>
        <x:v>0</x:v>
      </x:c>
      <x:c r="L81" s="35" t="n">
        <x:f>'Article Baselines'!K17*E81</x:f>
        <x:v>0.6528</x:v>
      </x:c>
      <x:c r="M81" s="27" t="str">
        <x:v>technical</x:v>
      </x:c>
      <x:c r="N81" s="29" t="str">
        <x:v>OPEN</x:v>
      </x:c>
    </x:row>
    <x:row r="82" ht="24" customHeight="1">
      <x:c r="B82" s="27" t="str">
        <x:v>MHE-E01</x:v>
      </x:c>
      <x:c r="C82" s="27" t="str">
        <x:v>Mass and heat emulator</x:v>
      </x:c>
      <x:c r="D82" s="27" t="str">
        <x:v>integration reserve</x:v>
      </x:c>
      <x:c r="E82" s="35" t="n">
        <x:v>0.1</x:v>
      </x:c>
      <x:c r="F82" s="35" t="n">
        <x:f>'Article Baselines'!E17*E82</x:f>
        <x:v>280</x:v>
      </x:c>
      <x:c r="G82" s="35" t="n">
        <x:f>'Article Baselines'!F17*E82</x:f>
        <x:v>1.2000000000000002</x:v>
      </x:c>
      <x:c r="H82" s="35" t="n">
        <x:f>'Article Baselines'!G17*E82</x:f>
        <x:v>120</x:v>
      </x:c>
      <x:c r="I82" s="35" t="n">
        <x:f>'Article Baselines'!H17*E82</x:f>
        <x:v>320</x:v>
      </x:c>
      <x:c r="J82" s="35" t="n">
        <x:f>'Article Baselines'!I17*0</x:f>
        <x:v>0</x:v>
      </x:c>
      <x:c r="K82" s="35" t="n">
        <x:f>'Article Baselines'!J17*0</x:f>
        <x:v>0</x:v>
      </x:c>
      <x:c r="L82" s="35" t="n">
        <x:f>'Article Baselines'!K17*E82</x:f>
        <x:v>0.384</x:v>
      </x:c>
      <x:c r="M82" s="27" t="str">
        <x:v>reserve</x:v>
      </x:c>
      <x:c r="N82" s="29" t="str">
        <x:v>OPEN</x:v>
      </x:c>
    </x:row>
    <x:row r="83" ht="24" customHeight="1">
      <x:c r="B83" s="31" t="str">
        <x:v>MHE-E01</x:v>
      </x:c>
      <x:c r="C83" s="31" t="str">
        <x:v>Mass and heat emulator</x:v>
      </x:c>
      <x:c r="D83" s="31" t="str">
        <x:v>growth reserve</x:v>
      </x:c>
      <x:c r="E83" s="36" t="n">
        <x:v>0.05</x:v>
      </x:c>
      <x:c r="F83" s="36" t="n">
        <x:f>'Article Baselines'!E17*E83</x:f>
        <x:v>140</x:v>
      </x:c>
      <x:c r="G83" s="36" t="n">
        <x:f>'Article Baselines'!F17*E83</x:f>
        <x:v>0.6000000000000001</x:v>
      </x:c>
      <x:c r="H83" s="36" t="n">
        <x:f>'Article Baselines'!G17*E83</x:f>
        <x:v>60</x:v>
      </x:c>
      <x:c r="I83" s="36" t="n">
        <x:f>'Article Baselines'!H17*E83</x:f>
        <x:v>160</x:v>
      </x:c>
      <x:c r="J83" s="36" t="n">
        <x:f>'Article Baselines'!I17*0</x:f>
        <x:v>0</x:v>
      </x:c>
      <x:c r="K83" s="36" t="n">
        <x:f>'Article Baselines'!J17*0</x:f>
        <x:v>0</x:v>
      </x:c>
      <x:c r="L83" s="36" t="n">
        <x:f>'Article Baselines'!K17*E83</x:f>
        <x:v>0.192</x:v>
      </x:c>
      <x:c r="M83" s="31" t="str">
        <x:v>reserve</x:v>
      </x:c>
      <x:c r="N83" s="33" t="str">
        <x:v>OPEN</x:v>
      </x:c>
    </x:row>
    <x:row r="84" ht="18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18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</x:sheetData>
  <x:mergeCells>
    <x:mergeCell ref="B3:N3"/>
  </x:mergeCells>
  <x:conditionalFormatting sqref="N7:N83">
    <x:cfRule type="containsText" dxfId="5" priority="1" operator="containsText" text="OPEN"/>
    <x:cfRule type="containsText" dxfId="6" priority="2" operator="containsText" text="HOLD"/>
    <x:cfRule type="containsText" dxfId="7" priority="3" operator="containsText" text="BLOCKED"/>
    <x:cfRule type="containsText" dxfId="8" priority="4" operator="containsText" text="DRAFT"/>
    <x:cfRule type="containsText" dxfId="9" priority="5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9" hidden="0" customWidth="1"/>
    <x:col min="3" max="3" width="14" hidden="0" customWidth="1"/>
    <x:col min="4" max="4" width="25" hidden="0" customWidth="1"/>
    <x:col min="5" max="5" width="35" hidden="0" customWidth="1"/>
    <x:col min="6" max="6" width="52" hidden="0" customWidth="1"/>
    <x:col min="7" max="7" width="27" hidden="0" customWidth="1"/>
    <x:col min="8" max="8" width="15" hidden="0" customWidth="1"/>
    <x:col min="9" max="9" width="13" hidden="0" customWidth="1"/>
    <x:col min="10" max="10" width="11" hidden="0" customWidth="1"/>
    <x:col min="11" max="11" width="29" hidden="0" customWidth="1"/>
  </x:cols>
  <x:sheetData>
    <x:row r="2" ht="18" customHeight="1">
      <x:c r="B2" s="3" t="str">
        <x:v>Build-release package register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18" customHeight="1">
      <x:c r="B3" s="4" t="str">
        <x:v>Fourteen required records make each architecture buildable, inspectable and reproducible without choosing an exterior form.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18" customHeight="1">
      <x:c r="B6" s="25" t="str">
        <x:v>Record</x:v>
      </x:c>
      <x:c r="C6" s="26" t="str">
        <x:v>Family</x:v>
      </x:c>
      <x:c r="D6" s="26" t="str">
        <x:v>Subsystem</x:v>
      </x:c>
      <x:c r="E6" s="26" t="str">
        <x:v>Document</x:v>
      </x:c>
      <x:c r="F6" s="26" t="str">
        <x:v>Required content</x:v>
      </x:c>
      <x:c r="G6" s="26" t="str">
        <x:v>Authority</x:v>
      </x:c>
      <x:c r="H6" s="26" t="str">
        <x:v>Package state</x:v>
      </x:c>
      <x:c r="I6" s="26" t="str">
        <x:v>Approval</x:v>
      </x:c>
      <x:c r="J6" s="26" t="str">
        <x:v>Credit</x:v>
      </x:c>
      <x:c r="K6" s="26" t="str">
        <x:v>Reopen rule</x:v>
      </x:c>
    </x:row>
    <x:row r="7" ht="27" customHeight="1">
      <x:c r="B7" s="27" t="str">
        <x:v>D01-ATC-A01</x:v>
      </x:c>
      <x:c r="C7" s="27" t="str">
        <x:v>ATC-A01</x:v>
      </x:c>
      <x:c r="D7" s="27" t="str">
        <x:v>Air tile cassette</x:v>
      </x:c>
      <x:c r="E7" s="27" t="str">
        <x:v>interface control dataset</x:v>
      </x:c>
      <x:c r="F7" s="27" t="str">
        <x:v>all physical, energy, fluid, optical and custody boundaries</x:v>
      </x:c>
      <x:c r="G7" s="27" t="str">
        <x:v>article evidence authority</x:v>
      </x:c>
      <x:c r="H7" s="27" t="str">
        <x:v>DRAFT</x:v>
      </x:c>
      <x:c r="I7" s="27" t="str">
        <x:v>OPEN</x:v>
      </x:c>
      <x:c r="J7" s="27" t="n">
        <x:v>0</x:v>
      </x:c>
      <x:c r="K7" s="29" t="str">
        <x:v>any serial or ancestry change</x:v>
      </x:c>
    </x:row>
    <x:row r="8" ht="27" customHeight="1">
      <x:c r="B8" s="27" t="str">
        <x:v>D02-ATC-A01</x:v>
      </x:c>
      <x:c r="C8" s="27" t="str">
        <x:v>ATC-A01</x:v>
      </x:c>
      <x:c r="D8" s="27" t="str">
        <x:v>Air tile cassette</x:v>
      </x:c>
      <x:c r="E8" s="27" t="str">
        <x:v>mass-property ledger</x:v>
      </x:c>
      <x:c r="F8" s="27" t="str">
        <x:v>component mass, moments, center of gravity and growth reserve</x:v>
      </x:c>
      <x:c r="G8" s="27" t="str">
        <x:v>article evidence authority</x:v>
      </x:c>
      <x:c r="H8" s="27" t="str">
        <x:v>DRAFT</x:v>
      </x:c>
      <x:c r="I8" s="27" t="str">
        <x:v>OPEN</x:v>
      </x:c>
      <x:c r="J8" s="27" t="n">
        <x:v>0</x:v>
      </x:c>
      <x:c r="K8" s="29" t="str">
        <x:v>any serial or ancestry change</x:v>
      </x:c>
    </x:row>
    <x:row r="9" ht="27" customHeight="1">
      <x:c r="B9" s="27" t="str">
        <x:v>D03-ATC-A01</x:v>
      </x:c>
      <x:c r="C9" s="27" t="str">
        <x:v>ATC-A01</x:v>
      </x:c>
      <x:c r="D9" s="27" t="str">
        <x:v>Air tile cassette</x:v>
      </x:c>
      <x:c r="E9" s="27" t="str">
        <x:v>power and endurance case</x:v>
      </x:c>
      <x:c r="F9" s="27" t="str">
        <x:v>average, peak, startup, reserve and isolation</x:v>
      </x:c>
      <x:c r="G9" s="27" t="str">
        <x:v>article evidence authority</x:v>
      </x:c>
      <x:c r="H9" s="27" t="str">
        <x:v>DRAFT</x:v>
      </x:c>
      <x:c r="I9" s="27" t="str">
        <x:v>OPEN</x:v>
      </x:c>
      <x:c r="J9" s="27" t="n">
        <x:v>0</x:v>
      </x:c>
      <x:c r="K9" s="29" t="str">
        <x:v>any serial or ancestry change</x:v>
      </x:c>
    </x:row>
    <x:row r="10" ht="27" customHeight="1">
      <x:c r="B10" s="27" t="str">
        <x:v>D04-ATC-A01</x:v>
      </x:c>
      <x:c r="C10" s="27" t="str">
        <x:v>ATC-A01</x:v>
      </x:c>
      <x:c r="D10" s="27" t="str">
        <x:v>Air tile cassette</x:v>
      </x:c>
      <x:c r="E10" s="27" t="str">
        <x:v>thermal rejection case</x:v>
      </x:c>
      <x:c r="F10" s="27" t="str">
        <x:v>steady, peak, propagation and outward boundary</x:v>
      </x:c>
      <x:c r="G10" s="27" t="str">
        <x:v>article evidence authority</x:v>
      </x:c>
      <x:c r="H10" s="27" t="str">
        <x:v>DRAFT</x:v>
      </x:c>
      <x:c r="I10" s="27" t="str">
        <x:v>OPEN</x:v>
      </x:c>
      <x:c r="J10" s="27" t="n">
        <x:v>0</x:v>
      </x:c>
      <x:c r="K10" s="29" t="str">
        <x:v>any serial or ancestry change</x:v>
      </x:c>
    </x:row>
    <x:row r="11" ht="27" customHeight="1">
      <x:c r="B11" s="27" t="str">
        <x:v>D05-ATC-A01</x:v>
      </x:c>
      <x:c r="C11" s="27" t="str">
        <x:v>ATC-A01</x:v>
      </x:c>
      <x:c r="D11" s="27" t="str">
        <x:v>Air tile cassette</x:v>
      </x:c>
      <x:c r="E11" s="27" t="str">
        <x:v>materials and hazard declaration</x:v>
      </x:c>
      <x:c r="F11" s="27" t="str">
        <x:v>composition, incompatibility and exposure disposition</x:v>
      </x:c>
      <x:c r="G11" s="27" t="str">
        <x:v>article evidence authority</x:v>
      </x:c>
      <x:c r="H11" s="27" t="str">
        <x:v>DRAFT</x:v>
      </x:c>
      <x:c r="I11" s="27" t="str">
        <x:v>OPEN</x:v>
      </x:c>
      <x:c r="J11" s="27" t="n">
        <x:v>0</x:v>
      </x:c>
      <x:c r="K11" s="29" t="str">
        <x:v>any serial or ancestry change</x:v>
      </x:c>
    </x:row>
    <x:row r="12" ht="27" customHeight="1">
      <x:c r="B12" s="27" t="str">
        <x:v>D06-ATC-A01</x:v>
      </x:c>
      <x:c r="C12" s="27" t="str">
        <x:v>ATC-A01</x:v>
      </x:c>
      <x:c r="D12" s="27" t="str">
        <x:v>Air tile cassette</x:v>
      </x:c>
      <x:c r="E12" s="27" t="str">
        <x:v>observable and channel map</x:v>
      </x:c>
      <x:c r="F12" s="27" t="str">
        <x:v>measurand, location, sampling and invalid-state grammar</x:v>
      </x:c>
      <x:c r="G12" s="27" t="str">
        <x:v>article evidence authority</x:v>
      </x:c>
      <x:c r="H12" s="27" t="str">
        <x:v>DRAFT</x:v>
      </x:c>
      <x:c r="I12" s="27" t="str">
        <x:v>OPEN</x:v>
      </x:c>
      <x:c r="J12" s="27" t="n">
        <x:v>0</x:v>
      </x:c>
      <x:c r="K12" s="29" t="str">
        <x:v>any serial or ancestry change</x:v>
      </x:c>
    </x:row>
    <x:row r="13" ht="27" customHeight="1">
      <x:c r="B13" s="27" t="str">
        <x:v>D07-ATC-A01</x:v>
      </x:c>
      <x:c r="C13" s="27" t="str">
        <x:v>ATC-A01</x:v>
      </x:c>
      <x:c r="D13" s="27" t="str">
        <x:v>Air tile cassette</x:v>
      </x:c>
      <x:c r="E13" s="27" t="str">
        <x:v>calibration plan</x:v>
      </x:c>
      <x:c r="F13" s="27" t="str">
        <x:v>traveling standards, uncertainty and pre/post sequence</x:v>
      </x:c>
      <x:c r="G13" s="27" t="str">
        <x:v>article evidence authority</x:v>
      </x:c>
      <x:c r="H13" s="27" t="str">
        <x:v>DRAFT</x:v>
      </x:c>
      <x:c r="I13" s="27" t="str">
        <x:v>OPEN</x:v>
      </x:c>
      <x:c r="J13" s="27" t="n">
        <x:v>0</x:v>
      </x:c>
      <x:c r="K13" s="29" t="str">
        <x:v>any serial or ancestry change</x:v>
      </x:c>
    </x:row>
    <x:row r="14" ht="27" customHeight="1">
      <x:c r="B14" s="27" t="str">
        <x:v>D08-ATC-A01</x:v>
      </x:c>
      <x:c r="C14" s="27" t="str">
        <x:v>ATC-A01</x:v>
      </x:c>
      <x:c r="D14" s="27" t="str">
        <x:v>Air tile cassette</x:v>
      </x:c>
      <x:c r="E14" s="27" t="str">
        <x:v>data time and storage plan</x:v>
      </x:c>
      <x:c r="F14" s="27" t="str">
        <x:v>segment, clock, retention, loss and export</x:v>
      </x:c>
      <x:c r="G14" s="27" t="str">
        <x:v>article evidence authority</x:v>
      </x:c>
      <x:c r="H14" s="27" t="str">
        <x:v>DRAFT</x:v>
      </x:c>
      <x:c r="I14" s="27" t="str">
        <x:v>OPEN</x:v>
      </x:c>
      <x:c r="J14" s="27" t="n">
        <x:v>0</x:v>
      </x:c>
      <x:c r="K14" s="29" t="str">
        <x:v>any serial or ancestry change</x:v>
      </x:c>
    </x:row>
    <x:row r="15" ht="27" customHeight="1">
      <x:c r="B15" s="27" t="str">
        <x:v>D09-ATC-A01</x:v>
      </x:c>
      <x:c r="C15" s="27" t="str">
        <x:v>ATC-A01</x:v>
      </x:c>
      <x:c r="D15" s="27" t="str">
        <x:v>Air tile cassette</x:v>
      </x:c>
      <x:c r="E15" s="27" t="str">
        <x:v>physical non-actuation case</x:v>
      </x:c>
      <x:c r="F15" s="27" t="str">
        <x:v>reverse-energy, return-data and teardown evidence</x:v>
      </x:c>
      <x:c r="G15" s="27" t="str">
        <x:v>article evidence authority</x:v>
      </x:c>
      <x:c r="H15" s="27" t="str">
        <x:v>DRAFT</x:v>
      </x:c>
      <x:c r="I15" s="27" t="str">
        <x:v>OPEN</x:v>
      </x:c>
      <x:c r="J15" s="27" t="n">
        <x:v>0</x:v>
      </x:c>
      <x:c r="K15" s="29" t="str">
        <x:v>any serial or ancestry change</x:v>
      </x:c>
    </x:row>
    <x:row r="16" ht="27" customHeight="1">
      <x:c r="B16" s="27" t="str">
        <x:v>D10-ATC-A01</x:v>
      </x:c>
      <x:c r="C16" s="27" t="str">
        <x:v>ATC-A01</x:v>
      </x:c>
      <x:c r="D16" s="27" t="str">
        <x:v>Air tile cassette</x:v>
      </x:c>
      <x:c r="E16" s="27" t="str">
        <x:v>access and maintainability plan</x:v>
      </x:c>
      <x:c r="F16" s="27" t="str">
        <x:v>tools, reach, swap, inspection and safe isolation</x:v>
      </x:c>
      <x:c r="G16" s="27" t="str">
        <x:v>article evidence authority</x:v>
      </x:c>
      <x:c r="H16" s="27" t="str">
        <x:v>DRAFT</x:v>
      </x:c>
      <x:c r="I16" s="27" t="str">
        <x:v>OPEN</x:v>
      </x:c>
      <x:c r="J16" s="27" t="n">
        <x:v>0</x:v>
      </x:c>
      <x:c r="K16" s="29" t="str">
        <x:v>any serial or ancestry change</x:v>
      </x:c>
    </x:row>
    <x:row r="17" ht="27" customHeight="1">
      <x:c r="B17" s="27" t="str">
        <x:v>D11-ATC-A01</x:v>
      </x:c>
      <x:c r="C17" s="27" t="str">
        <x:v>ATC-A01</x:v>
      </x:c>
      <x:c r="D17" s="27" t="str">
        <x:v>Air tile cassette</x:v>
      </x:c>
      <x:c r="E17" s="27" t="str">
        <x:v>decontamination and quarantine plan</x:v>
      </x:c>
      <x:c r="F17" s="27" t="str">
        <x:v>cleaning, exposure marking, custody and disposition</x:v>
      </x:c>
      <x:c r="G17" s="27" t="str">
        <x:v>article evidence authority</x:v>
      </x:c>
      <x:c r="H17" s="27" t="str">
        <x:v>DRAFT</x:v>
      </x:c>
      <x:c r="I17" s="27" t="str">
        <x:v>OPEN</x:v>
      </x:c>
      <x:c r="J17" s="27" t="n">
        <x:v>0</x:v>
      </x:c>
      <x:c r="K17" s="29" t="str">
        <x:v>any serial or ancestry change</x:v>
      </x:c>
    </x:row>
    <x:row r="18" ht="27" customHeight="1">
      <x:c r="B18" s="27" t="str">
        <x:v>D12-ATC-A01</x:v>
      </x:c>
      <x:c r="C18" s="27" t="str">
        <x:v>ATC-A01</x:v>
      </x:c>
      <x:c r="D18" s="27" t="str">
        <x:v>Air tile cassette</x:v>
      </x:c>
      <x:c r="E18" s="27" t="str">
        <x:v>ancestry and technical-rights package</x:v>
      </x:c>
      <x:c r="F18" s="27" t="str">
        <x:v>ownership, facility, process, firmware and reproduction rights</x:v>
      </x:c>
      <x:c r="G18" s="27" t="str">
        <x:v>article evidence authority</x:v>
      </x:c>
      <x:c r="H18" s="27" t="str">
        <x:v>DRAFT</x:v>
      </x:c>
      <x:c r="I18" s="27" t="str">
        <x:v>OPEN</x:v>
      </x:c>
      <x:c r="J18" s="27" t="n">
        <x:v>0</x:v>
      </x:c>
      <x:c r="K18" s="29" t="str">
        <x:v>any serial or ancestry change</x:v>
      </x:c>
    </x:row>
    <x:row r="19" ht="27" customHeight="1">
      <x:c r="B19" s="27" t="str">
        <x:v>D13-ATC-A01</x:v>
      </x:c>
      <x:c r="C19" s="27" t="str">
        <x:v>ATC-A01</x:v>
      </x:c>
      <x:c r="D19" s="27" t="str">
        <x:v>Air tile cassette</x:v>
      </x:c>
      <x:c r="E19" s="27" t="str">
        <x:v>emulator equivalence definition</x:v>
      </x:c>
      <x:c r="F19" s="27" t="str">
        <x:v>mass, inertia, stiffness, heat and impedance pairing</x:v>
      </x:c>
      <x:c r="G19" s="27" t="str">
        <x:v>article evidence authority</x:v>
      </x:c>
      <x:c r="H19" s="27" t="str">
        <x:v>DRAFT</x:v>
      </x:c>
      <x:c r="I19" s="27" t="str">
        <x:v>OPEN</x:v>
      </x:c>
      <x:c r="J19" s="27" t="n">
        <x:v>0</x:v>
      </x:c>
      <x:c r="K19" s="29" t="str">
        <x:v>any serial or ancestry change</x:v>
      </x:c>
    </x:row>
    <x:row r="20" ht="27" customHeight="1">
      <x:c r="B20" s="27" t="str">
        <x:v>D14-ATC-A01</x:v>
      </x:c>
      <x:c r="C20" s="27" t="str">
        <x:v>ATC-A01</x:v>
      </x:c>
      <x:c r="D20" s="27" t="str">
        <x:v>Air tile cassette</x:v>
      </x:c>
      <x:c r="E20" s="27" t="str">
        <x:v>acceptance evidence index</x:v>
      </x:c>
      <x:c r="F20" s="27" t="str">
        <x:v>required artifacts, authorities, stop rules and second-lot record</x:v>
      </x:c>
      <x:c r="G20" s="27" t="str">
        <x:v>article evidence authority</x:v>
      </x:c>
      <x:c r="H20" s="27" t="str">
        <x:v>DRAFT</x:v>
      </x:c>
      <x:c r="I20" s="27" t="str">
        <x:v>OPEN</x:v>
      </x:c>
      <x:c r="J20" s="27" t="n">
        <x:v>0</x:v>
      </x:c>
      <x:c r="K20" s="29" t="str">
        <x:v>any serial or ancestry change</x:v>
      </x:c>
    </x:row>
    <x:row r="21" ht="27" customHeight="1">
      <x:c r="B21" s="27" t="str">
        <x:v>D01-TTC-T01</x:v>
      </x:c>
      <x:c r="C21" s="27" t="str">
        <x:v>TTC-T01</x:v>
      </x:c>
      <x:c r="D21" s="27" t="str">
        <x:v>Terrain tile cassette</x:v>
      </x:c>
      <x:c r="E21" s="27" t="str">
        <x:v>interface control dataset</x:v>
      </x:c>
      <x:c r="F21" s="27" t="str">
        <x:v>all physical, energy, fluid, optical and custody boundaries</x:v>
      </x:c>
      <x:c r="G21" s="27" t="str">
        <x:v>article evidence authority</x:v>
      </x:c>
      <x:c r="H21" s="27" t="str">
        <x:v>DRAFT</x:v>
      </x:c>
      <x:c r="I21" s="27" t="str">
        <x:v>OPEN</x:v>
      </x:c>
      <x:c r="J21" s="27" t="n">
        <x:v>0</x:v>
      </x:c>
      <x:c r="K21" s="29" t="str">
        <x:v>any serial or ancestry change</x:v>
      </x:c>
    </x:row>
    <x:row r="22" ht="27" customHeight="1">
      <x:c r="B22" s="27" t="str">
        <x:v>D02-TTC-T01</x:v>
      </x:c>
      <x:c r="C22" s="27" t="str">
        <x:v>TTC-T01</x:v>
      </x:c>
      <x:c r="D22" s="27" t="str">
        <x:v>Terrain tile cassette</x:v>
      </x:c>
      <x:c r="E22" s="27" t="str">
        <x:v>mass-property ledger</x:v>
      </x:c>
      <x:c r="F22" s="27" t="str">
        <x:v>component mass, moments, center of gravity and growth reserve</x:v>
      </x:c>
      <x:c r="G22" s="27" t="str">
        <x:v>article evidence authority</x:v>
      </x:c>
      <x:c r="H22" s="27" t="str">
        <x:v>DRAFT</x:v>
      </x:c>
      <x:c r="I22" s="27" t="str">
        <x:v>OPEN</x:v>
      </x:c>
      <x:c r="J22" s="27" t="n">
        <x:v>0</x:v>
      </x:c>
      <x:c r="K22" s="29" t="str">
        <x:v>any serial or ancestry change</x:v>
      </x:c>
    </x:row>
    <x:row r="23" ht="27" customHeight="1">
      <x:c r="B23" s="27" t="str">
        <x:v>D03-TTC-T01</x:v>
      </x:c>
      <x:c r="C23" s="27" t="str">
        <x:v>TTC-T01</x:v>
      </x:c>
      <x:c r="D23" s="27" t="str">
        <x:v>Terrain tile cassette</x:v>
      </x:c>
      <x:c r="E23" s="27" t="str">
        <x:v>power and endurance case</x:v>
      </x:c>
      <x:c r="F23" s="27" t="str">
        <x:v>average, peak, startup, reserve and isolation</x:v>
      </x:c>
      <x:c r="G23" s="27" t="str">
        <x:v>article evidence authority</x:v>
      </x:c>
      <x:c r="H23" s="27" t="str">
        <x:v>DRAFT</x:v>
      </x:c>
      <x:c r="I23" s="27" t="str">
        <x:v>OPEN</x:v>
      </x:c>
      <x:c r="J23" s="27" t="n">
        <x:v>0</x:v>
      </x:c>
      <x:c r="K23" s="29" t="str">
        <x:v>any serial or ancestry change</x:v>
      </x:c>
    </x:row>
    <x:row r="24" ht="27" customHeight="1">
      <x:c r="B24" s="27" t="str">
        <x:v>D04-TTC-T01</x:v>
      </x:c>
      <x:c r="C24" s="27" t="str">
        <x:v>TTC-T01</x:v>
      </x:c>
      <x:c r="D24" s="27" t="str">
        <x:v>Terrain tile cassette</x:v>
      </x:c>
      <x:c r="E24" s="27" t="str">
        <x:v>thermal rejection case</x:v>
      </x:c>
      <x:c r="F24" s="27" t="str">
        <x:v>steady, peak, propagation and outward boundary</x:v>
      </x:c>
      <x:c r="G24" s="27" t="str">
        <x:v>article evidence authority</x:v>
      </x:c>
      <x:c r="H24" s="27" t="str">
        <x:v>DRAFT</x:v>
      </x:c>
      <x:c r="I24" s="27" t="str">
        <x:v>OPEN</x:v>
      </x:c>
      <x:c r="J24" s="27" t="n">
        <x:v>0</x:v>
      </x:c>
      <x:c r="K24" s="29" t="str">
        <x:v>any serial or ancestry change</x:v>
      </x:c>
    </x:row>
    <x:row r="25" ht="27" customHeight="1">
      <x:c r="B25" s="27" t="str">
        <x:v>D05-TTC-T01</x:v>
      </x:c>
      <x:c r="C25" s="27" t="str">
        <x:v>TTC-T01</x:v>
      </x:c>
      <x:c r="D25" s="27" t="str">
        <x:v>Terrain tile cassette</x:v>
      </x:c>
      <x:c r="E25" s="27" t="str">
        <x:v>materials and hazard declaration</x:v>
      </x:c>
      <x:c r="F25" s="27" t="str">
        <x:v>composition, incompatibility and exposure disposition</x:v>
      </x:c>
      <x:c r="G25" s="27" t="str">
        <x:v>article evidence authority</x:v>
      </x:c>
      <x:c r="H25" s="27" t="str">
        <x:v>DRAFT</x:v>
      </x:c>
      <x:c r="I25" s="27" t="str">
        <x:v>OPEN</x:v>
      </x:c>
      <x:c r="J25" s="27" t="n">
        <x:v>0</x:v>
      </x:c>
      <x:c r="K25" s="29" t="str">
        <x:v>any serial or ancestry change</x:v>
      </x:c>
    </x:row>
    <x:row r="26" ht="27" customHeight="1">
      <x:c r="B26" s="27" t="str">
        <x:v>D06-TTC-T01</x:v>
      </x:c>
      <x:c r="C26" s="27" t="str">
        <x:v>TTC-T01</x:v>
      </x:c>
      <x:c r="D26" s="27" t="str">
        <x:v>Terrain tile cassette</x:v>
      </x:c>
      <x:c r="E26" s="27" t="str">
        <x:v>observable and channel map</x:v>
      </x:c>
      <x:c r="F26" s="27" t="str">
        <x:v>measurand, location, sampling and invalid-state grammar</x:v>
      </x:c>
      <x:c r="G26" s="27" t="str">
        <x:v>article evidence authority</x:v>
      </x:c>
      <x:c r="H26" s="27" t="str">
        <x:v>DRAFT</x:v>
      </x:c>
      <x:c r="I26" s="27" t="str">
        <x:v>OPEN</x:v>
      </x:c>
      <x:c r="J26" s="27" t="n">
        <x:v>0</x:v>
      </x:c>
      <x:c r="K26" s="29" t="str">
        <x:v>any serial or ancestry change</x:v>
      </x:c>
    </x:row>
    <x:row r="27" ht="27" customHeight="1">
      <x:c r="B27" s="27" t="str">
        <x:v>D07-TTC-T01</x:v>
      </x:c>
      <x:c r="C27" s="27" t="str">
        <x:v>TTC-T01</x:v>
      </x:c>
      <x:c r="D27" s="27" t="str">
        <x:v>Terrain tile cassette</x:v>
      </x:c>
      <x:c r="E27" s="27" t="str">
        <x:v>calibration plan</x:v>
      </x:c>
      <x:c r="F27" s="27" t="str">
        <x:v>traveling standards, uncertainty and pre/post sequence</x:v>
      </x:c>
      <x:c r="G27" s="27" t="str">
        <x:v>article evidence authority</x:v>
      </x:c>
      <x:c r="H27" s="27" t="str">
        <x:v>DRAFT</x:v>
      </x:c>
      <x:c r="I27" s="27" t="str">
        <x:v>OPEN</x:v>
      </x:c>
      <x:c r="J27" s="27" t="n">
        <x:v>0</x:v>
      </x:c>
      <x:c r="K27" s="29" t="str">
        <x:v>any serial or ancestry change</x:v>
      </x:c>
    </x:row>
    <x:row r="28" ht="27" customHeight="1">
      <x:c r="B28" s="27" t="str">
        <x:v>D08-TTC-T01</x:v>
      </x:c>
      <x:c r="C28" s="27" t="str">
        <x:v>TTC-T01</x:v>
      </x:c>
      <x:c r="D28" s="27" t="str">
        <x:v>Terrain tile cassette</x:v>
      </x:c>
      <x:c r="E28" s="27" t="str">
        <x:v>data time and storage plan</x:v>
      </x:c>
      <x:c r="F28" s="27" t="str">
        <x:v>segment, clock, retention, loss and export</x:v>
      </x:c>
      <x:c r="G28" s="27" t="str">
        <x:v>article evidence authority</x:v>
      </x:c>
      <x:c r="H28" s="27" t="str">
        <x:v>DRAFT</x:v>
      </x:c>
      <x:c r="I28" s="27" t="str">
        <x:v>OPEN</x:v>
      </x:c>
      <x:c r="J28" s="27" t="n">
        <x:v>0</x:v>
      </x:c>
      <x:c r="K28" s="29" t="str">
        <x:v>any serial or ancestry change</x:v>
      </x:c>
    </x:row>
    <x:row r="29" ht="27" customHeight="1">
      <x:c r="B29" s="27" t="str">
        <x:v>D09-TTC-T01</x:v>
      </x:c>
      <x:c r="C29" s="27" t="str">
        <x:v>TTC-T01</x:v>
      </x:c>
      <x:c r="D29" s="27" t="str">
        <x:v>Terrain tile cassette</x:v>
      </x:c>
      <x:c r="E29" s="27" t="str">
        <x:v>physical non-actuation case</x:v>
      </x:c>
      <x:c r="F29" s="27" t="str">
        <x:v>reverse-energy, return-data and teardown evidence</x:v>
      </x:c>
      <x:c r="G29" s="27" t="str">
        <x:v>article evidence authority</x:v>
      </x:c>
      <x:c r="H29" s="27" t="str">
        <x:v>DRAFT</x:v>
      </x:c>
      <x:c r="I29" s="27" t="str">
        <x:v>OPEN</x:v>
      </x:c>
      <x:c r="J29" s="27" t="n">
        <x:v>0</x:v>
      </x:c>
      <x:c r="K29" s="29" t="str">
        <x:v>any serial or ancestry change</x:v>
      </x:c>
    </x:row>
    <x:row r="30" ht="27" customHeight="1">
      <x:c r="B30" s="27" t="str">
        <x:v>D10-TTC-T01</x:v>
      </x:c>
      <x:c r="C30" s="27" t="str">
        <x:v>TTC-T01</x:v>
      </x:c>
      <x:c r="D30" s="27" t="str">
        <x:v>Terrain tile cassette</x:v>
      </x:c>
      <x:c r="E30" s="27" t="str">
        <x:v>access and maintainability plan</x:v>
      </x:c>
      <x:c r="F30" s="27" t="str">
        <x:v>tools, reach, swap, inspection and safe isolation</x:v>
      </x:c>
      <x:c r="G30" s="27" t="str">
        <x:v>article evidence authority</x:v>
      </x:c>
      <x:c r="H30" s="27" t="str">
        <x:v>DRAFT</x:v>
      </x:c>
      <x:c r="I30" s="27" t="str">
        <x:v>OPEN</x:v>
      </x:c>
      <x:c r="J30" s="27" t="n">
        <x:v>0</x:v>
      </x:c>
      <x:c r="K30" s="29" t="str">
        <x:v>any serial or ancestry change</x:v>
      </x:c>
    </x:row>
    <x:row r="31" ht="27" customHeight="1">
      <x:c r="B31" s="27" t="str">
        <x:v>D11-TTC-T01</x:v>
      </x:c>
      <x:c r="C31" s="27" t="str">
        <x:v>TTC-T01</x:v>
      </x:c>
      <x:c r="D31" s="27" t="str">
        <x:v>Terrain tile cassette</x:v>
      </x:c>
      <x:c r="E31" s="27" t="str">
        <x:v>decontamination and quarantine plan</x:v>
      </x:c>
      <x:c r="F31" s="27" t="str">
        <x:v>cleaning, exposure marking, custody and disposition</x:v>
      </x:c>
      <x:c r="G31" s="27" t="str">
        <x:v>article evidence authority</x:v>
      </x:c>
      <x:c r="H31" s="27" t="str">
        <x:v>DRAFT</x:v>
      </x:c>
      <x:c r="I31" s="27" t="str">
        <x:v>OPEN</x:v>
      </x:c>
      <x:c r="J31" s="27" t="n">
        <x:v>0</x:v>
      </x:c>
      <x:c r="K31" s="29" t="str">
        <x:v>any serial or ancestry change</x:v>
      </x:c>
    </x:row>
    <x:row r="32" ht="27" customHeight="1">
      <x:c r="B32" s="27" t="str">
        <x:v>D12-TTC-T01</x:v>
      </x:c>
      <x:c r="C32" s="27" t="str">
        <x:v>TTC-T01</x:v>
      </x:c>
      <x:c r="D32" s="27" t="str">
        <x:v>Terrain tile cassette</x:v>
      </x:c>
      <x:c r="E32" s="27" t="str">
        <x:v>ancestry and technical-rights package</x:v>
      </x:c>
      <x:c r="F32" s="27" t="str">
        <x:v>ownership, facility, process, firmware and reproduction rights</x:v>
      </x:c>
      <x:c r="G32" s="27" t="str">
        <x:v>article evidence authority</x:v>
      </x:c>
      <x:c r="H32" s="27" t="str">
        <x:v>DRAFT</x:v>
      </x:c>
      <x:c r="I32" s="27" t="str">
        <x:v>OPEN</x:v>
      </x:c>
      <x:c r="J32" s="27" t="n">
        <x:v>0</x:v>
      </x:c>
      <x:c r="K32" s="29" t="str">
        <x:v>any serial or ancestry change</x:v>
      </x:c>
    </x:row>
    <x:row r="33" ht="27" customHeight="1">
      <x:c r="B33" s="27" t="str">
        <x:v>D13-TTC-T01</x:v>
      </x:c>
      <x:c r="C33" s="27" t="str">
        <x:v>TTC-T01</x:v>
      </x:c>
      <x:c r="D33" s="27" t="str">
        <x:v>Terrain tile cassette</x:v>
      </x:c>
      <x:c r="E33" s="27" t="str">
        <x:v>emulator equivalence definition</x:v>
      </x:c>
      <x:c r="F33" s="27" t="str">
        <x:v>mass, inertia, stiffness, heat and impedance pairing</x:v>
      </x:c>
      <x:c r="G33" s="27" t="str">
        <x:v>article evidence authority</x:v>
      </x:c>
      <x:c r="H33" s="27" t="str">
        <x:v>DRAFT</x:v>
      </x:c>
      <x:c r="I33" s="27" t="str">
        <x:v>OPEN</x:v>
      </x:c>
      <x:c r="J33" s="27" t="n">
        <x:v>0</x:v>
      </x:c>
      <x:c r="K33" s="29" t="str">
        <x:v>any serial or ancestry change</x:v>
      </x:c>
    </x:row>
    <x:row r="34" ht="27" customHeight="1">
      <x:c r="B34" s="27" t="str">
        <x:v>D14-TTC-T01</x:v>
      </x:c>
      <x:c r="C34" s="27" t="str">
        <x:v>TTC-T01</x:v>
      </x:c>
      <x:c r="D34" s="27" t="str">
        <x:v>Terrain tile cassette</x:v>
      </x:c>
      <x:c r="E34" s="27" t="str">
        <x:v>acceptance evidence index</x:v>
      </x:c>
      <x:c r="F34" s="27" t="str">
        <x:v>required artifacts, authorities, stop rules and second-lot record</x:v>
      </x:c>
      <x:c r="G34" s="27" t="str">
        <x:v>article evidence authority</x:v>
      </x:c>
      <x:c r="H34" s="27" t="str">
        <x:v>DRAFT</x:v>
      </x:c>
      <x:c r="I34" s="27" t="str">
        <x:v>OPEN</x:v>
      </x:c>
      <x:c r="J34" s="27" t="n">
        <x:v>0</x:v>
      </x:c>
      <x:c r="K34" s="29" t="str">
        <x:v>any serial or ancestry change</x:v>
      </x:c>
    </x:row>
    <x:row r="35" ht="27" customHeight="1">
      <x:c r="B35" s="27" t="str">
        <x:v>D01-ACN-A01</x:v>
      </x:c>
      <x:c r="C35" s="27" t="str">
        <x:v>ACN-A01</x:v>
      </x:c>
      <x:c r="D35" s="27" t="str">
        <x:v>Air carrier node</x:v>
      </x:c>
      <x:c r="E35" s="27" t="str">
        <x:v>interface control dataset</x:v>
      </x:c>
      <x:c r="F35" s="27" t="str">
        <x:v>all physical, energy, fluid, optical and custody boundaries</x:v>
      </x:c>
      <x:c r="G35" s="27" t="str">
        <x:v>air evidence authority</x:v>
      </x:c>
      <x:c r="H35" s="27" t="str">
        <x:v>DRAFT</x:v>
      </x:c>
      <x:c r="I35" s="27" t="str">
        <x:v>OPEN</x:v>
      </x:c>
      <x:c r="J35" s="27" t="n">
        <x:v>0</x:v>
      </x:c>
      <x:c r="K35" s="29" t="str">
        <x:v>any serial or ancestry change</x:v>
      </x:c>
    </x:row>
    <x:row r="36" ht="27" customHeight="1">
      <x:c r="B36" s="27" t="str">
        <x:v>D02-ACN-A01</x:v>
      </x:c>
      <x:c r="C36" s="27" t="str">
        <x:v>ACN-A01</x:v>
      </x:c>
      <x:c r="D36" s="27" t="str">
        <x:v>Air carrier node</x:v>
      </x:c>
      <x:c r="E36" s="27" t="str">
        <x:v>mass-property ledger</x:v>
      </x:c>
      <x:c r="F36" s="27" t="str">
        <x:v>component mass, moments, center of gravity and growth reserve</x:v>
      </x:c>
      <x:c r="G36" s="27" t="str">
        <x:v>air evidence authority</x:v>
      </x:c>
      <x:c r="H36" s="27" t="str">
        <x:v>DRAFT</x:v>
      </x:c>
      <x:c r="I36" s="27" t="str">
        <x:v>OPEN</x:v>
      </x:c>
      <x:c r="J36" s="27" t="n">
        <x:v>0</x:v>
      </x:c>
      <x:c r="K36" s="29" t="str">
        <x:v>any serial or ancestry change</x:v>
      </x:c>
    </x:row>
    <x:row r="37" ht="27" customHeight="1">
      <x:c r="B37" s="27" t="str">
        <x:v>D03-ACN-A01</x:v>
      </x:c>
      <x:c r="C37" s="27" t="str">
        <x:v>ACN-A01</x:v>
      </x:c>
      <x:c r="D37" s="27" t="str">
        <x:v>Air carrier node</x:v>
      </x:c>
      <x:c r="E37" s="27" t="str">
        <x:v>power and endurance case</x:v>
      </x:c>
      <x:c r="F37" s="27" t="str">
        <x:v>average, peak, startup, reserve and isolation</x:v>
      </x:c>
      <x:c r="G37" s="27" t="str">
        <x:v>air evidence authority</x:v>
      </x:c>
      <x:c r="H37" s="27" t="str">
        <x:v>DRAFT</x:v>
      </x:c>
      <x:c r="I37" s="27" t="str">
        <x:v>OPEN</x:v>
      </x:c>
      <x:c r="J37" s="27" t="n">
        <x:v>0</x:v>
      </x:c>
      <x:c r="K37" s="29" t="str">
        <x:v>any serial or ancestry change</x:v>
      </x:c>
    </x:row>
    <x:row r="38" ht="27" customHeight="1">
      <x:c r="B38" s="27" t="str">
        <x:v>D04-ACN-A01</x:v>
      </x:c>
      <x:c r="C38" s="27" t="str">
        <x:v>ACN-A01</x:v>
      </x:c>
      <x:c r="D38" s="27" t="str">
        <x:v>Air carrier node</x:v>
      </x:c>
      <x:c r="E38" s="27" t="str">
        <x:v>thermal rejection case</x:v>
      </x:c>
      <x:c r="F38" s="27" t="str">
        <x:v>steady, peak, propagation and outward boundary</x:v>
      </x:c>
      <x:c r="G38" s="27" t="str">
        <x:v>air evidence authority</x:v>
      </x:c>
      <x:c r="H38" s="27" t="str">
        <x:v>DRAFT</x:v>
      </x:c>
      <x:c r="I38" s="27" t="str">
        <x:v>OPEN</x:v>
      </x:c>
      <x:c r="J38" s="27" t="n">
        <x:v>0</x:v>
      </x:c>
      <x:c r="K38" s="29" t="str">
        <x:v>any serial or ancestry change</x:v>
      </x:c>
    </x:row>
    <x:row r="39" ht="27" customHeight="1">
      <x:c r="B39" s="27" t="str">
        <x:v>D05-ACN-A01</x:v>
      </x:c>
      <x:c r="C39" s="27" t="str">
        <x:v>ACN-A01</x:v>
      </x:c>
      <x:c r="D39" s="27" t="str">
        <x:v>Air carrier node</x:v>
      </x:c>
      <x:c r="E39" s="27" t="str">
        <x:v>materials and hazard declaration</x:v>
      </x:c>
      <x:c r="F39" s="27" t="str">
        <x:v>composition, incompatibility and exposure disposition</x:v>
      </x:c>
      <x:c r="G39" s="27" t="str">
        <x:v>air evidence authority</x:v>
      </x:c>
      <x:c r="H39" s="27" t="str">
        <x:v>DRAFT</x:v>
      </x:c>
      <x:c r="I39" s="27" t="str">
        <x:v>OPEN</x:v>
      </x:c>
      <x:c r="J39" s="27" t="n">
        <x:v>0</x:v>
      </x:c>
      <x:c r="K39" s="29" t="str">
        <x:v>any serial or ancestry change</x:v>
      </x:c>
    </x:row>
    <x:row r="40" ht="27" customHeight="1">
      <x:c r="B40" s="27" t="str">
        <x:v>D06-ACN-A01</x:v>
      </x:c>
      <x:c r="C40" s="27" t="str">
        <x:v>ACN-A01</x:v>
      </x:c>
      <x:c r="D40" s="27" t="str">
        <x:v>Air carrier node</x:v>
      </x:c>
      <x:c r="E40" s="27" t="str">
        <x:v>observable and channel map</x:v>
      </x:c>
      <x:c r="F40" s="27" t="str">
        <x:v>measurand, location, sampling and invalid-state grammar</x:v>
      </x:c>
      <x:c r="G40" s="27" t="str">
        <x:v>air evidence authority</x:v>
      </x:c>
      <x:c r="H40" s="27" t="str">
        <x:v>DRAFT</x:v>
      </x:c>
      <x:c r="I40" s="27" t="str">
        <x:v>OPEN</x:v>
      </x:c>
      <x:c r="J40" s="27" t="n">
        <x:v>0</x:v>
      </x:c>
      <x:c r="K40" s="29" t="str">
        <x:v>any serial or ancestry change</x:v>
      </x:c>
    </x:row>
    <x:row r="41" ht="27" customHeight="1">
      <x:c r="B41" s="27" t="str">
        <x:v>D07-ACN-A01</x:v>
      </x:c>
      <x:c r="C41" s="27" t="str">
        <x:v>ACN-A01</x:v>
      </x:c>
      <x:c r="D41" s="27" t="str">
        <x:v>Air carrier node</x:v>
      </x:c>
      <x:c r="E41" s="27" t="str">
        <x:v>calibration plan</x:v>
      </x:c>
      <x:c r="F41" s="27" t="str">
        <x:v>traveling standards, uncertainty and pre/post sequence</x:v>
      </x:c>
      <x:c r="G41" s="27" t="str">
        <x:v>air evidence authority</x:v>
      </x:c>
      <x:c r="H41" s="27" t="str">
        <x:v>DRAFT</x:v>
      </x:c>
      <x:c r="I41" s="27" t="str">
        <x:v>OPEN</x:v>
      </x:c>
      <x:c r="J41" s="27" t="n">
        <x:v>0</x:v>
      </x:c>
      <x:c r="K41" s="29" t="str">
        <x:v>any serial or ancestry change</x:v>
      </x:c>
    </x:row>
    <x:row r="42" ht="27" customHeight="1">
      <x:c r="B42" s="27" t="str">
        <x:v>D08-ACN-A01</x:v>
      </x:c>
      <x:c r="C42" s="27" t="str">
        <x:v>ACN-A01</x:v>
      </x:c>
      <x:c r="D42" s="27" t="str">
        <x:v>Air carrier node</x:v>
      </x:c>
      <x:c r="E42" s="27" t="str">
        <x:v>data time and storage plan</x:v>
      </x:c>
      <x:c r="F42" s="27" t="str">
        <x:v>segment, clock, retention, loss and export</x:v>
      </x:c>
      <x:c r="G42" s="27" t="str">
        <x:v>air evidence authority</x:v>
      </x:c>
      <x:c r="H42" s="27" t="str">
        <x:v>DRAFT</x:v>
      </x:c>
      <x:c r="I42" s="27" t="str">
        <x:v>OPEN</x:v>
      </x:c>
      <x:c r="J42" s="27" t="n">
        <x:v>0</x:v>
      </x:c>
      <x:c r="K42" s="29" t="str">
        <x:v>any serial or ancestry change</x:v>
      </x:c>
    </x:row>
    <x:row r="43" ht="27" customHeight="1">
      <x:c r="B43" s="27" t="str">
        <x:v>D09-ACN-A01</x:v>
      </x:c>
      <x:c r="C43" s="27" t="str">
        <x:v>ACN-A01</x:v>
      </x:c>
      <x:c r="D43" s="27" t="str">
        <x:v>Air carrier node</x:v>
      </x:c>
      <x:c r="E43" s="27" t="str">
        <x:v>physical non-actuation case</x:v>
      </x:c>
      <x:c r="F43" s="27" t="str">
        <x:v>reverse-energy, return-data and teardown evidence</x:v>
      </x:c>
      <x:c r="G43" s="27" t="str">
        <x:v>air evidence authority</x:v>
      </x:c>
      <x:c r="H43" s="27" t="str">
        <x:v>DRAFT</x:v>
      </x:c>
      <x:c r="I43" s="27" t="str">
        <x:v>OPEN</x:v>
      </x:c>
      <x:c r="J43" s="27" t="n">
        <x:v>0</x:v>
      </x:c>
      <x:c r="K43" s="29" t="str">
        <x:v>any serial or ancestry change</x:v>
      </x:c>
    </x:row>
    <x:row r="44" ht="27" customHeight="1">
      <x:c r="B44" s="27" t="str">
        <x:v>D10-ACN-A01</x:v>
      </x:c>
      <x:c r="C44" s="27" t="str">
        <x:v>ACN-A01</x:v>
      </x:c>
      <x:c r="D44" s="27" t="str">
        <x:v>Air carrier node</x:v>
      </x:c>
      <x:c r="E44" s="27" t="str">
        <x:v>access and maintainability plan</x:v>
      </x:c>
      <x:c r="F44" s="27" t="str">
        <x:v>tools, reach, swap, inspection and safe isolation</x:v>
      </x:c>
      <x:c r="G44" s="27" t="str">
        <x:v>air evidence authority</x:v>
      </x:c>
      <x:c r="H44" s="27" t="str">
        <x:v>DRAFT</x:v>
      </x:c>
      <x:c r="I44" s="27" t="str">
        <x:v>OPEN</x:v>
      </x:c>
      <x:c r="J44" s="27" t="n">
        <x:v>0</x:v>
      </x:c>
      <x:c r="K44" s="29" t="str">
        <x:v>any serial or ancestry change</x:v>
      </x:c>
    </x:row>
    <x:row r="45" ht="27" customHeight="1">
      <x:c r="B45" s="27" t="str">
        <x:v>D11-ACN-A01</x:v>
      </x:c>
      <x:c r="C45" s="27" t="str">
        <x:v>ACN-A01</x:v>
      </x:c>
      <x:c r="D45" s="27" t="str">
        <x:v>Air carrier node</x:v>
      </x:c>
      <x:c r="E45" s="27" t="str">
        <x:v>decontamination and quarantine plan</x:v>
      </x:c>
      <x:c r="F45" s="27" t="str">
        <x:v>cleaning, exposure marking, custody and disposition</x:v>
      </x:c>
      <x:c r="G45" s="27" t="str">
        <x:v>air evidence authority</x:v>
      </x:c>
      <x:c r="H45" s="27" t="str">
        <x:v>DRAFT</x:v>
      </x:c>
      <x:c r="I45" s="27" t="str">
        <x:v>OPEN</x:v>
      </x:c>
      <x:c r="J45" s="27" t="n">
        <x:v>0</x:v>
      </x:c>
      <x:c r="K45" s="29" t="str">
        <x:v>any serial or ancestry change</x:v>
      </x:c>
    </x:row>
    <x:row r="46" ht="27" customHeight="1">
      <x:c r="B46" s="27" t="str">
        <x:v>D12-ACN-A01</x:v>
      </x:c>
      <x:c r="C46" s="27" t="str">
        <x:v>ACN-A01</x:v>
      </x:c>
      <x:c r="D46" s="27" t="str">
        <x:v>Air carrier node</x:v>
      </x:c>
      <x:c r="E46" s="27" t="str">
        <x:v>ancestry and technical-rights package</x:v>
      </x:c>
      <x:c r="F46" s="27" t="str">
        <x:v>ownership, facility, process, firmware and reproduction rights</x:v>
      </x:c>
      <x:c r="G46" s="27" t="str">
        <x:v>air evidence authority</x:v>
      </x:c>
      <x:c r="H46" s="27" t="str">
        <x:v>DRAFT</x:v>
      </x:c>
      <x:c r="I46" s="27" t="str">
        <x:v>OPEN</x:v>
      </x:c>
      <x:c r="J46" s="27" t="n">
        <x:v>0</x:v>
      </x:c>
      <x:c r="K46" s="29" t="str">
        <x:v>any serial or ancestry change</x:v>
      </x:c>
    </x:row>
    <x:row r="47" ht="27" customHeight="1">
      <x:c r="B47" s="27" t="str">
        <x:v>D13-ACN-A01</x:v>
      </x:c>
      <x:c r="C47" s="27" t="str">
        <x:v>ACN-A01</x:v>
      </x:c>
      <x:c r="D47" s="27" t="str">
        <x:v>Air carrier node</x:v>
      </x:c>
      <x:c r="E47" s="27" t="str">
        <x:v>emulator equivalence definition</x:v>
      </x:c>
      <x:c r="F47" s="27" t="str">
        <x:v>mass, inertia, stiffness, heat and impedance pairing</x:v>
      </x:c>
      <x:c r="G47" s="27" t="str">
        <x:v>air evidence authority</x:v>
      </x:c>
      <x:c r="H47" s="27" t="str">
        <x:v>DRAFT</x:v>
      </x:c>
      <x:c r="I47" s="27" t="str">
        <x:v>OPEN</x:v>
      </x:c>
      <x:c r="J47" s="27" t="n">
        <x:v>0</x:v>
      </x:c>
      <x:c r="K47" s="29" t="str">
        <x:v>any serial or ancestry change</x:v>
      </x:c>
    </x:row>
    <x:row r="48" ht="27" customHeight="1">
      <x:c r="B48" s="27" t="str">
        <x:v>D14-ACN-A01</x:v>
      </x:c>
      <x:c r="C48" s="27" t="str">
        <x:v>ACN-A01</x:v>
      </x:c>
      <x:c r="D48" s="27" t="str">
        <x:v>Air carrier node</x:v>
      </x:c>
      <x:c r="E48" s="27" t="str">
        <x:v>acceptance evidence index</x:v>
      </x:c>
      <x:c r="F48" s="27" t="str">
        <x:v>required artifacts, authorities, stop rules and second-lot record</x:v>
      </x:c>
      <x:c r="G48" s="27" t="str">
        <x:v>air evidence authority</x:v>
      </x:c>
      <x:c r="H48" s="27" t="str">
        <x:v>DRAFT</x:v>
      </x:c>
      <x:c r="I48" s="27" t="str">
        <x:v>OPEN</x:v>
      </x:c>
      <x:c r="J48" s="27" t="n">
        <x:v>0</x:v>
      </x:c>
      <x:c r="K48" s="29" t="str">
        <x:v>any serial or ancestry change</x:v>
      </x:c>
    </x:row>
    <x:row r="49" ht="27" customHeight="1">
      <x:c r="B49" s="27" t="str">
        <x:v>D01-TCN-T01</x:v>
      </x:c>
      <x:c r="C49" s="27" t="str">
        <x:v>TCN-T01</x:v>
      </x:c>
      <x:c r="D49" s="27" t="str">
        <x:v>Terrain carrier node</x:v>
      </x:c>
      <x:c r="E49" s="27" t="str">
        <x:v>interface control dataset</x:v>
      </x:c>
      <x:c r="F49" s="27" t="str">
        <x:v>all physical, energy, fluid, optical and custody boundaries</x:v>
      </x:c>
      <x:c r="G49" s="27" t="str">
        <x:v>terrain evidence authority</x:v>
      </x:c>
      <x:c r="H49" s="27" t="str">
        <x:v>DRAFT</x:v>
      </x:c>
      <x:c r="I49" s="27" t="str">
        <x:v>OPEN</x:v>
      </x:c>
      <x:c r="J49" s="27" t="n">
        <x:v>0</x:v>
      </x:c>
      <x:c r="K49" s="29" t="str">
        <x:v>any serial or ancestry change</x:v>
      </x:c>
    </x:row>
    <x:row r="50" ht="27" customHeight="1">
      <x:c r="B50" s="27" t="str">
        <x:v>D02-TCN-T01</x:v>
      </x:c>
      <x:c r="C50" s="27" t="str">
        <x:v>TCN-T01</x:v>
      </x:c>
      <x:c r="D50" s="27" t="str">
        <x:v>Terrain carrier node</x:v>
      </x:c>
      <x:c r="E50" s="27" t="str">
        <x:v>mass-property ledger</x:v>
      </x:c>
      <x:c r="F50" s="27" t="str">
        <x:v>component mass, moments, center of gravity and growth reserve</x:v>
      </x:c>
      <x:c r="G50" s="27" t="str">
        <x:v>terrain evidence authority</x:v>
      </x:c>
      <x:c r="H50" s="27" t="str">
        <x:v>DRAFT</x:v>
      </x:c>
      <x:c r="I50" s="27" t="str">
        <x:v>OPEN</x:v>
      </x:c>
      <x:c r="J50" s="27" t="n">
        <x:v>0</x:v>
      </x:c>
      <x:c r="K50" s="29" t="str">
        <x:v>any serial or ancestry change</x:v>
      </x:c>
    </x:row>
    <x:row r="51" ht="27" customHeight="1">
      <x:c r="B51" s="27" t="str">
        <x:v>D03-TCN-T01</x:v>
      </x:c>
      <x:c r="C51" s="27" t="str">
        <x:v>TCN-T01</x:v>
      </x:c>
      <x:c r="D51" s="27" t="str">
        <x:v>Terrain carrier node</x:v>
      </x:c>
      <x:c r="E51" s="27" t="str">
        <x:v>power and endurance case</x:v>
      </x:c>
      <x:c r="F51" s="27" t="str">
        <x:v>average, peak, startup, reserve and isolation</x:v>
      </x:c>
      <x:c r="G51" s="27" t="str">
        <x:v>terrain evidence authority</x:v>
      </x:c>
      <x:c r="H51" s="27" t="str">
        <x:v>DRAFT</x:v>
      </x:c>
      <x:c r="I51" s="27" t="str">
        <x:v>OPEN</x:v>
      </x:c>
      <x:c r="J51" s="27" t="n">
        <x:v>0</x:v>
      </x:c>
      <x:c r="K51" s="29" t="str">
        <x:v>any serial or ancestry change</x:v>
      </x:c>
    </x:row>
    <x:row r="52" ht="27" customHeight="1">
      <x:c r="B52" s="27" t="str">
        <x:v>D04-TCN-T01</x:v>
      </x:c>
      <x:c r="C52" s="27" t="str">
        <x:v>TCN-T01</x:v>
      </x:c>
      <x:c r="D52" s="27" t="str">
        <x:v>Terrain carrier node</x:v>
      </x:c>
      <x:c r="E52" s="27" t="str">
        <x:v>thermal rejection case</x:v>
      </x:c>
      <x:c r="F52" s="27" t="str">
        <x:v>steady, peak, propagation and outward boundary</x:v>
      </x:c>
      <x:c r="G52" s="27" t="str">
        <x:v>terrain evidence authority</x:v>
      </x:c>
      <x:c r="H52" s="27" t="str">
        <x:v>DRAFT</x:v>
      </x:c>
      <x:c r="I52" s="27" t="str">
        <x:v>OPEN</x:v>
      </x:c>
      <x:c r="J52" s="27" t="n">
        <x:v>0</x:v>
      </x:c>
      <x:c r="K52" s="29" t="str">
        <x:v>any serial or ancestry change</x:v>
      </x:c>
    </x:row>
    <x:row r="53" ht="27" customHeight="1">
      <x:c r="B53" s="27" t="str">
        <x:v>D05-TCN-T01</x:v>
      </x:c>
      <x:c r="C53" s="27" t="str">
        <x:v>TCN-T01</x:v>
      </x:c>
      <x:c r="D53" s="27" t="str">
        <x:v>Terrain carrier node</x:v>
      </x:c>
      <x:c r="E53" s="27" t="str">
        <x:v>materials and hazard declaration</x:v>
      </x:c>
      <x:c r="F53" s="27" t="str">
        <x:v>composition, incompatibility and exposure disposition</x:v>
      </x:c>
      <x:c r="G53" s="27" t="str">
        <x:v>terrain evidence authority</x:v>
      </x:c>
      <x:c r="H53" s="27" t="str">
        <x:v>DRAFT</x:v>
      </x:c>
      <x:c r="I53" s="27" t="str">
        <x:v>OPEN</x:v>
      </x:c>
      <x:c r="J53" s="27" t="n">
        <x:v>0</x:v>
      </x:c>
      <x:c r="K53" s="29" t="str">
        <x:v>any serial or ancestry change</x:v>
      </x:c>
    </x:row>
    <x:row r="54" ht="27" customHeight="1">
      <x:c r="B54" s="27" t="str">
        <x:v>D06-TCN-T01</x:v>
      </x:c>
      <x:c r="C54" s="27" t="str">
        <x:v>TCN-T01</x:v>
      </x:c>
      <x:c r="D54" s="27" t="str">
        <x:v>Terrain carrier node</x:v>
      </x:c>
      <x:c r="E54" s="27" t="str">
        <x:v>observable and channel map</x:v>
      </x:c>
      <x:c r="F54" s="27" t="str">
        <x:v>measurand, location, sampling and invalid-state grammar</x:v>
      </x:c>
      <x:c r="G54" s="27" t="str">
        <x:v>terrain evidence authority</x:v>
      </x:c>
      <x:c r="H54" s="27" t="str">
        <x:v>DRAFT</x:v>
      </x:c>
      <x:c r="I54" s="27" t="str">
        <x:v>OPEN</x:v>
      </x:c>
      <x:c r="J54" s="27" t="n">
        <x:v>0</x:v>
      </x:c>
      <x:c r="K54" s="29" t="str">
        <x:v>any serial or ancestry change</x:v>
      </x:c>
    </x:row>
    <x:row r="55" ht="27" customHeight="1">
      <x:c r="B55" s="27" t="str">
        <x:v>D07-TCN-T01</x:v>
      </x:c>
      <x:c r="C55" s="27" t="str">
        <x:v>TCN-T01</x:v>
      </x:c>
      <x:c r="D55" s="27" t="str">
        <x:v>Terrain carrier node</x:v>
      </x:c>
      <x:c r="E55" s="27" t="str">
        <x:v>calibration plan</x:v>
      </x:c>
      <x:c r="F55" s="27" t="str">
        <x:v>traveling standards, uncertainty and pre/post sequence</x:v>
      </x:c>
      <x:c r="G55" s="27" t="str">
        <x:v>terrain evidence authority</x:v>
      </x:c>
      <x:c r="H55" s="27" t="str">
        <x:v>DRAFT</x:v>
      </x:c>
      <x:c r="I55" s="27" t="str">
        <x:v>OPEN</x:v>
      </x:c>
      <x:c r="J55" s="27" t="n">
        <x:v>0</x:v>
      </x:c>
      <x:c r="K55" s="29" t="str">
        <x:v>any serial or ancestry change</x:v>
      </x:c>
    </x:row>
    <x:row r="56" ht="27" customHeight="1">
      <x:c r="B56" s="27" t="str">
        <x:v>D08-TCN-T01</x:v>
      </x:c>
      <x:c r="C56" s="27" t="str">
        <x:v>TCN-T01</x:v>
      </x:c>
      <x:c r="D56" s="27" t="str">
        <x:v>Terrain carrier node</x:v>
      </x:c>
      <x:c r="E56" s="27" t="str">
        <x:v>data time and storage plan</x:v>
      </x:c>
      <x:c r="F56" s="27" t="str">
        <x:v>segment, clock, retention, loss and export</x:v>
      </x:c>
      <x:c r="G56" s="27" t="str">
        <x:v>terrain evidence authority</x:v>
      </x:c>
      <x:c r="H56" s="27" t="str">
        <x:v>DRAFT</x:v>
      </x:c>
      <x:c r="I56" s="27" t="str">
        <x:v>OPEN</x:v>
      </x:c>
      <x:c r="J56" s="27" t="n">
        <x:v>0</x:v>
      </x:c>
      <x:c r="K56" s="29" t="str">
        <x:v>any serial or ancestry change</x:v>
      </x:c>
    </x:row>
    <x:row r="57" ht="27" customHeight="1">
      <x:c r="B57" s="27" t="str">
        <x:v>D09-TCN-T01</x:v>
      </x:c>
      <x:c r="C57" s="27" t="str">
        <x:v>TCN-T01</x:v>
      </x:c>
      <x:c r="D57" s="27" t="str">
        <x:v>Terrain carrier node</x:v>
      </x:c>
      <x:c r="E57" s="27" t="str">
        <x:v>physical non-actuation case</x:v>
      </x:c>
      <x:c r="F57" s="27" t="str">
        <x:v>reverse-energy, return-data and teardown evidence</x:v>
      </x:c>
      <x:c r="G57" s="27" t="str">
        <x:v>terrain evidence authority</x:v>
      </x:c>
      <x:c r="H57" s="27" t="str">
        <x:v>DRAFT</x:v>
      </x:c>
      <x:c r="I57" s="27" t="str">
        <x:v>OPEN</x:v>
      </x:c>
      <x:c r="J57" s="27" t="n">
        <x:v>0</x:v>
      </x:c>
      <x:c r="K57" s="29" t="str">
        <x:v>any serial or ancestry change</x:v>
      </x:c>
    </x:row>
    <x:row r="58" ht="27" customHeight="1">
      <x:c r="B58" s="27" t="str">
        <x:v>D10-TCN-T01</x:v>
      </x:c>
      <x:c r="C58" s="27" t="str">
        <x:v>TCN-T01</x:v>
      </x:c>
      <x:c r="D58" s="27" t="str">
        <x:v>Terrain carrier node</x:v>
      </x:c>
      <x:c r="E58" s="27" t="str">
        <x:v>access and maintainability plan</x:v>
      </x:c>
      <x:c r="F58" s="27" t="str">
        <x:v>tools, reach, swap, inspection and safe isolation</x:v>
      </x:c>
      <x:c r="G58" s="27" t="str">
        <x:v>terrain evidence authority</x:v>
      </x:c>
      <x:c r="H58" s="27" t="str">
        <x:v>DRAFT</x:v>
      </x:c>
      <x:c r="I58" s="27" t="str">
        <x:v>OPEN</x:v>
      </x:c>
      <x:c r="J58" s="27" t="n">
        <x:v>0</x:v>
      </x:c>
      <x:c r="K58" s="29" t="str">
        <x:v>any serial or ancestry change</x:v>
      </x:c>
    </x:row>
    <x:row r="59" ht="27" customHeight="1">
      <x:c r="B59" s="27" t="str">
        <x:v>D11-TCN-T01</x:v>
      </x:c>
      <x:c r="C59" s="27" t="str">
        <x:v>TCN-T01</x:v>
      </x:c>
      <x:c r="D59" s="27" t="str">
        <x:v>Terrain carrier node</x:v>
      </x:c>
      <x:c r="E59" s="27" t="str">
        <x:v>decontamination and quarantine plan</x:v>
      </x:c>
      <x:c r="F59" s="27" t="str">
        <x:v>cleaning, exposure marking, custody and disposition</x:v>
      </x:c>
      <x:c r="G59" s="27" t="str">
        <x:v>terrain evidence authority</x:v>
      </x:c>
      <x:c r="H59" s="27" t="str">
        <x:v>DRAFT</x:v>
      </x:c>
      <x:c r="I59" s="27" t="str">
        <x:v>OPEN</x:v>
      </x:c>
      <x:c r="J59" s="27" t="n">
        <x:v>0</x:v>
      </x:c>
      <x:c r="K59" s="29" t="str">
        <x:v>any serial or ancestry change</x:v>
      </x:c>
    </x:row>
    <x:row r="60" ht="27" customHeight="1">
      <x:c r="B60" s="27" t="str">
        <x:v>D12-TCN-T01</x:v>
      </x:c>
      <x:c r="C60" s="27" t="str">
        <x:v>TCN-T01</x:v>
      </x:c>
      <x:c r="D60" s="27" t="str">
        <x:v>Terrain carrier node</x:v>
      </x:c>
      <x:c r="E60" s="27" t="str">
        <x:v>ancestry and technical-rights package</x:v>
      </x:c>
      <x:c r="F60" s="27" t="str">
        <x:v>ownership, facility, process, firmware and reproduction rights</x:v>
      </x:c>
      <x:c r="G60" s="27" t="str">
        <x:v>terrain evidence authority</x:v>
      </x:c>
      <x:c r="H60" s="27" t="str">
        <x:v>DRAFT</x:v>
      </x:c>
      <x:c r="I60" s="27" t="str">
        <x:v>OPEN</x:v>
      </x:c>
      <x:c r="J60" s="27" t="n">
        <x:v>0</x:v>
      </x:c>
      <x:c r="K60" s="29" t="str">
        <x:v>any serial or ancestry change</x:v>
      </x:c>
    </x:row>
    <x:row r="61" ht="27" customHeight="1">
      <x:c r="B61" s="27" t="str">
        <x:v>D13-TCN-T01</x:v>
      </x:c>
      <x:c r="C61" s="27" t="str">
        <x:v>TCN-T01</x:v>
      </x:c>
      <x:c r="D61" s="27" t="str">
        <x:v>Terrain carrier node</x:v>
      </x:c>
      <x:c r="E61" s="27" t="str">
        <x:v>emulator equivalence definition</x:v>
      </x:c>
      <x:c r="F61" s="27" t="str">
        <x:v>mass, inertia, stiffness, heat and impedance pairing</x:v>
      </x:c>
      <x:c r="G61" s="27" t="str">
        <x:v>terrain evidence authority</x:v>
      </x:c>
      <x:c r="H61" s="27" t="str">
        <x:v>DRAFT</x:v>
      </x:c>
      <x:c r="I61" s="27" t="str">
        <x:v>OPEN</x:v>
      </x:c>
      <x:c r="J61" s="27" t="n">
        <x:v>0</x:v>
      </x:c>
      <x:c r="K61" s="29" t="str">
        <x:v>any serial or ancestry change</x:v>
      </x:c>
    </x:row>
    <x:row r="62" ht="27" customHeight="1">
      <x:c r="B62" s="27" t="str">
        <x:v>D14-TCN-T01</x:v>
      </x:c>
      <x:c r="C62" s="27" t="str">
        <x:v>TCN-T01</x:v>
      </x:c>
      <x:c r="D62" s="27" t="str">
        <x:v>Terrain carrier node</x:v>
      </x:c>
      <x:c r="E62" s="27" t="str">
        <x:v>acceptance evidence index</x:v>
      </x:c>
      <x:c r="F62" s="27" t="str">
        <x:v>required artifacts, authorities, stop rules and second-lot record</x:v>
      </x:c>
      <x:c r="G62" s="27" t="str">
        <x:v>terrain evidence authority</x:v>
      </x:c>
      <x:c r="H62" s="27" t="str">
        <x:v>DRAFT</x:v>
      </x:c>
      <x:c r="I62" s="27" t="str">
        <x:v>OPEN</x:v>
      </x:c>
      <x:c r="J62" s="27" t="n">
        <x:v>0</x:v>
      </x:c>
      <x:c r="K62" s="29" t="str">
        <x:v>any serial or ancestry change</x:v>
      </x:c>
    </x:row>
    <x:row r="63" ht="27" customHeight="1">
      <x:c r="B63" s="27" t="str">
        <x:v>D01-CRS-R01</x:v>
      </x:c>
      <x:c r="C63" s="27" t="str">
        <x:v>CRS-R01</x:v>
      </x:c>
      <x:c r="D63" s="27" t="str">
        <x:v>Civil receiver</x:v>
      </x:c>
      <x:c r="E63" s="27" t="str">
        <x:v>interface control dataset</x:v>
      </x:c>
      <x:c r="F63" s="27" t="str">
        <x:v>all physical, energy, fluid, optical and custody boundaries</x:v>
      </x:c>
      <x:c r="G63" s="27" t="str">
        <x:v>civil-effect authority</x:v>
      </x:c>
      <x:c r="H63" s="27" t="str">
        <x:v>DRAFT</x:v>
      </x:c>
      <x:c r="I63" s="27" t="str">
        <x:v>OPEN</x:v>
      </x:c>
      <x:c r="J63" s="27" t="n">
        <x:v>0</x:v>
      </x:c>
      <x:c r="K63" s="29" t="str">
        <x:v>any serial or ancestry change</x:v>
      </x:c>
    </x:row>
    <x:row r="64" ht="27" customHeight="1">
      <x:c r="B64" s="27" t="str">
        <x:v>D02-CRS-R01</x:v>
      </x:c>
      <x:c r="C64" s="27" t="str">
        <x:v>CRS-R01</x:v>
      </x:c>
      <x:c r="D64" s="27" t="str">
        <x:v>Civil receiver</x:v>
      </x:c>
      <x:c r="E64" s="27" t="str">
        <x:v>mass-property ledger</x:v>
      </x:c>
      <x:c r="F64" s="27" t="str">
        <x:v>component mass, moments, center of gravity and growth reserve</x:v>
      </x:c>
      <x:c r="G64" s="27" t="str">
        <x:v>civil-effect authority</x:v>
      </x:c>
      <x:c r="H64" s="27" t="str">
        <x:v>DRAFT</x:v>
      </x:c>
      <x:c r="I64" s="27" t="str">
        <x:v>OPEN</x:v>
      </x:c>
      <x:c r="J64" s="27" t="n">
        <x:v>0</x:v>
      </x:c>
      <x:c r="K64" s="29" t="str">
        <x:v>any serial or ancestry change</x:v>
      </x:c>
    </x:row>
    <x:row r="65" ht="27" customHeight="1">
      <x:c r="B65" s="27" t="str">
        <x:v>D03-CRS-R01</x:v>
      </x:c>
      <x:c r="C65" s="27" t="str">
        <x:v>CRS-R01</x:v>
      </x:c>
      <x:c r="D65" s="27" t="str">
        <x:v>Civil receiver</x:v>
      </x:c>
      <x:c r="E65" s="27" t="str">
        <x:v>power and endurance case</x:v>
      </x:c>
      <x:c r="F65" s="27" t="str">
        <x:v>average, peak, startup, reserve and isolation</x:v>
      </x:c>
      <x:c r="G65" s="27" t="str">
        <x:v>civil-effect authority</x:v>
      </x:c>
      <x:c r="H65" s="27" t="str">
        <x:v>DRAFT</x:v>
      </x:c>
      <x:c r="I65" s="27" t="str">
        <x:v>OPEN</x:v>
      </x:c>
      <x:c r="J65" s="27" t="n">
        <x:v>0</x:v>
      </x:c>
      <x:c r="K65" s="29" t="str">
        <x:v>any serial or ancestry change</x:v>
      </x:c>
    </x:row>
    <x:row r="66" ht="27" customHeight="1">
      <x:c r="B66" s="27" t="str">
        <x:v>D04-CRS-R01</x:v>
      </x:c>
      <x:c r="C66" s="27" t="str">
        <x:v>CRS-R01</x:v>
      </x:c>
      <x:c r="D66" s="27" t="str">
        <x:v>Civil receiver</x:v>
      </x:c>
      <x:c r="E66" s="27" t="str">
        <x:v>thermal rejection case</x:v>
      </x:c>
      <x:c r="F66" s="27" t="str">
        <x:v>steady, peak, propagation and outward boundary</x:v>
      </x:c>
      <x:c r="G66" s="27" t="str">
        <x:v>civil-effect authority</x:v>
      </x:c>
      <x:c r="H66" s="27" t="str">
        <x:v>DRAFT</x:v>
      </x:c>
      <x:c r="I66" s="27" t="str">
        <x:v>OPEN</x:v>
      </x:c>
      <x:c r="J66" s="27" t="n">
        <x:v>0</x:v>
      </x:c>
      <x:c r="K66" s="29" t="str">
        <x:v>any serial or ancestry change</x:v>
      </x:c>
    </x:row>
    <x:row r="67" ht="27" customHeight="1">
      <x:c r="B67" s="27" t="str">
        <x:v>D05-CRS-R01</x:v>
      </x:c>
      <x:c r="C67" s="27" t="str">
        <x:v>CRS-R01</x:v>
      </x:c>
      <x:c r="D67" s="27" t="str">
        <x:v>Civil receiver</x:v>
      </x:c>
      <x:c r="E67" s="27" t="str">
        <x:v>materials and hazard declaration</x:v>
      </x:c>
      <x:c r="F67" s="27" t="str">
        <x:v>composition, incompatibility and exposure disposition</x:v>
      </x:c>
      <x:c r="G67" s="27" t="str">
        <x:v>civil-effect authority</x:v>
      </x:c>
      <x:c r="H67" s="27" t="str">
        <x:v>DRAFT</x:v>
      </x:c>
      <x:c r="I67" s="27" t="str">
        <x:v>OPEN</x:v>
      </x:c>
      <x:c r="J67" s="27" t="n">
        <x:v>0</x:v>
      </x:c>
      <x:c r="K67" s="29" t="str">
        <x:v>any serial or ancestry change</x:v>
      </x:c>
    </x:row>
    <x:row r="68" ht="27" customHeight="1">
      <x:c r="B68" s="27" t="str">
        <x:v>D06-CRS-R01</x:v>
      </x:c>
      <x:c r="C68" s="27" t="str">
        <x:v>CRS-R01</x:v>
      </x:c>
      <x:c r="D68" s="27" t="str">
        <x:v>Civil receiver</x:v>
      </x:c>
      <x:c r="E68" s="27" t="str">
        <x:v>observable and channel map</x:v>
      </x:c>
      <x:c r="F68" s="27" t="str">
        <x:v>measurand, location, sampling and invalid-state grammar</x:v>
      </x:c>
      <x:c r="G68" s="27" t="str">
        <x:v>civil-effect authority</x:v>
      </x:c>
      <x:c r="H68" s="27" t="str">
        <x:v>DRAFT</x:v>
      </x:c>
      <x:c r="I68" s="27" t="str">
        <x:v>OPEN</x:v>
      </x:c>
      <x:c r="J68" s="27" t="n">
        <x:v>0</x:v>
      </x:c>
      <x:c r="K68" s="29" t="str">
        <x:v>any serial or ancestry change</x:v>
      </x:c>
    </x:row>
    <x:row r="69" ht="27" customHeight="1">
      <x:c r="B69" s="27" t="str">
        <x:v>D07-CRS-R01</x:v>
      </x:c>
      <x:c r="C69" s="27" t="str">
        <x:v>CRS-R01</x:v>
      </x:c>
      <x:c r="D69" s="27" t="str">
        <x:v>Civil receiver</x:v>
      </x:c>
      <x:c r="E69" s="27" t="str">
        <x:v>calibration plan</x:v>
      </x:c>
      <x:c r="F69" s="27" t="str">
        <x:v>traveling standards, uncertainty and pre/post sequence</x:v>
      </x:c>
      <x:c r="G69" s="27" t="str">
        <x:v>civil-effect authority</x:v>
      </x:c>
      <x:c r="H69" s="27" t="str">
        <x:v>DRAFT</x:v>
      </x:c>
      <x:c r="I69" s="27" t="str">
        <x:v>OPEN</x:v>
      </x:c>
      <x:c r="J69" s="27" t="n">
        <x:v>0</x:v>
      </x:c>
      <x:c r="K69" s="29" t="str">
        <x:v>any serial or ancestry change</x:v>
      </x:c>
    </x:row>
    <x:row r="70" ht="27" customHeight="1">
      <x:c r="B70" s="27" t="str">
        <x:v>D08-CRS-R01</x:v>
      </x:c>
      <x:c r="C70" s="27" t="str">
        <x:v>CRS-R01</x:v>
      </x:c>
      <x:c r="D70" s="27" t="str">
        <x:v>Civil receiver</x:v>
      </x:c>
      <x:c r="E70" s="27" t="str">
        <x:v>data time and storage plan</x:v>
      </x:c>
      <x:c r="F70" s="27" t="str">
        <x:v>segment, clock, retention, loss and export</x:v>
      </x:c>
      <x:c r="G70" s="27" t="str">
        <x:v>civil-effect authority</x:v>
      </x:c>
      <x:c r="H70" s="27" t="str">
        <x:v>DRAFT</x:v>
      </x:c>
      <x:c r="I70" s="27" t="str">
        <x:v>OPEN</x:v>
      </x:c>
      <x:c r="J70" s="27" t="n">
        <x:v>0</x:v>
      </x:c>
      <x:c r="K70" s="29" t="str">
        <x:v>any serial or ancestry change</x:v>
      </x:c>
    </x:row>
    <x:row r="71" ht="27" customHeight="1">
      <x:c r="B71" s="27" t="str">
        <x:v>D09-CRS-R01</x:v>
      </x:c>
      <x:c r="C71" s="27" t="str">
        <x:v>CRS-R01</x:v>
      </x:c>
      <x:c r="D71" s="27" t="str">
        <x:v>Civil receiver</x:v>
      </x:c>
      <x:c r="E71" s="27" t="str">
        <x:v>physical non-actuation case</x:v>
      </x:c>
      <x:c r="F71" s="27" t="str">
        <x:v>reverse-energy, return-data and teardown evidence</x:v>
      </x:c>
      <x:c r="G71" s="27" t="str">
        <x:v>civil-effect authority</x:v>
      </x:c>
      <x:c r="H71" s="27" t="str">
        <x:v>DRAFT</x:v>
      </x:c>
      <x:c r="I71" s="27" t="str">
        <x:v>OPEN</x:v>
      </x:c>
      <x:c r="J71" s="27" t="n">
        <x:v>0</x:v>
      </x:c>
      <x:c r="K71" s="29" t="str">
        <x:v>any serial or ancestry change</x:v>
      </x:c>
    </x:row>
    <x:row r="72" ht="27" customHeight="1">
      <x:c r="B72" s="27" t="str">
        <x:v>D10-CRS-R01</x:v>
      </x:c>
      <x:c r="C72" s="27" t="str">
        <x:v>CRS-R01</x:v>
      </x:c>
      <x:c r="D72" s="27" t="str">
        <x:v>Civil receiver</x:v>
      </x:c>
      <x:c r="E72" s="27" t="str">
        <x:v>access and maintainability plan</x:v>
      </x:c>
      <x:c r="F72" s="27" t="str">
        <x:v>tools, reach, swap, inspection and safe isolation</x:v>
      </x:c>
      <x:c r="G72" s="27" t="str">
        <x:v>civil-effect authority</x:v>
      </x:c>
      <x:c r="H72" s="27" t="str">
        <x:v>DRAFT</x:v>
      </x:c>
      <x:c r="I72" s="27" t="str">
        <x:v>OPEN</x:v>
      </x:c>
      <x:c r="J72" s="27" t="n">
        <x:v>0</x:v>
      </x:c>
      <x:c r="K72" s="29" t="str">
        <x:v>any serial or ancestry change</x:v>
      </x:c>
    </x:row>
    <x:row r="73" ht="27" customHeight="1">
      <x:c r="B73" s="27" t="str">
        <x:v>D11-CRS-R01</x:v>
      </x:c>
      <x:c r="C73" s="27" t="str">
        <x:v>CRS-R01</x:v>
      </x:c>
      <x:c r="D73" s="27" t="str">
        <x:v>Civil receiver</x:v>
      </x:c>
      <x:c r="E73" s="27" t="str">
        <x:v>decontamination and quarantine plan</x:v>
      </x:c>
      <x:c r="F73" s="27" t="str">
        <x:v>cleaning, exposure marking, custody and disposition</x:v>
      </x:c>
      <x:c r="G73" s="27" t="str">
        <x:v>civil-effect authority</x:v>
      </x:c>
      <x:c r="H73" s="27" t="str">
        <x:v>DRAFT</x:v>
      </x:c>
      <x:c r="I73" s="27" t="str">
        <x:v>OPEN</x:v>
      </x:c>
      <x:c r="J73" s="27" t="n">
        <x:v>0</x:v>
      </x:c>
      <x:c r="K73" s="29" t="str">
        <x:v>any serial or ancestry change</x:v>
      </x:c>
    </x:row>
    <x:row r="74" ht="27" customHeight="1">
      <x:c r="B74" s="27" t="str">
        <x:v>D12-CRS-R01</x:v>
      </x:c>
      <x:c r="C74" s="27" t="str">
        <x:v>CRS-R01</x:v>
      </x:c>
      <x:c r="D74" s="27" t="str">
        <x:v>Civil receiver</x:v>
      </x:c>
      <x:c r="E74" s="27" t="str">
        <x:v>ancestry and technical-rights package</x:v>
      </x:c>
      <x:c r="F74" s="27" t="str">
        <x:v>ownership, facility, process, firmware and reproduction rights</x:v>
      </x:c>
      <x:c r="G74" s="27" t="str">
        <x:v>civil-effect authority</x:v>
      </x:c>
      <x:c r="H74" s="27" t="str">
        <x:v>DRAFT</x:v>
      </x:c>
      <x:c r="I74" s="27" t="str">
        <x:v>OPEN</x:v>
      </x:c>
      <x:c r="J74" s="27" t="n">
        <x:v>0</x:v>
      </x:c>
      <x:c r="K74" s="29" t="str">
        <x:v>any serial or ancestry change</x:v>
      </x:c>
    </x:row>
    <x:row r="75" ht="27" customHeight="1">
      <x:c r="B75" s="27" t="str">
        <x:v>D13-CRS-R01</x:v>
      </x:c>
      <x:c r="C75" s="27" t="str">
        <x:v>CRS-R01</x:v>
      </x:c>
      <x:c r="D75" s="27" t="str">
        <x:v>Civil receiver</x:v>
      </x:c>
      <x:c r="E75" s="27" t="str">
        <x:v>emulator equivalence definition</x:v>
      </x:c>
      <x:c r="F75" s="27" t="str">
        <x:v>mass, inertia, stiffness, heat and impedance pairing</x:v>
      </x:c>
      <x:c r="G75" s="27" t="str">
        <x:v>civil-effect authority</x:v>
      </x:c>
      <x:c r="H75" s="27" t="str">
        <x:v>DRAFT</x:v>
      </x:c>
      <x:c r="I75" s="27" t="str">
        <x:v>OPEN</x:v>
      </x:c>
      <x:c r="J75" s="27" t="n">
        <x:v>0</x:v>
      </x:c>
      <x:c r="K75" s="29" t="str">
        <x:v>any serial or ancestry change</x:v>
      </x:c>
    </x:row>
    <x:row r="76" ht="27" customHeight="1">
      <x:c r="B76" s="27" t="str">
        <x:v>D14-CRS-R01</x:v>
      </x:c>
      <x:c r="C76" s="27" t="str">
        <x:v>CRS-R01</x:v>
      </x:c>
      <x:c r="D76" s="27" t="str">
        <x:v>Civil receiver</x:v>
      </x:c>
      <x:c r="E76" s="27" t="str">
        <x:v>acceptance evidence index</x:v>
      </x:c>
      <x:c r="F76" s="27" t="str">
        <x:v>required artifacts, authorities, stop rules and second-lot record</x:v>
      </x:c>
      <x:c r="G76" s="27" t="str">
        <x:v>civil-effect authority</x:v>
      </x:c>
      <x:c r="H76" s="27" t="str">
        <x:v>DRAFT</x:v>
      </x:c>
      <x:c r="I76" s="27" t="str">
        <x:v>OPEN</x:v>
      </x:c>
      <x:c r="J76" s="27" t="n">
        <x:v>0</x:v>
      </x:c>
      <x:c r="K76" s="29" t="str">
        <x:v>any serial or ancestry change</x:v>
      </x:c>
    </x:row>
    <x:row r="77" ht="27" customHeight="1">
      <x:c r="B77" s="27" t="str">
        <x:v>D01-PSS-T01</x:v>
      </x:c>
      <x:c r="C77" s="27" t="str">
        <x:v>PSS-T01</x:v>
      </x:c>
      <x:c r="D77" s="27" t="str">
        <x:v>Pressure skin</x:v>
      </x:c>
      <x:c r="E77" s="27" t="str">
        <x:v>interface control dataset</x:v>
      </x:c>
      <x:c r="F77" s="27" t="str">
        <x:v>all physical, energy, fluid, optical and custody boundaries</x:v>
      </x:c>
      <x:c r="G77" s="27" t="str">
        <x:v>terrain metrology</x:v>
      </x:c>
      <x:c r="H77" s="27" t="str">
        <x:v>DRAFT</x:v>
      </x:c>
      <x:c r="I77" s="27" t="str">
        <x:v>OPEN</x:v>
      </x:c>
      <x:c r="J77" s="27" t="n">
        <x:v>0</x:v>
      </x:c>
      <x:c r="K77" s="29" t="str">
        <x:v>any serial or ancestry change</x:v>
      </x:c>
    </x:row>
    <x:row r="78" ht="27" customHeight="1">
      <x:c r="B78" s="27" t="str">
        <x:v>D02-PSS-T01</x:v>
      </x:c>
      <x:c r="C78" s="27" t="str">
        <x:v>PSS-T01</x:v>
      </x:c>
      <x:c r="D78" s="27" t="str">
        <x:v>Pressure skin</x:v>
      </x:c>
      <x:c r="E78" s="27" t="str">
        <x:v>mass-property ledger</x:v>
      </x:c>
      <x:c r="F78" s="27" t="str">
        <x:v>component mass, moments, center of gravity and growth reserve</x:v>
      </x:c>
      <x:c r="G78" s="27" t="str">
        <x:v>terrain metrology</x:v>
      </x:c>
      <x:c r="H78" s="27" t="str">
        <x:v>DRAFT</x:v>
      </x:c>
      <x:c r="I78" s="27" t="str">
        <x:v>OPEN</x:v>
      </x:c>
      <x:c r="J78" s="27" t="n">
        <x:v>0</x:v>
      </x:c>
      <x:c r="K78" s="29" t="str">
        <x:v>any serial or ancestry change</x:v>
      </x:c>
    </x:row>
    <x:row r="79" ht="27" customHeight="1">
      <x:c r="B79" s="27" t="str">
        <x:v>D03-PSS-T01</x:v>
      </x:c>
      <x:c r="C79" s="27" t="str">
        <x:v>PSS-T01</x:v>
      </x:c>
      <x:c r="D79" s="27" t="str">
        <x:v>Pressure skin</x:v>
      </x:c>
      <x:c r="E79" s="27" t="str">
        <x:v>power and endurance case</x:v>
      </x:c>
      <x:c r="F79" s="27" t="str">
        <x:v>average, peak, startup, reserve and isolation</x:v>
      </x:c>
      <x:c r="G79" s="27" t="str">
        <x:v>terrain metrology</x:v>
      </x:c>
      <x:c r="H79" s="27" t="str">
        <x:v>DRAFT</x:v>
      </x:c>
      <x:c r="I79" s="27" t="str">
        <x:v>OPEN</x:v>
      </x:c>
      <x:c r="J79" s="27" t="n">
        <x:v>0</x:v>
      </x:c>
      <x:c r="K79" s="29" t="str">
        <x:v>any serial or ancestry change</x:v>
      </x:c>
    </x:row>
    <x:row r="80" ht="27" customHeight="1">
      <x:c r="B80" s="27" t="str">
        <x:v>D04-PSS-T01</x:v>
      </x:c>
      <x:c r="C80" s="27" t="str">
        <x:v>PSS-T01</x:v>
      </x:c>
      <x:c r="D80" s="27" t="str">
        <x:v>Pressure skin</x:v>
      </x:c>
      <x:c r="E80" s="27" t="str">
        <x:v>thermal rejection case</x:v>
      </x:c>
      <x:c r="F80" s="27" t="str">
        <x:v>steady, peak, propagation and outward boundary</x:v>
      </x:c>
      <x:c r="G80" s="27" t="str">
        <x:v>terrain metrology</x:v>
      </x:c>
      <x:c r="H80" s="27" t="str">
        <x:v>DRAFT</x:v>
      </x:c>
      <x:c r="I80" s="27" t="str">
        <x:v>OPEN</x:v>
      </x:c>
      <x:c r="J80" s="27" t="n">
        <x:v>0</x:v>
      </x:c>
      <x:c r="K80" s="29" t="str">
        <x:v>any serial or ancestry change</x:v>
      </x:c>
    </x:row>
    <x:row r="81" ht="27" customHeight="1">
      <x:c r="B81" s="27" t="str">
        <x:v>D05-PSS-T01</x:v>
      </x:c>
      <x:c r="C81" s="27" t="str">
        <x:v>PSS-T01</x:v>
      </x:c>
      <x:c r="D81" s="27" t="str">
        <x:v>Pressure skin</x:v>
      </x:c>
      <x:c r="E81" s="27" t="str">
        <x:v>materials and hazard declaration</x:v>
      </x:c>
      <x:c r="F81" s="27" t="str">
        <x:v>composition, incompatibility and exposure disposition</x:v>
      </x:c>
      <x:c r="G81" s="27" t="str">
        <x:v>terrain metrology</x:v>
      </x:c>
      <x:c r="H81" s="27" t="str">
        <x:v>DRAFT</x:v>
      </x:c>
      <x:c r="I81" s="27" t="str">
        <x:v>OPEN</x:v>
      </x:c>
      <x:c r="J81" s="27" t="n">
        <x:v>0</x:v>
      </x:c>
      <x:c r="K81" s="29" t="str">
        <x:v>any serial or ancestry change</x:v>
      </x:c>
    </x:row>
    <x:row r="82" ht="27" customHeight="1">
      <x:c r="B82" s="27" t="str">
        <x:v>D06-PSS-T01</x:v>
      </x:c>
      <x:c r="C82" s="27" t="str">
        <x:v>PSS-T01</x:v>
      </x:c>
      <x:c r="D82" s="27" t="str">
        <x:v>Pressure skin</x:v>
      </x:c>
      <x:c r="E82" s="27" t="str">
        <x:v>observable and channel map</x:v>
      </x:c>
      <x:c r="F82" s="27" t="str">
        <x:v>measurand, location, sampling and invalid-state grammar</x:v>
      </x:c>
      <x:c r="G82" s="27" t="str">
        <x:v>terrain metrology</x:v>
      </x:c>
      <x:c r="H82" s="27" t="str">
        <x:v>DRAFT</x:v>
      </x:c>
      <x:c r="I82" s="27" t="str">
        <x:v>OPEN</x:v>
      </x:c>
      <x:c r="J82" s="27" t="n">
        <x:v>0</x:v>
      </x:c>
      <x:c r="K82" s="29" t="str">
        <x:v>any serial or ancestry change</x:v>
      </x:c>
    </x:row>
    <x:row r="83" ht="27" customHeight="1">
      <x:c r="B83" s="27" t="str">
        <x:v>D07-PSS-T01</x:v>
      </x:c>
      <x:c r="C83" s="27" t="str">
        <x:v>PSS-T01</x:v>
      </x:c>
      <x:c r="D83" s="27" t="str">
        <x:v>Pressure skin</x:v>
      </x:c>
      <x:c r="E83" s="27" t="str">
        <x:v>calibration plan</x:v>
      </x:c>
      <x:c r="F83" s="27" t="str">
        <x:v>traveling standards, uncertainty and pre/post sequence</x:v>
      </x:c>
      <x:c r="G83" s="27" t="str">
        <x:v>terrain metrology</x:v>
      </x:c>
      <x:c r="H83" s="27" t="str">
        <x:v>DRAFT</x:v>
      </x:c>
      <x:c r="I83" s="27" t="str">
        <x:v>OPEN</x:v>
      </x:c>
      <x:c r="J83" s="27" t="n">
        <x:v>0</x:v>
      </x:c>
      <x:c r="K83" s="29" t="str">
        <x:v>any serial or ancestry change</x:v>
      </x:c>
    </x:row>
    <x:row r="84" ht="27" customHeight="1">
      <x:c r="B84" s="27" t="str">
        <x:v>D08-PSS-T01</x:v>
      </x:c>
      <x:c r="C84" s="27" t="str">
        <x:v>PSS-T01</x:v>
      </x:c>
      <x:c r="D84" s="27" t="str">
        <x:v>Pressure skin</x:v>
      </x:c>
      <x:c r="E84" s="27" t="str">
        <x:v>data time and storage plan</x:v>
      </x:c>
      <x:c r="F84" s="27" t="str">
        <x:v>segment, clock, retention, loss and export</x:v>
      </x:c>
      <x:c r="G84" s="27" t="str">
        <x:v>terrain metrology</x:v>
      </x:c>
      <x:c r="H84" s="27" t="str">
        <x:v>DRAFT</x:v>
      </x:c>
      <x:c r="I84" s="27" t="str">
        <x:v>OPEN</x:v>
      </x:c>
      <x:c r="J84" s="27" t="n">
        <x:v>0</x:v>
      </x:c>
      <x:c r="K84" s="29" t="str">
        <x:v>any serial or ancestry change</x:v>
      </x:c>
    </x:row>
    <x:row r="85" ht="27" customHeight="1">
      <x:c r="B85" s="27" t="str">
        <x:v>D09-PSS-T01</x:v>
      </x:c>
      <x:c r="C85" s="27" t="str">
        <x:v>PSS-T01</x:v>
      </x:c>
      <x:c r="D85" s="27" t="str">
        <x:v>Pressure skin</x:v>
      </x:c>
      <x:c r="E85" s="27" t="str">
        <x:v>physical non-actuation case</x:v>
      </x:c>
      <x:c r="F85" s="27" t="str">
        <x:v>reverse-energy, return-data and teardown evidence</x:v>
      </x:c>
      <x:c r="G85" s="27" t="str">
        <x:v>terrain metrology</x:v>
      </x:c>
      <x:c r="H85" s="27" t="str">
        <x:v>DRAFT</x:v>
      </x:c>
      <x:c r="I85" s="27" t="str">
        <x:v>OPEN</x:v>
      </x:c>
      <x:c r="J85" s="27" t="n">
        <x:v>0</x:v>
      </x:c>
      <x:c r="K85" s="29" t="str">
        <x:v>any serial or ancestry change</x:v>
      </x:c>
    </x:row>
    <x:row r="86" ht="27" customHeight="1">
      <x:c r="B86" s="27" t="str">
        <x:v>D10-PSS-T01</x:v>
      </x:c>
      <x:c r="C86" s="27" t="str">
        <x:v>PSS-T01</x:v>
      </x:c>
      <x:c r="D86" s="27" t="str">
        <x:v>Pressure skin</x:v>
      </x:c>
      <x:c r="E86" s="27" t="str">
        <x:v>access and maintainability plan</x:v>
      </x:c>
      <x:c r="F86" s="27" t="str">
        <x:v>tools, reach, swap, inspection and safe isolation</x:v>
      </x:c>
      <x:c r="G86" s="27" t="str">
        <x:v>terrain metrology</x:v>
      </x:c>
      <x:c r="H86" s="27" t="str">
        <x:v>DRAFT</x:v>
      </x:c>
      <x:c r="I86" s="27" t="str">
        <x:v>OPEN</x:v>
      </x:c>
      <x:c r="J86" s="27" t="n">
        <x:v>0</x:v>
      </x:c>
      <x:c r="K86" s="29" t="str">
        <x:v>any serial or ancestry change</x:v>
      </x:c>
    </x:row>
    <x:row r="87" ht="27" customHeight="1">
      <x:c r="B87" s="27" t="str">
        <x:v>D11-PSS-T01</x:v>
      </x:c>
      <x:c r="C87" s="27" t="str">
        <x:v>PSS-T01</x:v>
      </x:c>
      <x:c r="D87" s="27" t="str">
        <x:v>Pressure skin</x:v>
      </x:c>
      <x:c r="E87" s="27" t="str">
        <x:v>decontamination and quarantine plan</x:v>
      </x:c>
      <x:c r="F87" s="27" t="str">
        <x:v>cleaning, exposure marking, custody and disposition</x:v>
      </x:c>
      <x:c r="G87" s="27" t="str">
        <x:v>terrain metrology</x:v>
      </x:c>
      <x:c r="H87" s="27" t="str">
        <x:v>DRAFT</x:v>
      </x:c>
      <x:c r="I87" s="27" t="str">
        <x:v>OPEN</x:v>
      </x:c>
      <x:c r="J87" s="27" t="n">
        <x:v>0</x:v>
      </x:c>
      <x:c r="K87" s="29" t="str">
        <x:v>any serial or ancestry change</x:v>
      </x:c>
    </x:row>
    <x:row r="88" ht="27" customHeight="1">
      <x:c r="B88" s="27" t="str">
        <x:v>D12-PSS-T01</x:v>
      </x:c>
      <x:c r="C88" s="27" t="str">
        <x:v>PSS-T01</x:v>
      </x:c>
      <x:c r="D88" s="27" t="str">
        <x:v>Pressure skin</x:v>
      </x:c>
      <x:c r="E88" s="27" t="str">
        <x:v>ancestry and technical-rights package</x:v>
      </x:c>
      <x:c r="F88" s="27" t="str">
        <x:v>ownership, facility, process, firmware and reproduction rights</x:v>
      </x:c>
      <x:c r="G88" s="27" t="str">
        <x:v>terrain metrology</x:v>
      </x:c>
      <x:c r="H88" s="27" t="str">
        <x:v>DRAFT</x:v>
      </x:c>
      <x:c r="I88" s="27" t="str">
        <x:v>OPEN</x:v>
      </x:c>
      <x:c r="J88" s="27" t="n">
        <x:v>0</x:v>
      </x:c>
      <x:c r="K88" s="29" t="str">
        <x:v>any serial or ancestry change</x:v>
      </x:c>
    </x:row>
    <x:row r="89" ht="27" customHeight="1">
      <x:c r="B89" s="27" t="str">
        <x:v>D13-PSS-T01</x:v>
      </x:c>
      <x:c r="C89" s="27" t="str">
        <x:v>PSS-T01</x:v>
      </x:c>
      <x:c r="D89" s="27" t="str">
        <x:v>Pressure skin</x:v>
      </x:c>
      <x:c r="E89" s="27" t="str">
        <x:v>emulator equivalence definition</x:v>
      </x:c>
      <x:c r="F89" s="27" t="str">
        <x:v>mass, inertia, stiffness, heat and impedance pairing</x:v>
      </x:c>
      <x:c r="G89" s="27" t="str">
        <x:v>terrain metrology</x:v>
      </x:c>
      <x:c r="H89" s="27" t="str">
        <x:v>DRAFT</x:v>
      </x:c>
      <x:c r="I89" s="27" t="str">
        <x:v>OPEN</x:v>
      </x:c>
      <x:c r="J89" s="27" t="n">
        <x:v>0</x:v>
      </x:c>
      <x:c r="K89" s="29" t="str">
        <x:v>any serial or ancestry change</x:v>
      </x:c>
    </x:row>
    <x:row r="90" ht="27" customHeight="1">
      <x:c r="B90" s="27" t="str">
        <x:v>D14-PSS-T01</x:v>
      </x:c>
      <x:c r="C90" s="27" t="str">
        <x:v>PSS-T01</x:v>
      </x:c>
      <x:c r="D90" s="27" t="str">
        <x:v>Pressure skin</x:v>
      </x:c>
      <x:c r="E90" s="27" t="str">
        <x:v>acceptance evidence index</x:v>
      </x:c>
      <x:c r="F90" s="27" t="str">
        <x:v>required artifacts, authorities, stop rules and second-lot record</x:v>
      </x:c>
      <x:c r="G90" s="27" t="str">
        <x:v>terrain metrology</x:v>
      </x:c>
      <x:c r="H90" s="27" t="str">
        <x:v>DRAFT</x:v>
      </x:c>
      <x:c r="I90" s="27" t="str">
        <x:v>OPEN</x:v>
      </x:c>
      <x:c r="J90" s="27" t="n">
        <x:v>0</x:v>
      </x:c>
      <x:c r="K90" s="29" t="str">
        <x:v>any serial or ancestry change</x:v>
      </x:c>
    </x:row>
    <x:row r="91" ht="27" customHeight="1">
      <x:c r="B91" s="27" t="str">
        <x:v>D01-PIF-I01</x:v>
      </x:c>
      <x:c r="C91" s="27" t="str">
        <x:v>PIF-I01</x:v>
      </x:c>
      <x:c r="D91" s="27" t="str">
        <x:v>Passive interface</x:v>
      </x:c>
      <x:c r="E91" s="27" t="str">
        <x:v>interface control dataset</x:v>
      </x:c>
      <x:c r="F91" s="27" t="str">
        <x:v>all physical, energy, fluid, optical and custody boundaries</x:v>
      </x:c>
      <x:c r="G91" s="27" t="str">
        <x:v>interface authority</x:v>
      </x:c>
      <x:c r="H91" s="27" t="str">
        <x:v>DRAFT</x:v>
      </x:c>
      <x:c r="I91" s="27" t="str">
        <x:v>OPEN</x:v>
      </x:c>
      <x:c r="J91" s="27" t="n">
        <x:v>0</x:v>
      </x:c>
      <x:c r="K91" s="29" t="str">
        <x:v>any serial or ancestry change</x:v>
      </x:c>
    </x:row>
    <x:row r="92" ht="27" customHeight="1">
      <x:c r="B92" s="27" t="str">
        <x:v>D02-PIF-I01</x:v>
      </x:c>
      <x:c r="C92" s="27" t="str">
        <x:v>PIF-I01</x:v>
      </x:c>
      <x:c r="D92" s="27" t="str">
        <x:v>Passive interface</x:v>
      </x:c>
      <x:c r="E92" s="27" t="str">
        <x:v>mass-property ledger</x:v>
      </x:c>
      <x:c r="F92" s="27" t="str">
        <x:v>component mass, moments, center of gravity and growth reserve</x:v>
      </x:c>
      <x:c r="G92" s="27" t="str">
        <x:v>interface authority</x:v>
      </x:c>
      <x:c r="H92" s="27" t="str">
        <x:v>DRAFT</x:v>
      </x:c>
      <x:c r="I92" s="27" t="str">
        <x:v>OPEN</x:v>
      </x:c>
      <x:c r="J92" s="27" t="n">
        <x:v>0</x:v>
      </x:c>
      <x:c r="K92" s="29" t="str">
        <x:v>any serial or ancestry change</x:v>
      </x:c>
    </x:row>
    <x:row r="93" ht="27" customHeight="1">
      <x:c r="B93" s="27" t="str">
        <x:v>D03-PIF-I01</x:v>
      </x:c>
      <x:c r="C93" s="27" t="str">
        <x:v>PIF-I01</x:v>
      </x:c>
      <x:c r="D93" s="27" t="str">
        <x:v>Passive interface</x:v>
      </x:c>
      <x:c r="E93" s="27" t="str">
        <x:v>power and endurance case</x:v>
      </x:c>
      <x:c r="F93" s="27" t="str">
        <x:v>average, peak, startup, reserve and isolation</x:v>
      </x:c>
      <x:c r="G93" s="27" t="str">
        <x:v>interface authority</x:v>
      </x:c>
      <x:c r="H93" s="27" t="str">
        <x:v>DRAFT</x:v>
      </x:c>
      <x:c r="I93" s="27" t="str">
        <x:v>OPEN</x:v>
      </x:c>
      <x:c r="J93" s="27" t="n">
        <x:v>0</x:v>
      </x:c>
      <x:c r="K93" s="29" t="str">
        <x:v>any serial or ancestry change</x:v>
      </x:c>
    </x:row>
    <x:row r="94" ht="27" customHeight="1">
      <x:c r="B94" s="27" t="str">
        <x:v>D04-PIF-I01</x:v>
      </x:c>
      <x:c r="C94" s="27" t="str">
        <x:v>PIF-I01</x:v>
      </x:c>
      <x:c r="D94" s="27" t="str">
        <x:v>Passive interface</x:v>
      </x:c>
      <x:c r="E94" s="27" t="str">
        <x:v>thermal rejection case</x:v>
      </x:c>
      <x:c r="F94" s="27" t="str">
        <x:v>steady, peak, propagation and outward boundary</x:v>
      </x:c>
      <x:c r="G94" s="27" t="str">
        <x:v>interface authority</x:v>
      </x:c>
      <x:c r="H94" s="27" t="str">
        <x:v>DRAFT</x:v>
      </x:c>
      <x:c r="I94" s="27" t="str">
        <x:v>OPEN</x:v>
      </x:c>
      <x:c r="J94" s="27" t="n">
        <x:v>0</x:v>
      </x:c>
      <x:c r="K94" s="29" t="str">
        <x:v>any serial or ancestry change</x:v>
      </x:c>
    </x:row>
    <x:row r="95" ht="27" customHeight="1">
      <x:c r="B95" s="27" t="str">
        <x:v>D05-PIF-I01</x:v>
      </x:c>
      <x:c r="C95" s="27" t="str">
        <x:v>PIF-I01</x:v>
      </x:c>
      <x:c r="D95" s="27" t="str">
        <x:v>Passive interface</x:v>
      </x:c>
      <x:c r="E95" s="27" t="str">
        <x:v>materials and hazard declaration</x:v>
      </x:c>
      <x:c r="F95" s="27" t="str">
        <x:v>composition, incompatibility and exposure disposition</x:v>
      </x:c>
      <x:c r="G95" s="27" t="str">
        <x:v>interface authority</x:v>
      </x:c>
      <x:c r="H95" s="27" t="str">
        <x:v>DRAFT</x:v>
      </x:c>
      <x:c r="I95" s="27" t="str">
        <x:v>OPEN</x:v>
      </x:c>
      <x:c r="J95" s="27" t="n">
        <x:v>0</x:v>
      </x:c>
      <x:c r="K95" s="29" t="str">
        <x:v>any serial or ancestry change</x:v>
      </x:c>
    </x:row>
    <x:row r="96" ht="27" customHeight="1">
      <x:c r="B96" s="27" t="str">
        <x:v>D06-PIF-I01</x:v>
      </x:c>
      <x:c r="C96" s="27" t="str">
        <x:v>PIF-I01</x:v>
      </x:c>
      <x:c r="D96" s="27" t="str">
        <x:v>Passive interface</x:v>
      </x:c>
      <x:c r="E96" s="27" t="str">
        <x:v>observable and channel map</x:v>
      </x:c>
      <x:c r="F96" s="27" t="str">
        <x:v>measurand, location, sampling and invalid-state grammar</x:v>
      </x:c>
      <x:c r="G96" s="27" t="str">
        <x:v>interface authority</x:v>
      </x:c>
      <x:c r="H96" s="27" t="str">
        <x:v>DRAFT</x:v>
      </x:c>
      <x:c r="I96" s="27" t="str">
        <x:v>OPEN</x:v>
      </x:c>
      <x:c r="J96" s="27" t="n">
        <x:v>0</x:v>
      </x:c>
      <x:c r="K96" s="29" t="str">
        <x:v>any serial or ancestry change</x:v>
      </x:c>
    </x:row>
    <x:row r="97" ht="27" customHeight="1">
      <x:c r="B97" s="27" t="str">
        <x:v>D07-PIF-I01</x:v>
      </x:c>
      <x:c r="C97" s="27" t="str">
        <x:v>PIF-I01</x:v>
      </x:c>
      <x:c r="D97" s="27" t="str">
        <x:v>Passive interface</x:v>
      </x:c>
      <x:c r="E97" s="27" t="str">
        <x:v>calibration plan</x:v>
      </x:c>
      <x:c r="F97" s="27" t="str">
        <x:v>traveling standards, uncertainty and pre/post sequence</x:v>
      </x:c>
      <x:c r="G97" s="27" t="str">
        <x:v>interface authority</x:v>
      </x:c>
      <x:c r="H97" s="27" t="str">
        <x:v>DRAFT</x:v>
      </x:c>
      <x:c r="I97" s="27" t="str">
        <x:v>OPEN</x:v>
      </x:c>
      <x:c r="J97" s="27" t="n">
        <x:v>0</x:v>
      </x:c>
      <x:c r="K97" s="29" t="str">
        <x:v>any serial or ancestry change</x:v>
      </x:c>
    </x:row>
    <x:row r="98" ht="27" customHeight="1">
      <x:c r="B98" s="27" t="str">
        <x:v>D08-PIF-I01</x:v>
      </x:c>
      <x:c r="C98" s="27" t="str">
        <x:v>PIF-I01</x:v>
      </x:c>
      <x:c r="D98" s="27" t="str">
        <x:v>Passive interface</x:v>
      </x:c>
      <x:c r="E98" s="27" t="str">
        <x:v>data time and storage plan</x:v>
      </x:c>
      <x:c r="F98" s="27" t="str">
        <x:v>segment, clock, retention, loss and export</x:v>
      </x:c>
      <x:c r="G98" s="27" t="str">
        <x:v>interface authority</x:v>
      </x:c>
      <x:c r="H98" s="27" t="str">
        <x:v>DRAFT</x:v>
      </x:c>
      <x:c r="I98" s="27" t="str">
        <x:v>OPEN</x:v>
      </x:c>
      <x:c r="J98" s="27" t="n">
        <x:v>0</x:v>
      </x:c>
      <x:c r="K98" s="29" t="str">
        <x:v>any serial or ancestry change</x:v>
      </x:c>
    </x:row>
    <x:row r="99" ht="27" customHeight="1">
      <x:c r="B99" s="27" t="str">
        <x:v>D09-PIF-I01</x:v>
      </x:c>
      <x:c r="C99" s="27" t="str">
        <x:v>PIF-I01</x:v>
      </x:c>
      <x:c r="D99" s="27" t="str">
        <x:v>Passive interface</x:v>
      </x:c>
      <x:c r="E99" s="27" t="str">
        <x:v>physical non-actuation case</x:v>
      </x:c>
      <x:c r="F99" s="27" t="str">
        <x:v>reverse-energy, return-data and teardown evidence</x:v>
      </x:c>
      <x:c r="G99" s="27" t="str">
        <x:v>interface authority</x:v>
      </x:c>
      <x:c r="H99" s="27" t="str">
        <x:v>DRAFT</x:v>
      </x:c>
      <x:c r="I99" s="27" t="str">
        <x:v>OPEN</x:v>
      </x:c>
      <x:c r="J99" s="27" t="n">
        <x:v>0</x:v>
      </x:c>
      <x:c r="K99" s="29" t="str">
        <x:v>any serial or ancestry change</x:v>
      </x:c>
    </x:row>
    <x:row r="100" ht="27" customHeight="1">
      <x:c r="B100" s="27" t="str">
        <x:v>D10-PIF-I01</x:v>
      </x:c>
      <x:c r="C100" s="27" t="str">
        <x:v>PIF-I01</x:v>
      </x:c>
      <x:c r="D100" s="27" t="str">
        <x:v>Passive interface</x:v>
      </x:c>
      <x:c r="E100" s="27" t="str">
        <x:v>access and maintainability plan</x:v>
      </x:c>
      <x:c r="F100" s="27" t="str">
        <x:v>tools, reach, swap, inspection and safe isolation</x:v>
      </x:c>
      <x:c r="G100" s="27" t="str">
        <x:v>interface authority</x:v>
      </x:c>
      <x:c r="H100" s="27" t="str">
        <x:v>DRAFT</x:v>
      </x:c>
      <x:c r="I100" s="27" t="str">
        <x:v>OPEN</x:v>
      </x:c>
      <x:c r="J100" s="27" t="n">
        <x:v>0</x:v>
      </x:c>
      <x:c r="K100" s="29" t="str">
        <x:v>any serial or ancestry change</x:v>
      </x:c>
    </x:row>
    <x:row r="101" ht="27" customHeight="1">
      <x:c r="B101" s="27" t="str">
        <x:v>D11-PIF-I01</x:v>
      </x:c>
      <x:c r="C101" s="27" t="str">
        <x:v>PIF-I01</x:v>
      </x:c>
      <x:c r="D101" s="27" t="str">
        <x:v>Passive interface</x:v>
      </x:c>
      <x:c r="E101" s="27" t="str">
        <x:v>decontamination and quarantine plan</x:v>
      </x:c>
      <x:c r="F101" s="27" t="str">
        <x:v>cleaning, exposure marking, custody and disposition</x:v>
      </x:c>
      <x:c r="G101" s="27" t="str">
        <x:v>interface authority</x:v>
      </x:c>
      <x:c r="H101" s="27" t="str">
        <x:v>DRAFT</x:v>
      </x:c>
      <x:c r="I101" s="27" t="str">
        <x:v>OPEN</x:v>
      </x:c>
      <x:c r="J101" s="27" t="n">
        <x:v>0</x:v>
      </x:c>
      <x:c r="K101" s="29" t="str">
        <x:v>any serial or ancestry change</x:v>
      </x:c>
    </x:row>
    <x:row r="102" ht="27" customHeight="1">
      <x:c r="B102" s="27" t="str">
        <x:v>D12-PIF-I01</x:v>
      </x:c>
      <x:c r="C102" s="27" t="str">
        <x:v>PIF-I01</x:v>
      </x:c>
      <x:c r="D102" s="27" t="str">
        <x:v>Passive interface</x:v>
      </x:c>
      <x:c r="E102" s="27" t="str">
        <x:v>ancestry and technical-rights package</x:v>
      </x:c>
      <x:c r="F102" s="27" t="str">
        <x:v>ownership, facility, process, firmware and reproduction rights</x:v>
      </x:c>
      <x:c r="G102" s="27" t="str">
        <x:v>interface authority</x:v>
      </x:c>
      <x:c r="H102" s="27" t="str">
        <x:v>DRAFT</x:v>
      </x:c>
      <x:c r="I102" s="27" t="str">
        <x:v>OPEN</x:v>
      </x:c>
      <x:c r="J102" s="27" t="n">
        <x:v>0</x:v>
      </x:c>
      <x:c r="K102" s="29" t="str">
        <x:v>any serial or ancestry change</x:v>
      </x:c>
    </x:row>
    <x:row r="103" ht="27" customHeight="1">
      <x:c r="B103" s="27" t="str">
        <x:v>D13-PIF-I01</x:v>
      </x:c>
      <x:c r="C103" s="27" t="str">
        <x:v>PIF-I01</x:v>
      </x:c>
      <x:c r="D103" s="27" t="str">
        <x:v>Passive interface</x:v>
      </x:c>
      <x:c r="E103" s="27" t="str">
        <x:v>emulator equivalence definition</x:v>
      </x:c>
      <x:c r="F103" s="27" t="str">
        <x:v>mass, inertia, stiffness, heat and impedance pairing</x:v>
      </x:c>
      <x:c r="G103" s="27" t="str">
        <x:v>interface authority</x:v>
      </x:c>
      <x:c r="H103" s="27" t="str">
        <x:v>DRAFT</x:v>
      </x:c>
      <x:c r="I103" s="27" t="str">
        <x:v>OPEN</x:v>
      </x:c>
      <x:c r="J103" s="27" t="n">
        <x:v>0</x:v>
      </x:c>
      <x:c r="K103" s="29" t="str">
        <x:v>any serial or ancestry change</x:v>
      </x:c>
    </x:row>
    <x:row r="104" ht="27" customHeight="1">
      <x:c r="B104" s="27" t="str">
        <x:v>D14-PIF-I01</x:v>
      </x:c>
      <x:c r="C104" s="27" t="str">
        <x:v>PIF-I01</x:v>
      </x:c>
      <x:c r="D104" s="27" t="str">
        <x:v>Passive interface</x:v>
      </x:c>
      <x:c r="E104" s="27" t="str">
        <x:v>acceptance evidence index</x:v>
      </x:c>
      <x:c r="F104" s="27" t="str">
        <x:v>required artifacts, authorities, stop rules and second-lot record</x:v>
      </x:c>
      <x:c r="G104" s="27" t="str">
        <x:v>interface authority</x:v>
      </x:c>
      <x:c r="H104" s="27" t="str">
        <x:v>DRAFT</x:v>
      </x:c>
      <x:c r="I104" s="27" t="str">
        <x:v>OPEN</x:v>
      </x:c>
      <x:c r="J104" s="27" t="n">
        <x:v>0</x:v>
      </x:c>
      <x:c r="K104" s="29" t="str">
        <x:v>any serial or ancestry change</x:v>
      </x:c>
    </x:row>
    <x:row r="105" ht="27" customHeight="1">
      <x:c r="B105" s="27" t="str">
        <x:v>D01-EPS-P01</x:v>
      </x:c>
      <x:c r="C105" s="27" t="str">
        <x:v>EPS-P01</x:v>
      </x:c>
      <x:c r="D105" s="27" t="str">
        <x:v>Independent energy</x:v>
      </x:c>
      <x:c r="E105" s="27" t="str">
        <x:v>interface control dataset</x:v>
      </x:c>
      <x:c r="F105" s="27" t="str">
        <x:v>all physical, energy, fluid, optical and custody boundaries</x:v>
      </x:c>
      <x:c r="G105" s="27" t="str">
        <x:v>energy safety authority</x:v>
      </x:c>
      <x:c r="H105" s="27" t="str">
        <x:v>DRAFT</x:v>
      </x:c>
      <x:c r="I105" s="27" t="str">
        <x:v>OPEN</x:v>
      </x:c>
      <x:c r="J105" s="27" t="n">
        <x:v>0</x:v>
      </x:c>
      <x:c r="K105" s="29" t="str">
        <x:v>any serial or ancestry change</x:v>
      </x:c>
    </x:row>
    <x:row r="106" ht="27" customHeight="1">
      <x:c r="B106" s="27" t="str">
        <x:v>D02-EPS-P01</x:v>
      </x:c>
      <x:c r="C106" s="27" t="str">
        <x:v>EPS-P01</x:v>
      </x:c>
      <x:c r="D106" s="27" t="str">
        <x:v>Independent energy</x:v>
      </x:c>
      <x:c r="E106" s="27" t="str">
        <x:v>mass-property ledger</x:v>
      </x:c>
      <x:c r="F106" s="27" t="str">
        <x:v>component mass, moments, center of gravity and growth reserve</x:v>
      </x:c>
      <x:c r="G106" s="27" t="str">
        <x:v>energy safety authority</x:v>
      </x:c>
      <x:c r="H106" s="27" t="str">
        <x:v>DRAFT</x:v>
      </x:c>
      <x:c r="I106" s="27" t="str">
        <x:v>OPEN</x:v>
      </x:c>
      <x:c r="J106" s="27" t="n">
        <x:v>0</x:v>
      </x:c>
      <x:c r="K106" s="29" t="str">
        <x:v>any serial or ancestry change</x:v>
      </x:c>
    </x:row>
    <x:row r="107" ht="27" customHeight="1">
      <x:c r="B107" s="27" t="str">
        <x:v>D03-EPS-P01</x:v>
      </x:c>
      <x:c r="C107" s="27" t="str">
        <x:v>EPS-P01</x:v>
      </x:c>
      <x:c r="D107" s="27" t="str">
        <x:v>Independent energy</x:v>
      </x:c>
      <x:c r="E107" s="27" t="str">
        <x:v>power and endurance case</x:v>
      </x:c>
      <x:c r="F107" s="27" t="str">
        <x:v>average, peak, startup, reserve and isolation</x:v>
      </x:c>
      <x:c r="G107" s="27" t="str">
        <x:v>energy safety authority</x:v>
      </x:c>
      <x:c r="H107" s="27" t="str">
        <x:v>DRAFT</x:v>
      </x:c>
      <x:c r="I107" s="27" t="str">
        <x:v>OPEN</x:v>
      </x:c>
      <x:c r="J107" s="27" t="n">
        <x:v>0</x:v>
      </x:c>
      <x:c r="K107" s="29" t="str">
        <x:v>any serial or ancestry change</x:v>
      </x:c>
    </x:row>
    <x:row r="108" ht="27" customHeight="1">
      <x:c r="B108" s="27" t="str">
        <x:v>D04-EPS-P01</x:v>
      </x:c>
      <x:c r="C108" s="27" t="str">
        <x:v>EPS-P01</x:v>
      </x:c>
      <x:c r="D108" s="27" t="str">
        <x:v>Independent energy</x:v>
      </x:c>
      <x:c r="E108" s="27" t="str">
        <x:v>thermal rejection case</x:v>
      </x:c>
      <x:c r="F108" s="27" t="str">
        <x:v>steady, peak, propagation and outward boundary</x:v>
      </x:c>
      <x:c r="G108" s="27" t="str">
        <x:v>energy safety authority</x:v>
      </x:c>
      <x:c r="H108" s="27" t="str">
        <x:v>DRAFT</x:v>
      </x:c>
      <x:c r="I108" s="27" t="str">
        <x:v>OPEN</x:v>
      </x:c>
      <x:c r="J108" s="27" t="n">
        <x:v>0</x:v>
      </x:c>
      <x:c r="K108" s="29" t="str">
        <x:v>any serial or ancestry change</x:v>
      </x:c>
    </x:row>
    <x:row r="109" ht="27" customHeight="1">
      <x:c r="B109" s="27" t="str">
        <x:v>D05-EPS-P01</x:v>
      </x:c>
      <x:c r="C109" s="27" t="str">
        <x:v>EPS-P01</x:v>
      </x:c>
      <x:c r="D109" s="27" t="str">
        <x:v>Independent energy</x:v>
      </x:c>
      <x:c r="E109" s="27" t="str">
        <x:v>materials and hazard declaration</x:v>
      </x:c>
      <x:c r="F109" s="27" t="str">
        <x:v>composition, incompatibility and exposure disposition</x:v>
      </x:c>
      <x:c r="G109" s="27" t="str">
        <x:v>energy safety authority</x:v>
      </x:c>
      <x:c r="H109" s="27" t="str">
        <x:v>DRAFT</x:v>
      </x:c>
      <x:c r="I109" s="27" t="str">
        <x:v>OPEN</x:v>
      </x:c>
      <x:c r="J109" s="27" t="n">
        <x:v>0</x:v>
      </x:c>
      <x:c r="K109" s="29" t="str">
        <x:v>any serial or ancestry change</x:v>
      </x:c>
    </x:row>
    <x:row r="110" ht="27" customHeight="1">
      <x:c r="B110" s="27" t="str">
        <x:v>D06-EPS-P01</x:v>
      </x:c>
      <x:c r="C110" s="27" t="str">
        <x:v>EPS-P01</x:v>
      </x:c>
      <x:c r="D110" s="27" t="str">
        <x:v>Independent energy</x:v>
      </x:c>
      <x:c r="E110" s="27" t="str">
        <x:v>observable and channel map</x:v>
      </x:c>
      <x:c r="F110" s="27" t="str">
        <x:v>measurand, location, sampling and invalid-state grammar</x:v>
      </x:c>
      <x:c r="G110" s="27" t="str">
        <x:v>energy safety authority</x:v>
      </x:c>
      <x:c r="H110" s="27" t="str">
        <x:v>DRAFT</x:v>
      </x:c>
      <x:c r="I110" s="27" t="str">
        <x:v>OPEN</x:v>
      </x:c>
      <x:c r="J110" s="27" t="n">
        <x:v>0</x:v>
      </x:c>
      <x:c r="K110" s="29" t="str">
        <x:v>any serial or ancestry change</x:v>
      </x:c>
    </x:row>
    <x:row r="111" ht="27" customHeight="1">
      <x:c r="B111" s="27" t="str">
        <x:v>D07-EPS-P01</x:v>
      </x:c>
      <x:c r="C111" s="27" t="str">
        <x:v>EPS-P01</x:v>
      </x:c>
      <x:c r="D111" s="27" t="str">
        <x:v>Independent energy</x:v>
      </x:c>
      <x:c r="E111" s="27" t="str">
        <x:v>calibration plan</x:v>
      </x:c>
      <x:c r="F111" s="27" t="str">
        <x:v>traveling standards, uncertainty and pre/post sequence</x:v>
      </x:c>
      <x:c r="G111" s="27" t="str">
        <x:v>energy safety authority</x:v>
      </x:c>
      <x:c r="H111" s="27" t="str">
        <x:v>DRAFT</x:v>
      </x:c>
      <x:c r="I111" s="27" t="str">
        <x:v>OPEN</x:v>
      </x:c>
      <x:c r="J111" s="27" t="n">
        <x:v>0</x:v>
      </x:c>
      <x:c r="K111" s="29" t="str">
        <x:v>any serial or ancestry change</x:v>
      </x:c>
    </x:row>
    <x:row r="112" ht="27" customHeight="1">
      <x:c r="B112" s="27" t="str">
        <x:v>D08-EPS-P01</x:v>
      </x:c>
      <x:c r="C112" s="27" t="str">
        <x:v>EPS-P01</x:v>
      </x:c>
      <x:c r="D112" s="27" t="str">
        <x:v>Independent energy</x:v>
      </x:c>
      <x:c r="E112" s="27" t="str">
        <x:v>data time and storage plan</x:v>
      </x:c>
      <x:c r="F112" s="27" t="str">
        <x:v>segment, clock, retention, loss and export</x:v>
      </x:c>
      <x:c r="G112" s="27" t="str">
        <x:v>energy safety authority</x:v>
      </x:c>
      <x:c r="H112" s="27" t="str">
        <x:v>DRAFT</x:v>
      </x:c>
      <x:c r="I112" s="27" t="str">
        <x:v>OPEN</x:v>
      </x:c>
      <x:c r="J112" s="27" t="n">
        <x:v>0</x:v>
      </x:c>
      <x:c r="K112" s="29" t="str">
        <x:v>any serial or ancestry change</x:v>
      </x:c>
    </x:row>
    <x:row r="113" ht="27" customHeight="1">
      <x:c r="B113" s="27" t="str">
        <x:v>D09-EPS-P01</x:v>
      </x:c>
      <x:c r="C113" s="27" t="str">
        <x:v>EPS-P01</x:v>
      </x:c>
      <x:c r="D113" s="27" t="str">
        <x:v>Independent energy</x:v>
      </x:c>
      <x:c r="E113" s="27" t="str">
        <x:v>physical non-actuation case</x:v>
      </x:c>
      <x:c r="F113" s="27" t="str">
        <x:v>reverse-energy, return-data and teardown evidence</x:v>
      </x:c>
      <x:c r="G113" s="27" t="str">
        <x:v>energy safety authority</x:v>
      </x:c>
      <x:c r="H113" s="27" t="str">
        <x:v>DRAFT</x:v>
      </x:c>
      <x:c r="I113" s="27" t="str">
        <x:v>OPEN</x:v>
      </x:c>
      <x:c r="J113" s="27" t="n">
        <x:v>0</x:v>
      </x:c>
      <x:c r="K113" s="29" t="str">
        <x:v>any serial or ancestry change</x:v>
      </x:c>
    </x:row>
    <x:row r="114" ht="27" customHeight="1">
      <x:c r="B114" s="27" t="str">
        <x:v>D10-EPS-P01</x:v>
      </x:c>
      <x:c r="C114" s="27" t="str">
        <x:v>EPS-P01</x:v>
      </x:c>
      <x:c r="D114" s="27" t="str">
        <x:v>Independent energy</x:v>
      </x:c>
      <x:c r="E114" s="27" t="str">
        <x:v>access and maintainability plan</x:v>
      </x:c>
      <x:c r="F114" s="27" t="str">
        <x:v>tools, reach, swap, inspection and safe isolation</x:v>
      </x:c>
      <x:c r="G114" s="27" t="str">
        <x:v>energy safety authority</x:v>
      </x:c>
      <x:c r="H114" s="27" t="str">
        <x:v>DRAFT</x:v>
      </x:c>
      <x:c r="I114" s="27" t="str">
        <x:v>OPEN</x:v>
      </x:c>
      <x:c r="J114" s="27" t="n">
        <x:v>0</x:v>
      </x:c>
      <x:c r="K114" s="29" t="str">
        <x:v>any serial or ancestry change</x:v>
      </x:c>
    </x:row>
    <x:row r="115" ht="27" customHeight="1">
      <x:c r="B115" s="27" t="str">
        <x:v>D11-EPS-P01</x:v>
      </x:c>
      <x:c r="C115" s="27" t="str">
        <x:v>EPS-P01</x:v>
      </x:c>
      <x:c r="D115" s="27" t="str">
        <x:v>Independent energy</x:v>
      </x:c>
      <x:c r="E115" s="27" t="str">
        <x:v>decontamination and quarantine plan</x:v>
      </x:c>
      <x:c r="F115" s="27" t="str">
        <x:v>cleaning, exposure marking, custody and disposition</x:v>
      </x:c>
      <x:c r="G115" s="27" t="str">
        <x:v>energy safety authority</x:v>
      </x:c>
      <x:c r="H115" s="27" t="str">
        <x:v>DRAFT</x:v>
      </x:c>
      <x:c r="I115" s="27" t="str">
        <x:v>OPEN</x:v>
      </x:c>
      <x:c r="J115" s="27" t="n">
        <x:v>0</x:v>
      </x:c>
      <x:c r="K115" s="29" t="str">
        <x:v>any serial or ancestry change</x:v>
      </x:c>
    </x:row>
    <x:row r="116" ht="27" customHeight="1">
      <x:c r="B116" s="27" t="str">
        <x:v>D12-EPS-P01</x:v>
      </x:c>
      <x:c r="C116" s="27" t="str">
        <x:v>EPS-P01</x:v>
      </x:c>
      <x:c r="D116" s="27" t="str">
        <x:v>Independent energy</x:v>
      </x:c>
      <x:c r="E116" s="27" t="str">
        <x:v>ancestry and technical-rights package</x:v>
      </x:c>
      <x:c r="F116" s="27" t="str">
        <x:v>ownership, facility, process, firmware and reproduction rights</x:v>
      </x:c>
      <x:c r="G116" s="27" t="str">
        <x:v>energy safety authority</x:v>
      </x:c>
      <x:c r="H116" s="27" t="str">
        <x:v>DRAFT</x:v>
      </x:c>
      <x:c r="I116" s="27" t="str">
        <x:v>OPEN</x:v>
      </x:c>
      <x:c r="J116" s="27" t="n">
        <x:v>0</x:v>
      </x:c>
      <x:c r="K116" s="29" t="str">
        <x:v>any serial or ancestry change</x:v>
      </x:c>
    </x:row>
    <x:row r="117" ht="27" customHeight="1">
      <x:c r="B117" s="27" t="str">
        <x:v>D13-EPS-P01</x:v>
      </x:c>
      <x:c r="C117" s="27" t="str">
        <x:v>EPS-P01</x:v>
      </x:c>
      <x:c r="D117" s="27" t="str">
        <x:v>Independent energy</x:v>
      </x:c>
      <x:c r="E117" s="27" t="str">
        <x:v>emulator equivalence definition</x:v>
      </x:c>
      <x:c r="F117" s="27" t="str">
        <x:v>mass, inertia, stiffness, heat and impedance pairing</x:v>
      </x:c>
      <x:c r="G117" s="27" t="str">
        <x:v>energy safety authority</x:v>
      </x:c>
      <x:c r="H117" s="27" t="str">
        <x:v>DRAFT</x:v>
      </x:c>
      <x:c r="I117" s="27" t="str">
        <x:v>OPEN</x:v>
      </x:c>
      <x:c r="J117" s="27" t="n">
        <x:v>0</x:v>
      </x:c>
      <x:c r="K117" s="29" t="str">
        <x:v>any serial or ancestry change</x:v>
      </x:c>
    </x:row>
    <x:row r="118" ht="27" customHeight="1">
      <x:c r="B118" s="27" t="str">
        <x:v>D14-EPS-P01</x:v>
      </x:c>
      <x:c r="C118" s="27" t="str">
        <x:v>EPS-P01</x:v>
      </x:c>
      <x:c r="D118" s="27" t="str">
        <x:v>Independent energy</x:v>
      </x:c>
      <x:c r="E118" s="27" t="str">
        <x:v>acceptance evidence index</x:v>
      </x:c>
      <x:c r="F118" s="27" t="str">
        <x:v>required artifacts, authorities, stop rules and second-lot record</x:v>
      </x:c>
      <x:c r="G118" s="27" t="str">
        <x:v>energy safety authority</x:v>
      </x:c>
      <x:c r="H118" s="27" t="str">
        <x:v>DRAFT</x:v>
      </x:c>
      <x:c r="I118" s="27" t="str">
        <x:v>OPEN</x:v>
      </x:c>
      <x:c r="J118" s="27" t="n">
        <x:v>0</x:v>
      </x:c>
      <x:c r="K118" s="29" t="str">
        <x:v>any serial or ancestry change</x:v>
      </x:c>
    </x:row>
    <x:row r="119" ht="27" customHeight="1">
      <x:c r="B119" s="27" t="str">
        <x:v>D01-TKS-C01</x:v>
      </x:c>
      <x:c r="C119" s="27" t="str">
        <x:v>TKS-C01</x:v>
      </x:c>
      <x:c r="D119" s="27" t="str">
        <x:v>Denied time</x:v>
      </x:c>
      <x:c r="E119" s="27" t="str">
        <x:v>interface control dataset</x:v>
      </x:c>
      <x:c r="F119" s="27" t="str">
        <x:v>all physical, energy, fluid, optical and custody boundaries</x:v>
      </x:c>
      <x:c r="G119" s="27" t="str">
        <x:v>time authority</x:v>
      </x:c>
      <x:c r="H119" s="27" t="str">
        <x:v>DRAFT</x:v>
      </x:c>
      <x:c r="I119" s="27" t="str">
        <x:v>OPEN</x:v>
      </x:c>
      <x:c r="J119" s="27" t="n">
        <x:v>0</x:v>
      </x:c>
      <x:c r="K119" s="29" t="str">
        <x:v>any serial or ancestry change</x:v>
      </x:c>
    </x:row>
    <x:row r="120" ht="27" customHeight="1">
      <x:c r="B120" s="27" t="str">
        <x:v>D02-TKS-C01</x:v>
      </x:c>
      <x:c r="C120" s="27" t="str">
        <x:v>TKS-C01</x:v>
      </x:c>
      <x:c r="D120" s="27" t="str">
        <x:v>Denied time</x:v>
      </x:c>
      <x:c r="E120" s="27" t="str">
        <x:v>mass-property ledger</x:v>
      </x:c>
      <x:c r="F120" s="27" t="str">
        <x:v>component mass, moments, center of gravity and growth reserve</x:v>
      </x:c>
      <x:c r="G120" s="27" t="str">
        <x:v>time authority</x:v>
      </x:c>
      <x:c r="H120" s="27" t="str">
        <x:v>DRAFT</x:v>
      </x:c>
      <x:c r="I120" s="27" t="str">
        <x:v>OPEN</x:v>
      </x:c>
      <x:c r="J120" s="27" t="n">
        <x:v>0</x:v>
      </x:c>
      <x:c r="K120" s="29" t="str">
        <x:v>any serial or ancestry change</x:v>
      </x:c>
    </x:row>
    <x:row r="121" ht="27" customHeight="1">
      <x:c r="B121" s="27" t="str">
        <x:v>D03-TKS-C01</x:v>
      </x:c>
      <x:c r="C121" s="27" t="str">
        <x:v>TKS-C01</x:v>
      </x:c>
      <x:c r="D121" s="27" t="str">
        <x:v>Denied time</x:v>
      </x:c>
      <x:c r="E121" s="27" t="str">
        <x:v>power and endurance case</x:v>
      </x:c>
      <x:c r="F121" s="27" t="str">
        <x:v>average, peak, startup, reserve and isolation</x:v>
      </x:c>
      <x:c r="G121" s="27" t="str">
        <x:v>time authority</x:v>
      </x:c>
      <x:c r="H121" s="27" t="str">
        <x:v>DRAFT</x:v>
      </x:c>
      <x:c r="I121" s="27" t="str">
        <x:v>OPEN</x:v>
      </x:c>
      <x:c r="J121" s="27" t="n">
        <x:v>0</x:v>
      </x:c>
      <x:c r="K121" s="29" t="str">
        <x:v>any serial or ancestry change</x:v>
      </x:c>
    </x:row>
    <x:row r="122" ht="27" customHeight="1">
      <x:c r="B122" s="27" t="str">
        <x:v>D04-TKS-C01</x:v>
      </x:c>
      <x:c r="C122" s="27" t="str">
        <x:v>TKS-C01</x:v>
      </x:c>
      <x:c r="D122" s="27" t="str">
        <x:v>Denied time</x:v>
      </x:c>
      <x:c r="E122" s="27" t="str">
        <x:v>thermal rejection case</x:v>
      </x:c>
      <x:c r="F122" s="27" t="str">
        <x:v>steady, peak, propagation and outward boundary</x:v>
      </x:c>
      <x:c r="G122" s="27" t="str">
        <x:v>time authority</x:v>
      </x:c>
      <x:c r="H122" s="27" t="str">
        <x:v>DRAFT</x:v>
      </x:c>
      <x:c r="I122" s="27" t="str">
        <x:v>OPEN</x:v>
      </x:c>
      <x:c r="J122" s="27" t="n">
        <x:v>0</x:v>
      </x:c>
      <x:c r="K122" s="29" t="str">
        <x:v>any serial or ancestry change</x:v>
      </x:c>
    </x:row>
    <x:row r="123" ht="27" customHeight="1">
      <x:c r="B123" s="27" t="str">
        <x:v>D05-TKS-C01</x:v>
      </x:c>
      <x:c r="C123" s="27" t="str">
        <x:v>TKS-C01</x:v>
      </x:c>
      <x:c r="D123" s="27" t="str">
        <x:v>Denied time</x:v>
      </x:c>
      <x:c r="E123" s="27" t="str">
        <x:v>materials and hazard declaration</x:v>
      </x:c>
      <x:c r="F123" s="27" t="str">
        <x:v>composition, incompatibility and exposure disposition</x:v>
      </x:c>
      <x:c r="G123" s="27" t="str">
        <x:v>time authority</x:v>
      </x:c>
      <x:c r="H123" s="27" t="str">
        <x:v>DRAFT</x:v>
      </x:c>
      <x:c r="I123" s="27" t="str">
        <x:v>OPEN</x:v>
      </x:c>
      <x:c r="J123" s="27" t="n">
        <x:v>0</x:v>
      </x:c>
      <x:c r="K123" s="29" t="str">
        <x:v>any serial or ancestry change</x:v>
      </x:c>
    </x:row>
    <x:row r="124" ht="27" customHeight="1">
      <x:c r="B124" s="27" t="str">
        <x:v>D06-TKS-C01</x:v>
      </x:c>
      <x:c r="C124" s="27" t="str">
        <x:v>TKS-C01</x:v>
      </x:c>
      <x:c r="D124" s="27" t="str">
        <x:v>Denied time</x:v>
      </x:c>
      <x:c r="E124" s="27" t="str">
        <x:v>observable and channel map</x:v>
      </x:c>
      <x:c r="F124" s="27" t="str">
        <x:v>measurand, location, sampling and invalid-state grammar</x:v>
      </x:c>
      <x:c r="G124" s="27" t="str">
        <x:v>time authority</x:v>
      </x:c>
      <x:c r="H124" s="27" t="str">
        <x:v>DRAFT</x:v>
      </x:c>
      <x:c r="I124" s="27" t="str">
        <x:v>OPEN</x:v>
      </x:c>
      <x:c r="J124" s="27" t="n">
        <x:v>0</x:v>
      </x:c>
      <x:c r="K124" s="29" t="str">
        <x:v>any serial or ancestry change</x:v>
      </x:c>
    </x:row>
    <x:row r="125" ht="27" customHeight="1">
      <x:c r="B125" s="27" t="str">
        <x:v>D07-TKS-C01</x:v>
      </x:c>
      <x:c r="C125" s="27" t="str">
        <x:v>TKS-C01</x:v>
      </x:c>
      <x:c r="D125" s="27" t="str">
        <x:v>Denied time</x:v>
      </x:c>
      <x:c r="E125" s="27" t="str">
        <x:v>calibration plan</x:v>
      </x:c>
      <x:c r="F125" s="27" t="str">
        <x:v>traveling standards, uncertainty and pre/post sequence</x:v>
      </x:c>
      <x:c r="G125" s="27" t="str">
        <x:v>time authority</x:v>
      </x:c>
      <x:c r="H125" s="27" t="str">
        <x:v>DRAFT</x:v>
      </x:c>
      <x:c r="I125" s="27" t="str">
        <x:v>OPEN</x:v>
      </x:c>
      <x:c r="J125" s="27" t="n">
        <x:v>0</x:v>
      </x:c>
      <x:c r="K125" s="29" t="str">
        <x:v>any serial or ancestry change</x:v>
      </x:c>
    </x:row>
    <x:row r="126" ht="27" customHeight="1">
      <x:c r="B126" s="27" t="str">
        <x:v>D08-TKS-C01</x:v>
      </x:c>
      <x:c r="C126" s="27" t="str">
        <x:v>TKS-C01</x:v>
      </x:c>
      <x:c r="D126" s="27" t="str">
        <x:v>Denied time</x:v>
      </x:c>
      <x:c r="E126" s="27" t="str">
        <x:v>data time and storage plan</x:v>
      </x:c>
      <x:c r="F126" s="27" t="str">
        <x:v>segment, clock, retention, loss and export</x:v>
      </x:c>
      <x:c r="G126" s="27" t="str">
        <x:v>time authority</x:v>
      </x:c>
      <x:c r="H126" s="27" t="str">
        <x:v>DRAFT</x:v>
      </x:c>
      <x:c r="I126" s="27" t="str">
        <x:v>OPEN</x:v>
      </x:c>
      <x:c r="J126" s="27" t="n">
        <x:v>0</x:v>
      </x:c>
      <x:c r="K126" s="29" t="str">
        <x:v>any serial or ancestry change</x:v>
      </x:c>
    </x:row>
    <x:row r="127" ht="27" customHeight="1">
      <x:c r="B127" s="27" t="str">
        <x:v>D09-TKS-C01</x:v>
      </x:c>
      <x:c r="C127" s="27" t="str">
        <x:v>TKS-C01</x:v>
      </x:c>
      <x:c r="D127" s="27" t="str">
        <x:v>Denied time</x:v>
      </x:c>
      <x:c r="E127" s="27" t="str">
        <x:v>physical non-actuation case</x:v>
      </x:c>
      <x:c r="F127" s="27" t="str">
        <x:v>reverse-energy, return-data and teardown evidence</x:v>
      </x:c>
      <x:c r="G127" s="27" t="str">
        <x:v>time authority</x:v>
      </x:c>
      <x:c r="H127" s="27" t="str">
        <x:v>DRAFT</x:v>
      </x:c>
      <x:c r="I127" s="27" t="str">
        <x:v>OPEN</x:v>
      </x:c>
      <x:c r="J127" s="27" t="n">
        <x:v>0</x:v>
      </x:c>
      <x:c r="K127" s="29" t="str">
        <x:v>any serial or ancestry change</x:v>
      </x:c>
    </x:row>
    <x:row r="128" ht="27" customHeight="1">
      <x:c r="B128" s="27" t="str">
        <x:v>D10-TKS-C01</x:v>
      </x:c>
      <x:c r="C128" s="27" t="str">
        <x:v>TKS-C01</x:v>
      </x:c>
      <x:c r="D128" s="27" t="str">
        <x:v>Denied time</x:v>
      </x:c>
      <x:c r="E128" s="27" t="str">
        <x:v>access and maintainability plan</x:v>
      </x:c>
      <x:c r="F128" s="27" t="str">
        <x:v>tools, reach, swap, inspection and safe isolation</x:v>
      </x:c>
      <x:c r="G128" s="27" t="str">
        <x:v>time authority</x:v>
      </x:c>
      <x:c r="H128" s="27" t="str">
        <x:v>DRAFT</x:v>
      </x:c>
      <x:c r="I128" s="27" t="str">
        <x:v>OPEN</x:v>
      </x:c>
      <x:c r="J128" s="27" t="n">
        <x:v>0</x:v>
      </x:c>
      <x:c r="K128" s="29" t="str">
        <x:v>any serial or ancestry change</x:v>
      </x:c>
    </x:row>
    <x:row r="129" ht="27" customHeight="1">
      <x:c r="B129" s="27" t="str">
        <x:v>D11-TKS-C01</x:v>
      </x:c>
      <x:c r="C129" s="27" t="str">
        <x:v>TKS-C01</x:v>
      </x:c>
      <x:c r="D129" s="27" t="str">
        <x:v>Denied time</x:v>
      </x:c>
      <x:c r="E129" s="27" t="str">
        <x:v>decontamination and quarantine plan</x:v>
      </x:c>
      <x:c r="F129" s="27" t="str">
        <x:v>cleaning, exposure marking, custody and disposition</x:v>
      </x:c>
      <x:c r="G129" s="27" t="str">
        <x:v>time authority</x:v>
      </x:c>
      <x:c r="H129" s="27" t="str">
        <x:v>DRAFT</x:v>
      </x:c>
      <x:c r="I129" s="27" t="str">
        <x:v>OPEN</x:v>
      </x:c>
      <x:c r="J129" s="27" t="n">
        <x:v>0</x:v>
      </x:c>
      <x:c r="K129" s="29" t="str">
        <x:v>any serial or ancestry change</x:v>
      </x:c>
    </x:row>
    <x:row r="130" ht="27" customHeight="1">
      <x:c r="B130" s="27" t="str">
        <x:v>D12-TKS-C01</x:v>
      </x:c>
      <x:c r="C130" s="27" t="str">
        <x:v>TKS-C01</x:v>
      </x:c>
      <x:c r="D130" s="27" t="str">
        <x:v>Denied time</x:v>
      </x:c>
      <x:c r="E130" s="27" t="str">
        <x:v>ancestry and technical-rights package</x:v>
      </x:c>
      <x:c r="F130" s="27" t="str">
        <x:v>ownership, facility, process, firmware and reproduction rights</x:v>
      </x:c>
      <x:c r="G130" s="27" t="str">
        <x:v>time authority</x:v>
      </x:c>
      <x:c r="H130" s="27" t="str">
        <x:v>DRAFT</x:v>
      </x:c>
      <x:c r="I130" s="27" t="str">
        <x:v>OPEN</x:v>
      </x:c>
      <x:c r="J130" s="27" t="n">
        <x:v>0</x:v>
      </x:c>
      <x:c r="K130" s="29" t="str">
        <x:v>any serial or ancestry change</x:v>
      </x:c>
    </x:row>
    <x:row r="131" ht="27" customHeight="1">
      <x:c r="B131" s="27" t="str">
        <x:v>D13-TKS-C01</x:v>
      </x:c>
      <x:c r="C131" s="27" t="str">
        <x:v>TKS-C01</x:v>
      </x:c>
      <x:c r="D131" s="27" t="str">
        <x:v>Denied time</x:v>
      </x:c>
      <x:c r="E131" s="27" t="str">
        <x:v>emulator equivalence definition</x:v>
      </x:c>
      <x:c r="F131" s="27" t="str">
        <x:v>mass, inertia, stiffness, heat and impedance pairing</x:v>
      </x:c>
      <x:c r="G131" s="27" t="str">
        <x:v>time authority</x:v>
      </x:c>
      <x:c r="H131" s="27" t="str">
        <x:v>DRAFT</x:v>
      </x:c>
      <x:c r="I131" s="27" t="str">
        <x:v>OPEN</x:v>
      </x:c>
      <x:c r="J131" s="27" t="n">
        <x:v>0</x:v>
      </x:c>
      <x:c r="K131" s="29" t="str">
        <x:v>any serial or ancestry change</x:v>
      </x:c>
    </x:row>
    <x:row r="132" ht="27" customHeight="1">
      <x:c r="B132" s="27" t="str">
        <x:v>D14-TKS-C01</x:v>
      </x:c>
      <x:c r="C132" s="27" t="str">
        <x:v>TKS-C01</x:v>
      </x:c>
      <x:c r="D132" s="27" t="str">
        <x:v>Denied time</x:v>
      </x:c>
      <x:c r="E132" s="27" t="str">
        <x:v>acceptance evidence index</x:v>
      </x:c>
      <x:c r="F132" s="27" t="str">
        <x:v>required artifacts, authorities, stop rules and second-lot record</x:v>
      </x:c>
      <x:c r="G132" s="27" t="str">
        <x:v>time authority</x:v>
      </x:c>
      <x:c r="H132" s="27" t="str">
        <x:v>DRAFT</x:v>
      </x:c>
      <x:c r="I132" s="27" t="str">
        <x:v>OPEN</x:v>
      </x:c>
      <x:c r="J132" s="27" t="n">
        <x:v>0</x:v>
      </x:c>
      <x:c r="K132" s="29" t="str">
        <x:v>any serial or ancestry change</x:v>
      </x:c>
    </x:row>
    <x:row r="133" ht="27" customHeight="1">
      <x:c r="B133" s="27" t="str">
        <x:v>D01-STG-S01</x:v>
      </x:c>
      <x:c r="C133" s="27" t="str">
        <x:v>STG-S01</x:v>
      </x:c>
      <x:c r="D133" s="27" t="str">
        <x:v>Immutable storage</x:v>
      </x:c>
      <x:c r="E133" s="27" t="str">
        <x:v>interface control dataset</x:v>
      </x:c>
      <x:c r="F133" s="27" t="str">
        <x:v>all physical, energy, fluid, optical and custody boundaries</x:v>
      </x:c>
      <x:c r="G133" s="27" t="str">
        <x:v>data authority</x:v>
      </x:c>
      <x:c r="H133" s="27" t="str">
        <x:v>DRAFT</x:v>
      </x:c>
      <x:c r="I133" s="27" t="str">
        <x:v>OPEN</x:v>
      </x:c>
      <x:c r="J133" s="27" t="n">
        <x:v>0</x:v>
      </x:c>
      <x:c r="K133" s="29" t="str">
        <x:v>any serial or ancestry change</x:v>
      </x:c>
    </x:row>
    <x:row r="134" ht="27" customHeight="1">
      <x:c r="B134" s="27" t="str">
        <x:v>D02-STG-S01</x:v>
      </x:c>
      <x:c r="C134" s="27" t="str">
        <x:v>STG-S01</x:v>
      </x:c>
      <x:c r="D134" s="27" t="str">
        <x:v>Immutable storage</x:v>
      </x:c>
      <x:c r="E134" s="27" t="str">
        <x:v>mass-property ledger</x:v>
      </x:c>
      <x:c r="F134" s="27" t="str">
        <x:v>component mass, moments, center of gravity and growth reserve</x:v>
      </x:c>
      <x:c r="G134" s="27" t="str">
        <x:v>data authority</x:v>
      </x:c>
      <x:c r="H134" s="27" t="str">
        <x:v>DRAFT</x:v>
      </x:c>
      <x:c r="I134" s="27" t="str">
        <x:v>OPEN</x:v>
      </x:c>
      <x:c r="J134" s="27" t="n">
        <x:v>0</x:v>
      </x:c>
      <x:c r="K134" s="29" t="str">
        <x:v>any serial or ancestry change</x:v>
      </x:c>
    </x:row>
    <x:row r="135" ht="27" customHeight="1">
      <x:c r="B135" s="27" t="str">
        <x:v>D03-STG-S01</x:v>
      </x:c>
      <x:c r="C135" s="27" t="str">
        <x:v>STG-S01</x:v>
      </x:c>
      <x:c r="D135" s="27" t="str">
        <x:v>Immutable storage</x:v>
      </x:c>
      <x:c r="E135" s="27" t="str">
        <x:v>power and endurance case</x:v>
      </x:c>
      <x:c r="F135" s="27" t="str">
        <x:v>average, peak, startup, reserve and isolation</x:v>
      </x:c>
      <x:c r="G135" s="27" t="str">
        <x:v>data authority</x:v>
      </x:c>
      <x:c r="H135" s="27" t="str">
        <x:v>DRAFT</x:v>
      </x:c>
      <x:c r="I135" s="27" t="str">
        <x:v>OPEN</x:v>
      </x:c>
      <x:c r="J135" s="27" t="n">
        <x:v>0</x:v>
      </x:c>
      <x:c r="K135" s="29" t="str">
        <x:v>any serial or ancestry change</x:v>
      </x:c>
    </x:row>
    <x:row r="136" ht="27" customHeight="1">
      <x:c r="B136" s="27" t="str">
        <x:v>D04-STG-S01</x:v>
      </x:c>
      <x:c r="C136" s="27" t="str">
        <x:v>STG-S01</x:v>
      </x:c>
      <x:c r="D136" s="27" t="str">
        <x:v>Immutable storage</x:v>
      </x:c>
      <x:c r="E136" s="27" t="str">
        <x:v>thermal rejection case</x:v>
      </x:c>
      <x:c r="F136" s="27" t="str">
        <x:v>steady, peak, propagation and outward boundary</x:v>
      </x:c>
      <x:c r="G136" s="27" t="str">
        <x:v>data authority</x:v>
      </x:c>
      <x:c r="H136" s="27" t="str">
        <x:v>DRAFT</x:v>
      </x:c>
      <x:c r="I136" s="27" t="str">
        <x:v>OPEN</x:v>
      </x:c>
      <x:c r="J136" s="27" t="n">
        <x:v>0</x:v>
      </x:c>
      <x:c r="K136" s="29" t="str">
        <x:v>any serial or ancestry change</x:v>
      </x:c>
    </x:row>
    <x:row r="137" ht="27" customHeight="1">
      <x:c r="B137" s="27" t="str">
        <x:v>D05-STG-S01</x:v>
      </x:c>
      <x:c r="C137" s="27" t="str">
        <x:v>STG-S01</x:v>
      </x:c>
      <x:c r="D137" s="27" t="str">
        <x:v>Immutable storage</x:v>
      </x:c>
      <x:c r="E137" s="27" t="str">
        <x:v>materials and hazard declaration</x:v>
      </x:c>
      <x:c r="F137" s="27" t="str">
        <x:v>composition, incompatibility and exposure disposition</x:v>
      </x:c>
      <x:c r="G137" s="27" t="str">
        <x:v>data authority</x:v>
      </x:c>
      <x:c r="H137" s="27" t="str">
        <x:v>DRAFT</x:v>
      </x:c>
      <x:c r="I137" s="27" t="str">
        <x:v>OPEN</x:v>
      </x:c>
      <x:c r="J137" s="27" t="n">
        <x:v>0</x:v>
      </x:c>
      <x:c r="K137" s="29" t="str">
        <x:v>any serial or ancestry change</x:v>
      </x:c>
    </x:row>
    <x:row r="138" ht="27" customHeight="1">
      <x:c r="B138" s="27" t="str">
        <x:v>D06-STG-S01</x:v>
      </x:c>
      <x:c r="C138" s="27" t="str">
        <x:v>STG-S01</x:v>
      </x:c>
      <x:c r="D138" s="27" t="str">
        <x:v>Immutable storage</x:v>
      </x:c>
      <x:c r="E138" s="27" t="str">
        <x:v>observable and channel map</x:v>
      </x:c>
      <x:c r="F138" s="27" t="str">
        <x:v>measurand, location, sampling and invalid-state grammar</x:v>
      </x:c>
      <x:c r="G138" s="27" t="str">
        <x:v>data authority</x:v>
      </x:c>
      <x:c r="H138" s="27" t="str">
        <x:v>DRAFT</x:v>
      </x:c>
      <x:c r="I138" s="27" t="str">
        <x:v>OPEN</x:v>
      </x:c>
      <x:c r="J138" s="27" t="n">
        <x:v>0</x:v>
      </x:c>
      <x:c r="K138" s="29" t="str">
        <x:v>any serial or ancestry change</x:v>
      </x:c>
    </x:row>
    <x:row r="139" ht="27" customHeight="1">
      <x:c r="B139" s="27" t="str">
        <x:v>D07-STG-S01</x:v>
      </x:c>
      <x:c r="C139" s="27" t="str">
        <x:v>STG-S01</x:v>
      </x:c>
      <x:c r="D139" s="27" t="str">
        <x:v>Immutable storage</x:v>
      </x:c>
      <x:c r="E139" s="27" t="str">
        <x:v>calibration plan</x:v>
      </x:c>
      <x:c r="F139" s="27" t="str">
        <x:v>traveling standards, uncertainty and pre/post sequence</x:v>
      </x:c>
      <x:c r="G139" s="27" t="str">
        <x:v>data authority</x:v>
      </x:c>
      <x:c r="H139" s="27" t="str">
        <x:v>DRAFT</x:v>
      </x:c>
      <x:c r="I139" s="27" t="str">
        <x:v>OPEN</x:v>
      </x:c>
      <x:c r="J139" s="27" t="n">
        <x:v>0</x:v>
      </x:c>
      <x:c r="K139" s="29" t="str">
        <x:v>any serial or ancestry change</x:v>
      </x:c>
    </x:row>
    <x:row r="140" ht="27" customHeight="1">
      <x:c r="B140" s="27" t="str">
        <x:v>D08-STG-S01</x:v>
      </x:c>
      <x:c r="C140" s="27" t="str">
        <x:v>STG-S01</x:v>
      </x:c>
      <x:c r="D140" s="27" t="str">
        <x:v>Immutable storage</x:v>
      </x:c>
      <x:c r="E140" s="27" t="str">
        <x:v>data time and storage plan</x:v>
      </x:c>
      <x:c r="F140" s="27" t="str">
        <x:v>segment, clock, retention, loss and export</x:v>
      </x:c>
      <x:c r="G140" s="27" t="str">
        <x:v>data authority</x:v>
      </x:c>
      <x:c r="H140" s="27" t="str">
        <x:v>DRAFT</x:v>
      </x:c>
      <x:c r="I140" s="27" t="str">
        <x:v>OPEN</x:v>
      </x:c>
      <x:c r="J140" s="27" t="n">
        <x:v>0</x:v>
      </x:c>
      <x:c r="K140" s="29" t="str">
        <x:v>any serial or ancestry change</x:v>
      </x:c>
    </x:row>
    <x:row r="141" ht="27" customHeight="1">
      <x:c r="B141" s="27" t="str">
        <x:v>D09-STG-S01</x:v>
      </x:c>
      <x:c r="C141" s="27" t="str">
        <x:v>STG-S01</x:v>
      </x:c>
      <x:c r="D141" s="27" t="str">
        <x:v>Immutable storage</x:v>
      </x:c>
      <x:c r="E141" s="27" t="str">
        <x:v>physical non-actuation case</x:v>
      </x:c>
      <x:c r="F141" s="27" t="str">
        <x:v>reverse-energy, return-data and teardown evidence</x:v>
      </x:c>
      <x:c r="G141" s="27" t="str">
        <x:v>data authority</x:v>
      </x:c>
      <x:c r="H141" s="27" t="str">
        <x:v>DRAFT</x:v>
      </x:c>
      <x:c r="I141" s="27" t="str">
        <x:v>OPEN</x:v>
      </x:c>
      <x:c r="J141" s="27" t="n">
        <x:v>0</x:v>
      </x:c>
      <x:c r="K141" s="29" t="str">
        <x:v>any serial or ancestry change</x:v>
      </x:c>
    </x:row>
    <x:row r="142" ht="27" customHeight="1">
      <x:c r="B142" s="27" t="str">
        <x:v>D10-STG-S01</x:v>
      </x:c>
      <x:c r="C142" s="27" t="str">
        <x:v>STG-S01</x:v>
      </x:c>
      <x:c r="D142" s="27" t="str">
        <x:v>Immutable storage</x:v>
      </x:c>
      <x:c r="E142" s="27" t="str">
        <x:v>access and maintainability plan</x:v>
      </x:c>
      <x:c r="F142" s="27" t="str">
        <x:v>tools, reach, swap, inspection and safe isolation</x:v>
      </x:c>
      <x:c r="G142" s="27" t="str">
        <x:v>data authority</x:v>
      </x:c>
      <x:c r="H142" s="27" t="str">
        <x:v>DRAFT</x:v>
      </x:c>
      <x:c r="I142" s="27" t="str">
        <x:v>OPEN</x:v>
      </x:c>
      <x:c r="J142" s="27" t="n">
        <x:v>0</x:v>
      </x:c>
      <x:c r="K142" s="29" t="str">
        <x:v>any serial or ancestry change</x:v>
      </x:c>
    </x:row>
    <x:row r="143" ht="27" customHeight="1">
      <x:c r="B143" s="27" t="str">
        <x:v>D11-STG-S01</x:v>
      </x:c>
      <x:c r="C143" s="27" t="str">
        <x:v>STG-S01</x:v>
      </x:c>
      <x:c r="D143" s="27" t="str">
        <x:v>Immutable storage</x:v>
      </x:c>
      <x:c r="E143" s="27" t="str">
        <x:v>decontamination and quarantine plan</x:v>
      </x:c>
      <x:c r="F143" s="27" t="str">
        <x:v>cleaning, exposure marking, custody and disposition</x:v>
      </x:c>
      <x:c r="G143" s="27" t="str">
        <x:v>data authority</x:v>
      </x:c>
      <x:c r="H143" s="27" t="str">
        <x:v>DRAFT</x:v>
      </x:c>
      <x:c r="I143" s="27" t="str">
        <x:v>OPEN</x:v>
      </x:c>
      <x:c r="J143" s="27" t="n">
        <x:v>0</x:v>
      </x:c>
      <x:c r="K143" s="29" t="str">
        <x:v>any serial or ancestry change</x:v>
      </x:c>
    </x:row>
    <x:row r="144" ht="27" customHeight="1">
      <x:c r="B144" s="27" t="str">
        <x:v>D12-STG-S01</x:v>
      </x:c>
      <x:c r="C144" s="27" t="str">
        <x:v>STG-S01</x:v>
      </x:c>
      <x:c r="D144" s="27" t="str">
        <x:v>Immutable storage</x:v>
      </x:c>
      <x:c r="E144" s="27" t="str">
        <x:v>ancestry and technical-rights package</x:v>
      </x:c>
      <x:c r="F144" s="27" t="str">
        <x:v>ownership, facility, process, firmware and reproduction rights</x:v>
      </x:c>
      <x:c r="G144" s="27" t="str">
        <x:v>data authority</x:v>
      </x:c>
      <x:c r="H144" s="27" t="str">
        <x:v>DRAFT</x:v>
      </x:c>
      <x:c r="I144" s="27" t="str">
        <x:v>OPEN</x:v>
      </x:c>
      <x:c r="J144" s="27" t="n">
        <x:v>0</x:v>
      </x:c>
      <x:c r="K144" s="29" t="str">
        <x:v>any serial or ancestry change</x:v>
      </x:c>
    </x:row>
    <x:row r="145" ht="27" customHeight="1">
      <x:c r="B145" s="27" t="str">
        <x:v>D13-STG-S01</x:v>
      </x:c>
      <x:c r="C145" s="27" t="str">
        <x:v>STG-S01</x:v>
      </x:c>
      <x:c r="D145" s="27" t="str">
        <x:v>Immutable storage</x:v>
      </x:c>
      <x:c r="E145" s="27" t="str">
        <x:v>emulator equivalence definition</x:v>
      </x:c>
      <x:c r="F145" s="27" t="str">
        <x:v>mass, inertia, stiffness, heat and impedance pairing</x:v>
      </x:c>
      <x:c r="G145" s="27" t="str">
        <x:v>data authority</x:v>
      </x:c>
      <x:c r="H145" s="27" t="str">
        <x:v>DRAFT</x:v>
      </x:c>
      <x:c r="I145" s="27" t="str">
        <x:v>OPEN</x:v>
      </x:c>
      <x:c r="J145" s="27" t="n">
        <x:v>0</x:v>
      </x:c>
      <x:c r="K145" s="29" t="str">
        <x:v>any serial or ancestry change</x:v>
      </x:c>
    </x:row>
    <x:row r="146" ht="27" customHeight="1">
      <x:c r="B146" s="27" t="str">
        <x:v>D14-STG-S01</x:v>
      </x:c>
      <x:c r="C146" s="27" t="str">
        <x:v>STG-S01</x:v>
      </x:c>
      <x:c r="D146" s="27" t="str">
        <x:v>Immutable storage</x:v>
      </x:c>
      <x:c r="E146" s="27" t="str">
        <x:v>acceptance evidence index</x:v>
      </x:c>
      <x:c r="F146" s="27" t="str">
        <x:v>required artifacts, authorities, stop rules and second-lot record</x:v>
      </x:c>
      <x:c r="G146" s="27" t="str">
        <x:v>data authority</x:v>
      </x:c>
      <x:c r="H146" s="27" t="str">
        <x:v>DRAFT</x:v>
      </x:c>
      <x:c r="I146" s="27" t="str">
        <x:v>OPEN</x:v>
      </x:c>
      <x:c r="J146" s="27" t="n">
        <x:v>0</x:v>
      </x:c>
      <x:c r="K146" s="29" t="str">
        <x:v>any serial or ancestry change</x:v>
      </x:c>
    </x:row>
    <x:row r="147" ht="27" customHeight="1">
      <x:c r="B147" s="27" t="str">
        <x:v>D01-MHE-E01</x:v>
      </x:c>
      <x:c r="C147" s="27" t="str">
        <x:v>MHE-E01</x:v>
      </x:c>
      <x:c r="D147" s="27" t="str">
        <x:v>Mass and heat emulator</x:v>
      </x:c>
      <x:c r="E147" s="27" t="str">
        <x:v>interface control dataset</x:v>
      </x:c>
      <x:c r="F147" s="27" t="str">
        <x:v>all physical, energy, fluid, optical and custody boundaries</x:v>
      </x:c>
      <x:c r="G147" s="27" t="str">
        <x:v>equivalence authority</x:v>
      </x:c>
      <x:c r="H147" s="27" t="str">
        <x:v>DRAFT</x:v>
      </x:c>
      <x:c r="I147" s="27" t="str">
        <x:v>OPEN</x:v>
      </x:c>
      <x:c r="J147" s="27" t="n">
        <x:v>0</x:v>
      </x:c>
      <x:c r="K147" s="29" t="str">
        <x:v>any serial or ancestry change</x:v>
      </x:c>
    </x:row>
    <x:row r="148" ht="27" customHeight="1">
      <x:c r="B148" s="27" t="str">
        <x:v>D02-MHE-E01</x:v>
      </x:c>
      <x:c r="C148" s="27" t="str">
        <x:v>MHE-E01</x:v>
      </x:c>
      <x:c r="D148" s="27" t="str">
        <x:v>Mass and heat emulator</x:v>
      </x:c>
      <x:c r="E148" s="27" t="str">
        <x:v>mass-property ledger</x:v>
      </x:c>
      <x:c r="F148" s="27" t="str">
        <x:v>component mass, moments, center of gravity and growth reserve</x:v>
      </x:c>
      <x:c r="G148" s="27" t="str">
        <x:v>equivalence authority</x:v>
      </x:c>
      <x:c r="H148" s="27" t="str">
        <x:v>DRAFT</x:v>
      </x:c>
      <x:c r="I148" s="27" t="str">
        <x:v>OPEN</x:v>
      </x:c>
      <x:c r="J148" s="27" t="n">
        <x:v>0</x:v>
      </x:c>
      <x:c r="K148" s="29" t="str">
        <x:v>any serial or ancestry change</x:v>
      </x:c>
    </x:row>
    <x:row r="149" ht="27" customHeight="1">
      <x:c r="B149" s="27" t="str">
        <x:v>D03-MHE-E01</x:v>
      </x:c>
      <x:c r="C149" s="27" t="str">
        <x:v>MHE-E01</x:v>
      </x:c>
      <x:c r="D149" s="27" t="str">
        <x:v>Mass and heat emulator</x:v>
      </x:c>
      <x:c r="E149" s="27" t="str">
        <x:v>power and endurance case</x:v>
      </x:c>
      <x:c r="F149" s="27" t="str">
        <x:v>average, peak, startup, reserve and isolation</x:v>
      </x:c>
      <x:c r="G149" s="27" t="str">
        <x:v>equivalence authority</x:v>
      </x:c>
      <x:c r="H149" s="27" t="str">
        <x:v>DRAFT</x:v>
      </x:c>
      <x:c r="I149" s="27" t="str">
        <x:v>OPEN</x:v>
      </x:c>
      <x:c r="J149" s="27" t="n">
        <x:v>0</x:v>
      </x:c>
      <x:c r="K149" s="29" t="str">
        <x:v>any serial or ancestry change</x:v>
      </x:c>
    </x:row>
    <x:row r="150" ht="27" customHeight="1">
      <x:c r="B150" s="27" t="str">
        <x:v>D04-MHE-E01</x:v>
      </x:c>
      <x:c r="C150" s="27" t="str">
        <x:v>MHE-E01</x:v>
      </x:c>
      <x:c r="D150" s="27" t="str">
        <x:v>Mass and heat emulator</x:v>
      </x:c>
      <x:c r="E150" s="27" t="str">
        <x:v>thermal rejection case</x:v>
      </x:c>
      <x:c r="F150" s="27" t="str">
        <x:v>steady, peak, propagation and outward boundary</x:v>
      </x:c>
      <x:c r="G150" s="27" t="str">
        <x:v>equivalence authority</x:v>
      </x:c>
      <x:c r="H150" s="27" t="str">
        <x:v>DRAFT</x:v>
      </x:c>
      <x:c r="I150" s="27" t="str">
        <x:v>OPEN</x:v>
      </x:c>
      <x:c r="J150" s="27" t="n">
        <x:v>0</x:v>
      </x:c>
      <x:c r="K150" s="29" t="str">
        <x:v>any serial or ancestry change</x:v>
      </x:c>
    </x:row>
    <x:row r="151" ht="27" customHeight="1">
      <x:c r="B151" s="27" t="str">
        <x:v>D05-MHE-E01</x:v>
      </x:c>
      <x:c r="C151" s="27" t="str">
        <x:v>MHE-E01</x:v>
      </x:c>
      <x:c r="D151" s="27" t="str">
        <x:v>Mass and heat emulator</x:v>
      </x:c>
      <x:c r="E151" s="27" t="str">
        <x:v>materials and hazard declaration</x:v>
      </x:c>
      <x:c r="F151" s="27" t="str">
        <x:v>composition, incompatibility and exposure disposition</x:v>
      </x:c>
      <x:c r="G151" s="27" t="str">
        <x:v>equivalence authority</x:v>
      </x:c>
      <x:c r="H151" s="27" t="str">
        <x:v>DRAFT</x:v>
      </x:c>
      <x:c r="I151" s="27" t="str">
        <x:v>OPEN</x:v>
      </x:c>
      <x:c r="J151" s="27" t="n">
        <x:v>0</x:v>
      </x:c>
      <x:c r="K151" s="29" t="str">
        <x:v>any serial or ancestry change</x:v>
      </x:c>
    </x:row>
    <x:row r="152" ht="27" customHeight="1">
      <x:c r="B152" s="27" t="str">
        <x:v>D06-MHE-E01</x:v>
      </x:c>
      <x:c r="C152" s="27" t="str">
        <x:v>MHE-E01</x:v>
      </x:c>
      <x:c r="D152" s="27" t="str">
        <x:v>Mass and heat emulator</x:v>
      </x:c>
      <x:c r="E152" s="27" t="str">
        <x:v>observable and channel map</x:v>
      </x:c>
      <x:c r="F152" s="27" t="str">
        <x:v>measurand, location, sampling and invalid-state grammar</x:v>
      </x:c>
      <x:c r="G152" s="27" t="str">
        <x:v>equivalence authority</x:v>
      </x:c>
      <x:c r="H152" s="27" t="str">
        <x:v>DRAFT</x:v>
      </x:c>
      <x:c r="I152" s="27" t="str">
        <x:v>OPEN</x:v>
      </x:c>
      <x:c r="J152" s="27" t="n">
        <x:v>0</x:v>
      </x:c>
      <x:c r="K152" s="29" t="str">
        <x:v>any serial or ancestry change</x:v>
      </x:c>
    </x:row>
    <x:row r="153" ht="27" customHeight="1">
      <x:c r="B153" s="27" t="str">
        <x:v>D07-MHE-E01</x:v>
      </x:c>
      <x:c r="C153" s="27" t="str">
        <x:v>MHE-E01</x:v>
      </x:c>
      <x:c r="D153" s="27" t="str">
        <x:v>Mass and heat emulator</x:v>
      </x:c>
      <x:c r="E153" s="27" t="str">
        <x:v>calibration plan</x:v>
      </x:c>
      <x:c r="F153" s="27" t="str">
        <x:v>traveling standards, uncertainty and pre/post sequence</x:v>
      </x:c>
      <x:c r="G153" s="27" t="str">
        <x:v>equivalence authority</x:v>
      </x:c>
      <x:c r="H153" s="27" t="str">
        <x:v>DRAFT</x:v>
      </x:c>
      <x:c r="I153" s="27" t="str">
        <x:v>OPEN</x:v>
      </x:c>
      <x:c r="J153" s="27" t="n">
        <x:v>0</x:v>
      </x:c>
      <x:c r="K153" s="29" t="str">
        <x:v>any serial or ancestry change</x:v>
      </x:c>
    </x:row>
    <x:row r="154" ht="27" customHeight="1">
      <x:c r="B154" s="27" t="str">
        <x:v>D08-MHE-E01</x:v>
      </x:c>
      <x:c r="C154" s="27" t="str">
        <x:v>MHE-E01</x:v>
      </x:c>
      <x:c r="D154" s="27" t="str">
        <x:v>Mass and heat emulator</x:v>
      </x:c>
      <x:c r="E154" s="27" t="str">
        <x:v>data time and storage plan</x:v>
      </x:c>
      <x:c r="F154" s="27" t="str">
        <x:v>segment, clock, retention, loss and export</x:v>
      </x:c>
      <x:c r="G154" s="27" t="str">
        <x:v>equivalence authority</x:v>
      </x:c>
      <x:c r="H154" s="27" t="str">
        <x:v>DRAFT</x:v>
      </x:c>
      <x:c r="I154" s="27" t="str">
        <x:v>OPEN</x:v>
      </x:c>
      <x:c r="J154" s="27" t="n">
        <x:v>0</x:v>
      </x:c>
      <x:c r="K154" s="29" t="str">
        <x:v>any serial or ancestry change</x:v>
      </x:c>
    </x:row>
    <x:row r="155" ht="27" customHeight="1">
      <x:c r="B155" s="27" t="str">
        <x:v>D09-MHE-E01</x:v>
      </x:c>
      <x:c r="C155" s="27" t="str">
        <x:v>MHE-E01</x:v>
      </x:c>
      <x:c r="D155" s="27" t="str">
        <x:v>Mass and heat emulator</x:v>
      </x:c>
      <x:c r="E155" s="27" t="str">
        <x:v>physical non-actuation case</x:v>
      </x:c>
      <x:c r="F155" s="27" t="str">
        <x:v>reverse-energy, return-data and teardown evidence</x:v>
      </x:c>
      <x:c r="G155" s="27" t="str">
        <x:v>equivalence authority</x:v>
      </x:c>
      <x:c r="H155" s="27" t="str">
        <x:v>DRAFT</x:v>
      </x:c>
      <x:c r="I155" s="27" t="str">
        <x:v>OPEN</x:v>
      </x:c>
      <x:c r="J155" s="27" t="n">
        <x:v>0</x:v>
      </x:c>
      <x:c r="K155" s="29" t="str">
        <x:v>any serial or ancestry change</x:v>
      </x:c>
    </x:row>
    <x:row r="156" ht="27" customHeight="1">
      <x:c r="B156" s="27" t="str">
        <x:v>D10-MHE-E01</x:v>
      </x:c>
      <x:c r="C156" s="27" t="str">
        <x:v>MHE-E01</x:v>
      </x:c>
      <x:c r="D156" s="27" t="str">
        <x:v>Mass and heat emulator</x:v>
      </x:c>
      <x:c r="E156" s="27" t="str">
        <x:v>access and maintainability plan</x:v>
      </x:c>
      <x:c r="F156" s="27" t="str">
        <x:v>tools, reach, swap, inspection and safe isolation</x:v>
      </x:c>
      <x:c r="G156" s="27" t="str">
        <x:v>equivalence authority</x:v>
      </x:c>
      <x:c r="H156" s="27" t="str">
        <x:v>DRAFT</x:v>
      </x:c>
      <x:c r="I156" s="27" t="str">
        <x:v>OPEN</x:v>
      </x:c>
      <x:c r="J156" s="27" t="n">
        <x:v>0</x:v>
      </x:c>
      <x:c r="K156" s="29" t="str">
        <x:v>any serial or ancestry change</x:v>
      </x:c>
    </x:row>
    <x:row r="157" ht="27" customHeight="1">
      <x:c r="B157" s="27" t="str">
        <x:v>D11-MHE-E01</x:v>
      </x:c>
      <x:c r="C157" s="27" t="str">
        <x:v>MHE-E01</x:v>
      </x:c>
      <x:c r="D157" s="27" t="str">
        <x:v>Mass and heat emulator</x:v>
      </x:c>
      <x:c r="E157" s="27" t="str">
        <x:v>decontamination and quarantine plan</x:v>
      </x:c>
      <x:c r="F157" s="27" t="str">
        <x:v>cleaning, exposure marking, custody and disposition</x:v>
      </x:c>
      <x:c r="G157" s="27" t="str">
        <x:v>equivalence authority</x:v>
      </x:c>
      <x:c r="H157" s="27" t="str">
        <x:v>DRAFT</x:v>
      </x:c>
      <x:c r="I157" s="27" t="str">
        <x:v>OPEN</x:v>
      </x:c>
      <x:c r="J157" s="27" t="n">
        <x:v>0</x:v>
      </x:c>
      <x:c r="K157" s="29" t="str">
        <x:v>any serial or ancestry change</x:v>
      </x:c>
    </x:row>
    <x:row r="158" ht="27" customHeight="1">
      <x:c r="B158" s="27" t="str">
        <x:v>D12-MHE-E01</x:v>
      </x:c>
      <x:c r="C158" s="27" t="str">
        <x:v>MHE-E01</x:v>
      </x:c>
      <x:c r="D158" s="27" t="str">
        <x:v>Mass and heat emulator</x:v>
      </x:c>
      <x:c r="E158" s="27" t="str">
        <x:v>ancestry and technical-rights package</x:v>
      </x:c>
      <x:c r="F158" s="27" t="str">
        <x:v>ownership, facility, process, firmware and reproduction rights</x:v>
      </x:c>
      <x:c r="G158" s="27" t="str">
        <x:v>equivalence authority</x:v>
      </x:c>
      <x:c r="H158" s="27" t="str">
        <x:v>DRAFT</x:v>
      </x:c>
      <x:c r="I158" s="27" t="str">
        <x:v>OPEN</x:v>
      </x:c>
      <x:c r="J158" s="27" t="n">
        <x:v>0</x:v>
      </x:c>
      <x:c r="K158" s="29" t="str">
        <x:v>any serial or ancestry change</x:v>
      </x:c>
    </x:row>
    <x:row r="159" ht="27" customHeight="1">
      <x:c r="B159" s="27" t="str">
        <x:v>D13-MHE-E01</x:v>
      </x:c>
      <x:c r="C159" s="27" t="str">
        <x:v>MHE-E01</x:v>
      </x:c>
      <x:c r="D159" s="27" t="str">
        <x:v>Mass and heat emulator</x:v>
      </x:c>
      <x:c r="E159" s="27" t="str">
        <x:v>emulator equivalence definition</x:v>
      </x:c>
      <x:c r="F159" s="27" t="str">
        <x:v>mass, inertia, stiffness, heat and impedance pairing</x:v>
      </x:c>
      <x:c r="G159" s="27" t="str">
        <x:v>equivalence authority</x:v>
      </x:c>
      <x:c r="H159" s="27" t="str">
        <x:v>DRAFT</x:v>
      </x:c>
      <x:c r="I159" s="27" t="str">
        <x:v>OPEN</x:v>
      </x:c>
      <x:c r="J159" s="27" t="n">
        <x:v>0</x:v>
      </x:c>
      <x:c r="K159" s="29" t="str">
        <x:v>any serial or ancestry change</x:v>
      </x:c>
    </x:row>
    <x:row r="160" ht="27" customHeight="1">
      <x:c r="B160" s="31" t="str">
        <x:v>D14-MHE-E01</x:v>
      </x:c>
      <x:c r="C160" s="31" t="str">
        <x:v>MHE-E01</x:v>
      </x:c>
      <x:c r="D160" s="31" t="str">
        <x:v>Mass and heat emulator</x:v>
      </x:c>
      <x:c r="E160" s="31" t="str">
        <x:v>acceptance evidence index</x:v>
      </x:c>
      <x:c r="F160" s="31" t="str">
        <x:v>required artifacts, authorities, stop rules and second-lot record</x:v>
      </x:c>
      <x:c r="G160" s="31" t="str">
        <x:v>equivalence authority</x:v>
      </x:c>
      <x:c r="H160" s="31" t="str">
        <x:v>DRAFT</x:v>
      </x:c>
      <x:c r="I160" s="31" t="str">
        <x:v>OPEN</x:v>
      </x:c>
      <x:c r="J160" s="31" t="n">
        <x:v>0</x:v>
      </x:c>
      <x:c r="K160" s="33" t="str">
        <x:v>any serial or ancestry change</x:v>
      </x:c>
    </x:row>
    <x:row r="161" ht="18" customHeight="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 ht="18" customHeight="1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 ht="18" customHeight="1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 ht="18" customHeight="1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 ht="18" customHeight="1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</x:sheetData>
  <x:mergeCells>
    <x:mergeCell ref="B3:K3"/>
  </x:mergeCells>
  <x:conditionalFormatting sqref="H7:I160">
    <x:cfRule type="containsText" dxfId="10" priority="1" operator="containsText" text="OPEN"/>
    <x:cfRule type="containsText" dxfId="11" priority="2" operator="containsText" text="HOLD"/>
    <x:cfRule type="containsText" dxfId="12" priority="3" operator="containsText" text="BLOCKED"/>
    <x:cfRule type="containsText" dxfId="13" priority="4" operator="containsText" text="DRAFT"/>
    <x:cfRule type="containsText" dxfId="14" priority="5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9" hidden="0" customWidth="1"/>
    <x:col min="3" max="3" width="14" hidden="0" customWidth="1"/>
    <x:col min="4" max="4" width="25" hidden="0" customWidth="1"/>
    <x:col min="5" max="5" width="15" hidden="0" customWidth="1"/>
    <x:col min="6" max="6" width="30" hidden="0" customWidth="1"/>
    <x:col min="7" max="7" width="39" hidden="0" customWidth="1"/>
    <x:col min="8" max="8" width="44" hidden="0" customWidth="1"/>
    <x:col min="9" max="9" width="29" hidden="0" customWidth="1"/>
    <x:col min="10" max="10" width="27" hidden="0" customWidth="1"/>
    <x:col min="11" max="11" width="13" hidden="0" customWidth="1"/>
    <x:col min="12" max="12" width="13" hidden="0" customWidth="1"/>
    <x:col min="13" max="13" width="11" hidden="0" customWidth="1"/>
  </x:cols>
  <x:sheetData>
    <x:row r="2" ht="18" customHeight="1">
      <x:c r="B2" s="3" t="str">
        <x:v>Article acceptance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8" customHeight="1">
      <x:c r="B3" s="4" t="str">
        <x:v>Every serial family faces the same twelve evidence questions; family allocations and methods remain explicit.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18" customHeight="1">
      <x:c r="B6" s="25" t="str">
        <x:v>Acceptance</x:v>
      </x:c>
      <x:c r="C6" s="26" t="str">
        <x:v>Family</x:v>
      </x:c>
      <x:c r="D6" s="26" t="str">
        <x:v>Subsystem</x:v>
      </x:c>
      <x:c r="E6" s="26" t="str">
        <x:v>Test</x:v>
      </x:c>
      <x:c r="F6" s="26" t="str">
        <x:v>Question</x:v>
      </x:c>
      <x:c r="G6" s="26" t="str">
        <x:v>Method</x:v>
      </x:c>
      <x:c r="H6" s="26" t="str">
        <x:v>Threshold</x:v>
      </x:c>
      <x:c r="I6" s="26" t="str">
        <x:v>Required artifact</x:v>
      </x:c>
      <x:c r="J6" s="26" t="str">
        <x:v>Authority</x:v>
      </x:c>
      <x:c r="K6" s="26" t="str">
        <x:v>Evidence</x:v>
      </x:c>
      <x:c r="L6" s="26" t="str">
        <x:v>Decision</x:v>
      </x:c>
      <x:c r="M6" s="26" t="str">
        <x:v>Credit</x:v>
      </x:c>
    </x:row>
    <x:row r="7" ht="30" customHeight="1">
      <x:c r="B7" s="27" t="str">
        <x:v>ATC-A01-A01</x:v>
      </x:c>
      <x:c r="C7" s="27" t="str">
        <x:v>ATC-A01</x:v>
      </x:c>
      <x:c r="D7" s="27" t="str">
        <x:v>Air tile cassette</x:v>
      </x:c>
      <x:c r="E7" s="27" t="str">
        <x:v>A01</x:v>
      </x:c>
      <x:c r="F7" s="27" t="str">
        <x:v>mass and volume</x:v>
      </x:c>
      <x:c r="G7" s="27" t="str">
        <x:v>independent weigh and three-dimensional scan</x:v>
      </x:c>
      <x:c r="H7" s="27" t="str">
        <x:v>within frozen envelope including fixtures</x:v>
      </x:c>
      <x:c r="I7" s="27" t="str">
        <x:v>signed metrology record</x:v>
      </x:c>
      <x:c r="J7" s="27" t="str">
        <x:v>article evidence authority</x:v>
      </x:c>
      <x:c r="K7" s="27" t="str">
        <x:v>OPEN</x:v>
      </x:c>
      <x:c r="L7" s="27" t="str">
        <x:v>HOLD</x:v>
      </x:c>
      <x:c r="M7" s="29" t="n">
        <x:v>0</x:v>
      </x:c>
    </x:row>
    <x:row r="8" ht="30" customHeight="1">
      <x:c r="B8" s="27" t="str">
        <x:v>ATC-A01-A02</x:v>
      </x:c>
      <x:c r="C8" s="27" t="str">
        <x:v>ATC-A01</x:v>
      </x:c>
      <x:c r="D8" s="27" t="str">
        <x:v>Air tile cassette</x:v>
      </x:c>
      <x:c r="E8" s="27" t="str">
        <x:v>A02</x:v>
      </x:c>
      <x:c r="F8" s="27" t="str">
        <x:v>mass properties</x:v>
      </x:c>
      <x:c r="G8" s="27" t="str">
        <x:v>moment-table and suspension measurement</x:v>
      </x:c>
      <x:c r="H8" s="27" t="str">
        <x:v>inside registered center-of-gravity and inertia box</x:v>
      </x:c>
      <x:c r="I8" s="27" t="str">
        <x:v>mass-property certificate</x:v>
      </x:c>
      <x:c r="J8" s="27" t="str">
        <x:v>article evidence authority</x:v>
      </x:c>
      <x:c r="K8" s="27" t="str">
        <x:v>OPEN</x:v>
      </x:c>
      <x:c r="L8" s="27" t="str">
        <x:v>HOLD</x:v>
      </x:c>
      <x:c r="M8" s="29" t="n">
        <x:v>0</x:v>
      </x:c>
    </x:row>
    <x:row r="9" ht="30" customHeight="1">
      <x:c r="B9" s="27" t="str">
        <x:v>ATC-A01-A03</x:v>
      </x:c>
      <x:c r="C9" s="27" t="str">
        <x:v>ATC-A01</x:v>
      </x:c>
      <x:c r="D9" s="27" t="str">
        <x:v>Air tile cassette</x:v>
      </x:c>
      <x:c r="E9" s="27" t="str">
        <x:v>A03</x:v>
      </x:c>
      <x:c r="F9" s="27" t="str">
        <x:v>independent endurance</x:v>
      </x:c>
      <x:c r="G9" s="27" t="str">
        <x:v>168-hour isolated operation</x:v>
      </x:c>
      <x:c r="H9" s="27" t="str">
        <x:v>full interval plus 25 percent nameplate reserve</x:v>
      </x:c>
      <x:c r="I9" s="27" t="str">
        <x:v>energy and event record</x:v>
      </x:c>
      <x:c r="J9" s="27" t="str">
        <x:v>article evidence authority</x:v>
      </x:c>
      <x:c r="K9" s="27" t="str">
        <x:v>OPEN</x:v>
      </x:c>
      <x:c r="L9" s="27" t="str">
        <x:v>HOLD</x:v>
      </x:c>
      <x:c r="M9" s="29" t="n">
        <x:v>0</x:v>
      </x:c>
    </x:row>
    <x:row r="10" ht="30" customHeight="1">
      <x:c r="B10" s="27" t="str">
        <x:v>ATC-A01-A04</x:v>
      </x:c>
      <x:c r="C10" s="27" t="str">
        <x:v>ATC-A01</x:v>
      </x:c>
      <x:c r="D10" s="27" t="str">
        <x:v>Air tile cassette</x:v>
      </x:c>
      <x:c r="E10" s="27" t="str">
        <x:v>A04</x:v>
      </x:c>
      <x:c r="F10" s="27" t="str">
        <x:v>peak event capture</x:v>
      </x:c>
      <x:c r="G10" s="27" t="str">
        <x:v>registered simultaneous peak injection</x:v>
      </x:c>
      <x:c r="H10" s="27" t="str">
        <x:v>no brownout, loss or hidden reset</x:v>
      </x:c>
      <x:c r="I10" s="27" t="str">
        <x:v>peak waveform record</x:v>
      </x:c>
      <x:c r="J10" s="27" t="str">
        <x:v>article evidence authority</x:v>
      </x:c>
      <x:c r="K10" s="27" t="str">
        <x:v>OPEN</x:v>
      </x:c>
      <x:c r="L10" s="27" t="str">
        <x:v>HOLD</x:v>
      </x:c>
      <x:c r="M10" s="29" t="n">
        <x:v>0</x:v>
      </x:c>
    </x:row>
    <x:row r="11" ht="30" customHeight="1">
      <x:c r="B11" s="27" t="str">
        <x:v>ATC-A01-A05</x:v>
      </x:c>
      <x:c r="C11" s="27" t="str">
        <x:v>ATC-A01</x:v>
      </x:c>
      <x:c r="D11" s="27" t="str">
        <x:v>Air tile cassette</x:v>
      </x:c>
      <x:c r="E11" s="27" t="str">
        <x:v>A05</x:v>
      </x:c>
      <x:c r="F11" s="27" t="str">
        <x:v>outward heat rejection</x:v>
      </x:c>
      <x:c r="G11" s="27" t="str">
        <x:v>calorimetry at steady and peak state</x:v>
      </x:c>
      <x:c r="H11" s="27" t="str">
        <x:v>all evidence heat exits independent boundary</x:v>
      </x:c>
      <x:c r="I11" s="27" t="str">
        <x:v>calorimetry record</x:v>
      </x:c>
      <x:c r="J11" s="27" t="str">
        <x:v>article evidence authority</x:v>
      </x:c>
      <x:c r="K11" s="27" t="str">
        <x:v>OPEN</x:v>
      </x:c>
      <x:c r="L11" s="27" t="str">
        <x:v>HOLD</x:v>
      </x:c>
      <x:c r="M11" s="29" t="n">
        <x:v>0</x:v>
      </x:c>
    </x:row>
    <x:row r="12" ht="30" customHeight="1">
      <x:c r="B12" s="27" t="str">
        <x:v>ATC-A01-A06</x:v>
      </x:c>
      <x:c r="C12" s="27" t="str">
        <x:v>ATC-A01</x:v>
      </x:c>
      <x:c r="D12" s="27" t="str">
        <x:v>Air tile cassette</x:v>
      </x:c>
      <x:c r="E12" s="27" t="str">
        <x:v>A06</x:v>
      </x:c>
      <x:c r="F12" s="27" t="str">
        <x:v>complete local original</x:v>
      </x:c>
      <x:c r="G12" s="27" t="str">
        <x:v>total network loss and media fault</x:v>
      </x:c>
      <x:c r="H12" s="27" t="str">
        <x:v>registered interval and invalid states retained locally</x:v>
      </x:c>
      <x:c r="I12" s="27" t="str">
        <x:v>sealed original segments</x:v>
      </x:c>
      <x:c r="J12" s="27" t="str">
        <x:v>article evidence authority</x:v>
      </x:c>
      <x:c r="K12" s="27" t="str">
        <x:v>OPEN</x:v>
      </x:c>
      <x:c r="L12" s="27" t="str">
        <x:v>HOLD</x:v>
      </x:c>
      <x:c r="M12" s="29" t="n">
        <x:v>0</x:v>
      </x:c>
    </x:row>
    <x:row r="13" ht="30" customHeight="1">
      <x:c r="B13" s="27" t="str">
        <x:v>ATC-A01-A07</x:v>
      </x:c>
      <x:c r="C13" s="27" t="str">
        <x:v>ATC-A01</x:v>
      </x:c>
      <x:c r="D13" s="27" t="str">
        <x:v>Air tile cassette</x:v>
      </x:c>
      <x:c r="E13" s="27" t="str">
        <x:v>A07</x:v>
      </x:c>
      <x:c r="F13" s="27" t="str">
        <x:v>denied event time</x:v>
      </x:c>
      <x:c r="G13" s="27" t="str">
        <x:v>external time denial and delay insertion</x:v>
      </x:c>
      <x:c r="H13" s="27" t="str">
        <x:v>U95 at or below family allocation</x:v>
      </x:c>
      <x:c r="I13" s="27" t="str">
        <x:v>clock comparison record</x:v>
      </x:c>
      <x:c r="J13" s="27" t="str">
        <x:v>article evidence authority</x:v>
      </x:c>
      <x:c r="K13" s="27" t="str">
        <x:v>OPEN</x:v>
      </x:c>
      <x:c r="L13" s="27" t="str">
        <x:v>HOLD</x:v>
      </x:c>
      <x:c r="M13" s="29" t="n">
        <x:v>0</x:v>
      </x:c>
    </x:row>
    <x:row r="14" ht="30" customHeight="1">
      <x:c r="B14" s="27" t="str">
        <x:v>ATC-A01-A08</x:v>
      </x:c>
      <x:c r="C14" s="27" t="str">
        <x:v>ATC-A01</x:v>
      </x:c>
      <x:c r="D14" s="27" t="str">
        <x:v>Air tile cassette</x:v>
      </x:c>
      <x:c r="E14" s="27" t="str">
        <x:v>A08</x:v>
      </x:c>
      <x:c r="F14" s="27" t="str">
        <x:v>physical non-actuation</x:v>
      </x:c>
      <x:c r="G14" s="27" t="str">
        <x:v>reverse-energy injection and teardown</x:v>
      </x:c>
      <x:c r="H14" s="27" t="str">
        <x:v>zero conductive return, actuation or useful mission path</x:v>
      </x:c>
      <x:c r="I14" s="27" t="str">
        <x:v>teardown and injection record</x:v>
      </x:c>
      <x:c r="J14" s="27" t="str">
        <x:v>article evidence authority</x:v>
      </x:c>
      <x:c r="K14" s="27" t="str">
        <x:v>OPEN</x:v>
      </x:c>
      <x:c r="L14" s="27" t="str">
        <x:v>HOLD</x:v>
      </x:c>
      <x:c r="M14" s="29" t="n">
        <x:v>0</x:v>
      </x:c>
    </x:row>
    <x:row r="15" ht="30" customHeight="1">
      <x:c r="B15" s="27" t="str">
        <x:v>ATC-A01-A09</x:v>
      </x:c>
      <x:c r="C15" s="27" t="str">
        <x:v>ATC-A01</x:v>
      </x:c>
      <x:c r="D15" s="27" t="str">
        <x:v>Air tile cassette</x:v>
      </x:c>
      <x:c r="E15" s="27" t="str">
        <x:v>A09</x:v>
      </x:c>
      <x:c r="F15" s="27" t="str">
        <x:v>hazard survival</x:v>
      </x:c>
      <x:c r="G15" s="27" t="str">
        <x:v>family hazard sequence</x:v>
      </x:c>
      <x:c r="H15" s="27" t="str">
        <x:v>no silent state; declared survival or safe invalidation</x:v>
      </x:c>
      <x:c r="I15" s="27" t="str">
        <x:v>exposure record</x:v>
      </x:c>
      <x:c r="J15" s="27" t="str">
        <x:v>article evidence authority</x:v>
      </x:c>
      <x:c r="K15" s="27" t="str">
        <x:v>OPEN</x:v>
      </x:c>
      <x:c r="L15" s="27" t="str">
        <x:v>HOLD</x:v>
      </x:c>
      <x:c r="M15" s="29" t="n">
        <x:v>0</x:v>
      </x:c>
    </x:row>
    <x:row r="16" ht="30" customHeight="1">
      <x:c r="B16" s="27" t="str">
        <x:v>ATC-A01-A10</x:v>
      </x:c>
      <x:c r="C16" s="27" t="str">
        <x:v>ATC-A01</x:v>
      </x:c>
      <x:c r="D16" s="27" t="str">
        <x:v>Air tile cassette</x:v>
      </x:c>
      <x:c r="E16" s="27" t="str">
        <x:v>A10</x:v>
      </x:c>
      <x:c r="F16" s="27" t="str">
        <x:v>calibration stability</x:v>
      </x:c>
      <x:c r="G16" s="27" t="str">
        <x:v>traveling standard before and after hazard</x:v>
      </x:c>
      <x:c r="H16" s="27" t="str">
        <x:v>drift remains inside registered allocation</x:v>
      </x:c>
      <x:c r="I16" s="27" t="str">
        <x:v>calibration chain record</x:v>
      </x:c>
      <x:c r="J16" s="27" t="str">
        <x:v>article evidence authority</x:v>
      </x:c>
      <x:c r="K16" s="27" t="str">
        <x:v>OPEN</x:v>
      </x:c>
      <x:c r="L16" s="27" t="str">
        <x:v>HOLD</x:v>
      </x:c>
      <x:c r="M16" s="29" t="n">
        <x:v>0</x:v>
      </x:c>
    </x:row>
    <x:row r="17" ht="30" customHeight="1">
      <x:c r="B17" s="27" t="str">
        <x:v>ATC-A01-A11</x:v>
      </x:c>
      <x:c r="C17" s="27" t="str">
        <x:v>ATC-A01</x:v>
      </x:c>
      <x:c r="D17" s="27" t="str">
        <x:v>Air tile cassette</x:v>
      </x:c>
      <x:c r="E17" s="27" t="str">
        <x:v>A11</x:v>
      </x:c>
      <x:c r="F17" s="27" t="str">
        <x:v>maintenance and quarantine</x:v>
      </x:c>
      <x:c r="G17" s="27" t="str">
        <x:v>blinded removal, swap and decontamination</x:v>
      </x:c>
      <x:c r="H17" s="27" t="str">
        <x:v>time, tools and custody inside family limit</x:v>
      </x:c>
      <x:c r="I17" s="27" t="str">
        <x:v>maintenance video and custody record</x:v>
      </x:c>
      <x:c r="J17" s="27" t="str">
        <x:v>article evidence authority</x:v>
      </x:c>
      <x:c r="K17" s="27" t="str">
        <x:v>OPEN</x:v>
      </x:c>
      <x:c r="L17" s="27" t="str">
        <x:v>HOLD</x:v>
      </x:c>
      <x:c r="M17" s="29" t="n">
        <x:v>0</x:v>
      </x:c>
    </x:row>
    <x:row r="18" ht="30" customHeight="1">
      <x:c r="B18" s="27" t="str">
        <x:v>ATC-A01-A12</x:v>
      </x:c>
      <x:c r="C18" s="27" t="str">
        <x:v>ATC-A01</x:v>
      </x:c>
      <x:c r="D18" s="27" t="str">
        <x:v>Air tile cassette</x:v>
      </x:c>
      <x:c r="E18" s="27" t="str">
        <x:v>A12</x:v>
      </x:c>
      <x:c r="F18" s="27" t="str">
        <x:v>independent reproduction</x:v>
      </x:c>
      <x:c r="G18" s="27" t="str">
        <x:v>second team builds and tests frozen package</x:v>
      </x:c>
      <x:c r="H18" s="27" t="str">
        <x:v>same decision under distinct decisive ancestry</x:v>
      </x:c>
      <x:c r="I18" s="27" t="str">
        <x:v>second-lot acceptance record</x:v>
      </x:c>
      <x:c r="J18" s="27" t="str">
        <x:v>article evidence authority</x:v>
      </x:c>
      <x:c r="K18" s="27" t="str">
        <x:v>OPEN</x:v>
      </x:c>
      <x:c r="L18" s="27" t="str">
        <x:v>HOLD</x:v>
      </x:c>
      <x:c r="M18" s="29" t="n">
        <x:v>0</x:v>
      </x:c>
    </x:row>
    <x:row r="19" ht="30" customHeight="1">
      <x:c r="B19" s="27" t="str">
        <x:v>TTC-T01-A01</x:v>
      </x:c>
      <x:c r="C19" s="27" t="str">
        <x:v>TTC-T01</x:v>
      </x:c>
      <x:c r="D19" s="27" t="str">
        <x:v>Terrain tile cassette</x:v>
      </x:c>
      <x:c r="E19" s="27" t="str">
        <x:v>A01</x:v>
      </x:c>
      <x:c r="F19" s="27" t="str">
        <x:v>mass and volume</x:v>
      </x:c>
      <x:c r="G19" s="27" t="str">
        <x:v>independent weigh and three-dimensional scan</x:v>
      </x:c>
      <x:c r="H19" s="27" t="str">
        <x:v>within frozen envelope including fixtures</x:v>
      </x:c>
      <x:c r="I19" s="27" t="str">
        <x:v>signed metrology record</x:v>
      </x:c>
      <x:c r="J19" s="27" t="str">
        <x:v>article evidence authority</x:v>
      </x:c>
      <x:c r="K19" s="27" t="str">
        <x:v>OPEN</x:v>
      </x:c>
      <x:c r="L19" s="27" t="str">
        <x:v>HOLD</x:v>
      </x:c>
      <x:c r="M19" s="29" t="n">
        <x:v>0</x:v>
      </x:c>
    </x:row>
    <x:row r="20" ht="30" customHeight="1">
      <x:c r="B20" s="27" t="str">
        <x:v>TTC-T01-A02</x:v>
      </x:c>
      <x:c r="C20" s="27" t="str">
        <x:v>TTC-T01</x:v>
      </x:c>
      <x:c r="D20" s="27" t="str">
        <x:v>Terrain tile cassette</x:v>
      </x:c>
      <x:c r="E20" s="27" t="str">
        <x:v>A02</x:v>
      </x:c>
      <x:c r="F20" s="27" t="str">
        <x:v>mass properties</x:v>
      </x:c>
      <x:c r="G20" s="27" t="str">
        <x:v>moment-table and suspension measurement</x:v>
      </x:c>
      <x:c r="H20" s="27" t="str">
        <x:v>inside registered center-of-gravity and inertia box</x:v>
      </x:c>
      <x:c r="I20" s="27" t="str">
        <x:v>mass-property certificate</x:v>
      </x:c>
      <x:c r="J20" s="27" t="str">
        <x:v>article evidence authority</x:v>
      </x:c>
      <x:c r="K20" s="27" t="str">
        <x:v>OPEN</x:v>
      </x:c>
      <x:c r="L20" s="27" t="str">
        <x:v>HOLD</x:v>
      </x:c>
      <x:c r="M20" s="29" t="n">
        <x:v>0</x:v>
      </x:c>
    </x:row>
    <x:row r="21" ht="30" customHeight="1">
      <x:c r="B21" s="27" t="str">
        <x:v>TTC-T01-A03</x:v>
      </x:c>
      <x:c r="C21" s="27" t="str">
        <x:v>TTC-T01</x:v>
      </x:c>
      <x:c r="D21" s="27" t="str">
        <x:v>Terrain tile cassette</x:v>
      </x:c>
      <x:c r="E21" s="27" t="str">
        <x:v>A03</x:v>
      </x:c>
      <x:c r="F21" s="27" t="str">
        <x:v>independent endurance</x:v>
      </x:c>
      <x:c r="G21" s="27" t="str">
        <x:v>168-hour isolated operation</x:v>
      </x:c>
      <x:c r="H21" s="27" t="str">
        <x:v>full interval plus 25 percent nameplate reserve</x:v>
      </x:c>
      <x:c r="I21" s="27" t="str">
        <x:v>energy and event record</x:v>
      </x:c>
      <x:c r="J21" s="27" t="str">
        <x:v>article evidence authority</x:v>
      </x:c>
      <x:c r="K21" s="27" t="str">
        <x:v>OPEN</x:v>
      </x:c>
      <x:c r="L21" s="27" t="str">
        <x:v>HOLD</x:v>
      </x:c>
      <x:c r="M21" s="29" t="n">
        <x:v>0</x:v>
      </x:c>
    </x:row>
    <x:row r="22" ht="30" customHeight="1">
      <x:c r="B22" s="27" t="str">
        <x:v>TTC-T01-A04</x:v>
      </x:c>
      <x:c r="C22" s="27" t="str">
        <x:v>TTC-T01</x:v>
      </x:c>
      <x:c r="D22" s="27" t="str">
        <x:v>Terrain tile cassette</x:v>
      </x:c>
      <x:c r="E22" s="27" t="str">
        <x:v>A04</x:v>
      </x:c>
      <x:c r="F22" s="27" t="str">
        <x:v>peak event capture</x:v>
      </x:c>
      <x:c r="G22" s="27" t="str">
        <x:v>registered simultaneous peak injection</x:v>
      </x:c>
      <x:c r="H22" s="27" t="str">
        <x:v>no brownout, loss or hidden reset</x:v>
      </x:c>
      <x:c r="I22" s="27" t="str">
        <x:v>peak waveform record</x:v>
      </x:c>
      <x:c r="J22" s="27" t="str">
        <x:v>article evidence authority</x:v>
      </x:c>
      <x:c r="K22" s="27" t="str">
        <x:v>OPEN</x:v>
      </x:c>
      <x:c r="L22" s="27" t="str">
        <x:v>HOLD</x:v>
      </x:c>
      <x:c r="M22" s="29" t="n">
        <x:v>0</x:v>
      </x:c>
    </x:row>
    <x:row r="23" ht="30" customHeight="1">
      <x:c r="B23" s="27" t="str">
        <x:v>TTC-T01-A05</x:v>
      </x:c>
      <x:c r="C23" s="27" t="str">
        <x:v>TTC-T01</x:v>
      </x:c>
      <x:c r="D23" s="27" t="str">
        <x:v>Terrain tile cassette</x:v>
      </x:c>
      <x:c r="E23" s="27" t="str">
        <x:v>A05</x:v>
      </x:c>
      <x:c r="F23" s="27" t="str">
        <x:v>outward heat rejection</x:v>
      </x:c>
      <x:c r="G23" s="27" t="str">
        <x:v>calorimetry at steady and peak state</x:v>
      </x:c>
      <x:c r="H23" s="27" t="str">
        <x:v>all evidence heat exits independent boundary</x:v>
      </x:c>
      <x:c r="I23" s="27" t="str">
        <x:v>calorimetry record</x:v>
      </x:c>
      <x:c r="J23" s="27" t="str">
        <x:v>article evidence authority</x:v>
      </x:c>
      <x:c r="K23" s="27" t="str">
        <x:v>OPEN</x:v>
      </x:c>
      <x:c r="L23" s="27" t="str">
        <x:v>HOLD</x:v>
      </x:c>
      <x:c r="M23" s="29" t="n">
        <x:v>0</x:v>
      </x:c>
    </x:row>
    <x:row r="24" ht="30" customHeight="1">
      <x:c r="B24" s="27" t="str">
        <x:v>TTC-T01-A06</x:v>
      </x:c>
      <x:c r="C24" s="27" t="str">
        <x:v>TTC-T01</x:v>
      </x:c>
      <x:c r="D24" s="27" t="str">
        <x:v>Terrain tile cassette</x:v>
      </x:c>
      <x:c r="E24" s="27" t="str">
        <x:v>A06</x:v>
      </x:c>
      <x:c r="F24" s="27" t="str">
        <x:v>complete local original</x:v>
      </x:c>
      <x:c r="G24" s="27" t="str">
        <x:v>total network loss and media fault</x:v>
      </x:c>
      <x:c r="H24" s="27" t="str">
        <x:v>registered interval and invalid states retained locally</x:v>
      </x:c>
      <x:c r="I24" s="27" t="str">
        <x:v>sealed original segments</x:v>
      </x:c>
      <x:c r="J24" s="27" t="str">
        <x:v>article evidence authority</x:v>
      </x:c>
      <x:c r="K24" s="27" t="str">
        <x:v>OPEN</x:v>
      </x:c>
      <x:c r="L24" s="27" t="str">
        <x:v>HOLD</x:v>
      </x:c>
      <x:c r="M24" s="29" t="n">
        <x:v>0</x:v>
      </x:c>
    </x:row>
    <x:row r="25" ht="30" customHeight="1">
      <x:c r="B25" s="27" t="str">
        <x:v>TTC-T01-A07</x:v>
      </x:c>
      <x:c r="C25" s="27" t="str">
        <x:v>TTC-T01</x:v>
      </x:c>
      <x:c r="D25" s="27" t="str">
        <x:v>Terrain tile cassette</x:v>
      </x:c>
      <x:c r="E25" s="27" t="str">
        <x:v>A07</x:v>
      </x:c>
      <x:c r="F25" s="27" t="str">
        <x:v>denied event time</x:v>
      </x:c>
      <x:c r="G25" s="27" t="str">
        <x:v>external time denial and delay insertion</x:v>
      </x:c>
      <x:c r="H25" s="27" t="str">
        <x:v>U95 at or below family allocation</x:v>
      </x:c>
      <x:c r="I25" s="27" t="str">
        <x:v>clock comparison record</x:v>
      </x:c>
      <x:c r="J25" s="27" t="str">
        <x:v>article evidence authority</x:v>
      </x:c>
      <x:c r="K25" s="27" t="str">
        <x:v>OPEN</x:v>
      </x:c>
      <x:c r="L25" s="27" t="str">
        <x:v>HOLD</x:v>
      </x:c>
      <x:c r="M25" s="29" t="n">
        <x:v>0</x:v>
      </x:c>
    </x:row>
    <x:row r="26" ht="30" customHeight="1">
      <x:c r="B26" s="27" t="str">
        <x:v>TTC-T01-A08</x:v>
      </x:c>
      <x:c r="C26" s="27" t="str">
        <x:v>TTC-T01</x:v>
      </x:c>
      <x:c r="D26" s="27" t="str">
        <x:v>Terrain tile cassette</x:v>
      </x:c>
      <x:c r="E26" s="27" t="str">
        <x:v>A08</x:v>
      </x:c>
      <x:c r="F26" s="27" t="str">
        <x:v>physical non-actuation</x:v>
      </x:c>
      <x:c r="G26" s="27" t="str">
        <x:v>reverse-energy injection and teardown</x:v>
      </x:c>
      <x:c r="H26" s="27" t="str">
        <x:v>zero conductive return, actuation or useful mission path</x:v>
      </x:c>
      <x:c r="I26" s="27" t="str">
        <x:v>teardown and injection record</x:v>
      </x:c>
      <x:c r="J26" s="27" t="str">
        <x:v>article evidence authority</x:v>
      </x:c>
      <x:c r="K26" s="27" t="str">
        <x:v>OPEN</x:v>
      </x:c>
      <x:c r="L26" s="27" t="str">
        <x:v>HOLD</x:v>
      </x:c>
      <x:c r="M26" s="29" t="n">
        <x:v>0</x:v>
      </x:c>
    </x:row>
    <x:row r="27" ht="30" customHeight="1">
      <x:c r="B27" s="27" t="str">
        <x:v>TTC-T01-A09</x:v>
      </x:c>
      <x:c r="C27" s="27" t="str">
        <x:v>TTC-T01</x:v>
      </x:c>
      <x:c r="D27" s="27" t="str">
        <x:v>Terrain tile cassette</x:v>
      </x:c>
      <x:c r="E27" s="27" t="str">
        <x:v>A09</x:v>
      </x:c>
      <x:c r="F27" s="27" t="str">
        <x:v>hazard survival</x:v>
      </x:c>
      <x:c r="G27" s="27" t="str">
        <x:v>family hazard sequence</x:v>
      </x:c>
      <x:c r="H27" s="27" t="str">
        <x:v>no silent state; declared survival or safe invalidation</x:v>
      </x:c>
      <x:c r="I27" s="27" t="str">
        <x:v>exposure record</x:v>
      </x:c>
      <x:c r="J27" s="27" t="str">
        <x:v>article evidence authority</x:v>
      </x:c>
      <x:c r="K27" s="27" t="str">
        <x:v>OPEN</x:v>
      </x:c>
      <x:c r="L27" s="27" t="str">
        <x:v>HOLD</x:v>
      </x:c>
      <x:c r="M27" s="29" t="n">
        <x:v>0</x:v>
      </x:c>
    </x:row>
    <x:row r="28" ht="30" customHeight="1">
      <x:c r="B28" s="27" t="str">
        <x:v>TTC-T01-A10</x:v>
      </x:c>
      <x:c r="C28" s="27" t="str">
        <x:v>TTC-T01</x:v>
      </x:c>
      <x:c r="D28" s="27" t="str">
        <x:v>Terrain tile cassette</x:v>
      </x:c>
      <x:c r="E28" s="27" t="str">
        <x:v>A10</x:v>
      </x:c>
      <x:c r="F28" s="27" t="str">
        <x:v>calibration stability</x:v>
      </x:c>
      <x:c r="G28" s="27" t="str">
        <x:v>traveling standard before and after hazard</x:v>
      </x:c>
      <x:c r="H28" s="27" t="str">
        <x:v>drift remains inside registered allocation</x:v>
      </x:c>
      <x:c r="I28" s="27" t="str">
        <x:v>calibration chain record</x:v>
      </x:c>
      <x:c r="J28" s="27" t="str">
        <x:v>article evidence authority</x:v>
      </x:c>
      <x:c r="K28" s="27" t="str">
        <x:v>OPEN</x:v>
      </x:c>
      <x:c r="L28" s="27" t="str">
        <x:v>HOLD</x:v>
      </x:c>
      <x:c r="M28" s="29" t="n">
        <x:v>0</x:v>
      </x:c>
    </x:row>
    <x:row r="29" ht="30" customHeight="1">
      <x:c r="B29" s="27" t="str">
        <x:v>TTC-T01-A11</x:v>
      </x:c>
      <x:c r="C29" s="27" t="str">
        <x:v>TTC-T01</x:v>
      </x:c>
      <x:c r="D29" s="27" t="str">
        <x:v>Terrain tile cassette</x:v>
      </x:c>
      <x:c r="E29" s="27" t="str">
        <x:v>A11</x:v>
      </x:c>
      <x:c r="F29" s="27" t="str">
        <x:v>maintenance and quarantine</x:v>
      </x:c>
      <x:c r="G29" s="27" t="str">
        <x:v>blinded removal, swap and decontamination</x:v>
      </x:c>
      <x:c r="H29" s="27" t="str">
        <x:v>time, tools and custody inside family limit</x:v>
      </x:c>
      <x:c r="I29" s="27" t="str">
        <x:v>maintenance video and custody record</x:v>
      </x:c>
      <x:c r="J29" s="27" t="str">
        <x:v>article evidence authority</x:v>
      </x:c>
      <x:c r="K29" s="27" t="str">
        <x:v>OPEN</x:v>
      </x:c>
      <x:c r="L29" s="27" t="str">
        <x:v>HOLD</x:v>
      </x:c>
      <x:c r="M29" s="29" t="n">
        <x:v>0</x:v>
      </x:c>
    </x:row>
    <x:row r="30" ht="30" customHeight="1">
      <x:c r="B30" s="27" t="str">
        <x:v>TTC-T01-A12</x:v>
      </x:c>
      <x:c r="C30" s="27" t="str">
        <x:v>TTC-T01</x:v>
      </x:c>
      <x:c r="D30" s="27" t="str">
        <x:v>Terrain tile cassette</x:v>
      </x:c>
      <x:c r="E30" s="27" t="str">
        <x:v>A12</x:v>
      </x:c>
      <x:c r="F30" s="27" t="str">
        <x:v>independent reproduction</x:v>
      </x:c>
      <x:c r="G30" s="27" t="str">
        <x:v>second team builds and tests frozen package</x:v>
      </x:c>
      <x:c r="H30" s="27" t="str">
        <x:v>same decision under distinct decisive ancestry</x:v>
      </x:c>
      <x:c r="I30" s="27" t="str">
        <x:v>second-lot acceptance record</x:v>
      </x:c>
      <x:c r="J30" s="27" t="str">
        <x:v>article evidence authority</x:v>
      </x:c>
      <x:c r="K30" s="27" t="str">
        <x:v>OPEN</x:v>
      </x:c>
      <x:c r="L30" s="27" t="str">
        <x:v>HOLD</x:v>
      </x:c>
      <x:c r="M30" s="29" t="n">
        <x:v>0</x:v>
      </x:c>
    </x:row>
    <x:row r="31" ht="30" customHeight="1">
      <x:c r="B31" s="27" t="str">
        <x:v>ACN-A01-A01</x:v>
      </x:c>
      <x:c r="C31" s="27" t="str">
        <x:v>ACN-A01</x:v>
      </x:c>
      <x:c r="D31" s="27" t="str">
        <x:v>Air carrier node</x:v>
      </x:c>
      <x:c r="E31" s="27" t="str">
        <x:v>A01</x:v>
      </x:c>
      <x:c r="F31" s="27" t="str">
        <x:v>mass and volume</x:v>
      </x:c>
      <x:c r="G31" s="27" t="str">
        <x:v>independent weigh and three-dimensional scan</x:v>
      </x:c>
      <x:c r="H31" s="27" t="str">
        <x:v>within frozen envelope including fixtures</x:v>
      </x:c>
      <x:c r="I31" s="27" t="str">
        <x:v>signed metrology record</x:v>
      </x:c>
      <x:c r="J31" s="27" t="str">
        <x:v>air evidence authority</x:v>
      </x:c>
      <x:c r="K31" s="27" t="str">
        <x:v>OPEN</x:v>
      </x:c>
      <x:c r="L31" s="27" t="str">
        <x:v>HOLD</x:v>
      </x:c>
      <x:c r="M31" s="29" t="n">
        <x:v>0</x:v>
      </x:c>
    </x:row>
    <x:row r="32" ht="30" customHeight="1">
      <x:c r="B32" s="27" t="str">
        <x:v>ACN-A01-A02</x:v>
      </x:c>
      <x:c r="C32" s="27" t="str">
        <x:v>ACN-A01</x:v>
      </x:c>
      <x:c r="D32" s="27" t="str">
        <x:v>Air carrier node</x:v>
      </x:c>
      <x:c r="E32" s="27" t="str">
        <x:v>A02</x:v>
      </x:c>
      <x:c r="F32" s="27" t="str">
        <x:v>mass properties</x:v>
      </x:c>
      <x:c r="G32" s="27" t="str">
        <x:v>moment-table and suspension measurement</x:v>
      </x:c>
      <x:c r="H32" s="27" t="str">
        <x:v>inside registered center-of-gravity and inertia box</x:v>
      </x:c>
      <x:c r="I32" s="27" t="str">
        <x:v>mass-property certificate</x:v>
      </x:c>
      <x:c r="J32" s="27" t="str">
        <x:v>air evidence authority</x:v>
      </x:c>
      <x:c r="K32" s="27" t="str">
        <x:v>OPEN</x:v>
      </x:c>
      <x:c r="L32" s="27" t="str">
        <x:v>HOLD</x:v>
      </x:c>
      <x:c r="M32" s="29" t="n">
        <x:v>0</x:v>
      </x:c>
    </x:row>
    <x:row r="33" ht="30" customHeight="1">
      <x:c r="B33" s="27" t="str">
        <x:v>ACN-A01-A03</x:v>
      </x:c>
      <x:c r="C33" s="27" t="str">
        <x:v>ACN-A01</x:v>
      </x:c>
      <x:c r="D33" s="27" t="str">
        <x:v>Air carrier node</x:v>
      </x:c>
      <x:c r="E33" s="27" t="str">
        <x:v>A03</x:v>
      </x:c>
      <x:c r="F33" s="27" t="str">
        <x:v>independent endurance</x:v>
      </x:c>
      <x:c r="G33" s="27" t="str">
        <x:v>168-hour isolated operation</x:v>
      </x:c>
      <x:c r="H33" s="27" t="str">
        <x:v>full interval plus 25 percent nameplate reserve</x:v>
      </x:c>
      <x:c r="I33" s="27" t="str">
        <x:v>energy and event record</x:v>
      </x:c>
      <x:c r="J33" s="27" t="str">
        <x:v>air evidence authority</x:v>
      </x:c>
      <x:c r="K33" s="27" t="str">
        <x:v>OPEN</x:v>
      </x:c>
      <x:c r="L33" s="27" t="str">
        <x:v>HOLD</x:v>
      </x:c>
      <x:c r="M33" s="29" t="n">
        <x:v>0</x:v>
      </x:c>
    </x:row>
    <x:row r="34" ht="30" customHeight="1">
      <x:c r="B34" s="27" t="str">
        <x:v>ACN-A01-A04</x:v>
      </x:c>
      <x:c r="C34" s="27" t="str">
        <x:v>ACN-A01</x:v>
      </x:c>
      <x:c r="D34" s="27" t="str">
        <x:v>Air carrier node</x:v>
      </x:c>
      <x:c r="E34" s="27" t="str">
        <x:v>A04</x:v>
      </x:c>
      <x:c r="F34" s="27" t="str">
        <x:v>peak event capture</x:v>
      </x:c>
      <x:c r="G34" s="27" t="str">
        <x:v>registered simultaneous peak injection</x:v>
      </x:c>
      <x:c r="H34" s="27" t="str">
        <x:v>no brownout, loss or hidden reset</x:v>
      </x:c>
      <x:c r="I34" s="27" t="str">
        <x:v>peak waveform record</x:v>
      </x:c>
      <x:c r="J34" s="27" t="str">
        <x:v>air evidence authority</x:v>
      </x:c>
      <x:c r="K34" s="27" t="str">
        <x:v>OPEN</x:v>
      </x:c>
      <x:c r="L34" s="27" t="str">
        <x:v>HOLD</x:v>
      </x:c>
      <x:c r="M34" s="29" t="n">
        <x:v>0</x:v>
      </x:c>
    </x:row>
    <x:row r="35" ht="30" customHeight="1">
      <x:c r="B35" s="27" t="str">
        <x:v>ACN-A01-A05</x:v>
      </x:c>
      <x:c r="C35" s="27" t="str">
        <x:v>ACN-A01</x:v>
      </x:c>
      <x:c r="D35" s="27" t="str">
        <x:v>Air carrier node</x:v>
      </x:c>
      <x:c r="E35" s="27" t="str">
        <x:v>A05</x:v>
      </x:c>
      <x:c r="F35" s="27" t="str">
        <x:v>outward heat rejection</x:v>
      </x:c>
      <x:c r="G35" s="27" t="str">
        <x:v>calorimetry at steady and peak state</x:v>
      </x:c>
      <x:c r="H35" s="27" t="str">
        <x:v>all evidence heat exits independent boundary</x:v>
      </x:c>
      <x:c r="I35" s="27" t="str">
        <x:v>calorimetry record</x:v>
      </x:c>
      <x:c r="J35" s="27" t="str">
        <x:v>air evidence authority</x:v>
      </x:c>
      <x:c r="K35" s="27" t="str">
        <x:v>OPEN</x:v>
      </x:c>
      <x:c r="L35" s="27" t="str">
        <x:v>HOLD</x:v>
      </x:c>
      <x:c r="M35" s="29" t="n">
        <x:v>0</x:v>
      </x:c>
    </x:row>
    <x:row r="36" ht="30" customHeight="1">
      <x:c r="B36" s="27" t="str">
        <x:v>ACN-A01-A06</x:v>
      </x:c>
      <x:c r="C36" s="27" t="str">
        <x:v>ACN-A01</x:v>
      </x:c>
      <x:c r="D36" s="27" t="str">
        <x:v>Air carrier node</x:v>
      </x:c>
      <x:c r="E36" s="27" t="str">
        <x:v>A06</x:v>
      </x:c>
      <x:c r="F36" s="27" t="str">
        <x:v>complete local original</x:v>
      </x:c>
      <x:c r="G36" s="27" t="str">
        <x:v>total network loss and media fault</x:v>
      </x:c>
      <x:c r="H36" s="27" t="str">
        <x:v>registered interval and invalid states retained locally</x:v>
      </x:c>
      <x:c r="I36" s="27" t="str">
        <x:v>sealed original segments</x:v>
      </x:c>
      <x:c r="J36" s="27" t="str">
        <x:v>air evidence authority</x:v>
      </x:c>
      <x:c r="K36" s="27" t="str">
        <x:v>OPEN</x:v>
      </x:c>
      <x:c r="L36" s="27" t="str">
        <x:v>HOLD</x:v>
      </x:c>
      <x:c r="M36" s="29" t="n">
        <x:v>0</x:v>
      </x:c>
    </x:row>
    <x:row r="37" ht="30" customHeight="1">
      <x:c r="B37" s="27" t="str">
        <x:v>ACN-A01-A07</x:v>
      </x:c>
      <x:c r="C37" s="27" t="str">
        <x:v>ACN-A01</x:v>
      </x:c>
      <x:c r="D37" s="27" t="str">
        <x:v>Air carrier node</x:v>
      </x:c>
      <x:c r="E37" s="27" t="str">
        <x:v>A07</x:v>
      </x:c>
      <x:c r="F37" s="27" t="str">
        <x:v>denied event time</x:v>
      </x:c>
      <x:c r="G37" s="27" t="str">
        <x:v>external time denial and delay insertion</x:v>
      </x:c>
      <x:c r="H37" s="27" t="str">
        <x:v>U95 at or below family allocation</x:v>
      </x:c>
      <x:c r="I37" s="27" t="str">
        <x:v>clock comparison record</x:v>
      </x:c>
      <x:c r="J37" s="27" t="str">
        <x:v>air evidence authority</x:v>
      </x:c>
      <x:c r="K37" s="27" t="str">
        <x:v>OPEN</x:v>
      </x:c>
      <x:c r="L37" s="27" t="str">
        <x:v>HOLD</x:v>
      </x:c>
      <x:c r="M37" s="29" t="n">
        <x:v>0</x:v>
      </x:c>
    </x:row>
    <x:row r="38" ht="30" customHeight="1">
      <x:c r="B38" s="27" t="str">
        <x:v>ACN-A01-A08</x:v>
      </x:c>
      <x:c r="C38" s="27" t="str">
        <x:v>ACN-A01</x:v>
      </x:c>
      <x:c r="D38" s="27" t="str">
        <x:v>Air carrier node</x:v>
      </x:c>
      <x:c r="E38" s="27" t="str">
        <x:v>A08</x:v>
      </x:c>
      <x:c r="F38" s="27" t="str">
        <x:v>physical non-actuation</x:v>
      </x:c>
      <x:c r="G38" s="27" t="str">
        <x:v>reverse-energy injection and teardown</x:v>
      </x:c>
      <x:c r="H38" s="27" t="str">
        <x:v>zero conductive return, actuation or useful mission path</x:v>
      </x:c>
      <x:c r="I38" s="27" t="str">
        <x:v>teardown and injection record</x:v>
      </x:c>
      <x:c r="J38" s="27" t="str">
        <x:v>air evidence authority</x:v>
      </x:c>
      <x:c r="K38" s="27" t="str">
        <x:v>OPEN</x:v>
      </x:c>
      <x:c r="L38" s="27" t="str">
        <x:v>HOLD</x:v>
      </x:c>
      <x:c r="M38" s="29" t="n">
        <x:v>0</x:v>
      </x:c>
    </x:row>
    <x:row r="39" ht="30" customHeight="1">
      <x:c r="B39" s="27" t="str">
        <x:v>ACN-A01-A09</x:v>
      </x:c>
      <x:c r="C39" s="27" t="str">
        <x:v>ACN-A01</x:v>
      </x:c>
      <x:c r="D39" s="27" t="str">
        <x:v>Air carrier node</x:v>
      </x:c>
      <x:c r="E39" s="27" t="str">
        <x:v>A09</x:v>
      </x:c>
      <x:c r="F39" s="27" t="str">
        <x:v>hazard survival</x:v>
      </x:c>
      <x:c r="G39" s="27" t="str">
        <x:v>family hazard sequence</x:v>
      </x:c>
      <x:c r="H39" s="27" t="str">
        <x:v>no silent state; declared survival or safe invalidation</x:v>
      </x:c>
      <x:c r="I39" s="27" t="str">
        <x:v>exposure record</x:v>
      </x:c>
      <x:c r="J39" s="27" t="str">
        <x:v>air evidence authority</x:v>
      </x:c>
      <x:c r="K39" s="27" t="str">
        <x:v>OPEN</x:v>
      </x:c>
      <x:c r="L39" s="27" t="str">
        <x:v>HOLD</x:v>
      </x:c>
      <x:c r="M39" s="29" t="n">
        <x:v>0</x:v>
      </x:c>
    </x:row>
    <x:row r="40" ht="30" customHeight="1">
      <x:c r="B40" s="27" t="str">
        <x:v>ACN-A01-A10</x:v>
      </x:c>
      <x:c r="C40" s="27" t="str">
        <x:v>ACN-A01</x:v>
      </x:c>
      <x:c r="D40" s="27" t="str">
        <x:v>Air carrier node</x:v>
      </x:c>
      <x:c r="E40" s="27" t="str">
        <x:v>A10</x:v>
      </x:c>
      <x:c r="F40" s="27" t="str">
        <x:v>calibration stability</x:v>
      </x:c>
      <x:c r="G40" s="27" t="str">
        <x:v>traveling standard before and after hazard</x:v>
      </x:c>
      <x:c r="H40" s="27" t="str">
        <x:v>drift remains inside registered allocation</x:v>
      </x:c>
      <x:c r="I40" s="27" t="str">
        <x:v>calibration chain record</x:v>
      </x:c>
      <x:c r="J40" s="27" t="str">
        <x:v>air evidence authority</x:v>
      </x:c>
      <x:c r="K40" s="27" t="str">
        <x:v>OPEN</x:v>
      </x:c>
      <x:c r="L40" s="27" t="str">
        <x:v>HOLD</x:v>
      </x:c>
      <x:c r="M40" s="29" t="n">
        <x:v>0</x:v>
      </x:c>
    </x:row>
    <x:row r="41" ht="30" customHeight="1">
      <x:c r="B41" s="27" t="str">
        <x:v>ACN-A01-A11</x:v>
      </x:c>
      <x:c r="C41" s="27" t="str">
        <x:v>ACN-A01</x:v>
      </x:c>
      <x:c r="D41" s="27" t="str">
        <x:v>Air carrier node</x:v>
      </x:c>
      <x:c r="E41" s="27" t="str">
        <x:v>A11</x:v>
      </x:c>
      <x:c r="F41" s="27" t="str">
        <x:v>maintenance and quarantine</x:v>
      </x:c>
      <x:c r="G41" s="27" t="str">
        <x:v>blinded removal, swap and decontamination</x:v>
      </x:c>
      <x:c r="H41" s="27" t="str">
        <x:v>time, tools and custody inside family limit</x:v>
      </x:c>
      <x:c r="I41" s="27" t="str">
        <x:v>maintenance video and custody record</x:v>
      </x:c>
      <x:c r="J41" s="27" t="str">
        <x:v>air evidence authority</x:v>
      </x:c>
      <x:c r="K41" s="27" t="str">
        <x:v>OPEN</x:v>
      </x:c>
      <x:c r="L41" s="27" t="str">
        <x:v>HOLD</x:v>
      </x:c>
      <x:c r="M41" s="29" t="n">
        <x:v>0</x:v>
      </x:c>
    </x:row>
    <x:row r="42" ht="30" customHeight="1">
      <x:c r="B42" s="27" t="str">
        <x:v>ACN-A01-A12</x:v>
      </x:c>
      <x:c r="C42" s="27" t="str">
        <x:v>ACN-A01</x:v>
      </x:c>
      <x:c r="D42" s="27" t="str">
        <x:v>Air carrier node</x:v>
      </x:c>
      <x:c r="E42" s="27" t="str">
        <x:v>A12</x:v>
      </x:c>
      <x:c r="F42" s="27" t="str">
        <x:v>independent reproduction</x:v>
      </x:c>
      <x:c r="G42" s="27" t="str">
        <x:v>second team builds and tests frozen package</x:v>
      </x:c>
      <x:c r="H42" s="27" t="str">
        <x:v>same decision under distinct decisive ancestry</x:v>
      </x:c>
      <x:c r="I42" s="27" t="str">
        <x:v>second-lot acceptance record</x:v>
      </x:c>
      <x:c r="J42" s="27" t="str">
        <x:v>air evidence authority</x:v>
      </x:c>
      <x:c r="K42" s="27" t="str">
        <x:v>OPEN</x:v>
      </x:c>
      <x:c r="L42" s="27" t="str">
        <x:v>HOLD</x:v>
      </x:c>
      <x:c r="M42" s="29" t="n">
        <x:v>0</x:v>
      </x:c>
    </x:row>
    <x:row r="43" ht="30" customHeight="1">
      <x:c r="B43" s="27" t="str">
        <x:v>TCN-T01-A01</x:v>
      </x:c>
      <x:c r="C43" s="27" t="str">
        <x:v>TCN-T01</x:v>
      </x:c>
      <x:c r="D43" s="27" t="str">
        <x:v>Terrain carrier node</x:v>
      </x:c>
      <x:c r="E43" s="27" t="str">
        <x:v>A01</x:v>
      </x:c>
      <x:c r="F43" s="27" t="str">
        <x:v>mass and volume</x:v>
      </x:c>
      <x:c r="G43" s="27" t="str">
        <x:v>independent weigh and three-dimensional scan</x:v>
      </x:c>
      <x:c r="H43" s="27" t="str">
        <x:v>within frozen envelope including fixtures</x:v>
      </x:c>
      <x:c r="I43" s="27" t="str">
        <x:v>signed metrology record</x:v>
      </x:c>
      <x:c r="J43" s="27" t="str">
        <x:v>terrain evidence authority</x:v>
      </x:c>
      <x:c r="K43" s="27" t="str">
        <x:v>OPEN</x:v>
      </x:c>
      <x:c r="L43" s="27" t="str">
        <x:v>HOLD</x:v>
      </x:c>
      <x:c r="M43" s="29" t="n">
        <x:v>0</x:v>
      </x:c>
    </x:row>
    <x:row r="44" ht="30" customHeight="1">
      <x:c r="B44" s="27" t="str">
        <x:v>TCN-T01-A02</x:v>
      </x:c>
      <x:c r="C44" s="27" t="str">
        <x:v>TCN-T01</x:v>
      </x:c>
      <x:c r="D44" s="27" t="str">
        <x:v>Terrain carrier node</x:v>
      </x:c>
      <x:c r="E44" s="27" t="str">
        <x:v>A02</x:v>
      </x:c>
      <x:c r="F44" s="27" t="str">
        <x:v>mass properties</x:v>
      </x:c>
      <x:c r="G44" s="27" t="str">
        <x:v>moment-table and suspension measurement</x:v>
      </x:c>
      <x:c r="H44" s="27" t="str">
        <x:v>inside registered center-of-gravity and inertia box</x:v>
      </x:c>
      <x:c r="I44" s="27" t="str">
        <x:v>mass-property certificate</x:v>
      </x:c>
      <x:c r="J44" s="27" t="str">
        <x:v>terrain evidence authority</x:v>
      </x:c>
      <x:c r="K44" s="27" t="str">
        <x:v>OPEN</x:v>
      </x:c>
      <x:c r="L44" s="27" t="str">
        <x:v>HOLD</x:v>
      </x:c>
      <x:c r="M44" s="29" t="n">
        <x:v>0</x:v>
      </x:c>
    </x:row>
    <x:row r="45" ht="30" customHeight="1">
      <x:c r="B45" s="27" t="str">
        <x:v>TCN-T01-A03</x:v>
      </x:c>
      <x:c r="C45" s="27" t="str">
        <x:v>TCN-T01</x:v>
      </x:c>
      <x:c r="D45" s="27" t="str">
        <x:v>Terrain carrier node</x:v>
      </x:c>
      <x:c r="E45" s="27" t="str">
        <x:v>A03</x:v>
      </x:c>
      <x:c r="F45" s="27" t="str">
        <x:v>independent endurance</x:v>
      </x:c>
      <x:c r="G45" s="27" t="str">
        <x:v>168-hour isolated operation</x:v>
      </x:c>
      <x:c r="H45" s="27" t="str">
        <x:v>full interval plus 25 percent nameplate reserve</x:v>
      </x:c>
      <x:c r="I45" s="27" t="str">
        <x:v>energy and event record</x:v>
      </x:c>
      <x:c r="J45" s="27" t="str">
        <x:v>terrain evidence authority</x:v>
      </x:c>
      <x:c r="K45" s="27" t="str">
        <x:v>OPEN</x:v>
      </x:c>
      <x:c r="L45" s="27" t="str">
        <x:v>HOLD</x:v>
      </x:c>
      <x:c r="M45" s="29" t="n">
        <x:v>0</x:v>
      </x:c>
    </x:row>
    <x:row r="46" ht="30" customHeight="1">
      <x:c r="B46" s="27" t="str">
        <x:v>TCN-T01-A04</x:v>
      </x:c>
      <x:c r="C46" s="27" t="str">
        <x:v>TCN-T01</x:v>
      </x:c>
      <x:c r="D46" s="27" t="str">
        <x:v>Terrain carrier node</x:v>
      </x:c>
      <x:c r="E46" s="27" t="str">
        <x:v>A04</x:v>
      </x:c>
      <x:c r="F46" s="27" t="str">
        <x:v>peak event capture</x:v>
      </x:c>
      <x:c r="G46" s="27" t="str">
        <x:v>registered simultaneous peak injection</x:v>
      </x:c>
      <x:c r="H46" s="27" t="str">
        <x:v>no brownout, loss or hidden reset</x:v>
      </x:c>
      <x:c r="I46" s="27" t="str">
        <x:v>peak waveform record</x:v>
      </x:c>
      <x:c r="J46" s="27" t="str">
        <x:v>terrain evidence authority</x:v>
      </x:c>
      <x:c r="K46" s="27" t="str">
        <x:v>OPEN</x:v>
      </x:c>
      <x:c r="L46" s="27" t="str">
        <x:v>HOLD</x:v>
      </x:c>
      <x:c r="M46" s="29" t="n">
        <x:v>0</x:v>
      </x:c>
    </x:row>
    <x:row r="47" ht="30" customHeight="1">
      <x:c r="B47" s="27" t="str">
        <x:v>TCN-T01-A05</x:v>
      </x:c>
      <x:c r="C47" s="27" t="str">
        <x:v>TCN-T01</x:v>
      </x:c>
      <x:c r="D47" s="27" t="str">
        <x:v>Terrain carrier node</x:v>
      </x:c>
      <x:c r="E47" s="27" t="str">
        <x:v>A05</x:v>
      </x:c>
      <x:c r="F47" s="27" t="str">
        <x:v>outward heat rejection</x:v>
      </x:c>
      <x:c r="G47" s="27" t="str">
        <x:v>calorimetry at steady and peak state</x:v>
      </x:c>
      <x:c r="H47" s="27" t="str">
        <x:v>all evidence heat exits independent boundary</x:v>
      </x:c>
      <x:c r="I47" s="27" t="str">
        <x:v>calorimetry record</x:v>
      </x:c>
      <x:c r="J47" s="27" t="str">
        <x:v>terrain evidence authority</x:v>
      </x:c>
      <x:c r="K47" s="27" t="str">
        <x:v>OPEN</x:v>
      </x:c>
      <x:c r="L47" s="27" t="str">
        <x:v>HOLD</x:v>
      </x:c>
      <x:c r="M47" s="29" t="n">
        <x:v>0</x:v>
      </x:c>
    </x:row>
    <x:row r="48" ht="30" customHeight="1">
      <x:c r="B48" s="27" t="str">
        <x:v>TCN-T01-A06</x:v>
      </x:c>
      <x:c r="C48" s="27" t="str">
        <x:v>TCN-T01</x:v>
      </x:c>
      <x:c r="D48" s="27" t="str">
        <x:v>Terrain carrier node</x:v>
      </x:c>
      <x:c r="E48" s="27" t="str">
        <x:v>A06</x:v>
      </x:c>
      <x:c r="F48" s="27" t="str">
        <x:v>complete local original</x:v>
      </x:c>
      <x:c r="G48" s="27" t="str">
        <x:v>total network loss and media fault</x:v>
      </x:c>
      <x:c r="H48" s="27" t="str">
        <x:v>registered interval and invalid states retained locally</x:v>
      </x:c>
      <x:c r="I48" s="27" t="str">
        <x:v>sealed original segments</x:v>
      </x:c>
      <x:c r="J48" s="27" t="str">
        <x:v>terrain evidence authority</x:v>
      </x:c>
      <x:c r="K48" s="27" t="str">
        <x:v>OPEN</x:v>
      </x:c>
      <x:c r="L48" s="27" t="str">
        <x:v>HOLD</x:v>
      </x:c>
      <x:c r="M48" s="29" t="n">
        <x:v>0</x:v>
      </x:c>
    </x:row>
    <x:row r="49" ht="30" customHeight="1">
      <x:c r="B49" s="27" t="str">
        <x:v>TCN-T01-A07</x:v>
      </x:c>
      <x:c r="C49" s="27" t="str">
        <x:v>TCN-T01</x:v>
      </x:c>
      <x:c r="D49" s="27" t="str">
        <x:v>Terrain carrier node</x:v>
      </x:c>
      <x:c r="E49" s="27" t="str">
        <x:v>A07</x:v>
      </x:c>
      <x:c r="F49" s="27" t="str">
        <x:v>denied event time</x:v>
      </x:c>
      <x:c r="G49" s="27" t="str">
        <x:v>external time denial and delay insertion</x:v>
      </x:c>
      <x:c r="H49" s="27" t="str">
        <x:v>U95 at or below family allocation</x:v>
      </x:c>
      <x:c r="I49" s="27" t="str">
        <x:v>clock comparison record</x:v>
      </x:c>
      <x:c r="J49" s="27" t="str">
        <x:v>terrain evidence authority</x:v>
      </x:c>
      <x:c r="K49" s="27" t="str">
        <x:v>OPEN</x:v>
      </x:c>
      <x:c r="L49" s="27" t="str">
        <x:v>HOLD</x:v>
      </x:c>
      <x:c r="M49" s="29" t="n">
        <x:v>0</x:v>
      </x:c>
    </x:row>
    <x:row r="50" ht="30" customHeight="1">
      <x:c r="B50" s="27" t="str">
        <x:v>TCN-T01-A08</x:v>
      </x:c>
      <x:c r="C50" s="27" t="str">
        <x:v>TCN-T01</x:v>
      </x:c>
      <x:c r="D50" s="27" t="str">
        <x:v>Terrain carrier node</x:v>
      </x:c>
      <x:c r="E50" s="27" t="str">
        <x:v>A08</x:v>
      </x:c>
      <x:c r="F50" s="27" t="str">
        <x:v>physical non-actuation</x:v>
      </x:c>
      <x:c r="G50" s="27" t="str">
        <x:v>reverse-energy injection and teardown</x:v>
      </x:c>
      <x:c r="H50" s="27" t="str">
        <x:v>zero conductive return, actuation or useful mission path</x:v>
      </x:c>
      <x:c r="I50" s="27" t="str">
        <x:v>teardown and injection record</x:v>
      </x:c>
      <x:c r="J50" s="27" t="str">
        <x:v>terrain evidence authority</x:v>
      </x:c>
      <x:c r="K50" s="27" t="str">
        <x:v>OPEN</x:v>
      </x:c>
      <x:c r="L50" s="27" t="str">
        <x:v>HOLD</x:v>
      </x:c>
      <x:c r="M50" s="29" t="n">
        <x:v>0</x:v>
      </x:c>
    </x:row>
    <x:row r="51" ht="30" customHeight="1">
      <x:c r="B51" s="27" t="str">
        <x:v>TCN-T01-A09</x:v>
      </x:c>
      <x:c r="C51" s="27" t="str">
        <x:v>TCN-T01</x:v>
      </x:c>
      <x:c r="D51" s="27" t="str">
        <x:v>Terrain carrier node</x:v>
      </x:c>
      <x:c r="E51" s="27" t="str">
        <x:v>A09</x:v>
      </x:c>
      <x:c r="F51" s="27" t="str">
        <x:v>hazard survival</x:v>
      </x:c>
      <x:c r="G51" s="27" t="str">
        <x:v>family hazard sequence</x:v>
      </x:c>
      <x:c r="H51" s="27" t="str">
        <x:v>no silent state; declared survival or safe invalidation</x:v>
      </x:c>
      <x:c r="I51" s="27" t="str">
        <x:v>exposure record</x:v>
      </x:c>
      <x:c r="J51" s="27" t="str">
        <x:v>terrain evidence authority</x:v>
      </x:c>
      <x:c r="K51" s="27" t="str">
        <x:v>OPEN</x:v>
      </x:c>
      <x:c r="L51" s="27" t="str">
        <x:v>HOLD</x:v>
      </x:c>
      <x:c r="M51" s="29" t="n">
        <x:v>0</x:v>
      </x:c>
    </x:row>
    <x:row r="52" ht="30" customHeight="1">
      <x:c r="B52" s="27" t="str">
        <x:v>TCN-T01-A10</x:v>
      </x:c>
      <x:c r="C52" s="27" t="str">
        <x:v>TCN-T01</x:v>
      </x:c>
      <x:c r="D52" s="27" t="str">
        <x:v>Terrain carrier node</x:v>
      </x:c>
      <x:c r="E52" s="27" t="str">
        <x:v>A10</x:v>
      </x:c>
      <x:c r="F52" s="27" t="str">
        <x:v>calibration stability</x:v>
      </x:c>
      <x:c r="G52" s="27" t="str">
        <x:v>traveling standard before and after hazard</x:v>
      </x:c>
      <x:c r="H52" s="27" t="str">
        <x:v>drift remains inside registered allocation</x:v>
      </x:c>
      <x:c r="I52" s="27" t="str">
        <x:v>calibration chain record</x:v>
      </x:c>
      <x:c r="J52" s="27" t="str">
        <x:v>terrain evidence authority</x:v>
      </x:c>
      <x:c r="K52" s="27" t="str">
        <x:v>OPEN</x:v>
      </x:c>
      <x:c r="L52" s="27" t="str">
        <x:v>HOLD</x:v>
      </x:c>
      <x:c r="M52" s="29" t="n">
        <x:v>0</x:v>
      </x:c>
    </x:row>
    <x:row r="53" ht="30" customHeight="1">
      <x:c r="B53" s="27" t="str">
        <x:v>TCN-T01-A11</x:v>
      </x:c>
      <x:c r="C53" s="27" t="str">
        <x:v>TCN-T01</x:v>
      </x:c>
      <x:c r="D53" s="27" t="str">
        <x:v>Terrain carrier node</x:v>
      </x:c>
      <x:c r="E53" s="27" t="str">
        <x:v>A11</x:v>
      </x:c>
      <x:c r="F53" s="27" t="str">
        <x:v>maintenance and quarantine</x:v>
      </x:c>
      <x:c r="G53" s="27" t="str">
        <x:v>blinded removal, swap and decontamination</x:v>
      </x:c>
      <x:c r="H53" s="27" t="str">
        <x:v>time, tools and custody inside family limit</x:v>
      </x:c>
      <x:c r="I53" s="27" t="str">
        <x:v>maintenance video and custody record</x:v>
      </x:c>
      <x:c r="J53" s="27" t="str">
        <x:v>terrain evidence authority</x:v>
      </x:c>
      <x:c r="K53" s="27" t="str">
        <x:v>OPEN</x:v>
      </x:c>
      <x:c r="L53" s="27" t="str">
        <x:v>HOLD</x:v>
      </x:c>
      <x:c r="M53" s="29" t="n">
        <x:v>0</x:v>
      </x:c>
    </x:row>
    <x:row r="54" ht="30" customHeight="1">
      <x:c r="B54" s="27" t="str">
        <x:v>TCN-T01-A12</x:v>
      </x:c>
      <x:c r="C54" s="27" t="str">
        <x:v>TCN-T01</x:v>
      </x:c>
      <x:c r="D54" s="27" t="str">
        <x:v>Terrain carrier node</x:v>
      </x:c>
      <x:c r="E54" s="27" t="str">
        <x:v>A12</x:v>
      </x:c>
      <x:c r="F54" s="27" t="str">
        <x:v>independent reproduction</x:v>
      </x:c>
      <x:c r="G54" s="27" t="str">
        <x:v>second team builds and tests frozen package</x:v>
      </x:c>
      <x:c r="H54" s="27" t="str">
        <x:v>same decision under distinct decisive ancestry</x:v>
      </x:c>
      <x:c r="I54" s="27" t="str">
        <x:v>second-lot acceptance record</x:v>
      </x:c>
      <x:c r="J54" s="27" t="str">
        <x:v>terrain evidence authority</x:v>
      </x:c>
      <x:c r="K54" s="27" t="str">
        <x:v>OPEN</x:v>
      </x:c>
      <x:c r="L54" s="27" t="str">
        <x:v>HOLD</x:v>
      </x:c>
      <x:c r="M54" s="29" t="n">
        <x:v>0</x:v>
      </x:c>
    </x:row>
    <x:row r="55" ht="30" customHeight="1">
      <x:c r="B55" s="27" t="str">
        <x:v>CRS-R01-A01</x:v>
      </x:c>
      <x:c r="C55" s="27" t="str">
        <x:v>CRS-R01</x:v>
      </x:c>
      <x:c r="D55" s="27" t="str">
        <x:v>Civil receiver</x:v>
      </x:c>
      <x:c r="E55" s="27" t="str">
        <x:v>A01</x:v>
      </x:c>
      <x:c r="F55" s="27" t="str">
        <x:v>mass and volume</x:v>
      </x:c>
      <x:c r="G55" s="27" t="str">
        <x:v>independent weigh and three-dimensional scan</x:v>
      </x:c>
      <x:c r="H55" s="27" t="str">
        <x:v>within frozen envelope including fixtures</x:v>
      </x:c>
      <x:c r="I55" s="27" t="str">
        <x:v>signed metrology record</x:v>
      </x:c>
      <x:c r="J55" s="27" t="str">
        <x:v>civil-effect authority</x:v>
      </x:c>
      <x:c r="K55" s="27" t="str">
        <x:v>OPEN</x:v>
      </x:c>
      <x:c r="L55" s="27" t="str">
        <x:v>HOLD</x:v>
      </x:c>
      <x:c r="M55" s="29" t="n">
        <x:v>0</x:v>
      </x:c>
    </x:row>
    <x:row r="56" ht="30" customHeight="1">
      <x:c r="B56" s="27" t="str">
        <x:v>CRS-R01-A02</x:v>
      </x:c>
      <x:c r="C56" s="27" t="str">
        <x:v>CRS-R01</x:v>
      </x:c>
      <x:c r="D56" s="27" t="str">
        <x:v>Civil receiver</x:v>
      </x:c>
      <x:c r="E56" s="27" t="str">
        <x:v>A02</x:v>
      </x:c>
      <x:c r="F56" s="27" t="str">
        <x:v>mass properties</x:v>
      </x:c>
      <x:c r="G56" s="27" t="str">
        <x:v>moment-table and suspension measurement</x:v>
      </x:c>
      <x:c r="H56" s="27" t="str">
        <x:v>inside registered center-of-gravity and inertia box</x:v>
      </x:c>
      <x:c r="I56" s="27" t="str">
        <x:v>mass-property certificate</x:v>
      </x:c>
      <x:c r="J56" s="27" t="str">
        <x:v>civil-effect authority</x:v>
      </x:c>
      <x:c r="K56" s="27" t="str">
        <x:v>OPEN</x:v>
      </x:c>
      <x:c r="L56" s="27" t="str">
        <x:v>HOLD</x:v>
      </x:c>
      <x:c r="M56" s="29" t="n">
        <x:v>0</x:v>
      </x:c>
    </x:row>
    <x:row r="57" ht="30" customHeight="1">
      <x:c r="B57" s="27" t="str">
        <x:v>CRS-R01-A03</x:v>
      </x:c>
      <x:c r="C57" s="27" t="str">
        <x:v>CRS-R01</x:v>
      </x:c>
      <x:c r="D57" s="27" t="str">
        <x:v>Civil receiver</x:v>
      </x:c>
      <x:c r="E57" s="27" t="str">
        <x:v>A03</x:v>
      </x:c>
      <x:c r="F57" s="27" t="str">
        <x:v>independent endurance</x:v>
      </x:c>
      <x:c r="G57" s="27" t="str">
        <x:v>168-hour isolated operation</x:v>
      </x:c>
      <x:c r="H57" s="27" t="str">
        <x:v>full interval plus 25 percent nameplate reserve</x:v>
      </x:c>
      <x:c r="I57" s="27" t="str">
        <x:v>energy and event record</x:v>
      </x:c>
      <x:c r="J57" s="27" t="str">
        <x:v>civil-effect authority</x:v>
      </x:c>
      <x:c r="K57" s="27" t="str">
        <x:v>OPEN</x:v>
      </x:c>
      <x:c r="L57" s="27" t="str">
        <x:v>HOLD</x:v>
      </x:c>
      <x:c r="M57" s="29" t="n">
        <x:v>0</x:v>
      </x:c>
    </x:row>
    <x:row r="58" ht="30" customHeight="1">
      <x:c r="B58" s="27" t="str">
        <x:v>CRS-R01-A04</x:v>
      </x:c>
      <x:c r="C58" s="27" t="str">
        <x:v>CRS-R01</x:v>
      </x:c>
      <x:c r="D58" s="27" t="str">
        <x:v>Civil receiver</x:v>
      </x:c>
      <x:c r="E58" s="27" t="str">
        <x:v>A04</x:v>
      </x:c>
      <x:c r="F58" s="27" t="str">
        <x:v>peak event capture</x:v>
      </x:c>
      <x:c r="G58" s="27" t="str">
        <x:v>registered simultaneous peak injection</x:v>
      </x:c>
      <x:c r="H58" s="27" t="str">
        <x:v>no brownout, loss or hidden reset</x:v>
      </x:c>
      <x:c r="I58" s="27" t="str">
        <x:v>peak waveform record</x:v>
      </x:c>
      <x:c r="J58" s="27" t="str">
        <x:v>civil-effect authority</x:v>
      </x:c>
      <x:c r="K58" s="27" t="str">
        <x:v>OPEN</x:v>
      </x:c>
      <x:c r="L58" s="27" t="str">
        <x:v>HOLD</x:v>
      </x:c>
      <x:c r="M58" s="29" t="n">
        <x:v>0</x:v>
      </x:c>
    </x:row>
    <x:row r="59" ht="30" customHeight="1">
      <x:c r="B59" s="27" t="str">
        <x:v>CRS-R01-A05</x:v>
      </x:c>
      <x:c r="C59" s="27" t="str">
        <x:v>CRS-R01</x:v>
      </x:c>
      <x:c r="D59" s="27" t="str">
        <x:v>Civil receiver</x:v>
      </x:c>
      <x:c r="E59" s="27" t="str">
        <x:v>A05</x:v>
      </x:c>
      <x:c r="F59" s="27" t="str">
        <x:v>outward heat rejection</x:v>
      </x:c>
      <x:c r="G59" s="27" t="str">
        <x:v>calorimetry at steady and peak state</x:v>
      </x:c>
      <x:c r="H59" s="27" t="str">
        <x:v>all evidence heat exits independent boundary</x:v>
      </x:c>
      <x:c r="I59" s="27" t="str">
        <x:v>calorimetry record</x:v>
      </x:c>
      <x:c r="J59" s="27" t="str">
        <x:v>civil-effect authority</x:v>
      </x:c>
      <x:c r="K59" s="27" t="str">
        <x:v>OPEN</x:v>
      </x:c>
      <x:c r="L59" s="27" t="str">
        <x:v>HOLD</x:v>
      </x:c>
      <x:c r="M59" s="29" t="n">
        <x:v>0</x:v>
      </x:c>
    </x:row>
    <x:row r="60" ht="30" customHeight="1">
      <x:c r="B60" s="27" t="str">
        <x:v>CRS-R01-A06</x:v>
      </x:c>
      <x:c r="C60" s="27" t="str">
        <x:v>CRS-R01</x:v>
      </x:c>
      <x:c r="D60" s="27" t="str">
        <x:v>Civil receiver</x:v>
      </x:c>
      <x:c r="E60" s="27" t="str">
        <x:v>A06</x:v>
      </x:c>
      <x:c r="F60" s="27" t="str">
        <x:v>complete local original</x:v>
      </x:c>
      <x:c r="G60" s="27" t="str">
        <x:v>total network loss and media fault</x:v>
      </x:c>
      <x:c r="H60" s="27" t="str">
        <x:v>registered interval and invalid states retained locally</x:v>
      </x:c>
      <x:c r="I60" s="27" t="str">
        <x:v>sealed original segments</x:v>
      </x:c>
      <x:c r="J60" s="27" t="str">
        <x:v>civil-effect authority</x:v>
      </x:c>
      <x:c r="K60" s="27" t="str">
        <x:v>OPEN</x:v>
      </x:c>
      <x:c r="L60" s="27" t="str">
        <x:v>HOLD</x:v>
      </x:c>
      <x:c r="M60" s="29" t="n">
        <x:v>0</x:v>
      </x:c>
    </x:row>
    <x:row r="61" ht="30" customHeight="1">
      <x:c r="B61" s="27" t="str">
        <x:v>CRS-R01-A07</x:v>
      </x:c>
      <x:c r="C61" s="27" t="str">
        <x:v>CRS-R01</x:v>
      </x:c>
      <x:c r="D61" s="27" t="str">
        <x:v>Civil receiver</x:v>
      </x:c>
      <x:c r="E61" s="27" t="str">
        <x:v>A07</x:v>
      </x:c>
      <x:c r="F61" s="27" t="str">
        <x:v>denied event time</x:v>
      </x:c>
      <x:c r="G61" s="27" t="str">
        <x:v>external time denial and delay insertion</x:v>
      </x:c>
      <x:c r="H61" s="27" t="str">
        <x:v>U95 at or below family allocation</x:v>
      </x:c>
      <x:c r="I61" s="27" t="str">
        <x:v>clock comparison record</x:v>
      </x:c>
      <x:c r="J61" s="27" t="str">
        <x:v>civil-effect authority</x:v>
      </x:c>
      <x:c r="K61" s="27" t="str">
        <x:v>OPEN</x:v>
      </x:c>
      <x:c r="L61" s="27" t="str">
        <x:v>HOLD</x:v>
      </x:c>
      <x:c r="M61" s="29" t="n">
        <x:v>0</x:v>
      </x:c>
    </x:row>
    <x:row r="62" ht="30" customHeight="1">
      <x:c r="B62" s="27" t="str">
        <x:v>CRS-R01-A08</x:v>
      </x:c>
      <x:c r="C62" s="27" t="str">
        <x:v>CRS-R01</x:v>
      </x:c>
      <x:c r="D62" s="27" t="str">
        <x:v>Civil receiver</x:v>
      </x:c>
      <x:c r="E62" s="27" t="str">
        <x:v>A08</x:v>
      </x:c>
      <x:c r="F62" s="27" t="str">
        <x:v>physical non-actuation</x:v>
      </x:c>
      <x:c r="G62" s="27" t="str">
        <x:v>reverse-energy injection and teardown</x:v>
      </x:c>
      <x:c r="H62" s="27" t="str">
        <x:v>zero conductive return, actuation or useful mission path</x:v>
      </x:c>
      <x:c r="I62" s="27" t="str">
        <x:v>teardown and injection record</x:v>
      </x:c>
      <x:c r="J62" s="27" t="str">
        <x:v>civil-effect authority</x:v>
      </x:c>
      <x:c r="K62" s="27" t="str">
        <x:v>OPEN</x:v>
      </x:c>
      <x:c r="L62" s="27" t="str">
        <x:v>HOLD</x:v>
      </x:c>
      <x:c r="M62" s="29" t="n">
        <x:v>0</x:v>
      </x:c>
    </x:row>
    <x:row r="63" ht="30" customHeight="1">
      <x:c r="B63" s="27" t="str">
        <x:v>CRS-R01-A09</x:v>
      </x:c>
      <x:c r="C63" s="27" t="str">
        <x:v>CRS-R01</x:v>
      </x:c>
      <x:c r="D63" s="27" t="str">
        <x:v>Civil receiver</x:v>
      </x:c>
      <x:c r="E63" s="27" t="str">
        <x:v>A09</x:v>
      </x:c>
      <x:c r="F63" s="27" t="str">
        <x:v>hazard survival</x:v>
      </x:c>
      <x:c r="G63" s="27" t="str">
        <x:v>family hazard sequence</x:v>
      </x:c>
      <x:c r="H63" s="27" t="str">
        <x:v>no silent state; declared survival or safe invalidation</x:v>
      </x:c>
      <x:c r="I63" s="27" t="str">
        <x:v>exposure record</x:v>
      </x:c>
      <x:c r="J63" s="27" t="str">
        <x:v>civil-effect authority</x:v>
      </x:c>
      <x:c r="K63" s="27" t="str">
        <x:v>OPEN</x:v>
      </x:c>
      <x:c r="L63" s="27" t="str">
        <x:v>HOLD</x:v>
      </x:c>
      <x:c r="M63" s="29" t="n">
        <x:v>0</x:v>
      </x:c>
    </x:row>
    <x:row r="64" ht="30" customHeight="1">
      <x:c r="B64" s="27" t="str">
        <x:v>CRS-R01-A10</x:v>
      </x:c>
      <x:c r="C64" s="27" t="str">
        <x:v>CRS-R01</x:v>
      </x:c>
      <x:c r="D64" s="27" t="str">
        <x:v>Civil receiver</x:v>
      </x:c>
      <x:c r="E64" s="27" t="str">
        <x:v>A10</x:v>
      </x:c>
      <x:c r="F64" s="27" t="str">
        <x:v>calibration stability</x:v>
      </x:c>
      <x:c r="G64" s="27" t="str">
        <x:v>traveling standard before and after hazard</x:v>
      </x:c>
      <x:c r="H64" s="27" t="str">
        <x:v>drift remains inside registered allocation</x:v>
      </x:c>
      <x:c r="I64" s="27" t="str">
        <x:v>calibration chain record</x:v>
      </x:c>
      <x:c r="J64" s="27" t="str">
        <x:v>civil-effect authority</x:v>
      </x:c>
      <x:c r="K64" s="27" t="str">
        <x:v>OPEN</x:v>
      </x:c>
      <x:c r="L64" s="27" t="str">
        <x:v>HOLD</x:v>
      </x:c>
      <x:c r="M64" s="29" t="n">
        <x:v>0</x:v>
      </x:c>
    </x:row>
    <x:row r="65" ht="30" customHeight="1">
      <x:c r="B65" s="27" t="str">
        <x:v>CRS-R01-A11</x:v>
      </x:c>
      <x:c r="C65" s="27" t="str">
        <x:v>CRS-R01</x:v>
      </x:c>
      <x:c r="D65" s="27" t="str">
        <x:v>Civil receiver</x:v>
      </x:c>
      <x:c r="E65" s="27" t="str">
        <x:v>A11</x:v>
      </x:c>
      <x:c r="F65" s="27" t="str">
        <x:v>maintenance and quarantine</x:v>
      </x:c>
      <x:c r="G65" s="27" t="str">
        <x:v>blinded removal, swap and decontamination</x:v>
      </x:c>
      <x:c r="H65" s="27" t="str">
        <x:v>time, tools and custody inside family limit</x:v>
      </x:c>
      <x:c r="I65" s="27" t="str">
        <x:v>maintenance video and custody record</x:v>
      </x:c>
      <x:c r="J65" s="27" t="str">
        <x:v>civil-effect authority</x:v>
      </x:c>
      <x:c r="K65" s="27" t="str">
        <x:v>OPEN</x:v>
      </x:c>
      <x:c r="L65" s="27" t="str">
        <x:v>HOLD</x:v>
      </x:c>
      <x:c r="M65" s="29" t="n">
        <x:v>0</x:v>
      </x:c>
    </x:row>
    <x:row r="66" ht="30" customHeight="1">
      <x:c r="B66" s="27" t="str">
        <x:v>CRS-R01-A12</x:v>
      </x:c>
      <x:c r="C66" s="27" t="str">
        <x:v>CRS-R01</x:v>
      </x:c>
      <x:c r="D66" s="27" t="str">
        <x:v>Civil receiver</x:v>
      </x:c>
      <x:c r="E66" s="27" t="str">
        <x:v>A12</x:v>
      </x:c>
      <x:c r="F66" s="27" t="str">
        <x:v>independent reproduction</x:v>
      </x:c>
      <x:c r="G66" s="27" t="str">
        <x:v>second team builds and tests frozen package</x:v>
      </x:c>
      <x:c r="H66" s="27" t="str">
        <x:v>same decision under distinct decisive ancestry</x:v>
      </x:c>
      <x:c r="I66" s="27" t="str">
        <x:v>second-lot acceptance record</x:v>
      </x:c>
      <x:c r="J66" s="27" t="str">
        <x:v>civil-effect authority</x:v>
      </x:c>
      <x:c r="K66" s="27" t="str">
        <x:v>OPEN</x:v>
      </x:c>
      <x:c r="L66" s="27" t="str">
        <x:v>HOLD</x:v>
      </x:c>
      <x:c r="M66" s="29" t="n">
        <x:v>0</x:v>
      </x:c>
    </x:row>
    <x:row r="67" ht="30" customHeight="1">
      <x:c r="B67" s="27" t="str">
        <x:v>PSS-T01-A01</x:v>
      </x:c>
      <x:c r="C67" s="27" t="str">
        <x:v>PSS-T01</x:v>
      </x:c>
      <x:c r="D67" s="27" t="str">
        <x:v>Pressure skin</x:v>
      </x:c>
      <x:c r="E67" s="27" t="str">
        <x:v>A01</x:v>
      </x:c>
      <x:c r="F67" s="27" t="str">
        <x:v>mass and volume</x:v>
      </x:c>
      <x:c r="G67" s="27" t="str">
        <x:v>independent weigh and three-dimensional scan</x:v>
      </x:c>
      <x:c r="H67" s="27" t="str">
        <x:v>within frozen envelope including fixtures</x:v>
      </x:c>
      <x:c r="I67" s="27" t="str">
        <x:v>signed metrology record</x:v>
      </x:c>
      <x:c r="J67" s="27" t="str">
        <x:v>terrain metrology</x:v>
      </x:c>
      <x:c r="K67" s="27" t="str">
        <x:v>OPEN</x:v>
      </x:c>
      <x:c r="L67" s="27" t="str">
        <x:v>HOLD</x:v>
      </x:c>
      <x:c r="M67" s="29" t="n">
        <x:v>0</x:v>
      </x:c>
    </x:row>
    <x:row r="68" ht="30" customHeight="1">
      <x:c r="B68" s="27" t="str">
        <x:v>PSS-T01-A02</x:v>
      </x:c>
      <x:c r="C68" s="27" t="str">
        <x:v>PSS-T01</x:v>
      </x:c>
      <x:c r="D68" s="27" t="str">
        <x:v>Pressure skin</x:v>
      </x:c>
      <x:c r="E68" s="27" t="str">
        <x:v>A02</x:v>
      </x:c>
      <x:c r="F68" s="27" t="str">
        <x:v>mass properties</x:v>
      </x:c>
      <x:c r="G68" s="27" t="str">
        <x:v>moment-table and suspension measurement</x:v>
      </x:c>
      <x:c r="H68" s="27" t="str">
        <x:v>inside registered center-of-gravity and inertia box</x:v>
      </x:c>
      <x:c r="I68" s="27" t="str">
        <x:v>mass-property certificate</x:v>
      </x:c>
      <x:c r="J68" s="27" t="str">
        <x:v>terrain metrology</x:v>
      </x:c>
      <x:c r="K68" s="27" t="str">
        <x:v>OPEN</x:v>
      </x:c>
      <x:c r="L68" s="27" t="str">
        <x:v>HOLD</x:v>
      </x:c>
      <x:c r="M68" s="29" t="n">
        <x:v>0</x:v>
      </x:c>
    </x:row>
    <x:row r="69" ht="30" customHeight="1">
      <x:c r="B69" s="27" t="str">
        <x:v>PSS-T01-A03</x:v>
      </x:c>
      <x:c r="C69" s="27" t="str">
        <x:v>PSS-T01</x:v>
      </x:c>
      <x:c r="D69" s="27" t="str">
        <x:v>Pressure skin</x:v>
      </x:c>
      <x:c r="E69" s="27" t="str">
        <x:v>A03</x:v>
      </x:c>
      <x:c r="F69" s="27" t="str">
        <x:v>independent endurance</x:v>
      </x:c>
      <x:c r="G69" s="27" t="str">
        <x:v>168-hour isolated operation</x:v>
      </x:c>
      <x:c r="H69" s="27" t="str">
        <x:v>full interval plus 25 percent nameplate reserve</x:v>
      </x:c>
      <x:c r="I69" s="27" t="str">
        <x:v>energy and event record</x:v>
      </x:c>
      <x:c r="J69" s="27" t="str">
        <x:v>terrain metrology</x:v>
      </x:c>
      <x:c r="K69" s="27" t="str">
        <x:v>OPEN</x:v>
      </x:c>
      <x:c r="L69" s="27" t="str">
        <x:v>HOLD</x:v>
      </x:c>
      <x:c r="M69" s="29" t="n">
        <x:v>0</x:v>
      </x:c>
    </x:row>
    <x:row r="70" ht="30" customHeight="1">
      <x:c r="B70" s="27" t="str">
        <x:v>PSS-T01-A04</x:v>
      </x:c>
      <x:c r="C70" s="27" t="str">
        <x:v>PSS-T01</x:v>
      </x:c>
      <x:c r="D70" s="27" t="str">
        <x:v>Pressure skin</x:v>
      </x:c>
      <x:c r="E70" s="27" t="str">
        <x:v>A04</x:v>
      </x:c>
      <x:c r="F70" s="27" t="str">
        <x:v>peak event capture</x:v>
      </x:c>
      <x:c r="G70" s="27" t="str">
        <x:v>registered simultaneous peak injection</x:v>
      </x:c>
      <x:c r="H70" s="27" t="str">
        <x:v>no brownout, loss or hidden reset</x:v>
      </x:c>
      <x:c r="I70" s="27" t="str">
        <x:v>peak waveform record</x:v>
      </x:c>
      <x:c r="J70" s="27" t="str">
        <x:v>terrain metrology</x:v>
      </x:c>
      <x:c r="K70" s="27" t="str">
        <x:v>OPEN</x:v>
      </x:c>
      <x:c r="L70" s="27" t="str">
        <x:v>HOLD</x:v>
      </x:c>
      <x:c r="M70" s="29" t="n">
        <x:v>0</x:v>
      </x:c>
    </x:row>
    <x:row r="71" ht="30" customHeight="1">
      <x:c r="B71" s="27" t="str">
        <x:v>PSS-T01-A05</x:v>
      </x:c>
      <x:c r="C71" s="27" t="str">
        <x:v>PSS-T01</x:v>
      </x:c>
      <x:c r="D71" s="27" t="str">
        <x:v>Pressure skin</x:v>
      </x:c>
      <x:c r="E71" s="27" t="str">
        <x:v>A05</x:v>
      </x:c>
      <x:c r="F71" s="27" t="str">
        <x:v>outward heat rejection</x:v>
      </x:c>
      <x:c r="G71" s="27" t="str">
        <x:v>calorimetry at steady and peak state</x:v>
      </x:c>
      <x:c r="H71" s="27" t="str">
        <x:v>all evidence heat exits independent boundary</x:v>
      </x:c>
      <x:c r="I71" s="27" t="str">
        <x:v>calorimetry record</x:v>
      </x:c>
      <x:c r="J71" s="27" t="str">
        <x:v>terrain metrology</x:v>
      </x:c>
      <x:c r="K71" s="27" t="str">
        <x:v>OPEN</x:v>
      </x:c>
      <x:c r="L71" s="27" t="str">
        <x:v>HOLD</x:v>
      </x:c>
      <x:c r="M71" s="29" t="n">
        <x:v>0</x:v>
      </x:c>
    </x:row>
    <x:row r="72" ht="30" customHeight="1">
      <x:c r="B72" s="27" t="str">
        <x:v>PSS-T01-A06</x:v>
      </x:c>
      <x:c r="C72" s="27" t="str">
        <x:v>PSS-T01</x:v>
      </x:c>
      <x:c r="D72" s="27" t="str">
        <x:v>Pressure skin</x:v>
      </x:c>
      <x:c r="E72" s="27" t="str">
        <x:v>A06</x:v>
      </x:c>
      <x:c r="F72" s="27" t="str">
        <x:v>complete local original</x:v>
      </x:c>
      <x:c r="G72" s="27" t="str">
        <x:v>total network loss and media fault</x:v>
      </x:c>
      <x:c r="H72" s="27" t="str">
        <x:v>registered interval and invalid states retained locally</x:v>
      </x:c>
      <x:c r="I72" s="27" t="str">
        <x:v>sealed original segments</x:v>
      </x:c>
      <x:c r="J72" s="27" t="str">
        <x:v>terrain metrology</x:v>
      </x:c>
      <x:c r="K72" s="27" t="str">
        <x:v>OPEN</x:v>
      </x:c>
      <x:c r="L72" s="27" t="str">
        <x:v>HOLD</x:v>
      </x:c>
      <x:c r="M72" s="29" t="n">
        <x:v>0</x:v>
      </x:c>
    </x:row>
    <x:row r="73" ht="30" customHeight="1">
      <x:c r="B73" s="27" t="str">
        <x:v>PSS-T01-A07</x:v>
      </x:c>
      <x:c r="C73" s="27" t="str">
        <x:v>PSS-T01</x:v>
      </x:c>
      <x:c r="D73" s="27" t="str">
        <x:v>Pressure skin</x:v>
      </x:c>
      <x:c r="E73" s="27" t="str">
        <x:v>A07</x:v>
      </x:c>
      <x:c r="F73" s="27" t="str">
        <x:v>denied event time</x:v>
      </x:c>
      <x:c r="G73" s="27" t="str">
        <x:v>external time denial and delay insertion</x:v>
      </x:c>
      <x:c r="H73" s="27" t="str">
        <x:v>U95 at or below family allocation</x:v>
      </x:c>
      <x:c r="I73" s="27" t="str">
        <x:v>clock comparison record</x:v>
      </x:c>
      <x:c r="J73" s="27" t="str">
        <x:v>terrain metrology</x:v>
      </x:c>
      <x:c r="K73" s="27" t="str">
        <x:v>OPEN</x:v>
      </x:c>
      <x:c r="L73" s="27" t="str">
        <x:v>HOLD</x:v>
      </x:c>
      <x:c r="M73" s="29" t="n">
        <x:v>0</x:v>
      </x:c>
    </x:row>
    <x:row r="74" ht="30" customHeight="1">
      <x:c r="B74" s="27" t="str">
        <x:v>PSS-T01-A08</x:v>
      </x:c>
      <x:c r="C74" s="27" t="str">
        <x:v>PSS-T01</x:v>
      </x:c>
      <x:c r="D74" s="27" t="str">
        <x:v>Pressure skin</x:v>
      </x:c>
      <x:c r="E74" s="27" t="str">
        <x:v>A08</x:v>
      </x:c>
      <x:c r="F74" s="27" t="str">
        <x:v>physical non-actuation</x:v>
      </x:c>
      <x:c r="G74" s="27" t="str">
        <x:v>reverse-energy injection and teardown</x:v>
      </x:c>
      <x:c r="H74" s="27" t="str">
        <x:v>zero conductive return, actuation or useful mission path</x:v>
      </x:c>
      <x:c r="I74" s="27" t="str">
        <x:v>teardown and injection record</x:v>
      </x:c>
      <x:c r="J74" s="27" t="str">
        <x:v>terrain metrology</x:v>
      </x:c>
      <x:c r="K74" s="27" t="str">
        <x:v>OPEN</x:v>
      </x:c>
      <x:c r="L74" s="27" t="str">
        <x:v>HOLD</x:v>
      </x:c>
      <x:c r="M74" s="29" t="n">
        <x:v>0</x:v>
      </x:c>
    </x:row>
    <x:row r="75" ht="30" customHeight="1">
      <x:c r="B75" s="27" t="str">
        <x:v>PSS-T01-A09</x:v>
      </x:c>
      <x:c r="C75" s="27" t="str">
        <x:v>PSS-T01</x:v>
      </x:c>
      <x:c r="D75" s="27" t="str">
        <x:v>Pressure skin</x:v>
      </x:c>
      <x:c r="E75" s="27" t="str">
        <x:v>A09</x:v>
      </x:c>
      <x:c r="F75" s="27" t="str">
        <x:v>hazard survival</x:v>
      </x:c>
      <x:c r="G75" s="27" t="str">
        <x:v>family hazard sequence</x:v>
      </x:c>
      <x:c r="H75" s="27" t="str">
        <x:v>no silent state; declared survival or safe invalidation</x:v>
      </x:c>
      <x:c r="I75" s="27" t="str">
        <x:v>exposure record</x:v>
      </x:c>
      <x:c r="J75" s="27" t="str">
        <x:v>terrain metrology</x:v>
      </x:c>
      <x:c r="K75" s="27" t="str">
        <x:v>OPEN</x:v>
      </x:c>
      <x:c r="L75" s="27" t="str">
        <x:v>HOLD</x:v>
      </x:c>
      <x:c r="M75" s="29" t="n">
        <x:v>0</x:v>
      </x:c>
    </x:row>
    <x:row r="76" ht="30" customHeight="1">
      <x:c r="B76" s="27" t="str">
        <x:v>PSS-T01-A10</x:v>
      </x:c>
      <x:c r="C76" s="27" t="str">
        <x:v>PSS-T01</x:v>
      </x:c>
      <x:c r="D76" s="27" t="str">
        <x:v>Pressure skin</x:v>
      </x:c>
      <x:c r="E76" s="27" t="str">
        <x:v>A10</x:v>
      </x:c>
      <x:c r="F76" s="27" t="str">
        <x:v>calibration stability</x:v>
      </x:c>
      <x:c r="G76" s="27" t="str">
        <x:v>traveling standard before and after hazard</x:v>
      </x:c>
      <x:c r="H76" s="27" t="str">
        <x:v>drift remains inside registered allocation</x:v>
      </x:c>
      <x:c r="I76" s="27" t="str">
        <x:v>calibration chain record</x:v>
      </x:c>
      <x:c r="J76" s="27" t="str">
        <x:v>terrain metrology</x:v>
      </x:c>
      <x:c r="K76" s="27" t="str">
        <x:v>OPEN</x:v>
      </x:c>
      <x:c r="L76" s="27" t="str">
        <x:v>HOLD</x:v>
      </x:c>
      <x:c r="M76" s="29" t="n">
        <x:v>0</x:v>
      </x:c>
    </x:row>
    <x:row r="77" ht="30" customHeight="1">
      <x:c r="B77" s="27" t="str">
        <x:v>PSS-T01-A11</x:v>
      </x:c>
      <x:c r="C77" s="27" t="str">
        <x:v>PSS-T01</x:v>
      </x:c>
      <x:c r="D77" s="27" t="str">
        <x:v>Pressure skin</x:v>
      </x:c>
      <x:c r="E77" s="27" t="str">
        <x:v>A11</x:v>
      </x:c>
      <x:c r="F77" s="27" t="str">
        <x:v>maintenance and quarantine</x:v>
      </x:c>
      <x:c r="G77" s="27" t="str">
        <x:v>blinded removal, swap and decontamination</x:v>
      </x:c>
      <x:c r="H77" s="27" t="str">
        <x:v>time, tools and custody inside family limit</x:v>
      </x:c>
      <x:c r="I77" s="27" t="str">
        <x:v>maintenance video and custody record</x:v>
      </x:c>
      <x:c r="J77" s="27" t="str">
        <x:v>terrain metrology</x:v>
      </x:c>
      <x:c r="K77" s="27" t="str">
        <x:v>OPEN</x:v>
      </x:c>
      <x:c r="L77" s="27" t="str">
        <x:v>HOLD</x:v>
      </x:c>
      <x:c r="M77" s="29" t="n">
        <x:v>0</x:v>
      </x:c>
    </x:row>
    <x:row r="78" ht="30" customHeight="1">
      <x:c r="B78" s="27" t="str">
        <x:v>PSS-T01-A12</x:v>
      </x:c>
      <x:c r="C78" s="27" t="str">
        <x:v>PSS-T01</x:v>
      </x:c>
      <x:c r="D78" s="27" t="str">
        <x:v>Pressure skin</x:v>
      </x:c>
      <x:c r="E78" s="27" t="str">
        <x:v>A12</x:v>
      </x:c>
      <x:c r="F78" s="27" t="str">
        <x:v>independent reproduction</x:v>
      </x:c>
      <x:c r="G78" s="27" t="str">
        <x:v>second team builds and tests frozen package</x:v>
      </x:c>
      <x:c r="H78" s="27" t="str">
        <x:v>same decision under distinct decisive ancestry</x:v>
      </x:c>
      <x:c r="I78" s="27" t="str">
        <x:v>second-lot acceptance record</x:v>
      </x:c>
      <x:c r="J78" s="27" t="str">
        <x:v>terrain metrology</x:v>
      </x:c>
      <x:c r="K78" s="27" t="str">
        <x:v>OPEN</x:v>
      </x:c>
      <x:c r="L78" s="27" t="str">
        <x:v>HOLD</x:v>
      </x:c>
      <x:c r="M78" s="29" t="n">
        <x:v>0</x:v>
      </x:c>
    </x:row>
    <x:row r="79" ht="30" customHeight="1">
      <x:c r="B79" s="27" t="str">
        <x:v>PIF-I01-A01</x:v>
      </x:c>
      <x:c r="C79" s="27" t="str">
        <x:v>PIF-I01</x:v>
      </x:c>
      <x:c r="D79" s="27" t="str">
        <x:v>Passive interface</x:v>
      </x:c>
      <x:c r="E79" s="27" t="str">
        <x:v>A01</x:v>
      </x:c>
      <x:c r="F79" s="27" t="str">
        <x:v>mass and volume</x:v>
      </x:c>
      <x:c r="G79" s="27" t="str">
        <x:v>independent weigh and three-dimensional scan</x:v>
      </x:c>
      <x:c r="H79" s="27" t="str">
        <x:v>within frozen envelope including fixtures</x:v>
      </x:c>
      <x:c r="I79" s="27" t="str">
        <x:v>signed metrology record</x:v>
      </x:c>
      <x:c r="J79" s="27" t="str">
        <x:v>interface authority</x:v>
      </x:c>
      <x:c r="K79" s="27" t="str">
        <x:v>OPEN</x:v>
      </x:c>
      <x:c r="L79" s="27" t="str">
        <x:v>HOLD</x:v>
      </x:c>
      <x:c r="M79" s="29" t="n">
        <x:v>0</x:v>
      </x:c>
    </x:row>
    <x:row r="80" ht="30" customHeight="1">
      <x:c r="B80" s="27" t="str">
        <x:v>PIF-I01-A02</x:v>
      </x:c>
      <x:c r="C80" s="27" t="str">
        <x:v>PIF-I01</x:v>
      </x:c>
      <x:c r="D80" s="27" t="str">
        <x:v>Passive interface</x:v>
      </x:c>
      <x:c r="E80" s="27" t="str">
        <x:v>A02</x:v>
      </x:c>
      <x:c r="F80" s="27" t="str">
        <x:v>mass properties</x:v>
      </x:c>
      <x:c r="G80" s="27" t="str">
        <x:v>moment-table and suspension measurement</x:v>
      </x:c>
      <x:c r="H80" s="27" t="str">
        <x:v>inside registered center-of-gravity and inertia box</x:v>
      </x:c>
      <x:c r="I80" s="27" t="str">
        <x:v>mass-property certificate</x:v>
      </x:c>
      <x:c r="J80" s="27" t="str">
        <x:v>interface authority</x:v>
      </x:c>
      <x:c r="K80" s="27" t="str">
        <x:v>OPEN</x:v>
      </x:c>
      <x:c r="L80" s="27" t="str">
        <x:v>HOLD</x:v>
      </x:c>
      <x:c r="M80" s="29" t="n">
        <x:v>0</x:v>
      </x:c>
    </x:row>
    <x:row r="81" ht="30" customHeight="1">
      <x:c r="B81" s="27" t="str">
        <x:v>PIF-I01-A03</x:v>
      </x:c>
      <x:c r="C81" s="27" t="str">
        <x:v>PIF-I01</x:v>
      </x:c>
      <x:c r="D81" s="27" t="str">
        <x:v>Passive interface</x:v>
      </x:c>
      <x:c r="E81" s="27" t="str">
        <x:v>A03</x:v>
      </x:c>
      <x:c r="F81" s="27" t="str">
        <x:v>independent endurance</x:v>
      </x:c>
      <x:c r="G81" s="27" t="str">
        <x:v>168-hour isolated operation</x:v>
      </x:c>
      <x:c r="H81" s="27" t="str">
        <x:v>full interval plus 25 percent nameplate reserve</x:v>
      </x:c>
      <x:c r="I81" s="27" t="str">
        <x:v>energy and event record</x:v>
      </x:c>
      <x:c r="J81" s="27" t="str">
        <x:v>interface authority</x:v>
      </x:c>
      <x:c r="K81" s="27" t="str">
        <x:v>OPEN</x:v>
      </x:c>
      <x:c r="L81" s="27" t="str">
        <x:v>HOLD</x:v>
      </x:c>
      <x:c r="M81" s="29" t="n">
        <x:v>0</x:v>
      </x:c>
    </x:row>
    <x:row r="82" ht="30" customHeight="1">
      <x:c r="B82" s="27" t="str">
        <x:v>PIF-I01-A04</x:v>
      </x:c>
      <x:c r="C82" s="27" t="str">
        <x:v>PIF-I01</x:v>
      </x:c>
      <x:c r="D82" s="27" t="str">
        <x:v>Passive interface</x:v>
      </x:c>
      <x:c r="E82" s="27" t="str">
        <x:v>A04</x:v>
      </x:c>
      <x:c r="F82" s="27" t="str">
        <x:v>peak event capture</x:v>
      </x:c>
      <x:c r="G82" s="27" t="str">
        <x:v>registered simultaneous peak injection</x:v>
      </x:c>
      <x:c r="H82" s="27" t="str">
        <x:v>no brownout, loss or hidden reset</x:v>
      </x:c>
      <x:c r="I82" s="27" t="str">
        <x:v>peak waveform record</x:v>
      </x:c>
      <x:c r="J82" s="27" t="str">
        <x:v>interface authority</x:v>
      </x:c>
      <x:c r="K82" s="27" t="str">
        <x:v>OPEN</x:v>
      </x:c>
      <x:c r="L82" s="27" t="str">
        <x:v>HOLD</x:v>
      </x:c>
      <x:c r="M82" s="29" t="n">
        <x:v>0</x:v>
      </x:c>
    </x:row>
    <x:row r="83" ht="30" customHeight="1">
      <x:c r="B83" s="27" t="str">
        <x:v>PIF-I01-A05</x:v>
      </x:c>
      <x:c r="C83" s="27" t="str">
        <x:v>PIF-I01</x:v>
      </x:c>
      <x:c r="D83" s="27" t="str">
        <x:v>Passive interface</x:v>
      </x:c>
      <x:c r="E83" s="27" t="str">
        <x:v>A05</x:v>
      </x:c>
      <x:c r="F83" s="27" t="str">
        <x:v>outward heat rejection</x:v>
      </x:c>
      <x:c r="G83" s="27" t="str">
        <x:v>calorimetry at steady and peak state</x:v>
      </x:c>
      <x:c r="H83" s="27" t="str">
        <x:v>all evidence heat exits independent boundary</x:v>
      </x:c>
      <x:c r="I83" s="27" t="str">
        <x:v>calorimetry record</x:v>
      </x:c>
      <x:c r="J83" s="27" t="str">
        <x:v>interface authority</x:v>
      </x:c>
      <x:c r="K83" s="27" t="str">
        <x:v>OPEN</x:v>
      </x:c>
      <x:c r="L83" s="27" t="str">
        <x:v>HOLD</x:v>
      </x:c>
      <x:c r="M83" s="29" t="n">
        <x:v>0</x:v>
      </x:c>
    </x:row>
    <x:row r="84" ht="30" customHeight="1">
      <x:c r="B84" s="27" t="str">
        <x:v>PIF-I01-A06</x:v>
      </x:c>
      <x:c r="C84" s="27" t="str">
        <x:v>PIF-I01</x:v>
      </x:c>
      <x:c r="D84" s="27" t="str">
        <x:v>Passive interface</x:v>
      </x:c>
      <x:c r="E84" s="27" t="str">
        <x:v>A06</x:v>
      </x:c>
      <x:c r="F84" s="27" t="str">
        <x:v>complete local original</x:v>
      </x:c>
      <x:c r="G84" s="27" t="str">
        <x:v>total network loss and media fault</x:v>
      </x:c>
      <x:c r="H84" s="27" t="str">
        <x:v>registered interval and invalid states retained locally</x:v>
      </x:c>
      <x:c r="I84" s="27" t="str">
        <x:v>sealed original segments</x:v>
      </x:c>
      <x:c r="J84" s="27" t="str">
        <x:v>interface authority</x:v>
      </x:c>
      <x:c r="K84" s="27" t="str">
        <x:v>OPEN</x:v>
      </x:c>
      <x:c r="L84" s="27" t="str">
        <x:v>HOLD</x:v>
      </x:c>
      <x:c r="M84" s="29" t="n">
        <x:v>0</x:v>
      </x:c>
    </x:row>
    <x:row r="85" ht="30" customHeight="1">
      <x:c r="B85" s="27" t="str">
        <x:v>PIF-I01-A07</x:v>
      </x:c>
      <x:c r="C85" s="27" t="str">
        <x:v>PIF-I01</x:v>
      </x:c>
      <x:c r="D85" s="27" t="str">
        <x:v>Passive interface</x:v>
      </x:c>
      <x:c r="E85" s="27" t="str">
        <x:v>A07</x:v>
      </x:c>
      <x:c r="F85" s="27" t="str">
        <x:v>denied event time</x:v>
      </x:c>
      <x:c r="G85" s="27" t="str">
        <x:v>external time denial and delay insertion</x:v>
      </x:c>
      <x:c r="H85" s="27" t="str">
        <x:v>U95 at or below family allocation</x:v>
      </x:c>
      <x:c r="I85" s="27" t="str">
        <x:v>clock comparison record</x:v>
      </x:c>
      <x:c r="J85" s="27" t="str">
        <x:v>interface authority</x:v>
      </x:c>
      <x:c r="K85" s="27" t="str">
        <x:v>OPEN</x:v>
      </x:c>
      <x:c r="L85" s="27" t="str">
        <x:v>HOLD</x:v>
      </x:c>
      <x:c r="M85" s="29" t="n">
        <x:v>0</x:v>
      </x:c>
    </x:row>
    <x:row r="86" ht="30" customHeight="1">
      <x:c r="B86" s="27" t="str">
        <x:v>PIF-I01-A08</x:v>
      </x:c>
      <x:c r="C86" s="27" t="str">
        <x:v>PIF-I01</x:v>
      </x:c>
      <x:c r="D86" s="27" t="str">
        <x:v>Passive interface</x:v>
      </x:c>
      <x:c r="E86" s="27" t="str">
        <x:v>A08</x:v>
      </x:c>
      <x:c r="F86" s="27" t="str">
        <x:v>physical non-actuation</x:v>
      </x:c>
      <x:c r="G86" s="27" t="str">
        <x:v>reverse-energy injection and teardown</x:v>
      </x:c>
      <x:c r="H86" s="27" t="str">
        <x:v>zero conductive return, actuation or useful mission path</x:v>
      </x:c>
      <x:c r="I86" s="27" t="str">
        <x:v>teardown and injection record</x:v>
      </x:c>
      <x:c r="J86" s="27" t="str">
        <x:v>interface authority</x:v>
      </x:c>
      <x:c r="K86" s="27" t="str">
        <x:v>OPEN</x:v>
      </x:c>
      <x:c r="L86" s="27" t="str">
        <x:v>HOLD</x:v>
      </x:c>
      <x:c r="M86" s="29" t="n">
        <x:v>0</x:v>
      </x:c>
    </x:row>
    <x:row r="87" ht="30" customHeight="1">
      <x:c r="B87" s="27" t="str">
        <x:v>PIF-I01-A09</x:v>
      </x:c>
      <x:c r="C87" s="27" t="str">
        <x:v>PIF-I01</x:v>
      </x:c>
      <x:c r="D87" s="27" t="str">
        <x:v>Passive interface</x:v>
      </x:c>
      <x:c r="E87" s="27" t="str">
        <x:v>A09</x:v>
      </x:c>
      <x:c r="F87" s="27" t="str">
        <x:v>hazard survival</x:v>
      </x:c>
      <x:c r="G87" s="27" t="str">
        <x:v>family hazard sequence</x:v>
      </x:c>
      <x:c r="H87" s="27" t="str">
        <x:v>no silent state; declared survival or safe invalidation</x:v>
      </x:c>
      <x:c r="I87" s="27" t="str">
        <x:v>exposure record</x:v>
      </x:c>
      <x:c r="J87" s="27" t="str">
        <x:v>interface authority</x:v>
      </x:c>
      <x:c r="K87" s="27" t="str">
        <x:v>OPEN</x:v>
      </x:c>
      <x:c r="L87" s="27" t="str">
        <x:v>HOLD</x:v>
      </x:c>
      <x:c r="M87" s="29" t="n">
        <x:v>0</x:v>
      </x:c>
    </x:row>
    <x:row r="88" ht="30" customHeight="1">
      <x:c r="B88" s="27" t="str">
        <x:v>PIF-I01-A10</x:v>
      </x:c>
      <x:c r="C88" s="27" t="str">
        <x:v>PIF-I01</x:v>
      </x:c>
      <x:c r="D88" s="27" t="str">
        <x:v>Passive interface</x:v>
      </x:c>
      <x:c r="E88" s="27" t="str">
        <x:v>A10</x:v>
      </x:c>
      <x:c r="F88" s="27" t="str">
        <x:v>calibration stability</x:v>
      </x:c>
      <x:c r="G88" s="27" t="str">
        <x:v>traveling standard before and after hazard</x:v>
      </x:c>
      <x:c r="H88" s="27" t="str">
        <x:v>drift remains inside registered allocation</x:v>
      </x:c>
      <x:c r="I88" s="27" t="str">
        <x:v>calibration chain record</x:v>
      </x:c>
      <x:c r="J88" s="27" t="str">
        <x:v>interface authority</x:v>
      </x:c>
      <x:c r="K88" s="27" t="str">
        <x:v>OPEN</x:v>
      </x:c>
      <x:c r="L88" s="27" t="str">
        <x:v>HOLD</x:v>
      </x:c>
      <x:c r="M88" s="29" t="n">
        <x:v>0</x:v>
      </x:c>
    </x:row>
    <x:row r="89" ht="30" customHeight="1">
      <x:c r="B89" s="27" t="str">
        <x:v>PIF-I01-A11</x:v>
      </x:c>
      <x:c r="C89" s="27" t="str">
        <x:v>PIF-I01</x:v>
      </x:c>
      <x:c r="D89" s="27" t="str">
        <x:v>Passive interface</x:v>
      </x:c>
      <x:c r="E89" s="27" t="str">
        <x:v>A11</x:v>
      </x:c>
      <x:c r="F89" s="27" t="str">
        <x:v>maintenance and quarantine</x:v>
      </x:c>
      <x:c r="G89" s="27" t="str">
        <x:v>blinded removal, swap and decontamination</x:v>
      </x:c>
      <x:c r="H89" s="27" t="str">
        <x:v>time, tools and custody inside family limit</x:v>
      </x:c>
      <x:c r="I89" s="27" t="str">
        <x:v>maintenance video and custody record</x:v>
      </x:c>
      <x:c r="J89" s="27" t="str">
        <x:v>interface authority</x:v>
      </x:c>
      <x:c r="K89" s="27" t="str">
        <x:v>OPEN</x:v>
      </x:c>
      <x:c r="L89" s="27" t="str">
        <x:v>HOLD</x:v>
      </x:c>
      <x:c r="M89" s="29" t="n">
        <x:v>0</x:v>
      </x:c>
    </x:row>
    <x:row r="90" ht="30" customHeight="1">
      <x:c r="B90" s="27" t="str">
        <x:v>PIF-I01-A12</x:v>
      </x:c>
      <x:c r="C90" s="27" t="str">
        <x:v>PIF-I01</x:v>
      </x:c>
      <x:c r="D90" s="27" t="str">
        <x:v>Passive interface</x:v>
      </x:c>
      <x:c r="E90" s="27" t="str">
        <x:v>A12</x:v>
      </x:c>
      <x:c r="F90" s="27" t="str">
        <x:v>independent reproduction</x:v>
      </x:c>
      <x:c r="G90" s="27" t="str">
        <x:v>second team builds and tests frozen package</x:v>
      </x:c>
      <x:c r="H90" s="27" t="str">
        <x:v>same decision under distinct decisive ancestry</x:v>
      </x:c>
      <x:c r="I90" s="27" t="str">
        <x:v>second-lot acceptance record</x:v>
      </x:c>
      <x:c r="J90" s="27" t="str">
        <x:v>interface authority</x:v>
      </x:c>
      <x:c r="K90" s="27" t="str">
        <x:v>OPEN</x:v>
      </x:c>
      <x:c r="L90" s="27" t="str">
        <x:v>HOLD</x:v>
      </x:c>
      <x:c r="M90" s="29" t="n">
        <x:v>0</x:v>
      </x:c>
    </x:row>
    <x:row r="91" ht="30" customHeight="1">
      <x:c r="B91" s="27" t="str">
        <x:v>EPS-P01-A01</x:v>
      </x:c>
      <x:c r="C91" s="27" t="str">
        <x:v>EPS-P01</x:v>
      </x:c>
      <x:c r="D91" s="27" t="str">
        <x:v>Independent energy</x:v>
      </x:c>
      <x:c r="E91" s="27" t="str">
        <x:v>A01</x:v>
      </x:c>
      <x:c r="F91" s="27" t="str">
        <x:v>mass and volume</x:v>
      </x:c>
      <x:c r="G91" s="27" t="str">
        <x:v>independent weigh and three-dimensional scan</x:v>
      </x:c>
      <x:c r="H91" s="27" t="str">
        <x:v>within frozen envelope including fixtures</x:v>
      </x:c>
      <x:c r="I91" s="27" t="str">
        <x:v>signed metrology record</x:v>
      </x:c>
      <x:c r="J91" s="27" t="str">
        <x:v>energy safety authority</x:v>
      </x:c>
      <x:c r="K91" s="27" t="str">
        <x:v>OPEN</x:v>
      </x:c>
      <x:c r="L91" s="27" t="str">
        <x:v>HOLD</x:v>
      </x:c>
      <x:c r="M91" s="29" t="n">
        <x:v>0</x:v>
      </x:c>
    </x:row>
    <x:row r="92" ht="30" customHeight="1">
      <x:c r="B92" s="27" t="str">
        <x:v>EPS-P01-A02</x:v>
      </x:c>
      <x:c r="C92" s="27" t="str">
        <x:v>EPS-P01</x:v>
      </x:c>
      <x:c r="D92" s="27" t="str">
        <x:v>Independent energy</x:v>
      </x:c>
      <x:c r="E92" s="27" t="str">
        <x:v>A02</x:v>
      </x:c>
      <x:c r="F92" s="27" t="str">
        <x:v>mass properties</x:v>
      </x:c>
      <x:c r="G92" s="27" t="str">
        <x:v>moment-table and suspension measurement</x:v>
      </x:c>
      <x:c r="H92" s="27" t="str">
        <x:v>inside registered center-of-gravity and inertia box</x:v>
      </x:c>
      <x:c r="I92" s="27" t="str">
        <x:v>mass-property certificate</x:v>
      </x:c>
      <x:c r="J92" s="27" t="str">
        <x:v>energy safety authority</x:v>
      </x:c>
      <x:c r="K92" s="27" t="str">
        <x:v>OPEN</x:v>
      </x:c>
      <x:c r="L92" s="27" t="str">
        <x:v>HOLD</x:v>
      </x:c>
      <x:c r="M92" s="29" t="n">
        <x:v>0</x:v>
      </x:c>
    </x:row>
    <x:row r="93" ht="30" customHeight="1">
      <x:c r="B93" s="27" t="str">
        <x:v>EPS-P01-A03</x:v>
      </x:c>
      <x:c r="C93" s="27" t="str">
        <x:v>EPS-P01</x:v>
      </x:c>
      <x:c r="D93" s="27" t="str">
        <x:v>Independent energy</x:v>
      </x:c>
      <x:c r="E93" s="27" t="str">
        <x:v>A03</x:v>
      </x:c>
      <x:c r="F93" s="27" t="str">
        <x:v>independent endurance</x:v>
      </x:c>
      <x:c r="G93" s="27" t="str">
        <x:v>168-hour isolated operation</x:v>
      </x:c>
      <x:c r="H93" s="27" t="str">
        <x:v>full interval plus 25 percent nameplate reserve</x:v>
      </x:c>
      <x:c r="I93" s="27" t="str">
        <x:v>energy and event record</x:v>
      </x:c>
      <x:c r="J93" s="27" t="str">
        <x:v>energy safety authority</x:v>
      </x:c>
      <x:c r="K93" s="27" t="str">
        <x:v>OPEN</x:v>
      </x:c>
      <x:c r="L93" s="27" t="str">
        <x:v>HOLD</x:v>
      </x:c>
      <x:c r="M93" s="29" t="n">
        <x:v>0</x:v>
      </x:c>
    </x:row>
    <x:row r="94" ht="30" customHeight="1">
      <x:c r="B94" s="27" t="str">
        <x:v>EPS-P01-A04</x:v>
      </x:c>
      <x:c r="C94" s="27" t="str">
        <x:v>EPS-P01</x:v>
      </x:c>
      <x:c r="D94" s="27" t="str">
        <x:v>Independent energy</x:v>
      </x:c>
      <x:c r="E94" s="27" t="str">
        <x:v>A04</x:v>
      </x:c>
      <x:c r="F94" s="27" t="str">
        <x:v>peak event capture</x:v>
      </x:c>
      <x:c r="G94" s="27" t="str">
        <x:v>registered simultaneous peak injection</x:v>
      </x:c>
      <x:c r="H94" s="27" t="str">
        <x:v>no brownout, loss or hidden reset</x:v>
      </x:c>
      <x:c r="I94" s="27" t="str">
        <x:v>peak waveform record</x:v>
      </x:c>
      <x:c r="J94" s="27" t="str">
        <x:v>energy safety authority</x:v>
      </x:c>
      <x:c r="K94" s="27" t="str">
        <x:v>OPEN</x:v>
      </x:c>
      <x:c r="L94" s="27" t="str">
        <x:v>HOLD</x:v>
      </x:c>
      <x:c r="M94" s="29" t="n">
        <x:v>0</x:v>
      </x:c>
    </x:row>
    <x:row r="95" ht="30" customHeight="1">
      <x:c r="B95" s="27" t="str">
        <x:v>EPS-P01-A05</x:v>
      </x:c>
      <x:c r="C95" s="27" t="str">
        <x:v>EPS-P01</x:v>
      </x:c>
      <x:c r="D95" s="27" t="str">
        <x:v>Independent energy</x:v>
      </x:c>
      <x:c r="E95" s="27" t="str">
        <x:v>A05</x:v>
      </x:c>
      <x:c r="F95" s="27" t="str">
        <x:v>outward heat rejection</x:v>
      </x:c>
      <x:c r="G95" s="27" t="str">
        <x:v>calorimetry at steady and peak state</x:v>
      </x:c>
      <x:c r="H95" s="27" t="str">
        <x:v>all evidence heat exits independent boundary</x:v>
      </x:c>
      <x:c r="I95" s="27" t="str">
        <x:v>calorimetry record</x:v>
      </x:c>
      <x:c r="J95" s="27" t="str">
        <x:v>energy safety authority</x:v>
      </x:c>
      <x:c r="K95" s="27" t="str">
        <x:v>OPEN</x:v>
      </x:c>
      <x:c r="L95" s="27" t="str">
        <x:v>HOLD</x:v>
      </x:c>
      <x:c r="M95" s="29" t="n">
        <x:v>0</x:v>
      </x:c>
    </x:row>
    <x:row r="96" ht="30" customHeight="1">
      <x:c r="B96" s="27" t="str">
        <x:v>EPS-P01-A06</x:v>
      </x:c>
      <x:c r="C96" s="27" t="str">
        <x:v>EPS-P01</x:v>
      </x:c>
      <x:c r="D96" s="27" t="str">
        <x:v>Independent energy</x:v>
      </x:c>
      <x:c r="E96" s="27" t="str">
        <x:v>A06</x:v>
      </x:c>
      <x:c r="F96" s="27" t="str">
        <x:v>complete local original</x:v>
      </x:c>
      <x:c r="G96" s="27" t="str">
        <x:v>total network loss and media fault</x:v>
      </x:c>
      <x:c r="H96" s="27" t="str">
        <x:v>registered interval and invalid states retained locally</x:v>
      </x:c>
      <x:c r="I96" s="27" t="str">
        <x:v>sealed original segments</x:v>
      </x:c>
      <x:c r="J96" s="27" t="str">
        <x:v>energy safety authority</x:v>
      </x:c>
      <x:c r="K96" s="27" t="str">
        <x:v>OPEN</x:v>
      </x:c>
      <x:c r="L96" s="27" t="str">
        <x:v>HOLD</x:v>
      </x:c>
      <x:c r="M96" s="29" t="n">
        <x:v>0</x:v>
      </x:c>
    </x:row>
    <x:row r="97" ht="30" customHeight="1">
      <x:c r="B97" s="27" t="str">
        <x:v>EPS-P01-A07</x:v>
      </x:c>
      <x:c r="C97" s="27" t="str">
        <x:v>EPS-P01</x:v>
      </x:c>
      <x:c r="D97" s="27" t="str">
        <x:v>Independent energy</x:v>
      </x:c>
      <x:c r="E97" s="27" t="str">
        <x:v>A07</x:v>
      </x:c>
      <x:c r="F97" s="27" t="str">
        <x:v>denied event time</x:v>
      </x:c>
      <x:c r="G97" s="27" t="str">
        <x:v>external time denial and delay insertion</x:v>
      </x:c>
      <x:c r="H97" s="27" t="str">
        <x:v>U95 at or below family allocation</x:v>
      </x:c>
      <x:c r="I97" s="27" t="str">
        <x:v>clock comparison record</x:v>
      </x:c>
      <x:c r="J97" s="27" t="str">
        <x:v>energy safety authority</x:v>
      </x:c>
      <x:c r="K97" s="27" t="str">
        <x:v>OPEN</x:v>
      </x:c>
      <x:c r="L97" s="27" t="str">
        <x:v>HOLD</x:v>
      </x:c>
      <x:c r="M97" s="29" t="n">
        <x:v>0</x:v>
      </x:c>
    </x:row>
    <x:row r="98" ht="30" customHeight="1">
      <x:c r="B98" s="27" t="str">
        <x:v>EPS-P01-A08</x:v>
      </x:c>
      <x:c r="C98" s="27" t="str">
        <x:v>EPS-P01</x:v>
      </x:c>
      <x:c r="D98" s="27" t="str">
        <x:v>Independent energy</x:v>
      </x:c>
      <x:c r="E98" s="27" t="str">
        <x:v>A08</x:v>
      </x:c>
      <x:c r="F98" s="27" t="str">
        <x:v>physical non-actuation</x:v>
      </x:c>
      <x:c r="G98" s="27" t="str">
        <x:v>reverse-energy injection and teardown</x:v>
      </x:c>
      <x:c r="H98" s="27" t="str">
        <x:v>zero conductive return, actuation or useful mission path</x:v>
      </x:c>
      <x:c r="I98" s="27" t="str">
        <x:v>teardown and injection record</x:v>
      </x:c>
      <x:c r="J98" s="27" t="str">
        <x:v>energy safety authority</x:v>
      </x:c>
      <x:c r="K98" s="27" t="str">
        <x:v>OPEN</x:v>
      </x:c>
      <x:c r="L98" s="27" t="str">
        <x:v>HOLD</x:v>
      </x:c>
      <x:c r="M98" s="29" t="n">
        <x:v>0</x:v>
      </x:c>
    </x:row>
    <x:row r="99" ht="30" customHeight="1">
      <x:c r="B99" s="27" t="str">
        <x:v>EPS-P01-A09</x:v>
      </x:c>
      <x:c r="C99" s="27" t="str">
        <x:v>EPS-P01</x:v>
      </x:c>
      <x:c r="D99" s="27" t="str">
        <x:v>Independent energy</x:v>
      </x:c>
      <x:c r="E99" s="27" t="str">
        <x:v>A09</x:v>
      </x:c>
      <x:c r="F99" s="27" t="str">
        <x:v>hazard survival</x:v>
      </x:c>
      <x:c r="G99" s="27" t="str">
        <x:v>family hazard sequence</x:v>
      </x:c>
      <x:c r="H99" s="27" t="str">
        <x:v>no silent state; declared survival or safe invalidation</x:v>
      </x:c>
      <x:c r="I99" s="27" t="str">
        <x:v>exposure record</x:v>
      </x:c>
      <x:c r="J99" s="27" t="str">
        <x:v>energy safety authority</x:v>
      </x:c>
      <x:c r="K99" s="27" t="str">
        <x:v>OPEN</x:v>
      </x:c>
      <x:c r="L99" s="27" t="str">
        <x:v>HOLD</x:v>
      </x:c>
      <x:c r="M99" s="29" t="n">
        <x:v>0</x:v>
      </x:c>
    </x:row>
    <x:row r="100" ht="30" customHeight="1">
      <x:c r="B100" s="27" t="str">
        <x:v>EPS-P01-A10</x:v>
      </x:c>
      <x:c r="C100" s="27" t="str">
        <x:v>EPS-P01</x:v>
      </x:c>
      <x:c r="D100" s="27" t="str">
        <x:v>Independent energy</x:v>
      </x:c>
      <x:c r="E100" s="27" t="str">
        <x:v>A10</x:v>
      </x:c>
      <x:c r="F100" s="27" t="str">
        <x:v>calibration stability</x:v>
      </x:c>
      <x:c r="G100" s="27" t="str">
        <x:v>traveling standard before and after hazard</x:v>
      </x:c>
      <x:c r="H100" s="27" t="str">
        <x:v>drift remains inside registered allocation</x:v>
      </x:c>
      <x:c r="I100" s="27" t="str">
        <x:v>calibration chain record</x:v>
      </x:c>
      <x:c r="J100" s="27" t="str">
        <x:v>energy safety authority</x:v>
      </x:c>
      <x:c r="K100" s="27" t="str">
        <x:v>OPEN</x:v>
      </x:c>
      <x:c r="L100" s="27" t="str">
        <x:v>HOLD</x:v>
      </x:c>
      <x:c r="M100" s="29" t="n">
        <x:v>0</x:v>
      </x:c>
    </x:row>
    <x:row r="101" ht="30" customHeight="1">
      <x:c r="B101" s="27" t="str">
        <x:v>EPS-P01-A11</x:v>
      </x:c>
      <x:c r="C101" s="27" t="str">
        <x:v>EPS-P01</x:v>
      </x:c>
      <x:c r="D101" s="27" t="str">
        <x:v>Independent energy</x:v>
      </x:c>
      <x:c r="E101" s="27" t="str">
        <x:v>A11</x:v>
      </x:c>
      <x:c r="F101" s="27" t="str">
        <x:v>maintenance and quarantine</x:v>
      </x:c>
      <x:c r="G101" s="27" t="str">
        <x:v>blinded removal, swap and decontamination</x:v>
      </x:c>
      <x:c r="H101" s="27" t="str">
        <x:v>time, tools and custody inside family limit</x:v>
      </x:c>
      <x:c r="I101" s="27" t="str">
        <x:v>maintenance video and custody record</x:v>
      </x:c>
      <x:c r="J101" s="27" t="str">
        <x:v>energy safety authority</x:v>
      </x:c>
      <x:c r="K101" s="27" t="str">
        <x:v>OPEN</x:v>
      </x:c>
      <x:c r="L101" s="27" t="str">
        <x:v>HOLD</x:v>
      </x:c>
      <x:c r="M101" s="29" t="n">
        <x:v>0</x:v>
      </x:c>
    </x:row>
    <x:row r="102" ht="30" customHeight="1">
      <x:c r="B102" s="27" t="str">
        <x:v>EPS-P01-A12</x:v>
      </x:c>
      <x:c r="C102" s="27" t="str">
        <x:v>EPS-P01</x:v>
      </x:c>
      <x:c r="D102" s="27" t="str">
        <x:v>Independent energy</x:v>
      </x:c>
      <x:c r="E102" s="27" t="str">
        <x:v>A12</x:v>
      </x:c>
      <x:c r="F102" s="27" t="str">
        <x:v>independent reproduction</x:v>
      </x:c>
      <x:c r="G102" s="27" t="str">
        <x:v>second team builds and tests frozen package</x:v>
      </x:c>
      <x:c r="H102" s="27" t="str">
        <x:v>same decision under distinct decisive ancestry</x:v>
      </x:c>
      <x:c r="I102" s="27" t="str">
        <x:v>second-lot acceptance record</x:v>
      </x:c>
      <x:c r="J102" s="27" t="str">
        <x:v>energy safety authority</x:v>
      </x:c>
      <x:c r="K102" s="27" t="str">
        <x:v>OPEN</x:v>
      </x:c>
      <x:c r="L102" s="27" t="str">
        <x:v>HOLD</x:v>
      </x:c>
      <x:c r="M102" s="29" t="n">
        <x:v>0</x:v>
      </x:c>
    </x:row>
    <x:row r="103" ht="30" customHeight="1">
      <x:c r="B103" s="27" t="str">
        <x:v>TKS-C01-A01</x:v>
      </x:c>
      <x:c r="C103" s="27" t="str">
        <x:v>TKS-C01</x:v>
      </x:c>
      <x:c r="D103" s="27" t="str">
        <x:v>Denied time</x:v>
      </x:c>
      <x:c r="E103" s="27" t="str">
        <x:v>A01</x:v>
      </x:c>
      <x:c r="F103" s="27" t="str">
        <x:v>mass and volume</x:v>
      </x:c>
      <x:c r="G103" s="27" t="str">
        <x:v>independent weigh and three-dimensional scan</x:v>
      </x:c>
      <x:c r="H103" s="27" t="str">
        <x:v>within frozen envelope including fixtures</x:v>
      </x:c>
      <x:c r="I103" s="27" t="str">
        <x:v>signed metrology record</x:v>
      </x:c>
      <x:c r="J103" s="27" t="str">
        <x:v>time authority</x:v>
      </x:c>
      <x:c r="K103" s="27" t="str">
        <x:v>OPEN</x:v>
      </x:c>
      <x:c r="L103" s="27" t="str">
        <x:v>HOLD</x:v>
      </x:c>
      <x:c r="M103" s="29" t="n">
        <x:v>0</x:v>
      </x:c>
    </x:row>
    <x:row r="104" ht="30" customHeight="1">
      <x:c r="B104" s="27" t="str">
        <x:v>TKS-C01-A02</x:v>
      </x:c>
      <x:c r="C104" s="27" t="str">
        <x:v>TKS-C01</x:v>
      </x:c>
      <x:c r="D104" s="27" t="str">
        <x:v>Denied time</x:v>
      </x:c>
      <x:c r="E104" s="27" t="str">
        <x:v>A02</x:v>
      </x:c>
      <x:c r="F104" s="27" t="str">
        <x:v>mass properties</x:v>
      </x:c>
      <x:c r="G104" s="27" t="str">
        <x:v>moment-table and suspension measurement</x:v>
      </x:c>
      <x:c r="H104" s="27" t="str">
        <x:v>inside registered center-of-gravity and inertia box</x:v>
      </x:c>
      <x:c r="I104" s="27" t="str">
        <x:v>mass-property certificate</x:v>
      </x:c>
      <x:c r="J104" s="27" t="str">
        <x:v>time authority</x:v>
      </x:c>
      <x:c r="K104" s="27" t="str">
        <x:v>OPEN</x:v>
      </x:c>
      <x:c r="L104" s="27" t="str">
        <x:v>HOLD</x:v>
      </x:c>
      <x:c r="M104" s="29" t="n">
        <x:v>0</x:v>
      </x:c>
    </x:row>
    <x:row r="105" ht="30" customHeight="1">
      <x:c r="B105" s="27" t="str">
        <x:v>TKS-C01-A03</x:v>
      </x:c>
      <x:c r="C105" s="27" t="str">
        <x:v>TKS-C01</x:v>
      </x:c>
      <x:c r="D105" s="27" t="str">
        <x:v>Denied time</x:v>
      </x:c>
      <x:c r="E105" s="27" t="str">
        <x:v>A03</x:v>
      </x:c>
      <x:c r="F105" s="27" t="str">
        <x:v>independent endurance</x:v>
      </x:c>
      <x:c r="G105" s="27" t="str">
        <x:v>168-hour isolated operation</x:v>
      </x:c>
      <x:c r="H105" s="27" t="str">
        <x:v>full interval plus 25 percent nameplate reserve</x:v>
      </x:c>
      <x:c r="I105" s="27" t="str">
        <x:v>energy and event record</x:v>
      </x:c>
      <x:c r="J105" s="27" t="str">
        <x:v>time authority</x:v>
      </x:c>
      <x:c r="K105" s="27" t="str">
        <x:v>OPEN</x:v>
      </x:c>
      <x:c r="L105" s="27" t="str">
        <x:v>HOLD</x:v>
      </x:c>
      <x:c r="M105" s="29" t="n">
        <x:v>0</x:v>
      </x:c>
    </x:row>
    <x:row r="106" ht="30" customHeight="1">
      <x:c r="B106" s="27" t="str">
        <x:v>TKS-C01-A04</x:v>
      </x:c>
      <x:c r="C106" s="27" t="str">
        <x:v>TKS-C01</x:v>
      </x:c>
      <x:c r="D106" s="27" t="str">
        <x:v>Denied time</x:v>
      </x:c>
      <x:c r="E106" s="27" t="str">
        <x:v>A04</x:v>
      </x:c>
      <x:c r="F106" s="27" t="str">
        <x:v>peak event capture</x:v>
      </x:c>
      <x:c r="G106" s="27" t="str">
        <x:v>registered simultaneous peak injection</x:v>
      </x:c>
      <x:c r="H106" s="27" t="str">
        <x:v>no brownout, loss or hidden reset</x:v>
      </x:c>
      <x:c r="I106" s="27" t="str">
        <x:v>peak waveform record</x:v>
      </x:c>
      <x:c r="J106" s="27" t="str">
        <x:v>time authority</x:v>
      </x:c>
      <x:c r="K106" s="27" t="str">
        <x:v>OPEN</x:v>
      </x:c>
      <x:c r="L106" s="27" t="str">
        <x:v>HOLD</x:v>
      </x:c>
      <x:c r="M106" s="29" t="n">
        <x:v>0</x:v>
      </x:c>
    </x:row>
    <x:row r="107" ht="30" customHeight="1">
      <x:c r="B107" s="27" t="str">
        <x:v>TKS-C01-A05</x:v>
      </x:c>
      <x:c r="C107" s="27" t="str">
        <x:v>TKS-C01</x:v>
      </x:c>
      <x:c r="D107" s="27" t="str">
        <x:v>Denied time</x:v>
      </x:c>
      <x:c r="E107" s="27" t="str">
        <x:v>A05</x:v>
      </x:c>
      <x:c r="F107" s="27" t="str">
        <x:v>outward heat rejection</x:v>
      </x:c>
      <x:c r="G107" s="27" t="str">
        <x:v>calorimetry at steady and peak state</x:v>
      </x:c>
      <x:c r="H107" s="27" t="str">
        <x:v>all evidence heat exits independent boundary</x:v>
      </x:c>
      <x:c r="I107" s="27" t="str">
        <x:v>calorimetry record</x:v>
      </x:c>
      <x:c r="J107" s="27" t="str">
        <x:v>time authority</x:v>
      </x:c>
      <x:c r="K107" s="27" t="str">
        <x:v>OPEN</x:v>
      </x:c>
      <x:c r="L107" s="27" t="str">
        <x:v>HOLD</x:v>
      </x:c>
      <x:c r="M107" s="29" t="n">
        <x:v>0</x:v>
      </x:c>
    </x:row>
    <x:row r="108" ht="30" customHeight="1">
      <x:c r="B108" s="27" t="str">
        <x:v>TKS-C01-A06</x:v>
      </x:c>
      <x:c r="C108" s="27" t="str">
        <x:v>TKS-C01</x:v>
      </x:c>
      <x:c r="D108" s="27" t="str">
        <x:v>Denied time</x:v>
      </x:c>
      <x:c r="E108" s="27" t="str">
        <x:v>A06</x:v>
      </x:c>
      <x:c r="F108" s="27" t="str">
        <x:v>complete local original</x:v>
      </x:c>
      <x:c r="G108" s="27" t="str">
        <x:v>total network loss and media fault</x:v>
      </x:c>
      <x:c r="H108" s="27" t="str">
        <x:v>registered interval and invalid states retained locally</x:v>
      </x:c>
      <x:c r="I108" s="27" t="str">
        <x:v>sealed original segments</x:v>
      </x:c>
      <x:c r="J108" s="27" t="str">
        <x:v>time authority</x:v>
      </x:c>
      <x:c r="K108" s="27" t="str">
        <x:v>OPEN</x:v>
      </x:c>
      <x:c r="L108" s="27" t="str">
        <x:v>HOLD</x:v>
      </x:c>
      <x:c r="M108" s="29" t="n">
        <x:v>0</x:v>
      </x:c>
    </x:row>
    <x:row r="109" ht="30" customHeight="1">
      <x:c r="B109" s="27" t="str">
        <x:v>TKS-C01-A07</x:v>
      </x:c>
      <x:c r="C109" s="27" t="str">
        <x:v>TKS-C01</x:v>
      </x:c>
      <x:c r="D109" s="27" t="str">
        <x:v>Denied time</x:v>
      </x:c>
      <x:c r="E109" s="27" t="str">
        <x:v>A07</x:v>
      </x:c>
      <x:c r="F109" s="27" t="str">
        <x:v>denied event time</x:v>
      </x:c>
      <x:c r="G109" s="27" t="str">
        <x:v>external time denial and delay insertion</x:v>
      </x:c>
      <x:c r="H109" s="27" t="str">
        <x:v>U95 at or below family allocation</x:v>
      </x:c>
      <x:c r="I109" s="27" t="str">
        <x:v>clock comparison record</x:v>
      </x:c>
      <x:c r="J109" s="27" t="str">
        <x:v>time authority</x:v>
      </x:c>
      <x:c r="K109" s="27" t="str">
        <x:v>OPEN</x:v>
      </x:c>
      <x:c r="L109" s="27" t="str">
        <x:v>HOLD</x:v>
      </x:c>
      <x:c r="M109" s="29" t="n">
        <x:v>0</x:v>
      </x:c>
    </x:row>
    <x:row r="110" ht="30" customHeight="1">
      <x:c r="B110" s="27" t="str">
        <x:v>TKS-C01-A08</x:v>
      </x:c>
      <x:c r="C110" s="27" t="str">
        <x:v>TKS-C01</x:v>
      </x:c>
      <x:c r="D110" s="27" t="str">
        <x:v>Denied time</x:v>
      </x:c>
      <x:c r="E110" s="27" t="str">
        <x:v>A08</x:v>
      </x:c>
      <x:c r="F110" s="27" t="str">
        <x:v>physical non-actuation</x:v>
      </x:c>
      <x:c r="G110" s="27" t="str">
        <x:v>reverse-energy injection and teardown</x:v>
      </x:c>
      <x:c r="H110" s="27" t="str">
        <x:v>zero conductive return, actuation or useful mission path</x:v>
      </x:c>
      <x:c r="I110" s="27" t="str">
        <x:v>teardown and injection record</x:v>
      </x:c>
      <x:c r="J110" s="27" t="str">
        <x:v>time authority</x:v>
      </x:c>
      <x:c r="K110" s="27" t="str">
        <x:v>OPEN</x:v>
      </x:c>
      <x:c r="L110" s="27" t="str">
        <x:v>HOLD</x:v>
      </x:c>
      <x:c r="M110" s="29" t="n">
        <x:v>0</x:v>
      </x:c>
    </x:row>
    <x:row r="111" ht="30" customHeight="1">
      <x:c r="B111" s="27" t="str">
        <x:v>TKS-C01-A09</x:v>
      </x:c>
      <x:c r="C111" s="27" t="str">
        <x:v>TKS-C01</x:v>
      </x:c>
      <x:c r="D111" s="27" t="str">
        <x:v>Denied time</x:v>
      </x:c>
      <x:c r="E111" s="27" t="str">
        <x:v>A09</x:v>
      </x:c>
      <x:c r="F111" s="27" t="str">
        <x:v>hazard survival</x:v>
      </x:c>
      <x:c r="G111" s="27" t="str">
        <x:v>family hazard sequence</x:v>
      </x:c>
      <x:c r="H111" s="27" t="str">
        <x:v>no silent state; declared survival or safe invalidation</x:v>
      </x:c>
      <x:c r="I111" s="27" t="str">
        <x:v>exposure record</x:v>
      </x:c>
      <x:c r="J111" s="27" t="str">
        <x:v>time authority</x:v>
      </x:c>
      <x:c r="K111" s="27" t="str">
        <x:v>OPEN</x:v>
      </x:c>
      <x:c r="L111" s="27" t="str">
        <x:v>HOLD</x:v>
      </x:c>
      <x:c r="M111" s="29" t="n">
        <x:v>0</x:v>
      </x:c>
    </x:row>
    <x:row r="112" ht="30" customHeight="1">
      <x:c r="B112" s="27" t="str">
        <x:v>TKS-C01-A10</x:v>
      </x:c>
      <x:c r="C112" s="27" t="str">
        <x:v>TKS-C01</x:v>
      </x:c>
      <x:c r="D112" s="27" t="str">
        <x:v>Denied time</x:v>
      </x:c>
      <x:c r="E112" s="27" t="str">
        <x:v>A10</x:v>
      </x:c>
      <x:c r="F112" s="27" t="str">
        <x:v>calibration stability</x:v>
      </x:c>
      <x:c r="G112" s="27" t="str">
        <x:v>traveling standard before and after hazard</x:v>
      </x:c>
      <x:c r="H112" s="27" t="str">
        <x:v>drift remains inside registered allocation</x:v>
      </x:c>
      <x:c r="I112" s="27" t="str">
        <x:v>calibration chain record</x:v>
      </x:c>
      <x:c r="J112" s="27" t="str">
        <x:v>time authority</x:v>
      </x:c>
      <x:c r="K112" s="27" t="str">
        <x:v>OPEN</x:v>
      </x:c>
      <x:c r="L112" s="27" t="str">
        <x:v>HOLD</x:v>
      </x:c>
      <x:c r="M112" s="29" t="n">
        <x:v>0</x:v>
      </x:c>
    </x:row>
    <x:row r="113" ht="30" customHeight="1">
      <x:c r="B113" s="27" t="str">
        <x:v>TKS-C01-A11</x:v>
      </x:c>
      <x:c r="C113" s="27" t="str">
        <x:v>TKS-C01</x:v>
      </x:c>
      <x:c r="D113" s="27" t="str">
        <x:v>Denied time</x:v>
      </x:c>
      <x:c r="E113" s="27" t="str">
        <x:v>A11</x:v>
      </x:c>
      <x:c r="F113" s="27" t="str">
        <x:v>maintenance and quarantine</x:v>
      </x:c>
      <x:c r="G113" s="27" t="str">
        <x:v>blinded removal, swap and decontamination</x:v>
      </x:c>
      <x:c r="H113" s="27" t="str">
        <x:v>time, tools and custody inside family limit</x:v>
      </x:c>
      <x:c r="I113" s="27" t="str">
        <x:v>maintenance video and custody record</x:v>
      </x:c>
      <x:c r="J113" s="27" t="str">
        <x:v>time authority</x:v>
      </x:c>
      <x:c r="K113" s="27" t="str">
        <x:v>OPEN</x:v>
      </x:c>
      <x:c r="L113" s="27" t="str">
        <x:v>HOLD</x:v>
      </x:c>
      <x:c r="M113" s="29" t="n">
        <x:v>0</x:v>
      </x:c>
    </x:row>
    <x:row r="114" ht="30" customHeight="1">
      <x:c r="B114" s="27" t="str">
        <x:v>TKS-C01-A12</x:v>
      </x:c>
      <x:c r="C114" s="27" t="str">
        <x:v>TKS-C01</x:v>
      </x:c>
      <x:c r="D114" s="27" t="str">
        <x:v>Denied time</x:v>
      </x:c>
      <x:c r="E114" s="27" t="str">
        <x:v>A12</x:v>
      </x:c>
      <x:c r="F114" s="27" t="str">
        <x:v>independent reproduction</x:v>
      </x:c>
      <x:c r="G114" s="27" t="str">
        <x:v>second team builds and tests frozen package</x:v>
      </x:c>
      <x:c r="H114" s="27" t="str">
        <x:v>same decision under distinct decisive ancestry</x:v>
      </x:c>
      <x:c r="I114" s="27" t="str">
        <x:v>second-lot acceptance record</x:v>
      </x:c>
      <x:c r="J114" s="27" t="str">
        <x:v>time authority</x:v>
      </x:c>
      <x:c r="K114" s="27" t="str">
        <x:v>OPEN</x:v>
      </x:c>
      <x:c r="L114" s="27" t="str">
        <x:v>HOLD</x:v>
      </x:c>
      <x:c r="M114" s="29" t="n">
        <x:v>0</x:v>
      </x:c>
    </x:row>
    <x:row r="115" ht="30" customHeight="1">
      <x:c r="B115" s="27" t="str">
        <x:v>STG-S01-A01</x:v>
      </x:c>
      <x:c r="C115" s="27" t="str">
        <x:v>STG-S01</x:v>
      </x:c>
      <x:c r="D115" s="27" t="str">
        <x:v>Immutable storage</x:v>
      </x:c>
      <x:c r="E115" s="27" t="str">
        <x:v>A01</x:v>
      </x:c>
      <x:c r="F115" s="27" t="str">
        <x:v>mass and volume</x:v>
      </x:c>
      <x:c r="G115" s="27" t="str">
        <x:v>independent weigh and three-dimensional scan</x:v>
      </x:c>
      <x:c r="H115" s="27" t="str">
        <x:v>within frozen envelope including fixtures</x:v>
      </x:c>
      <x:c r="I115" s="27" t="str">
        <x:v>signed metrology record</x:v>
      </x:c>
      <x:c r="J115" s="27" t="str">
        <x:v>data authority</x:v>
      </x:c>
      <x:c r="K115" s="27" t="str">
        <x:v>OPEN</x:v>
      </x:c>
      <x:c r="L115" s="27" t="str">
        <x:v>HOLD</x:v>
      </x:c>
      <x:c r="M115" s="29" t="n">
        <x:v>0</x:v>
      </x:c>
    </x:row>
    <x:row r="116" ht="30" customHeight="1">
      <x:c r="B116" s="27" t="str">
        <x:v>STG-S01-A02</x:v>
      </x:c>
      <x:c r="C116" s="27" t="str">
        <x:v>STG-S01</x:v>
      </x:c>
      <x:c r="D116" s="27" t="str">
        <x:v>Immutable storage</x:v>
      </x:c>
      <x:c r="E116" s="27" t="str">
        <x:v>A02</x:v>
      </x:c>
      <x:c r="F116" s="27" t="str">
        <x:v>mass properties</x:v>
      </x:c>
      <x:c r="G116" s="27" t="str">
        <x:v>moment-table and suspension measurement</x:v>
      </x:c>
      <x:c r="H116" s="27" t="str">
        <x:v>inside registered center-of-gravity and inertia box</x:v>
      </x:c>
      <x:c r="I116" s="27" t="str">
        <x:v>mass-property certificate</x:v>
      </x:c>
      <x:c r="J116" s="27" t="str">
        <x:v>data authority</x:v>
      </x:c>
      <x:c r="K116" s="27" t="str">
        <x:v>OPEN</x:v>
      </x:c>
      <x:c r="L116" s="27" t="str">
        <x:v>HOLD</x:v>
      </x:c>
      <x:c r="M116" s="29" t="n">
        <x:v>0</x:v>
      </x:c>
    </x:row>
    <x:row r="117" ht="30" customHeight="1">
      <x:c r="B117" s="27" t="str">
        <x:v>STG-S01-A03</x:v>
      </x:c>
      <x:c r="C117" s="27" t="str">
        <x:v>STG-S01</x:v>
      </x:c>
      <x:c r="D117" s="27" t="str">
        <x:v>Immutable storage</x:v>
      </x:c>
      <x:c r="E117" s="27" t="str">
        <x:v>A03</x:v>
      </x:c>
      <x:c r="F117" s="27" t="str">
        <x:v>independent endurance</x:v>
      </x:c>
      <x:c r="G117" s="27" t="str">
        <x:v>168-hour isolated operation</x:v>
      </x:c>
      <x:c r="H117" s="27" t="str">
        <x:v>full interval plus 25 percent nameplate reserve</x:v>
      </x:c>
      <x:c r="I117" s="27" t="str">
        <x:v>energy and event record</x:v>
      </x:c>
      <x:c r="J117" s="27" t="str">
        <x:v>data authority</x:v>
      </x:c>
      <x:c r="K117" s="27" t="str">
        <x:v>OPEN</x:v>
      </x:c>
      <x:c r="L117" s="27" t="str">
        <x:v>HOLD</x:v>
      </x:c>
      <x:c r="M117" s="29" t="n">
        <x:v>0</x:v>
      </x:c>
    </x:row>
    <x:row r="118" ht="30" customHeight="1">
      <x:c r="B118" s="27" t="str">
        <x:v>STG-S01-A04</x:v>
      </x:c>
      <x:c r="C118" s="27" t="str">
        <x:v>STG-S01</x:v>
      </x:c>
      <x:c r="D118" s="27" t="str">
        <x:v>Immutable storage</x:v>
      </x:c>
      <x:c r="E118" s="27" t="str">
        <x:v>A04</x:v>
      </x:c>
      <x:c r="F118" s="27" t="str">
        <x:v>peak event capture</x:v>
      </x:c>
      <x:c r="G118" s="27" t="str">
        <x:v>registered simultaneous peak injection</x:v>
      </x:c>
      <x:c r="H118" s="27" t="str">
        <x:v>no brownout, loss or hidden reset</x:v>
      </x:c>
      <x:c r="I118" s="27" t="str">
        <x:v>peak waveform record</x:v>
      </x:c>
      <x:c r="J118" s="27" t="str">
        <x:v>data authority</x:v>
      </x:c>
      <x:c r="K118" s="27" t="str">
        <x:v>OPEN</x:v>
      </x:c>
      <x:c r="L118" s="27" t="str">
        <x:v>HOLD</x:v>
      </x:c>
      <x:c r="M118" s="29" t="n">
        <x:v>0</x:v>
      </x:c>
    </x:row>
    <x:row r="119" ht="30" customHeight="1">
      <x:c r="B119" s="27" t="str">
        <x:v>STG-S01-A05</x:v>
      </x:c>
      <x:c r="C119" s="27" t="str">
        <x:v>STG-S01</x:v>
      </x:c>
      <x:c r="D119" s="27" t="str">
        <x:v>Immutable storage</x:v>
      </x:c>
      <x:c r="E119" s="27" t="str">
        <x:v>A05</x:v>
      </x:c>
      <x:c r="F119" s="27" t="str">
        <x:v>outward heat rejection</x:v>
      </x:c>
      <x:c r="G119" s="27" t="str">
        <x:v>calorimetry at steady and peak state</x:v>
      </x:c>
      <x:c r="H119" s="27" t="str">
        <x:v>all evidence heat exits independent boundary</x:v>
      </x:c>
      <x:c r="I119" s="27" t="str">
        <x:v>calorimetry record</x:v>
      </x:c>
      <x:c r="J119" s="27" t="str">
        <x:v>data authority</x:v>
      </x:c>
      <x:c r="K119" s="27" t="str">
        <x:v>OPEN</x:v>
      </x:c>
      <x:c r="L119" s="27" t="str">
        <x:v>HOLD</x:v>
      </x:c>
      <x:c r="M119" s="29" t="n">
        <x:v>0</x:v>
      </x:c>
    </x:row>
    <x:row r="120" ht="30" customHeight="1">
      <x:c r="B120" s="27" t="str">
        <x:v>STG-S01-A06</x:v>
      </x:c>
      <x:c r="C120" s="27" t="str">
        <x:v>STG-S01</x:v>
      </x:c>
      <x:c r="D120" s="27" t="str">
        <x:v>Immutable storage</x:v>
      </x:c>
      <x:c r="E120" s="27" t="str">
        <x:v>A06</x:v>
      </x:c>
      <x:c r="F120" s="27" t="str">
        <x:v>complete local original</x:v>
      </x:c>
      <x:c r="G120" s="27" t="str">
        <x:v>total network loss and media fault</x:v>
      </x:c>
      <x:c r="H120" s="27" t="str">
        <x:v>registered interval and invalid states retained locally</x:v>
      </x:c>
      <x:c r="I120" s="27" t="str">
        <x:v>sealed original segments</x:v>
      </x:c>
      <x:c r="J120" s="27" t="str">
        <x:v>data authority</x:v>
      </x:c>
      <x:c r="K120" s="27" t="str">
        <x:v>OPEN</x:v>
      </x:c>
      <x:c r="L120" s="27" t="str">
        <x:v>HOLD</x:v>
      </x:c>
      <x:c r="M120" s="29" t="n">
        <x:v>0</x:v>
      </x:c>
    </x:row>
    <x:row r="121" ht="30" customHeight="1">
      <x:c r="B121" s="27" t="str">
        <x:v>STG-S01-A07</x:v>
      </x:c>
      <x:c r="C121" s="27" t="str">
        <x:v>STG-S01</x:v>
      </x:c>
      <x:c r="D121" s="27" t="str">
        <x:v>Immutable storage</x:v>
      </x:c>
      <x:c r="E121" s="27" t="str">
        <x:v>A07</x:v>
      </x:c>
      <x:c r="F121" s="27" t="str">
        <x:v>denied event time</x:v>
      </x:c>
      <x:c r="G121" s="27" t="str">
        <x:v>external time denial and delay insertion</x:v>
      </x:c>
      <x:c r="H121" s="27" t="str">
        <x:v>U95 at or below family allocation</x:v>
      </x:c>
      <x:c r="I121" s="27" t="str">
        <x:v>clock comparison record</x:v>
      </x:c>
      <x:c r="J121" s="27" t="str">
        <x:v>data authority</x:v>
      </x:c>
      <x:c r="K121" s="27" t="str">
        <x:v>OPEN</x:v>
      </x:c>
      <x:c r="L121" s="27" t="str">
        <x:v>HOLD</x:v>
      </x:c>
      <x:c r="M121" s="29" t="n">
        <x:v>0</x:v>
      </x:c>
    </x:row>
    <x:row r="122" ht="30" customHeight="1">
      <x:c r="B122" s="27" t="str">
        <x:v>STG-S01-A08</x:v>
      </x:c>
      <x:c r="C122" s="27" t="str">
        <x:v>STG-S01</x:v>
      </x:c>
      <x:c r="D122" s="27" t="str">
        <x:v>Immutable storage</x:v>
      </x:c>
      <x:c r="E122" s="27" t="str">
        <x:v>A08</x:v>
      </x:c>
      <x:c r="F122" s="27" t="str">
        <x:v>physical non-actuation</x:v>
      </x:c>
      <x:c r="G122" s="27" t="str">
        <x:v>reverse-energy injection and teardown</x:v>
      </x:c>
      <x:c r="H122" s="27" t="str">
        <x:v>zero conductive return, actuation or useful mission path</x:v>
      </x:c>
      <x:c r="I122" s="27" t="str">
        <x:v>teardown and injection record</x:v>
      </x:c>
      <x:c r="J122" s="27" t="str">
        <x:v>data authority</x:v>
      </x:c>
      <x:c r="K122" s="27" t="str">
        <x:v>OPEN</x:v>
      </x:c>
      <x:c r="L122" s="27" t="str">
        <x:v>HOLD</x:v>
      </x:c>
      <x:c r="M122" s="29" t="n">
        <x:v>0</x:v>
      </x:c>
    </x:row>
    <x:row r="123" ht="30" customHeight="1">
      <x:c r="B123" s="27" t="str">
        <x:v>STG-S01-A09</x:v>
      </x:c>
      <x:c r="C123" s="27" t="str">
        <x:v>STG-S01</x:v>
      </x:c>
      <x:c r="D123" s="27" t="str">
        <x:v>Immutable storage</x:v>
      </x:c>
      <x:c r="E123" s="27" t="str">
        <x:v>A09</x:v>
      </x:c>
      <x:c r="F123" s="27" t="str">
        <x:v>hazard survival</x:v>
      </x:c>
      <x:c r="G123" s="27" t="str">
        <x:v>family hazard sequence</x:v>
      </x:c>
      <x:c r="H123" s="27" t="str">
        <x:v>no silent state; declared survival or safe invalidation</x:v>
      </x:c>
      <x:c r="I123" s="27" t="str">
        <x:v>exposure record</x:v>
      </x:c>
      <x:c r="J123" s="27" t="str">
        <x:v>data authority</x:v>
      </x:c>
      <x:c r="K123" s="27" t="str">
        <x:v>OPEN</x:v>
      </x:c>
      <x:c r="L123" s="27" t="str">
        <x:v>HOLD</x:v>
      </x:c>
      <x:c r="M123" s="29" t="n">
        <x:v>0</x:v>
      </x:c>
    </x:row>
    <x:row r="124" ht="30" customHeight="1">
      <x:c r="B124" s="27" t="str">
        <x:v>STG-S01-A10</x:v>
      </x:c>
      <x:c r="C124" s="27" t="str">
        <x:v>STG-S01</x:v>
      </x:c>
      <x:c r="D124" s="27" t="str">
        <x:v>Immutable storage</x:v>
      </x:c>
      <x:c r="E124" s="27" t="str">
        <x:v>A10</x:v>
      </x:c>
      <x:c r="F124" s="27" t="str">
        <x:v>calibration stability</x:v>
      </x:c>
      <x:c r="G124" s="27" t="str">
        <x:v>traveling standard before and after hazard</x:v>
      </x:c>
      <x:c r="H124" s="27" t="str">
        <x:v>drift remains inside registered allocation</x:v>
      </x:c>
      <x:c r="I124" s="27" t="str">
        <x:v>calibration chain record</x:v>
      </x:c>
      <x:c r="J124" s="27" t="str">
        <x:v>data authority</x:v>
      </x:c>
      <x:c r="K124" s="27" t="str">
        <x:v>OPEN</x:v>
      </x:c>
      <x:c r="L124" s="27" t="str">
        <x:v>HOLD</x:v>
      </x:c>
      <x:c r="M124" s="29" t="n">
        <x:v>0</x:v>
      </x:c>
    </x:row>
    <x:row r="125" ht="30" customHeight="1">
      <x:c r="B125" s="27" t="str">
        <x:v>STG-S01-A11</x:v>
      </x:c>
      <x:c r="C125" s="27" t="str">
        <x:v>STG-S01</x:v>
      </x:c>
      <x:c r="D125" s="27" t="str">
        <x:v>Immutable storage</x:v>
      </x:c>
      <x:c r="E125" s="27" t="str">
        <x:v>A11</x:v>
      </x:c>
      <x:c r="F125" s="27" t="str">
        <x:v>maintenance and quarantine</x:v>
      </x:c>
      <x:c r="G125" s="27" t="str">
        <x:v>blinded removal, swap and decontamination</x:v>
      </x:c>
      <x:c r="H125" s="27" t="str">
        <x:v>time, tools and custody inside family limit</x:v>
      </x:c>
      <x:c r="I125" s="27" t="str">
        <x:v>maintenance video and custody record</x:v>
      </x:c>
      <x:c r="J125" s="27" t="str">
        <x:v>data authority</x:v>
      </x:c>
      <x:c r="K125" s="27" t="str">
        <x:v>OPEN</x:v>
      </x:c>
      <x:c r="L125" s="27" t="str">
        <x:v>HOLD</x:v>
      </x:c>
      <x:c r="M125" s="29" t="n">
        <x:v>0</x:v>
      </x:c>
    </x:row>
    <x:row r="126" ht="30" customHeight="1">
      <x:c r="B126" s="27" t="str">
        <x:v>STG-S01-A12</x:v>
      </x:c>
      <x:c r="C126" s="27" t="str">
        <x:v>STG-S01</x:v>
      </x:c>
      <x:c r="D126" s="27" t="str">
        <x:v>Immutable storage</x:v>
      </x:c>
      <x:c r="E126" s="27" t="str">
        <x:v>A12</x:v>
      </x:c>
      <x:c r="F126" s="27" t="str">
        <x:v>independent reproduction</x:v>
      </x:c>
      <x:c r="G126" s="27" t="str">
        <x:v>second team builds and tests frozen package</x:v>
      </x:c>
      <x:c r="H126" s="27" t="str">
        <x:v>same decision under distinct decisive ancestry</x:v>
      </x:c>
      <x:c r="I126" s="27" t="str">
        <x:v>second-lot acceptance record</x:v>
      </x:c>
      <x:c r="J126" s="27" t="str">
        <x:v>data authority</x:v>
      </x:c>
      <x:c r="K126" s="27" t="str">
        <x:v>OPEN</x:v>
      </x:c>
      <x:c r="L126" s="27" t="str">
        <x:v>HOLD</x:v>
      </x:c>
      <x:c r="M126" s="29" t="n">
        <x:v>0</x:v>
      </x:c>
    </x:row>
    <x:row r="127" ht="30" customHeight="1">
      <x:c r="B127" s="27" t="str">
        <x:v>MHE-E01-A01</x:v>
      </x:c>
      <x:c r="C127" s="27" t="str">
        <x:v>MHE-E01</x:v>
      </x:c>
      <x:c r="D127" s="27" t="str">
        <x:v>Mass and heat emulator</x:v>
      </x:c>
      <x:c r="E127" s="27" t="str">
        <x:v>A01</x:v>
      </x:c>
      <x:c r="F127" s="27" t="str">
        <x:v>mass and volume</x:v>
      </x:c>
      <x:c r="G127" s="27" t="str">
        <x:v>independent weigh and three-dimensional scan</x:v>
      </x:c>
      <x:c r="H127" s="27" t="str">
        <x:v>within frozen envelope including fixtures</x:v>
      </x:c>
      <x:c r="I127" s="27" t="str">
        <x:v>signed metrology record</x:v>
      </x:c>
      <x:c r="J127" s="27" t="str">
        <x:v>equivalence authority</x:v>
      </x:c>
      <x:c r="K127" s="27" t="str">
        <x:v>OPEN</x:v>
      </x:c>
      <x:c r="L127" s="27" t="str">
        <x:v>HOLD</x:v>
      </x:c>
      <x:c r="M127" s="29" t="n">
        <x:v>0</x:v>
      </x:c>
    </x:row>
    <x:row r="128" ht="30" customHeight="1">
      <x:c r="B128" s="27" t="str">
        <x:v>MHE-E01-A02</x:v>
      </x:c>
      <x:c r="C128" s="27" t="str">
        <x:v>MHE-E01</x:v>
      </x:c>
      <x:c r="D128" s="27" t="str">
        <x:v>Mass and heat emulator</x:v>
      </x:c>
      <x:c r="E128" s="27" t="str">
        <x:v>A02</x:v>
      </x:c>
      <x:c r="F128" s="27" t="str">
        <x:v>mass properties</x:v>
      </x:c>
      <x:c r="G128" s="27" t="str">
        <x:v>moment-table and suspension measurement</x:v>
      </x:c>
      <x:c r="H128" s="27" t="str">
        <x:v>inside registered center-of-gravity and inertia box</x:v>
      </x:c>
      <x:c r="I128" s="27" t="str">
        <x:v>mass-property certificate</x:v>
      </x:c>
      <x:c r="J128" s="27" t="str">
        <x:v>equivalence authority</x:v>
      </x:c>
      <x:c r="K128" s="27" t="str">
        <x:v>OPEN</x:v>
      </x:c>
      <x:c r="L128" s="27" t="str">
        <x:v>HOLD</x:v>
      </x:c>
      <x:c r="M128" s="29" t="n">
        <x:v>0</x:v>
      </x:c>
    </x:row>
    <x:row r="129" ht="30" customHeight="1">
      <x:c r="B129" s="27" t="str">
        <x:v>MHE-E01-A03</x:v>
      </x:c>
      <x:c r="C129" s="27" t="str">
        <x:v>MHE-E01</x:v>
      </x:c>
      <x:c r="D129" s="27" t="str">
        <x:v>Mass and heat emulator</x:v>
      </x:c>
      <x:c r="E129" s="27" t="str">
        <x:v>A03</x:v>
      </x:c>
      <x:c r="F129" s="27" t="str">
        <x:v>independent endurance</x:v>
      </x:c>
      <x:c r="G129" s="27" t="str">
        <x:v>168-hour isolated operation</x:v>
      </x:c>
      <x:c r="H129" s="27" t="str">
        <x:v>full interval plus 25 percent nameplate reserve</x:v>
      </x:c>
      <x:c r="I129" s="27" t="str">
        <x:v>energy and event record</x:v>
      </x:c>
      <x:c r="J129" s="27" t="str">
        <x:v>equivalence authority</x:v>
      </x:c>
      <x:c r="K129" s="27" t="str">
        <x:v>OPEN</x:v>
      </x:c>
      <x:c r="L129" s="27" t="str">
        <x:v>HOLD</x:v>
      </x:c>
      <x:c r="M129" s="29" t="n">
        <x:v>0</x:v>
      </x:c>
    </x:row>
    <x:row r="130" ht="30" customHeight="1">
      <x:c r="B130" s="27" t="str">
        <x:v>MHE-E01-A04</x:v>
      </x:c>
      <x:c r="C130" s="27" t="str">
        <x:v>MHE-E01</x:v>
      </x:c>
      <x:c r="D130" s="27" t="str">
        <x:v>Mass and heat emulator</x:v>
      </x:c>
      <x:c r="E130" s="27" t="str">
        <x:v>A04</x:v>
      </x:c>
      <x:c r="F130" s="27" t="str">
        <x:v>peak event capture</x:v>
      </x:c>
      <x:c r="G130" s="27" t="str">
        <x:v>registered simultaneous peak injection</x:v>
      </x:c>
      <x:c r="H130" s="27" t="str">
        <x:v>no brownout, loss or hidden reset</x:v>
      </x:c>
      <x:c r="I130" s="27" t="str">
        <x:v>peak waveform record</x:v>
      </x:c>
      <x:c r="J130" s="27" t="str">
        <x:v>equivalence authority</x:v>
      </x:c>
      <x:c r="K130" s="27" t="str">
        <x:v>OPEN</x:v>
      </x:c>
      <x:c r="L130" s="27" t="str">
        <x:v>HOLD</x:v>
      </x:c>
      <x:c r="M130" s="29" t="n">
        <x:v>0</x:v>
      </x:c>
    </x:row>
    <x:row r="131" ht="30" customHeight="1">
      <x:c r="B131" s="27" t="str">
        <x:v>MHE-E01-A05</x:v>
      </x:c>
      <x:c r="C131" s="27" t="str">
        <x:v>MHE-E01</x:v>
      </x:c>
      <x:c r="D131" s="27" t="str">
        <x:v>Mass and heat emulator</x:v>
      </x:c>
      <x:c r="E131" s="27" t="str">
        <x:v>A05</x:v>
      </x:c>
      <x:c r="F131" s="27" t="str">
        <x:v>outward heat rejection</x:v>
      </x:c>
      <x:c r="G131" s="27" t="str">
        <x:v>calorimetry at steady and peak state</x:v>
      </x:c>
      <x:c r="H131" s="27" t="str">
        <x:v>all evidence heat exits independent boundary</x:v>
      </x:c>
      <x:c r="I131" s="27" t="str">
        <x:v>calorimetry record</x:v>
      </x:c>
      <x:c r="J131" s="27" t="str">
        <x:v>equivalence authority</x:v>
      </x:c>
      <x:c r="K131" s="27" t="str">
        <x:v>OPEN</x:v>
      </x:c>
      <x:c r="L131" s="27" t="str">
        <x:v>HOLD</x:v>
      </x:c>
      <x:c r="M131" s="29" t="n">
        <x:v>0</x:v>
      </x:c>
    </x:row>
    <x:row r="132" ht="30" customHeight="1">
      <x:c r="B132" s="27" t="str">
        <x:v>MHE-E01-A06</x:v>
      </x:c>
      <x:c r="C132" s="27" t="str">
        <x:v>MHE-E01</x:v>
      </x:c>
      <x:c r="D132" s="27" t="str">
        <x:v>Mass and heat emulator</x:v>
      </x:c>
      <x:c r="E132" s="27" t="str">
        <x:v>A06</x:v>
      </x:c>
      <x:c r="F132" s="27" t="str">
        <x:v>complete local original</x:v>
      </x:c>
      <x:c r="G132" s="27" t="str">
        <x:v>total network loss and media fault</x:v>
      </x:c>
      <x:c r="H132" s="27" t="str">
        <x:v>registered interval and invalid states retained locally</x:v>
      </x:c>
      <x:c r="I132" s="27" t="str">
        <x:v>sealed original segments</x:v>
      </x:c>
      <x:c r="J132" s="27" t="str">
        <x:v>equivalence authority</x:v>
      </x:c>
      <x:c r="K132" s="27" t="str">
        <x:v>OPEN</x:v>
      </x:c>
      <x:c r="L132" s="27" t="str">
        <x:v>HOLD</x:v>
      </x:c>
      <x:c r="M132" s="29" t="n">
        <x:v>0</x:v>
      </x:c>
    </x:row>
    <x:row r="133" ht="30" customHeight="1">
      <x:c r="B133" s="27" t="str">
        <x:v>MHE-E01-A07</x:v>
      </x:c>
      <x:c r="C133" s="27" t="str">
        <x:v>MHE-E01</x:v>
      </x:c>
      <x:c r="D133" s="27" t="str">
        <x:v>Mass and heat emulator</x:v>
      </x:c>
      <x:c r="E133" s="27" t="str">
        <x:v>A07</x:v>
      </x:c>
      <x:c r="F133" s="27" t="str">
        <x:v>denied event time</x:v>
      </x:c>
      <x:c r="G133" s="27" t="str">
        <x:v>external time denial and delay insertion</x:v>
      </x:c>
      <x:c r="H133" s="27" t="str">
        <x:v>U95 at or below family allocation</x:v>
      </x:c>
      <x:c r="I133" s="27" t="str">
        <x:v>clock comparison record</x:v>
      </x:c>
      <x:c r="J133" s="27" t="str">
        <x:v>equivalence authority</x:v>
      </x:c>
      <x:c r="K133" s="27" t="str">
        <x:v>OPEN</x:v>
      </x:c>
      <x:c r="L133" s="27" t="str">
        <x:v>HOLD</x:v>
      </x:c>
      <x:c r="M133" s="29" t="n">
        <x:v>0</x:v>
      </x:c>
    </x:row>
    <x:row r="134" ht="30" customHeight="1">
      <x:c r="B134" s="27" t="str">
        <x:v>MHE-E01-A08</x:v>
      </x:c>
      <x:c r="C134" s="27" t="str">
        <x:v>MHE-E01</x:v>
      </x:c>
      <x:c r="D134" s="27" t="str">
        <x:v>Mass and heat emulator</x:v>
      </x:c>
      <x:c r="E134" s="27" t="str">
        <x:v>A08</x:v>
      </x:c>
      <x:c r="F134" s="27" t="str">
        <x:v>physical non-actuation</x:v>
      </x:c>
      <x:c r="G134" s="27" t="str">
        <x:v>reverse-energy injection and teardown</x:v>
      </x:c>
      <x:c r="H134" s="27" t="str">
        <x:v>zero conductive return, actuation or useful mission path</x:v>
      </x:c>
      <x:c r="I134" s="27" t="str">
        <x:v>teardown and injection record</x:v>
      </x:c>
      <x:c r="J134" s="27" t="str">
        <x:v>equivalence authority</x:v>
      </x:c>
      <x:c r="K134" s="27" t="str">
        <x:v>OPEN</x:v>
      </x:c>
      <x:c r="L134" s="27" t="str">
        <x:v>HOLD</x:v>
      </x:c>
      <x:c r="M134" s="29" t="n">
        <x:v>0</x:v>
      </x:c>
    </x:row>
    <x:row r="135" ht="30" customHeight="1">
      <x:c r="B135" s="27" t="str">
        <x:v>MHE-E01-A09</x:v>
      </x:c>
      <x:c r="C135" s="27" t="str">
        <x:v>MHE-E01</x:v>
      </x:c>
      <x:c r="D135" s="27" t="str">
        <x:v>Mass and heat emulator</x:v>
      </x:c>
      <x:c r="E135" s="27" t="str">
        <x:v>A09</x:v>
      </x:c>
      <x:c r="F135" s="27" t="str">
        <x:v>hazard survival</x:v>
      </x:c>
      <x:c r="G135" s="27" t="str">
        <x:v>family hazard sequence</x:v>
      </x:c>
      <x:c r="H135" s="27" t="str">
        <x:v>no silent state; declared survival or safe invalidation</x:v>
      </x:c>
      <x:c r="I135" s="27" t="str">
        <x:v>exposure record</x:v>
      </x:c>
      <x:c r="J135" s="27" t="str">
        <x:v>equivalence authority</x:v>
      </x:c>
      <x:c r="K135" s="27" t="str">
        <x:v>OPEN</x:v>
      </x:c>
      <x:c r="L135" s="27" t="str">
        <x:v>HOLD</x:v>
      </x:c>
      <x:c r="M135" s="29" t="n">
        <x:v>0</x:v>
      </x:c>
    </x:row>
    <x:row r="136" ht="30" customHeight="1">
      <x:c r="B136" s="27" t="str">
        <x:v>MHE-E01-A10</x:v>
      </x:c>
      <x:c r="C136" s="27" t="str">
        <x:v>MHE-E01</x:v>
      </x:c>
      <x:c r="D136" s="27" t="str">
        <x:v>Mass and heat emulator</x:v>
      </x:c>
      <x:c r="E136" s="27" t="str">
        <x:v>A10</x:v>
      </x:c>
      <x:c r="F136" s="27" t="str">
        <x:v>calibration stability</x:v>
      </x:c>
      <x:c r="G136" s="27" t="str">
        <x:v>traveling standard before and after hazard</x:v>
      </x:c>
      <x:c r="H136" s="27" t="str">
        <x:v>drift remains inside registered allocation</x:v>
      </x:c>
      <x:c r="I136" s="27" t="str">
        <x:v>calibration chain record</x:v>
      </x:c>
      <x:c r="J136" s="27" t="str">
        <x:v>equivalence authority</x:v>
      </x:c>
      <x:c r="K136" s="27" t="str">
        <x:v>OPEN</x:v>
      </x:c>
      <x:c r="L136" s="27" t="str">
        <x:v>HOLD</x:v>
      </x:c>
      <x:c r="M136" s="29" t="n">
        <x:v>0</x:v>
      </x:c>
    </x:row>
    <x:row r="137" ht="30" customHeight="1">
      <x:c r="B137" s="27" t="str">
        <x:v>MHE-E01-A11</x:v>
      </x:c>
      <x:c r="C137" s="27" t="str">
        <x:v>MHE-E01</x:v>
      </x:c>
      <x:c r="D137" s="27" t="str">
        <x:v>Mass and heat emulator</x:v>
      </x:c>
      <x:c r="E137" s="27" t="str">
        <x:v>A11</x:v>
      </x:c>
      <x:c r="F137" s="27" t="str">
        <x:v>maintenance and quarantine</x:v>
      </x:c>
      <x:c r="G137" s="27" t="str">
        <x:v>blinded removal, swap and decontamination</x:v>
      </x:c>
      <x:c r="H137" s="27" t="str">
        <x:v>time, tools and custody inside family limit</x:v>
      </x:c>
      <x:c r="I137" s="27" t="str">
        <x:v>maintenance video and custody record</x:v>
      </x:c>
      <x:c r="J137" s="27" t="str">
        <x:v>equivalence authority</x:v>
      </x:c>
      <x:c r="K137" s="27" t="str">
        <x:v>OPEN</x:v>
      </x:c>
      <x:c r="L137" s="27" t="str">
        <x:v>HOLD</x:v>
      </x:c>
      <x:c r="M137" s="29" t="n">
        <x:v>0</x:v>
      </x:c>
    </x:row>
    <x:row r="138" ht="30" customHeight="1">
      <x:c r="B138" s="31" t="str">
        <x:v>MHE-E01-A12</x:v>
      </x:c>
      <x:c r="C138" s="31" t="str">
        <x:v>MHE-E01</x:v>
      </x:c>
      <x:c r="D138" s="31" t="str">
        <x:v>Mass and heat emulator</x:v>
      </x:c>
      <x:c r="E138" s="31" t="str">
        <x:v>A12</x:v>
      </x:c>
      <x:c r="F138" s="31" t="str">
        <x:v>independent reproduction</x:v>
      </x:c>
      <x:c r="G138" s="31" t="str">
        <x:v>second team builds and tests frozen package</x:v>
      </x:c>
      <x:c r="H138" s="31" t="str">
        <x:v>same decision under distinct decisive ancestry</x:v>
      </x:c>
      <x:c r="I138" s="31" t="str">
        <x:v>second-lot acceptance record</x:v>
      </x:c>
      <x:c r="J138" s="31" t="str">
        <x:v>equivalence authority</x:v>
      </x:c>
      <x:c r="K138" s="31" t="str">
        <x:v>OPEN</x:v>
      </x:c>
      <x:c r="L138" s="31" t="str">
        <x:v>HOLD</x:v>
      </x:c>
      <x:c r="M138" s="33" t="n">
        <x:v>0</x:v>
      </x:c>
    </x:row>
    <x:row r="139" ht="18" customHeight="1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 ht="18" customHeight="1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 ht="18" customHeight="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 ht="18" customHeight="1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</x:sheetData>
  <x:mergeCells>
    <x:mergeCell ref="B3:M3"/>
  </x:mergeCells>
  <x:conditionalFormatting sqref="K7:L138">
    <x:cfRule type="containsText" dxfId="15" priority="1" operator="containsText" text="OPEN"/>
    <x:cfRule type="containsText" dxfId="16" priority="2" operator="containsText" text="HOLD"/>
    <x:cfRule type="containsText" dxfId="17" priority="3" operator="containsText" text="BLOCKED"/>
    <x:cfRule type="containsText" dxfId="18" priority="4" operator="containsText" text="DRAFT"/>
    <x:cfRule type="containsText" dxfId="19" priority="5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14" hidden="0" customWidth="1"/>
    <x:col min="4" max="4" width="25" hidden="0" customWidth="1"/>
    <x:col min="5" max="5" width="33" hidden="0" customWidth="1"/>
    <x:col min="6" max="6" width="15" hidden="0" customWidth="1"/>
    <x:col min="7" max="7" width="14" hidden="0" customWidth="1"/>
    <x:col min="8" max="8" width="12" hidden="0" customWidth="1"/>
    <x:col min="9" max="9" width="54" hidden="0" customWidth="1"/>
    <x:col min="10" max="10" width="17" hidden="0" customWidth="1"/>
    <x:col min="11" max="11" width="27" hidden="0" customWidth="1"/>
    <x:col min="12" max="12" width="13" hidden="0" customWidth="1"/>
    <x:col min="13" max="13" width="11" hidden="0" customWidth="1"/>
  </x:cols>
  <x:sheetData>
    <x:row r="2" ht="18" customHeight="1">
      <x:c r="B2" s="3" t="str">
        <x:v>Family hazard qualification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8" customHeight="1">
      <x:c r="B3" s="4" t="str">
        <x:v>Eight declared worlds test survival, explicit invalidation, containment, calibration and custody. They are research targets, not adopted standards.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18" customHeight="1">
      <x:c r="B6" s="25" t="str">
        <x:v>Exposure</x:v>
      </x:c>
      <x:c r="C6" s="26" t="str">
        <x:v>Family</x:v>
      </x:c>
      <x:c r="D6" s="26" t="str">
        <x:v>Subsystem</x:v>
      </x:c>
      <x:c r="E6" s="26" t="str">
        <x:v>Hazard world</x:v>
      </x:c>
      <x:c r="F6" s="26" t="str">
        <x:v>Severity class</x:v>
      </x:c>
      <x:c r="G6" s="26" t="str">
        <x:v>Duration</x:v>
      </x:c>
      <x:c r="H6" s="26" t="str">
        <x:v>Unit</x:v>
      </x:c>
      <x:c r="I6" s="26" t="str">
        <x:v>Acceptance threshold</x:v>
      </x:c>
      <x:c r="J6" s="26" t="str">
        <x:v>Article pool</x:v>
      </x:c>
      <x:c r="K6" s="26" t="str">
        <x:v>Authority</x:v>
      </x:c>
      <x:c r="L6" s="26" t="str">
        <x:v>Evidence</x:v>
      </x:c>
      <x:c r="M6" s="26" t="str">
        <x:v>Credit</x:v>
      </x:c>
    </x:row>
    <x:row r="7" ht="29" customHeight="1">
      <x:c r="B7" s="27" t="str">
        <x:v>ATC-A01-H01</x:v>
      </x:c>
      <x:c r="C7" s="27" t="str">
        <x:v>ATC-A01</x:v>
      </x:c>
      <x:c r="D7" s="27" t="str">
        <x:v>Air tile cassette</x:v>
      </x:c>
      <x:c r="E7" s="27" t="str">
        <x:v>mechanical shock</x:v>
      </x:c>
      <x:c r="F7" s="27" t="n">
        <x:v>5</x:v>
      </x:c>
      <x:c r="G7" s="27" t="n">
        <x:v>0.003</x:v>
      </x:c>
      <x:c r="H7" s="27" t="str">
        <x:v>h</x:v>
      </x:c>
      <x:c r="I7" s="27" t="str">
        <x:v>no silent loss; sealed event retained</x:v>
      </x:c>
      <x:c r="J7" s="27" t="str">
        <x:v>destructive</x:v>
      </x:c>
      <x:c r="K7" s="27" t="str">
        <x:v>article evidence authority</x:v>
      </x:c>
      <x:c r="L7" s="27" t="str">
        <x:v>OPEN</x:v>
      </x:c>
      <x:c r="M7" s="29" t="n">
        <x:v>0</x:v>
      </x:c>
    </x:row>
    <x:row r="8" ht="29" customHeight="1">
      <x:c r="B8" s="27" t="str">
        <x:v>ATC-A01-H02</x:v>
      </x:c>
      <x:c r="C8" s="27" t="str">
        <x:v>ATC-A01</x:v>
      </x:c>
      <x:c r="D8" s="27" t="str">
        <x:v>Air tile cassette</x:v>
      </x:c>
      <x:c r="E8" s="27" t="str">
        <x:v>random vibration</x:v>
      </x:c>
      <x:c r="F8" s="27" t="n">
        <x:v>5</x:v>
      </x:c>
      <x:c r="G8" s="27" t="n">
        <x:v>8</x:v>
      </x:c>
      <x:c r="H8" s="27" t="str">
        <x:v>h</x:v>
      </x:c>
      <x:c r="I8" s="27" t="str">
        <x:v>operate through role-registered spectrum</x:v>
      </x:c>
      <x:c r="J8" s="27" t="str">
        <x:v>qualification</x:v>
      </x:c>
      <x:c r="K8" s="27" t="str">
        <x:v>article evidence authority</x:v>
      </x:c>
      <x:c r="L8" s="27" t="str">
        <x:v>OPEN</x:v>
      </x:c>
      <x:c r="M8" s="29" t="n">
        <x:v>0</x:v>
      </x:c>
    </x:row>
    <x:row r="9" ht="29" customHeight="1">
      <x:c r="B9" s="27" t="str">
        <x:v>ATC-A01-H03</x:v>
      </x:c>
      <x:c r="C9" s="27" t="str">
        <x:v>ATC-A01</x:v>
      </x:c>
      <x:c r="D9" s="27" t="str">
        <x:v>Air tile cassette</x:v>
      </x:c>
      <x:c r="E9" s="27" t="str">
        <x:v>cold soak</x:v>
      </x:c>
      <x:c r="F9" s="27" t="n">
        <x:v>5</x:v>
      </x:c>
      <x:c r="G9" s="27" t="n">
        <x:v>24</x:v>
      </x:c>
      <x:c r="H9" s="27" t="str">
        <x:v>h</x:v>
      </x:c>
      <x:c r="I9" s="27" t="str">
        <x:v>minus 40 C soak then full operation</x:v>
      </x:c>
      <x:c r="J9" s="27" t="str">
        <x:v>qualification</x:v>
      </x:c>
      <x:c r="K9" s="27" t="str">
        <x:v>article evidence authority</x:v>
      </x:c>
      <x:c r="L9" s="27" t="str">
        <x:v>OPEN</x:v>
      </x:c>
      <x:c r="M9" s="29" t="n">
        <x:v>0</x:v>
      </x:c>
    </x:row>
    <x:row r="10" ht="29" customHeight="1">
      <x:c r="B10" s="27" t="str">
        <x:v>ATC-A01-H04</x:v>
      </x:c>
      <x:c r="C10" s="27" t="str">
        <x:v>ATC-A01</x:v>
      </x:c>
      <x:c r="D10" s="27" t="str">
        <x:v>Air tile cassette</x:v>
      </x:c>
      <x:c r="E10" s="27" t="str">
        <x:v>hot soak</x:v>
      </x:c>
      <x:c r="F10" s="27" t="n">
        <x:v>5</x:v>
      </x:c>
      <x:c r="G10" s="27" t="n">
        <x:v>24</x:v>
      </x:c>
      <x:c r="H10" s="27" t="str">
        <x:v>h</x:v>
      </x:c>
      <x:c r="I10" s="27" t="str">
        <x:v>plus 55 C soak then full operation</x:v>
      </x:c>
      <x:c r="J10" s="27" t="str">
        <x:v>qualification</x:v>
      </x:c>
      <x:c r="K10" s="27" t="str">
        <x:v>article evidence authority</x:v>
      </x:c>
      <x:c r="L10" s="27" t="str">
        <x:v>OPEN</x:v>
      </x:c>
      <x:c r="M10" s="29" t="n">
        <x:v>0</x:v>
      </x:c>
    </x:row>
    <x:row r="11" ht="29" customHeight="1">
      <x:c r="B11" s="27" t="str">
        <x:v>ATC-A01-H05</x:v>
      </x:c>
      <x:c r="C11" s="27" t="str">
        <x:v>ATC-A01</x:v>
      </x:c>
      <x:c r="D11" s="27" t="str">
        <x:v>Air tile cassette</x:v>
      </x:c>
      <x:c r="E11" s="27" t="str">
        <x:v>water ingress</x:v>
      </x:c>
      <x:c r="F11" s="27" t="n">
        <x:v>5</x:v>
      </x:c>
      <x:c r="G11" s="27" t="n">
        <x:v>24</x:v>
      </x:c>
      <x:c r="H11" s="27" t="str">
        <x:v>h</x:v>
      </x:c>
      <x:c r="I11" s="27" t="str">
        <x:v>1.5 m equivalent or role-registered spray</x:v>
      </x:c>
      <x:c r="J11" s="27" t="str">
        <x:v>qualification</x:v>
      </x:c>
      <x:c r="K11" s="27" t="str">
        <x:v>article evidence authority</x:v>
      </x:c>
      <x:c r="L11" s="27" t="str">
        <x:v>OPEN</x:v>
      </x:c>
      <x:c r="M11" s="29" t="n">
        <x:v>0</x:v>
      </x:c>
    </x:row>
    <x:row r="12" ht="29" customHeight="1">
      <x:c r="B12" s="27" t="str">
        <x:v>ATC-A01-H06</x:v>
      </x:c>
      <x:c r="C12" s="27" t="str">
        <x:v>ATC-A01</x:v>
      </x:c>
      <x:c r="D12" s="27" t="str">
        <x:v>Air tile cassette</x:v>
      </x:c>
      <x:c r="E12" s="27" t="str">
        <x:v>dust and debris</x:v>
      </x:c>
      <x:c r="F12" s="27" t="n">
        <x:v>5</x:v>
      </x:c>
      <x:c r="G12" s="27" t="n">
        <x:v>8</x:v>
      </x:c>
      <x:c r="H12" s="27" t="str">
        <x:v>h</x:v>
      </x:c>
      <x:c r="I12" s="27" t="str">
        <x:v>no hidden channel state after exposure</x:v>
      </x:c>
      <x:c r="J12" s="27" t="str">
        <x:v>qualification</x:v>
      </x:c>
      <x:c r="K12" s="27" t="str">
        <x:v>article evidence authority</x:v>
      </x:c>
      <x:c r="L12" s="27" t="str">
        <x:v>OPEN</x:v>
      </x:c>
      <x:c r="M12" s="29" t="n">
        <x:v>0</x:v>
      </x:c>
    </x:row>
    <x:row r="13" ht="29" customHeight="1">
      <x:c r="B13" s="27" t="str">
        <x:v>ATC-A01-H07</x:v>
      </x:c>
      <x:c r="C13" s="27" t="str">
        <x:v>ATC-A01</x:v>
      </x:c>
      <x:c r="D13" s="27" t="str">
        <x:v>Air tile cassette</x:v>
      </x:c>
      <x:c r="E13" s="27" t="str">
        <x:v>salt and decontamination chemistry</x:v>
      </x:c>
      <x:c r="F13" s="27" t="n">
        <x:v>5</x:v>
      </x:c>
      <x:c r="G13" s="27" t="n">
        <x:v>12</x:v>
      </x:c>
      <x:c r="H13" s="27" t="str">
        <x:v>h</x:v>
      </x:c>
      <x:c r="I13" s="27" t="str">
        <x:v>post-exposure calibration inside allocation</x:v>
      </x:c>
      <x:c r="J13" s="27" t="str">
        <x:v>qualification</x:v>
      </x:c>
      <x:c r="K13" s="27" t="str">
        <x:v>article evidence authority</x:v>
      </x:c>
      <x:c r="L13" s="27" t="str">
        <x:v>OPEN</x:v>
      </x:c>
      <x:c r="M13" s="29" t="n">
        <x:v>0</x:v>
      </x:c>
    </x:row>
    <x:row r="14" ht="29" customHeight="1">
      <x:c r="B14" s="27" t="str">
        <x:v>ATC-A01-H08</x:v>
      </x:c>
      <x:c r="C14" s="27" t="str">
        <x:v>ATC-A01</x:v>
      </x:c>
      <x:c r="D14" s="27" t="str">
        <x:v>Air tile cassette</x:v>
      </x:c>
      <x:c r="E14" s="27" t="str">
        <x:v>internal fire and propagation</x:v>
      </x:c>
      <x:c r="F14" s="27" t="n">
        <x:v>5</x:v>
      </x:c>
      <x:c r="G14" s="27" t="n">
        <x:v>2</x:v>
      </x:c>
      <x:c r="H14" s="27" t="str">
        <x:v>h</x:v>
      </x:c>
      <x:c r="I14" s="27" t="str">
        <x:v>no propagation beyond enclosure; original survives or invalidates explicitly</x:v>
      </x:c>
      <x:c r="J14" s="27" t="str">
        <x:v>destructive</x:v>
      </x:c>
      <x:c r="K14" s="27" t="str">
        <x:v>article evidence authority</x:v>
      </x:c>
      <x:c r="L14" s="27" t="str">
        <x:v>OPEN</x:v>
      </x:c>
      <x:c r="M14" s="29" t="n">
        <x:v>0</x:v>
      </x:c>
    </x:row>
    <x:row r="15" ht="29" customHeight="1">
      <x:c r="B15" s="27" t="str">
        <x:v>TTC-T01-H01</x:v>
      </x:c>
      <x:c r="C15" s="27" t="str">
        <x:v>TTC-T01</x:v>
      </x:c>
      <x:c r="D15" s="27" t="str">
        <x:v>Terrain tile cassette</x:v>
      </x:c>
      <x:c r="E15" s="27" t="str">
        <x:v>mechanical shock</x:v>
      </x:c>
      <x:c r="F15" s="27" t="n">
        <x:v>5</x:v>
      </x:c>
      <x:c r="G15" s="27" t="n">
        <x:v>0.003</x:v>
      </x:c>
      <x:c r="H15" s="27" t="str">
        <x:v>h</x:v>
      </x:c>
      <x:c r="I15" s="27" t="str">
        <x:v>no silent loss; sealed event retained</x:v>
      </x:c>
      <x:c r="J15" s="27" t="str">
        <x:v>destructive</x:v>
      </x:c>
      <x:c r="K15" s="27" t="str">
        <x:v>article evidence authority</x:v>
      </x:c>
      <x:c r="L15" s="27" t="str">
        <x:v>OPEN</x:v>
      </x:c>
      <x:c r="M15" s="29" t="n">
        <x:v>0</x:v>
      </x:c>
    </x:row>
    <x:row r="16" ht="29" customHeight="1">
      <x:c r="B16" s="27" t="str">
        <x:v>TTC-T01-H02</x:v>
      </x:c>
      <x:c r="C16" s="27" t="str">
        <x:v>TTC-T01</x:v>
      </x:c>
      <x:c r="D16" s="27" t="str">
        <x:v>Terrain tile cassette</x:v>
      </x:c>
      <x:c r="E16" s="27" t="str">
        <x:v>random vibration</x:v>
      </x:c>
      <x:c r="F16" s="27" t="n">
        <x:v>5</x:v>
      </x:c>
      <x:c r="G16" s="27" t="n">
        <x:v>8</x:v>
      </x:c>
      <x:c r="H16" s="27" t="str">
        <x:v>h</x:v>
      </x:c>
      <x:c r="I16" s="27" t="str">
        <x:v>operate through role-registered spectrum</x:v>
      </x:c>
      <x:c r="J16" s="27" t="str">
        <x:v>qualification</x:v>
      </x:c>
      <x:c r="K16" s="27" t="str">
        <x:v>article evidence authority</x:v>
      </x:c>
      <x:c r="L16" s="27" t="str">
        <x:v>OPEN</x:v>
      </x:c>
      <x:c r="M16" s="29" t="n">
        <x:v>0</x:v>
      </x:c>
    </x:row>
    <x:row r="17" ht="29" customHeight="1">
      <x:c r="B17" s="27" t="str">
        <x:v>TTC-T01-H03</x:v>
      </x:c>
      <x:c r="C17" s="27" t="str">
        <x:v>TTC-T01</x:v>
      </x:c>
      <x:c r="D17" s="27" t="str">
        <x:v>Terrain tile cassette</x:v>
      </x:c>
      <x:c r="E17" s="27" t="str">
        <x:v>cold soak</x:v>
      </x:c>
      <x:c r="F17" s="27" t="n">
        <x:v>5</x:v>
      </x:c>
      <x:c r="G17" s="27" t="n">
        <x:v>24</x:v>
      </x:c>
      <x:c r="H17" s="27" t="str">
        <x:v>h</x:v>
      </x:c>
      <x:c r="I17" s="27" t="str">
        <x:v>minus 40 C soak then full operation</x:v>
      </x:c>
      <x:c r="J17" s="27" t="str">
        <x:v>qualification</x:v>
      </x:c>
      <x:c r="K17" s="27" t="str">
        <x:v>article evidence authority</x:v>
      </x:c>
      <x:c r="L17" s="27" t="str">
        <x:v>OPEN</x:v>
      </x:c>
      <x:c r="M17" s="29" t="n">
        <x:v>0</x:v>
      </x:c>
    </x:row>
    <x:row r="18" ht="29" customHeight="1">
      <x:c r="B18" s="27" t="str">
        <x:v>TTC-T01-H04</x:v>
      </x:c>
      <x:c r="C18" s="27" t="str">
        <x:v>TTC-T01</x:v>
      </x:c>
      <x:c r="D18" s="27" t="str">
        <x:v>Terrain tile cassette</x:v>
      </x:c>
      <x:c r="E18" s="27" t="str">
        <x:v>hot soak</x:v>
      </x:c>
      <x:c r="F18" s="27" t="n">
        <x:v>5</x:v>
      </x:c>
      <x:c r="G18" s="27" t="n">
        <x:v>24</x:v>
      </x:c>
      <x:c r="H18" s="27" t="str">
        <x:v>h</x:v>
      </x:c>
      <x:c r="I18" s="27" t="str">
        <x:v>plus 55 C soak then full operation</x:v>
      </x:c>
      <x:c r="J18" s="27" t="str">
        <x:v>qualification</x:v>
      </x:c>
      <x:c r="K18" s="27" t="str">
        <x:v>article evidence authority</x:v>
      </x:c>
      <x:c r="L18" s="27" t="str">
        <x:v>OPEN</x:v>
      </x:c>
      <x:c r="M18" s="29" t="n">
        <x:v>0</x:v>
      </x:c>
    </x:row>
    <x:row r="19" ht="29" customHeight="1">
      <x:c r="B19" s="27" t="str">
        <x:v>TTC-T01-H05</x:v>
      </x:c>
      <x:c r="C19" s="27" t="str">
        <x:v>TTC-T01</x:v>
      </x:c>
      <x:c r="D19" s="27" t="str">
        <x:v>Terrain tile cassette</x:v>
      </x:c>
      <x:c r="E19" s="27" t="str">
        <x:v>water ingress</x:v>
      </x:c>
      <x:c r="F19" s="27" t="n">
        <x:v>5</x:v>
      </x:c>
      <x:c r="G19" s="27" t="n">
        <x:v>24</x:v>
      </x:c>
      <x:c r="H19" s="27" t="str">
        <x:v>h</x:v>
      </x:c>
      <x:c r="I19" s="27" t="str">
        <x:v>1.5 m equivalent or role-registered spray</x:v>
      </x:c>
      <x:c r="J19" s="27" t="str">
        <x:v>qualification</x:v>
      </x:c>
      <x:c r="K19" s="27" t="str">
        <x:v>article evidence authority</x:v>
      </x:c>
      <x:c r="L19" s="27" t="str">
        <x:v>OPEN</x:v>
      </x:c>
      <x:c r="M19" s="29" t="n">
        <x:v>0</x:v>
      </x:c>
    </x:row>
    <x:row r="20" ht="29" customHeight="1">
      <x:c r="B20" s="27" t="str">
        <x:v>TTC-T01-H06</x:v>
      </x:c>
      <x:c r="C20" s="27" t="str">
        <x:v>TTC-T01</x:v>
      </x:c>
      <x:c r="D20" s="27" t="str">
        <x:v>Terrain tile cassette</x:v>
      </x:c>
      <x:c r="E20" s="27" t="str">
        <x:v>dust and debris</x:v>
      </x:c>
      <x:c r="F20" s="27" t="n">
        <x:v>5</x:v>
      </x:c>
      <x:c r="G20" s="27" t="n">
        <x:v>8</x:v>
      </x:c>
      <x:c r="H20" s="27" t="str">
        <x:v>h</x:v>
      </x:c>
      <x:c r="I20" s="27" t="str">
        <x:v>no hidden channel state after exposure</x:v>
      </x:c>
      <x:c r="J20" s="27" t="str">
        <x:v>qualification</x:v>
      </x:c>
      <x:c r="K20" s="27" t="str">
        <x:v>article evidence authority</x:v>
      </x:c>
      <x:c r="L20" s="27" t="str">
        <x:v>OPEN</x:v>
      </x:c>
      <x:c r="M20" s="29" t="n">
        <x:v>0</x:v>
      </x:c>
    </x:row>
    <x:row r="21" ht="29" customHeight="1">
      <x:c r="B21" s="27" t="str">
        <x:v>TTC-T01-H07</x:v>
      </x:c>
      <x:c r="C21" s="27" t="str">
        <x:v>TTC-T01</x:v>
      </x:c>
      <x:c r="D21" s="27" t="str">
        <x:v>Terrain tile cassette</x:v>
      </x:c>
      <x:c r="E21" s="27" t="str">
        <x:v>salt and decontamination chemistry</x:v>
      </x:c>
      <x:c r="F21" s="27" t="n">
        <x:v>5</x:v>
      </x:c>
      <x:c r="G21" s="27" t="n">
        <x:v>12</x:v>
      </x:c>
      <x:c r="H21" s="27" t="str">
        <x:v>h</x:v>
      </x:c>
      <x:c r="I21" s="27" t="str">
        <x:v>post-exposure calibration inside allocation</x:v>
      </x:c>
      <x:c r="J21" s="27" t="str">
        <x:v>qualification</x:v>
      </x:c>
      <x:c r="K21" s="27" t="str">
        <x:v>article evidence authority</x:v>
      </x:c>
      <x:c r="L21" s="27" t="str">
        <x:v>OPEN</x:v>
      </x:c>
      <x:c r="M21" s="29" t="n">
        <x:v>0</x:v>
      </x:c>
    </x:row>
    <x:row r="22" ht="29" customHeight="1">
      <x:c r="B22" s="27" t="str">
        <x:v>TTC-T01-H08</x:v>
      </x:c>
      <x:c r="C22" s="27" t="str">
        <x:v>TTC-T01</x:v>
      </x:c>
      <x:c r="D22" s="27" t="str">
        <x:v>Terrain tile cassette</x:v>
      </x:c>
      <x:c r="E22" s="27" t="str">
        <x:v>internal fire and propagation</x:v>
      </x:c>
      <x:c r="F22" s="27" t="n">
        <x:v>5</x:v>
      </x:c>
      <x:c r="G22" s="27" t="n">
        <x:v>2</x:v>
      </x:c>
      <x:c r="H22" s="27" t="str">
        <x:v>h</x:v>
      </x:c>
      <x:c r="I22" s="27" t="str">
        <x:v>no propagation beyond enclosure; original survives or invalidates explicitly</x:v>
      </x:c>
      <x:c r="J22" s="27" t="str">
        <x:v>destructive</x:v>
      </x:c>
      <x:c r="K22" s="27" t="str">
        <x:v>article evidence authority</x:v>
      </x:c>
      <x:c r="L22" s="27" t="str">
        <x:v>OPEN</x:v>
      </x:c>
      <x:c r="M22" s="29" t="n">
        <x:v>0</x:v>
      </x:c>
    </x:row>
    <x:row r="23" ht="29" customHeight="1">
      <x:c r="B23" s="27" t="str">
        <x:v>ACN-A01-H01</x:v>
      </x:c>
      <x:c r="C23" s="27" t="str">
        <x:v>ACN-A01</x:v>
      </x:c>
      <x:c r="D23" s="27" t="str">
        <x:v>Air carrier node</x:v>
      </x:c>
      <x:c r="E23" s="27" t="str">
        <x:v>mechanical shock</x:v>
      </x:c>
      <x:c r="F23" s="27" t="n">
        <x:v>5</x:v>
      </x:c>
      <x:c r="G23" s="27" t="n">
        <x:v>0.003</x:v>
      </x:c>
      <x:c r="H23" s="27" t="str">
        <x:v>h</x:v>
      </x:c>
      <x:c r="I23" s="27" t="str">
        <x:v>no silent loss; sealed event retained</x:v>
      </x:c>
      <x:c r="J23" s="27" t="str">
        <x:v>destructive</x:v>
      </x:c>
      <x:c r="K23" s="27" t="str">
        <x:v>air evidence authority</x:v>
      </x:c>
      <x:c r="L23" s="27" t="str">
        <x:v>OPEN</x:v>
      </x:c>
      <x:c r="M23" s="29" t="n">
        <x:v>0</x:v>
      </x:c>
    </x:row>
    <x:row r="24" ht="29" customHeight="1">
      <x:c r="B24" s="27" t="str">
        <x:v>ACN-A01-H02</x:v>
      </x:c>
      <x:c r="C24" s="27" t="str">
        <x:v>ACN-A01</x:v>
      </x:c>
      <x:c r="D24" s="27" t="str">
        <x:v>Air carrier node</x:v>
      </x:c>
      <x:c r="E24" s="27" t="str">
        <x:v>random vibration</x:v>
      </x:c>
      <x:c r="F24" s="27" t="n">
        <x:v>5</x:v>
      </x:c>
      <x:c r="G24" s="27" t="n">
        <x:v>8</x:v>
      </x:c>
      <x:c r="H24" s="27" t="str">
        <x:v>h</x:v>
      </x:c>
      <x:c r="I24" s="27" t="str">
        <x:v>operate through role-registered spectrum</x:v>
      </x:c>
      <x:c r="J24" s="27" t="str">
        <x:v>qualification</x:v>
      </x:c>
      <x:c r="K24" s="27" t="str">
        <x:v>air evidence authority</x:v>
      </x:c>
      <x:c r="L24" s="27" t="str">
        <x:v>OPEN</x:v>
      </x:c>
      <x:c r="M24" s="29" t="n">
        <x:v>0</x:v>
      </x:c>
    </x:row>
    <x:row r="25" ht="29" customHeight="1">
      <x:c r="B25" s="27" t="str">
        <x:v>ACN-A01-H03</x:v>
      </x:c>
      <x:c r="C25" s="27" t="str">
        <x:v>ACN-A01</x:v>
      </x:c>
      <x:c r="D25" s="27" t="str">
        <x:v>Air carrier node</x:v>
      </x:c>
      <x:c r="E25" s="27" t="str">
        <x:v>cold soak</x:v>
      </x:c>
      <x:c r="F25" s="27" t="n">
        <x:v>5</x:v>
      </x:c>
      <x:c r="G25" s="27" t="n">
        <x:v>24</x:v>
      </x:c>
      <x:c r="H25" s="27" t="str">
        <x:v>h</x:v>
      </x:c>
      <x:c r="I25" s="27" t="str">
        <x:v>minus 40 C soak then full operation</x:v>
      </x:c>
      <x:c r="J25" s="27" t="str">
        <x:v>qualification</x:v>
      </x:c>
      <x:c r="K25" s="27" t="str">
        <x:v>air evidence authority</x:v>
      </x:c>
      <x:c r="L25" s="27" t="str">
        <x:v>OPEN</x:v>
      </x:c>
      <x:c r="M25" s="29" t="n">
        <x:v>0</x:v>
      </x:c>
    </x:row>
    <x:row r="26" ht="29" customHeight="1">
      <x:c r="B26" s="27" t="str">
        <x:v>ACN-A01-H04</x:v>
      </x:c>
      <x:c r="C26" s="27" t="str">
        <x:v>ACN-A01</x:v>
      </x:c>
      <x:c r="D26" s="27" t="str">
        <x:v>Air carrier node</x:v>
      </x:c>
      <x:c r="E26" s="27" t="str">
        <x:v>hot soak</x:v>
      </x:c>
      <x:c r="F26" s="27" t="n">
        <x:v>5</x:v>
      </x:c>
      <x:c r="G26" s="27" t="n">
        <x:v>24</x:v>
      </x:c>
      <x:c r="H26" s="27" t="str">
        <x:v>h</x:v>
      </x:c>
      <x:c r="I26" s="27" t="str">
        <x:v>plus 55 C soak then full operation</x:v>
      </x:c>
      <x:c r="J26" s="27" t="str">
        <x:v>qualification</x:v>
      </x:c>
      <x:c r="K26" s="27" t="str">
        <x:v>air evidence authority</x:v>
      </x:c>
      <x:c r="L26" s="27" t="str">
        <x:v>OPEN</x:v>
      </x:c>
      <x:c r="M26" s="29" t="n">
        <x:v>0</x:v>
      </x:c>
    </x:row>
    <x:row r="27" ht="29" customHeight="1">
      <x:c r="B27" s="27" t="str">
        <x:v>ACN-A01-H05</x:v>
      </x:c>
      <x:c r="C27" s="27" t="str">
        <x:v>ACN-A01</x:v>
      </x:c>
      <x:c r="D27" s="27" t="str">
        <x:v>Air carrier node</x:v>
      </x:c>
      <x:c r="E27" s="27" t="str">
        <x:v>water ingress</x:v>
      </x:c>
      <x:c r="F27" s="27" t="n">
        <x:v>5</x:v>
      </x:c>
      <x:c r="G27" s="27" t="n">
        <x:v>24</x:v>
      </x:c>
      <x:c r="H27" s="27" t="str">
        <x:v>h</x:v>
      </x:c>
      <x:c r="I27" s="27" t="str">
        <x:v>1.5 m equivalent or role-registered spray</x:v>
      </x:c>
      <x:c r="J27" s="27" t="str">
        <x:v>qualification</x:v>
      </x:c>
      <x:c r="K27" s="27" t="str">
        <x:v>air evidence authority</x:v>
      </x:c>
      <x:c r="L27" s="27" t="str">
        <x:v>OPEN</x:v>
      </x:c>
      <x:c r="M27" s="29" t="n">
        <x:v>0</x:v>
      </x:c>
    </x:row>
    <x:row r="28" ht="29" customHeight="1">
      <x:c r="B28" s="27" t="str">
        <x:v>ACN-A01-H06</x:v>
      </x:c>
      <x:c r="C28" s="27" t="str">
        <x:v>ACN-A01</x:v>
      </x:c>
      <x:c r="D28" s="27" t="str">
        <x:v>Air carrier node</x:v>
      </x:c>
      <x:c r="E28" s="27" t="str">
        <x:v>dust and debris</x:v>
      </x:c>
      <x:c r="F28" s="27" t="n">
        <x:v>5</x:v>
      </x:c>
      <x:c r="G28" s="27" t="n">
        <x:v>8</x:v>
      </x:c>
      <x:c r="H28" s="27" t="str">
        <x:v>h</x:v>
      </x:c>
      <x:c r="I28" s="27" t="str">
        <x:v>no hidden channel state after exposure</x:v>
      </x:c>
      <x:c r="J28" s="27" t="str">
        <x:v>qualification</x:v>
      </x:c>
      <x:c r="K28" s="27" t="str">
        <x:v>air evidence authority</x:v>
      </x:c>
      <x:c r="L28" s="27" t="str">
        <x:v>OPEN</x:v>
      </x:c>
      <x:c r="M28" s="29" t="n">
        <x:v>0</x:v>
      </x:c>
    </x:row>
    <x:row r="29" ht="29" customHeight="1">
      <x:c r="B29" s="27" t="str">
        <x:v>ACN-A01-H07</x:v>
      </x:c>
      <x:c r="C29" s="27" t="str">
        <x:v>ACN-A01</x:v>
      </x:c>
      <x:c r="D29" s="27" t="str">
        <x:v>Air carrier node</x:v>
      </x:c>
      <x:c r="E29" s="27" t="str">
        <x:v>salt and decontamination chemistry</x:v>
      </x:c>
      <x:c r="F29" s="27" t="n">
        <x:v>5</x:v>
      </x:c>
      <x:c r="G29" s="27" t="n">
        <x:v>12</x:v>
      </x:c>
      <x:c r="H29" s="27" t="str">
        <x:v>h</x:v>
      </x:c>
      <x:c r="I29" s="27" t="str">
        <x:v>post-exposure calibration inside allocation</x:v>
      </x:c>
      <x:c r="J29" s="27" t="str">
        <x:v>qualification</x:v>
      </x:c>
      <x:c r="K29" s="27" t="str">
        <x:v>air evidence authority</x:v>
      </x:c>
      <x:c r="L29" s="27" t="str">
        <x:v>OPEN</x:v>
      </x:c>
      <x:c r="M29" s="29" t="n">
        <x:v>0</x:v>
      </x:c>
    </x:row>
    <x:row r="30" ht="29" customHeight="1">
      <x:c r="B30" s="27" t="str">
        <x:v>ACN-A01-H08</x:v>
      </x:c>
      <x:c r="C30" s="27" t="str">
        <x:v>ACN-A01</x:v>
      </x:c>
      <x:c r="D30" s="27" t="str">
        <x:v>Air carrier node</x:v>
      </x:c>
      <x:c r="E30" s="27" t="str">
        <x:v>internal fire and propagation</x:v>
      </x:c>
      <x:c r="F30" s="27" t="n">
        <x:v>5</x:v>
      </x:c>
      <x:c r="G30" s="27" t="n">
        <x:v>2</x:v>
      </x:c>
      <x:c r="H30" s="27" t="str">
        <x:v>h</x:v>
      </x:c>
      <x:c r="I30" s="27" t="str">
        <x:v>no propagation beyond enclosure; original survives or invalidates explicitly</x:v>
      </x:c>
      <x:c r="J30" s="27" t="str">
        <x:v>destructive</x:v>
      </x:c>
      <x:c r="K30" s="27" t="str">
        <x:v>air evidence authority</x:v>
      </x:c>
      <x:c r="L30" s="27" t="str">
        <x:v>OPEN</x:v>
      </x:c>
      <x:c r="M30" s="29" t="n">
        <x:v>0</x:v>
      </x:c>
    </x:row>
    <x:row r="31" ht="29" customHeight="1">
      <x:c r="B31" s="27" t="str">
        <x:v>TCN-T01-H01</x:v>
      </x:c>
      <x:c r="C31" s="27" t="str">
        <x:v>TCN-T01</x:v>
      </x:c>
      <x:c r="D31" s="27" t="str">
        <x:v>Terrain carrier node</x:v>
      </x:c>
      <x:c r="E31" s="27" t="str">
        <x:v>mechanical shock</x:v>
      </x:c>
      <x:c r="F31" s="27" t="n">
        <x:v>5</x:v>
      </x:c>
      <x:c r="G31" s="27" t="n">
        <x:v>0.003</x:v>
      </x:c>
      <x:c r="H31" s="27" t="str">
        <x:v>h</x:v>
      </x:c>
      <x:c r="I31" s="27" t="str">
        <x:v>no silent loss; sealed event retained</x:v>
      </x:c>
      <x:c r="J31" s="27" t="str">
        <x:v>destructive</x:v>
      </x:c>
      <x:c r="K31" s="27" t="str">
        <x:v>terrain evidence authority</x:v>
      </x:c>
      <x:c r="L31" s="27" t="str">
        <x:v>OPEN</x:v>
      </x:c>
      <x:c r="M31" s="29" t="n">
        <x:v>0</x:v>
      </x:c>
    </x:row>
    <x:row r="32" ht="29" customHeight="1">
      <x:c r="B32" s="27" t="str">
        <x:v>TCN-T01-H02</x:v>
      </x:c>
      <x:c r="C32" s="27" t="str">
        <x:v>TCN-T01</x:v>
      </x:c>
      <x:c r="D32" s="27" t="str">
        <x:v>Terrain carrier node</x:v>
      </x:c>
      <x:c r="E32" s="27" t="str">
        <x:v>random vibration</x:v>
      </x:c>
      <x:c r="F32" s="27" t="n">
        <x:v>5</x:v>
      </x:c>
      <x:c r="G32" s="27" t="n">
        <x:v>8</x:v>
      </x:c>
      <x:c r="H32" s="27" t="str">
        <x:v>h</x:v>
      </x:c>
      <x:c r="I32" s="27" t="str">
        <x:v>operate through role-registered spectrum</x:v>
      </x:c>
      <x:c r="J32" s="27" t="str">
        <x:v>qualification</x:v>
      </x:c>
      <x:c r="K32" s="27" t="str">
        <x:v>terrain evidence authority</x:v>
      </x:c>
      <x:c r="L32" s="27" t="str">
        <x:v>OPEN</x:v>
      </x:c>
      <x:c r="M32" s="29" t="n">
        <x:v>0</x:v>
      </x:c>
    </x:row>
    <x:row r="33" ht="29" customHeight="1">
      <x:c r="B33" s="27" t="str">
        <x:v>TCN-T01-H03</x:v>
      </x:c>
      <x:c r="C33" s="27" t="str">
        <x:v>TCN-T01</x:v>
      </x:c>
      <x:c r="D33" s="27" t="str">
        <x:v>Terrain carrier node</x:v>
      </x:c>
      <x:c r="E33" s="27" t="str">
        <x:v>cold soak</x:v>
      </x:c>
      <x:c r="F33" s="27" t="n">
        <x:v>5</x:v>
      </x:c>
      <x:c r="G33" s="27" t="n">
        <x:v>24</x:v>
      </x:c>
      <x:c r="H33" s="27" t="str">
        <x:v>h</x:v>
      </x:c>
      <x:c r="I33" s="27" t="str">
        <x:v>minus 40 C soak then full operation</x:v>
      </x:c>
      <x:c r="J33" s="27" t="str">
        <x:v>qualification</x:v>
      </x:c>
      <x:c r="K33" s="27" t="str">
        <x:v>terrain evidence authority</x:v>
      </x:c>
      <x:c r="L33" s="27" t="str">
        <x:v>OPEN</x:v>
      </x:c>
      <x:c r="M33" s="29" t="n">
        <x:v>0</x:v>
      </x:c>
    </x:row>
    <x:row r="34" ht="29" customHeight="1">
      <x:c r="B34" s="27" t="str">
        <x:v>TCN-T01-H04</x:v>
      </x:c>
      <x:c r="C34" s="27" t="str">
        <x:v>TCN-T01</x:v>
      </x:c>
      <x:c r="D34" s="27" t="str">
        <x:v>Terrain carrier node</x:v>
      </x:c>
      <x:c r="E34" s="27" t="str">
        <x:v>hot soak</x:v>
      </x:c>
      <x:c r="F34" s="27" t="n">
        <x:v>5</x:v>
      </x:c>
      <x:c r="G34" s="27" t="n">
        <x:v>24</x:v>
      </x:c>
      <x:c r="H34" s="27" t="str">
        <x:v>h</x:v>
      </x:c>
      <x:c r="I34" s="27" t="str">
        <x:v>plus 55 C soak then full operation</x:v>
      </x:c>
      <x:c r="J34" s="27" t="str">
        <x:v>qualification</x:v>
      </x:c>
      <x:c r="K34" s="27" t="str">
        <x:v>terrain evidence authority</x:v>
      </x:c>
      <x:c r="L34" s="27" t="str">
        <x:v>OPEN</x:v>
      </x:c>
      <x:c r="M34" s="29" t="n">
        <x:v>0</x:v>
      </x:c>
    </x:row>
    <x:row r="35" ht="29" customHeight="1">
      <x:c r="B35" s="27" t="str">
        <x:v>TCN-T01-H05</x:v>
      </x:c>
      <x:c r="C35" s="27" t="str">
        <x:v>TCN-T01</x:v>
      </x:c>
      <x:c r="D35" s="27" t="str">
        <x:v>Terrain carrier node</x:v>
      </x:c>
      <x:c r="E35" s="27" t="str">
        <x:v>water ingress</x:v>
      </x:c>
      <x:c r="F35" s="27" t="n">
        <x:v>5</x:v>
      </x:c>
      <x:c r="G35" s="27" t="n">
        <x:v>24</x:v>
      </x:c>
      <x:c r="H35" s="27" t="str">
        <x:v>h</x:v>
      </x:c>
      <x:c r="I35" s="27" t="str">
        <x:v>1.5 m equivalent or role-registered spray</x:v>
      </x:c>
      <x:c r="J35" s="27" t="str">
        <x:v>qualification</x:v>
      </x:c>
      <x:c r="K35" s="27" t="str">
        <x:v>terrain evidence authority</x:v>
      </x:c>
      <x:c r="L35" s="27" t="str">
        <x:v>OPEN</x:v>
      </x:c>
      <x:c r="M35" s="29" t="n">
        <x:v>0</x:v>
      </x:c>
    </x:row>
    <x:row r="36" ht="29" customHeight="1">
      <x:c r="B36" s="27" t="str">
        <x:v>TCN-T01-H06</x:v>
      </x:c>
      <x:c r="C36" s="27" t="str">
        <x:v>TCN-T01</x:v>
      </x:c>
      <x:c r="D36" s="27" t="str">
        <x:v>Terrain carrier node</x:v>
      </x:c>
      <x:c r="E36" s="27" t="str">
        <x:v>dust and debris</x:v>
      </x:c>
      <x:c r="F36" s="27" t="n">
        <x:v>5</x:v>
      </x:c>
      <x:c r="G36" s="27" t="n">
        <x:v>8</x:v>
      </x:c>
      <x:c r="H36" s="27" t="str">
        <x:v>h</x:v>
      </x:c>
      <x:c r="I36" s="27" t="str">
        <x:v>no hidden channel state after exposure</x:v>
      </x:c>
      <x:c r="J36" s="27" t="str">
        <x:v>qualification</x:v>
      </x:c>
      <x:c r="K36" s="27" t="str">
        <x:v>terrain evidence authority</x:v>
      </x:c>
      <x:c r="L36" s="27" t="str">
        <x:v>OPEN</x:v>
      </x:c>
      <x:c r="M36" s="29" t="n">
        <x:v>0</x:v>
      </x:c>
    </x:row>
    <x:row r="37" ht="29" customHeight="1">
      <x:c r="B37" s="27" t="str">
        <x:v>TCN-T01-H07</x:v>
      </x:c>
      <x:c r="C37" s="27" t="str">
        <x:v>TCN-T01</x:v>
      </x:c>
      <x:c r="D37" s="27" t="str">
        <x:v>Terrain carrier node</x:v>
      </x:c>
      <x:c r="E37" s="27" t="str">
        <x:v>salt and decontamination chemistry</x:v>
      </x:c>
      <x:c r="F37" s="27" t="n">
        <x:v>5</x:v>
      </x:c>
      <x:c r="G37" s="27" t="n">
        <x:v>12</x:v>
      </x:c>
      <x:c r="H37" s="27" t="str">
        <x:v>h</x:v>
      </x:c>
      <x:c r="I37" s="27" t="str">
        <x:v>post-exposure calibration inside allocation</x:v>
      </x:c>
      <x:c r="J37" s="27" t="str">
        <x:v>qualification</x:v>
      </x:c>
      <x:c r="K37" s="27" t="str">
        <x:v>terrain evidence authority</x:v>
      </x:c>
      <x:c r="L37" s="27" t="str">
        <x:v>OPEN</x:v>
      </x:c>
      <x:c r="M37" s="29" t="n">
        <x:v>0</x:v>
      </x:c>
    </x:row>
    <x:row r="38" ht="29" customHeight="1">
      <x:c r="B38" s="27" t="str">
        <x:v>TCN-T01-H08</x:v>
      </x:c>
      <x:c r="C38" s="27" t="str">
        <x:v>TCN-T01</x:v>
      </x:c>
      <x:c r="D38" s="27" t="str">
        <x:v>Terrain carrier node</x:v>
      </x:c>
      <x:c r="E38" s="27" t="str">
        <x:v>internal fire and propagation</x:v>
      </x:c>
      <x:c r="F38" s="27" t="n">
        <x:v>5</x:v>
      </x:c>
      <x:c r="G38" s="27" t="n">
        <x:v>2</x:v>
      </x:c>
      <x:c r="H38" s="27" t="str">
        <x:v>h</x:v>
      </x:c>
      <x:c r="I38" s="27" t="str">
        <x:v>no propagation beyond enclosure; original survives or invalidates explicitly</x:v>
      </x:c>
      <x:c r="J38" s="27" t="str">
        <x:v>destructive</x:v>
      </x:c>
      <x:c r="K38" s="27" t="str">
        <x:v>terrain evidence authority</x:v>
      </x:c>
      <x:c r="L38" s="27" t="str">
        <x:v>OPEN</x:v>
      </x:c>
      <x:c r="M38" s="29" t="n">
        <x:v>0</x:v>
      </x:c>
    </x:row>
    <x:row r="39" ht="29" customHeight="1">
      <x:c r="B39" s="27" t="str">
        <x:v>CRS-R01-H01</x:v>
      </x:c>
      <x:c r="C39" s="27" t="str">
        <x:v>CRS-R01</x:v>
      </x:c>
      <x:c r="D39" s="27" t="str">
        <x:v>Civil receiver</x:v>
      </x:c>
      <x:c r="E39" s="27" t="str">
        <x:v>mechanical shock</x:v>
      </x:c>
      <x:c r="F39" s="27" t="n">
        <x:v>3</x:v>
      </x:c>
      <x:c r="G39" s="27" t="n">
        <x:v>0.003</x:v>
      </x:c>
      <x:c r="H39" s="27" t="str">
        <x:v>h</x:v>
      </x:c>
      <x:c r="I39" s="27" t="str">
        <x:v>no silent loss; sealed event retained</x:v>
      </x:c>
      <x:c r="J39" s="27" t="str">
        <x:v>destructive</x:v>
      </x:c>
      <x:c r="K39" s="27" t="str">
        <x:v>civil-effect authority</x:v>
      </x:c>
      <x:c r="L39" s="27" t="str">
        <x:v>OPEN</x:v>
      </x:c>
      <x:c r="M39" s="29" t="n">
        <x:v>0</x:v>
      </x:c>
    </x:row>
    <x:row r="40" ht="29" customHeight="1">
      <x:c r="B40" s="27" t="str">
        <x:v>CRS-R01-H02</x:v>
      </x:c>
      <x:c r="C40" s="27" t="str">
        <x:v>CRS-R01</x:v>
      </x:c>
      <x:c r="D40" s="27" t="str">
        <x:v>Civil receiver</x:v>
      </x:c>
      <x:c r="E40" s="27" t="str">
        <x:v>random vibration</x:v>
      </x:c>
      <x:c r="F40" s="27" t="n">
        <x:v>3</x:v>
      </x:c>
      <x:c r="G40" s="27" t="n">
        <x:v>8</x:v>
      </x:c>
      <x:c r="H40" s="27" t="str">
        <x:v>h</x:v>
      </x:c>
      <x:c r="I40" s="27" t="str">
        <x:v>operate through role-registered spectrum</x:v>
      </x:c>
      <x:c r="J40" s="27" t="str">
        <x:v>qualification</x:v>
      </x:c>
      <x:c r="K40" s="27" t="str">
        <x:v>civil-effect authority</x:v>
      </x:c>
      <x:c r="L40" s="27" t="str">
        <x:v>OPEN</x:v>
      </x:c>
      <x:c r="M40" s="29" t="n">
        <x:v>0</x:v>
      </x:c>
    </x:row>
    <x:row r="41" ht="29" customHeight="1">
      <x:c r="B41" s="27" t="str">
        <x:v>CRS-R01-H03</x:v>
      </x:c>
      <x:c r="C41" s="27" t="str">
        <x:v>CRS-R01</x:v>
      </x:c>
      <x:c r="D41" s="27" t="str">
        <x:v>Civil receiver</x:v>
      </x:c>
      <x:c r="E41" s="27" t="str">
        <x:v>cold soak</x:v>
      </x:c>
      <x:c r="F41" s="27" t="n">
        <x:v>3</x:v>
      </x:c>
      <x:c r="G41" s="27" t="n">
        <x:v>24</x:v>
      </x:c>
      <x:c r="H41" s="27" t="str">
        <x:v>h</x:v>
      </x:c>
      <x:c r="I41" s="27" t="str">
        <x:v>minus 40 C soak then full operation</x:v>
      </x:c>
      <x:c r="J41" s="27" t="str">
        <x:v>qualification</x:v>
      </x:c>
      <x:c r="K41" s="27" t="str">
        <x:v>civil-effect authority</x:v>
      </x:c>
      <x:c r="L41" s="27" t="str">
        <x:v>OPEN</x:v>
      </x:c>
      <x:c r="M41" s="29" t="n">
        <x:v>0</x:v>
      </x:c>
    </x:row>
    <x:row r="42" ht="29" customHeight="1">
      <x:c r="B42" s="27" t="str">
        <x:v>CRS-R01-H04</x:v>
      </x:c>
      <x:c r="C42" s="27" t="str">
        <x:v>CRS-R01</x:v>
      </x:c>
      <x:c r="D42" s="27" t="str">
        <x:v>Civil receiver</x:v>
      </x:c>
      <x:c r="E42" s="27" t="str">
        <x:v>hot soak</x:v>
      </x:c>
      <x:c r="F42" s="27" t="n">
        <x:v>3</x:v>
      </x:c>
      <x:c r="G42" s="27" t="n">
        <x:v>24</x:v>
      </x:c>
      <x:c r="H42" s="27" t="str">
        <x:v>h</x:v>
      </x:c>
      <x:c r="I42" s="27" t="str">
        <x:v>plus 55 C soak then full operation</x:v>
      </x:c>
      <x:c r="J42" s="27" t="str">
        <x:v>qualification</x:v>
      </x:c>
      <x:c r="K42" s="27" t="str">
        <x:v>civil-effect authority</x:v>
      </x:c>
      <x:c r="L42" s="27" t="str">
        <x:v>OPEN</x:v>
      </x:c>
      <x:c r="M42" s="29" t="n">
        <x:v>0</x:v>
      </x:c>
    </x:row>
    <x:row r="43" ht="29" customHeight="1">
      <x:c r="B43" s="27" t="str">
        <x:v>CRS-R01-H05</x:v>
      </x:c>
      <x:c r="C43" s="27" t="str">
        <x:v>CRS-R01</x:v>
      </x:c>
      <x:c r="D43" s="27" t="str">
        <x:v>Civil receiver</x:v>
      </x:c>
      <x:c r="E43" s="27" t="str">
        <x:v>water ingress</x:v>
      </x:c>
      <x:c r="F43" s="27" t="n">
        <x:v>3</x:v>
      </x:c>
      <x:c r="G43" s="27" t="n">
        <x:v>24</x:v>
      </x:c>
      <x:c r="H43" s="27" t="str">
        <x:v>h</x:v>
      </x:c>
      <x:c r="I43" s="27" t="str">
        <x:v>1.5 m equivalent or role-registered spray</x:v>
      </x:c>
      <x:c r="J43" s="27" t="str">
        <x:v>qualification</x:v>
      </x:c>
      <x:c r="K43" s="27" t="str">
        <x:v>civil-effect authority</x:v>
      </x:c>
      <x:c r="L43" s="27" t="str">
        <x:v>OPEN</x:v>
      </x:c>
      <x:c r="M43" s="29" t="n">
        <x:v>0</x:v>
      </x:c>
    </x:row>
    <x:row r="44" ht="29" customHeight="1">
      <x:c r="B44" s="27" t="str">
        <x:v>CRS-R01-H06</x:v>
      </x:c>
      <x:c r="C44" s="27" t="str">
        <x:v>CRS-R01</x:v>
      </x:c>
      <x:c r="D44" s="27" t="str">
        <x:v>Civil receiver</x:v>
      </x:c>
      <x:c r="E44" s="27" t="str">
        <x:v>dust and debris</x:v>
      </x:c>
      <x:c r="F44" s="27" t="n">
        <x:v>3</x:v>
      </x:c>
      <x:c r="G44" s="27" t="n">
        <x:v>8</x:v>
      </x:c>
      <x:c r="H44" s="27" t="str">
        <x:v>h</x:v>
      </x:c>
      <x:c r="I44" s="27" t="str">
        <x:v>no hidden channel state after exposure</x:v>
      </x:c>
      <x:c r="J44" s="27" t="str">
        <x:v>qualification</x:v>
      </x:c>
      <x:c r="K44" s="27" t="str">
        <x:v>civil-effect authority</x:v>
      </x:c>
      <x:c r="L44" s="27" t="str">
        <x:v>OPEN</x:v>
      </x:c>
      <x:c r="M44" s="29" t="n">
        <x:v>0</x:v>
      </x:c>
    </x:row>
    <x:row r="45" ht="29" customHeight="1">
      <x:c r="B45" s="27" t="str">
        <x:v>CRS-R01-H07</x:v>
      </x:c>
      <x:c r="C45" s="27" t="str">
        <x:v>CRS-R01</x:v>
      </x:c>
      <x:c r="D45" s="27" t="str">
        <x:v>Civil receiver</x:v>
      </x:c>
      <x:c r="E45" s="27" t="str">
        <x:v>salt and decontamination chemistry</x:v>
      </x:c>
      <x:c r="F45" s="27" t="n">
        <x:v>3</x:v>
      </x:c>
      <x:c r="G45" s="27" t="n">
        <x:v>12</x:v>
      </x:c>
      <x:c r="H45" s="27" t="str">
        <x:v>h</x:v>
      </x:c>
      <x:c r="I45" s="27" t="str">
        <x:v>post-exposure calibration inside allocation</x:v>
      </x:c>
      <x:c r="J45" s="27" t="str">
        <x:v>qualification</x:v>
      </x:c>
      <x:c r="K45" s="27" t="str">
        <x:v>civil-effect authority</x:v>
      </x:c>
      <x:c r="L45" s="27" t="str">
        <x:v>OPEN</x:v>
      </x:c>
      <x:c r="M45" s="29" t="n">
        <x:v>0</x:v>
      </x:c>
    </x:row>
    <x:row r="46" ht="29" customHeight="1">
      <x:c r="B46" s="27" t="str">
        <x:v>CRS-R01-H08</x:v>
      </x:c>
      <x:c r="C46" s="27" t="str">
        <x:v>CRS-R01</x:v>
      </x:c>
      <x:c r="D46" s="27" t="str">
        <x:v>Civil receiver</x:v>
      </x:c>
      <x:c r="E46" s="27" t="str">
        <x:v>internal fire and propagation</x:v>
      </x:c>
      <x:c r="F46" s="27" t="n">
        <x:v>3</x:v>
      </x:c>
      <x:c r="G46" s="27" t="n">
        <x:v>2</x:v>
      </x:c>
      <x:c r="H46" s="27" t="str">
        <x:v>h</x:v>
      </x:c>
      <x:c r="I46" s="27" t="str">
        <x:v>no propagation beyond enclosure; original survives or invalidates explicitly</x:v>
      </x:c>
      <x:c r="J46" s="27" t="str">
        <x:v>destructive</x:v>
      </x:c>
      <x:c r="K46" s="27" t="str">
        <x:v>civil-effect authority</x:v>
      </x:c>
      <x:c r="L46" s="27" t="str">
        <x:v>OPEN</x:v>
      </x:c>
      <x:c r="M46" s="29" t="n">
        <x:v>0</x:v>
      </x:c>
    </x:row>
    <x:row r="47" ht="29" customHeight="1">
      <x:c r="B47" s="27" t="str">
        <x:v>PSS-T01-H01</x:v>
      </x:c>
      <x:c r="C47" s="27" t="str">
        <x:v>PSS-T01</x:v>
      </x:c>
      <x:c r="D47" s="27" t="str">
        <x:v>Pressure skin</x:v>
      </x:c>
      <x:c r="E47" s="27" t="str">
        <x:v>mechanical shock</x:v>
      </x:c>
      <x:c r="F47" s="27" t="n">
        <x:v>5</x:v>
      </x:c>
      <x:c r="G47" s="27" t="n">
        <x:v>0.003</x:v>
      </x:c>
      <x:c r="H47" s="27" t="str">
        <x:v>h</x:v>
      </x:c>
      <x:c r="I47" s="27" t="str">
        <x:v>no silent loss; sealed event retained</x:v>
      </x:c>
      <x:c r="J47" s="27" t="str">
        <x:v>destructive</x:v>
      </x:c>
      <x:c r="K47" s="27" t="str">
        <x:v>terrain metrology</x:v>
      </x:c>
      <x:c r="L47" s="27" t="str">
        <x:v>OPEN</x:v>
      </x:c>
      <x:c r="M47" s="29" t="n">
        <x:v>0</x:v>
      </x:c>
    </x:row>
    <x:row r="48" ht="29" customHeight="1">
      <x:c r="B48" s="27" t="str">
        <x:v>PSS-T01-H02</x:v>
      </x:c>
      <x:c r="C48" s="27" t="str">
        <x:v>PSS-T01</x:v>
      </x:c>
      <x:c r="D48" s="27" t="str">
        <x:v>Pressure skin</x:v>
      </x:c>
      <x:c r="E48" s="27" t="str">
        <x:v>random vibration</x:v>
      </x:c>
      <x:c r="F48" s="27" t="n">
        <x:v>5</x:v>
      </x:c>
      <x:c r="G48" s="27" t="n">
        <x:v>8</x:v>
      </x:c>
      <x:c r="H48" s="27" t="str">
        <x:v>h</x:v>
      </x:c>
      <x:c r="I48" s="27" t="str">
        <x:v>operate through role-registered spectrum</x:v>
      </x:c>
      <x:c r="J48" s="27" t="str">
        <x:v>qualification</x:v>
      </x:c>
      <x:c r="K48" s="27" t="str">
        <x:v>terrain metrology</x:v>
      </x:c>
      <x:c r="L48" s="27" t="str">
        <x:v>OPEN</x:v>
      </x:c>
      <x:c r="M48" s="29" t="n">
        <x:v>0</x:v>
      </x:c>
    </x:row>
    <x:row r="49" ht="29" customHeight="1">
      <x:c r="B49" s="27" t="str">
        <x:v>PSS-T01-H03</x:v>
      </x:c>
      <x:c r="C49" s="27" t="str">
        <x:v>PSS-T01</x:v>
      </x:c>
      <x:c r="D49" s="27" t="str">
        <x:v>Pressure skin</x:v>
      </x:c>
      <x:c r="E49" s="27" t="str">
        <x:v>cold soak</x:v>
      </x:c>
      <x:c r="F49" s="27" t="n">
        <x:v>5</x:v>
      </x:c>
      <x:c r="G49" s="27" t="n">
        <x:v>24</x:v>
      </x:c>
      <x:c r="H49" s="27" t="str">
        <x:v>h</x:v>
      </x:c>
      <x:c r="I49" s="27" t="str">
        <x:v>minus 40 C soak then full operation</x:v>
      </x:c>
      <x:c r="J49" s="27" t="str">
        <x:v>qualification</x:v>
      </x:c>
      <x:c r="K49" s="27" t="str">
        <x:v>terrain metrology</x:v>
      </x:c>
      <x:c r="L49" s="27" t="str">
        <x:v>OPEN</x:v>
      </x:c>
      <x:c r="M49" s="29" t="n">
        <x:v>0</x:v>
      </x:c>
    </x:row>
    <x:row r="50" ht="29" customHeight="1">
      <x:c r="B50" s="27" t="str">
        <x:v>PSS-T01-H04</x:v>
      </x:c>
      <x:c r="C50" s="27" t="str">
        <x:v>PSS-T01</x:v>
      </x:c>
      <x:c r="D50" s="27" t="str">
        <x:v>Pressure skin</x:v>
      </x:c>
      <x:c r="E50" s="27" t="str">
        <x:v>hot soak</x:v>
      </x:c>
      <x:c r="F50" s="27" t="n">
        <x:v>5</x:v>
      </x:c>
      <x:c r="G50" s="27" t="n">
        <x:v>24</x:v>
      </x:c>
      <x:c r="H50" s="27" t="str">
        <x:v>h</x:v>
      </x:c>
      <x:c r="I50" s="27" t="str">
        <x:v>plus 55 C soak then full operation</x:v>
      </x:c>
      <x:c r="J50" s="27" t="str">
        <x:v>qualification</x:v>
      </x:c>
      <x:c r="K50" s="27" t="str">
        <x:v>terrain metrology</x:v>
      </x:c>
      <x:c r="L50" s="27" t="str">
        <x:v>OPEN</x:v>
      </x:c>
      <x:c r="M50" s="29" t="n">
        <x:v>0</x:v>
      </x:c>
    </x:row>
    <x:row r="51" ht="29" customHeight="1">
      <x:c r="B51" s="27" t="str">
        <x:v>PSS-T01-H05</x:v>
      </x:c>
      <x:c r="C51" s="27" t="str">
        <x:v>PSS-T01</x:v>
      </x:c>
      <x:c r="D51" s="27" t="str">
        <x:v>Pressure skin</x:v>
      </x:c>
      <x:c r="E51" s="27" t="str">
        <x:v>water ingress</x:v>
      </x:c>
      <x:c r="F51" s="27" t="n">
        <x:v>5</x:v>
      </x:c>
      <x:c r="G51" s="27" t="n">
        <x:v>24</x:v>
      </x:c>
      <x:c r="H51" s="27" t="str">
        <x:v>h</x:v>
      </x:c>
      <x:c r="I51" s="27" t="str">
        <x:v>1.5 m equivalent or role-registered spray</x:v>
      </x:c>
      <x:c r="J51" s="27" t="str">
        <x:v>qualification</x:v>
      </x:c>
      <x:c r="K51" s="27" t="str">
        <x:v>terrain metrology</x:v>
      </x:c>
      <x:c r="L51" s="27" t="str">
        <x:v>OPEN</x:v>
      </x:c>
      <x:c r="M51" s="29" t="n">
        <x:v>0</x:v>
      </x:c>
    </x:row>
    <x:row r="52" ht="29" customHeight="1">
      <x:c r="B52" s="27" t="str">
        <x:v>PSS-T01-H06</x:v>
      </x:c>
      <x:c r="C52" s="27" t="str">
        <x:v>PSS-T01</x:v>
      </x:c>
      <x:c r="D52" s="27" t="str">
        <x:v>Pressure skin</x:v>
      </x:c>
      <x:c r="E52" s="27" t="str">
        <x:v>dust and debris</x:v>
      </x:c>
      <x:c r="F52" s="27" t="n">
        <x:v>5</x:v>
      </x:c>
      <x:c r="G52" s="27" t="n">
        <x:v>8</x:v>
      </x:c>
      <x:c r="H52" s="27" t="str">
        <x:v>h</x:v>
      </x:c>
      <x:c r="I52" s="27" t="str">
        <x:v>no hidden channel state after exposure</x:v>
      </x:c>
      <x:c r="J52" s="27" t="str">
        <x:v>qualification</x:v>
      </x:c>
      <x:c r="K52" s="27" t="str">
        <x:v>terrain metrology</x:v>
      </x:c>
      <x:c r="L52" s="27" t="str">
        <x:v>OPEN</x:v>
      </x:c>
      <x:c r="M52" s="29" t="n">
        <x:v>0</x:v>
      </x:c>
    </x:row>
    <x:row r="53" ht="29" customHeight="1">
      <x:c r="B53" s="27" t="str">
        <x:v>PSS-T01-H07</x:v>
      </x:c>
      <x:c r="C53" s="27" t="str">
        <x:v>PSS-T01</x:v>
      </x:c>
      <x:c r="D53" s="27" t="str">
        <x:v>Pressure skin</x:v>
      </x:c>
      <x:c r="E53" s="27" t="str">
        <x:v>salt and decontamination chemistry</x:v>
      </x:c>
      <x:c r="F53" s="27" t="n">
        <x:v>5</x:v>
      </x:c>
      <x:c r="G53" s="27" t="n">
        <x:v>12</x:v>
      </x:c>
      <x:c r="H53" s="27" t="str">
        <x:v>h</x:v>
      </x:c>
      <x:c r="I53" s="27" t="str">
        <x:v>post-exposure calibration inside allocation</x:v>
      </x:c>
      <x:c r="J53" s="27" t="str">
        <x:v>qualification</x:v>
      </x:c>
      <x:c r="K53" s="27" t="str">
        <x:v>terrain metrology</x:v>
      </x:c>
      <x:c r="L53" s="27" t="str">
        <x:v>OPEN</x:v>
      </x:c>
      <x:c r="M53" s="29" t="n">
        <x:v>0</x:v>
      </x:c>
    </x:row>
    <x:row r="54" ht="29" customHeight="1">
      <x:c r="B54" s="27" t="str">
        <x:v>PSS-T01-H08</x:v>
      </x:c>
      <x:c r="C54" s="27" t="str">
        <x:v>PSS-T01</x:v>
      </x:c>
      <x:c r="D54" s="27" t="str">
        <x:v>Pressure skin</x:v>
      </x:c>
      <x:c r="E54" s="27" t="str">
        <x:v>internal fire and propagation</x:v>
      </x:c>
      <x:c r="F54" s="27" t="n">
        <x:v>5</x:v>
      </x:c>
      <x:c r="G54" s="27" t="n">
        <x:v>2</x:v>
      </x:c>
      <x:c r="H54" s="27" t="str">
        <x:v>h</x:v>
      </x:c>
      <x:c r="I54" s="27" t="str">
        <x:v>no propagation beyond enclosure; original survives or invalidates explicitly</x:v>
      </x:c>
      <x:c r="J54" s="27" t="str">
        <x:v>destructive</x:v>
      </x:c>
      <x:c r="K54" s="27" t="str">
        <x:v>terrain metrology</x:v>
      </x:c>
      <x:c r="L54" s="27" t="str">
        <x:v>OPEN</x:v>
      </x:c>
      <x:c r="M54" s="29" t="n">
        <x:v>0</x:v>
      </x:c>
    </x:row>
    <x:row r="55" ht="29" customHeight="1">
      <x:c r="B55" s="27" t="str">
        <x:v>PIF-I01-H01</x:v>
      </x:c>
      <x:c r="C55" s="27" t="str">
        <x:v>PIF-I01</x:v>
      </x:c>
      <x:c r="D55" s="27" t="str">
        <x:v>Passive interface</x:v>
      </x:c>
      <x:c r="E55" s="27" t="str">
        <x:v>mechanical shock</x:v>
      </x:c>
      <x:c r="F55" s="27" t="n">
        <x:v>5</x:v>
      </x:c>
      <x:c r="G55" s="27" t="n">
        <x:v>0.003</x:v>
      </x:c>
      <x:c r="H55" s="27" t="str">
        <x:v>h</x:v>
      </x:c>
      <x:c r="I55" s="27" t="str">
        <x:v>no silent loss; sealed event retained</x:v>
      </x:c>
      <x:c r="J55" s="27" t="str">
        <x:v>destructive</x:v>
      </x:c>
      <x:c r="K55" s="27" t="str">
        <x:v>interface authority</x:v>
      </x:c>
      <x:c r="L55" s="27" t="str">
        <x:v>OPEN</x:v>
      </x:c>
      <x:c r="M55" s="29" t="n">
        <x:v>0</x:v>
      </x:c>
    </x:row>
    <x:row r="56" ht="29" customHeight="1">
      <x:c r="B56" s="27" t="str">
        <x:v>PIF-I01-H02</x:v>
      </x:c>
      <x:c r="C56" s="27" t="str">
        <x:v>PIF-I01</x:v>
      </x:c>
      <x:c r="D56" s="27" t="str">
        <x:v>Passive interface</x:v>
      </x:c>
      <x:c r="E56" s="27" t="str">
        <x:v>random vibration</x:v>
      </x:c>
      <x:c r="F56" s="27" t="n">
        <x:v>5</x:v>
      </x:c>
      <x:c r="G56" s="27" t="n">
        <x:v>8</x:v>
      </x:c>
      <x:c r="H56" s="27" t="str">
        <x:v>h</x:v>
      </x:c>
      <x:c r="I56" s="27" t="str">
        <x:v>operate through role-registered spectrum</x:v>
      </x:c>
      <x:c r="J56" s="27" t="str">
        <x:v>qualification</x:v>
      </x:c>
      <x:c r="K56" s="27" t="str">
        <x:v>interface authority</x:v>
      </x:c>
      <x:c r="L56" s="27" t="str">
        <x:v>OPEN</x:v>
      </x:c>
      <x:c r="M56" s="29" t="n">
        <x:v>0</x:v>
      </x:c>
    </x:row>
    <x:row r="57" ht="29" customHeight="1">
      <x:c r="B57" s="27" t="str">
        <x:v>PIF-I01-H03</x:v>
      </x:c>
      <x:c r="C57" s="27" t="str">
        <x:v>PIF-I01</x:v>
      </x:c>
      <x:c r="D57" s="27" t="str">
        <x:v>Passive interface</x:v>
      </x:c>
      <x:c r="E57" s="27" t="str">
        <x:v>cold soak</x:v>
      </x:c>
      <x:c r="F57" s="27" t="n">
        <x:v>5</x:v>
      </x:c>
      <x:c r="G57" s="27" t="n">
        <x:v>24</x:v>
      </x:c>
      <x:c r="H57" s="27" t="str">
        <x:v>h</x:v>
      </x:c>
      <x:c r="I57" s="27" t="str">
        <x:v>minus 40 C soak then full operation</x:v>
      </x:c>
      <x:c r="J57" s="27" t="str">
        <x:v>qualification</x:v>
      </x:c>
      <x:c r="K57" s="27" t="str">
        <x:v>interface authority</x:v>
      </x:c>
      <x:c r="L57" s="27" t="str">
        <x:v>OPEN</x:v>
      </x:c>
      <x:c r="M57" s="29" t="n">
        <x:v>0</x:v>
      </x:c>
    </x:row>
    <x:row r="58" ht="29" customHeight="1">
      <x:c r="B58" s="27" t="str">
        <x:v>PIF-I01-H04</x:v>
      </x:c>
      <x:c r="C58" s="27" t="str">
        <x:v>PIF-I01</x:v>
      </x:c>
      <x:c r="D58" s="27" t="str">
        <x:v>Passive interface</x:v>
      </x:c>
      <x:c r="E58" s="27" t="str">
        <x:v>hot soak</x:v>
      </x:c>
      <x:c r="F58" s="27" t="n">
        <x:v>5</x:v>
      </x:c>
      <x:c r="G58" s="27" t="n">
        <x:v>24</x:v>
      </x:c>
      <x:c r="H58" s="27" t="str">
        <x:v>h</x:v>
      </x:c>
      <x:c r="I58" s="27" t="str">
        <x:v>plus 55 C soak then full operation</x:v>
      </x:c>
      <x:c r="J58" s="27" t="str">
        <x:v>qualification</x:v>
      </x:c>
      <x:c r="K58" s="27" t="str">
        <x:v>interface authority</x:v>
      </x:c>
      <x:c r="L58" s="27" t="str">
        <x:v>OPEN</x:v>
      </x:c>
      <x:c r="M58" s="29" t="n">
        <x:v>0</x:v>
      </x:c>
    </x:row>
    <x:row r="59" ht="29" customHeight="1">
      <x:c r="B59" s="27" t="str">
        <x:v>PIF-I01-H05</x:v>
      </x:c>
      <x:c r="C59" s="27" t="str">
        <x:v>PIF-I01</x:v>
      </x:c>
      <x:c r="D59" s="27" t="str">
        <x:v>Passive interface</x:v>
      </x:c>
      <x:c r="E59" s="27" t="str">
        <x:v>water ingress</x:v>
      </x:c>
      <x:c r="F59" s="27" t="n">
        <x:v>5</x:v>
      </x:c>
      <x:c r="G59" s="27" t="n">
        <x:v>24</x:v>
      </x:c>
      <x:c r="H59" s="27" t="str">
        <x:v>h</x:v>
      </x:c>
      <x:c r="I59" s="27" t="str">
        <x:v>1.5 m equivalent or role-registered spray</x:v>
      </x:c>
      <x:c r="J59" s="27" t="str">
        <x:v>qualification</x:v>
      </x:c>
      <x:c r="K59" s="27" t="str">
        <x:v>interface authority</x:v>
      </x:c>
      <x:c r="L59" s="27" t="str">
        <x:v>OPEN</x:v>
      </x:c>
      <x:c r="M59" s="29" t="n">
        <x:v>0</x:v>
      </x:c>
    </x:row>
    <x:row r="60" ht="29" customHeight="1">
      <x:c r="B60" s="27" t="str">
        <x:v>PIF-I01-H06</x:v>
      </x:c>
      <x:c r="C60" s="27" t="str">
        <x:v>PIF-I01</x:v>
      </x:c>
      <x:c r="D60" s="27" t="str">
        <x:v>Passive interface</x:v>
      </x:c>
      <x:c r="E60" s="27" t="str">
        <x:v>dust and debris</x:v>
      </x:c>
      <x:c r="F60" s="27" t="n">
        <x:v>5</x:v>
      </x:c>
      <x:c r="G60" s="27" t="n">
        <x:v>8</x:v>
      </x:c>
      <x:c r="H60" s="27" t="str">
        <x:v>h</x:v>
      </x:c>
      <x:c r="I60" s="27" t="str">
        <x:v>no hidden channel state after exposure</x:v>
      </x:c>
      <x:c r="J60" s="27" t="str">
        <x:v>qualification</x:v>
      </x:c>
      <x:c r="K60" s="27" t="str">
        <x:v>interface authority</x:v>
      </x:c>
      <x:c r="L60" s="27" t="str">
        <x:v>OPEN</x:v>
      </x:c>
      <x:c r="M60" s="29" t="n">
        <x:v>0</x:v>
      </x:c>
    </x:row>
    <x:row r="61" ht="29" customHeight="1">
      <x:c r="B61" s="27" t="str">
        <x:v>PIF-I01-H07</x:v>
      </x:c>
      <x:c r="C61" s="27" t="str">
        <x:v>PIF-I01</x:v>
      </x:c>
      <x:c r="D61" s="27" t="str">
        <x:v>Passive interface</x:v>
      </x:c>
      <x:c r="E61" s="27" t="str">
        <x:v>salt and decontamination chemistry</x:v>
      </x:c>
      <x:c r="F61" s="27" t="n">
        <x:v>5</x:v>
      </x:c>
      <x:c r="G61" s="27" t="n">
        <x:v>12</x:v>
      </x:c>
      <x:c r="H61" s="27" t="str">
        <x:v>h</x:v>
      </x:c>
      <x:c r="I61" s="27" t="str">
        <x:v>post-exposure calibration inside allocation</x:v>
      </x:c>
      <x:c r="J61" s="27" t="str">
        <x:v>qualification</x:v>
      </x:c>
      <x:c r="K61" s="27" t="str">
        <x:v>interface authority</x:v>
      </x:c>
      <x:c r="L61" s="27" t="str">
        <x:v>OPEN</x:v>
      </x:c>
      <x:c r="M61" s="29" t="n">
        <x:v>0</x:v>
      </x:c>
    </x:row>
    <x:row r="62" ht="29" customHeight="1">
      <x:c r="B62" s="27" t="str">
        <x:v>PIF-I01-H08</x:v>
      </x:c>
      <x:c r="C62" s="27" t="str">
        <x:v>PIF-I01</x:v>
      </x:c>
      <x:c r="D62" s="27" t="str">
        <x:v>Passive interface</x:v>
      </x:c>
      <x:c r="E62" s="27" t="str">
        <x:v>internal fire and propagation</x:v>
      </x:c>
      <x:c r="F62" s="27" t="n">
        <x:v>5</x:v>
      </x:c>
      <x:c r="G62" s="27" t="n">
        <x:v>2</x:v>
      </x:c>
      <x:c r="H62" s="27" t="str">
        <x:v>h</x:v>
      </x:c>
      <x:c r="I62" s="27" t="str">
        <x:v>no propagation beyond enclosure; original survives or invalidates explicitly</x:v>
      </x:c>
      <x:c r="J62" s="27" t="str">
        <x:v>destructive</x:v>
      </x:c>
      <x:c r="K62" s="27" t="str">
        <x:v>interface authority</x:v>
      </x:c>
      <x:c r="L62" s="27" t="str">
        <x:v>OPEN</x:v>
      </x:c>
      <x:c r="M62" s="29" t="n">
        <x:v>0</x:v>
      </x:c>
    </x:row>
    <x:row r="63" ht="29" customHeight="1">
      <x:c r="B63" s="27" t="str">
        <x:v>EPS-P01-H01</x:v>
      </x:c>
      <x:c r="C63" s="27" t="str">
        <x:v>EPS-P01</x:v>
      </x:c>
      <x:c r="D63" s="27" t="str">
        <x:v>Independent energy</x:v>
      </x:c>
      <x:c r="E63" s="27" t="str">
        <x:v>mechanical shock</x:v>
      </x:c>
      <x:c r="F63" s="27" t="n">
        <x:v>5</x:v>
      </x:c>
      <x:c r="G63" s="27" t="n">
        <x:v>0.003</x:v>
      </x:c>
      <x:c r="H63" s="27" t="str">
        <x:v>h</x:v>
      </x:c>
      <x:c r="I63" s="27" t="str">
        <x:v>no silent loss; sealed event retained</x:v>
      </x:c>
      <x:c r="J63" s="27" t="str">
        <x:v>destructive</x:v>
      </x:c>
      <x:c r="K63" s="27" t="str">
        <x:v>energy safety authority</x:v>
      </x:c>
      <x:c r="L63" s="27" t="str">
        <x:v>OPEN</x:v>
      </x:c>
      <x:c r="M63" s="29" t="n">
        <x:v>0</x:v>
      </x:c>
    </x:row>
    <x:row r="64" ht="29" customHeight="1">
      <x:c r="B64" s="27" t="str">
        <x:v>EPS-P01-H02</x:v>
      </x:c>
      <x:c r="C64" s="27" t="str">
        <x:v>EPS-P01</x:v>
      </x:c>
      <x:c r="D64" s="27" t="str">
        <x:v>Independent energy</x:v>
      </x:c>
      <x:c r="E64" s="27" t="str">
        <x:v>random vibration</x:v>
      </x:c>
      <x:c r="F64" s="27" t="n">
        <x:v>5</x:v>
      </x:c>
      <x:c r="G64" s="27" t="n">
        <x:v>8</x:v>
      </x:c>
      <x:c r="H64" s="27" t="str">
        <x:v>h</x:v>
      </x:c>
      <x:c r="I64" s="27" t="str">
        <x:v>operate through role-registered spectrum</x:v>
      </x:c>
      <x:c r="J64" s="27" t="str">
        <x:v>qualification</x:v>
      </x:c>
      <x:c r="K64" s="27" t="str">
        <x:v>energy safety authority</x:v>
      </x:c>
      <x:c r="L64" s="27" t="str">
        <x:v>OPEN</x:v>
      </x:c>
      <x:c r="M64" s="29" t="n">
        <x:v>0</x:v>
      </x:c>
    </x:row>
    <x:row r="65" ht="29" customHeight="1">
      <x:c r="B65" s="27" t="str">
        <x:v>EPS-P01-H03</x:v>
      </x:c>
      <x:c r="C65" s="27" t="str">
        <x:v>EPS-P01</x:v>
      </x:c>
      <x:c r="D65" s="27" t="str">
        <x:v>Independent energy</x:v>
      </x:c>
      <x:c r="E65" s="27" t="str">
        <x:v>cold soak</x:v>
      </x:c>
      <x:c r="F65" s="27" t="n">
        <x:v>5</x:v>
      </x:c>
      <x:c r="G65" s="27" t="n">
        <x:v>24</x:v>
      </x:c>
      <x:c r="H65" s="27" t="str">
        <x:v>h</x:v>
      </x:c>
      <x:c r="I65" s="27" t="str">
        <x:v>minus 40 C soak then full operation</x:v>
      </x:c>
      <x:c r="J65" s="27" t="str">
        <x:v>qualification</x:v>
      </x:c>
      <x:c r="K65" s="27" t="str">
        <x:v>energy safety authority</x:v>
      </x:c>
      <x:c r="L65" s="27" t="str">
        <x:v>OPEN</x:v>
      </x:c>
      <x:c r="M65" s="29" t="n">
        <x:v>0</x:v>
      </x:c>
    </x:row>
    <x:row r="66" ht="29" customHeight="1">
      <x:c r="B66" s="27" t="str">
        <x:v>EPS-P01-H04</x:v>
      </x:c>
      <x:c r="C66" s="27" t="str">
        <x:v>EPS-P01</x:v>
      </x:c>
      <x:c r="D66" s="27" t="str">
        <x:v>Independent energy</x:v>
      </x:c>
      <x:c r="E66" s="27" t="str">
        <x:v>hot soak</x:v>
      </x:c>
      <x:c r="F66" s="27" t="n">
        <x:v>5</x:v>
      </x:c>
      <x:c r="G66" s="27" t="n">
        <x:v>24</x:v>
      </x:c>
      <x:c r="H66" s="27" t="str">
        <x:v>h</x:v>
      </x:c>
      <x:c r="I66" s="27" t="str">
        <x:v>plus 55 C soak then full operation</x:v>
      </x:c>
      <x:c r="J66" s="27" t="str">
        <x:v>qualification</x:v>
      </x:c>
      <x:c r="K66" s="27" t="str">
        <x:v>energy safety authority</x:v>
      </x:c>
      <x:c r="L66" s="27" t="str">
        <x:v>OPEN</x:v>
      </x:c>
      <x:c r="M66" s="29" t="n">
        <x:v>0</x:v>
      </x:c>
    </x:row>
    <x:row r="67" ht="29" customHeight="1">
      <x:c r="B67" s="27" t="str">
        <x:v>EPS-P01-H05</x:v>
      </x:c>
      <x:c r="C67" s="27" t="str">
        <x:v>EPS-P01</x:v>
      </x:c>
      <x:c r="D67" s="27" t="str">
        <x:v>Independent energy</x:v>
      </x:c>
      <x:c r="E67" s="27" t="str">
        <x:v>water ingress</x:v>
      </x:c>
      <x:c r="F67" s="27" t="n">
        <x:v>5</x:v>
      </x:c>
      <x:c r="G67" s="27" t="n">
        <x:v>24</x:v>
      </x:c>
      <x:c r="H67" s="27" t="str">
        <x:v>h</x:v>
      </x:c>
      <x:c r="I67" s="27" t="str">
        <x:v>1.5 m equivalent or role-registered spray</x:v>
      </x:c>
      <x:c r="J67" s="27" t="str">
        <x:v>qualification</x:v>
      </x:c>
      <x:c r="K67" s="27" t="str">
        <x:v>energy safety authority</x:v>
      </x:c>
      <x:c r="L67" s="27" t="str">
        <x:v>OPEN</x:v>
      </x:c>
      <x:c r="M67" s="29" t="n">
        <x:v>0</x:v>
      </x:c>
    </x:row>
    <x:row r="68" ht="29" customHeight="1">
      <x:c r="B68" s="27" t="str">
        <x:v>EPS-P01-H06</x:v>
      </x:c>
      <x:c r="C68" s="27" t="str">
        <x:v>EPS-P01</x:v>
      </x:c>
      <x:c r="D68" s="27" t="str">
        <x:v>Independent energy</x:v>
      </x:c>
      <x:c r="E68" s="27" t="str">
        <x:v>dust and debris</x:v>
      </x:c>
      <x:c r="F68" s="27" t="n">
        <x:v>5</x:v>
      </x:c>
      <x:c r="G68" s="27" t="n">
        <x:v>8</x:v>
      </x:c>
      <x:c r="H68" s="27" t="str">
        <x:v>h</x:v>
      </x:c>
      <x:c r="I68" s="27" t="str">
        <x:v>no hidden channel state after exposure</x:v>
      </x:c>
      <x:c r="J68" s="27" t="str">
        <x:v>qualification</x:v>
      </x:c>
      <x:c r="K68" s="27" t="str">
        <x:v>energy safety authority</x:v>
      </x:c>
      <x:c r="L68" s="27" t="str">
        <x:v>OPEN</x:v>
      </x:c>
      <x:c r="M68" s="29" t="n">
        <x:v>0</x:v>
      </x:c>
    </x:row>
    <x:row r="69" ht="29" customHeight="1">
      <x:c r="B69" s="27" t="str">
        <x:v>EPS-P01-H07</x:v>
      </x:c>
      <x:c r="C69" s="27" t="str">
        <x:v>EPS-P01</x:v>
      </x:c>
      <x:c r="D69" s="27" t="str">
        <x:v>Independent energy</x:v>
      </x:c>
      <x:c r="E69" s="27" t="str">
        <x:v>salt and decontamination chemistry</x:v>
      </x:c>
      <x:c r="F69" s="27" t="n">
        <x:v>5</x:v>
      </x:c>
      <x:c r="G69" s="27" t="n">
        <x:v>12</x:v>
      </x:c>
      <x:c r="H69" s="27" t="str">
        <x:v>h</x:v>
      </x:c>
      <x:c r="I69" s="27" t="str">
        <x:v>post-exposure calibration inside allocation</x:v>
      </x:c>
      <x:c r="J69" s="27" t="str">
        <x:v>qualification</x:v>
      </x:c>
      <x:c r="K69" s="27" t="str">
        <x:v>energy safety authority</x:v>
      </x:c>
      <x:c r="L69" s="27" t="str">
        <x:v>OPEN</x:v>
      </x:c>
      <x:c r="M69" s="29" t="n">
        <x:v>0</x:v>
      </x:c>
    </x:row>
    <x:row r="70" ht="29" customHeight="1">
      <x:c r="B70" s="27" t="str">
        <x:v>EPS-P01-H08</x:v>
      </x:c>
      <x:c r="C70" s="27" t="str">
        <x:v>EPS-P01</x:v>
      </x:c>
      <x:c r="D70" s="27" t="str">
        <x:v>Independent energy</x:v>
      </x:c>
      <x:c r="E70" s="27" t="str">
        <x:v>internal fire and propagation</x:v>
      </x:c>
      <x:c r="F70" s="27" t="n">
        <x:v>5</x:v>
      </x:c>
      <x:c r="G70" s="27" t="n">
        <x:v>2</x:v>
      </x:c>
      <x:c r="H70" s="27" t="str">
        <x:v>h</x:v>
      </x:c>
      <x:c r="I70" s="27" t="str">
        <x:v>no propagation beyond enclosure; original survives or invalidates explicitly</x:v>
      </x:c>
      <x:c r="J70" s="27" t="str">
        <x:v>destructive</x:v>
      </x:c>
      <x:c r="K70" s="27" t="str">
        <x:v>energy safety authority</x:v>
      </x:c>
      <x:c r="L70" s="27" t="str">
        <x:v>OPEN</x:v>
      </x:c>
      <x:c r="M70" s="29" t="n">
        <x:v>0</x:v>
      </x:c>
    </x:row>
    <x:row r="71" ht="29" customHeight="1">
      <x:c r="B71" s="27" t="str">
        <x:v>TKS-C01-H01</x:v>
      </x:c>
      <x:c r="C71" s="27" t="str">
        <x:v>TKS-C01</x:v>
      </x:c>
      <x:c r="D71" s="27" t="str">
        <x:v>Denied time</x:v>
      </x:c>
      <x:c r="E71" s="27" t="str">
        <x:v>mechanical shock</x:v>
      </x:c>
      <x:c r="F71" s="27" t="n">
        <x:v>4</x:v>
      </x:c>
      <x:c r="G71" s="27" t="n">
        <x:v>0.003</x:v>
      </x:c>
      <x:c r="H71" s="27" t="str">
        <x:v>h</x:v>
      </x:c>
      <x:c r="I71" s="27" t="str">
        <x:v>no silent loss; sealed event retained</x:v>
      </x:c>
      <x:c r="J71" s="27" t="str">
        <x:v>destructive</x:v>
      </x:c>
      <x:c r="K71" s="27" t="str">
        <x:v>time authority</x:v>
      </x:c>
      <x:c r="L71" s="27" t="str">
        <x:v>OPEN</x:v>
      </x:c>
      <x:c r="M71" s="29" t="n">
        <x:v>0</x:v>
      </x:c>
    </x:row>
    <x:row r="72" ht="29" customHeight="1">
      <x:c r="B72" s="27" t="str">
        <x:v>TKS-C01-H02</x:v>
      </x:c>
      <x:c r="C72" s="27" t="str">
        <x:v>TKS-C01</x:v>
      </x:c>
      <x:c r="D72" s="27" t="str">
        <x:v>Denied time</x:v>
      </x:c>
      <x:c r="E72" s="27" t="str">
        <x:v>random vibration</x:v>
      </x:c>
      <x:c r="F72" s="27" t="n">
        <x:v>4</x:v>
      </x:c>
      <x:c r="G72" s="27" t="n">
        <x:v>8</x:v>
      </x:c>
      <x:c r="H72" s="27" t="str">
        <x:v>h</x:v>
      </x:c>
      <x:c r="I72" s="27" t="str">
        <x:v>operate through role-registered spectrum</x:v>
      </x:c>
      <x:c r="J72" s="27" t="str">
        <x:v>qualification</x:v>
      </x:c>
      <x:c r="K72" s="27" t="str">
        <x:v>time authority</x:v>
      </x:c>
      <x:c r="L72" s="27" t="str">
        <x:v>OPEN</x:v>
      </x:c>
      <x:c r="M72" s="29" t="n">
        <x:v>0</x:v>
      </x:c>
    </x:row>
    <x:row r="73" ht="29" customHeight="1">
      <x:c r="B73" s="27" t="str">
        <x:v>TKS-C01-H03</x:v>
      </x:c>
      <x:c r="C73" s="27" t="str">
        <x:v>TKS-C01</x:v>
      </x:c>
      <x:c r="D73" s="27" t="str">
        <x:v>Denied time</x:v>
      </x:c>
      <x:c r="E73" s="27" t="str">
        <x:v>cold soak</x:v>
      </x:c>
      <x:c r="F73" s="27" t="n">
        <x:v>4</x:v>
      </x:c>
      <x:c r="G73" s="27" t="n">
        <x:v>24</x:v>
      </x:c>
      <x:c r="H73" s="27" t="str">
        <x:v>h</x:v>
      </x:c>
      <x:c r="I73" s="27" t="str">
        <x:v>minus 40 C soak then full operation</x:v>
      </x:c>
      <x:c r="J73" s="27" t="str">
        <x:v>qualification</x:v>
      </x:c>
      <x:c r="K73" s="27" t="str">
        <x:v>time authority</x:v>
      </x:c>
      <x:c r="L73" s="27" t="str">
        <x:v>OPEN</x:v>
      </x:c>
      <x:c r="M73" s="29" t="n">
        <x:v>0</x:v>
      </x:c>
    </x:row>
    <x:row r="74" ht="29" customHeight="1">
      <x:c r="B74" s="27" t="str">
        <x:v>TKS-C01-H04</x:v>
      </x:c>
      <x:c r="C74" s="27" t="str">
        <x:v>TKS-C01</x:v>
      </x:c>
      <x:c r="D74" s="27" t="str">
        <x:v>Denied time</x:v>
      </x:c>
      <x:c r="E74" s="27" t="str">
        <x:v>hot soak</x:v>
      </x:c>
      <x:c r="F74" s="27" t="n">
        <x:v>4</x:v>
      </x:c>
      <x:c r="G74" s="27" t="n">
        <x:v>24</x:v>
      </x:c>
      <x:c r="H74" s="27" t="str">
        <x:v>h</x:v>
      </x:c>
      <x:c r="I74" s="27" t="str">
        <x:v>plus 55 C soak then full operation</x:v>
      </x:c>
      <x:c r="J74" s="27" t="str">
        <x:v>qualification</x:v>
      </x:c>
      <x:c r="K74" s="27" t="str">
        <x:v>time authority</x:v>
      </x:c>
      <x:c r="L74" s="27" t="str">
        <x:v>OPEN</x:v>
      </x:c>
      <x:c r="M74" s="29" t="n">
        <x:v>0</x:v>
      </x:c>
    </x:row>
    <x:row r="75" ht="29" customHeight="1">
      <x:c r="B75" s="27" t="str">
        <x:v>TKS-C01-H05</x:v>
      </x:c>
      <x:c r="C75" s="27" t="str">
        <x:v>TKS-C01</x:v>
      </x:c>
      <x:c r="D75" s="27" t="str">
        <x:v>Denied time</x:v>
      </x:c>
      <x:c r="E75" s="27" t="str">
        <x:v>water ingress</x:v>
      </x:c>
      <x:c r="F75" s="27" t="n">
        <x:v>4</x:v>
      </x:c>
      <x:c r="G75" s="27" t="n">
        <x:v>24</x:v>
      </x:c>
      <x:c r="H75" s="27" t="str">
        <x:v>h</x:v>
      </x:c>
      <x:c r="I75" s="27" t="str">
        <x:v>1.5 m equivalent or role-registered spray</x:v>
      </x:c>
      <x:c r="J75" s="27" t="str">
        <x:v>qualification</x:v>
      </x:c>
      <x:c r="K75" s="27" t="str">
        <x:v>time authority</x:v>
      </x:c>
      <x:c r="L75" s="27" t="str">
        <x:v>OPEN</x:v>
      </x:c>
      <x:c r="M75" s="29" t="n">
        <x:v>0</x:v>
      </x:c>
    </x:row>
    <x:row r="76" ht="29" customHeight="1">
      <x:c r="B76" s="27" t="str">
        <x:v>TKS-C01-H06</x:v>
      </x:c>
      <x:c r="C76" s="27" t="str">
        <x:v>TKS-C01</x:v>
      </x:c>
      <x:c r="D76" s="27" t="str">
        <x:v>Denied time</x:v>
      </x:c>
      <x:c r="E76" s="27" t="str">
        <x:v>dust and debris</x:v>
      </x:c>
      <x:c r="F76" s="27" t="n">
        <x:v>4</x:v>
      </x:c>
      <x:c r="G76" s="27" t="n">
        <x:v>8</x:v>
      </x:c>
      <x:c r="H76" s="27" t="str">
        <x:v>h</x:v>
      </x:c>
      <x:c r="I76" s="27" t="str">
        <x:v>no hidden channel state after exposure</x:v>
      </x:c>
      <x:c r="J76" s="27" t="str">
        <x:v>qualification</x:v>
      </x:c>
      <x:c r="K76" s="27" t="str">
        <x:v>time authority</x:v>
      </x:c>
      <x:c r="L76" s="27" t="str">
        <x:v>OPEN</x:v>
      </x:c>
      <x:c r="M76" s="29" t="n">
        <x:v>0</x:v>
      </x:c>
    </x:row>
    <x:row r="77" ht="29" customHeight="1">
      <x:c r="B77" s="27" t="str">
        <x:v>TKS-C01-H07</x:v>
      </x:c>
      <x:c r="C77" s="27" t="str">
        <x:v>TKS-C01</x:v>
      </x:c>
      <x:c r="D77" s="27" t="str">
        <x:v>Denied time</x:v>
      </x:c>
      <x:c r="E77" s="27" t="str">
        <x:v>salt and decontamination chemistry</x:v>
      </x:c>
      <x:c r="F77" s="27" t="n">
        <x:v>4</x:v>
      </x:c>
      <x:c r="G77" s="27" t="n">
        <x:v>12</x:v>
      </x:c>
      <x:c r="H77" s="27" t="str">
        <x:v>h</x:v>
      </x:c>
      <x:c r="I77" s="27" t="str">
        <x:v>post-exposure calibration inside allocation</x:v>
      </x:c>
      <x:c r="J77" s="27" t="str">
        <x:v>qualification</x:v>
      </x:c>
      <x:c r="K77" s="27" t="str">
        <x:v>time authority</x:v>
      </x:c>
      <x:c r="L77" s="27" t="str">
        <x:v>OPEN</x:v>
      </x:c>
      <x:c r="M77" s="29" t="n">
        <x:v>0</x:v>
      </x:c>
    </x:row>
    <x:row r="78" ht="29" customHeight="1">
      <x:c r="B78" s="27" t="str">
        <x:v>TKS-C01-H08</x:v>
      </x:c>
      <x:c r="C78" s="27" t="str">
        <x:v>TKS-C01</x:v>
      </x:c>
      <x:c r="D78" s="27" t="str">
        <x:v>Denied time</x:v>
      </x:c>
      <x:c r="E78" s="27" t="str">
        <x:v>internal fire and propagation</x:v>
      </x:c>
      <x:c r="F78" s="27" t="n">
        <x:v>4</x:v>
      </x:c>
      <x:c r="G78" s="27" t="n">
        <x:v>2</x:v>
      </x:c>
      <x:c r="H78" s="27" t="str">
        <x:v>h</x:v>
      </x:c>
      <x:c r="I78" s="27" t="str">
        <x:v>no propagation beyond enclosure; original survives or invalidates explicitly</x:v>
      </x:c>
      <x:c r="J78" s="27" t="str">
        <x:v>destructive</x:v>
      </x:c>
      <x:c r="K78" s="27" t="str">
        <x:v>time authority</x:v>
      </x:c>
      <x:c r="L78" s="27" t="str">
        <x:v>OPEN</x:v>
      </x:c>
      <x:c r="M78" s="29" t="n">
        <x:v>0</x:v>
      </x:c>
    </x:row>
    <x:row r="79" ht="29" customHeight="1">
      <x:c r="B79" s="27" t="str">
        <x:v>STG-S01-H01</x:v>
      </x:c>
      <x:c r="C79" s="27" t="str">
        <x:v>STG-S01</x:v>
      </x:c>
      <x:c r="D79" s="27" t="str">
        <x:v>Immutable storage</x:v>
      </x:c>
      <x:c r="E79" s="27" t="str">
        <x:v>mechanical shock</x:v>
      </x:c>
      <x:c r="F79" s="27" t="n">
        <x:v>4</x:v>
      </x:c>
      <x:c r="G79" s="27" t="n">
        <x:v>0.003</x:v>
      </x:c>
      <x:c r="H79" s="27" t="str">
        <x:v>h</x:v>
      </x:c>
      <x:c r="I79" s="27" t="str">
        <x:v>no silent loss; sealed event retained</x:v>
      </x:c>
      <x:c r="J79" s="27" t="str">
        <x:v>destructive</x:v>
      </x:c>
      <x:c r="K79" s="27" t="str">
        <x:v>data authority</x:v>
      </x:c>
      <x:c r="L79" s="27" t="str">
        <x:v>OPEN</x:v>
      </x:c>
      <x:c r="M79" s="29" t="n">
        <x:v>0</x:v>
      </x:c>
    </x:row>
    <x:row r="80" ht="29" customHeight="1">
      <x:c r="B80" s="27" t="str">
        <x:v>STG-S01-H02</x:v>
      </x:c>
      <x:c r="C80" s="27" t="str">
        <x:v>STG-S01</x:v>
      </x:c>
      <x:c r="D80" s="27" t="str">
        <x:v>Immutable storage</x:v>
      </x:c>
      <x:c r="E80" s="27" t="str">
        <x:v>random vibration</x:v>
      </x:c>
      <x:c r="F80" s="27" t="n">
        <x:v>4</x:v>
      </x:c>
      <x:c r="G80" s="27" t="n">
        <x:v>8</x:v>
      </x:c>
      <x:c r="H80" s="27" t="str">
        <x:v>h</x:v>
      </x:c>
      <x:c r="I80" s="27" t="str">
        <x:v>operate through role-registered spectrum</x:v>
      </x:c>
      <x:c r="J80" s="27" t="str">
        <x:v>qualification</x:v>
      </x:c>
      <x:c r="K80" s="27" t="str">
        <x:v>data authority</x:v>
      </x:c>
      <x:c r="L80" s="27" t="str">
        <x:v>OPEN</x:v>
      </x:c>
      <x:c r="M80" s="29" t="n">
        <x:v>0</x:v>
      </x:c>
    </x:row>
    <x:row r="81" ht="29" customHeight="1">
      <x:c r="B81" s="27" t="str">
        <x:v>STG-S01-H03</x:v>
      </x:c>
      <x:c r="C81" s="27" t="str">
        <x:v>STG-S01</x:v>
      </x:c>
      <x:c r="D81" s="27" t="str">
        <x:v>Immutable storage</x:v>
      </x:c>
      <x:c r="E81" s="27" t="str">
        <x:v>cold soak</x:v>
      </x:c>
      <x:c r="F81" s="27" t="n">
        <x:v>4</x:v>
      </x:c>
      <x:c r="G81" s="27" t="n">
        <x:v>24</x:v>
      </x:c>
      <x:c r="H81" s="27" t="str">
        <x:v>h</x:v>
      </x:c>
      <x:c r="I81" s="27" t="str">
        <x:v>minus 40 C soak then full operation</x:v>
      </x:c>
      <x:c r="J81" s="27" t="str">
        <x:v>qualification</x:v>
      </x:c>
      <x:c r="K81" s="27" t="str">
        <x:v>data authority</x:v>
      </x:c>
      <x:c r="L81" s="27" t="str">
        <x:v>OPEN</x:v>
      </x:c>
      <x:c r="M81" s="29" t="n">
        <x:v>0</x:v>
      </x:c>
    </x:row>
    <x:row r="82" ht="29" customHeight="1">
      <x:c r="B82" s="27" t="str">
        <x:v>STG-S01-H04</x:v>
      </x:c>
      <x:c r="C82" s="27" t="str">
        <x:v>STG-S01</x:v>
      </x:c>
      <x:c r="D82" s="27" t="str">
        <x:v>Immutable storage</x:v>
      </x:c>
      <x:c r="E82" s="27" t="str">
        <x:v>hot soak</x:v>
      </x:c>
      <x:c r="F82" s="27" t="n">
        <x:v>4</x:v>
      </x:c>
      <x:c r="G82" s="27" t="n">
        <x:v>24</x:v>
      </x:c>
      <x:c r="H82" s="27" t="str">
        <x:v>h</x:v>
      </x:c>
      <x:c r="I82" s="27" t="str">
        <x:v>plus 55 C soak then full operation</x:v>
      </x:c>
      <x:c r="J82" s="27" t="str">
        <x:v>qualification</x:v>
      </x:c>
      <x:c r="K82" s="27" t="str">
        <x:v>data authority</x:v>
      </x:c>
      <x:c r="L82" s="27" t="str">
        <x:v>OPEN</x:v>
      </x:c>
      <x:c r="M82" s="29" t="n">
        <x:v>0</x:v>
      </x:c>
    </x:row>
    <x:row r="83" ht="29" customHeight="1">
      <x:c r="B83" s="27" t="str">
        <x:v>STG-S01-H05</x:v>
      </x:c>
      <x:c r="C83" s="27" t="str">
        <x:v>STG-S01</x:v>
      </x:c>
      <x:c r="D83" s="27" t="str">
        <x:v>Immutable storage</x:v>
      </x:c>
      <x:c r="E83" s="27" t="str">
        <x:v>water ingress</x:v>
      </x:c>
      <x:c r="F83" s="27" t="n">
        <x:v>4</x:v>
      </x:c>
      <x:c r="G83" s="27" t="n">
        <x:v>24</x:v>
      </x:c>
      <x:c r="H83" s="27" t="str">
        <x:v>h</x:v>
      </x:c>
      <x:c r="I83" s="27" t="str">
        <x:v>1.5 m equivalent or role-registered spray</x:v>
      </x:c>
      <x:c r="J83" s="27" t="str">
        <x:v>qualification</x:v>
      </x:c>
      <x:c r="K83" s="27" t="str">
        <x:v>data authority</x:v>
      </x:c>
      <x:c r="L83" s="27" t="str">
        <x:v>OPEN</x:v>
      </x:c>
      <x:c r="M83" s="29" t="n">
        <x:v>0</x:v>
      </x:c>
    </x:row>
    <x:row r="84" ht="29" customHeight="1">
      <x:c r="B84" s="27" t="str">
        <x:v>STG-S01-H06</x:v>
      </x:c>
      <x:c r="C84" s="27" t="str">
        <x:v>STG-S01</x:v>
      </x:c>
      <x:c r="D84" s="27" t="str">
        <x:v>Immutable storage</x:v>
      </x:c>
      <x:c r="E84" s="27" t="str">
        <x:v>dust and debris</x:v>
      </x:c>
      <x:c r="F84" s="27" t="n">
        <x:v>4</x:v>
      </x:c>
      <x:c r="G84" s="27" t="n">
        <x:v>8</x:v>
      </x:c>
      <x:c r="H84" s="27" t="str">
        <x:v>h</x:v>
      </x:c>
      <x:c r="I84" s="27" t="str">
        <x:v>no hidden channel state after exposure</x:v>
      </x:c>
      <x:c r="J84" s="27" t="str">
        <x:v>qualification</x:v>
      </x:c>
      <x:c r="K84" s="27" t="str">
        <x:v>data authority</x:v>
      </x:c>
      <x:c r="L84" s="27" t="str">
        <x:v>OPEN</x:v>
      </x:c>
      <x:c r="M84" s="29" t="n">
        <x:v>0</x:v>
      </x:c>
    </x:row>
    <x:row r="85" ht="29" customHeight="1">
      <x:c r="B85" s="27" t="str">
        <x:v>STG-S01-H07</x:v>
      </x:c>
      <x:c r="C85" s="27" t="str">
        <x:v>STG-S01</x:v>
      </x:c>
      <x:c r="D85" s="27" t="str">
        <x:v>Immutable storage</x:v>
      </x:c>
      <x:c r="E85" s="27" t="str">
        <x:v>salt and decontamination chemistry</x:v>
      </x:c>
      <x:c r="F85" s="27" t="n">
        <x:v>4</x:v>
      </x:c>
      <x:c r="G85" s="27" t="n">
        <x:v>12</x:v>
      </x:c>
      <x:c r="H85" s="27" t="str">
        <x:v>h</x:v>
      </x:c>
      <x:c r="I85" s="27" t="str">
        <x:v>post-exposure calibration inside allocation</x:v>
      </x:c>
      <x:c r="J85" s="27" t="str">
        <x:v>qualification</x:v>
      </x:c>
      <x:c r="K85" s="27" t="str">
        <x:v>data authority</x:v>
      </x:c>
      <x:c r="L85" s="27" t="str">
        <x:v>OPEN</x:v>
      </x:c>
      <x:c r="M85" s="29" t="n">
        <x:v>0</x:v>
      </x:c>
    </x:row>
    <x:row r="86" ht="29" customHeight="1">
      <x:c r="B86" s="27" t="str">
        <x:v>STG-S01-H08</x:v>
      </x:c>
      <x:c r="C86" s="27" t="str">
        <x:v>STG-S01</x:v>
      </x:c>
      <x:c r="D86" s="27" t="str">
        <x:v>Immutable storage</x:v>
      </x:c>
      <x:c r="E86" s="27" t="str">
        <x:v>internal fire and propagation</x:v>
      </x:c>
      <x:c r="F86" s="27" t="n">
        <x:v>4</x:v>
      </x:c>
      <x:c r="G86" s="27" t="n">
        <x:v>2</x:v>
      </x:c>
      <x:c r="H86" s="27" t="str">
        <x:v>h</x:v>
      </x:c>
      <x:c r="I86" s="27" t="str">
        <x:v>no propagation beyond enclosure; original survives or invalidates explicitly</x:v>
      </x:c>
      <x:c r="J86" s="27" t="str">
        <x:v>destructive</x:v>
      </x:c>
      <x:c r="K86" s="27" t="str">
        <x:v>data authority</x:v>
      </x:c>
      <x:c r="L86" s="27" t="str">
        <x:v>OPEN</x:v>
      </x:c>
      <x:c r="M86" s="29" t="n">
        <x:v>0</x:v>
      </x:c>
    </x:row>
    <x:row r="87" ht="29" customHeight="1">
      <x:c r="B87" s="27" t="str">
        <x:v>MHE-E01-H01</x:v>
      </x:c>
      <x:c r="C87" s="27" t="str">
        <x:v>MHE-E01</x:v>
      </x:c>
      <x:c r="D87" s="27" t="str">
        <x:v>Mass and heat emulator</x:v>
      </x:c>
      <x:c r="E87" s="27" t="str">
        <x:v>mechanical shock</x:v>
      </x:c>
      <x:c r="F87" s="27" t="n">
        <x:v>5</x:v>
      </x:c>
      <x:c r="G87" s="27" t="n">
        <x:v>0.003</x:v>
      </x:c>
      <x:c r="H87" s="27" t="str">
        <x:v>h</x:v>
      </x:c>
      <x:c r="I87" s="27" t="str">
        <x:v>no silent loss; sealed event retained</x:v>
      </x:c>
      <x:c r="J87" s="27" t="str">
        <x:v>destructive</x:v>
      </x:c>
      <x:c r="K87" s="27" t="str">
        <x:v>equivalence authority</x:v>
      </x:c>
      <x:c r="L87" s="27" t="str">
        <x:v>OPEN</x:v>
      </x:c>
      <x:c r="M87" s="29" t="n">
        <x:v>0</x:v>
      </x:c>
    </x:row>
    <x:row r="88" ht="29" customHeight="1">
      <x:c r="B88" s="27" t="str">
        <x:v>MHE-E01-H02</x:v>
      </x:c>
      <x:c r="C88" s="27" t="str">
        <x:v>MHE-E01</x:v>
      </x:c>
      <x:c r="D88" s="27" t="str">
        <x:v>Mass and heat emulator</x:v>
      </x:c>
      <x:c r="E88" s="27" t="str">
        <x:v>random vibration</x:v>
      </x:c>
      <x:c r="F88" s="27" t="n">
        <x:v>5</x:v>
      </x:c>
      <x:c r="G88" s="27" t="n">
        <x:v>8</x:v>
      </x:c>
      <x:c r="H88" s="27" t="str">
        <x:v>h</x:v>
      </x:c>
      <x:c r="I88" s="27" t="str">
        <x:v>operate through role-registered spectrum</x:v>
      </x:c>
      <x:c r="J88" s="27" t="str">
        <x:v>qualification</x:v>
      </x:c>
      <x:c r="K88" s="27" t="str">
        <x:v>equivalence authority</x:v>
      </x:c>
      <x:c r="L88" s="27" t="str">
        <x:v>OPEN</x:v>
      </x:c>
      <x:c r="M88" s="29" t="n">
        <x:v>0</x:v>
      </x:c>
    </x:row>
    <x:row r="89" ht="29" customHeight="1">
      <x:c r="B89" s="27" t="str">
        <x:v>MHE-E01-H03</x:v>
      </x:c>
      <x:c r="C89" s="27" t="str">
        <x:v>MHE-E01</x:v>
      </x:c>
      <x:c r="D89" s="27" t="str">
        <x:v>Mass and heat emulator</x:v>
      </x:c>
      <x:c r="E89" s="27" t="str">
        <x:v>cold soak</x:v>
      </x:c>
      <x:c r="F89" s="27" t="n">
        <x:v>5</x:v>
      </x:c>
      <x:c r="G89" s="27" t="n">
        <x:v>24</x:v>
      </x:c>
      <x:c r="H89" s="27" t="str">
        <x:v>h</x:v>
      </x:c>
      <x:c r="I89" s="27" t="str">
        <x:v>minus 40 C soak then full operation</x:v>
      </x:c>
      <x:c r="J89" s="27" t="str">
        <x:v>qualification</x:v>
      </x:c>
      <x:c r="K89" s="27" t="str">
        <x:v>equivalence authority</x:v>
      </x:c>
      <x:c r="L89" s="27" t="str">
        <x:v>OPEN</x:v>
      </x:c>
      <x:c r="M89" s="29" t="n">
        <x:v>0</x:v>
      </x:c>
    </x:row>
    <x:row r="90" ht="29" customHeight="1">
      <x:c r="B90" s="27" t="str">
        <x:v>MHE-E01-H04</x:v>
      </x:c>
      <x:c r="C90" s="27" t="str">
        <x:v>MHE-E01</x:v>
      </x:c>
      <x:c r="D90" s="27" t="str">
        <x:v>Mass and heat emulator</x:v>
      </x:c>
      <x:c r="E90" s="27" t="str">
        <x:v>hot soak</x:v>
      </x:c>
      <x:c r="F90" s="27" t="n">
        <x:v>5</x:v>
      </x:c>
      <x:c r="G90" s="27" t="n">
        <x:v>24</x:v>
      </x:c>
      <x:c r="H90" s="27" t="str">
        <x:v>h</x:v>
      </x:c>
      <x:c r="I90" s="27" t="str">
        <x:v>plus 55 C soak then full operation</x:v>
      </x:c>
      <x:c r="J90" s="27" t="str">
        <x:v>qualification</x:v>
      </x:c>
      <x:c r="K90" s="27" t="str">
        <x:v>equivalence authority</x:v>
      </x:c>
      <x:c r="L90" s="27" t="str">
        <x:v>OPEN</x:v>
      </x:c>
      <x:c r="M90" s="29" t="n">
        <x:v>0</x:v>
      </x:c>
    </x:row>
    <x:row r="91" ht="29" customHeight="1">
      <x:c r="B91" s="27" t="str">
        <x:v>MHE-E01-H05</x:v>
      </x:c>
      <x:c r="C91" s="27" t="str">
        <x:v>MHE-E01</x:v>
      </x:c>
      <x:c r="D91" s="27" t="str">
        <x:v>Mass and heat emulator</x:v>
      </x:c>
      <x:c r="E91" s="27" t="str">
        <x:v>water ingress</x:v>
      </x:c>
      <x:c r="F91" s="27" t="n">
        <x:v>5</x:v>
      </x:c>
      <x:c r="G91" s="27" t="n">
        <x:v>24</x:v>
      </x:c>
      <x:c r="H91" s="27" t="str">
        <x:v>h</x:v>
      </x:c>
      <x:c r="I91" s="27" t="str">
        <x:v>1.5 m equivalent or role-registered spray</x:v>
      </x:c>
      <x:c r="J91" s="27" t="str">
        <x:v>qualification</x:v>
      </x:c>
      <x:c r="K91" s="27" t="str">
        <x:v>equivalence authority</x:v>
      </x:c>
      <x:c r="L91" s="27" t="str">
        <x:v>OPEN</x:v>
      </x:c>
      <x:c r="M91" s="29" t="n">
        <x:v>0</x:v>
      </x:c>
    </x:row>
    <x:row r="92" ht="29" customHeight="1">
      <x:c r="B92" s="27" t="str">
        <x:v>MHE-E01-H06</x:v>
      </x:c>
      <x:c r="C92" s="27" t="str">
        <x:v>MHE-E01</x:v>
      </x:c>
      <x:c r="D92" s="27" t="str">
        <x:v>Mass and heat emulator</x:v>
      </x:c>
      <x:c r="E92" s="27" t="str">
        <x:v>dust and debris</x:v>
      </x:c>
      <x:c r="F92" s="27" t="n">
        <x:v>5</x:v>
      </x:c>
      <x:c r="G92" s="27" t="n">
        <x:v>8</x:v>
      </x:c>
      <x:c r="H92" s="27" t="str">
        <x:v>h</x:v>
      </x:c>
      <x:c r="I92" s="27" t="str">
        <x:v>no hidden channel state after exposure</x:v>
      </x:c>
      <x:c r="J92" s="27" t="str">
        <x:v>qualification</x:v>
      </x:c>
      <x:c r="K92" s="27" t="str">
        <x:v>equivalence authority</x:v>
      </x:c>
      <x:c r="L92" s="27" t="str">
        <x:v>OPEN</x:v>
      </x:c>
      <x:c r="M92" s="29" t="n">
        <x:v>0</x:v>
      </x:c>
    </x:row>
    <x:row r="93" ht="29" customHeight="1">
      <x:c r="B93" s="27" t="str">
        <x:v>MHE-E01-H07</x:v>
      </x:c>
      <x:c r="C93" s="27" t="str">
        <x:v>MHE-E01</x:v>
      </x:c>
      <x:c r="D93" s="27" t="str">
        <x:v>Mass and heat emulator</x:v>
      </x:c>
      <x:c r="E93" s="27" t="str">
        <x:v>salt and decontamination chemistry</x:v>
      </x:c>
      <x:c r="F93" s="27" t="n">
        <x:v>5</x:v>
      </x:c>
      <x:c r="G93" s="27" t="n">
        <x:v>12</x:v>
      </x:c>
      <x:c r="H93" s="27" t="str">
        <x:v>h</x:v>
      </x:c>
      <x:c r="I93" s="27" t="str">
        <x:v>post-exposure calibration inside allocation</x:v>
      </x:c>
      <x:c r="J93" s="27" t="str">
        <x:v>qualification</x:v>
      </x:c>
      <x:c r="K93" s="27" t="str">
        <x:v>equivalence authority</x:v>
      </x:c>
      <x:c r="L93" s="27" t="str">
        <x:v>OPEN</x:v>
      </x:c>
      <x:c r="M93" s="29" t="n">
        <x:v>0</x:v>
      </x:c>
    </x:row>
    <x:row r="94" ht="29" customHeight="1">
      <x:c r="B94" s="31" t="str">
        <x:v>MHE-E01-H08</x:v>
      </x:c>
      <x:c r="C94" s="31" t="str">
        <x:v>MHE-E01</x:v>
      </x:c>
      <x:c r="D94" s="31" t="str">
        <x:v>Mass and heat emulator</x:v>
      </x:c>
      <x:c r="E94" s="31" t="str">
        <x:v>internal fire and propagation</x:v>
      </x:c>
      <x:c r="F94" s="31" t="n">
        <x:v>5</x:v>
      </x:c>
      <x:c r="G94" s="31" t="n">
        <x:v>2</x:v>
      </x:c>
      <x:c r="H94" s="31" t="str">
        <x:v>h</x:v>
      </x:c>
      <x:c r="I94" s="31" t="str">
        <x:v>no propagation beyond enclosure; original survives or invalidates explicitly</x:v>
      </x:c>
      <x:c r="J94" s="31" t="str">
        <x:v>destructive</x:v>
      </x:c>
      <x:c r="K94" s="31" t="str">
        <x:v>equivalence authority</x:v>
      </x:c>
      <x:c r="L94" s="31" t="str">
        <x:v>OPEN</x:v>
      </x:c>
      <x:c r="M94" s="33" t="n">
        <x:v>0</x:v>
      </x:c>
    </x:row>
    <x:row r="95" ht="18" customHeight="1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18" customHeight="1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18" customHeight="1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18" customHeight="1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</x:sheetData>
  <x:mergeCells>
    <x:mergeCell ref="B3:M3"/>
  </x:mergeCells>
  <x:conditionalFormatting sqref="L7:L94">
    <x:cfRule type="containsText" dxfId="20" priority="1" operator="containsText" text="OPEN"/>
    <x:cfRule type="containsText" dxfId="21" priority="2" operator="containsText" text="HOLD"/>
    <x:cfRule type="containsText" dxfId="22" priority="3" operator="containsText" text="BLOCKED"/>
    <x:cfRule type="containsText" dxfId="23" priority="4" operator="containsText" text="DRAFT"/>
    <x:cfRule type="containsText" dxfId="24" priority="5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3" hidden="0" customWidth="1"/>
    <x:col min="4" max="4" width="28" hidden="0" customWidth="1"/>
    <x:col min="5" max="5" width="43" hidden="0" customWidth="1"/>
    <x:col min="6" max="6" width="31" hidden="0" customWidth="1"/>
    <x:col min="7" max="7" width="37" hidden="0" customWidth="1"/>
    <x:col min="8" max="8" width="39" hidden="0" customWidth="1"/>
    <x:col min="9" max="9" width="25" hidden="0" customWidth="1"/>
    <x:col min="10" max="10" width="13" hidden="0" customWidth="1"/>
    <x:col min="11" max="11" width="11" hidden="0" customWidth="1"/>
  </x:cols>
  <x:sheetData>
    <x:row r="2" ht="18" customHeight="1">
      <x:c r="B2" s="3" t="str">
        <x:v>Physical one-way interface acceptance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18" customHeight="1">
      <x:c r="B3" s="4" t="str">
        <x:v>Each interface is challenged for hidden conduction, reverse energy, return data, actuation, unsafe loss and calibration access.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18" customHeight="1">
      <x:c r="B6" s="25" t="str">
        <x:v>Test</x:v>
      </x:c>
      <x:c r="C6" s="26" t="str">
        <x:v>Interface</x:v>
      </x:c>
      <x:c r="D6" s="26" t="str">
        <x:v>Source</x:v>
      </x:c>
      <x:c r="E6" s="26" t="str">
        <x:v>Mechanism</x:v>
      </x:c>
      <x:c r="F6" s="26" t="str">
        <x:v>Challenge</x:v>
      </x:c>
      <x:c r="G6" s="26" t="str">
        <x:v>Injected condition</x:v>
      </x:c>
      <x:c r="H6" s="26" t="str">
        <x:v>Acceptance</x:v>
      </x:c>
      <x:c r="I6" s="26" t="str">
        <x:v>Authority</x:v>
      </x:c>
      <x:c r="J6" s="26" t="str">
        <x:v>Evidence</x:v>
      </x:c>
      <x:c r="K6" s="26" t="str">
        <x:v>Credit</x:v>
      </x:c>
    </x:row>
    <x:row r="7" ht="30" customHeight="1">
      <x:c r="B7" s="27" t="str">
        <x:v>I01-T01</x:v>
      </x:c>
      <x:c r="C7" s="27" t="str">
        <x:v>I01</x:v>
      </x:c>
      <x:c r="D7" s="27" t="str">
        <x:v>tile structure</x:v>
      </x:c>
      <x:c r="E7" s="27" t="str">
        <x:v>split transducer bridge</x:v>
      </x:c>
      <x:c r="F7" s="27" t="str">
        <x:v>visual and continuity survey</x:v>
      </x:c>
      <x:c r="G7" s="27" t="str">
        <x:v>hidden conductor or shared fluid path</x:v>
      </x:c>
      <x:c r="H7" s="27" t="str">
        <x:v>no undeclared path</x:v>
      </x:c>
      <x:c r="I7" s="27" t="str">
        <x:v>interface authority</x:v>
      </x:c>
      <x:c r="J7" s="27" t="str">
        <x:v>OPEN</x:v>
      </x:c>
      <x:c r="K7" s="29" t="n">
        <x:v>0</x:v>
      </x:c>
    </x:row>
    <x:row r="8" ht="30" customHeight="1">
      <x:c r="B8" s="27" t="str">
        <x:v>I01-T02</x:v>
      </x:c>
      <x:c r="C8" s="27" t="str">
        <x:v>I01</x:v>
      </x:c>
      <x:c r="D8" s="27" t="str">
        <x:v>tile structure</x:v>
      </x:c>
      <x:c r="E8" s="27" t="str">
        <x:v>split transducer bridge</x:v>
      </x:c>
      <x:c r="F8" s="27" t="str">
        <x:v>reverse-energy injection</x:v>
      </x:c>
      <x:c r="G8" s="27" t="str">
        <x:v>maximum registered reverse potential</x:v>
      </x:c>
      <x:c r="H8" s="27" t="str">
        <x:v>zero useful transfer to mission</x:v>
      </x:c>
      <x:c r="I8" s="27" t="str">
        <x:v>interface authority</x:v>
      </x:c>
      <x:c r="J8" s="27" t="str">
        <x:v>OPEN</x:v>
      </x:c>
      <x:c r="K8" s="29" t="n">
        <x:v>0</x:v>
      </x:c>
    </x:row>
    <x:row r="9" ht="30" customHeight="1">
      <x:c r="B9" s="27" t="str">
        <x:v>I01-T03</x:v>
      </x:c>
      <x:c r="C9" s="27" t="str">
        <x:v>I01</x:v>
      </x:c>
      <x:c r="D9" s="27" t="str">
        <x:v>tile structure</x:v>
      </x:c>
      <x:c r="E9" s="27" t="str">
        <x:v>split transducer bridge</x:v>
      </x:c>
      <x:c r="F9" s="27" t="str">
        <x:v>return-data challenge</x:v>
      </x:c>
      <x:c r="G9" s="27" t="str">
        <x:v>coded outbound pattern</x:v>
      </x:c>
      <x:c r="H9" s="27" t="str">
        <x:v>zero mission-side observation</x:v>
      </x:c>
      <x:c r="I9" s="27" t="str">
        <x:v>interface authority</x:v>
      </x:c>
      <x:c r="J9" s="27" t="str">
        <x:v>OPEN</x:v>
      </x:c>
      <x:c r="K9" s="29" t="n">
        <x:v>0</x:v>
      </x:c>
    </x:row>
    <x:row r="10" ht="30" customHeight="1">
      <x:c r="B10" s="27" t="str">
        <x:v>I01-T04</x:v>
      </x:c>
      <x:c r="C10" s="27" t="str">
        <x:v>I01</x:v>
      </x:c>
      <x:c r="D10" s="27" t="str">
        <x:v>tile structure</x:v>
      </x:c>
      <x:c r="E10" s="27" t="str">
        <x:v>split transducer bridge</x:v>
      </x:c>
      <x:c r="F10" s="27" t="str">
        <x:v>actuation attempt</x:v>
      </x:c>
      <x:c r="G10" s="27" t="str">
        <x:v>all evidence-side interfaces commanded</x:v>
      </x:c>
      <x:c r="H10" s="27" t="str">
        <x:v>zero mission state change</x:v>
      </x:c>
      <x:c r="I10" s="27" t="str">
        <x:v>interface authority</x:v>
      </x:c>
      <x:c r="J10" s="27" t="str">
        <x:v>OPEN</x:v>
      </x:c>
      <x:c r="K10" s="29" t="n">
        <x:v>0</x:v>
      </x:c>
    </x:row>
    <x:row r="11" ht="30" customHeight="1">
      <x:c r="B11" s="27" t="str">
        <x:v>I01-T05</x:v>
      </x:c>
      <x:c r="C11" s="27" t="str">
        <x:v>I01</x:v>
      </x:c>
      <x:c r="D11" s="27" t="str">
        <x:v>tile structure</x:v>
      </x:c>
      <x:c r="E11" s="27" t="str">
        <x:v>split transducer bridge</x:v>
      </x:c>
      <x:c r="F11" s="27" t="str">
        <x:v>evidence-path severance</x:v>
      </x:c>
      <x:c r="G11" s="27" t="str">
        <x:v>complete evidence path loss</x:v>
      </x:c>
      <x:c r="H11" s="27" t="str">
        <x:v>mission stays safe and independent</x:v>
      </x:c>
      <x:c r="I11" s="27" t="str">
        <x:v>interface authority</x:v>
      </x:c>
      <x:c r="J11" s="27" t="str">
        <x:v>OPEN</x:v>
      </x:c>
      <x:c r="K11" s="29" t="n">
        <x:v>0</x:v>
      </x:c>
    </x:row>
    <x:row r="12" ht="30" customHeight="1">
      <x:c r="B12" s="27" t="str">
        <x:v>I01-T06</x:v>
      </x:c>
      <x:c r="C12" s="27" t="str">
        <x:v>I01</x:v>
      </x:c>
      <x:c r="D12" s="27" t="str">
        <x:v>tile structure</x:v>
      </x:c>
      <x:c r="E12" s="27" t="str">
        <x:v>split transducer bridge</x:v>
      </x:c>
      <x:c r="F12" s="27" t="str">
        <x:v>calibration-port lockout</x:v>
      </x:c>
      <x:c r="G12" s="27" t="str">
        <x:v>attempted access during credited state</x:v>
      </x:c>
      <x:c r="H12" s="27" t="str">
        <x:v>port remains physically disabled</x:v>
      </x:c>
      <x:c r="I12" s="27" t="str">
        <x:v>interface authority</x:v>
      </x:c>
      <x:c r="J12" s="27" t="str">
        <x:v>OPEN</x:v>
      </x:c>
      <x:c r="K12" s="29" t="n">
        <x:v>0</x:v>
      </x:c>
    </x:row>
    <x:row r="13" ht="30" customHeight="1">
      <x:c r="B13" s="27" t="str">
        <x:v>I02-T01</x:v>
      </x:c>
      <x:c r="C13" s="27" t="str">
        <x:v>I02</x:v>
      </x:c>
      <x:c r="D13" s="27" t="str">
        <x:v>mission power bus</x:v>
      </x:c>
      <x:c r="E13" s="27" t="str">
        <x:v>isolated optical voltage-current conversion</x:v>
      </x:c>
      <x:c r="F13" s="27" t="str">
        <x:v>visual and continuity survey</x:v>
      </x:c>
      <x:c r="G13" s="27" t="str">
        <x:v>hidden conductor or shared fluid path</x:v>
      </x:c>
      <x:c r="H13" s="27" t="str">
        <x:v>no undeclared path</x:v>
      </x:c>
      <x:c r="I13" s="27" t="str">
        <x:v>interface authority</x:v>
      </x:c>
      <x:c r="J13" s="27" t="str">
        <x:v>OPEN</x:v>
      </x:c>
      <x:c r="K13" s="29" t="n">
        <x:v>0</x:v>
      </x:c>
    </x:row>
    <x:row r="14" ht="30" customHeight="1">
      <x:c r="B14" s="27" t="str">
        <x:v>I02-T02</x:v>
      </x:c>
      <x:c r="C14" s="27" t="str">
        <x:v>I02</x:v>
      </x:c>
      <x:c r="D14" s="27" t="str">
        <x:v>mission power bus</x:v>
      </x:c>
      <x:c r="E14" s="27" t="str">
        <x:v>isolated optical voltage-current conversion</x:v>
      </x:c>
      <x:c r="F14" s="27" t="str">
        <x:v>reverse-energy injection</x:v>
      </x:c>
      <x:c r="G14" s="27" t="str">
        <x:v>maximum registered reverse potential</x:v>
      </x:c>
      <x:c r="H14" s="27" t="str">
        <x:v>zero useful transfer to mission</x:v>
      </x:c>
      <x:c r="I14" s="27" t="str">
        <x:v>interface authority</x:v>
      </x:c>
      <x:c r="J14" s="27" t="str">
        <x:v>OPEN</x:v>
      </x:c>
      <x:c r="K14" s="29" t="n">
        <x:v>0</x:v>
      </x:c>
    </x:row>
    <x:row r="15" ht="30" customHeight="1">
      <x:c r="B15" s="27" t="str">
        <x:v>I02-T03</x:v>
      </x:c>
      <x:c r="C15" s="27" t="str">
        <x:v>I02</x:v>
      </x:c>
      <x:c r="D15" s="27" t="str">
        <x:v>mission power bus</x:v>
      </x:c>
      <x:c r="E15" s="27" t="str">
        <x:v>isolated optical voltage-current conversion</x:v>
      </x:c>
      <x:c r="F15" s="27" t="str">
        <x:v>return-data challenge</x:v>
      </x:c>
      <x:c r="G15" s="27" t="str">
        <x:v>coded outbound pattern</x:v>
      </x:c>
      <x:c r="H15" s="27" t="str">
        <x:v>zero mission-side observation</x:v>
      </x:c>
      <x:c r="I15" s="27" t="str">
        <x:v>interface authority</x:v>
      </x:c>
      <x:c r="J15" s="27" t="str">
        <x:v>OPEN</x:v>
      </x:c>
      <x:c r="K15" s="29" t="n">
        <x:v>0</x:v>
      </x:c>
    </x:row>
    <x:row r="16" ht="30" customHeight="1">
      <x:c r="B16" s="27" t="str">
        <x:v>I02-T04</x:v>
      </x:c>
      <x:c r="C16" s="27" t="str">
        <x:v>I02</x:v>
      </x:c>
      <x:c r="D16" s="27" t="str">
        <x:v>mission power bus</x:v>
      </x:c>
      <x:c r="E16" s="27" t="str">
        <x:v>isolated optical voltage-current conversion</x:v>
      </x:c>
      <x:c r="F16" s="27" t="str">
        <x:v>actuation attempt</x:v>
      </x:c>
      <x:c r="G16" s="27" t="str">
        <x:v>all evidence-side interfaces commanded</x:v>
      </x:c>
      <x:c r="H16" s="27" t="str">
        <x:v>zero mission state change</x:v>
      </x:c>
      <x:c r="I16" s="27" t="str">
        <x:v>interface authority</x:v>
      </x:c>
      <x:c r="J16" s="27" t="str">
        <x:v>OPEN</x:v>
      </x:c>
      <x:c r="K16" s="29" t="n">
        <x:v>0</x:v>
      </x:c>
    </x:row>
    <x:row r="17" ht="30" customHeight="1">
      <x:c r="B17" s="27" t="str">
        <x:v>I02-T05</x:v>
      </x:c>
      <x:c r="C17" s="27" t="str">
        <x:v>I02</x:v>
      </x:c>
      <x:c r="D17" s="27" t="str">
        <x:v>mission power bus</x:v>
      </x:c>
      <x:c r="E17" s="27" t="str">
        <x:v>isolated optical voltage-current conversion</x:v>
      </x:c>
      <x:c r="F17" s="27" t="str">
        <x:v>evidence-path severance</x:v>
      </x:c>
      <x:c r="G17" s="27" t="str">
        <x:v>complete evidence path loss</x:v>
      </x:c>
      <x:c r="H17" s="27" t="str">
        <x:v>mission stays safe and independent</x:v>
      </x:c>
      <x:c r="I17" s="27" t="str">
        <x:v>interface authority</x:v>
      </x:c>
      <x:c r="J17" s="27" t="str">
        <x:v>OPEN</x:v>
      </x:c>
      <x:c r="K17" s="29" t="n">
        <x:v>0</x:v>
      </x:c>
    </x:row>
    <x:row r="18" ht="30" customHeight="1">
      <x:c r="B18" s="27" t="str">
        <x:v>I02-T06</x:v>
      </x:c>
      <x:c r="C18" s="27" t="str">
        <x:v>I02</x:v>
      </x:c>
      <x:c r="D18" s="27" t="str">
        <x:v>mission power bus</x:v>
      </x:c>
      <x:c r="E18" s="27" t="str">
        <x:v>isolated optical voltage-current conversion</x:v>
      </x:c>
      <x:c r="F18" s="27" t="str">
        <x:v>calibration-port lockout</x:v>
      </x:c>
      <x:c r="G18" s="27" t="str">
        <x:v>attempted access during credited state</x:v>
      </x:c>
      <x:c r="H18" s="27" t="str">
        <x:v>port remains physically disabled</x:v>
      </x:c>
      <x:c r="I18" s="27" t="str">
        <x:v>interface authority</x:v>
      </x:c>
      <x:c r="J18" s="27" t="str">
        <x:v>OPEN</x:v>
      </x:c>
      <x:c r="K18" s="29" t="n">
        <x:v>0</x:v>
      </x:c>
    </x:row>
    <x:row r="19" ht="30" customHeight="1">
      <x:c r="B19" s="27" t="str">
        <x:v>I03-T01</x:v>
      </x:c>
      <x:c r="C19" s="27" t="str">
        <x:v>I03</x:v>
      </x:c>
      <x:c r="D19" s="27" t="str">
        <x:v>mission fluid line</x:v>
      </x:c>
      <x:c r="E19" s="27" t="str">
        <x:v>separate physical transducers</x:v>
      </x:c>
      <x:c r="F19" s="27" t="str">
        <x:v>visual and continuity survey</x:v>
      </x:c>
      <x:c r="G19" s="27" t="str">
        <x:v>hidden conductor or shared fluid path</x:v>
      </x:c>
      <x:c r="H19" s="27" t="str">
        <x:v>no undeclared path</x:v>
      </x:c>
      <x:c r="I19" s="27" t="str">
        <x:v>interface authority</x:v>
      </x:c>
      <x:c r="J19" s="27" t="str">
        <x:v>OPEN</x:v>
      </x:c>
      <x:c r="K19" s="29" t="n">
        <x:v>0</x:v>
      </x:c>
    </x:row>
    <x:row r="20" ht="30" customHeight="1">
      <x:c r="B20" s="27" t="str">
        <x:v>I03-T02</x:v>
      </x:c>
      <x:c r="C20" s="27" t="str">
        <x:v>I03</x:v>
      </x:c>
      <x:c r="D20" s="27" t="str">
        <x:v>mission fluid line</x:v>
      </x:c>
      <x:c r="E20" s="27" t="str">
        <x:v>separate physical transducers</x:v>
      </x:c>
      <x:c r="F20" s="27" t="str">
        <x:v>reverse-energy injection</x:v>
      </x:c>
      <x:c r="G20" s="27" t="str">
        <x:v>maximum registered reverse potential</x:v>
      </x:c>
      <x:c r="H20" s="27" t="str">
        <x:v>zero useful transfer to mission</x:v>
      </x:c>
      <x:c r="I20" s="27" t="str">
        <x:v>interface authority</x:v>
      </x:c>
      <x:c r="J20" s="27" t="str">
        <x:v>OPEN</x:v>
      </x:c>
      <x:c r="K20" s="29" t="n">
        <x:v>0</x:v>
      </x:c>
    </x:row>
    <x:row r="21" ht="30" customHeight="1">
      <x:c r="B21" s="27" t="str">
        <x:v>I03-T03</x:v>
      </x:c>
      <x:c r="C21" s="27" t="str">
        <x:v>I03</x:v>
      </x:c>
      <x:c r="D21" s="27" t="str">
        <x:v>mission fluid line</x:v>
      </x:c>
      <x:c r="E21" s="27" t="str">
        <x:v>separate physical transducers</x:v>
      </x:c>
      <x:c r="F21" s="27" t="str">
        <x:v>return-data challenge</x:v>
      </x:c>
      <x:c r="G21" s="27" t="str">
        <x:v>coded outbound pattern</x:v>
      </x:c>
      <x:c r="H21" s="27" t="str">
        <x:v>zero mission-side observation</x:v>
      </x:c>
      <x:c r="I21" s="27" t="str">
        <x:v>interface authority</x:v>
      </x:c>
      <x:c r="J21" s="27" t="str">
        <x:v>OPEN</x:v>
      </x:c>
      <x:c r="K21" s="29" t="n">
        <x:v>0</x:v>
      </x:c>
    </x:row>
    <x:row r="22" ht="30" customHeight="1">
      <x:c r="B22" s="27" t="str">
        <x:v>I03-T04</x:v>
      </x:c>
      <x:c r="C22" s="27" t="str">
        <x:v>I03</x:v>
      </x:c>
      <x:c r="D22" s="27" t="str">
        <x:v>mission fluid line</x:v>
      </x:c>
      <x:c r="E22" s="27" t="str">
        <x:v>separate physical transducers</x:v>
      </x:c>
      <x:c r="F22" s="27" t="str">
        <x:v>actuation attempt</x:v>
      </x:c>
      <x:c r="G22" s="27" t="str">
        <x:v>all evidence-side interfaces commanded</x:v>
      </x:c>
      <x:c r="H22" s="27" t="str">
        <x:v>zero mission state change</x:v>
      </x:c>
      <x:c r="I22" s="27" t="str">
        <x:v>interface authority</x:v>
      </x:c>
      <x:c r="J22" s="27" t="str">
        <x:v>OPEN</x:v>
      </x:c>
      <x:c r="K22" s="29" t="n">
        <x:v>0</x:v>
      </x:c>
    </x:row>
    <x:row r="23" ht="30" customHeight="1">
      <x:c r="B23" s="27" t="str">
        <x:v>I03-T05</x:v>
      </x:c>
      <x:c r="C23" s="27" t="str">
        <x:v>I03</x:v>
      </x:c>
      <x:c r="D23" s="27" t="str">
        <x:v>mission fluid line</x:v>
      </x:c>
      <x:c r="E23" s="27" t="str">
        <x:v>separate physical transducers</x:v>
      </x:c>
      <x:c r="F23" s="27" t="str">
        <x:v>evidence-path severance</x:v>
      </x:c>
      <x:c r="G23" s="27" t="str">
        <x:v>complete evidence path loss</x:v>
      </x:c>
      <x:c r="H23" s="27" t="str">
        <x:v>mission stays safe and independent</x:v>
      </x:c>
      <x:c r="I23" s="27" t="str">
        <x:v>interface authority</x:v>
      </x:c>
      <x:c r="J23" s="27" t="str">
        <x:v>OPEN</x:v>
      </x:c>
      <x:c r="K23" s="29" t="n">
        <x:v>0</x:v>
      </x:c>
    </x:row>
    <x:row r="24" ht="30" customHeight="1">
      <x:c r="B24" s="27" t="str">
        <x:v>I03-T06</x:v>
      </x:c>
      <x:c r="C24" s="27" t="str">
        <x:v>I03</x:v>
      </x:c>
      <x:c r="D24" s="27" t="str">
        <x:v>mission fluid line</x:v>
      </x:c>
      <x:c r="E24" s="27" t="str">
        <x:v>separate physical transducers</x:v>
      </x:c>
      <x:c r="F24" s="27" t="str">
        <x:v>calibration-port lockout</x:v>
      </x:c>
      <x:c r="G24" s="27" t="str">
        <x:v>attempted access during credited state</x:v>
      </x:c>
      <x:c r="H24" s="27" t="str">
        <x:v>port remains physically disabled</x:v>
      </x:c>
      <x:c r="I24" s="27" t="str">
        <x:v>interface authority</x:v>
      </x:c>
      <x:c r="J24" s="27" t="str">
        <x:v>OPEN</x:v>
      </x:c>
      <x:c r="K24" s="29" t="n">
        <x:v>0</x:v>
      </x:c>
    </x:row>
    <x:row r="25" ht="30" customHeight="1">
      <x:c r="B25" s="27" t="str">
        <x:v>I04-T01</x:v>
      </x:c>
      <x:c r="C25" s="27" t="str">
        <x:v>I04</x:v>
      </x:c>
      <x:c r="D25" s="27" t="str">
        <x:v>thermal boundary</x:v>
      </x:c>
      <x:c r="E25" s="27" t="str">
        <x:v>independent surface witnesses</x:v>
      </x:c>
      <x:c r="F25" s="27" t="str">
        <x:v>visual and continuity survey</x:v>
      </x:c>
      <x:c r="G25" s="27" t="str">
        <x:v>hidden conductor or shared fluid path</x:v>
      </x:c>
      <x:c r="H25" s="27" t="str">
        <x:v>no undeclared path</x:v>
      </x:c>
      <x:c r="I25" s="27" t="str">
        <x:v>interface authority</x:v>
      </x:c>
      <x:c r="J25" s="27" t="str">
        <x:v>OPEN</x:v>
      </x:c>
      <x:c r="K25" s="29" t="n">
        <x:v>0</x:v>
      </x:c>
    </x:row>
    <x:row r="26" ht="30" customHeight="1">
      <x:c r="B26" s="27" t="str">
        <x:v>I04-T02</x:v>
      </x:c>
      <x:c r="C26" s="27" t="str">
        <x:v>I04</x:v>
      </x:c>
      <x:c r="D26" s="27" t="str">
        <x:v>thermal boundary</x:v>
      </x:c>
      <x:c r="E26" s="27" t="str">
        <x:v>independent surface witnesses</x:v>
      </x:c>
      <x:c r="F26" s="27" t="str">
        <x:v>reverse-energy injection</x:v>
      </x:c>
      <x:c r="G26" s="27" t="str">
        <x:v>maximum registered reverse potential</x:v>
      </x:c>
      <x:c r="H26" s="27" t="str">
        <x:v>zero useful transfer to mission</x:v>
      </x:c>
      <x:c r="I26" s="27" t="str">
        <x:v>interface authority</x:v>
      </x:c>
      <x:c r="J26" s="27" t="str">
        <x:v>OPEN</x:v>
      </x:c>
      <x:c r="K26" s="29" t="n">
        <x:v>0</x:v>
      </x:c>
    </x:row>
    <x:row r="27" ht="30" customHeight="1">
      <x:c r="B27" s="27" t="str">
        <x:v>I04-T03</x:v>
      </x:c>
      <x:c r="C27" s="27" t="str">
        <x:v>I04</x:v>
      </x:c>
      <x:c r="D27" s="27" t="str">
        <x:v>thermal boundary</x:v>
      </x:c>
      <x:c r="E27" s="27" t="str">
        <x:v>independent surface witnesses</x:v>
      </x:c>
      <x:c r="F27" s="27" t="str">
        <x:v>return-data challenge</x:v>
      </x:c>
      <x:c r="G27" s="27" t="str">
        <x:v>coded outbound pattern</x:v>
      </x:c>
      <x:c r="H27" s="27" t="str">
        <x:v>zero mission-side observation</x:v>
      </x:c>
      <x:c r="I27" s="27" t="str">
        <x:v>interface authority</x:v>
      </x:c>
      <x:c r="J27" s="27" t="str">
        <x:v>OPEN</x:v>
      </x:c>
      <x:c r="K27" s="29" t="n">
        <x:v>0</x:v>
      </x:c>
    </x:row>
    <x:row r="28" ht="30" customHeight="1">
      <x:c r="B28" s="27" t="str">
        <x:v>I04-T04</x:v>
      </x:c>
      <x:c r="C28" s="27" t="str">
        <x:v>I04</x:v>
      </x:c>
      <x:c r="D28" s="27" t="str">
        <x:v>thermal boundary</x:v>
      </x:c>
      <x:c r="E28" s="27" t="str">
        <x:v>independent surface witnesses</x:v>
      </x:c>
      <x:c r="F28" s="27" t="str">
        <x:v>actuation attempt</x:v>
      </x:c>
      <x:c r="G28" s="27" t="str">
        <x:v>all evidence-side interfaces commanded</x:v>
      </x:c>
      <x:c r="H28" s="27" t="str">
        <x:v>zero mission state change</x:v>
      </x:c>
      <x:c r="I28" s="27" t="str">
        <x:v>interface authority</x:v>
      </x:c>
      <x:c r="J28" s="27" t="str">
        <x:v>OPEN</x:v>
      </x:c>
      <x:c r="K28" s="29" t="n">
        <x:v>0</x:v>
      </x:c>
    </x:row>
    <x:row r="29" ht="30" customHeight="1">
      <x:c r="B29" s="27" t="str">
        <x:v>I04-T05</x:v>
      </x:c>
      <x:c r="C29" s="27" t="str">
        <x:v>I04</x:v>
      </x:c>
      <x:c r="D29" s="27" t="str">
        <x:v>thermal boundary</x:v>
      </x:c>
      <x:c r="E29" s="27" t="str">
        <x:v>independent surface witnesses</x:v>
      </x:c>
      <x:c r="F29" s="27" t="str">
        <x:v>evidence-path severance</x:v>
      </x:c>
      <x:c r="G29" s="27" t="str">
        <x:v>complete evidence path loss</x:v>
      </x:c>
      <x:c r="H29" s="27" t="str">
        <x:v>mission stays safe and independent</x:v>
      </x:c>
      <x:c r="I29" s="27" t="str">
        <x:v>interface authority</x:v>
      </x:c>
      <x:c r="J29" s="27" t="str">
        <x:v>OPEN</x:v>
      </x:c>
      <x:c r="K29" s="29" t="n">
        <x:v>0</x:v>
      </x:c>
    </x:row>
    <x:row r="30" ht="30" customHeight="1">
      <x:c r="B30" s="27" t="str">
        <x:v>I04-T06</x:v>
      </x:c>
      <x:c r="C30" s="27" t="str">
        <x:v>I04</x:v>
      </x:c>
      <x:c r="D30" s="27" t="str">
        <x:v>thermal boundary</x:v>
      </x:c>
      <x:c r="E30" s="27" t="str">
        <x:v>independent surface witnesses</x:v>
      </x:c>
      <x:c r="F30" s="27" t="str">
        <x:v>calibration-port lockout</x:v>
      </x:c>
      <x:c r="G30" s="27" t="str">
        <x:v>attempted access during credited state</x:v>
      </x:c>
      <x:c r="H30" s="27" t="str">
        <x:v>port remains physically disabled</x:v>
      </x:c>
      <x:c r="I30" s="27" t="str">
        <x:v>interface authority</x:v>
      </x:c>
      <x:c r="J30" s="27" t="str">
        <x:v>OPEN</x:v>
      </x:c>
      <x:c r="K30" s="29" t="n">
        <x:v>0</x:v>
      </x:c>
    </x:row>
    <x:row r="31" ht="30" customHeight="1">
      <x:c r="B31" s="27" t="str">
        <x:v>I05-T01</x:v>
      </x:c>
      <x:c r="C31" s="27" t="str">
        <x:v>I05</x:v>
      </x:c>
      <x:c r="D31" s="27" t="str">
        <x:v>carrier lift system</x:v>
      </x:c>
      <x:c r="E31" s="27" t="str">
        <x:v>passive optical state mirror</x:v>
      </x:c>
      <x:c r="F31" s="27" t="str">
        <x:v>visual and continuity survey</x:v>
      </x:c>
      <x:c r="G31" s="27" t="str">
        <x:v>hidden conductor or shared fluid path</x:v>
      </x:c>
      <x:c r="H31" s="27" t="str">
        <x:v>no undeclared path</x:v>
      </x:c>
      <x:c r="I31" s="27" t="str">
        <x:v>interface authority</x:v>
      </x:c>
      <x:c r="J31" s="27" t="str">
        <x:v>OPEN</x:v>
      </x:c>
      <x:c r="K31" s="29" t="n">
        <x:v>0</x:v>
      </x:c>
    </x:row>
    <x:row r="32" ht="30" customHeight="1">
      <x:c r="B32" s="27" t="str">
        <x:v>I05-T02</x:v>
      </x:c>
      <x:c r="C32" s="27" t="str">
        <x:v>I05</x:v>
      </x:c>
      <x:c r="D32" s="27" t="str">
        <x:v>carrier lift system</x:v>
      </x:c>
      <x:c r="E32" s="27" t="str">
        <x:v>passive optical state mirror</x:v>
      </x:c>
      <x:c r="F32" s="27" t="str">
        <x:v>reverse-energy injection</x:v>
      </x:c>
      <x:c r="G32" s="27" t="str">
        <x:v>maximum registered reverse potential</x:v>
      </x:c>
      <x:c r="H32" s="27" t="str">
        <x:v>zero useful transfer to mission</x:v>
      </x:c>
      <x:c r="I32" s="27" t="str">
        <x:v>interface authority</x:v>
      </x:c>
      <x:c r="J32" s="27" t="str">
        <x:v>OPEN</x:v>
      </x:c>
      <x:c r="K32" s="29" t="n">
        <x:v>0</x:v>
      </x:c>
    </x:row>
    <x:row r="33" ht="30" customHeight="1">
      <x:c r="B33" s="27" t="str">
        <x:v>I05-T03</x:v>
      </x:c>
      <x:c r="C33" s="27" t="str">
        <x:v>I05</x:v>
      </x:c>
      <x:c r="D33" s="27" t="str">
        <x:v>carrier lift system</x:v>
      </x:c>
      <x:c r="E33" s="27" t="str">
        <x:v>passive optical state mirror</x:v>
      </x:c>
      <x:c r="F33" s="27" t="str">
        <x:v>return-data challenge</x:v>
      </x:c>
      <x:c r="G33" s="27" t="str">
        <x:v>coded outbound pattern</x:v>
      </x:c>
      <x:c r="H33" s="27" t="str">
        <x:v>zero mission-side observation</x:v>
      </x:c>
      <x:c r="I33" s="27" t="str">
        <x:v>interface authority</x:v>
      </x:c>
      <x:c r="J33" s="27" t="str">
        <x:v>OPEN</x:v>
      </x:c>
      <x:c r="K33" s="29" t="n">
        <x:v>0</x:v>
      </x:c>
    </x:row>
    <x:row r="34" ht="30" customHeight="1">
      <x:c r="B34" s="27" t="str">
        <x:v>I05-T04</x:v>
      </x:c>
      <x:c r="C34" s="27" t="str">
        <x:v>I05</x:v>
      </x:c>
      <x:c r="D34" s="27" t="str">
        <x:v>carrier lift system</x:v>
      </x:c>
      <x:c r="E34" s="27" t="str">
        <x:v>passive optical state mirror</x:v>
      </x:c>
      <x:c r="F34" s="27" t="str">
        <x:v>actuation attempt</x:v>
      </x:c>
      <x:c r="G34" s="27" t="str">
        <x:v>all evidence-side interfaces commanded</x:v>
      </x:c>
      <x:c r="H34" s="27" t="str">
        <x:v>zero mission state change</x:v>
      </x:c>
      <x:c r="I34" s="27" t="str">
        <x:v>interface authority</x:v>
      </x:c>
      <x:c r="J34" s="27" t="str">
        <x:v>OPEN</x:v>
      </x:c>
      <x:c r="K34" s="29" t="n">
        <x:v>0</x:v>
      </x:c>
    </x:row>
    <x:row r="35" ht="30" customHeight="1">
      <x:c r="B35" s="27" t="str">
        <x:v>I05-T05</x:v>
      </x:c>
      <x:c r="C35" s="27" t="str">
        <x:v>I05</x:v>
      </x:c>
      <x:c r="D35" s="27" t="str">
        <x:v>carrier lift system</x:v>
      </x:c>
      <x:c r="E35" s="27" t="str">
        <x:v>passive optical state mirror</x:v>
      </x:c>
      <x:c r="F35" s="27" t="str">
        <x:v>evidence-path severance</x:v>
      </x:c>
      <x:c r="G35" s="27" t="str">
        <x:v>complete evidence path loss</x:v>
      </x:c>
      <x:c r="H35" s="27" t="str">
        <x:v>mission stays safe and independent</x:v>
      </x:c>
      <x:c r="I35" s="27" t="str">
        <x:v>interface authority</x:v>
      </x:c>
      <x:c r="J35" s="27" t="str">
        <x:v>OPEN</x:v>
      </x:c>
      <x:c r="K35" s="29" t="n">
        <x:v>0</x:v>
      </x:c>
    </x:row>
    <x:row r="36" ht="30" customHeight="1">
      <x:c r="B36" s="27" t="str">
        <x:v>I05-T06</x:v>
      </x:c>
      <x:c r="C36" s="27" t="str">
        <x:v>I05</x:v>
      </x:c>
      <x:c r="D36" s="27" t="str">
        <x:v>carrier lift system</x:v>
      </x:c>
      <x:c r="E36" s="27" t="str">
        <x:v>passive optical state mirror</x:v>
      </x:c>
      <x:c r="F36" s="27" t="str">
        <x:v>calibration-port lockout</x:v>
      </x:c>
      <x:c r="G36" s="27" t="str">
        <x:v>attempted access during credited state</x:v>
      </x:c>
      <x:c r="H36" s="27" t="str">
        <x:v>port remains physically disabled</x:v>
      </x:c>
      <x:c r="I36" s="27" t="str">
        <x:v>interface authority</x:v>
      </x:c>
      <x:c r="J36" s="27" t="str">
        <x:v>OPEN</x:v>
      </x:c>
      <x:c r="K36" s="29" t="n">
        <x:v>0</x:v>
      </x:c>
    </x:row>
    <x:row r="37" ht="30" customHeight="1">
      <x:c r="B37" s="27" t="str">
        <x:v>I06-T01</x:v>
      </x:c>
      <x:c r="C37" s="27" t="str">
        <x:v>I06</x:v>
      </x:c>
      <x:c r="D37" s="27" t="str">
        <x:v>carrier propulsion</x:v>
      </x:c>
      <x:c r="E37" s="27" t="str">
        <x:v>split-physics witnesses</x:v>
      </x:c>
      <x:c r="F37" s="27" t="str">
        <x:v>visual and continuity survey</x:v>
      </x:c>
      <x:c r="G37" s="27" t="str">
        <x:v>hidden conductor or shared fluid path</x:v>
      </x:c>
      <x:c r="H37" s="27" t="str">
        <x:v>no undeclared path</x:v>
      </x:c>
      <x:c r="I37" s="27" t="str">
        <x:v>interface authority</x:v>
      </x:c>
      <x:c r="J37" s="27" t="str">
        <x:v>OPEN</x:v>
      </x:c>
      <x:c r="K37" s="29" t="n">
        <x:v>0</x:v>
      </x:c>
    </x:row>
    <x:row r="38" ht="30" customHeight="1">
      <x:c r="B38" s="27" t="str">
        <x:v>I06-T02</x:v>
      </x:c>
      <x:c r="C38" s="27" t="str">
        <x:v>I06</x:v>
      </x:c>
      <x:c r="D38" s="27" t="str">
        <x:v>carrier propulsion</x:v>
      </x:c>
      <x:c r="E38" s="27" t="str">
        <x:v>split-physics witnesses</x:v>
      </x:c>
      <x:c r="F38" s="27" t="str">
        <x:v>reverse-energy injection</x:v>
      </x:c>
      <x:c r="G38" s="27" t="str">
        <x:v>maximum registered reverse potential</x:v>
      </x:c>
      <x:c r="H38" s="27" t="str">
        <x:v>zero useful transfer to mission</x:v>
      </x:c>
      <x:c r="I38" s="27" t="str">
        <x:v>interface authority</x:v>
      </x:c>
      <x:c r="J38" s="27" t="str">
        <x:v>OPEN</x:v>
      </x:c>
      <x:c r="K38" s="29" t="n">
        <x:v>0</x:v>
      </x:c>
    </x:row>
    <x:row r="39" ht="30" customHeight="1">
      <x:c r="B39" s="27" t="str">
        <x:v>I06-T03</x:v>
      </x:c>
      <x:c r="C39" s="27" t="str">
        <x:v>I06</x:v>
      </x:c>
      <x:c r="D39" s="27" t="str">
        <x:v>carrier propulsion</x:v>
      </x:c>
      <x:c r="E39" s="27" t="str">
        <x:v>split-physics witnesses</x:v>
      </x:c>
      <x:c r="F39" s="27" t="str">
        <x:v>return-data challenge</x:v>
      </x:c>
      <x:c r="G39" s="27" t="str">
        <x:v>coded outbound pattern</x:v>
      </x:c>
      <x:c r="H39" s="27" t="str">
        <x:v>zero mission-side observation</x:v>
      </x:c>
      <x:c r="I39" s="27" t="str">
        <x:v>interface authority</x:v>
      </x:c>
      <x:c r="J39" s="27" t="str">
        <x:v>OPEN</x:v>
      </x:c>
      <x:c r="K39" s="29" t="n">
        <x:v>0</x:v>
      </x:c>
    </x:row>
    <x:row r="40" ht="30" customHeight="1">
      <x:c r="B40" s="27" t="str">
        <x:v>I06-T04</x:v>
      </x:c>
      <x:c r="C40" s="27" t="str">
        <x:v>I06</x:v>
      </x:c>
      <x:c r="D40" s="27" t="str">
        <x:v>carrier propulsion</x:v>
      </x:c>
      <x:c r="E40" s="27" t="str">
        <x:v>split-physics witnesses</x:v>
      </x:c>
      <x:c r="F40" s="27" t="str">
        <x:v>actuation attempt</x:v>
      </x:c>
      <x:c r="G40" s="27" t="str">
        <x:v>all evidence-side interfaces commanded</x:v>
      </x:c>
      <x:c r="H40" s="27" t="str">
        <x:v>zero mission state change</x:v>
      </x:c>
      <x:c r="I40" s="27" t="str">
        <x:v>interface authority</x:v>
      </x:c>
      <x:c r="J40" s="27" t="str">
        <x:v>OPEN</x:v>
      </x:c>
      <x:c r="K40" s="29" t="n">
        <x:v>0</x:v>
      </x:c>
    </x:row>
    <x:row r="41" ht="30" customHeight="1">
      <x:c r="B41" s="27" t="str">
        <x:v>I06-T05</x:v>
      </x:c>
      <x:c r="C41" s="27" t="str">
        <x:v>I06</x:v>
      </x:c>
      <x:c r="D41" s="27" t="str">
        <x:v>carrier propulsion</x:v>
      </x:c>
      <x:c r="E41" s="27" t="str">
        <x:v>split-physics witnesses</x:v>
      </x:c>
      <x:c r="F41" s="27" t="str">
        <x:v>evidence-path severance</x:v>
      </x:c>
      <x:c r="G41" s="27" t="str">
        <x:v>complete evidence path loss</x:v>
      </x:c>
      <x:c r="H41" s="27" t="str">
        <x:v>mission stays safe and independent</x:v>
      </x:c>
      <x:c r="I41" s="27" t="str">
        <x:v>interface authority</x:v>
      </x:c>
      <x:c r="J41" s="27" t="str">
        <x:v>OPEN</x:v>
      </x:c>
      <x:c r="K41" s="29" t="n">
        <x:v>0</x:v>
      </x:c>
    </x:row>
    <x:row r="42" ht="30" customHeight="1">
      <x:c r="B42" s="27" t="str">
        <x:v>I06-T06</x:v>
      </x:c>
      <x:c r="C42" s="27" t="str">
        <x:v>I06</x:v>
      </x:c>
      <x:c r="D42" s="27" t="str">
        <x:v>carrier propulsion</x:v>
      </x:c>
      <x:c r="E42" s="27" t="str">
        <x:v>split-physics witnesses</x:v>
      </x:c>
      <x:c r="F42" s="27" t="str">
        <x:v>calibration-port lockout</x:v>
      </x:c>
      <x:c r="G42" s="27" t="str">
        <x:v>attempted access during credited state</x:v>
      </x:c>
      <x:c r="H42" s="27" t="str">
        <x:v>port remains physically disabled</x:v>
      </x:c>
      <x:c r="I42" s="27" t="str">
        <x:v>interface authority</x:v>
      </x:c>
      <x:c r="J42" s="27" t="str">
        <x:v>OPEN</x:v>
      </x:c>
      <x:c r="K42" s="29" t="n">
        <x:v>0</x:v>
      </x:c>
    </x:row>
    <x:row r="43" ht="30" customHeight="1">
      <x:c r="B43" s="27" t="str">
        <x:v>I07-T01</x:v>
      </x:c>
      <x:c r="C43" s="27" t="str">
        <x:v>I07</x:v>
      </x:c>
      <x:c r="D43" s="27" t="str">
        <x:v>terrain pod</x:v>
      </x:c>
      <x:c r="E43" s="27" t="str">
        <x:v>pod-local dual acquisition</x:v>
      </x:c>
      <x:c r="F43" s="27" t="str">
        <x:v>visual and continuity survey</x:v>
      </x:c>
      <x:c r="G43" s="27" t="str">
        <x:v>hidden conductor or shared fluid path</x:v>
      </x:c>
      <x:c r="H43" s="27" t="str">
        <x:v>no undeclared path</x:v>
      </x:c>
      <x:c r="I43" s="27" t="str">
        <x:v>interface authority</x:v>
      </x:c>
      <x:c r="J43" s="27" t="str">
        <x:v>OPEN</x:v>
      </x:c>
      <x:c r="K43" s="29" t="n">
        <x:v>0</x:v>
      </x:c>
    </x:row>
    <x:row r="44" ht="30" customHeight="1">
      <x:c r="B44" s="27" t="str">
        <x:v>I07-T02</x:v>
      </x:c>
      <x:c r="C44" s="27" t="str">
        <x:v>I07</x:v>
      </x:c>
      <x:c r="D44" s="27" t="str">
        <x:v>terrain pod</x:v>
      </x:c>
      <x:c r="E44" s="27" t="str">
        <x:v>pod-local dual acquisition</x:v>
      </x:c>
      <x:c r="F44" s="27" t="str">
        <x:v>reverse-energy injection</x:v>
      </x:c>
      <x:c r="G44" s="27" t="str">
        <x:v>maximum registered reverse potential</x:v>
      </x:c>
      <x:c r="H44" s="27" t="str">
        <x:v>zero useful transfer to mission</x:v>
      </x:c>
      <x:c r="I44" s="27" t="str">
        <x:v>interface authority</x:v>
      </x:c>
      <x:c r="J44" s="27" t="str">
        <x:v>OPEN</x:v>
      </x:c>
      <x:c r="K44" s="29" t="n">
        <x:v>0</x:v>
      </x:c>
    </x:row>
    <x:row r="45" ht="30" customHeight="1">
      <x:c r="B45" s="27" t="str">
        <x:v>I07-T03</x:v>
      </x:c>
      <x:c r="C45" s="27" t="str">
        <x:v>I07</x:v>
      </x:c>
      <x:c r="D45" s="27" t="str">
        <x:v>terrain pod</x:v>
      </x:c>
      <x:c r="E45" s="27" t="str">
        <x:v>pod-local dual acquisition</x:v>
      </x:c>
      <x:c r="F45" s="27" t="str">
        <x:v>return-data challenge</x:v>
      </x:c>
      <x:c r="G45" s="27" t="str">
        <x:v>coded outbound pattern</x:v>
      </x:c>
      <x:c r="H45" s="27" t="str">
        <x:v>zero mission-side observation</x:v>
      </x:c>
      <x:c r="I45" s="27" t="str">
        <x:v>interface authority</x:v>
      </x:c>
      <x:c r="J45" s="27" t="str">
        <x:v>OPEN</x:v>
      </x:c>
      <x:c r="K45" s="29" t="n">
        <x:v>0</x:v>
      </x:c>
    </x:row>
    <x:row r="46" ht="30" customHeight="1">
      <x:c r="B46" s="27" t="str">
        <x:v>I07-T04</x:v>
      </x:c>
      <x:c r="C46" s="27" t="str">
        <x:v>I07</x:v>
      </x:c>
      <x:c r="D46" s="27" t="str">
        <x:v>terrain pod</x:v>
      </x:c>
      <x:c r="E46" s="27" t="str">
        <x:v>pod-local dual acquisition</x:v>
      </x:c>
      <x:c r="F46" s="27" t="str">
        <x:v>actuation attempt</x:v>
      </x:c>
      <x:c r="G46" s="27" t="str">
        <x:v>all evidence-side interfaces commanded</x:v>
      </x:c>
      <x:c r="H46" s="27" t="str">
        <x:v>zero mission state change</x:v>
      </x:c>
      <x:c r="I46" s="27" t="str">
        <x:v>interface authority</x:v>
      </x:c>
      <x:c r="J46" s="27" t="str">
        <x:v>OPEN</x:v>
      </x:c>
      <x:c r="K46" s="29" t="n">
        <x:v>0</x:v>
      </x:c>
    </x:row>
    <x:row r="47" ht="30" customHeight="1">
      <x:c r="B47" s="27" t="str">
        <x:v>I07-T05</x:v>
      </x:c>
      <x:c r="C47" s="27" t="str">
        <x:v>I07</x:v>
      </x:c>
      <x:c r="D47" s="27" t="str">
        <x:v>terrain pod</x:v>
      </x:c>
      <x:c r="E47" s="27" t="str">
        <x:v>pod-local dual acquisition</x:v>
      </x:c>
      <x:c r="F47" s="27" t="str">
        <x:v>evidence-path severance</x:v>
      </x:c>
      <x:c r="G47" s="27" t="str">
        <x:v>complete evidence path loss</x:v>
      </x:c>
      <x:c r="H47" s="27" t="str">
        <x:v>mission stays safe and independent</x:v>
      </x:c>
      <x:c r="I47" s="27" t="str">
        <x:v>interface authority</x:v>
      </x:c>
      <x:c r="J47" s="27" t="str">
        <x:v>OPEN</x:v>
      </x:c>
      <x:c r="K47" s="29" t="n">
        <x:v>0</x:v>
      </x:c>
    </x:row>
    <x:row r="48" ht="30" customHeight="1">
      <x:c r="B48" s="27" t="str">
        <x:v>I07-T06</x:v>
      </x:c>
      <x:c r="C48" s="27" t="str">
        <x:v>I07</x:v>
      </x:c>
      <x:c r="D48" s="27" t="str">
        <x:v>terrain pod</x:v>
      </x:c>
      <x:c r="E48" s="27" t="str">
        <x:v>pod-local dual acquisition</x:v>
      </x:c>
      <x:c r="F48" s="27" t="str">
        <x:v>calibration-port lockout</x:v>
      </x:c>
      <x:c r="G48" s="27" t="str">
        <x:v>attempted access during credited state</x:v>
      </x:c>
      <x:c r="H48" s="27" t="str">
        <x:v>port remains physically disabled</x:v>
      </x:c>
      <x:c r="I48" s="27" t="str">
        <x:v>interface authority</x:v>
      </x:c>
      <x:c r="J48" s="27" t="str">
        <x:v>OPEN</x:v>
      </x:c>
      <x:c r="K48" s="29" t="n">
        <x:v>0</x:v>
      </x:c>
    </x:row>
    <x:row r="49" ht="30" customHeight="1">
      <x:c r="B49" s="27" t="str">
        <x:v>I08-T01</x:v>
      </x:c>
      <x:c r="C49" s="27" t="str">
        <x:v>I08</x:v>
      </x:c>
      <x:c r="D49" s="27" t="str">
        <x:v>pressure skin</x:v>
      </x:c>
      <x:c r="E49" s="27" t="str">
        <x:v>passive multiplexed branches</x:v>
      </x:c>
      <x:c r="F49" s="27" t="str">
        <x:v>visual and continuity survey</x:v>
      </x:c>
      <x:c r="G49" s="27" t="str">
        <x:v>hidden conductor or shared fluid path</x:v>
      </x:c>
      <x:c r="H49" s="27" t="str">
        <x:v>no undeclared path</x:v>
      </x:c>
      <x:c r="I49" s="27" t="str">
        <x:v>interface authority</x:v>
      </x:c>
      <x:c r="J49" s="27" t="str">
        <x:v>OPEN</x:v>
      </x:c>
      <x:c r="K49" s="29" t="n">
        <x:v>0</x:v>
      </x:c>
    </x:row>
    <x:row r="50" ht="30" customHeight="1">
      <x:c r="B50" s="27" t="str">
        <x:v>I08-T02</x:v>
      </x:c>
      <x:c r="C50" s="27" t="str">
        <x:v>I08</x:v>
      </x:c>
      <x:c r="D50" s="27" t="str">
        <x:v>pressure skin</x:v>
      </x:c>
      <x:c r="E50" s="27" t="str">
        <x:v>passive multiplexed branches</x:v>
      </x:c>
      <x:c r="F50" s="27" t="str">
        <x:v>reverse-energy injection</x:v>
      </x:c>
      <x:c r="G50" s="27" t="str">
        <x:v>maximum registered reverse potential</x:v>
      </x:c>
      <x:c r="H50" s="27" t="str">
        <x:v>zero useful transfer to mission</x:v>
      </x:c>
      <x:c r="I50" s="27" t="str">
        <x:v>interface authority</x:v>
      </x:c>
      <x:c r="J50" s="27" t="str">
        <x:v>OPEN</x:v>
      </x:c>
      <x:c r="K50" s="29" t="n">
        <x:v>0</x:v>
      </x:c>
    </x:row>
    <x:row r="51" ht="30" customHeight="1">
      <x:c r="B51" s="27" t="str">
        <x:v>I08-T03</x:v>
      </x:c>
      <x:c r="C51" s="27" t="str">
        <x:v>I08</x:v>
      </x:c>
      <x:c r="D51" s="27" t="str">
        <x:v>pressure skin</x:v>
      </x:c>
      <x:c r="E51" s="27" t="str">
        <x:v>passive multiplexed branches</x:v>
      </x:c>
      <x:c r="F51" s="27" t="str">
        <x:v>return-data challenge</x:v>
      </x:c>
      <x:c r="G51" s="27" t="str">
        <x:v>coded outbound pattern</x:v>
      </x:c>
      <x:c r="H51" s="27" t="str">
        <x:v>zero mission-side observation</x:v>
      </x:c>
      <x:c r="I51" s="27" t="str">
        <x:v>interface authority</x:v>
      </x:c>
      <x:c r="J51" s="27" t="str">
        <x:v>OPEN</x:v>
      </x:c>
      <x:c r="K51" s="29" t="n">
        <x:v>0</x:v>
      </x:c>
    </x:row>
    <x:row r="52" ht="30" customHeight="1">
      <x:c r="B52" s="27" t="str">
        <x:v>I08-T04</x:v>
      </x:c>
      <x:c r="C52" s="27" t="str">
        <x:v>I08</x:v>
      </x:c>
      <x:c r="D52" s="27" t="str">
        <x:v>pressure skin</x:v>
      </x:c>
      <x:c r="E52" s="27" t="str">
        <x:v>passive multiplexed branches</x:v>
      </x:c>
      <x:c r="F52" s="27" t="str">
        <x:v>actuation attempt</x:v>
      </x:c>
      <x:c r="G52" s="27" t="str">
        <x:v>all evidence-side interfaces commanded</x:v>
      </x:c>
      <x:c r="H52" s="27" t="str">
        <x:v>zero mission state change</x:v>
      </x:c>
      <x:c r="I52" s="27" t="str">
        <x:v>interface authority</x:v>
      </x:c>
      <x:c r="J52" s="27" t="str">
        <x:v>OPEN</x:v>
      </x:c>
      <x:c r="K52" s="29" t="n">
        <x:v>0</x:v>
      </x:c>
    </x:row>
    <x:row r="53" ht="30" customHeight="1">
      <x:c r="B53" s="27" t="str">
        <x:v>I08-T05</x:v>
      </x:c>
      <x:c r="C53" s="27" t="str">
        <x:v>I08</x:v>
      </x:c>
      <x:c r="D53" s="27" t="str">
        <x:v>pressure skin</x:v>
      </x:c>
      <x:c r="E53" s="27" t="str">
        <x:v>passive multiplexed branches</x:v>
      </x:c>
      <x:c r="F53" s="27" t="str">
        <x:v>evidence-path severance</x:v>
      </x:c>
      <x:c r="G53" s="27" t="str">
        <x:v>complete evidence path loss</x:v>
      </x:c>
      <x:c r="H53" s="27" t="str">
        <x:v>mission stays safe and independent</x:v>
      </x:c>
      <x:c r="I53" s="27" t="str">
        <x:v>interface authority</x:v>
      </x:c>
      <x:c r="J53" s="27" t="str">
        <x:v>OPEN</x:v>
      </x:c>
      <x:c r="K53" s="29" t="n">
        <x:v>0</x:v>
      </x:c>
    </x:row>
    <x:row r="54" ht="30" customHeight="1">
      <x:c r="B54" s="27" t="str">
        <x:v>I08-T06</x:v>
      </x:c>
      <x:c r="C54" s="27" t="str">
        <x:v>I08</x:v>
      </x:c>
      <x:c r="D54" s="27" t="str">
        <x:v>pressure skin</x:v>
      </x:c>
      <x:c r="E54" s="27" t="str">
        <x:v>passive multiplexed branches</x:v>
      </x:c>
      <x:c r="F54" s="27" t="str">
        <x:v>calibration-port lockout</x:v>
      </x:c>
      <x:c r="G54" s="27" t="str">
        <x:v>attempted access during credited state</x:v>
      </x:c>
      <x:c r="H54" s="27" t="str">
        <x:v>port remains physically disabled</x:v>
      </x:c>
      <x:c r="I54" s="27" t="str">
        <x:v>interface authority</x:v>
      </x:c>
      <x:c r="J54" s="27" t="str">
        <x:v>OPEN</x:v>
      </x:c>
      <x:c r="K54" s="29" t="n">
        <x:v>0</x:v>
      </x:c>
    </x:row>
    <x:row r="55" ht="30" customHeight="1">
      <x:c r="B55" s="27" t="str">
        <x:v>I09-T01</x:v>
      </x:c>
      <x:c r="C55" s="27" t="str">
        <x:v>I09</x:v>
      </x:c>
      <x:c r="D55" s="27" t="str">
        <x:v>receiver utility boundary</x:v>
      </x:c>
      <x:c r="E55" s="27" t="str">
        <x:v>separate physical meters</x:v>
      </x:c>
      <x:c r="F55" s="27" t="str">
        <x:v>visual and continuity survey</x:v>
      </x:c>
      <x:c r="G55" s="27" t="str">
        <x:v>hidden conductor or shared fluid path</x:v>
      </x:c>
      <x:c r="H55" s="27" t="str">
        <x:v>no undeclared path</x:v>
      </x:c>
      <x:c r="I55" s="27" t="str">
        <x:v>interface authority</x:v>
      </x:c>
      <x:c r="J55" s="27" t="str">
        <x:v>OPEN</x:v>
      </x:c>
      <x:c r="K55" s="29" t="n">
        <x:v>0</x:v>
      </x:c>
    </x:row>
    <x:row r="56" ht="30" customHeight="1">
      <x:c r="B56" s="27" t="str">
        <x:v>I09-T02</x:v>
      </x:c>
      <x:c r="C56" s="27" t="str">
        <x:v>I09</x:v>
      </x:c>
      <x:c r="D56" s="27" t="str">
        <x:v>receiver utility boundary</x:v>
      </x:c>
      <x:c r="E56" s="27" t="str">
        <x:v>separate physical meters</x:v>
      </x:c>
      <x:c r="F56" s="27" t="str">
        <x:v>reverse-energy injection</x:v>
      </x:c>
      <x:c r="G56" s="27" t="str">
        <x:v>maximum registered reverse potential</x:v>
      </x:c>
      <x:c r="H56" s="27" t="str">
        <x:v>zero useful transfer to mission</x:v>
      </x:c>
      <x:c r="I56" s="27" t="str">
        <x:v>interface authority</x:v>
      </x:c>
      <x:c r="J56" s="27" t="str">
        <x:v>OPEN</x:v>
      </x:c>
      <x:c r="K56" s="29" t="n">
        <x:v>0</x:v>
      </x:c>
    </x:row>
    <x:row r="57" ht="30" customHeight="1">
      <x:c r="B57" s="27" t="str">
        <x:v>I09-T03</x:v>
      </x:c>
      <x:c r="C57" s="27" t="str">
        <x:v>I09</x:v>
      </x:c>
      <x:c r="D57" s="27" t="str">
        <x:v>receiver utility boundary</x:v>
      </x:c>
      <x:c r="E57" s="27" t="str">
        <x:v>separate physical meters</x:v>
      </x:c>
      <x:c r="F57" s="27" t="str">
        <x:v>return-data challenge</x:v>
      </x:c>
      <x:c r="G57" s="27" t="str">
        <x:v>coded outbound pattern</x:v>
      </x:c>
      <x:c r="H57" s="27" t="str">
        <x:v>zero mission-side observation</x:v>
      </x:c>
      <x:c r="I57" s="27" t="str">
        <x:v>interface authority</x:v>
      </x:c>
      <x:c r="J57" s="27" t="str">
        <x:v>OPEN</x:v>
      </x:c>
      <x:c r="K57" s="29" t="n">
        <x:v>0</x:v>
      </x:c>
    </x:row>
    <x:row r="58" ht="30" customHeight="1">
      <x:c r="B58" s="27" t="str">
        <x:v>I09-T04</x:v>
      </x:c>
      <x:c r="C58" s="27" t="str">
        <x:v>I09</x:v>
      </x:c>
      <x:c r="D58" s="27" t="str">
        <x:v>receiver utility boundary</x:v>
      </x:c>
      <x:c r="E58" s="27" t="str">
        <x:v>separate physical meters</x:v>
      </x:c>
      <x:c r="F58" s="27" t="str">
        <x:v>actuation attempt</x:v>
      </x:c>
      <x:c r="G58" s="27" t="str">
        <x:v>all evidence-side interfaces commanded</x:v>
      </x:c>
      <x:c r="H58" s="27" t="str">
        <x:v>zero mission state change</x:v>
      </x:c>
      <x:c r="I58" s="27" t="str">
        <x:v>interface authority</x:v>
      </x:c>
      <x:c r="J58" s="27" t="str">
        <x:v>OPEN</x:v>
      </x:c>
      <x:c r="K58" s="29" t="n">
        <x:v>0</x:v>
      </x:c>
    </x:row>
    <x:row r="59" ht="30" customHeight="1">
      <x:c r="B59" s="27" t="str">
        <x:v>I09-T05</x:v>
      </x:c>
      <x:c r="C59" s="27" t="str">
        <x:v>I09</x:v>
      </x:c>
      <x:c r="D59" s="27" t="str">
        <x:v>receiver utility boundary</x:v>
      </x:c>
      <x:c r="E59" s="27" t="str">
        <x:v>separate physical meters</x:v>
      </x:c>
      <x:c r="F59" s="27" t="str">
        <x:v>evidence-path severance</x:v>
      </x:c>
      <x:c r="G59" s="27" t="str">
        <x:v>complete evidence path loss</x:v>
      </x:c>
      <x:c r="H59" s="27" t="str">
        <x:v>mission stays safe and independent</x:v>
      </x:c>
      <x:c r="I59" s="27" t="str">
        <x:v>interface authority</x:v>
      </x:c>
      <x:c r="J59" s="27" t="str">
        <x:v>OPEN</x:v>
      </x:c>
      <x:c r="K59" s="29" t="n">
        <x:v>0</x:v>
      </x:c>
    </x:row>
    <x:row r="60" ht="30" customHeight="1">
      <x:c r="B60" s="27" t="str">
        <x:v>I09-T06</x:v>
      </x:c>
      <x:c r="C60" s="27" t="str">
        <x:v>I09</x:v>
      </x:c>
      <x:c r="D60" s="27" t="str">
        <x:v>receiver utility boundary</x:v>
      </x:c>
      <x:c r="E60" s="27" t="str">
        <x:v>separate physical meters</x:v>
      </x:c>
      <x:c r="F60" s="27" t="str">
        <x:v>calibration-port lockout</x:v>
      </x:c>
      <x:c r="G60" s="27" t="str">
        <x:v>attempted access during credited state</x:v>
      </x:c>
      <x:c r="H60" s="27" t="str">
        <x:v>port remains physically disabled</x:v>
      </x:c>
      <x:c r="I60" s="27" t="str">
        <x:v>interface authority</x:v>
      </x:c>
      <x:c r="J60" s="27" t="str">
        <x:v>OPEN</x:v>
      </x:c>
      <x:c r="K60" s="29" t="n">
        <x:v>0</x:v>
      </x:c>
    </x:row>
    <x:row r="61" ht="30" customHeight="1">
      <x:c r="B61" s="27" t="str">
        <x:v>I10-T01</x:v>
      </x:c>
      <x:c r="C61" s="27" t="str">
        <x:v>I10</x:v>
      </x:c>
      <x:c r="D61" s="27" t="str">
        <x:v>civil authority</x:v>
      </x:c>
      <x:c r="E61" s="27" t="str">
        <x:v>signed independent ledger</x:v>
      </x:c>
      <x:c r="F61" s="27" t="str">
        <x:v>visual and continuity survey</x:v>
      </x:c>
      <x:c r="G61" s="27" t="str">
        <x:v>hidden conductor or shared fluid path</x:v>
      </x:c>
      <x:c r="H61" s="27" t="str">
        <x:v>no undeclared path</x:v>
      </x:c>
      <x:c r="I61" s="27" t="str">
        <x:v>interface authority</x:v>
      </x:c>
      <x:c r="J61" s="27" t="str">
        <x:v>OPEN</x:v>
      </x:c>
      <x:c r="K61" s="29" t="n">
        <x:v>0</x:v>
      </x:c>
    </x:row>
    <x:row r="62" ht="30" customHeight="1">
      <x:c r="B62" s="27" t="str">
        <x:v>I10-T02</x:v>
      </x:c>
      <x:c r="C62" s="27" t="str">
        <x:v>I10</x:v>
      </x:c>
      <x:c r="D62" s="27" t="str">
        <x:v>civil authority</x:v>
      </x:c>
      <x:c r="E62" s="27" t="str">
        <x:v>signed independent ledger</x:v>
      </x:c>
      <x:c r="F62" s="27" t="str">
        <x:v>reverse-energy injection</x:v>
      </x:c>
      <x:c r="G62" s="27" t="str">
        <x:v>maximum registered reverse potential</x:v>
      </x:c>
      <x:c r="H62" s="27" t="str">
        <x:v>zero useful transfer to mission</x:v>
      </x:c>
      <x:c r="I62" s="27" t="str">
        <x:v>interface authority</x:v>
      </x:c>
      <x:c r="J62" s="27" t="str">
        <x:v>OPEN</x:v>
      </x:c>
      <x:c r="K62" s="29" t="n">
        <x:v>0</x:v>
      </x:c>
    </x:row>
    <x:row r="63" ht="30" customHeight="1">
      <x:c r="B63" s="27" t="str">
        <x:v>I10-T03</x:v>
      </x:c>
      <x:c r="C63" s="27" t="str">
        <x:v>I10</x:v>
      </x:c>
      <x:c r="D63" s="27" t="str">
        <x:v>civil authority</x:v>
      </x:c>
      <x:c r="E63" s="27" t="str">
        <x:v>signed independent ledger</x:v>
      </x:c>
      <x:c r="F63" s="27" t="str">
        <x:v>return-data challenge</x:v>
      </x:c>
      <x:c r="G63" s="27" t="str">
        <x:v>coded outbound pattern</x:v>
      </x:c>
      <x:c r="H63" s="27" t="str">
        <x:v>zero mission-side observation</x:v>
      </x:c>
      <x:c r="I63" s="27" t="str">
        <x:v>interface authority</x:v>
      </x:c>
      <x:c r="J63" s="27" t="str">
        <x:v>OPEN</x:v>
      </x:c>
      <x:c r="K63" s="29" t="n">
        <x:v>0</x:v>
      </x:c>
    </x:row>
    <x:row r="64" ht="30" customHeight="1">
      <x:c r="B64" s="27" t="str">
        <x:v>I10-T04</x:v>
      </x:c>
      <x:c r="C64" s="27" t="str">
        <x:v>I10</x:v>
      </x:c>
      <x:c r="D64" s="27" t="str">
        <x:v>civil authority</x:v>
      </x:c>
      <x:c r="E64" s="27" t="str">
        <x:v>signed independent ledger</x:v>
      </x:c>
      <x:c r="F64" s="27" t="str">
        <x:v>actuation attempt</x:v>
      </x:c>
      <x:c r="G64" s="27" t="str">
        <x:v>all evidence-side interfaces commanded</x:v>
      </x:c>
      <x:c r="H64" s="27" t="str">
        <x:v>zero mission state change</x:v>
      </x:c>
      <x:c r="I64" s="27" t="str">
        <x:v>interface authority</x:v>
      </x:c>
      <x:c r="J64" s="27" t="str">
        <x:v>OPEN</x:v>
      </x:c>
      <x:c r="K64" s="29" t="n">
        <x:v>0</x:v>
      </x:c>
    </x:row>
    <x:row r="65" ht="30" customHeight="1">
      <x:c r="B65" s="27" t="str">
        <x:v>I10-T05</x:v>
      </x:c>
      <x:c r="C65" s="27" t="str">
        <x:v>I10</x:v>
      </x:c>
      <x:c r="D65" s="27" t="str">
        <x:v>civil authority</x:v>
      </x:c>
      <x:c r="E65" s="27" t="str">
        <x:v>signed independent ledger</x:v>
      </x:c>
      <x:c r="F65" s="27" t="str">
        <x:v>evidence-path severance</x:v>
      </x:c>
      <x:c r="G65" s="27" t="str">
        <x:v>complete evidence path loss</x:v>
      </x:c>
      <x:c r="H65" s="27" t="str">
        <x:v>mission stays safe and independent</x:v>
      </x:c>
      <x:c r="I65" s="27" t="str">
        <x:v>interface authority</x:v>
      </x:c>
      <x:c r="J65" s="27" t="str">
        <x:v>OPEN</x:v>
      </x:c>
      <x:c r="K65" s="29" t="n">
        <x:v>0</x:v>
      </x:c>
    </x:row>
    <x:row r="66" ht="30" customHeight="1">
      <x:c r="B66" s="27" t="str">
        <x:v>I10-T06</x:v>
      </x:c>
      <x:c r="C66" s="27" t="str">
        <x:v>I10</x:v>
      </x:c>
      <x:c r="D66" s="27" t="str">
        <x:v>civil authority</x:v>
      </x:c>
      <x:c r="E66" s="27" t="str">
        <x:v>signed independent ledger</x:v>
      </x:c>
      <x:c r="F66" s="27" t="str">
        <x:v>calibration-port lockout</x:v>
      </x:c>
      <x:c r="G66" s="27" t="str">
        <x:v>attempted access during credited state</x:v>
      </x:c>
      <x:c r="H66" s="27" t="str">
        <x:v>port remains physically disabled</x:v>
      </x:c>
      <x:c r="I66" s="27" t="str">
        <x:v>interface authority</x:v>
      </x:c>
      <x:c r="J66" s="27" t="str">
        <x:v>OPEN</x:v>
      </x:c>
      <x:c r="K66" s="29" t="n">
        <x:v>0</x:v>
      </x:c>
    </x:row>
    <x:row r="67" ht="30" customHeight="1">
      <x:c r="B67" s="27" t="str">
        <x:v>I11-T01</x:v>
      </x:c>
      <x:c r="C67" s="27" t="str">
        <x:v>I11</x:v>
      </x:c>
      <x:c r="D67" s="27" t="str">
        <x:v>evidence vault</x:v>
      </x:c>
      <x:c r="E67" s="27" t="str">
        <x:v>one-way removable media export</x:v>
      </x:c>
      <x:c r="F67" s="27" t="str">
        <x:v>visual and continuity survey</x:v>
      </x:c>
      <x:c r="G67" s="27" t="str">
        <x:v>hidden conductor or shared fluid path</x:v>
      </x:c>
      <x:c r="H67" s="27" t="str">
        <x:v>no undeclared path</x:v>
      </x:c>
      <x:c r="I67" s="27" t="str">
        <x:v>interface authority</x:v>
      </x:c>
      <x:c r="J67" s="27" t="str">
        <x:v>OPEN</x:v>
      </x:c>
      <x:c r="K67" s="29" t="n">
        <x:v>0</x:v>
      </x:c>
    </x:row>
    <x:row r="68" ht="30" customHeight="1">
      <x:c r="B68" s="27" t="str">
        <x:v>I11-T02</x:v>
      </x:c>
      <x:c r="C68" s="27" t="str">
        <x:v>I11</x:v>
      </x:c>
      <x:c r="D68" s="27" t="str">
        <x:v>evidence vault</x:v>
      </x:c>
      <x:c r="E68" s="27" t="str">
        <x:v>one-way removable media export</x:v>
      </x:c>
      <x:c r="F68" s="27" t="str">
        <x:v>reverse-energy injection</x:v>
      </x:c>
      <x:c r="G68" s="27" t="str">
        <x:v>maximum registered reverse potential</x:v>
      </x:c>
      <x:c r="H68" s="27" t="str">
        <x:v>zero useful transfer to mission</x:v>
      </x:c>
      <x:c r="I68" s="27" t="str">
        <x:v>interface authority</x:v>
      </x:c>
      <x:c r="J68" s="27" t="str">
        <x:v>OPEN</x:v>
      </x:c>
      <x:c r="K68" s="29" t="n">
        <x:v>0</x:v>
      </x:c>
    </x:row>
    <x:row r="69" ht="30" customHeight="1">
      <x:c r="B69" s="27" t="str">
        <x:v>I11-T03</x:v>
      </x:c>
      <x:c r="C69" s="27" t="str">
        <x:v>I11</x:v>
      </x:c>
      <x:c r="D69" s="27" t="str">
        <x:v>evidence vault</x:v>
      </x:c>
      <x:c r="E69" s="27" t="str">
        <x:v>one-way removable media export</x:v>
      </x:c>
      <x:c r="F69" s="27" t="str">
        <x:v>return-data challenge</x:v>
      </x:c>
      <x:c r="G69" s="27" t="str">
        <x:v>coded outbound pattern</x:v>
      </x:c>
      <x:c r="H69" s="27" t="str">
        <x:v>zero mission-side observation</x:v>
      </x:c>
      <x:c r="I69" s="27" t="str">
        <x:v>interface authority</x:v>
      </x:c>
      <x:c r="J69" s="27" t="str">
        <x:v>OPEN</x:v>
      </x:c>
      <x:c r="K69" s="29" t="n">
        <x:v>0</x:v>
      </x:c>
    </x:row>
    <x:row r="70" ht="30" customHeight="1">
      <x:c r="B70" s="27" t="str">
        <x:v>I11-T04</x:v>
      </x:c>
      <x:c r="C70" s="27" t="str">
        <x:v>I11</x:v>
      </x:c>
      <x:c r="D70" s="27" t="str">
        <x:v>evidence vault</x:v>
      </x:c>
      <x:c r="E70" s="27" t="str">
        <x:v>one-way removable media export</x:v>
      </x:c>
      <x:c r="F70" s="27" t="str">
        <x:v>actuation attempt</x:v>
      </x:c>
      <x:c r="G70" s="27" t="str">
        <x:v>all evidence-side interfaces commanded</x:v>
      </x:c>
      <x:c r="H70" s="27" t="str">
        <x:v>zero mission state change</x:v>
      </x:c>
      <x:c r="I70" s="27" t="str">
        <x:v>interface authority</x:v>
      </x:c>
      <x:c r="J70" s="27" t="str">
        <x:v>OPEN</x:v>
      </x:c>
      <x:c r="K70" s="29" t="n">
        <x:v>0</x:v>
      </x:c>
    </x:row>
    <x:row r="71" ht="30" customHeight="1">
      <x:c r="B71" s="27" t="str">
        <x:v>I11-T05</x:v>
      </x:c>
      <x:c r="C71" s="27" t="str">
        <x:v>I11</x:v>
      </x:c>
      <x:c r="D71" s="27" t="str">
        <x:v>evidence vault</x:v>
      </x:c>
      <x:c r="E71" s="27" t="str">
        <x:v>one-way removable media export</x:v>
      </x:c>
      <x:c r="F71" s="27" t="str">
        <x:v>evidence-path severance</x:v>
      </x:c>
      <x:c r="G71" s="27" t="str">
        <x:v>complete evidence path loss</x:v>
      </x:c>
      <x:c r="H71" s="27" t="str">
        <x:v>mission stays safe and independent</x:v>
      </x:c>
      <x:c r="I71" s="27" t="str">
        <x:v>interface authority</x:v>
      </x:c>
      <x:c r="J71" s="27" t="str">
        <x:v>OPEN</x:v>
      </x:c>
      <x:c r="K71" s="29" t="n">
        <x:v>0</x:v>
      </x:c>
    </x:row>
    <x:row r="72" ht="30" customHeight="1">
      <x:c r="B72" s="27" t="str">
        <x:v>I11-T06</x:v>
      </x:c>
      <x:c r="C72" s="27" t="str">
        <x:v>I11</x:v>
      </x:c>
      <x:c r="D72" s="27" t="str">
        <x:v>evidence vault</x:v>
      </x:c>
      <x:c r="E72" s="27" t="str">
        <x:v>one-way removable media export</x:v>
      </x:c>
      <x:c r="F72" s="27" t="str">
        <x:v>calibration-port lockout</x:v>
      </x:c>
      <x:c r="G72" s="27" t="str">
        <x:v>attempted access during credited state</x:v>
      </x:c>
      <x:c r="H72" s="27" t="str">
        <x:v>port remains physically disabled</x:v>
      </x:c>
      <x:c r="I72" s="27" t="str">
        <x:v>interface authority</x:v>
      </x:c>
      <x:c r="J72" s="27" t="str">
        <x:v>OPEN</x:v>
      </x:c>
      <x:c r="K72" s="29" t="n">
        <x:v>0</x:v>
      </x:c>
    </x:row>
    <x:row r="73" ht="30" customHeight="1">
      <x:c r="B73" s="27" t="str">
        <x:v>I12-T01</x:v>
      </x:c>
      <x:c r="C73" s="27" t="str">
        <x:v>I12</x:v>
      </x:c>
      <x:c r="D73" s="27" t="str">
        <x:v>evidence enclosure</x:v>
      </x:c>
      <x:c r="E73" s="27" t="str">
        <x:v>dedicated outward rejection path</x:v>
      </x:c>
      <x:c r="F73" s="27" t="str">
        <x:v>visual and continuity survey</x:v>
      </x:c>
      <x:c r="G73" s="27" t="str">
        <x:v>hidden conductor or shared fluid path</x:v>
      </x:c>
      <x:c r="H73" s="27" t="str">
        <x:v>no undeclared path</x:v>
      </x:c>
      <x:c r="I73" s="27" t="str">
        <x:v>interface authority</x:v>
      </x:c>
      <x:c r="J73" s="27" t="str">
        <x:v>OPEN</x:v>
      </x:c>
      <x:c r="K73" s="29" t="n">
        <x:v>0</x:v>
      </x:c>
    </x:row>
    <x:row r="74" ht="30" customHeight="1">
      <x:c r="B74" s="27" t="str">
        <x:v>I12-T02</x:v>
      </x:c>
      <x:c r="C74" s="27" t="str">
        <x:v>I12</x:v>
      </x:c>
      <x:c r="D74" s="27" t="str">
        <x:v>evidence enclosure</x:v>
      </x:c>
      <x:c r="E74" s="27" t="str">
        <x:v>dedicated outward rejection path</x:v>
      </x:c>
      <x:c r="F74" s="27" t="str">
        <x:v>reverse-energy injection</x:v>
      </x:c>
      <x:c r="G74" s="27" t="str">
        <x:v>maximum registered reverse potential</x:v>
      </x:c>
      <x:c r="H74" s="27" t="str">
        <x:v>zero useful transfer to mission</x:v>
      </x:c>
      <x:c r="I74" s="27" t="str">
        <x:v>interface authority</x:v>
      </x:c>
      <x:c r="J74" s="27" t="str">
        <x:v>OPEN</x:v>
      </x:c>
      <x:c r="K74" s="29" t="n">
        <x:v>0</x:v>
      </x:c>
    </x:row>
    <x:row r="75" ht="30" customHeight="1">
      <x:c r="B75" s="27" t="str">
        <x:v>I12-T03</x:v>
      </x:c>
      <x:c r="C75" s="27" t="str">
        <x:v>I12</x:v>
      </x:c>
      <x:c r="D75" s="27" t="str">
        <x:v>evidence enclosure</x:v>
      </x:c>
      <x:c r="E75" s="27" t="str">
        <x:v>dedicated outward rejection path</x:v>
      </x:c>
      <x:c r="F75" s="27" t="str">
        <x:v>return-data challenge</x:v>
      </x:c>
      <x:c r="G75" s="27" t="str">
        <x:v>coded outbound pattern</x:v>
      </x:c>
      <x:c r="H75" s="27" t="str">
        <x:v>zero mission-side observation</x:v>
      </x:c>
      <x:c r="I75" s="27" t="str">
        <x:v>interface authority</x:v>
      </x:c>
      <x:c r="J75" s="27" t="str">
        <x:v>OPEN</x:v>
      </x:c>
      <x:c r="K75" s="29" t="n">
        <x:v>0</x:v>
      </x:c>
    </x:row>
    <x:row r="76" ht="30" customHeight="1">
      <x:c r="B76" s="27" t="str">
        <x:v>I12-T04</x:v>
      </x:c>
      <x:c r="C76" s="27" t="str">
        <x:v>I12</x:v>
      </x:c>
      <x:c r="D76" s="27" t="str">
        <x:v>evidence enclosure</x:v>
      </x:c>
      <x:c r="E76" s="27" t="str">
        <x:v>dedicated outward rejection path</x:v>
      </x:c>
      <x:c r="F76" s="27" t="str">
        <x:v>actuation attempt</x:v>
      </x:c>
      <x:c r="G76" s="27" t="str">
        <x:v>all evidence-side interfaces commanded</x:v>
      </x:c>
      <x:c r="H76" s="27" t="str">
        <x:v>zero mission state change</x:v>
      </x:c>
      <x:c r="I76" s="27" t="str">
        <x:v>interface authority</x:v>
      </x:c>
      <x:c r="J76" s="27" t="str">
        <x:v>OPEN</x:v>
      </x:c>
      <x:c r="K76" s="29" t="n">
        <x:v>0</x:v>
      </x:c>
    </x:row>
    <x:row r="77" ht="30" customHeight="1">
      <x:c r="B77" s="27" t="str">
        <x:v>I12-T05</x:v>
      </x:c>
      <x:c r="C77" s="27" t="str">
        <x:v>I12</x:v>
      </x:c>
      <x:c r="D77" s="27" t="str">
        <x:v>evidence enclosure</x:v>
      </x:c>
      <x:c r="E77" s="27" t="str">
        <x:v>dedicated outward rejection path</x:v>
      </x:c>
      <x:c r="F77" s="27" t="str">
        <x:v>evidence-path severance</x:v>
      </x:c>
      <x:c r="G77" s="27" t="str">
        <x:v>complete evidence path loss</x:v>
      </x:c>
      <x:c r="H77" s="27" t="str">
        <x:v>mission stays safe and independent</x:v>
      </x:c>
      <x:c r="I77" s="27" t="str">
        <x:v>interface authority</x:v>
      </x:c>
      <x:c r="J77" s="27" t="str">
        <x:v>OPEN</x:v>
      </x:c>
      <x:c r="K77" s="29" t="n">
        <x:v>0</x:v>
      </x:c>
    </x:row>
    <x:row r="78" ht="30" customHeight="1">
      <x:c r="B78" s="31" t="str">
        <x:v>I12-T06</x:v>
      </x:c>
      <x:c r="C78" s="31" t="str">
        <x:v>I12</x:v>
      </x:c>
      <x:c r="D78" s="31" t="str">
        <x:v>evidence enclosure</x:v>
      </x:c>
      <x:c r="E78" s="31" t="str">
        <x:v>dedicated outward rejection path</x:v>
      </x:c>
      <x:c r="F78" s="31" t="str">
        <x:v>calibration-port lockout</x:v>
      </x:c>
      <x:c r="G78" s="31" t="str">
        <x:v>attempted access during credited state</x:v>
      </x:c>
      <x:c r="H78" s="31" t="str">
        <x:v>port remains physically disabled</x:v>
      </x:c>
      <x:c r="I78" s="31" t="str">
        <x:v>interface authority</x:v>
      </x:c>
      <x:c r="J78" s="31" t="str">
        <x:v>OPEN</x:v>
      </x:c>
      <x:c r="K78" s="33" t="n">
        <x:v>0</x:v>
      </x:c>
    </x:row>
    <x:row r="79" ht="18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8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18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18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</x:sheetData>
  <x:mergeCells>
    <x:mergeCell ref="B3:K3"/>
  </x:mergeCells>
  <x:conditionalFormatting sqref="J7:J78">
    <x:cfRule type="containsText" dxfId="25" priority="1" operator="containsText" text="OPEN"/>
    <x:cfRule type="containsText" dxfId="26" priority="2" operator="containsText" text="HOLD"/>
    <x:cfRule type="containsText" dxfId="27" priority="3" operator="containsText" text="BLOCKED"/>
    <x:cfRule type="containsText" dxfId="28" priority="4" operator="containsText" text="DRAFT"/>
    <x:cfRule type="containsText" dxfId="29" priority="5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4" hidden="0" customWidth="1"/>
    <x:col min="4" max="4" width="34" hidden="0" customWidth="1"/>
    <x:col min="5" max="5" width="17" hidden="0" customWidth="1"/>
    <x:col min="6" max="6" width="18" hidden="0" customWidth="1"/>
    <x:col min="7" max="7" width="15" hidden="0" customWidth="1"/>
    <x:col min="8" max="8" width="15" hidden="0" customWidth="1"/>
    <x:col min="9" max="9" width="39" hidden="0" customWidth="1"/>
    <x:col min="10" max="10" width="17" hidden="0" customWidth="1"/>
    <x:col min="11" max="11" width="27" hidden="0" customWidth="1"/>
    <x:col min="12" max="12" width="13" hidden="0" customWidth="1"/>
  </x:cols>
  <x:sheetData>
    <x:row r="2" ht="18" customHeight="1">
      <x:c r="B2" s="3" t="str">
        <x:v>Calibration and uncertainty chain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8" customHeight="1">
      <x:c r="B3" s="4" t="str">
        <x:v>Each measurand receives a field-checkable allocation, distinct reference and pre/post hazard comparison.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18" customHeight="1">
      <x:c r="B6" s="25" t="str">
        <x:v>Chain</x:v>
      </x:c>
      <x:c r="C6" s="26" t="str">
        <x:v>Family</x:v>
      </x:c>
      <x:c r="D6" s="26" t="str">
        <x:v>Measurand</x:v>
      </x:c>
      <x:c r="E6" s="26" t="str">
        <x:v>Design U95</x:v>
      </x:c>
      <x:c r="F6" s="26" t="str">
        <x:v>Unit</x:v>
      </x:c>
      <x:c r="G6" s="26" t="str">
        <x:v>Field-check target</x:v>
      </x:c>
      <x:c r="H6" s="26" t="str">
        <x:v>Drift limit</x:v>
      </x:c>
      <x:c r="I6" s="26" t="str">
        <x:v>Traveling standard</x:v>
      </x:c>
      <x:c r="J6" s="26" t="str">
        <x:v>Pre/post required</x:v>
      </x:c>
      <x:c r="K6" s="26" t="str">
        <x:v>Authority</x:v>
      </x:c>
      <x:c r="L6" s="26" t="str">
        <x:v>Evidence</x:v>
      </x:c>
    </x:row>
    <x:row r="7" ht="18" customHeight="1">
      <x:c r="B7" s="27" t="str">
        <x:v>C001</x:v>
      </x:c>
      <x:c r="C7" s="27" t="str">
        <x:v>ATC-A01</x:v>
      </x:c>
      <x:c r="D7" s="27" t="str">
        <x:v>structural load</x:v>
      </x:c>
      <x:c r="E7" s="38" t="n">
        <x:v>0.25</x:v>
      </x:c>
      <x:c r="F7" s="38" t="str">
        <x:v>% span</x:v>
      </x:c>
      <x:c r="G7" s="38" t="n">
        <x:v>0.125</x:v>
      </x:c>
      <x:c r="H7" s="38" t="n">
        <x:v>0.125</x:v>
      </x:c>
      <x:c r="I7" s="27" t="str">
        <x:v>force reference frame</x:v>
      </x:c>
      <x:c r="J7" s="27" t="n">
        <x:v>1</x:v>
      </x:c>
      <x:c r="K7" s="27" t="str">
        <x:v>article evidence authority</x:v>
      </x:c>
      <x:c r="L7" s="29" t="str">
        <x:v>OPEN</x:v>
      </x:c>
    </x:row>
    <x:row r="8" ht="18" customHeight="1">
      <x:c r="B8" s="27" t="str">
        <x:v>C002</x:v>
      </x:c>
      <x:c r="C8" s="27" t="str">
        <x:v>ATC-A01</x:v>
      </x:c>
      <x:c r="D8" s="27" t="str">
        <x:v>electrical energy</x:v>
      </x:c>
      <x:c r="E8" s="38" t="n">
        <x:v>0.25</x:v>
      </x:c>
      <x:c r="F8" s="38" t="str">
        <x:v>% reading</x:v>
      </x:c>
      <x:c r="G8" s="38" t="n">
        <x:v>0.125</x:v>
      </x:c>
      <x:c r="H8" s="38" t="n">
        <x:v>0.125</x:v>
      </x:c>
      <x:c r="I8" s="27" t="str">
        <x:v>traveling electrical standard</x:v>
      </x:c>
      <x:c r="J8" s="27" t="n">
        <x:v>1</x:v>
      </x:c>
      <x:c r="K8" s="27" t="str">
        <x:v>article evidence authority</x:v>
      </x:c>
      <x:c r="L8" s="29" t="str">
        <x:v>OPEN</x:v>
      </x:c>
    </x:row>
    <x:row r="9" ht="18" customHeight="1">
      <x:c r="B9" s="27" t="str">
        <x:v>C003</x:v>
      </x:c>
      <x:c r="C9" s="27" t="str">
        <x:v>ATC-A01</x:v>
      </x:c>
      <x:c r="D9" s="27" t="str">
        <x:v>fluid state</x:v>
      </x:c>
      <x:c r="E9" s="38" t="n">
        <x:v>0.3</x:v>
      </x:c>
      <x:c r="F9" s="38" t="str">
        <x:v>% span</x:v>
      </x:c>
      <x:c r="G9" s="38" t="n">
        <x:v>0.15</x:v>
      </x:c>
      <x:c r="H9" s="38" t="n">
        <x:v>0.15</x:v>
      </x:c>
      <x:c r="I9" s="27" t="str">
        <x:v>pressure-flow loop</x:v>
      </x:c>
      <x:c r="J9" s="27" t="n">
        <x:v>1</x:v>
      </x:c>
      <x:c r="K9" s="27" t="str">
        <x:v>article evidence authority</x:v>
      </x:c>
      <x:c r="L9" s="29" t="str">
        <x:v>OPEN</x:v>
      </x:c>
    </x:row>
    <x:row r="10" ht="18" customHeight="1">
      <x:c r="B10" s="27" t="str">
        <x:v>C004</x:v>
      </x:c>
      <x:c r="C10" s="27" t="str">
        <x:v>ATC-A01</x:v>
      </x:c>
      <x:c r="D10" s="27" t="str">
        <x:v>surface heat</x:v>
      </x:c>
      <x:c r="E10" s="38" t="n">
        <x:v>0.5</x:v>
      </x:c>
      <x:c r="F10" s="38" t="str">
        <x:v>% span</x:v>
      </x:c>
      <x:c r="G10" s="38" t="n">
        <x:v>0.25</x:v>
      </x:c>
      <x:c r="H10" s="38" t="n">
        <x:v>0.25</x:v>
      </x:c>
      <x:c r="I10" s="27" t="str">
        <x:v>reference thermometry</x:v>
      </x:c>
      <x:c r="J10" s="27" t="n">
        <x:v>1</x:v>
      </x:c>
      <x:c r="K10" s="27" t="str">
        <x:v>article evidence authority</x:v>
      </x:c>
      <x:c r="L10" s="29" t="str">
        <x:v>OPEN</x:v>
      </x:c>
    </x:row>
    <x:row r="11" ht="18" customHeight="1">
      <x:c r="B11" s="27" t="str">
        <x:v>C005</x:v>
      </x:c>
      <x:c r="C11" s="27" t="str">
        <x:v>TTC-T01</x:v>
      </x:c>
      <x:c r="D11" s="27" t="str">
        <x:v>structural and contact load</x:v>
      </x:c>
      <x:c r="E11" s="38" t="n">
        <x:v>0.25</x:v>
      </x:c>
      <x:c r="F11" s="38" t="str">
        <x:v>% span</x:v>
      </x:c>
      <x:c r="G11" s="38" t="n">
        <x:v>0.125</x:v>
      </x:c>
      <x:c r="H11" s="38" t="n">
        <x:v>0.125</x:v>
      </x:c>
      <x:c r="I11" s="27" t="str">
        <x:v>force reference frame</x:v>
      </x:c>
      <x:c r="J11" s="27" t="n">
        <x:v>1</x:v>
      </x:c>
      <x:c r="K11" s="27" t="str">
        <x:v>article evidence authority</x:v>
      </x:c>
      <x:c r="L11" s="29" t="str">
        <x:v>OPEN</x:v>
      </x:c>
    </x:row>
    <x:row r="12" ht="18" customHeight="1">
      <x:c r="B12" s="27" t="str">
        <x:v>C006</x:v>
      </x:c>
      <x:c r="C12" s="27" t="str">
        <x:v>TTC-T01</x:v>
      </x:c>
      <x:c r="D12" s="27" t="str">
        <x:v>electrical energy</x:v>
      </x:c>
      <x:c r="E12" s="38" t="n">
        <x:v>0.25</x:v>
      </x:c>
      <x:c r="F12" s="38" t="str">
        <x:v>% reading</x:v>
      </x:c>
      <x:c r="G12" s="38" t="n">
        <x:v>0.125</x:v>
      </x:c>
      <x:c r="H12" s="38" t="n">
        <x:v>0.125</x:v>
      </x:c>
      <x:c r="I12" s="27" t="str">
        <x:v>traveling electrical standard</x:v>
      </x:c>
      <x:c r="J12" s="27" t="n">
        <x:v>1</x:v>
      </x:c>
      <x:c r="K12" s="27" t="str">
        <x:v>article evidence authority</x:v>
      </x:c>
      <x:c r="L12" s="29" t="str">
        <x:v>OPEN</x:v>
      </x:c>
    </x:row>
    <x:row r="13" ht="18" customHeight="1">
      <x:c r="B13" s="27" t="str">
        <x:v>C007</x:v>
      </x:c>
      <x:c r="C13" s="27" t="str">
        <x:v>TTC-T01</x:v>
      </x:c>
      <x:c r="D13" s="27" t="str">
        <x:v>fluid state</x:v>
      </x:c>
      <x:c r="E13" s="38" t="n">
        <x:v>0.3</x:v>
      </x:c>
      <x:c r="F13" s="38" t="str">
        <x:v>% span</x:v>
      </x:c>
      <x:c r="G13" s="38" t="n">
        <x:v>0.15</x:v>
      </x:c>
      <x:c r="H13" s="38" t="n">
        <x:v>0.15</x:v>
      </x:c>
      <x:c r="I13" s="27" t="str">
        <x:v>pressure-flow loop</x:v>
      </x:c>
      <x:c r="J13" s="27" t="n">
        <x:v>1</x:v>
      </x:c>
      <x:c r="K13" s="27" t="str">
        <x:v>article evidence authority</x:v>
      </x:c>
      <x:c r="L13" s="29" t="str">
        <x:v>OPEN</x:v>
      </x:c>
    </x:row>
    <x:row r="14" ht="18" customHeight="1">
      <x:c r="B14" s="27" t="str">
        <x:v>C008</x:v>
      </x:c>
      <x:c r="C14" s="27" t="str">
        <x:v>TTC-T01</x:v>
      </x:c>
      <x:c r="D14" s="27" t="str">
        <x:v>surface heat</x:v>
      </x:c>
      <x:c r="E14" s="38" t="n">
        <x:v>0.5</x:v>
      </x:c>
      <x:c r="F14" s="38" t="str">
        <x:v>% span</x:v>
      </x:c>
      <x:c r="G14" s="38" t="n">
        <x:v>0.25</x:v>
      </x:c>
      <x:c r="H14" s="38" t="n">
        <x:v>0.25</x:v>
      </x:c>
      <x:c r="I14" s="27" t="str">
        <x:v>reference thermometry</x:v>
      </x:c>
      <x:c r="J14" s="27" t="n">
        <x:v>1</x:v>
      </x:c>
      <x:c r="K14" s="27" t="str">
        <x:v>article evidence authority</x:v>
      </x:c>
      <x:c r="L14" s="29" t="str">
        <x:v>OPEN</x:v>
      </x:c>
    </x:row>
    <x:row r="15" ht="18" customHeight="1">
      <x:c r="B15" s="27" t="str">
        <x:v>C009</x:v>
      </x:c>
      <x:c r="C15" s="27" t="str">
        <x:v>ACN-A01</x:v>
      </x:c>
      <x:c r="D15" s="27" t="str">
        <x:v>lift support</x:v>
      </x:c>
      <x:c r="E15" s="38" t="n">
        <x:v>0.2</x:v>
      </x:c>
      <x:c r="F15" s="38" t="str">
        <x:v>% span</x:v>
      </x:c>
      <x:c r="G15" s="38" t="n">
        <x:v>0.1</x:v>
      </x:c>
      <x:c r="H15" s="38" t="n">
        <x:v>0.1</x:v>
      </x:c>
      <x:c r="I15" s="27" t="str">
        <x:v>pressure and geometry references</x:v>
      </x:c>
      <x:c r="J15" s="27" t="n">
        <x:v>1</x:v>
      </x:c>
      <x:c r="K15" s="27" t="str">
        <x:v>air evidence authority</x:v>
      </x:c>
      <x:c r="L15" s="29" t="str">
        <x:v>OPEN</x:v>
      </x:c>
    </x:row>
    <x:row r="16" ht="18" customHeight="1">
      <x:c r="B16" s="27" t="str">
        <x:v>C010</x:v>
      </x:c>
      <x:c r="C16" s="27" t="str">
        <x:v>ACN-A01</x:v>
      </x:c>
      <x:c r="D16" s="27" t="str">
        <x:v>propulsive force</x:v>
      </x:c>
      <x:c r="E16" s="38" t="n">
        <x:v>0.2</x:v>
      </x:c>
      <x:c r="F16" s="38" t="str">
        <x:v>% span</x:v>
      </x:c>
      <x:c r="G16" s="38" t="n">
        <x:v>0.1</x:v>
      </x:c>
      <x:c r="H16" s="38" t="n">
        <x:v>0.1</x:v>
      </x:c>
      <x:c r="I16" s="27" t="str">
        <x:v>force reference frame</x:v>
      </x:c>
      <x:c r="J16" s="27" t="n">
        <x:v>1</x:v>
      </x:c>
      <x:c r="K16" s="27" t="str">
        <x:v>air evidence authority</x:v>
      </x:c>
      <x:c r="L16" s="29" t="str">
        <x:v>OPEN</x:v>
      </x:c>
    </x:row>
    <x:row r="17" ht="18" customHeight="1">
      <x:c r="B17" s="27" t="str">
        <x:v>C011</x:v>
      </x:c>
      <x:c r="C17" s="27" t="str">
        <x:v>ACN-A01</x:v>
      </x:c>
      <x:c r="D17" s="27" t="str">
        <x:v>ground reaction</x:v>
      </x:c>
      <x:c r="E17" s="38" t="n">
        <x:v>0.2</x:v>
      </x:c>
      <x:c r="F17" s="38" t="str">
        <x:v>% span</x:v>
      </x:c>
      <x:c r="G17" s="38" t="n">
        <x:v>0.1</x:v>
      </x:c>
      <x:c r="H17" s="38" t="n">
        <x:v>0.1</x:v>
      </x:c>
      <x:c r="I17" s="27" t="str">
        <x:v>force platen</x:v>
      </x:c>
      <x:c r="J17" s="27" t="n">
        <x:v>1</x:v>
      </x:c>
      <x:c r="K17" s="27" t="str">
        <x:v>air evidence authority</x:v>
      </x:c>
      <x:c r="L17" s="29" t="str">
        <x:v>OPEN</x:v>
      </x:c>
    </x:row>
    <x:row r="18" ht="18" customHeight="1">
      <x:c r="B18" s="27" t="str">
        <x:v>C012</x:v>
      </x:c>
      <x:c r="C18" s="27" t="str">
        <x:v>TCN-T01</x:v>
      </x:c>
      <x:c r="D18" s="27" t="str">
        <x:v>pod load and contact</x:v>
      </x:c>
      <x:c r="E18" s="38" t="n">
        <x:v>0.12922848</x:v>
      </x:c>
      <x:c r="F18" s="38" t="str">
        <x:v>kPa U95</x:v>
      </x:c>
      <x:c r="G18" s="38" t="n">
        <x:v>0.06461424</x:v>
      </x:c>
      <x:c r="H18" s="38" t="n">
        <x:v>0.06461424</x:v>
      </x:c>
      <x:c r="I18" s="27" t="str">
        <x:v>traveling platen and geometry grid</x:v>
      </x:c>
      <x:c r="J18" s="27" t="n">
        <x:v>1</x:v>
      </x:c>
      <x:c r="K18" s="27" t="str">
        <x:v>terrain evidence authority</x:v>
      </x:c>
      <x:c r="L18" s="29" t="str">
        <x:v>OPEN</x:v>
      </x:c>
    </x:row>
    <x:row r="19" ht="18" customHeight="1">
      <x:c r="B19" s="27" t="str">
        <x:v>C013</x:v>
      </x:c>
      <x:c r="C19" s="27" t="str">
        <x:v>TCN-T01</x:v>
      </x:c>
      <x:c r="D19" s="27" t="str">
        <x:v>pose and deformation</x:v>
      </x:c>
      <x:c r="E19" s="38" t="n">
        <x:v>5</x:v>
      </x:c>
      <x:c r="F19" s="38" t="str">
        <x:v>mm U95</x:v>
      </x:c>
      <x:c r="G19" s="38" t="n">
        <x:v>2.5</x:v>
      </x:c>
      <x:c r="H19" s="38" t="n">
        <x:v>2.5</x:v>
      </x:c>
      <x:c r="I19" s="27" t="str">
        <x:v>survey geometry reference</x:v>
      </x:c>
      <x:c r="J19" s="27" t="n">
        <x:v>1</x:v>
      </x:c>
      <x:c r="K19" s="27" t="str">
        <x:v>terrain evidence authority</x:v>
      </x:c>
      <x:c r="L19" s="29" t="str">
        <x:v>OPEN</x:v>
      </x:c>
    </x:row>
    <x:row r="20" ht="18" customHeight="1">
      <x:c r="B20" s="27" t="str">
        <x:v>C014</x:v>
      </x:c>
      <x:c r="C20" s="27" t="str">
        <x:v>CRS-R01</x:v>
      </x:c>
      <x:c r="D20" s="27" t="str">
        <x:v>water assay</x:v>
      </x:c>
      <x:c r="E20" s="38" t="n">
        <x:v>0.1</x:v>
      </x:c>
      <x:c r="F20" s="38" t="str">
        <x:v>% method span</x:v>
      </x:c>
      <x:c r="G20" s="38" t="n">
        <x:v>0.05</x:v>
      </x:c>
      <x:c r="H20" s="38" t="n">
        <x:v>0.05</x:v>
      </x:c>
      <x:c r="I20" s="27" t="str">
        <x:v>independent assay standards</x:v>
      </x:c>
      <x:c r="J20" s="27" t="n">
        <x:v>1</x:v>
      </x:c>
      <x:c r="K20" s="27" t="str">
        <x:v>civil-effect authority</x:v>
      </x:c>
      <x:c r="L20" s="29" t="str">
        <x:v>OPEN</x:v>
      </x:c>
    </x:row>
    <x:row r="21" ht="18" customHeight="1">
      <x:c r="B21" s="27" t="str">
        <x:v>C015</x:v>
      </x:c>
      <x:c r="C21" s="27" t="str">
        <x:v>CRS-R01</x:v>
      </x:c>
      <x:c r="D21" s="27" t="str">
        <x:v>power quality</x:v>
      </x:c>
      <x:c r="E21" s="38" t="n">
        <x:v>0.1</x:v>
      </x:c>
      <x:c r="F21" s="38" t="str">
        <x:v>% reading</x:v>
      </x:c>
      <x:c r="G21" s="38" t="n">
        <x:v>0.05</x:v>
      </x:c>
      <x:c r="H21" s="38" t="n">
        <x:v>0.05</x:v>
      </x:c>
      <x:c r="I21" s="27" t="str">
        <x:v>traveling electrical standard</x:v>
      </x:c>
      <x:c r="J21" s="27" t="n">
        <x:v>1</x:v>
      </x:c>
      <x:c r="K21" s="27" t="str">
        <x:v>civil-effect authority</x:v>
      </x:c>
      <x:c r="L21" s="29" t="str">
        <x:v>OPEN</x:v>
      </x:c>
    </x:row>
    <x:row r="22" ht="18" customHeight="1">
      <x:c r="B22" s="27" t="str">
        <x:v>C016</x:v>
      </x:c>
      <x:c r="C22" s="27" t="str">
        <x:v>CRS-R01</x:v>
      </x:c>
      <x:c r="D22" s="27" t="str">
        <x:v>occupied thermal effect</x:v>
      </x:c>
      <x:c r="E22" s="38" t="n">
        <x:v>0.2</x:v>
      </x:c>
      <x:c r="F22" s="38" t="str">
        <x:v>C U95</x:v>
      </x:c>
      <x:c r="G22" s="38" t="n">
        <x:v>0.1</x:v>
      </x:c>
      <x:c r="H22" s="38" t="n">
        <x:v>0.1</x:v>
      </x:c>
      <x:c r="I22" s="27" t="str">
        <x:v>reference thermometry</x:v>
      </x:c>
      <x:c r="J22" s="27" t="n">
        <x:v>1</x:v>
      </x:c>
      <x:c r="K22" s="27" t="str">
        <x:v>civil-effect authority</x:v>
      </x:c>
      <x:c r="L22" s="29" t="str">
        <x:v>OPEN</x:v>
      </x:c>
    </x:row>
    <x:row r="23" ht="18" customHeight="1">
      <x:c r="B23" s="27" t="str">
        <x:v>C017</x:v>
      </x:c>
      <x:c r="C23" s="27" t="str">
        <x:v>PSS-T01</x:v>
      </x:c>
      <x:c r="D23" s="27" t="str">
        <x:v>normal and shear field</x:v>
      </x:c>
      <x:c r="E23" s="38" t="n">
        <x:v>0.12922848</x:v>
      </x:c>
      <x:c r="F23" s="38" t="str">
        <x:v>kPa U95</x:v>
      </x:c>
      <x:c r="G23" s="38" t="n">
        <x:v>0.06461424</x:v>
      </x:c>
      <x:c r="H23" s="38" t="n">
        <x:v>0.06461424</x:v>
      </x:c>
      <x:c r="I23" s="27" t="str">
        <x:v>traveling platen</x:v>
      </x:c>
      <x:c r="J23" s="27" t="n">
        <x:v>1</x:v>
      </x:c>
      <x:c r="K23" s="27" t="str">
        <x:v>terrain metrology</x:v>
      </x:c>
      <x:c r="L23" s="29" t="str">
        <x:v>OPEN</x:v>
      </x:c>
    </x:row>
    <x:row r="24" ht="18" customHeight="1">
      <x:c r="B24" s="27" t="str">
        <x:v>C018</x:v>
      </x:c>
      <x:c r="C24" s="27" t="str">
        <x:v>PSS-T01</x:v>
      </x:c>
      <x:c r="D24" s="27" t="str">
        <x:v>optical contact geometry</x:v>
      </x:c>
      <x:c r="E24" s="38" t="n">
        <x:v>5</x:v>
      </x:c>
      <x:c r="F24" s="38" t="str">
        <x:v>mm U95</x:v>
      </x:c>
      <x:c r="G24" s="38" t="n">
        <x:v>2.5</x:v>
      </x:c>
      <x:c r="H24" s="38" t="n">
        <x:v>2.5</x:v>
      </x:c>
      <x:c r="I24" s="27" t="str">
        <x:v>survey geometry reference</x:v>
      </x:c>
      <x:c r="J24" s="27" t="n">
        <x:v>1</x:v>
      </x:c>
      <x:c r="K24" s="27" t="str">
        <x:v>terrain metrology</x:v>
      </x:c>
      <x:c r="L24" s="29" t="str">
        <x:v>OPEN</x:v>
      </x:c>
    </x:row>
    <x:row r="25" ht="18" customHeight="1">
      <x:c r="B25" s="27" t="str">
        <x:v>C019</x:v>
      </x:c>
      <x:c r="C25" s="27" t="str">
        <x:v>PIF-I01</x:v>
      </x:c>
      <x:c r="D25" s="27" t="str">
        <x:v>reverse energy detection</x:v>
      </x:c>
      <x:c r="E25" s="38" t="n">
        <x:v>0.001</x:v>
      </x:c>
      <x:c r="F25" s="38" t="str">
        <x:v>W detection</x:v>
      </x:c>
      <x:c r="G25" s="38" t="n">
        <x:v>0.0005</x:v>
      </x:c>
      <x:c r="H25" s="38" t="n">
        <x:v>0.0005</x:v>
      </x:c>
      <x:c r="I25" s="27" t="str">
        <x:v>traceable source and calorimeter</x:v>
      </x:c>
      <x:c r="J25" s="27" t="n">
        <x:v>1</x:v>
      </x:c>
      <x:c r="K25" s="27" t="str">
        <x:v>interface authority</x:v>
      </x:c>
      <x:c r="L25" s="29" t="str">
        <x:v>OPEN</x:v>
      </x:c>
    </x:row>
    <x:row r="26" ht="18" customHeight="1">
      <x:c r="B26" s="27" t="str">
        <x:v>C020</x:v>
      </x:c>
      <x:c r="C26" s="27" t="str">
        <x:v>EPS-P01</x:v>
      </x:c>
      <x:c r="D26" s="27" t="str">
        <x:v>stored and delivered energy</x:v>
      </x:c>
      <x:c r="E26" s="38" t="n">
        <x:v>0.5</x:v>
      </x:c>
      <x:c r="F26" s="38" t="str">
        <x:v>% reading</x:v>
      </x:c>
      <x:c r="G26" s="38" t="n">
        <x:v>0.25</x:v>
      </x:c>
      <x:c r="H26" s="38" t="n">
        <x:v>0.25</x:v>
      </x:c>
      <x:c r="I26" s="27" t="str">
        <x:v>electrical and calorimetric standard</x:v>
      </x:c>
      <x:c r="J26" s="27" t="n">
        <x:v>1</x:v>
      </x:c>
      <x:c r="K26" s="27" t="str">
        <x:v>energy safety authority</x:v>
      </x:c>
      <x:c r="L26" s="29" t="str">
        <x:v>OPEN</x:v>
      </x:c>
    </x:row>
    <x:row r="27" ht="18" customHeight="1">
      <x:c r="B27" s="27" t="str">
        <x:v>C021</x:v>
      </x:c>
      <x:c r="C27" s="27" t="str">
        <x:v>TKS-C01</x:v>
      </x:c>
      <x:c r="D27" s="27" t="str">
        <x:v>event order</x:v>
      </x:c>
      <x:c r="E27" s="38" t="n">
        <x:v>0.01</x:v>
      </x:c>
      <x:c r="F27" s="38" t="str">
        <x:v>s U95</x:v>
      </x:c>
      <x:c r="G27" s="38" t="n">
        <x:v>0.005</x:v>
      </x:c>
      <x:c r="H27" s="38" t="n">
        <x:v>0.005</x:v>
      </x:c>
      <x:c r="I27" s="27" t="str">
        <x:v>traveling time reference</x:v>
      </x:c>
      <x:c r="J27" s="27" t="n">
        <x:v>1</x:v>
      </x:c>
      <x:c r="K27" s="27" t="str">
        <x:v>time authority</x:v>
      </x:c>
      <x:c r="L27" s="29" t="str">
        <x:v>OPEN</x:v>
      </x:c>
    </x:row>
    <x:row r="28" ht="18" customHeight="1">
      <x:c r="B28" s="27" t="str">
        <x:v>C022</x:v>
      </x:c>
      <x:c r="C28" s="27" t="str">
        <x:v>STG-S01</x:v>
      </x:c>
      <x:c r="D28" s="27" t="str">
        <x:v>silent data loss</x:v>
      </x:c>
      <x:c r="E28" s="38" t="n">
        <x:v>0</x:v>
      </x:c>
      <x:c r="F28" s="38" t="str">
        <x:v>events</x:v>
      </x:c>
      <x:c r="G28" s="38" t="n">
        <x:v>0</x:v>
      </x:c>
      <x:c r="H28" s="38" t="n">
        <x:v>0</x:v>
      </x:c>
      <x:c r="I28" s="27" t="str">
        <x:v>known-pattern and custody challenge</x:v>
      </x:c>
      <x:c r="J28" s="27" t="n">
        <x:v>1</x:v>
      </x:c>
      <x:c r="K28" s="27" t="str">
        <x:v>data authority</x:v>
      </x:c>
      <x:c r="L28" s="29" t="str">
        <x:v>OPEN</x:v>
      </x:c>
    </x:row>
    <x:row r="29" ht="18" customHeight="1">
      <x:c r="B29" s="31" t="str">
        <x:v>C023</x:v>
      </x:c>
      <x:c r="C29" s="31" t="str">
        <x:v>MHE-E01</x:v>
      </x:c>
      <x:c r="D29" s="31" t="str">
        <x:v>mass heat and impedance equivalence</x:v>
      </x:c>
      <x:c r="E29" s="39" t="n">
        <x:v>0.1</x:v>
      </x:c>
      <x:c r="F29" s="39" t="str">
        <x:v>% registered burden</x:v>
      </x:c>
      <x:c r="G29" s="39" t="n">
        <x:v>0.05</x:v>
      </x:c>
      <x:c r="H29" s="39" t="n">
        <x:v>0.05</x:v>
      </x:c>
      <x:c r="I29" s="31" t="str">
        <x:v>mass calorimetry and impedance standards</x:v>
      </x:c>
      <x:c r="J29" s="31" t="n">
        <x:v>1</x:v>
      </x:c>
      <x:c r="K29" s="31" t="str">
        <x:v>equivalence authority</x:v>
      </x:c>
      <x:c r="L29" s="33" t="str">
        <x:v>OPEN</x:v>
      </x:c>
    </x:row>
    <x:row r="30" ht="18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18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18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18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18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mergeCells>
    <x:mergeCell ref="B3:L3"/>
  </x:mergeCells>
  <x:conditionalFormatting sqref="L7:L29">
    <x:cfRule type="containsText" dxfId="30" priority="1" operator="containsText" text="OPEN"/>
    <x:cfRule type="containsText" dxfId="31" priority="2" operator="containsText" text="HOLD"/>
    <x:cfRule type="containsText" dxfId="32" priority="3" operator="containsText" text="BLOCKED"/>
    <x:cfRule type="containsText" dxfId="33" priority="4" operator="containsText" text="DRAFT"/>
    <x:cfRule type="containsText" dxfId="34" priority="5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4" hidden="0" customWidth="1"/>
    <x:col min="5" max="5" width="43" hidden="0" customWidth="1"/>
    <x:col min="6" max="6" width="13" hidden="0" customWidth="1"/>
    <x:col min="7" max="7" width="13" hidden="0" customWidth="1"/>
    <x:col min="8" max="8" width="28" hidden="0" customWidth="1"/>
    <x:col min="9" max="9" width="13" hidden="0" customWidth="1"/>
    <x:col min="10" max="10" width="11" hidden="0" customWidth="1"/>
    <x:col min="11" max="11" width="36" hidden="0" customWidth="1"/>
  </x:cols>
  <x:sheetData>
    <x:row r="2" ht="18" customHeight="1">
      <x:c r="B2" s="3" t="str">
        <x:v>Ancestry and technical-rights register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18" customHeight="1">
      <x:c r="B3" s="4" t="str">
        <x:v>Independent primes do not prove independent technology. Decisive roots and reproduction rights are disclosed below the integrator.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18" customHeight="1">
      <x:c r="B6" s="25" t="str">
        <x:v>Record</x:v>
      </x:c>
      <x:c r="C6" s="26" t="str">
        <x:v>Critical chain</x:v>
      </x:c>
      <x:c r="D6" s="26" t="str">
        <x:v>Rival teams</x:v>
      </x:c>
      <x:c r="E6" s="26" t="str">
        <x:v>Required disclosure or right</x:v>
      </x:c>
      <x:c r="F6" s="26" t="str">
        <x:v>Required</x:v>
      </x:c>
      <x:c r="G6" s="26" t="str">
        <x:v>Accepted</x:v>
      </x:c>
      <x:c r="H6" s="26" t="str">
        <x:v>Authority</x:v>
      </x:c>
      <x:c r="I6" s="26" t="str">
        <x:v>Evidence</x:v>
      </x:c>
      <x:c r="J6" s="26" t="str">
        <x:v>Credit</x:v>
      </x:c>
      <x:c r="K6" s="26" t="str">
        <x:v>Reopen trigger</x:v>
      </x:c>
    </x:row>
    <x:row r="7" ht="26" customHeight="1">
      <x:c r="B7" s="27" t="str">
        <x:v>R001</x:v>
      </x:c>
      <x:c r="C7" s="27" t="str">
        <x:v>isolated acquisition silicon</x:v>
      </x:c>
      <x:c r="D7" s="27" t="n">
        <x:v>3</x:v>
      </x:c>
      <x:c r="E7" s="27" t="str">
        <x:v>complete bill of materials</x:v>
      </x:c>
      <x:c r="F7" s="27" t="n">
        <x:v>1</x:v>
      </x:c>
      <x:c r="G7" s="27" t="n">
        <x:v>0</x:v>
      </x:c>
      <x:c r="H7" s="27" t="str">
        <x:v>metrology authority</x:v>
      </x:c>
      <x:c r="I7" s="27" t="str">
        <x:v>OPEN</x:v>
      </x:c>
      <x:c r="J7" s="27" t="n">
        <x:v>0</x:v>
      </x:c>
      <x:c r="K7" s="29" t="str">
        <x:v>shared or undisclosed decisive root</x:v>
      </x:c>
    </x:row>
    <x:row r="8" ht="26" customHeight="1">
      <x:c r="B8" s="27" t="str">
        <x:v>R002</x:v>
      </x:c>
      <x:c r="C8" s="27" t="str">
        <x:v>isolated acquisition silicon</x:v>
      </x:c>
      <x:c r="D8" s="27" t="n">
        <x:v>3</x:v>
      </x:c>
      <x:c r="E8" s="27" t="str">
        <x:v>bill of process and facility identity</x:v>
      </x:c>
      <x:c r="F8" s="27" t="n">
        <x:v>1</x:v>
      </x:c>
      <x:c r="G8" s="27" t="n">
        <x:v>0</x:v>
      </x:c>
      <x:c r="H8" s="27" t="str">
        <x:v>metrology authority</x:v>
      </x:c>
      <x:c r="I8" s="27" t="str">
        <x:v>OPEN</x:v>
      </x:c>
      <x:c r="J8" s="27" t="n">
        <x:v>0</x:v>
      </x:c>
      <x:c r="K8" s="29" t="str">
        <x:v>shared or undisclosed decisive root</x:v>
      </x:c>
    </x:row>
    <x:row r="9" ht="26" customHeight="1">
      <x:c r="B9" s="27" t="str">
        <x:v>R003</x:v>
      </x:c>
      <x:c r="C9" s="27" t="str">
        <x:v>isolated acquisition silicon</x:v>
      </x:c>
      <x:c r="D9" s="27" t="n">
        <x:v>3</x:v>
      </x:c>
      <x:c r="E9" s="27" t="str">
        <x:v>firmware source and software bill of materials</x:v>
      </x:c>
      <x:c r="F9" s="27" t="n">
        <x:v>1</x:v>
      </x:c>
      <x:c r="G9" s="27" t="n">
        <x:v>0</x:v>
      </x:c>
      <x:c r="H9" s="27" t="str">
        <x:v>metrology authority</x:v>
      </x:c>
      <x:c r="I9" s="27" t="str">
        <x:v>OPEN</x:v>
      </x:c>
      <x:c r="J9" s="27" t="n">
        <x:v>0</x:v>
      </x:c>
      <x:c r="K9" s="29" t="str">
        <x:v>shared or undisclosed decisive root</x:v>
      </x:c>
    </x:row>
    <x:row r="10" ht="26" customHeight="1">
      <x:c r="B10" s="27" t="str">
        <x:v>R004</x:v>
      </x:c>
      <x:c r="C10" s="27" t="str">
        <x:v>isolated acquisition silicon</x:v>
      </x:c>
      <x:c r="D10" s="27" t="n">
        <x:v>3</x:v>
      </x:c>
      <x:c r="E10" s="27" t="str">
        <x:v>ownership and beneficial-control map</x:v>
      </x:c>
      <x:c r="F10" s="27" t="n">
        <x:v>1</x:v>
      </x:c>
      <x:c r="G10" s="27" t="n">
        <x:v>0</x:v>
      </x:c>
      <x:c r="H10" s="27" t="str">
        <x:v>metrology authority</x:v>
      </x:c>
      <x:c r="I10" s="27" t="str">
        <x:v>OPEN</x:v>
      </x:c>
      <x:c r="J10" s="27" t="n">
        <x:v>0</x:v>
      </x:c>
      <x:c r="K10" s="29" t="str">
        <x:v>shared or undisclosed decisive root</x:v>
      </x:c>
    </x:row>
    <x:row r="11" ht="26" customHeight="1">
      <x:c r="B11" s="27" t="str">
        <x:v>R005</x:v>
      </x:c>
      <x:c r="C11" s="27" t="str">
        <x:v>isolated acquisition silicon</x:v>
      </x:c>
      <x:c r="D11" s="27" t="n">
        <x:v>3</x:v>
      </x:c>
      <x:c r="E11" s="27" t="str">
        <x:v>calibration genealogy</x:v>
      </x:c>
      <x:c r="F11" s="27" t="n">
        <x:v>1</x:v>
      </x:c>
      <x:c r="G11" s="27" t="n">
        <x:v>0</x:v>
      </x:c>
      <x:c r="H11" s="27" t="str">
        <x:v>metrology authority</x:v>
      </x:c>
      <x:c r="I11" s="27" t="str">
        <x:v>OPEN</x:v>
      </x:c>
      <x:c r="J11" s="27" t="n">
        <x:v>0</x:v>
      </x:c>
      <x:c r="K11" s="29" t="str">
        <x:v>shared or undisclosed decisive root</x:v>
      </x:c>
    </x:row>
    <x:row r="12" ht="26" customHeight="1">
      <x:c r="B12" s="27" t="str">
        <x:v>R006</x:v>
      </x:c>
      <x:c r="C12" s="27" t="str">
        <x:v>isolated acquisition silicon</x:v>
      </x:c>
      <x:c r="D12" s="27" t="n">
        <x:v>3</x:v>
      </x:c>
      <x:c r="E12" s="27" t="str">
        <x:v>destructive teardown right</x:v>
      </x:c>
      <x:c r="F12" s="27" t="n">
        <x:v>1</x:v>
      </x:c>
      <x:c r="G12" s="27" t="n">
        <x:v>0</x:v>
      </x:c>
      <x:c r="H12" s="27" t="str">
        <x:v>metrology authority</x:v>
      </x:c>
      <x:c r="I12" s="27" t="str">
        <x:v>OPEN</x:v>
      </x:c>
      <x:c r="J12" s="27" t="n">
        <x:v>0</x:v>
      </x:c>
      <x:c r="K12" s="29" t="str">
        <x:v>shared or undisclosed decisive root</x:v>
      </x:c>
    </x:row>
    <x:row r="13" ht="26" customHeight="1">
      <x:c r="B13" s="27" t="str">
        <x:v>R007</x:v>
      </x:c>
      <x:c r="C13" s="27" t="str">
        <x:v>isolated acquisition silicon</x:v>
      </x:c>
      <x:c r="D13" s="27" t="n">
        <x:v>3</x:v>
      </x:c>
      <x:c r="E13" s="27" t="str">
        <x:v>second-team reproduction right</x:v>
      </x:c>
      <x:c r="F13" s="27" t="n">
        <x:v>1</x:v>
      </x:c>
      <x:c r="G13" s="27" t="n">
        <x:v>0</x:v>
      </x:c>
      <x:c r="H13" s="27" t="str">
        <x:v>metrology authority</x:v>
      </x:c>
      <x:c r="I13" s="27" t="str">
        <x:v>OPEN</x:v>
      </x:c>
      <x:c r="J13" s="27" t="n">
        <x:v>0</x:v>
      </x:c>
      <x:c r="K13" s="29" t="str">
        <x:v>shared or undisclosed decisive root</x:v>
      </x:c>
    </x:row>
    <x:row r="14" ht="26" customHeight="1">
      <x:c r="B14" s="27" t="str">
        <x:v>R008</x:v>
      </x:c>
      <x:c r="C14" s="27" t="str">
        <x:v>isolated acquisition silicon</x:v>
      </x:c>
      <x:c r="D14" s="27" t="n">
        <x:v>3</x:v>
      </x:c>
      <x:c r="E14" s="27" t="str">
        <x:v>perpetual interface and evidence data right</x:v>
      </x:c>
      <x:c r="F14" s="27" t="n">
        <x:v>1</x:v>
      </x:c>
      <x:c r="G14" s="27" t="n">
        <x:v>0</x:v>
      </x:c>
      <x:c r="H14" s="27" t="str">
        <x:v>metrology authority</x:v>
      </x:c>
      <x:c r="I14" s="27" t="str">
        <x:v>OPEN</x:v>
      </x:c>
      <x:c r="J14" s="27" t="n">
        <x:v>0</x:v>
      </x:c>
      <x:c r="K14" s="29" t="str">
        <x:v>shared or undisclosed decisive root</x:v>
      </x:c>
    </x:row>
    <x:row r="15" ht="26" customHeight="1">
      <x:c r="B15" s="27" t="str">
        <x:v>R009</x:v>
      </x:c>
      <x:c r="C15" s="27" t="str">
        <x:v>pressure-skin substrate</x:v>
      </x:c>
      <x:c r="D15" s="27" t="n">
        <x:v>3</x:v>
      </x:c>
      <x:c r="E15" s="27" t="str">
        <x:v>complete bill of materials</x:v>
      </x:c>
      <x:c r="F15" s="27" t="n">
        <x:v>1</x:v>
      </x:c>
      <x:c r="G15" s="27" t="n">
        <x:v>0</x:v>
      </x:c>
      <x:c r="H15" s="27" t="str">
        <x:v>terrain evidence authority</x:v>
      </x:c>
      <x:c r="I15" s="27" t="str">
        <x:v>OPEN</x:v>
      </x:c>
      <x:c r="J15" s="27" t="n">
        <x:v>0</x:v>
      </x:c>
      <x:c r="K15" s="29" t="str">
        <x:v>shared or undisclosed decisive root</x:v>
      </x:c>
    </x:row>
    <x:row r="16" ht="26" customHeight="1">
      <x:c r="B16" s="27" t="str">
        <x:v>R010</x:v>
      </x:c>
      <x:c r="C16" s="27" t="str">
        <x:v>pressure-skin substrate</x:v>
      </x:c>
      <x:c r="D16" s="27" t="n">
        <x:v>3</x:v>
      </x:c>
      <x:c r="E16" s="27" t="str">
        <x:v>bill of process and facility identity</x:v>
      </x:c>
      <x:c r="F16" s="27" t="n">
        <x:v>1</x:v>
      </x:c>
      <x:c r="G16" s="27" t="n">
        <x:v>0</x:v>
      </x:c>
      <x:c r="H16" s="27" t="str">
        <x:v>terrain evidence authority</x:v>
      </x:c>
      <x:c r="I16" s="27" t="str">
        <x:v>OPEN</x:v>
      </x:c>
      <x:c r="J16" s="27" t="n">
        <x:v>0</x:v>
      </x:c>
      <x:c r="K16" s="29" t="str">
        <x:v>shared or undisclosed decisive root</x:v>
      </x:c>
    </x:row>
    <x:row r="17" ht="26" customHeight="1">
      <x:c r="B17" s="27" t="str">
        <x:v>R011</x:v>
      </x:c>
      <x:c r="C17" s="27" t="str">
        <x:v>pressure-skin substrate</x:v>
      </x:c>
      <x:c r="D17" s="27" t="n">
        <x:v>3</x:v>
      </x:c>
      <x:c r="E17" s="27" t="str">
        <x:v>firmware source and software bill of materials</x:v>
      </x:c>
      <x:c r="F17" s="27" t="n">
        <x:v>1</x:v>
      </x:c>
      <x:c r="G17" s="27" t="n">
        <x:v>0</x:v>
      </x:c>
      <x:c r="H17" s="27" t="str">
        <x:v>terrain evidence authority</x:v>
      </x:c>
      <x:c r="I17" s="27" t="str">
        <x:v>OPEN</x:v>
      </x:c>
      <x:c r="J17" s="27" t="n">
        <x:v>0</x:v>
      </x:c>
      <x:c r="K17" s="29" t="str">
        <x:v>shared or undisclosed decisive root</x:v>
      </x:c>
    </x:row>
    <x:row r="18" ht="26" customHeight="1">
      <x:c r="B18" s="27" t="str">
        <x:v>R012</x:v>
      </x:c>
      <x:c r="C18" s="27" t="str">
        <x:v>pressure-skin substrate</x:v>
      </x:c>
      <x:c r="D18" s="27" t="n">
        <x:v>3</x:v>
      </x:c>
      <x:c r="E18" s="27" t="str">
        <x:v>ownership and beneficial-control map</x:v>
      </x:c>
      <x:c r="F18" s="27" t="n">
        <x:v>1</x:v>
      </x:c>
      <x:c r="G18" s="27" t="n">
        <x:v>0</x:v>
      </x:c>
      <x:c r="H18" s="27" t="str">
        <x:v>terrain evidence authority</x:v>
      </x:c>
      <x:c r="I18" s="27" t="str">
        <x:v>OPEN</x:v>
      </x:c>
      <x:c r="J18" s="27" t="n">
        <x:v>0</x:v>
      </x:c>
      <x:c r="K18" s="29" t="str">
        <x:v>shared or undisclosed decisive root</x:v>
      </x:c>
    </x:row>
    <x:row r="19" ht="26" customHeight="1">
      <x:c r="B19" s="27" t="str">
        <x:v>R013</x:v>
      </x:c>
      <x:c r="C19" s="27" t="str">
        <x:v>pressure-skin substrate</x:v>
      </x:c>
      <x:c r="D19" s="27" t="n">
        <x:v>3</x:v>
      </x:c>
      <x:c r="E19" s="27" t="str">
        <x:v>calibration genealogy</x:v>
      </x:c>
      <x:c r="F19" s="27" t="n">
        <x:v>1</x:v>
      </x:c>
      <x:c r="G19" s="27" t="n">
        <x:v>0</x:v>
      </x:c>
      <x:c r="H19" s="27" t="str">
        <x:v>terrain evidence authority</x:v>
      </x:c>
      <x:c r="I19" s="27" t="str">
        <x:v>OPEN</x:v>
      </x:c>
      <x:c r="J19" s="27" t="n">
        <x:v>0</x:v>
      </x:c>
      <x:c r="K19" s="29" t="str">
        <x:v>shared or undisclosed decisive root</x:v>
      </x:c>
    </x:row>
    <x:row r="20" ht="26" customHeight="1">
      <x:c r="B20" s="27" t="str">
        <x:v>R014</x:v>
      </x:c>
      <x:c r="C20" s="27" t="str">
        <x:v>pressure-skin substrate</x:v>
      </x:c>
      <x:c r="D20" s="27" t="n">
        <x:v>3</x:v>
      </x:c>
      <x:c r="E20" s="27" t="str">
        <x:v>destructive teardown right</x:v>
      </x:c>
      <x:c r="F20" s="27" t="n">
        <x:v>1</x:v>
      </x:c>
      <x:c r="G20" s="27" t="n">
        <x:v>0</x:v>
      </x:c>
      <x:c r="H20" s="27" t="str">
        <x:v>terrain evidence authority</x:v>
      </x:c>
      <x:c r="I20" s="27" t="str">
        <x:v>OPEN</x:v>
      </x:c>
      <x:c r="J20" s="27" t="n">
        <x:v>0</x:v>
      </x:c>
      <x:c r="K20" s="29" t="str">
        <x:v>shared or undisclosed decisive root</x:v>
      </x:c>
    </x:row>
    <x:row r="21" ht="26" customHeight="1">
      <x:c r="B21" s="27" t="str">
        <x:v>R015</x:v>
      </x:c>
      <x:c r="C21" s="27" t="str">
        <x:v>pressure-skin substrate</x:v>
      </x:c>
      <x:c r="D21" s="27" t="n">
        <x:v>3</x:v>
      </x:c>
      <x:c r="E21" s="27" t="str">
        <x:v>second-team reproduction right</x:v>
      </x:c>
      <x:c r="F21" s="27" t="n">
        <x:v>1</x:v>
      </x:c>
      <x:c r="G21" s="27" t="n">
        <x:v>0</x:v>
      </x:c>
      <x:c r="H21" s="27" t="str">
        <x:v>terrain evidence authority</x:v>
      </x:c>
      <x:c r="I21" s="27" t="str">
        <x:v>OPEN</x:v>
      </x:c>
      <x:c r="J21" s="27" t="n">
        <x:v>0</x:v>
      </x:c>
      <x:c r="K21" s="29" t="str">
        <x:v>shared or undisclosed decisive root</x:v>
      </x:c>
    </x:row>
    <x:row r="22" ht="26" customHeight="1">
      <x:c r="B22" s="27" t="str">
        <x:v>R016</x:v>
      </x:c>
      <x:c r="C22" s="27" t="str">
        <x:v>pressure-skin substrate</x:v>
      </x:c>
      <x:c r="D22" s="27" t="n">
        <x:v>3</x:v>
      </x:c>
      <x:c r="E22" s="27" t="str">
        <x:v>perpetual interface and evidence data right</x:v>
      </x:c>
      <x:c r="F22" s="27" t="n">
        <x:v>1</x:v>
      </x:c>
      <x:c r="G22" s="27" t="n">
        <x:v>0</x:v>
      </x:c>
      <x:c r="H22" s="27" t="str">
        <x:v>terrain evidence authority</x:v>
      </x:c>
      <x:c r="I22" s="27" t="str">
        <x:v>OPEN</x:v>
      </x:c>
      <x:c r="J22" s="27" t="n">
        <x:v>0</x:v>
      </x:c>
      <x:c r="K22" s="29" t="str">
        <x:v>shared or undisclosed decisive root</x:v>
      </x:c>
    </x:row>
    <x:row r="23" ht="26" customHeight="1">
      <x:c r="B23" s="27" t="str">
        <x:v>R017</x:v>
      </x:c>
      <x:c r="C23" s="27" t="str">
        <x:v>optical geometry</x:v>
      </x:c>
      <x:c r="D23" s="27" t="n">
        <x:v>3</x:v>
      </x:c>
      <x:c r="E23" s="27" t="str">
        <x:v>complete bill of materials</x:v>
      </x:c>
      <x:c r="F23" s="27" t="n">
        <x:v>1</x:v>
      </x:c>
      <x:c r="G23" s="27" t="n">
        <x:v>0</x:v>
      </x:c>
      <x:c r="H23" s="27" t="str">
        <x:v>geometry authority</x:v>
      </x:c>
      <x:c r="I23" s="27" t="str">
        <x:v>OPEN</x:v>
      </x:c>
      <x:c r="J23" s="27" t="n">
        <x:v>0</x:v>
      </x:c>
      <x:c r="K23" s="29" t="str">
        <x:v>shared or undisclosed decisive root</x:v>
      </x:c>
    </x:row>
    <x:row r="24" ht="26" customHeight="1">
      <x:c r="B24" s="27" t="str">
        <x:v>R018</x:v>
      </x:c>
      <x:c r="C24" s="27" t="str">
        <x:v>optical geometry</x:v>
      </x:c>
      <x:c r="D24" s="27" t="n">
        <x:v>3</x:v>
      </x:c>
      <x:c r="E24" s="27" t="str">
        <x:v>bill of process and facility identity</x:v>
      </x:c>
      <x:c r="F24" s="27" t="n">
        <x:v>1</x:v>
      </x:c>
      <x:c r="G24" s="27" t="n">
        <x:v>0</x:v>
      </x:c>
      <x:c r="H24" s="27" t="str">
        <x:v>geometry authority</x:v>
      </x:c>
      <x:c r="I24" s="27" t="str">
        <x:v>OPEN</x:v>
      </x:c>
      <x:c r="J24" s="27" t="n">
        <x:v>0</x:v>
      </x:c>
      <x:c r="K24" s="29" t="str">
        <x:v>shared or undisclosed decisive root</x:v>
      </x:c>
    </x:row>
    <x:row r="25" ht="26" customHeight="1">
      <x:c r="B25" s="27" t="str">
        <x:v>R019</x:v>
      </x:c>
      <x:c r="C25" s="27" t="str">
        <x:v>optical geometry</x:v>
      </x:c>
      <x:c r="D25" s="27" t="n">
        <x:v>3</x:v>
      </x:c>
      <x:c r="E25" s="27" t="str">
        <x:v>firmware source and software bill of materials</x:v>
      </x:c>
      <x:c r="F25" s="27" t="n">
        <x:v>1</x:v>
      </x:c>
      <x:c r="G25" s="27" t="n">
        <x:v>0</x:v>
      </x:c>
      <x:c r="H25" s="27" t="str">
        <x:v>geometry authority</x:v>
      </x:c>
      <x:c r="I25" s="27" t="str">
        <x:v>OPEN</x:v>
      </x:c>
      <x:c r="J25" s="27" t="n">
        <x:v>0</x:v>
      </x:c>
      <x:c r="K25" s="29" t="str">
        <x:v>shared or undisclosed decisive root</x:v>
      </x:c>
    </x:row>
    <x:row r="26" ht="26" customHeight="1">
      <x:c r="B26" s="27" t="str">
        <x:v>R020</x:v>
      </x:c>
      <x:c r="C26" s="27" t="str">
        <x:v>optical geometry</x:v>
      </x:c>
      <x:c r="D26" s="27" t="n">
        <x:v>3</x:v>
      </x:c>
      <x:c r="E26" s="27" t="str">
        <x:v>ownership and beneficial-control map</x:v>
      </x:c>
      <x:c r="F26" s="27" t="n">
        <x:v>1</x:v>
      </x:c>
      <x:c r="G26" s="27" t="n">
        <x:v>0</x:v>
      </x:c>
      <x:c r="H26" s="27" t="str">
        <x:v>geometry authority</x:v>
      </x:c>
      <x:c r="I26" s="27" t="str">
        <x:v>OPEN</x:v>
      </x:c>
      <x:c r="J26" s="27" t="n">
        <x:v>0</x:v>
      </x:c>
      <x:c r="K26" s="29" t="str">
        <x:v>shared or undisclosed decisive root</x:v>
      </x:c>
    </x:row>
    <x:row r="27" ht="26" customHeight="1">
      <x:c r="B27" s="27" t="str">
        <x:v>R021</x:v>
      </x:c>
      <x:c r="C27" s="27" t="str">
        <x:v>optical geometry</x:v>
      </x:c>
      <x:c r="D27" s="27" t="n">
        <x:v>3</x:v>
      </x:c>
      <x:c r="E27" s="27" t="str">
        <x:v>calibration genealogy</x:v>
      </x:c>
      <x:c r="F27" s="27" t="n">
        <x:v>1</x:v>
      </x:c>
      <x:c r="G27" s="27" t="n">
        <x:v>0</x:v>
      </x:c>
      <x:c r="H27" s="27" t="str">
        <x:v>geometry authority</x:v>
      </x:c>
      <x:c r="I27" s="27" t="str">
        <x:v>OPEN</x:v>
      </x:c>
      <x:c r="J27" s="27" t="n">
        <x:v>0</x:v>
      </x:c>
      <x:c r="K27" s="29" t="str">
        <x:v>shared or undisclosed decisive root</x:v>
      </x:c>
    </x:row>
    <x:row r="28" ht="26" customHeight="1">
      <x:c r="B28" s="27" t="str">
        <x:v>R022</x:v>
      </x:c>
      <x:c r="C28" s="27" t="str">
        <x:v>optical geometry</x:v>
      </x:c>
      <x:c r="D28" s="27" t="n">
        <x:v>3</x:v>
      </x:c>
      <x:c r="E28" s="27" t="str">
        <x:v>destructive teardown right</x:v>
      </x:c>
      <x:c r="F28" s="27" t="n">
        <x:v>1</x:v>
      </x:c>
      <x:c r="G28" s="27" t="n">
        <x:v>0</x:v>
      </x:c>
      <x:c r="H28" s="27" t="str">
        <x:v>geometry authority</x:v>
      </x:c>
      <x:c r="I28" s="27" t="str">
        <x:v>OPEN</x:v>
      </x:c>
      <x:c r="J28" s="27" t="n">
        <x:v>0</x:v>
      </x:c>
      <x:c r="K28" s="29" t="str">
        <x:v>shared or undisclosed decisive root</x:v>
      </x:c>
    </x:row>
    <x:row r="29" ht="26" customHeight="1">
      <x:c r="B29" s="27" t="str">
        <x:v>R023</x:v>
      </x:c>
      <x:c r="C29" s="27" t="str">
        <x:v>optical geometry</x:v>
      </x:c>
      <x:c r="D29" s="27" t="n">
        <x:v>3</x:v>
      </x:c>
      <x:c r="E29" s="27" t="str">
        <x:v>second-team reproduction right</x:v>
      </x:c>
      <x:c r="F29" s="27" t="n">
        <x:v>1</x:v>
      </x:c>
      <x:c r="G29" s="27" t="n">
        <x:v>0</x:v>
      </x:c>
      <x:c r="H29" s="27" t="str">
        <x:v>geometry authority</x:v>
      </x:c>
      <x:c r="I29" s="27" t="str">
        <x:v>OPEN</x:v>
      </x:c>
      <x:c r="J29" s="27" t="n">
        <x:v>0</x:v>
      </x:c>
      <x:c r="K29" s="29" t="str">
        <x:v>shared or undisclosed decisive root</x:v>
      </x:c>
    </x:row>
    <x:row r="30" ht="26" customHeight="1">
      <x:c r="B30" s="27" t="str">
        <x:v>R024</x:v>
      </x:c>
      <x:c r="C30" s="27" t="str">
        <x:v>optical geometry</x:v>
      </x:c>
      <x:c r="D30" s="27" t="n">
        <x:v>3</x:v>
      </x:c>
      <x:c r="E30" s="27" t="str">
        <x:v>perpetual interface and evidence data right</x:v>
      </x:c>
      <x:c r="F30" s="27" t="n">
        <x:v>1</x:v>
      </x:c>
      <x:c r="G30" s="27" t="n">
        <x:v>0</x:v>
      </x:c>
      <x:c r="H30" s="27" t="str">
        <x:v>geometry authority</x:v>
      </x:c>
      <x:c r="I30" s="27" t="str">
        <x:v>OPEN</x:v>
      </x:c>
      <x:c r="J30" s="27" t="n">
        <x:v>0</x:v>
      </x:c>
      <x:c r="K30" s="29" t="str">
        <x:v>shared or undisclosed decisive root</x:v>
      </x:c>
    </x:row>
    <x:row r="31" ht="26" customHeight="1">
      <x:c r="B31" s="27" t="str">
        <x:v>R025</x:v>
      </x:c>
      <x:c r="C31" s="27" t="str">
        <x:v>atomic time root A</x:v>
      </x:c>
      <x:c r="D31" s="27" t="n">
        <x:v>2</x:v>
      </x:c>
      <x:c r="E31" s="27" t="str">
        <x:v>complete bill of materials</x:v>
      </x:c>
      <x:c r="F31" s="27" t="n">
        <x:v>1</x:v>
      </x:c>
      <x:c r="G31" s="27" t="n">
        <x:v>0</x:v>
      </x:c>
      <x:c r="H31" s="27" t="str">
        <x:v>time authority</x:v>
      </x:c>
      <x:c r="I31" s="27" t="str">
        <x:v>OPEN</x:v>
      </x:c>
      <x:c r="J31" s="27" t="n">
        <x:v>0</x:v>
      </x:c>
      <x:c r="K31" s="29" t="str">
        <x:v>shared or undisclosed decisive root</x:v>
      </x:c>
    </x:row>
    <x:row r="32" ht="26" customHeight="1">
      <x:c r="B32" s="27" t="str">
        <x:v>R026</x:v>
      </x:c>
      <x:c r="C32" s="27" t="str">
        <x:v>atomic time root A</x:v>
      </x:c>
      <x:c r="D32" s="27" t="n">
        <x:v>2</x:v>
      </x:c>
      <x:c r="E32" s="27" t="str">
        <x:v>bill of process and facility identity</x:v>
      </x:c>
      <x:c r="F32" s="27" t="n">
        <x:v>1</x:v>
      </x:c>
      <x:c r="G32" s="27" t="n">
        <x:v>0</x:v>
      </x:c>
      <x:c r="H32" s="27" t="str">
        <x:v>time authority</x:v>
      </x:c>
      <x:c r="I32" s="27" t="str">
        <x:v>OPEN</x:v>
      </x:c>
      <x:c r="J32" s="27" t="n">
        <x:v>0</x:v>
      </x:c>
      <x:c r="K32" s="29" t="str">
        <x:v>shared or undisclosed decisive root</x:v>
      </x:c>
    </x:row>
    <x:row r="33" ht="26" customHeight="1">
      <x:c r="B33" s="27" t="str">
        <x:v>R027</x:v>
      </x:c>
      <x:c r="C33" s="27" t="str">
        <x:v>atomic time root A</x:v>
      </x:c>
      <x:c r="D33" s="27" t="n">
        <x:v>2</x:v>
      </x:c>
      <x:c r="E33" s="27" t="str">
        <x:v>firmware source and software bill of materials</x:v>
      </x:c>
      <x:c r="F33" s="27" t="n">
        <x:v>1</x:v>
      </x:c>
      <x:c r="G33" s="27" t="n">
        <x:v>0</x:v>
      </x:c>
      <x:c r="H33" s="27" t="str">
        <x:v>time authority</x:v>
      </x:c>
      <x:c r="I33" s="27" t="str">
        <x:v>OPEN</x:v>
      </x:c>
      <x:c r="J33" s="27" t="n">
        <x:v>0</x:v>
      </x:c>
      <x:c r="K33" s="29" t="str">
        <x:v>shared or undisclosed decisive root</x:v>
      </x:c>
    </x:row>
    <x:row r="34" ht="26" customHeight="1">
      <x:c r="B34" s="27" t="str">
        <x:v>R028</x:v>
      </x:c>
      <x:c r="C34" s="27" t="str">
        <x:v>atomic time root A</x:v>
      </x:c>
      <x:c r="D34" s="27" t="n">
        <x:v>2</x:v>
      </x:c>
      <x:c r="E34" s="27" t="str">
        <x:v>ownership and beneficial-control map</x:v>
      </x:c>
      <x:c r="F34" s="27" t="n">
        <x:v>1</x:v>
      </x:c>
      <x:c r="G34" s="27" t="n">
        <x:v>0</x:v>
      </x:c>
      <x:c r="H34" s="27" t="str">
        <x:v>time authority</x:v>
      </x:c>
      <x:c r="I34" s="27" t="str">
        <x:v>OPEN</x:v>
      </x:c>
      <x:c r="J34" s="27" t="n">
        <x:v>0</x:v>
      </x:c>
      <x:c r="K34" s="29" t="str">
        <x:v>shared or undisclosed decisive root</x:v>
      </x:c>
    </x:row>
    <x:row r="35" ht="26" customHeight="1">
      <x:c r="B35" s="27" t="str">
        <x:v>R029</x:v>
      </x:c>
      <x:c r="C35" s="27" t="str">
        <x:v>atomic time root A</x:v>
      </x:c>
      <x:c r="D35" s="27" t="n">
        <x:v>2</x:v>
      </x:c>
      <x:c r="E35" s="27" t="str">
        <x:v>calibration genealogy</x:v>
      </x:c>
      <x:c r="F35" s="27" t="n">
        <x:v>1</x:v>
      </x:c>
      <x:c r="G35" s="27" t="n">
        <x:v>0</x:v>
      </x:c>
      <x:c r="H35" s="27" t="str">
        <x:v>time authority</x:v>
      </x:c>
      <x:c r="I35" s="27" t="str">
        <x:v>OPEN</x:v>
      </x:c>
      <x:c r="J35" s="27" t="n">
        <x:v>0</x:v>
      </x:c>
      <x:c r="K35" s="29" t="str">
        <x:v>shared or undisclosed decisive root</x:v>
      </x:c>
    </x:row>
    <x:row r="36" ht="26" customHeight="1">
      <x:c r="B36" s="27" t="str">
        <x:v>R030</x:v>
      </x:c>
      <x:c r="C36" s="27" t="str">
        <x:v>atomic time root A</x:v>
      </x:c>
      <x:c r="D36" s="27" t="n">
        <x:v>2</x:v>
      </x:c>
      <x:c r="E36" s="27" t="str">
        <x:v>destructive teardown right</x:v>
      </x:c>
      <x:c r="F36" s="27" t="n">
        <x:v>1</x:v>
      </x:c>
      <x:c r="G36" s="27" t="n">
        <x:v>0</x:v>
      </x:c>
      <x:c r="H36" s="27" t="str">
        <x:v>time authority</x:v>
      </x:c>
      <x:c r="I36" s="27" t="str">
        <x:v>OPEN</x:v>
      </x:c>
      <x:c r="J36" s="27" t="n">
        <x:v>0</x:v>
      </x:c>
      <x:c r="K36" s="29" t="str">
        <x:v>shared or undisclosed decisive root</x:v>
      </x:c>
    </x:row>
    <x:row r="37" ht="26" customHeight="1">
      <x:c r="B37" s="27" t="str">
        <x:v>R031</x:v>
      </x:c>
      <x:c r="C37" s="27" t="str">
        <x:v>atomic time root A</x:v>
      </x:c>
      <x:c r="D37" s="27" t="n">
        <x:v>2</x:v>
      </x:c>
      <x:c r="E37" s="27" t="str">
        <x:v>second-team reproduction right</x:v>
      </x:c>
      <x:c r="F37" s="27" t="n">
        <x:v>1</x:v>
      </x:c>
      <x:c r="G37" s="27" t="n">
        <x:v>0</x:v>
      </x:c>
      <x:c r="H37" s="27" t="str">
        <x:v>time authority</x:v>
      </x:c>
      <x:c r="I37" s="27" t="str">
        <x:v>OPEN</x:v>
      </x:c>
      <x:c r="J37" s="27" t="n">
        <x:v>0</x:v>
      </x:c>
      <x:c r="K37" s="29" t="str">
        <x:v>shared or undisclosed decisive root</x:v>
      </x:c>
    </x:row>
    <x:row r="38" ht="26" customHeight="1">
      <x:c r="B38" s="27" t="str">
        <x:v>R032</x:v>
      </x:c>
      <x:c r="C38" s="27" t="str">
        <x:v>atomic time root A</x:v>
      </x:c>
      <x:c r="D38" s="27" t="n">
        <x:v>2</x:v>
      </x:c>
      <x:c r="E38" s="27" t="str">
        <x:v>perpetual interface and evidence data right</x:v>
      </x:c>
      <x:c r="F38" s="27" t="n">
        <x:v>1</x:v>
      </x:c>
      <x:c r="G38" s="27" t="n">
        <x:v>0</x:v>
      </x:c>
      <x:c r="H38" s="27" t="str">
        <x:v>time authority</x:v>
      </x:c>
      <x:c r="I38" s="27" t="str">
        <x:v>OPEN</x:v>
      </x:c>
      <x:c r="J38" s="27" t="n">
        <x:v>0</x:v>
      </x:c>
      <x:c r="K38" s="29" t="str">
        <x:v>shared or undisclosed decisive root</x:v>
      </x:c>
    </x:row>
    <x:row r="39" ht="26" customHeight="1">
      <x:c r="B39" s="27" t="str">
        <x:v>R033</x:v>
      </x:c>
      <x:c r="C39" s="27" t="str">
        <x:v>atomic time root B</x:v>
      </x:c>
      <x:c r="D39" s="27" t="n">
        <x:v>2</x:v>
      </x:c>
      <x:c r="E39" s="27" t="str">
        <x:v>complete bill of materials</x:v>
      </x:c>
      <x:c r="F39" s="27" t="n">
        <x:v>1</x:v>
      </x:c>
      <x:c r="G39" s="27" t="n">
        <x:v>0</x:v>
      </x:c>
      <x:c r="H39" s="27" t="str">
        <x:v>time authority</x:v>
      </x:c>
      <x:c r="I39" s="27" t="str">
        <x:v>OPEN</x:v>
      </x:c>
      <x:c r="J39" s="27" t="n">
        <x:v>0</x:v>
      </x:c>
      <x:c r="K39" s="29" t="str">
        <x:v>shared or undisclosed decisive root</x:v>
      </x:c>
    </x:row>
    <x:row r="40" ht="26" customHeight="1">
      <x:c r="B40" s="27" t="str">
        <x:v>R034</x:v>
      </x:c>
      <x:c r="C40" s="27" t="str">
        <x:v>atomic time root B</x:v>
      </x:c>
      <x:c r="D40" s="27" t="n">
        <x:v>2</x:v>
      </x:c>
      <x:c r="E40" s="27" t="str">
        <x:v>bill of process and facility identity</x:v>
      </x:c>
      <x:c r="F40" s="27" t="n">
        <x:v>1</x:v>
      </x:c>
      <x:c r="G40" s="27" t="n">
        <x:v>0</x:v>
      </x:c>
      <x:c r="H40" s="27" t="str">
        <x:v>time authority</x:v>
      </x:c>
      <x:c r="I40" s="27" t="str">
        <x:v>OPEN</x:v>
      </x:c>
      <x:c r="J40" s="27" t="n">
        <x:v>0</x:v>
      </x:c>
      <x:c r="K40" s="29" t="str">
        <x:v>shared or undisclosed decisive root</x:v>
      </x:c>
    </x:row>
    <x:row r="41" ht="26" customHeight="1">
      <x:c r="B41" s="27" t="str">
        <x:v>R035</x:v>
      </x:c>
      <x:c r="C41" s="27" t="str">
        <x:v>atomic time root B</x:v>
      </x:c>
      <x:c r="D41" s="27" t="n">
        <x:v>2</x:v>
      </x:c>
      <x:c r="E41" s="27" t="str">
        <x:v>firmware source and software bill of materials</x:v>
      </x:c>
      <x:c r="F41" s="27" t="n">
        <x:v>1</x:v>
      </x:c>
      <x:c r="G41" s="27" t="n">
        <x:v>0</x:v>
      </x:c>
      <x:c r="H41" s="27" t="str">
        <x:v>time authority</x:v>
      </x:c>
      <x:c r="I41" s="27" t="str">
        <x:v>OPEN</x:v>
      </x:c>
      <x:c r="J41" s="27" t="n">
        <x:v>0</x:v>
      </x:c>
      <x:c r="K41" s="29" t="str">
        <x:v>shared or undisclosed decisive root</x:v>
      </x:c>
    </x:row>
    <x:row r="42" ht="26" customHeight="1">
      <x:c r="B42" s="27" t="str">
        <x:v>R036</x:v>
      </x:c>
      <x:c r="C42" s="27" t="str">
        <x:v>atomic time root B</x:v>
      </x:c>
      <x:c r="D42" s="27" t="n">
        <x:v>2</x:v>
      </x:c>
      <x:c r="E42" s="27" t="str">
        <x:v>ownership and beneficial-control map</x:v>
      </x:c>
      <x:c r="F42" s="27" t="n">
        <x:v>1</x:v>
      </x:c>
      <x:c r="G42" s="27" t="n">
        <x:v>0</x:v>
      </x:c>
      <x:c r="H42" s="27" t="str">
        <x:v>time authority</x:v>
      </x:c>
      <x:c r="I42" s="27" t="str">
        <x:v>OPEN</x:v>
      </x:c>
      <x:c r="J42" s="27" t="n">
        <x:v>0</x:v>
      </x:c>
      <x:c r="K42" s="29" t="str">
        <x:v>shared or undisclosed decisive root</x:v>
      </x:c>
    </x:row>
    <x:row r="43" ht="26" customHeight="1">
      <x:c r="B43" s="27" t="str">
        <x:v>R037</x:v>
      </x:c>
      <x:c r="C43" s="27" t="str">
        <x:v>atomic time root B</x:v>
      </x:c>
      <x:c r="D43" s="27" t="n">
        <x:v>2</x:v>
      </x:c>
      <x:c r="E43" s="27" t="str">
        <x:v>calibration genealogy</x:v>
      </x:c>
      <x:c r="F43" s="27" t="n">
        <x:v>1</x:v>
      </x:c>
      <x:c r="G43" s="27" t="n">
        <x:v>0</x:v>
      </x:c>
      <x:c r="H43" s="27" t="str">
        <x:v>time authority</x:v>
      </x:c>
      <x:c r="I43" s="27" t="str">
        <x:v>OPEN</x:v>
      </x:c>
      <x:c r="J43" s="27" t="n">
        <x:v>0</x:v>
      </x:c>
      <x:c r="K43" s="29" t="str">
        <x:v>shared or undisclosed decisive root</x:v>
      </x:c>
    </x:row>
    <x:row r="44" ht="26" customHeight="1">
      <x:c r="B44" s="27" t="str">
        <x:v>R038</x:v>
      </x:c>
      <x:c r="C44" s="27" t="str">
        <x:v>atomic time root B</x:v>
      </x:c>
      <x:c r="D44" s="27" t="n">
        <x:v>2</x:v>
      </x:c>
      <x:c r="E44" s="27" t="str">
        <x:v>destructive teardown right</x:v>
      </x:c>
      <x:c r="F44" s="27" t="n">
        <x:v>1</x:v>
      </x:c>
      <x:c r="G44" s="27" t="n">
        <x:v>0</x:v>
      </x:c>
      <x:c r="H44" s="27" t="str">
        <x:v>time authority</x:v>
      </x:c>
      <x:c r="I44" s="27" t="str">
        <x:v>OPEN</x:v>
      </x:c>
      <x:c r="J44" s="27" t="n">
        <x:v>0</x:v>
      </x:c>
      <x:c r="K44" s="29" t="str">
        <x:v>shared or undisclosed decisive root</x:v>
      </x:c>
    </x:row>
    <x:row r="45" ht="26" customHeight="1">
      <x:c r="B45" s="27" t="str">
        <x:v>R039</x:v>
      </x:c>
      <x:c r="C45" s="27" t="str">
        <x:v>atomic time root B</x:v>
      </x:c>
      <x:c r="D45" s="27" t="n">
        <x:v>2</x:v>
      </x:c>
      <x:c r="E45" s="27" t="str">
        <x:v>second-team reproduction right</x:v>
      </x:c>
      <x:c r="F45" s="27" t="n">
        <x:v>1</x:v>
      </x:c>
      <x:c r="G45" s="27" t="n">
        <x:v>0</x:v>
      </x:c>
      <x:c r="H45" s="27" t="str">
        <x:v>time authority</x:v>
      </x:c>
      <x:c r="I45" s="27" t="str">
        <x:v>OPEN</x:v>
      </x:c>
      <x:c r="J45" s="27" t="n">
        <x:v>0</x:v>
      </x:c>
      <x:c r="K45" s="29" t="str">
        <x:v>shared or undisclosed decisive root</x:v>
      </x:c>
    </x:row>
    <x:row r="46" ht="26" customHeight="1">
      <x:c r="B46" s="27" t="str">
        <x:v>R040</x:v>
      </x:c>
      <x:c r="C46" s="27" t="str">
        <x:v>atomic time root B</x:v>
      </x:c>
      <x:c r="D46" s="27" t="n">
        <x:v>2</x:v>
      </x:c>
      <x:c r="E46" s="27" t="str">
        <x:v>perpetual interface and evidence data right</x:v>
      </x:c>
      <x:c r="F46" s="27" t="n">
        <x:v>1</x:v>
      </x:c>
      <x:c r="G46" s="27" t="n">
        <x:v>0</x:v>
      </x:c>
      <x:c r="H46" s="27" t="str">
        <x:v>time authority</x:v>
      </x:c>
      <x:c r="I46" s="27" t="str">
        <x:v>OPEN</x:v>
      </x:c>
      <x:c r="J46" s="27" t="n">
        <x:v>0</x:v>
      </x:c>
      <x:c r="K46" s="29" t="str">
        <x:v>shared or undisclosed decisive root</x:v>
      </x:c>
    </x:row>
    <x:row r="47" ht="26" customHeight="1">
      <x:c r="B47" s="27" t="str">
        <x:v>R041</x:v>
      </x:c>
      <x:c r="C47" s="27" t="str">
        <x:v>immutable storage controller</x:v>
      </x:c>
      <x:c r="D47" s="27" t="n">
        <x:v>3</x:v>
      </x:c>
      <x:c r="E47" s="27" t="str">
        <x:v>complete bill of materials</x:v>
      </x:c>
      <x:c r="F47" s="27" t="n">
        <x:v>1</x:v>
      </x:c>
      <x:c r="G47" s="27" t="n">
        <x:v>0</x:v>
      </x:c>
      <x:c r="H47" s="27" t="str">
        <x:v>data authority</x:v>
      </x:c>
      <x:c r="I47" s="27" t="str">
        <x:v>OPEN</x:v>
      </x:c>
      <x:c r="J47" s="27" t="n">
        <x:v>0</x:v>
      </x:c>
      <x:c r="K47" s="29" t="str">
        <x:v>shared or undisclosed decisive root</x:v>
      </x:c>
    </x:row>
    <x:row r="48" ht="26" customHeight="1">
      <x:c r="B48" s="27" t="str">
        <x:v>R042</x:v>
      </x:c>
      <x:c r="C48" s="27" t="str">
        <x:v>immutable storage controller</x:v>
      </x:c>
      <x:c r="D48" s="27" t="n">
        <x:v>3</x:v>
      </x:c>
      <x:c r="E48" s="27" t="str">
        <x:v>bill of process and facility identity</x:v>
      </x:c>
      <x:c r="F48" s="27" t="n">
        <x:v>1</x:v>
      </x:c>
      <x:c r="G48" s="27" t="n">
        <x:v>0</x:v>
      </x:c>
      <x:c r="H48" s="27" t="str">
        <x:v>data authority</x:v>
      </x:c>
      <x:c r="I48" s="27" t="str">
        <x:v>OPEN</x:v>
      </x:c>
      <x:c r="J48" s="27" t="n">
        <x:v>0</x:v>
      </x:c>
      <x:c r="K48" s="29" t="str">
        <x:v>shared or undisclosed decisive root</x:v>
      </x:c>
    </x:row>
    <x:row r="49" ht="26" customHeight="1">
      <x:c r="B49" s="27" t="str">
        <x:v>R043</x:v>
      </x:c>
      <x:c r="C49" s="27" t="str">
        <x:v>immutable storage controller</x:v>
      </x:c>
      <x:c r="D49" s="27" t="n">
        <x:v>3</x:v>
      </x:c>
      <x:c r="E49" s="27" t="str">
        <x:v>firmware source and software bill of materials</x:v>
      </x:c>
      <x:c r="F49" s="27" t="n">
        <x:v>1</x:v>
      </x:c>
      <x:c r="G49" s="27" t="n">
        <x:v>0</x:v>
      </x:c>
      <x:c r="H49" s="27" t="str">
        <x:v>data authority</x:v>
      </x:c>
      <x:c r="I49" s="27" t="str">
        <x:v>OPEN</x:v>
      </x:c>
      <x:c r="J49" s="27" t="n">
        <x:v>0</x:v>
      </x:c>
      <x:c r="K49" s="29" t="str">
        <x:v>shared or undisclosed decisive root</x:v>
      </x:c>
    </x:row>
    <x:row r="50" ht="26" customHeight="1">
      <x:c r="B50" s="27" t="str">
        <x:v>R044</x:v>
      </x:c>
      <x:c r="C50" s="27" t="str">
        <x:v>immutable storage controller</x:v>
      </x:c>
      <x:c r="D50" s="27" t="n">
        <x:v>3</x:v>
      </x:c>
      <x:c r="E50" s="27" t="str">
        <x:v>ownership and beneficial-control map</x:v>
      </x:c>
      <x:c r="F50" s="27" t="n">
        <x:v>1</x:v>
      </x:c>
      <x:c r="G50" s="27" t="n">
        <x:v>0</x:v>
      </x:c>
      <x:c r="H50" s="27" t="str">
        <x:v>data authority</x:v>
      </x:c>
      <x:c r="I50" s="27" t="str">
        <x:v>OPEN</x:v>
      </x:c>
      <x:c r="J50" s="27" t="n">
        <x:v>0</x:v>
      </x:c>
      <x:c r="K50" s="29" t="str">
        <x:v>shared or undisclosed decisive root</x:v>
      </x:c>
    </x:row>
    <x:row r="51" ht="26" customHeight="1">
      <x:c r="B51" s="27" t="str">
        <x:v>R045</x:v>
      </x:c>
      <x:c r="C51" s="27" t="str">
        <x:v>immutable storage controller</x:v>
      </x:c>
      <x:c r="D51" s="27" t="n">
        <x:v>3</x:v>
      </x:c>
      <x:c r="E51" s="27" t="str">
        <x:v>calibration genealogy</x:v>
      </x:c>
      <x:c r="F51" s="27" t="n">
        <x:v>1</x:v>
      </x:c>
      <x:c r="G51" s="27" t="n">
        <x:v>0</x:v>
      </x:c>
      <x:c r="H51" s="27" t="str">
        <x:v>data authority</x:v>
      </x:c>
      <x:c r="I51" s="27" t="str">
        <x:v>OPEN</x:v>
      </x:c>
      <x:c r="J51" s="27" t="n">
        <x:v>0</x:v>
      </x:c>
      <x:c r="K51" s="29" t="str">
        <x:v>shared or undisclosed decisive root</x:v>
      </x:c>
    </x:row>
    <x:row r="52" ht="26" customHeight="1">
      <x:c r="B52" s="27" t="str">
        <x:v>R046</x:v>
      </x:c>
      <x:c r="C52" s="27" t="str">
        <x:v>immutable storage controller</x:v>
      </x:c>
      <x:c r="D52" s="27" t="n">
        <x:v>3</x:v>
      </x:c>
      <x:c r="E52" s="27" t="str">
        <x:v>destructive teardown right</x:v>
      </x:c>
      <x:c r="F52" s="27" t="n">
        <x:v>1</x:v>
      </x:c>
      <x:c r="G52" s="27" t="n">
        <x:v>0</x:v>
      </x:c>
      <x:c r="H52" s="27" t="str">
        <x:v>data authority</x:v>
      </x:c>
      <x:c r="I52" s="27" t="str">
        <x:v>OPEN</x:v>
      </x:c>
      <x:c r="J52" s="27" t="n">
        <x:v>0</x:v>
      </x:c>
      <x:c r="K52" s="29" t="str">
        <x:v>shared or undisclosed decisive root</x:v>
      </x:c>
    </x:row>
    <x:row r="53" ht="26" customHeight="1">
      <x:c r="B53" s="27" t="str">
        <x:v>R047</x:v>
      </x:c>
      <x:c r="C53" s="27" t="str">
        <x:v>immutable storage controller</x:v>
      </x:c>
      <x:c r="D53" s="27" t="n">
        <x:v>3</x:v>
      </x:c>
      <x:c r="E53" s="27" t="str">
        <x:v>second-team reproduction right</x:v>
      </x:c>
      <x:c r="F53" s="27" t="n">
        <x:v>1</x:v>
      </x:c>
      <x:c r="G53" s="27" t="n">
        <x:v>0</x:v>
      </x:c>
      <x:c r="H53" s="27" t="str">
        <x:v>data authority</x:v>
      </x:c>
      <x:c r="I53" s="27" t="str">
        <x:v>OPEN</x:v>
      </x:c>
      <x:c r="J53" s="27" t="n">
        <x:v>0</x:v>
      </x:c>
      <x:c r="K53" s="29" t="str">
        <x:v>shared or undisclosed decisive root</x:v>
      </x:c>
    </x:row>
    <x:row r="54" ht="26" customHeight="1">
      <x:c r="B54" s="27" t="str">
        <x:v>R048</x:v>
      </x:c>
      <x:c r="C54" s="27" t="str">
        <x:v>immutable storage controller</x:v>
      </x:c>
      <x:c r="D54" s="27" t="n">
        <x:v>3</x:v>
      </x:c>
      <x:c r="E54" s="27" t="str">
        <x:v>perpetual interface and evidence data right</x:v>
      </x:c>
      <x:c r="F54" s="27" t="n">
        <x:v>1</x:v>
      </x:c>
      <x:c r="G54" s="27" t="n">
        <x:v>0</x:v>
      </x:c>
      <x:c r="H54" s="27" t="str">
        <x:v>data authority</x:v>
      </x:c>
      <x:c r="I54" s="27" t="str">
        <x:v>OPEN</x:v>
      </x:c>
      <x:c r="J54" s="27" t="n">
        <x:v>0</x:v>
      </x:c>
      <x:c r="K54" s="29" t="str">
        <x:v>shared or undisclosed decisive root</x:v>
      </x:c>
    </x:row>
    <x:row r="55" ht="26" customHeight="1">
      <x:c r="B55" s="27" t="str">
        <x:v>R049</x:v>
      </x:c>
      <x:c r="C55" s="27" t="str">
        <x:v>immutable storage media</x:v>
      </x:c>
      <x:c r="D55" s="27" t="n">
        <x:v>3</x:v>
      </x:c>
      <x:c r="E55" s="27" t="str">
        <x:v>complete bill of materials</x:v>
      </x:c>
      <x:c r="F55" s="27" t="n">
        <x:v>1</x:v>
      </x:c>
      <x:c r="G55" s="27" t="n">
        <x:v>0</x:v>
      </x:c>
      <x:c r="H55" s="27" t="str">
        <x:v>data authority</x:v>
      </x:c>
      <x:c r="I55" s="27" t="str">
        <x:v>OPEN</x:v>
      </x:c>
      <x:c r="J55" s="27" t="n">
        <x:v>0</x:v>
      </x:c>
      <x:c r="K55" s="29" t="str">
        <x:v>shared or undisclosed decisive root</x:v>
      </x:c>
    </x:row>
    <x:row r="56" ht="26" customHeight="1">
      <x:c r="B56" s="27" t="str">
        <x:v>R050</x:v>
      </x:c>
      <x:c r="C56" s="27" t="str">
        <x:v>immutable storage media</x:v>
      </x:c>
      <x:c r="D56" s="27" t="n">
        <x:v>3</x:v>
      </x:c>
      <x:c r="E56" s="27" t="str">
        <x:v>bill of process and facility identity</x:v>
      </x:c>
      <x:c r="F56" s="27" t="n">
        <x:v>1</x:v>
      </x:c>
      <x:c r="G56" s="27" t="n">
        <x:v>0</x:v>
      </x:c>
      <x:c r="H56" s="27" t="str">
        <x:v>data authority</x:v>
      </x:c>
      <x:c r="I56" s="27" t="str">
        <x:v>OPEN</x:v>
      </x:c>
      <x:c r="J56" s="27" t="n">
        <x:v>0</x:v>
      </x:c>
      <x:c r="K56" s="29" t="str">
        <x:v>shared or undisclosed decisive root</x:v>
      </x:c>
    </x:row>
    <x:row r="57" ht="26" customHeight="1">
      <x:c r="B57" s="27" t="str">
        <x:v>R051</x:v>
      </x:c>
      <x:c r="C57" s="27" t="str">
        <x:v>immutable storage media</x:v>
      </x:c>
      <x:c r="D57" s="27" t="n">
        <x:v>3</x:v>
      </x:c>
      <x:c r="E57" s="27" t="str">
        <x:v>firmware source and software bill of materials</x:v>
      </x:c>
      <x:c r="F57" s="27" t="n">
        <x:v>1</x:v>
      </x:c>
      <x:c r="G57" s="27" t="n">
        <x:v>0</x:v>
      </x:c>
      <x:c r="H57" s="27" t="str">
        <x:v>data authority</x:v>
      </x:c>
      <x:c r="I57" s="27" t="str">
        <x:v>OPEN</x:v>
      </x:c>
      <x:c r="J57" s="27" t="n">
        <x:v>0</x:v>
      </x:c>
      <x:c r="K57" s="29" t="str">
        <x:v>shared or undisclosed decisive root</x:v>
      </x:c>
    </x:row>
    <x:row r="58" ht="26" customHeight="1">
      <x:c r="B58" s="27" t="str">
        <x:v>R052</x:v>
      </x:c>
      <x:c r="C58" s="27" t="str">
        <x:v>immutable storage media</x:v>
      </x:c>
      <x:c r="D58" s="27" t="n">
        <x:v>3</x:v>
      </x:c>
      <x:c r="E58" s="27" t="str">
        <x:v>ownership and beneficial-control map</x:v>
      </x:c>
      <x:c r="F58" s="27" t="n">
        <x:v>1</x:v>
      </x:c>
      <x:c r="G58" s="27" t="n">
        <x:v>0</x:v>
      </x:c>
      <x:c r="H58" s="27" t="str">
        <x:v>data authority</x:v>
      </x:c>
      <x:c r="I58" s="27" t="str">
        <x:v>OPEN</x:v>
      </x:c>
      <x:c r="J58" s="27" t="n">
        <x:v>0</x:v>
      </x:c>
      <x:c r="K58" s="29" t="str">
        <x:v>shared or undisclosed decisive root</x:v>
      </x:c>
    </x:row>
    <x:row r="59" ht="26" customHeight="1">
      <x:c r="B59" s="27" t="str">
        <x:v>R053</x:v>
      </x:c>
      <x:c r="C59" s="27" t="str">
        <x:v>immutable storage media</x:v>
      </x:c>
      <x:c r="D59" s="27" t="n">
        <x:v>3</x:v>
      </x:c>
      <x:c r="E59" s="27" t="str">
        <x:v>calibration genealogy</x:v>
      </x:c>
      <x:c r="F59" s="27" t="n">
        <x:v>1</x:v>
      </x:c>
      <x:c r="G59" s="27" t="n">
        <x:v>0</x:v>
      </x:c>
      <x:c r="H59" s="27" t="str">
        <x:v>data authority</x:v>
      </x:c>
      <x:c r="I59" s="27" t="str">
        <x:v>OPEN</x:v>
      </x:c>
      <x:c r="J59" s="27" t="n">
        <x:v>0</x:v>
      </x:c>
      <x:c r="K59" s="29" t="str">
        <x:v>shared or undisclosed decisive root</x:v>
      </x:c>
    </x:row>
    <x:row r="60" ht="26" customHeight="1">
      <x:c r="B60" s="27" t="str">
        <x:v>R054</x:v>
      </x:c>
      <x:c r="C60" s="27" t="str">
        <x:v>immutable storage media</x:v>
      </x:c>
      <x:c r="D60" s="27" t="n">
        <x:v>3</x:v>
      </x:c>
      <x:c r="E60" s="27" t="str">
        <x:v>destructive teardown right</x:v>
      </x:c>
      <x:c r="F60" s="27" t="n">
        <x:v>1</x:v>
      </x:c>
      <x:c r="G60" s="27" t="n">
        <x:v>0</x:v>
      </x:c>
      <x:c r="H60" s="27" t="str">
        <x:v>data authority</x:v>
      </x:c>
      <x:c r="I60" s="27" t="str">
        <x:v>OPEN</x:v>
      </x:c>
      <x:c r="J60" s="27" t="n">
        <x:v>0</x:v>
      </x:c>
      <x:c r="K60" s="29" t="str">
        <x:v>shared or undisclosed decisive root</x:v>
      </x:c>
    </x:row>
    <x:row r="61" ht="26" customHeight="1">
      <x:c r="B61" s="27" t="str">
        <x:v>R055</x:v>
      </x:c>
      <x:c r="C61" s="27" t="str">
        <x:v>immutable storage media</x:v>
      </x:c>
      <x:c r="D61" s="27" t="n">
        <x:v>3</x:v>
      </x:c>
      <x:c r="E61" s="27" t="str">
        <x:v>second-team reproduction right</x:v>
      </x:c>
      <x:c r="F61" s="27" t="n">
        <x:v>1</x:v>
      </x:c>
      <x:c r="G61" s="27" t="n">
        <x:v>0</x:v>
      </x:c>
      <x:c r="H61" s="27" t="str">
        <x:v>data authority</x:v>
      </x:c>
      <x:c r="I61" s="27" t="str">
        <x:v>OPEN</x:v>
      </x:c>
      <x:c r="J61" s="27" t="n">
        <x:v>0</x:v>
      </x:c>
      <x:c r="K61" s="29" t="str">
        <x:v>shared or undisclosed decisive root</x:v>
      </x:c>
    </x:row>
    <x:row r="62" ht="26" customHeight="1">
      <x:c r="B62" s="27" t="str">
        <x:v>R056</x:v>
      </x:c>
      <x:c r="C62" s="27" t="str">
        <x:v>immutable storage media</x:v>
      </x:c>
      <x:c r="D62" s="27" t="n">
        <x:v>3</x:v>
      </x:c>
      <x:c r="E62" s="27" t="str">
        <x:v>perpetual interface and evidence data right</x:v>
      </x:c>
      <x:c r="F62" s="27" t="n">
        <x:v>1</x:v>
      </x:c>
      <x:c r="G62" s="27" t="n">
        <x:v>0</x:v>
      </x:c>
      <x:c r="H62" s="27" t="str">
        <x:v>data authority</x:v>
      </x:c>
      <x:c r="I62" s="27" t="str">
        <x:v>OPEN</x:v>
      </x:c>
      <x:c r="J62" s="27" t="n">
        <x:v>0</x:v>
      </x:c>
      <x:c r="K62" s="29" t="str">
        <x:v>shared or undisclosed decisive root</x:v>
      </x:c>
    </x:row>
    <x:row r="63" ht="26" customHeight="1">
      <x:c r="B63" s="27" t="str">
        <x:v>R057</x:v>
      </x:c>
      <x:c r="C63" s="27" t="str">
        <x:v>endurance cells and management</x:v>
      </x:c>
      <x:c r="D63" s="27" t="n">
        <x:v>3</x:v>
      </x:c>
      <x:c r="E63" s="27" t="str">
        <x:v>complete bill of materials</x:v>
      </x:c>
      <x:c r="F63" s="27" t="n">
        <x:v>1</x:v>
      </x:c>
      <x:c r="G63" s="27" t="n">
        <x:v>0</x:v>
      </x:c>
      <x:c r="H63" s="27" t="str">
        <x:v>energy safety authority</x:v>
      </x:c>
      <x:c r="I63" s="27" t="str">
        <x:v>OPEN</x:v>
      </x:c>
      <x:c r="J63" s="27" t="n">
        <x:v>0</x:v>
      </x:c>
      <x:c r="K63" s="29" t="str">
        <x:v>shared or undisclosed decisive root</x:v>
      </x:c>
    </x:row>
    <x:row r="64" ht="26" customHeight="1">
      <x:c r="B64" s="27" t="str">
        <x:v>R058</x:v>
      </x:c>
      <x:c r="C64" s="27" t="str">
        <x:v>endurance cells and management</x:v>
      </x:c>
      <x:c r="D64" s="27" t="n">
        <x:v>3</x:v>
      </x:c>
      <x:c r="E64" s="27" t="str">
        <x:v>bill of process and facility identity</x:v>
      </x:c>
      <x:c r="F64" s="27" t="n">
        <x:v>1</x:v>
      </x:c>
      <x:c r="G64" s="27" t="n">
        <x:v>0</x:v>
      </x:c>
      <x:c r="H64" s="27" t="str">
        <x:v>energy safety authority</x:v>
      </x:c>
      <x:c r="I64" s="27" t="str">
        <x:v>OPEN</x:v>
      </x:c>
      <x:c r="J64" s="27" t="n">
        <x:v>0</x:v>
      </x:c>
      <x:c r="K64" s="29" t="str">
        <x:v>shared or undisclosed decisive root</x:v>
      </x:c>
    </x:row>
    <x:row r="65" ht="26" customHeight="1">
      <x:c r="B65" s="27" t="str">
        <x:v>R059</x:v>
      </x:c>
      <x:c r="C65" s="27" t="str">
        <x:v>endurance cells and management</x:v>
      </x:c>
      <x:c r="D65" s="27" t="n">
        <x:v>3</x:v>
      </x:c>
      <x:c r="E65" s="27" t="str">
        <x:v>firmware source and software bill of materials</x:v>
      </x:c>
      <x:c r="F65" s="27" t="n">
        <x:v>1</x:v>
      </x:c>
      <x:c r="G65" s="27" t="n">
        <x:v>0</x:v>
      </x:c>
      <x:c r="H65" s="27" t="str">
        <x:v>energy safety authority</x:v>
      </x:c>
      <x:c r="I65" s="27" t="str">
        <x:v>OPEN</x:v>
      </x:c>
      <x:c r="J65" s="27" t="n">
        <x:v>0</x:v>
      </x:c>
      <x:c r="K65" s="29" t="str">
        <x:v>shared or undisclosed decisive root</x:v>
      </x:c>
    </x:row>
    <x:row r="66" ht="26" customHeight="1">
      <x:c r="B66" s="27" t="str">
        <x:v>R060</x:v>
      </x:c>
      <x:c r="C66" s="27" t="str">
        <x:v>endurance cells and management</x:v>
      </x:c>
      <x:c r="D66" s="27" t="n">
        <x:v>3</x:v>
      </x:c>
      <x:c r="E66" s="27" t="str">
        <x:v>ownership and beneficial-control map</x:v>
      </x:c>
      <x:c r="F66" s="27" t="n">
        <x:v>1</x:v>
      </x:c>
      <x:c r="G66" s="27" t="n">
        <x:v>0</x:v>
      </x:c>
      <x:c r="H66" s="27" t="str">
        <x:v>energy safety authority</x:v>
      </x:c>
      <x:c r="I66" s="27" t="str">
        <x:v>OPEN</x:v>
      </x:c>
      <x:c r="J66" s="27" t="n">
        <x:v>0</x:v>
      </x:c>
      <x:c r="K66" s="29" t="str">
        <x:v>shared or undisclosed decisive root</x:v>
      </x:c>
    </x:row>
    <x:row r="67" ht="26" customHeight="1">
      <x:c r="B67" s="27" t="str">
        <x:v>R061</x:v>
      </x:c>
      <x:c r="C67" s="27" t="str">
        <x:v>endurance cells and management</x:v>
      </x:c>
      <x:c r="D67" s="27" t="n">
        <x:v>3</x:v>
      </x:c>
      <x:c r="E67" s="27" t="str">
        <x:v>calibration genealogy</x:v>
      </x:c>
      <x:c r="F67" s="27" t="n">
        <x:v>1</x:v>
      </x:c>
      <x:c r="G67" s="27" t="n">
        <x:v>0</x:v>
      </x:c>
      <x:c r="H67" s="27" t="str">
        <x:v>energy safety authority</x:v>
      </x:c>
      <x:c r="I67" s="27" t="str">
        <x:v>OPEN</x:v>
      </x:c>
      <x:c r="J67" s="27" t="n">
        <x:v>0</x:v>
      </x:c>
      <x:c r="K67" s="29" t="str">
        <x:v>shared or undisclosed decisive root</x:v>
      </x:c>
    </x:row>
    <x:row r="68" ht="26" customHeight="1">
      <x:c r="B68" s="27" t="str">
        <x:v>R062</x:v>
      </x:c>
      <x:c r="C68" s="27" t="str">
        <x:v>endurance cells and management</x:v>
      </x:c>
      <x:c r="D68" s="27" t="n">
        <x:v>3</x:v>
      </x:c>
      <x:c r="E68" s="27" t="str">
        <x:v>destructive teardown right</x:v>
      </x:c>
      <x:c r="F68" s="27" t="n">
        <x:v>1</x:v>
      </x:c>
      <x:c r="G68" s="27" t="n">
        <x:v>0</x:v>
      </x:c>
      <x:c r="H68" s="27" t="str">
        <x:v>energy safety authority</x:v>
      </x:c>
      <x:c r="I68" s="27" t="str">
        <x:v>OPEN</x:v>
      </x:c>
      <x:c r="J68" s="27" t="n">
        <x:v>0</x:v>
      </x:c>
      <x:c r="K68" s="29" t="str">
        <x:v>shared or undisclosed decisive root</x:v>
      </x:c>
    </x:row>
    <x:row r="69" ht="26" customHeight="1">
      <x:c r="B69" s="27" t="str">
        <x:v>R063</x:v>
      </x:c>
      <x:c r="C69" s="27" t="str">
        <x:v>endurance cells and management</x:v>
      </x:c>
      <x:c r="D69" s="27" t="n">
        <x:v>3</x:v>
      </x:c>
      <x:c r="E69" s="27" t="str">
        <x:v>second-team reproduction right</x:v>
      </x:c>
      <x:c r="F69" s="27" t="n">
        <x:v>1</x:v>
      </x:c>
      <x:c r="G69" s="27" t="n">
        <x:v>0</x:v>
      </x:c>
      <x:c r="H69" s="27" t="str">
        <x:v>energy safety authority</x:v>
      </x:c>
      <x:c r="I69" s="27" t="str">
        <x:v>OPEN</x:v>
      </x:c>
      <x:c r="J69" s="27" t="n">
        <x:v>0</x:v>
      </x:c>
      <x:c r="K69" s="29" t="str">
        <x:v>shared or undisclosed decisive root</x:v>
      </x:c>
    </x:row>
    <x:row r="70" ht="26" customHeight="1">
      <x:c r="B70" s="27" t="str">
        <x:v>R064</x:v>
      </x:c>
      <x:c r="C70" s="27" t="str">
        <x:v>endurance cells and management</x:v>
      </x:c>
      <x:c r="D70" s="27" t="n">
        <x:v>3</x:v>
      </x:c>
      <x:c r="E70" s="27" t="str">
        <x:v>perpetual interface and evidence data right</x:v>
      </x:c>
      <x:c r="F70" s="27" t="n">
        <x:v>1</x:v>
      </x:c>
      <x:c r="G70" s="27" t="n">
        <x:v>0</x:v>
      </x:c>
      <x:c r="H70" s="27" t="str">
        <x:v>energy safety authority</x:v>
      </x:c>
      <x:c r="I70" s="27" t="str">
        <x:v>OPEN</x:v>
      </x:c>
      <x:c r="J70" s="27" t="n">
        <x:v>0</x:v>
      </x:c>
      <x:c r="K70" s="29" t="str">
        <x:v>shared or undisclosed decisive root</x:v>
      </x:c>
    </x:row>
    <x:row r="71" ht="26" customHeight="1">
      <x:c r="B71" s="27" t="str">
        <x:v>R065</x:v>
      </x:c>
      <x:c r="C71" s="27" t="str">
        <x:v>passive isolation photonics</x:v>
      </x:c>
      <x:c r="D71" s="27" t="n">
        <x:v>3</x:v>
      </x:c>
      <x:c r="E71" s="27" t="str">
        <x:v>complete bill of materials</x:v>
      </x:c>
      <x:c r="F71" s="27" t="n">
        <x:v>1</x:v>
      </x:c>
      <x:c r="G71" s="27" t="n">
        <x:v>0</x:v>
      </x:c>
      <x:c r="H71" s="27" t="str">
        <x:v>interface authority</x:v>
      </x:c>
      <x:c r="I71" s="27" t="str">
        <x:v>OPEN</x:v>
      </x:c>
      <x:c r="J71" s="27" t="n">
        <x:v>0</x:v>
      </x:c>
      <x:c r="K71" s="29" t="str">
        <x:v>shared or undisclosed decisive root</x:v>
      </x:c>
    </x:row>
    <x:row r="72" ht="26" customHeight="1">
      <x:c r="B72" s="27" t="str">
        <x:v>R066</x:v>
      </x:c>
      <x:c r="C72" s="27" t="str">
        <x:v>passive isolation photonics</x:v>
      </x:c>
      <x:c r="D72" s="27" t="n">
        <x:v>3</x:v>
      </x:c>
      <x:c r="E72" s="27" t="str">
        <x:v>bill of process and facility identity</x:v>
      </x:c>
      <x:c r="F72" s="27" t="n">
        <x:v>1</x:v>
      </x:c>
      <x:c r="G72" s="27" t="n">
        <x:v>0</x:v>
      </x:c>
      <x:c r="H72" s="27" t="str">
        <x:v>interface authority</x:v>
      </x:c>
      <x:c r="I72" s="27" t="str">
        <x:v>OPEN</x:v>
      </x:c>
      <x:c r="J72" s="27" t="n">
        <x:v>0</x:v>
      </x:c>
      <x:c r="K72" s="29" t="str">
        <x:v>shared or undisclosed decisive root</x:v>
      </x:c>
    </x:row>
    <x:row r="73" ht="26" customHeight="1">
      <x:c r="B73" s="27" t="str">
        <x:v>R067</x:v>
      </x:c>
      <x:c r="C73" s="27" t="str">
        <x:v>passive isolation photonics</x:v>
      </x:c>
      <x:c r="D73" s="27" t="n">
        <x:v>3</x:v>
      </x:c>
      <x:c r="E73" s="27" t="str">
        <x:v>firmware source and software bill of materials</x:v>
      </x:c>
      <x:c r="F73" s="27" t="n">
        <x:v>1</x:v>
      </x:c>
      <x:c r="G73" s="27" t="n">
        <x:v>0</x:v>
      </x:c>
      <x:c r="H73" s="27" t="str">
        <x:v>interface authority</x:v>
      </x:c>
      <x:c r="I73" s="27" t="str">
        <x:v>OPEN</x:v>
      </x:c>
      <x:c r="J73" s="27" t="n">
        <x:v>0</x:v>
      </x:c>
      <x:c r="K73" s="29" t="str">
        <x:v>shared or undisclosed decisive root</x:v>
      </x:c>
    </x:row>
    <x:row r="74" ht="26" customHeight="1">
      <x:c r="B74" s="27" t="str">
        <x:v>R068</x:v>
      </x:c>
      <x:c r="C74" s="27" t="str">
        <x:v>passive isolation photonics</x:v>
      </x:c>
      <x:c r="D74" s="27" t="n">
        <x:v>3</x:v>
      </x:c>
      <x:c r="E74" s="27" t="str">
        <x:v>ownership and beneficial-control map</x:v>
      </x:c>
      <x:c r="F74" s="27" t="n">
        <x:v>1</x:v>
      </x:c>
      <x:c r="G74" s="27" t="n">
        <x:v>0</x:v>
      </x:c>
      <x:c r="H74" s="27" t="str">
        <x:v>interface authority</x:v>
      </x:c>
      <x:c r="I74" s="27" t="str">
        <x:v>OPEN</x:v>
      </x:c>
      <x:c r="J74" s="27" t="n">
        <x:v>0</x:v>
      </x:c>
      <x:c r="K74" s="29" t="str">
        <x:v>shared or undisclosed decisive root</x:v>
      </x:c>
    </x:row>
    <x:row r="75" ht="26" customHeight="1">
      <x:c r="B75" s="27" t="str">
        <x:v>R069</x:v>
      </x:c>
      <x:c r="C75" s="27" t="str">
        <x:v>passive isolation photonics</x:v>
      </x:c>
      <x:c r="D75" s="27" t="n">
        <x:v>3</x:v>
      </x:c>
      <x:c r="E75" s="27" t="str">
        <x:v>calibration genealogy</x:v>
      </x:c>
      <x:c r="F75" s="27" t="n">
        <x:v>1</x:v>
      </x:c>
      <x:c r="G75" s="27" t="n">
        <x:v>0</x:v>
      </x:c>
      <x:c r="H75" s="27" t="str">
        <x:v>interface authority</x:v>
      </x:c>
      <x:c r="I75" s="27" t="str">
        <x:v>OPEN</x:v>
      </x:c>
      <x:c r="J75" s="27" t="n">
        <x:v>0</x:v>
      </x:c>
      <x:c r="K75" s="29" t="str">
        <x:v>shared or undisclosed decisive root</x:v>
      </x:c>
    </x:row>
    <x:row r="76" ht="26" customHeight="1">
      <x:c r="B76" s="27" t="str">
        <x:v>R070</x:v>
      </x:c>
      <x:c r="C76" s="27" t="str">
        <x:v>passive isolation photonics</x:v>
      </x:c>
      <x:c r="D76" s="27" t="n">
        <x:v>3</x:v>
      </x:c>
      <x:c r="E76" s="27" t="str">
        <x:v>destructive teardown right</x:v>
      </x:c>
      <x:c r="F76" s="27" t="n">
        <x:v>1</x:v>
      </x:c>
      <x:c r="G76" s="27" t="n">
        <x:v>0</x:v>
      </x:c>
      <x:c r="H76" s="27" t="str">
        <x:v>interface authority</x:v>
      </x:c>
      <x:c r="I76" s="27" t="str">
        <x:v>OPEN</x:v>
      </x:c>
      <x:c r="J76" s="27" t="n">
        <x:v>0</x:v>
      </x:c>
      <x:c r="K76" s="29" t="str">
        <x:v>shared or undisclosed decisive root</x:v>
      </x:c>
    </x:row>
    <x:row r="77" ht="26" customHeight="1">
      <x:c r="B77" s="27" t="str">
        <x:v>R071</x:v>
      </x:c>
      <x:c r="C77" s="27" t="str">
        <x:v>passive isolation photonics</x:v>
      </x:c>
      <x:c r="D77" s="27" t="n">
        <x:v>3</x:v>
      </x:c>
      <x:c r="E77" s="27" t="str">
        <x:v>second-team reproduction right</x:v>
      </x:c>
      <x:c r="F77" s="27" t="n">
        <x:v>1</x:v>
      </x:c>
      <x:c r="G77" s="27" t="n">
        <x:v>0</x:v>
      </x:c>
      <x:c r="H77" s="27" t="str">
        <x:v>interface authority</x:v>
      </x:c>
      <x:c r="I77" s="27" t="str">
        <x:v>OPEN</x:v>
      </x:c>
      <x:c r="J77" s="27" t="n">
        <x:v>0</x:v>
      </x:c>
      <x:c r="K77" s="29" t="str">
        <x:v>shared or undisclosed decisive root</x:v>
      </x:c>
    </x:row>
    <x:row r="78" ht="26" customHeight="1">
      <x:c r="B78" s="27" t="str">
        <x:v>R072</x:v>
      </x:c>
      <x:c r="C78" s="27" t="str">
        <x:v>passive isolation photonics</x:v>
      </x:c>
      <x:c r="D78" s="27" t="n">
        <x:v>3</x:v>
      </x:c>
      <x:c r="E78" s="27" t="str">
        <x:v>perpetual interface and evidence data right</x:v>
      </x:c>
      <x:c r="F78" s="27" t="n">
        <x:v>1</x:v>
      </x:c>
      <x:c r="G78" s="27" t="n">
        <x:v>0</x:v>
      </x:c>
      <x:c r="H78" s="27" t="str">
        <x:v>interface authority</x:v>
      </x:c>
      <x:c r="I78" s="27" t="str">
        <x:v>OPEN</x:v>
      </x:c>
      <x:c r="J78" s="27" t="n">
        <x:v>0</x:v>
      </x:c>
      <x:c r="K78" s="29" t="str">
        <x:v>shared or undisclosed decisive root</x:v>
      </x:c>
    </x:row>
    <x:row r="79" ht="26" customHeight="1">
      <x:c r="B79" s="27" t="str">
        <x:v>R073</x:v>
      </x:c>
      <x:c r="C79" s="27" t="str">
        <x:v>traveling calibration standards</x:v>
      </x:c>
      <x:c r="D79" s="27" t="n">
        <x:v>2</x:v>
      </x:c>
      <x:c r="E79" s="27" t="str">
        <x:v>complete bill of materials</x:v>
      </x:c>
      <x:c r="F79" s="27" t="n">
        <x:v>1</x:v>
      </x:c>
      <x:c r="G79" s="27" t="n">
        <x:v>0</x:v>
      </x:c>
      <x:c r="H79" s="27" t="str">
        <x:v>national metrology authority</x:v>
      </x:c>
      <x:c r="I79" s="27" t="str">
        <x:v>OPEN</x:v>
      </x:c>
      <x:c r="J79" s="27" t="n">
        <x:v>0</x:v>
      </x:c>
      <x:c r="K79" s="29" t="str">
        <x:v>shared or undisclosed decisive root</x:v>
      </x:c>
    </x:row>
    <x:row r="80" ht="26" customHeight="1">
      <x:c r="B80" s="27" t="str">
        <x:v>R074</x:v>
      </x:c>
      <x:c r="C80" s="27" t="str">
        <x:v>traveling calibration standards</x:v>
      </x:c>
      <x:c r="D80" s="27" t="n">
        <x:v>2</x:v>
      </x:c>
      <x:c r="E80" s="27" t="str">
        <x:v>bill of process and facility identity</x:v>
      </x:c>
      <x:c r="F80" s="27" t="n">
        <x:v>1</x:v>
      </x:c>
      <x:c r="G80" s="27" t="n">
        <x:v>0</x:v>
      </x:c>
      <x:c r="H80" s="27" t="str">
        <x:v>national metrology authority</x:v>
      </x:c>
      <x:c r="I80" s="27" t="str">
        <x:v>OPEN</x:v>
      </x:c>
      <x:c r="J80" s="27" t="n">
        <x:v>0</x:v>
      </x:c>
      <x:c r="K80" s="29" t="str">
        <x:v>shared or undisclosed decisive root</x:v>
      </x:c>
    </x:row>
    <x:row r="81" ht="26" customHeight="1">
      <x:c r="B81" s="27" t="str">
        <x:v>R075</x:v>
      </x:c>
      <x:c r="C81" s="27" t="str">
        <x:v>traveling calibration standards</x:v>
      </x:c>
      <x:c r="D81" s="27" t="n">
        <x:v>2</x:v>
      </x:c>
      <x:c r="E81" s="27" t="str">
        <x:v>firmware source and software bill of materials</x:v>
      </x:c>
      <x:c r="F81" s="27" t="n">
        <x:v>1</x:v>
      </x:c>
      <x:c r="G81" s="27" t="n">
        <x:v>0</x:v>
      </x:c>
      <x:c r="H81" s="27" t="str">
        <x:v>national metrology authority</x:v>
      </x:c>
      <x:c r="I81" s="27" t="str">
        <x:v>OPEN</x:v>
      </x:c>
      <x:c r="J81" s="27" t="n">
        <x:v>0</x:v>
      </x:c>
      <x:c r="K81" s="29" t="str">
        <x:v>shared or undisclosed decisive root</x:v>
      </x:c>
    </x:row>
    <x:row r="82" ht="26" customHeight="1">
      <x:c r="B82" s="27" t="str">
        <x:v>R076</x:v>
      </x:c>
      <x:c r="C82" s="27" t="str">
        <x:v>traveling calibration standards</x:v>
      </x:c>
      <x:c r="D82" s="27" t="n">
        <x:v>2</x:v>
      </x:c>
      <x:c r="E82" s="27" t="str">
        <x:v>ownership and beneficial-control map</x:v>
      </x:c>
      <x:c r="F82" s="27" t="n">
        <x:v>1</x:v>
      </x:c>
      <x:c r="G82" s="27" t="n">
        <x:v>0</x:v>
      </x:c>
      <x:c r="H82" s="27" t="str">
        <x:v>national metrology authority</x:v>
      </x:c>
      <x:c r="I82" s="27" t="str">
        <x:v>OPEN</x:v>
      </x:c>
      <x:c r="J82" s="27" t="n">
        <x:v>0</x:v>
      </x:c>
      <x:c r="K82" s="29" t="str">
        <x:v>shared or undisclosed decisive root</x:v>
      </x:c>
    </x:row>
    <x:row r="83" ht="26" customHeight="1">
      <x:c r="B83" s="27" t="str">
        <x:v>R077</x:v>
      </x:c>
      <x:c r="C83" s="27" t="str">
        <x:v>traveling calibration standards</x:v>
      </x:c>
      <x:c r="D83" s="27" t="n">
        <x:v>2</x:v>
      </x:c>
      <x:c r="E83" s="27" t="str">
        <x:v>calibration genealogy</x:v>
      </x:c>
      <x:c r="F83" s="27" t="n">
        <x:v>1</x:v>
      </x:c>
      <x:c r="G83" s="27" t="n">
        <x:v>0</x:v>
      </x:c>
      <x:c r="H83" s="27" t="str">
        <x:v>national metrology authority</x:v>
      </x:c>
      <x:c r="I83" s="27" t="str">
        <x:v>OPEN</x:v>
      </x:c>
      <x:c r="J83" s="27" t="n">
        <x:v>0</x:v>
      </x:c>
      <x:c r="K83" s="29" t="str">
        <x:v>shared or undisclosed decisive root</x:v>
      </x:c>
    </x:row>
    <x:row r="84" ht="26" customHeight="1">
      <x:c r="B84" s="27" t="str">
        <x:v>R078</x:v>
      </x:c>
      <x:c r="C84" s="27" t="str">
        <x:v>traveling calibration standards</x:v>
      </x:c>
      <x:c r="D84" s="27" t="n">
        <x:v>2</x:v>
      </x:c>
      <x:c r="E84" s="27" t="str">
        <x:v>destructive teardown right</x:v>
      </x:c>
      <x:c r="F84" s="27" t="n">
        <x:v>1</x:v>
      </x:c>
      <x:c r="G84" s="27" t="n">
        <x:v>0</x:v>
      </x:c>
      <x:c r="H84" s="27" t="str">
        <x:v>national metrology authority</x:v>
      </x:c>
      <x:c r="I84" s="27" t="str">
        <x:v>OPEN</x:v>
      </x:c>
      <x:c r="J84" s="27" t="n">
        <x:v>0</x:v>
      </x:c>
      <x:c r="K84" s="29" t="str">
        <x:v>shared or undisclosed decisive root</x:v>
      </x:c>
    </x:row>
    <x:row r="85" ht="26" customHeight="1">
      <x:c r="B85" s="27" t="str">
        <x:v>R079</x:v>
      </x:c>
      <x:c r="C85" s="27" t="str">
        <x:v>traveling calibration standards</x:v>
      </x:c>
      <x:c r="D85" s="27" t="n">
        <x:v>2</x:v>
      </x:c>
      <x:c r="E85" s="27" t="str">
        <x:v>second-team reproduction right</x:v>
      </x:c>
      <x:c r="F85" s="27" t="n">
        <x:v>1</x:v>
      </x:c>
      <x:c r="G85" s="27" t="n">
        <x:v>0</x:v>
      </x:c>
      <x:c r="H85" s="27" t="str">
        <x:v>national metrology authority</x:v>
      </x:c>
      <x:c r="I85" s="27" t="str">
        <x:v>OPEN</x:v>
      </x:c>
      <x:c r="J85" s="27" t="n">
        <x:v>0</x:v>
      </x:c>
      <x:c r="K85" s="29" t="str">
        <x:v>shared or undisclosed decisive root</x:v>
      </x:c>
    </x:row>
    <x:row r="86" ht="26" customHeight="1">
      <x:c r="B86" s="27" t="str">
        <x:v>R080</x:v>
      </x:c>
      <x:c r="C86" s="27" t="str">
        <x:v>traveling calibration standards</x:v>
      </x:c>
      <x:c r="D86" s="27" t="n">
        <x:v>2</x:v>
      </x:c>
      <x:c r="E86" s="27" t="str">
        <x:v>perpetual interface and evidence data right</x:v>
      </x:c>
      <x:c r="F86" s="27" t="n">
        <x:v>1</x:v>
      </x:c>
      <x:c r="G86" s="27" t="n">
        <x:v>0</x:v>
      </x:c>
      <x:c r="H86" s="27" t="str">
        <x:v>national metrology authority</x:v>
      </x:c>
      <x:c r="I86" s="27" t="str">
        <x:v>OPEN</x:v>
      </x:c>
      <x:c r="J86" s="27" t="n">
        <x:v>0</x:v>
      </x:c>
      <x:c r="K86" s="29" t="str">
        <x:v>shared or undisclosed decisive root</x:v>
      </x:c>
    </x:row>
    <x:row r="87" ht="26" customHeight="1">
      <x:c r="B87" s="27" t="str">
        <x:v>R081</x:v>
      </x:c>
      <x:c r="C87" s="27" t="str">
        <x:v>receiver assay chain</x:v>
      </x:c>
      <x:c r="D87" s="27" t="n">
        <x:v>3</x:v>
      </x:c>
      <x:c r="E87" s="27" t="str">
        <x:v>complete bill of materials</x:v>
      </x:c>
      <x:c r="F87" s="27" t="n">
        <x:v>1</x:v>
      </x:c>
      <x:c r="G87" s="27" t="n">
        <x:v>0</x:v>
      </x:c>
      <x:c r="H87" s="27" t="str">
        <x:v>civil health authority</x:v>
      </x:c>
      <x:c r="I87" s="27" t="str">
        <x:v>OPEN</x:v>
      </x:c>
      <x:c r="J87" s="27" t="n">
        <x:v>0</x:v>
      </x:c>
      <x:c r="K87" s="29" t="str">
        <x:v>shared or undisclosed decisive root</x:v>
      </x:c>
    </x:row>
    <x:row r="88" ht="26" customHeight="1">
      <x:c r="B88" s="27" t="str">
        <x:v>R082</x:v>
      </x:c>
      <x:c r="C88" s="27" t="str">
        <x:v>receiver assay chain</x:v>
      </x:c>
      <x:c r="D88" s="27" t="n">
        <x:v>3</x:v>
      </x:c>
      <x:c r="E88" s="27" t="str">
        <x:v>bill of process and facility identity</x:v>
      </x:c>
      <x:c r="F88" s="27" t="n">
        <x:v>1</x:v>
      </x:c>
      <x:c r="G88" s="27" t="n">
        <x:v>0</x:v>
      </x:c>
      <x:c r="H88" s="27" t="str">
        <x:v>civil health authority</x:v>
      </x:c>
      <x:c r="I88" s="27" t="str">
        <x:v>OPEN</x:v>
      </x:c>
      <x:c r="J88" s="27" t="n">
        <x:v>0</x:v>
      </x:c>
      <x:c r="K88" s="29" t="str">
        <x:v>shared or undisclosed decisive root</x:v>
      </x:c>
    </x:row>
    <x:row r="89" ht="26" customHeight="1">
      <x:c r="B89" s="27" t="str">
        <x:v>R083</x:v>
      </x:c>
      <x:c r="C89" s="27" t="str">
        <x:v>receiver assay chain</x:v>
      </x:c>
      <x:c r="D89" s="27" t="n">
        <x:v>3</x:v>
      </x:c>
      <x:c r="E89" s="27" t="str">
        <x:v>firmware source and software bill of materials</x:v>
      </x:c>
      <x:c r="F89" s="27" t="n">
        <x:v>1</x:v>
      </x:c>
      <x:c r="G89" s="27" t="n">
        <x:v>0</x:v>
      </x:c>
      <x:c r="H89" s="27" t="str">
        <x:v>civil health authority</x:v>
      </x:c>
      <x:c r="I89" s="27" t="str">
        <x:v>OPEN</x:v>
      </x:c>
      <x:c r="J89" s="27" t="n">
        <x:v>0</x:v>
      </x:c>
      <x:c r="K89" s="29" t="str">
        <x:v>shared or undisclosed decisive root</x:v>
      </x:c>
    </x:row>
    <x:row r="90" ht="26" customHeight="1">
      <x:c r="B90" s="27" t="str">
        <x:v>R084</x:v>
      </x:c>
      <x:c r="C90" s="27" t="str">
        <x:v>receiver assay chain</x:v>
      </x:c>
      <x:c r="D90" s="27" t="n">
        <x:v>3</x:v>
      </x:c>
      <x:c r="E90" s="27" t="str">
        <x:v>ownership and beneficial-control map</x:v>
      </x:c>
      <x:c r="F90" s="27" t="n">
        <x:v>1</x:v>
      </x:c>
      <x:c r="G90" s="27" t="n">
        <x:v>0</x:v>
      </x:c>
      <x:c r="H90" s="27" t="str">
        <x:v>civil health authority</x:v>
      </x:c>
      <x:c r="I90" s="27" t="str">
        <x:v>OPEN</x:v>
      </x:c>
      <x:c r="J90" s="27" t="n">
        <x:v>0</x:v>
      </x:c>
      <x:c r="K90" s="29" t="str">
        <x:v>shared or undisclosed decisive root</x:v>
      </x:c>
    </x:row>
    <x:row r="91" ht="26" customHeight="1">
      <x:c r="B91" s="27" t="str">
        <x:v>R085</x:v>
      </x:c>
      <x:c r="C91" s="27" t="str">
        <x:v>receiver assay chain</x:v>
      </x:c>
      <x:c r="D91" s="27" t="n">
        <x:v>3</x:v>
      </x:c>
      <x:c r="E91" s="27" t="str">
        <x:v>calibration genealogy</x:v>
      </x:c>
      <x:c r="F91" s="27" t="n">
        <x:v>1</x:v>
      </x:c>
      <x:c r="G91" s="27" t="n">
        <x:v>0</x:v>
      </x:c>
      <x:c r="H91" s="27" t="str">
        <x:v>civil health authority</x:v>
      </x:c>
      <x:c r="I91" s="27" t="str">
        <x:v>OPEN</x:v>
      </x:c>
      <x:c r="J91" s="27" t="n">
        <x:v>0</x:v>
      </x:c>
      <x:c r="K91" s="29" t="str">
        <x:v>shared or undisclosed decisive root</x:v>
      </x:c>
    </x:row>
    <x:row r="92" ht="26" customHeight="1">
      <x:c r="B92" s="27" t="str">
        <x:v>R086</x:v>
      </x:c>
      <x:c r="C92" s="27" t="str">
        <x:v>receiver assay chain</x:v>
      </x:c>
      <x:c r="D92" s="27" t="n">
        <x:v>3</x:v>
      </x:c>
      <x:c r="E92" s="27" t="str">
        <x:v>destructive teardown right</x:v>
      </x:c>
      <x:c r="F92" s="27" t="n">
        <x:v>1</x:v>
      </x:c>
      <x:c r="G92" s="27" t="n">
        <x:v>0</x:v>
      </x:c>
      <x:c r="H92" s="27" t="str">
        <x:v>civil health authority</x:v>
      </x:c>
      <x:c r="I92" s="27" t="str">
        <x:v>OPEN</x:v>
      </x:c>
      <x:c r="J92" s="27" t="n">
        <x:v>0</x:v>
      </x:c>
      <x:c r="K92" s="29" t="str">
        <x:v>shared or undisclosed decisive root</x:v>
      </x:c>
    </x:row>
    <x:row r="93" ht="26" customHeight="1">
      <x:c r="B93" s="27" t="str">
        <x:v>R087</x:v>
      </x:c>
      <x:c r="C93" s="27" t="str">
        <x:v>receiver assay chain</x:v>
      </x:c>
      <x:c r="D93" s="27" t="n">
        <x:v>3</x:v>
      </x:c>
      <x:c r="E93" s="27" t="str">
        <x:v>second-team reproduction right</x:v>
      </x:c>
      <x:c r="F93" s="27" t="n">
        <x:v>1</x:v>
      </x:c>
      <x:c r="G93" s="27" t="n">
        <x:v>0</x:v>
      </x:c>
      <x:c r="H93" s="27" t="str">
        <x:v>civil health authority</x:v>
      </x:c>
      <x:c r="I93" s="27" t="str">
        <x:v>OPEN</x:v>
      </x:c>
      <x:c r="J93" s="27" t="n">
        <x:v>0</x:v>
      </x:c>
      <x:c r="K93" s="29" t="str">
        <x:v>shared or undisclosed decisive root</x:v>
      </x:c>
    </x:row>
    <x:row r="94" ht="26" customHeight="1">
      <x:c r="B94" s="27" t="str">
        <x:v>R088</x:v>
      </x:c>
      <x:c r="C94" s="27" t="str">
        <x:v>receiver assay chain</x:v>
      </x:c>
      <x:c r="D94" s="27" t="n">
        <x:v>3</x:v>
      </x:c>
      <x:c r="E94" s="27" t="str">
        <x:v>perpetual interface and evidence data right</x:v>
      </x:c>
      <x:c r="F94" s="27" t="n">
        <x:v>1</x:v>
      </x:c>
      <x:c r="G94" s="27" t="n">
        <x:v>0</x:v>
      </x:c>
      <x:c r="H94" s="27" t="str">
        <x:v>civil health authority</x:v>
      </x:c>
      <x:c r="I94" s="27" t="str">
        <x:v>OPEN</x:v>
      </x:c>
      <x:c r="J94" s="27" t="n">
        <x:v>0</x:v>
      </x:c>
      <x:c r="K94" s="29" t="str">
        <x:v>shared or undisclosed decisive root</x:v>
      </x:c>
    </x:row>
    <x:row r="95" ht="26" customHeight="1">
      <x:c r="B95" s="27" t="str">
        <x:v>R089</x:v>
      </x:c>
      <x:c r="C95" s="27" t="str">
        <x:v>thermal containment</x:v>
      </x:c>
      <x:c r="D95" s="27" t="n">
        <x:v>3</x:v>
      </x:c>
      <x:c r="E95" s="27" t="str">
        <x:v>complete bill of materials</x:v>
      </x:c>
      <x:c r="F95" s="27" t="n">
        <x:v>1</x:v>
      </x:c>
      <x:c r="G95" s="27" t="n">
        <x:v>0</x:v>
      </x:c>
      <x:c r="H95" s="27" t="str">
        <x:v>energy safety authority</x:v>
      </x:c>
      <x:c r="I95" s="27" t="str">
        <x:v>OPEN</x:v>
      </x:c>
      <x:c r="J95" s="27" t="n">
        <x:v>0</x:v>
      </x:c>
      <x:c r="K95" s="29" t="str">
        <x:v>shared or undisclosed decisive root</x:v>
      </x:c>
    </x:row>
    <x:row r="96" ht="26" customHeight="1">
      <x:c r="B96" s="27" t="str">
        <x:v>R090</x:v>
      </x:c>
      <x:c r="C96" s="27" t="str">
        <x:v>thermal containment</x:v>
      </x:c>
      <x:c r="D96" s="27" t="n">
        <x:v>3</x:v>
      </x:c>
      <x:c r="E96" s="27" t="str">
        <x:v>bill of process and facility identity</x:v>
      </x:c>
      <x:c r="F96" s="27" t="n">
        <x:v>1</x:v>
      </x:c>
      <x:c r="G96" s="27" t="n">
        <x:v>0</x:v>
      </x:c>
      <x:c r="H96" s="27" t="str">
        <x:v>energy safety authority</x:v>
      </x:c>
      <x:c r="I96" s="27" t="str">
        <x:v>OPEN</x:v>
      </x:c>
      <x:c r="J96" s="27" t="n">
        <x:v>0</x:v>
      </x:c>
      <x:c r="K96" s="29" t="str">
        <x:v>shared or undisclosed decisive root</x:v>
      </x:c>
    </x:row>
    <x:row r="97" ht="26" customHeight="1">
      <x:c r="B97" s="27" t="str">
        <x:v>R091</x:v>
      </x:c>
      <x:c r="C97" s="27" t="str">
        <x:v>thermal containment</x:v>
      </x:c>
      <x:c r="D97" s="27" t="n">
        <x:v>3</x:v>
      </x:c>
      <x:c r="E97" s="27" t="str">
        <x:v>firmware source and software bill of materials</x:v>
      </x:c>
      <x:c r="F97" s="27" t="n">
        <x:v>1</x:v>
      </x:c>
      <x:c r="G97" s="27" t="n">
        <x:v>0</x:v>
      </x:c>
      <x:c r="H97" s="27" t="str">
        <x:v>energy safety authority</x:v>
      </x:c>
      <x:c r="I97" s="27" t="str">
        <x:v>OPEN</x:v>
      </x:c>
      <x:c r="J97" s="27" t="n">
        <x:v>0</x:v>
      </x:c>
      <x:c r="K97" s="29" t="str">
        <x:v>shared or undisclosed decisive root</x:v>
      </x:c>
    </x:row>
    <x:row r="98" ht="26" customHeight="1">
      <x:c r="B98" s="27" t="str">
        <x:v>R092</x:v>
      </x:c>
      <x:c r="C98" s="27" t="str">
        <x:v>thermal containment</x:v>
      </x:c>
      <x:c r="D98" s="27" t="n">
        <x:v>3</x:v>
      </x:c>
      <x:c r="E98" s="27" t="str">
        <x:v>ownership and beneficial-control map</x:v>
      </x:c>
      <x:c r="F98" s="27" t="n">
        <x:v>1</x:v>
      </x:c>
      <x:c r="G98" s="27" t="n">
        <x:v>0</x:v>
      </x:c>
      <x:c r="H98" s="27" t="str">
        <x:v>energy safety authority</x:v>
      </x:c>
      <x:c r="I98" s="27" t="str">
        <x:v>OPEN</x:v>
      </x:c>
      <x:c r="J98" s="27" t="n">
        <x:v>0</x:v>
      </x:c>
      <x:c r="K98" s="29" t="str">
        <x:v>shared or undisclosed decisive root</x:v>
      </x:c>
    </x:row>
    <x:row r="99" ht="26" customHeight="1">
      <x:c r="B99" s="27" t="str">
        <x:v>R093</x:v>
      </x:c>
      <x:c r="C99" s="27" t="str">
        <x:v>thermal containment</x:v>
      </x:c>
      <x:c r="D99" s="27" t="n">
        <x:v>3</x:v>
      </x:c>
      <x:c r="E99" s="27" t="str">
        <x:v>calibration genealogy</x:v>
      </x:c>
      <x:c r="F99" s="27" t="n">
        <x:v>1</x:v>
      </x:c>
      <x:c r="G99" s="27" t="n">
        <x:v>0</x:v>
      </x:c>
      <x:c r="H99" s="27" t="str">
        <x:v>energy safety authority</x:v>
      </x:c>
      <x:c r="I99" s="27" t="str">
        <x:v>OPEN</x:v>
      </x:c>
      <x:c r="J99" s="27" t="n">
        <x:v>0</x:v>
      </x:c>
      <x:c r="K99" s="29" t="str">
        <x:v>shared or undisclosed decisive root</x:v>
      </x:c>
    </x:row>
    <x:row r="100" ht="26" customHeight="1">
      <x:c r="B100" s="27" t="str">
        <x:v>R094</x:v>
      </x:c>
      <x:c r="C100" s="27" t="str">
        <x:v>thermal containment</x:v>
      </x:c>
      <x:c r="D100" s="27" t="n">
        <x:v>3</x:v>
      </x:c>
      <x:c r="E100" s="27" t="str">
        <x:v>destructive teardown right</x:v>
      </x:c>
      <x:c r="F100" s="27" t="n">
        <x:v>1</x:v>
      </x:c>
      <x:c r="G100" s="27" t="n">
        <x:v>0</x:v>
      </x:c>
      <x:c r="H100" s="27" t="str">
        <x:v>energy safety authority</x:v>
      </x:c>
      <x:c r="I100" s="27" t="str">
        <x:v>OPEN</x:v>
      </x:c>
      <x:c r="J100" s="27" t="n">
        <x:v>0</x:v>
      </x:c>
      <x:c r="K100" s="29" t="str">
        <x:v>shared or undisclosed decisive root</x:v>
      </x:c>
    </x:row>
    <x:row r="101" ht="26" customHeight="1">
      <x:c r="B101" s="27" t="str">
        <x:v>R095</x:v>
      </x:c>
      <x:c r="C101" s="27" t="str">
        <x:v>thermal containment</x:v>
      </x:c>
      <x:c r="D101" s="27" t="n">
        <x:v>3</x:v>
      </x:c>
      <x:c r="E101" s="27" t="str">
        <x:v>second-team reproduction right</x:v>
      </x:c>
      <x:c r="F101" s="27" t="n">
        <x:v>1</x:v>
      </x:c>
      <x:c r="G101" s="27" t="n">
        <x:v>0</x:v>
      </x:c>
      <x:c r="H101" s="27" t="str">
        <x:v>energy safety authority</x:v>
      </x:c>
      <x:c r="I101" s="27" t="str">
        <x:v>OPEN</x:v>
      </x:c>
      <x:c r="J101" s="27" t="n">
        <x:v>0</x:v>
      </x:c>
      <x:c r="K101" s="29" t="str">
        <x:v>shared or undisclosed decisive root</x:v>
      </x:c>
    </x:row>
    <x:row r="102" ht="26" customHeight="1">
      <x:c r="B102" s="31" t="str">
        <x:v>R096</x:v>
      </x:c>
      <x:c r="C102" s="31" t="str">
        <x:v>thermal containment</x:v>
      </x:c>
      <x:c r="D102" s="31" t="n">
        <x:v>3</x:v>
      </x:c>
      <x:c r="E102" s="31" t="str">
        <x:v>perpetual interface and evidence data right</x:v>
      </x:c>
      <x:c r="F102" s="31" t="n">
        <x:v>1</x:v>
      </x:c>
      <x:c r="G102" s="31" t="n">
        <x:v>0</x:v>
      </x:c>
      <x:c r="H102" s="31" t="str">
        <x:v>energy safety authority</x:v>
      </x:c>
      <x:c r="I102" s="31" t="str">
        <x:v>OPEN</x:v>
      </x:c>
      <x:c r="J102" s="31" t="n">
        <x:v>0</x:v>
      </x:c>
      <x:c r="K102" s="33" t="str">
        <x:v>shared or undisclosed decisive root</x:v>
      </x:c>
    </x:row>
    <x:row r="103" ht="18" customHeight="1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 ht="18" customHeight="1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 ht="18" customHeight="1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 ht="18" customHeight="1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</x:sheetData>
  <x:mergeCells>
    <x:mergeCell ref="B3:K3"/>
  </x:mergeCells>
  <x:conditionalFormatting sqref="I7:I102">
    <x:cfRule type="containsText" dxfId="35" priority="1" operator="containsText" text="OPEN"/>
    <x:cfRule type="containsText" dxfId="36" priority="2" operator="containsText" text="HOLD"/>
    <x:cfRule type="containsText" dxfId="37" priority="3" operator="containsText" text="BLOCKED"/>
    <x:cfRule type="containsText" dxfId="38" priority="4" operator="containsText" text="DRAFT"/>
    <x:cfRule type="containsText" dxfId="39" priority="5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7" hidden="0" customWidth="1"/>
    <x:col min="3" max="3" width="14" hidden="0" customWidth="1"/>
    <x:col min="4" max="4" width="25" hidden="0" customWidth="1"/>
    <x:col min="5" max="5" width="31" hidden="0" customWidth="1"/>
    <x:col min="6" max="6" width="13" hidden="0" customWidth="1"/>
    <x:col min="7" max="7" width="18" hidden="0" customWidth="1"/>
    <x:col min="8" max="8" width="18" hidden="0" customWidth="1"/>
    <x:col min="9" max="9" width="15" hidden="0" customWidth="1"/>
    <x:col min="10" max="10" width="16" hidden="0" customWidth="1"/>
    <x:col min="11" max="11" width="16" hidden="0" customWidth="1"/>
    <x:col min="12" max="12" width="21" hidden="0" customWidth="1"/>
    <x:col min="13" max="13" width="13" hidden="0" customWidth="1"/>
    <x:col min="14" max="14" width="18" hidden="0" customWidth="1"/>
  </x:cols>
  <x:sheetData>
    <x:row r="2" ht="18" customHeight="1">
      <x:c r="B2" s="3" t="str">
        <x:v>Serial article lots and custody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" customHeight="1">
      <x:c r="B3" s="4" t="str">
        <x:v>Engineering, qualification/destructive and campaign/protected stocks are separate physical populations with independent release dates.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8" customHeight="1">
      <x:c r="B6" s="25" t="str">
        <x:v>Lot</x:v>
      </x:c>
      <x:c r="C6" s="26" t="str">
        <x:v>Family</x:v>
      </x:c>
      <x:c r="D6" s="26" t="str">
        <x:v>Subsystem</x:v>
      </x:c>
      <x:c r="E6" s="26" t="str">
        <x:v>Purpose</x:v>
      </x:c>
      <x:c r="F6" s="26" t="str">
        <x:v>Quantity</x:v>
      </x:c>
      <x:c r="G6" s="26" t="str">
        <x:v>Unit cost USD M</x:v>
      </x:c>
      <x:c r="H6" s="26" t="str">
        <x:v>Extended USD B</x:v>
      </x:c>
      <x:c r="I6" s="26" t="str">
        <x:v>Release month</x:v>
      </x:c>
      <x:c r="J6" s="26" t="str">
        <x:v>Required month</x:v>
      </x:c>
      <x:c r="K6" s="26" t="str">
        <x:v>Schedule margin</x:v>
      </x:c>
      <x:c r="L6" s="26" t="str">
        <x:v>Custody class</x:v>
      </x:c>
      <x:c r="M6" s="26" t="str">
        <x:v>Evidence</x:v>
      </x:c>
      <x:c r="N6" s="26" t="str">
        <x:v>Article count control</x:v>
      </x:c>
    </x:row>
    <x:row r="7" ht="18" customHeight="1">
      <x:c r="B7" s="27" t="str">
        <x:v>ATC-A01-E</x:v>
      </x:c>
      <x:c r="C7" s="27" t="str">
        <x:v>ATC-A01</x:v>
      </x:c>
      <x:c r="D7" s="27" t="str">
        <x:v>Air tile cassette</x:v>
      </x:c>
      <x:c r="E7" s="27" t="str">
        <x:v>engineering</x:v>
      </x:c>
      <x:c r="F7" s="27" t="n">
        <x:v>6</x:v>
      </x:c>
      <x:c r="G7" s="35" t="n">
        <x:v>4</x:v>
      </x:c>
      <x:c r="H7" s="35" t="n">
        <x:f>F7*G7/1000</x:f>
        <x:v>0.024</x:v>
      </x:c>
      <x:c r="I7" s="35" t="n">
        <x:v>18</x:v>
      </x:c>
      <x:c r="J7" s="35" t="n">
        <x:v>19</x:v>
      </x:c>
      <x:c r="K7" s="35" t="n">
        <x:f>J7-I7</x:f>
        <x:v>1</x:v>
      </x:c>
      <x:c r="L7" s="27" t="str">
        <x:v>controlled</x:v>
      </x:c>
      <x:c r="M7" s="27" t="str">
        <x:v>OPEN</x:v>
      </x:c>
      <x:c r="N7" s="29" t="n">
        <x:v>0</x:v>
      </x:c>
    </x:row>
    <x:row r="8" ht="18" customHeight="1">
      <x:c r="B8" s="27" t="str">
        <x:v>ATC-A01-Q</x:v>
      </x:c>
      <x:c r="C8" s="27" t="str">
        <x:v>ATC-A01</x:v>
      </x:c>
      <x:c r="D8" s="27" t="str">
        <x:v>Air tile cassette</x:v>
      </x:c>
      <x:c r="E8" s="27" t="str">
        <x:v>qualification and destructive</x:v>
      </x:c>
      <x:c r="F8" s="27" t="n">
        <x:v>12</x:v>
      </x:c>
      <x:c r="G8" s="35" t="n">
        <x:v>4</x:v>
      </x:c>
      <x:c r="H8" s="35" t="n">
        <x:f>F8*G8/1000</x:f>
        <x:v>0.048</x:v>
      </x:c>
      <x:c r="I8" s="35" t="n">
        <x:v>24</x:v>
      </x:c>
      <x:c r="J8" s="35" t="n">
        <x:v>25</x:v>
      </x:c>
      <x:c r="K8" s="35" t="n">
        <x:f>J8-I8</x:f>
        <x:v>1</x:v>
      </x:c>
      <x:c r="L8" s="27" t="str">
        <x:v>protected/destructive</x:v>
      </x:c>
      <x:c r="M8" s="27" t="str">
        <x:v>OPEN</x:v>
      </x:c>
      <x:c r="N8" s="29" t="n">
        <x:v>0</x:v>
      </x:c>
    </x:row>
    <x:row r="9" ht="18" customHeight="1">
      <x:c r="B9" s="27" t="str">
        <x:v>ATC-A01-C</x:v>
      </x:c>
      <x:c r="C9" s="27" t="str">
        <x:v>ATC-A01</x:v>
      </x:c>
      <x:c r="D9" s="27" t="str">
        <x:v>Air tile cassette</x:v>
      </x:c>
      <x:c r="E9" s="27" t="str">
        <x:v>campaign and protected reserve</x:v>
      </x:c>
      <x:c r="F9" s="27" t="n">
        <x:v>18</x:v>
      </x:c>
      <x:c r="G9" s="35" t="n">
        <x:v>4</x:v>
      </x:c>
      <x:c r="H9" s="35" t="n">
        <x:f>F9*G9/1000</x:f>
        <x:v>0.072</x:v>
      </x:c>
      <x:c r="I9" s="35" t="n">
        <x:v>30</x:v>
      </x:c>
      <x:c r="J9" s="35" t="n">
        <x:v>31</x:v>
      </x:c>
      <x:c r="K9" s="35" t="n">
        <x:f>J9-I9</x:f>
        <x:v>1</x:v>
      </x:c>
      <x:c r="L9" s="27" t="str">
        <x:v>protected/destructive</x:v>
      </x:c>
      <x:c r="M9" s="27" t="str">
        <x:v>OPEN</x:v>
      </x:c>
      <x:c r="N9" s="29" t="n">
        <x:v>0</x:v>
      </x:c>
    </x:row>
    <x:row r="10" ht="18" customHeight="1">
      <x:c r="B10" s="27" t="str">
        <x:v>TTC-T01-E</x:v>
      </x:c>
      <x:c r="C10" s="27" t="str">
        <x:v>TTC-T01</x:v>
      </x:c>
      <x:c r="D10" s="27" t="str">
        <x:v>Terrain tile cassette</x:v>
      </x:c>
      <x:c r="E10" s="27" t="str">
        <x:v>engineering</x:v>
      </x:c>
      <x:c r="F10" s="27" t="n">
        <x:v>6</x:v>
      </x:c>
      <x:c r="G10" s="35" t="n">
        <x:v>5</x:v>
      </x:c>
      <x:c r="H10" s="35" t="n">
        <x:f>F10*G10/1000</x:f>
        <x:v>0.03</x:v>
      </x:c>
      <x:c r="I10" s="35" t="n">
        <x:v>18</x:v>
      </x:c>
      <x:c r="J10" s="35" t="n">
        <x:v>19</x:v>
      </x:c>
      <x:c r="K10" s="35" t="n">
        <x:f>J10-I10</x:f>
        <x:v>1</x:v>
      </x:c>
      <x:c r="L10" s="27" t="str">
        <x:v>controlled</x:v>
      </x:c>
      <x:c r="M10" s="27" t="str">
        <x:v>OPEN</x:v>
      </x:c>
      <x:c r="N10" s="29" t="n">
        <x:v>0</x:v>
      </x:c>
    </x:row>
    <x:row r="11" ht="18" customHeight="1">
      <x:c r="B11" s="27" t="str">
        <x:v>TTC-T01-Q</x:v>
      </x:c>
      <x:c r="C11" s="27" t="str">
        <x:v>TTC-T01</x:v>
      </x:c>
      <x:c r="D11" s="27" t="str">
        <x:v>Terrain tile cassette</x:v>
      </x:c>
      <x:c r="E11" s="27" t="str">
        <x:v>qualification and destructive</x:v>
      </x:c>
      <x:c r="F11" s="27" t="n">
        <x:v>12</x:v>
      </x:c>
      <x:c r="G11" s="35" t="n">
        <x:v>5</x:v>
      </x:c>
      <x:c r="H11" s="35" t="n">
        <x:f>F11*G11/1000</x:f>
        <x:v>0.06</x:v>
      </x:c>
      <x:c r="I11" s="35" t="n">
        <x:v>24</x:v>
      </x:c>
      <x:c r="J11" s="35" t="n">
        <x:v>25</x:v>
      </x:c>
      <x:c r="K11" s="35" t="n">
        <x:f>J11-I11</x:f>
        <x:v>1</x:v>
      </x:c>
      <x:c r="L11" s="27" t="str">
        <x:v>protected/destructive</x:v>
      </x:c>
      <x:c r="M11" s="27" t="str">
        <x:v>OPEN</x:v>
      </x:c>
      <x:c r="N11" s="29" t="n">
        <x:v>0</x:v>
      </x:c>
    </x:row>
    <x:row r="12" ht="18" customHeight="1">
      <x:c r="B12" s="27" t="str">
        <x:v>TTC-T01-C</x:v>
      </x:c>
      <x:c r="C12" s="27" t="str">
        <x:v>TTC-T01</x:v>
      </x:c>
      <x:c r="D12" s="27" t="str">
        <x:v>Terrain tile cassette</x:v>
      </x:c>
      <x:c r="E12" s="27" t="str">
        <x:v>campaign and protected reserve</x:v>
      </x:c>
      <x:c r="F12" s="27" t="n">
        <x:v>18</x:v>
      </x:c>
      <x:c r="G12" s="35" t="n">
        <x:v>5</x:v>
      </x:c>
      <x:c r="H12" s="35" t="n">
        <x:f>F12*G12/1000</x:f>
        <x:v>0.09</x:v>
      </x:c>
      <x:c r="I12" s="35" t="n">
        <x:v>30</x:v>
      </x:c>
      <x:c r="J12" s="35" t="n">
        <x:v>31</x:v>
      </x:c>
      <x:c r="K12" s="35" t="n">
        <x:f>J12-I12</x:f>
        <x:v>1</x:v>
      </x:c>
      <x:c r="L12" s="27" t="str">
        <x:v>protected/destructive</x:v>
      </x:c>
      <x:c r="M12" s="27" t="str">
        <x:v>OPEN</x:v>
      </x:c>
      <x:c r="N12" s="29" t="n">
        <x:v>0</x:v>
      </x:c>
    </x:row>
    <x:row r="13" ht="18" customHeight="1">
      <x:c r="B13" s="27" t="str">
        <x:v>ACN-A01-E</x:v>
      </x:c>
      <x:c r="C13" s="27" t="str">
        <x:v>ACN-A01</x:v>
      </x:c>
      <x:c r="D13" s="27" t="str">
        <x:v>Air carrier node</x:v>
      </x:c>
      <x:c r="E13" s="27" t="str">
        <x:v>engineering</x:v>
      </x:c>
      <x:c r="F13" s="27" t="n">
        <x:v>2</x:v>
      </x:c>
      <x:c r="G13" s="35" t="n">
        <x:v>25</x:v>
      </x:c>
      <x:c r="H13" s="35" t="n">
        <x:f>F13*G13/1000</x:f>
        <x:v>0.05</x:v>
      </x:c>
      <x:c r="I13" s="35" t="n">
        <x:v>30</x:v>
      </x:c>
      <x:c r="J13" s="35" t="n">
        <x:v>31</x:v>
      </x:c>
      <x:c r="K13" s="35" t="n">
        <x:f>J13-I13</x:f>
        <x:v>1</x:v>
      </x:c>
      <x:c r="L13" s="27" t="str">
        <x:v>controlled</x:v>
      </x:c>
      <x:c r="M13" s="27" t="str">
        <x:v>OPEN</x:v>
      </x:c>
      <x:c r="N13" s="29" t="n">
        <x:v>0</x:v>
      </x:c>
    </x:row>
    <x:row r="14" ht="18" customHeight="1">
      <x:c r="B14" s="27" t="str">
        <x:v>ACN-A01-Q</x:v>
      </x:c>
      <x:c r="C14" s="27" t="str">
        <x:v>ACN-A01</x:v>
      </x:c>
      <x:c r="D14" s="27" t="str">
        <x:v>Air carrier node</x:v>
      </x:c>
      <x:c r="E14" s="27" t="str">
        <x:v>qualification and destructive</x:v>
      </x:c>
      <x:c r="F14" s="27" t="n">
        <x:v>2</x:v>
      </x:c>
      <x:c r="G14" s="35" t="n">
        <x:v>25</x:v>
      </x:c>
      <x:c r="H14" s="35" t="n">
        <x:f>F14*G14/1000</x:f>
        <x:v>0.05</x:v>
      </x:c>
      <x:c r="I14" s="35" t="n">
        <x:v>36</x:v>
      </x:c>
      <x:c r="J14" s="35" t="n">
        <x:v>37</x:v>
      </x:c>
      <x:c r="K14" s="35" t="n">
        <x:f>J14-I14</x:f>
        <x:v>1</x:v>
      </x:c>
      <x:c r="L14" s="27" t="str">
        <x:v>protected/destructive</x:v>
      </x:c>
      <x:c r="M14" s="27" t="str">
        <x:v>OPEN</x:v>
      </x:c>
      <x:c r="N14" s="29" t="n">
        <x:v>0</x:v>
      </x:c>
    </x:row>
    <x:row r="15" ht="18" customHeight="1">
      <x:c r="B15" s="27" t="str">
        <x:v>ACN-A01-C</x:v>
      </x:c>
      <x:c r="C15" s="27" t="str">
        <x:v>ACN-A01</x:v>
      </x:c>
      <x:c r="D15" s="27" t="str">
        <x:v>Air carrier node</x:v>
      </x:c>
      <x:c r="E15" s="27" t="str">
        <x:v>campaign and protected reserve</x:v>
      </x:c>
      <x:c r="F15" s="27" t="n">
        <x:v>4</x:v>
      </x:c>
      <x:c r="G15" s="35" t="n">
        <x:v>25</x:v>
      </x:c>
      <x:c r="H15" s="35" t="n">
        <x:f>F15*G15/1000</x:f>
        <x:v>0.1</x:v>
      </x:c>
      <x:c r="I15" s="35" t="n">
        <x:v>42</x:v>
      </x:c>
      <x:c r="J15" s="35" t="n">
        <x:v>43</x:v>
      </x:c>
      <x:c r="K15" s="35" t="n">
        <x:f>J15-I15</x:f>
        <x:v>1</x:v>
      </x:c>
      <x:c r="L15" s="27" t="str">
        <x:v>protected/destructive</x:v>
      </x:c>
      <x:c r="M15" s="27" t="str">
        <x:v>OPEN</x:v>
      </x:c>
      <x:c r="N15" s="29" t="n">
        <x:v>0</x:v>
      </x:c>
    </x:row>
    <x:row r="16" ht="18" customHeight="1">
      <x:c r="B16" s="27" t="str">
        <x:v>TCN-T01-E</x:v>
      </x:c>
      <x:c r="C16" s="27" t="str">
        <x:v>TCN-T01</x:v>
      </x:c>
      <x:c r="D16" s="27" t="str">
        <x:v>Terrain carrier node</x:v>
      </x:c>
      <x:c r="E16" s="27" t="str">
        <x:v>engineering</x:v>
      </x:c>
      <x:c r="F16" s="27" t="n">
        <x:v>2</x:v>
      </x:c>
      <x:c r="G16" s="35" t="n">
        <x:v>45</x:v>
      </x:c>
      <x:c r="H16" s="35" t="n">
        <x:f>F16*G16/1000</x:f>
        <x:v>0.09</x:v>
      </x:c>
      <x:c r="I16" s="35" t="n">
        <x:v>30</x:v>
      </x:c>
      <x:c r="J16" s="35" t="n">
        <x:v>31</x:v>
      </x:c>
      <x:c r="K16" s="35" t="n">
        <x:f>J16-I16</x:f>
        <x:v>1</x:v>
      </x:c>
      <x:c r="L16" s="27" t="str">
        <x:v>controlled</x:v>
      </x:c>
      <x:c r="M16" s="27" t="str">
        <x:v>OPEN</x:v>
      </x:c>
      <x:c r="N16" s="29" t="n">
        <x:v>0</x:v>
      </x:c>
    </x:row>
    <x:row r="17" ht="18" customHeight="1">
      <x:c r="B17" s="27" t="str">
        <x:v>TCN-T01-Q</x:v>
      </x:c>
      <x:c r="C17" s="27" t="str">
        <x:v>TCN-T01</x:v>
      </x:c>
      <x:c r="D17" s="27" t="str">
        <x:v>Terrain carrier node</x:v>
      </x:c>
      <x:c r="E17" s="27" t="str">
        <x:v>qualification and destructive</x:v>
      </x:c>
      <x:c r="F17" s="27" t="n">
        <x:v>3</x:v>
      </x:c>
      <x:c r="G17" s="35" t="n">
        <x:v>45</x:v>
      </x:c>
      <x:c r="H17" s="35" t="n">
        <x:f>F17*G17/1000</x:f>
        <x:v>0.135</x:v>
      </x:c>
      <x:c r="I17" s="35" t="n">
        <x:v>36</x:v>
      </x:c>
      <x:c r="J17" s="35" t="n">
        <x:v>37</x:v>
      </x:c>
      <x:c r="K17" s="35" t="n">
        <x:f>J17-I17</x:f>
        <x:v>1</x:v>
      </x:c>
      <x:c r="L17" s="27" t="str">
        <x:v>protected/destructive</x:v>
      </x:c>
      <x:c r="M17" s="27" t="str">
        <x:v>OPEN</x:v>
      </x:c>
      <x:c r="N17" s="29" t="n">
        <x:v>0</x:v>
      </x:c>
    </x:row>
    <x:row r="18" ht="18" customHeight="1">
      <x:c r="B18" s="27" t="str">
        <x:v>TCN-T01-C</x:v>
      </x:c>
      <x:c r="C18" s="27" t="str">
        <x:v>TCN-T01</x:v>
      </x:c>
      <x:c r="D18" s="27" t="str">
        <x:v>Terrain carrier node</x:v>
      </x:c>
      <x:c r="E18" s="27" t="str">
        <x:v>campaign and protected reserve</x:v>
      </x:c>
      <x:c r="F18" s="27" t="n">
        <x:v>5</x:v>
      </x:c>
      <x:c r="G18" s="35" t="n">
        <x:v>45</x:v>
      </x:c>
      <x:c r="H18" s="35" t="n">
        <x:f>F18*G18/1000</x:f>
        <x:v>0.225</x:v>
      </x:c>
      <x:c r="I18" s="35" t="n">
        <x:v>42</x:v>
      </x:c>
      <x:c r="J18" s="35" t="n">
        <x:v>43</x:v>
      </x:c>
      <x:c r="K18" s="35" t="n">
        <x:f>J18-I18</x:f>
        <x:v>1</x:v>
      </x:c>
      <x:c r="L18" s="27" t="str">
        <x:v>protected/destructive</x:v>
      </x:c>
      <x:c r="M18" s="27" t="str">
        <x:v>OPEN</x:v>
      </x:c>
      <x:c r="N18" s="29" t="n">
        <x:v>0</x:v>
      </x:c>
    </x:row>
    <x:row r="19" ht="18" customHeight="1">
      <x:c r="B19" s="27" t="str">
        <x:v>CRS-R01-E</x:v>
      </x:c>
      <x:c r="C19" s="27" t="str">
        <x:v>CRS-R01</x:v>
      </x:c>
      <x:c r="D19" s="27" t="str">
        <x:v>Civil receiver</x:v>
      </x:c>
      <x:c r="E19" s="27" t="str">
        <x:v>engineering</x:v>
      </x:c>
      <x:c r="F19" s="27" t="n">
        <x:v>2</x:v>
      </x:c>
      <x:c r="G19" s="35" t="n">
        <x:v>35</x:v>
      </x:c>
      <x:c r="H19" s="35" t="n">
        <x:f>F19*G19/1000</x:f>
        <x:v>0.07</x:v>
      </x:c>
      <x:c r="I19" s="35" t="n">
        <x:v>36</x:v>
      </x:c>
      <x:c r="J19" s="35" t="n">
        <x:v>37</x:v>
      </x:c>
      <x:c r="K19" s="35" t="n">
        <x:f>J19-I19</x:f>
        <x:v>1</x:v>
      </x:c>
      <x:c r="L19" s="27" t="str">
        <x:v>controlled</x:v>
      </x:c>
      <x:c r="M19" s="27" t="str">
        <x:v>OPEN</x:v>
      </x:c>
      <x:c r="N19" s="29" t="n">
        <x:v>0</x:v>
      </x:c>
    </x:row>
    <x:row r="20" ht="18" customHeight="1">
      <x:c r="B20" s="27" t="str">
        <x:v>CRS-R01-Q</x:v>
      </x:c>
      <x:c r="C20" s="27" t="str">
        <x:v>CRS-R01</x:v>
      </x:c>
      <x:c r="D20" s="27" t="str">
        <x:v>Civil receiver</x:v>
      </x:c>
      <x:c r="E20" s="27" t="str">
        <x:v>qualification and destructive</x:v>
      </x:c>
      <x:c r="F20" s="27" t="n">
        <x:v>2</x:v>
      </x:c>
      <x:c r="G20" s="35" t="n">
        <x:v>35</x:v>
      </x:c>
      <x:c r="H20" s="35" t="n">
        <x:f>F20*G20/1000</x:f>
        <x:v>0.07</x:v>
      </x:c>
      <x:c r="I20" s="35" t="n">
        <x:v>42</x:v>
      </x:c>
      <x:c r="J20" s="35" t="n">
        <x:v>43</x:v>
      </x:c>
      <x:c r="K20" s="35" t="n">
        <x:f>J20-I20</x:f>
        <x:v>1</x:v>
      </x:c>
      <x:c r="L20" s="27" t="str">
        <x:v>protected/destructive</x:v>
      </x:c>
      <x:c r="M20" s="27" t="str">
        <x:v>OPEN</x:v>
      </x:c>
      <x:c r="N20" s="29" t="n">
        <x:v>0</x:v>
      </x:c>
    </x:row>
    <x:row r="21" ht="18" customHeight="1">
      <x:c r="B21" s="27" t="str">
        <x:v>CRS-R01-C</x:v>
      </x:c>
      <x:c r="C21" s="27" t="str">
        <x:v>CRS-R01</x:v>
      </x:c>
      <x:c r="D21" s="27" t="str">
        <x:v>Civil receiver</x:v>
      </x:c>
      <x:c r="E21" s="27" t="str">
        <x:v>campaign and protected reserve</x:v>
      </x:c>
      <x:c r="F21" s="27" t="n">
        <x:v>4</x:v>
      </x:c>
      <x:c r="G21" s="35" t="n">
        <x:v>35</x:v>
      </x:c>
      <x:c r="H21" s="35" t="n">
        <x:f>F21*G21/1000</x:f>
        <x:v>0.14</x:v>
      </x:c>
      <x:c r="I21" s="35" t="n">
        <x:v>48</x:v>
      </x:c>
      <x:c r="J21" s="35" t="n">
        <x:v>49</x:v>
      </x:c>
      <x:c r="K21" s="35" t="n">
        <x:f>J21-I21</x:f>
        <x:v>1</x:v>
      </x:c>
      <x:c r="L21" s="27" t="str">
        <x:v>protected/destructive</x:v>
      </x:c>
      <x:c r="M21" s="27" t="str">
        <x:v>OPEN</x:v>
      </x:c>
      <x:c r="N21" s="29" t="n">
        <x:v>0</x:v>
      </x:c>
    </x:row>
    <x:row r="22" ht="18" customHeight="1">
      <x:c r="B22" s="27" t="str">
        <x:v>PSS-T01-E</x:v>
      </x:c>
      <x:c r="C22" s="27" t="str">
        <x:v>PSS-T01</x:v>
      </x:c>
      <x:c r="D22" s="27" t="str">
        <x:v>Pressure skin</x:v>
      </x:c>
      <x:c r="E22" s="27" t="str">
        <x:v>engineering</x:v>
      </x:c>
      <x:c r="F22" s="27" t="n">
        <x:v>4</x:v>
      </x:c>
      <x:c r="G22" s="35" t="n">
        <x:v>20</x:v>
      </x:c>
      <x:c r="H22" s="35" t="n">
        <x:f>F22*G22/1000</x:f>
        <x:v>0.08</x:v>
      </x:c>
      <x:c r="I22" s="35" t="n">
        <x:v>30</x:v>
      </x:c>
      <x:c r="J22" s="35" t="n">
        <x:v>31</x:v>
      </x:c>
      <x:c r="K22" s="35" t="n">
        <x:f>J22-I22</x:f>
        <x:v>1</x:v>
      </x:c>
      <x:c r="L22" s="27" t="str">
        <x:v>controlled</x:v>
      </x:c>
      <x:c r="M22" s="27" t="str">
        <x:v>OPEN</x:v>
      </x:c>
      <x:c r="N22" s="29" t="n">
        <x:v>0</x:v>
      </x:c>
    </x:row>
    <x:row r="23" ht="18" customHeight="1">
      <x:c r="B23" s="27" t="str">
        <x:v>PSS-T01-Q</x:v>
      </x:c>
      <x:c r="C23" s="27" t="str">
        <x:v>PSS-T01</x:v>
      </x:c>
      <x:c r="D23" s="27" t="str">
        <x:v>Pressure skin</x:v>
      </x:c>
      <x:c r="E23" s="27" t="str">
        <x:v>qualification and destructive</x:v>
      </x:c>
      <x:c r="F23" s="27" t="n">
        <x:v>4</x:v>
      </x:c>
      <x:c r="G23" s="35" t="n">
        <x:v>20</x:v>
      </x:c>
      <x:c r="H23" s="35" t="n">
        <x:f>F23*G23/1000</x:f>
        <x:v>0.08</x:v>
      </x:c>
      <x:c r="I23" s="35" t="n">
        <x:v>36</x:v>
      </x:c>
      <x:c r="J23" s="35" t="n">
        <x:v>37</x:v>
      </x:c>
      <x:c r="K23" s="35" t="n">
        <x:f>J23-I23</x:f>
        <x:v>1</x:v>
      </x:c>
      <x:c r="L23" s="27" t="str">
        <x:v>protected/destructive</x:v>
      </x:c>
      <x:c r="M23" s="27" t="str">
        <x:v>OPEN</x:v>
      </x:c>
      <x:c r="N23" s="29" t="n">
        <x:v>0</x:v>
      </x:c>
    </x:row>
    <x:row r="24" ht="18" customHeight="1">
      <x:c r="B24" s="27" t="str">
        <x:v>PSS-T01-C</x:v>
      </x:c>
      <x:c r="C24" s="27" t="str">
        <x:v>PSS-T01</x:v>
      </x:c>
      <x:c r="D24" s="27" t="str">
        <x:v>Pressure skin</x:v>
      </x:c>
      <x:c r="E24" s="27" t="str">
        <x:v>campaign and protected reserve</x:v>
      </x:c>
      <x:c r="F24" s="27" t="n">
        <x:v>8</x:v>
      </x:c>
      <x:c r="G24" s="35" t="n">
        <x:v>20</x:v>
      </x:c>
      <x:c r="H24" s="35" t="n">
        <x:f>F24*G24/1000</x:f>
        <x:v>0.16</x:v>
      </x:c>
      <x:c r="I24" s="35" t="n">
        <x:v>42</x:v>
      </x:c>
      <x:c r="J24" s="35" t="n">
        <x:v>43</x:v>
      </x:c>
      <x:c r="K24" s="35" t="n">
        <x:f>J24-I24</x:f>
        <x:v>1</x:v>
      </x:c>
      <x:c r="L24" s="27" t="str">
        <x:v>protected/destructive</x:v>
      </x:c>
      <x:c r="M24" s="27" t="str">
        <x:v>OPEN</x:v>
      </x:c>
      <x:c r="N24" s="29" t="n">
        <x:v>0</x:v>
      </x:c>
    </x:row>
    <x:row r="25" ht="18" customHeight="1">
      <x:c r="B25" s="27" t="str">
        <x:v>PIF-I01-E</x:v>
      </x:c>
      <x:c r="C25" s="27" t="str">
        <x:v>PIF-I01</x:v>
      </x:c>
      <x:c r="D25" s="27" t="str">
        <x:v>Passive interface</x:v>
      </x:c>
      <x:c r="E25" s="27" t="str">
        <x:v>engineering</x:v>
      </x:c>
      <x:c r="F25" s="27" t="n">
        <x:v>12</x:v>
      </x:c>
      <x:c r="G25" s="35" t="n">
        <x:v>0.5</x:v>
      </x:c>
      <x:c r="H25" s="35" t="n">
        <x:f>F25*G25/1000</x:f>
        <x:v>0.006</x:v>
      </x:c>
      <x:c r="I25" s="35" t="n">
        <x:v>18</x:v>
      </x:c>
      <x:c r="J25" s="35" t="n">
        <x:v>19</x:v>
      </x:c>
      <x:c r="K25" s="35" t="n">
        <x:f>J25-I25</x:f>
        <x:v>1</x:v>
      </x:c>
      <x:c r="L25" s="27" t="str">
        <x:v>controlled</x:v>
      </x:c>
      <x:c r="M25" s="27" t="str">
        <x:v>OPEN</x:v>
      </x:c>
      <x:c r="N25" s="29" t="n">
        <x:v>0</x:v>
      </x:c>
    </x:row>
    <x:row r="26" ht="18" customHeight="1">
      <x:c r="B26" s="27" t="str">
        <x:v>PIF-I01-Q</x:v>
      </x:c>
      <x:c r="C26" s="27" t="str">
        <x:v>PIF-I01</x:v>
      </x:c>
      <x:c r="D26" s="27" t="str">
        <x:v>Passive interface</x:v>
      </x:c>
      <x:c r="E26" s="27" t="str">
        <x:v>qualification and destructive</x:v>
      </x:c>
      <x:c r="F26" s="27" t="n">
        <x:v>18</x:v>
      </x:c>
      <x:c r="G26" s="35" t="n">
        <x:v>0.5</x:v>
      </x:c>
      <x:c r="H26" s="35" t="n">
        <x:f>F26*G26/1000</x:f>
        <x:v>0.009</x:v>
      </x:c>
      <x:c r="I26" s="35" t="n">
        <x:v>24</x:v>
      </x:c>
      <x:c r="J26" s="35" t="n">
        <x:v>25</x:v>
      </x:c>
      <x:c r="K26" s="35" t="n">
        <x:f>J26-I26</x:f>
        <x:v>1</x:v>
      </x:c>
      <x:c r="L26" s="27" t="str">
        <x:v>protected/destructive</x:v>
      </x:c>
      <x:c r="M26" s="27" t="str">
        <x:v>OPEN</x:v>
      </x:c>
      <x:c r="N26" s="29" t="n">
        <x:v>0</x:v>
      </x:c>
    </x:row>
    <x:row r="27" ht="18" customHeight="1">
      <x:c r="B27" s="27" t="str">
        <x:v>PIF-I01-C</x:v>
      </x:c>
      <x:c r="C27" s="27" t="str">
        <x:v>PIF-I01</x:v>
      </x:c>
      <x:c r="D27" s="27" t="str">
        <x:v>Passive interface</x:v>
      </x:c>
      <x:c r="E27" s="27" t="str">
        <x:v>campaign and protected reserve</x:v>
      </x:c>
      <x:c r="F27" s="27" t="n">
        <x:v>30</x:v>
      </x:c>
      <x:c r="G27" s="35" t="n">
        <x:v>0.5</x:v>
      </x:c>
      <x:c r="H27" s="35" t="n">
        <x:f>F27*G27/1000</x:f>
        <x:v>0.015</x:v>
      </x:c>
      <x:c r="I27" s="35" t="n">
        <x:v>30</x:v>
      </x:c>
      <x:c r="J27" s="35" t="n">
        <x:v>31</x:v>
      </x:c>
      <x:c r="K27" s="35" t="n">
        <x:f>J27-I27</x:f>
        <x:v>1</x:v>
      </x:c>
      <x:c r="L27" s="27" t="str">
        <x:v>protected/destructive</x:v>
      </x:c>
      <x:c r="M27" s="27" t="str">
        <x:v>OPEN</x:v>
      </x:c>
      <x:c r="N27" s="29" t="n">
        <x:v>0</x:v>
      </x:c>
    </x:row>
    <x:row r="28" ht="18" customHeight="1">
      <x:c r="B28" s="27" t="str">
        <x:v>EPS-P01-E</x:v>
      </x:c>
      <x:c r="C28" s="27" t="str">
        <x:v>EPS-P01</x:v>
      </x:c>
      <x:c r="D28" s="27" t="str">
        <x:v>Independent energy</x:v>
      </x:c>
      <x:c r="E28" s="27" t="str">
        <x:v>engineering</x:v>
      </x:c>
      <x:c r="F28" s="27" t="n">
        <x:v>4</x:v>
      </x:c>
      <x:c r="G28" s="35" t="n">
        <x:v>3</x:v>
      </x:c>
      <x:c r="H28" s="35" t="n">
        <x:f>F28*G28/1000</x:f>
        <x:v>0.012</x:v>
      </x:c>
      <x:c r="I28" s="35" t="n">
        <x:v>12</x:v>
      </x:c>
      <x:c r="J28" s="35" t="n">
        <x:v>13</x:v>
      </x:c>
      <x:c r="K28" s="35" t="n">
        <x:f>J28-I28</x:f>
        <x:v>1</x:v>
      </x:c>
      <x:c r="L28" s="27" t="str">
        <x:v>controlled</x:v>
      </x:c>
      <x:c r="M28" s="27" t="str">
        <x:v>OPEN</x:v>
      </x:c>
      <x:c r="N28" s="29" t="n">
        <x:v>0</x:v>
      </x:c>
    </x:row>
    <x:row r="29" ht="18" customHeight="1">
      <x:c r="B29" s="27" t="str">
        <x:v>EPS-P01-Q</x:v>
      </x:c>
      <x:c r="C29" s="27" t="str">
        <x:v>EPS-P01</x:v>
      </x:c>
      <x:c r="D29" s="27" t="str">
        <x:v>Independent energy</x:v>
      </x:c>
      <x:c r="E29" s="27" t="str">
        <x:v>qualification and destructive</x:v>
      </x:c>
      <x:c r="F29" s="27" t="n">
        <x:v>6</x:v>
      </x:c>
      <x:c r="G29" s="35" t="n">
        <x:v>3</x:v>
      </x:c>
      <x:c r="H29" s="35" t="n">
        <x:f>F29*G29/1000</x:f>
        <x:v>0.018</x:v>
      </x:c>
      <x:c r="I29" s="35" t="n">
        <x:v>18</x:v>
      </x:c>
      <x:c r="J29" s="35" t="n">
        <x:v>19</x:v>
      </x:c>
      <x:c r="K29" s="35" t="n">
        <x:f>J29-I29</x:f>
        <x:v>1</x:v>
      </x:c>
      <x:c r="L29" s="27" t="str">
        <x:v>protected/destructive</x:v>
      </x:c>
      <x:c r="M29" s="27" t="str">
        <x:v>OPEN</x:v>
      </x:c>
      <x:c r="N29" s="29" t="n">
        <x:v>0</x:v>
      </x:c>
    </x:row>
    <x:row r="30" ht="18" customHeight="1">
      <x:c r="B30" s="27" t="str">
        <x:v>EPS-P01-C</x:v>
      </x:c>
      <x:c r="C30" s="27" t="str">
        <x:v>EPS-P01</x:v>
      </x:c>
      <x:c r="D30" s="27" t="str">
        <x:v>Independent energy</x:v>
      </x:c>
      <x:c r="E30" s="27" t="str">
        <x:v>campaign and protected reserve</x:v>
      </x:c>
      <x:c r="F30" s="27" t="n">
        <x:v>10</x:v>
      </x:c>
      <x:c r="G30" s="35" t="n">
        <x:v>3</x:v>
      </x:c>
      <x:c r="H30" s="35" t="n">
        <x:f>F30*G30/1000</x:f>
        <x:v>0.03</x:v>
      </x:c>
      <x:c r="I30" s="35" t="n">
        <x:v>24</x:v>
      </x:c>
      <x:c r="J30" s="35" t="n">
        <x:v>25</x:v>
      </x:c>
      <x:c r="K30" s="35" t="n">
        <x:f>J30-I30</x:f>
        <x:v>1</x:v>
      </x:c>
      <x:c r="L30" s="27" t="str">
        <x:v>protected/destructive</x:v>
      </x:c>
      <x:c r="M30" s="27" t="str">
        <x:v>OPEN</x:v>
      </x:c>
      <x:c r="N30" s="29" t="n">
        <x:v>0</x:v>
      </x:c>
    </x:row>
    <x:row r="31" ht="18" customHeight="1">
      <x:c r="B31" s="27" t="str">
        <x:v>TKS-C01-E</x:v>
      </x:c>
      <x:c r="C31" s="27" t="str">
        <x:v>TKS-C01</x:v>
      </x:c>
      <x:c r="D31" s="27" t="str">
        <x:v>Denied time</x:v>
      </x:c>
      <x:c r="E31" s="27" t="str">
        <x:v>engineering</x:v>
      </x:c>
      <x:c r="F31" s="27" t="n">
        <x:v>4</x:v>
      </x:c>
      <x:c r="G31" s="35" t="n">
        <x:v>2</x:v>
      </x:c>
      <x:c r="H31" s="35" t="n">
        <x:f>F31*G31/1000</x:f>
        <x:v>0.008</x:v>
      </x:c>
      <x:c r="I31" s="35" t="n">
        <x:v>24</x:v>
      </x:c>
      <x:c r="J31" s="35" t="n">
        <x:v>25</x:v>
      </x:c>
      <x:c r="K31" s="35" t="n">
        <x:f>J31-I31</x:f>
        <x:v>1</x:v>
      </x:c>
      <x:c r="L31" s="27" t="str">
        <x:v>controlled</x:v>
      </x:c>
      <x:c r="M31" s="27" t="str">
        <x:v>OPEN</x:v>
      </x:c>
      <x:c r="N31" s="29" t="n">
        <x:v>0</x:v>
      </x:c>
    </x:row>
    <x:row r="32" ht="18" customHeight="1">
      <x:c r="B32" s="27" t="str">
        <x:v>TKS-C01-Q</x:v>
      </x:c>
      <x:c r="C32" s="27" t="str">
        <x:v>TKS-C01</x:v>
      </x:c>
      <x:c r="D32" s="27" t="str">
        <x:v>Denied time</x:v>
      </x:c>
      <x:c r="E32" s="27" t="str">
        <x:v>qualification and destructive</x:v>
      </x:c>
      <x:c r="F32" s="27" t="n">
        <x:v>6</x:v>
      </x:c>
      <x:c r="G32" s="35" t="n">
        <x:v>2</x:v>
      </x:c>
      <x:c r="H32" s="35" t="n">
        <x:f>F32*G32/1000</x:f>
        <x:v>0.012</x:v>
      </x:c>
      <x:c r="I32" s="35" t="n">
        <x:v>30</x:v>
      </x:c>
      <x:c r="J32" s="35" t="n">
        <x:v>31</x:v>
      </x:c>
      <x:c r="K32" s="35" t="n">
        <x:f>J32-I32</x:f>
        <x:v>1</x:v>
      </x:c>
      <x:c r="L32" s="27" t="str">
        <x:v>protected/destructive</x:v>
      </x:c>
      <x:c r="M32" s="27" t="str">
        <x:v>OPEN</x:v>
      </x:c>
      <x:c r="N32" s="29" t="n">
        <x:v>0</x:v>
      </x:c>
    </x:row>
    <x:row r="33" ht="18" customHeight="1">
      <x:c r="B33" s="27" t="str">
        <x:v>TKS-C01-C</x:v>
      </x:c>
      <x:c r="C33" s="27" t="str">
        <x:v>TKS-C01</x:v>
      </x:c>
      <x:c r="D33" s="27" t="str">
        <x:v>Denied time</x:v>
      </x:c>
      <x:c r="E33" s="27" t="str">
        <x:v>campaign and protected reserve</x:v>
      </x:c>
      <x:c r="F33" s="27" t="n">
        <x:v>10</x:v>
      </x:c>
      <x:c r="G33" s="35" t="n">
        <x:v>2</x:v>
      </x:c>
      <x:c r="H33" s="35" t="n">
        <x:f>F33*G33/1000</x:f>
        <x:v>0.02</x:v>
      </x:c>
      <x:c r="I33" s="35" t="n">
        <x:v>36</x:v>
      </x:c>
      <x:c r="J33" s="35" t="n">
        <x:v>37</x:v>
      </x:c>
      <x:c r="K33" s="35" t="n">
        <x:f>J33-I33</x:f>
        <x:v>1</x:v>
      </x:c>
      <x:c r="L33" s="27" t="str">
        <x:v>protected/destructive</x:v>
      </x:c>
      <x:c r="M33" s="27" t="str">
        <x:v>OPEN</x:v>
      </x:c>
      <x:c r="N33" s="29" t="n">
        <x:v>0</x:v>
      </x:c>
    </x:row>
    <x:row r="34" ht="18" customHeight="1">
      <x:c r="B34" s="27" t="str">
        <x:v>STG-S01-E</x:v>
      </x:c>
      <x:c r="C34" s="27" t="str">
        <x:v>STG-S01</x:v>
      </x:c>
      <x:c r="D34" s="27" t="str">
        <x:v>Immutable storage</x:v>
      </x:c>
      <x:c r="E34" s="27" t="str">
        <x:v>engineering</x:v>
      </x:c>
      <x:c r="F34" s="27" t="n">
        <x:v>4</x:v>
      </x:c>
      <x:c r="G34" s="35" t="n">
        <x:v>1</x:v>
      </x:c>
      <x:c r="H34" s="35" t="n">
        <x:f>F34*G34/1000</x:f>
        <x:v>0.004</x:v>
      </x:c>
      <x:c r="I34" s="35" t="n">
        <x:v>12</x:v>
      </x:c>
      <x:c r="J34" s="35" t="n">
        <x:v>13</x:v>
      </x:c>
      <x:c r="K34" s="35" t="n">
        <x:f>J34-I34</x:f>
        <x:v>1</x:v>
      </x:c>
      <x:c r="L34" s="27" t="str">
        <x:v>controlled</x:v>
      </x:c>
      <x:c r="M34" s="27" t="str">
        <x:v>OPEN</x:v>
      </x:c>
      <x:c r="N34" s="29" t="n">
        <x:v>0</x:v>
      </x:c>
    </x:row>
    <x:row r="35" ht="18" customHeight="1">
      <x:c r="B35" s="27" t="str">
        <x:v>STG-S01-Q</x:v>
      </x:c>
      <x:c r="C35" s="27" t="str">
        <x:v>STG-S01</x:v>
      </x:c>
      <x:c r="D35" s="27" t="str">
        <x:v>Immutable storage</x:v>
      </x:c>
      <x:c r="E35" s="27" t="str">
        <x:v>qualification and destructive</x:v>
      </x:c>
      <x:c r="F35" s="27" t="n">
        <x:v>6</x:v>
      </x:c>
      <x:c r="G35" s="35" t="n">
        <x:v>1</x:v>
      </x:c>
      <x:c r="H35" s="35" t="n">
        <x:f>F35*G35/1000</x:f>
        <x:v>0.006</x:v>
      </x:c>
      <x:c r="I35" s="35" t="n">
        <x:v>18</x:v>
      </x:c>
      <x:c r="J35" s="35" t="n">
        <x:v>19</x:v>
      </x:c>
      <x:c r="K35" s="35" t="n">
        <x:f>J35-I35</x:f>
        <x:v>1</x:v>
      </x:c>
      <x:c r="L35" s="27" t="str">
        <x:v>protected/destructive</x:v>
      </x:c>
      <x:c r="M35" s="27" t="str">
        <x:v>OPEN</x:v>
      </x:c>
      <x:c r="N35" s="29" t="n">
        <x:v>0</x:v>
      </x:c>
    </x:row>
    <x:row r="36" ht="18" customHeight="1">
      <x:c r="B36" s="27" t="str">
        <x:v>STG-S01-C</x:v>
      </x:c>
      <x:c r="C36" s="27" t="str">
        <x:v>STG-S01</x:v>
      </x:c>
      <x:c r="D36" s="27" t="str">
        <x:v>Immutable storage</x:v>
      </x:c>
      <x:c r="E36" s="27" t="str">
        <x:v>campaign and protected reserve</x:v>
      </x:c>
      <x:c r="F36" s="27" t="n">
        <x:v>10</x:v>
      </x:c>
      <x:c r="G36" s="35" t="n">
        <x:v>1</x:v>
      </x:c>
      <x:c r="H36" s="35" t="n">
        <x:f>F36*G36/1000</x:f>
        <x:v>0.01</x:v>
      </x:c>
      <x:c r="I36" s="35" t="n">
        <x:v>24</x:v>
      </x:c>
      <x:c r="J36" s="35" t="n">
        <x:v>25</x:v>
      </x:c>
      <x:c r="K36" s="35" t="n">
        <x:f>J36-I36</x:f>
        <x:v>1</x:v>
      </x:c>
      <x:c r="L36" s="27" t="str">
        <x:v>protected/destructive</x:v>
      </x:c>
      <x:c r="M36" s="27" t="str">
        <x:v>OPEN</x:v>
      </x:c>
      <x:c r="N36" s="29" t="n">
        <x:v>0</x:v>
      </x:c>
    </x:row>
    <x:row r="37" ht="18" customHeight="1">
      <x:c r="B37" s="27" t="str">
        <x:v>MHE-E01-E</x:v>
      </x:c>
      <x:c r="C37" s="27" t="str">
        <x:v>MHE-E01</x:v>
      </x:c>
      <x:c r="D37" s="27" t="str">
        <x:v>Mass and heat emulator</x:v>
      </x:c>
      <x:c r="E37" s="27" t="str">
        <x:v>engineering</x:v>
      </x:c>
      <x:c r="F37" s="27" t="n">
        <x:v>4</x:v>
      </x:c>
      <x:c r="G37" s="35" t="n">
        <x:v>2</x:v>
      </x:c>
      <x:c r="H37" s="35" t="n">
        <x:f>F37*G37/1000</x:f>
        <x:v>0.008</x:v>
      </x:c>
      <x:c r="I37" s="35" t="n">
        <x:v>48</x:v>
      </x:c>
      <x:c r="J37" s="35" t="n">
        <x:v>49</x:v>
      </x:c>
      <x:c r="K37" s="35" t="n">
        <x:f>J37-I37</x:f>
        <x:v>1</x:v>
      </x:c>
      <x:c r="L37" s="27" t="str">
        <x:v>controlled</x:v>
      </x:c>
      <x:c r="M37" s="27" t="str">
        <x:v>OPEN</x:v>
      </x:c>
      <x:c r="N37" s="29" t="n">
        <x:v>0</x:v>
      </x:c>
    </x:row>
    <x:row r="38" ht="18" customHeight="1">
      <x:c r="B38" s="27" t="str">
        <x:v>MHE-E01-Q</x:v>
      </x:c>
      <x:c r="C38" s="27" t="str">
        <x:v>MHE-E01</x:v>
      </x:c>
      <x:c r="D38" s="27" t="str">
        <x:v>Mass and heat emulator</x:v>
      </x:c>
      <x:c r="E38" s="27" t="str">
        <x:v>qualification and destructive</x:v>
      </x:c>
      <x:c r="F38" s="27" t="n">
        <x:v>4</x:v>
      </x:c>
      <x:c r="G38" s="35" t="n">
        <x:v>2</x:v>
      </x:c>
      <x:c r="H38" s="35" t="n">
        <x:f>F38*G38/1000</x:f>
        <x:v>0.008</x:v>
      </x:c>
      <x:c r="I38" s="35" t="n">
        <x:v>54</x:v>
      </x:c>
      <x:c r="J38" s="35" t="n">
        <x:v>55</x:v>
      </x:c>
      <x:c r="K38" s="35" t="n">
        <x:f>J38-I38</x:f>
        <x:v>1</x:v>
      </x:c>
      <x:c r="L38" s="27" t="str">
        <x:v>protected/destructive</x:v>
      </x:c>
      <x:c r="M38" s="27" t="str">
        <x:v>OPEN</x:v>
      </x:c>
      <x:c r="N38" s="29" t="n">
        <x:v>0</x:v>
      </x:c>
    </x:row>
    <x:row r="39" ht="18" customHeight="1">
      <x:c r="B39" s="31" t="str">
        <x:v>MHE-E01-C</x:v>
      </x:c>
      <x:c r="C39" s="31" t="str">
        <x:v>MHE-E01</x:v>
      </x:c>
      <x:c r="D39" s="31" t="str">
        <x:v>Mass and heat emulator</x:v>
      </x:c>
      <x:c r="E39" s="31" t="str">
        <x:v>campaign and protected reserve</x:v>
      </x:c>
      <x:c r="F39" s="31" t="n">
        <x:v>12</x:v>
      </x:c>
      <x:c r="G39" s="36" t="n">
        <x:v>2</x:v>
      </x:c>
      <x:c r="H39" s="36" t="n">
        <x:f>F39*G39/1000</x:f>
        <x:v>0.024</x:v>
      </x:c>
      <x:c r="I39" s="36" t="n">
        <x:v>60</x:v>
      </x:c>
      <x:c r="J39" s="36" t="n">
        <x:v>61</x:v>
      </x:c>
      <x:c r="K39" s="36" t="n">
        <x:f>J39-I39</x:f>
        <x:v>1</x:v>
      </x:c>
      <x:c r="L39" s="31" t="str">
        <x:v>protected/destructive</x:v>
      </x:c>
      <x:c r="M39" s="31" t="str">
        <x:v>OPEN</x:v>
      </x:c>
      <x:c r="N39" s="33" t="n">
        <x:v>0</x:v>
      </x:c>
    </x:row>
    <x:row r="40" ht="18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8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8" customHeight="1">
      <x:c r="B42" s="8" t="str">
        <x:v>Bank controls</x:v>
      </x:c>
      <x:c r="C42" s="9" t="str">
        <x:v>Bank controls</x:v>
      </x:c>
      <x:c r="D42" s="9" t="str">
        <x:v>Bank controls</x:v>
      </x:c>
      <x:c r="E42" s="9" t="str">
        <x:v>Bank controls</x:v>
      </x:c>
      <x:c r="F42" s="9" t="str">
        <x:v>Bank controls</x:v>
      </x:c>
      <x:c r="G42" s="9" t="str">
        <x:v>Bank controls</x:v>
      </x:c>
      <x:c r="H42" s="9" t="str">
        <x:v>Bank controls</x:v>
      </x:c>
      <x:c r="I42" s="9" t="str">
        <x:v>Bank controls</x:v>
      </x:c>
      <x:c r="J42" s="9" t="str">
        <x:v>Bank controls</x:v>
      </x:c>
      <x:c r="K42" s="9" t="str">
        <x:v>Bank controls</x:v>
      </x:c>
      <x:c r="L42" s="9" t="str">
        <x:v>Bank controls</x:v>
      </x:c>
      <x:c r="M42" s="9" t="str">
        <x:v>Bank controls</x:v>
      </x:c>
      <x:c r="N42" s="10" t="str">
        <x:v>Bank controls</x:v>
      </x:c>
    </x:row>
    <x:row r="43" ht="18" customHeight="1">
      <x:c r="B43" s="19" t="str">
        <x:v>Measure</x:v>
      </x:c>
      <x:c r="C43" s="20" t="str">
        <x:v>Value</x:v>
      </x:c>
      <x:c r="D43" s="20" t="str">
        <x:v>Unit</x:v>
      </x:c>
      <x:c r="E43" s="20" t="str">
        <x:v>Required</x:v>
      </x:c>
      <x:c r="F43" s="21" t="str">
        <x:v>Result</x:v>
      </x:c>
      <x:c r="G43" s="2"/>
      <x:c r="H43" s="2"/>
      <x:c r="I43" s="2"/>
      <x:c r="J43" s="2"/>
      <x:c r="K43" s="2"/>
      <x:c r="L43" s="2"/>
      <x:c r="M43" s="2"/>
      <x:c r="N43" s="2"/>
    </x:row>
    <x:row r="44" ht="18" customHeight="1">
      <x:c r="B44" s="2" t="str">
        <x:v>Articles</x:v>
      </x:c>
      <x:c r="C44" s="2" t="n">
        <x:f>SUM(F7:F39)</x:f>
        <x:v>254</x:v>
      </x:c>
      <x:c r="D44" s="2" t="str">
        <x:v>articles</x:v>
      </x:c>
      <x:c r="E44" s="2" t="n">
        <x:v>254</x:v>
      </x:c>
      <x:c r="F44" s="2" t="str">
        <x:f>IF(ABS(C44-E44)&lt;0.000001,"PASS","FAIL")</x:f>
        <x:v>PASS</x:v>
      </x:c>
      <x:c r="G44" s="2"/>
      <x:c r="H44" s="2"/>
      <x:c r="I44" s="2"/>
      <x:c r="J44" s="2"/>
      <x:c r="K44" s="2"/>
      <x:c r="L44" s="2"/>
      <x:c r="M44" s="2"/>
      <x:c r="N44" s="2"/>
    </x:row>
    <x:row r="45" ht="18" customHeight="1">
      <x:c r="B45" s="2" t="str">
        <x:v>Lots</x:v>
      </x:c>
      <x:c r="C45" s="2" t="n">
        <x:f>COUNTA(B7:B39)</x:f>
        <x:v>33</x:v>
      </x:c>
      <x:c r="D45" s="2" t="str">
        <x:v>lots</x:v>
      </x:c>
      <x:c r="E45" s="2" t="n">
        <x:v>33</x:v>
      </x:c>
      <x:c r="F45" s="2" t="str">
        <x:f>IF(ABS(C45-E45)&lt;0.000001,"PASS","FAIL")</x:f>
        <x:v>PASS</x:v>
      </x:c>
      <x:c r="G45" s="2"/>
      <x:c r="H45" s="2"/>
      <x:c r="I45" s="2"/>
      <x:c r="J45" s="2"/>
      <x:c r="K45" s="2"/>
      <x:c r="L45" s="2"/>
      <x:c r="M45" s="2"/>
      <x:c r="N45" s="2"/>
    </x:row>
    <x:row r="46" ht="18" customHeight="1">
      <x:c r="B46" s="2" t="str">
        <x:v>Article cost</x:v>
      </x:c>
      <x:c r="C46" s="2" t="n">
        <x:f>SUM(H7:H39)</x:f>
        <x:v>1.764</x:v>
      </x:c>
      <x:c r="D46" s="2" t="str">
        <x:v>USD B</x:v>
      </x:c>
      <x:c r="E46" s="2" t="n">
        <x:v>1.764</x:v>
      </x:c>
      <x:c r="F46" s="2" t="str">
        <x:f>IF(ABS(C46-E46)&lt;0.000001,"PASS","FAIL")</x:f>
        <x:v>PASS</x:v>
      </x:c>
      <x:c r="G46" s="2"/>
      <x:c r="H46" s="2"/>
      <x:c r="I46" s="2"/>
      <x:c r="J46" s="2"/>
      <x:c r="K46" s="2"/>
      <x:c r="L46" s="2"/>
      <x:c r="M46" s="2"/>
      <x:c r="N46" s="2"/>
    </x:row>
  </x:sheetData>
  <x:mergeCells>
    <x:mergeCell ref="B3:N3"/>
    <x:mergeCell ref="B42:N42"/>
  </x:mergeCells>
  <x:conditionalFormatting sqref="M7:M39">
    <x:cfRule type="containsText" dxfId="40" priority="1" operator="containsText" text="OPEN"/>
    <x:cfRule type="containsText" dxfId="41" priority="2" operator="containsText" text="HOLD"/>
    <x:cfRule type="containsText" dxfId="42" priority="3" operator="containsText" text="BLOCKED"/>
    <x:cfRule type="containsText" dxfId="43" priority="4" operator="containsText" text="DRAFT"/>
    <x:cfRule type="containsText" dxfId="44" priority="5" operator="containsText" text="FAIL"/>
  </x:conditionalFormatting>
  <x:conditionalFormatting sqref="F44:F46">
    <x:cfRule type="containsText" dxfId="45" priority="6" operator="containsText" text="OPEN"/>
    <x:cfRule type="containsText" dxfId="46" priority="7" operator="containsText" text="HOLD"/>
    <x:cfRule type="containsText" dxfId="47" priority="8" operator="containsText" text="BLOCKED"/>
    <x:cfRule type="containsText" dxfId="48" priority="9" operator="containsText" text="DRAFT"/>
    <x:cfRule type="containsText" dxfId="49" priority="10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3" hidden="0" customWidth="1"/>
    <x:col min="4" max="4" width="42" hidden="0" customWidth="1"/>
    <x:col min="5" max="5" width="15" hidden="0" customWidth="1"/>
    <x:col min="6" max="6" width="17" hidden="0" customWidth="1"/>
    <x:col min="7" max="7" width="19" hidden="0" customWidth="1"/>
    <x:col min="8" max="8" width="16" hidden="0" customWidth="1"/>
    <x:col min="9" max="9" width="14" hidden="0" customWidth="1"/>
    <x:col min="10" max="10" width="13" hidden="0" customWidth="1"/>
    <x:col min="11" max="11" width="18" hidden="0" customWidth="1"/>
  </x:cols>
  <x:sheetData>
    <x:row r="2" ht="18" customHeight="1">
      <x:c r="B2" s="3" t="str">
        <x:v>Qualified facility capacity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18" customHeight="1">
      <x:c r="B3" s="4" t="str">
        <x:v>Eight facility families carry the build, hazard, calibration, custody and mission workload across nine program years.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18" customHeight="1">
      <x:c r="B6" s="25" t="str">
        <x:v>Record</x:v>
      </x:c>
      <x:c r="C6" s="26" t="str">
        <x:v>Facility</x:v>
      </x:c>
      <x:c r="D6" s="26" t="str">
        <x:v>Function</x:v>
      </x:c>
      <x:c r="E6" s="26" t="str">
        <x:v>Program year</x:v>
      </x:c>
      <x:c r="F6" s="26" t="str">
        <x:v>Available days</x:v>
      </x:c>
      <x:c r="G6" s="26" t="str">
        <x:v>Planned load days</x:v>
      </x:c>
      <x:c r="H6" s="26" t="str">
        <x:v>Reserve days</x:v>
      </x:c>
      <x:c r="I6" s="26" t="str">
        <x:v>Utilization</x:v>
      </x:c>
      <x:c r="J6" s="26" t="str">
        <x:v>State</x:v>
      </x:c>
      <x:c r="K6" s="26" t="str">
        <x:v>Capacity decision</x:v>
      </x:c>
    </x:row>
    <x:row r="7" ht="18" customHeight="1">
      <x:c r="B7" s="27" t="str">
        <x:v>F01-Y1</x:v>
      </x:c>
      <x:c r="C7" s="27" t="str">
        <x:v>F01</x:v>
      </x:c>
      <x:c r="D7" s="27" t="str">
        <x:v>public metrology and calibration</x:v>
      </x:c>
      <x:c r="E7" s="27" t="n">
        <x:v>1</x:v>
      </x:c>
      <x:c r="F7" s="27" t="n">
        <x:v>220</x:v>
      </x:c>
      <x:c r="G7" s="27" t="n">
        <x:v>80</x:v>
      </x:c>
      <x:c r="H7" s="27" t="n">
        <x:f>F7-G7</x:f>
        <x:v>140</x:v>
      </x:c>
      <x:c r="I7" s="41" t="n">
        <x:f>G7/F7</x:f>
        <x:v>0.36363636363636365</x:v>
      </x:c>
      <x:c r="J7" s="27" t="str">
        <x:v>OPEN</x:v>
      </x:c>
      <x:c r="K7" s="29" t="str">
        <x:f>IF(H7&gt;=0,"AVAILABLE","OVERLOAD")</x:f>
        <x:v>AVAILABLE</x:v>
      </x:c>
    </x:row>
    <x:row r="8" ht="18" customHeight="1">
      <x:c r="B8" s="27" t="str">
        <x:v>F01-Y2</x:v>
      </x:c>
      <x:c r="C8" s="27" t="str">
        <x:v>F01</x:v>
      </x:c>
      <x:c r="D8" s="27" t="str">
        <x:v>public metrology and calibration</x:v>
      </x:c>
      <x:c r="E8" s="27" t="n">
        <x:v>2</x:v>
      </x:c>
      <x:c r="F8" s="27" t="n">
        <x:v>220</x:v>
      </x:c>
      <x:c r="G8" s="27" t="n">
        <x:v>160</x:v>
      </x:c>
      <x:c r="H8" s="27" t="n">
        <x:f>F8-G8</x:f>
        <x:v>60</x:v>
      </x:c>
      <x:c r="I8" s="41" t="n">
        <x:f>G8/F8</x:f>
        <x:v>0.7272727272727273</x:v>
      </x:c>
      <x:c r="J8" s="27" t="str">
        <x:v>OPEN</x:v>
      </x:c>
      <x:c r="K8" s="29" t="str">
        <x:f>IF(H8&gt;=0,"AVAILABLE","OVERLOAD")</x:f>
        <x:v>AVAILABLE</x:v>
      </x:c>
    </x:row>
    <x:row r="9" ht="18" customHeight="1">
      <x:c r="B9" s="27" t="str">
        <x:v>F01-Y3</x:v>
      </x:c>
      <x:c r="C9" s="27" t="str">
        <x:v>F01</x:v>
      </x:c>
      <x:c r="D9" s="27" t="str">
        <x:v>public metrology and calibration</x:v>
      </x:c>
      <x:c r="E9" s="27" t="n">
        <x:v>3</x:v>
      </x:c>
      <x:c r="F9" s="27" t="n">
        <x:v>220</x:v>
      </x:c>
      <x:c r="G9" s="27" t="n">
        <x:v>190</x:v>
      </x:c>
      <x:c r="H9" s="27" t="n">
        <x:f>F9-G9</x:f>
        <x:v>30</x:v>
      </x:c>
      <x:c r="I9" s="41" t="n">
        <x:f>G9/F9</x:f>
        <x:v>0.8636363636363636</x:v>
      </x:c>
      <x:c r="J9" s="27" t="str">
        <x:v>OPEN</x:v>
      </x:c>
      <x:c r="K9" s="29" t="str">
        <x:f>IF(H9&gt;=0,"AVAILABLE","OVERLOAD")</x:f>
        <x:v>AVAILABLE</x:v>
      </x:c>
    </x:row>
    <x:row r="10" ht="18" customHeight="1">
      <x:c r="B10" s="27" t="str">
        <x:v>F01-Y4</x:v>
      </x:c>
      <x:c r="C10" s="27" t="str">
        <x:v>F01</x:v>
      </x:c>
      <x:c r="D10" s="27" t="str">
        <x:v>public metrology and calibration</x:v>
      </x:c>
      <x:c r="E10" s="27" t="n">
        <x:v>4</x:v>
      </x:c>
      <x:c r="F10" s="27" t="n">
        <x:v>220</x:v>
      </x:c>
      <x:c r="G10" s="27" t="n">
        <x:v>180</x:v>
      </x:c>
      <x:c r="H10" s="27" t="n">
        <x:f>F10-G10</x:f>
        <x:v>40</x:v>
      </x:c>
      <x:c r="I10" s="41" t="n">
        <x:f>G10/F10</x:f>
        <x:v>0.8181818181818182</x:v>
      </x:c>
      <x:c r="J10" s="27" t="str">
        <x:v>OPEN</x:v>
      </x:c>
      <x:c r="K10" s="29" t="str">
        <x:f>IF(H10&gt;=0,"AVAILABLE","OVERLOAD")</x:f>
        <x:v>AVAILABLE</x:v>
      </x:c>
    </x:row>
    <x:row r="11" ht="18" customHeight="1">
      <x:c r="B11" s="27" t="str">
        <x:v>F01-Y5</x:v>
      </x:c>
      <x:c r="C11" s="27" t="str">
        <x:v>F01</x:v>
      </x:c>
      <x:c r="D11" s="27" t="str">
        <x:v>public metrology and calibration</x:v>
      </x:c>
      <x:c r="E11" s="27" t="n">
        <x:v>5</x:v>
      </x:c>
      <x:c r="F11" s="27" t="n">
        <x:v>220</x:v>
      </x:c>
      <x:c r="G11" s="27" t="n">
        <x:v>160</x:v>
      </x:c>
      <x:c r="H11" s="27" t="n">
        <x:f>F11-G11</x:f>
        <x:v>60</x:v>
      </x:c>
      <x:c r="I11" s="41" t="n">
        <x:f>G11/F11</x:f>
        <x:v>0.7272727272727273</x:v>
      </x:c>
      <x:c r="J11" s="27" t="str">
        <x:v>OPEN</x:v>
      </x:c>
      <x:c r="K11" s="29" t="str">
        <x:f>IF(H11&gt;=0,"AVAILABLE","OVERLOAD")</x:f>
        <x:v>AVAILABLE</x:v>
      </x:c>
    </x:row>
    <x:row r="12" ht="18" customHeight="1">
      <x:c r="B12" s="27" t="str">
        <x:v>F01-Y6</x:v>
      </x:c>
      <x:c r="C12" s="27" t="str">
        <x:v>F01</x:v>
      </x:c>
      <x:c r="D12" s="27" t="str">
        <x:v>public metrology and calibration</x:v>
      </x:c>
      <x:c r="E12" s="27" t="n">
        <x:v>6</x:v>
      </x:c>
      <x:c r="F12" s="27" t="n">
        <x:v>220</x:v>
      </x:c>
      <x:c r="G12" s="27" t="n">
        <x:v>120</x:v>
      </x:c>
      <x:c r="H12" s="27" t="n">
        <x:f>F12-G12</x:f>
        <x:v>100</x:v>
      </x:c>
      <x:c r="I12" s="41" t="n">
        <x:f>G12/F12</x:f>
        <x:v>0.5454545454545454</x:v>
      </x:c>
      <x:c r="J12" s="27" t="str">
        <x:v>OPEN</x:v>
      </x:c>
      <x:c r="K12" s="29" t="str">
        <x:f>IF(H12&gt;=0,"AVAILABLE","OVERLOAD")</x:f>
        <x:v>AVAILABLE</x:v>
      </x:c>
    </x:row>
    <x:row r="13" ht="18" customHeight="1">
      <x:c r="B13" s="27" t="str">
        <x:v>F01-Y7</x:v>
      </x:c>
      <x:c r="C13" s="27" t="str">
        <x:v>F01</x:v>
      </x:c>
      <x:c r="D13" s="27" t="str">
        <x:v>public metrology and calibration</x:v>
      </x:c>
      <x:c r="E13" s="27" t="n">
        <x:v>7</x:v>
      </x:c>
      <x:c r="F13" s="27" t="n">
        <x:v>220</x:v>
      </x:c>
      <x:c r="G13" s="27" t="n">
        <x:v>100</x:v>
      </x:c>
      <x:c r="H13" s="27" t="n">
        <x:f>F13-G13</x:f>
        <x:v>120</x:v>
      </x:c>
      <x:c r="I13" s="41" t="n">
        <x:f>G13/F13</x:f>
        <x:v>0.45454545454545453</x:v>
      </x:c>
      <x:c r="J13" s="27" t="str">
        <x:v>OPEN</x:v>
      </x:c>
      <x:c r="K13" s="29" t="str">
        <x:f>IF(H13&gt;=0,"AVAILABLE","OVERLOAD")</x:f>
        <x:v>AVAILABLE</x:v>
      </x:c>
    </x:row>
    <x:row r="14" ht="18" customHeight="1">
      <x:c r="B14" s="27" t="str">
        <x:v>F01-Y8</x:v>
      </x:c>
      <x:c r="C14" s="27" t="str">
        <x:v>F01</x:v>
      </x:c>
      <x:c r="D14" s="27" t="str">
        <x:v>public metrology and calibration</x:v>
      </x:c>
      <x:c r="E14" s="27" t="n">
        <x:v>8</x:v>
      </x:c>
      <x:c r="F14" s="27" t="n">
        <x:v>220</x:v>
      </x:c>
      <x:c r="G14" s="27" t="n">
        <x:v>80</x:v>
      </x:c>
      <x:c r="H14" s="27" t="n">
        <x:f>F14-G14</x:f>
        <x:v>140</x:v>
      </x:c>
      <x:c r="I14" s="41" t="n">
        <x:f>G14/F14</x:f>
        <x:v>0.36363636363636365</x:v>
      </x:c>
      <x:c r="J14" s="27" t="str">
        <x:v>OPEN</x:v>
      </x:c>
      <x:c r="K14" s="29" t="str">
        <x:f>IF(H14&gt;=0,"AVAILABLE","OVERLOAD")</x:f>
        <x:v>AVAILABLE</x:v>
      </x:c>
    </x:row>
    <x:row r="15" ht="18" customHeight="1">
      <x:c r="B15" s="27" t="str">
        <x:v>F01-Y9</x:v>
      </x:c>
      <x:c r="C15" s="27" t="str">
        <x:v>F01</x:v>
      </x:c>
      <x:c r="D15" s="27" t="str">
        <x:v>public metrology and calibration</x:v>
      </x:c>
      <x:c r="E15" s="27" t="n">
        <x:v>9</x:v>
      </x:c>
      <x:c r="F15" s="27" t="n">
        <x:v>220</x:v>
      </x:c>
      <x:c r="G15" s="27" t="n">
        <x:v>60</x:v>
      </x:c>
      <x:c r="H15" s="27" t="n">
        <x:f>F15-G15</x:f>
        <x:v>160</x:v>
      </x:c>
      <x:c r="I15" s="41" t="n">
        <x:f>G15/F15</x:f>
        <x:v>0.2727272727272727</x:v>
      </x:c>
      <x:c r="J15" s="27" t="str">
        <x:v>OPEN</x:v>
      </x:c>
      <x:c r="K15" s="29" t="str">
        <x:f>IF(H15&gt;=0,"AVAILABLE","OVERLOAD")</x:f>
        <x:v>AVAILABLE</x:v>
      </x:c>
    </x:row>
    <x:row r="16" ht="18" customHeight="1">
      <x:c r="B16" s="27" t="str">
        <x:v>F02-Y1</x:v>
      </x:c>
      <x:c r="C16" s="27" t="str">
        <x:v>F02</x:v>
      </x:c>
      <x:c r="D16" s="27" t="str">
        <x:v>energy and fire-containment laboratory</x:v>
      </x:c>
      <x:c r="E16" s="27" t="n">
        <x:v>1</x:v>
      </x:c>
      <x:c r="F16" s="27" t="n">
        <x:v>180</x:v>
      </x:c>
      <x:c r="G16" s="27" t="n">
        <x:v>60</x:v>
      </x:c>
      <x:c r="H16" s="27" t="n">
        <x:f>F16-G16</x:f>
        <x:v>120</x:v>
      </x:c>
      <x:c r="I16" s="41" t="n">
        <x:f>G16/F16</x:f>
        <x:v>0.3333333333333333</x:v>
      </x:c>
      <x:c r="J16" s="27" t="str">
        <x:v>OPEN</x:v>
      </x:c>
      <x:c r="K16" s="29" t="str">
        <x:f>IF(H16&gt;=0,"AVAILABLE","OVERLOAD")</x:f>
        <x:v>AVAILABLE</x:v>
      </x:c>
    </x:row>
    <x:row r="17" ht="18" customHeight="1">
      <x:c r="B17" s="27" t="str">
        <x:v>F02-Y2</x:v>
      </x:c>
      <x:c r="C17" s="27" t="str">
        <x:v>F02</x:v>
      </x:c>
      <x:c r="D17" s="27" t="str">
        <x:v>energy and fire-containment laboratory</x:v>
      </x:c>
      <x:c r="E17" s="27" t="n">
        <x:v>2</x:v>
      </x:c>
      <x:c r="F17" s="27" t="n">
        <x:v>180</x:v>
      </x:c>
      <x:c r="G17" s="27" t="n">
        <x:v>140</x:v>
      </x:c>
      <x:c r="H17" s="27" t="n">
        <x:f>F17-G17</x:f>
        <x:v>40</x:v>
      </x:c>
      <x:c r="I17" s="41" t="n">
        <x:f>G17/F17</x:f>
        <x:v>0.7777777777777778</x:v>
      </x:c>
      <x:c r="J17" s="27" t="str">
        <x:v>OPEN</x:v>
      </x:c>
      <x:c r="K17" s="29" t="str">
        <x:f>IF(H17&gt;=0,"AVAILABLE","OVERLOAD")</x:f>
        <x:v>AVAILABLE</x:v>
      </x:c>
    </x:row>
    <x:row r="18" ht="18" customHeight="1">
      <x:c r="B18" s="27" t="str">
        <x:v>F02-Y3</x:v>
      </x:c>
      <x:c r="C18" s="27" t="str">
        <x:v>F02</x:v>
      </x:c>
      <x:c r="D18" s="27" t="str">
        <x:v>energy and fire-containment laboratory</x:v>
      </x:c>
      <x:c r="E18" s="27" t="n">
        <x:v>3</x:v>
      </x:c>
      <x:c r="F18" s="27" t="n">
        <x:v>180</x:v>
      </x:c>
      <x:c r="G18" s="27" t="n">
        <x:v>160</x:v>
      </x:c>
      <x:c r="H18" s="27" t="n">
        <x:f>F18-G18</x:f>
        <x:v>20</x:v>
      </x:c>
      <x:c r="I18" s="41" t="n">
        <x:f>G18/F18</x:f>
        <x:v>0.8888888888888888</x:v>
      </x:c>
      <x:c r="J18" s="27" t="str">
        <x:v>OPEN</x:v>
      </x:c>
      <x:c r="K18" s="29" t="str">
        <x:f>IF(H18&gt;=0,"AVAILABLE","OVERLOAD")</x:f>
        <x:v>AVAILABLE</x:v>
      </x:c>
    </x:row>
    <x:row r="19" ht="18" customHeight="1">
      <x:c r="B19" s="27" t="str">
        <x:v>F02-Y4</x:v>
      </x:c>
      <x:c r="C19" s="27" t="str">
        <x:v>F02</x:v>
      </x:c>
      <x:c r="D19" s="27" t="str">
        <x:v>energy and fire-containment laboratory</x:v>
      </x:c>
      <x:c r="E19" s="27" t="n">
        <x:v>4</x:v>
      </x:c>
      <x:c r="F19" s="27" t="n">
        <x:v>180</x:v>
      </x:c>
      <x:c r="G19" s="27" t="n">
        <x:v>150</x:v>
      </x:c>
      <x:c r="H19" s="27" t="n">
        <x:f>F19-G19</x:f>
        <x:v>30</x:v>
      </x:c>
      <x:c r="I19" s="41" t="n">
        <x:f>G19/F19</x:f>
        <x:v>0.8333333333333334</x:v>
      </x:c>
      <x:c r="J19" s="27" t="str">
        <x:v>OPEN</x:v>
      </x:c>
      <x:c r="K19" s="29" t="str">
        <x:f>IF(H19&gt;=0,"AVAILABLE","OVERLOAD")</x:f>
        <x:v>AVAILABLE</x:v>
      </x:c>
    </x:row>
    <x:row r="20" ht="18" customHeight="1">
      <x:c r="B20" s="27" t="str">
        <x:v>F02-Y5</x:v>
      </x:c>
      <x:c r="C20" s="27" t="str">
        <x:v>F02</x:v>
      </x:c>
      <x:c r="D20" s="27" t="str">
        <x:v>energy and fire-containment laboratory</x:v>
      </x:c>
      <x:c r="E20" s="27" t="n">
        <x:v>5</x:v>
      </x:c>
      <x:c r="F20" s="27" t="n">
        <x:v>180</x:v>
      </x:c>
      <x:c r="G20" s="27" t="n">
        <x:v>100</x:v>
      </x:c>
      <x:c r="H20" s="27" t="n">
        <x:f>F20-G20</x:f>
        <x:v>80</x:v>
      </x:c>
      <x:c r="I20" s="41" t="n">
        <x:f>G20/F20</x:f>
        <x:v>0.5555555555555556</x:v>
      </x:c>
      <x:c r="J20" s="27" t="str">
        <x:v>OPEN</x:v>
      </x:c>
      <x:c r="K20" s="29" t="str">
        <x:f>IF(H20&gt;=0,"AVAILABLE","OVERLOAD")</x:f>
        <x:v>AVAILABLE</x:v>
      </x:c>
    </x:row>
    <x:row r="21" ht="18" customHeight="1">
      <x:c r="B21" s="27" t="str">
        <x:v>F02-Y6</x:v>
      </x:c>
      <x:c r="C21" s="27" t="str">
        <x:v>F02</x:v>
      </x:c>
      <x:c r="D21" s="27" t="str">
        <x:v>energy and fire-containment laboratory</x:v>
      </x:c>
      <x:c r="E21" s="27" t="n">
        <x:v>6</x:v>
      </x:c>
      <x:c r="F21" s="27" t="n">
        <x:v>180</x:v>
      </x:c>
      <x:c r="G21" s="27" t="n">
        <x:v>80</x:v>
      </x:c>
      <x:c r="H21" s="27" t="n">
        <x:f>F21-G21</x:f>
        <x:v>100</x:v>
      </x:c>
      <x:c r="I21" s="41" t="n">
        <x:f>G21/F21</x:f>
        <x:v>0.4444444444444444</x:v>
      </x:c>
      <x:c r="J21" s="27" t="str">
        <x:v>OPEN</x:v>
      </x:c>
      <x:c r="K21" s="29" t="str">
        <x:f>IF(H21&gt;=0,"AVAILABLE","OVERLOAD")</x:f>
        <x:v>AVAILABLE</x:v>
      </x:c>
    </x:row>
    <x:row r="22" ht="18" customHeight="1">
      <x:c r="B22" s="27" t="str">
        <x:v>F02-Y7</x:v>
      </x:c>
      <x:c r="C22" s="27" t="str">
        <x:v>F02</x:v>
      </x:c>
      <x:c r="D22" s="27" t="str">
        <x:v>energy and fire-containment laboratory</x:v>
      </x:c>
      <x:c r="E22" s="27" t="n">
        <x:v>7</x:v>
      </x:c>
      <x:c r="F22" s="27" t="n">
        <x:v>180</x:v>
      </x:c>
      <x:c r="G22" s="27" t="n">
        <x:v>60</x:v>
      </x:c>
      <x:c r="H22" s="27" t="n">
        <x:f>F22-G22</x:f>
        <x:v>120</x:v>
      </x:c>
      <x:c r="I22" s="41" t="n">
        <x:f>G22/F22</x:f>
        <x:v>0.3333333333333333</x:v>
      </x:c>
      <x:c r="J22" s="27" t="str">
        <x:v>OPEN</x:v>
      </x:c>
      <x:c r="K22" s="29" t="str">
        <x:f>IF(H22&gt;=0,"AVAILABLE","OVERLOAD")</x:f>
        <x:v>AVAILABLE</x:v>
      </x:c>
    </x:row>
    <x:row r="23" ht="18" customHeight="1">
      <x:c r="B23" s="27" t="str">
        <x:v>F02-Y8</x:v>
      </x:c>
      <x:c r="C23" s="27" t="str">
        <x:v>F02</x:v>
      </x:c>
      <x:c r="D23" s="27" t="str">
        <x:v>energy and fire-containment laboratory</x:v>
      </x:c>
      <x:c r="E23" s="27" t="n">
        <x:v>8</x:v>
      </x:c>
      <x:c r="F23" s="27" t="n">
        <x:v>180</x:v>
      </x:c>
      <x:c r="G23" s="27" t="n">
        <x:v>40</x:v>
      </x:c>
      <x:c r="H23" s="27" t="n">
        <x:f>F23-G23</x:f>
        <x:v>140</x:v>
      </x:c>
      <x:c r="I23" s="41" t="n">
        <x:f>G23/F23</x:f>
        <x:v>0.2222222222222222</x:v>
      </x:c>
      <x:c r="J23" s="27" t="str">
        <x:v>OPEN</x:v>
      </x:c>
      <x:c r="K23" s="29" t="str">
        <x:f>IF(H23&gt;=0,"AVAILABLE","OVERLOAD")</x:f>
        <x:v>AVAILABLE</x:v>
      </x:c>
    </x:row>
    <x:row r="24" ht="18" customHeight="1">
      <x:c r="B24" s="27" t="str">
        <x:v>F02-Y9</x:v>
      </x:c>
      <x:c r="C24" s="27" t="str">
        <x:v>F02</x:v>
      </x:c>
      <x:c r="D24" s="27" t="str">
        <x:v>energy and fire-containment laboratory</x:v>
      </x:c>
      <x:c r="E24" s="27" t="n">
        <x:v>9</x:v>
      </x:c>
      <x:c r="F24" s="27" t="n">
        <x:v>180</x:v>
      </x:c>
      <x:c r="G24" s="27" t="n">
        <x:v>30</x:v>
      </x:c>
      <x:c r="H24" s="27" t="n">
        <x:f>F24-G24</x:f>
        <x:v>150</x:v>
      </x:c>
      <x:c r="I24" s="41" t="n">
        <x:f>G24/F24</x:f>
        <x:v>0.16666666666666666</x:v>
      </x:c>
      <x:c r="J24" s="27" t="str">
        <x:v>OPEN</x:v>
      </x:c>
      <x:c r="K24" s="29" t="str">
        <x:f>IF(H24&gt;=0,"AVAILABLE","OVERLOAD")</x:f>
        <x:v>AVAILABLE</x:v>
      </x:c>
    </x:row>
    <x:row r="25" ht="18" customHeight="1">
      <x:c r="B25" s="27" t="str">
        <x:v>F03-Y1</x:v>
      </x:c>
      <x:c r="C25" s="27" t="str">
        <x:v>F03</x:v>
      </x:c>
      <x:c r="D25" s="27" t="str">
        <x:v>materials and pressure-skin laboratory</x:v>
      </x:c>
      <x:c r="E25" s="27" t="n">
        <x:v>1</x:v>
      </x:c>
      <x:c r="F25" s="27" t="n">
        <x:v>220</x:v>
      </x:c>
      <x:c r="G25" s="27" t="n">
        <x:v>40</x:v>
      </x:c>
      <x:c r="H25" s="27" t="n">
        <x:f>F25-G25</x:f>
        <x:v>180</x:v>
      </x:c>
      <x:c r="I25" s="41" t="n">
        <x:f>G25/F25</x:f>
        <x:v>0.18181818181818182</x:v>
      </x:c>
      <x:c r="J25" s="27" t="str">
        <x:v>OPEN</x:v>
      </x:c>
      <x:c r="K25" s="29" t="str">
        <x:f>IF(H25&gt;=0,"AVAILABLE","OVERLOAD")</x:f>
        <x:v>AVAILABLE</x:v>
      </x:c>
    </x:row>
    <x:row r="26" ht="18" customHeight="1">
      <x:c r="B26" s="27" t="str">
        <x:v>F03-Y2</x:v>
      </x:c>
      <x:c r="C26" s="27" t="str">
        <x:v>F03</x:v>
      </x:c>
      <x:c r="D26" s="27" t="str">
        <x:v>materials and pressure-skin laboratory</x:v>
      </x:c>
      <x:c r="E26" s="27" t="n">
        <x:v>2</x:v>
      </x:c>
      <x:c r="F26" s="27" t="n">
        <x:v>220</x:v>
      </x:c>
      <x:c r="G26" s="27" t="n">
        <x:v>120</x:v>
      </x:c>
      <x:c r="H26" s="27" t="n">
        <x:f>F26-G26</x:f>
        <x:v>100</x:v>
      </x:c>
      <x:c r="I26" s="41" t="n">
        <x:f>G26/F26</x:f>
        <x:v>0.5454545454545454</x:v>
      </x:c>
      <x:c r="J26" s="27" t="str">
        <x:v>OPEN</x:v>
      </x:c>
      <x:c r="K26" s="29" t="str">
        <x:f>IF(H26&gt;=0,"AVAILABLE","OVERLOAD")</x:f>
        <x:v>AVAILABLE</x:v>
      </x:c>
    </x:row>
    <x:row r="27" ht="18" customHeight="1">
      <x:c r="B27" s="27" t="str">
        <x:v>F03-Y3</x:v>
      </x:c>
      <x:c r="C27" s="27" t="str">
        <x:v>F03</x:v>
      </x:c>
      <x:c r="D27" s="27" t="str">
        <x:v>materials and pressure-skin laboratory</x:v>
      </x:c>
      <x:c r="E27" s="27" t="n">
        <x:v>3</x:v>
      </x:c>
      <x:c r="F27" s="27" t="n">
        <x:v>220</x:v>
      </x:c>
      <x:c r="G27" s="27" t="n">
        <x:v>180</x:v>
      </x:c>
      <x:c r="H27" s="27" t="n">
        <x:f>F27-G27</x:f>
        <x:v>40</x:v>
      </x:c>
      <x:c r="I27" s="41" t="n">
        <x:f>G27/F27</x:f>
        <x:v>0.8181818181818182</x:v>
      </x:c>
      <x:c r="J27" s="27" t="str">
        <x:v>OPEN</x:v>
      </x:c>
      <x:c r="K27" s="29" t="str">
        <x:f>IF(H27&gt;=0,"AVAILABLE","OVERLOAD")</x:f>
        <x:v>AVAILABLE</x:v>
      </x:c>
    </x:row>
    <x:row r="28" ht="18" customHeight="1">
      <x:c r="B28" s="27" t="str">
        <x:v>F03-Y4</x:v>
      </x:c>
      <x:c r="C28" s="27" t="str">
        <x:v>F03</x:v>
      </x:c>
      <x:c r="D28" s="27" t="str">
        <x:v>materials and pressure-skin laboratory</x:v>
      </x:c>
      <x:c r="E28" s="27" t="n">
        <x:v>4</x:v>
      </x:c>
      <x:c r="F28" s="27" t="n">
        <x:v>220</x:v>
      </x:c>
      <x:c r="G28" s="27" t="n">
        <x:v>200</x:v>
      </x:c>
      <x:c r="H28" s="27" t="n">
        <x:f>F28-G28</x:f>
        <x:v>20</x:v>
      </x:c>
      <x:c r="I28" s="41" t="n">
        <x:f>G28/F28</x:f>
        <x:v>0.9090909090909091</x:v>
      </x:c>
      <x:c r="J28" s="27" t="str">
        <x:v>OPEN</x:v>
      </x:c>
      <x:c r="K28" s="29" t="str">
        <x:f>IF(H28&gt;=0,"AVAILABLE","OVERLOAD")</x:f>
        <x:v>AVAILABLE</x:v>
      </x:c>
    </x:row>
    <x:row r="29" ht="18" customHeight="1">
      <x:c r="B29" s="27" t="str">
        <x:v>F03-Y5</x:v>
      </x:c>
      <x:c r="C29" s="27" t="str">
        <x:v>F03</x:v>
      </x:c>
      <x:c r="D29" s="27" t="str">
        <x:v>materials and pressure-skin laboratory</x:v>
      </x:c>
      <x:c r="E29" s="27" t="n">
        <x:v>5</x:v>
      </x:c>
      <x:c r="F29" s="27" t="n">
        <x:v>220</x:v>
      </x:c>
      <x:c r="G29" s="27" t="n">
        <x:v>190</x:v>
      </x:c>
      <x:c r="H29" s="27" t="n">
        <x:f>F29-G29</x:f>
        <x:v>30</x:v>
      </x:c>
      <x:c r="I29" s="41" t="n">
        <x:f>G29/F29</x:f>
        <x:v>0.8636363636363636</x:v>
      </x:c>
      <x:c r="J29" s="27" t="str">
        <x:v>OPEN</x:v>
      </x:c>
      <x:c r="K29" s="29" t="str">
        <x:f>IF(H29&gt;=0,"AVAILABLE","OVERLOAD")</x:f>
        <x:v>AVAILABLE</x:v>
      </x:c>
    </x:row>
    <x:row r="30" ht="18" customHeight="1">
      <x:c r="B30" s="27" t="str">
        <x:v>F03-Y6</x:v>
      </x:c>
      <x:c r="C30" s="27" t="str">
        <x:v>F03</x:v>
      </x:c>
      <x:c r="D30" s="27" t="str">
        <x:v>materials and pressure-skin laboratory</x:v>
      </x:c>
      <x:c r="E30" s="27" t="n">
        <x:v>6</x:v>
      </x:c>
      <x:c r="F30" s="27" t="n">
        <x:v>220</x:v>
      </x:c>
      <x:c r="G30" s="27" t="n">
        <x:v>160</x:v>
      </x:c>
      <x:c r="H30" s="27" t="n">
        <x:f>F30-G30</x:f>
        <x:v>60</x:v>
      </x:c>
      <x:c r="I30" s="41" t="n">
        <x:f>G30/F30</x:f>
        <x:v>0.7272727272727273</x:v>
      </x:c>
      <x:c r="J30" s="27" t="str">
        <x:v>OPEN</x:v>
      </x:c>
      <x:c r="K30" s="29" t="str">
        <x:f>IF(H30&gt;=0,"AVAILABLE","OVERLOAD")</x:f>
        <x:v>AVAILABLE</x:v>
      </x:c>
    </x:row>
    <x:row r="31" ht="18" customHeight="1">
      <x:c r="B31" s="27" t="str">
        <x:v>F03-Y7</x:v>
      </x:c>
      <x:c r="C31" s="27" t="str">
        <x:v>F03</x:v>
      </x:c>
      <x:c r="D31" s="27" t="str">
        <x:v>materials and pressure-skin laboratory</x:v>
      </x:c>
      <x:c r="E31" s="27" t="n">
        <x:v>7</x:v>
      </x:c>
      <x:c r="F31" s="27" t="n">
        <x:v>220</x:v>
      </x:c>
      <x:c r="G31" s="27" t="n">
        <x:v>100</x:v>
      </x:c>
      <x:c r="H31" s="27" t="n">
        <x:f>F31-G31</x:f>
        <x:v>120</x:v>
      </x:c>
      <x:c r="I31" s="41" t="n">
        <x:f>G31/F31</x:f>
        <x:v>0.45454545454545453</x:v>
      </x:c>
      <x:c r="J31" s="27" t="str">
        <x:v>OPEN</x:v>
      </x:c>
      <x:c r="K31" s="29" t="str">
        <x:f>IF(H31&gt;=0,"AVAILABLE","OVERLOAD")</x:f>
        <x:v>AVAILABLE</x:v>
      </x:c>
    </x:row>
    <x:row r="32" ht="18" customHeight="1">
      <x:c r="B32" s="27" t="str">
        <x:v>F03-Y8</x:v>
      </x:c>
      <x:c r="C32" s="27" t="str">
        <x:v>F03</x:v>
      </x:c>
      <x:c r="D32" s="27" t="str">
        <x:v>materials and pressure-skin laboratory</x:v>
      </x:c>
      <x:c r="E32" s="27" t="n">
        <x:v>8</x:v>
      </x:c>
      <x:c r="F32" s="27" t="n">
        <x:v>220</x:v>
      </x:c>
      <x:c r="G32" s="27" t="n">
        <x:v>60</x:v>
      </x:c>
      <x:c r="H32" s="27" t="n">
        <x:f>F32-G32</x:f>
        <x:v>160</x:v>
      </x:c>
      <x:c r="I32" s="41" t="n">
        <x:f>G32/F32</x:f>
        <x:v>0.2727272727272727</x:v>
      </x:c>
      <x:c r="J32" s="27" t="str">
        <x:v>OPEN</x:v>
      </x:c>
      <x:c r="K32" s="29" t="str">
        <x:f>IF(H32&gt;=0,"AVAILABLE","OVERLOAD")</x:f>
        <x:v>AVAILABLE</x:v>
      </x:c>
    </x:row>
    <x:row r="33" ht="18" customHeight="1">
      <x:c r="B33" s="27" t="str">
        <x:v>F03-Y9</x:v>
      </x:c>
      <x:c r="C33" s="27" t="str">
        <x:v>F03</x:v>
      </x:c>
      <x:c r="D33" s="27" t="str">
        <x:v>materials and pressure-skin laboratory</x:v>
      </x:c>
      <x:c r="E33" s="27" t="n">
        <x:v>9</x:v>
      </x:c>
      <x:c r="F33" s="27" t="n">
        <x:v>220</x:v>
      </x:c>
      <x:c r="G33" s="27" t="n">
        <x:v>40</x:v>
      </x:c>
      <x:c r="H33" s="27" t="n">
        <x:f>F33-G33</x:f>
        <x:v>180</x:v>
      </x:c>
      <x:c r="I33" s="41" t="n">
        <x:f>G33/F33</x:f>
        <x:v>0.18181818181818182</x:v>
      </x:c>
      <x:c r="J33" s="27" t="str">
        <x:v>OPEN</x:v>
      </x:c>
      <x:c r="K33" s="29" t="str">
        <x:f>IF(H33&gt;=0,"AVAILABLE","OVERLOAD")</x:f>
        <x:v>AVAILABLE</x:v>
      </x:c>
    </x:row>
    <x:row r="34" ht="18" customHeight="1">
      <x:c r="B34" s="27" t="str">
        <x:v>F04-Y1</x:v>
      </x:c>
      <x:c r="C34" s="27" t="str">
        <x:v>F04</x:v>
      </x:c>
      <x:c r="D34" s="27" t="str">
        <x:v>environmental exposure complex</x:v>
      </x:c>
      <x:c r="E34" s="27" t="n">
        <x:v>1</x:v>
      </x:c>
      <x:c r="F34" s="27" t="n">
        <x:v>200</x:v>
      </x:c>
      <x:c r="G34" s="27" t="n">
        <x:v>20</x:v>
      </x:c>
      <x:c r="H34" s="27" t="n">
        <x:f>F34-G34</x:f>
        <x:v>180</x:v>
      </x:c>
      <x:c r="I34" s="41" t="n">
        <x:f>G34/F34</x:f>
        <x:v>0.1</x:v>
      </x:c>
      <x:c r="J34" s="27" t="str">
        <x:v>OPEN</x:v>
      </x:c>
      <x:c r="K34" s="29" t="str">
        <x:f>IF(H34&gt;=0,"AVAILABLE","OVERLOAD")</x:f>
        <x:v>AVAILABLE</x:v>
      </x:c>
    </x:row>
    <x:row r="35" ht="18" customHeight="1">
      <x:c r="B35" s="27" t="str">
        <x:v>F04-Y2</x:v>
      </x:c>
      <x:c r="C35" s="27" t="str">
        <x:v>F04</x:v>
      </x:c>
      <x:c r="D35" s="27" t="str">
        <x:v>environmental exposure complex</x:v>
      </x:c>
      <x:c r="E35" s="27" t="n">
        <x:v>2</x:v>
      </x:c>
      <x:c r="F35" s="27" t="n">
        <x:v>200</x:v>
      </x:c>
      <x:c r="G35" s="27" t="n">
        <x:v>100</x:v>
      </x:c>
      <x:c r="H35" s="27" t="n">
        <x:f>F35-G35</x:f>
        <x:v>100</x:v>
      </x:c>
      <x:c r="I35" s="41" t="n">
        <x:f>G35/F35</x:f>
        <x:v>0.5</x:v>
      </x:c>
      <x:c r="J35" s="27" t="str">
        <x:v>OPEN</x:v>
      </x:c>
      <x:c r="K35" s="29" t="str">
        <x:f>IF(H35&gt;=0,"AVAILABLE","OVERLOAD")</x:f>
        <x:v>AVAILABLE</x:v>
      </x:c>
    </x:row>
    <x:row r="36" ht="18" customHeight="1">
      <x:c r="B36" s="27" t="str">
        <x:v>F04-Y3</x:v>
      </x:c>
      <x:c r="C36" s="27" t="str">
        <x:v>F04</x:v>
      </x:c>
      <x:c r="D36" s="27" t="str">
        <x:v>environmental exposure complex</x:v>
      </x:c>
      <x:c r="E36" s="27" t="n">
        <x:v>3</x:v>
      </x:c>
      <x:c r="F36" s="27" t="n">
        <x:v>200</x:v>
      </x:c>
      <x:c r="G36" s="27" t="n">
        <x:v>170</x:v>
      </x:c>
      <x:c r="H36" s="27" t="n">
        <x:f>F36-G36</x:f>
        <x:v>30</x:v>
      </x:c>
      <x:c r="I36" s="41" t="n">
        <x:f>G36/F36</x:f>
        <x:v>0.85</x:v>
      </x:c>
      <x:c r="J36" s="27" t="str">
        <x:v>OPEN</x:v>
      </x:c>
      <x:c r="K36" s="29" t="str">
        <x:f>IF(H36&gt;=0,"AVAILABLE","OVERLOAD")</x:f>
        <x:v>AVAILABLE</x:v>
      </x:c>
    </x:row>
    <x:row r="37" ht="18" customHeight="1">
      <x:c r="B37" s="27" t="str">
        <x:v>F04-Y4</x:v>
      </x:c>
      <x:c r="C37" s="27" t="str">
        <x:v>F04</x:v>
      </x:c>
      <x:c r="D37" s="27" t="str">
        <x:v>environmental exposure complex</x:v>
      </x:c>
      <x:c r="E37" s="27" t="n">
        <x:v>4</x:v>
      </x:c>
      <x:c r="F37" s="27" t="n">
        <x:v>200</x:v>
      </x:c>
      <x:c r="G37" s="27" t="n">
        <x:v>180</x:v>
      </x:c>
      <x:c r="H37" s="27" t="n">
        <x:f>F37-G37</x:f>
        <x:v>20</x:v>
      </x:c>
      <x:c r="I37" s="41" t="n">
        <x:f>G37/F37</x:f>
        <x:v>0.9</x:v>
      </x:c>
      <x:c r="J37" s="27" t="str">
        <x:v>OPEN</x:v>
      </x:c>
      <x:c r="K37" s="29" t="str">
        <x:f>IF(H37&gt;=0,"AVAILABLE","OVERLOAD")</x:f>
        <x:v>AVAILABLE</x:v>
      </x:c>
    </x:row>
    <x:row r="38" ht="18" customHeight="1">
      <x:c r="B38" s="27" t="str">
        <x:v>F04-Y5</x:v>
      </x:c>
      <x:c r="C38" s="27" t="str">
        <x:v>F04</x:v>
      </x:c>
      <x:c r="D38" s="27" t="str">
        <x:v>environmental exposure complex</x:v>
      </x:c>
      <x:c r="E38" s="27" t="n">
        <x:v>5</x:v>
      </x:c>
      <x:c r="F38" s="27" t="n">
        <x:v>200</x:v>
      </x:c>
      <x:c r="G38" s="27" t="n">
        <x:v>180</x:v>
      </x:c>
      <x:c r="H38" s="27" t="n">
        <x:f>F38-G38</x:f>
        <x:v>20</x:v>
      </x:c>
      <x:c r="I38" s="41" t="n">
        <x:f>G38/F38</x:f>
        <x:v>0.9</x:v>
      </x:c>
      <x:c r="J38" s="27" t="str">
        <x:v>OPEN</x:v>
      </x:c>
      <x:c r="K38" s="29" t="str">
        <x:f>IF(H38&gt;=0,"AVAILABLE","OVERLOAD")</x:f>
        <x:v>AVAILABLE</x:v>
      </x:c>
    </x:row>
    <x:row r="39" ht="18" customHeight="1">
      <x:c r="B39" s="27" t="str">
        <x:v>F04-Y6</x:v>
      </x:c>
      <x:c r="C39" s="27" t="str">
        <x:v>F04</x:v>
      </x:c>
      <x:c r="D39" s="27" t="str">
        <x:v>environmental exposure complex</x:v>
      </x:c>
      <x:c r="E39" s="27" t="n">
        <x:v>6</x:v>
      </x:c>
      <x:c r="F39" s="27" t="n">
        <x:v>200</x:v>
      </x:c>
      <x:c r="G39" s="27" t="n">
        <x:v>160</x:v>
      </x:c>
      <x:c r="H39" s="27" t="n">
        <x:f>F39-G39</x:f>
        <x:v>40</x:v>
      </x:c>
      <x:c r="I39" s="41" t="n">
        <x:f>G39/F39</x:f>
        <x:v>0.8</x:v>
      </x:c>
      <x:c r="J39" s="27" t="str">
        <x:v>OPEN</x:v>
      </x:c>
      <x:c r="K39" s="29" t="str">
        <x:f>IF(H39&gt;=0,"AVAILABLE","OVERLOAD")</x:f>
        <x:v>AVAILABLE</x:v>
      </x:c>
    </x:row>
    <x:row r="40" ht="18" customHeight="1">
      <x:c r="B40" s="27" t="str">
        <x:v>F04-Y7</x:v>
      </x:c>
      <x:c r="C40" s="27" t="str">
        <x:v>F04</x:v>
      </x:c>
      <x:c r="D40" s="27" t="str">
        <x:v>environmental exposure complex</x:v>
      </x:c>
      <x:c r="E40" s="27" t="n">
        <x:v>7</x:v>
      </x:c>
      <x:c r="F40" s="27" t="n">
        <x:v>200</x:v>
      </x:c>
      <x:c r="G40" s="27" t="n">
        <x:v>120</x:v>
      </x:c>
      <x:c r="H40" s="27" t="n">
        <x:f>F40-G40</x:f>
        <x:v>80</x:v>
      </x:c>
      <x:c r="I40" s="41" t="n">
        <x:f>G40/F40</x:f>
        <x:v>0.6</x:v>
      </x:c>
      <x:c r="J40" s="27" t="str">
        <x:v>OPEN</x:v>
      </x:c>
      <x:c r="K40" s="29" t="str">
        <x:f>IF(H40&gt;=0,"AVAILABLE","OVERLOAD")</x:f>
        <x:v>AVAILABLE</x:v>
      </x:c>
    </x:row>
    <x:row r="41" ht="18" customHeight="1">
      <x:c r="B41" s="27" t="str">
        <x:v>F04-Y8</x:v>
      </x:c>
      <x:c r="C41" s="27" t="str">
        <x:v>F04</x:v>
      </x:c>
      <x:c r="D41" s="27" t="str">
        <x:v>environmental exposure complex</x:v>
      </x:c>
      <x:c r="E41" s="27" t="n">
        <x:v>8</x:v>
      </x:c>
      <x:c r="F41" s="27" t="n">
        <x:v>200</x:v>
      </x:c>
      <x:c r="G41" s="27" t="n">
        <x:v>80</x:v>
      </x:c>
      <x:c r="H41" s="27" t="n">
        <x:f>F41-G41</x:f>
        <x:v>120</x:v>
      </x:c>
      <x:c r="I41" s="41" t="n">
        <x:f>G41/F41</x:f>
        <x:v>0.4</x:v>
      </x:c>
      <x:c r="J41" s="27" t="str">
        <x:v>OPEN</x:v>
      </x:c>
      <x:c r="K41" s="29" t="str">
        <x:f>IF(H41&gt;=0,"AVAILABLE","OVERLOAD")</x:f>
        <x:v>AVAILABLE</x:v>
      </x:c>
    </x:row>
    <x:row r="42" ht="18" customHeight="1">
      <x:c r="B42" s="27" t="str">
        <x:v>F04-Y9</x:v>
      </x:c>
      <x:c r="C42" s="27" t="str">
        <x:v>F04</x:v>
      </x:c>
      <x:c r="D42" s="27" t="str">
        <x:v>environmental exposure complex</x:v>
      </x:c>
      <x:c r="E42" s="27" t="n">
        <x:v>9</x:v>
      </x:c>
      <x:c r="F42" s="27" t="n">
        <x:v>200</x:v>
      </x:c>
      <x:c r="G42" s="27" t="n">
        <x:v>40</x:v>
      </x:c>
      <x:c r="H42" s="27" t="n">
        <x:f>F42-G42</x:f>
        <x:v>160</x:v>
      </x:c>
      <x:c r="I42" s="41" t="n">
        <x:f>G42/F42</x:f>
        <x:v>0.2</x:v>
      </x:c>
      <x:c r="J42" s="27" t="str">
        <x:v>OPEN</x:v>
      </x:c>
      <x:c r="K42" s="29" t="str">
        <x:f>IF(H42&gt;=0,"AVAILABLE","OVERLOAD")</x:f>
        <x:v>AVAILABLE</x:v>
      </x:c>
    </x:row>
    <x:row r="43" ht="18" customHeight="1">
      <x:c r="B43" s="27" t="str">
        <x:v>F05-Y1</x:v>
      </x:c>
      <x:c r="C43" s="27" t="str">
        <x:v>F05</x:v>
      </x:c>
      <x:c r="D43" s="27" t="str">
        <x:v>air carrier systems range</x:v>
      </x:c>
      <x:c r="E43" s="27" t="n">
        <x:v>1</x:v>
      </x:c>
      <x:c r="F43" s="27" t="n">
        <x:v>140</x:v>
      </x:c>
      <x:c r="G43" s="27" t="n">
        <x:v>0</x:v>
      </x:c>
      <x:c r="H43" s="27" t="n">
        <x:f>F43-G43</x:f>
        <x:v>140</x:v>
      </x:c>
      <x:c r="I43" s="41" t="n">
        <x:f>G43/F43</x:f>
        <x:v>0</x:v>
      </x:c>
      <x:c r="J43" s="27" t="str">
        <x:v>OPEN</x:v>
      </x:c>
      <x:c r="K43" s="29" t="str">
        <x:f>IF(H43&gt;=0,"AVAILABLE","OVERLOAD")</x:f>
        <x:v>AVAILABLE</x:v>
      </x:c>
    </x:row>
    <x:row r="44" ht="18" customHeight="1">
      <x:c r="B44" s="27" t="str">
        <x:v>F05-Y2</x:v>
      </x:c>
      <x:c r="C44" s="27" t="str">
        <x:v>F05</x:v>
      </x:c>
      <x:c r="D44" s="27" t="str">
        <x:v>air carrier systems range</x:v>
      </x:c>
      <x:c r="E44" s="27" t="n">
        <x:v>2</x:v>
      </x:c>
      <x:c r="F44" s="27" t="n">
        <x:v>140</x:v>
      </x:c>
      <x:c r="G44" s="27" t="n">
        <x:v>20</x:v>
      </x:c>
      <x:c r="H44" s="27" t="n">
        <x:f>F44-G44</x:f>
        <x:v>120</x:v>
      </x:c>
      <x:c r="I44" s="41" t="n">
        <x:f>G44/F44</x:f>
        <x:v>0.14285714285714285</x:v>
      </x:c>
      <x:c r="J44" s="27" t="str">
        <x:v>OPEN</x:v>
      </x:c>
      <x:c r="K44" s="29" t="str">
        <x:f>IF(H44&gt;=0,"AVAILABLE","OVERLOAD")</x:f>
        <x:v>AVAILABLE</x:v>
      </x:c>
    </x:row>
    <x:row r="45" ht="18" customHeight="1">
      <x:c r="B45" s="27" t="str">
        <x:v>F05-Y3</x:v>
      </x:c>
      <x:c r="C45" s="27" t="str">
        <x:v>F05</x:v>
      </x:c>
      <x:c r="D45" s="27" t="str">
        <x:v>air carrier systems range</x:v>
      </x:c>
      <x:c r="E45" s="27" t="n">
        <x:v>3</x:v>
      </x:c>
      <x:c r="F45" s="27" t="n">
        <x:v>140</x:v>
      </x:c>
      <x:c r="G45" s="27" t="n">
        <x:v>60</x:v>
      </x:c>
      <x:c r="H45" s="27" t="n">
        <x:f>F45-G45</x:f>
        <x:v>80</x:v>
      </x:c>
      <x:c r="I45" s="41" t="n">
        <x:f>G45/F45</x:f>
        <x:v>0.42857142857142855</x:v>
      </x:c>
      <x:c r="J45" s="27" t="str">
        <x:v>OPEN</x:v>
      </x:c>
      <x:c r="K45" s="29" t="str">
        <x:f>IF(H45&gt;=0,"AVAILABLE","OVERLOAD")</x:f>
        <x:v>AVAILABLE</x:v>
      </x:c>
    </x:row>
    <x:row r="46" ht="18" customHeight="1">
      <x:c r="B46" s="27" t="str">
        <x:v>F05-Y4</x:v>
      </x:c>
      <x:c r="C46" s="27" t="str">
        <x:v>F05</x:v>
      </x:c>
      <x:c r="D46" s="27" t="str">
        <x:v>air carrier systems range</x:v>
      </x:c>
      <x:c r="E46" s="27" t="n">
        <x:v>4</x:v>
      </x:c>
      <x:c r="F46" s="27" t="n">
        <x:v>140</x:v>
      </x:c>
      <x:c r="G46" s="27" t="n">
        <x:v>100</x:v>
      </x:c>
      <x:c r="H46" s="27" t="n">
        <x:f>F46-G46</x:f>
        <x:v>40</x:v>
      </x:c>
      <x:c r="I46" s="41" t="n">
        <x:f>G46/F46</x:f>
        <x:v>0.7142857142857143</x:v>
      </x:c>
      <x:c r="J46" s="27" t="str">
        <x:v>OPEN</x:v>
      </x:c>
      <x:c r="K46" s="29" t="str">
        <x:f>IF(H46&gt;=0,"AVAILABLE","OVERLOAD")</x:f>
        <x:v>AVAILABLE</x:v>
      </x:c>
    </x:row>
    <x:row r="47" ht="18" customHeight="1">
      <x:c r="B47" s="27" t="str">
        <x:v>F05-Y5</x:v>
      </x:c>
      <x:c r="C47" s="27" t="str">
        <x:v>F05</x:v>
      </x:c>
      <x:c r="D47" s="27" t="str">
        <x:v>air carrier systems range</x:v>
      </x:c>
      <x:c r="E47" s="27" t="n">
        <x:v>5</x:v>
      </x:c>
      <x:c r="F47" s="27" t="n">
        <x:v>140</x:v>
      </x:c>
      <x:c r="G47" s="27" t="n">
        <x:v>120</x:v>
      </x:c>
      <x:c r="H47" s="27" t="n">
        <x:f>F47-G47</x:f>
        <x:v>20</x:v>
      </x:c>
      <x:c r="I47" s="41" t="n">
        <x:f>G47/F47</x:f>
        <x:v>0.8571428571428571</x:v>
      </x:c>
      <x:c r="J47" s="27" t="str">
        <x:v>OPEN</x:v>
      </x:c>
      <x:c r="K47" s="29" t="str">
        <x:f>IF(H47&gt;=0,"AVAILABLE","OVERLOAD")</x:f>
        <x:v>AVAILABLE</x:v>
      </x:c>
    </x:row>
    <x:row r="48" ht="18" customHeight="1">
      <x:c r="B48" s="27" t="str">
        <x:v>F05-Y6</x:v>
      </x:c>
      <x:c r="C48" s="27" t="str">
        <x:v>F05</x:v>
      </x:c>
      <x:c r="D48" s="27" t="str">
        <x:v>air carrier systems range</x:v>
      </x:c>
      <x:c r="E48" s="27" t="n">
        <x:v>6</x:v>
      </x:c>
      <x:c r="F48" s="27" t="n">
        <x:v>140</x:v>
      </x:c>
      <x:c r="G48" s="27" t="n">
        <x:v>120</x:v>
      </x:c>
      <x:c r="H48" s="27" t="n">
        <x:f>F48-G48</x:f>
        <x:v>20</x:v>
      </x:c>
      <x:c r="I48" s="41" t="n">
        <x:f>G48/F48</x:f>
        <x:v>0.8571428571428571</x:v>
      </x:c>
      <x:c r="J48" s="27" t="str">
        <x:v>OPEN</x:v>
      </x:c>
      <x:c r="K48" s="29" t="str">
        <x:f>IF(H48&gt;=0,"AVAILABLE","OVERLOAD")</x:f>
        <x:v>AVAILABLE</x:v>
      </x:c>
    </x:row>
    <x:row r="49" ht="18" customHeight="1">
      <x:c r="B49" s="27" t="str">
        <x:v>F05-Y7</x:v>
      </x:c>
      <x:c r="C49" s="27" t="str">
        <x:v>F05</x:v>
      </x:c>
      <x:c r="D49" s="27" t="str">
        <x:v>air carrier systems range</x:v>
      </x:c>
      <x:c r="E49" s="27" t="n">
        <x:v>7</x:v>
      </x:c>
      <x:c r="F49" s="27" t="n">
        <x:v>140</x:v>
      </x:c>
      <x:c r="G49" s="27" t="n">
        <x:v>110</x:v>
      </x:c>
      <x:c r="H49" s="27" t="n">
        <x:f>F49-G49</x:f>
        <x:v>30</x:v>
      </x:c>
      <x:c r="I49" s="41" t="n">
        <x:f>G49/F49</x:f>
        <x:v>0.7857142857142857</x:v>
      </x:c>
      <x:c r="J49" s="27" t="str">
        <x:v>OPEN</x:v>
      </x:c>
      <x:c r="K49" s="29" t="str">
        <x:f>IF(H49&gt;=0,"AVAILABLE","OVERLOAD")</x:f>
        <x:v>AVAILABLE</x:v>
      </x:c>
    </x:row>
    <x:row r="50" ht="18" customHeight="1">
      <x:c r="B50" s="27" t="str">
        <x:v>F05-Y8</x:v>
      </x:c>
      <x:c r="C50" s="27" t="str">
        <x:v>F05</x:v>
      </x:c>
      <x:c r="D50" s="27" t="str">
        <x:v>air carrier systems range</x:v>
      </x:c>
      <x:c r="E50" s="27" t="n">
        <x:v>8</x:v>
      </x:c>
      <x:c r="F50" s="27" t="n">
        <x:v>140</x:v>
      </x:c>
      <x:c r="G50" s="27" t="n">
        <x:v>100</x:v>
      </x:c>
      <x:c r="H50" s="27" t="n">
        <x:f>F50-G50</x:f>
        <x:v>40</x:v>
      </x:c>
      <x:c r="I50" s="41" t="n">
        <x:f>G50/F50</x:f>
        <x:v>0.7142857142857143</x:v>
      </x:c>
      <x:c r="J50" s="27" t="str">
        <x:v>OPEN</x:v>
      </x:c>
      <x:c r="K50" s="29" t="str">
        <x:f>IF(H50&gt;=0,"AVAILABLE","OVERLOAD")</x:f>
        <x:v>AVAILABLE</x:v>
      </x:c>
    </x:row>
    <x:row r="51" ht="18" customHeight="1">
      <x:c r="B51" s="27" t="str">
        <x:v>F05-Y9</x:v>
      </x:c>
      <x:c r="C51" s="27" t="str">
        <x:v>F05</x:v>
      </x:c>
      <x:c r="D51" s="27" t="str">
        <x:v>air carrier systems range</x:v>
      </x:c>
      <x:c r="E51" s="27" t="n">
        <x:v>9</x:v>
      </x:c>
      <x:c r="F51" s="27" t="n">
        <x:v>140</x:v>
      </x:c>
      <x:c r="G51" s="27" t="n">
        <x:v>80</x:v>
      </x:c>
      <x:c r="H51" s="27" t="n">
        <x:f>F51-G51</x:f>
        <x:v>60</x:v>
      </x:c>
      <x:c r="I51" s="41" t="n">
        <x:f>G51/F51</x:f>
        <x:v>0.5714285714285714</x:v>
      </x:c>
      <x:c r="J51" s="27" t="str">
        <x:v>OPEN</x:v>
      </x:c>
      <x:c r="K51" s="29" t="str">
        <x:f>IF(H51&gt;=0,"AVAILABLE","OVERLOAD")</x:f>
        <x:v>AVAILABLE</x:v>
      </x:c>
    </x:row>
    <x:row r="52" ht="18" customHeight="1">
      <x:c r="B52" s="27" t="str">
        <x:v>F06-Y1</x:v>
      </x:c>
      <x:c r="C52" s="27" t="str">
        <x:v>F06</x:v>
      </x:c>
      <x:c r="D52" s="27" t="str">
        <x:v>terrain carrier and soil range</x:v>
      </x:c>
      <x:c r="E52" s="27" t="n">
        <x:v>1</x:v>
      </x:c>
      <x:c r="F52" s="27" t="n">
        <x:v>140</x:v>
      </x:c>
      <x:c r="G52" s="27" t="n">
        <x:v>0</x:v>
      </x:c>
      <x:c r="H52" s="27" t="n">
        <x:f>F52-G52</x:f>
        <x:v>140</x:v>
      </x:c>
      <x:c r="I52" s="41" t="n">
        <x:f>G52/F52</x:f>
        <x:v>0</x:v>
      </x:c>
      <x:c r="J52" s="27" t="str">
        <x:v>OPEN</x:v>
      </x:c>
      <x:c r="K52" s="29" t="str">
        <x:f>IF(H52&gt;=0,"AVAILABLE","OVERLOAD")</x:f>
        <x:v>AVAILABLE</x:v>
      </x:c>
    </x:row>
    <x:row r="53" ht="18" customHeight="1">
      <x:c r="B53" s="27" t="str">
        <x:v>F06-Y2</x:v>
      </x:c>
      <x:c r="C53" s="27" t="str">
        <x:v>F06</x:v>
      </x:c>
      <x:c r="D53" s="27" t="str">
        <x:v>terrain carrier and soil range</x:v>
      </x:c>
      <x:c r="E53" s="27" t="n">
        <x:v>2</x:v>
      </x:c>
      <x:c r="F53" s="27" t="n">
        <x:v>140</x:v>
      </x:c>
      <x:c r="G53" s="27" t="n">
        <x:v>20</x:v>
      </x:c>
      <x:c r="H53" s="27" t="n">
        <x:f>F53-G53</x:f>
        <x:v>120</x:v>
      </x:c>
      <x:c r="I53" s="41" t="n">
        <x:f>G53/F53</x:f>
        <x:v>0.14285714285714285</x:v>
      </x:c>
      <x:c r="J53" s="27" t="str">
        <x:v>OPEN</x:v>
      </x:c>
      <x:c r="K53" s="29" t="str">
        <x:f>IF(H53&gt;=0,"AVAILABLE","OVERLOAD")</x:f>
        <x:v>AVAILABLE</x:v>
      </x:c>
    </x:row>
    <x:row r="54" ht="18" customHeight="1">
      <x:c r="B54" s="27" t="str">
        <x:v>F06-Y3</x:v>
      </x:c>
      <x:c r="C54" s="27" t="str">
        <x:v>F06</x:v>
      </x:c>
      <x:c r="D54" s="27" t="str">
        <x:v>terrain carrier and soil range</x:v>
      </x:c>
      <x:c r="E54" s="27" t="n">
        <x:v>3</x:v>
      </x:c>
      <x:c r="F54" s="27" t="n">
        <x:v>140</x:v>
      </x:c>
      <x:c r="G54" s="27" t="n">
        <x:v>80</x:v>
      </x:c>
      <x:c r="H54" s="27" t="n">
        <x:f>F54-G54</x:f>
        <x:v>60</x:v>
      </x:c>
      <x:c r="I54" s="41" t="n">
        <x:f>G54/F54</x:f>
        <x:v>0.5714285714285714</x:v>
      </x:c>
      <x:c r="J54" s="27" t="str">
        <x:v>OPEN</x:v>
      </x:c>
      <x:c r="K54" s="29" t="str">
        <x:f>IF(H54&gt;=0,"AVAILABLE","OVERLOAD")</x:f>
        <x:v>AVAILABLE</x:v>
      </x:c>
    </x:row>
    <x:row r="55" ht="18" customHeight="1">
      <x:c r="B55" s="27" t="str">
        <x:v>F06-Y4</x:v>
      </x:c>
      <x:c r="C55" s="27" t="str">
        <x:v>F06</x:v>
      </x:c>
      <x:c r="D55" s="27" t="str">
        <x:v>terrain carrier and soil range</x:v>
      </x:c>
      <x:c r="E55" s="27" t="n">
        <x:v>4</x:v>
      </x:c>
      <x:c r="F55" s="27" t="n">
        <x:v>140</x:v>
      </x:c>
      <x:c r="G55" s="27" t="n">
        <x:v>120</x:v>
      </x:c>
      <x:c r="H55" s="27" t="n">
        <x:f>F55-G55</x:f>
        <x:v>20</x:v>
      </x:c>
      <x:c r="I55" s="41" t="n">
        <x:f>G55/F55</x:f>
        <x:v>0.8571428571428571</x:v>
      </x:c>
      <x:c r="J55" s="27" t="str">
        <x:v>OPEN</x:v>
      </x:c>
      <x:c r="K55" s="29" t="str">
        <x:f>IF(H55&gt;=0,"AVAILABLE","OVERLOAD")</x:f>
        <x:v>AVAILABLE</x:v>
      </x:c>
    </x:row>
    <x:row r="56" ht="18" customHeight="1">
      <x:c r="B56" s="27" t="str">
        <x:v>F06-Y5</x:v>
      </x:c>
      <x:c r="C56" s="27" t="str">
        <x:v>F06</x:v>
      </x:c>
      <x:c r="D56" s="27" t="str">
        <x:v>terrain carrier and soil range</x:v>
      </x:c>
      <x:c r="E56" s="27" t="n">
        <x:v>5</x:v>
      </x:c>
      <x:c r="F56" s="27" t="n">
        <x:v>140</x:v>
      </x:c>
      <x:c r="G56" s="27" t="n">
        <x:v>135</x:v>
      </x:c>
      <x:c r="H56" s="27" t="n">
        <x:f>F56-G56</x:f>
        <x:v>5</x:v>
      </x:c>
      <x:c r="I56" s="41" t="n">
        <x:f>G56/F56</x:f>
        <x:v>0.9642857142857143</x:v>
      </x:c>
      <x:c r="J56" s="27" t="str">
        <x:v>OPEN</x:v>
      </x:c>
      <x:c r="K56" s="29" t="str">
        <x:f>IF(H56&gt;=0,"AVAILABLE","OVERLOAD")</x:f>
        <x:v>AVAILABLE</x:v>
      </x:c>
    </x:row>
    <x:row r="57" ht="18" customHeight="1">
      <x:c r="B57" s="27" t="str">
        <x:v>F06-Y6</x:v>
      </x:c>
      <x:c r="C57" s="27" t="str">
        <x:v>F06</x:v>
      </x:c>
      <x:c r="D57" s="27" t="str">
        <x:v>terrain carrier and soil range</x:v>
      </x:c>
      <x:c r="E57" s="27" t="n">
        <x:v>6</x:v>
      </x:c>
      <x:c r="F57" s="27" t="n">
        <x:v>140</x:v>
      </x:c>
      <x:c r="G57" s="27" t="n">
        <x:v>130</x:v>
      </x:c>
      <x:c r="H57" s="27" t="n">
        <x:f>F57-G57</x:f>
        <x:v>10</x:v>
      </x:c>
      <x:c r="I57" s="41" t="n">
        <x:f>G57/F57</x:f>
        <x:v>0.9285714285714286</x:v>
      </x:c>
      <x:c r="J57" s="27" t="str">
        <x:v>OPEN</x:v>
      </x:c>
      <x:c r="K57" s="29" t="str">
        <x:f>IF(H57&gt;=0,"AVAILABLE","OVERLOAD")</x:f>
        <x:v>AVAILABLE</x:v>
      </x:c>
    </x:row>
    <x:row r="58" ht="18" customHeight="1">
      <x:c r="B58" s="27" t="str">
        <x:v>F06-Y7</x:v>
      </x:c>
      <x:c r="C58" s="27" t="str">
        <x:v>F06</x:v>
      </x:c>
      <x:c r="D58" s="27" t="str">
        <x:v>terrain carrier and soil range</x:v>
      </x:c>
      <x:c r="E58" s="27" t="n">
        <x:v>7</x:v>
      </x:c>
      <x:c r="F58" s="27" t="n">
        <x:v>140</x:v>
      </x:c>
      <x:c r="G58" s="27" t="n">
        <x:v>125</x:v>
      </x:c>
      <x:c r="H58" s="27" t="n">
        <x:f>F58-G58</x:f>
        <x:v>15</x:v>
      </x:c>
      <x:c r="I58" s="41" t="n">
        <x:f>G58/F58</x:f>
        <x:v>0.8928571428571429</x:v>
      </x:c>
      <x:c r="J58" s="27" t="str">
        <x:v>OPEN</x:v>
      </x:c>
      <x:c r="K58" s="29" t="str">
        <x:f>IF(H58&gt;=0,"AVAILABLE","OVERLOAD")</x:f>
        <x:v>AVAILABLE</x:v>
      </x:c>
    </x:row>
    <x:row r="59" ht="18" customHeight="1">
      <x:c r="B59" s="27" t="str">
        <x:v>F06-Y8</x:v>
      </x:c>
      <x:c r="C59" s="27" t="str">
        <x:v>F06</x:v>
      </x:c>
      <x:c r="D59" s="27" t="str">
        <x:v>terrain carrier and soil range</x:v>
      </x:c>
      <x:c r="E59" s="27" t="n">
        <x:v>8</x:v>
      </x:c>
      <x:c r="F59" s="27" t="n">
        <x:v>140</x:v>
      </x:c>
      <x:c r="G59" s="27" t="n">
        <x:v>110</x:v>
      </x:c>
      <x:c r="H59" s="27" t="n">
        <x:f>F59-G59</x:f>
        <x:v>30</x:v>
      </x:c>
      <x:c r="I59" s="41" t="n">
        <x:f>G59/F59</x:f>
        <x:v>0.7857142857142857</x:v>
      </x:c>
      <x:c r="J59" s="27" t="str">
        <x:v>OPEN</x:v>
      </x:c>
      <x:c r="K59" s="29" t="str">
        <x:f>IF(H59&gt;=0,"AVAILABLE","OVERLOAD")</x:f>
        <x:v>AVAILABLE</x:v>
      </x:c>
    </x:row>
    <x:row r="60" ht="18" customHeight="1">
      <x:c r="B60" s="27" t="str">
        <x:v>F06-Y9</x:v>
      </x:c>
      <x:c r="C60" s="27" t="str">
        <x:v>F06</x:v>
      </x:c>
      <x:c r="D60" s="27" t="str">
        <x:v>terrain carrier and soil range</x:v>
      </x:c>
      <x:c r="E60" s="27" t="n">
        <x:v>9</x:v>
      </x:c>
      <x:c r="F60" s="27" t="n">
        <x:v>140</x:v>
      </x:c>
      <x:c r="G60" s="27" t="n">
        <x:v>90</x:v>
      </x:c>
      <x:c r="H60" s="27" t="n">
        <x:f>F60-G60</x:f>
        <x:v>50</x:v>
      </x:c>
      <x:c r="I60" s="41" t="n">
        <x:f>G60/F60</x:f>
        <x:v>0.6428571428571429</x:v>
      </x:c>
      <x:c r="J60" s="27" t="str">
        <x:v>OPEN</x:v>
      </x:c>
      <x:c r="K60" s="29" t="str">
        <x:f>IF(H60&gt;=0,"AVAILABLE","OVERLOAD")</x:f>
        <x:v>AVAILABLE</x:v>
      </x:c>
    </x:row>
    <x:row r="61" ht="18" customHeight="1">
      <x:c r="B61" s="27" t="str">
        <x:v>F07-Y1</x:v>
      </x:c>
      <x:c r="C61" s="27" t="str">
        <x:v>F07</x:v>
      </x:c>
      <x:c r="D61" s="27" t="str">
        <x:v>civil receiver and occupied-effect range</x:v>
      </x:c>
      <x:c r="E61" s="27" t="n">
        <x:v>1</x:v>
      </x:c>
      <x:c r="F61" s="27" t="n">
        <x:v>180</x:v>
      </x:c>
      <x:c r="G61" s="27" t="n">
        <x:v>0</x:v>
      </x:c>
      <x:c r="H61" s="27" t="n">
        <x:f>F61-G61</x:f>
        <x:v>180</x:v>
      </x:c>
      <x:c r="I61" s="41" t="n">
        <x:f>G61/F61</x:f>
        <x:v>0</x:v>
      </x:c>
      <x:c r="J61" s="27" t="str">
        <x:v>OPEN</x:v>
      </x:c>
      <x:c r="K61" s="29" t="str">
        <x:f>IF(H61&gt;=0,"AVAILABLE","OVERLOAD")</x:f>
        <x:v>AVAILABLE</x:v>
      </x:c>
    </x:row>
    <x:row r="62" ht="18" customHeight="1">
      <x:c r="B62" s="27" t="str">
        <x:v>F07-Y2</x:v>
      </x:c>
      <x:c r="C62" s="27" t="str">
        <x:v>F07</x:v>
      </x:c>
      <x:c r="D62" s="27" t="str">
        <x:v>civil receiver and occupied-effect range</x:v>
      </x:c>
      <x:c r="E62" s="27" t="n">
        <x:v>2</x:v>
      </x:c>
      <x:c r="F62" s="27" t="n">
        <x:v>180</x:v>
      </x:c>
      <x:c r="G62" s="27" t="n">
        <x:v>0</x:v>
      </x:c>
      <x:c r="H62" s="27" t="n">
        <x:f>F62-G62</x:f>
        <x:v>180</x:v>
      </x:c>
      <x:c r="I62" s="41" t="n">
        <x:f>G62/F62</x:f>
        <x:v>0</x:v>
      </x:c>
      <x:c r="J62" s="27" t="str">
        <x:v>OPEN</x:v>
      </x:c>
      <x:c r="K62" s="29" t="str">
        <x:f>IF(H62&gt;=0,"AVAILABLE","OVERLOAD")</x:f>
        <x:v>AVAILABLE</x:v>
      </x:c>
    </x:row>
    <x:row r="63" ht="18" customHeight="1">
      <x:c r="B63" s="27" t="str">
        <x:v>F07-Y3</x:v>
      </x:c>
      <x:c r="C63" s="27" t="str">
        <x:v>F07</x:v>
      </x:c>
      <x:c r="D63" s="27" t="str">
        <x:v>civil receiver and occupied-effect range</x:v>
      </x:c>
      <x:c r="E63" s="27" t="n">
        <x:v>3</x:v>
      </x:c>
      <x:c r="F63" s="27" t="n">
        <x:v>180</x:v>
      </x:c>
      <x:c r="G63" s="27" t="n">
        <x:v>40</x:v>
      </x:c>
      <x:c r="H63" s="27" t="n">
        <x:f>F63-G63</x:f>
        <x:v>140</x:v>
      </x:c>
      <x:c r="I63" s="41" t="n">
        <x:f>G63/F63</x:f>
        <x:v>0.2222222222222222</x:v>
      </x:c>
      <x:c r="J63" s="27" t="str">
        <x:v>OPEN</x:v>
      </x:c>
      <x:c r="K63" s="29" t="str">
        <x:f>IF(H63&gt;=0,"AVAILABLE","OVERLOAD")</x:f>
        <x:v>AVAILABLE</x:v>
      </x:c>
    </x:row>
    <x:row r="64" ht="18" customHeight="1">
      <x:c r="B64" s="27" t="str">
        <x:v>F07-Y4</x:v>
      </x:c>
      <x:c r="C64" s="27" t="str">
        <x:v>F07</x:v>
      </x:c>
      <x:c r="D64" s="27" t="str">
        <x:v>civil receiver and occupied-effect range</x:v>
      </x:c>
      <x:c r="E64" s="27" t="n">
        <x:v>4</x:v>
      </x:c>
      <x:c r="F64" s="27" t="n">
        <x:v>180</x:v>
      </x:c>
      <x:c r="G64" s="27" t="n">
        <x:v>80</x:v>
      </x:c>
      <x:c r="H64" s="27" t="n">
        <x:f>F64-G64</x:f>
        <x:v>100</x:v>
      </x:c>
      <x:c r="I64" s="41" t="n">
        <x:f>G64/F64</x:f>
        <x:v>0.4444444444444444</x:v>
      </x:c>
      <x:c r="J64" s="27" t="str">
        <x:v>OPEN</x:v>
      </x:c>
      <x:c r="K64" s="29" t="str">
        <x:f>IF(H64&gt;=0,"AVAILABLE","OVERLOAD")</x:f>
        <x:v>AVAILABLE</x:v>
      </x:c>
    </x:row>
    <x:row r="65" ht="18" customHeight="1">
      <x:c r="B65" s="27" t="str">
        <x:v>F07-Y5</x:v>
      </x:c>
      <x:c r="C65" s="27" t="str">
        <x:v>F07</x:v>
      </x:c>
      <x:c r="D65" s="27" t="str">
        <x:v>civil receiver and occupied-effect range</x:v>
      </x:c>
      <x:c r="E65" s="27" t="n">
        <x:v>5</x:v>
      </x:c>
      <x:c r="F65" s="27" t="n">
        <x:v>180</x:v>
      </x:c>
      <x:c r="G65" s="27" t="n">
        <x:v>120</x:v>
      </x:c>
      <x:c r="H65" s="27" t="n">
        <x:f>F65-G65</x:f>
        <x:v>60</x:v>
      </x:c>
      <x:c r="I65" s="41" t="n">
        <x:f>G65/F65</x:f>
        <x:v>0.6666666666666666</x:v>
      </x:c>
      <x:c r="J65" s="27" t="str">
        <x:v>OPEN</x:v>
      </x:c>
      <x:c r="K65" s="29" t="str">
        <x:f>IF(H65&gt;=0,"AVAILABLE","OVERLOAD")</x:f>
        <x:v>AVAILABLE</x:v>
      </x:c>
    </x:row>
    <x:row r="66" ht="18" customHeight="1">
      <x:c r="B66" s="27" t="str">
        <x:v>F07-Y6</x:v>
      </x:c>
      <x:c r="C66" s="27" t="str">
        <x:v>F07</x:v>
      </x:c>
      <x:c r="D66" s="27" t="str">
        <x:v>civil receiver and occupied-effect range</x:v>
      </x:c>
      <x:c r="E66" s="27" t="n">
        <x:v>6</x:v>
      </x:c>
      <x:c r="F66" s="27" t="n">
        <x:v>180</x:v>
      </x:c>
      <x:c r="G66" s="27" t="n">
        <x:v>140</x:v>
      </x:c>
      <x:c r="H66" s="27" t="n">
        <x:f>F66-G66</x:f>
        <x:v>40</x:v>
      </x:c>
      <x:c r="I66" s="41" t="n">
        <x:f>G66/F66</x:f>
        <x:v>0.7777777777777778</x:v>
      </x:c>
      <x:c r="J66" s="27" t="str">
        <x:v>OPEN</x:v>
      </x:c>
      <x:c r="K66" s="29" t="str">
        <x:f>IF(H66&gt;=0,"AVAILABLE","OVERLOAD")</x:f>
        <x:v>AVAILABLE</x:v>
      </x:c>
    </x:row>
    <x:row r="67" ht="18" customHeight="1">
      <x:c r="B67" s="27" t="str">
        <x:v>F07-Y7</x:v>
      </x:c>
      <x:c r="C67" s="27" t="str">
        <x:v>F07</x:v>
      </x:c>
      <x:c r="D67" s="27" t="str">
        <x:v>civil receiver and occupied-effect range</x:v>
      </x:c>
      <x:c r="E67" s="27" t="n">
        <x:v>7</x:v>
      </x:c>
      <x:c r="F67" s="27" t="n">
        <x:v>180</x:v>
      </x:c>
      <x:c r="G67" s="27" t="n">
        <x:v>130</x:v>
      </x:c>
      <x:c r="H67" s="27" t="n">
        <x:f>F67-G67</x:f>
        <x:v>50</x:v>
      </x:c>
      <x:c r="I67" s="41" t="n">
        <x:f>G67/F67</x:f>
        <x:v>0.7222222222222222</x:v>
      </x:c>
      <x:c r="J67" s="27" t="str">
        <x:v>OPEN</x:v>
      </x:c>
      <x:c r="K67" s="29" t="str">
        <x:f>IF(H67&gt;=0,"AVAILABLE","OVERLOAD")</x:f>
        <x:v>AVAILABLE</x:v>
      </x:c>
    </x:row>
    <x:row r="68" ht="18" customHeight="1">
      <x:c r="B68" s="27" t="str">
        <x:v>F07-Y8</x:v>
      </x:c>
      <x:c r="C68" s="27" t="str">
        <x:v>F07</x:v>
      </x:c>
      <x:c r="D68" s="27" t="str">
        <x:v>civil receiver and occupied-effect range</x:v>
      </x:c>
      <x:c r="E68" s="27" t="n">
        <x:v>8</x:v>
      </x:c>
      <x:c r="F68" s="27" t="n">
        <x:v>180</x:v>
      </x:c>
      <x:c r="G68" s="27" t="n">
        <x:v>100</x:v>
      </x:c>
      <x:c r="H68" s="27" t="n">
        <x:f>F68-G68</x:f>
        <x:v>80</x:v>
      </x:c>
      <x:c r="I68" s="41" t="n">
        <x:f>G68/F68</x:f>
        <x:v>0.5555555555555556</x:v>
      </x:c>
      <x:c r="J68" s="27" t="str">
        <x:v>OPEN</x:v>
      </x:c>
      <x:c r="K68" s="29" t="str">
        <x:f>IF(H68&gt;=0,"AVAILABLE","OVERLOAD")</x:f>
        <x:v>AVAILABLE</x:v>
      </x:c>
    </x:row>
    <x:row r="69" ht="18" customHeight="1">
      <x:c r="B69" s="27" t="str">
        <x:v>F07-Y9</x:v>
      </x:c>
      <x:c r="C69" s="27" t="str">
        <x:v>F07</x:v>
      </x:c>
      <x:c r="D69" s="27" t="str">
        <x:v>civil receiver and occupied-effect range</x:v>
      </x:c>
      <x:c r="E69" s="27" t="n">
        <x:v>9</x:v>
      </x:c>
      <x:c r="F69" s="27" t="n">
        <x:v>180</x:v>
      </x:c>
      <x:c r="G69" s="27" t="n">
        <x:v>80</x:v>
      </x:c>
      <x:c r="H69" s="27" t="n">
        <x:f>F69-G69</x:f>
        <x:v>100</x:v>
      </x:c>
      <x:c r="I69" s="41" t="n">
        <x:f>G69/F69</x:f>
        <x:v>0.4444444444444444</x:v>
      </x:c>
      <x:c r="J69" s="27" t="str">
        <x:v>OPEN</x:v>
      </x:c>
      <x:c r="K69" s="29" t="str">
        <x:f>IF(H69&gt;=0,"AVAILABLE","OVERLOAD")</x:f>
        <x:v>AVAILABLE</x:v>
      </x:c>
    </x:row>
    <x:row r="70" ht="18" customHeight="1">
      <x:c r="B70" s="27" t="str">
        <x:v>F08-Y1</x:v>
      </x:c>
      <x:c r="C70" s="27" t="str">
        <x:v>F08</x:v>
      </x:c>
      <x:c r="D70" s="27" t="str">
        <x:v>data time and custody laboratory</x:v>
      </x:c>
      <x:c r="E70" s="27" t="n">
        <x:v>1</x:v>
      </x:c>
      <x:c r="F70" s="27" t="n">
        <x:v>240</x:v>
      </x:c>
      <x:c r="G70" s="27" t="n">
        <x:v>60</x:v>
      </x:c>
      <x:c r="H70" s="27" t="n">
        <x:f>F70-G70</x:f>
        <x:v>180</x:v>
      </x:c>
      <x:c r="I70" s="41" t="n">
        <x:f>G70/F70</x:f>
        <x:v>0.25</x:v>
      </x:c>
      <x:c r="J70" s="27" t="str">
        <x:v>OPEN</x:v>
      </x:c>
      <x:c r="K70" s="29" t="str">
        <x:f>IF(H70&gt;=0,"AVAILABLE","OVERLOAD")</x:f>
        <x:v>AVAILABLE</x:v>
      </x:c>
    </x:row>
    <x:row r="71" ht="18" customHeight="1">
      <x:c r="B71" s="27" t="str">
        <x:v>F08-Y2</x:v>
      </x:c>
      <x:c r="C71" s="27" t="str">
        <x:v>F08</x:v>
      </x:c>
      <x:c r="D71" s="27" t="str">
        <x:v>data time and custody laboratory</x:v>
      </x:c>
      <x:c r="E71" s="27" t="n">
        <x:v>2</x:v>
      </x:c>
      <x:c r="F71" s="27" t="n">
        <x:v>240</x:v>
      </x:c>
      <x:c r="G71" s="27" t="n">
        <x:v>120</x:v>
      </x:c>
      <x:c r="H71" s="27" t="n">
        <x:f>F71-G71</x:f>
        <x:v>120</x:v>
      </x:c>
      <x:c r="I71" s="41" t="n">
        <x:f>G71/F71</x:f>
        <x:v>0.5</x:v>
      </x:c>
      <x:c r="J71" s="27" t="str">
        <x:v>OPEN</x:v>
      </x:c>
      <x:c r="K71" s="29" t="str">
        <x:f>IF(H71&gt;=0,"AVAILABLE","OVERLOAD")</x:f>
        <x:v>AVAILABLE</x:v>
      </x:c>
    </x:row>
    <x:row r="72" ht="18" customHeight="1">
      <x:c r="B72" s="27" t="str">
        <x:v>F08-Y3</x:v>
      </x:c>
      <x:c r="C72" s="27" t="str">
        <x:v>F08</x:v>
      </x:c>
      <x:c r="D72" s="27" t="str">
        <x:v>data time and custody laboratory</x:v>
      </x:c>
      <x:c r="E72" s="27" t="n">
        <x:v>3</x:v>
      </x:c>
      <x:c r="F72" s="27" t="n">
        <x:v>240</x:v>
      </x:c>
      <x:c r="G72" s="27" t="n">
        <x:v>180</x:v>
      </x:c>
      <x:c r="H72" s="27" t="n">
        <x:f>F72-G72</x:f>
        <x:v>60</x:v>
      </x:c>
      <x:c r="I72" s="41" t="n">
        <x:f>G72/F72</x:f>
        <x:v>0.75</x:v>
      </x:c>
      <x:c r="J72" s="27" t="str">
        <x:v>OPEN</x:v>
      </x:c>
      <x:c r="K72" s="29" t="str">
        <x:f>IF(H72&gt;=0,"AVAILABLE","OVERLOAD")</x:f>
        <x:v>AVAILABLE</x:v>
      </x:c>
    </x:row>
    <x:row r="73" ht="18" customHeight="1">
      <x:c r="B73" s="27" t="str">
        <x:v>F08-Y4</x:v>
      </x:c>
      <x:c r="C73" s="27" t="str">
        <x:v>F08</x:v>
      </x:c>
      <x:c r="D73" s="27" t="str">
        <x:v>data time and custody laboratory</x:v>
      </x:c>
      <x:c r="E73" s="27" t="n">
        <x:v>4</x:v>
      </x:c>
      <x:c r="F73" s="27" t="n">
        <x:v>240</x:v>
      </x:c>
      <x:c r="G73" s="27" t="n">
        <x:v>220</x:v>
      </x:c>
      <x:c r="H73" s="27" t="n">
        <x:f>F73-G73</x:f>
        <x:v>20</x:v>
      </x:c>
      <x:c r="I73" s="41" t="n">
        <x:f>G73/F73</x:f>
        <x:v>0.9166666666666666</x:v>
      </x:c>
      <x:c r="J73" s="27" t="str">
        <x:v>OPEN</x:v>
      </x:c>
      <x:c r="K73" s="29" t="str">
        <x:f>IF(H73&gt;=0,"AVAILABLE","OVERLOAD")</x:f>
        <x:v>AVAILABLE</x:v>
      </x:c>
    </x:row>
    <x:row r="74" ht="18" customHeight="1">
      <x:c r="B74" s="27" t="str">
        <x:v>F08-Y5</x:v>
      </x:c>
      <x:c r="C74" s="27" t="str">
        <x:v>F08</x:v>
      </x:c>
      <x:c r="D74" s="27" t="str">
        <x:v>data time and custody laboratory</x:v>
      </x:c>
      <x:c r="E74" s="27" t="n">
        <x:v>5</x:v>
      </x:c>
      <x:c r="F74" s="27" t="n">
        <x:v>240</x:v>
      </x:c>
      <x:c r="G74" s="27" t="n">
        <x:v>220</x:v>
      </x:c>
      <x:c r="H74" s="27" t="n">
        <x:f>F74-G74</x:f>
        <x:v>20</x:v>
      </x:c>
      <x:c r="I74" s="41" t="n">
        <x:f>G74/F74</x:f>
        <x:v>0.9166666666666666</x:v>
      </x:c>
      <x:c r="J74" s="27" t="str">
        <x:v>OPEN</x:v>
      </x:c>
      <x:c r="K74" s="29" t="str">
        <x:f>IF(H74&gt;=0,"AVAILABLE","OVERLOAD")</x:f>
        <x:v>AVAILABLE</x:v>
      </x:c>
    </x:row>
    <x:row r="75" ht="18" customHeight="1">
      <x:c r="B75" s="27" t="str">
        <x:v>F08-Y6</x:v>
      </x:c>
      <x:c r="C75" s="27" t="str">
        <x:v>F08</x:v>
      </x:c>
      <x:c r="D75" s="27" t="str">
        <x:v>data time and custody laboratory</x:v>
      </x:c>
      <x:c r="E75" s="27" t="n">
        <x:v>6</x:v>
      </x:c>
      <x:c r="F75" s="27" t="n">
        <x:v>240</x:v>
      </x:c>
      <x:c r="G75" s="27" t="n">
        <x:v>220</x:v>
      </x:c>
      <x:c r="H75" s="27" t="n">
        <x:f>F75-G75</x:f>
        <x:v>20</x:v>
      </x:c>
      <x:c r="I75" s="41" t="n">
        <x:f>G75/F75</x:f>
        <x:v>0.9166666666666666</x:v>
      </x:c>
      <x:c r="J75" s="27" t="str">
        <x:v>OPEN</x:v>
      </x:c>
      <x:c r="K75" s="29" t="str">
        <x:f>IF(H75&gt;=0,"AVAILABLE","OVERLOAD")</x:f>
        <x:v>AVAILABLE</x:v>
      </x:c>
    </x:row>
    <x:row r="76" ht="18" customHeight="1">
      <x:c r="B76" s="27" t="str">
        <x:v>F08-Y7</x:v>
      </x:c>
      <x:c r="C76" s="27" t="str">
        <x:v>F08</x:v>
      </x:c>
      <x:c r="D76" s="27" t="str">
        <x:v>data time and custody laboratory</x:v>
      </x:c>
      <x:c r="E76" s="27" t="n">
        <x:v>7</x:v>
      </x:c>
      <x:c r="F76" s="27" t="n">
        <x:v>240</x:v>
      </x:c>
      <x:c r="G76" s="27" t="n">
        <x:v>220</x:v>
      </x:c>
      <x:c r="H76" s="27" t="n">
        <x:f>F76-G76</x:f>
        <x:v>20</x:v>
      </x:c>
      <x:c r="I76" s="41" t="n">
        <x:f>G76/F76</x:f>
        <x:v>0.9166666666666666</x:v>
      </x:c>
      <x:c r="J76" s="27" t="str">
        <x:v>OPEN</x:v>
      </x:c>
      <x:c r="K76" s="29" t="str">
        <x:f>IF(H76&gt;=0,"AVAILABLE","OVERLOAD")</x:f>
        <x:v>AVAILABLE</x:v>
      </x:c>
    </x:row>
    <x:row r="77" ht="18" customHeight="1">
      <x:c r="B77" s="27" t="str">
        <x:v>F08-Y8</x:v>
      </x:c>
      <x:c r="C77" s="27" t="str">
        <x:v>F08</x:v>
      </x:c>
      <x:c r="D77" s="27" t="str">
        <x:v>data time and custody laboratory</x:v>
      </x:c>
      <x:c r="E77" s="27" t="n">
        <x:v>8</x:v>
      </x:c>
      <x:c r="F77" s="27" t="n">
        <x:v>240</x:v>
      </x:c>
      <x:c r="G77" s="27" t="n">
        <x:v>200</x:v>
      </x:c>
      <x:c r="H77" s="27" t="n">
        <x:f>F77-G77</x:f>
        <x:v>40</x:v>
      </x:c>
      <x:c r="I77" s="41" t="n">
        <x:f>G77/F77</x:f>
        <x:v>0.8333333333333334</x:v>
      </x:c>
      <x:c r="J77" s="27" t="str">
        <x:v>OPEN</x:v>
      </x:c>
      <x:c r="K77" s="29" t="str">
        <x:f>IF(H77&gt;=0,"AVAILABLE","OVERLOAD")</x:f>
        <x:v>AVAILABLE</x:v>
      </x:c>
    </x:row>
    <x:row r="78" ht="18" customHeight="1">
      <x:c r="B78" s="31" t="str">
        <x:v>F08-Y9</x:v>
      </x:c>
      <x:c r="C78" s="31" t="str">
        <x:v>F08</x:v>
      </x:c>
      <x:c r="D78" s="31" t="str">
        <x:v>data time and custody laboratory</x:v>
      </x:c>
      <x:c r="E78" s="31" t="n">
        <x:v>9</x:v>
      </x:c>
      <x:c r="F78" s="31" t="n">
        <x:v>240</x:v>
      </x:c>
      <x:c r="G78" s="31" t="n">
        <x:v>160</x:v>
      </x:c>
      <x:c r="H78" s="31" t="n">
        <x:f>F78-G78</x:f>
        <x:v>80</x:v>
      </x:c>
      <x:c r="I78" s="42" t="n">
        <x:f>G78/F78</x:f>
        <x:v>0.6666666666666666</x:v>
      </x:c>
      <x:c r="J78" s="31" t="str">
        <x:v>OPEN</x:v>
      </x:c>
      <x:c r="K78" s="33" t="str">
        <x:f>IF(H78&gt;=0,"AVAILABLE","OVERLOAD")</x:f>
        <x:v>AVAILABLE</x:v>
      </x:c>
    </x:row>
    <x:row r="79" ht="18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8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18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18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</x:sheetData>
  <x:mergeCells>
    <x:mergeCell ref="B3:K3"/>
  </x:mergeCells>
  <x:conditionalFormatting sqref="J7:J78">
    <x:cfRule type="containsText" dxfId="50" priority="1" operator="containsText" text="OPEN"/>
    <x:cfRule type="containsText" dxfId="51" priority="2" operator="containsText" text="HOLD"/>
    <x:cfRule type="containsText" dxfId="52" priority="3" operator="containsText" text="BLOCKED"/>
    <x:cfRule type="containsText" dxfId="53" priority="4" operator="containsText" text="DRAFT"/>
    <x:cfRule type="containsText" dxfId="54" priority="5" operator="containsText" text="FAIL"/>
  </x:conditionalFormatting>
  <x:conditionalFormatting sqref="K7:K78">
    <x:cfRule type="containsText" dxfId="55" priority="6" operator="containsText" text="OPEN"/>
    <x:cfRule type="containsText" dxfId="56" priority="7" operator="containsText" text="HOLD"/>
    <x:cfRule type="containsText" dxfId="57" priority="8" operator="containsText" text="BLOCKED"/>
    <x:cfRule type="containsText" dxfId="58" priority="9" operator="containsText" text="DRAFT"/>
    <x:cfRule type="containsText" dxfId="59" priority="10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3" max="3" width="39" hidden="0" customWidth="1"/>
    <x:col min="4" max="4" width="24" hidden="0" customWidth="1"/>
    <x:col min="5" max="5" width="15" hidden="0" customWidth="1"/>
    <x:col min="6" max="6" width="15" hidden="0" customWidth="1"/>
    <x:col min="7" max="7" width="16" hidden="0" customWidth="1"/>
    <x:col min="8" max="8" width="34" hidden="0" customWidth="1"/>
    <x:col min="9" max="9" width="13" hidden="0" customWidth="1"/>
    <x:col min="10" max="10" width="11" hidden="0" customWidth="1"/>
    <x:col min="11" max="11" width="18" hidden="0" customWidth="1"/>
  </x:cols>
  <x:sheetData>
    <x:row r="2" ht="18" customHeight="1">
      <x:c r="B2" s="3" t="str">
        <x:v>Build-to-evidence program schedule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18" customHeight="1">
      <x:c r="B3" s="4" t="str">
        <x:v>The inherited 78-month trial sequence begins after a 24-month build-release lead, moving complete P08 evidence to calendar month 102.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18" customHeight="1">
      <x:c r="B6" s="25" t="str">
        <x:v>Stage</x:v>
      </x:c>
      <x:c r="C6" s="26" t="str">
        <x:v>Object</x:v>
      </x:c>
      <x:c r="D6" s="26" t="str">
        <x:v>Dependency</x:v>
      </x:c>
      <x:c r="E6" s="26" t="str">
        <x:v>Start month</x:v>
      </x:c>
      <x:c r="F6" s="26" t="str">
        <x:v>End month</x:v>
      </x:c>
      <x:c r="G6" s="26" t="str">
        <x:v>Duration</x:v>
      </x:c>
      <x:c r="H6" s="26" t="str">
        <x:v>Required output</x:v>
      </x:c>
      <x:c r="I6" s="26" t="str">
        <x:v>State</x:v>
      </x:c>
      <x:c r="J6" s="26" t="str">
        <x:v>Credit</x:v>
      </x:c>
      <x:c r="K6" s="26" t="str">
        <x:v>Calendar control</x:v>
      </x:c>
    </x:row>
    <x:row r="7" ht="18" customHeight="1">
      <x:c r="B7" s="27" t="str">
        <x:v>BR01</x:v>
      </x:c>
      <x:c r="C7" s="27" t="str">
        <x:v>requirement and authority freeze</x:v>
      </x:c>
      <x:c r="D7" s="27" t="str">
        <x:v>none</x:v>
      </x:c>
      <x:c r="E7" s="27" t="n">
        <x:v>1</x:v>
      </x:c>
      <x:c r="F7" s="27" t="n">
        <x:v>3</x:v>
      </x:c>
      <x:c r="G7" s="27" t="n">
        <x:f>F7-E7+1</x:f>
        <x:v>3</x:v>
      </x:c>
      <x:c r="H7" s="27" t="str">
        <x:v>frozen D01-D14 templates</x:v>
      </x:c>
      <x:c r="I7" s="27" t="str">
        <x:v>OPEN</x:v>
      </x:c>
      <x:c r="J7" s="27" t="n">
        <x:v>0</x:v>
      </x:c>
      <x:c r="K7" s="29" t="str">
        <x:f>IF(F7&lt;=102,"INSIDE","LATE")</x:f>
        <x:v>INSIDE</x:v>
      </x:c>
    </x:row>
    <x:row r="8" ht="18" customHeight="1">
      <x:c r="B8" s="27" t="str">
        <x:v>BR02</x:v>
      </x:c>
      <x:c r="C8" s="27" t="str">
        <x:v>rival detailed design</x:v>
      </x:c>
      <x:c r="D8" s="27" t="str">
        <x:v>BR01</x:v>
      </x:c>
      <x:c r="E8" s="27" t="n">
        <x:v>4</x:v>
      </x:c>
      <x:c r="F8" s="27" t="n">
        <x:v>9</x:v>
      </x:c>
      <x:c r="G8" s="27" t="n">
        <x:f>F8-E8+1</x:f>
        <x:v>6</x:v>
      </x:c>
      <x:c r="H8" s="27" t="str">
        <x:v>independently reviewable packages</x:v>
      </x:c>
      <x:c r="I8" s="27" t="str">
        <x:v>OPEN</x:v>
      </x:c>
      <x:c r="J8" s="27" t="n">
        <x:v>0</x:v>
      </x:c>
      <x:c r="K8" s="29" t="str">
        <x:f>IF(F8&lt;=102,"INSIDE","LATE")</x:f>
        <x:v>INSIDE</x:v>
      </x:c>
    </x:row>
    <x:row r="9" ht="18" customHeight="1">
      <x:c r="B9" s="27" t="str">
        <x:v>BR03</x:v>
      </x:c>
      <x:c r="C9" s="27" t="str">
        <x:v>engineering article release</x:v>
      </x:c>
      <x:c r="D9" s="27" t="str">
        <x:v>BR02</x:v>
      </x:c>
      <x:c r="E9" s="27" t="n">
        <x:v>10</x:v>
      </x:c>
      <x:c r="F9" s="27" t="n">
        <x:v>18</x:v>
      </x:c>
      <x:c r="G9" s="27" t="n">
        <x:f>F9-E9+1</x:f>
        <x:v>9</x:v>
      </x:c>
      <x:c r="H9" s="27" t="str">
        <x:v>family E lots released</x:v>
      </x:c>
      <x:c r="I9" s="27" t="str">
        <x:v>OPEN</x:v>
      </x:c>
      <x:c r="J9" s="27" t="n">
        <x:v>0</x:v>
      </x:c>
      <x:c r="K9" s="29" t="str">
        <x:f>IF(F9&lt;=102,"INSIDE","LATE")</x:f>
        <x:v>INSIDE</x:v>
      </x:c>
    </x:row>
    <x:row r="10" ht="18" customHeight="1">
      <x:c r="B10" s="27" t="str">
        <x:v>BR04</x:v>
      </x:c>
      <x:c r="C10" s="27" t="str">
        <x:v>qualification and destructive release</x:v>
      </x:c>
      <x:c r="D10" s="27" t="str">
        <x:v>BR03</x:v>
      </x:c>
      <x:c r="E10" s="27" t="n">
        <x:v>16</x:v>
      </x:c>
      <x:c r="F10" s="27" t="n">
        <x:v>36</x:v>
      </x:c>
      <x:c r="G10" s="27" t="n">
        <x:f>F10-E10+1</x:f>
        <x:v>21</x:v>
      </x:c>
      <x:c r="H10" s="27" t="str">
        <x:v>family Q lots released before need</x:v>
      </x:c>
      <x:c r="I10" s="27" t="str">
        <x:v>OPEN</x:v>
      </x:c>
      <x:c r="J10" s="27" t="n">
        <x:v>0</x:v>
      </x:c>
      <x:c r="K10" s="29" t="str">
        <x:f>IF(F10&lt;=102,"INSIDE","LATE")</x:f>
        <x:v>INSIDE</x:v>
      </x:c>
    </x:row>
    <x:row r="11" ht="18" customHeight="1">
      <x:c r="B11" s="27" t="str">
        <x:v>P01</x:v>
      </x:c>
      <x:c r="C11" s="27" t="str">
        <x:v>power and storage endurance</x:v>
      </x:c>
      <x:c r="D11" s="27" t="str">
        <x:v>BR03</x:v>
      </x:c>
      <x:c r="E11" s="27" t="n">
        <x:v>25</x:v>
      </x:c>
      <x:c r="F11" s="27" t="n">
        <x:v>36</x:v>
      </x:c>
      <x:c r="G11" s="27" t="n">
        <x:f>F11-E11+1</x:f>
        <x:v>12</x:v>
      </x:c>
      <x:c r="H11" s="27" t="str">
        <x:v>8 registered trials</x:v>
      </x:c>
      <x:c r="I11" s="27" t="str">
        <x:v>OPEN</x:v>
      </x:c>
      <x:c r="J11" s="27" t="n">
        <x:v>0</x:v>
      </x:c>
      <x:c r="K11" s="29" t="str">
        <x:f>IF(F11&lt;=102,"INSIDE","LATE")</x:f>
        <x:v>INSIDE</x:v>
      </x:c>
    </x:row>
    <x:row r="12" ht="18" customHeight="1">
      <x:c r="B12" s="27" t="str">
        <x:v>P02</x:v>
      </x:c>
      <x:c r="C12" s="27" t="str">
        <x:v>tile cassettes and passive interfaces</x:v>
      </x:c>
      <x:c r="D12" s="27" t="str">
        <x:v>P01 component release</x:v>
      </x:c>
      <x:c r="E12" s="27" t="n">
        <x:v>31</x:v>
      </x:c>
      <x:c r="F12" s="27" t="n">
        <x:v>48</x:v>
      </x:c>
      <x:c r="G12" s="27" t="n">
        <x:f>F12-E12+1</x:f>
        <x:v>18</x:v>
      </x:c>
      <x:c r="H12" s="27" t="str">
        <x:v>10 registered trials</x:v>
      </x:c>
      <x:c r="I12" s="27" t="str">
        <x:v>OPEN</x:v>
      </x:c>
      <x:c r="J12" s="27" t="n">
        <x:v>0</x:v>
      </x:c>
      <x:c r="K12" s="29" t="str">
        <x:f>IF(F12&lt;=102,"INSIDE","LATE")</x:f>
        <x:v>INSIDE</x:v>
      </x:c>
    </x:row>
    <x:row r="13" ht="18" customHeight="1">
      <x:c r="B13" s="27" t="str">
        <x:v>P03</x:v>
      </x:c>
      <x:c r="C13" s="27" t="str">
        <x:v>air carrier truth node</x:v>
      </x:c>
      <x:c r="D13" s="27" t="str">
        <x:v>P01-P02</x:v>
      </x:c>
      <x:c r="E13" s="27" t="n">
        <x:v>43</x:v>
      </x:c>
      <x:c r="F13" s="27" t="n">
        <x:v>60</x:v>
      </x:c>
      <x:c r="G13" s="27" t="n">
        <x:f>F13-E13+1</x:f>
        <x:v>18</x:v>
      </x:c>
      <x:c r="H13" s="27" t="str">
        <x:v>6 registered trials</x:v>
      </x:c>
      <x:c r="I13" s="27" t="str">
        <x:v>OPEN</x:v>
      </x:c>
      <x:c r="J13" s="27" t="n">
        <x:v>0</x:v>
      </x:c>
      <x:c r="K13" s="29" t="str">
        <x:f>IF(F13&lt;=102,"INSIDE","LATE")</x:f>
        <x:v>INSIDE</x:v>
      </x:c>
    </x:row>
    <x:row r="14" ht="18" customHeight="1">
      <x:c r="B14" s="27" t="str">
        <x:v>P04</x:v>
      </x:c>
      <x:c r="C14" s="27" t="str">
        <x:v>terrain carrier and pressure skin</x:v>
      </x:c>
      <x:c r="D14" s="27" t="str">
        <x:v>P01-P02</x:v>
      </x:c>
      <x:c r="E14" s="27" t="n">
        <x:v>43</x:v>
      </x:c>
      <x:c r="F14" s="27" t="n">
        <x:v>72</x:v>
      </x:c>
      <x:c r="G14" s="27" t="n">
        <x:f>F14-E14+1</x:f>
        <x:v>30</x:v>
      </x:c>
      <x:c r="H14" s="27" t="str">
        <x:v>12 registered trials</x:v>
      </x:c>
      <x:c r="I14" s="27" t="str">
        <x:v>OPEN</x:v>
      </x:c>
      <x:c r="J14" s="27" t="n">
        <x:v>0</x:v>
      </x:c>
      <x:c r="K14" s="29" t="str">
        <x:f>IF(F14&lt;=102,"INSIDE","LATE")</x:f>
        <x:v>INSIDE</x:v>
      </x:c>
    </x:row>
    <x:row r="15" ht="18" customHeight="1">
      <x:c r="B15" s="27" t="str">
        <x:v>P05</x:v>
      </x:c>
      <x:c r="C15" s="27" t="str">
        <x:v>civil receiver truth station</x:v>
      </x:c>
      <x:c r="D15" s="27" t="str">
        <x:v>P01 and civil protocol</x:v>
      </x:c>
      <x:c r="E15" s="27" t="n">
        <x:v>49</x:v>
      </x:c>
      <x:c r="F15" s="27" t="n">
        <x:v>72</x:v>
      </x:c>
      <x:c r="G15" s="27" t="n">
        <x:f>F15-E15+1</x:f>
        <x:v>24</x:v>
      </x:c>
      <x:c r="H15" s="27" t="str">
        <x:v>8 registered trials</x:v>
      </x:c>
      <x:c r="I15" s="27" t="str">
        <x:v>OPEN</x:v>
      </x:c>
      <x:c r="J15" s="27" t="n">
        <x:v>0</x:v>
      </x:c>
      <x:c r="K15" s="29" t="str">
        <x:f>IF(F15&lt;=102,"INSIDE","LATE")</x:f>
        <x:v>INSIDE</x:v>
      </x:c>
    </x:row>
    <x:row r="16" ht="18" customHeight="1">
      <x:c r="B16" s="27" t="str">
        <x:v>P06</x:v>
      </x:c>
      <x:c r="C16" s="27" t="str">
        <x:v>denied time and event order</x:v>
      </x:c>
      <x:c r="D16" s="27" t="str">
        <x:v>P01</x:v>
      </x:c>
      <x:c r="E16" s="27" t="n">
        <x:v>37</x:v>
      </x:c>
      <x:c r="F16" s="27" t="n">
        <x:v>54</x:v>
      </x:c>
      <x:c r="G16" s="27" t="n">
        <x:f>F16-E16+1</x:f>
        <x:v>18</x:v>
      </x:c>
      <x:c r="H16" s="27" t="str">
        <x:v>8 registered trials</x:v>
      </x:c>
      <x:c r="I16" s="27" t="str">
        <x:v>OPEN</x:v>
      </x:c>
      <x:c r="J16" s="27" t="n">
        <x:v>0</x:v>
      </x:c>
      <x:c r="K16" s="29" t="str">
        <x:f>IF(F16&lt;=102,"INSIDE","LATE")</x:f>
        <x:v>INSIDE</x:v>
      </x:c>
    </x:row>
    <x:row r="17" ht="18" customHeight="1">
      <x:c r="B17" s="27" t="str">
        <x:v>P07</x:v>
      </x:c>
      <x:c r="C17" s="27" t="str">
        <x:v>removal and no-crutch equivalence</x:v>
      </x:c>
      <x:c r="D17" s="27" t="str">
        <x:v>P02-P06</x:v>
      </x:c>
      <x:c r="E17" s="27" t="n">
        <x:v>61</x:v>
      </x:c>
      <x:c r="F17" s="27" t="n">
        <x:v>78</x:v>
      </x:c>
      <x:c r="G17" s="27" t="n">
        <x:f>F17-E17+1</x:f>
        <x:v>18</x:v>
      </x:c>
      <x:c r="H17" s="27" t="str">
        <x:v>8 registered trials</x:v>
      </x:c>
      <x:c r="I17" s="27" t="str">
        <x:v>OPEN</x:v>
      </x:c>
      <x:c r="J17" s="27" t="n">
        <x:v>0</x:v>
      </x:c>
      <x:c r="K17" s="29" t="str">
        <x:f>IF(F17&lt;=102,"INSIDE","LATE")</x:f>
        <x:v>INSIDE</x:v>
      </x:c>
    </x:row>
    <x:row r="18" ht="18" customHeight="1">
      <x:c r="B18" s="31" t="str">
        <x:v>P08</x:v>
      </x:c>
      <x:c r="C18" s="31" t="str">
        <x:v>frozen complete mission</x:v>
      </x:c>
      <x:c r="D18" s="31" t="str">
        <x:v>P01-P07</x:v>
      </x:c>
      <x:c r="E18" s="31" t="n">
        <x:v>79</x:v>
      </x:c>
      <x:c r="F18" s="31" t="n">
        <x:v>102</x:v>
      </x:c>
      <x:c r="G18" s="31" t="n">
        <x:f>F18-E18+1</x:f>
        <x:v>24</x:v>
      </x:c>
      <x:c r="H18" s="31" t="str">
        <x:v>8 registered trials</x:v>
      </x:c>
      <x:c r="I18" s="31" t="str">
        <x:v>OPEN</x:v>
      </x:c>
      <x:c r="J18" s="31" t="n">
        <x:v>0</x:v>
      </x:c>
      <x:c r="K18" s="33" t="str">
        <x:f>IF(F18&lt;=102,"INSIDE","LATE")</x:f>
        <x:v>INSIDE</x:v>
      </x:c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18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18" customHeight="1">
      <x:c r="B21" s="8" t="str">
        <x:v>Calendar correction</x:v>
      </x:c>
      <x:c r="C21" s="9" t="str">
        <x:v>Calendar correction</x:v>
      </x:c>
      <x:c r="D21" s="9" t="str">
        <x:v>Calendar correction</x:v>
      </x:c>
      <x:c r="E21" s="9" t="str">
        <x:v>Calendar correction</x:v>
      </x:c>
      <x:c r="F21" s="9" t="str">
        <x:v>Calendar correction</x:v>
      </x:c>
      <x:c r="G21" s="9" t="str">
        <x:v>Calendar correction</x:v>
      </x:c>
      <x:c r="H21" s="9" t="str">
        <x:v>Calendar correction</x:v>
      </x:c>
      <x:c r="I21" s="9" t="str">
        <x:v>Calendar correction</x:v>
      </x:c>
      <x:c r="J21" s="9" t="str">
        <x:v>Calendar correction</x:v>
      </x:c>
      <x:c r="K21" s="10" t="str">
        <x:v>Calendar correction</x:v>
      </x:c>
    </x:row>
    <x:row r="22" ht="18" customHeight="1">
      <x:c r="B22" s="19" t="str">
        <x:v>Measure</x:v>
      </x:c>
      <x:c r="C22" s="20" t="str">
        <x:v>Value</x:v>
      </x:c>
      <x:c r="D22" s="20" t="str">
        <x:v>Unit</x:v>
      </x:c>
      <x:c r="E22" s="20" t="str">
        <x:v>Required</x:v>
      </x:c>
      <x:c r="F22" s="21" t="str">
        <x:v>Result</x:v>
      </x:c>
      <x:c r="G22" s="2"/>
      <x:c r="H22" s="2"/>
      <x:c r="I22" s="2"/>
      <x:c r="J22" s="2"/>
      <x:c r="K22" s="2"/>
    </x:row>
    <x:row r="23" ht="18" customHeight="1">
      <x:c r="B23" s="2" t="str">
        <x:v>Build-release lead</x:v>
      </x:c>
      <x:c r="C23" s="2" t="n">
        <x:f>Assumptions!C13</x:f>
        <x:v>24</x:v>
      </x:c>
      <x:c r="D23" s="2" t="str">
        <x:v>months</x:v>
      </x:c>
      <x:c r="E23" s="2" t="n">
        <x:v>24</x:v>
      </x:c>
      <x:c r="F23" s="2" t="str">
        <x:f>IF(C23=E23,"PASS","FAIL")</x:f>
        <x:v>PASS</x:v>
      </x:c>
      <x:c r="G23" s="2"/>
      <x:c r="H23" s="2"/>
      <x:c r="I23" s="2"/>
      <x:c r="J23" s="2"/>
      <x:c r="K23" s="2"/>
    </x:row>
    <x:row r="24" ht="18" customHeight="1">
      <x:c r="B24" s="2" t="str">
        <x:v>Trial sequence</x:v>
      </x:c>
      <x:c r="C24" s="2" t="n">
        <x:f>Assumptions!C14</x:f>
        <x:v>78</x:v>
      </x:c>
      <x:c r="D24" s="2" t="str">
        <x:v>months</x:v>
      </x:c>
      <x:c r="E24" s="2" t="n">
        <x:v>78</x:v>
      </x:c>
      <x:c r="F24" s="2" t="str">
        <x:f>IF(C24=E24,"PASS","FAIL")</x:f>
        <x:v>PASS</x:v>
      </x:c>
      <x:c r="G24" s="2"/>
      <x:c r="H24" s="2"/>
      <x:c r="I24" s="2"/>
      <x:c r="J24" s="2"/>
      <x:c r="K24" s="2"/>
    </x:row>
    <x:row r="25" ht="18" customHeight="1">
      <x:c r="B25" s="2" t="str">
        <x:v>Calendar completion</x:v>
      </x:c>
      <x:c r="C25" s="2" t="n">
        <x:f>MAX(F7:F18)</x:f>
        <x:v>102</x:v>
      </x:c>
      <x:c r="D25" s="2" t="str">
        <x:v>months</x:v>
      </x:c>
      <x:c r="E25" s="2" t="n">
        <x:v>102</x:v>
      </x:c>
      <x:c r="F25" s="2" t="str">
        <x:f>IF(C25=E25,"PASS","FAIL")</x:f>
        <x:v>PASS</x:v>
      </x:c>
      <x:c r="G25" s="2"/>
      <x:c r="H25" s="2"/>
      <x:c r="I25" s="2"/>
      <x:c r="J25" s="2"/>
      <x:c r="K25" s="2"/>
    </x:row>
    <x:row r="26" ht="18" customHeight="1">
      <x:c r="B26" s="2" t="str">
        <x:v>Rendering authorization</x:v>
      </x:c>
      <x:c r="C26" s="2" t="n">
        <x:f>Assumptions!C32</x:f>
        <x:v>0</x:v>
      </x:c>
      <x:c r="D26" s="2" t="str">
        <x:v>binary</x:v>
      </x:c>
      <x:c r="E26" s="2" t="n">
        <x:v>0</x:v>
      </x:c>
      <x:c r="F26" s="2" t="str">
        <x:f>IF(C26=E26,"PASS","FAIL")</x:f>
        <x:v>PASS</x:v>
      </x:c>
      <x:c r="G26" s="2"/>
      <x:c r="H26" s="2"/>
      <x:c r="I26" s="2"/>
      <x:c r="J26" s="2"/>
      <x:c r="K26" s="2"/>
    </x:row>
  </x:sheetData>
  <x:mergeCells>
    <x:mergeCell ref="B3:K3"/>
    <x:mergeCell ref="B21:K21"/>
  </x:mergeCells>
  <x:conditionalFormatting sqref="I7:I18">
    <x:cfRule type="containsText" dxfId="60" priority="1" operator="containsText" text="OPEN"/>
    <x:cfRule type="containsText" dxfId="61" priority="2" operator="containsText" text="HOLD"/>
    <x:cfRule type="containsText" dxfId="62" priority="3" operator="containsText" text="BLOCKED"/>
    <x:cfRule type="containsText" dxfId="63" priority="4" operator="containsText" text="DRAFT"/>
    <x:cfRule type="containsText" dxfId="64" priority="5" operator="containsText" text="FAIL"/>
  </x:conditionalFormatting>
  <x:conditionalFormatting sqref="F23:F26">
    <x:cfRule type="containsText" dxfId="65" priority="6" operator="containsText" text="OPEN"/>
    <x:cfRule type="containsText" dxfId="66" priority="7" operator="containsText" text="HOLD"/>
    <x:cfRule type="containsText" dxfId="67" priority="8" operator="containsText" text="BLOCKED"/>
    <x:cfRule type="containsText" dxfId="68" priority="9" operator="containsText" text="DRAFT"/>
    <x:cfRule type="containsText" dxfId="69" priority="10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7" hidden="0" customWidth="1"/>
    <x:col min="13" max="13" width="17" hidden="0" customWidth="1"/>
    <x:col min="14" max="14" width="14" hidden="0" customWidth="1"/>
  </x:cols>
  <x:sheetData>
    <x:row r="2" ht="18" customHeight="1">
      <x:c r="B2" s="3" t="str">
        <x:v>Nine-year cost phasing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" customHeight="1">
      <x:c r="B3" s="4" t="str">
        <x:v>Workstream totals remain inside the Pass 93 USD 6.8B envelope while the calendar expands to 102 months.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8" customHeight="1">
      <x:c r="B6" s="25" t="str">
        <x:v>Workstream</x:v>
      </x:c>
      <x:c r="C6" s="26" t="str">
        <x:v>Year 1</x:v>
      </x:c>
      <x:c r="D6" s="26" t="str">
        <x:v>Year 2</x:v>
      </x:c>
      <x:c r="E6" s="26" t="str">
        <x:v>Year 3</x:v>
      </x:c>
      <x:c r="F6" s="26" t="str">
        <x:v>Year 4</x:v>
      </x:c>
      <x:c r="G6" s="26" t="str">
        <x:v>Year 5</x:v>
      </x:c>
      <x:c r="H6" s="26" t="str">
        <x:v>Year 6</x:v>
      </x:c>
      <x:c r="I6" s="26" t="str">
        <x:v>Year 7</x:v>
      </x:c>
      <x:c r="J6" s="26" t="str">
        <x:v>Year 8</x:v>
      </x:c>
      <x:c r="K6" s="26" t="str">
        <x:v>Year 9</x:v>
      </x:c>
      <x:c r="L6" s="26" t="str">
        <x:v>Phased total</x:v>
      </x:c>
      <x:c r="M6" s="26" t="str">
        <x:v>Control total</x:v>
      </x:c>
      <x:c r="N6" s="26" t="str">
        <x:v>Variance</x:v>
      </x:c>
    </x:row>
    <x:row r="7" ht="18" customHeight="1">
      <x:c r="B7" s="27" t="str">
        <x:v>Architecture competitions</x:v>
      </x:c>
      <x:c r="C7" s="35" t="n">
        <x:v>0.4</x:v>
      </x:c>
      <x:c r="D7" s="35" t="n">
        <x:v>0.2</x:v>
      </x:c>
      <x:c r="E7" s="35" t="n">
        <x:v>0</x:v>
      </x:c>
      <x:c r="F7" s="35" t="n">
        <x:v>0</x:v>
      </x:c>
      <x:c r="G7" s="35" t="n">
        <x:v>0</x:v>
      </x:c>
      <x:c r="H7" s="35" t="n">
        <x:v>0</x:v>
      </x:c>
      <x:c r="I7" s="35" t="n">
        <x:v>0</x:v>
      </x:c>
      <x:c r="J7" s="35" t="n">
        <x:v>0</x:v>
      </x:c>
      <x:c r="K7" s="35" t="n">
        <x:v>0</x:v>
      </x:c>
      <x:c r="L7" s="35" t="n">
        <x:f>SUM(C7:K7)</x:f>
        <x:v>0.6000000000000001</x:v>
      </x:c>
      <x:c r="M7" s="35" t="n">
        <x:v>0.6</x:v>
      </x:c>
      <x:c r="N7" s="43" t="n">
        <x:f>L7-M7</x:f>
        <x:v>1.1102230246251565e-16</x:v>
      </x:c>
    </x:row>
    <x:row r="8" ht="18" customHeight="1">
      <x:c r="B8" s="27" t="str">
        <x:v>Tile prototype articles</x:v>
      </x:c>
      <x:c r="C8" s="35" t="n">
        <x:v>0.05</x:v>
      </x:c>
      <x:c r="D8" s="35" t="n">
        <x:v>0.15</x:v>
      </x:c>
      <x:c r="E8" s="35" t="n">
        <x:v>0.15</x:v>
      </x:c>
      <x:c r="F8" s="35" t="n">
        <x:v>0.1</x:v>
      </x:c>
      <x:c r="G8" s="35" t="n">
        <x:v>0.05</x:v>
      </x:c>
      <x:c r="H8" s="35" t="n">
        <x:v>0.03</x:v>
      </x:c>
      <x:c r="I8" s="35" t="n">
        <x:v>0.02</x:v>
      </x:c>
      <x:c r="J8" s="35" t="n">
        <x:v>0</x:v>
      </x:c>
      <x:c r="K8" s="35" t="n">
        <x:v>0</x:v>
      </x:c>
      <x:c r="L8" s="35" t="n">
        <x:f>SUM(C8:K8)</x:f>
        <x:v>0.5499999999999999</x:v>
      </x:c>
      <x:c r="M8" s="35" t="n">
        <x:v>0.55</x:v>
      </x:c>
      <x:c r="N8" s="43" t="n">
        <x:f>L8-M8</x:f>
        <x:v>-1.1102230246251565e-16</x:v>
      </x:c>
    </x:row>
    <x:row r="9" ht="18" customHeight="1">
      <x:c r="B9" s="27" t="str">
        <x:v>Carrier truth nodes</x:v>
      </x:c>
      <x:c r="C9" s="35" t="n">
        <x:v>0.02</x:v>
      </x:c>
      <x:c r="D9" s="35" t="n">
        <x:v>0.08</x:v>
      </x:c>
      <x:c r="E9" s="35" t="n">
        <x:v>0.15</x:v>
      </x:c>
      <x:c r="F9" s="35" t="n">
        <x:v>0.15</x:v>
      </x:c>
      <x:c r="G9" s="35" t="n">
        <x:v>0.12</x:v>
      </x:c>
      <x:c r="H9" s="35" t="n">
        <x:v>0.1</x:v>
      </x:c>
      <x:c r="I9" s="35" t="n">
        <x:v>0.08</x:v>
      </x:c>
      <x:c r="J9" s="35" t="n">
        <x:v>0.03</x:v>
      </x:c>
      <x:c r="K9" s="35" t="n">
        <x:v>0.02</x:v>
      </x:c>
      <x:c r="L9" s="35" t="n">
        <x:f>SUM(C9:K9)</x:f>
        <x:v>0.75</x:v>
      </x:c>
      <x:c r="M9" s="35" t="n">
        <x:v>0.75</x:v>
      </x:c>
      <x:c r="N9" s="43" t="n">
        <x:f>L9-M9</x:f>
        <x:v>0</x:v>
      </x:c>
    </x:row>
    <x:row r="10" ht="18" customHeight="1">
      <x:c r="B10" s="27" t="str">
        <x:v>Pressure skins</x:v>
      </x:c>
      <x:c r="C10" s="35" t="n">
        <x:v>0.02</x:v>
      </x:c>
      <x:c r="D10" s="35" t="n">
        <x:v>0.1</x:v>
      </x:c>
      <x:c r="E10" s="35" t="n">
        <x:v>0.2</x:v>
      </x:c>
      <x:c r="F10" s="35" t="n">
        <x:v>0.18</x:v>
      </x:c>
      <x:c r="G10" s="35" t="n">
        <x:v>0.15</x:v>
      </x:c>
      <x:c r="H10" s="35" t="n">
        <x:v>0.1</x:v>
      </x:c>
      <x:c r="I10" s="35" t="n">
        <x:v>0.07</x:v>
      </x:c>
      <x:c r="J10" s="35" t="n">
        <x:v>0.04</x:v>
      </x:c>
      <x:c r="K10" s="35" t="n">
        <x:v>0.02</x:v>
      </x:c>
      <x:c r="L10" s="35" t="n">
        <x:f>SUM(C10:K10)</x:f>
        <x:v>0.8800000000000001</x:v>
      </x:c>
      <x:c r="M10" s="35" t="n">
        <x:v>0.88</x:v>
      </x:c>
      <x:c r="N10" s="43" t="n">
        <x:f>L10-M10</x:f>
        <x:v>1.1102230246251565e-16</x:v>
      </x:c>
    </x:row>
    <x:row r="11" ht="18" customHeight="1">
      <x:c r="B11" s="27" t="str">
        <x:v>Receiver stations</x:v>
      </x:c>
      <x:c r="C11" s="35" t="n">
        <x:v>0</x:v>
      </x:c>
      <x:c r="D11" s="35" t="n">
        <x:v>0.03</x:v>
      </x:c>
      <x:c r="E11" s="35" t="n">
        <x:v>0.08</x:v>
      </x:c>
      <x:c r="F11" s="35" t="n">
        <x:v>0.12</x:v>
      </x:c>
      <x:c r="G11" s="35" t="n">
        <x:v>0.13</x:v>
      </x:c>
      <x:c r="H11" s="35" t="n">
        <x:v>0.1</x:v>
      </x:c>
      <x:c r="I11" s="35" t="n">
        <x:v>0.08</x:v>
      </x:c>
      <x:c r="J11" s="35" t="n">
        <x:v>0.04</x:v>
      </x:c>
      <x:c r="K11" s="35" t="n">
        <x:v>0.02</x:v>
      </x:c>
      <x:c r="L11" s="35" t="n">
        <x:f>SUM(C11:K11)</x:f>
        <x:v>0.6</x:v>
      </x:c>
      <x:c r="M11" s="35" t="n">
        <x:v>0.6</x:v>
      </x:c>
      <x:c r="N11" s="43" t="n">
        <x:f>L11-M11</x:f>
        <x:v>0</x:v>
      </x:c>
    </x:row>
    <x:row r="12" ht="18" customHeight="1">
      <x:c r="B12" s="27" t="str">
        <x:v>Power time and storage</x:v>
      </x:c>
      <x:c r="C12" s="35" t="n">
        <x:v>0.2</x:v>
      </x:c>
      <x:c r="D12" s="35" t="n">
        <x:v>0.3</x:v>
      </x:c>
      <x:c r="E12" s="35" t="n">
        <x:v>0.2</x:v>
      </x:c>
      <x:c r="F12" s="35" t="n">
        <x:v>0.12</x:v>
      </x:c>
      <x:c r="G12" s="35" t="n">
        <x:v>0.08</x:v>
      </x:c>
      <x:c r="H12" s="35" t="n">
        <x:v>0.05</x:v>
      </x:c>
      <x:c r="I12" s="35" t="n">
        <x:v>0.03</x:v>
      </x:c>
      <x:c r="J12" s="35" t="n">
        <x:v>0.02</x:v>
      </x:c>
      <x:c r="K12" s="35" t="n">
        <x:v>0.03</x:v>
      </x:c>
      <x:c r="L12" s="35" t="n">
        <x:f>SUM(C12:K12)</x:f>
        <x:v>1.03</x:v>
      </x:c>
      <x:c r="M12" s="35" t="n">
        <x:v>1.03</x:v>
      </x:c>
      <x:c r="N12" s="43" t="n">
        <x:f>L12-M12</x:f>
        <x:v>0</x:v>
      </x:c>
    </x:row>
    <x:row r="13" ht="18" customHeight="1">
      <x:c r="B13" s="27" t="str">
        <x:v>Range and trial operations</x:v>
      </x:c>
      <x:c r="C13" s="35" t="n">
        <x:v>0</x:v>
      </x:c>
      <x:c r="D13" s="35" t="n">
        <x:v>0.02</x:v>
      </x:c>
      <x:c r="E13" s="35" t="n">
        <x:v>0.08</x:v>
      </x:c>
      <x:c r="F13" s="35" t="n">
        <x:v>0.15</x:v>
      </x:c>
      <x:c r="G13" s="35" t="n">
        <x:v>0.18</x:v>
      </x:c>
      <x:c r="H13" s="35" t="n">
        <x:v>0.2</x:v>
      </x:c>
      <x:c r="I13" s="35" t="n">
        <x:v>0.2</x:v>
      </x:c>
      <x:c r="J13" s="35" t="n">
        <x:v>0.18</x:v>
      </x:c>
      <x:c r="K13" s="35" t="n">
        <x:v>0.16</x:v>
      </x:c>
      <x:c r="L13" s="35" t="n">
        <x:f>SUM(C13:K13)</x:f>
        <x:v>1.17</x:v>
      </x:c>
      <x:c r="M13" s="35" t="n">
        <x:v>1.17</x:v>
      </x:c>
      <x:c r="N13" s="43" t="n">
        <x:f>L13-M13</x:f>
        <x:v>0</x:v>
      </x:c>
    </x:row>
    <x:row r="14" ht="18" customHeight="1">
      <x:c r="B14" s="27" t="str">
        <x:v>Destructive evidence</x:v>
      </x:c>
      <x:c r="C14" s="35" t="n">
        <x:v>0</x:v>
      </x:c>
      <x:c r="D14" s="35" t="n">
        <x:v>0</x:v>
      </x:c>
      <x:c r="E14" s="35" t="n">
        <x:v>0.02</x:v>
      </x:c>
      <x:c r="F14" s="35" t="n">
        <x:v>0.05</x:v>
      </x:c>
      <x:c r="G14" s="35" t="n">
        <x:v>0.07</x:v>
      </x:c>
      <x:c r="H14" s="35" t="n">
        <x:v>0.06</x:v>
      </x:c>
      <x:c r="I14" s="35" t="n">
        <x:v>0.05</x:v>
      </x:c>
      <x:c r="J14" s="35" t="n">
        <x:v>0.04</x:v>
      </x:c>
      <x:c r="K14" s="35" t="n">
        <x:v>0.04</x:v>
      </x:c>
      <x:c r="L14" s="35" t="n">
        <x:f>SUM(C14:K14)</x:f>
        <x:v>0.32999999999999996</x:v>
      </x:c>
      <x:c r="M14" s="35" t="n">
        <x:v>0.33</x:v>
      </x:c>
      <x:c r="N14" s="43" t="n">
        <x:f>L14-M14</x:f>
        <x:v>-5.551115123125783e-17</x:v>
      </x:c>
    </x:row>
    <x:row r="15" ht="18" customHeight="1">
      <x:c r="B15" s="27" t="str">
        <x:v>Independent replication</x:v>
      </x:c>
      <x:c r="C15" s="35" t="n">
        <x:v>0.02</x:v>
      </x:c>
      <x:c r="D15" s="35" t="n">
        <x:v>0.03</x:v>
      </x:c>
      <x:c r="E15" s="35" t="n">
        <x:v>0.05</x:v>
      </x:c>
      <x:c r="F15" s="35" t="n">
        <x:v>0.07</x:v>
      </x:c>
      <x:c r="G15" s="35" t="n">
        <x:v>0.08</x:v>
      </x:c>
      <x:c r="H15" s="35" t="n">
        <x:v>0.08</x:v>
      </x:c>
      <x:c r="I15" s="35" t="n">
        <x:v>0.09</x:v>
      </x:c>
      <x:c r="J15" s="35" t="n">
        <x:v>0.09</x:v>
      </x:c>
      <x:c r="K15" s="35" t="n">
        <x:v>0.08</x:v>
      </x:c>
      <x:c r="L15" s="35" t="n">
        <x:f>SUM(C15:K15)</x:f>
        <x:v>0.59</x:v>
      </x:c>
      <x:c r="M15" s="35" t="n">
        <x:v>0.59</x:v>
      </x:c>
      <x:c r="N15" s="43" t="n">
        <x:f>L15-M15</x:f>
        <x:v>0</x:v>
      </x:c>
    </x:row>
    <x:row r="16" ht="18" customHeight="1">
      <x:c r="B16" s="27" t="str">
        <x:v>Data custody</x:v>
      </x:c>
      <x:c r="C16" s="35" t="n">
        <x:v>0.02</x:v>
      </x:c>
      <x:c r="D16" s="35" t="n">
        <x:v>0.03</x:v>
      </x:c>
      <x:c r="E16" s="35" t="n">
        <x:v>0.03</x:v>
      </x:c>
      <x:c r="F16" s="35" t="n">
        <x:v>0.03</x:v>
      </x:c>
      <x:c r="G16" s="35" t="n">
        <x:v>0.03</x:v>
      </x:c>
      <x:c r="H16" s="35" t="n">
        <x:v>0.02</x:v>
      </x:c>
      <x:c r="I16" s="35" t="n">
        <x:v>0.02</x:v>
      </x:c>
      <x:c r="J16" s="35" t="n">
        <x:v>0.01</x:v>
      </x:c>
      <x:c r="K16" s="35" t="n">
        <x:v>0.01</x:v>
      </x:c>
      <x:c r="L16" s="35" t="n">
        <x:f>SUM(C16:K16)</x:f>
        <x:v>0.2</x:v>
      </x:c>
      <x:c r="M16" s="35" t="n">
        <x:v>0.2</x:v>
      </x:c>
      <x:c r="N16" s="43" t="n">
        <x:f>L16-M16</x:f>
        <x:v>0</x:v>
      </x:c>
    </x:row>
    <x:row r="17" ht="18" customHeight="1">
      <x:c r="B17" s="27" t="str">
        <x:v>Program reserve</x:v>
      </x:c>
      <x:c r="C17" s="35" t="n">
        <x:v>0</x:v>
      </x:c>
      <x:c r="D17" s="35" t="n">
        <x:v>0</x:v>
      </x:c>
      <x:c r="E17" s="35" t="n">
        <x:v>0</x:v>
      </x:c>
      <x:c r="F17" s="35" t="n">
        <x:v>0</x:v>
      </x:c>
      <x:c r="G17" s="35" t="n">
        <x:v>0</x:v>
      </x:c>
      <x:c r="H17" s="35" t="n">
        <x:v>0.01</x:v>
      </x:c>
      <x:c r="I17" s="35" t="n">
        <x:v>0.02</x:v>
      </x:c>
      <x:c r="J17" s="35" t="n">
        <x:v>0.03</x:v>
      </x:c>
      <x:c r="K17" s="35" t="n">
        <x:v>0.04</x:v>
      </x:c>
      <x:c r="L17" s="35" t="n">
        <x:f>SUM(C17:K17)</x:f>
        <x:v>0.1</x:v>
      </x:c>
      <x:c r="M17" s="35" t="n">
        <x:v>0.1</x:v>
      </x:c>
      <x:c r="N17" s="43" t="n">
        <x:f>L17-M17</x:f>
        <x:v>0</x:v>
      </x:c>
    </x:row>
    <x:row r="18" ht="18" customHeight="1">
      <x:c r="B18" s="27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43"/>
    </x:row>
    <x:row r="19" ht="18" customHeight="1">
      <x:c r="B19" s="27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43"/>
    </x:row>
    <x:row r="20" ht="18" customHeight="1">
      <x:c r="B20" s="31" t="str">
        <x:v>PROGRAM TOTAL</x:v>
      </x:c>
      <x:c r="C20" s="36" t="n">
        <x:f>SUM(C7:C17)</x:f>
        <x:v>0.7300000000000001</x:v>
      </x:c>
      <x:c r="D20" s="36" t="n">
        <x:f>SUM(D7:D17)</x:f>
        <x:v>0.9400000000000002</x:v>
      </x:c>
      <x:c r="E20" s="36" t="n">
        <x:f>SUM(E7:E17)</x:f>
        <x:v>0.9600000000000001</x:v>
      </x:c>
      <x:c r="F20" s="36" t="n">
        <x:f>SUM(F7:F17)</x:f>
        <x:v>0.9700000000000002</x:v>
      </x:c>
      <x:c r="G20" s="36" t="n">
        <x:f>SUM(G7:G17)</x:f>
        <x:v>0.89</x:v>
      </x:c>
      <x:c r="H20" s="36" t="n">
        <x:f>SUM(H7:H17)</x:f>
        <x:v>0.7500000000000001</x:v>
      </x:c>
      <x:c r="I20" s="36" t="n">
        <x:f>SUM(I7:I17)</x:f>
        <x:v>0.66</x:v>
      </x:c>
      <x:c r="J20" s="36" t="n">
        <x:f>SUM(J7:J17)</x:f>
        <x:v>0.48</x:v>
      </x:c>
      <x:c r="K20" s="36" t="n">
        <x:f>SUM(K7:K17)</x:f>
        <x:v>0.42</x:v>
      </x:c>
      <x:c r="L20" s="36" t="n">
        <x:f>SUM(L7:L17)</x:f>
        <x:v>6.8</x:v>
      </x:c>
      <x:c r="M20" s="36" t="n">
        <x:v>6.8</x:v>
      </x:c>
      <x:c r="N20" s="44" t="n">
        <x:f>L20-M20</x:f>
        <x:v>0</x:v>
      </x:c>
    </x:row>
    <x:row r="21" ht="18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8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8" customHeight="1">
      <x:c r="B23" s="8" t="str">
        <x:v>Fiscal boundary</x:v>
      </x:c>
      <x:c r="C23" s="9" t="str">
        <x:v>Fiscal boundary</x:v>
      </x:c>
      <x:c r="D23" s="9" t="str">
        <x:v>Fiscal boundary</x:v>
      </x:c>
      <x:c r="E23" s="9" t="str">
        <x:v>Fiscal boundary</x:v>
      </x:c>
      <x:c r="F23" s="9" t="str">
        <x:v>Fiscal boundary</x:v>
      </x:c>
      <x:c r="G23" s="9" t="str">
        <x:v>Fiscal boundary</x:v>
      </x:c>
      <x:c r="H23" s="9" t="str">
        <x:v>Fiscal boundary</x:v>
      </x:c>
      <x:c r="I23" s="9" t="str">
        <x:v>Fiscal boundary</x:v>
      </x:c>
      <x:c r="J23" s="9" t="str">
        <x:v>Fiscal boundary</x:v>
      </x:c>
      <x:c r="K23" s="9" t="str">
        <x:v>Fiscal boundary</x:v>
      </x:c>
      <x:c r="L23" s="9" t="str">
        <x:v>Fiscal boundary</x:v>
      </x:c>
      <x:c r="M23" s="9" t="str">
        <x:v>Fiscal boundary</x:v>
      </x:c>
      <x:c r="N23" s="10" t="str">
        <x:v>Fiscal boundary</x:v>
      </x:c>
    </x:row>
    <x:row r="24" ht="18" customHeight="1">
      <x:c r="B24" s="2" t="str">
        <x:v>Calendar correction changes phasing, not total authorization. Awarded obligations or repeated work reopen the affected workstream.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</x:row>
    <x:row r="25" ht="18" customHeight="1">
      <x:c r="B25" s="2" t="str">
        <x:v>Values are constant planning USD billions without a selected price base; they are not quotes or appropriation forecasts.</x:v>
      </x:c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  <x:c r="L25" s="2" t="str"/>
      <x:c r="M25" s="2" t="str"/>
      <x:c r="N25" s="2" t="str"/>
    </x:row>
  </x:sheetData>
  <x:mergeCells>
    <x:mergeCell ref="B3:N3"/>
    <x:mergeCell ref="B23:N2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20" hidden="0" customWidth="1"/>
    <x:col min="4" max="4" width="55" hidden="0" customWidth="1"/>
    <x:col min="5" max="5" width="37" hidden="0" customWidth="1"/>
    <x:col min="6" max="6" width="13" hidden="0" customWidth="1"/>
    <x:col min="7" max="7" width="13" hidden="0" customWidth="1"/>
    <x:col min="8" max="8" width="35" hidden="0" customWidth="1"/>
    <x:col min="9" max="9" width="14" hidden="0" customWidth="1"/>
    <x:col min="10" max="10" width="11" hidden="0" customWidth="1"/>
  </x:cols>
  <x:sheetData>
    <x:row r="2" ht="18" customHeight="1">
      <x:c r="B2" s="3" t="str">
        <x:v>Prototype release and form gates</x:v>
      </x:c>
      <x:c r="C2" s="2"/>
      <x:c r="D2" s="2"/>
      <x:c r="E2" s="2"/>
      <x:c r="F2" s="2"/>
      <x:c r="G2" s="2"/>
      <x:c r="H2" s="2"/>
      <x:c r="I2" s="2"/>
      <x:c r="J2" s="2"/>
    </x:row>
    <x:row r="3" ht="18" customHeight="1">
      <x:c r="B3" s="4" t="str">
        <x:v>No gate is closed by a reconciled package. Article release, campaign credit, production and rendering remain separate decisions.</x:v>
      </x:c>
      <x:c r="C3" s="2"/>
      <x:c r="D3" s="2"/>
      <x:c r="E3" s="2"/>
      <x:c r="F3" s="2"/>
      <x:c r="G3" s="2"/>
      <x:c r="H3" s="2"/>
      <x:c r="I3" s="2"/>
      <x:c r="J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</x:row>
    <x:row r="6" ht="18" customHeight="1">
      <x:c r="B6" s="25" t="str">
        <x:v>Gate</x:v>
      </x:c>
      <x:c r="C6" s="26" t="str">
        <x:v>Class</x:v>
      </x:c>
      <x:c r="D6" s="26" t="str">
        <x:v>Decision question</x:v>
      </x:c>
      <x:c r="E6" s="26" t="str">
        <x:v>Required artifact</x:v>
      </x:c>
      <x:c r="F6" s="26" t="str">
        <x:v>Evidence</x:v>
      </x:c>
      <x:c r="G6" s="26" t="str">
        <x:v>Decision</x:v>
      </x:c>
      <x:c r="H6" s="26" t="str">
        <x:v>Failure consequence</x:v>
      </x:c>
      <x:c r="I6" s="26" t="str">
        <x:v>Rendering</x:v>
      </x:c>
      <x:c r="J6" s="26" t="str">
        <x:v>Credit</x:v>
      </x:c>
    </x:row>
    <x:row r="7" ht="34" customHeight="1">
      <x:c r="B7" s="27" t="str">
        <x:v>G01</x:v>
      </x:c>
      <x:c r="C7" s="27" t="str">
        <x:v>Requirements</x:v>
      </x:c>
      <x:c r="D7" s="27" t="str">
        <x:v>Are all D01-D14 package templates frozen?</x:v>
      </x:c>
      <x:c r="E7" s="27" t="str">
        <x:v>signed requirements baseline</x:v>
      </x:c>
      <x:c r="F7" s="27" t="str">
        <x:v>OPEN</x:v>
      </x:c>
      <x:c r="G7" s="27" t="str">
        <x:v>HOLD</x:v>
      </x:c>
      <x:c r="H7" s="27" t="str">
        <x:v>repeat BR01</x:v>
      </x:c>
      <x:c r="I7" s="27" t="str">
        <x:v>BLOCKED</x:v>
      </x:c>
      <x:c r="J7" s="29" t="n">
        <x:v>0</x:v>
      </x:c>
    </x:row>
    <x:row r="8" ht="34" customHeight="1">
      <x:c r="B8" s="27" t="str">
        <x:v>G02</x:v>
      </x:c>
      <x:c r="C8" s="27" t="str">
        <x:v>Authority</x:v>
      </x:c>
      <x:c r="D8" s="27" t="str">
        <x:v>Are builder, operator, evidence and release authorities separated?</x:v>
      </x:c>
      <x:c r="E8" s="27" t="str">
        <x:v>signed authority matrix</x:v>
      </x:c>
      <x:c r="F8" s="27" t="str">
        <x:v>OPEN</x:v>
      </x:c>
      <x:c r="G8" s="27" t="str">
        <x:v>HOLD</x:v>
      </x:c>
      <x:c r="H8" s="27" t="str">
        <x:v>reassign custody</x:v>
      </x:c>
      <x:c r="I8" s="27" t="str">
        <x:v>BLOCKED</x:v>
      </x:c>
      <x:c r="J8" s="29" t="n">
        <x:v>0</x:v>
      </x:c>
    </x:row>
    <x:row r="9" ht="34" customHeight="1">
      <x:c r="B9" s="27" t="str">
        <x:v>G03</x:v>
      </x:c>
      <x:c r="C9" s="27" t="str">
        <x:v>Physical burden</x:v>
      </x:c>
      <x:c r="D9" s="27" t="str">
        <x:v>Do mass, volume, center of gravity and inertia close with reserves?</x:v>
      </x:c>
      <x:c r="E9" s="27" t="str">
        <x:v>independent weigh scan and moment record</x:v>
      </x:c>
      <x:c r="F9" s="27" t="str">
        <x:v>OPEN</x:v>
      </x:c>
      <x:c r="G9" s="27" t="str">
        <x:v>HOLD</x:v>
      </x:c>
      <x:c r="H9" s="27" t="str">
        <x:v>reopen host envelope</x:v>
      </x:c>
      <x:c r="I9" s="27" t="str">
        <x:v>BLOCKED</x:v>
      </x:c>
      <x:c r="J9" s="29" t="n">
        <x:v>0</x:v>
      </x:c>
    </x:row>
    <x:row r="10" ht="34" customHeight="1">
      <x:c r="B10" s="27" t="str">
        <x:v>G04</x:v>
      </x:c>
      <x:c r="C10" s="27" t="str">
        <x:v>Energy</x:v>
      </x:c>
      <x:c r="D10" s="27" t="str">
        <x:v>Does each node survive 168 hours plus reserve without mission power?</x:v>
      </x:c>
      <x:c r="E10" s="27" t="str">
        <x:v>accepted A03-A04 record</x:v>
      </x:c>
      <x:c r="F10" s="27" t="str">
        <x:v>OPEN</x:v>
      </x:c>
      <x:c r="G10" s="27" t="str">
        <x:v>HOLD</x:v>
      </x:c>
      <x:c r="H10" s="27" t="str">
        <x:v>redesign energy</x:v>
      </x:c>
      <x:c r="I10" s="27" t="str">
        <x:v>BLOCKED</x:v>
      </x:c>
      <x:c r="J10" s="29" t="n">
        <x:v>0</x:v>
      </x:c>
    </x:row>
    <x:row r="11" ht="34" customHeight="1">
      <x:c r="B11" s="27" t="str">
        <x:v>G05</x:v>
      </x:c>
      <x:c r="C11" s="27" t="str">
        <x:v>Thermal</x:v>
      </x:c>
      <x:c r="D11" s="27" t="str">
        <x:v>Does all evidence heat reject outward through its own boundary?</x:v>
      </x:c>
      <x:c r="E11" s="27" t="str">
        <x:v>accepted A05 record</x:v>
      </x:c>
      <x:c r="F11" s="27" t="str">
        <x:v>OPEN</x:v>
      </x:c>
      <x:c r="G11" s="27" t="str">
        <x:v>HOLD</x:v>
      </x:c>
      <x:c r="H11" s="27" t="str">
        <x:v>redesign thermal boundary</x:v>
      </x:c>
      <x:c r="I11" s="27" t="str">
        <x:v>BLOCKED</x:v>
      </x:c>
      <x:c r="J11" s="29" t="n">
        <x:v>0</x:v>
      </x:c>
    </x:row>
    <x:row r="12" ht="34" customHeight="1">
      <x:c r="B12" s="27" t="str">
        <x:v>G06</x:v>
      </x:c>
      <x:c r="C12" s="27" t="str">
        <x:v>Data</x:v>
      </x:c>
      <x:c r="D12" s="27" t="str">
        <x:v>Does the complete local original survive network and media loss?</x:v>
      </x:c>
      <x:c r="E12" s="27" t="str">
        <x:v>accepted A06 record</x:v>
      </x:c>
      <x:c r="F12" s="27" t="str">
        <x:v>OPEN</x:v>
      </x:c>
      <x:c r="G12" s="27" t="str">
        <x:v>HOLD</x:v>
      </x:c>
      <x:c r="H12" s="27" t="str">
        <x:v>redesign storage and custody</x:v>
      </x:c>
      <x:c r="I12" s="27" t="str">
        <x:v>BLOCKED</x:v>
      </x:c>
      <x:c r="J12" s="29" t="n">
        <x:v>0</x:v>
      </x:c>
    </x:row>
    <x:row r="13" ht="34" customHeight="1">
      <x:c r="B13" s="27" t="str">
        <x:v>G07</x:v>
      </x:c>
      <x:c r="C13" s="27" t="str">
        <x:v>Time</x:v>
      </x:c>
      <x:c r="D13" s="27" t="str">
        <x:v>Does denied event time remain inside family allocation?</x:v>
      </x:c>
      <x:c r="E13" s="27" t="str">
        <x:v>accepted A07 record</x:v>
      </x:c>
      <x:c r="F13" s="27" t="str">
        <x:v>OPEN</x:v>
      </x:c>
      <x:c r="G13" s="27" t="str">
        <x:v>HOLD</x:v>
      </x:c>
      <x:c r="H13" s="27" t="str">
        <x:v>redesign time roots</x:v>
      </x:c>
      <x:c r="I13" s="27" t="str">
        <x:v>BLOCKED</x:v>
      </x:c>
      <x:c r="J13" s="29" t="n">
        <x:v>0</x:v>
      </x:c>
    </x:row>
    <x:row r="14" ht="34" customHeight="1">
      <x:c r="B14" s="27" t="str">
        <x:v>G08</x:v>
      </x:c>
      <x:c r="C14" s="27" t="str">
        <x:v>Non-actuation</x:v>
      </x:c>
      <x:c r="D14" s="27" t="str">
        <x:v>Do reverse-energy and teardown tests prove a physical one-way boundary?</x:v>
      </x:c>
      <x:c r="E14" s="27" t="str">
        <x:v>accepted A08 and interface set</x:v>
      </x:c>
      <x:c r="F14" s="27" t="str">
        <x:v>OPEN</x:v>
      </x:c>
      <x:c r="G14" s="27" t="str">
        <x:v>HOLD</x:v>
      </x:c>
      <x:c r="H14" s="27" t="str">
        <x:v>reject interface family</x:v>
      </x:c>
      <x:c r="I14" s="27" t="str">
        <x:v>BLOCKED</x:v>
      </x:c>
      <x:c r="J14" s="29" t="n">
        <x:v>0</x:v>
      </x:c>
    </x:row>
    <x:row r="15" ht="34" customHeight="1">
      <x:c r="B15" s="27" t="str">
        <x:v>G09</x:v>
      </x:c>
      <x:c r="C15" s="27" t="str">
        <x:v>Hazards</x:v>
      </x:c>
      <x:c r="D15" s="27" t="str">
        <x:v>Does each family survive or explicitly invalidate across all eight worlds?</x:v>
      </x:c>
      <x:c r="E15" s="27" t="str">
        <x:v>accepted H01-H08 records</x:v>
      </x:c>
      <x:c r="F15" s="27" t="str">
        <x:v>OPEN</x:v>
      </x:c>
      <x:c r="G15" s="27" t="str">
        <x:v>HOLD</x:v>
      </x:c>
      <x:c r="H15" s="27" t="str">
        <x:v>rework enclosure or disposition</x:v>
      </x:c>
      <x:c r="I15" s="27" t="str">
        <x:v>BLOCKED</x:v>
      </x:c>
      <x:c r="J15" s="29" t="n">
        <x:v>0</x:v>
      </x:c>
    </x:row>
    <x:row r="16" ht="34" customHeight="1">
      <x:c r="B16" s="27" t="str">
        <x:v>G10</x:v>
      </x:c>
      <x:c r="C16" s="27" t="str">
        <x:v>Calibration</x:v>
      </x:c>
      <x:c r="D16" s="27" t="str">
        <x:v>Does every chain remain within allocation before and after exposure?</x:v>
      </x:c>
      <x:c r="E16" s="27" t="str">
        <x:v>accepted calibration set</x:v>
      </x:c>
      <x:c r="F16" s="27" t="str">
        <x:v>OPEN</x:v>
      </x:c>
      <x:c r="G16" s="27" t="str">
        <x:v>HOLD</x:v>
      </x:c>
      <x:c r="H16" s="27" t="str">
        <x:v>rework measurand chain</x:v>
      </x:c>
      <x:c r="I16" s="27" t="str">
        <x:v>BLOCKED</x:v>
      </x:c>
      <x:c r="J16" s="29" t="n">
        <x:v>0</x:v>
      </x:c>
    </x:row>
    <x:row r="17" ht="34" customHeight="1">
      <x:c r="B17" s="27" t="str">
        <x:v>G11</x:v>
      </x:c>
      <x:c r="C17" s="27" t="str">
        <x:v>Access</x:v>
      </x:c>
      <x:c r="D17" s="27" t="str">
        <x:v>Can blinded maintainers inspect swap clean and quarantine safely?</x:v>
      </x:c>
      <x:c r="E17" s="27" t="str">
        <x:v>accepted A11 record</x:v>
      </x:c>
      <x:c r="F17" s="27" t="str">
        <x:v>OPEN</x:v>
      </x:c>
      <x:c r="G17" s="27" t="str">
        <x:v>HOLD</x:v>
      </x:c>
      <x:c r="H17" s="27" t="str">
        <x:v>rework access package</x:v>
      </x:c>
      <x:c r="I17" s="27" t="str">
        <x:v>BLOCKED</x:v>
      </x:c>
      <x:c r="J17" s="29" t="n">
        <x:v>0</x:v>
      </x:c>
    </x:row>
    <x:row r="18" ht="34" customHeight="1">
      <x:c r="B18" s="27" t="str">
        <x:v>G12</x:v>
      </x:c>
      <x:c r="C18" s="27" t="str">
        <x:v>Ancestry and rights</x:v>
      </x:c>
      <x:c r="D18" s="27" t="str">
        <x:v>Are decisive roots separate and reproduction rights complete?</x:v>
      </x:c>
      <x:c r="E18" s="27" t="str">
        <x:v>accepted rights register</x:v>
      </x:c>
      <x:c r="F18" s="27" t="str">
        <x:v>OPEN</x:v>
      </x:c>
      <x:c r="G18" s="27" t="str">
        <x:v>HOLD</x:v>
      </x:c>
      <x:c r="H18" s="27" t="str">
        <x:v>recompete chain</x:v>
      </x:c>
      <x:c r="I18" s="27" t="str">
        <x:v>BLOCKED</x:v>
      </x:c>
      <x:c r="J18" s="29" t="n">
        <x:v>0</x:v>
      </x:c>
    </x:row>
    <x:row r="19" ht="34" customHeight="1">
      <x:c r="B19" s="27" t="str">
        <x:v>G13</x:v>
      </x:c>
      <x:c r="C19" s="27" t="str">
        <x:v>Article bank</x:v>
      </x:c>
      <x:c r="D19" s="27" t="str">
        <x:v>Are reference destructive quarantine and campaign stocks physically present?</x:v>
      </x:c>
      <x:c r="E19" s="27" t="str">
        <x:v>signed article custody ledger</x:v>
      </x:c>
      <x:c r="F19" s="27" t="str">
        <x:v>OPEN</x:v>
      </x:c>
      <x:c r="G19" s="27" t="str">
        <x:v>HOLD</x:v>
      </x:c>
      <x:c r="H19" s="27" t="str">
        <x:v>delay campaign</x:v>
      </x:c>
      <x:c r="I19" s="27" t="str">
        <x:v>BLOCKED</x:v>
      </x:c>
      <x:c r="J19" s="29" t="n">
        <x:v>0</x:v>
      </x:c>
    </x:row>
    <x:row r="20" ht="34" customHeight="1">
      <x:c r="B20" s="27" t="str">
        <x:v>G14</x:v>
      </x:c>
      <x:c r="C20" s="27" t="str">
        <x:v>Facilities and schedule</x:v>
      </x:c>
      <x:c r="D20" s="27" t="str">
        <x:v>Can qualified facilities execute every load before article need?</x:v>
      </x:c>
      <x:c r="E20" s="27" t="str">
        <x:v>accepted capacity schedule</x:v>
      </x:c>
      <x:c r="F20" s="27" t="str">
        <x:v>OPEN</x:v>
      </x:c>
      <x:c r="G20" s="27" t="str">
        <x:v>HOLD</x:v>
      </x:c>
      <x:c r="H20" s="27" t="str">
        <x:v>add capacity or shift program</x:v>
      </x:c>
      <x:c r="I20" s="27" t="str">
        <x:v>BLOCKED</x:v>
      </x:c>
      <x:c r="J20" s="29" t="n">
        <x:v>0</x:v>
      </x:c>
    </x:row>
    <x:row r="21" ht="34" customHeight="1">
      <x:c r="B21" s="31" t="str">
        <x:v>G15</x:v>
      </x:c>
      <x:c r="C21" s="31" t="str">
        <x:v>Complete mission and form</x:v>
      </x:c>
      <x:c r="D21" s="31" t="str">
        <x:v>Has an independent second lot passed frozen P08?</x:v>
      </x:c>
      <x:c r="E21" s="31" t="str">
        <x:v>accepted P08 record</x:v>
      </x:c>
      <x:c r="F21" s="31" t="str">
        <x:v>OPEN</x:v>
      </x:c>
      <x:c r="G21" s="31" t="str">
        <x:v>HOLD</x:v>
      </x:c>
      <x:c r="H21" s="31" t="str">
        <x:v>retain production and rendering prohibition</x:v>
      </x:c>
      <x:c r="I21" s="31" t="str">
        <x:v>BLOCKED</x:v>
      </x:c>
      <x:c r="J21" s="33" t="n">
        <x:v>0</x:v>
      </x:c>
    </x:row>
    <x:row r="22" ht="18" customHeight="1"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18" customHeight="1"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18" customHeight="1">
      <x:c r="B24" s="8" t="str">
        <x:v>Current authority</x:v>
      </x:c>
      <x:c r="C24" s="9" t="str">
        <x:v>Current authority</x:v>
      </x:c>
      <x:c r="D24" s="9" t="str">
        <x:v>Current authority</x:v>
      </x:c>
      <x:c r="E24" s="9" t="str">
        <x:v>Current authority</x:v>
      </x:c>
      <x:c r="F24" s="9" t="str">
        <x:v>Current authority</x:v>
      </x:c>
      <x:c r="G24" s="9" t="str">
        <x:v>Current authority</x:v>
      </x:c>
      <x:c r="H24" s="9" t="str">
        <x:v>Current authority</x:v>
      </x:c>
      <x:c r="I24" s="9" t="str">
        <x:v>Current authority</x:v>
      </x:c>
      <x:c r="J24" s="10" t="str">
        <x:v>Current authority</x:v>
      </x:c>
    </x:row>
    <x:row r="25" ht="18" customHeight="1">
      <x:c r="B25" s="2" t="str">
        <x:v>Package drafting</x:v>
      </x:c>
      <x:c r="C25" s="2" t="str">
        <x:v>AUTHORIZED</x:v>
      </x:c>
      <x:c r="D25" s="2" t="str">
        <x:v>Creates buildable records only; no evidence credit.</x:v>
      </x:c>
      <x:c r="E25" s="2" t="str"/>
      <x:c r="F25" s="2" t="str"/>
      <x:c r="G25" s="2" t="str"/>
      <x:c r="H25" s="2" t="str"/>
      <x:c r="I25" s="2" t="str"/>
      <x:c r="J25" s="2" t="str"/>
    </x:row>
    <x:row r="26" ht="18" customHeight="1">
      <x:c r="B26" s="2" t="str">
        <x:v>Rival serial construction</x:v>
      </x:c>
      <x:c r="C26" s="2" t="str">
        <x:v>HOLD</x:v>
      </x:c>
      <x:c r="D26" s="2" t="str">
        <x:v>Begins only after G01-G02 package and authority freeze.</x:v>
      </x:c>
      <x:c r="E26" s="2" t="str"/>
      <x:c r="F26" s="2" t="str"/>
      <x:c r="G26" s="2" t="str"/>
      <x:c r="H26" s="2" t="str"/>
      <x:c r="I26" s="2" t="str"/>
      <x:c r="J26" s="2" t="str"/>
    </x:row>
    <x:row r="27" ht="18" customHeight="1">
      <x:c r="B27" s="2" t="str">
        <x:v>Internal and exterior rendering</x:v>
      </x:c>
      <x:c r="C27" s="2" t="str">
        <x:v>BLOCKED</x:v>
      </x:c>
      <x:c r="D27" s="2" t="str">
        <x:v>Measured article envelopes and accepted P08 remain prerequisites.</x:v>
      </x:c>
      <x:c r="E27" s="2" t="str"/>
      <x:c r="F27" s="2" t="str"/>
      <x:c r="G27" s="2" t="str"/>
      <x:c r="H27" s="2" t="str"/>
      <x:c r="I27" s="2" t="str"/>
      <x:c r="J27" s="2" t="str"/>
    </x:row>
  </x:sheetData>
  <x:mergeCells>
    <x:mergeCell ref="B3:J3"/>
    <x:mergeCell ref="B24:J24"/>
  </x:mergeCells>
  <x:conditionalFormatting sqref="F7:I21">
    <x:cfRule type="containsText" dxfId="70" priority="1" operator="containsText" text="OPEN"/>
    <x:cfRule type="containsText" dxfId="71" priority="2" operator="containsText" text="HOLD"/>
    <x:cfRule type="containsText" dxfId="72" priority="3" operator="containsText" text="BLOCKED"/>
    <x:cfRule type="containsText" dxfId="73" priority="4" operator="containsText" text="DRAFT"/>
    <x:cfRule type="containsText" dxfId="74" priority="5" operator="containsText" text="FAIL"/>
  </x:conditionalFormatting>
  <x:conditionalFormatting sqref="C25:C27">
    <x:cfRule type="containsText" dxfId="75" priority="6" operator="containsText" text="OPEN"/>
    <x:cfRule type="containsText" dxfId="76" priority="7" operator="containsText" text="HOLD"/>
    <x:cfRule type="containsText" dxfId="77" priority="8" operator="containsText" text="BLOCKED"/>
    <x:cfRule type="containsText" dxfId="78" priority="9" operator="containsText" text="DRAFT"/>
    <x:cfRule type="containsText" dxfId="79" priority="10" operator="containsText" text="FAIL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0" hidden="0" customWidth="1"/>
    <x:col min="4" max="4" width="62" hidden="0" customWidth="1"/>
    <x:col min="5" max="5" width="18" hidden="0" customWidth="1"/>
    <x:col min="6" max="6" width="18" hidden="0" customWidth="1"/>
    <x:col min="7" max="7" width="12" hidden="0" customWidth="1"/>
  </x:cols>
  <x:sheetData>
    <x:row r="2" ht="18" customHeight="1">
      <x:c r="B2" s="3" t="str">
        <x:v>Deterministic audit</x:v>
      </x:c>
      <x:c r="C2" s="2"/>
      <x:c r="D2" s="2"/>
      <x:c r="E2" s="2"/>
      <x:c r="F2" s="2"/>
      <x:c r="G2" s="2"/>
    </x:row>
    <x:row r="3" ht="18" customHeight="1">
      <x:c r="B3" s="4" t="str">
        <x:v>Terminal controls test workbook structure and reconciliation only. They cannot create physical evidence or release authority.</x:v>
      </x:c>
      <x:c r="C3" s="2"/>
      <x:c r="D3" s="2"/>
      <x:c r="E3" s="2"/>
      <x:c r="F3" s="2"/>
      <x:c r="G3" s="2"/>
    </x:row>
    <x:row r="4" ht="18" customHeight="1">
      <x:c r="B4" s="5"/>
      <x:c r="C4" s="5"/>
      <x:c r="D4" s="5"/>
      <x:c r="E4" s="5"/>
      <x:c r="F4" s="5"/>
      <x:c r="G4" s="5"/>
    </x:row>
    <x:row r="5" ht="18" customHeight="1">
      <x:c r="B5" s="2"/>
      <x:c r="C5" s="2"/>
      <x:c r="D5" s="2"/>
      <x:c r="E5" s="2"/>
      <x:c r="F5" s="2"/>
      <x:c r="G5" s="2"/>
    </x:row>
    <x:row r="6" ht="18" customHeight="1">
      <x:c r="B6" s="25" t="str">
        <x:v>Control</x:v>
      </x:c>
      <x:c r="C6" s="26" t="str">
        <x:v>Class</x:v>
      </x:c>
      <x:c r="D6" s="26" t="str">
        <x:v>Test</x:v>
      </x:c>
      <x:c r="E6" s="26" t="str">
        <x:v>Observed</x:v>
      </x:c>
      <x:c r="F6" s="26" t="str">
        <x:v>Required</x:v>
      </x:c>
      <x:c r="G6" s="26" t="str">
        <x:v>Result</x:v>
      </x:c>
    </x:row>
    <x:row r="7" ht="18" customHeight="1">
      <x:c r="B7" s="27" t="str">
        <x:v>A0001</x:v>
      </x:c>
      <x:c r="C7" s="27" t="str">
        <x:v>baseline</x:v>
      </x:c>
      <x:c r="D7" s="27" t="str">
        <x:v>ATC-A01 mass positive</x:v>
      </x:c>
      <x:c r="E7" s="27" t="n">
        <x:f>IF('Article Baselines'!E7&gt;0,1,0)</x:f>
        <x:v>1</x:v>
      </x:c>
      <x:c r="F7" s="27" t="n">
        <x:v>1</x:v>
      </x:c>
      <x:c r="G7" s="29" t="str">
        <x:f>IF(E7=F7,"PASS","FAIL")</x:f>
        <x:v>PASS</x:v>
      </x:c>
    </x:row>
    <x:row r="8" ht="18" customHeight="1">
      <x:c r="B8" s="27" t="str">
        <x:v>A0002</x:v>
      </x:c>
      <x:c r="C8" s="27" t="str">
        <x:v>baseline</x:v>
      </x:c>
      <x:c r="D8" s="27" t="str">
        <x:v>ATC-A01 volume positive</x:v>
      </x:c>
      <x:c r="E8" s="27" t="n">
        <x:f>IF('Article Baselines'!F7&gt;0,1,0)</x:f>
        <x:v>1</x:v>
      </x:c>
      <x:c r="F8" s="27" t="n">
        <x:v>1</x:v>
      </x:c>
      <x:c r="G8" s="29" t="str">
        <x:f>IF(E8=F8,"PASS","FAIL")</x:f>
        <x:v>PASS</x:v>
      </x:c>
    </x:row>
    <x:row r="9" ht="18" customHeight="1">
      <x:c r="B9" s="27" t="str">
        <x:v>A0003</x:v>
      </x:c>
      <x:c r="C9" s="27" t="str">
        <x:v>baseline</x:v>
      </x:c>
      <x:c r="D9" s="27" t="str">
        <x:v>ATC-A01 endurance formula</x:v>
      </x:c>
      <x:c r="E9" s="27" t="n">
        <x:f>IF(ABS('Article Baselines'!J7-'Article Baselines'!G7*Assumptions!C8*Assumptions!C9/1000)&lt;0.000001,1,0)</x:f>
        <x:v>1</x:v>
      </x:c>
      <x:c r="F9" s="27" t="n">
        <x:v>1</x:v>
      </x:c>
      <x:c r="G9" s="29" t="str">
        <x:f>IF(E9=F9,"PASS","FAIL")</x:f>
        <x:v>PASS</x:v>
      </x:c>
    </x:row>
    <x:row r="10" ht="18" customHeight="1">
      <x:c r="B10" s="27" t="str">
        <x:v>A0004</x:v>
      </x:c>
      <x:c r="C10" s="27" t="str">
        <x:v>baseline</x:v>
      </x:c>
      <x:c r="D10" s="27" t="str">
        <x:v>ATC-A01 article bank positive</x:v>
      </x:c>
      <x:c r="E10" s="27" t="n">
        <x:f>IF('Article Baselines'!N7&gt;0,1,0)</x:f>
        <x:v>1</x:v>
      </x:c>
      <x:c r="F10" s="27" t="n">
        <x:v>1</x:v>
      </x:c>
      <x:c r="G10" s="29" t="str">
        <x:f>IF(E10=F10,"PASS","FAIL")</x:f>
        <x:v>PASS</x:v>
      </x:c>
    </x:row>
    <x:row r="11" ht="18" customHeight="1">
      <x:c r="B11" s="27" t="str">
        <x:v>A0005</x:v>
      </x:c>
      <x:c r="C11" s="27" t="str">
        <x:v>baseline</x:v>
      </x:c>
      <x:c r="D11" s="27" t="str">
        <x:v>ATC-A01 evidence open</x:v>
      </x:c>
      <x:c r="E11" s="27" t="n">
        <x:f>IF('Article Baselines'!Q7="OPEN",1,0)</x:f>
        <x:v>1</x:v>
      </x:c>
      <x:c r="F11" s="27" t="n">
        <x:v>1</x:v>
      </x:c>
      <x:c r="G11" s="29" t="str">
        <x:f>IF(E11=F11,"PASS","FAIL")</x:f>
        <x:v>PASS</x:v>
      </x:c>
    </x:row>
    <x:row r="12" ht="18" customHeight="1">
      <x:c r="B12" s="27" t="str">
        <x:v>A0006</x:v>
      </x:c>
      <x:c r="C12" s="27" t="str">
        <x:v>baseline</x:v>
      </x:c>
      <x:c r="D12" s="27" t="str">
        <x:v>TTC-T01 mass positive</x:v>
      </x:c>
      <x:c r="E12" s="27" t="n">
        <x:f>IF('Article Baselines'!E8&gt;0,1,0)</x:f>
        <x:v>1</x:v>
      </x:c>
      <x:c r="F12" s="27" t="n">
        <x:v>1</x:v>
      </x:c>
      <x:c r="G12" s="29" t="str">
        <x:f>IF(E12=F12,"PASS","FAIL")</x:f>
        <x:v>PASS</x:v>
      </x:c>
    </x:row>
    <x:row r="13" ht="18" customHeight="1">
      <x:c r="B13" s="27" t="str">
        <x:v>A0007</x:v>
      </x:c>
      <x:c r="C13" s="27" t="str">
        <x:v>baseline</x:v>
      </x:c>
      <x:c r="D13" s="27" t="str">
        <x:v>TTC-T01 volume positive</x:v>
      </x:c>
      <x:c r="E13" s="27" t="n">
        <x:f>IF('Article Baselines'!F8&gt;0,1,0)</x:f>
        <x:v>1</x:v>
      </x:c>
      <x:c r="F13" s="27" t="n">
        <x:v>1</x:v>
      </x:c>
      <x:c r="G13" s="29" t="str">
        <x:f>IF(E13=F13,"PASS","FAIL")</x:f>
        <x:v>PASS</x:v>
      </x:c>
    </x:row>
    <x:row r="14" ht="18" customHeight="1">
      <x:c r="B14" s="27" t="str">
        <x:v>A0008</x:v>
      </x:c>
      <x:c r="C14" s="27" t="str">
        <x:v>baseline</x:v>
      </x:c>
      <x:c r="D14" s="27" t="str">
        <x:v>TTC-T01 endurance formula</x:v>
      </x:c>
      <x:c r="E14" s="27" t="n">
        <x:f>IF(ABS('Article Baselines'!J8-'Article Baselines'!G8*Assumptions!C8*Assumptions!C9/1000)&lt;0.000001,1,0)</x:f>
        <x:v>1</x:v>
      </x:c>
      <x:c r="F14" s="27" t="n">
        <x:v>1</x:v>
      </x:c>
      <x:c r="G14" s="29" t="str">
        <x:f>IF(E14=F14,"PASS","FAIL")</x:f>
        <x:v>PASS</x:v>
      </x:c>
    </x:row>
    <x:row r="15" ht="18" customHeight="1">
      <x:c r="B15" s="27" t="str">
        <x:v>A0009</x:v>
      </x:c>
      <x:c r="C15" s="27" t="str">
        <x:v>baseline</x:v>
      </x:c>
      <x:c r="D15" s="27" t="str">
        <x:v>TTC-T01 article bank positive</x:v>
      </x:c>
      <x:c r="E15" s="27" t="n">
        <x:f>IF('Article Baselines'!N8&gt;0,1,0)</x:f>
        <x:v>1</x:v>
      </x:c>
      <x:c r="F15" s="27" t="n">
        <x:v>1</x:v>
      </x:c>
      <x:c r="G15" s="29" t="str">
        <x:f>IF(E15=F15,"PASS","FAIL")</x:f>
        <x:v>PASS</x:v>
      </x:c>
    </x:row>
    <x:row r="16" ht="18" customHeight="1">
      <x:c r="B16" s="27" t="str">
        <x:v>A0010</x:v>
      </x:c>
      <x:c r="C16" s="27" t="str">
        <x:v>baseline</x:v>
      </x:c>
      <x:c r="D16" s="27" t="str">
        <x:v>TTC-T01 evidence open</x:v>
      </x:c>
      <x:c r="E16" s="27" t="n">
        <x:f>IF('Article Baselines'!Q8="OPEN",1,0)</x:f>
        <x:v>1</x:v>
      </x:c>
      <x:c r="F16" s="27" t="n">
        <x:v>1</x:v>
      </x:c>
      <x:c r="G16" s="29" t="str">
        <x:f>IF(E16=F16,"PASS","FAIL")</x:f>
        <x:v>PASS</x:v>
      </x:c>
    </x:row>
    <x:row r="17" ht="18" customHeight="1">
      <x:c r="B17" s="27" t="str">
        <x:v>A0011</x:v>
      </x:c>
      <x:c r="C17" s="27" t="str">
        <x:v>baseline</x:v>
      </x:c>
      <x:c r="D17" s="27" t="str">
        <x:v>ACN-A01 mass positive</x:v>
      </x:c>
      <x:c r="E17" s="27" t="n">
        <x:f>IF('Article Baselines'!E9&gt;0,1,0)</x:f>
        <x:v>1</x:v>
      </x:c>
      <x:c r="F17" s="27" t="n">
        <x:v>1</x:v>
      </x:c>
      <x:c r="G17" s="29" t="str">
        <x:f>IF(E17=F17,"PASS","FAIL")</x:f>
        <x:v>PASS</x:v>
      </x:c>
    </x:row>
    <x:row r="18" ht="18" customHeight="1">
      <x:c r="B18" s="27" t="str">
        <x:v>A0012</x:v>
      </x:c>
      <x:c r="C18" s="27" t="str">
        <x:v>baseline</x:v>
      </x:c>
      <x:c r="D18" s="27" t="str">
        <x:v>ACN-A01 volume positive</x:v>
      </x:c>
      <x:c r="E18" s="27" t="n">
        <x:f>IF('Article Baselines'!F9&gt;0,1,0)</x:f>
        <x:v>1</x:v>
      </x:c>
      <x:c r="F18" s="27" t="n">
        <x:v>1</x:v>
      </x:c>
      <x:c r="G18" s="29" t="str">
        <x:f>IF(E18=F18,"PASS","FAIL")</x:f>
        <x:v>PASS</x:v>
      </x:c>
    </x:row>
    <x:row r="19" ht="18" customHeight="1">
      <x:c r="B19" s="27" t="str">
        <x:v>A0013</x:v>
      </x:c>
      <x:c r="C19" s="27" t="str">
        <x:v>baseline</x:v>
      </x:c>
      <x:c r="D19" s="27" t="str">
        <x:v>ACN-A01 endurance formula</x:v>
      </x:c>
      <x:c r="E19" s="27" t="n">
        <x:f>IF(ABS('Article Baselines'!J9-'Article Baselines'!G9*Assumptions!C8*Assumptions!C9/1000)&lt;0.000001,1,0)</x:f>
        <x:v>1</x:v>
      </x:c>
      <x:c r="F19" s="27" t="n">
        <x:v>1</x:v>
      </x:c>
      <x:c r="G19" s="29" t="str">
        <x:f>IF(E19=F19,"PASS","FAIL")</x:f>
        <x:v>PASS</x:v>
      </x:c>
    </x:row>
    <x:row r="20" ht="18" customHeight="1">
      <x:c r="B20" s="27" t="str">
        <x:v>A0014</x:v>
      </x:c>
      <x:c r="C20" s="27" t="str">
        <x:v>baseline</x:v>
      </x:c>
      <x:c r="D20" s="27" t="str">
        <x:v>ACN-A01 article bank positive</x:v>
      </x:c>
      <x:c r="E20" s="27" t="n">
        <x:f>IF('Article Baselines'!N9&gt;0,1,0)</x:f>
        <x:v>1</x:v>
      </x:c>
      <x:c r="F20" s="27" t="n">
        <x:v>1</x:v>
      </x:c>
      <x:c r="G20" s="29" t="str">
        <x:f>IF(E20=F20,"PASS","FAIL")</x:f>
        <x:v>PASS</x:v>
      </x:c>
    </x:row>
    <x:row r="21" ht="18" customHeight="1">
      <x:c r="B21" s="27" t="str">
        <x:v>A0015</x:v>
      </x:c>
      <x:c r="C21" s="27" t="str">
        <x:v>baseline</x:v>
      </x:c>
      <x:c r="D21" s="27" t="str">
        <x:v>ACN-A01 evidence open</x:v>
      </x:c>
      <x:c r="E21" s="27" t="n">
        <x:f>IF('Article Baselines'!Q9="OPEN",1,0)</x:f>
        <x:v>1</x:v>
      </x:c>
      <x:c r="F21" s="27" t="n">
        <x:v>1</x:v>
      </x:c>
      <x:c r="G21" s="29" t="str">
        <x:f>IF(E21=F21,"PASS","FAIL")</x:f>
        <x:v>PASS</x:v>
      </x:c>
    </x:row>
    <x:row r="22" ht="18" customHeight="1">
      <x:c r="B22" s="27" t="str">
        <x:v>A0016</x:v>
      </x:c>
      <x:c r="C22" s="27" t="str">
        <x:v>baseline</x:v>
      </x:c>
      <x:c r="D22" s="27" t="str">
        <x:v>TCN-T01 mass positive</x:v>
      </x:c>
      <x:c r="E22" s="27" t="n">
        <x:f>IF('Article Baselines'!E10&gt;0,1,0)</x:f>
        <x:v>1</x:v>
      </x:c>
      <x:c r="F22" s="27" t="n">
        <x:v>1</x:v>
      </x:c>
      <x:c r="G22" s="29" t="str">
        <x:f>IF(E22=F22,"PASS","FAIL")</x:f>
        <x:v>PASS</x:v>
      </x:c>
    </x:row>
    <x:row r="23" ht="18" customHeight="1">
      <x:c r="B23" s="27" t="str">
        <x:v>A0017</x:v>
      </x:c>
      <x:c r="C23" s="27" t="str">
        <x:v>baseline</x:v>
      </x:c>
      <x:c r="D23" s="27" t="str">
        <x:v>TCN-T01 volume positive</x:v>
      </x:c>
      <x:c r="E23" s="27" t="n">
        <x:f>IF('Article Baselines'!F10&gt;0,1,0)</x:f>
        <x:v>1</x:v>
      </x:c>
      <x:c r="F23" s="27" t="n">
        <x:v>1</x:v>
      </x:c>
      <x:c r="G23" s="29" t="str">
        <x:f>IF(E23=F23,"PASS","FAIL")</x:f>
        <x:v>PASS</x:v>
      </x:c>
    </x:row>
    <x:row r="24" ht="18" customHeight="1">
      <x:c r="B24" s="27" t="str">
        <x:v>A0018</x:v>
      </x:c>
      <x:c r="C24" s="27" t="str">
        <x:v>baseline</x:v>
      </x:c>
      <x:c r="D24" s="27" t="str">
        <x:v>TCN-T01 endurance formula</x:v>
      </x:c>
      <x:c r="E24" s="27" t="n">
        <x:f>IF(ABS('Article Baselines'!J10-'Article Baselines'!G10*Assumptions!C8*Assumptions!C9/1000)&lt;0.000001,1,0)</x:f>
        <x:v>1</x:v>
      </x:c>
      <x:c r="F24" s="27" t="n">
        <x:v>1</x:v>
      </x:c>
      <x:c r="G24" s="29" t="str">
        <x:f>IF(E24=F24,"PASS","FAIL")</x:f>
        <x:v>PASS</x:v>
      </x:c>
    </x:row>
    <x:row r="25" ht="18" customHeight="1">
      <x:c r="B25" s="27" t="str">
        <x:v>A0019</x:v>
      </x:c>
      <x:c r="C25" s="27" t="str">
        <x:v>baseline</x:v>
      </x:c>
      <x:c r="D25" s="27" t="str">
        <x:v>TCN-T01 article bank positive</x:v>
      </x:c>
      <x:c r="E25" s="27" t="n">
        <x:f>IF('Article Baselines'!N10&gt;0,1,0)</x:f>
        <x:v>1</x:v>
      </x:c>
      <x:c r="F25" s="27" t="n">
        <x:v>1</x:v>
      </x:c>
      <x:c r="G25" s="29" t="str">
        <x:f>IF(E25=F25,"PASS","FAIL")</x:f>
        <x:v>PASS</x:v>
      </x:c>
    </x:row>
    <x:row r="26" ht="18" customHeight="1">
      <x:c r="B26" s="27" t="str">
        <x:v>A0020</x:v>
      </x:c>
      <x:c r="C26" s="27" t="str">
        <x:v>baseline</x:v>
      </x:c>
      <x:c r="D26" s="27" t="str">
        <x:v>TCN-T01 evidence open</x:v>
      </x:c>
      <x:c r="E26" s="27" t="n">
        <x:f>IF('Article Baselines'!Q10="OPEN",1,0)</x:f>
        <x:v>1</x:v>
      </x:c>
      <x:c r="F26" s="27" t="n">
        <x:v>1</x:v>
      </x:c>
      <x:c r="G26" s="29" t="str">
        <x:f>IF(E26=F26,"PASS","FAIL")</x:f>
        <x:v>PASS</x:v>
      </x:c>
    </x:row>
    <x:row r="27" ht="18" customHeight="1">
      <x:c r="B27" s="27" t="str">
        <x:v>A0021</x:v>
      </x:c>
      <x:c r="C27" s="27" t="str">
        <x:v>baseline</x:v>
      </x:c>
      <x:c r="D27" s="27" t="str">
        <x:v>CRS-R01 mass positive</x:v>
      </x:c>
      <x:c r="E27" s="27" t="n">
        <x:f>IF('Article Baselines'!E11&gt;0,1,0)</x:f>
        <x:v>1</x:v>
      </x:c>
      <x:c r="F27" s="27" t="n">
        <x:v>1</x:v>
      </x:c>
      <x:c r="G27" s="29" t="str">
        <x:f>IF(E27=F27,"PASS","FAIL")</x:f>
        <x:v>PASS</x:v>
      </x:c>
    </x:row>
    <x:row r="28" ht="18" customHeight="1">
      <x:c r="B28" s="27" t="str">
        <x:v>A0022</x:v>
      </x:c>
      <x:c r="C28" s="27" t="str">
        <x:v>baseline</x:v>
      </x:c>
      <x:c r="D28" s="27" t="str">
        <x:v>CRS-R01 volume positive</x:v>
      </x:c>
      <x:c r="E28" s="27" t="n">
        <x:f>IF('Article Baselines'!F11&gt;0,1,0)</x:f>
        <x:v>1</x:v>
      </x:c>
      <x:c r="F28" s="27" t="n">
        <x:v>1</x:v>
      </x:c>
      <x:c r="G28" s="29" t="str">
        <x:f>IF(E28=F28,"PASS","FAIL")</x:f>
        <x:v>PASS</x:v>
      </x:c>
    </x:row>
    <x:row r="29" ht="18" customHeight="1">
      <x:c r="B29" s="27" t="str">
        <x:v>A0023</x:v>
      </x:c>
      <x:c r="C29" s="27" t="str">
        <x:v>baseline</x:v>
      </x:c>
      <x:c r="D29" s="27" t="str">
        <x:v>CRS-R01 endurance formula</x:v>
      </x:c>
      <x:c r="E29" s="27" t="n">
        <x:f>IF(ABS('Article Baselines'!J11-'Article Baselines'!G11*Assumptions!C8*Assumptions!C9/1000)&lt;0.000001,1,0)</x:f>
        <x:v>1</x:v>
      </x:c>
      <x:c r="F29" s="27" t="n">
        <x:v>1</x:v>
      </x:c>
      <x:c r="G29" s="29" t="str">
        <x:f>IF(E29=F29,"PASS","FAIL")</x:f>
        <x:v>PASS</x:v>
      </x:c>
    </x:row>
    <x:row r="30" ht="18" customHeight="1">
      <x:c r="B30" s="27" t="str">
        <x:v>A0024</x:v>
      </x:c>
      <x:c r="C30" s="27" t="str">
        <x:v>baseline</x:v>
      </x:c>
      <x:c r="D30" s="27" t="str">
        <x:v>CRS-R01 article bank positive</x:v>
      </x:c>
      <x:c r="E30" s="27" t="n">
        <x:f>IF('Article Baselines'!N11&gt;0,1,0)</x:f>
        <x:v>1</x:v>
      </x:c>
      <x:c r="F30" s="27" t="n">
        <x:v>1</x:v>
      </x:c>
      <x:c r="G30" s="29" t="str">
        <x:f>IF(E30=F30,"PASS","FAIL")</x:f>
        <x:v>PASS</x:v>
      </x:c>
    </x:row>
    <x:row r="31" ht="18" customHeight="1">
      <x:c r="B31" s="27" t="str">
        <x:v>A0025</x:v>
      </x:c>
      <x:c r="C31" s="27" t="str">
        <x:v>baseline</x:v>
      </x:c>
      <x:c r="D31" s="27" t="str">
        <x:v>CRS-R01 evidence open</x:v>
      </x:c>
      <x:c r="E31" s="27" t="n">
        <x:f>IF('Article Baselines'!Q11="OPEN",1,0)</x:f>
        <x:v>1</x:v>
      </x:c>
      <x:c r="F31" s="27" t="n">
        <x:v>1</x:v>
      </x:c>
      <x:c r="G31" s="29" t="str">
        <x:f>IF(E31=F31,"PASS","FAIL")</x:f>
        <x:v>PASS</x:v>
      </x:c>
    </x:row>
    <x:row r="32" ht="18" customHeight="1">
      <x:c r="B32" s="27" t="str">
        <x:v>A0026</x:v>
      </x:c>
      <x:c r="C32" s="27" t="str">
        <x:v>baseline</x:v>
      </x:c>
      <x:c r="D32" s="27" t="str">
        <x:v>PSS-T01 mass positive</x:v>
      </x:c>
      <x:c r="E32" s="27" t="n">
        <x:f>IF('Article Baselines'!E12&gt;0,1,0)</x:f>
        <x:v>1</x:v>
      </x:c>
      <x:c r="F32" s="27" t="n">
        <x:v>1</x:v>
      </x:c>
      <x:c r="G32" s="29" t="str">
        <x:f>IF(E32=F32,"PASS","FAIL")</x:f>
        <x:v>PASS</x:v>
      </x:c>
    </x:row>
    <x:row r="33" ht="18" customHeight="1">
      <x:c r="B33" s="27" t="str">
        <x:v>A0027</x:v>
      </x:c>
      <x:c r="C33" s="27" t="str">
        <x:v>baseline</x:v>
      </x:c>
      <x:c r="D33" s="27" t="str">
        <x:v>PSS-T01 volume positive</x:v>
      </x:c>
      <x:c r="E33" s="27" t="n">
        <x:f>IF('Article Baselines'!F12&gt;0,1,0)</x:f>
        <x:v>1</x:v>
      </x:c>
      <x:c r="F33" s="27" t="n">
        <x:v>1</x:v>
      </x:c>
      <x:c r="G33" s="29" t="str">
        <x:f>IF(E33=F33,"PASS","FAIL")</x:f>
        <x:v>PASS</x:v>
      </x:c>
    </x:row>
    <x:row r="34" ht="18" customHeight="1">
      <x:c r="B34" s="27" t="str">
        <x:v>A0028</x:v>
      </x:c>
      <x:c r="C34" s="27" t="str">
        <x:v>baseline</x:v>
      </x:c>
      <x:c r="D34" s="27" t="str">
        <x:v>PSS-T01 endurance formula</x:v>
      </x:c>
      <x:c r="E34" s="27" t="n">
        <x:f>IF(ABS('Article Baselines'!J12-'Article Baselines'!G12*Assumptions!C8*Assumptions!C9/1000)&lt;0.000001,1,0)</x:f>
        <x:v>1</x:v>
      </x:c>
      <x:c r="F34" s="27" t="n">
        <x:v>1</x:v>
      </x:c>
      <x:c r="G34" s="29" t="str">
        <x:f>IF(E34=F34,"PASS","FAIL")</x:f>
        <x:v>PASS</x:v>
      </x:c>
    </x:row>
    <x:row r="35" ht="18" customHeight="1">
      <x:c r="B35" s="27" t="str">
        <x:v>A0029</x:v>
      </x:c>
      <x:c r="C35" s="27" t="str">
        <x:v>baseline</x:v>
      </x:c>
      <x:c r="D35" s="27" t="str">
        <x:v>PSS-T01 article bank positive</x:v>
      </x:c>
      <x:c r="E35" s="27" t="n">
        <x:f>IF('Article Baselines'!N12&gt;0,1,0)</x:f>
        <x:v>1</x:v>
      </x:c>
      <x:c r="F35" s="27" t="n">
        <x:v>1</x:v>
      </x:c>
      <x:c r="G35" s="29" t="str">
        <x:f>IF(E35=F35,"PASS","FAIL")</x:f>
        <x:v>PASS</x:v>
      </x:c>
    </x:row>
    <x:row r="36" ht="18" customHeight="1">
      <x:c r="B36" s="27" t="str">
        <x:v>A0030</x:v>
      </x:c>
      <x:c r="C36" s="27" t="str">
        <x:v>baseline</x:v>
      </x:c>
      <x:c r="D36" s="27" t="str">
        <x:v>PSS-T01 evidence open</x:v>
      </x:c>
      <x:c r="E36" s="27" t="n">
        <x:f>IF('Article Baselines'!Q12="OPEN",1,0)</x:f>
        <x:v>1</x:v>
      </x:c>
      <x:c r="F36" s="27" t="n">
        <x:v>1</x:v>
      </x:c>
      <x:c r="G36" s="29" t="str">
        <x:f>IF(E36=F36,"PASS","FAIL")</x:f>
        <x:v>PASS</x:v>
      </x:c>
    </x:row>
    <x:row r="37" ht="18" customHeight="1">
      <x:c r="B37" s="27" t="str">
        <x:v>A0031</x:v>
      </x:c>
      <x:c r="C37" s="27" t="str">
        <x:v>baseline</x:v>
      </x:c>
      <x:c r="D37" s="27" t="str">
        <x:v>PIF-I01 mass positive</x:v>
      </x:c>
      <x:c r="E37" s="27" t="n">
        <x:f>IF('Article Baselines'!E13&gt;0,1,0)</x:f>
        <x:v>1</x:v>
      </x:c>
      <x:c r="F37" s="27" t="n">
        <x:v>1</x:v>
      </x:c>
      <x:c r="G37" s="29" t="str">
        <x:f>IF(E37=F37,"PASS","FAIL")</x:f>
        <x:v>PASS</x:v>
      </x:c>
    </x:row>
    <x:row r="38" ht="18" customHeight="1">
      <x:c r="B38" s="27" t="str">
        <x:v>A0032</x:v>
      </x:c>
      <x:c r="C38" s="27" t="str">
        <x:v>baseline</x:v>
      </x:c>
      <x:c r="D38" s="27" t="str">
        <x:v>PIF-I01 volume positive</x:v>
      </x:c>
      <x:c r="E38" s="27" t="n">
        <x:f>IF('Article Baselines'!F13&gt;0,1,0)</x:f>
        <x:v>1</x:v>
      </x:c>
      <x:c r="F38" s="27" t="n">
        <x:v>1</x:v>
      </x:c>
      <x:c r="G38" s="29" t="str">
        <x:f>IF(E38=F38,"PASS","FAIL")</x:f>
        <x:v>PASS</x:v>
      </x:c>
    </x:row>
    <x:row r="39" ht="18" customHeight="1">
      <x:c r="B39" s="27" t="str">
        <x:v>A0033</x:v>
      </x:c>
      <x:c r="C39" s="27" t="str">
        <x:v>baseline</x:v>
      </x:c>
      <x:c r="D39" s="27" t="str">
        <x:v>PIF-I01 endurance formula</x:v>
      </x:c>
      <x:c r="E39" s="27" t="n">
        <x:f>IF(ABS('Article Baselines'!J13-'Article Baselines'!G13*Assumptions!C8*Assumptions!C9/1000)&lt;0.000001,1,0)</x:f>
        <x:v>1</x:v>
      </x:c>
      <x:c r="F39" s="27" t="n">
        <x:v>1</x:v>
      </x:c>
      <x:c r="G39" s="29" t="str">
        <x:f>IF(E39=F39,"PASS","FAIL")</x:f>
        <x:v>PASS</x:v>
      </x:c>
    </x:row>
    <x:row r="40" ht="18" customHeight="1">
      <x:c r="B40" s="27" t="str">
        <x:v>A0034</x:v>
      </x:c>
      <x:c r="C40" s="27" t="str">
        <x:v>baseline</x:v>
      </x:c>
      <x:c r="D40" s="27" t="str">
        <x:v>PIF-I01 article bank positive</x:v>
      </x:c>
      <x:c r="E40" s="27" t="n">
        <x:f>IF('Article Baselines'!N13&gt;0,1,0)</x:f>
        <x:v>1</x:v>
      </x:c>
      <x:c r="F40" s="27" t="n">
        <x:v>1</x:v>
      </x:c>
      <x:c r="G40" s="29" t="str">
        <x:f>IF(E40=F40,"PASS","FAIL")</x:f>
        <x:v>PASS</x:v>
      </x:c>
    </x:row>
    <x:row r="41" ht="18" customHeight="1">
      <x:c r="B41" s="27" t="str">
        <x:v>A0035</x:v>
      </x:c>
      <x:c r="C41" s="27" t="str">
        <x:v>baseline</x:v>
      </x:c>
      <x:c r="D41" s="27" t="str">
        <x:v>PIF-I01 evidence open</x:v>
      </x:c>
      <x:c r="E41" s="27" t="n">
        <x:f>IF('Article Baselines'!Q13="OPEN",1,0)</x:f>
        <x:v>1</x:v>
      </x:c>
      <x:c r="F41" s="27" t="n">
        <x:v>1</x:v>
      </x:c>
      <x:c r="G41" s="29" t="str">
        <x:f>IF(E41=F41,"PASS","FAIL")</x:f>
        <x:v>PASS</x:v>
      </x:c>
    </x:row>
    <x:row r="42" ht="18" customHeight="1">
      <x:c r="B42" s="27" t="str">
        <x:v>A0036</x:v>
      </x:c>
      <x:c r="C42" s="27" t="str">
        <x:v>baseline</x:v>
      </x:c>
      <x:c r="D42" s="27" t="str">
        <x:v>EPS-P01 mass positive</x:v>
      </x:c>
      <x:c r="E42" s="27" t="n">
        <x:f>IF('Article Baselines'!E14&gt;0,1,0)</x:f>
        <x:v>1</x:v>
      </x:c>
      <x:c r="F42" s="27" t="n">
        <x:v>1</x:v>
      </x:c>
      <x:c r="G42" s="29" t="str">
        <x:f>IF(E42=F42,"PASS","FAIL")</x:f>
        <x:v>PASS</x:v>
      </x:c>
    </x:row>
    <x:row r="43" ht="18" customHeight="1">
      <x:c r="B43" s="27" t="str">
        <x:v>A0037</x:v>
      </x:c>
      <x:c r="C43" s="27" t="str">
        <x:v>baseline</x:v>
      </x:c>
      <x:c r="D43" s="27" t="str">
        <x:v>EPS-P01 volume positive</x:v>
      </x:c>
      <x:c r="E43" s="27" t="n">
        <x:f>IF('Article Baselines'!F14&gt;0,1,0)</x:f>
        <x:v>1</x:v>
      </x:c>
      <x:c r="F43" s="27" t="n">
        <x:v>1</x:v>
      </x:c>
      <x:c r="G43" s="29" t="str">
        <x:f>IF(E43=F43,"PASS","FAIL")</x:f>
        <x:v>PASS</x:v>
      </x:c>
    </x:row>
    <x:row r="44" ht="18" customHeight="1">
      <x:c r="B44" s="27" t="str">
        <x:v>A0038</x:v>
      </x:c>
      <x:c r="C44" s="27" t="str">
        <x:v>baseline</x:v>
      </x:c>
      <x:c r="D44" s="27" t="str">
        <x:v>EPS-P01 endurance formula</x:v>
      </x:c>
      <x:c r="E44" s="27" t="n">
        <x:f>IF(ABS('Article Baselines'!J14-'Article Baselines'!G14*Assumptions!C8*Assumptions!C9/1000)&lt;0.000001,1,0)</x:f>
        <x:v>1</x:v>
      </x:c>
      <x:c r="F44" s="27" t="n">
        <x:v>1</x:v>
      </x:c>
      <x:c r="G44" s="29" t="str">
        <x:f>IF(E44=F44,"PASS","FAIL")</x:f>
        <x:v>PASS</x:v>
      </x:c>
    </x:row>
    <x:row r="45" ht="18" customHeight="1">
      <x:c r="B45" s="27" t="str">
        <x:v>A0039</x:v>
      </x:c>
      <x:c r="C45" s="27" t="str">
        <x:v>baseline</x:v>
      </x:c>
      <x:c r="D45" s="27" t="str">
        <x:v>EPS-P01 article bank positive</x:v>
      </x:c>
      <x:c r="E45" s="27" t="n">
        <x:f>IF('Article Baselines'!N14&gt;0,1,0)</x:f>
        <x:v>1</x:v>
      </x:c>
      <x:c r="F45" s="27" t="n">
        <x:v>1</x:v>
      </x:c>
      <x:c r="G45" s="29" t="str">
        <x:f>IF(E45=F45,"PASS","FAIL")</x:f>
        <x:v>PASS</x:v>
      </x:c>
    </x:row>
    <x:row r="46" ht="18" customHeight="1">
      <x:c r="B46" s="27" t="str">
        <x:v>A0040</x:v>
      </x:c>
      <x:c r="C46" s="27" t="str">
        <x:v>baseline</x:v>
      </x:c>
      <x:c r="D46" s="27" t="str">
        <x:v>EPS-P01 evidence open</x:v>
      </x:c>
      <x:c r="E46" s="27" t="n">
        <x:f>IF('Article Baselines'!Q14="OPEN",1,0)</x:f>
        <x:v>1</x:v>
      </x:c>
      <x:c r="F46" s="27" t="n">
        <x:v>1</x:v>
      </x:c>
      <x:c r="G46" s="29" t="str">
        <x:f>IF(E46=F46,"PASS","FAIL")</x:f>
        <x:v>PASS</x:v>
      </x:c>
    </x:row>
    <x:row r="47" ht="18" customHeight="1">
      <x:c r="B47" s="27" t="str">
        <x:v>A0041</x:v>
      </x:c>
      <x:c r="C47" s="27" t="str">
        <x:v>baseline</x:v>
      </x:c>
      <x:c r="D47" s="27" t="str">
        <x:v>TKS-C01 mass positive</x:v>
      </x:c>
      <x:c r="E47" s="27" t="n">
        <x:f>IF('Article Baselines'!E15&gt;0,1,0)</x:f>
        <x:v>1</x:v>
      </x:c>
      <x:c r="F47" s="27" t="n">
        <x:v>1</x:v>
      </x:c>
      <x:c r="G47" s="29" t="str">
        <x:f>IF(E47=F47,"PASS","FAIL")</x:f>
        <x:v>PASS</x:v>
      </x:c>
    </x:row>
    <x:row r="48" ht="18" customHeight="1">
      <x:c r="B48" s="27" t="str">
        <x:v>A0042</x:v>
      </x:c>
      <x:c r="C48" s="27" t="str">
        <x:v>baseline</x:v>
      </x:c>
      <x:c r="D48" s="27" t="str">
        <x:v>TKS-C01 volume positive</x:v>
      </x:c>
      <x:c r="E48" s="27" t="n">
        <x:f>IF('Article Baselines'!F15&gt;0,1,0)</x:f>
        <x:v>1</x:v>
      </x:c>
      <x:c r="F48" s="27" t="n">
        <x:v>1</x:v>
      </x:c>
      <x:c r="G48" s="29" t="str">
        <x:f>IF(E48=F48,"PASS","FAIL")</x:f>
        <x:v>PASS</x:v>
      </x:c>
    </x:row>
    <x:row r="49" ht="18" customHeight="1">
      <x:c r="B49" s="27" t="str">
        <x:v>A0043</x:v>
      </x:c>
      <x:c r="C49" s="27" t="str">
        <x:v>baseline</x:v>
      </x:c>
      <x:c r="D49" s="27" t="str">
        <x:v>TKS-C01 endurance formula</x:v>
      </x:c>
      <x:c r="E49" s="27" t="n">
        <x:f>IF(ABS('Article Baselines'!J15-'Article Baselines'!G15*Assumptions!C8*Assumptions!C9/1000)&lt;0.000001,1,0)</x:f>
        <x:v>1</x:v>
      </x:c>
      <x:c r="F49" s="27" t="n">
        <x:v>1</x:v>
      </x:c>
      <x:c r="G49" s="29" t="str">
        <x:f>IF(E49=F49,"PASS","FAIL")</x:f>
        <x:v>PASS</x:v>
      </x:c>
    </x:row>
    <x:row r="50" ht="18" customHeight="1">
      <x:c r="B50" s="27" t="str">
        <x:v>A0044</x:v>
      </x:c>
      <x:c r="C50" s="27" t="str">
        <x:v>baseline</x:v>
      </x:c>
      <x:c r="D50" s="27" t="str">
        <x:v>TKS-C01 article bank positive</x:v>
      </x:c>
      <x:c r="E50" s="27" t="n">
        <x:f>IF('Article Baselines'!N15&gt;0,1,0)</x:f>
        <x:v>1</x:v>
      </x:c>
      <x:c r="F50" s="27" t="n">
        <x:v>1</x:v>
      </x:c>
      <x:c r="G50" s="29" t="str">
        <x:f>IF(E50=F50,"PASS","FAIL")</x:f>
        <x:v>PASS</x:v>
      </x:c>
    </x:row>
    <x:row r="51" ht="18" customHeight="1">
      <x:c r="B51" s="27" t="str">
        <x:v>A0045</x:v>
      </x:c>
      <x:c r="C51" s="27" t="str">
        <x:v>baseline</x:v>
      </x:c>
      <x:c r="D51" s="27" t="str">
        <x:v>TKS-C01 evidence open</x:v>
      </x:c>
      <x:c r="E51" s="27" t="n">
        <x:f>IF('Article Baselines'!Q15="OPEN",1,0)</x:f>
        <x:v>1</x:v>
      </x:c>
      <x:c r="F51" s="27" t="n">
        <x:v>1</x:v>
      </x:c>
      <x:c r="G51" s="29" t="str">
        <x:f>IF(E51=F51,"PASS","FAIL")</x:f>
        <x:v>PASS</x:v>
      </x:c>
    </x:row>
    <x:row r="52" ht="18" customHeight="1">
      <x:c r="B52" s="27" t="str">
        <x:v>A0046</x:v>
      </x:c>
      <x:c r="C52" s="27" t="str">
        <x:v>baseline</x:v>
      </x:c>
      <x:c r="D52" s="27" t="str">
        <x:v>STG-S01 mass positive</x:v>
      </x:c>
      <x:c r="E52" s="27" t="n">
        <x:f>IF('Article Baselines'!E16&gt;0,1,0)</x:f>
        <x:v>1</x:v>
      </x:c>
      <x:c r="F52" s="27" t="n">
        <x:v>1</x:v>
      </x:c>
      <x:c r="G52" s="29" t="str">
        <x:f>IF(E52=F52,"PASS","FAIL")</x:f>
        <x:v>PASS</x:v>
      </x:c>
    </x:row>
    <x:row r="53" ht="18" customHeight="1">
      <x:c r="B53" s="27" t="str">
        <x:v>A0047</x:v>
      </x:c>
      <x:c r="C53" s="27" t="str">
        <x:v>baseline</x:v>
      </x:c>
      <x:c r="D53" s="27" t="str">
        <x:v>STG-S01 volume positive</x:v>
      </x:c>
      <x:c r="E53" s="27" t="n">
        <x:f>IF('Article Baselines'!F16&gt;0,1,0)</x:f>
        <x:v>1</x:v>
      </x:c>
      <x:c r="F53" s="27" t="n">
        <x:v>1</x:v>
      </x:c>
      <x:c r="G53" s="29" t="str">
        <x:f>IF(E53=F53,"PASS","FAIL")</x:f>
        <x:v>PASS</x:v>
      </x:c>
    </x:row>
    <x:row r="54" ht="18" customHeight="1">
      <x:c r="B54" s="27" t="str">
        <x:v>A0048</x:v>
      </x:c>
      <x:c r="C54" s="27" t="str">
        <x:v>baseline</x:v>
      </x:c>
      <x:c r="D54" s="27" t="str">
        <x:v>STG-S01 endurance formula</x:v>
      </x:c>
      <x:c r="E54" s="27" t="n">
        <x:f>IF(ABS('Article Baselines'!J16-'Article Baselines'!G16*Assumptions!C8*Assumptions!C9/1000)&lt;0.000001,1,0)</x:f>
        <x:v>1</x:v>
      </x:c>
      <x:c r="F54" s="27" t="n">
        <x:v>1</x:v>
      </x:c>
      <x:c r="G54" s="29" t="str">
        <x:f>IF(E54=F54,"PASS","FAIL")</x:f>
        <x:v>PASS</x:v>
      </x:c>
    </x:row>
    <x:row r="55" ht="18" customHeight="1">
      <x:c r="B55" s="27" t="str">
        <x:v>A0049</x:v>
      </x:c>
      <x:c r="C55" s="27" t="str">
        <x:v>baseline</x:v>
      </x:c>
      <x:c r="D55" s="27" t="str">
        <x:v>STG-S01 article bank positive</x:v>
      </x:c>
      <x:c r="E55" s="27" t="n">
        <x:f>IF('Article Baselines'!N16&gt;0,1,0)</x:f>
        <x:v>1</x:v>
      </x:c>
      <x:c r="F55" s="27" t="n">
        <x:v>1</x:v>
      </x:c>
      <x:c r="G55" s="29" t="str">
        <x:f>IF(E55=F55,"PASS","FAIL")</x:f>
        <x:v>PASS</x:v>
      </x:c>
    </x:row>
    <x:row r="56" ht="18" customHeight="1">
      <x:c r="B56" s="27" t="str">
        <x:v>A0050</x:v>
      </x:c>
      <x:c r="C56" s="27" t="str">
        <x:v>baseline</x:v>
      </x:c>
      <x:c r="D56" s="27" t="str">
        <x:v>STG-S01 evidence open</x:v>
      </x:c>
      <x:c r="E56" s="27" t="n">
        <x:f>IF('Article Baselines'!Q16="OPEN",1,0)</x:f>
        <x:v>1</x:v>
      </x:c>
      <x:c r="F56" s="27" t="n">
        <x:v>1</x:v>
      </x:c>
      <x:c r="G56" s="29" t="str">
        <x:f>IF(E56=F56,"PASS","FAIL")</x:f>
        <x:v>PASS</x:v>
      </x:c>
    </x:row>
    <x:row r="57" ht="18" customHeight="1">
      <x:c r="B57" s="27" t="str">
        <x:v>A0051</x:v>
      </x:c>
      <x:c r="C57" s="27" t="str">
        <x:v>baseline</x:v>
      </x:c>
      <x:c r="D57" s="27" t="str">
        <x:v>MHE-E01 mass positive</x:v>
      </x:c>
      <x:c r="E57" s="27" t="n">
        <x:f>IF('Article Baselines'!E17&gt;0,1,0)</x:f>
        <x:v>1</x:v>
      </x:c>
      <x:c r="F57" s="27" t="n">
        <x:v>1</x:v>
      </x:c>
      <x:c r="G57" s="29" t="str">
        <x:f>IF(E57=F57,"PASS","FAIL")</x:f>
        <x:v>PASS</x:v>
      </x:c>
    </x:row>
    <x:row r="58" ht="18" customHeight="1">
      <x:c r="B58" s="27" t="str">
        <x:v>A0052</x:v>
      </x:c>
      <x:c r="C58" s="27" t="str">
        <x:v>baseline</x:v>
      </x:c>
      <x:c r="D58" s="27" t="str">
        <x:v>MHE-E01 volume positive</x:v>
      </x:c>
      <x:c r="E58" s="27" t="n">
        <x:f>IF('Article Baselines'!F17&gt;0,1,0)</x:f>
        <x:v>1</x:v>
      </x:c>
      <x:c r="F58" s="27" t="n">
        <x:v>1</x:v>
      </x:c>
      <x:c r="G58" s="29" t="str">
        <x:f>IF(E58=F58,"PASS","FAIL")</x:f>
        <x:v>PASS</x:v>
      </x:c>
    </x:row>
    <x:row r="59" ht="18" customHeight="1">
      <x:c r="B59" s="27" t="str">
        <x:v>A0053</x:v>
      </x:c>
      <x:c r="C59" s="27" t="str">
        <x:v>baseline</x:v>
      </x:c>
      <x:c r="D59" s="27" t="str">
        <x:v>MHE-E01 endurance formula</x:v>
      </x:c>
      <x:c r="E59" s="27" t="n">
        <x:f>IF(ABS('Article Baselines'!J17-'Article Baselines'!G17*Assumptions!C8*Assumptions!C9/1000)&lt;0.000001,1,0)</x:f>
        <x:v>1</x:v>
      </x:c>
      <x:c r="F59" s="27" t="n">
        <x:v>1</x:v>
      </x:c>
      <x:c r="G59" s="29" t="str">
        <x:f>IF(E59=F59,"PASS","FAIL")</x:f>
        <x:v>PASS</x:v>
      </x:c>
    </x:row>
    <x:row r="60" ht="18" customHeight="1">
      <x:c r="B60" s="27" t="str">
        <x:v>A0054</x:v>
      </x:c>
      <x:c r="C60" s="27" t="str">
        <x:v>baseline</x:v>
      </x:c>
      <x:c r="D60" s="27" t="str">
        <x:v>MHE-E01 article bank positive</x:v>
      </x:c>
      <x:c r="E60" s="27" t="n">
        <x:f>IF('Article Baselines'!N17&gt;0,1,0)</x:f>
        <x:v>1</x:v>
      </x:c>
      <x:c r="F60" s="27" t="n">
        <x:v>1</x:v>
      </x:c>
      <x:c r="G60" s="29" t="str">
        <x:f>IF(E60=F60,"PASS","FAIL")</x:f>
        <x:v>PASS</x:v>
      </x:c>
    </x:row>
    <x:row r="61" ht="18" customHeight="1">
      <x:c r="B61" s="27" t="str">
        <x:v>A0055</x:v>
      </x:c>
      <x:c r="C61" s="27" t="str">
        <x:v>baseline</x:v>
      </x:c>
      <x:c r="D61" s="27" t="str">
        <x:v>MHE-E01 evidence open</x:v>
      </x:c>
      <x:c r="E61" s="27" t="n">
        <x:f>IF('Article Baselines'!Q17="OPEN",1,0)</x:f>
        <x:v>1</x:v>
      </x:c>
      <x:c r="F61" s="27" t="n">
        <x:v>1</x:v>
      </x:c>
      <x:c r="G61" s="29" t="str">
        <x:f>IF(E61=F61,"PASS","FAIL")</x:f>
        <x:v>PASS</x:v>
      </x:c>
    </x:row>
    <x:row r="62" ht="18" customHeight="1">
      <x:c r="B62" s="27" t="str">
        <x:v>A0056</x:v>
      </x:c>
      <x:c r="C62" s="27" t="str">
        <x:v>allocation</x:v>
      </x:c>
      <x:c r="D62" s="27" t="str">
        <x:v>Allocation E7 nonnegative</x:v>
      </x:c>
      <x:c r="E62" s="27" t="n">
        <x:f>IF('Allocation Build'!E7&gt;=0,1,0)</x:f>
        <x:v>1</x:v>
      </x:c>
      <x:c r="F62" s="27" t="n">
        <x:v>1</x:v>
      </x:c>
      <x:c r="G62" s="29" t="str">
        <x:f>IF(E62=F62,"PASS","FAIL")</x:f>
        <x:v>PASS</x:v>
      </x:c>
    </x:row>
    <x:row r="63" ht="18" customHeight="1">
      <x:c r="B63" s="27" t="str">
        <x:v>A0057</x:v>
      </x:c>
      <x:c r="C63" s="27" t="str">
        <x:v>allocation</x:v>
      </x:c>
      <x:c r="D63" s="27" t="str">
        <x:v>Allocation F7 nonnegative</x:v>
      </x:c>
      <x:c r="E63" s="27" t="n">
        <x:f>IF('Allocation Build'!F7&gt;=0,1,0)</x:f>
        <x:v>1</x:v>
      </x:c>
      <x:c r="F63" s="27" t="n">
        <x:v>1</x:v>
      </x:c>
      <x:c r="G63" s="29" t="str">
        <x:f>IF(E63=F63,"PASS","FAIL")</x:f>
        <x:v>PASS</x:v>
      </x:c>
    </x:row>
    <x:row r="64" ht="18" customHeight="1">
      <x:c r="B64" s="27" t="str">
        <x:v>A0058</x:v>
      </x:c>
      <x:c r="C64" s="27" t="str">
        <x:v>allocation</x:v>
      </x:c>
      <x:c r="D64" s="27" t="str">
        <x:v>Allocation G7 nonnegative</x:v>
      </x:c>
      <x:c r="E64" s="27" t="n">
        <x:f>IF('Allocation Build'!G7&gt;=0,1,0)</x:f>
        <x:v>1</x:v>
      </x:c>
      <x:c r="F64" s="27" t="n">
        <x:v>1</x:v>
      </x:c>
      <x:c r="G64" s="29" t="str">
        <x:f>IF(E64=F64,"PASS","FAIL")</x:f>
        <x:v>PASS</x:v>
      </x:c>
    </x:row>
    <x:row r="65" ht="18" customHeight="1">
      <x:c r="B65" s="27" t="str">
        <x:v>A0059</x:v>
      </x:c>
      <x:c r="C65" s="27" t="str">
        <x:v>allocation</x:v>
      </x:c>
      <x:c r="D65" s="27" t="str">
        <x:v>Allocation H7 nonnegative</x:v>
      </x:c>
      <x:c r="E65" s="27" t="n">
        <x:f>IF('Allocation Build'!H7&gt;=0,1,0)</x:f>
        <x:v>1</x:v>
      </x:c>
      <x:c r="F65" s="27" t="n">
        <x:v>1</x:v>
      </x:c>
      <x:c r="G65" s="29" t="str">
        <x:f>IF(E65=F65,"PASS","FAIL")</x:f>
        <x:v>PASS</x:v>
      </x:c>
    </x:row>
    <x:row r="66" ht="18" customHeight="1">
      <x:c r="B66" s="27" t="str">
        <x:v>A0060</x:v>
      </x:c>
      <x:c r="C66" s="27" t="str">
        <x:v>allocation</x:v>
      </x:c>
      <x:c r="D66" s="27" t="str">
        <x:v>Allocation I7 nonnegative</x:v>
      </x:c>
      <x:c r="E66" s="27" t="n">
        <x:f>IF('Allocation Build'!I7&gt;=0,1,0)</x:f>
        <x:v>1</x:v>
      </x:c>
      <x:c r="F66" s="27" t="n">
        <x:v>1</x:v>
      </x:c>
      <x:c r="G66" s="29" t="str">
        <x:f>IF(E66=F66,"PASS","FAIL")</x:f>
        <x:v>PASS</x:v>
      </x:c>
    </x:row>
    <x:row r="67" ht="18" customHeight="1">
      <x:c r="B67" s="27" t="str">
        <x:v>A0061</x:v>
      </x:c>
      <x:c r="C67" s="27" t="str">
        <x:v>allocation</x:v>
      </x:c>
      <x:c r="D67" s="27" t="str">
        <x:v>Allocation J7 nonnegative</x:v>
      </x:c>
      <x:c r="E67" s="27" t="n">
        <x:f>IF('Allocation Build'!J7&gt;=0,1,0)</x:f>
        <x:v>1</x:v>
      </x:c>
      <x:c r="F67" s="27" t="n">
        <x:v>1</x:v>
      </x:c>
      <x:c r="G67" s="29" t="str">
        <x:f>IF(E67=F67,"PASS","FAIL")</x:f>
        <x:v>PASS</x:v>
      </x:c>
    </x:row>
    <x:row r="68" ht="18" customHeight="1">
      <x:c r="B68" s="27" t="str">
        <x:v>A0062</x:v>
      </x:c>
      <x:c r="C68" s="27" t="str">
        <x:v>allocation</x:v>
      </x:c>
      <x:c r="D68" s="27" t="str">
        <x:v>Allocation K7 nonnegative</x:v>
      </x:c>
      <x:c r="E68" s="27" t="n">
        <x:f>IF('Allocation Build'!K7&gt;=0,1,0)</x:f>
        <x:v>1</x:v>
      </x:c>
      <x:c r="F68" s="27" t="n">
        <x:v>1</x:v>
      </x:c>
      <x:c r="G68" s="29" t="str">
        <x:f>IF(E68=F68,"PASS","FAIL")</x:f>
        <x:v>PASS</x:v>
      </x:c>
    </x:row>
    <x:row r="69" ht="18" customHeight="1">
      <x:c r="B69" s="27" t="str">
        <x:v>A0063</x:v>
      </x:c>
      <x:c r="C69" s="27" t="str">
        <x:v>allocation</x:v>
      </x:c>
      <x:c r="D69" s="27" t="str">
        <x:v>Allocation L7 nonnegative</x:v>
      </x:c>
      <x:c r="E69" s="27" t="n">
        <x:f>IF('Allocation Build'!L7&gt;=0,1,0)</x:f>
        <x:v>1</x:v>
      </x:c>
      <x:c r="F69" s="27" t="n">
        <x:v>1</x:v>
      </x:c>
      <x:c r="G69" s="29" t="str">
        <x:f>IF(E69=F69,"PASS","FAIL")</x:f>
        <x:v>PASS</x:v>
      </x:c>
    </x:row>
    <x:row r="70" ht="18" customHeight="1">
      <x:c r="B70" s="27" t="str">
        <x:v>A0064</x:v>
      </x:c>
      <x:c r="C70" s="27" t="str">
        <x:v>allocation</x:v>
      </x:c>
      <x:c r="D70" s="27" t="str">
        <x:v>Allocation row 7 state open</x:v>
      </x:c>
      <x:c r="E70" s="27" t="n">
        <x:f>IF('Allocation Build'!N7="OPEN",1,0)</x:f>
        <x:v>1</x:v>
      </x:c>
      <x:c r="F70" s="27" t="n">
        <x:v>1</x:v>
      </x:c>
      <x:c r="G70" s="29" t="str">
        <x:f>IF(E70=F70,"PASS","FAIL")</x:f>
        <x:v>PASS</x:v>
      </x:c>
    </x:row>
    <x:row r="71" ht="18" customHeight="1">
      <x:c r="B71" s="27" t="str">
        <x:v>A0065</x:v>
      </x:c>
      <x:c r="C71" s="27" t="str">
        <x:v>allocation</x:v>
      </x:c>
      <x:c r="D71" s="27" t="str">
        <x:v>Allocation E8 nonnegative</x:v>
      </x:c>
      <x:c r="E71" s="27" t="n">
        <x:f>IF('Allocation Build'!E8&gt;=0,1,0)</x:f>
        <x:v>1</x:v>
      </x:c>
      <x:c r="F71" s="27" t="n">
        <x:v>1</x:v>
      </x:c>
      <x:c r="G71" s="29" t="str">
        <x:f>IF(E71=F71,"PASS","FAIL")</x:f>
        <x:v>PASS</x:v>
      </x:c>
    </x:row>
    <x:row r="72" ht="18" customHeight="1">
      <x:c r="B72" s="27" t="str">
        <x:v>A0066</x:v>
      </x:c>
      <x:c r="C72" s="27" t="str">
        <x:v>allocation</x:v>
      </x:c>
      <x:c r="D72" s="27" t="str">
        <x:v>Allocation F8 nonnegative</x:v>
      </x:c>
      <x:c r="E72" s="27" t="n">
        <x:f>IF('Allocation Build'!F8&gt;=0,1,0)</x:f>
        <x:v>1</x:v>
      </x:c>
      <x:c r="F72" s="27" t="n">
        <x:v>1</x:v>
      </x:c>
      <x:c r="G72" s="29" t="str">
        <x:f>IF(E72=F72,"PASS","FAIL")</x:f>
        <x:v>PASS</x:v>
      </x:c>
    </x:row>
    <x:row r="73" ht="18" customHeight="1">
      <x:c r="B73" s="27" t="str">
        <x:v>A0067</x:v>
      </x:c>
      <x:c r="C73" s="27" t="str">
        <x:v>allocation</x:v>
      </x:c>
      <x:c r="D73" s="27" t="str">
        <x:v>Allocation G8 nonnegative</x:v>
      </x:c>
      <x:c r="E73" s="27" t="n">
        <x:f>IF('Allocation Build'!G8&gt;=0,1,0)</x:f>
        <x:v>1</x:v>
      </x:c>
      <x:c r="F73" s="27" t="n">
        <x:v>1</x:v>
      </x:c>
      <x:c r="G73" s="29" t="str">
        <x:f>IF(E73=F73,"PASS","FAIL")</x:f>
        <x:v>PASS</x:v>
      </x:c>
    </x:row>
    <x:row r="74" ht="18" customHeight="1">
      <x:c r="B74" s="27" t="str">
        <x:v>A0068</x:v>
      </x:c>
      <x:c r="C74" s="27" t="str">
        <x:v>allocation</x:v>
      </x:c>
      <x:c r="D74" s="27" t="str">
        <x:v>Allocation H8 nonnegative</x:v>
      </x:c>
      <x:c r="E74" s="27" t="n">
        <x:f>IF('Allocation Build'!H8&gt;=0,1,0)</x:f>
        <x:v>1</x:v>
      </x:c>
      <x:c r="F74" s="27" t="n">
        <x:v>1</x:v>
      </x:c>
      <x:c r="G74" s="29" t="str">
        <x:f>IF(E74=F74,"PASS","FAIL")</x:f>
        <x:v>PASS</x:v>
      </x:c>
    </x:row>
    <x:row r="75" ht="18" customHeight="1">
      <x:c r="B75" s="27" t="str">
        <x:v>A0069</x:v>
      </x:c>
      <x:c r="C75" s="27" t="str">
        <x:v>allocation</x:v>
      </x:c>
      <x:c r="D75" s="27" t="str">
        <x:v>Allocation I8 nonnegative</x:v>
      </x:c>
      <x:c r="E75" s="27" t="n">
        <x:f>IF('Allocation Build'!I8&gt;=0,1,0)</x:f>
        <x:v>1</x:v>
      </x:c>
      <x:c r="F75" s="27" t="n">
        <x:v>1</x:v>
      </x:c>
      <x:c r="G75" s="29" t="str">
        <x:f>IF(E75=F75,"PASS","FAIL")</x:f>
        <x:v>PASS</x:v>
      </x:c>
    </x:row>
    <x:row r="76" ht="18" customHeight="1">
      <x:c r="B76" s="27" t="str">
        <x:v>A0070</x:v>
      </x:c>
      <x:c r="C76" s="27" t="str">
        <x:v>allocation</x:v>
      </x:c>
      <x:c r="D76" s="27" t="str">
        <x:v>Allocation J8 nonnegative</x:v>
      </x:c>
      <x:c r="E76" s="27" t="n">
        <x:f>IF('Allocation Build'!J8&gt;=0,1,0)</x:f>
        <x:v>1</x:v>
      </x:c>
      <x:c r="F76" s="27" t="n">
        <x:v>1</x:v>
      </x:c>
      <x:c r="G76" s="29" t="str">
        <x:f>IF(E76=F76,"PASS","FAIL")</x:f>
        <x:v>PASS</x:v>
      </x:c>
    </x:row>
    <x:row r="77" ht="18" customHeight="1">
      <x:c r="B77" s="27" t="str">
        <x:v>A0071</x:v>
      </x:c>
      <x:c r="C77" s="27" t="str">
        <x:v>allocation</x:v>
      </x:c>
      <x:c r="D77" s="27" t="str">
        <x:v>Allocation K8 nonnegative</x:v>
      </x:c>
      <x:c r="E77" s="27" t="n">
        <x:f>IF('Allocation Build'!K8&gt;=0,1,0)</x:f>
        <x:v>1</x:v>
      </x:c>
      <x:c r="F77" s="27" t="n">
        <x:v>1</x:v>
      </x:c>
      <x:c r="G77" s="29" t="str">
        <x:f>IF(E77=F77,"PASS","FAIL")</x:f>
        <x:v>PASS</x:v>
      </x:c>
    </x:row>
    <x:row r="78" ht="18" customHeight="1">
      <x:c r="B78" s="27" t="str">
        <x:v>A0072</x:v>
      </x:c>
      <x:c r="C78" s="27" t="str">
        <x:v>allocation</x:v>
      </x:c>
      <x:c r="D78" s="27" t="str">
        <x:v>Allocation L8 nonnegative</x:v>
      </x:c>
      <x:c r="E78" s="27" t="n">
        <x:f>IF('Allocation Build'!L8&gt;=0,1,0)</x:f>
        <x:v>1</x:v>
      </x:c>
      <x:c r="F78" s="27" t="n">
        <x:v>1</x:v>
      </x:c>
      <x:c r="G78" s="29" t="str">
        <x:f>IF(E78=F78,"PASS","FAIL")</x:f>
        <x:v>PASS</x:v>
      </x:c>
    </x:row>
    <x:row r="79" ht="18" customHeight="1">
      <x:c r="B79" s="27" t="str">
        <x:v>A0073</x:v>
      </x:c>
      <x:c r="C79" s="27" t="str">
        <x:v>allocation</x:v>
      </x:c>
      <x:c r="D79" s="27" t="str">
        <x:v>Allocation row 8 state open</x:v>
      </x:c>
      <x:c r="E79" s="27" t="n">
        <x:f>IF('Allocation Build'!N8="OPEN",1,0)</x:f>
        <x:v>1</x:v>
      </x:c>
      <x:c r="F79" s="27" t="n">
        <x:v>1</x:v>
      </x:c>
      <x:c r="G79" s="29" t="str">
        <x:f>IF(E79=F79,"PASS","FAIL")</x:f>
        <x:v>PASS</x:v>
      </x:c>
    </x:row>
    <x:row r="80" ht="18" customHeight="1">
      <x:c r="B80" s="27" t="str">
        <x:v>A0074</x:v>
      </x:c>
      <x:c r="C80" s="27" t="str">
        <x:v>allocation</x:v>
      </x:c>
      <x:c r="D80" s="27" t="str">
        <x:v>Allocation E9 nonnegative</x:v>
      </x:c>
      <x:c r="E80" s="27" t="n">
        <x:f>IF('Allocation Build'!E9&gt;=0,1,0)</x:f>
        <x:v>1</x:v>
      </x:c>
      <x:c r="F80" s="27" t="n">
        <x:v>1</x:v>
      </x:c>
      <x:c r="G80" s="29" t="str">
        <x:f>IF(E80=F80,"PASS","FAIL")</x:f>
        <x:v>PASS</x:v>
      </x:c>
    </x:row>
    <x:row r="81" ht="18" customHeight="1">
      <x:c r="B81" s="27" t="str">
        <x:v>A0075</x:v>
      </x:c>
      <x:c r="C81" s="27" t="str">
        <x:v>allocation</x:v>
      </x:c>
      <x:c r="D81" s="27" t="str">
        <x:v>Allocation F9 nonnegative</x:v>
      </x:c>
      <x:c r="E81" s="27" t="n">
        <x:f>IF('Allocation Build'!F9&gt;=0,1,0)</x:f>
        <x:v>1</x:v>
      </x:c>
      <x:c r="F81" s="27" t="n">
        <x:v>1</x:v>
      </x:c>
      <x:c r="G81" s="29" t="str">
        <x:f>IF(E81=F81,"PASS","FAIL")</x:f>
        <x:v>PASS</x:v>
      </x:c>
    </x:row>
    <x:row r="82" ht="18" customHeight="1">
      <x:c r="B82" s="27" t="str">
        <x:v>A0076</x:v>
      </x:c>
      <x:c r="C82" s="27" t="str">
        <x:v>allocation</x:v>
      </x:c>
      <x:c r="D82" s="27" t="str">
        <x:v>Allocation G9 nonnegative</x:v>
      </x:c>
      <x:c r="E82" s="27" t="n">
        <x:f>IF('Allocation Build'!G9&gt;=0,1,0)</x:f>
        <x:v>1</x:v>
      </x:c>
      <x:c r="F82" s="27" t="n">
        <x:v>1</x:v>
      </x:c>
      <x:c r="G82" s="29" t="str">
        <x:f>IF(E82=F82,"PASS","FAIL")</x:f>
        <x:v>PASS</x:v>
      </x:c>
    </x:row>
    <x:row r="83" ht="18" customHeight="1">
      <x:c r="B83" s="27" t="str">
        <x:v>A0077</x:v>
      </x:c>
      <x:c r="C83" s="27" t="str">
        <x:v>allocation</x:v>
      </x:c>
      <x:c r="D83" s="27" t="str">
        <x:v>Allocation H9 nonnegative</x:v>
      </x:c>
      <x:c r="E83" s="27" t="n">
        <x:f>IF('Allocation Build'!H9&gt;=0,1,0)</x:f>
        <x:v>1</x:v>
      </x:c>
      <x:c r="F83" s="27" t="n">
        <x:v>1</x:v>
      </x:c>
      <x:c r="G83" s="29" t="str">
        <x:f>IF(E83=F83,"PASS","FAIL")</x:f>
        <x:v>PASS</x:v>
      </x:c>
    </x:row>
    <x:row r="84" ht="18" customHeight="1">
      <x:c r="B84" s="27" t="str">
        <x:v>A0078</x:v>
      </x:c>
      <x:c r="C84" s="27" t="str">
        <x:v>allocation</x:v>
      </x:c>
      <x:c r="D84" s="27" t="str">
        <x:v>Allocation I9 nonnegative</x:v>
      </x:c>
      <x:c r="E84" s="27" t="n">
        <x:f>IF('Allocation Build'!I9&gt;=0,1,0)</x:f>
        <x:v>1</x:v>
      </x:c>
      <x:c r="F84" s="27" t="n">
        <x:v>1</x:v>
      </x:c>
      <x:c r="G84" s="29" t="str">
        <x:f>IF(E84=F84,"PASS","FAIL")</x:f>
        <x:v>PASS</x:v>
      </x:c>
    </x:row>
    <x:row r="85" ht="18" customHeight="1">
      <x:c r="B85" s="27" t="str">
        <x:v>A0079</x:v>
      </x:c>
      <x:c r="C85" s="27" t="str">
        <x:v>allocation</x:v>
      </x:c>
      <x:c r="D85" s="27" t="str">
        <x:v>Allocation J9 nonnegative</x:v>
      </x:c>
      <x:c r="E85" s="27" t="n">
        <x:f>IF('Allocation Build'!J9&gt;=0,1,0)</x:f>
        <x:v>1</x:v>
      </x:c>
      <x:c r="F85" s="27" t="n">
        <x:v>1</x:v>
      </x:c>
      <x:c r="G85" s="29" t="str">
        <x:f>IF(E85=F85,"PASS","FAIL")</x:f>
        <x:v>PASS</x:v>
      </x:c>
    </x:row>
    <x:row r="86" ht="18" customHeight="1">
      <x:c r="B86" s="27" t="str">
        <x:v>A0080</x:v>
      </x:c>
      <x:c r="C86" s="27" t="str">
        <x:v>allocation</x:v>
      </x:c>
      <x:c r="D86" s="27" t="str">
        <x:v>Allocation K9 nonnegative</x:v>
      </x:c>
      <x:c r="E86" s="27" t="n">
        <x:f>IF('Allocation Build'!K9&gt;=0,1,0)</x:f>
        <x:v>1</x:v>
      </x:c>
      <x:c r="F86" s="27" t="n">
        <x:v>1</x:v>
      </x:c>
      <x:c r="G86" s="29" t="str">
        <x:f>IF(E86=F86,"PASS","FAIL")</x:f>
        <x:v>PASS</x:v>
      </x:c>
    </x:row>
    <x:row r="87" ht="18" customHeight="1">
      <x:c r="B87" s="27" t="str">
        <x:v>A0081</x:v>
      </x:c>
      <x:c r="C87" s="27" t="str">
        <x:v>allocation</x:v>
      </x:c>
      <x:c r="D87" s="27" t="str">
        <x:v>Allocation L9 nonnegative</x:v>
      </x:c>
      <x:c r="E87" s="27" t="n">
        <x:f>IF('Allocation Build'!L9&gt;=0,1,0)</x:f>
        <x:v>1</x:v>
      </x:c>
      <x:c r="F87" s="27" t="n">
        <x:v>1</x:v>
      </x:c>
      <x:c r="G87" s="29" t="str">
        <x:f>IF(E87=F87,"PASS","FAIL")</x:f>
        <x:v>PASS</x:v>
      </x:c>
    </x:row>
    <x:row r="88" ht="18" customHeight="1">
      <x:c r="B88" s="27" t="str">
        <x:v>A0082</x:v>
      </x:c>
      <x:c r="C88" s="27" t="str">
        <x:v>allocation</x:v>
      </x:c>
      <x:c r="D88" s="27" t="str">
        <x:v>Allocation row 9 state open</x:v>
      </x:c>
      <x:c r="E88" s="27" t="n">
        <x:f>IF('Allocation Build'!N9="OPEN",1,0)</x:f>
        <x:v>1</x:v>
      </x:c>
      <x:c r="F88" s="27" t="n">
        <x:v>1</x:v>
      </x:c>
      <x:c r="G88" s="29" t="str">
        <x:f>IF(E88=F88,"PASS","FAIL")</x:f>
        <x:v>PASS</x:v>
      </x:c>
    </x:row>
    <x:row r="89" ht="18" customHeight="1">
      <x:c r="B89" s="27" t="str">
        <x:v>A0083</x:v>
      </x:c>
      <x:c r="C89" s="27" t="str">
        <x:v>allocation</x:v>
      </x:c>
      <x:c r="D89" s="27" t="str">
        <x:v>Allocation E10 nonnegative</x:v>
      </x:c>
      <x:c r="E89" s="27" t="n">
        <x:f>IF('Allocation Build'!E10&gt;=0,1,0)</x:f>
        <x:v>1</x:v>
      </x:c>
      <x:c r="F89" s="27" t="n">
        <x:v>1</x:v>
      </x:c>
      <x:c r="G89" s="29" t="str">
        <x:f>IF(E89=F89,"PASS","FAIL")</x:f>
        <x:v>PASS</x:v>
      </x:c>
    </x:row>
    <x:row r="90" ht="18" customHeight="1">
      <x:c r="B90" s="27" t="str">
        <x:v>A0084</x:v>
      </x:c>
      <x:c r="C90" s="27" t="str">
        <x:v>allocation</x:v>
      </x:c>
      <x:c r="D90" s="27" t="str">
        <x:v>Allocation F10 nonnegative</x:v>
      </x:c>
      <x:c r="E90" s="27" t="n">
        <x:f>IF('Allocation Build'!F10&gt;=0,1,0)</x:f>
        <x:v>1</x:v>
      </x:c>
      <x:c r="F90" s="27" t="n">
        <x:v>1</x:v>
      </x:c>
      <x:c r="G90" s="29" t="str">
        <x:f>IF(E90=F90,"PASS","FAIL")</x:f>
        <x:v>PASS</x:v>
      </x:c>
    </x:row>
    <x:row r="91" ht="18" customHeight="1">
      <x:c r="B91" s="27" t="str">
        <x:v>A0085</x:v>
      </x:c>
      <x:c r="C91" s="27" t="str">
        <x:v>allocation</x:v>
      </x:c>
      <x:c r="D91" s="27" t="str">
        <x:v>Allocation G10 nonnegative</x:v>
      </x:c>
      <x:c r="E91" s="27" t="n">
        <x:f>IF('Allocation Build'!G10&gt;=0,1,0)</x:f>
        <x:v>1</x:v>
      </x:c>
      <x:c r="F91" s="27" t="n">
        <x:v>1</x:v>
      </x:c>
      <x:c r="G91" s="29" t="str">
        <x:f>IF(E91=F91,"PASS","FAIL")</x:f>
        <x:v>PASS</x:v>
      </x:c>
    </x:row>
    <x:row r="92" ht="18" customHeight="1">
      <x:c r="B92" s="27" t="str">
        <x:v>A0086</x:v>
      </x:c>
      <x:c r="C92" s="27" t="str">
        <x:v>allocation</x:v>
      </x:c>
      <x:c r="D92" s="27" t="str">
        <x:v>Allocation H10 nonnegative</x:v>
      </x:c>
      <x:c r="E92" s="27" t="n">
        <x:f>IF('Allocation Build'!H10&gt;=0,1,0)</x:f>
        <x:v>1</x:v>
      </x:c>
      <x:c r="F92" s="27" t="n">
        <x:v>1</x:v>
      </x:c>
      <x:c r="G92" s="29" t="str">
        <x:f>IF(E92=F92,"PASS","FAIL")</x:f>
        <x:v>PASS</x:v>
      </x:c>
    </x:row>
    <x:row r="93" ht="18" customHeight="1">
      <x:c r="B93" s="27" t="str">
        <x:v>A0087</x:v>
      </x:c>
      <x:c r="C93" s="27" t="str">
        <x:v>allocation</x:v>
      </x:c>
      <x:c r="D93" s="27" t="str">
        <x:v>Allocation I10 nonnegative</x:v>
      </x:c>
      <x:c r="E93" s="27" t="n">
        <x:f>IF('Allocation Build'!I10&gt;=0,1,0)</x:f>
        <x:v>1</x:v>
      </x:c>
      <x:c r="F93" s="27" t="n">
        <x:v>1</x:v>
      </x:c>
      <x:c r="G93" s="29" t="str">
        <x:f>IF(E93=F93,"PASS","FAIL")</x:f>
        <x:v>PASS</x:v>
      </x:c>
    </x:row>
    <x:row r="94" ht="18" customHeight="1">
      <x:c r="B94" s="27" t="str">
        <x:v>A0088</x:v>
      </x:c>
      <x:c r="C94" s="27" t="str">
        <x:v>allocation</x:v>
      </x:c>
      <x:c r="D94" s="27" t="str">
        <x:v>Allocation J10 nonnegative</x:v>
      </x:c>
      <x:c r="E94" s="27" t="n">
        <x:f>IF('Allocation Build'!J10&gt;=0,1,0)</x:f>
        <x:v>1</x:v>
      </x:c>
      <x:c r="F94" s="27" t="n">
        <x:v>1</x:v>
      </x:c>
      <x:c r="G94" s="29" t="str">
        <x:f>IF(E94=F94,"PASS","FAIL")</x:f>
        <x:v>PASS</x:v>
      </x:c>
    </x:row>
    <x:row r="95" ht="18" customHeight="1">
      <x:c r="B95" s="27" t="str">
        <x:v>A0089</x:v>
      </x:c>
      <x:c r="C95" s="27" t="str">
        <x:v>allocation</x:v>
      </x:c>
      <x:c r="D95" s="27" t="str">
        <x:v>Allocation K10 nonnegative</x:v>
      </x:c>
      <x:c r="E95" s="27" t="n">
        <x:f>IF('Allocation Build'!K10&gt;=0,1,0)</x:f>
        <x:v>1</x:v>
      </x:c>
      <x:c r="F95" s="27" t="n">
        <x:v>1</x:v>
      </x:c>
      <x:c r="G95" s="29" t="str">
        <x:f>IF(E95=F95,"PASS","FAIL")</x:f>
        <x:v>PASS</x:v>
      </x:c>
    </x:row>
    <x:row r="96" ht="18" customHeight="1">
      <x:c r="B96" s="27" t="str">
        <x:v>A0090</x:v>
      </x:c>
      <x:c r="C96" s="27" t="str">
        <x:v>allocation</x:v>
      </x:c>
      <x:c r="D96" s="27" t="str">
        <x:v>Allocation L10 nonnegative</x:v>
      </x:c>
      <x:c r="E96" s="27" t="n">
        <x:f>IF('Allocation Build'!L10&gt;=0,1,0)</x:f>
        <x:v>1</x:v>
      </x:c>
      <x:c r="F96" s="27" t="n">
        <x:v>1</x:v>
      </x:c>
      <x:c r="G96" s="29" t="str">
        <x:f>IF(E96=F96,"PASS","FAIL")</x:f>
        <x:v>PASS</x:v>
      </x:c>
    </x:row>
    <x:row r="97" ht="18" customHeight="1">
      <x:c r="B97" s="27" t="str">
        <x:v>A0091</x:v>
      </x:c>
      <x:c r="C97" s="27" t="str">
        <x:v>allocation</x:v>
      </x:c>
      <x:c r="D97" s="27" t="str">
        <x:v>Allocation row 10 state open</x:v>
      </x:c>
      <x:c r="E97" s="27" t="n">
        <x:f>IF('Allocation Build'!N10="OPEN",1,0)</x:f>
        <x:v>1</x:v>
      </x:c>
      <x:c r="F97" s="27" t="n">
        <x:v>1</x:v>
      </x:c>
      <x:c r="G97" s="29" t="str">
        <x:f>IF(E97=F97,"PASS","FAIL")</x:f>
        <x:v>PASS</x:v>
      </x:c>
    </x:row>
    <x:row r="98" ht="18" customHeight="1">
      <x:c r="B98" s="27" t="str">
        <x:v>A0092</x:v>
      </x:c>
      <x:c r="C98" s="27" t="str">
        <x:v>allocation</x:v>
      </x:c>
      <x:c r="D98" s="27" t="str">
        <x:v>Allocation E11 nonnegative</x:v>
      </x:c>
      <x:c r="E98" s="27" t="n">
        <x:f>IF('Allocation Build'!E11&gt;=0,1,0)</x:f>
        <x:v>1</x:v>
      </x:c>
      <x:c r="F98" s="27" t="n">
        <x:v>1</x:v>
      </x:c>
      <x:c r="G98" s="29" t="str">
        <x:f>IF(E98=F98,"PASS","FAIL")</x:f>
        <x:v>PASS</x:v>
      </x:c>
    </x:row>
    <x:row r="99" ht="18" customHeight="1">
      <x:c r="B99" s="27" t="str">
        <x:v>A0093</x:v>
      </x:c>
      <x:c r="C99" s="27" t="str">
        <x:v>allocation</x:v>
      </x:c>
      <x:c r="D99" s="27" t="str">
        <x:v>Allocation F11 nonnegative</x:v>
      </x:c>
      <x:c r="E99" s="27" t="n">
        <x:f>IF('Allocation Build'!F11&gt;=0,1,0)</x:f>
        <x:v>1</x:v>
      </x:c>
      <x:c r="F99" s="27" t="n">
        <x:v>1</x:v>
      </x:c>
      <x:c r="G99" s="29" t="str">
        <x:f>IF(E99=F99,"PASS","FAIL")</x:f>
        <x:v>PASS</x:v>
      </x:c>
    </x:row>
    <x:row r="100" ht="18" customHeight="1">
      <x:c r="B100" s="27" t="str">
        <x:v>A0094</x:v>
      </x:c>
      <x:c r="C100" s="27" t="str">
        <x:v>allocation</x:v>
      </x:c>
      <x:c r="D100" s="27" t="str">
        <x:v>Allocation G11 nonnegative</x:v>
      </x:c>
      <x:c r="E100" s="27" t="n">
        <x:f>IF('Allocation Build'!G11&gt;=0,1,0)</x:f>
        <x:v>1</x:v>
      </x:c>
      <x:c r="F100" s="27" t="n">
        <x:v>1</x:v>
      </x:c>
      <x:c r="G100" s="29" t="str">
        <x:f>IF(E100=F100,"PASS","FAIL")</x:f>
        <x:v>PASS</x:v>
      </x:c>
    </x:row>
    <x:row r="101" ht="18" customHeight="1">
      <x:c r="B101" s="27" t="str">
        <x:v>A0095</x:v>
      </x:c>
      <x:c r="C101" s="27" t="str">
        <x:v>allocation</x:v>
      </x:c>
      <x:c r="D101" s="27" t="str">
        <x:v>Allocation H11 nonnegative</x:v>
      </x:c>
      <x:c r="E101" s="27" t="n">
        <x:f>IF('Allocation Build'!H11&gt;=0,1,0)</x:f>
        <x:v>1</x:v>
      </x:c>
      <x:c r="F101" s="27" t="n">
        <x:v>1</x:v>
      </x:c>
      <x:c r="G101" s="29" t="str">
        <x:f>IF(E101=F101,"PASS","FAIL")</x:f>
        <x:v>PASS</x:v>
      </x:c>
    </x:row>
    <x:row r="102" ht="18" customHeight="1">
      <x:c r="B102" s="27" t="str">
        <x:v>A0096</x:v>
      </x:c>
      <x:c r="C102" s="27" t="str">
        <x:v>allocation</x:v>
      </x:c>
      <x:c r="D102" s="27" t="str">
        <x:v>Allocation I11 nonnegative</x:v>
      </x:c>
      <x:c r="E102" s="27" t="n">
        <x:f>IF('Allocation Build'!I11&gt;=0,1,0)</x:f>
        <x:v>1</x:v>
      </x:c>
      <x:c r="F102" s="27" t="n">
        <x:v>1</x:v>
      </x:c>
      <x:c r="G102" s="29" t="str">
        <x:f>IF(E102=F102,"PASS","FAIL")</x:f>
        <x:v>PASS</x:v>
      </x:c>
    </x:row>
    <x:row r="103" ht="18" customHeight="1">
      <x:c r="B103" s="27" t="str">
        <x:v>A0097</x:v>
      </x:c>
      <x:c r="C103" s="27" t="str">
        <x:v>allocation</x:v>
      </x:c>
      <x:c r="D103" s="27" t="str">
        <x:v>Allocation J11 nonnegative</x:v>
      </x:c>
      <x:c r="E103" s="27" t="n">
        <x:f>IF('Allocation Build'!J11&gt;=0,1,0)</x:f>
        <x:v>1</x:v>
      </x:c>
      <x:c r="F103" s="27" t="n">
        <x:v>1</x:v>
      </x:c>
      <x:c r="G103" s="29" t="str">
        <x:f>IF(E103=F103,"PASS","FAIL")</x:f>
        <x:v>PASS</x:v>
      </x:c>
    </x:row>
    <x:row r="104" ht="18" customHeight="1">
      <x:c r="B104" s="27" t="str">
        <x:v>A0098</x:v>
      </x:c>
      <x:c r="C104" s="27" t="str">
        <x:v>allocation</x:v>
      </x:c>
      <x:c r="D104" s="27" t="str">
        <x:v>Allocation K11 nonnegative</x:v>
      </x:c>
      <x:c r="E104" s="27" t="n">
        <x:f>IF('Allocation Build'!K11&gt;=0,1,0)</x:f>
        <x:v>1</x:v>
      </x:c>
      <x:c r="F104" s="27" t="n">
        <x:v>1</x:v>
      </x:c>
      <x:c r="G104" s="29" t="str">
        <x:f>IF(E104=F104,"PASS","FAIL")</x:f>
        <x:v>PASS</x:v>
      </x:c>
    </x:row>
    <x:row r="105" ht="18" customHeight="1">
      <x:c r="B105" s="27" t="str">
        <x:v>A0099</x:v>
      </x:c>
      <x:c r="C105" s="27" t="str">
        <x:v>allocation</x:v>
      </x:c>
      <x:c r="D105" s="27" t="str">
        <x:v>Allocation L11 nonnegative</x:v>
      </x:c>
      <x:c r="E105" s="27" t="n">
        <x:f>IF('Allocation Build'!L11&gt;=0,1,0)</x:f>
        <x:v>1</x:v>
      </x:c>
      <x:c r="F105" s="27" t="n">
        <x:v>1</x:v>
      </x:c>
      <x:c r="G105" s="29" t="str">
        <x:f>IF(E105=F105,"PASS","FAIL")</x:f>
        <x:v>PASS</x:v>
      </x:c>
    </x:row>
    <x:row r="106" ht="18" customHeight="1">
      <x:c r="B106" s="27" t="str">
        <x:v>A0100</x:v>
      </x:c>
      <x:c r="C106" s="27" t="str">
        <x:v>allocation</x:v>
      </x:c>
      <x:c r="D106" s="27" t="str">
        <x:v>Allocation row 11 state open</x:v>
      </x:c>
      <x:c r="E106" s="27" t="n">
        <x:f>IF('Allocation Build'!N11="OPEN",1,0)</x:f>
        <x:v>1</x:v>
      </x:c>
      <x:c r="F106" s="27" t="n">
        <x:v>1</x:v>
      </x:c>
      <x:c r="G106" s="29" t="str">
        <x:f>IF(E106=F106,"PASS","FAIL")</x:f>
        <x:v>PASS</x:v>
      </x:c>
    </x:row>
    <x:row r="107" ht="18" customHeight="1">
      <x:c r="B107" s="27" t="str">
        <x:v>A0101</x:v>
      </x:c>
      <x:c r="C107" s="27" t="str">
        <x:v>allocation</x:v>
      </x:c>
      <x:c r="D107" s="27" t="str">
        <x:v>Allocation E12 nonnegative</x:v>
      </x:c>
      <x:c r="E107" s="27" t="n">
        <x:f>IF('Allocation Build'!E12&gt;=0,1,0)</x:f>
        <x:v>1</x:v>
      </x:c>
      <x:c r="F107" s="27" t="n">
        <x:v>1</x:v>
      </x:c>
      <x:c r="G107" s="29" t="str">
        <x:f>IF(E107=F107,"PASS","FAIL")</x:f>
        <x:v>PASS</x:v>
      </x:c>
    </x:row>
    <x:row r="108" ht="18" customHeight="1">
      <x:c r="B108" s="27" t="str">
        <x:v>A0102</x:v>
      </x:c>
      <x:c r="C108" s="27" t="str">
        <x:v>allocation</x:v>
      </x:c>
      <x:c r="D108" s="27" t="str">
        <x:v>Allocation F12 nonnegative</x:v>
      </x:c>
      <x:c r="E108" s="27" t="n">
        <x:f>IF('Allocation Build'!F12&gt;=0,1,0)</x:f>
        <x:v>1</x:v>
      </x:c>
      <x:c r="F108" s="27" t="n">
        <x:v>1</x:v>
      </x:c>
      <x:c r="G108" s="29" t="str">
        <x:f>IF(E108=F108,"PASS","FAIL")</x:f>
        <x:v>PASS</x:v>
      </x:c>
    </x:row>
    <x:row r="109" ht="18" customHeight="1">
      <x:c r="B109" s="27" t="str">
        <x:v>A0103</x:v>
      </x:c>
      <x:c r="C109" s="27" t="str">
        <x:v>allocation</x:v>
      </x:c>
      <x:c r="D109" s="27" t="str">
        <x:v>Allocation G12 nonnegative</x:v>
      </x:c>
      <x:c r="E109" s="27" t="n">
        <x:f>IF('Allocation Build'!G12&gt;=0,1,0)</x:f>
        <x:v>1</x:v>
      </x:c>
      <x:c r="F109" s="27" t="n">
        <x:v>1</x:v>
      </x:c>
      <x:c r="G109" s="29" t="str">
        <x:f>IF(E109=F109,"PASS","FAIL")</x:f>
        <x:v>PASS</x:v>
      </x:c>
    </x:row>
    <x:row r="110" ht="18" customHeight="1">
      <x:c r="B110" s="27" t="str">
        <x:v>A0104</x:v>
      </x:c>
      <x:c r="C110" s="27" t="str">
        <x:v>allocation</x:v>
      </x:c>
      <x:c r="D110" s="27" t="str">
        <x:v>Allocation H12 nonnegative</x:v>
      </x:c>
      <x:c r="E110" s="27" t="n">
        <x:f>IF('Allocation Build'!H12&gt;=0,1,0)</x:f>
        <x:v>1</x:v>
      </x:c>
      <x:c r="F110" s="27" t="n">
        <x:v>1</x:v>
      </x:c>
      <x:c r="G110" s="29" t="str">
        <x:f>IF(E110=F110,"PASS","FAIL")</x:f>
        <x:v>PASS</x:v>
      </x:c>
    </x:row>
    <x:row r="111" ht="18" customHeight="1">
      <x:c r="B111" s="27" t="str">
        <x:v>A0105</x:v>
      </x:c>
      <x:c r="C111" s="27" t="str">
        <x:v>allocation</x:v>
      </x:c>
      <x:c r="D111" s="27" t="str">
        <x:v>Allocation I12 nonnegative</x:v>
      </x:c>
      <x:c r="E111" s="27" t="n">
        <x:f>IF('Allocation Build'!I12&gt;=0,1,0)</x:f>
        <x:v>1</x:v>
      </x:c>
      <x:c r="F111" s="27" t="n">
        <x:v>1</x:v>
      </x:c>
      <x:c r="G111" s="29" t="str">
        <x:f>IF(E111=F111,"PASS","FAIL")</x:f>
        <x:v>PASS</x:v>
      </x:c>
    </x:row>
    <x:row r="112" ht="18" customHeight="1">
      <x:c r="B112" s="27" t="str">
        <x:v>A0106</x:v>
      </x:c>
      <x:c r="C112" s="27" t="str">
        <x:v>allocation</x:v>
      </x:c>
      <x:c r="D112" s="27" t="str">
        <x:v>Allocation J12 nonnegative</x:v>
      </x:c>
      <x:c r="E112" s="27" t="n">
        <x:f>IF('Allocation Build'!J12&gt;=0,1,0)</x:f>
        <x:v>1</x:v>
      </x:c>
      <x:c r="F112" s="27" t="n">
        <x:v>1</x:v>
      </x:c>
      <x:c r="G112" s="29" t="str">
        <x:f>IF(E112=F112,"PASS","FAIL")</x:f>
        <x:v>PASS</x:v>
      </x:c>
    </x:row>
    <x:row r="113" ht="18" customHeight="1">
      <x:c r="B113" s="27" t="str">
        <x:v>A0107</x:v>
      </x:c>
      <x:c r="C113" s="27" t="str">
        <x:v>allocation</x:v>
      </x:c>
      <x:c r="D113" s="27" t="str">
        <x:v>Allocation K12 nonnegative</x:v>
      </x:c>
      <x:c r="E113" s="27" t="n">
        <x:f>IF('Allocation Build'!K12&gt;=0,1,0)</x:f>
        <x:v>1</x:v>
      </x:c>
      <x:c r="F113" s="27" t="n">
        <x:v>1</x:v>
      </x:c>
      <x:c r="G113" s="29" t="str">
        <x:f>IF(E113=F113,"PASS","FAIL")</x:f>
        <x:v>PASS</x:v>
      </x:c>
    </x:row>
    <x:row r="114" ht="18" customHeight="1">
      <x:c r="B114" s="27" t="str">
        <x:v>A0108</x:v>
      </x:c>
      <x:c r="C114" s="27" t="str">
        <x:v>allocation</x:v>
      </x:c>
      <x:c r="D114" s="27" t="str">
        <x:v>Allocation L12 nonnegative</x:v>
      </x:c>
      <x:c r="E114" s="27" t="n">
        <x:f>IF('Allocation Build'!L12&gt;=0,1,0)</x:f>
        <x:v>1</x:v>
      </x:c>
      <x:c r="F114" s="27" t="n">
        <x:v>1</x:v>
      </x:c>
      <x:c r="G114" s="29" t="str">
        <x:f>IF(E114=F114,"PASS","FAIL")</x:f>
        <x:v>PASS</x:v>
      </x:c>
    </x:row>
    <x:row r="115" ht="18" customHeight="1">
      <x:c r="B115" s="27" t="str">
        <x:v>A0109</x:v>
      </x:c>
      <x:c r="C115" s="27" t="str">
        <x:v>allocation</x:v>
      </x:c>
      <x:c r="D115" s="27" t="str">
        <x:v>Allocation row 12 state open</x:v>
      </x:c>
      <x:c r="E115" s="27" t="n">
        <x:f>IF('Allocation Build'!N12="OPEN",1,0)</x:f>
        <x:v>1</x:v>
      </x:c>
      <x:c r="F115" s="27" t="n">
        <x:v>1</x:v>
      </x:c>
      <x:c r="G115" s="29" t="str">
        <x:f>IF(E115=F115,"PASS","FAIL")</x:f>
        <x:v>PASS</x:v>
      </x:c>
    </x:row>
    <x:row r="116" ht="18" customHeight="1">
      <x:c r="B116" s="27" t="str">
        <x:v>A0110</x:v>
      </x:c>
      <x:c r="C116" s="27" t="str">
        <x:v>allocation</x:v>
      </x:c>
      <x:c r="D116" s="27" t="str">
        <x:v>Allocation E13 nonnegative</x:v>
      </x:c>
      <x:c r="E116" s="27" t="n">
        <x:f>IF('Allocation Build'!E13&gt;=0,1,0)</x:f>
        <x:v>1</x:v>
      </x:c>
      <x:c r="F116" s="27" t="n">
        <x:v>1</x:v>
      </x:c>
      <x:c r="G116" s="29" t="str">
        <x:f>IF(E116=F116,"PASS","FAIL")</x:f>
        <x:v>PASS</x:v>
      </x:c>
    </x:row>
    <x:row r="117" ht="18" customHeight="1">
      <x:c r="B117" s="27" t="str">
        <x:v>A0111</x:v>
      </x:c>
      <x:c r="C117" s="27" t="str">
        <x:v>allocation</x:v>
      </x:c>
      <x:c r="D117" s="27" t="str">
        <x:v>Allocation F13 nonnegative</x:v>
      </x:c>
      <x:c r="E117" s="27" t="n">
        <x:f>IF('Allocation Build'!F13&gt;=0,1,0)</x:f>
        <x:v>1</x:v>
      </x:c>
      <x:c r="F117" s="27" t="n">
        <x:v>1</x:v>
      </x:c>
      <x:c r="G117" s="29" t="str">
        <x:f>IF(E117=F117,"PASS","FAIL")</x:f>
        <x:v>PASS</x:v>
      </x:c>
    </x:row>
    <x:row r="118" ht="18" customHeight="1">
      <x:c r="B118" s="27" t="str">
        <x:v>A0112</x:v>
      </x:c>
      <x:c r="C118" s="27" t="str">
        <x:v>allocation</x:v>
      </x:c>
      <x:c r="D118" s="27" t="str">
        <x:v>Allocation G13 nonnegative</x:v>
      </x:c>
      <x:c r="E118" s="27" t="n">
        <x:f>IF('Allocation Build'!G13&gt;=0,1,0)</x:f>
        <x:v>1</x:v>
      </x:c>
      <x:c r="F118" s="27" t="n">
        <x:v>1</x:v>
      </x:c>
      <x:c r="G118" s="29" t="str">
        <x:f>IF(E118=F118,"PASS","FAIL")</x:f>
        <x:v>PASS</x:v>
      </x:c>
    </x:row>
    <x:row r="119" ht="18" customHeight="1">
      <x:c r="B119" s="27" t="str">
        <x:v>A0113</x:v>
      </x:c>
      <x:c r="C119" s="27" t="str">
        <x:v>allocation</x:v>
      </x:c>
      <x:c r="D119" s="27" t="str">
        <x:v>Allocation H13 nonnegative</x:v>
      </x:c>
      <x:c r="E119" s="27" t="n">
        <x:f>IF('Allocation Build'!H13&gt;=0,1,0)</x:f>
        <x:v>1</x:v>
      </x:c>
      <x:c r="F119" s="27" t="n">
        <x:v>1</x:v>
      </x:c>
      <x:c r="G119" s="29" t="str">
        <x:f>IF(E119=F119,"PASS","FAIL")</x:f>
        <x:v>PASS</x:v>
      </x:c>
    </x:row>
    <x:row r="120" ht="18" customHeight="1">
      <x:c r="B120" s="27" t="str">
        <x:v>A0114</x:v>
      </x:c>
      <x:c r="C120" s="27" t="str">
        <x:v>allocation</x:v>
      </x:c>
      <x:c r="D120" s="27" t="str">
        <x:v>Allocation I13 nonnegative</x:v>
      </x:c>
      <x:c r="E120" s="27" t="n">
        <x:f>IF('Allocation Build'!I13&gt;=0,1,0)</x:f>
        <x:v>1</x:v>
      </x:c>
      <x:c r="F120" s="27" t="n">
        <x:v>1</x:v>
      </x:c>
      <x:c r="G120" s="29" t="str">
        <x:f>IF(E120=F120,"PASS","FAIL")</x:f>
        <x:v>PASS</x:v>
      </x:c>
    </x:row>
    <x:row r="121" ht="18" customHeight="1">
      <x:c r="B121" s="27" t="str">
        <x:v>A0115</x:v>
      </x:c>
      <x:c r="C121" s="27" t="str">
        <x:v>allocation</x:v>
      </x:c>
      <x:c r="D121" s="27" t="str">
        <x:v>Allocation J13 nonnegative</x:v>
      </x:c>
      <x:c r="E121" s="27" t="n">
        <x:f>IF('Allocation Build'!J13&gt;=0,1,0)</x:f>
        <x:v>1</x:v>
      </x:c>
      <x:c r="F121" s="27" t="n">
        <x:v>1</x:v>
      </x:c>
      <x:c r="G121" s="29" t="str">
        <x:f>IF(E121=F121,"PASS","FAIL")</x:f>
        <x:v>PASS</x:v>
      </x:c>
    </x:row>
    <x:row r="122" ht="18" customHeight="1">
      <x:c r="B122" s="27" t="str">
        <x:v>A0116</x:v>
      </x:c>
      <x:c r="C122" s="27" t="str">
        <x:v>allocation</x:v>
      </x:c>
      <x:c r="D122" s="27" t="str">
        <x:v>Allocation K13 nonnegative</x:v>
      </x:c>
      <x:c r="E122" s="27" t="n">
        <x:f>IF('Allocation Build'!K13&gt;=0,1,0)</x:f>
        <x:v>1</x:v>
      </x:c>
      <x:c r="F122" s="27" t="n">
        <x:v>1</x:v>
      </x:c>
      <x:c r="G122" s="29" t="str">
        <x:f>IF(E122=F122,"PASS","FAIL")</x:f>
        <x:v>PASS</x:v>
      </x:c>
    </x:row>
    <x:row r="123" ht="18" customHeight="1">
      <x:c r="B123" s="27" t="str">
        <x:v>A0117</x:v>
      </x:c>
      <x:c r="C123" s="27" t="str">
        <x:v>allocation</x:v>
      </x:c>
      <x:c r="D123" s="27" t="str">
        <x:v>Allocation L13 nonnegative</x:v>
      </x:c>
      <x:c r="E123" s="27" t="n">
        <x:f>IF('Allocation Build'!L13&gt;=0,1,0)</x:f>
        <x:v>1</x:v>
      </x:c>
      <x:c r="F123" s="27" t="n">
        <x:v>1</x:v>
      </x:c>
      <x:c r="G123" s="29" t="str">
        <x:f>IF(E123=F123,"PASS","FAIL")</x:f>
        <x:v>PASS</x:v>
      </x:c>
    </x:row>
    <x:row r="124" ht="18" customHeight="1">
      <x:c r="B124" s="27" t="str">
        <x:v>A0118</x:v>
      </x:c>
      <x:c r="C124" s="27" t="str">
        <x:v>allocation</x:v>
      </x:c>
      <x:c r="D124" s="27" t="str">
        <x:v>Allocation row 13 state open</x:v>
      </x:c>
      <x:c r="E124" s="27" t="n">
        <x:f>IF('Allocation Build'!N13="OPEN",1,0)</x:f>
        <x:v>1</x:v>
      </x:c>
      <x:c r="F124" s="27" t="n">
        <x:v>1</x:v>
      </x:c>
      <x:c r="G124" s="29" t="str">
        <x:f>IF(E124=F124,"PASS","FAIL")</x:f>
        <x:v>PASS</x:v>
      </x:c>
    </x:row>
    <x:row r="125" ht="18" customHeight="1">
      <x:c r="B125" s="27" t="str">
        <x:v>A0119</x:v>
      </x:c>
      <x:c r="C125" s="27" t="str">
        <x:v>allocation</x:v>
      </x:c>
      <x:c r="D125" s="27" t="str">
        <x:v>Allocation E14 nonnegative</x:v>
      </x:c>
      <x:c r="E125" s="27" t="n">
        <x:f>IF('Allocation Build'!E14&gt;=0,1,0)</x:f>
        <x:v>1</x:v>
      </x:c>
      <x:c r="F125" s="27" t="n">
        <x:v>1</x:v>
      </x:c>
      <x:c r="G125" s="29" t="str">
        <x:f>IF(E125=F125,"PASS","FAIL")</x:f>
        <x:v>PASS</x:v>
      </x:c>
    </x:row>
    <x:row r="126" ht="18" customHeight="1">
      <x:c r="B126" s="27" t="str">
        <x:v>A0120</x:v>
      </x:c>
      <x:c r="C126" s="27" t="str">
        <x:v>allocation</x:v>
      </x:c>
      <x:c r="D126" s="27" t="str">
        <x:v>Allocation F14 nonnegative</x:v>
      </x:c>
      <x:c r="E126" s="27" t="n">
        <x:f>IF('Allocation Build'!F14&gt;=0,1,0)</x:f>
        <x:v>1</x:v>
      </x:c>
      <x:c r="F126" s="27" t="n">
        <x:v>1</x:v>
      </x:c>
      <x:c r="G126" s="29" t="str">
        <x:f>IF(E126=F126,"PASS","FAIL")</x:f>
        <x:v>PASS</x:v>
      </x:c>
    </x:row>
    <x:row r="127" ht="18" customHeight="1">
      <x:c r="B127" s="27" t="str">
        <x:v>A0121</x:v>
      </x:c>
      <x:c r="C127" s="27" t="str">
        <x:v>allocation</x:v>
      </x:c>
      <x:c r="D127" s="27" t="str">
        <x:v>Allocation G14 nonnegative</x:v>
      </x:c>
      <x:c r="E127" s="27" t="n">
        <x:f>IF('Allocation Build'!G14&gt;=0,1,0)</x:f>
        <x:v>1</x:v>
      </x:c>
      <x:c r="F127" s="27" t="n">
        <x:v>1</x:v>
      </x:c>
      <x:c r="G127" s="29" t="str">
        <x:f>IF(E127=F127,"PASS","FAIL")</x:f>
        <x:v>PASS</x:v>
      </x:c>
    </x:row>
    <x:row r="128" ht="18" customHeight="1">
      <x:c r="B128" s="27" t="str">
        <x:v>A0122</x:v>
      </x:c>
      <x:c r="C128" s="27" t="str">
        <x:v>allocation</x:v>
      </x:c>
      <x:c r="D128" s="27" t="str">
        <x:v>Allocation H14 nonnegative</x:v>
      </x:c>
      <x:c r="E128" s="27" t="n">
        <x:f>IF('Allocation Build'!H14&gt;=0,1,0)</x:f>
        <x:v>1</x:v>
      </x:c>
      <x:c r="F128" s="27" t="n">
        <x:v>1</x:v>
      </x:c>
      <x:c r="G128" s="29" t="str">
        <x:f>IF(E128=F128,"PASS","FAIL")</x:f>
        <x:v>PASS</x:v>
      </x:c>
    </x:row>
    <x:row r="129" ht="18" customHeight="1">
      <x:c r="B129" s="27" t="str">
        <x:v>A0123</x:v>
      </x:c>
      <x:c r="C129" s="27" t="str">
        <x:v>allocation</x:v>
      </x:c>
      <x:c r="D129" s="27" t="str">
        <x:v>Allocation I14 nonnegative</x:v>
      </x:c>
      <x:c r="E129" s="27" t="n">
        <x:f>IF('Allocation Build'!I14&gt;=0,1,0)</x:f>
        <x:v>1</x:v>
      </x:c>
      <x:c r="F129" s="27" t="n">
        <x:v>1</x:v>
      </x:c>
      <x:c r="G129" s="29" t="str">
        <x:f>IF(E129=F129,"PASS","FAIL")</x:f>
        <x:v>PASS</x:v>
      </x:c>
    </x:row>
    <x:row r="130" ht="18" customHeight="1">
      <x:c r="B130" s="27" t="str">
        <x:v>A0124</x:v>
      </x:c>
      <x:c r="C130" s="27" t="str">
        <x:v>allocation</x:v>
      </x:c>
      <x:c r="D130" s="27" t="str">
        <x:v>Allocation J14 nonnegative</x:v>
      </x:c>
      <x:c r="E130" s="27" t="n">
        <x:f>IF('Allocation Build'!J14&gt;=0,1,0)</x:f>
        <x:v>1</x:v>
      </x:c>
      <x:c r="F130" s="27" t="n">
        <x:v>1</x:v>
      </x:c>
      <x:c r="G130" s="29" t="str">
        <x:f>IF(E130=F130,"PASS","FAIL")</x:f>
        <x:v>PASS</x:v>
      </x:c>
    </x:row>
    <x:row r="131" ht="18" customHeight="1">
      <x:c r="B131" s="27" t="str">
        <x:v>A0125</x:v>
      </x:c>
      <x:c r="C131" s="27" t="str">
        <x:v>allocation</x:v>
      </x:c>
      <x:c r="D131" s="27" t="str">
        <x:v>Allocation K14 nonnegative</x:v>
      </x:c>
      <x:c r="E131" s="27" t="n">
        <x:f>IF('Allocation Build'!K14&gt;=0,1,0)</x:f>
        <x:v>1</x:v>
      </x:c>
      <x:c r="F131" s="27" t="n">
        <x:v>1</x:v>
      </x:c>
      <x:c r="G131" s="29" t="str">
        <x:f>IF(E131=F131,"PASS","FAIL")</x:f>
        <x:v>PASS</x:v>
      </x:c>
    </x:row>
    <x:row r="132" ht="18" customHeight="1">
      <x:c r="B132" s="27" t="str">
        <x:v>A0126</x:v>
      </x:c>
      <x:c r="C132" s="27" t="str">
        <x:v>allocation</x:v>
      </x:c>
      <x:c r="D132" s="27" t="str">
        <x:v>Allocation L14 nonnegative</x:v>
      </x:c>
      <x:c r="E132" s="27" t="n">
        <x:f>IF('Allocation Build'!L14&gt;=0,1,0)</x:f>
        <x:v>1</x:v>
      </x:c>
      <x:c r="F132" s="27" t="n">
        <x:v>1</x:v>
      </x:c>
      <x:c r="G132" s="29" t="str">
        <x:f>IF(E132=F132,"PASS","FAIL")</x:f>
        <x:v>PASS</x:v>
      </x:c>
    </x:row>
    <x:row r="133" ht="18" customHeight="1">
      <x:c r="B133" s="27" t="str">
        <x:v>A0127</x:v>
      </x:c>
      <x:c r="C133" s="27" t="str">
        <x:v>allocation</x:v>
      </x:c>
      <x:c r="D133" s="27" t="str">
        <x:v>Allocation row 14 state open</x:v>
      </x:c>
      <x:c r="E133" s="27" t="n">
        <x:f>IF('Allocation Build'!N14="OPEN",1,0)</x:f>
        <x:v>1</x:v>
      </x:c>
      <x:c r="F133" s="27" t="n">
        <x:v>1</x:v>
      </x:c>
      <x:c r="G133" s="29" t="str">
        <x:f>IF(E133=F133,"PASS","FAIL")</x:f>
        <x:v>PASS</x:v>
      </x:c>
    </x:row>
    <x:row r="134" ht="18" customHeight="1">
      <x:c r="B134" s="27" t="str">
        <x:v>A0128</x:v>
      </x:c>
      <x:c r="C134" s="27" t="str">
        <x:v>allocation</x:v>
      </x:c>
      <x:c r="D134" s="27" t="str">
        <x:v>Allocation E15 nonnegative</x:v>
      </x:c>
      <x:c r="E134" s="27" t="n">
        <x:f>IF('Allocation Build'!E15&gt;=0,1,0)</x:f>
        <x:v>1</x:v>
      </x:c>
      <x:c r="F134" s="27" t="n">
        <x:v>1</x:v>
      </x:c>
      <x:c r="G134" s="29" t="str">
        <x:f>IF(E134=F134,"PASS","FAIL")</x:f>
        <x:v>PASS</x:v>
      </x:c>
    </x:row>
    <x:row r="135" ht="18" customHeight="1">
      <x:c r="B135" s="27" t="str">
        <x:v>A0129</x:v>
      </x:c>
      <x:c r="C135" s="27" t="str">
        <x:v>allocation</x:v>
      </x:c>
      <x:c r="D135" s="27" t="str">
        <x:v>Allocation F15 nonnegative</x:v>
      </x:c>
      <x:c r="E135" s="27" t="n">
        <x:f>IF('Allocation Build'!F15&gt;=0,1,0)</x:f>
        <x:v>1</x:v>
      </x:c>
      <x:c r="F135" s="27" t="n">
        <x:v>1</x:v>
      </x:c>
      <x:c r="G135" s="29" t="str">
        <x:f>IF(E135=F135,"PASS","FAIL")</x:f>
        <x:v>PASS</x:v>
      </x:c>
    </x:row>
    <x:row r="136" ht="18" customHeight="1">
      <x:c r="B136" s="27" t="str">
        <x:v>A0130</x:v>
      </x:c>
      <x:c r="C136" s="27" t="str">
        <x:v>allocation</x:v>
      </x:c>
      <x:c r="D136" s="27" t="str">
        <x:v>Allocation G15 nonnegative</x:v>
      </x:c>
      <x:c r="E136" s="27" t="n">
        <x:f>IF('Allocation Build'!G15&gt;=0,1,0)</x:f>
        <x:v>1</x:v>
      </x:c>
      <x:c r="F136" s="27" t="n">
        <x:v>1</x:v>
      </x:c>
      <x:c r="G136" s="29" t="str">
        <x:f>IF(E136=F136,"PASS","FAIL")</x:f>
        <x:v>PASS</x:v>
      </x:c>
    </x:row>
    <x:row r="137" ht="18" customHeight="1">
      <x:c r="B137" s="27" t="str">
        <x:v>A0131</x:v>
      </x:c>
      <x:c r="C137" s="27" t="str">
        <x:v>allocation</x:v>
      </x:c>
      <x:c r="D137" s="27" t="str">
        <x:v>Allocation H15 nonnegative</x:v>
      </x:c>
      <x:c r="E137" s="27" t="n">
        <x:f>IF('Allocation Build'!H15&gt;=0,1,0)</x:f>
        <x:v>1</x:v>
      </x:c>
      <x:c r="F137" s="27" t="n">
        <x:v>1</x:v>
      </x:c>
      <x:c r="G137" s="29" t="str">
        <x:f>IF(E137=F137,"PASS","FAIL")</x:f>
        <x:v>PASS</x:v>
      </x:c>
    </x:row>
    <x:row r="138" ht="18" customHeight="1">
      <x:c r="B138" s="27" t="str">
        <x:v>A0132</x:v>
      </x:c>
      <x:c r="C138" s="27" t="str">
        <x:v>allocation</x:v>
      </x:c>
      <x:c r="D138" s="27" t="str">
        <x:v>Allocation I15 nonnegative</x:v>
      </x:c>
      <x:c r="E138" s="27" t="n">
        <x:f>IF('Allocation Build'!I15&gt;=0,1,0)</x:f>
        <x:v>1</x:v>
      </x:c>
      <x:c r="F138" s="27" t="n">
        <x:v>1</x:v>
      </x:c>
      <x:c r="G138" s="29" t="str">
        <x:f>IF(E138=F138,"PASS","FAIL")</x:f>
        <x:v>PASS</x:v>
      </x:c>
    </x:row>
    <x:row r="139" ht="18" customHeight="1">
      <x:c r="B139" s="27" t="str">
        <x:v>A0133</x:v>
      </x:c>
      <x:c r="C139" s="27" t="str">
        <x:v>allocation</x:v>
      </x:c>
      <x:c r="D139" s="27" t="str">
        <x:v>Allocation J15 nonnegative</x:v>
      </x:c>
      <x:c r="E139" s="27" t="n">
        <x:f>IF('Allocation Build'!J15&gt;=0,1,0)</x:f>
        <x:v>1</x:v>
      </x:c>
      <x:c r="F139" s="27" t="n">
        <x:v>1</x:v>
      </x:c>
      <x:c r="G139" s="29" t="str">
        <x:f>IF(E139=F139,"PASS","FAIL")</x:f>
        <x:v>PASS</x:v>
      </x:c>
    </x:row>
    <x:row r="140" ht="18" customHeight="1">
      <x:c r="B140" s="27" t="str">
        <x:v>A0134</x:v>
      </x:c>
      <x:c r="C140" s="27" t="str">
        <x:v>allocation</x:v>
      </x:c>
      <x:c r="D140" s="27" t="str">
        <x:v>Allocation K15 nonnegative</x:v>
      </x:c>
      <x:c r="E140" s="27" t="n">
        <x:f>IF('Allocation Build'!K15&gt;=0,1,0)</x:f>
        <x:v>1</x:v>
      </x:c>
      <x:c r="F140" s="27" t="n">
        <x:v>1</x:v>
      </x:c>
      <x:c r="G140" s="29" t="str">
        <x:f>IF(E140=F140,"PASS","FAIL")</x:f>
        <x:v>PASS</x:v>
      </x:c>
    </x:row>
    <x:row r="141" ht="18" customHeight="1">
      <x:c r="B141" s="27" t="str">
        <x:v>A0135</x:v>
      </x:c>
      <x:c r="C141" s="27" t="str">
        <x:v>allocation</x:v>
      </x:c>
      <x:c r="D141" s="27" t="str">
        <x:v>Allocation L15 nonnegative</x:v>
      </x:c>
      <x:c r="E141" s="27" t="n">
        <x:f>IF('Allocation Build'!L15&gt;=0,1,0)</x:f>
        <x:v>1</x:v>
      </x:c>
      <x:c r="F141" s="27" t="n">
        <x:v>1</x:v>
      </x:c>
      <x:c r="G141" s="29" t="str">
        <x:f>IF(E141=F141,"PASS","FAIL")</x:f>
        <x:v>PASS</x:v>
      </x:c>
    </x:row>
    <x:row r="142" ht="18" customHeight="1">
      <x:c r="B142" s="27" t="str">
        <x:v>A0136</x:v>
      </x:c>
      <x:c r="C142" s="27" t="str">
        <x:v>allocation</x:v>
      </x:c>
      <x:c r="D142" s="27" t="str">
        <x:v>Allocation row 15 state open</x:v>
      </x:c>
      <x:c r="E142" s="27" t="n">
        <x:f>IF('Allocation Build'!N15="OPEN",1,0)</x:f>
        <x:v>1</x:v>
      </x:c>
      <x:c r="F142" s="27" t="n">
        <x:v>1</x:v>
      </x:c>
      <x:c r="G142" s="29" t="str">
        <x:f>IF(E142=F142,"PASS","FAIL")</x:f>
        <x:v>PASS</x:v>
      </x:c>
    </x:row>
    <x:row r="143" ht="18" customHeight="1">
      <x:c r="B143" s="27" t="str">
        <x:v>A0137</x:v>
      </x:c>
      <x:c r="C143" s="27" t="str">
        <x:v>allocation</x:v>
      </x:c>
      <x:c r="D143" s="27" t="str">
        <x:v>Allocation E16 nonnegative</x:v>
      </x:c>
      <x:c r="E143" s="27" t="n">
        <x:f>IF('Allocation Build'!E16&gt;=0,1,0)</x:f>
        <x:v>1</x:v>
      </x:c>
      <x:c r="F143" s="27" t="n">
        <x:v>1</x:v>
      </x:c>
      <x:c r="G143" s="29" t="str">
        <x:f>IF(E143=F143,"PASS","FAIL")</x:f>
        <x:v>PASS</x:v>
      </x:c>
    </x:row>
    <x:row r="144" ht="18" customHeight="1">
      <x:c r="B144" s="27" t="str">
        <x:v>A0138</x:v>
      </x:c>
      <x:c r="C144" s="27" t="str">
        <x:v>allocation</x:v>
      </x:c>
      <x:c r="D144" s="27" t="str">
        <x:v>Allocation F16 nonnegative</x:v>
      </x:c>
      <x:c r="E144" s="27" t="n">
        <x:f>IF('Allocation Build'!F16&gt;=0,1,0)</x:f>
        <x:v>1</x:v>
      </x:c>
      <x:c r="F144" s="27" t="n">
        <x:v>1</x:v>
      </x:c>
      <x:c r="G144" s="29" t="str">
        <x:f>IF(E144=F144,"PASS","FAIL")</x:f>
        <x:v>PASS</x:v>
      </x:c>
    </x:row>
    <x:row r="145" ht="18" customHeight="1">
      <x:c r="B145" s="27" t="str">
        <x:v>A0139</x:v>
      </x:c>
      <x:c r="C145" s="27" t="str">
        <x:v>allocation</x:v>
      </x:c>
      <x:c r="D145" s="27" t="str">
        <x:v>Allocation G16 nonnegative</x:v>
      </x:c>
      <x:c r="E145" s="27" t="n">
        <x:f>IF('Allocation Build'!G16&gt;=0,1,0)</x:f>
        <x:v>1</x:v>
      </x:c>
      <x:c r="F145" s="27" t="n">
        <x:v>1</x:v>
      </x:c>
      <x:c r="G145" s="29" t="str">
        <x:f>IF(E145=F145,"PASS","FAIL")</x:f>
        <x:v>PASS</x:v>
      </x:c>
    </x:row>
    <x:row r="146" ht="18" customHeight="1">
      <x:c r="B146" s="27" t="str">
        <x:v>A0140</x:v>
      </x:c>
      <x:c r="C146" s="27" t="str">
        <x:v>allocation</x:v>
      </x:c>
      <x:c r="D146" s="27" t="str">
        <x:v>Allocation H16 nonnegative</x:v>
      </x:c>
      <x:c r="E146" s="27" t="n">
        <x:f>IF('Allocation Build'!H16&gt;=0,1,0)</x:f>
        <x:v>1</x:v>
      </x:c>
      <x:c r="F146" s="27" t="n">
        <x:v>1</x:v>
      </x:c>
      <x:c r="G146" s="29" t="str">
        <x:f>IF(E146=F146,"PASS","FAIL")</x:f>
        <x:v>PASS</x:v>
      </x:c>
    </x:row>
    <x:row r="147" ht="18" customHeight="1">
      <x:c r="B147" s="27" t="str">
        <x:v>A0141</x:v>
      </x:c>
      <x:c r="C147" s="27" t="str">
        <x:v>allocation</x:v>
      </x:c>
      <x:c r="D147" s="27" t="str">
        <x:v>Allocation I16 nonnegative</x:v>
      </x:c>
      <x:c r="E147" s="27" t="n">
        <x:f>IF('Allocation Build'!I16&gt;=0,1,0)</x:f>
        <x:v>1</x:v>
      </x:c>
      <x:c r="F147" s="27" t="n">
        <x:v>1</x:v>
      </x:c>
      <x:c r="G147" s="29" t="str">
        <x:f>IF(E147=F147,"PASS","FAIL")</x:f>
        <x:v>PASS</x:v>
      </x:c>
    </x:row>
    <x:row r="148" ht="18" customHeight="1">
      <x:c r="B148" s="27" t="str">
        <x:v>A0142</x:v>
      </x:c>
      <x:c r="C148" s="27" t="str">
        <x:v>allocation</x:v>
      </x:c>
      <x:c r="D148" s="27" t="str">
        <x:v>Allocation J16 nonnegative</x:v>
      </x:c>
      <x:c r="E148" s="27" t="n">
        <x:f>IF('Allocation Build'!J16&gt;=0,1,0)</x:f>
        <x:v>1</x:v>
      </x:c>
      <x:c r="F148" s="27" t="n">
        <x:v>1</x:v>
      </x:c>
      <x:c r="G148" s="29" t="str">
        <x:f>IF(E148=F148,"PASS","FAIL")</x:f>
        <x:v>PASS</x:v>
      </x:c>
    </x:row>
    <x:row r="149" ht="18" customHeight="1">
      <x:c r="B149" s="27" t="str">
        <x:v>A0143</x:v>
      </x:c>
      <x:c r="C149" s="27" t="str">
        <x:v>allocation</x:v>
      </x:c>
      <x:c r="D149" s="27" t="str">
        <x:v>Allocation K16 nonnegative</x:v>
      </x:c>
      <x:c r="E149" s="27" t="n">
        <x:f>IF('Allocation Build'!K16&gt;=0,1,0)</x:f>
        <x:v>1</x:v>
      </x:c>
      <x:c r="F149" s="27" t="n">
        <x:v>1</x:v>
      </x:c>
      <x:c r="G149" s="29" t="str">
        <x:f>IF(E149=F149,"PASS","FAIL")</x:f>
        <x:v>PASS</x:v>
      </x:c>
    </x:row>
    <x:row r="150" ht="18" customHeight="1">
      <x:c r="B150" s="27" t="str">
        <x:v>A0144</x:v>
      </x:c>
      <x:c r="C150" s="27" t="str">
        <x:v>allocation</x:v>
      </x:c>
      <x:c r="D150" s="27" t="str">
        <x:v>Allocation L16 nonnegative</x:v>
      </x:c>
      <x:c r="E150" s="27" t="n">
        <x:f>IF('Allocation Build'!L16&gt;=0,1,0)</x:f>
        <x:v>1</x:v>
      </x:c>
      <x:c r="F150" s="27" t="n">
        <x:v>1</x:v>
      </x:c>
      <x:c r="G150" s="29" t="str">
        <x:f>IF(E150=F150,"PASS","FAIL")</x:f>
        <x:v>PASS</x:v>
      </x:c>
    </x:row>
    <x:row r="151" ht="18" customHeight="1">
      <x:c r="B151" s="27" t="str">
        <x:v>A0145</x:v>
      </x:c>
      <x:c r="C151" s="27" t="str">
        <x:v>allocation</x:v>
      </x:c>
      <x:c r="D151" s="27" t="str">
        <x:v>Allocation row 16 state open</x:v>
      </x:c>
      <x:c r="E151" s="27" t="n">
        <x:f>IF('Allocation Build'!N16="OPEN",1,0)</x:f>
        <x:v>1</x:v>
      </x:c>
      <x:c r="F151" s="27" t="n">
        <x:v>1</x:v>
      </x:c>
      <x:c r="G151" s="29" t="str">
        <x:f>IF(E151=F151,"PASS","FAIL")</x:f>
        <x:v>PASS</x:v>
      </x:c>
    </x:row>
    <x:row r="152" ht="18" customHeight="1">
      <x:c r="B152" s="27" t="str">
        <x:v>A0146</x:v>
      </x:c>
      <x:c r="C152" s="27" t="str">
        <x:v>allocation</x:v>
      </x:c>
      <x:c r="D152" s="27" t="str">
        <x:v>Allocation E17 nonnegative</x:v>
      </x:c>
      <x:c r="E152" s="27" t="n">
        <x:f>IF('Allocation Build'!E17&gt;=0,1,0)</x:f>
        <x:v>1</x:v>
      </x:c>
      <x:c r="F152" s="27" t="n">
        <x:v>1</x:v>
      </x:c>
      <x:c r="G152" s="29" t="str">
        <x:f>IF(E152=F152,"PASS","FAIL")</x:f>
        <x:v>PASS</x:v>
      </x:c>
    </x:row>
    <x:row r="153" ht="18" customHeight="1">
      <x:c r="B153" s="27" t="str">
        <x:v>A0147</x:v>
      </x:c>
      <x:c r="C153" s="27" t="str">
        <x:v>allocation</x:v>
      </x:c>
      <x:c r="D153" s="27" t="str">
        <x:v>Allocation F17 nonnegative</x:v>
      </x:c>
      <x:c r="E153" s="27" t="n">
        <x:f>IF('Allocation Build'!F17&gt;=0,1,0)</x:f>
        <x:v>1</x:v>
      </x:c>
      <x:c r="F153" s="27" t="n">
        <x:v>1</x:v>
      </x:c>
      <x:c r="G153" s="29" t="str">
        <x:f>IF(E153=F153,"PASS","FAIL")</x:f>
        <x:v>PASS</x:v>
      </x:c>
    </x:row>
    <x:row r="154" ht="18" customHeight="1">
      <x:c r="B154" s="27" t="str">
        <x:v>A0148</x:v>
      </x:c>
      <x:c r="C154" s="27" t="str">
        <x:v>allocation</x:v>
      </x:c>
      <x:c r="D154" s="27" t="str">
        <x:v>Allocation G17 nonnegative</x:v>
      </x:c>
      <x:c r="E154" s="27" t="n">
        <x:f>IF('Allocation Build'!G17&gt;=0,1,0)</x:f>
        <x:v>1</x:v>
      </x:c>
      <x:c r="F154" s="27" t="n">
        <x:v>1</x:v>
      </x:c>
      <x:c r="G154" s="29" t="str">
        <x:f>IF(E154=F154,"PASS","FAIL")</x:f>
        <x:v>PASS</x:v>
      </x:c>
    </x:row>
    <x:row r="155" ht="18" customHeight="1">
      <x:c r="B155" s="27" t="str">
        <x:v>A0149</x:v>
      </x:c>
      <x:c r="C155" s="27" t="str">
        <x:v>allocation</x:v>
      </x:c>
      <x:c r="D155" s="27" t="str">
        <x:v>Allocation H17 nonnegative</x:v>
      </x:c>
      <x:c r="E155" s="27" t="n">
        <x:f>IF('Allocation Build'!H17&gt;=0,1,0)</x:f>
        <x:v>1</x:v>
      </x:c>
      <x:c r="F155" s="27" t="n">
        <x:v>1</x:v>
      </x:c>
      <x:c r="G155" s="29" t="str">
        <x:f>IF(E155=F155,"PASS","FAIL")</x:f>
        <x:v>PASS</x:v>
      </x:c>
    </x:row>
    <x:row r="156" ht="18" customHeight="1">
      <x:c r="B156" s="27" t="str">
        <x:v>A0150</x:v>
      </x:c>
      <x:c r="C156" s="27" t="str">
        <x:v>allocation</x:v>
      </x:c>
      <x:c r="D156" s="27" t="str">
        <x:v>Allocation I17 nonnegative</x:v>
      </x:c>
      <x:c r="E156" s="27" t="n">
        <x:f>IF('Allocation Build'!I17&gt;=0,1,0)</x:f>
        <x:v>1</x:v>
      </x:c>
      <x:c r="F156" s="27" t="n">
        <x:v>1</x:v>
      </x:c>
      <x:c r="G156" s="29" t="str">
        <x:f>IF(E156=F156,"PASS","FAIL")</x:f>
        <x:v>PASS</x:v>
      </x:c>
    </x:row>
    <x:row r="157" ht="18" customHeight="1">
      <x:c r="B157" s="27" t="str">
        <x:v>A0151</x:v>
      </x:c>
      <x:c r="C157" s="27" t="str">
        <x:v>allocation</x:v>
      </x:c>
      <x:c r="D157" s="27" t="str">
        <x:v>Allocation J17 nonnegative</x:v>
      </x:c>
      <x:c r="E157" s="27" t="n">
        <x:f>IF('Allocation Build'!J17&gt;=0,1,0)</x:f>
        <x:v>1</x:v>
      </x:c>
      <x:c r="F157" s="27" t="n">
        <x:v>1</x:v>
      </x:c>
      <x:c r="G157" s="29" t="str">
        <x:f>IF(E157=F157,"PASS","FAIL")</x:f>
        <x:v>PASS</x:v>
      </x:c>
    </x:row>
    <x:row r="158" ht="18" customHeight="1">
      <x:c r="B158" s="27" t="str">
        <x:v>A0152</x:v>
      </x:c>
      <x:c r="C158" s="27" t="str">
        <x:v>allocation</x:v>
      </x:c>
      <x:c r="D158" s="27" t="str">
        <x:v>Allocation K17 nonnegative</x:v>
      </x:c>
      <x:c r="E158" s="27" t="n">
        <x:f>IF('Allocation Build'!K17&gt;=0,1,0)</x:f>
        <x:v>1</x:v>
      </x:c>
      <x:c r="F158" s="27" t="n">
        <x:v>1</x:v>
      </x:c>
      <x:c r="G158" s="29" t="str">
        <x:f>IF(E158=F158,"PASS","FAIL")</x:f>
        <x:v>PASS</x:v>
      </x:c>
    </x:row>
    <x:row r="159" ht="18" customHeight="1">
      <x:c r="B159" s="27" t="str">
        <x:v>A0153</x:v>
      </x:c>
      <x:c r="C159" s="27" t="str">
        <x:v>allocation</x:v>
      </x:c>
      <x:c r="D159" s="27" t="str">
        <x:v>Allocation L17 nonnegative</x:v>
      </x:c>
      <x:c r="E159" s="27" t="n">
        <x:f>IF('Allocation Build'!L17&gt;=0,1,0)</x:f>
        <x:v>1</x:v>
      </x:c>
      <x:c r="F159" s="27" t="n">
        <x:v>1</x:v>
      </x:c>
      <x:c r="G159" s="29" t="str">
        <x:f>IF(E159=F159,"PASS","FAIL")</x:f>
        <x:v>PASS</x:v>
      </x:c>
    </x:row>
    <x:row r="160" ht="18" customHeight="1">
      <x:c r="B160" s="27" t="str">
        <x:v>A0154</x:v>
      </x:c>
      <x:c r="C160" s="27" t="str">
        <x:v>allocation</x:v>
      </x:c>
      <x:c r="D160" s="27" t="str">
        <x:v>Allocation row 17 state open</x:v>
      </x:c>
      <x:c r="E160" s="27" t="n">
        <x:f>IF('Allocation Build'!N17="OPEN",1,0)</x:f>
        <x:v>1</x:v>
      </x:c>
      <x:c r="F160" s="27" t="n">
        <x:v>1</x:v>
      </x:c>
      <x:c r="G160" s="29" t="str">
        <x:f>IF(E160=F160,"PASS","FAIL")</x:f>
        <x:v>PASS</x:v>
      </x:c>
    </x:row>
    <x:row r="161" ht="18" customHeight="1">
      <x:c r="B161" s="27" t="str">
        <x:v>A0155</x:v>
      </x:c>
      <x:c r="C161" s="27" t="str">
        <x:v>allocation</x:v>
      </x:c>
      <x:c r="D161" s="27" t="str">
        <x:v>Allocation E18 nonnegative</x:v>
      </x:c>
      <x:c r="E161" s="27" t="n">
        <x:f>IF('Allocation Build'!E18&gt;=0,1,0)</x:f>
        <x:v>1</x:v>
      </x:c>
      <x:c r="F161" s="27" t="n">
        <x:v>1</x:v>
      </x:c>
      <x:c r="G161" s="29" t="str">
        <x:f>IF(E161=F161,"PASS","FAIL")</x:f>
        <x:v>PASS</x:v>
      </x:c>
    </x:row>
    <x:row r="162" ht="18" customHeight="1">
      <x:c r="B162" s="27" t="str">
        <x:v>A0156</x:v>
      </x:c>
      <x:c r="C162" s="27" t="str">
        <x:v>allocation</x:v>
      </x:c>
      <x:c r="D162" s="27" t="str">
        <x:v>Allocation F18 nonnegative</x:v>
      </x:c>
      <x:c r="E162" s="27" t="n">
        <x:f>IF('Allocation Build'!F18&gt;=0,1,0)</x:f>
        <x:v>1</x:v>
      </x:c>
      <x:c r="F162" s="27" t="n">
        <x:v>1</x:v>
      </x:c>
      <x:c r="G162" s="29" t="str">
        <x:f>IF(E162=F162,"PASS","FAIL")</x:f>
        <x:v>PASS</x:v>
      </x:c>
    </x:row>
    <x:row r="163" ht="18" customHeight="1">
      <x:c r="B163" s="27" t="str">
        <x:v>A0157</x:v>
      </x:c>
      <x:c r="C163" s="27" t="str">
        <x:v>allocation</x:v>
      </x:c>
      <x:c r="D163" s="27" t="str">
        <x:v>Allocation G18 nonnegative</x:v>
      </x:c>
      <x:c r="E163" s="27" t="n">
        <x:f>IF('Allocation Build'!G18&gt;=0,1,0)</x:f>
        <x:v>1</x:v>
      </x:c>
      <x:c r="F163" s="27" t="n">
        <x:v>1</x:v>
      </x:c>
      <x:c r="G163" s="29" t="str">
        <x:f>IF(E163=F163,"PASS","FAIL")</x:f>
        <x:v>PASS</x:v>
      </x:c>
    </x:row>
    <x:row r="164" ht="18" customHeight="1">
      <x:c r="B164" s="27" t="str">
        <x:v>A0158</x:v>
      </x:c>
      <x:c r="C164" s="27" t="str">
        <x:v>allocation</x:v>
      </x:c>
      <x:c r="D164" s="27" t="str">
        <x:v>Allocation H18 nonnegative</x:v>
      </x:c>
      <x:c r="E164" s="27" t="n">
        <x:f>IF('Allocation Build'!H18&gt;=0,1,0)</x:f>
        <x:v>1</x:v>
      </x:c>
      <x:c r="F164" s="27" t="n">
        <x:v>1</x:v>
      </x:c>
      <x:c r="G164" s="29" t="str">
        <x:f>IF(E164=F164,"PASS","FAIL")</x:f>
        <x:v>PASS</x:v>
      </x:c>
    </x:row>
    <x:row r="165" ht="18" customHeight="1">
      <x:c r="B165" s="27" t="str">
        <x:v>A0159</x:v>
      </x:c>
      <x:c r="C165" s="27" t="str">
        <x:v>allocation</x:v>
      </x:c>
      <x:c r="D165" s="27" t="str">
        <x:v>Allocation I18 nonnegative</x:v>
      </x:c>
      <x:c r="E165" s="27" t="n">
        <x:f>IF('Allocation Build'!I18&gt;=0,1,0)</x:f>
        <x:v>1</x:v>
      </x:c>
      <x:c r="F165" s="27" t="n">
        <x:v>1</x:v>
      </x:c>
      <x:c r="G165" s="29" t="str">
        <x:f>IF(E165=F165,"PASS","FAIL")</x:f>
        <x:v>PASS</x:v>
      </x:c>
    </x:row>
    <x:row r="166" ht="18" customHeight="1">
      <x:c r="B166" s="27" t="str">
        <x:v>A0160</x:v>
      </x:c>
      <x:c r="C166" s="27" t="str">
        <x:v>allocation</x:v>
      </x:c>
      <x:c r="D166" s="27" t="str">
        <x:v>Allocation J18 nonnegative</x:v>
      </x:c>
      <x:c r="E166" s="27" t="n">
        <x:f>IF('Allocation Build'!J18&gt;=0,1,0)</x:f>
        <x:v>1</x:v>
      </x:c>
      <x:c r="F166" s="27" t="n">
        <x:v>1</x:v>
      </x:c>
      <x:c r="G166" s="29" t="str">
        <x:f>IF(E166=F166,"PASS","FAIL")</x:f>
        <x:v>PASS</x:v>
      </x:c>
    </x:row>
    <x:row r="167" ht="18" customHeight="1">
      <x:c r="B167" s="27" t="str">
        <x:v>A0161</x:v>
      </x:c>
      <x:c r="C167" s="27" t="str">
        <x:v>allocation</x:v>
      </x:c>
      <x:c r="D167" s="27" t="str">
        <x:v>Allocation K18 nonnegative</x:v>
      </x:c>
      <x:c r="E167" s="27" t="n">
        <x:f>IF('Allocation Build'!K18&gt;=0,1,0)</x:f>
        <x:v>1</x:v>
      </x:c>
      <x:c r="F167" s="27" t="n">
        <x:v>1</x:v>
      </x:c>
      <x:c r="G167" s="29" t="str">
        <x:f>IF(E167=F167,"PASS","FAIL")</x:f>
        <x:v>PASS</x:v>
      </x:c>
    </x:row>
    <x:row r="168" ht="18" customHeight="1">
      <x:c r="B168" s="27" t="str">
        <x:v>A0162</x:v>
      </x:c>
      <x:c r="C168" s="27" t="str">
        <x:v>allocation</x:v>
      </x:c>
      <x:c r="D168" s="27" t="str">
        <x:v>Allocation L18 nonnegative</x:v>
      </x:c>
      <x:c r="E168" s="27" t="n">
        <x:f>IF('Allocation Build'!L18&gt;=0,1,0)</x:f>
        <x:v>1</x:v>
      </x:c>
      <x:c r="F168" s="27" t="n">
        <x:v>1</x:v>
      </x:c>
      <x:c r="G168" s="29" t="str">
        <x:f>IF(E168=F168,"PASS","FAIL")</x:f>
        <x:v>PASS</x:v>
      </x:c>
    </x:row>
    <x:row r="169" ht="18" customHeight="1">
      <x:c r="B169" s="27" t="str">
        <x:v>A0163</x:v>
      </x:c>
      <x:c r="C169" s="27" t="str">
        <x:v>allocation</x:v>
      </x:c>
      <x:c r="D169" s="27" t="str">
        <x:v>Allocation row 18 state open</x:v>
      </x:c>
      <x:c r="E169" s="27" t="n">
        <x:f>IF('Allocation Build'!N18="OPEN",1,0)</x:f>
        <x:v>1</x:v>
      </x:c>
      <x:c r="F169" s="27" t="n">
        <x:v>1</x:v>
      </x:c>
      <x:c r="G169" s="29" t="str">
        <x:f>IF(E169=F169,"PASS","FAIL")</x:f>
        <x:v>PASS</x:v>
      </x:c>
    </x:row>
    <x:row r="170" ht="18" customHeight="1">
      <x:c r="B170" s="27" t="str">
        <x:v>A0164</x:v>
      </x:c>
      <x:c r="C170" s="27" t="str">
        <x:v>allocation</x:v>
      </x:c>
      <x:c r="D170" s="27" t="str">
        <x:v>Allocation E19 nonnegative</x:v>
      </x:c>
      <x:c r="E170" s="27" t="n">
        <x:f>IF('Allocation Build'!E19&gt;=0,1,0)</x:f>
        <x:v>1</x:v>
      </x:c>
      <x:c r="F170" s="27" t="n">
        <x:v>1</x:v>
      </x:c>
      <x:c r="G170" s="29" t="str">
        <x:f>IF(E170=F170,"PASS","FAIL")</x:f>
        <x:v>PASS</x:v>
      </x:c>
    </x:row>
    <x:row r="171" ht="18" customHeight="1">
      <x:c r="B171" s="27" t="str">
        <x:v>A0165</x:v>
      </x:c>
      <x:c r="C171" s="27" t="str">
        <x:v>allocation</x:v>
      </x:c>
      <x:c r="D171" s="27" t="str">
        <x:v>Allocation F19 nonnegative</x:v>
      </x:c>
      <x:c r="E171" s="27" t="n">
        <x:f>IF('Allocation Build'!F19&gt;=0,1,0)</x:f>
        <x:v>1</x:v>
      </x:c>
      <x:c r="F171" s="27" t="n">
        <x:v>1</x:v>
      </x:c>
      <x:c r="G171" s="29" t="str">
        <x:f>IF(E171=F171,"PASS","FAIL")</x:f>
        <x:v>PASS</x:v>
      </x:c>
    </x:row>
    <x:row r="172" ht="18" customHeight="1">
      <x:c r="B172" s="27" t="str">
        <x:v>A0166</x:v>
      </x:c>
      <x:c r="C172" s="27" t="str">
        <x:v>allocation</x:v>
      </x:c>
      <x:c r="D172" s="27" t="str">
        <x:v>Allocation G19 nonnegative</x:v>
      </x:c>
      <x:c r="E172" s="27" t="n">
        <x:f>IF('Allocation Build'!G19&gt;=0,1,0)</x:f>
        <x:v>1</x:v>
      </x:c>
      <x:c r="F172" s="27" t="n">
        <x:v>1</x:v>
      </x:c>
      <x:c r="G172" s="29" t="str">
        <x:f>IF(E172=F172,"PASS","FAIL")</x:f>
        <x:v>PASS</x:v>
      </x:c>
    </x:row>
    <x:row r="173" ht="18" customHeight="1">
      <x:c r="B173" s="27" t="str">
        <x:v>A0167</x:v>
      </x:c>
      <x:c r="C173" s="27" t="str">
        <x:v>allocation</x:v>
      </x:c>
      <x:c r="D173" s="27" t="str">
        <x:v>Allocation H19 nonnegative</x:v>
      </x:c>
      <x:c r="E173" s="27" t="n">
        <x:f>IF('Allocation Build'!H19&gt;=0,1,0)</x:f>
        <x:v>1</x:v>
      </x:c>
      <x:c r="F173" s="27" t="n">
        <x:v>1</x:v>
      </x:c>
      <x:c r="G173" s="29" t="str">
        <x:f>IF(E173=F173,"PASS","FAIL")</x:f>
        <x:v>PASS</x:v>
      </x:c>
    </x:row>
    <x:row r="174" ht="18" customHeight="1">
      <x:c r="B174" s="27" t="str">
        <x:v>A0168</x:v>
      </x:c>
      <x:c r="C174" s="27" t="str">
        <x:v>allocation</x:v>
      </x:c>
      <x:c r="D174" s="27" t="str">
        <x:v>Allocation I19 nonnegative</x:v>
      </x:c>
      <x:c r="E174" s="27" t="n">
        <x:f>IF('Allocation Build'!I19&gt;=0,1,0)</x:f>
        <x:v>1</x:v>
      </x:c>
      <x:c r="F174" s="27" t="n">
        <x:v>1</x:v>
      </x:c>
      <x:c r="G174" s="29" t="str">
        <x:f>IF(E174=F174,"PASS","FAIL")</x:f>
        <x:v>PASS</x:v>
      </x:c>
    </x:row>
    <x:row r="175" ht="18" customHeight="1">
      <x:c r="B175" s="27" t="str">
        <x:v>A0169</x:v>
      </x:c>
      <x:c r="C175" s="27" t="str">
        <x:v>allocation</x:v>
      </x:c>
      <x:c r="D175" s="27" t="str">
        <x:v>Allocation J19 nonnegative</x:v>
      </x:c>
      <x:c r="E175" s="27" t="n">
        <x:f>IF('Allocation Build'!J19&gt;=0,1,0)</x:f>
        <x:v>1</x:v>
      </x:c>
      <x:c r="F175" s="27" t="n">
        <x:v>1</x:v>
      </x:c>
      <x:c r="G175" s="29" t="str">
        <x:f>IF(E175=F175,"PASS","FAIL")</x:f>
        <x:v>PASS</x:v>
      </x:c>
    </x:row>
    <x:row r="176" ht="18" customHeight="1">
      <x:c r="B176" s="27" t="str">
        <x:v>A0170</x:v>
      </x:c>
      <x:c r="C176" s="27" t="str">
        <x:v>allocation</x:v>
      </x:c>
      <x:c r="D176" s="27" t="str">
        <x:v>Allocation K19 nonnegative</x:v>
      </x:c>
      <x:c r="E176" s="27" t="n">
        <x:f>IF('Allocation Build'!K19&gt;=0,1,0)</x:f>
        <x:v>1</x:v>
      </x:c>
      <x:c r="F176" s="27" t="n">
        <x:v>1</x:v>
      </x:c>
      <x:c r="G176" s="29" t="str">
        <x:f>IF(E176=F176,"PASS","FAIL")</x:f>
        <x:v>PASS</x:v>
      </x:c>
    </x:row>
    <x:row r="177" ht="18" customHeight="1">
      <x:c r="B177" s="27" t="str">
        <x:v>A0171</x:v>
      </x:c>
      <x:c r="C177" s="27" t="str">
        <x:v>allocation</x:v>
      </x:c>
      <x:c r="D177" s="27" t="str">
        <x:v>Allocation L19 nonnegative</x:v>
      </x:c>
      <x:c r="E177" s="27" t="n">
        <x:f>IF('Allocation Build'!L19&gt;=0,1,0)</x:f>
        <x:v>1</x:v>
      </x:c>
      <x:c r="F177" s="27" t="n">
        <x:v>1</x:v>
      </x:c>
      <x:c r="G177" s="29" t="str">
        <x:f>IF(E177=F177,"PASS","FAIL")</x:f>
        <x:v>PASS</x:v>
      </x:c>
    </x:row>
    <x:row r="178" ht="18" customHeight="1">
      <x:c r="B178" s="27" t="str">
        <x:v>A0172</x:v>
      </x:c>
      <x:c r="C178" s="27" t="str">
        <x:v>allocation</x:v>
      </x:c>
      <x:c r="D178" s="27" t="str">
        <x:v>Allocation row 19 state open</x:v>
      </x:c>
      <x:c r="E178" s="27" t="n">
        <x:f>IF('Allocation Build'!N19="OPEN",1,0)</x:f>
        <x:v>1</x:v>
      </x:c>
      <x:c r="F178" s="27" t="n">
        <x:v>1</x:v>
      </x:c>
      <x:c r="G178" s="29" t="str">
        <x:f>IF(E178=F178,"PASS","FAIL")</x:f>
        <x:v>PASS</x:v>
      </x:c>
    </x:row>
    <x:row r="179" ht="18" customHeight="1">
      <x:c r="B179" s="27" t="str">
        <x:v>A0173</x:v>
      </x:c>
      <x:c r="C179" s="27" t="str">
        <x:v>allocation</x:v>
      </x:c>
      <x:c r="D179" s="27" t="str">
        <x:v>Allocation E20 nonnegative</x:v>
      </x:c>
      <x:c r="E179" s="27" t="n">
        <x:f>IF('Allocation Build'!E20&gt;=0,1,0)</x:f>
        <x:v>1</x:v>
      </x:c>
      <x:c r="F179" s="27" t="n">
        <x:v>1</x:v>
      </x:c>
      <x:c r="G179" s="29" t="str">
        <x:f>IF(E179=F179,"PASS","FAIL")</x:f>
        <x:v>PASS</x:v>
      </x:c>
    </x:row>
    <x:row r="180" ht="18" customHeight="1">
      <x:c r="B180" s="27" t="str">
        <x:v>A0174</x:v>
      </x:c>
      <x:c r="C180" s="27" t="str">
        <x:v>allocation</x:v>
      </x:c>
      <x:c r="D180" s="27" t="str">
        <x:v>Allocation F20 nonnegative</x:v>
      </x:c>
      <x:c r="E180" s="27" t="n">
        <x:f>IF('Allocation Build'!F20&gt;=0,1,0)</x:f>
        <x:v>1</x:v>
      </x:c>
      <x:c r="F180" s="27" t="n">
        <x:v>1</x:v>
      </x:c>
      <x:c r="G180" s="29" t="str">
        <x:f>IF(E180=F180,"PASS","FAIL")</x:f>
        <x:v>PASS</x:v>
      </x:c>
    </x:row>
    <x:row r="181" ht="18" customHeight="1">
      <x:c r="B181" s="27" t="str">
        <x:v>A0175</x:v>
      </x:c>
      <x:c r="C181" s="27" t="str">
        <x:v>allocation</x:v>
      </x:c>
      <x:c r="D181" s="27" t="str">
        <x:v>Allocation G20 nonnegative</x:v>
      </x:c>
      <x:c r="E181" s="27" t="n">
        <x:f>IF('Allocation Build'!G20&gt;=0,1,0)</x:f>
        <x:v>1</x:v>
      </x:c>
      <x:c r="F181" s="27" t="n">
        <x:v>1</x:v>
      </x:c>
      <x:c r="G181" s="29" t="str">
        <x:f>IF(E181=F181,"PASS","FAIL")</x:f>
        <x:v>PASS</x:v>
      </x:c>
    </x:row>
    <x:row r="182" ht="18" customHeight="1">
      <x:c r="B182" s="27" t="str">
        <x:v>A0176</x:v>
      </x:c>
      <x:c r="C182" s="27" t="str">
        <x:v>allocation</x:v>
      </x:c>
      <x:c r="D182" s="27" t="str">
        <x:v>Allocation H20 nonnegative</x:v>
      </x:c>
      <x:c r="E182" s="27" t="n">
        <x:f>IF('Allocation Build'!H20&gt;=0,1,0)</x:f>
        <x:v>1</x:v>
      </x:c>
      <x:c r="F182" s="27" t="n">
        <x:v>1</x:v>
      </x:c>
      <x:c r="G182" s="29" t="str">
        <x:f>IF(E182=F182,"PASS","FAIL")</x:f>
        <x:v>PASS</x:v>
      </x:c>
    </x:row>
    <x:row r="183" ht="18" customHeight="1">
      <x:c r="B183" s="27" t="str">
        <x:v>A0177</x:v>
      </x:c>
      <x:c r="C183" s="27" t="str">
        <x:v>allocation</x:v>
      </x:c>
      <x:c r="D183" s="27" t="str">
        <x:v>Allocation I20 nonnegative</x:v>
      </x:c>
      <x:c r="E183" s="27" t="n">
        <x:f>IF('Allocation Build'!I20&gt;=0,1,0)</x:f>
        <x:v>1</x:v>
      </x:c>
      <x:c r="F183" s="27" t="n">
        <x:v>1</x:v>
      </x:c>
      <x:c r="G183" s="29" t="str">
        <x:f>IF(E183=F183,"PASS","FAIL")</x:f>
        <x:v>PASS</x:v>
      </x:c>
    </x:row>
    <x:row r="184" ht="18" customHeight="1">
      <x:c r="B184" s="27" t="str">
        <x:v>A0178</x:v>
      </x:c>
      <x:c r="C184" s="27" t="str">
        <x:v>allocation</x:v>
      </x:c>
      <x:c r="D184" s="27" t="str">
        <x:v>Allocation J20 nonnegative</x:v>
      </x:c>
      <x:c r="E184" s="27" t="n">
        <x:f>IF('Allocation Build'!J20&gt;=0,1,0)</x:f>
        <x:v>1</x:v>
      </x:c>
      <x:c r="F184" s="27" t="n">
        <x:v>1</x:v>
      </x:c>
      <x:c r="G184" s="29" t="str">
        <x:f>IF(E184=F184,"PASS","FAIL")</x:f>
        <x:v>PASS</x:v>
      </x:c>
    </x:row>
    <x:row r="185" ht="18" customHeight="1">
      <x:c r="B185" s="27" t="str">
        <x:v>A0179</x:v>
      </x:c>
      <x:c r="C185" s="27" t="str">
        <x:v>allocation</x:v>
      </x:c>
      <x:c r="D185" s="27" t="str">
        <x:v>Allocation K20 nonnegative</x:v>
      </x:c>
      <x:c r="E185" s="27" t="n">
        <x:f>IF('Allocation Build'!K20&gt;=0,1,0)</x:f>
        <x:v>1</x:v>
      </x:c>
      <x:c r="F185" s="27" t="n">
        <x:v>1</x:v>
      </x:c>
      <x:c r="G185" s="29" t="str">
        <x:f>IF(E185=F185,"PASS","FAIL")</x:f>
        <x:v>PASS</x:v>
      </x:c>
    </x:row>
    <x:row r="186" ht="18" customHeight="1">
      <x:c r="B186" s="27" t="str">
        <x:v>A0180</x:v>
      </x:c>
      <x:c r="C186" s="27" t="str">
        <x:v>allocation</x:v>
      </x:c>
      <x:c r="D186" s="27" t="str">
        <x:v>Allocation L20 nonnegative</x:v>
      </x:c>
      <x:c r="E186" s="27" t="n">
        <x:f>IF('Allocation Build'!L20&gt;=0,1,0)</x:f>
        <x:v>1</x:v>
      </x:c>
      <x:c r="F186" s="27" t="n">
        <x:v>1</x:v>
      </x:c>
      <x:c r="G186" s="29" t="str">
        <x:f>IF(E186=F186,"PASS","FAIL")</x:f>
        <x:v>PASS</x:v>
      </x:c>
    </x:row>
    <x:row r="187" ht="18" customHeight="1">
      <x:c r="B187" s="27" t="str">
        <x:v>A0181</x:v>
      </x:c>
      <x:c r="C187" s="27" t="str">
        <x:v>allocation</x:v>
      </x:c>
      <x:c r="D187" s="27" t="str">
        <x:v>Allocation row 20 state open</x:v>
      </x:c>
      <x:c r="E187" s="27" t="n">
        <x:f>IF('Allocation Build'!N20="OPEN",1,0)</x:f>
        <x:v>1</x:v>
      </x:c>
      <x:c r="F187" s="27" t="n">
        <x:v>1</x:v>
      </x:c>
      <x:c r="G187" s="29" t="str">
        <x:f>IF(E187=F187,"PASS","FAIL")</x:f>
        <x:v>PASS</x:v>
      </x:c>
    </x:row>
    <x:row r="188" ht="18" customHeight="1">
      <x:c r="B188" s="27" t="str">
        <x:v>A0182</x:v>
      </x:c>
      <x:c r="C188" s="27" t="str">
        <x:v>allocation</x:v>
      </x:c>
      <x:c r="D188" s="27" t="str">
        <x:v>Allocation E21 nonnegative</x:v>
      </x:c>
      <x:c r="E188" s="27" t="n">
        <x:f>IF('Allocation Build'!E21&gt;=0,1,0)</x:f>
        <x:v>1</x:v>
      </x:c>
      <x:c r="F188" s="27" t="n">
        <x:v>1</x:v>
      </x:c>
      <x:c r="G188" s="29" t="str">
        <x:f>IF(E188=F188,"PASS","FAIL")</x:f>
        <x:v>PASS</x:v>
      </x:c>
    </x:row>
    <x:row r="189" ht="18" customHeight="1">
      <x:c r="B189" s="27" t="str">
        <x:v>A0183</x:v>
      </x:c>
      <x:c r="C189" s="27" t="str">
        <x:v>allocation</x:v>
      </x:c>
      <x:c r="D189" s="27" t="str">
        <x:v>Allocation F21 nonnegative</x:v>
      </x:c>
      <x:c r="E189" s="27" t="n">
        <x:f>IF('Allocation Build'!F21&gt;=0,1,0)</x:f>
        <x:v>1</x:v>
      </x:c>
      <x:c r="F189" s="27" t="n">
        <x:v>1</x:v>
      </x:c>
      <x:c r="G189" s="29" t="str">
        <x:f>IF(E189=F189,"PASS","FAIL")</x:f>
        <x:v>PASS</x:v>
      </x:c>
    </x:row>
    <x:row r="190" ht="18" customHeight="1">
      <x:c r="B190" s="27" t="str">
        <x:v>A0184</x:v>
      </x:c>
      <x:c r="C190" s="27" t="str">
        <x:v>allocation</x:v>
      </x:c>
      <x:c r="D190" s="27" t="str">
        <x:v>Allocation G21 nonnegative</x:v>
      </x:c>
      <x:c r="E190" s="27" t="n">
        <x:f>IF('Allocation Build'!G21&gt;=0,1,0)</x:f>
        <x:v>1</x:v>
      </x:c>
      <x:c r="F190" s="27" t="n">
        <x:v>1</x:v>
      </x:c>
      <x:c r="G190" s="29" t="str">
        <x:f>IF(E190=F190,"PASS","FAIL")</x:f>
        <x:v>PASS</x:v>
      </x:c>
    </x:row>
    <x:row r="191" ht="18" customHeight="1">
      <x:c r="B191" s="27" t="str">
        <x:v>A0185</x:v>
      </x:c>
      <x:c r="C191" s="27" t="str">
        <x:v>allocation</x:v>
      </x:c>
      <x:c r="D191" s="27" t="str">
        <x:v>Allocation H21 nonnegative</x:v>
      </x:c>
      <x:c r="E191" s="27" t="n">
        <x:f>IF('Allocation Build'!H21&gt;=0,1,0)</x:f>
        <x:v>1</x:v>
      </x:c>
      <x:c r="F191" s="27" t="n">
        <x:v>1</x:v>
      </x:c>
      <x:c r="G191" s="29" t="str">
        <x:f>IF(E191=F191,"PASS","FAIL")</x:f>
        <x:v>PASS</x:v>
      </x:c>
    </x:row>
    <x:row r="192" ht="18" customHeight="1">
      <x:c r="B192" s="27" t="str">
        <x:v>A0186</x:v>
      </x:c>
      <x:c r="C192" s="27" t="str">
        <x:v>allocation</x:v>
      </x:c>
      <x:c r="D192" s="27" t="str">
        <x:v>Allocation I21 nonnegative</x:v>
      </x:c>
      <x:c r="E192" s="27" t="n">
        <x:f>IF('Allocation Build'!I21&gt;=0,1,0)</x:f>
        <x:v>1</x:v>
      </x:c>
      <x:c r="F192" s="27" t="n">
        <x:v>1</x:v>
      </x:c>
      <x:c r="G192" s="29" t="str">
        <x:f>IF(E192=F192,"PASS","FAIL")</x:f>
        <x:v>PASS</x:v>
      </x:c>
    </x:row>
    <x:row r="193" ht="18" customHeight="1">
      <x:c r="B193" s="27" t="str">
        <x:v>A0187</x:v>
      </x:c>
      <x:c r="C193" s="27" t="str">
        <x:v>allocation</x:v>
      </x:c>
      <x:c r="D193" s="27" t="str">
        <x:v>Allocation J21 nonnegative</x:v>
      </x:c>
      <x:c r="E193" s="27" t="n">
        <x:f>IF('Allocation Build'!J21&gt;=0,1,0)</x:f>
        <x:v>1</x:v>
      </x:c>
      <x:c r="F193" s="27" t="n">
        <x:v>1</x:v>
      </x:c>
      <x:c r="G193" s="29" t="str">
        <x:f>IF(E193=F193,"PASS","FAIL")</x:f>
        <x:v>PASS</x:v>
      </x:c>
    </x:row>
    <x:row r="194" ht="18" customHeight="1">
      <x:c r="B194" s="27" t="str">
        <x:v>A0188</x:v>
      </x:c>
      <x:c r="C194" s="27" t="str">
        <x:v>allocation</x:v>
      </x:c>
      <x:c r="D194" s="27" t="str">
        <x:v>Allocation K21 nonnegative</x:v>
      </x:c>
      <x:c r="E194" s="27" t="n">
        <x:f>IF('Allocation Build'!K21&gt;=0,1,0)</x:f>
        <x:v>1</x:v>
      </x:c>
      <x:c r="F194" s="27" t="n">
        <x:v>1</x:v>
      </x:c>
      <x:c r="G194" s="29" t="str">
        <x:f>IF(E194=F194,"PASS","FAIL")</x:f>
        <x:v>PASS</x:v>
      </x:c>
    </x:row>
    <x:row r="195" ht="18" customHeight="1">
      <x:c r="B195" s="27" t="str">
        <x:v>A0189</x:v>
      </x:c>
      <x:c r="C195" s="27" t="str">
        <x:v>allocation</x:v>
      </x:c>
      <x:c r="D195" s="27" t="str">
        <x:v>Allocation L21 nonnegative</x:v>
      </x:c>
      <x:c r="E195" s="27" t="n">
        <x:f>IF('Allocation Build'!L21&gt;=0,1,0)</x:f>
        <x:v>1</x:v>
      </x:c>
      <x:c r="F195" s="27" t="n">
        <x:v>1</x:v>
      </x:c>
      <x:c r="G195" s="29" t="str">
        <x:f>IF(E195=F195,"PASS","FAIL")</x:f>
        <x:v>PASS</x:v>
      </x:c>
    </x:row>
    <x:row r="196" ht="18" customHeight="1">
      <x:c r="B196" s="27" t="str">
        <x:v>A0190</x:v>
      </x:c>
      <x:c r="C196" s="27" t="str">
        <x:v>allocation</x:v>
      </x:c>
      <x:c r="D196" s="27" t="str">
        <x:v>Allocation row 21 state open</x:v>
      </x:c>
      <x:c r="E196" s="27" t="n">
        <x:f>IF('Allocation Build'!N21="OPEN",1,0)</x:f>
        <x:v>1</x:v>
      </x:c>
      <x:c r="F196" s="27" t="n">
        <x:v>1</x:v>
      </x:c>
      <x:c r="G196" s="29" t="str">
        <x:f>IF(E196=F196,"PASS","FAIL")</x:f>
        <x:v>PASS</x:v>
      </x:c>
    </x:row>
    <x:row r="197" ht="18" customHeight="1">
      <x:c r="B197" s="27" t="str">
        <x:v>A0191</x:v>
      </x:c>
      <x:c r="C197" s="27" t="str">
        <x:v>allocation</x:v>
      </x:c>
      <x:c r="D197" s="27" t="str">
        <x:v>Allocation E22 nonnegative</x:v>
      </x:c>
      <x:c r="E197" s="27" t="n">
        <x:f>IF('Allocation Build'!E22&gt;=0,1,0)</x:f>
        <x:v>1</x:v>
      </x:c>
      <x:c r="F197" s="27" t="n">
        <x:v>1</x:v>
      </x:c>
      <x:c r="G197" s="29" t="str">
        <x:f>IF(E197=F197,"PASS","FAIL")</x:f>
        <x:v>PASS</x:v>
      </x:c>
    </x:row>
    <x:row r="198" ht="18" customHeight="1">
      <x:c r="B198" s="27" t="str">
        <x:v>A0192</x:v>
      </x:c>
      <x:c r="C198" s="27" t="str">
        <x:v>allocation</x:v>
      </x:c>
      <x:c r="D198" s="27" t="str">
        <x:v>Allocation F22 nonnegative</x:v>
      </x:c>
      <x:c r="E198" s="27" t="n">
        <x:f>IF('Allocation Build'!F22&gt;=0,1,0)</x:f>
        <x:v>1</x:v>
      </x:c>
      <x:c r="F198" s="27" t="n">
        <x:v>1</x:v>
      </x:c>
      <x:c r="G198" s="29" t="str">
        <x:f>IF(E198=F198,"PASS","FAIL")</x:f>
        <x:v>PASS</x:v>
      </x:c>
    </x:row>
    <x:row r="199" ht="18" customHeight="1">
      <x:c r="B199" s="27" t="str">
        <x:v>A0193</x:v>
      </x:c>
      <x:c r="C199" s="27" t="str">
        <x:v>allocation</x:v>
      </x:c>
      <x:c r="D199" s="27" t="str">
        <x:v>Allocation G22 nonnegative</x:v>
      </x:c>
      <x:c r="E199" s="27" t="n">
        <x:f>IF('Allocation Build'!G22&gt;=0,1,0)</x:f>
        <x:v>1</x:v>
      </x:c>
      <x:c r="F199" s="27" t="n">
        <x:v>1</x:v>
      </x:c>
      <x:c r="G199" s="29" t="str">
        <x:f>IF(E199=F199,"PASS","FAIL")</x:f>
        <x:v>PASS</x:v>
      </x:c>
    </x:row>
    <x:row r="200" ht="18" customHeight="1">
      <x:c r="B200" s="27" t="str">
        <x:v>A0194</x:v>
      </x:c>
      <x:c r="C200" s="27" t="str">
        <x:v>allocation</x:v>
      </x:c>
      <x:c r="D200" s="27" t="str">
        <x:v>Allocation H22 nonnegative</x:v>
      </x:c>
      <x:c r="E200" s="27" t="n">
        <x:f>IF('Allocation Build'!H22&gt;=0,1,0)</x:f>
        <x:v>1</x:v>
      </x:c>
      <x:c r="F200" s="27" t="n">
        <x:v>1</x:v>
      </x:c>
      <x:c r="G200" s="29" t="str">
        <x:f>IF(E200=F200,"PASS","FAIL")</x:f>
        <x:v>PASS</x:v>
      </x:c>
    </x:row>
    <x:row r="201" ht="18" customHeight="1">
      <x:c r="B201" s="27" t="str">
        <x:v>A0195</x:v>
      </x:c>
      <x:c r="C201" s="27" t="str">
        <x:v>allocation</x:v>
      </x:c>
      <x:c r="D201" s="27" t="str">
        <x:v>Allocation I22 nonnegative</x:v>
      </x:c>
      <x:c r="E201" s="27" t="n">
        <x:f>IF('Allocation Build'!I22&gt;=0,1,0)</x:f>
        <x:v>1</x:v>
      </x:c>
      <x:c r="F201" s="27" t="n">
        <x:v>1</x:v>
      </x:c>
      <x:c r="G201" s="29" t="str">
        <x:f>IF(E201=F201,"PASS","FAIL")</x:f>
        <x:v>PASS</x:v>
      </x:c>
    </x:row>
    <x:row r="202" ht="18" customHeight="1">
      <x:c r="B202" s="27" t="str">
        <x:v>A0196</x:v>
      </x:c>
      <x:c r="C202" s="27" t="str">
        <x:v>allocation</x:v>
      </x:c>
      <x:c r="D202" s="27" t="str">
        <x:v>Allocation J22 nonnegative</x:v>
      </x:c>
      <x:c r="E202" s="27" t="n">
        <x:f>IF('Allocation Build'!J22&gt;=0,1,0)</x:f>
        <x:v>1</x:v>
      </x:c>
      <x:c r="F202" s="27" t="n">
        <x:v>1</x:v>
      </x:c>
      <x:c r="G202" s="29" t="str">
        <x:f>IF(E202=F202,"PASS","FAIL")</x:f>
        <x:v>PASS</x:v>
      </x:c>
    </x:row>
    <x:row r="203" ht="18" customHeight="1">
      <x:c r="B203" s="27" t="str">
        <x:v>A0197</x:v>
      </x:c>
      <x:c r="C203" s="27" t="str">
        <x:v>allocation</x:v>
      </x:c>
      <x:c r="D203" s="27" t="str">
        <x:v>Allocation K22 nonnegative</x:v>
      </x:c>
      <x:c r="E203" s="27" t="n">
        <x:f>IF('Allocation Build'!K22&gt;=0,1,0)</x:f>
        <x:v>1</x:v>
      </x:c>
      <x:c r="F203" s="27" t="n">
        <x:v>1</x:v>
      </x:c>
      <x:c r="G203" s="29" t="str">
        <x:f>IF(E203=F203,"PASS","FAIL")</x:f>
        <x:v>PASS</x:v>
      </x:c>
    </x:row>
    <x:row r="204" ht="18" customHeight="1">
      <x:c r="B204" s="27" t="str">
        <x:v>A0198</x:v>
      </x:c>
      <x:c r="C204" s="27" t="str">
        <x:v>allocation</x:v>
      </x:c>
      <x:c r="D204" s="27" t="str">
        <x:v>Allocation L22 nonnegative</x:v>
      </x:c>
      <x:c r="E204" s="27" t="n">
        <x:f>IF('Allocation Build'!L22&gt;=0,1,0)</x:f>
        <x:v>1</x:v>
      </x:c>
      <x:c r="F204" s="27" t="n">
        <x:v>1</x:v>
      </x:c>
      <x:c r="G204" s="29" t="str">
        <x:f>IF(E204=F204,"PASS","FAIL")</x:f>
        <x:v>PASS</x:v>
      </x:c>
    </x:row>
    <x:row r="205" ht="18" customHeight="1">
      <x:c r="B205" s="27" t="str">
        <x:v>A0199</x:v>
      </x:c>
      <x:c r="C205" s="27" t="str">
        <x:v>allocation</x:v>
      </x:c>
      <x:c r="D205" s="27" t="str">
        <x:v>Allocation row 22 state open</x:v>
      </x:c>
      <x:c r="E205" s="27" t="n">
        <x:f>IF('Allocation Build'!N22="OPEN",1,0)</x:f>
        <x:v>1</x:v>
      </x:c>
      <x:c r="F205" s="27" t="n">
        <x:v>1</x:v>
      </x:c>
      <x:c r="G205" s="29" t="str">
        <x:f>IF(E205=F205,"PASS","FAIL")</x:f>
        <x:v>PASS</x:v>
      </x:c>
    </x:row>
    <x:row r="206" ht="18" customHeight="1">
      <x:c r="B206" s="27" t="str">
        <x:v>A0200</x:v>
      </x:c>
      <x:c r="C206" s="27" t="str">
        <x:v>allocation</x:v>
      </x:c>
      <x:c r="D206" s="27" t="str">
        <x:v>Allocation E23 nonnegative</x:v>
      </x:c>
      <x:c r="E206" s="27" t="n">
        <x:f>IF('Allocation Build'!E23&gt;=0,1,0)</x:f>
        <x:v>1</x:v>
      </x:c>
      <x:c r="F206" s="27" t="n">
        <x:v>1</x:v>
      </x:c>
      <x:c r="G206" s="29" t="str">
        <x:f>IF(E206=F206,"PASS","FAIL")</x:f>
        <x:v>PASS</x:v>
      </x:c>
    </x:row>
    <x:row r="207" ht="18" customHeight="1">
      <x:c r="B207" s="27" t="str">
        <x:v>A0201</x:v>
      </x:c>
      <x:c r="C207" s="27" t="str">
        <x:v>allocation</x:v>
      </x:c>
      <x:c r="D207" s="27" t="str">
        <x:v>Allocation F23 nonnegative</x:v>
      </x:c>
      <x:c r="E207" s="27" t="n">
        <x:f>IF('Allocation Build'!F23&gt;=0,1,0)</x:f>
        <x:v>1</x:v>
      </x:c>
      <x:c r="F207" s="27" t="n">
        <x:v>1</x:v>
      </x:c>
      <x:c r="G207" s="29" t="str">
        <x:f>IF(E207=F207,"PASS","FAIL")</x:f>
        <x:v>PASS</x:v>
      </x:c>
    </x:row>
    <x:row r="208" ht="18" customHeight="1">
      <x:c r="B208" s="27" t="str">
        <x:v>A0202</x:v>
      </x:c>
      <x:c r="C208" s="27" t="str">
        <x:v>allocation</x:v>
      </x:c>
      <x:c r="D208" s="27" t="str">
        <x:v>Allocation G23 nonnegative</x:v>
      </x:c>
      <x:c r="E208" s="27" t="n">
        <x:f>IF('Allocation Build'!G23&gt;=0,1,0)</x:f>
        <x:v>1</x:v>
      </x:c>
      <x:c r="F208" s="27" t="n">
        <x:v>1</x:v>
      </x:c>
      <x:c r="G208" s="29" t="str">
        <x:f>IF(E208=F208,"PASS","FAIL")</x:f>
        <x:v>PASS</x:v>
      </x:c>
    </x:row>
    <x:row r="209" ht="18" customHeight="1">
      <x:c r="B209" s="27" t="str">
        <x:v>A0203</x:v>
      </x:c>
      <x:c r="C209" s="27" t="str">
        <x:v>allocation</x:v>
      </x:c>
      <x:c r="D209" s="27" t="str">
        <x:v>Allocation H23 nonnegative</x:v>
      </x:c>
      <x:c r="E209" s="27" t="n">
        <x:f>IF('Allocation Build'!H23&gt;=0,1,0)</x:f>
        <x:v>1</x:v>
      </x:c>
      <x:c r="F209" s="27" t="n">
        <x:v>1</x:v>
      </x:c>
      <x:c r="G209" s="29" t="str">
        <x:f>IF(E209=F209,"PASS","FAIL")</x:f>
        <x:v>PASS</x:v>
      </x:c>
    </x:row>
    <x:row r="210" ht="18" customHeight="1">
      <x:c r="B210" s="27" t="str">
        <x:v>A0204</x:v>
      </x:c>
      <x:c r="C210" s="27" t="str">
        <x:v>allocation</x:v>
      </x:c>
      <x:c r="D210" s="27" t="str">
        <x:v>Allocation I23 nonnegative</x:v>
      </x:c>
      <x:c r="E210" s="27" t="n">
        <x:f>IF('Allocation Build'!I23&gt;=0,1,0)</x:f>
        <x:v>1</x:v>
      </x:c>
      <x:c r="F210" s="27" t="n">
        <x:v>1</x:v>
      </x:c>
      <x:c r="G210" s="29" t="str">
        <x:f>IF(E210=F210,"PASS","FAIL")</x:f>
        <x:v>PASS</x:v>
      </x:c>
    </x:row>
    <x:row r="211" ht="18" customHeight="1">
      <x:c r="B211" s="27" t="str">
        <x:v>A0205</x:v>
      </x:c>
      <x:c r="C211" s="27" t="str">
        <x:v>allocation</x:v>
      </x:c>
      <x:c r="D211" s="27" t="str">
        <x:v>Allocation J23 nonnegative</x:v>
      </x:c>
      <x:c r="E211" s="27" t="n">
        <x:f>IF('Allocation Build'!J23&gt;=0,1,0)</x:f>
        <x:v>1</x:v>
      </x:c>
      <x:c r="F211" s="27" t="n">
        <x:v>1</x:v>
      </x:c>
      <x:c r="G211" s="29" t="str">
        <x:f>IF(E211=F211,"PASS","FAIL")</x:f>
        <x:v>PASS</x:v>
      </x:c>
    </x:row>
    <x:row r="212" ht="18" customHeight="1">
      <x:c r="B212" s="27" t="str">
        <x:v>A0206</x:v>
      </x:c>
      <x:c r="C212" s="27" t="str">
        <x:v>allocation</x:v>
      </x:c>
      <x:c r="D212" s="27" t="str">
        <x:v>Allocation K23 nonnegative</x:v>
      </x:c>
      <x:c r="E212" s="27" t="n">
        <x:f>IF('Allocation Build'!K23&gt;=0,1,0)</x:f>
        <x:v>1</x:v>
      </x:c>
      <x:c r="F212" s="27" t="n">
        <x:v>1</x:v>
      </x:c>
      <x:c r="G212" s="29" t="str">
        <x:f>IF(E212=F212,"PASS","FAIL")</x:f>
        <x:v>PASS</x:v>
      </x:c>
    </x:row>
    <x:row r="213" ht="18" customHeight="1">
      <x:c r="B213" s="27" t="str">
        <x:v>A0207</x:v>
      </x:c>
      <x:c r="C213" s="27" t="str">
        <x:v>allocation</x:v>
      </x:c>
      <x:c r="D213" s="27" t="str">
        <x:v>Allocation L23 nonnegative</x:v>
      </x:c>
      <x:c r="E213" s="27" t="n">
        <x:f>IF('Allocation Build'!L23&gt;=0,1,0)</x:f>
        <x:v>1</x:v>
      </x:c>
      <x:c r="F213" s="27" t="n">
        <x:v>1</x:v>
      </x:c>
      <x:c r="G213" s="29" t="str">
        <x:f>IF(E213=F213,"PASS","FAIL")</x:f>
        <x:v>PASS</x:v>
      </x:c>
    </x:row>
    <x:row r="214" ht="18" customHeight="1">
      <x:c r="B214" s="27" t="str">
        <x:v>A0208</x:v>
      </x:c>
      <x:c r="C214" s="27" t="str">
        <x:v>allocation</x:v>
      </x:c>
      <x:c r="D214" s="27" t="str">
        <x:v>Allocation row 23 state open</x:v>
      </x:c>
      <x:c r="E214" s="27" t="n">
        <x:f>IF('Allocation Build'!N23="OPEN",1,0)</x:f>
        <x:v>1</x:v>
      </x:c>
      <x:c r="F214" s="27" t="n">
        <x:v>1</x:v>
      </x:c>
      <x:c r="G214" s="29" t="str">
        <x:f>IF(E214=F214,"PASS","FAIL")</x:f>
        <x:v>PASS</x:v>
      </x:c>
    </x:row>
    <x:row r="215" ht="18" customHeight="1">
      <x:c r="B215" s="27" t="str">
        <x:v>A0209</x:v>
      </x:c>
      <x:c r="C215" s="27" t="str">
        <x:v>allocation</x:v>
      </x:c>
      <x:c r="D215" s="27" t="str">
        <x:v>Allocation E24 nonnegative</x:v>
      </x:c>
      <x:c r="E215" s="27" t="n">
        <x:f>IF('Allocation Build'!E24&gt;=0,1,0)</x:f>
        <x:v>1</x:v>
      </x:c>
      <x:c r="F215" s="27" t="n">
        <x:v>1</x:v>
      </x:c>
      <x:c r="G215" s="29" t="str">
        <x:f>IF(E215=F215,"PASS","FAIL")</x:f>
        <x:v>PASS</x:v>
      </x:c>
    </x:row>
    <x:row r="216" ht="18" customHeight="1">
      <x:c r="B216" s="27" t="str">
        <x:v>A0210</x:v>
      </x:c>
      <x:c r="C216" s="27" t="str">
        <x:v>allocation</x:v>
      </x:c>
      <x:c r="D216" s="27" t="str">
        <x:v>Allocation F24 nonnegative</x:v>
      </x:c>
      <x:c r="E216" s="27" t="n">
        <x:f>IF('Allocation Build'!F24&gt;=0,1,0)</x:f>
        <x:v>1</x:v>
      </x:c>
      <x:c r="F216" s="27" t="n">
        <x:v>1</x:v>
      </x:c>
      <x:c r="G216" s="29" t="str">
        <x:f>IF(E216=F216,"PASS","FAIL")</x:f>
        <x:v>PASS</x:v>
      </x:c>
    </x:row>
    <x:row r="217" ht="18" customHeight="1">
      <x:c r="B217" s="27" t="str">
        <x:v>A0211</x:v>
      </x:c>
      <x:c r="C217" s="27" t="str">
        <x:v>allocation</x:v>
      </x:c>
      <x:c r="D217" s="27" t="str">
        <x:v>Allocation G24 nonnegative</x:v>
      </x:c>
      <x:c r="E217" s="27" t="n">
        <x:f>IF('Allocation Build'!G24&gt;=0,1,0)</x:f>
        <x:v>1</x:v>
      </x:c>
      <x:c r="F217" s="27" t="n">
        <x:v>1</x:v>
      </x:c>
      <x:c r="G217" s="29" t="str">
        <x:f>IF(E217=F217,"PASS","FAIL")</x:f>
        <x:v>PASS</x:v>
      </x:c>
    </x:row>
    <x:row r="218" ht="18" customHeight="1">
      <x:c r="B218" s="27" t="str">
        <x:v>A0212</x:v>
      </x:c>
      <x:c r="C218" s="27" t="str">
        <x:v>allocation</x:v>
      </x:c>
      <x:c r="D218" s="27" t="str">
        <x:v>Allocation H24 nonnegative</x:v>
      </x:c>
      <x:c r="E218" s="27" t="n">
        <x:f>IF('Allocation Build'!H24&gt;=0,1,0)</x:f>
        <x:v>1</x:v>
      </x:c>
      <x:c r="F218" s="27" t="n">
        <x:v>1</x:v>
      </x:c>
      <x:c r="G218" s="29" t="str">
        <x:f>IF(E218=F218,"PASS","FAIL")</x:f>
        <x:v>PASS</x:v>
      </x:c>
    </x:row>
    <x:row r="219" ht="18" customHeight="1">
      <x:c r="B219" s="27" t="str">
        <x:v>A0213</x:v>
      </x:c>
      <x:c r="C219" s="27" t="str">
        <x:v>allocation</x:v>
      </x:c>
      <x:c r="D219" s="27" t="str">
        <x:v>Allocation I24 nonnegative</x:v>
      </x:c>
      <x:c r="E219" s="27" t="n">
        <x:f>IF('Allocation Build'!I24&gt;=0,1,0)</x:f>
        <x:v>1</x:v>
      </x:c>
      <x:c r="F219" s="27" t="n">
        <x:v>1</x:v>
      </x:c>
      <x:c r="G219" s="29" t="str">
        <x:f>IF(E219=F219,"PASS","FAIL")</x:f>
        <x:v>PASS</x:v>
      </x:c>
    </x:row>
    <x:row r="220" ht="18" customHeight="1">
      <x:c r="B220" s="27" t="str">
        <x:v>A0214</x:v>
      </x:c>
      <x:c r="C220" s="27" t="str">
        <x:v>allocation</x:v>
      </x:c>
      <x:c r="D220" s="27" t="str">
        <x:v>Allocation J24 nonnegative</x:v>
      </x:c>
      <x:c r="E220" s="27" t="n">
        <x:f>IF('Allocation Build'!J24&gt;=0,1,0)</x:f>
        <x:v>1</x:v>
      </x:c>
      <x:c r="F220" s="27" t="n">
        <x:v>1</x:v>
      </x:c>
      <x:c r="G220" s="29" t="str">
        <x:f>IF(E220=F220,"PASS","FAIL")</x:f>
        <x:v>PASS</x:v>
      </x:c>
    </x:row>
    <x:row r="221" ht="18" customHeight="1">
      <x:c r="B221" s="27" t="str">
        <x:v>A0215</x:v>
      </x:c>
      <x:c r="C221" s="27" t="str">
        <x:v>allocation</x:v>
      </x:c>
      <x:c r="D221" s="27" t="str">
        <x:v>Allocation K24 nonnegative</x:v>
      </x:c>
      <x:c r="E221" s="27" t="n">
        <x:f>IF('Allocation Build'!K24&gt;=0,1,0)</x:f>
        <x:v>1</x:v>
      </x:c>
      <x:c r="F221" s="27" t="n">
        <x:v>1</x:v>
      </x:c>
      <x:c r="G221" s="29" t="str">
        <x:f>IF(E221=F221,"PASS","FAIL")</x:f>
        <x:v>PASS</x:v>
      </x:c>
    </x:row>
    <x:row r="222" ht="18" customHeight="1">
      <x:c r="B222" s="27" t="str">
        <x:v>A0216</x:v>
      </x:c>
      <x:c r="C222" s="27" t="str">
        <x:v>allocation</x:v>
      </x:c>
      <x:c r="D222" s="27" t="str">
        <x:v>Allocation L24 nonnegative</x:v>
      </x:c>
      <x:c r="E222" s="27" t="n">
        <x:f>IF('Allocation Build'!L24&gt;=0,1,0)</x:f>
        <x:v>1</x:v>
      </x:c>
      <x:c r="F222" s="27" t="n">
        <x:v>1</x:v>
      </x:c>
      <x:c r="G222" s="29" t="str">
        <x:f>IF(E222=F222,"PASS","FAIL")</x:f>
        <x:v>PASS</x:v>
      </x:c>
    </x:row>
    <x:row r="223" ht="18" customHeight="1">
      <x:c r="B223" s="27" t="str">
        <x:v>A0217</x:v>
      </x:c>
      <x:c r="C223" s="27" t="str">
        <x:v>allocation</x:v>
      </x:c>
      <x:c r="D223" s="27" t="str">
        <x:v>Allocation row 24 state open</x:v>
      </x:c>
      <x:c r="E223" s="27" t="n">
        <x:f>IF('Allocation Build'!N24="OPEN",1,0)</x:f>
        <x:v>1</x:v>
      </x:c>
      <x:c r="F223" s="27" t="n">
        <x:v>1</x:v>
      </x:c>
      <x:c r="G223" s="29" t="str">
        <x:f>IF(E223=F223,"PASS","FAIL")</x:f>
        <x:v>PASS</x:v>
      </x:c>
    </x:row>
    <x:row r="224" ht="18" customHeight="1">
      <x:c r="B224" s="27" t="str">
        <x:v>A0218</x:v>
      </x:c>
      <x:c r="C224" s="27" t="str">
        <x:v>allocation</x:v>
      </x:c>
      <x:c r="D224" s="27" t="str">
        <x:v>Allocation E25 nonnegative</x:v>
      </x:c>
      <x:c r="E224" s="27" t="n">
        <x:f>IF('Allocation Build'!E25&gt;=0,1,0)</x:f>
        <x:v>1</x:v>
      </x:c>
      <x:c r="F224" s="27" t="n">
        <x:v>1</x:v>
      </x:c>
      <x:c r="G224" s="29" t="str">
        <x:f>IF(E224=F224,"PASS","FAIL")</x:f>
        <x:v>PASS</x:v>
      </x:c>
    </x:row>
    <x:row r="225" ht="18" customHeight="1">
      <x:c r="B225" s="27" t="str">
        <x:v>A0219</x:v>
      </x:c>
      <x:c r="C225" s="27" t="str">
        <x:v>allocation</x:v>
      </x:c>
      <x:c r="D225" s="27" t="str">
        <x:v>Allocation F25 nonnegative</x:v>
      </x:c>
      <x:c r="E225" s="27" t="n">
        <x:f>IF('Allocation Build'!F25&gt;=0,1,0)</x:f>
        <x:v>1</x:v>
      </x:c>
      <x:c r="F225" s="27" t="n">
        <x:v>1</x:v>
      </x:c>
      <x:c r="G225" s="29" t="str">
        <x:f>IF(E225=F225,"PASS","FAIL")</x:f>
        <x:v>PASS</x:v>
      </x:c>
    </x:row>
    <x:row r="226" ht="18" customHeight="1">
      <x:c r="B226" s="27" t="str">
        <x:v>A0220</x:v>
      </x:c>
      <x:c r="C226" s="27" t="str">
        <x:v>allocation</x:v>
      </x:c>
      <x:c r="D226" s="27" t="str">
        <x:v>Allocation G25 nonnegative</x:v>
      </x:c>
      <x:c r="E226" s="27" t="n">
        <x:f>IF('Allocation Build'!G25&gt;=0,1,0)</x:f>
        <x:v>1</x:v>
      </x:c>
      <x:c r="F226" s="27" t="n">
        <x:v>1</x:v>
      </x:c>
      <x:c r="G226" s="29" t="str">
        <x:f>IF(E226=F226,"PASS","FAIL")</x:f>
        <x:v>PASS</x:v>
      </x:c>
    </x:row>
    <x:row r="227" ht="18" customHeight="1">
      <x:c r="B227" s="27" t="str">
        <x:v>A0221</x:v>
      </x:c>
      <x:c r="C227" s="27" t="str">
        <x:v>allocation</x:v>
      </x:c>
      <x:c r="D227" s="27" t="str">
        <x:v>Allocation H25 nonnegative</x:v>
      </x:c>
      <x:c r="E227" s="27" t="n">
        <x:f>IF('Allocation Build'!H25&gt;=0,1,0)</x:f>
        <x:v>1</x:v>
      </x:c>
      <x:c r="F227" s="27" t="n">
        <x:v>1</x:v>
      </x:c>
      <x:c r="G227" s="29" t="str">
        <x:f>IF(E227=F227,"PASS","FAIL")</x:f>
        <x:v>PASS</x:v>
      </x:c>
    </x:row>
    <x:row r="228" ht="18" customHeight="1">
      <x:c r="B228" s="27" t="str">
        <x:v>A0222</x:v>
      </x:c>
      <x:c r="C228" s="27" t="str">
        <x:v>allocation</x:v>
      </x:c>
      <x:c r="D228" s="27" t="str">
        <x:v>Allocation I25 nonnegative</x:v>
      </x:c>
      <x:c r="E228" s="27" t="n">
        <x:f>IF('Allocation Build'!I25&gt;=0,1,0)</x:f>
        <x:v>1</x:v>
      </x:c>
      <x:c r="F228" s="27" t="n">
        <x:v>1</x:v>
      </x:c>
      <x:c r="G228" s="29" t="str">
        <x:f>IF(E228=F228,"PASS","FAIL")</x:f>
        <x:v>PASS</x:v>
      </x:c>
    </x:row>
    <x:row r="229" ht="18" customHeight="1">
      <x:c r="B229" s="27" t="str">
        <x:v>A0223</x:v>
      </x:c>
      <x:c r="C229" s="27" t="str">
        <x:v>allocation</x:v>
      </x:c>
      <x:c r="D229" s="27" t="str">
        <x:v>Allocation J25 nonnegative</x:v>
      </x:c>
      <x:c r="E229" s="27" t="n">
        <x:f>IF('Allocation Build'!J25&gt;=0,1,0)</x:f>
        <x:v>1</x:v>
      </x:c>
      <x:c r="F229" s="27" t="n">
        <x:v>1</x:v>
      </x:c>
      <x:c r="G229" s="29" t="str">
        <x:f>IF(E229=F229,"PASS","FAIL")</x:f>
        <x:v>PASS</x:v>
      </x:c>
    </x:row>
    <x:row r="230" ht="18" customHeight="1">
      <x:c r="B230" s="27" t="str">
        <x:v>A0224</x:v>
      </x:c>
      <x:c r="C230" s="27" t="str">
        <x:v>allocation</x:v>
      </x:c>
      <x:c r="D230" s="27" t="str">
        <x:v>Allocation K25 nonnegative</x:v>
      </x:c>
      <x:c r="E230" s="27" t="n">
        <x:f>IF('Allocation Build'!K25&gt;=0,1,0)</x:f>
        <x:v>1</x:v>
      </x:c>
      <x:c r="F230" s="27" t="n">
        <x:v>1</x:v>
      </x:c>
      <x:c r="G230" s="29" t="str">
        <x:f>IF(E230=F230,"PASS","FAIL")</x:f>
        <x:v>PASS</x:v>
      </x:c>
    </x:row>
    <x:row r="231" ht="18" customHeight="1">
      <x:c r="B231" s="27" t="str">
        <x:v>A0225</x:v>
      </x:c>
      <x:c r="C231" s="27" t="str">
        <x:v>allocation</x:v>
      </x:c>
      <x:c r="D231" s="27" t="str">
        <x:v>Allocation L25 nonnegative</x:v>
      </x:c>
      <x:c r="E231" s="27" t="n">
        <x:f>IF('Allocation Build'!L25&gt;=0,1,0)</x:f>
        <x:v>1</x:v>
      </x:c>
      <x:c r="F231" s="27" t="n">
        <x:v>1</x:v>
      </x:c>
      <x:c r="G231" s="29" t="str">
        <x:f>IF(E231=F231,"PASS","FAIL")</x:f>
        <x:v>PASS</x:v>
      </x:c>
    </x:row>
    <x:row r="232" ht="18" customHeight="1">
      <x:c r="B232" s="27" t="str">
        <x:v>A0226</x:v>
      </x:c>
      <x:c r="C232" s="27" t="str">
        <x:v>allocation</x:v>
      </x:c>
      <x:c r="D232" s="27" t="str">
        <x:v>Allocation row 25 state open</x:v>
      </x:c>
      <x:c r="E232" s="27" t="n">
        <x:f>IF('Allocation Build'!N25="OPEN",1,0)</x:f>
        <x:v>1</x:v>
      </x:c>
      <x:c r="F232" s="27" t="n">
        <x:v>1</x:v>
      </x:c>
      <x:c r="G232" s="29" t="str">
        <x:f>IF(E232=F232,"PASS","FAIL")</x:f>
        <x:v>PASS</x:v>
      </x:c>
    </x:row>
    <x:row r="233" ht="18" customHeight="1">
      <x:c r="B233" s="27" t="str">
        <x:v>A0227</x:v>
      </x:c>
      <x:c r="C233" s="27" t="str">
        <x:v>allocation</x:v>
      </x:c>
      <x:c r="D233" s="27" t="str">
        <x:v>Allocation E26 nonnegative</x:v>
      </x:c>
      <x:c r="E233" s="27" t="n">
        <x:f>IF('Allocation Build'!E26&gt;=0,1,0)</x:f>
        <x:v>1</x:v>
      </x:c>
      <x:c r="F233" s="27" t="n">
        <x:v>1</x:v>
      </x:c>
      <x:c r="G233" s="29" t="str">
        <x:f>IF(E233=F233,"PASS","FAIL")</x:f>
        <x:v>PASS</x:v>
      </x:c>
    </x:row>
    <x:row r="234" ht="18" customHeight="1">
      <x:c r="B234" s="27" t="str">
        <x:v>A0228</x:v>
      </x:c>
      <x:c r="C234" s="27" t="str">
        <x:v>allocation</x:v>
      </x:c>
      <x:c r="D234" s="27" t="str">
        <x:v>Allocation F26 nonnegative</x:v>
      </x:c>
      <x:c r="E234" s="27" t="n">
        <x:f>IF('Allocation Build'!F26&gt;=0,1,0)</x:f>
        <x:v>1</x:v>
      </x:c>
      <x:c r="F234" s="27" t="n">
        <x:v>1</x:v>
      </x:c>
      <x:c r="G234" s="29" t="str">
        <x:f>IF(E234=F234,"PASS","FAIL")</x:f>
        <x:v>PASS</x:v>
      </x:c>
    </x:row>
    <x:row r="235" ht="18" customHeight="1">
      <x:c r="B235" s="27" t="str">
        <x:v>A0229</x:v>
      </x:c>
      <x:c r="C235" s="27" t="str">
        <x:v>allocation</x:v>
      </x:c>
      <x:c r="D235" s="27" t="str">
        <x:v>Allocation G26 nonnegative</x:v>
      </x:c>
      <x:c r="E235" s="27" t="n">
        <x:f>IF('Allocation Build'!G26&gt;=0,1,0)</x:f>
        <x:v>1</x:v>
      </x:c>
      <x:c r="F235" s="27" t="n">
        <x:v>1</x:v>
      </x:c>
      <x:c r="G235" s="29" t="str">
        <x:f>IF(E235=F235,"PASS","FAIL")</x:f>
        <x:v>PASS</x:v>
      </x:c>
    </x:row>
    <x:row r="236" ht="18" customHeight="1">
      <x:c r="B236" s="27" t="str">
        <x:v>A0230</x:v>
      </x:c>
      <x:c r="C236" s="27" t="str">
        <x:v>allocation</x:v>
      </x:c>
      <x:c r="D236" s="27" t="str">
        <x:v>Allocation H26 nonnegative</x:v>
      </x:c>
      <x:c r="E236" s="27" t="n">
        <x:f>IF('Allocation Build'!H26&gt;=0,1,0)</x:f>
        <x:v>1</x:v>
      </x:c>
      <x:c r="F236" s="27" t="n">
        <x:v>1</x:v>
      </x:c>
      <x:c r="G236" s="29" t="str">
        <x:f>IF(E236=F236,"PASS","FAIL")</x:f>
        <x:v>PASS</x:v>
      </x:c>
    </x:row>
    <x:row r="237" ht="18" customHeight="1">
      <x:c r="B237" s="27" t="str">
        <x:v>A0231</x:v>
      </x:c>
      <x:c r="C237" s="27" t="str">
        <x:v>allocation</x:v>
      </x:c>
      <x:c r="D237" s="27" t="str">
        <x:v>Allocation I26 nonnegative</x:v>
      </x:c>
      <x:c r="E237" s="27" t="n">
        <x:f>IF('Allocation Build'!I26&gt;=0,1,0)</x:f>
        <x:v>1</x:v>
      </x:c>
      <x:c r="F237" s="27" t="n">
        <x:v>1</x:v>
      </x:c>
      <x:c r="G237" s="29" t="str">
        <x:f>IF(E237=F237,"PASS","FAIL")</x:f>
        <x:v>PASS</x:v>
      </x:c>
    </x:row>
    <x:row r="238" ht="18" customHeight="1">
      <x:c r="B238" s="27" t="str">
        <x:v>A0232</x:v>
      </x:c>
      <x:c r="C238" s="27" t="str">
        <x:v>allocation</x:v>
      </x:c>
      <x:c r="D238" s="27" t="str">
        <x:v>Allocation J26 nonnegative</x:v>
      </x:c>
      <x:c r="E238" s="27" t="n">
        <x:f>IF('Allocation Build'!J26&gt;=0,1,0)</x:f>
        <x:v>1</x:v>
      </x:c>
      <x:c r="F238" s="27" t="n">
        <x:v>1</x:v>
      </x:c>
      <x:c r="G238" s="29" t="str">
        <x:f>IF(E238=F238,"PASS","FAIL")</x:f>
        <x:v>PASS</x:v>
      </x:c>
    </x:row>
    <x:row r="239" ht="18" customHeight="1">
      <x:c r="B239" s="27" t="str">
        <x:v>A0233</x:v>
      </x:c>
      <x:c r="C239" s="27" t="str">
        <x:v>allocation</x:v>
      </x:c>
      <x:c r="D239" s="27" t="str">
        <x:v>Allocation K26 nonnegative</x:v>
      </x:c>
      <x:c r="E239" s="27" t="n">
        <x:f>IF('Allocation Build'!K26&gt;=0,1,0)</x:f>
        <x:v>1</x:v>
      </x:c>
      <x:c r="F239" s="27" t="n">
        <x:v>1</x:v>
      </x:c>
      <x:c r="G239" s="29" t="str">
        <x:f>IF(E239=F239,"PASS","FAIL")</x:f>
        <x:v>PASS</x:v>
      </x:c>
    </x:row>
    <x:row r="240" ht="18" customHeight="1">
      <x:c r="B240" s="27" t="str">
        <x:v>A0234</x:v>
      </x:c>
      <x:c r="C240" s="27" t="str">
        <x:v>allocation</x:v>
      </x:c>
      <x:c r="D240" s="27" t="str">
        <x:v>Allocation L26 nonnegative</x:v>
      </x:c>
      <x:c r="E240" s="27" t="n">
        <x:f>IF('Allocation Build'!L26&gt;=0,1,0)</x:f>
        <x:v>1</x:v>
      </x:c>
      <x:c r="F240" s="27" t="n">
        <x:v>1</x:v>
      </x:c>
      <x:c r="G240" s="29" t="str">
        <x:f>IF(E240=F240,"PASS","FAIL")</x:f>
        <x:v>PASS</x:v>
      </x:c>
    </x:row>
    <x:row r="241" ht="18" customHeight="1">
      <x:c r="B241" s="27" t="str">
        <x:v>A0235</x:v>
      </x:c>
      <x:c r="C241" s="27" t="str">
        <x:v>allocation</x:v>
      </x:c>
      <x:c r="D241" s="27" t="str">
        <x:v>Allocation row 26 state open</x:v>
      </x:c>
      <x:c r="E241" s="27" t="n">
        <x:f>IF('Allocation Build'!N26="OPEN",1,0)</x:f>
        <x:v>1</x:v>
      </x:c>
      <x:c r="F241" s="27" t="n">
        <x:v>1</x:v>
      </x:c>
      <x:c r="G241" s="29" t="str">
        <x:f>IF(E241=F241,"PASS","FAIL")</x:f>
        <x:v>PASS</x:v>
      </x:c>
    </x:row>
    <x:row r="242" ht="18" customHeight="1">
      <x:c r="B242" s="27" t="str">
        <x:v>A0236</x:v>
      </x:c>
      <x:c r="C242" s="27" t="str">
        <x:v>allocation</x:v>
      </x:c>
      <x:c r="D242" s="27" t="str">
        <x:v>Allocation E27 nonnegative</x:v>
      </x:c>
      <x:c r="E242" s="27" t="n">
        <x:f>IF('Allocation Build'!E27&gt;=0,1,0)</x:f>
        <x:v>1</x:v>
      </x:c>
      <x:c r="F242" s="27" t="n">
        <x:v>1</x:v>
      </x:c>
      <x:c r="G242" s="29" t="str">
        <x:f>IF(E242=F242,"PASS","FAIL")</x:f>
        <x:v>PASS</x:v>
      </x:c>
    </x:row>
    <x:row r="243" ht="18" customHeight="1">
      <x:c r="B243" s="27" t="str">
        <x:v>A0237</x:v>
      </x:c>
      <x:c r="C243" s="27" t="str">
        <x:v>allocation</x:v>
      </x:c>
      <x:c r="D243" s="27" t="str">
        <x:v>Allocation F27 nonnegative</x:v>
      </x:c>
      <x:c r="E243" s="27" t="n">
        <x:f>IF('Allocation Build'!F27&gt;=0,1,0)</x:f>
        <x:v>1</x:v>
      </x:c>
      <x:c r="F243" s="27" t="n">
        <x:v>1</x:v>
      </x:c>
      <x:c r="G243" s="29" t="str">
        <x:f>IF(E243=F243,"PASS","FAIL")</x:f>
        <x:v>PASS</x:v>
      </x:c>
    </x:row>
    <x:row r="244" ht="18" customHeight="1">
      <x:c r="B244" s="27" t="str">
        <x:v>A0238</x:v>
      </x:c>
      <x:c r="C244" s="27" t="str">
        <x:v>allocation</x:v>
      </x:c>
      <x:c r="D244" s="27" t="str">
        <x:v>Allocation G27 nonnegative</x:v>
      </x:c>
      <x:c r="E244" s="27" t="n">
        <x:f>IF('Allocation Build'!G27&gt;=0,1,0)</x:f>
        <x:v>1</x:v>
      </x:c>
      <x:c r="F244" s="27" t="n">
        <x:v>1</x:v>
      </x:c>
      <x:c r="G244" s="29" t="str">
        <x:f>IF(E244=F244,"PASS","FAIL")</x:f>
        <x:v>PASS</x:v>
      </x:c>
    </x:row>
    <x:row r="245" ht="18" customHeight="1">
      <x:c r="B245" s="27" t="str">
        <x:v>A0239</x:v>
      </x:c>
      <x:c r="C245" s="27" t="str">
        <x:v>allocation</x:v>
      </x:c>
      <x:c r="D245" s="27" t="str">
        <x:v>Allocation H27 nonnegative</x:v>
      </x:c>
      <x:c r="E245" s="27" t="n">
        <x:f>IF('Allocation Build'!H27&gt;=0,1,0)</x:f>
        <x:v>1</x:v>
      </x:c>
      <x:c r="F245" s="27" t="n">
        <x:v>1</x:v>
      </x:c>
      <x:c r="G245" s="29" t="str">
        <x:f>IF(E245=F245,"PASS","FAIL")</x:f>
        <x:v>PASS</x:v>
      </x:c>
    </x:row>
    <x:row r="246" ht="18" customHeight="1">
      <x:c r="B246" s="27" t="str">
        <x:v>A0240</x:v>
      </x:c>
      <x:c r="C246" s="27" t="str">
        <x:v>allocation</x:v>
      </x:c>
      <x:c r="D246" s="27" t="str">
        <x:v>Allocation I27 nonnegative</x:v>
      </x:c>
      <x:c r="E246" s="27" t="n">
        <x:f>IF('Allocation Build'!I27&gt;=0,1,0)</x:f>
        <x:v>1</x:v>
      </x:c>
      <x:c r="F246" s="27" t="n">
        <x:v>1</x:v>
      </x:c>
      <x:c r="G246" s="29" t="str">
        <x:f>IF(E246=F246,"PASS","FAIL")</x:f>
        <x:v>PASS</x:v>
      </x:c>
    </x:row>
    <x:row r="247" ht="18" customHeight="1">
      <x:c r="B247" s="27" t="str">
        <x:v>A0241</x:v>
      </x:c>
      <x:c r="C247" s="27" t="str">
        <x:v>allocation</x:v>
      </x:c>
      <x:c r="D247" s="27" t="str">
        <x:v>Allocation J27 nonnegative</x:v>
      </x:c>
      <x:c r="E247" s="27" t="n">
        <x:f>IF('Allocation Build'!J27&gt;=0,1,0)</x:f>
        <x:v>1</x:v>
      </x:c>
      <x:c r="F247" s="27" t="n">
        <x:v>1</x:v>
      </x:c>
      <x:c r="G247" s="29" t="str">
        <x:f>IF(E247=F247,"PASS","FAIL")</x:f>
        <x:v>PASS</x:v>
      </x:c>
    </x:row>
    <x:row r="248" ht="18" customHeight="1">
      <x:c r="B248" s="27" t="str">
        <x:v>A0242</x:v>
      </x:c>
      <x:c r="C248" s="27" t="str">
        <x:v>allocation</x:v>
      </x:c>
      <x:c r="D248" s="27" t="str">
        <x:v>Allocation K27 nonnegative</x:v>
      </x:c>
      <x:c r="E248" s="27" t="n">
        <x:f>IF('Allocation Build'!K27&gt;=0,1,0)</x:f>
        <x:v>1</x:v>
      </x:c>
      <x:c r="F248" s="27" t="n">
        <x:v>1</x:v>
      </x:c>
      <x:c r="G248" s="29" t="str">
        <x:f>IF(E248=F248,"PASS","FAIL")</x:f>
        <x:v>PASS</x:v>
      </x:c>
    </x:row>
    <x:row r="249" ht="18" customHeight="1">
      <x:c r="B249" s="27" t="str">
        <x:v>A0243</x:v>
      </x:c>
      <x:c r="C249" s="27" t="str">
        <x:v>allocation</x:v>
      </x:c>
      <x:c r="D249" s="27" t="str">
        <x:v>Allocation L27 nonnegative</x:v>
      </x:c>
      <x:c r="E249" s="27" t="n">
        <x:f>IF('Allocation Build'!L27&gt;=0,1,0)</x:f>
        <x:v>1</x:v>
      </x:c>
      <x:c r="F249" s="27" t="n">
        <x:v>1</x:v>
      </x:c>
      <x:c r="G249" s="29" t="str">
        <x:f>IF(E249=F249,"PASS","FAIL")</x:f>
        <x:v>PASS</x:v>
      </x:c>
    </x:row>
    <x:row r="250" ht="18" customHeight="1">
      <x:c r="B250" s="27" t="str">
        <x:v>A0244</x:v>
      </x:c>
      <x:c r="C250" s="27" t="str">
        <x:v>allocation</x:v>
      </x:c>
      <x:c r="D250" s="27" t="str">
        <x:v>Allocation row 27 state open</x:v>
      </x:c>
      <x:c r="E250" s="27" t="n">
        <x:f>IF('Allocation Build'!N27="OPEN",1,0)</x:f>
        <x:v>1</x:v>
      </x:c>
      <x:c r="F250" s="27" t="n">
        <x:v>1</x:v>
      </x:c>
      <x:c r="G250" s="29" t="str">
        <x:f>IF(E250=F250,"PASS","FAIL")</x:f>
        <x:v>PASS</x:v>
      </x:c>
    </x:row>
    <x:row r="251" ht="18" customHeight="1">
      <x:c r="B251" s="27" t="str">
        <x:v>A0245</x:v>
      </x:c>
      <x:c r="C251" s="27" t="str">
        <x:v>allocation</x:v>
      </x:c>
      <x:c r="D251" s="27" t="str">
        <x:v>Allocation E28 nonnegative</x:v>
      </x:c>
      <x:c r="E251" s="27" t="n">
        <x:f>IF('Allocation Build'!E28&gt;=0,1,0)</x:f>
        <x:v>1</x:v>
      </x:c>
      <x:c r="F251" s="27" t="n">
        <x:v>1</x:v>
      </x:c>
      <x:c r="G251" s="29" t="str">
        <x:f>IF(E251=F251,"PASS","FAIL")</x:f>
        <x:v>PASS</x:v>
      </x:c>
    </x:row>
    <x:row r="252" ht="18" customHeight="1">
      <x:c r="B252" s="27" t="str">
        <x:v>A0246</x:v>
      </x:c>
      <x:c r="C252" s="27" t="str">
        <x:v>allocation</x:v>
      </x:c>
      <x:c r="D252" s="27" t="str">
        <x:v>Allocation F28 nonnegative</x:v>
      </x:c>
      <x:c r="E252" s="27" t="n">
        <x:f>IF('Allocation Build'!F28&gt;=0,1,0)</x:f>
        <x:v>1</x:v>
      </x:c>
      <x:c r="F252" s="27" t="n">
        <x:v>1</x:v>
      </x:c>
      <x:c r="G252" s="29" t="str">
        <x:f>IF(E252=F252,"PASS","FAIL")</x:f>
        <x:v>PASS</x:v>
      </x:c>
    </x:row>
    <x:row r="253" ht="18" customHeight="1">
      <x:c r="B253" s="27" t="str">
        <x:v>A0247</x:v>
      </x:c>
      <x:c r="C253" s="27" t="str">
        <x:v>allocation</x:v>
      </x:c>
      <x:c r="D253" s="27" t="str">
        <x:v>Allocation G28 nonnegative</x:v>
      </x:c>
      <x:c r="E253" s="27" t="n">
        <x:f>IF('Allocation Build'!G28&gt;=0,1,0)</x:f>
        <x:v>1</x:v>
      </x:c>
      <x:c r="F253" s="27" t="n">
        <x:v>1</x:v>
      </x:c>
      <x:c r="G253" s="29" t="str">
        <x:f>IF(E253=F253,"PASS","FAIL")</x:f>
        <x:v>PASS</x:v>
      </x:c>
    </x:row>
    <x:row r="254" ht="18" customHeight="1">
      <x:c r="B254" s="27" t="str">
        <x:v>A0248</x:v>
      </x:c>
      <x:c r="C254" s="27" t="str">
        <x:v>allocation</x:v>
      </x:c>
      <x:c r="D254" s="27" t="str">
        <x:v>Allocation H28 nonnegative</x:v>
      </x:c>
      <x:c r="E254" s="27" t="n">
        <x:f>IF('Allocation Build'!H28&gt;=0,1,0)</x:f>
        <x:v>1</x:v>
      </x:c>
      <x:c r="F254" s="27" t="n">
        <x:v>1</x:v>
      </x:c>
      <x:c r="G254" s="29" t="str">
        <x:f>IF(E254=F254,"PASS","FAIL")</x:f>
        <x:v>PASS</x:v>
      </x:c>
    </x:row>
    <x:row r="255" ht="18" customHeight="1">
      <x:c r="B255" s="27" t="str">
        <x:v>A0249</x:v>
      </x:c>
      <x:c r="C255" s="27" t="str">
        <x:v>allocation</x:v>
      </x:c>
      <x:c r="D255" s="27" t="str">
        <x:v>Allocation I28 nonnegative</x:v>
      </x:c>
      <x:c r="E255" s="27" t="n">
        <x:f>IF('Allocation Build'!I28&gt;=0,1,0)</x:f>
        <x:v>1</x:v>
      </x:c>
      <x:c r="F255" s="27" t="n">
        <x:v>1</x:v>
      </x:c>
      <x:c r="G255" s="29" t="str">
        <x:f>IF(E255=F255,"PASS","FAIL")</x:f>
        <x:v>PASS</x:v>
      </x:c>
    </x:row>
    <x:row r="256" ht="18" customHeight="1">
      <x:c r="B256" s="27" t="str">
        <x:v>A0250</x:v>
      </x:c>
      <x:c r="C256" s="27" t="str">
        <x:v>allocation</x:v>
      </x:c>
      <x:c r="D256" s="27" t="str">
        <x:v>Allocation J28 nonnegative</x:v>
      </x:c>
      <x:c r="E256" s="27" t="n">
        <x:f>IF('Allocation Build'!J28&gt;=0,1,0)</x:f>
        <x:v>1</x:v>
      </x:c>
      <x:c r="F256" s="27" t="n">
        <x:v>1</x:v>
      </x:c>
      <x:c r="G256" s="29" t="str">
        <x:f>IF(E256=F256,"PASS","FAIL")</x:f>
        <x:v>PASS</x:v>
      </x:c>
    </x:row>
    <x:row r="257" ht="18" customHeight="1">
      <x:c r="B257" s="27" t="str">
        <x:v>A0251</x:v>
      </x:c>
      <x:c r="C257" s="27" t="str">
        <x:v>allocation</x:v>
      </x:c>
      <x:c r="D257" s="27" t="str">
        <x:v>Allocation K28 nonnegative</x:v>
      </x:c>
      <x:c r="E257" s="27" t="n">
        <x:f>IF('Allocation Build'!K28&gt;=0,1,0)</x:f>
        <x:v>1</x:v>
      </x:c>
      <x:c r="F257" s="27" t="n">
        <x:v>1</x:v>
      </x:c>
      <x:c r="G257" s="29" t="str">
        <x:f>IF(E257=F257,"PASS","FAIL")</x:f>
        <x:v>PASS</x:v>
      </x:c>
    </x:row>
    <x:row r="258" ht="18" customHeight="1">
      <x:c r="B258" s="27" t="str">
        <x:v>A0252</x:v>
      </x:c>
      <x:c r="C258" s="27" t="str">
        <x:v>allocation</x:v>
      </x:c>
      <x:c r="D258" s="27" t="str">
        <x:v>Allocation L28 nonnegative</x:v>
      </x:c>
      <x:c r="E258" s="27" t="n">
        <x:f>IF('Allocation Build'!L28&gt;=0,1,0)</x:f>
        <x:v>1</x:v>
      </x:c>
      <x:c r="F258" s="27" t="n">
        <x:v>1</x:v>
      </x:c>
      <x:c r="G258" s="29" t="str">
        <x:f>IF(E258=F258,"PASS","FAIL")</x:f>
        <x:v>PASS</x:v>
      </x:c>
    </x:row>
    <x:row r="259" ht="18" customHeight="1">
      <x:c r="B259" s="27" t="str">
        <x:v>A0253</x:v>
      </x:c>
      <x:c r="C259" s="27" t="str">
        <x:v>allocation</x:v>
      </x:c>
      <x:c r="D259" s="27" t="str">
        <x:v>Allocation row 28 state open</x:v>
      </x:c>
      <x:c r="E259" s="27" t="n">
        <x:f>IF('Allocation Build'!N28="OPEN",1,0)</x:f>
        <x:v>1</x:v>
      </x:c>
      <x:c r="F259" s="27" t="n">
        <x:v>1</x:v>
      </x:c>
      <x:c r="G259" s="29" t="str">
        <x:f>IF(E259=F259,"PASS","FAIL")</x:f>
        <x:v>PASS</x:v>
      </x:c>
    </x:row>
    <x:row r="260" ht="18" customHeight="1">
      <x:c r="B260" s="27" t="str">
        <x:v>A0254</x:v>
      </x:c>
      <x:c r="C260" s="27" t="str">
        <x:v>allocation</x:v>
      </x:c>
      <x:c r="D260" s="27" t="str">
        <x:v>Allocation E29 nonnegative</x:v>
      </x:c>
      <x:c r="E260" s="27" t="n">
        <x:f>IF('Allocation Build'!E29&gt;=0,1,0)</x:f>
        <x:v>1</x:v>
      </x:c>
      <x:c r="F260" s="27" t="n">
        <x:v>1</x:v>
      </x:c>
      <x:c r="G260" s="29" t="str">
        <x:f>IF(E260=F260,"PASS","FAIL")</x:f>
        <x:v>PASS</x:v>
      </x:c>
    </x:row>
    <x:row r="261" ht="18" customHeight="1">
      <x:c r="B261" s="27" t="str">
        <x:v>A0255</x:v>
      </x:c>
      <x:c r="C261" s="27" t="str">
        <x:v>allocation</x:v>
      </x:c>
      <x:c r="D261" s="27" t="str">
        <x:v>Allocation F29 nonnegative</x:v>
      </x:c>
      <x:c r="E261" s="27" t="n">
        <x:f>IF('Allocation Build'!F29&gt;=0,1,0)</x:f>
        <x:v>1</x:v>
      </x:c>
      <x:c r="F261" s="27" t="n">
        <x:v>1</x:v>
      </x:c>
      <x:c r="G261" s="29" t="str">
        <x:f>IF(E261=F261,"PASS","FAIL")</x:f>
        <x:v>PASS</x:v>
      </x:c>
    </x:row>
    <x:row r="262" ht="18" customHeight="1">
      <x:c r="B262" s="27" t="str">
        <x:v>A0256</x:v>
      </x:c>
      <x:c r="C262" s="27" t="str">
        <x:v>allocation</x:v>
      </x:c>
      <x:c r="D262" s="27" t="str">
        <x:v>Allocation G29 nonnegative</x:v>
      </x:c>
      <x:c r="E262" s="27" t="n">
        <x:f>IF('Allocation Build'!G29&gt;=0,1,0)</x:f>
        <x:v>1</x:v>
      </x:c>
      <x:c r="F262" s="27" t="n">
        <x:v>1</x:v>
      </x:c>
      <x:c r="G262" s="29" t="str">
        <x:f>IF(E262=F262,"PASS","FAIL")</x:f>
        <x:v>PASS</x:v>
      </x:c>
    </x:row>
    <x:row r="263" ht="18" customHeight="1">
      <x:c r="B263" s="27" t="str">
        <x:v>A0257</x:v>
      </x:c>
      <x:c r="C263" s="27" t="str">
        <x:v>allocation</x:v>
      </x:c>
      <x:c r="D263" s="27" t="str">
        <x:v>Allocation H29 nonnegative</x:v>
      </x:c>
      <x:c r="E263" s="27" t="n">
        <x:f>IF('Allocation Build'!H29&gt;=0,1,0)</x:f>
        <x:v>1</x:v>
      </x:c>
      <x:c r="F263" s="27" t="n">
        <x:v>1</x:v>
      </x:c>
      <x:c r="G263" s="29" t="str">
        <x:f>IF(E263=F263,"PASS","FAIL")</x:f>
        <x:v>PASS</x:v>
      </x:c>
    </x:row>
    <x:row r="264" ht="18" customHeight="1">
      <x:c r="B264" s="27" t="str">
        <x:v>A0258</x:v>
      </x:c>
      <x:c r="C264" s="27" t="str">
        <x:v>allocation</x:v>
      </x:c>
      <x:c r="D264" s="27" t="str">
        <x:v>Allocation I29 nonnegative</x:v>
      </x:c>
      <x:c r="E264" s="27" t="n">
        <x:f>IF('Allocation Build'!I29&gt;=0,1,0)</x:f>
        <x:v>1</x:v>
      </x:c>
      <x:c r="F264" s="27" t="n">
        <x:v>1</x:v>
      </x:c>
      <x:c r="G264" s="29" t="str">
        <x:f>IF(E264=F264,"PASS","FAIL")</x:f>
        <x:v>PASS</x:v>
      </x:c>
    </x:row>
    <x:row r="265" ht="18" customHeight="1">
      <x:c r="B265" s="27" t="str">
        <x:v>A0259</x:v>
      </x:c>
      <x:c r="C265" s="27" t="str">
        <x:v>allocation</x:v>
      </x:c>
      <x:c r="D265" s="27" t="str">
        <x:v>Allocation J29 nonnegative</x:v>
      </x:c>
      <x:c r="E265" s="27" t="n">
        <x:f>IF('Allocation Build'!J29&gt;=0,1,0)</x:f>
        <x:v>1</x:v>
      </x:c>
      <x:c r="F265" s="27" t="n">
        <x:v>1</x:v>
      </x:c>
      <x:c r="G265" s="29" t="str">
        <x:f>IF(E265=F265,"PASS","FAIL")</x:f>
        <x:v>PASS</x:v>
      </x:c>
    </x:row>
    <x:row r="266" ht="18" customHeight="1">
      <x:c r="B266" s="27" t="str">
        <x:v>A0260</x:v>
      </x:c>
      <x:c r="C266" s="27" t="str">
        <x:v>allocation</x:v>
      </x:c>
      <x:c r="D266" s="27" t="str">
        <x:v>Allocation K29 nonnegative</x:v>
      </x:c>
      <x:c r="E266" s="27" t="n">
        <x:f>IF('Allocation Build'!K29&gt;=0,1,0)</x:f>
        <x:v>1</x:v>
      </x:c>
      <x:c r="F266" s="27" t="n">
        <x:v>1</x:v>
      </x:c>
      <x:c r="G266" s="29" t="str">
        <x:f>IF(E266=F266,"PASS","FAIL")</x:f>
        <x:v>PASS</x:v>
      </x:c>
    </x:row>
    <x:row r="267" ht="18" customHeight="1">
      <x:c r="B267" s="27" t="str">
        <x:v>A0261</x:v>
      </x:c>
      <x:c r="C267" s="27" t="str">
        <x:v>allocation</x:v>
      </x:c>
      <x:c r="D267" s="27" t="str">
        <x:v>Allocation L29 nonnegative</x:v>
      </x:c>
      <x:c r="E267" s="27" t="n">
        <x:f>IF('Allocation Build'!L29&gt;=0,1,0)</x:f>
        <x:v>1</x:v>
      </x:c>
      <x:c r="F267" s="27" t="n">
        <x:v>1</x:v>
      </x:c>
      <x:c r="G267" s="29" t="str">
        <x:f>IF(E267=F267,"PASS","FAIL")</x:f>
        <x:v>PASS</x:v>
      </x:c>
    </x:row>
    <x:row r="268" ht="18" customHeight="1">
      <x:c r="B268" s="27" t="str">
        <x:v>A0262</x:v>
      </x:c>
      <x:c r="C268" s="27" t="str">
        <x:v>allocation</x:v>
      </x:c>
      <x:c r="D268" s="27" t="str">
        <x:v>Allocation row 29 state open</x:v>
      </x:c>
      <x:c r="E268" s="27" t="n">
        <x:f>IF('Allocation Build'!N29="OPEN",1,0)</x:f>
        <x:v>1</x:v>
      </x:c>
      <x:c r="F268" s="27" t="n">
        <x:v>1</x:v>
      </x:c>
      <x:c r="G268" s="29" t="str">
        <x:f>IF(E268=F268,"PASS","FAIL")</x:f>
        <x:v>PASS</x:v>
      </x:c>
    </x:row>
    <x:row r="269" ht="18" customHeight="1">
      <x:c r="B269" s="27" t="str">
        <x:v>A0263</x:v>
      </x:c>
      <x:c r="C269" s="27" t="str">
        <x:v>allocation</x:v>
      </x:c>
      <x:c r="D269" s="27" t="str">
        <x:v>Allocation E30 nonnegative</x:v>
      </x:c>
      <x:c r="E269" s="27" t="n">
        <x:f>IF('Allocation Build'!E30&gt;=0,1,0)</x:f>
        <x:v>1</x:v>
      </x:c>
      <x:c r="F269" s="27" t="n">
        <x:v>1</x:v>
      </x:c>
      <x:c r="G269" s="29" t="str">
        <x:f>IF(E269=F269,"PASS","FAIL")</x:f>
        <x:v>PASS</x:v>
      </x:c>
    </x:row>
    <x:row r="270" ht="18" customHeight="1">
      <x:c r="B270" s="27" t="str">
        <x:v>A0264</x:v>
      </x:c>
      <x:c r="C270" s="27" t="str">
        <x:v>allocation</x:v>
      </x:c>
      <x:c r="D270" s="27" t="str">
        <x:v>Allocation F30 nonnegative</x:v>
      </x:c>
      <x:c r="E270" s="27" t="n">
        <x:f>IF('Allocation Build'!F30&gt;=0,1,0)</x:f>
        <x:v>1</x:v>
      </x:c>
      <x:c r="F270" s="27" t="n">
        <x:v>1</x:v>
      </x:c>
      <x:c r="G270" s="29" t="str">
        <x:f>IF(E270=F270,"PASS","FAIL")</x:f>
        <x:v>PASS</x:v>
      </x:c>
    </x:row>
    <x:row r="271" ht="18" customHeight="1">
      <x:c r="B271" s="27" t="str">
        <x:v>A0265</x:v>
      </x:c>
      <x:c r="C271" s="27" t="str">
        <x:v>allocation</x:v>
      </x:c>
      <x:c r="D271" s="27" t="str">
        <x:v>Allocation G30 nonnegative</x:v>
      </x:c>
      <x:c r="E271" s="27" t="n">
        <x:f>IF('Allocation Build'!G30&gt;=0,1,0)</x:f>
        <x:v>1</x:v>
      </x:c>
      <x:c r="F271" s="27" t="n">
        <x:v>1</x:v>
      </x:c>
      <x:c r="G271" s="29" t="str">
        <x:f>IF(E271=F271,"PASS","FAIL")</x:f>
        <x:v>PASS</x:v>
      </x:c>
    </x:row>
    <x:row r="272" ht="18" customHeight="1">
      <x:c r="B272" s="27" t="str">
        <x:v>A0266</x:v>
      </x:c>
      <x:c r="C272" s="27" t="str">
        <x:v>allocation</x:v>
      </x:c>
      <x:c r="D272" s="27" t="str">
        <x:v>Allocation H30 nonnegative</x:v>
      </x:c>
      <x:c r="E272" s="27" t="n">
        <x:f>IF('Allocation Build'!H30&gt;=0,1,0)</x:f>
        <x:v>1</x:v>
      </x:c>
      <x:c r="F272" s="27" t="n">
        <x:v>1</x:v>
      </x:c>
      <x:c r="G272" s="29" t="str">
        <x:f>IF(E272=F272,"PASS","FAIL")</x:f>
        <x:v>PASS</x:v>
      </x:c>
    </x:row>
    <x:row r="273" ht="18" customHeight="1">
      <x:c r="B273" s="27" t="str">
        <x:v>A0267</x:v>
      </x:c>
      <x:c r="C273" s="27" t="str">
        <x:v>allocation</x:v>
      </x:c>
      <x:c r="D273" s="27" t="str">
        <x:v>Allocation I30 nonnegative</x:v>
      </x:c>
      <x:c r="E273" s="27" t="n">
        <x:f>IF('Allocation Build'!I30&gt;=0,1,0)</x:f>
        <x:v>1</x:v>
      </x:c>
      <x:c r="F273" s="27" t="n">
        <x:v>1</x:v>
      </x:c>
      <x:c r="G273" s="29" t="str">
        <x:f>IF(E273=F273,"PASS","FAIL")</x:f>
        <x:v>PASS</x:v>
      </x:c>
    </x:row>
    <x:row r="274" ht="18" customHeight="1">
      <x:c r="B274" s="27" t="str">
        <x:v>A0268</x:v>
      </x:c>
      <x:c r="C274" s="27" t="str">
        <x:v>allocation</x:v>
      </x:c>
      <x:c r="D274" s="27" t="str">
        <x:v>Allocation J30 nonnegative</x:v>
      </x:c>
      <x:c r="E274" s="27" t="n">
        <x:f>IF('Allocation Build'!J30&gt;=0,1,0)</x:f>
        <x:v>1</x:v>
      </x:c>
      <x:c r="F274" s="27" t="n">
        <x:v>1</x:v>
      </x:c>
      <x:c r="G274" s="29" t="str">
        <x:f>IF(E274=F274,"PASS","FAIL")</x:f>
        <x:v>PASS</x:v>
      </x:c>
    </x:row>
    <x:row r="275" ht="18" customHeight="1">
      <x:c r="B275" s="27" t="str">
        <x:v>A0269</x:v>
      </x:c>
      <x:c r="C275" s="27" t="str">
        <x:v>allocation</x:v>
      </x:c>
      <x:c r="D275" s="27" t="str">
        <x:v>Allocation K30 nonnegative</x:v>
      </x:c>
      <x:c r="E275" s="27" t="n">
        <x:f>IF('Allocation Build'!K30&gt;=0,1,0)</x:f>
        <x:v>1</x:v>
      </x:c>
      <x:c r="F275" s="27" t="n">
        <x:v>1</x:v>
      </x:c>
      <x:c r="G275" s="29" t="str">
        <x:f>IF(E275=F275,"PASS","FAIL")</x:f>
        <x:v>PASS</x:v>
      </x:c>
    </x:row>
    <x:row r="276" ht="18" customHeight="1">
      <x:c r="B276" s="27" t="str">
        <x:v>A0270</x:v>
      </x:c>
      <x:c r="C276" s="27" t="str">
        <x:v>allocation</x:v>
      </x:c>
      <x:c r="D276" s="27" t="str">
        <x:v>Allocation L30 nonnegative</x:v>
      </x:c>
      <x:c r="E276" s="27" t="n">
        <x:f>IF('Allocation Build'!L30&gt;=0,1,0)</x:f>
        <x:v>1</x:v>
      </x:c>
      <x:c r="F276" s="27" t="n">
        <x:v>1</x:v>
      </x:c>
      <x:c r="G276" s="29" t="str">
        <x:f>IF(E276=F276,"PASS","FAIL")</x:f>
        <x:v>PASS</x:v>
      </x:c>
    </x:row>
    <x:row r="277" ht="18" customHeight="1">
      <x:c r="B277" s="27" t="str">
        <x:v>A0271</x:v>
      </x:c>
      <x:c r="C277" s="27" t="str">
        <x:v>allocation</x:v>
      </x:c>
      <x:c r="D277" s="27" t="str">
        <x:v>Allocation row 30 state open</x:v>
      </x:c>
      <x:c r="E277" s="27" t="n">
        <x:f>IF('Allocation Build'!N30="OPEN",1,0)</x:f>
        <x:v>1</x:v>
      </x:c>
      <x:c r="F277" s="27" t="n">
        <x:v>1</x:v>
      </x:c>
      <x:c r="G277" s="29" t="str">
        <x:f>IF(E277=F277,"PASS","FAIL")</x:f>
        <x:v>PASS</x:v>
      </x:c>
    </x:row>
    <x:row r="278" ht="18" customHeight="1">
      <x:c r="B278" s="27" t="str">
        <x:v>A0272</x:v>
      </x:c>
      <x:c r="C278" s="27" t="str">
        <x:v>allocation</x:v>
      </x:c>
      <x:c r="D278" s="27" t="str">
        <x:v>Allocation E31 nonnegative</x:v>
      </x:c>
      <x:c r="E278" s="27" t="n">
        <x:f>IF('Allocation Build'!E31&gt;=0,1,0)</x:f>
        <x:v>1</x:v>
      </x:c>
      <x:c r="F278" s="27" t="n">
        <x:v>1</x:v>
      </x:c>
      <x:c r="G278" s="29" t="str">
        <x:f>IF(E278=F278,"PASS","FAIL")</x:f>
        <x:v>PASS</x:v>
      </x:c>
    </x:row>
    <x:row r="279" ht="18" customHeight="1">
      <x:c r="B279" s="27" t="str">
        <x:v>A0273</x:v>
      </x:c>
      <x:c r="C279" s="27" t="str">
        <x:v>allocation</x:v>
      </x:c>
      <x:c r="D279" s="27" t="str">
        <x:v>Allocation F31 nonnegative</x:v>
      </x:c>
      <x:c r="E279" s="27" t="n">
        <x:f>IF('Allocation Build'!F31&gt;=0,1,0)</x:f>
        <x:v>1</x:v>
      </x:c>
      <x:c r="F279" s="27" t="n">
        <x:v>1</x:v>
      </x:c>
      <x:c r="G279" s="29" t="str">
        <x:f>IF(E279=F279,"PASS","FAIL")</x:f>
        <x:v>PASS</x:v>
      </x:c>
    </x:row>
    <x:row r="280" ht="18" customHeight="1">
      <x:c r="B280" s="27" t="str">
        <x:v>A0274</x:v>
      </x:c>
      <x:c r="C280" s="27" t="str">
        <x:v>allocation</x:v>
      </x:c>
      <x:c r="D280" s="27" t="str">
        <x:v>Allocation G31 nonnegative</x:v>
      </x:c>
      <x:c r="E280" s="27" t="n">
        <x:f>IF('Allocation Build'!G31&gt;=0,1,0)</x:f>
        <x:v>1</x:v>
      </x:c>
      <x:c r="F280" s="27" t="n">
        <x:v>1</x:v>
      </x:c>
      <x:c r="G280" s="29" t="str">
        <x:f>IF(E280=F280,"PASS","FAIL")</x:f>
        <x:v>PASS</x:v>
      </x:c>
    </x:row>
    <x:row r="281" ht="18" customHeight="1">
      <x:c r="B281" s="27" t="str">
        <x:v>A0275</x:v>
      </x:c>
      <x:c r="C281" s="27" t="str">
        <x:v>allocation</x:v>
      </x:c>
      <x:c r="D281" s="27" t="str">
        <x:v>Allocation H31 nonnegative</x:v>
      </x:c>
      <x:c r="E281" s="27" t="n">
        <x:f>IF('Allocation Build'!H31&gt;=0,1,0)</x:f>
        <x:v>1</x:v>
      </x:c>
      <x:c r="F281" s="27" t="n">
        <x:v>1</x:v>
      </x:c>
      <x:c r="G281" s="29" t="str">
        <x:f>IF(E281=F281,"PASS","FAIL")</x:f>
        <x:v>PASS</x:v>
      </x:c>
    </x:row>
    <x:row r="282" ht="18" customHeight="1">
      <x:c r="B282" s="27" t="str">
        <x:v>A0276</x:v>
      </x:c>
      <x:c r="C282" s="27" t="str">
        <x:v>allocation</x:v>
      </x:c>
      <x:c r="D282" s="27" t="str">
        <x:v>Allocation I31 nonnegative</x:v>
      </x:c>
      <x:c r="E282" s="27" t="n">
        <x:f>IF('Allocation Build'!I31&gt;=0,1,0)</x:f>
        <x:v>1</x:v>
      </x:c>
      <x:c r="F282" s="27" t="n">
        <x:v>1</x:v>
      </x:c>
      <x:c r="G282" s="29" t="str">
        <x:f>IF(E282=F282,"PASS","FAIL")</x:f>
        <x:v>PASS</x:v>
      </x:c>
    </x:row>
    <x:row r="283" ht="18" customHeight="1">
      <x:c r="B283" s="27" t="str">
        <x:v>A0277</x:v>
      </x:c>
      <x:c r="C283" s="27" t="str">
        <x:v>allocation</x:v>
      </x:c>
      <x:c r="D283" s="27" t="str">
        <x:v>Allocation J31 nonnegative</x:v>
      </x:c>
      <x:c r="E283" s="27" t="n">
        <x:f>IF('Allocation Build'!J31&gt;=0,1,0)</x:f>
        <x:v>1</x:v>
      </x:c>
      <x:c r="F283" s="27" t="n">
        <x:v>1</x:v>
      </x:c>
      <x:c r="G283" s="29" t="str">
        <x:f>IF(E283=F283,"PASS","FAIL")</x:f>
        <x:v>PASS</x:v>
      </x:c>
    </x:row>
    <x:row r="284" ht="18" customHeight="1">
      <x:c r="B284" s="27" t="str">
        <x:v>A0278</x:v>
      </x:c>
      <x:c r="C284" s="27" t="str">
        <x:v>allocation</x:v>
      </x:c>
      <x:c r="D284" s="27" t="str">
        <x:v>Allocation K31 nonnegative</x:v>
      </x:c>
      <x:c r="E284" s="27" t="n">
        <x:f>IF('Allocation Build'!K31&gt;=0,1,0)</x:f>
        <x:v>1</x:v>
      </x:c>
      <x:c r="F284" s="27" t="n">
        <x:v>1</x:v>
      </x:c>
      <x:c r="G284" s="29" t="str">
        <x:f>IF(E284=F284,"PASS","FAIL")</x:f>
        <x:v>PASS</x:v>
      </x:c>
    </x:row>
    <x:row r="285" ht="18" customHeight="1">
      <x:c r="B285" s="27" t="str">
        <x:v>A0279</x:v>
      </x:c>
      <x:c r="C285" s="27" t="str">
        <x:v>allocation</x:v>
      </x:c>
      <x:c r="D285" s="27" t="str">
        <x:v>Allocation L31 nonnegative</x:v>
      </x:c>
      <x:c r="E285" s="27" t="n">
        <x:f>IF('Allocation Build'!L31&gt;=0,1,0)</x:f>
        <x:v>1</x:v>
      </x:c>
      <x:c r="F285" s="27" t="n">
        <x:v>1</x:v>
      </x:c>
      <x:c r="G285" s="29" t="str">
        <x:f>IF(E285=F285,"PASS","FAIL")</x:f>
        <x:v>PASS</x:v>
      </x:c>
    </x:row>
    <x:row r="286" ht="18" customHeight="1">
      <x:c r="B286" s="27" t="str">
        <x:v>A0280</x:v>
      </x:c>
      <x:c r="C286" s="27" t="str">
        <x:v>allocation</x:v>
      </x:c>
      <x:c r="D286" s="27" t="str">
        <x:v>Allocation row 31 state open</x:v>
      </x:c>
      <x:c r="E286" s="27" t="n">
        <x:f>IF('Allocation Build'!N31="OPEN",1,0)</x:f>
        <x:v>1</x:v>
      </x:c>
      <x:c r="F286" s="27" t="n">
        <x:v>1</x:v>
      </x:c>
      <x:c r="G286" s="29" t="str">
        <x:f>IF(E286=F286,"PASS","FAIL")</x:f>
        <x:v>PASS</x:v>
      </x:c>
    </x:row>
    <x:row r="287" ht="18" customHeight="1">
      <x:c r="B287" s="27" t="str">
        <x:v>A0281</x:v>
      </x:c>
      <x:c r="C287" s="27" t="str">
        <x:v>allocation</x:v>
      </x:c>
      <x:c r="D287" s="27" t="str">
        <x:v>Allocation E32 nonnegative</x:v>
      </x:c>
      <x:c r="E287" s="27" t="n">
        <x:f>IF('Allocation Build'!E32&gt;=0,1,0)</x:f>
        <x:v>1</x:v>
      </x:c>
      <x:c r="F287" s="27" t="n">
        <x:v>1</x:v>
      </x:c>
      <x:c r="G287" s="29" t="str">
        <x:f>IF(E287=F287,"PASS","FAIL")</x:f>
        <x:v>PASS</x:v>
      </x:c>
    </x:row>
    <x:row r="288" ht="18" customHeight="1">
      <x:c r="B288" s="27" t="str">
        <x:v>A0282</x:v>
      </x:c>
      <x:c r="C288" s="27" t="str">
        <x:v>allocation</x:v>
      </x:c>
      <x:c r="D288" s="27" t="str">
        <x:v>Allocation F32 nonnegative</x:v>
      </x:c>
      <x:c r="E288" s="27" t="n">
        <x:f>IF('Allocation Build'!F32&gt;=0,1,0)</x:f>
        <x:v>1</x:v>
      </x:c>
      <x:c r="F288" s="27" t="n">
        <x:v>1</x:v>
      </x:c>
      <x:c r="G288" s="29" t="str">
        <x:f>IF(E288=F288,"PASS","FAIL")</x:f>
        <x:v>PASS</x:v>
      </x:c>
    </x:row>
    <x:row r="289" ht="18" customHeight="1">
      <x:c r="B289" s="27" t="str">
        <x:v>A0283</x:v>
      </x:c>
      <x:c r="C289" s="27" t="str">
        <x:v>allocation</x:v>
      </x:c>
      <x:c r="D289" s="27" t="str">
        <x:v>Allocation G32 nonnegative</x:v>
      </x:c>
      <x:c r="E289" s="27" t="n">
        <x:f>IF('Allocation Build'!G32&gt;=0,1,0)</x:f>
        <x:v>1</x:v>
      </x:c>
      <x:c r="F289" s="27" t="n">
        <x:v>1</x:v>
      </x:c>
      <x:c r="G289" s="29" t="str">
        <x:f>IF(E289=F289,"PASS","FAIL")</x:f>
        <x:v>PASS</x:v>
      </x:c>
    </x:row>
    <x:row r="290" ht="18" customHeight="1">
      <x:c r="B290" s="27" t="str">
        <x:v>A0284</x:v>
      </x:c>
      <x:c r="C290" s="27" t="str">
        <x:v>allocation</x:v>
      </x:c>
      <x:c r="D290" s="27" t="str">
        <x:v>Allocation H32 nonnegative</x:v>
      </x:c>
      <x:c r="E290" s="27" t="n">
        <x:f>IF('Allocation Build'!H32&gt;=0,1,0)</x:f>
        <x:v>1</x:v>
      </x:c>
      <x:c r="F290" s="27" t="n">
        <x:v>1</x:v>
      </x:c>
      <x:c r="G290" s="29" t="str">
        <x:f>IF(E290=F290,"PASS","FAIL")</x:f>
        <x:v>PASS</x:v>
      </x:c>
    </x:row>
    <x:row r="291" ht="18" customHeight="1">
      <x:c r="B291" s="27" t="str">
        <x:v>A0285</x:v>
      </x:c>
      <x:c r="C291" s="27" t="str">
        <x:v>allocation</x:v>
      </x:c>
      <x:c r="D291" s="27" t="str">
        <x:v>Allocation I32 nonnegative</x:v>
      </x:c>
      <x:c r="E291" s="27" t="n">
        <x:f>IF('Allocation Build'!I32&gt;=0,1,0)</x:f>
        <x:v>1</x:v>
      </x:c>
      <x:c r="F291" s="27" t="n">
        <x:v>1</x:v>
      </x:c>
      <x:c r="G291" s="29" t="str">
        <x:f>IF(E291=F291,"PASS","FAIL")</x:f>
        <x:v>PASS</x:v>
      </x:c>
    </x:row>
    <x:row r="292" ht="18" customHeight="1">
      <x:c r="B292" s="27" t="str">
        <x:v>A0286</x:v>
      </x:c>
      <x:c r="C292" s="27" t="str">
        <x:v>allocation</x:v>
      </x:c>
      <x:c r="D292" s="27" t="str">
        <x:v>Allocation J32 nonnegative</x:v>
      </x:c>
      <x:c r="E292" s="27" t="n">
        <x:f>IF('Allocation Build'!J32&gt;=0,1,0)</x:f>
        <x:v>1</x:v>
      </x:c>
      <x:c r="F292" s="27" t="n">
        <x:v>1</x:v>
      </x:c>
      <x:c r="G292" s="29" t="str">
        <x:f>IF(E292=F292,"PASS","FAIL")</x:f>
        <x:v>PASS</x:v>
      </x:c>
    </x:row>
    <x:row r="293" ht="18" customHeight="1">
      <x:c r="B293" s="27" t="str">
        <x:v>A0287</x:v>
      </x:c>
      <x:c r="C293" s="27" t="str">
        <x:v>allocation</x:v>
      </x:c>
      <x:c r="D293" s="27" t="str">
        <x:v>Allocation K32 nonnegative</x:v>
      </x:c>
      <x:c r="E293" s="27" t="n">
        <x:f>IF('Allocation Build'!K32&gt;=0,1,0)</x:f>
        <x:v>1</x:v>
      </x:c>
      <x:c r="F293" s="27" t="n">
        <x:v>1</x:v>
      </x:c>
      <x:c r="G293" s="29" t="str">
        <x:f>IF(E293=F293,"PASS","FAIL")</x:f>
        <x:v>PASS</x:v>
      </x:c>
    </x:row>
    <x:row r="294" ht="18" customHeight="1">
      <x:c r="B294" s="27" t="str">
        <x:v>A0288</x:v>
      </x:c>
      <x:c r="C294" s="27" t="str">
        <x:v>allocation</x:v>
      </x:c>
      <x:c r="D294" s="27" t="str">
        <x:v>Allocation L32 nonnegative</x:v>
      </x:c>
      <x:c r="E294" s="27" t="n">
        <x:f>IF('Allocation Build'!L32&gt;=0,1,0)</x:f>
        <x:v>1</x:v>
      </x:c>
      <x:c r="F294" s="27" t="n">
        <x:v>1</x:v>
      </x:c>
      <x:c r="G294" s="29" t="str">
        <x:f>IF(E294=F294,"PASS","FAIL")</x:f>
        <x:v>PASS</x:v>
      </x:c>
    </x:row>
    <x:row r="295" ht="18" customHeight="1">
      <x:c r="B295" s="27" t="str">
        <x:v>A0289</x:v>
      </x:c>
      <x:c r="C295" s="27" t="str">
        <x:v>allocation</x:v>
      </x:c>
      <x:c r="D295" s="27" t="str">
        <x:v>Allocation row 32 state open</x:v>
      </x:c>
      <x:c r="E295" s="27" t="n">
        <x:f>IF('Allocation Build'!N32="OPEN",1,0)</x:f>
        <x:v>1</x:v>
      </x:c>
      <x:c r="F295" s="27" t="n">
        <x:v>1</x:v>
      </x:c>
      <x:c r="G295" s="29" t="str">
        <x:f>IF(E295=F295,"PASS","FAIL")</x:f>
        <x:v>PASS</x:v>
      </x:c>
    </x:row>
    <x:row r="296" ht="18" customHeight="1">
      <x:c r="B296" s="27" t="str">
        <x:v>A0290</x:v>
      </x:c>
      <x:c r="C296" s="27" t="str">
        <x:v>allocation</x:v>
      </x:c>
      <x:c r="D296" s="27" t="str">
        <x:v>Allocation E33 nonnegative</x:v>
      </x:c>
      <x:c r="E296" s="27" t="n">
        <x:f>IF('Allocation Build'!E33&gt;=0,1,0)</x:f>
        <x:v>1</x:v>
      </x:c>
      <x:c r="F296" s="27" t="n">
        <x:v>1</x:v>
      </x:c>
      <x:c r="G296" s="29" t="str">
        <x:f>IF(E296=F296,"PASS","FAIL")</x:f>
        <x:v>PASS</x:v>
      </x:c>
    </x:row>
    <x:row r="297" ht="18" customHeight="1">
      <x:c r="B297" s="27" t="str">
        <x:v>A0291</x:v>
      </x:c>
      <x:c r="C297" s="27" t="str">
        <x:v>allocation</x:v>
      </x:c>
      <x:c r="D297" s="27" t="str">
        <x:v>Allocation F33 nonnegative</x:v>
      </x:c>
      <x:c r="E297" s="27" t="n">
        <x:f>IF('Allocation Build'!F33&gt;=0,1,0)</x:f>
        <x:v>1</x:v>
      </x:c>
      <x:c r="F297" s="27" t="n">
        <x:v>1</x:v>
      </x:c>
      <x:c r="G297" s="29" t="str">
        <x:f>IF(E297=F297,"PASS","FAIL")</x:f>
        <x:v>PASS</x:v>
      </x:c>
    </x:row>
    <x:row r="298" ht="18" customHeight="1">
      <x:c r="B298" s="27" t="str">
        <x:v>A0292</x:v>
      </x:c>
      <x:c r="C298" s="27" t="str">
        <x:v>allocation</x:v>
      </x:c>
      <x:c r="D298" s="27" t="str">
        <x:v>Allocation G33 nonnegative</x:v>
      </x:c>
      <x:c r="E298" s="27" t="n">
        <x:f>IF('Allocation Build'!G33&gt;=0,1,0)</x:f>
        <x:v>1</x:v>
      </x:c>
      <x:c r="F298" s="27" t="n">
        <x:v>1</x:v>
      </x:c>
      <x:c r="G298" s="29" t="str">
        <x:f>IF(E298=F298,"PASS","FAIL")</x:f>
        <x:v>PASS</x:v>
      </x:c>
    </x:row>
    <x:row r="299" ht="18" customHeight="1">
      <x:c r="B299" s="27" t="str">
        <x:v>A0293</x:v>
      </x:c>
      <x:c r="C299" s="27" t="str">
        <x:v>allocation</x:v>
      </x:c>
      <x:c r="D299" s="27" t="str">
        <x:v>Allocation H33 nonnegative</x:v>
      </x:c>
      <x:c r="E299" s="27" t="n">
        <x:f>IF('Allocation Build'!H33&gt;=0,1,0)</x:f>
        <x:v>1</x:v>
      </x:c>
      <x:c r="F299" s="27" t="n">
        <x:v>1</x:v>
      </x:c>
      <x:c r="G299" s="29" t="str">
        <x:f>IF(E299=F299,"PASS","FAIL")</x:f>
        <x:v>PASS</x:v>
      </x:c>
    </x:row>
    <x:row r="300" ht="18" customHeight="1">
      <x:c r="B300" s="27" t="str">
        <x:v>A0294</x:v>
      </x:c>
      <x:c r="C300" s="27" t="str">
        <x:v>allocation</x:v>
      </x:c>
      <x:c r="D300" s="27" t="str">
        <x:v>Allocation I33 nonnegative</x:v>
      </x:c>
      <x:c r="E300" s="27" t="n">
        <x:f>IF('Allocation Build'!I33&gt;=0,1,0)</x:f>
        <x:v>1</x:v>
      </x:c>
      <x:c r="F300" s="27" t="n">
        <x:v>1</x:v>
      </x:c>
      <x:c r="G300" s="29" t="str">
        <x:f>IF(E300=F300,"PASS","FAIL")</x:f>
        <x:v>PASS</x:v>
      </x:c>
    </x:row>
    <x:row r="301" ht="18" customHeight="1">
      <x:c r="B301" s="27" t="str">
        <x:v>A0295</x:v>
      </x:c>
      <x:c r="C301" s="27" t="str">
        <x:v>allocation</x:v>
      </x:c>
      <x:c r="D301" s="27" t="str">
        <x:v>Allocation J33 nonnegative</x:v>
      </x:c>
      <x:c r="E301" s="27" t="n">
        <x:f>IF('Allocation Build'!J33&gt;=0,1,0)</x:f>
        <x:v>1</x:v>
      </x:c>
      <x:c r="F301" s="27" t="n">
        <x:v>1</x:v>
      </x:c>
      <x:c r="G301" s="29" t="str">
        <x:f>IF(E301=F301,"PASS","FAIL")</x:f>
        <x:v>PASS</x:v>
      </x:c>
    </x:row>
    <x:row r="302" ht="18" customHeight="1">
      <x:c r="B302" s="27" t="str">
        <x:v>A0296</x:v>
      </x:c>
      <x:c r="C302" s="27" t="str">
        <x:v>allocation</x:v>
      </x:c>
      <x:c r="D302" s="27" t="str">
        <x:v>Allocation K33 nonnegative</x:v>
      </x:c>
      <x:c r="E302" s="27" t="n">
        <x:f>IF('Allocation Build'!K33&gt;=0,1,0)</x:f>
        <x:v>1</x:v>
      </x:c>
      <x:c r="F302" s="27" t="n">
        <x:v>1</x:v>
      </x:c>
      <x:c r="G302" s="29" t="str">
        <x:f>IF(E302=F302,"PASS","FAIL")</x:f>
        <x:v>PASS</x:v>
      </x:c>
    </x:row>
    <x:row r="303" ht="18" customHeight="1">
      <x:c r="B303" s="27" t="str">
        <x:v>A0297</x:v>
      </x:c>
      <x:c r="C303" s="27" t="str">
        <x:v>allocation</x:v>
      </x:c>
      <x:c r="D303" s="27" t="str">
        <x:v>Allocation L33 nonnegative</x:v>
      </x:c>
      <x:c r="E303" s="27" t="n">
        <x:f>IF('Allocation Build'!L33&gt;=0,1,0)</x:f>
        <x:v>1</x:v>
      </x:c>
      <x:c r="F303" s="27" t="n">
        <x:v>1</x:v>
      </x:c>
      <x:c r="G303" s="29" t="str">
        <x:f>IF(E303=F303,"PASS","FAIL")</x:f>
        <x:v>PASS</x:v>
      </x:c>
    </x:row>
    <x:row r="304" ht="18" customHeight="1">
      <x:c r="B304" s="27" t="str">
        <x:v>A0298</x:v>
      </x:c>
      <x:c r="C304" s="27" t="str">
        <x:v>allocation</x:v>
      </x:c>
      <x:c r="D304" s="27" t="str">
        <x:v>Allocation row 33 state open</x:v>
      </x:c>
      <x:c r="E304" s="27" t="n">
        <x:f>IF('Allocation Build'!N33="OPEN",1,0)</x:f>
        <x:v>1</x:v>
      </x:c>
      <x:c r="F304" s="27" t="n">
        <x:v>1</x:v>
      </x:c>
      <x:c r="G304" s="29" t="str">
        <x:f>IF(E304=F304,"PASS","FAIL")</x:f>
        <x:v>PASS</x:v>
      </x:c>
    </x:row>
    <x:row r="305" ht="18" customHeight="1">
      <x:c r="B305" s="27" t="str">
        <x:v>A0299</x:v>
      </x:c>
      <x:c r="C305" s="27" t="str">
        <x:v>allocation</x:v>
      </x:c>
      <x:c r="D305" s="27" t="str">
        <x:v>Allocation E34 nonnegative</x:v>
      </x:c>
      <x:c r="E305" s="27" t="n">
        <x:f>IF('Allocation Build'!E34&gt;=0,1,0)</x:f>
        <x:v>1</x:v>
      </x:c>
      <x:c r="F305" s="27" t="n">
        <x:v>1</x:v>
      </x:c>
      <x:c r="G305" s="29" t="str">
        <x:f>IF(E305=F305,"PASS","FAIL")</x:f>
        <x:v>PASS</x:v>
      </x:c>
    </x:row>
    <x:row r="306" ht="18" customHeight="1">
      <x:c r="B306" s="27" t="str">
        <x:v>A0300</x:v>
      </x:c>
      <x:c r="C306" s="27" t="str">
        <x:v>allocation</x:v>
      </x:c>
      <x:c r="D306" s="27" t="str">
        <x:v>Allocation F34 nonnegative</x:v>
      </x:c>
      <x:c r="E306" s="27" t="n">
        <x:f>IF('Allocation Build'!F34&gt;=0,1,0)</x:f>
        <x:v>1</x:v>
      </x:c>
      <x:c r="F306" s="27" t="n">
        <x:v>1</x:v>
      </x:c>
      <x:c r="G306" s="29" t="str">
        <x:f>IF(E306=F306,"PASS","FAIL")</x:f>
        <x:v>PASS</x:v>
      </x:c>
    </x:row>
    <x:row r="307" ht="18" customHeight="1">
      <x:c r="B307" s="27" t="str">
        <x:v>A0301</x:v>
      </x:c>
      <x:c r="C307" s="27" t="str">
        <x:v>allocation</x:v>
      </x:c>
      <x:c r="D307" s="27" t="str">
        <x:v>Allocation G34 nonnegative</x:v>
      </x:c>
      <x:c r="E307" s="27" t="n">
        <x:f>IF('Allocation Build'!G34&gt;=0,1,0)</x:f>
        <x:v>1</x:v>
      </x:c>
      <x:c r="F307" s="27" t="n">
        <x:v>1</x:v>
      </x:c>
      <x:c r="G307" s="29" t="str">
        <x:f>IF(E307=F307,"PASS","FAIL")</x:f>
        <x:v>PASS</x:v>
      </x:c>
    </x:row>
    <x:row r="308" ht="18" customHeight="1">
      <x:c r="B308" s="27" t="str">
        <x:v>A0302</x:v>
      </x:c>
      <x:c r="C308" s="27" t="str">
        <x:v>allocation</x:v>
      </x:c>
      <x:c r="D308" s="27" t="str">
        <x:v>Allocation H34 nonnegative</x:v>
      </x:c>
      <x:c r="E308" s="27" t="n">
        <x:f>IF('Allocation Build'!H34&gt;=0,1,0)</x:f>
        <x:v>1</x:v>
      </x:c>
      <x:c r="F308" s="27" t="n">
        <x:v>1</x:v>
      </x:c>
      <x:c r="G308" s="29" t="str">
        <x:f>IF(E308=F308,"PASS","FAIL")</x:f>
        <x:v>PASS</x:v>
      </x:c>
    </x:row>
    <x:row r="309" ht="18" customHeight="1">
      <x:c r="B309" s="27" t="str">
        <x:v>A0303</x:v>
      </x:c>
      <x:c r="C309" s="27" t="str">
        <x:v>allocation</x:v>
      </x:c>
      <x:c r="D309" s="27" t="str">
        <x:v>Allocation I34 nonnegative</x:v>
      </x:c>
      <x:c r="E309" s="27" t="n">
        <x:f>IF('Allocation Build'!I34&gt;=0,1,0)</x:f>
        <x:v>1</x:v>
      </x:c>
      <x:c r="F309" s="27" t="n">
        <x:v>1</x:v>
      </x:c>
      <x:c r="G309" s="29" t="str">
        <x:f>IF(E309=F309,"PASS","FAIL")</x:f>
        <x:v>PASS</x:v>
      </x:c>
    </x:row>
    <x:row r="310" ht="18" customHeight="1">
      <x:c r="B310" s="27" t="str">
        <x:v>A0304</x:v>
      </x:c>
      <x:c r="C310" s="27" t="str">
        <x:v>allocation</x:v>
      </x:c>
      <x:c r="D310" s="27" t="str">
        <x:v>Allocation J34 nonnegative</x:v>
      </x:c>
      <x:c r="E310" s="27" t="n">
        <x:f>IF('Allocation Build'!J34&gt;=0,1,0)</x:f>
        <x:v>1</x:v>
      </x:c>
      <x:c r="F310" s="27" t="n">
        <x:v>1</x:v>
      </x:c>
      <x:c r="G310" s="29" t="str">
        <x:f>IF(E310=F310,"PASS","FAIL")</x:f>
        <x:v>PASS</x:v>
      </x:c>
    </x:row>
    <x:row r="311" ht="18" customHeight="1">
      <x:c r="B311" s="27" t="str">
        <x:v>A0305</x:v>
      </x:c>
      <x:c r="C311" s="27" t="str">
        <x:v>allocation</x:v>
      </x:c>
      <x:c r="D311" s="27" t="str">
        <x:v>Allocation K34 nonnegative</x:v>
      </x:c>
      <x:c r="E311" s="27" t="n">
        <x:f>IF('Allocation Build'!K34&gt;=0,1,0)</x:f>
        <x:v>1</x:v>
      </x:c>
      <x:c r="F311" s="27" t="n">
        <x:v>1</x:v>
      </x:c>
      <x:c r="G311" s="29" t="str">
        <x:f>IF(E311=F311,"PASS","FAIL")</x:f>
        <x:v>PASS</x:v>
      </x:c>
    </x:row>
    <x:row r="312" ht="18" customHeight="1">
      <x:c r="B312" s="27" t="str">
        <x:v>A0306</x:v>
      </x:c>
      <x:c r="C312" s="27" t="str">
        <x:v>allocation</x:v>
      </x:c>
      <x:c r="D312" s="27" t="str">
        <x:v>Allocation L34 nonnegative</x:v>
      </x:c>
      <x:c r="E312" s="27" t="n">
        <x:f>IF('Allocation Build'!L34&gt;=0,1,0)</x:f>
        <x:v>1</x:v>
      </x:c>
      <x:c r="F312" s="27" t="n">
        <x:v>1</x:v>
      </x:c>
      <x:c r="G312" s="29" t="str">
        <x:f>IF(E312=F312,"PASS","FAIL")</x:f>
        <x:v>PASS</x:v>
      </x:c>
    </x:row>
    <x:row r="313" ht="18" customHeight="1">
      <x:c r="B313" s="27" t="str">
        <x:v>A0307</x:v>
      </x:c>
      <x:c r="C313" s="27" t="str">
        <x:v>allocation</x:v>
      </x:c>
      <x:c r="D313" s="27" t="str">
        <x:v>Allocation row 34 state open</x:v>
      </x:c>
      <x:c r="E313" s="27" t="n">
        <x:f>IF('Allocation Build'!N34="OPEN",1,0)</x:f>
        <x:v>1</x:v>
      </x:c>
      <x:c r="F313" s="27" t="n">
        <x:v>1</x:v>
      </x:c>
      <x:c r="G313" s="29" t="str">
        <x:f>IF(E313=F313,"PASS","FAIL")</x:f>
        <x:v>PASS</x:v>
      </x:c>
    </x:row>
    <x:row r="314" ht="18" customHeight="1">
      <x:c r="B314" s="27" t="str">
        <x:v>A0308</x:v>
      </x:c>
      <x:c r="C314" s="27" t="str">
        <x:v>allocation</x:v>
      </x:c>
      <x:c r="D314" s="27" t="str">
        <x:v>Allocation E35 nonnegative</x:v>
      </x:c>
      <x:c r="E314" s="27" t="n">
        <x:f>IF('Allocation Build'!E35&gt;=0,1,0)</x:f>
        <x:v>1</x:v>
      </x:c>
      <x:c r="F314" s="27" t="n">
        <x:v>1</x:v>
      </x:c>
      <x:c r="G314" s="29" t="str">
        <x:f>IF(E314=F314,"PASS","FAIL")</x:f>
        <x:v>PASS</x:v>
      </x:c>
    </x:row>
    <x:row r="315" ht="18" customHeight="1">
      <x:c r="B315" s="27" t="str">
        <x:v>A0309</x:v>
      </x:c>
      <x:c r="C315" s="27" t="str">
        <x:v>allocation</x:v>
      </x:c>
      <x:c r="D315" s="27" t="str">
        <x:v>Allocation F35 nonnegative</x:v>
      </x:c>
      <x:c r="E315" s="27" t="n">
        <x:f>IF('Allocation Build'!F35&gt;=0,1,0)</x:f>
        <x:v>1</x:v>
      </x:c>
      <x:c r="F315" s="27" t="n">
        <x:v>1</x:v>
      </x:c>
      <x:c r="G315" s="29" t="str">
        <x:f>IF(E315=F315,"PASS","FAIL")</x:f>
        <x:v>PASS</x:v>
      </x:c>
    </x:row>
    <x:row r="316" ht="18" customHeight="1">
      <x:c r="B316" s="27" t="str">
        <x:v>A0310</x:v>
      </x:c>
      <x:c r="C316" s="27" t="str">
        <x:v>allocation</x:v>
      </x:c>
      <x:c r="D316" s="27" t="str">
        <x:v>Allocation G35 nonnegative</x:v>
      </x:c>
      <x:c r="E316" s="27" t="n">
        <x:f>IF('Allocation Build'!G35&gt;=0,1,0)</x:f>
        <x:v>1</x:v>
      </x:c>
      <x:c r="F316" s="27" t="n">
        <x:v>1</x:v>
      </x:c>
      <x:c r="G316" s="29" t="str">
        <x:f>IF(E316=F316,"PASS","FAIL")</x:f>
        <x:v>PASS</x:v>
      </x:c>
    </x:row>
    <x:row r="317" ht="18" customHeight="1">
      <x:c r="B317" s="27" t="str">
        <x:v>A0311</x:v>
      </x:c>
      <x:c r="C317" s="27" t="str">
        <x:v>allocation</x:v>
      </x:c>
      <x:c r="D317" s="27" t="str">
        <x:v>Allocation H35 nonnegative</x:v>
      </x:c>
      <x:c r="E317" s="27" t="n">
        <x:f>IF('Allocation Build'!H35&gt;=0,1,0)</x:f>
        <x:v>1</x:v>
      </x:c>
      <x:c r="F317" s="27" t="n">
        <x:v>1</x:v>
      </x:c>
      <x:c r="G317" s="29" t="str">
        <x:f>IF(E317=F317,"PASS","FAIL")</x:f>
        <x:v>PASS</x:v>
      </x:c>
    </x:row>
    <x:row r="318" ht="18" customHeight="1">
      <x:c r="B318" s="27" t="str">
        <x:v>A0312</x:v>
      </x:c>
      <x:c r="C318" s="27" t="str">
        <x:v>allocation</x:v>
      </x:c>
      <x:c r="D318" s="27" t="str">
        <x:v>Allocation I35 nonnegative</x:v>
      </x:c>
      <x:c r="E318" s="27" t="n">
        <x:f>IF('Allocation Build'!I35&gt;=0,1,0)</x:f>
        <x:v>1</x:v>
      </x:c>
      <x:c r="F318" s="27" t="n">
        <x:v>1</x:v>
      </x:c>
      <x:c r="G318" s="29" t="str">
        <x:f>IF(E318=F318,"PASS","FAIL")</x:f>
        <x:v>PASS</x:v>
      </x:c>
    </x:row>
    <x:row r="319" ht="18" customHeight="1">
      <x:c r="B319" s="27" t="str">
        <x:v>A0313</x:v>
      </x:c>
      <x:c r="C319" s="27" t="str">
        <x:v>allocation</x:v>
      </x:c>
      <x:c r="D319" s="27" t="str">
        <x:v>Allocation J35 nonnegative</x:v>
      </x:c>
      <x:c r="E319" s="27" t="n">
        <x:f>IF('Allocation Build'!J35&gt;=0,1,0)</x:f>
        <x:v>1</x:v>
      </x:c>
      <x:c r="F319" s="27" t="n">
        <x:v>1</x:v>
      </x:c>
      <x:c r="G319" s="29" t="str">
        <x:f>IF(E319=F319,"PASS","FAIL")</x:f>
        <x:v>PASS</x:v>
      </x:c>
    </x:row>
    <x:row r="320" ht="18" customHeight="1">
      <x:c r="B320" s="27" t="str">
        <x:v>A0314</x:v>
      </x:c>
      <x:c r="C320" s="27" t="str">
        <x:v>allocation</x:v>
      </x:c>
      <x:c r="D320" s="27" t="str">
        <x:v>Allocation K35 nonnegative</x:v>
      </x:c>
      <x:c r="E320" s="27" t="n">
        <x:f>IF('Allocation Build'!K35&gt;=0,1,0)</x:f>
        <x:v>1</x:v>
      </x:c>
      <x:c r="F320" s="27" t="n">
        <x:v>1</x:v>
      </x:c>
      <x:c r="G320" s="29" t="str">
        <x:f>IF(E320=F320,"PASS","FAIL")</x:f>
        <x:v>PASS</x:v>
      </x:c>
    </x:row>
    <x:row r="321" ht="18" customHeight="1">
      <x:c r="B321" s="27" t="str">
        <x:v>A0315</x:v>
      </x:c>
      <x:c r="C321" s="27" t="str">
        <x:v>allocation</x:v>
      </x:c>
      <x:c r="D321" s="27" t="str">
        <x:v>Allocation L35 nonnegative</x:v>
      </x:c>
      <x:c r="E321" s="27" t="n">
        <x:f>IF('Allocation Build'!L35&gt;=0,1,0)</x:f>
        <x:v>1</x:v>
      </x:c>
      <x:c r="F321" s="27" t="n">
        <x:v>1</x:v>
      </x:c>
      <x:c r="G321" s="29" t="str">
        <x:f>IF(E321=F321,"PASS","FAIL")</x:f>
        <x:v>PASS</x:v>
      </x:c>
    </x:row>
    <x:row r="322" ht="18" customHeight="1">
      <x:c r="B322" s="27" t="str">
        <x:v>A0316</x:v>
      </x:c>
      <x:c r="C322" s="27" t="str">
        <x:v>allocation</x:v>
      </x:c>
      <x:c r="D322" s="27" t="str">
        <x:v>Allocation row 35 state open</x:v>
      </x:c>
      <x:c r="E322" s="27" t="n">
        <x:f>IF('Allocation Build'!N35="OPEN",1,0)</x:f>
        <x:v>1</x:v>
      </x:c>
      <x:c r="F322" s="27" t="n">
        <x:v>1</x:v>
      </x:c>
      <x:c r="G322" s="29" t="str">
        <x:f>IF(E322=F322,"PASS","FAIL")</x:f>
        <x:v>PASS</x:v>
      </x:c>
    </x:row>
    <x:row r="323" ht="18" customHeight="1">
      <x:c r="B323" s="27" t="str">
        <x:v>A0317</x:v>
      </x:c>
      <x:c r="C323" s="27" t="str">
        <x:v>allocation</x:v>
      </x:c>
      <x:c r="D323" s="27" t="str">
        <x:v>Allocation E36 nonnegative</x:v>
      </x:c>
      <x:c r="E323" s="27" t="n">
        <x:f>IF('Allocation Build'!E36&gt;=0,1,0)</x:f>
        <x:v>1</x:v>
      </x:c>
      <x:c r="F323" s="27" t="n">
        <x:v>1</x:v>
      </x:c>
      <x:c r="G323" s="29" t="str">
        <x:f>IF(E323=F323,"PASS","FAIL")</x:f>
        <x:v>PASS</x:v>
      </x:c>
    </x:row>
    <x:row r="324" ht="18" customHeight="1">
      <x:c r="B324" s="27" t="str">
        <x:v>A0318</x:v>
      </x:c>
      <x:c r="C324" s="27" t="str">
        <x:v>allocation</x:v>
      </x:c>
      <x:c r="D324" s="27" t="str">
        <x:v>Allocation F36 nonnegative</x:v>
      </x:c>
      <x:c r="E324" s="27" t="n">
        <x:f>IF('Allocation Build'!F36&gt;=0,1,0)</x:f>
        <x:v>1</x:v>
      </x:c>
      <x:c r="F324" s="27" t="n">
        <x:v>1</x:v>
      </x:c>
      <x:c r="G324" s="29" t="str">
        <x:f>IF(E324=F324,"PASS","FAIL")</x:f>
        <x:v>PASS</x:v>
      </x:c>
    </x:row>
    <x:row r="325" ht="18" customHeight="1">
      <x:c r="B325" s="27" t="str">
        <x:v>A0319</x:v>
      </x:c>
      <x:c r="C325" s="27" t="str">
        <x:v>allocation</x:v>
      </x:c>
      <x:c r="D325" s="27" t="str">
        <x:v>Allocation G36 nonnegative</x:v>
      </x:c>
      <x:c r="E325" s="27" t="n">
        <x:f>IF('Allocation Build'!G36&gt;=0,1,0)</x:f>
        <x:v>1</x:v>
      </x:c>
      <x:c r="F325" s="27" t="n">
        <x:v>1</x:v>
      </x:c>
      <x:c r="G325" s="29" t="str">
        <x:f>IF(E325=F325,"PASS","FAIL")</x:f>
        <x:v>PASS</x:v>
      </x:c>
    </x:row>
    <x:row r="326" ht="18" customHeight="1">
      <x:c r="B326" s="27" t="str">
        <x:v>A0320</x:v>
      </x:c>
      <x:c r="C326" s="27" t="str">
        <x:v>allocation</x:v>
      </x:c>
      <x:c r="D326" s="27" t="str">
        <x:v>Allocation H36 nonnegative</x:v>
      </x:c>
      <x:c r="E326" s="27" t="n">
        <x:f>IF('Allocation Build'!H36&gt;=0,1,0)</x:f>
        <x:v>1</x:v>
      </x:c>
      <x:c r="F326" s="27" t="n">
        <x:v>1</x:v>
      </x:c>
      <x:c r="G326" s="29" t="str">
        <x:f>IF(E326=F326,"PASS","FAIL")</x:f>
        <x:v>PASS</x:v>
      </x:c>
    </x:row>
    <x:row r="327" ht="18" customHeight="1">
      <x:c r="B327" s="27" t="str">
        <x:v>A0321</x:v>
      </x:c>
      <x:c r="C327" s="27" t="str">
        <x:v>allocation</x:v>
      </x:c>
      <x:c r="D327" s="27" t="str">
        <x:v>Allocation I36 nonnegative</x:v>
      </x:c>
      <x:c r="E327" s="27" t="n">
        <x:f>IF('Allocation Build'!I36&gt;=0,1,0)</x:f>
        <x:v>1</x:v>
      </x:c>
      <x:c r="F327" s="27" t="n">
        <x:v>1</x:v>
      </x:c>
      <x:c r="G327" s="29" t="str">
        <x:f>IF(E327=F327,"PASS","FAIL")</x:f>
        <x:v>PASS</x:v>
      </x:c>
    </x:row>
    <x:row r="328" ht="18" customHeight="1">
      <x:c r="B328" s="27" t="str">
        <x:v>A0322</x:v>
      </x:c>
      <x:c r="C328" s="27" t="str">
        <x:v>allocation</x:v>
      </x:c>
      <x:c r="D328" s="27" t="str">
        <x:v>Allocation J36 nonnegative</x:v>
      </x:c>
      <x:c r="E328" s="27" t="n">
        <x:f>IF('Allocation Build'!J36&gt;=0,1,0)</x:f>
        <x:v>1</x:v>
      </x:c>
      <x:c r="F328" s="27" t="n">
        <x:v>1</x:v>
      </x:c>
      <x:c r="G328" s="29" t="str">
        <x:f>IF(E328=F328,"PASS","FAIL")</x:f>
        <x:v>PASS</x:v>
      </x:c>
    </x:row>
    <x:row r="329" ht="18" customHeight="1">
      <x:c r="B329" s="27" t="str">
        <x:v>A0323</x:v>
      </x:c>
      <x:c r="C329" s="27" t="str">
        <x:v>allocation</x:v>
      </x:c>
      <x:c r="D329" s="27" t="str">
        <x:v>Allocation K36 nonnegative</x:v>
      </x:c>
      <x:c r="E329" s="27" t="n">
        <x:f>IF('Allocation Build'!K36&gt;=0,1,0)</x:f>
        <x:v>1</x:v>
      </x:c>
      <x:c r="F329" s="27" t="n">
        <x:v>1</x:v>
      </x:c>
      <x:c r="G329" s="29" t="str">
        <x:f>IF(E329=F329,"PASS","FAIL")</x:f>
        <x:v>PASS</x:v>
      </x:c>
    </x:row>
    <x:row r="330" ht="18" customHeight="1">
      <x:c r="B330" s="27" t="str">
        <x:v>A0324</x:v>
      </x:c>
      <x:c r="C330" s="27" t="str">
        <x:v>allocation</x:v>
      </x:c>
      <x:c r="D330" s="27" t="str">
        <x:v>Allocation L36 nonnegative</x:v>
      </x:c>
      <x:c r="E330" s="27" t="n">
        <x:f>IF('Allocation Build'!L36&gt;=0,1,0)</x:f>
        <x:v>1</x:v>
      </x:c>
      <x:c r="F330" s="27" t="n">
        <x:v>1</x:v>
      </x:c>
      <x:c r="G330" s="29" t="str">
        <x:f>IF(E330=F330,"PASS","FAIL")</x:f>
        <x:v>PASS</x:v>
      </x:c>
    </x:row>
    <x:row r="331" ht="18" customHeight="1">
      <x:c r="B331" s="27" t="str">
        <x:v>A0325</x:v>
      </x:c>
      <x:c r="C331" s="27" t="str">
        <x:v>allocation</x:v>
      </x:c>
      <x:c r="D331" s="27" t="str">
        <x:v>Allocation row 36 state open</x:v>
      </x:c>
      <x:c r="E331" s="27" t="n">
        <x:f>IF('Allocation Build'!N36="OPEN",1,0)</x:f>
        <x:v>1</x:v>
      </x:c>
      <x:c r="F331" s="27" t="n">
        <x:v>1</x:v>
      </x:c>
      <x:c r="G331" s="29" t="str">
        <x:f>IF(E331=F331,"PASS","FAIL")</x:f>
        <x:v>PASS</x:v>
      </x:c>
    </x:row>
    <x:row r="332" ht="18" customHeight="1">
      <x:c r="B332" s="27" t="str">
        <x:v>A0326</x:v>
      </x:c>
      <x:c r="C332" s="27" t="str">
        <x:v>allocation</x:v>
      </x:c>
      <x:c r="D332" s="27" t="str">
        <x:v>Allocation E37 nonnegative</x:v>
      </x:c>
      <x:c r="E332" s="27" t="n">
        <x:f>IF('Allocation Build'!E37&gt;=0,1,0)</x:f>
        <x:v>1</x:v>
      </x:c>
      <x:c r="F332" s="27" t="n">
        <x:v>1</x:v>
      </x:c>
      <x:c r="G332" s="29" t="str">
        <x:f>IF(E332=F332,"PASS","FAIL")</x:f>
        <x:v>PASS</x:v>
      </x:c>
    </x:row>
    <x:row r="333" ht="18" customHeight="1">
      <x:c r="B333" s="27" t="str">
        <x:v>A0327</x:v>
      </x:c>
      <x:c r="C333" s="27" t="str">
        <x:v>allocation</x:v>
      </x:c>
      <x:c r="D333" s="27" t="str">
        <x:v>Allocation F37 nonnegative</x:v>
      </x:c>
      <x:c r="E333" s="27" t="n">
        <x:f>IF('Allocation Build'!F37&gt;=0,1,0)</x:f>
        <x:v>1</x:v>
      </x:c>
      <x:c r="F333" s="27" t="n">
        <x:v>1</x:v>
      </x:c>
      <x:c r="G333" s="29" t="str">
        <x:f>IF(E333=F333,"PASS","FAIL")</x:f>
        <x:v>PASS</x:v>
      </x:c>
    </x:row>
    <x:row r="334" ht="18" customHeight="1">
      <x:c r="B334" s="27" t="str">
        <x:v>A0328</x:v>
      </x:c>
      <x:c r="C334" s="27" t="str">
        <x:v>allocation</x:v>
      </x:c>
      <x:c r="D334" s="27" t="str">
        <x:v>Allocation G37 nonnegative</x:v>
      </x:c>
      <x:c r="E334" s="27" t="n">
        <x:f>IF('Allocation Build'!G37&gt;=0,1,0)</x:f>
        <x:v>1</x:v>
      </x:c>
      <x:c r="F334" s="27" t="n">
        <x:v>1</x:v>
      </x:c>
      <x:c r="G334" s="29" t="str">
        <x:f>IF(E334=F334,"PASS","FAIL")</x:f>
        <x:v>PASS</x:v>
      </x:c>
    </x:row>
    <x:row r="335" ht="18" customHeight="1">
      <x:c r="B335" s="27" t="str">
        <x:v>A0329</x:v>
      </x:c>
      <x:c r="C335" s="27" t="str">
        <x:v>allocation</x:v>
      </x:c>
      <x:c r="D335" s="27" t="str">
        <x:v>Allocation H37 nonnegative</x:v>
      </x:c>
      <x:c r="E335" s="27" t="n">
        <x:f>IF('Allocation Build'!H37&gt;=0,1,0)</x:f>
        <x:v>1</x:v>
      </x:c>
      <x:c r="F335" s="27" t="n">
        <x:v>1</x:v>
      </x:c>
      <x:c r="G335" s="29" t="str">
        <x:f>IF(E335=F335,"PASS","FAIL")</x:f>
        <x:v>PASS</x:v>
      </x:c>
    </x:row>
    <x:row r="336" ht="18" customHeight="1">
      <x:c r="B336" s="27" t="str">
        <x:v>A0330</x:v>
      </x:c>
      <x:c r="C336" s="27" t="str">
        <x:v>allocation</x:v>
      </x:c>
      <x:c r="D336" s="27" t="str">
        <x:v>Allocation I37 nonnegative</x:v>
      </x:c>
      <x:c r="E336" s="27" t="n">
        <x:f>IF('Allocation Build'!I37&gt;=0,1,0)</x:f>
        <x:v>1</x:v>
      </x:c>
      <x:c r="F336" s="27" t="n">
        <x:v>1</x:v>
      </x:c>
      <x:c r="G336" s="29" t="str">
        <x:f>IF(E336=F336,"PASS","FAIL")</x:f>
        <x:v>PASS</x:v>
      </x:c>
    </x:row>
    <x:row r="337" ht="18" customHeight="1">
      <x:c r="B337" s="27" t="str">
        <x:v>A0331</x:v>
      </x:c>
      <x:c r="C337" s="27" t="str">
        <x:v>allocation</x:v>
      </x:c>
      <x:c r="D337" s="27" t="str">
        <x:v>Allocation J37 nonnegative</x:v>
      </x:c>
      <x:c r="E337" s="27" t="n">
        <x:f>IF('Allocation Build'!J37&gt;=0,1,0)</x:f>
        <x:v>1</x:v>
      </x:c>
      <x:c r="F337" s="27" t="n">
        <x:v>1</x:v>
      </x:c>
      <x:c r="G337" s="29" t="str">
        <x:f>IF(E337=F337,"PASS","FAIL")</x:f>
        <x:v>PASS</x:v>
      </x:c>
    </x:row>
    <x:row r="338" ht="18" customHeight="1">
      <x:c r="B338" s="27" t="str">
        <x:v>A0332</x:v>
      </x:c>
      <x:c r="C338" s="27" t="str">
        <x:v>allocation</x:v>
      </x:c>
      <x:c r="D338" s="27" t="str">
        <x:v>Allocation K37 nonnegative</x:v>
      </x:c>
      <x:c r="E338" s="27" t="n">
        <x:f>IF('Allocation Build'!K37&gt;=0,1,0)</x:f>
        <x:v>1</x:v>
      </x:c>
      <x:c r="F338" s="27" t="n">
        <x:v>1</x:v>
      </x:c>
      <x:c r="G338" s="29" t="str">
        <x:f>IF(E338=F338,"PASS","FAIL")</x:f>
        <x:v>PASS</x:v>
      </x:c>
    </x:row>
    <x:row r="339" ht="18" customHeight="1">
      <x:c r="B339" s="27" t="str">
        <x:v>A0333</x:v>
      </x:c>
      <x:c r="C339" s="27" t="str">
        <x:v>allocation</x:v>
      </x:c>
      <x:c r="D339" s="27" t="str">
        <x:v>Allocation L37 nonnegative</x:v>
      </x:c>
      <x:c r="E339" s="27" t="n">
        <x:f>IF('Allocation Build'!L37&gt;=0,1,0)</x:f>
        <x:v>1</x:v>
      </x:c>
      <x:c r="F339" s="27" t="n">
        <x:v>1</x:v>
      </x:c>
      <x:c r="G339" s="29" t="str">
        <x:f>IF(E339=F339,"PASS","FAIL")</x:f>
        <x:v>PASS</x:v>
      </x:c>
    </x:row>
    <x:row r="340" ht="18" customHeight="1">
      <x:c r="B340" s="27" t="str">
        <x:v>A0334</x:v>
      </x:c>
      <x:c r="C340" s="27" t="str">
        <x:v>allocation</x:v>
      </x:c>
      <x:c r="D340" s="27" t="str">
        <x:v>Allocation row 37 state open</x:v>
      </x:c>
      <x:c r="E340" s="27" t="n">
        <x:f>IF('Allocation Build'!N37="OPEN",1,0)</x:f>
        <x:v>1</x:v>
      </x:c>
      <x:c r="F340" s="27" t="n">
        <x:v>1</x:v>
      </x:c>
      <x:c r="G340" s="29" t="str">
        <x:f>IF(E340=F340,"PASS","FAIL")</x:f>
        <x:v>PASS</x:v>
      </x:c>
    </x:row>
    <x:row r="341" ht="18" customHeight="1">
      <x:c r="B341" s="27" t="str">
        <x:v>A0335</x:v>
      </x:c>
      <x:c r="C341" s="27" t="str">
        <x:v>allocation</x:v>
      </x:c>
      <x:c r="D341" s="27" t="str">
        <x:v>Allocation E38 nonnegative</x:v>
      </x:c>
      <x:c r="E341" s="27" t="n">
        <x:f>IF('Allocation Build'!E38&gt;=0,1,0)</x:f>
        <x:v>1</x:v>
      </x:c>
      <x:c r="F341" s="27" t="n">
        <x:v>1</x:v>
      </x:c>
      <x:c r="G341" s="29" t="str">
        <x:f>IF(E341=F341,"PASS","FAIL")</x:f>
        <x:v>PASS</x:v>
      </x:c>
    </x:row>
    <x:row r="342" ht="18" customHeight="1">
      <x:c r="B342" s="27" t="str">
        <x:v>A0336</x:v>
      </x:c>
      <x:c r="C342" s="27" t="str">
        <x:v>allocation</x:v>
      </x:c>
      <x:c r="D342" s="27" t="str">
        <x:v>Allocation F38 nonnegative</x:v>
      </x:c>
      <x:c r="E342" s="27" t="n">
        <x:f>IF('Allocation Build'!F38&gt;=0,1,0)</x:f>
        <x:v>1</x:v>
      </x:c>
      <x:c r="F342" s="27" t="n">
        <x:v>1</x:v>
      </x:c>
      <x:c r="G342" s="29" t="str">
        <x:f>IF(E342=F342,"PASS","FAIL")</x:f>
        <x:v>PASS</x:v>
      </x:c>
    </x:row>
    <x:row r="343" ht="18" customHeight="1">
      <x:c r="B343" s="27" t="str">
        <x:v>A0337</x:v>
      </x:c>
      <x:c r="C343" s="27" t="str">
        <x:v>allocation</x:v>
      </x:c>
      <x:c r="D343" s="27" t="str">
        <x:v>Allocation G38 nonnegative</x:v>
      </x:c>
      <x:c r="E343" s="27" t="n">
        <x:f>IF('Allocation Build'!G38&gt;=0,1,0)</x:f>
        <x:v>1</x:v>
      </x:c>
      <x:c r="F343" s="27" t="n">
        <x:v>1</x:v>
      </x:c>
      <x:c r="G343" s="29" t="str">
        <x:f>IF(E343=F343,"PASS","FAIL")</x:f>
        <x:v>PASS</x:v>
      </x:c>
    </x:row>
    <x:row r="344" ht="18" customHeight="1">
      <x:c r="B344" s="27" t="str">
        <x:v>A0338</x:v>
      </x:c>
      <x:c r="C344" s="27" t="str">
        <x:v>allocation</x:v>
      </x:c>
      <x:c r="D344" s="27" t="str">
        <x:v>Allocation H38 nonnegative</x:v>
      </x:c>
      <x:c r="E344" s="27" t="n">
        <x:f>IF('Allocation Build'!H38&gt;=0,1,0)</x:f>
        <x:v>1</x:v>
      </x:c>
      <x:c r="F344" s="27" t="n">
        <x:v>1</x:v>
      </x:c>
      <x:c r="G344" s="29" t="str">
        <x:f>IF(E344=F344,"PASS","FAIL")</x:f>
        <x:v>PASS</x:v>
      </x:c>
    </x:row>
    <x:row r="345" ht="18" customHeight="1">
      <x:c r="B345" s="27" t="str">
        <x:v>A0339</x:v>
      </x:c>
      <x:c r="C345" s="27" t="str">
        <x:v>allocation</x:v>
      </x:c>
      <x:c r="D345" s="27" t="str">
        <x:v>Allocation I38 nonnegative</x:v>
      </x:c>
      <x:c r="E345" s="27" t="n">
        <x:f>IF('Allocation Build'!I38&gt;=0,1,0)</x:f>
        <x:v>1</x:v>
      </x:c>
      <x:c r="F345" s="27" t="n">
        <x:v>1</x:v>
      </x:c>
      <x:c r="G345" s="29" t="str">
        <x:f>IF(E345=F345,"PASS","FAIL")</x:f>
        <x:v>PASS</x:v>
      </x:c>
    </x:row>
    <x:row r="346" ht="18" customHeight="1">
      <x:c r="B346" s="27" t="str">
        <x:v>A0340</x:v>
      </x:c>
      <x:c r="C346" s="27" t="str">
        <x:v>allocation</x:v>
      </x:c>
      <x:c r="D346" s="27" t="str">
        <x:v>Allocation J38 nonnegative</x:v>
      </x:c>
      <x:c r="E346" s="27" t="n">
        <x:f>IF('Allocation Build'!J38&gt;=0,1,0)</x:f>
        <x:v>1</x:v>
      </x:c>
      <x:c r="F346" s="27" t="n">
        <x:v>1</x:v>
      </x:c>
      <x:c r="G346" s="29" t="str">
        <x:f>IF(E346=F346,"PASS","FAIL")</x:f>
        <x:v>PASS</x:v>
      </x:c>
    </x:row>
    <x:row r="347" ht="18" customHeight="1">
      <x:c r="B347" s="27" t="str">
        <x:v>A0341</x:v>
      </x:c>
      <x:c r="C347" s="27" t="str">
        <x:v>allocation</x:v>
      </x:c>
      <x:c r="D347" s="27" t="str">
        <x:v>Allocation K38 nonnegative</x:v>
      </x:c>
      <x:c r="E347" s="27" t="n">
        <x:f>IF('Allocation Build'!K38&gt;=0,1,0)</x:f>
        <x:v>1</x:v>
      </x:c>
      <x:c r="F347" s="27" t="n">
        <x:v>1</x:v>
      </x:c>
      <x:c r="G347" s="29" t="str">
        <x:f>IF(E347=F347,"PASS","FAIL")</x:f>
        <x:v>PASS</x:v>
      </x:c>
    </x:row>
    <x:row r="348" ht="18" customHeight="1">
      <x:c r="B348" s="27" t="str">
        <x:v>A0342</x:v>
      </x:c>
      <x:c r="C348" s="27" t="str">
        <x:v>allocation</x:v>
      </x:c>
      <x:c r="D348" s="27" t="str">
        <x:v>Allocation L38 nonnegative</x:v>
      </x:c>
      <x:c r="E348" s="27" t="n">
        <x:f>IF('Allocation Build'!L38&gt;=0,1,0)</x:f>
        <x:v>1</x:v>
      </x:c>
      <x:c r="F348" s="27" t="n">
        <x:v>1</x:v>
      </x:c>
      <x:c r="G348" s="29" t="str">
        <x:f>IF(E348=F348,"PASS","FAIL")</x:f>
        <x:v>PASS</x:v>
      </x:c>
    </x:row>
    <x:row r="349" ht="18" customHeight="1">
      <x:c r="B349" s="27" t="str">
        <x:v>A0343</x:v>
      </x:c>
      <x:c r="C349" s="27" t="str">
        <x:v>allocation</x:v>
      </x:c>
      <x:c r="D349" s="27" t="str">
        <x:v>Allocation row 38 state open</x:v>
      </x:c>
      <x:c r="E349" s="27" t="n">
        <x:f>IF('Allocation Build'!N38="OPEN",1,0)</x:f>
        <x:v>1</x:v>
      </x:c>
      <x:c r="F349" s="27" t="n">
        <x:v>1</x:v>
      </x:c>
      <x:c r="G349" s="29" t="str">
        <x:f>IF(E349=F349,"PASS","FAIL")</x:f>
        <x:v>PASS</x:v>
      </x:c>
    </x:row>
    <x:row r="350" ht="18" customHeight="1">
      <x:c r="B350" s="27" t="str">
        <x:v>A0344</x:v>
      </x:c>
      <x:c r="C350" s="27" t="str">
        <x:v>allocation</x:v>
      </x:c>
      <x:c r="D350" s="27" t="str">
        <x:v>Allocation E39 nonnegative</x:v>
      </x:c>
      <x:c r="E350" s="27" t="n">
        <x:f>IF('Allocation Build'!E39&gt;=0,1,0)</x:f>
        <x:v>1</x:v>
      </x:c>
      <x:c r="F350" s="27" t="n">
        <x:v>1</x:v>
      </x:c>
      <x:c r="G350" s="29" t="str">
        <x:f>IF(E350=F350,"PASS","FAIL")</x:f>
        <x:v>PASS</x:v>
      </x:c>
    </x:row>
    <x:row r="351" ht="18" customHeight="1">
      <x:c r="B351" s="27" t="str">
        <x:v>A0345</x:v>
      </x:c>
      <x:c r="C351" s="27" t="str">
        <x:v>allocation</x:v>
      </x:c>
      <x:c r="D351" s="27" t="str">
        <x:v>Allocation F39 nonnegative</x:v>
      </x:c>
      <x:c r="E351" s="27" t="n">
        <x:f>IF('Allocation Build'!F39&gt;=0,1,0)</x:f>
        <x:v>1</x:v>
      </x:c>
      <x:c r="F351" s="27" t="n">
        <x:v>1</x:v>
      </x:c>
      <x:c r="G351" s="29" t="str">
        <x:f>IF(E351=F351,"PASS","FAIL")</x:f>
        <x:v>PASS</x:v>
      </x:c>
    </x:row>
    <x:row r="352" ht="18" customHeight="1">
      <x:c r="B352" s="27" t="str">
        <x:v>A0346</x:v>
      </x:c>
      <x:c r="C352" s="27" t="str">
        <x:v>allocation</x:v>
      </x:c>
      <x:c r="D352" s="27" t="str">
        <x:v>Allocation G39 nonnegative</x:v>
      </x:c>
      <x:c r="E352" s="27" t="n">
        <x:f>IF('Allocation Build'!G39&gt;=0,1,0)</x:f>
        <x:v>1</x:v>
      </x:c>
      <x:c r="F352" s="27" t="n">
        <x:v>1</x:v>
      </x:c>
      <x:c r="G352" s="29" t="str">
        <x:f>IF(E352=F352,"PASS","FAIL")</x:f>
        <x:v>PASS</x:v>
      </x:c>
    </x:row>
    <x:row r="353" ht="18" customHeight="1">
      <x:c r="B353" s="27" t="str">
        <x:v>A0347</x:v>
      </x:c>
      <x:c r="C353" s="27" t="str">
        <x:v>allocation</x:v>
      </x:c>
      <x:c r="D353" s="27" t="str">
        <x:v>Allocation H39 nonnegative</x:v>
      </x:c>
      <x:c r="E353" s="27" t="n">
        <x:f>IF('Allocation Build'!H39&gt;=0,1,0)</x:f>
        <x:v>1</x:v>
      </x:c>
      <x:c r="F353" s="27" t="n">
        <x:v>1</x:v>
      </x:c>
      <x:c r="G353" s="29" t="str">
        <x:f>IF(E353=F353,"PASS","FAIL")</x:f>
        <x:v>PASS</x:v>
      </x:c>
    </x:row>
    <x:row r="354" ht="18" customHeight="1">
      <x:c r="B354" s="27" t="str">
        <x:v>A0348</x:v>
      </x:c>
      <x:c r="C354" s="27" t="str">
        <x:v>allocation</x:v>
      </x:c>
      <x:c r="D354" s="27" t="str">
        <x:v>Allocation I39 nonnegative</x:v>
      </x:c>
      <x:c r="E354" s="27" t="n">
        <x:f>IF('Allocation Build'!I39&gt;=0,1,0)</x:f>
        <x:v>1</x:v>
      </x:c>
      <x:c r="F354" s="27" t="n">
        <x:v>1</x:v>
      </x:c>
      <x:c r="G354" s="29" t="str">
        <x:f>IF(E354=F354,"PASS","FAIL")</x:f>
        <x:v>PASS</x:v>
      </x:c>
    </x:row>
    <x:row r="355" ht="18" customHeight="1">
      <x:c r="B355" s="27" t="str">
        <x:v>A0349</x:v>
      </x:c>
      <x:c r="C355" s="27" t="str">
        <x:v>allocation</x:v>
      </x:c>
      <x:c r="D355" s="27" t="str">
        <x:v>Allocation J39 nonnegative</x:v>
      </x:c>
      <x:c r="E355" s="27" t="n">
        <x:f>IF('Allocation Build'!J39&gt;=0,1,0)</x:f>
        <x:v>1</x:v>
      </x:c>
      <x:c r="F355" s="27" t="n">
        <x:v>1</x:v>
      </x:c>
      <x:c r="G355" s="29" t="str">
        <x:f>IF(E355=F355,"PASS","FAIL")</x:f>
        <x:v>PASS</x:v>
      </x:c>
    </x:row>
    <x:row r="356" ht="18" customHeight="1">
      <x:c r="B356" s="27" t="str">
        <x:v>A0350</x:v>
      </x:c>
      <x:c r="C356" s="27" t="str">
        <x:v>allocation</x:v>
      </x:c>
      <x:c r="D356" s="27" t="str">
        <x:v>Allocation K39 nonnegative</x:v>
      </x:c>
      <x:c r="E356" s="27" t="n">
        <x:f>IF('Allocation Build'!K39&gt;=0,1,0)</x:f>
        <x:v>1</x:v>
      </x:c>
      <x:c r="F356" s="27" t="n">
        <x:v>1</x:v>
      </x:c>
      <x:c r="G356" s="29" t="str">
        <x:f>IF(E356=F356,"PASS","FAIL")</x:f>
        <x:v>PASS</x:v>
      </x:c>
    </x:row>
    <x:row r="357" ht="18" customHeight="1">
      <x:c r="B357" s="27" t="str">
        <x:v>A0351</x:v>
      </x:c>
      <x:c r="C357" s="27" t="str">
        <x:v>allocation</x:v>
      </x:c>
      <x:c r="D357" s="27" t="str">
        <x:v>Allocation L39 nonnegative</x:v>
      </x:c>
      <x:c r="E357" s="27" t="n">
        <x:f>IF('Allocation Build'!L39&gt;=0,1,0)</x:f>
        <x:v>1</x:v>
      </x:c>
      <x:c r="F357" s="27" t="n">
        <x:v>1</x:v>
      </x:c>
      <x:c r="G357" s="29" t="str">
        <x:f>IF(E357=F357,"PASS","FAIL")</x:f>
        <x:v>PASS</x:v>
      </x:c>
    </x:row>
    <x:row r="358" ht="18" customHeight="1">
      <x:c r="B358" s="27" t="str">
        <x:v>A0352</x:v>
      </x:c>
      <x:c r="C358" s="27" t="str">
        <x:v>allocation</x:v>
      </x:c>
      <x:c r="D358" s="27" t="str">
        <x:v>Allocation row 39 state open</x:v>
      </x:c>
      <x:c r="E358" s="27" t="n">
        <x:f>IF('Allocation Build'!N39="OPEN",1,0)</x:f>
        <x:v>1</x:v>
      </x:c>
      <x:c r="F358" s="27" t="n">
        <x:v>1</x:v>
      </x:c>
      <x:c r="G358" s="29" t="str">
        <x:f>IF(E358=F358,"PASS","FAIL")</x:f>
        <x:v>PASS</x:v>
      </x:c>
    </x:row>
    <x:row r="359" ht="18" customHeight="1">
      <x:c r="B359" s="27" t="str">
        <x:v>A0353</x:v>
      </x:c>
      <x:c r="C359" s="27" t="str">
        <x:v>allocation</x:v>
      </x:c>
      <x:c r="D359" s="27" t="str">
        <x:v>Allocation E40 nonnegative</x:v>
      </x:c>
      <x:c r="E359" s="27" t="n">
        <x:f>IF('Allocation Build'!E40&gt;=0,1,0)</x:f>
        <x:v>1</x:v>
      </x:c>
      <x:c r="F359" s="27" t="n">
        <x:v>1</x:v>
      </x:c>
      <x:c r="G359" s="29" t="str">
        <x:f>IF(E359=F359,"PASS","FAIL")</x:f>
        <x:v>PASS</x:v>
      </x:c>
    </x:row>
    <x:row r="360" ht="18" customHeight="1">
      <x:c r="B360" s="27" t="str">
        <x:v>A0354</x:v>
      </x:c>
      <x:c r="C360" s="27" t="str">
        <x:v>allocation</x:v>
      </x:c>
      <x:c r="D360" s="27" t="str">
        <x:v>Allocation F40 nonnegative</x:v>
      </x:c>
      <x:c r="E360" s="27" t="n">
        <x:f>IF('Allocation Build'!F40&gt;=0,1,0)</x:f>
        <x:v>1</x:v>
      </x:c>
      <x:c r="F360" s="27" t="n">
        <x:v>1</x:v>
      </x:c>
      <x:c r="G360" s="29" t="str">
        <x:f>IF(E360=F360,"PASS","FAIL")</x:f>
        <x:v>PASS</x:v>
      </x:c>
    </x:row>
    <x:row r="361" ht="18" customHeight="1">
      <x:c r="B361" s="27" t="str">
        <x:v>A0355</x:v>
      </x:c>
      <x:c r="C361" s="27" t="str">
        <x:v>allocation</x:v>
      </x:c>
      <x:c r="D361" s="27" t="str">
        <x:v>Allocation G40 nonnegative</x:v>
      </x:c>
      <x:c r="E361" s="27" t="n">
        <x:f>IF('Allocation Build'!G40&gt;=0,1,0)</x:f>
        <x:v>1</x:v>
      </x:c>
      <x:c r="F361" s="27" t="n">
        <x:v>1</x:v>
      </x:c>
      <x:c r="G361" s="29" t="str">
        <x:f>IF(E361=F361,"PASS","FAIL")</x:f>
        <x:v>PASS</x:v>
      </x:c>
    </x:row>
    <x:row r="362" ht="18" customHeight="1">
      <x:c r="B362" s="27" t="str">
        <x:v>A0356</x:v>
      </x:c>
      <x:c r="C362" s="27" t="str">
        <x:v>allocation</x:v>
      </x:c>
      <x:c r="D362" s="27" t="str">
        <x:v>Allocation H40 nonnegative</x:v>
      </x:c>
      <x:c r="E362" s="27" t="n">
        <x:f>IF('Allocation Build'!H40&gt;=0,1,0)</x:f>
        <x:v>1</x:v>
      </x:c>
      <x:c r="F362" s="27" t="n">
        <x:v>1</x:v>
      </x:c>
      <x:c r="G362" s="29" t="str">
        <x:f>IF(E362=F362,"PASS","FAIL")</x:f>
        <x:v>PASS</x:v>
      </x:c>
    </x:row>
    <x:row r="363" ht="18" customHeight="1">
      <x:c r="B363" s="27" t="str">
        <x:v>A0357</x:v>
      </x:c>
      <x:c r="C363" s="27" t="str">
        <x:v>allocation</x:v>
      </x:c>
      <x:c r="D363" s="27" t="str">
        <x:v>Allocation I40 nonnegative</x:v>
      </x:c>
      <x:c r="E363" s="27" t="n">
        <x:f>IF('Allocation Build'!I40&gt;=0,1,0)</x:f>
        <x:v>1</x:v>
      </x:c>
      <x:c r="F363" s="27" t="n">
        <x:v>1</x:v>
      </x:c>
      <x:c r="G363" s="29" t="str">
        <x:f>IF(E363=F363,"PASS","FAIL")</x:f>
        <x:v>PASS</x:v>
      </x:c>
    </x:row>
    <x:row r="364" ht="18" customHeight="1">
      <x:c r="B364" s="27" t="str">
        <x:v>A0358</x:v>
      </x:c>
      <x:c r="C364" s="27" t="str">
        <x:v>allocation</x:v>
      </x:c>
      <x:c r="D364" s="27" t="str">
        <x:v>Allocation J40 nonnegative</x:v>
      </x:c>
      <x:c r="E364" s="27" t="n">
        <x:f>IF('Allocation Build'!J40&gt;=0,1,0)</x:f>
        <x:v>1</x:v>
      </x:c>
      <x:c r="F364" s="27" t="n">
        <x:v>1</x:v>
      </x:c>
      <x:c r="G364" s="29" t="str">
        <x:f>IF(E364=F364,"PASS","FAIL")</x:f>
        <x:v>PASS</x:v>
      </x:c>
    </x:row>
    <x:row r="365" ht="18" customHeight="1">
      <x:c r="B365" s="27" t="str">
        <x:v>A0359</x:v>
      </x:c>
      <x:c r="C365" s="27" t="str">
        <x:v>allocation</x:v>
      </x:c>
      <x:c r="D365" s="27" t="str">
        <x:v>Allocation K40 nonnegative</x:v>
      </x:c>
      <x:c r="E365" s="27" t="n">
        <x:f>IF('Allocation Build'!K40&gt;=0,1,0)</x:f>
        <x:v>1</x:v>
      </x:c>
      <x:c r="F365" s="27" t="n">
        <x:v>1</x:v>
      </x:c>
      <x:c r="G365" s="29" t="str">
        <x:f>IF(E365=F365,"PASS","FAIL")</x:f>
        <x:v>PASS</x:v>
      </x:c>
    </x:row>
    <x:row r="366" ht="18" customHeight="1">
      <x:c r="B366" s="27" t="str">
        <x:v>A0360</x:v>
      </x:c>
      <x:c r="C366" s="27" t="str">
        <x:v>allocation</x:v>
      </x:c>
      <x:c r="D366" s="27" t="str">
        <x:v>Allocation L40 nonnegative</x:v>
      </x:c>
      <x:c r="E366" s="27" t="n">
        <x:f>IF('Allocation Build'!L40&gt;=0,1,0)</x:f>
        <x:v>1</x:v>
      </x:c>
      <x:c r="F366" s="27" t="n">
        <x:v>1</x:v>
      </x:c>
      <x:c r="G366" s="29" t="str">
        <x:f>IF(E366=F366,"PASS","FAIL")</x:f>
        <x:v>PASS</x:v>
      </x:c>
    </x:row>
    <x:row r="367" ht="18" customHeight="1">
      <x:c r="B367" s="27" t="str">
        <x:v>A0361</x:v>
      </x:c>
      <x:c r="C367" s="27" t="str">
        <x:v>allocation</x:v>
      </x:c>
      <x:c r="D367" s="27" t="str">
        <x:v>Allocation row 40 state open</x:v>
      </x:c>
      <x:c r="E367" s="27" t="n">
        <x:f>IF('Allocation Build'!N40="OPEN",1,0)</x:f>
        <x:v>1</x:v>
      </x:c>
      <x:c r="F367" s="27" t="n">
        <x:v>1</x:v>
      </x:c>
      <x:c r="G367" s="29" t="str">
        <x:f>IF(E367=F367,"PASS","FAIL")</x:f>
        <x:v>PASS</x:v>
      </x:c>
    </x:row>
    <x:row r="368" ht="18" customHeight="1">
      <x:c r="B368" s="27" t="str">
        <x:v>A0362</x:v>
      </x:c>
      <x:c r="C368" s="27" t="str">
        <x:v>allocation</x:v>
      </x:c>
      <x:c r="D368" s="27" t="str">
        <x:v>Allocation E41 nonnegative</x:v>
      </x:c>
      <x:c r="E368" s="27" t="n">
        <x:f>IF('Allocation Build'!E41&gt;=0,1,0)</x:f>
        <x:v>1</x:v>
      </x:c>
      <x:c r="F368" s="27" t="n">
        <x:v>1</x:v>
      </x:c>
      <x:c r="G368" s="29" t="str">
        <x:f>IF(E368=F368,"PASS","FAIL")</x:f>
        <x:v>PASS</x:v>
      </x:c>
    </x:row>
    <x:row r="369" ht="18" customHeight="1">
      <x:c r="B369" s="27" t="str">
        <x:v>A0363</x:v>
      </x:c>
      <x:c r="C369" s="27" t="str">
        <x:v>allocation</x:v>
      </x:c>
      <x:c r="D369" s="27" t="str">
        <x:v>Allocation F41 nonnegative</x:v>
      </x:c>
      <x:c r="E369" s="27" t="n">
        <x:f>IF('Allocation Build'!F41&gt;=0,1,0)</x:f>
        <x:v>1</x:v>
      </x:c>
      <x:c r="F369" s="27" t="n">
        <x:v>1</x:v>
      </x:c>
      <x:c r="G369" s="29" t="str">
        <x:f>IF(E369=F369,"PASS","FAIL")</x:f>
        <x:v>PASS</x:v>
      </x:c>
    </x:row>
    <x:row r="370" ht="18" customHeight="1">
      <x:c r="B370" s="27" t="str">
        <x:v>A0364</x:v>
      </x:c>
      <x:c r="C370" s="27" t="str">
        <x:v>allocation</x:v>
      </x:c>
      <x:c r="D370" s="27" t="str">
        <x:v>Allocation G41 nonnegative</x:v>
      </x:c>
      <x:c r="E370" s="27" t="n">
        <x:f>IF('Allocation Build'!G41&gt;=0,1,0)</x:f>
        <x:v>1</x:v>
      </x:c>
      <x:c r="F370" s="27" t="n">
        <x:v>1</x:v>
      </x:c>
      <x:c r="G370" s="29" t="str">
        <x:f>IF(E370=F370,"PASS","FAIL")</x:f>
        <x:v>PASS</x:v>
      </x:c>
    </x:row>
    <x:row r="371" ht="18" customHeight="1">
      <x:c r="B371" s="27" t="str">
        <x:v>A0365</x:v>
      </x:c>
      <x:c r="C371" s="27" t="str">
        <x:v>allocation</x:v>
      </x:c>
      <x:c r="D371" s="27" t="str">
        <x:v>Allocation H41 nonnegative</x:v>
      </x:c>
      <x:c r="E371" s="27" t="n">
        <x:f>IF('Allocation Build'!H41&gt;=0,1,0)</x:f>
        <x:v>1</x:v>
      </x:c>
      <x:c r="F371" s="27" t="n">
        <x:v>1</x:v>
      </x:c>
      <x:c r="G371" s="29" t="str">
        <x:f>IF(E371=F371,"PASS","FAIL")</x:f>
        <x:v>PASS</x:v>
      </x:c>
    </x:row>
    <x:row r="372" ht="18" customHeight="1">
      <x:c r="B372" s="27" t="str">
        <x:v>A0366</x:v>
      </x:c>
      <x:c r="C372" s="27" t="str">
        <x:v>allocation</x:v>
      </x:c>
      <x:c r="D372" s="27" t="str">
        <x:v>Allocation I41 nonnegative</x:v>
      </x:c>
      <x:c r="E372" s="27" t="n">
        <x:f>IF('Allocation Build'!I41&gt;=0,1,0)</x:f>
        <x:v>1</x:v>
      </x:c>
      <x:c r="F372" s="27" t="n">
        <x:v>1</x:v>
      </x:c>
      <x:c r="G372" s="29" t="str">
        <x:f>IF(E372=F372,"PASS","FAIL")</x:f>
        <x:v>PASS</x:v>
      </x:c>
    </x:row>
    <x:row r="373" ht="18" customHeight="1">
      <x:c r="B373" s="27" t="str">
        <x:v>A0367</x:v>
      </x:c>
      <x:c r="C373" s="27" t="str">
        <x:v>allocation</x:v>
      </x:c>
      <x:c r="D373" s="27" t="str">
        <x:v>Allocation J41 nonnegative</x:v>
      </x:c>
      <x:c r="E373" s="27" t="n">
        <x:f>IF('Allocation Build'!J41&gt;=0,1,0)</x:f>
        <x:v>1</x:v>
      </x:c>
      <x:c r="F373" s="27" t="n">
        <x:v>1</x:v>
      </x:c>
      <x:c r="G373" s="29" t="str">
        <x:f>IF(E373=F373,"PASS","FAIL")</x:f>
        <x:v>PASS</x:v>
      </x:c>
    </x:row>
    <x:row r="374" ht="18" customHeight="1">
      <x:c r="B374" s="27" t="str">
        <x:v>A0368</x:v>
      </x:c>
      <x:c r="C374" s="27" t="str">
        <x:v>allocation</x:v>
      </x:c>
      <x:c r="D374" s="27" t="str">
        <x:v>Allocation K41 nonnegative</x:v>
      </x:c>
      <x:c r="E374" s="27" t="n">
        <x:f>IF('Allocation Build'!K41&gt;=0,1,0)</x:f>
        <x:v>1</x:v>
      </x:c>
      <x:c r="F374" s="27" t="n">
        <x:v>1</x:v>
      </x:c>
      <x:c r="G374" s="29" t="str">
        <x:f>IF(E374=F374,"PASS","FAIL")</x:f>
        <x:v>PASS</x:v>
      </x:c>
    </x:row>
    <x:row r="375" ht="18" customHeight="1">
      <x:c r="B375" s="27" t="str">
        <x:v>A0369</x:v>
      </x:c>
      <x:c r="C375" s="27" t="str">
        <x:v>allocation</x:v>
      </x:c>
      <x:c r="D375" s="27" t="str">
        <x:v>Allocation L41 nonnegative</x:v>
      </x:c>
      <x:c r="E375" s="27" t="n">
        <x:f>IF('Allocation Build'!L41&gt;=0,1,0)</x:f>
        <x:v>1</x:v>
      </x:c>
      <x:c r="F375" s="27" t="n">
        <x:v>1</x:v>
      </x:c>
      <x:c r="G375" s="29" t="str">
        <x:f>IF(E375=F375,"PASS","FAIL")</x:f>
        <x:v>PASS</x:v>
      </x:c>
    </x:row>
    <x:row r="376" ht="18" customHeight="1">
      <x:c r="B376" s="27" t="str">
        <x:v>A0370</x:v>
      </x:c>
      <x:c r="C376" s="27" t="str">
        <x:v>allocation</x:v>
      </x:c>
      <x:c r="D376" s="27" t="str">
        <x:v>Allocation row 41 state open</x:v>
      </x:c>
      <x:c r="E376" s="27" t="n">
        <x:f>IF('Allocation Build'!N41="OPEN",1,0)</x:f>
        <x:v>1</x:v>
      </x:c>
      <x:c r="F376" s="27" t="n">
        <x:v>1</x:v>
      </x:c>
      <x:c r="G376" s="29" t="str">
        <x:f>IF(E376=F376,"PASS","FAIL")</x:f>
        <x:v>PASS</x:v>
      </x:c>
    </x:row>
    <x:row r="377" ht="18" customHeight="1">
      <x:c r="B377" s="27" t="str">
        <x:v>A0371</x:v>
      </x:c>
      <x:c r="C377" s="27" t="str">
        <x:v>allocation</x:v>
      </x:c>
      <x:c r="D377" s="27" t="str">
        <x:v>Allocation E42 nonnegative</x:v>
      </x:c>
      <x:c r="E377" s="27" t="n">
        <x:f>IF('Allocation Build'!E42&gt;=0,1,0)</x:f>
        <x:v>1</x:v>
      </x:c>
      <x:c r="F377" s="27" t="n">
        <x:v>1</x:v>
      </x:c>
      <x:c r="G377" s="29" t="str">
        <x:f>IF(E377=F377,"PASS","FAIL")</x:f>
        <x:v>PASS</x:v>
      </x:c>
    </x:row>
    <x:row r="378" ht="18" customHeight="1">
      <x:c r="B378" s="27" t="str">
        <x:v>A0372</x:v>
      </x:c>
      <x:c r="C378" s="27" t="str">
        <x:v>allocation</x:v>
      </x:c>
      <x:c r="D378" s="27" t="str">
        <x:v>Allocation F42 nonnegative</x:v>
      </x:c>
      <x:c r="E378" s="27" t="n">
        <x:f>IF('Allocation Build'!F42&gt;=0,1,0)</x:f>
        <x:v>1</x:v>
      </x:c>
      <x:c r="F378" s="27" t="n">
        <x:v>1</x:v>
      </x:c>
      <x:c r="G378" s="29" t="str">
        <x:f>IF(E378=F378,"PASS","FAIL")</x:f>
        <x:v>PASS</x:v>
      </x:c>
    </x:row>
    <x:row r="379" ht="18" customHeight="1">
      <x:c r="B379" s="27" t="str">
        <x:v>A0373</x:v>
      </x:c>
      <x:c r="C379" s="27" t="str">
        <x:v>allocation</x:v>
      </x:c>
      <x:c r="D379" s="27" t="str">
        <x:v>Allocation G42 nonnegative</x:v>
      </x:c>
      <x:c r="E379" s="27" t="n">
        <x:f>IF('Allocation Build'!G42&gt;=0,1,0)</x:f>
        <x:v>1</x:v>
      </x:c>
      <x:c r="F379" s="27" t="n">
        <x:v>1</x:v>
      </x:c>
      <x:c r="G379" s="29" t="str">
        <x:f>IF(E379=F379,"PASS","FAIL")</x:f>
        <x:v>PASS</x:v>
      </x:c>
    </x:row>
    <x:row r="380" ht="18" customHeight="1">
      <x:c r="B380" s="27" t="str">
        <x:v>A0374</x:v>
      </x:c>
      <x:c r="C380" s="27" t="str">
        <x:v>allocation</x:v>
      </x:c>
      <x:c r="D380" s="27" t="str">
        <x:v>Allocation H42 nonnegative</x:v>
      </x:c>
      <x:c r="E380" s="27" t="n">
        <x:f>IF('Allocation Build'!H42&gt;=0,1,0)</x:f>
        <x:v>1</x:v>
      </x:c>
      <x:c r="F380" s="27" t="n">
        <x:v>1</x:v>
      </x:c>
      <x:c r="G380" s="29" t="str">
        <x:f>IF(E380=F380,"PASS","FAIL")</x:f>
        <x:v>PASS</x:v>
      </x:c>
    </x:row>
    <x:row r="381" ht="18" customHeight="1">
      <x:c r="B381" s="27" t="str">
        <x:v>A0375</x:v>
      </x:c>
      <x:c r="C381" s="27" t="str">
        <x:v>allocation</x:v>
      </x:c>
      <x:c r="D381" s="27" t="str">
        <x:v>Allocation I42 nonnegative</x:v>
      </x:c>
      <x:c r="E381" s="27" t="n">
        <x:f>IF('Allocation Build'!I42&gt;=0,1,0)</x:f>
        <x:v>1</x:v>
      </x:c>
      <x:c r="F381" s="27" t="n">
        <x:v>1</x:v>
      </x:c>
      <x:c r="G381" s="29" t="str">
        <x:f>IF(E381=F381,"PASS","FAIL")</x:f>
        <x:v>PASS</x:v>
      </x:c>
    </x:row>
    <x:row r="382" ht="18" customHeight="1">
      <x:c r="B382" s="27" t="str">
        <x:v>A0376</x:v>
      </x:c>
      <x:c r="C382" s="27" t="str">
        <x:v>allocation</x:v>
      </x:c>
      <x:c r="D382" s="27" t="str">
        <x:v>Allocation J42 nonnegative</x:v>
      </x:c>
      <x:c r="E382" s="27" t="n">
        <x:f>IF('Allocation Build'!J42&gt;=0,1,0)</x:f>
        <x:v>1</x:v>
      </x:c>
      <x:c r="F382" s="27" t="n">
        <x:v>1</x:v>
      </x:c>
      <x:c r="G382" s="29" t="str">
        <x:f>IF(E382=F382,"PASS","FAIL")</x:f>
        <x:v>PASS</x:v>
      </x:c>
    </x:row>
    <x:row r="383" ht="18" customHeight="1">
      <x:c r="B383" s="27" t="str">
        <x:v>A0377</x:v>
      </x:c>
      <x:c r="C383" s="27" t="str">
        <x:v>allocation</x:v>
      </x:c>
      <x:c r="D383" s="27" t="str">
        <x:v>Allocation K42 nonnegative</x:v>
      </x:c>
      <x:c r="E383" s="27" t="n">
        <x:f>IF('Allocation Build'!K42&gt;=0,1,0)</x:f>
        <x:v>1</x:v>
      </x:c>
      <x:c r="F383" s="27" t="n">
        <x:v>1</x:v>
      </x:c>
      <x:c r="G383" s="29" t="str">
        <x:f>IF(E383=F383,"PASS","FAIL")</x:f>
        <x:v>PASS</x:v>
      </x:c>
    </x:row>
    <x:row r="384" ht="18" customHeight="1">
      <x:c r="B384" s="27" t="str">
        <x:v>A0378</x:v>
      </x:c>
      <x:c r="C384" s="27" t="str">
        <x:v>allocation</x:v>
      </x:c>
      <x:c r="D384" s="27" t="str">
        <x:v>Allocation L42 nonnegative</x:v>
      </x:c>
      <x:c r="E384" s="27" t="n">
        <x:f>IF('Allocation Build'!L42&gt;=0,1,0)</x:f>
        <x:v>1</x:v>
      </x:c>
      <x:c r="F384" s="27" t="n">
        <x:v>1</x:v>
      </x:c>
      <x:c r="G384" s="29" t="str">
        <x:f>IF(E384=F384,"PASS","FAIL")</x:f>
        <x:v>PASS</x:v>
      </x:c>
    </x:row>
    <x:row r="385" ht="18" customHeight="1">
      <x:c r="B385" s="27" t="str">
        <x:v>A0379</x:v>
      </x:c>
      <x:c r="C385" s="27" t="str">
        <x:v>allocation</x:v>
      </x:c>
      <x:c r="D385" s="27" t="str">
        <x:v>Allocation row 42 state open</x:v>
      </x:c>
      <x:c r="E385" s="27" t="n">
        <x:f>IF('Allocation Build'!N42="OPEN",1,0)</x:f>
        <x:v>1</x:v>
      </x:c>
      <x:c r="F385" s="27" t="n">
        <x:v>1</x:v>
      </x:c>
      <x:c r="G385" s="29" t="str">
        <x:f>IF(E385=F385,"PASS","FAIL")</x:f>
        <x:v>PASS</x:v>
      </x:c>
    </x:row>
    <x:row r="386" ht="18" customHeight="1">
      <x:c r="B386" s="27" t="str">
        <x:v>A0380</x:v>
      </x:c>
      <x:c r="C386" s="27" t="str">
        <x:v>allocation</x:v>
      </x:c>
      <x:c r="D386" s="27" t="str">
        <x:v>Allocation E43 nonnegative</x:v>
      </x:c>
      <x:c r="E386" s="27" t="n">
        <x:f>IF('Allocation Build'!E43&gt;=0,1,0)</x:f>
        <x:v>1</x:v>
      </x:c>
      <x:c r="F386" s="27" t="n">
        <x:v>1</x:v>
      </x:c>
      <x:c r="G386" s="29" t="str">
        <x:f>IF(E386=F386,"PASS","FAIL")</x:f>
        <x:v>PASS</x:v>
      </x:c>
    </x:row>
    <x:row r="387" ht="18" customHeight="1">
      <x:c r="B387" s="27" t="str">
        <x:v>A0381</x:v>
      </x:c>
      <x:c r="C387" s="27" t="str">
        <x:v>allocation</x:v>
      </x:c>
      <x:c r="D387" s="27" t="str">
        <x:v>Allocation F43 nonnegative</x:v>
      </x:c>
      <x:c r="E387" s="27" t="n">
        <x:f>IF('Allocation Build'!F43&gt;=0,1,0)</x:f>
        <x:v>1</x:v>
      </x:c>
      <x:c r="F387" s="27" t="n">
        <x:v>1</x:v>
      </x:c>
      <x:c r="G387" s="29" t="str">
        <x:f>IF(E387=F387,"PASS","FAIL")</x:f>
        <x:v>PASS</x:v>
      </x:c>
    </x:row>
    <x:row r="388" ht="18" customHeight="1">
      <x:c r="B388" s="27" t="str">
        <x:v>A0382</x:v>
      </x:c>
      <x:c r="C388" s="27" t="str">
        <x:v>allocation</x:v>
      </x:c>
      <x:c r="D388" s="27" t="str">
        <x:v>Allocation G43 nonnegative</x:v>
      </x:c>
      <x:c r="E388" s="27" t="n">
        <x:f>IF('Allocation Build'!G43&gt;=0,1,0)</x:f>
        <x:v>1</x:v>
      </x:c>
      <x:c r="F388" s="27" t="n">
        <x:v>1</x:v>
      </x:c>
      <x:c r="G388" s="29" t="str">
        <x:f>IF(E388=F388,"PASS","FAIL")</x:f>
        <x:v>PASS</x:v>
      </x:c>
    </x:row>
    <x:row r="389" ht="18" customHeight="1">
      <x:c r="B389" s="27" t="str">
        <x:v>A0383</x:v>
      </x:c>
      <x:c r="C389" s="27" t="str">
        <x:v>allocation</x:v>
      </x:c>
      <x:c r="D389" s="27" t="str">
        <x:v>Allocation H43 nonnegative</x:v>
      </x:c>
      <x:c r="E389" s="27" t="n">
        <x:f>IF('Allocation Build'!H43&gt;=0,1,0)</x:f>
        <x:v>1</x:v>
      </x:c>
      <x:c r="F389" s="27" t="n">
        <x:v>1</x:v>
      </x:c>
      <x:c r="G389" s="29" t="str">
        <x:f>IF(E389=F389,"PASS","FAIL")</x:f>
        <x:v>PASS</x:v>
      </x:c>
    </x:row>
    <x:row r="390" ht="18" customHeight="1">
      <x:c r="B390" s="27" t="str">
        <x:v>A0384</x:v>
      </x:c>
      <x:c r="C390" s="27" t="str">
        <x:v>allocation</x:v>
      </x:c>
      <x:c r="D390" s="27" t="str">
        <x:v>Allocation I43 nonnegative</x:v>
      </x:c>
      <x:c r="E390" s="27" t="n">
        <x:f>IF('Allocation Build'!I43&gt;=0,1,0)</x:f>
        <x:v>1</x:v>
      </x:c>
      <x:c r="F390" s="27" t="n">
        <x:v>1</x:v>
      </x:c>
      <x:c r="G390" s="29" t="str">
        <x:f>IF(E390=F390,"PASS","FAIL")</x:f>
        <x:v>PASS</x:v>
      </x:c>
    </x:row>
    <x:row r="391" ht="18" customHeight="1">
      <x:c r="B391" s="27" t="str">
        <x:v>A0385</x:v>
      </x:c>
      <x:c r="C391" s="27" t="str">
        <x:v>allocation</x:v>
      </x:c>
      <x:c r="D391" s="27" t="str">
        <x:v>Allocation J43 nonnegative</x:v>
      </x:c>
      <x:c r="E391" s="27" t="n">
        <x:f>IF('Allocation Build'!J43&gt;=0,1,0)</x:f>
        <x:v>1</x:v>
      </x:c>
      <x:c r="F391" s="27" t="n">
        <x:v>1</x:v>
      </x:c>
      <x:c r="G391" s="29" t="str">
        <x:f>IF(E391=F391,"PASS","FAIL")</x:f>
        <x:v>PASS</x:v>
      </x:c>
    </x:row>
    <x:row r="392" ht="18" customHeight="1">
      <x:c r="B392" s="27" t="str">
        <x:v>A0386</x:v>
      </x:c>
      <x:c r="C392" s="27" t="str">
        <x:v>allocation</x:v>
      </x:c>
      <x:c r="D392" s="27" t="str">
        <x:v>Allocation K43 nonnegative</x:v>
      </x:c>
      <x:c r="E392" s="27" t="n">
        <x:f>IF('Allocation Build'!K43&gt;=0,1,0)</x:f>
        <x:v>1</x:v>
      </x:c>
      <x:c r="F392" s="27" t="n">
        <x:v>1</x:v>
      </x:c>
      <x:c r="G392" s="29" t="str">
        <x:f>IF(E392=F392,"PASS","FAIL")</x:f>
        <x:v>PASS</x:v>
      </x:c>
    </x:row>
    <x:row r="393" ht="18" customHeight="1">
      <x:c r="B393" s="27" t="str">
        <x:v>A0387</x:v>
      </x:c>
      <x:c r="C393" s="27" t="str">
        <x:v>allocation</x:v>
      </x:c>
      <x:c r="D393" s="27" t="str">
        <x:v>Allocation L43 nonnegative</x:v>
      </x:c>
      <x:c r="E393" s="27" t="n">
        <x:f>IF('Allocation Build'!L43&gt;=0,1,0)</x:f>
        <x:v>1</x:v>
      </x:c>
      <x:c r="F393" s="27" t="n">
        <x:v>1</x:v>
      </x:c>
      <x:c r="G393" s="29" t="str">
        <x:f>IF(E393=F393,"PASS","FAIL")</x:f>
        <x:v>PASS</x:v>
      </x:c>
    </x:row>
    <x:row r="394" ht="18" customHeight="1">
      <x:c r="B394" s="27" t="str">
        <x:v>A0388</x:v>
      </x:c>
      <x:c r="C394" s="27" t="str">
        <x:v>allocation</x:v>
      </x:c>
      <x:c r="D394" s="27" t="str">
        <x:v>Allocation row 43 state open</x:v>
      </x:c>
      <x:c r="E394" s="27" t="n">
        <x:f>IF('Allocation Build'!N43="OPEN",1,0)</x:f>
        <x:v>1</x:v>
      </x:c>
      <x:c r="F394" s="27" t="n">
        <x:v>1</x:v>
      </x:c>
      <x:c r="G394" s="29" t="str">
        <x:f>IF(E394=F394,"PASS","FAIL")</x:f>
        <x:v>PASS</x:v>
      </x:c>
    </x:row>
    <x:row r="395" ht="18" customHeight="1">
      <x:c r="B395" s="27" t="str">
        <x:v>A0389</x:v>
      </x:c>
      <x:c r="C395" s="27" t="str">
        <x:v>allocation</x:v>
      </x:c>
      <x:c r="D395" s="27" t="str">
        <x:v>Allocation E44 nonnegative</x:v>
      </x:c>
      <x:c r="E395" s="27" t="n">
        <x:f>IF('Allocation Build'!E44&gt;=0,1,0)</x:f>
        <x:v>1</x:v>
      </x:c>
      <x:c r="F395" s="27" t="n">
        <x:v>1</x:v>
      </x:c>
      <x:c r="G395" s="29" t="str">
        <x:f>IF(E395=F395,"PASS","FAIL")</x:f>
        <x:v>PASS</x:v>
      </x:c>
    </x:row>
    <x:row r="396" ht="18" customHeight="1">
      <x:c r="B396" s="27" t="str">
        <x:v>A0390</x:v>
      </x:c>
      <x:c r="C396" s="27" t="str">
        <x:v>allocation</x:v>
      </x:c>
      <x:c r="D396" s="27" t="str">
        <x:v>Allocation F44 nonnegative</x:v>
      </x:c>
      <x:c r="E396" s="27" t="n">
        <x:f>IF('Allocation Build'!F44&gt;=0,1,0)</x:f>
        <x:v>1</x:v>
      </x:c>
      <x:c r="F396" s="27" t="n">
        <x:v>1</x:v>
      </x:c>
      <x:c r="G396" s="29" t="str">
        <x:f>IF(E396=F396,"PASS","FAIL")</x:f>
        <x:v>PASS</x:v>
      </x:c>
    </x:row>
    <x:row r="397" ht="18" customHeight="1">
      <x:c r="B397" s="27" t="str">
        <x:v>A0391</x:v>
      </x:c>
      <x:c r="C397" s="27" t="str">
        <x:v>allocation</x:v>
      </x:c>
      <x:c r="D397" s="27" t="str">
        <x:v>Allocation G44 nonnegative</x:v>
      </x:c>
      <x:c r="E397" s="27" t="n">
        <x:f>IF('Allocation Build'!G44&gt;=0,1,0)</x:f>
        <x:v>1</x:v>
      </x:c>
      <x:c r="F397" s="27" t="n">
        <x:v>1</x:v>
      </x:c>
      <x:c r="G397" s="29" t="str">
        <x:f>IF(E397=F397,"PASS","FAIL")</x:f>
        <x:v>PASS</x:v>
      </x:c>
    </x:row>
    <x:row r="398" ht="18" customHeight="1">
      <x:c r="B398" s="27" t="str">
        <x:v>A0392</x:v>
      </x:c>
      <x:c r="C398" s="27" t="str">
        <x:v>allocation</x:v>
      </x:c>
      <x:c r="D398" s="27" t="str">
        <x:v>Allocation H44 nonnegative</x:v>
      </x:c>
      <x:c r="E398" s="27" t="n">
        <x:f>IF('Allocation Build'!H44&gt;=0,1,0)</x:f>
        <x:v>1</x:v>
      </x:c>
      <x:c r="F398" s="27" t="n">
        <x:v>1</x:v>
      </x:c>
      <x:c r="G398" s="29" t="str">
        <x:f>IF(E398=F398,"PASS","FAIL")</x:f>
        <x:v>PASS</x:v>
      </x:c>
    </x:row>
    <x:row r="399" ht="18" customHeight="1">
      <x:c r="B399" s="27" t="str">
        <x:v>A0393</x:v>
      </x:c>
      <x:c r="C399" s="27" t="str">
        <x:v>allocation</x:v>
      </x:c>
      <x:c r="D399" s="27" t="str">
        <x:v>Allocation I44 nonnegative</x:v>
      </x:c>
      <x:c r="E399" s="27" t="n">
        <x:f>IF('Allocation Build'!I44&gt;=0,1,0)</x:f>
        <x:v>1</x:v>
      </x:c>
      <x:c r="F399" s="27" t="n">
        <x:v>1</x:v>
      </x:c>
      <x:c r="G399" s="29" t="str">
        <x:f>IF(E399=F399,"PASS","FAIL")</x:f>
        <x:v>PASS</x:v>
      </x:c>
    </x:row>
    <x:row r="400" ht="18" customHeight="1">
      <x:c r="B400" s="27" t="str">
        <x:v>A0394</x:v>
      </x:c>
      <x:c r="C400" s="27" t="str">
        <x:v>allocation</x:v>
      </x:c>
      <x:c r="D400" s="27" t="str">
        <x:v>Allocation J44 nonnegative</x:v>
      </x:c>
      <x:c r="E400" s="27" t="n">
        <x:f>IF('Allocation Build'!J44&gt;=0,1,0)</x:f>
        <x:v>1</x:v>
      </x:c>
      <x:c r="F400" s="27" t="n">
        <x:v>1</x:v>
      </x:c>
      <x:c r="G400" s="29" t="str">
        <x:f>IF(E400=F400,"PASS","FAIL")</x:f>
        <x:v>PASS</x:v>
      </x:c>
    </x:row>
    <x:row r="401" ht="18" customHeight="1">
      <x:c r="B401" s="27" t="str">
        <x:v>A0395</x:v>
      </x:c>
      <x:c r="C401" s="27" t="str">
        <x:v>allocation</x:v>
      </x:c>
      <x:c r="D401" s="27" t="str">
        <x:v>Allocation K44 nonnegative</x:v>
      </x:c>
      <x:c r="E401" s="27" t="n">
        <x:f>IF('Allocation Build'!K44&gt;=0,1,0)</x:f>
        <x:v>1</x:v>
      </x:c>
      <x:c r="F401" s="27" t="n">
        <x:v>1</x:v>
      </x:c>
      <x:c r="G401" s="29" t="str">
        <x:f>IF(E401=F401,"PASS","FAIL")</x:f>
        <x:v>PASS</x:v>
      </x:c>
    </x:row>
    <x:row r="402" ht="18" customHeight="1">
      <x:c r="B402" s="27" t="str">
        <x:v>A0396</x:v>
      </x:c>
      <x:c r="C402" s="27" t="str">
        <x:v>allocation</x:v>
      </x:c>
      <x:c r="D402" s="27" t="str">
        <x:v>Allocation L44 nonnegative</x:v>
      </x:c>
      <x:c r="E402" s="27" t="n">
        <x:f>IF('Allocation Build'!L44&gt;=0,1,0)</x:f>
        <x:v>1</x:v>
      </x:c>
      <x:c r="F402" s="27" t="n">
        <x:v>1</x:v>
      </x:c>
      <x:c r="G402" s="29" t="str">
        <x:f>IF(E402=F402,"PASS","FAIL")</x:f>
        <x:v>PASS</x:v>
      </x:c>
    </x:row>
    <x:row r="403" ht="18" customHeight="1">
      <x:c r="B403" s="27" t="str">
        <x:v>A0397</x:v>
      </x:c>
      <x:c r="C403" s="27" t="str">
        <x:v>allocation</x:v>
      </x:c>
      <x:c r="D403" s="27" t="str">
        <x:v>Allocation row 44 state open</x:v>
      </x:c>
      <x:c r="E403" s="27" t="n">
        <x:f>IF('Allocation Build'!N44="OPEN",1,0)</x:f>
        <x:v>1</x:v>
      </x:c>
      <x:c r="F403" s="27" t="n">
        <x:v>1</x:v>
      </x:c>
      <x:c r="G403" s="29" t="str">
        <x:f>IF(E403=F403,"PASS","FAIL")</x:f>
        <x:v>PASS</x:v>
      </x:c>
    </x:row>
    <x:row r="404" ht="18" customHeight="1">
      <x:c r="B404" s="27" t="str">
        <x:v>A0398</x:v>
      </x:c>
      <x:c r="C404" s="27" t="str">
        <x:v>allocation</x:v>
      </x:c>
      <x:c r="D404" s="27" t="str">
        <x:v>Allocation E45 nonnegative</x:v>
      </x:c>
      <x:c r="E404" s="27" t="n">
        <x:f>IF('Allocation Build'!E45&gt;=0,1,0)</x:f>
        <x:v>1</x:v>
      </x:c>
      <x:c r="F404" s="27" t="n">
        <x:v>1</x:v>
      </x:c>
      <x:c r="G404" s="29" t="str">
        <x:f>IF(E404=F404,"PASS","FAIL")</x:f>
        <x:v>PASS</x:v>
      </x:c>
    </x:row>
    <x:row r="405" ht="18" customHeight="1">
      <x:c r="B405" s="27" t="str">
        <x:v>A0399</x:v>
      </x:c>
      <x:c r="C405" s="27" t="str">
        <x:v>allocation</x:v>
      </x:c>
      <x:c r="D405" s="27" t="str">
        <x:v>Allocation F45 nonnegative</x:v>
      </x:c>
      <x:c r="E405" s="27" t="n">
        <x:f>IF('Allocation Build'!F45&gt;=0,1,0)</x:f>
        <x:v>1</x:v>
      </x:c>
      <x:c r="F405" s="27" t="n">
        <x:v>1</x:v>
      </x:c>
      <x:c r="G405" s="29" t="str">
        <x:f>IF(E405=F405,"PASS","FAIL")</x:f>
        <x:v>PASS</x:v>
      </x:c>
    </x:row>
    <x:row r="406" ht="18" customHeight="1">
      <x:c r="B406" s="27" t="str">
        <x:v>A0400</x:v>
      </x:c>
      <x:c r="C406" s="27" t="str">
        <x:v>allocation</x:v>
      </x:c>
      <x:c r="D406" s="27" t="str">
        <x:v>Allocation G45 nonnegative</x:v>
      </x:c>
      <x:c r="E406" s="27" t="n">
        <x:f>IF('Allocation Build'!G45&gt;=0,1,0)</x:f>
        <x:v>1</x:v>
      </x:c>
      <x:c r="F406" s="27" t="n">
        <x:v>1</x:v>
      </x:c>
      <x:c r="G406" s="29" t="str">
        <x:f>IF(E406=F406,"PASS","FAIL")</x:f>
        <x:v>PASS</x:v>
      </x:c>
    </x:row>
    <x:row r="407" ht="18" customHeight="1">
      <x:c r="B407" s="27" t="str">
        <x:v>A0401</x:v>
      </x:c>
      <x:c r="C407" s="27" t="str">
        <x:v>allocation</x:v>
      </x:c>
      <x:c r="D407" s="27" t="str">
        <x:v>Allocation H45 nonnegative</x:v>
      </x:c>
      <x:c r="E407" s="27" t="n">
        <x:f>IF('Allocation Build'!H45&gt;=0,1,0)</x:f>
        <x:v>1</x:v>
      </x:c>
      <x:c r="F407" s="27" t="n">
        <x:v>1</x:v>
      </x:c>
      <x:c r="G407" s="29" t="str">
        <x:f>IF(E407=F407,"PASS","FAIL")</x:f>
        <x:v>PASS</x:v>
      </x:c>
    </x:row>
    <x:row r="408" ht="18" customHeight="1">
      <x:c r="B408" s="27" t="str">
        <x:v>A0402</x:v>
      </x:c>
      <x:c r="C408" s="27" t="str">
        <x:v>allocation</x:v>
      </x:c>
      <x:c r="D408" s="27" t="str">
        <x:v>Allocation I45 nonnegative</x:v>
      </x:c>
      <x:c r="E408" s="27" t="n">
        <x:f>IF('Allocation Build'!I45&gt;=0,1,0)</x:f>
        <x:v>1</x:v>
      </x:c>
      <x:c r="F408" s="27" t="n">
        <x:v>1</x:v>
      </x:c>
      <x:c r="G408" s="29" t="str">
        <x:f>IF(E408=F408,"PASS","FAIL")</x:f>
        <x:v>PASS</x:v>
      </x:c>
    </x:row>
    <x:row r="409" ht="18" customHeight="1">
      <x:c r="B409" s="27" t="str">
        <x:v>A0403</x:v>
      </x:c>
      <x:c r="C409" s="27" t="str">
        <x:v>allocation</x:v>
      </x:c>
      <x:c r="D409" s="27" t="str">
        <x:v>Allocation J45 nonnegative</x:v>
      </x:c>
      <x:c r="E409" s="27" t="n">
        <x:f>IF('Allocation Build'!J45&gt;=0,1,0)</x:f>
        <x:v>1</x:v>
      </x:c>
      <x:c r="F409" s="27" t="n">
        <x:v>1</x:v>
      </x:c>
      <x:c r="G409" s="29" t="str">
        <x:f>IF(E409=F409,"PASS","FAIL")</x:f>
        <x:v>PASS</x:v>
      </x:c>
    </x:row>
    <x:row r="410" ht="18" customHeight="1">
      <x:c r="B410" s="27" t="str">
        <x:v>A0404</x:v>
      </x:c>
      <x:c r="C410" s="27" t="str">
        <x:v>allocation</x:v>
      </x:c>
      <x:c r="D410" s="27" t="str">
        <x:v>Allocation K45 nonnegative</x:v>
      </x:c>
      <x:c r="E410" s="27" t="n">
        <x:f>IF('Allocation Build'!K45&gt;=0,1,0)</x:f>
        <x:v>1</x:v>
      </x:c>
      <x:c r="F410" s="27" t="n">
        <x:v>1</x:v>
      </x:c>
      <x:c r="G410" s="29" t="str">
        <x:f>IF(E410=F410,"PASS","FAIL")</x:f>
        <x:v>PASS</x:v>
      </x:c>
    </x:row>
    <x:row r="411" ht="18" customHeight="1">
      <x:c r="B411" s="27" t="str">
        <x:v>A0405</x:v>
      </x:c>
      <x:c r="C411" s="27" t="str">
        <x:v>allocation</x:v>
      </x:c>
      <x:c r="D411" s="27" t="str">
        <x:v>Allocation L45 nonnegative</x:v>
      </x:c>
      <x:c r="E411" s="27" t="n">
        <x:f>IF('Allocation Build'!L45&gt;=0,1,0)</x:f>
        <x:v>1</x:v>
      </x:c>
      <x:c r="F411" s="27" t="n">
        <x:v>1</x:v>
      </x:c>
      <x:c r="G411" s="29" t="str">
        <x:f>IF(E411=F411,"PASS","FAIL")</x:f>
        <x:v>PASS</x:v>
      </x:c>
    </x:row>
    <x:row r="412" ht="18" customHeight="1">
      <x:c r="B412" s="27" t="str">
        <x:v>A0406</x:v>
      </x:c>
      <x:c r="C412" s="27" t="str">
        <x:v>allocation</x:v>
      </x:c>
      <x:c r="D412" s="27" t="str">
        <x:v>Allocation row 45 state open</x:v>
      </x:c>
      <x:c r="E412" s="27" t="n">
        <x:f>IF('Allocation Build'!N45="OPEN",1,0)</x:f>
        <x:v>1</x:v>
      </x:c>
      <x:c r="F412" s="27" t="n">
        <x:v>1</x:v>
      </x:c>
      <x:c r="G412" s="29" t="str">
        <x:f>IF(E412=F412,"PASS","FAIL")</x:f>
        <x:v>PASS</x:v>
      </x:c>
    </x:row>
    <x:row r="413" ht="18" customHeight="1">
      <x:c r="B413" s="27" t="str">
        <x:v>A0407</x:v>
      </x:c>
      <x:c r="C413" s="27" t="str">
        <x:v>allocation</x:v>
      </x:c>
      <x:c r="D413" s="27" t="str">
        <x:v>Allocation E46 nonnegative</x:v>
      </x:c>
      <x:c r="E413" s="27" t="n">
        <x:f>IF('Allocation Build'!E46&gt;=0,1,0)</x:f>
        <x:v>1</x:v>
      </x:c>
      <x:c r="F413" s="27" t="n">
        <x:v>1</x:v>
      </x:c>
      <x:c r="G413" s="29" t="str">
        <x:f>IF(E413=F413,"PASS","FAIL")</x:f>
        <x:v>PASS</x:v>
      </x:c>
    </x:row>
    <x:row r="414" ht="18" customHeight="1">
      <x:c r="B414" s="27" t="str">
        <x:v>A0408</x:v>
      </x:c>
      <x:c r="C414" s="27" t="str">
        <x:v>allocation</x:v>
      </x:c>
      <x:c r="D414" s="27" t="str">
        <x:v>Allocation F46 nonnegative</x:v>
      </x:c>
      <x:c r="E414" s="27" t="n">
        <x:f>IF('Allocation Build'!F46&gt;=0,1,0)</x:f>
        <x:v>1</x:v>
      </x:c>
      <x:c r="F414" s="27" t="n">
        <x:v>1</x:v>
      </x:c>
      <x:c r="G414" s="29" t="str">
        <x:f>IF(E414=F414,"PASS","FAIL")</x:f>
        <x:v>PASS</x:v>
      </x:c>
    </x:row>
    <x:row r="415" ht="18" customHeight="1">
      <x:c r="B415" s="27" t="str">
        <x:v>A0409</x:v>
      </x:c>
      <x:c r="C415" s="27" t="str">
        <x:v>allocation</x:v>
      </x:c>
      <x:c r="D415" s="27" t="str">
        <x:v>Allocation G46 nonnegative</x:v>
      </x:c>
      <x:c r="E415" s="27" t="n">
        <x:f>IF('Allocation Build'!G46&gt;=0,1,0)</x:f>
        <x:v>1</x:v>
      </x:c>
      <x:c r="F415" s="27" t="n">
        <x:v>1</x:v>
      </x:c>
      <x:c r="G415" s="29" t="str">
        <x:f>IF(E415=F415,"PASS","FAIL")</x:f>
        <x:v>PASS</x:v>
      </x:c>
    </x:row>
    <x:row r="416" ht="18" customHeight="1">
      <x:c r="B416" s="27" t="str">
        <x:v>A0410</x:v>
      </x:c>
      <x:c r="C416" s="27" t="str">
        <x:v>allocation</x:v>
      </x:c>
      <x:c r="D416" s="27" t="str">
        <x:v>Allocation H46 nonnegative</x:v>
      </x:c>
      <x:c r="E416" s="27" t="n">
        <x:f>IF('Allocation Build'!H46&gt;=0,1,0)</x:f>
        <x:v>1</x:v>
      </x:c>
      <x:c r="F416" s="27" t="n">
        <x:v>1</x:v>
      </x:c>
      <x:c r="G416" s="29" t="str">
        <x:f>IF(E416=F416,"PASS","FAIL")</x:f>
        <x:v>PASS</x:v>
      </x:c>
    </x:row>
    <x:row r="417" ht="18" customHeight="1">
      <x:c r="B417" s="27" t="str">
        <x:v>A0411</x:v>
      </x:c>
      <x:c r="C417" s="27" t="str">
        <x:v>allocation</x:v>
      </x:c>
      <x:c r="D417" s="27" t="str">
        <x:v>Allocation I46 nonnegative</x:v>
      </x:c>
      <x:c r="E417" s="27" t="n">
        <x:f>IF('Allocation Build'!I46&gt;=0,1,0)</x:f>
        <x:v>1</x:v>
      </x:c>
      <x:c r="F417" s="27" t="n">
        <x:v>1</x:v>
      </x:c>
      <x:c r="G417" s="29" t="str">
        <x:f>IF(E417=F417,"PASS","FAIL")</x:f>
        <x:v>PASS</x:v>
      </x:c>
    </x:row>
    <x:row r="418" ht="18" customHeight="1">
      <x:c r="B418" s="27" t="str">
        <x:v>A0412</x:v>
      </x:c>
      <x:c r="C418" s="27" t="str">
        <x:v>allocation</x:v>
      </x:c>
      <x:c r="D418" s="27" t="str">
        <x:v>Allocation J46 nonnegative</x:v>
      </x:c>
      <x:c r="E418" s="27" t="n">
        <x:f>IF('Allocation Build'!J46&gt;=0,1,0)</x:f>
        <x:v>1</x:v>
      </x:c>
      <x:c r="F418" s="27" t="n">
        <x:v>1</x:v>
      </x:c>
      <x:c r="G418" s="29" t="str">
        <x:f>IF(E418=F418,"PASS","FAIL")</x:f>
        <x:v>PASS</x:v>
      </x:c>
    </x:row>
    <x:row r="419" ht="18" customHeight="1">
      <x:c r="B419" s="27" t="str">
        <x:v>A0413</x:v>
      </x:c>
      <x:c r="C419" s="27" t="str">
        <x:v>allocation</x:v>
      </x:c>
      <x:c r="D419" s="27" t="str">
        <x:v>Allocation K46 nonnegative</x:v>
      </x:c>
      <x:c r="E419" s="27" t="n">
        <x:f>IF('Allocation Build'!K46&gt;=0,1,0)</x:f>
        <x:v>1</x:v>
      </x:c>
      <x:c r="F419" s="27" t="n">
        <x:v>1</x:v>
      </x:c>
      <x:c r="G419" s="29" t="str">
        <x:f>IF(E419=F419,"PASS","FAIL")</x:f>
        <x:v>PASS</x:v>
      </x:c>
    </x:row>
    <x:row r="420" ht="18" customHeight="1">
      <x:c r="B420" s="27" t="str">
        <x:v>A0414</x:v>
      </x:c>
      <x:c r="C420" s="27" t="str">
        <x:v>allocation</x:v>
      </x:c>
      <x:c r="D420" s="27" t="str">
        <x:v>Allocation L46 nonnegative</x:v>
      </x:c>
      <x:c r="E420" s="27" t="n">
        <x:f>IF('Allocation Build'!L46&gt;=0,1,0)</x:f>
        <x:v>1</x:v>
      </x:c>
      <x:c r="F420" s="27" t="n">
        <x:v>1</x:v>
      </x:c>
      <x:c r="G420" s="29" t="str">
        <x:f>IF(E420=F420,"PASS","FAIL")</x:f>
        <x:v>PASS</x:v>
      </x:c>
    </x:row>
    <x:row r="421" ht="18" customHeight="1">
      <x:c r="B421" s="27" t="str">
        <x:v>A0415</x:v>
      </x:c>
      <x:c r="C421" s="27" t="str">
        <x:v>allocation</x:v>
      </x:c>
      <x:c r="D421" s="27" t="str">
        <x:v>Allocation row 46 state open</x:v>
      </x:c>
      <x:c r="E421" s="27" t="n">
        <x:f>IF('Allocation Build'!N46="OPEN",1,0)</x:f>
        <x:v>1</x:v>
      </x:c>
      <x:c r="F421" s="27" t="n">
        <x:v>1</x:v>
      </x:c>
      <x:c r="G421" s="29" t="str">
        <x:f>IF(E421=F421,"PASS","FAIL")</x:f>
        <x:v>PASS</x:v>
      </x:c>
    </x:row>
    <x:row r="422" ht="18" customHeight="1">
      <x:c r="B422" s="27" t="str">
        <x:v>A0416</x:v>
      </x:c>
      <x:c r="C422" s="27" t="str">
        <x:v>allocation</x:v>
      </x:c>
      <x:c r="D422" s="27" t="str">
        <x:v>Allocation E47 nonnegative</x:v>
      </x:c>
      <x:c r="E422" s="27" t="n">
        <x:f>IF('Allocation Build'!E47&gt;=0,1,0)</x:f>
        <x:v>1</x:v>
      </x:c>
      <x:c r="F422" s="27" t="n">
        <x:v>1</x:v>
      </x:c>
      <x:c r="G422" s="29" t="str">
        <x:f>IF(E422=F422,"PASS","FAIL")</x:f>
        <x:v>PASS</x:v>
      </x:c>
    </x:row>
    <x:row r="423" ht="18" customHeight="1">
      <x:c r="B423" s="27" t="str">
        <x:v>A0417</x:v>
      </x:c>
      <x:c r="C423" s="27" t="str">
        <x:v>allocation</x:v>
      </x:c>
      <x:c r="D423" s="27" t="str">
        <x:v>Allocation F47 nonnegative</x:v>
      </x:c>
      <x:c r="E423" s="27" t="n">
        <x:f>IF('Allocation Build'!F47&gt;=0,1,0)</x:f>
        <x:v>1</x:v>
      </x:c>
      <x:c r="F423" s="27" t="n">
        <x:v>1</x:v>
      </x:c>
      <x:c r="G423" s="29" t="str">
        <x:f>IF(E423=F423,"PASS","FAIL")</x:f>
        <x:v>PASS</x:v>
      </x:c>
    </x:row>
    <x:row r="424" ht="18" customHeight="1">
      <x:c r="B424" s="27" t="str">
        <x:v>A0418</x:v>
      </x:c>
      <x:c r="C424" s="27" t="str">
        <x:v>allocation</x:v>
      </x:c>
      <x:c r="D424" s="27" t="str">
        <x:v>Allocation G47 nonnegative</x:v>
      </x:c>
      <x:c r="E424" s="27" t="n">
        <x:f>IF('Allocation Build'!G47&gt;=0,1,0)</x:f>
        <x:v>1</x:v>
      </x:c>
      <x:c r="F424" s="27" t="n">
        <x:v>1</x:v>
      </x:c>
      <x:c r="G424" s="29" t="str">
        <x:f>IF(E424=F424,"PASS","FAIL")</x:f>
        <x:v>PASS</x:v>
      </x:c>
    </x:row>
    <x:row r="425" ht="18" customHeight="1">
      <x:c r="B425" s="27" t="str">
        <x:v>A0419</x:v>
      </x:c>
      <x:c r="C425" s="27" t="str">
        <x:v>allocation</x:v>
      </x:c>
      <x:c r="D425" s="27" t="str">
        <x:v>Allocation H47 nonnegative</x:v>
      </x:c>
      <x:c r="E425" s="27" t="n">
        <x:f>IF('Allocation Build'!H47&gt;=0,1,0)</x:f>
        <x:v>1</x:v>
      </x:c>
      <x:c r="F425" s="27" t="n">
        <x:v>1</x:v>
      </x:c>
      <x:c r="G425" s="29" t="str">
        <x:f>IF(E425=F425,"PASS","FAIL")</x:f>
        <x:v>PASS</x:v>
      </x:c>
    </x:row>
    <x:row r="426" ht="18" customHeight="1">
      <x:c r="B426" s="27" t="str">
        <x:v>A0420</x:v>
      </x:c>
      <x:c r="C426" s="27" t="str">
        <x:v>allocation</x:v>
      </x:c>
      <x:c r="D426" s="27" t="str">
        <x:v>Allocation I47 nonnegative</x:v>
      </x:c>
      <x:c r="E426" s="27" t="n">
        <x:f>IF('Allocation Build'!I47&gt;=0,1,0)</x:f>
        <x:v>1</x:v>
      </x:c>
      <x:c r="F426" s="27" t="n">
        <x:v>1</x:v>
      </x:c>
      <x:c r="G426" s="29" t="str">
        <x:f>IF(E426=F426,"PASS","FAIL")</x:f>
        <x:v>PASS</x:v>
      </x:c>
    </x:row>
    <x:row r="427" ht="18" customHeight="1">
      <x:c r="B427" s="27" t="str">
        <x:v>A0421</x:v>
      </x:c>
      <x:c r="C427" s="27" t="str">
        <x:v>allocation</x:v>
      </x:c>
      <x:c r="D427" s="27" t="str">
        <x:v>Allocation J47 nonnegative</x:v>
      </x:c>
      <x:c r="E427" s="27" t="n">
        <x:f>IF('Allocation Build'!J47&gt;=0,1,0)</x:f>
        <x:v>1</x:v>
      </x:c>
      <x:c r="F427" s="27" t="n">
        <x:v>1</x:v>
      </x:c>
      <x:c r="G427" s="29" t="str">
        <x:f>IF(E427=F427,"PASS","FAIL")</x:f>
        <x:v>PASS</x:v>
      </x:c>
    </x:row>
    <x:row r="428" ht="18" customHeight="1">
      <x:c r="B428" s="27" t="str">
        <x:v>A0422</x:v>
      </x:c>
      <x:c r="C428" s="27" t="str">
        <x:v>allocation</x:v>
      </x:c>
      <x:c r="D428" s="27" t="str">
        <x:v>Allocation K47 nonnegative</x:v>
      </x:c>
      <x:c r="E428" s="27" t="n">
        <x:f>IF('Allocation Build'!K47&gt;=0,1,0)</x:f>
        <x:v>1</x:v>
      </x:c>
      <x:c r="F428" s="27" t="n">
        <x:v>1</x:v>
      </x:c>
      <x:c r="G428" s="29" t="str">
        <x:f>IF(E428=F428,"PASS","FAIL")</x:f>
        <x:v>PASS</x:v>
      </x:c>
    </x:row>
    <x:row r="429" ht="18" customHeight="1">
      <x:c r="B429" s="27" t="str">
        <x:v>A0423</x:v>
      </x:c>
      <x:c r="C429" s="27" t="str">
        <x:v>allocation</x:v>
      </x:c>
      <x:c r="D429" s="27" t="str">
        <x:v>Allocation L47 nonnegative</x:v>
      </x:c>
      <x:c r="E429" s="27" t="n">
        <x:f>IF('Allocation Build'!L47&gt;=0,1,0)</x:f>
        <x:v>1</x:v>
      </x:c>
      <x:c r="F429" s="27" t="n">
        <x:v>1</x:v>
      </x:c>
      <x:c r="G429" s="29" t="str">
        <x:f>IF(E429=F429,"PASS","FAIL")</x:f>
        <x:v>PASS</x:v>
      </x:c>
    </x:row>
    <x:row r="430" ht="18" customHeight="1">
      <x:c r="B430" s="27" t="str">
        <x:v>A0424</x:v>
      </x:c>
      <x:c r="C430" s="27" t="str">
        <x:v>allocation</x:v>
      </x:c>
      <x:c r="D430" s="27" t="str">
        <x:v>Allocation row 47 state open</x:v>
      </x:c>
      <x:c r="E430" s="27" t="n">
        <x:f>IF('Allocation Build'!N47="OPEN",1,0)</x:f>
        <x:v>1</x:v>
      </x:c>
      <x:c r="F430" s="27" t="n">
        <x:v>1</x:v>
      </x:c>
      <x:c r="G430" s="29" t="str">
        <x:f>IF(E430=F430,"PASS","FAIL")</x:f>
        <x:v>PASS</x:v>
      </x:c>
    </x:row>
    <x:row r="431" ht="18" customHeight="1">
      <x:c r="B431" s="27" t="str">
        <x:v>A0425</x:v>
      </x:c>
      <x:c r="C431" s="27" t="str">
        <x:v>allocation</x:v>
      </x:c>
      <x:c r="D431" s="27" t="str">
        <x:v>Allocation E48 nonnegative</x:v>
      </x:c>
      <x:c r="E431" s="27" t="n">
        <x:f>IF('Allocation Build'!E48&gt;=0,1,0)</x:f>
        <x:v>1</x:v>
      </x:c>
      <x:c r="F431" s="27" t="n">
        <x:v>1</x:v>
      </x:c>
      <x:c r="G431" s="29" t="str">
        <x:f>IF(E431=F431,"PASS","FAIL")</x:f>
        <x:v>PASS</x:v>
      </x:c>
    </x:row>
    <x:row r="432" ht="18" customHeight="1">
      <x:c r="B432" s="27" t="str">
        <x:v>A0426</x:v>
      </x:c>
      <x:c r="C432" s="27" t="str">
        <x:v>allocation</x:v>
      </x:c>
      <x:c r="D432" s="27" t="str">
        <x:v>Allocation F48 nonnegative</x:v>
      </x:c>
      <x:c r="E432" s="27" t="n">
        <x:f>IF('Allocation Build'!F48&gt;=0,1,0)</x:f>
        <x:v>1</x:v>
      </x:c>
      <x:c r="F432" s="27" t="n">
        <x:v>1</x:v>
      </x:c>
      <x:c r="G432" s="29" t="str">
        <x:f>IF(E432=F432,"PASS","FAIL")</x:f>
        <x:v>PASS</x:v>
      </x:c>
    </x:row>
    <x:row r="433" ht="18" customHeight="1">
      <x:c r="B433" s="27" t="str">
        <x:v>A0427</x:v>
      </x:c>
      <x:c r="C433" s="27" t="str">
        <x:v>allocation</x:v>
      </x:c>
      <x:c r="D433" s="27" t="str">
        <x:v>Allocation G48 nonnegative</x:v>
      </x:c>
      <x:c r="E433" s="27" t="n">
        <x:f>IF('Allocation Build'!G48&gt;=0,1,0)</x:f>
        <x:v>1</x:v>
      </x:c>
      <x:c r="F433" s="27" t="n">
        <x:v>1</x:v>
      </x:c>
      <x:c r="G433" s="29" t="str">
        <x:f>IF(E433=F433,"PASS","FAIL")</x:f>
        <x:v>PASS</x:v>
      </x:c>
    </x:row>
    <x:row r="434" ht="18" customHeight="1">
      <x:c r="B434" s="27" t="str">
        <x:v>A0428</x:v>
      </x:c>
      <x:c r="C434" s="27" t="str">
        <x:v>allocation</x:v>
      </x:c>
      <x:c r="D434" s="27" t="str">
        <x:v>Allocation H48 nonnegative</x:v>
      </x:c>
      <x:c r="E434" s="27" t="n">
        <x:f>IF('Allocation Build'!H48&gt;=0,1,0)</x:f>
        <x:v>1</x:v>
      </x:c>
      <x:c r="F434" s="27" t="n">
        <x:v>1</x:v>
      </x:c>
      <x:c r="G434" s="29" t="str">
        <x:f>IF(E434=F434,"PASS","FAIL")</x:f>
        <x:v>PASS</x:v>
      </x:c>
    </x:row>
    <x:row r="435" ht="18" customHeight="1">
      <x:c r="B435" s="27" t="str">
        <x:v>A0429</x:v>
      </x:c>
      <x:c r="C435" s="27" t="str">
        <x:v>allocation</x:v>
      </x:c>
      <x:c r="D435" s="27" t="str">
        <x:v>Allocation I48 nonnegative</x:v>
      </x:c>
      <x:c r="E435" s="27" t="n">
        <x:f>IF('Allocation Build'!I48&gt;=0,1,0)</x:f>
        <x:v>1</x:v>
      </x:c>
      <x:c r="F435" s="27" t="n">
        <x:v>1</x:v>
      </x:c>
      <x:c r="G435" s="29" t="str">
        <x:f>IF(E435=F435,"PASS","FAIL")</x:f>
        <x:v>PASS</x:v>
      </x:c>
    </x:row>
    <x:row r="436" ht="18" customHeight="1">
      <x:c r="B436" s="27" t="str">
        <x:v>A0430</x:v>
      </x:c>
      <x:c r="C436" s="27" t="str">
        <x:v>allocation</x:v>
      </x:c>
      <x:c r="D436" s="27" t="str">
        <x:v>Allocation J48 nonnegative</x:v>
      </x:c>
      <x:c r="E436" s="27" t="n">
        <x:f>IF('Allocation Build'!J48&gt;=0,1,0)</x:f>
        <x:v>1</x:v>
      </x:c>
      <x:c r="F436" s="27" t="n">
        <x:v>1</x:v>
      </x:c>
      <x:c r="G436" s="29" t="str">
        <x:f>IF(E436=F436,"PASS","FAIL")</x:f>
        <x:v>PASS</x:v>
      </x:c>
    </x:row>
    <x:row r="437" ht="18" customHeight="1">
      <x:c r="B437" s="27" t="str">
        <x:v>A0431</x:v>
      </x:c>
      <x:c r="C437" s="27" t="str">
        <x:v>allocation</x:v>
      </x:c>
      <x:c r="D437" s="27" t="str">
        <x:v>Allocation K48 nonnegative</x:v>
      </x:c>
      <x:c r="E437" s="27" t="n">
        <x:f>IF('Allocation Build'!K48&gt;=0,1,0)</x:f>
        <x:v>1</x:v>
      </x:c>
      <x:c r="F437" s="27" t="n">
        <x:v>1</x:v>
      </x:c>
      <x:c r="G437" s="29" t="str">
        <x:f>IF(E437=F437,"PASS","FAIL")</x:f>
        <x:v>PASS</x:v>
      </x:c>
    </x:row>
    <x:row r="438" ht="18" customHeight="1">
      <x:c r="B438" s="27" t="str">
        <x:v>A0432</x:v>
      </x:c>
      <x:c r="C438" s="27" t="str">
        <x:v>allocation</x:v>
      </x:c>
      <x:c r="D438" s="27" t="str">
        <x:v>Allocation L48 nonnegative</x:v>
      </x:c>
      <x:c r="E438" s="27" t="n">
        <x:f>IF('Allocation Build'!L48&gt;=0,1,0)</x:f>
        <x:v>1</x:v>
      </x:c>
      <x:c r="F438" s="27" t="n">
        <x:v>1</x:v>
      </x:c>
      <x:c r="G438" s="29" t="str">
        <x:f>IF(E438=F438,"PASS","FAIL")</x:f>
        <x:v>PASS</x:v>
      </x:c>
    </x:row>
    <x:row r="439" ht="18" customHeight="1">
      <x:c r="B439" s="27" t="str">
        <x:v>A0433</x:v>
      </x:c>
      <x:c r="C439" s="27" t="str">
        <x:v>allocation</x:v>
      </x:c>
      <x:c r="D439" s="27" t="str">
        <x:v>Allocation row 48 state open</x:v>
      </x:c>
      <x:c r="E439" s="27" t="n">
        <x:f>IF('Allocation Build'!N48="OPEN",1,0)</x:f>
        <x:v>1</x:v>
      </x:c>
      <x:c r="F439" s="27" t="n">
        <x:v>1</x:v>
      </x:c>
      <x:c r="G439" s="29" t="str">
        <x:f>IF(E439=F439,"PASS","FAIL")</x:f>
        <x:v>PASS</x:v>
      </x:c>
    </x:row>
    <x:row r="440" ht="18" customHeight="1">
      <x:c r="B440" s="27" t="str">
        <x:v>A0434</x:v>
      </x:c>
      <x:c r="C440" s="27" t="str">
        <x:v>allocation</x:v>
      </x:c>
      <x:c r="D440" s="27" t="str">
        <x:v>Allocation E49 nonnegative</x:v>
      </x:c>
      <x:c r="E440" s="27" t="n">
        <x:f>IF('Allocation Build'!E49&gt;=0,1,0)</x:f>
        <x:v>1</x:v>
      </x:c>
      <x:c r="F440" s="27" t="n">
        <x:v>1</x:v>
      </x:c>
      <x:c r="G440" s="29" t="str">
        <x:f>IF(E440=F440,"PASS","FAIL")</x:f>
        <x:v>PASS</x:v>
      </x:c>
    </x:row>
    <x:row r="441" ht="18" customHeight="1">
      <x:c r="B441" s="27" t="str">
        <x:v>A0435</x:v>
      </x:c>
      <x:c r="C441" s="27" t="str">
        <x:v>allocation</x:v>
      </x:c>
      <x:c r="D441" s="27" t="str">
        <x:v>Allocation F49 nonnegative</x:v>
      </x:c>
      <x:c r="E441" s="27" t="n">
        <x:f>IF('Allocation Build'!F49&gt;=0,1,0)</x:f>
        <x:v>1</x:v>
      </x:c>
      <x:c r="F441" s="27" t="n">
        <x:v>1</x:v>
      </x:c>
      <x:c r="G441" s="29" t="str">
        <x:f>IF(E441=F441,"PASS","FAIL")</x:f>
        <x:v>PASS</x:v>
      </x:c>
    </x:row>
    <x:row r="442" ht="18" customHeight="1">
      <x:c r="B442" s="27" t="str">
        <x:v>A0436</x:v>
      </x:c>
      <x:c r="C442" s="27" t="str">
        <x:v>allocation</x:v>
      </x:c>
      <x:c r="D442" s="27" t="str">
        <x:v>Allocation G49 nonnegative</x:v>
      </x:c>
      <x:c r="E442" s="27" t="n">
        <x:f>IF('Allocation Build'!G49&gt;=0,1,0)</x:f>
        <x:v>1</x:v>
      </x:c>
      <x:c r="F442" s="27" t="n">
        <x:v>1</x:v>
      </x:c>
      <x:c r="G442" s="29" t="str">
        <x:f>IF(E442=F442,"PASS","FAIL")</x:f>
        <x:v>PASS</x:v>
      </x:c>
    </x:row>
    <x:row r="443" ht="18" customHeight="1">
      <x:c r="B443" s="27" t="str">
        <x:v>A0437</x:v>
      </x:c>
      <x:c r="C443" s="27" t="str">
        <x:v>allocation</x:v>
      </x:c>
      <x:c r="D443" s="27" t="str">
        <x:v>Allocation H49 nonnegative</x:v>
      </x:c>
      <x:c r="E443" s="27" t="n">
        <x:f>IF('Allocation Build'!H49&gt;=0,1,0)</x:f>
        <x:v>1</x:v>
      </x:c>
      <x:c r="F443" s="27" t="n">
        <x:v>1</x:v>
      </x:c>
      <x:c r="G443" s="29" t="str">
        <x:f>IF(E443=F443,"PASS","FAIL")</x:f>
        <x:v>PASS</x:v>
      </x:c>
    </x:row>
    <x:row r="444" ht="18" customHeight="1">
      <x:c r="B444" s="27" t="str">
        <x:v>A0438</x:v>
      </x:c>
      <x:c r="C444" s="27" t="str">
        <x:v>allocation</x:v>
      </x:c>
      <x:c r="D444" s="27" t="str">
        <x:v>Allocation I49 nonnegative</x:v>
      </x:c>
      <x:c r="E444" s="27" t="n">
        <x:f>IF('Allocation Build'!I49&gt;=0,1,0)</x:f>
        <x:v>1</x:v>
      </x:c>
      <x:c r="F444" s="27" t="n">
        <x:v>1</x:v>
      </x:c>
      <x:c r="G444" s="29" t="str">
        <x:f>IF(E444=F444,"PASS","FAIL")</x:f>
        <x:v>PASS</x:v>
      </x:c>
    </x:row>
    <x:row r="445" ht="18" customHeight="1">
      <x:c r="B445" s="27" t="str">
        <x:v>A0439</x:v>
      </x:c>
      <x:c r="C445" s="27" t="str">
        <x:v>allocation</x:v>
      </x:c>
      <x:c r="D445" s="27" t="str">
        <x:v>Allocation J49 nonnegative</x:v>
      </x:c>
      <x:c r="E445" s="27" t="n">
        <x:f>IF('Allocation Build'!J49&gt;=0,1,0)</x:f>
        <x:v>1</x:v>
      </x:c>
      <x:c r="F445" s="27" t="n">
        <x:v>1</x:v>
      </x:c>
      <x:c r="G445" s="29" t="str">
        <x:f>IF(E445=F445,"PASS","FAIL")</x:f>
        <x:v>PASS</x:v>
      </x:c>
    </x:row>
    <x:row r="446" ht="18" customHeight="1">
      <x:c r="B446" s="27" t="str">
        <x:v>A0440</x:v>
      </x:c>
      <x:c r="C446" s="27" t="str">
        <x:v>allocation</x:v>
      </x:c>
      <x:c r="D446" s="27" t="str">
        <x:v>Allocation K49 nonnegative</x:v>
      </x:c>
      <x:c r="E446" s="27" t="n">
        <x:f>IF('Allocation Build'!K49&gt;=0,1,0)</x:f>
        <x:v>1</x:v>
      </x:c>
      <x:c r="F446" s="27" t="n">
        <x:v>1</x:v>
      </x:c>
      <x:c r="G446" s="29" t="str">
        <x:f>IF(E446=F446,"PASS","FAIL")</x:f>
        <x:v>PASS</x:v>
      </x:c>
    </x:row>
    <x:row r="447" ht="18" customHeight="1">
      <x:c r="B447" s="27" t="str">
        <x:v>A0441</x:v>
      </x:c>
      <x:c r="C447" s="27" t="str">
        <x:v>allocation</x:v>
      </x:c>
      <x:c r="D447" s="27" t="str">
        <x:v>Allocation L49 nonnegative</x:v>
      </x:c>
      <x:c r="E447" s="27" t="n">
        <x:f>IF('Allocation Build'!L49&gt;=0,1,0)</x:f>
        <x:v>1</x:v>
      </x:c>
      <x:c r="F447" s="27" t="n">
        <x:v>1</x:v>
      </x:c>
      <x:c r="G447" s="29" t="str">
        <x:f>IF(E447=F447,"PASS","FAIL")</x:f>
        <x:v>PASS</x:v>
      </x:c>
    </x:row>
    <x:row r="448" ht="18" customHeight="1">
      <x:c r="B448" s="27" t="str">
        <x:v>A0442</x:v>
      </x:c>
      <x:c r="C448" s="27" t="str">
        <x:v>allocation</x:v>
      </x:c>
      <x:c r="D448" s="27" t="str">
        <x:v>Allocation row 49 state open</x:v>
      </x:c>
      <x:c r="E448" s="27" t="n">
        <x:f>IF('Allocation Build'!N49="OPEN",1,0)</x:f>
        <x:v>1</x:v>
      </x:c>
      <x:c r="F448" s="27" t="n">
        <x:v>1</x:v>
      </x:c>
      <x:c r="G448" s="29" t="str">
        <x:f>IF(E448=F448,"PASS","FAIL")</x:f>
        <x:v>PASS</x:v>
      </x:c>
    </x:row>
    <x:row r="449" ht="18" customHeight="1">
      <x:c r="B449" s="27" t="str">
        <x:v>A0443</x:v>
      </x:c>
      <x:c r="C449" s="27" t="str">
        <x:v>allocation</x:v>
      </x:c>
      <x:c r="D449" s="27" t="str">
        <x:v>Allocation E50 nonnegative</x:v>
      </x:c>
      <x:c r="E449" s="27" t="n">
        <x:f>IF('Allocation Build'!E50&gt;=0,1,0)</x:f>
        <x:v>1</x:v>
      </x:c>
      <x:c r="F449" s="27" t="n">
        <x:v>1</x:v>
      </x:c>
      <x:c r="G449" s="29" t="str">
        <x:f>IF(E449=F449,"PASS","FAIL")</x:f>
        <x:v>PASS</x:v>
      </x:c>
    </x:row>
    <x:row r="450" ht="18" customHeight="1">
      <x:c r="B450" s="27" t="str">
        <x:v>A0444</x:v>
      </x:c>
      <x:c r="C450" s="27" t="str">
        <x:v>allocation</x:v>
      </x:c>
      <x:c r="D450" s="27" t="str">
        <x:v>Allocation F50 nonnegative</x:v>
      </x:c>
      <x:c r="E450" s="27" t="n">
        <x:f>IF('Allocation Build'!F50&gt;=0,1,0)</x:f>
        <x:v>1</x:v>
      </x:c>
      <x:c r="F450" s="27" t="n">
        <x:v>1</x:v>
      </x:c>
      <x:c r="G450" s="29" t="str">
        <x:f>IF(E450=F450,"PASS","FAIL")</x:f>
        <x:v>PASS</x:v>
      </x:c>
    </x:row>
    <x:row r="451" ht="18" customHeight="1">
      <x:c r="B451" s="27" t="str">
        <x:v>A0445</x:v>
      </x:c>
      <x:c r="C451" s="27" t="str">
        <x:v>allocation</x:v>
      </x:c>
      <x:c r="D451" s="27" t="str">
        <x:v>Allocation G50 nonnegative</x:v>
      </x:c>
      <x:c r="E451" s="27" t="n">
        <x:f>IF('Allocation Build'!G50&gt;=0,1,0)</x:f>
        <x:v>1</x:v>
      </x:c>
      <x:c r="F451" s="27" t="n">
        <x:v>1</x:v>
      </x:c>
      <x:c r="G451" s="29" t="str">
        <x:f>IF(E451=F451,"PASS","FAIL")</x:f>
        <x:v>PASS</x:v>
      </x:c>
    </x:row>
    <x:row r="452" ht="18" customHeight="1">
      <x:c r="B452" s="27" t="str">
        <x:v>A0446</x:v>
      </x:c>
      <x:c r="C452" s="27" t="str">
        <x:v>allocation</x:v>
      </x:c>
      <x:c r="D452" s="27" t="str">
        <x:v>Allocation H50 nonnegative</x:v>
      </x:c>
      <x:c r="E452" s="27" t="n">
        <x:f>IF('Allocation Build'!H50&gt;=0,1,0)</x:f>
        <x:v>1</x:v>
      </x:c>
      <x:c r="F452" s="27" t="n">
        <x:v>1</x:v>
      </x:c>
      <x:c r="G452" s="29" t="str">
        <x:f>IF(E452=F452,"PASS","FAIL")</x:f>
        <x:v>PASS</x:v>
      </x:c>
    </x:row>
    <x:row r="453" ht="18" customHeight="1">
      <x:c r="B453" s="27" t="str">
        <x:v>A0447</x:v>
      </x:c>
      <x:c r="C453" s="27" t="str">
        <x:v>allocation</x:v>
      </x:c>
      <x:c r="D453" s="27" t="str">
        <x:v>Allocation I50 nonnegative</x:v>
      </x:c>
      <x:c r="E453" s="27" t="n">
        <x:f>IF('Allocation Build'!I50&gt;=0,1,0)</x:f>
        <x:v>1</x:v>
      </x:c>
      <x:c r="F453" s="27" t="n">
        <x:v>1</x:v>
      </x:c>
      <x:c r="G453" s="29" t="str">
        <x:f>IF(E453=F453,"PASS","FAIL")</x:f>
        <x:v>PASS</x:v>
      </x:c>
    </x:row>
    <x:row r="454" ht="18" customHeight="1">
      <x:c r="B454" s="27" t="str">
        <x:v>A0448</x:v>
      </x:c>
      <x:c r="C454" s="27" t="str">
        <x:v>allocation</x:v>
      </x:c>
      <x:c r="D454" s="27" t="str">
        <x:v>Allocation J50 nonnegative</x:v>
      </x:c>
      <x:c r="E454" s="27" t="n">
        <x:f>IF('Allocation Build'!J50&gt;=0,1,0)</x:f>
        <x:v>1</x:v>
      </x:c>
      <x:c r="F454" s="27" t="n">
        <x:v>1</x:v>
      </x:c>
      <x:c r="G454" s="29" t="str">
        <x:f>IF(E454=F454,"PASS","FAIL")</x:f>
        <x:v>PASS</x:v>
      </x:c>
    </x:row>
    <x:row r="455" ht="18" customHeight="1">
      <x:c r="B455" s="27" t="str">
        <x:v>A0449</x:v>
      </x:c>
      <x:c r="C455" s="27" t="str">
        <x:v>allocation</x:v>
      </x:c>
      <x:c r="D455" s="27" t="str">
        <x:v>Allocation K50 nonnegative</x:v>
      </x:c>
      <x:c r="E455" s="27" t="n">
        <x:f>IF('Allocation Build'!K50&gt;=0,1,0)</x:f>
        <x:v>1</x:v>
      </x:c>
      <x:c r="F455" s="27" t="n">
        <x:v>1</x:v>
      </x:c>
      <x:c r="G455" s="29" t="str">
        <x:f>IF(E455=F455,"PASS","FAIL")</x:f>
        <x:v>PASS</x:v>
      </x:c>
    </x:row>
    <x:row r="456" ht="18" customHeight="1">
      <x:c r="B456" s="27" t="str">
        <x:v>A0450</x:v>
      </x:c>
      <x:c r="C456" s="27" t="str">
        <x:v>allocation</x:v>
      </x:c>
      <x:c r="D456" s="27" t="str">
        <x:v>Allocation L50 nonnegative</x:v>
      </x:c>
      <x:c r="E456" s="27" t="n">
        <x:f>IF('Allocation Build'!L50&gt;=0,1,0)</x:f>
        <x:v>1</x:v>
      </x:c>
      <x:c r="F456" s="27" t="n">
        <x:v>1</x:v>
      </x:c>
      <x:c r="G456" s="29" t="str">
        <x:f>IF(E456=F456,"PASS","FAIL")</x:f>
        <x:v>PASS</x:v>
      </x:c>
    </x:row>
    <x:row r="457" ht="18" customHeight="1">
      <x:c r="B457" s="27" t="str">
        <x:v>A0451</x:v>
      </x:c>
      <x:c r="C457" s="27" t="str">
        <x:v>allocation</x:v>
      </x:c>
      <x:c r="D457" s="27" t="str">
        <x:v>Allocation row 50 state open</x:v>
      </x:c>
      <x:c r="E457" s="27" t="n">
        <x:f>IF('Allocation Build'!N50="OPEN",1,0)</x:f>
        <x:v>1</x:v>
      </x:c>
      <x:c r="F457" s="27" t="n">
        <x:v>1</x:v>
      </x:c>
      <x:c r="G457" s="29" t="str">
        <x:f>IF(E457=F457,"PASS","FAIL")</x:f>
        <x:v>PASS</x:v>
      </x:c>
    </x:row>
    <x:row r="458" ht="18" customHeight="1">
      <x:c r="B458" s="27" t="str">
        <x:v>A0452</x:v>
      </x:c>
      <x:c r="C458" s="27" t="str">
        <x:v>allocation</x:v>
      </x:c>
      <x:c r="D458" s="27" t="str">
        <x:v>Allocation E51 nonnegative</x:v>
      </x:c>
      <x:c r="E458" s="27" t="n">
        <x:f>IF('Allocation Build'!E51&gt;=0,1,0)</x:f>
        <x:v>1</x:v>
      </x:c>
      <x:c r="F458" s="27" t="n">
        <x:v>1</x:v>
      </x:c>
      <x:c r="G458" s="29" t="str">
        <x:f>IF(E458=F458,"PASS","FAIL")</x:f>
        <x:v>PASS</x:v>
      </x:c>
    </x:row>
    <x:row r="459" ht="18" customHeight="1">
      <x:c r="B459" s="27" t="str">
        <x:v>A0453</x:v>
      </x:c>
      <x:c r="C459" s="27" t="str">
        <x:v>allocation</x:v>
      </x:c>
      <x:c r="D459" s="27" t="str">
        <x:v>Allocation F51 nonnegative</x:v>
      </x:c>
      <x:c r="E459" s="27" t="n">
        <x:f>IF('Allocation Build'!F51&gt;=0,1,0)</x:f>
        <x:v>1</x:v>
      </x:c>
      <x:c r="F459" s="27" t="n">
        <x:v>1</x:v>
      </x:c>
      <x:c r="G459" s="29" t="str">
        <x:f>IF(E459=F459,"PASS","FAIL")</x:f>
        <x:v>PASS</x:v>
      </x:c>
    </x:row>
    <x:row r="460" ht="18" customHeight="1">
      <x:c r="B460" s="27" t="str">
        <x:v>A0454</x:v>
      </x:c>
      <x:c r="C460" s="27" t="str">
        <x:v>allocation</x:v>
      </x:c>
      <x:c r="D460" s="27" t="str">
        <x:v>Allocation G51 nonnegative</x:v>
      </x:c>
      <x:c r="E460" s="27" t="n">
        <x:f>IF('Allocation Build'!G51&gt;=0,1,0)</x:f>
        <x:v>1</x:v>
      </x:c>
      <x:c r="F460" s="27" t="n">
        <x:v>1</x:v>
      </x:c>
      <x:c r="G460" s="29" t="str">
        <x:f>IF(E460=F460,"PASS","FAIL")</x:f>
        <x:v>PASS</x:v>
      </x:c>
    </x:row>
    <x:row r="461" ht="18" customHeight="1">
      <x:c r="B461" s="27" t="str">
        <x:v>A0455</x:v>
      </x:c>
      <x:c r="C461" s="27" t="str">
        <x:v>allocation</x:v>
      </x:c>
      <x:c r="D461" s="27" t="str">
        <x:v>Allocation H51 nonnegative</x:v>
      </x:c>
      <x:c r="E461" s="27" t="n">
        <x:f>IF('Allocation Build'!H51&gt;=0,1,0)</x:f>
        <x:v>1</x:v>
      </x:c>
      <x:c r="F461" s="27" t="n">
        <x:v>1</x:v>
      </x:c>
      <x:c r="G461" s="29" t="str">
        <x:f>IF(E461=F461,"PASS","FAIL")</x:f>
        <x:v>PASS</x:v>
      </x:c>
    </x:row>
    <x:row r="462" ht="18" customHeight="1">
      <x:c r="B462" s="27" t="str">
        <x:v>A0456</x:v>
      </x:c>
      <x:c r="C462" s="27" t="str">
        <x:v>allocation</x:v>
      </x:c>
      <x:c r="D462" s="27" t="str">
        <x:v>Allocation I51 nonnegative</x:v>
      </x:c>
      <x:c r="E462" s="27" t="n">
        <x:f>IF('Allocation Build'!I51&gt;=0,1,0)</x:f>
        <x:v>1</x:v>
      </x:c>
      <x:c r="F462" s="27" t="n">
        <x:v>1</x:v>
      </x:c>
      <x:c r="G462" s="29" t="str">
        <x:f>IF(E462=F462,"PASS","FAIL")</x:f>
        <x:v>PASS</x:v>
      </x:c>
    </x:row>
    <x:row r="463" ht="18" customHeight="1">
      <x:c r="B463" s="27" t="str">
        <x:v>A0457</x:v>
      </x:c>
      <x:c r="C463" s="27" t="str">
        <x:v>allocation</x:v>
      </x:c>
      <x:c r="D463" s="27" t="str">
        <x:v>Allocation J51 nonnegative</x:v>
      </x:c>
      <x:c r="E463" s="27" t="n">
        <x:f>IF('Allocation Build'!J51&gt;=0,1,0)</x:f>
        <x:v>1</x:v>
      </x:c>
      <x:c r="F463" s="27" t="n">
        <x:v>1</x:v>
      </x:c>
      <x:c r="G463" s="29" t="str">
        <x:f>IF(E463=F463,"PASS","FAIL")</x:f>
        <x:v>PASS</x:v>
      </x:c>
    </x:row>
    <x:row r="464" ht="18" customHeight="1">
      <x:c r="B464" s="27" t="str">
        <x:v>A0458</x:v>
      </x:c>
      <x:c r="C464" s="27" t="str">
        <x:v>allocation</x:v>
      </x:c>
      <x:c r="D464" s="27" t="str">
        <x:v>Allocation K51 nonnegative</x:v>
      </x:c>
      <x:c r="E464" s="27" t="n">
        <x:f>IF('Allocation Build'!K51&gt;=0,1,0)</x:f>
        <x:v>1</x:v>
      </x:c>
      <x:c r="F464" s="27" t="n">
        <x:v>1</x:v>
      </x:c>
      <x:c r="G464" s="29" t="str">
        <x:f>IF(E464=F464,"PASS","FAIL")</x:f>
        <x:v>PASS</x:v>
      </x:c>
    </x:row>
    <x:row r="465" ht="18" customHeight="1">
      <x:c r="B465" s="27" t="str">
        <x:v>A0459</x:v>
      </x:c>
      <x:c r="C465" s="27" t="str">
        <x:v>allocation</x:v>
      </x:c>
      <x:c r="D465" s="27" t="str">
        <x:v>Allocation L51 nonnegative</x:v>
      </x:c>
      <x:c r="E465" s="27" t="n">
        <x:f>IF('Allocation Build'!L51&gt;=0,1,0)</x:f>
        <x:v>1</x:v>
      </x:c>
      <x:c r="F465" s="27" t="n">
        <x:v>1</x:v>
      </x:c>
      <x:c r="G465" s="29" t="str">
        <x:f>IF(E465=F465,"PASS","FAIL")</x:f>
        <x:v>PASS</x:v>
      </x:c>
    </x:row>
    <x:row r="466" ht="18" customHeight="1">
      <x:c r="B466" s="27" t="str">
        <x:v>A0460</x:v>
      </x:c>
      <x:c r="C466" s="27" t="str">
        <x:v>allocation</x:v>
      </x:c>
      <x:c r="D466" s="27" t="str">
        <x:v>Allocation row 51 state open</x:v>
      </x:c>
      <x:c r="E466" s="27" t="n">
        <x:f>IF('Allocation Build'!N51="OPEN",1,0)</x:f>
        <x:v>1</x:v>
      </x:c>
      <x:c r="F466" s="27" t="n">
        <x:v>1</x:v>
      </x:c>
      <x:c r="G466" s="29" t="str">
        <x:f>IF(E466=F466,"PASS","FAIL")</x:f>
        <x:v>PASS</x:v>
      </x:c>
    </x:row>
    <x:row r="467" ht="18" customHeight="1">
      <x:c r="B467" s="27" t="str">
        <x:v>A0461</x:v>
      </x:c>
      <x:c r="C467" s="27" t="str">
        <x:v>allocation</x:v>
      </x:c>
      <x:c r="D467" s="27" t="str">
        <x:v>Allocation E52 nonnegative</x:v>
      </x:c>
      <x:c r="E467" s="27" t="n">
        <x:f>IF('Allocation Build'!E52&gt;=0,1,0)</x:f>
        <x:v>1</x:v>
      </x:c>
      <x:c r="F467" s="27" t="n">
        <x:v>1</x:v>
      </x:c>
      <x:c r="G467" s="29" t="str">
        <x:f>IF(E467=F467,"PASS","FAIL")</x:f>
        <x:v>PASS</x:v>
      </x:c>
    </x:row>
    <x:row r="468" ht="18" customHeight="1">
      <x:c r="B468" s="27" t="str">
        <x:v>A0462</x:v>
      </x:c>
      <x:c r="C468" s="27" t="str">
        <x:v>allocation</x:v>
      </x:c>
      <x:c r="D468" s="27" t="str">
        <x:v>Allocation F52 nonnegative</x:v>
      </x:c>
      <x:c r="E468" s="27" t="n">
        <x:f>IF('Allocation Build'!F52&gt;=0,1,0)</x:f>
        <x:v>1</x:v>
      </x:c>
      <x:c r="F468" s="27" t="n">
        <x:v>1</x:v>
      </x:c>
      <x:c r="G468" s="29" t="str">
        <x:f>IF(E468=F468,"PASS","FAIL")</x:f>
        <x:v>PASS</x:v>
      </x:c>
    </x:row>
    <x:row r="469" ht="18" customHeight="1">
      <x:c r="B469" s="27" t="str">
        <x:v>A0463</x:v>
      </x:c>
      <x:c r="C469" s="27" t="str">
        <x:v>allocation</x:v>
      </x:c>
      <x:c r="D469" s="27" t="str">
        <x:v>Allocation G52 nonnegative</x:v>
      </x:c>
      <x:c r="E469" s="27" t="n">
        <x:f>IF('Allocation Build'!G52&gt;=0,1,0)</x:f>
        <x:v>1</x:v>
      </x:c>
      <x:c r="F469" s="27" t="n">
        <x:v>1</x:v>
      </x:c>
      <x:c r="G469" s="29" t="str">
        <x:f>IF(E469=F469,"PASS","FAIL")</x:f>
        <x:v>PASS</x:v>
      </x:c>
    </x:row>
    <x:row r="470" ht="18" customHeight="1">
      <x:c r="B470" s="27" t="str">
        <x:v>A0464</x:v>
      </x:c>
      <x:c r="C470" s="27" t="str">
        <x:v>allocation</x:v>
      </x:c>
      <x:c r="D470" s="27" t="str">
        <x:v>Allocation H52 nonnegative</x:v>
      </x:c>
      <x:c r="E470" s="27" t="n">
        <x:f>IF('Allocation Build'!H52&gt;=0,1,0)</x:f>
        <x:v>1</x:v>
      </x:c>
      <x:c r="F470" s="27" t="n">
        <x:v>1</x:v>
      </x:c>
      <x:c r="G470" s="29" t="str">
        <x:f>IF(E470=F470,"PASS","FAIL")</x:f>
        <x:v>PASS</x:v>
      </x:c>
    </x:row>
    <x:row r="471" ht="18" customHeight="1">
      <x:c r="B471" s="27" t="str">
        <x:v>A0465</x:v>
      </x:c>
      <x:c r="C471" s="27" t="str">
        <x:v>allocation</x:v>
      </x:c>
      <x:c r="D471" s="27" t="str">
        <x:v>Allocation I52 nonnegative</x:v>
      </x:c>
      <x:c r="E471" s="27" t="n">
        <x:f>IF('Allocation Build'!I52&gt;=0,1,0)</x:f>
        <x:v>1</x:v>
      </x:c>
      <x:c r="F471" s="27" t="n">
        <x:v>1</x:v>
      </x:c>
      <x:c r="G471" s="29" t="str">
        <x:f>IF(E471=F471,"PASS","FAIL")</x:f>
        <x:v>PASS</x:v>
      </x:c>
    </x:row>
    <x:row r="472" ht="18" customHeight="1">
      <x:c r="B472" s="27" t="str">
        <x:v>A0466</x:v>
      </x:c>
      <x:c r="C472" s="27" t="str">
        <x:v>allocation</x:v>
      </x:c>
      <x:c r="D472" s="27" t="str">
        <x:v>Allocation J52 nonnegative</x:v>
      </x:c>
      <x:c r="E472" s="27" t="n">
        <x:f>IF('Allocation Build'!J52&gt;=0,1,0)</x:f>
        <x:v>1</x:v>
      </x:c>
      <x:c r="F472" s="27" t="n">
        <x:v>1</x:v>
      </x:c>
      <x:c r="G472" s="29" t="str">
        <x:f>IF(E472=F472,"PASS","FAIL")</x:f>
        <x:v>PASS</x:v>
      </x:c>
    </x:row>
    <x:row r="473" ht="18" customHeight="1">
      <x:c r="B473" s="27" t="str">
        <x:v>A0467</x:v>
      </x:c>
      <x:c r="C473" s="27" t="str">
        <x:v>allocation</x:v>
      </x:c>
      <x:c r="D473" s="27" t="str">
        <x:v>Allocation K52 nonnegative</x:v>
      </x:c>
      <x:c r="E473" s="27" t="n">
        <x:f>IF('Allocation Build'!K52&gt;=0,1,0)</x:f>
        <x:v>1</x:v>
      </x:c>
      <x:c r="F473" s="27" t="n">
        <x:v>1</x:v>
      </x:c>
      <x:c r="G473" s="29" t="str">
        <x:f>IF(E473=F473,"PASS","FAIL")</x:f>
        <x:v>PASS</x:v>
      </x:c>
    </x:row>
    <x:row r="474" ht="18" customHeight="1">
      <x:c r="B474" s="27" t="str">
        <x:v>A0468</x:v>
      </x:c>
      <x:c r="C474" s="27" t="str">
        <x:v>allocation</x:v>
      </x:c>
      <x:c r="D474" s="27" t="str">
        <x:v>Allocation L52 nonnegative</x:v>
      </x:c>
      <x:c r="E474" s="27" t="n">
        <x:f>IF('Allocation Build'!L52&gt;=0,1,0)</x:f>
        <x:v>1</x:v>
      </x:c>
      <x:c r="F474" s="27" t="n">
        <x:v>1</x:v>
      </x:c>
      <x:c r="G474" s="29" t="str">
        <x:f>IF(E474=F474,"PASS","FAIL")</x:f>
        <x:v>PASS</x:v>
      </x:c>
    </x:row>
    <x:row r="475" ht="18" customHeight="1">
      <x:c r="B475" s="27" t="str">
        <x:v>A0469</x:v>
      </x:c>
      <x:c r="C475" s="27" t="str">
        <x:v>allocation</x:v>
      </x:c>
      <x:c r="D475" s="27" t="str">
        <x:v>Allocation row 52 state open</x:v>
      </x:c>
      <x:c r="E475" s="27" t="n">
        <x:f>IF('Allocation Build'!N52="OPEN",1,0)</x:f>
        <x:v>1</x:v>
      </x:c>
      <x:c r="F475" s="27" t="n">
        <x:v>1</x:v>
      </x:c>
      <x:c r="G475" s="29" t="str">
        <x:f>IF(E475=F475,"PASS","FAIL")</x:f>
        <x:v>PASS</x:v>
      </x:c>
    </x:row>
    <x:row r="476" ht="18" customHeight="1">
      <x:c r="B476" s="27" t="str">
        <x:v>A0470</x:v>
      </x:c>
      <x:c r="C476" s="27" t="str">
        <x:v>allocation</x:v>
      </x:c>
      <x:c r="D476" s="27" t="str">
        <x:v>Allocation E53 nonnegative</x:v>
      </x:c>
      <x:c r="E476" s="27" t="n">
        <x:f>IF('Allocation Build'!E53&gt;=0,1,0)</x:f>
        <x:v>1</x:v>
      </x:c>
      <x:c r="F476" s="27" t="n">
        <x:v>1</x:v>
      </x:c>
      <x:c r="G476" s="29" t="str">
        <x:f>IF(E476=F476,"PASS","FAIL")</x:f>
        <x:v>PASS</x:v>
      </x:c>
    </x:row>
    <x:row r="477" ht="18" customHeight="1">
      <x:c r="B477" s="27" t="str">
        <x:v>A0471</x:v>
      </x:c>
      <x:c r="C477" s="27" t="str">
        <x:v>allocation</x:v>
      </x:c>
      <x:c r="D477" s="27" t="str">
        <x:v>Allocation F53 nonnegative</x:v>
      </x:c>
      <x:c r="E477" s="27" t="n">
        <x:f>IF('Allocation Build'!F53&gt;=0,1,0)</x:f>
        <x:v>1</x:v>
      </x:c>
      <x:c r="F477" s="27" t="n">
        <x:v>1</x:v>
      </x:c>
      <x:c r="G477" s="29" t="str">
        <x:f>IF(E477=F477,"PASS","FAIL")</x:f>
        <x:v>PASS</x:v>
      </x:c>
    </x:row>
    <x:row r="478" ht="18" customHeight="1">
      <x:c r="B478" s="27" t="str">
        <x:v>A0472</x:v>
      </x:c>
      <x:c r="C478" s="27" t="str">
        <x:v>allocation</x:v>
      </x:c>
      <x:c r="D478" s="27" t="str">
        <x:v>Allocation G53 nonnegative</x:v>
      </x:c>
      <x:c r="E478" s="27" t="n">
        <x:f>IF('Allocation Build'!G53&gt;=0,1,0)</x:f>
        <x:v>1</x:v>
      </x:c>
      <x:c r="F478" s="27" t="n">
        <x:v>1</x:v>
      </x:c>
      <x:c r="G478" s="29" t="str">
        <x:f>IF(E478=F478,"PASS","FAIL")</x:f>
        <x:v>PASS</x:v>
      </x:c>
    </x:row>
    <x:row r="479" ht="18" customHeight="1">
      <x:c r="B479" s="27" t="str">
        <x:v>A0473</x:v>
      </x:c>
      <x:c r="C479" s="27" t="str">
        <x:v>allocation</x:v>
      </x:c>
      <x:c r="D479" s="27" t="str">
        <x:v>Allocation H53 nonnegative</x:v>
      </x:c>
      <x:c r="E479" s="27" t="n">
        <x:f>IF('Allocation Build'!H53&gt;=0,1,0)</x:f>
        <x:v>1</x:v>
      </x:c>
      <x:c r="F479" s="27" t="n">
        <x:v>1</x:v>
      </x:c>
      <x:c r="G479" s="29" t="str">
        <x:f>IF(E479=F479,"PASS","FAIL")</x:f>
        <x:v>PASS</x:v>
      </x:c>
    </x:row>
    <x:row r="480" ht="18" customHeight="1">
      <x:c r="B480" s="27" t="str">
        <x:v>A0474</x:v>
      </x:c>
      <x:c r="C480" s="27" t="str">
        <x:v>allocation</x:v>
      </x:c>
      <x:c r="D480" s="27" t="str">
        <x:v>Allocation I53 nonnegative</x:v>
      </x:c>
      <x:c r="E480" s="27" t="n">
        <x:f>IF('Allocation Build'!I53&gt;=0,1,0)</x:f>
        <x:v>1</x:v>
      </x:c>
      <x:c r="F480" s="27" t="n">
        <x:v>1</x:v>
      </x:c>
      <x:c r="G480" s="29" t="str">
        <x:f>IF(E480=F480,"PASS","FAIL")</x:f>
        <x:v>PASS</x:v>
      </x:c>
    </x:row>
    <x:row r="481" ht="18" customHeight="1">
      <x:c r="B481" s="27" t="str">
        <x:v>A0475</x:v>
      </x:c>
      <x:c r="C481" s="27" t="str">
        <x:v>allocation</x:v>
      </x:c>
      <x:c r="D481" s="27" t="str">
        <x:v>Allocation J53 nonnegative</x:v>
      </x:c>
      <x:c r="E481" s="27" t="n">
        <x:f>IF('Allocation Build'!J53&gt;=0,1,0)</x:f>
        <x:v>1</x:v>
      </x:c>
      <x:c r="F481" s="27" t="n">
        <x:v>1</x:v>
      </x:c>
      <x:c r="G481" s="29" t="str">
        <x:f>IF(E481=F481,"PASS","FAIL")</x:f>
        <x:v>PASS</x:v>
      </x:c>
    </x:row>
    <x:row r="482" ht="18" customHeight="1">
      <x:c r="B482" s="27" t="str">
        <x:v>A0476</x:v>
      </x:c>
      <x:c r="C482" s="27" t="str">
        <x:v>allocation</x:v>
      </x:c>
      <x:c r="D482" s="27" t="str">
        <x:v>Allocation K53 nonnegative</x:v>
      </x:c>
      <x:c r="E482" s="27" t="n">
        <x:f>IF('Allocation Build'!K53&gt;=0,1,0)</x:f>
        <x:v>1</x:v>
      </x:c>
      <x:c r="F482" s="27" t="n">
        <x:v>1</x:v>
      </x:c>
      <x:c r="G482" s="29" t="str">
        <x:f>IF(E482=F482,"PASS","FAIL")</x:f>
        <x:v>PASS</x:v>
      </x:c>
    </x:row>
    <x:row r="483" ht="18" customHeight="1">
      <x:c r="B483" s="27" t="str">
        <x:v>A0477</x:v>
      </x:c>
      <x:c r="C483" s="27" t="str">
        <x:v>allocation</x:v>
      </x:c>
      <x:c r="D483" s="27" t="str">
        <x:v>Allocation L53 nonnegative</x:v>
      </x:c>
      <x:c r="E483" s="27" t="n">
        <x:f>IF('Allocation Build'!L53&gt;=0,1,0)</x:f>
        <x:v>1</x:v>
      </x:c>
      <x:c r="F483" s="27" t="n">
        <x:v>1</x:v>
      </x:c>
      <x:c r="G483" s="29" t="str">
        <x:f>IF(E483=F483,"PASS","FAIL")</x:f>
        <x:v>PASS</x:v>
      </x:c>
    </x:row>
    <x:row r="484" ht="18" customHeight="1">
      <x:c r="B484" s="27" t="str">
        <x:v>A0478</x:v>
      </x:c>
      <x:c r="C484" s="27" t="str">
        <x:v>allocation</x:v>
      </x:c>
      <x:c r="D484" s="27" t="str">
        <x:v>Allocation row 53 state open</x:v>
      </x:c>
      <x:c r="E484" s="27" t="n">
        <x:f>IF('Allocation Build'!N53="OPEN",1,0)</x:f>
        <x:v>1</x:v>
      </x:c>
      <x:c r="F484" s="27" t="n">
        <x:v>1</x:v>
      </x:c>
      <x:c r="G484" s="29" t="str">
        <x:f>IF(E484=F484,"PASS","FAIL")</x:f>
        <x:v>PASS</x:v>
      </x:c>
    </x:row>
    <x:row r="485" ht="18" customHeight="1">
      <x:c r="B485" s="27" t="str">
        <x:v>A0479</x:v>
      </x:c>
      <x:c r="C485" s="27" t="str">
        <x:v>allocation</x:v>
      </x:c>
      <x:c r="D485" s="27" t="str">
        <x:v>Allocation E54 nonnegative</x:v>
      </x:c>
      <x:c r="E485" s="27" t="n">
        <x:f>IF('Allocation Build'!E54&gt;=0,1,0)</x:f>
        <x:v>1</x:v>
      </x:c>
      <x:c r="F485" s="27" t="n">
        <x:v>1</x:v>
      </x:c>
      <x:c r="G485" s="29" t="str">
        <x:f>IF(E485=F485,"PASS","FAIL")</x:f>
        <x:v>PASS</x:v>
      </x:c>
    </x:row>
    <x:row r="486" ht="18" customHeight="1">
      <x:c r="B486" s="27" t="str">
        <x:v>A0480</x:v>
      </x:c>
      <x:c r="C486" s="27" t="str">
        <x:v>allocation</x:v>
      </x:c>
      <x:c r="D486" s="27" t="str">
        <x:v>Allocation F54 nonnegative</x:v>
      </x:c>
      <x:c r="E486" s="27" t="n">
        <x:f>IF('Allocation Build'!F54&gt;=0,1,0)</x:f>
        <x:v>1</x:v>
      </x:c>
      <x:c r="F486" s="27" t="n">
        <x:v>1</x:v>
      </x:c>
      <x:c r="G486" s="29" t="str">
        <x:f>IF(E486=F486,"PASS","FAIL")</x:f>
        <x:v>PASS</x:v>
      </x:c>
    </x:row>
    <x:row r="487" ht="18" customHeight="1">
      <x:c r="B487" s="27" t="str">
        <x:v>A0481</x:v>
      </x:c>
      <x:c r="C487" s="27" t="str">
        <x:v>allocation</x:v>
      </x:c>
      <x:c r="D487" s="27" t="str">
        <x:v>Allocation G54 nonnegative</x:v>
      </x:c>
      <x:c r="E487" s="27" t="n">
        <x:f>IF('Allocation Build'!G54&gt;=0,1,0)</x:f>
        <x:v>1</x:v>
      </x:c>
      <x:c r="F487" s="27" t="n">
        <x:v>1</x:v>
      </x:c>
      <x:c r="G487" s="29" t="str">
        <x:f>IF(E487=F487,"PASS","FAIL")</x:f>
        <x:v>PASS</x:v>
      </x:c>
    </x:row>
    <x:row r="488" ht="18" customHeight="1">
      <x:c r="B488" s="27" t="str">
        <x:v>A0482</x:v>
      </x:c>
      <x:c r="C488" s="27" t="str">
        <x:v>allocation</x:v>
      </x:c>
      <x:c r="D488" s="27" t="str">
        <x:v>Allocation H54 nonnegative</x:v>
      </x:c>
      <x:c r="E488" s="27" t="n">
        <x:f>IF('Allocation Build'!H54&gt;=0,1,0)</x:f>
        <x:v>1</x:v>
      </x:c>
      <x:c r="F488" s="27" t="n">
        <x:v>1</x:v>
      </x:c>
      <x:c r="G488" s="29" t="str">
        <x:f>IF(E488=F488,"PASS","FAIL")</x:f>
        <x:v>PASS</x:v>
      </x:c>
    </x:row>
    <x:row r="489" ht="18" customHeight="1">
      <x:c r="B489" s="27" t="str">
        <x:v>A0483</x:v>
      </x:c>
      <x:c r="C489" s="27" t="str">
        <x:v>allocation</x:v>
      </x:c>
      <x:c r="D489" s="27" t="str">
        <x:v>Allocation I54 nonnegative</x:v>
      </x:c>
      <x:c r="E489" s="27" t="n">
        <x:f>IF('Allocation Build'!I54&gt;=0,1,0)</x:f>
        <x:v>1</x:v>
      </x:c>
      <x:c r="F489" s="27" t="n">
        <x:v>1</x:v>
      </x:c>
      <x:c r="G489" s="29" t="str">
        <x:f>IF(E489=F489,"PASS","FAIL")</x:f>
        <x:v>PASS</x:v>
      </x:c>
    </x:row>
    <x:row r="490" ht="18" customHeight="1">
      <x:c r="B490" s="27" t="str">
        <x:v>A0484</x:v>
      </x:c>
      <x:c r="C490" s="27" t="str">
        <x:v>allocation</x:v>
      </x:c>
      <x:c r="D490" s="27" t="str">
        <x:v>Allocation J54 nonnegative</x:v>
      </x:c>
      <x:c r="E490" s="27" t="n">
        <x:f>IF('Allocation Build'!J54&gt;=0,1,0)</x:f>
        <x:v>1</x:v>
      </x:c>
      <x:c r="F490" s="27" t="n">
        <x:v>1</x:v>
      </x:c>
      <x:c r="G490" s="29" t="str">
        <x:f>IF(E490=F490,"PASS","FAIL")</x:f>
        <x:v>PASS</x:v>
      </x:c>
    </x:row>
    <x:row r="491" ht="18" customHeight="1">
      <x:c r="B491" s="27" t="str">
        <x:v>A0485</x:v>
      </x:c>
      <x:c r="C491" s="27" t="str">
        <x:v>allocation</x:v>
      </x:c>
      <x:c r="D491" s="27" t="str">
        <x:v>Allocation K54 nonnegative</x:v>
      </x:c>
      <x:c r="E491" s="27" t="n">
        <x:f>IF('Allocation Build'!K54&gt;=0,1,0)</x:f>
        <x:v>1</x:v>
      </x:c>
      <x:c r="F491" s="27" t="n">
        <x:v>1</x:v>
      </x:c>
      <x:c r="G491" s="29" t="str">
        <x:f>IF(E491=F491,"PASS","FAIL")</x:f>
        <x:v>PASS</x:v>
      </x:c>
    </x:row>
    <x:row r="492" ht="18" customHeight="1">
      <x:c r="B492" s="27" t="str">
        <x:v>A0486</x:v>
      </x:c>
      <x:c r="C492" s="27" t="str">
        <x:v>allocation</x:v>
      </x:c>
      <x:c r="D492" s="27" t="str">
        <x:v>Allocation L54 nonnegative</x:v>
      </x:c>
      <x:c r="E492" s="27" t="n">
        <x:f>IF('Allocation Build'!L54&gt;=0,1,0)</x:f>
        <x:v>1</x:v>
      </x:c>
      <x:c r="F492" s="27" t="n">
        <x:v>1</x:v>
      </x:c>
      <x:c r="G492" s="29" t="str">
        <x:f>IF(E492=F492,"PASS","FAIL")</x:f>
        <x:v>PASS</x:v>
      </x:c>
    </x:row>
    <x:row r="493" ht="18" customHeight="1">
      <x:c r="B493" s="27" t="str">
        <x:v>A0487</x:v>
      </x:c>
      <x:c r="C493" s="27" t="str">
        <x:v>allocation</x:v>
      </x:c>
      <x:c r="D493" s="27" t="str">
        <x:v>Allocation row 54 state open</x:v>
      </x:c>
      <x:c r="E493" s="27" t="n">
        <x:f>IF('Allocation Build'!N54="OPEN",1,0)</x:f>
        <x:v>1</x:v>
      </x:c>
      <x:c r="F493" s="27" t="n">
        <x:v>1</x:v>
      </x:c>
      <x:c r="G493" s="29" t="str">
        <x:f>IF(E493=F493,"PASS","FAIL")</x:f>
        <x:v>PASS</x:v>
      </x:c>
    </x:row>
    <x:row r="494" ht="18" customHeight="1">
      <x:c r="B494" s="27" t="str">
        <x:v>A0488</x:v>
      </x:c>
      <x:c r="C494" s="27" t="str">
        <x:v>allocation</x:v>
      </x:c>
      <x:c r="D494" s="27" t="str">
        <x:v>Allocation E55 nonnegative</x:v>
      </x:c>
      <x:c r="E494" s="27" t="n">
        <x:f>IF('Allocation Build'!E55&gt;=0,1,0)</x:f>
        <x:v>1</x:v>
      </x:c>
      <x:c r="F494" s="27" t="n">
        <x:v>1</x:v>
      </x:c>
      <x:c r="G494" s="29" t="str">
        <x:f>IF(E494=F494,"PASS","FAIL")</x:f>
        <x:v>PASS</x:v>
      </x:c>
    </x:row>
    <x:row r="495" ht="18" customHeight="1">
      <x:c r="B495" s="27" t="str">
        <x:v>A0489</x:v>
      </x:c>
      <x:c r="C495" s="27" t="str">
        <x:v>allocation</x:v>
      </x:c>
      <x:c r="D495" s="27" t="str">
        <x:v>Allocation F55 nonnegative</x:v>
      </x:c>
      <x:c r="E495" s="27" t="n">
        <x:f>IF('Allocation Build'!F55&gt;=0,1,0)</x:f>
        <x:v>1</x:v>
      </x:c>
      <x:c r="F495" s="27" t="n">
        <x:v>1</x:v>
      </x:c>
      <x:c r="G495" s="29" t="str">
        <x:f>IF(E495=F495,"PASS","FAIL")</x:f>
        <x:v>PASS</x:v>
      </x:c>
    </x:row>
    <x:row r="496" ht="18" customHeight="1">
      <x:c r="B496" s="27" t="str">
        <x:v>A0490</x:v>
      </x:c>
      <x:c r="C496" s="27" t="str">
        <x:v>allocation</x:v>
      </x:c>
      <x:c r="D496" s="27" t="str">
        <x:v>Allocation G55 nonnegative</x:v>
      </x:c>
      <x:c r="E496" s="27" t="n">
        <x:f>IF('Allocation Build'!G55&gt;=0,1,0)</x:f>
        <x:v>1</x:v>
      </x:c>
      <x:c r="F496" s="27" t="n">
        <x:v>1</x:v>
      </x:c>
      <x:c r="G496" s="29" t="str">
        <x:f>IF(E496=F496,"PASS","FAIL")</x:f>
        <x:v>PASS</x:v>
      </x:c>
    </x:row>
    <x:row r="497" ht="18" customHeight="1">
      <x:c r="B497" s="27" t="str">
        <x:v>A0491</x:v>
      </x:c>
      <x:c r="C497" s="27" t="str">
        <x:v>allocation</x:v>
      </x:c>
      <x:c r="D497" s="27" t="str">
        <x:v>Allocation H55 nonnegative</x:v>
      </x:c>
      <x:c r="E497" s="27" t="n">
        <x:f>IF('Allocation Build'!H55&gt;=0,1,0)</x:f>
        <x:v>1</x:v>
      </x:c>
      <x:c r="F497" s="27" t="n">
        <x:v>1</x:v>
      </x:c>
      <x:c r="G497" s="29" t="str">
        <x:f>IF(E497=F497,"PASS","FAIL")</x:f>
        <x:v>PASS</x:v>
      </x:c>
    </x:row>
    <x:row r="498" ht="18" customHeight="1">
      <x:c r="B498" s="27" t="str">
        <x:v>A0492</x:v>
      </x:c>
      <x:c r="C498" s="27" t="str">
        <x:v>allocation</x:v>
      </x:c>
      <x:c r="D498" s="27" t="str">
        <x:v>Allocation I55 nonnegative</x:v>
      </x:c>
      <x:c r="E498" s="27" t="n">
        <x:f>IF('Allocation Build'!I55&gt;=0,1,0)</x:f>
        <x:v>1</x:v>
      </x:c>
      <x:c r="F498" s="27" t="n">
        <x:v>1</x:v>
      </x:c>
      <x:c r="G498" s="29" t="str">
        <x:f>IF(E498=F498,"PASS","FAIL")</x:f>
        <x:v>PASS</x:v>
      </x:c>
    </x:row>
    <x:row r="499" ht="18" customHeight="1">
      <x:c r="B499" s="27" t="str">
        <x:v>A0493</x:v>
      </x:c>
      <x:c r="C499" s="27" t="str">
        <x:v>allocation</x:v>
      </x:c>
      <x:c r="D499" s="27" t="str">
        <x:v>Allocation J55 nonnegative</x:v>
      </x:c>
      <x:c r="E499" s="27" t="n">
        <x:f>IF('Allocation Build'!J55&gt;=0,1,0)</x:f>
        <x:v>1</x:v>
      </x:c>
      <x:c r="F499" s="27" t="n">
        <x:v>1</x:v>
      </x:c>
      <x:c r="G499" s="29" t="str">
        <x:f>IF(E499=F499,"PASS","FAIL")</x:f>
        <x:v>PASS</x:v>
      </x:c>
    </x:row>
    <x:row r="500" ht="18" customHeight="1">
      <x:c r="B500" s="27" t="str">
        <x:v>A0494</x:v>
      </x:c>
      <x:c r="C500" s="27" t="str">
        <x:v>allocation</x:v>
      </x:c>
      <x:c r="D500" s="27" t="str">
        <x:v>Allocation K55 nonnegative</x:v>
      </x:c>
      <x:c r="E500" s="27" t="n">
        <x:f>IF('Allocation Build'!K55&gt;=0,1,0)</x:f>
        <x:v>1</x:v>
      </x:c>
      <x:c r="F500" s="27" t="n">
        <x:v>1</x:v>
      </x:c>
      <x:c r="G500" s="29" t="str">
        <x:f>IF(E500=F500,"PASS","FAIL")</x:f>
        <x:v>PASS</x:v>
      </x:c>
    </x:row>
    <x:row r="501" ht="18" customHeight="1">
      <x:c r="B501" s="27" t="str">
        <x:v>A0495</x:v>
      </x:c>
      <x:c r="C501" s="27" t="str">
        <x:v>allocation</x:v>
      </x:c>
      <x:c r="D501" s="27" t="str">
        <x:v>Allocation L55 nonnegative</x:v>
      </x:c>
      <x:c r="E501" s="27" t="n">
        <x:f>IF('Allocation Build'!L55&gt;=0,1,0)</x:f>
        <x:v>1</x:v>
      </x:c>
      <x:c r="F501" s="27" t="n">
        <x:v>1</x:v>
      </x:c>
      <x:c r="G501" s="29" t="str">
        <x:f>IF(E501=F501,"PASS","FAIL")</x:f>
        <x:v>PASS</x:v>
      </x:c>
    </x:row>
    <x:row r="502" ht="18" customHeight="1">
      <x:c r="B502" s="27" t="str">
        <x:v>A0496</x:v>
      </x:c>
      <x:c r="C502" s="27" t="str">
        <x:v>allocation</x:v>
      </x:c>
      <x:c r="D502" s="27" t="str">
        <x:v>Allocation row 55 state open</x:v>
      </x:c>
      <x:c r="E502" s="27" t="n">
        <x:f>IF('Allocation Build'!N55="OPEN",1,0)</x:f>
        <x:v>1</x:v>
      </x:c>
      <x:c r="F502" s="27" t="n">
        <x:v>1</x:v>
      </x:c>
      <x:c r="G502" s="29" t="str">
        <x:f>IF(E502=F502,"PASS","FAIL")</x:f>
        <x:v>PASS</x:v>
      </x:c>
    </x:row>
    <x:row r="503" ht="18" customHeight="1">
      <x:c r="B503" s="27" t="str">
        <x:v>A0497</x:v>
      </x:c>
      <x:c r="C503" s="27" t="str">
        <x:v>allocation</x:v>
      </x:c>
      <x:c r="D503" s="27" t="str">
        <x:v>Allocation E56 nonnegative</x:v>
      </x:c>
      <x:c r="E503" s="27" t="n">
        <x:f>IF('Allocation Build'!E56&gt;=0,1,0)</x:f>
        <x:v>1</x:v>
      </x:c>
      <x:c r="F503" s="27" t="n">
        <x:v>1</x:v>
      </x:c>
      <x:c r="G503" s="29" t="str">
        <x:f>IF(E503=F503,"PASS","FAIL")</x:f>
        <x:v>PASS</x:v>
      </x:c>
    </x:row>
    <x:row r="504" ht="18" customHeight="1">
      <x:c r="B504" s="27" t="str">
        <x:v>A0498</x:v>
      </x:c>
      <x:c r="C504" s="27" t="str">
        <x:v>allocation</x:v>
      </x:c>
      <x:c r="D504" s="27" t="str">
        <x:v>Allocation F56 nonnegative</x:v>
      </x:c>
      <x:c r="E504" s="27" t="n">
        <x:f>IF('Allocation Build'!F56&gt;=0,1,0)</x:f>
        <x:v>1</x:v>
      </x:c>
      <x:c r="F504" s="27" t="n">
        <x:v>1</x:v>
      </x:c>
      <x:c r="G504" s="29" t="str">
        <x:f>IF(E504=F504,"PASS","FAIL")</x:f>
        <x:v>PASS</x:v>
      </x:c>
    </x:row>
    <x:row r="505" ht="18" customHeight="1">
      <x:c r="B505" s="27" t="str">
        <x:v>A0499</x:v>
      </x:c>
      <x:c r="C505" s="27" t="str">
        <x:v>allocation</x:v>
      </x:c>
      <x:c r="D505" s="27" t="str">
        <x:v>Allocation G56 nonnegative</x:v>
      </x:c>
      <x:c r="E505" s="27" t="n">
        <x:f>IF('Allocation Build'!G56&gt;=0,1,0)</x:f>
        <x:v>1</x:v>
      </x:c>
      <x:c r="F505" s="27" t="n">
        <x:v>1</x:v>
      </x:c>
      <x:c r="G505" s="29" t="str">
        <x:f>IF(E505=F505,"PASS","FAIL")</x:f>
        <x:v>PASS</x:v>
      </x:c>
    </x:row>
    <x:row r="506" ht="18" customHeight="1">
      <x:c r="B506" s="27" t="str">
        <x:v>A0500</x:v>
      </x:c>
      <x:c r="C506" s="27" t="str">
        <x:v>allocation</x:v>
      </x:c>
      <x:c r="D506" s="27" t="str">
        <x:v>Allocation H56 nonnegative</x:v>
      </x:c>
      <x:c r="E506" s="27" t="n">
        <x:f>IF('Allocation Build'!H56&gt;=0,1,0)</x:f>
        <x:v>1</x:v>
      </x:c>
      <x:c r="F506" s="27" t="n">
        <x:v>1</x:v>
      </x:c>
      <x:c r="G506" s="29" t="str">
        <x:f>IF(E506=F506,"PASS","FAIL")</x:f>
        <x:v>PASS</x:v>
      </x:c>
    </x:row>
    <x:row r="507" ht="18" customHeight="1">
      <x:c r="B507" s="27" t="str">
        <x:v>A0501</x:v>
      </x:c>
      <x:c r="C507" s="27" t="str">
        <x:v>allocation</x:v>
      </x:c>
      <x:c r="D507" s="27" t="str">
        <x:v>Allocation I56 nonnegative</x:v>
      </x:c>
      <x:c r="E507" s="27" t="n">
        <x:f>IF('Allocation Build'!I56&gt;=0,1,0)</x:f>
        <x:v>1</x:v>
      </x:c>
      <x:c r="F507" s="27" t="n">
        <x:v>1</x:v>
      </x:c>
      <x:c r="G507" s="29" t="str">
        <x:f>IF(E507=F507,"PASS","FAIL")</x:f>
        <x:v>PASS</x:v>
      </x:c>
    </x:row>
    <x:row r="508" ht="18" customHeight="1">
      <x:c r="B508" s="27" t="str">
        <x:v>A0502</x:v>
      </x:c>
      <x:c r="C508" s="27" t="str">
        <x:v>allocation</x:v>
      </x:c>
      <x:c r="D508" s="27" t="str">
        <x:v>Allocation J56 nonnegative</x:v>
      </x:c>
      <x:c r="E508" s="27" t="n">
        <x:f>IF('Allocation Build'!J56&gt;=0,1,0)</x:f>
        <x:v>1</x:v>
      </x:c>
      <x:c r="F508" s="27" t="n">
        <x:v>1</x:v>
      </x:c>
      <x:c r="G508" s="29" t="str">
        <x:f>IF(E508=F508,"PASS","FAIL")</x:f>
        <x:v>PASS</x:v>
      </x:c>
    </x:row>
    <x:row r="509" ht="18" customHeight="1">
      <x:c r="B509" s="27" t="str">
        <x:v>A0503</x:v>
      </x:c>
      <x:c r="C509" s="27" t="str">
        <x:v>allocation</x:v>
      </x:c>
      <x:c r="D509" s="27" t="str">
        <x:v>Allocation K56 nonnegative</x:v>
      </x:c>
      <x:c r="E509" s="27" t="n">
        <x:f>IF('Allocation Build'!K56&gt;=0,1,0)</x:f>
        <x:v>1</x:v>
      </x:c>
      <x:c r="F509" s="27" t="n">
        <x:v>1</x:v>
      </x:c>
      <x:c r="G509" s="29" t="str">
        <x:f>IF(E509=F509,"PASS","FAIL")</x:f>
        <x:v>PASS</x:v>
      </x:c>
    </x:row>
    <x:row r="510" ht="18" customHeight="1">
      <x:c r="B510" s="27" t="str">
        <x:v>A0504</x:v>
      </x:c>
      <x:c r="C510" s="27" t="str">
        <x:v>allocation</x:v>
      </x:c>
      <x:c r="D510" s="27" t="str">
        <x:v>Allocation L56 nonnegative</x:v>
      </x:c>
      <x:c r="E510" s="27" t="n">
        <x:f>IF('Allocation Build'!L56&gt;=0,1,0)</x:f>
        <x:v>1</x:v>
      </x:c>
      <x:c r="F510" s="27" t="n">
        <x:v>1</x:v>
      </x:c>
      <x:c r="G510" s="29" t="str">
        <x:f>IF(E510=F510,"PASS","FAIL")</x:f>
        <x:v>PASS</x:v>
      </x:c>
    </x:row>
    <x:row r="511" ht="18" customHeight="1">
      <x:c r="B511" s="27" t="str">
        <x:v>A0505</x:v>
      </x:c>
      <x:c r="C511" s="27" t="str">
        <x:v>allocation</x:v>
      </x:c>
      <x:c r="D511" s="27" t="str">
        <x:v>Allocation row 56 state open</x:v>
      </x:c>
      <x:c r="E511" s="27" t="n">
        <x:f>IF('Allocation Build'!N56="OPEN",1,0)</x:f>
        <x:v>1</x:v>
      </x:c>
      <x:c r="F511" s="27" t="n">
        <x:v>1</x:v>
      </x:c>
      <x:c r="G511" s="29" t="str">
        <x:f>IF(E511=F511,"PASS","FAIL")</x:f>
        <x:v>PASS</x:v>
      </x:c>
    </x:row>
    <x:row r="512" ht="18" customHeight="1">
      <x:c r="B512" s="27" t="str">
        <x:v>A0506</x:v>
      </x:c>
      <x:c r="C512" s="27" t="str">
        <x:v>allocation</x:v>
      </x:c>
      <x:c r="D512" s="27" t="str">
        <x:v>Allocation E57 nonnegative</x:v>
      </x:c>
      <x:c r="E512" s="27" t="n">
        <x:f>IF('Allocation Build'!E57&gt;=0,1,0)</x:f>
        <x:v>1</x:v>
      </x:c>
      <x:c r="F512" s="27" t="n">
        <x:v>1</x:v>
      </x:c>
      <x:c r="G512" s="29" t="str">
        <x:f>IF(E512=F512,"PASS","FAIL")</x:f>
        <x:v>PASS</x:v>
      </x:c>
    </x:row>
    <x:row r="513" ht="18" customHeight="1">
      <x:c r="B513" s="27" t="str">
        <x:v>A0507</x:v>
      </x:c>
      <x:c r="C513" s="27" t="str">
        <x:v>allocation</x:v>
      </x:c>
      <x:c r="D513" s="27" t="str">
        <x:v>Allocation F57 nonnegative</x:v>
      </x:c>
      <x:c r="E513" s="27" t="n">
        <x:f>IF('Allocation Build'!F57&gt;=0,1,0)</x:f>
        <x:v>1</x:v>
      </x:c>
      <x:c r="F513" s="27" t="n">
        <x:v>1</x:v>
      </x:c>
      <x:c r="G513" s="29" t="str">
        <x:f>IF(E513=F513,"PASS","FAIL")</x:f>
        <x:v>PASS</x:v>
      </x:c>
    </x:row>
    <x:row r="514" ht="18" customHeight="1">
      <x:c r="B514" s="27" t="str">
        <x:v>A0508</x:v>
      </x:c>
      <x:c r="C514" s="27" t="str">
        <x:v>allocation</x:v>
      </x:c>
      <x:c r="D514" s="27" t="str">
        <x:v>Allocation G57 nonnegative</x:v>
      </x:c>
      <x:c r="E514" s="27" t="n">
        <x:f>IF('Allocation Build'!G57&gt;=0,1,0)</x:f>
        <x:v>1</x:v>
      </x:c>
      <x:c r="F514" s="27" t="n">
        <x:v>1</x:v>
      </x:c>
      <x:c r="G514" s="29" t="str">
        <x:f>IF(E514=F514,"PASS","FAIL")</x:f>
        <x:v>PASS</x:v>
      </x:c>
    </x:row>
    <x:row r="515" ht="18" customHeight="1">
      <x:c r="B515" s="27" t="str">
        <x:v>A0509</x:v>
      </x:c>
      <x:c r="C515" s="27" t="str">
        <x:v>allocation</x:v>
      </x:c>
      <x:c r="D515" s="27" t="str">
        <x:v>Allocation H57 nonnegative</x:v>
      </x:c>
      <x:c r="E515" s="27" t="n">
        <x:f>IF('Allocation Build'!H57&gt;=0,1,0)</x:f>
        <x:v>1</x:v>
      </x:c>
      <x:c r="F515" s="27" t="n">
        <x:v>1</x:v>
      </x:c>
      <x:c r="G515" s="29" t="str">
        <x:f>IF(E515=F515,"PASS","FAIL")</x:f>
        <x:v>PASS</x:v>
      </x:c>
    </x:row>
    <x:row r="516" ht="18" customHeight="1">
      <x:c r="B516" s="27" t="str">
        <x:v>A0510</x:v>
      </x:c>
      <x:c r="C516" s="27" t="str">
        <x:v>allocation</x:v>
      </x:c>
      <x:c r="D516" s="27" t="str">
        <x:v>Allocation I57 nonnegative</x:v>
      </x:c>
      <x:c r="E516" s="27" t="n">
        <x:f>IF('Allocation Build'!I57&gt;=0,1,0)</x:f>
        <x:v>1</x:v>
      </x:c>
      <x:c r="F516" s="27" t="n">
        <x:v>1</x:v>
      </x:c>
      <x:c r="G516" s="29" t="str">
        <x:f>IF(E516=F516,"PASS","FAIL")</x:f>
        <x:v>PASS</x:v>
      </x:c>
    </x:row>
    <x:row r="517" ht="18" customHeight="1">
      <x:c r="B517" s="27" t="str">
        <x:v>A0511</x:v>
      </x:c>
      <x:c r="C517" s="27" t="str">
        <x:v>allocation</x:v>
      </x:c>
      <x:c r="D517" s="27" t="str">
        <x:v>Allocation J57 nonnegative</x:v>
      </x:c>
      <x:c r="E517" s="27" t="n">
        <x:f>IF('Allocation Build'!J57&gt;=0,1,0)</x:f>
        <x:v>1</x:v>
      </x:c>
      <x:c r="F517" s="27" t="n">
        <x:v>1</x:v>
      </x:c>
      <x:c r="G517" s="29" t="str">
        <x:f>IF(E517=F517,"PASS","FAIL")</x:f>
        <x:v>PASS</x:v>
      </x:c>
    </x:row>
    <x:row r="518" ht="18" customHeight="1">
      <x:c r="B518" s="27" t="str">
        <x:v>A0512</x:v>
      </x:c>
      <x:c r="C518" s="27" t="str">
        <x:v>allocation</x:v>
      </x:c>
      <x:c r="D518" s="27" t="str">
        <x:v>Allocation K57 nonnegative</x:v>
      </x:c>
      <x:c r="E518" s="27" t="n">
        <x:f>IF('Allocation Build'!K57&gt;=0,1,0)</x:f>
        <x:v>1</x:v>
      </x:c>
      <x:c r="F518" s="27" t="n">
        <x:v>1</x:v>
      </x:c>
      <x:c r="G518" s="29" t="str">
        <x:f>IF(E518=F518,"PASS","FAIL")</x:f>
        <x:v>PASS</x:v>
      </x:c>
    </x:row>
    <x:row r="519" ht="18" customHeight="1">
      <x:c r="B519" s="27" t="str">
        <x:v>A0513</x:v>
      </x:c>
      <x:c r="C519" s="27" t="str">
        <x:v>allocation</x:v>
      </x:c>
      <x:c r="D519" s="27" t="str">
        <x:v>Allocation L57 nonnegative</x:v>
      </x:c>
      <x:c r="E519" s="27" t="n">
        <x:f>IF('Allocation Build'!L57&gt;=0,1,0)</x:f>
        <x:v>1</x:v>
      </x:c>
      <x:c r="F519" s="27" t="n">
        <x:v>1</x:v>
      </x:c>
      <x:c r="G519" s="29" t="str">
        <x:f>IF(E519=F519,"PASS","FAIL")</x:f>
        <x:v>PASS</x:v>
      </x:c>
    </x:row>
    <x:row r="520" ht="18" customHeight="1">
      <x:c r="B520" s="27" t="str">
        <x:v>A0514</x:v>
      </x:c>
      <x:c r="C520" s="27" t="str">
        <x:v>allocation</x:v>
      </x:c>
      <x:c r="D520" s="27" t="str">
        <x:v>Allocation row 57 state open</x:v>
      </x:c>
      <x:c r="E520" s="27" t="n">
        <x:f>IF('Allocation Build'!N57="OPEN",1,0)</x:f>
        <x:v>1</x:v>
      </x:c>
      <x:c r="F520" s="27" t="n">
        <x:v>1</x:v>
      </x:c>
      <x:c r="G520" s="29" t="str">
        <x:f>IF(E520=F520,"PASS","FAIL")</x:f>
        <x:v>PASS</x:v>
      </x:c>
    </x:row>
    <x:row r="521" ht="18" customHeight="1">
      <x:c r="B521" s="27" t="str">
        <x:v>A0515</x:v>
      </x:c>
      <x:c r="C521" s="27" t="str">
        <x:v>allocation</x:v>
      </x:c>
      <x:c r="D521" s="27" t="str">
        <x:v>Allocation E58 nonnegative</x:v>
      </x:c>
      <x:c r="E521" s="27" t="n">
        <x:f>IF('Allocation Build'!E58&gt;=0,1,0)</x:f>
        <x:v>1</x:v>
      </x:c>
      <x:c r="F521" s="27" t="n">
        <x:v>1</x:v>
      </x:c>
      <x:c r="G521" s="29" t="str">
        <x:f>IF(E521=F521,"PASS","FAIL")</x:f>
        <x:v>PASS</x:v>
      </x:c>
    </x:row>
    <x:row r="522" ht="18" customHeight="1">
      <x:c r="B522" s="27" t="str">
        <x:v>A0516</x:v>
      </x:c>
      <x:c r="C522" s="27" t="str">
        <x:v>allocation</x:v>
      </x:c>
      <x:c r="D522" s="27" t="str">
        <x:v>Allocation F58 nonnegative</x:v>
      </x:c>
      <x:c r="E522" s="27" t="n">
        <x:f>IF('Allocation Build'!F58&gt;=0,1,0)</x:f>
        <x:v>1</x:v>
      </x:c>
      <x:c r="F522" s="27" t="n">
        <x:v>1</x:v>
      </x:c>
      <x:c r="G522" s="29" t="str">
        <x:f>IF(E522=F522,"PASS","FAIL")</x:f>
        <x:v>PASS</x:v>
      </x:c>
    </x:row>
    <x:row r="523" ht="18" customHeight="1">
      <x:c r="B523" s="27" t="str">
        <x:v>A0517</x:v>
      </x:c>
      <x:c r="C523" s="27" t="str">
        <x:v>allocation</x:v>
      </x:c>
      <x:c r="D523" s="27" t="str">
        <x:v>Allocation G58 nonnegative</x:v>
      </x:c>
      <x:c r="E523" s="27" t="n">
        <x:f>IF('Allocation Build'!G58&gt;=0,1,0)</x:f>
        <x:v>1</x:v>
      </x:c>
      <x:c r="F523" s="27" t="n">
        <x:v>1</x:v>
      </x:c>
      <x:c r="G523" s="29" t="str">
        <x:f>IF(E523=F523,"PASS","FAIL")</x:f>
        <x:v>PASS</x:v>
      </x:c>
    </x:row>
    <x:row r="524" ht="18" customHeight="1">
      <x:c r="B524" s="27" t="str">
        <x:v>A0518</x:v>
      </x:c>
      <x:c r="C524" s="27" t="str">
        <x:v>allocation</x:v>
      </x:c>
      <x:c r="D524" s="27" t="str">
        <x:v>Allocation H58 nonnegative</x:v>
      </x:c>
      <x:c r="E524" s="27" t="n">
        <x:f>IF('Allocation Build'!H58&gt;=0,1,0)</x:f>
        <x:v>1</x:v>
      </x:c>
      <x:c r="F524" s="27" t="n">
        <x:v>1</x:v>
      </x:c>
      <x:c r="G524" s="29" t="str">
        <x:f>IF(E524=F524,"PASS","FAIL")</x:f>
        <x:v>PASS</x:v>
      </x:c>
    </x:row>
    <x:row r="525" ht="18" customHeight="1">
      <x:c r="B525" s="27" t="str">
        <x:v>A0519</x:v>
      </x:c>
      <x:c r="C525" s="27" t="str">
        <x:v>allocation</x:v>
      </x:c>
      <x:c r="D525" s="27" t="str">
        <x:v>Allocation I58 nonnegative</x:v>
      </x:c>
      <x:c r="E525" s="27" t="n">
        <x:f>IF('Allocation Build'!I58&gt;=0,1,0)</x:f>
        <x:v>1</x:v>
      </x:c>
      <x:c r="F525" s="27" t="n">
        <x:v>1</x:v>
      </x:c>
      <x:c r="G525" s="29" t="str">
        <x:f>IF(E525=F525,"PASS","FAIL")</x:f>
        <x:v>PASS</x:v>
      </x:c>
    </x:row>
    <x:row r="526" ht="18" customHeight="1">
      <x:c r="B526" s="27" t="str">
        <x:v>A0520</x:v>
      </x:c>
      <x:c r="C526" s="27" t="str">
        <x:v>allocation</x:v>
      </x:c>
      <x:c r="D526" s="27" t="str">
        <x:v>Allocation J58 nonnegative</x:v>
      </x:c>
      <x:c r="E526" s="27" t="n">
        <x:f>IF('Allocation Build'!J58&gt;=0,1,0)</x:f>
        <x:v>1</x:v>
      </x:c>
      <x:c r="F526" s="27" t="n">
        <x:v>1</x:v>
      </x:c>
      <x:c r="G526" s="29" t="str">
        <x:f>IF(E526=F526,"PASS","FAIL")</x:f>
        <x:v>PASS</x:v>
      </x:c>
    </x:row>
    <x:row r="527" ht="18" customHeight="1">
      <x:c r="B527" s="27" t="str">
        <x:v>A0521</x:v>
      </x:c>
      <x:c r="C527" s="27" t="str">
        <x:v>allocation</x:v>
      </x:c>
      <x:c r="D527" s="27" t="str">
        <x:v>Allocation K58 nonnegative</x:v>
      </x:c>
      <x:c r="E527" s="27" t="n">
        <x:f>IF('Allocation Build'!K58&gt;=0,1,0)</x:f>
        <x:v>1</x:v>
      </x:c>
      <x:c r="F527" s="27" t="n">
        <x:v>1</x:v>
      </x:c>
      <x:c r="G527" s="29" t="str">
        <x:f>IF(E527=F527,"PASS","FAIL")</x:f>
        <x:v>PASS</x:v>
      </x:c>
    </x:row>
    <x:row r="528" ht="18" customHeight="1">
      <x:c r="B528" s="27" t="str">
        <x:v>A0522</x:v>
      </x:c>
      <x:c r="C528" s="27" t="str">
        <x:v>allocation</x:v>
      </x:c>
      <x:c r="D528" s="27" t="str">
        <x:v>Allocation L58 nonnegative</x:v>
      </x:c>
      <x:c r="E528" s="27" t="n">
        <x:f>IF('Allocation Build'!L58&gt;=0,1,0)</x:f>
        <x:v>1</x:v>
      </x:c>
      <x:c r="F528" s="27" t="n">
        <x:v>1</x:v>
      </x:c>
      <x:c r="G528" s="29" t="str">
        <x:f>IF(E528=F528,"PASS","FAIL")</x:f>
        <x:v>PASS</x:v>
      </x:c>
    </x:row>
    <x:row r="529" ht="18" customHeight="1">
      <x:c r="B529" s="27" t="str">
        <x:v>A0523</x:v>
      </x:c>
      <x:c r="C529" s="27" t="str">
        <x:v>allocation</x:v>
      </x:c>
      <x:c r="D529" s="27" t="str">
        <x:v>Allocation row 58 state open</x:v>
      </x:c>
      <x:c r="E529" s="27" t="n">
        <x:f>IF('Allocation Build'!N58="OPEN",1,0)</x:f>
        <x:v>1</x:v>
      </x:c>
      <x:c r="F529" s="27" t="n">
        <x:v>1</x:v>
      </x:c>
      <x:c r="G529" s="29" t="str">
        <x:f>IF(E529=F529,"PASS","FAIL")</x:f>
        <x:v>PASS</x:v>
      </x:c>
    </x:row>
    <x:row r="530" ht="18" customHeight="1">
      <x:c r="B530" s="27" t="str">
        <x:v>A0524</x:v>
      </x:c>
      <x:c r="C530" s="27" t="str">
        <x:v>allocation</x:v>
      </x:c>
      <x:c r="D530" s="27" t="str">
        <x:v>Allocation E59 nonnegative</x:v>
      </x:c>
      <x:c r="E530" s="27" t="n">
        <x:f>IF('Allocation Build'!E59&gt;=0,1,0)</x:f>
        <x:v>1</x:v>
      </x:c>
      <x:c r="F530" s="27" t="n">
        <x:v>1</x:v>
      </x:c>
      <x:c r="G530" s="29" t="str">
        <x:f>IF(E530=F530,"PASS","FAIL")</x:f>
        <x:v>PASS</x:v>
      </x:c>
    </x:row>
    <x:row r="531" ht="18" customHeight="1">
      <x:c r="B531" s="27" t="str">
        <x:v>A0525</x:v>
      </x:c>
      <x:c r="C531" s="27" t="str">
        <x:v>allocation</x:v>
      </x:c>
      <x:c r="D531" s="27" t="str">
        <x:v>Allocation F59 nonnegative</x:v>
      </x:c>
      <x:c r="E531" s="27" t="n">
        <x:f>IF('Allocation Build'!F59&gt;=0,1,0)</x:f>
        <x:v>1</x:v>
      </x:c>
      <x:c r="F531" s="27" t="n">
        <x:v>1</x:v>
      </x:c>
      <x:c r="G531" s="29" t="str">
        <x:f>IF(E531=F531,"PASS","FAIL")</x:f>
        <x:v>PASS</x:v>
      </x:c>
    </x:row>
    <x:row r="532" ht="18" customHeight="1">
      <x:c r="B532" s="27" t="str">
        <x:v>A0526</x:v>
      </x:c>
      <x:c r="C532" s="27" t="str">
        <x:v>allocation</x:v>
      </x:c>
      <x:c r="D532" s="27" t="str">
        <x:v>Allocation G59 nonnegative</x:v>
      </x:c>
      <x:c r="E532" s="27" t="n">
        <x:f>IF('Allocation Build'!G59&gt;=0,1,0)</x:f>
        <x:v>1</x:v>
      </x:c>
      <x:c r="F532" s="27" t="n">
        <x:v>1</x:v>
      </x:c>
      <x:c r="G532" s="29" t="str">
        <x:f>IF(E532=F532,"PASS","FAIL")</x:f>
        <x:v>PASS</x:v>
      </x:c>
    </x:row>
    <x:row r="533" ht="18" customHeight="1">
      <x:c r="B533" s="27" t="str">
        <x:v>A0527</x:v>
      </x:c>
      <x:c r="C533" s="27" t="str">
        <x:v>allocation</x:v>
      </x:c>
      <x:c r="D533" s="27" t="str">
        <x:v>Allocation H59 nonnegative</x:v>
      </x:c>
      <x:c r="E533" s="27" t="n">
        <x:f>IF('Allocation Build'!H59&gt;=0,1,0)</x:f>
        <x:v>1</x:v>
      </x:c>
      <x:c r="F533" s="27" t="n">
        <x:v>1</x:v>
      </x:c>
      <x:c r="G533" s="29" t="str">
        <x:f>IF(E533=F533,"PASS","FAIL")</x:f>
        <x:v>PASS</x:v>
      </x:c>
    </x:row>
    <x:row r="534" ht="18" customHeight="1">
      <x:c r="B534" s="27" t="str">
        <x:v>A0528</x:v>
      </x:c>
      <x:c r="C534" s="27" t="str">
        <x:v>allocation</x:v>
      </x:c>
      <x:c r="D534" s="27" t="str">
        <x:v>Allocation I59 nonnegative</x:v>
      </x:c>
      <x:c r="E534" s="27" t="n">
        <x:f>IF('Allocation Build'!I59&gt;=0,1,0)</x:f>
        <x:v>1</x:v>
      </x:c>
      <x:c r="F534" s="27" t="n">
        <x:v>1</x:v>
      </x:c>
      <x:c r="G534" s="29" t="str">
        <x:f>IF(E534=F534,"PASS","FAIL")</x:f>
        <x:v>PASS</x:v>
      </x:c>
    </x:row>
    <x:row r="535" ht="18" customHeight="1">
      <x:c r="B535" s="27" t="str">
        <x:v>A0529</x:v>
      </x:c>
      <x:c r="C535" s="27" t="str">
        <x:v>allocation</x:v>
      </x:c>
      <x:c r="D535" s="27" t="str">
        <x:v>Allocation J59 nonnegative</x:v>
      </x:c>
      <x:c r="E535" s="27" t="n">
        <x:f>IF('Allocation Build'!J59&gt;=0,1,0)</x:f>
        <x:v>1</x:v>
      </x:c>
      <x:c r="F535" s="27" t="n">
        <x:v>1</x:v>
      </x:c>
      <x:c r="G535" s="29" t="str">
        <x:f>IF(E535=F535,"PASS","FAIL")</x:f>
        <x:v>PASS</x:v>
      </x:c>
    </x:row>
    <x:row r="536" ht="18" customHeight="1">
      <x:c r="B536" s="27" t="str">
        <x:v>A0530</x:v>
      </x:c>
      <x:c r="C536" s="27" t="str">
        <x:v>allocation</x:v>
      </x:c>
      <x:c r="D536" s="27" t="str">
        <x:v>Allocation K59 nonnegative</x:v>
      </x:c>
      <x:c r="E536" s="27" t="n">
        <x:f>IF('Allocation Build'!K59&gt;=0,1,0)</x:f>
        <x:v>1</x:v>
      </x:c>
      <x:c r="F536" s="27" t="n">
        <x:v>1</x:v>
      </x:c>
      <x:c r="G536" s="29" t="str">
        <x:f>IF(E536=F536,"PASS","FAIL")</x:f>
        <x:v>PASS</x:v>
      </x:c>
    </x:row>
    <x:row r="537" ht="18" customHeight="1">
      <x:c r="B537" s="27" t="str">
        <x:v>A0531</x:v>
      </x:c>
      <x:c r="C537" s="27" t="str">
        <x:v>allocation</x:v>
      </x:c>
      <x:c r="D537" s="27" t="str">
        <x:v>Allocation L59 nonnegative</x:v>
      </x:c>
      <x:c r="E537" s="27" t="n">
        <x:f>IF('Allocation Build'!L59&gt;=0,1,0)</x:f>
        <x:v>1</x:v>
      </x:c>
      <x:c r="F537" s="27" t="n">
        <x:v>1</x:v>
      </x:c>
      <x:c r="G537" s="29" t="str">
        <x:f>IF(E537=F537,"PASS","FAIL")</x:f>
        <x:v>PASS</x:v>
      </x:c>
    </x:row>
    <x:row r="538" ht="18" customHeight="1">
      <x:c r="B538" s="27" t="str">
        <x:v>A0532</x:v>
      </x:c>
      <x:c r="C538" s="27" t="str">
        <x:v>allocation</x:v>
      </x:c>
      <x:c r="D538" s="27" t="str">
        <x:v>Allocation row 59 state open</x:v>
      </x:c>
      <x:c r="E538" s="27" t="n">
        <x:f>IF('Allocation Build'!N59="OPEN",1,0)</x:f>
        <x:v>1</x:v>
      </x:c>
      <x:c r="F538" s="27" t="n">
        <x:v>1</x:v>
      </x:c>
      <x:c r="G538" s="29" t="str">
        <x:f>IF(E538=F538,"PASS","FAIL")</x:f>
        <x:v>PASS</x:v>
      </x:c>
    </x:row>
    <x:row r="539" ht="18" customHeight="1">
      <x:c r="B539" s="27" t="str">
        <x:v>A0533</x:v>
      </x:c>
      <x:c r="C539" s="27" t="str">
        <x:v>allocation</x:v>
      </x:c>
      <x:c r="D539" s="27" t="str">
        <x:v>Allocation E60 nonnegative</x:v>
      </x:c>
      <x:c r="E539" s="27" t="n">
        <x:f>IF('Allocation Build'!E60&gt;=0,1,0)</x:f>
        <x:v>1</x:v>
      </x:c>
      <x:c r="F539" s="27" t="n">
        <x:v>1</x:v>
      </x:c>
      <x:c r="G539" s="29" t="str">
        <x:f>IF(E539=F539,"PASS","FAIL")</x:f>
        <x:v>PASS</x:v>
      </x:c>
    </x:row>
    <x:row r="540" ht="18" customHeight="1">
      <x:c r="B540" s="27" t="str">
        <x:v>A0534</x:v>
      </x:c>
      <x:c r="C540" s="27" t="str">
        <x:v>allocation</x:v>
      </x:c>
      <x:c r="D540" s="27" t="str">
        <x:v>Allocation F60 nonnegative</x:v>
      </x:c>
      <x:c r="E540" s="27" t="n">
        <x:f>IF('Allocation Build'!F60&gt;=0,1,0)</x:f>
        <x:v>1</x:v>
      </x:c>
      <x:c r="F540" s="27" t="n">
        <x:v>1</x:v>
      </x:c>
      <x:c r="G540" s="29" t="str">
        <x:f>IF(E540=F540,"PASS","FAIL")</x:f>
        <x:v>PASS</x:v>
      </x:c>
    </x:row>
    <x:row r="541" ht="18" customHeight="1">
      <x:c r="B541" s="27" t="str">
        <x:v>A0535</x:v>
      </x:c>
      <x:c r="C541" s="27" t="str">
        <x:v>allocation</x:v>
      </x:c>
      <x:c r="D541" s="27" t="str">
        <x:v>Allocation G60 nonnegative</x:v>
      </x:c>
      <x:c r="E541" s="27" t="n">
        <x:f>IF('Allocation Build'!G60&gt;=0,1,0)</x:f>
        <x:v>1</x:v>
      </x:c>
      <x:c r="F541" s="27" t="n">
        <x:v>1</x:v>
      </x:c>
      <x:c r="G541" s="29" t="str">
        <x:f>IF(E541=F541,"PASS","FAIL")</x:f>
        <x:v>PASS</x:v>
      </x:c>
    </x:row>
    <x:row r="542" ht="18" customHeight="1">
      <x:c r="B542" s="27" t="str">
        <x:v>A0536</x:v>
      </x:c>
      <x:c r="C542" s="27" t="str">
        <x:v>allocation</x:v>
      </x:c>
      <x:c r="D542" s="27" t="str">
        <x:v>Allocation H60 nonnegative</x:v>
      </x:c>
      <x:c r="E542" s="27" t="n">
        <x:f>IF('Allocation Build'!H60&gt;=0,1,0)</x:f>
        <x:v>1</x:v>
      </x:c>
      <x:c r="F542" s="27" t="n">
        <x:v>1</x:v>
      </x:c>
      <x:c r="G542" s="29" t="str">
        <x:f>IF(E542=F542,"PASS","FAIL")</x:f>
        <x:v>PASS</x:v>
      </x:c>
    </x:row>
    <x:row r="543" ht="18" customHeight="1">
      <x:c r="B543" s="27" t="str">
        <x:v>A0537</x:v>
      </x:c>
      <x:c r="C543" s="27" t="str">
        <x:v>allocation</x:v>
      </x:c>
      <x:c r="D543" s="27" t="str">
        <x:v>Allocation I60 nonnegative</x:v>
      </x:c>
      <x:c r="E543" s="27" t="n">
        <x:f>IF('Allocation Build'!I60&gt;=0,1,0)</x:f>
        <x:v>1</x:v>
      </x:c>
      <x:c r="F543" s="27" t="n">
        <x:v>1</x:v>
      </x:c>
      <x:c r="G543" s="29" t="str">
        <x:f>IF(E543=F543,"PASS","FAIL")</x:f>
        <x:v>PASS</x:v>
      </x:c>
    </x:row>
    <x:row r="544" ht="18" customHeight="1">
      <x:c r="B544" s="27" t="str">
        <x:v>A0538</x:v>
      </x:c>
      <x:c r="C544" s="27" t="str">
        <x:v>allocation</x:v>
      </x:c>
      <x:c r="D544" s="27" t="str">
        <x:v>Allocation J60 nonnegative</x:v>
      </x:c>
      <x:c r="E544" s="27" t="n">
        <x:f>IF('Allocation Build'!J60&gt;=0,1,0)</x:f>
        <x:v>1</x:v>
      </x:c>
      <x:c r="F544" s="27" t="n">
        <x:v>1</x:v>
      </x:c>
      <x:c r="G544" s="29" t="str">
        <x:f>IF(E544=F544,"PASS","FAIL")</x:f>
        <x:v>PASS</x:v>
      </x:c>
    </x:row>
    <x:row r="545" ht="18" customHeight="1">
      <x:c r="B545" s="27" t="str">
        <x:v>A0539</x:v>
      </x:c>
      <x:c r="C545" s="27" t="str">
        <x:v>allocation</x:v>
      </x:c>
      <x:c r="D545" s="27" t="str">
        <x:v>Allocation K60 nonnegative</x:v>
      </x:c>
      <x:c r="E545" s="27" t="n">
        <x:f>IF('Allocation Build'!K60&gt;=0,1,0)</x:f>
        <x:v>1</x:v>
      </x:c>
      <x:c r="F545" s="27" t="n">
        <x:v>1</x:v>
      </x:c>
      <x:c r="G545" s="29" t="str">
        <x:f>IF(E545=F545,"PASS","FAIL")</x:f>
        <x:v>PASS</x:v>
      </x:c>
    </x:row>
    <x:row r="546" ht="18" customHeight="1">
      <x:c r="B546" s="27" t="str">
        <x:v>A0540</x:v>
      </x:c>
      <x:c r="C546" s="27" t="str">
        <x:v>allocation</x:v>
      </x:c>
      <x:c r="D546" s="27" t="str">
        <x:v>Allocation L60 nonnegative</x:v>
      </x:c>
      <x:c r="E546" s="27" t="n">
        <x:f>IF('Allocation Build'!L60&gt;=0,1,0)</x:f>
        <x:v>1</x:v>
      </x:c>
      <x:c r="F546" s="27" t="n">
        <x:v>1</x:v>
      </x:c>
      <x:c r="G546" s="29" t="str">
        <x:f>IF(E546=F546,"PASS","FAIL")</x:f>
        <x:v>PASS</x:v>
      </x:c>
    </x:row>
    <x:row r="547" ht="18" customHeight="1">
      <x:c r="B547" s="27" t="str">
        <x:v>A0541</x:v>
      </x:c>
      <x:c r="C547" s="27" t="str">
        <x:v>allocation</x:v>
      </x:c>
      <x:c r="D547" s="27" t="str">
        <x:v>Allocation row 60 state open</x:v>
      </x:c>
      <x:c r="E547" s="27" t="n">
        <x:f>IF('Allocation Build'!N60="OPEN",1,0)</x:f>
        <x:v>1</x:v>
      </x:c>
      <x:c r="F547" s="27" t="n">
        <x:v>1</x:v>
      </x:c>
      <x:c r="G547" s="29" t="str">
        <x:f>IF(E547=F547,"PASS","FAIL")</x:f>
        <x:v>PASS</x:v>
      </x:c>
    </x:row>
    <x:row r="548" ht="18" customHeight="1">
      <x:c r="B548" s="27" t="str">
        <x:v>A0542</x:v>
      </x:c>
      <x:c r="C548" s="27" t="str">
        <x:v>allocation</x:v>
      </x:c>
      <x:c r="D548" s="27" t="str">
        <x:v>Allocation E61 nonnegative</x:v>
      </x:c>
      <x:c r="E548" s="27" t="n">
        <x:f>IF('Allocation Build'!E61&gt;=0,1,0)</x:f>
        <x:v>1</x:v>
      </x:c>
      <x:c r="F548" s="27" t="n">
        <x:v>1</x:v>
      </x:c>
      <x:c r="G548" s="29" t="str">
        <x:f>IF(E548=F548,"PASS","FAIL")</x:f>
        <x:v>PASS</x:v>
      </x:c>
    </x:row>
    <x:row r="549" ht="18" customHeight="1">
      <x:c r="B549" s="27" t="str">
        <x:v>A0543</x:v>
      </x:c>
      <x:c r="C549" s="27" t="str">
        <x:v>allocation</x:v>
      </x:c>
      <x:c r="D549" s="27" t="str">
        <x:v>Allocation F61 nonnegative</x:v>
      </x:c>
      <x:c r="E549" s="27" t="n">
        <x:f>IF('Allocation Build'!F61&gt;=0,1,0)</x:f>
        <x:v>1</x:v>
      </x:c>
      <x:c r="F549" s="27" t="n">
        <x:v>1</x:v>
      </x:c>
      <x:c r="G549" s="29" t="str">
        <x:f>IF(E549=F549,"PASS","FAIL")</x:f>
        <x:v>PASS</x:v>
      </x:c>
    </x:row>
    <x:row r="550" ht="18" customHeight="1">
      <x:c r="B550" s="27" t="str">
        <x:v>A0544</x:v>
      </x:c>
      <x:c r="C550" s="27" t="str">
        <x:v>allocation</x:v>
      </x:c>
      <x:c r="D550" s="27" t="str">
        <x:v>Allocation G61 nonnegative</x:v>
      </x:c>
      <x:c r="E550" s="27" t="n">
        <x:f>IF('Allocation Build'!G61&gt;=0,1,0)</x:f>
        <x:v>1</x:v>
      </x:c>
      <x:c r="F550" s="27" t="n">
        <x:v>1</x:v>
      </x:c>
      <x:c r="G550" s="29" t="str">
        <x:f>IF(E550=F550,"PASS","FAIL")</x:f>
        <x:v>PASS</x:v>
      </x:c>
    </x:row>
    <x:row r="551" ht="18" customHeight="1">
      <x:c r="B551" s="27" t="str">
        <x:v>A0545</x:v>
      </x:c>
      <x:c r="C551" s="27" t="str">
        <x:v>allocation</x:v>
      </x:c>
      <x:c r="D551" s="27" t="str">
        <x:v>Allocation H61 nonnegative</x:v>
      </x:c>
      <x:c r="E551" s="27" t="n">
        <x:f>IF('Allocation Build'!H61&gt;=0,1,0)</x:f>
        <x:v>1</x:v>
      </x:c>
      <x:c r="F551" s="27" t="n">
        <x:v>1</x:v>
      </x:c>
      <x:c r="G551" s="29" t="str">
        <x:f>IF(E551=F551,"PASS","FAIL")</x:f>
        <x:v>PASS</x:v>
      </x:c>
    </x:row>
    <x:row r="552" ht="18" customHeight="1">
      <x:c r="B552" s="27" t="str">
        <x:v>A0546</x:v>
      </x:c>
      <x:c r="C552" s="27" t="str">
        <x:v>allocation</x:v>
      </x:c>
      <x:c r="D552" s="27" t="str">
        <x:v>Allocation I61 nonnegative</x:v>
      </x:c>
      <x:c r="E552" s="27" t="n">
        <x:f>IF('Allocation Build'!I61&gt;=0,1,0)</x:f>
        <x:v>1</x:v>
      </x:c>
      <x:c r="F552" s="27" t="n">
        <x:v>1</x:v>
      </x:c>
      <x:c r="G552" s="29" t="str">
        <x:f>IF(E552=F552,"PASS","FAIL")</x:f>
        <x:v>PASS</x:v>
      </x:c>
    </x:row>
    <x:row r="553" ht="18" customHeight="1">
      <x:c r="B553" s="27" t="str">
        <x:v>A0547</x:v>
      </x:c>
      <x:c r="C553" s="27" t="str">
        <x:v>allocation</x:v>
      </x:c>
      <x:c r="D553" s="27" t="str">
        <x:v>Allocation J61 nonnegative</x:v>
      </x:c>
      <x:c r="E553" s="27" t="n">
        <x:f>IF('Allocation Build'!J61&gt;=0,1,0)</x:f>
        <x:v>1</x:v>
      </x:c>
      <x:c r="F553" s="27" t="n">
        <x:v>1</x:v>
      </x:c>
      <x:c r="G553" s="29" t="str">
        <x:f>IF(E553=F553,"PASS","FAIL")</x:f>
        <x:v>PASS</x:v>
      </x:c>
    </x:row>
    <x:row r="554" ht="18" customHeight="1">
      <x:c r="B554" s="27" t="str">
        <x:v>A0548</x:v>
      </x:c>
      <x:c r="C554" s="27" t="str">
        <x:v>allocation</x:v>
      </x:c>
      <x:c r="D554" s="27" t="str">
        <x:v>Allocation K61 nonnegative</x:v>
      </x:c>
      <x:c r="E554" s="27" t="n">
        <x:f>IF('Allocation Build'!K61&gt;=0,1,0)</x:f>
        <x:v>1</x:v>
      </x:c>
      <x:c r="F554" s="27" t="n">
        <x:v>1</x:v>
      </x:c>
      <x:c r="G554" s="29" t="str">
        <x:f>IF(E554=F554,"PASS","FAIL")</x:f>
        <x:v>PASS</x:v>
      </x:c>
    </x:row>
    <x:row r="555" ht="18" customHeight="1">
      <x:c r="B555" s="27" t="str">
        <x:v>A0549</x:v>
      </x:c>
      <x:c r="C555" s="27" t="str">
        <x:v>allocation</x:v>
      </x:c>
      <x:c r="D555" s="27" t="str">
        <x:v>Allocation L61 nonnegative</x:v>
      </x:c>
      <x:c r="E555" s="27" t="n">
        <x:f>IF('Allocation Build'!L61&gt;=0,1,0)</x:f>
        <x:v>1</x:v>
      </x:c>
      <x:c r="F555" s="27" t="n">
        <x:v>1</x:v>
      </x:c>
      <x:c r="G555" s="29" t="str">
        <x:f>IF(E555=F555,"PASS","FAIL")</x:f>
        <x:v>PASS</x:v>
      </x:c>
    </x:row>
    <x:row r="556" ht="18" customHeight="1">
      <x:c r="B556" s="27" t="str">
        <x:v>A0550</x:v>
      </x:c>
      <x:c r="C556" s="27" t="str">
        <x:v>allocation</x:v>
      </x:c>
      <x:c r="D556" s="27" t="str">
        <x:v>Allocation row 61 state open</x:v>
      </x:c>
      <x:c r="E556" s="27" t="n">
        <x:f>IF('Allocation Build'!N61="OPEN",1,0)</x:f>
        <x:v>1</x:v>
      </x:c>
      <x:c r="F556" s="27" t="n">
        <x:v>1</x:v>
      </x:c>
      <x:c r="G556" s="29" t="str">
        <x:f>IF(E556=F556,"PASS","FAIL")</x:f>
        <x:v>PASS</x:v>
      </x:c>
    </x:row>
    <x:row r="557" ht="18" customHeight="1">
      <x:c r="B557" s="27" t="str">
        <x:v>A0551</x:v>
      </x:c>
      <x:c r="C557" s="27" t="str">
        <x:v>allocation</x:v>
      </x:c>
      <x:c r="D557" s="27" t="str">
        <x:v>Allocation E62 nonnegative</x:v>
      </x:c>
      <x:c r="E557" s="27" t="n">
        <x:f>IF('Allocation Build'!E62&gt;=0,1,0)</x:f>
        <x:v>1</x:v>
      </x:c>
      <x:c r="F557" s="27" t="n">
        <x:v>1</x:v>
      </x:c>
      <x:c r="G557" s="29" t="str">
        <x:f>IF(E557=F557,"PASS","FAIL")</x:f>
        <x:v>PASS</x:v>
      </x:c>
    </x:row>
    <x:row r="558" ht="18" customHeight="1">
      <x:c r="B558" s="27" t="str">
        <x:v>A0552</x:v>
      </x:c>
      <x:c r="C558" s="27" t="str">
        <x:v>allocation</x:v>
      </x:c>
      <x:c r="D558" s="27" t="str">
        <x:v>Allocation F62 nonnegative</x:v>
      </x:c>
      <x:c r="E558" s="27" t="n">
        <x:f>IF('Allocation Build'!F62&gt;=0,1,0)</x:f>
        <x:v>1</x:v>
      </x:c>
      <x:c r="F558" s="27" t="n">
        <x:v>1</x:v>
      </x:c>
      <x:c r="G558" s="29" t="str">
        <x:f>IF(E558=F558,"PASS","FAIL")</x:f>
        <x:v>PASS</x:v>
      </x:c>
    </x:row>
    <x:row r="559" ht="18" customHeight="1">
      <x:c r="B559" s="27" t="str">
        <x:v>A0553</x:v>
      </x:c>
      <x:c r="C559" s="27" t="str">
        <x:v>allocation</x:v>
      </x:c>
      <x:c r="D559" s="27" t="str">
        <x:v>Allocation G62 nonnegative</x:v>
      </x:c>
      <x:c r="E559" s="27" t="n">
        <x:f>IF('Allocation Build'!G62&gt;=0,1,0)</x:f>
        <x:v>1</x:v>
      </x:c>
      <x:c r="F559" s="27" t="n">
        <x:v>1</x:v>
      </x:c>
      <x:c r="G559" s="29" t="str">
        <x:f>IF(E559=F559,"PASS","FAIL")</x:f>
        <x:v>PASS</x:v>
      </x:c>
    </x:row>
    <x:row r="560" ht="18" customHeight="1">
      <x:c r="B560" s="27" t="str">
        <x:v>A0554</x:v>
      </x:c>
      <x:c r="C560" s="27" t="str">
        <x:v>allocation</x:v>
      </x:c>
      <x:c r="D560" s="27" t="str">
        <x:v>Allocation H62 nonnegative</x:v>
      </x:c>
      <x:c r="E560" s="27" t="n">
        <x:f>IF('Allocation Build'!H62&gt;=0,1,0)</x:f>
        <x:v>1</x:v>
      </x:c>
      <x:c r="F560" s="27" t="n">
        <x:v>1</x:v>
      </x:c>
      <x:c r="G560" s="29" t="str">
        <x:f>IF(E560=F560,"PASS","FAIL")</x:f>
        <x:v>PASS</x:v>
      </x:c>
    </x:row>
    <x:row r="561" ht="18" customHeight="1">
      <x:c r="B561" s="27" t="str">
        <x:v>A0555</x:v>
      </x:c>
      <x:c r="C561" s="27" t="str">
        <x:v>allocation</x:v>
      </x:c>
      <x:c r="D561" s="27" t="str">
        <x:v>Allocation I62 nonnegative</x:v>
      </x:c>
      <x:c r="E561" s="27" t="n">
        <x:f>IF('Allocation Build'!I62&gt;=0,1,0)</x:f>
        <x:v>1</x:v>
      </x:c>
      <x:c r="F561" s="27" t="n">
        <x:v>1</x:v>
      </x:c>
      <x:c r="G561" s="29" t="str">
        <x:f>IF(E561=F561,"PASS","FAIL")</x:f>
        <x:v>PASS</x:v>
      </x:c>
    </x:row>
    <x:row r="562" ht="18" customHeight="1">
      <x:c r="B562" s="27" t="str">
        <x:v>A0556</x:v>
      </x:c>
      <x:c r="C562" s="27" t="str">
        <x:v>allocation</x:v>
      </x:c>
      <x:c r="D562" s="27" t="str">
        <x:v>Allocation J62 nonnegative</x:v>
      </x:c>
      <x:c r="E562" s="27" t="n">
        <x:f>IF('Allocation Build'!J62&gt;=0,1,0)</x:f>
        <x:v>1</x:v>
      </x:c>
      <x:c r="F562" s="27" t="n">
        <x:v>1</x:v>
      </x:c>
      <x:c r="G562" s="29" t="str">
        <x:f>IF(E562=F562,"PASS","FAIL")</x:f>
        <x:v>PASS</x:v>
      </x:c>
    </x:row>
    <x:row r="563" ht="18" customHeight="1">
      <x:c r="B563" s="27" t="str">
        <x:v>A0557</x:v>
      </x:c>
      <x:c r="C563" s="27" t="str">
        <x:v>allocation</x:v>
      </x:c>
      <x:c r="D563" s="27" t="str">
        <x:v>Allocation K62 nonnegative</x:v>
      </x:c>
      <x:c r="E563" s="27" t="n">
        <x:f>IF('Allocation Build'!K62&gt;=0,1,0)</x:f>
        <x:v>1</x:v>
      </x:c>
      <x:c r="F563" s="27" t="n">
        <x:v>1</x:v>
      </x:c>
      <x:c r="G563" s="29" t="str">
        <x:f>IF(E563=F563,"PASS","FAIL")</x:f>
        <x:v>PASS</x:v>
      </x:c>
    </x:row>
    <x:row r="564" ht="18" customHeight="1">
      <x:c r="B564" s="27" t="str">
        <x:v>A0558</x:v>
      </x:c>
      <x:c r="C564" s="27" t="str">
        <x:v>allocation</x:v>
      </x:c>
      <x:c r="D564" s="27" t="str">
        <x:v>Allocation L62 nonnegative</x:v>
      </x:c>
      <x:c r="E564" s="27" t="n">
        <x:f>IF('Allocation Build'!L62&gt;=0,1,0)</x:f>
        <x:v>1</x:v>
      </x:c>
      <x:c r="F564" s="27" t="n">
        <x:v>1</x:v>
      </x:c>
      <x:c r="G564" s="29" t="str">
        <x:f>IF(E564=F564,"PASS","FAIL")</x:f>
        <x:v>PASS</x:v>
      </x:c>
    </x:row>
    <x:row r="565" ht="18" customHeight="1">
      <x:c r="B565" s="27" t="str">
        <x:v>A0559</x:v>
      </x:c>
      <x:c r="C565" s="27" t="str">
        <x:v>allocation</x:v>
      </x:c>
      <x:c r="D565" s="27" t="str">
        <x:v>Allocation row 62 state open</x:v>
      </x:c>
      <x:c r="E565" s="27" t="n">
        <x:f>IF('Allocation Build'!N62="OPEN",1,0)</x:f>
        <x:v>1</x:v>
      </x:c>
      <x:c r="F565" s="27" t="n">
        <x:v>1</x:v>
      </x:c>
      <x:c r="G565" s="29" t="str">
        <x:f>IF(E565=F565,"PASS","FAIL")</x:f>
        <x:v>PASS</x:v>
      </x:c>
    </x:row>
    <x:row r="566" ht="18" customHeight="1">
      <x:c r="B566" s="27" t="str">
        <x:v>A0560</x:v>
      </x:c>
      <x:c r="C566" s="27" t="str">
        <x:v>allocation</x:v>
      </x:c>
      <x:c r="D566" s="27" t="str">
        <x:v>Allocation E63 nonnegative</x:v>
      </x:c>
      <x:c r="E566" s="27" t="n">
        <x:f>IF('Allocation Build'!E63&gt;=0,1,0)</x:f>
        <x:v>1</x:v>
      </x:c>
      <x:c r="F566" s="27" t="n">
        <x:v>1</x:v>
      </x:c>
      <x:c r="G566" s="29" t="str">
        <x:f>IF(E566=F566,"PASS","FAIL")</x:f>
        <x:v>PASS</x:v>
      </x:c>
    </x:row>
    <x:row r="567" ht="18" customHeight="1">
      <x:c r="B567" s="27" t="str">
        <x:v>A0561</x:v>
      </x:c>
      <x:c r="C567" s="27" t="str">
        <x:v>allocation</x:v>
      </x:c>
      <x:c r="D567" s="27" t="str">
        <x:v>Allocation F63 nonnegative</x:v>
      </x:c>
      <x:c r="E567" s="27" t="n">
        <x:f>IF('Allocation Build'!F63&gt;=0,1,0)</x:f>
        <x:v>1</x:v>
      </x:c>
      <x:c r="F567" s="27" t="n">
        <x:v>1</x:v>
      </x:c>
      <x:c r="G567" s="29" t="str">
        <x:f>IF(E567=F567,"PASS","FAIL")</x:f>
        <x:v>PASS</x:v>
      </x:c>
    </x:row>
    <x:row r="568" ht="18" customHeight="1">
      <x:c r="B568" s="27" t="str">
        <x:v>A0562</x:v>
      </x:c>
      <x:c r="C568" s="27" t="str">
        <x:v>allocation</x:v>
      </x:c>
      <x:c r="D568" s="27" t="str">
        <x:v>Allocation G63 nonnegative</x:v>
      </x:c>
      <x:c r="E568" s="27" t="n">
        <x:f>IF('Allocation Build'!G63&gt;=0,1,0)</x:f>
        <x:v>1</x:v>
      </x:c>
      <x:c r="F568" s="27" t="n">
        <x:v>1</x:v>
      </x:c>
      <x:c r="G568" s="29" t="str">
        <x:f>IF(E568=F568,"PASS","FAIL")</x:f>
        <x:v>PASS</x:v>
      </x:c>
    </x:row>
    <x:row r="569" ht="18" customHeight="1">
      <x:c r="B569" s="27" t="str">
        <x:v>A0563</x:v>
      </x:c>
      <x:c r="C569" s="27" t="str">
        <x:v>allocation</x:v>
      </x:c>
      <x:c r="D569" s="27" t="str">
        <x:v>Allocation H63 nonnegative</x:v>
      </x:c>
      <x:c r="E569" s="27" t="n">
        <x:f>IF('Allocation Build'!H63&gt;=0,1,0)</x:f>
        <x:v>1</x:v>
      </x:c>
      <x:c r="F569" s="27" t="n">
        <x:v>1</x:v>
      </x:c>
      <x:c r="G569" s="29" t="str">
        <x:f>IF(E569=F569,"PASS","FAIL")</x:f>
        <x:v>PASS</x:v>
      </x:c>
    </x:row>
    <x:row r="570" ht="18" customHeight="1">
      <x:c r="B570" s="27" t="str">
        <x:v>A0564</x:v>
      </x:c>
      <x:c r="C570" s="27" t="str">
        <x:v>allocation</x:v>
      </x:c>
      <x:c r="D570" s="27" t="str">
        <x:v>Allocation I63 nonnegative</x:v>
      </x:c>
      <x:c r="E570" s="27" t="n">
        <x:f>IF('Allocation Build'!I63&gt;=0,1,0)</x:f>
        <x:v>1</x:v>
      </x:c>
      <x:c r="F570" s="27" t="n">
        <x:v>1</x:v>
      </x:c>
      <x:c r="G570" s="29" t="str">
        <x:f>IF(E570=F570,"PASS","FAIL")</x:f>
        <x:v>PASS</x:v>
      </x:c>
    </x:row>
    <x:row r="571" ht="18" customHeight="1">
      <x:c r="B571" s="27" t="str">
        <x:v>A0565</x:v>
      </x:c>
      <x:c r="C571" s="27" t="str">
        <x:v>allocation</x:v>
      </x:c>
      <x:c r="D571" s="27" t="str">
        <x:v>Allocation J63 nonnegative</x:v>
      </x:c>
      <x:c r="E571" s="27" t="n">
        <x:f>IF('Allocation Build'!J63&gt;=0,1,0)</x:f>
        <x:v>1</x:v>
      </x:c>
      <x:c r="F571" s="27" t="n">
        <x:v>1</x:v>
      </x:c>
      <x:c r="G571" s="29" t="str">
        <x:f>IF(E571=F571,"PASS","FAIL")</x:f>
        <x:v>PASS</x:v>
      </x:c>
    </x:row>
    <x:row r="572" ht="18" customHeight="1">
      <x:c r="B572" s="27" t="str">
        <x:v>A0566</x:v>
      </x:c>
      <x:c r="C572" s="27" t="str">
        <x:v>allocation</x:v>
      </x:c>
      <x:c r="D572" s="27" t="str">
        <x:v>Allocation K63 nonnegative</x:v>
      </x:c>
      <x:c r="E572" s="27" t="n">
        <x:f>IF('Allocation Build'!K63&gt;=0,1,0)</x:f>
        <x:v>1</x:v>
      </x:c>
      <x:c r="F572" s="27" t="n">
        <x:v>1</x:v>
      </x:c>
      <x:c r="G572" s="29" t="str">
        <x:f>IF(E572=F572,"PASS","FAIL")</x:f>
        <x:v>PASS</x:v>
      </x:c>
    </x:row>
    <x:row r="573" ht="18" customHeight="1">
      <x:c r="B573" s="27" t="str">
        <x:v>A0567</x:v>
      </x:c>
      <x:c r="C573" s="27" t="str">
        <x:v>allocation</x:v>
      </x:c>
      <x:c r="D573" s="27" t="str">
        <x:v>Allocation L63 nonnegative</x:v>
      </x:c>
      <x:c r="E573" s="27" t="n">
        <x:f>IF('Allocation Build'!L63&gt;=0,1,0)</x:f>
        <x:v>1</x:v>
      </x:c>
      <x:c r="F573" s="27" t="n">
        <x:v>1</x:v>
      </x:c>
      <x:c r="G573" s="29" t="str">
        <x:f>IF(E573=F573,"PASS","FAIL")</x:f>
        <x:v>PASS</x:v>
      </x:c>
    </x:row>
    <x:row r="574" ht="18" customHeight="1">
      <x:c r="B574" s="27" t="str">
        <x:v>A0568</x:v>
      </x:c>
      <x:c r="C574" s="27" t="str">
        <x:v>allocation</x:v>
      </x:c>
      <x:c r="D574" s="27" t="str">
        <x:v>Allocation row 63 state open</x:v>
      </x:c>
      <x:c r="E574" s="27" t="n">
        <x:f>IF('Allocation Build'!N63="OPEN",1,0)</x:f>
        <x:v>1</x:v>
      </x:c>
      <x:c r="F574" s="27" t="n">
        <x:v>1</x:v>
      </x:c>
      <x:c r="G574" s="29" t="str">
        <x:f>IF(E574=F574,"PASS","FAIL")</x:f>
        <x:v>PASS</x:v>
      </x:c>
    </x:row>
    <x:row r="575" ht="18" customHeight="1">
      <x:c r="B575" s="27" t="str">
        <x:v>A0569</x:v>
      </x:c>
      <x:c r="C575" s="27" t="str">
        <x:v>allocation</x:v>
      </x:c>
      <x:c r="D575" s="27" t="str">
        <x:v>Allocation E64 nonnegative</x:v>
      </x:c>
      <x:c r="E575" s="27" t="n">
        <x:f>IF('Allocation Build'!E64&gt;=0,1,0)</x:f>
        <x:v>1</x:v>
      </x:c>
      <x:c r="F575" s="27" t="n">
        <x:v>1</x:v>
      </x:c>
      <x:c r="G575" s="29" t="str">
        <x:f>IF(E575=F575,"PASS","FAIL")</x:f>
        <x:v>PASS</x:v>
      </x:c>
    </x:row>
    <x:row r="576" ht="18" customHeight="1">
      <x:c r="B576" s="27" t="str">
        <x:v>A0570</x:v>
      </x:c>
      <x:c r="C576" s="27" t="str">
        <x:v>allocation</x:v>
      </x:c>
      <x:c r="D576" s="27" t="str">
        <x:v>Allocation F64 nonnegative</x:v>
      </x:c>
      <x:c r="E576" s="27" t="n">
        <x:f>IF('Allocation Build'!F64&gt;=0,1,0)</x:f>
        <x:v>1</x:v>
      </x:c>
      <x:c r="F576" s="27" t="n">
        <x:v>1</x:v>
      </x:c>
      <x:c r="G576" s="29" t="str">
        <x:f>IF(E576=F576,"PASS","FAIL")</x:f>
        <x:v>PASS</x:v>
      </x:c>
    </x:row>
    <x:row r="577" ht="18" customHeight="1">
      <x:c r="B577" s="27" t="str">
        <x:v>A0571</x:v>
      </x:c>
      <x:c r="C577" s="27" t="str">
        <x:v>allocation</x:v>
      </x:c>
      <x:c r="D577" s="27" t="str">
        <x:v>Allocation G64 nonnegative</x:v>
      </x:c>
      <x:c r="E577" s="27" t="n">
        <x:f>IF('Allocation Build'!G64&gt;=0,1,0)</x:f>
        <x:v>1</x:v>
      </x:c>
      <x:c r="F577" s="27" t="n">
        <x:v>1</x:v>
      </x:c>
      <x:c r="G577" s="29" t="str">
        <x:f>IF(E577=F577,"PASS","FAIL")</x:f>
        <x:v>PASS</x:v>
      </x:c>
    </x:row>
    <x:row r="578" ht="18" customHeight="1">
      <x:c r="B578" s="27" t="str">
        <x:v>A0572</x:v>
      </x:c>
      <x:c r="C578" s="27" t="str">
        <x:v>allocation</x:v>
      </x:c>
      <x:c r="D578" s="27" t="str">
        <x:v>Allocation H64 nonnegative</x:v>
      </x:c>
      <x:c r="E578" s="27" t="n">
        <x:f>IF('Allocation Build'!H64&gt;=0,1,0)</x:f>
        <x:v>1</x:v>
      </x:c>
      <x:c r="F578" s="27" t="n">
        <x:v>1</x:v>
      </x:c>
      <x:c r="G578" s="29" t="str">
        <x:f>IF(E578=F578,"PASS","FAIL")</x:f>
        <x:v>PASS</x:v>
      </x:c>
    </x:row>
    <x:row r="579" ht="18" customHeight="1">
      <x:c r="B579" s="27" t="str">
        <x:v>A0573</x:v>
      </x:c>
      <x:c r="C579" s="27" t="str">
        <x:v>allocation</x:v>
      </x:c>
      <x:c r="D579" s="27" t="str">
        <x:v>Allocation I64 nonnegative</x:v>
      </x:c>
      <x:c r="E579" s="27" t="n">
        <x:f>IF('Allocation Build'!I64&gt;=0,1,0)</x:f>
        <x:v>1</x:v>
      </x:c>
      <x:c r="F579" s="27" t="n">
        <x:v>1</x:v>
      </x:c>
      <x:c r="G579" s="29" t="str">
        <x:f>IF(E579=F579,"PASS","FAIL")</x:f>
        <x:v>PASS</x:v>
      </x:c>
    </x:row>
    <x:row r="580" ht="18" customHeight="1">
      <x:c r="B580" s="27" t="str">
        <x:v>A0574</x:v>
      </x:c>
      <x:c r="C580" s="27" t="str">
        <x:v>allocation</x:v>
      </x:c>
      <x:c r="D580" s="27" t="str">
        <x:v>Allocation J64 nonnegative</x:v>
      </x:c>
      <x:c r="E580" s="27" t="n">
        <x:f>IF('Allocation Build'!J64&gt;=0,1,0)</x:f>
        <x:v>1</x:v>
      </x:c>
      <x:c r="F580" s="27" t="n">
        <x:v>1</x:v>
      </x:c>
      <x:c r="G580" s="29" t="str">
        <x:f>IF(E580=F580,"PASS","FAIL")</x:f>
        <x:v>PASS</x:v>
      </x:c>
    </x:row>
    <x:row r="581" ht="18" customHeight="1">
      <x:c r="B581" s="27" t="str">
        <x:v>A0575</x:v>
      </x:c>
      <x:c r="C581" s="27" t="str">
        <x:v>allocation</x:v>
      </x:c>
      <x:c r="D581" s="27" t="str">
        <x:v>Allocation K64 nonnegative</x:v>
      </x:c>
      <x:c r="E581" s="27" t="n">
        <x:f>IF('Allocation Build'!K64&gt;=0,1,0)</x:f>
        <x:v>1</x:v>
      </x:c>
      <x:c r="F581" s="27" t="n">
        <x:v>1</x:v>
      </x:c>
      <x:c r="G581" s="29" t="str">
        <x:f>IF(E581=F581,"PASS","FAIL")</x:f>
        <x:v>PASS</x:v>
      </x:c>
    </x:row>
    <x:row r="582" ht="18" customHeight="1">
      <x:c r="B582" s="27" t="str">
        <x:v>A0576</x:v>
      </x:c>
      <x:c r="C582" s="27" t="str">
        <x:v>allocation</x:v>
      </x:c>
      <x:c r="D582" s="27" t="str">
        <x:v>Allocation L64 nonnegative</x:v>
      </x:c>
      <x:c r="E582" s="27" t="n">
        <x:f>IF('Allocation Build'!L64&gt;=0,1,0)</x:f>
        <x:v>1</x:v>
      </x:c>
      <x:c r="F582" s="27" t="n">
        <x:v>1</x:v>
      </x:c>
      <x:c r="G582" s="29" t="str">
        <x:f>IF(E582=F582,"PASS","FAIL")</x:f>
        <x:v>PASS</x:v>
      </x:c>
    </x:row>
    <x:row r="583" ht="18" customHeight="1">
      <x:c r="B583" s="27" t="str">
        <x:v>A0577</x:v>
      </x:c>
      <x:c r="C583" s="27" t="str">
        <x:v>allocation</x:v>
      </x:c>
      <x:c r="D583" s="27" t="str">
        <x:v>Allocation row 64 state open</x:v>
      </x:c>
      <x:c r="E583" s="27" t="n">
        <x:f>IF('Allocation Build'!N64="OPEN",1,0)</x:f>
        <x:v>1</x:v>
      </x:c>
      <x:c r="F583" s="27" t="n">
        <x:v>1</x:v>
      </x:c>
      <x:c r="G583" s="29" t="str">
        <x:f>IF(E583=F583,"PASS","FAIL")</x:f>
        <x:v>PASS</x:v>
      </x:c>
    </x:row>
    <x:row r="584" ht="18" customHeight="1">
      <x:c r="B584" s="27" t="str">
        <x:v>A0578</x:v>
      </x:c>
      <x:c r="C584" s="27" t="str">
        <x:v>allocation</x:v>
      </x:c>
      <x:c r="D584" s="27" t="str">
        <x:v>Allocation E65 nonnegative</x:v>
      </x:c>
      <x:c r="E584" s="27" t="n">
        <x:f>IF('Allocation Build'!E65&gt;=0,1,0)</x:f>
        <x:v>1</x:v>
      </x:c>
      <x:c r="F584" s="27" t="n">
        <x:v>1</x:v>
      </x:c>
      <x:c r="G584" s="29" t="str">
        <x:f>IF(E584=F584,"PASS","FAIL")</x:f>
        <x:v>PASS</x:v>
      </x:c>
    </x:row>
    <x:row r="585" ht="18" customHeight="1">
      <x:c r="B585" s="27" t="str">
        <x:v>A0579</x:v>
      </x:c>
      <x:c r="C585" s="27" t="str">
        <x:v>allocation</x:v>
      </x:c>
      <x:c r="D585" s="27" t="str">
        <x:v>Allocation F65 nonnegative</x:v>
      </x:c>
      <x:c r="E585" s="27" t="n">
        <x:f>IF('Allocation Build'!F65&gt;=0,1,0)</x:f>
        <x:v>1</x:v>
      </x:c>
      <x:c r="F585" s="27" t="n">
        <x:v>1</x:v>
      </x:c>
      <x:c r="G585" s="29" t="str">
        <x:f>IF(E585=F585,"PASS","FAIL")</x:f>
        <x:v>PASS</x:v>
      </x:c>
    </x:row>
    <x:row r="586" ht="18" customHeight="1">
      <x:c r="B586" s="27" t="str">
        <x:v>A0580</x:v>
      </x:c>
      <x:c r="C586" s="27" t="str">
        <x:v>allocation</x:v>
      </x:c>
      <x:c r="D586" s="27" t="str">
        <x:v>Allocation G65 nonnegative</x:v>
      </x:c>
      <x:c r="E586" s="27" t="n">
        <x:f>IF('Allocation Build'!G65&gt;=0,1,0)</x:f>
        <x:v>1</x:v>
      </x:c>
      <x:c r="F586" s="27" t="n">
        <x:v>1</x:v>
      </x:c>
      <x:c r="G586" s="29" t="str">
        <x:f>IF(E586=F586,"PASS","FAIL")</x:f>
        <x:v>PASS</x:v>
      </x:c>
    </x:row>
    <x:row r="587" ht="18" customHeight="1">
      <x:c r="B587" s="27" t="str">
        <x:v>A0581</x:v>
      </x:c>
      <x:c r="C587" s="27" t="str">
        <x:v>allocation</x:v>
      </x:c>
      <x:c r="D587" s="27" t="str">
        <x:v>Allocation H65 nonnegative</x:v>
      </x:c>
      <x:c r="E587" s="27" t="n">
        <x:f>IF('Allocation Build'!H65&gt;=0,1,0)</x:f>
        <x:v>1</x:v>
      </x:c>
      <x:c r="F587" s="27" t="n">
        <x:v>1</x:v>
      </x:c>
      <x:c r="G587" s="29" t="str">
        <x:f>IF(E587=F587,"PASS","FAIL")</x:f>
        <x:v>PASS</x:v>
      </x:c>
    </x:row>
    <x:row r="588" ht="18" customHeight="1">
      <x:c r="B588" s="27" t="str">
        <x:v>A0582</x:v>
      </x:c>
      <x:c r="C588" s="27" t="str">
        <x:v>allocation</x:v>
      </x:c>
      <x:c r="D588" s="27" t="str">
        <x:v>Allocation I65 nonnegative</x:v>
      </x:c>
      <x:c r="E588" s="27" t="n">
        <x:f>IF('Allocation Build'!I65&gt;=0,1,0)</x:f>
        <x:v>1</x:v>
      </x:c>
      <x:c r="F588" s="27" t="n">
        <x:v>1</x:v>
      </x:c>
      <x:c r="G588" s="29" t="str">
        <x:f>IF(E588=F588,"PASS","FAIL")</x:f>
        <x:v>PASS</x:v>
      </x:c>
    </x:row>
    <x:row r="589" ht="18" customHeight="1">
      <x:c r="B589" s="27" t="str">
        <x:v>A0583</x:v>
      </x:c>
      <x:c r="C589" s="27" t="str">
        <x:v>allocation</x:v>
      </x:c>
      <x:c r="D589" s="27" t="str">
        <x:v>Allocation J65 nonnegative</x:v>
      </x:c>
      <x:c r="E589" s="27" t="n">
        <x:f>IF('Allocation Build'!J65&gt;=0,1,0)</x:f>
        <x:v>1</x:v>
      </x:c>
      <x:c r="F589" s="27" t="n">
        <x:v>1</x:v>
      </x:c>
      <x:c r="G589" s="29" t="str">
        <x:f>IF(E589=F589,"PASS","FAIL")</x:f>
        <x:v>PASS</x:v>
      </x:c>
    </x:row>
    <x:row r="590" ht="18" customHeight="1">
      <x:c r="B590" s="27" t="str">
        <x:v>A0584</x:v>
      </x:c>
      <x:c r="C590" s="27" t="str">
        <x:v>allocation</x:v>
      </x:c>
      <x:c r="D590" s="27" t="str">
        <x:v>Allocation K65 nonnegative</x:v>
      </x:c>
      <x:c r="E590" s="27" t="n">
        <x:f>IF('Allocation Build'!K65&gt;=0,1,0)</x:f>
        <x:v>1</x:v>
      </x:c>
      <x:c r="F590" s="27" t="n">
        <x:v>1</x:v>
      </x:c>
      <x:c r="G590" s="29" t="str">
        <x:f>IF(E590=F590,"PASS","FAIL")</x:f>
        <x:v>PASS</x:v>
      </x:c>
    </x:row>
    <x:row r="591" ht="18" customHeight="1">
      <x:c r="B591" s="27" t="str">
        <x:v>A0585</x:v>
      </x:c>
      <x:c r="C591" s="27" t="str">
        <x:v>allocation</x:v>
      </x:c>
      <x:c r="D591" s="27" t="str">
        <x:v>Allocation L65 nonnegative</x:v>
      </x:c>
      <x:c r="E591" s="27" t="n">
        <x:f>IF('Allocation Build'!L65&gt;=0,1,0)</x:f>
        <x:v>1</x:v>
      </x:c>
      <x:c r="F591" s="27" t="n">
        <x:v>1</x:v>
      </x:c>
      <x:c r="G591" s="29" t="str">
        <x:f>IF(E591=F591,"PASS","FAIL")</x:f>
        <x:v>PASS</x:v>
      </x:c>
    </x:row>
    <x:row r="592" ht="18" customHeight="1">
      <x:c r="B592" s="27" t="str">
        <x:v>A0586</x:v>
      </x:c>
      <x:c r="C592" s="27" t="str">
        <x:v>allocation</x:v>
      </x:c>
      <x:c r="D592" s="27" t="str">
        <x:v>Allocation row 65 state open</x:v>
      </x:c>
      <x:c r="E592" s="27" t="n">
        <x:f>IF('Allocation Build'!N65="OPEN",1,0)</x:f>
        <x:v>1</x:v>
      </x:c>
      <x:c r="F592" s="27" t="n">
        <x:v>1</x:v>
      </x:c>
      <x:c r="G592" s="29" t="str">
        <x:f>IF(E592=F592,"PASS","FAIL")</x:f>
        <x:v>PASS</x:v>
      </x:c>
    </x:row>
    <x:row r="593" ht="18" customHeight="1">
      <x:c r="B593" s="27" t="str">
        <x:v>A0587</x:v>
      </x:c>
      <x:c r="C593" s="27" t="str">
        <x:v>allocation</x:v>
      </x:c>
      <x:c r="D593" s="27" t="str">
        <x:v>Allocation E66 nonnegative</x:v>
      </x:c>
      <x:c r="E593" s="27" t="n">
        <x:f>IF('Allocation Build'!E66&gt;=0,1,0)</x:f>
        <x:v>1</x:v>
      </x:c>
      <x:c r="F593" s="27" t="n">
        <x:v>1</x:v>
      </x:c>
      <x:c r="G593" s="29" t="str">
        <x:f>IF(E593=F593,"PASS","FAIL")</x:f>
        <x:v>PASS</x:v>
      </x:c>
    </x:row>
    <x:row r="594" ht="18" customHeight="1">
      <x:c r="B594" s="27" t="str">
        <x:v>A0588</x:v>
      </x:c>
      <x:c r="C594" s="27" t="str">
        <x:v>allocation</x:v>
      </x:c>
      <x:c r="D594" s="27" t="str">
        <x:v>Allocation F66 nonnegative</x:v>
      </x:c>
      <x:c r="E594" s="27" t="n">
        <x:f>IF('Allocation Build'!F66&gt;=0,1,0)</x:f>
        <x:v>1</x:v>
      </x:c>
      <x:c r="F594" s="27" t="n">
        <x:v>1</x:v>
      </x:c>
      <x:c r="G594" s="29" t="str">
        <x:f>IF(E594=F594,"PASS","FAIL")</x:f>
        <x:v>PASS</x:v>
      </x:c>
    </x:row>
    <x:row r="595" ht="18" customHeight="1">
      <x:c r="B595" s="27" t="str">
        <x:v>A0589</x:v>
      </x:c>
      <x:c r="C595" s="27" t="str">
        <x:v>allocation</x:v>
      </x:c>
      <x:c r="D595" s="27" t="str">
        <x:v>Allocation G66 nonnegative</x:v>
      </x:c>
      <x:c r="E595" s="27" t="n">
        <x:f>IF('Allocation Build'!G66&gt;=0,1,0)</x:f>
        <x:v>1</x:v>
      </x:c>
      <x:c r="F595" s="27" t="n">
        <x:v>1</x:v>
      </x:c>
      <x:c r="G595" s="29" t="str">
        <x:f>IF(E595=F595,"PASS","FAIL")</x:f>
        <x:v>PASS</x:v>
      </x:c>
    </x:row>
    <x:row r="596" ht="18" customHeight="1">
      <x:c r="B596" s="27" t="str">
        <x:v>A0590</x:v>
      </x:c>
      <x:c r="C596" s="27" t="str">
        <x:v>allocation</x:v>
      </x:c>
      <x:c r="D596" s="27" t="str">
        <x:v>Allocation H66 nonnegative</x:v>
      </x:c>
      <x:c r="E596" s="27" t="n">
        <x:f>IF('Allocation Build'!H66&gt;=0,1,0)</x:f>
        <x:v>1</x:v>
      </x:c>
      <x:c r="F596" s="27" t="n">
        <x:v>1</x:v>
      </x:c>
      <x:c r="G596" s="29" t="str">
        <x:f>IF(E596=F596,"PASS","FAIL")</x:f>
        <x:v>PASS</x:v>
      </x:c>
    </x:row>
    <x:row r="597" ht="18" customHeight="1">
      <x:c r="B597" s="27" t="str">
        <x:v>A0591</x:v>
      </x:c>
      <x:c r="C597" s="27" t="str">
        <x:v>allocation</x:v>
      </x:c>
      <x:c r="D597" s="27" t="str">
        <x:v>Allocation I66 nonnegative</x:v>
      </x:c>
      <x:c r="E597" s="27" t="n">
        <x:f>IF('Allocation Build'!I66&gt;=0,1,0)</x:f>
        <x:v>1</x:v>
      </x:c>
      <x:c r="F597" s="27" t="n">
        <x:v>1</x:v>
      </x:c>
      <x:c r="G597" s="29" t="str">
        <x:f>IF(E597=F597,"PASS","FAIL")</x:f>
        <x:v>PASS</x:v>
      </x:c>
    </x:row>
    <x:row r="598" ht="18" customHeight="1">
      <x:c r="B598" s="27" t="str">
        <x:v>A0592</x:v>
      </x:c>
      <x:c r="C598" s="27" t="str">
        <x:v>allocation</x:v>
      </x:c>
      <x:c r="D598" s="27" t="str">
        <x:v>Allocation J66 nonnegative</x:v>
      </x:c>
      <x:c r="E598" s="27" t="n">
        <x:f>IF('Allocation Build'!J66&gt;=0,1,0)</x:f>
        <x:v>1</x:v>
      </x:c>
      <x:c r="F598" s="27" t="n">
        <x:v>1</x:v>
      </x:c>
      <x:c r="G598" s="29" t="str">
        <x:f>IF(E598=F598,"PASS","FAIL")</x:f>
        <x:v>PASS</x:v>
      </x:c>
    </x:row>
    <x:row r="599" ht="18" customHeight="1">
      <x:c r="B599" s="27" t="str">
        <x:v>A0593</x:v>
      </x:c>
      <x:c r="C599" s="27" t="str">
        <x:v>allocation</x:v>
      </x:c>
      <x:c r="D599" s="27" t="str">
        <x:v>Allocation K66 nonnegative</x:v>
      </x:c>
      <x:c r="E599" s="27" t="n">
        <x:f>IF('Allocation Build'!K66&gt;=0,1,0)</x:f>
        <x:v>1</x:v>
      </x:c>
      <x:c r="F599" s="27" t="n">
        <x:v>1</x:v>
      </x:c>
      <x:c r="G599" s="29" t="str">
        <x:f>IF(E599=F599,"PASS","FAIL")</x:f>
        <x:v>PASS</x:v>
      </x:c>
    </x:row>
    <x:row r="600" ht="18" customHeight="1">
      <x:c r="B600" s="27" t="str">
        <x:v>A0594</x:v>
      </x:c>
      <x:c r="C600" s="27" t="str">
        <x:v>allocation</x:v>
      </x:c>
      <x:c r="D600" s="27" t="str">
        <x:v>Allocation L66 nonnegative</x:v>
      </x:c>
      <x:c r="E600" s="27" t="n">
        <x:f>IF('Allocation Build'!L66&gt;=0,1,0)</x:f>
        <x:v>1</x:v>
      </x:c>
      <x:c r="F600" s="27" t="n">
        <x:v>1</x:v>
      </x:c>
      <x:c r="G600" s="29" t="str">
        <x:f>IF(E600=F600,"PASS","FAIL")</x:f>
        <x:v>PASS</x:v>
      </x:c>
    </x:row>
    <x:row r="601" ht="18" customHeight="1">
      <x:c r="B601" s="27" t="str">
        <x:v>A0595</x:v>
      </x:c>
      <x:c r="C601" s="27" t="str">
        <x:v>allocation</x:v>
      </x:c>
      <x:c r="D601" s="27" t="str">
        <x:v>Allocation row 66 state open</x:v>
      </x:c>
      <x:c r="E601" s="27" t="n">
        <x:f>IF('Allocation Build'!N66="OPEN",1,0)</x:f>
        <x:v>1</x:v>
      </x:c>
      <x:c r="F601" s="27" t="n">
        <x:v>1</x:v>
      </x:c>
      <x:c r="G601" s="29" t="str">
        <x:f>IF(E601=F601,"PASS","FAIL")</x:f>
        <x:v>PASS</x:v>
      </x:c>
    </x:row>
    <x:row r="602" ht="18" customHeight="1">
      <x:c r="B602" s="27" t="str">
        <x:v>A0596</x:v>
      </x:c>
      <x:c r="C602" s="27" t="str">
        <x:v>allocation</x:v>
      </x:c>
      <x:c r="D602" s="27" t="str">
        <x:v>Allocation E67 nonnegative</x:v>
      </x:c>
      <x:c r="E602" s="27" t="n">
        <x:f>IF('Allocation Build'!E67&gt;=0,1,0)</x:f>
        <x:v>1</x:v>
      </x:c>
      <x:c r="F602" s="27" t="n">
        <x:v>1</x:v>
      </x:c>
      <x:c r="G602" s="29" t="str">
        <x:f>IF(E602=F602,"PASS","FAIL")</x:f>
        <x:v>PASS</x:v>
      </x:c>
    </x:row>
    <x:row r="603" ht="18" customHeight="1">
      <x:c r="B603" s="27" t="str">
        <x:v>A0597</x:v>
      </x:c>
      <x:c r="C603" s="27" t="str">
        <x:v>allocation</x:v>
      </x:c>
      <x:c r="D603" s="27" t="str">
        <x:v>Allocation F67 nonnegative</x:v>
      </x:c>
      <x:c r="E603" s="27" t="n">
        <x:f>IF('Allocation Build'!F67&gt;=0,1,0)</x:f>
        <x:v>1</x:v>
      </x:c>
      <x:c r="F603" s="27" t="n">
        <x:v>1</x:v>
      </x:c>
      <x:c r="G603" s="29" t="str">
        <x:f>IF(E603=F603,"PASS","FAIL")</x:f>
        <x:v>PASS</x:v>
      </x:c>
    </x:row>
    <x:row r="604" ht="18" customHeight="1">
      <x:c r="B604" s="27" t="str">
        <x:v>A0598</x:v>
      </x:c>
      <x:c r="C604" s="27" t="str">
        <x:v>allocation</x:v>
      </x:c>
      <x:c r="D604" s="27" t="str">
        <x:v>Allocation G67 nonnegative</x:v>
      </x:c>
      <x:c r="E604" s="27" t="n">
        <x:f>IF('Allocation Build'!G67&gt;=0,1,0)</x:f>
        <x:v>1</x:v>
      </x:c>
      <x:c r="F604" s="27" t="n">
        <x:v>1</x:v>
      </x:c>
      <x:c r="G604" s="29" t="str">
        <x:f>IF(E604=F604,"PASS","FAIL")</x:f>
        <x:v>PASS</x:v>
      </x:c>
    </x:row>
    <x:row r="605" ht="18" customHeight="1">
      <x:c r="B605" s="27" t="str">
        <x:v>A0599</x:v>
      </x:c>
      <x:c r="C605" s="27" t="str">
        <x:v>allocation</x:v>
      </x:c>
      <x:c r="D605" s="27" t="str">
        <x:v>Allocation H67 nonnegative</x:v>
      </x:c>
      <x:c r="E605" s="27" t="n">
        <x:f>IF('Allocation Build'!H67&gt;=0,1,0)</x:f>
        <x:v>1</x:v>
      </x:c>
      <x:c r="F605" s="27" t="n">
        <x:v>1</x:v>
      </x:c>
      <x:c r="G605" s="29" t="str">
        <x:f>IF(E605=F605,"PASS","FAIL")</x:f>
        <x:v>PASS</x:v>
      </x:c>
    </x:row>
    <x:row r="606" ht="18" customHeight="1">
      <x:c r="B606" s="27" t="str">
        <x:v>A0600</x:v>
      </x:c>
      <x:c r="C606" s="27" t="str">
        <x:v>allocation</x:v>
      </x:c>
      <x:c r="D606" s="27" t="str">
        <x:v>Allocation I67 nonnegative</x:v>
      </x:c>
      <x:c r="E606" s="27" t="n">
        <x:f>IF('Allocation Build'!I67&gt;=0,1,0)</x:f>
        <x:v>1</x:v>
      </x:c>
      <x:c r="F606" s="27" t="n">
        <x:v>1</x:v>
      </x:c>
      <x:c r="G606" s="29" t="str">
        <x:f>IF(E606=F606,"PASS","FAIL")</x:f>
        <x:v>PASS</x:v>
      </x:c>
    </x:row>
    <x:row r="607" ht="18" customHeight="1">
      <x:c r="B607" s="27" t="str">
        <x:v>A0601</x:v>
      </x:c>
      <x:c r="C607" s="27" t="str">
        <x:v>allocation</x:v>
      </x:c>
      <x:c r="D607" s="27" t="str">
        <x:v>Allocation J67 nonnegative</x:v>
      </x:c>
      <x:c r="E607" s="27" t="n">
        <x:f>IF('Allocation Build'!J67&gt;=0,1,0)</x:f>
        <x:v>1</x:v>
      </x:c>
      <x:c r="F607" s="27" t="n">
        <x:v>1</x:v>
      </x:c>
      <x:c r="G607" s="29" t="str">
        <x:f>IF(E607=F607,"PASS","FAIL")</x:f>
        <x:v>PASS</x:v>
      </x:c>
    </x:row>
    <x:row r="608" ht="18" customHeight="1">
      <x:c r="B608" s="27" t="str">
        <x:v>A0602</x:v>
      </x:c>
      <x:c r="C608" s="27" t="str">
        <x:v>allocation</x:v>
      </x:c>
      <x:c r="D608" s="27" t="str">
        <x:v>Allocation K67 nonnegative</x:v>
      </x:c>
      <x:c r="E608" s="27" t="n">
        <x:f>IF('Allocation Build'!K67&gt;=0,1,0)</x:f>
        <x:v>1</x:v>
      </x:c>
      <x:c r="F608" s="27" t="n">
        <x:v>1</x:v>
      </x:c>
      <x:c r="G608" s="29" t="str">
        <x:f>IF(E608=F608,"PASS","FAIL")</x:f>
        <x:v>PASS</x:v>
      </x:c>
    </x:row>
    <x:row r="609" ht="18" customHeight="1">
      <x:c r="B609" s="27" t="str">
        <x:v>A0603</x:v>
      </x:c>
      <x:c r="C609" s="27" t="str">
        <x:v>allocation</x:v>
      </x:c>
      <x:c r="D609" s="27" t="str">
        <x:v>Allocation L67 nonnegative</x:v>
      </x:c>
      <x:c r="E609" s="27" t="n">
        <x:f>IF('Allocation Build'!L67&gt;=0,1,0)</x:f>
        <x:v>1</x:v>
      </x:c>
      <x:c r="F609" s="27" t="n">
        <x:v>1</x:v>
      </x:c>
      <x:c r="G609" s="29" t="str">
        <x:f>IF(E609=F609,"PASS","FAIL")</x:f>
        <x:v>PASS</x:v>
      </x:c>
    </x:row>
    <x:row r="610" ht="18" customHeight="1">
      <x:c r="B610" s="27" t="str">
        <x:v>A0604</x:v>
      </x:c>
      <x:c r="C610" s="27" t="str">
        <x:v>allocation</x:v>
      </x:c>
      <x:c r="D610" s="27" t="str">
        <x:v>Allocation row 67 state open</x:v>
      </x:c>
      <x:c r="E610" s="27" t="n">
        <x:f>IF('Allocation Build'!N67="OPEN",1,0)</x:f>
        <x:v>1</x:v>
      </x:c>
      <x:c r="F610" s="27" t="n">
        <x:v>1</x:v>
      </x:c>
      <x:c r="G610" s="29" t="str">
        <x:f>IF(E610=F610,"PASS","FAIL")</x:f>
        <x:v>PASS</x:v>
      </x:c>
    </x:row>
    <x:row r="611" ht="18" customHeight="1">
      <x:c r="B611" s="27" t="str">
        <x:v>A0605</x:v>
      </x:c>
      <x:c r="C611" s="27" t="str">
        <x:v>allocation</x:v>
      </x:c>
      <x:c r="D611" s="27" t="str">
        <x:v>Allocation E68 nonnegative</x:v>
      </x:c>
      <x:c r="E611" s="27" t="n">
        <x:f>IF('Allocation Build'!E68&gt;=0,1,0)</x:f>
        <x:v>1</x:v>
      </x:c>
      <x:c r="F611" s="27" t="n">
        <x:v>1</x:v>
      </x:c>
      <x:c r="G611" s="29" t="str">
        <x:f>IF(E611=F611,"PASS","FAIL")</x:f>
        <x:v>PASS</x:v>
      </x:c>
    </x:row>
    <x:row r="612" ht="18" customHeight="1">
      <x:c r="B612" s="27" t="str">
        <x:v>A0606</x:v>
      </x:c>
      <x:c r="C612" s="27" t="str">
        <x:v>allocation</x:v>
      </x:c>
      <x:c r="D612" s="27" t="str">
        <x:v>Allocation F68 nonnegative</x:v>
      </x:c>
      <x:c r="E612" s="27" t="n">
        <x:f>IF('Allocation Build'!F68&gt;=0,1,0)</x:f>
        <x:v>1</x:v>
      </x:c>
      <x:c r="F612" s="27" t="n">
        <x:v>1</x:v>
      </x:c>
      <x:c r="G612" s="29" t="str">
        <x:f>IF(E612=F612,"PASS","FAIL")</x:f>
        <x:v>PASS</x:v>
      </x:c>
    </x:row>
    <x:row r="613" ht="18" customHeight="1">
      <x:c r="B613" s="27" t="str">
        <x:v>A0607</x:v>
      </x:c>
      <x:c r="C613" s="27" t="str">
        <x:v>allocation</x:v>
      </x:c>
      <x:c r="D613" s="27" t="str">
        <x:v>Allocation G68 nonnegative</x:v>
      </x:c>
      <x:c r="E613" s="27" t="n">
        <x:f>IF('Allocation Build'!G68&gt;=0,1,0)</x:f>
        <x:v>1</x:v>
      </x:c>
      <x:c r="F613" s="27" t="n">
        <x:v>1</x:v>
      </x:c>
      <x:c r="G613" s="29" t="str">
        <x:f>IF(E613=F613,"PASS","FAIL")</x:f>
        <x:v>PASS</x:v>
      </x:c>
    </x:row>
    <x:row r="614" ht="18" customHeight="1">
      <x:c r="B614" s="27" t="str">
        <x:v>A0608</x:v>
      </x:c>
      <x:c r="C614" s="27" t="str">
        <x:v>allocation</x:v>
      </x:c>
      <x:c r="D614" s="27" t="str">
        <x:v>Allocation H68 nonnegative</x:v>
      </x:c>
      <x:c r="E614" s="27" t="n">
        <x:f>IF('Allocation Build'!H68&gt;=0,1,0)</x:f>
        <x:v>1</x:v>
      </x:c>
      <x:c r="F614" s="27" t="n">
        <x:v>1</x:v>
      </x:c>
      <x:c r="G614" s="29" t="str">
        <x:f>IF(E614=F614,"PASS","FAIL")</x:f>
        <x:v>PASS</x:v>
      </x:c>
    </x:row>
    <x:row r="615" ht="18" customHeight="1">
      <x:c r="B615" s="27" t="str">
        <x:v>A0609</x:v>
      </x:c>
      <x:c r="C615" s="27" t="str">
        <x:v>allocation</x:v>
      </x:c>
      <x:c r="D615" s="27" t="str">
        <x:v>Allocation I68 nonnegative</x:v>
      </x:c>
      <x:c r="E615" s="27" t="n">
        <x:f>IF('Allocation Build'!I68&gt;=0,1,0)</x:f>
        <x:v>1</x:v>
      </x:c>
      <x:c r="F615" s="27" t="n">
        <x:v>1</x:v>
      </x:c>
      <x:c r="G615" s="29" t="str">
        <x:f>IF(E615=F615,"PASS","FAIL")</x:f>
        <x:v>PASS</x:v>
      </x:c>
    </x:row>
    <x:row r="616" ht="18" customHeight="1">
      <x:c r="B616" s="27" t="str">
        <x:v>A0610</x:v>
      </x:c>
      <x:c r="C616" s="27" t="str">
        <x:v>allocation</x:v>
      </x:c>
      <x:c r="D616" s="27" t="str">
        <x:v>Allocation J68 nonnegative</x:v>
      </x:c>
      <x:c r="E616" s="27" t="n">
        <x:f>IF('Allocation Build'!J68&gt;=0,1,0)</x:f>
        <x:v>1</x:v>
      </x:c>
      <x:c r="F616" s="27" t="n">
        <x:v>1</x:v>
      </x:c>
      <x:c r="G616" s="29" t="str">
        <x:f>IF(E616=F616,"PASS","FAIL")</x:f>
        <x:v>PASS</x:v>
      </x:c>
    </x:row>
    <x:row r="617" ht="18" customHeight="1">
      <x:c r="B617" s="27" t="str">
        <x:v>A0611</x:v>
      </x:c>
      <x:c r="C617" s="27" t="str">
        <x:v>allocation</x:v>
      </x:c>
      <x:c r="D617" s="27" t="str">
        <x:v>Allocation K68 nonnegative</x:v>
      </x:c>
      <x:c r="E617" s="27" t="n">
        <x:f>IF('Allocation Build'!K68&gt;=0,1,0)</x:f>
        <x:v>1</x:v>
      </x:c>
      <x:c r="F617" s="27" t="n">
        <x:v>1</x:v>
      </x:c>
      <x:c r="G617" s="29" t="str">
        <x:f>IF(E617=F617,"PASS","FAIL")</x:f>
        <x:v>PASS</x:v>
      </x:c>
    </x:row>
    <x:row r="618" ht="18" customHeight="1">
      <x:c r="B618" s="27" t="str">
        <x:v>A0612</x:v>
      </x:c>
      <x:c r="C618" s="27" t="str">
        <x:v>allocation</x:v>
      </x:c>
      <x:c r="D618" s="27" t="str">
        <x:v>Allocation L68 nonnegative</x:v>
      </x:c>
      <x:c r="E618" s="27" t="n">
        <x:f>IF('Allocation Build'!L68&gt;=0,1,0)</x:f>
        <x:v>1</x:v>
      </x:c>
      <x:c r="F618" s="27" t="n">
        <x:v>1</x:v>
      </x:c>
      <x:c r="G618" s="29" t="str">
        <x:f>IF(E618=F618,"PASS","FAIL")</x:f>
        <x:v>PASS</x:v>
      </x:c>
    </x:row>
    <x:row r="619" ht="18" customHeight="1">
      <x:c r="B619" s="27" t="str">
        <x:v>A0613</x:v>
      </x:c>
      <x:c r="C619" s="27" t="str">
        <x:v>allocation</x:v>
      </x:c>
      <x:c r="D619" s="27" t="str">
        <x:v>Allocation row 68 state open</x:v>
      </x:c>
      <x:c r="E619" s="27" t="n">
        <x:f>IF('Allocation Build'!N68="OPEN",1,0)</x:f>
        <x:v>1</x:v>
      </x:c>
      <x:c r="F619" s="27" t="n">
        <x:v>1</x:v>
      </x:c>
      <x:c r="G619" s="29" t="str">
        <x:f>IF(E619=F619,"PASS","FAIL")</x:f>
        <x:v>PASS</x:v>
      </x:c>
    </x:row>
    <x:row r="620" ht="18" customHeight="1">
      <x:c r="B620" s="27" t="str">
        <x:v>A0614</x:v>
      </x:c>
      <x:c r="C620" s="27" t="str">
        <x:v>allocation</x:v>
      </x:c>
      <x:c r="D620" s="27" t="str">
        <x:v>Allocation E69 nonnegative</x:v>
      </x:c>
      <x:c r="E620" s="27" t="n">
        <x:f>IF('Allocation Build'!E69&gt;=0,1,0)</x:f>
        <x:v>1</x:v>
      </x:c>
      <x:c r="F620" s="27" t="n">
        <x:v>1</x:v>
      </x:c>
      <x:c r="G620" s="29" t="str">
        <x:f>IF(E620=F620,"PASS","FAIL")</x:f>
        <x:v>PASS</x:v>
      </x:c>
    </x:row>
    <x:row r="621" ht="18" customHeight="1">
      <x:c r="B621" s="27" t="str">
        <x:v>A0615</x:v>
      </x:c>
      <x:c r="C621" s="27" t="str">
        <x:v>allocation</x:v>
      </x:c>
      <x:c r="D621" s="27" t="str">
        <x:v>Allocation F69 nonnegative</x:v>
      </x:c>
      <x:c r="E621" s="27" t="n">
        <x:f>IF('Allocation Build'!F69&gt;=0,1,0)</x:f>
        <x:v>1</x:v>
      </x:c>
      <x:c r="F621" s="27" t="n">
        <x:v>1</x:v>
      </x:c>
      <x:c r="G621" s="29" t="str">
        <x:f>IF(E621=F621,"PASS","FAIL")</x:f>
        <x:v>PASS</x:v>
      </x:c>
    </x:row>
    <x:row r="622" ht="18" customHeight="1">
      <x:c r="B622" s="27" t="str">
        <x:v>A0616</x:v>
      </x:c>
      <x:c r="C622" s="27" t="str">
        <x:v>allocation</x:v>
      </x:c>
      <x:c r="D622" s="27" t="str">
        <x:v>Allocation G69 nonnegative</x:v>
      </x:c>
      <x:c r="E622" s="27" t="n">
        <x:f>IF('Allocation Build'!G69&gt;=0,1,0)</x:f>
        <x:v>1</x:v>
      </x:c>
      <x:c r="F622" s="27" t="n">
        <x:v>1</x:v>
      </x:c>
      <x:c r="G622" s="29" t="str">
        <x:f>IF(E622=F622,"PASS","FAIL")</x:f>
        <x:v>PASS</x:v>
      </x:c>
    </x:row>
    <x:row r="623" ht="18" customHeight="1">
      <x:c r="B623" s="27" t="str">
        <x:v>A0617</x:v>
      </x:c>
      <x:c r="C623" s="27" t="str">
        <x:v>allocation</x:v>
      </x:c>
      <x:c r="D623" s="27" t="str">
        <x:v>Allocation H69 nonnegative</x:v>
      </x:c>
      <x:c r="E623" s="27" t="n">
        <x:f>IF('Allocation Build'!H69&gt;=0,1,0)</x:f>
        <x:v>1</x:v>
      </x:c>
      <x:c r="F623" s="27" t="n">
        <x:v>1</x:v>
      </x:c>
      <x:c r="G623" s="29" t="str">
        <x:f>IF(E623=F623,"PASS","FAIL")</x:f>
        <x:v>PASS</x:v>
      </x:c>
    </x:row>
    <x:row r="624" ht="18" customHeight="1">
      <x:c r="B624" s="27" t="str">
        <x:v>A0618</x:v>
      </x:c>
      <x:c r="C624" s="27" t="str">
        <x:v>allocation</x:v>
      </x:c>
      <x:c r="D624" s="27" t="str">
        <x:v>Allocation I69 nonnegative</x:v>
      </x:c>
      <x:c r="E624" s="27" t="n">
        <x:f>IF('Allocation Build'!I69&gt;=0,1,0)</x:f>
        <x:v>1</x:v>
      </x:c>
      <x:c r="F624" s="27" t="n">
        <x:v>1</x:v>
      </x:c>
      <x:c r="G624" s="29" t="str">
        <x:f>IF(E624=F624,"PASS","FAIL")</x:f>
        <x:v>PASS</x:v>
      </x:c>
    </x:row>
    <x:row r="625" ht="18" customHeight="1">
      <x:c r="B625" s="27" t="str">
        <x:v>A0619</x:v>
      </x:c>
      <x:c r="C625" s="27" t="str">
        <x:v>allocation</x:v>
      </x:c>
      <x:c r="D625" s="27" t="str">
        <x:v>Allocation J69 nonnegative</x:v>
      </x:c>
      <x:c r="E625" s="27" t="n">
        <x:f>IF('Allocation Build'!J69&gt;=0,1,0)</x:f>
        <x:v>1</x:v>
      </x:c>
      <x:c r="F625" s="27" t="n">
        <x:v>1</x:v>
      </x:c>
      <x:c r="G625" s="29" t="str">
        <x:f>IF(E625=F625,"PASS","FAIL")</x:f>
        <x:v>PASS</x:v>
      </x:c>
    </x:row>
    <x:row r="626" ht="18" customHeight="1">
      <x:c r="B626" s="27" t="str">
        <x:v>A0620</x:v>
      </x:c>
      <x:c r="C626" s="27" t="str">
        <x:v>allocation</x:v>
      </x:c>
      <x:c r="D626" s="27" t="str">
        <x:v>Allocation K69 nonnegative</x:v>
      </x:c>
      <x:c r="E626" s="27" t="n">
        <x:f>IF('Allocation Build'!K69&gt;=0,1,0)</x:f>
        <x:v>1</x:v>
      </x:c>
      <x:c r="F626" s="27" t="n">
        <x:v>1</x:v>
      </x:c>
      <x:c r="G626" s="29" t="str">
        <x:f>IF(E626=F626,"PASS","FAIL")</x:f>
        <x:v>PASS</x:v>
      </x:c>
    </x:row>
    <x:row r="627" ht="18" customHeight="1">
      <x:c r="B627" s="27" t="str">
        <x:v>A0621</x:v>
      </x:c>
      <x:c r="C627" s="27" t="str">
        <x:v>allocation</x:v>
      </x:c>
      <x:c r="D627" s="27" t="str">
        <x:v>Allocation L69 nonnegative</x:v>
      </x:c>
      <x:c r="E627" s="27" t="n">
        <x:f>IF('Allocation Build'!L69&gt;=0,1,0)</x:f>
        <x:v>1</x:v>
      </x:c>
      <x:c r="F627" s="27" t="n">
        <x:v>1</x:v>
      </x:c>
      <x:c r="G627" s="29" t="str">
        <x:f>IF(E627=F627,"PASS","FAIL")</x:f>
        <x:v>PASS</x:v>
      </x:c>
    </x:row>
    <x:row r="628" ht="18" customHeight="1">
      <x:c r="B628" s="27" t="str">
        <x:v>A0622</x:v>
      </x:c>
      <x:c r="C628" s="27" t="str">
        <x:v>allocation</x:v>
      </x:c>
      <x:c r="D628" s="27" t="str">
        <x:v>Allocation row 69 state open</x:v>
      </x:c>
      <x:c r="E628" s="27" t="n">
        <x:f>IF('Allocation Build'!N69="OPEN",1,0)</x:f>
        <x:v>1</x:v>
      </x:c>
      <x:c r="F628" s="27" t="n">
        <x:v>1</x:v>
      </x:c>
      <x:c r="G628" s="29" t="str">
        <x:f>IF(E628=F628,"PASS","FAIL")</x:f>
        <x:v>PASS</x:v>
      </x:c>
    </x:row>
    <x:row r="629" ht="18" customHeight="1">
      <x:c r="B629" s="27" t="str">
        <x:v>A0623</x:v>
      </x:c>
      <x:c r="C629" s="27" t="str">
        <x:v>allocation</x:v>
      </x:c>
      <x:c r="D629" s="27" t="str">
        <x:v>Allocation E70 nonnegative</x:v>
      </x:c>
      <x:c r="E629" s="27" t="n">
        <x:f>IF('Allocation Build'!E70&gt;=0,1,0)</x:f>
        <x:v>1</x:v>
      </x:c>
      <x:c r="F629" s="27" t="n">
        <x:v>1</x:v>
      </x:c>
      <x:c r="G629" s="29" t="str">
        <x:f>IF(E629=F629,"PASS","FAIL")</x:f>
        <x:v>PASS</x:v>
      </x:c>
    </x:row>
    <x:row r="630" ht="18" customHeight="1">
      <x:c r="B630" s="27" t="str">
        <x:v>A0624</x:v>
      </x:c>
      <x:c r="C630" s="27" t="str">
        <x:v>allocation</x:v>
      </x:c>
      <x:c r="D630" s="27" t="str">
        <x:v>Allocation F70 nonnegative</x:v>
      </x:c>
      <x:c r="E630" s="27" t="n">
        <x:f>IF('Allocation Build'!F70&gt;=0,1,0)</x:f>
        <x:v>1</x:v>
      </x:c>
      <x:c r="F630" s="27" t="n">
        <x:v>1</x:v>
      </x:c>
      <x:c r="G630" s="29" t="str">
        <x:f>IF(E630=F630,"PASS","FAIL")</x:f>
        <x:v>PASS</x:v>
      </x:c>
    </x:row>
    <x:row r="631" ht="18" customHeight="1">
      <x:c r="B631" s="27" t="str">
        <x:v>A0625</x:v>
      </x:c>
      <x:c r="C631" s="27" t="str">
        <x:v>allocation</x:v>
      </x:c>
      <x:c r="D631" s="27" t="str">
        <x:v>Allocation G70 nonnegative</x:v>
      </x:c>
      <x:c r="E631" s="27" t="n">
        <x:f>IF('Allocation Build'!G70&gt;=0,1,0)</x:f>
        <x:v>1</x:v>
      </x:c>
      <x:c r="F631" s="27" t="n">
        <x:v>1</x:v>
      </x:c>
      <x:c r="G631" s="29" t="str">
        <x:f>IF(E631=F631,"PASS","FAIL")</x:f>
        <x:v>PASS</x:v>
      </x:c>
    </x:row>
    <x:row r="632" ht="18" customHeight="1">
      <x:c r="B632" s="27" t="str">
        <x:v>A0626</x:v>
      </x:c>
      <x:c r="C632" s="27" t="str">
        <x:v>allocation</x:v>
      </x:c>
      <x:c r="D632" s="27" t="str">
        <x:v>Allocation H70 nonnegative</x:v>
      </x:c>
      <x:c r="E632" s="27" t="n">
        <x:f>IF('Allocation Build'!H70&gt;=0,1,0)</x:f>
        <x:v>1</x:v>
      </x:c>
      <x:c r="F632" s="27" t="n">
        <x:v>1</x:v>
      </x:c>
      <x:c r="G632" s="29" t="str">
        <x:f>IF(E632=F632,"PASS","FAIL")</x:f>
        <x:v>PASS</x:v>
      </x:c>
    </x:row>
    <x:row r="633" ht="18" customHeight="1">
      <x:c r="B633" s="27" t="str">
        <x:v>A0627</x:v>
      </x:c>
      <x:c r="C633" s="27" t="str">
        <x:v>allocation</x:v>
      </x:c>
      <x:c r="D633" s="27" t="str">
        <x:v>Allocation I70 nonnegative</x:v>
      </x:c>
      <x:c r="E633" s="27" t="n">
        <x:f>IF('Allocation Build'!I70&gt;=0,1,0)</x:f>
        <x:v>1</x:v>
      </x:c>
      <x:c r="F633" s="27" t="n">
        <x:v>1</x:v>
      </x:c>
      <x:c r="G633" s="29" t="str">
        <x:f>IF(E633=F633,"PASS","FAIL")</x:f>
        <x:v>PASS</x:v>
      </x:c>
    </x:row>
    <x:row r="634" ht="18" customHeight="1">
      <x:c r="B634" s="27" t="str">
        <x:v>A0628</x:v>
      </x:c>
      <x:c r="C634" s="27" t="str">
        <x:v>allocation</x:v>
      </x:c>
      <x:c r="D634" s="27" t="str">
        <x:v>Allocation J70 nonnegative</x:v>
      </x:c>
      <x:c r="E634" s="27" t="n">
        <x:f>IF('Allocation Build'!J70&gt;=0,1,0)</x:f>
        <x:v>1</x:v>
      </x:c>
      <x:c r="F634" s="27" t="n">
        <x:v>1</x:v>
      </x:c>
      <x:c r="G634" s="29" t="str">
        <x:f>IF(E634=F634,"PASS","FAIL")</x:f>
        <x:v>PASS</x:v>
      </x:c>
    </x:row>
    <x:row r="635" ht="18" customHeight="1">
      <x:c r="B635" s="27" t="str">
        <x:v>A0629</x:v>
      </x:c>
      <x:c r="C635" s="27" t="str">
        <x:v>allocation</x:v>
      </x:c>
      <x:c r="D635" s="27" t="str">
        <x:v>Allocation K70 nonnegative</x:v>
      </x:c>
      <x:c r="E635" s="27" t="n">
        <x:f>IF('Allocation Build'!K70&gt;=0,1,0)</x:f>
        <x:v>1</x:v>
      </x:c>
      <x:c r="F635" s="27" t="n">
        <x:v>1</x:v>
      </x:c>
      <x:c r="G635" s="29" t="str">
        <x:f>IF(E635=F635,"PASS","FAIL")</x:f>
        <x:v>PASS</x:v>
      </x:c>
    </x:row>
    <x:row r="636" ht="18" customHeight="1">
      <x:c r="B636" s="27" t="str">
        <x:v>A0630</x:v>
      </x:c>
      <x:c r="C636" s="27" t="str">
        <x:v>allocation</x:v>
      </x:c>
      <x:c r="D636" s="27" t="str">
        <x:v>Allocation L70 nonnegative</x:v>
      </x:c>
      <x:c r="E636" s="27" t="n">
        <x:f>IF('Allocation Build'!L70&gt;=0,1,0)</x:f>
        <x:v>1</x:v>
      </x:c>
      <x:c r="F636" s="27" t="n">
        <x:v>1</x:v>
      </x:c>
      <x:c r="G636" s="29" t="str">
        <x:f>IF(E636=F636,"PASS","FAIL")</x:f>
        <x:v>PASS</x:v>
      </x:c>
    </x:row>
    <x:row r="637" ht="18" customHeight="1">
      <x:c r="B637" s="27" t="str">
        <x:v>A0631</x:v>
      </x:c>
      <x:c r="C637" s="27" t="str">
        <x:v>allocation</x:v>
      </x:c>
      <x:c r="D637" s="27" t="str">
        <x:v>Allocation row 70 state open</x:v>
      </x:c>
      <x:c r="E637" s="27" t="n">
        <x:f>IF('Allocation Build'!N70="OPEN",1,0)</x:f>
        <x:v>1</x:v>
      </x:c>
      <x:c r="F637" s="27" t="n">
        <x:v>1</x:v>
      </x:c>
      <x:c r="G637" s="29" t="str">
        <x:f>IF(E637=F637,"PASS","FAIL")</x:f>
        <x:v>PASS</x:v>
      </x:c>
    </x:row>
    <x:row r="638" ht="18" customHeight="1">
      <x:c r="B638" s="27" t="str">
        <x:v>A0632</x:v>
      </x:c>
      <x:c r="C638" s="27" t="str">
        <x:v>allocation</x:v>
      </x:c>
      <x:c r="D638" s="27" t="str">
        <x:v>Allocation E71 nonnegative</x:v>
      </x:c>
      <x:c r="E638" s="27" t="n">
        <x:f>IF('Allocation Build'!E71&gt;=0,1,0)</x:f>
        <x:v>1</x:v>
      </x:c>
      <x:c r="F638" s="27" t="n">
        <x:v>1</x:v>
      </x:c>
      <x:c r="G638" s="29" t="str">
        <x:f>IF(E638=F638,"PASS","FAIL")</x:f>
        <x:v>PASS</x:v>
      </x:c>
    </x:row>
    <x:row r="639" ht="18" customHeight="1">
      <x:c r="B639" s="27" t="str">
        <x:v>A0633</x:v>
      </x:c>
      <x:c r="C639" s="27" t="str">
        <x:v>allocation</x:v>
      </x:c>
      <x:c r="D639" s="27" t="str">
        <x:v>Allocation F71 nonnegative</x:v>
      </x:c>
      <x:c r="E639" s="27" t="n">
        <x:f>IF('Allocation Build'!F71&gt;=0,1,0)</x:f>
        <x:v>1</x:v>
      </x:c>
      <x:c r="F639" s="27" t="n">
        <x:v>1</x:v>
      </x:c>
      <x:c r="G639" s="29" t="str">
        <x:f>IF(E639=F639,"PASS","FAIL")</x:f>
        <x:v>PASS</x:v>
      </x:c>
    </x:row>
    <x:row r="640" ht="18" customHeight="1">
      <x:c r="B640" s="27" t="str">
        <x:v>A0634</x:v>
      </x:c>
      <x:c r="C640" s="27" t="str">
        <x:v>allocation</x:v>
      </x:c>
      <x:c r="D640" s="27" t="str">
        <x:v>Allocation G71 nonnegative</x:v>
      </x:c>
      <x:c r="E640" s="27" t="n">
        <x:f>IF('Allocation Build'!G71&gt;=0,1,0)</x:f>
        <x:v>1</x:v>
      </x:c>
      <x:c r="F640" s="27" t="n">
        <x:v>1</x:v>
      </x:c>
      <x:c r="G640" s="29" t="str">
        <x:f>IF(E640=F640,"PASS","FAIL")</x:f>
        <x:v>PASS</x:v>
      </x:c>
    </x:row>
    <x:row r="641" ht="18" customHeight="1">
      <x:c r="B641" s="27" t="str">
        <x:v>A0635</x:v>
      </x:c>
      <x:c r="C641" s="27" t="str">
        <x:v>allocation</x:v>
      </x:c>
      <x:c r="D641" s="27" t="str">
        <x:v>Allocation H71 nonnegative</x:v>
      </x:c>
      <x:c r="E641" s="27" t="n">
        <x:f>IF('Allocation Build'!H71&gt;=0,1,0)</x:f>
        <x:v>1</x:v>
      </x:c>
      <x:c r="F641" s="27" t="n">
        <x:v>1</x:v>
      </x:c>
      <x:c r="G641" s="29" t="str">
        <x:f>IF(E641=F641,"PASS","FAIL")</x:f>
        <x:v>PASS</x:v>
      </x:c>
    </x:row>
    <x:row r="642" ht="18" customHeight="1">
      <x:c r="B642" s="27" t="str">
        <x:v>A0636</x:v>
      </x:c>
      <x:c r="C642" s="27" t="str">
        <x:v>allocation</x:v>
      </x:c>
      <x:c r="D642" s="27" t="str">
        <x:v>Allocation I71 nonnegative</x:v>
      </x:c>
      <x:c r="E642" s="27" t="n">
        <x:f>IF('Allocation Build'!I71&gt;=0,1,0)</x:f>
        <x:v>1</x:v>
      </x:c>
      <x:c r="F642" s="27" t="n">
        <x:v>1</x:v>
      </x:c>
      <x:c r="G642" s="29" t="str">
        <x:f>IF(E642=F642,"PASS","FAIL")</x:f>
        <x:v>PASS</x:v>
      </x:c>
    </x:row>
    <x:row r="643" ht="18" customHeight="1">
      <x:c r="B643" s="27" t="str">
        <x:v>A0637</x:v>
      </x:c>
      <x:c r="C643" s="27" t="str">
        <x:v>allocation</x:v>
      </x:c>
      <x:c r="D643" s="27" t="str">
        <x:v>Allocation J71 nonnegative</x:v>
      </x:c>
      <x:c r="E643" s="27" t="n">
        <x:f>IF('Allocation Build'!J71&gt;=0,1,0)</x:f>
        <x:v>1</x:v>
      </x:c>
      <x:c r="F643" s="27" t="n">
        <x:v>1</x:v>
      </x:c>
      <x:c r="G643" s="29" t="str">
        <x:f>IF(E643=F643,"PASS","FAIL")</x:f>
        <x:v>PASS</x:v>
      </x:c>
    </x:row>
    <x:row r="644" ht="18" customHeight="1">
      <x:c r="B644" s="27" t="str">
        <x:v>A0638</x:v>
      </x:c>
      <x:c r="C644" s="27" t="str">
        <x:v>allocation</x:v>
      </x:c>
      <x:c r="D644" s="27" t="str">
        <x:v>Allocation K71 nonnegative</x:v>
      </x:c>
      <x:c r="E644" s="27" t="n">
        <x:f>IF('Allocation Build'!K71&gt;=0,1,0)</x:f>
        <x:v>1</x:v>
      </x:c>
      <x:c r="F644" s="27" t="n">
        <x:v>1</x:v>
      </x:c>
      <x:c r="G644" s="29" t="str">
        <x:f>IF(E644=F644,"PASS","FAIL")</x:f>
        <x:v>PASS</x:v>
      </x:c>
    </x:row>
    <x:row r="645" ht="18" customHeight="1">
      <x:c r="B645" s="27" t="str">
        <x:v>A0639</x:v>
      </x:c>
      <x:c r="C645" s="27" t="str">
        <x:v>allocation</x:v>
      </x:c>
      <x:c r="D645" s="27" t="str">
        <x:v>Allocation L71 nonnegative</x:v>
      </x:c>
      <x:c r="E645" s="27" t="n">
        <x:f>IF('Allocation Build'!L71&gt;=0,1,0)</x:f>
        <x:v>1</x:v>
      </x:c>
      <x:c r="F645" s="27" t="n">
        <x:v>1</x:v>
      </x:c>
      <x:c r="G645" s="29" t="str">
        <x:f>IF(E645=F645,"PASS","FAIL")</x:f>
        <x:v>PASS</x:v>
      </x:c>
    </x:row>
    <x:row r="646" ht="18" customHeight="1">
      <x:c r="B646" s="27" t="str">
        <x:v>A0640</x:v>
      </x:c>
      <x:c r="C646" s="27" t="str">
        <x:v>allocation</x:v>
      </x:c>
      <x:c r="D646" s="27" t="str">
        <x:v>Allocation row 71 state open</x:v>
      </x:c>
      <x:c r="E646" s="27" t="n">
        <x:f>IF('Allocation Build'!N71="OPEN",1,0)</x:f>
        <x:v>1</x:v>
      </x:c>
      <x:c r="F646" s="27" t="n">
        <x:v>1</x:v>
      </x:c>
      <x:c r="G646" s="29" t="str">
        <x:f>IF(E646=F646,"PASS","FAIL")</x:f>
        <x:v>PASS</x:v>
      </x:c>
    </x:row>
    <x:row r="647" ht="18" customHeight="1">
      <x:c r="B647" s="27" t="str">
        <x:v>A0641</x:v>
      </x:c>
      <x:c r="C647" s="27" t="str">
        <x:v>allocation</x:v>
      </x:c>
      <x:c r="D647" s="27" t="str">
        <x:v>Allocation E72 nonnegative</x:v>
      </x:c>
      <x:c r="E647" s="27" t="n">
        <x:f>IF('Allocation Build'!E72&gt;=0,1,0)</x:f>
        <x:v>1</x:v>
      </x:c>
      <x:c r="F647" s="27" t="n">
        <x:v>1</x:v>
      </x:c>
      <x:c r="G647" s="29" t="str">
        <x:f>IF(E647=F647,"PASS","FAIL")</x:f>
        <x:v>PASS</x:v>
      </x:c>
    </x:row>
    <x:row r="648" ht="18" customHeight="1">
      <x:c r="B648" s="27" t="str">
        <x:v>A0642</x:v>
      </x:c>
      <x:c r="C648" s="27" t="str">
        <x:v>allocation</x:v>
      </x:c>
      <x:c r="D648" s="27" t="str">
        <x:v>Allocation F72 nonnegative</x:v>
      </x:c>
      <x:c r="E648" s="27" t="n">
        <x:f>IF('Allocation Build'!F72&gt;=0,1,0)</x:f>
        <x:v>1</x:v>
      </x:c>
      <x:c r="F648" s="27" t="n">
        <x:v>1</x:v>
      </x:c>
      <x:c r="G648" s="29" t="str">
        <x:f>IF(E648=F648,"PASS","FAIL")</x:f>
        <x:v>PASS</x:v>
      </x:c>
    </x:row>
    <x:row r="649" ht="18" customHeight="1">
      <x:c r="B649" s="27" t="str">
        <x:v>A0643</x:v>
      </x:c>
      <x:c r="C649" s="27" t="str">
        <x:v>allocation</x:v>
      </x:c>
      <x:c r="D649" s="27" t="str">
        <x:v>Allocation G72 nonnegative</x:v>
      </x:c>
      <x:c r="E649" s="27" t="n">
        <x:f>IF('Allocation Build'!G72&gt;=0,1,0)</x:f>
        <x:v>1</x:v>
      </x:c>
      <x:c r="F649" s="27" t="n">
        <x:v>1</x:v>
      </x:c>
      <x:c r="G649" s="29" t="str">
        <x:f>IF(E649=F649,"PASS","FAIL")</x:f>
        <x:v>PASS</x:v>
      </x:c>
    </x:row>
    <x:row r="650" ht="18" customHeight="1">
      <x:c r="B650" s="27" t="str">
        <x:v>A0644</x:v>
      </x:c>
      <x:c r="C650" s="27" t="str">
        <x:v>allocation</x:v>
      </x:c>
      <x:c r="D650" s="27" t="str">
        <x:v>Allocation H72 nonnegative</x:v>
      </x:c>
      <x:c r="E650" s="27" t="n">
        <x:f>IF('Allocation Build'!H72&gt;=0,1,0)</x:f>
        <x:v>1</x:v>
      </x:c>
      <x:c r="F650" s="27" t="n">
        <x:v>1</x:v>
      </x:c>
      <x:c r="G650" s="29" t="str">
        <x:f>IF(E650=F650,"PASS","FAIL")</x:f>
        <x:v>PASS</x:v>
      </x:c>
    </x:row>
    <x:row r="651" ht="18" customHeight="1">
      <x:c r="B651" s="27" t="str">
        <x:v>A0645</x:v>
      </x:c>
      <x:c r="C651" s="27" t="str">
        <x:v>allocation</x:v>
      </x:c>
      <x:c r="D651" s="27" t="str">
        <x:v>Allocation I72 nonnegative</x:v>
      </x:c>
      <x:c r="E651" s="27" t="n">
        <x:f>IF('Allocation Build'!I72&gt;=0,1,0)</x:f>
        <x:v>1</x:v>
      </x:c>
      <x:c r="F651" s="27" t="n">
        <x:v>1</x:v>
      </x:c>
      <x:c r="G651" s="29" t="str">
        <x:f>IF(E651=F651,"PASS","FAIL")</x:f>
        <x:v>PASS</x:v>
      </x:c>
    </x:row>
    <x:row r="652" ht="18" customHeight="1">
      <x:c r="B652" s="27" t="str">
        <x:v>A0646</x:v>
      </x:c>
      <x:c r="C652" s="27" t="str">
        <x:v>allocation</x:v>
      </x:c>
      <x:c r="D652" s="27" t="str">
        <x:v>Allocation J72 nonnegative</x:v>
      </x:c>
      <x:c r="E652" s="27" t="n">
        <x:f>IF('Allocation Build'!J72&gt;=0,1,0)</x:f>
        <x:v>1</x:v>
      </x:c>
      <x:c r="F652" s="27" t="n">
        <x:v>1</x:v>
      </x:c>
      <x:c r="G652" s="29" t="str">
        <x:f>IF(E652=F652,"PASS","FAIL")</x:f>
        <x:v>PASS</x:v>
      </x:c>
    </x:row>
    <x:row r="653" ht="18" customHeight="1">
      <x:c r="B653" s="27" t="str">
        <x:v>A0647</x:v>
      </x:c>
      <x:c r="C653" s="27" t="str">
        <x:v>allocation</x:v>
      </x:c>
      <x:c r="D653" s="27" t="str">
        <x:v>Allocation K72 nonnegative</x:v>
      </x:c>
      <x:c r="E653" s="27" t="n">
        <x:f>IF('Allocation Build'!K72&gt;=0,1,0)</x:f>
        <x:v>1</x:v>
      </x:c>
      <x:c r="F653" s="27" t="n">
        <x:v>1</x:v>
      </x:c>
      <x:c r="G653" s="29" t="str">
        <x:f>IF(E653=F653,"PASS","FAIL")</x:f>
        <x:v>PASS</x:v>
      </x:c>
    </x:row>
    <x:row r="654" ht="18" customHeight="1">
      <x:c r="B654" s="27" t="str">
        <x:v>A0648</x:v>
      </x:c>
      <x:c r="C654" s="27" t="str">
        <x:v>allocation</x:v>
      </x:c>
      <x:c r="D654" s="27" t="str">
        <x:v>Allocation L72 nonnegative</x:v>
      </x:c>
      <x:c r="E654" s="27" t="n">
        <x:f>IF('Allocation Build'!L72&gt;=0,1,0)</x:f>
        <x:v>1</x:v>
      </x:c>
      <x:c r="F654" s="27" t="n">
        <x:v>1</x:v>
      </x:c>
      <x:c r="G654" s="29" t="str">
        <x:f>IF(E654=F654,"PASS","FAIL")</x:f>
        <x:v>PASS</x:v>
      </x:c>
    </x:row>
    <x:row r="655" ht="18" customHeight="1">
      <x:c r="B655" s="27" t="str">
        <x:v>A0649</x:v>
      </x:c>
      <x:c r="C655" s="27" t="str">
        <x:v>allocation</x:v>
      </x:c>
      <x:c r="D655" s="27" t="str">
        <x:v>Allocation row 72 state open</x:v>
      </x:c>
      <x:c r="E655" s="27" t="n">
        <x:f>IF('Allocation Build'!N72="OPEN",1,0)</x:f>
        <x:v>1</x:v>
      </x:c>
      <x:c r="F655" s="27" t="n">
        <x:v>1</x:v>
      </x:c>
      <x:c r="G655" s="29" t="str">
        <x:f>IF(E655=F655,"PASS","FAIL")</x:f>
        <x:v>PASS</x:v>
      </x:c>
    </x:row>
    <x:row r="656" ht="18" customHeight="1">
      <x:c r="B656" s="27" t="str">
        <x:v>A0650</x:v>
      </x:c>
      <x:c r="C656" s="27" t="str">
        <x:v>allocation</x:v>
      </x:c>
      <x:c r="D656" s="27" t="str">
        <x:v>Allocation E73 nonnegative</x:v>
      </x:c>
      <x:c r="E656" s="27" t="n">
        <x:f>IF('Allocation Build'!E73&gt;=0,1,0)</x:f>
        <x:v>1</x:v>
      </x:c>
      <x:c r="F656" s="27" t="n">
        <x:v>1</x:v>
      </x:c>
      <x:c r="G656" s="29" t="str">
        <x:f>IF(E656=F656,"PASS","FAIL")</x:f>
        <x:v>PASS</x:v>
      </x:c>
    </x:row>
    <x:row r="657" ht="18" customHeight="1">
      <x:c r="B657" s="27" t="str">
        <x:v>A0651</x:v>
      </x:c>
      <x:c r="C657" s="27" t="str">
        <x:v>allocation</x:v>
      </x:c>
      <x:c r="D657" s="27" t="str">
        <x:v>Allocation F73 nonnegative</x:v>
      </x:c>
      <x:c r="E657" s="27" t="n">
        <x:f>IF('Allocation Build'!F73&gt;=0,1,0)</x:f>
        <x:v>1</x:v>
      </x:c>
      <x:c r="F657" s="27" t="n">
        <x:v>1</x:v>
      </x:c>
      <x:c r="G657" s="29" t="str">
        <x:f>IF(E657=F657,"PASS","FAIL")</x:f>
        <x:v>PASS</x:v>
      </x:c>
    </x:row>
    <x:row r="658" ht="18" customHeight="1">
      <x:c r="B658" s="27" t="str">
        <x:v>A0652</x:v>
      </x:c>
      <x:c r="C658" s="27" t="str">
        <x:v>allocation</x:v>
      </x:c>
      <x:c r="D658" s="27" t="str">
        <x:v>Allocation G73 nonnegative</x:v>
      </x:c>
      <x:c r="E658" s="27" t="n">
        <x:f>IF('Allocation Build'!G73&gt;=0,1,0)</x:f>
        <x:v>1</x:v>
      </x:c>
      <x:c r="F658" s="27" t="n">
        <x:v>1</x:v>
      </x:c>
      <x:c r="G658" s="29" t="str">
        <x:f>IF(E658=F658,"PASS","FAIL")</x:f>
        <x:v>PASS</x:v>
      </x:c>
    </x:row>
    <x:row r="659" ht="18" customHeight="1">
      <x:c r="B659" s="27" t="str">
        <x:v>A0653</x:v>
      </x:c>
      <x:c r="C659" s="27" t="str">
        <x:v>allocation</x:v>
      </x:c>
      <x:c r="D659" s="27" t="str">
        <x:v>Allocation H73 nonnegative</x:v>
      </x:c>
      <x:c r="E659" s="27" t="n">
        <x:f>IF('Allocation Build'!H73&gt;=0,1,0)</x:f>
        <x:v>1</x:v>
      </x:c>
      <x:c r="F659" s="27" t="n">
        <x:v>1</x:v>
      </x:c>
      <x:c r="G659" s="29" t="str">
        <x:f>IF(E659=F659,"PASS","FAIL")</x:f>
        <x:v>PASS</x:v>
      </x:c>
    </x:row>
    <x:row r="660" ht="18" customHeight="1">
      <x:c r="B660" s="27" t="str">
        <x:v>A0654</x:v>
      </x:c>
      <x:c r="C660" s="27" t="str">
        <x:v>allocation</x:v>
      </x:c>
      <x:c r="D660" s="27" t="str">
        <x:v>Allocation I73 nonnegative</x:v>
      </x:c>
      <x:c r="E660" s="27" t="n">
        <x:f>IF('Allocation Build'!I73&gt;=0,1,0)</x:f>
        <x:v>1</x:v>
      </x:c>
      <x:c r="F660" s="27" t="n">
        <x:v>1</x:v>
      </x:c>
      <x:c r="G660" s="29" t="str">
        <x:f>IF(E660=F660,"PASS","FAIL")</x:f>
        <x:v>PASS</x:v>
      </x:c>
    </x:row>
    <x:row r="661" ht="18" customHeight="1">
      <x:c r="B661" s="27" t="str">
        <x:v>A0655</x:v>
      </x:c>
      <x:c r="C661" s="27" t="str">
        <x:v>allocation</x:v>
      </x:c>
      <x:c r="D661" s="27" t="str">
        <x:v>Allocation J73 nonnegative</x:v>
      </x:c>
      <x:c r="E661" s="27" t="n">
        <x:f>IF('Allocation Build'!J73&gt;=0,1,0)</x:f>
        <x:v>1</x:v>
      </x:c>
      <x:c r="F661" s="27" t="n">
        <x:v>1</x:v>
      </x:c>
      <x:c r="G661" s="29" t="str">
        <x:f>IF(E661=F661,"PASS","FAIL")</x:f>
        <x:v>PASS</x:v>
      </x:c>
    </x:row>
    <x:row r="662" ht="18" customHeight="1">
      <x:c r="B662" s="27" t="str">
        <x:v>A0656</x:v>
      </x:c>
      <x:c r="C662" s="27" t="str">
        <x:v>allocation</x:v>
      </x:c>
      <x:c r="D662" s="27" t="str">
        <x:v>Allocation K73 nonnegative</x:v>
      </x:c>
      <x:c r="E662" s="27" t="n">
        <x:f>IF('Allocation Build'!K73&gt;=0,1,0)</x:f>
        <x:v>1</x:v>
      </x:c>
      <x:c r="F662" s="27" t="n">
        <x:v>1</x:v>
      </x:c>
      <x:c r="G662" s="29" t="str">
        <x:f>IF(E662=F662,"PASS","FAIL")</x:f>
        <x:v>PASS</x:v>
      </x:c>
    </x:row>
    <x:row r="663" ht="18" customHeight="1">
      <x:c r="B663" s="27" t="str">
        <x:v>A0657</x:v>
      </x:c>
      <x:c r="C663" s="27" t="str">
        <x:v>allocation</x:v>
      </x:c>
      <x:c r="D663" s="27" t="str">
        <x:v>Allocation L73 nonnegative</x:v>
      </x:c>
      <x:c r="E663" s="27" t="n">
        <x:f>IF('Allocation Build'!L73&gt;=0,1,0)</x:f>
        <x:v>1</x:v>
      </x:c>
      <x:c r="F663" s="27" t="n">
        <x:v>1</x:v>
      </x:c>
      <x:c r="G663" s="29" t="str">
        <x:f>IF(E663=F663,"PASS","FAIL")</x:f>
        <x:v>PASS</x:v>
      </x:c>
    </x:row>
    <x:row r="664" ht="18" customHeight="1">
      <x:c r="B664" s="27" t="str">
        <x:v>A0658</x:v>
      </x:c>
      <x:c r="C664" s="27" t="str">
        <x:v>allocation</x:v>
      </x:c>
      <x:c r="D664" s="27" t="str">
        <x:v>Allocation row 73 state open</x:v>
      </x:c>
      <x:c r="E664" s="27" t="n">
        <x:f>IF('Allocation Build'!N73="OPEN",1,0)</x:f>
        <x:v>1</x:v>
      </x:c>
      <x:c r="F664" s="27" t="n">
        <x:v>1</x:v>
      </x:c>
      <x:c r="G664" s="29" t="str">
        <x:f>IF(E664=F664,"PASS","FAIL")</x:f>
        <x:v>PASS</x:v>
      </x:c>
    </x:row>
    <x:row r="665" ht="18" customHeight="1">
      <x:c r="B665" s="27" t="str">
        <x:v>A0659</x:v>
      </x:c>
      <x:c r="C665" s="27" t="str">
        <x:v>allocation</x:v>
      </x:c>
      <x:c r="D665" s="27" t="str">
        <x:v>Allocation E74 nonnegative</x:v>
      </x:c>
      <x:c r="E665" s="27" t="n">
        <x:f>IF('Allocation Build'!E74&gt;=0,1,0)</x:f>
        <x:v>1</x:v>
      </x:c>
      <x:c r="F665" s="27" t="n">
        <x:v>1</x:v>
      </x:c>
      <x:c r="G665" s="29" t="str">
        <x:f>IF(E665=F665,"PASS","FAIL")</x:f>
        <x:v>PASS</x:v>
      </x:c>
    </x:row>
    <x:row r="666" ht="18" customHeight="1">
      <x:c r="B666" s="27" t="str">
        <x:v>A0660</x:v>
      </x:c>
      <x:c r="C666" s="27" t="str">
        <x:v>allocation</x:v>
      </x:c>
      <x:c r="D666" s="27" t="str">
        <x:v>Allocation F74 nonnegative</x:v>
      </x:c>
      <x:c r="E666" s="27" t="n">
        <x:f>IF('Allocation Build'!F74&gt;=0,1,0)</x:f>
        <x:v>1</x:v>
      </x:c>
      <x:c r="F666" s="27" t="n">
        <x:v>1</x:v>
      </x:c>
      <x:c r="G666" s="29" t="str">
        <x:f>IF(E666=F666,"PASS","FAIL")</x:f>
        <x:v>PASS</x:v>
      </x:c>
    </x:row>
    <x:row r="667" ht="18" customHeight="1">
      <x:c r="B667" s="27" t="str">
        <x:v>A0661</x:v>
      </x:c>
      <x:c r="C667" s="27" t="str">
        <x:v>allocation</x:v>
      </x:c>
      <x:c r="D667" s="27" t="str">
        <x:v>Allocation G74 nonnegative</x:v>
      </x:c>
      <x:c r="E667" s="27" t="n">
        <x:f>IF('Allocation Build'!G74&gt;=0,1,0)</x:f>
        <x:v>1</x:v>
      </x:c>
      <x:c r="F667" s="27" t="n">
        <x:v>1</x:v>
      </x:c>
      <x:c r="G667" s="29" t="str">
        <x:f>IF(E667=F667,"PASS","FAIL")</x:f>
        <x:v>PASS</x:v>
      </x:c>
    </x:row>
    <x:row r="668" ht="18" customHeight="1">
      <x:c r="B668" s="27" t="str">
        <x:v>A0662</x:v>
      </x:c>
      <x:c r="C668" s="27" t="str">
        <x:v>allocation</x:v>
      </x:c>
      <x:c r="D668" s="27" t="str">
        <x:v>Allocation H74 nonnegative</x:v>
      </x:c>
      <x:c r="E668" s="27" t="n">
        <x:f>IF('Allocation Build'!H74&gt;=0,1,0)</x:f>
        <x:v>1</x:v>
      </x:c>
      <x:c r="F668" s="27" t="n">
        <x:v>1</x:v>
      </x:c>
      <x:c r="G668" s="29" t="str">
        <x:f>IF(E668=F668,"PASS","FAIL")</x:f>
        <x:v>PASS</x:v>
      </x:c>
    </x:row>
    <x:row r="669" ht="18" customHeight="1">
      <x:c r="B669" s="27" t="str">
        <x:v>A0663</x:v>
      </x:c>
      <x:c r="C669" s="27" t="str">
        <x:v>allocation</x:v>
      </x:c>
      <x:c r="D669" s="27" t="str">
        <x:v>Allocation I74 nonnegative</x:v>
      </x:c>
      <x:c r="E669" s="27" t="n">
        <x:f>IF('Allocation Build'!I74&gt;=0,1,0)</x:f>
        <x:v>1</x:v>
      </x:c>
      <x:c r="F669" s="27" t="n">
        <x:v>1</x:v>
      </x:c>
      <x:c r="G669" s="29" t="str">
        <x:f>IF(E669=F669,"PASS","FAIL")</x:f>
        <x:v>PASS</x:v>
      </x:c>
    </x:row>
    <x:row r="670" ht="18" customHeight="1">
      <x:c r="B670" s="27" t="str">
        <x:v>A0664</x:v>
      </x:c>
      <x:c r="C670" s="27" t="str">
        <x:v>allocation</x:v>
      </x:c>
      <x:c r="D670" s="27" t="str">
        <x:v>Allocation J74 nonnegative</x:v>
      </x:c>
      <x:c r="E670" s="27" t="n">
        <x:f>IF('Allocation Build'!J74&gt;=0,1,0)</x:f>
        <x:v>1</x:v>
      </x:c>
      <x:c r="F670" s="27" t="n">
        <x:v>1</x:v>
      </x:c>
      <x:c r="G670" s="29" t="str">
        <x:f>IF(E670=F670,"PASS","FAIL")</x:f>
        <x:v>PASS</x:v>
      </x:c>
    </x:row>
    <x:row r="671" ht="18" customHeight="1">
      <x:c r="B671" s="27" t="str">
        <x:v>A0665</x:v>
      </x:c>
      <x:c r="C671" s="27" t="str">
        <x:v>allocation</x:v>
      </x:c>
      <x:c r="D671" s="27" t="str">
        <x:v>Allocation K74 nonnegative</x:v>
      </x:c>
      <x:c r="E671" s="27" t="n">
        <x:f>IF('Allocation Build'!K74&gt;=0,1,0)</x:f>
        <x:v>1</x:v>
      </x:c>
      <x:c r="F671" s="27" t="n">
        <x:v>1</x:v>
      </x:c>
      <x:c r="G671" s="29" t="str">
        <x:f>IF(E671=F671,"PASS","FAIL")</x:f>
        <x:v>PASS</x:v>
      </x:c>
    </x:row>
    <x:row r="672" ht="18" customHeight="1">
      <x:c r="B672" s="27" t="str">
        <x:v>A0666</x:v>
      </x:c>
      <x:c r="C672" s="27" t="str">
        <x:v>allocation</x:v>
      </x:c>
      <x:c r="D672" s="27" t="str">
        <x:v>Allocation L74 nonnegative</x:v>
      </x:c>
      <x:c r="E672" s="27" t="n">
        <x:f>IF('Allocation Build'!L74&gt;=0,1,0)</x:f>
        <x:v>1</x:v>
      </x:c>
      <x:c r="F672" s="27" t="n">
        <x:v>1</x:v>
      </x:c>
      <x:c r="G672" s="29" t="str">
        <x:f>IF(E672=F672,"PASS","FAIL")</x:f>
        <x:v>PASS</x:v>
      </x:c>
    </x:row>
    <x:row r="673" ht="18" customHeight="1">
      <x:c r="B673" s="27" t="str">
        <x:v>A0667</x:v>
      </x:c>
      <x:c r="C673" s="27" t="str">
        <x:v>allocation</x:v>
      </x:c>
      <x:c r="D673" s="27" t="str">
        <x:v>Allocation row 74 state open</x:v>
      </x:c>
      <x:c r="E673" s="27" t="n">
        <x:f>IF('Allocation Build'!N74="OPEN",1,0)</x:f>
        <x:v>1</x:v>
      </x:c>
      <x:c r="F673" s="27" t="n">
        <x:v>1</x:v>
      </x:c>
      <x:c r="G673" s="29" t="str">
        <x:f>IF(E673=F673,"PASS","FAIL")</x:f>
        <x:v>PASS</x:v>
      </x:c>
    </x:row>
    <x:row r="674" ht="18" customHeight="1">
      <x:c r="B674" s="27" t="str">
        <x:v>A0668</x:v>
      </x:c>
      <x:c r="C674" s="27" t="str">
        <x:v>allocation</x:v>
      </x:c>
      <x:c r="D674" s="27" t="str">
        <x:v>Allocation E75 nonnegative</x:v>
      </x:c>
      <x:c r="E674" s="27" t="n">
        <x:f>IF('Allocation Build'!E75&gt;=0,1,0)</x:f>
        <x:v>1</x:v>
      </x:c>
      <x:c r="F674" s="27" t="n">
        <x:v>1</x:v>
      </x:c>
      <x:c r="G674" s="29" t="str">
        <x:f>IF(E674=F674,"PASS","FAIL")</x:f>
        <x:v>PASS</x:v>
      </x:c>
    </x:row>
    <x:row r="675" ht="18" customHeight="1">
      <x:c r="B675" s="27" t="str">
        <x:v>A0669</x:v>
      </x:c>
      <x:c r="C675" s="27" t="str">
        <x:v>allocation</x:v>
      </x:c>
      <x:c r="D675" s="27" t="str">
        <x:v>Allocation F75 nonnegative</x:v>
      </x:c>
      <x:c r="E675" s="27" t="n">
        <x:f>IF('Allocation Build'!F75&gt;=0,1,0)</x:f>
        <x:v>1</x:v>
      </x:c>
      <x:c r="F675" s="27" t="n">
        <x:v>1</x:v>
      </x:c>
      <x:c r="G675" s="29" t="str">
        <x:f>IF(E675=F675,"PASS","FAIL")</x:f>
        <x:v>PASS</x:v>
      </x:c>
    </x:row>
    <x:row r="676" ht="18" customHeight="1">
      <x:c r="B676" s="27" t="str">
        <x:v>A0670</x:v>
      </x:c>
      <x:c r="C676" s="27" t="str">
        <x:v>allocation</x:v>
      </x:c>
      <x:c r="D676" s="27" t="str">
        <x:v>Allocation G75 nonnegative</x:v>
      </x:c>
      <x:c r="E676" s="27" t="n">
        <x:f>IF('Allocation Build'!G75&gt;=0,1,0)</x:f>
        <x:v>1</x:v>
      </x:c>
      <x:c r="F676" s="27" t="n">
        <x:v>1</x:v>
      </x:c>
      <x:c r="G676" s="29" t="str">
        <x:f>IF(E676=F676,"PASS","FAIL")</x:f>
        <x:v>PASS</x:v>
      </x:c>
    </x:row>
    <x:row r="677" ht="18" customHeight="1">
      <x:c r="B677" s="27" t="str">
        <x:v>A0671</x:v>
      </x:c>
      <x:c r="C677" s="27" t="str">
        <x:v>allocation</x:v>
      </x:c>
      <x:c r="D677" s="27" t="str">
        <x:v>Allocation H75 nonnegative</x:v>
      </x:c>
      <x:c r="E677" s="27" t="n">
        <x:f>IF('Allocation Build'!H75&gt;=0,1,0)</x:f>
        <x:v>1</x:v>
      </x:c>
      <x:c r="F677" s="27" t="n">
        <x:v>1</x:v>
      </x:c>
      <x:c r="G677" s="29" t="str">
        <x:f>IF(E677=F677,"PASS","FAIL")</x:f>
        <x:v>PASS</x:v>
      </x:c>
    </x:row>
    <x:row r="678" ht="18" customHeight="1">
      <x:c r="B678" s="27" t="str">
        <x:v>A0672</x:v>
      </x:c>
      <x:c r="C678" s="27" t="str">
        <x:v>allocation</x:v>
      </x:c>
      <x:c r="D678" s="27" t="str">
        <x:v>Allocation I75 nonnegative</x:v>
      </x:c>
      <x:c r="E678" s="27" t="n">
        <x:f>IF('Allocation Build'!I75&gt;=0,1,0)</x:f>
        <x:v>1</x:v>
      </x:c>
      <x:c r="F678" s="27" t="n">
        <x:v>1</x:v>
      </x:c>
      <x:c r="G678" s="29" t="str">
        <x:f>IF(E678=F678,"PASS","FAIL")</x:f>
        <x:v>PASS</x:v>
      </x:c>
    </x:row>
    <x:row r="679" ht="18" customHeight="1">
      <x:c r="B679" s="27" t="str">
        <x:v>A0673</x:v>
      </x:c>
      <x:c r="C679" s="27" t="str">
        <x:v>allocation</x:v>
      </x:c>
      <x:c r="D679" s="27" t="str">
        <x:v>Allocation J75 nonnegative</x:v>
      </x:c>
      <x:c r="E679" s="27" t="n">
        <x:f>IF('Allocation Build'!J75&gt;=0,1,0)</x:f>
        <x:v>1</x:v>
      </x:c>
      <x:c r="F679" s="27" t="n">
        <x:v>1</x:v>
      </x:c>
      <x:c r="G679" s="29" t="str">
        <x:f>IF(E679=F679,"PASS","FAIL")</x:f>
        <x:v>PASS</x:v>
      </x:c>
    </x:row>
    <x:row r="680" ht="18" customHeight="1">
      <x:c r="B680" s="27" t="str">
        <x:v>A0674</x:v>
      </x:c>
      <x:c r="C680" s="27" t="str">
        <x:v>allocation</x:v>
      </x:c>
      <x:c r="D680" s="27" t="str">
        <x:v>Allocation K75 nonnegative</x:v>
      </x:c>
      <x:c r="E680" s="27" t="n">
        <x:f>IF('Allocation Build'!K75&gt;=0,1,0)</x:f>
        <x:v>1</x:v>
      </x:c>
      <x:c r="F680" s="27" t="n">
        <x:v>1</x:v>
      </x:c>
      <x:c r="G680" s="29" t="str">
        <x:f>IF(E680=F680,"PASS","FAIL")</x:f>
        <x:v>PASS</x:v>
      </x:c>
    </x:row>
    <x:row r="681" ht="18" customHeight="1">
      <x:c r="B681" s="27" t="str">
        <x:v>A0675</x:v>
      </x:c>
      <x:c r="C681" s="27" t="str">
        <x:v>allocation</x:v>
      </x:c>
      <x:c r="D681" s="27" t="str">
        <x:v>Allocation L75 nonnegative</x:v>
      </x:c>
      <x:c r="E681" s="27" t="n">
        <x:f>IF('Allocation Build'!L75&gt;=0,1,0)</x:f>
        <x:v>1</x:v>
      </x:c>
      <x:c r="F681" s="27" t="n">
        <x:v>1</x:v>
      </x:c>
      <x:c r="G681" s="29" t="str">
        <x:f>IF(E681=F681,"PASS","FAIL")</x:f>
        <x:v>PASS</x:v>
      </x:c>
    </x:row>
    <x:row r="682" ht="18" customHeight="1">
      <x:c r="B682" s="27" t="str">
        <x:v>A0676</x:v>
      </x:c>
      <x:c r="C682" s="27" t="str">
        <x:v>allocation</x:v>
      </x:c>
      <x:c r="D682" s="27" t="str">
        <x:v>Allocation row 75 state open</x:v>
      </x:c>
      <x:c r="E682" s="27" t="n">
        <x:f>IF('Allocation Build'!N75="OPEN",1,0)</x:f>
        <x:v>1</x:v>
      </x:c>
      <x:c r="F682" s="27" t="n">
        <x:v>1</x:v>
      </x:c>
      <x:c r="G682" s="29" t="str">
        <x:f>IF(E682=F682,"PASS","FAIL")</x:f>
        <x:v>PASS</x:v>
      </x:c>
    </x:row>
    <x:row r="683" ht="18" customHeight="1">
      <x:c r="B683" s="27" t="str">
        <x:v>A0677</x:v>
      </x:c>
      <x:c r="C683" s="27" t="str">
        <x:v>allocation</x:v>
      </x:c>
      <x:c r="D683" s="27" t="str">
        <x:v>Allocation E76 nonnegative</x:v>
      </x:c>
      <x:c r="E683" s="27" t="n">
        <x:f>IF('Allocation Build'!E76&gt;=0,1,0)</x:f>
        <x:v>1</x:v>
      </x:c>
      <x:c r="F683" s="27" t="n">
        <x:v>1</x:v>
      </x:c>
      <x:c r="G683" s="29" t="str">
        <x:f>IF(E683=F683,"PASS","FAIL")</x:f>
        <x:v>PASS</x:v>
      </x:c>
    </x:row>
    <x:row r="684" ht="18" customHeight="1">
      <x:c r="B684" s="27" t="str">
        <x:v>A0678</x:v>
      </x:c>
      <x:c r="C684" s="27" t="str">
        <x:v>allocation</x:v>
      </x:c>
      <x:c r="D684" s="27" t="str">
        <x:v>Allocation F76 nonnegative</x:v>
      </x:c>
      <x:c r="E684" s="27" t="n">
        <x:f>IF('Allocation Build'!F76&gt;=0,1,0)</x:f>
        <x:v>1</x:v>
      </x:c>
      <x:c r="F684" s="27" t="n">
        <x:v>1</x:v>
      </x:c>
      <x:c r="G684" s="29" t="str">
        <x:f>IF(E684=F684,"PASS","FAIL")</x:f>
        <x:v>PASS</x:v>
      </x:c>
    </x:row>
    <x:row r="685" ht="18" customHeight="1">
      <x:c r="B685" s="27" t="str">
        <x:v>A0679</x:v>
      </x:c>
      <x:c r="C685" s="27" t="str">
        <x:v>allocation</x:v>
      </x:c>
      <x:c r="D685" s="27" t="str">
        <x:v>Allocation G76 nonnegative</x:v>
      </x:c>
      <x:c r="E685" s="27" t="n">
        <x:f>IF('Allocation Build'!G76&gt;=0,1,0)</x:f>
        <x:v>1</x:v>
      </x:c>
      <x:c r="F685" s="27" t="n">
        <x:v>1</x:v>
      </x:c>
      <x:c r="G685" s="29" t="str">
        <x:f>IF(E685=F685,"PASS","FAIL")</x:f>
        <x:v>PASS</x:v>
      </x:c>
    </x:row>
    <x:row r="686" ht="18" customHeight="1">
      <x:c r="B686" s="27" t="str">
        <x:v>A0680</x:v>
      </x:c>
      <x:c r="C686" s="27" t="str">
        <x:v>allocation</x:v>
      </x:c>
      <x:c r="D686" s="27" t="str">
        <x:v>Allocation H76 nonnegative</x:v>
      </x:c>
      <x:c r="E686" s="27" t="n">
        <x:f>IF('Allocation Build'!H76&gt;=0,1,0)</x:f>
        <x:v>1</x:v>
      </x:c>
      <x:c r="F686" s="27" t="n">
        <x:v>1</x:v>
      </x:c>
      <x:c r="G686" s="29" t="str">
        <x:f>IF(E686=F686,"PASS","FAIL")</x:f>
        <x:v>PASS</x:v>
      </x:c>
    </x:row>
    <x:row r="687" ht="18" customHeight="1">
      <x:c r="B687" s="27" t="str">
        <x:v>A0681</x:v>
      </x:c>
      <x:c r="C687" s="27" t="str">
        <x:v>allocation</x:v>
      </x:c>
      <x:c r="D687" s="27" t="str">
        <x:v>Allocation I76 nonnegative</x:v>
      </x:c>
      <x:c r="E687" s="27" t="n">
        <x:f>IF('Allocation Build'!I76&gt;=0,1,0)</x:f>
        <x:v>1</x:v>
      </x:c>
      <x:c r="F687" s="27" t="n">
        <x:v>1</x:v>
      </x:c>
      <x:c r="G687" s="29" t="str">
        <x:f>IF(E687=F687,"PASS","FAIL")</x:f>
        <x:v>PASS</x:v>
      </x:c>
    </x:row>
    <x:row r="688" ht="18" customHeight="1">
      <x:c r="B688" s="27" t="str">
        <x:v>A0682</x:v>
      </x:c>
      <x:c r="C688" s="27" t="str">
        <x:v>allocation</x:v>
      </x:c>
      <x:c r="D688" s="27" t="str">
        <x:v>Allocation J76 nonnegative</x:v>
      </x:c>
      <x:c r="E688" s="27" t="n">
        <x:f>IF('Allocation Build'!J76&gt;=0,1,0)</x:f>
        <x:v>1</x:v>
      </x:c>
      <x:c r="F688" s="27" t="n">
        <x:v>1</x:v>
      </x:c>
      <x:c r="G688" s="29" t="str">
        <x:f>IF(E688=F688,"PASS","FAIL")</x:f>
        <x:v>PASS</x:v>
      </x:c>
    </x:row>
    <x:row r="689" ht="18" customHeight="1">
      <x:c r="B689" s="27" t="str">
        <x:v>A0683</x:v>
      </x:c>
      <x:c r="C689" s="27" t="str">
        <x:v>allocation</x:v>
      </x:c>
      <x:c r="D689" s="27" t="str">
        <x:v>Allocation K76 nonnegative</x:v>
      </x:c>
      <x:c r="E689" s="27" t="n">
        <x:f>IF('Allocation Build'!K76&gt;=0,1,0)</x:f>
        <x:v>1</x:v>
      </x:c>
      <x:c r="F689" s="27" t="n">
        <x:v>1</x:v>
      </x:c>
      <x:c r="G689" s="29" t="str">
        <x:f>IF(E689=F689,"PASS","FAIL")</x:f>
        <x:v>PASS</x:v>
      </x:c>
    </x:row>
    <x:row r="690" ht="18" customHeight="1">
      <x:c r="B690" s="27" t="str">
        <x:v>A0684</x:v>
      </x:c>
      <x:c r="C690" s="27" t="str">
        <x:v>allocation</x:v>
      </x:c>
      <x:c r="D690" s="27" t="str">
        <x:v>Allocation L76 nonnegative</x:v>
      </x:c>
      <x:c r="E690" s="27" t="n">
        <x:f>IF('Allocation Build'!L76&gt;=0,1,0)</x:f>
        <x:v>1</x:v>
      </x:c>
      <x:c r="F690" s="27" t="n">
        <x:v>1</x:v>
      </x:c>
      <x:c r="G690" s="29" t="str">
        <x:f>IF(E690=F690,"PASS","FAIL")</x:f>
        <x:v>PASS</x:v>
      </x:c>
    </x:row>
    <x:row r="691" ht="18" customHeight="1">
      <x:c r="B691" s="27" t="str">
        <x:v>A0685</x:v>
      </x:c>
      <x:c r="C691" s="27" t="str">
        <x:v>allocation</x:v>
      </x:c>
      <x:c r="D691" s="27" t="str">
        <x:v>Allocation row 76 state open</x:v>
      </x:c>
      <x:c r="E691" s="27" t="n">
        <x:f>IF('Allocation Build'!N76="OPEN",1,0)</x:f>
        <x:v>1</x:v>
      </x:c>
      <x:c r="F691" s="27" t="n">
        <x:v>1</x:v>
      </x:c>
      <x:c r="G691" s="29" t="str">
        <x:f>IF(E691=F691,"PASS","FAIL")</x:f>
        <x:v>PASS</x:v>
      </x:c>
    </x:row>
    <x:row r="692" ht="18" customHeight="1">
      <x:c r="B692" s="27" t="str">
        <x:v>A0686</x:v>
      </x:c>
      <x:c r="C692" s="27" t="str">
        <x:v>allocation</x:v>
      </x:c>
      <x:c r="D692" s="27" t="str">
        <x:v>Allocation E77 nonnegative</x:v>
      </x:c>
      <x:c r="E692" s="27" t="n">
        <x:f>IF('Allocation Build'!E77&gt;=0,1,0)</x:f>
        <x:v>1</x:v>
      </x:c>
      <x:c r="F692" s="27" t="n">
        <x:v>1</x:v>
      </x:c>
      <x:c r="G692" s="29" t="str">
        <x:f>IF(E692=F692,"PASS","FAIL")</x:f>
        <x:v>PASS</x:v>
      </x:c>
    </x:row>
    <x:row r="693" ht="18" customHeight="1">
      <x:c r="B693" s="27" t="str">
        <x:v>A0687</x:v>
      </x:c>
      <x:c r="C693" s="27" t="str">
        <x:v>allocation</x:v>
      </x:c>
      <x:c r="D693" s="27" t="str">
        <x:v>Allocation F77 nonnegative</x:v>
      </x:c>
      <x:c r="E693" s="27" t="n">
        <x:f>IF('Allocation Build'!F77&gt;=0,1,0)</x:f>
        <x:v>1</x:v>
      </x:c>
      <x:c r="F693" s="27" t="n">
        <x:v>1</x:v>
      </x:c>
      <x:c r="G693" s="29" t="str">
        <x:f>IF(E693=F693,"PASS","FAIL")</x:f>
        <x:v>PASS</x:v>
      </x:c>
    </x:row>
    <x:row r="694" ht="18" customHeight="1">
      <x:c r="B694" s="27" t="str">
        <x:v>A0688</x:v>
      </x:c>
      <x:c r="C694" s="27" t="str">
        <x:v>allocation</x:v>
      </x:c>
      <x:c r="D694" s="27" t="str">
        <x:v>Allocation G77 nonnegative</x:v>
      </x:c>
      <x:c r="E694" s="27" t="n">
        <x:f>IF('Allocation Build'!G77&gt;=0,1,0)</x:f>
        <x:v>1</x:v>
      </x:c>
      <x:c r="F694" s="27" t="n">
        <x:v>1</x:v>
      </x:c>
      <x:c r="G694" s="29" t="str">
        <x:f>IF(E694=F694,"PASS","FAIL")</x:f>
        <x:v>PASS</x:v>
      </x:c>
    </x:row>
    <x:row r="695" ht="18" customHeight="1">
      <x:c r="B695" s="27" t="str">
        <x:v>A0689</x:v>
      </x:c>
      <x:c r="C695" s="27" t="str">
        <x:v>allocation</x:v>
      </x:c>
      <x:c r="D695" s="27" t="str">
        <x:v>Allocation H77 nonnegative</x:v>
      </x:c>
      <x:c r="E695" s="27" t="n">
        <x:f>IF('Allocation Build'!H77&gt;=0,1,0)</x:f>
        <x:v>1</x:v>
      </x:c>
      <x:c r="F695" s="27" t="n">
        <x:v>1</x:v>
      </x:c>
      <x:c r="G695" s="29" t="str">
        <x:f>IF(E695=F695,"PASS","FAIL")</x:f>
        <x:v>PASS</x:v>
      </x:c>
    </x:row>
    <x:row r="696" ht="18" customHeight="1">
      <x:c r="B696" s="27" t="str">
        <x:v>A0690</x:v>
      </x:c>
      <x:c r="C696" s="27" t="str">
        <x:v>allocation</x:v>
      </x:c>
      <x:c r="D696" s="27" t="str">
        <x:v>Allocation I77 nonnegative</x:v>
      </x:c>
      <x:c r="E696" s="27" t="n">
        <x:f>IF('Allocation Build'!I77&gt;=0,1,0)</x:f>
        <x:v>1</x:v>
      </x:c>
      <x:c r="F696" s="27" t="n">
        <x:v>1</x:v>
      </x:c>
      <x:c r="G696" s="29" t="str">
        <x:f>IF(E696=F696,"PASS","FAIL")</x:f>
        <x:v>PASS</x:v>
      </x:c>
    </x:row>
    <x:row r="697" ht="18" customHeight="1">
      <x:c r="B697" s="27" t="str">
        <x:v>A0691</x:v>
      </x:c>
      <x:c r="C697" s="27" t="str">
        <x:v>allocation</x:v>
      </x:c>
      <x:c r="D697" s="27" t="str">
        <x:v>Allocation J77 nonnegative</x:v>
      </x:c>
      <x:c r="E697" s="27" t="n">
        <x:f>IF('Allocation Build'!J77&gt;=0,1,0)</x:f>
        <x:v>1</x:v>
      </x:c>
      <x:c r="F697" s="27" t="n">
        <x:v>1</x:v>
      </x:c>
      <x:c r="G697" s="29" t="str">
        <x:f>IF(E697=F697,"PASS","FAIL")</x:f>
        <x:v>PASS</x:v>
      </x:c>
    </x:row>
    <x:row r="698" ht="18" customHeight="1">
      <x:c r="B698" s="27" t="str">
        <x:v>A0692</x:v>
      </x:c>
      <x:c r="C698" s="27" t="str">
        <x:v>allocation</x:v>
      </x:c>
      <x:c r="D698" s="27" t="str">
        <x:v>Allocation K77 nonnegative</x:v>
      </x:c>
      <x:c r="E698" s="27" t="n">
        <x:f>IF('Allocation Build'!K77&gt;=0,1,0)</x:f>
        <x:v>1</x:v>
      </x:c>
      <x:c r="F698" s="27" t="n">
        <x:v>1</x:v>
      </x:c>
      <x:c r="G698" s="29" t="str">
        <x:f>IF(E698=F698,"PASS","FAIL")</x:f>
        <x:v>PASS</x:v>
      </x:c>
    </x:row>
    <x:row r="699" ht="18" customHeight="1">
      <x:c r="B699" s="27" t="str">
        <x:v>A0693</x:v>
      </x:c>
      <x:c r="C699" s="27" t="str">
        <x:v>allocation</x:v>
      </x:c>
      <x:c r="D699" s="27" t="str">
        <x:v>Allocation L77 nonnegative</x:v>
      </x:c>
      <x:c r="E699" s="27" t="n">
        <x:f>IF('Allocation Build'!L77&gt;=0,1,0)</x:f>
        <x:v>1</x:v>
      </x:c>
      <x:c r="F699" s="27" t="n">
        <x:v>1</x:v>
      </x:c>
      <x:c r="G699" s="29" t="str">
        <x:f>IF(E699=F699,"PASS","FAIL")</x:f>
        <x:v>PASS</x:v>
      </x:c>
    </x:row>
    <x:row r="700" ht="18" customHeight="1">
      <x:c r="B700" s="27" t="str">
        <x:v>A0694</x:v>
      </x:c>
      <x:c r="C700" s="27" t="str">
        <x:v>allocation</x:v>
      </x:c>
      <x:c r="D700" s="27" t="str">
        <x:v>Allocation row 77 state open</x:v>
      </x:c>
      <x:c r="E700" s="27" t="n">
        <x:f>IF('Allocation Build'!N77="OPEN",1,0)</x:f>
        <x:v>1</x:v>
      </x:c>
      <x:c r="F700" s="27" t="n">
        <x:v>1</x:v>
      </x:c>
      <x:c r="G700" s="29" t="str">
        <x:f>IF(E700=F700,"PASS","FAIL")</x:f>
        <x:v>PASS</x:v>
      </x:c>
    </x:row>
    <x:row r="701" ht="18" customHeight="1">
      <x:c r="B701" s="27" t="str">
        <x:v>A0695</x:v>
      </x:c>
      <x:c r="C701" s="27" t="str">
        <x:v>allocation</x:v>
      </x:c>
      <x:c r="D701" s="27" t="str">
        <x:v>Allocation E78 nonnegative</x:v>
      </x:c>
      <x:c r="E701" s="27" t="n">
        <x:f>IF('Allocation Build'!E78&gt;=0,1,0)</x:f>
        <x:v>1</x:v>
      </x:c>
      <x:c r="F701" s="27" t="n">
        <x:v>1</x:v>
      </x:c>
      <x:c r="G701" s="29" t="str">
        <x:f>IF(E701=F701,"PASS","FAIL")</x:f>
        <x:v>PASS</x:v>
      </x:c>
    </x:row>
    <x:row r="702" ht="18" customHeight="1">
      <x:c r="B702" s="27" t="str">
        <x:v>A0696</x:v>
      </x:c>
      <x:c r="C702" s="27" t="str">
        <x:v>allocation</x:v>
      </x:c>
      <x:c r="D702" s="27" t="str">
        <x:v>Allocation F78 nonnegative</x:v>
      </x:c>
      <x:c r="E702" s="27" t="n">
        <x:f>IF('Allocation Build'!F78&gt;=0,1,0)</x:f>
        <x:v>1</x:v>
      </x:c>
      <x:c r="F702" s="27" t="n">
        <x:v>1</x:v>
      </x:c>
      <x:c r="G702" s="29" t="str">
        <x:f>IF(E702=F702,"PASS","FAIL")</x:f>
        <x:v>PASS</x:v>
      </x:c>
    </x:row>
    <x:row r="703" ht="18" customHeight="1">
      <x:c r="B703" s="27" t="str">
        <x:v>A0697</x:v>
      </x:c>
      <x:c r="C703" s="27" t="str">
        <x:v>allocation</x:v>
      </x:c>
      <x:c r="D703" s="27" t="str">
        <x:v>Allocation G78 nonnegative</x:v>
      </x:c>
      <x:c r="E703" s="27" t="n">
        <x:f>IF('Allocation Build'!G78&gt;=0,1,0)</x:f>
        <x:v>1</x:v>
      </x:c>
      <x:c r="F703" s="27" t="n">
        <x:v>1</x:v>
      </x:c>
      <x:c r="G703" s="29" t="str">
        <x:f>IF(E703=F703,"PASS","FAIL")</x:f>
        <x:v>PASS</x:v>
      </x:c>
    </x:row>
    <x:row r="704" ht="18" customHeight="1">
      <x:c r="B704" s="27" t="str">
        <x:v>A0698</x:v>
      </x:c>
      <x:c r="C704" s="27" t="str">
        <x:v>allocation</x:v>
      </x:c>
      <x:c r="D704" s="27" t="str">
        <x:v>Allocation H78 nonnegative</x:v>
      </x:c>
      <x:c r="E704" s="27" t="n">
        <x:f>IF('Allocation Build'!H78&gt;=0,1,0)</x:f>
        <x:v>1</x:v>
      </x:c>
      <x:c r="F704" s="27" t="n">
        <x:v>1</x:v>
      </x:c>
      <x:c r="G704" s="29" t="str">
        <x:f>IF(E704=F704,"PASS","FAIL")</x:f>
        <x:v>PASS</x:v>
      </x:c>
    </x:row>
    <x:row r="705" ht="18" customHeight="1">
      <x:c r="B705" s="27" t="str">
        <x:v>A0699</x:v>
      </x:c>
      <x:c r="C705" s="27" t="str">
        <x:v>allocation</x:v>
      </x:c>
      <x:c r="D705" s="27" t="str">
        <x:v>Allocation I78 nonnegative</x:v>
      </x:c>
      <x:c r="E705" s="27" t="n">
        <x:f>IF('Allocation Build'!I78&gt;=0,1,0)</x:f>
        <x:v>1</x:v>
      </x:c>
      <x:c r="F705" s="27" t="n">
        <x:v>1</x:v>
      </x:c>
      <x:c r="G705" s="29" t="str">
        <x:f>IF(E705=F705,"PASS","FAIL")</x:f>
        <x:v>PASS</x:v>
      </x:c>
    </x:row>
    <x:row r="706" ht="18" customHeight="1">
      <x:c r="B706" s="27" t="str">
        <x:v>A0700</x:v>
      </x:c>
      <x:c r="C706" s="27" t="str">
        <x:v>allocation</x:v>
      </x:c>
      <x:c r="D706" s="27" t="str">
        <x:v>Allocation J78 nonnegative</x:v>
      </x:c>
      <x:c r="E706" s="27" t="n">
        <x:f>IF('Allocation Build'!J78&gt;=0,1,0)</x:f>
        <x:v>1</x:v>
      </x:c>
      <x:c r="F706" s="27" t="n">
        <x:v>1</x:v>
      </x:c>
      <x:c r="G706" s="29" t="str">
        <x:f>IF(E706=F706,"PASS","FAIL")</x:f>
        <x:v>PASS</x:v>
      </x:c>
    </x:row>
    <x:row r="707" ht="18" customHeight="1">
      <x:c r="B707" s="27" t="str">
        <x:v>A0701</x:v>
      </x:c>
      <x:c r="C707" s="27" t="str">
        <x:v>allocation</x:v>
      </x:c>
      <x:c r="D707" s="27" t="str">
        <x:v>Allocation K78 nonnegative</x:v>
      </x:c>
      <x:c r="E707" s="27" t="n">
        <x:f>IF('Allocation Build'!K78&gt;=0,1,0)</x:f>
        <x:v>1</x:v>
      </x:c>
      <x:c r="F707" s="27" t="n">
        <x:v>1</x:v>
      </x:c>
      <x:c r="G707" s="29" t="str">
        <x:f>IF(E707=F707,"PASS","FAIL")</x:f>
        <x:v>PASS</x:v>
      </x:c>
    </x:row>
    <x:row r="708" ht="18" customHeight="1">
      <x:c r="B708" s="27" t="str">
        <x:v>A0702</x:v>
      </x:c>
      <x:c r="C708" s="27" t="str">
        <x:v>allocation</x:v>
      </x:c>
      <x:c r="D708" s="27" t="str">
        <x:v>Allocation L78 nonnegative</x:v>
      </x:c>
      <x:c r="E708" s="27" t="n">
        <x:f>IF('Allocation Build'!L78&gt;=0,1,0)</x:f>
        <x:v>1</x:v>
      </x:c>
      <x:c r="F708" s="27" t="n">
        <x:v>1</x:v>
      </x:c>
      <x:c r="G708" s="29" t="str">
        <x:f>IF(E708=F708,"PASS","FAIL")</x:f>
        <x:v>PASS</x:v>
      </x:c>
    </x:row>
    <x:row r="709" ht="18" customHeight="1">
      <x:c r="B709" s="27" t="str">
        <x:v>A0703</x:v>
      </x:c>
      <x:c r="C709" s="27" t="str">
        <x:v>allocation</x:v>
      </x:c>
      <x:c r="D709" s="27" t="str">
        <x:v>Allocation row 78 state open</x:v>
      </x:c>
      <x:c r="E709" s="27" t="n">
        <x:f>IF('Allocation Build'!N78="OPEN",1,0)</x:f>
        <x:v>1</x:v>
      </x:c>
      <x:c r="F709" s="27" t="n">
        <x:v>1</x:v>
      </x:c>
      <x:c r="G709" s="29" t="str">
        <x:f>IF(E709=F709,"PASS","FAIL")</x:f>
        <x:v>PASS</x:v>
      </x:c>
    </x:row>
    <x:row r="710" ht="18" customHeight="1">
      <x:c r="B710" s="27" t="str">
        <x:v>A0704</x:v>
      </x:c>
      <x:c r="C710" s="27" t="str">
        <x:v>allocation</x:v>
      </x:c>
      <x:c r="D710" s="27" t="str">
        <x:v>Allocation E79 nonnegative</x:v>
      </x:c>
      <x:c r="E710" s="27" t="n">
        <x:f>IF('Allocation Build'!E79&gt;=0,1,0)</x:f>
        <x:v>1</x:v>
      </x:c>
      <x:c r="F710" s="27" t="n">
        <x:v>1</x:v>
      </x:c>
      <x:c r="G710" s="29" t="str">
        <x:f>IF(E710=F710,"PASS","FAIL")</x:f>
        <x:v>PASS</x:v>
      </x:c>
    </x:row>
    <x:row r="711" ht="18" customHeight="1">
      <x:c r="B711" s="27" t="str">
        <x:v>A0705</x:v>
      </x:c>
      <x:c r="C711" s="27" t="str">
        <x:v>allocation</x:v>
      </x:c>
      <x:c r="D711" s="27" t="str">
        <x:v>Allocation F79 nonnegative</x:v>
      </x:c>
      <x:c r="E711" s="27" t="n">
        <x:f>IF('Allocation Build'!F79&gt;=0,1,0)</x:f>
        <x:v>1</x:v>
      </x:c>
      <x:c r="F711" s="27" t="n">
        <x:v>1</x:v>
      </x:c>
      <x:c r="G711" s="29" t="str">
        <x:f>IF(E711=F711,"PASS","FAIL")</x:f>
        <x:v>PASS</x:v>
      </x:c>
    </x:row>
    <x:row r="712" ht="18" customHeight="1">
      <x:c r="B712" s="27" t="str">
        <x:v>A0706</x:v>
      </x:c>
      <x:c r="C712" s="27" t="str">
        <x:v>allocation</x:v>
      </x:c>
      <x:c r="D712" s="27" t="str">
        <x:v>Allocation G79 nonnegative</x:v>
      </x:c>
      <x:c r="E712" s="27" t="n">
        <x:f>IF('Allocation Build'!G79&gt;=0,1,0)</x:f>
        <x:v>1</x:v>
      </x:c>
      <x:c r="F712" s="27" t="n">
        <x:v>1</x:v>
      </x:c>
      <x:c r="G712" s="29" t="str">
        <x:f>IF(E712=F712,"PASS","FAIL")</x:f>
        <x:v>PASS</x:v>
      </x:c>
    </x:row>
    <x:row r="713" ht="18" customHeight="1">
      <x:c r="B713" s="27" t="str">
        <x:v>A0707</x:v>
      </x:c>
      <x:c r="C713" s="27" t="str">
        <x:v>allocation</x:v>
      </x:c>
      <x:c r="D713" s="27" t="str">
        <x:v>Allocation H79 nonnegative</x:v>
      </x:c>
      <x:c r="E713" s="27" t="n">
        <x:f>IF('Allocation Build'!H79&gt;=0,1,0)</x:f>
        <x:v>1</x:v>
      </x:c>
      <x:c r="F713" s="27" t="n">
        <x:v>1</x:v>
      </x:c>
      <x:c r="G713" s="29" t="str">
        <x:f>IF(E713=F713,"PASS","FAIL")</x:f>
        <x:v>PASS</x:v>
      </x:c>
    </x:row>
    <x:row r="714" ht="18" customHeight="1">
      <x:c r="B714" s="27" t="str">
        <x:v>A0708</x:v>
      </x:c>
      <x:c r="C714" s="27" t="str">
        <x:v>allocation</x:v>
      </x:c>
      <x:c r="D714" s="27" t="str">
        <x:v>Allocation I79 nonnegative</x:v>
      </x:c>
      <x:c r="E714" s="27" t="n">
        <x:f>IF('Allocation Build'!I79&gt;=0,1,0)</x:f>
        <x:v>1</x:v>
      </x:c>
      <x:c r="F714" s="27" t="n">
        <x:v>1</x:v>
      </x:c>
      <x:c r="G714" s="29" t="str">
        <x:f>IF(E714=F714,"PASS","FAIL")</x:f>
        <x:v>PASS</x:v>
      </x:c>
    </x:row>
    <x:row r="715" ht="18" customHeight="1">
      <x:c r="B715" s="27" t="str">
        <x:v>A0709</x:v>
      </x:c>
      <x:c r="C715" s="27" t="str">
        <x:v>allocation</x:v>
      </x:c>
      <x:c r="D715" s="27" t="str">
        <x:v>Allocation J79 nonnegative</x:v>
      </x:c>
      <x:c r="E715" s="27" t="n">
        <x:f>IF('Allocation Build'!J79&gt;=0,1,0)</x:f>
        <x:v>1</x:v>
      </x:c>
      <x:c r="F715" s="27" t="n">
        <x:v>1</x:v>
      </x:c>
      <x:c r="G715" s="29" t="str">
        <x:f>IF(E715=F715,"PASS","FAIL")</x:f>
        <x:v>PASS</x:v>
      </x:c>
    </x:row>
    <x:row r="716" ht="18" customHeight="1">
      <x:c r="B716" s="27" t="str">
        <x:v>A0710</x:v>
      </x:c>
      <x:c r="C716" s="27" t="str">
        <x:v>allocation</x:v>
      </x:c>
      <x:c r="D716" s="27" t="str">
        <x:v>Allocation K79 nonnegative</x:v>
      </x:c>
      <x:c r="E716" s="27" t="n">
        <x:f>IF('Allocation Build'!K79&gt;=0,1,0)</x:f>
        <x:v>1</x:v>
      </x:c>
      <x:c r="F716" s="27" t="n">
        <x:v>1</x:v>
      </x:c>
      <x:c r="G716" s="29" t="str">
        <x:f>IF(E716=F716,"PASS","FAIL")</x:f>
        <x:v>PASS</x:v>
      </x:c>
    </x:row>
    <x:row r="717" ht="18" customHeight="1">
      <x:c r="B717" s="27" t="str">
        <x:v>A0711</x:v>
      </x:c>
      <x:c r="C717" s="27" t="str">
        <x:v>allocation</x:v>
      </x:c>
      <x:c r="D717" s="27" t="str">
        <x:v>Allocation L79 nonnegative</x:v>
      </x:c>
      <x:c r="E717" s="27" t="n">
        <x:f>IF('Allocation Build'!L79&gt;=0,1,0)</x:f>
        <x:v>1</x:v>
      </x:c>
      <x:c r="F717" s="27" t="n">
        <x:v>1</x:v>
      </x:c>
      <x:c r="G717" s="29" t="str">
        <x:f>IF(E717=F717,"PASS","FAIL")</x:f>
        <x:v>PASS</x:v>
      </x:c>
    </x:row>
    <x:row r="718" ht="18" customHeight="1">
      <x:c r="B718" s="27" t="str">
        <x:v>A0712</x:v>
      </x:c>
      <x:c r="C718" s="27" t="str">
        <x:v>allocation</x:v>
      </x:c>
      <x:c r="D718" s="27" t="str">
        <x:v>Allocation row 79 state open</x:v>
      </x:c>
      <x:c r="E718" s="27" t="n">
        <x:f>IF('Allocation Build'!N79="OPEN",1,0)</x:f>
        <x:v>1</x:v>
      </x:c>
      <x:c r="F718" s="27" t="n">
        <x:v>1</x:v>
      </x:c>
      <x:c r="G718" s="29" t="str">
        <x:f>IF(E718=F718,"PASS","FAIL")</x:f>
        <x:v>PASS</x:v>
      </x:c>
    </x:row>
    <x:row r="719" ht="18" customHeight="1">
      <x:c r="B719" s="27" t="str">
        <x:v>A0713</x:v>
      </x:c>
      <x:c r="C719" s="27" t="str">
        <x:v>allocation</x:v>
      </x:c>
      <x:c r="D719" s="27" t="str">
        <x:v>Allocation E80 nonnegative</x:v>
      </x:c>
      <x:c r="E719" s="27" t="n">
        <x:f>IF('Allocation Build'!E80&gt;=0,1,0)</x:f>
        <x:v>1</x:v>
      </x:c>
      <x:c r="F719" s="27" t="n">
        <x:v>1</x:v>
      </x:c>
      <x:c r="G719" s="29" t="str">
        <x:f>IF(E719=F719,"PASS","FAIL")</x:f>
        <x:v>PASS</x:v>
      </x:c>
    </x:row>
    <x:row r="720" ht="18" customHeight="1">
      <x:c r="B720" s="27" t="str">
        <x:v>A0714</x:v>
      </x:c>
      <x:c r="C720" s="27" t="str">
        <x:v>allocation</x:v>
      </x:c>
      <x:c r="D720" s="27" t="str">
        <x:v>Allocation F80 nonnegative</x:v>
      </x:c>
      <x:c r="E720" s="27" t="n">
        <x:f>IF('Allocation Build'!F80&gt;=0,1,0)</x:f>
        <x:v>1</x:v>
      </x:c>
      <x:c r="F720" s="27" t="n">
        <x:v>1</x:v>
      </x:c>
      <x:c r="G720" s="29" t="str">
        <x:f>IF(E720=F720,"PASS","FAIL")</x:f>
        <x:v>PASS</x:v>
      </x:c>
    </x:row>
    <x:row r="721" ht="18" customHeight="1">
      <x:c r="B721" s="27" t="str">
        <x:v>A0715</x:v>
      </x:c>
      <x:c r="C721" s="27" t="str">
        <x:v>allocation</x:v>
      </x:c>
      <x:c r="D721" s="27" t="str">
        <x:v>Allocation G80 nonnegative</x:v>
      </x:c>
      <x:c r="E721" s="27" t="n">
        <x:f>IF('Allocation Build'!G80&gt;=0,1,0)</x:f>
        <x:v>1</x:v>
      </x:c>
      <x:c r="F721" s="27" t="n">
        <x:v>1</x:v>
      </x:c>
      <x:c r="G721" s="29" t="str">
        <x:f>IF(E721=F721,"PASS","FAIL")</x:f>
        <x:v>PASS</x:v>
      </x:c>
    </x:row>
    <x:row r="722" ht="18" customHeight="1">
      <x:c r="B722" s="27" t="str">
        <x:v>A0716</x:v>
      </x:c>
      <x:c r="C722" s="27" t="str">
        <x:v>allocation</x:v>
      </x:c>
      <x:c r="D722" s="27" t="str">
        <x:v>Allocation H80 nonnegative</x:v>
      </x:c>
      <x:c r="E722" s="27" t="n">
        <x:f>IF('Allocation Build'!H80&gt;=0,1,0)</x:f>
        <x:v>1</x:v>
      </x:c>
      <x:c r="F722" s="27" t="n">
        <x:v>1</x:v>
      </x:c>
      <x:c r="G722" s="29" t="str">
        <x:f>IF(E722=F722,"PASS","FAIL")</x:f>
        <x:v>PASS</x:v>
      </x:c>
    </x:row>
    <x:row r="723" ht="18" customHeight="1">
      <x:c r="B723" s="27" t="str">
        <x:v>A0717</x:v>
      </x:c>
      <x:c r="C723" s="27" t="str">
        <x:v>allocation</x:v>
      </x:c>
      <x:c r="D723" s="27" t="str">
        <x:v>Allocation I80 nonnegative</x:v>
      </x:c>
      <x:c r="E723" s="27" t="n">
        <x:f>IF('Allocation Build'!I80&gt;=0,1,0)</x:f>
        <x:v>1</x:v>
      </x:c>
      <x:c r="F723" s="27" t="n">
        <x:v>1</x:v>
      </x:c>
      <x:c r="G723" s="29" t="str">
        <x:f>IF(E723=F723,"PASS","FAIL")</x:f>
        <x:v>PASS</x:v>
      </x:c>
    </x:row>
    <x:row r="724" ht="18" customHeight="1">
      <x:c r="B724" s="27" t="str">
        <x:v>A0718</x:v>
      </x:c>
      <x:c r="C724" s="27" t="str">
        <x:v>allocation</x:v>
      </x:c>
      <x:c r="D724" s="27" t="str">
        <x:v>Allocation J80 nonnegative</x:v>
      </x:c>
      <x:c r="E724" s="27" t="n">
        <x:f>IF('Allocation Build'!J80&gt;=0,1,0)</x:f>
        <x:v>1</x:v>
      </x:c>
      <x:c r="F724" s="27" t="n">
        <x:v>1</x:v>
      </x:c>
      <x:c r="G724" s="29" t="str">
        <x:f>IF(E724=F724,"PASS","FAIL")</x:f>
        <x:v>PASS</x:v>
      </x:c>
    </x:row>
    <x:row r="725" ht="18" customHeight="1">
      <x:c r="B725" s="27" t="str">
        <x:v>A0719</x:v>
      </x:c>
      <x:c r="C725" s="27" t="str">
        <x:v>allocation</x:v>
      </x:c>
      <x:c r="D725" s="27" t="str">
        <x:v>Allocation K80 nonnegative</x:v>
      </x:c>
      <x:c r="E725" s="27" t="n">
        <x:f>IF('Allocation Build'!K80&gt;=0,1,0)</x:f>
        <x:v>1</x:v>
      </x:c>
      <x:c r="F725" s="27" t="n">
        <x:v>1</x:v>
      </x:c>
      <x:c r="G725" s="29" t="str">
        <x:f>IF(E725=F725,"PASS","FAIL")</x:f>
        <x:v>PASS</x:v>
      </x:c>
    </x:row>
    <x:row r="726" ht="18" customHeight="1">
      <x:c r="B726" s="27" t="str">
        <x:v>A0720</x:v>
      </x:c>
      <x:c r="C726" s="27" t="str">
        <x:v>allocation</x:v>
      </x:c>
      <x:c r="D726" s="27" t="str">
        <x:v>Allocation L80 nonnegative</x:v>
      </x:c>
      <x:c r="E726" s="27" t="n">
        <x:f>IF('Allocation Build'!L80&gt;=0,1,0)</x:f>
        <x:v>1</x:v>
      </x:c>
      <x:c r="F726" s="27" t="n">
        <x:v>1</x:v>
      </x:c>
      <x:c r="G726" s="29" t="str">
        <x:f>IF(E726=F726,"PASS","FAIL")</x:f>
        <x:v>PASS</x:v>
      </x:c>
    </x:row>
    <x:row r="727" ht="18" customHeight="1">
      <x:c r="B727" s="27" t="str">
        <x:v>A0721</x:v>
      </x:c>
      <x:c r="C727" s="27" t="str">
        <x:v>allocation</x:v>
      </x:c>
      <x:c r="D727" s="27" t="str">
        <x:v>Allocation row 80 state open</x:v>
      </x:c>
      <x:c r="E727" s="27" t="n">
        <x:f>IF('Allocation Build'!N80="OPEN",1,0)</x:f>
        <x:v>1</x:v>
      </x:c>
      <x:c r="F727" s="27" t="n">
        <x:v>1</x:v>
      </x:c>
      <x:c r="G727" s="29" t="str">
        <x:f>IF(E727=F727,"PASS","FAIL")</x:f>
        <x:v>PASS</x:v>
      </x:c>
    </x:row>
    <x:row r="728" ht="18" customHeight="1">
      <x:c r="B728" s="27" t="str">
        <x:v>A0722</x:v>
      </x:c>
      <x:c r="C728" s="27" t="str">
        <x:v>allocation</x:v>
      </x:c>
      <x:c r="D728" s="27" t="str">
        <x:v>Allocation E81 nonnegative</x:v>
      </x:c>
      <x:c r="E728" s="27" t="n">
        <x:f>IF('Allocation Build'!E81&gt;=0,1,0)</x:f>
        <x:v>1</x:v>
      </x:c>
      <x:c r="F728" s="27" t="n">
        <x:v>1</x:v>
      </x:c>
      <x:c r="G728" s="29" t="str">
        <x:f>IF(E728=F728,"PASS","FAIL")</x:f>
        <x:v>PASS</x:v>
      </x:c>
    </x:row>
    <x:row r="729" ht="18" customHeight="1">
      <x:c r="B729" s="27" t="str">
        <x:v>A0723</x:v>
      </x:c>
      <x:c r="C729" s="27" t="str">
        <x:v>allocation</x:v>
      </x:c>
      <x:c r="D729" s="27" t="str">
        <x:v>Allocation F81 nonnegative</x:v>
      </x:c>
      <x:c r="E729" s="27" t="n">
        <x:f>IF('Allocation Build'!F81&gt;=0,1,0)</x:f>
        <x:v>1</x:v>
      </x:c>
      <x:c r="F729" s="27" t="n">
        <x:v>1</x:v>
      </x:c>
      <x:c r="G729" s="29" t="str">
        <x:f>IF(E729=F729,"PASS","FAIL")</x:f>
        <x:v>PASS</x:v>
      </x:c>
    </x:row>
    <x:row r="730" ht="18" customHeight="1">
      <x:c r="B730" s="27" t="str">
        <x:v>A0724</x:v>
      </x:c>
      <x:c r="C730" s="27" t="str">
        <x:v>allocation</x:v>
      </x:c>
      <x:c r="D730" s="27" t="str">
        <x:v>Allocation G81 nonnegative</x:v>
      </x:c>
      <x:c r="E730" s="27" t="n">
        <x:f>IF('Allocation Build'!G81&gt;=0,1,0)</x:f>
        <x:v>1</x:v>
      </x:c>
      <x:c r="F730" s="27" t="n">
        <x:v>1</x:v>
      </x:c>
      <x:c r="G730" s="29" t="str">
        <x:f>IF(E730=F730,"PASS","FAIL")</x:f>
        <x:v>PASS</x:v>
      </x:c>
    </x:row>
    <x:row r="731" ht="18" customHeight="1">
      <x:c r="B731" s="27" t="str">
        <x:v>A0725</x:v>
      </x:c>
      <x:c r="C731" s="27" t="str">
        <x:v>allocation</x:v>
      </x:c>
      <x:c r="D731" s="27" t="str">
        <x:v>Allocation H81 nonnegative</x:v>
      </x:c>
      <x:c r="E731" s="27" t="n">
        <x:f>IF('Allocation Build'!H81&gt;=0,1,0)</x:f>
        <x:v>1</x:v>
      </x:c>
      <x:c r="F731" s="27" t="n">
        <x:v>1</x:v>
      </x:c>
      <x:c r="G731" s="29" t="str">
        <x:f>IF(E731=F731,"PASS","FAIL")</x:f>
        <x:v>PASS</x:v>
      </x:c>
    </x:row>
    <x:row r="732" ht="18" customHeight="1">
      <x:c r="B732" s="27" t="str">
        <x:v>A0726</x:v>
      </x:c>
      <x:c r="C732" s="27" t="str">
        <x:v>allocation</x:v>
      </x:c>
      <x:c r="D732" s="27" t="str">
        <x:v>Allocation I81 nonnegative</x:v>
      </x:c>
      <x:c r="E732" s="27" t="n">
        <x:f>IF('Allocation Build'!I81&gt;=0,1,0)</x:f>
        <x:v>1</x:v>
      </x:c>
      <x:c r="F732" s="27" t="n">
        <x:v>1</x:v>
      </x:c>
      <x:c r="G732" s="29" t="str">
        <x:f>IF(E732=F732,"PASS","FAIL")</x:f>
        <x:v>PASS</x:v>
      </x:c>
    </x:row>
    <x:row r="733" ht="18" customHeight="1">
      <x:c r="B733" s="27" t="str">
        <x:v>A0727</x:v>
      </x:c>
      <x:c r="C733" s="27" t="str">
        <x:v>allocation</x:v>
      </x:c>
      <x:c r="D733" s="27" t="str">
        <x:v>Allocation J81 nonnegative</x:v>
      </x:c>
      <x:c r="E733" s="27" t="n">
        <x:f>IF('Allocation Build'!J81&gt;=0,1,0)</x:f>
        <x:v>1</x:v>
      </x:c>
      <x:c r="F733" s="27" t="n">
        <x:v>1</x:v>
      </x:c>
      <x:c r="G733" s="29" t="str">
        <x:f>IF(E733=F733,"PASS","FAIL")</x:f>
        <x:v>PASS</x:v>
      </x:c>
    </x:row>
    <x:row r="734" ht="18" customHeight="1">
      <x:c r="B734" s="27" t="str">
        <x:v>A0728</x:v>
      </x:c>
      <x:c r="C734" s="27" t="str">
        <x:v>allocation</x:v>
      </x:c>
      <x:c r="D734" s="27" t="str">
        <x:v>Allocation K81 nonnegative</x:v>
      </x:c>
      <x:c r="E734" s="27" t="n">
        <x:f>IF('Allocation Build'!K81&gt;=0,1,0)</x:f>
        <x:v>1</x:v>
      </x:c>
      <x:c r="F734" s="27" t="n">
        <x:v>1</x:v>
      </x:c>
      <x:c r="G734" s="29" t="str">
        <x:f>IF(E734=F734,"PASS","FAIL")</x:f>
        <x:v>PASS</x:v>
      </x:c>
    </x:row>
    <x:row r="735" ht="18" customHeight="1">
      <x:c r="B735" s="27" t="str">
        <x:v>A0729</x:v>
      </x:c>
      <x:c r="C735" s="27" t="str">
        <x:v>allocation</x:v>
      </x:c>
      <x:c r="D735" s="27" t="str">
        <x:v>Allocation L81 nonnegative</x:v>
      </x:c>
      <x:c r="E735" s="27" t="n">
        <x:f>IF('Allocation Build'!L81&gt;=0,1,0)</x:f>
        <x:v>1</x:v>
      </x:c>
      <x:c r="F735" s="27" t="n">
        <x:v>1</x:v>
      </x:c>
      <x:c r="G735" s="29" t="str">
        <x:f>IF(E735=F735,"PASS","FAIL")</x:f>
        <x:v>PASS</x:v>
      </x:c>
    </x:row>
    <x:row r="736" ht="18" customHeight="1">
      <x:c r="B736" s="27" t="str">
        <x:v>A0730</x:v>
      </x:c>
      <x:c r="C736" s="27" t="str">
        <x:v>allocation</x:v>
      </x:c>
      <x:c r="D736" s="27" t="str">
        <x:v>Allocation row 81 state open</x:v>
      </x:c>
      <x:c r="E736" s="27" t="n">
        <x:f>IF('Allocation Build'!N81="OPEN",1,0)</x:f>
        <x:v>1</x:v>
      </x:c>
      <x:c r="F736" s="27" t="n">
        <x:v>1</x:v>
      </x:c>
      <x:c r="G736" s="29" t="str">
        <x:f>IF(E736=F736,"PASS","FAIL")</x:f>
        <x:v>PASS</x:v>
      </x:c>
    </x:row>
    <x:row r="737" ht="18" customHeight="1">
      <x:c r="B737" s="27" t="str">
        <x:v>A0731</x:v>
      </x:c>
      <x:c r="C737" s="27" t="str">
        <x:v>allocation</x:v>
      </x:c>
      <x:c r="D737" s="27" t="str">
        <x:v>Allocation E82 nonnegative</x:v>
      </x:c>
      <x:c r="E737" s="27" t="n">
        <x:f>IF('Allocation Build'!E82&gt;=0,1,0)</x:f>
        <x:v>1</x:v>
      </x:c>
      <x:c r="F737" s="27" t="n">
        <x:v>1</x:v>
      </x:c>
      <x:c r="G737" s="29" t="str">
        <x:f>IF(E737=F737,"PASS","FAIL")</x:f>
        <x:v>PASS</x:v>
      </x:c>
    </x:row>
    <x:row r="738" ht="18" customHeight="1">
      <x:c r="B738" s="27" t="str">
        <x:v>A0732</x:v>
      </x:c>
      <x:c r="C738" s="27" t="str">
        <x:v>allocation</x:v>
      </x:c>
      <x:c r="D738" s="27" t="str">
        <x:v>Allocation F82 nonnegative</x:v>
      </x:c>
      <x:c r="E738" s="27" t="n">
        <x:f>IF('Allocation Build'!F82&gt;=0,1,0)</x:f>
        <x:v>1</x:v>
      </x:c>
      <x:c r="F738" s="27" t="n">
        <x:v>1</x:v>
      </x:c>
      <x:c r="G738" s="29" t="str">
        <x:f>IF(E738=F738,"PASS","FAIL")</x:f>
        <x:v>PASS</x:v>
      </x:c>
    </x:row>
    <x:row r="739" ht="18" customHeight="1">
      <x:c r="B739" s="27" t="str">
        <x:v>A0733</x:v>
      </x:c>
      <x:c r="C739" s="27" t="str">
        <x:v>allocation</x:v>
      </x:c>
      <x:c r="D739" s="27" t="str">
        <x:v>Allocation G82 nonnegative</x:v>
      </x:c>
      <x:c r="E739" s="27" t="n">
        <x:f>IF('Allocation Build'!G82&gt;=0,1,0)</x:f>
        <x:v>1</x:v>
      </x:c>
      <x:c r="F739" s="27" t="n">
        <x:v>1</x:v>
      </x:c>
      <x:c r="G739" s="29" t="str">
        <x:f>IF(E739=F739,"PASS","FAIL")</x:f>
        <x:v>PASS</x:v>
      </x:c>
    </x:row>
    <x:row r="740" ht="18" customHeight="1">
      <x:c r="B740" s="27" t="str">
        <x:v>A0734</x:v>
      </x:c>
      <x:c r="C740" s="27" t="str">
        <x:v>allocation</x:v>
      </x:c>
      <x:c r="D740" s="27" t="str">
        <x:v>Allocation H82 nonnegative</x:v>
      </x:c>
      <x:c r="E740" s="27" t="n">
        <x:f>IF('Allocation Build'!H82&gt;=0,1,0)</x:f>
        <x:v>1</x:v>
      </x:c>
      <x:c r="F740" s="27" t="n">
        <x:v>1</x:v>
      </x:c>
      <x:c r="G740" s="29" t="str">
        <x:f>IF(E740=F740,"PASS","FAIL")</x:f>
        <x:v>PASS</x:v>
      </x:c>
    </x:row>
    <x:row r="741" ht="18" customHeight="1">
      <x:c r="B741" s="27" t="str">
        <x:v>A0735</x:v>
      </x:c>
      <x:c r="C741" s="27" t="str">
        <x:v>allocation</x:v>
      </x:c>
      <x:c r="D741" s="27" t="str">
        <x:v>Allocation I82 nonnegative</x:v>
      </x:c>
      <x:c r="E741" s="27" t="n">
        <x:f>IF('Allocation Build'!I82&gt;=0,1,0)</x:f>
        <x:v>1</x:v>
      </x:c>
      <x:c r="F741" s="27" t="n">
        <x:v>1</x:v>
      </x:c>
      <x:c r="G741" s="29" t="str">
        <x:f>IF(E741=F741,"PASS","FAIL")</x:f>
        <x:v>PASS</x:v>
      </x:c>
    </x:row>
    <x:row r="742" ht="18" customHeight="1">
      <x:c r="B742" s="27" t="str">
        <x:v>A0736</x:v>
      </x:c>
      <x:c r="C742" s="27" t="str">
        <x:v>allocation</x:v>
      </x:c>
      <x:c r="D742" s="27" t="str">
        <x:v>Allocation J82 nonnegative</x:v>
      </x:c>
      <x:c r="E742" s="27" t="n">
        <x:f>IF('Allocation Build'!J82&gt;=0,1,0)</x:f>
        <x:v>1</x:v>
      </x:c>
      <x:c r="F742" s="27" t="n">
        <x:v>1</x:v>
      </x:c>
      <x:c r="G742" s="29" t="str">
        <x:f>IF(E742=F742,"PASS","FAIL")</x:f>
        <x:v>PASS</x:v>
      </x:c>
    </x:row>
    <x:row r="743" ht="18" customHeight="1">
      <x:c r="B743" s="27" t="str">
        <x:v>A0737</x:v>
      </x:c>
      <x:c r="C743" s="27" t="str">
        <x:v>allocation</x:v>
      </x:c>
      <x:c r="D743" s="27" t="str">
        <x:v>Allocation K82 nonnegative</x:v>
      </x:c>
      <x:c r="E743" s="27" t="n">
        <x:f>IF('Allocation Build'!K82&gt;=0,1,0)</x:f>
        <x:v>1</x:v>
      </x:c>
      <x:c r="F743" s="27" t="n">
        <x:v>1</x:v>
      </x:c>
      <x:c r="G743" s="29" t="str">
        <x:f>IF(E743=F743,"PASS","FAIL")</x:f>
        <x:v>PASS</x:v>
      </x:c>
    </x:row>
    <x:row r="744" ht="18" customHeight="1">
      <x:c r="B744" s="27" t="str">
        <x:v>A0738</x:v>
      </x:c>
      <x:c r="C744" s="27" t="str">
        <x:v>allocation</x:v>
      </x:c>
      <x:c r="D744" s="27" t="str">
        <x:v>Allocation L82 nonnegative</x:v>
      </x:c>
      <x:c r="E744" s="27" t="n">
        <x:f>IF('Allocation Build'!L82&gt;=0,1,0)</x:f>
        <x:v>1</x:v>
      </x:c>
      <x:c r="F744" s="27" t="n">
        <x:v>1</x:v>
      </x:c>
      <x:c r="G744" s="29" t="str">
        <x:f>IF(E744=F744,"PASS","FAIL")</x:f>
        <x:v>PASS</x:v>
      </x:c>
    </x:row>
    <x:row r="745" ht="18" customHeight="1">
      <x:c r="B745" s="27" t="str">
        <x:v>A0739</x:v>
      </x:c>
      <x:c r="C745" s="27" t="str">
        <x:v>allocation</x:v>
      </x:c>
      <x:c r="D745" s="27" t="str">
        <x:v>Allocation row 82 state open</x:v>
      </x:c>
      <x:c r="E745" s="27" t="n">
        <x:f>IF('Allocation Build'!N82="OPEN",1,0)</x:f>
        <x:v>1</x:v>
      </x:c>
      <x:c r="F745" s="27" t="n">
        <x:v>1</x:v>
      </x:c>
      <x:c r="G745" s="29" t="str">
        <x:f>IF(E745=F745,"PASS","FAIL")</x:f>
        <x:v>PASS</x:v>
      </x:c>
    </x:row>
    <x:row r="746" ht="18" customHeight="1">
      <x:c r="B746" s="27" t="str">
        <x:v>A0740</x:v>
      </x:c>
      <x:c r="C746" s="27" t="str">
        <x:v>allocation</x:v>
      </x:c>
      <x:c r="D746" s="27" t="str">
        <x:v>Allocation E83 nonnegative</x:v>
      </x:c>
      <x:c r="E746" s="27" t="n">
        <x:f>IF('Allocation Build'!E83&gt;=0,1,0)</x:f>
        <x:v>1</x:v>
      </x:c>
      <x:c r="F746" s="27" t="n">
        <x:v>1</x:v>
      </x:c>
      <x:c r="G746" s="29" t="str">
        <x:f>IF(E746=F746,"PASS","FAIL")</x:f>
        <x:v>PASS</x:v>
      </x:c>
    </x:row>
    <x:row r="747" ht="18" customHeight="1">
      <x:c r="B747" s="27" t="str">
        <x:v>A0741</x:v>
      </x:c>
      <x:c r="C747" s="27" t="str">
        <x:v>allocation</x:v>
      </x:c>
      <x:c r="D747" s="27" t="str">
        <x:v>Allocation F83 nonnegative</x:v>
      </x:c>
      <x:c r="E747" s="27" t="n">
        <x:f>IF('Allocation Build'!F83&gt;=0,1,0)</x:f>
        <x:v>1</x:v>
      </x:c>
      <x:c r="F747" s="27" t="n">
        <x:v>1</x:v>
      </x:c>
      <x:c r="G747" s="29" t="str">
        <x:f>IF(E747=F747,"PASS","FAIL")</x:f>
        <x:v>PASS</x:v>
      </x:c>
    </x:row>
    <x:row r="748" ht="18" customHeight="1">
      <x:c r="B748" s="27" t="str">
        <x:v>A0742</x:v>
      </x:c>
      <x:c r="C748" s="27" t="str">
        <x:v>allocation</x:v>
      </x:c>
      <x:c r="D748" s="27" t="str">
        <x:v>Allocation G83 nonnegative</x:v>
      </x:c>
      <x:c r="E748" s="27" t="n">
        <x:f>IF('Allocation Build'!G83&gt;=0,1,0)</x:f>
        <x:v>1</x:v>
      </x:c>
      <x:c r="F748" s="27" t="n">
        <x:v>1</x:v>
      </x:c>
      <x:c r="G748" s="29" t="str">
        <x:f>IF(E748=F748,"PASS","FAIL")</x:f>
        <x:v>PASS</x:v>
      </x:c>
    </x:row>
    <x:row r="749" ht="18" customHeight="1">
      <x:c r="B749" s="27" t="str">
        <x:v>A0743</x:v>
      </x:c>
      <x:c r="C749" s="27" t="str">
        <x:v>allocation</x:v>
      </x:c>
      <x:c r="D749" s="27" t="str">
        <x:v>Allocation H83 nonnegative</x:v>
      </x:c>
      <x:c r="E749" s="27" t="n">
        <x:f>IF('Allocation Build'!H83&gt;=0,1,0)</x:f>
        <x:v>1</x:v>
      </x:c>
      <x:c r="F749" s="27" t="n">
        <x:v>1</x:v>
      </x:c>
      <x:c r="G749" s="29" t="str">
        <x:f>IF(E749=F749,"PASS","FAIL")</x:f>
        <x:v>PASS</x:v>
      </x:c>
    </x:row>
    <x:row r="750" ht="18" customHeight="1">
      <x:c r="B750" s="27" t="str">
        <x:v>A0744</x:v>
      </x:c>
      <x:c r="C750" s="27" t="str">
        <x:v>allocation</x:v>
      </x:c>
      <x:c r="D750" s="27" t="str">
        <x:v>Allocation I83 nonnegative</x:v>
      </x:c>
      <x:c r="E750" s="27" t="n">
        <x:f>IF('Allocation Build'!I83&gt;=0,1,0)</x:f>
        <x:v>1</x:v>
      </x:c>
      <x:c r="F750" s="27" t="n">
        <x:v>1</x:v>
      </x:c>
      <x:c r="G750" s="29" t="str">
        <x:f>IF(E750=F750,"PASS","FAIL")</x:f>
        <x:v>PASS</x:v>
      </x:c>
    </x:row>
    <x:row r="751" ht="18" customHeight="1">
      <x:c r="B751" s="27" t="str">
        <x:v>A0745</x:v>
      </x:c>
      <x:c r="C751" s="27" t="str">
        <x:v>allocation</x:v>
      </x:c>
      <x:c r="D751" s="27" t="str">
        <x:v>Allocation J83 nonnegative</x:v>
      </x:c>
      <x:c r="E751" s="27" t="n">
        <x:f>IF('Allocation Build'!J83&gt;=0,1,0)</x:f>
        <x:v>1</x:v>
      </x:c>
      <x:c r="F751" s="27" t="n">
        <x:v>1</x:v>
      </x:c>
      <x:c r="G751" s="29" t="str">
        <x:f>IF(E751=F751,"PASS","FAIL")</x:f>
        <x:v>PASS</x:v>
      </x:c>
    </x:row>
    <x:row r="752" ht="18" customHeight="1">
      <x:c r="B752" s="27" t="str">
        <x:v>A0746</x:v>
      </x:c>
      <x:c r="C752" s="27" t="str">
        <x:v>allocation</x:v>
      </x:c>
      <x:c r="D752" s="27" t="str">
        <x:v>Allocation K83 nonnegative</x:v>
      </x:c>
      <x:c r="E752" s="27" t="n">
        <x:f>IF('Allocation Build'!K83&gt;=0,1,0)</x:f>
        <x:v>1</x:v>
      </x:c>
      <x:c r="F752" s="27" t="n">
        <x:v>1</x:v>
      </x:c>
      <x:c r="G752" s="29" t="str">
        <x:f>IF(E752=F752,"PASS","FAIL")</x:f>
        <x:v>PASS</x:v>
      </x:c>
    </x:row>
    <x:row r="753" ht="18" customHeight="1">
      <x:c r="B753" s="27" t="str">
        <x:v>A0747</x:v>
      </x:c>
      <x:c r="C753" s="27" t="str">
        <x:v>allocation</x:v>
      </x:c>
      <x:c r="D753" s="27" t="str">
        <x:v>Allocation L83 nonnegative</x:v>
      </x:c>
      <x:c r="E753" s="27" t="n">
        <x:f>IF('Allocation Build'!L83&gt;=0,1,0)</x:f>
        <x:v>1</x:v>
      </x:c>
      <x:c r="F753" s="27" t="n">
        <x:v>1</x:v>
      </x:c>
      <x:c r="G753" s="29" t="str">
        <x:f>IF(E753=F753,"PASS","FAIL")</x:f>
        <x:v>PASS</x:v>
      </x:c>
    </x:row>
    <x:row r="754" ht="18" customHeight="1">
      <x:c r="B754" s="27" t="str">
        <x:v>A0748</x:v>
      </x:c>
      <x:c r="C754" s="27" t="str">
        <x:v>allocation</x:v>
      </x:c>
      <x:c r="D754" s="27" t="str">
        <x:v>Allocation row 83 state open</x:v>
      </x:c>
      <x:c r="E754" s="27" t="n">
        <x:f>IF('Allocation Build'!N83="OPEN",1,0)</x:f>
        <x:v>1</x:v>
      </x:c>
      <x:c r="F754" s="27" t="n">
        <x:v>1</x:v>
      </x:c>
      <x:c r="G754" s="29" t="str">
        <x:f>IF(E754=F754,"PASS","FAIL")</x:f>
        <x:v>PASS</x:v>
      </x:c>
    </x:row>
    <x:row r="755" ht="18" customHeight="1">
      <x:c r="B755" s="27" t="str">
        <x:v>A0749</x:v>
      </x:c>
      <x:c r="C755" s="27" t="str">
        <x:v>allocation</x:v>
      </x:c>
      <x:c r="D755" s="27" t="str">
        <x:v>ATC-A01 shares sum one</x:v>
      </x:c>
      <x:c r="E755" s="27" t="n">
        <x:f>IF(ABS(SUMIFS('Allocation Build'!E7:E83,'Allocation Build'!B7:B83,"ATC-A01")-1)&lt;0.000001,1,0)</x:f>
        <x:v>1</x:v>
      </x:c>
      <x:c r="F755" s="27" t="n">
        <x:v>1</x:v>
      </x:c>
      <x:c r="G755" s="29" t="str">
        <x:f>IF(E755=F755,"PASS","FAIL")</x:f>
        <x:v>PASS</x:v>
      </x:c>
    </x:row>
    <x:row r="756" ht="18" customHeight="1">
      <x:c r="B756" s="27" t="str">
        <x:v>A0750</x:v>
      </x:c>
      <x:c r="C756" s="27" t="str">
        <x:v>allocation</x:v>
      </x:c>
      <x:c r="D756" s="27" t="str">
        <x:v>ATC-A01 mass reconciles</x:v>
      </x:c>
      <x:c r="E756" s="27" t="n">
        <x:f>IF(ABS(SUMIFS('Allocation Build'!F7:F83,'Allocation Build'!B7:B83,"ATC-A01")-'Article Baselines'!E7)&lt;0.000001,1,0)</x:f>
        <x:v>1</x:v>
      </x:c>
      <x:c r="F756" s="27" t="n">
        <x:v>1</x:v>
      </x:c>
      <x:c r="G756" s="29" t="str">
        <x:f>IF(E756=F756,"PASS","FAIL")</x:f>
        <x:v>PASS</x:v>
      </x:c>
    </x:row>
    <x:row r="757" ht="18" customHeight="1">
      <x:c r="B757" s="27" t="str">
        <x:v>A0751</x:v>
      </x:c>
      <x:c r="C757" s="27" t="str">
        <x:v>allocation</x:v>
      </x:c>
      <x:c r="D757" s="27" t="str">
        <x:v>ATC-A01 volume reconciles</x:v>
      </x:c>
      <x:c r="E757" s="27" t="n">
        <x:f>IF(ABS(SUMIFS('Allocation Build'!G7:G83,'Allocation Build'!B7:B83,"ATC-A01")-'Article Baselines'!F7)&lt;0.000001,1,0)</x:f>
        <x:v>1</x:v>
      </x:c>
      <x:c r="F757" s="27" t="n">
        <x:v>1</x:v>
      </x:c>
      <x:c r="G757" s="29" t="str">
        <x:f>IF(E757=F757,"PASS","FAIL")</x:f>
        <x:v>PASS</x:v>
      </x:c>
    </x:row>
    <x:row r="758" ht="18" customHeight="1">
      <x:c r="B758" s="27" t="str">
        <x:v>A0752</x:v>
      </x:c>
      <x:c r="C758" s="27" t="str">
        <x:v>allocation</x:v>
      </x:c>
      <x:c r="D758" s="27" t="str">
        <x:v>TTC-T01 shares sum one</x:v>
      </x:c>
      <x:c r="E758" s="27" t="n">
        <x:f>IF(ABS(SUMIFS('Allocation Build'!E7:E83,'Allocation Build'!B7:B83,"TTC-T01")-1)&lt;0.000001,1,0)</x:f>
        <x:v>1</x:v>
      </x:c>
      <x:c r="F758" s="27" t="n">
        <x:v>1</x:v>
      </x:c>
      <x:c r="G758" s="29" t="str">
        <x:f>IF(E758=F758,"PASS","FAIL")</x:f>
        <x:v>PASS</x:v>
      </x:c>
    </x:row>
    <x:row r="759" ht="18" customHeight="1">
      <x:c r="B759" s="27" t="str">
        <x:v>A0753</x:v>
      </x:c>
      <x:c r="C759" s="27" t="str">
        <x:v>allocation</x:v>
      </x:c>
      <x:c r="D759" s="27" t="str">
        <x:v>TTC-T01 mass reconciles</x:v>
      </x:c>
      <x:c r="E759" s="27" t="n">
        <x:f>IF(ABS(SUMIFS('Allocation Build'!F7:F83,'Allocation Build'!B7:B83,"TTC-T01")-'Article Baselines'!E8)&lt;0.000001,1,0)</x:f>
        <x:v>1</x:v>
      </x:c>
      <x:c r="F759" s="27" t="n">
        <x:v>1</x:v>
      </x:c>
      <x:c r="G759" s="29" t="str">
        <x:f>IF(E759=F759,"PASS","FAIL")</x:f>
        <x:v>PASS</x:v>
      </x:c>
    </x:row>
    <x:row r="760" ht="18" customHeight="1">
      <x:c r="B760" s="27" t="str">
        <x:v>A0754</x:v>
      </x:c>
      <x:c r="C760" s="27" t="str">
        <x:v>allocation</x:v>
      </x:c>
      <x:c r="D760" s="27" t="str">
        <x:v>TTC-T01 volume reconciles</x:v>
      </x:c>
      <x:c r="E760" s="27" t="n">
        <x:f>IF(ABS(SUMIFS('Allocation Build'!G7:G83,'Allocation Build'!B7:B83,"TTC-T01")-'Article Baselines'!F8)&lt;0.000001,1,0)</x:f>
        <x:v>1</x:v>
      </x:c>
      <x:c r="F760" s="27" t="n">
        <x:v>1</x:v>
      </x:c>
      <x:c r="G760" s="29" t="str">
        <x:f>IF(E760=F760,"PASS","FAIL")</x:f>
        <x:v>PASS</x:v>
      </x:c>
    </x:row>
    <x:row r="761" ht="18" customHeight="1">
      <x:c r="B761" s="27" t="str">
        <x:v>A0755</x:v>
      </x:c>
      <x:c r="C761" s="27" t="str">
        <x:v>allocation</x:v>
      </x:c>
      <x:c r="D761" s="27" t="str">
        <x:v>ACN-A01 shares sum one</x:v>
      </x:c>
      <x:c r="E761" s="27" t="n">
        <x:f>IF(ABS(SUMIFS('Allocation Build'!E7:E83,'Allocation Build'!B7:B83,"ACN-A01")-1)&lt;0.000001,1,0)</x:f>
        <x:v>1</x:v>
      </x:c>
      <x:c r="F761" s="27" t="n">
        <x:v>1</x:v>
      </x:c>
      <x:c r="G761" s="29" t="str">
        <x:f>IF(E761=F761,"PASS","FAIL")</x:f>
        <x:v>PASS</x:v>
      </x:c>
    </x:row>
    <x:row r="762" ht="18" customHeight="1">
      <x:c r="B762" s="27" t="str">
        <x:v>A0756</x:v>
      </x:c>
      <x:c r="C762" s="27" t="str">
        <x:v>allocation</x:v>
      </x:c>
      <x:c r="D762" s="27" t="str">
        <x:v>ACN-A01 mass reconciles</x:v>
      </x:c>
      <x:c r="E762" s="27" t="n">
        <x:f>IF(ABS(SUMIFS('Allocation Build'!F7:F83,'Allocation Build'!B7:B83,"ACN-A01")-'Article Baselines'!E9)&lt;0.000001,1,0)</x:f>
        <x:v>1</x:v>
      </x:c>
      <x:c r="F762" s="27" t="n">
        <x:v>1</x:v>
      </x:c>
      <x:c r="G762" s="29" t="str">
        <x:f>IF(E762=F762,"PASS","FAIL")</x:f>
        <x:v>PASS</x:v>
      </x:c>
    </x:row>
    <x:row r="763" ht="18" customHeight="1">
      <x:c r="B763" s="27" t="str">
        <x:v>A0757</x:v>
      </x:c>
      <x:c r="C763" s="27" t="str">
        <x:v>allocation</x:v>
      </x:c>
      <x:c r="D763" s="27" t="str">
        <x:v>ACN-A01 volume reconciles</x:v>
      </x:c>
      <x:c r="E763" s="27" t="n">
        <x:f>IF(ABS(SUMIFS('Allocation Build'!G7:G83,'Allocation Build'!B7:B83,"ACN-A01")-'Article Baselines'!F9)&lt;0.000001,1,0)</x:f>
        <x:v>1</x:v>
      </x:c>
      <x:c r="F763" s="27" t="n">
        <x:v>1</x:v>
      </x:c>
      <x:c r="G763" s="29" t="str">
        <x:f>IF(E763=F763,"PASS","FAIL")</x:f>
        <x:v>PASS</x:v>
      </x:c>
    </x:row>
    <x:row r="764" ht="18" customHeight="1">
      <x:c r="B764" s="27" t="str">
        <x:v>A0758</x:v>
      </x:c>
      <x:c r="C764" s="27" t="str">
        <x:v>allocation</x:v>
      </x:c>
      <x:c r="D764" s="27" t="str">
        <x:v>TCN-T01 shares sum one</x:v>
      </x:c>
      <x:c r="E764" s="27" t="n">
        <x:f>IF(ABS(SUMIFS('Allocation Build'!E7:E83,'Allocation Build'!B7:B83,"TCN-T01")-1)&lt;0.000001,1,0)</x:f>
        <x:v>1</x:v>
      </x:c>
      <x:c r="F764" s="27" t="n">
        <x:v>1</x:v>
      </x:c>
      <x:c r="G764" s="29" t="str">
        <x:f>IF(E764=F764,"PASS","FAIL")</x:f>
        <x:v>PASS</x:v>
      </x:c>
    </x:row>
    <x:row r="765" ht="18" customHeight="1">
      <x:c r="B765" s="27" t="str">
        <x:v>A0759</x:v>
      </x:c>
      <x:c r="C765" s="27" t="str">
        <x:v>allocation</x:v>
      </x:c>
      <x:c r="D765" s="27" t="str">
        <x:v>TCN-T01 mass reconciles</x:v>
      </x:c>
      <x:c r="E765" s="27" t="n">
        <x:f>IF(ABS(SUMIFS('Allocation Build'!F7:F83,'Allocation Build'!B7:B83,"TCN-T01")-'Article Baselines'!E10)&lt;0.000001,1,0)</x:f>
        <x:v>1</x:v>
      </x:c>
      <x:c r="F765" s="27" t="n">
        <x:v>1</x:v>
      </x:c>
      <x:c r="G765" s="29" t="str">
        <x:f>IF(E765=F765,"PASS","FAIL")</x:f>
        <x:v>PASS</x:v>
      </x:c>
    </x:row>
    <x:row r="766" ht="18" customHeight="1">
      <x:c r="B766" s="27" t="str">
        <x:v>A0760</x:v>
      </x:c>
      <x:c r="C766" s="27" t="str">
        <x:v>allocation</x:v>
      </x:c>
      <x:c r="D766" s="27" t="str">
        <x:v>TCN-T01 volume reconciles</x:v>
      </x:c>
      <x:c r="E766" s="27" t="n">
        <x:f>IF(ABS(SUMIFS('Allocation Build'!G7:G83,'Allocation Build'!B7:B83,"TCN-T01")-'Article Baselines'!F10)&lt;0.000001,1,0)</x:f>
        <x:v>1</x:v>
      </x:c>
      <x:c r="F766" s="27" t="n">
        <x:v>1</x:v>
      </x:c>
      <x:c r="G766" s="29" t="str">
        <x:f>IF(E766=F766,"PASS","FAIL")</x:f>
        <x:v>PASS</x:v>
      </x:c>
    </x:row>
    <x:row r="767" ht="18" customHeight="1">
      <x:c r="B767" s="27" t="str">
        <x:v>A0761</x:v>
      </x:c>
      <x:c r="C767" s="27" t="str">
        <x:v>allocation</x:v>
      </x:c>
      <x:c r="D767" s="27" t="str">
        <x:v>CRS-R01 shares sum one</x:v>
      </x:c>
      <x:c r="E767" s="27" t="n">
        <x:f>IF(ABS(SUMIFS('Allocation Build'!E7:E83,'Allocation Build'!B7:B83,"CRS-R01")-1)&lt;0.000001,1,0)</x:f>
        <x:v>1</x:v>
      </x:c>
      <x:c r="F767" s="27" t="n">
        <x:v>1</x:v>
      </x:c>
      <x:c r="G767" s="29" t="str">
        <x:f>IF(E767=F767,"PASS","FAIL")</x:f>
        <x:v>PASS</x:v>
      </x:c>
    </x:row>
    <x:row r="768" ht="18" customHeight="1">
      <x:c r="B768" s="27" t="str">
        <x:v>A0762</x:v>
      </x:c>
      <x:c r="C768" s="27" t="str">
        <x:v>allocation</x:v>
      </x:c>
      <x:c r="D768" s="27" t="str">
        <x:v>CRS-R01 mass reconciles</x:v>
      </x:c>
      <x:c r="E768" s="27" t="n">
        <x:f>IF(ABS(SUMIFS('Allocation Build'!F7:F83,'Allocation Build'!B7:B83,"CRS-R01")-'Article Baselines'!E11)&lt;0.000001,1,0)</x:f>
        <x:v>1</x:v>
      </x:c>
      <x:c r="F768" s="27" t="n">
        <x:v>1</x:v>
      </x:c>
      <x:c r="G768" s="29" t="str">
        <x:f>IF(E768=F768,"PASS","FAIL")</x:f>
        <x:v>PASS</x:v>
      </x:c>
    </x:row>
    <x:row r="769" ht="18" customHeight="1">
      <x:c r="B769" s="27" t="str">
        <x:v>A0763</x:v>
      </x:c>
      <x:c r="C769" s="27" t="str">
        <x:v>allocation</x:v>
      </x:c>
      <x:c r="D769" s="27" t="str">
        <x:v>CRS-R01 volume reconciles</x:v>
      </x:c>
      <x:c r="E769" s="27" t="n">
        <x:f>IF(ABS(SUMIFS('Allocation Build'!G7:G83,'Allocation Build'!B7:B83,"CRS-R01")-'Article Baselines'!F11)&lt;0.000001,1,0)</x:f>
        <x:v>1</x:v>
      </x:c>
      <x:c r="F769" s="27" t="n">
        <x:v>1</x:v>
      </x:c>
      <x:c r="G769" s="29" t="str">
        <x:f>IF(E769=F769,"PASS","FAIL")</x:f>
        <x:v>PASS</x:v>
      </x:c>
    </x:row>
    <x:row r="770" ht="18" customHeight="1">
      <x:c r="B770" s="27" t="str">
        <x:v>A0764</x:v>
      </x:c>
      <x:c r="C770" s="27" t="str">
        <x:v>allocation</x:v>
      </x:c>
      <x:c r="D770" s="27" t="str">
        <x:v>PSS-T01 shares sum one</x:v>
      </x:c>
      <x:c r="E770" s="27" t="n">
        <x:f>IF(ABS(SUMIFS('Allocation Build'!E7:E83,'Allocation Build'!B7:B83,"PSS-T01")-1)&lt;0.000001,1,0)</x:f>
        <x:v>1</x:v>
      </x:c>
      <x:c r="F770" s="27" t="n">
        <x:v>1</x:v>
      </x:c>
      <x:c r="G770" s="29" t="str">
        <x:f>IF(E770=F770,"PASS","FAIL")</x:f>
        <x:v>PASS</x:v>
      </x:c>
    </x:row>
    <x:row r="771" ht="18" customHeight="1">
      <x:c r="B771" s="27" t="str">
        <x:v>A0765</x:v>
      </x:c>
      <x:c r="C771" s="27" t="str">
        <x:v>allocation</x:v>
      </x:c>
      <x:c r="D771" s="27" t="str">
        <x:v>PSS-T01 mass reconciles</x:v>
      </x:c>
      <x:c r="E771" s="27" t="n">
        <x:f>IF(ABS(SUMIFS('Allocation Build'!F7:F83,'Allocation Build'!B7:B83,"PSS-T01")-'Article Baselines'!E12)&lt;0.000001,1,0)</x:f>
        <x:v>1</x:v>
      </x:c>
      <x:c r="F771" s="27" t="n">
        <x:v>1</x:v>
      </x:c>
      <x:c r="G771" s="29" t="str">
        <x:f>IF(E771=F771,"PASS","FAIL")</x:f>
        <x:v>PASS</x:v>
      </x:c>
    </x:row>
    <x:row r="772" ht="18" customHeight="1">
      <x:c r="B772" s="27" t="str">
        <x:v>A0766</x:v>
      </x:c>
      <x:c r="C772" s="27" t="str">
        <x:v>allocation</x:v>
      </x:c>
      <x:c r="D772" s="27" t="str">
        <x:v>PSS-T01 volume reconciles</x:v>
      </x:c>
      <x:c r="E772" s="27" t="n">
        <x:f>IF(ABS(SUMIFS('Allocation Build'!G7:G83,'Allocation Build'!B7:B83,"PSS-T01")-'Article Baselines'!F12)&lt;0.000001,1,0)</x:f>
        <x:v>1</x:v>
      </x:c>
      <x:c r="F772" s="27" t="n">
        <x:v>1</x:v>
      </x:c>
      <x:c r="G772" s="29" t="str">
        <x:f>IF(E772=F772,"PASS","FAIL")</x:f>
        <x:v>PASS</x:v>
      </x:c>
    </x:row>
    <x:row r="773" ht="18" customHeight="1">
      <x:c r="B773" s="27" t="str">
        <x:v>A0767</x:v>
      </x:c>
      <x:c r="C773" s="27" t="str">
        <x:v>allocation</x:v>
      </x:c>
      <x:c r="D773" s="27" t="str">
        <x:v>PIF-I01 shares sum one</x:v>
      </x:c>
      <x:c r="E773" s="27" t="n">
        <x:f>IF(ABS(SUMIFS('Allocation Build'!E7:E83,'Allocation Build'!B7:B83,"PIF-I01")-1)&lt;0.000001,1,0)</x:f>
        <x:v>1</x:v>
      </x:c>
      <x:c r="F773" s="27" t="n">
        <x:v>1</x:v>
      </x:c>
      <x:c r="G773" s="29" t="str">
        <x:f>IF(E773=F773,"PASS","FAIL")</x:f>
        <x:v>PASS</x:v>
      </x:c>
    </x:row>
    <x:row r="774" ht="18" customHeight="1">
      <x:c r="B774" s="27" t="str">
        <x:v>A0768</x:v>
      </x:c>
      <x:c r="C774" s="27" t="str">
        <x:v>allocation</x:v>
      </x:c>
      <x:c r="D774" s="27" t="str">
        <x:v>PIF-I01 mass reconciles</x:v>
      </x:c>
      <x:c r="E774" s="27" t="n">
        <x:f>IF(ABS(SUMIFS('Allocation Build'!F7:F83,'Allocation Build'!B7:B83,"PIF-I01")-'Article Baselines'!E13)&lt;0.000001,1,0)</x:f>
        <x:v>1</x:v>
      </x:c>
      <x:c r="F774" s="27" t="n">
        <x:v>1</x:v>
      </x:c>
      <x:c r="G774" s="29" t="str">
        <x:f>IF(E774=F774,"PASS","FAIL")</x:f>
        <x:v>PASS</x:v>
      </x:c>
    </x:row>
    <x:row r="775" ht="18" customHeight="1">
      <x:c r="B775" s="27" t="str">
        <x:v>A0769</x:v>
      </x:c>
      <x:c r="C775" s="27" t="str">
        <x:v>allocation</x:v>
      </x:c>
      <x:c r="D775" s="27" t="str">
        <x:v>PIF-I01 volume reconciles</x:v>
      </x:c>
      <x:c r="E775" s="27" t="n">
        <x:f>IF(ABS(SUMIFS('Allocation Build'!G7:G83,'Allocation Build'!B7:B83,"PIF-I01")-'Article Baselines'!F13)&lt;0.000001,1,0)</x:f>
        <x:v>1</x:v>
      </x:c>
      <x:c r="F775" s="27" t="n">
        <x:v>1</x:v>
      </x:c>
      <x:c r="G775" s="29" t="str">
        <x:f>IF(E775=F775,"PASS","FAIL")</x:f>
        <x:v>PASS</x:v>
      </x:c>
    </x:row>
    <x:row r="776" ht="18" customHeight="1">
      <x:c r="B776" s="27" t="str">
        <x:v>A0770</x:v>
      </x:c>
      <x:c r="C776" s="27" t="str">
        <x:v>allocation</x:v>
      </x:c>
      <x:c r="D776" s="27" t="str">
        <x:v>EPS-P01 shares sum one</x:v>
      </x:c>
      <x:c r="E776" s="27" t="n">
        <x:f>IF(ABS(SUMIFS('Allocation Build'!E7:E83,'Allocation Build'!B7:B83,"EPS-P01")-1)&lt;0.000001,1,0)</x:f>
        <x:v>1</x:v>
      </x:c>
      <x:c r="F776" s="27" t="n">
        <x:v>1</x:v>
      </x:c>
      <x:c r="G776" s="29" t="str">
        <x:f>IF(E776=F776,"PASS","FAIL")</x:f>
        <x:v>PASS</x:v>
      </x:c>
    </x:row>
    <x:row r="777" ht="18" customHeight="1">
      <x:c r="B777" s="27" t="str">
        <x:v>A0771</x:v>
      </x:c>
      <x:c r="C777" s="27" t="str">
        <x:v>allocation</x:v>
      </x:c>
      <x:c r="D777" s="27" t="str">
        <x:v>EPS-P01 mass reconciles</x:v>
      </x:c>
      <x:c r="E777" s="27" t="n">
        <x:f>IF(ABS(SUMIFS('Allocation Build'!F7:F83,'Allocation Build'!B7:B83,"EPS-P01")-'Article Baselines'!E14)&lt;0.000001,1,0)</x:f>
        <x:v>1</x:v>
      </x:c>
      <x:c r="F777" s="27" t="n">
        <x:v>1</x:v>
      </x:c>
      <x:c r="G777" s="29" t="str">
        <x:f>IF(E777=F777,"PASS","FAIL")</x:f>
        <x:v>PASS</x:v>
      </x:c>
    </x:row>
    <x:row r="778" ht="18" customHeight="1">
      <x:c r="B778" s="27" t="str">
        <x:v>A0772</x:v>
      </x:c>
      <x:c r="C778" s="27" t="str">
        <x:v>allocation</x:v>
      </x:c>
      <x:c r="D778" s="27" t="str">
        <x:v>EPS-P01 volume reconciles</x:v>
      </x:c>
      <x:c r="E778" s="27" t="n">
        <x:f>IF(ABS(SUMIFS('Allocation Build'!G7:G83,'Allocation Build'!B7:B83,"EPS-P01")-'Article Baselines'!F14)&lt;0.000001,1,0)</x:f>
        <x:v>1</x:v>
      </x:c>
      <x:c r="F778" s="27" t="n">
        <x:v>1</x:v>
      </x:c>
      <x:c r="G778" s="29" t="str">
        <x:f>IF(E778=F778,"PASS","FAIL")</x:f>
        <x:v>PASS</x:v>
      </x:c>
    </x:row>
    <x:row r="779" ht="18" customHeight="1">
      <x:c r="B779" s="27" t="str">
        <x:v>A0773</x:v>
      </x:c>
      <x:c r="C779" s="27" t="str">
        <x:v>allocation</x:v>
      </x:c>
      <x:c r="D779" s="27" t="str">
        <x:v>TKS-C01 shares sum one</x:v>
      </x:c>
      <x:c r="E779" s="27" t="n">
        <x:f>IF(ABS(SUMIFS('Allocation Build'!E7:E83,'Allocation Build'!B7:B83,"TKS-C01")-1)&lt;0.000001,1,0)</x:f>
        <x:v>1</x:v>
      </x:c>
      <x:c r="F779" s="27" t="n">
        <x:v>1</x:v>
      </x:c>
      <x:c r="G779" s="29" t="str">
        <x:f>IF(E779=F779,"PASS","FAIL")</x:f>
        <x:v>PASS</x:v>
      </x:c>
    </x:row>
    <x:row r="780" ht="18" customHeight="1">
      <x:c r="B780" s="27" t="str">
        <x:v>A0774</x:v>
      </x:c>
      <x:c r="C780" s="27" t="str">
        <x:v>allocation</x:v>
      </x:c>
      <x:c r="D780" s="27" t="str">
        <x:v>TKS-C01 mass reconciles</x:v>
      </x:c>
      <x:c r="E780" s="27" t="n">
        <x:f>IF(ABS(SUMIFS('Allocation Build'!F7:F83,'Allocation Build'!B7:B83,"TKS-C01")-'Article Baselines'!E15)&lt;0.000001,1,0)</x:f>
        <x:v>1</x:v>
      </x:c>
      <x:c r="F780" s="27" t="n">
        <x:v>1</x:v>
      </x:c>
      <x:c r="G780" s="29" t="str">
        <x:f>IF(E780=F780,"PASS","FAIL")</x:f>
        <x:v>PASS</x:v>
      </x:c>
    </x:row>
    <x:row r="781" ht="18" customHeight="1">
      <x:c r="B781" s="27" t="str">
        <x:v>A0775</x:v>
      </x:c>
      <x:c r="C781" s="27" t="str">
        <x:v>allocation</x:v>
      </x:c>
      <x:c r="D781" s="27" t="str">
        <x:v>TKS-C01 volume reconciles</x:v>
      </x:c>
      <x:c r="E781" s="27" t="n">
        <x:f>IF(ABS(SUMIFS('Allocation Build'!G7:G83,'Allocation Build'!B7:B83,"TKS-C01")-'Article Baselines'!F15)&lt;0.000001,1,0)</x:f>
        <x:v>1</x:v>
      </x:c>
      <x:c r="F781" s="27" t="n">
        <x:v>1</x:v>
      </x:c>
      <x:c r="G781" s="29" t="str">
        <x:f>IF(E781=F781,"PASS","FAIL")</x:f>
        <x:v>PASS</x:v>
      </x:c>
    </x:row>
    <x:row r="782" ht="18" customHeight="1">
      <x:c r="B782" s="27" t="str">
        <x:v>A0776</x:v>
      </x:c>
      <x:c r="C782" s="27" t="str">
        <x:v>allocation</x:v>
      </x:c>
      <x:c r="D782" s="27" t="str">
        <x:v>STG-S01 shares sum one</x:v>
      </x:c>
      <x:c r="E782" s="27" t="n">
        <x:f>IF(ABS(SUMIFS('Allocation Build'!E7:E83,'Allocation Build'!B7:B83,"STG-S01")-1)&lt;0.000001,1,0)</x:f>
        <x:v>1</x:v>
      </x:c>
      <x:c r="F782" s="27" t="n">
        <x:v>1</x:v>
      </x:c>
      <x:c r="G782" s="29" t="str">
        <x:f>IF(E782=F782,"PASS","FAIL")</x:f>
        <x:v>PASS</x:v>
      </x:c>
    </x:row>
    <x:row r="783" ht="18" customHeight="1">
      <x:c r="B783" s="27" t="str">
        <x:v>A0777</x:v>
      </x:c>
      <x:c r="C783" s="27" t="str">
        <x:v>allocation</x:v>
      </x:c>
      <x:c r="D783" s="27" t="str">
        <x:v>STG-S01 mass reconciles</x:v>
      </x:c>
      <x:c r="E783" s="27" t="n">
        <x:f>IF(ABS(SUMIFS('Allocation Build'!F7:F83,'Allocation Build'!B7:B83,"STG-S01")-'Article Baselines'!E16)&lt;0.000001,1,0)</x:f>
        <x:v>1</x:v>
      </x:c>
      <x:c r="F783" s="27" t="n">
        <x:v>1</x:v>
      </x:c>
      <x:c r="G783" s="29" t="str">
        <x:f>IF(E783=F783,"PASS","FAIL")</x:f>
        <x:v>PASS</x:v>
      </x:c>
    </x:row>
    <x:row r="784" ht="18" customHeight="1">
      <x:c r="B784" s="27" t="str">
        <x:v>A0778</x:v>
      </x:c>
      <x:c r="C784" s="27" t="str">
        <x:v>allocation</x:v>
      </x:c>
      <x:c r="D784" s="27" t="str">
        <x:v>STG-S01 volume reconciles</x:v>
      </x:c>
      <x:c r="E784" s="27" t="n">
        <x:f>IF(ABS(SUMIFS('Allocation Build'!G7:G83,'Allocation Build'!B7:B83,"STG-S01")-'Article Baselines'!F16)&lt;0.000001,1,0)</x:f>
        <x:v>1</x:v>
      </x:c>
      <x:c r="F784" s="27" t="n">
        <x:v>1</x:v>
      </x:c>
      <x:c r="G784" s="29" t="str">
        <x:f>IF(E784=F784,"PASS","FAIL")</x:f>
        <x:v>PASS</x:v>
      </x:c>
    </x:row>
    <x:row r="785" ht="18" customHeight="1">
      <x:c r="B785" s="27" t="str">
        <x:v>A0779</x:v>
      </x:c>
      <x:c r="C785" s="27" t="str">
        <x:v>allocation</x:v>
      </x:c>
      <x:c r="D785" s="27" t="str">
        <x:v>MHE-E01 shares sum one</x:v>
      </x:c>
      <x:c r="E785" s="27" t="n">
        <x:f>IF(ABS(SUMIFS('Allocation Build'!E7:E83,'Allocation Build'!B7:B83,"MHE-E01")-1)&lt;0.000001,1,0)</x:f>
        <x:v>1</x:v>
      </x:c>
      <x:c r="F785" s="27" t="n">
        <x:v>1</x:v>
      </x:c>
      <x:c r="G785" s="29" t="str">
        <x:f>IF(E785=F785,"PASS","FAIL")</x:f>
        <x:v>PASS</x:v>
      </x:c>
    </x:row>
    <x:row r="786" ht="18" customHeight="1">
      <x:c r="B786" s="27" t="str">
        <x:v>A0780</x:v>
      </x:c>
      <x:c r="C786" s="27" t="str">
        <x:v>allocation</x:v>
      </x:c>
      <x:c r="D786" s="27" t="str">
        <x:v>MHE-E01 mass reconciles</x:v>
      </x:c>
      <x:c r="E786" s="27" t="n">
        <x:f>IF(ABS(SUMIFS('Allocation Build'!F7:F83,'Allocation Build'!B7:B83,"MHE-E01")-'Article Baselines'!E17)&lt;0.000001,1,0)</x:f>
        <x:v>1</x:v>
      </x:c>
      <x:c r="F786" s="27" t="n">
        <x:v>1</x:v>
      </x:c>
      <x:c r="G786" s="29" t="str">
        <x:f>IF(E786=F786,"PASS","FAIL")</x:f>
        <x:v>PASS</x:v>
      </x:c>
    </x:row>
    <x:row r="787" ht="18" customHeight="1">
      <x:c r="B787" s="27" t="str">
        <x:v>A0781</x:v>
      </x:c>
      <x:c r="C787" s="27" t="str">
        <x:v>allocation</x:v>
      </x:c>
      <x:c r="D787" s="27" t="str">
        <x:v>MHE-E01 volume reconciles</x:v>
      </x:c>
      <x:c r="E787" s="27" t="n">
        <x:f>IF(ABS(SUMIFS('Allocation Build'!G7:G83,'Allocation Build'!B7:B83,"MHE-E01")-'Article Baselines'!F17)&lt;0.000001,1,0)</x:f>
        <x:v>1</x:v>
      </x:c>
      <x:c r="F787" s="27" t="n">
        <x:v>1</x:v>
      </x:c>
      <x:c r="G787" s="29" t="str">
        <x:f>IF(E787=F787,"PASS","FAIL")</x:f>
        <x:v>PASS</x:v>
      </x:c>
    </x:row>
    <x:row r="788" ht="18" customHeight="1">
      <x:c r="B788" s="27" t="str">
        <x:v>A0782</x:v>
      </x:c>
      <x:c r="C788" s="27" t="str">
        <x:v>package</x:v>
      </x:c>
      <x:c r="D788" s="27" t="str">
        <x:v>Package row 7 required content</x:v>
      </x:c>
      <x:c r="E788" s="27" t="n">
        <x:f>IF('Build Packages'!F7&lt;&gt;"",1,0)</x:f>
        <x:v>1</x:v>
      </x:c>
      <x:c r="F788" s="27" t="n">
        <x:v>1</x:v>
      </x:c>
      <x:c r="G788" s="29" t="str">
        <x:f>IF(E788=F788,"PASS","FAIL")</x:f>
        <x:v>PASS</x:v>
      </x:c>
    </x:row>
    <x:row r="789" ht="18" customHeight="1">
      <x:c r="B789" s="27" t="str">
        <x:v>A0783</x:v>
      </x:c>
      <x:c r="C789" s="27" t="str">
        <x:v>package</x:v>
      </x:c>
      <x:c r="D789" s="27" t="str">
        <x:v>Package row 7 draft state</x:v>
      </x:c>
      <x:c r="E789" s="27" t="n">
        <x:f>IF('Build Packages'!H7="DRAFT",1,0)</x:f>
        <x:v>1</x:v>
      </x:c>
      <x:c r="F789" s="27" t="n">
        <x:v>1</x:v>
      </x:c>
      <x:c r="G789" s="29" t="str">
        <x:f>IF(E789=F789,"PASS","FAIL")</x:f>
        <x:v>PASS</x:v>
      </x:c>
    </x:row>
    <x:row r="790" ht="18" customHeight="1">
      <x:c r="B790" s="27" t="str">
        <x:v>A0784</x:v>
      </x:c>
      <x:c r="C790" s="27" t="str">
        <x:v>package</x:v>
      </x:c>
      <x:c r="D790" s="27" t="str">
        <x:v>Package row 7 approval open</x:v>
      </x:c>
      <x:c r="E790" s="27" t="n">
        <x:f>IF('Build Packages'!I7="OPEN",1,0)</x:f>
        <x:v>1</x:v>
      </x:c>
      <x:c r="F790" s="27" t="n">
        <x:v>1</x:v>
      </x:c>
      <x:c r="G790" s="29" t="str">
        <x:f>IF(E790=F790,"PASS","FAIL")</x:f>
        <x:v>PASS</x:v>
      </x:c>
    </x:row>
    <x:row r="791" ht="18" customHeight="1">
      <x:c r="B791" s="27" t="str">
        <x:v>A0785</x:v>
      </x:c>
      <x:c r="C791" s="27" t="str">
        <x:v>package</x:v>
      </x:c>
      <x:c r="D791" s="27" t="str">
        <x:v>Package row 7 zero credit</x:v>
      </x:c>
      <x:c r="E791" s="27" t="n">
        <x:f>IF('Build Packages'!J7=0,1,0)</x:f>
        <x:v>1</x:v>
      </x:c>
      <x:c r="F791" s="27" t="n">
        <x:v>1</x:v>
      </x:c>
      <x:c r="G791" s="29" t="str">
        <x:f>IF(E791=F791,"PASS","FAIL")</x:f>
        <x:v>PASS</x:v>
      </x:c>
    </x:row>
    <x:row r="792" ht="18" customHeight="1">
      <x:c r="B792" s="27" t="str">
        <x:v>A0786</x:v>
      </x:c>
      <x:c r="C792" s="27" t="str">
        <x:v>package</x:v>
      </x:c>
      <x:c r="D792" s="27" t="str">
        <x:v>Package row 8 required content</x:v>
      </x:c>
      <x:c r="E792" s="27" t="n">
        <x:f>IF('Build Packages'!F8&lt;&gt;"",1,0)</x:f>
        <x:v>1</x:v>
      </x:c>
      <x:c r="F792" s="27" t="n">
        <x:v>1</x:v>
      </x:c>
      <x:c r="G792" s="29" t="str">
        <x:f>IF(E792=F792,"PASS","FAIL")</x:f>
        <x:v>PASS</x:v>
      </x:c>
    </x:row>
    <x:row r="793" ht="18" customHeight="1">
      <x:c r="B793" s="27" t="str">
        <x:v>A0787</x:v>
      </x:c>
      <x:c r="C793" s="27" t="str">
        <x:v>package</x:v>
      </x:c>
      <x:c r="D793" s="27" t="str">
        <x:v>Package row 8 draft state</x:v>
      </x:c>
      <x:c r="E793" s="27" t="n">
        <x:f>IF('Build Packages'!H8="DRAFT",1,0)</x:f>
        <x:v>1</x:v>
      </x:c>
      <x:c r="F793" s="27" t="n">
        <x:v>1</x:v>
      </x:c>
      <x:c r="G793" s="29" t="str">
        <x:f>IF(E793=F793,"PASS","FAIL")</x:f>
        <x:v>PASS</x:v>
      </x:c>
    </x:row>
    <x:row r="794" ht="18" customHeight="1">
      <x:c r="B794" s="27" t="str">
        <x:v>A0788</x:v>
      </x:c>
      <x:c r="C794" s="27" t="str">
        <x:v>package</x:v>
      </x:c>
      <x:c r="D794" s="27" t="str">
        <x:v>Package row 8 approval open</x:v>
      </x:c>
      <x:c r="E794" s="27" t="n">
        <x:f>IF('Build Packages'!I8="OPEN",1,0)</x:f>
        <x:v>1</x:v>
      </x:c>
      <x:c r="F794" s="27" t="n">
        <x:v>1</x:v>
      </x:c>
      <x:c r="G794" s="29" t="str">
        <x:f>IF(E794=F794,"PASS","FAIL")</x:f>
        <x:v>PASS</x:v>
      </x:c>
    </x:row>
    <x:row r="795" ht="18" customHeight="1">
      <x:c r="B795" s="27" t="str">
        <x:v>A0789</x:v>
      </x:c>
      <x:c r="C795" s="27" t="str">
        <x:v>package</x:v>
      </x:c>
      <x:c r="D795" s="27" t="str">
        <x:v>Package row 8 zero credit</x:v>
      </x:c>
      <x:c r="E795" s="27" t="n">
        <x:f>IF('Build Packages'!J8=0,1,0)</x:f>
        <x:v>1</x:v>
      </x:c>
      <x:c r="F795" s="27" t="n">
        <x:v>1</x:v>
      </x:c>
      <x:c r="G795" s="29" t="str">
        <x:f>IF(E795=F795,"PASS","FAIL")</x:f>
        <x:v>PASS</x:v>
      </x:c>
    </x:row>
    <x:row r="796" ht="18" customHeight="1">
      <x:c r="B796" s="27" t="str">
        <x:v>A0790</x:v>
      </x:c>
      <x:c r="C796" s="27" t="str">
        <x:v>package</x:v>
      </x:c>
      <x:c r="D796" s="27" t="str">
        <x:v>Package row 9 required content</x:v>
      </x:c>
      <x:c r="E796" s="27" t="n">
        <x:f>IF('Build Packages'!F9&lt;&gt;"",1,0)</x:f>
        <x:v>1</x:v>
      </x:c>
      <x:c r="F796" s="27" t="n">
        <x:v>1</x:v>
      </x:c>
      <x:c r="G796" s="29" t="str">
        <x:f>IF(E796=F796,"PASS","FAIL")</x:f>
        <x:v>PASS</x:v>
      </x:c>
    </x:row>
    <x:row r="797" ht="18" customHeight="1">
      <x:c r="B797" s="27" t="str">
        <x:v>A0791</x:v>
      </x:c>
      <x:c r="C797" s="27" t="str">
        <x:v>package</x:v>
      </x:c>
      <x:c r="D797" s="27" t="str">
        <x:v>Package row 9 draft state</x:v>
      </x:c>
      <x:c r="E797" s="27" t="n">
        <x:f>IF('Build Packages'!H9="DRAFT",1,0)</x:f>
        <x:v>1</x:v>
      </x:c>
      <x:c r="F797" s="27" t="n">
        <x:v>1</x:v>
      </x:c>
      <x:c r="G797" s="29" t="str">
        <x:f>IF(E797=F797,"PASS","FAIL")</x:f>
        <x:v>PASS</x:v>
      </x:c>
    </x:row>
    <x:row r="798" ht="18" customHeight="1">
      <x:c r="B798" s="27" t="str">
        <x:v>A0792</x:v>
      </x:c>
      <x:c r="C798" s="27" t="str">
        <x:v>package</x:v>
      </x:c>
      <x:c r="D798" s="27" t="str">
        <x:v>Package row 9 approval open</x:v>
      </x:c>
      <x:c r="E798" s="27" t="n">
        <x:f>IF('Build Packages'!I9="OPEN",1,0)</x:f>
        <x:v>1</x:v>
      </x:c>
      <x:c r="F798" s="27" t="n">
        <x:v>1</x:v>
      </x:c>
      <x:c r="G798" s="29" t="str">
        <x:f>IF(E798=F798,"PASS","FAIL")</x:f>
        <x:v>PASS</x:v>
      </x:c>
    </x:row>
    <x:row r="799" ht="18" customHeight="1">
      <x:c r="B799" s="27" t="str">
        <x:v>A0793</x:v>
      </x:c>
      <x:c r="C799" s="27" t="str">
        <x:v>package</x:v>
      </x:c>
      <x:c r="D799" s="27" t="str">
        <x:v>Package row 9 zero credit</x:v>
      </x:c>
      <x:c r="E799" s="27" t="n">
        <x:f>IF('Build Packages'!J9=0,1,0)</x:f>
        <x:v>1</x:v>
      </x:c>
      <x:c r="F799" s="27" t="n">
        <x:v>1</x:v>
      </x:c>
      <x:c r="G799" s="29" t="str">
        <x:f>IF(E799=F799,"PASS","FAIL")</x:f>
        <x:v>PASS</x:v>
      </x:c>
    </x:row>
    <x:row r="800" ht="18" customHeight="1">
      <x:c r="B800" s="27" t="str">
        <x:v>A0794</x:v>
      </x:c>
      <x:c r="C800" s="27" t="str">
        <x:v>package</x:v>
      </x:c>
      <x:c r="D800" s="27" t="str">
        <x:v>Package row 10 required content</x:v>
      </x:c>
      <x:c r="E800" s="27" t="n">
        <x:f>IF('Build Packages'!F10&lt;&gt;"",1,0)</x:f>
        <x:v>1</x:v>
      </x:c>
      <x:c r="F800" s="27" t="n">
        <x:v>1</x:v>
      </x:c>
      <x:c r="G800" s="29" t="str">
        <x:f>IF(E800=F800,"PASS","FAIL")</x:f>
        <x:v>PASS</x:v>
      </x:c>
    </x:row>
    <x:row r="801" ht="18" customHeight="1">
      <x:c r="B801" s="27" t="str">
        <x:v>A0795</x:v>
      </x:c>
      <x:c r="C801" s="27" t="str">
        <x:v>package</x:v>
      </x:c>
      <x:c r="D801" s="27" t="str">
        <x:v>Package row 10 draft state</x:v>
      </x:c>
      <x:c r="E801" s="27" t="n">
        <x:f>IF('Build Packages'!H10="DRAFT",1,0)</x:f>
        <x:v>1</x:v>
      </x:c>
      <x:c r="F801" s="27" t="n">
        <x:v>1</x:v>
      </x:c>
      <x:c r="G801" s="29" t="str">
        <x:f>IF(E801=F801,"PASS","FAIL")</x:f>
        <x:v>PASS</x:v>
      </x:c>
    </x:row>
    <x:row r="802" ht="18" customHeight="1">
      <x:c r="B802" s="27" t="str">
        <x:v>A0796</x:v>
      </x:c>
      <x:c r="C802" s="27" t="str">
        <x:v>package</x:v>
      </x:c>
      <x:c r="D802" s="27" t="str">
        <x:v>Package row 10 approval open</x:v>
      </x:c>
      <x:c r="E802" s="27" t="n">
        <x:f>IF('Build Packages'!I10="OPEN",1,0)</x:f>
        <x:v>1</x:v>
      </x:c>
      <x:c r="F802" s="27" t="n">
        <x:v>1</x:v>
      </x:c>
      <x:c r="G802" s="29" t="str">
        <x:f>IF(E802=F802,"PASS","FAIL")</x:f>
        <x:v>PASS</x:v>
      </x:c>
    </x:row>
    <x:row r="803" ht="18" customHeight="1">
      <x:c r="B803" s="27" t="str">
        <x:v>A0797</x:v>
      </x:c>
      <x:c r="C803" s="27" t="str">
        <x:v>package</x:v>
      </x:c>
      <x:c r="D803" s="27" t="str">
        <x:v>Package row 10 zero credit</x:v>
      </x:c>
      <x:c r="E803" s="27" t="n">
        <x:f>IF('Build Packages'!J10=0,1,0)</x:f>
        <x:v>1</x:v>
      </x:c>
      <x:c r="F803" s="27" t="n">
        <x:v>1</x:v>
      </x:c>
      <x:c r="G803" s="29" t="str">
        <x:f>IF(E803=F803,"PASS","FAIL")</x:f>
        <x:v>PASS</x:v>
      </x:c>
    </x:row>
    <x:row r="804" ht="18" customHeight="1">
      <x:c r="B804" s="27" t="str">
        <x:v>A0798</x:v>
      </x:c>
      <x:c r="C804" s="27" t="str">
        <x:v>package</x:v>
      </x:c>
      <x:c r="D804" s="27" t="str">
        <x:v>Package row 11 required content</x:v>
      </x:c>
      <x:c r="E804" s="27" t="n">
        <x:f>IF('Build Packages'!F11&lt;&gt;"",1,0)</x:f>
        <x:v>1</x:v>
      </x:c>
      <x:c r="F804" s="27" t="n">
        <x:v>1</x:v>
      </x:c>
      <x:c r="G804" s="29" t="str">
        <x:f>IF(E804=F804,"PASS","FAIL")</x:f>
        <x:v>PASS</x:v>
      </x:c>
    </x:row>
    <x:row r="805" ht="18" customHeight="1">
      <x:c r="B805" s="27" t="str">
        <x:v>A0799</x:v>
      </x:c>
      <x:c r="C805" s="27" t="str">
        <x:v>package</x:v>
      </x:c>
      <x:c r="D805" s="27" t="str">
        <x:v>Package row 11 draft state</x:v>
      </x:c>
      <x:c r="E805" s="27" t="n">
        <x:f>IF('Build Packages'!H11="DRAFT",1,0)</x:f>
        <x:v>1</x:v>
      </x:c>
      <x:c r="F805" s="27" t="n">
        <x:v>1</x:v>
      </x:c>
      <x:c r="G805" s="29" t="str">
        <x:f>IF(E805=F805,"PASS","FAIL")</x:f>
        <x:v>PASS</x:v>
      </x:c>
    </x:row>
    <x:row r="806" ht="18" customHeight="1">
      <x:c r="B806" s="27" t="str">
        <x:v>A0800</x:v>
      </x:c>
      <x:c r="C806" s="27" t="str">
        <x:v>package</x:v>
      </x:c>
      <x:c r="D806" s="27" t="str">
        <x:v>Package row 11 approval open</x:v>
      </x:c>
      <x:c r="E806" s="27" t="n">
        <x:f>IF('Build Packages'!I11="OPEN",1,0)</x:f>
        <x:v>1</x:v>
      </x:c>
      <x:c r="F806" s="27" t="n">
        <x:v>1</x:v>
      </x:c>
      <x:c r="G806" s="29" t="str">
        <x:f>IF(E806=F806,"PASS","FAIL")</x:f>
        <x:v>PASS</x:v>
      </x:c>
    </x:row>
    <x:row r="807" ht="18" customHeight="1">
      <x:c r="B807" s="27" t="str">
        <x:v>A0801</x:v>
      </x:c>
      <x:c r="C807" s="27" t="str">
        <x:v>package</x:v>
      </x:c>
      <x:c r="D807" s="27" t="str">
        <x:v>Package row 11 zero credit</x:v>
      </x:c>
      <x:c r="E807" s="27" t="n">
        <x:f>IF('Build Packages'!J11=0,1,0)</x:f>
        <x:v>1</x:v>
      </x:c>
      <x:c r="F807" s="27" t="n">
        <x:v>1</x:v>
      </x:c>
      <x:c r="G807" s="29" t="str">
        <x:f>IF(E807=F807,"PASS","FAIL")</x:f>
        <x:v>PASS</x:v>
      </x:c>
    </x:row>
    <x:row r="808" ht="18" customHeight="1">
      <x:c r="B808" s="27" t="str">
        <x:v>A0802</x:v>
      </x:c>
      <x:c r="C808" s="27" t="str">
        <x:v>package</x:v>
      </x:c>
      <x:c r="D808" s="27" t="str">
        <x:v>Package row 12 required content</x:v>
      </x:c>
      <x:c r="E808" s="27" t="n">
        <x:f>IF('Build Packages'!F12&lt;&gt;"",1,0)</x:f>
        <x:v>1</x:v>
      </x:c>
      <x:c r="F808" s="27" t="n">
        <x:v>1</x:v>
      </x:c>
      <x:c r="G808" s="29" t="str">
        <x:f>IF(E808=F808,"PASS","FAIL")</x:f>
        <x:v>PASS</x:v>
      </x:c>
    </x:row>
    <x:row r="809" ht="18" customHeight="1">
      <x:c r="B809" s="27" t="str">
        <x:v>A0803</x:v>
      </x:c>
      <x:c r="C809" s="27" t="str">
        <x:v>package</x:v>
      </x:c>
      <x:c r="D809" s="27" t="str">
        <x:v>Package row 12 draft state</x:v>
      </x:c>
      <x:c r="E809" s="27" t="n">
        <x:f>IF('Build Packages'!H12="DRAFT",1,0)</x:f>
        <x:v>1</x:v>
      </x:c>
      <x:c r="F809" s="27" t="n">
        <x:v>1</x:v>
      </x:c>
      <x:c r="G809" s="29" t="str">
        <x:f>IF(E809=F809,"PASS","FAIL")</x:f>
        <x:v>PASS</x:v>
      </x:c>
    </x:row>
    <x:row r="810" ht="18" customHeight="1">
      <x:c r="B810" s="27" t="str">
        <x:v>A0804</x:v>
      </x:c>
      <x:c r="C810" s="27" t="str">
        <x:v>package</x:v>
      </x:c>
      <x:c r="D810" s="27" t="str">
        <x:v>Package row 12 approval open</x:v>
      </x:c>
      <x:c r="E810" s="27" t="n">
        <x:f>IF('Build Packages'!I12="OPEN",1,0)</x:f>
        <x:v>1</x:v>
      </x:c>
      <x:c r="F810" s="27" t="n">
        <x:v>1</x:v>
      </x:c>
      <x:c r="G810" s="29" t="str">
        <x:f>IF(E810=F810,"PASS","FAIL")</x:f>
        <x:v>PASS</x:v>
      </x:c>
    </x:row>
    <x:row r="811" ht="18" customHeight="1">
      <x:c r="B811" s="27" t="str">
        <x:v>A0805</x:v>
      </x:c>
      <x:c r="C811" s="27" t="str">
        <x:v>package</x:v>
      </x:c>
      <x:c r="D811" s="27" t="str">
        <x:v>Package row 12 zero credit</x:v>
      </x:c>
      <x:c r="E811" s="27" t="n">
        <x:f>IF('Build Packages'!J12=0,1,0)</x:f>
        <x:v>1</x:v>
      </x:c>
      <x:c r="F811" s="27" t="n">
        <x:v>1</x:v>
      </x:c>
      <x:c r="G811" s="29" t="str">
        <x:f>IF(E811=F811,"PASS","FAIL")</x:f>
        <x:v>PASS</x:v>
      </x:c>
    </x:row>
    <x:row r="812" ht="18" customHeight="1">
      <x:c r="B812" s="27" t="str">
        <x:v>A0806</x:v>
      </x:c>
      <x:c r="C812" s="27" t="str">
        <x:v>package</x:v>
      </x:c>
      <x:c r="D812" s="27" t="str">
        <x:v>Package row 13 required content</x:v>
      </x:c>
      <x:c r="E812" s="27" t="n">
        <x:f>IF('Build Packages'!F13&lt;&gt;"",1,0)</x:f>
        <x:v>1</x:v>
      </x:c>
      <x:c r="F812" s="27" t="n">
        <x:v>1</x:v>
      </x:c>
      <x:c r="G812" s="29" t="str">
        <x:f>IF(E812=F812,"PASS","FAIL")</x:f>
        <x:v>PASS</x:v>
      </x:c>
    </x:row>
    <x:row r="813" ht="18" customHeight="1">
      <x:c r="B813" s="27" t="str">
        <x:v>A0807</x:v>
      </x:c>
      <x:c r="C813" s="27" t="str">
        <x:v>package</x:v>
      </x:c>
      <x:c r="D813" s="27" t="str">
        <x:v>Package row 13 draft state</x:v>
      </x:c>
      <x:c r="E813" s="27" t="n">
        <x:f>IF('Build Packages'!H13="DRAFT",1,0)</x:f>
        <x:v>1</x:v>
      </x:c>
      <x:c r="F813" s="27" t="n">
        <x:v>1</x:v>
      </x:c>
      <x:c r="G813" s="29" t="str">
        <x:f>IF(E813=F813,"PASS","FAIL")</x:f>
        <x:v>PASS</x:v>
      </x:c>
    </x:row>
    <x:row r="814" ht="18" customHeight="1">
      <x:c r="B814" s="27" t="str">
        <x:v>A0808</x:v>
      </x:c>
      <x:c r="C814" s="27" t="str">
        <x:v>package</x:v>
      </x:c>
      <x:c r="D814" s="27" t="str">
        <x:v>Package row 13 approval open</x:v>
      </x:c>
      <x:c r="E814" s="27" t="n">
        <x:f>IF('Build Packages'!I13="OPEN",1,0)</x:f>
        <x:v>1</x:v>
      </x:c>
      <x:c r="F814" s="27" t="n">
        <x:v>1</x:v>
      </x:c>
      <x:c r="G814" s="29" t="str">
        <x:f>IF(E814=F814,"PASS","FAIL")</x:f>
        <x:v>PASS</x:v>
      </x:c>
    </x:row>
    <x:row r="815" ht="18" customHeight="1">
      <x:c r="B815" s="27" t="str">
        <x:v>A0809</x:v>
      </x:c>
      <x:c r="C815" s="27" t="str">
        <x:v>package</x:v>
      </x:c>
      <x:c r="D815" s="27" t="str">
        <x:v>Package row 13 zero credit</x:v>
      </x:c>
      <x:c r="E815" s="27" t="n">
        <x:f>IF('Build Packages'!J13=0,1,0)</x:f>
        <x:v>1</x:v>
      </x:c>
      <x:c r="F815" s="27" t="n">
        <x:v>1</x:v>
      </x:c>
      <x:c r="G815" s="29" t="str">
        <x:f>IF(E815=F815,"PASS","FAIL")</x:f>
        <x:v>PASS</x:v>
      </x:c>
    </x:row>
    <x:row r="816" ht="18" customHeight="1">
      <x:c r="B816" s="27" t="str">
        <x:v>A0810</x:v>
      </x:c>
      <x:c r="C816" s="27" t="str">
        <x:v>package</x:v>
      </x:c>
      <x:c r="D816" s="27" t="str">
        <x:v>Package row 14 required content</x:v>
      </x:c>
      <x:c r="E816" s="27" t="n">
        <x:f>IF('Build Packages'!F14&lt;&gt;"",1,0)</x:f>
        <x:v>1</x:v>
      </x:c>
      <x:c r="F816" s="27" t="n">
        <x:v>1</x:v>
      </x:c>
      <x:c r="G816" s="29" t="str">
        <x:f>IF(E816=F816,"PASS","FAIL")</x:f>
        <x:v>PASS</x:v>
      </x:c>
    </x:row>
    <x:row r="817" ht="18" customHeight="1">
      <x:c r="B817" s="27" t="str">
        <x:v>A0811</x:v>
      </x:c>
      <x:c r="C817" s="27" t="str">
        <x:v>package</x:v>
      </x:c>
      <x:c r="D817" s="27" t="str">
        <x:v>Package row 14 draft state</x:v>
      </x:c>
      <x:c r="E817" s="27" t="n">
        <x:f>IF('Build Packages'!H14="DRAFT",1,0)</x:f>
        <x:v>1</x:v>
      </x:c>
      <x:c r="F817" s="27" t="n">
        <x:v>1</x:v>
      </x:c>
      <x:c r="G817" s="29" t="str">
        <x:f>IF(E817=F817,"PASS","FAIL")</x:f>
        <x:v>PASS</x:v>
      </x:c>
    </x:row>
    <x:row r="818" ht="18" customHeight="1">
      <x:c r="B818" s="27" t="str">
        <x:v>A0812</x:v>
      </x:c>
      <x:c r="C818" s="27" t="str">
        <x:v>package</x:v>
      </x:c>
      <x:c r="D818" s="27" t="str">
        <x:v>Package row 14 approval open</x:v>
      </x:c>
      <x:c r="E818" s="27" t="n">
        <x:f>IF('Build Packages'!I14="OPEN",1,0)</x:f>
        <x:v>1</x:v>
      </x:c>
      <x:c r="F818" s="27" t="n">
        <x:v>1</x:v>
      </x:c>
      <x:c r="G818" s="29" t="str">
        <x:f>IF(E818=F818,"PASS","FAIL")</x:f>
        <x:v>PASS</x:v>
      </x:c>
    </x:row>
    <x:row r="819" ht="18" customHeight="1">
      <x:c r="B819" s="27" t="str">
        <x:v>A0813</x:v>
      </x:c>
      <x:c r="C819" s="27" t="str">
        <x:v>package</x:v>
      </x:c>
      <x:c r="D819" s="27" t="str">
        <x:v>Package row 14 zero credit</x:v>
      </x:c>
      <x:c r="E819" s="27" t="n">
        <x:f>IF('Build Packages'!J14=0,1,0)</x:f>
        <x:v>1</x:v>
      </x:c>
      <x:c r="F819" s="27" t="n">
        <x:v>1</x:v>
      </x:c>
      <x:c r="G819" s="29" t="str">
        <x:f>IF(E819=F819,"PASS","FAIL")</x:f>
        <x:v>PASS</x:v>
      </x:c>
    </x:row>
    <x:row r="820" ht="18" customHeight="1">
      <x:c r="B820" s="27" t="str">
        <x:v>A0814</x:v>
      </x:c>
      <x:c r="C820" s="27" t="str">
        <x:v>package</x:v>
      </x:c>
      <x:c r="D820" s="27" t="str">
        <x:v>Package row 15 required content</x:v>
      </x:c>
      <x:c r="E820" s="27" t="n">
        <x:f>IF('Build Packages'!F15&lt;&gt;"",1,0)</x:f>
        <x:v>1</x:v>
      </x:c>
      <x:c r="F820" s="27" t="n">
        <x:v>1</x:v>
      </x:c>
      <x:c r="G820" s="29" t="str">
        <x:f>IF(E820=F820,"PASS","FAIL")</x:f>
        <x:v>PASS</x:v>
      </x:c>
    </x:row>
    <x:row r="821" ht="18" customHeight="1">
      <x:c r="B821" s="27" t="str">
        <x:v>A0815</x:v>
      </x:c>
      <x:c r="C821" s="27" t="str">
        <x:v>package</x:v>
      </x:c>
      <x:c r="D821" s="27" t="str">
        <x:v>Package row 15 draft state</x:v>
      </x:c>
      <x:c r="E821" s="27" t="n">
        <x:f>IF('Build Packages'!H15="DRAFT",1,0)</x:f>
        <x:v>1</x:v>
      </x:c>
      <x:c r="F821" s="27" t="n">
        <x:v>1</x:v>
      </x:c>
      <x:c r="G821" s="29" t="str">
        <x:f>IF(E821=F821,"PASS","FAIL")</x:f>
        <x:v>PASS</x:v>
      </x:c>
    </x:row>
    <x:row r="822" ht="18" customHeight="1">
      <x:c r="B822" s="27" t="str">
        <x:v>A0816</x:v>
      </x:c>
      <x:c r="C822" s="27" t="str">
        <x:v>package</x:v>
      </x:c>
      <x:c r="D822" s="27" t="str">
        <x:v>Package row 15 approval open</x:v>
      </x:c>
      <x:c r="E822" s="27" t="n">
        <x:f>IF('Build Packages'!I15="OPEN",1,0)</x:f>
        <x:v>1</x:v>
      </x:c>
      <x:c r="F822" s="27" t="n">
        <x:v>1</x:v>
      </x:c>
      <x:c r="G822" s="29" t="str">
        <x:f>IF(E822=F822,"PASS","FAIL")</x:f>
        <x:v>PASS</x:v>
      </x:c>
    </x:row>
    <x:row r="823" ht="18" customHeight="1">
      <x:c r="B823" s="27" t="str">
        <x:v>A0817</x:v>
      </x:c>
      <x:c r="C823" s="27" t="str">
        <x:v>package</x:v>
      </x:c>
      <x:c r="D823" s="27" t="str">
        <x:v>Package row 15 zero credit</x:v>
      </x:c>
      <x:c r="E823" s="27" t="n">
        <x:f>IF('Build Packages'!J15=0,1,0)</x:f>
        <x:v>1</x:v>
      </x:c>
      <x:c r="F823" s="27" t="n">
        <x:v>1</x:v>
      </x:c>
      <x:c r="G823" s="29" t="str">
        <x:f>IF(E823=F823,"PASS","FAIL")</x:f>
        <x:v>PASS</x:v>
      </x:c>
    </x:row>
    <x:row r="824" ht="18" customHeight="1">
      <x:c r="B824" s="27" t="str">
        <x:v>A0818</x:v>
      </x:c>
      <x:c r="C824" s="27" t="str">
        <x:v>package</x:v>
      </x:c>
      <x:c r="D824" s="27" t="str">
        <x:v>Package row 16 required content</x:v>
      </x:c>
      <x:c r="E824" s="27" t="n">
        <x:f>IF('Build Packages'!F16&lt;&gt;"",1,0)</x:f>
        <x:v>1</x:v>
      </x:c>
      <x:c r="F824" s="27" t="n">
        <x:v>1</x:v>
      </x:c>
      <x:c r="G824" s="29" t="str">
        <x:f>IF(E824=F824,"PASS","FAIL")</x:f>
        <x:v>PASS</x:v>
      </x:c>
    </x:row>
    <x:row r="825" ht="18" customHeight="1">
      <x:c r="B825" s="27" t="str">
        <x:v>A0819</x:v>
      </x:c>
      <x:c r="C825" s="27" t="str">
        <x:v>package</x:v>
      </x:c>
      <x:c r="D825" s="27" t="str">
        <x:v>Package row 16 draft state</x:v>
      </x:c>
      <x:c r="E825" s="27" t="n">
        <x:f>IF('Build Packages'!H16="DRAFT",1,0)</x:f>
        <x:v>1</x:v>
      </x:c>
      <x:c r="F825" s="27" t="n">
        <x:v>1</x:v>
      </x:c>
      <x:c r="G825" s="29" t="str">
        <x:f>IF(E825=F825,"PASS","FAIL")</x:f>
        <x:v>PASS</x:v>
      </x:c>
    </x:row>
    <x:row r="826" ht="18" customHeight="1">
      <x:c r="B826" s="27" t="str">
        <x:v>A0820</x:v>
      </x:c>
      <x:c r="C826" s="27" t="str">
        <x:v>package</x:v>
      </x:c>
      <x:c r="D826" s="27" t="str">
        <x:v>Package row 16 approval open</x:v>
      </x:c>
      <x:c r="E826" s="27" t="n">
        <x:f>IF('Build Packages'!I16="OPEN",1,0)</x:f>
        <x:v>1</x:v>
      </x:c>
      <x:c r="F826" s="27" t="n">
        <x:v>1</x:v>
      </x:c>
      <x:c r="G826" s="29" t="str">
        <x:f>IF(E826=F826,"PASS","FAIL")</x:f>
        <x:v>PASS</x:v>
      </x:c>
    </x:row>
    <x:row r="827" ht="18" customHeight="1">
      <x:c r="B827" s="27" t="str">
        <x:v>A0821</x:v>
      </x:c>
      <x:c r="C827" s="27" t="str">
        <x:v>package</x:v>
      </x:c>
      <x:c r="D827" s="27" t="str">
        <x:v>Package row 16 zero credit</x:v>
      </x:c>
      <x:c r="E827" s="27" t="n">
        <x:f>IF('Build Packages'!J16=0,1,0)</x:f>
        <x:v>1</x:v>
      </x:c>
      <x:c r="F827" s="27" t="n">
        <x:v>1</x:v>
      </x:c>
      <x:c r="G827" s="29" t="str">
        <x:f>IF(E827=F827,"PASS","FAIL")</x:f>
        <x:v>PASS</x:v>
      </x:c>
    </x:row>
    <x:row r="828" ht="18" customHeight="1">
      <x:c r="B828" s="27" t="str">
        <x:v>A0822</x:v>
      </x:c>
      <x:c r="C828" s="27" t="str">
        <x:v>package</x:v>
      </x:c>
      <x:c r="D828" s="27" t="str">
        <x:v>Package row 17 required content</x:v>
      </x:c>
      <x:c r="E828" s="27" t="n">
        <x:f>IF('Build Packages'!F17&lt;&gt;"",1,0)</x:f>
        <x:v>1</x:v>
      </x:c>
      <x:c r="F828" s="27" t="n">
        <x:v>1</x:v>
      </x:c>
      <x:c r="G828" s="29" t="str">
        <x:f>IF(E828=F828,"PASS","FAIL")</x:f>
        <x:v>PASS</x:v>
      </x:c>
    </x:row>
    <x:row r="829" ht="18" customHeight="1">
      <x:c r="B829" s="27" t="str">
        <x:v>A0823</x:v>
      </x:c>
      <x:c r="C829" s="27" t="str">
        <x:v>package</x:v>
      </x:c>
      <x:c r="D829" s="27" t="str">
        <x:v>Package row 17 draft state</x:v>
      </x:c>
      <x:c r="E829" s="27" t="n">
        <x:f>IF('Build Packages'!H17="DRAFT",1,0)</x:f>
        <x:v>1</x:v>
      </x:c>
      <x:c r="F829" s="27" t="n">
        <x:v>1</x:v>
      </x:c>
      <x:c r="G829" s="29" t="str">
        <x:f>IF(E829=F829,"PASS","FAIL")</x:f>
        <x:v>PASS</x:v>
      </x:c>
    </x:row>
    <x:row r="830" ht="18" customHeight="1">
      <x:c r="B830" s="27" t="str">
        <x:v>A0824</x:v>
      </x:c>
      <x:c r="C830" s="27" t="str">
        <x:v>package</x:v>
      </x:c>
      <x:c r="D830" s="27" t="str">
        <x:v>Package row 17 approval open</x:v>
      </x:c>
      <x:c r="E830" s="27" t="n">
        <x:f>IF('Build Packages'!I17="OPEN",1,0)</x:f>
        <x:v>1</x:v>
      </x:c>
      <x:c r="F830" s="27" t="n">
        <x:v>1</x:v>
      </x:c>
      <x:c r="G830" s="29" t="str">
        <x:f>IF(E830=F830,"PASS","FAIL")</x:f>
        <x:v>PASS</x:v>
      </x:c>
    </x:row>
    <x:row r="831" ht="18" customHeight="1">
      <x:c r="B831" s="27" t="str">
        <x:v>A0825</x:v>
      </x:c>
      <x:c r="C831" s="27" t="str">
        <x:v>package</x:v>
      </x:c>
      <x:c r="D831" s="27" t="str">
        <x:v>Package row 17 zero credit</x:v>
      </x:c>
      <x:c r="E831" s="27" t="n">
        <x:f>IF('Build Packages'!J17=0,1,0)</x:f>
        <x:v>1</x:v>
      </x:c>
      <x:c r="F831" s="27" t="n">
        <x:v>1</x:v>
      </x:c>
      <x:c r="G831" s="29" t="str">
        <x:f>IF(E831=F831,"PASS","FAIL")</x:f>
        <x:v>PASS</x:v>
      </x:c>
    </x:row>
    <x:row r="832" ht="18" customHeight="1">
      <x:c r="B832" s="27" t="str">
        <x:v>A0826</x:v>
      </x:c>
      <x:c r="C832" s="27" t="str">
        <x:v>package</x:v>
      </x:c>
      <x:c r="D832" s="27" t="str">
        <x:v>Package row 18 required content</x:v>
      </x:c>
      <x:c r="E832" s="27" t="n">
        <x:f>IF('Build Packages'!F18&lt;&gt;"",1,0)</x:f>
        <x:v>1</x:v>
      </x:c>
      <x:c r="F832" s="27" t="n">
        <x:v>1</x:v>
      </x:c>
      <x:c r="G832" s="29" t="str">
        <x:f>IF(E832=F832,"PASS","FAIL")</x:f>
        <x:v>PASS</x:v>
      </x:c>
    </x:row>
    <x:row r="833" ht="18" customHeight="1">
      <x:c r="B833" s="27" t="str">
        <x:v>A0827</x:v>
      </x:c>
      <x:c r="C833" s="27" t="str">
        <x:v>package</x:v>
      </x:c>
      <x:c r="D833" s="27" t="str">
        <x:v>Package row 18 draft state</x:v>
      </x:c>
      <x:c r="E833" s="27" t="n">
        <x:f>IF('Build Packages'!H18="DRAFT",1,0)</x:f>
        <x:v>1</x:v>
      </x:c>
      <x:c r="F833" s="27" t="n">
        <x:v>1</x:v>
      </x:c>
      <x:c r="G833" s="29" t="str">
        <x:f>IF(E833=F833,"PASS","FAIL")</x:f>
        <x:v>PASS</x:v>
      </x:c>
    </x:row>
    <x:row r="834" ht="18" customHeight="1">
      <x:c r="B834" s="27" t="str">
        <x:v>A0828</x:v>
      </x:c>
      <x:c r="C834" s="27" t="str">
        <x:v>package</x:v>
      </x:c>
      <x:c r="D834" s="27" t="str">
        <x:v>Package row 18 approval open</x:v>
      </x:c>
      <x:c r="E834" s="27" t="n">
        <x:f>IF('Build Packages'!I18="OPEN",1,0)</x:f>
        <x:v>1</x:v>
      </x:c>
      <x:c r="F834" s="27" t="n">
        <x:v>1</x:v>
      </x:c>
      <x:c r="G834" s="29" t="str">
        <x:f>IF(E834=F834,"PASS","FAIL")</x:f>
        <x:v>PASS</x:v>
      </x:c>
    </x:row>
    <x:row r="835" ht="18" customHeight="1">
      <x:c r="B835" s="27" t="str">
        <x:v>A0829</x:v>
      </x:c>
      <x:c r="C835" s="27" t="str">
        <x:v>package</x:v>
      </x:c>
      <x:c r="D835" s="27" t="str">
        <x:v>Package row 18 zero credit</x:v>
      </x:c>
      <x:c r="E835" s="27" t="n">
        <x:f>IF('Build Packages'!J18=0,1,0)</x:f>
        <x:v>1</x:v>
      </x:c>
      <x:c r="F835" s="27" t="n">
        <x:v>1</x:v>
      </x:c>
      <x:c r="G835" s="29" t="str">
        <x:f>IF(E835=F835,"PASS","FAIL")</x:f>
        <x:v>PASS</x:v>
      </x:c>
    </x:row>
    <x:row r="836" ht="18" customHeight="1">
      <x:c r="B836" s="27" t="str">
        <x:v>A0830</x:v>
      </x:c>
      <x:c r="C836" s="27" t="str">
        <x:v>package</x:v>
      </x:c>
      <x:c r="D836" s="27" t="str">
        <x:v>Package row 19 required content</x:v>
      </x:c>
      <x:c r="E836" s="27" t="n">
        <x:f>IF('Build Packages'!F19&lt;&gt;"",1,0)</x:f>
        <x:v>1</x:v>
      </x:c>
      <x:c r="F836" s="27" t="n">
        <x:v>1</x:v>
      </x:c>
      <x:c r="G836" s="29" t="str">
        <x:f>IF(E836=F836,"PASS","FAIL")</x:f>
        <x:v>PASS</x:v>
      </x:c>
    </x:row>
    <x:row r="837" ht="18" customHeight="1">
      <x:c r="B837" s="27" t="str">
        <x:v>A0831</x:v>
      </x:c>
      <x:c r="C837" s="27" t="str">
        <x:v>package</x:v>
      </x:c>
      <x:c r="D837" s="27" t="str">
        <x:v>Package row 19 draft state</x:v>
      </x:c>
      <x:c r="E837" s="27" t="n">
        <x:f>IF('Build Packages'!H19="DRAFT",1,0)</x:f>
        <x:v>1</x:v>
      </x:c>
      <x:c r="F837" s="27" t="n">
        <x:v>1</x:v>
      </x:c>
      <x:c r="G837" s="29" t="str">
        <x:f>IF(E837=F837,"PASS","FAIL")</x:f>
        <x:v>PASS</x:v>
      </x:c>
    </x:row>
    <x:row r="838" ht="18" customHeight="1">
      <x:c r="B838" s="27" t="str">
        <x:v>A0832</x:v>
      </x:c>
      <x:c r="C838" s="27" t="str">
        <x:v>package</x:v>
      </x:c>
      <x:c r="D838" s="27" t="str">
        <x:v>Package row 19 approval open</x:v>
      </x:c>
      <x:c r="E838" s="27" t="n">
        <x:f>IF('Build Packages'!I19="OPEN",1,0)</x:f>
        <x:v>1</x:v>
      </x:c>
      <x:c r="F838" s="27" t="n">
        <x:v>1</x:v>
      </x:c>
      <x:c r="G838" s="29" t="str">
        <x:f>IF(E838=F838,"PASS","FAIL")</x:f>
        <x:v>PASS</x:v>
      </x:c>
    </x:row>
    <x:row r="839" ht="18" customHeight="1">
      <x:c r="B839" s="27" t="str">
        <x:v>A0833</x:v>
      </x:c>
      <x:c r="C839" s="27" t="str">
        <x:v>package</x:v>
      </x:c>
      <x:c r="D839" s="27" t="str">
        <x:v>Package row 19 zero credit</x:v>
      </x:c>
      <x:c r="E839" s="27" t="n">
        <x:f>IF('Build Packages'!J19=0,1,0)</x:f>
        <x:v>1</x:v>
      </x:c>
      <x:c r="F839" s="27" t="n">
        <x:v>1</x:v>
      </x:c>
      <x:c r="G839" s="29" t="str">
        <x:f>IF(E839=F839,"PASS","FAIL")</x:f>
        <x:v>PASS</x:v>
      </x:c>
    </x:row>
    <x:row r="840" ht="18" customHeight="1">
      <x:c r="B840" s="27" t="str">
        <x:v>A0834</x:v>
      </x:c>
      <x:c r="C840" s="27" t="str">
        <x:v>package</x:v>
      </x:c>
      <x:c r="D840" s="27" t="str">
        <x:v>Package row 20 required content</x:v>
      </x:c>
      <x:c r="E840" s="27" t="n">
        <x:f>IF('Build Packages'!F20&lt;&gt;"",1,0)</x:f>
        <x:v>1</x:v>
      </x:c>
      <x:c r="F840" s="27" t="n">
        <x:v>1</x:v>
      </x:c>
      <x:c r="G840" s="29" t="str">
        <x:f>IF(E840=F840,"PASS","FAIL")</x:f>
        <x:v>PASS</x:v>
      </x:c>
    </x:row>
    <x:row r="841" ht="18" customHeight="1">
      <x:c r="B841" s="27" t="str">
        <x:v>A0835</x:v>
      </x:c>
      <x:c r="C841" s="27" t="str">
        <x:v>package</x:v>
      </x:c>
      <x:c r="D841" s="27" t="str">
        <x:v>Package row 20 draft state</x:v>
      </x:c>
      <x:c r="E841" s="27" t="n">
        <x:f>IF('Build Packages'!H20="DRAFT",1,0)</x:f>
        <x:v>1</x:v>
      </x:c>
      <x:c r="F841" s="27" t="n">
        <x:v>1</x:v>
      </x:c>
      <x:c r="G841" s="29" t="str">
        <x:f>IF(E841=F841,"PASS","FAIL")</x:f>
        <x:v>PASS</x:v>
      </x:c>
    </x:row>
    <x:row r="842" ht="18" customHeight="1">
      <x:c r="B842" s="27" t="str">
        <x:v>A0836</x:v>
      </x:c>
      <x:c r="C842" s="27" t="str">
        <x:v>package</x:v>
      </x:c>
      <x:c r="D842" s="27" t="str">
        <x:v>Package row 20 approval open</x:v>
      </x:c>
      <x:c r="E842" s="27" t="n">
        <x:f>IF('Build Packages'!I20="OPEN",1,0)</x:f>
        <x:v>1</x:v>
      </x:c>
      <x:c r="F842" s="27" t="n">
        <x:v>1</x:v>
      </x:c>
      <x:c r="G842" s="29" t="str">
        <x:f>IF(E842=F842,"PASS","FAIL")</x:f>
        <x:v>PASS</x:v>
      </x:c>
    </x:row>
    <x:row r="843" ht="18" customHeight="1">
      <x:c r="B843" s="27" t="str">
        <x:v>A0837</x:v>
      </x:c>
      <x:c r="C843" s="27" t="str">
        <x:v>package</x:v>
      </x:c>
      <x:c r="D843" s="27" t="str">
        <x:v>Package row 20 zero credit</x:v>
      </x:c>
      <x:c r="E843" s="27" t="n">
        <x:f>IF('Build Packages'!J20=0,1,0)</x:f>
        <x:v>1</x:v>
      </x:c>
      <x:c r="F843" s="27" t="n">
        <x:v>1</x:v>
      </x:c>
      <x:c r="G843" s="29" t="str">
        <x:f>IF(E843=F843,"PASS","FAIL")</x:f>
        <x:v>PASS</x:v>
      </x:c>
    </x:row>
    <x:row r="844" ht="18" customHeight="1">
      <x:c r="B844" s="27" t="str">
        <x:v>A0838</x:v>
      </x:c>
      <x:c r="C844" s="27" t="str">
        <x:v>package</x:v>
      </x:c>
      <x:c r="D844" s="27" t="str">
        <x:v>Package row 21 required content</x:v>
      </x:c>
      <x:c r="E844" s="27" t="n">
        <x:f>IF('Build Packages'!F21&lt;&gt;"",1,0)</x:f>
        <x:v>1</x:v>
      </x:c>
      <x:c r="F844" s="27" t="n">
        <x:v>1</x:v>
      </x:c>
      <x:c r="G844" s="29" t="str">
        <x:f>IF(E844=F844,"PASS","FAIL")</x:f>
        <x:v>PASS</x:v>
      </x:c>
    </x:row>
    <x:row r="845" ht="18" customHeight="1">
      <x:c r="B845" s="27" t="str">
        <x:v>A0839</x:v>
      </x:c>
      <x:c r="C845" s="27" t="str">
        <x:v>package</x:v>
      </x:c>
      <x:c r="D845" s="27" t="str">
        <x:v>Package row 21 draft state</x:v>
      </x:c>
      <x:c r="E845" s="27" t="n">
        <x:f>IF('Build Packages'!H21="DRAFT",1,0)</x:f>
        <x:v>1</x:v>
      </x:c>
      <x:c r="F845" s="27" t="n">
        <x:v>1</x:v>
      </x:c>
      <x:c r="G845" s="29" t="str">
        <x:f>IF(E845=F845,"PASS","FAIL")</x:f>
        <x:v>PASS</x:v>
      </x:c>
    </x:row>
    <x:row r="846" ht="18" customHeight="1">
      <x:c r="B846" s="27" t="str">
        <x:v>A0840</x:v>
      </x:c>
      <x:c r="C846" s="27" t="str">
        <x:v>package</x:v>
      </x:c>
      <x:c r="D846" s="27" t="str">
        <x:v>Package row 21 approval open</x:v>
      </x:c>
      <x:c r="E846" s="27" t="n">
        <x:f>IF('Build Packages'!I21="OPEN",1,0)</x:f>
        <x:v>1</x:v>
      </x:c>
      <x:c r="F846" s="27" t="n">
        <x:v>1</x:v>
      </x:c>
      <x:c r="G846" s="29" t="str">
        <x:f>IF(E846=F846,"PASS","FAIL")</x:f>
        <x:v>PASS</x:v>
      </x:c>
    </x:row>
    <x:row r="847" ht="18" customHeight="1">
      <x:c r="B847" s="27" t="str">
        <x:v>A0841</x:v>
      </x:c>
      <x:c r="C847" s="27" t="str">
        <x:v>package</x:v>
      </x:c>
      <x:c r="D847" s="27" t="str">
        <x:v>Package row 21 zero credit</x:v>
      </x:c>
      <x:c r="E847" s="27" t="n">
        <x:f>IF('Build Packages'!J21=0,1,0)</x:f>
        <x:v>1</x:v>
      </x:c>
      <x:c r="F847" s="27" t="n">
        <x:v>1</x:v>
      </x:c>
      <x:c r="G847" s="29" t="str">
        <x:f>IF(E847=F847,"PASS","FAIL")</x:f>
        <x:v>PASS</x:v>
      </x:c>
    </x:row>
    <x:row r="848" ht="18" customHeight="1">
      <x:c r="B848" s="27" t="str">
        <x:v>A0842</x:v>
      </x:c>
      <x:c r="C848" s="27" t="str">
        <x:v>package</x:v>
      </x:c>
      <x:c r="D848" s="27" t="str">
        <x:v>Package row 22 required content</x:v>
      </x:c>
      <x:c r="E848" s="27" t="n">
        <x:f>IF('Build Packages'!F22&lt;&gt;"",1,0)</x:f>
        <x:v>1</x:v>
      </x:c>
      <x:c r="F848" s="27" t="n">
        <x:v>1</x:v>
      </x:c>
      <x:c r="G848" s="29" t="str">
        <x:f>IF(E848=F848,"PASS","FAIL")</x:f>
        <x:v>PASS</x:v>
      </x:c>
    </x:row>
    <x:row r="849" ht="18" customHeight="1">
      <x:c r="B849" s="27" t="str">
        <x:v>A0843</x:v>
      </x:c>
      <x:c r="C849" s="27" t="str">
        <x:v>package</x:v>
      </x:c>
      <x:c r="D849" s="27" t="str">
        <x:v>Package row 22 draft state</x:v>
      </x:c>
      <x:c r="E849" s="27" t="n">
        <x:f>IF('Build Packages'!H22="DRAFT",1,0)</x:f>
        <x:v>1</x:v>
      </x:c>
      <x:c r="F849" s="27" t="n">
        <x:v>1</x:v>
      </x:c>
      <x:c r="G849" s="29" t="str">
        <x:f>IF(E849=F849,"PASS","FAIL")</x:f>
        <x:v>PASS</x:v>
      </x:c>
    </x:row>
    <x:row r="850" ht="18" customHeight="1">
      <x:c r="B850" s="27" t="str">
        <x:v>A0844</x:v>
      </x:c>
      <x:c r="C850" s="27" t="str">
        <x:v>package</x:v>
      </x:c>
      <x:c r="D850" s="27" t="str">
        <x:v>Package row 22 approval open</x:v>
      </x:c>
      <x:c r="E850" s="27" t="n">
        <x:f>IF('Build Packages'!I22="OPEN",1,0)</x:f>
        <x:v>1</x:v>
      </x:c>
      <x:c r="F850" s="27" t="n">
        <x:v>1</x:v>
      </x:c>
      <x:c r="G850" s="29" t="str">
        <x:f>IF(E850=F850,"PASS","FAIL")</x:f>
        <x:v>PASS</x:v>
      </x:c>
    </x:row>
    <x:row r="851" ht="18" customHeight="1">
      <x:c r="B851" s="27" t="str">
        <x:v>A0845</x:v>
      </x:c>
      <x:c r="C851" s="27" t="str">
        <x:v>package</x:v>
      </x:c>
      <x:c r="D851" s="27" t="str">
        <x:v>Package row 22 zero credit</x:v>
      </x:c>
      <x:c r="E851" s="27" t="n">
        <x:f>IF('Build Packages'!J22=0,1,0)</x:f>
        <x:v>1</x:v>
      </x:c>
      <x:c r="F851" s="27" t="n">
        <x:v>1</x:v>
      </x:c>
      <x:c r="G851" s="29" t="str">
        <x:f>IF(E851=F851,"PASS","FAIL")</x:f>
        <x:v>PASS</x:v>
      </x:c>
    </x:row>
    <x:row r="852" ht="18" customHeight="1">
      <x:c r="B852" s="27" t="str">
        <x:v>A0846</x:v>
      </x:c>
      <x:c r="C852" s="27" t="str">
        <x:v>package</x:v>
      </x:c>
      <x:c r="D852" s="27" t="str">
        <x:v>Package row 23 required content</x:v>
      </x:c>
      <x:c r="E852" s="27" t="n">
        <x:f>IF('Build Packages'!F23&lt;&gt;"",1,0)</x:f>
        <x:v>1</x:v>
      </x:c>
      <x:c r="F852" s="27" t="n">
        <x:v>1</x:v>
      </x:c>
      <x:c r="G852" s="29" t="str">
        <x:f>IF(E852=F852,"PASS","FAIL")</x:f>
        <x:v>PASS</x:v>
      </x:c>
    </x:row>
    <x:row r="853" ht="18" customHeight="1">
      <x:c r="B853" s="27" t="str">
        <x:v>A0847</x:v>
      </x:c>
      <x:c r="C853" s="27" t="str">
        <x:v>package</x:v>
      </x:c>
      <x:c r="D853" s="27" t="str">
        <x:v>Package row 23 draft state</x:v>
      </x:c>
      <x:c r="E853" s="27" t="n">
        <x:f>IF('Build Packages'!H23="DRAFT",1,0)</x:f>
        <x:v>1</x:v>
      </x:c>
      <x:c r="F853" s="27" t="n">
        <x:v>1</x:v>
      </x:c>
      <x:c r="G853" s="29" t="str">
        <x:f>IF(E853=F853,"PASS","FAIL")</x:f>
        <x:v>PASS</x:v>
      </x:c>
    </x:row>
    <x:row r="854" ht="18" customHeight="1">
      <x:c r="B854" s="27" t="str">
        <x:v>A0848</x:v>
      </x:c>
      <x:c r="C854" s="27" t="str">
        <x:v>package</x:v>
      </x:c>
      <x:c r="D854" s="27" t="str">
        <x:v>Package row 23 approval open</x:v>
      </x:c>
      <x:c r="E854" s="27" t="n">
        <x:f>IF('Build Packages'!I23="OPEN",1,0)</x:f>
        <x:v>1</x:v>
      </x:c>
      <x:c r="F854" s="27" t="n">
        <x:v>1</x:v>
      </x:c>
      <x:c r="G854" s="29" t="str">
        <x:f>IF(E854=F854,"PASS","FAIL")</x:f>
        <x:v>PASS</x:v>
      </x:c>
    </x:row>
    <x:row r="855" ht="18" customHeight="1">
      <x:c r="B855" s="27" t="str">
        <x:v>A0849</x:v>
      </x:c>
      <x:c r="C855" s="27" t="str">
        <x:v>package</x:v>
      </x:c>
      <x:c r="D855" s="27" t="str">
        <x:v>Package row 23 zero credit</x:v>
      </x:c>
      <x:c r="E855" s="27" t="n">
        <x:f>IF('Build Packages'!J23=0,1,0)</x:f>
        <x:v>1</x:v>
      </x:c>
      <x:c r="F855" s="27" t="n">
        <x:v>1</x:v>
      </x:c>
      <x:c r="G855" s="29" t="str">
        <x:f>IF(E855=F855,"PASS","FAIL")</x:f>
        <x:v>PASS</x:v>
      </x:c>
    </x:row>
    <x:row r="856" ht="18" customHeight="1">
      <x:c r="B856" s="27" t="str">
        <x:v>A0850</x:v>
      </x:c>
      <x:c r="C856" s="27" t="str">
        <x:v>package</x:v>
      </x:c>
      <x:c r="D856" s="27" t="str">
        <x:v>Package row 24 required content</x:v>
      </x:c>
      <x:c r="E856" s="27" t="n">
        <x:f>IF('Build Packages'!F24&lt;&gt;"",1,0)</x:f>
        <x:v>1</x:v>
      </x:c>
      <x:c r="F856" s="27" t="n">
        <x:v>1</x:v>
      </x:c>
      <x:c r="G856" s="29" t="str">
        <x:f>IF(E856=F856,"PASS","FAIL")</x:f>
        <x:v>PASS</x:v>
      </x:c>
    </x:row>
    <x:row r="857" ht="18" customHeight="1">
      <x:c r="B857" s="27" t="str">
        <x:v>A0851</x:v>
      </x:c>
      <x:c r="C857" s="27" t="str">
        <x:v>package</x:v>
      </x:c>
      <x:c r="D857" s="27" t="str">
        <x:v>Package row 24 draft state</x:v>
      </x:c>
      <x:c r="E857" s="27" t="n">
        <x:f>IF('Build Packages'!H24="DRAFT",1,0)</x:f>
        <x:v>1</x:v>
      </x:c>
      <x:c r="F857" s="27" t="n">
        <x:v>1</x:v>
      </x:c>
      <x:c r="G857" s="29" t="str">
        <x:f>IF(E857=F857,"PASS","FAIL")</x:f>
        <x:v>PASS</x:v>
      </x:c>
    </x:row>
    <x:row r="858" ht="18" customHeight="1">
      <x:c r="B858" s="27" t="str">
        <x:v>A0852</x:v>
      </x:c>
      <x:c r="C858" s="27" t="str">
        <x:v>package</x:v>
      </x:c>
      <x:c r="D858" s="27" t="str">
        <x:v>Package row 24 approval open</x:v>
      </x:c>
      <x:c r="E858" s="27" t="n">
        <x:f>IF('Build Packages'!I24="OPEN",1,0)</x:f>
        <x:v>1</x:v>
      </x:c>
      <x:c r="F858" s="27" t="n">
        <x:v>1</x:v>
      </x:c>
      <x:c r="G858" s="29" t="str">
        <x:f>IF(E858=F858,"PASS","FAIL")</x:f>
        <x:v>PASS</x:v>
      </x:c>
    </x:row>
    <x:row r="859" ht="18" customHeight="1">
      <x:c r="B859" s="27" t="str">
        <x:v>A0853</x:v>
      </x:c>
      <x:c r="C859" s="27" t="str">
        <x:v>package</x:v>
      </x:c>
      <x:c r="D859" s="27" t="str">
        <x:v>Package row 24 zero credit</x:v>
      </x:c>
      <x:c r="E859" s="27" t="n">
        <x:f>IF('Build Packages'!J24=0,1,0)</x:f>
        <x:v>1</x:v>
      </x:c>
      <x:c r="F859" s="27" t="n">
        <x:v>1</x:v>
      </x:c>
      <x:c r="G859" s="29" t="str">
        <x:f>IF(E859=F859,"PASS","FAIL")</x:f>
        <x:v>PASS</x:v>
      </x:c>
    </x:row>
    <x:row r="860" ht="18" customHeight="1">
      <x:c r="B860" s="27" t="str">
        <x:v>A0854</x:v>
      </x:c>
      <x:c r="C860" s="27" t="str">
        <x:v>package</x:v>
      </x:c>
      <x:c r="D860" s="27" t="str">
        <x:v>Package row 25 required content</x:v>
      </x:c>
      <x:c r="E860" s="27" t="n">
        <x:f>IF('Build Packages'!F25&lt;&gt;"",1,0)</x:f>
        <x:v>1</x:v>
      </x:c>
      <x:c r="F860" s="27" t="n">
        <x:v>1</x:v>
      </x:c>
      <x:c r="G860" s="29" t="str">
        <x:f>IF(E860=F860,"PASS","FAIL")</x:f>
        <x:v>PASS</x:v>
      </x:c>
    </x:row>
    <x:row r="861" ht="18" customHeight="1">
      <x:c r="B861" s="27" t="str">
        <x:v>A0855</x:v>
      </x:c>
      <x:c r="C861" s="27" t="str">
        <x:v>package</x:v>
      </x:c>
      <x:c r="D861" s="27" t="str">
        <x:v>Package row 25 draft state</x:v>
      </x:c>
      <x:c r="E861" s="27" t="n">
        <x:f>IF('Build Packages'!H25="DRAFT",1,0)</x:f>
        <x:v>1</x:v>
      </x:c>
      <x:c r="F861" s="27" t="n">
        <x:v>1</x:v>
      </x:c>
      <x:c r="G861" s="29" t="str">
        <x:f>IF(E861=F861,"PASS","FAIL")</x:f>
        <x:v>PASS</x:v>
      </x:c>
    </x:row>
    <x:row r="862" ht="18" customHeight="1">
      <x:c r="B862" s="27" t="str">
        <x:v>A0856</x:v>
      </x:c>
      <x:c r="C862" s="27" t="str">
        <x:v>package</x:v>
      </x:c>
      <x:c r="D862" s="27" t="str">
        <x:v>Package row 25 approval open</x:v>
      </x:c>
      <x:c r="E862" s="27" t="n">
        <x:f>IF('Build Packages'!I25="OPEN",1,0)</x:f>
        <x:v>1</x:v>
      </x:c>
      <x:c r="F862" s="27" t="n">
        <x:v>1</x:v>
      </x:c>
      <x:c r="G862" s="29" t="str">
        <x:f>IF(E862=F862,"PASS","FAIL")</x:f>
        <x:v>PASS</x:v>
      </x:c>
    </x:row>
    <x:row r="863" ht="18" customHeight="1">
      <x:c r="B863" s="27" t="str">
        <x:v>A0857</x:v>
      </x:c>
      <x:c r="C863" s="27" t="str">
        <x:v>package</x:v>
      </x:c>
      <x:c r="D863" s="27" t="str">
        <x:v>Package row 25 zero credit</x:v>
      </x:c>
      <x:c r="E863" s="27" t="n">
        <x:f>IF('Build Packages'!J25=0,1,0)</x:f>
        <x:v>1</x:v>
      </x:c>
      <x:c r="F863" s="27" t="n">
        <x:v>1</x:v>
      </x:c>
      <x:c r="G863" s="29" t="str">
        <x:f>IF(E863=F863,"PASS","FAIL")</x:f>
        <x:v>PASS</x:v>
      </x:c>
    </x:row>
    <x:row r="864" ht="18" customHeight="1">
      <x:c r="B864" s="27" t="str">
        <x:v>A0858</x:v>
      </x:c>
      <x:c r="C864" s="27" t="str">
        <x:v>package</x:v>
      </x:c>
      <x:c r="D864" s="27" t="str">
        <x:v>Package row 26 required content</x:v>
      </x:c>
      <x:c r="E864" s="27" t="n">
        <x:f>IF('Build Packages'!F26&lt;&gt;"",1,0)</x:f>
        <x:v>1</x:v>
      </x:c>
      <x:c r="F864" s="27" t="n">
        <x:v>1</x:v>
      </x:c>
      <x:c r="G864" s="29" t="str">
        <x:f>IF(E864=F864,"PASS","FAIL")</x:f>
        <x:v>PASS</x:v>
      </x:c>
    </x:row>
    <x:row r="865" ht="18" customHeight="1">
      <x:c r="B865" s="27" t="str">
        <x:v>A0859</x:v>
      </x:c>
      <x:c r="C865" s="27" t="str">
        <x:v>package</x:v>
      </x:c>
      <x:c r="D865" s="27" t="str">
        <x:v>Package row 26 draft state</x:v>
      </x:c>
      <x:c r="E865" s="27" t="n">
        <x:f>IF('Build Packages'!H26="DRAFT",1,0)</x:f>
        <x:v>1</x:v>
      </x:c>
      <x:c r="F865" s="27" t="n">
        <x:v>1</x:v>
      </x:c>
      <x:c r="G865" s="29" t="str">
        <x:f>IF(E865=F865,"PASS","FAIL")</x:f>
        <x:v>PASS</x:v>
      </x:c>
    </x:row>
    <x:row r="866" ht="18" customHeight="1">
      <x:c r="B866" s="27" t="str">
        <x:v>A0860</x:v>
      </x:c>
      <x:c r="C866" s="27" t="str">
        <x:v>package</x:v>
      </x:c>
      <x:c r="D866" s="27" t="str">
        <x:v>Package row 26 approval open</x:v>
      </x:c>
      <x:c r="E866" s="27" t="n">
        <x:f>IF('Build Packages'!I26="OPEN",1,0)</x:f>
        <x:v>1</x:v>
      </x:c>
      <x:c r="F866" s="27" t="n">
        <x:v>1</x:v>
      </x:c>
      <x:c r="G866" s="29" t="str">
        <x:f>IF(E866=F866,"PASS","FAIL")</x:f>
        <x:v>PASS</x:v>
      </x:c>
    </x:row>
    <x:row r="867" ht="18" customHeight="1">
      <x:c r="B867" s="27" t="str">
        <x:v>A0861</x:v>
      </x:c>
      <x:c r="C867" s="27" t="str">
        <x:v>package</x:v>
      </x:c>
      <x:c r="D867" s="27" t="str">
        <x:v>Package row 26 zero credit</x:v>
      </x:c>
      <x:c r="E867" s="27" t="n">
        <x:f>IF('Build Packages'!J26=0,1,0)</x:f>
        <x:v>1</x:v>
      </x:c>
      <x:c r="F867" s="27" t="n">
        <x:v>1</x:v>
      </x:c>
      <x:c r="G867" s="29" t="str">
        <x:f>IF(E867=F867,"PASS","FAIL")</x:f>
        <x:v>PASS</x:v>
      </x:c>
    </x:row>
    <x:row r="868" ht="18" customHeight="1">
      <x:c r="B868" s="27" t="str">
        <x:v>A0862</x:v>
      </x:c>
      <x:c r="C868" s="27" t="str">
        <x:v>package</x:v>
      </x:c>
      <x:c r="D868" s="27" t="str">
        <x:v>Package row 27 required content</x:v>
      </x:c>
      <x:c r="E868" s="27" t="n">
        <x:f>IF('Build Packages'!F27&lt;&gt;"",1,0)</x:f>
        <x:v>1</x:v>
      </x:c>
      <x:c r="F868" s="27" t="n">
        <x:v>1</x:v>
      </x:c>
      <x:c r="G868" s="29" t="str">
        <x:f>IF(E868=F868,"PASS","FAIL")</x:f>
        <x:v>PASS</x:v>
      </x:c>
    </x:row>
    <x:row r="869" ht="18" customHeight="1">
      <x:c r="B869" s="27" t="str">
        <x:v>A0863</x:v>
      </x:c>
      <x:c r="C869" s="27" t="str">
        <x:v>package</x:v>
      </x:c>
      <x:c r="D869" s="27" t="str">
        <x:v>Package row 27 draft state</x:v>
      </x:c>
      <x:c r="E869" s="27" t="n">
        <x:f>IF('Build Packages'!H27="DRAFT",1,0)</x:f>
        <x:v>1</x:v>
      </x:c>
      <x:c r="F869" s="27" t="n">
        <x:v>1</x:v>
      </x:c>
      <x:c r="G869" s="29" t="str">
        <x:f>IF(E869=F869,"PASS","FAIL")</x:f>
        <x:v>PASS</x:v>
      </x:c>
    </x:row>
    <x:row r="870" ht="18" customHeight="1">
      <x:c r="B870" s="27" t="str">
        <x:v>A0864</x:v>
      </x:c>
      <x:c r="C870" s="27" t="str">
        <x:v>package</x:v>
      </x:c>
      <x:c r="D870" s="27" t="str">
        <x:v>Package row 27 approval open</x:v>
      </x:c>
      <x:c r="E870" s="27" t="n">
        <x:f>IF('Build Packages'!I27="OPEN",1,0)</x:f>
        <x:v>1</x:v>
      </x:c>
      <x:c r="F870" s="27" t="n">
        <x:v>1</x:v>
      </x:c>
      <x:c r="G870" s="29" t="str">
        <x:f>IF(E870=F870,"PASS","FAIL")</x:f>
        <x:v>PASS</x:v>
      </x:c>
    </x:row>
    <x:row r="871" ht="18" customHeight="1">
      <x:c r="B871" s="27" t="str">
        <x:v>A0865</x:v>
      </x:c>
      <x:c r="C871" s="27" t="str">
        <x:v>package</x:v>
      </x:c>
      <x:c r="D871" s="27" t="str">
        <x:v>Package row 27 zero credit</x:v>
      </x:c>
      <x:c r="E871" s="27" t="n">
        <x:f>IF('Build Packages'!J27=0,1,0)</x:f>
        <x:v>1</x:v>
      </x:c>
      <x:c r="F871" s="27" t="n">
        <x:v>1</x:v>
      </x:c>
      <x:c r="G871" s="29" t="str">
        <x:f>IF(E871=F871,"PASS","FAIL")</x:f>
        <x:v>PASS</x:v>
      </x:c>
    </x:row>
    <x:row r="872" ht="18" customHeight="1">
      <x:c r="B872" s="27" t="str">
        <x:v>A0866</x:v>
      </x:c>
      <x:c r="C872" s="27" t="str">
        <x:v>package</x:v>
      </x:c>
      <x:c r="D872" s="27" t="str">
        <x:v>Package row 28 required content</x:v>
      </x:c>
      <x:c r="E872" s="27" t="n">
        <x:f>IF('Build Packages'!F28&lt;&gt;"",1,0)</x:f>
        <x:v>1</x:v>
      </x:c>
      <x:c r="F872" s="27" t="n">
        <x:v>1</x:v>
      </x:c>
      <x:c r="G872" s="29" t="str">
        <x:f>IF(E872=F872,"PASS","FAIL")</x:f>
        <x:v>PASS</x:v>
      </x:c>
    </x:row>
    <x:row r="873" ht="18" customHeight="1">
      <x:c r="B873" s="27" t="str">
        <x:v>A0867</x:v>
      </x:c>
      <x:c r="C873" s="27" t="str">
        <x:v>package</x:v>
      </x:c>
      <x:c r="D873" s="27" t="str">
        <x:v>Package row 28 draft state</x:v>
      </x:c>
      <x:c r="E873" s="27" t="n">
        <x:f>IF('Build Packages'!H28="DRAFT",1,0)</x:f>
        <x:v>1</x:v>
      </x:c>
      <x:c r="F873" s="27" t="n">
        <x:v>1</x:v>
      </x:c>
      <x:c r="G873" s="29" t="str">
        <x:f>IF(E873=F873,"PASS","FAIL")</x:f>
        <x:v>PASS</x:v>
      </x:c>
    </x:row>
    <x:row r="874" ht="18" customHeight="1">
      <x:c r="B874" s="27" t="str">
        <x:v>A0868</x:v>
      </x:c>
      <x:c r="C874" s="27" t="str">
        <x:v>package</x:v>
      </x:c>
      <x:c r="D874" s="27" t="str">
        <x:v>Package row 28 approval open</x:v>
      </x:c>
      <x:c r="E874" s="27" t="n">
        <x:f>IF('Build Packages'!I28="OPEN",1,0)</x:f>
        <x:v>1</x:v>
      </x:c>
      <x:c r="F874" s="27" t="n">
        <x:v>1</x:v>
      </x:c>
      <x:c r="G874" s="29" t="str">
        <x:f>IF(E874=F874,"PASS","FAIL")</x:f>
        <x:v>PASS</x:v>
      </x:c>
    </x:row>
    <x:row r="875" ht="18" customHeight="1">
      <x:c r="B875" s="27" t="str">
        <x:v>A0869</x:v>
      </x:c>
      <x:c r="C875" s="27" t="str">
        <x:v>package</x:v>
      </x:c>
      <x:c r="D875" s="27" t="str">
        <x:v>Package row 28 zero credit</x:v>
      </x:c>
      <x:c r="E875" s="27" t="n">
        <x:f>IF('Build Packages'!J28=0,1,0)</x:f>
        <x:v>1</x:v>
      </x:c>
      <x:c r="F875" s="27" t="n">
        <x:v>1</x:v>
      </x:c>
      <x:c r="G875" s="29" t="str">
        <x:f>IF(E875=F875,"PASS","FAIL")</x:f>
        <x:v>PASS</x:v>
      </x:c>
    </x:row>
    <x:row r="876" ht="18" customHeight="1">
      <x:c r="B876" s="27" t="str">
        <x:v>A0870</x:v>
      </x:c>
      <x:c r="C876" s="27" t="str">
        <x:v>package</x:v>
      </x:c>
      <x:c r="D876" s="27" t="str">
        <x:v>Package row 29 required content</x:v>
      </x:c>
      <x:c r="E876" s="27" t="n">
        <x:f>IF('Build Packages'!F29&lt;&gt;"",1,0)</x:f>
        <x:v>1</x:v>
      </x:c>
      <x:c r="F876" s="27" t="n">
        <x:v>1</x:v>
      </x:c>
      <x:c r="G876" s="29" t="str">
        <x:f>IF(E876=F876,"PASS","FAIL")</x:f>
        <x:v>PASS</x:v>
      </x:c>
    </x:row>
    <x:row r="877" ht="18" customHeight="1">
      <x:c r="B877" s="27" t="str">
        <x:v>A0871</x:v>
      </x:c>
      <x:c r="C877" s="27" t="str">
        <x:v>package</x:v>
      </x:c>
      <x:c r="D877" s="27" t="str">
        <x:v>Package row 29 draft state</x:v>
      </x:c>
      <x:c r="E877" s="27" t="n">
        <x:f>IF('Build Packages'!H29="DRAFT",1,0)</x:f>
        <x:v>1</x:v>
      </x:c>
      <x:c r="F877" s="27" t="n">
        <x:v>1</x:v>
      </x:c>
      <x:c r="G877" s="29" t="str">
        <x:f>IF(E877=F877,"PASS","FAIL")</x:f>
        <x:v>PASS</x:v>
      </x:c>
    </x:row>
    <x:row r="878" ht="18" customHeight="1">
      <x:c r="B878" s="27" t="str">
        <x:v>A0872</x:v>
      </x:c>
      <x:c r="C878" s="27" t="str">
        <x:v>package</x:v>
      </x:c>
      <x:c r="D878" s="27" t="str">
        <x:v>Package row 29 approval open</x:v>
      </x:c>
      <x:c r="E878" s="27" t="n">
        <x:f>IF('Build Packages'!I29="OPEN",1,0)</x:f>
        <x:v>1</x:v>
      </x:c>
      <x:c r="F878" s="27" t="n">
        <x:v>1</x:v>
      </x:c>
      <x:c r="G878" s="29" t="str">
        <x:f>IF(E878=F878,"PASS","FAIL")</x:f>
        <x:v>PASS</x:v>
      </x:c>
    </x:row>
    <x:row r="879" ht="18" customHeight="1">
      <x:c r="B879" s="27" t="str">
        <x:v>A0873</x:v>
      </x:c>
      <x:c r="C879" s="27" t="str">
        <x:v>package</x:v>
      </x:c>
      <x:c r="D879" s="27" t="str">
        <x:v>Package row 29 zero credit</x:v>
      </x:c>
      <x:c r="E879" s="27" t="n">
        <x:f>IF('Build Packages'!J29=0,1,0)</x:f>
        <x:v>1</x:v>
      </x:c>
      <x:c r="F879" s="27" t="n">
        <x:v>1</x:v>
      </x:c>
      <x:c r="G879" s="29" t="str">
        <x:f>IF(E879=F879,"PASS","FAIL")</x:f>
        <x:v>PASS</x:v>
      </x:c>
    </x:row>
    <x:row r="880" ht="18" customHeight="1">
      <x:c r="B880" s="27" t="str">
        <x:v>A0874</x:v>
      </x:c>
      <x:c r="C880" s="27" t="str">
        <x:v>package</x:v>
      </x:c>
      <x:c r="D880" s="27" t="str">
        <x:v>Package row 30 required content</x:v>
      </x:c>
      <x:c r="E880" s="27" t="n">
        <x:f>IF('Build Packages'!F30&lt;&gt;"",1,0)</x:f>
        <x:v>1</x:v>
      </x:c>
      <x:c r="F880" s="27" t="n">
        <x:v>1</x:v>
      </x:c>
      <x:c r="G880" s="29" t="str">
        <x:f>IF(E880=F880,"PASS","FAIL")</x:f>
        <x:v>PASS</x:v>
      </x:c>
    </x:row>
    <x:row r="881" ht="18" customHeight="1">
      <x:c r="B881" s="27" t="str">
        <x:v>A0875</x:v>
      </x:c>
      <x:c r="C881" s="27" t="str">
        <x:v>package</x:v>
      </x:c>
      <x:c r="D881" s="27" t="str">
        <x:v>Package row 30 draft state</x:v>
      </x:c>
      <x:c r="E881" s="27" t="n">
        <x:f>IF('Build Packages'!H30="DRAFT",1,0)</x:f>
        <x:v>1</x:v>
      </x:c>
      <x:c r="F881" s="27" t="n">
        <x:v>1</x:v>
      </x:c>
      <x:c r="G881" s="29" t="str">
        <x:f>IF(E881=F881,"PASS","FAIL")</x:f>
        <x:v>PASS</x:v>
      </x:c>
    </x:row>
    <x:row r="882" ht="18" customHeight="1">
      <x:c r="B882" s="27" t="str">
        <x:v>A0876</x:v>
      </x:c>
      <x:c r="C882" s="27" t="str">
        <x:v>package</x:v>
      </x:c>
      <x:c r="D882" s="27" t="str">
        <x:v>Package row 30 approval open</x:v>
      </x:c>
      <x:c r="E882" s="27" t="n">
        <x:f>IF('Build Packages'!I30="OPEN",1,0)</x:f>
        <x:v>1</x:v>
      </x:c>
      <x:c r="F882" s="27" t="n">
        <x:v>1</x:v>
      </x:c>
      <x:c r="G882" s="29" t="str">
        <x:f>IF(E882=F882,"PASS","FAIL")</x:f>
        <x:v>PASS</x:v>
      </x:c>
    </x:row>
    <x:row r="883" ht="18" customHeight="1">
      <x:c r="B883" s="27" t="str">
        <x:v>A0877</x:v>
      </x:c>
      <x:c r="C883" s="27" t="str">
        <x:v>package</x:v>
      </x:c>
      <x:c r="D883" s="27" t="str">
        <x:v>Package row 30 zero credit</x:v>
      </x:c>
      <x:c r="E883" s="27" t="n">
        <x:f>IF('Build Packages'!J30=0,1,0)</x:f>
        <x:v>1</x:v>
      </x:c>
      <x:c r="F883" s="27" t="n">
        <x:v>1</x:v>
      </x:c>
      <x:c r="G883" s="29" t="str">
        <x:f>IF(E883=F883,"PASS","FAIL")</x:f>
        <x:v>PASS</x:v>
      </x:c>
    </x:row>
    <x:row r="884" ht="18" customHeight="1">
      <x:c r="B884" s="27" t="str">
        <x:v>A0878</x:v>
      </x:c>
      <x:c r="C884" s="27" t="str">
        <x:v>package</x:v>
      </x:c>
      <x:c r="D884" s="27" t="str">
        <x:v>Package row 31 required content</x:v>
      </x:c>
      <x:c r="E884" s="27" t="n">
        <x:f>IF('Build Packages'!F31&lt;&gt;"",1,0)</x:f>
        <x:v>1</x:v>
      </x:c>
      <x:c r="F884" s="27" t="n">
        <x:v>1</x:v>
      </x:c>
      <x:c r="G884" s="29" t="str">
        <x:f>IF(E884=F884,"PASS","FAIL")</x:f>
        <x:v>PASS</x:v>
      </x:c>
    </x:row>
    <x:row r="885" ht="18" customHeight="1">
      <x:c r="B885" s="27" t="str">
        <x:v>A0879</x:v>
      </x:c>
      <x:c r="C885" s="27" t="str">
        <x:v>package</x:v>
      </x:c>
      <x:c r="D885" s="27" t="str">
        <x:v>Package row 31 draft state</x:v>
      </x:c>
      <x:c r="E885" s="27" t="n">
        <x:f>IF('Build Packages'!H31="DRAFT",1,0)</x:f>
        <x:v>1</x:v>
      </x:c>
      <x:c r="F885" s="27" t="n">
        <x:v>1</x:v>
      </x:c>
      <x:c r="G885" s="29" t="str">
        <x:f>IF(E885=F885,"PASS","FAIL")</x:f>
        <x:v>PASS</x:v>
      </x:c>
    </x:row>
    <x:row r="886" ht="18" customHeight="1">
      <x:c r="B886" s="27" t="str">
        <x:v>A0880</x:v>
      </x:c>
      <x:c r="C886" s="27" t="str">
        <x:v>package</x:v>
      </x:c>
      <x:c r="D886" s="27" t="str">
        <x:v>Package row 31 approval open</x:v>
      </x:c>
      <x:c r="E886" s="27" t="n">
        <x:f>IF('Build Packages'!I31="OPEN",1,0)</x:f>
        <x:v>1</x:v>
      </x:c>
      <x:c r="F886" s="27" t="n">
        <x:v>1</x:v>
      </x:c>
      <x:c r="G886" s="29" t="str">
        <x:f>IF(E886=F886,"PASS","FAIL")</x:f>
        <x:v>PASS</x:v>
      </x:c>
    </x:row>
    <x:row r="887" ht="18" customHeight="1">
      <x:c r="B887" s="27" t="str">
        <x:v>A0881</x:v>
      </x:c>
      <x:c r="C887" s="27" t="str">
        <x:v>package</x:v>
      </x:c>
      <x:c r="D887" s="27" t="str">
        <x:v>Package row 31 zero credit</x:v>
      </x:c>
      <x:c r="E887" s="27" t="n">
        <x:f>IF('Build Packages'!J31=0,1,0)</x:f>
        <x:v>1</x:v>
      </x:c>
      <x:c r="F887" s="27" t="n">
        <x:v>1</x:v>
      </x:c>
      <x:c r="G887" s="29" t="str">
        <x:f>IF(E887=F887,"PASS","FAIL")</x:f>
        <x:v>PASS</x:v>
      </x:c>
    </x:row>
    <x:row r="888" ht="18" customHeight="1">
      <x:c r="B888" s="27" t="str">
        <x:v>A0882</x:v>
      </x:c>
      <x:c r="C888" s="27" t="str">
        <x:v>package</x:v>
      </x:c>
      <x:c r="D888" s="27" t="str">
        <x:v>Package row 32 required content</x:v>
      </x:c>
      <x:c r="E888" s="27" t="n">
        <x:f>IF('Build Packages'!F32&lt;&gt;"",1,0)</x:f>
        <x:v>1</x:v>
      </x:c>
      <x:c r="F888" s="27" t="n">
        <x:v>1</x:v>
      </x:c>
      <x:c r="G888" s="29" t="str">
        <x:f>IF(E888=F888,"PASS","FAIL")</x:f>
        <x:v>PASS</x:v>
      </x:c>
    </x:row>
    <x:row r="889" ht="18" customHeight="1">
      <x:c r="B889" s="27" t="str">
        <x:v>A0883</x:v>
      </x:c>
      <x:c r="C889" s="27" t="str">
        <x:v>package</x:v>
      </x:c>
      <x:c r="D889" s="27" t="str">
        <x:v>Package row 32 draft state</x:v>
      </x:c>
      <x:c r="E889" s="27" t="n">
        <x:f>IF('Build Packages'!H32="DRAFT",1,0)</x:f>
        <x:v>1</x:v>
      </x:c>
      <x:c r="F889" s="27" t="n">
        <x:v>1</x:v>
      </x:c>
      <x:c r="G889" s="29" t="str">
        <x:f>IF(E889=F889,"PASS","FAIL")</x:f>
        <x:v>PASS</x:v>
      </x:c>
    </x:row>
    <x:row r="890" ht="18" customHeight="1">
      <x:c r="B890" s="27" t="str">
        <x:v>A0884</x:v>
      </x:c>
      <x:c r="C890" s="27" t="str">
        <x:v>package</x:v>
      </x:c>
      <x:c r="D890" s="27" t="str">
        <x:v>Package row 32 approval open</x:v>
      </x:c>
      <x:c r="E890" s="27" t="n">
        <x:f>IF('Build Packages'!I32="OPEN",1,0)</x:f>
        <x:v>1</x:v>
      </x:c>
      <x:c r="F890" s="27" t="n">
        <x:v>1</x:v>
      </x:c>
      <x:c r="G890" s="29" t="str">
        <x:f>IF(E890=F890,"PASS","FAIL")</x:f>
        <x:v>PASS</x:v>
      </x:c>
    </x:row>
    <x:row r="891" ht="18" customHeight="1">
      <x:c r="B891" s="27" t="str">
        <x:v>A0885</x:v>
      </x:c>
      <x:c r="C891" s="27" t="str">
        <x:v>package</x:v>
      </x:c>
      <x:c r="D891" s="27" t="str">
        <x:v>Package row 32 zero credit</x:v>
      </x:c>
      <x:c r="E891" s="27" t="n">
        <x:f>IF('Build Packages'!J32=0,1,0)</x:f>
        <x:v>1</x:v>
      </x:c>
      <x:c r="F891" s="27" t="n">
        <x:v>1</x:v>
      </x:c>
      <x:c r="G891" s="29" t="str">
        <x:f>IF(E891=F891,"PASS","FAIL")</x:f>
        <x:v>PASS</x:v>
      </x:c>
    </x:row>
    <x:row r="892" ht="18" customHeight="1">
      <x:c r="B892" s="27" t="str">
        <x:v>A0886</x:v>
      </x:c>
      <x:c r="C892" s="27" t="str">
        <x:v>package</x:v>
      </x:c>
      <x:c r="D892" s="27" t="str">
        <x:v>Package row 33 required content</x:v>
      </x:c>
      <x:c r="E892" s="27" t="n">
        <x:f>IF('Build Packages'!F33&lt;&gt;"",1,0)</x:f>
        <x:v>1</x:v>
      </x:c>
      <x:c r="F892" s="27" t="n">
        <x:v>1</x:v>
      </x:c>
      <x:c r="G892" s="29" t="str">
        <x:f>IF(E892=F892,"PASS","FAIL")</x:f>
        <x:v>PASS</x:v>
      </x:c>
    </x:row>
    <x:row r="893" ht="18" customHeight="1">
      <x:c r="B893" s="27" t="str">
        <x:v>A0887</x:v>
      </x:c>
      <x:c r="C893" s="27" t="str">
        <x:v>package</x:v>
      </x:c>
      <x:c r="D893" s="27" t="str">
        <x:v>Package row 33 draft state</x:v>
      </x:c>
      <x:c r="E893" s="27" t="n">
        <x:f>IF('Build Packages'!H33="DRAFT",1,0)</x:f>
        <x:v>1</x:v>
      </x:c>
      <x:c r="F893" s="27" t="n">
        <x:v>1</x:v>
      </x:c>
      <x:c r="G893" s="29" t="str">
        <x:f>IF(E893=F893,"PASS","FAIL")</x:f>
        <x:v>PASS</x:v>
      </x:c>
    </x:row>
    <x:row r="894" ht="18" customHeight="1">
      <x:c r="B894" s="27" t="str">
        <x:v>A0888</x:v>
      </x:c>
      <x:c r="C894" s="27" t="str">
        <x:v>package</x:v>
      </x:c>
      <x:c r="D894" s="27" t="str">
        <x:v>Package row 33 approval open</x:v>
      </x:c>
      <x:c r="E894" s="27" t="n">
        <x:f>IF('Build Packages'!I33="OPEN",1,0)</x:f>
        <x:v>1</x:v>
      </x:c>
      <x:c r="F894" s="27" t="n">
        <x:v>1</x:v>
      </x:c>
      <x:c r="G894" s="29" t="str">
        <x:f>IF(E894=F894,"PASS","FAIL")</x:f>
        <x:v>PASS</x:v>
      </x:c>
    </x:row>
    <x:row r="895" ht="18" customHeight="1">
      <x:c r="B895" s="27" t="str">
        <x:v>A0889</x:v>
      </x:c>
      <x:c r="C895" s="27" t="str">
        <x:v>package</x:v>
      </x:c>
      <x:c r="D895" s="27" t="str">
        <x:v>Package row 33 zero credit</x:v>
      </x:c>
      <x:c r="E895" s="27" t="n">
        <x:f>IF('Build Packages'!J33=0,1,0)</x:f>
        <x:v>1</x:v>
      </x:c>
      <x:c r="F895" s="27" t="n">
        <x:v>1</x:v>
      </x:c>
      <x:c r="G895" s="29" t="str">
        <x:f>IF(E895=F895,"PASS","FAIL")</x:f>
        <x:v>PASS</x:v>
      </x:c>
    </x:row>
    <x:row r="896" ht="18" customHeight="1">
      <x:c r="B896" s="27" t="str">
        <x:v>A0890</x:v>
      </x:c>
      <x:c r="C896" s="27" t="str">
        <x:v>package</x:v>
      </x:c>
      <x:c r="D896" s="27" t="str">
        <x:v>Package row 34 required content</x:v>
      </x:c>
      <x:c r="E896" s="27" t="n">
        <x:f>IF('Build Packages'!F34&lt;&gt;"",1,0)</x:f>
        <x:v>1</x:v>
      </x:c>
      <x:c r="F896" s="27" t="n">
        <x:v>1</x:v>
      </x:c>
      <x:c r="G896" s="29" t="str">
        <x:f>IF(E896=F896,"PASS","FAIL")</x:f>
        <x:v>PASS</x:v>
      </x:c>
    </x:row>
    <x:row r="897" ht="18" customHeight="1">
      <x:c r="B897" s="27" t="str">
        <x:v>A0891</x:v>
      </x:c>
      <x:c r="C897" s="27" t="str">
        <x:v>package</x:v>
      </x:c>
      <x:c r="D897" s="27" t="str">
        <x:v>Package row 34 draft state</x:v>
      </x:c>
      <x:c r="E897" s="27" t="n">
        <x:f>IF('Build Packages'!H34="DRAFT",1,0)</x:f>
        <x:v>1</x:v>
      </x:c>
      <x:c r="F897" s="27" t="n">
        <x:v>1</x:v>
      </x:c>
      <x:c r="G897" s="29" t="str">
        <x:f>IF(E897=F897,"PASS","FAIL")</x:f>
        <x:v>PASS</x:v>
      </x:c>
    </x:row>
    <x:row r="898" ht="18" customHeight="1">
      <x:c r="B898" s="27" t="str">
        <x:v>A0892</x:v>
      </x:c>
      <x:c r="C898" s="27" t="str">
        <x:v>package</x:v>
      </x:c>
      <x:c r="D898" s="27" t="str">
        <x:v>Package row 34 approval open</x:v>
      </x:c>
      <x:c r="E898" s="27" t="n">
        <x:f>IF('Build Packages'!I34="OPEN",1,0)</x:f>
        <x:v>1</x:v>
      </x:c>
      <x:c r="F898" s="27" t="n">
        <x:v>1</x:v>
      </x:c>
      <x:c r="G898" s="29" t="str">
        <x:f>IF(E898=F898,"PASS","FAIL")</x:f>
        <x:v>PASS</x:v>
      </x:c>
    </x:row>
    <x:row r="899" ht="18" customHeight="1">
      <x:c r="B899" s="27" t="str">
        <x:v>A0893</x:v>
      </x:c>
      <x:c r="C899" s="27" t="str">
        <x:v>package</x:v>
      </x:c>
      <x:c r="D899" s="27" t="str">
        <x:v>Package row 34 zero credit</x:v>
      </x:c>
      <x:c r="E899" s="27" t="n">
        <x:f>IF('Build Packages'!J34=0,1,0)</x:f>
        <x:v>1</x:v>
      </x:c>
      <x:c r="F899" s="27" t="n">
        <x:v>1</x:v>
      </x:c>
      <x:c r="G899" s="29" t="str">
        <x:f>IF(E899=F899,"PASS","FAIL")</x:f>
        <x:v>PASS</x:v>
      </x:c>
    </x:row>
    <x:row r="900" ht="18" customHeight="1">
      <x:c r="B900" s="27" t="str">
        <x:v>A0894</x:v>
      </x:c>
      <x:c r="C900" s="27" t="str">
        <x:v>package</x:v>
      </x:c>
      <x:c r="D900" s="27" t="str">
        <x:v>Package row 35 required content</x:v>
      </x:c>
      <x:c r="E900" s="27" t="n">
        <x:f>IF('Build Packages'!F35&lt;&gt;"",1,0)</x:f>
        <x:v>1</x:v>
      </x:c>
      <x:c r="F900" s="27" t="n">
        <x:v>1</x:v>
      </x:c>
      <x:c r="G900" s="29" t="str">
        <x:f>IF(E900=F900,"PASS","FAIL")</x:f>
        <x:v>PASS</x:v>
      </x:c>
    </x:row>
    <x:row r="901" ht="18" customHeight="1">
      <x:c r="B901" s="27" t="str">
        <x:v>A0895</x:v>
      </x:c>
      <x:c r="C901" s="27" t="str">
        <x:v>package</x:v>
      </x:c>
      <x:c r="D901" s="27" t="str">
        <x:v>Package row 35 draft state</x:v>
      </x:c>
      <x:c r="E901" s="27" t="n">
        <x:f>IF('Build Packages'!H35="DRAFT",1,0)</x:f>
        <x:v>1</x:v>
      </x:c>
      <x:c r="F901" s="27" t="n">
        <x:v>1</x:v>
      </x:c>
      <x:c r="G901" s="29" t="str">
        <x:f>IF(E901=F901,"PASS","FAIL")</x:f>
        <x:v>PASS</x:v>
      </x:c>
    </x:row>
    <x:row r="902" ht="18" customHeight="1">
      <x:c r="B902" s="27" t="str">
        <x:v>A0896</x:v>
      </x:c>
      <x:c r="C902" s="27" t="str">
        <x:v>package</x:v>
      </x:c>
      <x:c r="D902" s="27" t="str">
        <x:v>Package row 35 approval open</x:v>
      </x:c>
      <x:c r="E902" s="27" t="n">
        <x:f>IF('Build Packages'!I35="OPEN",1,0)</x:f>
        <x:v>1</x:v>
      </x:c>
      <x:c r="F902" s="27" t="n">
        <x:v>1</x:v>
      </x:c>
      <x:c r="G902" s="29" t="str">
        <x:f>IF(E902=F902,"PASS","FAIL")</x:f>
        <x:v>PASS</x:v>
      </x:c>
    </x:row>
    <x:row r="903" ht="18" customHeight="1">
      <x:c r="B903" s="27" t="str">
        <x:v>A0897</x:v>
      </x:c>
      <x:c r="C903" s="27" t="str">
        <x:v>package</x:v>
      </x:c>
      <x:c r="D903" s="27" t="str">
        <x:v>Package row 35 zero credit</x:v>
      </x:c>
      <x:c r="E903" s="27" t="n">
        <x:f>IF('Build Packages'!J35=0,1,0)</x:f>
        <x:v>1</x:v>
      </x:c>
      <x:c r="F903" s="27" t="n">
        <x:v>1</x:v>
      </x:c>
      <x:c r="G903" s="29" t="str">
        <x:f>IF(E903=F903,"PASS","FAIL")</x:f>
        <x:v>PASS</x:v>
      </x:c>
    </x:row>
    <x:row r="904" ht="18" customHeight="1">
      <x:c r="B904" s="27" t="str">
        <x:v>A0898</x:v>
      </x:c>
      <x:c r="C904" s="27" t="str">
        <x:v>package</x:v>
      </x:c>
      <x:c r="D904" s="27" t="str">
        <x:v>Package row 36 required content</x:v>
      </x:c>
      <x:c r="E904" s="27" t="n">
        <x:f>IF('Build Packages'!F36&lt;&gt;"",1,0)</x:f>
        <x:v>1</x:v>
      </x:c>
      <x:c r="F904" s="27" t="n">
        <x:v>1</x:v>
      </x:c>
      <x:c r="G904" s="29" t="str">
        <x:f>IF(E904=F904,"PASS","FAIL")</x:f>
        <x:v>PASS</x:v>
      </x:c>
    </x:row>
    <x:row r="905" ht="18" customHeight="1">
      <x:c r="B905" s="27" t="str">
        <x:v>A0899</x:v>
      </x:c>
      <x:c r="C905" s="27" t="str">
        <x:v>package</x:v>
      </x:c>
      <x:c r="D905" s="27" t="str">
        <x:v>Package row 36 draft state</x:v>
      </x:c>
      <x:c r="E905" s="27" t="n">
        <x:f>IF('Build Packages'!H36="DRAFT",1,0)</x:f>
        <x:v>1</x:v>
      </x:c>
      <x:c r="F905" s="27" t="n">
        <x:v>1</x:v>
      </x:c>
      <x:c r="G905" s="29" t="str">
        <x:f>IF(E905=F905,"PASS","FAIL")</x:f>
        <x:v>PASS</x:v>
      </x:c>
    </x:row>
    <x:row r="906" ht="18" customHeight="1">
      <x:c r="B906" s="27" t="str">
        <x:v>A0900</x:v>
      </x:c>
      <x:c r="C906" s="27" t="str">
        <x:v>package</x:v>
      </x:c>
      <x:c r="D906" s="27" t="str">
        <x:v>Package row 36 approval open</x:v>
      </x:c>
      <x:c r="E906" s="27" t="n">
        <x:f>IF('Build Packages'!I36="OPEN",1,0)</x:f>
        <x:v>1</x:v>
      </x:c>
      <x:c r="F906" s="27" t="n">
        <x:v>1</x:v>
      </x:c>
      <x:c r="G906" s="29" t="str">
        <x:f>IF(E906=F906,"PASS","FAIL")</x:f>
        <x:v>PASS</x:v>
      </x:c>
    </x:row>
    <x:row r="907" ht="18" customHeight="1">
      <x:c r="B907" s="27" t="str">
        <x:v>A0901</x:v>
      </x:c>
      <x:c r="C907" s="27" t="str">
        <x:v>package</x:v>
      </x:c>
      <x:c r="D907" s="27" t="str">
        <x:v>Package row 36 zero credit</x:v>
      </x:c>
      <x:c r="E907" s="27" t="n">
        <x:f>IF('Build Packages'!J36=0,1,0)</x:f>
        <x:v>1</x:v>
      </x:c>
      <x:c r="F907" s="27" t="n">
        <x:v>1</x:v>
      </x:c>
      <x:c r="G907" s="29" t="str">
        <x:f>IF(E907=F907,"PASS","FAIL")</x:f>
        <x:v>PASS</x:v>
      </x:c>
    </x:row>
    <x:row r="908" ht="18" customHeight="1">
      <x:c r="B908" s="27" t="str">
        <x:v>A0902</x:v>
      </x:c>
      <x:c r="C908" s="27" t="str">
        <x:v>package</x:v>
      </x:c>
      <x:c r="D908" s="27" t="str">
        <x:v>Package row 37 required content</x:v>
      </x:c>
      <x:c r="E908" s="27" t="n">
        <x:f>IF('Build Packages'!F37&lt;&gt;"",1,0)</x:f>
        <x:v>1</x:v>
      </x:c>
      <x:c r="F908" s="27" t="n">
        <x:v>1</x:v>
      </x:c>
      <x:c r="G908" s="29" t="str">
        <x:f>IF(E908=F908,"PASS","FAIL")</x:f>
        <x:v>PASS</x:v>
      </x:c>
    </x:row>
    <x:row r="909" ht="18" customHeight="1">
      <x:c r="B909" s="27" t="str">
        <x:v>A0903</x:v>
      </x:c>
      <x:c r="C909" s="27" t="str">
        <x:v>package</x:v>
      </x:c>
      <x:c r="D909" s="27" t="str">
        <x:v>Package row 37 draft state</x:v>
      </x:c>
      <x:c r="E909" s="27" t="n">
        <x:f>IF('Build Packages'!H37="DRAFT",1,0)</x:f>
        <x:v>1</x:v>
      </x:c>
      <x:c r="F909" s="27" t="n">
        <x:v>1</x:v>
      </x:c>
      <x:c r="G909" s="29" t="str">
        <x:f>IF(E909=F909,"PASS","FAIL")</x:f>
        <x:v>PASS</x:v>
      </x:c>
    </x:row>
    <x:row r="910" ht="18" customHeight="1">
      <x:c r="B910" s="27" t="str">
        <x:v>A0904</x:v>
      </x:c>
      <x:c r="C910" s="27" t="str">
        <x:v>package</x:v>
      </x:c>
      <x:c r="D910" s="27" t="str">
        <x:v>Package row 37 approval open</x:v>
      </x:c>
      <x:c r="E910" s="27" t="n">
        <x:f>IF('Build Packages'!I37="OPEN",1,0)</x:f>
        <x:v>1</x:v>
      </x:c>
      <x:c r="F910" s="27" t="n">
        <x:v>1</x:v>
      </x:c>
      <x:c r="G910" s="29" t="str">
        <x:f>IF(E910=F910,"PASS","FAIL")</x:f>
        <x:v>PASS</x:v>
      </x:c>
    </x:row>
    <x:row r="911" ht="18" customHeight="1">
      <x:c r="B911" s="27" t="str">
        <x:v>A0905</x:v>
      </x:c>
      <x:c r="C911" s="27" t="str">
        <x:v>package</x:v>
      </x:c>
      <x:c r="D911" s="27" t="str">
        <x:v>Package row 37 zero credit</x:v>
      </x:c>
      <x:c r="E911" s="27" t="n">
        <x:f>IF('Build Packages'!J37=0,1,0)</x:f>
        <x:v>1</x:v>
      </x:c>
      <x:c r="F911" s="27" t="n">
        <x:v>1</x:v>
      </x:c>
      <x:c r="G911" s="29" t="str">
        <x:f>IF(E911=F911,"PASS","FAIL")</x:f>
        <x:v>PASS</x:v>
      </x:c>
    </x:row>
    <x:row r="912" ht="18" customHeight="1">
      <x:c r="B912" s="27" t="str">
        <x:v>A0906</x:v>
      </x:c>
      <x:c r="C912" s="27" t="str">
        <x:v>package</x:v>
      </x:c>
      <x:c r="D912" s="27" t="str">
        <x:v>Package row 38 required content</x:v>
      </x:c>
      <x:c r="E912" s="27" t="n">
        <x:f>IF('Build Packages'!F38&lt;&gt;"",1,0)</x:f>
        <x:v>1</x:v>
      </x:c>
      <x:c r="F912" s="27" t="n">
        <x:v>1</x:v>
      </x:c>
      <x:c r="G912" s="29" t="str">
        <x:f>IF(E912=F912,"PASS","FAIL")</x:f>
        <x:v>PASS</x:v>
      </x:c>
    </x:row>
    <x:row r="913" ht="18" customHeight="1">
      <x:c r="B913" s="27" t="str">
        <x:v>A0907</x:v>
      </x:c>
      <x:c r="C913" s="27" t="str">
        <x:v>package</x:v>
      </x:c>
      <x:c r="D913" s="27" t="str">
        <x:v>Package row 38 draft state</x:v>
      </x:c>
      <x:c r="E913" s="27" t="n">
        <x:f>IF('Build Packages'!H38="DRAFT",1,0)</x:f>
        <x:v>1</x:v>
      </x:c>
      <x:c r="F913" s="27" t="n">
        <x:v>1</x:v>
      </x:c>
      <x:c r="G913" s="29" t="str">
        <x:f>IF(E913=F913,"PASS","FAIL")</x:f>
        <x:v>PASS</x:v>
      </x:c>
    </x:row>
    <x:row r="914" ht="18" customHeight="1">
      <x:c r="B914" s="27" t="str">
        <x:v>A0908</x:v>
      </x:c>
      <x:c r="C914" s="27" t="str">
        <x:v>package</x:v>
      </x:c>
      <x:c r="D914" s="27" t="str">
        <x:v>Package row 38 approval open</x:v>
      </x:c>
      <x:c r="E914" s="27" t="n">
        <x:f>IF('Build Packages'!I38="OPEN",1,0)</x:f>
        <x:v>1</x:v>
      </x:c>
      <x:c r="F914" s="27" t="n">
        <x:v>1</x:v>
      </x:c>
      <x:c r="G914" s="29" t="str">
        <x:f>IF(E914=F914,"PASS","FAIL")</x:f>
        <x:v>PASS</x:v>
      </x:c>
    </x:row>
    <x:row r="915" ht="18" customHeight="1">
      <x:c r="B915" s="27" t="str">
        <x:v>A0909</x:v>
      </x:c>
      <x:c r="C915" s="27" t="str">
        <x:v>package</x:v>
      </x:c>
      <x:c r="D915" s="27" t="str">
        <x:v>Package row 38 zero credit</x:v>
      </x:c>
      <x:c r="E915" s="27" t="n">
        <x:f>IF('Build Packages'!J38=0,1,0)</x:f>
        <x:v>1</x:v>
      </x:c>
      <x:c r="F915" s="27" t="n">
        <x:v>1</x:v>
      </x:c>
      <x:c r="G915" s="29" t="str">
        <x:f>IF(E915=F915,"PASS","FAIL")</x:f>
        <x:v>PASS</x:v>
      </x:c>
    </x:row>
    <x:row r="916" ht="18" customHeight="1">
      <x:c r="B916" s="27" t="str">
        <x:v>A0910</x:v>
      </x:c>
      <x:c r="C916" s="27" t="str">
        <x:v>package</x:v>
      </x:c>
      <x:c r="D916" s="27" t="str">
        <x:v>Package row 39 required content</x:v>
      </x:c>
      <x:c r="E916" s="27" t="n">
        <x:f>IF('Build Packages'!F39&lt;&gt;"",1,0)</x:f>
        <x:v>1</x:v>
      </x:c>
      <x:c r="F916" s="27" t="n">
        <x:v>1</x:v>
      </x:c>
      <x:c r="G916" s="29" t="str">
        <x:f>IF(E916=F916,"PASS","FAIL")</x:f>
        <x:v>PASS</x:v>
      </x:c>
    </x:row>
    <x:row r="917" ht="18" customHeight="1">
      <x:c r="B917" s="27" t="str">
        <x:v>A0911</x:v>
      </x:c>
      <x:c r="C917" s="27" t="str">
        <x:v>package</x:v>
      </x:c>
      <x:c r="D917" s="27" t="str">
        <x:v>Package row 39 draft state</x:v>
      </x:c>
      <x:c r="E917" s="27" t="n">
        <x:f>IF('Build Packages'!H39="DRAFT",1,0)</x:f>
        <x:v>1</x:v>
      </x:c>
      <x:c r="F917" s="27" t="n">
        <x:v>1</x:v>
      </x:c>
      <x:c r="G917" s="29" t="str">
        <x:f>IF(E917=F917,"PASS","FAIL")</x:f>
        <x:v>PASS</x:v>
      </x:c>
    </x:row>
    <x:row r="918" ht="18" customHeight="1">
      <x:c r="B918" s="27" t="str">
        <x:v>A0912</x:v>
      </x:c>
      <x:c r="C918" s="27" t="str">
        <x:v>package</x:v>
      </x:c>
      <x:c r="D918" s="27" t="str">
        <x:v>Package row 39 approval open</x:v>
      </x:c>
      <x:c r="E918" s="27" t="n">
        <x:f>IF('Build Packages'!I39="OPEN",1,0)</x:f>
        <x:v>1</x:v>
      </x:c>
      <x:c r="F918" s="27" t="n">
        <x:v>1</x:v>
      </x:c>
      <x:c r="G918" s="29" t="str">
        <x:f>IF(E918=F918,"PASS","FAIL")</x:f>
        <x:v>PASS</x:v>
      </x:c>
    </x:row>
    <x:row r="919" ht="18" customHeight="1">
      <x:c r="B919" s="27" t="str">
        <x:v>A0913</x:v>
      </x:c>
      <x:c r="C919" s="27" t="str">
        <x:v>package</x:v>
      </x:c>
      <x:c r="D919" s="27" t="str">
        <x:v>Package row 39 zero credit</x:v>
      </x:c>
      <x:c r="E919" s="27" t="n">
        <x:f>IF('Build Packages'!J39=0,1,0)</x:f>
        <x:v>1</x:v>
      </x:c>
      <x:c r="F919" s="27" t="n">
        <x:v>1</x:v>
      </x:c>
      <x:c r="G919" s="29" t="str">
        <x:f>IF(E919=F919,"PASS","FAIL")</x:f>
        <x:v>PASS</x:v>
      </x:c>
    </x:row>
    <x:row r="920" ht="18" customHeight="1">
      <x:c r="B920" s="27" t="str">
        <x:v>A0914</x:v>
      </x:c>
      <x:c r="C920" s="27" t="str">
        <x:v>package</x:v>
      </x:c>
      <x:c r="D920" s="27" t="str">
        <x:v>Package row 40 required content</x:v>
      </x:c>
      <x:c r="E920" s="27" t="n">
        <x:f>IF('Build Packages'!F40&lt;&gt;"",1,0)</x:f>
        <x:v>1</x:v>
      </x:c>
      <x:c r="F920" s="27" t="n">
        <x:v>1</x:v>
      </x:c>
      <x:c r="G920" s="29" t="str">
        <x:f>IF(E920=F920,"PASS","FAIL")</x:f>
        <x:v>PASS</x:v>
      </x:c>
    </x:row>
    <x:row r="921" ht="18" customHeight="1">
      <x:c r="B921" s="27" t="str">
        <x:v>A0915</x:v>
      </x:c>
      <x:c r="C921" s="27" t="str">
        <x:v>package</x:v>
      </x:c>
      <x:c r="D921" s="27" t="str">
        <x:v>Package row 40 draft state</x:v>
      </x:c>
      <x:c r="E921" s="27" t="n">
        <x:f>IF('Build Packages'!H40="DRAFT",1,0)</x:f>
        <x:v>1</x:v>
      </x:c>
      <x:c r="F921" s="27" t="n">
        <x:v>1</x:v>
      </x:c>
      <x:c r="G921" s="29" t="str">
        <x:f>IF(E921=F921,"PASS","FAIL")</x:f>
        <x:v>PASS</x:v>
      </x:c>
    </x:row>
    <x:row r="922" ht="18" customHeight="1">
      <x:c r="B922" s="27" t="str">
        <x:v>A0916</x:v>
      </x:c>
      <x:c r="C922" s="27" t="str">
        <x:v>package</x:v>
      </x:c>
      <x:c r="D922" s="27" t="str">
        <x:v>Package row 40 approval open</x:v>
      </x:c>
      <x:c r="E922" s="27" t="n">
        <x:f>IF('Build Packages'!I40="OPEN",1,0)</x:f>
        <x:v>1</x:v>
      </x:c>
      <x:c r="F922" s="27" t="n">
        <x:v>1</x:v>
      </x:c>
      <x:c r="G922" s="29" t="str">
        <x:f>IF(E922=F922,"PASS","FAIL")</x:f>
        <x:v>PASS</x:v>
      </x:c>
    </x:row>
    <x:row r="923" ht="18" customHeight="1">
      <x:c r="B923" s="27" t="str">
        <x:v>A0917</x:v>
      </x:c>
      <x:c r="C923" s="27" t="str">
        <x:v>package</x:v>
      </x:c>
      <x:c r="D923" s="27" t="str">
        <x:v>Package row 40 zero credit</x:v>
      </x:c>
      <x:c r="E923" s="27" t="n">
        <x:f>IF('Build Packages'!J40=0,1,0)</x:f>
        <x:v>1</x:v>
      </x:c>
      <x:c r="F923" s="27" t="n">
        <x:v>1</x:v>
      </x:c>
      <x:c r="G923" s="29" t="str">
        <x:f>IF(E923=F923,"PASS","FAIL")</x:f>
        <x:v>PASS</x:v>
      </x:c>
    </x:row>
    <x:row r="924" ht="18" customHeight="1">
      <x:c r="B924" s="27" t="str">
        <x:v>A0918</x:v>
      </x:c>
      <x:c r="C924" s="27" t="str">
        <x:v>package</x:v>
      </x:c>
      <x:c r="D924" s="27" t="str">
        <x:v>Package row 41 required content</x:v>
      </x:c>
      <x:c r="E924" s="27" t="n">
        <x:f>IF('Build Packages'!F41&lt;&gt;"",1,0)</x:f>
        <x:v>1</x:v>
      </x:c>
      <x:c r="F924" s="27" t="n">
        <x:v>1</x:v>
      </x:c>
      <x:c r="G924" s="29" t="str">
        <x:f>IF(E924=F924,"PASS","FAIL")</x:f>
        <x:v>PASS</x:v>
      </x:c>
    </x:row>
    <x:row r="925" ht="18" customHeight="1">
      <x:c r="B925" s="27" t="str">
        <x:v>A0919</x:v>
      </x:c>
      <x:c r="C925" s="27" t="str">
        <x:v>package</x:v>
      </x:c>
      <x:c r="D925" s="27" t="str">
        <x:v>Package row 41 draft state</x:v>
      </x:c>
      <x:c r="E925" s="27" t="n">
        <x:f>IF('Build Packages'!H41="DRAFT",1,0)</x:f>
        <x:v>1</x:v>
      </x:c>
      <x:c r="F925" s="27" t="n">
        <x:v>1</x:v>
      </x:c>
      <x:c r="G925" s="29" t="str">
        <x:f>IF(E925=F925,"PASS","FAIL")</x:f>
        <x:v>PASS</x:v>
      </x:c>
    </x:row>
    <x:row r="926" ht="18" customHeight="1">
      <x:c r="B926" s="27" t="str">
        <x:v>A0920</x:v>
      </x:c>
      <x:c r="C926" s="27" t="str">
        <x:v>package</x:v>
      </x:c>
      <x:c r="D926" s="27" t="str">
        <x:v>Package row 41 approval open</x:v>
      </x:c>
      <x:c r="E926" s="27" t="n">
        <x:f>IF('Build Packages'!I41="OPEN",1,0)</x:f>
        <x:v>1</x:v>
      </x:c>
      <x:c r="F926" s="27" t="n">
        <x:v>1</x:v>
      </x:c>
      <x:c r="G926" s="29" t="str">
        <x:f>IF(E926=F926,"PASS","FAIL")</x:f>
        <x:v>PASS</x:v>
      </x:c>
    </x:row>
    <x:row r="927" ht="18" customHeight="1">
      <x:c r="B927" s="27" t="str">
        <x:v>A0921</x:v>
      </x:c>
      <x:c r="C927" s="27" t="str">
        <x:v>package</x:v>
      </x:c>
      <x:c r="D927" s="27" t="str">
        <x:v>Package row 41 zero credit</x:v>
      </x:c>
      <x:c r="E927" s="27" t="n">
        <x:f>IF('Build Packages'!J41=0,1,0)</x:f>
        <x:v>1</x:v>
      </x:c>
      <x:c r="F927" s="27" t="n">
        <x:v>1</x:v>
      </x:c>
      <x:c r="G927" s="29" t="str">
        <x:f>IF(E927=F927,"PASS","FAIL")</x:f>
        <x:v>PASS</x:v>
      </x:c>
    </x:row>
    <x:row r="928" ht="18" customHeight="1">
      <x:c r="B928" s="27" t="str">
        <x:v>A0922</x:v>
      </x:c>
      <x:c r="C928" s="27" t="str">
        <x:v>package</x:v>
      </x:c>
      <x:c r="D928" s="27" t="str">
        <x:v>Package row 42 required content</x:v>
      </x:c>
      <x:c r="E928" s="27" t="n">
        <x:f>IF('Build Packages'!F42&lt;&gt;"",1,0)</x:f>
        <x:v>1</x:v>
      </x:c>
      <x:c r="F928" s="27" t="n">
        <x:v>1</x:v>
      </x:c>
      <x:c r="G928" s="29" t="str">
        <x:f>IF(E928=F928,"PASS","FAIL")</x:f>
        <x:v>PASS</x:v>
      </x:c>
    </x:row>
    <x:row r="929" ht="18" customHeight="1">
      <x:c r="B929" s="27" t="str">
        <x:v>A0923</x:v>
      </x:c>
      <x:c r="C929" s="27" t="str">
        <x:v>package</x:v>
      </x:c>
      <x:c r="D929" s="27" t="str">
        <x:v>Package row 42 draft state</x:v>
      </x:c>
      <x:c r="E929" s="27" t="n">
        <x:f>IF('Build Packages'!H42="DRAFT",1,0)</x:f>
        <x:v>1</x:v>
      </x:c>
      <x:c r="F929" s="27" t="n">
        <x:v>1</x:v>
      </x:c>
      <x:c r="G929" s="29" t="str">
        <x:f>IF(E929=F929,"PASS","FAIL")</x:f>
        <x:v>PASS</x:v>
      </x:c>
    </x:row>
    <x:row r="930" ht="18" customHeight="1">
      <x:c r="B930" s="27" t="str">
        <x:v>A0924</x:v>
      </x:c>
      <x:c r="C930" s="27" t="str">
        <x:v>package</x:v>
      </x:c>
      <x:c r="D930" s="27" t="str">
        <x:v>Package row 42 approval open</x:v>
      </x:c>
      <x:c r="E930" s="27" t="n">
        <x:f>IF('Build Packages'!I42="OPEN",1,0)</x:f>
        <x:v>1</x:v>
      </x:c>
      <x:c r="F930" s="27" t="n">
        <x:v>1</x:v>
      </x:c>
      <x:c r="G930" s="29" t="str">
        <x:f>IF(E930=F930,"PASS","FAIL")</x:f>
        <x:v>PASS</x:v>
      </x:c>
    </x:row>
    <x:row r="931" ht="18" customHeight="1">
      <x:c r="B931" s="27" t="str">
        <x:v>A0925</x:v>
      </x:c>
      <x:c r="C931" s="27" t="str">
        <x:v>package</x:v>
      </x:c>
      <x:c r="D931" s="27" t="str">
        <x:v>Package row 42 zero credit</x:v>
      </x:c>
      <x:c r="E931" s="27" t="n">
        <x:f>IF('Build Packages'!J42=0,1,0)</x:f>
        <x:v>1</x:v>
      </x:c>
      <x:c r="F931" s="27" t="n">
        <x:v>1</x:v>
      </x:c>
      <x:c r="G931" s="29" t="str">
        <x:f>IF(E931=F931,"PASS","FAIL")</x:f>
        <x:v>PASS</x:v>
      </x:c>
    </x:row>
    <x:row r="932" ht="18" customHeight="1">
      <x:c r="B932" s="27" t="str">
        <x:v>A0926</x:v>
      </x:c>
      <x:c r="C932" s="27" t="str">
        <x:v>package</x:v>
      </x:c>
      <x:c r="D932" s="27" t="str">
        <x:v>Package row 43 required content</x:v>
      </x:c>
      <x:c r="E932" s="27" t="n">
        <x:f>IF('Build Packages'!F43&lt;&gt;"",1,0)</x:f>
        <x:v>1</x:v>
      </x:c>
      <x:c r="F932" s="27" t="n">
        <x:v>1</x:v>
      </x:c>
      <x:c r="G932" s="29" t="str">
        <x:f>IF(E932=F932,"PASS","FAIL")</x:f>
        <x:v>PASS</x:v>
      </x:c>
    </x:row>
    <x:row r="933" ht="18" customHeight="1">
      <x:c r="B933" s="27" t="str">
        <x:v>A0927</x:v>
      </x:c>
      <x:c r="C933" s="27" t="str">
        <x:v>package</x:v>
      </x:c>
      <x:c r="D933" s="27" t="str">
        <x:v>Package row 43 draft state</x:v>
      </x:c>
      <x:c r="E933" s="27" t="n">
        <x:f>IF('Build Packages'!H43="DRAFT",1,0)</x:f>
        <x:v>1</x:v>
      </x:c>
      <x:c r="F933" s="27" t="n">
        <x:v>1</x:v>
      </x:c>
      <x:c r="G933" s="29" t="str">
        <x:f>IF(E933=F933,"PASS","FAIL")</x:f>
        <x:v>PASS</x:v>
      </x:c>
    </x:row>
    <x:row r="934" ht="18" customHeight="1">
      <x:c r="B934" s="27" t="str">
        <x:v>A0928</x:v>
      </x:c>
      <x:c r="C934" s="27" t="str">
        <x:v>package</x:v>
      </x:c>
      <x:c r="D934" s="27" t="str">
        <x:v>Package row 43 approval open</x:v>
      </x:c>
      <x:c r="E934" s="27" t="n">
        <x:f>IF('Build Packages'!I43="OPEN",1,0)</x:f>
        <x:v>1</x:v>
      </x:c>
      <x:c r="F934" s="27" t="n">
        <x:v>1</x:v>
      </x:c>
      <x:c r="G934" s="29" t="str">
        <x:f>IF(E934=F934,"PASS","FAIL")</x:f>
        <x:v>PASS</x:v>
      </x:c>
    </x:row>
    <x:row r="935" ht="18" customHeight="1">
      <x:c r="B935" s="27" t="str">
        <x:v>A0929</x:v>
      </x:c>
      <x:c r="C935" s="27" t="str">
        <x:v>package</x:v>
      </x:c>
      <x:c r="D935" s="27" t="str">
        <x:v>Package row 43 zero credit</x:v>
      </x:c>
      <x:c r="E935" s="27" t="n">
        <x:f>IF('Build Packages'!J43=0,1,0)</x:f>
        <x:v>1</x:v>
      </x:c>
      <x:c r="F935" s="27" t="n">
        <x:v>1</x:v>
      </x:c>
      <x:c r="G935" s="29" t="str">
        <x:f>IF(E935=F935,"PASS","FAIL")</x:f>
        <x:v>PASS</x:v>
      </x:c>
    </x:row>
    <x:row r="936" ht="18" customHeight="1">
      <x:c r="B936" s="27" t="str">
        <x:v>A0930</x:v>
      </x:c>
      <x:c r="C936" s="27" t="str">
        <x:v>package</x:v>
      </x:c>
      <x:c r="D936" s="27" t="str">
        <x:v>Package row 44 required content</x:v>
      </x:c>
      <x:c r="E936" s="27" t="n">
        <x:f>IF('Build Packages'!F44&lt;&gt;"",1,0)</x:f>
        <x:v>1</x:v>
      </x:c>
      <x:c r="F936" s="27" t="n">
        <x:v>1</x:v>
      </x:c>
      <x:c r="G936" s="29" t="str">
        <x:f>IF(E936=F936,"PASS","FAIL")</x:f>
        <x:v>PASS</x:v>
      </x:c>
    </x:row>
    <x:row r="937" ht="18" customHeight="1">
      <x:c r="B937" s="27" t="str">
        <x:v>A0931</x:v>
      </x:c>
      <x:c r="C937" s="27" t="str">
        <x:v>package</x:v>
      </x:c>
      <x:c r="D937" s="27" t="str">
        <x:v>Package row 44 draft state</x:v>
      </x:c>
      <x:c r="E937" s="27" t="n">
        <x:f>IF('Build Packages'!H44="DRAFT",1,0)</x:f>
        <x:v>1</x:v>
      </x:c>
      <x:c r="F937" s="27" t="n">
        <x:v>1</x:v>
      </x:c>
      <x:c r="G937" s="29" t="str">
        <x:f>IF(E937=F937,"PASS","FAIL")</x:f>
        <x:v>PASS</x:v>
      </x:c>
    </x:row>
    <x:row r="938" ht="18" customHeight="1">
      <x:c r="B938" s="27" t="str">
        <x:v>A0932</x:v>
      </x:c>
      <x:c r="C938" s="27" t="str">
        <x:v>package</x:v>
      </x:c>
      <x:c r="D938" s="27" t="str">
        <x:v>Package row 44 approval open</x:v>
      </x:c>
      <x:c r="E938" s="27" t="n">
        <x:f>IF('Build Packages'!I44="OPEN",1,0)</x:f>
        <x:v>1</x:v>
      </x:c>
      <x:c r="F938" s="27" t="n">
        <x:v>1</x:v>
      </x:c>
      <x:c r="G938" s="29" t="str">
        <x:f>IF(E938=F938,"PASS","FAIL")</x:f>
        <x:v>PASS</x:v>
      </x:c>
    </x:row>
    <x:row r="939" ht="18" customHeight="1">
      <x:c r="B939" s="27" t="str">
        <x:v>A0933</x:v>
      </x:c>
      <x:c r="C939" s="27" t="str">
        <x:v>package</x:v>
      </x:c>
      <x:c r="D939" s="27" t="str">
        <x:v>Package row 44 zero credit</x:v>
      </x:c>
      <x:c r="E939" s="27" t="n">
        <x:f>IF('Build Packages'!J44=0,1,0)</x:f>
        <x:v>1</x:v>
      </x:c>
      <x:c r="F939" s="27" t="n">
        <x:v>1</x:v>
      </x:c>
      <x:c r="G939" s="29" t="str">
        <x:f>IF(E939=F939,"PASS","FAIL")</x:f>
        <x:v>PASS</x:v>
      </x:c>
    </x:row>
    <x:row r="940" ht="18" customHeight="1">
      <x:c r="B940" s="27" t="str">
        <x:v>A0934</x:v>
      </x:c>
      <x:c r="C940" s="27" t="str">
        <x:v>package</x:v>
      </x:c>
      <x:c r="D940" s="27" t="str">
        <x:v>Package row 45 required content</x:v>
      </x:c>
      <x:c r="E940" s="27" t="n">
        <x:f>IF('Build Packages'!F45&lt;&gt;"",1,0)</x:f>
        <x:v>1</x:v>
      </x:c>
      <x:c r="F940" s="27" t="n">
        <x:v>1</x:v>
      </x:c>
      <x:c r="G940" s="29" t="str">
        <x:f>IF(E940=F940,"PASS","FAIL")</x:f>
        <x:v>PASS</x:v>
      </x:c>
    </x:row>
    <x:row r="941" ht="18" customHeight="1">
      <x:c r="B941" s="27" t="str">
        <x:v>A0935</x:v>
      </x:c>
      <x:c r="C941" s="27" t="str">
        <x:v>package</x:v>
      </x:c>
      <x:c r="D941" s="27" t="str">
        <x:v>Package row 45 draft state</x:v>
      </x:c>
      <x:c r="E941" s="27" t="n">
        <x:f>IF('Build Packages'!H45="DRAFT",1,0)</x:f>
        <x:v>1</x:v>
      </x:c>
      <x:c r="F941" s="27" t="n">
        <x:v>1</x:v>
      </x:c>
      <x:c r="G941" s="29" t="str">
        <x:f>IF(E941=F941,"PASS","FAIL")</x:f>
        <x:v>PASS</x:v>
      </x:c>
    </x:row>
    <x:row r="942" ht="18" customHeight="1">
      <x:c r="B942" s="27" t="str">
        <x:v>A0936</x:v>
      </x:c>
      <x:c r="C942" s="27" t="str">
        <x:v>package</x:v>
      </x:c>
      <x:c r="D942" s="27" t="str">
        <x:v>Package row 45 approval open</x:v>
      </x:c>
      <x:c r="E942" s="27" t="n">
        <x:f>IF('Build Packages'!I45="OPEN",1,0)</x:f>
        <x:v>1</x:v>
      </x:c>
      <x:c r="F942" s="27" t="n">
        <x:v>1</x:v>
      </x:c>
      <x:c r="G942" s="29" t="str">
        <x:f>IF(E942=F942,"PASS","FAIL")</x:f>
        <x:v>PASS</x:v>
      </x:c>
    </x:row>
    <x:row r="943" ht="18" customHeight="1">
      <x:c r="B943" s="27" t="str">
        <x:v>A0937</x:v>
      </x:c>
      <x:c r="C943" s="27" t="str">
        <x:v>package</x:v>
      </x:c>
      <x:c r="D943" s="27" t="str">
        <x:v>Package row 45 zero credit</x:v>
      </x:c>
      <x:c r="E943" s="27" t="n">
        <x:f>IF('Build Packages'!J45=0,1,0)</x:f>
        <x:v>1</x:v>
      </x:c>
      <x:c r="F943" s="27" t="n">
        <x:v>1</x:v>
      </x:c>
      <x:c r="G943" s="29" t="str">
        <x:f>IF(E943=F943,"PASS","FAIL")</x:f>
        <x:v>PASS</x:v>
      </x:c>
    </x:row>
    <x:row r="944" ht="18" customHeight="1">
      <x:c r="B944" s="27" t="str">
        <x:v>A0938</x:v>
      </x:c>
      <x:c r="C944" s="27" t="str">
        <x:v>package</x:v>
      </x:c>
      <x:c r="D944" s="27" t="str">
        <x:v>Package row 46 required content</x:v>
      </x:c>
      <x:c r="E944" s="27" t="n">
        <x:f>IF('Build Packages'!F46&lt;&gt;"",1,0)</x:f>
        <x:v>1</x:v>
      </x:c>
      <x:c r="F944" s="27" t="n">
        <x:v>1</x:v>
      </x:c>
      <x:c r="G944" s="29" t="str">
        <x:f>IF(E944=F944,"PASS","FAIL")</x:f>
        <x:v>PASS</x:v>
      </x:c>
    </x:row>
    <x:row r="945" ht="18" customHeight="1">
      <x:c r="B945" s="27" t="str">
        <x:v>A0939</x:v>
      </x:c>
      <x:c r="C945" s="27" t="str">
        <x:v>package</x:v>
      </x:c>
      <x:c r="D945" s="27" t="str">
        <x:v>Package row 46 draft state</x:v>
      </x:c>
      <x:c r="E945" s="27" t="n">
        <x:f>IF('Build Packages'!H46="DRAFT",1,0)</x:f>
        <x:v>1</x:v>
      </x:c>
      <x:c r="F945" s="27" t="n">
        <x:v>1</x:v>
      </x:c>
      <x:c r="G945" s="29" t="str">
        <x:f>IF(E945=F945,"PASS","FAIL")</x:f>
        <x:v>PASS</x:v>
      </x:c>
    </x:row>
    <x:row r="946" ht="18" customHeight="1">
      <x:c r="B946" s="27" t="str">
        <x:v>A0940</x:v>
      </x:c>
      <x:c r="C946" s="27" t="str">
        <x:v>package</x:v>
      </x:c>
      <x:c r="D946" s="27" t="str">
        <x:v>Package row 46 approval open</x:v>
      </x:c>
      <x:c r="E946" s="27" t="n">
        <x:f>IF('Build Packages'!I46="OPEN",1,0)</x:f>
        <x:v>1</x:v>
      </x:c>
      <x:c r="F946" s="27" t="n">
        <x:v>1</x:v>
      </x:c>
      <x:c r="G946" s="29" t="str">
        <x:f>IF(E946=F946,"PASS","FAIL")</x:f>
        <x:v>PASS</x:v>
      </x:c>
    </x:row>
    <x:row r="947" ht="18" customHeight="1">
      <x:c r="B947" s="27" t="str">
        <x:v>A0941</x:v>
      </x:c>
      <x:c r="C947" s="27" t="str">
        <x:v>package</x:v>
      </x:c>
      <x:c r="D947" s="27" t="str">
        <x:v>Package row 46 zero credit</x:v>
      </x:c>
      <x:c r="E947" s="27" t="n">
        <x:f>IF('Build Packages'!J46=0,1,0)</x:f>
        <x:v>1</x:v>
      </x:c>
      <x:c r="F947" s="27" t="n">
        <x:v>1</x:v>
      </x:c>
      <x:c r="G947" s="29" t="str">
        <x:f>IF(E947=F947,"PASS","FAIL")</x:f>
        <x:v>PASS</x:v>
      </x:c>
    </x:row>
    <x:row r="948" ht="18" customHeight="1">
      <x:c r="B948" s="27" t="str">
        <x:v>A0942</x:v>
      </x:c>
      <x:c r="C948" s="27" t="str">
        <x:v>package</x:v>
      </x:c>
      <x:c r="D948" s="27" t="str">
        <x:v>Package row 47 required content</x:v>
      </x:c>
      <x:c r="E948" s="27" t="n">
        <x:f>IF('Build Packages'!F47&lt;&gt;"",1,0)</x:f>
        <x:v>1</x:v>
      </x:c>
      <x:c r="F948" s="27" t="n">
        <x:v>1</x:v>
      </x:c>
      <x:c r="G948" s="29" t="str">
        <x:f>IF(E948=F948,"PASS","FAIL")</x:f>
        <x:v>PASS</x:v>
      </x:c>
    </x:row>
    <x:row r="949" ht="18" customHeight="1">
      <x:c r="B949" s="27" t="str">
        <x:v>A0943</x:v>
      </x:c>
      <x:c r="C949" s="27" t="str">
        <x:v>package</x:v>
      </x:c>
      <x:c r="D949" s="27" t="str">
        <x:v>Package row 47 draft state</x:v>
      </x:c>
      <x:c r="E949" s="27" t="n">
        <x:f>IF('Build Packages'!H47="DRAFT",1,0)</x:f>
        <x:v>1</x:v>
      </x:c>
      <x:c r="F949" s="27" t="n">
        <x:v>1</x:v>
      </x:c>
      <x:c r="G949" s="29" t="str">
        <x:f>IF(E949=F949,"PASS","FAIL")</x:f>
        <x:v>PASS</x:v>
      </x:c>
    </x:row>
    <x:row r="950" ht="18" customHeight="1">
      <x:c r="B950" s="27" t="str">
        <x:v>A0944</x:v>
      </x:c>
      <x:c r="C950" s="27" t="str">
        <x:v>package</x:v>
      </x:c>
      <x:c r="D950" s="27" t="str">
        <x:v>Package row 47 approval open</x:v>
      </x:c>
      <x:c r="E950" s="27" t="n">
        <x:f>IF('Build Packages'!I47="OPEN",1,0)</x:f>
        <x:v>1</x:v>
      </x:c>
      <x:c r="F950" s="27" t="n">
        <x:v>1</x:v>
      </x:c>
      <x:c r="G950" s="29" t="str">
        <x:f>IF(E950=F950,"PASS","FAIL")</x:f>
        <x:v>PASS</x:v>
      </x:c>
    </x:row>
    <x:row r="951" ht="18" customHeight="1">
      <x:c r="B951" s="27" t="str">
        <x:v>A0945</x:v>
      </x:c>
      <x:c r="C951" s="27" t="str">
        <x:v>package</x:v>
      </x:c>
      <x:c r="D951" s="27" t="str">
        <x:v>Package row 47 zero credit</x:v>
      </x:c>
      <x:c r="E951" s="27" t="n">
        <x:f>IF('Build Packages'!J47=0,1,0)</x:f>
        <x:v>1</x:v>
      </x:c>
      <x:c r="F951" s="27" t="n">
        <x:v>1</x:v>
      </x:c>
      <x:c r="G951" s="29" t="str">
        <x:f>IF(E951=F951,"PASS","FAIL")</x:f>
        <x:v>PASS</x:v>
      </x:c>
    </x:row>
    <x:row r="952" ht="18" customHeight="1">
      <x:c r="B952" s="27" t="str">
        <x:v>A0946</x:v>
      </x:c>
      <x:c r="C952" s="27" t="str">
        <x:v>package</x:v>
      </x:c>
      <x:c r="D952" s="27" t="str">
        <x:v>Package row 48 required content</x:v>
      </x:c>
      <x:c r="E952" s="27" t="n">
        <x:f>IF('Build Packages'!F48&lt;&gt;"",1,0)</x:f>
        <x:v>1</x:v>
      </x:c>
      <x:c r="F952" s="27" t="n">
        <x:v>1</x:v>
      </x:c>
      <x:c r="G952" s="29" t="str">
        <x:f>IF(E952=F952,"PASS","FAIL")</x:f>
        <x:v>PASS</x:v>
      </x:c>
    </x:row>
    <x:row r="953" ht="18" customHeight="1">
      <x:c r="B953" s="27" t="str">
        <x:v>A0947</x:v>
      </x:c>
      <x:c r="C953" s="27" t="str">
        <x:v>package</x:v>
      </x:c>
      <x:c r="D953" s="27" t="str">
        <x:v>Package row 48 draft state</x:v>
      </x:c>
      <x:c r="E953" s="27" t="n">
        <x:f>IF('Build Packages'!H48="DRAFT",1,0)</x:f>
        <x:v>1</x:v>
      </x:c>
      <x:c r="F953" s="27" t="n">
        <x:v>1</x:v>
      </x:c>
      <x:c r="G953" s="29" t="str">
        <x:f>IF(E953=F953,"PASS","FAIL")</x:f>
        <x:v>PASS</x:v>
      </x:c>
    </x:row>
    <x:row r="954" ht="18" customHeight="1">
      <x:c r="B954" s="27" t="str">
        <x:v>A0948</x:v>
      </x:c>
      <x:c r="C954" s="27" t="str">
        <x:v>package</x:v>
      </x:c>
      <x:c r="D954" s="27" t="str">
        <x:v>Package row 48 approval open</x:v>
      </x:c>
      <x:c r="E954" s="27" t="n">
        <x:f>IF('Build Packages'!I48="OPEN",1,0)</x:f>
        <x:v>1</x:v>
      </x:c>
      <x:c r="F954" s="27" t="n">
        <x:v>1</x:v>
      </x:c>
      <x:c r="G954" s="29" t="str">
        <x:f>IF(E954=F954,"PASS","FAIL")</x:f>
        <x:v>PASS</x:v>
      </x:c>
    </x:row>
    <x:row r="955" ht="18" customHeight="1">
      <x:c r="B955" s="27" t="str">
        <x:v>A0949</x:v>
      </x:c>
      <x:c r="C955" s="27" t="str">
        <x:v>package</x:v>
      </x:c>
      <x:c r="D955" s="27" t="str">
        <x:v>Package row 48 zero credit</x:v>
      </x:c>
      <x:c r="E955" s="27" t="n">
        <x:f>IF('Build Packages'!J48=0,1,0)</x:f>
        <x:v>1</x:v>
      </x:c>
      <x:c r="F955" s="27" t="n">
        <x:v>1</x:v>
      </x:c>
      <x:c r="G955" s="29" t="str">
        <x:f>IF(E955=F955,"PASS","FAIL")</x:f>
        <x:v>PASS</x:v>
      </x:c>
    </x:row>
    <x:row r="956" ht="18" customHeight="1">
      <x:c r="B956" s="27" t="str">
        <x:v>A0950</x:v>
      </x:c>
      <x:c r="C956" s="27" t="str">
        <x:v>package</x:v>
      </x:c>
      <x:c r="D956" s="27" t="str">
        <x:v>Package row 49 required content</x:v>
      </x:c>
      <x:c r="E956" s="27" t="n">
        <x:f>IF('Build Packages'!F49&lt;&gt;"",1,0)</x:f>
        <x:v>1</x:v>
      </x:c>
      <x:c r="F956" s="27" t="n">
        <x:v>1</x:v>
      </x:c>
      <x:c r="G956" s="29" t="str">
        <x:f>IF(E956=F956,"PASS","FAIL")</x:f>
        <x:v>PASS</x:v>
      </x:c>
    </x:row>
    <x:row r="957" ht="18" customHeight="1">
      <x:c r="B957" s="27" t="str">
        <x:v>A0951</x:v>
      </x:c>
      <x:c r="C957" s="27" t="str">
        <x:v>package</x:v>
      </x:c>
      <x:c r="D957" s="27" t="str">
        <x:v>Package row 49 draft state</x:v>
      </x:c>
      <x:c r="E957" s="27" t="n">
        <x:f>IF('Build Packages'!H49="DRAFT",1,0)</x:f>
        <x:v>1</x:v>
      </x:c>
      <x:c r="F957" s="27" t="n">
        <x:v>1</x:v>
      </x:c>
      <x:c r="G957" s="29" t="str">
        <x:f>IF(E957=F957,"PASS","FAIL")</x:f>
        <x:v>PASS</x:v>
      </x:c>
    </x:row>
    <x:row r="958" ht="18" customHeight="1">
      <x:c r="B958" s="27" t="str">
        <x:v>A0952</x:v>
      </x:c>
      <x:c r="C958" s="27" t="str">
        <x:v>package</x:v>
      </x:c>
      <x:c r="D958" s="27" t="str">
        <x:v>Package row 49 approval open</x:v>
      </x:c>
      <x:c r="E958" s="27" t="n">
        <x:f>IF('Build Packages'!I49="OPEN",1,0)</x:f>
        <x:v>1</x:v>
      </x:c>
      <x:c r="F958" s="27" t="n">
        <x:v>1</x:v>
      </x:c>
      <x:c r="G958" s="29" t="str">
        <x:f>IF(E958=F958,"PASS","FAIL")</x:f>
        <x:v>PASS</x:v>
      </x:c>
    </x:row>
    <x:row r="959" ht="18" customHeight="1">
      <x:c r="B959" s="27" t="str">
        <x:v>A0953</x:v>
      </x:c>
      <x:c r="C959" s="27" t="str">
        <x:v>package</x:v>
      </x:c>
      <x:c r="D959" s="27" t="str">
        <x:v>Package row 49 zero credit</x:v>
      </x:c>
      <x:c r="E959" s="27" t="n">
        <x:f>IF('Build Packages'!J49=0,1,0)</x:f>
        <x:v>1</x:v>
      </x:c>
      <x:c r="F959" s="27" t="n">
        <x:v>1</x:v>
      </x:c>
      <x:c r="G959" s="29" t="str">
        <x:f>IF(E959=F959,"PASS","FAIL")</x:f>
        <x:v>PASS</x:v>
      </x:c>
    </x:row>
    <x:row r="960" ht="18" customHeight="1">
      <x:c r="B960" s="27" t="str">
        <x:v>A0954</x:v>
      </x:c>
      <x:c r="C960" s="27" t="str">
        <x:v>package</x:v>
      </x:c>
      <x:c r="D960" s="27" t="str">
        <x:v>Package row 50 required content</x:v>
      </x:c>
      <x:c r="E960" s="27" t="n">
        <x:f>IF('Build Packages'!F50&lt;&gt;"",1,0)</x:f>
        <x:v>1</x:v>
      </x:c>
      <x:c r="F960" s="27" t="n">
        <x:v>1</x:v>
      </x:c>
      <x:c r="G960" s="29" t="str">
        <x:f>IF(E960=F960,"PASS","FAIL")</x:f>
        <x:v>PASS</x:v>
      </x:c>
    </x:row>
    <x:row r="961" ht="18" customHeight="1">
      <x:c r="B961" s="27" t="str">
        <x:v>A0955</x:v>
      </x:c>
      <x:c r="C961" s="27" t="str">
        <x:v>package</x:v>
      </x:c>
      <x:c r="D961" s="27" t="str">
        <x:v>Package row 50 draft state</x:v>
      </x:c>
      <x:c r="E961" s="27" t="n">
        <x:f>IF('Build Packages'!H50="DRAFT",1,0)</x:f>
        <x:v>1</x:v>
      </x:c>
      <x:c r="F961" s="27" t="n">
        <x:v>1</x:v>
      </x:c>
      <x:c r="G961" s="29" t="str">
        <x:f>IF(E961=F961,"PASS","FAIL")</x:f>
        <x:v>PASS</x:v>
      </x:c>
    </x:row>
    <x:row r="962" ht="18" customHeight="1">
      <x:c r="B962" s="27" t="str">
        <x:v>A0956</x:v>
      </x:c>
      <x:c r="C962" s="27" t="str">
        <x:v>package</x:v>
      </x:c>
      <x:c r="D962" s="27" t="str">
        <x:v>Package row 50 approval open</x:v>
      </x:c>
      <x:c r="E962" s="27" t="n">
        <x:f>IF('Build Packages'!I50="OPEN",1,0)</x:f>
        <x:v>1</x:v>
      </x:c>
      <x:c r="F962" s="27" t="n">
        <x:v>1</x:v>
      </x:c>
      <x:c r="G962" s="29" t="str">
        <x:f>IF(E962=F962,"PASS","FAIL")</x:f>
        <x:v>PASS</x:v>
      </x:c>
    </x:row>
    <x:row r="963" ht="18" customHeight="1">
      <x:c r="B963" s="27" t="str">
        <x:v>A0957</x:v>
      </x:c>
      <x:c r="C963" s="27" t="str">
        <x:v>package</x:v>
      </x:c>
      <x:c r="D963" s="27" t="str">
        <x:v>Package row 50 zero credit</x:v>
      </x:c>
      <x:c r="E963" s="27" t="n">
        <x:f>IF('Build Packages'!J50=0,1,0)</x:f>
        <x:v>1</x:v>
      </x:c>
      <x:c r="F963" s="27" t="n">
        <x:v>1</x:v>
      </x:c>
      <x:c r="G963" s="29" t="str">
        <x:f>IF(E963=F963,"PASS","FAIL")</x:f>
        <x:v>PASS</x:v>
      </x:c>
    </x:row>
    <x:row r="964" ht="18" customHeight="1">
      <x:c r="B964" s="27" t="str">
        <x:v>A0958</x:v>
      </x:c>
      <x:c r="C964" s="27" t="str">
        <x:v>package</x:v>
      </x:c>
      <x:c r="D964" s="27" t="str">
        <x:v>Package row 51 required content</x:v>
      </x:c>
      <x:c r="E964" s="27" t="n">
        <x:f>IF('Build Packages'!F51&lt;&gt;"",1,0)</x:f>
        <x:v>1</x:v>
      </x:c>
      <x:c r="F964" s="27" t="n">
        <x:v>1</x:v>
      </x:c>
      <x:c r="G964" s="29" t="str">
        <x:f>IF(E964=F964,"PASS","FAIL")</x:f>
        <x:v>PASS</x:v>
      </x:c>
    </x:row>
    <x:row r="965" ht="18" customHeight="1">
      <x:c r="B965" s="27" t="str">
        <x:v>A0959</x:v>
      </x:c>
      <x:c r="C965" s="27" t="str">
        <x:v>package</x:v>
      </x:c>
      <x:c r="D965" s="27" t="str">
        <x:v>Package row 51 draft state</x:v>
      </x:c>
      <x:c r="E965" s="27" t="n">
        <x:f>IF('Build Packages'!H51="DRAFT",1,0)</x:f>
        <x:v>1</x:v>
      </x:c>
      <x:c r="F965" s="27" t="n">
        <x:v>1</x:v>
      </x:c>
      <x:c r="G965" s="29" t="str">
        <x:f>IF(E965=F965,"PASS","FAIL")</x:f>
        <x:v>PASS</x:v>
      </x:c>
    </x:row>
    <x:row r="966" ht="18" customHeight="1">
      <x:c r="B966" s="27" t="str">
        <x:v>A0960</x:v>
      </x:c>
      <x:c r="C966" s="27" t="str">
        <x:v>package</x:v>
      </x:c>
      <x:c r="D966" s="27" t="str">
        <x:v>Package row 51 approval open</x:v>
      </x:c>
      <x:c r="E966" s="27" t="n">
        <x:f>IF('Build Packages'!I51="OPEN",1,0)</x:f>
        <x:v>1</x:v>
      </x:c>
      <x:c r="F966" s="27" t="n">
        <x:v>1</x:v>
      </x:c>
      <x:c r="G966" s="29" t="str">
        <x:f>IF(E966=F966,"PASS","FAIL")</x:f>
        <x:v>PASS</x:v>
      </x:c>
    </x:row>
    <x:row r="967" ht="18" customHeight="1">
      <x:c r="B967" s="27" t="str">
        <x:v>A0961</x:v>
      </x:c>
      <x:c r="C967" s="27" t="str">
        <x:v>package</x:v>
      </x:c>
      <x:c r="D967" s="27" t="str">
        <x:v>Package row 51 zero credit</x:v>
      </x:c>
      <x:c r="E967" s="27" t="n">
        <x:f>IF('Build Packages'!J51=0,1,0)</x:f>
        <x:v>1</x:v>
      </x:c>
      <x:c r="F967" s="27" t="n">
        <x:v>1</x:v>
      </x:c>
      <x:c r="G967" s="29" t="str">
        <x:f>IF(E967=F967,"PASS","FAIL")</x:f>
        <x:v>PASS</x:v>
      </x:c>
    </x:row>
    <x:row r="968" ht="18" customHeight="1">
      <x:c r="B968" s="27" t="str">
        <x:v>A0962</x:v>
      </x:c>
      <x:c r="C968" s="27" t="str">
        <x:v>package</x:v>
      </x:c>
      <x:c r="D968" s="27" t="str">
        <x:v>Package row 52 required content</x:v>
      </x:c>
      <x:c r="E968" s="27" t="n">
        <x:f>IF('Build Packages'!F52&lt;&gt;"",1,0)</x:f>
        <x:v>1</x:v>
      </x:c>
      <x:c r="F968" s="27" t="n">
        <x:v>1</x:v>
      </x:c>
      <x:c r="G968" s="29" t="str">
        <x:f>IF(E968=F968,"PASS","FAIL")</x:f>
        <x:v>PASS</x:v>
      </x:c>
    </x:row>
    <x:row r="969" ht="18" customHeight="1">
      <x:c r="B969" s="27" t="str">
        <x:v>A0963</x:v>
      </x:c>
      <x:c r="C969" s="27" t="str">
        <x:v>package</x:v>
      </x:c>
      <x:c r="D969" s="27" t="str">
        <x:v>Package row 52 draft state</x:v>
      </x:c>
      <x:c r="E969" s="27" t="n">
        <x:f>IF('Build Packages'!H52="DRAFT",1,0)</x:f>
        <x:v>1</x:v>
      </x:c>
      <x:c r="F969" s="27" t="n">
        <x:v>1</x:v>
      </x:c>
      <x:c r="G969" s="29" t="str">
        <x:f>IF(E969=F969,"PASS","FAIL")</x:f>
        <x:v>PASS</x:v>
      </x:c>
    </x:row>
    <x:row r="970" ht="18" customHeight="1">
      <x:c r="B970" s="27" t="str">
        <x:v>A0964</x:v>
      </x:c>
      <x:c r="C970" s="27" t="str">
        <x:v>package</x:v>
      </x:c>
      <x:c r="D970" s="27" t="str">
        <x:v>Package row 52 approval open</x:v>
      </x:c>
      <x:c r="E970" s="27" t="n">
        <x:f>IF('Build Packages'!I52="OPEN",1,0)</x:f>
        <x:v>1</x:v>
      </x:c>
      <x:c r="F970" s="27" t="n">
        <x:v>1</x:v>
      </x:c>
      <x:c r="G970" s="29" t="str">
        <x:f>IF(E970=F970,"PASS","FAIL")</x:f>
        <x:v>PASS</x:v>
      </x:c>
    </x:row>
    <x:row r="971" ht="18" customHeight="1">
      <x:c r="B971" s="27" t="str">
        <x:v>A0965</x:v>
      </x:c>
      <x:c r="C971" s="27" t="str">
        <x:v>package</x:v>
      </x:c>
      <x:c r="D971" s="27" t="str">
        <x:v>Package row 52 zero credit</x:v>
      </x:c>
      <x:c r="E971" s="27" t="n">
        <x:f>IF('Build Packages'!J52=0,1,0)</x:f>
        <x:v>1</x:v>
      </x:c>
      <x:c r="F971" s="27" t="n">
        <x:v>1</x:v>
      </x:c>
      <x:c r="G971" s="29" t="str">
        <x:f>IF(E971=F971,"PASS","FAIL")</x:f>
        <x:v>PASS</x:v>
      </x:c>
    </x:row>
    <x:row r="972" ht="18" customHeight="1">
      <x:c r="B972" s="27" t="str">
        <x:v>A0966</x:v>
      </x:c>
      <x:c r="C972" s="27" t="str">
        <x:v>package</x:v>
      </x:c>
      <x:c r="D972" s="27" t="str">
        <x:v>Package row 53 required content</x:v>
      </x:c>
      <x:c r="E972" s="27" t="n">
        <x:f>IF('Build Packages'!F53&lt;&gt;"",1,0)</x:f>
        <x:v>1</x:v>
      </x:c>
      <x:c r="F972" s="27" t="n">
        <x:v>1</x:v>
      </x:c>
      <x:c r="G972" s="29" t="str">
        <x:f>IF(E972=F972,"PASS","FAIL")</x:f>
        <x:v>PASS</x:v>
      </x:c>
    </x:row>
    <x:row r="973" ht="18" customHeight="1">
      <x:c r="B973" s="27" t="str">
        <x:v>A0967</x:v>
      </x:c>
      <x:c r="C973" s="27" t="str">
        <x:v>package</x:v>
      </x:c>
      <x:c r="D973" s="27" t="str">
        <x:v>Package row 53 draft state</x:v>
      </x:c>
      <x:c r="E973" s="27" t="n">
        <x:f>IF('Build Packages'!H53="DRAFT",1,0)</x:f>
        <x:v>1</x:v>
      </x:c>
      <x:c r="F973" s="27" t="n">
        <x:v>1</x:v>
      </x:c>
      <x:c r="G973" s="29" t="str">
        <x:f>IF(E973=F973,"PASS","FAIL")</x:f>
        <x:v>PASS</x:v>
      </x:c>
    </x:row>
    <x:row r="974" ht="18" customHeight="1">
      <x:c r="B974" s="27" t="str">
        <x:v>A0968</x:v>
      </x:c>
      <x:c r="C974" s="27" t="str">
        <x:v>package</x:v>
      </x:c>
      <x:c r="D974" s="27" t="str">
        <x:v>Package row 53 approval open</x:v>
      </x:c>
      <x:c r="E974" s="27" t="n">
        <x:f>IF('Build Packages'!I53="OPEN",1,0)</x:f>
        <x:v>1</x:v>
      </x:c>
      <x:c r="F974" s="27" t="n">
        <x:v>1</x:v>
      </x:c>
      <x:c r="G974" s="29" t="str">
        <x:f>IF(E974=F974,"PASS","FAIL")</x:f>
        <x:v>PASS</x:v>
      </x:c>
    </x:row>
    <x:row r="975" ht="18" customHeight="1">
      <x:c r="B975" s="27" t="str">
        <x:v>A0969</x:v>
      </x:c>
      <x:c r="C975" s="27" t="str">
        <x:v>package</x:v>
      </x:c>
      <x:c r="D975" s="27" t="str">
        <x:v>Package row 53 zero credit</x:v>
      </x:c>
      <x:c r="E975" s="27" t="n">
        <x:f>IF('Build Packages'!J53=0,1,0)</x:f>
        <x:v>1</x:v>
      </x:c>
      <x:c r="F975" s="27" t="n">
        <x:v>1</x:v>
      </x:c>
      <x:c r="G975" s="29" t="str">
        <x:f>IF(E975=F975,"PASS","FAIL")</x:f>
        <x:v>PASS</x:v>
      </x:c>
    </x:row>
    <x:row r="976" ht="18" customHeight="1">
      <x:c r="B976" s="27" t="str">
        <x:v>A0970</x:v>
      </x:c>
      <x:c r="C976" s="27" t="str">
        <x:v>package</x:v>
      </x:c>
      <x:c r="D976" s="27" t="str">
        <x:v>Package row 54 required content</x:v>
      </x:c>
      <x:c r="E976" s="27" t="n">
        <x:f>IF('Build Packages'!F54&lt;&gt;"",1,0)</x:f>
        <x:v>1</x:v>
      </x:c>
      <x:c r="F976" s="27" t="n">
        <x:v>1</x:v>
      </x:c>
      <x:c r="G976" s="29" t="str">
        <x:f>IF(E976=F976,"PASS","FAIL")</x:f>
        <x:v>PASS</x:v>
      </x:c>
    </x:row>
    <x:row r="977" ht="18" customHeight="1">
      <x:c r="B977" s="27" t="str">
        <x:v>A0971</x:v>
      </x:c>
      <x:c r="C977" s="27" t="str">
        <x:v>package</x:v>
      </x:c>
      <x:c r="D977" s="27" t="str">
        <x:v>Package row 54 draft state</x:v>
      </x:c>
      <x:c r="E977" s="27" t="n">
        <x:f>IF('Build Packages'!H54="DRAFT",1,0)</x:f>
        <x:v>1</x:v>
      </x:c>
      <x:c r="F977" s="27" t="n">
        <x:v>1</x:v>
      </x:c>
      <x:c r="G977" s="29" t="str">
        <x:f>IF(E977=F977,"PASS","FAIL")</x:f>
        <x:v>PASS</x:v>
      </x:c>
    </x:row>
    <x:row r="978" ht="18" customHeight="1">
      <x:c r="B978" s="27" t="str">
        <x:v>A0972</x:v>
      </x:c>
      <x:c r="C978" s="27" t="str">
        <x:v>package</x:v>
      </x:c>
      <x:c r="D978" s="27" t="str">
        <x:v>Package row 54 approval open</x:v>
      </x:c>
      <x:c r="E978" s="27" t="n">
        <x:f>IF('Build Packages'!I54="OPEN",1,0)</x:f>
        <x:v>1</x:v>
      </x:c>
      <x:c r="F978" s="27" t="n">
        <x:v>1</x:v>
      </x:c>
      <x:c r="G978" s="29" t="str">
        <x:f>IF(E978=F978,"PASS","FAIL")</x:f>
        <x:v>PASS</x:v>
      </x:c>
    </x:row>
    <x:row r="979" ht="18" customHeight="1">
      <x:c r="B979" s="27" t="str">
        <x:v>A0973</x:v>
      </x:c>
      <x:c r="C979" s="27" t="str">
        <x:v>package</x:v>
      </x:c>
      <x:c r="D979" s="27" t="str">
        <x:v>Package row 54 zero credit</x:v>
      </x:c>
      <x:c r="E979" s="27" t="n">
        <x:f>IF('Build Packages'!J54=0,1,0)</x:f>
        <x:v>1</x:v>
      </x:c>
      <x:c r="F979" s="27" t="n">
        <x:v>1</x:v>
      </x:c>
      <x:c r="G979" s="29" t="str">
        <x:f>IF(E979=F979,"PASS","FAIL")</x:f>
        <x:v>PASS</x:v>
      </x:c>
    </x:row>
    <x:row r="980" ht="18" customHeight="1">
      <x:c r="B980" s="27" t="str">
        <x:v>A0974</x:v>
      </x:c>
      <x:c r="C980" s="27" t="str">
        <x:v>package</x:v>
      </x:c>
      <x:c r="D980" s="27" t="str">
        <x:v>Package row 55 required content</x:v>
      </x:c>
      <x:c r="E980" s="27" t="n">
        <x:f>IF('Build Packages'!F55&lt;&gt;"",1,0)</x:f>
        <x:v>1</x:v>
      </x:c>
      <x:c r="F980" s="27" t="n">
        <x:v>1</x:v>
      </x:c>
      <x:c r="G980" s="29" t="str">
        <x:f>IF(E980=F980,"PASS","FAIL")</x:f>
        <x:v>PASS</x:v>
      </x:c>
    </x:row>
    <x:row r="981" ht="18" customHeight="1">
      <x:c r="B981" s="27" t="str">
        <x:v>A0975</x:v>
      </x:c>
      <x:c r="C981" s="27" t="str">
        <x:v>package</x:v>
      </x:c>
      <x:c r="D981" s="27" t="str">
        <x:v>Package row 55 draft state</x:v>
      </x:c>
      <x:c r="E981" s="27" t="n">
        <x:f>IF('Build Packages'!H55="DRAFT",1,0)</x:f>
        <x:v>1</x:v>
      </x:c>
      <x:c r="F981" s="27" t="n">
        <x:v>1</x:v>
      </x:c>
      <x:c r="G981" s="29" t="str">
        <x:f>IF(E981=F981,"PASS","FAIL")</x:f>
        <x:v>PASS</x:v>
      </x:c>
    </x:row>
    <x:row r="982" ht="18" customHeight="1">
      <x:c r="B982" s="27" t="str">
        <x:v>A0976</x:v>
      </x:c>
      <x:c r="C982" s="27" t="str">
        <x:v>package</x:v>
      </x:c>
      <x:c r="D982" s="27" t="str">
        <x:v>Package row 55 approval open</x:v>
      </x:c>
      <x:c r="E982" s="27" t="n">
        <x:f>IF('Build Packages'!I55="OPEN",1,0)</x:f>
        <x:v>1</x:v>
      </x:c>
      <x:c r="F982" s="27" t="n">
        <x:v>1</x:v>
      </x:c>
      <x:c r="G982" s="29" t="str">
        <x:f>IF(E982=F982,"PASS","FAIL")</x:f>
        <x:v>PASS</x:v>
      </x:c>
    </x:row>
    <x:row r="983" ht="18" customHeight="1">
      <x:c r="B983" s="27" t="str">
        <x:v>A0977</x:v>
      </x:c>
      <x:c r="C983" s="27" t="str">
        <x:v>package</x:v>
      </x:c>
      <x:c r="D983" s="27" t="str">
        <x:v>Package row 55 zero credit</x:v>
      </x:c>
      <x:c r="E983" s="27" t="n">
        <x:f>IF('Build Packages'!J55=0,1,0)</x:f>
        <x:v>1</x:v>
      </x:c>
      <x:c r="F983" s="27" t="n">
        <x:v>1</x:v>
      </x:c>
      <x:c r="G983" s="29" t="str">
        <x:f>IF(E983=F983,"PASS","FAIL")</x:f>
        <x:v>PASS</x:v>
      </x:c>
    </x:row>
    <x:row r="984" ht="18" customHeight="1">
      <x:c r="B984" s="27" t="str">
        <x:v>A0978</x:v>
      </x:c>
      <x:c r="C984" s="27" t="str">
        <x:v>package</x:v>
      </x:c>
      <x:c r="D984" s="27" t="str">
        <x:v>Package row 56 required content</x:v>
      </x:c>
      <x:c r="E984" s="27" t="n">
        <x:f>IF('Build Packages'!F56&lt;&gt;"",1,0)</x:f>
        <x:v>1</x:v>
      </x:c>
      <x:c r="F984" s="27" t="n">
        <x:v>1</x:v>
      </x:c>
      <x:c r="G984" s="29" t="str">
        <x:f>IF(E984=F984,"PASS","FAIL")</x:f>
        <x:v>PASS</x:v>
      </x:c>
    </x:row>
    <x:row r="985" ht="18" customHeight="1">
      <x:c r="B985" s="27" t="str">
        <x:v>A0979</x:v>
      </x:c>
      <x:c r="C985" s="27" t="str">
        <x:v>package</x:v>
      </x:c>
      <x:c r="D985" s="27" t="str">
        <x:v>Package row 56 draft state</x:v>
      </x:c>
      <x:c r="E985" s="27" t="n">
        <x:f>IF('Build Packages'!H56="DRAFT",1,0)</x:f>
        <x:v>1</x:v>
      </x:c>
      <x:c r="F985" s="27" t="n">
        <x:v>1</x:v>
      </x:c>
      <x:c r="G985" s="29" t="str">
        <x:f>IF(E985=F985,"PASS","FAIL")</x:f>
        <x:v>PASS</x:v>
      </x:c>
    </x:row>
    <x:row r="986" ht="18" customHeight="1">
      <x:c r="B986" s="27" t="str">
        <x:v>A0980</x:v>
      </x:c>
      <x:c r="C986" s="27" t="str">
        <x:v>package</x:v>
      </x:c>
      <x:c r="D986" s="27" t="str">
        <x:v>Package row 56 approval open</x:v>
      </x:c>
      <x:c r="E986" s="27" t="n">
        <x:f>IF('Build Packages'!I56="OPEN",1,0)</x:f>
        <x:v>1</x:v>
      </x:c>
      <x:c r="F986" s="27" t="n">
        <x:v>1</x:v>
      </x:c>
      <x:c r="G986" s="29" t="str">
        <x:f>IF(E986=F986,"PASS","FAIL")</x:f>
        <x:v>PASS</x:v>
      </x:c>
    </x:row>
    <x:row r="987" ht="18" customHeight="1">
      <x:c r="B987" s="27" t="str">
        <x:v>A0981</x:v>
      </x:c>
      <x:c r="C987" s="27" t="str">
        <x:v>package</x:v>
      </x:c>
      <x:c r="D987" s="27" t="str">
        <x:v>Package row 56 zero credit</x:v>
      </x:c>
      <x:c r="E987" s="27" t="n">
        <x:f>IF('Build Packages'!J56=0,1,0)</x:f>
        <x:v>1</x:v>
      </x:c>
      <x:c r="F987" s="27" t="n">
        <x:v>1</x:v>
      </x:c>
      <x:c r="G987" s="29" t="str">
        <x:f>IF(E987=F987,"PASS","FAIL")</x:f>
        <x:v>PASS</x:v>
      </x:c>
    </x:row>
    <x:row r="988" ht="18" customHeight="1">
      <x:c r="B988" s="27" t="str">
        <x:v>A0982</x:v>
      </x:c>
      <x:c r="C988" s="27" t="str">
        <x:v>package</x:v>
      </x:c>
      <x:c r="D988" s="27" t="str">
        <x:v>Package row 57 required content</x:v>
      </x:c>
      <x:c r="E988" s="27" t="n">
        <x:f>IF('Build Packages'!F57&lt;&gt;"",1,0)</x:f>
        <x:v>1</x:v>
      </x:c>
      <x:c r="F988" s="27" t="n">
        <x:v>1</x:v>
      </x:c>
      <x:c r="G988" s="29" t="str">
        <x:f>IF(E988=F988,"PASS","FAIL")</x:f>
        <x:v>PASS</x:v>
      </x:c>
    </x:row>
    <x:row r="989" ht="18" customHeight="1">
      <x:c r="B989" s="27" t="str">
        <x:v>A0983</x:v>
      </x:c>
      <x:c r="C989" s="27" t="str">
        <x:v>package</x:v>
      </x:c>
      <x:c r="D989" s="27" t="str">
        <x:v>Package row 57 draft state</x:v>
      </x:c>
      <x:c r="E989" s="27" t="n">
        <x:f>IF('Build Packages'!H57="DRAFT",1,0)</x:f>
        <x:v>1</x:v>
      </x:c>
      <x:c r="F989" s="27" t="n">
        <x:v>1</x:v>
      </x:c>
      <x:c r="G989" s="29" t="str">
        <x:f>IF(E989=F989,"PASS","FAIL")</x:f>
        <x:v>PASS</x:v>
      </x:c>
    </x:row>
    <x:row r="990" ht="18" customHeight="1">
      <x:c r="B990" s="27" t="str">
        <x:v>A0984</x:v>
      </x:c>
      <x:c r="C990" s="27" t="str">
        <x:v>package</x:v>
      </x:c>
      <x:c r="D990" s="27" t="str">
        <x:v>Package row 57 approval open</x:v>
      </x:c>
      <x:c r="E990" s="27" t="n">
        <x:f>IF('Build Packages'!I57="OPEN",1,0)</x:f>
        <x:v>1</x:v>
      </x:c>
      <x:c r="F990" s="27" t="n">
        <x:v>1</x:v>
      </x:c>
      <x:c r="G990" s="29" t="str">
        <x:f>IF(E990=F990,"PASS","FAIL")</x:f>
        <x:v>PASS</x:v>
      </x:c>
    </x:row>
    <x:row r="991" ht="18" customHeight="1">
      <x:c r="B991" s="27" t="str">
        <x:v>A0985</x:v>
      </x:c>
      <x:c r="C991" s="27" t="str">
        <x:v>package</x:v>
      </x:c>
      <x:c r="D991" s="27" t="str">
        <x:v>Package row 57 zero credit</x:v>
      </x:c>
      <x:c r="E991" s="27" t="n">
        <x:f>IF('Build Packages'!J57=0,1,0)</x:f>
        <x:v>1</x:v>
      </x:c>
      <x:c r="F991" s="27" t="n">
        <x:v>1</x:v>
      </x:c>
      <x:c r="G991" s="29" t="str">
        <x:f>IF(E991=F991,"PASS","FAIL")</x:f>
        <x:v>PASS</x:v>
      </x:c>
    </x:row>
    <x:row r="992" ht="18" customHeight="1">
      <x:c r="B992" s="27" t="str">
        <x:v>A0986</x:v>
      </x:c>
      <x:c r="C992" s="27" t="str">
        <x:v>package</x:v>
      </x:c>
      <x:c r="D992" s="27" t="str">
        <x:v>Package row 58 required content</x:v>
      </x:c>
      <x:c r="E992" s="27" t="n">
        <x:f>IF('Build Packages'!F58&lt;&gt;"",1,0)</x:f>
        <x:v>1</x:v>
      </x:c>
      <x:c r="F992" s="27" t="n">
        <x:v>1</x:v>
      </x:c>
      <x:c r="G992" s="29" t="str">
        <x:f>IF(E992=F992,"PASS","FAIL")</x:f>
        <x:v>PASS</x:v>
      </x:c>
    </x:row>
    <x:row r="993" ht="18" customHeight="1">
      <x:c r="B993" s="27" t="str">
        <x:v>A0987</x:v>
      </x:c>
      <x:c r="C993" s="27" t="str">
        <x:v>package</x:v>
      </x:c>
      <x:c r="D993" s="27" t="str">
        <x:v>Package row 58 draft state</x:v>
      </x:c>
      <x:c r="E993" s="27" t="n">
        <x:f>IF('Build Packages'!H58="DRAFT",1,0)</x:f>
        <x:v>1</x:v>
      </x:c>
      <x:c r="F993" s="27" t="n">
        <x:v>1</x:v>
      </x:c>
      <x:c r="G993" s="29" t="str">
        <x:f>IF(E993=F993,"PASS","FAIL")</x:f>
        <x:v>PASS</x:v>
      </x:c>
    </x:row>
    <x:row r="994" ht="18" customHeight="1">
      <x:c r="B994" s="27" t="str">
        <x:v>A0988</x:v>
      </x:c>
      <x:c r="C994" s="27" t="str">
        <x:v>package</x:v>
      </x:c>
      <x:c r="D994" s="27" t="str">
        <x:v>Package row 58 approval open</x:v>
      </x:c>
      <x:c r="E994" s="27" t="n">
        <x:f>IF('Build Packages'!I58="OPEN",1,0)</x:f>
        <x:v>1</x:v>
      </x:c>
      <x:c r="F994" s="27" t="n">
        <x:v>1</x:v>
      </x:c>
      <x:c r="G994" s="29" t="str">
        <x:f>IF(E994=F994,"PASS","FAIL")</x:f>
        <x:v>PASS</x:v>
      </x:c>
    </x:row>
    <x:row r="995" ht="18" customHeight="1">
      <x:c r="B995" s="27" t="str">
        <x:v>A0989</x:v>
      </x:c>
      <x:c r="C995" s="27" t="str">
        <x:v>package</x:v>
      </x:c>
      <x:c r="D995" s="27" t="str">
        <x:v>Package row 58 zero credit</x:v>
      </x:c>
      <x:c r="E995" s="27" t="n">
        <x:f>IF('Build Packages'!J58=0,1,0)</x:f>
        <x:v>1</x:v>
      </x:c>
      <x:c r="F995" s="27" t="n">
        <x:v>1</x:v>
      </x:c>
      <x:c r="G995" s="29" t="str">
        <x:f>IF(E995=F995,"PASS","FAIL")</x:f>
        <x:v>PASS</x:v>
      </x:c>
    </x:row>
    <x:row r="996" ht="18" customHeight="1">
      <x:c r="B996" s="27" t="str">
        <x:v>A0990</x:v>
      </x:c>
      <x:c r="C996" s="27" t="str">
        <x:v>package</x:v>
      </x:c>
      <x:c r="D996" s="27" t="str">
        <x:v>Package row 59 required content</x:v>
      </x:c>
      <x:c r="E996" s="27" t="n">
        <x:f>IF('Build Packages'!F59&lt;&gt;"",1,0)</x:f>
        <x:v>1</x:v>
      </x:c>
      <x:c r="F996" s="27" t="n">
        <x:v>1</x:v>
      </x:c>
      <x:c r="G996" s="29" t="str">
        <x:f>IF(E996=F996,"PASS","FAIL")</x:f>
        <x:v>PASS</x:v>
      </x:c>
    </x:row>
    <x:row r="997" ht="18" customHeight="1">
      <x:c r="B997" s="27" t="str">
        <x:v>A0991</x:v>
      </x:c>
      <x:c r="C997" s="27" t="str">
        <x:v>package</x:v>
      </x:c>
      <x:c r="D997" s="27" t="str">
        <x:v>Package row 59 draft state</x:v>
      </x:c>
      <x:c r="E997" s="27" t="n">
        <x:f>IF('Build Packages'!H59="DRAFT",1,0)</x:f>
        <x:v>1</x:v>
      </x:c>
      <x:c r="F997" s="27" t="n">
        <x:v>1</x:v>
      </x:c>
      <x:c r="G997" s="29" t="str">
        <x:f>IF(E997=F997,"PASS","FAIL")</x:f>
        <x:v>PASS</x:v>
      </x:c>
    </x:row>
    <x:row r="998" ht="18" customHeight="1">
      <x:c r="B998" s="27" t="str">
        <x:v>A0992</x:v>
      </x:c>
      <x:c r="C998" s="27" t="str">
        <x:v>package</x:v>
      </x:c>
      <x:c r="D998" s="27" t="str">
        <x:v>Package row 59 approval open</x:v>
      </x:c>
      <x:c r="E998" s="27" t="n">
        <x:f>IF('Build Packages'!I59="OPEN",1,0)</x:f>
        <x:v>1</x:v>
      </x:c>
      <x:c r="F998" s="27" t="n">
        <x:v>1</x:v>
      </x:c>
      <x:c r="G998" s="29" t="str">
        <x:f>IF(E998=F998,"PASS","FAIL")</x:f>
        <x:v>PASS</x:v>
      </x:c>
    </x:row>
    <x:row r="999" ht="18" customHeight="1">
      <x:c r="B999" s="27" t="str">
        <x:v>A0993</x:v>
      </x:c>
      <x:c r="C999" s="27" t="str">
        <x:v>package</x:v>
      </x:c>
      <x:c r="D999" s="27" t="str">
        <x:v>Package row 59 zero credit</x:v>
      </x:c>
      <x:c r="E999" s="27" t="n">
        <x:f>IF('Build Packages'!J59=0,1,0)</x:f>
        <x:v>1</x:v>
      </x:c>
      <x:c r="F999" s="27" t="n">
        <x:v>1</x:v>
      </x:c>
      <x:c r="G999" s="29" t="str">
        <x:f>IF(E999=F999,"PASS","FAIL")</x:f>
        <x:v>PASS</x:v>
      </x:c>
    </x:row>
    <x:row r="1000" ht="18" customHeight="1">
      <x:c r="B1000" s="27" t="str">
        <x:v>A0994</x:v>
      </x:c>
      <x:c r="C1000" s="27" t="str">
        <x:v>package</x:v>
      </x:c>
      <x:c r="D1000" s="27" t="str">
        <x:v>Package row 60 required content</x:v>
      </x:c>
      <x:c r="E1000" s="27" t="n">
        <x:f>IF('Build Packages'!F60&lt;&gt;"",1,0)</x:f>
        <x:v>1</x:v>
      </x:c>
      <x:c r="F1000" s="27" t="n">
        <x:v>1</x:v>
      </x:c>
      <x:c r="G1000" s="29" t="str">
        <x:f>IF(E1000=F1000,"PASS","FAIL")</x:f>
        <x:v>PASS</x:v>
      </x:c>
    </x:row>
    <x:row r="1001" ht="18" customHeight="1">
      <x:c r="B1001" s="27" t="str">
        <x:v>A0995</x:v>
      </x:c>
      <x:c r="C1001" s="27" t="str">
        <x:v>package</x:v>
      </x:c>
      <x:c r="D1001" s="27" t="str">
        <x:v>Package row 60 draft state</x:v>
      </x:c>
      <x:c r="E1001" s="27" t="n">
        <x:f>IF('Build Packages'!H60="DRAFT",1,0)</x:f>
        <x:v>1</x:v>
      </x:c>
      <x:c r="F1001" s="27" t="n">
        <x:v>1</x:v>
      </x:c>
      <x:c r="G1001" s="29" t="str">
        <x:f>IF(E1001=F1001,"PASS","FAIL")</x:f>
        <x:v>PASS</x:v>
      </x:c>
    </x:row>
    <x:row r="1002" ht="18" customHeight="1">
      <x:c r="B1002" s="27" t="str">
        <x:v>A0996</x:v>
      </x:c>
      <x:c r="C1002" s="27" t="str">
        <x:v>package</x:v>
      </x:c>
      <x:c r="D1002" s="27" t="str">
        <x:v>Package row 60 approval open</x:v>
      </x:c>
      <x:c r="E1002" s="27" t="n">
        <x:f>IF('Build Packages'!I60="OPEN",1,0)</x:f>
        <x:v>1</x:v>
      </x:c>
      <x:c r="F1002" s="27" t="n">
        <x:v>1</x:v>
      </x:c>
      <x:c r="G1002" s="29" t="str">
        <x:f>IF(E1002=F1002,"PASS","FAIL")</x:f>
        <x:v>PASS</x:v>
      </x:c>
    </x:row>
    <x:row r="1003" ht="18" customHeight="1">
      <x:c r="B1003" s="27" t="str">
        <x:v>A0997</x:v>
      </x:c>
      <x:c r="C1003" s="27" t="str">
        <x:v>package</x:v>
      </x:c>
      <x:c r="D1003" s="27" t="str">
        <x:v>Package row 60 zero credit</x:v>
      </x:c>
      <x:c r="E1003" s="27" t="n">
        <x:f>IF('Build Packages'!J60=0,1,0)</x:f>
        <x:v>1</x:v>
      </x:c>
      <x:c r="F1003" s="27" t="n">
        <x:v>1</x:v>
      </x:c>
      <x:c r="G1003" s="29" t="str">
        <x:f>IF(E1003=F1003,"PASS","FAIL")</x:f>
        <x:v>PASS</x:v>
      </x:c>
    </x:row>
    <x:row r="1004" ht="18" customHeight="1">
      <x:c r="B1004" s="27" t="str">
        <x:v>A0998</x:v>
      </x:c>
      <x:c r="C1004" s="27" t="str">
        <x:v>package</x:v>
      </x:c>
      <x:c r="D1004" s="27" t="str">
        <x:v>Package row 61 required content</x:v>
      </x:c>
      <x:c r="E1004" s="27" t="n">
        <x:f>IF('Build Packages'!F61&lt;&gt;"",1,0)</x:f>
        <x:v>1</x:v>
      </x:c>
      <x:c r="F1004" s="27" t="n">
        <x:v>1</x:v>
      </x:c>
      <x:c r="G1004" s="29" t="str">
        <x:f>IF(E1004=F1004,"PASS","FAIL")</x:f>
        <x:v>PASS</x:v>
      </x:c>
    </x:row>
    <x:row r="1005" ht="18" customHeight="1">
      <x:c r="B1005" s="27" t="str">
        <x:v>A0999</x:v>
      </x:c>
      <x:c r="C1005" s="27" t="str">
        <x:v>package</x:v>
      </x:c>
      <x:c r="D1005" s="27" t="str">
        <x:v>Package row 61 draft state</x:v>
      </x:c>
      <x:c r="E1005" s="27" t="n">
        <x:f>IF('Build Packages'!H61="DRAFT",1,0)</x:f>
        <x:v>1</x:v>
      </x:c>
      <x:c r="F1005" s="27" t="n">
        <x:v>1</x:v>
      </x:c>
      <x:c r="G1005" s="29" t="str">
        <x:f>IF(E1005=F1005,"PASS","FAIL")</x:f>
        <x:v>PASS</x:v>
      </x:c>
    </x:row>
    <x:row r="1006" ht="18" customHeight="1">
      <x:c r="B1006" s="27" t="str">
        <x:v>A1000</x:v>
      </x:c>
      <x:c r="C1006" s="27" t="str">
        <x:v>package</x:v>
      </x:c>
      <x:c r="D1006" s="27" t="str">
        <x:v>Package row 61 approval open</x:v>
      </x:c>
      <x:c r="E1006" s="27" t="n">
        <x:f>IF('Build Packages'!I61="OPEN",1,0)</x:f>
        <x:v>1</x:v>
      </x:c>
      <x:c r="F1006" s="27" t="n">
        <x:v>1</x:v>
      </x:c>
      <x:c r="G1006" s="29" t="str">
        <x:f>IF(E1006=F1006,"PASS","FAIL")</x:f>
        <x:v>PASS</x:v>
      </x:c>
    </x:row>
    <x:row r="1007" ht="18" customHeight="1">
      <x:c r="B1007" s="27" t="str">
        <x:v>A1001</x:v>
      </x:c>
      <x:c r="C1007" s="27" t="str">
        <x:v>package</x:v>
      </x:c>
      <x:c r="D1007" s="27" t="str">
        <x:v>Package row 61 zero credit</x:v>
      </x:c>
      <x:c r="E1007" s="27" t="n">
        <x:f>IF('Build Packages'!J61=0,1,0)</x:f>
        <x:v>1</x:v>
      </x:c>
      <x:c r="F1007" s="27" t="n">
        <x:v>1</x:v>
      </x:c>
      <x:c r="G1007" s="29" t="str">
        <x:f>IF(E1007=F1007,"PASS","FAIL")</x:f>
        <x:v>PASS</x:v>
      </x:c>
    </x:row>
    <x:row r="1008" ht="18" customHeight="1">
      <x:c r="B1008" s="27" t="str">
        <x:v>A1002</x:v>
      </x:c>
      <x:c r="C1008" s="27" t="str">
        <x:v>package</x:v>
      </x:c>
      <x:c r="D1008" s="27" t="str">
        <x:v>Package row 62 required content</x:v>
      </x:c>
      <x:c r="E1008" s="27" t="n">
        <x:f>IF('Build Packages'!F62&lt;&gt;"",1,0)</x:f>
        <x:v>1</x:v>
      </x:c>
      <x:c r="F1008" s="27" t="n">
        <x:v>1</x:v>
      </x:c>
      <x:c r="G1008" s="29" t="str">
        <x:f>IF(E1008=F1008,"PASS","FAIL")</x:f>
        <x:v>PASS</x:v>
      </x:c>
    </x:row>
    <x:row r="1009" ht="18" customHeight="1">
      <x:c r="B1009" s="27" t="str">
        <x:v>A1003</x:v>
      </x:c>
      <x:c r="C1009" s="27" t="str">
        <x:v>package</x:v>
      </x:c>
      <x:c r="D1009" s="27" t="str">
        <x:v>Package row 62 draft state</x:v>
      </x:c>
      <x:c r="E1009" s="27" t="n">
        <x:f>IF('Build Packages'!H62="DRAFT",1,0)</x:f>
        <x:v>1</x:v>
      </x:c>
      <x:c r="F1009" s="27" t="n">
        <x:v>1</x:v>
      </x:c>
      <x:c r="G1009" s="29" t="str">
        <x:f>IF(E1009=F1009,"PASS","FAIL")</x:f>
        <x:v>PASS</x:v>
      </x:c>
    </x:row>
    <x:row r="1010" ht="18" customHeight="1">
      <x:c r="B1010" s="27" t="str">
        <x:v>A1004</x:v>
      </x:c>
      <x:c r="C1010" s="27" t="str">
        <x:v>package</x:v>
      </x:c>
      <x:c r="D1010" s="27" t="str">
        <x:v>Package row 62 approval open</x:v>
      </x:c>
      <x:c r="E1010" s="27" t="n">
        <x:f>IF('Build Packages'!I62="OPEN",1,0)</x:f>
        <x:v>1</x:v>
      </x:c>
      <x:c r="F1010" s="27" t="n">
        <x:v>1</x:v>
      </x:c>
      <x:c r="G1010" s="29" t="str">
        <x:f>IF(E1010=F1010,"PASS","FAIL")</x:f>
        <x:v>PASS</x:v>
      </x:c>
    </x:row>
    <x:row r="1011" ht="18" customHeight="1">
      <x:c r="B1011" s="27" t="str">
        <x:v>A1005</x:v>
      </x:c>
      <x:c r="C1011" s="27" t="str">
        <x:v>package</x:v>
      </x:c>
      <x:c r="D1011" s="27" t="str">
        <x:v>Package row 62 zero credit</x:v>
      </x:c>
      <x:c r="E1011" s="27" t="n">
        <x:f>IF('Build Packages'!J62=0,1,0)</x:f>
        <x:v>1</x:v>
      </x:c>
      <x:c r="F1011" s="27" t="n">
        <x:v>1</x:v>
      </x:c>
      <x:c r="G1011" s="29" t="str">
        <x:f>IF(E1011=F1011,"PASS","FAIL")</x:f>
        <x:v>PASS</x:v>
      </x:c>
    </x:row>
    <x:row r="1012" ht="18" customHeight="1">
      <x:c r="B1012" s="27" t="str">
        <x:v>A1006</x:v>
      </x:c>
      <x:c r="C1012" s="27" t="str">
        <x:v>package</x:v>
      </x:c>
      <x:c r="D1012" s="27" t="str">
        <x:v>Package row 63 required content</x:v>
      </x:c>
      <x:c r="E1012" s="27" t="n">
        <x:f>IF('Build Packages'!F63&lt;&gt;"",1,0)</x:f>
        <x:v>1</x:v>
      </x:c>
      <x:c r="F1012" s="27" t="n">
        <x:v>1</x:v>
      </x:c>
      <x:c r="G1012" s="29" t="str">
        <x:f>IF(E1012=F1012,"PASS","FAIL")</x:f>
        <x:v>PASS</x:v>
      </x:c>
    </x:row>
    <x:row r="1013" ht="18" customHeight="1">
      <x:c r="B1013" s="27" t="str">
        <x:v>A1007</x:v>
      </x:c>
      <x:c r="C1013" s="27" t="str">
        <x:v>package</x:v>
      </x:c>
      <x:c r="D1013" s="27" t="str">
        <x:v>Package row 63 draft state</x:v>
      </x:c>
      <x:c r="E1013" s="27" t="n">
        <x:f>IF('Build Packages'!H63="DRAFT",1,0)</x:f>
        <x:v>1</x:v>
      </x:c>
      <x:c r="F1013" s="27" t="n">
        <x:v>1</x:v>
      </x:c>
      <x:c r="G1013" s="29" t="str">
        <x:f>IF(E1013=F1013,"PASS","FAIL")</x:f>
        <x:v>PASS</x:v>
      </x:c>
    </x:row>
    <x:row r="1014" ht="18" customHeight="1">
      <x:c r="B1014" s="27" t="str">
        <x:v>A1008</x:v>
      </x:c>
      <x:c r="C1014" s="27" t="str">
        <x:v>package</x:v>
      </x:c>
      <x:c r="D1014" s="27" t="str">
        <x:v>Package row 63 approval open</x:v>
      </x:c>
      <x:c r="E1014" s="27" t="n">
        <x:f>IF('Build Packages'!I63="OPEN",1,0)</x:f>
        <x:v>1</x:v>
      </x:c>
      <x:c r="F1014" s="27" t="n">
        <x:v>1</x:v>
      </x:c>
      <x:c r="G1014" s="29" t="str">
        <x:f>IF(E1014=F1014,"PASS","FAIL")</x:f>
        <x:v>PASS</x:v>
      </x:c>
    </x:row>
    <x:row r="1015" ht="18" customHeight="1">
      <x:c r="B1015" s="27" t="str">
        <x:v>A1009</x:v>
      </x:c>
      <x:c r="C1015" s="27" t="str">
        <x:v>package</x:v>
      </x:c>
      <x:c r="D1015" s="27" t="str">
        <x:v>Package row 63 zero credit</x:v>
      </x:c>
      <x:c r="E1015" s="27" t="n">
        <x:f>IF('Build Packages'!J63=0,1,0)</x:f>
        <x:v>1</x:v>
      </x:c>
      <x:c r="F1015" s="27" t="n">
        <x:v>1</x:v>
      </x:c>
      <x:c r="G1015" s="29" t="str">
        <x:f>IF(E1015=F1015,"PASS","FAIL")</x:f>
        <x:v>PASS</x:v>
      </x:c>
    </x:row>
    <x:row r="1016" ht="18" customHeight="1">
      <x:c r="B1016" s="27" t="str">
        <x:v>A1010</x:v>
      </x:c>
      <x:c r="C1016" s="27" t="str">
        <x:v>package</x:v>
      </x:c>
      <x:c r="D1016" s="27" t="str">
        <x:v>Package row 64 required content</x:v>
      </x:c>
      <x:c r="E1016" s="27" t="n">
        <x:f>IF('Build Packages'!F64&lt;&gt;"",1,0)</x:f>
        <x:v>1</x:v>
      </x:c>
      <x:c r="F1016" s="27" t="n">
        <x:v>1</x:v>
      </x:c>
      <x:c r="G1016" s="29" t="str">
        <x:f>IF(E1016=F1016,"PASS","FAIL")</x:f>
        <x:v>PASS</x:v>
      </x:c>
    </x:row>
    <x:row r="1017" ht="18" customHeight="1">
      <x:c r="B1017" s="27" t="str">
        <x:v>A1011</x:v>
      </x:c>
      <x:c r="C1017" s="27" t="str">
        <x:v>package</x:v>
      </x:c>
      <x:c r="D1017" s="27" t="str">
        <x:v>Package row 64 draft state</x:v>
      </x:c>
      <x:c r="E1017" s="27" t="n">
        <x:f>IF('Build Packages'!H64="DRAFT",1,0)</x:f>
        <x:v>1</x:v>
      </x:c>
      <x:c r="F1017" s="27" t="n">
        <x:v>1</x:v>
      </x:c>
      <x:c r="G1017" s="29" t="str">
        <x:f>IF(E1017=F1017,"PASS","FAIL")</x:f>
        <x:v>PASS</x:v>
      </x:c>
    </x:row>
    <x:row r="1018" ht="18" customHeight="1">
      <x:c r="B1018" s="27" t="str">
        <x:v>A1012</x:v>
      </x:c>
      <x:c r="C1018" s="27" t="str">
        <x:v>package</x:v>
      </x:c>
      <x:c r="D1018" s="27" t="str">
        <x:v>Package row 64 approval open</x:v>
      </x:c>
      <x:c r="E1018" s="27" t="n">
        <x:f>IF('Build Packages'!I64="OPEN",1,0)</x:f>
        <x:v>1</x:v>
      </x:c>
      <x:c r="F1018" s="27" t="n">
        <x:v>1</x:v>
      </x:c>
      <x:c r="G1018" s="29" t="str">
        <x:f>IF(E1018=F1018,"PASS","FAIL")</x:f>
        <x:v>PASS</x:v>
      </x:c>
    </x:row>
    <x:row r="1019" ht="18" customHeight="1">
      <x:c r="B1019" s="27" t="str">
        <x:v>A1013</x:v>
      </x:c>
      <x:c r="C1019" s="27" t="str">
        <x:v>package</x:v>
      </x:c>
      <x:c r="D1019" s="27" t="str">
        <x:v>Package row 64 zero credit</x:v>
      </x:c>
      <x:c r="E1019" s="27" t="n">
        <x:f>IF('Build Packages'!J64=0,1,0)</x:f>
        <x:v>1</x:v>
      </x:c>
      <x:c r="F1019" s="27" t="n">
        <x:v>1</x:v>
      </x:c>
      <x:c r="G1019" s="29" t="str">
        <x:f>IF(E1019=F1019,"PASS","FAIL")</x:f>
        <x:v>PASS</x:v>
      </x:c>
    </x:row>
    <x:row r="1020" ht="18" customHeight="1">
      <x:c r="B1020" s="27" t="str">
        <x:v>A1014</x:v>
      </x:c>
      <x:c r="C1020" s="27" t="str">
        <x:v>package</x:v>
      </x:c>
      <x:c r="D1020" s="27" t="str">
        <x:v>Package row 65 required content</x:v>
      </x:c>
      <x:c r="E1020" s="27" t="n">
        <x:f>IF('Build Packages'!F65&lt;&gt;"",1,0)</x:f>
        <x:v>1</x:v>
      </x:c>
      <x:c r="F1020" s="27" t="n">
        <x:v>1</x:v>
      </x:c>
      <x:c r="G1020" s="29" t="str">
        <x:f>IF(E1020=F1020,"PASS","FAIL")</x:f>
        <x:v>PASS</x:v>
      </x:c>
    </x:row>
    <x:row r="1021" ht="18" customHeight="1">
      <x:c r="B1021" s="27" t="str">
        <x:v>A1015</x:v>
      </x:c>
      <x:c r="C1021" s="27" t="str">
        <x:v>package</x:v>
      </x:c>
      <x:c r="D1021" s="27" t="str">
        <x:v>Package row 65 draft state</x:v>
      </x:c>
      <x:c r="E1021" s="27" t="n">
        <x:f>IF('Build Packages'!H65="DRAFT",1,0)</x:f>
        <x:v>1</x:v>
      </x:c>
      <x:c r="F1021" s="27" t="n">
        <x:v>1</x:v>
      </x:c>
      <x:c r="G1021" s="29" t="str">
        <x:f>IF(E1021=F1021,"PASS","FAIL")</x:f>
        <x:v>PASS</x:v>
      </x:c>
    </x:row>
    <x:row r="1022" ht="18" customHeight="1">
      <x:c r="B1022" s="27" t="str">
        <x:v>A1016</x:v>
      </x:c>
      <x:c r="C1022" s="27" t="str">
        <x:v>package</x:v>
      </x:c>
      <x:c r="D1022" s="27" t="str">
        <x:v>Package row 65 approval open</x:v>
      </x:c>
      <x:c r="E1022" s="27" t="n">
        <x:f>IF('Build Packages'!I65="OPEN",1,0)</x:f>
        <x:v>1</x:v>
      </x:c>
      <x:c r="F1022" s="27" t="n">
        <x:v>1</x:v>
      </x:c>
      <x:c r="G1022" s="29" t="str">
        <x:f>IF(E1022=F1022,"PASS","FAIL")</x:f>
        <x:v>PASS</x:v>
      </x:c>
    </x:row>
    <x:row r="1023" ht="18" customHeight="1">
      <x:c r="B1023" s="27" t="str">
        <x:v>A1017</x:v>
      </x:c>
      <x:c r="C1023" s="27" t="str">
        <x:v>package</x:v>
      </x:c>
      <x:c r="D1023" s="27" t="str">
        <x:v>Package row 65 zero credit</x:v>
      </x:c>
      <x:c r="E1023" s="27" t="n">
        <x:f>IF('Build Packages'!J65=0,1,0)</x:f>
        <x:v>1</x:v>
      </x:c>
      <x:c r="F1023" s="27" t="n">
        <x:v>1</x:v>
      </x:c>
      <x:c r="G1023" s="29" t="str">
        <x:f>IF(E1023=F1023,"PASS","FAIL")</x:f>
        <x:v>PASS</x:v>
      </x:c>
    </x:row>
    <x:row r="1024" ht="18" customHeight="1">
      <x:c r="B1024" s="27" t="str">
        <x:v>A1018</x:v>
      </x:c>
      <x:c r="C1024" s="27" t="str">
        <x:v>package</x:v>
      </x:c>
      <x:c r="D1024" s="27" t="str">
        <x:v>Package row 66 required content</x:v>
      </x:c>
      <x:c r="E1024" s="27" t="n">
        <x:f>IF('Build Packages'!F66&lt;&gt;"",1,0)</x:f>
        <x:v>1</x:v>
      </x:c>
      <x:c r="F1024" s="27" t="n">
        <x:v>1</x:v>
      </x:c>
      <x:c r="G1024" s="29" t="str">
        <x:f>IF(E1024=F1024,"PASS","FAIL")</x:f>
        <x:v>PASS</x:v>
      </x:c>
    </x:row>
    <x:row r="1025" ht="18" customHeight="1">
      <x:c r="B1025" s="27" t="str">
        <x:v>A1019</x:v>
      </x:c>
      <x:c r="C1025" s="27" t="str">
        <x:v>package</x:v>
      </x:c>
      <x:c r="D1025" s="27" t="str">
        <x:v>Package row 66 draft state</x:v>
      </x:c>
      <x:c r="E1025" s="27" t="n">
        <x:f>IF('Build Packages'!H66="DRAFT",1,0)</x:f>
        <x:v>1</x:v>
      </x:c>
      <x:c r="F1025" s="27" t="n">
        <x:v>1</x:v>
      </x:c>
      <x:c r="G1025" s="29" t="str">
        <x:f>IF(E1025=F1025,"PASS","FAIL")</x:f>
        <x:v>PASS</x:v>
      </x:c>
    </x:row>
    <x:row r="1026" ht="18" customHeight="1">
      <x:c r="B1026" s="27" t="str">
        <x:v>A1020</x:v>
      </x:c>
      <x:c r="C1026" s="27" t="str">
        <x:v>package</x:v>
      </x:c>
      <x:c r="D1026" s="27" t="str">
        <x:v>Package row 66 approval open</x:v>
      </x:c>
      <x:c r="E1026" s="27" t="n">
        <x:f>IF('Build Packages'!I66="OPEN",1,0)</x:f>
        <x:v>1</x:v>
      </x:c>
      <x:c r="F1026" s="27" t="n">
        <x:v>1</x:v>
      </x:c>
      <x:c r="G1026" s="29" t="str">
        <x:f>IF(E1026=F1026,"PASS","FAIL")</x:f>
        <x:v>PASS</x:v>
      </x:c>
    </x:row>
    <x:row r="1027" ht="18" customHeight="1">
      <x:c r="B1027" s="27" t="str">
        <x:v>A1021</x:v>
      </x:c>
      <x:c r="C1027" s="27" t="str">
        <x:v>package</x:v>
      </x:c>
      <x:c r="D1027" s="27" t="str">
        <x:v>Package row 66 zero credit</x:v>
      </x:c>
      <x:c r="E1027" s="27" t="n">
        <x:f>IF('Build Packages'!J66=0,1,0)</x:f>
        <x:v>1</x:v>
      </x:c>
      <x:c r="F1027" s="27" t="n">
        <x:v>1</x:v>
      </x:c>
      <x:c r="G1027" s="29" t="str">
        <x:f>IF(E1027=F1027,"PASS","FAIL")</x:f>
        <x:v>PASS</x:v>
      </x:c>
    </x:row>
    <x:row r="1028" ht="18" customHeight="1">
      <x:c r="B1028" s="27" t="str">
        <x:v>A1022</x:v>
      </x:c>
      <x:c r="C1028" s="27" t="str">
        <x:v>package</x:v>
      </x:c>
      <x:c r="D1028" s="27" t="str">
        <x:v>Package row 67 required content</x:v>
      </x:c>
      <x:c r="E1028" s="27" t="n">
        <x:f>IF('Build Packages'!F67&lt;&gt;"",1,0)</x:f>
        <x:v>1</x:v>
      </x:c>
      <x:c r="F1028" s="27" t="n">
        <x:v>1</x:v>
      </x:c>
      <x:c r="G1028" s="29" t="str">
        <x:f>IF(E1028=F1028,"PASS","FAIL")</x:f>
        <x:v>PASS</x:v>
      </x:c>
    </x:row>
    <x:row r="1029" ht="18" customHeight="1">
      <x:c r="B1029" s="27" t="str">
        <x:v>A1023</x:v>
      </x:c>
      <x:c r="C1029" s="27" t="str">
        <x:v>package</x:v>
      </x:c>
      <x:c r="D1029" s="27" t="str">
        <x:v>Package row 67 draft state</x:v>
      </x:c>
      <x:c r="E1029" s="27" t="n">
        <x:f>IF('Build Packages'!H67="DRAFT",1,0)</x:f>
        <x:v>1</x:v>
      </x:c>
      <x:c r="F1029" s="27" t="n">
        <x:v>1</x:v>
      </x:c>
      <x:c r="G1029" s="29" t="str">
        <x:f>IF(E1029=F1029,"PASS","FAIL")</x:f>
        <x:v>PASS</x:v>
      </x:c>
    </x:row>
    <x:row r="1030" ht="18" customHeight="1">
      <x:c r="B1030" s="27" t="str">
        <x:v>A1024</x:v>
      </x:c>
      <x:c r="C1030" s="27" t="str">
        <x:v>package</x:v>
      </x:c>
      <x:c r="D1030" s="27" t="str">
        <x:v>Package row 67 approval open</x:v>
      </x:c>
      <x:c r="E1030" s="27" t="n">
        <x:f>IF('Build Packages'!I67="OPEN",1,0)</x:f>
        <x:v>1</x:v>
      </x:c>
      <x:c r="F1030" s="27" t="n">
        <x:v>1</x:v>
      </x:c>
      <x:c r="G1030" s="29" t="str">
        <x:f>IF(E1030=F1030,"PASS","FAIL")</x:f>
        <x:v>PASS</x:v>
      </x:c>
    </x:row>
    <x:row r="1031" ht="18" customHeight="1">
      <x:c r="B1031" s="27" t="str">
        <x:v>A1025</x:v>
      </x:c>
      <x:c r="C1031" s="27" t="str">
        <x:v>package</x:v>
      </x:c>
      <x:c r="D1031" s="27" t="str">
        <x:v>Package row 67 zero credit</x:v>
      </x:c>
      <x:c r="E1031" s="27" t="n">
        <x:f>IF('Build Packages'!J67=0,1,0)</x:f>
        <x:v>1</x:v>
      </x:c>
      <x:c r="F1031" s="27" t="n">
        <x:v>1</x:v>
      </x:c>
      <x:c r="G1031" s="29" t="str">
        <x:f>IF(E1031=F1031,"PASS","FAIL")</x:f>
        <x:v>PASS</x:v>
      </x:c>
    </x:row>
    <x:row r="1032" ht="18" customHeight="1">
      <x:c r="B1032" s="27" t="str">
        <x:v>A1026</x:v>
      </x:c>
      <x:c r="C1032" s="27" t="str">
        <x:v>package</x:v>
      </x:c>
      <x:c r="D1032" s="27" t="str">
        <x:v>Package row 68 required content</x:v>
      </x:c>
      <x:c r="E1032" s="27" t="n">
        <x:f>IF('Build Packages'!F68&lt;&gt;"",1,0)</x:f>
        <x:v>1</x:v>
      </x:c>
      <x:c r="F1032" s="27" t="n">
        <x:v>1</x:v>
      </x:c>
      <x:c r="G1032" s="29" t="str">
        <x:f>IF(E1032=F1032,"PASS","FAIL")</x:f>
        <x:v>PASS</x:v>
      </x:c>
    </x:row>
    <x:row r="1033" ht="18" customHeight="1">
      <x:c r="B1033" s="27" t="str">
        <x:v>A1027</x:v>
      </x:c>
      <x:c r="C1033" s="27" t="str">
        <x:v>package</x:v>
      </x:c>
      <x:c r="D1033" s="27" t="str">
        <x:v>Package row 68 draft state</x:v>
      </x:c>
      <x:c r="E1033" s="27" t="n">
        <x:f>IF('Build Packages'!H68="DRAFT",1,0)</x:f>
        <x:v>1</x:v>
      </x:c>
      <x:c r="F1033" s="27" t="n">
        <x:v>1</x:v>
      </x:c>
      <x:c r="G1033" s="29" t="str">
        <x:f>IF(E1033=F1033,"PASS","FAIL")</x:f>
        <x:v>PASS</x:v>
      </x:c>
    </x:row>
    <x:row r="1034" ht="18" customHeight="1">
      <x:c r="B1034" s="27" t="str">
        <x:v>A1028</x:v>
      </x:c>
      <x:c r="C1034" s="27" t="str">
        <x:v>package</x:v>
      </x:c>
      <x:c r="D1034" s="27" t="str">
        <x:v>Package row 68 approval open</x:v>
      </x:c>
      <x:c r="E1034" s="27" t="n">
        <x:f>IF('Build Packages'!I68="OPEN",1,0)</x:f>
        <x:v>1</x:v>
      </x:c>
      <x:c r="F1034" s="27" t="n">
        <x:v>1</x:v>
      </x:c>
      <x:c r="G1034" s="29" t="str">
        <x:f>IF(E1034=F1034,"PASS","FAIL")</x:f>
        <x:v>PASS</x:v>
      </x:c>
    </x:row>
    <x:row r="1035" ht="18" customHeight="1">
      <x:c r="B1035" s="27" t="str">
        <x:v>A1029</x:v>
      </x:c>
      <x:c r="C1035" s="27" t="str">
        <x:v>package</x:v>
      </x:c>
      <x:c r="D1035" s="27" t="str">
        <x:v>Package row 68 zero credit</x:v>
      </x:c>
      <x:c r="E1035" s="27" t="n">
        <x:f>IF('Build Packages'!J68=0,1,0)</x:f>
        <x:v>1</x:v>
      </x:c>
      <x:c r="F1035" s="27" t="n">
        <x:v>1</x:v>
      </x:c>
      <x:c r="G1035" s="29" t="str">
        <x:f>IF(E1035=F1035,"PASS","FAIL")</x:f>
        <x:v>PASS</x:v>
      </x:c>
    </x:row>
    <x:row r="1036" ht="18" customHeight="1">
      <x:c r="B1036" s="27" t="str">
        <x:v>A1030</x:v>
      </x:c>
      <x:c r="C1036" s="27" t="str">
        <x:v>package</x:v>
      </x:c>
      <x:c r="D1036" s="27" t="str">
        <x:v>Package row 69 required content</x:v>
      </x:c>
      <x:c r="E1036" s="27" t="n">
        <x:f>IF('Build Packages'!F69&lt;&gt;"",1,0)</x:f>
        <x:v>1</x:v>
      </x:c>
      <x:c r="F1036" s="27" t="n">
        <x:v>1</x:v>
      </x:c>
      <x:c r="G1036" s="29" t="str">
        <x:f>IF(E1036=F1036,"PASS","FAIL")</x:f>
        <x:v>PASS</x:v>
      </x:c>
    </x:row>
    <x:row r="1037" ht="18" customHeight="1">
      <x:c r="B1037" s="27" t="str">
        <x:v>A1031</x:v>
      </x:c>
      <x:c r="C1037" s="27" t="str">
        <x:v>package</x:v>
      </x:c>
      <x:c r="D1037" s="27" t="str">
        <x:v>Package row 69 draft state</x:v>
      </x:c>
      <x:c r="E1037" s="27" t="n">
        <x:f>IF('Build Packages'!H69="DRAFT",1,0)</x:f>
        <x:v>1</x:v>
      </x:c>
      <x:c r="F1037" s="27" t="n">
        <x:v>1</x:v>
      </x:c>
      <x:c r="G1037" s="29" t="str">
        <x:f>IF(E1037=F1037,"PASS","FAIL")</x:f>
        <x:v>PASS</x:v>
      </x:c>
    </x:row>
    <x:row r="1038" ht="18" customHeight="1">
      <x:c r="B1038" s="27" t="str">
        <x:v>A1032</x:v>
      </x:c>
      <x:c r="C1038" s="27" t="str">
        <x:v>package</x:v>
      </x:c>
      <x:c r="D1038" s="27" t="str">
        <x:v>Package row 69 approval open</x:v>
      </x:c>
      <x:c r="E1038" s="27" t="n">
        <x:f>IF('Build Packages'!I69="OPEN",1,0)</x:f>
        <x:v>1</x:v>
      </x:c>
      <x:c r="F1038" s="27" t="n">
        <x:v>1</x:v>
      </x:c>
      <x:c r="G1038" s="29" t="str">
        <x:f>IF(E1038=F1038,"PASS","FAIL")</x:f>
        <x:v>PASS</x:v>
      </x:c>
    </x:row>
    <x:row r="1039" ht="18" customHeight="1">
      <x:c r="B1039" s="27" t="str">
        <x:v>A1033</x:v>
      </x:c>
      <x:c r="C1039" s="27" t="str">
        <x:v>package</x:v>
      </x:c>
      <x:c r="D1039" s="27" t="str">
        <x:v>Package row 69 zero credit</x:v>
      </x:c>
      <x:c r="E1039" s="27" t="n">
        <x:f>IF('Build Packages'!J69=0,1,0)</x:f>
        <x:v>1</x:v>
      </x:c>
      <x:c r="F1039" s="27" t="n">
        <x:v>1</x:v>
      </x:c>
      <x:c r="G1039" s="29" t="str">
        <x:f>IF(E1039=F1039,"PASS","FAIL")</x:f>
        <x:v>PASS</x:v>
      </x:c>
    </x:row>
    <x:row r="1040" ht="18" customHeight="1">
      <x:c r="B1040" s="27" t="str">
        <x:v>A1034</x:v>
      </x:c>
      <x:c r="C1040" s="27" t="str">
        <x:v>package</x:v>
      </x:c>
      <x:c r="D1040" s="27" t="str">
        <x:v>Package row 70 required content</x:v>
      </x:c>
      <x:c r="E1040" s="27" t="n">
        <x:f>IF('Build Packages'!F70&lt;&gt;"",1,0)</x:f>
        <x:v>1</x:v>
      </x:c>
      <x:c r="F1040" s="27" t="n">
        <x:v>1</x:v>
      </x:c>
      <x:c r="G1040" s="29" t="str">
        <x:f>IF(E1040=F1040,"PASS","FAIL")</x:f>
        <x:v>PASS</x:v>
      </x:c>
    </x:row>
    <x:row r="1041" ht="18" customHeight="1">
      <x:c r="B1041" s="27" t="str">
        <x:v>A1035</x:v>
      </x:c>
      <x:c r="C1041" s="27" t="str">
        <x:v>package</x:v>
      </x:c>
      <x:c r="D1041" s="27" t="str">
        <x:v>Package row 70 draft state</x:v>
      </x:c>
      <x:c r="E1041" s="27" t="n">
        <x:f>IF('Build Packages'!H70="DRAFT",1,0)</x:f>
        <x:v>1</x:v>
      </x:c>
      <x:c r="F1041" s="27" t="n">
        <x:v>1</x:v>
      </x:c>
      <x:c r="G1041" s="29" t="str">
        <x:f>IF(E1041=F1041,"PASS","FAIL")</x:f>
        <x:v>PASS</x:v>
      </x:c>
    </x:row>
    <x:row r="1042" ht="18" customHeight="1">
      <x:c r="B1042" s="27" t="str">
        <x:v>A1036</x:v>
      </x:c>
      <x:c r="C1042" s="27" t="str">
        <x:v>package</x:v>
      </x:c>
      <x:c r="D1042" s="27" t="str">
        <x:v>Package row 70 approval open</x:v>
      </x:c>
      <x:c r="E1042" s="27" t="n">
        <x:f>IF('Build Packages'!I70="OPEN",1,0)</x:f>
        <x:v>1</x:v>
      </x:c>
      <x:c r="F1042" s="27" t="n">
        <x:v>1</x:v>
      </x:c>
      <x:c r="G1042" s="29" t="str">
        <x:f>IF(E1042=F1042,"PASS","FAIL")</x:f>
        <x:v>PASS</x:v>
      </x:c>
    </x:row>
    <x:row r="1043" ht="18" customHeight="1">
      <x:c r="B1043" s="27" t="str">
        <x:v>A1037</x:v>
      </x:c>
      <x:c r="C1043" s="27" t="str">
        <x:v>package</x:v>
      </x:c>
      <x:c r="D1043" s="27" t="str">
        <x:v>Package row 70 zero credit</x:v>
      </x:c>
      <x:c r="E1043" s="27" t="n">
        <x:f>IF('Build Packages'!J70=0,1,0)</x:f>
        <x:v>1</x:v>
      </x:c>
      <x:c r="F1043" s="27" t="n">
        <x:v>1</x:v>
      </x:c>
      <x:c r="G1043" s="29" t="str">
        <x:f>IF(E1043=F1043,"PASS","FAIL")</x:f>
        <x:v>PASS</x:v>
      </x:c>
    </x:row>
    <x:row r="1044" ht="18" customHeight="1">
      <x:c r="B1044" s="27" t="str">
        <x:v>A1038</x:v>
      </x:c>
      <x:c r="C1044" s="27" t="str">
        <x:v>package</x:v>
      </x:c>
      <x:c r="D1044" s="27" t="str">
        <x:v>Package row 71 required content</x:v>
      </x:c>
      <x:c r="E1044" s="27" t="n">
        <x:f>IF('Build Packages'!F71&lt;&gt;"",1,0)</x:f>
        <x:v>1</x:v>
      </x:c>
      <x:c r="F1044" s="27" t="n">
        <x:v>1</x:v>
      </x:c>
      <x:c r="G1044" s="29" t="str">
        <x:f>IF(E1044=F1044,"PASS","FAIL")</x:f>
        <x:v>PASS</x:v>
      </x:c>
    </x:row>
    <x:row r="1045" ht="18" customHeight="1">
      <x:c r="B1045" s="27" t="str">
        <x:v>A1039</x:v>
      </x:c>
      <x:c r="C1045" s="27" t="str">
        <x:v>package</x:v>
      </x:c>
      <x:c r="D1045" s="27" t="str">
        <x:v>Package row 71 draft state</x:v>
      </x:c>
      <x:c r="E1045" s="27" t="n">
        <x:f>IF('Build Packages'!H71="DRAFT",1,0)</x:f>
        <x:v>1</x:v>
      </x:c>
      <x:c r="F1045" s="27" t="n">
        <x:v>1</x:v>
      </x:c>
      <x:c r="G1045" s="29" t="str">
        <x:f>IF(E1045=F1045,"PASS","FAIL")</x:f>
        <x:v>PASS</x:v>
      </x:c>
    </x:row>
    <x:row r="1046" ht="18" customHeight="1">
      <x:c r="B1046" s="27" t="str">
        <x:v>A1040</x:v>
      </x:c>
      <x:c r="C1046" s="27" t="str">
        <x:v>package</x:v>
      </x:c>
      <x:c r="D1046" s="27" t="str">
        <x:v>Package row 71 approval open</x:v>
      </x:c>
      <x:c r="E1046" s="27" t="n">
        <x:f>IF('Build Packages'!I71="OPEN",1,0)</x:f>
        <x:v>1</x:v>
      </x:c>
      <x:c r="F1046" s="27" t="n">
        <x:v>1</x:v>
      </x:c>
      <x:c r="G1046" s="29" t="str">
        <x:f>IF(E1046=F1046,"PASS","FAIL")</x:f>
        <x:v>PASS</x:v>
      </x:c>
    </x:row>
    <x:row r="1047" ht="18" customHeight="1">
      <x:c r="B1047" s="27" t="str">
        <x:v>A1041</x:v>
      </x:c>
      <x:c r="C1047" s="27" t="str">
        <x:v>package</x:v>
      </x:c>
      <x:c r="D1047" s="27" t="str">
        <x:v>Package row 71 zero credit</x:v>
      </x:c>
      <x:c r="E1047" s="27" t="n">
        <x:f>IF('Build Packages'!J71=0,1,0)</x:f>
        <x:v>1</x:v>
      </x:c>
      <x:c r="F1047" s="27" t="n">
        <x:v>1</x:v>
      </x:c>
      <x:c r="G1047" s="29" t="str">
        <x:f>IF(E1047=F1047,"PASS","FAIL")</x:f>
        <x:v>PASS</x:v>
      </x:c>
    </x:row>
    <x:row r="1048" ht="18" customHeight="1">
      <x:c r="B1048" s="27" t="str">
        <x:v>A1042</x:v>
      </x:c>
      <x:c r="C1048" s="27" t="str">
        <x:v>package</x:v>
      </x:c>
      <x:c r="D1048" s="27" t="str">
        <x:v>Package row 72 required content</x:v>
      </x:c>
      <x:c r="E1048" s="27" t="n">
        <x:f>IF('Build Packages'!F72&lt;&gt;"",1,0)</x:f>
        <x:v>1</x:v>
      </x:c>
      <x:c r="F1048" s="27" t="n">
        <x:v>1</x:v>
      </x:c>
      <x:c r="G1048" s="29" t="str">
        <x:f>IF(E1048=F1048,"PASS","FAIL")</x:f>
        <x:v>PASS</x:v>
      </x:c>
    </x:row>
    <x:row r="1049" ht="18" customHeight="1">
      <x:c r="B1049" s="27" t="str">
        <x:v>A1043</x:v>
      </x:c>
      <x:c r="C1049" s="27" t="str">
        <x:v>package</x:v>
      </x:c>
      <x:c r="D1049" s="27" t="str">
        <x:v>Package row 72 draft state</x:v>
      </x:c>
      <x:c r="E1049" s="27" t="n">
        <x:f>IF('Build Packages'!H72="DRAFT",1,0)</x:f>
        <x:v>1</x:v>
      </x:c>
      <x:c r="F1049" s="27" t="n">
        <x:v>1</x:v>
      </x:c>
      <x:c r="G1049" s="29" t="str">
        <x:f>IF(E1049=F1049,"PASS","FAIL")</x:f>
        <x:v>PASS</x:v>
      </x:c>
    </x:row>
    <x:row r="1050" ht="18" customHeight="1">
      <x:c r="B1050" s="27" t="str">
        <x:v>A1044</x:v>
      </x:c>
      <x:c r="C1050" s="27" t="str">
        <x:v>package</x:v>
      </x:c>
      <x:c r="D1050" s="27" t="str">
        <x:v>Package row 72 approval open</x:v>
      </x:c>
      <x:c r="E1050" s="27" t="n">
        <x:f>IF('Build Packages'!I72="OPEN",1,0)</x:f>
        <x:v>1</x:v>
      </x:c>
      <x:c r="F1050" s="27" t="n">
        <x:v>1</x:v>
      </x:c>
      <x:c r="G1050" s="29" t="str">
        <x:f>IF(E1050=F1050,"PASS","FAIL")</x:f>
        <x:v>PASS</x:v>
      </x:c>
    </x:row>
    <x:row r="1051" ht="18" customHeight="1">
      <x:c r="B1051" s="27" t="str">
        <x:v>A1045</x:v>
      </x:c>
      <x:c r="C1051" s="27" t="str">
        <x:v>package</x:v>
      </x:c>
      <x:c r="D1051" s="27" t="str">
        <x:v>Package row 72 zero credit</x:v>
      </x:c>
      <x:c r="E1051" s="27" t="n">
        <x:f>IF('Build Packages'!J72=0,1,0)</x:f>
        <x:v>1</x:v>
      </x:c>
      <x:c r="F1051" s="27" t="n">
        <x:v>1</x:v>
      </x:c>
      <x:c r="G1051" s="29" t="str">
        <x:f>IF(E1051=F1051,"PASS","FAIL")</x:f>
        <x:v>PASS</x:v>
      </x:c>
    </x:row>
    <x:row r="1052" ht="18" customHeight="1">
      <x:c r="B1052" s="27" t="str">
        <x:v>A1046</x:v>
      </x:c>
      <x:c r="C1052" s="27" t="str">
        <x:v>package</x:v>
      </x:c>
      <x:c r="D1052" s="27" t="str">
        <x:v>Package row 73 required content</x:v>
      </x:c>
      <x:c r="E1052" s="27" t="n">
        <x:f>IF('Build Packages'!F73&lt;&gt;"",1,0)</x:f>
        <x:v>1</x:v>
      </x:c>
      <x:c r="F1052" s="27" t="n">
        <x:v>1</x:v>
      </x:c>
      <x:c r="G1052" s="29" t="str">
        <x:f>IF(E1052=F1052,"PASS","FAIL")</x:f>
        <x:v>PASS</x:v>
      </x:c>
    </x:row>
    <x:row r="1053" ht="18" customHeight="1">
      <x:c r="B1053" s="27" t="str">
        <x:v>A1047</x:v>
      </x:c>
      <x:c r="C1053" s="27" t="str">
        <x:v>package</x:v>
      </x:c>
      <x:c r="D1053" s="27" t="str">
        <x:v>Package row 73 draft state</x:v>
      </x:c>
      <x:c r="E1053" s="27" t="n">
        <x:f>IF('Build Packages'!H73="DRAFT",1,0)</x:f>
        <x:v>1</x:v>
      </x:c>
      <x:c r="F1053" s="27" t="n">
        <x:v>1</x:v>
      </x:c>
      <x:c r="G1053" s="29" t="str">
        <x:f>IF(E1053=F1053,"PASS","FAIL")</x:f>
        <x:v>PASS</x:v>
      </x:c>
    </x:row>
    <x:row r="1054" ht="18" customHeight="1">
      <x:c r="B1054" s="27" t="str">
        <x:v>A1048</x:v>
      </x:c>
      <x:c r="C1054" s="27" t="str">
        <x:v>package</x:v>
      </x:c>
      <x:c r="D1054" s="27" t="str">
        <x:v>Package row 73 approval open</x:v>
      </x:c>
      <x:c r="E1054" s="27" t="n">
        <x:f>IF('Build Packages'!I73="OPEN",1,0)</x:f>
        <x:v>1</x:v>
      </x:c>
      <x:c r="F1054" s="27" t="n">
        <x:v>1</x:v>
      </x:c>
      <x:c r="G1054" s="29" t="str">
        <x:f>IF(E1054=F1054,"PASS","FAIL")</x:f>
        <x:v>PASS</x:v>
      </x:c>
    </x:row>
    <x:row r="1055" ht="18" customHeight="1">
      <x:c r="B1055" s="27" t="str">
        <x:v>A1049</x:v>
      </x:c>
      <x:c r="C1055" s="27" t="str">
        <x:v>package</x:v>
      </x:c>
      <x:c r="D1055" s="27" t="str">
        <x:v>Package row 73 zero credit</x:v>
      </x:c>
      <x:c r="E1055" s="27" t="n">
        <x:f>IF('Build Packages'!J73=0,1,0)</x:f>
        <x:v>1</x:v>
      </x:c>
      <x:c r="F1055" s="27" t="n">
        <x:v>1</x:v>
      </x:c>
      <x:c r="G1055" s="29" t="str">
        <x:f>IF(E1055=F1055,"PASS","FAIL")</x:f>
        <x:v>PASS</x:v>
      </x:c>
    </x:row>
    <x:row r="1056" ht="18" customHeight="1">
      <x:c r="B1056" s="27" t="str">
        <x:v>A1050</x:v>
      </x:c>
      <x:c r="C1056" s="27" t="str">
        <x:v>package</x:v>
      </x:c>
      <x:c r="D1056" s="27" t="str">
        <x:v>Package row 74 required content</x:v>
      </x:c>
      <x:c r="E1056" s="27" t="n">
        <x:f>IF('Build Packages'!F74&lt;&gt;"",1,0)</x:f>
        <x:v>1</x:v>
      </x:c>
      <x:c r="F1056" s="27" t="n">
        <x:v>1</x:v>
      </x:c>
      <x:c r="G1056" s="29" t="str">
        <x:f>IF(E1056=F1056,"PASS","FAIL")</x:f>
        <x:v>PASS</x:v>
      </x:c>
    </x:row>
    <x:row r="1057" ht="18" customHeight="1">
      <x:c r="B1057" s="27" t="str">
        <x:v>A1051</x:v>
      </x:c>
      <x:c r="C1057" s="27" t="str">
        <x:v>package</x:v>
      </x:c>
      <x:c r="D1057" s="27" t="str">
        <x:v>Package row 74 draft state</x:v>
      </x:c>
      <x:c r="E1057" s="27" t="n">
        <x:f>IF('Build Packages'!H74="DRAFT",1,0)</x:f>
        <x:v>1</x:v>
      </x:c>
      <x:c r="F1057" s="27" t="n">
        <x:v>1</x:v>
      </x:c>
      <x:c r="G1057" s="29" t="str">
        <x:f>IF(E1057=F1057,"PASS","FAIL")</x:f>
        <x:v>PASS</x:v>
      </x:c>
    </x:row>
    <x:row r="1058" ht="18" customHeight="1">
      <x:c r="B1058" s="27" t="str">
        <x:v>A1052</x:v>
      </x:c>
      <x:c r="C1058" s="27" t="str">
        <x:v>package</x:v>
      </x:c>
      <x:c r="D1058" s="27" t="str">
        <x:v>Package row 74 approval open</x:v>
      </x:c>
      <x:c r="E1058" s="27" t="n">
        <x:f>IF('Build Packages'!I74="OPEN",1,0)</x:f>
        <x:v>1</x:v>
      </x:c>
      <x:c r="F1058" s="27" t="n">
        <x:v>1</x:v>
      </x:c>
      <x:c r="G1058" s="29" t="str">
        <x:f>IF(E1058=F1058,"PASS","FAIL")</x:f>
        <x:v>PASS</x:v>
      </x:c>
    </x:row>
    <x:row r="1059" ht="18" customHeight="1">
      <x:c r="B1059" s="27" t="str">
        <x:v>A1053</x:v>
      </x:c>
      <x:c r="C1059" s="27" t="str">
        <x:v>package</x:v>
      </x:c>
      <x:c r="D1059" s="27" t="str">
        <x:v>Package row 74 zero credit</x:v>
      </x:c>
      <x:c r="E1059" s="27" t="n">
        <x:f>IF('Build Packages'!J74=0,1,0)</x:f>
        <x:v>1</x:v>
      </x:c>
      <x:c r="F1059" s="27" t="n">
        <x:v>1</x:v>
      </x:c>
      <x:c r="G1059" s="29" t="str">
        <x:f>IF(E1059=F1059,"PASS","FAIL")</x:f>
        <x:v>PASS</x:v>
      </x:c>
    </x:row>
    <x:row r="1060" ht="18" customHeight="1">
      <x:c r="B1060" s="27" t="str">
        <x:v>A1054</x:v>
      </x:c>
      <x:c r="C1060" s="27" t="str">
        <x:v>package</x:v>
      </x:c>
      <x:c r="D1060" s="27" t="str">
        <x:v>Package row 75 required content</x:v>
      </x:c>
      <x:c r="E1060" s="27" t="n">
        <x:f>IF('Build Packages'!F75&lt;&gt;"",1,0)</x:f>
        <x:v>1</x:v>
      </x:c>
      <x:c r="F1060" s="27" t="n">
        <x:v>1</x:v>
      </x:c>
      <x:c r="G1060" s="29" t="str">
        <x:f>IF(E1060=F1060,"PASS","FAIL")</x:f>
        <x:v>PASS</x:v>
      </x:c>
    </x:row>
    <x:row r="1061" ht="18" customHeight="1">
      <x:c r="B1061" s="27" t="str">
        <x:v>A1055</x:v>
      </x:c>
      <x:c r="C1061" s="27" t="str">
        <x:v>package</x:v>
      </x:c>
      <x:c r="D1061" s="27" t="str">
        <x:v>Package row 75 draft state</x:v>
      </x:c>
      <x:c r="E1061" s="27" t="n">
        <x:f>IF('Build Packages'!H75="DRAFT",1,0)</x:f>
        <x:v>1</x:v>
      </x:c>
      <x:c r="F1061" s="27" t="n">
        <x:v>1</x:v>
      </x:c>
      <x:c r="G1061" s="29" t="str">
        <x:f>IF(E1061=F1061,"PASS","FAIL")</x:f>
        <x:v>PASS</x:v>
      </x:c>
    </x:row>
    <x:row r="1062" ht="18" customHeight="1">
      <x:c r="B1062" s="27" t="str">
        <x:v>A1056</x:v>
      </x:c>
      <x:c r="C1062" s="27" t="str">
        <x:v>package</x:v>
      </x:c>
      <x:c r="D1062" s="27" t="str">
        <x:v>Package row 75 approval open</x:v>
      </x:c>
      <x:c r="E1062" s="27" t="n">
        <x:f>IF('Build Packages'!I75="OPEN",1,0)</x:f>
        <x:v>1</x:v>
      </x:c>
      <x:c r="F1062" s="27" t="n">
        <x:v>1</x:v>
      </x:c>
      <x:c r="G1062" s="29" t="str">
        <x:f>IF(E1062=F1062,"PASS","FAIL")</x:f>
        <x:v>PASS</x:v>
      </x:c>
    </x:row>
    <x:row r="1063" ht="18" customHeight="1">
      <x:c r="B1063" s="27" t="str">
        <x:v>A1057</x:v>
      </x:c>
      <x:c r="C1063" s="27" t="str">
        <x:v>package</x:v>
      </x:c>
      <x:c r="D1063" s="27" t="str">
        <x:v>Package row 75 zero credit</x:v>
      </x:c>
      <x:c r="E1063" s="27" t="n">
        <x:f>IF('Build Packages'!J75=0,1,0)</x:f>
        <x:v>1</x:v>
      </x:c>
      <x:c r="F1063" s="27" t="n">
        <x:v>1</x:v>
      </x:c>
      <x:c r="G1063" s="29" t="str">
        <x:f>IF(E1063=F1063,"PASS","FAIL")</x:f>
        <x:v>PASS</x:v>
      </x:c>
    </x:row>
    <x:row r="1064" ht="18" customHeight="1">
      <x:c r="B1064" s="27" t="str">
        <x:v>A1058</x:v>
      </x:c>
      <x:c r="C1064" s="27" t="str">
        <x:v>package</x:v>
      </x:c>
      <x:c r="D1064" s="27" t="str">
        <x:v>Package row 76 required content</x:v>
      </x:c>
      <x:c r="E1064" s="27" t="n">
        <x:f>IF('Build Packages'!F76&lt;&gt;"",1,0)</x:f>
        <x:v>1</x:v>
      </x:c>
      <x:c r="F1064" s="27" t="n">
        <x:v>1</x:v>
      </x:c>
      <x:c r="G1064" s="29" t="str">
        <x:f>IF(E1064=F1064,"PASS","FAIL")</x:f>
        <x:v>PASS</x:v>
      </x:c>
    </x:row>
    <x:row r="1065" ht="18" customHeight="1">
      <x:c r="B1065" s="27" t="str">
        <x:v>A1059</x:v>
      </x:c>
      <x:c r="C1065" s="27" t="str">
        <x:v>package</x:v>
      </x:c>
      <x:c r="D1065" s="27" t="str">
        <x:v>Package row 76 draft state</x:v>
      </x:c>
      <x:c r="E1065" s="27" t="n">
        <x:f>IF('Build Packages'!H76="DRAFT",1,0)</x:f>
        <x:v>1</x:v>
      </x:c>
      <x:c r="F1065" s="27" t="n">
        <x:v>1</x:v>
      </x:c>
      <x:c r="G1065" s="29" t="str">
        <x:f>IF(E1065=F1065,"PASS","FAIL")</x:f>
        <x:v>PASS</x:v>
      </x:c>
    </x:row>
    <x:row r="1066" ht="18" customHeight="1">
      <x:c r="B1066" s="27" t="str">
        <x:v>A1060</x:v>
      </x:c>
      <x:c r="C1066" s="27" t="str">
        <x:v>package</x:v>
      </x:c>
      <x:c r="D1066" s="27" t="str">
        <x:v>Package row 76 approval open</x:v>
      </x:c>
      <x:c r="E1066" s="27" t="n">
        <x:f>IF('Build Packages'!I76="OPEN",1,0)</x:f>
        <x:v>1</x:v>
      </x:c>
      <x:c r="F1066" s="27" t="n">
        <x:v>1</x:v>
      </x:c>
      <x:c r="G1066" s="29" t="str">
        <x:f>IF(E1066=F1066,"PASS","FAIL")</x:f>
        <x:v>PASS</x:v>
      </x:c>
    </x:row>
    <x:row r="1067" ht="18" customHeight="1">
      <x:c r="B1067" s="27" t="str">
        <x:v>A1061</x:v>
      </x:c>
      <x:c r="C1067" s="27" t="str">
        <x:v>package</x:v>
      </x:c>
      <x:c r="D1067" s="27" t="str">
        <x:v>Package row 76 zero credit</x:v>
      </x:c>
      <x:c r="E1067" s="27" t="n">
        <x:f>IF('Build Packages'!J76=0,1,0)</x:f>
        <x:v>1</x:v>
      </x:c>
      <x:c r="F1067" s="27" t="n">
        <x:v>1</x:v>
      </x:c>
      <x:c r="G1067" s="29" t="str">
        <x:f>IF(E1067=F1067,"PASS","FAIL")</x:f>
        <x:v>PASS</x:v>
      </x:c>
    </x:row>
    <x:row r="1068" ht="18" customHeight="1">
      <x:c r="B1068" s="27" t="str">
        <x:v>A1062</x:v>
      </x:c>
      <x:c r="C1068" s="27" t="str">
        <x:v>package</x:v>
      </x:c>
      <x:c r="D1068" s="27" t="str">
        <x:v>Package row 77 required content</x:v>
      </x:c>
      <x:c r="E1068" s="27" t="n">
        <x:f>IF('Build Packages'!F77&lt;&gt;"",1,0)</x:f>
        <x:v>1</x:v>
      </x:c>
      <x:c r="F1068" s="27" t="n">
        <x:v>1</x:v>
      </x:c>
      <x:c r="G1068" s="29" t="str">
        <x:f>IF(E1068=F1068,"PASS","FAIL")</x:f>
        <x:v>PASS</x:v>
      </x:c>
    </x:row>
    <x:row r="1069" ht="18" customHeight="1">
      <x:c r="B1069" s="27" t="str">
        <x:v>A1063</x:v>
      </x:c>
      <x:c r="C1069" s="27" t="str">
        <x:v>package</x:v>
      </x:c>
      <x:c r="D1069" s="27" t="str">
        <x:v>Package row 77 draft state</x:v>
      </x:c>
      <x:c r="E1069" s="27" t="n">
        <x:f>IF('Build Packages'!H77="DRAFT",1,0)</x:f>
        <x:v>1</x:v>
      </x:c>
      <x:c r="F1069" s="27" t="n">
        <x:v>1</x:v>
      </x:c>
      <x:c r="G1069" s="29" t="str">
        <x:f>IF(E1069=F1069,"PASS","FAIL")</x:f>
        <x:v>PASS</x:v>
      </x:c>
    </x:row>
    <x:row r="1070" ht="18" customHeight="1">
      <x:c r="B1070" s="27" t="str">
        <x:v>A1064</x:v>
      </x:c>
      <x:c r="C1070" s="27" t="str">
        <x:v>package</x:v>
      </x:c>
      <x:c r="D1070" s="27" t="str">
        <x:v>Package row 77 approval open</x:v>
      </x:c>
      <x:c r="E1070" s="27" t="n">
        <x:f>IF('Build Packages'!I77="OPEN",1,0)</x:f>
        <x:v>1</x:v>
      </x:c>
      <x:c r="F1070" s="27" t="n">
        <x:v>1</x:v>
      </x:c>
      <x:c r="G1070" s="29" t="str">
        <x:f>IF(E1070=F1070,"PASS","FAIL")</x:f>
        <x:v>PASS</x:v>
      </x:c>
    </x:row>
    <x:row r="1071" ht="18" customHeight="1">
      <x:c r="B1071" s="27" t="str">
        <x:v>A1065</x:v>
      </x:c>
      <x:c r="C1071" s="27" t="str">
        <x:v>package</x:v>
      </x:c>
      <x:c r="D1071" s="27" t="str">
        <x:v>Package row 77 zero credit</x:v>
      </x:c>
      <x:c r="E1071" s="27" t="n">
        <x:f>IF('Build Packages'!J77=0,1,0)</x:f>
        <x:v>1</x:v>
      </x:c>
      <x:c r="F1071" s="27" t="n">
        <x:v>1</x:v>
      </x:c>
      <x:c r="G1071" s="29" t="str">
        <x:f>IF(E1071=F1071,"PASS","FAIL")</x:f>
        <x:v>PASS</x:v>
      </x:c>
    </x:row>
    <x:row r="1072" ht="18" customHeight="1">
      <x:c r="B1072" s="27" t="str">
        <x:v>A1066</x:v>
      </x:c>
      <x:c r="C1072" s="27" t="str">
        <x:v>package</x:v>
      </x:c>
      <x:c r="D1072" s="27" t="str">
        <x:v>Package row 78 required content</x:v>
      </x:c>
      <x:c r="E1072" s="27" t="n">
        <x:f>IF('Build Packages'!F78&lt;&gt;"",1,0)</x:f>
        <x:v>1</x:v>
      </x:c>
      <x:c r="F1072" s="27" t="n">
        <x:v>1</x:v>
      </x:c>
      <x:c r="G1072" s="29" t="str">
        <x:f>IF(E1072=F1072,"PASS","FAIL")</x:f>
        <x:v>PASS</x:v>
      </x:c>
    </x:row>
    <x:row r="1073" ht="18" customHeight="1">
      <x:c r="B1073" s="27" t="str">
        <x:v>A1067</x:v>
      </x:c>
      <x:c r="C1073" s="27" t="str">
        <x:v>package</x:v>
      </x:c>
      <x:c r="D1073" s="27" t="str">
        <x:v>Package row 78 draft state</x:v>
      </x:c>
      <x:c r="E1073" s="27" t="n">
        <x:f>IF('Build Packages'!H78="DRAFT",1,0)</x:f>
        <x:v>1</x:v>
      </x:c>
      <x:c r="F1073" s="27" t="n">
        <x:v>1</x:v>
      </x:c>
      <x:c r="G1073" s="29" t="str">
        <x:f>IF(E1073=F1073,"PASS","FAIL")</x:f>
        <x:v>PASS</x:v>
      </x:c>
    </x:row>
    <x:row r="1074" ht="18" customHeight="1">
      <x:c r="B1074" s="27" t="str">
        <x:v>A1068</x:v>
      </x:c>
      <x:c r="C1074" s="27" t="str">
        <x:v>package</x:v>
      </x:c>
      <x:c r="D1074" s="27" t="str">
        <x:v>Package row 78 approval open</x:v>
      </x:c>
      <x:c r="E1074" s="27" t="n">
        <x:f>IF('Build Packages'!I78="OPEN",1,0)</x:f>
        <x:v>1</x:v>
      </x:c>
      <x:c r="F1074" s="27" t="n">
        <x:v>1</x:v>
      </x:c>
      <x:c r="G1074" s="29" t="str">
        <x:f>IF(E1074=F1074,"PASS","FAIL")</x:f>
        <x:v>PASS</x:v>
      </x:c>
    </x:row>
    <x:row r="1075" ht="18" customHeight="1">
      <x:c r="B1075" s="27" t="str">
        <x:v>A1069</x:v>
      </x:c>
      <x:c r="C1075" s="27" t="str">
        <x:v>package</x:v>
      </x:c>
      <x:c r="D1075" s="27" t="str">
        <x:v>Package row 78 zero credit</x:v>
      </x:c>
      <x:c r="E1075" s="27" t="n">
        <x:f>IF('Build Packages'!J78=0,1,0)</x:f>
        <x:v>1</x:v>
      </x:c>
      <x:c r="F1075" s="27" t="n">
        <x:v>1</x:v>
      </x:c>
      <x:c r="G1075" s="29" t="str">
        <x:f>IF(E1075=F1075,"PASS","FAIL")</x:f>
        <x:v>PASS</x:v>
      </x:c>
    </x:row>
    <x:row r="1076" ht="18" customHeight="1">
      <x:c r="B1076" s="27" t="str">
        <x:v>A1070</x:v>
      </x:c>
      <x:c r="C1076" s="27" t="str">
        <x:v>package</x:v>
      </x:c>
      <x:c r="D1076" s="27" t="str">
        <x:v>Package row 79 required content</x:v>
      </x:c>
      <x:c r="E1076" s="27" t="n">
        <x:f>IF('Build Packages'!F79&lt;&gt;"",1,0)</x:f>
        <x:v>1</x:v>
      </x:c>
      <x:c r="F1076" s="27" t="n">
        <x:v>1</x:v>
      </x:c>
      <x:c r="G1076" s="29" t="str">
        <x:f>IF(E1076=F1076,"PASS","FAIL")</x:f>
        <x:v>PASS</x:v>
      </x:c>
    </x:row>
    <x:row r="1077" ht="18" customHeight="1">
      <x:c r="B1077" s="27" t="str">
        <x:v>A1071</x:v>
      </x:c>
      <x:c r="C1077" s="27" t="str">
        <x:v>package</x:v>
      </x:c>
      <x:c r="D1077" s="27" t="str">
        <x:v>Package row 79 draft state</x:v>
      </x:c>
      <x:c r="E1077" s="27" t="n">
        <x:f>IF('Build Packages'!H79="DRAFT",1,0)</x:f>
        <x:v>1</x:v>
      </x:c>
      <x:c r="F1077" s="27" t="n">
        <x:v>1</x:v>
      </x:c>
      <x:c r="G1077" s="29" t="str">
        <x:f>IF(E1077=F1077,"PASS","FAIL")</x:f>
        <x:v>PASS</x:v>
      </x:c>
    </x:row>
    <x:row r="1078" ht="18" customHeight="1">
      <x:c r="B1078" s="27" t="str">
        <x:v>A1072</x:v>
      </x:c>
      <x:c r="C1078" s="27" t="str">
        <x:v>package</x:v>
      </x:c>
      <x:c r="D1078" s="27" t="str">
        <x:v>Package row 79 approval open</x:v>
      </x:c>
      <x:c r="E1078" s="27" t="n">
        <x:f>IF('Build Packages'!I79="OPEN",1,0)</x:f>
        <x:v>1</x:v>
      </x:c>
      <x:c r="F1078" s="27" t="n">
        <x:v>1</x:v>
      </x:c>
      <x:c r="G1078" s="29" t="str">
        <x:f>IF(E1078=F1078,"PASS","FAIL")</x:f>
        <x:v>PASS</x:v>
      </x:c>
    </x:row>
    <x:row r="1079" ht="18" customHeight="1">
      <x:c r="B1079" s="27" t="str">
        <x:v>A1073</x:v>
      </x:c>
      <x:c r="C1079" s="27" t="str">
        <x:v>package</x:v>
      </x:c>
      <x:c r="D1079" s="27" t="str">
        <x:v>Package row 79 zero credit</x:v>
      </x:c>
      <x:c r="E1079" s="27" t="n">
        <x:f>IF('Build Packages'!J79=0,1,0)</x:f>
        <x:v>1</x:v>
      </x:c>
      <x:c r="F1079" s="27" t="n">
        <x:v>1</x:v>
      </x:c>
      <x:c r="G1079" s="29" t="str">
        <x:f>IF(E1079=F1079,"PASS","FAIL")</x:f>
        <x:v>PASS</x:v>
      </x:c>
    </x:row>
    <x:row r="1080" ht="18" customHeight="1">
      <x:c r="B1080" s="27" t="str">
        <x:v>A1074</x:v>
      </x:c>
      <x:c r="C1080" s="27" t="str">
        <x:v>package</x:v>
      </x:c>
      <x:c r="D1080" s="27" t="str">
        <x:v>Package row 80 required content</x:v>
      </x:c>
      <x:c r="E1080" s="27" t="n">
        <x:f>IF('Build Packages'!F80&lt;&gt;"",1,0)</x:f>
        <x:v>1</x:v>
      </x:c>
      <x:c r="F1080" s="27" t="n">
        <x:v>1</x:v>
      </x:c>
      <x:c r="G1080" s="29" t="str">
        <x:f>IF(E1080=F1080,"PASS","FAIL")</x:f>
        <x:v>PASS</x:v>
      </x:c>
    </x:row>
    <x:row r="1081" ht="18" customHeight="1">
      <x:c r="B1081" s="27" t="str">
        <x:v>A1075</x:v>
      </x:c>
      <x:c r="C1081" s="27" t="str">
        <x:v>package</x:v>
      </x:c>
      <x:c r="D1081" s="27" t="str">
        <x:v>Package row 80 draft state</x:v>
      </x:c>
      <x:c r="E1081" s="27" t="n">
        <x:f>IF('Build Packages'!H80="DRAFT",1,0)</x:f>
        <x:v>1</x:v>
      </x:c>
      <x:c r="F1081" s="27" t="n">
        <x:v>1</x:v>
      </x:c>
      <x:c r="G1081" s="29" t="str">
        <x:f>IF(E1081=F1081,"PASS","FAIL")</x:f>
        <x:v>PASS</x:v>
      </x:c>
    </x:row>
    <x:row r="1082" ht="18" customHeight="1">
      <x:c r="B1082" s="27" t="str">
        <x:v>A1076</x:v>
      </x:c>
      <x:c r="C1082" s="27" t="str">
        <x:v>package</x:v>
      </x:c>
      <x:c r="D1082" s="27" t="str">
        <x:v>Package row 80 approval open</x:v>
      </x:c>
      <x:c r="E1082" s="27" t="n">
        <x:f>IF('Build Packages'!I80="OPEN",1,0)</x:f>
        <x:v>1</x:v>
      </x:c>
      <x:c r="F1082" s="27" t="n">
        <x:v>1</x:v>
      </x:c>
      <x:c r="G1082" s="29" t="str">
        <x:f>IF(E1082=F1082,"PASS","FAIL")</x:f>
        <x:v>PASS</x:v>
      </x:c>
    </x:row>
    <x:row r="1083" ht="18" customHeight="1">
      <x:c r="B1083" s="27" t="str">
        <x:v>A1077</x:v>
      </x:c>
      <x:c r="C1083" s="27" t="str">
        <x:v>package</x:v>
      </x:c>
      <x:c r="D1083" s="27" t="str">
        <x:v>Package row 80 zero credit</x:v>
      </x:c>
      <x:c r="E1083" s="27" t="n">
        <x:f>IF('Build Packages'!J80=0,1,0)</x:f>
        <x:v>1</x:v>
      </x:c>
      <x:c r="F1083" s="27" t="n">
        <x:v>1</x:v>
      </x:c>
      <x:c r="G1083" s="29" t="str">
        <x:f>IF(E1083=F1083,"PASS","FAIL")</x:f>
        <x:v>PASS</x:v>
      </x:c>
    </x:row>
    <x:row r="1084" ht="18" customHeight="1">
      <x:c r="B1084" s="27" t="str">
        <x:v>A1078</x:v>
      </x:c>
      <x:c r="C1084" s="27" t="str">
        <x:v>package</x:v>
      </x:c>
      <x:c r="D1084" s="27" t="str">
        <x:v>Package row 81 required content</x:v>
      </x:c>
      <x:c r="E1084" s="27" t="n">
        <x:f>IF('Build Packages'!F81&lt;&gt;"",1,0)</x:f>
        <x:v>1</x:v>
      </x:c>
      <x:c r="F1084" s="27" t="n">
        <x:v>1</x:v>
      </x:c>
      <x:c r="G1084" s="29" t="str">
        <x:f>IF(E1084=F1084,"PASS","FAIL")</x:f>
        <x:v>PASS</x:v>
      </x:c>
    </x:row>
    <x:row r="1085" ht="18" customHeight="1">
      <x:c r="B1085" s="27" t="str">
        <x:v>A1079</x:v>
      </x:c>
      <x:c r="C1085" s="27" t="str">
        <x:v>package</x:v>
      </x:c>
      <x:c r="D1085" s="27" t="str">
        <x:v>Package row 81 draft state</x:v>
      </x:c>
      <x:c r="E1085" s="27" t="n">
        <x:f>IF('Build Packages'!H81="DRAFT",1,0)</x:f>
        <x:v>1</x:v>
      </x:c>
      <x:c r="F1085" s="27" t="n">
        <x:v>1</x:v>
      </x:c>
      <x:c r="G1085" s="29" t="str">
        <x:f>IF(E1085=F1085,"PASS","FAIL")</x:f>
        <x:v>PASS</x:v>
      </x:c>
    </x:row>
    <x:row r="1086" ht="18" customHeight="1">
      <x:c r="B1086" s="27" t="str">
        <x:v>A1080</x:v>
      </x:c>
      <x:c r="C1086" s="27" t="str">
        <x:v>package</x:v>
      </x:c>
      <x:c r="D1086" s="27" t="str">
        <x:v>Package row 81 approval open</x:v>
      </x:c>
      <x:c r="E1086" s="27" t="n">
        <x:f>IF('Build Packages'!I81="OPEN",1,0)</x:f>
        <x:v>1</x:v>
      </x:c>
      <x:c r="F1086" s="27" t="n">
        <x:v>1</x:v>
      </x:c>
      <x:c r="G1086" s="29" t="str">
        <x:f>IF(E1086=F1086,"PASS","FAIL")</x:f>
        <x:v>PASS</x:v>
      </x:c>
    </x:row>
    <x:row r="1087" ht="18" customHeight="1">
      <x:c r="B1087" s="27" t="str">
        <x:v>A1081</x:v>
      </x:c>
      <x:c r="C1087" s="27" t="str">
        <x:v>package</x:v>
      </x:c>
      <x:c r="D1087" s="27" t="str">
        <x:v>Package row 81 zero credit</x:v>
      </x:c>
      <x:c r="E1087" s="27" t="n">
        <x:f>IF('Build Packages'!J81=0,1,0)</x:f>
        <x:v>1</x:v>
      </x:c>
      <x:c r="F1087" s="27" t="n">
        <x:v>1</x:v>
      </x:c>
      <x:c r="G1087" s="29" t="str">
        <x:f>IF(E1087=F1087,"PASS","FAIL")</x:f>
        <x:v>PASS</x:v>
      </x:c>
    </x:row>
    <x:row r="1088" ht="18" customHeight="1">
      <x:c r="B1088" s="27" t="str">
        <x:v>A1082</x:v>
      </x:c>
      <x:c r="C1088" s="27" t="str">
        <x:v>package</x:v>
      </x:c>
      <x:c r="D1088" s="27" t="str">
        <x:v>Package row 82 required content</x:v>
      </x:c>
      <x:c r="E1088" s="27" t="n">
        <x:f>IF('Build Packages'!F82&lt;&gt;"",1,0)</x:f>
        <x:v>1</x:v>
      </x:c>
      <x:c r="F1088" s="27" t="n">
        <x:v>1</x:v>
      </x:c>
      <x:c r="G1088" s="29" t="str">
        <x:f>IF(E1088=F1088,"PASS","FAIL")</x:f>
        <x:v>PASS</x:v>
      </x:c>
    </x:row>
    <x:row r="1089" ht="18" customHeight="1">
      <x:c r="B1089" s="27" t="str">
        <x:v>A1083</x:v>
      </x:c>
      <x:c r="C1089" s="27" t="str">
        <x:v>package</x:v>
      </x:c>
      <x:c r="D1089" s="27" t="str">
        <x:v>Package row 82 draft state</x:v>
      </x:c>
      <x:c r="E1089" s="27" t="n">
        <x:f>IF('Build Packages'!H82="DRAFT",1,0)</x:f>
        <x:v>1</x:v>
      </x:c>
      <x:c r="F1089" s="27" t="n">
        <x:v>1</x:v>
      </x:c>
      <x:c r="G1089" s="29" t="str">
        <x:f>IF(E1089=F1089,"PASS","FAIL")</x:f>
        <x:v>PASS</x:v>
      </x:c>
    </x:row>
    <x:row r="1090" ht="18" customHeight="1">
      <x:c r="B1090" s="27" t="str">
        <x:v>A1084</x:v>
      </x:c>
      <x:c r="C1090" s="27" t="str">
        <x:v>package</x:v>
      </x:c>
      <x:c r="D1090" s="27" t="str">
        <x:v>Package row 82 approval open</x:v>
      </x:c>
      <x:c r="E1090" s="27" t="n">
        <x:f>IF('Build Packages'!I82="OPEN",1,0)</x:f>
        <x:v>1</x:v>
      </x:c>
      <x:c r="F1090" s="27" t="n">
        <x:v>1</x:v>
      </x:c>
      <x:c r="G1090" s="29" t="str">
        <x:f>IF(E1090=F1090,"PASS","FAIL")</x:f>
        <x:v>PASS</x:v>
      </x:c>
    </x:row>
    <x:row r="1091" ht="18" customHeight="1">
      <x:c r="B1091" s="27" t="str">
        <x:v>A1085</x:v>
      </x:c>
      <x:c r="C1091" s="27" t="str">
        <x:v>package</x:v>
      </x:c>
      <x:c r="D1091" s="27" t="str">
        <x:v>Package row 82 zero credit</x:v>
      </x:c>
      <x:c r="E1091" s="27" t="n">
        <x:f>IF('Build Packages'!J82=0,1,0)</x:f>
        <x:v>1</x:v>
      </x:c>
      <x:c r="F1091" s="27" t="n">
        <x:v>1</x:v>
      </x:c>
      <x:c r="G1091" s="29" t="str">
        <x:f>IF(E1091=F1091,"PASS","FAIL")</x:f>
        <x:v>PASS</x:v>
      </x:c>
    </x:row>
    <x:row r="1092" ht="18" customHeight="1">
      <x:c r="B1092" s="27" t="str">
        <x:v>A1086</x:v>
      </x:c>
      <x:c r="C1092" s="27" t="str">
        <x:v>package</x:v>
      </x:c>
      <x:c r="D1092" s="27" t="str">
        <x:v>Package row 83 required content</x:v>
      </x:c>
      <x:c r="E1092" s="27" t="n">
        <x:f>IF('Build Packages'!F83&lt;&gt;"",1,0)</x:f>
        <x:v>1</x:v>
      </x:c>
      <x:c r="F1092" s="27" t="n">
        <x:v>1</x:v>
      </x:c>
      <x:c r="G1092" s="29" t="str">
        <x:f>IF(E1092=F1092,"PASS","FAIL")</x:f>
        <x:v>PASS</x:v>
      </x:c>
    </x:row>
    <x:row r="1093" ht="18" customHeight="1">
      <x:c r="B1093" s="27" t="str">
        <x:v>A1087</x:v>
      </x:c>
      <x:c r="C1093" s="27" t="str">
        <x:v>package</x:v>
      </x:c>
      <x:c r="D1093" s="27" t="str">
        <x:v>Package row 83 draft state</x:v>
      </x:c>
      <x:c r="E1093" s="27" t="n">
        <x:f>IF('Build Packages'!H83="DRAFT",1,0)</x:f>
        <x:v>1</x:v>
      </x:c>
      <x:c r="F1093" s="27" t="n">
        <x:v>1</x:v>
      </x:c>
      <x:c r="G1093" s="29" t="str">
        <x:f>IF(E1093=F1093,"PASS","FAIL")</x:f>
        <x:v>PASS</x:v>
      </x:c>
    </x:row>
    <x:row r="1094" ht="18" customHeight="1">
      <x:c r="B1094" s="27" t="str">
        <x:v>A1088</x:v>
      </x:c>
      <x:c r="C1094" s="27" t="str">
        <x:v>package</x:v>
      </x:c>
      <x:c r="D1094" s="27" t="str">
        <x:v>Package row 83 approval open</x:v>
      </x:c>
      <x:c r="E1094" s="27" t="n">
        <x:f>IF('Build Packages'!I83="OPEN",1,0)</x:f>
        <x:v>1</x:v>
      </x:c>
      <x:c r="F1094" s="27" t="n">
        <x:v>1</x:v>
      </x:c>
      <x:c r="G1094" s="29" t="str">
        <x:f>IF(E1094=F1094,"PASS","FAIL")</x:f>
        <x:v>PASS</x:v>
      </x:c>
    </x:row>
    <x:row r="1095" ht="18" customHeight="1">
      <x:c r="B1095" s="27" t="str">
        <x:v>A1089</x:v>
      </x:c>
      <x:c r="C1095" s="27" t="str">
        <x:v>package</x:v>
      </x:c>
      <x:c r="D1095" s="27" t="str">
        <x:v>Package row 83 zero credit</x:v>
      </x:c>
      <x:c r="E1095" s="27" t="n">
        <x:f>IF('Build Packages'!J83=0,1,0)</x:f>
        <x:v>1</x:v>
      </x:c>
      <x:c r="F1095" s="27" t="n">
        <x:v>1</x:v>
      </x:c>
      <x:c r="G1095" s="29" t="str">
        <x:f>IF(E1095=F1095,"PASS","FAIL")</x:f>
        <x:v>PASS</x:v>
      </x:c>
    </x:row>
    <x:row r="1096" ht="18" customHeight="1">
      <x:c r="B1096" s="27" t="str">
        <x:v>A1090</x:v>
      </x:c>
      <x:c r="C1096" s="27" t="str">
        <x:v>package</x:v>
      </x:c>
      <x:c r="D1096" s="27" t="str">
        <x:v>Package row 84 required content</x:v>
      </x:c>
      <x:c r="E1096" s="27" t="n">
        <x:f>IF('Build Packages'!F84&lt;&gt;"",1,0)</x:f>
        <x:v>1</x:v>
      </x:c>
      <x:c r="F1096" s="27" t="n">
        <x:v>1</x:v>
      </x:c>
      <x:c r="G1096" s="29" t="str">
        <x:f>IF(E1096=F1096,"PASS","FAIL")</x:f>
        <x:v>PASS</x:v>
      </x:c>
    </x:row>
    <x:row r="1097" ht="18" customHeight="1">
      <x:c r="B1097" s="27" t="str">
        <x:v>A1091</x:v>
      </x:c>
      <x:c r="C1097" s="27" t="str">
        <x:v>package</x:v>
      </x:c>
      <x:c r="D1097" s="27" t="str">
        <x:v>Package row 84 draft state</x:v>
      </x:c>
      <x:c r="E1097" s="27" t="n">
        <x:f>IF('Build Packages'!H84="DRAFT",1,0)</x:f>
        <x:v>1</x:v>
      </x:c>
      <x:c r="F1097" s="27" t="n">
        <x:v>1</x:v>
      </x:c>
      <x:c r="G1097" s="29" t="str">
        <x:f>IF(E1097=F1097,"PASS","FAIL")</x:f>
        <x:v>PASS</x:v>
      </x:c>
    </x:row>
    <x:row r="1098" ht="18" customHeight="1">
      <x:c r="B1098" s="27" t="str">
        <x:v>A1092</x:v>
      </x:c>
      <x:c r="C1098" s="27" t="str">
        <x:v>package</x:v>
      </x:c>
      <x:c r="D1098" s="27" t="str">
        <x:v>Package row 84 approval open</x:v>
      </x:c>
      <x:c r="E1098" s="27" t="n">
        <x:f>IF('Build Packages'!I84="OPEN",1,0)</x:f>
        <x:v>1</x:v>
      </x:c>
      <x:c r="F1098" s="27" t="n">
        <x:v>1</x:v>
      </x:c>
      <x:c r="G1098" s="29" t="str">
        <x:f>IF(E1098=F1098,"PASS","FAIL")</x:f>
        <x:v>PASS</x:v>
      </x:c>
    </x:row>
    <x:row r="1099" ht="18" customHeight="1">
      <x:c r="B1099" s="27" t="str">
        <x:v>A1093</x:v>
      </x:c>
      <x:c r="C1099" s="27" t="str">
        <x:v>package</x:v>
      </x:c>
      <x:c r="D1099" s="27" t="str">
        <x:v>Package row 84 zero credit</x:v>
      </x:c>
      <x:c r="E1099" s="27" t="n">
        <x:f>IF('Build Packages'!J84=0,1,0)</x:f>
        <x:v>1</x:v>
      </x:c>
      <x:c r="F1099" s="27" t="n">
        <x:v>1</x:v>
      </x:c>
      <x:c r="G1099" s="29" t="str">
        <x:f>IF(E1099=F1099,"PASS","FAIL")</x:f>
        <x:v>PASS</x:v>
      </x:c>
    </x:row>
    <x:row r="1100" ht="18" customHeight="1">
      <x:c r="B1100" s="27" t="str">
        <x:v>A1094</x:v>
      </x:c>
      <x:c r="C1100" s="27" t="str">
        <x:v>package</x:v>
      </x:c>
      <x:c r="D1100" s="27" t="str">
        <x:v>Package row 85 required content</x:v>
      </x:c>
      <x:c r="E1100" s="27" t="n">
        <x:f>IF('Build Packages'!F85&lt;&gt;"",1,0)</x:f>
        <x:v>1</x:v>
      </x:c>
      <x:c r="F1100" s="27" t="n">
        <x:v>1</x:v>
      </x:c>
      <x:c r="G1100" s="29" t="str">
        <x:f>IF(E1100=F1100,"PASS","FAIL")</x:f>
        <x:v>PASS</x:v>
      </x:c>
    </x:row>
    <x:row r="1101" ht="18" customHeight="1">
      <x:c r="B1101" s="27" t="str">
        <x:v>A1095</x:v>
      </x:c>
      <x:c r="C1101" s="27" t="str">
        <x:v>package</x:v>
      </x:c>
      <x:c r="D1101" s="27" t="str">
        <x:v>Package row 85 draft state</x:v>
      </x:c>
      <x:c r="E1101" s="27" t="n">
        <x:f>IF('Build Packages'!H85="DRAFT",1,0)</x:f>
        <x:v>1</x:v>
      </x:c>
      <x:c r="F1101" s="27" t="n">
        <x:v>1</x:v>
      </x:c>
      <x:c r="G1101" s="29" t="str">
        <x:f>IF(E1101=F1101,"PASS","FAIL")</x:f>
        <x:v>PASS</x:v>
      </x:c>
    </x:row>
    <x:row r="1102" ht="18" customHeight="1">
      <x:c r="B1102" s="27" t="str">
        <x:v>A1096</x:v>
      </x:c>
      <x:c r="C1102" s="27" t="str">
        <x:v>package</x:v>
      </x:c>
      <x:c r="D1102" s="27" t="str">
        <x:v>Package row 85 approval open</x:v>
      </x:c>
      <x:c r="E1102" s="27" t="n">
        <x:f>IF('Build Packages'!I85="OPEN",1,0)</x:f>
        <x:v>1</x:v>
      </x:c>
      <x:c r="F1102" s="27" t="n">
        <x:v>1</x:v>
      </x:c>
      <x:c r="G1102" s="29" t="str">
        <x:f>IF(E1102=F1102,"PASS","FAIL")</x:f>
        <x:v>PASS</x:v>
      </x:c>
    </x:row>
    <x:row r="1103" ht="18" customHeight="1">
      <x:c r="B1103" s="27" t="str">
        <x:v>A1097</x:v>
      </x:c>
      <x:c r="C1103" s="27" t="str">
        <x:v>package</x:v>
      </x:c>
      <x:c r="D1103" s="27" t="str">
        <x:v>Package row 85 zero credit</x:v>
      </x:c>
      <x:c r="E1103" s="27" t="n">
        <x:f>IF('Build Packages'!J85=0,1,0)</x:f>
        <x:v>1</x:v>
      </x:c>
      <x:c r="F1103" s="27" t="n">
        <x:v>1</x:v>
      </x:c>
      <x:c r="G1103" s="29" t="str">
        <x:f>IF(E1103=F1103,"PASS","FAIL")</x:f>
        <x:v>PASS</x:v>
      </x:c>
    </x:row>
    <x:row r="1104" ht="18" customHeight="1">
      <x:c r="B1104" s="27" t="str">
        <x:v>A1098</x:v>
      </x:c>
      <x:c r="C1104" s="27" t="str">
        <x:v>package</x:v>
      </x:c>
      <x:c r="D1104" s="27" t="str">
        <x:v>Package row 86 required content</x:v>
      </x:c>
      <x:c r="E1104" s="27" t="n">
        <x:f>IF('Build Packages'!F86&lt;&gt;"",1,0)</x:f>
        <x:v>1</x:v>
      </x:c>
      <x:c r="F1104" s="27" t="n">
        <x:v>1</x:v>
      </x:c>
      <x:c r="G1104" s="29" t="str">
        <x:f>IF(E1104=F1104,"PASS","FAIL")</x:f>
        <x:v>PASS</x:v>
      </x:c>
    </x:row>
    <x:row r="1105" ht="18" customHeight="1">
      <x:c r="B1105" s="27" t="str">
        <x:v>A1099</x:v>
      </x:c>
      <x:c r="C1105" s="27" t="str">
        <x:v>package</x:v>
      </x:c>
      <x:c r="D1105" s="27" t="str">
        <x:v>Package row 86 draft state</x:v>
      </x:c>
      <x:c r="E1105" s="27" t="n">
        <x:f>IF('Build Packages'!H86="DRAFT",1,0)</x:f>
        <x:v>1</x:v>
      </x:c>
      <x:c r="F1105" s="27" t="n">
        <x:v>1</x:v>
      </x:c>
      <x:c r="G1105" s="29" t="str">
        <x:f>IF(E1105=F1105,"PASS","FAIL")</x:f>
        <x:v>PASS</x:v>
      </x:c>
    </x:row>
    <x:row r="1106" ht="18" customHeight="1">
      <x:c r="B1106" s="27" t="str">
        <x:v>A1100</x:v>
      </x:c>
      <x:c r="C1106" s="27" t="str">
        <x:v>package</x:v>
      </x:c>
      <x:c r="D1106" s="27" t="str">
        <x:v>Package row 86 approval open</x:v>
      </x:c>
      <x:c r="E1106" s="27" t="n">
        <x:f>IF('Build Packages'!I86="OPEN",1,0)</x:f>
        <x:v>1</x:v>
      </x:c>
      <x:c r="F1106" s="27" t="n">
        <x:v>1</x:v>
      </x:c>
      <x:c r="G1106" s="29" t="str">
        <x:f>IF(E1106=F1106,"PASS","FAIL")</x:f>
        <x:v>PASS</x:v>
      </x:c>
    </x:row>
    <x:row r="1107" ht="18" customHeight="1">
      <x:c r="B1107" s="27" t="str">
        <x:v>A1101</x:v>
      </x:c>
      <x:c r="C1107" s="27" t="str">
        <x:v>package</x:v>
      </x:c>
      <x:c r="D1107" s="27" t="str">
        <x:v>Package row 86 zero credit</x:v>
      </x:c>
      <x:c r="E1107" s="27" t="n">
        <x:f>IF('Build Packages'!J86=0,1,0)</x:f>
        <x:v>1</x:v>
      </x:c>
      <x:c r="F1107" s="27" t="n">
        <x:v>1</x:v>
      </x:c>
      <x:c r="G1107" s="29" t="str">
        <x:f>IF(E1107=F1107,"PASS","FAIL")</x:f>
        <x:v>PASS</x:v>
      </x:c>
    </x:row>
    <x:row r="1108" ht="18" customHeight="1">
      <x:c r="B1108" s="27" t="str">
        <x:v>A1102</x:v>
      </x:c>
      <x:c r="C1108" s="27" t="str">
        <x:v>package</x:v>
      </x:c>
      <x:c r="D1108" s="27" t="str">
        <x:v>Package row 87 required content</x:v>
      </x:c>
      <x:c r="E1108" s="27" t="n">
        <x:f>IF('Build Packages'!F87&lt;&gt;"",1,0)</x:f>
        <x:v>1</x:v>
      </x:c>
      <x:c r="F1108" s="27" t="n">
        <x:v>1</x:v>
      </x:c>
      <x:c r="G1108" s="29" t="str">
        <x:f>IF(E1108=F1108,"PASS","FAIL")</x:f>
        <x:v>PASS</x:v>
      </x:c>
    </x:row>
    <x:row r="1109" ht="18" customHeight="1">
      <x:c r="B1109" s="27" t="str">
        <x:v>A1103</x:v>
      </x:c>
      <x:c r="C1109" s="27" t="str">
        <x:v>package</x:v>
      </x:c>
      <x:c r="D1109" s="27" t="str">
        <x:v>Package row 87 draft state</x:v>
      </x:c>
      <x:c r="E1109" s="27" t="n">
        <x:f>IF('Build Packages'!H87="DRAFT",1,0)</x:f>
        <x:v>1</x:v>
      </x:c>
      <x:c r="F1109" s="27" t="n">
        <x:v>1</x:v>
      </x:c>
      <x:c r="G1109" s="29" t="str">
        <x:f>IF(E1109=F1109,"PASS","FAIL")</x:f>
        <x:v>PASS</x:v>
      </x:c>
    </x:row>
    <x:row r="1110" ht="18" customHeight="1">
      <x:c r="B1110" s="27" t="str">
        <x:v>A1104</x:v>
      </x:c>
      <x:c r="C1110" s="27" t="str">
        <x:v>package</x:v>
      </x:c>
      <x:c r="D1110" s="27" t="str">
        <x:v>Package row 87 approval open</x:v>
      </x:c>
      <x:c r="E1110" s="27" t="n">
        <x:f>IF('Build Packages'!I87="OPEN",1,0)</x:f>
        <x:v>1</x:v>
      </x:c>
      <x:c r="F1110" s="27" t="n">
        <x:v>1</x:v>
      </x:c>
      <x:c r="G1110" s="29" t="str">
        <x:f>IF(E1110=F1110,"PASS","FAIL")</x:f>
        <x:v>PASS</x:v>
      </x:c>
    </x:row>
    <x:row r="1111" ht="18" customHeight="1">
      <x:c r="B1111" s="27" t="str">
        <x:v>A1105</x:v>
      </x:c>
      <x:c r="C1111" s="27" t="str">
        <x:v>package</x:v>
      </x:c>
      <x:c r="D1111" s="27" t="str">
        <x:v>Package row 87 zero credit</x:v>
      </x:c>
      <x:c r="E1111" s="27" t="n">
        <x:f>IF('Build Packages'!J87=0,1,0)</x:f>
        <x:v>1</x:v>
      </x:c>
      <x:c r="F1111" s="27" t="n">
        <x:v>1</x:v>
      </x:c>
      <x:c r="G1111" s="29" t="str">
        <x:f>IF(E1111=F1111,"PASS","FAIL")</x:f>
        <x:v>PASS</x:v>
      </x:c>
    </x:row>
    <x:row r="1112" ht="18" customHeight="1">
      <x:c r="B1112" s="27" t="str">
        <x:v>A1106</x:v>
      </x:c>
      <x:c r="C1112" s="27" t="str">
        <x:v>package</x:v>
      </x:c>
      <x:c r="D1112" s="27" t="str">
        <x:v>Package row 88 required content</x:v>
      </x:c>
      <x:c r="E1112" s="27" t="n">
        <x:f>IF('Build Packages'!F88&lt;&gt;"",1,0)</x:f>
        <x:v>1</x:v>
      </x:c>
      <x:c r="F1112" s="27" t="n">
        <x:v>1</x:v>
      </x:c>
      <x:c r="G1112" s="29" t="str">
        <x:f>IF(E1112=F1112,"PASS","FAIL")</x:f>
        <x:v>PASS</x:v>
      </x:c>
    </x:row>
    <x:row r="1113" ht="18" customHeight="1">
      <x:c r="B1113" s="27" t="str">
        <x:v>A1107</x:v>
      </x:c>
      <x:c r="C1113" s="27" t="str">
        <x:v>package</x:v>
      </x:c>
      <x:c r="D1113" s="27" t="str">
        <x:v>Package row 88 draft state</x:v>
      </x:c>
      <x:c r="E1113" s="27" t="n">
        <x:f>IF('Build Packages'!H88="DRAFT",1,0)</x:f>
        <x:v>1</x:v>
      </x:c>
      <x:c r="F1113" s="27" t="n">
        <x:v>1</x:v>
      </x:c>
      <x:c r="G1113" s="29" t="str">
        <x:f>IF(E1113=F1113,"PASS","FAIL")</x:f>
        <x:v>PASS</x:v>
      </x:c>
    </x:row>
    <x:row r="1114" ht="18" customHeight="1">
      <x:c r="B1114" s="27" t="str">
        <x:v>A1108</x:v>
      </x:c>
      <x:c r="C1114" s="27" t="str">
        <x:v>package</x:v>
      </x:c>
      <x:c r="D1114" s="27" t="str">
        <x:v>Package row 88 approval open</x:v>
      </x:c>
      <x:c r="E1114" s="27" t="n">
        <x:f>IF('Build Packages'!I88="OPEN",1,0)</x:f>
        <x:v>1</x:v>
      </x:c>
      <x:c r="F1114" s="27" t="n">
        <x:v>1</x:v>
      </x:c>
      <x:c r="G1114" s="29" t="str">
        <x:f>IF(E1114=F1114,"PASS","FAIL")</x:f>
        <x:v>PASS</x:v>
      </x:c>
    </x:row>
    <x:row r="1115" ht="18" customHeight="1">
      <x:c r="B1115" s="27" t="str">
        <x:v>A1109</x:v>
      </x:c>
      <x:c r="C1115" s="27" t="str">
        <x:v>package</x:v>
      </x:c>
      <x:c r="D1115" s="27" t="str">
        <x:v>Package row 88 zero credit</x:v>
      </x:c>
      <x:c r="E1115" s="27" t="n">
        <x:f>IF('Build Packages'!J88=0,1,0)</x:f>
        <x:v>1</x:v>
      </x:c>
      <x:c r="F1115" s="27" t="n">
        <x:v>1</x:v>
      </x:c>
      <x:c r="G1115" s="29" t="str">
        <x:f>IF(E1115=F1115,"PASS","FAIL")</x:f>
        <x:v>PASS</x:v>
      </x:c>
    </x:row>
    <x:row r="1116" ht="18" customHeight="1">
      <x:c r="B1116" s="27" t="str">
        <x:v>A1110</x:v>
      </x:c>
      <x:c r="C1116" s="27" t="str">
        <x:v>package</x:v>
      </x:c>
      <x:c r="D1116" s="27" t="str">
        <x:v>Package row 89 required content</x:v>
      </x:c>
      <x:c r="E1116" s="27" t="n">
        <x:f>IF('Build Packages'!F89&lt;&gt;"",1,0)</x:f>
        <x:v>1</x:v>
      </x:c>
      <x:c r="F1116" s="27" t="n">
        <x:v>1</x:v>
      </x:c>
      <x:c r="G1116" s="29" t="str">
        <x:f>IF(E1116=F1116,"PASS","FAIL")</x:f>
        <x:v>PASS</x:v>
      </x:c>
    </x:row>
    <x:row r="1117" ht="18" customHeight="1">
      <x:c r="B1117" s="27" t="str">
        <x:v>A1111</x:v>
      </x:c>
      <x:c r="C1117" s="27" t="str">
        <x:v>package</x:v>
      </x:c>
      <x:c r="D1117" s="27" t="str">
        <x:v>Package row 89 draft state</x:v>
      </x:c>
      <x:c r="E1117" s="27" t="n">
        <x:f>IF('Build Packages'!H89="DRAFT",1,0)</x:f>
        <x:v>1</x:v>
      </x:c>
      <x:c r="F1117" s="27" t="n">
        <x:v>1</x:v>
      </x:c>
      <x:c r="G1117" s="29" t="str">
        <x:f>IF(E1117=F1117,"PASS","FAIL")</x:f>
        <x:v>PASS</x:v>
      </x:c>
    </x:row>
    <x:row r="1118" ht="18" customHeight="1">
      <x:c r="B1118" s="27" t="str">
        <x:v>A1112</x:v>
      </x:c>
      <x:c r="C1118" s="27" t="str">
        <x:v>package</x:v>
      </x:c>
      <x:c r="D1118" s="27" t="str">
        <x:v>Package row 89 approval open</x:v>
      </x:c>
      <x:c r="E1118" s="27" t="n">
        <x:f>IF('Build Packages'!I89="OPEN",1,0)</x:f>
        <x:v>1</x:v>
      </x:c>
      <x:c r="F1118" s="27" t="n">
        <x:v>1</x:v>
      </x:c>
      <x:c r="G1118" s="29" t="str">
        <x:f>IF(E1118=F1118,"PASS","FAIL")</x:f>
        <x:v>PASS</x:v>
      </x:c>
    </x:row>
    <x:row r="1119" ht="18" customHeight="1">
      <x:c r="B1119" s="27" t="str">
        <x:v>A1113</x:v>
      </x:c>
      <x:c r="C1119" s="27" t="str">
        <x:v>package</x:v>
      </x:c>
      <x:c r="D1119" s="27" t="str">
        <x:v>Package row 89 zero credit</x:v>
      </x:c>
      <x:c r="E1119" s="27" t="n">
        <x:f>IF('Build Packages'!J89=0,1,0)</x:f>
        <x:v>1</x:v>
      </x:c>
      <x:c r="F1119" s="27" t="n">
        <x:v>1</x:v>
      </x:c>
      <x:c r="G1119" s="29" t="str">
        <x:f>IF(E1119=F1119,"PASS","FAIL")</x:f>
        <x:v>PASS</x:v>
      </x:c>
    </x:row>
    <x:row r="1120" ht="18" customHeight="1">
      <x:c r="B1120" s="27" t="str">
        <x:v>A1114</x:v>
      </x:c>
      <x:c r="C1120" s="27" t="str">
        <x:v>package</x:v>
      </x:c>
      <x:c r="D1120" s="27" t="str">
        <x:v>Package row 90 required content</x:v>
      </x:c>
      <x:c r="E1120" s="27" t="n">
        <x:f>IF('Build Packages'!F90&lt;&gt;"",1,0)</x:f>
        <x:v>1</x:v>
      </x:c>
      <x:c r="F1120" s="27" t="n">
        <x:v>1</x:v>
      </x:c>
      <x:c r="G1120" s="29" t="str">
        <x:f>IF(E1120=F1120,"PASS","FAIL")</x:f>
        <x:v>PASS</x:v>
      </x:c>
    </x:row>
    <x:row r="1121" ht="18" customHeight="1">
      <x:c r="B1121" s="27" t="str">
        <x:v>A1115</x:v>
      </x:c>
      <x:c r="C1121" s="27" t="str">
        <x:v>package</x:v>
      </x:c>
      <x:c r="D1121" s="27" t="str">
        <x:v>Package row 90 draft state</x:v>
      </x:c>
      <x:c r="E1121" s="27" t="n">
        <x:f>IF('Build Packages'!H90="DRAFT",1,0)</x:f>
        <x:v>1</x:v>
      </x:c>
      <x:c r="F1121" s="27" t="n">
        <x:v>1</x:v>
      </x:c>
      <x:c r="G1121" s="29" t="str">
        <x:f>IF(E1121=F1121,"PASS","FAIL")</x:f>
        <x:v>PASS</x:v>
      </x:c>
    </x:row>
    <x:row r="1122" ht="18" customHeight="1">
      <x:c r="B1122" s="27" t="str">
        <x:v>A1116</x:v>
      </x:c>
      <x:c r="C1122" s="27" t="str">
        <x:v>package</x:v>
      </x:c>
      <x:c r="D1122" s="27" t="str">
        <x:v>Package row 90 approval open</x:v>
      </x:c>
      <x:c r="E1122" s="27" t="n">
        <x:f>IF('Build Packages'!I90="OPEN",1,0)</x:f>
        <x:v>1</x:v>
      </x:c>
      <x:c r="F1122" s="27" t="n">
        <x:v>1</x:v>
      </x:c>
      <x:c r="G1122" s="29" t="str">
        <x:f>IF(E1122=F1122,"PASS","FAIL")</x:f>
        <x:v>PASS</x:v>
      </x:c>
    </x:row>
    <x:row r="1123" ht="18" customHeight="1">
      <x:c r="B1123" s="27" t="str">
        <x:v>A1117</x:v>
      </x:c>
      <x:c r="C1123" s="27" t="str">
        <x:v>package</x:v>
      </x:c>
      <x:c r="D1123" s="27" t="str">
        <x:v>Package row 90 zero credit</x:v>
      </x:c>
      <x:c r="E1123" s="27" t="n">
        <x:f>IF('Build Packages'!J90=0,1,0)</x:f>
        <x:v>1</x:v>
      </x:c>
      <x:c r="F1123" s="27" t="n">
        <x:v>1</x:v>
      </x:c>
      <x:c r="G1123" s="29" t="str">
        <x:f>IF(E1123=F1123,"PASS","FAIL")</x:f>
        <x:v>PASS</x:v>
      </x:c>
    </x:row>
    <x:row r="1124" ht="18" customHeight="1">
      <x:c r="B1124" s="27" t="str">
        <x:v>A1118</x:v>
      </x:c>
      <x:c r="C1124" s="27" t="str">
        <x:v>package</x:v>
      </x:c>
      <x:c r="D1124" s="27" t="str">
        <x:v>Package row 91 required content</x:v>
      </x:c>
      <x:c r="E1124" s="27" t="n">
        <x:f>IF('Build Packages'!F91&lt;&gt;"",1,0)</x:f>
        <x:v>1</x:v>
      </x:c>
      <x:c r="F1124" s="27" t="n">
        <x:v>1</x:v>
      </x:c>
      <x:c r="G1124" s="29" t="str">
        <x:f>IF(E1124=F1124,"PASS","FAIL")</x:f>
        <x:v>PASS</x:v>
      </x:c>
    </x:row>
    <x:row r="1125" ht="18" customHeight="1">
      <x:c r="B1125" s="27" t="str">
        <x:v>A1119</x:v>
      </x:c>
      <x:c r="C1125" s="27" t="str">
        <x:v>package</x:v>
      </x:c>
      <x:c r="D1125" s="27" t="str">
        <x:v>Package row 91 draft state</x:v>
      </x:c>
      <x:c r="E1125" s="27" t="n">
        <x:f>IF('Build Packages'!H91="DRAFT",1,0)</x:f>
        <x:v>1</x:v>
      </x:c>
      <x:c r="F1125" s="27" t="n">
        <x:v>1</x:v>
      </x:c>
      <x:c r="G1125" s="29" t="str">
        <x:f>IF(E1125=F1125,"PASS","FAIL")</x:f>
        <x:v>PASS</x:v>
      </x:c>
    </x:row>
    <x:row r="1126" ht="18" customHeight="1">
      <x:c r="B1126" s="27" t="str">
        <x:v>A1120</x:v>
      </x:c>
      <x:c r="C1126" s="27" t="str">
        <x:v>package</x:v>
      </x:c>
      <x:c r="D1126" s="27" t="str">
        <x:v>Package row 91 approval open</x:v>
      </x:c>
      <x:c r="E1126" s="27" t="n">
        <x:f>IF('Build Packages'!I91="OPEN",1,0)</x:f>
        <x:v>1</x:v>
      </x:c>
      <x:c r="F1126" s="27" t="n">
        <x:v>1</x:v>
      </x:c>
      <x:c r="G1126" s="29" t="str">
        <x:f>IF(E1126=F1126,"PASS","FAIL")</x:f>
        <x:v>PASS</x:v>
      </x:c>
    </x:row>
    <x:row r="1127" ht="18" customHeight="1">
      <x:c r="B1127" s="27" t="str">
        <x:v>A1121</x:v>
      </x:c>
      <x:c r="C1127" s="27" t="str">
        <x:v>package</x:v>
      </x:c>
      <x:c r="D1127" s="27" t="str">
        <x:v>Package row 91 zero credit</x:v>
      </x:c>
      <x:c r="E1127" s="27" t="n">
        <x:f>IF('Build Packages'!J91=0,1,0)</x:f>
        <x:v>1</x:v>
      </x:c>
      <x:c r="F1127" s="27" t="n">
        <x:v>1</x:v>
      </x:c>
      <x:c r="G1127" s="29" t="str">
        <x:f>IF(E1127=F1127,"PASS","FAIL")</x:f>
        <x:v>PASS</x:v>
      </x:c>
    </x:row>
    <x:row r="1128" ht="18" customHeight="1">
      <x:c r="B1128" s="27" t="str">
        <x:v>A1122</x:v>
      </x:c>
      <x:c r="C1128" s="27" t="str">
        <x:v>package</x:v>
      </x:c>
      <x:c r="D1128" s="27" t="str">
        <x:v>Package row 92 required content</x:v>
      </x:c>
      <x:c r="E1128" s="27" t="n">
        <x:f>IF('Build Packages'!F92&lt;&gt;"",1,0)</x:f>
        <x:v>1</x:v>
      </x:c>
      <x:c r="F1128" s="27" t="n">
        <x:v>1</x:v>
      </x:c>
      <x:c r="G1128" s="29" t="str">
        <x:f>IF(E1128=F1128,"PASS","FAIL")</x:f>
        <x:v>PASS</x:v>
      </x:c>
    </x:row>
    <x:row r="1129" ht="18" customHeight="1">
      <x:c r="B1129" s="27" t="str">
        <x:v>A1123</x:v>
      </x:c>
      <x:c r="C1129" s="27" t="str">
        <x:v>package</x:v>
      </x:c>
      <x:c r="D1129" s="27" t="str">
        <x:v>Package row 92 draft state</x:v>
      </x:c>
      <x:c r="E1129" s="27" t="n">
        <x:f>IF('Build Packages'!H92="DRAFT",1,0)</x:f>
        <x:v>1</x:v>
      </x:c>
      <x:c r="F1129" s="27" t="n">
        <x:v>1</x:v>
      </x:c>
      <x:c r="G1129" s="29" t="str">
        <x:f>IF(E1129=F1129,"PASS","FAIL")</x:f>
        <x:v>PASS</x:v>
      </x:c>
    </x:row>
    <x:row r="1130" ht="18" customHeight="1">
      <x:c r="B1130" s="27" t="str">
        <x:v>A1124</x:v>
      </x:c>
      <x:c r="C1130" s="27" t="str">
        <x:v>package</x:v>
      </x:c>
      <x:c r="D1130" s="27" t="str">
        <x:v>Package row 92 approval open</x:v>
      </x:c>
      <x:c r="E1130" s="27" t="n">
        <x:f>IF('Build Packages'!I92="OPEN",1,0)</x:f>
        <x:v>1</x:v>
      </x:c>
      <x:c r="F1130" s="27" t="n">
        <x:v>1</x:v>
      </x:c>
      <x:c r="G1130" s="29" t="str">
        <x:f>IF(E1130=F1130,"PASS","FAIL")</x:f>
        <x:v>PASS</x:v>
      </x:c>
    </x:row>
    <x:row r="1131" ht="18" customHeight="1">
      <x:c r="B1131" s="27" t="str">
        <x:v>A1125</x:v>
      </x:c>
      <x:c r="C1131" s="27" t="str">
        <x:v>package</x:v>
      </x:c>
      <x:c r="D1131" s="27" t="str">
        <x:v>Package row 92 zero credit</x:v>
      </x:c>
      <x:c r="E1131" s="27" t="n">
        <x:f>IF('Build Packages'!J92=0,1,0)</x:f>
        <x:v>1</x:v>
      </x:c>
      <x:c r="F1131" s="27" t="n">
        <x:v>1</x:v>
      </x:c>
      <x:c r="G1131" s="29" t="str">
        <x:f>IF(E1131=F1131,"PASS","FAIL")</x:f>
        <x:v>PASS</x:v>
      </x:c>
    </x:row>
    <x:row r="1132" ht="18" customHeight="1">
      <x:c r="B1132" s="27" t="str">
        <x:v>A1126</x:v>
      </x:c>
      <x:c r="C1132" s="27" t="str">
        <x:v>package</x:v>
      </x:c>
      <x:c r="D1132" s="27" t="str">
        <x:v>Package row 93 required content</x:v>
      </x:c>
      <x:c r="E1132" s="27" t="n">
        <x:f>IF('Build Packages'!F93&lt;&gt;"",1,0)</x:f>
        <x:v>1</x:v>
      </x:c>
      <x:c r="F1132" s="27" t="n">
        <x:v>1</x:v>
      </x:c>
      <x:c r="G1132" s="29" t="str">
        <x:f>IF(E1132=F1132,"PASS","FAIL")</x:f>
        <x:v>PASS</x:v>
      </x:c>
    </x:row>
    <x:row r="1133" ht="18" customHeight="1">
      <x:c r="B1133" s="27" t="str">
        <x:v>A1127</x:v>
      </x:c>
      <x:c r="C1133" s="27" t="str">
        <x:v>package</x:v>
      </x:c>
      <x:c r="D1133" s="27" t="str">
        <x:v>Package row 93 draft state</x:v>
      </x:c>
      <x:c r="E1133" s="27" t="n">
        <x:f>IF('Build Packages'!H93="DRAFT",1,0)</x:f>
        <x:v>1</x:v>
      </x:c>
      <x:c r="F1133" s="27" t="n">
        <x:v>1</x:v>
      </x:c>
      <x:c r="G1133" s="29" t="str">
        <x:f>IF(E1133=F1133,"PASS","FAIL")</x:f>
        <x:v>PASS</x:v>
      </x:c>
    </x:row>
    <x:row r="1134" ht="18" customHeight="1">
      <x:c r="B1134" s="27" t="str">
        <x:v>A1128</x:v>
      </x:c>
      <x:c r="C1134" s="27" t="str">
        <x:v>package</x:v>
      </x:c>
      <x:c r="D1134" s="27" t="str">
        <x:v>Package row 93 approval open</x:v>
      </x:c>
      <x:c r="E1134" s="27" t="n">
        <x:f>IF('Build Packages'!I93="OPEN",1,0)</x:f>
        <x:v>1</x:v>
      </x:c>
      <x:c r="F1134" s="27" t="n">
        <x:v>1</x:v>
      </x:c>
      <x:c r="G1134" s="29" t="str">
        <x:f>IF(E1134=F1134,"PASS","FAIL")</x:f>
        <x:v>PASS</x:v>
      </x:c>
    </x:row>
    <x:row r="1135" ht="18" customHeight="1">
      <x:c r="B1135" s="27" t="str">
        <x:v>A1129</x:v>
      </x:c>
      <x:c r="C1135" s="27" t="str">
        <x:v>package</x:v>
      </x:c>
      <x:c r="D1135" s="27" t="str">
        <x:v>Package row 93 zero credit</x:v>
      </x:c>
      <x:c r="E1135" s="27" t="n">
        <x:f>IF('Build Packages'!J93=0,1,0)</x:f>
        <x:v>1</x:v>
      </x:c>
      <x:c r="F1135" s="27" t="n">
        <x:v>1</x:v>
      </x:c>
      <x:c r="G1135" s="29" t="str">
        <x:f>IF(E1135=F1135,"PASS","FAIL")</x:f>
        <x:v>PASS</x:v>
      </x:c>
    </x:row>
    <x:row r="1136" ht="18" customHeight="1">
      <x:c r="B1136" s="27" t="str">
        <x:v>A1130</x:v>
      </x:c>
      <x:c r="C1136" s="27" t="str">
        <x:v>package</x:v>
      </x:c>
      <x:c r="D1136" s="27" t="str">
        <x:v>Package row 94 required content</x:v>
      </x:c>
      <x:c r="E1136" s="27" t="n">
        <x:f>IF('Build Packages'!F94&lt;&gt;"",1,0)</x:f>
        <x:v>1</x:v>
      </x:c>
      <x:c r="F1136" s="27" t="n">
        <x:v>1</x:v>
      </x:c>
      <x:c r="G1136" s="29" t="str">
        <x:f>IF(E1136=F1136,"PASS","FAIL")</x:f>
        <x:v>PASS</x:v>
      </x:c>
    </x:row>
    <x:row r="1137" ht="18" customHeight="1">
      <x:c r="B1137" s="27" t="str">
        <x:v>A1131</x:v>
      </x:c>
      <x:c r="C1137" s="27" t="str">
        <x:v>package</x:v>
      </x:c>
      <x:c r="D1137" s="27" t="str">
        <x:v>Package row 94 draft state</x:v>
      </x:c>
      <x:c r="E1137" s="27" t="n">
        <x:f>IF('Build Packages'!H94="DRAFT",1,0)</x:f>
        <x:v>1</x:v>
      </x:c>
      <x:c r="F1137" s="27" t="n">
        <x:v>1</x:v>
      </x:c>
      <x:c r="G1137" s="29" t="str">
        <x:f>IF(E1137=F1137,"PASS","FAIL")</x:f>
        <x:v>PASS</x:v>
      </x:c>
    </x:row>
    <x:row r="1138" ht="18" customHeight="1">
      <x:c r="B1138" s="27" t="str">
        <x:v>A1132</x:v>
      </x:c>
      <x:c r="C1138" s="27" t="str">
        <x:v>package</x:v>
      </x:c>
      <x:c r="D1138" s="27" t="str">
        <x:v>Package row 94 approval open</x:v>
      </x:c>
      <x:c r="E1138" s="27" t="n">
        <x:f>IF('Build Packages'!I94="OPEN",1,0)</x:f>
        <x:v>1</x:v>
      </x:c>
      <x:c r="F1138" s="27" t="n">
        <x:v>1</x:v>
      </x:c>
      <x:c r="G1138" s="29" t="str">
        <x:f>IF(E1138=F1138,"PASS","FAIL")</x:f>
        <x:v>PASS</x:v>
      </x:c>
    </x:row>
    <x:row r="1139" ht="18" customHeight="1">
      <x:c r="B1139" s="27" t="str">
        <x:v>A1133</x:v>
      </x:c>
      <x:c r="C1139" s="27" t="str">
        <x:v>package</x:v>
      </x:c>
      <x:c r="D1139" s="27" t="str">
        <x:v>Package row 94 zero credit</x:v>
      </x:c>
      <x:c r="E1139" s="27" t="n">
        <x:f>IF('Build Packages'!J94=0,1,0)</x:f>
        <x:v>1</x:v>
      </x:c>
      <x:c r="F1139" s="27" t="n">
        <x:v>1</x:v>
      </x:c>
      <x:c r="G1139" s="29" t="str">
        <x:f>IF(E1139=F1139,"PASS","FAIL")</x:f>
        <x:v>PASS</x:v>
      </x:c>
    </x:row>
    <x:row r="1140" ht="18" customHeight="1">
      <x:c r="B1140" s="27" t="str">
        <x:v>A1134</x:v>
      </x:c>
      <x:c r="C1140" s="27" t="str">
        <x:v>package</x:v>
      </x:c>
      <x:c r="D1140" s="27" t="str">
        <x:v>Package row 95 required content</x:v>
      </x:c>
      <x:c r="E1140" s="27" t="n">
        <x:f>IF('Build Packages'!F95&lt;&gt;"",1,0)</x:f>
        <x:v>1</x:v>
      </x:c>
      <x:c r="F1140" s="27" t="n">
        <x:v>1</x:v>
      </x:c>
      <x:c r="G1140" s="29" t="str">
        <x:f>IF(E1140=F1140,"PASS","FAIL")</x:f>
        <x:v>PASS</x:v>
      </x:c>
    </x:row>
    <x:row r="1141" ht="18" customHeight="1">
      <x:c r="B1141" s="27" t="str">
        <x:v>A1135</x:v>
      </x:c>
      <x:c r="C1141" s="27" t="str">
        <x:v>package</x:v>
      </x:c>
      <x:c r="D1141" s="27" t="str">
        <x:v>Package row 95 draft state</x:v>
      </x:c>
      <x:c r="E1141" s="27" t="n">
        <x:f>IF('Build Packages'!H95="DRAFT",1,0)</x:f>
        <x:v>1</x:v>
      </x:c>
      <x:c r="F1141" s="27" t="n">
        <x:v>1</x:v>
      </x:c>
      <x:c r="G1141" s="29" t="str">
        <x:f>IF(E1141=F1141,"PASS","FAIL")</x:f>
        <x:v>PASS</x:v>
      </x:c>
    </x:row>
    <x:row r="1142" ht="18" customHeight="1">
      <x:c r="B1142" s="27" t="str">
        <x:v>A1136</x:v>
      </x:c>
      <x:c r="C1142" s="27" t="str">
        <x:v>package</x:v>
      </x:c>
      <x:c r="D1142" s="27" t="str">
        <x:v>Package row 95 approval open</x:v>
      </x:c>
      <x:c r="E1142" s="27" t="n">
        <x:f>IF('Build Packages'!I95="OPEN",1,0)</x:f>
        <x:v>1</x:v>
      </x:c>
      <x:c r="F1142" s="27" t="n">
        <x:v>1</x:v>
      </x:c>
      <x:c r="G1142" s="29" t="str">
        <x:f>IF(E1142=F1142,"PASS","FAIL")</x:f>
        <x:v>PASS</x:v>
      </x:c>
    </x:row>
    <x:row r="1143" ht="18" customHeight="1">
      <x:c r="B1143" s="27" t="str">
        <x:v>A1137</x:v>
      </x:c>
      <x:c r="C1143" s="27" t="str">
        <x:v>package</x:v>
      </x:c>
      <x:c r="D1143" s="27" t="str">
        <x:v>Package row 95 zero credit</x:v>
      </x:c>
      <x:c r="E1143" s="27" t="n">
        <x:f>IF('Build Packages'!J95=0,1,0)</x:f>
        <x:v>1</x:v>
      </x:c>
      <x:c r="F1143" s="27" t="n">
        <x:v>1</x:v>
      </x:c>
      <x:c r="G1143" s="29" t="str">
        <x:f>IF(E1143=F1143,"PASS","FAIL")</x:f>
        <x:v>PASS</x:v>
      </x:c>
    </x:row>
    <x:row r="1144" ht="18" customHeight="1">
      <x:c r="B1144" s="27" t="str">
        <x:v>A1138</x:v>
      </x:c>
      <x:c r="C1144" s="27" t="str">
        <x:v>package</x:v>
      </x:c>
      <x:c r="D1144" s="27" t="str">
        <x:v>Package row 96 required content</x:v>
      </x:c>
      <x:c r="E1144" s="27" t="n">
        <x:f>IF('Build Packages'!F96&lt;&gt;"",1,0)</x:f>
        <x:v>1</x:v>
      </x:c>
      <x:c r="F1144" s="27" t="n">
        <x:v>1</x:v>
      </x:c>
      <x:c r="G1144" s="29" t="str">
        <x:f>IF(E1144=F1144,"PASS","FAIL")</x:f>
        <x:v>PASS</x:v>
      </x:c>
    </x:row>
    <x:row r="1145" ht="18" customHeight="1">
      <x:c r="B1145" s="27" t="str">
        <x:v>A1139</x:v>
      </x:c>
      <x:c r="C1145" s="27" t="str">
        <x:v>package</x:v>
      </x:c>
      <x:c r="D1145" s="27" t="str">
        <x:v>Package row 96 draft state</x:v>
      </x:c>
      <x:c r="E1145" s="27" t="n">
        <x:f>IF('Build Packages'!H96="DRAFT",1,0)</x:f>
        <x:v>1</x:v>
      </x:c>
      <x:c r="F1145" s="27" t="n">
        <x:v>1</x:v>
      </x:c>
      <x:c r="G1145" s="29" t="str">
        <x:f>IF(E1145=F1145,"PASS","FAIL")</x:f>
        <x:v>PASS</x:v>
      </x:c>
    </x:row>
    <x:row r="1146" ht="18" customHeight="1">
      <x:c r="B1146" s="27" t="str">
        <x:v>A1140</x:v>
      </x:c>
      <x:c r="C1146" s="27" t="str">
        <x:v>package</x:v>
      </x:c>
      <x:c r="D1146" s="27" t="str">
        <x:v>Package row 96 approval open</x:v>
      </x:c>
      <x:c r="E1146" s="27" t="n">
        <x:f>IF('Build Packages'!I96="OPEN",1,0)</x:f>
        <x:v>1</x:v>
      </x:c>
      <x:c r="F1146" s="27" t="n">
        <x:v>1</x:v>
      </x:c>
      <x:c r="G1146" s="29" t="str">
        <x:f>IF(E1146=F1146,"PASS","FAIL")</x:f>
        <x:v>PASS</x:v>
      </x:c>
    </x:row>
    <x:row r="1147" ht="18" customHeight="1">
      <x:c r="B1147" s="27" t="str">
        <x:v>A1141</x:v>
      </x:c>
      <x:c r="C1147" s="27" t="str">
        <x:v>package</x:v>
      </x:c>
      <x:c r="D1147" s="27" t="str">
        <x:v>Package row 96 zero credit</x:v>
      </x:c>
      <x:c r="E1147" s="27" t="n">
        <x:f>IF('Build Packages'!J96=0,1,0)</x:f>
        <x:v>1</x:v>
      </x:c>
      <x:c r="F1147" s="27" t="n">
        <x:v>1</x:v>
      </x:c>
      <x:c r="G1147" s="29" t="str">
        <x:f>IF(E1147=F1147,"PASS","FAIL")</x:f>
        <x:v>PASS</x:v>
      </x:c>
    </x:row>
    <x:row r="1148" ht="18" customHeight="1">
      <x:c r="B1148" s="27" t="str">
        <x:v>A1142</x:v>
      </x:c>
      <x:c r="C1148" s="27" t="str">
        <x:v>package</x:v>
      </x:c>
      <x:c r="D1148" s="27" t="str">
        <x:v>Package row 97 required content</x:v>
      </x:c>
      <x:c r="E1148" s="27" t="n">
        <x:f>IF('Build Packages'!F97&lt;&gt;"",1,0)</x:f>
        <x:v>1</x:v>
      </x:c>
      <x:c r="F1148" s="27" t="n">
        <x:v>1</x:v>
      </x:c>
      <x:c r="G1148" s="29" t="str">
        <x:f>IF(E1148=F1148,"PASS","FAIL")</x:f>
        <x:v>PASS</x:v>
      </x:c>
    </x:row>
    <x:row r="1149" ht="18" customHeight="1">
      <x:c r="B1149" s="27" t="str">
        <x:v>A1143</x:v>
      </x:c>
      <x:c r="C1149" s="27" t="str">
        <x:v>package</x:v>
      </x:c>
      <x:c r="D1149" s="27" t="str">
        <x:v>Package row 97 draft state</x:v>
      </x:c>
      <x:c r="E1149" s="27" t="n">
        <x:f>IF('Build Packages'!H97="DRAFT",1,0)</x:f>
        <x:v>1</x:v>
      </x:c>
      <x:c r="F1149" s="27" t="n">
        <x:v>1</x:v>
      </x:c>
      <x:c r="G1149" s="29" t="str">
        <x:f>IF(E1149=F1149,"PASS","FAIL")</x:f>
        <x:v>PASS</x:v>
      </x:c>
    </x:row>
    <x:row r="1150" ht="18" customHeight="1">
      <x:c r="B1150" s="27" t="str">
        <x:v>A1144</x:v>
      </x:c>
      <x:c r="C1150" s="27" t="str">
        <x:v>package</x:v>
      </x:c>
      <x:c r="D1150" s="27" t="str">
        <x:v>Package row 97 approval open</x:v>
      </x:c>
      <x:c r="E1150" s="27" t="n">
        <x:f>IF('Build Packages'!I97="OPEN",1,0)</x:f>
        <x:v>1</x:v>
      </x:c>
      <x:c r="F1150" s="27" t="n">
        <x:v>1</x:v>
      </x:c>
      <x:c r="G1150" s="29" t="str">
        <x:f>IF(E1150=F1150,"PASS","FAIL")</x:f>
        <x:v>PASS</x:v>
      </x:c>
    </x:row>
    <x:row r="1151" ht="18" customHeight="1">
      <x:c r="B1151" s="27" t="str">
        <x:v>A1145</x:v>
      </x:c>
      <x:c r="C1151" s="27" t="str">
        <x:v>package</x:v>
      </x:c>
      <x:c r="D1151" s="27" t="str">
        <x:v>Package row 97 zero credit</x:v>
      </x:c>
      <x:c r="E1151" s="27" t="n">
        <x:f>IF('Build Packages'!J97=0,1,0)</x:f>
        <x:v>1</x:v>
      </x:c>
      <x:c r="F1151" s="27" t="n">
        <x:v>1</x:v>
      </x:c>
      <x:c r="G1151" s="29" t="str">
        <x:f>IF(E1151=F1151,"PASS","FAIL")</x:f>
        <x:v>PASS</x:v>
      </x:c>
    </x:row>
    <x:row r="1152" ht="18" customHeight="1">
      <x:c r="B1152" s="27" t="str">
        <x:v>A1146</x:v>
      </x:c>
      <x:c r="C1152" s="27" t="str">
        <x:v>package</x:v>
      </x:c>
      <x:c r="D1152" s="27" t="str">
        <x:v>Package row 98 required content</x:v>
      </x:c>
      <x:c r="E1152" s="27" t="n">
        <x:f>IF('Build Packages'!F98&lt;&gt;"",1,0)</x:f>
        <x:v>1</x:v>
      </x:c>
      <x:c r="F1152" s="27" t="n">
        <x:v>1</x:v>
      </x:c>
      <x:c r="G1152" s="29" t="str">
        <x:f>IF(E1152=F1152,"PASS","FAIL")</x:f>
        <x:v>PASS</x:v>
      </x:c>
    </x:row>
    <x:row r="1153" ht="18" customHeight="1">
      <x:c r="B1153" s="27" t="str">
        <x:v>A1147</x:v>
      </x:c>
      <x:c r="C1153" s="27" t="str">
        <x:v>package</x:v>
      </x:c>
      <x:c r="D1153" s="27" t="str">
        <x:v>Package row 98 draft state</x:v>
      </x:c>
      <x:c r="E1153" s="27" t="n">
        <x:f>IF('Build Packages'!H98="DRAFT",1,0)</x:f>
        <x:v>1</x:v>
      </x:c>
      <x:c r="F1153" s="27" t="n">
        <x:v>1</x:v>
      </x:c>
      <x:c r="G1153" s="29" t="str">
        <x:f>IF(E1153=F1153,"PASS","FAIL")</x:f>
        <x:v>PASS</x:v>
      </x:c>
    </x:row>
    <x:row r="1154" ht="18" customHeight="1">
      <x:c r="B1154" s="27" t="str">
        <x:v>A1148</x:v>
      </x:c>
      <x:c r="C1154" s="27" t="str">
        <x:v>package</x:v>
      </x:c>
      <x:c r="D1154" s="27" t="str">
        <x:v>Package row 98 approval open</x:v>
      </x:c>
      <x:c r="E1154" s="27" t="n">
        <x:f>IF('Build Packages'!I98="OPEN",1,0)</x:f>
        <x:v>1</x:v>
      </x:c>
      <x:c r="F1154" s="27" t="n">
        <x:v>1</x:v>
      </x:c>
      <x:c r="G1154" s="29" t="str">
        <x:f>IF(E1154=F1154,"PASS","FAIL")</x:f>
        <x:v>PASS</x:v>
      </x:c>
    </x:row>
    <x:row r="1155" ht="18" customHeight="1">
      <x:c r="B1155" s="27" t="str">
        <x:v>A1149</x:v>
      </x:c>
      <x:c r="C1155" s="27" t="str">
        <x:v>package</x:v>
      </x:c>
      <x:c r="D1155" s="27" t="str">
        <x:v>Package row 98 zero credit</x:v>
      </x:c>
      <x:c r="E1155" s="27" t="n">
        <x:f>IF('Build Packages'!J98=0,1,0)</x:f>
        <x:v>1</x:v>
      </x:c>
      <x:c r="F1155" s="27" t="n">
        <x:v>1</x:v>
      </x:c>
      <x:c r="G1155" s="29" t="str">
        <x:f>IF(E1155=F1155,"PASS","FAIL")</x:f>
        <x:v>PASS</x:v>
      </x:c>
    </x:row>
    <x:row r="1156" ht="18" customHeight="1">
      <x:c r="B1156" s="27" t="str">
        <x:v>A1150</x:v>
      </x:c>
      <x:c r="C1156" s="27" t="str">
        <x:v>package</x:v>
      </x:c>
      <x:c r="D1156" s="27" t="str">
        <x:v>Package row 99 required content</x:v>
      </x:c>
      <x:c r="E1156" s="27" t="n">
        <x:f>IF('Build Packages'!F99&lt;&gt;"",1,0)</x:f>
        <x:v>1</x:v>
      </x:c>
      <x:c r="F1156" s="27" t="n">
        <x:v>1</x:v>
      </x:c>
      <x:c r="G1156" s="29" t="str">
        <x:f>IF(E1156=F1156,"PASS","FAIL")</x:f>
        <x:v>PASS</x:v>
      </x:c>
    </x:row>
    <x:row r="1157" ht="18" customHeight="1">
      <x:c r="B1157" s="27" t="str">
        <x:v>A1151</x:v>
      </x:c>
      <x:c r="C1157" s="27" t="str">
        <x:v>package</x:v>
      </x:c>
      <x:c r="D1157" s="27" t="str">
        <x:v>Package row 99 draft state</x:v>
      </x:c>
      <x:c r="E1157" s="27" t="n">
        <x:f>IF('Build Packages'!H99="DRAFT",1,0)</x:f>
        <x:v>1</x:v>
      </x:c>
      <x:c r="F1157" s="27" t="n">
        <x:v>1</x:v>
      </x:c>
      <x:c r="G1157" s="29" t="str">
        <x:f>IF(E1157=F1157,"PASS","FAIL")</x:f>
        <x:v>PASS</x:v>
      </x:c>
    </x:row>
    <x:row r="1158" ht="18" customHeight="1">
      <x:c r="B1158" s="27" t="str">
        <x:v>A1152</x:v>
      </x:c>
      <x:c r="C1158" s="27" t="str">
        <x:v>package</x:v>
      </x:c>
      <x:c r="D1158" s="27" t="str">
        <x:v>Package row 99 approval open</x:v>
      </x:c>
      <x:c r="E1158" s="27" t="n">
        <x:f>IF('Build Packages'!I99="OPEN",1,0)</x:f>
        <x:v>1</x:v>
      </x:c>
      <x:c r="F1158" s="27" t="n">
        <x:v>1</x:v>
      </x:c>
      <x:c r="G1158" s="29" t="str">
        <x:f>IF(E1158=F1158,"PASS","FAIL")</x:f>
        <x:v>PASS</x:v>
      </x:c>
    </x:row>
    <x:row r="1159" ht="18" customHeight="1">
      <x:c r="B1159" s="27" t="str">
        <x:v>A1153</x:v>
      </x:c>
      <x:c r="C1159" s="27" t="str">
        <x:v>package</x:v>
      </x:c>
      <x:c r="D1159" s="27" t="str">
        <x:v>Package row 99 zero credit</x:v>
      </x:c>
      <x:c r="E1159" s="27" t="n">
        <x:f>IF('Build Packages'!J99=0,1,0)</x:f>
        <x:v>1</x:v>
      </x:c>
      <x:c r="F1159" s="27" t="n">
        <x:v>1</x:v>
      </x:c>
      <x:c r="G1159" s="29" t="str">
        <x:f>IF(E1159=F1159,"PASS","FAIL")</x:f>
        <x:v>PASS</x:v>
      </x:c>
    </x:row>
    <x:row r="1160" ht="18" customHeight="1">
      <x:c r="B1160" s="27" t="str">
        <x:v>A1154</x:v>
      </x:c>
      <x:c r="C1160" s="27" t="str">
        <x:v>package</x:v>
      </x:c>
      <x:c r="D1160" s="27" t="str">
        <x:v>Package row 100 required content</x:v>
      </x:c>
      <x:c r="E1160" s="27" t="n">
        <x:f>IF('Build Packages'!F100&lt;&gt;"",1,0)</x:f>
        <x:v>1</x:v>
      </x:c>
      <x:c r="F1160" s="27" t="n">
        <x:v>1</x:v>
      </x:c>
      <x:c r="G1160" s="29" t="str">
        <x:f>IF(E1160=F1160,"PASS","FAIL")</x:f>
        <x:v>PASS</x:v>
      </x:c>
    </x:row>
    <x:row r="1161" ht="18" customHeight="1">
      <x:c r="B1161" s="27" t="str">
        <x:v>A1155</x:v>
      </x:c>
      <x:c r="C1161" s="27" t="str">
        <x:v>package</x:v>
      </x:c>
      <x:c r="D1161" s="27" t="str">
        <x:v>Package row 100 draft state</x:v>
      </x:c>
      <x:c r="E1161" s="27" t="n">
        <x:f>IF('Build Packages'!H100="DRAFT",1,0)</x:f>
        <x:v>1</x:v>
      </x:c>
      <x:c r="F1161" s="27" t="n">
        <x:v>1</x:v>
      </x:c>
      <x:c r="G1161" s="29" t="str">
        <x:f>IF(E1161=F1161,"PASS","FAIL")</x:f>
        <x:v>PASS</x:v>
      </x:c>
    </x:row>
    <x:row r="1162" ht="18" customHeight="1">
      <x:c r="B1162" s="27" t="str">
        <x:v>A1156</x:v>
      </x:c>
      <x:c r="C1162" s="27" t="str">
        <x:v>package</x:v>
      </x:c>
      <x:c r="D1162" s="27" t="str">
        <x:v>Package row 100 approval open</x:v>
      </x:c>
      <x:c r="E1162" s="27" t="n">
        <x:f>IF('Build Packages'!I100="OPEN",1,0)</x:f>
        <x:v>1</x:v>
      </x:c>
      <x:c r="F1162" s="27" t="n">
        <x:v>1</x:v>
      </x:c>
      <x:c r="G1162" s="29" t="str">
        <x:f>IF(E1162=F1162,"PASS","FAIL")</x:f>
        <x:v>PASS</x:v>
      </x:c>
    </x:row>
    <x:row r="1163" ht="18" customHeight="1">
      <x:c r="B1163" s="27" t="str">
        <x:v>A1157</x:v>
      </x:c>
      <x:c r="C1163" s="27" t="str">
        <x:v>package</x:v>
      </x:c>
      <x:c r="D1163" s="27" t="str">
        <x:v>Package row 100 zero credit</x:v>
      </x:c>
      <x:c r="E1163" s="27" t="n">
        <x:f>IF('Build Packages'!J100=0,1,0)</x:f>
        <x:v>1</x:v>
      </x:c>
      <x:c r="F1163" s="27" t="n">
        <x:v>1</x:v>
      </x:c>
      <x:c r="G1163" s="29" t="str">
        <x:f>IF(E1163=F1163,"PASS","FAIL")</x:f>
        <x:v>PASS</x:v>
      </x:c>
    </x:row>
    <x:row r="1164" ht="18" customHeight="1">
      <x:c r="B1164" s="27" t="str">
        <x:v>A1158</x:v>
      </x:c>
      <x:c r="C1164" s="27" t="str">
        <x:v>package</x:v>
      </x:c>
      <x:c r="D1164" s="27" t="str">
        <x:v>Package row 101 required content</x:v>
      </x:c>
      <x:c r="E1164" s="27" t="n">
        <x:f>IF('Build Packages'!F101&lt;&gt;"",1,0)</x:f>
        <x:v>1</x:v>
      </x:c>
      <x:c r="F1164" s="27" t="n">
        <x:v>1</x:v>
      </x:c>
      <x:c r="G1164" s="29" t="str">
        <x:f>IF(E1164=F1164,"PASS","FAIL")</x:f>
        <x:v>PASS</x:v>
      </x:c>
    </x:row>
    <x:row r="1165" ht="18" customHeight="1">
      <x:c r="B1165" s="27" t="str">
        <x:v>A1159</x:v>
      </x:c>
      <x:c r="C1165" s="27" t="str">
        <x:v>package</x:v>
      </x:c>
      <x:c r="D1165" s="27" t="str">
        <x:v>Package row 101 draft state</x:v>
      </x:c>
      <x:c r="E1165" s="27" t="n">
        <x:f>IF('Build Packages'!H101="DRAFT",1,0)</x:f>
        <x:v>1</x:v>
      </x:c>
      <x:c r="F1165" s="27" t="n">
        <x:v>1</x:v>
      </x:c>
      <x:c r="G1165" s="29" t="str">
        <x:f>IF(E1165=F1165,"PASS","FAIL")</x:f>
        <x:v>PASS</x:v>
      </x:c>
    </x:row>
    <x:row r="1166" ht="18" customHeight="1">
      <x:c r="B1166" s="27" t="str">
        <x:v>A1160</x:v>
      </x:c>
      <x:c r="C1166" s="27" t="str">
        <x:v>package</x:v>
      </x:c>
      <x:c r="D1166" s="27" t="str">
        <x:v>Package row 101 approval open</x:v>
      </x:c>
      <x:c r="E1166" s="27" t="n">
        <x:f>IF('Build Packages'!I101="OPEN",1,0)</x:f>
        <x:v>1</x:v>
      </x:c>
      <x:c r="F1166" s="27" t="n">
        <x:v>1</x:v>
      </x:c>
      <x:c r="G1166" s="29" t="str">
        <x:f>IF(E1166=F1166,"PASS","FAIL")</x:f>
        <x:v>PASS</x:v>
      </x:c>
    </x:row>
    <x:row r="1167" ht="18" customHeight="1">
      <x:c r="B1167" s="27" t="str">
        <x:v>A1161</x:v>
      </x:c>
      <x:c r="C1167" s="27" t="str">
        <x:v>package</x:v>
      </x:c>
      <x:c r="D1167" s="27" t="str">
        <x:v>Package row 101 zero credit</x:v>
      </x:c>
      <x:c r="E1167" s="27" t="n">
        <x:f>IF('Build Packages'!J101=0,1,0)</x:f>
        <x:v>1</x:v>
      </x:c>
      <x:c r="F1167" s="27" t="n">
        <x:v>1</x:v>
      </x:c>
      <x:c r="G1167" s="29" t="str">
        <x:f>IF(E1167=F1167,"PASS","FAIL")</x:f>
        <x:v>PASS</x:v>
      </x:c>
    </x:row>
    <x:row r="1168" ht="18" customHeight="1">
      <x:c r="B1168" s="27" t="str">
        <x:v>A1162</x:v>
      </x:c>
      <x:c r="C1168" s="27" t="str">
        <x:v>package</x:v>
      </x:c>
      <x:c r="D1168" s="27" t="str">
        <x:v>Package row 102 required content</x:v>
      </x:c>
      <x:c r="E1168" s="27" t="n">
        <x:f>IF('Build Packages'!F102&lt;&gt;"",1,0)</x:f>
        <x:v>1</x:v>
      </x:c>
      <x:c r="F1168" s="27" t="n">
        <x:v>1</x:v>
      </x:c>
      <x:c r="G1168" s="29" t="str">
        <x:f>IF(E1168=F1168,"PASS","FAIL")</x:f>
        <x:v>PASS</x:v>
      </x:c>
    </x:row>
    <x:row r="1169" ht="18" customHeight="1">
      <x:c r="B1169" s="27" t="str">
        <x:v>A1163</x:v>
      </x:c>
      <x:c r="C1169" s="27" t="str">
        <x:v>package</x:v>
      </x:c>
      <x:c r="D1169" s="27" t="str">
        <x:v>Package row 102 draft state</x:v>
      </x:c>
      <x:c r="E1169" s="27" t="n">
        <x:f>IF('Build Packages'!H102="DRAFT",1,0)</x:f>
        <x:v>1</x:v>
      </x:c>
      <x:c r="F1169" s="27" t="n">
        <x:v>1</x:v>
      </x:c>
      <x:c r="G1169" s="29" t="str">
        <x:f>IF(E1169=F1169,"PASS","FAIL")</x:f>
        <x:v>PASS</x:v>
      </x:c>
    </x:row>
    <x:row r="1170" ht="18" customHeight="1">
      <x:c r="B1170" s="27" t="str">
        <x:v>A1164</x:v>
      </x:c>
      <x:c r="C1170" s="27" t="str">
        <x:v>package</x:v>
      </x:c>
      <x:c r="D1170" s="27" t="str">
        <x:v>Package row 102 approval open</x:v>
      </x:c>
      <x:c r="E1170" s="27" t="n">
        <x:f>IF('Build Packages'!I102="OPEN",1,0)</x:f>
        <x:v>1</x:v>
      </x:c>
      <x:c r="F1170" s="27" t="n">
        <x:v>1</x:v>
      </x:c>
      <x:c r="G1170" s="29" t="str">
        <x:f>IF(E1170=F1170,"PASS","FAIL")</x:f>
        <x:v>PASS</x:v>
      </x:c>
    </x:row>
    <x:row r="1171" ht="18" customHeight="1">
      <x:c r="B1171" s="27" t="str">
        <x:v>A1165</x:v>
      </x:c>
      <x:c r="C1171" s="27" t="str">
        <x:v>package</x:v>
      </x:c>
      <x:c r="D1171" s="27" t="str">
        <x:v>Package row 102 zero credit</x:v>
      </x:c>
      <x:c r="E1171" s="27" t="n">
        <x:f>IF('Build Packages'!J102=0,1,0)</x:f>
        <x:v>1</x:v>
      </x:c>
      <x:c r="F1171" s="27" t="n">
        <x:v>1</x:v>
      </x:c>
      <x:c r="G1171" s="29" t="str">
        <x:f>IF(E1171=F1171,"PASS","FAIL")</x:f>
        <x:v>PASS</x:v>
      </x:c>
    </x:row>
    <x:row r="1172" ht="18" customHeight="1">
      <x:c r="B1172" s="27" t="str">
        <x:v>A1166</x:v>
      </x:c>
      <x:c r="C1172" s="27" t="str">
        <x:v>package</x:v>
      </x:c>
      <x:c r="D1172" s="27" t="str">
        <x:v>Package row 103 required content</x:v>
      </x:c>
      <x:c r="E1172" s="27" t="n">
        <x:f>IF('Build Packages'!F103&lt;&gt;"",1,0)</x:f>
        <x:v>1</x:v>
      </x:c>
      <x:c r="F1172" s="27" t="n">
        <x:v>1</x:v>
      </x:c>
      <x:c r="G1172" s="29" t="str">
        <x:f>IF(E1172=F1172,"PASS","FAIL")</x:f>
        <x:v>PASS</x:v>
      </x:c>
    </x:row>
    <x:row r="1173" ht="18" customHeight="1">
      <x:c r="B1173" s="27" t="str">
        <x:v>A1167</x:v>
      </x:c>
      <x:c r="C1173" s="27" t="str">
        <x:v>package</x:v>
      </x:c>
      <x:c r="D1173" s="27" t="str">
        <x:v>Package row 103 draft state</x:v>
      </x:c>
      <x:c r="E1173" s="27" t="n">
        <x:f>IF('Build Packages'!H103="DRAFT",1,0)</x:f>
        <x:v>1</x:v>
      </x:c>
      <x:c r="F1173" s="27" t="n">
        <x:v>1</x:v>
      </x:c>
      <x:c r="G1173" s="29" t="str">
        <x:f>IF(E1173=F1173,"PASS","FAIL")</x:f>
        <x:v>PASS</x:v>
      </x:c>
    </x:row>
    <x:row r="1174" ht="18" customHeight="1">
      <x:c r="B1174" s="27" t="str">
        <x:v>A1168</x:v>
      </x:c>
      <x:c r="C1174" s="27" t="str">
        <x:v>package</x:v>
      </x:c>
      <x:c r="D1174" s="27" t="str">
        <x:v>Package row 103 approval open</x:v>
      </x:c>
      <x:c r="E1174" s="27" t="n">
        <x:f>IF('Build Packages'!I103="OPEN",1,0)</x:f>
        <x:v>1</x:v>
      </x:c>
      <x:c r="F1174" s="27" t="n">
        <x:v>1</x:v>
      </x:c>
      <x:c r="G1174" s="29" t="str">
        <x:f>IF(E1174=F1174,"PASS","FAIL")</x:f>
        <x:v>PASS</x:v>
      </x:c>
    </x:row>
    <x:row r="1175" ht="18" customHeight="1">
      <x:c r="B1175" s="27" t="str">
        <x:v>A1169</x:v>
      </x:c>
      <x:c r="C1175" s="27" t="str">
        <x:v>package</x:v>
      </x:c>
      <x:c r="D1175" s="27" t="str">
        <x:v>Package row 103 zero credit</x:v>
      </x:c>
      <x:c r="E1175" s="27" t="n">
        <x:f>IF('Build Packages'!J103=0,1,0)</x:f>
        <x:v>1</x:v>
      </x:c>
      <x:c r="F1175" s="27" t="n">
        <x:v>1</x:v>
      </x:c>
      <x:c r="G1175" s="29" t="str">
        <x:f>IF(E1175=F1175,"PASS","FAIL")</x:f>
        <x:v>PASS</x:v>
      </x:c>
    </x:row>
    <x:row r="1176" ht="18" customHeight="1">
      <x:c r="B1176" s="27" t="str">
        <x:v>A1170</x:v>
      </x:c>
      <x:c r="C1176" s="27" t="str">
        <x:v>package</x:v>
      </x:c>
      <x:c r="D1176" s="27" t="str">
        <x:v>Package row 104 required content</x:v>
      </x:c>
      <x:c r="E1176" s="27" t="n">
        <x:f>IF('Build Packages'!F104&lt;&gt;"",1,0)</x:f>
        <x:v>1</x:v>
      </x:c>
      <x:c r="F1176" s="27" t="n">
        <x:v>1</x:v>
      </x:c>
      <x:c r="G1176" s="29" t="str">
        <x:f>IF(E1176=F1176,"PASS","FAIL")</x:f>
        <x:v>PASS</x:v>
      </x:c>
    </x:row>
    <x:row r="1177" ht="18" customHeight="1">
      <x:c r="B1177" s="27" t="str">
        <x:v>A1171</x:v>
      </x:c>
      <x:c r="C1177" s="27" t="str">
        <x:v>package</x:v>
      </x:c>
      <x:c r="D1177" s="27" t="str">
        <x:v>Package row 104 draft state</x:v>
      </x:c>
      <x:c r="E1177" s="27" t="n">
        <x:f>IF('Build Packages'!H104="DRAFT",1,0)</x:f>
        <x:v>1</x:v>
      </x:c>
      <x:c r="F1177" s="27" t="n">
        <x:v>1</x:v>
      </x:c>
      <x:c r="G1177" s="29" t="str">
        <x:f>IF(E1177=F1177,"PASS","FAIL")</x:f>
        <x:v>PASS</x:v>
      </x:c>
    </x:row>
    <x:row r="1178" ht="18" customHeight="1">
      <x:c r="B1178" s="27" t="str">
        <x:v>A1172</x:v>
      </x:c>
      <x:c r="C1178" s="27" t="str">
        <x:v>package</x:v>
      </x:c>
      <x:c r="D1178" s="27" t="str">
        <x:v>Package row 104 approval open</x:v>
      </x:c>
      <x:c r="E1178" s="27" t="n">
        <x:f>IF('Build Packages'!I104="OPEN",1,0)</x:f>
        <x:v>1</x:v>
      </x:c>
      <x:c r="F1178" s="27" t="n">
        <x:v>1</x:v>
      </x:c>
      <x:c r="G1178" s="29" t="str">
        <x:f>IF(E1178=F1178,"PASS","FAIL")</x:f>
        <x:v>PASS</x:v>
      </x:c>
    </x:row>
    <x:row r="1179" ht="18" customHeight="1">
      <x:c r="B1179" s="27" t="str">
        <x:v>A1173</x:v>
      </x:c>
      <x:c r="C1179" s="27" t="str">
        <x:v>package</x:v>
      </x:c>
      <x:c r="D1179" s="27" t="str">
        <x:v>Package row 104 zero credit</x:v>
      </x:c>
      <x:c r="E1179" s="27" t="n">
        <x:f>IF('Build Packages'!J104=0,1,0)</x:f>
        <x:v>1</x:v>
      </x:c>
      <x:c r="F1179" s="27" t="n">
        <x:v>1</x:v>
      </x:c>
      <x:c r="G1179" s="29" t="str">
        <x:f>IF(E1179=F1179,"PASS","FAIL")</x:f>
        <x:v>PASS</x:v>
      </x:c>
    </x:row>
    <x:row r="1180" ht="18" customHeight="1">
      <x:c r="B1180" s="27" t="str">
        <x:v>A1174</x:v>
      </x:c>
      <x:c r="C1180" s="27" t="str">
        <x:v>package</x:v>
      </x:c>
      <x:c r="D1180" s="27" t="str">
        <x:v>Package row 105 required content</x:v>
      </x:c>
      <x:c r="E1180" s="27" t="n">
        <x:f>IF('Build Packages'!F105&lt;&gt;"",1,0)</x:f>
        <x:v>1</x:v>
      </x:c>
      <x:c r="F1180" s="27" t="n">
        <x:v>1</x:v>
      </x:c>
      <x:c r="G1180" s="29" t="str">
        <x:f>IF(E1180=F1180,"PASS","FAIL")</x:f>
        <x:v>PASS</x:v>
      </x:c>
    </x:row>
    <x:row r="1181" ht="18" customHeight="1">
      <x:c r="B1181" s="27" t="str">
        <x:v>A1175</x:v>
      </x:c>
      <x:c r="C1181" s="27" t="str">
        <x:v>package</x:v>
      </x:c>
      <x:c r="D1181" s="27" t="str">
        <x:v>Package row 105 draft state</x:v>
      </x:c>
      <x:c r="E1181" s="27" t="n">
        <x:f>IF('Build Packages'!H105="DRAFT",1,0)</x:f>
        <x:v>1</x:v>
      </x:c>
      <x:c r="F1181" s="27" t="n">
        <x:v>1</x:v>
      </x:c>
      <x:c r="G1181" s="29" t="str">
        <x:f>IF(E1181=F1181,"PASS","FAIL")</x:f>
        <x:v>PASS</x:v>
      </x:c>
    </x:row>
    <x:row r="1182" ht="18" customHeight="1">
      <x:c r="B1182" s="27" t="str">
        <x:v>A1176</x:v>
      </x:c>
      <x:c r="C1182" s="27" t="str">
        <x:v>package</x:v>
      </x:c>
      <x:c r="D1182" s="27" t="str">
        <x:v>Package row 105 approval open</x:v>
      </x:c>
      <x:c r="E1182" s="27" t="n">
        <x:f>IF('Build Packages'!I105="OPEN",1,0)</x:f>
        <x:v>1</x:v>
      </x:c>
      <x:c r="F1182" s="27" t="n">
        <x:v>1</x:v>
      </x:c>
      <x:c r="G1182" s="29" t="str">
        <x:f>IF(E1182=F1182,"PASS","FAIL")</x:f>
        <x:v>PASS</x:v>
      </x:c>
    </x:row>
    <x:row r="1183" ht="18" customHeight="1">
      <x:c r="B1183" s="27" t="str">
        <x:v>A1177</x:v>
      </x:c>
      <x:c r="C1183" s="27" t="str">
        <x:v>package</x:v>
      </x:c>
      <x:c r="D1183" s="27" t="str">
        <x:v>Package row 105 zero credit</x:v>
      </x:c>
      <x:c r="E1183" s="27" t="n">
        <x:f>IF('Build Packages'!J105=0,1,0)</x:f>
        <x:v>1</x:v>
      </x:c>
      <x:c r="F1183" s="27" t="n">
        <x:v>1</x:v>
      </x:c>
      <x:c r="G1183" s="29" t="str">
        <x:f>IF(E1183=F1183,"PASS","FAIL")</x:f>
        <x:v>PASS</x:v>
      </x:c>
    </x:row>
    <x:row r="1184" ht="18" customHeight="1">
      <x:c r="B1184" s="27" t="str">
        <x:v>A1178</x:v>
      </x:c>
      <x:c r="C1184" s="27" t="str">
        <x:v>package</x:v>
      </x:c>
      <x:c r="D1184" s="27" t="str">
        <x:v>Package row 106 required content</x:v>
      </x:c>
      <x:c r="E1184" s="27" t="n">
        <x:f>IF('Build Packages'!F106&lt;&gt;"",1,0)</x:f>
        <x:v>1</x:v>
      </x:c>
      <x:c r="F1184" s="27" t="n">
        <x:v>1</x:v>
      </x:c>
      <x:c r="G1184" s="29" t="str">
        <x:f>IF(E1184=F1184,"PASS","FAIL")</x:f>
        <x:v>PASS</x:v>
      </x:c>
    </x:row>
    <x:row r="1185" ht="18" customHeight="1">
      <x:c r="B1185" s="27" t="str">
        <x:v>A1179</x:v>
      </x:c>
      <x:c r="C1185" s="27" t="str">
        <x:v>package</x:v>
      </x:c>
      <x:c r="D1185" s="27" t="str">
        <x:v>Package row 106 draft state</x:v>
      </x:c>
      <x:c r="E1185" s="27" t="n">
        <x:f>IF('Build Packages'!H106="DRAFT",1,0)</x:f>
        <x:v>1</x:v>
      </x:c>
      <x:c r="F1185" s="27" t="n">
        <x:v>1</x:v>
      </x:c>
      <x:c r="G1185" s="29" t="str">
        <x:f>IF(E1185=F1185,"PASS","FAIL")</x:f>
        <x:v>PASS</x:v>
      </x:c>
    </x:row>
    <x:row r="1186" ht="18" customHeight="1">
      <x:c r="B1186" s="27" t="str">
        <x:v>A1180</x:v>
      </x:c>
      <x:c r="C1186" s="27" t="str">
        <x:v>package</x:v>
      </x:c>
      <x:c r="D1186" s="27" t="str">
        <x:v>Package row 106 approval open</x:v>
      </x:c>
      <x:c r="E1186" s="27" t="n">
        <x:f>IF('Build Packages'!I106="OPEN",1,0)</x:f>
        <x:v>1</x:v>
      </x:c>
      <x:c r="F1186" s="27" t="n">
        <x:v>1</x:v>
      </x:c>
      <x:c r="G1186" s="29" t="str">
        <x:f>IF(E1186=F1186,"PASS","FAIL")</x:f>
        <x:v>PASS</x:v>
      </x:c>
    </x:row>
    <x:row r="1187" ht="18" customHeight="1">
      <x:c r="B1187" s="27" t="str">
        <x:v>A1181</x:v>
      </x:c>
      <x:c r="C1187" s="27" t="str">
        <x:v>package</x:v>
      </x:c>
      <x:c r="D1187" s="27" t="str">
        <x:v>Package row 106 zero credit</x:v>
      </x:c>
      <x:c r="E1187" s="27" t="n">
        <x:f>IF('Build Packages'!J106=0,1,0)</x:f>
        <x:v>1</x:v>
      </x:c>
      <x:c r="F1187" s="27" t="n">
        <x:v>1</x:v>
      </x:c>
      <x:c r="G1187" s="29" t="str">
        <x:f>IF(E1187=F1187,"PASS","FAIL")</x:f>
        <x:v>PASS</x:v>
      </x:c>
    </x:row>
    <x:row r="1188" ht="18" customHeight="1">
      <x:c r="B1188" s="27" t="str">
        <x:v>A1182</x:v>
      </x:c>
      <x:c r="C1188" s="27" t="str">
        <x:v>package</x:v>
      </x:c>
      <x:c r="D1188" s="27" t="str">
        <x:v>Package row 107 required content</x:v>
      </x:c>
      <x:c r="E1188" s="27" t="n">
        <x:f>IF('Build Packages'!F107&lt;&gt;"",1,0)</x:f>
        <x:v>1</x:v>
      </x:c>
      <x:c r="F1188" s="27" t="n">
        <x:v>1</x:v>
      </x:c>
      <x:c r="G1188" s="29" t="str">
        <x:f>IF(E1188=F1188,"PASS","FAIL")</x:f>
        <x:v>PASS</x:v>
      </x:c>
    </x:row>
    <x:row r="1189" ht="18" customHeight="1">
      <x:c r="B1189" s="27" t="str">
        <x:v>A1183</x:v>
      </x:c>
      <x:c r="C1189" s="27" t="str">
        <x:v>package</x:v>
      </x:c>
      <x:c r="D1189" s="27" t="str">
        <x:v>Package row 107 draft state</x:v>
      </x:c>
      <x:c r="E1189" s="27" t="n">
        <x:f>IF('Build Packages'!H107="DRAFT",1,0)</x:f>
        <x:v>1</x:v>
      </x:c>
      <x:c r="F1189" s="27" t="n">
        <x:v>1</x:v>
      </x:c>
      <x:c r="G1189" s="29" t="str">
        <x:f>IF(E1189=F1189,"PASS","FAIL")</x:f>
        <x:v>PASS</x:v>
      </x:c>
    </x:row>
    <x:row r="1190" ht="18" customHeight="1">
      <x:c r="B1190" s="27" t="str">
        <x:v>A1184</x:v>
      </x:c>
      <x:c r="C1190" s="27" t="str">
        <x:v>package</x:v>
      </x:c>
      <x:c r="D1190" s="27" t="str">
        <x:v>Package row 107 approval open</x:v>
      </x:c>
      <x:c r="E1190" s="27" t="n">
        <x:f>IF('Build Packages'!I107="OPEN",1,0)</x:f>
        <x:v>1</x:v>
      </x:c>
      <x:c r="F1190" s="27" t="n">
        <x:v>1</x:v>
      </x:c>
      <x:c r="G1190" s="29" t="str">
        <x:f>IF(E1190=F1190,"PASS","FAIL")</x:f>
        <x:v>PASS</x:v>
      </x:c>
    </x:row>
    <x:row r="1191" ht="18" customHeight="1">
      <x:c r="B1191" s="27" t="str">
        <x:v>A1185</x:v>
      </x:c>
      <x:c r="C1191" s="27" t="str">
        <x:v>package</x:v>
      </x:c>
      <x:c r="D1191" s="27" t="str">
        <x:v>Package row 107 zero credit</x:v>
      </x:c>
      <x:c r="E1191" s="27" t="n">
        <x:f>IF('Build Packages'!J107=0,1,0)</x:f>
        <x:v>1</x:v>
      </x:c>
      <x:c r="F1191" s="27" t="n">
        <x:v>1</x:v>
      </x:c>
      <x:c r="G1191" s="29" t="str">
        <x:f>IF(E1191=F1191,"PASS","FAIL")</x:f>
        <x:v>PASS</x:v>
      </x:c>
    </x:row>
    <x:row r="1192" ht="18" customHeight="1">
      <x:c r="B1192" s="27" t="str">
        <x:v>A1186</x:v>
      </x:c>
      <x:c r="C1192" s="27" t="str">
        <x:v>package</x:v>
      </x:c>
      <x:c r="D1192" s="27" t="str">
        <x:v>Package row 108 required content</x:v>
      </x:c>
      <x:c r="E1192" s="27" t="n">
        <x:f>IF('Build Packages'!F108&lt;&gt;"",1,0)</x:f>
        <x:v>1</x:v>
      </x:c>
      <x:c r="F1192" s="27" t="n">
        <x:v>1</x:v>
      </x:c>
      <x:c r="G1192" s="29" t="str">
        <x:f>IF(E1192=F1192,"PASS","FAIL")</x:f>
        <x:v>PASS</x:v>
      </x:c>
    </x:row>
    <x:row r="1193" ht="18" customHeight="1">
      <x:c r="B1193" s="27" t="str">
        <x:v>A1187</x:v>
      </x:c>
      <x:c r="C1193" s="27" t="str">
        <x:v>package</x:v>
      </x:c>
      <x:c r="D1193" s="27" t="str">
        <x:v>Package row 108 draft state</x:v>
      </x:c>
      <x:c r="E1193" s="27" t="n">
        <x:f>IF('Build Packages'!H108="DRAFT",1,0)</x:f>
        <x:v>1</x:v>
      </x:c>
      <x:c r="F1193" s="27" t="n">
        <x:v>1</x:v>
      </x:c>
      <x:c r="G1193" s="29" t="str">
        <x:f>IF(E1193=F1193,"PASS","FAIL")</x:f>
        <x:v>PASS</x:v>
      </x:c>
    </x:row>
    <x:row r="1194" ht="18" customHeight="1">
      <x:c r="B1194" s="27" t="str">
        <x:v>A1188</x:v>
      </x:c>
      <x:c r="C1194" s="27" t="str">
        <x:v>package</x:v>
      </x:c>
      <x:c r="D1194" s="27" t="str">
        <x:v>Package row 108 approval open</x:v>
      </x:c>
      <x:c r="E1194" s="27" t="n">
        <x:f>IF('Build Packages'!I108="OPEN",1,0)</x:f>
        <x:v>1</x:v>
      </x:c>
      <x:c r="F1194" s="27" t="n">
        <x:v>1</x:v>
      </x:c>
      <x:c r="G1194" s="29" t="str">
        <x:f>IF(E1194=F1194,"PASS","FAIL")</x:f>
        <x:v>PASS</x:v>
      </x:c>
    </x:row>
    <x:row r="1195" ht="18" customHeight="1">
      <x:c r="B1195" s="27" t="str">
        <x:v>A1189</x:v>
      </x:c>
      <x:c r="C1195" s="27" t="str">
        <x:v>package</x:v>
      </x:c>
      <x:c r="D1195" s="27" t="str">
        <x:v>Package row 108 zero credit</x:v>
      </x:c>
      <x:c r="E1195" s="27" t="n">
        <x:f>IF('Build Packages'!J108=0,1,0)</x:f>
        <x:v>1</x:v>
      </x:c>
      <x:c r="F1195" s="27" t="n">
        <x:v>1</x:v>
      </x:c>
      <x:c r="G1195" s="29" t="str">
        <x:f>IF(E1195=F1195,"PASS","FAIL")</x:f>
        <x:v>PASS</x:v>
      </x:c>
    </x:row>
    <x:row r="1196" ht="18" customHeight="1">
      <x:c r="B1196" s="27" t="str">
        <x:v>A1190</x:v>
      </x:c>
      <x:c r="C1196" s="27" t="str">
        <x:v>package</x:v>
      </x:c>
      <x:c r="D1196" s="27" t="str">
        <x:v>Package row 109 required content</x:v>
      </x:c>
      <x:c r="E1196" s="27" t="n">
        <x:f>IF('Build Packages'!F109&lt;&gt;"",1,0)</x:f>
        <x:v>1</x:v>
      </x:c>
      <x:c r="F1196" s="27" t="n">
        <x:v>1</x:v>
      </x:c>
      <x:c r="G1196" s="29" t="str">
        <x:f>IF(E1196=F1196,"PASS","FAIL")</x:f>
        <x:v>PASS</x:v>
      </x:c>
    </x:row>
    <x:row r="1197" ht="18" customHeight="1">
      <x:c r="B1197" s="27" t="str">
        <x:v>A1191</x:v>
      </x:c>
      <x:c r="C1197" s="27" t="str">
        <x:v>package</x:v>
      </x:c>
      <x:c r="D1197" s="27" t="str">
        <x:v>Package row 109 draft state</x:v>
      </x:c>
      <x:c r="E1197" s="27" t="n">
        <x:f>IF('Build Packages'!H109="DRAFT",1,0)</x:f>
        <x:v>1</x:v>
      </x:c>
      <x:c r="F1197" s="27" t="n">
        <x:v>1</x:v>
      </x:c>
      <x:c r="G1197" s="29" t="str">
        <x:f>IF(E1197=F1197,"PASS","FAIL")</x:f>
        <x:v>PASS</x:v>
      </x:c>
    </x:row>
    <x:row r="1198" ht="18" customHeight="1">
      <x:c r="B1198" s="27" t="str">
        <x:v>A1192</x:v>
      </x:c>
      <x:c r="C1198" s="27" t="str">
        <x:v>package</x:v>
      </x:c>
      <x:c r="D1198" s="27" t="str">
        <x:v>Package row 109 approval open</x:v>
      </x:c>
      <x:c r="E1198" s="27" t="n">
        <x:f>IF('Build Packages'!I109="OPEN",1,0)</x:f>
        <x:v>1</x:v>
      </x:c>
      <x:c r="F1198" s="27" t="n">
        <x:v>1</x:v>
      </x:c>
      <x:c r="G1198" s="29" t="str">
        <x:f>IF(E1198=F1198,"PASS","FAIL")</x:f>
        <x:v>PASS</x:v>
      </x:c>
    </x:row>
    <x:row r="1199" ht="18" customHeight="1">
      <x:c r="B1199" s="27" t="str">
        <x:v>A1193</x:v>
      </x:c>
      <x:c r="C1199" s="27" t="str">
        <x:v>package</x:v>
      </x:c>
      <x:c r="D1199" s="27" t="str">
        <x:v>Package row 109 zero credit</x:v>
      </x:c>
      <x:c r="E1199" s="27" t="n">
        <x:f>IF('Build Packages'!J109=0,1,0)</x:f>
        <x:v>1</x:v>
      </x:c>
      <x:c r="F1199" s="27" t="n">
        <x:v>1</x:v>
      </x:c>
      <x:c r="G1199" s="29" t="str">
        <x:f>IF(E1199=F1199,"PASS","FAIL")</x:f>
        <x:v>PASS</x:v>
      </x:c>
    </x:row>
    <x:row r="1200" ht="18" customHeight="1">
      <x:c r="B1200" s="27" t="str">
        <x:v>A1194</x:v>
      </x:c>
      <x:c r="C1200" s="27" t="str">
        <x:v>package</x:v>
      </x:c>
      <x:c r="D1200" s="27" t="str">
        <x:v>Package row 110 required content</x:v>
      </x:c>
      <x:c r="E1200" s="27" t="n">
        <x:f>IF('Build Packages'!F110&lt;&gt;"",1,0)</x:f>
        <x:v>1</x:v>
      </x:c>
      <x:c r="F1200" s="27" t="n">
        <x:v>1</x:v>
      </x:c>
      <x:c r="G1200" s="29" t="str">
        <x:f>IF(E1200=F1200,"PASS","FAIL")</x:f>
        <x:v>PASS</x:v>
      </x:c>
    </x:row>
    <x:row r="1201" ht="18" customHeight="1">
      <x:c r="B1201" s="27" t="str">
        <x:v>A1195</x:v>
      </x:c>
      <x:c r="C1201" s="27" t="str">
        <x:v>package</x:v>
      </x:c>
      <x:c r="D1201" s="27" t="str">
        <x:v>Package row 110 draft state</x:v>
      </x:c>
      <x:c r="E1201" s="27" t="n">
        <x:f>IF('Build Packages'!H110="DRAFT",1,0)</x:f>
        <x:v>1</x:v>
      </x:c>
      <x:c r="F1201" s="27" t="n">
        <x:v>1</x:v>
      </x:c>
      <x:c r="G1201" s="29" t="str">
        <x:f>IF(E1201=F1201,"PASS","FAIL")</x:f>
        <x:v>PASS</x:v>
      </x:c>
    </x:row>
    <x:row r="1202" ht="18" customHeight="1">
      <x:c r="B1202" s="27" t="str">
        <x:v>A1196</x:v>
      </x:c>
      <x:c r="C1202" s="27" t="str">
        <x:v>package</x:v>
      </x:c>
      <x:c r="D1202" s="27" t="str">
        <x:v>Package row 110 approval open</x:v>
      </x:c>
      <x:c r="E1202" s="27" t="n">
        <x:f>IF('Build Packages'!I110="OPEN",1,0)</x:f>
        <x:v>1</x:v>
      </x:c>
      <x:c r="F1202" s="27" t="n">
        <x:v>1</x:v>
      </x:c>
      <x:c r="G1202" s="29" t="str">
        <x:f>IF(E1202=F1202,"PASS","FAIL")</x:f>
        <x:v>PASS</x:v>
      </x:c>
    </x:row>
    <x:row r="1203" ht="18" customHeight="1">
      <x:c r="B1203" s="27" t="str">
        <x:v>A1197</x:v>
      </x:c>
      <x:c r="C1203" s="27" t="str">
        <x:v>package</x:v>
      </x:c>
      <x:c r="D1203" s="27" t="str">
        <x:v>Package row 110 zero credit</x:v>
      </x:c>
      <x:c r="E1203" s="27" t="n">
        <x:f>IF('Build Packages'!J110=0,1,0)</x:f>
        <x:v>1</x:v>
      </x:c>
      <x:c r="F1203" s="27" t="n">
        <x:v>1</x:v>
      </x:c>
      <x:c r="G1203" s="29" t="str">
        <x:f>IF(E1203=F1203,"PASS","FAIL")</x:f>
        <x:v>PASS</x:v>
      </x:c>
    </x:row>
    <x:row r="1204" ht="18" customHeight="1">
      <x:c r="B1204" s="27" t="str">
        <x:v>A1198</x:v>
      </x:c>
      <x:c r="C1204" s="27" t="str">
        <x:v>package</x:v>
      </x:c>
      <x:c r="D1204" s="27" t="str">
        <x:v>Package row 111 required content</x:v>
      </x:c>
      <x:c r="E1204" s="27" t="n">
        <x:f>IF('Build Packages'!F111&lt;&gt;"",1,0)</x:f>
        <x:v>1</x:v>
      </x:c>
      <x:c r="F1204" s="27" t="n">
        <x:v>1</x:v>
      </x:c>
      <x:c r="G1204" s="29" t="str">
        <x:f>IF(E1204=F1204,"PASS","FAIL")</x:f>
        <x:v>PASS</x:v>
      </x:c>
    </x:row>
    <x:row r="1205" ht="18" customHeight="1">
      <x:c r="B1205" s="27" t="str">
        <x:v>A1199</x:v>
      </x:c>
      <x:c r="C1205" s="27" t="str">
        <x:v>package</x:v>
      </x:c>
      <x:c r="D1205" s="27" t="str">
        <x:v>Package row 111 draft state</x:v>
      </x:c>
      <x:c r="E1205" s="27" t="n">
        <x:f>IF('Build Packages'!H111="DRAFT",1,0)</x:f>
        <x:v>1</x:v>
      </x:c>
      <x:c r="F1205" s="27" t="n">
        <x:v>1</x:v>
      </x:c>
      <x:c r="G1205" s="29" t="str">
        <x:f>IF(E1205=F1205,"PASS","FAIL")</x:f>
        <x:v>PASS</x:v>
      </x:c>
    </x:row>
    <x:row r="1206" ht="18" customHeight="1">
      <x:c r="B1206" s="27" t="str">
        <x:v>A1200</x:v>
      </x:c>
      <x:c r="C1206" s="27" t="str">
        <x:v>package</x:v>
      </x:c>
      <x:c r="D1206" s="27" t="str">
        <x:v>Package row 111 approval open</x:v>
      </x:c>
      <x:c r="E1206" s="27" t="n">
        <x:f>IF('Build Packages'!I111="OPEN",1,0)</x:f>
        <x:v>1</x:v>
      </x:c>
      <x:c r="F1206" s="27" t="n">
        <x:v>1</x:v>
      </x:c>
      <x:c r="G1206" s="29" t="str">
        <x:f>IF(E1206=F1206,"PASS","FAIL")</x:f>
        <x:v>PASS</x:v>
      </x:c>
    </x:row>
    <x:row r="1207" ht="18" customHeight="1">
      <x:c r="B1207" s="27" t="str">
        <x:v>A1201</x:v>
      </x:c>
      <x:c r="C1207" s="27" t="str">
        <x:v>package</x:v>
      </x:c>
      <x:c r="D1207" s="27" t="str">
        <x:v>Package row 111 zero credit</x:v>
      </x:c>
      <x:c r="E1207" s="27" t="n">
        <x:f>IF('Build Packages'!J111=0,1,0)</x:f>
        <x:v>1</x:v>
      </x:c>
      <x:c r="F1207" s="27" t="n">
        <x:v>1</x:v>
      </x:c>
      <x:c r="G1207" s="29" t="str">
        <x:f>IF(E1207=F1207,"PASS","FAIL")</x:f>
        <x:v>PASS</x:v>
      </x:c>
    </x:row>
    <x:row r="1208" ht="18" customHeight="1">
      <x:c r="B1208" s="27" t="str">
        <x:v>A1202</x:v>
      </x:c>
      <x:c r="C1208" s="27" t="str">
        <x:v>package</x:v>
      </x:c>
      <x:c r="D1208" s="27" t="str">
        <x:v>Package row 112 required content</x:v>
      </x:c>
      <x:c r="E1208" s="27" t="n">
        <x:f>IF('Build Packages'!F112&lt;&gt;"",1,0)</x:f>
        <x:v>1</x:v>
      </x:c>
      <x:c r="F1208" s="27" t="n">
        <x:v>1</x:v>
      </x:c>
      <x:c r="G1208" s="29" t="str">
        <x:f>IF(E1208=F1208,"PASS","FAIL")</x:f>
        <x:v>PASS</x:v>
      </x:c>
    </x:row>
    <x:row r="1209" ht="18" customHeight="1">
      <x:c r="B1209" s="27" t="str">
        <x:v>A1203</x:v>
      </x:c>
      <x:c r="C1209" s="27" t="str">
        <x:v>package</x:v>
      </x:c>
      <x:c r="D1209" s="27" t="str">
        <x:v>Package row 112 draft state</x:v>
      </x:c>
      <x:c r="E1209" s="27" t="n">
        <x:f>IF('Build Packages'!H112="DRAFT",1,0)</x:f>
        <x:v>1</x:v>
      </x:c>
      <x:c r="F1209" s="27" t="n">
        <x:v>1</x:v>
      </x:c>
      <x:c r="G1209" s="29" t="str">
        <x:f>IF(E1209=F1209,"PASS","FAIL")</x:f>
        <x:v>PASS</x:v>
      </x:c>
    </x:row>
    <x:row r="1210" ht="18" customHeight="1">
      <x:c r="B1210" s="27" t="str">
        <x:v>A1204</x:v>
      </x:c>
      <x:c r="C1210" s="27" t="str">
        <x:v>package</x:v>
      </x:c>
      <x:c r="D1210" s="27" t="str">
        <x:v>Package row 112 approval open</x:v>
      </x:c>
      <x:c r="E1210" s="27" t="n">
        <x:f>IF('Build Packages'!I112="OPEN",1,0)</x:f>
        <x:v>1</x:v>
      </x:c>
      <x:c r="F1210" s="27" t="n">
        <x:v>1</x:v>
      </x:c>
      <x:c r="G1210" s="29" t="str">
        <x:f>IF(E1210=F1210,"PASS","FAIL")</x:f>
        <x:v>PASS</x:v>
      </x:c>
    </x:row>
    <x:row r="1211" ht="18" customHeight="1">
      <x:c r="B1211" s="27" t="str">
        <x:v>A1205</x:v>
      </x:c>
      <x:c r="C1211" s="27" t="str">
        <x:v>package</x:v>
      </x:c>
      <x:c r="D1211" s="27" t="str">
        <x:v>Package row 112 zero credit</x:v>
      </x:c>
      <x:c r="E1211" s="27" t="n">
        <x:f>IF('Build Packages'!J112=0,1,0)</x:f>
        <x:v>1</x:v>
      </x:c>
      <x:c r="F1211" s="27" t="n">
        <x:v>1</x:v>
      </x:c>
      <x:c r="G1211" s="29" t="str">
        <x:f>IF(E1211=F1211,"PASS","FAIL")</x:f>
        <x:v>PASS</x:v>
      </x:c>
    </x:row>
    <x:row r="1212" ht="18" customHeight="1">
      <x:c r="B1212" s="27" t="str">
        <x:v>A1206</x:v>
      </x:c>
      <x:c r="C1212" s="27" t="str">
        <x:v>package</x:v>
      </x:c>
      <x:c r="D1212" s="27" t="str">
        <x:v>Package row 113 required content</x:v>
      </x:c>
      <x:c r="E1212" s="27" t="n">
        <x:f>IF('Build Packages'!F113&lt;&gt;"",1,0)</x:f>
        <x:v>1</x:v>
      </x:c>
      <x:c r="F1212" s="27" t="n">
        <x:v>1</x:v>
      </x:c>
      <x:c r="G1212" s="29" t="str">
        <x:f>IF(E1212=F1212,"PASS","FAIL")</x:f>
        <x:v>PASS</x:v>
      </x:c>
    </x:row>
    <x:row r="1213" ht="18" customHeight="1">
      <x:c r="B1213" s="27" t="str">
        <x:v>A1207</x:v>
      </x:c>
      <x:c r="C1213" s="27" t="str">
        <x:v>package</x:v>
      </x:c>
      <x:c r="D1213" s="27" t="str">
        <x:v>Package row 113 draft state</x:v>
      </x:c>
      <x:c r="E1213" s="27" t="n">
        <x:f>IF('Build Packages'!H113="DRAFT",1,0)</x:f>
        <x:v>1</x:v>
      </x:c>
      <x:c r="F1213" s="27" t="n">
        <x:v>1</x:v>
      </x:c>
      <x:c r="G1213" s="29" t="str">
        <x:f>IF(E1213=F1213,"PASS","FAIL")</x:f>
        <x:v>PASS</x:v>
      </x:c>
    </x:row>
    <x:row r="1214" ht="18" customHeight="1">
      <x:c r="B1214" s="27" t="str">
        <x:v>A1208</x:v>
      </x:c>
      <x:c r="C1214" s="27" t="str">
        <x:v>package</x:v>
      </x:c>
      <x:c r="D1214" s="27" t="str">
        <x:v>Package row 113 approval open</x:v>
      </x:c>
      <x:c r="E1214" s="27" t="n">
        <x:f>IF('Build Packages'!I113="OPEN",1,0)</x:f>
        <x:v>1</x:v>
      </x:c>
      <x:c r="F1214" s="27" t="n">
        <x:v>1</x:v>
      </x:c>
      <x:c r="G1214" s="29" t="str">
        <x:f>IF(E1214=F1214,"PASS","FAIL")</x:f>
        <x:v>PASS</x:v>
      </x:c>
    </x:row>
    <x:row r="1215" ht="18" customHeight="1">
      <x:c r="B1215" s="27" t="str">
        <x:v>A1209</x:v>
      </x:c>
      <x:c r="C1215" s="27" t="str">
        <x:v>package</x:v>
      </x:c>
      <x:c r="D1215" s="27" t="str">
        <x:v>Package row 113 zero credit</x:v>
      </x:c>
      <x:c r="E1215" s="27" t="n">
        <x:f>IF('Build Packages'!J113=0,1,0)</x:f>
        <x:v>1</x:v>
      </x:c>
      <x:c r="F1215" s="27" t="n">
        <x:v>1</x:v>
      </x:c>
      <x:c r="G1215" s="29" t="str">
        <x:f>IF(E1215=F1215,"PASS","FAIL")</x:f>
        <x:v>PASS</x:v>
      </x:c>
    </x:row>
    <x:row r="1216" ht="18" customHeight="1">
      <x:c r="B1216" s="27" t="str">
        <x:v>A1210</x:v>
      </x:c>
      <x:c r="C1216" s="27" t="str">
        <x:v>package</x:v>
      </x:c>
      <x:c r="D1216" s="27" t="str">
        <x:v>Package row 114 required content</x:v>
      </x:c>
      <x:c r="E1216" s="27" t="n">
        <x:f>IF('Build Packages'!F114&lt;&gt;"",1,0)</x:f>
        <x:v>1</x:v>
      </x:c>
      <x:c r="F1216" s="27" t="n">
        <x:v>1</x:v>
      </x:c>
      <x:c r="G1216" s="29" t="str">
        <x:f>IF(E1216=F1216,"PASS","FAIL")</x:f>
        <x:v>PASS</x:v>
      </x:c>
    </x:row>
    <x:row r="1217" ht="18" customHeight="1">
      <x:c r="B1217" s="27" t="str">
        <x:v>A1211</x:v>
      </x:c>
      <x:c r="C1217" s="27" t="str">
        <x:v>package</x:v>
      </x:c>
      <x:c r="D1217" s="27" t="str">
        <x:v>Package row 114 draft state</x:v>
      </x:c>
      <x:c r="E1217" s="27" t="n">
        <x:f>IF('Build Packages'!H114="DRAFT",1,0)</x:f>
        <x:v>1</x:v>
      </x:c>
      <x:c r="F1217" s="27" t="n">
        <x:v>1</x:v>
      </x:c>
      <x:c r="G1217" s="29" t="str">
        <x:f>IF(E1217=F1217,"PASS","FAIL")</x:f>
        <x:v>PASS</x:v>
      </x:c>
    </x:row>
    <x:row r="1218" ht="18" customHeight="1">
      <x:c r="B1218" s="27" t="str">
        <x:v>A1212</x:v>
      </x:c>
      <x:c r="C1218" s="27" t="str">
        <x:v>package</x:v>
      </x:c>
      <x:c r="D1218" s="27" t="str">
        <x:v>Package row 114 approval open</x:v>
      </x:c>
      <x:c r="E1218" s="27" t="n">
        <x:f>IF('Build Packages'!I114="OPEN",1,0)</x:f>
        <x:v>1</x:v>
      </x:c>
      <x:c r="F1218" s="27" t="n">
        <x:v>1</x:v>
      </x:c>
      <x:c r="G1218" s="29" t="str">
        <x:f>IF(E1218=F1218,"PASS","FAIL")</x:f>
        <x:v>PASS</x:v>
      </x:c>
    </x:row>
    <x:row r="1219" ht="18" customHeight="1">
      <x:c r="B1219" s="27" t="str">
        <x:v>A1213</x:v>
      </x:c>
      <x:c r="C1219" s="27" t="str">
        <x:v>package</x:v>
      </x:c>
      <x:c r="D1219" s="27" t="str">
        <x:v>Package row 114 zero credit</x:v>
      </x:c>
      <x:c r="E1219" s="27" t="n">
        <x:f>IF('Build Packages'!J114=0,1,0)</x:f>
        <x:v>1</x:v>
      </x:c>
      <x:c r="F1219" s="27" t="n">
        <x:v>1</x:v>
      </x:c>
      <x:c r="G1219" s="29" t="str">
        <x:f>IF(E1219=F1219,"PASS","FAIL")</x:f>
        <x:v>PASS</x:v>
      </x:c>
    </x:row>
    <x:row r="1220" ht="18" customHeight="1">
      <x:c r="B1220" s="27" t="str">
        <x:v>A1214</x:v>
      </x:c>
      <x:c r="C1220" s="27" t="str">
        <x:v>package</x:v>
      </x:c>
      <x:c r="D1220" s="27" t="str">
        <x:v>Package row 115 required content</x:v>
      </x:c>
      <x:c r="E1220" s="27" t="n">
        <x:f>IF('Build Packages'!F115&lt;&gt;"",1,0)</x:f>
        <x:v>1</x:v>
      </x:c>
      <x:c r="F1220" s="27" t="n">
        <x:v>1</x:v>
      </x:c>
      <x:c r="G1220" s="29" t="str">
        <x:f>IF(E1220=F1220,"PASS","FAIL")</x:f>
        <x:v>PASS</x:v>
      </x:c>
    </x:row>
    <x:row r="1221" ht="18" customHeight="1">
      <x:c r="B1221" s="27" t="str">
        <x:v>A1215</x:v>
      </x:c>
      <x:c r="C1221" s="27" t="str">
        <x:v>package</x:v>
      </x:c>
      <x:c r="D1221" s="27" t="str">
        <x:v>Package row 115 draft state</x:v>
      </x:c>
      <x:c r="E1221" s="27" t="n">
        <x:f>IF('Build Packages'!H115="DRAFT",1,0)</x:f>
        <x:v>1</x:v>
      </x:c>
      <x:c r="F1221" s="27" t="n">
        <x:v>1</x:v>
      </x:c>
      <x:c r="G1221" s="29" t="str">
        <x:f>IF(E1221=F1221,"PASS","FAIL")</x:f>
        <x:v>PASS</x:v>
      </x:c>
    </x:row>
    <x:row r="1222" ht="18" customHeight="1">
      <x:c r="B1222" s="27" t="str">
        <x:v>A1216</x:v>
      </x:c>
      <x:c r="C1222" s="27" t="str">
        <x:v>package</x:v>
      </x:c>
      <x:c r="D1222" s="27" t="str">
        <x:v>Package row 115 approval open</x:v>
      </x:c>
      <x:c r="E1222" s="27" t="n">
        <x:f>IF('Build Packages'!I115="OPEN",1,0)</x:f>
        <x:v>1</x:v>
      </x:c>
      <x:c r="F1222" s="27" t="n">
        <x:v>1</x:v>
      </x:c>
      <x:c r="G1222" s="29" t="str">
        <x:f>IF(E1222=F1222,"PASS","FAIL")</x:f>
        <x:v>PASS</x:v>
      </x:c>
    </x:row>
    <x:row r="1223" ht="18" customHeight="1">
      <x:c r="B1223" s="27" t="str">
        <x:v>A1217</x:v>
      </x:c>
      <x:c r="C1223" s="27" t="str">
        <x:v>package</x:v>
      </x:c>
      <x:c r="D1223" s="27" t="str">
        <x:v>Package row 115 zero credit</x:v>
      </x:c>
      <x:c r="E1223" s="27" t="n">
        <x:f>IF('Build Packages'!J115=0,1,0)</x:f>
        <x:v>1</x:v>
      </x:c>
      <x:c r="F1223" s="27" t="n">
        <x:v>1</x:v>
      </x:c>
      <x:c r="G1223" s="29" t="str">
        <x:f>IF(E1223=F1223,"PASS","FAIL")</x:f>
        <x:v>PASS</x:v>
      </x:c>
    </x:row>
    <x:row r="1224" ht="18" customHeight="1">
      <x:c r="B1224" s="27" t="str">
        <x:v>A1218</x:v>
      </x:c>
      <x:c r="C1224" s="27" t="str">
        <x:v>package</x:v>
      </x:c>
      <x:c r="D1224" s="27" t="str">
        <x:v>Package row 116 required content</x:v>
      </x:c>
      <x:c r="E1224" s="27" t="n">
        <x:f>IF('Build Packages'!F116&lt;&gt;"",1,0)</x:f>
        <x:v>1</x:v>
      </x:c>
      <x:c r="F1224" s="27" t="n">
        <x:v>1</x:v>
      </x:c>
      <x:c r="G1224" s="29" t="str">
        <x:f>IF(E1224=F1224,"PASS","FAIL")</x:f>
        <x:v>PASS</x:v>
      </x:c>
    </x:row>
    <x:row r="1225" ht="18" customHeight="1">
      <x:c r="B1225" s="27" t="str">
        <x:v>A1219</x:v>
      </x:c>
      <x:c r="C1225" s="27" t="str">
        <x:v>package</x:v>
      </x:c>
      <x:c r="D1225" s="27" t="str">
        <x:v>Package row 116 draft state</x:v>
      </x:c>
      <x:c r="E1225" s="27" t="n">
        <x:f>IF('Build Packages'!H116="DRAFT",1,0)</x:f>
        <x:v>1</x:v>
      </x:c>
      <x:c r="F1225" s="27" t="n">
        <x:v>1</x:v>
      </x:c>
      <x:c r="G1225" s="29" t="str">
        <x:f>IF(E1225=F1225,"PASS","FAIL")</x:f>
        <x:v>PASS</x:v>
      </x:c>
    </x:row>
    <x:row r="1226" ht="18" customHeight="1">
      <x:c r="B1226" s="27" t="str">
        <x:v>A1220</x:v>
      </x:c>
      <x:c r="C1226" s="27" t="str">
        <x:v>package</x:v>
      </x:c>
      <x:c r="D1226" s="27" t="str">
        <x:v>Package row 116 approval open</x:v>
      </x:c>
      <x:c r="E1226" s="27" t="n">
        <x:f>IF('Build Packages'!I116="OPEN",1,0)</x:f>
        <x:v>1</x:v>
      </x:c>
      <x:c r="F1226" s="27" t="n">
        <x:v>1</x:v>
      </x:c>
      <x:c r="G1226" s="29" t="str">
        <x:f>IF(E1226=F1226,"PASS","FAIL")</x:f>
        <x:v>PASS</x:v>
      </x:c>
    </x:row>
    <x:row r="1227" ht="18" customHeight="1">
      <x:c r="B1227" s="27" t="str">
        <x:v>A1221</x:v>
      </x:c>
      <x:c r="C1227" s="27" t="str">
        <x:v>package</x:v>
      </x:c>
      <x:c r="D1227" s="27" t="str">
        <x:v>Package row 116 zero credit</x:v>
      </x:c>
      <x:c r="E1227" s="27" t="n">
        <x:f>IF('Build Packages'!J116=0,1,0)</x:f>
        <x:v>1</x:v>
      </x:c>
      <x:c r="F1227" s="27" t="n">
        <x:v>1</x:v>
      </x:c>
      <x:c r="G1227" s="29" t="str">
        <x:f>IF(E1227=F1227,"PASS","FAIL")</x:f>
        <x:v>PASS</x:v>
      </x:c>
    </x:row>
    <x:row r="1228" ht="18" customHeight="1">
      <x:c r="B1228" s="27" t="str">
        <x:v>A1222</x:v>
      </x:c>
      <x:c r="C1228" s="27" t="str">
        <x:v>package</x:v>
      </x:c>
      <x:c r="D1228" s="27" t="str">
        <x:v>Package row 117 required content</x:v>
      </x:c>
      <x:c r="E1228" s="27" t="n">
        <x:f>IF('Build Packages'!F117&lt;&gt;"",1,0)</x:f>
        <x:v>1</x:v>
      </x:c>
      <x:c r="F1228" s="27" t="n">
        <x:v>1</x:v>
      </x:c>
      <x:c r="G1228" s="29" t="str">
        <x:f>IF(E1228=F1228,"PASS","FAIL")</x:f>
        <x:v>PASS</x:v>
      </x:c>
    </x:row>
    <x:row r="1229" ht="18" customHeight="1">
      <x:c r="B1229" s="27" t="str">
        <x:v>A1223</x:v>
      </x:c>
      <x:c r="C1229" s="27" t="str">
        <x:v>package</x:v>
      </x:c>
      <x:c r="D1229" s="27" t="str">
        <x:v>Package row 117 draft state</x:v>
      </x:c>
      <x:c r="E1229" s="27" t="n">
        <x:f>IF('Build Packages'!H117="DRAFT",1,0)</x:f>
        <x:v>1</x:v>
      </x:c>
      <x:c r="F1229" s="27" t="n">
        <x:v>1</x:v>
      </x:c>
      <x:c r="G1229" s="29" t="str">
        <x:f>IF(E1229=F1229,"PASS","FAIL")</x:f>
        <x:v>PASS</x:v>
      </x:c>
    </x:row>
    <x:row r="1230" ht="18" customHeight="1">
      <x:c r="B1230" s="27" t="str">
        <x:v>A1224</x:v>
      </x:c>
      <x:c r="C1230" s="27" t="str">
        <x:v>package</x:v>
      </x:c>
      <x:c r="D1230" s="27" t="str">
        <x:v>Package row 117 approval open</x:v>
      </x:c>
      <x:c r="E1230" s="27" t="n">
        <x:f>IF('Build Packages'!I117="OPEN",1,0)</x:f>
        <x:v>1</x:v>
      </x:c>
      <x:c r="F1230" s="27" t="n">
        <x:v>1</x:v>
      </x:c>
      <x:c r="G1230" s="29" t="str">
        <x:f>IF(E1230=F1230,"PASS","FAIL")</x:f>
        <x:v>PASS</x:v>
      </x:c>
    </x:row>
    <x:row r="1231" ht="18" customHeight="1">
      <x:c r="B1231" s="27" t="str">
        <x:v>A1225</x:v>
      </x:c>
      <x:c r="C1231" s="27" t="str">
        <x:v>package</x:v>
      </x:c>
      <x:c r="D1231" s="27" t="str">
        <x:v>Package row 117 zero credit</x:v>
      </x:c>
      <x:c r="E1231" s="27" t="n">
        <x:f>IF('Build Packages'!J117=0,1,0)</x:f>
        <x:v>1</x:v>
      </x:c>
      <x:c r="F1231" s="27" t="n">
        <x:v>1</x:v>
      </x:c>
      <x:c r="G1231" s="29" t="str">
        <x:f>IF(E1231=F1231,"PASS","FAIL")</x:f>
        <x:v>PASS</x:v>
      </x:c>
    </x:row>
    <x:row r="1232" ht="18" customHeight="1">
      <x:c r="B1232" s="27" t="str">
        <x:v>A1226</x:v>
      </x:c>
      <x:c r="C1232" s="27" t="str">
        <x:v>package</x:v>
      </x:c>
      <x:c r="D1232" s="27" t="str">
        <x:v>Package row 118 required content</x:v>
      </x:c>
      <x:c r="E1232" s="27" t="n">
        <x:f>IF('Build Packages'!F118&lt;&gt;"",1,0)</x:f>
        <x:v>1</x:v>
      </x:c>
      <x:c r="F1232" s="27" t="n">
        <x:v>1</x:v>
      </x:c>
      <x:c r="G1232" s="29" t="str">
        <x:f>IF(E1232=F1232,"PASS","FAIL")</x:f>
        <x:v>PASS</x:v>
      </x:c>
    </x:row>
    <x:row r="1233" ht="18" customHeight="1">
      <x:c r="B1233" s="27" t="str">
        <x:v>A1227</x:v>
      </x:c>
      <x:c r="C1233" s="27" t="str">
        <x:v>package</x:v>
      </x:c>
      <x:c r="D1233" s="27" t="str">
        <x:v>Package row 118 draft state</x:v>
      </x:c>
      <x:c r="E1233" s="27" t="n">
        <x:f>IF('Build Packages'!H118="DRAFT",1,0)</x:f>
        <x:v>1</x:v>
      </x:c>
      <x:c r="F1233" s="27" t="n">
        <x:v>1</x:v>
      </x:c>
      <x:c r="G1233" s="29" t="str">
        <x:f>IF(E1233=F1233,"PASS","FAIL")</x:f>
        <x:v>PASS</x:v>
      </x:c>
    </x:row>
    <x:row r="1234" ht="18" customHeight="1">
      <x:c r="B1234" s="27" t="str">
        <x:v>A1228</x:v>
      </x:c>
      <x:c r="C1234" s="27" t="str">
        <x:v>package</x:v>
      </x:c>
      <x:c r="D1234" s="27" t="str">
        <x:v>Package row 118 approval open</x:v>
      </x:c>
      <x:c r="E1234" s="27" t="n">
        <x:f>IF('Build Packages'!I118="OPEN",1,0)</x:f>
        <x:v>1</x:v>
      </x:c>
      <x:c r="F1234" s="27" t="n">
        <x:v>1</x:v>
      </x:c>
      <x:c r="G1234" s="29" t="str">
        <x:f>IF(E1234=F1234,"PASS","FAIL")</x:f>
        <x:v>PASS</x:v>
      </x:c>
    </x:row>
    <x:row r="1235" ht="18" customHeight="1">
      <x:c r="B1235" s="27" t="str">
        <x:v>A1229</x:v>
      </x:c>
      <x:c r="C1235" s="27" t="str">
        <x:v>package</x:v>
      </x:c>
      <x:c r="D1235" s="27" t="str">
        <x:v>Package row 118 zero credit</x:v>
      </x:c>
      <x:c r="E1235" s="27" t="n">
        <x:f>IF('Build Packages'!J118=0,1,0)</x:f>
        <x:v>1</x:v>
      </x:c>
      <x:c r="F1235" s="27" t="n">
        <x:v>1</x:v>
      </x:c>
      <x:c r="G1235" s="29" t="str">
        <x:f>IF(E1235=F1235,"PASS","FAIL")</x:f>
        <x:v>PASS</x:v>
      </x:c>
    </x:row>
    <x:row r="1236" ht="18" customHeight="1">
      <x:c r="B1236" s="27" t="str">
        <x:v>A1230</x:v>
      </x:c>
      <x:c r="C1236" s="27" t="str">
        <x:v>package</x:v>
      </x:c>
      <x:c r="D1236" s="27" t="str">
        <x:v>Package row 119 required content</x:v>
      </x:c>
      <x:c r="E1236" s="27" t="n">
        <x:f>IF('Build Packages'!F119&lt;&gt;"",1,0)</x:f>
        <x:v>1</x:v>
      </x:c>
      <x:c r="F1236" s="27" t="n">
        <x:v>1</x:v>
      </x:c>
      <x:c r="G1236" s="29" t="str">
        <x:f>IF(E1236=F1236,"PASS","FAIL")</x:f>
        <x:v>PASS</x:v>
      </x:c>
    </x:row>
    <x:row r="1237" ht="18" customHeight="1">
      <x:c r="B1237" s="27" t="str">
        <x:v>A1231</x:v>
      </x:c>
      <x:c r="C1237" s="27" t="str">
        <x:v>package</x:v>
      </x:c>
      <x:c r="D1237" s="27" t="str">
        <x:v>Package row 119 draft state</x:v>
      </x:c>
      <x:c r="E1237" s="27" t="n">
        <x:f>IF('Build Packages'!H119="DRAFT",1,0)</x:f>
        <x:v>1</x:v>
      </x:c>
      <x:c r="F1237" s="27" t="n">
        <x:v>1</x:v>
      </x:c>
      <x:c r="G1237" s="29" t="str">
        <x:f>IF(E1237=F1237,"PASS","FAIL")</x:f>
        <x:v>PASS</x:v>
      </x:c>
    </x:row>
    <x:row r="1238" ht="18" customHeight="1">
      <x:c r="B1238" s="27" t="str">
        <x:v>A1232</x:v>
      </x:c>
      <x:c r="C1238" s="27" t="str">
        <x:v>package</x:v>
      </x:c>
      <x:c r="D1238" s="27" t="str">
        <x:v>Package row 119 approval open</x:v>
      </x:c>
      <x:c r="E1238" s="27" t="n">
        <x:f>IF('Build Packages'!I119="OPEN",1,0)</x:f>
        <x:v>1</x:v>
      </x:c>
      <x:c r="F1238" s="27" t="n">
        <x:v>1</x:v>
      </x:c>
      <x:c r="G1238" s="29" t="str">
        <x:f>IF(E1238=F1238,"PASS","FAIL")</x:f>
        <x:v>PASS</x:v>
      </x:c>
    </x:row>
    <x:row r="1239" ht="18" customHeight="1">
      <x:c r="B1239" s="27" t="str">
        <x:v>A1233</x:v>
      </x:c>
      <x:c r="C1239" s="27" t="str">
        <x:v>package</x:v>
      </x:c>
      <x:c r="D1239" s="27" t="str">
        <x:v>Package row 119 zero credit</x:v>
      </x:c>
      <x:c r="E1239" s="27" t="n">
        <x:f>IF('Build Packages'!J119=0,1,0)</x:f>
        <x:v>1</x:v>
      </x:c>
      <x:c r="F1239" s="27" t="n">
        <x:v>1</x:v>
      </x:c>
      <x:c r="G1239" s="29" t="str">
        <x:f>IF(E1239=F1239,"PASS","FAIL")</x:f>
        <x:v>PASS</x:v>
      </x:c>
    </x:row>
    <x:row r="1240" ht="18" customHeight="1">
      <x:c r="B1240" s="27" t="str">
        <x:v>A1234</x:v>
      </x:c>
      <x:c r="C1240" s="27" t="str">
        <x:v>package</x:v>
      </x:c>
      <x:c r="D1240" s="27" t="str">
        <x:v>Package row 120 required content</x:v>
      </x:c>
      <x:c r="E1240" s="27" t="n">
        <x:f>IF('Build Packages'!F120&lt;&gt;"",1,0)</x:f>
        <x:v>1</x:v>
      </x:c>
      <x:c r="F1240" s="27" t="n">
        <x:v>1</x:v>
      </x:c>
      <x:c r="G1240" s="29" t="str">
        <x:f>IF(E1240=F1240,"PASS","FAIL")</x:f>
        <x:v>PASS</x:v>
      </x:c>
    </x:row>
    <x:row r="1241" ht="18" customHeight="1">
      <x:c r="B1241" s="27" t="str">
        <x:v>A1235</x:v>
      </x:c>
      <x:c r="C1241" s="27" t="str">
        <x:v>package</x:v>
      </x:c>
      <x:c r="D1241" s="27" t="str">
        <x:v>Package row 120 draft state</x:v>
      </x:c>
      <x:c r="E1241" s="27" t="n">
        <x:f>IF('Build Packages'!H120="DRAFT",1,0)</x:f>
        <x:v>1</x:v>
      </x:c>
      <x:c r="F1241" s="27" t="n">
        <x:v>1</x:v>
      </x:c>
      <x:c r="G1241" s="29" t="str">
        <x:f>IF(E1241=F1241,"PASS","FAIL")</x:f>
        <x:v>PASS</x:v>
      </x:c>
    </x:row>
    <x:row r="1242" ht="18" customHeight="1">
      <x:c r="B1242" s="27" t="str">
        <x:v>A1236</x:v>
      </x:c>
      <x:c r="C1242" s="27" t="str">
        <x:v>package</x:v>
      </x:c>
      <x:c r="D1242" s="27" t="str">
        <x:v>Package row 120 approval open</x:v>
      </x:c>
      <x:c r="E1242" s="27" t="n">
        <x:f>IF('Build Packages'!I120="OPEN",1,0)</x:f>
        <x:v>1</x:v>
      </x:c>
      <x:c r="F1242" s="27" t="n">
        <x:v>1</x:v>
      </x:c>
      <x:c r="G1242" s="29" t="str">
        <x:f>IF(E1242=F1242,"PASS","FAIL")</x:f>
        <x:v>PASS</x:v>
      </x:c>
    </x:row>
    <x:row r="1243" ht="18" customHeight="1">
      <x:c r="B1243" s="27" t="str">
        <x:v>A1237</x:v>
      </x:c>
      <x:c r="C1243" s="27" t="str">
        <x:v>package</x:v>
      </x:c>
      <x:c r="D1243" s="27" t="str">
        <x:v>Package row 120 zero credit</x:v>
      </x:c>
      <x:c r="E1243" s="27" t="n">
        <x:f>IF('Build Packages'!J120=0,1,0)</x:f>
        <x:v>1</x:v>
      </x:c>
      <x:c r="F1243" s="27" t="n">
        <x:v>1</x:v>
      </x:c>
      <x:c r="G1243" s="29" t="str">
        <x:f>IF(E1243=F1243,"PASS","FAIL")</x:f>
        <x:v>PASS</x:v>
      </x:c>
    </x:row>
    <x:row r="1244" ht="18" customHeight="1">
      <x:c r="B1244" s="27" t="str">
        <x:v>A1238</x:v>
      </x:c>
      <x:c r="C1244" s="27" t="str">
        <x:v>package</x:v>
      </x:c>
      <x:c r="D1244" s="27" t="str">
        <x:v>Package row 121 required content</x:v>
      </x:c>
      <x:c r="E1244" s="27" t="n">
        <x:f>IF('Build Packages'!F121&lt;&gt;"",1,0)</x:f>
        <x:v>1</x:v>
      </x:c>
      <x:c r="F1244" s="27" t="n">
        <x:v>1</x:v>
      </x:c>
      <x:c r="G1244" s="29" t="str">
        <x:f>IF(E1244=F1244,"PASS","FAIL")</x:f>
        <x:v>PASS</x:v>
      </x:c>
    </x:row>
    <x:row r="1245" ht="18" customHeight="1">
      <x:c r="B1245" s="27" t="str">
        <x:v>A1239</x:v>
      </x:c>
      <x:c r="C1245" s="27" t="str">
        <x:v>package</x:v>
      </x:c>
      <x:c r="D1245" s="27" t="str">
        <x:v>Package row 121 draft state</x:v>
      </x:c>
      <x:c r="E1245" s="27" t="n">
        <x:f>IF('Build Packages'!H121="DRAFT",1,0)</x:f>
        <x:v>1</x:v>
      </x:c>
      <x:c r="F1245" s="27" t="n">
        <x:v>1</x:v>
      </x:c>
      <x:c r="G1245" s="29" t="str">
        <x:f>IF(E1245=F1245,"PASS","FAIL")</x:f>
        <x:v>PASS</x:v>
      </x:c>
    </x:row>
    <x:row r="1246" ht="18" customHeight="1">
      <x:c r="B1246" s="27" t="str">
        <x:v>A1240</x:v>
      </x:c>
      <x:c r="C1246" s="27" t="str">
        <x:v>package</x:v>
      </x:c>
      <x:c r="D1246" s="27" t="str">
        <x:v>Package row 121 approval open</x:v>
      </x:c>
      <x:c r="E1246" s="27" t="n">
        <x:f>IF('Build Packages'!I121="OPEN",1,0)</x:f>
        <x:v>1</x:v>
      </x:c>
      <x:c r="F1246" s="27" t="n">
        <x:v>1</x:v>
      </x:c>
      <x:c r="G1246" s="29" t="str">
        <x:f>IF(E1246=F1246,"PASS","FAIL")</x:f>
        <x:v>PASS</x:v>
      </x:c>
    </x:row>
    <x:row r="1247" ht="18" customHeight="1">
      <x:c r="B1247" s="27" t="str">
        <x:v>A1241</x:v>
      </x:c>
      <x:c r="C1247" s="27" t="str">
        <x:v>package</x:v>
      </x:c>
      <x:c r="D1247" s="27" t="str">
        <x:v>Package row 121 zero credit</x:v>
      </x:c>
      <x:c r="E1247" s="27" t="n">
        <x:f>IF('Build Packages'!J121=0,1,0)</x:f>
        <x:v>1</x:v>
      </x:c>
      <x:c r="F1247" s="27" t="n">
        <x:v>1</x:v>
      </x:c>
      <x:c r="G1247" s="29" t="str">
        <x:f>IF(E1247=F1247,"PASS","FAIL")</x:f>
        <x:v>PASS</x:v>
      </x:c>
    </x:row>
    <x:row r="1248" ht="18" customHeight="1">
      <x:c r="B1248" s="27" t="str">
        <x:v>A1242</x:v>
      </x:c>
      <x:c r="C1248" s="27" t="str">
        <x:v>package</x:v>
      </x:c>
      <x:c r="D1248" s="27" t="str">
        <x:v>Package row 122 required content</x:v>
      </x:c>
      <x:c r="E1248" s="27" t="n">
        <x:f>IF('Build Packages'!F122&lt;&gt;"",1,0)</x:f>
        <x:v>1</x:v>
      </x:c>
      <x:c r="F1248" s="27" t="n">
        <x:v>1</x:v>
      </x:c>
      <x:c r="G1248" s="29" t="str">
        <x:f>IF(E1248=F1248,"PASS","FAIL")</x:f>
        <x:v>PASS</x:v>
      </x:c>
    </x:row>
    <x:row r="1249" ht="18" customHeight="1">
      <x:c r="B1249" s="27" t="str">
        <x:v>A1243</x:v>
      </x:c>
      <x:c r="C1249" s="27" t="str">
        <x:v>package</x:v>
      </x:c>
      <x:c r="D1249" s="27" t="str">
        <x:v>Package row 122 draft state</x:v>
      </x:c>
      <x:c r="E1249" s="27" t="n">
        <x:f>IF('Build Packages'!H122="DRAFT",1,0)</x:f>
        <x:v>1</x:v>
      </x:c>
      <x:c r="F1249" s="27" t="n">
        <x:v>1</x:v>
      </x:c>
      <x:c r="G1249" s="29" t="str">
        <x:f>IF(E1249=F1249,"PASS","FAIL")</x:f>
        <x:v>PASS</x:v>
      </x:c>
    </x:row>
    <x:row r="1250" ht="18" customHeight="1">
      <x:c r="B1250" s="27" t="str">
        <x:v>A1244</x:v>
      </x:c>
      <x:c r="C1250" s="27" t="str">
        <x:v>package</x:v>
      </x:c>
      <x:c r="D1250" s="27" t="str">
        <x:v>Package row 122 approval open</x:v>
      </x:c>
      <x:c r="E1250" s="27" t="n">
        <x:f>IF('Build Packages'!I122="OPEN",1,0)</x:f>
        <x:v>1</x:v>
      </x:c>
      <x:c r="F1250" s="27" t="n">
        <x:v>1</x:v>
      </x:c>
      <x:c r="G1250" s="29" t="str">
        <x:f>IF(E1250=F1250,"PASS","FAIL")</x:f>
        <x:v>PASS</x:v>
      </x:c>
    </x:row>
    <x:row r="1251" ht="18" customHeight="1">
      <x:c r="B1251" s="27" t="str">
        <x:v>A1245</x:v>
      </x:c>
      <x:c r="C1251" s="27" t="str">
        <x:v>package</x:v>
      </x:c>
      <x:c r="D1251" s="27" t="str">
        <x:v>Package row 122 zero credit</x:v>
      </x:c>
      <x:c r="E1251" s="27" t="n">
        <x:f>IF('Build Packages'!J122=0,1,0)</x:f>
        <x:v>1</x:v>
      </x:c>
      <x:c r="F1251" s="27" t="n">
        <x:v>1</x:v>
      </x:c>
      <x:c r="G1251" s="29" t="str">
        <x:f>IF(E1251=F1251,"PASS","FAIL")</x:f>
        <x:v>PASS</x:v>
      </x:c>
    </x:row>
    <x:row r="1252" ht="18" customHeight="1">
      <x:c r="B1252" s="27" t="str">
        <x:v>A1246</x:v>
      </x:c>
      <x:c r="C1252" s="27" t="str">
        <x:v>package</x:v>
      </x:c>
      <x:c r="D1252" s="27" t="str">
        <x:v>Package row 123 required content</x:v>
      </x:c>
      <x:c r="E1252" s="27" t="n">
        <x:f>IF('Build Packages'!F123&lt;&gt;"",1,0)</x:f>
        <x:v>1</x:v>
      </x:c>
      <x:c r="F1252" s="27" t="n">
        <x:v>1</x:v>
      </x:c>
      <x:c r="G1252" s="29" t="str">
        <x:f>IF(E1252=F1252,"PASS","FAIL")</x:f>
        <x:v>PASS</x:v>
      </x:c>
    </x:row>
    <x:row r="1253" ht="18" customHeight="1">
      <x:c r="B1253" s="27" t="str">
        <x:v>A1247</x:v>
      </x:c>
      <x:c r="C1253" s="27" t="str">
        <x:v>package</x:v>
      </x:c>
      <x:c r="D1253" s="27" t="str">
        <x:v>Package row 123 draft state</x:v>
      </x:c>
      <x:c r="E1253" s="27" t="n">
        <x:f>IF('Build Packages'!H123="DRAFT",1,0)</x:f>
        <x:v>1</x:v>
      </x:c>
      <x:c r="F1253" s="27" t="n">
        <x:v>1</x:v>
      </x:c>
      <x:c r="G1253" s="29" t="str">
        <x:f>IF(E1253=F1253,"PASS","FAIL")</x:f>
        <x:v>PASS</x:v>
      </x:c>
    </x:row>
    <x:row r="1254" ht="18" customHeight="1">
      <x:c r="B1254" s="27" t="str">
        <x:v>A1248</x:v>
      </x:c>
      <x:c r="C1254" s="27" t="str">
        <x:v>package</x:v>
      </x:c>
      <x:c r="D1254" s="27" t="str">
        <x:v>Package row 123 approval open</x:v>
      </x:c>
      <x:c r="E1254" s="27" t="n">
        <x:f>IF('Build Packages'!I123="OPEN",1,0)</x:f>
        <x:v>1</x:v>
      </x:c>
      <x:c r="F1254" s="27" t="n">
        <x:v>1</x:v>
      </x:c>
      <x:c r="G1254" s="29" t="str">
        <x:f>IF(E1254=F1254,"PASS","FAIL")</x:f>
        <x:v>PASS</x:v>
      </x:c>
    </x:row>
    <x:row r="1255" ht="18" customHeight="1">
      <x:c r="B1255" s="27" t="str">
        <x:v>A1249</x:v>
      </x:c>
      <x:c r="C1255" s="27" t="str">
        <x:v>package</x:v>
      </x:c>
      <x:c r="D1255" s="27" t="str">
        <x:v>Package row 123 zero credit</x:v>
      </x:c>
      <x:c r="E1255" s="27" t="n">
        <x:f>IF('Build Packages'!J123=0,1,0)</x:f>
        <x:v>1</x:v>
      </x:c>
      <x:c r="F1255" s="27" t="n">
        <x:v>1</x:v>
      </x:c>
      <x:c r="G1255" s="29" t="str">
        <x:f>IF(E1255=F1255,"PASS","FAIL")</x:f>
        <x:v>PASS</x:v>
      </x:c>
    </x:row>
    <x:row r="1256" ht="18" customHeight="1">
      <x:c r="B1256" s="27" t="str">
        <x:v>A1250</x:v>
      </x:c>
      <x:c r="C1256" s="27" t="str">
        <x:v>package</x:v>
      </x:c>
      <x:c r="D1256" s="27" t="str">
        <x:v>Package row 124 required content</x:v>
      </x:c>
      <x:c r="E1256" s="27" t="n">
        <x:f>IF('Build Packages'!F124&lt;&gt;"",1,0)</x:f>
        <x:v>1</x:v>
      </x:c>
      <x:c r="F1256" s="27" t="n">
        <x:v>1</x:v>
      </x:c>
      <x:c r="G1256" s="29" t="str">
        <x:f>IF(E1256=F1256,"PASS","FAIL")</x:f>
        <x:v>PASS</x:v>
      </x:c>
    </x:row>
    <x:row r="1257" ht="18" customHeight="1">
      <x:c r="B1257" s="27" t="str">
        <x:v>A1251</x:v>
      </x:c>
      <x:c r="C1257" s="27" t="str">
        <x:v>package</x:v>
      </x:c>
      <x:c r="D1257" s="27" t="str">
        <x:v>Package row 124 draft state</x:v>
      </x:c>
      <x:c r="E1257" s="27" t="n">
        <x:f>IF('Build Packages'!H124="DRAFT",1,0)</x:f>
        <x:v>1</x:v>
      </x:c>
      <x:c r="F1257" s="27" t="n">
        <x:v>1</x:v>
      </x:c>
      <x:c r="G1257" s="29" t="str">
        <x:f>IF(E1257=F1257,"PASS","FAIL")</x:f>
        <x:v>PASS</x:v>
      </x:c>
    </x:row>
    <x:row r="1258" ht="18" customHeight="1">
      <x:c r="B1258" s="27" t="str">
        <x:v>A1252</x:v>
      </x:c>
      <x:c r="C1258" s="27" t="str">
        <x:v>package</x:v>
      </x:c>
      <x:c r="D1258" s="27" t="str">
        <x:v>Package row 124 approval open</x:v>
      </x:c>
      <x:c r="E1258" s="27" t="n">
        <x:f>IF('Build Packages'!I124="OPEN",1,0)</x:f>
        <x:v>1</x:v>
      </x:c>
      <x:c r="F1258" s="27" t="n">
        <x:v>1</x:v>
      </x:c>
      <x:c r="G1258" s="29" t="str">
        <x:f>IF(E1258=F1258,"PASS","FAIL")</x:f>
        <x:v>PASS</x:v>
      </x:c>
    </x:row>
    <x:row r="1259" ht="18" customHeight="1">
      <x:c r="B1259" s="27" t="str">
        <x:v>A1253</x:v>
      </x:c>
      <x:c r="C1259" s="27" t="str">
        <x:v>package</x:v>
      </x:c>
      <x:c r="D1259" s="27" t="str">
        <x:v>Package row 124 zero credit</x:v>
      </x:c>
      <x:c r="E1259" s="27" t="n">
        <x:f>IF('Build Packages'!J124=0,1,0)</x:f>
        <x:v>1</x:v>
      </x:c>
      <x:c r="F1259" s="27" t="n">
        <x:v>1</x:v>
      </x:c>
      <x:c r="G1259" s="29" t="str">
        <x:f>IF(E1259=F1259,"PASS","FAIL")</x:f>
        <x:v>PASS</x:v>
      </x:c>
    </x:row>
    <x:row r="1260" ht="18" customHeight="1">
      <x:c r="B1260" s="27" t="str">
        <x:v>A1254</x:v>
      </x:c>
      <x:c r="C1260" s="27" t="str">
        <x:v>package</x:v>
      </x:c>
      <x:c r="D1260" s="27" t="str">
        <x:v>Package row 125 required content</x:v>
      </x:c>
      <x:c r="E1260" s="27" t="n">
        <x:f>IF('Build Packages'!F125&lt;&gt;"",1,0)</x:f>
        <x:v>1</x:v>
      </x:c>
      <x:c r="F1260" s="27" t="n">
        <x:v>1</x:v>
      </x:c>
      <x:c r="G1260" s="29" t="str">
        <x:f>IF(E1260=F1260,"PASS","FAIL")</x:f>
        <x:v>PASS</x:v>
      </x:c>
    </x:row>
    <x:row r="1261" ht="18" customHeight="1">
      <x:c r="B1261" s="27" t="str">
        <x:v>A1255</x:v>
      </x:c>
      <x:c r="C1261" s="27" t="str">
        <x:v>package</x:v>
      </x:c>
      <x:c r="D1261" s="27" t="str">
        <x:v>Package row 125 draft state</x:v>
      </x:c>
      <x:c r="E1261" s="27" t="n">
        <x:f>IF('Build Packages'!H125="DRAFT",1,0)</x:f>
        <x:v>1</x:v>
      </x:c>
      <x:c r="F1261" s="27" t="n">
        <x:v>1</x:v>
      </x:c>
      <x:c r="G1261" s="29" t="str">
        <x:f>IF(E1261=F1261,"PASS","FAIL")</x:f>
        <x:v>PASS</x:v>
      </x:c>
    </x:row>
    <x:row r="1262" ht="18" customHeight="1">
      <x:c r="B1262" s="27" t="str">
        <x:v>A1256</x:v>
      </x:c>
      <x:c r="C1262" s="27" t="str">
        <x:v>package</x:v>
      </x:c>
      <x:c r="D1262" s="27" t="str">
        <x:v>Package row 125 approval open</x:v>
      </x:c>
      <x:c r="E1262" s="27" t="n">
        <x:f>IF('Build Packages'!I125="OPEN",1,0)</x:f>
        <x:v>1</x:v>
      </x:c>
      <x:c r="F1262" s="27" t="n">
        <x:v>1</x:v>
      </x:c>
      <x:c r="G1262" s="29" t="str">
        <x:f>IF(E1262=F1262,"PASS","FAIL")</x:f>
        <x:v>PASS</x:v>
      </x:c>
    </x:row>
    <x:row r="1263" ht="18" customHeight="1">
      <x:c r="B1263" s="27" t="str">
        <x:v>A1257</x:v>
      </x:c>
      <x:c r="C1263" s="27" t="str">
        <x:v>package</x:v>
      </x:c>
      <x:c r="D1263" s="27" t="str">
        <x:v>Package row 125 zero credit</x:v>
      </x:c>
      <x:c r="E1263" s="27" t="n">
        <x:f>IF('Build Packages'!J125=0,1,0)</x:f>
        <x:v>1</x:v>
      </x:c>
      <x:c r="F1263" s="27" t="n">
        <x:v>1</x:v>
      </x:c>
      <x:c r="G1263" s="29" t="str">
        <x:f>IF(E1263=F1263,"PASS","FAIL")</x:f>
        <x:v>PASS</x:v>
      </x:c>
    </x:row>
    <x:row r="1264" ht="18" customHeight="1">
      <x:c r="B1264" s="27" t="str">
        <x:v>A1258</x:v>
      </x:c>
      <x:c r="C1264" s="27" t="str">
        <x:v>package</x:v>
      </x:c>
      <x:c r="D1264" s="27" t="str">
        <x:v>Package row 126 required content</x:v>
      </x:c>
      <x:c r="E1264" s="27" t="n">
        <x:f>IF('Build Packages'!F126&lt;&gt;"",1,0)</x:f>
        <x:v>1</x:v>
      </x:c>
      <x:c r="F1264" s="27" t="n">
        <x:v>1</x:v>
      </x:c>
      <x:c r="G1264" s="29" t="str">
        <x:f>IF(E1264=F1264,"PASS","FAIL")</x:f>
        <x:v>PASS</x:v>
      </x:c>
    </x:row>
    <x:row r="1265" ht="18" customHeight="1">
      <x:c r="B1265" s="27" t="str">
        <x:v>A1259</x:v>
      </x:c>
      <x:c r="C1265" s="27" t="str">
        <x:v>package</x:v>
      </x:c>
      <x:c r="D1265" s="27" t="str">
        <x:v>Package row 126 draft state</x:v>
      </x:c>
      <x:c r="E1265" s="27" t="n">
        <x:f>IF('Build Packages'!H126="DRAFT",1,0)</x:f>
        <x:v>1</x:v>
      </x:c>
      <x:c r="F1265" s="27" t="n">
        <x:v>1</x:v>
      </x:c>
      <x:c r="G1265" s="29" t="str">
        <x:f>IF(E1265=F1265,"PASS","FAIL")</x:f>
        <x:v>PASS</x:v>
      </x:c>
    </x:row>
    <x:row r="1266" ht="18" customHeight="1">
      <x:c r="B1266" s="27" t="str">
        <x:v>A1260</x:v>
      </x:c>
      <x:c r="C1266" s="27" t="str">
        <x:v>package</x:v>
      </x:c>
      <x:c r="D1266" s="27" t="str">
        <x:v>Package row 126 approval open</x:v>
      </x:c>
      <x:c r="E1266" s="27" t="n">
        <x:f>IF('Build Packages'!I126="OPEN",1,0)</x:f>
        <x:v>1</x:v>
      </x:c>
      <x:c r="F1266" s="27" t="n">
        <x:v>1</x:v>
      </x:c>
      <x:c r="G1266" s="29" t="str">
        <x:f>IF(E1266=F1266,"PASS","FAIL")</x:f>
        <x:v>PASS</x:v>
      </x:c>
    </x:row>
    <x:row r="1267" ht="18" customHeight="1">
      <x:c r="B1267" s="27" t="str">
        <x:v>A1261</x:v>
      </x:c>
      <x:c r="C1267" s="27" t="str">
        <x:v>package</x:v>
      </x:c>
      <x:c r="D1267" s="27" t="str">
        <x:v>Package row 126 zero credit</x:v>
      </x:c>
      <x:c r="E1267" s="27" t="n">
        <x:f>IF('Build Packages'!J126=0,1,0)</x:f>
        <x:v>1</x:v>
      </x:c>
      <x:c r="F1267" s="27" t="n">
        <x:v>1</x:v>
      </x:c>
      <x:c r="G1267" s="29" t="str">
        <x:f>IF(E1267=F1267,"PASS","FAIL")</x:f>
        <x:v>PASS</x:v>
      </x:c>
    </x:row>
    <x:row r="1268" ht="18" customHeight="1">
      <x:c r="B1268" s="27" t="str">
        <x:v>A1262</x:v>
      </x:c>
      <x:c r="C1268" s="27" t="str">
        <x:v>package</x:v>
      </x:c>
      <x:c r="D1268" s="27" t="str">
        <x:v>Package row 127 required content</x:v>
      </x:c>
      <x:c r="E1268" s="27" t="n">
        <x:f>IF('Build Packages'!F127&lt;&gt;"",1,0)</x:f>
        <x:v>1</x:v>
      </x:c>
      <x:c r="F1268" s="27" t="n">
        <x:v>1</x:v>
      </x:c>
      <x:c r="G1268" s="29" t="str">
        <x:f>IF(E1268=F1268,"PASS","FAIL")</x:f>
        <x:v>PASS</x:v>
      </x:c>
    </x:row>
    <x:row r="1269" ht="18" customHeight="1">
      <x:c r="B1269" s="27" t="str">
        <x:v>A1263</x:v>
      </x:c>
      <x:c r="C1269" s="27" t="str">
        <x:v>package</x:v>
      </x:c>
      <x:c r="D1269" s="27" t="str">
        <x:v>Package row 127 draft state</x:v>
      </x:c>
      <x:c r="E1269" s="27" t="n">
        <x:f>IF('Build Packages'!H127="DRAFT",1,0)</x:f>
        <x:v>1</x:v>
      </x:c>
      <x:c r="F1269" s="27" t="n">
        <x:v>1</x:v>
      </x:c>
      <x:c r="G1269" s="29" t="str">
        <x:f>IF(E1269=F1269,"PASS","FAIL")</x:f>
        <x:v>PASS</x:v>
      </x:c>
    </x:row>
    <x:row r="1270" ht="18" customHeight="1">
      <x:c r="B1270" s="27" t="str">
        <x:v>A1264</x:v>
      </x:c>
      <x:c r="C1270" s="27" t="str">
        <x:v>package</x:v>
      </x:c>
      <x:c r="D1270" s="27" t="str">
        <x:v>Package row 127 approval open</x:v>
      </x:c>
      <x:c r="E1270" s="27" t="n">
        <x:f>IF('Build Packages'!I127="OPEN",1,0)</x:f>
        <x:v>1</x:v>
      </x:c>
      <x:c r="F1270" s="27" t="n">
        <x:v>1</x:v>
      </x:c>
      <x:c r="G1270" s="29" t="str">
        <x:f>IF(E1270=F1270,"PASS","FAIL")</x:f>
        <x:v>PASS</x:v>
      </x:c>
    </x:row>
    <x:row r="1271" ht="18" customHeight="1">
      <x:c r="B1271" s="27" t="str">
        <x:v>A1265</x:v>
      </x:c>
      <x:c r="C1271" s="27" t="str">
        <x:v>package</x:v>
      </x:c>
      <x:c r="D1271" s="27" t="str">
        <x:v>Package row 127 zero credit</x:v>
      </x:c>
      <x:c r="E1271" s="27" t="n">
        <x:f>IF('Build Packages'!J127=0,1,0)</x:f>
        <x:v>1</x:v>
      </x:c>
      <x:c r="F1271" s="27" t="n">
        <x:v>1</x:v>
      </x:c>
      <x:c r="G1271" s="29" t="str">
        <x:f>IF(E1271=F1271,"PASS","FAIL")</x:f>
        <x:v>PASS</x:v>
      </x:c>
    </x:row>
    <x:row r="1272" ht="18" customHeight="1">
      <x:c r="B1272" s="27" t="str">
        <x:v>A1266</x:v>
      </x:c>
      <x:c r="C1272" s="27" t="str">
        <x:v>package</x:v>
      </x:c>
      <x:c r="D1272" s="27" t="str">
        <x:v>Package row 128 required content</x:v>
      </x:c>
      <x:c r="E1272" s="27" t="n">
        <x:f>IF('Build Packages'!F128&lt;&gt;"",1,0)</x:f>
        <x:v>1</x:v>
      </x:c>
      <x:c r="F1272" s="27" t="n">
        <x:v>1</x:v>
      </x:c>
      <x:c r="G1272" s="29" t="str">
        <x:f>IF(E1272=F1272,"PASS","FAIL")</x:f>
        <x:v>PASS</x:v>
      </x:c>
    </x:row>
    <x:row r="1273" ht="18" customHeight="1">
      <x:c r="B1273" s="27" t="str">
        <x:v>A1267</x:v>
      </x:c>
      <x:c r="C1273" s="27" t="str">
        <x:v>package</x:v>
      </x:c>
      <x:c r="D1273" s="27" t="str">
        <x:v>Package row 128 draft state</x:v>
      </x:c>
      <x:c r="E1273" s="27" t="n">
        <x:f>IF('Build Packages'!H128="DRAFT",1,0)</x:f>
        <x:v>1</x:v>
      </x:c>
      <x:c r="F1273" s="27" t="n">
        <x:v>1</x:v>
      </x:c>
      <x:c r="G1273" s="29" t="str">
        <x:f>IF(E1273=F1273,"PASS","FAIL")</x:f>
        <x:v>PASS</x:v>
      </x:c>
    </x:row>
    <x:row r="1274" ht="18" customHeight="1">
      <x:c r="B1274" s="27" t="str">
        <x:v>A1268</x:v>
      </x:c>
      <x:c r="C1274" s="27" t="str">
        <x:v>package</x:v>
      </x:c>
      <x:c r="D1274" s="27" t="str">
        <x:v>Package row 128 approval open</x:v>
      </x:c>
      <x:c r="E1274" s="27" t="n">
        <x:f>IF('Build Packages'!I128="OPEN",1,0)</x:f>
        <x:v>1</x:v>
      </x:c>
      <x:c r="F1274" s="27" t="n">
        <x:v>1</x:v>
      </x:c>
      <x:c r="G1274" s="29" t="str">
        <x:f>IF(E1274=F1274,"PASS","FAIL")</x:f>
        <x:v>PASS</x:v>
      </x:c>
    </x:row>
    <x:row r="1275" ht="18" customHeight="1">
      <x:c r="B1275" s="27" t="str">
        <x:v>A1269</x:v>
      </x:c>
      <x:c r="C1275" s="27" t="str">
        <x:v>package</x:v>
      </x:c>
      <x:c r="D1275" s="27" t="str">
        <x:v>Package row 128 zero credit</x:v>
      </x:c>
      <x:c r="E1275" s="27" t="n">
        <x:f>IF('Build Packages'!J128=0,1,0)</x:f>
        <x:v>1</x:v>
      </x:c>
      <x:c r="F1275" s="27" t="n">
        <x:v>1</x:v>
      </x:c>
      <x:c r="G1275" s="29" t="str">
        <x:f>IF(E1275=F1275,"PASS","FAIL")</x:f>
        <x:v>PASS</x:v>
      </x:c>
    </x:row>
    <x:row r="1276" ht="18" customHeight="1">
      <x:c r="B1276" s="27" t="str">
        <x:v>A1270</x:v>
      </x:c>
      <x:c r="C1276" s="27" t="str">
        <x:v>package</x:v>
      </x:c>
      <x:c r="D1276" s="27" t="str">
        <x:v>Package row 129 required content</x:v>
      </x:c>
      <x:c r="E1276" s="27" t="n">
        <x:f>IF('Build Packages'!F129&lt;&gt;"",1,0)</x:f>
        <x:v>1</x:v>
      </x:c>
      <x:c r="F1276" s="27" t="n">
        <x:v>1</x:v>
      </x:c>
      <x:c r="G1276" s="29" t="str">
        <x:f>IF(E1276=F1276,"PASS","FAIL")</x:f>
        <x:v>PASS</x:v>
      </x:c>
    </x:row>
    <x:row r="1277" ht="18" customHeight="1">
      <x:c r="B1277" s="27" t="str">
        <x:v>A1271</x:v>
      </x:c>
      <x:c r="C1277" s="27" t="str">
        <x:v>package</x:v>
      </x:c>
      <x:c r="D1277" s="27" t="str">
        <x:v>Package row 129 draft state</x:v>
      </x:c>
      <x:c r="E1277" s="27" t="n">
        <x:f>IF('Build Packages'!H129="DRAFT",1,0)</x:f>
        <x:v>1</x:v>
      </x:c>
      <x:c r="F1277" s="27" t="n">
        <x:v>1</x:v>
      </x:c>
      <x:c r="G1277" s="29" t="str">
        <x:f>IF(E1277=F1277,"PASS","FAIL")</x:f>
        <x:v>PASS</x:v>
      </x:c>
    </x:row>
    <x:row r="1278" ht="18" customHeight="1">
      <x:c r="B1278" s="27" t="str">
        <x:v>A1272</x:v>
      </x:c>
      <x:c r="C1278" s="27" t="str">
        <x:v>package</x:v>
      </x:c>
      <x:c r="D1278" s="27" t="str">
        <x:v>Package row 129 approval open</x:v>
      </x:c>
      <x:c r="E1278" s="27" t="n">
        <x:f>IF('Build Packages'!I129="OPEN",1,0)</x:f>
        <x:v>1</x:v>
      </x:c>
      <x:c r="F1278" s="27" t="n">
        <x:v>1</x:v>
      </x:c>
      <x:c r="G1278" s="29" t="str">
        <x:f>IF(E1278=F1278,"PASS","FAIL")</x:f>
        <x:v>PASS</x:v>
      </x:c>
    </x:row>
    <x:row r="1279" ht="18" customHeight="1">
      <x:c r="B1279" s="27" t="str">
        <x:v>A1273</x:v>
      </x:c>
      <x:c r="C1279" s="27" t="str">
        <x:v>package</x:v>
      </x:c>
      <x:c r="D1279" s="27" t="str">
        <x:v>Package row 129 zero credit</x:v>
      </x:c>
      <x:c r="E1279" s="27" t="n">
        <x:f>IF('Build Packages'!J129=0,1,0)</x:f>
        <x:v>1</x:v>
      </x:c>
      <x:c r="F1279" s="27" t="n">
        <x:v>1</x:v>
      </x:c>
      <x:c r="G1279" s="29" t="str">
        <x:f>IF(E1279=F1279,"PASS","FAIL")</x:f>
        <x:v>PASS</x:v>
      </x:c>
    </x:row>
    <x:row r="1280" ht="18" customHeight="1">
      <x:c r="B1280" s="27" t="str">
        <x:v>A1274</x:v>
      </x:c>
      <x:c r="C1280" s="27" t="str">
        <x:v>package</x:v>
      </x:c>
      <x:c r="D1280" s="27" t="str">
        <x:v>Package row 130 required content</x:v>
      </x:c>
      <x:c r="E1280" s="27" t="n">
        <x:f>IF('Build Packages'!F130&lt;&gt;"",1,0)</x:f>
        <x:v>1</x:v>
      </x:c>
      <x:c r="F1280" s="27" t="n">
        <x:v>1</x:v>
      </x:c>
      <x:c r="G1280" s="29" t="str">
        <x:f>IF(E1280=F1280,"PASS","FAIL")</x:f>
        <x:v>PASS</x:v>
      </x:c>
    </x:row>
    <x:row r="1281" ht="18" customHeight="1">
      <x:c r="B1281" s="27" t="str">
        <x:v>A1275</x:v>
      </x:c>
      <x:c r="C1281" s="27" t="str">
        <x:v>package</x:v>
      </x:c>
      <x:c r="D1281" s="27" t="str">
        <x:v>Package row 130 draft state</x:v>
      </x:c>
      <x:c r="E1281" s="27" t="n">
        <x:f>IF('Build Packages'!H130="DRAFT",1,0)</x:f>
        <x:v>1</x:v>
      </x:c>
      <x:c r="F1281" s="27" t="n">
        <x:v>1</x:v>
      </x:c>
      <x:c r="G1281" s="29" t="str">
        <x:f>IF(E1281=F1281,"PASS","FAIL")</x:f>
        <x:v>PASS</x:v>
      </x:c>
    </x:row>
    <x:row r="1282" ht="18" customHeight="1">
      <x:c r="B1282" s="27" t="str">
        <x:v>A1276</x:v>
      </x:c>
      <x:c r="C1282" s="27" t="str">
        <x:v>package</x:v>
      </x:c>
      <x:c r="D1282" s="27" t="str">
        <x:v>Package row 130 approval open</x:v>
      </x:c>
      <x:c r="E1282" s="27" t="n">
        <x:f>IF('Build Packages'!I130="OPEN",1,0)</x:f>
        <x:v>1</x:v>
      </x:c>
      <x:c r="F1282" s="27" t="n">
        <x:v>1</x:v>
      </x:c>
      <x:c r="G1282" s="29" t="str">
        <x:f>IF(E1282=F1282,"PASS","FAIL")</x:f>
        <x:v>PASS</x:v>
      </x:c>
    </x:row>
    <x:row r="1283" ht="18" customHeight="1">
      <x:c r="B1283" s="27" t="str">
        <x:v>A1277</x:v>
      </x:c>
      <x:c r="C1283" s="27" t="str">
        <x:v>package</x:v>
      </x:c>
      <x:c r="D1283" s="27" t="str">
        <x:v>Package row 130 zero credit</x:v>
      </x:c>
      <x:c r="E1283" s="27" t="n">
        <x:f>IF('Build Packages'!J130=0,1,0)</x:f>
        <x:v>1</x:v>
      </x:c>
      <x:c r="F1283" s="27" t="n">
        <x:v>1</x:v>
      </x:c>
      <x:c r="G1283" s="29" t="str">
        <x:f>IF(E1283=F1283,"PASS","FAIL")</x:f>
        <x:v>PASS</x:v>
      </x:c>
    </x:row>
    <x:row r="1284" ht="18" customHeight="1">
      <x:c r="B1284" s="27" t="str">
        <x:v>A1278</x:v>
      </x:c>
      <x:c r="C1284" s="27" t="str">
        <x:v>package</x:v>
      </x:c>
      <x:c r="D1284" s="27" t="str">
        <x:v>Package row 131 required content</x:v>
      </x:c>
      <x:c r="E1284" s="27" t="n">
        <x:f>IF('Build Packages'!F131&lt;&gt;"",1,0)</x:f>
        <x:v>1</x:v>
      </x:c>
      <x:c r="F1284" s="27" t="n">
        <x:v>1</x:v>
      </x:c>
      <x:c r="G1284" s="29" t="str">
        <x:f>IF(E1284=F1284,"PASS","FAIL")</x:f>
        <x:v>PASS</x:v>
      </x:c>
    </x:row>
    <x:row r="1285" ht="18" customHeight="1">
      <x:c r="B1285" s="27" t="str">
        <x:v>A1279</x:v>
      </x:c>
      <x:c r="C1285" s="27" t="str">
        <x:v>package</x:v>
      </x:c>
      <x:c r="D1285" s="27" t="str">
        <x:v>Package row 131 draft state</x:v>
      </x:c>
      <x:c r="E1285" s="27" t="n">
        <x:f>IF('Build Packages'!H131="DRAFT",1,0)</x:f>
        <x:v>1</x:v>
      </x:c>
      <x:c r="F1285" s="27" t="n">
        <x:v>1</x:v>
      </x:c>
      <x:c r="G1285" s="29" t="str">
        <x:f>IF(E1285=F1285,"PASS","FAIL")</x:f>
        <x:v>PASS</x:v>
      </x:c>
    </x:row>
    <x:row r="1286" ht="18" customHeight="1">
      <x:c r="B1286" s="27" t="str">
        <x:v>A1280</x:v>
      </x:c>
      <x:c r="C1286" s="27" t="str">
        <x:v>package</x:v>
      </x:c>
      <x:c r="D1286" s="27" t="str">
        <x:v>Package row 131 approval open</x:v>
      </x:c>
      <x:c r="E1286" s="27" t="n">
        <x:f>IF('Build Packages'!I131="OPEN",1,0)</x:f>
        <x:v>1</x:v>
      </x:c>
      <x:c r="F1286" s="27" t="n">
        <x:v>1</x:v>
      </x:c>
      <x:c r="G1286" s="29" t="str">
        <x:f>IF(E1286=F1286,"PASS","FAIL")</x:f>
        <x:v>PASS</x:v>
      </x:c>
    </x:row>
    <x:row r="1287" ht="18" customHeight="1">
      <x:c r="B1287" s="27" t="str">
        <x:v>A1281</x:v>
      </x:c>
      <x:c r="C1287" s="27" t="str">
        <x:v>package</x:v>
      </x:c>
      <x:c r="D1287" s="27" t="str">
        <x:v>Package row 131 zero credit</x:v>
      </x:c>
      <x:c r="E1287" s="27" t="n">
        <x:f>IF('Build Packages'!J131=0,1,0)</x:f>
        <x:v>1</x:v>
      </x:c>
      <x:c r="F1287" s="27" t="n">
        <x:v>1</x:v>
      </x:c>
      <x:c r="G1287" s="29" t="str">
        <x:f>IF(E1287=F1287,"PASS","FAIL")</x:f>
        <x:v>PASS</x:v>
      </x:c>
    </x:row>
    <x:row r="1288" ht="18" customHeight="1">
      <x:c r="B1288" s="27" t="str">
        <x:v>A1282</x:v>
      </x:c>
      <x:c r="C1288" s="27" t="str">
        <x:v>package</x:v>
      </x:c>
      <x:c r="D1288" s="27" t="str">
        <x:v>Package row 132 required content</x:v>
      </x:c>
      <x:c r="E1288" s="27" t="n">
        <x:f>IF('Build Packages'!F132&lt;&gt;"",1,0)</x:f>
        <x:v>1</x:v>
      </x:c>
      <x:c r="F1288" s="27" t="n">
        <x:v>1</x:v>
      </x:c>
      <x:c r="G1288" s="29" t="str">
        <x:f>IF(E1288=F1288,"PASS","FAIL")</x:f>
        <x:v>PASS</x:v>
      </x:c>
    </x:row>
    <x:row r="1289" ht="18" customHeight="1">
      <x:c r="B1289" s="27" t="str">
        <x:v>A1283</x:v>
      </x:c>
      <x:c r="C1289" s="27" t="str">
        <x:v>package</x:v>
      </x:c>
      <x:c r="D1289" s="27" t="str">
        <x:v>Package row 132 draft state</x:v>
      </x:c>
      <x:c r="E1289" s="27" t="n">
        <x:f>IF('Build Packages'!H132="DRAFT",1,0)</x:f>
        <x:v>1</x:v>
      </x:c>
      <x:c r="F1289" s="27" t="n">
        <x:v>1</x:v>
      </x:c>
      <x:c r="G1289" s="29" t="str">
        <x:f>IF(E1289=F1289,"PASS","FAIL")</x:f>
        <x:v>PASS</x:v>
      </x:c>
    </x:row>
    <x:row r="1290" ht="18" customHeight="1">
      <x:c r="B1290" s="27" t="str">
        <x:v>A1284</x:v>
      </x:c>
      <x:c r="C1290" s="27" t="str">
        <x:v>package</x:v>
      </x:c>
      <x:c r="D1290" s="27" t="str">
        <x:v>Package row 132 approval open</x:v>
      </x:c>
      <x:c r="E1290" s="27" t="n">
        <x:f>IF('Build Packages'!I132="OPEN",1,0)</x:f>
        <x:v>1</x:v>
      </x:c>
      <x:c r="F1290" s="27" t="n">
        <x:v>1</x:v>
      </x:c>
      <x:c r="G1290" s="29" t="str">
        <x:f>IF(E1290=F1290,"PASS","FAIL")</x:f>
        <x:v>PASS</x:v>
      </x:c>
    </x:row>
    <x:row r="1291" ht="18" customHeight="1">
      <x:c r="B1291" s="27" t="str">
        <x:v>A1285</x:v>
      </x:c>
      <x:c r="C1291" s="27" t="str">
        <x:v>package</x:v>
      </x:c>
      <x:c r="D1291" s="27" t="str">
        <x:v>Package row 132 zero credit</x:v>
      </x:c>
      <x:c r="E1291" s="27" t="n">
        <x:f>IF('Build Packages'!J132=0,1,0)</x:f>
        <x:v>1</x:v>
      </x:c>
      <x:c r="F1291" s="27" t="n">
        <x:v>1</x:v>
      </x:c>
      <x:c r="G1291" s="29" t="str">
        <x:f>IF(E1291=F1291,"PASS","FAIL")</x:f>
        <x:v>PASS</x:v>
      </x:c>
    </x:row>
    <x:row r="1292" ht="18" customHeight="1">
      <x:c r="B1292" s="27" t="str">
        <x:v>A1286</x:v>
      </x:c>
      <x:c r="C1292" s="27" t="str">
        <x:v>package</x:v>
      </x:c>
      <x:c r="D1292" s="27" t="str">
        <x:v>Package row 133 required content</x:v>
      </x:c>
      <x:c r="E1292" s="27" t="n">
        <x:f>IF('Build Packages'!F133&lt;&gt;"",1,0)</x:f>
        <x:v>1</x:v>
      </x:c>
      <x:c r="F1292" s="27" t="n">
        <x:v>1</x:v>
      </x:c>
      <x:c r="G1292" s="29" t="str">
        <x:f>IF(E1292=F1292,"PASS","FAIL")</x:f>
        <x:v>PASS</x:v>
      </x:c>
    </x:row>
    <x:row r="1293" ht="18" customHeight="1">
      <x:c r="B1293" s="27" t="str">
        <x:v>A1287</x:v>
      </x:c>
      <x:c r="C1293" s="27" t="str">
        <x:v>package</x:v>
      </x:c>
      <x:c r="D1293" s="27" t="str">
        <x:v>Package row 133 draft state</x:v>
      </x:c>
      <x:c r="E1293" s="27" t="n">
        <x:f>IF('Build Packages'!H133="DRAFT",1,0)</x:f>
        <x:v>1</x:v>
      </x:c>
      <x:c r="F1293" s="27" t="n">
        <x:v>1</x:v>
      </x:c>
      <x:c r="G1293" s="29" t="str">
        <x:f>IF(E1293=F1293,"PASS","FAIL")</x:f>
        <x:v>PASS</x:v>
      </x:c>
    </x:row>
    <x:row r="1294" ht="18" customHeight="1">
      <x:c r="B1294" s="27" t="str">
        <x:v>A1288</x:v>
      </x:c>
      <x:c r="C1294" s="27" t="str">
        <x:v>package</x:v>
      </x:c>
      <x:c r="D1294" s="27" t="str">
        <x:v>Package row 133 approval open</x:v>
      </x:c>
      <x:c r="E1294" s="27" t="n">
        <x:f>IF('Build Packages'!I133="OPEN",1,0)</x:f>
        <x:v>1</x:v>
      </x:c>
      <x:c r="F1294" s="27" t="n">
        <x:v>1</x:v>
      </x:c>
      <x:c r="G1294" s="29" t="str">
        <x:f>IF(E1294=F1294,"PASS","FAIL")</x:f>
        <x:v>PASS</x:v>
      </x:c>
    </x:row>
    <x:row r="1295" ht="18" customHeight="1">
      <x:c r="B1295" s="27" t="str">
        <x:v>A1289</x:v>
      </x:c>
      <x:c r="C1295" s="27" t="str">
        <x:v>package</x:v>
      </x:c>
      <x:c r="D1295" s="27" t="str">
        <x:v>Package row 133 zero credit</x:v>
      </x:c>
      <x:c r="E1295" s="27" t="n">
        <x:f>IF('Build Packages'!J133=0,1,0)</x:f>
        <x:v>1</x:v>
      </x:c>
      <x:c r="F1295" s="27" t="n">
        <x:v>1</x:v>
      </x:c>
      <x:c r="G1295" s="29" t="str">
        <x:f>IF(E1295=F1295,"PASS","FAIL")</x:f>
        <x:v>PASS</x:v>
      </x:c>
    </x:row>
    <x:row r="1296" ht="18" customHeight="1">
      <x:c r="B1296" s="27" t="str">
        <x:v>A1290</x:v>
      </x:c>
      <x:c r="C1296" s="27" t="str">
        <x:v>package</x:v>
      </x:c>
      <x:c r="D1296" s="27" t="str">
        <x:v>Package row 134 required content</x:v>
      </x:c>
      <x:c r="E1296" s="27" t="n">
        <x:f>IF('Build Packages'!F134&lt;&gt;"",1,0)</x:f>
        <x:v>1</x:v>
      </x:c>
      <x:c r="F1296" s="27" t="n">
        <x:v>1</x:v>
      </x:c>
      <x:c r="G1296" s="29" t="str">
        <x:f>IF(E1296=F1296,"PASS","FAIL")</x:f>
        <x:v>PASS</x:v>
      </x:c>
    </x:row>
    <x:row r="1297" ht="18" customHeight="1">
      <x:c r="B1297" s="27" t="str">
        <x:v>A1291</x:v>
      </x:c>
      <x:c r="C1297" s="27" t="str">
        <x:v>package</x:v>
      </x:c>
      <x:c r="D1297" s="27" t="str">
        <x:v>Package row 134 draft state</x:v>
      </x:c>
      <x:c r="E1297" s="27" t="n">
        <x:f>IF('Build Packages'!H134="DRAFT",1,0)</x:f>
        <x:v>1</x:v>
      </x:c>
      <x:c r="F1297" s="27" t="n">
        <x:v>1</x:v>
      </x:c>
      <x:c r="G1297" s="29" t="str">
        <x:f>IF(E1297=F1297,"PASS","FAIL")</x:f>
        <x:v>PASS</x:v>
      </x:c>
    </x:row>
    <x:row r="1298" ht="18" customHeight="1">
      <x:c r="B1298" s="27" t="str">
        <x:v>A1292</x:v>
      </x:c>
      <x:c r="C1298" s="27" t="str">
        <x:v>package</x:v>
      </x:c>
      <x:c r="D1298" s="27" t="str">
        <x:v>Package row 134 approval open</x:v>
      </x:c>
      <x:c r="E1298" s="27" t="n">
        <x:f>IF('Build Packages'!I134="OPEN",1,0)</x:f>
        <x:v>1</x:v>
      </x:c>
      <x:c r="F1298" s="27" t="n">
        <x:v>1</x:v>
      </x:c>
      <x:c r="G1298" s="29" t="str">
        <x:f>IF(E1298=F1298,"PASS","FAIL")</x:f>
        <x:v>PASS</x:v>
      </x:c>
    </x:row>
    <x:row r="1299" ht="18" customHeight="1">
      <x:c r="B1299" s="27" t="str">
        <x:v>A1293</x:v>
      </x:c>
      <x:c r="C1299" s="27" t="str">
        <x:v>package</x:v>
      </x:c>
      <x:c r="D1299" s="27" t="str">
        <x:v>Package row 134 zero credit</x:v>
      </x:c>
      <x:c r="E1299" s="27" t="n">
        <x:f>IF('Build Packages'!J134=0,1,0)</x:f>
        <x:v>1</x:v>
      </x:c>
      <x:c r="F1299" s="27" t="n">
        <x:v>1</x:v>
      </x:c>
      <x:c r="G1299" s="29" t="str">
        <x:f>IF(E1299=F1299,"PASS","FAIL")</x:f>
        <x:v>PASS</x:v>
      </x:c>
    </x:row>
    <x:row r="1300" ht="18" customHeight="1">
      <x:c r="B1300" s="27" t="str">
        <x:v>A1294</x:v>
      </x:c>
      <x:c r="C1300" s="27" t="str">
        <x:v>package</x:v>
      </x:c>
      <x:c r="D1300" s="27" t="str">
        <x:v>Package row 135 required content</x:v>
      </x:c>
      <x:c r="E1300" s="27" t="n">
        <x:f>IF('Build Packages'!F135&lt;&gt;"",1,0)</x:f>
        <x:v>1</x:v>
      </x:c>
      <x:c r="F1300" s="27" t="n">
        <x:v>1</x:v>
      </x:c>
      <x:c r="G1300" s="29" t="str">
        <x:f>IF(E1300=F1300,"PASS","FAIL")</x:f>
        <x:v>PASS</x:v>
      </x:c>
    </x:row>
    <x:row r="1301" ht="18" customHeight="1">
      <x:c r="B1301" s="27" t="str">
        <x:v>A1295</x:v>
      </x:c>
      <x:c r="C1301" s="27" t="str">
        <x:v>package</x:v>
      </x:c>
      <x:c r="D1301" s="27" t="str">
        <x:v>Package row 135 draft state</x:v>
      </x:c>
      <x:c r="E1301" s="27" t="n">
        <x:f>IF('Build Packages'!H135="DRAFT",1,0)</x:f>
        <x:v>1</x:v>
      </x:c>
      <x:c r="F1301" s="27" t="n">
        <x:v>1</x:v>
      </x:c>
      <x:c r="G1301" s="29" t="str">
        <x:f>IF(E1301=F1301,"PASS","FAIL")</x:f>
        <x:v>PASS</x:v>
      </x:c>
    </x:row>
    <x:row r="1302" ht="18" customHeight="1">
      <x:c r="B1302" s="27" t="str">
        <x:v>A1296</x:v>
      </x:c>
      <x:c r="C1302" s="27" t="str">
        <x:v>package</x:v>
      </x:c>
      <x:c r="D1302" s="27" t="str">
        <x:v>Package row 135 approval open</x:v>
      </x:c>
      <x:c r="E1302" s="27" t="n">
        <x:f>IF('Build Packages'!I135="OPEN",1,0)</x:f>
        <x:v>1</x:v>
      </x:c>
      <x:c r="F1302" s="27" t="n">
        <x:v>1</x:v>
      </x:c>
      <x:c r="G1302" s="29" t="str">
        <x:f>IF(E1302=F1302,"PASS","FAIL")</x:f>
        <x:v>PASS</x:v>
      </x:c>
    </x:row>
    <x:row r="1303" ht="18" customHeight="1">
      <x:c r="B1303" s="27" t="str">
        <x:v>A1297</x:v>
      </x:c>
      <x:c r="C1303" s="27" t="str">
        <x:v>package</x:v>
      </x:c>
      <x:c r="D1303" s="27" t="str">
        <x:v>Package row 135 zero credit</x:v>
      </x:c>
      <x:c r="E1303" s="27" t="n">
        <x:f>IF('Build Packages'!J135=0,1,0)</x:f>
        <x:v>1</x:v>
      </x:c>
      <x:c r="F1303" s="27" t="n">
        <x:v>1</x:v>
      </x:c>
      <x:c r="G1303" s="29" t="str">
        <x:f>IF(E1303=F1303,"PASS","FAIL")</x:f>
        <x:v>PASS</x:v>
      </x:c>
    </x:row>
    <x:row r="1304" ht="18" customHeight="1">
      <x:c r="B1304" s="27" t="str">
        <x:v>A1298</x:v>
      </x:c>
      <x:c r="C1304" s="27" t="str">
        <x:v>package</x:v>
      </x:c>
      <x:c r="D1304" s="27" t="str">
        <x:v>Package row 136 required content</x:v>
      </x:c>
      <x:c r="E1304" s="27" t="n">
        <x:f>IF('Build Packages'!F136&lt;&gt;"",1,0)</x:f>
        <x:v>1</x:v>
      </x:c>
      <x:c r="F1304" s="27" t="n">
        <x:v>1</x:v>
      </x:c>
      <x:c r="G1304" s="29" t="str">
        <x:f>IF(E1304=F1304,"PASS","FAIL")</x:f>
        <x:v>PASS</x:v>
      </x:c>
    </x:row>
    <x:row r="1305" ht="18" customHeight="1">
      <x:c r="B1305" s="27" t="str">
        <x:v>A1299</x:v>
      </x:c>
      <x:c r="C1305" s="27" t="str">
        <x:v>package</x:v>
      </x:c>
      <x:c r="D1305" s="27" t="str">
        <x:v>Package row 136 draft state</x:v>
      </x:c>
      <x:c r="E1305" s="27" t="n">
        <x:f>IF('Build Packages'!H136="DRAFT",1,0)</x:f>
        <x:v>1</x:v>
      </x:c>
      <x:c r="F1305" s="27" t="n">
        <x:v>1</x:v>
      </x:c>
      <x:c r="G1305" s="29" t="str">
        <x:f>IF(E1305=F1305,"PASS","FAIL")</x:f>
        <x:v>PASS</x:v>
      </x:c>
    </x:row>
    <x:row r="1306" ht="18" customHeight="1">
      <x:c r="B1306" s="27" t="str">
        <x:v>A1300</x:v>
      </x:c>
      <x:c r="C1306" s="27" t="str">
        <x:v>package</x:v>
      </x:c>
      <x:c r="D1306" s="27" t="str">
        <x:v>Package row 136 approval open</x:v>
      </x:c>
      <x:c r="E1306" s="27" t="n">
        <x:f>IF('Build Packages'!I136="OPEN",1,0)</x:f>
        <x:v>1</x:v>
      </x:c>
      <x:c r="F1306" s="27" t="n">
        <x:v>1</x:v>
      </x:c>
      <x:c r="G1306" s="29" t="str">
        <x:f>IF(E1306=F1306,"PASS","FAIL")</x:f>
        <x:v>PASS</x:v>
      </x:c>
    </x:row>
    <x:row r="1307" ht="18" customHeight="1">
      <x:c r="B1307" s="27" t="str">
        <x:v>A1301</x:v>
      </x:c>
      <x:c r="C1307" s="27" t="str">
        <x:v>package</x:v>
      </x:c>
      <x:c r="D1307" s="27" t="str">
        <x:v>Package row 136 zero credit</x:v>
      </x:c>
      <x:c r="E1307" s="27" t="n">
        <x:f>IF('Build Packages'!J136=0,1,0)</x:f>
        <x:v>1</x:v>
      </x:c>
      <x:c r="F1307" s="27" t="n">
        <x:v>1</x:v>
      </x:c>
      <x:c r="G1307" s="29" t="str">
        <x:f>IF(E1307=F1307,"PASS","FAIL")</x:f>
        <x:v>PASS</x:v>
      </x:c>
    </x:row>
    <x:row r="1308" ht="18" customHeight="1">
      <x:c r="B1308" s="27" t="str">
        <x:v>A1302</x:v>
      </x:c>
      <x:c r="C1308" s="27" t="str">
        <x:v>package</x:v>
      </x:c>
      <x:c r="D1308" s="27" t="str">
        <x:v>Package row 137 required content</x:v>
      </x:c>
      <x:c r="E1308" s="27" t="n">
        <x:f>IF('Build Packages'!F137&lt;&gt;"",1,0)</x:f>
        <x:v>1</x:v>
      </x:c>
      <x:c r="F1308" s="27" t="n">
        <x:v>1</x:v>
      </x:c>
      <x:c r="G1308" s="29" t="str">
        <x:f>IF(E1308=F1308,"PASS","FAIL")</x:f>
        <x:v>PASS</x:v>
      </x:c>
    </x:row>
    <x:row r="1309" ht="18" customHeight="1">
      <x:c r="B1309" s="27" t="str">
        <x:v>A1303</x:v>
      </x:c>
      <x:c r="C1309" s="27" t="str">
        <x:v>package</x:v>
      </x:c>
      <x:c r="D1309" s="27" t="str">
        <x:v>Package row 137 draft state</x:v>
      </x:c>
      <x:c r="E1309" s="27" t="n">
        <x:f>IF('Build Packages'!H137="DRAFT",1,0)</x:f>
        <x:v>1</x:v>
      </x:c>
      <x:c r="F1309" s="27" t="n">
        <x:v>1</x:v>
      </x:c>
      <x:c r="G1309" s="29" t="str">
        <x:f>IF(E1309=F1309,"PASS","FAIL")</x:f>
        <x:v>PASS</x:v>
      </x:c>
    </x:row>
    <x:row r="1310" ht="18" customHeight="1">
      <x:c r="B1310" s="27" t="str">
        <x:v>A1304</x:v>
      </x:c>
      <x:c r="C1310" s="27" t="str">
        <x:v>package</x:v>
      </x:c>
      <x:c r="D1310" s="27" t="str">
        <x:v>Package row 137 approval open</x:v>
      </x:c>
      <x:c r="E1310" s="27" t="n">
        <x:f>IF('Build Packages'!I137="OPEN",1,0)</x:f>
        <x:v>1</x:v>
      </x:c>
      <x:c r="F1310" s="27" t="n">
        <x:v>1</x:v>
      </x:c>
      <x:c r="G1310" s="29" t="str">
        <x:f>IF(E1310=F1310,"PASS","FAIL")</x:f>
        <x:v>PASS</x:v>
      </x:c>
    </x:row>
    <x:row r="1311" ht="18" customHeight="1">
      <x:c r="B1311" s="27" t="str">
        <x:v>A1305</x:v>
      </x:c>
      <x:c r="C1311" s="27" t="str">
        <x:v>package</x:v>
      </x:c>
      <x:c r="D1311" s="27" t="str">
        <x:v>Package row 137 zero credit</x:v>
      </x:c>
      <x:c r="E1311" s="27" t="n">
        <x:f>IF('Build Packages'!J137=0,1,0)</x:f>
        <x:v>1</x:v>
      </x:c>
      <x:c r="F1311" s="27" t="n">
        <x:v>1</x:v>
      </x:c>
      <x:c r="G1311" s="29" t="str">
        <x:f>IF(E1311=F1311,"PASS","FAIL")</x:f>
        <x:v>PASS</x:v>
      </x:c>
    </x:row>
    <x:row r="1312" ht="18" customHeight="1">
      <x:c r="B1312" s="27" t="str">
        <x:v>A1306</x:v>
      </x:c>
      <x:c r="C1312" s="27" t="str">
        <x:v>package</x:v>
      </x:c>
      <x:c r="D1312" s="27" t="str">
        <x:v>Package row 138 required content</x:v>
      </x:c>
      <x:c r="E1312" s="27" t="n">
        <x:f>IF('Build Packages'!F138&lt;&gt;"",1,0)</x:f>
        <x:v>1</x:v>
      </x:c>
      <x:c r="F1312" s="27" t="n">
        <x:v>1</x:v>
      </x:c>
      <x:c r="G1312" s="29" t="str">
        <x:f>IF(E1312=F1312,"PASS","FAIL")</x:f>
        <x:v>PASS</x:v>
      </x:c>
    </x:row>
    <x:row r="1313" ht="18" customHeight="1">
      <x:c r="B1313" s="27" t="str">
        <x:v>A1307</x:v>
      </x:c>
      <x:c r="C1313" s="27" t="str">
        <x:v>package</x:v>
      </x:c>
      <x:c r="D1313" s="27" t="str">
        <x:v>Package row 138 draft state</x:v>
      </x:c>
      <x:c r="E1313" s="27" t="n">
        <x:f>IF('Build Packages'!H138="DRAFT",1,0)</x:f>
        <x:v>1</x:v>
      </x:c>
      <x:c r="F1313" s="27" t="n">
        <x:v>1</x:v>
      </x:c>
      <x:c r="G1313" s="29" t="str">
        <x:f>IF(E1313=F1313,"PASS","FAIL")</x:f>
        <x:v>PASS</x:v>
      </x:c>
    </x:row>
    <x:row r="1314" ht="18" customHeight="1">
      <x:c r="B1314" s="27" t="str">
        <x:v>A1308</x:v>
      </x:c>
      <x:c r="C1314" s="27" t="str">
        <x:v>package</x:v>
      </x:c>
      <x:c r="D1314" s="27" t="str">
        <x:v>Package row 138 approval open</x:v>
      </x:c>
      <x:c r="E1314" s="27" t="n">
        <x:f>IF('Build Packages'!I138="OPEN",1,0)</x:f>
        <x:v>1</x:v>
      </x:c>
      <x:c r="F1314" s="27" t="n">
        <x:v>1</x:v>
      </x:c>
      <x:c r="G1314" s="29" t="str">
        <x:f>IF(E1314=F1314,"PASS","FAIL")</x:f>
        <x:v>PASS</x:v>
      </x:c>
    </x:row>
    <x:row r="1315" ht="18" customHeight="1">
      <x:c r="B1315" s="27" t="str">
        <x:v>A1309</x:v>
      </x:c>
      <x:c r="C1315" s="27" t="str">
        <x:v>package</x:v>
      </x:c>
      <x:c r="D1315" s="27" t="str">
        <x:v>Package row 138 zero credit</x:v>
      </x:c>
      <x:c r="E1315" s="27" t="n">
        <x:f>IF('Build Packages'!J138=0,1,0)</x:f>
        <x:v>1</x:v>
      </x:c>
      <x:c r="F1315" s="27" t="n">
        <x:v>1</x:v>
      </x:c>
      <x:c r="G1315" s="29" t="str">
        <x:f>IF(E1315=F1315,"PASS","FAIL")</x:f>
        <x:v>PASS</x:v>
      </x:c>
    </x:row>
    <x:row r="1316" ht="18" customHeight="1">
      <x:c r="B1316" s="27" t="str">
        <x:v>A1310</x:v>
      </x:c>
      <x:c r="C1316" s="27" t="str">
        <x:v>package</x:v>
      </x:c>
      <x:c r="D1316" s="27" t="str">
        <x:v>Package row 139 required content</x:v>
      </x:c>
      <x:c r="E1316" s="27" t="n">
        <x:f>IF('Build Packages'!F139&lt;&gt;"",1,0)</x:f>
        <x:v>1</x:v>
      </x:c>
      <x:c r="F1316" s="27" t="n">
        <x:v>1</x:v>
      </x:c>
      <x:c r="G1316" s="29" t="str">
        <x:f>IF(E1316=F1316,"PASS","FAIL")</x:f>
        <x:v>PASS</x:v>
      </x:c>
    </x:row>
    <x:row r="1317" ht="18" customHeight="1">
      <x:c r="B1317" s="27" t="str">
        <x:v>A1311</x:v>
      </x:c>
      <x:c r="C1317" s="27" t="str">
        <x:v>package</x:v>
      </x:c>
      <x:c r="D1317" s="27" t="str">
        <x:v>Package row 139 draft state</x:v>
      </x:c>
      <x:c r="E1317" s="27" t="n">
        <x:f>IF('Build Packages'!H139="DRAFT",1,0)</x:f>
        <x:v>1</x:v>
      </x:c>
      <x:c r="F1317" s="27" t="n">
        <x:v>1</x:v>
      </x:c>
      <x:c r="G1317" s="29" t="str">
        <x:f>IF(E1317=F1317,"PASS","FAIL")</x:f>
        <x:v>PASS</x:v>
      </x:c>
    </x:row>
    <x:row r="1318" ht="18" customHeight="1">
      <x:c r="B1318" s="27" t="str">
        <x:v>A1312</x:v>
      </x:c>
      <x:c r="C1318" s="27" t="str">
        <x:v>package</x:v>
      </x:c>
      <x:c r="D1318" s="27" t="str">
        <x:v>Package row 139 approval open</x:v>
      </x:c>
      <x:c r="E1318" s="27" t="n">
        <x:f>IF('Build Packages'!I139="OPEN",1,0)</x:f>
        <x:v>1</x:v>
      </x:c>
      <x:c r="F1318" s="27" t="n">
        <x:v>1</x:v>
      </x:c>
      <x:c r="G1318" s="29" t="str">
        <x:f>IF(E1318=F1318,"PASS","FAIL")</x:f>
        <x:v>PASS</x:v>
      </x:c>
    </x:row>
    <x:row r="1319" ht="18" customHeight="1">
      <x:c r="B1319" s="27" t="str">
        <x:v>A1313</x:v>
      </x:c>
      <x:c r="C1319" s="27" t="str">
        <x:v>package</x:v>
      </x:c>
      <x:c r="D1319" s="27" t="str">
        <x:v>Package row 139 zero credit</x:v>
      </x:c>
      <x:c r="E1319" s="27" t="n">
        <x:f>IF('Build Packages'!J139=0,1,0)</x:f>
        <x:v>1</x:v>
      </x:c>
      <x:c r="F1319" s="27" t="n">
        <x:v>1</x:v>
      </x:c>
      <x:c r="G1319" s="29" t="str">
        <x:f>IF(E1319=F1319,"PASS","FAIL")</x:f>
        <x:v>PASS</x:v>
      </x:c>
    </x:row>
    <x:row r="1320" ht="18" customHeight="1">
      <x:c r="B1320" s="27" t="str">
        <x:v>A1314</x:v>
      </x:c>
      <x:c r="C1320" s="27" t="str">
        <x:v>package</x:v>
      </x:c>
      <x:c r="D1320" s="27" t="str">
        <x:v>Package row 140 required content</x:v>
      </x:c>
      <x:c r="E1320" s="27" t="n">
        <x:f>IF('Build Packages'!F140&lt;&gt;"",1,0)</x:f>
        <x:v>1</x:v>
      </x:c>
      <x:c r="F1320" s="27" t="n">
        <x:v>1</x:v>
      </x:c>
      <x:c r="G1320" s="29" t="str">
        <x:f>IF(E1320=F1320,"PASS","FAIL")</x:f>
        <x:v>PASS</x:v>
      </x:c>
    </x:row>
    <x:row r="1321" ht="18" customHeight="1">
      <x:c r="B1321" s="27" t="str">
        <x:v>A1315</x:v>
      </x:c>
      <x:c r="C1321" s="27" t="str">
        <x:v>package</x:v>
      </x:c>
      <x:c r="D1321" s="27" t="str">
        <x:v>Package row 140 draft state</x:v>
      </x:c>
      <x:c r="E1321" s="27" t="n">
        <x:f>IF('Build Packages'!H140="DRAFT",1,0)</x:f>
        <x:v>1</x:v>
      </x:c>
      <x:c r="F1321" s="27" t="n">
        <x:v>1</x:v>
      </x:c>
      <x:c r="G1321" s="29" t="str">
        <x:f>IF(E1321=F1321,"PASS","FAIL")</x:f>
        <x:v>PASS</x:v>
      </x:c>
    </x:row>
    <x:row r="1322" ht="18" customHeight="1">
      <x:c r="B1322" s="27" t="str">
        <x:v>A1316</x:v>
      </x:c>
      <x:c r="C1322" s="27" t="str">
        <x:v>package</x:v>
      </x:c>
      <x:c r="D1322" s="27" t="str">
        <x:v>Package row 140 approval open</x:v>
      </x:c>
      <x:c r="E1322" s="27" t="n">
        <x:f>IF('Build Packages'!I140="OPEN",1,0)</x:f>
        <x:v>1</x:v>
      </x:c>
      <x:c r="F1322" s="27" t="n">
        <x:v>1</x:v>
      </x:c>
      <x:c r="G1322" s="29" t="str">
        <x:f>IF(E1322=F1322,"PASS","FAIL")</x:f>
        <x:v>PASS</x:v>
      </x:c>
    </x:row>
    <x:row r="1323" ht="18" customHeight="1">
      <x:c r="B1323" s="27" t="str">
        <x:v>A1317</x:v>
      </x:c>
      <x:c r="C1323" s="27" t="str">
        <x:v>package</x:v>
      </x:c>
      <x:c r="D1323" s="27" t="str">
        <x:v>Package row 140 zero credit</x:v>
      </x:c>
      <x:c r="E1323" s="27" t="n">
        <x:f>IF('Build Packages'!J140=0,1,0)</x:f>
        <x:v>1</x:v>
      </x:c>
      <x:c r="F1323" s="27" t="n">
        <x:v>1</x:v>
      </x:c>
      <x:c r="G1323" s="29" t="str">
        <x:f>IF(E1323=F1323,"PASS","FAIL")</x:f>
        <x:v>PASS</x:v>
      </x:c>
    </x:row>
    <x:row r="1324" ht="18" customHeight="1">
      <x:c r="B1324" s="27" t="str">
        <x:v>A1318</x:v>
      </x:c>
      <x:c r="C1324" s="27" t="str">
        <x:v>package</x:v>
      </x:c>
      <x:c r="D1324" s="27" t="str">
        <x:v>Package row 141 required content</x:v>
      </x:c>
      <x:c r="E1324" s="27" t="n">
        <x:f>IF('Build Packages'!F141&lt;&gt;"",1,0)</x:f>
        <x:v>1</x:v>
      </x:c>
      <x:c r="F1324" s="27" t="n">
        <x:v>1</x:v>
      </x:c>
      <x:c r="G1324" s="29" t="str">
        <x:f>IF(E1324=F1324,"PASS","FAIL")</x:f>
        <x:v>PASS</x:v>
      </x:c>
    </x:row>
    <x:row r="1325" ht="18" customHeight="1">
      <x:c r="B1325" s="27" t="str">
        <x:v>A1319</x:v>
      </x:c>
      <x:c r="C1325" s="27" t="str">
        <x:v>package</x:v>
      </x:c>
      <x:c r="D1325" s="27" t="str">
        <x:v>Package row 141 draft state</x:v>
      </x:c>
      <x:c r="E1325" s="27" t="n">
        <x:f>IF('Build Packages'!H141="DRAFT",1,0)</x:f>
        <x:v>1</x:v>
      </x:c>
      <x:c r="F1325" s="27" t="n">
        <x:v>1</x:v>
      </x:c>
      <x:c r="G1325" s="29" t="str">
        <x:f>IF(E1325=F1325,"PASS","FAIL")</x:f>
        <x:v>PASS</x:v>
      </x:c>
    </x:row>
    <x:row r="1326" ht="18" customHeight="1">
      <x:c r="B1326" s="27" t="str">
        <x:v>A1320</x:v>
      </x:c>
      <x:c r="C1326" s="27" t="str">
        <x:v>package</x:v>
      </x:c>
      <x:c r="D1326" s="27" t="str">
        <x:v>Package row 141 approval open</x:v>
      </x:c>
      <x:c r="E1326" s="27" t="n">
        <x:f>IF('Build Packages'!I141="OPEN",1,0)</x:f>
        <x:v>1</x:v>
      </x:c>
      <x:c r="F1326" s="27" t="n">
        <x:v>1</x:v>
      </x:c>
      <x:c r="G1326" s="29" t="str">
        <x:f>IF(E1326=F1326,"PASS","FAIL")</x:f>
        <x:v>PASS</x:v>
      </x:c>
    </x:row>
    <x:row r="1327" ht="18" customHeight="1">
      <x:c r="B1327" s="27" t="str">
        <x:v>A1321</x:v>
      </x:c>
      <x:c r="C1327" s="27" t="str">
        <x:v>package</x:v>
      </x:c>
      <x:c r="D1327" s="27" t="str">
        <x:v>Package row 141 zero credit</x:v>
      </x:c>
      <x:c r="E1327" s="27" t="n">
        <x:f>IF('Build Packages'!J141=0,1,0)</x:f>
        <x:v>1</x:v>
      </x:c>
      <x:c r="F1327" s="27" t="n">
        <x:v>1</x:v>
      </x:c>
      <x:c r="G1327" s="29" t="str">
        <x:f>IF(E1327=F1327,"PASS","FAIL")</x:f>
        <x:v>PASS</x:v>
      </x:c>
    </x:row>
    <x:row r="1328" ht="18" customHeight="1">
      <x:c r="B1328" s="27" t="str">
        <x:v>A1322</x:v>
      </x:c>
      <x:c r="C1328" s="27" t="str">
        <x:v>package</x:v>
      </x:c>
      <x:c r="D1328" s="27" t="str">
        <x:v>Package row 142 required content</x:v>
      </x:c>
      <x:c r="E1328" s="27" t="n">
        <x:f>IF('Build Packages'!F142&lt;&gt;"",1,0)</x:f>
        <x:v>1</x:v>
      </x:c>
      <x:c r="F1328" s="27" t="n">
        <x:v>1</x:v>
      </x:c>
      <x:c r="G1328" s="29" t="str">
        <x:f>IF(E1328=F1328,"PASS","FAIL")</x:f>
        <x:v>PASS</x:v>
      </x:c>
    </x:row>
    <x:row r="1329" ht="18" customHeight="1">
      <x:c r="B1329" s="27" t="str">
        <x:v>A1323</x:v>
      </x:c>
      <x:c r="C1329" s="27" t="str">
        <x:v>package</x:v>
      </x:c>
      <x:c r="D1329" s="27" t="str">
        <x:v>Package row 142 draft state</x:v>
      </x:c>
      <x:c r="E1329" s="27" t="n">
        <x:f>IF('Build Packages'!H142="DRAFT",1,0)</x:f>
        <x:v>1</x:v>
      </x:c>
      <x:c r="F1329" s="27" t="n">
        <x:v>1</x:v>
      </x:c>
      <x:c r="G1329" s="29" t="str">
        <x:f>IF(E1329=F1329,"PASS","FAIL")</x:f>
        <x:v>PASS</x:v>
      </x:c>
    </x:row>
    <x:row r="1330" ht="18" customHeight="1">
      <x:c r="B1330" s="27" t="str">
        <x:v>A1324</x:v>
      </x:c>
      <x:c r="C1330" s="27" t="str">
        <x:v>package</x:v>
      </x:c>
      <x:c r="D1330" s="27" t="str">
        <x:v>Package row 142 approval open</x:v>
      </x:c>
      <x:c r="E1330" s="27" t="n">
        <x:f>IF('Build Packages'!I142="OPEN",1,0)</x:f>
        <x:v>1</x:v>
      </x:c>
      <x:c r="F1330" s="27" t="n">
        <x:v>1</x:v>
      </x:c>
      <x:c r="G1330" s="29" t="str">
        <x:f>IF(E1330=F1330,"PASS","FAIL")</x:f>
        <x:v>PASS</x:v>
      </x:c>
    </x:row>
    <x:row r="1331" ht="18" customHeight="1">
      <x:c r="B1331" s="27" t="str">
        <x:v>A1325</x:v>
      </x:c>
      <x:c r="C1331" s="27" t="str">
        <x:v>package</x:v>
      </x:c>
      <x:c r="D1331" s="27" t="str">
        <x:v>Package row 142 zero credit</x:v>
      </x:c>
      <x:c r="E1331" s="27" t="n">
        <x:f>IF('Build Packages'!J142=0,1,0)</x:f>
        <x:v>1</x:v>
      </x:c>
      <x:c r="F1331" s="27" t="n">
        <x:v>1</x:v>
      </x:c>
      <x:c r="G1331" s="29" t="str">
        <x:f>IF(E1331=F1331,"PASS","FAIL")</x:f>
        <x:v>PASS</x:v>
      </x:c>
    </x:row>
    <x:row r="1332" ht="18" customHeight="1">
      <x:c r="B1332" s="27" t="str">
        <x:v>A1326</x:v>
      </x:c>
      <x:c r="C1332" s="27" t="str">
        <x:v>package</x:v>
      </x:c>
      <x:c r="D1332" s="27" t="str">
        <x:v>Package row 143 required content</x:v>
      </x:c>
      <x:c r="E1332" s="27" t="n">
        <x:f>IF('Build Packages'!F143&lt;&gt;"",1,0)</x:f>
        <x:v>1</x:v>
      </x:c>
      <x:c r="F1332" s="27" t="n">
        <x:v>1</x:v>
      </x:c>
      <x:c r="G1332" s="29" t="str">
        <x:f>IF(E1332=F1332,"PASS","FAIL")</x:f>
        <x:v>PASS</x:v>
      </x:c>
    </x:row>
    <x:row r="1333" ht="18" customHeight="1">
      <x:c r="B1333" s="27" t="str">
        <x:v>A1327</x:v>
      </x:c>
      <x:c r="C1333" s="27" t="str">
        <x:v>package</x:v>
      </x:c>
      <x:c r="D1333" s="27" t="str">
        <x:v>Package row 143 draft state</x:v>
      </x:c>
      <x:c r="E1333" s="27" t="n">
        <x:f>IF('Build Packages'!H143="DRAFT",1,0)</x:f>
        <x:v>1</x:v>
      </x:c>
      <x:c r="F1333" s="27" t="n">
        <x:v>1</x:v>
      </x:c>
      <x:c r="G1333" s="29" t="str">
        <x:f>IF(E1333=F1333,"PASS","FAIL")</x:f>
        <x:v>PASS</x:v>
      </x:c>
    </x:row>
    <x:row r="1334" ht="18" customHeight="1">
      <x:c r="B1334" s="27" t="str">
        <x:v>A1328</x:v>
      </x:c>
      <x:c r="C1334" s="27" t="str">
        <x:v>package</x:v>
      </x:c>
      <x:c r="D1334" s="27" t="str">
        <x:v>Package row 143 approval open</x:v>
      </x:c>
      <x:c r="E1334" s="27" t="n">
        <x:f>IF('Build Packages'!I143="OPEN",1,0)</x:f>
        <x:v>1</x:v>
      </x:c>
      <x:c r="F1334" s="27" t="n">
        <x:v>1</x:v>
      </x:c>
      <x:c r="G1334" s="29" t="str">
        <x:f>IF(E1334=F1334,"PASS","FAIL")</x:f>
        <x:v>PASS</x:v>
      </x:c>
    </x:row>
    <x:row r="1335" ht="18" customHeight="1">
      <x:c r="B1335" s="27" t="str">
        <x:v>A1329</x:v>
      </x:c>
      <x:c r="C1335" s="27" t="str">
        <x:v>package</x:v>
      </x:c>
      <x:c r="D1335" s="27" t="str">
        <x:v>Package row 143 zero credit</x:v>
      </x:c>
      <x:c r="E1335" s="27" t="n">
        <x:f>IF('Build Packages'!J143=0,1,0)</x:f>
        <x:v>1</x:v>
      </x:c>
      <x:c r="F1335" s="27" t="n">
        <x:v>1</x:v>
      </x:c>
      <x:c r="G1335" s="29" t="str">
        <x:f>IF(E1335=F1335,"PASS","FAIL")</x:f>
        <x:v>PASS</x:v>
      </x:c>
    </x:row>
    <x:row r="1336" ht="18" customHeight="1">
      <x:c r="B1336" s="27" t="str">
        <x:v>A1330</x:v>
      </x:c>
      <x:c r="C1336" s="27" t="str">
        <x:v>package</x:v>
      </x:c>
      <x:c r="D1336" s="27" t="str">
        <x:v>Package row 144 required content</x:v>
      </x:c>
      <x:c r="E1336" s="27" t="n">
        <x:f>IF('Build Packages'!F144&lt;&gt;"",1,0)</x:f>
        <x:v>1</x:v>
      </x:c>
      <x:c r="F1336" s="27" t="n">
        <x:v>1</x:v>
      </x:c>
      <x:c r="G1336" s="29" t="str">
        <x:f>IF(E1336=F1336,"PASS","FAIL")</x:f>
        <x:v>PASS</x:v>
      </x:c>
    </x:row>
    <x:row r="1337" ht="18" customHeight="1">
      <x:c r="B1337" s="27" t="str">
        <x:v>A1331</x:v>
      </x:c>
      <x:c r="C1337" s="27" t="str">
        <x:v>package</x:v>
      </x:c>
      <x:c r="D1337" s="27" t="str">
        <x:v>Package row 144 draft state</x:v>
      </x:c>
      <x:c r="E1337" s="27" t="n">
        <x:f>IF('Build Packages'!H144="DRAFT",1,0)</x:f>
        <x:v>1</x:v>
      </x:c>
      <x:c r="F1337" s="27" t="n">
        <x:v>1</x:v>
      </x:c>
      <x:c r="G1337" s="29" t="str">
        <x:f>IF(E1337=F1337,"PASS","FAIL")</x:f>
        <x:v>PASS</x:v>
      </x:c>
    </x:row>
    <x:row r="1338" ht="18" customHeight="1">
      <x:c r="B1338" s="27" t="str">
        <x:v>A1332</x:v>
      </x:c>
      <x:c r="C1338" s="27" t="str">
        <x:v>package</x:v>
      </x:c>
      <x:c r="D1338" s="27" t="str">
        <x:v>Package row 144 approval open</x:v>
      </x:c>
      <x:c r="E1338" s="27" t="n">
        <x:f>IF('Build Packages'!I144="OPEN",1,0)</x:f>
        <x:v>1</x:v>
      </x:c>
      <x:c r="F1338" s="27" t="n">
        <x:v>1</x:v>
      </x:c>
      <x:c r="G1338" s="29" t="str">
        <x:f>IF(E1338=F1338,"PASS","FAIL")</x:f>
        <x:v>PASS</x:v>
      </x:c>
    </x:row>
    <x:row r="1339" ht="18" customHeight="1">
      <x:c r="B1339" s="27" t="str">
        <x:v>A1333</x:v>
      </x:c>
      <x:c r="C1339" s="27" t="str">
        <x:v>package</x:v>
      </x:c>
      <x:c r="D1339" s="27" t="str">
        <x:v>Package row 144 zero credit</x:v>
      </x:c>
      <x:c r="E1339" s="27" t="n">
        <x:f>IF('Build Packages'!J144=0,1,0)</x:f>
        <x:v>1</x:v>
      </x:c>
      <x:c r="F1339" s="27" t="n">
        <x:v>1</x:v>
      </x:c>
      <x:c r="G1339" s="29" t="str">
        <x:f>IF(E1339=F1339,"PASS","FAIL")</x:f>
        <x:v>PASS</x:v>
      </x:c>
    </x:row>
    <x:row r="1340" ht="18" customHeight="1">
      <x:c r="B1340" s="27" t="str">
        <x:v>A1334</x:v>
      </x:c>
      <x:c r="C1340" s="27" t="str">
        <x:v>package</x:v>
      </x:c>
      <x:c r="D1340" s="27" t="str">
        <x:v>Package row 145 required content</x:v>
      </x:c>
      <x:c r="E1340" s="27" t="n">
        <x:f>IF('Build Packages'!F145&lt;&gt;"",1,0)</x:f>
        <x:v>1</x:v>
      </x:c>
      <x:c r="F1340" s="27" t="n">
        <x:v>1</x:v>
      </x:c>
      <x:c r="G1340" s="29" t="str">
        <x:f>IF(E1340=F1340,"PASS","FAIL")</x:f>
        <x:v>PASS</x:v>
      </x:c>
    </x:row>
    <x:row r="1341" ht="18" customHeight="1">
      <x:c r="B1341" s="27" t="str">
        <x:v>A1335</x:v>
      </x:c>
      <x:c r="C1341" s="27" t="str">
        <x:v>package</x:v>
      </x:c>
      <x:c r="D1341" s="27" t="str">
        <x:v>Package row 145 draft state</x:v>
      </x:c>
      <x:c r="E1341" s="27" t="n">
        <x:f>IF('Build Packages'!H145="DRAFT",1,0)</x:f>
        <x:v>1</x:v>
      </x:c>
      <x:c r="F1341" s="27" t="n">
        <x:v>1</x:v>
      </x:c>
      <x:c r="G1341" s="29" t="str">
        <x:f>IF(E1341=F1341,"PASS","FAIL")</x:f>
        <x:v>PASS</x:v>
      </x:c>
    </x:row>
    <x:row r="1342" ht="18" customHeight="1">
      <x:c r="B1342" s="27" t="str">
        <x:v>A1336</x:v>
      </x:c>
      <x:c r="C1342" s="27" t="str">
        <x:v>package</x:v>
      </x:c>
      <x:c r="D1342" s="27" t="str">
        <x:v>Package row 145 approval open</x:v>
      </x:c>
      <x:c r="E1342" s="27" t="n">
        <x:f>IF('Build Packages'!I145="OPEN",1,0)</x:f>
        <x:v>1</x:v>
      </x:c>
      <x:c r="F1342" s="27" t="n">
        <x:v>1</x:v>
      </x:c>
      <x:c r="G1342" s="29" t="str">
        <x:f>IF(E1342=F1342,"PASS","FAIL")</x:f>
        <x:v>PASS</x:v>
      </x:c>
    </x:row>
    <x:row r="1343" ht="18" customHeight="1">
      <x:c r="B1343" s="27" t="str">
        <x:v>A1337</x:v>
      </x:c>
      <x:c r="C1343" s="27" t="str">
        <x:v>package</x:v>
      </x:c>
      <x:c r="D1343" s="27" t="str">
        <x:v>Package row 145 zero credit</x:v>
      </x:c>
      <x:c r="E1343" s="27" t="n">
        <x:f>IF('Build Packages'!J145=0,1,0)</x:f>
        <x:v>1</x:v>
      </x:c>
      <x:c r="F1343" s="27" t="n">
        <x:v>1</x:v>
      </x:c>
      <x:c r="G1343" s="29" t="str">
        <x:f>IF(E1343=F1343,"PASS","FAIL")</x:f>
        <x:v>PASS</x:v>
      </x:c>
    </x:row>
    <x:row r="1344" ht="18" customHeight="1">
      <x:c r="B1344" s="27" t="str">
        <x:v>A1338</x:v>
      </x:c>
      <x:c r="C1344" s="27" t="str">
        <x:v>package</x:v>
      </x:c>
      <x:c r="D1344" s="27" t="str">
        <x:v>Package row 146 required content</x:v>
      </x:c>
      <x:c r="E1344" s="27" t="n">
        <x:f>IF('Build Packages'!F146&lt;&gt;"",1,0)</x:f>
        <x:v>1</x:v>
      </x:c>
      <x:c r="F1344" s="27" t="n">
        <x:v>1</x:v>
      </x:c>
      <x:c r="G1344" s="29" t="str">
        <x:f>IF(E1344=F1344,"PASS","FAIL")</x:f>
        <x:v>PASS</x:v>
      </x:c>
    </x:row>
    <x:row r="1345" ht="18" customHeight="1">
      <x:c r="B1345" s="27" t="str">
        <x:v>A1339</x:v>
      </x:c>
      <x:c r="C1345" s="27" t="str">
        <x:v>package</x:v>
      </x:c>
      <x:c r="D1345" s="27" t="str">
        <x:v>Package row 146 draft state</x:v>
      </x:c>
      <x:c r="E1345" s="27" t="n">
        <x:f>IF('Build Packages'!H146="DRAFT",1,0)</x:f>
        <x:v>1</x:v>
      </x:c>
      <x:c r="F1345" s="27" t="n">
        <x:v>1</x:v>
      </x:c>
      <x:c r="G1345" s="29" t="str">
        <x:f>IF(E1345=F1345,"PASS","FAIL")</x:f>
        <x:v>PASS</x:v>
      </x:c>
    </x:row>
    <x:row r="1346" ht="18" customHeight="1">
      <x:c r="B1346" s="27" t="str">
        <x:v>A1340</x:v>
      </x:c>
      <x:c r="C1346" s="27" t="str">
        <x:v>package</x:v>
      </x:c>
      <x:c r="D1346" s="27" t="str">
        <x:v>Package row 146 approval open</x:v>
      </x:c>
      <x:c r="E1346" s="27" t="n">
        <x:f>IF('Build Packages'!I146="OPEN",1,0)</x:f>
        <x:v>1</x:v>
      </x:c>
      <x:c r="F1346" s="27" t="n">
        <x:v>1</x:v>
      </x:c>
      <x:c r="G1346" s="29" t="str">
        <x:f>IF(E1346=F1346,"PASS","FAIL")</x:f>
        <x:v>PASS</x:v>
      </x:c>
    </x:row>
    <x:row r="1347" ht="18" customHeight="1">
      <x:c r="B1347" s="27" t="str">
        <x:v>A1341</x:v>
      </x:c>
      <x:c r="C1347" s="27" t="str">
        <x:v>package</x:v>
      </x:c>
      <x:c r="D1347" s="27" t="str">
        <x:v>Package row 146 zero credit</x:v>
      </x:c>
      <x:c r="E1347" s="27" t="n">
        <x:f>IF('Build Packages'!J146=0,1,0)</x:f>
        <x:v>1</x:v>
      </x:c>
      <x:c r="F1347" s="27" t="n">
        <x:v>1</x:v>
      </x:c>
      <x:c r="G1347" s="29" t="str">
        <x:f>IF(E1347=F1347,"PASS","FAIL")</x:f>
        <x:v>PASS</x:v>
      </x:c>
    </x:row>
    <x:row r="1348" ht="18" customHeight="1">
      <x:c r="B1348" s="27" t="str">
        <x:v>A1342</x:v>
      </x:c>
      <x:c r="C1348" s="27" t="str">
        <x:v>package</x:v>
      </x:c>
      <x:c r="D1348" s="27" t="str">
        <x:v>Package row 147 required content</x:v>
      </x:c>
      <x:c r="E1348" s="27" t="n">
        <x:f>IF('Build Packages'!F147&lt;&gt;"",1,0)</x:f>
        <x:v>1</x:v>
      </x:c>
      <x:c r="F1348" s="27" t="n">
        <x:v>1</x:v>
      </x:c>
      <x:c r="G1348" s="29" t="str">
        <x:f>IF(E1348=F1348,"PASS","FAIL")</x:f>
        <x:v>PASS</x:v>
      </x:c>
    </x:row>
    <x:row r="1349" ht="18" customHeight="1">
      <x:c r="B1349" s="27" t="str">
        <x:v>A1343</x:v>
      </x:c>
      <x:c r="C1349" s="27" t="str">
        <x:v>package</x:v>
      </x:c>
      <x:c r="D1349" s="27" t="str">
        <x:v>Package row 147 draft state</x:v>
      </x:c>
      <x:c r="E1349" s="27" t="n">
        <x:f>IF('Build Packages'!H147="DRAFT",1,0)</x:f>
        <x:v>1</x:v>
      </x:c>
      <x:c r="F1349" s="27" t="n">
        <x:v>1</x:v>
      </x:c>
      <x:c r="G1349" s="29" t="str">
        <x:f>IF(E1349=F1349,"PASS","FAIL")</x:f>
        <x:v>PASS</x:v>
      </x:c>
    </x:row>
    <x:row r="1350" ht="18" customHeight="1">
      <x:c r="B1350" s="27" t="str">
        <x:v>A1344</x:v>
      </x:c>
      <x:c r="C1350" s="27" t="str">
        <x:v>package</x:v>
      </x:c>
      <x:c r="D1350" s="27" t="str">
        <x:v>Package row 147 approval open</x:v>
      </x:c>
      <x:c r="E1350" s="27" t="n">
        <x:f>IF('Build Packages'!I147="OPEN",1,0)</x:f>
        <x:v>1</x:v>
      </x:c>
      <x:c r="F1350" s="27" t="n">
        <x:v>1</x:v>
      </x:c>
      <x:c r="G1350" s="29" t="str">
        <x:f>IF(E1350=F1350,"PASS","FAIL")</x:f>
        <x:v>PASS</x:v>
      </x:c>
    </x:row>
    <x:row r="1351" ht="18" customHeight="1">
      <x:c r="B1351" s="27" t="str">
        <x:v>A1345</x:v>
      </x:c>
      <x:c r="C1351" s="27" t="str">
        <x:v>package</x:v>
      </x:c>
      <x:c r="D1351" s="27" t="str">
        <x:v>Package row 147 zero credit</x:v>
      </x:c>
      <x:c r="E1351" s="27" t="n">
        <x:f>IF('Build Packages'!J147=0,1,0)</x:f>
        <x:v>1</x:v>
      </x:c>
      <x:c r="F1351" s="27" t="n">
        <x:v>1</x:v>
      </x:c>
      <x:c r="G1351" s="29" t="str">
        <x:f>IF(E1351=F1351,"PASS","FAIL")</x:f>
        <x:v>PASS</x:v>
      </x:c>
    </x:row>
    <x:row r="1352" ht="18" customHeight="1">
      <x:c r="B1352" s="27" t="str">
        <x:v>A1346</x:v>
      </x:c>
      <x:c r="C1352" s="27" t="str">
        <x:v>package</x:v>
      </x:c>
      <x:c r="D1352" s="27" t="str">
        <x:v>Package row 148 required content</x:v>
      </x:c>
      <x:c r="E1352" s="27" t="n">
        <x:f>IF('Build Packages'!F148&lt;&gt;"",1,0)</x:f>
        <x:v>1</x:v>
      </x:c>
      <x:c r="F1352" s="27" t="n">
        <x:v>1</x:v>
      </x:c>
      <x:c r="G1352" s="29" t="str">
        <x:f>IF(E1352=F1352,"PASS","FAIL")</x:f>
        <x:v>PASS</x:v>
      </x:c>
    </x:row>
    <x:row r="1353" ht="18" customHeight="1">
      <x:c r="B1353" s="27" t="str">
        <x:v>A1347</x:v>
      </x:c>
      <x:c r="C1353" s="27" t="str">
        <x:v>package</x:v>
      </x:c>
      <x:c r="D1353" s="27" t="str">
        <x:v>Package row 148 draft state</x:v>
      </x:c>
      <x:c r="E1353" s="27" t="n">
        <x:f>IF('Build Packages'!H148="DRAFT",1,0)</x:f>
        <x:v>1</x:v>
      </x:c>
      <x:c r="F1353" s="27" t="n">
        <x:v>1</x:v>
      </x:c>
      <x:c r="G1353" s="29" t="str">
        <x:f>IF(E1353=F1353,"PASS","FAIL")</x:f>
        <x:v>PASS</x:v>
      </x:c>
    </x:row>
    <x:row r="1354" ht="18" customHeight="1">
      <x:c r="B1354" s="27" t="str">
        <x:v>A1348</x:v>
      </x:c>
      <x:c r="C1354" s="27" t="str">
        <x:v>package</x:v>
      </x:c>
      <x:c r="D1354" s="27" t="str">
        <x:v>Package row 148 approval open</x:v>
      </x:c>
      <x:c r="E1354" s="27" t="n">
        <x:f>IF('Build Packages'!I148="OPEN",1,0)</x:f>
        <x:v>1</x:v>
      </x:c>
      <x:c r="F1354" s="27" t="n">
        <x:v>1</x:v>
      </x:c>
      <x:c r="G1354" s="29" t="str">
        <x:f>IF(E1354=F1354,"PASS","FAIL")</x:f>
        <x:v>PASS</x:v>
      </x:c>
    </x:row>
    <x:row r="1355" ht="18" customHeight="1">
      <x:c r="B1355" s="27" t="str">
        <x:v>A1349</x:v>
      </x:c>
      <x:c r="C1355" s="27" t="str">
        <x:v>package</x:v>
      </x:c>
      <x:c r="D1355" s="27" t="str">
        <x:v>Package row 148 zero credit</x:v>
      </x:c>
      <x:c r="E1355" s="27" t="n">
        <x:f>IF('Build Packages'!J148=0,1,0)</x:f>
        <x:v>1</x:v>
      </x:c>
      <x:c r="F1355" s="27" t="n">
        <x:v>1</x:v>
      </x:c>
      <x:c r="G1355" s="29" t="str">
        <x:f>IF(E1355=F1355,"PASS","FAIL")</x:f>
        <x:v>PASS</x:v>
      </x:c>
    </x:row>
    <x:row r="1356" ht="18" customHeight="1">
      <x:c r="B1356" s="27" t="str">
        <x:v>A1350</x:v>
      </x:c>
      <x:c r="C1356" s="27" t="str">
        <x:v>package</x:v>
      </x:c>
      <x:c r="D1356" s="27" t="str">
        <x:v>Package row 149 required content</x:v>
      </x:c>
      <x:c r="E1356" s="27" t="n">
        <x:f>IF('Build Packages'!F149&lt;&gt;"",1,0)</x:f>
        <x:v>1</x:v>
      </x:c>
      <x:c r="F1356" s="27" t="n">
        <x:v>1</x:v>
      </x:c>
      <x:c r="G1356" s="29" t="str">
        <x:f>IF(E1356=F1356,"PASS","FAIL")</x:f>
        <x:v>PASS</x:v>
      </x:c>
    </x:row>
    <x:row r="1357" ht="18" customHeight="1">
      <x:c r="B1357" s="27" t="str">
        <x:v>A1351</x:v>
      </x:c>
      <x:c r="C1357" s="27" t="str">
        <x:v>package</x:v>
      </x:c>
      <x:c r="D1357" s="27" t="str">
        <x:v>Package row 149 draft state</x:v>
      </x:c>
      <x:c r="E1357" s="27" t="n">
        <x:f>IF('Build Packages'!H149="DRAFT",1,0)</x:f>
        <x:v>1</x:v>
      </x:c>
      <x:c r="F1357" s="27" t="n">
        <x:v>1</x:v>
      </x:c>
      <x:c r="G1357" s="29" t="str">
        <x:f>IF(E1357=F1357,"PASS","FAIL")</x:f>
        <x:v>PASS</x:v>
      </x:c>
    </x:row>
    <x:row r="1358" ht="18" customHeight="1">
      <x:c r="B1358" s="27" t="str">
        <x:v>A1352</x:v>
      </x:c>
      <x:c r="C1358" s="27" t="str">
        <x:v>package</x:v>
      </x:c>
      <x:c r="D1358" s="27" t="str">
        <x:v>Package row 149 approval open</x:v>
      </x:c>
      <x:c r="E1358" s="27" t="n">
        <x:f>IF('Build Packages'!I149="OPEN",1,0)</x:f>
        <x:v>1</x:v>
      </x:c>
      <x:c r="F1358" s="27" t="n">
        <x:v>1</x:v>
      </x:c>
      <x:c r="G1358" s="29" t="str">
        <x:f>IF(E1358=F1358,"PASS","FAIL")</x:f>
        <x:v>PASS</x:v>
      </x:c>
    </x:row>
    <x:row r="1359" ht="18" customHeight="1">
      <x:c r="B1359" s="27" t="str">
        <x:v>A1353</x:v>
      </x:c>
      <x:c r="C1359" s="27" t="str">
        <x:v>package</x:v>
      </x:c>
      <x:c r="D1359" s="27" t="str">
        <x:v>Package row 149 zero credit</x:v>
      </x:c>
      <x:c r="E1359" s="27" t="n">
        <x:f>IF('Build Packages'!J149=0,1,0)</x:f>
        <x:v>1</x:v>
      </x:c>
      <x:c r="F1359" s="27" t="n">
        <x:v>1</x:v>
      </x:c>
      <x:c r="G1359" s="29" t="str">
        <x:f>IF(E1359=F1359,"PASS","FAIL")</x:f>
        <x:v>PASS</x:v>
      </x:c>
    </x:row>
    <x:row r="1360" ht="18" customHeight="1">
      <x:c r="B1360" s="27" t="str">
        <x:v>A1354</x:v>
      </x:c>
      <x:c r="C1360" s="27" t="str">
        <x:v>package</x:v>
      </x:c>
      <x:c r="D1360" s="27" t="str">
        <x:v>Package row 150 required content</x:v>
      </x:c>
      <x:c r="E1360" s="27" t="n">
        <x:f>IF('Build Packages'!F150&lt;&gt;"",1,0)</x:f>
        <x:v>1</x:v>
      </x:c>
      <x:c r="F1360" s="27" t="n">
        <x:v>1</x:v>
      </x:c>
      <x:c r="G1360" s="29" t="str">
        <x:f>IF(E1360=F1360,"PASS","FAIL")</x:f>
        <x:v>PASS</x:v>
      </x:c>
    </x:row>
    <x:row r="1361" ht="18" customHeight="1">
      <x:c r="B1361" s="27" t="str">
        <x:v>A1355</x:v>
      </x:c>
      <x:c r="C1361" s="27" t="str">
        <x:v>package</x:v>
      </x:c>
      <x:c r="D1361" s="27" t="str">
        <x:v>Package row 150 draft state</x:v>
      </x:c>
      <x:c r="E1361" s="27" t="n">
        <x:f>IF('Build Packages'!H150="DRAFT",1,0)</x:f>
        <x:v>1</x:v>
      </x:c>
      <x:c r="F1361" s="27" t="n">
        <x:v>1</x:v>
      </x:c>
      <x:c r="G1361" s="29" t="str">
        <x:f>IF(E1361=F1361,"PASS","FAIL")</x:f>
        <x:v>PASS</x:v>
      </x:c>
    </x:row>
    <x:row r="1362" ht="18" customHeight="1">
      <x:c r="B1362" s="27" t="str">
        <x:v>A1356</x:v>
      </x:c>
      <x:c r="C1362" s="27" t="str">
        <x:v>package</x:v>
      </x:c>
      <x:c r="D1362" s="27" t="str">
        <x:v>Package row 150 approval open</x:v>
      </x:c>
      <x:c r="E1362" s="27" t="n">
        <x:f>IF('Build Packages'!I150="OPEN",1,0)</x:f>
        <x:v>1</x:v>
      </x:c>
      <x:c r="F1362" s="27" t="n">
        <x:v>1</x:v>
      </x:c>
      <x:c r="G1362" s="29" t="str">
        <x:f>IF(E1362=F1362,"PASS","FAIL")</x:f>
        <x:v>PASS</x:v>
      </x:c>
    </x:row>
    <x:row r="1363" ht="18" customHeight="1">
      <x:c r="B1363" s="27" t="str">
        <x:v>A1357</x:v>
      </x:c>
      <x:c r="C1363" s="27" t="str">
        <x:v>package</x:v>
      </x:c>
      <x:c r="D1363" s="27" t="str">
        <x:v>Package row 150 zero credit</x:v>
      </x:c>
      <x:c r="E1363" s="27" t="n">
        <x:f>IF('Build Packages'!J150=0,1,0)</x:f>
        <x:v>1</x:v>
      </x:c>
      <x:c r="F1363" s="27" t="n">
        <x:v>1</x:v>
      </x:c>
      <x:c r="G1363" s="29" t="str">
        <x:f>IF(E1363=F1363,"PASS","FAIL")</x:f>
        <x:v>PASS</x:v>
      </x:c>
    </x:row>
    <x:row r="1364" ht="18" customHeight="1">
      <x:c r="B1364" s="27" t="str">
        <x:v>A1358</x:v>
      </x:c>
      <x:c r="C1364" s="27" t="str">
        <x:v>package</x:v>
      </x:c>
      <x:c r="D1364" s="27" t="str">
        <x:v>Package row 151 required content</x:v>
      </x:c>
      <x:c r="E1364" s="27" t="n">
        <x:f>IF('Build Packages'!F151&lt;&gt;"",1,0)</x:f>
        <x:v>1</x:v>
      </x:c>
      <x:c r="F1364" s="27" t="n">
        <x:v>1</x:v>
      </x:c>
      <x:c r="G1364" s="29" t="str">
        <x:f>IF(E1364=F1364,"PASS","FAIL")</x:f>
        <x:v>PASS</x:v>
      </x:c>
    </x:row>
    <x:row r="1365" ht="18" customHeight="1">
      <x:c r="B1365" s="27" t="str">
        <x:v>A1359</x:v>
      </x:c>
      <x:c r="C1365" s="27" t="str">
        <x:v>package</x:v>
      </x:c>
      <x:c r="D1365" s="27" t="str">
        <x:v>Package row 151 draft state</x:v>
      </x:c>
      <x:c r="E1365" s="27" t="n">
        <x:f>IF('Build Packages'!H151="DRAFT",1,0)</x:f>
        <x:v>1</x:v>
      </x:c>
      <x:c r="F1365" s="27" t="n">
        <x:v>1</x:v>
      </x:c>
      <x:c r="G1365" s="29" t="str">
        <x:f>IF(E1365=F1365,"PASS","FAIL")</x:f>
        <x:v>PASS</x:v>
      </x:c>
    </x:row>
    <x:row r="1366" ht="18" customHeight="1">
      <x:c r="B1366" s="27" t="str">
        <x:v>A1360</x:v>
      </x:c>
      <x:c r="C1366" s="27" t="str">
        <x:v>package</x:v>
      </x:c>
      <x:c r="D1366" s="27" t="str">
        <x:v>Package row 151 approval open</x:v>
      </x:c>
      <x:c r="E1366" s="27" t="n">
        <x:f>IF('Build Packages'!I151="OPEN",1,0)</x:f>
        <x:v>1</x:v>
      </x:c>
      <x:c r="F1366" s="27" t="n">
        <x:v>1</x:v>
      </x:c>
      <x:c r="G1366" s="29" t="str">
        <x:f>IF(E1366=F1366,"PASS","FAIL")</x:f>
        <x:v>PASS</x:v>
      </x:c>
    </x:row>
    <x:row r="1367" ht="18" customHeight="1">
      <x:c r="B1367" s="27" t="str">
        <x:v>A1361</x:v>
      </x:c>
      <x:c r="C1367" s="27" t="str">
        <x:v>package</x:v>
      </x:c>
      <x:c r="D1367" s="27" t="str">
        <x:v>Package row 151 zero credit</x:v>
      </x:c>
      <x:c r="E1367" s="27" t="n">
        <x:f>IF('Build Packages'!J151=0,1,0)</x:f>
        <x:v>1</x:v>
      </x:c>
      <x:c r="F1367" s="27" t="n">
        <x:v>1</x:v>
      </x:c>
      <x:c r="G1367" s="29" t="str">
        <x:f>IF(E1367=F1367,"PASS","FAIL")</x:f>
        <x:v>PASS</x:v>
      </x:c>
    </x:row>
    <x:row r="1368" ht="18" customHeight="1">
      <x:c r="B1368" s="27" t="str">
        <x:v>A1362</x:v>
      </x:c>
      <x:c r="C1368" s="27" t="str">
        <x:v>package</x:v>
      </x:c>
      <x:c r="D1368" s="27" t="str">
        <x:v>Package row 152 required content</x:v>
      </x:c>
      <x:c r="E1368" s="27" t="n">
        <x:f>IF('Build Packages'!F152&lt;&gt;"",1,0)</x:f>
        <x:v>1</x:v>
      </x:c>
      <x:c r="F1368" s="27" t="n">
        <x:v>1</x:v>
      </x:c>
      <x:c r="G1368" s="29" t="str">
        <x:f>IF(E1368=F1368,"PASS","FAIL")</x:f>
        <x:v>PASS</x:v>
      </x:c>
    </x:row>
    <x:row r="1369" ht="18" customHeight="1">
      <x:c r="B1369" s="27" t="str">
        <x:v>A1363</x:v>
      </x:c>
      <x:c r="C1369" s="27" t="str">
        <x:v>package</x:v>
      </x:c>
      <x:c r="D1369" s="27" t="str">
        <x:v>Package row 152 draft state</x:v>
      </x:c>
      <x:c r="E1369" s="27" t="n">
        <x:f>IF('Build Packages'!H152="DRAFT",1,0)</x:f>
        <x:v>1</x:v>
      </x:c>
      <x:c r="F1369" s="27" t="n">
        <x:v>1</x:v>
      </x:c>
      <x:c r="G1369" s="29" t="str">
        <x:f>IF(E1369=F1369,"PASS","FAIL")</x:f>
        <x:v>PASS</x:v>
      </x:c>
    </x:row>
    <x:row r="1370" ht="18" customHeight="1">
      <x:c r="B1370" s="27" t="str">
        <x:v>A1364</x:v>
      </x:c>
      <x:c r="C1370" s="27" t="str">
        <x:v>package</x:v>
      </x:c>
      <x:c r="D1370" s="27" t="str">
        <x:v>Package row 152 approval open</x:v>
      </x:c>
      <x:c r="E1370" s="27" t="n">
        <x:f>IF('Build Packages'!I152="OPEN",1,0)</x:f>
        <x:v>1</x:v>
      </x:c>
      <x:c r="F1370" s="27" t="n">
        <x:v>1</x:v>
      </x:c>
      <x:c r="G1370" s="29" t="str">
        <x:f>IF(E1370=F1370,"PASS","FAIL")</x:f>
        <x:v>PASS</x:v>
      </x:c>
    </x:row>
    <x:row r="1371" ht="18" customHeight="1">
      <x:c r="B1371" s="27" t="str">
        <x:v>A1365</x:v>
      </x:c>
      <x:c r="C1371" s="27" t="str">
        <x:v>package</x:v>
      </x:c>
      <x:c r="D1371" s="27" t="str">
        <x:v>Package row 152 zero credit</x:v>
      </x:c>
      <x:c r="E1371" s="27" t="n">
        <x:f>IF('Build Packages'!J152=0,1,0)</x:f>
        <x:v>1</x:v>
      </x:c>
      <x:c r="F1371" s="27" t="n">
        <x:v>1</x:v>
      </x:c>
      <x:c r="G1371" s="29" t="str">
        <x:f>IF(E1371=F1371,"PASS","FAIL")</x:f>
        <x:v>PASS</x:v>
      </x:c>
    </x:row>
    <x:row r="1372" ht="18" customHeight="1">
      <x:c r="B1372" s="27" t="str">
        <x:v>A1366</x:v>
      </x:c>
      <x:c r="C1372" s="27" t="str">
        <x:v>package</x:v>
      </x:c>
      <x:c r="D1372" s="27" t="str">
        <x:v>Package row 153 required content</x:v>
      </x:c>
      <x:c r="E1372" s="27" t="n">
        <x:f>IF('Build Packages'!F153&lt;&gt;"",1,0)</x:f>
        <x:v>1</x:v>
      </x:c>
      <x:c r="F1372" s="27" t="n">
        <x:v>1</x:v>
      </x:c>
      <x:c r="G1372" s="29" t="str">
        <x:f>IF(E1372=F1372,"PASS","FAIL")</x:f>
        <x:v>PASS</x:v>
      </x:c>
    </x:row>
    <x:row r="1373" ht="18" customHeight="1">
      <x:c r="B1373" s="27" t="str">
        <x:v>A1367</x:v>
      </x:c>
      <x:c r="C1373" s="27" t="str">
        <x:v>package</x:v>
      </x:c>
      <x:c r="D1373" s="27" t="str">
        <x:v>Package row 153 draft state</x:v>
      </x:c>
      <x:c r="E1373" s="27" t="n">
        <x:f>IF('Build Packages'!H153="DRAFT",1,0)</x:f>
        <x:v>1</x:v>
      </x:c>
      <x:c r="F1373" s="27" t="n">
        <x:v>1</x:v>
      </x:c>
      <x:c r="G1373" s="29" t="str">
        <x:f>IF(E1373=F1373,"PASS","FAIL")</x:f>
        <x:v>PASS</x:v>
      </x:c>
    </x:row>
    <x:row r="1374" ht="18" customHeight="1">
      <x:c r="B1374" s="27" t="str">
        <x:v>A1368</x:v>
      </x:c>
      <x:c r="C1374" s="27" t="str">
        <x:v>package</x:v>
      </x:c>
      <x:c r="D1374" s="27" t="str">
        <x:v>Package row 153 approval open</x:v>
      </x:c>
      <x:c r="E1374" s="27" t="n">
        <x:f>IF('Build Packages'!I153="OPEN",1,0)</x:f>
        <x:v>1</x:v>
      </x:c>
      <x:c r="F1374" s="27" t="n">
        <x:v>1</x:v>
      </x:c>
      <x:c r="G1374" s="29" t="str">
        <x:f>IF(E1374=F1374,"PASS","FAIL")</x:f>
        <x:v>PASS</x:v>
      </x:c>
    </x:row>
    <x:row r="1375" ht="18" customHeight="1">
      <x:c r="B1375" s="27" t="str">
        <x:v>A1369</x:v>
      </x:c>
      <x:c r="C1375" s="27" t="str">
        <x:v>package</x:v>
      </x:c>
      <x:c r="D1375" s="27" t="str">
        <x:v>Package row 153 zero credit</x:v>
      </x:c>
      <x:c r="E1375" s="27" t="n">
        <x:f>IF('Build Packages'!J153=0,1,0)</x:f>
        <x:v>1</x:v>
      </x:c>
      <x:c r="F1375" s="27" t="n">
        <x:v>1</x:v>
      </x:c>
      <x:c r="G1375" s="29" t="str">
        <x:f>IF(E1375=F1375,"PASS","FAIL")</x:f>
        <x:v>PASS</x:v>
      </x:c>
    </x:row>
    <x:row r="1376" ht="18" customHeight="1">
      <x:c r="B1376" s="27" t="str">
        <x:v>A1370</x:v>
      </x:c>
      <x:c r="C1376" s="27" t="str">
        <x:v>package</x:v>
      </x:c>
      <x:c r="D1376" s="27" t="str">
        <x:v>Package row 154 required content</x:v>
      </x:c>
      <x:c r="E1376" s="27" t="n">
        <x:f>IF('Build Packages'!F154&lt;&gt;"",1,0)</x:f>
        <x:v>1</x:v>
      </x:c>
      <x:c r="F1376" s="27" t="n">
        <x:v>1</x:v>
      </x:c>
      <x:c r="G1376" s="29" t="str">
        <x:f>IF(E1376=F1376,"PASS","FAIL")</x:f>
        <x:v>PASS</x:v>
      </x:c>
    </x:row>
    <x:row r="1377" ht="18" customHeight="1">
      <x:c r="B1377" s="27" t="str">
        <x:v>A1371</x:v>
      </x:c>
      <x:c r="C1377" s="27" t="str">
        <x:v>package</x:v>
      </x:c>
      <x:c r="D1377" s="27" t="str">
        <x:v>Package row 154 draft state</x:v>
      </x:c>
      <x:c r="E1377" s="27" t="n">
        <x:f>IF('Build Packages'!H154="DRAFT",1,0)</x:f>
        <x:v>1</x:v>
      </x:c>
      <x:c r="F1377" s="27" t="n">
        <x:v>1</x:v>
      </x:c>
      <x:c r="G1377" s="29" t="str">
        <x:f>IF(E1377=F1377,"PASS","FAIL")</x:f>
        <x:v>PASS</x:v>
      </x:c>
    </x:row>
    <x:row r="1378" ht="18" customHeight="1">
      <x:c r="B1378" s="27" t="str">
        <x:v>A1372</x:v>
      </x:c>
      <x:c r="C1378" s="27" t="str">
        <x:v>package</x:v>
      </x:c>
      <x:c r="D1378" s="27" t="str">
        <x:v>Package row 154 approval open</x:v>
      </x:c>
      <x:c r="E1378" s="27" t="n">
        <x:f>IF('Build Packages'!I154="OPEN",1,0)</x:f>
        <x:v>1</x:v>
      </x:c>
      <x:c r="F1378" s="27" t="n">
        <x:v>1</x:v>
      </x:c>
      <x:c r="G1378" s="29" t="str">
        <x:f>IF(E1378=F1378,"PASS","FAIL")</x:f>
        <x:v>PASS</x:v>
      </x:c>
    </x:row>
    <x:row r="1379" ht="18" customHeight="1">
      <x:c r="B1379" s="27" t="str">
        <x:v>A1373</x:v>
      </x:c>
      <x:c r="C1379" s="27" t="str">
        <x:v>package</x:v>
      </x:c>
      <x:c r="D1379" s="27" t="str">
        <x:v>Package row 154 zero credit</x:v>
      </x:c>
      <x:c r="E1379" s="27" t="n">
        <x:f>IF('Build Packages'!J154=0,1,0)</x:f>
        <x:v>1</x:v>
      </x:c>
      <x:c r="F1379" s="27" t="n">
        <x:v>1</x:v>
      </x:c>
      <x:c r="G1379" s="29" t="str">
        <x:f>IF(E1379=F1379,"PASS","FAIL")</x:f>
        <x:v>PASS</x:v>
      </x:c>
    </x:row>
    <x:row r="1380" ht="18" customHeight="1">
      <x:c r="B1380" s="27" t="str">
        <x:v>A1374</x:v>
      </x:c>
      <x:c r="C1380" s="27" t="str">
        <x:v>package</x:v>
      </x:c>
      <x:c r="D1380" s="27" t="str">
        <x:v>Package row 155 required content</x:v>
      </x:c>
      <x:c r="E1380" s="27" t="n">
        <x:f>IF('Build Packages'!F155&lt;&gt;"",1,0)</x:f>
        <x:v>1</x:v>
      </x:c>
      <x:c r="F1380" s="27" t="n">
        <x:v>1</x:v>
      </x:c>
      <x:c r="G1380" s="29" t="str">
        <x:f>IF(E1380=F1380,"PASS","FAIL")</x:f>
        <x:v>PASS</x:v>
      </x:c>
    </x:row>
    <x:row r="1381" ht="18" customHeight="1">
      <x:c r="B1381" s="27" t="str">
        <x:v>A1375</x:v>
      </x:c>
      <x:c r="C1381" s="27" t="str">
        <x:v>package</x:v>
      </x:c>
      <x:c r="D1381" s="27" t="str">
        <x:v>Package row 155 draft state</x:v>
      </x:c>
      <x:c r="E1381" s="27" t="n">
        <x:f>IF('Build Packages'!H155="DRAFT",1,0)</x:f>
        <x:v>1</x:v>
      </x:c>
      <x:c r="F1381" s="27" t="n">
        <x:v>1</x:v>
      </x:c>
      <x:c r="G1381" s="29" t="str">
        <x:f>IF(E1381=F1381,"PASS","FAIL")</x:f>
        <x:v>PASS</x:v>
      </x:c>
    </x:row>
    <x:row r="1382" ht="18" customHeight="1">
      <x:c r="B1382" s="27" t="str">
        <x:v>A1376</x:v>
      </x:c>
      <x:c r="C1382" s="27" t="str">
        <x:v>package</x:v>
      </x:c>
      <x:c r="D1382" s="27" t="str">
        <x:v>Package row 155 approval open</x:v>
      </x:c>
      <x:c r="E1382" s="27" t="n">
        <x:f>IF('Build Packages'!I155="OPEN",1,0)</x:f>
        <x:v>1</x:v>
      </x:c>
      <x:c r="F1382" s="27" t="n">
        <x:v>1</x:v>
      </x:c>
      <x:c r="G1382" s="29" t="str">
        <x:f>IF(E1382=F1382,"PASS","FAIL")</x:f>
        <x:v>PASS</x:v>
      </x:c>
    </x:row>
    <x:row r="1383" ht="18" customHeight="1">
      <x:c r="B1383" s="27" t="str">
        <x:v>A1377</x:v>
      </x:c>
      <x:c r="C1383" s="27" t="str">
        <x:v>package</x:v>
      </x:c>
      <x:c r="D1383" s="27" t="str">
        <x:v>Package row 155 zero credit</x:v>
      </x:c>
      <x:c r="E1383" s="27" t="n">
        <x:f>IF('Build Packages'!J155=0,1,0)</x:f>
        <x:v>1</x:v>
      </x:c>
      <x:c r="F1383" s="27" t="n">
        <x:v>1</x:v>
      </x:c>
      <x:c r="G1383" s="29" t="str">
        <x:f>IF(E1383=F1383,"PASS","FAIL")</x:f>
        <x:v>PASS</x:v>
      </x:c>
    </x:row>
    <x:row r="1384" ht="18" customHeight="1">
      <x:c r="B1384" s="27" t="str">
        <x:v>A1378</x:v>
      </x:c>
      <x:c r="C1384" s="27" t="str">
        <x:v>package</x:v>
      </x:c>
      <x:c r="D1384" s="27" t="str">
        <x:v>Package row 156 required content</x:v>
      </x:c>
      <x:c r="E1384" s="27" t="n">
        <x:f>IF('Build Packages'!F156&lt;&gt;"",1,0)</x:f>
        <x:v>1</x:v>
      </x:c>
      <x:c r="F1384" s="27" t="n">
        <x:v>1</x:v>
      </x:c>
      <x:c r="G1384" s="29" t="str">
        <x:f>IF(E1384=F1384,"PASS","FAIL")</x:f>
        <x:v>PASS</x:v>
      </x:c>
    </x:row>
    <x:row r="1385" ht="18" customHeight="1">
      <x:c r="B1385" s="27" t="str">
        <x:v>A1379</x:v>
      </x:c>
      <x:c r="C1385" s="27" t="str">
        <x:v>package</x:v>
      </x:c>
      <x:c r="D1385" s="27" t="str">
        <x:v>Package row 156 draft state</x:v>
      </x:c>
      <x:c r="E1385" s="27" t="n">
        <x:f>IF('Build Packages'!H156="DRAFT",1,0)</x:f>
        <x:v>1</x:v>
      </x:c>
      <x:c r="F1385" s="27" t="n">
        <x:v>1</x:v>
      </x:c>
      <x:c r="G1385" s="29" t="str">
        <x:f>IF(E1385=F1385,"PASS","FAIL")</x:f>
        <x:v>PASS</x:v>
      </x:c>
    </x:row>
    <x:row r="1386" ht="18" customHeight="1">
      <x:c r="B1386" s="27" t="str">
        <x:v>A1380</x:v>
      </x:c>
      <x:c r="C1386" s="27" t="str">
        <x:v>package</x:v>
      </x:c>
      <x:c r="D1386" s="27" t="str">
        <x:v>Package row 156 approval open</x:v>
      </x:c>
      <x:c r="E1386" s="27" t="n">
        <x:f>IF('Build Packages'!I156="OPEN",1,0)</x:f>
        <x:v>1</x:v>
      </x:c>
      <x:c r="F1386" s="27" t="n">
        <x:v>1</x:v>
      </x:c>
      <x:c r="G1386" s="29" t="str">
        <x:f>IF(E1386=F1386,"PASS","FAIL")</x:f>
        <x:v>PASS</x:v>
      </x:c>
    </x:row>
    <x:row r="1387" ht="18" customHeight="1">
      <x:c r="B1387" s="27" t="str">
        <x:v>A1381</x:v>
      </x:c>
      <x:c r="C1387" s="27" t="str">
        <x:v>package</x:v>
      </x:c>
      <x:c r="D1387" s="27" t="str">
        <x:v>Package row 156 zero credit</x:v>
      </x:c>
      <x:c r="E1387" s="27" t="n">
        <x:f>IF('Build Packages'!J156=0,1,0)</x:f>
        <x:v>1</x:v>
      </x:c>
      <x:c r="F1387" s="27" t="n">
        <x:v>1</x:v>
      </x:c>
      <x:c r="G1387" s="29" t="str">
        <x:f>IF(E1387=F1387,"PASS","FAIL")</x:f>
        <x:v>PASS</x:v>
      </x:c>
    </x:row>
    <x:row r="1388" ht="18" customHeight="1">
      <x:c r="B1388" s="27" t="str">
        <x:v>A1382</x:v>
      </x:c>
      <x:c r="C1388" s="27" t="str">
        <x:v>package</x:v>
      </x:c>
      <x:c r="D1388" s="27" t="str">
        <x:v>Package row 157 required content</x:v>
      </x:c>
      <x:c r="E1388" s="27" t="n">
        <x:f>IF('Build Packages'!F157&lt;&gt;"",1,0)</x:f>
        <x:v>1</x:v>
      </x:c>
      <x:c r="F1388" s="27" t="n">
        <x:v>1</x:v>
      </x:c>
      <x:c r="G1388" s="29" t="str">
        <x:f>IF(E1388=F1388,"PASS","FAIL")</x:f>
        <x:v>PASS</x:v>
      </x:c>
    </x:row>
    <x:row r="1389" ht="18" customHeight="1">
      <x:c r="B1389" s="27" t="str">
        <x:v>A1383</x:v>
      </x:c>
      <x:c r="C1389" s="27" t="str">
        <x:v>package</x:v>
      </x:c>
      <x:c r="D1389" s="27" t="str">
        <x:v>Package row 157 draft state</x:v>
      </x:c>
      <x:c r="E1389" s="27" t="n">
        <x:f>IF('Build Packages'!H157="DRAFT",1,0)</x:f>
        <x:v>1</x:v>
      </x:c>
      <x:c r="F1389" s="27" t="n">
        <x:v>1</x:v>
      </x:c>
      <x:c r="G1389" s="29" t="str">
        <x:f>IF(E1389=F1389,"PASS","FAIL")</x:f>
        <x:v>PASS</x:v>
      </x:c>
    </x:row>
    <x:row r="1390" ht="18" customHeight="1">
      <x:c r="B1390" s="27" t="str">
        <x:v>A1384</x:v>
      </x:c>
      <x:c r="C1390" s="27" t="str">
        <x:v>package</x:v>
      </x:c>
      <x:c r="D1390" s="27" t="str">
        <x:v>Package row 157 approval open</x:v>
      </x:c>
      <x:c r="E1390" s="27" t="n">
        <x:f>IF('Build Packages'!I157="OPEN",1,0)</x:f>
        <x:v>1</x:v>
      </x:c>
      <x:c r="F1390" s="27" t="n">
        <x:v>1</x:v>
      </x:c>
      <x:c r="G1390" s="29" t="str">
        <x:f>IF(E1390=F1390,"PASS","FAIL")</x:f>
        <x:v>PASS</x:v>
      </x:c>
    </x:row>
    <x:row r="1391" ht="18" customHeight="1">
      <x:c r="B1391" s="27" t="str">
        <x:v>A1385</x:v>
      </x:c>
      <x:c r="C1391" s="27" t="str">
        <x:v>package</x:v>
      </x:c>
      <x:c r="D1391" s="27" t="str">
        <x:v>Package row 157 zero credit</x:v>
      </x:c>
      <x:c r="E1391" s="27" t="n">
        <x:f>IF('Build Packages'!J157=0,1,0)</x:f>
        <x:v>1</x:v>
      </x:c>
      <x:c r="F1391" s="27" t="n">
        <x:v>1</x:v>
      </x:c>
      <x:c r="G1391" s="29" t="str">
        <x:f>IF(E1391=F1391,"PASS","FAIL")</x:f>
        <x:v>PASS</x:v>
      </x:c>
    </x:row>
    <x:row r="1392" ht="18" customHeight="1">
      <x:c r="B1392" s="27" t="str">
        <x:v>A1386</x:v>
      </x:c>
      <x:c r="C1392" s="27" t="str">
        <x:v>package</x:v>
      </x:c>
      <x:c r="D1392" s="27" t="str">
        <x:v>Package row 158 required content</x:v>
      </x:c>
      <x:c r="E1392" s="27" t="n">
        <x:f>IF('Build Packages'!F158&lt;&gt;"",1,0)</x:f>
        <x:v>1</x:v>
      </x:c>
      <x:c r="F1392" s="27" t="n">
        <x:v>1</x:v>
      </x:c>
      <x:c r="G1392" s="29" t="str">
        <x:f>IF(E1392=F1392,"PASS","FAIL")</x:f>
        <x:v>PASS</x:v>
      </x:c>
    </x:row>
    <x:row r="1393" ht="18" customHeight="1">
      <x:c r="B1393" s="27" t="str">
        <x:v>A1387</x:v>
      </x:c>
      <x:c r="C1393" s="27" t="str">
        <x:v>package</x:v>
      </x:c>
      <x:c r="D1393" s="27" t="str">
        <x:v>Package row 158 draft state</x:v>
      </x:c>
      <x:c r="E1393" s="27" t="n">
        <x:f>IF('Build Packages'!H158="DRAFT",1,0)</x:f>
        <x:v>1</x:v>
      </x:c>
      <x:c r="F1393" s="27" t="n">
        <x:v>1</x:v>
      </x:c>
      <x:c r="G1393" s="29" t="str">
        <x:f>IF(E1393=F1393,"PASS","FAIL")</x:f>
        <x:v>PASS</x:v>
      </x:c>
    </x:row>
    <x:row r="1394" ht="18" customHeight="1">
      <x:c r="B1394" s="27" t="str">
        <x:v>A1388</x:v>
      </x:c>
      <x:c r="C1394" s="27" t="str">
        <x:v>package</x:v>
      </x:c>
      <x:c r="D1394" s="27" t="str">
        <x:v>Package row 158 approval open</x:v>
      </x:c>
      <x:c r="E1394" s="27" t="n">
        <x:f>IF('Build Packages'!I158="OPEN",1,0)</x:f>
        <x:v>1</x:v>
      </x:c>
      <x:c r="F1394" s="27" t="n">
        <x:v>1</x:v>
      </x:c>
      <x:c r="G1394" s="29" t="str">
        <x:f>IF(E1394=F1394,"PASS","FAIL")</x:f>
        <x:v>PASS</x:v>
      </x:c>
    </x:row>
    <x:row r="1395" ht="18" customHeight="1">
      <x:c r="B1395" s="27" t="str">
        <x:v>A1389</x:v>
      </x:c>
      <x:c r="C1395" s="27" t="str">
        <x:v>package</x:v>
      </x:c>
      <x:c r="D1395" s="27" t="str">
        <x:v>Package row 158 zero credit</x:v>
      </x:c>
      <x:c r="E1395" s="27" t="n">
        <x:f>IF('Build Packages'!J158=0,1,0)</x:f>
        <x:v>1</x:v>
      </x:c>
      <x:c r="F1395" s="27" t="n">
        <x:v>1</x:v>
      </x:c>
      <x:c r="G1395" s="29" t="str">
        <x:f>IF(E1395=F1395,"PASS","FAIL")</x:f>
        <x:v>PASS</x:v>
      </x:c>
    </x:row>
    <x:row r="1396" ht="18" customHeight="1">
      <x:c r="B1396" s="27" t="str">
        <x:v>A1390</x:v>
      </x:c>
      <x:c r="C1396" s="27" t="str">
        <x:v>package</x:v>
      </x:c>
      <x:c r="D1396" s="27" t="str">
        <x:v>Package row 159 required content</x:v>
      </x:c>
      <x:c r="E1396" s="27" t="n">
        <x:f>IF('Build Packages'!F159&lt;&gt;"",1,0)</x:f>
        <x:v>1</x:v>
      </x:c>
      <x:c r="F1396" s="27" t="n">
        <x:v>1</x:v>
      </x:c>
      <x:c r="G1396" s="29" t="str">
        <x:f>IF(E1396=F1396,"PASS","FAIL")</x:f>
        <x:v>PASS</x:v>
      </x:c>
    </x:row>
    <x:row r="1397" ht="18" customHeight="1">
      <x:c r="B1397" s="27" t="str">
        <x:v>A1391</x:v>
      </x:c>
      <x:c r="C1397" s="27" t="str">
        <x:v>package</x:v>
      </x:c>
      <x:c r="D1397" s="27" t="str">
        <x:v>Package row 159 draft state</x:v>
      </x:c>
      <x:c r="E1397" s="27" t="n">
        <x:f>IF('Build Packages'!H159="DRAFT",1,0)</x:f>
        <x:v>1</x:v>
      </x:c>
      <x:c r="F1397" s="27" t="n">
        <x:v>1</x:v>
      </x:c>
      <x:c r="G1397" s="29" t="str">
        <x:f>IF(E1397=F1397,"PASS","FAIL")</x:f>
        <x:v>PASS</x:v>
      </x:c>
    </x:row>
    <x:row r="1398" ht="18" customHeight="1">
      <x:c r="B1398" s="27" t="str">
        <x:v>A1392</x:v>
      </x:c>
      <x:c r="C1398" s="27" t="str">
        <x:v>package</x:v>
      </x:c>
      <x:c r="D1398" s="27" t="str">
        <x:v>Package row 159 approval open</x:v>
      </x:c>
      <x:c r="E1398" s="27" t="n">
        <x:f>IF('Build Packages'!I159="OPEN",1,0)</x:f>
        <x:v>1</x:v>
      </x:c>
      <x:c r="F1398" s="27" t="n">
        <x:v>1</x:v>
      </x:c>
      <x:c r="G1398" s="29" t="str">
        <x:f>IF(E1398=F1398,"PASS","FAIL")</x:f>
        <x:v>PASS</x:v>
      </x:c>
    </x:row>
    <x:row r="1399" ht="18" customHeight="1">
      <x:c r="B1399" s="27" t="str">
        <x:v>A1393</x:v>
      </x:c>
      <x:c r="C1399" s="27" t="str">
        <x:v>package</x:v>
      </x:c>
      <x:c r="D1399" s="27" t="str">
        <x:v>Package row 159 zero credit</x:v>
      </x:c>
      <x:c r="E1399" s="27" t="n">
        <x:f>IF('Build Packages'!J159=0,1,0)</x:f>
        <x:v>1</x:v>
      </x:c>
      <x:c r="F1399" s="27" t="n">
        <x:v>1</x:v>
      </x:c>
      <x:c r="G1399" s="29" t="str">
        <x:f>IF(E1399=F1399,"PASS","FAIL")</x:f>
        <x:v>PASS</x:v>
      </x:c>
    </x:row>
    <x:row r="1400" ht="18" customHeight="1">
      <x:c r="B1400" s="27" t="str">
        <x:v>A1394</x:v>
      </x:c>
      <x:c r="C1400" s="27" t="str">
        <x:v>package</x:v>
      </x:c>
      <x:c r="D1400" s="27" t="str">
        <x:v>Package row 160 required content</x:v>
      </x:c>
      <x:c r="E1400" s="27" t="n">
        <x:f>IF('Build Packages'!F160&lt;&gt;"",1,0)</x:f>
        <x:v>1</x:v>
      </x:c>
      <x:c r="F1400" s="27" t="n">
        <x:v>1</x:v>
      </x:c>
      <x:c r="G1400" s="29" t="str">
        <x:f>IF(E1400=F1400,"PASS","FAIL")</x:f>
        <x:v>PASS</x:v>
      </x:c>
    </x:row>
    <x:row r="1401" ht="18" customHeight="1">
      <x:c r="B1401" s="27" t="str">
        <x:v>A1395</x:v>
      </x:c>
      <x:c r="C1401" s="27" t="str">
        <x:v>package</x:v>
      </x:c>
      <x:c r="D1401" s="27" t="str">
        <x:v>Package row 160 draft state</x:v>
      </x:c>
      <x:c r="E1401" s="27" t="n">
        <x:f>IF('Build Packages'!H160="DRAFT",1,0)</x:f>
        <x:v>1</x:v>
      </x:c>
      <x:c r="F1401" s="27" t="n">
        <x:v>1</x:v>
      </x:c>
      <x:c r="G1401" s="29" t="str">
        <x:f>IF(E1401=F1401,"PASS","FAIL")</x:f>
        <x:v>PASS</x:v>
      </x:c>
    </x:row>
    <x:row r="1402" ht="18" customHeight="1">
      <x:c r="B1402" s="27" t="str">
        <x:v>A1396</x:v>
      </x:c>
      <x:c r="C1402" s="27" t="str">
        <x:v>package</x:v>
      </x:c>
      <x:c r="D1402" s="27" t="str">
        <x:v>Package row 160 approval open</x:v>
      </x:c>
      <x:c r="E1402" s="27" t="n">
        <x:f>IF('Build Packages'!I160="OPEN",1,0)</x:f>
        <x:v>1</x:v>
      </x:c>
      <x:c r="F1402" s="27" t="n">
        <x:v>1</x:v>
      </x:c>
      <x:c r="G1402" s="29" t="str">
        <x:f>IF(E1402=F1402,"PASS","FAIL")</x:f>
        <x:v>PASS</x:v>
      </x:c>
    </x:row>
    <x:row r="1403" ht="18" customHeight="1">
      <x:c r="B1403" s="27" t="str">
        <x:v>A1397</x:v>
      </x:c>
      <x:c r="C1403" s="27" t="str">
        <x:v>package</x:v>
      </x:c>
      <x:c r="D1403" s="27" t="str">
        <x:v>Package row 160 zero credit</x:v>
      </x:c>
      <x:c r="E1403" s="27" t="n">
        <x:f>IF('Build Packages'!J160=0,1,0)</x:f>
        <x:v>1</x:v>
      </x:c>
      <x:c r="F1403" s="27" t="n">
        <x:v>1</x:v>
      </x:c>
      <x:c r="G1403" s="29" t="str">
        <x:f>IF(E1403=F1403,"PASS","FAIL")</x:f>
        <x:v>PASS</x:v>
      </x:c>
    </x:row>
    <x:row r="1404" ht="18" customHeight="1">
      <x:c r="B1404" s="27" t="str">
        <x:v>A1398</x:v>
      </x:c>
      <x:c r="C1404" s="27" t="str">
        <x:v>acceptance</x:v>
      </x:c>
      <x:c r="D1404" s="27" t="str">
        <x:v>Acceptance row 7 method present</x:v>
      </x:c>
      <x:c r="E1404" s="27" t="n">
        <x:f>IF('Acceptance Register'!G7&lt;&gt;"",1,0)</x:f>
        <x:v>1</x:v>
      </x:c>
      <x:c r="F1404" s="27" t="n">
        <x:v>1</x:v>
      </x:c>
      <x:c r="G1404" s="29" t="str">
        <x:f>IF(E1404=F1404,"PASS","FAIL")</x:f>
        <x:v>PASS</x:v>
      </x:c>
    </x:row>
    <x:row r="1405" ht="18" customHeight="1">
      <x:c r="B1405" s="27" t="str">
        <x:v>A1399</x:v>
      </x:c>
      <x:c r="C1405" s="27" t="str">
        <x:v>acceptance</x:v>
      </x:c>
      <x:c r="D1405" s="27" t="str">
        <x:v>Acceptance row 7 threshold present</x:v>
      </x:c>
      <x:c r="E1405" s="27" t="n">
        <x:f>IF('Acceptance Register'!H7&lt;&gt;"",1,0)</x:f>
        <x:v>1</x:v>
      </x:c>
      <x:c r="F1405" s="27" t="n">
        <x:v>1</x:v>
      </x:c>
      <x:c r="G1405" s="29" t="str">
        <x:f>IF(E1405=F1405,"PASS","FAIL")</x:f>
        <x:v>PASS</x:v>
      </x:c>
    </x:row>
    <x:row r="1406" ht="18" customHeight="1">
      <x:c r="B1406" s="27" t="str">
        <x:v>A1400</x:v>
      </x:c>
      <x:c r="C1406" s="27" t="str">
        <x:v>acceptance</x:v>
      </x:c>
      <x:c r="D1406" s="27" t="str">
        <x:v>Acceptance row 7 evidence open</x:v>
      </x:c>
      <x:c r="E1406" s="27" t="n">
        <x:f>IF('Acceptance Register'!K7="OPEN",1,0)</x:f>
        <x:v>1</x:v>
      </x:c>
      <x:c r="F1406" s="27" t="n">
        <x:v>1</x:v>
      </x:c>
      <x:c r="G1406" s="29" t="str">
        <x:f>IF(E1406=F1406,"PASS","FAIL")</x:f>
        <x:v>PASS</x:v>
      </x:c>
    </x:row>
    <x:row r="1407" ht="18" customHeight="1">
      <x:c r="B1407" s="27" t="str">
        <x:v>A1401</x:v>
      </x:c>
      <x:c r="C1407" s="27" t="str">
        <x:v>acceptance</x:v>
      </x:c>
      <x:c r="D1407" s="27" t="str">
        <x:v>Acceptance row 7 decision hold</x:v>
      </x:c>
      <x:c r="E1407" s="27" t="n">
        <x:f>IF('Acceptance Register'!L7="HOLD",1,0)</x:f>
        <x:v>1</x:v>
      </x:c>
      <x:c r="F1407" s="27" t="n">
        <x:v>1</x:v>
      </x:c>
      <x:c r="G1407" s="29" t="str">
        <x:f>IF(E1407=F1407,"PASS","FAIL")</x:f>
        <x:v>PASS</x:v>
      </x:c>
    </x:row>
    <x:row r="1408" ht="18" customHeight="1">
      <x:c r="B1408" s="27" t="str">
        <x:v>A1402</x:v>
      </x:c>
      <x:c r="C1408" s="27" t="str">
        <x:v>acceptance</x:v>
      </x:c>
      <x:c r="D1408" s="27" t="str">
        <x:v>Acceptance row 7 zero credit</x:v>
      </x:c>
      <x:c r="E1408" s="27" t="n">
        <x:f>IF('Acceptance Register'!M7=0,1,0)</x:f>
        <x:v>1</x:v>
      </x:c>
      <x:c r="F1408" s="27" t="n">
        <x:v>1</x:v>
      </x:c>
      <x:c r="G1408" s="29" t="str">
        <x:f>IF(E1408=F1408,"PASS","FAIL")</x:f>
        <x:v>PASS</x:v>
      </x:c>
    </x:row>
    <x:row r="1409" ht="18" customHeight="1">
      <x:c r="B1409" s="27" t="str">
        <x:v>A1403</x:v>
      </x:c>
      <x:c r="C1409" s="27" t="str">
        <x:v>acceptance</x:v>
      </x:c>
      <x:c r="D1409" s="27" t="str">
        <x:v>Acceptance row 8 method present</x:v>
      </x:c>
      <x:c r="E1409" s="27" t="n">
        <x:f>IF('Acceptance Register'!G8&lt;&gt;"",1,0)</x:f>
        <x:v>1</x:v>
      </x:c>
      <x:c r="F1409" s="27" t="n">
        <x:v>1</x:v>
      </x:c>
      <x:c r="G1409" s="29" t="str">
        <x:f>IF(E1409=F1409,"PASS","FAIL")</x:f>
        <x:v>PASS</x:v>
      </x:c>
    </x:row>
    <x:row r="1410" ht="18" customHeight="1">
      <x:c r="B1410" s="27" t="str">
        <x:v>A1404</x:v>
      </x:c>
      <x:c r="C1410" s="27" t="str">
        <x:v>acceptance</x:v>
      </x:c>
      <x:c r="D1410" s="27" t="str">
        <x:v>Acceptance row 8 threshold present</x:v>
      </x:c>
      <x:c r="E1410" s="27" t="n">
        <x:f>IF('Acceptance Register'!H8&lt;&gt;"",1,0)</x:f>
        <x:v>1</x:v>
      </x:c>
      <x:c r="F1410" s="27" t="n">
        <x:v>1</x:v>
      </x:c>
      <x:c r="G1410" s="29" t="str">
        <x:f>IF(E1410=F1410,"PASS","FAIL")</x:f>
        <x:v>PASS</x:v>
      </x:c>
    </x:row>
    <x:row r="1411" ht="18" customHeight="1">
      <x:c r="B1411" s="27" t="str">
        <x:v>A1405</x:v>
      </x:c>
      <x:c r="C1411" s="27" t="str">
        <x:v>acceptance</x:v>
      </x:c>
      <x:c r="D1411" s="27" t="str">
        <x:v>Acceptance row 8 evidence open</x:v>
      </x:c>
      <x:c r="E1411" s="27" t="n">
        <x:f>IF('Acceptance Register'!K8="OPEN",1,0)</x:f>
        <x:v>1</x:v>
      </x:c>
      <x:c r="F1411" s="27" t="n">
        <x:v>1</x:v>
      </x:c>
      <x:c r="G1411" s="29" t="str">
        <x:f>IF(E1411=F1411,"PASS","FAIL")</x:f>
        <x:v>PASS</x:v>
      </x:c>
    </x:row>
    <x:row r="1412" ht="18" customHeight="1">
      <x:c r="B1412" s="27" t="str">
        <x:v>A1406</x:v>
      </x:c>
      <x:c r="C1412" s="27" t="str">
        <x:v>acceptance</x:v>
      </x:c>
      <x:c r="D1412" s="27" t="str">
        <x:v>Acceptance row 8 decision hold</x:v>
      </x:c>
      <x:c r="E1412" s="27" t="n">
        <x:f>IF('Acceptance Register'!L8="HOLD",1,0)</x:f>
        <x:v>1</x:v>
      </x:c>
      <x:c r="F1412" s="27" t="n">
        <x:v>1</x:v>
      </x:c>
      <x:c r="G1412" s="29" t="str">
        <x:f>IF(E1412=F1412,"PASS","FAIL")</x:f>
        <x:v>PASS</x:v>
      </x:c>
    </x:row>
    <x:row r="1413" ht="18" customHeight="1">
      <x:c r="B1413" s="27" t="str">
        <x:v>A1407</x:v>
      </x:c>
      <x:c r="C1413" s="27" t="str">
        <x:v>acceptance</x:v>
      </x:c>
      <x:c r="D1413" s="27" t="str">
        <x:v>Acceptance row 8 zero credit</x:v>
      </x:c>
      <x:c r="E1413" s="27" t="n">
        <x:f>IF('Acceptance Register'!M8=0,1,0)</x:f>
        <x:v>1</x:v>
      </x:c>
      <x:c r="F1413" s="27" t="n">
        <x:v>1</x:v>
      </x:c>
      <x:c r="G1413" s="29" t="str">
        <x:f>IF(E1413=F1413,"PASS","FAIL")</x:f>
        <x:v>PASS</x:v>
      </x:c>
    </x:row>
    <x:row r="1414" ht="18" customHeight="1">
      <x:c r="B1414" s="27" t="str">
        <x:v>A1408</x:v>
      </x:c>
      <x:c r="C1414" s="27" t="str">
        <x:v>acceptance</x:v>
      </x:c>
      <x:c r="D1414" s="27" t="str">
        <x:v>Acceptance row 9 method present</x:v>
      </x:c>
      <x:c r="E1414" s="27" t="n">
        <x:f>IF('Acceptance Register'!G9&lt;&gt;"",1,0)</x:f>
        <x:v>1</x:v>
      </x:c>
      <x:c r="F1414" s="27" t="n">
        <x:v>1</x:v>
      </x:c>
      <x:c r="G1414" s="29" t="str">
        <x:f>IF(E1414=F1414,"PASS","FAIL")</x:f>
        <x:v>PASS</x:v>
      </x:c>
    </x:row>
    <x:row r="1415" ht="18" customHeight="1">
      <x:c r="B1415" s="27" t="str">
        <x:v>A1409</x:v>
      </x:c>
      <x:c r="C1415" s="27" t="str">
        <x:v>acceptance</x:v>
      </x:c>
      <x:c r="D1415" s="27" t="str">
        <x:v>Acceptance row 9 threshold present</x:v>
      </x:c>
      <x:c r="E1415" s="27" t="n">
        <x:f>IF('Acceptance Register'!H9&lt;&gt;"",1,0)</x:f>
        <x:v>1</x:v>
      </x:c>
      <x:c r="F1415" s="27" t="n">
        <x:v>1</x:v>
      </x:c>
      <x:c r="G1415" s="29" t="str">
        <x:f>IF(E1415=F1415,"PASS","FAIL")</x:f>
        <x:v>PASS</x:v>
      </x:c>
    </x:row>
    <x:row r="1416" ht="18" customHeight="1">
      <x:c r="B1416" s="27" t="str">
        <x:v>A1410</x:v>
      </x:c>
      <x:c r="C1416" s="27" t="str">
        <x:v>acceptance</x:v>
      </x:c>
      <x:c r="D1416" s="27" t="str">
        <x:v>Acceptance row 9 evidence open</x:v>
      </x:c>
      <x:c r="E1416" s="27" t="n">
        <x:f>IF('Acceptance Register'!K9="OPEN",1,0)</x:f>
        <x:v>1</x:v>
      </x:c>
      <x:c r="F1416" s="27" t="n">
        <x:v>1</x:v>
      </x:c>
      <x:c r="G1416" s="29" t="str">
        <x:f>IF(E1416=F1416,"PASS","FAIL")</x:f>
        <x:v>PASS</x:v>
      </x:c>
    </x:row>
    <x:row r="1417" ht="18" customHeight="1">
      <x:c r="B1417" s="27" t="str">
        <x:v>A1411</x:v>
      </x:c>
      <x:c r="C1417" s="27" t="str">
        <x:v>acceptance</x:v>
      </x:c>
      <x:c r="D1417" s="27" t="str">
        <x:v>Acceptance row 9 decision hold</x:v>
      </x:c>
      <x:c r="E1417" s="27" t="n">
        <x:f>IF('Acceptance Register'!L9="HOLD",1,0)</x:f>
        <x:v>1</x:v>
      </x:c>
      <x:c r="F1417" s="27" t="n">
        <x:v>1</x:v>
      </x:c>
      <x:c r="G1417" s="29" t="str">
        <x:f>IF(E1417=F1417,"PASS","FAIL")</x:f>
        <x:v>PASS</x:v>
      </x:c>
    </x:row>
    <x:row r="1418" ht="18" customHeight="1">
      <x:c r="B1418" s="27" t="str">
        <x:v>A1412</x:v>
      </x:c>
      <x:c r="C1418" s="27" t="str">
        <x:v>acceptance</x:v>
      </x:c>
      <x:c r="D1418" s="27" t="str">
        <x:v>Acceptance row 9 zero credit</x:v>
      </x:c>
      <x:c r="E1418" s="27" t="n">
        <x:f>IF('Acceptance Register'!M9=0,1,0)</x:f>
        <x:v>1</x:v>
      </x:c>
      <x:c r="F1418" s="27" t="n">
        <x:v>1</x:v>
      </x:c>
      <x:c r="G1418" s="29" t="str">
        <x:f>IF(E1418=F1418,"PASS","FAIL")</x:f>
        <x:v>PASS</x:v>
      </x:c>
    </x:row>
    <x:row r="1419" ht="18" customHeight="1">
      <x:c r="B1419" s="27" t="str">
        <x:v>A1413</x:v>
      </x:c>
      <x:c r="C1419" s="27" t="str">
        <x:v>acceptance</x:v>
      </x:c>
      <x:c r="D1419" s="27" t="str">
        <x:v>Acceptance row 10 method present</x:v>
      </x:c>
      <x:c r="E1419" s="27" t="n">
        <x:f>IF('Acceptance Register'!G10&lt;&gt;"",1,0)</x:f>
        <x:v>1</x:v>
      </x:c>
      <x:c r="F1419" s="27" t="n">
        <x:v>1</x:v>
      </x:c>
      <x:c r="G1419" s="29" t="str">
        <x:f>IF(E1419=F1419,"PASS","FAIL")</x:f>
        <x:v>PASS</x:v>
      </x:c>
    </x:row>
    <x:row r="1420" ht="18" customHeight="1">
      <x:c r="B1420" s="27" t="str">
        <x:v>A1414</x:v>
      </x:c>
      <x:c r="C1420" s="27" t="str">
        <x:v>acceptance</x:v>
      </x:c>
      <x:c r="D1420" s="27" t="str">
        <x:v>Acceptance row 10 threshold present</x:v>
      </x:c>
      <x:c r="E1420" s="27" t="n">
        <x:f>IF('Acceptance Register'!H10&lt;&gt;"",1,0)</x:f>
        <x:v>1</x:v>
      </x:c>
      <x:c r="F1420" s="27" t="n">
        <x:v>1</x:v>
      </x:c>
      <x:c r="G1420" s="29" t="str">
        <x:f>IF(E1420=F1420,"PASS","FAIL")</x:f>
        <x:v>PASS</x:v>
      </x:c>
    </x:row>
    <x:row r="1421" ht="18" customHeight="1">
      <x:c r="B1421" s="27" t="str">
        <x:v>A1415</x:v>
      </x:c>
      <x:c r="C1421" s="27" t="str">
        <x:v>acceptance</x:v>
      </x:c>
      <x:c r="D1421" s="27" t="str">
        <x:v>Acceptance row 10 evidence open</x:v>
      </x:c>
      <x:c r="E1421" s="27" t="n">
        <x:f>IF('Acceptance Register'!K10="OPEN",1,0)</x:f>
        <x:v>1</x:v>
      </x:c>
      <x:c r="F1421" s="27" t="n">
        <x:v>1</x:v>
      </x:c>
      <x:c r="G1421" s="29" t="str">
        <x:f>IF(E1421=F1421,"PASS","FAIL")</x:f>
        <x:v>PASS</x:v>
      </x:c>
    </x:row>
    <x:row r="1422" ht="18" customHeight="1">
      <x:c r="B1422" s="27" t="str">
        <x:v>A1416</x:v>
      </x:c>
      <x:c r="C1422" s="27" t="str">
        <x:v>acceptance</x:v>
      </x:c>
      <x:c r="D1422" s="27" t="str">
        <x:v>Acceptance row 10 decision hold</x:v>
      </x:c>
      <x:c r="E1422" s="27" t="n">
        <x:f>IF('Acceptance Register'!L10="HOLD",1,0)</x:f>
        <x:v>1</x:v>
      </x:c>
      <x:c r="F1422" s="27" t="n">
        <x:v>1</x:v>
      </x:c>
      <x:c r="G1422" s="29" t="str">
        <x:f>IF(E1422=F1422,"PASS","FAIL")</x:f>
        <x:v>PASS</x:v>
      </x:c>
    </x:row>
    <x:row r="1423" ht="18" customHeight="1">
      <x:c r="B1423" s="27" t="str">
        <x:v>A1417</x:v>
      </x:c>
      <x:c r="C1423" s="27" t="str">
        <x:v>acceptance</x:v>
      </x:c>
      <x:c r="D1423" s="27" t="str">
        <x:v>Acceptance row 10 zero credit</x:v>
      </x:c>
      <x:c r="E1423" s="27" t="n">
        <x:f>IF('Acceptance Register'!M10=0,1,0)</x:f>
        <x:v>1</x:v>
      </x:c>
      <x:c r="F1423" s="27" t="n">
        <x:v>1</x:v>
      </x:c>
      <x:c r="G1423" s="29" t="str">
        <x:f>IF(E1423=F1423,"PASS","FAIL")</x:f>
        <x:v>PASS</x:v>
      </x:c>
    </x:row>
    <x:row r="1424" ht="18" customHeight="1">
      <x:c r="B1424" s="27" t="str">
        <x:v>A1418</x:v>
      </x:c>
      <x:c r="C1424" s="27" t="str">
        <x:v>acceptance</x:v>
      </x:c>
      <x:c r="D1424" s="27" t="str">
        <x:v>Acceptance row 11 method present</x:v>
      </x:c>
      <x:c r="E1424" s="27" t="n">
        <x:f>IF('Acceptance Register'!G11&lt;&gt;"",1,0)</x:f>
        <x:v>1</x:v>
      </x:c>
      <x:c r="F1424" s="27" t="n">
        <x:v>1</x:v>
      </x:c>
      <x:c r="G1424" s="29" t="str">
        <x:f>IF(E1424=F1424,"PASS","FAIL")</x:f>
        <x:v>PASS</x:v>
      </x:c>
    </x:row>
    <x:row r="1425" ht="18" customHeight="1">
      <x:c r="B1425" s="27" t="str">
        <x:v>A1419</x:v>
      </x:c>
      <x:c r="C1425" s="27" t="str">
        <x:v>acceptance</x:v>
      </x:c>
      <x:c r="D1425" s="27" t="str">
        <x:v>Acceptance row 11 threshold present</x:v>
      </x:c>
      <x:c r="E1425" s="27" t="n">
        <x:f>IF('Acceptance Register'!H11&lt;&gt;"",1,0)</x:f>
        <x:v>1</x:v>
      </x:c>
      <x:c r="F1425" s="27" t="n">
        <x:v>1</x:v>
      </x:c>
      <x:c r="G1425" s="29" t="str">
        <x:f>IF(E1425=F1425,"PASS","FAIL")</x:f>
        <x:v>PASS</x:v>
      </x:c>
    </x:row>
    <x:row r="1426" ht="18" customHeight="1">
      <x:c r="B1426" s="27" t="str">
        <x:v>A1420</x:v>
      </x:c>
      <x:c r="C1426" s="27" t="str">
        <x:v>acceptance</x:v>
      </x:c>
      <x:c r="D1426" s="27" t="str">
        <x:v>Acceptance row 11 evidence open</x:v>
      </x:c>
      <x:c r="E1426" s="27" t="n">
        <x:f>IF('Acceptance Register'!K11="OPEN",1,0)</x:f>
        <x:v>1</x:v>
      </x:c>
      <x:c r="F1426" s="27" t="n">
        <x:v>1</x:v>
      </x:c>
      <x:c r="G1426" s="29" t="str">
        <x:f>IF(E1426=F1426,"PASS","FAIL")</x:f>
        <x:v>PASS</x:v>
      </x:c>
    </x:row>
    <x:row r="1427" ht="18" customHeight="1">
      <x:c r="B1427" s="27" t="str">
        <x:v>A1421</x:v>
      </x:c>
      <x:c r="C1427" s="27" t="str">
        <x:v>acceptance</x:v>
      </x:c>
      <x:c r="D1427" s="27" t="str">
        <x:v>Acceptance row 11 decision hold</x:v>
      </x:c>
      <x:c r="E1427" s="27" t="n">
        <x:f>IF('Acceptance Register'!L11="HOLD",1,0)</x:f>
        <x:v>1</x:v>
      </x:c>
      <x:c r="F1427" s="27" t="n">
        <x:v>1</x:v>
      </x:c>
      <x:c r="G1427" s="29" t="str">
        <x:f>IF(E1427=F1427,"PASS","FAIL")</x:f>
        <x:v>PASS</x:v>
      </x:c>
    </x:row>
    <x:row r="1428" ht="18" customHeight="1">
      <x:c r="B1428" s="27" t="str">
        <x:v>A1422</x:v>
      </x:c>
      <x:c r="C1428" s="27" t="str">
        <x:v>acceptance</x:v>
      </x:c>
      <x:c r="D1428" s="27" t="str">
        <x:v>Acceptance row 11 zero credit</x:v>
      </x:c>
      <x:c r="E1428" s="27" t="n">
        <x:f>IF('Acceptance Register'!M11=0,1,0)</x:f>
        <x:v>1</x:v>
      </x:c>
      <x:c r="F1428" s="27" t="n">
        <x:v>1</x:v>
      </x:c>
      <x:c r="G1428" s="29" t="str">
        <x:f>IF(E1428=F1428,"PASS","FAIL")</x:f>
        <x:v>PASS</x:v>
      </x:c>
    </x:row>
    <x:row r="1429" ht="18" customHeight="1">
      <x:c r="B1429" s="27" t="str">
        <x:v>A1423</x:v>
      </x:c>
      <x:c r="C1429" s="27" t="str">
        <x:v>acceptance</x:v>
      </x:c>
      <x:c r="D1429" s="27" t="str">
        <x:v>Acceptance row 12 method present</x:v>
      </x:c>
      <x:c r="E1429" s="27" t="n">
        <x:f>IF('Acceptance Register'!G12&lt;&gt;"",1,0)</x:f>
        <x:v>1</x:v>
      </x:c>
      <x:c r="F1429" s="27" t="n">
        <x:v>1</x:v>
      </x:c>
      <x:c r="G1429" s="29" t="str">
        <x:f>IF(E1429=F1429,"PASS","FAIL")</x:f>
        <x:v>PASS</x:v>
      </x:c>
    </x:row>
    <x:row r="1430" ht="18" customHeight="1">
      <x:c r="B1430" s="27" t="str">
        <x:v>A1424</x:v>
      </x:c>
      <x:c r="C1430" s="27" t="str">
        <x:v>acceptance</x:v>
      </x:c>
      <x:c r="D1430" s="27" t="str">
        <x:v>Acceptance row 12 threshold present</x:v>
      </x:c>
      <x:c r="E1430" s="27" t="n">
        <x:f>IF('Acceptance Register'!H12&lt;&gt;"",1,0)</x:f>
        <x:v>1</x:v>
      </x:c>
      <x:c r="F1430" s="27" t="n">
        <x:v>1</x:v>
      </x:c>
      <x:c r="G1430" s="29" t="str">
        <x:f>IF(E1430=F1430,"PASS","FAIL")</x:f>
        <x:v>PASS</x:v>
      </x:c>
    </x:row>
    <x:row r="1431" ht="18" customHeight="1">
      <x:c r="B1431" s="27" t="str">
        <x:v>A1425</x:v>
      </x:c>
      <x:c r="C1431" s="27" t="str">
        <x:v>acceptance</x:v>
      </x:c>
      <x:c r="D1431" s="27" t="str">
        <x:v>Acceptance row 12 evidence open</x:v>
      </x:c>
      <x:c r="E1431" s="27" t="n">
        <x:f>IF('Acceptance Register'!K12="OPEN",1,0)</x:f>
        <x:v>1</x:v>
      </x:c>
      <x:c r="F1431" s="27" t="n">
        <x:v>1</x:v>
      </x:c>
      <x:c r="G1431" s="29" t="str">
        <x:f>IF(E1431=F1431,"PASS","FAIL")</x:f>
        <x:v>PASS</x:v>
      </x:c>
    </x:row>
    <x:row r="1432" ht="18" customHeight="1">
      <x:c r="B1432" s="27" t="str">
        <x:v>A1426</x:v>
      </x:c>
      <x:c r="C1432" s="27" t="str">
        <x:v>acceptance</x:v>
      </x:c>
      <x:c r="D1432" s="27" t="str">
        <x:v>Acceptance row 12 decision hold</x:v>
      </x:c>
      <x:c r="E1432" s="27" t="n">
        <x:f>IF('Acceptance Register'!L12="HOLD",1,0)</x:f>
        <x:v>1</x:v>
      </x:c>
      <x:c r="F1432" s="27" t="n">
        <x:v>1</x:v>
      </x:c>
      <x:c r="G1432" s="29" t="str">
        <x:f>IF(E1432=F1432,"PASS","FAIL")</x:f>
        <x:v>PASS</x:v>
      </x:c>
    </x:row>
    <x:row r="1433" ht="18" customHeight="1">
      <x:c r="B1433" s="27" t="str">
        <x:v>A1427</x:v>
      </x:c>
      <x:c r="C1433" s="27" t="str">
        <x:v>acceptance</x:v>
      </x:c>
      <x:c r="D1433" s="27" t="str">
        <x:v>Acceptance row 12 zero credit</x:v>
      </x:c>
      <x:c r="E1433" s="27" t="n">
        <x:f>IF('Acceptance Register'!M12=0,1,0)</x:f>
        <x:v>1</x:v>
      </x:c>
      <x:c r="F1433" s="27" t="n">
        <x:v>1</x:v>
      </x:c>
      <x:c r="G1433" s="29" t="str">
        <x:f>IF(E1433=F1433,"PASS","FAIL")</x:f>
        <x:v>PASS</x:v>
      </x:c>
    </x:row>
    <x:row r="1434" ht="18" customHeight="1">
      <x:c r="B1434" s="27" t="str">
        <x:v>A1428</x:v>
      </x:c>
      <x:c r="C1434" s="27" t="str">
        <x:v>acceptance</x:v>
      </x:c>
      <x:c r="D1434" s="27" t="str">
        <x:v>Acceptance row 13 method present</x:v>
      </x:c>
      <x:c r="E1434" s="27" t="n">
        <x:f>IF('Acceptance Register'!G13&lt;&gt;"",1,0)</x:f>
        <x:v>1</x:v>
      </x:c>
      <x:c r="F1434" s="27" t="n">
        <x:v>1</x:v>
      </x:c>
      <x:c r="G1434" s="29" t="str">
        <x:f>IF(E1434=F1434,"PASS","FAIL")</x:f>
        <x:v>PASS</x:v>
      </x:c>
    </x:row>
    <x:row r="1435" ht="18" customHeight="1">
      <x:c r="B1435" s="27" t="str">
        <x:v>A1429</x:v>
      </x:c>
      <x:c r="C1435" s="27" t="str">
        <x:v>acceptance</x:v>
      </x:c>
      <x:c r="D1435" s="27" t="str">
        <x:v>Acceptance row 13 threshold present</x:v>
      </x:c>
      <x:c r="E1435" s="27" t="n">
        <x:f>IF('Acceptance Register'!H13&lt;&gt;"",1,0)</x:f>
        <x:v>1</x:v>
      </x:c>
      <x:c r="F1435" s="27" t="n">
        <x:v>1</x:v>
      </x:c>
      <x:c r="G1435" s="29" t="str">
        <x:f>IF(E1435=F1435,"PASS","FAIL")</x:f>
        <x:v>PASS</x:v>
      </x:c>
    </x:row>
    <x:row r="1436" ht="18" customHeight="1">
      <x:c r="B1436" s="27" t="str">
        <x:v>A1430</x:v>
      </x:c>
      <x:c r="C1436" s="27" t="str">
        <x:v>acceptance</x:v>
      </x:c>
      <x:c r="D1436" s="27" t="str">
        <x:v>Acceptance row 13 evidence open</x:v>
      </x:c>
      <x:c r="E1436" s="27" t="n">
        <x:f>IF('Acceptance Register'!K13="OPEN",1,0)</x:f>
        <x:v>1</x:v>
      </x:c>
      <x:c r="F1436" s="27" t="n">
        <x:v>1</x:v>
      </x:c>
      <x:c r="G1436" s="29" t="str">
        <x:f>IF(E1436=F1436,"PASS","FAIL")</x:f>
        <x:v>PASS</x:v>
      </x:c>
    </x:row>
    <x:row r="1437" ht="18" customHeight="1">
      <x:c r="B1437" s="27" t="str">
        <x:v>A1431</x:v>
      </x:c>
      <x:c r="C1437" s="27" t="str">
        <x:v>acceptance</x:v>
      </x:c>
      <x:c r="D1437" s="27" t="str">
        <x:v>Acceptance row 13 decision hold</x:v>
      </x:c>
      <x:c r="E1437" s="27" t="n">
        <x:f>IF('Acceptance Register'!L13="HOLD",1,0)</x:f>
        <x:v>1</x:v>
      </x:c>
      <x:c r="F1437" s="27" t="n">
        <x:v>1</x:v>
      </x:c>
      <x:c r="G1437" s="29" t="str">
        <x:f>IF(E1437=F1437,"PASS","FAIL")</x:f>
        <x:v>PASS</x:v>
      </x:c>
    </x:row>
    <x:row r="1438" ht="18" customHeight="1">
      <x:c r="B1438" s="27" t="str">
        <x:v>A1432</x:v>
      </x:c>
      <x:c r="C1438" s="27" t="str">
        <x:v>acceptance</x:v>
      </x:c>
      <x:c r="D1438" s="27" t="str">
        <x:v>Acceptance row 13 zero credit</x:v>
      </x:c>
      <x:c r="E1438" s="27" t="n">
        <x:f>IF('Acceptance Register'!M13=0,1,0)</x:f>
        <x:v>1</x:v>
      </x:c>
      <x:c r="F1438" s="27" t="n">
        <x:v>1</x:v>
      </x:c>
      <x:c r="G1438" s="29" t="str">
        <x:f>IF(E1438=F1438,"PASS","FAIL")</x:f>
        <x:v>PASS</x:v>
      </x:c>
    </x:row>
    <x:row r="1439" ht="18" customHeight="1">
      <x:c r="B1439" s="27" t="str">
        <x:v>A1433</x:v>
      </x:c>
      <x:c r="C1439" s="27" t="str">
        <x:v>acceptance</x:v>
      </x:c>
      <x:c r="D1439" s="27" t="str">
        <x:v>Acceptance row 14 method present</x:v>
      </x:c>
      <x:c r="E1439" s="27" t="n">
        <x:f>IF('Acceptance Register'!G14&lt;&gt;"",1,0)</x:f>
        <x:v>1</x:v>
      </x:c>
      <x:c r="F1439" s="27" t="n">
        <x:v>1</x:v>
      </x:c>
      <x:c r="G1439" s="29" t="str">
        <x:f>IF(E1439=F1439,"PASS","FAIL")</x:f>
        <x:v>PASS</x:v>
      </x:c>
    </x:row>
    <x:row r="1440" ht="18" customHeight="1">
      <x:c r="B1440" s="27" t="str">
        <x:v>A1434</x:v>
      </x:c>
      <x:c r="C1440" s="27" t="str">
        <x:v>acceptance</x:v>
      </x:c>
      <x:c r="D1440" s="27" t="str">
        <x:v>Acceptance row 14 threshold present</x:v>
      </x:c>
      <x:c r="E1440" s="27" t="n">
        <x:f>IF('Acceptance Register'!H14&lt;&gt;"",1,0)</x:f>
        <x:v>1</x:v>
      </x:c>
      <x:c r="F1440" s="27" t="n">
        <x:v>1</x:v>
      </x:c>
      <x:c r="G1440" s="29" t="str">
        <x:f>IF(E1440=F1440,"PASS","FAIL")</x:f>
        <x:v>PASS</x:v>
      </x:c>
    </x:row>
    <x:row r="1441" ht="18" customHeight="1">
      <x:c r="B1441" s="27" t="str">
        <x:v>A1435</x:v>
      </x:c>
      <x:c r="C1441" s="27" t="str">
        <x:v>acceptance</x:v>
      </x:c>
      <x:c r="D1441" s="27" t="str">
        <x:v>Acceptance row 14 evidence open</x:v>
      </x:c>
      <x:c r="E1441" s="27" t="n">
        <x:f>IF('Acceptance Register'!K14="OPEN",1,0)</x:f>
        <x:v>1</x:v>
      </x:c>
      <x:c r="F1441" s="27" t="n">
        <x:v>1</x:v>
      </x:c>
      <x:c r="G1441" s="29" t="str">
        <x:f>IF(E1441=F1441,"PASS","FAIL")</x:f>
        <x:v>PASS</x:v>
      </x:c>
    </x:row>
    <x:row r="1442" ht="18" customHeight="1">
      <x:c r="B1442" s="27" t="str">
        <x:v>A1436</x:v>
      </x:c>
      <x:c r="C1442" s="27" t="str">
        <x:v>acceptance</x:v>
      </x:c>
      <x:c r="D1442" s="27" t="str">
        <x:v>Acceptance row 14 decision hold</x:v>
      </x:c>
      <x:c r="E1442" s="27" t="n">
        <x:f>IF('Acceptance Register'!L14="HOLD",1,0)</x:f>
        <x:v>1</x:v>
      </x:c>
      <x:c r="F1442" s="27" t="n">
        <x:v>1</x:v>
      </x:c>
      <x:c r="G1442" s="29" t="str">
        <x:f>IF(E1442=F1442,"PASS","FAIL")</x:f>
        <x:v>PASS</x:v>
      </x:c>
    </x:row>
    <x:row r="1443" ht="18" customHeight="1">
      <x:c r="B1443" s="27" t="str">
        <x:v>A1437</x:v>
      </x:c>
      <x:c r="C1443" s="27" t="str">
        <x:v>acceptance</x:v>
      </x:c>
      <x:c r="D1443" s="27" t="str">
        <x:v>Acceptance row 14 zero credit</x:v>
      </x:c>
      <x:c r="E1443" s="27" t="n">
        <x:f>IF('Acceptance Register'!M14=0,1,0)</x:f>
        <x:v>1</x:v>
      </x:c>
      <x:c r="F1443" s="27" t="n">
        <x:v>1</x:v>
      </x:c>
      <x:c r="G1443" s="29" t="str">
        <x:f>IF(E1443=F1443,"PASS","FAIL")</x:f>
        <x:v>PASS</x:v>
      </x:c>
    </x:row>
    <x:row r="1444" ht="18" customHeight="1">
      <x:c r="B1444" s="27" t="str">
        <x:v>A1438</x:v>
      </x:c>
      <x:c r="C1444" s="27" t="str">
        <x:v>acceptance</x:v>
      </x:c>
      <x:c r="D1444" s="27" t="str">
        <x:v>Acceptance row 15 method present</x:v>
      </x:c>
      <x:c r="E1444" s="27" t="n">
        <x:f>IF('Acceptance Register'!G15&lt;&gt;"",1,0)</x:f>
        <x:v>1</x:v>
      </x:c>
      <x:c r="F1444" s="27" t="n">
        <x:v>1</x:v>
      </x:c>
      <x:c r="G1444" s="29" t="str">
        <x:f>IF(E1444=F1444,"PASS","FAIL")</x:f>
        <x:v>PASS</x:v>
      </x:c>
    </x:row>
    <x:row r="1445" ht="18" customHeight="1">
      <x:c r="B1445" s="27" t="str">
        <x:v>A1439</x:v>
      </x:c>
      <x:c r="C1445" s="27" t="str">
        <x:v>acceptance</x:v>
      </x:c>
      <x:c r="D1445" s="27" t="str">
        <x:v>Acceptance row 15 threshold present</x:v>
      </x:c>
      <x:c r="E1445" s="27" t="n">
        <x:f>IF('Acceptance Register'!H15&lt;&gt;"",1,0)</x:f>
        <x:v>1</x:v>
      </x:c>
      <x:c r="F1445" s="27" t="n">
        <x:v>1</x:v>
      </x:c>
      <x:c r="G1445" s="29" t="str">
        <x:f>IF(E1445=F1445,"PASS","FAIL")</x:f>
        <x:v>PASS</x:v>
      </x:c>
    </x:row>
    <x:row r="1446" ht="18" customHeight="1">
      <x:c r="B1446" s="27" t="str">
        <x:v>A1440</x:v>
      </x:c>
      <x:c r="C1446" s="27" t="str">
        <x:v>acceptance</x:v>
      </x:c>
      <x:c r="D1446" s="27" t="str">
        <x:v>Acceptance row 15 evidence open</x:v>
      </x:c>
      <x:c r="E1446" s="27" t="n">
        <x:f>IF('Acceptance Register'!K15="OPEN",1,0)</x:f>
        <x:v>1</x:v>
      </x:c>
      <x:c r="F1446" s="27" t="n">
        <x:v>1</x:v>
      </x:c>
      <x:c r="G1446" s="29" t="str">
        <x:f>IF(E1446=F1446,"PASS","FAIL")</x:f>
        <x:v>PASS</x:v>
      </x:c>
    </x:row>
    <x:row r="1447" ht="18" customHeight="1">
      <x:c r="B1447" s="27" t="str">
        <x:v>A1441</x:v>
      </x:c>
      <x:c r="C1447" s="27" t="str">
        <x:v>acceptance</x:v>
      </x:c>
      <x:c r="D1447" s="27" t="str">
        <x:v>Acceptance row 15 decision hold</x:v>
      </x:c>
      <x:c r="E1447" s="27" t="n">
        <x:f>IF('Acceptance Register'!L15="HOLD",1,0)</x:f>
        <x:v>1</x:v>
      </x:c>
      <x:c r="F1447" s="27" t="n">
        <x:v>1</x:v>
      </x:c>
      <x:c r="G1447" s="29" t="str">
        <x:f>IF(E1447=F1447,"PASS","FAIL")</x:f>
        <x:v>PASS</x:v>
      </x:c>
    </x:row>
    <x:row r="1448" ht="18" customHeight="1">
      <x:c r="B1448" s="27" t="str">
        <x:v>A1442</x:v>
      </x:c>
      <x:c r="C1448" s="27" t="str">
        <x:v>acceptance</x:v>
      </x:c>
      <x:c r="D1448" s="27" t="str">
        <x:v>Acceptance row 15 zero credit</x:v>
      </x:c>
      <x:c r="E1448" s="27" t="n">
        <x:f>IF('Acceptance Register'!M15=0,1,0)</x:f>
        <x:v>1</x:v>
      </x:c>
      <x:c r="F1448" s="27" t="n">
        <x:v>1</x:v>
      </x:c>
      <x:c r="G1448" s="29" t="str">
        <x:f>IF(E1448=F1448,"PASS","FAIL")</x:f>
        <x:v>PASS</x:v>
      </x:c>
    </x:row>
    <x:row r="1449" ht="18" customHeight="1">
      <x:c r="B1449" s="27" t="str">
        <x:v>A1443</x:v>
      </x:c>
      <x:c r="C1449" s="27" t="str">
        <x:v>acceptance</x:v>
      </x:c>
      <x:c r="D1449" s="27" t="str">
        <x:v>Acceptance row 16 method present</x:v>
      </x:c>
      <x:c r="E1449" s="27" t="n">
        <x:f>IF('Acceptance Register'!G16&lt;&gt;"",1,0)</x:f>
        <x:v>1</x:v>
      </x:c>
      <x:c r="F1449" s="27" t="n">
        <x:v>1</x:v>
      </x:c>
      <x:c r="G1449" s="29" t="str">
        <x:f>IF(E1449=F1449,"PASS","FAIL")</x:f>
        <x:v>PASS</x:v>
      </x:c>
    </x:row>
    <x:row r="1450" ht="18" customHeight="1">
      <x:c r="B1450" s="27" t="str">
        <x:v>A1444</x:v>
      </x:c>
      <x:c r="C1450" s="27" t="str">
        <x:v>acceptance</x:v>
      </x:c>
      <x:c r="D1450" s="27" t="str">
        <x:v>Acceptance row 16 threshold present</x:v>
      </x:c>
      <x:c r="E1450" s="27" t="n">
        <x:f>IF('Acceptance Register'!H16&lt;&gt;"",1,0)</x:f>
        <x:v>1</x:v>
      </x:c>
      <x:c r="F1450" s="27" t="n">
        <x:v>1</x:v>
      </x:c>
      <x:c r="G1450" s="29" t="str">
        <x:f>IF(E1450=F1450,"PASS","FAIL")</x:f>
        <x:v>PASS</x:v>
      </x:c>
    </x:row>
    <x:row r="1451" ht="18" customHeight="1">
      <x:c r="B1451" s="27" t="str">
        <x:v>A1445</x:v>
      </x:c>
      <x:c r="C1451" s="27" t="str">
        <x:v>acceptance</x:v>
      </x:c>
      <x:c r="D1451" s="27" t="str">
        <x:v>Acceptance row 16 evidence open</x:v>
      </x:c>
      <x:c r="E1451" s="27" t="n">
        <x:f>IF('Acceptance Register'!K16="OPEN",1,0)</x:f>
        <x:v>1</x:v>
      </x:c>
      <x:c r="F1451" s="27" t="n">
        <x:v>1</x:v>
      </x:c>
      <x:c r="G1451" s="29" t="str">
        <x:f>IF(E1451=F1451,"PASS","FAIL")</x:f>
        <x:v>PASS</x:v>
      </x:c>
    </x:row>
    <x:row r="1452" ht="18" customHeight="1">
      <x:c r="B1452" s="27" t="str">
        <x:v>A1446</x:v>
      </x:c>
      <x:c r="C1452" s="27" t="str">
        <x:v>acceptance</x:v>
      </x:c>
      <x:c r="D1452" s="27" t="str">
        <x:v>Acceptance row 16 decision hold</x:v>
      </x:c>
      <x:c r="E1452" s="27" t="n">
        <x:f>IF('Acceptance Register'!L16="HOLD",1,0)</x:f>
        <x:v>1</x:v>
      </x:c>
      <x:c r="F1452" s="27" t="n">
        <x:v>1</x:v>
      </x:c>
      <x:c r="G1452" s="29" t="str">
        <x:f>IF(E1452=F1452,"PASS","FAIL")</x:f>
        <x:v>PASS</x:v>
      </x:c>
    </x:row>
    <x:row r="1453" ht="18" customHeight="1">
      <x:c r="B1453" s="27" t="str">
        <x:v>A1447</x:v>
      </x:c>
      <x:c r="C1453" s="27" t="str">
        <x:v>acceptance</x:v>
      </x:c>
      <x:c r="D1453" s="27" t="str">
        <x:v>Acceptance row 16 zero credit</x:v>
      </x:c>
      <x:c r="E1453" s="27" t="n">
        <x:f>IF('Acceptance Register'!M16=0,1,0)</x:f>
        <x:v>1</x:v>
      </x:c>
      <x:c r="F1453" s="27" t="n">
        <x:v>1</x:v>
      </x:c>
      <x:c r="G1453" s="29" t="str">
        <x:f>IF(E1453=F1453,"PASS","FAIL")</x:f>
        <x:v>PASS</x:v>
      </x:c>
    </x:row>
    <x:row r="1454" ht="18" customHeight="1">
      <x:c r="B1454" s="27" t="str">
        <x:v>A1448</x:v>
      </x:c>
      <x:c r="C1454" s="27" t="str">
        <x:v>acceptance</x:v>
      </x:c>
      <x:c r="D1454" s="27" t="str">
        <x:v>Acceptance row 17 method present</x:v>
      </x:c>
      <x:c r="E1454" s="27" t="n">
        <x:f>IF('Acceptance Register'!G17&lt;&gt;"",1,0)</x:f>
        <x:v>1</x:v>
      </x:c>
      <x:c r="F1454" s="27" t="n">
        <x:v>1</x:v>
      </x:c>
      <x:c r="G1454" s="29" t="str">
        <x:f>IF(E1454=F1454,"PASS","FAIL")</x:f>
        <x:v>PASS</x:v>
      </x:c>
    </x:row>
    <x:row r="1455" ht="18" customHeight="1">
      <x:c r="B1455" s="27" t="str">
        <x:v>A1449</x:v>
      </x:c>
      <x:c r="C1455" s="27" t="str">
        <x:v>acceptance</x:v>
      </x:c>
      <x:c r="D1455" s="27" t="str">
        <x:v>Acceptance row 17 threshold present</x:v>
      </x:c>
      <x:c r="E1455" s="27" t="n">
        <x:f>IF('Acceptance Register'!H17&lt;&gt;"",1,0)</x:f>
        <x:v>1</x:v>
      </x:c>
      <x:c r="F1455" s="27" t="n">
        <x:v>1</x:v>
      </x:c>
      <x:c r="G1455" s="29" t="str">
        <x:f>IF(E1455=F1455,"PASS","FAIL")</x:f>
        <x:v>PASS</x:v>
      </x:c>
    </x:row>
    <x:row r="1456" ht="18" customHeight="1">
      <x:c r="B1456" s="27" t="str">
        <x:v>A1450</x:v>
      </x:c>
      <x:c r="C1456" s="27" t="str">
        <x:v>acceptance</x:v>
      </x:c>
      <x:c r="D1456" s="27" t="str">
        <x:v>Acceptance row 17 evidence open</x:v>
      </x:c>
      <x:c r="E1456" s="27" t="n">
        <x:f>IF('Acceptance Register'!K17="OPEN",1,0)</x:f>
        <x:v>1</x:v>
      </x:c>
      <x:c r="F1456" s="27" t="n">
        <x:v>1</x:v>
      </x:c>
      <x:c r="G1456" s="29" t="str">
        <x:f>IF(E1456=F1456,"PASS","FAIL")</x:f>
        <x:v>PASS</x:v>
      </x:c>
    </x:row>
    <x:row r="1457" ht="18" customHeight="1">
      <x:c r="B1457" s="27" t="str">
        <x:v>A1451</x:v>
      </x:c>
      <x:c r="C1457" s="27" t="str">
        <x:v>acceptance</x:v>
      </x:c>
      <x:c r="D1457" s="27" t="str">
        <x:v>Acceptance row 17 decision hold</x:v>
      </x:c>
      <x:c r="E1457" s="27" t="n">
        <x:f>IF('Acceptance Register'!L17="HOLD",1,0)</x:f>
        <x:v>1</x:v>
      </x:c>
      <x:c r="F1457" s="27" t="n">
        <x:v>1</x:v>
      </x:c>
      <x:c r="G1457" s="29" t="str">
        <x:f>IF(E1457=F1457,"PASS","FAIL")</x:f>
        <x:v>PASS</x:v>
      </x:c>
    </x:row>
    <x:row r="1458" ht="18" customHeight="1">
      <x:c r="B1458" s="27" t="str">
        <x:v>A1452</x:v>
      </x:c>
      <x:c r="C1458" s="27" t="str">
        <x:v>acceptance</x:v>
      </x:c>
      <x:c r="D1458" s="27" t="str">
        <x:v>Acceptance row 17 zero credit</x:v>
      </x:c>
      <x:c r="E1458" s="27" t="n">
        <x:f>IF('Acceptance Register'!M17=0,1,0)</x:f>
        <x:v>1</x:v>
      </x:c>
      <x:c r="F1458" s="27" t="n">
        <x:v>1</x:v>
      </x:c>
      <x:c r="G1458" s="29" t="str">
        <x:f>IF(E1458=F1458,"PASS","FAIL")</x:f>
        <x:v>PASS</x:v>
      </x:c>
    </x:row>
    <x:row r="1459" ht="18" customHeight="1">
      <x:c r="B1459" s="27" t="str">
        <x:v>A1453</x:v>
      </x:c>
      <x:c r="C1459" s="27" t="str">
        <x:v>acceptance</x:v>
      </x:c>
      <x:c r="D1459" s="27" t="str">
        <x:v>Acceptance row 18 method present</x:v>
      </x:c>
      <x:c r="E1459" s="27" t="n">
        <x:f>IF('Acceptance Register'!G18&lt;&gt;"",1,0)</x:f>
        <x:v>1</x:v>
      </x:c>
      <x:c r="F1459" s="27" t="n">
        <x:v>1</x:v>
      </x:c>
      <x:c r="G1459" s="29" t="str">
        <x:f>IF(E1459=F1459,"PASS","FAIL")</x:f>
        <x:v>PASS</x:v>
      </x:c>
    </x:row>
    <x:row r="1460" ht="18" customHeight="1">
      <x:c r="B1460" s="27" t="str">
        <x:v>A1454</x:v>
      </x:c>
      <x:c r="C1460" s="27" t="str">
        <x:v>acceptance</x:v>
      </x:c>
      <x:c r="D1460" s="27" t="str">
        <x:v>Acceptance row 18 threshold present</x:v>
      </x:c>
      <x:c r="E1460" s="27" t="n">
        <x:f>IF('Acceptance Register'!H18&lt;&gt;"",1,0)</x:f>
        <x:v>1</x:v>
      </x:c>
      <x:c r="F1460" s="27" t="n">
        <x:v>1</x:v>
      </x:c>
      <x:c r="G1460" s="29" t="str">
        <x:f>IF(E1460=F1460,"PASS","FAIL")</x:f>
        <x:v>PASS</x:v>
      </x:c>
    </x:row>
    <x:row r="1461" ht="18" customHeight="1">
      <x:c r="B1461" s="27" t="str">
        <x:v>A1455</x:v>
      </x:c>
      <x:c r="C1461" s="27" t="str">
        <x:v>acceptance</x:v>
      </x:c>
      <x:c r="D1461" s="27" t="str">
        <x:v>Acceptance row 18 evidence open</x:v>
      </x:c>
      <x:c r="E1461" s="27" t="n">
        <x:f>IF('Acceptance Register'!K18="OPEN",1,0)</x:f>
        <x:v>1</x:v>
      </x:c>
      <x:c r="F1461" s="27" t="n">
        <x:v>1</x:v>
      </x:c>
      <x:c r="G1461" s="29" t="str">
        <x:f>IF(E1461=F1461,"PASS","FAIL")</x:f>
        <x:v>PASS</x:v>
      </x:c>
    </x:row>
    <x:row r="1462" ht="18" customHeight="1">
      <x:c r="B1462" s="27" t="str">
        <x:v>A1456</x:v>
      </x:c>
      <x:c r="C1462" s="27" t="str">
        <x:v>acceptance</x:v>
      </x:c>
      <x:c r="D1462" s="27" t="str">
        <x:v>Acceptance row 18 decision hold</x:v>
      </x:c>
      <x:c r="E1462" s="27" t="n">
        <x:f>IF('Acceptance Register'!L18="HOLD",1,0)</x:f>
        <x:v>1</x:v>
      </x:c>
      <x:c r="F1462" s="27" t="n">
        <x:v>1</x:v>
      </x:c>
      <x:c r="G1462" s="29" t="str">
        <x:f>IF(E1462=F1462,"PASS","FAIL")</x:f>
        <x:v>PASS</x:v>
      </x:c>
    </x:row>
    <x:row r="1463" ht="18" customHeight="1">
      <x:c r="B1463" s="27" t="str">
        <x:v>A1457</x:v>
      </x:c>
      <x:c r="C1463" s="27" t="str">
        <x:v>acceptance</x:v>
      </x:c>
      <x:c r="D1463" s="27" t="str">
        <x:v>Acceptance row 18 zero credit</x:v>
      </x:c>
      <x:c r="E1463" s="27" t="n">
        <x:f>IF('Acceptance Register'!M18=0,1,0)</x:f>
        <x:v>1</x:v>
      </x:c>
      <x:c r="F1463" s="27" t="n">
        <x:v>1</x:v>
      </x:c>
      <x:c r="G1463" s="29" t="str">
        <x:f>IF(E1463=F1463,"PASS","FAIL")</x:f>
        <x:v>PASS</x:v>
      </x:c>
    </x:row>
    <x:row r="1464" ht="18" customHeight="1">
      <x:c r="B1464" s="27" t="str">
        <x:v>A1458</x:v>
      </x:c>
      <x:c r="C1464" s="27" t="str">
        <x:v>acceptance</x:v>
      </x:c>
      <x:c r="D1464" s="27" t="str">
        <x:v>Acceptance row 19 method present</x:v>
      </x:c>
      <x:c r="E1464" s="27" t="n">
        <x:f>IF('Acceptance Register'!G19&lt;&gt;"",1,0)</x:f>
        <x:v>1</x:v>
      </x:c>
      <x:c r="F1464" s="27" t="n">
        <x:v>1</x:v>
      </x:c>
      <x:c r="G1464" s="29" t="str">
        <x:f>IF(E1464=F1464,"PASS","FAIL")</x:f>
        <x:v>PASS</x:v>
      </x:c>
    </x:row>
    <x:row r="1465" ht="18" customHeight="1">
      <x:c r="B1465" s="27" t="str">
        <x:v>A1459</x:v>
      </x:c>
      <x:c r="C1465" s="27" t="str">
        <x:v>acceptance</x:v>
      </x:c>
      <x:c r="D1465" s="27" t="str">
        <x:v>Acceptance row 19 threshold present</x:v>
      </x:c>
      <x:c r="E1465" s="27" t="n">
        <x:f>IF('Acceptance Register'!H19&lt;&gt;"",1,0)</x:f>
        <x:v>1</x:v>
      </x:c>
      <x:c r="F1465" s="27" t="n">
        <x:v>1</x:v>
      </x:c>
      <x:c r="G1465" s="29" t="str">
        <x:f>IF(E1465=F1465,"PASS","FAIL")</x:f>
        <x:v>PASS</x:v>
      </x:c>
    </x:row>
    <x:row r="1466" ht="18" customHeight="1">
      <x:c r="B1466" s="27" t="str">
        <x:v>A1460</x:v>
      </x:c>
      <x:c r="C1466" s="27" t="str">
        <x:v>acceptance</x:v>
      </x:c>
      <x:c r="D1466" s="27" t="str">
        <x:v>Acceptance row 19 evidence open</x:v>
      </x:c>
      <x:c r="E1466" s="27" t="n">
        <x:f>IF('Acceptance Register'!K19="OPEN",1,0)</x:f>
        <x:v>1</x:v>
      </x:c>
      <x:c r="F1466" s="27" t="n">
        <x:v>1</x:v>
      </x:c>
      <x:c r="G1466" s="29" t="str">
        <x:f>IF(E1466=F1466,"PASS","FAIL")</x:f>
        <x:v>PASS</x:v>
      </x:c>
    </x:row>
    <x:row r="1467" ht="18" customHeight="1">
      <x:c r="B1467" s="27" t="str">
        <x:v>A1461</x:v>
      </x:c>
      <x:c r="C1467" s="27" t="str">
        <x:v>acceptance</x:v>
      </x:c>
      <x:c r="D1467" s="27" t="str">
        <x:v>Acceptance row 19 decision hold</x:v>
      </x:c>
      <x:c r="E1467" s="27" t="n">
        <x:f>IF('Acceptance Register'!L19="HOLD",1,0)</x:f>
        <x:v>1</x:v>
      </x:c>
      <x:c r="F1467" s="27" t="n">
        <x:v>1</x:v>
      </x:c>
      <x:c r="G1467" s="29" t="str">
        <x:f>IF(E1467=F1467,"PASS","FAIL")</x:f>
        <x:v>PASS</x:v>
      </x:c>
    </x:row>
    <x:row r="1468" ht="18" customHeight="1">
      <x:c r="B1468" s="27" t="str">
        <x:v>A1462</x:v>
      </x:c>
      <x:c r="C1468" s="27" t="str">
        <x:v>acceptance</x:v>
      </x:c>
      <x:c r="D1468" s="27" t="str">
        <x:v>Acceptance row 19 zero credit</x:v>
      </x:c>
      <x:c r="E1468" s="27" t="n">
        <x:f>IF('Acceptance Register'!M19=0,1,0)</x:f>
        <x:v>1</x:v>
      </x:c>
      <x:c r="F1468" s="27" t="n">
        <x:v>1</x:v>
      </x:c>
      <x:c r="G1468" s="29" t="str">
        <x:f>IF(E1468=F1468,"PASS","FAIL")</x:f>
        <x:v>PASS</x:v>
      </x:c>
    </x:row>
    <x:row r="1469" ht="18" customHeight="1">
      <x:c r="B1469" s="27" t="str">
        <x:v>A1463</x:v>
      </x:c>
      <x:c r="C1469" s="27" t="str">
        <x:v>acceptance</x:v>
      </x:c>
      <x:c r="D1469" s="27" t="str">
        <x:v>Acceptance row 20 method present</x:v>
      </x:c>
      <x:c r="E1469" s="27" t="n">
        <x:f>IF('Acceptance Register'!G20&lt;&gt;"",1,0)</x:f>
        <x:v>1</x:v>
      </x:c>
      <x:c r="F1469" s="27" t="n">
        <x:v>1</x:v>
      </x:c>
      <x:c r="G1469" s="29" t="str">
        <x:f>IF(E1469=F1469,"PASS","FAIL")</x:f>
        <x:v>PASS</x:v>
      </x:c>
    </x:row>
    <x:row r="1470" ht="18" customHeight="1">
      <x:c r="B1470" s="27" t="str">
        <x:v>A1464</x:v>
      </x:c>
      <x:c r="C1470" s="27" t="str">
        <x:v>acceptance</x:v>
      </x:c>
      <x:c r="D1470" s="27" t="str">
        <x:v>Acceptance row 20 threshold present</x:v>
      </x:c>
      <x:c r="E1470" s="27" t="n">
        <x:f>IF('Acceptance Register'!H20&lt;&gt;"",1,0)</x:f>
        <x:v>1</x:v>
      </x:c>
      <x:c r="F1470" s="27" t="n">
        <x:v>1</x:v>
      </x:c>
      <x:c r="G1470" s="29" t="str">
        <x:f>IF(E1470=F1470,"PASS","FAIL")</x:f>
        <x:v>PASS</x:v>
      </x:c>
    </x:row>
    <x:row r="1471" ht="18" customHeight="1">
      <x:c r="B1471" s="27" t="str">
        <x:v>A1465</x:v>
      </x:c>
      <x:c r="C1471" s="27" t="str">
        <x:v>acceptance</x:v>
      </x:c>
      <x:c r="D1471" s="27" t="str">
        <x:v>Acceptance row 20 evidence open</x:v>
      </x:c>
      <x:c r="E1471" s="27" t="n">
        <x:f>IF('Acceptance Register'!K20="OPEN",1,0)</x:f>
        <x:v>1</x:v>
      </x:c>
      <x:c r="F1471" s="27" t="n">
        <x:v>1</x:v>
      </x:c>
      <x:c r="G1471" s="29" t="str">
        <x:f>IF(E1471=F1471,"PASS","FAIL")</x:f>
        <x:v>PASS</x:v>
      </x:c>
    </x:row>
    <x:row r="1472" ht="18" customHeight="1">
      <x:c r="B1472" s="27" t="str">
        <x:v>A1466</x:v>
      </x:c>
      <x:c r="C1472" s="27" t="str">
        <x:v>acceptance</x:v>
      </x:c>
      <x:c r="D1472" s="27" t="str">
        <x:v>Acceptance row 20 decision hold</x:v>
      </x:c>
      <x:c r="E1472" s="27" t="n">
        <x:f>IF('Acceptance Register'!L20="HOLD",1,0)</x:f>
        <x:v>1</x:v>
      </x:c>
      <x:c r="F1472" s="27" t="n">
        <x:v>1</x:v>
      </x:c>
      <x:c r="G1472" s="29" t="str">
        <x:f>IF(E1472=F1472,"PASS","FAIL")</x:f>
        <x:v>PASS</x:v>
      </x:c>
    </x:row>
    <x:row r="1473" ht="18" customHeight="1">
      <x:c r="B1473" s="27" t="str">
        <x:v>A1467</x:v>
      </x:c>
      <x:c r="C1473" s="27" t="str">
        <x:v>acceptance</x:v>
      </x:c>
      <x:c r="D1473" s="27" t="str">
        <x:v>Acceptance row 20 zero credit</x:v>
      </x:c>
      <x:c r="E1473" s="27" t="n">
        <x:f>IF('Acceptance Register'!M20=0,1,0)</x:f>
        <x:v>1</x:v>
      </x:c>
      <x:c r="F1473" s="27" t="n">
        <x:v>1</x:v>
      </x:c>
      <x:c r="G1473" s="29" t="str">
        <x:f>IF(E1473=F1473,"PASS","FAIL")</x:f>
        <x:v>PASS</x:v>
      </x:c>
    </x:row>
    <x:row r="1474" ht="18" customHeight="1">
      <x:c r="B1474" s="27" t="str">
        <x:v>A1468</x:v>
      </x:c>
      <x:c r="C1474" s="27" t="str">
        <x:v>acceptance</x:v>
      </x:c>
      <x:c r="D1474" s="27" t="str">
        <x:v>Acceptance row 21 method present</x:v>
      </x:c>
      <x:c r="E1474" s="27" t="n">
        <x:f>IF('Acceptance Register'!G21&lt;&gt;"",1,0)</x:f>
        <x:v>1</x:v>
      </x:c>
      <x:c r="F1474" s="27" t="n">
        <x:v>1</x:v>
      </x:c>
      <x:c r="G1474" s="29" t="str">
        <x:f>IF(E1474=F1474,"PASS","FAIL")</x:f>
        <x:v>PASS</x:v>
      </x:c>
    </x:row>
    <x:row r="1475" ht="18" customHeight="1">
      <x:c r="B1475" s="27" t="str">
        <x:v>A1469</x:v>
      </x:c>
      <x:c r="C1475" s="27" t="str">
        <x:v>acceptance</x:v>
      </x:c>
      <x:c r="D1475" s="27" t="str">
        <x:v>Acceptance row 21 threshold present</x:v>
      </x:c>
      <x:c r="E1475" s="27" t="n">
        <x:f>IF('Acceptance Register'!H21&lt;&gt;"",1,0)</x:f>
        <x:v>1</x:v>
      </x:c>
      <x:c r="F1475" s="27" t="n">
        <x:v>1</x:v>
      </x:c>
      <x:c r="G1475" s="29" t="str">
        <x:f>IF(E1475=F1475,"PASS","FAIL")</x:f>
        <x:v>PASS</x:v>
      </x:c>
    </x:row>
    <x:row r="1476" ht="18" customHeight="1">
      <x:c r="B1476" s="27" t="str">
        <x:v>A1470</x:v>
      </x:c>
      <x:c r="C1476" s="27" t="str">
        <x:v>acceptance</x:v>
      </x:c>
      <x:c r="D1476" s="27" t="str">
        <x:v>Acceptance row 21 evidence open</x:v>
      </x:c>
      <x:c r="E1476" s="27" t="n">
        <x:f>IF('Acceptance Register'!K21="OPEN",1,0)</x:f>
        <x:v>1</x:v>
      </x:c>
      <x:c r="F1476" s="27" t="n">
        <x:v>1</x:v>
      </x:c>
      <x:c r="G1476" s="29" t="str">
        <x:f>IF(E1476=F1476,"PASS","FAIL")</x:f>
        <x:v>PASS</x:v>
      </x:c>
    </x:row>
    <x:row r="1477" ht="18" customHeight="1">
      <x:c r="B1477" s="27" t="str">
        <x:v>A1471</x:v>
      </x:c>
      <x:c r="C1477" s="27" t="str">
        <x:v>acceptance</x:v>
      </x:c>
      <x:c r="D1477" s="27" t="str">
        <x:v>Acceptance row 21 decision hold</x:v>
      </x:c>
      <x:c r="E1477" s="27" t="n">
        <x:f>IF('Acceptance Register'!L21="HOLD",1,0)</x:f>
        <x:v>1</x:v>
      </x:c>
      <x:c r="F1477" s="27" t="n">
        <x:v>1</x:v>
      </x:c>
      <x:c r="G1477" s="29" t="str">
        <x:f>IF(E1477=F1477,"PASS","FAIL")</x:f>
        <x:v>PASS</x:v>
      </x:c>
    </x:row>
    <x:row r="1478" ht="18" customHeight="1">
      <x:c r="B1478" s="27" t="str">
        <x:v>A1472</x:v>
      </x:c>
      <x:c r="C1478" s="27" t="str">
        <x:v>acceptance</x:v>
      </x:c>
      <x:c r="D1478" s="27" t="str">
        <x:v>Acceptance row 21 zero credit</x:v>
      </x:c>
      <x:c r="E1478" s="27" t="n">
        <x:f>IF('Acceptance Register'!M21=0,1,0)</x:f>
        <x:v>1</x:v>
      </x:c>
      <x:c r="F1478" s="27" t="n">
        <x:v>1</x:v>
      </x:c>
      <x:c r="G1478" s="29" t="str">
        <x:f>IF(E1478=F1478,"PASS","FAIL")</x:f>
        <x:v>PASS</x:v>
      </x:c>
    </x:row>
    <x:row r="1479" ht="18" customHeight="1">
      <x:c r="B1479" s="27" t="str">
        <x:v>A1473</x:v>
      </x:c>
      <x:c r="C1479" s="27" t="str">
        <x:v>acceptance</x:v>
      </x:c>
      <x:c r="D1479" s="27" t="str">
        <x:v>Acceptance row 22 method present</x:v>
      </x:c>
      <x:c r="E1479" s="27" t="n">
        <x:f>IF('Acceptance Register'!G22&lt;&gt;"",1,0)</x:f>
        <x:v>1</x:v>
      </x:c>
      <x:c r="F1479" s="27" t="n">
        <x:v>1</x:v>
      </x:c>
      <x:c r="G1479" s="29" t="str">
        <x:f>IF(E1479=F1479,"PASS","FAIL")</x:f>
        <x:v>PASS</x:v>
      </x:c>
    </x:row>
    <x:row r="1480" ht="18" customHeight="1">
      <x:c r="B1480" s="27" t="str">
        <x:v>A1474</x:v>
      </x:c>
      <x:c r="C1480" s="27" t="str">
        <x:v>acceptance</x:v>
      </x:c>
      <x:c r="D1480" s="27" t="str">
        <x:v>Acceptance row 22 threshold present</x:v>
      </x:c>
      <x:c r="E1480" s="27" t="n">
        <x:f>IF('Acceptance Register'!H22&lt;&gt;"",1,0)</x:f>
        <x:v>1</x:v>
      </x:c>
      <x:c r="F1480" s="27" t="n">
        <x:v>1</x:v>
      </x:c>
      <x:c r="G1480" s="29" t="str">
        <x:f>IF(E1480=F1480,"PASS","FAIL")</x:f>
        <x:v>PASS</x:v>
      </x:c>
    </x:row>
    <x:row r="1481" ht="18" customHeight="1">
      <x:c r="B1481" s="27" t="str">
        <x:v>A1475</x:v>
      </x:c>
      <x:c r="C1481" s="27" t="str">
        <x:v>acceptance</x:v>
      </x:c>
      <x:c r="D1481" s="27" t="str">
        <x:v>Acceptance row 22 evidence open</x:v>
      </x:c>
      <x:c r="E1481" s="27" t="n">
        <x:f>IF('Acceptance Register'!K22="OPEN",1,0)</x:f>
        <x:v>1</x:v>
      </x:c>
      <x:c r="F1481" s="27" t="n">
        <x:v>1</x:v>
      </x:c>
      <x:c r="G1481" s="29" t="str">
        <x:f>IF(E1481=F1481,"PASS","FAIL")</x:f>
        <x:v>PASS</x:v>
      </x:c>
    </x:row>
    <x:row r="1482" ht="18" customHeight="1">
      <x:c r="B1482" s="27" t="str">
        <x:v>A1476</x:v>
      </x:c>
      <x:c r="C1482" s="27" t="str">
        <x:v>acceptance</x:v>
      </x:c>
      <x:c r="D1482" s="27" t="str">
        <x:v>Acceptance row 22 decision hold</x:v>
      </x:c>
      <x:c r="E1482" s="27" t="n">
        <x:f>IF('Acceptance Register'!L22="HOLD",1,0)</x:f>
        <x:v>1</x:v>
      </x:c>
      <x:c r="F1482" s="27" t="n">
        <x:v>1</x:v>
      </x:c>
      <x:c r="G1482" s="29" t="str">
        <x:f>IF(E1482=F1482,"PASS","FAIL")</x:f>
        <x:v>PASS</x:v>
      </x:c>
    </x:row>
    <x:row r="1483" ht="18" customHeight="1">
      <x:c r="B1483" s="27" t="str">
        <x:v>A1477</x:v>
      </x:c>
      <x:c r="C1483" s="27" t="str">
        <x:v>acceptance</x:v>
      </x:c>
      <x:c r="D1483" s="27" t="str">
        <x:v>Acceptance row 22 zero credit</x:v>
      </x:c>
      <x:c r="E1483" s="27" t="n">
        <x:f>IF('Acceptance Register'!M22=0,1,0)</x:f>
        <x:v>1</x:v>
      </x:c>
      <x:c r="F1483" s="27" t="n">
        <x:v>1</x:v>
      </x:c>
      <x:c r="G1483" s="29" t="str">
        <x:f>IF(E1483=F1483,"PASS","FAIL")</x:f>
        <x:v>PASS</x:v>
      </x:c>
    </x:row>
    <x:row r="1484" ht="18" customHeight="1">
      <x:c r="B1484" s="27" t="str">
        <x:v>A1478</x:v>
      </x:c>
      <x:c r="C1484" s="27" t="str">
        <x:v>acceptance</x:v>
      </x:c>
      <x:c r="D1484" s="27" t="str">
        <x:v>Acceptance row 23 method present</x:v>
      </x:c>
      <x:c r="E1484" s="27" t="n">
        <x:f>IF('Acceptance Register'!G23&lt;&gt;"",1,0)</x:f>
        <x:v>1</x:v>
      </x:c>
      <x:c r="F1484" s="27" t="n">
        <x:v>1</x:v>
      </x:c>
      <x:c r="G1484" s="29" t="str">
        <x:f>IF(E1484=F1484,"PASS","FAIL")</x:f>
        <x:v>PASS</x:v>
      </x:c>
    </x:row>
    <x:row r="1485" ht="18" customHeight="1">
      <x:c r="B1485" s="27" t="str">
        <x:v>A1479</x:v>
      </x:c>
      <x:c r="C1485" s="27" t="str">
        <x:v>acceptance</x:v>
      </x:c>
      <x:c r="D1485" s="27" t="str">
        <x:v>Acceptance row 23 threshold present</x:v>
      </x:c>
      <x:c r="E1485" s="27" t="n">
        <x:f>IF('Acceptance Register'!H23&lt;&gt;"",1,0)</x:f>
        <x:v>1</x:v>
      </x:c>
      <x:c r="F1485" s="27" t="n">
        <x:v>1</x:v>
      </x:c>
      <x:c r="G1485" s="29" t="str">
        <x:f>IF(E1485=F1485,"PASS","FAIL")</x:f>
        <x:v>PASS</x:v>
      </x:c>
    </x:row>
    <x:row r="1486" ht="18" customHeight="1">
      <x:c r="B1486" s="27" t="str">
        <x:v>A1480</x:v>
      </x:c>
      <x:c r="C1486" s="27" t="str">
        <x:v>acceptance</x:v>
      </x:c>
      <x:c r="D1486" s="27" t="str">
        <x:v>Acceptance row 23 evidence open</x:v>
      </x:c>
      <x:c r="E1486" s="27" t="n">
        <x:f>IF('Acceptance Register'!K23="OPEN",1,0)</x:f>
        <x:v>1</x:v>
      </x:c>
      <x:c r="F1486" s="27" t="n">
        <x:v>1</x:v>
      </x:c>
      <x:c r="G1486" s="29" t="str">
        <x:f>IF(E1486=F1486,"PASS","FAIL")</x:f>
        <x:v>PASS</x:v>
      </x:c>
    </x:row>
    <x:row r="1487" ht="18" customHeight="1">
      <x:c r="B1487" s="27" t="str">
        <x:v>A1481</x:v>
      </x:c>
      <x:c r="C1487" s="27" t="str">
        <x:v>acceptance</x:v>
      </x:c>
      <x:c r="D1487" s="27" t="str">
        <x:v>Acceptance row 23 decision hold</x:v>
      </x:c>
      <x:c r="E1487" s="27" t="n">
        <x:f>IF('Acceptance Register'!L23="HOLD",1,0)</x:f>
        <x:v>1</x:v>
      </x:c>
      <x:c r="F1487" s="27" t="n">
        <x:v>1</x:v>
      </x:c>
      <x:c r="G1487" s="29" t="str">
        <x:f>IF(E1487=F1487,"PASS","FAIL")</x:f>
        <x:v>PASS</x:v>
      </x:c>
    </x:row>
    <x:row r="1488" ht="18" customHeight="1">
      <x:c r="B1488" s="27" t="str">
        <x:v>A1482</x:v>
      </x:c>
      <x:c r="C1488" s="27" t="str">
        <x:v>acceptance</x:v>
      </x:c>
      <x:c r="D1488" s="27" t="str">
        <x:v>Acceptance row 23 zero credit</x:v>
      </x:c>
      <x:c r="E1488" s="27" t="n">
        <x:f>IF('Acceptance Register'!M23=0,1,0)</x:f>
        <x:v>1</x:v>
      </x:c>
      <x:c r="F1488" s="27" t="n">
        <x:v>1</x:v>
      </x:c>
      <x:c r="G1488" s="29" t="str">
        <x:f>IF(E1488=F1488,"PASS","FAIL")</x:f>
        <x:v>PASS</x:v>
      </x:c>
    </x:row>
    <x:row r="1489" ht="18" customHeight="1">
      <x:c r="B1489" s="27" t="str">
        <x:v>A1483</x:v>
      </x:c>
      <x:c r="C1489" s="27" t="str">
        <x:v>acceptance</x:v>
      </x:c>
      <x:c r="D1489" s="27" t="str">
        <x:v>Acceptance row 24 method present</x:v>
      </x:c>
      <x:c r="E1489" s="27" t="n">
        <x:f>IF('Acceptance Register'!G24&lt;&gt;"",1,0)</x:f>
        <x:v>1</x:v>
      </x:c>
      <x:c r="F1489" s="27" t="n">
        <x:v>1</x:v>
      </x:c>
      <x:c r="G1489" s="29" t="str">
        <x:f>IF(E1489=F1489,"PASS","FAIL")</x:f>
        <x:v>PASS</x:v>
      </x:c>
    </x:row>
    <x:row r="1490" ht="18" customHeight="1">
      <x:c r="B1490" s="27" t="str">
        <x:v>A1484</x:v>
      </x:c>
      <x:c r="C1490" s="27" t="str">
        <x:v>acceptance</x:v>
      </x:c>
      <x:c r="D1490" s="27" t="str">
        <x:v>Acceptance row 24 threshold present</x:v>
      </x:c>
      <x:c r="E1490" s="27" t="n">
        <x:f>IF('Acceptance Register'!H24&lt;&gt;"",1,0)</x:f>
        <x:v>1</x:v>
      </x:c>
      <x:c r="F1490" s="27" t="n">
        <x:v>1</x:v>
      </x:c>
      <x:c r="G1490" s="29" t="str">
        <x:f>IF(E1490=F1490,"PASS","FAIL")</x:f>
        <x:v>PASS</x:v>
      </x:c>
    </x:row>
    <x:row r="1491" ht="18" customHeight="1">
      <x:c r="B1491" s="27" t="str">
        <x:v>A1485</x:v>
      </x:c>
      <x:c r="C1491" s="27" t="str">
        <x:v>acceptance</x:v>
      </x:c>
      <x:c r="D1491" s="27" t="str">
        <x:v>Acceptance row 24 evidence open</x:v>
      </x:c>
      <x:c r="E1491" s="27" t="n">
        <x:f>IF('Acceptance Register'!K24="OPEN",1,0)</x:f>
        <x:v>1</x:v>
      </x:c>
      <x:c r="F1491" s="27" t="n">
        <x:v>1</x:v>
      </x:c>
      <x:c r="G1491" s="29" t="str">
        <x:f>IF(E1491=F1491,"PASS","FAIL")</x:f>
        <x:v>PASS</x:v>
      </x:c>
    </x:row>
    <x:row r="1492" ht="18" customHeight="1">
      <x:c r="B1492" s="27" t="str">
        <x:v>A1486</x:v>
      </x:c>
      <x:c r="C1492" s="27" t="str">
        <x:v>acceptance</x:v>
      </x:c>
      <x:c r="D1492" s="27" t="str">
        <x:v>Acceptance row 24 decision hold</x:v>
      </x:c>
      <x:c r="E1492" s="27" t="n">
        <x:f>IF('Acceptance Register'!L24="HOLD",1,0)</x:f>
        <x:v>1</x:v>
      </x:c>
      <x:c r="F1492" s="27" t="n">
        <x:v>1</x:v>
      </x:c>
      <x:c r="G1492" s="29" t="str">
        <x:f>IF(E1492=F1492,"PASS","FAIL")</x:f>
        <x:v>PASS</x:v>
      </x:c>
    </x:row>
    <x:row r="1493" ht="18" customHeight="1">
      <x:c r="B1493" s="27" t="str">
        <x:v>A1487</x:v>
      </x:c>
      <x:c r="C1493" s="27" t="str">
        <x:v>acceptance</x:v>
      </x:c>
      <x:c r="D1493" s="27" t="str">
        <x:v>Acceptance row 24 zero credit</x:v>
      </x:c>
      <x:c r="E1493" s="27" t="n">
        <x:f>IF('Acceptance Register'!M24=0,1,0)</x:f>
        <x:v>1</x:v>
      </x:c>
      <x:c r="F1493" s="27" t="n">
        <x:v>1</x:v>
      </x:c>
      <x:c r="G1493" s="29" t="str">
        <x:f>IF(E1493=F1493,"PASS","FAIL")</x:f>
        <x:v>PASS</x:v>
      </x:c>
    </x:row>
    <x:row r="1494" ht="18" customHeight="1">
      <x:c r="B1494" s="27" t="str">
        <x:v>A1488</x:v>
      </x:c>
      <x:c r="C1494" s="27" t="str">
        <x:v>acceptance</x:v>
      </x:c>
      <x:c r="D1494" s="27" t="str">
        <x:v>Acceptance row 25 method present</x:v>
      </x:c>
      <x:c r="E1494" s="27" t="n">
        <x:f>IF('Acceptance Register'!G25&lt;&gt;"",1,0)</x:f>
        <x:v>1</x:v>
      </x:c>
      <x:c r="F1494" s="27" t="n">
        <x:v>1</x:v>
      </x:c>
      <x:c r="G1494" s="29" t="str">
        <x:f>IF(E1494=F1494,"PASS","FAIL")</x:f>
        <x:v>PASS</x:v>
      </x:c>
    </x:row>
    <x:row r="1495" ht="18" customHeight="1">
      <x:c r="B1495" s="27" t="str">
        <x:v>A1489</x:v>
      </x:c>
      <x:c r="C1495" s="27" t="str">
        <x:v>acceptance</x:v>
      </x:c>
      <x:c r="D1495" s="27" t="str">
        <x:v>Acceptance row 25 threshold present</x:v>
      </x:c>
      <x:c r="E1495" s="27" t="n">
        <x:f>IF('Acceptance Register'!H25&lt;&gt;"",1,0)</x:f>
        <x:v>1</x:v>
      </x:c>
      <x:c r="F1495" s="27" t="n">
        <x:v>1</x:v>
      </x:c>
      <x:c r="G1495" s="29" t="str">
        <x:f>IF(E1495=F1495,"PASS","FAIL")</x:f>
        <x:v>PASS</x:v>
      </x:c>
    </x:row>
    <x:row r="1496" ht="18" customHeight="1">
      <x:c r="B1496" s="27" t="str">
        <x:v>A1490</x:v>
      </x:c>
      <x:c r="C1496" s="27" t="str">
        <x:v>acceptance</x:v>
      </x:c>
      <x:c r="D1496" s="27" t="str">
        <x:v>Acceptance row 25 evidence open</x:v>
      </x:c>
      <x:c r="E1496" s="27" t="n">
        <x:f>IF('Acceptance Register'!K25="OPEN",1,0)</x:f>
        <x:v>1</x:v>
      </x:c>
      <x:c r="F1496" s="27" t="n">
        <x:v>1</x:v>
      </x:c>
      <x:c r="G1496" s="29" t="str">
        <x:f>IF(E1496=F1496,"PASS","FAIL")</x:f>
        <x:v>PASS</x:v>
      </x:c>
    </x:row>
    <x:row r="1497" ht="18" customHeight="1">
      <x:c r="B1497" s="27" t="str">
        <x:v>A1491</x:v>
      </x:c>
      <x:c r="C1497" s="27" t="str">
        <x:v>acceptance</x:v>
      </x:c>
      <x:c r="D1497" s="27" t="str">
        <x:v>Acceptance row 25 decision hold</x:v>
      </x:c>
      <x:c r="E1497" s="27" t="n">
        <x:f>IF('Acceptance Register'!L25="HOLD",1,0)</x:f>
        <x:v>1</x:v>
      </x:c>
      <x:c r="F1497" s="27" t="n">
        <x:v>1</x:v>
      </x:c>
      <x:c r="G1497" s="29" t="str">
        <x:f>IF(E1497=F1497,"PASS","FAIL")</x:f>
        <x:v>PASS</x:v>
      </x:c>
    </x:row>
    <x:row r="1498" ht="18" customHeight="1">
      <x:c r="B1498" s="27" t="str">
        <x:v>A1492</x:v>
      </x:c>
      <x:c r="C1498" s="27" t="str">
        <x:v>acceptance</x:v>
      </x:c>
      <x:c r="D1498" s="27" t="str">
        <x:v>Acceptance row 25 zero credit</x:v>
      </x:c>
      <x:c r="E1498" s="27" t="n">
        <x:f>IF('Acceptance Register'!M25=0,1,0)</x:f>
        <x:v>1</x:v>
      </x:c>
      <x:c r="F1498" s="27" t="n">
        <x:v>1</x:v>
      </x:c>
      <x:c r="G1498" s="29" t="str">
        <x:f>IF(E1498=F1498,"PASS","FAIL")</x:f>
        <x:v>PASS</x:v>
      </x:c>
    </x:row>
    <x:row r="1499" ht="18" customHeight="1">
      <x:c r="B1499" s="27" t="str">
        <x:v>A1493</x:v>
      </x:c>
      <x:c r="C1499" s="27" t="str">
        <x:v>acceptance</x:v>
      </x:c>
      <x:c r="D1499" s="27" t="str">
        <x:v>Acceptance row 26 method present</x:v>
      </x:c>
      <x:c r="E1499" s="27" t="n">
        <x:f>IF('Acceptance Register'!G26&lt;&gt;"",1,0)</x:f>
        <x:v>1</x:v>
      </x:c>
      <x:c r="F1499" s="27" t="n">
        <x:v>1</x:v>
      </x:c>
      <x:c r="G1499" s="29" t="str">
        <x:f>IF(E1499=F1499,"PASS","FAIL")</x:f>
        <x:v>PASS</x:v>
      </x:c>
    </x:row>
    <x:row r="1500" ht="18" customHeight="1">
      <x:c r="B1500" s="27" t="str">
        <x:v>A1494</x:v>
      </x:c>
      <x:c r="C1500" s="27" t="str">
        <x:v>acceptance</x:v>
      </x:c>
      <x:c r="D1500" s="27" t="str">
        <x:v>Acceptance row 26 threshold present</x:v>
      </x:c>
      <x:c r="E1500" s="27" t="n">
        <x:f>IF('Acceptance Register'!H26&lt;&gt;"",1,0)</x:f>
        <x:v>1</x:v>
      </x:c>
      <x:c r="F1500" s="27" t="n">
        <x:v>1</x:v>
      </x:c>
      <x:c r="G1500" s="29" t="str">
        <x:f>IF(E1500=F1500,"PASS","FAIL")</x:f>
        <x:v>PASS</x:v>
      </x:c>
    </x:row>
    <x:row r="1501" ht="18" customHeight="1">
      <x:c r="B1501" s="27" t="str">
        <x:v>A1495</x:v>
      </x:c>
      <x:c r="C1501" s="27" t="str">
        <x:v>acceptance</x:v>
      </x:c>
      <x:c r="D1501" s="27" t="str">
        <x:v>Acceptance row 26 evidence open</x:v>
      </x:c>
      <x:c r="E1501" s="27" t="n">
        <x:f>IF('Acceptance Register'!K26="OPEN",1,0)</x:f>
        <x:v>1</x:v>
      </x:c>
      <x:c r="F1501" s="27" t="n">
        <x:v>1</x:v>
      </x:c>
      <x:c r="G1501" s="29" t="str">
        <x:f>IF(E1501=F1501,"PASS","FAIL")</x:f>
        <x:v>PASS</x:v>
      </x:c>
    </x:row>
    <x:row r="1502" ht="18" customHeight="1">
      <x:c r="B1502" s="27" t="str">
        <x:v>A1496</x:v>
      </x:c>
      <x:c r="C1502" s="27" t="str">
        <x:v>acceptance</x:v>
      </x:c>
      <x:c r="D1502" s="27" t="str">
        <x:v>Acceptance row 26 decision hold</x:v>
      </x:c>
      <x:c r="E1502" s="27" t="n">
        <x:f>IF('Acceptance Register'!L26="HOLD",1,0)</x:f>
        <x:v>1</x:v>
      </x:c>
      <x:c r="F1502" s="27" t="n">
        <x:v>1</x:v>
      </x:c>
      <x:c r="G1502" s="29" t="str">
        <x:f>IF(E1502=F1502,"PASS","FAIL")</x:f>
        <x:v>PASS</x:v>
      </x:c>
    </x:row>
    <x:row r="1503" ht="18" customHeight="1">
      <x:c r="B1503" s="27" t="str">
        <x:v>A1497</x:v>
      </x:c>
      <x:c r="C1503" s="27" t="str">
        <x:v>acceptance</x:v>
      </x:c>
      <x:c r="D1503" s="27" t="str">
        <x:v>Acceptance row 26 zero credit</x:v>
      </x:c>
      <x:c r="E1503" s="27" t="n">
        <x:f>IF('Acceptance Register'!M26=0,1,0)</x:f>
        <x:v>1</x:v>
      </x:c>
      <x:c r="F1503" s="27" t="n">
        <x:v>1</x:v>
      </x:c>
      <x:c r="G1503" s="29" t="str">
        <x:f>IF(E1503=F1503,"PASS","FAIL")</x:f>
        <x:v>PASS</x:v>
      </x:c>
    </x:row>
    <x:row r="1504" ht="18" customHeight="1">
      <x:c r="B1504" s="27" t="str">
        <x:v>A1498</x:v>
      </x:c>
      <x:c r="C1504" s="27" t="str">
        <x:v>acceptance</x:v>
      </x:c>
      <x:c r="D1504" s="27" t="str">
        <x:v>Acceptance row 27 method present</x:v>
      </x:c>
      <x:c r="E1504" s="27" t="n">
        <x:f>IF('Acceptance Register'!G27&lt;&gt;"",1,0)</x:f>
        <x:v>1</x:v>
      </x:c>
      <x:c r="F1504" s="27" t="n">
        <x:v>1</x:v>
      </x:c>
      <x:c r="G1504" s="29" t="str">
        <x:f>IF(E1504=F1504,"PASS","FAIL")</x:f>
        <x:v>PASS</x:v>
      </x:c>
    </x:row>
    <x:row r="1505" ht="18" customHeight="1">
      <x:c r="B1505" s="27" t="str">
        <x:v>A1499</x:v>
      </x:c>
      <x:c r="C1505" s="27" t="str">
        <x:v>acceptance</x:v>
      </x:c>
      <x:c r="D1505" s="27" t="str">
        <x:v>Acceptance row 27 threshold present</x:v>
      </x:c>
      <x:c r="E1505" s="27" t="n">
        <x:f>IF('Acceptance Register'!H27&lt;&gt;"",1,0)</x:f>
        <x:v>1</x:v>
      </x:c>
      <x:c r="F1505" s="27" t="n">
        <x:v>1</x:v>
      </x:c>
      <x:c r="G1505" s="29" t="str">
        <x:f>IF(E1505=F1505,"PASS","FAIL")</x:f>
        <x:v>PASS</x:v>
      </x:c>
    </x:row>
    <x:row r="1506" ht="18" customHeight="1">
      <x:c r="B1506" s="27" t="str">
        <x:v>A1500</x:v>
      </x:c>
      <x:c r="C1506" s="27" t="str">
        <x:v>acceptance</x:v>
      </x:c>
      <x:c r="D1506" s="27" t="str">
        <x:v>Acceptance row 27 evidence open</x:v>
      </x:c>
      <x:c r="E1506" s="27" t="n">
        <x:f>IF('Acceptance Register'!K27="OPEN",1,0)</x:f>
        <x:v>1</x:v>
      </x:c>
      <x:c r="F1506" s="27" t="n">
        <x:v>1</x:v>
      </x:c>
      <x:c r="G1506" s="29" t="str">
        <x:f>IF(E1506=F1506,"PASS","FAIL")</x:f>
        <x:v>PASS</x:v>
      </x:c>
    </x:row>
    <x:row r="1507" ht="18" customHeight="1">
      <x:c r="B1507" s="27" t="str">
        <x:v>A1501</x:v>
      </x:c>
      <x:c r="C1507" s="27" t="str">
        <x:v>acceptance</x:v>
      </x:c>
      <x:c r="D1507" s="27" t="str">
        <x:v>Acceptance row 27 decision hold</x:v>
      </x:c>
      <x:c r="E1507" s="27" t="n">
        <x:f>IF('Acceptance Register'!L27="HOLD",1,0)</x:f>
        <x:v>1</x:v>
      </x:c>
      <x:c r="F1507" s="27" t="n">
        <x:v>1</x:v>
      </x:c>
      <x:c r="G1507" s="29" t="str">
        <x:f>IF(E1507=F1507,"PASS","FAIL")</x:f>
        <x:v>PASS</x:v>
      </x:c>
    </x:row>
    <x:row r="1508" ht="18" customHeight="1">
      <x:c r="B1508" s="27" t="str">
        <x:v>A1502</x:v>
      </x:c>
      <x:c r="C1508" s="27" t="str">
        <x:v>acceptance</x:v>
      </x:c>
      <x:c r="D1508" s="27" t="str">
        <x:v>Acceptance row 27 zero credit</x:v>
      </x:c>
      <x:c r="E1508" s="27" t="n">
        <x:f>IF('Acceptance Register'!M27=0,1,0)</x:f>
        <x:v>1</x:v>
      </x:c>
      <x:c r="F1508" s="27" t="n">
        <x:v>1</x:v>
      </x:c>
      <x:c r="G1508" s="29" t="str">
        <x:f>IF(E1508=F1508,"PASS","FAIL")</x:f>
        <x:v>PASS</x:v>
      </x:c>
    </x:row>
    <x:row r="1509" ht="18" customHeight="1">
      <x:c r="B1509" s="27" t="str">
        <x:v>A1503</x:v>
      </x:c>
      <x:c r="C1509" s="27" t="str">
        <x:v>acceptance</x:v>
      </x:c>
      <x:c r="D1509" s="27" t="str">
        <x:v>Acceptance row 28 method present</x:v>
      </x:c>
      <x:c r="E1509" s="27" t="n">
        <x:f>IF('Acceptance Register'!G28&lt;&gt;"",1,0)</x:f>
        <x:v>1</x:v>
      </x:c>
      <x:c r="F1509" s="27" t="n">
        <x:v>1</x:v>
      </x:c>
      <x:c r="G1509" s="29" t="str">
        <x:f>IF(E1509=F1509,"PASS","FAIL")</x:f>
        <x:v>PASS</x:v>
      </x:c>
    </x:row>
    <x:row r="1510" ht="18" customHeight="1">
      <x:c r="B1510" s="27" t="str">
        <x:v>A1504</x:v>
      </x:c>
      <x:c r="C1510" s="27" t="str">
        <x:v>acceptance</x:v>
      </x:c>
      <x:c r="D1510" s="27" t="str">
        <x:v>Acceptance row 28 threshold present</x:v>
      </x:c>
      <x:c r="E1510" s="27" t="n">
        <x:f>IF('Acceptance Register'!H28&lt;&gt;"",1,0)</x:f>
        <x:v>1</x:v>
      </x:c>
      <x:c r="F1510" s="27" t="n">
        <x:v>1</x:v>
      </x:c>
      <x:c r="G1510" s="29" t="str">
        <x:f>IF(E1510=F1510,"PASS","FAIL")</x:f>
        <x:v>PASS</x:v>
      </x:c>
    </x:row>
    <x:row r="1511" ht="18" customHeight="1">
      <x:c r="B1511" s="27" t="str">
        <x:v>A1505</x:v>
      </x:c>
      <x:c r="C1511" s="27" t="str">
        <x:v>acceptance</x:v>
      </x:c>
      <x:c r="D1511" s="27" t="str">
        <x:v>Acceptance row 28 evidence open</x:v>
      </x:c>
      <x:c r="E1511" s="27" t="n">
        <x:f>IF('Acceptance Register'!K28="OPEN",1,0)</x:f>
        <x:v>1</x:v>
      </x:c>
      <x:c r="F1511" s="27" t="n">
        <x:v>1</x:v>
      </x:c>
      <x:c r="G1511" s="29" t="str">
        <x:f>IF(E1511=F1511,"PASS","FAIL")</x:f>
        <x:v>PASS</x:v>
      </x:c>
    </x:row>
    <x:row r="1512" ht="18" customHeight="1">
      <x:c r="B1512" s="27" t="str">
        <x:v>A1506</x:v>
      </x:c>
      <x:c r="C1512" s="27" t="str">
        <x:v>acceptance</x:v>
      </x:c>
      <x:c r="D1512" s="27" t="str">
        <x:v>Acceptance row 28 decision hold</x:v>
      </x:c>
      <x:c r="E1512" s="27" t="n">
        <x:f>IF('Acceptance Register'!L28="HOLD",1,0)</x:f>
        <x:v>1</x:v>
      </x:c>
      <x:c r="F1512" s="27" t="n">
        <x:v>1</x:v>
      </x:c>
      <x:c r="G1512" s="29" t="str">
        <x:f>IF(E1512=F1512,"PASS","FAIL")</x:f>
        <x:v>PASS</x:v>
      </x:c>
    </x:row>
    <x:row r="1513" ht="18" customHeight="1">
      <x:c r="B1513" s="27" t="str">
        <x:v>A1507</x:v>
      </x:c>
      <x:c r="C1513" s="27" t="str">
        <x:v>acceptance</x:v>
      </x:c>
      <x:c r="D1513" s="27" t="str">
        <x:v>Acceptance row 28 zero credit</x:v>
      </x:c>
      <x:c r="E1513" s="27" t="n">
        <x:f>IF('Acceptance Register'!M28=0,1,0)</x:f>
        <x:v>1</x:v>
      </x:c>
      <x:c r="F1513" s="27" t="n">
        <x:v>1</x:v>
      </x:c>
      <x:c r="G1513" s="29" t="str">
        <x:f>IF(E1513=F1513,"PASS","FAIL")</x:f>
        <x:v>PASS</x:v>
      </x:c>
    </x:row>
    <x:row r="1514" ht="18" customHeight="1">
      <x:c r="B1514" s="27" t="str">
        <x:v>A1508</x:v>
      </x:c>
      <x:c r="C1514" s="27" t="str">
        <x:v>acceptance</x:v>
      </x:c>
      <x:c r="D1514" s="27" t="str">
        <x:v>Acceptance row 29 method present</x:v>
      </x:c>
      <x:c r="E1514" s="27" t="n">
        <x:f>IF('Acceptance Register'!G29&lt;&gt;"",1,0)</x:f>
        <x:v>1</x:v>
      </x:c>
      <x:c r="F1514" s="27" t="n">
        <x:v>1</x:v>
      </x:c>
      <x:c r="G1514" s="29" t="str">
        <x:f>IF(E1514=F1514,"PASS","FAIL")</x:f>
        <x:v>PASS</x:v>
      </x:c>
    </x:row>
    <x:row r="1515" ht="18" customHeight="1">
      <x:c r="B1515" s="27" t="str">
        <x:v>A1509</x:v>
      </x:c>
      <x:c r="C1515" s="27" t="str">
        <x:v>acceptance</x:v>
      </x:c>
      <x:c r="D1515" s="27" t="str">
        <x:v>Acceptance row 29 threshold present</x:v>
      </x:c>
      <x:c r="E1515" s="27" t="n">
        <x:f>IF('Acceptance Register'!H29&lt;&gt;"",1,0)</x:f>
        <x:v>1</x:v>
      </x:c>
      <x:c r="F1515" s="27" t="n">
        <x:v>1</x:v>
      </x:c>
      <x:c r="G1515" s="29" t="str">
        <x:f>IF(E1515=F1515,"PASS","FAIL")</x:f>
        <x:v>PASS</x:v>
      </x:c>
    </x:row>
    <x:row r="1516" ht="18" customHeight="1">
      <x:c r="B1516" s="27" t="str">
        <x:v>A1510</x:v>
      </x:c>
      <x:c r="C1516" s="27" t="str">
        <x:v>acceptance</x:v>
      </x:c>
      <x:c r="D1516" s="27" t="str">
        <x:v>Acceptance row 29 evidence open</x:v>
      </x:c>
      <x:c r="E1516" s="27" t="n">
        <x:f>IF('Acceptance Register'!K29="OPEN",1,0)</x:f>
        <x:v>1</x:v>
      </x:c>
      <x:c r="F1516" s="27" t="n">
        <x:v>1</x:v>
      </x:c>
      <x:c r="G1516" s="29" t="str">
        <x:f>IF(E1516=F1516,"PASS","FAIL")</x:f>
        <x:v>PASS</x:v>
      </x:c>
    </x:row>
    <x:row r="1517" ht="18" customHeight="1">
      <x:c r="B1517" s="27" t="str">
        <x:v>A1511</x:v>
      </x:c>
      <x:c r="C1517" s="27" t="str">
        <x:v>acceptance</x:v>
      </x:c>
      <x:c r="D1517" s="27" t="str">
        <x:v>Acceptance row 29 decision hold</x:v>
      </x:c>
      <x:c r="E1517" s="27" t="n">
        <x:f>IF('Acceptance Register'!L29="HOLD",1,0)</x:f>
        <x:v>1</x:v>
      </x:c>
      <x:c r="F1517" s="27" t="n">
        <x:v>1</x:v>
      </x:c>
      <x:c r="G1517" s="29" t="str">
        <x:f>IF(E1517=F1517,"PASS","FAIL")</x:f>
        <x:v>PASS</x:v>
      </x:c>
    </x:row>
    <x:row r="1518" ht="18" customHeight="1">
      <x:c r="B1518" s="27" t="str">
        <x:v>A1512</x:v>
      </x:c>
      <x:c r="C1518" s="27" t="str">
        <x:v>acceptance</x:v>
      </x:c>
      <x:c r="D1518" s="27" t="str">
        <x:v>Acceptance row 29 zero credit</x:v>
      </x:c>
      <x:c r="E1518" s="27" t="n">
        <x:f>IF('Acceptance Register'!M29=0,1,0)</x:f>
        <x:v>1</x:v>
      </x:c>
      <x:c r="F1518" s="27" t="n">
        <x:v>1</x:v>
      </x:c>
      <x:c r="G1518" s="29" t="str">
        <x:f>IF(E1518=F1518,"PASS","FAIL")</x:f>
        <x:v>PASS</x:v>
      </x:c>
    </x:row>
    <x:row r="1519" ht="18" customHeight="1">
      <x:c r="B1519" s="27" t="str">
        <x:v>A1513</x:v>
      </x:c>
      <x:c r="C1519" s="27" t="str">
        <x:v>acceptance</x:v>
      </x:c>
      <x:c r="D1519" s="27" t="str">
        <x:v>Acceptance row 30 method present</x:v>
      </x:c>
      <x:c r="E1519" s="27" t="n">
        <x:f>IF('Acceptance Register'!G30&lt;&gt;"",1,0)</x:f>
        <x:v>1</x:v>
      </x:c>
      <x:c r="F1519" s="27" t="n">
        <x:v>1</x:v>
      </x:c>
      <x:c r="G1519" s="29" t="str">
        <x:f>IF(E1519=F1519,"PASS","FAIL")</x:f>
        <x:v>PASS</x:v>
      </x:c>
    </x:row>
    <x:row r="1520" ht="18" customHeight="1">
      <x:c r="B1520" s="27" t="str">
        <x:v>A1514</x:v>
      </x:c>
      <x:c r="C1520" s="27" t="str">
        <x:v>acceptance</x:v>
      </x:c>
      <x:c r="D1520" s="27" t="str">
        <x:v>Acceptance row 30 threshold present</x:v>
      </x:c>
      <x:c r="E1520" s="27" t="n">
        <x:f>IF('Acceptance Register'!H30&lt;&gt;"",1,0)</x:f>
        <x:v>1</x:v>
      </x:c>
      <x:c r="F1520" s="27" t="n">
        <x:v>1</x:v>
      </x:c>
      <x:c r="G1520" s="29" t="str">
        <x:f>IF(E1520=F1520,"PASS","FAIL")</x:f>
        <x:v>PASS</x:v>
      </x:c>
    </x:row>
    <x:row r="1521" ht="18" customHeight="1">
      <x:c r="B1521" s="27" t="str">
        <x:v>A1515</x:v>
      </x:c>
      <x:c r="C1521" s="27" t="str">
        <x:v>acceptance</x:v>
      </x:c>
      <x:c r="D1521" s="27" t="str">
        <x:v>Acceptance row 30 evidence open</x:v>
      </x:c>
      <x:c r="E1521" s="27" t="n">
        <x:f>IF('Acceptance Register'!K30="OPEN",1,0)</x:f>
        <x:v>1</x:v>
      </x:c>
      <x:c r="F1521" s="27" t="n">
        <x:v>1</x:v>
      </x:c>
      <x:c r="G1521" s="29" t="str">
        <x:f>IF(E1521=F1521,"PASS","FAIL")</x:f>
        <x:v>PASS</x:v>
      </x:c>
    </x:row>
    <x:row r="1522" ht="18" customHeight="1">
      <x:c r="B1522" s="27" t="str">
        <x:v>A1516</x:v>
      </x:c>
      <x:c r="C1522" s="27" t="str">
        <x:v>acceptance</x:v>
      </x:c>
      <x:c r="D1522" s="27" t="str">
        <x:v>Acceptance row 30 decision hold</x:v>
      </x:c>
      <x:c r="E1522" s="27" t="n">
        <x:f>IF('Acceptance Register'!L30="HOLD",1,0)</x:f>
        <x:v>1</x:v>
      </x:c>
      <x:c r="F1522" s="27" t="n">
        <x:v>1</x:v>
      </x:c>
      <x:c r="G1522" s="29" t="str">
        <x:f>IF(E1522=F1522,"PASS","FAIL")</x:f>
        <x:v>PASS</x:v>
      </x:c>
    </x:row>
    <x:row r="1523" ht="18" customHeight="1">
      <x:c r="B1523" s="27" t="str">
        <x:v>A1517</x:v>
      </x:c>
      <x:c r="C1523" s="27" t="str">
        <x:v>acceptance</x:v>
      </x:c>
      <x:c r="D1523" s="27" t="str">
        <x:v>Acceptance row 30 zero credit</x:v>
      </x:c>
      <x:c r="E1523" s="27" t="n">
        <x:f>IF('Acceptance Register'!M30=0,1,0)</x:f>
        <x:v>1</x:v>
      </x:c>
      <x:c r="F1523" s="27" t="n">
        <x:v>1</x:v>
      </x:c>
      <x:c r="G1523" s="29" t="str">
        <x:f>IF(E1523=F1523,"PASS","FAIL")</x:f>
        <x:v>PASS</x:v>
      </x:c>
    </x:row>
    <x:row r="1524" ht="18" customHeight="1">
      <x:c r="B1524" s="27" t="str">
        <x:v>A1518</x:v>
      </x:c>
      <x:c r="C1524" s="27" t="str">
        <x:v>acceptance</x:v>
      </x:c>
      <x:c r="D1524" s="27" t="str">
        <x:v>Acceptance row 31 method present</x:v>
      </x:c>
      <x:c r="E1524" s="27" t="n">
        <x:f>IF('Acceptance Register'!G31&lt;&gt;"",1,0)</x:f>
        <x:v>1</x:v>
      </x:c>
      <x:c r="F1524" s="27" t="n">
        <x:v>1</x:v>
      </x:c>
      <x:c r="G1524" s="29" t="str">
        <x:f>IF(E1524=F1524,"PASS","FAIL")</x:f>
        <x:v>PASS</x:v>
      </x:c>
    </x:row>
    <x:row r="1525" ht="18" customHeight="1">
      <x:c r="B1525" s="27" t="str">
        <x:v>A1519</x:v>
      </x:c>
      <x:c r="C1525" s="27" t="str">
        <x:v>acceptance</x:v>
      </x:c>
      <x:c r="D1525" s="27" t="str">
        <x:v>Acceptance row 31 threshold present</x:v>
      </x:c>
      <x:c r="E1525" s="27" t="n">
        <x:f>IF('Acceptance Register'!H31&lt;&gt;"",1,0)</x:f>
        <x:v>1</x:v>
      </x:c>
      <x:c r="F1525" s="27" t="n">
        <x:v>1</x:v>
      </x:c>
      <x:c r="G1525" s="29" t="str">
        <x:f>IF(E1525=F1525,"PASS","FAIL")</x:f>
        <x:v>PASS</x:v>
      </x:c>
    </x:row>
    <x:row r="1526" ht="18" customHeight="1">
      <x:c r="B1526" s="27" t="str">
        <x:v>A1520</x:v>
      </x:c>
      <x:c r="C1526" s="27" t="str">
        <x:v>acceptance</x:v>
      </x:c>
      <x:c r="D1526" s="27" t="str">
        <x:v>Acceptance row 31 evidence open</x:v>
      </x:c>
      <x:c r="E1526" s="27" t="n">
        <x:f>IF('Acceptance Register'!K31="OPEN",1,0)</x:f>
        <x:v>1</x:v>
      </x:c>
      <x:c r="F1526" s="27" t="n">
        <x:v>1</x:v>
      </x:c>
      <x:c r="G1526" s="29" t="str">
        <x:f>IF(E1526=F1526,"PASS","FAIL")</x:f>
        <x:v>PASS</x:v>
      </x:c>
    </x:row>
    <x:row r="1527" ht="18" customHeight="1">
      <x:c r="B1527" s="27" t="str">
        <x:v>A1521</x:v>
      </x:c>
      <x:c r="C1527" s="27" t="str">
        <x:v>acceptance</x:v>
      </x:c>
      <x:c r="D1527" s="27" t="str">
        <x:v>Acceptance row 31 decision hold</x:v>
      </x:c>
      <x:c r="E1527" s="27" t="n">
        <x:f>IF('Acceptance Register'!L31="HOLD",1,0)</x:f>
        <x:v>1</x:v>
      </x:c>
      <x:c r="F1527" s="27" t="n">
        <x:v>1</x:v>
      </x:c>
      <x:c r="G1527" s="29" t="str">
        <x:f>IF(E1527=F1527,"PASS","FAIL")</x:f>
        <x:v>PASS</x:v>
      </x:c>
    </x:row>
    <x:row r="1528" ht="18" customHeight="1">
      <x:c r="B1528" s="27" t="str">
        <x:v>A1522</x:v>
      </x:c>
      <x:c r="C1528" s="27" t="str">
        <x:v>acceptance</x:v>
      </x:c>
      <x:c r="D1528" s="27" t="str">
        <x:v>Acceptance row 31 zero credit</x:v>
      </x:c>
      <x:c r="E1528" s="27" t="n">
        <x:f>IF('Acceptance Register'!M31=0,1,0)</x:f>
        <x:v>1</x:v>
      </x:c>
      <x:c r="F1528" s="27" t="n">
        <x:v>1</x:v>
      </x:c>
      <x:c r="G1528" s="29" t="str">
        <x:f>IF(E1528=F1528,"PASS","FAIL")</x:f>
        <x:v>PASS</x:v>
      </x:c>
    </x:row>
    <x:row r="1529" ht="18" customHeight="1">
      <x:c r="B1529" s="27" t="str">
        <x:v>A1523</x:v>
      </x:c>
      <x:c r="C1529" s="27" t="str">
        <x:v>acceptance</x:v>
      </x:c>
      <x:c r="D1529" s="27" t="str">
        <x:v>Acceptance row 32 method present</x:v>
      </x:c>
      <x:c r="E1529" s="27" t="n">
        <x:f>IF('Acceptance Register'!G32&lt;&gt;"",1,0)</x:f>
        <x:v>1</x:v>
      </x:c>
      <x:c r="F1529" s="27" t="n">
        <x:v>1</x:v>
      </x:c>
      <x:c r="G1529" s="29" t="str">
        <x:f>IF(E1529=F1529,"PASS","FAIL")</x:f>
        <x:v>PASS</x:v>
      </x:c>
    </x:row>
    <x:row r="1530" ht="18" customHeight="1">
      <x:c r="B1530" s="27" t="str">
        <x:v>A1524</x:v>
      </x:c>
      <x:c r="C1530" s="27" t="str">
        <x:v>acceptance</x:v>
      </x:c>
      <x:c r="D1530" s="27" t="str">
        <x:v>Acceptance row 32 threshold present</x:v>
      </x:c>
      <x:c r="E1530" s="27" t="n">
        <x:f>IF('Acceptance Register'!H32&lt;&gt;"",1,0)</x:f>
        <x:v>1</x:v>
      </x:c>
      <x:c r="F1530" s="27" t="n">
        <x:v>1</x:v>
      </x:c>
      <x:c r="G1530" s="29" t="str">
        <x:f>IF(E1530=F1530,"PASS","FAIL")</x:f>
        <x:v>PASS</x:v>
      </x:c>
    </x:row>
    <x:row r="1531" ht="18" customHeight="1">
      <x:c r="B1531" s="27" t="str">
        <x:v>A1525</x:v>
      </x:c>
      <x:c r="C1531" s="27" t="str">
        <x:v>acceptance</x:v>
      </x:c>
      <x:c r="D1531" s="27" t="str">
        <x:v>Acceptance row 32 evidence open</x:v>
      </x:c>
      <x:c r="E1531" s="27" t="n">
        <x:f>IF('Acceptance Register'!K32="OPEN",1,0)</x:f>
        <x:v>1</x:v>
      </x:c>
      <x:c r="F1531" s="27" t="n">
        <x:v>1</x:v>
      </x:c>
      <x:c r="G1531" s="29" t="str">
        <x:f>IF(E1531=F1531,"PASS","FAIL")</x:f>
        <x:v>PASS</x:v>
      </x:c>
    </x:row>
    <x:row r="1532" ht="18" customHeight="1">
      <x:c r="B1532" s="27" t="str">
        <x:v>A1526</x:v>
      </x:c>
      <x:c r="C1532" s="27" t="str">
        <x:v>acceptance</x:v>
      </x:c>
      <x:c r="D1532" s="27" t="str">
        <x:v>Acceptance row 32 decision hold</x:v>
      </x:c>
      <x:c r="E1532" s="27" t="n">
        <x:f>IF('Acceptance Register'!L32="HOLD",1,0)</x:f>
        <x:v>1</x:v>
      </x:c>
      <x:c r="F1532" s="27" t="n">
        <x:v>1</x:v>
      </x:c>
      <x:c r="G1532" s="29" t="str">
        <x:f>IF(E1532=F1532,"PASS","FAIL")</x:f>
        <x:v>PASS</x:v>
      </x:c>
    </x:row>
    <x:row r="1533" ht="18" customHeight="1">
      <x:c r="B1533" s="27" t="str">
        <x:v>A1527</x:v>
      </x:c>
      <x:c r="C1533" s="27" t="str">
        <x:v>acceptance</x:v>
      </x:c>
      <x:c r="D1533" s="27" t="str">
        <x:v>Acceptance row 32 zero credit</x:v>
      </x:c>
      <x:c r="E1533" s="27" t="n">
        <x:f>IF('Acceptance Register'!M32=0,1,0)</x:f>
        <x:v>1</x:v>
      </x:c>
      <x:c r="F1533" s="27" t="n">
        <x:v>1</x:v>
      </x:c>
      <x:c r="G1533" s="29" t="str">
        <x:f>IF(E1533=F1533,"PASS","FAIL")</x:f>
        <x:v>PASS</x:v>
      </x:c>
    </x:row>
    <x:row r="1534" ht="18" customHeight="1">
      <x:c r="B1534" s="27" t="str">
        <x:v>A1528</x:v>
      </x:c>
      <x:c r="C1534" s="27" t="str">
        <x:v>acceptance</x:v>
      </x:c>
      <x:c r="D1534" s="27" t="str">
        <x:v>Acceptance row 33 method present</x:v>
      </x:c>
      <x:c r="E1534" s="27" t="n">
        <x:f>IF('Acceptance Register'!G33&lt;&gt;"",1,0)</x:f>
        <x:v>1</x:v>
      </x:c>
      <x:c r="F1534" s="27" t="n">
        <x:v>1</x:v>
      </x:c>
      <x:c r="G1534" s="29" t="str">
        <x:f>IF(E1534=F1534,"PASS","FAIL")</x:f>
        <x:v>PASS</x:v>
      </x:c>
    </x:row>
    <x:row r="1535" ht="18" customHeight="1">
      <x:c r="B1535" s="27" t="str">
        <x:v>A1529</x:v>
      </x:c>
      <x:c r="C1535" s="27" t="str">
        <x:v>acceptance</x:v>
      </x:c>
      <x:c r="D1535" s="27" t="str">
        <x:v>Acceptance row 33 threshold present</x:v>
      </x:c>
      <x:c r="E1535" s="27" t="n">
        <x:f>IF('Acceptance Register'!H33&lt;&gt;"",1,0)</x:f>
        <x:v>1</x:v>
      </x:c>
      <x:c r="F1535" s="27" t="n">
        <x:v>1</x:v>
      </x:c>
      <x:c r="G1535" s="29" t="str">
        <x:f>IF(E1535=F1535,"PASS","FAIL")</x:f>
        <x:v>PASS</x:v>
      </x:c>
    </x:row>
    <x:row r="1536" ht="18" customHeight="1">
      <x:c r="B1536" s="27" t="str">
        <x:v>A1530</x:v>
      </x:c>
      <x:c r="C1536" s="27" t="str">
        <x:v>acceptance</x:v>
      </x:c>
      <x:c r="D1536" s="27" t="str">
        <x:v>Acceptance row 33 evidence open</x:v>
      </x:c>
      <x:c r="E1536" s="27" t="n">
        <x:f>IF('Acceptance Register'!K33="OPEN",1,0)</x:f>
        <x:v>1</x:v>
      </x:c>
      <x:c r="F1536" s="27" t="n">
        <x:v>1</x:v>
      </x:c>
      <x:c r="G1536" s="29" t="str">
        <x:f>IF(E1536=F1536,"PASS","FAIL")</x:f>
        <x:v>PASS</x:v>
      </x:c>
    </x:row>
    <x:row r="1537" ht="18" customHeight="1">
      <x:c r="B1537" s="27" t="str">
        <x:v>A1531</x:v>
      </x:c>
      <x:c r="C1537" s="27" t="str">
        <x:v>acceptance</x:v>
      </x:c>
      <x:c r="D1537" s="27" t="str">
        <x:v>Acceptance row 33 decision hold</x:v>
      </x:c>
      <x:c r="E1537" s="27" t="n">
        <x:f>IF('Acceptance Register'!L33="HOLD",1,0)</x:f>
        <x:v>1</x:v>
      </x:c>
      <x:c r="F1537" s="27" t="n">
        <x:v>1</x:v>
      </x:c>
      <x:c r="G1537" s="29" t="str">
        <x:f>IF(E1537=F1537,"PASS","FAIL")</x:f>
        <x:v>PASS</x:v>
      </x:c>
    </x:row>
    <x:row r="1538" ht="18" customHeight="1">
      <x:c r="B1538" s="27" t="str">
        <x:v>A1532</x:v>
      </x:c>
      <x:c r="C1538" s="27" t="str">
        <x:v>acceptance</x:v>
      </x:c>
      <x:c r="D1538" s="27" t="str">
        <x:v>Acceptance row 33 zero credit</x:v>
      </x:c>
      <x:c r="E1538" s="27" t="n">
        <x:f>IF('Acceptance Register'!M33=0,1,0)</x:f>
        <x:v>1</x:v>
      </x:c>
      <x:c r="F1538" s="27" t="n">
        <x:v>1</x:v>
      </x:c>
      <x:c r="G1538" s="29" t="str">
        <x:f>IF(E1538=F1538,"PASS","FAIL")</x:f>
        <x:v>PASS</x:v>
      </x:c>
    </x:row>
    <x:row r="1539" ht="18" customHeight="1">
      <x:c r="B1539" s="27" t="str">
        <x:v>A1533</x:v>
      </x:c>
      <x:c r="C1539" s="27" t="str">
        <x:v>acceptance</x:v>
      </x:c>
      <x:c r="D1539" s="27" t="str">
        <x:v>Acceptance row 34 method present</x:v>
      </x:c>
      <x:c r="E1539" s="27" t="n">
        <x:f>IF('Acceptance Register'!G34&lt;&gt;"",1,0)</x:f>
        <x:v>1</x:v>
      </x:c>
      <x:c r="F1539" s="27" t="n">
        <x:v>1</x:v>
      </x:c>
      <x:c r="G1539" s="29" t="str">
        <x:f>IF(E1539=F1539,"PASS","FAIL")</x:f>
        <x:v>PASS</x:v>
      </x:c>
    </x:row>
    <x:row r="1540" ht="18" customHeight="1">
      <x:c r="B1540" s="27" t="str">
        <x:v>A1534</x:v>
      </x:c>
      <x:c r="C1540" s="27" t="str">
        <x:v>acceptance</x:v>
      </x:c>
      <x:c r="D1540" s="27" t="str">
        <x:v>Acceptance row 34 threshold present</x:v>
      </x:c>
      <x:c r="E1540" s="27" t="n">
        <x:f>IF('Acceptance Register'!H34&lt;&gt;"",1,0)</x:f>
        <x:v>1</x:v>
      </x:c>
      <x:c r="F1540" s="27" t="n">
        <x:v>1</x:v>
      </x:c>
      <x:c r="G1540" s="29" t="str">
        <x:f>IF(E1540=F1540,"PASS","FAIL")</x:f>
        <x:v>PASS</x:v>
      </x:c>
    </x:row>
    <x:row r="1541" ht="18" customHeight="1">
      <x:c r="B1541" s="27" t="str">
        <x:v>A1535</x:v>
      </x:c>
      <x:c r="C1541" s="27" t="str">
        <x:v>acceptance</x:v>
      </x:c>
      <x:c r="D1541" s="27" t="str">
        <x:v>Acceptance row 34 evidence open</x:v>
      </x:c>
      <x:c r="E1541" s="27" t="n">
        <x:f>IF('Acceptance Register'!K34="OPEN",1,0)</x:f>
        <x:v>1</x:v>
      </x:c>
      <x:c r="F1541" s="27" t="n">
        <x:v>1</x:v>
      </x:c>
      <x:c r="G1541" s="29" t="str">
        <x:f>IF(E1541=F1541,"PASS","FAIL")</x:f>
        <x:v>PASS</x:v>
      </x:c>
    </x:row>
    <x:row r="1542" ht="18" customHeight="1">
      <x:c r="B1542" s="27" t="str">
        <x:v>A1536</x:v>
      </x:c>
      <x:c r="C1542" s="27" t="str">
        <x:v>acceptance</x:v>
      </x:c>
      <x:c r="D1542" s="27" t="str">
        <x:v>Acceptance row 34 decision hold</x:v>
      </x:c>
      <x:c r="E1542" s="27" t="n">
        <x:f>IF('Acceptance Register'!L34="HOLD",1,0)</x:f>
        <x:v>1</x:v>
      </x:c>
      <x:c r="F1542" s="27" t="n">
        <x:v>1</x:v>
      </x:c>
      <x:c r="G1542" s="29" t="str">
        <x:f>IF(E1542=F1542,"PASS","FAIL")</x:f>
        <x:v>PASS</x:v>
      </x:c>
    </x:row>
    <x:row r="1543" ht="18" customHeight="1">
      <x:c r="B1543" s="27" t="str">
        <x:v>A1537</x:v>
      </x:c>
      <x:c r="C1543" s="27" t="str">
        <x:v>acceptance</x:v>
      </x:c>
      <x:c r="D1543" s="27" t="str">
        <x:v>Acceptance row 34 zero credit</x:v>
      </x:c>
      <x:c r="E1543" s="27" t="n">
        <x:f>IF('Acceptance Register'!M34=0,1,0)</x:f>
        <x:v>1</x:v>
      </x:c>
      <x:c r="F1543" s="27" t="n">
        <x:v>1</x:v>
      </x:c>
      <x:c r="G1543" s="29" t="str">
        <x:f>IF(E1543=F1543,"PASS","FAIL")</x:f>
        <x:v>PASS</x:v>
      </x:c>
    </x:row>
    <x:row r="1544" ht="18" customHeight="1">
      <x:c r="B1544" s="27" t="str">
        <x:v>A1538</x:v>
      </x:c>
      <x:c r="C1544" s="27" t="str">
        <x:v>acceptance</x:v>
      </x:c>
      <x:c r="D1544" s="27" t="str">
        <x:v>Acceptance row 35 method present</x:v>
      </x:c>
      <x:c r="E1544" s="27" t="n">
        <x:f>IF('Acceptance Register'!G35&lt;&gt;"",1,0)</x:f>
        <x:v>1</x:v>
      </x:c>
      <x:c r="F1544" s="27" t="n">
        <x:v>1</x:v>
      </x:c>
      <x:c r="G1544" s="29" t="str">
        <x:f>IF(E1544=F1544,"PASS","FAIL")</x:f>
        <x:v>PASS</x:v>
      </x:c>
    </x:row>
    <x:row r="1545" ht="18" customHeight="1">
      <x:c r="B1545" s="27" t="str">
        <x:v>A1539</x:v>
      </x:c>
      <x:c r="C1545" s="27" t="str">
        <x:v>acceptance</x:v>
      </x:c>
      <x:c r="D1545" s="27" t="str">
        <x:v>Acceptance row 35 threshold present</x:v>
      </x:c>
      <x:c r="E1545" s="27" t="n">
        <x:f>IF('Acceptance Register'!H35&lt;&gt;"",1,0)</x:f>
        <x:v>1</x:v>
      </x:c>
      <x:c r="F1545" s="27" t="n">
        <x:v>1</x:v>
      </x:c>
      <x:c r="G1545" s="29" t="str">
        <x:f>IF(E1545=F1545,"PASS","FAIL")</x:f>
        <x:v>PASS</x:v>
      </x:c>
    </x:row>
    <x:row r="1546" ht="18" customHeight="1">
      <x:c r="B1546" s="27" t="str">
        <x:v>A1540</x:v>
      </x:c>
      <x:c r="C1546" s="27" t="str">
        <x:v>acceptance</x:v>
      </x:c>
      <x:c r="D1546" s="27" t="str">
        <x:v>Acceptance row 35 evidence open</x:v>
      </x:c>
      <x:c r="E1546" s="27" t="n">
        <x:f>IF('Acceptance Register'!K35="OPEN",1,0)</x:f>
        <x:v>1</x:v>
      </x:c>
      <x:c r="F1546" s="27" t="n">
        <x:v>1</x:v>
      </x:c>
      <x:c r="G1546" s="29" t="str">
        <x:f>IF(E1546=F1546,"PASS","FAIL")</x:f>
        <x:v>PASS</x:v>
      </x:c>
    </x:row>
    <x:row r="1547" ht="18" customHeight="1">
      <x:c r="B1547" s="27" t="str">
        <x:v>A1541</x:v>
      </x:c>
      <x:c r="C1547" s="27" t="str">
        <x:v>acceptance</x:v>
      </x:c>
      <x:c r="D1547" s="27" t="str">
        <x:v>Acceptance row 35 decision hold</x:v>
      </x:c>
      <x:c r="E1547" s="27" t="n">
        <x:f>IF('Acceptance Register'!L35="HOLD",1,0)</x:f>
        <x:v>1</x:v>
      </x:c>
      <x:c r="F1547" s="27" t="n">
        <x:v>1</x:v>
      </x:c>
      <x:c r="G1547" s="29" t="str">
        <x:f>IF(E1547=F1547,"PASS","FAIL")</x:f>
        <x:v>PASS</x:v>
      </x:c>
    </x:row>
    <x:row r="1548" ht="18" customHeight="1">
      <x:c r="B1548" s="27" t="str">
        <x:v>A1542</x:v>
      </x:c>
      <x:c r="C1548" s="27" t="str">
        <x:v>acceptance</x:v>
      </x:c>
      <x:c r="D1548" s="27" t="str">
        <x:v>Acceptance row 35 zero credit</x:v>
      </x:c>
      <x:c r="E1548" s="27" t="n">
        <x:f>IF('Acceptance Register'!M35=0,1,0)</x:f>
        <x:v>1</x:v>
      </x:c>
      <x:c r="F1548" s="27" t="n">
        <x:v>1</x:v>
      </x:c>
      <x:c r="G1548" s="29" t="str">
        <x:f>IF(E1548=F1548,"PASS","FAIL")</x:f>
        <x:v>PASS</x:v>
      </x:c>
    </x:row>
    <x:row r="1549" ht="18" customHeight="1">
      <x:c r="B1549" s="27" t="str">
        <x:v>A1543</x:v>
      </x:c>
      <x:c r="C1549" s="27" t="str">
        <x:v>acceptance</x:v>
      </x:c>
      <x:c r="D1549" s="27" t="str">
        <x:v>Acceptance row 36 method present</x:v>
      </x:c>
      <x:c r="E1549" s="27" t="n">
        <x:f>IF('Acceptance Register'!G36&lt;&gt;"",1,0)</x:f>
        <x:v>1</x:v>
      </x:c>
      <x:c r="F1549" s="27" t="n">
        <x:v>1</x:v>
      </x:c>
      <x:c r="G1549" s="29" t="str">
        <x:f>IF(E1549=F1549,"PASS","FAIL")</x:f>
        <x:v>PASS</x:v>
      </x:c>
    </x:row>
    <x:row r="1550" ht="18" customHeight="1">
      <x:c r="B1550" s="27" t="str">
        <x:v>A1544</x:v>
      </x:c>
      <x:c r="C1550" s="27" t="str">
        <x:v>acceptance</x:v>
      </x:c>
      <x:c r="D1550" s="27" t="str">
        <x:v>Acceptance row 36 threshold present</x:v>
      </x:c>
      <x:c r="E1550" s="27" t="n">
        <x:f>IF('Acceptance Register'!H36&lt;&gt;"",1,0)</x:f>
        <x:v>1</x:v>
      </x:c>
      <x:c r="F1550" s="27" t="n">
        <x:v>1</x:v>
      </x:c>
      <x:c r="G1550" s="29" t="str">
        <x:f>IF(E1550=F1550,"PASS","FAIL")</x:f>
        <x:v>PASS</x:v>
      </x:c>
    </x:row>
    <x:row r="1551" ht="18" customHeight="1">
      <x:c r="B1551" s="27" t="str">
        <x:v>A1545</x:v>
      </x:c>
      <x:c r="C1551" s="27" t="str">
        <x:v>acceptance</x:v>
      </x:c>
      <x:c r="D1551" s="27" t="str">
        <x:v>Acceptance row 36 evidence open</x:v>
      </x:c>
      <x:c r="E1551" s="27" t="n">
        <x:f>IF('Acceptance Register'!K36="OPEN",1,0)</x:f>
        <x:v>1</x:v>
      </x:c>
      <x:c r="F1551" s="27" t="n">
        <x:v>1</x:v>
      </x:c>
      <x:c r="G1551" s="29" t="str">
        <x:f>IF(E1551=F1551,"PASS","FAIL")</x:f>
        <x:v>PASS</x:v>
      </x:c>
    </x:row>
    <x:row r="1552" ht="18" customHeight="1">
      <x:c r="B1552" s="27" t="str">
        <x:v>A1546</x:v>
      </x:c>
      <x:c r="C1552" s="27" t="str">
        <x:v>acceptance</x:v>
      </x:c>
      <x:c r="D1552" s="27" t="str">
        <x:v>Acceptance row 36 decision hold</x:v>
      </x:c>
      <x:c r="E1552" s="27" t="n">
        <x:f>IF('Acceptance Register'!L36="HOLD",1,0)</x:f>
        <x:v>1</x:v>
      </x:c>
      <x:c r="F1552" s="27" t="n">
        <x:v>1</x:v>
      </x:c>
      <x:c r="G1552" s="29" t="str">
        <x:f>IF(E1552=F1552,"PASS","FAIL")</x:f>
        <x:v>PASS</x:v>
      </x:c>
    </x:row>
    <x:row r="1553" ht="18" customHeight="1">
      <x:c r="B1553" s="27" t="str">
        <x:v>A1547</x:v>
      </x:c>
      <x:c r="C1553" s="27" t="str">
        <x:v>acceptance</x:v>
      </x:c>
      <x:c r="D1553" s="27" t="str">
        <x:v>Acceptance row 36 zero credit</x:v>
      </x:c>
      <x:c r="E1553" s="27" t="n">
        <x:f>IF('Acceptance Register'!M36=0,1,0)</x:f>
        <x:v>1</x:v>
      </x:c>
      <x:c r="F1553" s="27" t="n">
        <x:v>1</x:v>
      </x:c>
      <x:c r="G1553" s="29" t="str">
        <x:f>IF(E1553=F1553,"PASS","FAIL")</x:f>
        <x:v>PASS</x:v>
      </x:c>
    </x:row>
    <x:row r="1554" ht="18" customHeight="1">
      <x:c r="B1554" s="27" t="str">
        <x:v>A1548</x:v>
      </x:c>
      <x:c r="C1554" s="27" t="str">
        <x:v>acceptance</x:v>
      </x:c>
      <x:c r="D1554" s="27" t="str">
        <x:v>Acceptance row 37 method present</x:v>
      </x:c>
      <x:c r="E1554" s="27" t="n">
        <x:f>IF('Acceptance Register'!G37&lt;&gt;"",1,0)</x:f>
        <x:v>1</x:v>
      </x:c>
      <x:c r="F1554" s="27" t="n">
        <x:v>1</x:v>
      </x:c>
      <x:c r="G1554" s="29" t="str">
        <x:f>IF(E1554=F1554,"PASS","FAIL")</x:f>
        <x:v>PASS</x:v>
      </x:c>
    </x:row>
    <x:row r="1555" ht="18" customHeight="1">
      <x:c r="B1555" s="27" t="str">
        <x:v>A1549</x:v>
      </x:c>
      <x:c r="C1555" s="27" t="str">
        <x:v>acceptance</x:v>
      </x:c>
      <x:c r="D1555" s="27" t="str">
        <x:v>Acceptance row 37 threshold present</x:v>
      </x:c>
      <x:c r="E1555" s="27" t="n">
        <x:f>IF('Acceptance Register'!H37&lt;&gt;"",1,0)</x:f>
        <x:v>1</x:v>
      </x:c>
      <x:c r="F1555" s="27" t="n">
        <x:v>1</x:v>
      </x:c>
      <x:c r="G1555" s="29" t="str">
        <x:f>IF(E1555=F1555,"PASS","FAIL")</x:f>
        <x:v>PASS</x:v>
      </x:c>
    </x:row>
    <x:row r="1556" ht="18" customHeight="1">
      <x:c r="B1556" s="27" t="str">
        <x:v>A1550</x:v>
      </x:c>
      <x:c r="C1556" s="27" t="str">
        <x:v>acceptance</x:v>
      </x:c>
      <x:c r="D1556" s="27" t="str">
        <x:v>Acceptance row 37 evidence open</x:v>
      </x:c>
      <x:c r="E1556" s="27" t="n">
        <x:f>IF('Acceptance Register'!K37="OPEN",1,0)</x:f>
        <x:v>1</x:v>
      </x:c>
      <x:c r="F1556" s="27" t="n">
        <x:v>1</x:v>
      </x:c>
      <x:c r="G1556" s="29" t="str">
        <x:f>IF(E1556=F1556,"PASS","FAIL")</x:f>
        <x:v>PASS</x:v>
      </x:c>
    </x:row>
    <x:row r="1557" ht="18" customHeight="1">
      <x:c r="B1557" s="27" t="str">
        <x:v>A1551</x:v>
      </x:c>
      <x:c r="C1557" s="27" t="str">
        <x:v>acceptance</x:v>
      </x:c>
      <x:c r="D1557" s="27" t="str">
        <x:v>Acceptance row 37 decision hold</x:v>
      </x:c>
      <x:c r="E1557" s="27" t="n">
        <x:f>IF('Acceptance Register'!L37="HOLD",1,0)</x:f>
        <x:v>1</x:v>
      </x:c>
      <x:c r="F1557" s="27" t="n">
        <x:v>1</x:v>
      </x:c>
      <x:c r="G1557" s="29" t="str">
        <x:f>IF(E1557=F1557,"PASS","FAIL")</x:f>
        <x:v>PASS</x:v>
      </x:c>
    </x:row>
    <x:row r="1558" ht="18" customHeight="1">
      <x:c r="B1558" s="27" t="str">
        <x:v>A1552</x:v>
      </x:c>
      <x:c r="C1558" s="27" t="str">
        <x:v>acceptance</x:v>
      </x:c>
      <x:c r="D1558" s="27" t="str">
        <x:v>Acceptance row 37 zero credit</x:v>
      </x:c>
      <x:c r="E1558" s="27" t="n">
        <x:f>IF('Acceptance Register'!M37=0,1,0)</x:f>
        <x:v>1</x:v>
      </x:c>
      <x:c r="F1558" s="27" t="n">
        <x:v>1</x:v>
      </x:c>
      <x:c r="G1558" s="29" t="str">
        <x:f>IF(E1558=F1558,"PASS","FAIL")</x:f>
        <x:v>PASS</x:v>
      </x:c>
    </x:row>
    <x:row r="1559" ht="18" customHeight="1">
      <x:c r="B1559" s="27" t="str">
        <x:v>A1553</x:v>
      </x:c>
      <x:c r="C1559" s="27" t="str">
        <x:v>acceptance</x:v>
      </x:c>
      <x:c r="D1559" s="27" t="str">
        <x:v>Acceptance row 38 method present</x:v>
      </x:c>
      <x:c r="E1559" s="27" t="n">
        <x:f>IF('Acceptance Register'!G38&lt;&gt;"",1,0)</x:f>
        <x:v>1</x:v>
      </x:c>
      <x:c r="F1559" s="27" t="n">
        <x:v>1</x:v>
      </x:c>
      <x:c r="G1559" s="29" t="str">
        <x:f>IF(E1559=F1559,"PASS","FAIL")</x:f>
        <x:v>PASS</x:v>
      </x:c>
    </x:row>
    <x:row r="1560" ht="18" customHeight="1">
      <x:c r="B1560" s="27" t="str">
        <x:v>A1554</x:v>
      </x:c>
      <x:c r="C1560" s="27" t="str">
        <x:v>acceptance</x:v>
      </x:c>
      <x:c r="D1560" s="27" t="str">
        <x:v>Acceptance row 38 threshold present</x:v>
      </x:c>
      <x:c r="E1560" s="27" t="n">
        <x:f>IF('Acceptance Register'!H38&lt;&gt;"",1,0)</x:f>
        <x:v>1</x:v>
      </x:c>
      <x:c r="F1560" s="27" t="n">
        <x:v>1</x:v>
      </x:c>
      <x:c r="G1560" s="29" t="str">
        <x:f>IF(E1560=F1560,"PASS","FAIL")</x:f>
        <x:v>PASS</x:v>
      </x:c>
    </x:row>
    <x:row r="1561" ht="18" customHeight="1">
      <x:c r="B1561" s="27" t="str">
        <x:v>A1555</x:v>
      </x:c>
      <x:c r="C1561" s="27" t="str">
        <x:v>acceptance</x:v>
      </x:c>
      <x:c r="D1561" s="27" t="str">
        <x:v>Acceptance row 38 evidence open</x:v>
      </x:c>
      <x:c r="E1561" s="27" t="n">
        <x:f>IF('Acceptance Register'!K38="OPEN",1,0)</x:f>
        <x:v>1</x:v>
      </x:c>
      <x:c r="F1561" s="27" t="n">
        <x:v>1</x:v>
      </x:c>
      <x:c r="G1561" s="29" t="str">
        <x:f>IF(E1561=F1561,"PASS","FAIL")</x:f>
        <x:v>PASS</x:v>
      </x:c>
    </x:row>
    <x:row r="1562" ht="18" customHeight="1">
      <x:c r="B1562" s="27" t="str">
        <x:v>A1556</x:v>
      </x:c>
      <x:c r="C1562" s="27" t="str">
        <x:v>acceptance</x:v>
      </x:c>
      <x:c r="D1562" s="27" t="str">
        <x:v>Acceptance row 38 decision hold</x:v>
      </x:c>
      <x:c r="E1562" s="27" t="n">
        <x:f>IF('Acceptance Register'!L38="HOLD",1,0)</x:f>
        <x:v>1</x:v>
      </x:c>
      <x:c r="F1562" s="27" t="n">
        <x:v>1</x:v>
      </x:c>
      <x:c r="G1562" s="29" t="str">
        <x:f>IF(E1562=F1562,"PASS","FAIL")</x:f>
        <x:v>PASS</x:v>
      </x:c>
    </x:row>
    <x:row r="1563" ht="18" customHeight="1">
      <x:c r="B1563" s="27" t="str">
        <x:v>A1557</x:v>
      </x:c>
      <x:c r="C1563" s="27" t="str">
        <x:v>acceptance</x:v>
      </x:c>
      <x:c r="D1563" s="27" t="str">
        <x:v>Acceptance row 38 zero credit</x:v>
      </x:c>
      <x:c r="E1563" s="27" t="n">
        <x:f>IF('Acceptance Register'!M38=0,1,0)</x:f>
        <x:v>1</x:v>
      </x:c>
      <x:c r="F1563" s="27" t="n">
        <x:v>1</x:v>
      </x:c>
      <x:c r="G1563" s="29" t="str">
        <x:f>IF(E1563=F1563,"PASS","FAIL")</x:f>
        <x:v>PASS</x:v>
      </x:c>
    </x:row>
    <x:row r="1564" ht="18" customHeight="1">
      <x:c r="B1564" s="27" t="str">
        <x:v>A1558</x:v>
      </x:c>
      <x:c r="C1564" s="27" t="str">
        <x:v>acceptance</x:v>
      </x:c>
      <x:c r="D1564" s="27" t="str">
        <x:v>Acceptance row 39 method present</x:v>
      </x:c>
      <x:c r="E1564" s="27" t="n">
        <x:f>IF('Acceptance Register'!G39&lt;&gt;"",1,0)</x:f>
        <x:v>1</x:v>
      </x:c>
      <x:c r="F1564" s="27" t="n">
        <x:v>1</x:v>
      </x:c>
      <x:c r="G1564" s="29" t="str">
        <x:f>IF(E1564=F1564,"PASS","FAIL")</x:f>
        <x:v>PASS</x:v>
      </x:c>
    </x:row>
    <x:row r="1565" ht="18" customHeight="1">
      <x:c r="B1565" s="27" t="str">
        <x:v>A1559</x:v>
      </x:c>
      <x:c r="C1565" s="27" t="str">
        <x:v>acceptance</x:v>
      </x:c>
      <x:c r="D1565" s="27" t="str">
        <x:v>Acceptance row 39 threshold present</x:v>
      </x:c>
      <x:c r="E1565" s="27" t="n">
        <x:f>IF('Acceptance Register'!H39&lt;&gt;"",1,0)</x:f>
        <x:v>1</x:v>
      </x:c>
      <x:c r="F1565" s="27" t="n">
        <x:v>1</x:v>
      </x:c>
      <x:c r="G1565" s="29" t="str">
        <x:f>IF(E1565=F1565,"PASS","FAIL")</x:f>
        <x:v>PASS</x:v>
      </x:c>
    </x:row>
    <x:row r="1566" ht="18" customHeight="1">
      <x:c r="B1566" s="27" t="str">
        <x:v>A1560</x:v>
      </x:c>
      <x:c r="C1566" s="27" t="str">
        <x:v>acceptance</x:v>
      </x:c>
      <x:c r="D1566" s="27" t="str">
        <x:v>Acceptance row 39 evidence open</x:v>
      </x:c>
      <x:c r="E1566" s="27" t="n">
        <x:f>IF('Acceptance Register'!K39="OPEN",1,0)</x:f>
        <x:v>1</x:v>
      </x:c>
      <x:c r="F1566" s="27" t="n">
        <x:v>1</x:v>
      </x:c>
      <x:c r="G1566" s="29" t="str">
        <x:f>IF(E1566=F1566,"PASS","FAIL")</x:f>
        <x:v>PASS</x:v>
      </x:c>
    </x:row>
    <x:row r="1567" ht="18" customHeight="1">
      <x:c r="B1567" s="27" t="str">
        <x:v>A1561</x:v>
      </x:c>
      <x:c r="C1567" s="27" t="str">
        <x:v>acceptance</x:v>
      </x:c>
      <x:c r="D1567" s="27" t="str">
        <x:v>Acceptance row 39 decision hold</x:v>
      </x:c>
      <x:c r="E1567" s="27" t="n">
        <x:f>IF('Acceptance Register'!L39="HOLD",1,0)</x:f>
        <x:v>1</x:v>
      </x:c>
      <x:c r="F1567" s="27" t="n">
        <x:v>1</x:v>
      </x:c>
      <x:c r="G1567" s="29" t="str">
        <x:f>IF(E1567=F1567,"PASS","FAIL")</x:f>
        <x:v>PASS</x:v>
      </x:c>
    </x:row>
    <x:row r="1568" ht="18" customHeight="1">
      <x:c r="B1568" s="27" t="str">
        <x:v>A1562</x:v>
      </x:c>
      <x:c r="C1568" s="27" t="str">
        <x:v>acceptance</x:v>
      </x:c>
      <x:c r="D1568" s="27" t="str">
        <x:v>Acceptance row 39 zero credit</x:v>
      </x:c>
      <x:c r="E1568" s="27" t="n">
        <x:f>IF('Acceptance Register'!M39=0,1,0)</x:f>
        <x:v>1</x:v>
      </x:c>
      <x:c r="F1568" s="27" t="n">
        <x:v>1</x:v>
      </x:c>
      <x:c r="G1568" s="29" t="str">
        <x:f>IF(E1568=F1568,"PASS","FAIL")</x:f>
        <x:v>PASS</x:v>
      </x:c>
    </x:row>
    <x:row r="1569" ht="18" customHeight="1">
      <x:c r="B1569" s="27" t="str">
        <x:v>A1563</x:v>
      </x:c>
      <x:c r="C1569" s="27" t="str">
        <x:v>acceptance</x:v>
      </x:c>
      <x:c r="D1569" s="27" t="str">
        <x:v>Acceptance row 40 method present</x:v>
      </x:c>
      <x:c r="E1569" s="27" t="n">
        <x:f>IF('Acceptance Register'!G40&lt;&gt;"",1,0)</x:f>
        <x:v>1</x:v>
      </x:c>
      <x:c r="F1569" s="27" t="n">
        <x:v>1</x:v>
      </x:c>
      <x:c r="G1569" s="29" t="str">
        <x:f>IF(E1569=F1569,"PASS","FAIL")</x:f>
        <x:v>PASS</x:v>
      </x:c>
    </x:row>
    <x:row r="1570" ht="18" customHeight="1">
      <x:c r="B1570" s="27" t="str">
        <x:v>A1564</x:v>
      </x:c>
      <x:c r="C1570" s="27" t="str">
        <x:v>acceptance</x:v>
      </x:c>
      <x:c r="D1570" s="27" t="str">
        <x:v>Acceptance row 40 threshold present</x:v>
      </x:c>
      <x:c r="E1570" s="27" t="n">
        <x:f>IF('Acceptance Register'!H40&lt;&gt;"",1,0)</x:f>
        <x:v>1</x:v>
      </x:c>
      <x:c r="F1570" s="27" t="n">
        <x:v>1</x:v>
      </x:c>
      <x:c r="G1570" s="29" t="str">
        <x:f>IF(E1570=F1570,"PASS","FAIL")</x:f>
        <x:v>PASS</x:v>
      </x:c>
    </x:row>
    <x:row r="1571" ht="18" customHeight="1">
      <x:c r="B1571" s="27" t="str">
        <x:v>A1565</x:v>
      </x:c>
      <x:c r="C1571" s="27" t="str">
        <x:v>acceptance</x:v>
      </x:c>
      <x:c r="D1571" s="27" t="str">
        <x:v>Acceptance row 40 evidence open</x:v>
      </x:c>
      <x:c r="E1571" s="27" t="n">
        <x:f>IF('Acceptance Register'!K40="OPEN",1,0)</x:f>
        <x:v>1</x:v>
      </x:c>
      <x:c r="F1571" s="27" t="n">
        <x:v>1</x:v>
      </x:c>
      <x:c r="G1571" s="29" t="str">
        <x:f>IF(E1571=F1571,"PASS","FAIL")</x:f>
        <x:v>PASS</x:v>
      </x:c>
    </x:row>
    <x:row r="1572" ht="18" customHeight="1">
      <x:c r="B1572" s="27" t="str">
        <x:v>A1566</x:v>
      </x:c>
      <x:c r="C1572" s="27" t="str">
        <x:v>acceptance</x:v>
      </x:c>
      <x:c r="D1572" s="27" t="str">
        <x:v>Acceptance row 40 decision hold</x:v>
      </x:c>
      <x:c r="E1572" s="27" t="n">
        <x:f>IF('Acceptance Register'!L40="HOLD",1,0)</x:f>
        <x:v>1</x:v>
      </x:c>
      <x:c r="F1572" s="27" t="n">
        <x:v>1</x:v>
      </x:c>
      <x:c r="G1572" s="29" t="str">
        <x:f>IF(E1572=F1572,"PASS","FAIL")</x:f>
        <x:v>PASS</x:v>
      </x:c>
    </x:row>
    <x:row r="1573" ht="18" customHeight="1">
      <x:c r="B1573" s="27" t="str">
        <x:v>A1567</x:v>
      </x:c>
      <x:c r="C1573" s="27" t="str">
        <x:v>acceptance</x:v>
      </x:c>
      <x:c r="D1573" s="27" t="str">
        <x:v>Acceptance row 40 zero credit</x:v>
      </x:c>
      <x:c r="E1573" s="27" t="n">
        <x:f>IF('Acceptance Register'!M40=0,1,0)</x:f>
        <x:v>1</x:v>
      </x:c>
      <x:c r="F1573" s="27" t="n">
        <x:v>1</x:v>
      </x:c>
      <x:c r="G1573" s="29" t="str">
        <x:f>IF(E1573=F1573,"PASS","FAIL")</x:f>
        <x:v>PASS</x:v>
      </x:c>
    </x:row>
    <x:row r="1574" ht="18" customHeight="1">
      <x:c r="B1574" s="27" t="str">
        <x:v>A1568</x:v>
      </x:c>
      <x:c r="C1574" s="27" t="str">
        <x:v>acceptance</x:v>
      </x:c>
      <x:c r="D1574" s="27" t="str">
        <x:v>Acceptance row 41 method present</x:v>
      </x:c>
      <x:c r="E1574" s="27" t="n">
        <x:f>IF('Acceptance Register'!G41&lt;&gt;"",1,0)</x:f>
        <x:v>1</x:v>
      </x:c>
      <x:c r="F1574" s="27" t="n">
        <x:v>1</x:v>
      </x:c>
      <x:c r="G1574" s="29" t="str">
        <x:f>IF(E1574=F1574,"PASS","FAIL")</x:f>
        <x:v>PASS</x:v>
      </x:c>
    </x:row>
    <x:row r="1575" ht="18" customHeight="1">
      <x:c r="B1575" s="27" t="str">
        <x:v>A1569</x:v>
      </x:c>
      <x:c r="C1575" s="27" t="str">
        <x:v>acceptance</x:v>
      </x:c>
      <x:c r="D1575" s="27" t="str">
        <x:v>Acceptance row 41 threshold present</x:v>
      </x:c>
      <x:c r="E1575" s="27" t="n">
        <x:f>IF('Acceptance Register'!H41&lt;&gt;"",1,0)</x:f>
        <x:v>1</x:v>
      </x:c>
      <x:c r="F1575" s="27" t="n">
        <x:v>1</x:v>
      </x:c>
      <x:c r="G1575" s="29" t="str">
        <x:f>IF(E1575=F1575,"PASS","FAIL")</x:f>
        <x:v>PASS</x:v>
      </x:c>
    </x:row>
    <x:row r="1576" ht="18" customHeight="1">
      <x:c r="B1576" s="27" t="str">
        <x:v>A1570</x:v>
      </x:c>
      <x:c r="C1576" s="27" t="str">
        <x:v>acceptance</x:v>
      </x:c>
      <x:c r="D1576" s="27" t="str">
        <x:v>Acceptance row 41 evidence open</x:v>
      </x:c>
      <x:c r="E1576" s="27" t="n">
        <x:f>IF('Acceptance Register'!K41="OPEN",1,0)</x:f>
        <x:v>1</x:v>
      </x:c>
      <x:c r="F1576" s="27" t="n">
        <x:v>1</x:v>
      </x:c>
      <x:c r="G1576" s="29" t="str">
        <x:f>IF(E1576=F1576,"PASS","FAIL")</x:f>
        <x:v>PASS</x:v>
      </x:c>
    </x:row>
    <x:row r="1577" ht="18" customHeight="1">
      <x:c r="B1577" s="27" t="str">
        <x:v>A1571</x:v>
      </x:c>
      <x:c r="C1577" s="27" t="str">
        <x:v>acceptance</x:v>
      </x:c>
      <x:c r="D1577" s="27" t="str">
        <x:v>Acceptance row 41 decision hold</x:v>
      </x:c>
      <x:c r="E1577" s="27" t="n">
        <x:f>IF('Acceptance Register'!L41="HOLD",1,0)</x:f>
        <x:v>1</x:v>
      </x:c>
      <x:c r="F1577" s="27" t="n">
        <x:v>1</x:v>
      </x:c>
      <x:c r="G1577" s="29" t="str">
        <x:f>IF(E1577=F1577,"PASS","FAIL")</x:f>
        <x:v>PASS</x:v>
      </x:c>
    </x:row>
    <x:row r="1578" ht="18" customHeight="1">
      <x:c r="B1578" s="27" t="str">
        <x:v>A1572</x:v>
      </x:c>
      <x:c r="C1578" s="27" t="str">
        <x:v>acceptance</x:v>
      </x:c>
      <x:c r="D1578" s="27" t="str">
        <x:v>Acceptance row 41 zero credit</x:v>
      </x:c>
      <x:c r="E1578" s="27" t="n">
        <x:f>IF('Acceptance Register'!M41=0,1,0)</x:f>
        <x:v>1</x:v>
      </x:c>
      <x:c r="F1578" s="27" t="n">
        <x:v>1</x:v>
      </x:c>
      <x:c r="G1578" s="29" t="str">
        <x:f>IF(E1578=F1578,"PASS","FAIL")</x:f>
        <x:v>PASS</x:v>
      </x:c>
    </x:row>
    <x:row r="1579" ht="18" customHeight="1">
      <x:c r="B1579" s="27" t="str">
        <x:v>A1573</x:v>
      </x:c>
      <x:c r="C1579" s="27" t="str">
        <x:v>acceptance</x:v>
      </x:c>
      <x:c r="D1579" s="27" t="str">
        <x:v>Acceptance row 42 method present</x:v>
      </x:c>
      <x:c r="E1579" s="27" t="n">
        <x:f>IF('Acceptance Register'!G42&lt;&gt;"",1,0)</x:f>
        <x:v>1</x:v>
      </x:c>
      <x:c r="F1579" s="27" t="n">
        <x:v>1</x:v>
      </x:c>
      <x:c r="G1579" s="29" t="str">
        <x:f>IF(E1579=F1579,"PASS","FAIL")</x:f>
        <x:v>PASS</x:v>
      </x:c>
    </x:row>
    <x:row r="1580" ht="18" customHeight="1">
      <x:c r="B1580" s="27" t="str">
        <x:v>A1574</x:v>
      </x:c>
      <x:c r="C1580" s="27" t="str">
        <x:v>acceptance</x:v>
      </x:c>
      <x:c r="D1580" s="27" t="str">
        <x:v>Acceptance row 42 threshold present</x:v>
      </x:c>
      <x:c r="E1580" s="27" t="n">
        <x:f>IF('Acceptance Register'!H42&lt;&gt;"",1,0)</x:f>
        <x:v>1</x:v>
      </x:c>
      <x:c r="F1580" s="27" t="n">
        <x:v>1</x:v>
      </x:c>
      <x:c r="G1580" s="29" t="str">
        <x:f>IF(E1580=F1580,"PASS","FAIL")</x:f>
        <x:v>PASS</x:v>
      </x:c>
    </x:row>
    <x:row r="1581" ht="18" customHeight="1">
      <x:c r="B1581" s="27" t="str">
        <x:v>A1575</x:v>
      </x:c>
      <x:c r="C1581" s="27" t="str">
        <x:v>acceptance</x:v>
      </x:c>
      <x:c r="D1581" s="27" t="str">
        <x:v>Acceptance row 42 evidence open</x:v>
      </x:c>
      <x:c r="E1581" s="27" t="n">
        <x:f>IF('Acceptance Register'!K42="OPEN",1,0)</x:f>
        <x:v>1</x:v>
      </x:c>
      <x:c r="F1581" s="27" t="n">
        <x:v>1</x:v>
      </x:c>
      <x:c r="G1581" s="29" t="str">
        <x:f>IF(E1581=F1581,"PASS","FAIL")</x:f>
        <x:v>PASS</x:v>
      </x:c>
    </x:row>
    <x:row r="1582" ht="18" customHeight="1">
      <x:c r="B1582" s="27" t="str">
        <x:v>A1576</x:v>
      </x:c>
      <x:c r="C1582" s="27" t="str">
        <x:v>acceptance</x:v>
      </x:c>
      <x:c r="D1582" s="27" t="str">
        <x:v>Acceptance row 42 decision hold</x:v>
      </x:c>
      <x:c r="E1582" s="27" t="n">
        <x:f>IF('Acceptance Register'!L42="HOLD",1,0)</x:f>
        <x:v>1</x:v>
      </x:c>
      <x:c r="F1582" s="27" t="n">
        <x:v>1</x:v>
      </x:c>
      <x:c r="G1582" s="29" t="str">
        <x:f>IF(E1582=F1582,"PASS","FAIL")</x:f>
        <x:v>PASS</x:v>
      </x:c>
    </x:row>
    <x:row r="1583" ht="18" customHeight="1">
      <x:c r="B1583" s="27" t="str">
        <x:v>A1577</x:v>
      </x:c>
      <x:c r="C1583" s="27" t="str">
        <x:v>acceptance</x:v>
      </x:c>
      <x:c r="D1583" s="27" t="str">
        <x:v>Acceptance row 42 zero credit</x:v>
      </x:c>
      <x:c r="E1583" s="27" t="n">
        <x:f>IF('Acceptance Register'!M42=0,1,0)</x:f>
        <x:v>1</x:v>
      </x:c>
      <x:c r="F1583" s="27" t="n">
        <x:v>1</x:v>
      </x:c>
      <x:c r="G1583" s="29" t="str">
        <x:f>IF(E1583=F1583,"PASS","FAIL")</x:f>
        <x:v>PASS</x:v>
      </x:c>
    </x:row>
    <x:row r="1584" ht="18" customHeight="1">
      <x:c r="B1584" s="27" t="str">
        <x:v>A1578</x:v>
      </x:c>
      <x:c r="C1584" s="27" t="str">
        <x:v>acceptance</x:v>
      </x:c>
      <x:c r="D1584" s="27" t="str">
        <x:v>Acceptance row 43 method present</x:v>
      </x:c>
      <x:c r="E1584" s="27" t="n">
        <x:f>IF('Acceptance Register'!G43&lt;&gt;"",1,0)</x:f>
        <x:v>1</x:v>
      </x:c>
      <x:c r="F1584" s="27" t="n">
        <x:v>1</x:v>
      </x:c>
      <x:c r="G1584" s="29" t="str">
        <x:f>IF(E1584=F1584,"PASS","FAIL")</x:f>
        <x:v>PASS</x:v>
      </x:c>
    </x:row>
    <x:row r="1585" ht="18" customHeight="1">
      <x:c r="B1585" s="27" t="str">
        <x:v>A1579</x:v>
      </x:c>
      <x:c r="C1585" s="27" t="str">
        <x:v>acceptance</x:v>
      </x:c>
      <x:c r="D1585" s="27" t="str">
        <x:v>Acceptance row 43 threshold present</x:v>
      </x:c>
      <x:c r="E1585" s="27" t="n">
        <x:f>IF('Acceptance Register'!H43&lt;&gt;"",1,0)</x:f>
        <x:v>1</x:v>
      </x:c>
      <x:c r="F1585" s="27" t="n">
        <x:v>1</x:v>
      </x:c>
      <x:c r="G1585" s="29" t="str">
        <x:f>IF(E1585=F1585,"PASS","FAIL")</x:f>
        <x:v>PASS</x:v>
      </x:c>
    </x:row>
    <x:row r="1586" ht="18" customHeight="1">
      <x:c r="B1586" s="27" t="str">
        <x:v>A1580</x:v>
      </x:c>
      <x:c r="C1586" s="27" t="str">
        <x:v>acceptance</x:v>
      </x:c>
      <x:c r="D1586" s="27" t="str">
        <x:v>Acceptance row 43 evidence open</x:v>
      </x:c>
      <x:c r="E1586" s="27" t="n">
        <x:f>IF('Acceptance Register'!K43="OPEN",1,0)</x:f>
        <x:v>1</x:v>
      </x:c>
      <x:c r="F1586" s="27" t="n">
        <x:v>1</x:v>
      </x:c>
      <x:c r="G1586" s="29" t="str">
        <x:f>IF(E1586=F1586,"PASS","FAIL")</x:f>
        <x:v>PASS</x:v>
      </x:c>
    </x:row>
    <x:row r="1587" ht="18" customHeight="1">
      <x:c r="B1587" s="27" t="str">
        <x:v>A1581</x:v>
      </x:c>
      <x:c r="C1587" s="27" t="str">
        <x:v>acceptance</x:v>
      </x:c>
      <x:c r="D1587" s="27" t="str">
        <x:v>Acceptance row 43 decision hold</x:v>
      </x:c>
      <x:c r="E1587" s="27" t="n">
        <x:f>IF('Acceptance Register'!L43="HOLD",1,0)</x:f>
        <x:v>1</x:v>
      </x:c>
      <x:c r="F1587" s="27" t="n">
        <x:v>1</x:v>
      </x:c>
      <x:c r="G1587" s="29" t="str">
        <x:f>IF(E1587=F1587,"PASS","FAIL")</x:f>
        <x:v>PASS</x:v>
      </x:c>
    </x:row>
    <x:row r="1588" ht="18" customHeight="1">
      <x:c r="B1588" s="27" t="str">
        <x:v>A1582</x:v>
      </x:c>
      <x:c r="C1588" s="27" t="str">
        <x:v>acceptance</x:v>
      </x:c>
      <x:c r="D1588" s="27" t="str">
        <x:v>Acceptance row 43 zero credit</x:v>
      </x:c>
      <x:c r="E1588" s="27" t="n">
        <x:f>IF('Acceptance Register'!M43=0,1,0)</x:f>
        <x:v>1</x:v>
      </x:c>
      <x:c r="F1588" s="27" t="n">
        <x:v>1</x:v>
      </x:c>
      <x:c r="G1588" s="29" t="str">
        <x:f>IF(E1588=F1588,"PASS","FAIL")</x:f>
        <x:v>PASS</x:v>
      </x:c>
    </x:row>
    <x:row r="1589" ht="18" customHeight="1">
      <x:c r="B1589" s="27" t="str">
        <x:v>A1583</x:v>
      </x:c>
      <x:c r="C1589" s="27" t="str">
        <x:v>acceptance</x:v>
      </x:c>
      <x:c r="D1589" s="27" t="str">
        <x:v>Acceptance row 44 method present</x:v>
      </x:c>
      <x:c r="E1589" s="27" t="n">
        <x:f>IF('Acceptance Register'!G44&lt;&gt;"",1,0)</x:f>
        <x:v>1</x:v>
      </x:c>
      <x:c r="F1589" s="27" t="n">
        <x:v>1</x:v>
      </x:c>
      <x:c r="G1589" s="29" t="str">
        <x:f>IF(E1589=F1589,"PASS","FAIL")</x:f>
        <x:v>PASS</x:v>
      </x:c>
    </x:row>
    <x:row r="1590" ht="18" customHeight="1">
      <x:c r="B1590" s="27" t="str">
        <x:v>A1584</x:v>
      </x:c>
      <x:c r="C1590" s="27" t="str">
        <x:v>acceptance</x:v>
      </x:c>
      <x:c r="D1590" s="27" t="str">
        <x:v>Acceptance row 44 threshold present</x:v>
      </x:c>
      <x:c r="E1590" s="27" t="n">
        <x:f>IF('Acceptance Register'!H44&lt;&gt;"",1,0)</x:f>
        <x:v>1</x:v>
      </x:c>
      <x:c r="F1590" s="27" t="n">
        <x:v>1</x:v>
      </x:c>
      <x:c r="G1590" s="29" t="str">
        <x:f>IF(E1590=F1590,"PASS","FAIL")</x:f>
        <x:v>PASS</x:v>
      </x:c>
    </x:row>
    <x:row r="1591" ht="18" customHeight="1">
      <x:c r="B1591" s="27" t="str">
        <x:v>A1585</x:v>
      </x:c>
      <x:c r="C1591" s="27" t="str">
        <x:v>acceptance</x:v>
      </x:c>
      <x:c r="D1591" s="27" t="str">
        <x:v>Acceptance row 44 evidence open</x:v>
      </x:c>
      <x:c r="E1591" s="27" t="n">
        <x:f>IF('Acceptance Register'!K44="OPEN",1,0)</x:f>
        <x:v>1</x:v>
      </x:c>
      <x:c r="F1591" s="27" t="n">
        <x:v>1</x:v>
      </x:c>
      <x:c r="G1591" s="29" t="str">
        <x:f>IF(E1591=F1591,"PASS","FAIL")</x:f>
        <x:v>PASS</x:v>
      </x:c>
    </x:row>
    <x:row r="1592" ht="18" customHeight="1">
      <x:c r="B1592" s="27" t="str">
        <x:v>A1586</x:v>
      </x:c>
      <x:c r="C1592" s="27" t="str">
        <x:v>acceptance</x:v>
      </x:c>
      <x:c r="D1592" s="27" t="str">
        <x:v>Acceptance row 44 decision hold</x:v>
      </x:c>
      <x:c r="E1592" s="27" t="n">
        <x:f>IF('Acceptance Register'!L44="HOLD",1,0)</x:f>
        <x:v>1</x:v>
      </x:c>
      <x:c r="F1592" s="27" t="n">
        <x:v>1</x:v>
      </x:c>
      <x:c r="G1592" s="29" t="str">
        <x:f>IF(E1592=F1592,"PASS","FAIL")</x:f>
        <x:v>PASS</x:v>
      </x:c>
    </x:row>
    <x:row r="1593" ht="18" customHeight="1">
      <x:c r="B1593" s="27" t="str">
        <x:v>A1587</x:v>
      </x:c>
      <x:c r="C1593" s="27" t="str">
        <x:v>acceptance</x:v>
      </x:c>
      <x:c r="D1593" s="27" t="str">
        <x:v>Acceptance row 44 zero credit</x:v>
      </x:c>
      <x:c r="E1593" s="27" t="n">
        <x:f>IF('Acceptance Register'!M44=0,1,0)</x:f>
        <x:v>1</x:v>
      </x:c>
      <x:c r="F1593" s="27" t="n">
        <x:v>1</x:v>
      </x:c>
      <x:c r="G1593" s="29" t="str">
        <x:f>IF(E1593=F1593,"PASS","FAIL")</x:f>
        <x:v>PASS</x:v>
      </x:c>
    </x:row>
    <x:row r="1594" ht="18" customHeight="1">
      <x:c r="B1594" s="27" t="str">
        <x:v>A1588</x:v>
      </x:c>
      <x:c r="C1594" s="27" t="str">
        <x:v>acceptance</x:v>
      </x:c>
      <x:c r="D1594" s="27" t="str">
        <x:v>Acceptance row 45 method present</x:v>
      </x:c>
      <x:c r="E1594" s="27" t="n">
        <x:f>IF('Acceptance Register'!G45&lt;&gt;"",1,0)</x:f>
        <x:v>1</x:v>
      </x:c>
      <x:c r="F1594" s="27" t="n">
        <x:v>1</x:v>
      </x:c>
      <x:c r="G1594" s="29" t="str">
        <x:f>IF(E1594=F1594,"PASS","FAIL")</x:f>
        <x:v>PASS</x:v>
      </x:c>
    </x:row>
    <x:row r="1595" ht="18" customHeight="1">
      <x:c r="B1595" s="27" t="str">
        <x:v>A1589</x:v>
      </x:c>
      <x:c r="C1595" s="27" t="str">
        <x:v>acceptance</x:v>
      </x:c>
      <x:c r="D1595" s="27" t="str">
        <x:v>Acceptance row 45 threshold present</x:v>
      </x:c>
      <x:c r="E1595" s="27" t="n">
        <x:f>IF('Acceptance Register'!H45&lt;&gt;"",1,0)</x:f>
        <x:v>1</x:v>
      </x:c>
      <x:c r="F1595" s="27" t="n">
        <x:v>1</x:v>
      </x:c>
      <x:c r="G1595" s="29" t="str">
        <x:f>IF(E1595=F1595,"PASS","FAIL")</x:f>
        <x:v>PASS</x:v>
      </x:c>
    </x:row>
    <x:row r="1596" ht="18" customHeight="1">
      <x:c r="B1596" s="27" t="str">
        <x:v>A1590</x:v>
      </x:c>
      <x:c r="C1596" s="27" t="str">
        <x:v>acceptance</x:v>
      </x:c>
      <x:c r="D1596" s="27" t="str">
        <x:v>Acceptance row 45 evidence open</x:v>
      </x:c>
      <x:c r="E1596" s="27" t="n">
        <x:f>IF('Acceptance Register'!K45="OPEN",1,0)</x:f>
        <x:v>1</x:v>
      </x:c>
      <x:c r="F1596" s="27" t="n">
        <x:v>1</x:v>
      </x:c>
      <x:c r="G1596" s="29" t="str">
        <x:f>IF(E1596=F1596,"PASS","FAIL")</x:f>
        <x:v>PASS</x:v>
      </x:c>
    </x:row>
    <x:row r="1597" ht="18" customHeight="1">
      <x:c r="B1597" s="27" t="str">
        <x:v>A1591</x:v>
      </x:c>
      <x:c r="C1597" s="27" t="str">
        <x:v>acceptance</x:v>
      </x:c>
      <x:c r="D1597" s="27" t="str">
        <x:v>Acceptance row 45 decision hold</x:v>
      </x:c>
      <x:c r="E1597" s="27" t="n">
        <x:f>IF('Acceptance Register'!L45="HOLD",1,0)</x:f>
        <x:v>1</x:v>
      </x:c>
      <x:c r="F1597" s="27" t="n">
        <x:v>1</x:v>
      </x:c>
      <x:c r="G1597" s="29" t="str">
        <x:f>IF(E1597=F1597,"PASS","FAIL")</x:f>
        <x:v>PASS</x:v>
      </x:c>
    </x:row>
    <x:row r="1598" ht="18" customHeight="1">
      <x:c r="B1598" s="27" t="str">
        <x:v>A1592</x:v>
      </x:c>
      <x:c r="C1598" s="27" t="str">
        <x:v>acceptance</x:v>
      </x:c>
      <x:c r="D1598" s="27" t="str">
        <x:v>Acceptance row 45 zero credit</x:v>
      </x:c>
      <x:c r="E1598" s="27" t="n">
        <x:f>IF('Acceptance Register'!M45=0,1,0)</x:f>
        <x:v>1</x:v>
      </x:c>
      <x:c r="F1598" s="27" t="n">
        <x:v>1</x:v>
      </x:c>
      <x:c r="G1598" s="29" t="str">
        <x:f>IF(E1598=F1598,"PASS","FAIL")</x:f>
        <x:v>PASS</x:v>
      </x:c>
    </x:row>
    <x:row r="1599" ht="18" customHeight="1">
      <x:c r="B1599" s="27" t="str">
        <x:v>A1593</x:v>
      </x:c>
      <x:c r="C1599" s="27" t="str">
        <x:v>acceptance</x:v>
      </x:c>
      <x:c r="D1599" s="27" t="str">
        <x:v>Acceptance row 46 method present</x:v>
      </x:c>
      <x:c r="E1599" s="27" t="n">
        <x:f>IF('Acceptance Register'!G46&lt;&gt;"",1,0)</x:f>
        <x:v>1</x:v>
      </x:c>
      <x:c r="F1599" s="27" t="n">
        <x:v>1</x:v>
      </x:c>
      <x:c r="G1599" s="29" t="str">
        <x:f>IF(E1599=F1599,"PASS","FAIL")</x:f>
        <x:v>PASS</x:v>
      </x:c>
    </x:row>
    <x:row r="1600" ht="18" customHeight="1">
      <x:c r="B1600" s="27" t="str">
        <x:v>A1594</x:v>
      </x:c>
      <x:c r="C1600" s="27" t="str">
        <x:v>acceptance</x:v>
      </x:c>
      <x:c r="D1600" s="27" t="str">
        <x:v>Acceptance row 46 threshold present</x:v>
      </x:c>
      <x:c r="E1600" s="27" t="n">
        <x:f>IF('Acceptance Register'!H46&lt;&gt;"",1,0)</x:f>
        <x:v>1</x:v>
      </x:c>
      <x:c r="F1600" s="27" t="n">
        <x:v>1</x:v>
      </x:c>
      <x:c r="G1600" s="29" t="str">
        <x:f>IF(E1600=F1600,"PASS","FAIL")</x:f>
        <x:v>PASS</x:v>
      </x:c>
    </x:row>
    <x:row r="1601" ht="18" customHeight="1">
      <x:c r="B1601" s="27" t="str">
        <x:v>A1595</x:v>
      </x:c>
      <x:c r="C1601" s="27" t="str">
        <x:v>acceptance</x:v>
      </x:c>
      <x:c r="D1601" s="27" t="str">
        <x:v>Acceptance row 46 evidence open</x:v>
      </x:c>
      <x:c r="E1601" s="27" t="n">
        <x:f>IF('Acceptance Register'!K46="OPEN",1,0)</x:f>
        <x:v>1</x:v>
      </x:c>
      <x:c r="F1601" s="27" t="n">
        <x:v>1</x:v>
      </x:c>
      <x:c r="G1601" s="29" t="str">
        <x:f>IF(E1601=F1601,"PASS","FAIL")</x:f>
        <x:v>PASS</x:v>
      </x:c>
    </x:row>
    <x:row r="1602" ht="18" customHeight="1">
      <x:c r="B1602" s="27" t="str">
        <x:v>A1596</x:v>
      </x:c>
      <x:c r="C1602" s="27" t="str">
        <x:v>acceptance</x:v>
      </x:c>
      <x:c r="D1602" s="27" t="str">
        <x:v>Acceptance row 46 decision hold</x:v>
      </x:c>
      <x:c r="E1602" s="27" t="n">
        <x:f>IF('Acceptance Register'!L46="HOLD",1,0)</x:f>
        <x:v>1</x:v>
      </x:c>
      <x:c r="F1602" s="27" t="n">
        <x:v>1</x:v>
      </x:c>
      <x:c r="G1602" s="29" t="str">
        <x:f>IF(E1602=F1602,"PASS","FAIL")</x:f>
        <x:v>PASS</x:v>
      </x:c>
    </x:row>
    <x:row r="1603" ht="18" customHeight="1">
      <x:c r="B1603" s="27" t="str">
        <x:v>A1597</x:v>
      </x:c>
      <x:c r="C1603" s="27" t="str">
        <x:v>acceptance</x:v>
      </x:c>
      <x:c r="D1603" s="27" t="str">
        <x:v>Acceptance row 46 zero credit</x:v>
      </x:c>
      <x:c r="E1603" s="27" t="n">
        <x:f>IF('Acceptance Register'!M46=0,1,0)</x:f>
        <x:v>1</x:v>
      </x:c>
      <x:c r="F1603" s="27" t="n">
        <x:v>1</x:v>
      </x:c>
      <x:c r="G1603" s="29" t="str">
        <x:f>IF(E1603=F1603,"PASS","FAIL")</x:f>
        <x:v>PASS</x:v>
      </x:c>
    </x:row>
    <x:row r="1604" ht="18" customHeight="1">
      <x:c r="B1604" s="27" t="str">
        <x:v>A1598</x:v>
      </x:c>
      <x:c r="C1604" s="27" t="str">
        <x:v>acceptance</x:v>
      </x:c>
      <x:c r="D1604" s="27" t="str">
        <x:v>Acceptance row 47 method present</x:v>
      </x:c>
      <x:c r="E1604" s="27" t="n">
        <x:f>IF('Acceptance Register'!G47&lt;&gt;"",1,0)</x:f>
        <x:v>1</x:v>
      </x:c>
      <x:c r="F1604" s="27" t="n">
        <x:v>1</x:v>
      </x:c>
      <x:c r="G1604" s="29" t="str">
        <x:f>IF(E1604=F1604,"PASS","FAIL")</x:f>
        <x:v>PASS</x:v>
      </x:c>
    </x:row>
    <x:row r="1605" ht="18" customHeight="1">
      <x:c r="B1605" s="27" t="str">
        <x:v>A1599</x:v>
      </x:c>
      <x:c r="C1605" s="27" t="str">
        <x:v>acceptance</x:v>
      </x:c>
      <x:c r="D1605" s="27" t="str">
        <x:v>Acceptance row 47 threshold present</x:v>
      </x:c>
      <x:c r="E1605" s="27" t="n">
        <x:f>IF('Acceptance Register'!H47&lt;&gt;"",1,0)</x:f>
        <x:v>1</x:v>
      </x:c>
      <x:c r="F1605" s="27" t="n">
        <x:v>1</x:v>
      </x:c>
      <x:c r="G1605" s="29" t="str">
        <x:f>IF(E1605=F1605,"PASS","FAIL")</x:f>
        <x:v>PASS</x:v>
      </x:c>
    </x:row>
    <x:row r="1606" ht="18" customHeight="1">
      <x:c r="B1606" s="27" t="str">
        <x:v>A1600</x:v>
      </x:c>
      <x:c r="C1606" s="27" t="str">
        <x:v>acceptance</x:v>
      </x:c>
      <x:c r="D1606" s="27" t="str">
        <x:v>Acceptance row 47 evidence open</x:v>
      </x:c>
      <x:c r="E1606" s="27" t="n">
        <x:f>IF('Acceptance Register'!K47="OPEN",1,0)</x:f>
        <x:v>1</x:v>
      </x:c>
      <x:c r="F1606" s="27" t="n">
        <x:v>1</x:v>
      </x:c>
      <x:c r="G1606" s="29" t="str">
        <x:f>IF(E1606=F1606,"PASS","FAIL")</x:f>
        <x:v>PASS</x:v>
      </x:c>
    </x:row>
    <x:row r="1607" ht="18" customHeight="1">
      <x:c r="B1607" s="27" t="str">
        <x:v>A1601</x:v>
      </x:c>
      <x:c r="C1607" s="27" t="str">
        <x:v>acceptance</x:v>
      </x:c>
      <x:c r="D1607" s="27" t="str">
        <x:v>Acceptance row 47 decision hold</x:v>
      </x:c>
      <x:c r="E1607" s="27" t="n">
        <x:f>IF('Acceptance Register'!L47="HOLD",1,0)</x:f>
        <x:v>1</x:v>
      </x:c>
      <x:c r="F1607" s="27" t="n">
        <x:v>1</x:v>
      </x:c>
      <x:c r="G1607" s="29" t="str">
        <x:f>IF(E1607=F1607,"PASS","FAIL")</x:f>
        <x:v>PASS</x:v>
      </x:c>
    </x:row>
    <x:row r="1608" ht="18" customHeight="1">
      <x:c r="B1608" s="27" t="str">
        <x:v>A1602</x:v>
      </x:c>
      <x:c r="C1608" s="27" t="str">
        <x:v>acceptance</x:v>
      </x:c>
      <x:c r="D1608" s="27" t="str">
        <x:v>Acceptance row 47 zero credit</x:v>
      </x:c>
      <x:c r="E1608" s="27" t="n">
        <x:f>IF('Acceptance Register'!M47=0,1,0)</x:f>
        <x:v>1</x:v>
      </x:c>
      <x:c r="F1608" s="27" t="n">
        <x:v>1</x:v>
      </x:c>
      <x:c r="G1608" s="29" t="str">
        <x:f>IF(E1608=F1608,"PASS","FAIL")</x:f>
        <x:v>PASS</x:v>
      </x:c>
    </x:row>
    <x:row r="1609" ht="18" customHeight="1">
      <x:c r="B1609" s="27" t="str">
        <x:v>A1603</x:v>
      </x:c>
      <x:c r="C1609" s="27" t="str">
        <x:v>acceptance</x:v>
      </x:c>
      <x:c r="D1609" s="27" t="str">
        <x:v>Acceptance row 48 method present</x:v>
      </x:c>
      <x:c r="E1609" s="27" t="n">
        <x:f>IF('Acceptance Register'!G48&lt;&gt;"",1,0)</x:f>
        <x:v>1</x:v>
      </x:c>
      <x:c r="F1609" s="27" t="n">
        <x:v>1</x:v>
      </x:c>
      <x:c r="G1609" s="29" t="str">
        <x:f>IF(E1609=F1609,"PASS","FAIL")</x:f>
        <x:v>PASS</x:v>
      </x:c>
    </x:row>
    <x:row r="1610" ht="18" customHeight="1">
      <x:c r="B1610" s="27" t="str">
        <x:v>A1604</x:v>
      </x:c>
      <x:c r="C1610" s="27" t="str">
        <x:v>acceptance</x:v>
      </x:c>
      <x:c r="D1610" s="27" t="str">
        <x:v>Acceptance row 48 threshold present</x:v>
      </x:c>
      <x:c r="E1610" s="27" t="n">
        <x:f>IF('Acceptance Register'!H48&lt;&gt;"",1,0)</x:f>
        <x:v>1</x:v>
      </x:c>
      <x:c r="F1610" s="27" t="n">
        <x:v>1</x:v>
      </x:c>
      <x:c r="G1610" s="29" t="str">
        <x:f>IF(E1610=F1610,"PASS","FAIL")</x:f>
        <x:v>PASS</x:v>
      </x:c>
    </x:row>
    <x:row r="1611" ht="18" customHeight="1">
      <x:c r="B1611" s="27" t="str">
        <x:v>A1605</x:v>
      </x:c>
      <x:c r="C1611" s="27" t="str">
        <x:v>acceptance</x:v>
      </x:c>
      <x:c r="D1611" s="27" t="str">
        <x:v>Acceptance row 48 evidence open</x:v>
      </x:c>
      <x:c r="E1611" s="27" t="n">
        <x:f>IF('Acceptance Register'!K48="OPEN",1,0)</x:f>
        <x:v>1</x:v>
      </x:c>
      <x:c r="F1611" s="27" t="n">
        <x:v>1</x:v>
      </x:c>
      <x:c r="G1611" s="29" t="str">
        <x:f>IF(E1611=F1611,"PASS","FAIL")</x:f>
        <x:v>PASS</x:v>
      </x:c>
    </x:row>
    <x:row r="1612" ht="18" customHeight="1">
      <x:c r="B1612" s="27" t="str">
        <x:v>A1606</x:v>
      </x:c>
      <x:c r="C1612" s="27" t="str">
        <x:v>acceptance</x:v>
      </x:c>
      <x:c r="D1612" s="27" t="str">
        <x:v>Acceptance row 48 decision hold</x:v>
      </x:c>
      <x:c r="E1612" s="27" t="n">
        <x:f>IF('Acceptance Register'!L48="HOLD",1,0)</x:f>
        <x:v>1</x:v>
      </x:c>
      <x:c r="F1612" s="27" t="n">
        <x:v>1</x:v>
      </x:c>
      <x:c r="G1612" s="29" t="str">
        <x:f>IF(E1612=F1612,"PASS","FAIL")</x:f>
        <x:v>PASS</x:v>
      </x:c>
    </x:row>
    <x:row r="1613" ht="18" customHeight="1">
      <x:c r="B1613" s="27" t="str">
        <x:v>A1607</x:v>
      </x:c>
      <x:c r="C1613" s="27" t="str">
        <x:v>acceptance</x:v>
      </x:c>
      <x:c r="D1613" s="27" t="str">
        <x:v>Acceptance row 48 zero credit</x:v>
      </x:c>
      <x:c r="E1613" s="27" t="n">
        <x:f>IF('Acceptance Register'!M48=0,1,0)</x:f>
        <x:v>1</x:v>
      </x:c>
      <x:c r="F1613" s="27" t="n">
        <x:v>1</x:v>
      </x:c>
      <x:c r="G1613" s="29" t="str">
        <x:f>IF(E1613=F1613,"PASS","FAIL")</x:f>
        <x:v>PASS</x:v>
      </x:c>
    </x:row>
    <x:row r="1614" ht="18" customHeight="1">
      <x:c r="B1614" s="27" t="str">
        <x:v>A1608</x:v>
      </x:c>
      <x:c r="C1614" s="27" t="str">
        <x:v>acceptance</x:v>
      </x:c>
      <x:c r="D1614" s="27" t="str">
        <x:v>Acceptance row 49 method present</x:v>
      </x:c>
      <x:c r="E1614" s="27" t="n">
        <x:f>IF('Acceptance Register'!G49&lt;&gt;"",1,0)</x:f>
        <x:v>1</x:v>
      </x:c>
      <x:c r="F1614" s="27" t="n">
        <x:v>1</x:v>
      </x:c>
      <x:c r="G1614" s="29" t="str">
        <x:f>IF(E1614=F1614,"PASS","FAIL")</x:f>
        <x:v>PASS</x:v>
      </x:c>
    </x:row>
    <x:row r="1615" ht="18" customHeight="1">
      <x:c r="B1615" s="27" t="str">
        <x:v>A1609</x:v>
      </x:c>
      <x:c r="C1615" s="27" t="str">
        <x:v>acceptance</x:v>
      </x:c>
      <x:c r="D1615" s="27" t="str">
        <x:v>Acceptance row 49 threshold present</x:v>
      </x:c>
      <x:c r="E1615" s="27" t="n">
        <x:f>IF('Acceptance Register'!H49&lt;&gt;"",1,0)</x:f>
        <x:v>1</x:v>
      </x:c>
      <x:c r="F1615" s="27" t="n">
        <x:v>1</x:v>
      </x:c>
      <x:c r="G1615" s="29" t="str">
        <x:f>IF(E1615=F1615,"PASS","FAIL")</x:f>
        <x:v>PASS</x:v>
      </x:c>
    </x:row>
    <x:row r="1616" ht="18" customHeight="1">
      <x:c r="B1616" s="27" t="str">
        <x:v>A1610</x:v>
      </x:c>
      <x:c r="C1616" s="27" t="str">
        <x:v>acceptance</x:v>
      </x:c>
      <x:c r="D1616" s="27" t="str">
        <x:v>Acceptance row 49 evidence open</x:v>
      </x:c>
      <x:c r="E1616" s="27" t="n">
        <x:f>IF('Acceptance Register'!K49="OPEN",1,0)</x:f>
        <x:v>1</x:v>
      </x:c>
      <x:c r="F1616" s="27" t="n">
        <x:v>1</x:v>
      </x:c>
      <x:c r="G1616" s="29" t="str">
        <x:f>IF(E1616=F1616,"PASS","FAIL")</x:f>
        <x:v>PASS</x:v>
      </x:c>
    </x:row>
    <x:row r="1617" ht="18" customHeight="1">
      <x:c r="B1617" s="27" t="str">
        <x:v>A1611</x:v>
      </x:c>
      <x:c r="C1617" s="27" t="str">
        <x:v>acceptance</x:v>
      </x:c>
      <x:c r="D1617" s="27" t="str">
        <x:v>Acceptance row 49 decision hold</x:v>
      </x:c>
      <x:c r="E1617" s="27" t="n">
        <x:f>IF('Acceptance Register'!L49="HOLD",1,0)</x:f>
        <x:v>1</x:v>
      </x:c>
      <x:c r="F1617" s="27" t="n">
        <x:v>1</x:v>
      </x:c>
      <x:c r="G1617" s="29" t="str">
        <x:f>IF(E1617=F1617,"PASS","FAIL")</x:f>
        <x:v>PASS</x:v>
      </x:c>
    </x:row>
    <x:row r="1618" ht="18" customHeight="1">
      <x:c r="B1618" s="27" t="str">
        <x:v>A1612</x:v>
      </x:c>
      <x:c r="C1618" s="27" t="str">
        <x:v>acceptance</x:v>
      </x:c>
      <x:c r="D1618" s="27" t="str">
        <x:v>Acceptance row 49 zero credit</x:v>
      </x:c>
      <x:c r="E1618" s="27" t="n">
        <x:f>IF('Acceptance Register'!M49=0,1,0)</x:f>
        <x:v>1</x:v>
      </x:c>
      <x:c r="F1618" s="27" t="n">
        <x:v>1</x:v>
      </x:c>
      <x:c r="G1618" s="29" t="str">
        <x:f>IF(E1618=F1618,"PASS","FAIL")</x:f>
        <x:v>PASS</x:v>
      </x:c>
    </x:row>
    <x:row r="1619" ht="18" customHeight="1">
      <x:c r="B1619" s="27" t="str">
        <x:v>A1613</x:v>
      </x:c>
      <x:c r="C1619" s="27" t="str">
        <x:v>acceptance</x:v>
      </x:c>
      <x:c r="D1619" s="27" t="str">
        <x:v>Acceptance row 50 method present</x:v>
      </x:c>
      <x:c r="E1619" s="27" t="n">
        <x:f>IF('Acceptance Register'!G50&lt;&gt;"",1,0)</x:f>
        <x:v>1</x:v>
      </x:c>
      <x:c r="F1619" s="27" t="n">
        <x:v>1</x:v>
      </x:c>
      <x:c r="G1619" s="29" t="str">
        <x:f>IF(E1619=F1619,"PASS","FAIL")</x:f>
        <x:v>PASS</x:v>
      </x:c>
    </x:row>
    <x:row r="1620" ht="18" customHeight="1">
      <x:c r="B1620" s="27" t="str">
        <x:v>A1614</x:v>
      </x:c>
      <x:c r="C1620" s="27" t="str">
        <x:v>acceptance</x:v>
      </x:c>
      <x:c r="D1620" s="27" t="str">
        <x:v>Acceptance row 50 threshold present</x:v>
      </x:c>
      <x:c r="E1620" s="27" t="n">
        <x:f>IF('Acceptance Register'!H50&lt;&gt;"",1,0)</x:f>
        <x:v>1</x:v>
      </x:c>
      <x:c r="F1620" s="27" t="n">
        <x:v>1</x:v>
      </x:c>
      <x:c r="G1620" s="29" t="str">
        <x:f>IF(E1620=F1620,"PASS","FAIL")</x:f>
        <x:v>PASS</x:v>
      </x:c>
    </x:row>
    <x:row r="1621" ht="18" customHeight="1">
      <x:c r="B1621" s="27" t="str">
        <x:v>A1615</x:v>
      </x:c>
      <x:c r="C1621" s="27" t="str">
        <x:v>acceptance</x:v>
      </x:c>
      <x:c r="D1621" s="27" t="str">
        <x:v>Acceptance row 50 evidence open</x:v>
      </x:c>
      <x:c r="E1621" s="27" t="n">
        <x:f>IF('Acceptance Register'!K50="OPEN",1,0)</x:f>
        <x:v>1</x:v>
      </x:c>
      <x:c r="F1621" s="27" t="n">
        <x:v>1</x:v>
      </x:c>
      <x:c r="G1621" s="29" t="str">
        <x:f>IF(E1621=F1621,"PASS","FAIL")</x:f>
        <x:v>PASS</x:v>
      </x:c>
    </x:row>
    <x:row r="1622" ht="18" customHeight="1">
      <x:c r="B1622" s="27" t="str">
        <x:v>A1616</x:v>
      </x:c>
      <x:c r="C1622" s="27" t="str">
        <x:v>acceptance</x:v>
      </x:c>
      <x:c r="D1622" s="27" t="str">
        <x:v>Acceptance row 50 decision hold</x:v>
      </x:c>
      <x:c r="E1622" s="27" t="n">
        <x:f>IF('Acceptance Register'!L50="HOLD",1,0)</x:f>
        <x:v>1</x:v>
      </x:c>
      <x:c r="F1622" s="27" t="n">
        <x:v>1</x:v>
      </x:c>
      <x:c r="G1622" s="29" t="str">
        <x:f>IF(E1622=F1622,"PASS","FAIL")</x:f>
        <x:v>PASS</x:v>
      </x:c>
    </x:row>
    <x:row r="1623" ht="18" customHeight="1">
      <x:c r="B1623" s="27" t="str">
        <x:v>A1617</x:v>
      </x:c>
      <x:c r="C1623" s="27" t="str">
        <x:v>acceptance</x:v>
      </x:c>
      <x:c r="D1623" s="27" t="str">
        <x:v>Acceptance row 50 zero credit</x:v>
      </x:c>
      <x:c r="E1623" s="27" t="n">
        <x:f>IF('Acceptance Register'!M50=0,1,0)</x:f>
        <x:v>1</x:v>
      </x:c>
      <x:c r="F1623" s="27" t="n">
        <x:v>1</x:v>
      </x:c>
      <x:c r="G1623" s="29" t="str">
        <x:f>IF(E1623=F1623,"PASS","FAIL")</x:f>
        <x:v>PASS</x:v>
      </x:c>
    </x:row>
    <x:row r="1624" ht="18" customHeight="1">
      <x:c r="B1624" s="27" t="str">
        <x:v>A1618</x:v>
      </x:c>
      <x:c r="C1624" s="27" t="str">
        <x:v>acceptance</x:v>
      </x:c>
      <x:c r="D1624" s="27" t="str">
        <x:v>Acceptance row 51 method present</x:v>
      </x:c>
      <x:c r="E1624" s="27" t="n">
        <x:f>IF('Acceptance Register'!G51&lt;&gt;"",1,0)</x:f>
        <x:v>1</x:v>
      </x:c>
      <x:c r="F1624" s="27" t="n">
        <x:v>1</x:v>
      </x:c>
      <x:c r="G1624" s="29" t="str">
        <x:f>IF(E1624=F1624,"PASS","FAIL")</x:f>
        <x:v>PASS</x:v>
      </x:c>
    </x:row>
    <x:row r="1625" ht="18" customHeight="1">
      <x:c r="B1625" s="27" t="str">
        <x:v>A1619</x:v>
      </x:c>
      <x:c r="C1625" s="27" t="str">
        <x:v>acceptance</x:v>
      </x:c>
      <x:c r="D1625" s="27" t="str">
        <x:v>Acceptance row 51 threshold present</x:v>
      </x:c>
      <x:c r="E1625" s="27" t="n">
        <x:f>IF('Acceptance Register'!H51&lt;&gt;"",1,0)</x:f>
        <x:v>1</x:v>
      </x:c>
      <x:c r="F1625" s="27" t="n">
        <x:v>1</x:v>
      </x:c>
      <x:c r="G1625" s="29" t="str">
        <x:f>IF(E1625=F1625,"PASS","FAIL")</x:f>
        <x:v>PASS</x:v>
      </x:c>
    </x:row>
    <x:row r="1626" ht="18" customHeight="1">
      <x:c r="B1626" s="27" t="str">
        <x:v>A1620</x:v>
      </x:c>
      <x:c r="C1626" s="27" t="str">
        <x:v>acceptance</x:v>
      </x:c>
      <x:c r="D1626" s="27" t="str">
        <x:v>Acceptance row 51 evidence open</x:v>
      </x:c>
      <x:c r="E1626" s="27" t="n">
        <x:f>IF('Acceptance Register'!K51="OPEN",1,0)</x:f>
        <x:v>1</x:v>
      </x:c>
      <x:c r="F1626" s="27" t="n">
        <x:v>1</x:v>
      </x:c>
      <x:c r="G1626" s="29" t="str">
        <x:f>IF(E1626=F1626,"PASS","FAIL")</x:f>
        <x:v>PASS</x:v>
      </x:c>
    </x:row>
    <x:row r="1627" ht="18" customHeight="1">
      <x:c r="B1627" s="27" t="str">
        <x:v>A1621</x:v>
      </x:c>
      <x:c r="C1627" s="27" t="str">
        <x:v>acceptance</x:v>
      </x:c>
      <x:c r="D1627" s="27" t="str">
        <x:v>Acceptance row 51 decision hold</x:v>
      </x:c>
      <x:c r="E1627" s="27" t="n">
        <x:f>IF('Acceptance Register'!L51="HOLD",1,0)</x:f>
        <x:v>1</x:v>
      </x:c>
      <x:c r="F1627" s="27" t="n">
        <x:v>1</x:v>
      </x:c>
      <x:c r="G1627" s="29" t="str">
        <x:f>IF(E1627=F1627,"PASS","FAIL")</x:f>
        <x:v>PASS</x:v>
      </x:c>
    </x:row>
    <x:row r="1628" ht="18" customHeight="1">
      <x:c r="B1628" s="27" t="str">
        <x:v>A1622</x:v>
      </x:c>
      <x:c r="C1628" s="27" t="str">
        <x:v>acceptance</x:v>
      </x:c>
      <x:c r="D1628" s="27" t="str">
        <x:v>Acceptance row 51 zero credit</x:v>
      </x:c>
      <x:c r="E1628" s="27" t="n">
        <x:f>IF('Acceptance Register'!M51=0,1,0)</x:f>
        <x:v>1</x:v>
      </x:c>
      <x:c r="F1628" s="27" t="n">
        <x:v>1</x:v>
      </x:c>
      <x:c r="G1628" s="29" t="str">
        <x:f>IF(E1628=F1628,"PASS","FAIL")</x:f>
        <x:v>PASS</x:v>
      </x:c>
    </x:row>
    <x:row r="1629" ht="18" customHeight="1">
      <x:c r="B1629" s="27" t="str">
        <x:v>A1623</x:v>
      </x:c>
      <x:c r="C1629" s="27" t="str">
        <x:v>acceptance</x:v>
      </x:c>
      <x:c r="D1629" s="27" t="str">
        <x:v>Acceptance row 52 method present</x:v>
      </x:c>
      <x:c r="E1629" s="27" t="n">
        <x:f>IF('Acceptance Register'!G52&lt;&gt;"",1,0)</x:f>
        <x:v>1</x:v>
      </x:c>
      <x:c r="F1629" s="27" t="n">
        <x:v>1</x:v>
      </x:c>
      <x:c r="G1629" s="29" t="str">
        <x:f>IF(E1629=F1629,"PASS","FAIL")</x:f>
        <x:v>PASS</x:v>
      </x:c>
    </x:row>
    <x:row r="1630" ht="18" customHeight="1">
      <x:c r="B1630" s="27" t="str">
        <x:v>A1624</x:v>
      </x:c>
      <x:c r="C1630" s="27" t="str">
        <x:v>acceptance</x:v>
      </x:c>
      <x:c r="D1630" s="27" t="str">
        <x:v>Acceptance row 52 threshold present</x:v>
      </x:c>
      <x:c r="E1630" s="27" t="n">
        <x:f>IF('Acceptance Register'!H52&lt;&gt;"",1,0)</x:f>
        <x:v>1</x:v>
      </x:c>
      <x:c r="F1630" s="27" t="n">
        <x:v>1</x:v>
      </x:c>
      <x:c r="G1630" s="29" t="str">
        <x:f>IF(E1630=F1630,"PASS","FAIL")</x:f>
        <x:v>PASS</x:v>
      </x:c>
    </x:row>
    <x:row r="1631" ht="18" customHeight="1">
      <x:c r="B1631" s="27" t="str">
        <x:v>A1625</x:v>
      </x:c>
      <x:c r="C1631" s="27" t="str">
        <x:v>acceptance</x:v>
      </x:c>
      <x:c r="D1631" s="27" t="str">
        <x:v>Acceptance row 52 evidence open</x:v>
      </x:c>
      <x:c r="E1631" s="27" t="n">
        <x:f>IF('Acceptance Register'!K52="OPEN",1,0)</x:f>
        <x:v>1</x:v>
      </x:c>
      <x:c r="F1631" s="27" t="n">
        <x:v>1</x:v>
      </x:c>
      <x:c r="G1631" s="29" t="str">
        <x:f>IF(E1631=F1631,"PASS","FAIL")</x:f>
        <x:v>PASS</x:v>
      </x:c>
    </x:row>
    <x:row r="1632" ht="18" customHeight="1">
      <x:c r="B1632" s="27" t="str">
        <x:v>A1626</x:v>
      </x:c>
      <x:c r="C1632" s="27" t="str">
        <x:v>acceptance</x:v>
      </x:c>
      <x:c r="D1632" s="27" t="str">
        <x:v>Acceptance row 52 decision hold</x:v>
      </x:c>
      <x:c r="E1632" s="27" t="n">
        <x:f>IF('Acceptance Register'!L52="HOLD",1,0)</x:f>
        <x:v>1</x:v>
      </x:c>
      <x:c r="F1632" s="27" t="n">
        <x:v>1</x:v>
      </x:c>
      <x:c r="G1632" s="29" t="str">
        <x:f>IF(E1632=F1632,"PASS","FAIL")</x:f>
        <x:v>PASS</x:v>
      </x:c>
    </x:row>
    <x:row r="1633" ht="18" customHeight="1">
      <x:c r="B1633" s="27" t="str">
        <x:v>A1627</x:v>
      </x:c>
      <x:c r="C1633" s="27" t="str">
        <x:v>acceptance</x:v>
      </x:c>
      <x:c r="D1633" s="27" t="str">
        <x:v>Acceptance row 52 zero credit</x:v>
      </x:c>
      <x:c r="E1633" s="27" t="n">
        <x:f>IF('Acceptance Register'!M52=0,1,0)</x:f>
        <x:v>1</x:v>
      </x:c>
      <x:c r="F1633" s="27" t="n">
        <x:v>1</x:v>
      </x:c>
      <x:c r="G1633" s="29" t="str">
        <x:f>IF(E1633=F1633,"PASS","FAIL")</x:f>
        <x:v>PASS</x:v>
      </x:c>
    </x:row>
    <x:row r="1634" ht="18" customHeight="1">
      <x:c r="B1634" s="27" t="str">
        <x:v>A1628</x:v>
      </x:c>
      <x:c r="C1634" s="27" t="str">
        <x:v>acceptance</x:v>
      </x:c>
      <x:c r="D1634" s="27" t="str">
        <x:v>Acceptance row 53 method present</x:v>
      </x:c>
      <x:c r="E1634" s="27" t="n">
        <x:f>IF('Acceptance Register'!G53&lt;&gt;"",1,0)</x:f>
        <x:v>1</x:v>
      </x:c>
      <x:c r="F1634" s="27" t="n">
        <x:v>1</x:v>
      </x:c>
      <x:c r="G1634" s="29" t="str">
        <x:f>IF(E1634=F1634,"PASS","FAIL")</x:f>
        <x:v>PASS</x:v>
      </x:c>
    </x:row>
    <x:row r="1635" ht="18" customHeight="1">
      <x:c r="B1635" s="27" t="str">
        <x:v>A1629</x:v>
      </x:c>
      <x:c r="C1635" s="27" t="str">
        <x:v>acceptance</x:v>
      </x:c>
      <x:c r="D1635" s="27" t="str">
        <x:v>Acceptance row 53 threshold present</x:v>
      </x:c>
      <x:c r="E1635" s="27" t="n">
        <x:f>IF('Acceptance Register'!H53&lt;&gt;"",1,0)</x:f>
        <x:v>1</x:v>
      </x:c>
      <x:c r="F1635" s="27" t="n">
        <x:v>1</x:v>
      </x:c>
      <x:c r="G1635" s="29" t="str">
        <x:f>IF(E1635=F1635,"PASS","FAIL")</x:f>
        <x:v>PASS</x:v>
      </x:c>
    </x:row>
    <x:row r="1636" ht="18" customHeight="1">
      <x:c r="B1636" s="27" t="str">
        <x:v>A1630</x:v>
      </x:c>
      <x:c r="C1636" s="27" t="str">
        <x:v>acceptance</x:v>
      </x:c>
      <x:c r="D1636" s="27" t="str">
        <x:v>Acceptance row 53 evidence open</x:v>
      </x:c>
      <x:c r="E1636" s="27" t="n">
        <x:f>IF('Acceptance Register'!K53="OPEN",1,0)</x:f>
        <x:v>1</x:v>
      </x:c>
      <x:c r="F1636" s="27" t="n">
        <x:v>1</x:v>
      </x:c>
      <x:c r="G1636" s="29" t="str">
        <x:f>IF(E1636=F1636,"PASS","FAIL")</x:f>
        <x:v>PASS</x:v>
      </x:c>
    </x:row>
    <x:row r="1637" ht="18" customHeight="1">
      <x:c r="B1637" s="27" t="str">
        <x:v>A1631</x:v>
      </x:c>
      <x:c r="C1637" s="27" t="str">
        <x:v>acceptance</x:v>
      </x:c>
      <x:c r="D1637" s="27" t="str">
        <x:v>Acceptance row 53 decision hold</x:v>
      </x:c>
      <x:c r="E1637" s="27" t="n">
        <x:f>IF('Acceptance Register'!L53="HOLD",1,0)</x:f>
        <x:v>1</x:v>
      </x:c>
      <x:c r="F1637" s="27" t="n">
        <x:v>1</x:v>
      </x:c>
      <x:c r="G1637" s="29" t="str">
        <x:f>IF(E1637=F1637,"PASS","FAIL")</x:f>
        <x:v>PASS</x:v>
      </x:c>
    </x:row>
    <x:row r="1638" ht="18" customHeight="1">
      <x:c r="B1638" s="27" t="str">
        <x:v>A1632</x:v>
      </x:c>
      <x:c r="C1638" s="27" t="str">
        <x:v>acceptance</x:v>
      </x:c>
      <x:c r="D1638" s="27" t="str">
        <x:v>Acceptance row 53 zero credit</x:v>
      </x:c>
      <x:c r="E1638" s="27" t="n">
        <x:f>IF('Acceptance Register'!M53=0,1,0)</x:f>
        <x:v>1</x:v>
      </x:c>
      <x:c r="F1638" s="27" t="n">
        <x:v>1</x:v>
      </x:c>
      <x:c r="G1638" s="29" t="str">
        <x:f>IF(E1638=F1638,"PASS","FAIL")</x:f>
        <x:v>PASS</x:v>
      </x:c>
    </x:row>
    <x:row r="1639" ht="18" customHeight="1">
      <x:c r="B1639" s="27" t="str">
        <x:v>A1633</x:v>
      </x:c>
      <x:c r="C1639" s="27" t="str">
        <x:v>acceptance</x:v>
      </x:c>
      <x:c r="D1639" s="27" t="str">
        <x:v>Acceptance row 54 method present</x:v>
      </x:c>
      <x:c r="E1639" s="27" t="n">
        <x:f>IF('Acceptance Register'!G54&lt;&gt;"",1,0)</x:f>
        <x:v>1</x:v>
      </x:c>
      <x:c r="F1639" s="27" t="n">
        <x:v>1</x:v>
      </x:c>
      <x:c r="G1639" s="29" t="str">
        <x:f>IF(E1639=F1639,"PASS","FAIL")</x:f>
        <x:v>PASS</x:v>
      </x:c>
    </x:row>
    <x:row r="1640" ht="18" customHeight="1">
      <x:c r="B1640" s="27" t="str">
        <x:v>A1634</x:v>
      </x:c>
      <x:c r="C1640" s="27" t="str">
        <x:v>acceptance</x:v>
      </x:c>
      <x:c r="D1640" s="27" t="str">
        <x:v>Acceptance row 54 threshold present</x:v>
      </x:c>
      <x:c r="E1640" s="27" t="n">
        <x:f>IF('Acceptance Register'!H54&lt;&gt;"",1,0)</x:f>
        <x:v>1</x:v>
      </x:c>
      <x:c r="F1640" s="27" t="n">
        <x:v>1</x:v>
      </x:c>
      <x:c r="G1640" s="29" t="str">
        <x:f>IF(E1640=F1640,"PASS","FAIL")</x:f>
        <x:v>PASS</x:v>
      </x:c>
    </x:row>
    <x:row r="1641" ht="18" customHeight="1">
      <x:c r="B1641" s="27" t="str">
        <x:v>A1635</x:v>
      </x:c>
      <x:c r="C1641" s="27" t="str">
        <x:v>acceptance</x:v>
      </x:c>
      <x:c r="D1641" s="27" t="str">
        <x:v>Acceptance row 54 evidence open</x:v>
      </x:c>
      <x:c r="E1641" s="27" t="n">
        <x:f>IF('Acceptance Register'!K54="OPEN",1,0)</x:f>
        <x:v>1</x:v>
      </x:c>
      <x:c r="F1641" s="27" t="n">
        <x:v>1</x:v>
      </x:c>
      <x:c r="G1641" s="29" t="str">
        <x:f>IF(E1641=F1641,"PASS","FAIL")</x:f>
        <x:v>PASS</x:v>
      </x:c>
    </x:row>
    <x:row r="1642" ht="18" customHeight="1">
      <x:c r="B1642" s="27" t="str">
        <x:v>A1636</x:v>
      </x:c>
      <x:c r="C1642" s="27" t="str">
        <x:v>acceptance</x:v>
      </x:c>
      <x:c r="D1642" s="27" t="str">
        <x:v>Acceptance row 54 decision hold</x:v>
      </x:c>
      <x:c r="E1642" s="27" t="n">
        <x:f>IF('Acceptance Register'!L54="HOLD",1,0)</x:f>
        <x:v>1</x:v>
      </x:c>
      <x:c r="F1642" s="27" t="n">
        <x:v>1</x:v>
      </x:c>
      <x:c r="G1642" s="29" t="str">
        <x:f>IF(E1642=F1642,"PASS","FAIL")</x:f>
        <x:v>PASS</x:v>
      </x:c>
    </x:row>
    <x:row r="1643" ht="18" customHeight="1">
      <x:c r="B1643" s="27" t="str">
        <x:v>A1637</x:v>
      </x:c>
      <x:c r="C1643" s="27" t="str">
        <x:v>acceptance</x:v>
      </x:c>
      <x:c r="D1643" s="27" t="str">
        <x:v>Acceptance row 54 zero credit</x:v>
      </x:c>
      <x:c r="E1643" s="27" t="n">
        <x:f>IF('Acceptance Register'!M54=0,1,0)</x:f>
        <x:v>1</x:v>
      </x:c>
      <x:c r="F1643" s="27" t="n">
        <x:v>1</x:v>
      </x:c>
      <x:c r="G1643" s="29" t="str">
        <x:f>IF(E1643=F1643,"PASS","FAIL")</x:f>
        <x:v>PASS</x:v>
      </x:c>
    </x:row>
    <x:row r="1644" ht="18" customHeight="1">
      <x:c r="B1644" s="27" t="str">
        <x:v>A1638</x:v>
      </x:c>
      <x:c r="C1644" s="27" t="str">
        <x:v>acceptance</x:v>
      </x:c>
      <x:c r="D1644" s="27" t="str">
        <x:v>Acceptance row 55 method present</x:v>
      </x:c>
      <x:c r="E1644" s="27" t="n">
        <x:f>IF('Acceptance Register'!G55&lt;&gt;"",1,0)</x:f>
        <x:v>1</x:v>
      </x:c>
      <x:c r="F1644" s="27" t="n">
        <x:v>1</x:v>
      </x:c>
      <x:c r="G1644" s="29" t="str">
        <x:f>IF(E1644=F1644,"PASS","FAIL")</x:f>
        <x:v>PASS</x:v>
      </x:c>
    </x:row>
    <x:row r="1645" ht="18" customHeight="1">
      <x:c r="B1645" s="27" t="str">
        <x:v>A1639</x:v>
      </x:c>
      <x:c r="C1645" s="27" t="str">
        <x:v>acceptance</x:v>
      </x:c>
      <x:c r="D1645" s="27" t="str">
        <x:v>Acceptance row 55 threshold present</x:v>
      </x:c>
      <x:c r="E1645" s="27" t="n">
        <x:f>IF('Acceptance Register'!H55&lt;&gt;"",1,0)</x:f>
        <x:v>1</x:v>
      </x:c>
      <x:c r="F1645" s="27" t="n">
        <x:v>1</x:v>
      </x:c>
      <x:c r="G1645" s="29" t="str">
        <x:f>IF(E1645=F1645,"PASS","FAIL")</x:f>
        <x:v>PASS</x:v>
      </x:c>
    </x:row>
    <x:row r="1646" ht="18" customHeight="1">
      <x:c r="B1646" s="27" t="str">
        <x:v>A1640</x:v>
      </x:c>
      <x:c r="C1646" s="27" t="str">
        <x:v>acceptance</x:v>
      </x:c>
      <x:c r="D1646" s="27" t="str">
        <x:v>Acceptance row 55 evidence open</x:v>
      </x:c>
      <x:c r="E1646" s="27" t="n">
        <x:f>IF('Acceptance Register'!K55="OPEN",1,0)</x:f>
        <x:v>1</x:v>
      </x:c>
      <x:c r="F1646" s="27" t="n">
        <x:v>1</x:v>
      </x:c>
      <x:c r="G1646" s="29" t="str">
        <x:f>IF(E1646=F1646,"PASS","FAIL")</x:f>
        <x:v>PASS</x:v>
      </x:c>
    </x:row>
    <x:row r="1647" ht="18" customHeight="1">
      <x:c r="B1647" s="27" t="str">
        <x:v>A1641</x:v>
      </x:c>
      <x:c r="C1647" s="27" t="str">
        <x:v>acceptance</x:v>
      </x:c>
      <x:c r="D1647" s="27" t="str">
        <x:v>Acceptance row 55 decision hold</x:v>
      </x:c>
      <x:c r="E1647" s="27" t="n">
        <x:f>IF('Acceptance Register'!L55="HOLD",1,0)</x:f>
        <x:v>1</x:v>
      </x:c>
      <x:c r="F1647" s="27" t="n">
        <x:v>1</x:v>
      </x:c>
      <x:c r="G1647" s="29" t="str">
        <x:f>IF(E1647=F1647,"PASS","FAIL")</x:f>
        <x:v>PASS</x:v>
      </x:c>
    </x:row>
    <x:row r="1648" ht="18" customHeight="1">
      <x:c r="B1648" s="27" t="str">
        <x:v>A1642</x:v>
      </x:c>
      <x:c r="C1648" s="27" t="str">
        <x:v>acceptance</x:v>
      </x:c>
      <x:c r="D1648" s="27" t="str">
        <x:v>Acceptance row 55 zero credit</x:v>
      </x:c>
      <x:c r="E1648" s="27" t="n">
        <x:f>IF('Acceptance Register'!M55=0,1,0)</x:f>
        <x:v>1</x:v>
      </x:c>
      <x:c r="F1648" s="27" t="n">
        <x:v>1</x:v>
      </x:c>
      <x:c r="G1648" s="29" t="str">
        <x:f>IF(E1648=F1648,"PASS","FAIL")</x:f>
        <x:v>PASS</x:v>
      </x:c>
    </x:row>
    <x:row r="1649" ht="18" customHeight="1">
      <x:c r="B1649" s="27" t="str">
        <x:v>A1643</x:v>
      </x:c>
      <x:c r="C1649" s="27" t="str">
        <x:v>acceptance</x:v>
      </x:c>
      <x:c r="D1649" s="27" t="str">
        <x:v>Acceptance row 56 method present</x:v>
      </x:c>
      <x:c r="E1649" s="27" t="n">
        <x:f>IF('Acceptance Register'!G56&lt;&gt;"",1,0)</x:f>
        <x:v>1</x:v>
      </x:c>
      <x:c r="F1649" s="27" t="n">
        <x:v>1</x:v>
      </x:c>
      <x:c r="G1649" s="29" t="str">
        <x:f>IF(E1649=F1649,"PASS","FAIL")</x:f>
        <x:v>PASS</x:v>
      </x:c>
    </x:row>
    <x:row r="1650" ht="18" customHeight="1">
      <x:c r="B1650" s="27" t="str">
        <x:v>A1644</x:v>
      </x:c>
      <x:c r="C1650" s="27" t="str">
        <x:v>acceptance</x:v>
      </x:c>
      <x:c r="D1650" s="27" t="str">
        <x:v>Acceptance row 56 threshold present</x:v>
      </x:c>
      <x:c r="E1650" s="27" t="n">
        <x:f>IF('Acceptance Register'!H56&lt;&gt;"",1,0)</x:f>
        <x:v>1</x:v>
      </x:c>
      <x:c r="F1650" s="27" t="n">
        <x:v>1</x:v>
      </x:c>
      <x:c r="G1650" s="29" t="str">
        <x:f>IF(E1650=F1650,"PASS","FAIL")</x:f>
        <x:v>PASS</x:v>
      </x:c>
    </x:row>
    <x:row r="1651" ht="18" customHeight="1">
      <x:c r="B1651" s="27" t="str">
        <x:v>A1645</x:v>
      </x:c>
      <x:c r="C1651" s="27" t="str">
        <x:v>acceptance</x:v>
      </x:c>
      <x:c r="D1651" s="27" t="str">
        <x:v>Acceptance row 56 evidence open</x:v>
      </x:c>
      <x:c r="E1651" s="27" t="n">
        <x:f>IF('Acceptance Register'!K56="OPEN",1,0)</x:f>
        <x:v>1</x:v>
      </x:c>
      <x:c r="F1651" s="27" t="n">
        <x:v>1</x:v>
      </x:c>
      <x:c r="G1651" s="29" t="str">
        <x:f>IF(E1651=F1651,"PASS","FAIL")</x:f>
        <x:v>PASS</x:v>
      </x:c>
    </x:row>
    <x:row r="1652" ht="18" customHeight="1">
      <x:c r="B1652" s="27" t="str">
        <x:v>A1646</x:v>
      </x:c>
      <x:c r="C1652" s="27" t="str">
        <x:v>acceptance</x:v>
      </x:c>
      <x:c r="D1652" s="27" t="str">
        <x:v>Acceptance row 56 decision hold</x:v>
      </x:c>
      <x:c r="E1652" s="27" t="n">
        <x:f>IF('Acceptance Register'!L56="HOLD",1,0)</x:f>
        <x:v>1</x:v>
      </x:c>
      <x:c r="F1652" s="27" t="n">
        <x:v>1</x:v>
      </x:c>
      <x:c r="G1652" s="29" t="str">
        <x:f>IF(E1652=F1652,"PASS","FAIL")</x:f>
        <x:v>PASS</x:v>
      </x:c>
    </x:row>
    <x:row r="1653" ht="18" customHeight="1">
      <x:c r="B1653" s="27" t="str">
        <x:v>A1647</x:v>
      </x:c>
      <x:c r="C1653" s="27" t="str">
        <x:v>acceptance</x:v>
      </x:c>
      <x:c r="D1653" s="27" t="str">
        <x:v>Acceptance row 56 zero credit</x:v>
      </x:c>
      <x:c r="E1653" s="27" t="n">
        <x:f>IF('Acceptance Register'!M56=0,1,0)</x:f>
        <x:v>1</x:v>
      </x:c>
      <x:c r="F1653" s="27" t="n">
        <x:v>1</x:v>
      </x:c>
      <x:c r="G1653" s="29" t="str">
        <x:f>IF(E1653=F1653,"PASS","FAIL")</x:f>
        <x:v>PASS</x:v>
      </x:c>
    </x:row>
    <x:row r="1654" ht="18" customHeight="1">
      <x:c r="B1654" s="27" t="str">
        <x:v>A1648</x:v>
      </x:c>
      <x:c r="C1654" s="27" t="str">
        <x:v>acceptance</x:v>
      </x:c>
      <x:c r="D1654" s="27" t="str">
        <x:v>Acceptance row 57 method present</x:v>
      </x:c>
      <x:c r="E1654" s="27" t="n">
        <x:f>IF('Acceptance Register'!G57&lt;&gt;"",1,0)</x:f>
        <x:v>1</x:v>
      </x:c>
      <x:c r="F1654" s="27" t="n">
        <x:v>1</x:v>
      </x:c>
      <x:c r="G1654" s="29" t="str">
        <x:f>IF(E1654=F1654,"PASS","FAIL")</x:f>
        <x:v>PASS</x:v>
      </x:c>
    </x:row>
    <x:row r="1655" ht="18" customHeight="1">
      <x:c r="B1655" s="27" t="str">
        <x:v>A1649</x:v>
      </x:c>
      <x:c r="C1655" s="27" t="str">
        <x:v>acceptance</x:v>
      </x:c>
      <x:c r="D1655" s="27" t="str">
        <x:v>Acceptance row 57 threshold present</x:v>
      </x:c>
      <x:c r="E1655" s="27" t="n">
        <x:f>IF('Acceptance Register'!H57&lt;&gt;"",1,0)</x:f>
        <x:v>1</x:v>
      </x:c>
      <x:c r="F1655" s="27" t="n">
        <x:v>1</x:v>
      </x:c>
      <x:c r="G1655" s="29" t="str">
        <x:f>IF(E1655=F1655,"PASS","FAIL")</x:f>
        <x:v>PASS</x:v>
      </x:c>
    </x:row>
    <x:row r="1656" ht="18" customHeight="1">
      <x:c r="B1656" s="27" t="str">
        <x:v>A1650</x:v>
      </x:c>
      <x:c r="C1656" s="27" t="str">
        <x:v>acceptance</x:v>
      </x:c>
      <x:c r="D1656" s="27" t="str">
        <x:v>Acceptance row 57 evidence open</x:v>
      </x:c>
      <x:c r="E1656" s="27" t="n">
        <x:f>IF('Acceptance Register'!K57="OPEN",1,0)</x:f>
        <x:v>1</x:v>
      </x:c>
      <x:c r="F1656" s="27" t="n">
        <x:v>1</x:v>
      </x:c>
      <x:c r="G1656" s="29" t="str">
        <x:f>IF(E1656=F1656,"PASS","FAIL")</x:f>
        <x:v>PASS</x:v>
      </x:c>
    </x:row>
    <x:row r="1657" ht="18" customHeight="1">
      <x:c r="B1657" s="27" t="str">
        <x:v>A1651</x:v>
      </x:c>
      <x:c r="C1657" s="27" t="str">
        <x:v>acceptance</x:v>
      </x:c>
      <x:c r="D1657" s="27" t="str">
        <x:v>Acceptance row 57 decision hold</x:v>
      </x:c>
      <x:c r="E1657" s="27" t="n">
        <x:f>IF('Acceptance Register'!L57="HOLD",1,0)</x:f>
        <x:v>1</x:v>
      </x:c>
      <x:c r="F1657" s="27" t="n">
        <x:v>1</x:v>
      </x:c>
      <x:c r="G1657" s="29" t="str">
        <x:f>IF(E1657=F1657,"PASS","FAIL")</x:f>
        <x:v>PASS</x:v>
      </x:c>
    </x:row>
    <x:row r="1658" ht="18" customHeight="1">
      <x:c r="B1658" s="27" t="str">
        <x:v>A1652</x:v>
      </x:c>
      <x:c r="C1658" s="27" t="str">
        <x:v>acceptance</x:v>
      </x:c>
      <x:c r="D1658" s="27" t="str">
        <x:v>Acceptance row 57 zero credit</x:v>
      </x:c>
      <x:c r="E1658" s="27" t="n">
        <x:f>IF('Acceptance Register'!M57=0,1,0)</x:f>
        <x:v>1</x:v>
      </x:c>
      <x:c r="F1658" s="27" t="n">
        <x:v>1</x:v>
      </x:c>
      <x:c r="G1658" s="29" t="str">
        <x:f>IF(E1658=F1658,"PASS","FAIL")</x:f>
        <x:v>PASS</x:v>
      </x:c>
    </x:row>
    <x:row r="1659" ht="18" customHeight="1">
      <x:c r="B1659" s="27" t="str">
        <x:v>A1653</x:v>
      </x:c>
      <x:c r="C1659" s="27" t="str">
        <x:v>acceptance</x:v>
      </x:c>
      <x:c r="D1659" s="27" t="str">
        <x:v>Acceptance row 58 method present</x:v>
      </x:c>
      <x:c r="E1659" s="27" t="n">
        <x:f>IF('Acceptance Register'!G58&lt;&gt;"",1,0)</x:f>
        <x:v>1</x:v>
      </x:c>
      <x:c r="F1659" s="27" t="n">
        <x:v>1</x:v>
      </x:c>
      <x:c r="G1659" s="29" t="str">
        <x:f>IF(E1659=F1659,"PASS","FAIL")</x:f>
        <x:v>PASS</x:v>
      </x:c>
    </x:row>
    <x:row r="1660" ht="18" customHeight="1">
      <x:c r="B1660" s="27" t="str">
        <x:v>A1654</x:v>
      </x:c>
      <x:c r="C1660" s="27" t="str">
        <x:v>acceptance</x:v>
      </x:c>
      <x:c r="D1660" s="27" t="str">
        <x:v>Acceptance row 58 threshold present</x:v>
      </x:c>
      <x:c r="E1660" s="27" t="n">
        <x:f>IF('Acceptance Register'!H58&lt;&gt;"",1,0)</x:f>
        <x:v>1</x:v>
      </x:c>
      <x:c r="F1660" s="27" t="n">
        <x:v>1</x:v>
      </x:c>
      <x:c r="G1660" s="29" t="str">
        <x:f>IF(E1660=F1660,"PASS","FAIL")</x:f>
        <x:v>PASS</x:v>
      </x:c>
    </x:row>
    <x:row r="1661" ht="18" customHeight="1">
      <x:c r="B1661" s="27" t="str">
        <x:v>A1655</x:v>
      </x:c>
      <x:c r="C1661" s="27" t="str">
        <x:v>acceptance</x:v>
      </x:c>
      <x:c r="D1661" s="27" t="str">
        <x:v>Acceptance row 58 evidence open</x:v>
      </x:c>
      <x:c r="E1661" s="27" t="n">
        <x:f>IF('Acceptance Register'!K58="OPEN",1,0)</x:f>
        <x:v>1</x:v>
      </x:c>
      <x:c r="F1661" s="27" t="n">
        <x:v>1</x:v>
      </x:c>
      <x:c r="G1661" s="29" t="str">
        <x:f>IF(E1661=F1661,"PASS","FAIL")</x:f>
        <x:v>PASS</x:v>
      </x:c>
    </x:row>
    <x:row r="1662" ht="18" customHeight="1">
      <x:c r="B1662" s="27" t="str">
        <x:v>A1656</x:v>
      </x:c>
      <x:c r="C1662" s="27" t="str">
        <x:v>acceptance</x:v>
      </x:c>
      <x:c r="D1662" s="27" t="str">
        <x:v>Acceptance row 58 decision hold</x:v>
      </x:c>
      <x:c r="E1662" s="27" t="n">
        <x:f>IF('Acceptance Register'!L58="HOLD",1,0)</x:f>
        <x:v>1</x:v>
      </x:c>
      <x:c r="F1662" s="27" t="n">
        <x:v>1</x:v>
      </x:c>
      <x:c r="G1662" s="29" t="str">
        <x:f>IF(E1662=F1662,"PASS","FAIL")</x:f>
        <x:v>PASS</x:v>
      </x:c>
    </x:row>
    <x:row r="1663" ht="18" customHeight="1">
      <x:c r="B1663" s="27" t="str">
        <x:v>A1657</x:v>
      </x:c>
      <x:c r="C1663" s="27" t="str">
        <x:v>acceptance</x:v>
      </x:c>
      <x:c r="D1663" s="27" t="str">
        <x:v>Acceptance row 58 zero credit</x:v>
      </x:c>
      <x:c r="E1663" s="27" t="n">
        <x:f>IF('Acceptance Register'!M58=0,1,0)</x:f>
        <x:v>1</x:v>
      </x:c>
      <x:c r="F1663" s="27" t="n">
        <x:v>1</x:v>
      </x:c>
      <x:c r="G1663" s="29" t="str">
        <x:f>IF(E1663=F1663,"PASS","FAIL")</x:f>
        <x:v>PASS</x:v>
      </x:c>
    </x:row>
    <x:row r="1664" ht="18" customHeight="1">
      <x:c r="B1664" s="27" t="str">
        <x:v>A1658</x:v>
      </x:c>
      <x:c r="C1664" s="27" t="str">
        <x:v>acceptance</x:v>
      </x:c>
      <x:c r="D1664" s="27" t="str">
        <x:v>Acceptance row 59 method present</x:v>
      </x:c>
      <x:c r="E1664" s="27" t="n">
        <x:f>IF('Acceptance Register'!G59&lt;&gt;"",1,0)</x:f>
        <x:v>1</x:v>
      </x:c>
      <x:c r="F1664" s="27" t="n">
        <x:v>1</x:v>
      </x:c>
      <x:c r="G1664" s="29" t="str">
        <x:f>IF(E1664=F1664,"PASS","FAIL")</x:f>
        <x:v>PASS</x:v>
      </x:c>
    </x:row>
    <x:row r="1665" ht="18" customHeight="1">
      <x:c r="B1665" s="27" t="str">
        <x:v>A1659</x:v>
      </x:c>
      <x:c r="C1665" s="27" t="str">
        <x:v>acceptance</x:v>
      </x:c>
      <x:c r="D1665" s="27" t="str">
        <x:v>Acceptance row 59 threshold present</x:v>
      </x:c>
      <x:c r="E1665" s="27" t="n">
        <x:f>IF('Acceptance Register'!H59&lt;&gt;"",1,0)</x:f>
        <x:v>1</x:v>
      </x:c>
      <x:c r="F1665" s="27" t="n">
        <x:v>1</x:v>
      </x:c>
      <x:c r="G1665" s="29" t="str">
        <x:f>IF(E1665=F1665,"PASS","FAIL")</x:f>
        <x:v>PASS</x:v>
      </x:c>
    </x:row>
    <x:row r="1666" ht="18" customHeight="1">
      <x:c r="B1666" s="27" t="str">
        <x:v>A1660</x:v>
      </x:c>
      <x:c r="C1666" s="27" t="str">
        <x:v>acceptance</x:v>
      </x:c>
      <x:c r="D1666" s="27" t="str">
        <x:v>Acceptance row 59 evidence open</x:v>
      </x:c>
      <x:c r="E1666" s="27" t="n">
        <x:f>IF('Acceptance Register'!K59="OPEN",1,0)</x:f>
        <x:v>1</x:v>
      </x:c>
      <x:c r="F1666" s="27" t="n">
        <x:v>1</x:v>
      </x:c>
      <x:c r="G1666" s="29" t="str">
        <x:f>IF(E1666=F1666,"PASS","FAIL")</x:f>
        <x:v>PASS</x:v>
      </x:c>
    </x:row>
    <x:row r="1667" ht="18" customHeight="1">
      <x:c r="B1667" s="27" t="str">
        <x:v>A1661</x:v>
      </x:c>
      <x:c r="C1667" s="27" t="str">
        <x:v>acceptance</x:v>
      </x:c>
      <x:c r="D1667" s="27" t="str">
        <x:v>Acceptance row 59 decision hold</x:v>
      </x:c>
      <x:c r="E1667" s="27" t="n">
        <x:f>IF('Acceptance Register'!L59="HOLD",1,0)</x:f>
        <x:v>1</x:v>
      </x:c>
      <x:c r="F1667" s="27" t="n">
        <x:v>1</x:v>
      </x:c>
      <x:c r="G1667" s="29" t="str">
        <x:f>IF(E1667=F1667,"PASS","FAIL")</x:f>
        <x:v>PASS</x:v>
      </x:c>
    </x:row>
    <x:row r="1668" ht="18" customHeight="1">
      <x:c r="B1668" s="27" t="str">
        <x:v>A1662</x:v>
      </x:c>
      <x:c r="C1668" s="27" t="str">
        <x:v>acceptance</x:v>
      </x:c>
      <x:c r="D1668" s="27" t="str">
        <x:v>Acceptance row 59 zero credit</x:v>
      </x:c>
      <x:c r="E1668" s="27" t="n">
        <x:f>IF('Acceptance Register'!M59=0,1,0)</x:f>
        <x:v>1</x:v>
      </x:c>
      <x:c r="F1668" s="27" t="n">
        <x:v>1</x:v>
      </x:c>
      <x:c r="G1668" s="29" t="str">
        <x:f>IF(E1668=F1668,"PASS","FAIL")</x:f>
        <x:v>PASS</x:v>
      </x:c>
    </x:row>
    <x:row r="1669" ht="18" customHeight="1">
      <x:c r="B1669" s="27" t="str">
        <x:v>A1663</x:v>
      </x:c>
      <x:c r="C1669" s="27" t="str">
        <x:v>acceptance</x:v>
      </x:c>
      <x:c r="D1669" s="27" t="str">
        <x:v>Acceptance row 60 method present</x:v>
      </x:c>
      <x:c r="E1669" s="27" t="n">
        <x:f>IF('Acceptance Register'!G60&lt;&gt;"",1,0)</x:f>
        <x:v>1</x:v>
      </x:c>
      <x:c r="F1669" s="27" t="n">
        <x:v>1</x:v>
      </x:c>
      <x:c r="G1669" s="29" t="str">
        <x:f>IF(E1669=F1669,"PASS","FAIL")</x:f>
        <x:v>PASS</x:v>
      </x:c>
    </x:row>
    <x:row r="1670" ht="18" customHeight="1">
      <x:c r="B1670" s="27" t="str">
        <x:v>A1664</x:v>
      </x:c>
      <x:c r="C1670" s="27" t="str">
        <x:v>acceptance</x:v>
      </x:c>
      <x:c r="D1670" s="27" t="str">
        <x:v>Acceptance row 60 threshold present</x:v>
      </x:c>
      <x:c r="E1670" s="27" t="n">
        <x:f>IF('Acceptance Register'!H60&lt;&gt;"",1,0)</x:f>
        <x:v>1</x:v>
      </x:c>
      <x:c r="F1670" s="27" t="n">
        <x:v>1</x:v>
      </x:c>
      <x:c r="G1670" s="29" t="str">
        <x:f>IF(E1670=F1670,"PASS","FAIL")</x:f>
        <x:v>PASS</x:v>
      </x:c>
    </x:row>
    <x:row r="1671" ht="18" customHeight="1">
      <x:c r="B1671" s="27" t="str">
        <x:v>A1665</x:v>
      </x:c>
      <x:c r="C1671" s="27" t="str">
        <x:v>acceptance</x:v>
      </x:c>
      <x:c r="D1671" s="27" t="str">
        <x:v>Acceptance row 60 evidence open</x:v>
      </x:c>
      <x:c r="E1671" s="27" t="n">
        <x:f>IF('Acceptance Register'!K60="OPEN",1,0)</x:f>
        <x:v>1</x:v>
      </x:c>
      <x:c r="F1671" s="27" t="n">
        <x:v>1</x:v>
      </x:c>
      <x:c r="G1671" s="29" t="str">
        <x:f>IF(E1671=F1671,"PASS","FAIL")</x:f>
        <x:v>PASS</x:v>
      </x:c>
    </x:row>
    <x:row r="1672" ht="18" customHeight="1">
      <x:c r="B1672" s="27" t="str">
        <x:v>A1666</x:v>
      </x:c>
      <x:c r="C1672" s="27" t="str">
        <x:v>acceptance</x:v>
      </x:c>
      <x:c r="D1672" s="27" t="str">
        <x:v>Acceptance row 60 decision hold</x:v>
      </x:c>
      <x:c r="E1672" s="27" t="n">
        <x:f>IF('Acceptance Register'!L60="HOLD",1,0)</x:f>
        <x:v>1</x:v>
      </x:c>
      <x:c r="F1672" s="27" t="n">
        <x:v>1</x:v>
      </x:c>
      <x:c r="G1672" s="29" t="str">
        <x:f>IF(E1672=F1672,"PASS","FAIL")</x:f>
        <x:v>PASS</x:v>
      </x:c>
    </x:row>
    <x:row r="1673" ht="18" customHeight="1">
      <x:c r="B1673" s="27" t="str">
        <x:v>A1667</x:v>
      </x:c>
      <x:c r="C1673" s="27" t="str">
        <x:v>acceptance</x:v>
      </x:c>
      <x:c r="D1673" s="27" t="str">
        <x:v>Acceptance row 60 zero credit</x:v>
      </x:c>
      <x:c r="E1673" s="27" t="n">
        <x:f>IF('Acceptance Register'!M60=0,1,0)</x:f>
        <x:v>1</x:v>
      </x:c>
      <x:c r="F1673" s="27" t="n">
        <x:v>1</x:v>
      </x:c>
      <x:c r="G1673" s="29" t="str">
        <x:f>IF(E1673=F1673,"PASS","FAIL")</x:f>
        <x:v>PASS</x:v>
      </x:c>
    </x:row>
    <x:row r="1674" ht="18" customHeight="1">
      <x:c r="B1674" s="27" t="str">
        <x:v>A1668</x:v>
      </x:c>
      <x:c r="C1674" s="27" t="str">
        <x:v>acceptance</x:v>
      </x:c>
      <x:c r="D1674" s="27" t="str">
        <x:v>Acceptance row 61 method present</x:v>
      </x:c>
      <x:c r="E1674" s="27" t="n">
        <x:f>IF('Acceptance Register'!G61&lt;&gt;"",1,0)</x:f>
        <x:v>1</x:v>
      </x:c>
      <x:c r="F1674" s="27" t="n">
        <x:v>1</x:v>
      </x:c>
      <x:c r="G1674" s="29" t="str">
        <x:f>IF(E1674=F1674,"PASS","FAIL")</x:f>
        <x:v>PASS</x:v>
      </x:c>
    </x:row>
    <x:row r="1675" ht="18" customHeight="1">
      <x:c r="B1675" s="27" t="str">
        <x:v>A1669</x:v>
      </x:c>
      <x:c r="C1675" s="27" t="str">
        <x:v>acceptance</x:v>
      </x:c>
      <x:c r="D1675" s="27" t="str">
        <x:v>Acceptance row 61 threshold present</x:v>
      </x:c>
      <x:c r="E1675" s="27" t="n">
        <x:f>IF('Acceptance Register'!H61&lt;&gt;"",1,0)</x:f>
        <x:v>1</x:v>
      </x:c>
      <x:c r="F1675" s="27" t="n">
        <x:v>1</x:v>
      </x:c>
      <x:c r="G1675" s="29" t="str">
        <x:f>IF(E1675=F1675,"PASS","FAIL")</x:f>
        <x:v>PASS</x:v>
      </x:c>
    </x:row>
    <x:row r="1676" ht="18" customHeight="1">
      <x:c r="B1676" s="27" t="str">
        <x:v>A1670</x:v>
      </x:c>
      <x:c r="C1676" s="27" t="str">
        <x:v>acceptance</x:v>
      </x:c>
      <x:c r="D1676" s="27" t="str">
        <x:v>Acceptance row 61 evidence open</x:v>
      </x:c>
      <x:c r="E1676" s="27" t="n">
        <x:f>IF('Acceptance Register'!K61="OPEN",1,0)</x:f>
        <x:v>1</x:v>
      </x:c>
      <x:c r="F1676" s="27" t="n">
        <x:v>1</x:v>
      </x:c>
      <x:c r="G1676" s="29" t="str">
        <x:f>IF(E1676=F1676,"PASS","FAIL")</x:f>
        <x:v>PASS</x:v>
      </x:c>
    </x:row>
    <x:row r="1677" ht="18" customHeight="1">
      <x:c r="B1677" s="27" t="str">
        <x:v>A1671</x:v>
      </x:c>
      <x:c r="C1677" s="27" t="str">
        <x:v>acceptance</x:v>
      </x:c>
      <x:c r="D1677" s="27" t="str">
        <x:v>Acceptance row 61 decision hold</x:v>
      </x:c>
      <x:c r="E1677" s="27" t="n">
        <x:f>IF('Acceptance Register'!L61="HOLD",1,0)</x:f>
        <x:v>1</x:v>
      </x:c>
      <x:c r="F1677" s="27" t="n">
        <x:v>1</x:v>
      </x:c>
      <x:c r="G1677" s="29" t="str">
        <x:f>IF(E1677=F1677,"PASS","FAIL")</x:f>
        <x:v>PASS</x:v>
      </x:c>
    </x:row>
    <x:row r="1678" ht="18" customHeight="1">
      <x:c r="B1678" s="27" t="str">
        <x:v>A1672</x:v>
      </x:c>
      <x:c r="C1678" s="27" t="str">
        <x:v>acceptance</x:v>
      </x:c>
      <x:c r="D1678" s="27" t="str">
        <x:v>Acceptance row 61 zero credit</x:v>
      </x:c>
      <x:c r="E1678" s="27" t="n">
        <x:f>IF('Acceptance Register'!M61=0,1,0)</x:f>
        <x:v>1</x:v>
      </x:c>
      <x:c r="F1678" s="27" t="n">
        <x:v>1</x:v>
      </x:c>
      <x:c r="G1678" s="29" t="str">
        <x:f>IF(E1678=F1678,"PASS","FAIL")</x:f>
        <x:v>PASS</x:v>
      </x:c>
    </x:row>
    <x:row r="1679" ht="18" customHeight="1">
      <x:c r="B1679" s="27" t="str">
        <x:v>A1673</x:v>
      </x:c>
      <x:c r="C1679" s="27" t="str">
        <x:v>acceptance</x:v>
      </x:c>
      <x:c r="D1679" s="27" t="str">
        <x:v>Acceptance row 62 method present</x:v>
      </x:c>
      <x:c r="E1679" s="27" t="n">
        <x:f>IF('Acceptance Register'!G62&lt;&gt;"",1,0)</x:f>
        <x:v>1</x:v>
      </x:c>
      <x:c r="F1679" s="27" t="n">
        <x:v>1</x:v>
      </x:c>
      <x:c r="G1679" s="29" t="str">
        <x:f>IF(E1679=F1679,"PASS","FAIL")</x:f>
        <x:v>PASS</x:v>
      </x:c>
    </x:row>
    <x:row r="1680" ht="18" customHeight="1">
      <x:c r="B1680" s="27" t="str">
        <x:v>A1674</x:v>
      </x:c>
      <x:c r="C1680" s="27" t="str">
        <x:v>acceptance</x:v>
      </x:c>
      <x:c r="D1680" s="27" t="str">
        <x:v>Acceptance row 62 threshold present</x:v>
      </x:c>
      <x:c r="E1680" s="27" t="n">
        <x:f>IF('Acceptance Register'!H62&lt;&gt;"",1,0)</x:f>
        <x:v>1</x:v>
      </x:c>
      <x:c r="F1680" s="27" t="n">
        <x:v>1</x:v>
      </x:c>
      <x:c r="G1680" s="29" t="str">
        <x:f>IF(E1680=F1680,"PASS","FAIL")</x:f>
        <x:v>PASS</x:v>
      </x:c>
    </x:row>
    <x:row r="1681" ht="18" customHeight="1">
      <x:c r="B1681" s="27" t="str">
        <x:v>A1675</x:v>
      </x:c>
      <x:c r="C1681" s="27" t="str">
        <x:v>acceptance</x:v>
      </x:c>
      <x:c r="D1681" s="27" t="str">
        <x:v>Acceptance row 62 evidence open</x:v>
      </x:c>
      <x:c r="E1681" s="27" t="n">
        <x:f>IF('Acceptance Register'!K62="OPEN",1,0)</x:f>
        <x:v>1</x:v>
      </x:c>
      <x:c r="F1681" s="27" t="n">
        <x:v>1</x:v>
      </x:c>
      <x:c r="G1681" s="29" t="str">
        <x:f>IF(E1681=F1681,"PASS","FAIL")</x:f>
        <x:v>PASS</x:v>
      </x:c>
    </x:row>
    <x:row r="1682" ht="18" customHeight="1">
      <x:c r="B1682" s="27" t="str">
        <x:v>A1676</x:v>
      </x:c>
      <x:c r="C1682" s="27" t="str">
        <x:v>acceptance</x:v>
      </x:c>
      <x:c r="D1682" s="27" t="str">
        <x:v>Acceptance row 62 decision hold</x:v>
      </x:c>
      <x:c r="E1682" s="27" t="n">
        <x:f>IF('Acceptance Register'!L62="HOLD",1,0)</x:f>
        <x:v>1</x:v>
      </x:c>
      <x:c r="F1682" s="27" t="n">
        <x:v>1</x:v>
      </x:c>
      <x:c r="G1682" s="29" t="str">
        <x:f>IF(E1682=F1682,"PASS","FAIL")</x:f>
        <x:v>PASS</x:v>
      </x:c>
    </x:row>
    <x:row r="1683" ht="18" customHeight="1">
      <x:c r="B1683" s="27" t="str">
        <x:v>A1677</x:v>
      </x:c>
      <x:c r="C1683" s="27" t="str">
        <x:v>acceptance</x:v>
      </x:c>
      <x:c r="D1683" s="27" t="str">
        <x:v>Acceptance row 62 zero credit</x:v>
      </x:c>
      <x:c r="E1683" s="27" t="n">
        <x:f>IF('Acceptance Register'!M62=0,1,0)</x:f>
        <x:v>1</x:v>
      </x:c>
      <x:c r="F1683" s="27" t="n">
        <x:v>1</x:v>
      </x:c>
      <x:c r="G1683" s="29" t="str">
        <x:f>IF(E1683=F1683,"PASS","FAIL")</x:f>
        <x:v>PASS</x:v>
      </x:c>
    </x:row>
    <x:row r="1684" ht="18" customHeight="1">
      <x:c r="B1684" s="27" t="str">
        <x:v>A1678</x:v>
      </x:c>
      <x:c r="C1684" s="27" t="str">
        <x:v>acceptance</x:v>
      </x:c>
      <x:c r="D1684" s="27" t="str">
        <x:v>Acceptance row 63 method present</x:v>
      </x:c>
      <x:c r="E1684" s="27" t="n">
        <x:f>IF('Acceptance Register'!G63&lt;&gt;"",1,0)</x:f>
        <x:v>1</x:v>
      </x:c>
      <x:c r="F1684" s="27" t="n">
        <x:v>1</x:v>
      </x:c>
      <x:c r="G1684" s="29" t="str">
        <x:f>IF(E1684=F1684,"PASS","FAIL")</x:f>
        <x:v>PASS</x:v>
      </x:c>
    </x:row>
    <x:row r="1685" ht="18" customHeight="1">
      <x:c r="B1685" s="27" t="str">
        <x:v>A1679</x:v>
      </x:c>
      <x:c r="C1685" s="27" t="str">
        <x:v>acceptance</x:v>
      </x:c>
      <x:c r="D1685" s="27" t="str">
        <x:v>Acceptance row 63 threshold present</x:v>
      </x:c>
      <x:c r="E1685" s="27" t="n">
        <x:f>IF('Acceptance Register'!H63&lt;&gt;"",1,0)</x:f>
        <x:v>1</x:v>
      </x:c>
      <x:c r="F1685" s="27" t="n">
        <x:v>1</x:v>
      </x:c>
      <x:c r="G1685" s="29" t="str">
        <x:f>IF(E1685=F1685,"PASS","FAIL")</x:f>
        <x:v>PASS</x:v>
      </x:c>
    </x:row>
    <x:row r="1686" ht="18" customHeight="1">
      <x:c r="B1686" s="27" t="str">
        <x:v>A1680</x:v>
      </x:c>
      <x:c r="C1686" s="27" t="str">
        <x:v>acceptance</x:v>
      </x:c>
      <x:c r="D1686" s="27" t="str">
        <x:v>Acceptance row 63 evidence open</x:v>
      </x:c>
      <x:c r="E1686" s="27" t="n">
        <x:f>IF('Acceptance Register'!K63="OPEN",1,0)</x:f>
        <x:v>1</x:v>
      </x:c>
      <x:c r="F1686" s="27" t="n">
        <x:v>1</x:v>
      </x:c>
      <x:c r="G1686" s="29" t="str">
        <x:f>IF(E1686=F1686,"PASS","FAIL")</x:f>
        <x:v>PASS</x:v>
      </x:c>
    </x:row>
    <x:row r="1687" ht="18" customHeight="1">
      <x:c r="B1687" s="27" t="str">
        <x:v>A1681</x:v>
      </x:c>
      <x:c r="C1687" s="27" t="str">
        <x:v>acceptance</x:v>
      </x:c>
      <x:c r="D1687" s="27" t="str">
        <x:v>Acceptance row 63 decision hold</x:v>
      </x:c>
      <x:c r="E1687" s="27" t="n">
        <x:f>IF('Acceptance Register'!L63="HOLD",1,0)</x:f>
        <x:v>1</x:v>
      </x:c>
      <x:c r="F1687" s="27" t="n">
        <x:v>1</x:v>
      </x:c>
      <x:c r="G1687" s="29" t="str">
        <x:f>IF(E1687=F1687,"PASS","FAIL")</x:f>
        <x:v>PASS</x:v>
      </x:c>
    </x:row>
    <x:row r="1688" ht="18" customHeight="1">
      <x:c r="B1688" s="27" t="str">
        <x:v>A1682</x:v>
      </x:c>
      <x:c r="C1688" s="27" t="str">
        <x:v>acceptance</x:v>
      </x:c>
      <x:c r="D1688" s="27" t="str">
        <x:v>Acceptance row 63 zero credit</x:v>
      </x:c>
      <x:c r="E1688" s="27" t="n">
        <x:f>IF('Acceptance Register'!M63=0,1,0)</x:f>
        <x:v>1</x:v>
      </x:c>
      <x:c r="F1688" s="27" t="n">
        <x:v>1</x:v>
      </x:c>
      <x:c r="G1688" s="29" t="str">
        <x:f>IF(E1688=F1688,"PASS","FAIL")</x:f>
        <x:v>PASS</x:v>
      </x:c>
    </x:row>
    <x:row r="1689" ht="18" customHeight="1">
      <x:c r="B1689" s="27" t="str">
        <x:v>A1683</x:v>
      </x:c>
      <x:c r="C1689" s="27" t="str">
        <x:v>acceptance</x:v>
      </x:c>
      <x:c r="D1689" s="27" t="str">
        <x:v>Acceptance row 64 method present</x:v>
      </x:c>
      <x:c r="E1689" s="27" t="n">
        <x:f>IF('Acceptance Register'!G64&lt;&gt;"",1,0)</x:f>
        <x:v>1</x:v>
      </x:c>
      <x:c r="F1689" s="27" t="n">
        <x:v>1</x:v>
      </x:c>
      <x:c r="G1689" s="29" t="str">
        <x:f>IF(E1689=F1689,"PASS","FAIL")</x:f>
        <x:v>PASS</x:v>
      </x:c>
    </x:row>
    <x:row r="1690" ht="18" customHeight="1">
      <x:c r="B1690" s="27" t="str">
        <x:v>A1684</x:v>
      </x:c>
      <x:c r="C1690" s="27" t="str">
        <x:v>acceptance</x:v>
      </x:c>
      <x:c r="D1690" s="27" t="str">
        <x:v>Acceptance row 64 threshold present</x:v>
      </x:c>
      <x:c r="E1690" s="27" t="n">
        <x:f>IF('Acceptance Register'!H64&lt;&gt;"",1,0)</x:f>
        <x:v>1</x:v>
      </x:c>
      <x:c r="F1690" s="27" t="n">
        <x:v>1</x:v>
      </x:c>
      <x:c r="G1690" s="29" t="str">
        <x:f>IF(E1690=F1690,"PASS","FAIL")</x:f>
        <x:v>PASS</x:v>
      </x:c>
    </x:row>
    <x:row r="1691" ht="18" customHeight="1">
      <x:c r="B1691" s="27" t="str">
        <x:v>A1685</x:v>
      </x:c>
      <x:c r="C1691" s="27" t="str">
        <x:v>acceptance</x:v>
      </x:c>
      <x:c r="D1691" s="27" t="str">
        <x:v>Acceptance row 64 evidence open</x:v>
      </x:c>
      <x:c r="E1691" s="27" t="n">
        <x:f>IF('Acceptance Register'!K64="OPEN",1,0)</x:f>
        <x:v>1</x:v>
      </x:c>
      <x:c r="F1691" s="27" t="n">
        <x:v>1</x:v>
      </x:c>
      <x:c r="G1691" s="29" t="str">
        <x:f>IF(E1691=F1691,"PASS","FAIL")</x:f>
        <x:v>PASS</x:v>
      </x:c>
    </x:row>
    <x:row r="1692" ht="18" customHeight="1">
      <x:c r="B1692" s="27" t="str">
        <x:v>A1686</x:v>
      </x:c>
      <x:c r="C1692" s="27" t="str">
        <x:v>acceptance</x:v>
      </x:c>
      <x:c r="D1692" s="27" t="str">
        <x:v>Acceptance row 64 decision hold</x:v>
      </x:c>
      <x:c r="E1692" s="27" t="n">
        <x:f>IF('Acceptance Register'!L64="HOLD",1,0)</x:f>
        <x:v>1</x:v>
      </x:c>
      <x:c r="F1692" s="27" t="n">
        <x:v>1</x:v>
      </x:c>
      <x:c r="G1692" s="29" t="str">
        <x:f>IF(E1692=F1692,"PASS","FAIL")</x:f>
        <x:v>PASS</x:v>
      </x:c>
    </x:row>
    <x:row r="1693" ht="18" customHeight="1">
      <x:c r="B1693" s="27" t="str">
        <x:v>A1687</x:v>
      </x:c>
      <x:c r="C1693" s="27" t="str">
        <x:v>acceptance</x:v>
      </x:c>
      <x:c r="D1693" s="27" t="str">
        <x:v>Acceptance row 64 zero credit</x:v>
      </x:c>
      <x:c r="E1693" s="27" t="n">
        <x:f>IF('Acceptance Register'!M64=0,1,0)</x:f>
        <x:v>1</x:v>
      </x:c>
      <x:c r="F1693" s="27" t="n">
        <x:v>1</x:v>
      </x:c>
      <x:c r="G1693" s="29" t="str">
        <x:f>IF(E1693=F1693,"PASS","FAIL")</x:f>
        <x:v>PASS</x:v>
      </x:c>
    </x:row>
    <x:row r="1694" ht="18" customHeight="1">
      <x:c r="B1694" s="27" t="str">
        <x:v>A1688</x:v>
      </x:c>
      <x:c r="C1694" s="27" t="str">
        <x:v>acceptance</x:v>
      </x:c>
      <x:c r="D1694" s="27" t="str">
        <x:v>Acceptance row 65 method present</x:v>
      </x:c>
      <x:c r="E1694" s="27" t="n">
        <x:f>IF('Acceptance Register'!G65&lt;&gt;"",1,0)</x:f>
        <x:v>1</x:v>
      </x:c>
      <x:c r="F1694" s="27" t="n">
        <x:v>1</x:v>
      </x:c>
      <x:c r="G1694" s="29" t="str">
        <x:f>IF(E1694=F1694,"PASS","FAIL")</x:f>
        <x:v>PASS</x:v>
      </x:c>
    </x:row>
    <x:row r="1695" ht="18" customHeight="1">
      <x:c r="B1695" s="27" t="str">
        <x:v>A1689</x:v>
      </x:c>
      <x:c r="C1695" s="27" t="str">
        <x:v>acceptance</x:v>
      </x:c>
      <x:c r="D1695" s="27" t="str">
        <x:v>Acceptance row 65 threshold present</x:v>
      </x:c>
      <x:c r="E1695" s="27" t="n">
        <x:f>IF('Acceptance Register'!H65&lt;&gt;"",1,0)</x:f>
        <x:v>1</x:v>
      </x:c>
      <x:c r="F1695" s="27" t="n">
        <x:v>1</x:v>
      </x:c>
      <x:c r="G1695" s="29" t="str">
        <x:f>IF(E1695=F1695,"PASS","FAIL")</x:f>
        <x:v>PASS</x:v>
      </x:c>
    </x:row>
    <x:row r="1696" ht="18" customHeight="1">
      <x:c r="B1696" s="27" t="str">
        <x:v>A1690</x:v>
      </x:c>
      <x:c r="C1696" s="27" t="str">
        <x:v>acceptance</x:v>
      </x:c>
      <x:c r="D1696" s="27" t="str">
        <x:v>Acceptance row 65 evidence open</x:v>
      </x:c>
      <x:c r="E1696" s="27" t="n">
        <x:f>IF('Acceptance Register'!K65="OPEN",1,0)</x:f>
        <x:v>1</x:v>
      </x:c>
      <x:c r="F1696" s="27" t="n">
        <x:v>1</x:v>
      </x:c>
      <x:c r="G1696" s="29" t="str">
        <x:f>IF(E1696=F1696,"PASS","FAIL")</x:f>
        <x:v>PASS</x:v>
      </x:c>
    </x:row>
    <x:row r="1697" ht="18" customHeight="1">
      <x:c r="B1697" s="27" t="str">
        <x:v>A1691</x:v>
      </x:c>
      <x:c r="C1697" s="27" t="str">
        <x:v>acceptance</x:v>
      </x:c>
      <x:c r="D1697" s="27" t="str">
        <x:v>Acceptance row 65 decision hold</x:v>
      </x:c>
      <x:c r="E1697" s="27" t="n">
        <x:f>IF('Acceptance Register'!L65="HOLD",1,0)</x:f>
        <x:v>1</x:v>
      </x:c>
      <x:c r="F1697" s="27" t="n">
        <x:v>1</x:v>
      </x:c>
      <x:c r="G1697" s="29" t="str">
        <x:f>IF(E1697=F1697,"PASS","FAIL")</x:f>
        <x:v>PASS</x:v>
      </x:c>
    </x:row>
    <x:row r="1698" ht="18" customHeight="1">
      <x:c r="B1698" s="27" t="str">
        <x:v>A1692</x:v>
      </x:c>
      <x:c r="C1698" s="27" t="str">
        <x:v>acceptance</x:v>
      </x:c>
      <x:c r="D1698" s="27" t="str">
        <x:v>Acceptance row 65 zero credit</x:v>
      </x:c>
      <x:c r="E1698" s="27" t="n">
        <x:f>IF('Acceptance Register'!M65=0,1,0)</x:f>
        <x:v>1</x:v>
      </x:c>
      <x:c r="F1698" s="27" t="n">
        <x:v>1</x:v>
      </x:c>
      <x:c r="G1698" s="29" t="str">
        <x:f>IF(E1698=F1698,"PASS","FAIL")</x:f>
        <x:v>PASS</x:v>
      </x:c>
    </x:row>
    <x:row r="1699" ht="18" customHeight="1">
      <x:c r="B1699" s="27" t="str">
        <x:v>A1693</x:v>
      </x:c>
      <x:c r="C1699" s="27" t="str">
        <x:v>acceptance</x:v>
      </x:c>
      <x:c r="D1699" s="27" t="str">
        <x:v>Acceptance row 66 method present</x:v>
      </x:c>
      <x:c r="E1699" s="27" t="n">
        <x:f>IF('Acceptance Register'!G66&lt;&gt;"",1,0)</x:f>
        <x:v>1</x:v>
      </x:c>
      <x:c r="F1699" s="27" t="n">
        <x:v>1</x:v>
      </x:c>
      <x:c r="G1699" s="29" t="str">
        <x:f>IF(E1699=F1699,"PASS","FAIL")</x:f>
        <x:v>PASS</x:v>
      </x:c>
    </x:row>
    <x:row r="1700" ht="18" customHeight="1">
      <x:c r="B1700" s="27" t="str">
        <x:v>A1694</x:v>
      </x:c>
      <x:c r="C1700" s="27" t="str">
        <x:v>acceptance</x:v>
      </x:c>
      <x:c r="D1700" s="27" t="str">
        <x:v>Acceptance row 66 threshold present</x:v>
      </x:c>
      <x:c r="E1700" s="27" t="n">
        <x:f>IF('Acceptance Register'!H66&lt;&gt;"",1,0)</x:f>
        <x:v>1</x:v>
      </x:c>
      <x:c r="F1700" s="27" t="n">
        <x:v>1</x:v>
      </x:c>
      <x:c r="G1700" s="29" t="str">
        <x:f>IF(E1700=F1700,"PASS","FAIL")</x:f>
        <x:v>PASS</x:v>
      </x:c>
    </x:row>
    <x:row r="1701" ht="18" customHeight="1">
      <x:c r="B1701" s="27" t="str">
        <x:v>A1695</x:v>
      </x:c>
      <x:c r="C1701" s="27" t="str">
        <x:v>acceptance</x:v>
      </x:c>
      <x:c r="D1701" s="27" t="str">
        <x:v>Acceptance row 66 evidence open</x:v>
      </x:c>
      <x:c r="E1701" s="27" t="n">
        <x:f>IF('Acceptance Register'!K66="OPEN",1,0)</x:f>
        <x:v>1</x:v>
      </x:c>
      <x:c r="F1701" s="27" t="n">
        <x:v>1</x:v>
      </x:c>
      <x:c r="G1701" s="29" t="str">
        <x:f>IF(E1701=F1701,"PASS","FAIL")</x:f>
        <x:v>PASS</x:v>
      </x:c>
    </x:row>
    <x:row r="1702" ht="18" customHeight="1">
      <x:c r="B1702" s="27" t="str">
        <x:v>A1696</x:v>
      </x:c>
      <x:c r="C1702" s="27" t="str">
        <x:v>acceptance</x:v>
      </x:c>
      <x:c r="D1702" s="27" t="str">
        <x:v>Acceptance row 66 decision hold</x:v>
      </x:c>
      <x:c r="E1702" s="27" t="n">
        <x:f>IF('Acceptance Register'!L66="HOLD",1,0)</x:f>
        <x:v>1</x:v>
      </x:c>
      <x:c r="F1702" s="27" t="n">
        <x:v>1</x:v>
      </x:c>
      <x:c r="G1702" s="29" t="str">
        <x:f>IF(E1702=F1702,"PASS","FAIL")</x:f>
        <x:v>PASS</x:v>
      </x:c>
    </x:row>
    <x:row r="1703" ht="18" customHeight="1">
      <x:c r="B1703" s="27" t="str">
        <x:v>A1697</x:v>
      </x:c>
      <x:c r="C1703" s="27" t="str">
        <x:v>acceptance</x:v>
      </x:c>
      <x:c r="D1703" s="27" t="str">
        <x:v>Acceptance row 66 zero credit</x:v>
      </x:c>
      <x:c r="E1703" s="27" t="n">
        <x:f>IF('Acceptance Register'!M66=0,1,0)</x:f>
        <x:v>1</x:v>
      </x:c>
      <x:c r="F1703" s="27" t="n">
        <x:v>1</x:v>
      </x:c>
      <x:c r="G1703" s="29" t="str">
        <x:f>IF(E1703=F1703,"PASS","FAIL")</x:f>
        <x:v>PASS</x:v>
      </x:c>
    </x:row>
    <x:row r="1704" ht="18" customHeight="1">
      <x:c r="B1704" s="27" t="str">
        <x:v>A1698</x:v>
      </x:c>
      <x:c r="C1704" s="27" t="str">
        <x:v>acceptance</x:v>
      </x:c>
      <x:c r="D1704" s="27" t="str">
        <x:v>Acceptance row 67 method present</x:v>
      </x:c>
      <x:c r="E1704" s="27" t="n">
        <x:f>IF('Acceptance Register'!G67&lt;&gt;"",1,0)</x:f>
        <x:v>1</x:v>
      </x:c>
      <x:c r="F1704" s="27" t="n">
        <x:v>1</x:v>
      </x:c>
      <x:c r="G1704" s="29" t="str">
        <x:f>IF(E1704=F1704,"PASS","FAIL")</x:f>
        <x:v>PASS</x:v>
      </x:c>
    </x:row>
    <x:row r="1705" ht="18" customHeight="1">
      <x:c r="B1705" s="27" t="str">
        <x:v>A1699</x:v>
      </x:c>
      <x:c r="C1705" s="27" t="str">
        <x:v>acceptance</x:v>
      </x:c>
      <x:c r="D1705" s="27" t="str">
        <x:v>Acceptance row 67 threshold present</x:v>
      </x:c>
      <x:c r="E1705" s="27" t="n">
        <x:f>IF('Acceptance Register'!H67&lt;&gt;"",1,0)</x:f>
        <x:v>1</x:v>
      </x:c>
      <x:c r="F1705" s="27" t="n">
        <x:v>1</x:v>
      </x:c>
      <x:c r="G1705" s="29" t="str">
        <x:f>IF(E1705=F1705,"PASS","FAIL")</x:f>
        <x:v>PASS</x:v>
      </x:c>
    </x:row>
    <x:row r="1706" ht="18" customHeight="1">
      <x:c r="B1706" s="27" t="str">
        <x:v>A1700</x:v>
      </x:c>
      <x:c r="C1706" s="27" t="str">
        <x:v>acceptance</x:v>
      </x:c>
      <x:c r="D1706" s="27" t="str">
        <x:v>Acceptance row 67 evidence open</x:v>
      </x:c>
      <x:c r="E1706" s="27" t="n">
        <x:f>IF('Acceptance Register'!K67="OPEN",1,0)</x:f>
        <x:v>1</x:v>
      </x:c>
      <x:c r="F1706" s="27" t="n">
        <x:v>1</x:v>
      </x:c>
      <x:c r="G1706" s="29" t="str">
        <x:f>IF(E1706=F1706,"PASS","FAIL")</x:f>
        <x:v>PASS</x:v>
      </x:c>
    </x:row>
    <x:row r="1707" ht="18" customHeight="1">
      <x:c r="B1707" s="27" t="str">
        <x:v>A1701</x:v>
      </x:c>
      <x:c r="C1707" s="27" t="str">
        <x:v>acceptance</x:v>
      </x:c>
      <x:c r="D1707" s="27" t="str">
        <x:v>Acceptance row 67 decision hold</x:v>
      </x:c>
      <x:c r="E1707" s="27" t="n">
        <x:f>IF('Acceptance Register'!L67="HOLD",1,0)</x:f>
        <x:v>1</x:v>
      </x:c>
      <x:c r="F1707" s="27" t="n">
        <x:v>1</x:v>
      </x:c>
      <x:c r="G1707" s="29" t="str">
        <x:f>IF(E1707=F1707,"PASS","FAIL")</x:f>
        <x:v>PASS</x:v>
      </x:c>
    </x:row>
    <x:row r="1708" ht="18" customHeight="1">
      <x:c r="B1708" s="27" t="str">
        <x:v>A1702</x:v>
      </x:c>
      <x:c r="C1708" s="27" t="str">
        <x:v>acceptance</x:v>
      </x:c>
      <x:c r="D1708" s="27" t="str">
        <x:v>Acceptance row 67 zero credit</x:v>
      </x:c>
      <x:c r="E1708" s="27" t="n">
        <x:f>IF('Acceptance Register'!M67=0,1,0)</x:f>
        <x:v>1</x:v>
      </x:c>
      <x:c r="F1708" s="27" t="n">
        <x:v>1</x:v>
      </x:c>
      <x:c r="G1708" s="29" t="str">
        <x:f>IF(E1708=F1708,"PASS","FAIL")</x:f>
        <x:v>PASS</x:v>
      </x:c>
    </x:row>
    <x:row r="1709" ht="18" customHeight="1">
      <x:c r="B1709" s="27" t="str">
        <x:v>A1703</x:v>
      </x:c>
      <x:c r="C1709" s="27" t="str">
        <x:v>acceptance</x:v>
      </x:c>
      <x:c r="D1709" s="27" t="str">
        <x:v>Acceptance row 68 method present</x:v>
      </x:c>
      <x:c r="E1709" s="27" t="n">
        <x:f>IF('Acceptance Register'!G68&lt;&gt;"",1,0)</x:f>
        <x:v>1</x:v>
      </x:c>
      <x:c r="F1709" s="27" t="n">
        <x:v>1</x:v>
      </x:c>
      <x:c r="G1709" s="29" t="str">
        <x:f>IF(E1709=F1709,"PASS","FAIL")</x:f>
        <x:v>PASS</x:v>
      </x:c>
    </x:row>
    <x:row r="1710" ht="18" customHeight="1">
      <x:c r="B1710" s="27" t="str">
        <x:v>A1704</x:v>
      </x:c>
      <x:c r="C1710" s="27" t="str">
        <x:v>acceptance</x:v>
      </x:c>
      <x:c r="D1710" s="27" t="str">
        <x:v>Acceptance row 68 threshold present</x:v>
      </x:c>
      <x:c r="E1710" s="27" t="n">
        <x:f>IF('Acceptance Register'!H68&lt;&gt;"",1,0)</x:f>
        <x:v>1</x:v>
      </x:c>
      <x:c r="F1710" s="27" t="n">
        <x:v>1</x:v>
      </x:c>
      <x:c r="G1710" s="29" t="str">
        <x:f>IF(E1710=F1710,"PASS","FAIL")</x:f>
        <x:v>PASS</x:v>
      </x:c>
    </x:row>
    <x:row r="1711" ht="18" customHeight="1">
      <x:c r="B1711" s="27" t="str">
        <x:v>A1705</x:v>
      </x:c>
      <x:c r="C1711" s="27" t="str">
        <x:v>acceptance</x:v>
      </x:c>
      <x:c r="D1711" s="27" t="str">
        <x:v>Acceptance row 68 evidence open</x:v>
      </x:c>
      <x:c r="E1711" s="27" t="n">
        <x:f>IF('Acceptance Register'!K68="OPEN",1,0)</x:f>
        <x:v>1</x:v>
      </x:c>
      <x:c r="F1711" s="27" t="n">
        <x:v>1</x:v>
      </x:c>
      <x:c r="G1711" s="29" t="str">
        <x:f>IF(E1711=F1711,"PASS","FAIL")</x:f>
        <x:v>PASS</x:v>
      </x:c>
    </x:row>
    <x:row r="1712" ht="18" customHeight="1">
      <x:c r="B1712" s="27" t="str">
        <x:v>A1706</x:v>
      </x:c>
      <x:c r="C1712" s="27" t="str">
        <x:v>acceptance</x:v>
      </x:c>
      <x:c r="D1712" s="27" t="str">
        <x:v>Acceptance row 68 decision hold</x:v>
      </x:c>
      <x:c r="E1712" s="27" t="n">
        <x:f>IF('Acceptance Register'!L68="HOLD",1,0)</x:f>
        <x:v>1</x:v>
      </x:c>
      <x:c r="F1712" s="27" t="n">
        <x:v>1</x:v>
      </x:c>
      <x:c r="G1712" s="29" t="str">
        <x:f>IF(E1712=F1712,"PASS","FAIL")</x:f>
        <x:v>PASS</x:v>
      </x:c>
    </x:row>
    <x:row r="1713" ht="18" customHeight="1">
      <x:c r="B1713" s="27" t="str">
        <x:v>A1707</x:v>
      </x:c>
      <x:c r="C1713" s="27" t="str">
        <x:v>acceptance</x:v>
      </x:c>
      <x:c r="D1713" s="27" t="str">
        <x:v>Acceptance row 68 zero credit</x:v>
      </x:c>
      <x:c r="E1713" s="27" t="n">
        <x:f>IF('Acceptance Register'!M68=0,1,0)</x:f>
        <x:v>1</x:v>
      </x:c>
      <x:c r="F1713" s="27" t="n">
        <x:v>1</x:v>
      </x:c>
      <x:c r="G1713" s="29" t="str">
        <x:f>IF(E1713=F1713,"PASS","FAIL")</x:f>
        <x:v>PASS</x:v>
      </x:c>
    </x:row>
    <x:row r="1714" ht="18" customHeight="1">
      <x:c r="B1714" s="27" t="str">
        <x:v>A1708</x:v>
      </x:c>
      <x:c r="C1714" s="27" t="str">
        <x:v>acceptance</x:v>
      </x:c>
      <x:c r="D1714" s="27" t="str">
        <x:v>Acceptance row 69 method present</x:v>
      </x:c>
      <x:c r="E1714" s="27" t="n">
        <x:f>IF('Acceptance Register'!G69&lt;&gt;"",1,0)</x:f>
        <x:v>1</x:v>
      </x:c>
      <x:c r="F1714" s="27" t="n">
        <x:v>1</x:v>
      </x:c>
      <x:c r="G1714" s="29" t="str">
        <x:f>IF(E1714=F1714,"PASS","FAIL")</x:f>
        <x:v>PASS</x:v>
      </x:c>
    </x:row>
    <x:row r="1715" ht="18" customHeight="1">
      <x:c r="B1715" s="27" t="str">
        <x:v>A1709</x:v>
      </x:c>
      <x:c r="C1715" s="27" t="str">
        <x:v>acceptance</x:v>
      </x:c>
      <x:c r="D1715" s="27" t="str">
        <x:v>Acceptance row 69 threshold present</x:v>
      </x:c>
      <x:c r="E1715" s="27" t="n">
        <x:f>IF('Acceptance Register'!H69&lt;&gt;"",1,0)</x:f>
        <x:v>1</x:v>
      </x:c>
      <x:c r="F1715" s="27" t="n">
        <x:v>1</x:v>
      </x:c>
      <x:c r="G1715" s="29" t="str">
        <x:f>IF(E1715=F1715,"PASS","FAIL")</x:f>
        <x:v>PASS</x:v>
      </x:c>
    </x:row>
    <x:row r="1716" ht="18" customHeight="1">
      <x:c r="B1716" s="27" t="str">
        <x:v>A1710</x:v>
      </x:c>
      <x:c r="C1716" s="27" t="str">
        <x:v>acceptance</x:v>
      </x:c>
      <x:c r="D1716" s="27" t="str">
        <x:v>Acceptance row 69 evidence open</x:v>
      </x:c>
      <x:c r="E1716" s="27" t="n">
        <x:f>IF('Acceptance Register'!K69="OPEN",1,0)</x:f>
        <x:v>1</x:v>
      </x:c>
      <x:c r="F1716" s="27" t="n">
        <x:v>1</x:v>
      </x:c>
      <x:c r="G1716" s="29" t="str">
        <x:f>IF(E1716=F1716,"PASS","FAIL")</x:f>
        <x:v>PASS</x:v>
      </x:c>
    </x:row>
    <x:row r="1717" ht="18" customHeight="1">
      <x:c r="B1717" s="27" t="str">
        <x:v>A1711</x:v>
      </x:c>
      <x:c r="C1717" s="27" t="str">
        <x:v>acceptance</x:v>
      </x:c>
      <x:c r="D1717" s="27" t="str">
        <x:v>Acceptance row 69 decision hold</x:v>
      </x:c>
      <x:c r="E1717" s="27" t="n">
        <x:f>IF('Acceptance Register'!L69="HOLD",1,0)</x:f>
        <x:v>1</x:v>
      </x:c>
      <x:c r="F1717" s="27" t="n">
        <x:v>1</x:v>
      </x:c>
      <x:c r="G1717" s="29" t="str">
        <x:f>IF(E1717=F1717,"PASS","FAIL")</x:f>
        <x:v>PASS</x:v>
      </x:c>
    </x:row>
    <x:row r="1718" ht="18" customHeight="1">
      <x:c r="B1718" s="27" t="str">
        <x:v>A1712</x:v>
      </x:c>
      <x:c r="C1718" s="27" t="str">
        <x:v>acceptance</x:v>
      </x:c>
      <x:c r="D1718" s="27" t="str">
        <x:v>Acceptance row 69 zero credit</x:v>
      </x:c>
      <x:c r="E1718" s="27" t="n">
        <x:f>IF('Acceptance Register'!M69=0,1,0)</x:f>
        <x:v>1</x:v>
      </x:c>
      <x:c r="F1718" s="27" t="n">
        <x:v>1</x:v>
      </x:c>
      <x:c r="G1718" s="29" t="str">
        <x:f>IF(E1718=F1718,"PASS","FAIL")</x:f>
        <x:v>PASS</x:v>
      </x:c>
    </x:row>
    <x:row r="1719" ht="18" customHeight="1">
      <x:c r="B1719" s="27" t="str">
        <x:v>A1713</x:v>
      </x:c>
      <x:c r="C1719" s="27" t="str">
        <x:v>acceptance</x:v>
      </x:c>
      <x:c r="D1719" s="27" t="str">
        <x:v>Acceptance row 70 method present</x:v>
      </x:c>
      <x:c r="E1719" s="27" t="n">
        <x:f>IF('Acceptance Register'!G70&lt;&gt;"",1,0)</x:f>
        <x:v>1</x:v>
      </x:c>
      <x:c r="F1719" s="27" t="n">
        <x:v>1</x:v>
      </x:c>
      <x:c r="G1719" s="29" t="str">
        <x:f>IF(E1719=F1719,"PASS","FAIL")</x:f>
        <x:v>PASS</x:v>
      </x:c>
    </x:row>
    <x:row r="1720" ht="18" customHeight="1">
      <x:c r="B1720" s="27" t="str">
        <x:v>A1714</x:v>
      </x:c>
      <x:c r="C1720" s="27" t="str">
        <x:v>acceptance</x:v>
      </x:c>
      <x:c r="D1720" s="27" t="str">
        <x:v>Acceptance row 70 threshold present</x:v>
      </x:c>
      <x:c r="E1720" s="27" t="n">
        <x:f>IF('Acceptance Register'!H70&lt;&gt;"",1,0)</x:f>
        <x:v>1</x:v>
      </x:c>
      <x:c r="F1720" s="27" t="n">
        <x:v>1</x:v>
      </x:c>
      <x:c r="G1720" s="29" t="str">
        <x:f>IF(E1720=F1720,"PASS","FAIL")</x:f>
        <x:v>PASS</x:v>
      </x:c>
    </x:row>
    <x:row r="1721" ht="18" customHeight="1">
      <x:c r="B1721" s="27" t="str">
        <x:v>A1715</x:v>
      </x:c>
      <x:c r="C1721" s="27" t="str">
        <x:v>acceptance</x:v>
      </x:c>
      <x:c r="D1721" s="27" t="str">
        <x:v>Acceptance row 70 evidence open</x:v>
      </x:c>
      <x:c r="E1721" s="27" t="n">
        <x:f>IF('Acceptance Register'!K70="OPEN",1,0)</x:f>
        <x:v>1</x:v>
      </x:c>
      <x:c r="F1721" s="27" t="n">
        <x:v>1</x:v>
      </x:c>
      <x:c r="G1721" s="29" t="str">
        <x:f>IF(E1721=F1721,"PASS","FAIL")</x:f>
        <x:v>PASS</x:v>
      </x:c>
    </x:row>
    <x:row r="1722" ht="18" customHeight="1">
      <x:c r="B1722" s="27" t="str">
        <x:v>A1716</x:v>
      </x:c>
      <x:c r="C1722" s="27" t="str">
        <x:v>acceptance</x:v>
      </x:c>
      <x:c r="D1722" s="27" t="str">
        <x:v>Acceptance row 70 decision hold</x:v>
      </x:c>
      <x:c r="E1722" s="27" t="n">
        <x:f>IF('Acceptance Register'!L70="HOLD",1,0)</x:f>
        <x:v>1</x:v>
      </x:c>
      <x:c r="F1722" s="27" t="n">
        <x:v>1</x:v>
      </x:c>
      <x:c r="G1722" s="29" t="str">
        <x:f>IF(E1722=F1722,"PASS","FAIL")</x:f>
        <x:v>PASS</x:v>
      </x:c>
    </x:row>
    <x:row r="1723" ht="18" customHeight="1">
      <x:c r="B1723" s="27" t="str">
        <x:v>A1717</x:v>
      </x:c>
      <x:c r="C1723" s="27" t="str">
        <x:v>acceptance</x:v>
      </x:c>
      <x:c r="D1723" s="27" t="str">
        <x:v>Acceptance row 70 zero credit</x:v>
      </x:c>
      <x:c r="E1723" s="27" t="n">
        <x:f>IF('Acceptance Register'!M70=0,1,0)</x:f>
        <x:v>1</x:v>
      </x:c>
      <x:c r="F1723" s="27" t="n">
        <x:v>1</x:v>
      </x:c>
      <x:c r="G1723" s="29" t="str">
        <x:f>IF(E1723=F1723,"PASS","FAIL")</x:f>
        <x:v>PASS</x:v>
      </x:c>
    </x:row>
    <x:row r="1724" ht="18" customHeight="1">
      <x:c r="B1724" s="27" t="str">
        <x:v>A1718</x:v>
      </x:c>
      <x:c r="C1724" s="27" t="str">
        <x:v>acceptance</x:v>
      </x:c>
      <x:c r="D1724" s="27" t="str">
        <x:v>Acceptance row 71 method present</x:v>
      </x:c>
      <x:c r="E1724" s="27" t="n">
        <x:f>IF('Acceptance Register'!G71&lt;&gt;"",1,0)</x:f>
        <x:v>1</x:v>
      </x:c>
      <x:c r="F1724" s="27" t="n">
        <x:v>1</x:v>
      </x:c>
      <x:c r="G1724" s="29" t="str">
        <x:f>IF(E1724=F1724,"PASS","FAIL")</x:f>
        <x:v>PASS</x:v>
      </x:c>
    </x:row>
    <x:row r="1725" ht="18" customHeight="1">
      <x:c r="B1725" s="27" t="str">
        <x:v>A1719</x:v>
      </x:c>
      <x:c r="C1725" s="27" t="str">
        <x:v>acceptance</x:v>
      </x:c>
      <x:c r="D1725" s="27" t="str">
        <x:v>Acceptance row 71 threshold present</x:v>
      </x:c>
      <x:c r="E1725" s="27" t="n">
        <x:f>IF('Acceptance Register'!H71&lt;&gt;"",1,0)</x:f>
        <x:v>1</x:v>
      </x:c>
      <x:c r="F1725" s="27" t="n">
        <x:v>1</x:v>
      </x:c>
      <x:c r="G1725" s="29" t="str">
        <x:f>IF(E1725=F1725,"PASS","FAIL")</x:f>
        <x:v>PASS</x:v>
      </x:c>
    </x:row>
    <x:row r="1726" ht="18" customHeight="1">
      <x:c r="B1726" s="27" t="str">
        <x:v>A1720</x:v>
      </x:c>
      <x:c r="C1726" s="27" t="str">
        <x:v>acceptance</x:v>
      </x:c>
      <x:c r="D1726" s="27" t="str">
        <x:v>Acceptance row 71 evidence open</x:v>
      </x:c>
      <x:c r="E1726" s="27" t="n">
        <x:f>IF('Acceptance Register'!K71="OPEN",1,0)</x:f>
        <x:v>1</x:v>
      </x:c>
      <x:c r="F1726" s="27" t="n">
        <x:v>1</x:v>
      </x:c>
      <x:c r="G1726" s="29" t="str">
        <x:f>IF(E1726=F1726,"PASS","FAIL")</x:f>
        <x:v>PASS</x:v>
      </x:c>
    </x:row>
    <x:row r="1727" ht="18" customHeight="1">
      <x:c r="B1727" s="27" t="str">
        <x:v>A1721</x:v>
      </x:c>
      <x:c r="C1727" s="27" t="str">
        <x:v>acceptance</x:v>
      </x:c>
      <x:c r="D1727" s="27" t="str">
        <x:v>Acceptance row 71 decision hold</x:v>
      </x:c>
      <x:c r="E1727" s="27" t="n">
        <x:f>IF('Acceptance Register'!L71="HOLD",1,0)</x:f>
        <x:v>1</x:v>
      </x:c>
      <x:c r="F1727" s="27" t="n">
        <x:v>1</x:v>
      </x:c>
      <x:c r="G1727" s="29" t="str">
        <x:f>IF(E1727=F1727,"PASS","FAIL")</x:f>
        <x:v>PASS</x:v>
      </x:c>
    </x:row>
    <x:row r="1728" ht="18" customHeight="1">
      <x:c r="B1728" s="27" t="str">
        <x:v>A1722</x:v>
      </x:c>
      <x:c r="C1728" s="27" t="str">
        <x:v>acceptance</x:v>
      </x:c>
      <x:c r="D1728" s="27" t="str">
        <x:v>Acceptance row 71 zero credit</x:v>
      </x:c>
      <x:c r="E1728" s="27" t="n">
        <x:f>IF('Acceptance Register'!M71=0,1,0)</x:f>
        <x:v>1</x:v>
      </x:c>
      <x:c r="F1728" s="27" t="n">
        <x:v>1</x:v>
      </x:c>
      <x:c r="G1728" s="29" t="str">
        <x:f>IF(E1728=F1728,"PASS","FAIL")</x:f>
        <x:v>PASS</x:v>
      </x:c>
    </x:row>
    <x:row r="1729" ht="18" customHeight="1">
      <x:c r="B1729" s="27" t="str">
        <x:v>A1723</x:v>
      </x:c>
      <x:c r="C1729" s="27" t="str">
        <x:v>acceptance</x:v>
      </x:c>
      <x:c r="D1729" s="27" t="str">
        <x:v>Acceptance row 72 method present</x:v>
      </x:c>
      <x:c r="E1729" s="27" t="n">
        <x:f>IF('Acceptance Register'!G72&lt;&gt;"",1,0)</x:f>
        <x:v>1</x:v>
      </x:c>
      <x:c r="F1729" s="27" t="n">
        <x:v>1</x:v>
      </x:c>
      <x:c r="G1729" s="29" t="str">
        <x:f>IF(E1729=F1729,"PASS","FAIL")</x:f>
        <x:v>PASS</x:v>
      </x:c>
    </x:row>
    <x:row r="1730" ht="18" customHeight="1">
      <x:c r="B1730" s="27" t="str">
        <x:v>A1724</x:v>
      </x:c>
      <x:c r="C1730" s="27" t="str">
        <x:v>acceptance</x:v>
      </x:c>
      <x:c r="D1730" s="27" t="str">
        <x:v>Acceptance row 72 threshold present</x:v>
      </x:c>
      <x:c r="E1730" s="27" t="n">
        <x:f>IF('Acceptance Register'!H72&lt;&gt;"",1,0)</x:f>
        <x:v>1</x:v>
      </x:c>
      <x:c r="F1730" s="27" t="n">
        <x:v>1</x:v>
      </x:c>
      <x:c r="G1730" s="29" t="str">
        <x:f>IF(E1730=F1730,"PASS","FAIL")</x:f>
        <x:v>PASS</x:v>
      </x:c>
    </x:row>
    <x:row r="1731" ht="18" customHeight="1">
      <x:c r="B1731" s="27" t="str">
        <x:v>A1725</x:v>
      </x:c>
      <x:c r="C1731" s="27" t="str">
        <x:v>acceptance</x:v>
      </x:c>
      <x:c r="D1731" s="27" t="str">
        <x:v>Acceptance row 72 evidence open</x:v>
      </x:c>
      <x:c r="E1731" s="27" t="n">
        <x:f>IF('Acceptance Register'!K72="OPEN",1,0)</x:f>
        <x:v>1</x:v>
      </x:c>
      <x:c r="F1731" s="27" t="n">
        <x:v>1</x:v>
      </x:c>
      <x:c r="G1731" s="29" t="str">
        <x:f>IF(E1731=F1731,"PASS","FAIL")</x:f>
        <x:v>PASS</x:v>
      </x:c>
    </x:row>
    <x:row r="1732" ht="18" customHeight="1">
      <x:c r="B1732" s="27" t="str">
        <x:v>A1726</x:v>
      </x:c>
      <x:c r="C1732" s="27" t="str">
        <x:v>acceptance</x:v>
      </x:c>
      <x:c r="D1732" s="27" t="str">
        <x:v>Acceptance row 72 decision hold</x:v>
      </x:c>
      <x:c r="E1732" s="27" t="n">
        <x:f>IF('Acceptance Register'!L72="HOLD",1,0)</x:f>
        <x:v>1</x:v>
      </x:c>
      <x:c r="F1732" s="27" t="n">
        <x:v>1</x:v>
      </x:c>
      <x:c r="G1732" s="29" t="str">
        <x:f>IF(E1732=F1732,"PASS","FAIL")</x:f>
        <x:v>PASS</x:v>
      </x:c>
    </x:row>
    <x:row r="1733" ht="18" customHeight="1">
      <x:c r="B1733" s="27" t="str">
        <x:v>A1727</x:v>
      </x:c>
      <x:c r="C1733" s="27" t="str">
        <x:v>acceptance</x:v>
      </x:c>
      <x:c r="D1733" s="27" t="str">
        <x:v>Acceptance row 72 zero credit</x:v>
      </x:c>
      <x:c r="E1733" s="27" t="n">
        <x:f>IF('Acceptance Register'!M72=0,1,0)</x:f>
        <x:v>1</x:v>
      </x:c>
      <x:c r="F1733" s="27" t="n">
        <x:v>1</x:v>
      </x:c>
      <x:c r="G1733" s="29" t="str">
        <x:f>IF(E1733=F1733,"PASS","FAIL")</x:f>
        <x:v>PASS</x:v>
      </x:c>
    </x:row>
    <x:row r="1734" ht="18" customHeight="1">
      <x:c r="B1734" s="27" t="str">
        <x:v>A1728</x:v>
      </x:c>
      <x:c r="C1734" s="27" t="str">
        <x:v>acceptance</x:v>
      </x:c>
      <x:c r="D1734" s="27" t="str">
        <x:v>Acceptance row 73 method present</x:v>
      </x:c>
      <x:c r="E1734" s="27" t="n">
        <x:f>IF('Acceptance Register'!G73&lt;&gt;"",1,0)</x:f>
        <x:v>1</x:v>
      </x:c>
      <x:c r="F1734" s="27" t="n">
        <x:v>1</x:v>
      </x:c>
      <x:c r="G1734" s="29" t="str">
        <x:f>IF(E1734=F1734,"PASS","FAIL")</x:f>
        <x:v>PASS</x:v>
      </x:c>
    </x:row>
    <x:row r="1735" ht="18" customHeight="1">
      <x:c r="B1735" s="27" t="str">
        <x:v>A1729</x:v>
      </x:c>
      <x:c r="C1735" s="27" t="str">
        <x:v>acceptance</x:v>
      </x:c>
      <x:c r="D1735" s="27" t="str">
        <x:v>Acceptance row 73 threshold present</x:v>
      </x:c>
      <x:c r="E1735" s="27" t="n">
        <x:f>IF('Acceptance Register'!H73&lt;&gt;"",1,0)</x:f>
        <x:v>1</x:v>
      </x:c>
      <x:c r="F1735" s="27" t="n">
        <x:v>1</x:v>
      </x:c>
      <x:c r="G1735" s="29" t="str">
        <x:f>IF(E1735=F1735,"PASS","FAIL")</x:f>
        <x:v>PASS</x:v>
      </x:c>
    </x:row>
    <x:row r="1736" ht="18" customHeight="1">
      <x:c r="B1736" s="27" t="str">
        <x:v>A1730</x:v>
      </x:c>
      <x:c r="C1736" s="27" t="str">
        <x:v>acceptance</x:v>
      </x:c>
      <x:c r="D1736" s="27" t="str">
        <x:v>Acceptance row 73 evidence open</x:v>
      </x:c>
      <x:c r="E1736" s="27" t="n">
        <x:f>IF('Acceptance Register'!K73="OPEN",1,0)</x:f>
        <x:v>1</x:v>
      </x:c>
      <x:c r="F1736" s="27" t="n">
        <x:v>1</x:v>
      </x:c>
      <x:c r="G1736" s="29" t="str">
        <x:f>IF(E1736=F1736,"PASS","FAIL")</x:f>
        <x:v>PASS</x:v>
      </x:c>
    </x:row>
    <x:row r="1737" ht="18" customHeight="1">
      <x:c r="B1737" s="27" t="str">
        <x:v>A1731</x:v>
      </x:c>
      <x:c r="C1737" s="27" t="str">
        <x:v>acceptance</x:v>
      </x:c>
      <x:c r="D1737" s="27" t="str">
        <x:v>Acceptance row 73 decision hold</x:v>
      </x:c>
      <x:c r="E1737" s="27" t="n">
        <x:f>IF('Acceptance Register'!L73="HOLD",1,0)</x:f>
        <x:v>1</x:v>
      </x:c>
      <x:c r="F1737" s="27" t="n">
        <x:v>1</x:v>
      </x:c>
      <x:c r="G1737" s="29" t="str">
        <x:f>IF(E1737=F1737,"PASS","FAIL")</x:f>
        <x:v>PASS</x:v>
      </x:c>
    </x:row>
    <x:row r="1738" ht="18" customHeight="1">
      <x:c r="B1738" s="27" t="str">
        <x:v>A1732</x:v>
      </x:c>
      <x:c r="C1738" s="27" t="str">
        <x:v>acceptance</x:v>
      </x:c>
      <x:c r="D1738" s="27" t="str">
        <x:v>Acceptance row 73 zero credit</x:v>
      </x:c>
      <x:c r="E1738" s="27" t="n">
        <x:f>IF('Acceptance Register'!M73=0,1,0)</x:f>
        <x:v>1</x:v>
      </x:c>
      <x:c r="F1738" s="27" t="n">
        <x:v>1</x:v>
      </x:c>
      <x:c r="G1738" s="29" t="str">
        <x:f>IF(E1738=F1738,"PASS","FAIL")</x:f>
        <x:v>PASS</x:v>
      </x:c>
    </x:row>
    <x:row r="1739" ht="18" customHeight="1">
      <x:c r="B1739" s="27" t="str">
        <x:v>A1733</x:v>
      </x:c>
      <x:c r="C1739" s="27" t="str">
        <x:v>acceptance</x:v>
      </x:c>
      <x:c r="D1739" s="27" t="str">
        <x:v>Acceptance row 74 method present</x:v>
      </x:c>
      <x:c r="E1739" s="27" t="n">
        <x:f>IF('Acceptance Register'!G74&lt;&gt;"",1,0)</x:f>
        <x:v>1</x:v>
      </x:c>
      <x:c r="F1739" s="27" t="n">
        <x:v>1</x:v>
      </x:c>
      <x:c r="G1739" s="29" t="str">
        <x:f>IF(E1739=F1739,"PASS","FAIL")</x:f>
        <x:v>PASS</x:v>
      </x:c>
    </x:row>
    <x:row r="1740" ht="18" customHeight="1">
      <x:c r="B1740" s="27" t="str">
        <x:v>A1734</x:v>
      </x:c>
      <x:c r="C1740" s="27" t="str">
        <x:v>acceptance</x:v>
      </x:c>
      <x:c r="D1740" s="27" t="str">
        <x:v>Acceptance row 74 threshold present</x:v>
      </x:c>
      <x:c r="E1740" s="27" t="n">
        <x:f>IF('Acceptance Register'!H74&lt;&gt;"",1,0)</x:f>
        <x:v>1</x:v>
      </x:c>
      <x:c r="F1740" s="27" t="n">
        <x:v>1</x:v>
      </x:c>
      <x:c r="G1740" s="29" t="str">
        <x:f>IF(E1740=F1740,"PASS","FAIL")</x:f>
        <x:v>PASS</x:v>
      </x:c>
    </x:row>
    <x:row r="1741" ht="18" customHeight="1">
      <x:c r="B1741" s="27" t="str">
        <x:v>A1735</x:v>
      </x:c>
      <x:c r="C1741" s="27" t="str">
        <x:v>acceptance</x:v>
      </x:c>
      <x:c r="D1741" s="27" t="str">
        <x:v>Acceptance row 74 evidence open</x:v>
      </x:c>
      <x:c r="E1741" s="27" t="n">
        <x:f>IF('Acceptance Register'!K74="OPEN",1,0)</x:f>
        <x:v>1</x:v>
      </x:c>
      <x:c r="F1741" s="27" t="n">
        <x:v>1</x:v>
      </x:c>
      <x:c r="G1741" s="29" t="str">
        <x:f>IF(E1741=F1741,"PASS","FAIL")</x:f>
        <x:v>PASS</x:v>
      </x:c>
    </x:row>
    <x:row r="1742" ht="18" customHeight="1">
      <x:c r="B1742" s="27" t="str">
        <x:v>A1736</x:v>
      </x:c>
      <x:c r="C1742" s="27" t="str">
        <x:v>acceptance</x:v>
      </x:c>
      <x:c r="D1742" s="27" t="str">
        <x:v>Acceptance row 74 decision hold</x:v>
      </x:c>
      <x:c r="E1742" s="27" t="n">
        <x:f>IF('Acceptance Register'!L74="HOLD",1,0)</x:f>
        <x:v>1</x:v>
      </x:c>
      <x:c r="F1742" s="27" t="n">
        <x:v>1</x:v>
      </x:c>
      <x:c r="G1742" s="29" t="str">
        <x:f>IF(E1742=F1742,"PASS","FAIL")</x:f>
        <x:v>PASS</x:v>
      </x:c>
    </x:row>
    <x:row r="1743" ht="18" customHeight="1">
      <x:c r="B1743" s="27" t="str">
        <x:v>A1737</x:v>
      </x:c>
      <x:c r="C1743" s="27" t="str">
        <x:v>acceptance</x:v>
      </x:c>
      <x:c r="D1743" s="27" t="str">
        <x:v>Acceptance row 74 zero credit</x:v>
      </x:c>
      <x:c r="E1743" s="27" t="n">
        <x:f>IF('Acceptance Register'!M74=0,1,0)</x:f>
        <x:v>1</x:v>
      </x:c>
      <x:c r="F1743" s="27" t="n">
        <x:v>1</x:v>
      </x:c>
      <x:c r="G1743" s="29" t="str">
        <x:f>IF(E1743=F1743,"PASS","FAIL")</x:f>
        <x:v>PASS</x:v>
      </x:c>
    </x:row>
    <x:row r="1744" ht="18" customHeight="1">
      <x:c r="B1744" s="27" t="str">
        <x:v>A1738</x:v>
      </x:c>
      <x:c r="C1744" s="27" t="str">
        <x:v>acceptance</x:v>
      </x:c>
      <x:c r="D1744" s="27" t="str">
        <x:v>Acceptance row 75 method present</x:v>
      </x:c>
      <x:c r="E1744" s="27" t="n">
        <x:f>IF('Acceptance Register'!G75&lt;&gt;"",1,0)</x:f>
        <x:v>1</x:v>
      </x:c>
      <x:c r="F1744" s="27" t="n">
        <x:v>1</x:v>
      </x:c>
      <x:c r="G1744" s="29" t="str">
        <x:f>IF(E1744=F1744,"PASS","FAIL")</x:f>
        <x:v>PASS</x:v>
      </x:c>
    </x:row>
    <x:row r="1745" ht="18" customHeight="1">
      <x:c r="B1745" s="27" t="str">
        <x:v>A1739</x:v>
      </x:c>
      <x:c r="C1745" s="27" t="str">
        <x:v>acceptance</x:v>
      </x:c>
      <x:c r="D1745" s="27" t="str">
        <x:v>Acceptance row 75 threshold present</x:v>
      </x:c>
      <x:c r="E1745" s="27" t="n">
        <x:f>IF('Acceptance Register'!H75&lt;&gt;"",1,0)</x:f>
        <x:v>1</x:v>
      </x:c>
      <x:c r="F1745" s="27" t="n">
        <x:v>1</x:v>
      </x:c>
      <x:c r="G1745" s="29" t="str">
        <x:f>IF(E1745=F1745,"PASS","FAIL")</x:f>
        <x:v>PASS</x:v>
      </x:c>
    </x:row>
    <x:row r="1746" ht="18" customHeight="1">
      <x:c r="B1746" s="27" t="str">
        <x:v>A1740</x:v>
      </x:c>
      <x:c r="C1746" s="27" t="str">
        <x:v>acceptance</x:v>
      </x:c>
      <x:c r="D1746" s="27" t="str">
        <x:v>Acceptance row 75 evidence open</x:v>
      </x:c>
      <x:c r="E1746" s="27" t="n">
        <x:f>IF('Acceptance Register'!K75="OPEN",1,0)</x:f>
        <x:v>1</x:v>
      </x:c>
      <x:c r="F1746" s="27" t="n">
        <x:v>1</x:v>
      </x:c>
      <x:c r="G1746" s="29" t="str">
        <x:f>IF(E1746=F1746,"PASS","FAIL")</x:f>
        <x:v>PASS</x:v>
      </x:c>
    </x:row>
    <x:row r="1747" ht="18" customHeight="1">
      <x:c r="B1747" s="27" t="str">
        <x:v>A1741</x:v>
      </x:c>
      <x:c r="C1747" s="27" t="str">
        <x:v>acceptance</x:v>
      </x:c>
      <x:c r="D1747" s="27" t="str">
        <x:v>Acceptance row 75 decision hold</x:v>
      </x:c>
      <x:c r="E1747" s="27" t="n">
        <x:f>IF('Acceptance Register'!L75="HOLD",1,0)</x:f>
        <x:v>1</x:v>
      </x:c>
      <x:c r="F1747" s="27" t="n">
        <x:v>1</x:v>
      </x:c>
      <x:c r="G1747" s="29" t="str">
        <x:f>IF(E1747=F1747,"PASS","FAIL")</x:f>
        <x:v>PASS</x:v>
      </x:c>
    </x:row>
    <x:row r="1748" ht="18" customHeight="1">
      <x:c r="B1748" s="27" t="str">
        <x:v>A1742</x:v>
      </x:c>
      <x:c r="C1748" s="27" t="str">
        <x:v>acceptance</x:v>
      </x:c>
      <x:c r="D1748" s="27" t="str">
        <x:v>Acceptance row 75 zero credit</x:v>
      </x:c>
      <x:c r="E1748" s="27" t="n">
        <x:f>IF('Acceptance Register'!M75=0,1,0)</x:f>
        <x:v>1</x:v>
      </x:c>
      <x:c r="F1748" s="27" t="n">
        <x:v>1</x:v>
      </x:c>
      <x:c r="G1748" s="29" t="str">
        <x:f>IF(E1748=F1748,"PASS","FAIL")</x:f>
        <x:v>PASS</x:v>
      </x:c>
    </x:row>
    <x:row r="1749" ht="18" customHeight="1">
      <x:c r="B1749" s="27" t="str">
        <x:v>A1743</x:v>
      </x:c>
      <x:c r="C1749" s="27" t="str">
        <x:v>acceptance</x:v>
      </x:c>
      <x:c r="D1749" s="27" t="str">
        <x:v>Acceptance row 76 method present</x:v>
      </x:c>
      <x:c r="E1749" s="27" t="n">
        <x:f>IF('Acceptance Register'!G76&lt;&gt;"",1,0)</x:f>
        <x:v>1</x:v>
      </x:c>
      <x:c r="F1749" s="27" t="n">
        <x:v>1</x:v>
      </x:c>
      <x:c r="G1749" s="29" t="str">
        <x:f>IF(E1749=F1749,"PASS","FAIL")</x:f>
        <x:v>PASS</x:v>
      </x:c>
    </x:row>
    <x:row r="1750" ht="18" customHeight="1">
      <x:c r="B1750" s="27" t="str">
        <x:v>A1744</x:v>
      </x:c>
      <x:c r="C1750" s="27" t="str">
        <x:v>acceptance</x:v>
      </x:c>
      <x:c r="D1750" s="27" t="str">
        <x:v>Acceptance row 76 threshold present</x:v>
      </x:c>
      <x:c r="E1750" s="27" t="n">
        <x:f>IF('Acceptance Register'!H76&lt;&gt;"",1,0)</x:f>
        <x:v>1</x:v>
      </x:c>
      <x:c r="F1750" s="27" t="n">
        <x:v>1</x:v>
      </x:c>
      <x:c r="G1750" s="29" t="str">
        <x:f>IF(E1750=F1750,"PASS","FAIL")</x:f>
        <x:v>PASS</x:v>
      </x:c>
    </x:row>
    <x:row r="1751" ht="18" customHeight="1">
      <x:c r="B1751" s="27" t="str">
        <x:v>A1745</x:v>
      </x:c>
      <x:c r="C1751" s="27" t="str">
        <x:v>acceptance</x:v>
      </x:c>
      <x:c r="D1751" s="27" t="str">
        <x:v>Acceptance row 76 evidence open</x:v>
      </x:c>
      <x:c r="E1751" s="27" t="n">
        <x:f>IF('Acceptance Register'!K76="OPEN",1,0)</x:f>
        <x:v>1</x:v>
      </x:c>
      <x:c r="F1751" s="27" t="n">
        <x:v>1</x:v>
      </x:c>
      <x:c r="G1751" s="29" t="str">
        <x:f>IF(E1751=F1751,"PASS","FAIL")</x:f>
        <x:v>PASS</x:v>
      </x:c>
    </x:row>
    <x:row r="1752" ht="18" customHeight="1">
      <x:c r="B1752" s="27" t="str">
        <x:v>A1746</x:v>
      </x:c>
      <x:c r="C1752" s="27" t="str">
        <x:v>acceptance</x:v>
      </x:c>
      <x:c r="D1752" s="27" t="str">
        <x:v>Acceptance row 76 decision hold</x:v>
      </x:c>
      <x:c r="E1752" s="27" t="n">
        <x:f>IF('Acceptance Register'!L76="HOLD",1,0)</x:f>
        <x:v>1</x:v>
      </x:c>
      <x:c r="F1752" s="27" t="n">
        <x:v>1</x:v>
      </x:c>
      <x:c r="G1752" s="29" t="str">
        <x:f>IF(E1752=F1752,"PASS","FAIL")</x:f>
        <x:v>PASS</x:v>
      </x:c>
    </x:row>
    <x:row r="1753" ht="18" customHeight="1">
      <x:c r="B1753" s="27" t="str">
        <x:v>A1747</x:v>
      </x:c>
      <x:c r="C1753" s="27" t="str">
        <x:v>acceptance</x:v>
      </x:c>
      <x:c r="D1753" s="27" t="str">
        <x:v>Acceptance row 76 zero credit</x:v>
      </x:c>
      <x:c r="E1753" s="27" t="n">
        <x:f>IF('Acceptance Register'!M76=0,1,0)</x:f>
        <x:v>1</x:v>
      </x:c>
      <x:c r="F1753" s="27" t="n">
        <x:v>1</x:v>
      </x:c>
      <x:c r="G1753" s="29" t="str">
        <x:f>IF(E1753=F1753,"PASS","FAIL")</x:f>
        <x:v>PASS</x:v>
      </x:c>
    </x:row>
    <x:row r="1754" ht="18" customHeight="1">
      <x:c r="B1754" s="27" t="str">
        <x:v>A1748</x:v>
      </x:c>
      <x:c r="C1754" s="27" t="str">
        <x:v>acceptance</x:v>
      </x:c>
      <x:c r="D1754" s="27" t="str">
        <x:v>Acceptance row 77 method present</x:v>
      </x:c>
      <x:c r="E1754" s="27" t="n">
        <x:f>IF('Acceptance Register'!G77&lt;&gt;"",1,0)</x:f>
        <x:v>1</x:v>
      </x:c>
      <x:c r="F1754" s="27" t="n">
        <x:v>1</x:v>
      </x:c>
      <x:c r="G1754" s="29" t="str">
        <x:f>IF(E1754=F1754,"PASS","FAIL")</x:f>
        <x:v>PASS</x:v>
      </x:c>
    </x:row>
    <x:row r="1755" ht="18" customHeight="1">
      <x:c r="B1755" s="27" t="str">
        <x:v>A1749</x:v>
      </x:c>
      <x:c r="C1755" s="27" t="str">
        <x:v>acceptance</x:v>
      </x:c>
      <x:c r="D1755" s="27" t="str">
        <x:v>Acceptance row 77 threshold present</x:v>
      </x:c>
      <x:c r="E1755" s="27" t="n">
        <x:f>IF('Acceptance Register'!H77&lt;&gt;"",1,0)</x:f>
        <x:v>1</x:v>
      </x:c>
      <x:c r="F1755" s="27" t="n">
        <x:v>1</x:v>
      </x:c>
      <x:c r="G1755" s="29" t="str">
        <x:f>IF(E1755=F1755,"PASS","FAIL")</x:f>
        <x:v>PASS</x:v>
      </x:c>
    </x:row>
    <x:row r="1756" ht="18" customHeight="1">
      <x:c r="B1756" s="27" t="str">
        <x:v>A1750</x:v>
      </x:c>
      <x:c r="C1756" s="27" t="str">
        <x:v>acceptance</x:v>
      </x:c>
      <x:c r="D1756" s="27" t="str">
        <x:v>Acceptance row 77 evidence open</x:v>
      </x:c>
      <x:c r="E1756" s="27" t="n">
        <x:f>IF('Acceptance Register'!K77="OPEN",1,0)</x:f>
        <x:v>1</x:v>
      </x:c>
      <x:c r="F1756" s="27" t="n">
        <x:v>1</x:v>
      </x:c>
      <x:c r="G1756" s="29" t="str">
        <x:f>IF(E1756=F1756,"PASS","FAIL")</x:f>
        <x:v>PASS</x:v>
      </x:c>
    </x:row>
    <x:row r="1757" ht="18" customHeight="1">
      <x:c r="B1757" s="27" t="str">
        <x:v>A1751</x:v>
      </x:c>
      <x:c r="C1757" s="27" t="str">
        <x:v>acceptance</x:v>
      </x:c>
      <x:c r="D1757" s="27" t="str">
        <x:v>Acceptance row 77 decision hold</x:v>
      </x:c>
      <x:c r="E1757" s="27" t="n">
        <x:f>IF('Acceptance Register'!L77="HOLD",1,0)</x:f>
        <x:v>1</x:v>
      </x:c>
      <x:c r="F1757" s="27" t="n">
        <x:v>1</x:v>
      </x:c>
      <x:c r="G1757" s="29" t="str">
        <x:f>IF(E1757=F1757,"PASS","FAIL")</x:f>
        <x:v>PASS</x:v>
      </x:c>
    </x:row>
    <x:row r="1758" ht="18" customHeight="1">
      <x:c r="B1758" s="27" t="str">
        <x:v>A1752</x:v>
      </x:c>
      <x:c r="C1758" s="27" t="str">
        <x:v>acceptance</x:v>
      </x:c>
      <x:c r="D1758" s="27" t="str">
        <x:v>Acceptance row 77 zero credit</x:v>
      </x:c>
      <x:c r="E1758" s="27" t="n">
        <x:f>IF('Acceptance Register'!M77=0,1,0)</x:f>
        <x:v>1</x:v>
      </x:c>
      <x:c r="F1758" s="27" t="n">
        <x:v>1</x:v>
      </x:c>
      <x:c r="G1758" s="29" t="str">
        <x:f>IF(E1758=F1758,"PASS","FAIL")</x:f>
        <x:v>PASS</x:v>
      </x:c>
    </x:row>
    <x:row r="1759" ht="18" customHeight="1">
      <x:c r="B1759" s="27" t="str">
        <x:v>A1753</x:v>
      </x:c>
      <x:c r="C1759" s="27" t="str">
        <x:v>acceptance</x:v>
      </x:c>
      <x:c r="D1759" s="27" t="str">
        <x:v>Acceptance row 78 method present</x:v>
      </x:c>
      <x:c r="E1759" s="27" t="n">
        <x:f>IF('Acceptance Register'!G78&lt;&gt;"",1,0)</x:f>
        <x:v>1</x:v>
      </x:c>
      <x:c r="F1759" s="27" t="n">
        <x:v>1</x:v>
      </x:c>
      <x:c r="G1759" s="29" t="str">
        <x:f>IF(E1759=F1759,"PASS","FAIL")</x:f>
        <x:v>PASS</x:v>
      </x:c>
    </x:row>
    <x:row r="1760" ht="18" customHeight="1">
      <x:c r="B1760" s="27" t="str">
        <x:v>A1754</x:v>
      </x:c>
      <x:c r="C1760" s="27" t="str">
        <x:v>acceptance</x:v>
      </x:c>
      <x:c r="D1760" s="27" t="str">
        <x:v>Acceptance row 78 threshold present</x:v>
      </x:c>
      <x:c r="E1760" s="27" t="n">
        <x:f>IF('Acceptance Register'!H78&lt;&gt;"",1,0)</x:f>
        <x:v>1</x:v>
      </x:c>
      <x:c r="F1760" s="27" t="n">
        <x:v>1</x:v>
      </x:c>
      <x:c r="G1760" s="29" t="str">
        <x:f>IF(E1760=F1760,"PASS","FAIL")</x:f>
        <x:v>PASS</x:v>
      </x:c>
    </x:row>
    <x:row r="1761" ht="18" customHeight="1">
      <x:c r="B1761" s="27" t="str">
        <x:v>A1755</x:v>
      </x:c>
      <x:c r="C1761" s="27" t="str">
        <x:v>acceptance</x:v>
      </x:c>
      <x:c r="D1761" s="27" t="str">
        <x:v>Acceptance row 78 evidence open</x:v>
      </x:c>
      <x:c r="E1761" s="27" t="n">
        <x:f>IF('Acceptance Register'!K78="OPEN",1,0)</x:f>
        <x:v>1</x:v>
      </x:c>
      <x:c r="F1761" s="27" t="n">
        <x:v>1</x:v>
      </x:c>
      <x:c r="G1761" s="29" t="str">
        <x:f>IF(E1761=F1761,"PASS","FAIL")</x:f>
        <x:v>PASS</x:v>
      </x:c>
    </x:row>
    <x:row r="1762" ht="18" customHeight="1">
      <x:c r="B1762" s="27" t="str">
        <x:v>A1756</x:v>
      </x:c>
      <x:c r="C1762" s="27" t="str">
        <x:v>acceptance</x:v>
      </x:c>
      <x:c r="D1762" s="27" t="str">
        <x:v>Acceptance row 78 decision hold</x:v>
      </x:c>
      <x:c r="E1762" s="27" t="n">
        <x:f>IF('Acceptance Register'!L78="HOLD",1,0)</x:f>
        <x:v>1</x:v>
      </x:c>
      <x:c r="F1762" s="27" t="n">
        <x:v>1</x:v>
      </x:c>
      <x:c r="G1762" s="29" t="str">
        <x:f>IF(E1762=F1762,"PASS","FAIL")</x:f>
        <x:v>PASS</x:v>
      </x:c>
    </x:row>
    <x:row r="1763" ht="18" customHeight="1">
      <x:c r="B1763" s="27" t="str">
        <x:v>A1757</x:v>
      </x:c>
      <x:c r="C1763" s="27" t="str">
        <x:v>acceptance</x:v>
      </x:c>
      <x:c r="D1763" s="27" t="str">
        <x:v>Acceptance row 78 zero credit</x:v>
      </x:c>
      <x:c r="E1763" s="27" t="n">
        <x:f>IF('Acceptance Register'!M78=0,1,0)</x:f>
        <x:v>1</x:v>
      </x:c>
      <x:c r="F1763" s="27" t="n">
        <x:v>1</x:v>
      </x:c>
      <x:c r="G1763" s="29" t="str">
        <x:f>IF(E1763=F1763,"PASS","FAIL")</x:f>
        <x:v>PASS</x:v>
      </x:c>
    </x:row>
    <x:row r="1764" ht="18" customHeight="1">
      <x:c r="B1764" s="27" t="str">
        <x:v>A1758</x:v>
      </x:c>
      <x:c r="C1764" s="27" t="str">
        <x:v>acceptance</x:v>
      </x:c>
      <x:c r="D1764" s="27" t="str">
        <x:v>Acceptance row 79 method present</x:v>
      </x:c>
      <x:c r="E1764" s="27" t="n">
        <x:f>IF('Acceptance Register'!G79&lt;&gt;"",1,0)</x:f>
        <x:v>1</x:v>
      </x:c>
      <x:c r="F1764" s="27" t="n">
        <x:v>1</x:v>
      </x:c>
      <x:c r="G1764" s="29" t="str">
        <x:f>IF(E1764=F1764,"PASS","FAIL")</x:f>
        <x:v>PASS</x:v>
      </x:c>
    </x:row>
    <x:row r="1765" ht="18" customHeight="1">
      <x:c r="B1765" s="27" t="str">
        <x:v>A1759</x:v>
      </x:c>
      <x:c r="C1765" s="27" t="str">
        <x:v>acceptance</x:v>
      </x:c>
      <x:c r="D1765" s="27" t="str">
        <x:v>Acceptance row 79 threshold present</x:v>
      </x:c>
      <x:c r="E1765" s="27" t="n">
        <x:f>IF('Acceptance Register'!H79&lt;&gt;"",1,0)</x:f>
        <x:v>1</x:v>
      </x:c>
      <x:c r="F1765" s="27" t="n">
        <x:v>1</x:v>
      </x:c>
      <x:c r="G1765" s="29" t="str">
        <x:f>IF(E1765=F1765,"PASS","FAIL")</x:f>
        <x:v>PASS</x:v>
      </x:c>
    </x:row>
    <x:row r="1766" ht="18" customHeight="1">
      <x:c r="B1766" s="27" t="str">
        <x:v>A1760</x:v>
      </x:c>
      <x:c r="C1766" s="27" t="str">
        <x:v>acceptance</x:v>
      </x:c>
      <x:c r="D1766" s="27" t="str">
        <x:v>Acceptance row 79 evidence open</x:v>
      </x:c>
      <x:c r="E1766" s="27" t="n">
        <x:f>IF('Acceptance Register'!K79="OPEN",1,0)</x:f>
        <x:v>1</x:v>
      </x:c>
      <x:c r="F1766" s="27" t="n">
        <x:v>1</x:v>
      </x:c>
      <x:c r="G1766" s="29" t="str">
        <x:f>IF(E1766=F1766,"PASS","FAIL")</x:f>
        <x:v>PASS</x:v>
      </x:c>
    </x:row>
    <x:row r="1767" ht="18" customHeight="1">
      <x:c r="B1767" s="27" t="str">
        <x:v>A1761</x:v>
      </x:c>
      <x:c r="C1767" s="27" t="str">
        <x:v>acceptance</x:v>
      </x:c>
      <x:c r="D1767" s="27" t="str">
        <x:v>Acceptance row 79 decision hold</x:v>
      </x:c>
      <x:c r="E1767" s="27" t="n">
        <x:f>IF('Acceptance Register'!L79="HOLD",1,0)</x:f>
        <x:v>1</x:v>
      </x:c>
      <x:c r="F1767" s="27" t="n">
        <x:v>1</x:v>
      </x:c>
      <x:c r="G1767" s="29" t="str">
        <x:f>IF(E1767=F1767,"PASS","FAIL")</x:f>
        <x:v>PASS</x:v>
      </x:c>
    </x:row>
    <x:row r="1768" ht="18" customHeight="1">
      <x:c r="B1768" s="27" t="str">
        <x:v>A1762</x:v>
      </x:c>
      <x:c r="C1768" s="27" t="str">
        <x:v>acceptance</x:v>
      </x:c>
      <x:c r="D1768" s="27" t="str">
        <x:v>Acceptance row 79 zero credit</x:v>
      </x:c>
      <x:c r="E1768" s="27" t="n">
        <x:f>IF('Acceptance Register'!M79=0,1,0)</x:f>
        <x:v>1</x:v>
      </x:c>
      <x:c r="F1768" s="27" t="n">
        <x:v>1</x:v>
      </x:c>
      <x:c r="G1768" s="29" t="str">
        <x:f>IF(E1768=F1768,"PASS","FAIL")</x:f>
        <x:v>PASS</x:v>
      </x:c>
    </x:row>
    <x:row r="1769" ht="18" customHeight="1">
      <x:c r="B1769" s="27" t="str">
        <x:v>A1763</x:v>
      </x:c>
      <x:c r="C1769" s="27" t="str">
        <x:v>acceptance</x:v>
      </x:c>
      <x:c r="D1769" s="27" t="str">
        <x:v>Acceptance row 80 method present</x:v>
      </x:c>
      <x:c r="E1769" s="27" t="n">
        <x:f>IF('Acceptance Register'!G80&lt;&gt;"",1,0)</x:f>
        <x:v>1</x:v>
      </x:c>
      <x:c r="F1769" s="27" t="n">
        <x:v>1</x:v>
      </x:c>
      <x:c r="G1769" s="29" t="str">
        <x:f>IF(E1769=F1769,"PASS","FAIL")</x:f>
        <x:v>PASS</x:v>
      </x:c>
    </x:row>
    <x:row r="1770" ht="18" customHeight="1">
      <x:c r="B1770" s="27" t="str">
        <x:v>A1764</x:v>
      </x:c>
      <x:c r="C1770" s="27" t="str">
        <x:v>acceptance</x:v>
      </x:c>
      <x:c r="D1770" s="27" t="str">
        <x:v>Acceptance row 80 threshold present</x:v>
      </x:c>
      <x:c r="E1770" s="27" t="n">
        <x:f>IF('Acceptance Register'!H80&lt;&gt;"",1,0)</x:f>
        <x:v>1</x:v>
      </x:c>
      <x:c r="F1770" s="27" t="n">
        <x:v>1</x:v>
      </x:c>
      <x:c r="G1770" s="29" t="str">
        <x:f>IF(E1770=F1770,"PASS","FAIL")</x:f>
        <x:v>PASS</x:v>
      </x:c>
    </x:row>
    <x:row r="1771" ht="18" customHeight="1">
      <x:c r="B1771" s="27" t="str">
        <x:v>A1765</x:v>
      </x:c>
      <x:c r="C1771" s="27" t="str">
        <x:v>acceptance</x:v>
      </x:c>
      <x:c r="D1771" s="27" t="str">
        <x:v>Acceptance row 80 evidence open</x:v>
      </x:c>
      <x:c r="E1771" s="27" t="n">
        <x:f>IF('Acceptance Register'!K80="OPEN",1,0)</x:f>
        <x:v>1</x:v>
      </x:c>
      <x:c r="F1771" s="27" t="n">
        <x:v>1</x:v>
      </x:c>
      <x:c r="G1771" s="29" t="str">
        <x:f>IF(E1771=F1771,"PASS","FAIL")</x:f>
        <x:v>PASS</x:v>
      </x:c>
    </x:row>
    <x:row r="1772" ht="18" customHeight="1">
      <x:c r="B1772" s="27" t="str">
        <x:v>A1766</x:v>
      </x:c>
      <x:c r="C1772" s="27" t="str">
        <x:v>acceptance</x:v>
      </x:c>
      <x:c r="D1772" s="27" t="str">
        <x:v>Acceptance row 80 decision hold</x:v>
      </x:c>
      <x:c r="E1772" s="27" t="n">
        <x:f>IF('Acceptance Register'!L80="HOLD",1,0)</x:f>
        <x:v>1</x:v>
      </x:c>
      <x:c r="F1772" s="27" t="n">
        <x:v>1</x:v>
      </x:c>
      <x:c r="G1772" s="29" t="str">
        <x:f>IF(E1772=F1772,"PASS","FAIL")</x:f>
        <x:v>PASS</x:v>
      </x:c>
    </x:row>
    <x:row r="1773" ht="18" customHeight="1">
      <x:c r="B1773" s="27" t="str">
        <x:v>A1767</x:v>
      </x:c>
      <x:c r="C1773" s="27" t="str">
        <x:v>acceptance</x:v>
      </x:c>
      <x:c r="D1773" s="27" t="str">
        <x:v>Acceptance row 80 zero credit</x:v>
      </x:c>
      <x:c r="E1773" s="27" t="n">
        <x:f>IF('Acceptance Register'!M80=0,1,0)</x:f>
        <x:v>1</x:v>
      </x:c>
      <x:c r="F1773" s="27" t="n">
        <x:v>1</x:v>
      </x:c>
      <x:c r="G1773" s="29" t="str">
        <x:f>IF(E1773=F1773,"PASS","FAIL")</x:f>
        <x:v>PASS</x:v>
      </x:c>
    </x:row>
    <x:row r="1774" ht="18" customHeight="1">
      <x:c r="B1774" s="27" t="str">
        <x:v>A1768</x:v>
      </x:c>
      <x:c r="C1774" s="27" t="str">
        <x:v>acceptance</x:v>
      </x:c>
      <x:c r="D1774" s="27" t="str">
        <x:v>Acceptance row 81 method present</x:v>
      </x:c>
      <x:c r="E1774" s="27" t="n">
        <x:f>IF('Acceptance Register'!G81&lt;&gt;"",1,0)</x:f>
        <x:v>1</x:v>
      </x:c>
      <x:c r="F1774" s="27" t="n">
        <x:v>1</x:v>
      </x:c>
      <x:c r="G1774" s="29" t="str">
        <x:f>IF(E1774=F1774,"PASS","FAIL")</x:f>
        <x:v>PASS</x:v>
      </x:c>
    </x:row>
    <x:row r="1775" ht="18" customHeight="1">
      <x:c r="B1775" s="27" t="str">
        <x:v>A1769</x:v>
      </x:c>
      <x:c r="C1775" s="27" t="str">
        <x:v>acceptance</x:v>
      </x:c>
      <x:c r="D1775" s="27" t="str">
        <x:v>Acceptance row 81 threshold present</x:v>
      </x:c>
      <x:c r="E1775" s="27" t="n">
        <x:f>IF('Acceptance Register'!H81&lt;&gt;"",1,0)</x:f>
        <x:v>1</x:v>
      </x:c>
      <x:c r="F1775" s="27" t="n">
        <x:v>1</x:v>
      </x:c>
      <x:c r="G1775" s="29" t="str">
        <x:f>IF(E1775=F1775,"PASS","FAIL")</x:f>
        <x:v>PASS</x:v>
      </x:c>
    </x:row>
    <x:row r="1776" ht="18" customHeight="1">
      <x:c r="B1776" s="27" t="str">
        <x:v>A1770</x:v>
      </x:c>
      <x:c r="C1776" s="27" t="str">
        <x:v>acceptance</x:v>
      </x:c>
      <x:c r="D1776" s="27" t="str">
        <x:v>Acceptance row 81 evidence open</x:v>
      </x:c>
      <x:c r="E1776" s="27" t="n">
        <x:f>IF('Acceptance Register'!K81="OPEN",1,0)</x:f>
        <x:v>1</x:v>
      </x:c>
      <x:c r="F1776" s="27" t="n">
        <x:v>1</x:v>
      </x:c>
      <x:c r="G1776" s="29" t="str">
        <x:f>IF(E1776=F1776,"PASS","FAIL")</x:f>
        <x:v>PASS</x:v>
      </x:c>
    </x:row>
    <x:row r="1777" ht="18" customHeight="1">
      <x:c r="B1777" s="27" t="str">
        <x:v>A1771</x:v>
      </x:c>
      <x:c r="C1777" s="27" t="str">
        <x:v>acceptance</x:v>
      </x:c>
      <x:c r="D1777" s="27" t="str">
        <x:v>Acceptance row 81 decision hold</x:v>
      </x:c>
      <x:c r="E1777" s="27" t="n">
        <x:f>IF('Acceptance Register'!L81="HOLD",1,0)</x:f>
        <x:v>1</x:v>
      </x:c>
      <x:c r="F1777" s="27" t="n">
        <x:v>1</x:v>
      </x:c>
      <x:c r="G1777" s="29" t="str">
        <x:f>IF(E1777=F1777,"PASS","FAIL")</x:f>
        <x:v>PASS</x:v>
      </x:c>
    </x:row>
    <x:row r="1778" ht="18" customHeight="1">
      <x:c r="B1778" s="27" t="str">
        <x:v>A1772</x:v>
      </x:c>
      <x:c r="C1778" s="27" t="str">
        <x:v>acceptance</x:v>
      </x:c>
      <x:c r="D1778" s="27" t="str">
        <x:v>Acceptance row 81 zero credit</x:v>
      </x:c>
      <x:c r="E1778" s="27" t="n">
        <x:f>IF('Acceptance Register'!M81=0,1,0)</x:f>
        <x:v>1</x:v>
      </x:c>
      <x:c r="F1778" s="27" t="n">
        <x:v>1</x:v>
      </x:c>
      <x:c r="G1778" s="29" t="str">
        <x:f>IF(E1778=F1778,"PASS","FAIL")</x:f>
        <x:v>PASS</x:v>
      </x:c>
    </x:row>
    <x:row r="1779" ht="18" customHeight="1">
      <x:c r="B1779" s="27" t="str">
        <x:v>A1773</x:v>
      </x:c>
      <x:c r="C1779" s="27" t="str">
        <x:v>acceptance</x:v>
      </x:c>
      <x:c r="D1779" s="27" t="str">
        <x:v>Acceptance row 82 method present</x:v>
      </x:c>
      <x:c r="E1779" s="27" t="n">
        <x:f>IF('Acceptance Register'!G82&lt;&gt;"",1,0)</x:f>
        <x:v>1</x:v>
      </x:c>
      <x:c r="F1779" s="27" t="n">
        <x:v>1</x:v>
      </x:c>
      <x:c r="G1779" s="29" t="str">
        <x:f>IF(E1779=F1779,"PASS","FAIL")</x:f>
        <x:v>PASS</x:v>
      </x:c>
    </x:row>
    <x:row r="1780" ht="18" customHeight="1">
      <x:c r="B1780" s="27" t="str">
        <x:v>A1774</x:v>
      </x:c>
      <x:c r="C1780" s="27" t="str">
        <x:v>acceptance</x:v>
      </x:c>
      <x:c r="D1780" s="27" t="str">
        <x:v>Acceptance row 82 threshold present</x:v>
      </x:c>
      <x:c r="E1780" s="27" t="n">
        <x:f>IF('Acceptance Register'!H82&lt;&gt;"",1,0)</x:f>
        <x:v>1</x:v>
      </x:c>
      <x:c r="F1780" s="27" t="n">
        <x:v>1</x:v>
      </x:c>
      <x:c r="G1780" s="29" t="str">
        <x:f>IF(E1780=F1780,"PASS","FAIL")</x:f>
        <x:v>PASS</x:v>
      </x:c>
    </x:row>
    <x:row r="1781" ht="18" customHeight="1">
      <x:c r="B1781" s="27" t="str">
        <x:v>A1775</x:v>
      </x:c>
      <x:c r="C1781" s="27" t="str">
        <x:v>acceptance</x:v>
      </x:c>
      <x:c r="D1781" s="27" t="str">
        <x:v>Acceptance row 82 evidence open</x:v>
      </x:c>
      <x:c r="E1781" s="27" t="n">
        <x:f>IF('Acceptance Register'!K82="OPEN",1,0)</x:f>
        <x:v>1</x:v>
      </x:c>
      <x:c r="F1781" s="27" t="n">
        <x:v>1</x:v>
      </x:c>
      <x:c r="G1781" s="29" t="str">
        <x:f>IF(E1781=F1781,"PASS","FAIL")</x:f>
        <x:v>PASS</x:v>
      </x:c>
    </x:row>
    <x:row r="1782" ht="18" customHeight="1">
      <x:c r="B1782" s="27" t="str">
        <x:v>A1776</x:v>
      </x:c>
      <x:c r="C1782" s="27" t="str">
        <x:v>acceptance</x:v>
      </x:c>
      <x:c r="D1782" s="27" t="str">
        <x:v>Acceptance row 82 decision hold</x:v>
      </x:c>
      <x:c r="E1782" s="27" t="n">
        <x:f>IF('Acceptance Register'!L82="HOLD",1,0)</x:f>
        <x:v>1</x:v>
      </x:c>
      <x:c r="F1782" s="27" t="n">
        <x:v>1</x:v>
      </x:c>
      <x:c r="G1782" s="29" t="str">
        <x:f>IF(E1782=F1782,"PASS","FAIL")</x:f>
        <x:v>PASS</x:v>
      </x:c>
    </x:row>
    <x:row r="1783" ht="18" customHeight="1">
      <x:c r="B1783" s="27" t="str">
        <x:v>A1777</x:v>
      </x:c>
      <x:c r="C1783" s="27" t="str">
        <x:v>acceptance</x:v>
      </x:c>
      <x:c r="D1783" s="27" t="str">
        <x:v>Acceptance row 82 zero credit</x:v>
      </x:c>
      <x:c r="E1783" s="27" t="n">
        <x:f>IF('Acceptance Register'!M82=0,1,0)</x:f>
        <x:v>1</x:v>
      </x:c>
      <x:c r="F1783" s="27" t="n">
        <x:v>1</x:v>
      </x:c>
      <x:c r="G1783" s="29" t="str">
        <x:f>IF(E1783=F1783,"PASS","FAIL")</x:f>
        <x:v>PASS</x:v>
      </x:c>
    </x:row>
    <x:row r="1784" ht="18" customHeight="1">
      <x:c r="B1784" s="27" t="str">
        <x:v>A1778</x:v>
      </x:c>
      <x:c r="C1784" s="27" t="str">
        <x:v>acceptance</x:v>
      </x:c>
      <x:c r="D1784" s="27" t="str">
        <x:v>Acceptance row 83 method present</x:v>
      </x:c>
      <x:c r="E1784" s="27" t="n">
        <x:f>IF('Acceptance Register'!G83&lt;&gt;"",1,0)</x:f>
        <x:v>1</x:v>
      </x:c>
      <x:c r="F1784" s="27" t="n">
        <x:v>1</x:v>
      </x:c>
      <x:c r="G1784" s="29" t="str">
        <x:f>IF(E1784=F1784,"PASS","FAIL")</x:f>
        <x:v>PASS</x:v>
      </x:c>
    </x:row>
    <x:row r="1785" ht="18" customHeight="1">
      <x:c r="B1785" s="27" t="str">
        <x:v>A1779</x:v>
      </x:c>
      <x:c r="C1785" s="27" t="str">
        <x:v>acceptance</x:v>
      </x:c>
      <x:c r="D1785" s="27" t="str">
        <x:v>Acceptance row 83 threshold present</x:v>
      </x:c>
      <x:c r="E1785" s="27" t="n">
        <x:f>IF('Acceptance Register'!H83&lt;&gt;"",1,0)</x:f>
        <x:v>1</x:v>
      </x:c>
      <x:c r="F1785" s="27" t="n">
        <x:v>1</x:v>
      </x:c>
      <x:c r="G1785" s="29" t="str">
        <x:f>IF(E1785=F1785,"PASS","FAIL")</x:f>
        <x:v>PASS</x:v>
      </x:c>
    </x:row>
    <x:row r="1786" ht="18" customHeight="1">
      <x:c r="B1786" s="27" t="str">
        <x:v>A1780</x:v>
      </x:c>
      <x:c r="C1786" s="27" t="str">
        <x:v>acceptance</x:v>
      </x:c>
      <x:c r="D1786" s="27" t="str">
        <x:v>Acceptance row 83 evidence open</x:v>
      </x:c>
      <x:c r="E1786" s="27" t="n">
        <x:f>IF('Acceptance Register'!K83="OPEN",1,0)</x:f>
        <x:v>1</x:v>
      </x:c>
      <x:c r="F1786" s="27" t="n">
        <x:v>1</x:v>
      </x:c>
      <x:c r="G1786" s="29" t="str">
        <x:f>IF(E1786=F1786,"PASS","FAIL")</x:f>
        <x:v>PASS</x:v>
      </x:c>
    </x:row>
    <x:row r="1787" ht="18" customHeight="1">
      <x:c r="B1787" s="27" t="str">
        <x:v>A1781</x:v>
      </x:c>
      <x:c r="C1787" s="27" t="str">
        <x:v>acceptance</x:v>
      </x:c>
      <x:c r="D1787" s="27" t="str">
        <x:v>Acceptance row 83 decision hold</x:v>
      </x:c>
      <x:c r="E1787" s="27" t="n">
        <x:f>IF('Acceptance Register'!L83="HOLD",1,0)</x:f>
        <x:v>1</x:v>
      </x:c>
      <x:c r="F1787" s="27" t="n">
        <x:v>1</x:v>
      </x:c>
      <x:c r="G1787" s="29" t="str">
        <x:f>IF(E1787=F1787,"PASS","FAIL")</x:f>
        <x:v>PASS</x:v>
      </x:c>
    </x:row>
    <x:row r="1788" ht="18" customHeight="1">
      <x:c r="B1788" s="27" t="str">
        <x:v>A1782</x:v>
      </x:c>
      <x:c r="C1788" s="27" t="str">
        <x:v>acceptance</x:v>
      </x:c>
      <x:c r="D1788" s="27" t="str">
        <x:v>Acceptance row 83 zero credit</x:v>
      </x:c>
      <x:c r="E1788" s="27" t="n">
        <x:f>IF('Acceptance Register'!M83=0,1,0)</x:f>
        <x:v>1</x:v>
      </x:c>
      <x:c r="F1788" s="27" t="n">
        <x:v>1</x:v>
      </x:c>
      <x:c r="G1788" s="29" t="str">
        <x:f>IF(E1788=F1788,"PASS","FAIL")</x:f>
        <x:v>PASS</x:v>
      </x:c>
    </x:row>
    <x:row r="1789" ht="18" customHeight="1">
      <x:c r="B1789" s="27" t="str">
        <x:v>A1783</x:v>
      </x:c>
      <x:c r="C1789" s="27" t="str">
        <x:v>acceptance</x:v>
      </x:c>
      <x:c r="D1789" s="27" t="str">
        <x:v>Acceptance row 84 method present</x:v>
      </x:c>
      <x:c r="E1789" s="27" t="n">
        <x:f>IF('Acceptance Register'!G84&lt;&gt;"",1,0)</x:f>
        <x:v>1</x:v>
      </x:c>
      <x:c r="F1789" s="27" t="n">
        <x:v>1</x:v>
      </x:c>
      <x:c r="G1789" s="29" t="str">
        <x:f>IF(E1789=F1789,"PASS","FAIL")</x:f>
        <x:v>PASS</x:v>
      </x:c>
    </x:row>
    <x:row r="1790" ht="18" customHeight="1">
      <x:c r="B1790" s="27" t="str">
        <x:v>A1784</x:v>
      </x:c>
      <x:c r="C1790" s="27" t="str">
        <x:v>acceptance</x:v>
      </x:c>
      <x:c r="D1790" s="27" t="str">
        <x:v>Acceptance row 84 threshold present</x:v>
      </x:c>
      <x:c r="E1790" s="27" t="n">
        <x:f>IF('Acceptance Register'!H84&lt;&gt;"",1,0)</x:f>
        <x:v>1</x:v>
      </x:c>
      <x:c r="F1790" s="27" t="n">
        <x:v>1</x:v>
      </x:c>
      <x:c r="G1790" s="29" t="str">
        <x:f>IF(E1790=F1790,"PASS","FAIL")</x:f>
        <x:v>PASS</x:v>
      </x:c>
    </x:row>
    <x:row r="1791" ht="18" customHeight="1">
      <x:c r="B1791" s="27" t="str">
        <x:v>A1785</x:v>
      </x:c>
      <x:c r="C1791" s="27" t="str">
        <x:v>acceptance</x:v>
      </x:c>
      <x:c r="D1791" s="27" t="str">
        <x:v>Acceptance row 84 evidence open</x:v>
      </x:c>
      <x:c r="E1791" s="27" t="n">
        <x:f>IF('Acceptance Register'!K84="OPEN",1,0)</x:f>
        <x:v>1</x:v>
      </x:c>
      <x:c r="F1791" s="27" t="n">
        <x:v>1</x:v>
      </x:c>
      <x:c r="G1791" s="29" t="str">
        <x:f>IF(E1791=F1791,"PASS","FAIL")</x:f>
        <x:v>PASS</x:v>
      </x:c>
    </x:row>
    <x:row r="1792" ht="18" customHeight="1">
      <x:c r="B1792" s="27" t="str">
        <x:v>A1786</x:v>
      </x:c>
      <x:c r="C1792" s="27" t="str">
        <x:v>acceptance</x:v>
      </x:c>
      <x:c r="D1792" s="27" t="str">
        <x:v>Acceptance row 84 decision hold</x:v>
      </x:c>
      <x:c r="E1792" s="27" t="n">
        <x:f>IF('Acceptance Register'!L84="HOLD",1,0)</x:f>
        <x:v>1</x:v>
      </x:c>
      <x:c r="F1792" s="27" t="n">
        <x:v>1</x:v>
      </x:c>
      <x:c r="G1792" s="29" t="str">
        <x:f>IF(E1792=F1792,"PASS","FAIL")</x:f>
        <x:v>PASS</x:v>
      </x:c>
    </x:row>
    <x:row r="1793" ht="18" customHeight="1">
      <x:c r="B1793" s="27" t="str">
        <x:v>A1787</x:v>
      </x:c>
      <x:c r="C1793" s="27" t="str">
        <x:v>acceptance</x:v>
      </x:c>
      <x:c r="D1793" s="27" t="str">
        <x:v>Acceptance row 84 zero credit</x:v>
      </x:c>
      <x:c r="E1793" s="27" t="n">
        <x:f>IF('Acceptance Register'!M84=0,1,0)</x:f>
        <x:v>1</x:v>
      </x:c>
      <x:c r="F1793" s="27" t="n">
        <x:v>1</x:v>
      </x:c>
      <x:c r="G1793" s="29" t="str">
        <x:f>IF(E1793=F1793,"PASS","FAIL")</x:f>
        <x:v>PASS</x:v>
      </x:c>
    </x:row>
    <x:row r="1794" ht="18" customHeight="1">
      <x:c r="B1794" s="27" t="str">
        <x:v>A1788</x:v>
      </x:c>
      <x:c r="C1794" s="27" t="str">
        <x:v>acceptance</x:v>
      </x:c>
      <x:c r="D1794" s="27" t="str">
        <x:v>Acceptance row 85 method present</x:v>
      </x:c>
      <x:c r="E1794" s="27" t="n">
        <x:f>IF('Acceptance Register'!G85&lt;&gt;"",1,0)</x:f>
        <x:v>1</x:v>
      </x:c>
      <x:c r="F1794" s="27" t="n">
        <x:v>1</x:v>
      </x:c>
      <x:c r="G1794" s="29" t="str">
        <x:f>IF(E1794=F1794,"PASS","FAIL")</x:f>
        <x:v>PASS</x:v>
      </x:c>
    </x:row>
    <x:row r="1795" ht="18" customHeight="1">
      <x:c r="B1795" s="27" t="str">
        <x:v>A1789</x:v>
      </x:c>
      <x:c r="C1795" s="27" t="str">
        <x:v>acceptance</x:v>
      </x:c>
      <x:c r="D1795" s="27" t="str">
        <x:v>Acceptance row 85 threshold present</x:v>
      </x:c>
      <x:c r="E1795" s="27" t="n">
        <x:f>IF('Acceptance Register'!H85&lt;&gt;"",1,0)</x:f>
        <x:v>1</x:v>
      </x:c>
      <x:c r="F1795" s="27" t="n">
        <x:v>1</x:v>
      </x:c>
      <x:c r="G1795" s="29" t="str">
        <x:f>IF(E1795=F1795,"PASS","FAIL")</x:f>
        <x:v>PASS</x:v>
      </x:c>
    </x:row>
    <x:row r="1796" ht="18" customHeight="1">
      <x:c r="B1796" s="27" t="str">
        <x:v>A1790</x:v>
      </x:c>
      <x:c r="C1796" s="27" t="str">
        <x:v>acceptance</x:v>
      </x:c>
      <x:c r="D1796" s="27" t="str">
        <x:v>Acceptance row 85 evidence open</x:v>
      </x:c>
      <x:c r="E1796" s="27" t="n">
        <x:f>IF('Acceptance Register'!K85="OPEN",1,0)</x:f>
        <x:v>1</x:v>
      </x:c>
      <x:c r="F1796" s="27" t="n">
        <x:v>1</x:v>
      </x:c>
      <x:c r="G1796" s="29" t="str">
        <x:f>IF(E1796=F1796,"PASS","FAIL")</x:f>
        <x:v>PASS</x:v>
      </x:c>
    </x:row>
    <x:row r="1797" ht="18" customHeight="1">
      <x:c r="B1797" s="27" t="str">
        <x:v>A1791</x:v>
      </x:c>
      <x:c r="C1797" s="27" t="str">
        <x:v>acceptance</x:v>
      </x:c>
      <x:c r="D1797" s="27" t="str">
        <x:v>Acceptance row 85 decision hold</x:v>
      </x:c>
      <x:c r="E1797" s="27" t="n">
        <x:f>IF('Acceptance Register'!L85="HOLD",1,0)</x:f>
        <x:v>1</x:v>
      </x:c>
      <x:c r="F1797" s="27" t="n">
        <x:v>1</x:v>
      </x:c>
      <x:c r="G1797" s="29" t="str">
        <x:f>IF(E1797=F1797,"PASS","FAIL")</x:f>
        <x:v>PASS</x:v>
      </x:c>
    </x:row>
    <x:row r="1798" ht="18" customHeight="1">
      <x:c r="B1798" s="27" t="str">
        <x:v>A1792</x:v>
      </x:c>
      <x:c r="C1798" s="27" t="str">
        <x:v>acceptance</x:v>
      </x:c>
      <x:c r="D1798" s="27" t="str">
        <x:v>Acceptance row 85 zero credit</x:v>
      </x:c>
      <x:c r="E1798" s="27" t="n">
        <x:f>IF('Acceptance Register'!M85=0,1,0)</x:f>
        <x:v>1</x:v>
      </x:c>
      <x:c r="F1798" s="27" t="n">
        <x:v>1</x:v>
      </x:c>
      <x:c r="G1798" s="29" t="str">
        <x:f>IF(E1798=F1798,"PASS","FAIL")</x:f>
        <x:v>PASS</x:v>
      </x:c>
    </x:row>
    <x:row r="1799" ht="18" customHeight="1">
      <x:c r="B1799" s="27" t="str">
        <x:v>A1793</x:v>
      </x:c>
      <x:c r="C1799" s="27" t="str">
        <x:v>acceptance</x:v>
      </x:c>
      <x:c r="D1799" s="27" t="str">
        <x:v>Acceptance row 86 method present</x:v>
      </x:c>
      <x:c r="E1799" s="27" t="n">
        <x:f>IF('Acceptance Register'!G86&lt;&gt;"",1,0)</x:f>
        <x:v>1</x:v>
      </x:c>
      <x:c r="F1799" s="27" t="n">
        <x:v>1</x:v>
      </x:c>
      <x:c r="G1799" s="29" t="str">
        <x:f>IF(E1799=F1799,"PASS","FAIL")</x:f>
        <x:v>PASS</x:v>
      </x:c>
    </x:row>
    <x:row r="1800" ht="18" customHeight="1">
      <x:c r="B1800" s="27" t="str">
        <x:v>A1794</x:v>
      </x:c>
      <x:c r="C1800" s="27" t="str">
        <x:v>acceptance</x:v>
      </x:c>
      <x:c r="D1800" s="27" t="str">
        <x:v>Acceptance row 86 threshold present</x:v>
      </x:c>
      <x:c r="E1800" s="27" t="n">
        <x:f>IF('Acceptance Register'!H86&lt;&gt;"",1,0)</x:f>
        <x:v>1</x:v>
      </x:c>
      <x:c r="F1800" s="27" t="n">
        <x:v>1</x:v>
      </x:c>
      <x:c r="G1800" s="29" t="str">
        <x:f>IF(E1800=F1800,"PASS","FAIL")</x:f>
        <x:v>PASS</x:v>
      </x:c>
    </x:row>
    <x:row r="1801" ht="18" customHeight="1">
      <x:c r="B1801" s="27" t="str">
        <x:v>A1795</x:v>
      </x:c>
      <x:c r="C1801" s="27" t="str">
        <x:v>acceptance</x:v>
      </x:c>
      <x:c r="D1801" s="27" t="str">
        <x:v>Acceptance row 86 evidence open</x:v>
      </x:c>
      <x:c r="E1801" s="27" t="n">
        <x:f>IF('Acceptance Register'!K86="OPEN",1,0)</x:f>
        <x:v>1</x:v>
      </x:c>
      <x:c r="F1801" s="27" t="n">
        <x:v>1</x:v>
      </x:c>
      <x:c r="G1801" s="29" t="str">
        <x:f>IF(E1801=F1801,"PASS","FAIL")</x:f>
        <x:v>PASS</x:v>
      </x:c>
    </x:row>
    <x:row r="1802" ht="18" customHeight="1">
      <x:c r="B1802" s="27" t="str">
        <x:v>A1796</x:v>
      </x:c>
      <x:c r="C1802" s="27" t="str">
        <x:v>acceptance</x:v>
      </x:c>
      <x:c r="D1802" s="27" t="str">
        <x:v>Acceptance row 86 decision hold</x:v>
      </x:c>
      <x:c r="E1802" s="27" t="n">
        <x:f>IF('Acceptance Register'!L86="HOLD",1,0)</x:f>
        <x:v>1</x:v>
      </x:c>
      <x:c r="F1802" s="27" t="n">
        <x:v>1</x:v>
      </x:c>
      <x:c r="G1802" s="29" t="str">
        <x:f>IF(E1802=F1802,"PASS","FAIL")</x:f>
        <x:v>PASS</x:v>
      </x:c>
    </x:row>
    <x:row r="1803" ht="18" customHeight="1">
      <x:c r="B1803" s="27" t="str">
        <x:v>A1797</x:v>
      </x:c>
      <x:c r="C1803" s="27" t="str">
        <x:v>acceptance</x:v>
      </x:c>
      <x:c r="D1803" s="27" t="str">
        <x:v>Acceptance row 86 zero credit</x:v>
      </x:c>
      <x:c r="E1803" s="27" t="n">
        <x:f>IF('Acceptance Register'!M86=0,1,0)</x:f>
        <x:v>1</x:v>
      </x:c>
      <x:c r="F1803" s="27" t="n">
        <x:v>1</x:v>
      </x:c>
      <x:c r="G1803" s="29" t="str">
        <x:f>IF(E1803=F1803,"PASS","FAIL")</x:f>
        <x:v>PASS</x:v>
      </x:c>
    </x:row>
    <x:row r="1804" ht="18" customHeight="1">
      <x:c r="B1804" s="27" t="str">
        <x:v>A1798</x:v>
      </x:c>
      <x:c r="C1804" s="27" t="str">
        <x:v>acceptance</x:v>
      </x:c>
      <x:c r="D1804" s="27" t="str">
        <x:v>Acceptance row 87 method present</x:v>
      </x:c>
      <x:c r="E1804" s="27" t="n">
        <x:f>IF('Acceptance Register'!G87&lt;&gt;"",1,0)</x:f>
        <x:v>1</x:v>
      </x:c>
      <x:c r="F1804" s="27" t="n">
        <x:v>1</x:v>
      </x:c>
      <x:c r="G1804" s="29" t="str">
        <x:f>IF(E1804=F1804,"PASS","FAIL")</x:f>
        <x:v>PASS</x:v>
      </x:c>
    </x:row>
    <x:row r="1805" ht="18" customHeight="1">
      <x:c r="B1805" s="27" t="str">
        <x:v>A1799</x:v>
      </x:c>
      <x:c r="C1805" s="27" t="str">
        <x:v>acceptance</x:v>
      </x:c>
      <x:c r="D1805" s="27" t="str">
        <x:v>Acceptance row 87 threshold present</x:v>
      </x:c>
      <x:c r="E1805" s="27" t="n">
        <x:f>IF('Acceptance Register'!H87&lt;&gt;"",1,0)</x:f>
        <x:v>1</x:v>
      </x:c>
      <x:c r="F1805" s="27" t="n">
        <x:v>1</x:v>
      </x:c>
      <x:c r="G1805" s="29" t="str">
        <x:f>IF(E1805=F1805,"PASS","FAIL")</x:f>
        <x:v>PASS</x:v>
      </x:c>
    </x:row>
    <x:row r="1806" ht="18" customHeight="1">
      <x:c r="B1806" s="27" t="str">
        <x:v>A1800</x:v>
      </x:c>
      <x:c r="C1806" s="27" t="str">
        <x:v>acceptance</x:v>
      </x:c>
      <x:c r="D1806" s="27" t="str">
        <x:v>Acceptance row 87 evidence open</x:v>
      </x:c>
      <x:c r="E1806" s="27" t="n">
        <x:f>IF('Acceptance Register'!K87="OPEN",1,0)</x:f>
        <x:v>1</x:v>
      </x:c>
      <x:c r="F1806" s="27" t="n">
        <x:v>1</x:v>
      </x:c>
      <x:c r="G1806" s="29" t="str">
        <x:f>IF(E1806=F1806,"PASS","FAIL")</x:f>
        <x:v>PASS</x:v>
      </x:c>
    </x:row>
    <x:row r="1807" ht="18" customHeight="1">
      <x:c r="B1807" s="27" t="str">
        <x:v>A1801</x:v>
      </x:c>
      <x:c r="C1807" s="27" t="str">
        <x:v>acceptance</x:v>
      </x:c>
      <x:c r="D1807" s="27" t="str">
        <x:v>Acceptance row 87 decision hold</x:v>
      </x:c>
      <x:c r="E1807" s="27" t="n">
        <x:f>IF('Acceptance Register'!L87="HOLD",1,0)</x:f>
        <x:v>1</x:v>
      </x:c>
      <x:c r="F1807" s="27" t="n">
        <x:v>1</x:v>
      </x:c>
      <x:c r="G1807" s="29" t="str">
        <x:f>IF(E1807=F1807,"PASS","FAIL")</x:f>
        <x:v>PASS</x:v>
      </x:c>
    </x:row>
    <x:row r="1808" ht="18" customHeight="1">
      <x:c r="B1808" s="27" t="str">
        <x:v>A1802</x:v>
      </x:c>
      <x:c r="C1808" s="27" t="str">
        <x:v>acceptance</x:v>
      </x:c>
      <x:c r="D1808" s="27" t="str">
        <x:v>Acceptance row 87 zero credit</x:v>
      </x:c>
      <x:c r="E1808" s="27" t="n">
        <x:f>IF('Acceptance Register'!M87=0,1,0)</x:f>
        <x:v>1</x:v>
      </x:c>
      <x:c r="F1808" s="27" t="n">
        <x:v>1</x:v>
      </x:c>
      <x:c r="G1808" s="29" t="str">
        <x:f>IF(E1808=F1808,"PASS","FAIL")</x:f>
        <x:v>PASS</x:v>
      </x:c>
    </x:row>
    <x:row r="1809" ht="18" customHeight="1">
      <x:c r="B1809" s="27" t="str">
        <x:v>A1803</x:v>
      </x:c>
      <x:c r="C1809" s="27" t="str">
        <x:v>acceptance</x:v>
      </x:c>
      <x:c r="D1809" s="27" t="str">
        <x:v>Acceptance row 88 method present</x:v>
      </x:c>
      <x:c r="E1809" s="27" t="n">
        <x:f>IF('Acceptance Register'!G88&lt;&gt;"",1,0)</x:f>
        <x:v>1</x:v>
      </x:c>
      <x:c r="F1809" s="27" t="n">
        <x:v>1</x:v>
      </x:c>
      <x:c r="G1809" s="29" t="str">
        <x:f>IF(E1809=F1809,"PASS","FAIL")</x:f>
        <x:v>PASS</x:v>
      </x:c>
    </x:row>
    <x:row r="1810" ht="18" customHeight="1">
      <x:c r="B1810" s="27" t="str">
        <x:v>A1804</x:v>
      </x:c>
      <x:c r="C1810" s="27" t="str">
        <x:v>acceptance</x:v>
      </x:c>
      <x:c r="D1810" s="27" t="str">
        <x:v>Acceptance row 88 threshold present</x:v>
      </x:c>
      <x:c r="E1810" s="27" t="n">
        <x:f>IF('Acceptance Register'!H88&lt;&gt;"",1,0)</x:f>
        <x:v>1</x:v>
      </x:c>
      <x:c r="F1810" s="27" t="n">
        <x:v>1</x:v>
      </x:c>
      <x:c r="G1810" s="29" t="str">
        <x:f>IF(E1810=F1810,"PASS","FAIL")</x:f>
        <x:v>PASS</x:v>
      </x:c>
    </x:row>
    <x:row r="1811" ht="18" customHeight="1">
      <x:c r="B1811" s="27" t="str">
        <x:v>A1805</x:v>
      </x:c>
      <x:c r="C1811" s="27" t="str">
        <x:v>acceptance</x:v>
      </x:c>
      <x:c r="D1811" s="27" t="str">
        <x:v>Acceptance row 88 evidence open</x:v>
      </x:c>
      <x:c r="E1811" s="27" t="n">
        <x:f>IF('Acceptance Register'!K88="OPEN",1,0)</x:f>
        <x:v>1</x:v>
      </x:c>
      <x:c r="F1811" s="27" t="n">
        <x:v>1</x:v>
      </x:c>
      <x:c r="G1811" s="29" t="str">
        <x:f>IF(E1811=F1811,"PASS","FAIL")</x:f>
        <x:v>PASS</x:v>
      </x:c>
    </x:row>
    <x:row r="1812" ht="18" customHeight="1">
      <x:c r="B1812" s="27" t="str">
        <x:v>A1806</x:v>
      </x:c>
      <x:c r="C1812" s="27" t="str">
        <x:v>acceptance</x:v>
      </x:c>
      <x:c r="D1812" s="27" t="str">
        <x:v>Acceptance row 88 decision hold</x:v>
      </x:c>
      <x:c r="E1812" s="27" t="n">
        <x:f>IF('Acceptance Register'!L88="HOLD",1,0)</x:f>
        <x:v>1</x:v>
      </x:c>
      <x:c r="F1812" s="27" t="n">
        <x:v>1</x:v>
      </x:c>
      <x:c r="G1812" s="29" t="str">
        <x:f>IF(E1812=F1812,"PASS","FAIL")</x:f>
        <x:v>PASS</x:v>
      </x:c>
    </x:row>
    <x:row r="1813" ht="18" customHeight="1">
      <x:c r="B1813" s="27" t="str">
        <x:v>A1807</x:v>
      </x:c>
      <x:c r="C1813" s="27" t="str">
        <x:v>acceptance</x:v>
      </x:c>
      <x:c r="D1813" s="27" t="str">
        <x:v>Acceptance row 88 zero credit</x:v>
      </x:c>
      <x:c r="E1813" s="27" t="n">
        <x:f>IF('Acceptance Register'!M88=0,1,0)</x:f>
        <x:v>1</x:v>
      </x:c>
      <x:c r="F1813" s="27" t="n">
        <x:v>1</x:v>
      </x:c>
      <x:c r="G1813" s="29" t="str">
        <x:f>IF(E1813=F1813,"PASS","FAIL")</x:f>
        <x:v>PASS</x:v>
      </x:c>
    </x:row>
    <x:row r="1814" ht="18" customHeight="1">
      <x:c r="B1814" s="27" t="str">
        <x:v>A1808</x:v>
      </x:c>
      <x:c r="C1814" s="27" t="str">
        <x:v>acceptance</x:v>
      </x:c>
      <x:c r="D1814" s="27" t="str">
        <x:v>Acceptance row 89 method present</x:v>
      </x:c>
      <x:c r="E1814" s="27" t="n">
        <x:f>IF('Acceptance Register'!G89&lt;&gt;"",1,0)</x:f>
        <x:v>1</x:v>
      </x:c>
      <x:c r="F1814" s="27" t="n">
        <x:v>1</x:v>
      </x:c>
      <x:c r="G1814" s="29" t="str">
        <x:f>IF(E1814=F1814,"PASS","FAIL")</x:f>
        <x:v>PASS</x:v>
      </x:c>
    </x:row>
    <x:row r="1815" ht="18" customHeight="1">
      <x:c r="B1815" s="27" t="str">
        <x:v>A1809</x:v>
      </x:c>
      <x:c r="C1815" s="27" t="str">
        <x:v>acceptance</x:v>
      </x:c>
      <x:c r="D1815" s="27" t="str">
        <x:v>Acceptance row 89 threshold present</x:v>
      </x:c>
      <x:c r="E1815" s="27" t="n">
        <x:f>IF('Acceptance Register'!H89&lt;&gt;"",1,0)</x:f>
        <x:v>1</x:v>
      </x:c>
      <x:c r="F1815" s="27" t="n">
        <x:v>1</x:v>
      </x:c>
      <x:c r="G1815" s="29" t="str">
        <x:f>IF(E1815=F1815,"PASS","FAIL")</x:f>
        <x:v>PASS</x:v>
      </x:c>
    </x:row>
    <x:row r="1816" ht="18" customHeight="1">
      <x:c r="B1816" s="27" t="str">
        <x:v>A1810</x:v>
      </x:c>
      <x:c r="C1816" s="27" t="str">
        <x:v>acceptance</x:v>
      </x:c>
      <x:c r="D1816" s="27" t="str">
        <x:v>Acceptance row 89 evidence open</x:v>
      </x:c>
      <x:c r="E1816" s="27" t="n">
        <x:f>IF('Acceptance Register'!K89="OPEN",1,0)</x:f>
        <x:v>1</x:v>
      </x:c>
      <x:c r="F1816" s="27" t="n">
        <x:v>1</x:v>
      </x:c>
      <x:c r="G1816" s="29" t="str">
        <x:f>IF(E1816=F1816,"PASS","FAIL")</x:f>
        <x:v>PASS</x:v>
      </x:c>
    </x:row>
    <x:row r="1817" ht="18" customHeight="1">
      <x:c r="B1817" s="27" t="str">
        <x:v>A1811</x:v>
      </x:c>
      <x:c r="C1817" s="27" t="str">
        <x:v>acceptance</x:v>
      </x:c>
      <x:c r="D1817" s="27" t="str">
        <x:v>Acceptance row 89 decision hold</x:v>
      </x:c>
      <x:c r="E1817" s="27" t="n">
        <x:f>IF('Acceptance Register'!L89="HOLD",1,0)</x:f>
        <x:v>1</x:v>
      </x:c>
      <x:c r="F1817" s="27" t="n">
        <x:v>1</x:v>
      </x:c>
      <x:c r="G1817" s="29" t="str">
        <x:f>IF(E1817=F1817,"PASS","FAIL")</x:f>
        <x:v>PASS</x:v>
      </x:c>
    </x:row>
    <x:row r="1818" ht="18" customHeight="1">
      <x:c r="B1818" s="27" t="str">
        <x:v>A1812</x:v>
      </x:c>
      <x:c r="C1818" s="27" t="str">
        <x:v>acceptance</x:v>
      </x:c>
      <x:c r="D1818" s="27" t="str">
        <x:v>Acceptance row 89 zero credit</x:v>
      </x:c>
      <x:c r="E1818" s="27" t="n">
        <x:f>IF('Acceptance Register'!M89=0,1,0)</x:f>
        <x:v>1</x:v>
      </x:c>
      <x:c r="F1818" s="27" t="n">
        <x:v>1</x:v>
      </x:c>
      <x:c r="G1818" s="29" t="str">
        <x:f>IF(E1818=F1818,"PASS","FAIL")</x:f>
        <x:v>PASS</x:v>
      </x:c>
    </x:row>
    <x:row r="1819" ht="18" customHeight="1">
      <x:c r="B1819" s="27" t="str">
        <x:v>A1813</x:v>
      </x:c>
      <x:c r="C1819" s="27" t="str">
        <x:v>acceptance</x:v>
      </x:c>
      <x:c r="D1819" s="27" t="str">
        <x:v>Acceptance row 90 method present</x:v>
      </x:c>
      <x:c r="E1819" s="27" t="n">
        <x:f>IF('Acceptance Register'!G90&lt;&gt;"",1,0)</x:f>
        <x:v>1</x:v>
      </x:c>
      <x:c r="F1819" s="27" t="n">
        <x:v>1</x:v>
      </x:c>
      <x:c r="G1819" s="29" t="str">
        <x:f>IF(E1819=F1819,"PASS","FAIL")</x:f>
        <x:v>PASS</x:v>
      </x:c>
    </x:row>
    <x:row r="1820" ht="18" customHeight="1">
      <x:c r="B1820" s="27" t="str">
        <x:v>A1814</x:v>
      </x:c>
      <x:c r="C1820" s="27" t="str">
        <x:v>acceptance</x:v>
      </x:c>
      <x:c r="D1820" s="27" t="str">
        <x:v>Acceptance row 90 threshold present</x:v>
      </x:c>
      <x:c r="E1820" s="27" t="n">
        <x:f>IF('Acceptance Register'!H90&lt;&gt;"",1,0)</x:f>
        <x:v>1</x:v>
      </x:c>
      <x:c r="F1820" s="27" t="n">
        <x:v>1</x:v>
      </x:c>
      <x:c r="G1820" s="29" t="str">
        <x:f>IF(E1820=F1820,"PASS","FAIL")</x:f>
        <x:v>PASS</x:v>
      </x:c>
    </x:row>
    <x:row r="1821" ht="18" customHeight="1">
      <x:c r="B1821" s="27" t="str">
        <x:v>A1815</x:v>
      </x:c>
      <x:c r="C1821" s="27" t="str">
        <x:v>acceptance</x:v>
      </x:c>
      <x:c r="D1821" s="27" t="str">
        <x:v>Acceptance row 90 evidence open</x:v>
      </x:c>
      <x:c r="E1821" s="27" t="n">
        <x:f>IF('Acceptance Register'!K90="OPEN",1,0)</x:f>
        <x:v>1</x:v>
      </x:c>
      <x:c r="F1821" s="27" t="n">
        <x:v>1</x:v>
      </x:c>
      <x:c r="G1821" s="29" t="str">
        <x:f>IF(E1821=F1821,"PASS","FAIL")</x:f>
        <x:v>PASS</x:v>
      </x:c>
    </x:row>
    <x:row r="1822" ht="18" customHeight="1">
      <x:c r="B1822" s="27" t="str">
        <x:v>A1816</x:v>
      </x:c>
      <x:c r="C1822" s="27" t="str">
        <x:v>acceptance</x:v>
      </x:c>
      <x:c r="D1822" s="27" t="str">
        <x:v>Acceptance row 90 decision hold</x:v>
      </x:c>
      <x:c r="E1822" s="27" t="n">
        <x:f>IF('Acceptance Register'!L90="HOLD",1,0)</x:f>
        <x:v>1</x:v>
      </x:c>
      <x:c r="F1822" s="27" t="n">
        <x:v>1</x:v>
      </x:c>
      <x:c r="G1822" s="29" t="str">
        <x:f>IF(E1822=F1822,"PASS","FAIL")</x:f>
        <x:v>PASS</x:v>
      </x:c>
    </x:row>
    <x:row r="1823" ht="18" customHeight="1">
      <x:c r="B1823" s="27" t="str">
        <x:v>A1817</x:v>
      </x:c>
      <x:c r="C1823" s="27" t="str">
        <x:v>acceptance</x:v>
      </x:c>
      <x:c r="D1823" s="27" t="str">
        <x:v>Acceptance row 90 zero credit</x:v>
      </x:c>
      <x:c r="E1823" s="27" t="n">
        <x:f>IF('Acceptance Register'!M90=0,1,0)</x:f>
        <x:v>1</x:v>
      </x:c>
      <x:c r="F1823" s="27" t="n">
        <x:v>1</x:v>
      </x:c>
      <x:c r="G1823" s="29" t="str">
        <x:f>IF(E1823=F1823,"PASS","FAIL")</x:f>
        <x:v>PASS</x:v>
      </x:c>
    </x:row>
    <x:row r="1824" ht="18" customHeight="1">
      <x:c r="B1824" s="27" t="str">
        <x:v>A1818</x:v>
      </x:c>
      <x:c r="C1824" s="27" t="str">
        <x:v>acceptance</x:v>
      </x:c>
      <x:c r="D1824" s="27" t="str">
        <x:v>Acceptance row 91 method present</x:v>
      </x:c>
      <x:c r="E1824" s="27" t="n">
        <x:f>IF('Acceptance Register'!G91&lt;&gt;"",1,0)</x:f>
        <x:v>1</x:v>
      </x:c>
      <x:c r="F1824" s="27" t="n">
        <x:v>1</x:v>
      </x:c>
      <x:c r="G1824" s="29" t="str">
        <x:f>IF(E1824=F1824,"PASS","FAIL")</x:f>
        <x:v>PASS</x:v>
      </x:c>
    </x:row>
    <x:row r="1825" ht="18" customHeight="1">
      <x:c r="B1825" s="27" t="str">
        <x:v>A1819</x:v>
      </x:c>
      <x:c r="C1825" s="27" t="str">
        <x:v>acceptance</x:v>
      </x:c>
      <x:c r="D1825" s="27" t="str">
        <x:v>Acceptance row 91 threshold present</x:v>
      </x:c>
      <x:c r="E1825" s="27" t="n">
        <x:f>IF('Acceptance Register'!H91&lt;&gt;"",1,0)</x:f>
        <x:v>1</x:v>
      </x:c>
      <x:c r="F1825" s="27" t="n">
        <x:v>1</x:v>
      </x:c>
      <x:c r="G1825" s="29" t="str">
        <x:f>IF(E1825=F1825,"PASS","FAIL")</x:f>
        <x:v>PASS</x:v>
      </x:c>
    </x:row>
    <x:row r="1826" ht="18" customHeight="1">
      <x:c r="B1826" s="27" t="str">
        <x:v>A1820</x:v>
      </x:c>
      <x:c r="C1826" s="27" t="str">
        <x:v>acceptance</x:v>
      </x:c>
      <x:c r="D1826" s="27" t="str">
        <x:v>Acceptance row 91 evidence open</x:v>
      </x:c>
      <x:c r="E1826" s="27" t="n">
        <x:f>IF('Acceptance Register'!K91="OPEN",1,0)</x:f>
        <x:v>1</x:v>
      </x:c>
      <x:c r="F1826" s="27" t="n">
        <x:v>1</x:v>
      </x:c>
      <x:c r="G1826" s="29" t="str">
        <x:f>IF(E1826=F1826,"PASS","FAIL")</x:f>
        <x:v>PASS</x:v>
      </x:c>
    </x:row>
    <x:row r="1827" ht="18" customHeight="1">
      <x:c r="B1827" s="27" t="str">
        <x:v>A1821</x:v>
      </x:c>
      <x:c r="C1827" s="27" t="str">
        <x:v>acceptance</x:v>
      </x:c>
      <x:c r="D1827" s="27" t="str">
        <x:v>Acceptance row 91 decision hold</x:v>
      </x:c>
      <x:c r="E1827" s="27" t="n">
        <x:f>IF('Acceptance Register'!L91="HOLD",1,0)</x:f>
        <x:v>1</x:v>
      </x:c>
      <x:c r="F1827" s="27" t="n">
        <x:v>1</x:v>
      </x:c>
      <x:c r="G1827" s="29" t="str">
        <x:f>IF(E1827=F1827,"PASS","FAIL")</x:f>
        <x:v>PASS</x:v>
      </x:c>
    </x:row>
    <x:row r="1828" ht="18" customHeight="1">
      <x:c r="B1828" s="27" t="str">
        <x:v>A1822</x:v>
      </x:c>
      <x:c r="C1828" s="27" t="str">
        <x:v>acceptance</x:v>
      </x:c>
      <x:c r="D1828" s="27" t="str">
        <x:v>Acceptance row 91 zero credit</x:v>
      </x:c>
      <x:c r="E1828" s="27" t="n">
        <x:f>IF('Acceptance Register'!M91=0,1,0)</x:f>
        <x:v>1</x:v>
      </x:c>
      <x:c r="F1828" s="27" t="n">
        <x:v>1</x:v>
      </x:c>
      <x:c r="G1828" s="29" t="str">
        <x:f>IF(E1828=F1828,"PASS","FAIL")</x:f>
        <x:v>PASS</x:v>
      </x:c>
    </x:row>
    <x:row r="1829" ht="18" customHeight="1">
      <x:c r="B1829" s="27" t="str">
        <x:v>A1823</x:v>
      </x:c>
      <x:c r="C1829" s="27" t="str">
        <x:v>acceptance</x:v>
      </x:c>
      <x:c r="D1829" s="27" t="str">
        <x:v>Acceptance row 92 method present</x:v>
      </x:c>
      <x:c r="E1829" s="27" t="n">
        <x:f>IF('Acceptance Register'!G92&lt;&gt;"",1,0)</x:f>
        <x:v>1</x:v>
      </x:c>
      <x:c r="F1829" s="27" t="n">
        <x:v>1</x:v>
      </x:c>
      <x:c r="G1829" s="29" t="str">
        <x:f>IF(E1829=F1829,"PASS","FAIL")</x:f>
        <x:v>PASS</x:v>
      </x:c>
    </x:row>
    <x:row r="1830" ht="18" customHeight="1">
      <x:c r="B1830" s="27" t="str">
        <x:v>A1824</x:v>
      </x:c>
      <x:c r="C1830" s="27" t="str">
        <x:v>acceptance</x:v>
      </x:c>
      <x:c r="D1830" s="27" t="str">
        <x:v>Acceptance row 92 threshold present</x:v>
      </x:c>
      <x:c r="E1830" s="27" t="n">
        <x:f>IF('Acceptance Register'!H92&lt;&gt;"",1,0)</x:f>
        <x:v>1</x:v>
      </x:c>
      <x:c r="F1830" s="27" t="n">
        <x:v>1</x:v>
      </x:c>
      <x:c r="G1830" s="29" t="str">
        <x:f>IF(E1830=F1830,"PASS","FAIL")</x:f>
        <x:v>PASS</x:v>
      </x:c>
    </x:row>
    <x:row r="1831" ht="18" customHeight="1">
      <x:c r="B1831" s="27" t="str">
        <x:v>A1825</x:v>
      </x:c>
      <x:c r="C1831" s="27" t="str">
        <x:v>acceptance</x:v>
      </x:c>
      <x:c r="D1831" s="27" t="str">
        <x:v>Acceptance row 92 evidence open</x:v>
      </x:c>
      <x:c r="E1831" s="27" t="n">
        <x:f>IF('Acceptance Register'!K92="OPEN",1,0)</x:f>
        <x:v>1</x:v>
      </x:c>
      <x:c r="F1831" s="27" t="n">
        <x:v>1</x:v>
      </x:c>
      <x:c r="G1831" s="29" t="str">
        <x:f>IF(E1831=F1831,"PASS","FAIL")</x:f>
        <x:v>PASS</x:v>
      </x:c>
    </x:row>
    <x:row r="1832" ht="18" customHeight="1">
      <x:c r="B1832" s="27" t="str">
        <x:v>A1826</x:v>
      </x:c>
      <x:c r="C1832" s="27" t="str">
        <x:v>acceptance</x:v>
      </x:c>
      <x:c r="D1832" s="27" t="str">
        <x:v>Acceptance row 92 decision hold</x:v>
      </x:c>
      <x:c r="E1832" s="27" t="n">
        <x:f>IF('Acceptance Register'!L92="HOLD",1,0)</x:f>
        <x:v>1</x:v>
      </x:c>
      <x:c r="F1832" s="27" t="n">
        <x:v>1</x:v>
      </x:c>
      <x:c r="G1832" s="29" t="str">
        <x:f>IF(E1832=F1832,"PASS","FAIL")</x:f>
        <x:v>PASS</x:v>
      </x:c>
    </x:row>
    <x:row r="1833" ht="18" customHeight="1">
      <x:c r="B1833" s="27" t="str">
        <x:v>A1827</x:v>
      </x:c>
      <x:c r="C1833" s="27" t="str">
        <x:v>acceptance</x:v>
      </x:c>
      <x:c r="D1833" s="27" t="str">
        <x:v>Acceptance row 92 zero credit</x:v>
      </x:c>
      <x:c r="E1833" s="27" t="n">
        <x:f>IF('Acceptance Register'!M92=0,1,0)</x:f>
        <x:v>1</x:v>
      </x:c>
      <x:c r="F1833" s="27" t="n">
        <x:v>1</x:v>
      </x:c>
      <x:c r="G1833" s="29" t="str">
        <x:f>IF(E1833=F1833,"PASS","FAIL")</x:f>
        <x:v>PASS</x:v>
      </x:c>
    </x:row>
    <x:row r="1834" ht="18" customHeight="1">
      <x:c r="B1834" s="27" t="str">
        <x:v>A1828</x:v>
      </x:c>
      <x:c r="C1834" s="27" t="str">
        <x:v>acceptance</x:v>
      </x:c>
      <x:c r="D1834" s="27" t="str">
        <x:v>Acceptance row 93 method present</x:v>
      </x:c>
      <x:c r="E1834" s="27" t="n">
        <x:f>IF('Acceptance Register'!G93&lt;&gt;"",1,0)</x:f>
        <x:v>1</x:v>
      </x:c>
      <x:c r="F1834" s="27" t="n">
        <x:v>1</x:v>
      </x:c>
      <x:c r="G1834" s="29" t="str">
        <x:f>IF(E1834=F1834,"PASS","FAIL")</x:f>
        <x:v>PASS</x:v>
      </x:c>
    </x:row>
    <x:row r="1835" ht="18" customHeight="1">
      <x:c r="B1835" s="27" t="str">
        <x:v>A1829</x:v>
      </x:c>
      <x:c r="C1835" s="27" t="str">
        <x:v>acceptance</x:v>
      </x:c>
      <x:c r="D1835" s="27" t="str">
        <x:v>Acceptance row 93 threshold present</x:v>
      </x:c>
      <x:c r="E1835" s="27" t="n">
        <x:f>IF('Acceptance Register'!H93&lt;&gt;"",1,0)</x:f>
        <x:v>1</x:v>
      </x:c>
      <x:c r="F1835" s="27" t="n">
        <x:v>1</x:v>
      </x:c>
      <x:c r="G1835" s="29" t="str">
        <x:f>IF(E1835=F1835,"PASS","FAIL")</x:f>
        <x:v>PASS</x:v>
      </x:c>
    </x:row>
    <x:row r="1836" ht="18" customHeight="1">
      <x:c r="B1836" s="27" t="str">
        <x:v>A1830</x:v>
      </x:c>
      <x:c r="C1836" s="27" t="str">
        <x:v>acceptance</x:v>
      </x:c>
      <x:c r="D1836" s="27" t="str">
        <x:v>Acceptance row 93 evidence open</x:v>
      </x:c>
      <x:c r="E1836" s="27" t="n">
        <x:f>IF('Acceptance Register'!K93="OPEN",1,0)</x:f>
        <x:v>1</x:v>
      </x:c>
      <x:c r="F1836" s="27" t="n">
        <x:v>1</x:v>
      </x:c>
      <x:c r="G1836" s="29" t="str">
        <x:f>IF(E1836=F1836,"PASS","FAIL")</x:f>
        <x:v>PASS</x:v>
      </x:c>
    </x:row>
    <x:row r="1837" ht="18" customHeight="1">
      <x:c r="B1837" s="27" t="str">
        <x:v>A1831</x:v>
      </x:c>
      <x:c r="C1837" s="27" t="str">
        <x:v>acceptance</x:v>
      </x:c>
      <x:c r="D1837" s="27" t="str">
        <x:v>Acceptance row 93 decision hold</x:v>
      </x:c>
      <x:c r="E1837" s="27" t="n">
        <x:f>IF('Acceptance Register'!L93="HOLD",1,0)</x:f>
        <x:v>1</x:v>
      </x:c>
      <x:c r="F1837" s="27" t="n">
        <x:v>1</x:v>
      </x:c>
      <x:c r="G1837" s="29" t="str">
        <x:f>IF(E1837=F1837,"PASS","FAIL")</x:f>
        <x:v>PASS</x:v>
      </x:c>
    </x:row>
    <x:row r="1838" ht="18" customHeight="1">
      <x:c r="B1838" s="27" t="str">
        <x:v>A1832</x:v>
      </x:c>
      <x:c r="C1838" s="27" t="str">
        <x:v>acceptance</x:v>
      </x:c>
      <x:c r="D1838" s="27" t="str">
        <x:v>Acceptance row 93 zero credit</x:v>
      </x:c>
      <x:c r="E1838" s="27" t="n">
        <x:f>IF('Acceptance Register'!M93=0,1,0)</x:f>
        <x:v>1</x:v>
      </x:c>
      <x:c r="F1838" s="27" t="n">
        <x:v>1</x:v>
      </x:c>
      <x:c r="G1838" s="29" t="str">
        <x:f>IF(E1838=F1838,"PASS","FAIL")</x:f>
        <x:v>PASS</x:v>
      </x:c>
    </x:row>
    <x:row r="1839" ht="18" customHeight="1">
      <x:c r="B1839" s="27" t="str">
        <x:v>A1833</x:v>
      </x:c>
      <x:c r="C1839" s="27" t="str">
        <x:v>acceptance</x:v>
      </x:c>
      <x:c r="D1839" s="27" t="str">
        <x:v>Acceptance row 94 method present</x:v>
      </x:c>
      <x:c r="E1839" s="27" t="n">
        <x:f>IF('Acceptance Register'!G94&lt;&gt;"",1,0)</x:f>
        <x:v>1</x:v>
      </x:c>
      <x:c r="F1839" s="27" t="n">
        <x:v>1</x:v>
      </x:c>
      <x:c r="G1839" s="29" t="str">
        <x:f>IF(E1839=F1839,"PASS","FAIL")</x:f>
        <x:v>PASS</x:v>
      </x:c>
    </x:row>
    <x:row r="1840" ht="18" customHeight="1">
      <x:c r="B1840" s="27" t="str">
        <x:v>A1834</x:v>
      </x:c>
      <x:c r="C1840" s="27" t="str">
        <x:v>acceptance</x:v>
      </x:c>
      <x:c r="D1840" s="27" t="str">
        <x:v>Acceptance row 94 threshold present</x:v>
      </x:c>
      <x:c r="E1840" s="27" t="n">
        <x:f>IF('Acceptance Register'!H94&lt;&gt;"",1,0)</x:f>
        <x:v>1</x:v>
      </x:c>
      <x:c r="F1840" s="27" t="n">
        <x:v>1</x:v>
      </x:c>
      <x:c r="G1840" s="29" t="str">
        <x:f>IF(E1840=F1840,"PASS","FAIL")</x:f>
        <x:v>PASS</x:v>
      </x:c>
    </x:row>
    <x:row r="1841" ht="18" customHeight="1">
      <x:c r="B1841" s="27" t="str">
        <x:v>A1835</x:v>
      </x:c>
      <x:c r="C1841" s="27" t="str">
        <x:v>acceptance</x:v>
      </x:c>
      <x:c r="D1841" s="27" t="str">
        <x:v>Acceptance row 94 evidence open</x:v>
      </x:c>
      <x:c r="E1841" s="27" t="n">
        <x:f>IF('Acceptance Register'!K94="OPEN",1,0)</x:f>
        <x:v>1</x:v>
      </x:c>
      <x:c r="F1841" s="27" t="n">
        <x:v>1</x:v>
      </x:c>
      <x:c r="G1841" s="29" t="str">
        <x:f>IF(E1841=F1841,"PASS","FAIL")</x:f>
        <x:v>PASS</x:v>
      </x:c>
    </x:row>
    <x:row r="1842" ht="18" customHeight="1">
      <x:c r="B1842" s="27" t="str">
        <x:v>A1836</x:v>
      </x:c>
      <x:c r="C1842" s="27" t="str">
        <x:v>acceptance</x:v>
      </x:c>
      <x:c r="D1842" s="27" t="str">
        <x:v>Acceptance row 94 decision hold</x:v>
      </x:c>
      <x:c r="E1842" s="27" t="n">
        <x:f>IF('Acceptance Register'!L94="HOLD",1,0)</x:f>
        <x:v>1</x:v>
      </x:c>
      <x:c r="F1842" s="27" t="n">
        <x:v>1</x:v>
      </x:c>
      <x:c r="G1842" s="29" t="str">
        <x:f>IF(E1842=F1842,"PASS","FAIL")</x:f>
        <x:v>PASS</x:v>
      </x:c>
    </x:row>
    <x:row r="1843" ht="18" customHeight="1">
      <x:c r="B1843" s="27" t="str">
        <x:v>A1837</x:v>
      </x:c>
      <x:c r="C1843" s="27" t="str">
        <x:v>acceptance</x:v>
      </x:c>
      <x:c r="D1843" s="27" t="str">
        <x:v>Acceptance row 94 zero credit</x:v>
      </x:c>
      <x:c r="E1843" s="27" t="n">
        <x:f>IF('Acceptance Register'!M94=0,1,0)</x:f>
        <x:v>1</x:v>
      </x:c>
      <x:c r="F1843" s="27" t="n">
        <x:v>1</x:v>
      </x:c>
      <x:c r="G1843" s="29" t="str">
        <x:f>IF(E1843=F1843,"PASS","FAIL")</x:f>
        <x:v>PASS</x:v>
      </x:c>
    </x:row>
    <x:row r="1844" ht="18" customHeight="1">
      <x:c r="B1844" s="27" t="str">
        <x:v>A1838</x:v>
      </x:c>
      <x:c r="C1844" s="27" t="str">
        <x:v>acceptance</x:v>
      </x:c>
      <x:c r="D1844" s="27" t="str">
        <x:v>Acceptance row 95 method present</x:v>
      </x:c>
      <x:c r="E1844" s="27" t="n">
        <x:f>IF('Acceptance Register'!G95&lt;&gt;"",1,0)</x:f>
        <x:v>1</x:v>
      </x:c>
      <x:c r="F1844" s="27" t="n">
        <x:v>1</x:v>
      </x:c>
      <x:c r="G1844" s="29" t="str">
        <x:f>IF(E1844=F1844,"PASS","FAIL")</x:f>
        <x:v>PASS</x:v>
      </x:c>
    </x:row>
    <x:row r="1845" ht="18" customHeight="1">
      <x:c r="B1845" s="27" t="str">
        <x:v>A1839</x:v>
      </x:c>
      <x:c r="C1845" s="27" t="str">
        <x:v>acceptance</x:v>
      </x:c>
      <x:c r="D1845" s="27" t="str">
        <x:v>Acceptance row 95 threshold present</x:v>
      </x:c>
      <x:c r="E1845" s="27" t="n">
        <x:f>IF('Acceptance Register'!H95&lt;&gt;"",1,0)</x:f>
        <x:v>1</x:v>
      </x:c>
      <x:c r="F1845" s="27" t="n">
        <x:v>1</x:v>
      </x:c>
      <x:c r="G1845" s="29" t="str">
        <x:f>IF(E1845=F1845,"PASS","FAIL")</x:f>
        <x:v>PASS</x:v>
      </x:c>
    </x:row>
    <x:row r="1846" ht="18" customHeight="1">
      <x:c r="B1846" s="27" t="str">
        <x:v>A1840</x:v>
      </x:c>
      <x:c r="C1846" s="27" t="str">
        <x:v>acceptance</x:v>
      </x:c>
      <x:c r="D1846" s="27" t="str">
        <x:v>Acceptance row 95 evidence open</x:v>
      </x:c>
      <x:c r="E1846" s="27" t="n">
        <x:f>IF('Acceptance Register'!K95="OPEN",1,0)</x:f>
        <x:v>1</x:v>
      </x:c>
      <x:c r="F1846" s="27" t="n">
        <x:v>1</x:v>
      </x:c>
      <x:c r="G1846" s="29" t="str">
        <x:f>IF(E1846=F1846,"PASS","FAIL")</x:f>
        <x:v>PASS</x:v>
      </x:c>
    </x:row>
    <x:row r="1847" ht="18" customHeight="1">
      <x:c r="B1847" s="27" t="str">
        <x:v>A1841</x:v>
      </x:c>
      <x:c r="C1847" s="27" t="str">
        <x:v>acceptance</x:v>
      </x:c>
      <x:c r="D1847" s="27" t="str">
        <x:v>Acceptance row 95 decision hold</x:v>
      </x:c>
      <x:c r="E1847" s="27" t="n">
        <x:f>IF('Acceptance Register'!L95="HOLD",1,0)</x:f>
        <x:v>1</x:v>
      </x:c>
      <x:c r="F1847" s="27" t="n">
        <x:v>1</x:v>
      </x:c>
      <x:c r="G1847" s="29" t="str">
        <x:f>IF(E1847=F1847,"PASS","FAIL")</x:f>
        <x:v>PASS</x:v>
      </x:c>
    </x:row>
    <x:row r="1848" ht="18" customHeight="1">
      <x:c r="B1848" s="27" t="str">
        <x:v>A1842</x:v>
      </x:c>
      <x:c r="C1848" s="27" t="str">
        <x:v>acceptance</x:v>
      </x:c>
      <x:c r="D1848" s="27" t="str">
        <x:v>Acceptance row 95 zero credit</x:v>
      </x:c>
      <x:c r="E1848" s="27" t="n">
        <x:f>IF('Acceptance Register'!M95=0,1,0)</x:f>
        <x:v>1</x:v>
      </x:c>
      <x:c r="F1848" s="27" t="n">
        <x:v>1</x:v>
      </x:c>
      <x:c r="G1848" s="29" t="str">
        <x:f>IF(E1848=F1848,"PASS","FAIL")</x:f>
        <x:v>PASS</x:v>
      </x:c>
    </x:row>
    <x:row r="1849" ht="18" customHeight="1">
      <x:c r="B1849" s="27" t="str">
        <x:v>A1843</x:v>
      </x:c>
      <x:c r="C1849" s="27" t="str">
        <x:v>acceptance</x:v>
      </x:c>
      <x:c r="D1849" s="27" t="str">
        <x:v>Acceptance row 96 method present</x:v>
      </x:c>
      <x:c r="E1849" s="27" t="n">
        <x:f>IF('Acceptance Register'!G96&lt;&gt;"",1,0)</x:f>
        <x:v>1</x:v>
      </x:c>
      <x:c r="F1849" s="27" t="n">
        <x:v>1</x:v>
      </x:c>
      <x:c r="G1849" s="29" t="str">
        <x:f>IF(E1849=F1849,"PASS","FAIL")</x:f>
        <x:v>PASS</x:v>
      </x:c>
    </x:row>
    <x:row r="1850" ht="18" customHeight="1">
      <x:c r="B1850" s="27" t="str">
        <x:v>A1844</x:v>
      </x:c>
      <x:c r="C1850" s="27" t="str">
        <x:v>acceptance</x:v>
      </x:c>
      <x:c r="D1850" s="27" t="str">
        <x:v>Acceptance row 96 threshold present</x:v>
      </x:c>
      <x:c r="E1850" s="27" t="n">
        <x:f>IF('Acceptance Register'!H96&lt;&gt;"",1,0)</x:f>
        <x:v>1</x:v>
      </x:c>
      <x:c r="F1850" s="27" t="n">
        <x:v>1</x:v>
      </x:c>
      <x:c r="G1850" s="29" t="str">
        <x:f>IF(E1850=F1850,"PASS","FAIL")</x:f>
        <x:v>PASS</x:v>
      </x:c>
    </x:row>
    <x:row r="1851" ht="18" customHeight="1">
      <x:c r="B1851" s="27" t="str">
        <x:v>A1845</x:v>
      </x:c>
      <x:c r="C1851" s="27" t="str">
        <x:v>acceptance</x:v>
      </x:c>
      <x:c r="D1851" s="27" t="str">
        <x:v>Acceptance row 96 evidence open</x:v>
      </x:c>
      <x:c r="E1851" s="27" t="n">
        <x:f>IF('Acceptance Register'!K96="OPEN",1,0)</x:f>
        <x:v>1</x:v>
      </x:c>
      <x:c r="F1851" s="27" t="n">
        <x:v>1</x:v>
      </x:c>
      <x:c r="G1851" s="29" t="str">
        <x:f>IF(E1851=F1851,"PASS","FAIL")</x:f>
        <x:v>PASS</x:v>
      </x:c>
    </x:row>
    <x:row r="1852" ht="18" customHeight="1">
      <x:c r="B1852" s="27" t="str">
        <x:v>A1846</x:v>
      </x:c>
      <x:c r="C1852" s="27" t="str">
        <x:v>acceptance</x:v>
      </x:c>
      <x:c r="D1852" s="27" t="str">
        <x:v>Acceptance row 96 decision hold</x:v>
      </x:c>
      <x:c r="E1852" s="27" t="n">
        <x:f>IF('Acceptance Register'!L96="HOLD",1,0)</x:f>
        <x:v>1</x:v>
      </x:c>
      <x:c r="F1852" s="27" t="n">
        <x:v>1</x:v>
      </x:c>
      <x:c r="G1852" s="29" t="str">
        <x:f>IF(E1852=F1852,"PASS","FAIL")</x:f>
        <x:v>PASS</x:v>
      </x:c>
    </x:row>
    <x:row r="1853" ht="18" customHeight="1">
      <x:c r="B1853" s="27" t="str">
        <x:v>A1847</x:v>
      </x:c>
      <x:c r="C1853" s="27" t="str">
        <x:v>acceptance</x:v>
      </x:c>
      <x:c r="D1853" s="27" t="str">
        <x:v>Acceptance row 96 zero credit</x:v>
      </x:c>
      <x:c r="E1853" s="27" t="n">
        <x:f>IF('Acceptance Register'!M96=0,1,0)</x:f>
        <x:v>1</x:v>
      </x:c>
      <x:c r="F1853" s="27" t="n">
        <x:v>1</x:v>
      </x:c>
      <x:c r="G1853" s="29" t="str">
        <x:f>IF(E1853=F1853,"PASS","FAIL")</x:f>
        <x:v>PASS</x:v>
      </x:c>
    </x:row>
    <x:row r="1854" ht="18" customHeight="1">
      <x:c r="B1854" s="27" t="str">
        <x:v>A1848</x:v>
      </x:c>
      <x:c r="C1854" s="27" t="str">
        <x:v>acceptance</x:v>
      </x:c>
      <x:c r="D1854" s="27" t="str">
        <x:v>Acceptance row 97 method present</x:v>
      </x:c>
      <x:c r="E1854" s="27" t="n">
        <x:f>IF('Acceptance Register'!G97&lt;&gt;"",1,0)</x:f>
        <x:v>1</x:v>
      </x:c>
      <x:c r="F1854" s="27" t="n">
        <x:v>1</x:v>
      </x:c>
      <x:c r="G1854" s="29" t="str">
        <x:f>IF(E1854=F1854,"PASS","FAIL")</x:f>
        <x:v>PASS</x:v>
      </x:c>
    </x:row>
    <x:row r="1855" ht="18" customHeight="1">
      <x:c r="B1855" s="27" t="str">
        <x:v>A1849</x:v>
      </x:c>
      <x:c r="C1855" s="27" t="str">
        <x:v>acceptance</x:v>
      </x:c>
      <x:c r="D1855" s="27" t="str">
        <x:v>Acceptance row 97 threshold present</x:v>
      </x:c>
      <x:c r="E1855" s="27" t="n">
        <x:f>IF('Acceptance Register'!H97&lt;&gt;"",1,0)</x:f>
        <x:v>1</x:v>
      </x:c>
      <x:c r="F1855" s="27" t="n">
        <x:v>1</x:v>
      </x:c>
      <x:c r="G1855" s="29" t="str">
        <x:f>IF(E1855=F1855,"PASS","FAIL")</x:f>
        <x:v>PASS</x:v>
      </x:c>
    </x:row>
    <x:row r="1856" ht="18" customHeight="1">
      <x:c r="B1856" s="27" t="str">
        <x:v>A1850</x:v>
      </x:c>
      <x:c r="C1856" s="27" t="str">
        <x:v>acceptance</x:v>
      </x:c>
      <x:c r="D1856" s="27" t="str">
        <x:v>Acceptance row 97 evidence open</x:v>
      </x:c>
      <x:c r="E1856" s="27" t="n">
        <x:f>IF('Acceptance Register'!K97="OPEN",1,0)</x:f>
        <x:v>1</x:v>
      </x:c>
      <x:c r="F1856" s="27" t="n">
        <x:v>1</x:v>
      </x:c>
      <x:c r="G1856" s="29" t="str">
        <x:f>IF(E1856=F1856,"PASS","FAIL")</x:f>
        <x:v>PASS</x:v>
      </x:c>
    </x:row>
    <x:row r="1857" ht="18" customHeight="1">
      <x:c r="B1857" s="27" t="str">
        <x:v>A1851</x:v>
      </x:c>
      <x:c r="C1857" s="27" t="str">
        <x:v>acceptance</x:v>
      </x:c>
      <x:c r="D1857" s="27" t="str">
        <x:v>Acceptance row 97 decision hold</x:v>
      </x:c>
      <x:c r="E1857" s="27" t="n">
        <x:f>IF('Acceptance Register'!L97="HOLD",1,0)</x:f>
        <x:v>1</x:v>
      </x:c>
      <x:c r="F1857" s="27" t="n">
        <x:v>1</x:v>
      </x:c>
      <x:c r="G1857" s="29" t="str">
        <x:f>IF(E1857=F1857,"PASS","FAIL")</x:f>
        <x:v>PASS</x:v>
      </x:c>
    </x:row>
    <x:row r="1858" ht="18" customHeight="1">
      <x:c r="B1858" s="27" t="str">
        <x:v>A1852</x:v>
      </x:c>
      <x:c r="C1858" s="27" t="str">
        <x:v>acceptance</x:v>
      </x:c>
      <x:c r="D1858" s="27" t="str">
        <x:v>Acceptance row 97 zero credit</x:v>
      </x:c>
      <x:c r="E1858" s="27" t="n">
        <x:f>IF('Acceptance Register'!M97=0,1,0)</x:f>
        <x:v>1</x:v>
      </x:c>
      <x:c r="F1858" s="27" t="n">
        <x:v>1</x:v>
      </x:c>
      <x:c r="G1858" s="29" t="str">
        <x:f>IF(E1858=F1858,"PASS","FAIL")</x:f>
        <x:v>PASS</x:v>
      </x:c>
    </x:row>
    <x:row r="1859" ht="18" customHeight="1">
      <x:c r="B1859" s="27" t="str">
        <x:v>A1853</x:v>
      </x:c>
      <x:c r="C1859" s="27" t="str">
        <x:v>acceptance</x:v>
      </x:c>
      <x:c r="D1859" s="27" t="str">
        <x:v>Acceptance row 98 method present</x:v>
      </x:c>
      <x:c r="E1859" s="27" t="n">
        <x:f>IF('Acceptance Register'!G98&lt;&gt;"",1,0)</x:f>
        <x:v>1</x:v>
      </x:c>
      <x:c r="F1859" s="27" t="n">
        <x:v>1</x:v>
      </x:c>
      <x:c r="G1859" s="29" t="str">
        <x:f>IF(E1859=F1859,"PASS","FAIL")</x:f>
        <x:v>PASS</x:v>
      </x:c>
    </x:row>
    <x:row r="1860" ht="18" customHeight="1">
      <x:c r="B1860" s="27" t="str">
        <x:v>A1854</x:v>
      </x:c>
      <x:c r="C1860" s="27" t="str">
        <x:v>acceptance</x:v>
      </x:c>
      <x:c r="D1860" s="27" t="str">
        <x:v>Acceptance row 98 threshold present</x:v>
      </x:c>
      <x:c r="E1860" s="27" t="n">
        <x:f>IF('Acceptance Register'!H98&lt;&gt;"",1,0)</x:f>
        <x:v>1</x:v>
      </x:c>
      <x:c r="F1860" s="27" t="n">
        <x:v>1</x:v>
      </x:c>
      <x:c r="G1860" s="29" t="str">
        <x:f>IF(E1860=F1860,"PASS","FAIL")</x:f>
        <x:v>PASS</x:v>
      </x:c>
    </x:row>
    <x:row r="1861" ht="18" customHeight="1">
      <x:c r="B1861" s="27" t="str">
        <x:v>A1855</x:v>
      </x:c>
      <x:c r="C1861" s="27" t="str">
        <x:v>acceptance</x:v>
      </x:c>
      <x:c r="D1861" s="27" t="str">
        <x:v>Acceptance row 98 evidence open</x:v>
      </x:c>
      <x:c r="E1861" s="27" t="n">
        <x:f>IF('Acceptance Register'!K98="OPEN",1,0)</x:f>
        <x:v>1</x:v>
      </x:c>
      <x:c r="F1861" s="27" t="n">
        <x:v>1</x:v>
      </x:c>
      <x:c r="G1861" s="29" t="str">
        <x:f>IF(E1861=F1861,"PASS","FAIL")</x:f>
        <x:v>PASS</x:v>
      </x:c>
    </x:row>
    <x:row r="1862" ht="18" customHeight="1">
      <x:c r="B1862" s="27" t="str">
        <x:v>A1856</x:v>
      </x:c>
      <x:c r="C1862" s="27" t="str">
        <x:v>acceptance</x:v>
      </x:c>
      <x:c r="D1862" s="27" t="str">
        <x:v>Acceptance row 98 decision hold</x:v>
      </x:c>
      <x:c r="E1862" s="27" t="n">
        <x:f>IF('Acceptance Register'!L98="HOLD",1,0)</x:f>
        <x:v>1</x:v>
      </x:c>
      <x:c r="F1862" s="27" t="n">
        <x:v>1</x:v>
      </x:c>
      <x:c r="G1862" s="29" t="str">
        <x:f>IF(E1862=F1862,"PASS","FAIL")</x:f>
        <x:v>PASS</x:v>
      </x:c>
    </x:row>
    <x:row r="1863" ht="18" customHeight="1">
      <x:c r="B1863" s="27" t="str">
        <x:v>A1857</x:v>
      </x:c>
      <x:c r="C1863" s="27" t="str">
        <x:v>acceptance</x:v>
      </x:c>
      <x:c r="D1863" s="27" t="str">
        <x:v>Acceptance row 98 zero credit</x:v>
      </x:c>
      <x:c r="E1863" s="27" t="n">
        <x:f>IF('Acceptance Register'!M98=0,1,0)</x:f>
        <x:v>1</x:v>
      </x:c>
      <x:c r="F1863" s="27" t="n">
        <x:v>1</x:v>
      </x:c>
      <x:c r="G1863" s="29" t="str">
        <x:f>IF(E1863=F1863,"PASS","FAIL")</x:f>
        <x:v>PASS</x:v>
      </x:c>
    </x:row>
    <x:row r="1864" ht="18" customHeight="1">
      <x:c r="B1864" s="27" t="str">
        <x:v>A1858</x:v>
      </x:c>
      <x:c r="C1864" s="27" t="str">
        <x:v>acceptance</x:v>
      </x:c>
      <x:c r="D1864" s="27" t="str">
        <x:v>Acceptance row 99 method present</x:v>
      </x:c>
      <x:c r="E1864" s="27" t="n">
        <x:f>IF('Acceptance Register'!G99&lt;&gt;"",1,0)</x:f>
        <x:v>1</x:v>
      </x:c>
      <x:c r="F1864" s="27" t="n">
        <x:v>1</x:v>
      </x:c>
      <x:c r="G1864" s="29" t="str">
        <x:f>IF(E1864=F1864,"PASS","FAIL")</x:f>
        <x:v>PASS</x:v>
      </x:c>
    </x:row>
    <x:row r="1865" ht="18" customHeight="1">
      <x:c r="B1865" s="27" t="str">
        <x:v>A1859</x:v>
      </x:c>
      <x:c r="C1865" s="27" t="str">
        <x:v>acceptance</x:v>
      </x:c>
      <x:c r="D1865" s="27" t="str">
        <x:v>Acceptance row 99 threshold present</x:v>
      </x:c>
      <x:c r="E1865" s="27" t="n">
        <x:f>IF('Acceptance Register'!H99&lt;&gt;"",1,0)</x:f>
        <x:v>1</x:v>
      </x:c>
      <x:c r="F1865" s="27" t="n">
        <x:v>1</x:v>
      </x:c>
      <x:c r="G1865" s="29" t="str">
        <x:f>IF(E1865=F1865,"PASS","FAIL")</x:f>
        <x:v>PASS</x:v>
      </x:c>
    </x:row>
    <x:row r="1866" ht="18" customHeight="1">
      <x:c r="B1866" s="27" t="str">
        <x:v>A1860</x:v>
      </x:c>
      <x:c r="C1866" s="27" t="str">
        <x:v>acceptance</x:v>
      </x:c>
      <x:c r="D1866" s="27" t="str">
        <x:v>Acceptance row 99 evidence open</x:v>
      </x:c>
      <x:c r="E1866" s="27" t="n">
        <x:f>IF('Acceptance Register'!K99="OPEN",1,0)</x:f>
        <x:v>1</x:v>
      </x:c>
      <x:c r="F1866" s="27" t="n">
        <x:v>1</x:v>
      </x:c>
      <x:c r="G1866" s="29" t="str">
        <x:f>IF(E1866=F1866,"PASS","FAIL")</x:f>
        <x:v>PASS</x:v>
      </x:c>
    </x:row>
    <x:row r="1867" ht="18" customHeight="1">
      <x:c r="B1867" s="27" t="str">
        <x:v>A1861</x:v>
      </x:c>
      <x:c r="C1867" s="27" t="str">
        <x:v>acceptance</x:v>
      </x:c>
      <x:c r="D1867" s="27" t="str">
        <x:v>Acceptance row 99 decision hold</x:v>
      </x:c>
      <x:c r="E1867" s="27" t="n">
        <x:f>IF('Acceptance Register'!L99="HOLD",1,0)</x:f>
        <x:v>1</x:v>
      </x:c>
      <x:c r="F1867" s="27" t="n">
        <x:v>1</x:v>
      </x:c>
      <x:c r="G1867" s="29" t="str">
        <x:f>IF(E1867=F1867,"PASS","FAIL")</x:f>
        <x:v>PASS</x:v>
      </x:c>
    </x:row>
    <x:row r="1868" ht="18" customHeight="1">
      <x:c r="B1868" s="27" t="str">
        <x:v>A1862</x:v>
      </x:c>
      <x:c r="C1868" s="27" t="str">
        <x:v>acceptance</x:v>
      </x:c>
      <x:c r="D1868" s="27" t="str">
        <x:v>Acceptance row 99 zero credit</x:v>
      </x:c>
      <x:c r="E1868" s="27" t="n">
        <x:f>IF('Acceptance Register'!M99=0,1,0)</x:f>
        <x:v>1</x:v>
      </x:c>
      <x:c r="F1868" s="27" t="n">
        <x:v>1</x:v>
      </x:c>
      <x:c r="G1868" s="29" t="str">
        <x:f>IF(E1868=F1868,"PASS","FAIL")</x:f>
        <x:v>PASS</x:v>
      </x:c>
    </x:row>
    <x:row r="1869" ht="18" customHeight="1">
      <x:c r="B1869" s="27" t="str">
        <x:v>A1863</x:v>
      </x:c>
      <x:c r="C1869" s="27" t="str">
        <x:v>acceptance</x:v>
      </x:c>
      <x:c r="D1869" s="27" t="str">
        <x:v>Acceptance row 100 method present</x:v>
      </x:c>
      <x:c r="E1869" s="27" t="n">
        <x:f>IF('Acceptance Register'!G100&lt;&gt;"",1,0)</x:f>
        <x:v>1</x:v>
      </x:c>
      <x:c r="F1869" s="27" t="n">
        <x:v>1</x:v>
      </x:c>
      <x:c r="G1869" s="29" t="str">
        <x:f>IF(E1869=F1869,"PASS","FAIL")</x:f>
        <x:v>PASS</x:v>
      </x:c>
    </x:row>
    <x:row r="1870" ht="18" customHeight="1">
      <x:c r="B1870" s="27" t="str">
        <x:v>A1864</x:v>
      </x:c>
      <x:c r="C1870" s="27" t="str">
        <x:v>acceptance</x:v>
      </x:c>
      <x:c r="D1870" s="27" t="str">
        <x:v>Acceptance row 100 threshold present</x:v>
      </x:c>
      <x:c r="E1870" s="27" t="n">
        <x:f>IF('Acceptance Register'!H100&lt;&gt;"",1,0)</x:f>
        <x:v>1</x:v>
      </x:c>
      <x:c r="F1870" s="27" t="n">
        <x:v>1</x:v>
      </x:c>
      <x:c r="G1870" s="29" t="str">
        <x:f>IF(E1870=F1870,"PASS","FAIL")</x:f>
        <x:v>PASS</x:v>
      </x:c>
    </x:row>
    <x:row r="1871" ht="18" customHeight="1">
      <x:c r="B1871" s="27" t="str">
        <x:v>A1865</x:v>
      </x:c>
      <x:c r="C1871" s="27" t="str">
        <x:v>acceptance</x:v>
      </x:c>
      <x:c r="D1871" s="27" t="str">
        <x:v>Acceptance row 100 evidence open</x:v>
      </x:c>
      <x:c r="E1871" s="27" t="n">
        <x:f>IF('Acceptance Register'!K100="OPEN",1,0)</x:f>
        <x:v>1</x:v>
      </x:c>
      <x:c r="F1871" s="27" t="n">
        <x:v>1</x:v>
      </x:c>
      <x:c r="G1871" s="29" t="str">
        <x:f>IF(E1871=F1871,"PASS","FAIL")</x:f>
        <x:v>PASS</x:v>
      </x:c>
    </x:row>
    <x:row r="1872" ht="18" customHeight="1">
      <x:c r="B1872" s="27" t="str">
        <x:v>A1866</x:v>
      </x:c>
      <x:c r="C1872" s="27" t="str">
        <x:v>acceptance</x:v>
      </x:c>
      <x:c r="D1872" s="27" t="str">
        <x:v>Acceptance row 100 decision hold</x:v>
      </x:c>
      <x:c r="E1872" s="27" t="n">
        <x:f>IF('Acceptance Register'!L100="HOLD",1,0)</x:f>
        <x:v>1</x:v>
      </x:c>
      <x:c r="F1872" s="27" t="n">
        <x:v>1</x:v>
      </x:c>
      <x:c r="G1872" s="29" t="str">
        <x:f>IF(E1872=F1872,"PASS","FAIL")</x:f>
        <x:v>PASS</x:v>
      </x:c>
    </x:row>
    <x:row r="1873" ht="18" customHeight="1">
      <x:c r="B1873" s="27" t="str">
        <x:v>A1867</x:v>
      </x:c>
      <x:c r="C1873" s="27" t="str">
        <x:v>acceptance</x:v>
      </x:c>
      <x:c r="D1873" s="27" t="str">
        <x:v>Acceptance row 100 zero credit</x:v>
      </x:c>
      <x:c r="E1873" s="27" t="n">
        <x:f>IF('Acceptance Register'!M100=0,1,0)</x:f>
        <x:v>1</x:v>
      </x:c>
      <x:c r="F1873" s="27" t="n">
        <x:v>1</x:v>
      </x:c>
      <x:c r="G1873" s="29" t="str">
        <x:f>IF(E1873=F1873,"PASS","FAIL")</x:f>
        <x:v>PASS</x:v>
      </x:c>
    </x:row>
    <x:row r="1874" ht="18" customHeight="1">
      <x:c r="B1874" s="27" t="str">
        <x:v>A1868</x:v>
      </x:c>
      <x:c r="C1874" s="27" t="str">
        <x:v>acceptance</x:v>
      </x:c>
      <x:c r="D1874" s="27" t="str">
        <x:v>Acceptance row 101 method present</x:v>
      </x:c>
      <x:c r="E1874" s="27" t="n">
        <x:f>IF('Acceptance Register'!G101&lt;&gt;"",1,0)</x:f>
        <x:v>1</x:v>
      </x:c>
      <x:c r="F1874" s="27" t="n">
        <x:v>1</x:v>
      </x:c>
      <x:c r="G1874" s="29" t="str">
        <x:f>IF(E1874=F1874,"PASS","FAIL")</x:f>
        <x:v>PASS</x:v>
      </x:c>
    </x:row>
    <x:row r="1875" ht="18" customHeight="1">
      <x:c r="B1875" s="27" t="str">
        <x:v>A1869</x:v>
      </x:c>
      <x:c r="C1875" s="27" t="str">
        <x:v>acceptance</x:v>
      </x:c>
      <x:c r="D1875" s="27" t="str">
        <x:v>Acceptance row 101 threshold present</x:v>
      </x:c>
      <x:c r="E1875" s="27" t="n">
        <x:f>IF('Acceptance Register'!H101&lt;&gt;"",1,0)</x:f>
        <x:v>1</x:v>
      </x:c>
      <x:c r="F1875" s="27" t="n">
        <x:v>1</x:v>
      </x:c>
      <x:c r="G1875" s="29" t="str">
        <x:f>IF(E1875=F1875,"PASS","FAIL")</x:f>
        <x:v>PASS</x:v>
      </x:c>
    </x:row>
    <x:row r="1876" ht="18" customHeight="1">
      <x:c r="B1876" s="27" t="str">
        <x:v>A1870</x:v>
      </x:c>
      <x:c r="C1876" s="27" t="str">
        <x:v>acceptance</x:v>
      </x:c>
      <x:c r="D1876" s="27" t="str">
        <x:v>Acceptance row 101 evidence open</x:v>
      </x:c>
      <x:c r="E1876" s="27" t="n">
        <x:f>IF('Acceptance Register'!K101="OPEN",1,0)</x:f>
        <x:v>1</x:v>
      </x:c>
      <x:c r="F1876" s="27" t="n">
        <x:v>1</x:v>
      </x:c>
      <x:c r="G1876" s="29" t="str">
        <x:f>IF(E1876=F1876,"PASS","FAIL")</x:f>
        <x:v>PASS</x:v>
      </x:c>
    </x:row>
    <x:row r="1877" ht="18" customHeight="1">
      <x:c r="B1877" s="27" t="str">
        <x:v>A1871</x:v>
      </x:c>
      <x:c r="C1877" s="27" t="str">
        <x:v>acceptance</x:v>
      </x:c>
      <x:c r="D1877" s="27" t="str">
        <x:v>Acceptance row 101 decision hold</x:v>
      </x:c>
      <x:c r="E1877" s="27" t="n">
        <x:f>IF('Acceptance Register'!L101="HOLD",1,0)</x:f>
        <x:v>1</x:v>
      </x:c>
      <x:c r="F1877" s="27" t="n">
        <x:v>1</x:v>
      </x:c>
      <x:c r="G1877" s="29" t="str">
        <x:f>IF(E1877=F1877,"PASS","FAIL")</x:f>
        <x:v>PASS</x:v>
      </x:c>
    </x:row>
    <x:row r="1878" ht="18" customHeight="1">
      <x:c r="B1878" s="27" t="str">
        <x:v>A1872</x:v>
      </x:c>
      <x:c r="C1878" s="27" t="str">
        <x:v>acceptance</x:v>
      </x:c>
      <x:c r="D1878" s="27" t="str">
        <x:v>Acceptance row 101 zero credit</x:v>
      </x:c>
      <x:c r="E1878" s="27" t="n">
        <x:f>IF('Acceptance Register'!M101=0,1,0)</x:f>
        <x:v>1</x:v>
      </x:c>
      <x:c r="F1878" s="27" t="n">
        <x:v>1</x:v>
      </x:c>
      <x:c r="G1878" s="29" t="str">
        <x:f>IF(E1878=F1878,"PASS","FAIL")</x:f>
        <x:v>PASS</x:v>
      </x:c>
    </x:row>
    <x:row r="1879" ht="18" customHeight="1">
      <x:c r="B1879" s="27" t="str">
        <x:v>A1873</x:v>
      </x:c>
      <x:c r="C1879" s="27" t="str">
        <x:v>acceptance</x:v>
      </x:c>
      <x:c r="D1879" s="27" t="str">
        <x:v>Acceptance row 102 method present</x:v>
      </x:c>
      <x:c r="E1879" s="27" t="n">
        <x:f>IF('Acceptance Register'!G102&lt;&gt;"",1,0)</x:f>
        <x:v>1</x:v>
      </x:c>
      <x:c r="F1879" s="27" t="n">
        <x:v>1</x:v>
      </x:c>
      <x:c r="G1879" s="29" t="str">
        <x:f>IF(E1879=F1879,"PASS","FAIL")</x:f>
        <x:v>PASS</x:v>
      </x:c>
    </x:row>
    <x:row r="1880" ht="18" customHeight="1">
      <x:c r="B1880" s="27" t="str">
        <x:v>A1874</x:v>
      </x:c>
      <x:c r="C1880" s="27" t="str">
        <x:v>acceptance</x:v>
      </x:c>
      <x:c r="D1880" s="27" t="str">
        <x:v>Acceptance row 102 threshold present</x:v>
      </x:c>
      <x:c r="E1880" s="27" t="n">
        <x:f>IF('Acceptance Register'!H102&lt;&gt;"",1,0)</x:f>
        <x:v>1</x:v>
      </x:c>
      <x:c r="F1880" s="27" t="n">
        <x:v>1</x:v>
      </x:c>
      <x:c r="G1880" s="29" t="str">
        <x:f>IF(E1880=F1880,"PASS","FAIL")</x:f>
        <x:v>PASS</x:v>
      </x:c>
    </x:row>
    <x:row r="1881" ht="18" customHeight="1">
      <x:c r="B1881" s="27" t="str">
        <x:v>A1875</x:v>
      </x:c>
      <x:c r="C1881" s="27" t="str">
        <x:v>acceptance</x:v>
      </x:c>
      <x:c r="D1881" s="27" t="str">
        <x:v>Acceptance row 102 evidence open</x:v>
      </x:c>
      <x:c r="E1881" s="27" t="n">
        <x:f>IF('Acceptance Register'!K102="OPEN",1,0)</x:f>
        <x:v>1</x:v>
      </x:c>
      <x:c r="F1881" s="27" t="n">
        <x:v>1</x:v>
      </x:c>
      <x:c r="G1881" s="29" t="str">
        <x:f>IF(E1881=F1881,"PASS","FAIL")</x:f>
        <x:v>PASS</x:v>
      </x:c>
    </x:row>
    <x:row r="1882" ht="18" customHeight="1">
      <x:c r="B1882" s="27" t="str">
        <x:v>A1876</x:v>
      </x:c>
      <x:c r="C1882" s="27" t="str">
        <x:v>acceptance</x:v>
      </x:c>
      <x:c r="D1882" s="27" t="str">
        <x:v>Acceptance row 102 decision hold</x:v>
      </x:c>
      <x:c r="E1882" s="27" t="n">
        <x:f>IF('Acceptance Register'!L102="HOLD",1,0)</x:f>
        <x:v>1</x:v>
      </x:c>
      <x:c r="F1882" s="27" t="n">
        <x:v>1</x:v>
      </x:c>
      <x:c r="G1882" s="29" t="str">
        <x:f>IF(E1882=F1882,"PASS","FAIL")</x:f>
        <x:v>PASS</x:v>
      </x:c>
    </x:row>
    <x:row r="1883" ht="18" customHeight="1">
      <x:c r="B1883" s="27" t="str">
        <x:v>A1877</x:v>
      </x:c>
      <x:c r="C1883" s="27" t="str">
        <x:v>acceptance</x:v>
      </x:c>
      <x:c r="D1883" s="27" t="str">
        <x:v>Acceptance row 102 zero credit</x:v>
      </x:c>
      <x:c r="E1883" s="27" t="n">
        <x:f>IF('Acceptance Register'!M102=0,1,0)</x:f>
        <x:v>1</x:v>
      </x:c>
      <x:c r="F1883" s="27" t="n">
        <x:v>1</x:v>
      </x:c>
      <x:c r="G1883" s="29" t="str">
        <x:f>IF(E1883=F1883,"PASS","FAIL")</x:f>
        <x:v>PASS</x:v>
      </x:c>
    </x:row>
    <x:row r="1884" ht="18" customHeight="1">
      <x:c r="B1884" s="27" t="str">
        <x:v>A1878</x:v>
      </x:c>
      <x:c r="C1884" s="27" t="str">
        <x:v>acceptance</x:v>
      </x:c>
      <x:c r="D1884" s="27" t="str">
        <x:v>Acceptance row 103 method present</x:v>
      </x:c>
      <x:c r="E1884" s="27" t="n">
        <x:f>IF('Acceptance Register'!G103&lt;&gt;"",1,0)</x:f>
        <x:v>1</x:v>
      </x:c>
      <x:c r="F1884" s="27" t="n">
        <x:v>1</x:v>
      </x:c>
      <x:c r="G1884" s="29" t="str">
        <x:f>IF(E1884=F1884,"PASS","FAIL")</x:f>
        <x:v>PASS</x:v>
      </x:c>
    </x:row>
    <x:row r="1885" ht="18" customHeight="1">
      <x:c r="B1885" s="27" t="str">
        <x:v>A1879</x:v>
      </x:c>
      <x:c r="C1885" s="27" t="str">
        <x:v>acceptance</x:v>
      </x:c>
      <x:c r="D1885" s="27" t="str">
        <x:v>Acceptance row 103 threshold present</x:v>
      </x:c>
      <x:c r="E1885" s="27" t="n">
        <x:f>IF('Acceptance Register'!H103&lt;&gt;"",1,0)</x:f>
        <x:v>1</x:v>
      </x:c>
      <x:c r="F1885" s="27" t="n">
        <x:v>1</x:v>
      </x:c>
      <x:c r="G1885" s="29" t="str">
        <x:f>IF(E1885=F1885,"PASS","FAIL")</x:f>
        <x:v>PASS</x:v>
      </x:c>
    </x:row>
    <x:row r="1886" ht="18" customHeight="1">
      <x:c r="B1886" s="27" t="str">
        <x:v>A1880</x:v>
      </x:c>
      <x:c r="C1886" s="27" t="str">
        <x:v>acceptance</x:v>
      </x:c>
      <x:c r="D1886" s="27" t="str">
        <x:v>Acceptance row 103 evidence open</x:v>
      </x:c>
      <x:c r="E1886" s="27" t="n">
        <x:f>IF('Acceptance Register'!K103="OPEN",1,0)</x:f>
        <x:v>1</x:v>
      </x:c>
      <x:c r="F1886" s="27" t="n">
        <x:v>1</x:v>
      </x:c>
      <x:c r="G1886" s="29" t="str">
        <x:f>IF(E1886=F1886,"PASS","FAIL")</x:f>
        <x:v>PASS</x:v>
      </x:c>
    </x:row>
    <x:row r="1887" ht="18" customHeight="1">
      <x:c r="B1887" s="27" t="str">
        <x:v>A1881</x:v>
      </x:c>
      <x:c r="C1887" s="27" t="str">
        <x:v>acceptance</x:v>
      </x:c>
      <x:c r="D1887" s="27" t="str">
        <x:v>Acceptance row 103 decision hold</x:v>
      </x:c>
      <x:c r="E1887" s="27" t="n">
        <x:f>IF('Acceptance Register'!L103="HOLD",1,0)</x:f>
        <x:v>1</x:v>
      </x:c>
      <x:c r="F1887" s="27" t="n">
        <x:v>1</x:v>
      </x:c>
      <x:c r="G1887" s="29" t="str">
        <x:f>IF(E1887=F1887,"PASS","FAIL")</x:f>
        <x:v>PASS</x:v>
      </x:c>
    </x:row>
    <x:row r="1888" ht="18" customHeight="1">
      <x:c r="B1888" s="27" t="str">
        <x:v>A1882</x:v>
      </x:c>
      <x:c r="C1888" s="27" t="str">
        <x:v>acceptance</x:v>
      </x:c>
      <x:c r="D1888" s="27" t="str">
        <x:v>Acceptance row 103 zero credit</x:v>
      </x:c>
      <x:c r="E1888" s="27" t="n">
        <x:f>IF('Acceptance Register'!M103=0,1,0)</x:f>
        <x:v>1</x:v>
      </x:c>
      <x:c r="F1888" s="27" t="n">
        <x:v>1</x:v>
      </x:c>
      <x:c r="G1888" s="29" t="str">
        <x:f>IF(E1888=F1888,"PASS","FAIL")</x:f>
        <x:v>PASS</x:v>
      </x:c>
    </x:row>
    <x:row r="1889" ht="18" customHeight="1">
      <x:c r="B1889" s="27" t="str">
        <x:v>A1883</x:v>
      </x:c>
      <x:c r="C1889" s="27" t="str">
        <x:v>acceptance</x:v>
      </x:c>
      <x:c r="D1889" s="27" t="str">
        <x:v>Acceptance row 104 method present</x:v>
      </x:c>
      <x:c r="E1889" s="27" t="n">
        <x:f>IF('Acceptance Register'!G104&lt;&gt;"",1,0)</x:f>
        <x:v>1</x:v>
      </x:c>
      <x:c r="F1889" s="27" t="n">
        <x:v>1</x:v>
      </x:c>
      <x:c r="G1889" s="29" t="str">
        <x:f>IF(E1889=F1889,"PASS","FAIL")</x:f>
        <x:v>PASS</x:v>
      </x:c>
    </x:row>
    <x:row r="1890" ht="18" customHeight="1">
      <x:c r="B1890" s="27" t="str">
        <x:v>A1884</x:v>
      </x:c>
      <x:c r="C1890" s="27" t="str">
        <x:v>acceptance</x:v>
      </x:c>
      <x:c r="D1890" s="27" t="str">
        <x:v>Acceptance row 104 threshold present</x:v>
      </x:c>
      <x:c r="E1890" s="27" t="n">
        <x:f>IF('Acceptance Register'!H104&lt;&gt;"",1,0)</x:f>
        <x:v>1</x:v>
      </x:c>
      <x:c r="F1890" s="27" t="n">
        <x:v>1</x:v>
      </x:c>
      <x:c r="G1890" s="29" t="str">
        <x:f>IF(E1890=F1890,"PASS","FAIL")</x:f>
        <x:v>PASS</x:v>
      </x:c>
    </x:row>
    <x:row r="1891" ht="18" customHeight="1">
      <x:c r="B1891" s="27" t="str">
        <x:v>A1885</x:v>
      </x:c>
      <x:c r="C1891" s="27" t="str">
        <x:v>acceptance</x:v>
      </x:c>
      <x:c r="D1891" s="27" t="str">
        <x:v>Acceptance row 104 evidence open</x:v>
      </x:c>
      <x:c r="E1891" s="27" t="n">
        <x:f>IF('Acceptance Register'!K104="OPEN",1,0)</x:f>
        <x:v>1</x:v>
      </x:c>
      <x:c r="F1891" s="27" t="n">
        <x:v>1</x:v>
      </x:c>
      <x:c r="G1891" s="29" t="str">
        <x:f>IF(E1891=F1891,"PASS","FAIL")</x:f>
        <x:v>PASS</x:v>
      </x:c>
    </x:row>
    <x:row r="1892" ht="18" customHeight="1">
      <x:c r="B1892" s="27" t="str">
        <x:v>A1886</x:v>
      </x:c>
      <x:c r="C1892" s="27" t="str">
        <x:v>acceptance</x:v>
      </x:c>
      <x:c r="D1892" s="27" t="str">
        <x:v>Acceptance row 104 decision hold</x:v>
      </x:c>
      <x:c r="E1892" s="27" t="n">
        <x:f>IF('Acceptance Register'!L104="HOLD",1,0)</x:f>
        <x:v>1</x:v>
      </x:c>
      <x:c r="F1892" s="27" t="n">
        <x:v>1</x:v>
      </x:c>
      <x:c r="G1892" s="29" t="str">
        <x:f>IF(E1892=F1892,"PASS","FAIL")</x:f>
        <x:v>PASS</x:v>
      </x:c>
    </x:row>
    <x:row r="1893" ht="18" customHeight="1">
      <x:c r="B1893" s="27" t="str">
        <x:v>A1887</x:v>
      </x:c>
      <x:c r="C1893" s="27" t="str">
        <x:v>acceptance</x:v>
      </x:c>
      <x:c r="D1893" s="27" t="str">
        <x:v>Acceptance row 104 zero credit</x:v>
      </x:c>
      <x:c r="E1893" s="27" t="n">
        <x:f>IF('Acceptance Register'!M104=0,1,0)</x:f>
        <x:v>1</x:v>
      </x:c>
      <x:c r="F1893" s="27" t="n">
        <x:v>1</x:v>
      </x:c>
      <x:c r="G1893" s="29" t="str">
        <x:f>IF(E1893=F1893,"PASS","FAIL")</x:f>
        <x:v>PASS</x:v>
      </x:c>
    </x:row>
    <x:row r="1894" ht="18" customHeight="1">
      <x:c r="B1894" s="27" t="str">
        <x:v>A1888</x:v>
      </x:c>
      <x:c r="C1894" s="27" t="str">
        <x:v>acceptance</x:v>
      </x:c>
      <x:c r="D1894" s="27" t="str">
        <x:v>Acceptance row 105 method present</x:v>
      </x:c>
      <x:c r="E1894" s="27" t="n">
        <x:f>IF('Acceptance Register'!G105&lt;&gt;"",1,0)</x:f>
        <x:v>1</x:v>
      </x:c>
      <x:c r="F1894" s="27" t="n">
        <x:v>1</x:v>
      </x:c>
      <x:c r="G1894" s="29" t="str">
        <x:f>IF(E1894=F1894,"PASS","FAIL")</x:f>
        <x:v>PASS</x:v>
      </x:c>
    </x:row>
    <x:row r="1895" ht="18" customHeight="1">
      <x:c r="B1895" s="27" t="str">
        <x:v>A1889</x:v>
      </x:c>
      <x:c r="C1895" s="27" t="str">
        <x:v>acceptance</x:v>
      </x:c>
      <x:c r="D1895" s="27" t="str">
        <x:v>Acceptance row 105 threshold present</x:v>
      </x:c>
      <x:c r="E1895" s="27" t="n">
        <x:f>IF('Acceptance Register'!H105&lt;&gt;"",1,0)</x:f>
        <x:v>1</x:v>
      </x:c>
      <x:c r="F1895" s="27" t="n">
        <x:v>1</x:v>
      </x:c>
      <x:c r="G1895" s="29" t="str">
        <x:f>IF(E1895=F1895,"PASS","FAIL")</x:f>
        <x:v>PASS</x:v>
      </x:c>
    </x:row>
    <x:row r="1896" ht="18" customHeight="1">
      <x:c r="B1896" s="27" t="str">
        <x:v>A1890</x:v>
      </x:c>
      <x:c r="C1896" s="27" t="str">
        <x:v>acceptance</x:v>
      </x:c>
      <x:c r="D1896" s="27" t="str">
        <x:v>Acceptance row 105 evidence open</x:v>
      </x:c>
      <x:c r="E1896" s="27" t="n">
        <x:f>IF('Acceptance Register'!K105="OPEN",1,0)</x:f>
        <x:v>1</x:v>
      </x:c>
      <x:c r="F1896" s="27" t="n">
        <x:v>1</x:v>
      </x:c>
      <x:c r="G1896" s="29" t="str">
        <x:f>IF(E1896=F1896,"PASS","FAIL")</x:f>
        <x:v>PASS</x:v>
      </x:c>
    </x:row>
    <x:row r="1897" ht="18" customHeight="1">
      <x:c r="B1897" s="27" t="str">
        <x:v>A1891</x:v>
      </x:c>
      <x:c r="C1897" s="27" t="str">
        <x:v>acceptance</x:v>
      </x:c>
      <x:c r="D1897" s="27" t="str">
        <x:v>Acceptance row 105 decision hold</x:v>
      </x:c>
      <x:c r="E1897" s="27" t="n">
        <x:f>IF('Acceptance Register'!L105="HOLD",1,0)</x:f>
        <x:v>1</x:v>
      </x:c>
      <x:c r="F1897" s="27" t="n">
        <x:v>1</x:v>
      </x:c>
      <x:c r="G1897" s="29" t="str">
        <x:f>IF(E1897=F1897,"PASS","FAIL")</x:f>
        <x:v>PASS</x:v>
      </x:c>
    </x:row>
    <x:row r="1898" ht="18" customHeight="1">
      <x:c r="B1898" s="27" t="str">
        <x:v>A1892</x:v>
      </x:c>
      <x:c r="C1898" s="27" t="str">
        <x:v>acceptance</x:v>
      </x:c>
      <x:c r="D1898" s="27" t="str">
        <x:v>Acceptance row 105 zero credit</x:v>
      </x:c>
      <x:c r="E1898" s="27" t="n">
        <x:f>IF('Acceptance Register'!M105=0,1,0)</x:f>
        <x:v>1</x:v>
      </x:c>
      <x:c r="F1898" s="27" t="n">
        <x:v>1</x:v>
      </x:c>
      <x:c r="G1898" s="29" t="str">
        <x:f>IF(E1898=F1898,"PASS","FAIL")</x:f>
        <x:v>PASS</x:v>
      </x:c>
    </x:row>
    <x:row r="1899" ht="18" customHeight="1">
      <x:c r="B1899" s="27" t="str">
        <x:v>A1893</x:v>
      </x:c>
      <x:c r="C1899" s="27" t="str">
        <x:v>acceptance</x:v>
      </x:c>
      <x:c r="D1899" s="27" t="str">
        <x:v>Acceptance row 106 method present</x:v>
      </x:c>
      <x:c r="E1899" s="27" t="n">
        <x:f>IF('Acceptance Register'!G106&lt;&gt;"",1,0)</x:f>
        <x:v>1</x:v>
      </x:c>
      <x:c r="F1899" s="27" t="n">
        <x:v>1</x:v>
      </x:c>
      <x:c r="G1899" s="29" t="str">
        <x:f>IF(E1899=F1899,"PASS","FAIL")</x:f>
        <x:v>PASS</x:v>
      </x:c>
    </x:row>
    <x:row r="1900" ht="18" customHeight="1">
      <x:c r="B1900" s="27" t="str">
        <x:v>A1894</x:v>
      </x:c>
      <x:c r="C1900" s="27" t="str">
        <x:v>acceptance</x:v>
      </x:c>
      <x:c r="D1900" s="27" t="str">
        <x:v>Acceptance row 106 threshold present</x:v>
      </x:c>
      <x:c r="E1900" s="27" t="n">
        <x:f>IF('Acceptance Register'!H106&lt;&gt;"",1,0)</x:f>
        <x:v>1</x:v>
      </x:c>
      <x:c r="F1900" s="27" t="n">
        <x:v>1</x:v>
      </x:c>
      <x:c r="G1900" s="29" t="str">
        <x:f>IF(E1900=F1900,"PASS","FAIL")</x:f>
        <x:v>PASS</x:v>
      </x:c>
    </x:row>
    <x:row r="1901" ht="18" customHeight="1">
      <x:c r="B1901" s="27" t="str">
        <x:v>A1895</x:v>
      </x:c>
      <x:c r="C1901" s="27" t="str">
        <x:v>acceptance</x:v>
      </x:c>
      <x:c r="D1901" s="27" t="str">
        <x:v>Acceptance row 106 evidence open</x:v>
      </x:c>
      <x:c r="E1901" s="27" t="n">
        <x:f>IF('Acceptance Register'!K106="OPEN",1,0)</x:f>
        <x:v>1</x:v>
      </x:c>
      <x:c r="F1901" s="27" t="n">
        <x:v>1</x:v>
      </x:c>
      <x:c r="G1901" s="29" t="str">
        <x:f>IF(E1901=F1901,"PASS","FAIL")</x:f>
        <x:v>PASS</x:v>
      </x:c>
    </x:row>
    <x:row r="1902" ht="18" customHeight="1">
      <x:c r="B1902" s="27" t="str">
        <x:v>A1896</x:v>
      </x:c>
      <x:c r="C1902" s="27" t="str">
        <x:v>acceptance</x:v>
      </x:c>
      <x:c r="D1902" s="27" t="str">
        <x:v>Acceptance row 106 decision hold</x:v>
      </x:c>
      <x:c r="E1902" s="27" t="n">
        <x:f>IF('Acceptance Register'!L106="HOLD",1,0)</x:f>
        <x:v>1</x:v>
      </x:c>
      <x:c r="F1902" s="27" t="n">
        <x:v>1</x:v>
      </x:c>
      <x:c r="G1902" s="29" t="str">
        <x:f>IF(E1902=F1902,"PASS","FAIL")</x:f>
        <x:v>PASS</x:v>
      </x:c>
    </x:row>
    <x:row r="1903" ht="18" customHeight="1">
      <x:c r="B1903" s="27" t="str">
        <x:v>A1897</x:v>
      </x:c>
      <x:c r="C1903" s="27" t="str">
        <x:v>acceptance</x:v>
      </x:c>
      <x:c r="D1903" s="27" t="str">
        <x:v>Acceptance row 106 zero credit</x:v>
      </x:c>
      <x:c r="E1903" s="27" t="n">
        <x:f>IF('Acceptance Register'!M106=0,1,0)</x:f>
        <x:v>1</x:v>
      </x:c>
      <x:c r="F1903" s="27" t="n">
        <x:v>1</x:v>
      </x:c>
      <x:c r="G1903" s="29" t="str">
        <x:f>IF(E1903=F1903,"PASS","FAIL")</x:f>
        <x:v>PASS</x:v>
      </x:c>
    </x:row>
    <x:row r="1904" ht="18" customHeight="1">
      <x:c r="B1904" s="27" t="str">
        <x:v>A1898</x:v>
      </x:c>
      <x:c r="C1904" s="27" t="str">
        <x:v>acceptance</x:v>
      </x:c>
      <x:c r="D1904" s="27" t="str">
        <x:v>Acceptance row 107 method present</x:v>
      </x:c>
      <x:c r="E1904" s="27" t="n">
        <x:f>IF('Acceptance Register'!G107&lt;&gt;"",1,0)</x:f>
        <x:v>1</x:v>
      </x:c>
      <x:c r="F1904" s="27" t="n">
        <x:v>1</x:v>
      </x:c>
      <x:c r="G1904" s="29" t="str">
        <x:f>IF(E1904=F1904,"PASS","FAIL")</x:f>
        <x:v>PASS</x:v>
      </x:c>
    </x:row>
    <x:row r="1905" ht="18" customHeight="1">
      <x:c r="B1905" s="27" t="str">
        <x:v>A1899</x:v>
      </x:c>
      <x:c r="C1905" s="27" t="str">
        <x:v>acceptance</x:v>
      </x:c>
      <x:c r="D1905" s="27" t="str">
        <x:v>Acceptance row 107 threshold present</x:v>
      </x:c>
      <x:c r="E1905" s="27" t="n">
        <x:f>IF('Acceptance Register'!H107&lt;&gt;"",1,0)</x:f>
        <x:v>1</x:v>
      </x:c>
      <x:c r="F1905" s="27" t="n">
        <x:v>1</x:v>
      </x:c>
      <x:c r="G1905" s="29" t="str">
        <x:f>IF(E1905=F1905,"PASS","FAIL")</x:f>
        <x:v>PASS</x:v>
      </x:c>
    </x:row>
    <x:row r="1906" ht="18" customHeight="1">
      <x:c r="B1906" s="27" t="str">
        <x:v>A1900</x:v>
      </x:c>
      <x:c r="C1906" s="27" t="str">
        <x:v>acceptance</x:v>
      </x:c>
      <x:c r="D1906" s="27" t="str">
        <x:v>Acceptance row 107 evidence open</x:v>
      </x:c>
      <x:c r="E1906" s="27" t="n">
        <x:f>IF('Acceptance Register'!K107="OPEN",1,0)</x:f>
        <x:v>1</x:v>
      </x:c>
      <x:c r="F1906" s="27" t="n">
        <x:v>1</x:v>
      </x:c>
      <x:c r="G1906" s="29" t="str">
        <x:f>IF(E1906=F1906,"PASS","FAIL")</x:f>
        <x:v>PASS</x:v>
      </x:c>
    </x:row>
    <x:row r="1907" ht="18" customHeight="1">
      <x:c r="B1907" s="27" t="str">
        <x:v>A1901</x:v>
      </x:c>
      <x:c r="C1907" s="27" t="str">
        <x:v>acceptance</x:v>
      </x:c>
      <x:c r="D1907" s="27" t="str">
        <x:v>Acceptance row 107 decision hold</x:v>
      </x:c>
      <x:c r="E1907" s="27" t="n">
        <x:f>IF('Acceptance Register'!L107="HOLD",1,0)</x:f>
        <x:v>1</x:v>
      </x:c>
      <x:c r="F1907" s="27" t="n">
        <x:v>1</x:v>
      </x:c>
      <x:c r="G1907" s="29" t="str">
        <x:f>IF(E1907=F1907,"PASS","FAIL")</x:f>
        <x:v>PASS</x:v>
      </x:c>
    </x:row>
    <x:row r="1908" ht="18" customHeight="1">
      <x:c r="B1908" s="27" t="str">
        <x:v>A1902</x:v>
      </x:c>
      <x:c r="C1908" s="27" t="str">
        <x:v>acceptance</x:v>
      </x:c>
      <x:c r="D1908" s="27" t="str">
        <x:v>Acceptance row 107 zero credit</x:v>
      </x:c>
      <x:c r="E1908" s="27" t="n">
        <x:f>IF('Acceptance Register'!M107=0,1,0)</x:f>
        <x:v>1</x:v>
      </x:c>
      <x:c r="F1908" s="27" t="n">
        <x:v>1</x:v>
      </x:c>
      <x:c r="G1908" s="29" t="str">
        <x:f>IF(E1908=F1908,"PASS","FAIL")</x:f>
        <x:v>PASS</x:v>
      </x:c>
    </x:row>
    <x:row r="1909" ht="18" customHeight="1">
      <x:c r="B1909" s="27" t="str">
        <x:v>A1903</x:v>
      </x:c>
      <x:c r="C1909" s="27" t="str">
        <x:v>acceptance</x:v>
      </x:c>
      <x:c r="D1909" s="27" t="str">
        <x:v>Acceptance row 108 method present</x:v>
      </x:c>
      <x:c r="E1909" s="27" t="n">
        <x:f>IF('Acceptance Register'!G108&lt;&gt;"",1,0)</x:f>
        <x:v>1</x:v>
      </x:c>
      <x:c r="F1909" s="27" t="n">
        <x:v>1</x:v>
      </x:c>
      <x:c r="G1909" s="29" t="str">
        <x:f>IF(E1909=F1909,"PASS","FAIL")</x:f>
        <x:v>PASS</x:v>
      </x:c>
    </x:row>
    <x:row r="1910" ht="18" customHeight="1">
      <x:c r="B1910" s="27" t="str">
        <x:v>A1904</x:v>
      </x:c>
      <x:c r="C1910" s="27" t="str">
        <x:v>acceptance</x:v>
      </x:c>
      <x:c r="D1910" s="27" t="str">
        <x:v>Acceptance row 108 threshold present</x:v>
      </x:c>
      <x:c r="E1910" s="27" t="n">
        <x:f>IF('Acceptance Register'!H108&lt;&gt;"",1,0)</x:f>
        <x:v>1</x:v>
      </x:c>
      <x:c r="F1910" s="27" t="n">
        <x:v>1</x:v>
      </x:c>
      <x:c r="G1910" s="29" t="str">
        <x:f>IF(E1910=F1910,"PASS","FAIL")</x:f>
        <x:v>PASS</x:v>
      </x:c>
    </x:row>
    <x:row r="1911" ht="18" customHeight="1">
      <x:c r="B1911" s="27" t="str">
        <x:v>A1905</x:v>
      </x:c>
      <x:c r="C1911" s="27" t="str">
        <x:v>acceptance</x:v>
      </x:c>
      <x:c r="D1911" s="27" t="str">
        <x:v>Acceptance row 108 evidence open</x:v>
      </x:c>
      <x:c r="E1911" s="27" t="n">
        <x:f>IF('Acceptance Register'!K108="OPEN",1,0)</x:f>
        <x:v>1</x:v>
      </x:c>
      <x:c r="F1911" s="27" t="n">
        <x:v>1</x:v>
      </x:c>
      <x:c r="G1911" s="29" t="str">
        <x:f>IF(E1911=F1911,"PASS","FAIL")</x:f>
        <x:v>PASS</x:v>
      </x:c>
    </x:row>
    <x:row r="1912" ht="18" customHeight="1">
      <x:c r="B1912" s="27" t="str">
        <x:v>A1906</x:v>
      </x:c>
      <x:c r="C1912" s="27" t="str">
        <x:v>acceptance</x:v>
      </x:c>
      <x:c r="D1912" s="27" t="str">
        <x:v>Acceptance row 108 decision hold</x:v>
      </x:c>
      <x:c r="E1912" s="27" t="n">
        <x:f>IF('Acceptance Register'!L108="HOLD",1,0)</x:f>
        <x:v>1</x:v>
      </x:c>
      <x:c r="F1912" s="27" t="n">
        <x:v>1</x:v>
      </x:c>
      <x:c r="G1912" s="29" t="str">
        <x:f>IF(E1912=F1912,"PASS","FAIL")</x:f>
        <x:v>PASS</x:v>
      </x:c>
    </x:row>
    <x:row r="1913" ht="18" customHeight="1">
      <x:c r="B1913" s="27" t="str">
        <x:v>A1907</x:v>
      </x:c>
      <x:c r="C1913" s="27" t="str">
        <x:v>acceptance</x:v>
      </x:c>
      <x:c r="D1913" s="27" t="str">
        <x:v>Acceptance row 108 zero credit</x:v>
      </x:c>
      <x:c r="E1913" s="27" t="n">
        <x:f>IF('Acceptance Register'!M108=0,1,0)</x:f>
        <x:v>1</x:v>
      </x:c>
      <x:c r="F1913" s="27" t="n">
        <x:v>1</x:v>
      </x:c>
      <x:c r="G1913" s="29" t="str">
        <x:f>IF(E1913=F1913,"PASS","FAIL")</x:f>
        <x:v>PASS</x:v>
      </x:c>
    </x:row>
    <x:row r="1914" ht="18" customHeight="1">
      <x:c r="B1914" s="27" t="str">
        <x:v>A1908</x:v>
      </x:c>
      <x:c r="C1914" s="27" t="str">
        <x:v>acceptance</x:v>
      </x:c>
      <x:c r="D1914" s="27" t="str">
        <x:v>Acceptance row 109 method present</x:v>
      </x:c>
      <x:c r="E1914" s="27" t="n">
        <x:f>IF('Acceptance Register'!G109&lt;&gt;"",1,0)</x:f>
        <x:v>1</x:v>
      </x:c>
      <x:c r="F1914" s="27" t="n">
        <x:v>1</x:v>
      </x:c>
      <x:c r="G1914" s="29" t="str">
        <x:f>IF(E1914=F1914,"PASS","FAIL")</x:f>
        <x:v>PASS</x:v>
      </x:c>
    </x:row>
    <x:row r="1915" ht="18" customHeight="1">
      <x:c r="B1915" s="27" t="str">
        <x:v>A1909</x:v>
      </x:c>
      <x:c r="C1915" s="27" t="str">
        <x:v>acceptance</x:v>
      </x:c>
      <x:c r="D1915" s="27" t="str">
        <x:v>Acceptance row 109 threshold present</x:v>
      </x:c>
      <x:c r="E1915" s="27" t="n">
        <x:f>IF('Acceptance Register'!H109&lt;&gt;"",1,0)</x:f>
        <x:v>1</x:v>
      </x:c>
      <x:c r="F1915" s="27" t="n">
        <x:v>1</x:v>
      </x:c>
      <x:c r="G1915" s="29" t="str">
        <x:f>IF(E1915=F1915,"PASS","FAIL")</x:f>
        <x:v>PASS</x:v>
      </x:c>
    </x:row>
    <x:row r="1916" ht="18" customHeight="1">
      <x:c r="B1916" s="27" t="str">
        <x:v>A1910</x:v>
      </x:c>
      <x:c r="C1916" s="27" t="str">
        <x:v>acceptance</x:v>
      </x:c>
      <x:c r="D1916" s="27" t="str">
        <x:v>Acceptance row 109 evidence open</x:v>
      </x:c>
      <x:c r="E1916" s="27" t="n">
        <x:f>IF('Acceptance Register'!K109="OPEN",1,0)</x:f>
        <x:v>1</x:v>
      </x:c>
      <x:c r="F1916" s="27" t="n">
        <x:v>1</x:v>
      </x:c>
      <x:c r="G1916" s="29" t="str">
        <x:f>IF(E1916=F1916,"PASS","FAIL")</x:f>
        <x:v>PASS</x:v>
      </x:c>
    </x:row>
    <x:row r="1917" ht="18" customHeight="1">
      <x:c r="B1917" s="27" t="str">
        <x:v>A1911</x:v>
      </x:c>
      <x:c r="C1917" s="27" t="str">
        <x:v>acceptance</x:v>
      </x:c>
      <x:c r="D1917" s="27" t="str">
        <x:v>Acceptance row 109 decision hold</x:v>
      </x:c>
      <x:c r="E1917" s="27" t="n">
        <x:f>IF('Acceptance Register'!L109="HOLD",1,0)</x:f>
        <x:v>1</x:v>
      </x:c>
      <x:c r="F1917" s="27" t="n">
        <x:v>1</x:v>
      </x:c>
      <x:c r="G1917" s="29" t="str">
        <x:f>IF(E1917=F1917,"PASS","FAIL")</x:f>
        <x:v>PASS</x:v>
      </x:c>
    </x:row>
    <x:row r="1918" ht="18" customHeight="1">
      <x:c r="B1918" s="27" t="str">
        <x:v>A1912</x:v>
      </x:c>
      <x:c r="C1918" s="27" t="str">
        <x:v>acceptance</x:v>
      </x:c>
      <x:c r="D1918" s="27" t="str">
        <x:v>Acceptance row 109 zero credit</x:v>
      </x:c>
      <x:c r="E1918" s="27" t="n">
        <x:f>IF('Acceptance Register'!M109=0,1,0)</x:f>
        <x:v>1</x:v>
      </x:c>
      <x:c r="F1918" s="27" t="n">
        <x:v>1</x:v>
      </x:c>
      <x:c r="G1918" s="29" t="str">
        <x:f>IF(E1918=F1918,"PASS","FAIL")</x:f>
        <x:v>PASS</x:v>
      </x:c>
    </x:row>
    <x:row r="1919" ht="18" customHeight="1">
      <x:c r="B1919" s="27" t="str">
        <x:v>A1913</x:v>
      </x:c>
      <x:c r="C1919" s="27" t="str">
        <x:v>acceptance</x:v>
      </x:c>
      <x:c r="D1919" s="27" t="str">
        <x:v>Acceptance row 110 method present</x:v>
      </x:c>
      <x:c r="E1919" s="27" t="n">
        <x:f>IF('Acceptance Register'!G110&lt;&gt;"",1,0)</x:f>
        <x:v>1</x:v>
      </x:c>
      <x:c r="F1919" s="27" t="n">
        <x:v>1</x:v>
      </x:c>
      <x:c r="G1919" s="29" t="str">
        <x:f>IF(E1919=F1919,"PASS","FAIL")</x:f>
        <x:v>PASS</x:v>
      </x:c>
    </x:row>
    <x:row r="1920" ht="18" customHeight="1">
      <x:c r="B1920" s="27" t="str">
        <x:v>A1914</x:v>
      </x:c>
      <x:c r="C1920" s="27" t="str">
        <x:v>acceptance</x:v>
      </x:c>
      <x:c r="D1920" s="27" t="str">
        <x:v>Acceptance row 110 threshold present</x:v>
      </x:c>
      <x:c r="E1920" s="27" t="n">
        <x:f>IF('Acceptance Register'!H110&lt;&gt;"",1,0)</x:f>
        <x:v>1</x:v>
      </x:c>
      <x:c r="F1920" s="27" t="n">
        <x:v>1</x:v>
      </x:c>
      <x:c r="G1920" s="29" t="str">
        <x:f>IF(E1920=F1920,"PASS","FAIL")</x:f>
        <x:v>PASS</x:v>
      </x:c>
    </x:row>
    <x:row r="1921" ht="18" customHeight="1">
      <x:c r="B1921" s="27" t="str">
        <x:v>A1915</x:v>
      </x:c>
      <x:c r="C1921" s="27" t="str">
        <x:v>acceptance</x:v>
      </x:c>
      <x:c r="D1921" s="27" t="str">
        <x:v>Acceptance row 110 evidence open</x:v>
      </x:c>
      <x:c r="E1921" s="27" t="n">
        <x:f>IF('Acceptance Register'!K110="OPEN",1,0)</x:f>
        <x:v>1</x:v>
      </x:c>
      <x:c r="F1921" s="27" t="n">
        <x:v>1</x:v>
      </x:c>
      <x:c r="G1921" s="29" t="str">
        <x:f>IF(E1921=F1921,"PASS","FAIL")</x:f>
        <x:v>PASS</x:v>
      </x:c>
    </x:row>
    <x:row r="1922" ht="18" customHeight="1">
      <x:c r="B1922" s="27" t="str">
        <x:v>A1916</x:v>
      </x:c>
      <x:c r="C1922" s="27" t="str">
        <x:v>acceptance</x:v>
      </x:c>
      <x:c r="D1922" s="27" t="str">
        <x:v>Acceptance row 110 decision hold</x:v>
      </x:c>
      <x:c r="E1922" s="27" t="n">
        <x:f>IF('Acceptance Register'!L110="HOLD",1,0)</x:f>
        <x:v>1</x:v>
      </x:c>
      <x:c r="F1922" s="27" t="n">
        <x:v>1</x:v>
      </x:c>
      <x:c r="G1922" s="29" t="str">
        <x:f>IF(E1922=F1922,"PASS","FAIL")</x:f>
        <x:v>PASS</x:v>
      </x:c>
    </x:row>
    <x:row r="1923" ht="18" customHeight="1">
      <x:c r="B1923" s="27" t="str">
        <x:v>A1917</x:v>
      </x:c>
      <x:c r="C1923" s="27" t="str">
        <x:v>acceptance</x:v>
      </x:c>
      <x:c r="D1923" s="27" t="str">
        <x:v>Acceptance row 110 zero credit</x:v>
      </x:c>
      <x:c r="E1923" s="27" t="n">
        <x:f>IF('Acceptance Register'!M110=0,1,0)</x:f>
        <x:v>1</x:v>
      </x:c>
      <x:c r="F1923" s="27" t="n">
        <x:v>1</x:v>
      </x:c>
      <x:c r="G1923" s="29" t="str">
        <x:f>IF(E1923=F1923,"PASS","FAIL")</x:f>
        <x:v>PASS</x:v>
      </x:c>
    </x:row>
    <x:row r="1924" ht="18" customHeight="1">
      <x:c r="B1924" s="27" t="str">
        <x:v>A1918</x:v>
      </x:c>
      <x:c r="C1924" s="27" t="str">
        <x:v>acceptance</x:v>
      </x:c>
      <x:c r="D1924" s="27" t="str">
        <x:v>Acceptance row 111 method present</x:v>
      </x:c>
      <x:c r="E1924" s="27" t="n">
        <x:f>IF('Acceptance Register'!G111&lt;&gt;"",1,0)</x:f>
        <x:v>1</x:v>
      </x:c>
      <x:c r="F1924" s="27" t="n">
        <x:v>1</x:v>
      </x:c>
      <x:c r="G1924" s="29" t="str">
        <x:f>IF(E1924=F1924,"PASS","FAIL")</x:f>
        <x:v>PASS</x:v>
      </x:c>
    </x:row>
    <x:row r="1925" ht="18" customHeight="1">
      <x:c r="B1925" s="27" t="str">
        <x:v>A1919</x:v>
      </x:c>
      <x:c r="C1925" s="27" t="str">
        <x:v>acceptance</x:v>
      </x:c>
      <x:c r="D1925" s="27" t="str">
        <x:v>Acceptance row 111 threshold present</x:v>
      </x:c>
      <x:c r="E1925" s="27" t="n">
        <x:f>IF('Acceptance Register'!H111&lt;&gt;"",1,0)</x:f>
        <x:v>1</x:v>
      </x:c>
      <x:c r="F1925" s="27" t="n">
        <x:v>1</x:v>
      </x:c>
      <x:c r="G1925" s="29" t="str">
        <x:f>IF(E1925=F1925,"PASS","FAIL")</x:f>
        <x:v>PASS</x:v>
      </x:c>
    </x:row>
    <x:row r="1926" ht="18" customHeight="1">
      <x:c r="B1926" s="27" t="str">
        <x:v>A1920</x:v>
      </x:c>
      <x:c r="C1926" s="27" t="str">
        <x:v>acceptance</x:v>
      </x:c>
      <x:c r="D1926" s="27" t="str">
        <x:v>Acceptance row 111 evidence open</x:v>
      </x:c>
      <x:c r="E1926" s="27" t="n">
        <x:f>IF('Acceptance Register'!K111="OPEN",1,0)</x:f>
        <x:v>1</x:v>
      </x:c>
      <x:c r="F1926" s="27" t="n">
        <x:v>1</x:v>
      </x:c>
      <x:c r="G1926" s="29" t="str">
        <x:f>IF(E1926=F1926,"PASS","FAIL")</x:f>
        <x:v>PASS</x:v>
      </x:c>
    </x:row>
    <x:row r="1927" ht="18" customHeight="1">
      <x:c r="B1927" s="27" t="str">
        <x:v>A1921</x:v>
      </x:c>
      <x:c r="C1927" s="27" t="str">
        <x:v>acceptance</x:v>
      </x:c>
      <x:c r="D1927" s="27" t="str">
        <x:v>Acceptance row 111 decision hold</x:v>
      </x:c>
      <x:c r="E1927" s="27" t="n">
        <x:f>IF('Acceptance Register'!L111="HOLD",1,0)</x:f>
        <x:v>1</x:v>
      </x:c>
      <x:c r="F1927" s="27" t="n">
        <x:v>1</x:v>
      </x:c>
      <x:c r="G1927" s="29" t="str">
        <x:f>IF(E1927=F1927,"PASS","FAIL")</x:f>
        <x:v>PASS</x:v>
      </x:c>
    </x:row>
    <x:row r="1928" ht="18" customHeight="1">
      <x:c r="B1928" s="27" t="str">
        <x:v>A1922</x:v>
      </x:c>
      <x:c r="C1928" s="27" t="str">
        <x:v>acceptance</x:v>
      </x:c>
      <x:c r="D1928" s="27" t="str">
        <x:v>Acceptance row 111 zero credit</x:v>
      </x:c>
      <x:c r="E1928" s="27" t="n">
        <x:f>IF('Acceptance Register'!M111=0,1,0)</x:f>
        <x:v>1</x:v>
      </x:c>
      <x:c r="F1928" s="27" t="n">
        <x:v>1</x:v>
      </x:c>
      <x:c r="G1928" s="29" t="str">
        <x:f>IF(E1928=F1928,"PASS","FAIL")</x:f>
        <x:v>PASS</x:v>
      </x:c>
    </x:row>
    <x:row r="1929" ht="18" customHeight="1">
      <x:c r="B1929" s="27" t="str">
        <x:v>A1923</x:v>
      </x:c>
      <x:c r="C1929" s="27" t="str">
        <x:v>acceptance</x:v>
      </x:c>
      <x:c r="D1929" s="27" t="str">
        <x:v>Acceptance row 112 method present</x:v>
      </x:c>
      <x:c r="E1929" s="27" t="n">
        <x:f>IF('Acceptance Register'!G112&lt;&gt;"",1,0)</x:f>
        <x:v>1</x:v>
      </x:c>
      <x:c r="F1929" s="27" t="n">
        <x:v>1</x:v>
      </x:c>
      <x:c r="G1929" s="29" t="str">
        <x:f>IF(E1929=F1929,"PASS","FAIL")</x:f>
        <x:v>PASS</x:v>
      </x:c>
    </x:row>
    <x:row r="1930" ht="18" customHeight="1">
      <x:c r="B1930" s="27" t="str">
        <x:v>A1924</x:v>
      </x:c>
      <x:c r="C1930" s="27" t="str">
        <x:v>acceptance</x:v>
      </x:c>
      <x:c r="D1930" s="27" t="str">
        <x:v>Acceptance row 112 threshold present</x:v>
      </x:c>
      <x:c r="E1930" s="27" t="n">
        <x:f>IF('Acceptance Register'!H112&lt;&gt;"",1,0)</x:f>
        <x:v>1</x:v>
      </x:c>
      <x:c r="F1930" s="27" t="n">
        <x:v>1</x:v>
      </x:c>
      <x:c r="G1930" s="29" t="str">
        <x:f>IF(E1930=F1930,"PASS","FAIL")</x:f>
        <x:v>PASS</x:v>
      </x:c>
    </x:row>
    <x:row r="1931" ht="18" customHeight="1">
      <x:c r="B1931" s="27" t="str">
        <x:v>A1925</x:v>
      </x:c>
      <x:c r="C1931" s="27" t="str">
        <x:v>acceptance</x:v>
      </x:c>
      <x:c r="D1931" s="27" t="str">
        <x:v>Acceptance row 112 evidence open</x:v>
      </x:c>
      <x:c r="E1931" s="27" t="n">
        <x:f>IF('Acceptance Register'!K112="OPEN",1,0)</x:f>
        <x:v>1</x:v>
      </x:c>
      <x:c r="F1931" s="27" t="n">
        <x:v>1</x:v>
      </x:c>
      <x:c r="G1931" s="29" t="str">
        <x:f>IF(E1931=F1931,"PASS","FAIL")</x:f>
        <x:v>PASS</x:v>
      </x:c>
    </x:row>
    <x:row r="1932" ht="18" customHeight="1">
      <x:c r="B1932" s="27" t="str">
        <x:v>A1926</x:v>
      </x:c>
      <x:c r="C1932" s="27" t="str">
        <x:v>acceptance</x:v>
      </x:c>
      <x:c r="D1932" s="27" t="str">
        <x:v>Acceptance row 112 decision hold</x:v>
      </x:c>
      <x:c r="E1932" s="27" t="n">
        <x:f>IF('Acceptance Register'!L112="HOLD",1,0)</x:f>
        <x:v>1</x:v>
      </x:c>
      <x:c r="F1932" s="27" t="n">
        <x:v>1</x:v>
      </x:c>
      <x:c r="G1932" s="29" t="str">
        <x:f>IF(E1932=F1932,"PASS","FAIL")</x:f>
        <x:v>PASS</x:v>
      </x:c>
    </x:row>
    <x:row r="1933" ht="18" customHeight="1">
      <x:c r="B1933" s="27" t="str">
        <x:v>A1927</x:v>
      </x:c>
      <x:c r="C1933" s="27" t="str">
        <x:v>acceptance</x:v>
      </x:c>
      <x:c r="D1933" s="27" t="str">
        <x:v>Acceptance row 112 zero credit</x:v>
      </x:c>
      <x:c r="E1933" s="27" t="n">
        <x:f>IF('Acceptance Register'!M112=0,1,0)</x:f>
        <x:v>1</x:v>
      </x:c>
      <x:c r="F1933" s="27" t="n">
        <x:v>1</x:v>
      </x:c>
      <x:c r="G1933" s="29" t="str">
        <x:f>IF(E1933=F1933,"PASS","FAIL")</x:f>
        <x:v>PASS</x:v>
      </x:c>
    </x:row>
    <x:row r="1934" ht="18" customHeight="1">
      <x:c r="B1934" s="27" t="str">
        <x:v>A1928</x:v>
      </x:c>
      <x:c r="C1934" s="27" t="str">
        <x:v>acceptance</x:v>
      </x:c>
      <x:c r="D1934" s="27" t="str">
        <x:v>Acceptance row 113 method present</x:v>
      </x:c>
      <x:c r="E1934" s="27" t="n">
        <x:f>IF('Acceptance Register'!G113&lt;&gt;"",1,0)</x:f>
        <x:v>1</x:v>
      </x:c>
      <x:c r="F1934" s="27" t="n">
        <x:v>1</x:v>
      </x:c>
      <x:c r="G1934" s="29" t="str">
        <x:f>IF(E1934=F1934,"PASS","FAIL")</x:f>
        <x:v>PASS</x:v>
      </x:c>
    </x:row>
    <x:row r="1935" ht="18" customHeight="1">
      <x:c r="B1935" s="27" t="str">
        <x:v>A1929</x:v>
      </x:c>
      <x:c r="C1935" s="27" t="str">
        <x:v>acceptance</x:v>
      </x:c>
      <x:c r="D1935" s="27" t="str">
        <x:v>Acceptance row 113 threshold present</x:v>
      </x:c>
      <x:c r="E1935" s="27" t="n">
        <x:f>IF('Acceptance Register'!H113&lt;&gt;"",1,0)</x:f>
        <x:v>1</x:v>
      </x:c>
      <x:c r="F1935" s="27" t="n">
        <x:v>1</x:v>
      </x:c>
      <x:c r="G1935" s="29" t="str">
        <x:f>IF(E1935=F1935,"PASS","FAIL")</x:f>
        <x:v>PASS</x:v>
      </x:c>
    </x:row>
    <x:row r="1936" ht="18" customHeight="1">
      <x:c r="B1936" s="27" t="str">
        <x:v>A1930</x:v>
      </x:c>
      <x:c r="C1936" s="27" t="str">
        <x:v>acceptance</x:v>
      </x:c>
      <x:c r="D1936" s="27" t="str">
        <x:v>Acceptance row 113 evidence open</x:v>
      </x:c>
      <x:c r="E1936" s="27" t="n">
        <x:f>IF('Acceptance Register'!K113="OPEN",1,0)</x:f>
        <x:v>1</x:v>
      </x:c>
      <x:c r="F1936" s="27" t="n">
        <x:v>1</x:v>
      </x:c>
      <x:c r="G1936" s="29" t="str">
        <x:f>IF(E1936=F1936,"PASS","FAIL")</x:f>
        <x:v>PASS</x:v>
      </x:c>
    </x:row>
    <x:row r="1937" ht="18" customHeight="1">
      <x:c r="B1937" s="27" t="str">
        <x:v>A1931</x:v>
      </x:c>
      <x:c r="C1937" s="27" t="str">
        <x:v>acceptance</x:v>
      </x:c>
      <x:c r="D1937" s="27" t="str">
        <x:v>Acceptance row 113 decision hold</x:v>
      </x:c>
      <x:c r="E1937" s="27" t="n">
        <x:f>IF('Acceptance Register'!L113="HOLD",1,0)</x:f>
        <x:v>1</x:v>
      </x:c>
      <x:c r="F1937" s="27" t="n">
        <x:v>1</x:v>
      </x:c>
      <x:c r="G1937" s="29" t="str">
        <x:f>IF(E1937=F1937,"PASS","FAIL")</x:f>
        <x:v>PASS</x:v>
      </x:c>
    </x:row>
    <x:row r="1938" ht="18" customHeight="1">
      <x:c r="B1938" s="27" t="str">
        <x:v>A1932</x:v>
      </x:c>
      <x:c r="C1938" s="27" t="str">
        <x:v>acceptance</x:v>
      </x:c>
      <x:c r="D1938" s="27" t="str">
        <x:v>Acceptance row 113 zero credit</x:v>
      </x:c>
      <x:c r="E1938" s="27" t="n">
        <x:f>IF('Acceptance Register'!M113=0,1,0)</x:f>
        <x:v>1</x:v>
      </x:c>
      <x:c r="F1938" s="27" t="n">
        <x:v>1</x:v>
      </x:c>
      <x:c r="G1938" s="29" t="str">
        <x:f>IF(E1938=F1938,"PASS","FAIL")</x:f>
        <x:v>PASS</x:v>
      </x:c>
    </x:row>
    <x:row r="1939" ht="18" customHeight="1">
      <x:c r="B1939" s="27" t="str">
        <x:v>A1933</x:v>
      </x:c>
      <x:c r="C1939" s="27" t="str">
        <x:v>acceptance</x:v>
      </x:c>
      <x:c r="D1939" s="27" t="str">
        <x:v>Acceptance row 114 method present</x:v>
      </x:c>
      <x:c r="E1939" s="27" t="n">
        <x:f>IF('Acceptance Register'!G114&lt;&gt;"",1,0)</x:f>
        <x:v>1</x:v>
      </x:c>
      <x:c r="F1939" s="27" t="n">
        <x:v>1</x:v>
      </x:c>
      <x:c r="G1939" s="29" t="str">
        <x:f>IF(E1939=F1939,"PASS","FAIL")</x:f>
        <x:v>PASS</x:v>
      </x:c>
    </x:row>
    <x:row r="1940" ht="18" customHeight="1">
      <x:c r="B1940" s="27" t="str">
        <x:v>A1934</x:v>
      </x:c>
      <x:c r="C1940" s="27" t="str">
        <x:v>acceptance</x:v>
      </x:c>
      <x:c r="D1940" s="27" t="str">
        <x:v>Acceptance row 114 threshold present</x:v>
      </x:c>
      <x:c r="E1940" s="27" t="n">
        <x:f>IF('Acceptance Register'!H114&lt;&gt;"",1,0)</x:f>
        <x:v>1</x:v>
      </x:c>
      <x:c r="F1940" s="27" t="n">
        <x:v>1</x:v>
      </x:c>
      <x:c r="G1940" s="29" t="str">
        <x:f>IF(E1940=F1940,"PASS","FAIL")</x:f>
        <x:v>PASS</x:v>
      </x:c>
    </x:row>
    <x:row r="1941" ht="18" customHeight="1">
      <x:c r="B1941" s="27" t="str">
        <x:v>A1935</x:v>
      </x:c>
      <x:c r="C1941" s="27" t="str">
        <x:v>acceptance</x:v>
      </x:c>
      <x:c r="D1941" s="27" t="str">
        <x:v>Acceptance row 114 evidence open</x:v>
      </x:c>
      <x:c r="E1941" s="27" t="n">
        <x:f>IF('Acceptance Register'!K114="OPEN",1,0)</x:f>
        <x:v>1</x:v>
      </x:c>
      <x:c r="F1941" s="27" t="n">
        <x:v>1</x:v>
      </x:c>
      <x:c r="G1941" s="29" t="str">
        <x:f>IF(E1941=F1941,"PASS","FAIL")</x:f>
        <x:v>PASS</x:v>
      </x:c>
    </x:row>
    <x:row r="1942" ht="18" customHeight="1">
      <x:c r="B1942" s="27" t="str">
        <x:v>A1936</x:v>
      </x:c>
      <x:c r="C1942" s="27" t="str">
        <x:v>acceptance</x:v>
      </x:c>
      <x:c r="D1942" s="27" t="str">
        <x:v>Acceptance row 114 decision hold</x:v>
      </x:c>
      <x:c r="E1942" s="27" t="n">
        <x:f>IF('Acceptance Register'!L114="HOLD",1,0)</x:f>
        <x:v>1</x:v>
      </x:c>
      <x:c r="F1942" s="27" t="n">
        <x:v>1</x:v>
      </x:c>
      <x:c r="G1942" s="29" t="str">
        <x:f>IF(E1942=F1942,"PASS","FAIL")</x:f>
        <x:v>PASS</x:v>
      </x:c>
    </x:row>
    <x:row r="1943" ht="18" customHeight="1">
      <x:c r="B1943" s="27" t="str">
        <x:v>A1937</x:v>
      </x:c>
      <x:c r="C1943" s="27" t="str">
        <x:v>acceptance</x:v>
      </x:c>
      <x:c r="D1943" s="27" t="str">
        <x:v>Acceptance row 114 zero credit</x:v>
      </x:c>
      <x:c r="E1943" s="27" t="n">
        <x:f>IF('Acceptance Register'!M114=0,1,0)</x:f>
        <x:v>1</x:v>
      </x:c>
      <x:c r="F1943" s="27" t="n">
        <x:v>1</x:v>
      </x:c>
      <x:c r="G1943" s="29" t="str">
        <x:f>IF(E1943=F1943,"PASS","FAIL")</x:f>
        <x:v>PASS</x:v>
      </x:c>
    </x:row>
    <x:row r="1944" ht="18" customHeight="1">
      <x:c r="B1944" s="27" t="str">
        <x:v>A1938</x:v>
      </x:c>
      <x:c r="C1944" s="27" t="str">
        <x:v>acceptance</x:v>
      </x:c>
      <x:c r="D1944" s="27" t="str">
        <x:v>Acceptance row 115 method present</x:v>
      </x:c>
      <x:c r="E1944" s="27" t="n">
        <x:f>IF('Acceptance Register'!G115&lt;&gt;"",1,0)</x:f>
        <x:v>1</x:v>
      </x:c>
      <x:c r="F1944" s="27" t="n">
        <x:v>1</x:v>
      </x:c>
      <x:c r="G1944" s="29" t="str">
        <x:f>IF(E1944=F1944,"PASS","FAIL")</x:f>
        <x:v>PASS</x:v>
      </x:c>
    </x:row>
    <x:row r="1945" ht="18" customHeight="1">
      <x:c r="B1945" s="27" t="str">
        <x:v>A1939</x:v>
      </x:c>
      <x:c r="C1945" s="27" t="str">
        <x:v>acceptance</x:v>
      </x:c>
      <x:c r="D1945" s="27" t="str">
        <x:v>Acceptance row 115 threshold present</x:v>
      </x:c>
      <x:c r="E1945" s="27" t="n">
        <x:f>IF('Acceptance Register'!H115&lt;&gt;"",1,0)</x:f>
        <x:v>1</x:v>
      </x:c>
      <x:c r="F1945" s="27" t="n">
        <x:v>1</x:v>
      </x:c>
      <x:c r="G1945" s="29" t="str">
        <x:f>IF(E1945=F1945,"PASS","FAIL")</x:f>
        <x:v>PASS</x:v>
      </x:c>
    </x:row>
    <x:row r="1946" ht="18" customHeight="1">
      <x:c r="B1946" s="27" t="str">
        <x:v>A1940</x:v>
      </x:c>
      <x:c r="C1946" s="27" t="str">
        <x:v>acceptance</x:v>
      </x:c>
      <x:c r="D1946" s="27" t="str">
        <x:v>Acceptance row 115 evidence open</x:v>
      </x:c>
      <x:c r="E1946" s="27" t="n">
        <x:f>IF('Acceptance Register'!K115="OPEN",1,0)</x:f>
        <x:v>1</x:v>
      </x:c>
      <x:c r="F1946" s="27" t="n">
        <x:v>1</x:v>
      </x:c>
      <x:c r="G1946" s="29" t="str">
        <x:f>IF(E1946=F1946,"PASS","FAIL")</x:f>
        <x:v>PASS</x:v>
      </x:c>
    </x:row>
    <x:row r="1947" ht="18" customHeight="1">
      <x:c r="B1947" s="27" t="str">
        <x:v>A1941</x:v>
      </x:c>
      <x:c r="C1947" s="27" t="str">
        <x:v>acceptance</x:v>
      </x:c>
      <x:c r="D1947" s="27" t="str">
        <x:v>Acceptance row 115 decision hold</x:v>
      </x:c>
      <x:c r="E1947" s="27" t="n">
        <x:f>IF('Acceptance Register'!L115="HOLD",1,0)</x:f>
        <x:v>1</x:v>
      </x:c>
      <x:c r="F1947" s="27" t="n">
        <x:v>1</x:v>
      </x:c>
      <x:c r="G1947" s="29" t="str">
        <x:f>IF(E1947=F1947,"PASS","FAIL")</x:f>
        <x:v>PASS</x:v>
      </x:c>
    </x:row>
    <x:row r="1948" ht="18" customHeight="1">
      <x:c r="B1948" s="27" t="str">
        <x:v>A1942</x:v>
      </x:c>
      <x:c r="C1948" s="27" t="str">
        <x:v>acceptance</x:v>
      </x:c>
      <x:c r="D1948" s="27" t="str">
        <x:v>Acceptance row 115 zero credit</x:v>
      </x:c>
      <x:c r="E1948" s="27" t="n">
        <x:f>IF('Acceptance Register'!M115=0,1,0)</x:f>
        <x:v>1</x:v>
      </x:c>
      <x:c r="F1948" s="27" t="n">
        <x:v>1</x:v>
      </x:c>
      <x:c r="G1948" s="29" t="str">
        <x:f>IF(E1948=F1948,"PASS","FAIL")</x:f>
        <x:v>PASS</x:v>
      </x:c>
    </x:row>
    <x:row r="1949" ht="18" customHeight="1">
      <x:c r="B1949" s="27" t="str">
        <x:v>A1943</x:v>
      </x:c>
      <x:c r="C1949" s="27" t="str">
        <x:v>acceptance</x:v>
      </x:c>
      <x:c r="D1949" s="27" t="str">
        <x:v>Acceptance row 116 method present</x:v>
      </x:c>
      <x:c r="E1949" s="27" t="n">
        <x:f>IF('Acceptance Register'!G116&lt;&gt;"",1,0)</x:f>
        <x:v>1</x:v>
      </x:c>
      <x:c r="F1949" s="27" t="n">
        <x:v>1</x:v>
      </x:c>
      <x:c r="G1949" s="29" t="str">
        <x:f>IF(E1949=F1949,"PASS","FAIL")</x:f>
        <x:v>PASS</x:v>
      </x:c>
    </x:row>
    <x:row r="1950" ht="18" customHeight="1">
      <x:c r="B1950" s="27" t="str">
        <x:v>A1944</x:v>
      </x:c>
      <x:c r="C1950" s="27" t="str">
        <x:v>acceptance</x:v>
      </x:c>
      <x:c r="D1950" s="27" t="str">
        <x:v>Acceptance row 116 threshold present</x:v>
      </x:c>
      <x:c r="E1950" s="27" t="n">
        <x:f>IF('Acceptance Register'!H116&lt;&gt;"",1,0)</x:f>
        <x:v>1</x:v>
      </x:c>
      <x:c r="F1950" s="27" t="n">
        <x:v>1</x:v>
      </x:c>
      <x:c r="G1950" s="29" t="str">
        <x:f>IF(E1950=F1950,"PASS","FAIL")</x:f>
        <x:v>PASS</x:v>
      </x:c>
    </x:row>
    <x:row r="1951" ht="18" customHeight="1">
      <x:c r="B1951" s="27" t="str">
        <x:v>A1945</x:v>
      </x:c>
      <x:c r="C1951" s="27" t="str">
        <x:v>acceptance</x:v>
      </x:c>
      <x:c r="D1951" s="27" t="str">
        <x:v>Acceptance row 116 evidence open</x:v>
      </x:c>
      <x:c r="E1951" s="27" t="n">
        <x:f>IF('Acceptance Register'!K116="OPEN",1,0)</x:f>
        <x:v>1</x:v>
      </x:c>
      <x:c r="F1951" s="27" t="n">
        <x:v>1</x:v>
      </x:c>
      <x:c r="G1951" s="29" t="str">
        <x:f>IF(E1951=F1951,"PASS","FAIL")</x:f>
        <x:v>PASS</x:v>
      </x:c>
    </x:row>
    <x:row r="1952" ht="18" customHeight="1">
      <x:c r="B1952" s="27" t="str">
        <x:v>A1946</x:v>
      </x:c>
      <x:c r="C1952" s="27" t="str">
        <x:v>acceptance</x:v>
      </x:c>
      <x:c r="D1952" s="27" t="str">
        <x:v>Acceptance row 116 decision hold</x:v>
      </x:c>
      <x:c r="E1952" s="27" t="n">
        <x:f>IF('Acceptance Register'!L116="HOLD",1,0)</x:f>
        <x:v>1</x:v>
      </x:c>
      <x:c r="F1952" s="27" t="n">
        <x:v>1</x:v>
      </x:c>
      <x:c r="G1952" s="29" t="str">
        <x:f>IF(E1952=F1952,"PASS","FAIL")</x:f>
        <x:v>PASS</x:v>
      </x:c>
    </x:row>
    <x:row r="1953" ht="18" customHeight="1">
      <x:c r="B1953" s="27" t="str">
        <x:v>A1947</x:v>
      </x:c>
      <x:c r="C1953" s="27" t="str">
        <x:v>acceptance</x:v>
      </x:c>
      <x:c r="D1953" s="27" t="str">
        <x:v>Acceptance row 116 zero credit</x:v>
      </x:c>
      <x:c r="E1953" s="27" t="n">
        <x:f>IF('Acceptance Register'!M116=0,1,0)</x:f>
        <x:v>1</x:v>
      </x:c>
      <x:c r="F1953" s="27" t="n">
        <x:v>1</x:v>
      </x:c>
      <x:c r="G1953" s="29" t="str">
        <x:f>IF(E1953=F1953,"PASS","FAIL")</x:f>
        <x:v>PASS</x:v>
      </x:c>
    </x:row>
    <x:row r="1954" ht="18" customHeight="1">
      <x:c r="B1954" s="27" t="str">
        <x:v>A1948</x:v>
      </x:c>
      <x:c r="C1954" s="27" t="str">
        <x:v>acceptance</x:v>
      </x:c>
      <x:c r="D1954" s="27" t="str">
        <x:v>Acceptance row 117 method present</x:v>
      </x:c>
      <x:c r="E1954" s="27" t="n">
        <x:f>IF('Acceptance Register'!G117&lt;&gt;"",1,0)</x:f>
        <x:v>1</x:v>
      </x:c>
      <x:c r="F1954" s="27" t="n">
        <x:v>1</x:v>
      </x:c>
      <x:c r="G1954" s="29" t="str">
        <x:f>IF(E1954=F1954,"PASS","FAIL")</x:f>
        <x:v>PASS</x:v>
      </x:c>
    </x:row>
    <x:row r="1955" ht="18" customHeight="1">
      <x:c r="B1955" s="27" t="str">
        <x:v>A1949</x:v>
      </x:c>
      <x:c r="C1955" s="27" t="str">
        <x:v>acceptance</x:v>
      </x:c>
      <x:c r="D1955" s="27" t="str">
        <x:v>Acceptance row 117 threshold present</x:v>
      </x:c>
      <x:c r="E1955" s="27" t="n">
        <x:f>IF('Acceptance Register'!H117&lt;&gt;"",1,0)</x:f>
        <x:v>1</x:v>
      </x:c>
      <x:c r="F1955" s="27" t="n">
        <x:v>1</x:v>
      </x:c>
      <x:c r="G1955" s="29" t="str">
        <x:f>IF(E1955=F1955,"PASS","FAIL")</x:f>
        <x:v>PASS</x:v>
      </x:c>
    </x:row>
    <x:row r="1956" ht="18" customHeight="1">
      <x:c r="B1956" s="27" t="str">
        <x:v>A1950</x:v>
      </x:c>
      <x:c r="C1956" s="27" t="str">
        <x:v>acceptance</x:v>
      </x:c>
      <x:c r="D1956" s="27" t="str">
        <x:v>Acceptance row 117 evidence open</x:v>
      </x:c>
      <x:c r="E1956" s="27" t="n">
        <x:f>IF('Acceptance Register'!K117="OPEN",1,0)</x:f>
        <x:v>1</x:v>
      </x:c>
      <x:c r="F1956" s="27" t="n">
        <x:v>1</x:v>
      </x:c>
      <x:c r="G1956" s="29" t="str">
        <x:f>IF(E1956=F1956,"PASS","FAIL")</x:f>
        <x:v>PASS</x:v>
      </x:c>
    </x:row>
    <x:row r="1957" ht="18" customHeight="1">
      <x:c r="B1957" s="27" t="str">
        <x:v>A1951</x:v>
      </x:c>
      <x:c r="C1957" s="27" t="str">
        <x:v>acceptance</x:v>
      </x:c>
      <x:c r="D1957" s="27" t="str">
        <x:v>Acceptance row 117 decision hold</x:v>
      </x:c>
      <x:c r="E1957" s="27" t="n">
        <x:f>IF('Acceptance Register'!L117="HOLD",1,0)</x:f>
        <x:v>1</x:v>
      </x:c>
      <x:c r="F1957" s="27" t="n">
        <x:v>1</x:v>
      </x:c>
      <x:c r="G1957" s="29" t="str">
        <x:f>IF(E1957=F1957,"PASS","FAIL")</x:f>
        <x:v>PASS</x:v>
      </x:c>
    </x:row>
    <x:row r="1958" ht="18" customHeight="1">
      <x:c r="B1958" s="27" t="str">
        <x:v>A1952</x:v>
      </x:c>
      <x:c r="C1958" s="27" t="str">
        <x:v>acceptance</x:v>
      </x:c>
      <x:c r="D1958" s="27" t="str">
        <x:v>Acceptance row 117 zero credit</x:v>
      </x:c>
      <x:c r="E1958" s="27" t="n">
        <x:f>IF('Acceptance Register'!M117=0,1,0)</x:f>
        <x:v>1</x:v>
      </x:c>
      <x:c r="F1958" s="27" t="n">
        <x:v>1</x:v>
      </x:c>
      <x:c r="G1958" s="29" t="str">
        <x:f>IF(E1958=F1958,"PASS","FAIL")</x:f>
        <x:v>PASS</x:v>
      </x:c>
    </x:row>
    <x:row r="1959" ht="18" customHeight="1">
      <x:c r="B1959" s="27" t="str">
        <x:v>A1953</x:v>
      </x:c>
      <x:c r="C1959" s="27" t="str">
        <x:v>acceptance</x:v>
      </x:c>
      <x:c r="D1959" s="27" t="str">
        <x:v>Acceptance row 118 method present</x:v>
      </x:c>
      <x:c r="E1959" s="27" t="n">
        <x:f>IF('Acceptance Register'!G118&lt;&gt;"",1,0)</x:f>
        <x:v>1</x:v>
      </x:c>
      <x:c r="F1959" s="27" t="n">
        <x:v>1</x:v>
      </x:c>
      <x:c r="G1959" s="29" t="str">
        <x:f>IF(E1959=F1959,"PASS","FAIL")</x:f>
        <x:v>PASS</x:v>
      </x:c>
    </x:row>
    <x:row r="1960" ht="18" customHeight="1">
      <x:c r="B1960" s="27" t="str">
        <x:v>A1954</x:v>
      </x:c>
      <x:c r="C1960" s="27" t="str">
        <x:v>acceptance</x:v>
      </x:c>
      <x:c r="D1960" s="27" t="str">
        <x:v>Acceptance row 118 threshold present</x:v>
      </x:c>
      <x:c r="E1960" s="27" t="n">
        <x:f>IF('Acceptance Register'!H118&lt;&gt;"",1,0)</x:f>
        <x:v>1</x:v>
      </x:c>
      <x:c r="F1960" s="27" t="n">
        <x:v>1</x:v>
      </x:c>
      <x:c r="G1960" s="29" t="str">
        <x:f>IF(E1960=F1960,"PASS","FAIL")</x:f>
        <x:v>PASS</x:v>
      </x:c>
    </x:row>
    <x:row r="1961" ht="18" customHeight="1">
      <x:c r="B1961" s="27" t="str">
        <x:v>A1955</x:v>
      </x:c>
      <x:c r="C1961" s="27" t="str">
        <x:v>acceptance</x:v>
      </x:c>
      <x:c r="D1961" s="27" t="str">
        <x:v>Acceptance row 118 evidence open</x:v>
      </x:c>
      <x:c r="E1961" s="27" t="n">
        <x:f>IF('Acceptance Register'!K118="OPEN",1,0)</x:f>
        <x:v>1</x:v>
      </x:c>
      <x:c r="F1961" s="27" t="n">
        <x:v>1</x:v>
      </x:c>
      <x:c r="G1961" s="29" t="str">
        <x:f>IF(E1961=F1961,"PASS","FAIL")</x:f>
        <x:v>PASS</x:v>
      </x:c>
    </x:row>
    <x:row r="1962" ht="18" customHeight="1">
      <x:c r="B1962" s="27" t="str">
        <x:v>A1956</x:v>
      </x:c>
      <x:c r="C1962" s="27" t="str">
        <x:v>acceptance</x:v>
      </x:c>
      <x:c r="D1962" s="27" t="str">
        <x:v>Acceptance row 118 decision hold</x:v>
      </x:c>
      <x:c r="E1962" s="27" t="n">
        <x:f>IF('Acceptance Register'!L118="HOLD",1,0)</x:f>
        <x:v>1</x:v>
      </x:c>
      <x:c r="F1962" s="27" t="n">
        <x:v>1</x:v>
      </x:c>
      <x:c r="G1962" s="29" t="str">
        <x:f>IF(E1962=F1962,"PASS","FAIL")</x:f>
        <x:v>PASS</x:v>
      </x:c>
    </x:row>
    <x:row r="1963" ht="18" customHeight="1">
      <x:c r="B1963" s="27" t="str">
        <x:v>A1957</x:v>
      </x:c>
      <x:c r="C1963" s="27" t="str">
        <x:v>acceptance</x:v>
      </x:c>
      <x:c r="D1963" s="27" t="str">
        <x:v>Acceptance row 118 zero credit</x:v>
      </x:c>
      <x:c r="E1963" s="27" t="n">
        <x:f>IF('Acceptance Register'!M118=0,1,0)</x:f>
        <x:v>1</x:v>
      </x:c>
      <x:c r="F1963" s="27" t="n">
        <x:v>1</x:v>
      </x:c>
      <x:c r="G1963" s="29" t="str">
        <x:f>IF(E1963=F1963,"PASS","FAIL")</x:f>
        <x:v>PASS</x:v>
      </x:c>
    </x:row>
    <x:row r="1964" ht="18" customHeight="1">
      <x:c r="B1964" s="27" t="str">
        <x:v>A1958</x:v>
      </x:c>
      <x:c r="C1964" s="27" t="str">
        <x:v>acceptance</x:v>
      </x:c>
      <x:c r="D1964" s="27" t="str">
        <x:v>Acceptance row 119 method present</x:v>
      </x:c>
      <x:c r="E1964" s="27" t="n">
        <x:f>IF('Acceptance Register'!G119&lt;&gt;"",1,0)</x:f>
        <x:v>1</x:v>
      </x:c>
      <x:c r="F1964" s="27" t="n">
        <x:v>1</x:v>
      </x:c>
      <x:c r="G1964" s="29" t="str">
        <x:f>IF(E1964=F1964,"PASS","FAIL")</x:f>
        <x:v>PASS</x:v>
      </x:c>
    </x:row>
    <x:row r="1965" ht="18" customHeight="1">
      <x:c r="B1965" s="27" t="str">
        <x:v>A1959</x:v>
      </x:c>
      <x:c r="C1965" s="27" t="str">
        <x:v>acceptance</x:v>
      </x:c>
      <x:c r="D1965" s="27" t="str">
        <x:v>Acceptance row 119 threshold present</x:v>
      </x:c>
      <x:c r="E1965" s="27" t="n">
        <x:f>IF('Acceptance Register'!H119&lt;&gt;"",1,0)</x:f>
        <x:v>1</x:v>
      </x:c>
      <x:c r="F1965" s="27" t="n">
        <x:v>1</x:v>
      </x:c>
      <x:c r="G1965" s="29" t="str">
        <x:f>IF(E1965=F1965,"PASS","FAIL")</x:f>
        <x:v>PASS</x:v>
      </x:c>
    </x:row>
    <x:row r="1966" ht="18" customHeight="1">
      <x:c r="B1966" s="27" t="str">
        <x:v>A1960</x:v>
      </x:c>
      <x:c r="C1966" s="27" t="str">
        <x:v>acceptance</x:v>
      </x:c>
      <x:c r="D1966" s="27" t="str">
        <x:v>Acceptance row 119 evidence open</x:v>
      </x:c>
      <x:c r="E1966" s="27" t="n">
        <x:f>IF('Acceptance Register'!K119="OPEN",1,0)</x:f>
        <x:v>1</x:v>
      </x:c>
      <x:c r="F1966" s="27" t="n">
        <x:v>1</x:v>
      </x:c>
      <x:c r="G1966" s="29" t="str">
        <x:f>IF(E1966=F1966,"PASS","FAIL")</x:f>
        <x:v>PASS</x:v>
      </x:c>
    </x:row>
    <x:row r="1967" ht="18" customHeight="1">
      <x:c r="B1967" s="27" t="str">
        <x:v>A1961</x:v>
      </x:c>
      <x:c r="C1967" s="27" t="str">
        <x:v>acceptance</x:v>
      </x:c>
      <x:c r="D1967" s="27" t="str">
        <x:v>Acceptance row 119 decision hold</x:v>
      </x:c>
      <x:c r="E1967" s="27" t="n">
        <x:f>IF('Acceptance Register'!L119="HOLD",1,0)</x:f>
        <x:v>1</x:v>
      </x:c>
      <x:c r="F1967" s="27" t="n">
        <x:v>1</x:v>
      </x:c>
      <x:c r="G1967" s="29" t="str">
        <x:f>IF(E1967=F1967,"PASS","FAIL")</x:f>
        <x:v>PASS</x:v>
      </x:c>
    </x:row>
    <x:row r="1968" ht="18" customHeight="1">
      <x:c r="B1968" s="27" t="str">
        <x:v>A1962</x:v>
      </x:c>
      <x:c r="C1968" s="27" t="str">
        <x:v>acceptance</x:v>
      </x:c>
      <x:c r="D1968" s="27" t="str">
        <x:v>Acceptance row 119 zero credit</x:v>
      </x:c>
      <x:c r="E1968" s="27" t="n">
        <x:f>IF('Acceptance Register'!M119=0,1,0)</x:f>
        <x:v>1</x:v>
      </x:c>
      <x:c r="F1968" s="27" t="n">
        <x:v>1</x:v>
      </x:c>
      <x:c r="G1968" s="29" t="str">
        <x:f>IF(E1968=F1968,"PASS","FAIL")</x:f>
        <x:v>PASS</x:v>
      </x:c>
    </x:row>
    <x:row r="1969" ht="18" customHeight="1">
      <x:c r="B1969" s="27" t="str">
        <x:v>A1963</x:v>
      </x:c>
      <x:c r="C1969" s="27" t="str">
        <x:v>acceptance</x:v>
      </x:c>
      <x:c r="D1969" s="27" t="str">
        <x:v>Acceptance row 120 method present</x:v>
      </x:c>
      <x:c r="E1969" s="27" t="n">
        <x:f>IF('Acceptance Register'!G120&lt;&gt;"",1,0)</x:f>
        <x:v>1</x:v>
      </x:c>
      <x:c r="F1969" s="27" t="n">
        <x:v>1</x:v>
      </x:c>
      <x:c r="G1969" s="29" t="str">
        <x:f>IF(E1969=F1969,"PASS","FAIL")</x:f>
        <x:v>PASS</x:v>
      </x:c>
    </x:row>
    <x:row r="1970" ht="18" customHeight="1">
      <x:c r="B1970" s="27" t="str">
        <x:v>A1964</x:v>
      </x:c>
      <x:c r="C1970" s="27" t="str">
        <x:v>acceptance</x:v>
      </x:c>
      <x:c r="D1970" s="27" t="str">
        <x:v>Acceptance row 120 threshold present</x:v>
      </x:c>
      <x:c r="E1970" s="27" t="n">
        <x:f>IF('Acceptance Register'!H120&lt;&gt;"",1,0)</x:f>
        <x:v>1</x:v>
      </x:c>
      <x:c r="F1970" s="27" t="n">
        <x:v>1</x:v>
      </x:c>
      <x:c r="G1970" s="29" t="str">
        <x:f>IF(E1970=F1970,"PASS","FAIL")</x:f>
        <x:v>PASS</x:v>
      </x:c>
    </x:row>
    <x:row r="1971" ht="18" customHeight="1">
      <x:c r="B1971" s="27" t="str">
        <x:v>A1965</x:v>
      </x:c>
      <x:c r="C1971" s="27" t="str">
        <x:v>acceptance</x:v>
      </x:c>
      <x:c r="D1971" s="27" t="str">
        <x:v>Acceptance row 120 evidence open</x:v>
      </x:c>
      <x:c r="E1971" s="27" t="n">
        <x:f>IF('Acceptance Register'!K120="OPEN",1,0)</x:f>
        <x:v>1</x:v>
      </x:c>
      <x:c r="F1971" s="27" t="n">
        <x:v>1</x:v>
      </x:c>
      <x:c r="G1971" s="29" t="str">
        <x:f>IF(E1971=F1971,"PASS","FAIL")</x:f>
        <x:v>PASS</x:v>
      </x:c>
    </x:row>
    <x:row r="1972" ht="18" customHeight="1">
      <x:c r="B1972" s="27" t="str">
        <x:v>A1966</x:v>
      </x:c>
      <x:c r="C1972" s="27" t="str">
        <x:v>acceptance</x:v>
      </x:c>
      <x:c r="D1972" s="27" t="str">
        <x:v>Acceptance row 120 decision hold</x:v>
      </x:c>
      <x:c r="E1972" s="27" t="n">
        <x:f>IF('Acceptance Register'!L120="HOLD",1,0)</x:f>
        <x:v>1</x:v>
      </x:c>
      <x:c r="F1972" s="27" t="n">
        <x:v>1</x:v>
      </x:c>
      <x:c r="G1972" s="29" t="str">
        <x:f>IF(E1972=F1972,"PASS","FAIL")</x:f>
        <x:v>PASS</x:v>
      </x:c>
    </x:row>
    <x:row r="1973" ht="18" customHeight="1">
      <x:c r="B1973" s="27" t="str">
        <x:v>A1967</x:v>
      </x:c>
      <x:c r="C1973" s="27" t="str">
        <x:v>acceptance</x:v>
      </x:c>
      <x:c r="D1973" s="27" t="str">
        <x:v>Acceptance row 120 zero credit</x:v>
      </x:c>
      <x:c r="E1973" s="27" t="n">
        <x:f>IF('Acceptance Register'!M120=0,1,0)</x:f>
        <x:v>1</x:v>
      </x:c>
      <x:c r="F1973" s="27" t="n">
        <x:v>1</x:v>
      </x:c>
      <x:c r="G1973" s="29" t="str">
        <x:f>IF(E1973=F1973,"PASS","FAIL")</x:f>
        <x:v>PASS</x:v>
      </x:c>
    </x:row>
    <x:row r="1974" ht="18" customHeight="1">
      <x:c r="B1974" s="27" t="str">
        <x:v>A1968</x:v>
      </x:c>
      <x:c r="C1974" s="27" t="str">
        <x:v>acceptance</x:v>
      </x:c>
      <x:c r="D1974" s="27" t="str">
        <x:v>Acceptance row 121 method present</x:v>
      </x:c>
      <x:c r="E1974" s="27" t="n">
        <x:f>IF('Acceptance Register'!G121&lt;&gt;"",1,0)</x:f>
        <x:v>1</x:v>
      </x:c>
      <x:c r="F1974" s="27" t="n">
        <x:v>1</x:v>
      </x:c>
      <x:c r="G1974" s="29" t="str">
        <x:f>IF(E1974=F1974,"PASS","FAIL")</x:f>
        <x:v>PASS</x:v>
      </x:c>
    </x:row>
    <x:row r="1975" ht="18" customHeight="1">
      <x:c r="B1975" s="27" t="str">
        <x:v>A1969</x:v>
      </x:c>
      <x:c r="C1975" s="27" t="str">
        <x:v>acceptance</x:v>
      </x:c>
      <x:c r="D1975" s="27" t="str">
        <x:v>Acceptance row 121 threshold present</x:v>
      </x:c>
      <x:c r="E1975" s="27" t="n">
        <x:f>IF('Acceptance Register'!H121&lt;&gt;"",1,0)</x:f>
        <x:v>1</x:v>
      </x:c>
      <x:c r="F1975" s="27" t="n">
        <x:v>1</x:v>
      </x:c>
      <x:c r="G1975" s="29" t="str">
        <x:f>IF(E1975=F1975,"PASS","FAIL")</x:f>
        <x:v>PASS</x:v>
      </x:c>
    </x:row>
    <x:row r="1976" ht="18" customHeight="1">
      <x:c r="B1976" s="27" t="str">
        <x:v>A1970</x:v>
      </x:c>
      <x:c r="C1976" s="27" t="str">
        <x:v>acceptance</x:v>
      </x:c>
      <x:c r="D1976" s="27" t="str">
        <x:v>Acceptance row 121 evidence open</x:v>
      </x:c>
      <x:c r="E1976" s="27" t="n">
        <x:f>IF('Acceptance Register'!K121="OPEN",1,0)</x:f>
        <x:v>1</x:v>
      </x:c>
      <x:c r="F1976" s="27" t="n">
        <x:v>1</x:v>
      </x:c>
      <x:c r="G1976" s="29" t="str">
        <x:f>IF(E1976=F1976,"PASS","FAIL")</x:f>
        <x:v>PASS</x:v>
      </x:c>
    </x:row>
    <x:row r="1977" ht="18" customHeight="1">
      <x:c r="B1977" s="27" t="str">
        <x:v>A1971</x:v>
      </x:c>
      <x:c r="C1977" s="27" t="str">
        <x:v>acceptance</x:v>
      </x:c>
      <x:c r="D1977" s="27" t="str">
        <x:v>Acceptance row 121 decision hold</x:v>
      </x:c>
      <x:c r="E1977" s="27" t="n">
        <x:f>IF('Acceptance Register'!L121="HOLD",1,0)</x:f>
        <x:v>1</x:v>
      </x:c>
      <x:c r="F1977" s="27" t="n">
        <x:v>1</x:v>
      </x:c>
      <x:c r="G1977" s="29" t="str">
        <x:f>IF(E1977=F1977,"PASS","FAIL")</x:f>
        <x:v>PASS</x:v>
      </x:c>
    </x:row>
    <x:row r="1978" ht="18" customHeight="1">
      <x:c r="B1978" s="27" t="str">
        <x:v>A1972</x:v>
      </x:c>
      <x:c r="C1978" s="27" t="str">
        <x:v>acceptance</x:v>
      </x:c>
      <x:c r="D1978" s="27" t="str">
        <x:v>Acceptance row 121 zero credit</x:v>
      </x:c>
      <x:c r="E1978" s="27" t="n">
        <x:f>IF('Acceptance Register'!M121=0,1,0)</x:f>
        <x:v>1</x:v>
      </x:c>
      <x:c r="F1978" s="27" t="n">
        <x:v>1</x:v>
      </x:c>
      <x:c r="G1978" s="29" t="str">
        <x:f>IF(E1978=F1978,"PASS","FAIL")</x:f>
        <x:v>PASS</x:v>
      </x:c>
    </x:row>
    <x:row r="1979" ht="18" customHeight="1">
      <x:c r="B1979" s="27" t="str">
        <x:v>A1973</x:v>
      </x:c>
      <x:c r="C1979" s="27" t="str">
        <x:v>acceptance</x:v>
      </x:c>
      <x:c r="D1979" s="27" t="str">
        <x:v>Acceptance row 122 method present</x:v>
      </x:c>
      <x:c r="E1979" s="27" t="n">
        <x:f>IF('Acceptance Register'!G122&lt;&gt;"",1,0)</x:f>
        <x:v>1</x:v>
      </x:c>
      <x:c r="F1979" s="27" t="n">
        <x:v>1</x:v>
      </x:c>
      <x:c r="G1979" s="29" t="str">
        <x:f>IF(E1979=F1979,"PASS","FAIL")</x:f>
        <x:v>PASS</x:v>
      </x:c>
    </x:row>
    <x:row r="1980" ht="18" customHeight="1">
      <x:c r="B1980" s="27" t="str">
        <x:v>A1974</x:v>
      </x:c>
      <x:c r="C1980" s="27" t="str">
        <x:v>acceptance</x:v>
      </x:c>
      <x:c r="D1980" s="27" t="str">
        <x:v>Acceptance row 122 threshold present</x:v>
      </x:c>
      <x:c r="E1980" s="27" t="n">
        <x:f>IF('Acceptance Register'!H122&lt;&gt;"",1,0)</x:f>
        <x:v>1</x:v>
      </x:c>
      <x:c r="F1980" s="27" t="n">
        <x:v>1</x:v>
      </x:c>
      <x:c r="G1980" s="29" t="str">
        <x:f>IF(E1980=F1980,"PASS","FAIL")</x:f>
        <x:v>PASS</x:v>
      </x:c>
    </x:row>
    <x:row r="1981" ht="18" customHeight="1">
      <x:c r="B1981" s="27" t="str">
        <x:v>A1975</x:v>
      </x:c>
      <x:c r="C1981" s="27" t="str">
        <x:v>acceptance</x:v>
      </x:c>
      <x:c r="D1981" s="27" t="str">
        <x:v>Acceptance row 122 evidence open</x:v>
      </x:c>
      <x:c r="E1981" s="27" t="n">
        <x:f>IF('Acceptance Register'!K122="OPEN",1,0)</x:f>
        <x:v>1</x:v>
      </x:c>
      <x:c r="F1981" s="27" t="n">
        <x:v>1</x:v>
      </x:c>
      <x:c r="G1981" s="29" t="str">
        <x:f>IF(E1981=F1981,"PASS","FAIL")</x:f>
        <x:v>PASS</x:v>
      </x:c>
    </x:row>
    <x:row r="1982" ht="18" customHeight="1">
      <x:c r="B1982" s="27" t="str">
        <x:v>A1976</x:v>
      </x:c>
      <x:c r="C1982" s="27" t="str">
        <x:v>acceptance</x:v>
      </x:c>
      <x:c r="D1982" s="27" t="str">
        <x:v>Acceptance row 122 decision hold</x:v>
      </x:c>
      <x:c r="E1982" s="27" t="n">
        <x:f>IF('Acceptance Register'!L122="HOLD",1,0)</x:f>
        <x:v>1</x:v>
      </x:c>
      <x:c r="F1982" s="27" t="n">
        <x:v>1</x:v>
      </x:c>
      <x:c r="G1982" s="29" t="str">
        <x:f>IF(E1982=F1982,"PASS","FAIL")</x:f>
        <x:v>PASS</x:v>
      </x:c>
    </x:row>
    <x:row r="1983" ht="18" customHeight="1">
      <x:c r="B1983" s="27" t="str">
        <x:v>A1977</x:v>
      </x:c>
      <x:c r="C1983" s="27" t="str">
        <x:v>acceptance</x:v>
      </x:c>
      <x:c r="D1983" s="27" t="str">
        <x:v>Acceptance row 122 zero credit</x:v>
      </x:c>
      <x:c r="E1983" s="27" t="n">
        <x:f>IF('Acceptance Register'!M122=0,1,0)</x:f>
        <x:v>1</x:v>
      </x:c>
      <x:c r="F1983" s="27" t="n">
        <x:v>1</x:v>
      </x:c>
      <x:c r="G1983" s="29" t="str">
        <x:f>IF(E1983=F1983,"PASS","FAIL")</x:f>
        <x:v>PASS</x:v>
      </x:c>
    </x:row>
    <x:row r="1984" ht="18" customHeight="1">
      <x:c r="B1984" s="27" t="str">
        <x:v>A1978</x:v>
      </x:c>
      <x:c r="C1984" s="27" t="str">
        <x:v>acceptance</x:v>
      </x:c>
      <x:c r="D1984" s="27" t="str">
        <x:v>Acceptance row 123 method present</x:v>
      </x:c>
      <x:c r="E1984" s="27" t="n">
        <x:f>IF('Acceptance Register'!G123&lt;&gt;"",1,0)</x:f>
        <x:v>1</x:v>
      </x:c>
      <x:c r="F1984" s="27" t="n">
        <x:v>1</x:v>
      </x:c>
      <x:c r="G1984" s="29" t="str">
        <x:f>IF(E1984=F1984,"PASS","FAIL")</x:f>
        <x:v>PASS</x:v>
      </x:c>
    </x:row>
    <x:row r="1985" ht="18" customHeight="1">
      <x:c r="B1985" s="27" t="str">
        <x:v>A1979</x:v>
      </x:c>
      <x:c r="C1985" s="27" t="str">
        <x:v>acceptance</x:v>
      </x:c>
      <x:c r="D1985" s="27" t="str">
        <x:v>Acceptance row 123 threshold present</x:v>
      </x:c>
      <x:c r="E1985" s="27" t="n">
        <x:f>IF('Acceptance Register'!H123&lt;&gt;"",1,0)</x:f>
        <x:v>1</x:v>
      </x:c>
      <x:c r="F1985" s="27" t="n">
        <x:v>1</x:v>
      </x:c>
      <x:c r="G1985" s="29" t="str">
        <x:f>IF(E1985=F1985,"PASS","FAIL")</x:f>
        <x:v>PASS</x:v>
      </x:c>
    </x:row>
    <x:row r="1986" ht="18" customHeight="1">
      <x:c r="B1986" s="27" t="str">
        <x:v>A1980</x:v>
      </x:c>
      <x:c r="C1986" s="27" t="str">
        <x:v>acceptance</x:v>
      </x:c>
      <x:c r="D1986" s="27" t="str">
        <x:v>Acceptance row 123 evidence open</x:v>
      </x:c>
      <x:c r="E1986" s="27" t="n">
        <x:f>IF('Acceptance Register'!K123="OPEN",1,0)</x:f>
        <x:v>1</x:v>
      </x:c>
      <x:c r="F1986" s="27" t="n">
        <x:v>1</x:v>
      </x:c>
      <x:c r="G1986" s="29" t="str">
        <x:f>IF(E1986=F1986,"PASS","FAIL")</x:f>
        <x:v>PASS</x:v>
      </x:c>
    </x:row>
    <x:row r="1987" ht="18" customHeight="1">
      <x:c r="B1987" s="27" t="str">
        <x:v>A1981</x:v>
      </x:c>
      <x:c r="C1987" s="27" t="str">
        <x:v>acceptance</x:v>
      </x:c>
      <x:c r="D1987" s="27" t="str">
        <x:v>Acceptance row 123 decision hold</x:v>
      </x:c>
      <x:c r="E1987" s="27" t="n">
        <x:f>IF('Acceptance Register'!L123="HOLD",1,0)</x:f>
        <x:v>1</x:v>
      </x:c>
      <x:c r="F1987" s="27" t="n">
        <x:v>1</x:v>
      </x:c>
      <x:c r="G1987" s="29" t="str">
        <x:f>IF(E1987=F1987,"PASS","FAIL")</x:f>
        <x:v>PASS</x:v>
      </x:c>
    </x:row>
    <x:row r="1988" ht="18" customHeight="1">
      <x:c r="B1988" s="27" t="str">
        <x:v>A1982</x:v>
      </x:c>
      <x:c r="C1988" s="27" t="str">
        <x:v>acceptance</x:v>
      </x:c>
      <x:c r="D1988" s="27" t="str">
        <x:v>Acceptance row 123 zero credit</x:v>
      </x:c>
      <x:c r="E1988" s="27" t="n">
        <x:f>IF('Acceptance Register'!M123=0,1,0)</x:f>
        <x:v>1</x:v>
      </x:c>
      <x:c r="F1988" s="27" t="n">
        <x:v>1</x:v>
      </x:c>
      <x:c r="G1988" s="29" t="str">
        <x:f>IF(E1988=F1988,"PASS","FAIL")</x:f>
        <x:v>PASS</x:v>
      </x:c>
    </x:row>
    <x:row r="1989" ht="18" customHeight="1">
      <x:c r="B1989" s="27" t="str">
        <x:v>A1983</x:v>
      </x:c>
      <x:c r="C1989" s="27" t="str">
        <x:v>acceptance</x:v>
      </x:c>
      <x:c r="D1989" s="27" t="str">
        <x:v>Acceptance row 124 method present</x:v>
      </x:c>
      <x:c r="E1989" s="27" t="n">
        <x:f>IF('Acceptance Register'!G124&lt;&gt;"",1,0)</x:f>
        <x:v>1</x:v>
      </x:c>
      <x:c r="F1989" s="27" t="n">
        <x:v>1</x:v>
      </x:c>
      <x:c r="G1989" s="29" t="str">
        <x:f>IF(E1989=F1989,"PASS","FAIL")</x:f>
        <x:v>PASS</x:v>
      </x:c>
    </x:row>
    <x:row r="1990" ht="18" customHeight="1">
      <x:c r="B1990" s="27" t="str">
        <x:v>A1984</x:v>
      </x:c>
      <x:c r="C1990" s="27" t="str">
        <x:v>acceptance</x:v>
      </x:c>
      <x:c r="D1990" s="27" t="str">
        <x:v>Acceptance row 124 threshold present</x:v>
      </x:c>
      <x:c r="E1990" s="27" t="n">
        <x:f>IF('Acceptance Register'!H124&lt;&gt;"",1,0)</x:f>
        <x:v>1</x:v>
      </x:c>
      <x:c r="F1990" s="27" t="n">
        <x:v>1</x:v>
      </x:c>
      <x:c r="G1990" s="29" t="str">
        <x:f>IF(E1990=F1990,"PASS","FAIL")</x:f>
        <x:v>PASS</x:v>
      </x:c>
    </x:row>
    <x:row r="1991" ht="18" customHeight="1">
      <x:c r="B1991" s="27" t="str">
        <x:v>A1985</x:v>
      </x:c>
      <x:c r="C1991" s="27" t="str">
        <x:v>acceptance</x:v>
      </x:c>
      <x:c r="D1991" s="27" t="str">
        <x:v>Acceptance row 124 evidence open</x:v>
      </x:c>
      <x:c r="E1991" s="27" t="n">
        <x:f>IF('Acceptance Register'!K124="OPEN",1,0)</x:f>
        <x:v>1</x:v>
      </x:c>
      <x:c r="F1991" s="27" t="n">
        <x:v>1</x:v>
      </x:c>
      <x:c r="G1991" s="29" t="str">
        <x:f>IF(E1991=F1991,"PASS","FAIL")</x:f>
        <x:v>PASS</x:v>
      </x:c>
    </x:row>
    <x:row r="1992" ht="18" customHeight="1">
      <x:c r="B1992" s="27" t="str">
        <x:v>A1986</x:v>
      </x:c>
      <x:c r="C1992" s="27" t="str">
        <x:v>acceptance</x:v>
      </x:c>
      <x:c r="D1992" s="27" t="str">
        <x:v>Acceptance row 124 decision hold</x:v>
      </x:c>
      <x:c r="E1992" s="27" t="n">
        <x:f>IF('Acceptance Register'!L124="HOLD",1,0)</x:f>
        <x:v>1</x:v>
      </x:c>
      <x:c r="F1992" s="27" t="n">
        <x:v>1</x:v>
      </x:c>
      <x:c r="G1992" s="29" t="str">
        <x:f>IF(E1992=F1992,"PASS","FAIL")</x:f>
        <x:v>PASS</x:v>
      </x:c>
    </x:row>
    <x:row r="1993" ht="18" customHeight="1">
      <x:c r="B1993" s="27" t="str">
        <x:v>A1987</x:v>
      </x:c>
      <x:c r="C1993" s="27" t="str">
        <x:v>acceptance</x:v>
      </x:c>
      <x:c r="D1993" s="27" t="str">
        <x:v>Acceptance row 124 zero credit</x:v>
      </x:c>
      <x:c r="E1993" s="27" t="n">
        <x:f>IF('Acceptance Register'!M124=0,1,0)</x:f>
        <x:v>1</x:v>
      </x:c>
      <x:c r="F1993" s="27" t="n">
        <x:v>1</x:v>
      </x:c>
      <x:c r="G1993" s="29" t="str">
        <x:f>IF(E1993=F1993,"PASS","FAIL")</x:f>
        <x:v>PASS</x:v>
      </x:c>
    </x:row>
    <x:row r="1994" ht="18" customHeight="1">
      <x:c r="B1994" s="27" t="str">
        <x:v>A1988</x:v>
      </x:c>
      <x:c r="C1994" s="27" t="str">
        <x:v>acceptance</x:v>
      </x:c>
      <x:c r="D1994" s="27" t="str">
        <x:v>Acceptance row 125 method present</x:v>
      </x:c>
      <x:c r="E1994" s="27" t="n">
        <x:f>IF('Acceptance Register'!G125&lt;&gt;"",1,0)</x:f>
        <x:v>1</x:v>
      </x:c>
      <x:c r="F1994" s="27" t="n">
        <x:v>1</x:v>
      </x:c>
      <x:c r="G1994" s="29" t="str">
        <x:f>IF(E1994=F1994,"PASS","FAIL")</x:f>
        <x:v>PASS</x:v>
      </x:c>
    </x:row>
    <x:row r="1995" ht="18" customHeight="1">
      <x:c r="B1995" s="27" t="str">
        <x:v>A1989</x:v>
      </x:c>
      <x:c r="C1995" s="27" t="str">
        <x:v>acceptance</x:v>
      </x:c>
      <x:c r="D1995" s="27" t="str">
        <x:v>Acceptance row 125 threshold present</x:v>
      </x:c>
      <x:c r="E1995" s="27" t="n">
        <x:f>IF('Acceptance Register'!H125&lt;&gt;"",1,0)</x:f>
        <x:v>1</x:v>
      </x:c>
      <x:c r="F1995" s="27" t="n">
        <x:v>1</x:v>
      </x:c>
      <x:c r="G1995" s="29" t="str">
        <x:f>IF(E1995=F1995,"PASS","FAIL")</x:f>
        <x:v>PASS</x:v>
      </x:c>
    </x:row>
    <x:row r="1996" ht="18" customHeight="1">
      <x:c r="B1996" s="27" t="str">
        <x:v>A1990</x:v>
      </x:c>
      <x:c r="C1996" s="27" t="str">
        <x:v>acceptance</x:v>
      </x:c>
      <x:c r="D1996" s="27" t="str">
        <x:v>Acceptance row 125 evidence open</x:v>
      </x:c>
      <x:c r="E1996" s="27" t="n">
        <x:f>IF('Acceptance Register'!K125="OPEN",1,0)</x:f>
        <x:v>1</x:v>
      </x:c>
      <x:c r="F1996" s="27" t="n">
        <x:v>1</x:v>
      </x:c>
      <x:c r="G1996" s="29" t="str">
        <x:f>IF(E1996=F1996,"PASS","FAIL")</x:f>
        <x:v>PASS</x:v>
      </x:c>
    </x:row>
    <x:row r="1997" ht="18" customHeight="1">
      <x:c r="B1997" s="27" t="str">
        <x:v>A1991</x:v>
      </x:c>
      <x:c r="C1997" s="27" t="str">
        <x:v>acceptance</x:v>
      </x:c>
      <x:c r="D1997" s="27" t="str">
        <x:v>Acceptance row 125 decision hold</x:v>
      </x:c>
      <x:c r="E1997" s="27" t="n">
        <x:f>IF('Acceptance Register'!L125="HOLD",1,0)</x:f>
        <x:v>1</x:v>
      </x:c>
      <x:c r="F1997" s="27" t="n">
        <x:v>1</x:v>
      </x:c>
      <x:c r="G1997" s="29" t="str">
        <x:f>IF(E1997=F1997,"PASS","FAIL")</x:f>
        <x:v>PASS</x:v>
      </x:c>
    </x:row>
    <x:row r="1998" ht="18" customHeight="1">
      <x:c r="B1998" s="27" t="str">
        <x:v>A1992</x:v>
      </x:c>
      <x:c r="C1998" s="27" t="str">
        <x:v>acceptance</x:v>
      </x:c>
      <x:c r="D1998" s="27" t="str">
        <x:v>Acceptance row 125 zero credit</x:v>
      </x:c>
      <x:c r="E1998" s="27" t="n">
        <x:f>IF('Acceptance Register'!M125=0,1,0)</x:f>
        <x:v>1</x:v>
      </x:c>
      <x:c r="F1998" s="27" t="n">
        <x:v>1</x:v>
      </x:c>
      <x:c r="G1998" s="29" t="str">
        <x:f>IF(E1998=F1998,"PASS","FAIL")</x:f>
        <x:v>PASS</x:v>
      </x:c>
    </x:row>
    <x:row r="1999" ht="18" customHeight="1">
      <x:c r="B1999" s="27" t="str">
        <x:v>A1993</x:v>
      </x:c>
      <x:c r="C1999" s="27" t="str">
        <x:v>acceptance</x:v>
      </x:c>
      <x:c r="D1999" s="27" t="str">
        <x:v>Acceptance row 126 method present</x:v>
      </x:c>
      <x:c r="E1999" s="27" t="n">
        <x:f>IF('Acceptance Register'!G126&lt;&gt;"",1,0)</x:f>
        <x:v>1</x:v>
      </x:c>
      <x:c r="F1999" s="27" t="n">
        <x:v>1</x:v>
      </x:c>
      <x:c r="G1999" s="29" t="str">
        <x:f>IF(E1999=F1999,"PASS","FAIL")</x:f>
        <x:v>PASS</x:v>
      </x:c>
    </x:row>
    <x:row r="2000" ht="18" customHeight="1">
      <x:c r="B2000" s="27" t="str">
        <x:v>A1994</x:v>
      </x:c>
      <x:c r="C2000" s="27" t="str">
        <x:v>acceptance</x:v>
      </x:c>
      <x:c r="D2000" s="27" t="str">
        <x:v>Acceptance row 126 threshold present</x:v>
      </x:c>
      <x:c r="E2000" s="27" t="n">
        <x:f>IF('Acceptance Register'!H126&lt;&gt;"",1,0)</x:f>
        <x:v>1</x:v>
      </x:c>
      <x:c r="F2000" s="27" t="n">
        <x:v>1</x:v>
      </x:c>
      <x:c r="G2000" s="29" t="str">
        <x:f>IF(E2000=F2000,"PASS","FAIL")</x:f>
        <x:v>PASS</x:v>
      </x:c>
    </x:row>
    <x:row r="2001" ht="18" customHeight="1">
      <x:c r="B2001" s="27" t="str">
        <x:v>A1995</x:v>
      </x:c>
      <x:c r="C2001" s="27" t="str">
        <x:v>acceptance</x:v>
      </x:c>
      <x:c r="D2001" s="27" t="str">
        <x:v>Acceptance row 126 evidence open</x:v>
      </x:c>
      <x:c r="E2001" s="27" t="n">
        <x:f>IF('Acceptance Register'!K126="OPEN",1,0)</x:f>
        <x:v>1</x:v>
      </x:c>
      <x:c r="F2001" s="27" t="n">
        <x:v>1</x:v>
      </x:c>
      <x:c r="G2001" s="29" t="str">
        <x:f>IF(E2001=F2001,"PASS","FAIL")</x:f>
        <x:v>PASS</x:v>
      </x:c>
    </x:row>
    <x:row r="2002" ht="18" customHeight="1">
      <x:c r="B2002" s="27" t="str">
        <x:v>A1996</x:v>
      </x:c>
      <x:c r="C2002" s="27" t="str">
        <x:v>acceptance</x:v>
      </x:c>
      <x:c r="D2002" s="27" t="str">
        <x:v>Acceptance row 126 decision hold</x:v>
      </x:c>
      <x:c r="E2002" s="27" t="n">
        <x:f>IF('Acceptance Register'!L126="HOLD",1,0)</x:f>
        <x:v>1</x:v>
      </x:c>
      <x:c r="F2002" s="27" t="n">
        <x:v>1</x:v>
      </x:c>
      <x:c r="G2002" s="29" t="str">
        <x:f>IF(E2002=F2002,"PASS","FAIL")</x:f>
        <x:v>PASS</x:v>
      </x:c>
    </x:row>
    <x:row r="2003" ht="18" customHeight="1">
      <x:c r="B2003" s="27" t="str">
        <x:v>A1997</x:v>
      </x:c>
      <x:c r="C2003" s="27" t="str">
        <x:v>acceptance</x:v>
      </x:c>
      <x:c r="D2003" s="27" t="str">
        <x:v>Acceptance row 126 zero credit</x:v>
      </x:c>
      <x:c r="E2003" s="27" t="n">
        <x:f>IF('Acceptance Register'!M126=0,1,0)</x:f>
        <x:v>1</x:v>
      </x:c>
      <x:c r="F2003" s="27" t="n">
        <x:v>1</x:v>
      </x:c>
      <x:c r="G2003" s="29" t="str">
        <x:f>IF(E2003=F2003,"PASS","FAIL")</x:f>
        <x:v>PASS</x:v>
      </x:c>
    </x:row>
    <x:row r="2004" ht="18" customHeight="1">
      <x:c r="B2004" s="27" t="str">
        <x:v>A1998</x:v>
      </x:c>
      <x:c r="C2004" s="27" t="str">
        <x:v>acceptance</x:v>
      </x:c>
      <x:c r="D2004" s="27" t="str">
        <x:v>Acceptance row 127 method present</x:v>
      </x:c>
      <x:c r="E2004" s="27" t="n">
        <x:f>IF('Acceptance Register'!G127&lt;&gt;"",1,0)</x:f>
        <x:v>1</x:v>
      </x:c>
      <x:c r="F2004" s="27" t="n">
        <x:v>1</x:v>
      </x:c>
      <x:c r="G2004" s="29" t="str">
        <x:f>IF(E2004=F2004,"PASS","FAIL")</x:f>
        <x:v>PASS</x:v>
      </x:c>
    </x:row>
    <x:row r="2005" ht="18" customHeight="1">
      <x:c r="B2005" s="27" t="str">
        <x:v>A1999</x:v>
      </x:c>
      <x:c r="C2005" s="27" t="str">
        <x:v>acceptance</x:v>
      </x:c>
      <x:c r="D2005" s="27" t="str">
        <x:v>Acceptance row 127 threshold present</x:v>
      </x:c>
      <x:c r="E2005" s="27" t="n">
        <x:f>IF('Acceptance Register'!H127&lt;&gt;"",1,0)</x:f>
        <x:v>1</x:v>
      </x:c>
      <x:c r="F2005" s="27" t="n">
        <x:v>1</x:v>
      </x:c>
      <x:c r="G2005" s="29" t="str">
        <x:f>IF(E2005=F2005,"PASS","FAIL")</x:f>
        <x:v>PASS</x:v>
      </x:c>
    </x:row>
    <x:row r="2006" ht="18" customHeight="1">
      <x:c r="B2006" s="27" t="str">
        <x:v>A2000</x:v>
      </x:c>
      <x:c r="C2006" s="27" t="str">
        <x:v>acceptance</x:v>
      </x:c>
      <x:c r="D2006" s="27" t="str">
        <x:v>Acceptance row 127 evidence open</x:v>
      </x:c>
      <x:c r="E2006" s="27" t="n">
        <x:f>IF('Acceptance Register'!K127="OPEN",1,0)</x:f>
        <x:v>1</x:v>
      </x:c>
      <x:c r="F2006" s="27" t="n">
        <x:v>1</x:v>
      </x:c>
      <x:c r="G2006" s="29" t="str">
        <x:f>IF(E2006=F2006,"PASS","FAIL")</x:f>
        <x:v>PASS</x:v>
      </x:c>
    </x:row>
    <x:row r="2007" ht="18" customHeight="1">
      <x:c r="B2007" s="27" t="str">
        <x:v>A2001</x:v>
      </x:c>
      <x:c r="C2007" s="27" t="str">
        <x:v>acceptance</x:v>
      </x:c>
      <x:c r="D2007" s="27" t="str">
        <x:v>Acceptance row 127 decision hold</x:v>
      </x:c>
      <x:c r="E2007" s="27" t="n">
        <x:f>IF('Acceptance Register'!L127="HOLD",1,0)</x:f>
        <x:v>1</x:v>
      </x:c>
      <x:c r="F2007" s="27" t="n">
        <x:v>1</x:v>
      </x:c>
      <x:c r="G2007" s="29" t="str">
        <x:f>IF(E2007=F2007,"PASS","FAIL")</x:f>
        <x:v>PASS</x:v>
      </x:c>
    </x:row>
    <x:row r="2008" ht="18" customHeight="1">
      <x:c r="B2008" s="27" t="str">
        <x:v>A2002</x:v>
      </x:c>
      <x:c r="C2008" s="27" t="str">
        <x:v>acceptance</x:v>
      </x:c>
      <x:c r="D2008" s="27" t="str">
        <x:v>Acceptance row 127 zero credit</x:v>
      </x:c>
      <x:c r="E2008" s="27" t="n">
        <x:f>IF('Acceptance Register'!M127=0,1,0)</x:f>
        <x:v>1</x:v>
      </x:c>
      <x:c r="F2008" s="27" t="n">
        <x:v>1</x:v>
      </x:c>
      <x:c r="G2008" s="29" t="str">
        <x:f>IF(E2008=F2008,"PASS","FAIL")</x:f>
        <x:v>PASS</x:v>
      </x:c>
    </x:row>
    <x:row r="2009" ht="18" customHeight="1">
      <x:c r="B2009" s="27" t="str">
        <x:v>A2003</x:v>
      </x:c>
      <x:c r="C2009" s="27" t="str">
        <x:v>acceptance</x:v>
      </x:c>
      <x:c r="D2009" s="27" t="str">
        <x:v>Acceptance row 128 method present</x:v>
      </x:c>
      <x:c r="E2009" s="27" t="n">
        <x:f>IF('Acceptance Register'!G128&lt;&gt;"",1,0)</x:f>
        <x:v>1</x:v>
      </x:c>
      <x:c r="F2009" s="27" t="n">
        <x:v>1</x:v>
      </x:c>
      <x:c r="G2009" s="29" t="str">
        <x:f>IF(E2009=F2009,"PASS","FAIL")</x:f>
        <x:v>PASS</x:v>
      </x:c>
    </x:row>
    <x:row r="2010" ht="18" customHeight="1">
      <x:c r="B2010" s="27" t="str">
        <x:v>A2004</x:v>
      </x:c>
      <x:c r="C2010" s="27" t="str">
        <x:v>acceptance</x:v>
      </x:c>
      <x:c r="D2010" s="27" t="str">
        <x:v>Acceptance row 128 threshold present</x:v>
      </x:c>
      <x:c r="E2010" s="27" t="n">
        <x:f>IF('Acceptance Register'!H128&lt;&gt;"",1,0)</x:f>
        <x:v>1</x:v>
      </x:c>
      <x:c r="F2010" s="27" t="n">
        <x:v>1</x:v>
      </x:c>
      <x:c r="G2010" s="29" t="str">
        <x:f>IF(E2010=F2010,"PASS","FAIL")</x:f>
        <x:v>PASS</x:v>
      </x:c>
    </x:row>
    <x:row r="2011" ht="18" customHeight="1">
      <x:c r="B2011" s="27" t="str">
        <x:v>A2005</x:v>
      </x:c>
      <x:c r="C2011" s="27" t="str">
        <x:v>acceptance</x:v>
      </x:c>
      <x:c r="D2011" s="27" t="str">
        <x:v>Acceptance row 128 evidence open</x:v>
      </x:c>
      <x:c r="E2011" s="27" t="n">
        <x:f>IF('Acceptance Register'!K128="OPEN",1,0)</x:f>
        <x:v>1</x:v>
      </x:c>
      <x:c r="F2011" s="27" t="n">
        <x:v>1</x:v>
      </x:c>
      <x:c r="G2011" s="29" t="str">
        <x:f>IF(E2011=F2011,"PASS","FAIL")</x:f>
        <x:v>PASS</x:v>
      </x:c>
    </x:row>
    <x:row r="2012" ht="18" customHeight="1">
      <x:c r="B2012" s="27" t="str">
        <x:v>A2006</x:v>
      </x:c>
      <x:c r="C2012" s="27" t="str">
        <x:v>acceptance</x:v>
      </x:c>
      <x:c r="D2012" s="27" t="str">
        <x:v>Acceptance row 128 decision hold</x:v>
      </x:c>
      <x:c r="E2012" s="27" t="n">
        <x:f>IF('Acceptance Register'!L128="HOLD",1,0)</x:f>
        <x:v>1</x:v>
      </x:c>
      <x:c r="F2012" s="27" t="n">
        <x:v>1</x:v>
      </x:c>
      <x:c r="G2012" s="29" t="str">
        <x:f>IF(E2012=F2012,"PASS","FAIL")</x:f>
        <x:v>PASS</x:v>
      </x:c>
    </x:row>
    <x:row r="2013" ht="18" customHeight="1">
      <x:c r="B2013" s="27" t="str">
        <x:v>A2007</x:v>
      </x:c>
      <x:c r="C2013" s="27" t="str">
        <x:v>acceptance</x:v>
      </x:c>
      <x:c r="D2013" s="27" t="str">
        <x:v>Acceptance row 128 zero credit</x:v>
      </x:c>
      <x:c r="E2013" s="27" t="n">
        <x:f>IF('Acceptance Register'!M128=0,1,0)</x:f>
        <x:v>1</x:v>
      </x:c>
      <x:c r="F2013" s="27" t="n">
        <x:v>1</x:v>
      </x:c>
      <x:c r="G2013" s="29" t="str">
        <x:f>IF(E2013=F2013,"PASS","FAIL")</x:f>
        <x:v>PASS</x:v>
      </x:c>
    </x:row>
    <x:row r="2014" ht="18" customHeight="1">
      <x:c r="B2014" s="27" t="str">
        <x:v>A2008</x:v>
      </x:c>
      <x:c r="C2014" s="27" t="str">
        <x:v>acceptance</x:v>
      </x:c>
      <x:c r="D2014" s="27" t="str">
        <x:v>Acceptance row 129 method present</x:v>
      </x:c>
      <x:c r="E2014" s="27" t="n">
        <x:f>IF('Acceptance Register'!G129&lt;&gt;"",1,0)</x:f>
        <x:v>1</x:v>
      </x:c>
      <x:c r="F2014" s="27" t="n">
        <x:v>1</x:v>
      </x:c>
      <x:c r="G2014" s="29" t="str">
        <x:f>IF(E2014=F2014,"PASS","FAIL")</x:f>
        <x:v>PASS</x:v>
      </x:c>
    </x:row>
    <x:row r="2015" ht="18" customHeight="1">
      <x:c r="B2015" s="27" t="str">
        <x:v>A2009</x:v>
      </x:c>
      <x:c r="C2015" s="27" t="str">
        <x:v>acceptance</x:v>
      </x:c>
      <x:c r="D2015" s="27" t="str">
        <x:v>Acceptance row 129 threshold present</x:v>
      </x:c>
      <x:c r="E2015" s="27" t="n">
        <x:f>IF('Acceptance Register'!H129&lt;&gt;"",1,0)</x:f>
        <x:v>1</x:v>
      </x:c>
      <x:c r="F2015" s="27" t="n">
        <x:v>1</x:v>
      </x:c>
      <x:c r="G2015" s="29" t="str">
        <x:f>IF(E2015=F2015,"PASS","FAIL")</x:f>
        <x:v>PASS</x:v>
      </x:c>
    </x:row>
    <x:row r="2016" ht="18" customHeight="1">
      <x:c r="B2016" s="27" t="str">
        <x:v>A2010</x:v>
      </x:c>
      <x:c r="C2016" s="27" t="str">
        <x:v>acceptance</x:v>
      </x:c>
      <x:c r="D2016" s="27" t="str">
        <x:v>Acceptance row 129 evidence open</x:v>
      </x:c>
      <x:c r="E2016" s="27" t="n">
        <x:f>IF('Acceptance Register'!K129="OPEN",1,0)</x:f>
        <x:v>1</x:v>
      </x:c>
      <x:c r="F2016" s="27" t="n">
        <x:v>1</x:v>
      </x:c>
      <x:c r="G2016" s="29" t="str">
        <x:f>IF(E2016=F2016,"PASS","FAIL")</x:f>
        <x:v>PASS</x:v>
      </x:c>
    </x:row>
    <x:row r="2017" ht="18" customHeight="1">
      <x:c r="B2017" s="27" t="str">
        <x:v>A2011</x:v>
      </x:c>
      <x:c r="C2017" s="27" t="str">
        <x:v>acceptance</x:v>
      </x:c>
      <x:c r="D2017" s="27" t="str">
        <x:v>Acceptance row 129 decision hold</x:v>
      </x:c>
      <x:c r="E2017" s="27" t="n">
        <x:f>IF('Acceptance Register'!L129="HOLD",1,0)</x:f>
        <x:v>1</x:v>
      </x:c>
      <x:c r="F2017" s="27" t="n">
        <x:v>1</x:v>
      </x:c>
      <x:c r="G2017" s="29" t="str">
        <x:f>IF(E2017=F2017,"PASS","FAIL")</x:f>
        <x:v>PASS</x:v>
      </x:c>
    </x:row>
    <x:row r="2018" ht="18" customHeight="1">
      <x:c r="B2018" s="27" t="str">
        <x:v>A2012</x:v>
      </x:c>
      <x:c r="C2018" s="27" t="str">
        <x:v>acceptance</x:v>
      </x:c>
      <x:c r="D2018" s="27" t="str">
        <x:v>Acceptance row 129 zero credit</x:v>
      </x:c>
      <x:c r="E2018" s="27" t="n">
        <x:f>IF('Acceptance Register'!M129=0,1,0)</x:f>
        <x:v>1</x:v>
      </x:c>
      <x:c r="F2018" s="27" t="n">
        <x:v>1</x:v>
      </x:c>
      <x:c r="G2018" s="29" t="str">
        <x:f>IF(E2018=F2018,"PASS","FAIL")</x:f>
        <x:v>PASS</x:v>
      </x:c>
    </x:row>
    <x:row r="2019" ht="18" customHeight="1">
      <x:c r="B2019" s="27" t="str">
        <x:v>A2013</x:v>
      </x:c>
      <x:c r="C2019" s="27" t="str">
        <x:v>acceptance</x:v>
      </x:c>
      <x:c r="D2019" s="27" t="str">
        <x:v>Acceptance row 130 method present</x:v>
      </x:c>
      <x:c r="E2019" s="27" t="n">
        <x:f>IF('Acceptance Register'!G130&lt;&gt;"",1,0)</x:f>
        <x:v>1</x:v>
      </x:c>
      <x:c r="F2019" s="27" t="n">
        <x:v>1</x:v>
      </x:c>
      <x:c r="G2019" s="29" t="str">
        <x:f>IF(E2019=F2019,"PASS","FAIL")</x:f>
        <x:v>PASS</x:v>
      </x:c>
    </x:row>
    <x:row r="2020" ht="18" customHeight="1">
      <x:c r="B2020" s="27" t="str">
        <x:v>A2014</x:v>
      </x:c>
      <x:c r="C2020" s="27" t="str">
        <x:v>acceptance</x:v>
      </x:c>
      <x:c r="D2020" s="27" t="str">
        <x:v>Acceptance row 130 threshold present</x:v>
      </x:c>
      <x:c r="E2020" s="27" t="n">
        <x:f>IF('Acceptance Register'!H130&lt;&gt;"",1,0)</x:f>
        <x:v>1</x:v>
      </x:c>
      <x:c r="F2020" s="27" t="n">
        <x:v>1</x:v>
      </x:c>
      <x:c r="G2020" s="29" t="str">
        <x:f>IF(E2020=F2020,"PASS","FAIL")</x:f>
        <x:v>PASS</x:v>
      </x:c>
    </x:row>
    <x:row r="2021" ht="18" customHeight="1">
      <x:c r="B2021" s="27" t="str">
        <x:v>A2015</x:v>
      </x:c>
      <x:c r="C2021" s="27" t="str">
        <x:v>acceptance</x:v>
      </x:c>
      <x:c r="D2021" s="27" t="str">
        <x:v>Acceptance row 130 evidence open</x:v>
      </x:c>
      <x:c r="E2021" s="27" t="n">
        <x:f>IF('Acceptance Register'!K130="OPEN",1,0)</x:f>
        <x:v>1</x:v>
      </x:c>
      <x:c r="F2021" s="27" t="n">
        <x:v>1</x:v>
      </x:c>
      <x:c r="G2021" s="29" t="str">
        <x:f>IF(E2021=F2021,"PASS","FAIL")</x:f>
        <x:v>PASS</x:v>
      </x:c>
    </x:row>
    <x:row r="2022" ht="18" customHeight="1">
      <x:c r="B2022" s="27" t="str">
        <x:v>A2016</x:v>
      </x:c>
      <x:c r="C2022" s="27" t="str">
        <x:v>acceptance</x:v>
      </x:c>
      <x:c r="D2022" s="27" t="str">
        <x:v>Acceptance row 130 decision hold</x:v>
      </x:c>
      <x:c r="E2022" s="27" t="n">
        <x:f>IF('Acceptance Register'!L130="HOLD",1,0)</x:f>
        <x:v>1</x:v>
      </x:c>
      <x:c r="F2022" s="27" t="n">
        <x:v>1</x:v>
      </x:c>
      <x:c r="G2022" s="29" t="str">
        <x:f>IF(E2022=F2022,"PASS","FAIL")</x:f>
        <x:v>PASS</x:v>
      </x:c>
    </x:row>
    <x:row r="2023" ht="18" customHeight="1">
      <x:c r="B2023" s="27" t="str">
        <x:v>A2017</x:v>
      </x:c>
      <x:c r="C2023" s="27" t="str">
        <x:v>acceptance</x:v>
      </x:c>
      <x:c r="D2023" s="27" t="str">
        <x:v>Acceptance row 130 zero credit</x:v>
      </x:c>
      <x:c r="E2023" s="27" t="n">
        <x:f>IF('Acceptance Register'!M130=0,1,0)</x:f>
        <x:v>1</x:v>
      </x:c>
      <x:c r="F2023" s="27" t="n">
        <x:v>1</x:v>
      </x:c>
      <x:c r="G2023" s="29" t="str">
        <x:f>IF(E2023=F2023,"PASS","FAIL")</x:f>
        <x:v>PASS</x:v>
      </x:c>
    </x:row>
    <x:row r="2024" ht="18" customHeight="1">
      <x:c r="B2024" s="27" t="str">
        <x:v>A2018</x:v>
      </x:c>
      <x:c r="C2024" s="27" t="str">
        <x:v>acceptance</x:v>
      </x:c>
      <x:c r="D2024" s="27" t="str">
        <x:v>Acceptance row 131 method present</x:v>
      </x:c>
      <x:c r="E2024" s="27" t="n">
        <x:f>IF('Acceptance Register'!G131&lt;&gt;"",1,0)</x:f>
        <x:v>1</x:v>
      </x:c>
      <x:c r="F2024" s="27" t="n">
        <x:v>1</x:v>
      </x:c>
      <x:c r="G2024" s="29" t="str">
        <x:f>IF(E2024=F2024,"PASS","FAIL")</x:f>
        <x:v>PASS</x:v>
      </x:c>
    </x:row>
    <x:row r="2025" ht="18" customHeight="1">
      <x:c r="B2025" s="27" t="str">
        <x:v>A2019</x:v>
      </x:c>
      <x:c r="C2025" s="27" t="str">
        <x:v>acceptance</x:v>
      </x:c>
      <x:c r="D2025" s="27" t="str">
        <x:v>Acceptance row 131 threshold present</x:v>
      </x:c>
      <x:c r="E2025" s="27" t="n">
        <x:f>IF('Acceptance Register'!H131&lt;&gt;"",1,0)</x:f>
        <x:v>1</x:v>
      </x:c>
      <x:c r="F2025" s="27" t="n">
        <x:v>1</x:v>
      </x:c>
      <x:c r="G2025" s="29" t="str">
        <x:f>IF(E2025=F2025,"PASS","FAIL")</x:f>
        <x:v>PASS</x:v>
      </x:c>
    </x:row>
    <x:row r="2026" ht="18" customHeight="1">
      <x:c r="B2026" s="27" t="str">
        <x:v>A2020</x:v>
      </x:c>
      <x:c r="C2026" s="27" t="str">
        <x:v>acceptance</x:v>
      </x:c>
      <x:c r="D2026" s="27" t="str">
        <x:v>Acceptance row 131 evidence open</x:v>
      </x:c>
      <x:c r="E2026" s="27" t="n">
        <x:f>IF('Acceptance Register'!K131="OPEN",1,0)</x:f>
        <x:v>1</x:v>
      </x:c>
      <x:c r="F2026" s="27" t="n">
        <x:v>1</x:v>
      </x:c>
      <x:c r="G2026" s="29" t="str">
        <x:f>IF(E2026=F2026,"PASS","FAIL")</x:f>
        <x:v>PASS</x:v>
      </x:c>
    </x:row>
    <x:row r="2027" ht="18" customHeight="1">
      <x:c r="B2027" s="27" t="str">
        <x:v>A2021</x:v>
      </x:c>
      <x:c r="C2027" s="27" t="str">
        <x:v>acceptance</x:v>
      </x:c>
      <x:c r="D2027" s="27" t="str">
        <x:v>Acceptance row 131 decision hold</x:v>
      </x:c>
      <x:c r="E2027" s="27" t="n">
        <x:f>IF('Acceptance Register'!L131="HOLD",1,0)</x:f>
        <x:v>1</x:v>
      </x:c>
      <x:c r="F2027" s="27" t="n">
        <x:v>1</x:v>
      </x:c>
      <x:c r="G2027" s="29" t="str">
        <x:f>IF(E2027=F2027,"PASS","FAIL")</x:f>
        <x:v>PASS</x:v>
      </x:c>
    </x:row>
    <x:row r="2028" ht="18" customHeight="1">
      <x:c r="B2028" s="27" t="str">
        <x:v>A2022</x:v>
      </x:c>
      <x:c r="C2028" s="27" t="str">
        <x:v>acceptance</x:v>
      </x:c>
      <x:c r="D2028" s="27" t="str">
        <x:v>Acceptance row 131 zero credit</x:v>
      </x:c>
      <x:c r="E2028" s="27" t="n">
        <x:f>IF('Acceptance Register'!M131=0,1,0)</x:f>
        <x:v>1</x:v>
      </x:c>
      <x:c r="F2028" s="27" t="n">
        <x:v>1</x:v>
      </x:c>
      <x:c r="G2028" s="29" t="str">
        <x:f>IF(E2028=F2028,"PASS","FAIL")</x:f>
        <x:v>PASS</x:v>
      </x:c>
    </x:row>
    <x:row r="2029" ht="18" customHeight="1">
      <x:c r="B2029" s="27" t="str">
        <x:v>A2023</x:v>
      </x:c>
      <x:c r="C2029" s="27" t="str">
        <x:v>acceptance</x:v>
      </x:c>
      <x:c r="D2029" s="27" t="str">
        <x:v>Acceptance row 132 method present</x:v>
      </x:c>
      <x:c r="E2029" s="27" t="n">
        <x:f>IF('Acceptance Register'!G132&lt;&gt;"",1,0)</x:f>
        <x:v>1</x:v>
      </x:c>
      <x:c r="F2029" s="27" t="n">
        <x:v>1</x:v>
      </x:c>
      <x:c r="G2029" s="29" t="str">
        <x:f>IF(E2029=F2029,"PASS","FAIL")</x:f>
        <x:v>PASS</x:v>
      </x:c>
    </x:row>
    <x:row r="2030" ht="18" customHeight="1">
      <x:c r="B2030" s="27" t="str">
        <x:v>A2024</x:v>
      </x:c>
      <x:c r="C2030" s="27" t="str">
        <x:v>acceptance</x:v>
      </x:c>
      <x:c r="D2030" s="27" t="str">
        <x:v>Acceptance row 132 threshold present</x:v>
      </x:c>
      <x:c r="E2030" s="27" t="n">
        <x:f>IF('Acceptance Register'!H132&lt;&gt;"",1,0)</x:f>
        <x:v>1</x:v>
      </x:c>
      <x:c r="F2030" s="27" t="n">
        <x:v>1</x:v>
      </x:c>
      <x:c r="G2030" s="29" t="str">
        <x:f>IF(E2030=F2030,"PASS","FAIL")</x:f>
        <x:v>PASS</x:v>
      </x:c>
    </x:row>
    <x:row r="2031" ht="18" customHeight="1">
      <x:c r="B2031" s="27" t="str">
        <x:v>A2025</x:v>
      </x:c>
      <x:c r="C2031" s="27" t="str">
        <x:v>acceptance</x:v>
      </x:c>
      <x:c r="D2031" s="27" t="str">
        <x:v>Acceptance row 132 evidence open</x:v>
      </x:c>
      <x:c r="E2031" s="27" t="n">
        <x:f>IF('Acceptance Register'!K132="OPEN",1,0)</x:f>
        <x:v>1</x:v>
      </x:c>
      <x:c r="F2031" s="27" t="n">
        <x:v>1</x:v>
      </x:c>
      <x:c r="G2031" s="29" t="str">
        <x:f>IF(E2031=F2031,"PASS","FAIL")</x:f>
        <x:v>PASS</x:v>
      </x:c>
    </x:row>
    <x:row r="2032" ht="18" customHeight="1">
      <x:c r="B2032" s="27" t="str">
        <x:v>A2026</x:v>
      </x:c>
      <x:c r="C2032" s="27" t="str">
        <x:v>acceptance</x:v>
      </x:c>
      <x:c r="D2032" s="27" t="str">
        <x:v>Acceptance row 132 decision hold</x:v>
      </x:c>
      <x:c r="E2032" s="27" t="n">
        <x:f>IF('Acceptance Register'!L132="HOLD",1,0)</x:f>
        <x:v>1</x:v>
      </x:c>
      <x:c r="F2032" s="27" t="n">
        <x:v>1</x:v>
      </x:c>
      <x:c r="G2032" s="29" t="str">
        <x:f>IF(E2032=F2032,"PASS","FAIL")</x:f>
        <x:v>PASS</x:v>
      </x:c>
    </x:row>
    <x:row r="2033" ht="18" customHeight="1">
      <x:c r="B2033" s="27" t="str">
        <x:v>A2027</x:v>
      </x:c>
      <x:c r="C2033" s="27" t="str">
        <x:v>acceptance</x:v>
      </x:c>
      <x:c r="D2033" s="27" t="str">
        <x:v>Acceptance row 132 zero credit</x:v>
      </x:c>
      <x:c r="E2033" s="27" t="n">
        <x:f>IF('Acceptance Register'!M132=0,1,0)</x:f>
        <x:v>1</x:v>
      </x:c>
      <x:c r="F2033" s="27" t="n">
        <x:v>1</x:v>
      </x:c>
      <x:c r="G2033" s="29" t="str">
        <x:f>IF(E2033=F2033,"PASS","FAIL")</x:f>
        <x:v>PASS</x:v>
      </x:c>
    </x:row>
    <x:row r="2034" ht="18" customHeight="1">
      <x:c r="B2034" s="27" t="str">
        <x:v>A2028</x:v>
      </x:c>
      <x:c r="C2034" s="27" t="str">
        <x:v>acceptance</x:v>
      </x:c>
      <x:c r="D2034" s="27" t="str">
        <x:v>Acceptance row 133 method present</x:v>
      </x:c>
      <x:c r="E2034" s="27" t="n">
        <x:f>IF('Acceptance Register'!G133&lt;&gt;"",1,0)</x:f>
        <x:v>1</x:v>
      </x:c>
      <x:c r="F2034" s="27" t="n">
        <x:v>1</x:v>
      </x:c>
      <x:c r="G2034" s="29" t="str">
        <x:f>IF(E2034=F2034,"PASS","FAIL")</x:f>
        <x:v>PASS</x:v>
      </x:c>
    </x:row>
    <x:row r="2035" ht="18" customHeight="1">
      <x:c r="B2035" s="27" t="str">
        <x:v>A2029</x:v>
      </x:c>
      <x:c r="C2035" s="27" t="str">
        <x:v>acceptance</x:v>
      </x:c>
      <x:c r="D2035" s="27" t="str">
        <x:v>Acceptance row 133 threshold present</x:v>
      </x:c>
      <x:c r="E2035" s="27" t="n">
        <x:f>IF('Acceptance Register'!H133&lt;&gt;"",1,0)</x:f>
        <x:v>1</x:v>
      </x:c>
      <x:c r="F2035" s="27" t="n">
        <x:v>1</x:v>
      </x:c>
      <x:c r="G2035" s="29" t="str">
        <x:f>IF(E2035=F2035,"PASS","FAIL")</x:f>
        <x:v>PASS</x:v>
      </x:c>
    </x:row>
    <x:row r="2036" ht="18" customHeight="1">
      <x:c r="B2036" s="27" t="str">
        <x:v>A2030</x:v>
      </x:c>
      <x:c r="C2036" s="27" t="str">
        <x:v>acceptance</x:v>
      </x:c>
      <x:c r="D2036" s="27" t="str">
        <x:v>Acceptance row 133 evidence open</x:v>
      </x:c>
      <x:c r="E2036" s="27" t="n">
        <x:f>IF('Acceptance Register'!K133="OPEN",1,0)</x:f>
        <x:v>1</x:v>
      </x:c>
      <x:c r="F2036" s="27" t="n">
        <x:v>1</x:v>
      </x:c>
      <x:c r="G2036" s="29" t="str">
        <x:f>IF(E2036=F2036,"PASS","FAIL")</x:f>
        <x:v>PASS</x:v>
      </x:c>
    </x:row>
    <x:row r="2037" ht="18" customHeight="1">
      <x:c r="B2037" s="27" t="str">
        <x:v>A2031</x:v>
      </x:c>
      <x:c r="C2037" s="27" t="str">
        <x:v>acceptance</x:v>
      </x:c>
      <x:c r="D2037" s="27" t="str">
        <x:v>Acceptance row 133 decision hold</x:v>
      </x:c>
      <x:c r="E2037" s="27" t="n">
        <x:f>IF('Acceptance Register'!L133="HOLD",1,0)</x:f>
        <x:v>1</x:v>
      </x:c>
      <x:c r="F2037" s="27" t="n">
        <x:v>1</x:v>
      </x:c>
      <x:c r="G2037" s="29" t="str">
        <x:f>IF(E2037=F2037,"PASS","FAIL")</x:f>
        <x:v>PASS</x:v>
      </x:c>
    </x:row>
    <x:row r="2038" ht="18" customHeight="1">
      <x:c r="B2038" s="27" t="str">
        <x:v>A2032</x:v>
      </x:c>
      <x:c r="C2038" s="27" t="str">
        <x:v>acceptance</x:v>
      </x:c>
      <x:c r="D2038" s="27" t="str">
        <x:v>Acceptance row 133 zero credit</x:v>
      </x:c>
      <x:c r="E2038" s="27" t="n">
        <x:f>IF('Acceptance Register'!M133=0,1,0)</x:f>
        <x:v>1</x:v>
      </x:c>
      <x:c r="F2038" s="27" t="n">
        <x:v>1</x:v>
      </x:c>
      <x:c r="G2038" s="29" t="str">
        <x:f>IF(E2038=F2038,"PASS","FAIL")</x:f>
        <x:v>PASS</x:v>
      </x:c>
    </x:row>
    <x:row r="2039" ht="18" customHeight="1">
      <x:c r="B2039" s="27" t="str">
        <x:v>A2033</x:v>
      </x:c>
      <x:c r="C2039" s="27" t="str">
        <x:v>acceptance</x:v>
      </x:c>
      <x:c r="D2039" s="27" t="str">
        <x:v>Acceptance row 134 method present</x:v>
      </x:c>
      <x:c r="E2039" s="27" t="n">
        <x:f>IF('Acceptance Register'!G134&lt;&gt;"",1,0)</x:f>
        <x:v>1</x:v>
      </x:c>
      <x:c r="F2039" s="27" t="n">
        <x:v>1</x:v>
      </x:c>
      <x:c r="G2039" s="29" t="str">
        <x:f>IF(E2039=F2039,"PASS","FAIL")</x:f>
        <x:v>PASS</x:v>
      </x:c>
    </x:row>
    <x:row r="2040" ht="18" customHeight="1">
      <x:c r="B2040" s="27" t="str">
        <x:v>A2034</x:v>
      </x:c>
      <x:c r="C2040" s="27" t="str">
        <x:v>acceptance</x:v>
      </x:c>
      <x:c r="D2040" s="27" t="str">
        <x:v>Acceptance row 134 threshold present</x:v>
      </x:c>
      <x:c r="E2040" s="27" t="n">
        <x:f>IF('Acceptance Register'!H134&lt;&gt;"",1,0)</x:f>
        <x:v>1</x:v>
      </x:c>
      <x:c r="F2040" s="27" t="n">
        <x:v>1</x:v>
      </x:c>
      <x:c r="G2040" s="29" t="str">
        <x:f>IF(E2040=F2040,"PASS","FAIL")</x:f>
        <x:v>PASS</x:v>
      </x:c>
    </x:row>
    <x:row r="2041" ht="18" customHeight="1">
      <x:c r="B2041" s="27" t="str">
        <x:v>A2035</x:v>
      </x:c>
      <x:c r="C2041" s="27" t="str">
        <x:v>acceptance</x:v>
      </x:c>
      <x:c r="D2041" s="27" t="str">
        <x:v>Acceptance row 134 evidence open</x:v>
      </x:c>
      <x:c r="E2041" s="27" t="n">
        <x:f>IF('Acceptance Register'!K134="OPEN",1,0)</x:f>
        <x:v>1</x:v>
      </x:c>
      <x:c r="F2041" s="27" t="n">
        <x:v>1</x:v>
      </x:c>
      <x:c r="G2041" s="29" t="str">
        <x:f>IF(E2041=F2041,"PASS","FAIL")</x:f>
        <x:v>PASS</x:v>
      </x:c>
    </x:row>
    <x:row r="2042" ht="18" customHeight="1">
      <x:c r="B2042" s="27" t="str">
        <x:v>A2036</x:v>
      </x:c>
      <x:c r="C2042" s="27" t="str">
        <x:v>acceptance</x:v>
      </x:c>
      <x:c r="D2042" s="27" t="str">
        <x:v>Acceptance row 134 decision hold</x:v>
      </x:c>
      <x:c r="E2042" s="27" t="n">
        <x:f>IF('Acceptance Register'!L134="HOLD",1,0)</x:f>
        <x:v>1</x:v>
      </x:c>
      <x:c r="F2042" s="27" t="n">
        <x:v>1</x:v>
      </x:c>
      <x:c r="G2042" s="29" t="str">
        <x:f>IF(E2042=F2042,"PASS","FAIL")</x:f>
        <x:v>PASS</x:v>
      </x:c>
    </x:row>
    <x:row r="2043" ht="18" customHeight="1">
      <x:c r="B2043" s="27" t="str">
        <x:v>A2037</x:v>
      </x:c>
      <x:c r="C2043" s="27" t="str">
        <x:v>acceptance</x:v>
      </x:c>
      <x:c r="D2043" s="27" t="str">
        <x:v>Acceptance row 134 zero credit</x:v>
      </x:c>
      <x:c r="E2043" s="27" t="n">
        <x:f>IF('Acceptance Register'!M134=0,1,0)</x:f>
        <x:v>1</x:v>
      </x:c>
      <x:c r="F2043" s="27" t="n">
        <x:v>1</x:v>
      </x:c>
      <x:c r="G2043" s="29" t="str">
        <x:f>IF(E2043=F2043,"PASS","FAIL")</x:f>
        <x:v>PASS</x:v>
      </x:c>
    </x:row>
    <x:row r="2044" ht="18" customHeight="1">
      <x:c r="B2044" s="27" t="str">
        <x:v>A2038</x:v>
      </x:c>
      <x:c r="C2044" s="27" t="str">
        <x:v>acceptance</x:v>
      </x:c>
      <x:c r="D2044" s="27" t="str">
        <x:v>Acceptance row 135 method present</x:v>
      </x:c>
      <x:c r="E2044" s="27" t="n">
        <x:f>IF('Acceptance Register'!G135&lt;&gt;"",1,0)</x:f>
        <x:v>1</x:v>
      </x:c>
      <x:c r="F2044" s="27" t="n">
        <x:v>1</x:v>
      </x:c>
      <x:c r="G2044" s="29" t="str">
        <x:f>IF(E2044=F2044,"PASS","FAIL")</x:f>
        <x:v>PASS</x:v>
      </x:c>
    </x:row>
    <x:row r="2045" ht="18" customHeight="1">
      <x:c r="B2045" s="27" t="str">
        <x:v>A2039</x:v>
      </x:c>
      <x:c r="C2045" s="27" t="str">
        <x:v>acceptance</x:v>
      </x:c>
      <x:c r="D2045" s="27" t="str">
        <x:v>Acceptance row 135 threshold present</x:v>
      </x:c>
      <x:c r="E2045" s="27" t="n">
        <x:f>IF('Acceptance Register'!H135&lt;&gt;"",1,0)</x:f>
        <x:v>1</x:v>
      </x:c>
      <x:c r="F2045" s="27" t="n">
        <x:v>1</x:v>
      </x:c>
      <x:c r="G2045" s="29" t="str">
        <x:f>IF(E2045=F2045,"PASS","FAIL")</x:f>
        <x:v>PASS</x:v>
      </x:c>
    </x:row>
    <x:row r="2046" ht="18" customHeight="1">
      <x:c r="B2046" s="27" t="str">
        <x:v>A2040</x:v>
      </x:c>
      <x:c r="C2046" s="27" t="str">
        <x:v>acceptance</x:v>
      </x:c>
      <x:c r="D2046" s="27" t="str">
        <x:v>Acceptance row 135 evidence open</x:v>
      </x:c>
      <x:c r="E2046" s="27" t="n">
        <x:f>IF('Acceptance Register'!K135="OPEN",1,0)</x:f>
        <x:v>1</x:v>
      </x:c>
      <x:c r="F2046" s="27" t="n">
        <x:v>1</x:v>
      </x:c>
      <x:c r="G2046" s="29" t="str">
        <x:f>IF(E2046=F2046,"PASS","FAIL")</x:f>
        <x:v>PASS</x:v>
      </x:c>
    </x:row>
    <x:row r="2047" ht="18" customHeight="1">
      <x:c r="B2047" s="27" t="str">
        <x:v>A2041</x:v>
      </x:c>
      <x:c r="C2047" s="27" t="str">
        <x:v>acceptance</x:v>
      </x:c>
      <x:c r="D2047" s="27" t="str">
        <x:v>Acceptance row 135 decision hold</x:v>
      </x:c>
      <x:c r="E2047" s="27" t="n">
        <x:f>IF('Acceptance Register'!L135="HOLD",1,0)</x:f>
        <x:v>1</x:v>
      </x:c>
      <x:c r="F2047" s="27" t="n">
        <x:v>1</x:v>
      </x:c>
      <x:c r="G2047" s="29" t="str">
        <x:f>IF(E2047=F2047,"PASS","FAIL")</x:f>
        <x:v>PASS</x:v>
      </x:c>
    </x:row>
    <x:row r="2048" ht="18" customHeight="1">
      <x:c r="B2048" s="27" t="str">
        <x:v>A2042</x:v>
      </x:c>
      <x:c r="C2048" s="27" t="str">
        <x:v>acceptance</x:v>
      </x:c>
      <x:c r="D2048" s="27" t="str">
        <x:v>Acceptance row 135 zero credit</x:v>
      </x:c>
      <x:c r="E2048" s="27" t="n">
        <x:f>IF('Acceptance Register'!M135=0,1,0)</x:f>
        <x:v>1</x:v>
      </x:c>
      <x:c r="F2048" s="27" t="n">
        <x:v>1</x:v>
      </x:c>
      <x:c r="G2048" s="29" t="str">
        <x:f>IF(E2048=F2048,"PASS","FAIL")</x:f>
        <x:v>PASS</x:v>
      </x:c>
    </x:row>
    <x:row r="2049" ht="18" customHeight="1">
      <x:c r="B2049" s="27" t="str">
        <x:v>A2043</x:v>
      </x:c>
      <x:c r="C2049" s="27" t="str">
        <x:v>acceptance</x:v>
      </x:c>
      <x:c r="D2049" s="27" t="str">
        <x:v>Acceptance row 136 method present</x:v>
      </x:c>
      <x:c r="E2049" s="27" t="n">
        <x:f>IF('Acceptance Register'!G136&lt;&gt;"",1,0)</x:f>
        <x:v>1</x:v>
      </x:c>
      <x:c r="F2049" s="27" t="n">
        <x:v>1</x:v>
      </x:c>
      <x:c r="G2049" s="29" t="str">
        <x:f>IF(E2049=F2049,"PASS","FAIL")</x:f>
        <x:v>PASS</x:v>
      </x:c>
    </x:row>
    <x:row r="2050" ht="18" customHeight="1">
      <x:c r="B2050" s="27" t="str">
        <x:v>A2044</x:v>
      </x:c>
      <x:c r="C2050" s="27" t="str">
        <x:v>acceptance</x:v>
      </x:c>
      <x:c r="D2050" s="27" t="str">
        <x:v>Acceptance row 136 threshold present</x:v>
      </x:c>
      <x:c r="E2050" s="27" t="n">
        <x:f>IF('Acceptance Register'!H136&lt;&gt;"",1,0)</x:f>
        <x:v>1</x:v>
      </x:c>
      <x:c r="F2050" s="27" t="n">
        <x:v>1</x:v>
      </x:c>
      <x:c r="G2050" s="29" t="str">
        <x:f>IF(E2050=F2050,"PASS","FAIL")</x:f>
        <x:v>PASS</x:v>
      </x:c>
    </x:row>
    <x:row r="2051" ht="18" customHeight="1">
      <x:c r="B2051" s="27" t="str">
        <x:v>A2045</x:v>
      </x:c>
      <x:c r="C2051" s="27" t="str">
        <x:v>acceptance</x:v>
      </x:c>
      <x:c r="D2051" s="27" t="str">
        <x:v>Acceptance row 136 evidence open</x:v>
      </x:c>
      <x:c r="E2051" s="27" t="n">
        <x:f>IF('Acceptance Register'!K136="OPEN",1,0)</x:f>
        <x:v>1</x:v>
      </x:c>
      <x:c r="F2051" s="27" t="n">
        <x:v>1</x:v>
      </x:c>
      <x:c r="G2051" s="29" t="str">
        <x:f>IF(E2051=F2051,"PASS","FAIL")</x:f>
        <x:v>PASS</x:v>
      </x:c>
    </x:row>
    <x:row r="2052" ht="18" customHeight="1">
      <x:c r="B2052" s="27" t="str">
        <x:v>A2046</x:v>
      </x:c>
      <x:c r="C2052" s="27" t="str">
        <x:v>acceptance</x:v>
      </x:c>
      <x:c r="D2052" s="27" t="str">
        <x:v>Acceptance row 136 decision hold</x:v>
      </x:c>
      <x:c r="E2052" s="27" t="n">
        <x:f>IF('Acceptance Register'!L136="HOLD",1,0)</x:f>
        <x:v>1</x:v>
      </x:c>
      <x:c r="F2052" s="27" t="n">
        <x:v>1</x:v>
      </x:c>
      <x:c r="G2052" s="29" t="str">
        <x:f>IF(E2052=F2052,"PASS","FAIL")</x:f>
        <x:v>PASS</x:v>
      </x:c>
    </x:row>
    <x:row r="2053" ht="18" customHeight="1">
      <x:c r="B2053" s="27" t="str">
        <x:v>A2047</x:v>
      </x:c>
      <x:c r="C2053" s="27" t="str">
        <x:v>acceptance</x:v>
      </x:c>
      <x:c r="D2053" s="27" t="str">
        <x:v>Acceptance row 136 zero credit</x:v>
      </x:c>
      <x:c r="E2053" s="27" t="n">
        <x:f>IF('Acceptance Register'!M136=0,1,0)</x:f>
        <x:v>1</x:v>
      </x:c>
      <x:c r="F2053" s="27" t="n">
        <x:v>1</x:v>
      </x:c>
      <x:c r="G2053" s="29" t="str">
        <x:f>IF(E2053=F2053,"PASS","FAIL")</x:f>
        <x:v>PASS</x:v>
      </x:c>
    </x:row>
    <x:row r="2054" ht="18" customHeight="1">
      <x:c r="B2054" s="27" t="str">
        <x:v>A2048</x:v>
      </x:c>
      <x:c r="C2054" s="27" t="str">
        <x:v>acceptance</x:v>
      </x:c>
      <x:c r="D2054" s="27" t="str">
        <x:v>Acceptance row 137 method present</x:v>
      </x:c>
      <x:c r="E2054" s="27" t="n">
        <x:f>IF('Acceptance Register'!G137&lt;&gt;"",1,0)</x:f>
        <x:v>1</x:v>
      </x:c>
      <x:c r="F2054" s="27" t="n">
        <x:v>1</x:v>
      </x:c>
      <x:c r="G2054" s="29" t="str">
        <x:f>IF(E2054=F2054,"PASS","FAIL")</x:f>
        <x:v>PASS</x:v>
      </x:c>
    </x:row>
    <x:row r="2055" ht="18" customHeight="1">
      <x:c r="B2055" s="27" t="str">
        <x:v>A2049</x:v>
      </x:c>
      <x:c r="C2055" s="27" t="str">
        <x:v>acceptance</x:v>
      </x:c>
      <x:c r="D2055" s="27" t="str">
        <x:v>Acceptance row 137 threshold present</x:v>
      </x:c>
      <x:c r="E2055" s="27" t="n">
        <x:f>IF('Acceptance Register'!H137&lt;&gt;"",1,0)</x:f>
        <x:v>1</x:v>
      </x:c>
      <x:c r="F2055" s="27" t="n">
        <x:v>1</x:v>
      </x:c>
      <x:c r="G2055" s="29" t="str">
        <x:f>IF(E2055=F2055,"PASS","FAIL")</x:f>
        <x:v>PASS</x:v>
      </x:c>
    </x:row>
    <x:row r="2056" ht="18" customHeight="1">
      <x:c r="B2056" s="27" t="str">
        <x:v>A2050</x:v>
      </x:c>
      <x:c r="C2056" s="27" t="str">
        <x:v>acceptance</x:v>
      </x:c>
      <x:c r="D2056" s="27" t="str">
        <x:v>Acceptance row 137 evidence open</x:v>
      </x:c>
      <x:c r="E2056" s="27" t="n">
        <x:f>IF('Acceptance Register'!K137="OPEN",1,0)</x:f>
        <x:v>1</x:v>
      </x:c>
      <x:c r="F2056" s="27" t="n">
        <x:v>1</x:v>
      </x:c>
      <x:c r="G2056" s="29" t="str">
        <x:f>IF(E2056=F2056,"PASS","FAIL")</x:f>
        <x:v>PASS</x:v>
      </x:c>
    </x:row>
    <x:row r="2057" ht="18" customHeight="1">
      <x:c r="B2057" s="27" t="str">
        <x:v>A2051</x:v>
      </x:c>
      <x:c r="C2057" s="27" t="str">
        <x:v>acceptance</x:v>
      </x:c>
      <x:c r="D2057" s="27" t="str">
        <x:v>Acceptance row 137 decision hold</x:v>
      </x:c>
      <x:c r="E2057" s="27" t="n">
        <x:f>IF('Acceptance Register'!L137="HOLD",1,0)</x:f>
        <x:v>1</x:v>
      </x:c>
      <x:c r="F2057" s="27" t="n">
        <x:v>1</x:v>
      </x:c>
      <x:c r="G2057" s="29" t="str">
        <x:f>IF(E2057=F2057,"PASS","FAIL")</x:f>
        <x:v>PASS</x:v>
      </x:c>
    </x:row>
    <x:row r="2058" ht="18" customHeight="1">
      <x:c r="B2058" s="27" t="str">
        <x:v>A2052</x:v>
      </x:c>
      <x:c r="C2058" s="27" t="str">
        <x:v>acceptance</x:v>
      </x:c>
      <x:c r="D2058" s="27" t="str">
        <x:v>Acceptance row 137 zero credit</x:v>
      </x:c>
      <x:c r="E2058" s="27" t="n">
        <x:f>IF('Acceptance Register'!M137=0,1,0)</x:f>
        <x:v>1</x:v>
      </x:c>
      <x:c r="F2058" s="27" t="n">
        <x:v>1</x:v>
      </x:c>
      <x:c r="G2058" s="29" t="str">
        <x:f>IF(E2058=F2058,"PASS","FAIL")</x:f>
        <x:v>PASS</x:v>
      </x:c>
    </x:row>
    <x:row r="2059" ht="18" customHeight="1">
      <x:c r="B2059" s="27" t="str">
        <x:v>A2053</x:v>
      </x:c>
      <x:c r="C2059" s="27" t="str">
        <x:v>acceptance</x:v>
      </x:c>
      <x:c r="D2059" s="27" t="str">
        <x:v>Acceptance row 138 method present</x:v>
      </x:c>
      <x:c r="E2059" s="27" t="n">
        <x:f>IF('Acceptance Register'!G138&lt;&gt;"",1,0)</x:f>
        <x:v>1</x:v>
      </x:c>
      <x:c r="F2059" s="27" t="n">
        <x:v>1</x:v>
      </x:c>
      <x:c r="G2059" s="29" t="str">
        <x:f>IF(E2059=F2059,"PASS","FAIL")</x:f>
        <x:v>PASS</x:v>
      </x:c>
    </x:row>
    <x:row r="2060" ht="18" customHeight="1">
      <x:c r="B2060" s="27" t="str">
        <x:v>A2054</x:v>
      </x:c>
      <x:c r="C2060" s="27" t="str">
        <x:v>acceptance</x:v>
      </x:c>
      <x:c r="D2060" s="27" t="str">
        <x:v>Acceptance row 138 threshold present</x:v>
      </x:c>
      <x:c r="E2060" s="27" t="n">
        <x:f>IF('Acceptance Register'!H138&lt;&gt;"",1,0)</x:f>
        <x:v>1</x:v>
      </x:c>
      <x:c r="F2060" s="27" t="n">
        <x:v>1</x:v>
      </x:c>
      <x:c r="G2060" s="29" t="str">
        <x:f>IF(E2060=F2060,"PASS","FAIL")</x:f>
        <x:v>PASS</x:v>
      </x:c>
    </x:row>
    <x:row r="2061" ht="18" customHeight="1">
      <x:c r="B2061" s="27" t="str">
        <x:v>A2055</x:v>
      </x:c>
      <x:c r="C2061" s="27" t="str">
        <x:v>acceptance</x:v>
      </x:c>
      <x:c r="D2061" s="27" t="str">
        <x:v>Acceptance row 138 evidence open</x:v>
      </x:c>
      <x:c r="E2061" s="27" t="n">
        <x:f>IF('Acceptance Register'!K138="OPEN",1,0)</x:f>
        <x:v>1</x:v>
      </x:c>
      <x:c r="F2061" s="27" t="n">
        <x:v>1</x:v>
      </x:c>
      <x:c r="G2061" s="29" t="str">
        <x:f>IF(E2061=F2061,"PASS","FAIL")</x:f>
        <x:v>PASS</x:v>
      </x:c>
    </x:row>
    <x:row r="2062" ht="18" customHeight="1">
      <x:c r="B2062" s="27" t="str">
        <x:v>A2056</x:v>
      </x:c>
      <x:c r="C2062" s="27" t="str">
        <x:v>acceptance</x:v>
      </x:c>
      <x:c r="D2062" s="27" t="str">
        <x:v>Acceptance row 138 decision hold</x:v>
      </x:c>
      <x:c r="E2062" s="27" t="n">
        <x:f>IF('Acceptance Register'!L138="HOLD",1,0)</x:f>
        <x:v>1</x:v>
      </x:c>
      <x:c r="F2062" s="27" t="n">
        <x:v>1</x:v>
      </x:c>
      <x:c r="G2062" s="29" t="str">
        <x:f>IF(E2062=F2062,"PASS","FAIL")</x:f>
        <x:v>PASS</x:v>
      </x:c>
    </x:row>
    <x:row r="2063" ht="18" customHeight="1">
      <x:c r="B2063" s="27" t="str">
        <x:v>A2057</x:v>
      </x:c>
      <x:c r="C2063" s="27" t="str">
        <x:v>acceptance</x:v>
      </x:c>
      <x:c r="D2063" s="27" t="str">
        <x:v>Acceptance row 138 zero credit</x:v>
      </x:c>
      <x:c r="E2063" s="27" t="n">
        <x:f>IF('Acceptance Register'!M138=0,1,0)</x:f>
        <x:v>1</x:v>
      </x:c>
      <x:c r="F2063" s="27" t="n">
        <x:v>1</x:v>
      </x:c>
      <x:c r="G2063" s="29" t="str">
        <x:f>IF(E2063=F2063,"PASS","FAIL")</x:f>
        <x:v>PASS</x:v>
      </x:c>
    </x:row>
    <x:row r="2064" ht="18" customHeight="1">
      <x:c r="B2064" s="27" t="str">
        <x:v>A2058</x:v>
      </x:c>
      <x:c r="C2064" s="27" t="str">
        <x:v>hazard</x:v>
      </x:c>
      <x:c r="D2064" s="27" t="str">
        <x:v>Hazard row 7 severity registered</x:v>
      </x:c>
      <x:c r="E2064" s="27" t="n">
        <x:f>IF(AND('Hazard Register'!F7&gt;=1,'Hazard Register'!F7&lt;=5),1,0)</x:f>
        <x:v>1</x:v>
      </x:c>
      <x:c r="F2064" s="27" t="n">
        <x:v>1</x:v>
      </x:c>
      <x:c r="G2064" s="29" t="str">
        <x:f>IF(E2064=F2064,"PASS","FAIL")</x:f>
        <x:v>PASS</x:v>
      </x:c>
    </x:row>
    <x:row r="2065" ht="18" customHeight="1">
      <x:c r="B2065" s="27" t="str">
        <x:v>A2059</x:v>
      </x:c>
      <x:c r="C2065" s="27" t="str">
        <x:v>hazard</x:v>
      </x:c>
      <x:c r="D2065" s="27" t="str">
        <x:v>Hazard row 7 duration nonnegative</x:v>
      </x:c>
      <x:c r="E2065" s="27" t="n">
        <x:f>IF('Hazard Register'!G7&gt;=0,1,0)</x:f>
        <x:v>1</x:v>
      </x:c>
      <x:c r="F2065" s="27" t="n">
        <x:v>1</x:v>
      </x:c>
      <x:c r="G2065" s="29" t="str">
        <x:f>IF(E2065=F2065,"PASS","FAIL")</x:f>
        <x:v>PASS</x:v>
      </x:c>
    </x:row>
    <x:row r="2066" ht="18" customHeight="1">
      <x:c r="B2066" s="27" t="str">
        <x:v>A2060</x:v>
      </x:c>
      <x:c r="C2066" s="27" t="str">
        <x:v>hazard</x:v>
      </x:c>
      <x:c r="D2066" s="27" t="str">
        <x:v>Hazard row 7 threshold present</x:v>
      </x:c>
      <x:c r="E2066" s="27" t="n">
        <x:f>IF('Hazard Register'!I7&lt;&gt;"",1,0)</x:f>
        <x:v>1</x:v>
      </x:c>
      <x:c r="F2066" s="27" t="n">
        <x:v>1</x:v>
      </x:c>
      <x:c r="G2066" s="29" t="str">
        <x:f>IF(E2066=F2066,"PASS","FAIL")</x:f>
        <x:v>PASS</x:v>
      </x:c>
    </x:row>
    <x:row r="2067" ht="18" customHeight="1">
      <x:c r="B2067" s="27" t="str">
        <x:v>A2061</x:v>
      </x:c>
      <x:c r="C2067" s="27" t="str">
        <x:v>hazard</x:v>
      </x:c>
      <x:c r="D2067" s="27" t="str">
        <x:v>Hazard row 7 evidence open</x:v>
      </x:c>
      <x:c r="E2067" s="27" t="n">
        <x:f>IF('Hazard Register'!L7="OPEN",1,0)</x:f>
        <x:v>1</x:v>
      </x:c>
      <x:c r="F2067" s="27" t="n">
        <x:v>1</x:v>
      </x:c>
      <x:c r="G2067" s="29" t="str">
        <x:f>IF(E2067=F2067,"PASS","FAIL")</x:f>
        <x:v>PASS</x:v>
      </x:c>
    </x:row>
    <x:row r="2068" ht="18" customHeight="1">
      <x:c r="B2068" s="27" t="str">
        <x:v>A2062</x:v>
      </x:c>
      <x:c r="C2068" s="27" t="str">
        <x:v>hazard</x:v>
      </x:c>
      <x:c r="D2068" s="27" t="str">
        <x:v>Hazard row 7 zero credit</x:v>
      </x:c>
      <x:c r="E2068" s="27" t="n">
        <x:f>IF('Hazard Register'!M7=0,1,0)</x:f>
        <x:v>1</x:v>
      </x:c>
      <x:c r="F2068" s="27" t="n">
        <x:v>1</x:v>
      </x:c>
      <x:c r="G2068" s="29" t="str">
        <x:f>IF(E2068=F2068,"PASS","FAIL")</x:f>
        <x:v>PASS</x:v>
      </x:c>
    </x:row>
    <x:row r="2069" ht="18" customHeight="1">
      <x:c r="B2069" s="27" t="str">
        <x:v>A2063</x:v>
      </x:c>
      <x:c r="C2069" s="27" t="str">
        <x:v>hazard</x:v>
      </x:c>
      <x:c r="D2069" s="27" t="str">
        <x:v>Hazard row 8 severity registered</x:v>
      </x:c>
      <x:c r="E2069" s="27" t="n">
        <x:f>IF(AND('Hazard Register'!F8&gt;=1,'Hazard Register'!F8&lt;=5),1,0)</x:f>
        <x:v>1</x:v>
      </x:c>
      <x:c r="F2069" s="27" t="n">
        <x:v>1</x:v>
      </x:c>
      <x:c r="G2069" s="29" t="str">
        <x:f>IF(E2069=F2069,"PASS","FAIL")</x:f>
        <x:v>PASS</x:v>
      </x:c>
    </x:row>
    <x:row r="2070" ht="18" customHeight="1">
      <x:c r="B2070" s="27" t="str">
        <x:v>A2064</x:v>
      </x:c>
      <x:c r="C2070" s="27" t="str">
        <x:v>hazard</x:v>
      </x:c>
      <x:c r="D2070" s="27" t="str">
        <x:v>Hazard row 8 duration nonnegative</x:v>
      </x:c>
      <x:c r="E2070" s="27" t="n">
        <x:f>IF('Hazard Register'!G8&gt;=0,1,0)</x:f>
        <x:v>1</x:v>
      </x:c>
      <x:c r="F2070" s="27" t="n">
        <x:v>1</x:v>
      </x:c>
      <x:c r="G2070" s="29" t="str">
        <x:f>IF(E2070=F2070,"PASS","FAIL")</x:f>
        <x:v>PASS</x:v>
      </x:c>
    </x:row>
    <x:row r="2071" ht="18" customHeight="1">
      <x:c r="B2071" s="27" t="str">
        <x:v>A2065</x:v>
      </x:c>
      <x:c r="C2071" s="27" t="str">
        <x:v>hazard</x:v>
      </x:c>
      <x:c r="D2071" s="27" t="str">
        <x:v>Hazard row 8 threshold present</x:v>
      </x:c>
      <x:c r="E2071" s="27" t="n">
        <x:f>IF('Hazard Register'!I8&lt;&gt;"",1,0)</x:f>
        <x:v>1</x:v>
      </x:c>
      <x:c r="F2071" s="27" t="n">
        <x:v>1</x:v>
      </x:c>
      <x:c r="G2071" s="29" t="str">
        <x:f>IF(E2071=F2071,"PASS","FAIL")</x:f>
        <x:v>PASS</x:v>
      </x:c>
    </x:row>
    <x:row r="2072" ht="18" customHeight="1">
      <x:c r="B2072" s="27" t="str">
        <x:v>A2066</x:v>
      </x:c>
      <x:c r="C2072" s="27" t="str">
        <x:v>hazard</x:v>
      </x:c>
      <x:c r="D2072" s="27" t="str">
        <x:v>Hazard row 8 evidence open</x:v>
      </x:c>
      <x:c r="E2072" s="27" t="n">
        <x:f>IF('Hazard Register'!L8="OPEN",1,0)</x:f>
        <x:v>1</x:v>
      </x:c>
      <x:c r="F2072" s="27" t="n">
        <x:v>1</x:v>
      </x:c>
      <x:c r="G2072" s="29" t="str">
        <x:f>IF(E2072=F2072,"PASS","FAIL")</x:f>
        <x:v>PASS</x:v>
      </x:c>
    </x:row>
    <x:row r="2073" ht="18" customHeight="1">
      <x:c r="B2073" s="27" t="str">
        <x:v>A2067</x:v>
      </x:c>
      <x:c r="C2073" s="27" t="str">
        <x:v>hazard</x:v>
      </x:c>
      <x:c r="D2073" s="27" t="str">
        <x:v>Hazard row 8 zero credit</x:v>
      </x:c>
      <x:c r="E2073" s="27" t="n">
        <x:f>IF('Hazard Register'!M8=0,1,0)</x:f>
        <x:v>1</x:v>
      </x:c>
      <x:c r="F2073" s="27" t="n">
        <x:v>1</x:v>
      </x:c>
      <x:c r="G2073" s="29" t="str">
        <x:f>IF(E2073=F2073,"PASS","FAIL")</x:f>
        <x:v>PASS</x:v>
      </x:c>
    </x:row>
    <x:row r="2074" ht="18" customHeight="1">
      <x:c r="B2074" s="27" t="str">
        <x:v>A2068</x:v>
      </x:c>
      <x:c r="C2074" s="27" t="str">
        <x:v>hazard</x:v>
      </x:c>
      <x:c r="D2074" s="27" t="str">
        <x:v>Hazard row 9 severity registered</x:v>
      </x:c>
      <x:c r="E2074" s="27" t="n">
        <x:f>IF(AND('Hazard Register'!F9&gt;=1,'Hazard Register'!F9&lt;=5),1,0)</x:f>
        <x:v>1</x:v>
      </x:c>
      <x:c r="F2074" s="27" t="n">
        <x:v>1</x:v>
      </x:c>
      <x:c r="G2074" s="29" t="str">
        <x:f>IF(E2074=F2074,"PASS","FAIL")</x:f>
        <x:v>PASS</x:v>
      </x:c>
    </x:row>
    <x:row r="2075" ht="18" customHeight="1">
      <x:c r="B2075" s="27" t="str">
        <x:v>A2069</x:v>
      </x:c>
      <x:c r="C2075" s="27" t="str">
        <x:v>hazard</x:v>
      </x:c>
      <x:c r="D2075" s="27" t="str">
        <x:v>Hazard row 9 duration nonnegative</x:v>
      </x:c>
      <x:c r="E2075" s="27" t="n">
        <x:f>IF('Hazard Register'!G9&gt;=0,1,0)</x:f>
        <x:v>1</x:v>
      </x:c>
      <x:c r="F2075" s="27" t="n">
        <x:v>1</x:v>
      </x:c>
      <x:c r="G2075" s="29" t="str">
        <x:f>IF(E2075=F2075,"PASS","FAIL")</x:f>
        <x:v>PASS</x:v>
      </x:c>
    </x:row>
    <x:row r="2076" ht="18" customHeight="1">
      <x:c r="B2076" s="27" t="str">
        <x:v>A2070</x:v>
      </x:c>
      <x:c r="C2076" s="27" t="str">
        <x:v>hazard</x:v>
      </x:c>
      <x:c r="D2076" s="27" t="str">
        <x:v>Hazard row 9 threshold present</x:v>
      </x:c>
      <x:c r="E2076" s="27" t="n">
        <x:f>IF('Hazard Register'!I9&lt;&gt;"",1,0)</x:f>
        <x:v>1</x:v>
      </x:c>
      <x:c r="F2076" s="27" t="n">
        <x:v>1</x:v>
      </x:c>
      <x:c r="G2076" s="29" t="str">
        <x:f>IF(E2076=F2076,"PASS","FAIL")</x:f>
        <x:v>PASS</x:v>
      </x:c>
    </x:row>
    <x:row r="2077" ht="18" customHeight="1">
      <x:c r="B2077" s="27" t="str">
        <x:v>A2071</x:v>
      </x:c>
      <x:c r="C2077" s="27" t="str">
        <x:v>hazard</x:v>
      </x:c>
      <x:c r="D2077" s="27" t="str">
        <x:v>Hazard row 9 evidence open</x:v>
      </x:c>
      <x:c r="E2077" s="27" t="n">
        <x:f>IF('Hazard Register'!L9="OPEN",1,0)</x:f>
        <x:v>1</x:v>
      </x:c>
      <x:c r="F2077" s="27" t="n">
        <x:v>1</x:v>
      </x:c>
      <x:c r="G2077" s="29" t="str">
        <x:f>IF(E2077=F2077,"PASS","FAIL")</x:f>
        <x:v>PASS</x:v>
      </x:c>
    </x:row>
    <x:row r="2078" ht="18" customHeight="1">
      <x:c r="B2078" s="27" t="str">
        <x:v>A2072</x:v>
      </x:c>
      <x:c r="C2078" s="27" t="str">
        <x:v>hazard</x:v>
      </x:c>
      <x:c r="D2078" s="27" t="str">
        <x:v>Hazard row 9 zero credit</x:v>
      </x:c>
      <x:c r="E2078" s="27" t="n">
        <x:f>IF('Hazard Register'!M9=0,1,0)</x:f>
        <x:v>1</x:v>
      </x:c>
      <x:c r="F2078" s="27" t="n">
        <x:v>1</x:v>
      </x:c>
      <x:c r="G2078" s="29" t="str">
        <x:f>IF(E2078=F2078,"PASS","FAIL")</x:f>
        <x:v>PASS</x:v>
      </x:c>
    </x:row>
    <x:row r="2079" ht="18" customHeight="1">
      <x:c r="B2079" s="27" t="str">
        <x:v>A2073</x:v>
      </x:c>
      <x:c r="C2079" s="27" t="str">
        <x:v>hazard</x:v>
      </x:c>
      <x:c r="D2079" s="27" t="str">
        <x:v>Hazard row 10 severity registered</x:v>
      </x:c>
      <x:c r="E2079" s="27" t="n">
        <x:f>IF(AND('Hazard Register'!F10&gt;=1,'Hazard Register'!F10&lt;=5),1,0)</x:f>
        <x:v>1</x:v>
      </x:c>
      <x:c r="F2079" s="27" t="n">
        <x:v>1</x:v>
      </x:c>
      <x:c r="G2079" s="29" t="str">
        <x:f>IF(E2079=F2079,"PASS","FAIL")</x:f>
        <x:v>PASS</x:v>
      </x:c>
    </x:row>
    <x:row r="2080" ht="18" customHeight="1">
      <x:c r="B2080" s="27" t="str">
        <x:v>A2074</x:v>
      </x:c>
      <x:c r="C2080" s="27" t="str">
        <x:v>hazard</x:v>
      </x:c>
      <x:c r="D2080" s="27" t="str">
        <x:v>Hazard row 10 duration nonnegative</x:v>
      </x:c>
      <x:c r="E2080" s="27" t="n">
        <x:f>IF('Hazard Register'!G10&gt;=0,1,0)</x:f>
        <x:v>1</x:v>
      </x:c>
      <x:c r="F2080" s="27" t="n">
        <x:v>1</x:v>
      </x:c>
      <x:c r="G2080" s="29" t="str">
        <x:f>IF(E2080=F2080,"PASS","FAIL")</x:f>
        <x:v>PASS</x:v>
      </x:c>
    </x:row>
    <x:row r="2081" ht="18" customHeight="1">
      <x:c r="B2081" s="27" t="str">
        <x:v>A2075</x:v>
      </x:c>
      <x:c r="C2081" s="27" t="str">
        <x:v>hazard</x:v>
      </x:c>
      <x:c r="D2081" s="27" t="str">
        <x:v>Hazard row 10 threshold present</x:v>
      </x:c>
      <x:c r="E2081" s="27" t="n">
        <x:f>IF('Hazard Register'!I10&lt;&gt;"",1,0)</x:f>
        <x:v>1</x:v>
      </x:c>
      <x:c r="F2081" s="27" t="n">
        <x:v>1</x:v>
      </x:c>
      <x:c r="G2081" s="29" t="str">
        <x:f>IF(E2081=F2081,"PASS","FAIL")</x:f>
        <x:v>PASS</x:v>
      </x:c>
    </x:row>
    <x:row r="2082" ht="18" customHeight="1">
      <x:c r="B2082" s="27" t="str">
        <x:v>A2076</x:v>
      </x:c>
      <x:c r="C2082" s="27" t="str">
        <x:v>hazard</x:v>
      </x:c>
      <x:c r="D2082" s="27" t="str">
        <x:v>Hazard row 10 evidence open</x:v>
      </x:c>
      <x:c r="E2082" s="27" t="n">
        <x:f>IF('Hazard Register'!L10="OPEN",1,0)</x:f>
        <x:v>1</x:v>
      </x:c>
      <x:c r="F2082" s="27" t="n">
        <x:v>1</x:v>
      </x:c>
      <x:c r="G2082" s="29" t="str">
        <x:f>IF(E2082=F2082,"PASS","FAIL")</x:f>
        <x:v>PASS</x:v>
      </x:c>
    </x:row>
    <x:row r="2083" ht="18" customHeight="1">
      <x:c r="B2083" s="27" t="str">
        <x:v>A2077</x:v>
      </x:c>
      <x:c r="C2083" s="27" t="str">
        <x:v>hazard</x:v>
      </x:c>
      <x:c r="D2083" s="27" t="str">
        <x:v>Hazard row 10 zero credit</x:v>
      </x:c>
      <x:c r="E2083" s="27" t="n">
        <x:f>IF('Hazard Register'!M10=0,1,0)</x:f>
        <x:v>1</x:v>
      </x:c>
      <x:c r="F2083" s="27" t="n">
        <x:v>1</x:v>
      </x:c>
      <x:c r="G2083" s="29" t="str">
        <x:f>IF(E2083=F2083,"PASS","FAIL")</x:f>
        <x:v>PASS</x:v>
      </x:c>
    </x:row>
    <x:row r="2084" ht="18" customHeight="1">
      <x:c r="B2084" s="27" t="str">
        <x:v>A2078</x:v>
      </x:c>
      <x:c r="C2084" s="27" t="str">
        <x:v>hazard</x:v>
      </x:c>
      <x:c r="D2084" s="27" t="str">
        <x:v>Hazard row 11 severity registered</x:v>
      </x:c>
      <x:c r="E2084" s="27" t="n">
        <x:f>IF(AND('Hazard Register'!F11&gt;=1,'Hazard Register'!F11&lt;=5),1,0)</x:f>
        <x:v>1</x:v>
      </x:c>
      <x:c r="F2084" s="27" t="n">
        <x:v>1</x:v>
      </x:c>
      <x:c r="G2084" s="29" t="str">
        <x:f>IF(E2084=F2084,"PASS","FAIL")</x:f>
        <x:v>PASS</x:v>
      </x:c>
    </x:row>
    <x:row r="2085" ht="18" customHeight="1">
      <x:c r="B2085" s="27" t="str">
        <x:v>A2079</x:v>
      </x:c>
      <x:c r="C2085" s="27" t="str">
        <x:v>hazard</x:v>
      </x:c>
      <x:c r="D2085" s="27" t="str">
        <x:v>Hazard row 11 duration nonnegative</x:v>
      </x:c>
      <x:c r="E2085" s="27" t="n">
        <x:f>IF('Hazard Register'!G11&gt;=0,1,0)</x:f>
        <x:v>1</x:v>
      </x:c>
      <x:c r="F2085" s="27" t="n">
        <x:v>1</x:v>
      </x:c>
      <x:c r="G2085" s="29" t="str">
        <x:f>IF(E2085=F2085,"PASS","FAIL")</x:f>
        <x:v>PASS</x:v>
      </x:c>
    </x:row>
    <x:row r="2086" ht="18" customHeight="1">
      <x:c r="B2086" s="27" t="str">
        <x:v>A2080</x:v>
      </x:c>
      <x:c r="C2086" s="27" t="str">
        <x:v>hazard</x:v>
      </x:c>
      <x:c r="D2086" s="27" t="str">
        <x:v>Hazard row 11 threshold present</x:v>
      </x:c>
      <x:c r="E2086" s="27" t="n">
        <x:f>IF('Hazard Register'!I11&lt;&gt;"",1,0)</x:f>
        <x:v>1</x:v>
      </x:c>
      <x:c r="F2086" s="27" t="n">
        <x:v>1</x:v>
      </x:c>
      <x:c r="G2086" s="29" t="str">
        <x:f>IF(E2086=F2086,"PASS","FAIL")</x:f>
        <x:v>PASS</x:v>
      </x:c>
    </x:row>
    <x:row r="2087" ht="18" customHeight="1">
      <x:c r="B2087" s="27" t="str">
        <x:v>A2081</x:v>
      </x:c>
      <x:c r="C2087" s="27" t="str">
        <x:v>hazard</x:v>
      </x:c>
      <x:c r="D2087" s="27" t="str">
        <x:v>Hazard row 11 evidence open</x:v>
      </x:c>
      <x:c r="E2087" s="27" t="n">
        <x:f>IF('Hazard Register'!L11="OPEN",1,0)</x:f>
        <x:v>1</x:v>
      </x:c>
      <x:c r="F2087" s="27" t="n">
        <x:v>1</x:v>
      </x:c>
      <x:c r="G2087" s="29" t="str">
        <x:f>IF(E2087=F2087,"PASS","FAIL")</x:f>
        <x:v>PASS</x:v>
      </x:c>
    </x:row>
    <x:row r="2088" ht="18" customHeight="1">
      <x:c r="B2088" s="27" t="str">
        <x:v>A2082</x:v>
      </x:c>
      <x:c r="C2088" s="27" t="str">
        <x:v>hazard</x:v>
      </x:c>
      <x:c r="D2088" s="27" t="str">
        <x:v>Hazard row 11 zero credit</x:v>
      </x:c>
      <x:c r="E2088" s="27" t="n">
        <x:f>IF('Hazard Register'!M11=0,1,0)</x:f>
        <x:v>1</x:v>
      </x:c>
      <x:c r="F2088" s="27" t="n">
        <x:v>1</x:v>
      </x:c>
      <x:c r="G2088" s="29" t="str">
        <x:f>IF(E2088=F2088,"PASS","FAIL")</x:f>
        <x:v>PASS</x:v>
      </x:c>
    </x:row>
    <x:row r="2089" ht="18" customHeight="1">
      <x:c r="B2089" s="27" t="str">
        <x:v>A2083</x:v>
      </x:c>
      <x:c r="C2089" s="27" t="str">
        <x:v>hazard</x:v>
      </x:c>
      <x:c r="D2089" s="27" t="str">
        <x:v>Hazard row 12 severity registered</x:v>
      </x:c>
      <x:c r="E2089" s="27" t="n">
        <x:f>IF(AND('Hazard Register'!F12&gt;=1,'Hazard Register'!F12&lt;=5),1,0)</x:f>
        <x:v>1</x:v>
      </x:c>
      <x:c r="F2089" s="27" t="n">
        <x:v>1</x:v>
      </x:c>
      <x:c r="G2089" s="29" t="str">
        <x:f>IF(E2089=F2089,"PASS","FAIL")</x:f>
        <x:v>PASS</x:v>
      </x:c>
    </x:row>
    <x:row r="2090" ht="18" customHeight="1">
      <x:c r="B2090" s="27" t="str">
        <x:v>A2084</x:v>
      </x:c>
      <x:c r="C2090" s="27" t="str">
        <x:v>hazard</x:v>
      </x:c>
      <x:c r="D2090" s="27" t="str">
        <x:v>Hazard row 12 duration nonnegative</x:v>
      </x:c>
      <x:c r="E2090" s="27" t="n">
        <x:f>IF('Hazard Register'!G12&gt;=0,1,0)</x:f>
        <x:v>1</x:v>
      </x:c>
      <x:c r="F2090" s="27" t="n">
        <x:v>1</x:v>
      </x:c>
      <x:c r="G2090" s="29" t="str">
        <x:f>IF(E2090=F2090,"PASS","FAIL")</x:f>
        <x:v>PASS</x:v>
      </x:c>
    </x:row>
    <x:row r="2091" ht="18" customHeight="1">
      <x:c r="B2091" s="27" t="str">
        <x:v>A2085</x:v>
      </x:c>
      <x:c r="C2091" s="27" t="str">
        <x:v>hazard</x:v>
      </x:c>
      <x:c r="D2091" s="27" t="str">
        <x:v>Hazard row 12 threshold present</x:v>
      </x:c>
      <x:c r="E2091" s="27" t="n">
        <x:f>IF('Hazard Register'!I12&lt;&gt;"",1,0)</x:f>
        <x:v>1</x:v>
      </x:c>
      <x:c r="F2091" s="27" t="n">
        <x:v>1</x:v>
      </x:c>
      <x:c r="G2091" s="29" t="str">
        <x:f>IF(E2091=F2091,"PASS","FAIL")</x:f>
        <x:v>PASS</x:v>
      </x:c>
    </x:row>
    <x:row r="2092" ht="18" customHeight="1">
      <x:c r="B2092" s="27" t="str">
        <x:v>A2086</x:v>
      </x:c>
      <x:c r="C2092" s="27" t="str">
        <x:v>hazard</x:v>
      </x:c>
      <x:c r="D2092" s="27" t="str">
        <x:v>Hazard row 12 evidence open</x:v>
      </x:c>
      <x:c r="E2092" s="27" t="n">
        <x:f>IF('Hazard Register'!L12="OPEN",1,0)</x:f>
        <x:v>1</x:v>
      </x:c>
      <x:c r="F2092" s="27" t="n">
        <x:v>1</x:v>
      </x:c>
      <x:c r="G2092" s="29" t="str">
        <x:f>IF(E2092=F2092,"PASS","FAIL")</x:f>
        <x:v>PASS</x:v>
      </x:c>
    </x:row>
    <x:row r="2093" ht="18" customHeight="1">
      <x:c r="B2093" s="27" t="str">
        <x:v>A2087</x:v>
      </x:c>
      <x:c r="C2093" s="27" t="str">
        <x:v>hazard</x:v>
      </x:c>
      <x:c r="D2093" s="27" t="str">
        <x:v>Hazard row 12 zero credit</x:v>
      </x:c>
      <x:c r="E2093" s="27" t="n">
        <x:f>IF('Hazard Register'!M12=0,1,0)</x:f>
        <x:v>1</x:v>
      </x:c>
      <x:c r="F2093" s="27" t="n">
        <x:v>1</x:v>
      </x:c>
      <x:c r="G2093" s="29" t="str">
        <x:f>IF(E2093=F2093,"PASS","FAIL")</x:f>
        <x:v>PASS</x:v>
      </x:c>
    </x:row>
    <x:row r="2094" ht="18" customHeight="1">
      <x:c r="B2094" s="27" t="str">
        <x:v>A2088</x:v>
      </x:c>
      <x:c r="C2094" s="27" t="str">
        <x:v>hazard</x:v>
      </x:c>
      <x:c r="D2094" s="27" t="str">
        <x:v>Hazard row 13 severity registered</x:v>
      </x:c>
      <x:c r="E2094" s="27" t="n">
        <x:f>IF(AND('Hazard Register'!F13&gt;=1,'Hazard Register'!F13&lt;=5),1,0)</x:f>
        <x:v>1</x:v>
      </x:c>
      <x:c r="F2094" s="27" t="n">
        <x:v>1</x:v>
      </x:c>
      <x:c r="G2094" s="29" t="str">
        <x:f>IF(E2094=F2094,"PASS","FAIL")</x:f>
        <x:v>PASS</x:v>
      </x:c>
    </x:row>
    <x:row r="2095" ht="18" customHeight="1">
      <x:c r="B2095" s="27" t="str">
        <x:v>A2089</x:v>
      </x:c>
      <x:c r="C2095" s="27" t="str">
        <x:v>hazard</x:v>
      </x:c>
      <x:c r="D2095" s="27" t="str">
        <x:v>Hazard row 13 duration nonnegative</x:v>
      </x:c>
      <x:c r="E2095" s="27" t="n">
        <x:f>IF('Hazard Register'!G13&gt;=0,1,0)</x:f>
        <x:v>1</x:v>
      </x:c>
      <x:c r="F2095" s="27" t="n">
        <x:v>1</x:v>
      </x:c>
      <x:c r="G2095" s="29" t="str">
        <x:f>IF(E2095=F2095,"PASS","FAIL")</x:f>
        <x:v>PASS</x:v>
      </x:c>
    </x:row>
    <x:row r="2096" ht="18" customHeight="1">
      <x:c r="B2096" s="27" t="str">
        <x:v>A2090</x:v>
      </x:c>
      <x:c r="C2096" s="27" t="str">
        <x:v>hazard</x:v>
      </x:c>
      <x:c r="D2096" s="27" t="str">
        <x:v>Hazard row 13 threshold present</x:v>
      </x:c>
      <x:c r="E2096" s="27" t="n">
        <x:f>IF('Hazard Register'!I13&lt;&gt;"",1,0)</x:f>
        <x:v>1</x:v>
      </x:c>
      <x:c r="F2096" s="27" t="n">
        <x:v>1</x:v>
      </x:c>
      <x:c r="G2096" s="29" t="str">
        <x:f>IF(E2096=F2096,"PASS","FAIL")</x:f>
        <x:v>PASS</x:v>
      </x:c>
    </x:row>
    <x:row r="2097" ht="18" customHeight="1">
      <x:c r="B2097" s="27" t="str">
        <x:v>A2091</x:v>
      </x:c>
      <x:c r="C2097" s="27" t="str">
        <x:v>hazard</x:v>
      </x:c>
      <x:c r="D2097" s="27" t="str">
        <x:v>Hazard row 13 evidence open</x:v>
      </x:c>
      <x:c r="E2097" s="27" t="n">
        <x:f>IF('Hazard Register'!L13="OPEN",1,0)</x:f>
        <x:v>1</x:v>
      </x:c>
      <x:c r="F2097" s="27" t="n">
        <x:v>1</x:v>
      </x:c>
      <x:c r="G2097" s="29" t="str">
        <x:f>IF(E2097=F2097,"PASS","FAIL")</x:f>
        <x:v>PASS</x:v>
      </x:c>
    </x:row>
    <x:row r="2098" ht="18" customHeight="1">
      <x:c r="B2098" s="27" t="str">
        <x:v>A2092</x:v>
      </x:c>
      <x:c r="C2098" s="27" t="str">
        <x:v>hazard</x:v>
      </x:c>
      <x:c r="D2098" s="27" t="str">
        <x:v>Hazard row 13 zero credit</x:v>
      </x:c>
      <x:c r="E2098" s="27" t="n">
        <x:f>IF('Hazard Register'!M13=0,1,0)</x:f>
        <x:v>1</x:v>
      </x:c>
      <x:c r="F2098" s="27" t="n">
        <x:v>1</x:v>
      </x:c>
      <x:c r="G2098" s="29" t="str">
        <x:f>IF(E2098=F2098,"PASS","FAIL")</x:f>
        <x:v>PASS</x:v>
      </x:c>
    </x:row>
    <x:row r="2099" ht="18" customHeight="1">
      <x:c r="B2099" s="27" t="str">
        <x:v>A2093</x:v>
      </x:c>
      <x:c r="C2099" s="27" t="str">
        <x:v>hazard</x:v>
      </x:c>
      <x:c r="D2099" s="27" t="str">
        <x:v>Hazard row 14 severity registered</x:v>
      </x:c>
      <x:c r="E2099" s="27" t="n">
        <x:f>IF(AND('Hazard Register'!F14&gt;=1,'Hazard Register'!F14&lt;=5),1,0)</x:f>
        <x:v>1</x:v>
      </x:c>
      <x:c r="F2099" s="27" t="n">
        <x:v>1</x:v>
      </x:c>
      <x:c r="G2099" s="29" t="str">
        <x:f>IF(E2099=F2099,"PASS","FAIL")</x:f>
        <x:v>PASS</x:v>
      </x:c>
    </x:row>
    <x:row r="2100" ht="18" customHeight="1">
      <x:c r="B2100" s="27" t="str">
        <x:v>A2094</x:v>
      </x:c>
      <x:c r="C2100" s="27" t="str">
        <x:v>hazard</x:v>
      </x:c>
      <x:c r="D2100" s="27" t="str">
        <x:v>Hazard row 14 duration nonnegative</x:v>
      </x:c>
      <x:c r="E2100" s="27" t="n">
        <x:f>IF('Hazard Register'!G14&gt;=0,1,0)</x:f>
        <x:v>1</x:v>
      </x:c>
      <x:c r="F2100" s="27" t="n">
        <x:v>1</x:v>
      </x:c>
      <x:c r="G2100" s="29" t="str">
        <x:f>IF(E2100=F2100,"PASS","FAIL")</x:f>
        <x:v>PASS</x:v>
      </x:c>
    </x:row>
    <x:row r="2101" ht="18" customHeight="1">
      <x:c r="B2101" s="27" t="str">
        <x:v>A2095</x:v>
      </x:c>
      <x:c r="C2101" s="27" t="str">
        <x:v>hazard</x:v>
      </x:c>
      <x:c r="D2101" s="27" t="str">
        <x:v>Hazard row 14 threshold present</x:v>
      </x:c>
      <x:c r="E2101" s="27" t="n">
        <x:f>IF('Hazard Register'!I14&lt;&gt;"",1,0)</x:f>
        <x:v>1</x:v>
      </x:c>
      <x:c r="F2101" s="27" t="n">
        <x:v>1</x:v>
      </x:c>
      <x:c r="G2101" s="29" t="str">
        <x:f>IF(E2101=F2101,"PASS","FAIL")</x:f>
        <x:v>PASS</x:v>
      </x:c>
    </x:row>
    <x:row r="2102" ht="18" customHeight="1">
      <x:c r="B2102" s="27" t="str">
        <x:v>A2096</x:v>
      </x:c>
      <x:c r="C2102" s="27" t="str">
        <x:v>hazard</x:v>
      </x:c>
      <x:c r="D2102" s="27" t="str">
        <x:v>Hazard row 14 evidence open</x:v>
      </x:c>
      <x:c r="E2102" s="27" t="n">
        <x:f>IF('Hazard Register'!L14="OPEN",1,0)</x:f>
        <x:v>1</x:v>
      </x:c>
      <x:c r="F2102" s="27" t="n">
        <x:v>1</x:v>
      </x:c>
      <x:c r="G2102" s="29" t="str">
        <x:f>IF(E2102=F2102,"PASS","FAIL")</x:f>
        <x:v>PASS</x:v>
      </x:c>
    </x:row>
    <x:row r="2103" ht="18" customHeight="1">
      <x:c r="B2103" s="27" t="str">
        <x:v>A2097</x:v>
      </x:c>
      <x:c r="C2103" s="27" t="str">
        <x:v>hazard</x:v>
      </x:c>
      <x:c r="D2103" s="27" t="str">
        <x:v>Hazard row 14 zero credit</x:v>
      </x:c>
      <x:c r="E2103" s="27" t="n">
        <x:f>IF('Hazard Register'!M14=0,1,0)</x:f>
        <x:v>1</x:v>
      </x:c>
      <x:c r="F2103" s="27" t="n">
        <x:v>1</x:v>
      </x:c>
      <x:c r="G2103" s="29" t="str">
        <x:f>IF(E2103=F2103,"PASS","FAIL")</x:f>
        <x:v>PASS</x:v>
      </x:c>
    </x:row>
    <x:row r="2104" ht="18" customHeight="1">
      <x:c r="B2104" s="27" t="str">
        <x:v>A2098</x:v>
      </x:c>
      <x:c r="C2104" s="27" t="str">
        <x:v>hazard</x:v>
      </x:c>
      <x:c r="D2104" s="27" t="str">
        <x:v>Hazard row 15 severity registered</x:v>
      </x:c>
      <x:c r="E2104" s="27" t="n">
        <x:f>IF(AND('Hazard Register'!F15&gt;=1,'Hazard Register'!F15&lt;=5),1,0)</x:f>
        <x:v>1</x:v>
      </x:c>
      <x:c r="F2104" s="27" t="n">
        <x:v>1</x:v>
      </x:c>
      <x:c r="G2104" s="29" t="str">
        <x:f>IF(E2104=F2104,"PASS","FAIL")</x:f>
        <x:v>PASS</x:v>
      </x:c>
    </x:row>
    <x:row r="2105" ht="18" customHeight="1">
      <x:c r="B2105" s="27" t="str">
        <x:v>A2099</x:v>
      </x:c>
      <x:c r="C2105" s="27" t="str">
        <x:v>hazard</x:v>
      </x:c>
      <x:c r="D2105" s="27" t="str">
        <x:v>Hazard row 15 duration nonnegative</x:v>
      </x:c>
      <x:c r="E2105" s="27" t="n">
        <x:f>IF('Hazard Register'!G15&gt;=0,1,0)</x:f>
        <x:v>1</x:v>
      </x:c>
      <x:c r="F2105" s="27" t="n">
        <x:v>1</x:v>
      </x:c>
      <x:c r="G2105" s="29" t="str">
        <x:f>IF(E2105=F2105,"PASS","FAIL")</x:f>
        <x:v>PASS</x:v>
      </x:c>
    </x:row>
    <x:row r="2106" ht="18" customHeight="1">
      <x:c r="B2106" s="27" t="str">
        <x:v>A2100</x:v>
      </x:c>
      <x:c r="C2106" s="27" t="str">
        <x:v>hazard</x:v>
      </x:c>
      <x:c r="D2106" s="27" t="str">
        <x:v>Hazard row 15 threshold present</x:v>
      </x:c>
      <x:c r="E2106" s="27" t="n">
        <x:f>IF('Hazard Register'!I15&lt;&gt;"",1,0)</x:f>
        <x:v>1</x:v>
      </x:c>
      <x:c r="F2106" s="27" t="n">
        <x:v>1</x:v>
      </x:c>
      <x:c r="G2106" s="29" t="str">
        <x:f>IF(E2106=F2106,"PASS","FAIL")</x:f>
        <x:v>PASS</x:v>
      </x:c>
    </x:row>
    <x:row r="2107" ht="18" customHeight="1">
      <x:c r="B2107" s="27" t="str">
        <x:v>A2101</x:v>
      </x:c>
      <x:c r="C2107" s="27" t="str">
        <x:v>hazard</x:v>
      </x:c>
      <x:c r="D2107" s="27" t="str">
        <x:v>Hazard row 15 evidence open</x:v>
      </x:c>
      <x:c r="E2107" s="27" t="n">
        <x:f>IF('Hazard Register'!L15="OPEN",1,0)</x:f>
        <x:v>1</x:v>
      </x:c>
      <x:c r="F2107" s="27" t="n">
        <x:v>1</x:v>
      </x:c>
      <x:c r="G2107" s="29" t="str">
        <x:f>IF(E2107=F2107,"PASS","FAIL")</x:f>
        <x:v>PASS</x:v>
      </x:c>
    </x:row>
    <x:row r="2108" ht="18" customHeight="1">
      <x:c r="B2108" s="27" t="str">
        <x:v>A2102</x:v>
      </x:c>
      <x:c r="C2108" s="27" t="str">
        <x:v>hazard</x:v>
      </x:c>
      <x:c r="D2108" s="27" t="str">
        <x:v>Hazard row 15 zero credit</x:v>
      </x:c>
      <x:c r="E2108" s="27" t="n">
        <x:f>IF('Hazard Register'!M15=0,1,0)</x:f>
        <x:v>1</x:v>
      </x:c>
      <x:c r="F2108" s="27" t="n">
        <x:v>1</x:v>
      </x:c>
      <x:c r="G2108" s="29" t="str">
        <x:f>IF(E2108=F2108,"PASS","FAIL")</x:f>
        <x:v>PASS</x:v>
      </x:c>
    </x:row>
    <x:row r="2109" ht="18" customHeight="1">
      <x:c r="B2109" s="27" t="str">
        <x:v>A2103</x:v>
      </x:c>
      <x:c r="C2109" s="27" t="str">
        <x:v>hazard</x:v>
      </x:c>
      <x:c r="D2109" s="27" t="str">
        <x:v>Hazard row 16 severity registered</x:v>
      </x:c>
      <x:c r="E2109" s="27" t="n">
        <x:f>IF(AND('Hazard Register'!F16&gt;=1,'Hazard Register'!F16&lt;=5),1,0)</x:f>
        <x:v>1</x:v>
      </x:c>
      <x:c r="F2109" s="27" t="n">
        <x:v>1</x:v>
      </x:c>
      <x:c r="G2109" s="29" t="str">
        <x:f>IF(E2109=F2109,"PASS","FAIL")</x:f>
        <x:v>PASS</x:v>
      </x:c>
    </x:row>
    <x:row r="2110" ht="18" customHeight="1">
      <x:c r="B2110" s="27" t="str">
        <x:v>A2104</x:v>
      </x:c>
      <x:c r="C2110" s="27" t="str">
        <x:v>hazard</x:v>
      </x:c>
      <x:c r="D2110" s="27" t="str">
        <x:v>Hazard row 16 duration nonnegative</x:v>
      </x:c>
      <x:c r="E2110" s="27" t="n">
        <x:f>IF('Hazard Register'!G16&gt;=0,1,0)</x:f>
        <x:v>1</x:v>
      </x:c>
      <x:c r="F2110" s="27" t="n">
        <x:v>1</x:v>
      </x:c>
      <x:c r="G2110" s="29" t="str">
        <x:f>IF(E2110=F2110,"PASS","FAIL")</x:f>
        <x:v>PASS</x:v>
      </x:c>
    </x:row>
    <x:row r="2111" ht="18" customHeight="1">
      <x:c r="B2111" s="27" t="str">
        <x:v>A2105</x:v>
      </x:c>
      <x:c r="C2111" s="27" t="str">
        <x:v>hazard</x:v>
      </x:c>
      <x:c r="D2111" s="27" t="str">
        <x:v>Hazard row 16 threshold present</x:v>
      </x:c>
      <x:c r="E2111" s="27" t="n">
        <x:f>IF('Hazard Register'!I16&lt;&gt;"",1,0)</x:f>
        <x:v>1</x:v>
      </x:c>
      <x:c r="F2111" s="27" t="n">
        <x:v>1</x:v>
      </x:c>
      <x:c r="G2111" s="29" t="str">
        <x:f>IF(E2111=F2111,"PASS","FAIL")</x:f>
        <x:v>PASS</x:v>
      </x:c>
    </x:row>
    <x:row r="2112" ht="18" customHeight="1">
      <x:c r="B2112" s="27" t="str">
        <x:v>A2106</x:v>
      </x:c>
      <x:c r="C2112" s="27" t="str">
        <x:v>hazard</x:v>
      </x:c>
      <x:c r="D2112" s="27" t="str">
        <x:v>Hazard row 16 evidence open</x:v>
      </x:c>
      <x:c r="E2112" s="27" t="n">
        <x:f>IF('Hazard Register'!L16="OPEN",1,0)</x:f>
        <x:v>1</x:v>
      </x:c>
      <x:c r="F2112" s="27" t="n">
        <x:v>1</x:v>
      </x:c>
      <x:c r="G2112" s="29" t="str">
        <x:f>IF(E2112=F2112,"PASS","FAIL")</x:f>
        <x:v>PASS</x:v>
      </x:c>
    </x:row>
    <x:row r="2113" ht="18" customHeight="1">
      <x:c r="B2113" s="27" t="str">
        <x:v>A2107</x:v>
      </x:c>
      <x:c r="C2113" s="27" t="str">
        <x:v>hazard</x:v>
      </x:c>
      <x:c r="D2113" s="27" t="str">
        <x:v>Hazard row 16 zero credit</x:v>
      </x:c>
      <x:c r="E2113" s="27" t="n">
        <x:f>IF('Hazard Register'!M16=0,1,0)</x:f>
        <x:v>1</x:v>
      </x:c>
      <x:c r="F2113" s="27" t="n">
        <x:v>1</x:v>
      </x:c>
      <x:c r="G2113" s="29" t="str">
        <x:f>IF(E2113=F2113,"PASS","FAIL")</x:f>
        <x:v>PASS</x:v>
      </x:c>
    </x:row>
    <x:row r="2114" ht="18" customHeight="1">
      <x:c r="B2114" s="27" t="str">
        <x:v>A2108</x:v>
      </x:c>
      <x:c r="C2114" s="27" t="str">
        <x:v>hazard</x:v>
      </x:c>
      <x:c r="D2114" s="27" t="str">
        <x:v>Hazard row 17 severity registered</x:v>
      </x:c>
      <x:c r="E2114" s="27" t="n">
        <x:f>IF(AND('Hazard Register'!F17&gt;=1,'Hazard Register'!F17&lt;=5),1,0)</x:f>
        <x:v>1</x:v>
      </x:c>
      <x:c r="F2114" s="27" t="n">
        <x:v>1</x:v>
      </x:c>
      <x:c r="G2114" s="29" t="str">
        <x:f>IF(E2114=F2114,"PASS","FAIL")</x:f>
        <x:v>PASS</x:v>
      </x:c>
    </x:row>
    <x:row r="2115" ht="18" customHeight="1">
      <x:c r="B2115" s="27" t="str">
        <x:v>A2109</x:v>
      </x:c>
      <x:c r="C2115" s="27" t="str">
        <x:v>hazard</x:v>
      </x:c>
      <x:c r="D2115" s="27" t="str">
        <x:v>Hazard row 17 duration nonnegative</x:v>
      </x:c>
      <x:c r="E2115" s="27" t="n">
        <x:f>IF('Hazard Register'!G17&gt;=0,1,0)</x:f>
        <x:v>1</x:v>
      </x:c>
      <x:c r="F2115" s="27" t="n">
        <x:v>1</x:v>
      </x:c>
      <x:c r="G2115" s="29" t="str">
        <x:f>IF(E2115=F2115,"PASS","FAIL")</x:f>
        <x:v>PASS</x:v>
      </x:c>
    </x:row>
    <x:row r="2116" ht="18" customHeight="1">
      <x:c r="B2116" s="27" t="str">
        <x:v>A2110</x:v>
      </x:c>
      <x:c r="C2116" s="27" t="str">
        <x:v>hazard</x:v>
      </x:c>
      <x:c r="D2116" s="27" t="str">
        <x:v>Hazard row 17 threshold present</x:v>
      </x:c>
      <x:c r="E2116" s="27" t="n">
        <x:f>IF('Hazard Register'!I17&lt;&gt;"",1,0)</x:f>
        <x:v>1</x:v>
      </x:c>
      <x:c r="F2116" s="27" t="n">
        <x:v>1</x:v>
      </x:c>
      <x:c r="G2116" s="29" t="str">
        <x:f>IF(E2116=F2116,"PASS","FAIL")</x:f>
        <x:v>PASS</x:v>
      </x:c>
    </x:row>
    <x:row r="2117" ht="18" customHeight="1">
      <x:c r="B2117" s="27" t="str">
        <x:v>A2111</x:v>
      </x:c>
      <x:c r="C2117" s="27" t="str">
        <x:v>hazard</x:v>
      </x:c>
      <x:c r="D2117" s="27" t="str">
        <x:v>Hazard row 17 evidence open</x:v>
      </x:c>
      <x:c r="E2117" s="27" t="n">
        <x:f>IF('Hazard Register'!L17="OPEN",1,0)</x:f>
        <x:v>1</x:v>
      </x:c>
      <x:c r="F2117" s="27" t="n">
        <x:v>1</x:v>
      </x:c>
      <x:c r="G2117" s="29" t="str">
        <x:f>IF(E2117=F2117,"PASS","FAIL")</x:f>
        <x:v>PASS</x:v>
      </x:c>
    </x:row>
    <x:row r="2118" ht="18" customHeight="1">
      <x:c r="B2118" s="27" t="str">
        <x:v>A2112</x:v>
      </x:c>
      <x:c r="C2118" s="27" t="str">
        <x:v>hazard</x:v>
      </x:c>
      <x:c r="D2118" s="27" t="str">
        <x:v>Hazard row 17 zero credit</x:v>
      </x:c>
      <x:c r="E2118" s="27" t="n">
        <x:f>IF('Hazard Register'!M17=0,1,0)</x:f>
        <x:v>1</x:v>
      </x:c>
      <x:c r="F2118" s="27" t="n">
        <x:v>1</x:v>
      </x:c>
      <x:c r="G2118" s="29" t="str">
        <x:f>IF(E2118=F2118,"PASS","FAIL")</x:f>
        <x:v>PASS</x:v>
      </x:c>
    </x:row>
    <x:row r="2119" ht="18" customHeight="1">
      <x:c r="B2119" s="27" t="str">
        <x:v>A2113</x:v>
      </x:c>
      <x:c r="C2119" s="27" t="str">
        <x:v>hazard</x:v>
      </x:c>
      <x:c r="D2119" s="27" t="str">
        <x:v>Hazard row 18 severity registered</x:v>
      </x:c>
      <x:c r="E2119" s="27" t="n">
        <x:f>IF(AND('Hazard Register'!F18&gt;=1,'Hazard Register'!F18&lt;=5),1,0)</x:f>
        <x:v>1</x:v>
      </x:c>
      <x:c r="F2119" s="27" t="n">
        <x:v>1</x:v>
      </x:c>
      <x:c r="G2119" s="29" t="str">
        <x:f>IF(E2119=F2119,"PASS","FAIL")</x:f>
        <x:v>PASS</x:v>
      </x:c>
    </x:row>
    <x:row r="2120" ht="18" customHeight="1">
      <x:c r="B2120" s="27" t="str">
        <x:v>A2114</x:v>
      </x:c>
      <x:c r="C2120" s="27" t="str">
        <x:v>hazard</x:v>
      </x:c>
      <x:c r="D2120" s="27" t="str">
        <x:v>Hazard row 18 duration nonnegative</x:v>
      </x:c>
      <x:c r="E2120" s="27" t="n">
        <x:f>IF('Hazard Register'!G18&gt;=0,1,0)</x:f>
        <x:v>1</x:v>
      </x:c>
      <x:c r="F2120" s="27" t="n">
        <x:v>1</x:v>
      </x:c>
      <x:c r="G2120" s="29" t="str">
        <x:f>IF(E2120=F2120,"PASS","FAIL")</x:f>
        <x:v>PASS</x:v>
      </x:c>
    </x:row>
    <x:row r="2121" ht="18" customHeight="1">
      <x:c r="B2121" s="27" t="str">
        <x:v>A2115</x:v>
      </x:c>
      <x:c r="C2121" s="27" t="str">
        <x:v>hazard</x:v>
      </x:c>
      <x:c r="D2121" s="27" t="str">
        <x:v>Hazard row 18 threshold present</x:v>
      </x:c>
      <x:c r="E2121" s="27" t="n">
        <x:f>IF('Hazard Register'!I18&lt;&gt;"",1,0)</x:f>
        <x:v>1</x:v>
      </x:c>
      <x:c r="F2121" s="27" t="n">
        <x:v>1</x:v>
      </x:c>
      <x:c r="G2121" s="29" t="str">
        <x:f>IF(E2121=F2121,"PASS","FAIL")</x:f>
        <x:v>PASS</x:v>
      </x:c>
    </x:row>
    <x:row r="2122" ht="18" customHeight="1">
      <x:c r="B2122" s="27" t="str">
        <x:v>A2116</x:v>
      </x:c>
      <x:c r="C2122" s="27" t="str">
        <x:v>hazard</x:v>
      </x:c>
      <x:c r="D2122" s="27" t="str">
        <x:v>Hazard row 18 evidence open</x:v>
      </x:c>
      <x:c r="E2122" s="27" t="n">
        <x:f>IF('Hazard Register'!L18="OPEN",1,0)</x:f>
        <x:v>1</x:v>
      </x:c>
      <x:c r="F2122" s="27" t="n">
        <x:v>1</x:v>
      </x:c>
      <x:c r="G2122" s="29" t="str">
        <x:f>IF(E2122=F2122,"PASS","FAIL")</x:f>
        <x:v>PASS</x:v>
      </x:c>
    </x:row>
    <x:row r="2123" ht="18" customHeight="1">
      <x:c r="B2123" s="27" t="str">
        <x:v>A2117</x:v>
      </x:c>
      <x:c r="C2123" s="27" t="str">
        <x:v>hazard</x:v>
      </x:c>
      <x:c r="D2123" s="27" t="str">
        <x:v>Hazard row 18 zero credit</x:v>
      </x:c>
      <x:c r="E2123" s="27" t="n">
        <x:f>IF('Hazard Register'!M18=0,1,0)</x:f>
        <x:v>1</x:v>
      </x:c>
      <x:c r="F2123" s="27" t="n">
        <x:v>1</x:v>
      </x:c>
      <x:c r="G2123" s="29" t="str">
        <x:f>IF(E2123=F2123,"PASS","FAIL")</x:f>
        <x:v>PASS</x:v>
      </x:c>
    </x:row>
    <x:row r="2124" ht="18" customHeight="1">
      <x:c r="B2124" s="27" t="str">
        <x:v>A2118</x:v>
      </x:c>
      <x:c r="C2124" s="27" t="str">
        <x:v>hazard</x:v>
      </x:c>
      <x:c r="D2124" s="27" t="str">
        <x:v>Hazard row 19 severity registered</x:v>
      </x:c>
      <x:c r="E2124" s="27" t="n">
        <x:f>IF(AND('Hazard Register'!F19&gt;=1,'Hazard Register'!F19&lt;=5),1,0)</x:f>
        <x:v>1</x:v>
      </x:c>
      <x:c r="F2124" s="27" t="n">
        <x:v>1</x:v>
      </x:c>
      <x:c r="G2124" s="29" t="str">
        <x:f>IF(E2124=F2124,"PASS","FAIL")</x:f>
        <x:v>PASS</x:v>
      </x:c>
    </x:row>
    <x:row r="2125" ht="18" customHeight="1">
      <x:c r="B2125" s="27" t="str">
        <x:v>A2119</x:v>
      </x:c>
      <x:c r="C2125" s="27" t="str">
        <x:v>hazard</x:v>
      </x:c>
      <x:c r="D2125" s="27" t="str">
        <x:v>Hazard row 19 duration nonnegative</x:v>
      </x:c>
      <x:c r="E2125" s="27" t="n">
        <x:f>IF('Hazard Register'!G19&gt;=0,1,0)</x:f>
        <x:v>1</x:v>
      </x:c>
      <x:c r="F2125" s="27" t="n">
        <x:v>1</x:v>
      </x:c>
      <x:c r="G2125" s="29" t="str">
        <x:f>IF(E2125=F2125,"PASS","FAIL")</x:f>
        <x:v>PASS</x:v>
      </x:c>
    </x:row>
    <x:row r="2126" ht="18" customHeight="1">
      <x:c r="B2126" s="27" t="str">
        <x:v>A2120</x:v>
      </x:c>
      <x:c r="C2126" s="27" t="str">
        <x:v>hazard</x:v>
      </x:c>
      <x:c r="D2126" s="27" t="str">
        <x:v>Hazard row 19 threshold present</x:v>
      </x:c>
      <x:c r="E2126" s="27" t="n">
        <x:f>IF('Hazard Register'!I19&lt;&gt;"",1,0)</x:f>
        <x:v>1</x:v>
      </x:c>
      <x:c r="F2126" s="27" t="n">
        <x:v>1</x:v>
      </x:c>
      <x:c r="G2126" s="29" t="str">
        <x:f>IF(E2126=F2126,"PASS","FAIL")</x:f>
        <x:v>PASS</x:v>
      </x:c>
    </x:row>
    <x:row r="2127" ht="18" customHeight="1">
      <x:c r="B2127" s="27" t="str">
        <x:v>A2121</x:v>
      </x:c>
      <x:c r="C2127" s="27" t="str">
        <x:v>hazard</x:v>
      </x:c>
      <x:c r="D2127" s="27" t="str">
        <x:v>Hazard row 19 evidence open</x:v>
      </x:c>
      <x:c r="E2127" s="27" t="n">
        <x:f>IF('Hazard Register'!L19="OPEN",1,0)</x:f>
        <x:v>1</x:v>
      </x:c>
      <x:c r="F2127" s="27" t="n">
        <x:v>1</x:v>
      </x:c>
      <x:c r="G2127" s="29" t="str">
        <x:f>IF(E2127=F2127,"PASS","FAIL")</x:f>
        <x:v>PASS</x:v>
      </x:c>
    </x:row>
    <x:row r="2128" ht="18" customHeight="1">
      <x:c r="B2128" s="27" t="str">
        <x:v>A2122</x:v>
      </x:c>
      <x:c r="C2128" s="27" t="str">
        <x:v>hazard</x:v>
      </x:c>
      <x:c r="D2128" s="27" t="str">
        <x:v>Hazard row 19 zero credit</x:v>
      </x:c>
      <x:c r="E2128" s="27" t="n">
        <x:f>IF('Hazard Register'!M19=0,1,0)</x:f>
        <x:v>1</x:v>
      </x:c>
      <x:c r="F2128" s="27" t="n">
        <x:v>1</x:v>
      </x:c>
      <x:c r="G2128" s="29" t="str">
        <x:f>IF(E2128=F2128,"PASS","FAIL")</x:f>
        <x:v>PASS</x:v>
      </x:c>
    </x:row>
    <x:row r="2129" ht="18" customHeight="1">
      <x:c r="B2129" s="27" t="str">
        <x:v>A2123</x:v>
      </x:c>
      <x:c r="C2129" s="27" t="str">
        <x:v>hazard</x:v>
      </x:c>
      <x:c r="D2129" s="27" t="str">
        <x:v>Hazard row 20 severity registered</x:v>
      </x:c>
      <x:c r="E2129" s="27" t="n">
        <x:f>IF(AND('Hazard Register'!F20&gt;=1,'Hazard Register'!F20&lt;=5),1,0)</x:f>
        <x:v>1</x:v>
      </x:c>
      <x:c r="F2129" s="27" t="n">
        <x:v>1</x:v>
      </x:c>
      <x:c r="G2129" s="29" t="str">
        <x:f>IF(E2129=F2129,"PASS","FAIL")</x:f>
        <x:v>PASS</x:v>
      </x:c>
    </x:row>
    <x:row r="2130" ht="18" customHeight="1">
      <x:c r="B2130" s="27" t="str">
        <x:v>A2124</x:v>
      </x:c>
      <x:c r="C2130" s="27" t="str">
        <x:v>hazard</x:v>
      </x:c>
      <x:c r="D2130" s="27" t="str">
        <x:v>Hazard row 20 duration nonnegative</x:v>
      </x:c>
      <x:c r="E2130" s="27" t="n">
        <x:f>IF('Hazard Register'!G20&gt;=0,1,0)</x:f>
        <x:v>1</x:v>
      </x:c>
      <x:c r="F2130" s="27" t="n">
        <x:v>1</x:v>
      </x:c>
      <x:c r="G2130" s="29" t="str">
        <x:f>IF(E2130=F2130,"PASS","FAIL")</x:f>
        <x:v>PASS</x:v>
      </x:c>
    </x:row>
    <x:row r="2131" ht="18" customHeight="1">
      <x:c r="B2131" s="27" t="str">
        <x:v>A2125</x:v>
      </x:c>
      <x:c r="C2131" s="27" t="str">
        <x:v>hazard</x:v>
      </x:c>
      <x:c r="D2131" s="27" t="str">
        <x:v>Hazard row 20 threshold present</x:v>
      </x:c>
      <x:c r="E2131" s="27" t="n">
        <x:f>IF('Hazard Register'!I20&lt;&gt;"",1,0)</x:f>
        <x:v>1</x:v>
      </x:c>
      <x:c r="F2131" s="27" t="n">
        <x:v>1</x:v>
      </x:c>
      <x:c r="G2131" s="29" t="str">
        <x:f>IF(E2131=F2131,"PASS","FAIL")</x:f>
        <x:v>PASS</x:v>
      </x:c>
    </x:row>
    <x:row r="2132" ht="18" customHeight="1">
      <x:c r="B2132" s="27" t="str">
        <x:v>A2126</x:v>
      </x:c>
      <x:c r="C2132" s="27" t="str">
        <x:v>hazard</x:v>
      </x:c>
      <x:c r="D2132" s="27" t="str">
        <x:v>Hazard row 20 evidence open</x:v>
      </x:c>
      <x:c r="E2132" s="27" t="n">
        <x:f>IF('Hazard Register'!L20="OPEN",1,0)</x:f>
        <x:v>1</x:v>
      </x:c>
      <x:c r="F2132" s="27" t="n">
        <x:v>1</x:v>
      </x:c>
      <x:c r="G2132" s="29" t="str">
        <x:f>IF(E2132=F2132,"PASS","FAIL")</x:f>
        <x:v>PASS</x:v>
      </x:c>
    </x:row>
    <x:row r="2133" ht="18" customHeight="1">
      <x:c r="B2133" s="27" t="str">
        <x:v>A2127</x:v>
      </x:c>
      <x:c r="C2133" s="27" t="str">
        <x:v>hazard</x:v>
      </x:c>
      <x:c r="D2133" s="27" t="str">
        <x:v>Hazard row 20 zero credit</x:v>
      </x:c>
      <x:c r="E2133" s="27" t="n">
        <x:f>IF('Hazard Register'!M20=0,1,0)</x:f>
        <x:v>1</x:v>
      </x:c>
      <x:c r="F2133" s="27" t="n">
        <x:v>1</x:v>
      </x:c>
      <x:c r="G2133" s="29" t="str">
        <x:f>IF(E2133=F2133,"PASS","FAIL")</x:f>
        <x:v>PASS</x:v>
      </x:c>
    </x:row>
    <x:row r="2134" ht="18" customHeight="1">
      <x:c r="B2134" s="27" t="str">
        <x:v>A2128</x:v>
      </x:c>
      <x:c r="C2134" s="27" t="str">
        <x:v>hazard</x:v>
      </x:c>
      <x:c r="D2134" s="27" t="str">
        <x:v>Hazard row 21 severity registered</x:v>
      </x:c>
      <x:c r="E2134" s="27" t="n">
        <x:f>IF(AND('Hazard Register'!F21&gt;=1,'Hazard Register'!F21&lt;=5),1,0)</x:f>
        <x:v>1</x:v>
      </x:c>
      <x:c r="F2134" s="27" t="n">
        <x:v>1</x:v>
      </x:c>
      <x:c r="G2134" s="29" t="str">
        <x:f>IF(E2134=F2134,"PASS","FAIL")</x:f>
        <x:v>PASS</x:v>
      </x:c>
    </x:row>
    <x:row r="2135" ht="18" customHeight="1">
      <x:c r="B2135" s="27" t="str">
        <x:v>A2129</x:v>
      </x:c>
      <x:c r="C2135" s="27" t="str">
        <x:v>hazard</x:v>
      </x:c>
      <x:c r="D2135" s="27" t="str">
        <x:v>Hazard row 21 duration nonnegative</x:v>
      </x:c>
      <x:c r="E2135" s="27" t="n">
        <x:f>IF('Hazard Register'!G21&gt;=0,1,0)</x:f>
        <x:v>1</x:v>
      </x:c>
      <x:c r="F2135" s="27" t="n">
        <x:v>1</x:v>
      </x:c>
      <x:c r="G2135" s="29" t="str">
        <x:f>IF(E2135=F2135,"PASS","FAIL")</x:f>
        <x:v>PASS</x:v>
      </x:c>
    </x:row>
    <x:row r="2136" ht="18" customHeight="1">
      <x:c r="B2136" s="27" t="str">
        <x:v>A2130</x:v>
      </x:c>
      <x:c r="C2136" s="27" t="str">
        <x:v>hazard</x:v>
      </x:c>
      <x:c r="D2136" s="27" t="str">
        <x:v>Hazard row 21 threshold present</x:v>
      </x:c>
      <x:c r="E2136" s="27" t="n">
        <x:f>IF('Hazard Register'!I21&lt;&gt;"",1,0)</x:f>
        <x:v>1</x:v>
      </x:c>
      <x:c r="F2136" s="27" t="n">
        <x:v>1</x:v>
      </x:c>
      <x:c r="G2136" s="29" t="str">
        <x:f>IF(E2136=F2136,"PASS","FAIL")</x:f>
        <x:v>PASS</x:v>
      </x:c>
    </x:row>
    <x:row r="2137" ht="18" customHeight="1">
      <x:c r="B2137" s="27" t="str">
        <x:v>A2131</x:v>
      </x:c>
      <x:c r="C2137" s="27" t="str">
        <x:v>hazard</x:v>
      </x:c>
      <x:c r="D2137" s="27" t="str">
        <x:v>Hazard row 21 evidence open</x:v>
      </x:c>
      <x:c r="E2137" s="27" t="n">
        <x:f>IF('Hazard Register'!L21="OPEN",1,0)</x:f>
        <x:v>1</x:v>
      </x:c>
      <x:c r="F2137" s="27" t="n">
        <x:v>1</x:v>
      </x:c>
      <x:c r="G2137" s="29" t="str">
        <x:f>IF(E2137=F2137,"PASS","FAIL")</x:f>
        <x:v>PASS</x:v>
      </x:c>
    </x:row>
    <x:row r="2138" ht="18" customHeight="1">
      <x:c r="B2138" s="27" t="str">
        <x:v>A2132</x:v>
      </x:c>
      <x:c r="C2138" s="27" t="str">
        <x:v>hazard</x:v>
      </x:c>
      <x:c r="D2138" s="27" t="str">
        <x:v>Hazard row 21 zero credit</x:v>
      </x:c>
      <x:c r="E2138" s="27" t="n">
        <x:f>IF('Hazard Register'!M21=0,1,0)</x:f>
        <x:v>1</x:v>
      </x:c>
      <x:c r="F2138" s="27" t="n">
        <x:v>1</x:v>
      </x:c>
      <x:c r="G2138" s="29" t="str">
        <x:f>IF(E2138=F2138,"PASS","FAIL")</x:f>
        <x:v>PASS</x:v>
      </x:c>
    </x:row>
    <x:row r="2139" ht="18" customHeight="1">
      <x:c r="B2139" s="27" t="str">
        <x:v>A2133</x:v>
      </x:c>
      <x:c r="C2139" s="27" t="str">
        <x:v>hazard</x:v>
      </x:c>
      <x:c r="D2139" s="27" t="str">
        <x:v>Hazard row 22 severity registered</x:v>
      </x:c>
      <x:c r="E2139" s="27" t="n">
        <x:f>IF(AND('Hazard Register'!F22&gt;=1,'Hazard Register'!F22&lt;=5),1,0)</x:f>
        <x:v>1</x:v>
      </x:c>
      <x:c r="F2139" s="27" t="n">
        <x:v>1</x:v>
      </x:c>
      <x:c r="G2139" s="29" t="str">
        <x:f>IF(E2139=F2139,"PASS","FAIL")</x:f>
        <x:v>PASS</x:v>
      </x:c>
    </x:row>
    <x:row r="2140" ht="18" customHeight="1">
      <x:c r="B2140" s="27" t="str">
        <x:v>A2134</x:v>
      </x:c>
      <x:c r="C2140" s="27" t="str">
        <x:v>hazard</x:v>
      </x:c>
      <x:c r="D2140" s="27" t="str">
        <x:v>Hazard row 22 duration nonnegative</x:v>
      </x:c>
      <x:c r="E2140" s="27" t="n">
        <x:f>IF('Hazard Register'!G22&gt;=0,1,0)</x:f>
        <x:v>1</x:v>
      </x:c>
      <x:c r="F2140" s="27" t="n">
        <x:v>1</x:v>
      </x:c>
      <x:c r="G2140" s="29" t="str">
        <x:f>IF(E2140=F2140,"PASS","FAIL")</x:f>
        <x:v>PASS</x:v>
      </x:c>
    </x:row>
    <x:row r="2141" ht="18" customHeight="1">
      <x:c r="B2141" s="27" t="str">
        <x:v>A2135</x:v>
      </x:c>
      <x:c r="C2141" s="27" t="str">
        <x:v>hazard</x:v>
      </x:c>
      <x:c r="D2141" s="27" t="str">
        <x:v>Hazard row 22 threshold present</x:v>
      </x:c>
      <x:c r="E2141" s="27" t="n">
        <x:f>IF('Hazard Register'!I22&lt;&gt;"",1,0)</x:f>
        <x:v>1</x:v>
      </x:c>
      <x:c r="F2141" s="27" t="n">
        <x:v>1</x:v>
      </x:c>
      <x:c r="G2141" s="29" t="str">
        <x:f>IF(E2141=F2141,"PASS","FAIL")</x:f>
        <x:v>PASS</x:v>
      </x:c>
    </x:row>
    <x:row r="2142" ht="18" customHeight="1">
      <x:c r="B2142" s="27" t="str">
        <x:v>A2136</x:v>
      </x:c>
      <x:c r="C2142" s="27" t="str">
        <x:v>hazard</x:v>
      </x:c>
      <x:c r="D2142" s="27" t="str">
        <x:v>Hazard row 22 evidence open</x:v>
      </x:c>
      <x:c r="E2142" s="27" t="n">
        <x:f>IF('Hazard Register'!L22="OPEN",1,0)</x:f>
        <x:v>1</x:v>
      </x:c>
      <x:c r="F2142" s="27" t="n">
        <x:v>1</x:v>
      </x:c>
      <x:c r="G2142" s="29" t="str">
        <x:f>IF(E2142=F2142,"PASS","FAIL")</x:f>
        <x:v>PASS</x:v>
      </x:c>
    </x:row>
    <x:row r="2143" ht="18" customHeight="1">
      <x:c r="B2143" s="27" t="str">
        <x:v>A2137</x:v>
      </x:c>
      <x:c r="C2143" s="27" t="str">
        <x:v>hazard</x:v>
      </x:c>
      <x:c r="D2143" s="27" t="str">
        <x:v>Hazard row 22 zero credit</x:v>
      </x:c>
      <x:c r="E2143" s="27" t="n">
        <x:f>IF('Hazard Register'!M22=0,1,0)</x:f>
        <x:v>1</x:v>
      </x:c>
      <x:c r="F2143" s="27" t="n">
        <x:v>1</x:v>
      </x:c>
      <x:c r="G2143" s="29" t="str">
        <x:f>IF(E2143=F2143,"PASS","FAIL")</x:f>
        <x:v>PASS</x:v>
      </x:c>
    </x:row>
    <x:row r="2144" ht="18" customHeight="1">
      <x:c r="B2144" s="27" t="str">
        <x:v>A2138</x:v>
      </x:c>
      <x:c r="C2144" s="27" t="str">
        <x:v>hazard</x:v>
      </x:c>
      <x:c r="D2144" s="27" t="str">
        <x:v>Hazard row 23 severity registered</x:v>
      </x:c>
      <x:c r="E2144" s="27" t="n">
        <x:f>IF(AND('Hazard Register'!F23&gt;=1,'Hazard Register'!F23&lt;=5),1,0)</x:f>
        <x:v>1</x:v>
      </x:c>
      <x:c r="F2144" s="27" t="n">
        <x:v>1</x:v>
      </x:c>
      <x:c r="G2144" s="29" t="str">
        <x:f>IF(E2144=F2144,"PASS","FAIL")</x:f>
        <x:v>PASS</x:v>
      </x:c>
    </x:row>
    <x:row r="2145" ht="18" customHeight="1">
      <x:c r="B2145" s="27" t="str">
        <x:v>A2139</x:v>
      </x:c>
      <x:c r="C2145" s="27" t="str">
        <x:v>hazard</x:v>
      </x:c>
      <x:c r="D2145" s="27" t="str">
        <x:v>Hazard row 23 duration nonnegative</x:v>
      </x:c>
      <x:c r="E2145" s="27" t="n">
        <x:f>IF('Hazard Register'!G23&gt;=0,1,0)</x:f>
        <x:v>1</x:v>
      </x:c>
      <x:c r="F2145" s="27" t="n">
        <x:v>1</x:v>
      </x:c>
      <x:c r="G2145" s="29" t="str">
        <x:f>IF(E2145=F2145,"PASS","FAIL")</x:f>
        <x:v>PASS</x:v>
      </x:c>
    </x:row>
    <x:row r="2146" ht="18" customHeight="1">
      <x:c r="B2146" s="27" t="str">
        <x:v>A2140</x:v>
      </x:c>
      <x:c r="C2146" s="27" t="str">
        <x:v>hazard</x:v>
      </x:c>
      <x:c r="D2146" s="27" t="str">
        <x:v>Hazard row 23 threshold present</x:v>
      </x:c>
      <x:c r="E2146" s="27" t="n">
        <x:f>IF('Hazard Register'!I23&lt;&gt;"",1,0)</x:f>
        <x:v>1</x:v>
      </x:c>
      <x:c r="F2146" s="27" t="n">
        <x:v>1</x:v>
      </x:c>
      <x:c r="G2146" s="29" t="str">
        <x:f>IF(E2146=F2146,"PASS","FAIL")</x:f>
        <x:v>PASS</x:v>
      </x:c>
    </x:row>
    <x:row r="2147" ht="18" customHeight="1">
      <x:c r="B2147" s="27" t="str">
        <x:v>A2141</x:v>
      </x:c>
      <x:c r="C2147" s="27" t="str">
        <x:v>hazard</x:v>
      </x:c>
      <x:c r="D2147" s="27" t="str">
        <x:v>Hazard row 23 evidence open</x:v>
      </x:c>
      <x:c r="E2147" s="27" t="n">
        <x:f>IF('Hazard Register'!L23="OPEN",1,0)</x:f>
        <x:v>1</x:v>
      </x:c>
      <x:c r="F2147" s="27" t="n">
        <x:v>1</x:v>
      </x:c>
      <x:c r="G2147" s="29" t="str">
        <x:f>IF(E2147=F2147,"PASS","FAIL")</x:f>
        <x:v>PASS</x:v>
      </x:c>
    </x:row>
    <x:row r="2148" ht="18" customHeight="1">
      <x:c r="B2148" s="27" t="str">
        <x:v>A2142</x:v>
      </x:c>
      <x:c r="C2148" s="27" t="str">
        <x:v>hazard</x:v>
      </x:c>
      <x:c r="D2148" s="27" t="str">
        <x:v>Hazard row 23 zero credit</x:v>
      </x:c>
      <x:c r="E2148" s="27" t="n">
        <x:f>IF('Hazard Register'!M23=0,1,0)</x:f>
        <x:v>1</x:v>
      </x:c>
      <x:c r="F2148" s="27" t="n">
        <x:v>1</x:v>
      </x:c>
      <x:c r="G2148" s="29" t="str">
        <x:f>IF(E2148=F2148,"PASS","FAIL")</x:f>
        <x:v>PASS</x:v>
      </x:c>
    </x:row>
    <x:row r="2149" ht="18" customHeight="1">
      <x:c r="B2149" s="27" t="str">
        <x:v>A2143</x:v>
      </x:c>
      <x:c r="C2149" s="27" t="str">
        <x:v>hazard</x:v>
      </x:c>
      <x:c r="D2149" s="27" t="str">
        <x:v>Hazard row 24 severity registered</x:v>
      </x:c>
      <x:c r="E2149" s="27" t="n">
        <x:f>IF(AND('Hazard Register'!F24&gt;=1,'Hazard Register'!F24&lt;=5),1,0)</x:f>
        <x:v>1</x:v>
      </x:c>
      <x:c r="F2149" s="27" t="n">
        <x:v>1</x:v>
      </x:c>
      <x:c r="G2149" s="29" t="str">
        <x:f>IF(E2149=F2149,"PASS","FAIL")</x:f>
        <x:v>PASS</x:v>
      </x:c>
    </x:row>
    <x:row r="2150" ht="18" customHeight="1">
      <x:c r="B2150" s="27" t="str">
        <x:v>A2144</x:v>
      </x:c>
      <x:c r="C2150" s="27" t="str">
        <x:v>hazard</x:v>
      </x:c>
      <x:c r="D2150" s="27" t="str">
        <x:v>Hazard row 24 duration nonnegative</x:v>
      </x:c>
      <x:c r="E2150" s="27" t="n">
        <x:f>IF('Hazard Register'!G24&gt;=0,1,0)</x:f>
        <x:v>1</x:v>
      </x:c>
      <x:c r="F2150" s="27" t="n">
        <x:v>1</x:v>
      </x:c>
      <x:c r="G2150" s="29" t="str">
        <x:f>IF(E2150=F2150,"PASS","FAIL")</x:f>
        <x:v>PASS</x:v>
      </x:c>
    </x:row>
    <x:row r="2151" ht="18" customHeight="1">
      <x:c r="B2151" s="27" t="str">
        <x:v>A2145</x:v>
      </x:c>
      <x:c r="C2151" s="27" t="str">
        <x:v>hazard</x:v>
      </x:c>
      <x:c r="D2151" s="27" t="str">
        <x:v>Hazard row 24 threshold present</x:v>
      </x:c>
      <x:c r="E2151" s="27" t="n">
        <x:f>IF('Hazard Register'!I24&lt;&gt;"",1,0)</x:f>
        <x:v>1</x:v>
      </x:c>
      <x:c r="F2151" s="27" t="n">
        <x:v>1</x:v>
      </x:c>
      <x:c r="G2151" s="29" t="str">
        <x:f>IF(E2151=F2151,"PASS","FAIL")</x:f>
        <x:v>PASS</x:v>
      </x:c>
    </x:row>
    <x:row r="2152" ht="18" customHeight="1">
      <x:c r="B2152" s="27" t="str">
        <x:v>A2146</x:v>
      </x:c>
      <x:c r="C2152" s="27" t="str">
        <x:v>hazard</x:v>
      </x:c>
      <x:c r="D2152" s="27" t="str">
        <x:v>Hazard row 24 evidence open</x:v>
      </x:c>
      <x:c r="E2152" s="27" t="n">
        <x:f>IF('Hazard Register'!L24="OPEN",1,0)</x:f>
        <x:v>1</x:v>
      </x:c>
      <x:c r="F2152" s="27" t="n">
        <x:v>1</x:v>
      </x:c>
      <x:c r="G2152" s="29" t="str">
        <x:f>IF(E2152=F2152,"PASS","FAIL")</x:f>
        <x:v>PASS</x:v>
      </x:c>
    </x:row>
    <x:row r="2153" ht="18" customHeight="1">
      <x:c r="B2153" s="27" t="str">
        <x:v>A2147</x:v>
      </x:c>
      <x:c r="C2153" s="27" t="str">
        <x:v>hazard</x:v>
      </x:c>
      <x:c r="D2153" s="27" t="str">
        <x:v>Hazard row 24 zero credit</x:v>
      </x:c>
      <x:c r="E2153" s="27" t="n">
        <x:f>IF('Hazard Register'!M24=0,1,0)</x:f>
        <x:v>1</x:v>
      </x:c>
      <x:c r="F2153" s="27" t="n">
        <x:v>1</x:v>
      </x:c>
      <x:c r="G2153" s="29" t="str">
        <x:f>IF(E2153=F2153,"PASS","FAIL")</x:f>
        <x:v>PASS</x:v>
      </x:c>
    </x:row>
    <x:row r="2154" ht="18" customHeight="1">
      <x:c r="B2154" s="27" t="str">
        <x:v>A2148</x:v>
      </x:c>
      <x:c r="C2154" s="27" t="str">
        <x:v>hazard</x:v>
      </x:c>
      <x:c r="D2154" s="27" t="str">
        <x:v>Hazard row 25 severity registered</x:v>
      </x:c>
      <x:c r="E2154" s="27" t="n">
        <x:f>IF(AND('Hazard Register'!F25&gt;=1,'Hazard Register'!F25&lt;=5),1,0)</x:f>
        <x:v>1</x:v>
      </x:c>
      <x:c r="F2154" s="27" t="n">
        <x:v>1</x:v>
      </x:c>
      <x:c r="G2154" s="29" t="str">
        <x:f>IF(E2154=F2154,"PASS","FAIL")</x:f>
        <x:v>PASS</x:v>
      </x:c>
    </x:row>
    <x:row r="2155" ht="18" customHeight="1">
      <x:c r="B2155" s="27" t="str">
        <x:v>A2149</x:v>
      </x:c>
      <x:c r="C2155" s="27" t="str">
        <x:v>hazard</x:v>
      </x:c>
      <x:c r="D2155" s="27" t="str">
        <x:v>Hazard row 25 duration nonnegative</x:v>
      </x:c>
      <x:c r="E2155" s="27" t="n">
        <x:f>IF('Hazard Register'!G25&gt;=0,1,0)</x:f>
        <x:v>1</x:v>
      </x:c>
      <x:c r="F2155" s="27" t="n">
        <x:v>1</x:v>
      </x:c>
      <x:c r="G2155" s="29" t="str">
        <x:f>IF(E2155=F2155,"PASS","FAIL")</x:f>
        <x:v>PASS</x:v>
      </x:c>
    </x:row>
    <x:row r="2156" ht="18" customHeight="1">
      <x:c r="B2156" s="27" t="str">
        <x:v>A2150</x:v>
      </x:c>
      <x:c r="C2156" s="27" t="str">
        <x:v>hazard</x:v>
      </x:c>
      <x:c r="D2156" s="27" t="str">
        <x:v>Hazard row 25 threshold present</x:v>
      </x:c>
      <x:c r="E2156" s="27" t="n">
        <x:f>IF('Hazard Register'!I25&lt;&gt;"",1,0)</x:f>
        <x:v>1</x:v>
      </x:c>
      <x:c r="F2156" s="27" t="n">
        <x:v>1</x:v>
      </x:c>
      <x:c r="G2156" s="29" t="str">
        <x:f>IF(E2156=F2156,"PASS","FAIL")</x:f>
        <x:v>PASS</x:v>
      </x:c>
    </x:row>
    <x:row r="2157" ht="18" customHeight="1">
      <x:c r="B2157" s="27" t="str">
        <x:v>A2151</x:v>
      </x:c>
      <x:c r="C2157" s="27" t="str">
        <x:v>hazard</x:v>
      </x:c>
      <x:c r="D2157" s="27" t="str">
        <x:v>Hazard row 25 evidence open</x:v>
      </x:c>
      <x:c r="E2157" s="27" t="n">
        <x:f>IF('Hazard Register'!L25="OPEN",1,0)</x:f>
        <x:v>1</x:v>
      </x:c>
      <x:c r="F2157" s="27" t="n">
        <x:v>1</x:v>
      </x:c>
      <x:c r="G2157" s="29" t="str">
        <x:f>IF(E2157=F2157,"PASS","FAIL")</x:f>
        <x:v>PASS</x:v>
      </x:c>
    </x:row>
    <x:row r="2158" ht="18" customHeight="1">
      <x:c r="B2158" s="27" t="str">
        <x:v>A2152</x:v>
      </x:c>
      <x:c r="C2158" s="27" t="str">
        <x:v>hazard</x:v>
      </x:c>
      <x:c r="D2158" s="27" t="str">
        <x:v>Hazard row 25 zero credit</x:v>
      </x:c>
      <x:c r="E2158" s="27" t="n">
        <x:f>IF('Hazard Register'!M25=0,1,0)</x:f>
        <x:v>1</x:v>
      </x:c>
      <x:c r="F2158" s="27" t="n">
        <x:v>1</x:v>
      </x:c>
      <x:c r="G2158" s="29" t="str">
        <x:f>IF(E2158=F2158,"PASS","FAIL")</x:f>
        <x:v>PASS</x:v>
      </x:c>
    </x:row>
    <x:row r="2159" ht="18" customHeight="1">
      <x:c r="B2159" s="27" t="str">
        <x:v>A2153</x:v>
      </x:c>
      <x:c r="C2159" s="27" t="str">
        <x:v>hazard</x:v>
      </x:c>
      <x:c r="D2159" s="27" t="str">
        <x:v>Hazard row 26 severity registered</x:v>
      </x:c>
      <x:c r="E2159" s="27" t="n">
        <x:f>IF(AND('Hazard Register'!F26&gt;=1,'Hazard Register'!F26&lt;=5),1,0)</x:f>
        <x:v>1</x:v>
      </x:c>
      <x:c r="F2159" s="27" t="n">
        <x:v>1</x:v>
      </x:c>
      <x:c r="G2159" s="29" t="str">
        <x:f>IF(E2159=F2159,"PASS","FAIL")</x:f>
        <x:v>PASS</x:v>
      </x:c>
    </x:row>
    <x:row r="2160" ht="18" customHeight="1">
      <x:c r="B2160" s="27" t="str">
        <x:v>A2154</x:v>
      </x:c>
      <x:c r="C2160" s="27" t="str">
        <x:v>hazard</x:v>
      </x:c>
      <x:c r="D2160" s="27" t="str">
        <x:v>Hazard row 26 duration nonnegative</x:v>
      </x:c>
      <x:c r="E2160" s="27" t="n">
        <x:f>IF('Hazard Register'!G26&gt;=0,1,0)</x:f>
        <x:v>1</x:v>
      </x:c>
      <x:c r="F2160" s="27" t="n">
        <x:v>1</x:v>
      </x:c>
      <x:c r="G2160" s="29" t="str">
        <x:f>IF(E2160=F2160,"PASS","FAIL")</x:f>
        <x:v>PASS</x:v>
      </x:c>
    </x:row>
    <x:row r="2161" ht="18" customHeight="1">
      <x:c r="B2161" s="27" t="str">
        <x:v>A2155</x:v>
      </x:c>
      <x:c r="C2161" s="27" t="str">
        <x:v>hazard</x:v>
      </x:c>
      <x:c r="D2161" s="27" t="str">
        <x:v>Hazard row 26 threshold present</x:v>
      </x:c>
      <x:c r="E2161" s="27" t="n">
        <x:f>IF('Hazard Register'!I26&lt;&gt;"",1,0)</x:f>
        <x:v>1</x:v>
      </x:c>
      <x:c r="F2161" s="27" t="n">
        <x:v>1</x:v>
      </x:c>
      <x:c r="G2161" s="29" t="str">
        <x:f>IF(E2161=F2161,"PASS","FAIL")</x:f>
        <x:v>PASS</x:v>
      </x:c>
    </x:row>
    <x:row r="2162" ht="18" customHeight="1">
      <x:c r="B2162" s="27" t="str">
        <x:v>A2156</x:v>
      </x:c>
      <x:c r="C2162" s="27" t="str">
        <x:v>hazard</x:v>
      </x:c>
      <x:c r="D2162" s="27" t="str">
        <x:v>Hazard row 26 evidence open</x:v>
      </x:c>
      <x:c r="E2162" s="27" t="n">
        <x:f>IF('Hazard Register'!L26="OPEN",1,0)</x:f>
        <x:v>1</x:v>
      </x:c>
      <x:c r="F2162" s="27" t="n">
        <x:v>1</x:v>
      </x:c>
      <x:c r="G2162" s="29" t="str">
        <x:f>IF(E2162=F2162,"PASS","FAIL")</x:f>
        <x:v>PASS</x:v>
      </x:c>
    </x:row>
    <x:row r="2163" ht="18" customHeight="1">
      <x:c r="B2163" s="27" t="str">
        <x:v>A2157</x:v>
      </x:c>
      <x:c r="C2163" s="27" t="str">
        <x:v>hazard</x:v>
      </x:c>
      <x:c r="D2163" s="27" t="str">
        <x:v>Hazard row 26 zero credit</x:v>
      </x:c>
      <x:c r="E2163" s="27" t="n">
        <x:f>IF('Hazard Register'!M26=0,1,0)</x:f>
        <x:v>1</x:v>
      </x:c>
      <x:c r="F2163" s="27" t="n">
        <x:v>1</x:v>
      </x:c>
      <x:c r="G2163" s="29" t="str">
        <x:f>IF(E2163=F2163,"PASS","FAIL")</x:f>
        <x:v>PASS</x:v>
      </x:c>
    </x:row>
    <x:row r="2164" ht="18" customHeight="1">
      <x:c r="B2164" s="27" t="str">
        <x:v>A2158</x:v>
      </x:c>
      <x:c r="C2164" s="27" t="str">
        <x:v>hazard</x:v>
      </x:c>
      <x:c r="D2164" s="27" t="str">
        <x:v>Hazard row 27 severity registered</x:v>
      </x:c>
      <x:c r="E2164" s="27" t="n">
        <x:f>IF(AND('Hazard Register'!F27&gt;=1,'Hazard Register'!F27&lt;=5),1,0)</x:f>
        <x:v>1</x:v>
      </x:c>
      <x:c r="F2164" s="27" t="n">
        <x:v>1</x:v>
      </x:c>
      <x:c r="G2164" s="29" t="str">
        <x:f>IF(E2164=F2164,"PASS","FAIL")</x:f>
        <x:v>PASS</x:v>
      </x:c>
    </x:row>
    <x:row r="2165" ht="18" customHeight="1">
      <x:c r="B2165" s="27" t="str">
        <x:v>A2159</x:v>
      </x:c>
      <x:c r="C2165" s="27" t="str">
        <x:v>hazard</x:v>
      </x:c>
      <x:c r="D2165" s="27" t="str">
        <x:v>Hazard row 27 duration nonnegative</x:v>
      </x:c>
      <x:c r="E2165" s="27" t="n">
        <x:f>IF('Hazard Register'!G27&gt;=0,1,0)</x:f>
        <x:v>1</x:v>
      </x:c>
      <x:c r="F2165" s="27" t="n">
        <x:v>1</x:v>
      </x:c>
      <x:c r="G2165" s="29" t="str">
        <x:f>IF(E2165=F2165,"PASS","FAIL")</x:f>
        <x:v>PASS</x:v>
      </x:c>
    </x:row>
    <x:row r="2166" ht="18" customHeight="1">
      <x:c r="B2166" s="27" t="str">
        <x:v>A2160</x:v>
      </x:c>
      <x:c r="C2166" s="27" t="str">
        <x:v>hazard</x:v>
      </x:c>
      <x:c r="D2166" s="27" t="str">
        <x:v>Hazard row 27 threshold present</x:v>
      </x:c>
      <x:c r="E2166" s="27" t="n">
        <x:f>IF('Hazard Register'!I27&lt;&gt;"",1,0)</x:f>
        <x:v>1</x:v>
      </x:c>
      <x:c r="F2166" s="27" t="n">
        <x:v>1</x:v>
      </x:c>
      <x:c r="G2166" s="29" t="str">
        <x:f>IF(E2166=F2166,"PASS","FAIL")</x:f>
        <x:v>PASS</x:v>
      </x:c>
    </x:row>
    <x:row r="2167" ht="18" customHeight="1">
      <x:c r="B2167" s="27" t="str">
        <x:v>A2161</x:v>
      </x:c>
      <x:c r="C2167" s="27" t="str">
        <x:v>hazard</x:v>
      </x:c>
      <x:c r="D2167" s="27" t="str">
        <x:v>Hazard row 27 evidence open</x:v>
      </x:c>
      <x:c r="E2167" s="27" t="n">
        <x:f>IF('Hazard Register'!L27="OPEN",1,0)</x:f>
        <x:v>1</x:v>
      </x:c>
      <x:c r="F2167" s="27" t="n">
        <x:v>1</x:v>
      </x:c>
      <x:c r="G2167" s="29" t="str">
        <x:f>IF(E2167=F2167,"PASS","FAIL")</x:f>
        <x:v>PASS</x:v>
      </x:c>
    </x:row>
    <x:row r="2168" ht="18" customHeight="1">
      <x:c r="B2168" s="27" t="str">
        <x:v>A2162</x:v>
      </x:c>
      <x:c r="C2168" s="27" t="str">
        <x:v>hazard</x:v>
      </x:c>
      <x:c r="D2168" s="27" t="str">
        <x:v>Hazard row 27 zero credit</x:v>
      </x:c>
      <x:c r="E2168" s="27" t="n">
        <x:f>IF('Hazard Register'!M27=0,1,0)</x:f>
        <x:v>1</x:v>
      </x:c>
      <x:c r="F2168" s="27" t="n">
        <x:v>1</x:v>
      </x:c>
      <x:c r="G2168" s="29" t="str">
        <x:f>IF(E2168=F2168,"PASS","FAIL")</x:f>
        <x:v>PASS</x:v>
      </x:c>
    </x:row>
    <x:row r="2169" ht="18" customHeight="1">
      <x:c r="B2169" s="27" t="str">
        <x:v>A2163</x:v>
      </x:c>
      <x:c r="C2169" s="27" t="str">
        <x:v>hazard</x:v>
      </x:c>
      <x:c r="D2169" s="27" t="str">
        <x:v>Hazard row 28 severity registered</x:v>
      </x:c>
      <x:c r="E2169" s="27" t="n">
        <x:f>IF(AND('Hazard Register'!F28&gt;=1,'Hazard Register'!F28&lt;=5),1,0)</x:f>
        <x:v>1</x:v>
      </x:c>
      <x:c r="F2169" s="27" t="n">
        <x:v>1</x:v>
      </x:c>
      <x:c r="G2169" s="29" t="str">
        <x:f>IF(E2169=F2169,"PASS","FAIL")</x:f>
        <x:v>PASS</x:v>
      </x:c>
    </x:row>
    <x:row r="2170" ht="18" customHeight="1">
      <x:c r="B2170" s="27" t="str">
        <x:v>A2164</x:v>
      </x:c>
      <x:c r="C2170" s="27" t="str">
        <x:v>hazard</x:v>
      </x:c>
      <x:c r="D2170" s="27" t="str">
        <x:v>Hazard row 28 duration nonnegative</x:v>
      </x:c>
      <x:c r="E2170" s="27" t="n">
        <x:f>IF('Hazard Register'!G28&gt;=0,1,0)</x:f>
        <x:v>1</x:v>
      </x:c>
      <x:c r="F2170" s="27" t="n">
        <x:v>1</x:v>
      </x:c>
      <x:c r="G2170" s="29" t="str">
        <x:f>IF(E2170=F2170,"PASS","FAIL")</x:f>
        <x:v>PASS</x:v>
      </x:c>
    </x:row>
    <x:row r="2171" ht="18" customHeight="1">
      <x:c r="B2171" s="27" t="str">
        <x:v>A2165</x:v>
      </x:c>
      <x:c r="C2171" s="27" t="str">
        <x:v>hazard</x:v>
      </x:c>
      <x:c r="D2171" s="27" t="str">
        <x:v>Hazard row 28 threshold present</x:v>
      </x:c>
      <x:c r="E2171" s="27" t="n">
        <x:f>IF('Hazard Register'!I28&lt;&gt;"",1,0)</x:f>
        <x:v>1</x:v>
      </x:c>
      <x:c r="F2171" s="27" t="n">
        <x:v>1</x:v>
      </x:c>
      <x:c r="G2171" s="29" t="str">
        <x:f>IF(E2171=F2171,"PASS","FAIL")</x:f>
        <x:v>PASS</x:v>
      </x:c>
    </x:row>
    <x:row r="2172" ht="18" customHeight="1">
      <x:c r="B2172" s="27" t="str">
        <x:v>A2166</x:v>
      </x:c>
      <x:c r="C2172" s="27" t="str">
        <x:v>hazard</x:v>
      </x:c>
      <x:c r="D2172" s="27" t="str">
        <x:v>Hazard row 28 evidence open</x:v>
      </x:c>
      <x:c r="E2172" s="27" t="n">
        <x:f>IF('Hazard Register'!L28="OPEN",1,0)</x:f>
        <x:v>1</x:v>
      </x:c>
      <x:c r="F2172" s="27" t="n">
        <x:v>1</x:v>
      </x:c>
      <x:c r="G2172" s="29" t="str">
        <x:f>IF(E2172=F2172,"PASS","FAIL")</x:f>
        <x:v>PASS</x:v>
      </x:c>
    </x:row>
    <x:row r="2173" ht="18" customHeight="1">
      <x:c r="B2173" s="27" t="str">
        <x:v>A2167</x:v>
      </x:c>
      <x:c r="C2173" s="27" t="str">
        <x:v>hazard</x:v>
      </x:c>
      <x:c r="D2173" s="27" t="str">
        <x:v>Hazard row 28 zero credit</x:v>
      </x:c>
      <x:c r="E2173" s="27" t="n">
        <x:f>IF('Hazard Register'!M28=0,1,0)</x:f>
        <x:v>1</x:v>
      </x:c>
      <x:c r="F2173" s="27" t="n">
        <x:v>1</x:v>
      </x:c>
      <x:c r="G2173" s="29" t="str">
        <x:f>IF(E2173=F2173,"PASS","FAIL")</x:f>
        <x:v>PASS</x:v>
      </x:c>
    </x:row>
    <x:row r="2174" ht="18" customHeight="1">
      <x:c r="B2174" s="27" t="str">
        <x:v>A2168</x:v>
      </x:c>
      <x:c r="C2174" s="27" t="str">
        <x:v>hazard</x:v>
      </x:c>
      <x:c r="D2174" s="27" t="str">
        <x:v>Hazard row 29 severity registered</x:v>
      </x:c>
      <x:c r="E2174" s="27" t="n">
        <x:f>IF(AND('Hazard Register'!F29&gt;=1,'Hazard Register'!F29&lt;=5),1,0)</x:f>
        <x:v>1</x:v>
      </x:c>
      <x:c r="F2174" s="27" t="n">
        <x:v>1</x:v>
      </x:c>
      <x:c r="G2174" s="29" t="str">
        <x:f>IF(E2174=F2174,"PASS","FAIL")</x:f>
        <x:v>PASS</x:v>
      </x:c>
    </x:row>
    <x:row r="2175" ht="18" customHeight="1">
      <x:c r="B2175" s="27" t="str">
        <x:v>A2169</x:v>
      </x:c>
      <x:c r="C2175" s="27" t="str">
        <x:v>hazard</x:v>
      </x:c>
      <x:c r="D2175" s="27" t="str">
        <x:v>Hazard row 29 duration nonnegative</x:v>
      </x:c>
      <x:c r="E2175" s="27" t="n">
        <x:f>IF('Hazard Register'!G29&gt;=0,1,0)</x:f>
        <x:v>1</x:v>
      </x:c>
      <x:c r="F2175" s="27" t="n">
        <x:v>1</x:v>
      </x:c>
      <x:c r="G2175" s="29" t="str">
        <x:f>IF(E2175=F2175,"PASS","FAIL")</x:f>
        <x:v>PASS</x:v>
      </x:c>
    </x:row>
    <x:row r="2176" ht="18" customHeight="1">
      <x:c r="B2176" s="27" t="str">
        <x:v>A2170</x:v>
      </x:c>
      <x:c r="C2176" s="27" t="str">
        <x:v>hazard</x:v>
      </x:c>
      <x:c r="D2176" s="27" t="str">
        <x:v>Hazard row 29 threshold present</x:v>
      </x:c>
      <x:c r="E2176" s="27" t="n">
        <x:f>IF('Hazard Register'!I29&lt;&gt;"",1,0)</x:f>
        <x:v>1</x:v>
      </x:c>
      <x:c r="F2176" s="27" t="n">
        <x:v>1</x:v>
      </x:c>
      <x:c r="G2176" s="29" t="str">
        <x:f>IF(E2176=F2176,"PASS","FAIL")</x:f>
        <x:v>PASS</x:v>
      </x:c>
    </x:row>
    <x:row r="2177" ht="18" customHeight="1">
      <x:c r="B2177" s="27" t="str">
        <x:v>A2171</x:v>
      </x:c>
      <x:c r="C2177" s="27" t="str">
        <x:v>hazard</x:v>
      </x:c>
      <x:c r="D2177" s="27" t="str">
        <x:v>Hazard row 29 evidence open</x:v>
      </x:c>
      <x:c r="E2177" s="27" t="n">
        <x:f>IF('Hazard Register'!L29="OPEN",1,0)</x:f>
        <x:v>1</x:v>
      </x:c>
      <x:c r="F2177" s="27" t="n">
        <x:v>1</x:v>
      </x:c>
      <x:c r="G2177" s="29" t="str">
        <x:f>IF(E2177=F2177,"PASS","FAIL")</x:f>
        <x:v>PASS</x:v>
      </x:c>
    </x:row>
    <x:row r="2178" ht="18" customHeight="1">
      <x:c r="B2178" s="27" t="str">
        <x:v>A2172</x:v>
      </x:c>
      <x:c r="C2178" s="27" t="str">
        <x:v>hazard</x:v>
      </x:c>
      <x:c r="D2178" s="27" t="str">
        <x:v>Hazard row 29 zero credit</x:v>
      </x:c>
      <x:c r="E2178" s="27" t="n">
        <x:f>IF('Hazard Register'!M29=0,1,0)</x:f>
        <x:v>1</x:v>
      </x:c>
      <x:c r="F2178" s="27" t="n">
        <x:v>1</x:v>
      </x:c>
      <x:c r="G2178" s="29" t="str">
        <x:f>IF(E2178=F2178,"PASS","FAIL")</x:f>
        <x:v>PASS</x:v>
      </x:c>
    </x:row>
    <x:row r="2179" ht="18" customHeight="1">
      <x:c r="B2179" s="27" t="str">
        <x:v>A2173</x:v>
      </x:c>
      <x:c r="C2179" s="27" t="str">
        <x:v>hazard</x:v>
      </x:c>
      <x:c r="D2179" s="27" t="str">
        <x:v>Hazard row 30 severity registered</x:v>
      </x:c>
      <x:c r="E2179" s="27" t="n">
        <x:f>IF(AND('Hazard Register'!F30&gt;=1,'Hazard Register'!F30&lt;=5),1,0)</x:f>
        <x:v>1</x:v>
      </x:c>
      <x:c r="F2179" s="27" t="n">
        <x:v>1</x:v>
      </x:c>
      <x:c r="G2179" s="29" t="str">
        <x:f>IF(E2179=F2179,"PASS","FAIL")</x:f>
        <x:v>PASS</x:v>
      </x:c>
    </x:row>
    <x:row r="2180" ht="18" customHeight="1">
      <x:c r="B2180" s="27" t="str">
        <x:v>A2174</x:v>
      </x:c>
      <x:c r="C2180" s="27" t="str">
        <x:v>hazard</x:v>
      </x:c>
      <x:c r="D2180" s="27" t="str">
        <x:v>Hazard row 30 duration nonnegative</x:v>
      </x:c>
      <x:c r="E2180" s="27" t="n">
        <x:f>IF('Hazard Register'!G30&gt;=0,1,0)</x:f>
        <x:v>1</x:v>
      </x:c>
      <x:c r="F2180" s="27" t="n">
        <x:v>1</x:v>
      </x:c>
      <x:c r="G2180" s="29" t="str">
        <x:f>IF(E2180=F2180,"PASS","FAIL")</x:f>
        <x:v>PASS</x:v>
      </x:c>
    </x:row>
    <x:row r="2181" ht="18" customHeight="1">
      <x:c r="B2181" s="27" t="str">
        <x:v>A2175</x:v>
      </x:c>
      <x:c r="C2181" s="27" t="str">
        <x:v>hazard</x:v>
      </x:c>
      <x:c r="D2181" s="27" t="str">
        <x:v>Hazard row 30 threshold present</x:v>
      </x:c>
      <x:c r="E2181" s="27" t="n">
        <x:f>IF('Hazard Register'!I30&lt;&gt;"",1,0)</x:f>
        <x:v>1</x:v>
      </x:c>
      <x:c r="F2181" s="27" t="n">
        <x:v>1</x:v>
      </x:c>
      <x:c r="G2181" s="29" t="str">
        <x:f>IF(E2181=F2181,"PASS","FAIL")</x:f>
        <x:v>PASS</x:v>
      </x:c>
    </x:row>
    <x:row r="2182" ht="18" customHeight="1">
      <x:c r="B2182" s="27" t="str">
        <x:v>A2176</x:v>
      </x:c>
      <x:c r="C2182" s="27" t="str">
        <x:v>hazard</x:v>
      </x:c>
      <x:c r="D2182" s="27" t="str">
        <x:v>Hazard row 30 evidence open</x:v>
      </x:c>
      <x:c r="E2182" s="27" t="n">
        <x:f>IF('Hazard Register'!L30="OPEN",1,0)</x:f>
        <x:v>1</x:v>
      </x:c>
      <x:c r="F2182" s="27" t="n">
        <x:v>1</x:v>
      </x:c>
      <x:c r="G2182" s="29" t="str">
        <x:f>IF(E2182=F2182,"PASS","FAIL")</x:f>
        <x:v>PASS</x:v>
      </x:c>
    </x:row>
    <x:row r="2183" ht="18" customHeight="1">
      <x:c r="B2183" s="27" t="str">
        <x:v>A2177</x:v>
      </x:c>
      <x:c r="C2183" s="27" t="str">
        <x:v>hazard</x:v>
      </x:c>
      <x:c r="D2183" s="27" t="str">
        <x:v>Hazard row 30 zero credit</x:v>
      </x:c>
      <x:c r="E2183" s="27" t="n">
        <x:f>IF('Hazard Register'!M30=0,1,0)</x:f>
        <x:v>1</x:v>
      </x:c>
      <x:c r="F2183" s="27" t="n">
        <x:v>1</x:v>
      </x:c>
      <x:c r="G2183" s="29" t="str">
        <x:f>IF(E2183=F2183,"PASS","FAIL")</x:f>
        <x:v>PASS</x:v>
      </x:c>
    </x:row>
    <x:row r="2184" ht="18" customHeight="1">
      <x:c r="B2184" s="27" t="str">
        <x:v>A2178</x:v>
      </x:c>
      <x:c r="C2184" s="27" t="str">
        <x:v>hazard</x:v>
      </x:c>
      <x:c r="D2184" s="27" t="str">
        <x:v>Hazard row 31 severity registered</x:v>
      </x:c>
      <x:c r="E2184" s="27" t="n">
        <x:f>IF(AND('Hazard Register'!F31&gt;=1,'Hazard Register'!F31&lt;=5),1,0)</x:f>
        <x:v>1</x:v>
      </x:c>
      <x:c r="F2184" s="27" t="n">
        <x:v>1</x:v>
      </x:c>
      <x:c r="G2184" s="29" t="str">
        <x:f>IF(E2184=F2184,"PASS","FAIL")</x:f>
        <x:v>PASS</x:v>
      </x:c>
    </x:row>
    <x:row r="2185" ht="18" customHeight="1">
      <x:c r="B2185" s="27" t="str">
        <x:v>A2179</x:v>
      </x:c>
      <x:c r="C2185" s="27" t="str">
        <x:v>hazard</x:v>
      </x:c>
      <x:c r="D2185" s="27" t="str">
        <x:v>Hazard row 31 duration nonnegative</x:v>
      </x:c>
      <x:c r="E2185" s="27" t="n">
        <x:f>IF('Hazard Register'!G31&gt;=0,1,0)</x:f>
        <x:v>1</x:v>
      </x:c>
      <x:c r="F2185" s="27" t="n">
        <x:v>1</x:v>
      </x:c>
      <x:c r="G2185" s="29" t="str">
        <x:f>IF(E2185=F2185,"PASS","FAIL")</x:f>
        <x:v>PASS</x:v>
      </x:c>
    </x:row>
    <x:row r="2186" ht="18" customHeight="1">
      <x:c r="B2186" s="27" t="str">
        <x:v>A2180</x:v>
      </x:c>
      <x:c r="C2186" s="27" t="str">
        <x:v>hazard</x:v>
      </x:c>
      <x:c r="D2186" s="27" t="str">
        <x:v>Hazard row 31 threshold present</x:v>
      </x:c>
      <x:c r="E2186" s="27" t="n">
        <x:f>IF('Hazard Register'!I31&lt;&gt;"",1,0)</x:f>
        <x:v>1</x:v>
      </x:c>
      <x:c r="F2186" s="27" t="n">
        <x:v>1</x:v>
      </x:c>
      <x:c r="G2186" s="29" t="str">
        <x:f>IF(E2186=F2186,"PASS","FAIL")</x:f>
        <x:v>PASS</x:v>
      </x:c>
    </x:row>
    <x:row r="2187" ht="18" customHeight="1">
      <x:c r="B2187" s="27" t="str">
        <x:v>A2181</x:v>
      </x:c>
      <x:c r="C2187" s="27" t="str">
        <x:v>hazard</x:v>
      </x:c>
      <x:c r="D2187" s="27" t="str">
        <x:v>Hazard row 31 evidence open</x:v>
      </x:c>
      <x:c r="E2187" s="27" t="n">
        <x:f>IF('Hazard Register'!L31="OPEN",1,0)</x:f>
        <x:v>1</x:v>
      </x:c>
      <x:c r="F2187" s="27" t="n">
        <x:v>1</x:v>
      </x:c>
      <x:c r="G2187" s="29" t="str">
        <x:f>IF(E2187=F2187,"PASS","FAIL")</x:f>
        <x:v>PASS</x:v>
      </x:c>
    </x:row>
    <x:row r="2188" ht="18" customHeight="1">
      <x:c r="B2188" s="27" t="str">
        <x:v>A2182</x:v>
      </x:c>
      <x:c r="C2188" s="27" t="str">
        <x:v>hazard</x:v>
      </x:c>
      <x:c r="D2188" s="27" t="str">
        <x:v>Hazard row 31 zero credit</x:v>
      </x:c>
      <x:c r="E2188" s="27" t="n">
        <x:f>IF('Hazard Register'!M31=0,1,0)</x:f>
        <x:v>1</x:v>
      </x:c>
      <x:c r="F2188" s="27" t="n">
        <x:v>1</x:v>
      </x:c>
      <x:c r="G2188" s="29" t="str">
        <x:f>IF(E2188=F2188,"PASS","FAIL")</x:f>
        <x:v>PASS</x:v>
      </x:c>
    </x:row>
    <x:row r="2189" ht="18" customHeight="1">
      <x:c r="B2189" s="27" t="str">
        <x:v>A2183</x:v>
      </x:c>
      <x:c r="C2189" s="27" t="str">
        <x:v>hazard</x:v>
      </x:c>
      <x:c r="D2189" s="27" t="str">
        <x:v>Hazard row 32 severity registered</x:v>
      </x:c>
      <x:c r="E2189" s="27" t="n">
        <x:f>IF(AND('Hazard Register'!F32&gt;=1,'Hazard Register'!F32&lt;=5),1,0)</x:f>
        <x:v>1</x:v>
      </x:c>
      <x:c r="F2189" s="27" t="n">
        <x:v>1</x:v>
      </x:c>
      <x:c r="G2189" s="29" t="str">
        <x:f>IF(E2189=F2189,"PASS","FAIL")</x:f>
        <x:v>PASS</x:v>
      </x:c>
    </x:row>
    <x:row r="2190" ht="18" customHeight="1">
      <x:c r="B2190" s="27" t="str">
        <x:v>A2184</x:v>
      </x:c>
      <x:c r="C2190" s="27" t="str">
        <x:v>hazard</x:v>
      </x:c>
      <x:c r="D2190" s="27" t="str">
        <x:v>Hazard row 32 duration nonnegative</x:v>
      </x:c>
      <x:c r="E2190" s="27" t="n">
        <x:f>IF('Hazard Register'!G32&gt;=0,1,0)</x:f>
        <x:v>1</x:v>
      </x:c>
      <x:c r="F2190" s="27" t="n">
        <x:v>1</x:v>
      </x:c>
      <x:c r="G2190" s="29" t="str">
        <x:f>IF(E2190=F2190,"PASS","FAIL")</x:f>
        <x:v>PASS</x:v>
      </x:c>
    </x:row>
    <x:row r="2191" ht="18" customHeight="1">
      <x:c r="B2191" s="27" t="str">
        <x:v>A2185</x:v>
      </x:c>
      <x:c r="C2191" s="27" t="str">
        <x:v>hazard</x:v>
      </x:c>
      <x:c r="D2191" s="27" t="str">
        <x:v>Hazard row 32 threshold present</x:v>
      </x:c>
      <x:c r="E2191" s="27" t="n">
        <x:f>IF('Hazard Register'!I32&lt;&gt;"",1,0)</x:f>
        <x:v>1</x:v>
      </x:c>
      <x:c r="F2191" s="27" t="n">
        <x:v>1</x:v>
      </x:c>
      <x:c r="G2191" s="29" t="str">
        <x:f>IF(E2191=F2191,"PASS","FAIL")</x:f>
        <x:v>PASS</x:v>
      </x:c>
    </x:row>
    <x:row r="2192" ht="18" customHeight="1">
      <x:c r="B2192" s="27" t="str">
        <x:v>A2186</x:v>
      </x:c>
      <x:c r="C2192" s="27" t="str">
        <x:v>hazard</x:v>
      </x:c>
      <x:c r="D2192" s="27" t="str">
        <x:v>Hazard row 32 evidence open</x:v>
      </x:c>
      <x:c r="E2192" s="27" t="n">
        <x:f>IF('Hazard Register'!L32="OPEN",1,0)</x:f>
        <x:v>1</x:v>
      </x:c>
      <x:c r="F2192" s="27" t="n">
        <x:v>1</x:v>
      </x:c>
      <x:c r="G2192" s="29" t="str">
        <x:f>IF(E2192=F2192,"PASS","FAIL")</x:f>
        <x:v>PASS</x:v>
      </x:c>
    </x:row>
    <x:row r="2193" ht="18" customHeight="1">
      <x:c r="B2193" s="27" t="str">
        <x:v>A2187</x:v>
      </x:c>
      <x:c r="C2193" s="27" t="str">
        <x:v>hazard</x:v>
      </x:c>
      <x:c r="D2193" s="27" t="str">
        <x:v>Hazard row 32 zero credit</x:v>
      </x:c>
      <x:c r="E2193" s="27" t="n">
        <x:f>IF('Hazard Register'!M32=0,1,0)</x:f>
        <x:v>1</x:v>
      </x:c>
      <x:c r="F2193" s="27" t="n">
        <x:v>1</x:v>
      </x:c>
      <x:c r="G2193" s="29" t="str">
        <x:f>IF(E2193=F2193,"PASS","FAIL")</x:f>
        <x:v>PASS</x:v>
      </x:c>
    </x:row>
    <x:row r="2194" ht="18" customHeight="1">
      <x:c r="B2194" s="27" t="str">
        <x:v>A2188</x:v>
      </x:c>
      <x:c r="C2194" s="27" t="str">
        <x:v>hazard</x:v>
      </x:c>
      <x:c r="D2194" s="27" t="str">
        <x:v>Hazard row 33 severity registered</x:v>
      </x:c>
      <x:c r="E2194" s="27" t="n">
        <x:f>IF(AND('Hazard Register'!F33&gt;=1,'Hazard Register'!F33&lt;=5),1,0)</x:f>
        <x:v>1</x:v>
      </x:c>
      <x:c r="F2194" s="27" t="n">
        <x:v>1</x:v>
      </x:c>
      <x:c r="G2194" s="29" t="str">
        <x:f>IF(E2194=F2194,"PASS","FAIL")</x:f>
        <x:v>PASS</x:v>
      </x:c>
    </x:row>
    <x:row r="2195" ht="18" customHeight="1">
      <x:c r="B2195" s="27" t="str">
        <x:v>A2189</x:v>
      </x:c>
      <x:c r="C2195" s="27" t="str">
        <x:v>hazard</x:v>
      </x:c>
      <x:c r="D2195" s="27" t="str">
        <x:v>Hazard row 33 duration nonnegative</x:v>
      </x:c>
      <x:c r="E2195" s="27" t="n">
        <x:f>IF('Hazard Register'!G33&gt;=0,1,0)</x:f>
        <x:v>1</x:v>
      </x:c>
      <x:c r="F2195" s="27" t="n">
        <x:v>1</x:v>
      </x:c>
      <x:c r="G2195" s="29" t="str">
        <x:f>IF(E2195=F2195,"PASS","FAIL")</x:f>
        <x:v>PASS</x:v>
      </x:c>
    </x:row>
    <x:row r="2196" ht="18" customHeight="1">
      <x:c r="B2196" s="27" t="str">
        <x:v>A2190</x:v>
      </x:c>
      <x:c r="C2196" s="27" t="str">
        <x:v>hazard</x:v>
      </x:c>
      <x:c r="D2196" s="27" t="str">
        <x:v>Hazard row 33 threshold present</x:v>
      </x:c>
      <x:c r="E2196" s="27" t="n">
        <x:f>IF('Hazard Register'!I33&lt;&gt;"",1,0)</x:f>
        <x:v>1</x:v>
      </x:c>
      <x:c r="F2196" s="27" t="n">
        <x:v>1</x:v>
      </x:c>
      <x:c r="G2196" s="29" t="str">
        <x:f>IF(E2196=F2196,"PASS","FAIL")</x:f>
        <x:v>PASS</x:v>
      </x:c>
    </x:row>
    <x:row r="2197" ht="18" customHeight="1">
      <x:c r="B2197" s="27" t="str">
        <x:v>A2191</x:v>
      </x:c>
      <x:c r="C2197" s="27" t="str">
        <x:v>hazard</x:v>
      </x:c>
      <x:c r="D2197" s="27" t="str">
        <x:v>Hazard row 33 evidence open</x:v>
      </x:c>
      <x:c r="E2197" s="27" t="n">
        <x:f>IF('Hazard Register'!L33="OPEN",1,0)</x:f>
        <x:v>1</x:v>
      </x:c>
      <x:c r="F2197" s="27" t="n">
        <x:v>1</x:v>
      </x:c>
      <x:c r="G2197" s="29" t="str">
        <x:f>IF(E2197=F2197,"PASS","FAIL")</x:f>
        <x:v>PASS</x:v>
      </x:c>
    </x:row>
    <x:row r="2198" ht="18" customHeight="1">
      <x:c r="B2198" s="27" t="str">
        <x:v>A2192</x:v>
      </x:c>
      <x:c r="C2198" s="27" t="str">
        <x:v>hazard</x:v>
      </x:c>
      <x:c r="D2198" s="27" t="str">
        <x:v>Hazard row 33 zero credit</x:v>
      </x:c>
      <x:c r="E2198" s="27" t="n">
        <x:f>IF('Hazard Register'!M33=0,1,0)</x:f>
        <x:v>1</x:v>
      </x:c>
      <x:c r="F2198" s="27" t="n">
        <x:v>1</x:v>
      </x:c>
      <x:c r="G2198" s="29" t="str">
        <x:f>IF(E2198=F2198,"PASS","FAIL")</x:f>
        <x:v>PASS</x:v>
      </x:c>
    </x:row>
    <x:row r="2199" ht="18" customHeight="1">
      <x:c r="B2199" s="27" t="str">
        <x:v>A2193</x:v>
      </x:c>
      <x:c r="C2199" s="27" t="str">
        <x:v>hazard</x:v>
      </x:c>
      <x:c r="D2199" s="27" t="str">
        <x:v>Hazard row 34 severity registered</x:v>
      </x:c>
      <x:c r="E2199" s="27" t="n">
        <x:f>IF(AND('Hazard Register'!F34&gt;=1,'Hazard Register'!F34&lt;=5),1,0)</x:f>
        <x:v>1</x:v>
      </x:c>
      <x:c r="F2199" s="27" t="n">
        <x:v>1</x:v>
      </x:c>
      <x:c r="G2199" s="29" t="str">
        <x:f>IF(E2199=F2199,"PASS","FAIL")</x:f>
        <x:v>PASS</x:v>
      </x:c>
    </x:row>
    <x:row r="2200" ht="18" customHeight="1">
      <x:c r="B2200" s="27" t="str">
        <x:v>A2194</x:v>
      </x:c>
      <x:c r="C2200" s="27" t="str">
        <x:v>hazard</x:v>
      </x:c>
      <x:c r="D2200" s="27" t="str">
        <x:v>Hazard row 34 duration nonnegative</x:v>
      </x:c>
      <x:c r="E2200" s="27" t="n">
        <x:f>IF('Hazard Register'!G34&gt;=0,1,0)</x:f>
        <x:v>1</x:v>
      </x:c>
      <x:c r="F2200" s="27" t="n">
        <x:v>1</x:v>
      </x:c>
      <x:c r="G2200" s="29" t="str">
        <x:f>IF(E2200=F2200,"PASS","FAIL")</x:f>
        <x:v>PASS</x:v>
      </x:c>
    </x:row>
    <x:row r="2201" ht="18" customHeight="1">
      <x:c r="B2201" s="27" t="str">
        <x:v>A2195</x:v>
      </x:c>
      <x:c r="C2201" s="27" t="str">
        <x:v>hazard</x:v>
      </x:c>
      <x:c r="D2201" s="27" t="str">
        <x:v>Hazard row 34 threshold present</x:v>
      </x:c>
      <x:c r="E2201" s="27" t="n">
        <x:f>IF('Hazard Register'!I34&lt;&gt;"",1,0)</x:f>
        <x:v>1</x:v>
      </x:c>
      <x:c r="F2201" s="27" t="n">
        <x:v>1</x:v>
      </x:c>
      <x:c r="G2201" s="29" t="str">
        <x:f>IF(E2201=F2201,"PASS","FAIL")</x:f>
        <x:v>PASS</x:v>
      </x:c>
    </x:row>
    <x:row r="2202" ht="18" customHeight="1">
      <x:c r="B2202" s="27" t="str">
        <x:v>A2196</x:v>
      </x:c>
      <x:c r="C2202" s="27" t="str">
        <x:v>hazard</x:v>
      </x:c>
      <x:c r="D2202" s="27" t="str">
        <x:v>Hazard row 34 evidence open</x:v>
      </x:c>
      <x:c r="E2202" s="27" t="n">
        <x:f>IF('Hazard Register'!L34="OPEN",1,0)</x:f>
        <x:v>1</x:v>
      </x:c>
      <x:c r="F2202" s="27" t="n">
        <x:v>1</x:v>
      </x:c>
      <x:c r="G2202" s="29" t="str">
        <x:f>IF(E2202=F2202,"PASS","FAIL")</x:f>
        <x:v>PASS</x:v>
      </x:c>
    </x:row>
    <x:row r="2203" ht="18" customHeight="1">
      <x:c r="B2203" s="27" t="str">
        <x:v>A2197</x:v>
      </x:c>
      <x:c r="C2203" s="27" t="str">
        <x:v>hazard</x:v>
      </x:c>
      <x:c r="D2203" s="27" t="str">
        <x:v>Hazard row 34 zero credit</x:v>
      </x:c>
      <x:c r="E2203" s="27" t="n">
        <x:f>IF('Hazard Register'!M34=0,1,0)</x:f>
        <x:v>1</x:v>
      </x:c>
      <x:c r="F2203" s="27" t="n">
        <x:v>1</x:v>
      </x:c>
      <x:c r="G2203" s="29" t="str">
        <x:f>IF(E2203=F2203,"PASS","FAIL")</x:f>
        <x:v>PASS</x:v>
      </x:c>
    </x:row>
    <x:row r="2204" ht="18" customHeight="1">
      <x:c r="B2204" s="27" t="str">
        <x:v>A2198</x:v>
      </x:c>
      <x:c r="C2204" s="27" t="str">
        <x:v>hazard</x:v>
      </x:c>
      <x:c r="D2204" s="27" t="str">
        <x:v>Hazard row 35 severity registered</x:v>
      </x:c>
      <x:c r="E2204" s="27" t="n">
        <x:f>IF(AND('Hazard Register'!F35&gt;=1,'Hazard Register'!F35&lt;=5),1,0)</x:f>
        <x:v>1</x:v>
      </x:c>
      <x:c r="F2204" s="27" t="n">
        <x:v>1</x:v>
      </x:c>
      <x:c r="G2204" s="29" t="str">
        <x:f>IF(E2204=F2204,"PASS","FAIL")</x:f>
        <x:v>PASS</x:v>
      </x:c>
    </x:row>
    <x:row r="2205" ht="18" customHeight="1">
      <x:c r="B2205" s="27" t="str">
        <x:v>A2199</x:v>
      </x:c>
      <x:c r="C2205" s="27" t="str">
        <x:v>hazard</x:v>
      </x:c>
      <x:c r="D2205" s="27" t="str">
        <x:v>Hazard row 35 duration nonnegative</x:v>
      </x:c>
      <x:c r="E2205" s="27" t="n">
        <x:f>IF('Hazard Register'!G35&gt;=0,1,0)</x:f>
        <x:v>1</x:v>
      </x:c>
      <x:c r="F2205" s="27" t="n">
        <x:v>1</x:v>
      </x:c>
      <x:c r="G2205" s="29" t="str">
        <x:f>IF(E2205=F2205,"PASS","FAIL")</x:f>
        <x:v>PASS</x:v>
      </x:c>
    </x:row>
    <x:row r="2206" ht="18" customHeight="1">
      <x:c r="B2206" s="27" t="str">
        <x:v>A2200</x:v>
      </x:c>
      <x:c r="C2206" s="27" t="str">
        <x:v>hazard</x:v>
      </x:c>
      <x:c r="D2206" s="27" t="str">
        <x:v>Hazard row 35 threshold present</x:v>
      </x:c>
      <x:c r="E2206" s="27" t="n">
        <x:f>IF('Hazard Register'!I35&lt;&gt;"",1,0)</x:f>
        <x:v>1</x:v>
      </x:c>
      <x:c r="F2206" s="27" t="n">
        <x:v>1</x:v>
      </x:c>
      <x:c r="G2206" s="29" t="str">
        <x:f>IF(E2206=F2206,"PASS","FAIL")</x:f>
        <x:v>PASS</x:v>
      </x:c>
    </x:row>
    <x:row r="2207" ht="18" customHeight="1">
      <x:c r="B2207" s="27" t="str">
        <x:v>A2201</x:v>
      </x:c>
      <x:c r="C2207" s="27" t="str">
        <x:v>hazard</x:v>
      </x:c>
      <x:c r="D2207" s="27" t="str">
        <x:v>Hazard row 35 evidence open</x:v>
      </x:c>
      <x:c r="E2207" s="27" t="n">
        <x:f>IF('Hazard Register'!L35="OPEN",1,0)</x:f>
        <x:v>1</x:v>
      </x:c>
      <x:c r="F2207" s="27" t="n">
        <x:v>1</x:v>
      </x:c>
      <x:c r="G2207" s="29" t="str">
        <x:f>IF(E2207=F2207,"PASS","FAIL")</x:f>
        <x:v>PASS</x:v>
      </x:c>
    </x:row>
    <x:row r="2208" ht="18" customHeight="1">
      <x:c r="B2208" s="27" t="str">
        <x:v>A2202</x:v>
      </x:c>
      <x:c r="C2208" s="27" t="str">
        <x:v>hazard</x:v>
      </x:c>
      <x:c r="D2208" s="27" t="str">
        <x:v>Hazard row 35 zero credit</x:v>
      </x:c>
      <x:c r="E2208" s="27" t="n">
        <x:f>IF('Hazard Register'!M35=0,1,0)</x:f>
        <x:v>1</x:v>
      </x:c>
      <x:c r="F2208" s="27" t="n">
        <x:v>1</x:v>
      </x:c>
      <x:c r="G2208" s="29" t="str">
        <x:f>IF(E2208=F2208,"PASS","FAIL")</x:f>
        <x:v>PASS</x:v>
      </x:c>
    </x:row>
    <x:row r="2209" ht="18" customHeight="1">
      <x:c r="B2209" s="27" t="str">
        <x:v>A2203</x:v>
      </x:c>
      <x:c r="C2209" s="27" t="str">
        <x:v>hazard</x:v>
      </x:c>
      <x:c r="D2209" s="27" t="str">
        <x:v>Hazard row 36 severity registered</x:v>
      </x:c>
      <x:c r="E2209" s="27" t="n">
        <x:f>IF(AND('Hazard Register'!F36&gt;=1,'Hazard Register'!F36&lt;=5),1,0)</x:f>
        <x:v>1</x:v>
      </x:c>
      <x:c r="F2209" s="27" t="n">
        <x:v>1</x:v>
      </x:c>
      <x:c r="G2209" s="29" t="str">
        <x:f>IF(E2209=F2209,"PASS","FAIL")</x:f>
        <x:v>PASS</x:v>
      </x:c>
    </x:row>
    <x:row r="2210" ht="18" customHeight="1">
      <x:c r="B2210" s="27" t="str">
        <x:v>A2204</x:v>
      </x:c>
      <x:c r="C2210" s="27" t="str">
        <x:v>hazard</x:v>
      </x:c>
      <x:c r="D2210" s="27" t="str">
        <x:v>Hazard row 36 duration nonnegative</x:v>
      </x:c>
      <x:c r="E2210" s="27" t="n">
        <x:f>IF('Hazard Register'!G36&gt;=0,1,0)</x:f>
        <x:v>1</x:v>
      </x:c>
      <x:c r="F2210" s="27" t="n">
        <x:v>1</x:v>
      </x:c>
      <x:c r="G2210" s="29" t="str">
        <x:f>IF(E2210=F2210,"PASS","FAIL")</x:f>
        <x:v>PASS</x:v>
      </x:c>
    </x:row>
    <x:row r="2211" ht="18" customHeight="1">
      <x:c r="B2211" s="27" t="str">
        <x:v>A2205</x:v>
      </x:c>
      <x:c r="C2211" s="27" t="str">
        <x:v>hazard</x:v>
      </x:c>
      <x:c r="D2211" s="27" t="str">
        <x:v>Hazard row 36 threshold present</x:v>
      </x:c>
      <x:c r="E2211" s="27" t="n">
        <x:f>IF('Hazard Register'!I36&lt;&gt;"",1,0)</x:f>
        <x:v>1</x:v>
      </x:c>
      <x:c r="F2211" s="27" t="n">
        <x:v>1</x:v>
      </x:c>
      <x:c r="G2211" s="29" t="str">
        <x:f>IF(E2211=F2211,"PASS","FAIL")</x:f>
        <x:v>PASS</x:v>
      </x:c>
    </x:row>
    <x:row r="2212" ht="18" customHeight="1">
      <x:c r="B2212" s="27" t="str">
        <x:v>A2206</x:v>
      </x:c>
      <x:c r="C2212" s="27" t="str">
        <x:v>hazard</x:v>
      </x:c>
      <x:c r="D2212" s="27" t="str">
        <x:v>Hazard row 36 evidence open</x:v>
      </x:c>
      <x:c r="E2212" s="27" t="n">
        <x:f>IF('Hazard Register'!L36="OPEN",1,0)</x:f>
        <x:v>1</x:v>
      </x:c>
      <x:c r="F2212" s="27" t="n">
        <x:v>1</x:v>
      </x:c>
      <x:c r="G2212" s="29" t="str">
        <x:f>IF(E2212=F2212,"PASS","FAIL")</x:f>
        <x:v>PASS</x:v>
      </x:c>
    </x:row>
    <x:row r="2213" ht="18" customHeight="1">
      <x:c r="B2213" s="27" t="str">
        <x:v>A2207</x:v>
      </x:c>
      <x:c r="C2213" s="27" t="str">
        <x:v>hazard</x:v>
      </x:c>
      <x:c r="D2213" s="27" t="str">
        <x:v>Hazard row 36 zero credit</x:v>
      </x:c>
      <x:c r="E2213" s="27" t="n">
        <x:f>IF('Hazard Register'!M36=0,1,0)</x:f>
        <x:v>1</x:v>
      </x:c>
      <x:c r="F2213" s="27" t="n">
        <x:v>1</x:v>
      </x:c>
      <x:c r="G2213" s="29" t="str">
        <x:f>IF(E2213=F2213,"PASS","FAIL")</x:f>
        <x:v>PASS</x:v>
      </x:c>
    </x:row>
    <x:row r="2214" ht="18" customHeight="1">
      <x:c r="B2214" s="27" t="str">
        <x:v>A2208</x:v>
      </x:c>
      <x:c r="C2214" s="27" t="str">
        <x:v>hazard</x:v>
      </x:c>
      <x:c r="D2214" s="27" t="str">
        <x:v>Hazard row 37 severity registered</x:v>
      </x:c>
      <x:c r="E2214" s="27" t="n">
        <x:f>IF(AND('Hazard Register'!F37&gt;=1,'Hazard Register'!F37&lt;=5),1,0)</x:f>
        <x:v>1</x:v>
      </x:c>
      <x:c r="F2214" s="27" t="n">
        <x:v>1</x:v>
      </x:c>
      <x:c r="G2214" s="29" t="str">
        <x:f>IF(E2214=F2214,"PASS","FAIL")</x:f>
        <x:v>PASS</x:v>
      </x:c>
    </x:row>
    <x:row r="2215" ht="18" customHeight="1">
      <x:c r="B2215" s="27" t="str">
        <x:v>A2209</x:v>
      </x:c>
      <x:c r="C2215" s="27" t="str">
        <x:v>hazard</x:v>
      </x:c>
      <x:c r="D2215" s="27" t="str">
        <x:v>Hazard row 37 duration nonnegative</x:v>
      </x:c>
      <x:c r="E2215" s="27" t="n">
        <x:f>IF('Hazard Register'!G37&gt;=0,1,0)</x:f>
        <x:v>1</x:v>
      </x:c>
      <x:c r="F2215" s="27" t="n">
        <x:v>1</x:v>
      </x:c>
      <x:c r="G2215" s="29" t="str">
        <x:f>IF(E2215=F2215,"PASS","FAIL")</x:f>
        <x:v>PASS</x:v>
      </x:c>
    </x:row>
    <x:row r="2216" ht="18" customHeight="1">
      <x:c r="B2216" s="27" t="str">
        <x:v>A2210</x:v>
      </x:c>
      <x:c r="C2216" s="27" t="str">
        <x:v>hazard</x:v>
      </x:c>
      <x:c r="D2216" s="27" t="str">
        <x:v>Hazard row 37 threshold present</x:v>
      </x:c>
      <x:c r="E2216" s="27" t="n">
        <x:f>IF('Hazard Register'!I37&lt;&gt;"",1,0)</x:f>
        <x:v>1</x:v>
      </x:c>
      <x:c r="F2216" s="27" t="n">
        <x:v>1</x:v>
      </x:c>
      <x:c r="G2216" s="29" t="str">
        <x:f>IF(E2216=F2216,"PASS","FAIL")</x:f>
        <x:v>PASS</x:v>
      </x:c>
    </x:row>
    <x:row r="2217" ht="18" customHeight="1">
      <x:c r="B2217" s="27" t="str">
        <x:v>A2211</x:v>
      </x:c>
      <x:c r="C2217" s="27" t="str">
        <x:v>hazard</x:v>
      </x:c>
      <x:c r="D2217" s="27" t="str">
        <x:v>Hazard row 37 evidence open</x:v>
      </x:c>
      <x:c r="E2217" s="27" t="n">
        <x:f>IF('Hazard Register'!L37="OPEN",1,0)</x:f>
        <x:v>1</x:v>
      </x:c>
      <x:c r="F2217" s="27" t="n">
        <x:v>1</x:v>
      </x:c>
      <x:c r="G2217" s="29" t="str">
        <x:f>IF(E2217=F2217,"PASS","FAIL")</x:f>
        <x:v>PASS</x:v>
      </x:c>
    </x:row>
    <x:row r="2218" ht="18" customHeight="1">
      <x:c r="B2218" s="27" t="str">
        <x:v>A2212</x:v>
      </x:c>
      <x:c r="C2218" s="27" t="str">
        <x:v>hazard</x:v>
      </x:c>
      <x:c r="D2218" s="27" t="str">
        <x:v>Hazard row 37 zero credit</x:v>
      </x:c>
      <x:c r="E2218" s="27" t="n">
        <x:f>IF('Hazard Register'!M37=0,1,0)</x:f>
        <x:v>1</x:v>
      </x:c>
      <x:c r="F2218" s="27" t="n">
        <x:v>1</x:v>
      </x:c>
      <x:c r="G2218" s="29" t="str">
        <x:f>IF(E2218=F2218,"PASS","FAIL")</x:f>
        <x:v>PASS</x:v>
      </x:c>
    </x:row>
    <x:row r="2219" ht="18" customHeight="1">
      <x:c r="B2219" s="27" t="str">
        <x:v>A2213</x:v>
      </x:c>
      <x:c r="C2219" s="27" t="str">
        <x:v>hazard</x:v>
      </x:c>
      <x:c r="D2219" s="27" t="str">
        <x:v>Hazard row 38 severity registered</x:v>
      </x:c>
      <x:c r="E2219" s="27" t="n">
        <x:f>IF(AND('Hazard Register'!F38&gt;=1,'Hazard Register'!F38&lt;=5),1,0)</x:f>
        <x:v>1</x:v>
      </x:c>
      <x:c r="F2219" s="27" t="n">
        <x:v>1</x:v>
      </x:c>
      <x:c r="G2219" s="29" t="str">
        <x:f>IF(E2219=F2219,"PASS","FAIL")</x:f>
        <x:v>PASS</x:v>
      </x:c>
    </x:row>
    <x:row r="2220" ht="18" customHeight="1">
      <x:c r="B2220" s="27" t="str">
        <x:v>A2214</x:v>
      </x:c>
      <x:c r="C2220" s="27" t="str">
        <x:v>hazard</x:v>
      </x:c>
      <x:c r="D2220" s="27" t="str">
        <x:v>Hazard row 38 duration nonnegative</x:v>
      </x:c>
      <x:c r="E2220" s="27" t="n">
        <x:f>IF('Hazard Register'!G38&gt;=0,1,0)</x:f>
        <x:v>1</x:v>
      </x:c>
      <x:c r="F2220" s="27" t="n">
        <x:v>1</x:v>
      </x:c>
      <x:c r="G2220" s="29" t="str">
        <x:f>IF(E2220=F2220,"PASS","FAIL")</x:f>
        <x:v>PASS</x:v>
      </x:c>
    </x:row>
    <x:row r="2221" ht="18" customHeight="1">
      <x:c r="B2221" s="27" t="str">
        <x:v>A2215</x:v>
      </x:c>
      <x:c r="C2221" s="27" t="str">
        <x:v>hazard</x:v>
      </x:c>
      <x:c r="D2221" s="27" t="str">
        <x:v>Hazard row 38 threshold present</x:v>
      </x:c>
      <x:c r="E2221" s="27" t="n">
        <x:f>IF('Hazard Register'!I38&lt;&gt;"",1,0)</x:f>
        <x:v>1</x:v>
      </x:c>
      <x:c r="F2221" s="27" t="n">
        <x:v>1</x:v>
      </x:c>
      <x:c r="G2221" s="29" t="str">
        <x:f>IF(E2221=F2221,"PASS","FAIL")</x:f>
        <x:v>PASS</x:v>
      </x:c>
    </x:row>
    <x:row r="2222" ht="18" customHeight="1">
      <x:c r="B2222" s="27" t="str">
        <x:v>A2216</x:v>
      </x:c>
      <x:c r="C2222" s="27" t="str">
        <x:v>hazard</x:v>
      </x:c>
      <x:c r="D2222" s="27" t="str">
        <x:v>Hazard row 38 evidence open</x:v>
      </x:c>
      <x:c r="E2222" s="27" t="n">
        <x:f>IF('Hazard Register'!L38="OPEN",1,0)</x:f>
        <x:v>1</x:v>
      </x:c>
      <x:c r="F2222" s="27" t="n">
        <x:v>1</x:v>
      </x:c>
      <x:c r="G2222" s="29" t="str">
        <x:f>IF(E2222=F2222,"PASS","FAIL")</x:f>
        <x:v>PASS</x:v>
      </x:c>
    </x:row>
    <x:row r="2223" ht="18" customHeight="1">
      <x:c r="B2223" s="27" t="str">
        <x:v>A2217</x:v>
      </x:c>
      <x:c r="C2223" s="27" t="str">
        <x:v>hazard</x:v>
      </x:c>
      <x:c r="D2223" s="27" t="str">
        <x:v>Hazard row 38 zero credit</x:v>
      </x:c>
      <x:c r="E2223" s="27" t="n">
        <x:f>IF('Hazard Register'!M38=0,1,0)</x:f>
        <x:v>1</x:v>
      </x:c>
      <x:c r="F2223" s="27" t="n">
        <x:v>1</x:v>
      </x:c>
      <x:c r="G2223" s="29" t="str">
        <x:f>IF(E2223=F2223,"PASS","FAIL")</x:f>
        <x:v>PASS</x:v>
      </x:c>
    </x:row>
    <x:row r="2224" ht="18" customHeight="1">
      <x:c r="B2224" s="27" t="str">
        <x:v>A2218</x:v>
      </x:c>
      <x:c r="C2224" s="27" t="str">
        <x:v>hazard</x:v>
      </x:c>
      <x:c r="D2224" s="27" t="str">
        <x:v>Hazard row 39 severity registered</x:v>
      </x:c>
      <x:c r="E2224" s="27" t="n">
        <x:f>IF(AND('Hazard Register'!F39&gt;=1,'Hazard Register'!F39&lt;=5),1,0)</x:f>
        <x:v>1</x:v>
      </x:c>
      <x:c r="F2224" s="27" t="n">
        <x:v>1</x:v>
      </x:c>
      <x:c r="G2224" s="29" t="str">
        <x:f>IF(E2224=F2224,"PASS","FAIL")</x:f>
        <x:v>PASS</x:v>
      </x:c>
    </x:row>
    <x:row r="2225" ht="18" customHeight="1">
      <x:c r="B2225" s="27" t="str">
        <x:v>A2219</x:v>
      </x:c>
      <x:c r="C2225" s="27" t="str">
        <x:v>hazard</x:v>
      </x:c>
      <x:c r="D2225" s="27" t="str">
        <x:v>Hazard row 39 duration nonnegative</x:v>
      </x:c>
      <x:c r="E2225" s="27" t="n">
        <x:f>IF('Hazard Register'!G39&gt;=0,1,0)</x:f>
        <x:v>1</x:v>
      </x:c>
      <x:c r="F2225" s="27" t="n">
        <x:v>1</x:v>
      </x:c>
      <x:c r="G2225" s="29" t="str">
        <x:f>IF(E2225=F2225,"PASS","FAIL")</x:f>
        <x:v>PASS</x:v>
      </x:c>
    </x:row>
    <x:row r="2226" ht="18" customHeight="1">
      <x:c r="B2226" s="27" t="str">
        <x:v>A2220</x:v>
      </x:c>
      <x:c r="C2226" s="27" t="str">
        <x:v>hazard</x:v>
      </x:c>
      <x:c r="D2226" s="27" t="str">
        <x:v>Hazard row 39 threshold present</x:v>
      </x:c>
      <x:c r="E2226" s="27" t="n">
        <x:f>IF('Hazard Register'!I39&lt;&gt;"",1,0)</x:f>
        <x:v>1</x:v>
      </x:c>
      <x:c r="F2226" s="27" t="n">
        <x:v>1</x:v>
      </x:c>
      <x:c r="G2226" s="29" t="str">
        <x:f>IF(E2226=F2226,"PASS","FAIL")</x:f>
        <x:v>PASS</x:v>
      </x:c>
    </x:row>
    <x:row r="2227" ht="18" customHeight="1">
      <x:c r="B2227" s="27" t="str">
        <x:v>A2221</x:v>
      </x:c>
      <x:c r="C2227" s="27" t="str">
        <x:v>hazard</x:v>
      </x:c>
      <x:c r="D2227" s="27" t="str">
        <x:v>Hazard row 39 evidence open</x:v>
      </x:c>
      <x:c r="E2227" s="27" t="n">
        <x:f>IF('Hazard Register'!L39="OPEN",1,0)</x:f>
        <x:v>1</x:v>
      </x:c>
      <x:c r="F2227" s="27" t="n">
        <x:v>1</x:v>
      </x:c>
      <x:c r="G2227" s="29" t="str">
        <x:f>IF(E2227=F2227,"PASS","FAIL")</x:f>
        <x:v>PASS</x:v>
      </x:c>
    </x:row>
    <x:row r="2228" ht="18" customHeight="1">
      <x:c r="B2228" s="27" t="str">
        <x:v>A2222</x:v>
      </x:c>
      <x:c r="C2228" s="27" t="str">
        <x:v>hazard</x:v>
      </x:c>
      <x:c r="D2228" s="27" t="str">
        <x:v>Hazard row 39 zero credit</x:v>
      </x:c>
      <x:c r="E2228" s="27" t="n">
        <x:f>IF('Hazard Register'!M39=0,1,0)</x:f>
        <x:v>1</x:v>
      </x:c>
      <x:c r="F2228" s="27" t="n">
        <x:v>1</x:v>
      </x:c>
      <x:c r="G2228" s="29" t="str">
        <x:f>IF(E2228=F2228,"PASS","FAIL")</x:f>
        <x:v>PASS</x:v>
      </x:c>
    </x:row>
    <x:row r="2229" ht="18" customHeight="1">
      <x:c r="B2229" s="27" t="str">
        <x:v>A2223</x:v>
      </x:c>
      <x:c r="C2229" s="27" t="str">
        <x:v>hazard</x:v>
      </x:c>
      <x:c r="D2229" s="27" t="str">
        <x:v>Hazard row 40 severity registered</x:v>
      </x:c>
      <x:c r="E2229" s="27" t="n">
        <x:f>IF(AND('Hazard Register'!F40&gt;=1,'Hazard Register'!F40&lt;=5),1,0)</x:f>
        <x:v>1</x:v>
      </x:c>
      <x:c r="F2229" s="27" t="n">
        <x:v>1</x:v>
      </x:c>
      <x:c r="G2229" s="29" t="str">
        <x:f>IF(E2229=F2229,"PASS","FAIL")</x:f>
        <x:v>PASS</x:v>
      </x:c>
    </x:row>
    <x:row r="2230" ht="18" customHeight="1">
      <x:c r="B2230" s="27" t="str">
        <x:v>A2224</x:v>
      </x:c>
      <x:c r="C2230" s="27" t="str">
        <x:v>hazard</x:v>
      </x:c>
      <x:c r="D2230" s="27" t="str">
        <x:v>Hazard row 40 duration nonnegative</x:v>
      </x:c>
      <x:c r="E2230" s="27" t="n">
        <x:f>IF('Hazard Register'!G40&gt;=0,1,0)</x:f>
        <x:v>1</x:v>
      </x:c>
      <x:c r="F2230" s="27" t="n">
        <x:v>1</x:v>
      </x:c>
      <x:c r="G2230" s="29" t="str">
        <x:f>IF(E2230=F2230,"PASS","FAIL")</x:f>
        <x:v>PASS</x:v>
      </x:c>
    </x:row>
    <x:row r="2231" ht="18" customHeight="1">
      <x:c r="B2231" s="27" t="str">
        <x:v>A2225</x:v>
      </x:c>
      <x:c r="C2231" s="27" t="str">
        <x:v>hazard</x:v>
      </x:c>
      <x:c r="D2231" s="27" t="str">
        <x:v>Hazard row 40 threshold present</x:v>
      </x:c>
      <x:c r="E2231" s="27" t="n">
        <x:f>IF('Hazard Register'!I40&lt;&gt;"",1,0)</x:f>
        <x:v>1</x:v>
      </x:c>
      <x:c r="F2231" s="27" t="n">
        <x:v>1</x:v>
      </x:c>
      <x:c r="G2231" s="29" t="str">
        <x:f>IF(E2231=F2231,"PASS","FAIL")</x:f>
        <x:v>PASS</x:v>
      </x:c>
    </x:row>
    <x:row r="2232" ht="18" customHeight="1">
      <x:c r="B2232" s="27" t="str">
        <x:v>A2226</x:v>
      </x:c>
      <x:c r="C2232" s="27" t="str">
        <x:v>hazard</x:v>
      </x:c>
      <x:c r="D2232" s="27" t="str">
        <x:v>Hazard row 40 evidence open</x:v>
      </x:c>
      <x:c r="E2232" s="27" t="n">
        <x:f>IF('Hazard Register'!L40="OPEN",1,0)</x:f>
        <x:v>1</x:v>
      </x:c>
      <x:c r="F2232" s="27" t="n">
        <x:v>1</x:v>
      </x:c>
      <x:c r="G2232" s="29" t="str">
        <x:f>IF(E2232=F2232,"PASS","FAIL")</x:f>
        <x:v>PASS</x:v>
      </x:c>
    </x:row>
    <x:row r="2233" ht="18" customHeight="1">
      <x:c r="B2233" s="27" t="str">
        <x:v>A2227</x:v>
      </x:c>
      <x:c r="C2233" s="27" t="str">
        <x:v>hazard</x:v>
      </x:c>
      <x:c r="D2233" s="27" t="str">
        <x:v>Hazard row 40 zero credit</x:v>
      </x:c>
      <x:c r="E2233" s="27" t="n">
        <x:f>IF('Hazard Register'!M40=0,1,0)</x:f>
        <x:v>1</x:v>
      </x:c>
      <x:c r="F2233" s="27" t="n">
        <x:v>1</x:v>
      </x:c>
      <x:c r="G2233" s="29" t="str">
        <x:f>IF(E2233=F2233,"PASS","FAIL")</x:f>
        <x:v>PASS</x:v>
      </x:c>
    </x:row>
    <x:row r="2234" ht="18" customHeight="1">
      <x:c r="B2234" s="27" t="str">
        <x:v>A2228</x:v>
      </x:c>
      <x:c r="C2234" s="27" t="str">
        <x:v>hazard</x:v>
      </x:c>
      <x:c r="D2234" s="27" t="str">
        <x:v>Hazard row 41 severity registered</x:v>
      </x:c>
      <x:c r="E2234" s="27" t="n">
        <x:f>IF(AND('Hazard Register'!F41&gt;=1,'Hazard Register'!F41&lt;=5),1,0)</x:f>
        <x:v>1</x:v>
      </x:c>
      <x:c r="F2234" s="27" t="n">
        <x:v>1</x:v>
      </x:c>
      <x:c r="G2234" s="29" t="str">
        <x:f>IF(E2234=F2234,"PASS","FAIL")</x:f>
        <x:v>PASS</x:v>
      </x:c>
    </x:row>
    <x:row r="2235" ht="18" customHeight="1">
      <x:c r="B2235" s="27" t="str">
        <x:v>A2229</x:v>
      </x:c>
      <x:c r="C2235" s="27" t="str">
        <x:v>hazard</x:v>
      </x:c>
      <x:c r="D2235" s="27" t="str">
        <x:v>Hazard row 41 duration nonnegative</x:v>
      </x:c>
      <x:c r="E2235" s="27" t="n">
        <x:f>IF('Hazard Register'!G41&gt;=0,1,0)</x:f>
        <x:v>1</x:v>
      </x:c>
      <x:c r="F2235" s="27" t="n">
        <x:v>1</x:v>
      </x:c>
      <x:c r="G2235" s="29" t="str">
        <x:f>IF(E2235=F2235,"PASS","FAIL")</x:f>
        <x:v>PASS</x:v>
      </x:c>
    </x:row>
    <x:row r="2236" ht="18" customHeight="1">
      <x:c r="B2236" s="27" t="str">
        <x:v>A2230</x:v>
      </x:c>
      <x:c r="C2236" s="27" t="str">
        <x:v>hazard</x:v>
      </x:c>
      <x:c r="D2236" s="27" t="str">
        <x:v>Hazard row 41 threshold present</x:v>
      </x:c>
      <x:c r="E2236" s="27" t="n">
        <x:f>IF('Hazard Register'!I41&lt;&gt;"",1,0)</x:f>
        <x:v>1</x:v>
      </x:c>
      <x:c r="F2236" s="27" t="n">
        <x:v>1</x:v>
      </x:c>
      <x:c r="G2236" s="29" t="str">
        <x:f>IF(E2236=F2236,"PASS","FAIL")</x:f>
        <x:v>PASS</x:v>
      </x:c>
    </x:row>
    <x:row r="2237" ht="18" customHeight="1">
      <x:c r="B2237" s="27" t="str">
        <x:v>A2231</x:v>
      </x:c>
      <x:c r="C2237" s="27" t="str">
        <x:v>hazard</x:v>
      </x:c>
      <x:c r="D2237" s="27" t="str">
        <x:v>Hazard row 41 evidence open</x:v>
      </x:c>
      <x:c r="E2237" s="27" t="n">
        <x:f>IF('Hazard Register'!L41="OPEN",1,0)</x:f>
        <x:v>1</x:v>
      </x:c>
      <x:c r="F2237" s="27" t="n">
        <x:v>1</x:v>
      </x:c>
      <x:c r="G2237" s="29" t="str">
        <x:f>IF(E2237=F2237,"PASS","FAIL")</x:f>
        <x:v>PASS</x:v>
      </x:c>
    </x:row>
    <x:row r="2238" ht="18" customHeight="1">
      <x:c r="B2238" s="27" t="str">
        <x:v>A2232</x:v>
      </x:c>
      <x:c r="C2238" s="27" t="str">
        <x:v>hazard</x:v>
      </x:c>
      <x:c r="D2238" s="27" t="str">
        <x:v>Hazard row 41 zero credit</x:v>
      </x:c>
      <x:c r="E2238" s="27" t="n">
        <x:f>IF('Hazard Register'!M41=0,1,0)</x:f>
        <x:v>1</x:v>
      </x:c>
      <x:c r="F2238" s="27" t="n">
        <x:v>1</x:v>
      </x:c>
      <x:c r="G2238" s="29" t="str">
        <x:f>IF(E2238=F2238,"PASS","FAIL")</x:f>
        <x:v>PASS</x:v>
      </x:c>
    </x:row>
    <x:row r="2239" ht="18" customHeight="1">
      <x:c r="B2239" s="27" t="str">
        <x:v>A2233</x:v>
      </x:c>
      <x:c r="C2239" s="27" t="str">
        <x:v>hazard</x:v>
      </x:c>
      <x:c r="D2239" s="27" t="str">
        <x:v>Hazard row 42 severity registered</x:v>
      </x:c>
      <x:c r="E2239" s="27" t="n">
        <x:f>IF(AND('Hazard Register'!F42&gt;=1,'Hazard Register'!F42&lt;=5),1,0)</x:f>
        <x:v>1</x:v>
      </x:c>
      <x:c r="F2239" s="27" t="n">
        <x:v>1</x:v>
      </x:c>
      <x:c r="G2239" s="29" t="str">
        <x:f>IF(E2239=F2239,"PASS","FAIL")</x:f>
        <x:v>PASS</x:v>
      </x:c>
    </x:row>
    <x:row r="2240" ht="18" customHeight="1">
      <x:c r="B2240" s="27" t="str">
        <x:v>A2234</x:v>
      </x:c>
      <x:c r="C2240" s="27" t="str">
        <x:v>hazard</x:v>
      </x:c>
      <x:c r="D2240" s="27" t="str">
        <x:v>Hazard row 42 duration nonnegative</x:v>
      </x:c>
      <x:c r="E2240" s="27" t="n">
        <x:f>IF('Hazard Register'!G42&gt;=0,1,0)</x:f>
        <x:v>1</x:v>
      </x:c>
      <x:c r="F2240" s="27" t="n">
        <x:v>1</x:v>
      </x:c>
      <x:c r="G2240" s="29" t="str">
        <x:f>IF(E2240=F2240,"PASS","FAIL")</x:f>
        <x:v>PASS</x:v>
      </x:c>
    </x:row>
    <x:row r="2241" ht="18" customHeight="1">
      <x:c r="B2241" s="27" t="str">
        <x:v>A2235</x:v>
      </x:c>
      <x:c r="C2241" s="27" t="str">
        <x:v>hazard</x:v>
      </x:c>
      <x:c r="D2241" s="27" t="str">
        <x:v>Hazard row 42 threshold present</x:v>
      </x:c>
      <x:c r="E2241" s="27" t="n">
        <x:f>IF('Hazard Register'!I42&lt;&gt;"",1,0)</x:f>
        <x:v>1</x:v>
      </x:c>
      <x:c r="F2241" s="27" t="n">
        <x:v>1</x:v>
      </x:c>
      <x:c r="G2241" s="29" t="str">
        <x:f>IF(E2241=F2241,"PASS","FAIL")</x:f>
        <x:v>PASS</x:v>
      </x:c>
    </x:row>
    <x:row r="2242" ht="18" customHeight="1">
      <x:c r="B2242" s="27" t="str">
        <x:v>A2236</x:v>
      </x:c>
      <x:c r="C2242" s="27" t="str">
        <x:v>hazard</x:v>
      </x:c>
      <x:c r="D2242" s="27" t="str">
        <x:v>Hazard row 42 evidence open</x:v>
      </x:c>
      <x:c r="E2242" s="27" t="n">
        <x:f>IF('Hazard Register'!L42="OPEN",1,0)</x:f>
        <x:v>1</x:v>
      </x:c>
      <x:c r="F2242" s="27" t="n">
        <x:v>1</x:v>
      </x:c>
      <x:c r="G2242" s="29" t="str">
        <x:f>IF(E2242=F2242,"PASS","FAIL")</x:f>
        <x:v>PASS</x:v>
      </x:c>
    </x:row>
    <x:row r="2243" ht="18" customHeight="1">
      <x:c r="B2243" s="27" t="str">
        <x:v>A2237</x:v>
      </x:c>
      <x:c r="C2243" s="27" t="str">
        <x:v>hazard</x:v>
      </x:c>
      <x:c r="D2243" s="27" t="str">
        <x:v>Hazard row 42 zero credit</x:v>
      </x:c>
      <x:c r="E2243" s="27" t="n">
        <x:f>IF('Hazard Register'!M42=0,1,0)</x:f>
        <x:v>1</x:v>
      </x:c>
      <x:c r="F2243" s="27" t="n">
        <x:v>1</x:v>
      </x:c>
      <x:c r="G2243" s="29" t="str">
        <x:f>IF(E2243=F2243,"PASS","FAIL")</x:f>
        <x:v>PASS</x:v>
      </x:c>
    </x:row>
    <x:row r="2244" ht="18" customHeight="1">
      <x:c r="B2244" s="27" t="str">
        <x:v>A2238</x:v>
      </x:c>
      <x:c r="C2244" s="27" t="str">
        <x:v>hazard</x:v>
      </x:c>
      <x:c r="D2244" s="27" t="str">
        <x:v>Hazard row 43 severity registered</x:v>
      </x:c>
      <x:c r="E2244" s="27" t="n">
        <x:f>IF(AND('Hazard Register'!F43&gt;=1,'Hazard Register'!F43&lt;=5),1,0)</x:f>
        <x:v>1</x:v>
      </x:c>
      <x:c r="F2244" s="27" t="n">
        <x:v>1</x:v>
      </x:c>
      <x:c r="G2244" s="29" t="str">
        <x:f>IF(E2244=F2244,"PASS","FAIL")</x:f>
        <x:v>PASS</x:v>
      </x:c>
    </x:row>
    <x:row r="2245" ht="18" customHeight="1">
      <x:c r="B2245" s="27" t="str">
        <x:v>A2239</x:v>
      </x:c>
      <x:c r="C2245" s="27" t="str">
        <x:v>hazard</x:v>
      </x:c>
      <x:c r="D2245" s="27" t="str">
        <x:v>Hazard row 43 duration nonnegative</x:v>
      </x:c>
      <x:c r="E2245" s="27" t="n">
        <x:f>IF('Hazard Register'!G43&gt;=0,1,0)</x:f>
        <x:v>1</x:v>
      </x:c>
      <x:c r="F2245" s="27" t="n">
        <x:v>1</x:v>
      </x:c>
      <x:c r="G2245" s="29" t="str">
        <x:f>IF(E2245=F2245,"PASS","FAIL")</x:f>
        <x:v>PASS</x:v>
      </x:c>
    </x:row>
    <x:row r="2246" ht="18" customHeight="1">
      <x:c r="B2246" s="27" t="str">
        <x:v>A2240</x:v>
      </x:c>
      <x:c r="C2246" s="27" t="str">
        <x:v>hazard</x:v>
      </x:c>
      <x:c r="D2246" s="27" t="str">
        <x:v>Hazard row 43 threshold present</x:v>
      </x:c>
      <x:c r="E2246" s="27" t="n">
        <x:f>IF('Hazard Register'!I43&lt;&gt;"",1,0)</x:f>
        <x:v>1</x:v>
      </x:c>
      <x:c r="F2246" s="27" t="n">
        <x:v>1</x:v>
      </x:c>
      <x:c r="G2246" s="29" t="str">
        <x:f>IF(E2246=F2246,"PASS","FAIL")</x:f>
        <x:v>PASS</x:v>
      </x:c>
    </x:row>
    <x:row r="2247" ht="18" customHeight="1">
      <x:c r="B2247" s="27" t="str">
        <x:v>A2241</x:v>
      </x:c>
      <x:c r="C2247" s="27" t="str">
        <x:v>hazard</x:v>
      </x:c>
      <x:c r="D2247" s="27" t="str">
        <x:v>Hazard row 43 evidence open</x:v>
      </x:c>
      <x:c r="E2247" s="27" t="n">
        <x:f>IF('Hazard Register'!L43="OPEN",1,0)</x:f>
        <x:v>1</x:v>
      </x:c>
      <x:c r="F2247" s="27" t="n">
        <x:v>1</x:v>
      </x:c>
      <x:c r="G2247" s="29" t="str">
        <x:f>IF(E2247=F2247,"PASS","FAIL")</x:f>
        <x:v>PASS</x:v>
      </x:c>
    </x:row>
    <x:row r="2248" ht="18" customHeight="1">
      <x:c r="B2248" s="27" t="str">
        <x:v>A2242</x:v>
      </x:c>
      <x:c r="C2248" s="27" t="str">
        <x:v>hazard</x:v>
      </x:c>
      <x:c r="D2248" s="27" t="str">
        <x:v>Hazard row 43 zero credit</x:v>
      </x:c>
      <x:c r="E2248" s="27" t="n">
        <x:f>IF('Hazard Register'!M43=0,1,0)</x:f>
        <x:v>1</x:v>
      </x:c>
      <x:c r="F2248" s="27" t="n">
        <x:v>1</x:v>
      </x:c>
      <x:c r="G2248" s="29" t="str">
        <x:f>IF(E2248=F2248,"PASS","FAIL")</x:f>
        <x:v>PASS</x:v>
      </x:c>
    </x:row>
    <x:row r="2249" ht="18" customHeight="1">
      <x:c r="B2249" s="27" t="str">
        <x:v>A2243</x:v>
      </x:c>
      <x:c r="C2249" s="27" t="str">
        <x:v>hazard</x:v>
      </x:c>
      <x:c r="D2249" s="27" t="str">
        <x:v>Hazard row 44 severity registered</x:v>
      </x:c>
      <x:c r="E2249" s="27" t="n">
        <x:f>IF(AND('Hazard Register'!F44&gt;=1,'Hazard Register'!F44&lt;=5),1,0)</x:f>
        <x:v>1</x:v>
      </x:c>
      <x:c r="F2249" s="27" t="n">
        <x:v>1</x:v>
      </x:c>
      <x:c r="G2249" s="29" t="str">
        <x:f>IF(E2249=F2249,"PASS","FAIL")</x:f>
        <x:v>PASS</x:v>
      </x:c>
    </x:row>
    <x:row r="2250" ht="18" customHeight="1">
      <x:c r="B2250" s="27" t="str">
        <x:v>A2244</x:v>
      </x:c>
      <x:c r="C2250" s="27" t="str">
        <x:v>hazard</x:v>
      </x:c>
      <x:c r="D2250" s="27" t="str">
        <x:v>Hazard row 44 duration nonnegative</x:v>
      </x:c>
      <x:c r="E2250" s="27" t="n">
        <x:f>IF('Hazard Register'!G44&gt;=0,1,0)</x:f>
        <x:v>1</x:v>
      </x:c>
      <x:c r="F2250" s="27" t="n">
        <x:v>1</x:v>
      </x:c>
      <x:c r="G2250" s="29" t="str">
        <x:f>IF(E2250=F2250,"PASS","FAIL")</x:f>
        <x:v>PASS</x:v>
      </x:c>
    </x:row>
    <x:row r="2251" ht="18" customHeight="1">
      <x:c r="B2251" s="27" t="str">
        <x:v>A2245</x:v>
      </x:c>
      <x:c r="C2251" s="27" t="str">
        <x:v>hazard</x:v>
      </x:c>
      <x:c r="D2251" s="27" t="str">
        <x:v>Hazard row 44 threshold present</x:v>
      </x:c>
      <x:c r="E2251" s="27" t="n">
        <x:f>IF('Hazard Register'!I44&lt;&gt;"",1,0)</x:f>
        <x:v>1</x:v>
      </x:c>
      <x:c r="F2251" s="27" t="n">
        <x:v>1</x:v>
      </x:c>
      <x:c r="G2251" s="29" t="str">
        <x:f>IF(E2251=F2251,"PASS","FAIL")</x:f>
        <x:v>PASS</x:v>
      </x:c>
    </x:row>
    <x:row r="2252" ht="18" customHeight="1">
      <x:c r="B2252" s="27" t="str">
        <x:v>A2246</x:v>
      </x:c>
      <x:c r="C2252" s="27" t="str">
        <x:v>hazard</x:v>
      </x:c>
      <x:c r="D2252" s="27" t="str">
        <x:v>Hazard row 44 evidence open</x:v>
      </x:c>
      <x:c r="E2252" s="27" t="n">
        <x:f>IF('Hazard Register'!L44="OPEN",1,0)</x:f>
        <x:v>1</x:v>
      </x:c>
      <x:c r="F2252" s="27" t="n">
        <x:v>1</x:v>
      </x:c>
      <x:c r="G2252" s="29" t="str">
        <x:f>IF(E2252=F2252,"PASS","FAIL")</x:f>
        <x:v>PASS</x:v>
      </x:c>
    </x:row>
    <x:row r="2253" ht="18" customHeight="1">
      <x:c r="B2253" s="27" t="str">
        <x:v>A2247</x:v>
      </x:c>
      <x:c r="C2253" s="27" t="str">
        <x:v>hazard</x:v>
      </x:c>
      <x:c r="D2253" s="27" t="str">
        <x:v>Hazard row 44 zero credit</x:v>
      </x:c>
      <x:c r="E2253" s="27" t="n">
        <x:f>IF('Hazard Register'!M44=0,1,0)</x:f>
        <x:v>1</x:v>
      </x:c>
      <x:c r="F2253" s="27" t="n">
        <x:v>1</x:v>
      </x:c>
      <x:c r="G2253" s="29" t="str">
        <x:f>IF(E2253=F2253,"PASS","FAIL")</x:f>
        <x:v>PASS</x:v>
      </x:c>
    </x:row>
    <x:row r="2254" ht="18" customHeight="1">
      <x:c r="B2254" s="27" t="str">
        <x:v>A2248</x:v>
      </x:c>
      <x:c r="C2254" s="27" t="str">
        <x:v>hazard</x:v>
      </x:c>
      <x:c r="D2254" s="27" t="str">
        <x:v>Hazard row 45 severity registered</x:v>
      </x:c>
      <x:c r="E2254" s="27" t="n">
        <x:f>IF(AND('Hazard Register'!F45&gt;=1,'Hazard Register'!F45&lt;=5),1,0)</x:f>
        <x:v>1</x:v>
      </x:c>
      <x:c r="F2254" s="27" t="n">
        <x:v>1</x:v>
      </x:c>
      <x:c r="G2254" s="29" t="str">
        <x:f>IF(E2254=F2254,"PASS","FAIL")</x:f>
        <x:v>PASS</x:v>
      </x:c>
    </x:row>
    <x:row r="2255" ht="18" customHeight="1">
      <x:c r="B2255" s="27" t="str">
        <x:v>A2249</x:v>
      </x:c>
      <x:c r="C2255" s="27" t="str">
        <x:v>hazard</x:v>
      </x:c>
      <x:c r="D2255" s="27" t="str">
        <x:v>Hazard row 45 duration nonnegative</x:v>
      </x:c>
      <x:c r="E2255" s="27" t="n">
        <x:f>IF('Hazard Register'!G45&gt;=0,1,0)</x:f>
        <x:v>1</x:v>
      </x:c>
      <x:c r="F2255" s="27" t="n">
        <x:v>1</x:v>
      </x:c>
      <x:c r="G2255" s="29" t="str">
        <x:f>IF(E2255=F2255,"PASS","FAIL")</x:f>
        <x:v>PASS</x:v>
      </x:c>
    </x:row>
    <x:row r="2256" ht="18" customHeight="1">
      <x:c r="B2256" s="27" t="str">
        <x:v>A2250</x:v>
      </x:c>
      <x:c r="C2256" s="27" t="str">
        <x:v>hazard</x:v>
      </x:c>
      <x:c r="D2256" s="27" t="str">
        <x:v>Hazard row 45 threshold present</x:v>
      </x:c>
      <x:c r="E2256" s="27" t="n">
        <x:f>IF('Hazard Register'!I45&lt;&gt;"",1,0)</x:f>
        <x:v>1</x:v>
      </x:c>
      <x:c r="F2256" s="27" t="n">
        <x:v>1</x:v>
      </x:c>
      <x:c r="G2256" s="29" t="str">
        <x:f>IF(E2256=F2256,"PASS","FAIL")</x:f>
        <x:v>PASS</x:v>
      </x:c>
    </x:row>
    <x:row r="2257" ht="18" customHeight="1">
      <x:c r="B2257" s="27" t="str">
        <x:v>A2251</x:v>
      </x:c>
      <x:c r="C2257" s="27" t="str">
        <x:v>hazard</x:v>
      </x:c>
      <x:c r="D2257" s="27" t="str">
        <x:v>Hazard row 45 evidence open</x:v>
      </x:c>
      <x:c r="E2257" s="27" t="n">
        <x:f>IF('Hazard Register'!L45="OPEN",1,0)</x:f>
        <x:v>1</x:v>
      </x:c>
      <x:c r="F2257" s="27" t="n">
        <x:v>1</x:v>
      </x:c>
      <x:c r="G2257" s="29" t="str">
        <x:f>IF(E2257=F2257,"PASS","FAIL")</x:f>
        <x:v>PASS</x:v>
      </x:c>
    </x:row>
    <x:row r="2258" ht="18" customHeight="1">
      <x:c r="B2258" s="27" t="str">
        <x:v>A2252</x:v>
      </x:c>
      <x:c r="C2258" s="27" t="str">
        <x:v>hazard</x:v>
      </x:c>
      <x:c r="D2258" s="27" t="str">
        <x:v>Hazard row 45 zero credit</x:v>
      </x:c>
      <x:c r="E2258" s="27" t="n">
        <x:f>IF('Hazard Register'!M45=0,1,0)</x:f>
        <x:v>1</x:v>
      </x:c>
      <x:c r="F2258" s="27" t="n">
        <x:v>1</x:v>
      </x:c>
      <x:c r="G2258" s="29" t="str">
        <x:f>IF(E2258=F2258,"PASS","FAIL")</x:f>
        <x:v>PASS</x:v>
      </x:c>
    </x:row>
    <x:row r="2259" ht="18" customHeight="1">
      <x:c r="B2259" s="27" t="str">
        <x:v>A2253</x:v>
      </x:c>
      <x:c r="C2259" s="27" t="str">
        <x:v>hazard</x:v>
      </x:c>
      <x:c r="D2259" s="27" t="str">
        <x:v>Hazard row 46 severity registered</x:v>
      </x:c>
      <x:c r="E2259" s="27" t="n">
        <x:f>IF(AND('Hazard Register'!F46&gt;=1,'Hazard Register'!F46&lt;=5),1,0)</x:f>
        <x:v>1</x:v>
      </x:c>
      <x:c r="F2259" s="27" t="n">
        <x:v>1</x:v>
      </x:c>
      <x:c r="G2259" s="29" t="str">
        <x:f>IF(E2259=F2259,"PASS","FAIL")</x:f>
        <x:v>PASS</x:v>
      </x:c>
    </x:row>
    <x:row r="2260" ht="18" customHeight="1">
      <x:c r="B2260" s="27" t="str">
        <x:v>A2254</x:v>
      </x:c>
      <x:c r="C2260" s="27" t="str">
        <x:v>hazard</x:v>
      </x:c>
      <x:c r="D2260" s="27" t="str">
        <x:v>Hazard row 46 duration nonnegative</x:v>
      </x:c>
      <x:c r="E2260" s="27" t="n">
        <x:f>IF('Hazard Register'!G46&gt;=0,1,0)</x:f>
        <x:v>1</x:v>
      </x:c>
      <x:c r="F2260" s="27" t="n">
        <x:v>1</x:v>
      </x:c>
      <x:c r="G2260" s="29" t="str">
        <x:f>IF(E2260=F2260,"PASS","FAIL")</x:f>
        <x:v>PASS</x:v>
      </x:c>
    </x:row>
    <x:row r="2261" ht="18" customHeight="1">
      <x:c r="B2261" s="27" t="str">
        <x:v>A2255</x:v>
      </x:c>
      <x:c r="C2261" s="27" t="str">
        <x:v>hazard</x:v>
      </x:c>
      <x:c r="D2261" s="27" t="str">
        <x:v>Hazard row 46 threshold present</x:v>
      </x:c>
      <x:c r="E2261" s="27" t="n">
        <x:f>IF('Hazard Register'!I46&lt;&gt;"",1,0)</x:f>
        <x:v>1</x:v>
      </x:c>
      <x:c r="F2261" s="27" t="n">
        <x:v>1</x:v>
      </x:c>
      <x:c r="G2261" s="29" t="str">
        <x:f>IF(E2261=F2261,"PASS","FAIL")</x:f>
        <x:v>PASS</x:v>
      </x:c>
    </x:row>
    <x:row r="2262" ht="18" customHeight="1">
      <x:c r="B2262" s="27" t="str">
        <x:v>A2256</x:v>
      </x:c>
      <x:c r="C2262" s="27" t="str">
        <x:v>hazard</x:v>
      </x:c>
      <x:c r="D2262" s="27" t="str">
        <x:v>Hazard row 46 evidence open</x:v>
      </x:c>
      <x:c r="E2262" s="27" t="n">
        <x:f>IF('Hazard Register'!L46="OPEN",1,0)</x:f>
        <x:v>1</x:v>
      </x:c>
      <x:c r="F2262" s="27" t="n">
        <x:v>1</x:v>
      </x:c>
      <x:c r="G2262" s="29" t="str">
        <x:f>IF(E2262=F2262,"PASS","FAIL")</x:f>
        <x:v>PASS</x:v>
      </x:c>
    </x:row>
    <x:row r="2263" ht="18" customHeight="1">
      <x:c r="B2263" s="27" t="str">
        <x:v>A2257</x:v>
      </x:c>
      <x:c r="C2263" s="27" t="str">
        <x:v>hazard</x:v>
      </x:c>
      <x:c r="D2263" s="27" t="str">
        <x:v>Hazard row 46 zero credit</x:v>
      </x:c>
      <x:c r="E2263" s="27" t="n">
        <x:f>IF('Hazard Register'!M46=0,1,0)</x:f>
        <x:v>1</x:v>
      </x:c>
      <x:c r="F2263" s="27" t="n">
        <x:v>1</x:v>
      </x:c>
      <x:c r="G2263" s="29" t="str">
        <x:f>IF(E2263=F2263,"PASS","FAIL")</x:f>
        <x:v>PASS</x:v>
      </x:c>
    </x:row>
    <x:row r="2264" ht="18" customHeight="1">
      <x:c r="B2264" s="27" t="str">
        <x:v>A2258</x:v>
      </x:c>
      <x:c r="C2264" s="27" t="str">
        <x:v>hazard</x:v>
      </x:c>
      <x:c r="D2264" s="27" t="str">
        <x:v>Hazard row 47 severity registered</x:v>
      </x:c>
      <x:c r="E2264" s="27" t="n">
        <x:f>IF(AND('Hazard Register'!F47&gt;=1,'Hazard Register'!F47&lt;=5),1,0)</x:f>
        <x:v>1</x:v>
      </x:c>
      <x:c r="F2264" s="27" t="n">
        <x:v>1</x:v>
      </x:c>
      <x:c r="G2264" s="29" t="str">
        <x:f>IF(E2264=F2264,"PASS","FAIL")</x:f>
        <x:v>PASS</x:v>
      </x:c>
    </x:row>
    <x:row r="2265" ht="18" customHeight="1">
      <x:c r="B2265" s="27" t="str">
        <x:v>A2259</x:v>
      </x:c>
      <x:c r="C2265" s="27" t="str">
        <x:v>hazard</x:v>
      </x:c>
      <x:c r="D2265" s="27" t="str">
        <x:v>Hazard row 47 duration nonnegative</x:v>
      </x:c>
      <x:c r="E2265" s="27" t="n">
        <x:f>IF('Hazard Register'!G47&gt;=0,1,0)</x:f>
        <x:v>1</x:v>
      </x:c>
      <x:c r="F2265" s="27" t="n">
        <x:v>1</x:v>
      </x:c>
      <x:c r="G2265" s="29" t="str">
        <x:f>IF(E2265=F2265,"PASS","FAIL")</x:f>
        <x:v>PASS</x:v>
      </x:c>
    </x:row>
    <x:row r="2266" ht="18" customHeight="1">
      <x:c r="B2266" s="27" t="str">
        <x:v>A2260</x:v>
      </x:c>
      <x:c r="C2266" s="27" t="str">
        <x:v>hazard</x:v>
      </x:c>
      <x:c r="D2266" s="27" t="str">
        <x:v>Hazard row 47 threshold present</x:v>
      </x:c>
      <x:c r="E2266" s="27" t="n">
        <x:f>IF('Hazard Register'!I47&lt;&gt;"",1,0)</x:f>
        <x:v>1</x:v>
      </x:c>
      <x:c r="F2266" s="27" t="n">
        <x:v>1</x:v>
      </x:c>
      <x:c r="G2266" s="29" t="str">
        <x:f>IF(E2266=F2266,"PASS","FAIL")</x:f>
        <x:v>PASS</x:v>
      </x:c>
    </x:row>
    <x:row r="2267" ht="18" customHeight="1">
      <x:c r="B2267" s="27" t="str">
        <x:v>A2261</x:v>
      </x:c>
      <x:c r="C2267" s="27" t="str">
        <x:v>hazard</x:v>
      </x:c>
      <x:c r="D2267" s="27" t="str">
        <x:v>Hazard row 47 evidence open</x:v>
      </x:c>
      <x:c r="E2267" s="27" t="n">
        <x:f>IF('Hazard Register'!L47="OPEN",1,0)</x:f>
        <x:v>1</x:v>
      </x:c>
      <x:c r="F2267" s="27" t="n">
        <x:v>1</x:v>
      </x:c>
      <x:c r="G2267" s="29" t="str">
        <x:f>IF(E2267=F2267,"PASS","FAIL")</x:f>
        <x:v>PASS</x:v>
      </x:c>
    </x:row>
    <x:row r="2268" ht="18" customHeight="1">
      <x:c r="B2268" s="27" t="str">
        <x:v>A2262</x:v>
      </x:c>
      <x:c r="C2268" s="27" t="str">
        <x:v>hazard</x:v>
      </x:c>
      <x:c r="D2268" s="27" t="str">
        <x:v>Hazard row 47 zero credit</x:v>
      </x:c>
      <x:c r="E2268" s="27" t="n">
        <x:f>IF('Hazard Register'!M47=0,1,0)</x:f>
        <x:v>1</x:v>
      </x:c>
      <x:c r="F2268" s="27" t="n">
        <x:v>1</x:v>
      </x:c>
      <x:c r="G2268" s="29" t="str">
        <x:f>IF(E2268=F2268,"PASS","FAIL")</x:f>
        <x:v>PASS</x:v>
      </x:c>
    </x:row>
    <x:row r="2269" ht="18" customHeight="1">
      <x:c r="B2269" s="27" t="str">
        <x:v>A2263</x:v>
      </x:c>
      <x:c r="C2269" s="27" t="str">
        <x:v>hazard</x:v>
      </x:c>
      <x:c r="D2269" s="27" t="str">
        <x:v>Hazard row 48 severity registered</x:v>
      </x:c>
      <x:c r="E2269" s="27" t="n">
        <x:f>IF(AND('Hazard Register'!F48&gt;=1,'Hazard Register'!F48&lt;=5),1,0)</x:f>
        <x:v>1</x:v>
      </x:c>
      <x:c r="F2269" s="27" t="n">
        <x:v>1</x:v>
      </x:c>
      <x:c r="G2269" s="29" t="str">
        <x:f>IF(E2269=F2269,"PASS","FAIL")</x:f>
        <x:v>PASS</x:v>
      </x:c>
    </x:row>
    <x:row r="2270" ht="18" customHeight="1">
      <x:c r="B2270" s="27" t="str">
        <x:v>A2264</x:v>
      </x:c>
      <x:c r="C2270" s="27" t="str">
        <x:v>hazard</x:v>
      </x:c>
      <x:c r="D2270" s="27" t="str">
        <x:v>Hazard row 48 duration nonnegative</x:v>
      </x:c>
      <x:c r="E2270" s="27" t="n">
        <x:f>IF('Hazard Register'!G48&gt;=0,1,0)</x:f>
        <x:v>1</x:v>
      </x:c>
      <x:c r="F2270" s="27" t="n">
        <x:v>1</x:v>
      </x:c>
      <x:c r="G2270" s="29" t="str">
        <x:f>IF(E2270=F2270,"PASS","FAIL")</x:f>
        <x:v>PASS</x:v>
      </x:c>
    </x:row>
    <x:row r="2271" ht="18" customHeight="1">
      <x:c r="B2271" s="27" t="str">
        <x:v>A2265</x:v>
      </x:c>
      <x:c r="C2271" s="27" t="str">
        <x:v>hazard</x:v>
      </x:c>
      <x:c r="D2271" s="27" t="str">
        <x:v>Hazard row 48 threshold present</x:v>
      </x:c>
      <x:c r="E2271" s="27" t="n">
        <x:f>IF('Hazard Register'!I48&lt;&gt;"",1,0)</x:f>
        <x:v>1</x:v>
      </x:c>
      <x:c r="F2271" s="27" t="n">
        <x:v>1</x:v>
      </x:c>
      <x:c r="G2271" s="29" t="str">
        <x:f>IF(E2271=F2271,"PASS","FAIL")</x:f>
        <x:v>PASS</x:v>
      </x:c>
    </x:row>
    <x:row r="2272" ht="18" customHeight="1">
      <x:c r="B2272" s="27" t="str">
        <x:v>A2266</x:v>
      </x:c>
      <x:c r="C2272" s="27" t="str">
        <x:v>hazard</x:v>
      </x:c>
      <x:c r="D2272" s="27" t="str">
        <x:v>Hazard row 48 evidence open</x:v>
      </x:c>
      <x:c r="E2272" s="27" t="n">
        <x:f>IF('Hazard Register'!L48="OPEN",1,0)</x:f>
        <x:v>1</x:v>
      </x:c>
      <x:c r="F2272" s="27" t="n">
        <x:v>1</x:v>
      </x:c>
      <x:c r="G2272" s="29" t="str">
        <x:f>IF(E2272=F2272,"PASS","FAIL")</x:f>
        <x:v>PASS</x:v>
      </x:c>
    </x:row>
    <x:row r="2273" ht="18" customHeight="1">
      <x:c r="B2273" s="27" t="str">
        <x:v>A2267</x:v>
      </x:c>
      <x:c r="C2273" s="27" t="str">
        <x:v>hazard</x:v>
      </x:c>
      <x:c r="D2273" s="27" t="str">
        <x:v>Hazard row 48 zero credit</x:v>
      </x:c>
      <x:c r="E2273" s="27" t="n">
        <x:f>IF('Hazard Register'!M48=0,1,0)</x:f>
        <x:v>1</x:v>
      </x:c>
      <x:c r="F2273" s="27" t="n">
        <x:v>1</x:v>
      </x:c>
      <x:c r="G2273" s="29" t="str">
        <x:f>IF(E2273=F2273,"PASS","FAIL")</x:f>
        <x:v>PASS</x:v>
      </x:c>
    </x:row>
    <x:row r="2274" ht="18" customHeight="1">
      <x:c r="B2274" s="27" t="str">
        <x:v>A2268</x:v>
      </x:c>
      <x:c r="C2274" s="27" t="str">
        <x:v>hazard</x:v>
      </x:c>
      <x:c r="D2274" s="27" t="str">
        <x:v>Hazard row 49 severity registered</x:v>
      </x:c>
      <x:c r="E2274" s="27" t="n">
        <x:f>IF(AND('Hazard Register'!F49&gt;=1,'Hazard Register'!F49&lt;=5),1,0)</x:f>
        <x:v>1</x:v>
      </x:c>
      <x:c r="F2274" s="27" t="n">
        <x:v>1</x:v>
      </x:c>
      <x:c r="G2274" s="29" t="str">
        <x:f>IF(E2274=F2274,"PASS","FAIL")</x:f>
        <x:v>PASS</x:v>
      </x:c>
    </x:row>
    <x:row r="2275" ht="18" customHeight="1">
      <x:c r="B2275" s="27" t="str">
        <x:v>A2269</x:v>
      </x:c>
      <x:c r="C2275" s="27" t="str">
        <x:v>hazard</x:v>
      </x:c>
      <x:c r="D2275" s="27" t="str">
        <x:v>Hazard row 49 duration nonnegative</x:v>
      </x:c>
      <x:c r="E2275" s="27" t="n">
        <x:f>IF('Hazard Register'!G49&gt;=0,1,0)</x:f>
        <x:v>1</x:v>
      </x:c>
      <x:c r="F2275" s="27" t="n">
        <x:v>1</x:v>
      </x:c>
      <x:c r="G2275" s="29" t="str">
        <x:f>IF(E2275=F2275,"PASS","FAIL")</x:f>
        <x:v>PASS</x:v>
      </x:c>
    </x:row>
    <x:row r="2276" ht="18" customHeight="1">
      <x:c r="B2276" s="27" t="str">
        <x:v>A2270</x:v>
      </x:c>
      <x:c r="C2276" s="27" t="str">
        <x:v>hazard</x:v>
      </x:c>
      <x:c r="D2276" s="27" t="str">
        <x:v>Hazard row 49 threshold present</x:v>
      </x:c>
      <x:c r="E2276" s="27" t="n">
        <x:f>IF('Hazard Register'!I49&lt;&gt;"",1,0)</x:f>
        <x:v>1</x:v>
      </x:c>
      <x:c r="F2276" s="27" t="n">
        <x:v>1</x:v>
      </x:c>
      <x:c r="G2276" s="29" t="str">
        <x:f>IF(E2276=F2276,"PASS","FAIL")</x:f>
        <x:v>PASS</x:v>
      </x:c>
    </x:row>
    <x:row r="2277" ht="18" customHeight="1">
      <x:c r="B2277" s="27" t="str">
        <x:v>A2271</x:v>
      </x:c>
      <x:c r="C2277" s="27" t="str">
        <x:v>hazard</x:v>
      </x:c>
      <x:c r="D2277" s="27" t="str">
        <x:v>Hazard row 49 evidence open</x:v>
      </x:c>
      <x:c r="E2277" s="27" t="n">
        <x:f>IF('Hazard Register'!L49="OPEN",1,0)</x:f>
        <x:v>1</x:v>
      </x:c>
      <x:c r="F2277" s="27" t="n">
        <x:v>1</x:v>
      </x:c>
      <x:c r="G2277" s="29" t="str">
        <x:f>IF(E2277=F2277,"PASS","FAIL")</x:f>
        <x:v>PASS</x:v>
      </x:c>
    </x:row>
    <x:row r="2278" ht="18" customHeight="1">
      <x:c r="B2278" s="27" t="str">
        <x:v>A2272</x:v>
      </x:c>
      <x:c r="C2278" s="27" t="str">
        <x:v>hazard</x:v>
      </x:c>
      <x:c r="D2278" s="27" t="str">
        <x:v>Hazard row 49 zero credit</x:v>
      </x:c>
      <x:c r="E2278" s="27" t="n">
        <x:f>IF('Hazard Register'!M49=0,1,0)</x:f>
        <x:v>1</x:v>
      </x:c>
      <x:c r="F2278" s="27" t="n">
        <x:v>1</x:v>
      </x:c>
      <x:c r="G2278" s="29" t="str">
        <x:f>IF(E2278=F2278,"PASS","FAIL")</x:f>
        <x:v>PASS</x:v>
      </x:c>
    </x:row>
    <x:row r="2279" ht="18" customHeight="1">
      <x:c r="B2279" s="27" t="str">
        <x:v>A2273</x:v>
      </x:c>
      <x:c r="C2279" s="27" t="str">
        <x:v>hazard</x:v>
      </x:c>
      <x:c r="D2279" s="27" t="str">
        <x:v>Hazard row 50 severity registered</x:v>
      </x:c>
      <x:c r="E2279" s="27" t="n">
        <x:f>IF(AND('Hazard Register'!F50&gt;=1,'Hazard Register'!F50&lt;=5),1,0)</x:f>
        <x:v>1</x:v>
      </x:c>
      <x:c r="F2279" s="27" t="n">
        <x:v>1</x:v>
      </x:c>
      <x:c r="G2279" s="29" t="str">
        <x:f>IF(E2279=F2279,"PASS","FAIL")</x:f>
        <x:v>PASS</x:v>
      </x:c>
    </x:row>
    <x:row r="2280" ht="18" customHeight="1">
      <x:c r="B2280" s="27" t="str">
        <x:v>A2274</x:v>
      </x:c>
      <x:c r="C2280" s="27" t="str">
        <x:v>hazard</x:v>
      </x:c>
      <x:c r="D2280" s="27" t="str">
        <x:v>Hazard row 50 duration nonnegative</x:v>
      </x:c>
      <x:c r="E2280" s="27" t="n">
        <x:f>IF('Hazard Register'!G50&gt;=0,1,0)</x:f>
        <x:v>1</x:v>
      </x:c>
      <x:c r="F2280" s="27" t="n">
        <x:v>1</x:v>
      </x:c>
      <x:c r="G2280" s="29" t="str">
        <x:f>IF(E2280=F2280,"PASS","FAIL")</x:f>
        <x:v>PASS</x:v>
      </x:c>
    </x:row>
    <x:row r="2281" ht="18" customHeight="1">
      <x:c r="B2281" s="27" t="str">
        <x:v>A2275</x:v>
      </x:c>
      <x:c r="C2281" s="27" t="str">
        <x:v>hazard</x:v>
      </x:c>
      <x:c r="D2281" s="27" t="str">
        <x:v>Hazard row 50 threshold present</x:v>
      </x:c>
      <x:c r="E2281" s="27" t="n">
        <x:f>IF('Hazard Register'!I50&lt;&gt;"",1,0)</x:f>
        <x:v>1</x:v>
      </x:c>
      <x:c r="F2281" s="27" t="n">
        <x:v>1</x:v>
      </x:c>
      <x:c r="G2281" s="29" t="str">
        <x:f>IF(E2281=F2281,"PASS","FAIL")</x:f>
        <x:v>PASS</x:v>
      </x:c>
    </x:row>
    <x:row r="2282" ht="18" customHeight="1">
      <x:c r="B2282" s="27" t="str">
        <x:v>A2276</x:v>
      </x:c>
      <x:c r="C2282" s="27" t="str">
        <x:v>hazard</x:v>
      </x:c>
      <x:c r="D2282" s="27" t="str">
        <x:v>Hazard row 50 evidence open</x:v>
      </x:c>
      <x:c r="E2282" s="27" t="n">
        <x:f>IF('Hazard Register'!L50="OPEN",1,0)</x:f>
        <x:v>1</x:v>
      </x:c>
      <x:c r="F2282" s="27" t="n">
        <x:v>1</x:v>
      </x:c>
      <x:c r="G2282" s="29" t="str">
        <x:f>IF(E2282=F2282,"PASS","FAIL")</x:f>
        <x:v>PASS</x:v>
      </x:c>
    </x:row>
    <x:row r="2283" ht="18" customHeight="1">
      <x:c r="B2283" s="27" t="str">
        <x:v>A2277</x:v>
      </x:c>
      <x:c r="C2283" s="27" t="str">
        <x:v>hazard</x:v>
      </x:c>
      <x:c r="D2283" s="27" t="str">
        <x:v>Hazard row 50 zero credit</x:v>
      </x:c>
      <x:c r="E2283" s="27" t="n">
        <x:f>IF('Hazard Register'!M50=0,1,0)</x:f>
        <x:v>1</x:v>
      </x:c>
      <x:c r="F2283" s="27" t="n">
        <x:v>1</x:v>
      </x:c>
      <x:c r="G2283" s="29" t="str">
        <x:f>IF(E2283=F2283,"PASS","FAIL")</x:f>
        <x:v>PASS</x:v>
      </x:c>
    </x:row>
    <x:row r="2284" ht="18" customHeight="1">
      <x:c r="B2284" s="27" t="str">
        <x:v>A2278</x:v>
      </x:c>
      <x:c r="C2284" s="27" t="str">
        <x:v>hazard</x:v>
      </x:c>
      <x:c r="D2284" s="27" t="str">
        <x:v>Hazard row 51 severity registered</x:v>
      </x:c>
      <x:c r="E2284" s="27" t="n">
        <x:f>IF(AND('Hazard Register'!F51&gt;=1,'Hazard Register'!F51&lt;=5),1,0)</x:f>
        <x:v>1</x:v>
      </x:c>
      <x:c r="F2284" s="27" t="n">
        <x:v>1</x:v>
      </x:c>
      <x:c r="G2284" s="29" t="str">
        <x:f>IF(E2284=F2284,"PASS","FAIL")</x:f>
        <x:v>PASS</x:v>
      </x:c>
    </x:row>
    <x:row r="2285" ht="18" customHeight="1">
      <x:c r="B2285" s="27" t="str">
        <x:v>A2279</x:v>
      </x:c>
      <x:c r="C2285" s="27" t="str">
        <x:v>hazard</x:v>
      </x:c>
      <x:c r="D2285" s="27" t="str">
        <x:v>Hazard row 51 duration nonnegative</x:v>
      </x:c>
      <x:c r="E2285" s="27" t="n">
        <x:f>IF('Hazard Register'!G51&gt;=0,1,0)</x:f>
        <x:v>1</x:v>
      </x:c>
      <x:c r="F2285" s="27" t="n">
        <x:v>1</x:v>
      </x:c>
      <x:c r="G2285" s="29" t="str">
        <x:f>IF(E2285=F2285,"PASS","FAIL")</x:f>
        <x:v>PASS</x:v>
      </x:c>
    </x:row>
    <x:row r="2286" ht="18" customHeight="1">
      <x:c r="B2286" s="27" t="str">
        <x:v>A2280</x:v>
      </x:c>
      <x:c r="C2286" s="27" t="str">
        <x:v>hazard</x:v>
      </x:c>
      <x:c r="D2286" s="27" t="str">
        <x:v>Hazard row 51 threshold present</x:v>
      </x:c>
      <x:c r="E2286" s="27" t="n">
        <x:f>IF('Hazard Register'!I51&lt;&gt;"",1,0)</x:f>
        <x:v>1</x:v>
      </x:c>
      <x:c r="F2286" s="27" t="n">
        <x:v>1</x:v>
      </x:c>
      <x:c r="G2286" s="29" t="str">
        <x:f>IF(E2286=F2286,"PASS","FAIL")</x:f>
        <x:v>PASS</x:v>
      </x:c>
    </x:row>
    <x:row r="2287" ht="18" customHeight="1">
      <x:c r="B2287" s="27" t="str">
        <x:v>A2281</x:v>
      </x:c>
      <x:c r="C2287" s="27" t="str">
        <x:v>hazard</x:v>
      </x:c>
      <x:c r="D2287" s="27" t="str">
        <x:v>Hazard row 51 evidence open</x:v>
      </x:c>
      <x:c r="E2287" s="27" t="n">
        <x:f>IF('Hazard Register'!L51="OPEN",1,0)</x:f>
        <x:v>1</x:v>
      </x:c>
      <x:c r="F2287" s="27" t="n">
        <x:v>1</x:v>
      </x:c>
      <x:c r="G2287" s="29" t="str">
        <x:f>IF(E2287=F2287,"PASS","FAIL")</x:f>
        <x:v>PASS</x:v>
      </x:c>
    </x:row>
    <x:row r="2288" ht="18" customHeight="1">
      <x:c r="B2288" s="27" t="str">
        <x:v>A2282</x:v>
      </x:c>
      <x:c r="C2288" s="27" t="str">
        <x:v>hazard</x:v>
      </x:c>
      <x:c r="D2288" s="27" t="str">
        <x:v>Hazard row 51 zero credit</x:v>
      </x:c>
      <x:c r="E2288" s="27" t="n">
        <x:f>IF('Hazard Register'!M51=0,1,0)</x:f>
        <x:v>1</x:v>
      </x:c>
      <x:c r="F2288" s="27" t="n">
        <x:v>1</x:v>
      </x:c>
      <x:c r="G2288" s="29" t="str">
        <x:f>IF(E2288=F2288,"PASS","FAIL")</x:f>
        <x:v>PASS</x:v>
      </x:c>
    </x:row>
    <x:row r="2289" ht="18" customHeight="1">
      <x:c r="B2289" s="27" t="str">
        <x:v>A2283</x:v>
      </x:c>
      <x:c r="C2289" s="27" t="str">
        <x:v>hazard</x:v>
      </x:c>
      <x:c r="D2289" s="27" t="str">
        <x:v>Hazard row 52 severity registered</x:v>
      </x:c>
      <x:c r="E2289" s="27" t="n">
        <x:f>IF(AND('Hazard Register'!F52&gt;=1,'Hazard Register'!F52&lt;=5),1,0)</x:f>
        <x:v>1</x:v>
      </x:c>
      <x:c r="F2289" s="27" t="n">
        <x:v>1</x:v>
      </x:c>
      <x:c r="G2289" s="29" t="str">
        <x:f>IF(E2289=F2289,"PASS","FAIL")</x:f>
        <x:v>PASS</x:v>
      </x:c>
    </x:row>
    <x:row r="2290" ht="18" customHeight="1">
      <x:c r="B2290" s="27" t="str">
        <x:v>A2284</x:v>
      </x:c>
      <x:c r="C2290" s="27" t="str">
        <x:v>hazard</x:v>
      </x:c>
      <x:c r="D2290" s="27" t="str">
        <x:v>Hazard row 52 duration nonnegative</x:v>
      </x:c>
      <x:c r="E2290" s="27" t="n">
        <x:f>IF('Hazard Register'!G52&gt;=0,1,0)</x:f>
        <x:v>1</x:v>
      </x:c>
      <x:c r="F2290" s="27" t="n">
        <x:v>1</x:v>
      </x:c>
      <x:c r="G2290" s="29" t="str">
        <x:f>IF(E2290=F2290,"PASS","FAIL")</x:f>
        <x:v>PASS</x:v>
      </x:c>
    </x:row>
    <x:row r="2291" ht="18" customHeight="1">
      <x:c r="B2291" s="27" t="str">
        <x:v>A2285</x:v>
      </x:c>
      <x:c r="C2291" s="27" t="str">
        <x:v>hazard</x:v>
      </x:c>
      <x:c r="D2291" s="27" t="str">
        <x:v>Hazard row 52 threshold present</x:v>
      </x:c>
      <x:c r="E2291" s="27" t="n">
        <x:f>IF('Hazard Register'!I52&lt;&gt;"",1,0)</x:f>
        <x:v>1</x:v>
      </x:c>
      <x:c r="F2291" s="27" t="n">
        <x:v>1</x:v>
      </x:c>
      <x:c r="G2291" s="29" t="str">
        <x:f>IF(E2291=F2291,"PASS","FAIL")</x:f>
        <x:v>PASS</x:v>
      </x:c>
    </x:row>
    <x:row r="2292" ht="18" customHeight="1">
      <x:c r="B2292" s="27" t="str">
        <x:v>A2286</x:v>
      </x:c>
      <x:c r="C2292" s="27" t="str">
        <x:v>hazard</x:v>
      </x:c>
      <x:c r="D2292" s="27" t="str">
        <x:v>Hazard row 52 evidence open</x:v>
      </x:c>
      <x:c r="E2292" s="27" t="n">
        <x:f>IF('Hazard Register'!L52="OPEN",1,0)</x:f>
        <x:v>1</x:v>
      </x:c>
      <x:c r="F2292" s="27" t="n">
        <x:v>1</x:v>
      </x:c>
      <x:c r="G2292" s="29" t="str">
        <x:f>IF(E2292=F2292,"PASS","FAIL")</x:f>
        <x:v>PASS</x:v>
      </x:c>
    </x:row>
    <x:row r="2293" ht="18" customHeight="1">
      <x:c r="B2293" s="27" t="str">
        <x:v>A2287</x:v>
      </x:c>
      <x:c r="C2293" s="27" t="str">
        <x:v>hazard</x:v>
      </x:c>
      <x:c r="D2293" s="27" t="str">
        <x:v>Hazard row 52 zero credit</x:v>
      </x:c>
      <x:c r="E2293" s="27" t="n">
        <x:f>IF('Hazard Register'!M52=0,1,0)</x:f>
        <x:v>1</x:v>
      </x:c>
      <x:c r="F2293" s="27" t="n">
        <x:v>1</x:v>
      </x:c>
      <x:c r="G2293" s="29" t="str">
        <x:f>IF(E2293=F2293,"PASS","FAIL")</x:f>
        <x:v>PASS</x:v>
      </x:c>
    </x:row>
    <x:row r="2294" ht="18" customHeight="1">
      <x:c r="B2294" s="27" t="str">
        <x:v>A2288</x:v>
      </x:c>
      <x:c r="C2294" s="27" t="str">
        <x:v>hazard</x:v>
      </x:c>
      <x:c r="D2294" s="27" t="str">
        <x:v>Hazard row 53 severity registered</x:v>
      </x:c>
      <x:c r="E2294" s="27" t="n">
        <x:f>IF(AND('Hazard Register'!F53&gt;=1,'Hazard Register'!F53&lt;=5),1,0)</x:f>
        <x:v>1</x:v>
      </x:c>
      <x:c r="F2294" s="27" t="n">
        <x:v>1</x:v>
      </x:c>
      <x:c r="G2294" s="29" t="str">
        <x:f>IF(E2294=F2294,"PASS","FAIL")</x:f>
        <x:v>PASS</x:v>
      </x:c>
    </x:row>
    <x:row r="2295" ht="18" customHeight="1">
      <x:c r="B2295" s="27" t="str">
        <x:v>A2289</x:v>
      </x:c>
      <x:c r="C2295" s="27" t="str">
        <x:v>hazard</x:v>
      </x:c>
      <x:c r="D2295" s="27" t="str">
        <x:v>Hazard row 53 duration nonnegative</x:v>
      </x:c>
      <x:c r="E2295" s="27" t="n">
        <x:f>IF('Hazard Register'!G53&gt;=0,1,0)</x:f>
        <x:v>1</x:v>
      </x:c>
      <x:c r="F2295" s="27" t="n">
        <x:v>1</x:v>
      </x:c>
      <x:c r="G2295" s="29" t="str">
        <x:f>IF(E2295=F2295,"PASS","FAIL")</x:f>
        <x:v>PASS</x:v>
      </x:c>
    </x:row>
    <x:row r="2296" ht="18" customHeight="1">
      <x:c r="B2296" s="27" t="str">
        <x:v>A2290</x:v>
      </x:c>
      <x:c r="C2296" s="27" t="str">
        <x:v>hazard</x:v>
      </x:c>
      <x:c r="D2296" s="27" t="str">
        <x:v>Hazard row 53 threshold present</x:v>
      </x:c>
      <x:c r="E2296" s="27" t="n">
        <x:f>IF('Hazard Register'!I53&lt;&gt;"",1,0)</x:f>
        <x:v>1</x:v>
      </x:c>
      <x:c r="F2296" s="27" t="n">
        <x:v>1</x:v>
      </x:c>
      <x:c r="G2296" s="29" t="str">
        <x:f>IF(E2296=F2296,"PASS","FAIL")</x:f>
        <x:v>PASS</x:v>
      </x:c>
    </x:row>
    <x:row r="2297" ht="18" customHeight="1">
      <x:c r="B2297" s="27" t="str">
        <x:v>A2291</x:v>
      </x:c>
      <x:c r="C2297" s="27" t="str">
        <x:v>hazard</x:v>
      </x:c>
      <x:c r="D2297" s="27" t="str">
        <x:v>Hazard row 53 evidence open</x:v>
      </x:c>
      <x:c r="E2297" s="27" t="n">
        <x:f>IF('Hazard Register'!L53="OPEN",1,0)</x:f>
        <x:v>1</x:v>
      </x:c>
      <x:c r="F2297" s="27" t="n">
        <x:v>1</x:v>
      </x:c>
      <x:c r="G2297" s="29" t="str">
        <x:f>IF(E2297=F2297,"PASS","FAIL")</x:f>
        <x:v>PASS</x:v>
      </x:c>
    </x:row>
    <x:row r="2298" ht="18" customHeight="1">
      <x:c r="B2298" s="27" t="str">
        <x:v>A2292</x:v>
      </x:c>
      <x:c r="C2298" s="27" t="str">
        <x:v>hazard</x:v>
      </x:c>
      <x:c r="D2298" s="27" t="str">
        <x:v>Hazard row 53 zero credit</x:v>
      </x:c>
      <x:c r="E2298" s="27" t="n">
        <x:f>IF('Hazard Register'!M53=0,1,0)</x:f>
        <x:v>1</x:v>
      </x:c>
      <x:c r="F2298" s="27" t="n">
        <x:v>1</x:v>
      </x:c>
      <x:c r="G2298" s="29" t="str">
        <x:f>IF(E2298=F2298,"PASS","FAIL")</x:f>
        <x:v>PASS</x:v>
      </x:c>
    </x:row>
    <x:row r="2299" ht="18" customHeight="1">
      <x:c r="B2299" s="27" t="str">
        <x:v>A2293</x:v>
      </x:c>
      <x:c r="C2299" s="27" t="str">
        <x:v>hazard</x:v>
      </x:c>
      <x:c r="D2299" s="27" t="str">
        <x:v>Hazard row 54 severity registered</x:v>
      </x:c>
      <x:c r="E2299" s="27" t="n">
        <x:f>IF(AND('Hazard Register'!F54&gt;=1,'Hazard Register'!F54&lt;=5),1,0)</x:f>
        <x:v>1</x:v>
      </x:c>
      <x:c r="F2299" s="27" t="n">
        <x:v>1</x:v>
      </x:c>
      <x:c r="G2299" s="29" t="str">
        <x:f>IF(E2299=F2299,"PASS","FAIL")</x:f>
        <x:v>PASS</x:v>
      </x:c>
    </x:row>
    <x:row r="2300" ht="18" customHeight="1">
      <x:c r="B2300" s="27" t="str">
        <x:v>A2294</x:v>
      </x:c>
      <x:c r="C2300" s="27" t="str">
        <x:v>hazard</x:v>
      </x:c>
      <x:c r="D2300" s="27" t="str">
        <x:v>Hazard row 54 duration nonnegative</x:v>
      </x:c>
      <x:c r="E2300" s="27" t="n">
        <x:f>IF('Hazard Register'!G54&gt;=0,1,0)</x:f>
        <x:v>1</x:v>
      </x:c>
      <x:c r="F2300" s="27" t="n">
        <x:v>1</x:v>
      </x:c>
      <x:c r="G2300" s="29" t="str">
        <x:f>IF(E2300=F2300,"PASS","FAIL")</x:f>
        <x:v>PASS</x:v>
      </x:c>
    </x:row>
    <x:row r="2301" ht="18" customHeight="1">
      <x:c r="B2301" s="27" t="str">
        <x:v>A2295</x:v>
      </x:c>
      <x:c r="C2301" s="27" t="str">
        <x:v>hazard</x:v>
      </x:c>
      <x:c r="D2301" s="27" t="str">
        <x:v>Hazard row 54 threshold present</x:v>
      </x:c>
      <x:c r="E2301" s="27" t="n">
        <x:f>IF('Hazard Register'!I54&lt;&gt;"",1,0)</x:f>
        <x:v>1</x:v>
      </x:c>
      <x:c r="F2301" s="27" t="n">
        <x:v>1</x:v>
      </x:c>
      <x:c r="G2301" s="29" t="str">
        <x:f>IF(E2301=F2301,"PASS","FAIL")</x:f>
        <x:v>PASS</x:v>
      </x:c>
    </x:row>
    <x:row r="2302" ht="18" customHeight="1">
      <x:c r="B2302" s="27" t="str">
        <x:v>A2296</x:v>
      </x:c>
      <x:c r="C2302" s="27" t="str">
        <x:v>hazard</x:v>
      </x:c>
      <x:c r="D2302" s="27" t="str">
        <x:v>Hazard row 54 evidence open</x:v>
      </x:c>
      <x:c r="E2302" s="27" t="n">
        <x:f>IF('Hazard Register'!L54="OPEN",1,0)</x:f>
        <x:v>1</x:v>
      </x:c>
      <x:c r="F2302" s="27" t="n">
        <x:v>1</x:v>
      </x:c>
      <x:c r="G2302" s="29" t="str">
        <x:f>IF(E2302=F2302,"PASS","FAIL")</x:f>
        <x:v>PASS</x:v>
      </x:c>
    </x:row>
    <x:row r="2303" ht="18" customHeight="1">
      <x:c r="B2303" s="27" t="str">
        <x:v>A2297</x:v>
      </x:c>
      <x:c r="C2303" s="27" t="str">
        <x:v>hazard</x:v>
      </x:c>
      <x:c r="D2303" s="27" t="str">
        <x:v>Hazard row 54 zero credit</x:v>
      </x:c>
      <x:c r="E2303" s="27" t="n">
        <x:f>IF('Hazard Register'!M54=0,1,0)</x:f>
        <x:v>1</x:v>
      </x:c>
      <x:c r="F2303" s="27" t="n">
        <x:v>1</x:v>
      </x:c>
      <x:c r="G2303" s="29" t="str">
        <x:f>IF(E2303=F2303,"PASS","FAIL")</x:f>
        <x:v>PASS</x:v>
      </x:c>
    </x:row>
    <x:row r="2304" ht="18" customHeight="1">
      <x:c r="B2304" s="27" t="str">
        <x:v>A2298</x:v>
      </x:c>
      <x:c r="C2304" s="27" t="str">
        <x:v>hazard</x:v>
      </x:c>
      <x:c r="D2304" s="27" t="str">
        <x:v>Hazard row 55 severity registered</x:v>
      </x:c>
      <x:c r="E2304" s="27" t="n">
        <x:f>IF(AND('Hazard Register'!F55&gt;=1,'Hazard Register'!F55&lt;=5),1,0)</x:f>
        <x:v>1</x:v>
      </x:c>
      <x:c r="F2304" s="27" t="n">
        <x:v>1</x:v>
      </x:c>
      <x:c r="G2304" s="29" t="str">
        <x:f>IF(E2304=F2304,"PASS","FAIL")</x:f>
        <x:v>PASS</x:v>
      </x:c>
    </x:row>
    <x:row r="2305" ht="18" customHeight="1">
      <x:c r="B2305" s="27" t="str">
        <x:v>A2299</x:v>
      </x:c>
      <x:c r="C2305" s="27" t="str">
        <x:v>hazard</x:v>
      </x:c>
      <x:c r="D2305" s="27" t="str">
        <x:v>Hazard row 55 duration nonnegative</x:v>
      </x:c>
      <x:c r="E2305" s="27" t="n">
        <x:f>IF('Hazard Register'!G55&gt;=0,1,0)</x:f>
        <x:v>1</x:v>
      </x:c>
      <x:c r="F2305" s="27" t="n">
        <x:v>1</x:v>
      </x:c>
      <x:c r="G2305" s="29" t="str">
        <x:f>IF(E2305=F2305,"PASS","FAIL")</x:f>
        <x:v>PASS</x:v>
      </x:c>
    </x:row>
    <x:row r="2306" ht="18" customHeight="1">
      <x:c r="B2306" s="27" t="str">
        <x:v>A2300</x:v>
      </x:c>
      <x:c r="C2306" s="27" t="str">
        <x:v>hazard</x:v>
      </x:c>
      <x:c r="D2306" s="27" t="str">
        <x:v>Hazard row 55 threshold present</x:v>
      </x:c>
      <x:c r="E2306" s="27" t="n">
        <x:f>IF('Hazard Register'!I55&lt;&gt;"",1,0)</x:f>
        <x:v>1</x:v>
      </x:c>
      <x:c r="F2306" s="27" t="n">
        <x:v>1</x:v>
      </x:c>
      <x:c r="G2306" s="29" t="str">
        <x:f>IF(E2306=F2306,"PASS","FAIL")</x:f>
        <x:v>PASS</x:v>
      </x:c>
    </x:row>
    <x:row r="2307" ht="18" customHeight="1">
      <x:c r="B2307" s="27" t="str">
        <x:v>A2301</x:v>
      </x:c>
      <x:c r="C2307" s="27" t="str">
        <x:v>hazard</x:v>
      </x:c>
      <x:c r="D2307" s="27" t="str">
        <x:v>Hazard row 55 evidence open</x:v>
      </x:c>
      <x:c r="E2307" s="27" t="n">
        <x:f>IF('Hazard Register'!L55="OPEN",1,0)</x:f>
        <x:v>1</x:v>
      </x:c>
      <x:c r="F2307" s="27" t="n">
        <x:v>1</x:v>
      </x:c>
      <x:c r="G2307" s="29" t="str">
        <x:f>IF(E2307=F2307,"PASS","FAIL")</x:f>
        <x:v>PASS</x:v>
      </x:c>
    </x:row>
    <x:row r="2308" ht="18" customHeight="1">
      <x:c r="B2308" s="27" t="str">
        <x:v>A2302</x:v>
      </x:c>
      <x:c r="C2308" s="27" t="str">
        <x:v>hazard</x:v>
      </x:c>
      <x:c r="D2308" s="27" t="str">
        <x:v>Hazard row 55 zero credit</x:v>
      </x:c>
      <x:c r="E2308" s="27" t="n">
        <x:f>IF('Hazard Register'!M55=0,1,0)</x:f>
        <x:v>1</x:v>
      </x:c>
      <x:c r="F2308" s="27" t="n">
        <x:v>1</x:v>
      </x:c>
      <x:c r="G2308" s="29" t="str">
        <x:f>IF(E2308=F2308,"PASS","FAIL")</x:f>
        <x:v>PASS</x:v>
      </x:c>
    </x:row>
    <x:row r="2309" ht="18" customHeight="1">
      <x:c r="B2309" s="27" t="str">
        <x:v>A2303</x:v>
      </x:c>
      <x:c r="C2309" s="27" t="str">
        <x:v>hazard</x:v>
      </x:c>
      <x:c r="D2309" s="27" t="str">
        <x:v>Hazard row 56 severity registered</x:v>
      </x:c>
      <x:c r="E2309" s="27" t="n">
        <x:f>IF(AND('Hazard Register'!F56&gt;=1,'Hazard Register'!F56&lt;=5),1,0)</x:f>
        <x:v>1</x:v>
      </x:c>
      <x:c r="F2309" s="27" t="n">
        <x:v>1</x:v>
      </x:c>
      <x:c r="G2309" s="29" t="str">
        <x:f>IF(E2309=F2309,"PASS","FAIL")</x:f>
        <x:v>PASS</x:v>
      </x:c>
    </x:row>
    <x:row r="2310" ht="18" customHeight="1">
      <x:c r="B2310" s="27" t="str">
        <x:v>A2304</x:v>
      </x:c>
      <x:c r="C2310" s="27" t="str">
        <x:v>hazard</x:v>
      </x:c>
      <x:c r="D2310" s="27" t="str">
        <x:v>Hazard row 56 duration nonnegative</x:v>
      </x:c>
      <x:c r="E2310" s="27" t="n">
        <x:f>IF('Hazard Register'!G56&gt;=0,1,0)</x:f>
        <x:v>1</x:v>
      </x:c>
      <x:c r="F2310" s="27" t="n">
        <x:v>1</x:v>
      </x:c>
      <x:c r="G2310" s="29" t="str">
        <x:f>IF(E2310=F2310,"PASS","FAIL")</x:f>
        <x:v>PASS</x:v>
      </x:c>
    </x:row>
    <x:row r="2311" ht="18" customHeight="1">
      <x:c r="B2311" s="27" t="str">
        <x:v>A2305</x:v>
      </x:c>
      <x:c r="C2311" s="27" t="str">
        <x:v>hazard</x:v>
      </x:c>
      <x:c r="D2311" s="27" t="str">
        <x:v>Hazard row 56 threshold present</x:v>
      </x:c>
      <x:c r="E2311" s="27" t="n">
        <x:f>IF('Hazard Register'!I56&lt;&gt;"",1,0)</x:f>
        <x:v>1</x:v>
      </x:c>
      <x:c r="F2311" s="27" t="n">
        <x:v>1</x:v>
      </x:c>
      <x:c r="G2311" s="29" t="str">
        <x:f>IF(E2311=F2311,"PASS","FAIL")</x:f>
        <x:v>PASS</x:v>
      </x:c>
    </x:row>
    <x:row r="2312" ht="18" customHeight="1">
      <x:c r="B2312" s="27" t="str">
        <x:v>A2306</x:v>
      </x:c>
      <x:c r="C2312" s="27" t="str">
        <x:v>hazard</x:v>
      </x:c>
      <x:c r="D2312" s="27" t="str">
        <x:v>Hazard row 56 evidence open</x:v>
      </x:c>
      <x:c r="E2312" s="27" t="n">
        <x:f>IF('Hazard Register'!L56="OPEN",1,0)</x:f>
        <x:v>1</x:v>
      </x:c>
      <x:c r="F2312" s="27" t="n">
        <x:v>1</x:v>
      </x:c>
      <x:c r="G2312" s="29" t="str">
        <x:f>IF(E2312=F2312,"PASS","FAIL")</x:f>
        <x:v>PASS</x:v>
      </x:c>
    </x:row>
    <x:row r="2313" ht="18" customHeight="1">
      <x:c r="B2313" s="27" t="str">
        <x:v>A2307</x:v>
      </x:c>
      <x:c r="C2313" s="27" t="str">
        <x:v>hazard</x:v>
      </x:c>
      <x:c r="D2313" s="27" t="str">
        <x:v>Hazard row 56 zero credit</x:v>
      </x:c>
      <x:c r="E2313" s="27" t="n">
        <x:f>IF('Hazard Register'!M56=0,1,0)</x:f>
        <x:v>1</x:v>
      </x:c>
      <x:c r="F2313" s="27" t="n">
        <x:v>1</x:v>
      </x:c>
      <x:c r="G2313" s="29" t="str">
        <x:f>IF(E2313=F2313,"PASS","FAIL")</x:f>
        <x:v>PASS</x:v>
      </x:c>
    </x:row>
    <x:row r="2314" ht="18" customHeight="1">
      <x:c r="B2314" s="27" t="str">
        <x:v>A2308</x:v>
      </x:c>
      <x:c r="C2314" s="27" t="str">
        <x:v>hazard</x:v>
      </x:c>
      <x:c r="D2314" s="27" t="str">
        <x:v>Hazard row 57 severity registered</x:v>
      </x:c>
      <x:c r="E2314" s="27" t="n">
        <x:f>IF(AND('Hazard Register'!F57&gt;=1,'Hazard Register'!F57&lt;=5),1,0)</x:f>
        <x:v>1</x:v>
      </x:c>
      <x:c r="F2314" s="27" t="n">
        <x:v>1</x:v>
      </x:c>
      <x:c r="G2314" s="29" t="str">
        <x:f>IF(E2314=F2314,"PASS","FAIL")</x:f>
        <x:v>PASS</x:v>
      </x:c>
    </x:row>
    <x:row r="2315" ht="18" customHeight="1">
      <x:c r="B2315" s="27" t="str">
        <x:v>A2309</x:v>
      </x:c>
      <x:c r="C2315" s="27" t="str">
        <x:v>hazard</x:v>
      </x:c>
      <x:c r="D2315" s="27" t="str">
        <x:v>Hazard row 57 duration nonnegative</x:v>
      </x:c>
      <x:c r="E2315" s="27" t="n">
        <x:f>IF('Hazard Register'!G57&gt;=0,1,0)</x:f>
        <x:v>1</x:v>
      </x:c>
      <x:c r="F2315" s="27" t="n">
        <x:v>1</x:v>
      </x:c>
      <x:c r="G2315" s="29" t="str">
        <x:f>IF(E2315=F2315,"PASS","FAIL")</x:f>
        <x:v>PASS</x:v>
      </x:c>
    </x:row>
    <x:row r="2316" ht="18" customHeight="1">
      <x:c r="B2316" s="27" t="str">
        <x:v>A2310</x:v>
      </x:c>
      <x:c r="C2316" s="27" t="str">
        <x:v>hazard</x:v>
      </x:c>
      <x:c r="D2316" s="27" t="str">
        <x:v>Hazard row 57 threshold present</x:v>
      </x:c>
      <x:c r="E2316" s="27" t="n">
        <x:f>IF('Hazard Register'!I57&lt;&gt;"",1,0)</x:f>
        <x:v>1</x:v>
      </x:c>
      <x:c r="F2316" s="27" t="n">
        <x:v>1</x:v>
      </x:c>
      <x:c r="G2316" s="29" t="str">
        <x:f>IF(E2316=F2316,"PASS","FAIL")</x:f>
        <x:v>PASS</x:v>
      </x:c>
    </x:row>
    <x:row r="2317" ht="18" customHeight="1">
      <x:c r="B2317" s="27" t="str">
        <x:v>A2311</x:v>
      </x:c>
      <x:c r="C2317" s="27" t="str">
        <x:v>hazard</x:v>
      </x:c>
      <x:c r="D2317" s="27" t="str">
        <x:v>Hazard row 57 evidence open</x:v>
      </x:c>
      <x:c r="E2317" s="27" t="n">
        <x:f>IF('Hazard Register'!L57="OPEN",1,0)</x:f>
        <x:v>1</x:v>
      </x:c>
      <x:c r="F2317" s="27" t="n">
        <x:v>1</x:v>
      </x:c>
      <x:c r="G2317" s="29" t="str">
        <x:f>IF(E2317=F2317,"PASS","FAIL")</x:f>
        <x:v>PASS</x:v>
      </x:c>
    </x:row>
    <x:row r="2318" ht="18" customHeight="1">
      <x:c r="B2318" s="27" t="str">
        <x:v>A2312</x:v>
      </x:c>
      <x:c r="C2318" s="27" t="str">
        <x:v>hazard</x:v>
      </x:c>
      <x:c r="D2318" s="27" t="str">
        <x:v>Hazard row 57 zero credit</x:v>
      </x:c>
      <x:c r="E2318" s="27" t="n">
        <x:f>IF('Hazard Register'!M57=0,1,0)</x:f>
        <x:v>1</x:v>
      </x:c>
      <x:c r="F2318" s="27" t="n">
        <x:v>1</x:v>
      </x:c>
      <x:c r="G2318" s="29" t="str">
        <x:f>IF(E2318=F2318,"PASS","FAIL")</x:f>
        <x:v>PASS</x:v>
      </x:c>
    </x:row>
    <x:row r="2319" ht="18" customHeight="1">
      <x:c r="B2319" s="27" t="str">
        <x:v>A2313</x:v>
      </x:c>
      <x:c r="C2319" s="27" t="str">
        <x:v>hazard</x:v>
      </x:c>
      <x:c r="D2319" s="27" t="str">
        <x:v>Hazard row 58 severity registered</x:v>
      </x:c>
      <x:c r="E2319" s="27" t="n">
        <x:f>IF(AND('Hazard Register'!F58&gt;=1,'Hazard Register'!F58&lt;=5),1,0)</x:f>
        <x:v>1</x:v>
      </x:c>
      <x:c r="F2319" s="27" t="n">
        <x:v>1</x:v>
      </x:c>
      <x:c r="G2319" s="29" t="str">
        <x:f>IF(E2319=F2319,"PASS","FAIL")</x:f>
        <x:v>PASS</x:v>
      </x:c>
    </x:row>
    <x:row r="2320" ht="18" customHeight="1">
      <x:c r="B2320" s="27" t="str">
        <x:v>A2314</x:v>
      </x:c>
      <x:c r="C2320" s="27" t="str">
        <x:v>hazard</x:v>
      </x:c>
      <x:c r="D2320" s="27" t="str">
        <x:v>Hazard row 58 duration nonnegative</x:v>
      </x:c>
      <x:c r="E2320" s="27" t="n">
        <x:f>IF('Hazard Register'!G58&gt;=0,1,0)</x:f>
        <x:v>1</x:v>
      </x:c>
      <x:c r="F2320" s="27" t="n">
        <x:v>1</x:v>
      </x:c>
      <x:c r="G2320" s="29" t="str">
        <x:f>IF(E2320=F2320,"PASS","FAIL")</x:f>
        <x:v>PASS</x:v>
      </x:c>
    </x:row>
    <x:row r="2321" ht="18" customHeight="1">
      <x:c r="B2321" s="27" t="str">
        <x:v>A2315</x:v>
      </x:c>
      <x:c r="C2321" s="27" t="str">
        <x:v>hazard</x:v>
      </x:c>
      <x:c r="D2321" s="27" t="str">
        <x:v>Hazard row 58 threshold present</x:v>
      </x:c>
      <x:c r="E2321" s="27" t="n">
        <x:f>IF('Hazard Register'!I58&lt;&gt;"",1,0)</x:f>
        <x:v>1</x:v>
      </x:c>
      <x:c r="F2321" s="27" t="n">
        <x:v>1</x:v>
      </x:c>
      <x:c r="G2321" s="29" t="str">
        <x:f>IF(E2321=F2321,"PASS","FAIL")</x:f>
        <x:v>PASS</x:v>
      </x:c>
    </x:row>
    <x:row r="2322" ht="18" customHeight="1">
      <x:c r="B2322" s="27" t="str">
        <x:v>A2316</x:v>
      </x:c>
      <x:c r="C2322" s="27" t="str">
        <x:v>hazard</x:v>
      </x:c>
      <x:c r="D2322" s="27" t="str">
        <x:v>Hazard row 58 evidence open</x:v>
      </x:c>
      <x:c r="E2322" s="27" t="n">
        <x:f>IF('Hazard Register'!L58="OPEN",1,0)</x:f>
        <x:v>1</x:v>
      </x:c>
      <x:c r="F2322" s="27" t="n">
        <x:v>1</x:v>
      </x:c>
      <x:c r="G2322" s="29" t="str">
        <x:f>IF(E2322=F2322,"PASS","FAIL")</x:f>
        <x:v>PASS</x:v>
      </x:c>
    </x:row>
    <x:row r="2323" ht="18" customHeight="1">
      <x:c r="B2323" s="27" t="str">
        <x:v>A2317</x:v>
      </x:c>
      <x:c r="C2323" s="27" t="str">
        <x:v>hazard</x:v>
      </x:c>
      <x:c r="D2323" s="27" t="str">
        <x:v>Hazard row 58 zero credit</x:v>
      </x:c>
      <x:c r="E2323" s="27" t="n">
        <x:f>IF('Hazard Register'!M58=0,1,0)</x:f>
        <x:v>1</x:v>
      </x:c>
      <x:c r="F2323" s="27" t="n">
        <x:v>1</x:v>
      </x:c>
      <x:c r="G2323" s="29" t="str">
        <x:f>IF(E2323=F2323,"PASS","FAIL")</x:f>
        <x:v>PASS</x:v>
      </x:c>
    </x:row>
    <x:row r="2324" ht="18" customHeight="1">
      <x:c r="B2324" s="27" t="str">
        <x:v>A2318</x:v>
      </x:c>
      <x:c r="C2324" s="27" t="str">
        <x:v>hazard</x:v>
      </x:c>
      <x:c r="D2324" s="27" t="str">
        <x:v>Hazard row 59 severity registered</x:v>
      </x:c>
      <x:c r="E2324" s="27" t="n">
        <x:f>IF(AND('Hazard Register'!F59&gt;=1,'Hazard Register'!F59&lt;=5),1,0)</x:f>
        <x:v>1</x:v>
      </x:c>
      <x:c r="F2324" s="27" t="n">
        <x:v>1</x:v>
      </x:c>
      <x:c r="G2324" s="29" t="str">
        <x:f>IF(E2324=F2324,"PASS","FAIL")</x:f>
        <x:v>PASS</x:v>
      </x:c>
    </x:row>
    <x:row r="2325" ht="18" customHeight="1">
      <x:c r="B2325" s="27" t="str">
        <x:v>A2319</x:v>
      </x:c>
      <x:c r="C2325" s="27" t="str">
        <x:v>hazard</x:v>
      </x:c>
      <x:c r="D2325" s="27" t="str">
        <x:v>Hazard row 59 duration nonnegative</x:v>
      </x:c>
      <x:c r="E2325" s="27" t="n">
        <x:f>IF('Hazard Register'!G59&gt;=0,1,0)</x:f>
        <x:v>1</x:v>
      </x:c>
      <x:c r="F2325" s="27" t="n">
        <x:v>1</x:v>
      </x:c>
      <x:c r="G2325" s="29" t="str">
        <x:f>IF(E2325=F2325,"PASS","FAIL")</x:f>
        <x:v>PASS</x:v>
      </x:c>
    </x:row>
    <x:row r="2326" ht="18" customHeight="1">
      <x:c r="B2326" s="27" t="str">
        <x:v>A2320</x:v>
      </x:c>
      <x:c r="C2326" s="27" t="str">
        <x:v>hazard</x:v>
      </x:c>
      <x:c r="D2326" s="27" t="str">
        <x:v>Hazard row 59 threshold present</x:v>
      </x:c>
      <x:c r="E2326" s="27" t="n">
        <x:f>IF('Hazard Register'!I59&lt;&gt;"",1,0)</x:f>
        <x:v>1</x:v>
      </x:c>
      <x:c r="F2326" s="27" t="n">
        <x:v>1</x:v>
      </x:c>
      <x:c r="G2326" s="29" t="str">
        <x:f>IF(E2326=F2326,"PASS","FAIL")</x:f>
        <x:v>PASS</x:v>
      </x:c>
    </x:row>
    <x:row r="2327" ht="18" customHeight="1">
      <x:c r="B2327" s="27" t="str">
        <x:v>A2321</x:v>
      </x:c>
      <x:c r="C2327" s="27" t="str">
        <x:v>hazard</x:v>
      </x:c>
      <x:c r="D2327" s="27" t="str">
        <x:v>Hazard row 59 evidence open</x:v>
      </x:c>
      <x:c r="E2327" s="27" t="n">
        <x:f>IF('Hazard Register'!L59="OPEN",1,0)</x:f>
        <x:v>1</x:v>
      </x:c>
      <x:c r="F2327" s="27" t="n">
        <x:v>1</x:v>
      </x:c>
      <x:c r="G2327" s="29" t="str">
        <x:f>IF(E2327=F2327,"PASS","FAIL")</x:f>
        <x:v>PASS</x:v>
      </x:c>
    </x:row>
    <x:row r="2328" ht="18" customHeight="1">
      <x:c r="B2328" s="27" t="str">
        <x:v>A2322</x:v>
      </x:c>
      <x:c r="C2328" s="27" t="str">
        <x:v>hazard</x:v>
      </x:c>
      <x:c r="D2328" s="27" t="str">
        <x:v>Hazard row 59 zero credit</x:v>
      </x:c>
      <x:c r="E2328" s="27" t="n">
        <x:f>IF('Hazard Register'!M59=0,1,0)</x:f>
        <x:v>1</x:v>
      </x:c>
      <x:c r="F2328" s="27" t="n">
        <x:v>1</x:v>
      </x:c>
      <x:c r="G2328" s="29" t="str">
        <x:f>IF(E2328=F2328,"PASS","FAIL")</x:f>
        <x:v>PASS</x:v>
      </x:c>
    </x:row>
    <x:row r="2329" ht="18" customHeight="1">
      <x:c r="B2329" s="27" t="str">
        <x:v>A2323</x:v>
      </x:c>
      <x:c r="C2329" s="27" t="str">
        <x:v>hazard</x:v>
      </x:c>
      <x:c r="D2329" s="27" t="str">
        <x:v>Hazard row 60 severity registered</x:v>
      </x:c>
      <x:c r="E2329" s="27" t="n">
        <x:f>IF(AND('Hazard Register'!F60&gt;=1,'Hazard Register'!F60&lt;=5),1,0)</x:f>
        <x:v>1</x:v>
      </x:c>
      <x:c r="F2329" s="27" t="n">
        <x:v>1</x:v>
      </x:c>
      <x:c r="G2329" s="29" t="str">
        <x:f>IF(E2329=F2329,"PASS","FAIL")</x:f>
        <x:v>PASS</x:v>
      </x:c>
    </x:row>
    <x:row r="2330" ht="18" customHeight="1">
      <x:c r="B2330" s="27" t="str">
        <x:v>A2324</x:v>
      </x:c>
      <x:c r="C2330" s="27" t="str">
        <x:v>hazard</x:v>
      </x:c>
      <x:c r="D2330" s="27" t="str">
        <x:v>Hazard row 60 duration nonnegative</x:v>
      </x:c>
      <x:c r="E2330" s="27" t="n">
        <x:f>IF('Hazard Register'!G60&gt;=0,1,0)</x:f>
        <x:v>1</x:v>
      </x:c>
      <x:c r="F2330" s="27" t="n">
        <x:v>1</x:v>
      </x:c>
      <x:c r="G2330" s="29" t="str">
        <x:f>IF(E2330=F2330,"PASS","FAIL")</x:f>
        <x:v>PASS</x:v>
      </x:c>
    </x:row>
    <x:row r="2331" ht="18" customHeight="1">
      <x:c r="B2331" s="27" t="str">
        <x:v>A2325</x:v>
      </x:c>
      <x:c r="C2331" s="27" t="str">
        <x:v>hazard</x:v>
      </x:c>
      <x:c r="D2331" s="27" t="str">
        <x:v>Hazard row 60 threshold present</x:v>
      </x:c>
      <x:c r="E2331" s="27" t="n">
        <x:f>IF('Hazard Register'!I60&lt;&gt;"",1,0)</x:f>
        <x:v>1</x:v>
      </x:c>
      <x:c r="F2331" s="27" t="n">
        <x:v>1</x:v>
      </x:c>
      <x:c r="G2331" s="29" t="str">
        <x:f>IF(E2331=F2331,"PASS","FAIL")</x:f>
        <x:v>PASS</x:v>
      </x:c>
    </x:row>
    <x:row r="2332" ht="18" customHeight="1">
      <x:c r="B2332" s="27" t="str">
        <x:v>A2326</x:v>
      </x:c>
      <x:c r="C2332" s="27" t="str">
        <x:v>hazard</x:v>
      </x:c>
      <x:c r="D2332" s="27" t="str">
        <x:v>Hazard row 60 evidence open</x:v>
      </x:c>
      <x:c r="E2332" s="27" t="n">
        <x:f>IF('Hazard Register'!L60="OPEN",1,0)</x:f>
        <x:v>1</x:v>
      </x:c>
      <x:c r="F2332" s="27" t="n">
        <x:v>1</x:v>
      </x:c>
      <x:c r="G2332" s="29" t="str">
        <x:f>IF(E2332=F2332,"PASS","FAIL")</x:f>
        <x:v>PASS</x:v>
      </x:c>
    </x:row>
    <x:row r="2333" ht="18" customHeight="1">
      <x:c r="B2333" s="27" t="str">
        <x:v>A2327</x:v>
      </x:c>
      <x:c r="C2333" s="27" t="str">
        <x:v>hazard</x:v>
      </x:c>
      <x:c r="D2333" s="27" t="str">
        <x:v>Hazard row 60 zero credit</x:v>
      </x:c>
      <x:c r="E2333" s="27" t="n">
        <x:f>IF('Hazard Register'!M60=0,1,0)</x:f>
        <x:v>1</x:v>
      </x:c>
      <x:c r="F2333" s="27" t="n">
        <x:v>1</x:v>
      </x:c>
      <x:c r="G2333" s="29" t="str">
        <x:f>IF(E2333=F2333,"PASS","FAIL")</x:f>
        <x:v>PASS</x:v>
      </x:c>
    </x:row>
    <x:row r="2334" ht="18" customHeight="1">
      <x:c r="B2334" s="27" t="str">
        <x:v>A2328</x:v>
      </x:c>
      <x:c r="C2334" s="27" t="str">
        <x:v>hazard</x:v>
      </x:c>
      <x:c r="D2334" s="27" t="str">
        <x:v>Hazard row 61 severity registered</x:v>
      </x:c>
      <x:c r="E2334" s="27" t="n">
        <x:f>IF(AND('Hazard Register'!F61&gt;=1,'Hazard Register'!F61&lt;=5),1,0)</x:f>
        <x:v>1</x:v>
      </x:c>
      <x:c r="F2334" s="27" t="n">
        <x:v>1</x:v>
      </x:c>
      <x:c r="G2334" s="29" t="str">
        <x:f>IF(E2334=F2334,"PASS","FAIL")</x:f>
        <x:v>PASS</x:v>
      </x:c>
    </x:row>
    <x:row r="2335" ht="18" customHeight="1">
      <x:c r="B2335" s="27" t="str">
        <x:v>A2329</x:v>
      </x:c>
      <x:c r="C2335" s="27" t="str">
        <x:v>hazard</x:v>
      </x:c>
      <x:c r="D2335" s="27" t="str">
        <x:v>Hazard row 61 duration nonnegative</x:v>
      </x:c>
      <x:c r="E2335" s="27" t="n">
        <x:f>IF('Hazard Register'!G61&gt;=0,1,0)</x:f>
        <x:v>1</x:v>
      </x:c>
      <x:c r="F2335" s="27" t="n">
        <x:v>1</x:v>
      </x:c>
      <x:c r="G2335" s="29" t="str">
        <x:f>IF(E2335=F2335,"PASS","FAIL")</x:f>
        <x:v>PASS</x:v>
      </x:c>
    </x:row>
    <x:row r="2336" ht="18" customHeight="1">
      <x:c r="B2336" s="27" t="str">
        <x:v>A2330</x:v>
      </x:c>
      <x:c r="C2336" s="27" t="str">
        <x:v>hazard</x:v>
      </x:c>
      <x:c r="D2336" s="27" t="str">
        <x:v>Hazard row 61 threshold present</x:v>
      </x:c>
      <x:c r="E2336" s="27" t="n">
        <x:f>IF('Hazard Register'!I61&lt;&gt;"",1,0)</x:f>
        <x:v>1</x:v>
      </x:c>
      <x:c r="F2336" s="27" t="n">
        <x:v>1</x:v>
      </x:c>
      <x:c r="G2336" s="29" t="str">
        <x:f>IF(E2336=F2336,"PASS","FAIL")</x:f>
        <x:v>PASS</x:v>
      </x:c>
    </x:row>
    <x:row r="2337" ht="18" customHeight="1">
      <x:c r="B2337" s="27" t="str">
        <x:v>A2331</x:v>
      </x:c>
      <x:c r="C2337" s="27" t="str">
        <x:v>hazard</x:v>
      </x:c>
      <x:c r="D2337" s="27" t="str">
        <x:v>Hazard row 61 evidence open</x:v>
      </x:c>
      <x:c r="E2337" s="27" t="n">
        <x:f>IF('Hazard Register'!L61="OPEN",1,0)</x:f>
        <x:v>1</x:v>
      </x:c>
      <x:c r="F2337" s="27" t="n">
        <x:v>1</x:v>
      </x:c>
      <x:c r="G2337" s="29" t="str">
        <x:f>IF(E2337=F2337,"PASS","FAIL")</x:f>
        <x:v>PASS</x:v>
      </x:c>
    </x:row>
    <x:row r="2338" ht="18" customHeight="1">
      <x:c r="B2338" s="27" t="str">
        <x:v>A2332</x:v>
      </x:c>
      <x:c r="C2338" s="27" t="str">
        <x:v>hazard</x:v>
      </x:c>
      <x:c r="D2338" s="27" t="str">
        <x:v>Hazard row 61 zero credit</x:v>
      </x:c>
      <x:c r="E2338" s="27" t="n">
        <x:f>IF('Hazard Register'!M61=0,1,0)</x:f>
        <x:v>1</x:v>
      </x:c>
      <x:c r="F2338" s="27" t="n">
        <x:v>1</x:v>
      </x:c>
      <x:c r="G2338" s="29" t="str">
        <x:f>IF(E2338=F2338,"PASS","FAIL")</x:f>
        <x:v>PASS</x:v>
      </x:c>
    </x:row>
    <x:row r="2339" ht="18" customHeight="1">
      <x:c r="B2339" s="27" t="str">
        <x:v>A2333</x:v>
      </x:c>
      <x:c r="C2339" s="27" t="str">
        <x:v>hazard</x:v>
      </x:c>
      <x:c r="D2339" s="27" t="str">
        <x:v>Hazard row 62 severity registered</x:v>
      </x:c>
      <x:c r="E2339" s="27" t="n">
        <x:f>IF(AND('Hazard Register'!F62&gt;=1,'Hazard Register'!F62&lt;=5),1,0)</x:f>
        <x:v>1</x:v>
      </x:c>
      <x:c r="F2339" s="27" t="n">
        <x:v>1</x:v>
      </x:c>
      <x:c r="G2339" s="29" t="str">
        <x:f>IF(E2339=F2339,"PASS","FAIL")</x:f>
        <x:v>PASS</x:v>
      </x:c>
    </x:row>
    <x:row r="2340" ht="18" customHeight="1">
      <x:c r="B2340" s="27" t="str">
        <x:v>A2334</x:v>
      </x:c>
      <x:c r="C2340" s="27" t="str">
        <x:v>hazard</x:v>
      </x:c>
      <x:c r="D2340" s="27" t="str">
        <x:v>Hazard row 62 duration nonnegative</x:v>
      </x:c>
      <x:c r="E2340" s="27" t="n">
        <x:f>IF('Hazard Register'!G62&gt;=0,1,0)</x:f>
        <x:v>1</x:v>
      </x:c>
      <x:c r="F2340" s="27" t="n">
        <x:v>1</x:v>
      </x:c>
      <x:c r="G2340" s="29" t="str">
        <x:f>IF(E2340=F2340,"PASS","FAIL")</x:f>
        <x:v>PASS</x:v>
      </x:c>
    </x:row>
    <x:row r="2341" ht="18" customHeight="1">
      <x:c r="B2341" s="27" t="str">
        <x:v>A2335</x:v>
      </x:c>
      <x:c r="C2341" s="27" t="str">
        <x:v>hazard</x:v>
      </x:c>
      <x:c r="D2341" s="27" t="str">
        <x:v>Hazard row 62 threshold present</x:v>
      </x:c>
      <x:c r="E2341" s="27" t="n">
        <x:f>IF('Hazard Register'!I62&lt;&gt;"",1,0)</x:f>
        <x:v>1</x:v>
      </x:c>
      <x:c r="F2341" s="27" t="n">
        <x:v>1</x:v>
      </x:c>
      <x:c r="G2341" s="29" t="str">
        <x:f>IF(E2341=F2341,"PASS","FAIL")</x:f>
        <x:v>PASS</x:v>
      </x:c>
    </x:row>
    <x:row r="2342" ht="18" customHeight="1">
      <x:c r="B2342" s="27" t="str">
        <x:v>A2336</x:v>
      </x:c>
      <x:c r="C2342" s="27" t="str">
        <x:v>hazard</x:v>
      </x:c>
      <x:c r="D2342" s="27" t="str">
        <x:v>Hazard row 62 evidence open</x:v>
      </x:c>
      <x:c r="E2342" s="27" t="n">
        <x:f>IF('Hazard Register'!L62="OPEN",1,0)</x:f>
        <x:v>1</x:v>
      </x:c>
      <x:c r="F2342" s="27" t="n">
        <x:v>1</x:v>
      </x:c>
      <x:c r="G2342" s="29" t="str">
        <x:f>IF(E2342=F2342,"PASS","FAIL")</x:f>
        <x:v>PASS</x:v>
      </x:c>
    </x:row>
    <x:row r="2343" ht="18" customHeight="1">
      <x:c r="B2343" s="27" t="str">
        <x:v>A2337</x:v>
      </x:c>
      <x:c r="C2343" s="27" t="str">
        <x:v>hazard</x:v>
      </x:c>
      <x:c r="D2343" s="27" t="str">
        <x:v>Hazard row 62 zero credit</x:v>
      </x:c>
      <x:c r="E2343" s="27" t="n">
        <x:f>IF('Hazard Register'!M62=0,1,0)</x:f>
        <x:v>1</x:v>
      </x:c>
      <x:c r="F2343" s="27" t="n">
        <x:v>1</x:v>
      </x:c>
      <x:c r="G2343" s="29" t="str">
        <x:f>IF(E2343=F2343,"PASS","FAIL")</x:f>
        <x:v>PASS</x:v>
      </x:c>
    </x:row>
    <x:row r="2344" ht="18" customHeight="1">
      <x:c r="B2344" s="27" t="str">
        <x:v>A2338</x:v>
      </x:c>
      <x:c r="C2344" s="27" t="str">
        <x:v>hazard</x:v>
      </x:c>
      <x:c r="D2344" s="27" t="str">
        <x:v>Hazard row 63 severity registered</x:v>
      </x:c>
      <x:c r="E2344" s="27" t="n">
        <x:f>IF(AND('Hazard Register'!F63&gt;=1,'Hazard Register'!F63&lt;=5),1,0)</x:f>
        <x:v>1</x:v>
      </x:c>
      <x:c r="F2344" s="27" t="n">
        <x:v>1</x:v>
      </x:c>
      <x:c r="G2344" s="29" t="str">
        <x:f>IF(E2344=F2344,"PASS","FAIL")</x:f>
        <x:v>PASS</x:v>
      </x:c>
    </x:row>
    <x:row r="2345" ht="18" customHeight="1">
      <x:c r="B2345" s="27" t="str">
        <x:v>A2339</x:v>
      </x:c>
      <x:c r="C2345" s="27" t="str">
        <x:v>hazard</x:v>
      </x:c>
      <x:c r="D2345" s="27" t="str">
        <x:v>Hazard row 63 duration nonnegative</x:v>
      </x:c>
      <x:c r="E2345" s="27" t="n">
        <x:f>IF('Hazard Register'!G63&gt;=0,1,0)</x:f>
        <x:v>1</x:v>
      </x:c>
      <x:c r="F2345" s="27" t="n">
        <x:v>1</x:v>
      </x:c>
      <x:c r="G2345" s="29" t="str">
        <x:f>IF(E2345=F2345,"PASS","FAIL")</x:f>
        <x:v>PASS</x:v>
      </x:c>
    </x:row>
    <x:row r="2346" ht="18" customHeight="1">
      <x:c r="B2346" s="27" t="str">
        <x:v>A2340</x:v>
      </x:c>
      <x:c r="C2346" s="27" t="str">
        <x:v>hazard</x:v>
      </x:c>
      <x:c r="D2346" s="27" t="str">
        <x:v>Hazard row 63 threshold present</x:v>
      </x:c>
      <x:c r="E2346" s="27" t="n">
        <x:f>IF('Hazard Register'!I63&lt;&gt;"",1,0)</x:f>
        <x:v>1</x:v>
      </x:c>
      <x:c r="F2346" s="27" t="n">
        <x:v>1</x:v>
      </x:c>
      <x:c r="G2346" s="29" t="str">
        <x:f>IF(E2346=F2346,"PASS","FAIL")</x:f>
        <x:v>PASS</x:v>
      </x:c>
    </x:row>
    <x:row r="2347" ht="18" customHeight="1">
      <x:c r="B2347" s="27" t="str">
        <x:v>A2341</x:v>
      </x:c>
      <x:c r="C2347" s="27" t="str">
        <x:v>hazard</x:v>
      </x:c>
      <x:c r="D2347" s="27" t="str">
        <x:v>Hazard row 63 evidence open</x:v>
      </x:c>
      <x:c r="E2347" s="27" t="n">
        <x:f>IF('Hazard Register'!L63="OPEN",1,0)</x:f>
        <x:v>1</x:v>
      </x:c>
      <x:c r="F2347" s="27" t="n">
        <x:v>1</x:v>
      </x:c>
      <x:c r="G2347" s="29" t="str">
        <x:f>IF(E2347=F2347,"PASS","FAIL")</x:f>
        <x:v>PASS</x:v>
      </x:c>
    </x:row>
    <x:row r="2348" ht="18" customHeight="1">
      <x:c r="B2348" s="27" t="str">
        <x:v>A2342</x:v>
      </x:c>
      <x:c r="C2348" s="27" t="str">
        <x:v>hazard</x:v>
      </x:c>
      <x:c r="D2348" s="27" t="str">
        <x:v>Hazard row 63 zero credit</x:v>
      </x:c>
      <x:c r="E2348" s="27" t="n">
        <x:f>IF('Hazard Register'!M63=0,1,0)</x:f>
        <x:v>1</x:v>
      </x:c>
      <x:c r="F2348" s="27" t="n">
        <x:v>1</x:v>
      </x:c>
      <x:c r="G2348" s="29" t="str">
        <x:f>IF(E2348=F2348,"PASS","FAIL")</x:f>
        <x:v>PASS</x:v>
      </x:c>
    </x:row>
    <x:row r="2349" ht="18" customHeight="1">
      <x:c r="B2349" s="27" t="str">
        <x:v>A2343</x:v>
      </x:c>
      <x:c r="C2349" s="27" t="str">
        <x:v>hazard</x:v>
      </x:c>
      <x:c r="D2349" s="27" t="str">
        <x:v>Hazard row 64 severity registered</x:v>
      </x:c>
      <x:c r="E2349" s="27" t="n">
        <x:f>IF(AND('Hazard Register'!F64&gt;=1,'Hazard Register'!F64&lt;=5),1,0)</x:f>
        <x:v>1</x:v>
      </x:c>
      <x:c r="F2349" s="27" t="n">
        <x:v>1</x:v>
      </x:c>
      <x:c r="G2349" s="29" t="str">
        <x:f>IF(E2349=F2349,"PASS","FAIL")</x:f>
        <x:v>PASS</x:v>
      </x:c>
    </x:row>
    <x:row r="2350" ht="18" customHeight="1">
      <x:c r="B2350" s="27" t="str">
        <x:v>A2344</x:v>
      </x:c>
      <x:c r="C2350" s="27" t="str">
        <x:v>hazard</x:v>
      </x:c>
      <x:c r="D2350" s="27" t="str">
        <x:v>Hazard row 64 duration nonnegative</x:v>
      </x:c>
      <x:c r="E2350" s="27" t="n">
        <x:f>IF('Hazard Register'!G64&gt;=0,1,0)</x:f>
        <x:v>1</x:v>
      </x:c>
      <x:c r="F2350" s="27" t="n">
        <x:v>1</x:v>
      </x:c>
      <x:c r="G2350" s="29" t="str">
        <x:f>IF(E2350=F2350,"PASS","FAIL")</x:f>
        <x:v>PASS</x:v>
      </x:c>
    </x:row>
    <x:row r="2351" ht="18" customHeight="1">
      <x:c r="B2351" s="27" t="str">
        <x:v>A2345</x:v>
      </x:c>
      <x:c r="C2351" s="27" t="str">
        <x:v>hazard</x:v>
      </x:c>
      <x:c r="D2351" s="27" t="str">
        <x:v>Hazard row 64 threshold present</x:v>
      </x:c>
      <x:c r="E2351" s="27" t="n">
        <x:f>IF('Hazard Register'!I64&lt;&gt;"",1,0)</x:f>
        <x:v>1</x:v>
      </x:c>
      <x:c r="F2351" s="27" t="n">
        <x:v>1</x:v>
      </x:c>
      <x:c r="G2351" s="29" t="str">
        <x:f>IF(E2351=F2351,"PASS","FAIL")</x:f>
        <x:v>PASS</x:v>
      </x:c>
    </x:row>
    <x:row r="2352" ht="18" customHeight="1">
      <x:c r="B2352" s="27" t="str">
        <x:v>A2346</x:v>
      </x:c>
      <x:c r="C2352" s="27" t="str">
        <x:v>hazard</x:v>
      </x:c>
      <x:c r="D2352" s="27" t="str">
        <x:v>Hazard row 64 evidence open</x:v>
      </x:c>
      <x:c r="E2352" s="27" t="n">
        <x:f>IF('Hazard Register'!L64="OPEN",1,0)</x:f>
        <x:v>1</x:v>
      </x:c>
      <x:c r="F2352" s="27" t="n">
        <x:v>1</x:v>
      </x:c>
      <x:c r="G2352" s="29" t="str">
        <x:f>IF(E2352=F2352,"PASS","FAIL")</x:f>
        <x:v>PASS</x:v>
      </x:c>
    </x:row>
    <x:row r="2353" ht="18" customHeight="1">
      <x:c r="B2353" s="27" t="str">
        <x:v>A2347</x:v>
      </x:c>
      <x:c r="C2353" s="27" t="str">
        <x:v>hazard</x:v>
      </x:c>
      <x:c r="D2353" s="27" t="str">
        <x:v>Hazard row 64 zero credit</x:v>
      </x:c>
      <x:c r="E2353" s="27" t="n">
        <x:f>IF('Hazard Register'!M64=0,1,0)</x:f>
        <x:v>1</x:v>
      </x:c>
      <x:c r="F2353" s="27" t="n">
        <x:v>1</x:v>
      </x:c>
      <x:c r="G2353" s="29" t="str">
        <x:f>IF(E2353=F2353,"PASS","FAIL")</x:f>
        <x:v>PASS</x:v>
      </x:c>
    </x:row>
    <x:row r="2354" ht="18" customHeight="1">
      <x:c r="B2354" s="27" t="str">
        <x:v>A2348</x:v>
      </x:c>
      <x:c r="C2354" s="27" t="str">
        <x:v>hazard</x:v>
      </x:c>
      <x:c r="D2354" s="27" t="str">
        <x:v>Hazard row 65 severity registered</x:v>
      </x:c>
      <x:c r="E2354" s="27" t="n">
        <x:f>IF(AND('Hazard Register'!F65&gt;=1,'Hazard Register'!F65&lt;=5),1,0)</x:f>
        <x:v>1</x:v>
      </x:c>
      <x:c r="F2354" s="27" t="n">
        <x:v>1</x:v>
      </x:c>
      <x:c r="G2354" s="29" t="str">
        <x:f>IF(E2354=F2354,"PASS","FAIL")</x:f>
        <x:v>PASS</x:v>
      </x:c>
    </x:row>
    <x:row r="2355" ht="18" customHeight="1">
      <x:c r="B2355" s="27" t="str">
        <x:v>A2349</x:v>
      </x:c>
      <x:c r="C2355" s="27" t="str">
        <x:v>hazard</x:v>
      </x:c>
      <x:c r="D2355" s="27" t="str">
        <x:v>Hazard row 65 duration nonnegative</x:v>
      </x:c>
      <x:c r="E2355" s="27" t="n">
        <x:f>IF('Hazard Register'!G65&gt;=0,1,0)</x:f>
        <x:v>1</x:v>
      </x:c>
      <x:c r="F2355" s="27" t="n">
        <x:v>1</x:v>
      </x:c>
      <x:c r="G2355" s="29" t="str">
        <x:f>IF(E2355=F2355,"PASS","FAIL")</x:f>
        <x:v>PASS</x:v>
      </x:c>
    </x:row>
    <x:row r="2356" ht="18" customHeight="1">
      <x:c r="B2356" s="27" t="str">
        <x:v>A2350</x:v>
      </x:c>
      <x:c r="C2356" s="27" t="str">
        <x:v>hazard</x:v>
      </x:c>
      <x:c r="D2356" s="27" t="str">
        <x:v>Hazard row 65 threshold present</x:v>
      </x:c>
      <x:c r="E2356" s="27" t="n">
        <x:f>IF('Hazard Register'!I65&lt;&gt;"",1,0)</x:f>
        <x:v>1</x:v>
      </x:c>
      <x:c r="F2356" s="27" t="n">
        <x:v>1</x:v>
      </x:c>
      <x:c r="G2356" s="29" t="str">
        <x:f>IF(E2356=F2356,"PASS","FAIL")</x:f>
        <x:v>PASS</x:v>
      </x:c>
    </x:row>
    <x:row r="2357" ht="18" customHeight="1">
      <x:c r="B2357" s="27" t="str">
        <x:v>A2351</x:v>
      </x:c>
      <x:c r="C2357" s="27" t="str">
        <x:v>hazard</x:v>
      </x:c>
      <x:c r="D2357" s="27" t="str">
        <x:v>Hazard row 65 evidence open</x:v>
      </x:c>
      <x:c r="E2357" s="27" t="n">
        <x:f>IF('Hazard Register'!L65="OPEN",1,0)</x:f>
        <x:v>1</x:v>
      </x:c>
      <x:c r="F2357" s="27" t="n">
        <x:v>1</x:v>
      </x:c>
      <x:c r="G2357" s="29" t="str">
        <x:f>IF(E2357=F2357,"PASS","FAIL")</x:f>
        <x:v>PASS</x:v>
      </x:c>
    </x:row>
    <x:row r="2358" ht="18" customHeight="1">
      <x:c r="B2358" s="27" t="str">
        <x:v>A2352</x:v>
      </x:c>
      <x:c r="C2358" s="27" t="str">
        <x:v>hazard</x:v>
      </x:c>
      <x:c r="D2358" s="27" t="str">
        <x:v>Hazard row 65 zero credit</x:v>
      </x:c>
      <x:c r="E2358" s="27" t="n">
        <x:f>IF('Hazard Register'!M65=0,1,0)</x:f>
        <x:v>1</x:v>
      </x:c>
      <x:c r="F2358" s="27" t="n">
        <x:v>1</x:v>
      </x:c>
      <x:c r="G2358" s="29" t="str">
        <x:f>IF(E2358=F2358,"PASS","FAIL")</x:f>
        <x:v>PASS</x:v>
      </x:c>
    </x:row>
    <x:row r="2359" ht="18" customHeight="1">
      <x:c r="B2359" s="27" t="str">
        <x:v>A2353</x:v>
      </x:c>
      <x:c r="C2359" s="27" t="str">
        <x:v>hazard</x:v>
      </x:c>
      <x:c r="D2359" s="27" t="str">
        <x:v>Hazard row 66 severity registered</x:v>
      </x:c>
      <x:c r="E2359" s="27" t="n">
        <x:f>IF(AND('Hazard Register'!F66&gt;=1,'Hazard Register'!F66&lt;=5),1,0)</x:f>
        <x:v>1</x:v>
      </x:c>
      <x:c r="F2359" s="27" t="n">
        <x:v>1</x:v>
      </x:c>
      <x:c r="G2359" s="29" t="str">
        <x:f>IF(E2359=F2359,"PASS","FAIL")</x:f>
        <x:v>PASS</x:v>
      </x:c>
    </x:row>
    <x:row r="2360" ht="18" customHeight="1">
      <x:c r="B2360" s="27" t="str">
        <x:v>A2354</x:v>
      </x:c>
      <x:c r="C2360" s="27" t="str">
        <x:v>hazard</x:v>
      </x:c>
      <x:c r="D2360" s="27" t="str">
        <x:v>Hazard row 66 duration nonnegative</x:v>
      </x:c>
      <x:c r="E2360" s="27" t="n">
        <x:f>IF('Hazard Register'!G66&gt;=0,1,0)</x:f>
        <x:v>1</x:v>
      </x:c>
      <x:c r="F2360" s="27" t="n">
        <x:v>1</x:v>
      </x:c>
      <x:c r="G2360" s="29" t="str">
        <x:f>IF(E2360=F2360,"PASS","FAIL")</x:f>
        <x:v>PASS</x:v>
      </x:c>
    </x:row>
    <x:row r="2361" ht="18" customHeight="1">
      <x:c r="B2361" s="27" t="str">
        <x:v>A2355</x:v>
      </x:c>
      <x:c r="C2361" s="27" t="str">
        <x:v>hazard</x:v>
      </x:c>
      <x:c r="D2361" s="27" t="str">
        <x:v>Hazard row 66 threshold present</x:v>
      </x:c>
      <x:c r="E2361" s="27" t="n">
        <x:f>IF('Hazard Register'!I66&lt;&gt;"",1,0)</x:f>
        <x:v>1</x:v>
      </x:c>
      <x:c r="F2361" s="27" t="n">
        <x:v>1</x:v>
      </x:c>
      <x:c r="G2361" s="29" t="str">
        <x:f>IF(E2361=F2361,"PASS","FAIL")</x:f>
        <x:v>PASS</x:v>
      </x:c>
    </x:row>
    <x:row r="2362" ht="18" customHeight="1">
      <x:c r="B2362" s="27" t="str">
        <x:v>A2356</x:v>
      </x:c>
      <x:c r="C2362" s="27" t="str">
        <x:v>hazard</x:v>
      </x:c>
      <x:c r="D2362" s="27" t="str">
        <x:v>Hazard row 66 evidence open</x:v>
      </x:c>
      <x:c r="E2362" s="27" t="n">
        <x:f>IF('Hazard Register'!L66="OPEN",1,0)</x:f>
        <x:v>1</x:v>
      </x:c>
      <x:c r="F2362" s="27" t="n">
        <x:v>1</x:v>
      </x:c>
      <x:c r="G2362" s="29" t="str">
        <x:f>IF(E2362=F2362,"PASS","FAIL")</x:f>
        <x:v>PASS</x:v>
      </x:c>
    </x:row>
    <x:row r="2363" ht="18" customHeight="1">
      <x:c r="B2363" s="27" t="str">
        <x:v>A2357</x:v>
      </x:c>
      <x:c r="C2363" s="27" t="str">
        <x:v>hazard</x:v>
      </x:c>
      <x:c r="D2363" s="27" t="str">
        <x:v>Hazard row 66 zero credit</x:v>
      </x:c>
      <x:c r="E2363" s="27" t="n">
        <x:f>IF('Hazard Register'!M66=0,1,0)</x:f>
        <x:v>1</x:v>
      </x:c>
      <x:c r="F2363" s="27" t="n">
        <x:v>1</x:v>
      </x:c>
      <x:c r="G2363" s="29" t="str">
        <x:f>IF(E2363=F2363,"PASS","FAIL")</x:f>
        <x:v>PASS</x:v>
      </x:c>
    </x:row>
    <x:row r="2364" ht="18" customHeight="1">
      <x:c r="B2364" s="27" t="str">
        <x:v>A2358</x:v>
      </x:c>
      <x:c r="C2364" s="27" t="str">
        <x:v>hazard</x:v>
      </x:c>
      <x:c r="D2364" s="27" t="str">
        <x:v>Hazard row 67 severity registered</x:v>
      </x:c>
      <x:c r="E2364" s="27" t="n">
        <x:f>IF(AND('Hazard Register'!F67&gt;=1,'Hazard Register'!F67&lt;=5),1,0)</x:f>
        <x:v>1</x:v>
      </x:c>
      <x:c r="F2364" s="27" t="n">
        <x:v>1</x:v>
      </x:c>
      <x:c r="G2364" s="29" t="str">
        <x:f>IF(E2364=F2364,"PASS","FAIL")</x:f>
        <x:v>PASS</x:v>
      </x:c>
    </x:row>
    <x:row r="2365" ht="18" customHeight="1">
      <x:c r="B2365" s="27" t="str">
        <x:v>A2359</x:v>
      </x:c>
      <x:c r="C2365" s="27" t="str">
        <x:v>hazard</x:v>
      </x:c>
      <x:c r="D2365" s="27" t="str">
        <x:v>Hazard row 67 duration nonnegative</x:v>
      </x:c>
      <x:c r="E2365" s="27" t="n">
        <x:f>IF('Hazard Register'!G67&gt;=0,1,0)</x:f>
        <x:v>1</x:v>
      </x:c>
      <x:c r="F2365" s="27" t="n">
        <x:v>1</x:v>
      </x:c>
      <x:c r="G2365" s="29" t="str">
        <x:f>IF(E2365=F2365,"PASS","FAIL")</x:f>
        <x:v>PASS</x:v>
      </x:c>
    </x:row>
    <x:row r="2366" ht="18" customHeight="1">
      <x:c r="B2366" s="27" t="str">
        <x:v>A2360</x:v>
      </x:c>
      <x:c r="C2366" s="27" t="str">
        <x:v>hazard</x:v>
      </x:c>
      <x:c r="D2366" s="27" t="str">
        <x:v>Hazard row 67 threshold present</x:v>
      </x:c>
      <x:c r="E2366" s="27" t="n">
        <x:f>IF('Hazard Register'!I67&lt;&gt;"",1,0)</x:f>
        <x:v>1</x:v>
      </x:c>
      <x:c r="F2366" s="27" t="n">
        <x:v>1</x:v>
      </x:c>
      <x:c r="G2366" s="29" t="str">
        <x:f>IF(E2366=F2366,"PASS","FAIL")</x:f>
        <x:v>PASS</x:v>
      </x:c>
    </x:row>
    <x:row r="2367" ht="18" customHeight="1">
      <x:c r="B2367" s="27" t="str">
        <x:v>A2361</x:v>
      </x:c>
      <x:c r="C2367" s="27" t="str">
        <x:v>hazard</x:v>
      </x:c>
      <x:c r="D2367" s="27" t="str">
        <x:v>Hazard row 67 evidence open</x:v>
      </x:c>
      <x:c r="E2367" s="27" t="n">
        <x:f>IF('Hazard Register'!L67="OPEN",1,0)</x:f>
        <x:v>1</x:v>
      </x:c>
      <x:c r="F2367" s="27" t="n">
        <x:v>1</x:v>
      </x:c>
      <x:c r="G2367" s="29" t="str">
        <x:f>IF(E2367=F2367,"PASS","FAIL")</x:f>
        <x:v>PASS</x:v>
      </x:c>
    </x:row>
    <x:row r="2368" ht="18" customHeight="1">
      <x:c r="B2368" s="27" t="str">
        <x:v>A2362</x:v>
      </x:c>
      <x:c r="C2368" s="27" t="str">
        <x:v>hazard</x:v>
      </x:c>
      <x:c r="D2368" s="27" t="str">
        <x:v>Hazard row 67 zero credit</x:v>
      </x:c>
      <x:c r="E2368" s="27" t="n">
        <x:f>IF('Hazard Register'!M67=0,1,0)</x:f>
        <x:v>1</x:v>
      </x:c>
      <x:c r="F2368" s="27" t="n">
        <x:v>1</x:v>
      </x:c>
      <x:c r="G2368" s="29" t="str">
        <x:f>IF(E2368=F2368,"PASS","FAIL")</x:f>
        <x:v>PASS</x:v>
      </x:c>
    </x:row>
    <x:row r="2369" ht="18" customHeight="1">
      <x:c r="B2369" s="27" t="str">
        <x:v>A2363</x:v>
      </x:c>
      <x:c r="C2369" s="27" t="str">
        <x:v>hazard</x:v>
      </x:c>
      <x:c r="D2369" s="27" t="str">
        <x:v>Hazard row 68 severity registered</x:v>
      </x:c>
      <x:c r="E2369" s="27" t="n">
        <x:f>IF(AND('Hazard Register'!F68&gt;=1,'Hazard Register'!F68&lt;=5),1,0)</x:f>
        <x:v>1</x:v>
      </x:c>
      <x:c r="F2369" s="27" t="n">
        <x:v>1</x:v>
      </x:c>
      <x:c r="G2369" s="29" t="str">
        <x:f>IF(E2369=F2369,"PASS","FAIL")</x:f>
        <x:v>PASS</x:v>
      </x:c>
    </x:row>
    <x:row r="2370" ht="18" customHeight="1">
      <x:c r="B2370" s="27" t="str">
        <x:v>A2364</x:v>
      </x:c>
      <x:c r="C2370" s="27" t="str">
        <x:v>hazard</x:v>
      </x:c>
      <x:c r="D2370" s="27" t="str">
        <x:v>Hazard row 68 duration nonnegative</x:v>
      </x:c>
      <x:c r="E2370" s="27" t="n">
        <x:f>IF('Hazard Register'!G68&gt;=0,1,0)</x:f>
        <x:v>1</x:v>
      </x:c>
      <x:c r="F2370" s="27" t="n">
        <x:v>1</x:v>
      </x:c>
      <x:c r="G2370" s="29" t="str">
        <x:f>IF(E2370=F2370,"PASS","FAIL")</x:f>
        <x:v>PASS</x:v>
      </x:c>
    </x:row>
    <x:row r="2371" ht="18" customHeight="1">
      <x:c r="B2371" s="27" t="str">
        <x:v>A2365</x:v>
      </x:c>
      <x:c r="C2371" s="27" t="str">
        <x:v>hazard</x:v>
      </x:c>
      <x:c r="D2371" s="27" t="str">
        <x:v>Hazard row 68 threshold present</x:v>
      </x:c>
      <x:c r="E2371" s="27" t="n">
        <x:f>IF('Hazard Register'!I68&lt;&gt;"",1,0)</x:f>
        <x:v>1</x:v>
      </x:c>
      <x:c r="F2371" s="27" t="n">
        <x:v>1</x:v>
      </x:c>
      <x:c r="G2371" s="29" t="str">
        <x:f>IF(E2371=F2371,"PASS","FAIL")</x:f>
        <x:v>PASS</x:v>
      </x:c>
    </x:row>
    <x:row r="2372" ht="18" customHeight="1">
      <x:c r="B2372" s="27" t="str">
        <x:v>A2366</x:v>
      </x:c>
      <x:c r="C2372" s="27" t="str">
        <x:v>hazard</x:v>
      </x:c>
      <x:c r="D2372" s="27" t="str">
        <x:v>Hazard row 68 evidence open</x:v>
      </x:c>
      <x:c r="E2372" s="27" t="n">
        <x:f>IF('Hazard Register'!L68="OPEN",1,0)</x:f>
        <x:v>1</x:v>
      </x:c>
      <x:c r="F2372" s="27" t="n">
        <x:v>1</x:v>
      </x:c>
      <x:c r="G2372" s="29" t="str">
        <x:f>IF(E2372=F2372,"PASS","FAIL")</x:f>
        <x:v>PASS</x:v>
      </x:c>
    </x:row>
    <x:row r="2373" ht="18" customHeight="1">
      <x:c r="B2373" s="27" t="str">
        <x:v>A2367</x:v>
      </x:c>
      <x:c r="C2373" s="27" t="str">
        <x:v>hazard</x:v>
      </x:c>
      <x:c r="D2373" s="27" t="str">
        <x:v>Hazard row 68 zero credit</x:v>
      </x:c>
      <x:c r="E2373" s="27" t="n">
        <x:f>IF('Hazard Register'!M68=0,1,0)</x:f>
        <x:v>1</x:v>
      </x:c>
      <x:c r="F2373" s="27" t="n">
        <x:v>1</x:v>
      </x:c>
      <x:c r="G2373" s="29" t="str">
        <x:f>IF(E2373=F2373,"PASS","FAIL")</x:f>
        <x:v>PASS</x:v>
      </x:c>
    </x:row>
    <x:row r="2374" ht="18" customHeight="1">
      <x:c r="B2374" s="27" t="str">
        <x:v>A2368</x:v>
      </x:c>
      <x:c r="C2374" s="27" t="str">
        <x:v>hazard</x:v>
      </x:c>
      <x:c r="D2374" s="27" t="str">
        <x:v>Hazard row 69 severity registered</x:v>
      </x:c>
      <x:c r="E2374" s="27" t="n">
        <x:f>IF(AND('Hazard Register'!F69&gt;=1,'Hazard Register'!F69&lt;=5),1,0)</x:f>
        <x:v>1</x:v>
      </x:c>
      <x:c r="F2374" s="27" t="n">
        <x:v>1</x:v>
      </x:c>
      <x:c r="G2374" s="29" t="str">
        <x:f>IF(E2374=F2374,"PASS","FAIL")</x:f>
        <x:v>PASS</x:v>
      </x:c>
    </x:row>
    <x:row r="2375" ht="18" customHeight="1">
      <x:c r="B2375" s="27" t="str">
        <x:v>A2369</x:v>
      </x:c>
      <x:c r="C2375" s="27" t="str">
        <x:v>hazard</x:v>
      </x:c>
      <x:c r="D2375" s="27" t="str">
        <x:v>Hazard row 69 duration nonnegative</x:v>
      </x:c>
      <x:c r="E2375" s="27" t="n">
        <x:f>IF('Hazard Register'!G69&gt;=0,1,0)</x:f>
        <x:v>1</x:v>
      </x:c>
      <x:c r="F2375" s="27" t="n">
        <x:v>1</x:v>
      </x:c>
      <x:c r="G2375" s="29" t="str">
        <x:f>IF(E2375=F2375,"PASS","FAIL")</x:f>
        <x:v>PASS</x:v>
      </x:c>
    </x:row>
    <x:row r="2376" ht="18" customHeight="1">
      <x:c r="B2376" s="27" t="str">
        <x:v>A2370</x:v>
      </x:c>
      <x:c r="C2376" s="27" t="str">
        <x:v>hazard</x:v>
      </x:c>
      <x:c r="D2376" s="27" t="str">
        <x:v>Hazard row 69 threshold present</x:v>
      </x:c>
      <x:c r="E2376" s="27" t="n">
        <x:f>IF('Hazard Register'!I69&lt;&gt;"",1,0)</x:f>
        <x:v>1</x:v>
      </x:c>
      <x:c r="F2376" s="27" t="n">
        <x:v>1</x:v>
      </x:c>
      <x:c r="G2376" s="29" t="str">
        <x:f>IF(E2376=F2376,"PASS","FAIL")</x:f>
        <x:v>PASS</x:v>
      </x:c>
    </x:row>
    <x:row r="2377" ht="18" customHeight="1">
      <x:c r="B2377" s="27" t="str">
        <x:v>A2371</x:v>
      </x:c>
      <x:c r="C2377" s="27" t="str">
        <x:v>hazard</x:v>
      </x:c>
      <x:c r="D2377" s="27" t="str">
        <x:v>Hazard row 69 evidence open</x:v>
      </x:c>
      <x:c r="E2377" s="27" t="n">
        <x:f>IF('Hazard Register'!L69="OPEN",1,0)</x:f>
        <x:v>1</x:v>
      </x:c>
      <x:c r="F2377" s="27" t="n">
        <x:v>1</x:v>
      </x:c>
      <x:c r="G2377" s="29" t="str">
        <x:f>IF(E2377=F2377,"PASS","FAIL")</x:f>
        <x:v>PASS</x:v>
      </x:c>
    </x:row>
    <x:row r="2378" ht="18" customHeight="1">
      <x:c r="B2378" s="27" t="str">
        <x:v>A2372</x:v>
      </x:c>
      <x:c r="C2378" s="27" t="str">
        <x:v>hazard</x:v>
      </x:c>
      <x:c r="D2378" s="27" t="str">
        <x:v>Hazard row 69 zero credit</x:v>
      </x:c>
      <x:c r="E2378" s="27" t="n">
        <x:f>IF('Hazard Register'!M69=0,1,0)</x:f>
        <x:v>1</x:v>
      </x:c>
      <x:c r="F2378" s="27" t="n">
        <x:v>1</x:v>
      </x:c>
      <x:c r="G2378" s="29" t="str">
        <x:f>IF(E2378=F2378,"PASS","FAIL")</x:f>
        <x:v>PASS</x:v>
      </x:c>
    </x:row>
    <x:row r="2379" ht="18" customHeight="1">
      <x:c r="B2379" s="27" t="str">
        <x:v>A2373</x:v>
      </x:c>
      <x:c r="C2379" s="27" t="str">
        <x:v>hazard</x:v>
      </x:c>
      <x:c r="D2379" s="27" t="str">
        <x:v>Hazard row 70 severity registered</x:v>
      </x:c>
      <x:c r="E2379" s="27" t="n">
        <x:f>IF(AND('Hazard Register'!F70&gt;=1,'Hazard Register'!F70&lt;=5),1,0)</x:f>
        <x:v>1</x:v>
      </x:c>
      <x:c r="F2379" s="27" t="n">
        <x:v>1</x:v>
      </x:c>
      <x:c r="G2379" s="29" t="str">
        <x:f>IF(E2379=F2379,"PASS","FAIL")</x:f>
        <x:v>PASS</x:v>
      </x:c>
    </x:row>
    <x:row r="2380" ht="18" customHeight="1">
      <x:c r="B2380" s="27" t="str">
        <x:v>A2374</x:v>
      </x:c>
      <x:c r="C2380" s="27" t="str">
        <x:v>hazard</x:v>
      </x:c>
      <x:c r="D2380" s="27" t="str">
        <x:v>Hazard row 70 duration nonnegative</x:v>
      </x:c>
      <x:c r="E2380" s="27" t="n">
        <x:f>IF('Hazard Register'!G70&gt;=0,1,0)</x:f>
        <x:v>1</x:v>
      </x:c>
      <x:c r="F2380" s="27" t="n">
        <x:v>1</x:v>
      </x:c>
      <x:c r="G2380" s="29" t="str">
        <x:f>IF(E2380=F2380,"PASS","FAIL")</x:f>
        <x:v>PASS</x:v>
      </x:c>
    </x:row>
    <x:row r="2381" ht="18" customHeight="1">
      <x:c r="B2381" s="27" t="str">
        <x:v>A2375</x:v>
      </x:c>
      <x:c r="C2381" s="27" t="str">
        <x:v>hazard</x:v>
      </x:c>
      <x:c r="D2381" s="27" t="str">
        <x:v>Hazard row 70 threshold present</x:v>
      </x:c>
      <x:c r="E2381" s="27" t="n">
        <x:f>IF('Hazard Register'!I70&lt;&gt;"",1,0)</x:f>
        <x:v>1</x:v>
      </x:c>
      <x:c r="F2381" s="27" t="n">
        <x:v>1</x:v>
      </x:c>
      <x:c r="G2381" s="29" t="str">
        <x:f>IF(E2381=F2381,"PASS","FAIL")</x:f>
        <x:v>PASS</x:v>
      </x:c>
    </x:row>
    <x:row r="2382" ht="18" customHeight="1">
      <x:c r="B2382" s="27" t="str">
        <x:v>A2376</x:v>
      </x:c>
      <x:c r="C2382" s="27" t="str">
        <x:v>hazard</x:v>
      </x:c>
      <x:c r="D2382" s="27" t="str">
        <x:v>Hazard row 70 evidence open</x:v>
      </x:c>
      <x:c r="E2382" s="27" t="n">
        <x:f>IF('Hazard Register'!L70="OPEN",1,0)</x:f>
        <x:v>1</x:v>
      </x:c>
      <x:c r="F2382" s="27" t="n">
        <x:v>1</x:v>
      </x:c>
      <x:c r="G2382" s="29" t="str">
        <x:f>IF(E2382=F2382,"PASS","FAIL")</x:f>
        <x:v>PASS</x:v>
      </x:c>
    </x:row>
    <x:row r="2383" ht="18" customHeight="1">
      <x:c r="B2383" s="27" t="str">
        <x:v>A2377</x:v>
      </x:c>
      <x:c r="C2383" s="27" t="str">
        <x:v>hazard</x:v>
      </x:c>
      <x:c r="D2383" s="27" t="str">
        <x:v>Hazard row 70 zero credit</x:v>
      </x:c>
      <x:c r="E2383" s="27" t="n">
        <x:f>IF('Hazard Register'!M70=0,1,0)</x:f>
        <x:v>1</x:v>
      </x:c>
      <x:c r="F2383" s="27" t="n">
        <x:v>1</x:v>
      </x:c>
      <x:c r="G2383" s="29" t="str">
        <x:f>IF(E2383=F2383,"PASS","FAIL")</x:f>
        <x:v>PASS</x:v>
      </x:c>
    </x:row>
    <x:row r="2384" ht="18" customHeight="1">
      <x:c r="B2384" s="27" t="str">
        <x:v>A2378</x:v>
      </x:c>
      <x:c r="C2384" s="27" t="str">
        <x:v>hazard</x:v>
      </x:c>
      <x:c r="D2384" s="27" t="str">
        <x:v>Hazard row 71 severity registered</x:v>
      </x:c>
      <x:c r="E2384" s="27" t="n">
        <x:f>IF(AND('Hazard Register'!F71&gt;=1,'Hazard Register'!F71&lt;=5),1,0)</x:f>
        <x:v>1</x:v>
      </x:c>
      <x:c r="F2384" s="27" t="n">
        <x:v>1</x:v>
      </x:c>
      <x:c r="G2384" s="29" t="str">
        <x:f>IF(E2384=F2384,"PASS","FAIL")</x:f>
        <x:v>PASS</x:v>
      </x:c>
    </x:row>
    <x:row r="2385" ht="18" customHeight="1">
      <x:c r="B2385" s="27" t="str">
        <x:v>A2379</x:v>
      </x:c>
      <x:c r="C2385" s="27" t="str">
        <x:v>hazard</x:v>
      </x:c>
      <x:c r="D2385" s="27" t="str">
        <x:v>Hazard row 71 duration nonnegative</x:v>
      </x:c>
      <x:c r="E2385" s="27" t="n">
        <x:f>IF('Hazard Register'!G71&gt;=0,1,0)</x:f>
        <x:v>1</x:v>
      </x:c>
      <x:c r="F2385" s="27" t="n">
        <x:v>1</x:v>
      </x:c>
      <x:c r="G2385" s="29" t="str">
        <x:f>IF(E2385=F2385,"PASS","FAIL")</x:f>
        <x:v>PASS</x:v>
      </x:c>
    </x:row>
    <x:row r="2386" ht="18" customHeight="1">
      <x:c r="B2386" s="27" t="str">
        <x:v>A2380</x:v>
      </x:c>
      <x:c r="C2386" s="27" t="str">
        <x:v>hazard</x:v>
      </x:c>
      <x:c r="D2386" s="27" t="str">
        <x:v>Hazard row 71 threshold present</x:v>
      </x:c>
      <x:c r="E2386" s="27" t="n">
        <x:f>IF('Hazard Register'!I71&lt;&gt;"",1,0)</x:f>
        <x:v>1</x:v>
      </x:c>
      <x:c r="F2386" s="27" t="n">
        <x:v>1</x:v>
      </x:c>
      <x:c r="G2386" s="29" t="str">
        <x:f>IF(E2386=F2386,"PASS","FAIL")</x:f>
        <x:v>PASS</x:v>
      </x:c>
    </x:row>
    <x:row r="2387" ht="18" customHeight="1">
      <x:c r="B2387" s="27" t="str">
        <x:v>A2381</x:v>
      </x:c>
      <x:c r="C2387" s="27" t="str">
        <x:v>hazard</x:v>
      </x:c>
      <x:c r="D2387" s="27" t="str">
        <x:v>Hazard row 71 evidence open</x:v>
      </x:c>
      <x:c r="E2387" s="27" t="n">
        <x:f>IF('Hazard Register'!L71="OPEN",1,0)</x:f>
        <x:v>1</x:v>
      </x:c>
      <x:c r="F2387" s="27" t="n">
        <x:v>1</x:v>
      </x:c>
      <x:c r="G2387" s="29" t="str">
        <x:f>IF(E2387=F2387,"PASS","FAIL")</x:f>
        <x:v>PASS</x:v>
      </x:c>
    </x:row>
    <x:row r="2388" ht="18" customHeight="1">
      <x:c r="B2388" s="27" t="str">
        <x:v>A2382</x:v>
      </x:c>
      <x:c r="C2388" s="27" t="str">
        <x:v>hazard</x:v>
      </x:c>
      <x:c r="D2388" s="27" t="str">
        <x:v>Hazard row 71 zero credit</x:v>
      </x:c>
      <x:c r="E2388" s="27" t="n">
        <x:f>IF('Hazard Register'!M71=0,1,0)</x:f>
        <x:v>1</x:v>
      </x:c>
      <x:c r="F2388" s="27" t="n">
        <x:v>1</x:v>
      </x:c>
      <x:c r="G2388" s="29" t="str">
        <x:f>IF(E2388=F2388,"PASS","FAIL")</x:f>
        <x:v>PASS</x:v>
      </x:c>
    </x:row>
    <x:row r="2389" ht="18" customHeight="1">
      <x:c r="B2389" s="27" t="str">
        <x:v>A2383</x:v>
      </x:c>
      <x:c r="C2389" s="27" t="str">
        <x:v>hazard</x:v>
      </x:c>
      <x:c r="D2389" s="27" t="str">
        <x:v>Hazard row 72 severity registered</x:v>
      </x:c>
      <x:c r="E2389" s="27" t="n">
        <x:f>IF(AND('Hazard Register'!F72&gt;=1,'Hazard Register'!F72&lt;=5),1,0)</x:f>
        <x:v>1</x:v>
      </x:c>
      <x:c r="F2389" s="27" t="n">
        <x:v>1</x:v>
      </x:c>
      <x:c r="G2389" s="29" t="str">
        <x:f>IF(E2389=F2389,"PASS","FAIL")</x:f>
        <x:v>PASS</x:v>
      </x:c>
    </x:row>
    <x:row r="2390" ht="18" customHeight="1">
      <x:c r="B2390" s="27" t="str">
        <x:v>A2384</x:v>
      </x:c>
      <x:c r="C2390" s="27" t="str">
        <x:v>hazard</x:v>
      </x:c>
      <x:c r="D2390" s="27" t="str">
        <x:v>Hazard row 72 duration nonnegative</x:v>
      </x:c>
      <x:c r="E2390" s="27" t="n">
        <x:f>IF('Hazard Register'!G72&gt;=0,1,0)</x:f>
        <x:v>1</x:v>
      </x:c>
      <x:c r="F2390" s="27" t="n">
        <x:v>1</x:v>
      </x:c>
      <x:c r="G2390" s="29" t="str">
        <x:f>IF(E2390=F2390,"PASS","FAIL")</x:f>
        <x:v>PASS</x:v>
      </x:c>
    </x:row>
    <x:row r="2391" ht="18" customHeight="1">
      <x:c r="B2391" s="27" t="str">
        <x:v>A2385</x:v>
      </x:c>
      <x:c r="C2391" s="27" t="str">
        <x:v>hazard</x:v>
      </x:c>
      <x:c r="D2391" s="27" t="str">
        <x:v>Hazard row 72 threshold present</x:v>
      </x:c>
      <x:c r="E2391" s="27" t="n">
        <x:f>IF('Hazard Register'!I72&lt;&gt;"",1,0)</x:f>
        <x:v>1</x:v>
      </x:c>
      <x:c r="F2391" s="27" t="n">
        <x:v>1</x:v>
      </x:c>
      <x:c r="G2391" s="29" t="str">
        <x:f>IF(E2391=F2391,"PASS","FAIL")</x:f>
        <x:v>PASS</x:v>
      </x:c>
    </x:row>
    <x:row r="2392" ht="18" customHeight="1">
      <x:c r="B2392" s="27" t="str">
        <x:v>A2386</x:v>
      </x:c>
      <x:c r="C2392" s="27" t="str">
        <x:v>hazard</x:v>
      </x:c>
      <x:c r="D2392" s="27" t="str">
        <x:v>Hazard row 72 evidence open</x:v>
      </x:c>
      <x:c r="E2392" s="27" t="n">
        <x:f>IF('Hazard Register'!L72="OPEN",1,0)</x:f>
        <x:v>1</x:v>
      </x:c>
      <x:c r="F2392" s="27" t="n">
        <x:v>1</x:v>
      </x:c>
      <x:c r="G2392" s="29" t="str">
        <x:f>IF(E2392=F2392,"PASS","FAIL")</x:f>
        <x:v>PASS</x:v>
      </x:c>
    </x:row>
    <x:row r="2393" ht="18" customHeight="1">
      <x:c r="B2393" s="27" t="str">
        <x:v>A2387</x:v>
      </x:c>
      <x:c r="C2393" s="27" t="str">
        <x:v>hazard</x:v>
      </x:c>
      <x:c r="D2393" s="27" t="str">
        <x:v>Hazard row 72 zero credit</x:v>
      </x:c>
      <x:c r="E2393" s="27" t="n">
        <x:f>IF('Hazard Register'!M72=0,1,0)</x:f>
        <x:v>1</x:v>
      </x:c>
      <x:c r="F2393" s="27" t="n">
        <x:v>1</x:v>
      </x:c>
      <x:c r="G2393" s="29" t="str">
        <x:f>IF(E2393=F2393,"PASS","FAIL")</x:f>
        <x:v>PASS</x:v>
      </x:c>
    </x:row>
    <x:row r="2394" ht="18" customHeight="1">
      <x:c r="B2394" s="27" t="str">
        <x:v>A2388</x:v>
      </x:c>
      <x:c r="C2394" s="27" t="str">
        <x:v>hazard</x:v>
      </x:c>
      <x:c r="D2394" s="27" t="str">
        <x:v>Hazard row 73 severity registered</x:v>
      </x:c>
      <x:c r="E2394" s="27" t="n">
        <x:f>IF(AND('Hazard Register'!F73&gt;=1,'Hazard Register'!F73&lt;=5),1,0)</x:f>
        <x:v>1</x:v>
      </x:c>
      <x:c r="F2394" s="27" t="n">
        <x:v>1</x:v>
      </x:c>
      <x:c r="G2394" s="29" t="str">
        <x:f>IF(E2394=F2394,"PASS","FAIL")</x:f>
        <x:v>PASS</x:v>
      </x:c>
    </x:row>
    <x:row r="2395" ht="18" customHeight="1">
      <x:c r="B2395" s="27" t="str">
        <x:v>A2389</x:v>
      </x:c>
      <x:c r="C2395" s="27" t="str">
        <x:v>hazard</x:v>
      </x:c>
      <x:c r="D2395" s="27" t="str">
        <x:v>Hazard row 73 duration nonnegative</x:v>
      </x:c>
      <x:c r="E2395" s="27" t="n">
        <x:f>IF('Hazard Register'!G73&gt;=0,1,0)</x:f>
        <x:v>1</x:v>
      </x:c>
      <x:c r="F2395" s="27" t="n">
        <x:v>1</x:v>
      </x:c>
      <x:c r="G2395" s="29" t="str">
        <x:f>IF(E2395=F2395,"PASS","FAIL")</x:f>
        <x:v>PASS</x:v>
      </x:c>
    </x:row>
    <x:row r="2396" ht="18" customHeight="1">
      <x:c r="B2396" s="27" t="str">
        <x:v>A2390</x:v>
      </x:c>
      <x:c r="C2396" s="27" t="str">
        <x:v>hazard</x:v>
      </x:c>
      <x:c r="D2396" s="27" t="str">
        <x:v>Hazard row 73 threshold present</x:v>
      </x:c>
      <x:c r="E2396" s="27" t="n">
        <x:f>IF('Hazard Register'!I73&lt;&gt;"",1,0)</x:f>
        <x:v>1</x:v>
      </x:c>
      <x:c r="F2396" s="27" t="n">
        <x:v>1</x:v>
      </x:c>
      <x:c r="G2396" s="29" t="str">
        <x:f>IF(E2396=F2396,"PASS","FAIL")</x:f>
        <x:v>PASS</x:v>
      </x:c>
    </x:row>
    <x:row r="2397" ht="18" customHeight="1">
      <x:c r="B2397" s="27" t="str">
        <x:v>A2391</x:v>
      </x:c>
      <x:c r="C2397" s="27" t="str">
        <x:v>hazard</x:v>
      </x:c>
      <x:c r="D2397" s="27" t="str">
        <x:v>Hazard row 73 evidence open</x:v>
      </x:c>
      <x:c r="E2397" s="27" t="n">
        <x:f>IF('Hazard Register'!L73="OPEN",1,0)</x:f>
        <x:v>1</x:v>
      </x:c>
      <x:c r="F2397" s="27" t="n">
        <x:v>1</x:v>
      </x:c>
      <x:c r="G2397" s="29" t="str">
        <x:f>IF(E2397=F2397,"PASS","FAIL")</x:f>
        <x:v>PASS</x:v>
      </x:c>
    </x:row>
    <x:row r="2398" ht="18" customHeight="1">
      <x:c r="B2398" s="27" t="str">
        <x:v>A2392</x:v>
      </x:c>
      <x:c r="C2398" s="27" t="str">
        <x:v>hazard</x:v>
      </x:c>
      <x:c r="D2398" s="27" t="str">
        <x:v>Hazard row 73 zero credit</x:v>
      </x:c>
      <x:c r="E2398" s="27" t="n">
        <x:f>IF('Hazard Register'!M73=0,1,0)</x:f>
        <x:v>1</x:v>
      </x:c>
      <x:c r="F2398" s="27" t="n">
        <x:v>1</x:v>
      </x:c>
      <x:c r="G2398" s="29" t="str">
        <x:f>IF(E2398=F2398,"PASS","FAIL")</x:f>
        <x:v>PASS</x:v>
      </x:c>
    </x:row>
    <x:row r="2399" ht="18" customHeight="1">
      <x:c r="B2399" s="27" t="str">
        <x:v>A2393</x:v>
      </x:c>
      <x:c r="C2399" s="27" t="str">
        <x:v>hazard</x:v>
      </x:c>
      <x:c r="D2399" s="27" t="str">
        <x:v>Hazard row 74 severity registered</x:v>
      </x:c>
      <x:c r="E2399" s="27" t="n">
        <x:f>IF(AND('Hazard Register'!F74&gt;=1,'Hazard Register'!F74&lt;=5),1,0)</x:f>
        <x:v>1</x:v>
      </x:c>
      <x:c r="F2399" s="27" t="n">
        <x:v>1</x:v>
      </x:c>
      <x:c r="G2399" s="29" t="str">
        <x:f>IF(E2399=F2399,"PASS","FAIL")</x:f>
        <x:v>PASS</x:v>
      </x:c>
    </x:row>
    <x:row r="2400" ht="18" customHeight="1">
      <x:c r="B2400" s="27" t="str">
        <x:v>A2394</x:v>
      </x:c>
      <x:c r="C2400" s="27" t="str">
        <x:v>hazard</x:v>
      </x:c>
      <x:c r="D2400" s="27" t="str">
        <x:v>Hazard row 74 duration nonnegative</x:v>
      </x:c>
      <x:c r="E2400" s="27" t="n">
        <x:f>IF('Hazard Register'!G74&gt;=0,1,0)</x:f>
        <x:v>1</x:v>
      </x:c>
      <x:c r="F2400" s="27" t="n">
        <x:v>1</x:v>
      </x:c>
      <x:c r="G2400" s="29" t="str">
        <x:f>IF(E2400=F2400,"PASS","FAIL")</x:f>
        <x:v>PASS</x:v>
      </x:c>
    </x:row>
    <x:row r="2401" ht="18" customHeight="1">
      <x:c r="B2401" s="27" t="str">
        <x:v>A2395</x:v>
      </x:c>
      <x:c r="C2401" s="27" t="str">
        <x:v>hazard</x:v>
      </x:c>
      <x:c r="D2401" s="27" t="str">
        <x:v>Hazard row 74 threshold present</x:v>
      </x:c>
      <x:c r="E2401" s="27" t="n">
        <x:f>IF('Hazard Register'!I74&lt;&gt;"",1,0)</x:f>
        <x:v>1</x:v>
      </x:c>
      <x:c r="F2401" s="27" t="n">
        <x:v>1</x:v>
      </x:c>
      <x:c r="G2401" s="29" t="str">
        <x:f>IF(E2401=F2401,"PASS","FAIL")</x:f>
        <x:v>PASS</x:v>
      </x:c>
    </x:row>
    <x:row r="2402" ht="18" customHeight="1">
      <x:c r="B2402" s="27" t="str">
        <x:v>A2396</x:v>
      </x:c>
      <x:c r="C2402" s="27" t="str">
        <x:v>hazard</x:v>
      </x:c>
      <x:c r="D2402" s="27" t="str">
        <x:v>Hazard row 74 evidence open</x:v>
      </x:c>
      <x:c r="E2402" s="27" t="n">
        <x:f>IF('Hazard Register'!L74="OPEN",1,0)</x:f>
        <x:v>1</x:v>
      </x:c>
      <x:c r="F2402" s="27" t="n">
        <x:v>1</x:v>
      </x:c>
      <x:c r="G2402" s="29" t="str">
        <x:f>IF(E2402=F2402,"PASS","FAIL")</x:f>
        <x:v>PASS</x:v>
      </x:c>
    </x:row>
    <x:row r="2403" ht="18" customHeight="1">
      <x:c r="B2403" s="27" t="str">
        <x:v>A2397</x:v>
      </x:c>
      <x:c r="C2403" s="27" t="str">
        <x:v>hazard</x:v>
      </x:c>
      <x:c r="D2403" s="27" t="str">
        <x:v>Hazard row 74 zero credit</x:v>
      </x:c>
      <x:c r="E2403" s="27" t="n">
        <x:f>IF('Hazard Register'!M74=0,1,0)</x:f>
        <x:v>1</x:v>
      </x:c>
      <x:c r="F2403" s="27" t="n">
        <x:v>1</x:v>
      </x:c>
      <x:c r="G2403" s="29" t="str">
        <x:f>IF(E2403=F2403,"PASS","FAIL")</x:f>
        <x:v>PASS</x:v>
      </x:c>
    </x:row>
    <x:row r="2404" ht="18" customHeight="1">
      <x:c r="B2404" s="27" t="str">
        <x:v>A2398</x:v>
      </x:c>
      <x:c r="C2404" s="27" t="str">
        <x:v>hazard</x:v>
      </x:c>
      <x:c r="D2404" s="27" t="str">
        <x:v>Hazard row 75 severity registered</x:v>
      </x:c>
      <x:c r="E2404" s="27" t="n">
        <x:f>IF(AND('Hazard Register'!F75&gt;=1,'Hazard Register'!F75&lt;=5),1,0)</x:f>
        <x:v>1</x:v>
      </x:c>
      <x:c r="F2404" s="27" t="n">
        <x:v>1</x:v>
      </x:c>
      <x:c r="G2404" s="29" t="str">
        <x:f>IF(E2404=F2404,"PASS","FAIL")</x:f>
        <x:v>PASS</x:v>
      </x:c>
    </x:row>
    <x:row r="2405" ht="18" customHeight="1">
      <x:c r="B2405" s="27" t="str">
        <x:v>A2399</x:v>
      </x:c>
      <x:c r="C2405" s="27" t="str">
        <x:v>hazard</x:v>
      </x:c>
      <x:c r="D2405" s="27" t="str">
        <x:v>Hazard row 75 duration nonnegative</x:v>
      </x:c>
      <x:c r="E2405" s="27" t="n">
        <x:f>IF('Hazard Register'!G75&gt;=0,1,0)</x:f>
        <x:v>1</x:v>
      </x:c>
      <x:c r="F2405" s="27" t="n">
        <x:v>1</x:v>
      </x:c>
      <x:c r="G2405" s="29" t="str">
        <x:f>IF(E2405=F2405,"PASS","FAIL")</x:f>
        <x:v>PASS</x:v>
      </x:c>
    </x:row>
    <x:row r="2406" ht="18" customHeight="1">
      <x:c r="B2406" s="27" t="str">
        <x:v>A2400</x:v>
      </x:c>
      <x:c r="C2406" s="27" t="str">
        <x:v>hazard</x:v>
      </x:c>
      <x:c r="D2406" s="27" t="str">
        <x:v>Hazard row 75 threshold present</x:v>
      </x:c>
      <x:c r="E2406" s="27" t="n">
        <x:f>IF('Hazard Register'!I75&lt;&gt;"",1,0)</x:f>
        <x:v>1</x:v>
      </x:c>
      <x:c r="F2406" s="27" t="n">
        <x:v>1</x:v>
      </x:c>
      <x:c r="G2406" s="29" t="str">
        <x:f>IF(E2406=F2406,"PASS","FAIL")</x:f>
        <x:v>PASS</x:v>
      </x:c>
    </x:row>
    <x:row r="2407" ht="18" customHeight="1">
      <x:c r="B2407" s="27" t="str">
        <x:v>A2401</x:v>
      </x:c>
      <x:c r="C2407" s="27" t="str">
        <x:v>hazard</x:v>
      </x:c>
      <x:c r="D2407" s="27" t="str">
        <x:v>Hazard row 75 evidence open</x:v>
      </x:c>
      <x:c r="E2407" s="27" t="n">
        <x:f>IF('Hazard Register'!L75="OPEN",1,0)</x:f>
        <x:v>1</x:v>
      </x:c>
      <x:c r="F2407" s="27" t="n">
        <x:v>1</x:v>
      </x:c>
      <x:c r="G2407" s="29" t="str">
        <x:f>IF(E2407=F2407,"PASS","FAIL")</x:f>
        <x:v>PASS</x:v>
      </x:c>
    </x:row>
    <x:row r="2408" ht="18" customHeight="1">
      <x:c r="B2408" s="27" t="str">
        <x:v>A2402</x:v>
      </x:c>
      <x:c r="C2408" s="27" t="str">
        <x:v>hazard</x:v>
      </x:c>
      <x:c r="D2408" s="27" t="str">
        <x:v>Hazard row 75 zero credit</x:v>
      </x:c>
      <x:c r="E2408" s="27" t="n">
        <x:f>IF('Hazard Register'!M75=0,1,0)</x:f>
        <x:v>1</x:v>
      </x:c>
      <x:c r="F2408" s="27" t="n">
        <x:v>1</x:v>
      </x:c>
      <x:c r="G2408" s="29" t="str">
        <x:f>IF(E2408=F2408,"PASS","FAIL")</x:f>
        <x:v>PASS</x:v>
      </x:c>
    </x:row>
    <x:row r="2409" ht="18" customHeight="1">
      <x:c r="B2409" s="27" t="str">
        <x:v>A2403</x:v>
      </x:c>
      <x:c r="C2409" s="27" t="str">
        <x:v>hazard</x:v>
      </x:c>
      <x:c r="D2409" s="27" t="str">
        <x:v>Hazard row 76 severity registered</x:v>
      </x:c>
      <x:c r="E2409" s="27" t="n">
        <x:f>IF(AND('Hazard Register'!F76&gt;=1,'Hazard Register'!F76&lt;=5),1,0)</x:f>
        <x:v>1</x:v>
      </x:c>
      <x:c r="F2409" s="27" t="n">
        <x:v>1</x:v>
      </x:c>
      <x:c r="G2409" s="29" t="str">
        <x:f>IF(E2409=F2409,"PASS","FAIL")</x:f>
        <x:v>PASS</x:v>
      </x:c>
    </x:row>
    <x:row r="2410" ht="18" customHeight="1">
      <x:c r="B2410" s="27" t="str">
        <x:v>A2404</x:v>
      </x:c>
      <x:c r="C2410" s="27" t="str">
        <x:v>hazard</x:v>
      </x:c>
      <x:c r="D2410" s="27" t="str">
        <x:v>Hazard row 76 duration nonnegative</x:v>
      </x:c>
      <x:c r="E2410" s="27" t="n">
        <x:f>IF('Hazard Register'!G76&gt;=0,1,0)</x:f>
        <x:v>1</x:v>
      </x:c>
      <x:c r="F2410" s="27" t="n">
        <x:v>1</x:v>
      </x:c>
      <x:c r="G2410" s="29" t="str">
        <x:f>IF(E2410=F2410,"PASS","FAIL")</x:f>
        <x:v>PASS</x:v>
      </x:c>
    </x:row>
    <x:row r="2411" ht="18" customHeight="1">
      <x:c r="B2411" s="27" t="str">
        <x:v>A2405</x:v>
      </x:c>
      <x:c r="C2411" s="27" t="str">
        <x:v>hazard</x:v>
      </x:c>
      <x:c r="D2411" s="27" t="str">
        <x:v>Hazard row 76 threshold present</x:v>
      </x:c>
      <x:c r="E2411" s="27" t="n">
        <x:f>IF('Hazard Register'!I76&lt;&gt;"",1,0)</x:f>
        <x:v>1</x:v>
      </x:c>
      <x:c r="F2411" s="27" t="n">
        <x:v>1</x:v>
      </x:c>
      <x:c r="G2411" s="29" t="str">
        <x:f>IF(E2411=F2411,"PASS","FAIL")</x:f>
        <x:v>PASS</x:v>
      </x:c>
    </x:row>
    <x:row r="2412" ht="18" customHeight="1">
      <x:c r="B2412" s="27" t="str">
        <x:v>A2406</x:v>
      </x:c>
      <x:c r="C2412" s="27" t="str">
        <x:v>hazard</x:v>
      </x:c>
      <x:c r="D2412" s="27" t="str">
        <x:v>Hazard row 76 evidence open</x:v>
      </x:c>
      <x:c r="E2412" s="27" t="n">
        <x:f>IF('Hazard Register'!L76="OPEN",1,0)</x:f>
        <x:v>1</x:v>
      </x:c>
      <x:c r="F2412" s="27" t="n">
        <x:v>1</x:v>
      </x:c>
      <x:c r="G2412" s="29" t="str">
        <x:f>IF(E2412=F2412,"PASS","FAIL")</x:f>
        <x:v>PASS</x:v>
      </x:c>
    </x:row>
    <x:row r="2413" ht="18" customHeight="1">
      <x:c r="B2413" s="27" t="str">
        <x:v>A2407</x:v>
      </x:c>
      <x:c r="C2413" s="27" t="str">
        <x:v>hazard</x:v>
      </x:c>
      <x:c r="D2413" s="27" t="str">
        <x:v>Hazard row 76 zero credit</x:v>
      </x:c>
      <x:c r="E2413" s="27" t="n">
        <x:f>IF('Hazard Register'!M76=0,1,0)</x:f>
        <x:v>1</x:v>
      </x:c>
      <x:c r="F2413" s="27" t="n">
        <x:v>1</x:v>
      </x:c>
      <x:c r="G2413" s="29" t="str">
        <x:f>IF(E2413=F2413,"PASS","FAIL")</x:f>
        <x:v>PASS</x:v>
      </x:c>
    </x:row>
    <x:row r="2414" ht="18" customHeight="1">
      <x:c r="B2414" s="27" t="str">
        <x:v>A2408</x:v>
      </x:c>
      <x:c r="C2414" s="27" t="str">
        <x:v>hazard</x:v>
      </x:c>
      <x:c r="D2414" s="27" t="str">
        <x:v>Hazard row 77 severity registered</x:v>
      </x:c>
      <x:c r="E2414" s="27" t="n">
        <x:f>IF(AND('Hazard Register'!F77&gt;=1,'Hazard Register'!F77&lt;=5),1,0)</x:f>
        <x:v>1</x:v>
      </x:c>
      <x:c r="F2414" s="27" t="n">
        <x:v>1</x:v>
      </x:c>
      <x:c r="G2414" s="29" t="str">
        <x:f>IF(E2414=F2414,"PASS","FAIL")</x:f>
        <x:v>PASS</x:v>
      </x:c>
    </x:row>
    <x:row r="2415" ht="18" customHeight="1">
      <x:c r="B2415" s="27" t="str">
        <x:v>A2409</x:v>
      </x:c>
      <x:c r="C2415" s="27" t="str">
        <x:v>hazard</x:v>
      </x:c>
      <x:c r="D2415" s="27" t="str">
        <x:v>Hazard row 77 duration nonnegative</x:v>
      </x:c>
      <x:c r="E2415" s="27" t="n">
        <x:f>IF('Hazard Register'!G77&gt;=0,1,0)</x:f>
        <x:v>1</x:v>
      </x:c>
      <x:c r="F2415" s="27" t="n">
        <x:v>1</x:v>
      </x:c>
      <x:c r="G2415" s="29" t="str">
        <x:f>IF(E2415=F2415,"PASS","FAIL")</x:f>
        <x:v>PASS</x:v>
      </x:c>
    </x:row>
    <x:row r="2416" ht="18" customHeight="1">
      <x:c r="B2416" s="27" t="str">
        <x:v>A2410</x:v>
      </x:c>
      <x:c r="C2416" s="27" t="str">
        <x:v>hazard</x:v>
      </x:c>
      <x:c r="D2416" s="27" t="str">
        <x:v>Hazard row 77 threshold present</x:v>
      </x:c>
      <x:c r="E2416" s="27" t="n">
        <x:f>IF('Hazard Register'!I77&lt;&gt;"",1,0)</x:f>
        <x:v>1</x:v>
      </x:c>
      <x:c r="F2416" s="27" t="n">
        <x:v>1</x:v>
      </x:c>
      <x:c r="G2416" s="29" t="str">
        <x:f>IF(E2416=F2416,"PASS","FAIL")</x:f>
        <x:v>PASS</x:v>
      </x:c>
    </x:row>
    <x:row r="2417" ht="18" customHeight="1">
      <x:c r="B2417" s="27" t="str">
        <x:v>A2411</x:v>
      </x:c>
      <x:c r="C2417" s="27" t="str">
        <x:v>hazard</x:v>
      </x:c>
      <x:c r="D2417" s="27" t="str">
        <x:v>Hazard row 77 evidence open</x:v>
      </x:c>
      <x:c r="E2417" s="27" t="n">
        <x:f>IF('Hazard Register'!L77="OPEN",1,0)</x:f>
        <x:v>1</x:v>
      </x:c>
      <x:c r="F2417" s="27" t="n">
        <x:v>1</x:v>
      </x:c>
      <x:c r="G2417" s="29" t="str">
        <x:f>IF(E2417=F2417,"PASS","FAIL")</x:f>
        <x:v>PASS</x:v>
      </x:c>
    </x:row>
    <x:row r="2418" ht="18" customHeight="1">
      <x:c r="B2418" s="27" t="str">
        <x:v>A2412</x:v>
      </x:c>
      <x:c r="C2418" s="27" t="str">
        <x:v>hazard</x:v>
      </x:c>
      <x:c r="D2418" s="27" t="str">
        <x:v>Hazard row 77 zero credit</x:v>
      </x:c>
      <x:c r="E2418" s="27" t="n">
        <x:f>IF('Hazard Register'!M77=0,1,0)</x:f>
        <x:v>1</x:v>
      </x:c>
      <x:c r="F2418" s="27" t="n">
        <x:v>1</x:v>
      </x:c>
      <x:c r="G2418" s="29" t="str">
        <x:f>IF(E2418=F2418,"PASS","FAIL")</x:f>
        <x:v>PASS</x:v>
      </x:c>
    </x:row>
    <x:row r="2419" ht="18" customHeight="1">
      <x:c r="B2419" s="27" t="str">
        <x:v>A2413</x:v>
      </x:c>
      <x:c r="C2419" s="27" t="str">
        <x:v>hazard</x:v>
      </x:c>
      <x:c r="D2419" s="27" t="str">
        <x:v>Hazard row 78 severity registered</x:v>
      </x:c>
      <x:c r="E2419" s="27" t="n">
        <x:f>IF(AND('Hazard Register'!F78&gt;=1,'Hazard Register'!F78&lt;=5),1,0)</x:f>
        <x:v>1</x:v>
      </x:c>
      <x:c r="F2419" s="27" t="n">
        <x:v>1</x:v>
      </x:c>
      <x:c r="G2419" s="29" t="str">
        <x:f>IF(E2419=F2419,"PASS","FAIL")</x:f>
        <x:v>PASS</x:v>
      </x:c>
    </x:row>
    <x:row r="2420" ht="18" customHeight="1">
      <x:c r="B2420" s="27" t="str">
        <x:v>A2414</x:v>
      </x:c>
      <x:c r="C2420" s="27" t="str">
        <x:v>hazard</x:v>
      </x:c>
      <x:c r="D2420" s="27" t="str">
        <x:v>Hazard row 78 duration nonnegative</x:v>
      </x:c>
      <x:c r="E2420" s="27" t="n">
        <x:f>IF('Hazard Register'!G78&gt;=0,1,0)</x:f>
        <x:v>1</x:v>
      </x:c>
      <x:c r="F2420" s="27" t="n">
        <x:v>1</x:v>
      </x:c>
      <x:c r="G2420" s="29" t="str">
        <x:f>IF(E2420=F2420,"PASS","FAIL")</x:f>
        <x:v>PASS</x:v>
      </x:c>
    </x:row>
    <x:row r="2421" ht="18" customHeight="1">
      <x:c r="B2421" s="27" t="str">
        <x:v>A2415</x:v>
      </x:c>
      <x:c r="C2421" s="27" t="str">
        <x:v>hazard</x:v>
      </x:c>
      <x:c r="D2421" s="27" t="str">
        <x:v>Hazard row 78 threshold present</x:v>
      </x:c>
      <x:c r="E2421" s="27" t="n">
        <x:f>IF('Hazard Register'!I78&lt;&gt;"",1,0)</x:f>
        <x:v>1</x:v>
      </x:c>
      <x:c r="F2421" s="27" t="n">
        <x:v>1</x:v>
      </x:c>
      <x:c r="G2421" s="29" t="str">
        <x:f>IF(E2421=F2421,"PASS","FAIL")</x:f>
        <x:v>PASS</x:v>
      </x:c>
    </x:row>
    <x:row r="2422" ht="18" customHeight="1">
      <x:c r="B2422" s="27" t="str">
        <x:v>A2416</x:v>
      </x:c>
      <x:c r="C2422" s="27" t="str">
        <x:v>hazard</x:v>
      </x:c>
      <x:c r="D2422" s="27" t="str">
        <x:v>Hazard row 78 evidence open</x:v>
      </x:c>
      <x:c r="E2422" s="27" t="n">
        <x:f>IF('Hazard Register'!L78="OPEN",1,0)</x:f>
        <x:v>1</x:v>
      </x:c>
      <x:c r="F2422" s="27" t="n">
        <x:v>1</x:v>
      </x:c>
      <x:c r="G2422" s="29" t="str">
        <x:f>IF(E2422=F2422,"PASS","FAIL")</x:f>
        <x:v>PASS</x:v>
      </x:c>
    </x:row>
    <x:row r="2423" ht="18" customHeight="1">
      <x:c r="B2423" s="27" t="str">
        <x:v>A2417</x:v>
      </x:c>
      <x:c r="C2423" s="27" t="str">
        <x:v>hazard</x:v>
      </x:c>
      <x:c r="D2423" s="27" t="str">
        <x:v>Hazard row 78 zero credit</x:v>
      </x:c>
      <x:c r="E2423" s="27" t="n">
        <x:f>IF('Hazard Register'!M78=0,1,0)</x:f>
        <x:v>1</x:v>
      </x:c>
      <x:c r="F2423" s="27" t="n">
        <x:v>1</x:v>
      </x:c>
      <x:c r="G2423" s="29" t="str">
        <x:f>IF(E2423=F2423,"PASS","FAIL")</x:f>
        <x:v>PASS</x:v>
      </x:c>
    </x:row>
    <x:row r="2424" ht="18" customHeight="1">
      <x:c r="B2424" s="27" t="str">
        <x:v>A2418</x:v>
      </x:c>
      <x:c r="C2424" s="27" t="str">
        <x:v>hazard</x:v>
      </x:c>
      <x:c r="D2424" s="27" t="str">
        <x:v>Hazard row 79 severity registered</x:v>
      </x:c>
      <x:c r="E2424" s="27" t="n">
        <x:f>IF(AND('Hazard Register'!F79&gt;=1,'Hazard Register'!F79&lt;=5),1,0)</x:f>
        <x:v>1</x:v>
      </x:c>
      <x:c r="F2424" s="27" t="n">
        <x:v>1</x:v>
      </x:c>
      <x:c r="G2424" s="29" t="str">
        <x:f>IF(E2424=F2424,"PASS","FAIL")</x:f>
        <x:v>PASS</x:v>
      </x:c>
    </x:row>
    <x:row r="2425" ht="18" customHeight="1">
      <x:c r="B2425" s="27" t="str">
        <x:v>A2419</x:v>
      </x:c>
      <x:c r="C2425" s="27" t="str">
        <x:v>hazard</x:v>
      </x:c>
      <x:c r="D2425" s="27" t="str">
        <x:v>Hazard row 79 duration nonnegative</x:v>
      </x:c>
      <x:c r="E2425" s="27" t="n">
        <x:f>IF('Hazard Register'!G79&gt;=0,1,0)</x:f>
        <x:v>1</x:v>
      </x:c>
      <x:c r="F2425" s="27" t="n">
        <x:v>1</x:v>
      </x:c>
      <x:c r="G2425" s="29" t="str">
        <x:f>IF(E2425=F2425,"PASS","FAIL")</x:f>
        <x:v>PASS</x:v>
      </x:c>
    </x:row>
    <x:row r="2426" ht="18" customHeight="1">
      <x:c r="B2426" s="27" t="str">
        <x:v>A2420</x:v>
      </x:c>
      <x:c r="C2426" s="27" t="str">
        <x:v>hazard</x:v>
      </x:c>
      <x:c r="D2426" s="27" t="str">
        <x:v>Hazard row 79 threshold present</x:v>
      </x:c>
      <x:c r="E2426" s="27" t="n">
        <x:f>IF('Hazard Register'!I79&lt;&gt;"",1,0)</x:f>
        <x:v>1</x:v>
      </x:c>
      <x:c r="F2426" s="27" t="n">
        <x:v>1</x:v>
      </x:c>
      <x:c r="G2426" s="29" t="str">
        <x:f>IF(E2426=F2426,"PASS","FAIL")</x:f>
        <x:v>PASS</x:v>
      </x:c>
    </x:row>
    <x:row r="2427" ht="18" customHeight="1">
      <x:c r="B2427" s="27" t="str">
        <x:v>A2421</x:v>
      </x:c>
      <x:c r="C2427" s="27" t="str">
        <x:v>hazard</x:v>
      </x:c>
      <x:c r="D2427" s="27" t="str">
        <x:v>Hazard row 79 evidence open</x:v>
      </x:c>
      <x:c r="E2427" s="27" t="n">
        <x:f>IF('Hazard Register'!L79="OPEN",1,0)</x:f>
        <x:v>1</x:v>
      </x:c>
      <x:c r="F2427" s="27" t="n">
        <x:v>1</x:v>
      </x:c>
      <x:c r="G2427" s="29" t="str">
        <x:f>IF(E2427=F2427,"PASS","FAIL")</x:f>
        <x:v>PASS</x:v>
      </x:c>
    </x:row>
    <x:row r="2428" ht="18" customHeight="1">
      <x:c r="B2428" s="27" t="str">
        <x:v>A2422</x:v>
      </x:c>
      <x:c r="C2428" s="27" t="str">
        <x:v>hazard</x:v>
      </x:c>
      <x:c r="D2428" s="27" t="str">
        <x:v>Hazard row 79 zero credit</x:v>
      </x:c>
      <x:c r="E2428" s="27" t="n">
        <x:f>IF('Hazard Register'!M79=0,1,0)</x:f>
        <x:v>1</x:v>
      </x:c>
      <x:c r="F2428" s="27" t="n">
        <x:v>1</x:v>
      </x:c>
      <x:c r="G2428" s="29" t="str">
        <x:f>IF(E2428=F2428,"PASS","FAIL")</x:f>
        <x:v>PASS</x:v>
      </x:c>
    </x:row>
    <x:row r="2429" ht="18" customHeight="1">
      <x:c r="B2429" s="27" t="str">
        <x:v>A2423</x:v>
      </x:c>
      <x:c r="C2429" s="27" t="str">
        <x:v>hazard</x:v>
      </x:c>
      <x:c r="D2429" s="27" t="str">
        <x:v>Hazard row 80 severity registered</x:v>
      </x:c>
      <x:c r="E2429" s="27" t="n">
        <x:f>IF(AND('Hazard Register'!F80&gt;=1,'Hazard Register'!F80&lt;=5),1,0)</x:f>
        <x:v>1</x:v>
      </x:c>
      <x:c r="F2429" s="27" t="n">
        <x:v>1</x:v>
      </x:c>
      <x:c r="G2429" s="29" t="str">
        <x:f>IF(E2429=F2429,"PASS","FAIL")</x:f>
        <x:v>PASS</x:v>
      </x:c>
    </x:row>
    <x:row r="2430" ht="18" customHeight="1">
      <x:c r="B2430" s="27" t="str">
        <x:v>A2424</x:v>
      </x:c>
      <x:c r="C2430" s="27" t="str">
        <x:v>hazard</x:v>
      </x:c>
      <x:c r="D2430" s="27" t="str">
        <x:v>Hazard row 80 duration nonnegative</x:v>
      </x:c>
      <x:c r="E2430" s="27" t="n">
        <x:f>IF('Hazard Register'!G80&gt;=0,1,0)</x:f>
        <x:v>1</x:v>
      </x:c>
      <x:c r="F2430" s="27" t="n">
        <x:v>1</x:v>
      </x:c>
      <x:c r="G2430" s="29" t="str">
        <x:f>IF(E2430=F2430,"PASS","FAIL")</x:f>
        <x:v>PASS</x:v>
      </x:c>
    </x:row>
    <x:row r="2431" ht="18" customHeight="1">
      <x:c r="B2431" s="27" t="str">
        <x:v>A2425</x:v>
      </x:c>
      <x:c r="C2431" s="27" t="str">
        <x:v>hazard</x:v>
      </x:c>
      <x:c r="D2431" s="27" t="str">
        <x:v>Hazard row 80 threshold present</x:v>
      </x:c>
      <x:c r="E2431" s="27" t="n">
        <x:f>IF('Hazard Register'!I80&lt;&gt;"",1,0)</x:f>
        <x:v>1</x:v>
      </x:c>
      <x:c r="F2431" s="27" t="n">
        <x:v>1</x:v>
      </x:c>
      <x:c r="G2431" s="29" t="str">
        <x:f>IF(E2431=F2431,"PASS","FAIL")</x:f>
        <x:v>PASS</x:v>
      </x:c>
    </x:row>
    <x:row r="2432" ht="18" customHeight="1">
      <x:c r="B2432" s="27" t="str">
        <x:v>A2426</x:v>
      </x:c>
      <x:c r="C2432" s="27" t="str">
        <x:v>hazard</x:v>
      </x:c>
      <x:c r="D2432" s="27" t="str">
        <x:v>Hazard row 80 evidence open</x:v>
      </x:c>
      <x:c r="E2432" s="27" t="n">
        <x:f>IF('Hazard Register'!L80="OPEN",1,0)</x:f>
        <x:v>1</x:v>
      </x:c>
      <x:c r="F2432" s="27" t="n">
        <x:v>1</x:v>
      </x:c>
      <x:c r="G2432" s="29" t="str">
        <x:f>IF(E2432=F2432,"PASS","FAIL")</x:f>
        <x:v>PASS</x:v>
      </x:c>
    </x:row>
    <x:row r="2433" ht="18" customHeight="1">
      <x:c r="B2433" s="27" t="str">
        <x:v>A2427</x:v>
      </x:c>
      <x:c r="C2433" s="27" t="str">
        <x:v>hazard</x:v>
      </x:c>
      <x:c r="D2433" s="27" t="str">
        <x:v>Hazard row 80 zero credit</x:v>
      </x:c>
      <x:c r="E2433" s="27" t="n">
        <x:f>IF('Hazard Register'!M80=0,1,0)</x:f>
        <x:v>1</x:v>
      </x:c>
      <x:c r="F2433" s="27" t="n">
        <x:v>1</x:v>
      </x:c>
      <x:c r="G2433" s="29" t="str">
        <x:f>IF(E2433=F2433,"PASS","FAIL")</x:f>
        <x:v>PASS</x:v>
      </x:c>
    </x:row>
    <x:row r="2434" ht="18" customHeight="1">
      <x:c r="B2434" s="27" t="str">
        <x:v>A2428</x:v>
      </x:c>
      <x:c r="C2434" s="27" t="str">
        <x:v>hazard</x:v>
      </x:c>
      <x:c r="D2434" s="27" t="str">
        <x:v>Hazard row 81 severity registered</x:v>
      </x:c>
      <x:c r="E2434" s="27" t="n">
        <x:f>IF(AND('Hazard Register'!F81&gt;=1,'Hazard Register'!F81&lt;=5),1,0)</x:f>
        <x:v>1</x:v>
      </x:c>
      <x:c r="F2434" s="27" t="n">
        <x:v>1</x:v>
      </x:c>
      <x:c r="G2434" s="29" t="str">
        <x:f>IF(E2434=F2434,"PASS","FAIL")</x:f>
        <x:v>PASS</x:v>
      </x:c>
    </x:row>
    <x:row r="2435" ht="18" customHeight="1">
      <x:c r="B2435" s="27" t="str">
        <x:v>A2429</x:v>
      </x:c>
      <x:c r="C2435" s="27" t="str">
        <x:v>hazard</x:v>
      </x:c>
      <x:c r="D2435" s="27" t="str">
        <x:v>Hazard row 81 duration nonnegative</x:v>
      </x:c>
      <x:c r="E2435" s="27" t="n">
        <x:f>IF('Hazard Register'!G81&gt;=0,1,0)</x:f>
        <x:v>1</x:v>
      </x:c>
      <x:c r="F2435" s="27" t="n">
        <x:v>1</x:v>
      </x:c>
      <x:c r="G2435" s="29" t="str">
        <x:f>IF(E2435=F2435,"PASS","FAIL")</x:f>
        <x:v>PASS</x:v>
      </x:c>
    </x:row>
    <x:row r="2436" ht="18" customHeight="1">
      <x:c r="B2436" s="27" t="str">
        <x:v>A2430</x:v>
      </x:c>
      <x:c r="C2436" s="27" t="str">
        <x:v>hazard</x:v>
      </x:c>
      <x:c r="D2436" s="27" t="str">
        <x:v>Hazard row 81 threshold present</x:v>
      </x:c>
      <x:c r="E2436" s="27" t="n">
        <x:f>IF('Hazard Register'!I81&lt;&gt;"",1,0)</x:f>
        <x:v>1</x:v>
      </x:c>
      <x:c r="F2436" s="27" t="n">
        <x:v>1</x:v>
      </x:c>
      <x:c r="G2436" s="29" t="str">
        <x:f>IF(E2436=F2436,"PASS","FAIL")</x:f>
        <x:v>PASS</x:v>
      </x:c>
    </x:row>
    <x:row r="2437" ht="18" customHeight="1">
      <x:c r="B2437" s="27" t="str">
        <x:v>A2431</x:v>
      </x:c>
      <x:c r="C2437" s="27" t="str">
        <x:v>hazard</x:v>
      </x:c>
      <x:c r="D2437" s="27" t="str">
        <x:v>Hazard row 81 evidence open</x:v>
      </x:c>
      <x:c r="E2437" s="27" t="n">
        <x:f>IF('Hazard Register'!L81="OPEN",1,0)</x:f>
        <x:v>1</x:v>
      </x:c>
      <x:c r="F2437" s="27" t="n">
        <x:v>1</x:v>
      </x:c>
      <x:c r="G2437" s="29" t="str">
        <x:f>IF(E2437=F2437,"PASS","FAIL")</x:f>
        <x:v>PASS</x:v>
      </x:c>
    </x:row>
    <x:row r="2438" ht="18" customHeight="1">
      <x:c r="B2438" s="27" t="str">
        <x:v>A2432</x:v>
      </x:c>
      <x:c r="C2438" s="27" t="str">
        <x:v>hazard</x:v>
      </x:c>
      <x:c r="D2438" s="27" t="str">
        <x:v>Hazard row 81 zero credit</x:v>
      </x:c>
      <x:c r="E2438" s="27" t="n">
        <x:f>IF('Hazard Register'!M81=0,1,0)</x:f>
        <x:v>1</x:v>
      </x:c>
      <x:c r="F2438" s="27" t="n">
        <x:v>1</x:v>
      </x:c>
      <x:c r="G2438" s="29" t="str">
        <x:f>IF(E2438=F2438,"PASS","FAIL")</x:f>
        <x:v>PASS</x:v>
      </x:c>
    </x:row>
    <x:row r="2439" ht="18" customHeight="1">
      <x:c r="B2439" s="27" t="str">
        <x:v>A2433</x:v>
      </x:c>
      <x:c r="C2439" s="27" t="str">
        <x:v>hazard</x:v>
      </x:c>
      <x:c r="D2439" s="27" t="str">
        <x:v>Hazard row 82 severity registered</x:v>
      </x:c>
      <x:c r="E2439" s="27" t="n">
        <x:f>IF(AND('Hazard Register'!F82&gt;=1,'Hazard Register'!F82&lt;=5),1,0)</x:f>
        <x:v>1</x:v>
      </x:c>
      <x:c r="F2439" s="27" t="n">
        <x:v>1</x:v>
      </x:c>
      <x:c r="G2439" s="29" t="str">
        <x:f>IF(E2439=F2439,"PASS","FAIL")</x:f>
        <x:v>PASS</x:v>
      </x:c>
    </x:row>
    <x:row r="2440" ht="18" customHeight="1">
      <x:c r="B2440" s="27" t="str">
        <x:v>A2434</x:v>
      </x:c>
      <x:c r="C2440" s="27" t="str">
        <x:v>hazard</x:v>
      </x:c>
      <x:c r="D2440" s="27" t="str">
        <x:v>Hazard row 82 duration nonnegative</x:v>
      </x:c>
      <x:c r="E2440" s="27" t="n">
        <x:f>IF('Hazard Register'!G82&gt;=0,1,0)</x:f>
        <x:v>1</x:v>
      </x:c>
      <x:c r="F2440" s="27" t="n">
        <x:v>1</x:v>
      </x:c>
      <x:c r="G2440" s="29" t="str">
        <x:f>IF(E2440=F2440,"PASS","FAIL")</x:f>
        <x:v>PASS</x:v>
      </x:c>
    </x:row>
    <x:row r="2441" ht="18" customHeight="1">
      <x:c r="B2441" s="27" t="str">
        <x:v>A2435</x:v>
      </x:c>
      <x:c r="C2441" s="27" t="str">
        <x:v>hazard</x:v>
      </x:c>
      <x:c r="D2441" s="27" t="str">
        <x:v>Hazard row 82 threshold present</x:v>
      </x:c>
      <x:c r="E2441" s="27" t="n">
        <x:f>IF('Hazard Register'!I82&lt;&gt;"",1,0)</x:f>
        <x:v>1</x:v>
      </x:c>
      <x:c r="F2441" s="27" t="n">
        <x:v>1</x:v>
      </x:c>
      <x:c r="G2441" s="29" t="str">
        <x:f>IF(E2441=F2441,"PASS","FAIL")</x:f>
        <x:v>PASS</x:v>
      </x:c>
    </x:row>
    <x:row r="2442" ht="18" customHeight="1">
      <x:c r="B2442" s="27" t="str">
        <x:v>A2436</x:v>
      </x:c>
      <x:c r="C2442" s="27" t="str">
        <x:v>hazard</x:v>
      </x:c>
      <x:c r="D2442" s="27" t="str">
        <x:v>Hazard row 82 evidence open</x:v>
      </x:c>
      <x:c r="E2442" s="27" t="n">
        <x:f>IF('Hazard Register'!L82="OPEN",1,0)</x:f>
        <x:v>1</x:v>
      </x:c>
      <x:c r="F2442" s="27" t="n">
        <x:v>1</x:v>
      </x:c>
      <x:c r="G2442" s="29" t="str">
        <x:f>IF(E2442=F2442,"PASS","FAIL")</x:f>
        <x:v>PASS</x:v>
      </x:c>
    </x:row>
    <x:row r="2443" ht="18" customHeight="1">
      <x:c r="B2443" s="27" t="str">
        <x:v>A2437</x:v>
      </x:c>
      <x:c r="C2443" s="27" t="str">
        <x:v>hazard</x:v>
      </x:c>
      <x:c r="D2443" s="27" t="str">
        <x:v>Hazard row 82 zero credit</x:v>
      </x:c>
      <x:c r="E2443" s="27" t="n">
        <x:f>IF('Hazard Register'!M82=0,1,0)</x:f>
        <x:v>1</x:v>
      </x:c>
      <x:c r="F2443" s="27" t="n">
        <x:v>1</x:v>
      </x:c>
      <x:c r="G2443" s="29" t="str">
        <x:f>IF(E2443=F2443,"PASS","FAIL")</x:f>
        <x:v>PASS</x:v>
      </x:c>
    </x:row>
    <x:row r="2444" ht="18" customHeight="1">
      <x:c r="B2444" s="27" t="str">
        <x:v>A2438</x:v>
      </x:c>
      <x:c r="C2444" s="27" t="str">
        <x:v>hazard</x:v>
      </x:c>
      <x:c r="D2444" s="27" t="str">
        <x:v>Hazard row 83 severity registered</x:v>
      </x:c>
      <x:c r="E2444" s="27" t="n">
        <x:f>IF(AND('Hazard Register'!F83&gt;=1,'Hazard Register'!F83&lt;=5),1,0)</x:f>
        <x:v>1</x:v>
      </x:c>
      <x:c r="F2444" s="27" t="n">
        <x:v>1</x:v>
      </x:c>
      <x:c r="G2444" s="29" t="str">
        <x:f>IF(E2444=F2444,"PASS","FAIL")</x:f>
        <x:v>PASS</x:v>
      </x:c>
    </x:row>
    <x:row r="2445" ht="18" customHeight="1">
      <x:c r="B2445" s="27" t="str">
        <x:v>A2439</x:v>
      </x:c>
      <x:c r="C2445" s="27" t="str">
        <x:v>hazard</x:v>
      </x:c>
      <x:c r="D2445" s="27" t="str">
        <x:v>Hazard row 83 duration nonnegative</x:v>
      </x:c>
      <x:c r="E2445" s="27" t="n">
        <x:f>IF('Hazard Register'!G83&gt;=0,1,0)</x:f>
        <x:v>1</x:v>
      </x:c>
      <x:c r="F2445" s="27" t="n">
        <x:v>1</x:v>
      </x:c>
      <x:c r="G2445" s="29" t="str">
        <x:f>IF(E2445=F2445,"PASS","FAIL")</x:f>
        <x:v>PASS</x:v>
      </x:c>
    </x:row>
    <x:row r="2446" ht="18" customHeight="1">
      <x:c r="B2446" s="27" t="str">
        <x:v>A2440</x:v>
      </x:c>
      <x:c r="C2446" s="27" t="str">
        <x:v>hazard</x:v>
      </x:c>
      <x:c r="D2446" s="27" t="str">
        <x:v>Hazard row 83 threshold present</x:v>
      </x:c>
      <x:c r="E2446" s="27" t="n">
        <x:f>IF('Hazard Register'!I83&lt;&gt;"",1,0)</x:f>
        <x:v>1</x:v>
      </x:c>
      <x:c r="F2446" s="27" t="n">
        <x:v>1</x:v>
      </x:c>
      <x:c r="G2446" s="29" t="str">
        <x:f>IF(E2446=F2446,"PASS","FAIL")</x:f>
        <x:v>PASS</x:v>
      </x:c>
    </x:row>
    <x:row r="2447" ht="18" customHeight="1">
      <x:c r="B2447" s="27" t="str">
        <x:v>A2441</x:v>
      </x:c>
      <x:c r="C2447" s="27" t="str">
        <x:v>hazard</x:v>
      </x:c>
      <x:c r="D2447" s="27" t="str">
        <x:v>Hazard row 83 evidence open</x:v>
      </x:c>
      <x:c r="E2447" s="27" t="n">
        <x:f>IF('Hazard Register'!L83="OPEN",1,0)</x:f>
        <x:v>1</x:v>
      </x:c>
      <x:c r="F2447" s="27" t="n">
        <x:v>1</x:v>
      </x:c>
      <x:c r="G2447" s="29" t="str">
        <x:f>IF(E2447=F2447,"PASS","FAIL")</x:f>
        <x:v>PASS</x:v>
      </x:c>
    </x:row>
    <x:row r="2448" ht="18" customHeight="1">
      <x:c r="B2448" s="27" t="str">
        <x:v>A2442</x:v>
      </x:c>
      <x:c r="C2448" s="27" t="str">
        <x:v>hazard</x:v>
      </x:c>
      <x:c r="D2448" s="27" t="str">
        <x:v>Hazard row 83 zero credit</x:v>
      </x:c>
      <x:c r="E2448" s="27" t="n">
        <x:f>IF('Hazard Register'!M83=0,1,0)</x:f>
        <x:v>1</x:v>
      </x:c>
      <x:c r="F2448" s="27" t="n">
        <x:v>1</x:v>
      </x:c>
      <x:c r="G2448" s="29" t="str">
        <x:f>IF(E2448=F2448,"PASS","FAIL")</x:f>
        <x:v>PASS</x:v>
      </x:c>
    </x:row>
    <x:row r="2449" ht="18" customHeight="1">
      <x:c r="B2449" s="27" t="str">
        <x:v>A2443</x:v>
      </x:c>
      <x:c r="C2449" s="27" t="str">
        <x:v>hazard</x:v>
      </x:c>
      <x:c r="D2449" s="27" t="str">
        <x:v>Hazard row 84 severity registered</x:v>
      </x:c>
      <x:c r="E2449" s="27" t="n">
        <x:f>IF(AND('Hazard Register'!F84&gt;=1,'Hazard Register'!F84&lt;=5),1,0)</x:f>
        <x:v>1</x:v>
      </x:c>
      <x:c r="F2449" s="27" t="n">
        <x:v>1</x:v>
      </x:c>
      <x:c r="G2449" s="29" t="str">
        <x:f>IF(E2449=F2449,"PASS","FAIL")</x:f>
        <x:v>PASS</x:v>
      </x:c>
    </x:row>
    <x:row r="2450" ht="18" customHeight="1">
      <x:c r="B2450" s="27" t="str">
        <x:v>A2444</x:v>
      </x:c>
      <x:c r="C2450" s="27" t="str">
        <x:v>hazard</x:v>
      </x:c>
      <x:c r="D2450" s="27" t="str">
        <x:v>Hazard row 84 duration nonnegative</x:v>
      </x:c>
      <x:c r="E2450" s="27" t="n">
        <x:f>IF('Hazard Register'!G84&gt;=0,1,0)</x:f>
        <x:v>1</x:v>
      </x:c>
      <x:c r="F2450" s="27" t="n">
        <x:v>1</x:v>
      </x:c>
      <x:c r="G2450" s="29" t="str">
        <x:f>IF(E2450=F2450,"PASS","FAIL")</x:f>
        <x:v>PASS</x:v>
      </x:c>
    </x:row>
    <x:row r="2451" ht="18" customHeight="1">
      <x:c r="B2451" s="27" t="str">
        <x:v>A2445</x:v>
      </x:c>
      <x:c r="C2451" s="27" t="str">
        <x:v>hazard</x:v>
      </x:c>
      <x:c r="D2451" s="27" t="str">
        <x:v>Hazard row 84 threshold present</x:v>
      </x:c>
      <x:c r="E2451" s="27" t="n">
        <x:f>IF('Hazard Register'!I84&lt;&gt;"",1,0)</x:f>
        <x:v>1</x:v>
      </x:c>
      <x:c r="F2451" s="27" t="n">
        <x:v>1</x:v>
      </x:c>
      <x:c r="G2451" s="29" t="str">
        <x:f>IF(E2451=F2451,"PASS","FAIL")</x:f>
        <x:v>PASS</x:v>
      </x:c>
    </x:row>
    <x:row r="2452" ht="18" customHeight="1">
      <x:c r="B2452" s="27" t="str">
        <x:v>A2446</x:v>
      </x:c>
      <x:c r="C2452" s="27" t="str">
        <x:v>hazard</x:v>
      </x:c>
      <x:c r="D2452" s="27" t="str">
        <x:v>Hazard row 84 evidence open</x:v>
      </x:c>
      <x:c r="E2452" s="27" t="n">
        <x:f>IF('Hazard Register'!L84="OPEN",1,0)</x:f>
        <x:v>1</x:v>
      </x:c>
      <x:c r="F2452" s="27" t="n">
        <x:v>1</x:v>
      </x:c>
      <x:c r="G2452" s="29" t="str">
        <x:f>IF(E2452=F2452,"PASS","FAIL")</x:f>
        <x:v>PASS</x:v>
      </x:c>
    </x:row>
    <x:row r="2453" ht="18" customHeight="1">
      <x:c r="B2453" s="27" t="str">
        <x:v>A2447</x:v>
      </x:c>
      <x:c r="C2453" s="27" t="str">
        <x:v>hazard</x:v>
      </x:c>
      <x:c r="D2453" s="27" t="str">
        <x:v>Hazard row 84 zero credit</x:v>
      </x:c>
      <x:c r="E2453" s="27" t="n">
        <x:f>IF('Hazard Register'!M84=0,1,0)</x:f>
        <x:v>1</x:v>
      </x:c>
      <x:c r="F2453" s="27" t="n">
        <x:v>1</x:v>
      </x:c>
      <x:c r="G2453" s="29" t="str">
        <x:f>IF(E2453=F2453,"PASS","FAIL")</x:f>
        <x:v>PASS</x:v>
      </x:c>
    </x:row>
    <x:row r="2454" ht="18" customHeight="1">
      <x:c r="B2454" s="27" t="str">
        <x:v>A2448</x:v>
      </x:c>
      <x:c r="C2454" s="27" t="str">
        <x:v>hazard</x:v>
      </x:c>
      <x:c r="D2454" s="27" t="str">
        <x:v>Hazard row 85 severity registered</x:v>
      </x:c>
      <x:c r="E2454" s="27" t="n">
        <x:f>IF(AND('Hazard Register'!F85&gt;=1,'Hazard Register'!F85&lt;=5),1,0)</x:f>
        <x:v>1</x:v>
      </x:c>
      <x:c r="F2454" s="27" t="n">
        <x:v>1</x:v>
      </x:c>
      <x:c r="G2454" s="29" t="str">
        <x:f>IF(E2454=F2454,"PASS","FAIL")</x:f>
        <x:v>PASS</x:v>
      </x:c>
    </x:row>
    <x:row r="2455" ht="18" customHeight="1">
      <x:c r="B2455" s="27" t="str">
        <x:v>A2449</x:v>
      </x:c>
      <x:c r="C2455" s="27" t="str">
        <x:v>hazard</x:v>
      </x:c>
      <x:c r="D2455" s="27" t="str">
        <x:v>Hazard row 85 duration nonnegative</x:v>
      </x:c>
      <x:c r="E2455" s="27" t="n">
        <x:f>IF('Hazard Register'!G85&gt;=0,1,0)</x:f>
        <x:v>1</x:v>
      </x:c>
      <x:c r="F2455" s="27" t="n">
        <x:v>1</x:v>
      </x:c>
      <x:c r="G2455" s="29" t="str">
        <x:f>IF(E2455=F2455,"PASS","FAIL")</x:f>
        <x:v>PASS</x:v>
      </x:c>
    </x:row>
    <x:row r="2456" ht="18" customHeight="1">
      <x:c r="B2456" s="27" t="str">
        <x:v>A2450</x:v>
      </x:c>
      <x:c r="C2456" s="27" t="str">
        <x:v>hazard</x:v>
      </x:c>
      <x:c r="D2456" s="27" t="str">
        <x:v>Hazard row 85 threshold present</x:v>
      </x:c>
      <x:c r="E2456" s="27" t="n">
        <x:f>IF('Hazard Register'!I85&lt;&gt;"",1,0)</x:f>
        <x:v>1</x:v>
      </x:c>
      <x:c r="F2456" s="27" t="n">
        <x:v>1</x:v>
      </x:c>
      <x:c r="G2456" s="29" t="str">
        <x:f>IF(E2456=F2456,"PASS","FAIL")</x:f>
        <x:v>PASS</x:v>
      </x:c>
    </x:row>
    <x:row r="2457" ht="18" customHeight="1">
      <x:c r="B2457" s="27" t="str">
        <x:v>A2451</x:v>
      </x:c>
      <x:c r="C2457" s="27" t="str">
        <x:v>hazard</x:v>
      </x:c>
      <x:c r="D2457" s="27" t="str">
        <x:v>Hazard row 85 evidence open</x:v>
      </x:c>
      <x:c r="E2457" s="27" t="n">
        <x:f>IF('Hazard Register'!L85="OPEN",1,0)</x:f>
        <x:v>1</x:v>
      </x:c>
      <x:c r="F2457" s="27" t="n">
        <x:v>1</x:v>
      </x:c>
      <x:c r="G2457" s="29" t="str">
        <x:f>IF(E2457=F2457,"PASS","FAIL")</x:f>
        <x:v>PASS</x:v>
      </x:c>
    </x:row>
    <x:row r="2458" ht="18" customHeight="1">
      <x:c r="B2458" s="27" t="str">
        <x:v>A2452</x:v>
      </x:c>
      <x:c r="C2458" s="27" t="str">
        <x:v>hazard</x:v>
      </x:c>
      <x:c r="D2458" s="27" t="str">
        <x:v>Hazard row 85 zero credit</x:v>
      </x:c>
      <x:c r="E2458" s="27" t="n">
        <x:f>IF('Hazard Register'!M85=0,1,0)</x:f>
        <x:v>1</x:v>
      </x:c>
      <x:c r="F2458" s="27" t="n">
        <x:v>1</x:v>
      </x:c>
      <x:c r="G2458" s="29" t="str">
        <x:f>IF(E2458=F2458,"PASS","FAIL")</x:f>
        <x:v>PASS</x:v>
      </x:c>
    </x:row>
    <x:row r="2459" ht="18" customHeight="1">
      <x:c r="B2459" s="27" t="str">
        <x:v>A2453</x:v>
      </x:c>
      <x:c r="C2459" s="27" t="str">
        <x:v>hazard</x:v>
      </x:c>
      <x:c r="D2459" s="27" t="str">
        <x:v>Hazard row 86 severity registered</x:v>
      </x:c>
      <x:c r="E2459" s="27" t="n">
        <x:f>IF(AND('Hazard Register'!F86&gt;=1,'Hazard Register'!F86&lt;=5),1,0)</x:f>
        <x:v>1</x:v>
      </x:c>
      <x:c r="F2459" s="27" t="n">
        <x:v>1</x:v>
      </x:c>
      <x:c r="G2459" s="29" t="str">
        <x:f>IF(E2459=F2459,"PASS","FAIL")</x:f>
        <x:v>PASS</x:v>
      </x:c>
    </x:row>
    <x:row r="2460" ht="18" customHeight="1">
      <x:c r="B2460" s="27" t="str">
        <x:v>A2454</x:v>
      </x:c>
      <x:c r="C2460" s="27" t="str">
        <x:v>hazard</x:v>
      </x:c>
      <x:c r="D2460" s="27" t="str">
        <x:v>Hazard row 86 duration nonnegative</x:v>
      </x:c>
      <x:c r="E2460" s="27" t="n">
        <x:f>IF('Hazard Register'!G86&gt;=0,1,0)</x:f>
        <x:v>1</x:v>
      </x:c>
      <x:c r="F2460" s="27" t="n">
        <x:v>1</x:v>
      </x:c>
      <x:c r="G2460" s="29" t="str">
        <x:f>IF(E2460=F2460,"PASS","FAIL")</x:f>
        <x:v>PASS</x:v>
      </x:c>
    </x:row>
    <x:row r="2461" ht="18" customHeight="1">
      <x:c r="B2461" s="27" t="str">
        <x:v>A2455</x:v>
      </x:c>
      <x:c r="C2461" s="27" t="str">
        <x:v>hazard</x:v>
      </x:c>
      <x:c r="D2461" s="27" t="str">
        <x:v>Hazard row 86 threshold present</x:v>
      </x:c>
      <x:c r="E2461" s="27" t="n">
        <x:f>IF('Hazard Register'!I86&lt;&gt;"",1,0)</x:f>
        <x:v>1</x:v>
      </x:c>
      <x:c r="F2461" s="27" t="n">
        <x:v>1</x:v>
      </x:c>
      <x:c r="G2461" s="29" t="str">
        <x:f>IF(E2461=F2461,"PASS","FAIL")</x:f>
        <x:v>PASS</x:v>
      </x:c>
    </x:row>
    <x:row r="2462" ht="18" customHeight="1">
      <x:c r="B2462" s="27" t="str">
        <x:v>A2456</x:v>
      </x:c>
      <x:c r="C2462" s="27" t="str">
        <x:v>hazard</x:v>
      </x:c>
      <x:c r="D2462" s="27" t="str">
        <x:v>Hazard row 86 evidence open</x:v>
      </x:c>
      <x:c r="E2462" s="27" t="n">
        <x:f>IF('Hazard Register'!L86="OPEN",1,0)</x:f>
        <x:v>1</x:v>
      </x:c>
      <x:c r="F2462" s="27" t="n">
        <x:v>1</x:v>
      </x:c>
      <x:c r="G2462" s="29" t="str">
        <x:f>IF(E2462=F2462,"PASS","FAIL")</x:f>
        <x:v>PASS</x:v>
      </x:c>
    </x:row>
    <x:row r="2463" ht="18" customHeight="1">
      <x:c r="B2463" s="27" t="str">
        <x:v>A2457</x:v>
      </x:c>
      <x:c r="C2463" s="27" t="str">
        <x:v>hazard</x:v>
      </x:c>
      <x:c r="D2463" s="27" t="str">
        <x:v>Hazard row 86 zero credit</x:v>
      </x:c>
      <x:c r="E2463" s="27" t="n">
        <x:f>IF('Hazard Register'!M86=0,1,0)</x:f>
        <x:v>1</x:v>
      </x:c>
      <x:c r="F2463" s="27" t="n">
        <x:v>1</x:v>
      </x:c>
      <x:c r="G2463" s="29" t="str">
        <x:f>IF(E2463=F2463,"PASS","FAIL")</x:f>
        <x:v>PASS</x:v>
      </x:c>
    </x:row>
    <x:row r="2464" ht="18" customHeight="1">
      <x:c r="B2464" s="27" t="str">
        <x:v>A2458</x:v>
      </x:c>
      <x:c r="C2464" s="27" t="str">
        <x:v>hazard</x:v>
      </x:c>
      <x:c r="D2464" s="27" t="str">
        <x:v>Hazard row 87 severity registered</x:v>
      </x:c>
      <x:c r="E2464" s="27" t="n">
        <x:f>IF(AND('Hazard Register'!F87&gt;=1,'Hazard Register'!F87&lt;=5),1,0)</x:f>
        <x:v>1</x:v>
      </x:c>
      <x:c r="F2464" s="27" t="n">
        <x:v>1</x:v>
      </x:c>
      <x:c r="G2464" s="29" t="str">
        <x:f>IF(E2464=F2464,"PASS","FAIL")</x:f>
        <x:v>PASS</x:v>
      </x:c>
    </x:row>
    <x:row r="2465" ht="18" customHeight="1">
      <x:c r="B2465" s="27" t="str">
        <x:v>A2459</x:v>
      </x:c>
      <x:c r="C2465" s="27" t="str">
        <x:v>hazard</x:v>
      </x:c>
      <x:c r="D2465" s="27" t="str">
        <x:v>Hazard row 87 duration nonnegative</x:v>
      </x:c>
      <x:c r="E2465" s="27" t="n">
        <x:f>IF('Hazard Register'!G87&gt;=0,1,0)</x:f>
        <x:v>1</x:v>
      </x:c>
      <x:c r="F2465" s="27" t="n">
        <x:v>1</x:v>
      </x:c>
      <x:c r="G2465" s="29" t="str">
        <x:f>IF(E2465=F2465,"PASS","FAIL")</x:f>
        <x:v>PASS</x:v>
      </x:c>
    </x:row>
    <x:row r="2466" ht="18" customHeight="1">
      <x:c r="B2466" s="27" t="str">
        <x:v>A2460</x:v>
      </x:c>
      <x:c r="C2466" s="27" t="str">
        <x:v>hazard</x:v>
      </x:c>
      <x:c r="D2466" s="27" t="str">
        <x:v>Hazard row 87 threshold present</x:v>
      </x:c>
      <x:c r="E2466" s="27" t="n">
        <x:f>IF('Hazard Register'!I87&lt;&gt;"",1,0)</x:f>
        <x:v>1</x:v>
      </x:c>
      <x:c r="F2466" s="27" t="n">
        <x:v>1</x:v>
      </x:c>
      <x:c r="G2466" s="29" t="str">
        <x:f>IF(E2466=F2466,"PASS","FAIL")</x:f>
        <x:v>PASS</x:v>
      </x:c>
    </x:row>
    <x:row r="2467" ht="18" customHeight="1">
      <x:c r="B2467" s="27" t="str">
        <x:v>A2461</x:v>
      </x:c>
      <x:c r="C2467" s="27" t="str">
        <x:v>hazard</x:v>
      </x:c>
      <x:c r="D2467" s="27" t="str">
        <x:v>Hazard row 87 evidence open</x:v>
      </x:c>
      <x:c r="E2467" s="27" t="n">
        <x:f>IF('Hazard Register'!L87="OPEN",1,0)</x:f>
        <x:v>1</x:v>
      </x:c>
      <x:c r="F2467" s="27" t="n">
        <x:v>1</x:v>
      </x:c>
      <x:c r="G2467" s="29" t="str">
        <x:f>IF(E2467=F2467,"PASS","FAIL")</x:f>
        <x:v>PASS</x:v>
      </x:c>
    </x:row>
    <x:row r="2468" ht="18" customHeight="1">
      <x:c r="B2468" s="27" t="str">
        <x:v>A2462</x:v>
      </x:c>
      <x:c r="C2468" s="27" t="str">
        <x:v>hazard</x:v>
      </x:c>
      <x:c r="D2468" s="27" t="str">
        <x:v>Hazard row 87 zero credit</x:v>
      </x:c>
      <x:c r="E2468" s="27" t="n">
        <x:f>IF('Hazard Register'!M87=0,1,0)</x:f>
        <x:v>1</x:v>
      </x:c>
      <x:c r="F2468" s="27" t="n">
        <x:v>1</x:v>
      </x:c>
      <x:c r="G2468" s="29" t="str">
        <x:f>IF(E2468=F2468,"PASS","FAIL")</x:f>
        <x:v>PASS</x:v>
      </x:c>
    </x:row>
    <x:row r="2469" ht="18" customHeight="1">
      <x:c r="B2469" s="27" t="str">
        <x:v>A2463</x:v>
      </x:c>
      <x:c r="C2469" s="27" t="str">
        <x:v>hazard</x:v>
      </x:c>
      <x:c r="D2469" s="27" t="str">
        <x:v>Hazard row 88 severity registered</x:v>
      </x:c>
      <x:c r="E2469" s="27" t="n">
        <x:f>IF(AND('Hazard Register'!F88&gt;=1,'Hazard Register'!F88&lt;=5),1,0)</x:f>
        <x:v>1</x:v>
      </x:c>
      <x:c r="F2469" s="27" t="n">
        <x:v>1</x:v>
      </x:c>
      <x:c r="G2469" s="29" t="str">
        <x:f>IF(E2469=F2469,"PASS","FAIL")</x:f>
        <x:v>PASS</x:v>
      </x:c>
    </x:row>
    <x:row r="2470" ht="18" customHeight="1">
      <x:c r="B2470" s="27" t="str">
        <x:v>A2464</x:v>
      </x:c>
      <x:c r="C2470" s="27" t="str">
        <x:v>hazard</x:v>
      </x:c>
      <x:c r="D2470" s="27" t="str">
        <x:v>Hazard row 88 duration nonnegative</x:v>
      </x:c>
      <x:c r="E2470" s="27" t="n">
        <x:f>IF('Hazard Register'!G88&gt;=0,1,0)</x:f>
        <x:v>1</x:v>
      </x:c>
      <x:c r="F2470" s="27" t="n">
        <x:v>1</x:v>
      </x:c>
      <x:c r="G2470" s="29" t="str">
        <x:f>IF(E2470=F2470,"PASS","FAIL")</x:f>
        <x:v>PASS</x:v>
      </x:c>
    </x:row>
    <x:row r="2471" ht="18" customHeight="1">
      <x:c r="B2471" s="27" t="str">
        <x:v>A2465</x:v>
      </x:c>
      <x:c r="C2471" s="27" t="str">
        <x:v>hazard</x:v>
      </x:c>
      <x:c r="D2471" s="27" t="str">
        <x:v>Hazard row 88 threshold present</x:v>
      </x:c>
      <x:c r="E2471" s="27" t="n">
        <x:f>IF('Hazard Register'!I88&lt;&gt;"",1,0)</x:f>
        <x:v>1</x:v>
      </x:c>
      <x:c r="F2471" s="27" t="n">
        <x:v>1</x:v>
      </x:c>
      <x:c r="G2471" s="29" t="str">
        <x:f>IF(E2471=F2471,"PASS","FAIL")</x:f>
        <x:v>PASS</x:v>
      </x:c>
    </x:row>
    <x:row r="2472" ht="18" customHeight="1">
      <x:c r="B2472" s="27" t="str">
        <x:v>A2466</x:v>
      </x:c>
      <x:c r="C2472" s="27" t="str">
        <x:v>hazard</x:v>
      </x:c>
      <x:c r="D2472" s="27" t="str">
        <x:v>Hazard row 88 evidence open</x:v>
      </x:c>
      <x:c r="E2472" s="27" t="n">
        <x:f>IF('Hazard Register'!L88="OPEN",1,0)</x:f>
        <x:v>1</x:v>
      </x:c>
      <x:c r="F2472" s="27" t="n">
        <x:v>1</x:v>
      </x:c>
      <x:c r="G2472" s="29" t="str">
        <x:f>IF(E2472=F2472,"PASS","FAIL")</x:f>
        <x:v>PASS</x:v>
      </x:c>
    </x:row>
    <x:row r="2473" ht="18" customHeight="1">
      <x:c r="B2473" s="27" t="str">
        <x:v>A2467</x:v>
      </x:c>
      <x:c r="C2473" s="27" t="str">
        <x:v>hazard</x:v>
      </x:c>
      <x:c r="D2473" s="27" t="str">
        <x:v>Hazard row 88 zero credit</x:v>
      </x:c>
      <x:c r="E2473" s="27" t="n">
        <x:f>IF('Hazard Register'!M88=0,1,0)</x:f>
        <x:v>1</x:v>
      </x:c>
      <x:c r="F2473" s="27" t="n">
        <x:v>1</x:v>
      </x:c>
      <x:c r="G2473" s="29" t="str">
        <x:f>IF(E2473=F2473,"PASS","FAIL")</x:f>
        <x:v>PASS</x:v>
      </x:c>
    </x:row>
    <x:row r="2474" ht="18" customHeight="1">
      <x:c r="B2474" s="27" t="str">
        <x:v>A2468</x:v>
      </x:c>
      <x:c r="C2474" s="27" t="str">
        <x:v>hazard</x:v>
      </x:c>
      <x:c r="D2474" s="27" t="str">
        <x:v>Hazard row 89 severity registered</x:v>
      </x:c>
      <x:c r="E2474" s="27" t="n">
        <x:f>IF(AND('Hazard Register'!F89&gt;=1,'Hazard Register'!F89&lt;=5),1,0)</x:f>
        <x:v>1</x:v>
      </x:c>
      <x:c r="F2474" s="27" t="n">
        <x:v>1</x:v>
      </x:c>
      <x:c r="G2474" s="29" t="str">
        <x:f>IF(E2474=F2474,"PASS","FAIL")</x:f>
        <x:v>PASS</x:v>
      </x:c>
    </x:row>
    <x:row r="2475" ht="18" customHeight="1">
      <x:c r="B2475" s="27" t="str">
        <x:v>A2469</x:v>
      </x:c>
      <x:c r="C2475" s="27" t="str">
        <x:v>hazard</x:v>
      </x:c>
      <x:c r="D2475" s="27" t="str">
        <x:v>Hazard row 89 duration nonnegative</x:v>
      </x:c>
      <x:c r="E2475" s="27" t="n">
        <x:f>IF('Hazard Register'!G89&gt;=0,1,0)</x:f>
        <x:v>1</x:v>
      </x:c>
      <x:c r="F2475" s="27" t="n">
        <x:v>1</x:v>
      </x:c>
      <x:c r="G2475" s="29" t="str">
        <x:f>IF(E2475=F2475,"PASS","FAIL")</x:f>
        <x:v>PASS</x:v>
      </x:c>
    </x:row>
    <x:row r="2476" ht="18" customHeight="1">
      <x:c r="B2476" s="27" t="str">
        <x:v>A2470</x:v>
      </x:c>
      <x:c r="C2476" s="27" t="str">
        <x:v>hazard</x:v>
      </x:c>
      <x:c r="D2476" s="27" t="str">
        <x:v>Hazard row 89 threshold present</x:v>
      </x:c>
      <x:c r="E2476" s="27" t="n">
        <x:f>IF('Hazard Register'!I89&lt;&gt;"",1,0)</x:f>
        <x:v>1</x:v>
      </x:c>
      <x:c r="F2476" s="27" t="n">
        <x:v>1</x:v>
      </x:c>
      <x:c r="G2476" s="29" t="str">
        <x:f>IF(E2476=F2476,"PASS","FAIL")</x:f>
        <x:v>PASS</x:v>
      </x:c>
    </x:row>
    <x:row r="2477" ht="18" customHeight="1">
      <x:c r="B2477" s="27" t="str">
        <x:v>A2471</x:v>
      </x:c>
      <x:c r="C2477" s="27" t="str">
        <x:v>hazard</x:v>
      </x:c>
      <x:c r="D2477" s="27" t="str">
        <x:v>Hazard row 89 evidence open</x:v>
      </x:c>
      <x:c r="E2477" s="27" t="n">
        <x:f>IF('Hazard Register'!L89="OPEN",1,0)</x:f>
        <x:v>1</x:v>
      </x:c>
      <x:c r="F2477" s="27" t="n">
        <x:v>1</x:v>
      </x:c>
      <x:c r="G2477" s="29" t="str">
        <x:f>IF(E2477=F2477,"PASS","FAIL")</x:f>
        <x:v>PASS</x:v>
      </x:c>
    </x:row>
    <x:row r="2478" ht="18" customHeight="1">
      <x:c r="B2478" s="27" t="str">
        <x:v>A2472</x:v>
      </x:c>
      <x:c r="C2478" s="27" t="str">
        <x:v>hazard</x:v>
      </x:c>
      <x:c r="D2478" s="27" t="str">
        <x:v>Hazard row 89 zero credit</x:v>
      </x:c>
      <x:c r="E2478" s="27" t="n">
        <x:f>IF('Hazard Register'!M89=0,1,0)</x:f>
        <x:v>1</x:v>
      </x:c>
      <x:c r="F2478" s="27" t="n">
        <x:v>1</x:v>
      </x:c>
      <x:c r="G2478" s="29" t="str">
        <x:f>IF(E2478=F2478,"PASS","FAIL")</x:f>
        <x:v>PASS</x:v>
      </x:c>
    </x:row>
    <x:row r="2479" ht="18" customHeight="1">
      <x:c r="B2479" s="27" t="str">
        <x:v>A2473</x:v>
      </x:c>
      <x:c r="C2479" s="27" t="str">
        <x:v>hazard</x:v>
      </x:c>
      <x:c r="D2479" s="27" t="str">
        <x:v>Hazard row 90 severity registered</x:v>
      </x:c>
      <x:c r="E2479" s="27" t="n">
        <x:f>IF(AND('Hazard Register'!F90&gt;=1,'Hazard Register'!F90&lt;=5),1,0)</x:f>
        <x:v>1</x:v>
      </x:c>
      <x:c r="F2479" s="27" t="n">
        <x:v>1</x:v>
      </x:c>
      <x:c r="G2479" s="29" t="str">
        <x:f>IF(E2479=F2479,"PASS","FAIL")</x:f>
        <x:v>PASS</x:v>
      </x:c>
    </x:row>
    <x:row r="2480" ht="18" customHeight="1">
      <x:c r="B2480" s="27" t="str">
        <x:v>A2474</x:v>
      </x:c>
      <x:c r="C2480" s="27" t="str">
        <x:v>hazard</x:v>
      </x:c>
      <x:c r="D2480" s="27" t="str">
        <x:v>Hazard row 90 duration nonnegative</x:v>
      </x:c>
      <x:c r="E2480" s="27" t="n">
        <x:f>IF('Hazard Register'!G90&gt;=0,1,0)</x:f>
        <x:v>1</x:v>
      </x:c>
      <x:c r="F2480" s="27" t="n">
        <x:v>1</x:v>
      </x:c>
      <x:c r="G2480" s="29" t="str">
        <x:f>IF(E2480=F2480,"PASS","FAIL")</x:f>
        <x:v>PASS</x:v>
      </x:c>
    </x:row>
    <x:row r="2481" ht="18" customHeight="1">
      <x:c r="B2481" s="27" t="str">
        <x:v>A2475</x:v>
      </x:c>
      <x:c r="C2481" s="27" t="str">
        <x:v>hazard</x:v>
      </x:c>
      <x:c r="D2481" s="27" t="str">
        <x:v>Hazard row 90 threshold present</x:v>
      </x:c>
      <x:c r="E2481" s="27" t="n">
        <x:f>IF('Hazard Register'!I90&lt;&gt;"",1,0)</x:f>
        <x:v>1</x:v>
      </x:c>
      <x:c r="F2481" s="27" t="n">
        <x:v>1</x:v>
      </x:c>
      <x:c r="G2481" s="29" t="str">
        <x:f>IF(E2481=F2481,"PASS","FAIL")</x:f>
        <x:v>PASS</x:v>
      </x:c>
    </x:row>
    <x:row r="2482" ht="18" customHeight="1">
      <x:c r="B2482" s="27" t="str">
        <x:v>A2476</x:v>
      </x:c>
      <x:c r="C2482" s="27" t="str">
        <x:v>hazard</x:v>
      </x:c>
      <x:c r="D2482" s="27" t="str">
        <x:v>Hazard row 90 evidence open</x:v>
      </x:c>
      <x:c r="E2482" s="27" t="n">
        <x:f>IF('Hazard Register'!L90="OPEN",1,0)</x:f>
        <x:v>1</x:v>
      </x:c>
      <x:c r="F2482" s="27" t="n">
        <x:v>1</x:v>
      </x:c>
      <x:c r="G2482" s="29" t="str">
        <x:f>IF(E2482=F2482,"PASS","FAIL")</x:f>
        <x:v>PASS</x:v>
      </x:c>
    </x:row>
    <x:row r="2483" ht="18" customHeight="1">
      <x:c r="B2483" s="27" t="str">
        <x:v>A2477</x:v>
      </x:c>
      <x:c r="C2483" s="27" t="str">
        <x:v>hazard</x:v>
      </x:c>
      <x:c r="D2483" s="27" t="str">
        <x:v>Hazard row 90 zero credit</x:v>
      </x:c>
      <x:c r="E2483" s="27" t="n">
        <x:f>IF('Hazard Register'!M90=0,1,0)</x:f>
        <x:v>1</x:v>
      </x:c>
      <x:c r="F2483" s="27" t="n">
        <x:v>1</x:v>
      </x:c>
      <x:c r="G2483" s="29" t="str">
        <x:f>IF(E2483=F2483,"PASS","FAIL")</x:f>
        <x:v>PASS</x:v>
      </x:c>
    </x:row>
    <x:row r="2484" ht="18" customHeight="1">
      <x:c r="B2484" s="27" t="str">
        <x:v>A2478</x:v>
      </x:c>
      <x:c r="C2484" s="27" t="str">
        <x:v>hazard</x:v>
      </x:c>
      <x:c r="D2484" s="27" t="str">
        <x:v>Hazard row 91 severity registered</x:v>
      </x:c>
      <x:c r="E2484" s="27" t="n">
        <x:f>IF(AND('Hazard Register'!F91&gt;=1,'Hazard Register'!F91&lt;=5),1,0)</x:f>
        <x:v>1</x:v>
      </x:c>
      <x:c r="F2484" s="27" t="n">
        <x:v>1</x:v>
      </x:c>
      <x:c r="G2484" s="29" t="str">
        <x:f>IF(E2484=F2484,"PASS","FAIL")</x:f>
        <x:v>PASS</x:v>
      </x:c>
    </x:row>
    <x:row r="2485" ht="18" customHeight="1">
      <x:c r="B2485" s="27" t="str">
        <x:v>A2479</x:v>
      </x:c>
      <x:c r="C2485" s="27" t="str">
        <x:v>hazard</x:v>
      </x:c>
      <x:c r="D2485" s="27" t="str">
        <x:v>Hazard row 91 duration nonnegative</x:v>
      </x:c>
      <x:c r="E2485" s="27" t="n">
        <x:f>IF('Hazard Register'!G91&gt;=0,1,0)</x:f>
        <x:v>1</x:v>
      </x:c>
      <x:c r="F2485" s="27" t="n">
        <x:v>1</x:v>
      </x:c>
      <x:c r="G2485" s="29" t="str">
        <x:f>IF(E2485=F2485,"PASS","FAIL")</x:f>
        <x:v>PASS</x:v>
      </x:c>
    </x:row>
    <x:row r="2486" ht="18" customHeight="1">
      <x:c r="B2486" s="27" t="str">
        <x:v>A2480</x:v>
      </x:c>
      <x:c r="C2486" s="27" t="str">
        <x:v>hazard</x:v>
      </x:c>
      <x:c r="D2486" s="27" t="str">
        <x:v>Hazard row 91 threshold present</x:v>
      </x:c>
      <x:c r="E2486" s="27" t="n">
        <x:f>IF('Hazard Register'!I91&lt;&gt;"",1,0)</x:f>
        <x:v>1</x:v>
      </x:c>
      <x:c r="F2486" s="27" t="n">
        <x:v>1</x:v>
      </x:c>
      <x:c r="G2486" s="29" t="str">
        <x:f>IF(E2486=F2486,"PASS","FAIL")</x:f>
        <x:v>PASS</x:v>
      </x:c>
    </x:row>
    <x:row r="2487" ht="18" customHeight="1">
      <x:c r="B2487" s="27" t="str">
        <x:v>A2481</x:v>
      </x:c>
      <x:c r="C2487" s="27" t="str">
        <x:v>hazard</x:v>
      </x:c>
      <x:c r="D2487" s="27" t="str">
        <x:v>Hazard row 91 evidence open</x:v>
      </x:c>
      <x:c r="E2487" s="27" t="n">
        <x:f>IF('Hazard Register'!L91="OPEN",1,0)</x:f>
        <x:v>1</x:v>
      </x:c>
      <x:c r="F2487" s="27" t="n">
        <x:v>1</x:v>
      </x:c>
      <x:c r="G2487" s="29" t="str">
        <x:f>IF(E2487=F2487,"PASS","FAIL")</x:f>
        <x:v>PASS</x:v>
      </x:c>
    </x:row>
    <x:row r="2488" ht="18" customHeight="1">
      <x:c r="B2488" s="27" t="str">
        <x:v>A2482</x:v>
      </x:c>
      <x:c r="C2488" s="27" t="str">
        <x:v>hazard</x:v>
      </x:c>
      <x:c r="D2488" s="27" t="str">
        <x:v>Hazard row 91 zero credit</x:v>
      </x:c>
      <x:c r="E2488" s="27" t="n">
        <x:f>IF('Hazard Register'!M91=0,1,0)</x:f>
        <x:v>1</x:v>
      </x:c>
      <x:c r="F2488" s="27" t="n">
        <x:v>1</x:v>
      </x:c>
      <x:c r="G2488" s="29" t="str">
        <x:f>IF(E2488=F2488,"PASS","FAIL")</x:f>
        <x:v>PASS</x:v>
      </x:c>
    </x:row>
    <x:row r="2489" ht="18" customHeight="1">
      <x:c r="B2489" s="27" t="str">
        <x:v>A2483</x:v>
      </x:c>
      <x:c r="C2489" s="27" t="str">
        <x:v>hazard</x:v>
      </x:c>
      <x:c r="D2489" s="27" t="str">
        <x:v>Hazard row 92 severity registered</x:v>
      </x:c>
      <x:c r="E2489" s="27" t="n">
        <x:f>IF(AND('Hazard Register'!F92&gt;=1,'Hazard Register'!F92&lt;=5),1,0)</x:f>
        <x:v>1</x:v>
      </x:c>
      <x:c r="F2489" s="27" t="n">
        <x:v>1</x:v>
      </x:c>
      <x:c r="G2489" s="29" t="str">
        <x:f>IF(E2489=F2489,"PASS","FAIL")</x:f>
        <x:v>PASS</x:v>
      </x:c>
    </x:row>
    <x:row r="2490" ht="18" customHeight="1">
      <x:c r="B2490" s="27" t="str">
        <x:v>A2484</x:v>
      </x:c>
      <x:c r="C2490" s="27" t="str">
        <x:v>hazard</x:v>
      </x:c>
      <x:c r="D2490" s="27" t="str">
        <x:v>Hazard row 92 duration nonnegative</x:v>
      </x:c>
      <x:c r="E2490" s="27" t="n">
        <x:f>IF('Hazard Register'!G92&gt;=0,1,0)</x:f>
        <x:v>1</x:v>
      </x:c>
      <x:c r="F2490" s="27" t="n">
        <x:v>1</x:v>
      </x:c>
      <x:c r="G2490" s="29" t="str">
        <x:f>IF(E2490=F2490,"PASS","FAIL")</x:f>
        <x:v>PASS</x:v>
      </x:c>
    </x:row>
    <x:row r="2491" ht="18" customHeight="1">
      <x:c r="B2491" s="27" t="str">
        <x:v>A2485</x:v>
      </x:c>
      <x:c r="C2491" s="27" t="str">
        <x:v>hazard</x:v>
      </x:c>
      <x:c r="D2491" s="27" t="str">
        <x:v>Hazard row 92 threshold present</x:v>
      </x:c>
      <x:c r="E2491" s="27" t="n">
        <x:f>IF('Hazard Register'!I92&lt;&gt;"",1,0)</x:f>
        <x:v>1</x:v>
      </x:c>
      <x:c r="F2491" s="27" t="n">
        <x:v>1</x:v>
      </x:c>
      <x:c r="G2491" s="29" t="str">
        <x:f>IF(E2491=F2491,"PASS","FAIL")</x:f>
        <x:v>PASS</x:v>
      </x:c>
    </x:row>
    <x:row r="2492" ht="18" customHeight="1">
      <x:c r="B2492" s="27" t="str">
        <x:v>A2486</x:v>
      </x:c>
      <x:c r="C2492" s="27" t="str">
        <x:v>hazard</x:v>
      </x:c>
      <x:c r="D2492" s="27" t="str">
        <x:v>Hazard row 92 evidence open</x:v>
      </x:c>
      <x:c r="E2492" s="27" t="n">
        <x:f>IF('Hazard Register'!L92="OPEN",1,0)</x:f>
        <x:v>1</x:v>
      </x:c>
      <x:c r="F2492" s="27" t="n">
        <x:v>1</x:v>
      </x:c>
      <x:c r="G2492" s="29" t="str">
        <x:f>IF(E2492=F2492,"PASS","FAIL")</x:f>
        <x:v>PASS</x:v>
      </x:c>
    </x:row>
    <x:row r="2493" ht="18" customHeight="1">
      <x:c r="B2493" s="27" t="str">
        <x:v>A2487</x:v>
      </x:c>
      <x:c r="C2493" s="27" t="str">
        <x:v>hazard</x:v>
      </x:c>
      <x:c r="D2493" s="27" t="str">
        <x:v>Hazard row 92 zero credit</x:v>
      </x:c>
      <x:c r="E2493" s="27" t="n">
        <x:f>IF('Hazard Register'!M92=0,1,0)</x:f>
        <x:v>1</x:v>
      </x:c>
      <x:c r="F2493" s="27" t="n">
        <x:v>1</x:v>
      </x:c>
      <x:c r="G2493" s="29" t="str">
        <x:f>IF(E2493=F2493,"PASS","FAIL")</x:f>
        <x:v>PASS</x:v>
      </x:c>
    </x:row>
    <x:row r="2494" ht="18" customHeight="1">
      <x:c r="B2494" s="27" t="str">
        <x:v>A2488</x:v>
      </x:c>
      <x:c r="C2494" s="27" t="str">
        <x:v>hazard</x:v>
      </x:c>
      <x:c r="D2494" s="27" t="str">
        <x:v>Hazard row 93 severity registered</x:v>
      </x:c>
      <x:c r="E2494" s="27" t="n">
        <x:f>IF(AND('Hazard Register'!F93&gt;=1,'Hazard Register'!F93&lt;=5),1,0)</x:f>
        <x:v>1</x:v>
      </x:c>
      <x:c r="F2494" s="27" t="n">
        <x:v>1</x:v>
      </x:c>
      <x:c r="G2494" s="29" t="str">
        <x:f>IF(E2494=F2494,"PASS","FAIL")</x:f>
        <x:v>PASS</x:v>
      </x:c>
    </x:row>
    <x:row r="2495" ht="18" customHeight="1">
      <x:c r="B2495" s="27" t="str">
        <x:v>A2489</x:v>
      </x:c>
      <x:c r="C2495" s="27" t="str">
        <x:v>hazard</x:v>
      </x:c>
      <x:c r="D2495" s="27" t="str">
        <x:v>Hazard row 93 duration nonnegative</x:v>
      </x:c>
      <x:c r="E2495" s="27" t="n">
        <x:f>IF('Hazard Register'!G93&gt;=0,1,0)</x:f>
        <x:v>1</x:v>
      </x:c>
      <x:c r="F2495" s="27" t="n">
        <x:v>1</x:v>
      </x:c>
      <x:c r="G2495" s="29" t="str">
        <x:f>IF(E2495=F2495,"PASS","FAIL")</x:f>
        <x:v>PASS</x:v>
      </x:c>
    </x:row>
    <x:row r="2496" ht="18" customHeight="1">
      <x:c r="B2496" s="27" t="str">
        <x:v>A2490</x:v>
      </x:c>
      <x:c r="C2496" s="27" t="str">
        <x:v>hazard</x:v>
      </x:c>
      <x:c r="D2496" s="27" t="str">
        <x:v>Hazard row 93 threshold present</x:v>
      </x:c>
      <x:c r="E2496" s="27" t="n">
        <x:f>IF('Hazard Register'!I93&lt;&gt;"",1,0)</x:f>
        <x:v>1</x:v>
      </x:c>
      <x:c r="F2496" s="27" t="n">
        <x:v>1</x:v>
      </x:c>
      <x:c r="G2496" s="29" t="str">
        <x:f>IF(E2496=F2496,"PASS","FAIL")</x:f>
        <x:v>PASS</x:v>
      </x:c>
    </x:row>
    <x:row r="2497" ht="18" customHeight="1">
      <x:c r="B2497" s="27" t="str">
        <x:v>A2491</x:v>
      </x:c>
      <x:c r="C2497" s="27" t="str">
        <x:v>hazard</x:v>
      </x:c>
      <x:c r="D2497" s="27" t="str">
        <x:v>Hazard row 93 evidence open</x:v>
      </x:c>
      <x:c r="E2497" s="27" t="n">
        <x:f>IF('Hazard Register'!L93="OPEN",1,0)</x:f>
        <x:v>1</x:v>
      </x:c>
      <x:c r="F2497" s="27" t="n">
        <x:v>1</x:v>
      </x:c>
      <x:c r="G2497" s="29" t="str">
        <x:f>IF(E2497=F2497,"PASS","FAIL")</x:f>
        <x:v>PASS</x:v>
      </x:c>
    </x:row>
    <x:row r="2498" ht="18" customHeight="1">
      <x:c r="B2498" s="27" t="str">
        <x:v>A2492</x:v>
      </x:c>
      <x:c r="C2498" s="27" t="str">
        <x:v>hazard</x:v>
      </x:c>
      <x:c r="D2498" s="27" t="str">
        <x:v>Hazard row 93 zero credit</x:v>
      </x:c>
      <x:c r="E2498" s="27" t="n">
        <x:f>IF('Hazard Register'!M93=0,1,0)</x:f>
        <x:v>1</x:v>
      </x:c>
      <x:c r="F2498" s="27" t="n">
        <x:v>1</x:v>
      </x:c>
      <x:c r="G2498" s="29" t="str">
        <x:f>IF(E2498=F2498,"PASS","FAIL")</x:f>
        <x:v>PASS</x:v>
      </x:c>
    </x:row>
    <x:row r="2499" ht="18" customHeight="1">
      <x:c r="B2499" s="27" t="str">
        <x:v>A2493</x:v>
      </x:c>
      <x:c r="C2499" s="27" t="str">
        <x:v>hazard</x:v>
      </x:c>
      <x:c r="D2499" s="27" t="str">
        <x:v>Hazard row 94 severity registered</x:v>
      </x:c>
      <x:c r="E2499" s="27" t="n">
        <x:f>IF(AND('Hazard Register'!F94&gt;=1,'Hazard Register'!F94&lt;=5),1,0)</x:f>
        <x:v>1</x:v>
      </x:c>
      <x:c r="F2499" s="27" t="n">
        <x:v>1</x:v>
      </x:c>
      <x:c r="G2499" s="29" t="str">
        <x:f>IF(E2499=F2499,"PASS","FAIL")</x:f>
        <x:v>PASS</x:v>
      </x:c>
    </x:row>
    <x:row r="2500" ht="18" customHeight="1">
      <x:c r="B2500" s="27" t="str">
        <x:v>A2494</x:v>
      </x:c>
      <x:c r="C2500" s="27" t="str">
        <x:v>hazard</x:v>
      </x:c>
      <x:c r="D2500" s="27" t="str">
        <x:v>Hazard row 94 duration nonnegative</x:v>
      </x:c>
      <x:c r="E2500" s="27" t="n">
        <x:f>IF('Hazard Register'!G94&gt;=0,1,0)</x:f>
        <x:v>1</x:v>
      </x:c>
      <x:c r="F2500" s="27" t="n">
        <x:v>1</x:v>
      </x:c>
      <x:c r="G2500" s="29" t="str">
        <x:f>IF(E2500=F2500,"PASS","FAIL")</x:f>
        <x:v>PASS</x:v>
      </x:c>
    </x:row>
    <x:row r="2501" ht="18" customHeight="1">
      <x:c r="B2501" s="27" t="str">
        <x:v>A2495</x:v>
      </x:c>
      <x:c r="C2501" s="27" t="str">
        <x:v>hazard</x:v>
      </x:c>
      <x:c r="D2501" s="27" t="str">
        <x:v>Hazard row 94 threshold present</x:v>
      </x:c>
      <x:c r="E2501" s="27" t="n">
        <x:f>IF('Hazard Register'!I94&lt;&gt;"",1,0)</x:f>
        <x:v>1</x:v>
      </x:c>
      <x:c r="F2501" s="27" t="n">
        <x:v>1</x:v>
      </x:c>
      <x:c r="G2501" s="29" t="str">
        <x:f>IF(E2501=F2501,"PASS","FAIL")</x:f>
        <x:v>PASS</x:v>
      </x:c>
    </x:row>
    <x:row r="2502" ht="18" customHeight="1">
      <x:c r="B2502" s="27" t="str">
        <x:v>A2496</x:v>
      </x:c>
      <x:c r="C2502" s="27" t="str">
        <x:v>hazard</x:v>
      </x:c>
      <x:c r="D2502" s="27" t="str">
        <x:v>Hazard row 94 evidence open</x:v>
      </x:c>
      <x:c r="E2502" s="27" t="n">
        <x:f>IF('Hazard Register'!L94="OPEN",1,0)</x:f>
        <x:v>1</x:v>
      </x:c>
      <x:c r="F2502" s="27" t="n">
        <x:v>1</x:v>
      </x:c>
      <x:c r="G2502" s="29" t="str">
        <x:f>IF(E2502=F2502,"PASS","FAIL")</x:f>
        <x:v>PASS</x:v>
      </x:c>
    </x:row>
    <x:row r="2503" ht="18" customHeight="1">
      <x:c r="B2503" s="27" t="str">
        <x:v>A2497</x:v>
      </x:c>
      <x:c r="C2503" s="27" t="str">
        <x:v>hazard</x:v>
      </x:c>
      <x:c r="D2503" s="27" t="str">
        <x:v>Hazard row 94 zero credit</x:v>
      </x:c>
      <x:c r="E2503" s="27" t="n">
        <x:f>IF('Hazard Register'!M94=0,1,0)</x:f>
        <x:v>1</x:v>
      </x:c>
      <x:c r="F2503" s="27" t="n">
        <x:v>1</x:v>
      </x:c>
      <x:c r="G2503" s="29" t="str">
        <x:f>IF(E2503=F2503,"PASS","FAIL")</x:f>
        <x:v>PASS</x:v>
      </x:c>
    </x:row>
    <x:row r="2504" ht="18" customHeight="1">
      <x:c r="B2504" s="27" t="str">
        <x:v>A2498</x:v>
      </x:c>
      <x:c r="C2504" s="27" t="str">
        <x:v>interface</x:v>
      </x:c>
      <x:c r="D2504" s="27" t="str">
        <x:v>Interface row 7 challenge present</x:v>
      </x:c>
      <x:c r="E2504" s="27" t="n">
        <x:f>IF('Interface Tests'!F7&lt;&gt;"",1,0)</x:f>
        <x:v>1</x:v>
      </x:c>
      <x:c r="F2504" s="27" t="n">
        <x:v>1</x:v>
      </x:c>
      <x:c r="G2504" s="29" t="str">
        <x:f>IF(E2504=F2504,"PASS","FAIL")</x:f>
        <x:v>PASS</x:v>
      </x:c>
    </x:row>
    <x:row r="2505" ht="18" customHeight="1">
      <x:c r="B2505" s="27" t="str">
        <x:v>A2499</x:v>
      </x:c>
      <x:c r="C2505" s="27" t="str">
        <x:v>interface</x:v>
      </x:c>
      <x:c r="D2505" s="27" t="str">
        <x:v>Interface row 7 acceptance present</x:v>
      </x:c>
      <x:c r="E2505" s="27" t="n">
        <x:f>IF('Interface Tests'!H7&lt;&gt;"",1,0)</x:f>
        <x:v>1</x:v>
      </x:c>
      <x:c r="F2505" s="27" t="n">
        <x:v>1</x:v>
      </x:c>
      <x:c r="G2505" s="29" t="str">
        <x:f>IF(E2505=F2505,"PASS","FAIL")</x:f>
        <x:v>PASS</x:v>
      </x:c>
    </x:row>
    <x:row r="2506" ht="18" customHeight="1">
      <x:c r="B2506" s="27" t="str">
        <x:v>A2500</x:v>
      </x:c>
      <x:c r="C2506" s="27" t="str">
        <x:v>interface</x:v>
      </x:c>
      <x:c r="D2506" s="27" t="str">
        <x:v>Interface row 7 evidence open</x:v>
      </x:c>
      <x:c r="E2506" s="27" t="n">
        <x:f>IF('Interface Tests'!J7="OPEN",1,0)</x:f>
        <x:v>1</x:v>
      </x:c>
      <x:c r="F2506" s="27" t="n">
        <x:v>1</x:v>
      </x:c>
      <x:c r="G2506" s="29" t="str">
        <x:f>IF(E2506=F2506,"PASS","FAIL")</x:f>
        <x:v>PASS</x:v>
      </x:c>
    </x:row>
    <x:row r="2507" ht="18" customHeight="1">
      <x:c r="B2507" s="27" t="str">
        <x:v>A2501</x:v>
      </x:c>
      <x:c r="C2507" s="27" t="str">
        <x:v>interface</x:v>
      </x:c>
      <x:c r="D2507" s="27" t="str">
        <x:v>Interface row 7 zero credit</x:v>
      </x:c>
      <x:c r="E2507" s="27" t="n">
        <x:f>IF('Interface Tests'!K7=0,1,0)</x:f>
        <x:v>1</x:v>
      </x:c>
      <x:c r="F2507" s="27" t="n">
        <x:v>1</x:v>
      </x:c>
      <x:c r="G2507" s="29" t="str">
        <x:f>IF(E2507=F2507,"PASS","FAIL")</x:f>
        <x:v>PASS</x:v>
      </x:c>
    </x:row>
    <x:row r="2508" ht="18" customHeight="1">
      <x:c r="B2508" s="27" t="str">
        <x:v>A2502</x:v>
      </x:c>
      <x:c r="C2508" s="27" t="str">
        <x:v>interface</x:v>
      </x:c>
      <x:c r="D2508" s="27" t="str">
        <x:v>Interface row 8 challenge present</x:v>
      </x:c>
      <x:c r="E2508" s="27" t="n">
        <x:f>IF('Interface Tests'!F8&lt;&gt;"",1,0)</x:f>
        <x:v>1</x:v>
      </x:c>
      <x:c r="F2508" s="27" t="n">
        <x:v>1</x:v>
      </x:c>
      <x:c r="G2508" s="29" t="str">
        <x:f>IF(E2508=F2508,"PASS","FAIL")</x:f>
        <x:v>PASS</x:v>
      </x:c>
    </x:row>
    <x:row r="2509" ht="18" customHeight="1">
      <x:c r="B2509" s="27" t="str">
        <x:v>A2503</x:v>
      </x:c>
      <x:c r="C2509" s="27" t="str">
        <x:v>interface</x:v>
      </x:c>
      <x:c r="D2509" s="27" t="str">
        <x:v>Interface row 8 acceptance present</x:v>
      </x:c>
      <x:c r="E2509" s="27" t="n">
        <x:f>IF('Interface Tests'!H8&lt;&gt;"",1,0)</x:f>
        <x:v>1</x:v>
      </x:c>
      <x:c r="F2509" s="27" t="n">
        <x:v>1</x:v>
      </x:c>
      <x:c r="G2509" s="29" t="str">
        <x:f>IF(E2509=F2509,"PASS","FAIL")</x:f>
        <x:v>PASS</x:v>
      </x:c>
    </x:row>
    <x:row r="2510" ht="18" customHeight="1">
      <x:c r="B2510" s="27" t="str">
        <x:v>A2504</x:v>
      </x:c>
      <x:c r="C2510" s="27" t="str">
        <x:v>interface</x:v>
      </x:c>
      <x:c r="D2510" s="27" t="str">
        <x:v>Interface row 8 evidence open</x:v>
      </x:c>
      <x:c r="E2510" s="27" t="n">
        <x:f>IF('Interface Tests'!J8="OPEN",1,0)</x:f>
        <x:v>1</x:v>
      </x:c>
      <x:c r="F2510" s="27" t="n">
        <x:v>1</x:v>
      </x:c>
      <x:c r="G2510" s="29" t="str">
        <x:f>IF(E2510=F2510,"PASS","FAIL")</x:f>
        <x:v>PASS</x:v>
      </x:c>
    </x:row>
    <x:row r="2511" ht="18" customHeight="1">
      <x:c r="B2511" s="27" t="str">
        <x:v>A2505</x:v>
      </x:c>
      <x:c r="C2511" s="27" t="str">
        <x:v>interface</x:v>
      </x:c>
      <x:c r="D2511" s="27" t="str">
        <x:v>Interface row 8 zero credit</x:v>
      </x:c>
      <x:c r="E2511" s="27" t="n">
        <x:f>IF('Interface Tests'!K8=0,1,0)</x:f>
        <x:v>1</x:v>
      </x:c>
      <x:c r="F2511" s="27" t="n">
        <x:v>1</x:v>
      </x:c>
      <x:c r="G2511" s="29" t="str">
        <x:f>IF(E2511=F2511,"PASS","FAIL")</x:f>
        <x:v>PASS</x:v>
      </x:c>
    </x:row>
    <x:row r="2512" ht="18" customHeight="1">
      <x:c r="B2512" s="27" t="str">
        <x:v>A2506</x:v>
      </x:c>
      <x:c r="C2512" s="27" t="str">
        <x:v>interface</x:v>
      </x:c>
      <x:c r="D2512" s="27" t="str">
        <x:v>Interface row 9 challenge present</x:v>
      </x:c>
      <x:c r="E2512" s="27" t="n">
        <x:f>IF('Interface Tests'!F9&lt;&gt;"",1,0)</x:f>
        <x:v>1</x:v>
      </x:c>
      <x:c r="F2512" s="27" t="n">
        <x:v>1</x:v>
      </x:c>
      <x:c r="G2512" s="29" t="str">
        <x:f>IF(E2512=F2512,"PASS","FAIL")</x:f>
        <x:v>PASS</x:v>
      </x:c>
    </x:row>
    <x:row r="2513" ht="18" customHeight="1">
      <x:c r="B2513" s="27" t="str">
        <x:v>A2507</x:v>
      </x:c>
      <x:c r="C2513" s="27" t="str">
        <x:v>interface</x:v>
      </x:c>
      <x:c r="D2513" s="27" t="str">
        <x:v>Interface row 9 acceptance present</x:v>
      </x:c>
      <x:c r="E2513" s="27" t="n">
        <x:f>IF('Interface Tests'!H9&lt;&gt;"",1,0)</x:f>
        <x:v>1</x:v>
      </x:c>
      <x:c r="F2513" s="27" t="n">
        <x:v>1</x:v>
      </x:c>
      <x:c r="G2513" s="29" t="str">
        <x:f>IF(E2513=F2513,"PASS","FAIL")</x:f>
        <x:v>PASS</x:v>
      </x:c>
    </x:row>
    <x:row r="2514" ht="18" customHeight="1">
      <x:c r="B2514" s="27" t="str">
        <x:v>A2508</x:v>
      </x:c>
      <x:c r="C2514" s="27" t="str">
        <x:v>interface</x:v>
      </x:c>
      <x:c r="D2514" s="27" t="str">
        <x:v>Interface row 9 evidence open</x:v>
      </x:c>
      <x:c r="E2514" s="27" t="n">
        <x:f>IF('Interface Tests'!J9="OPEN",1,0)</x:f>
        <x:v>1</x:v>
      </x:c>
      <x:c r="F2514" s="27" t="n">
        <x:v>1</x:v>
      </x:c>
      <x:c r="G2514" s="29" t="str">
        <x:f>IF(E2514=F2514,"PASS","FAIL")</x:f>
        <x:v>PASS</x:v>
      </x:c>
    </x:row>
    <x:row r="2515" ht="18" customHeight="1">
      <x:c r="B2515" s="27" t="str">
        <x:v>A2509</x:v>
      </x:c>
      <x:c r="C2515" s="27" t="str">
        <x:v>interface</x:v>
      </x:c>
      <x:c r="D2515" s="27" t="str">
        <x:v>Interface row 9 zero credit</x:v>
      </x:c>
      <x:c r="E2515" s="27" t="n">
        <x:f>IF('Interface Tests'!K9=0,1,0)</x:f>
        <x:v>1</x:v>
      </x:c>
      <x:c r="F2515" s="27" t="n">
        <x:v>1</x:v>
      </x:c>
      <x:c r="G2515" s="29" t="str">
        <x:f>IF(E2515=F2515,"PASS","FAIL")</x:f>
        <x:v>PASS</x:v>
      </x:c>
    </x:row>
    <x:row r="2516" ht="18" customHeight="1">
      <x:c r="B2516" s="27" t="str">
        <x:v>A2510</x:v>
      </x:c>
      <x:c r="C2516" s="27" t="str">
        <x:v>interface</x:v>
      </x:c>
      <x:c r="D2516" s="27" t="str">
        <x:v>Interface row 10 challenge present</x:v>
      </x:c>
      <x:c r="E2516" s="27" t="n">
        <x:f>IF('Interface Tests'!F10&lt;&gt;"",1,0)</x:f>
        <x:v>1</x:v>
      </x:c>
      <x:c r="F2516" s="27" t="n">
        <x:v>1</x:v>
      </x:c>
      <x:c r="G2516" s="29" t="str">
        <x:f>IF(E2516=F2516,"PASS","FAIL")</x:f>
        <x:v>PASS</x:v>
      </x:c>
    </x:row>
    <x:row r="2517" ht="18" customHeight="1">
      <x:c r="B2517" s="27" t="str">
        <x:v>A2511</x:v>
      </x:c>
      <x:c r="C2517" s="27" t="str">
        <x:v>interface</x:v>
      </x:c>
      <x:c r="D2517" s="27" t="str">
        <x:v>Interface row 10 acceptance present</x:v>
      </x:c>
      <x:c r="E2517" s="27" t="n">
        <x:f>IF('Interface Tests'!H10&lt;&gt;"",1,0)</x:f>
        <x:v>1</x:v>
      </x:c>
      <x:c r="F2517" s="27" t="n">
        <x:v>1</x:v>
      </x:c>
      <x:c r="G2517" s="29" t="str">
        <x:f>IF(E2517=F2517,"PASS","FAIL")</x:f>
        <x:v>PASS</x:v>
      </x:c>
    </x:row>
    <x:row r="2518" ht="18" customHeight="1">
      <x:c r="B2518" s="27" t="str">
        <x:v>A2512</x:v>
      </x:c>
      <x:c r="C2518" s="27" t="str">
        <x:v>interface</x:v>
      </x:c>
      <x:c r="D2518" s="27" t="str">
        <x:v>Interface row 10 evidence open</x:v>
      </x:c>
      <x:c r="E2518" s="27" t="n">
        <x:f>IF('Interface Tests'!J10="OPEN",1,0)</x:f>
        <x:v>1</x:v>
      </x:c>
      <x:c r="F2518" s="27" t="n">
        <x:v>1</x:v>
      </x:c>
      <x:c r="G2518" s="29" t="str">
        <x:f>IF(E2518=F2518,"PASS","FAIL")</x:f>
        <x:v>PASS</x:v>
      </x:c>
    </x:row>
    <x:row r="2519" ht="18" customHeight="1">
      <x:c r="B2519" s="27" t="str">
        <x:v>A2513</x:v>
      </x:c>
      <x:c r="C2519" s="27" t="str">
        <x:v>interface</x:v>
      </x:c>
      <x:c r="D2519" s="27" t="str">
        <x:v>Interface row 10 zero credit</x:v>
      </x:c>
      <x:c r="E2519" s="27" t="n">
        <x:f>IF('Interface Tests'!K10=0,1,0)</x:f>
        <x:v>1</x:v>
      </x:c>
      <x:c r="F2519" s="27" t="n">
        <x:v>1</x:v>
      </x:c>
      <x:c r="G2519" s="29" t="str">
        <x:f>IF(E2519=F2519,"PASS","FAIL")</x:f>
        <x:v>PASS</x:v>
      </x:c>
    </x:row>
    <x:row r="2520" ht="18" customHeight="1">
      <x:c r="B2520" s="27" t="str">
        <x:v>A2514</x:v>
      </x:c>
      <x:c r="C2520" s="27" t="str">
        <x:v>interface</x:v>
      </x:c>
      <x:c r="D2520" s="27" t="str">
        <x:v>Interface row 11 challenge present</x:v>
      </x:c>
      <x:c r="E2520" s="27" t="n">
        <x:f>IF('Interface Tests'!F11&lt;&gt;"",1,0)</x:f>
        <x:v>1</x:v>
      </x:c>
      <x:c r="F2520" s="27" t="n">
        <x:v>1</x:v>
      </x:c>
      <x:c r="G2520" s="29" t="str">
        <x:f>IF(E2520=F2520,"PASS","FAIL")</x:f>
        <x:v>PASS</x:v>
      </x:c>
    </x:row>
    <x:row r="2521" ht="18" customHeight="1">
      <x:c r="B2521" s="27" t="str">
        <x:v>A2515</x:v>
      </x:c>
      <x:c r="C2521" s="27" t="str">
        <x:v>interface</x:v>
      </x:c>
      <x:c r="D2521" s="27" t="str">
        <x:v>Interface row 11 acceptance present</x:v>
      </x:c>
      <x:c r="E2521" s="27" t="n">
        <x:f>IF('Interface Tests'!H11&lt;&gt;"",1,0)</x:f>
        <x:v>1</x:v>
      </x:c>
      <x:c r="F2521" s="27" t="n">
        <x:v>1</x:v>
      </x:c>
      <x:c r="G2521" s="29" t="str">
        <x:f>IF(E2521=F2521,"PASS","FAIL")</x:f>
        <x:v>PASS</x:v>
      </x:c>
    </x:row>
    <x:row r="2522" ht="18" customHeight="1">
      <x:c r="B2522" s="27" t="str">
        <x:v>A2516</x:v>
      </x:c>
      <x:c r="C2522" s="27" t="str">
        <x:v>interface</x:v>
      </x:c>
      <x:c r="D2522" s="27" t="str">
        <x:v>Interface row 11 evidence open</x:v>
      </x:c>
      <x:c r="E2522" s="27" t="n">
        <x:f>IF('Interface Tests'!J11="OPEN",1,0)</x:f>
        <x:v>1</x:v>
      </x:c>
      <x:c r="F2522" s="27" t="n">
        <x:v>1</x:v>
      </x:c>
      <x:c r="G2522" s="29" t="str">
        <x:f>IF(E2522=F2522,"PASS","FAIL")</x:f>
        <x:v>PASS</x:v>
      </x:c>
    </x:row>
    <x:row r="2523" ht="18" customHeight="1">
      <x:c r="B2523" s="27" t="str">
        <x:v>A2517</x:v>
      </x:c>
      <x:c r="C2523" s="27" t="str">
        <x:v>interface</x:v>
      </x:c>
      <x:c r="D2523" s="27" t="str">
        <x:v>Interface row 11 zero credit</x:v>
      </x:c>
      <x:c r="E2523" s="27" t="n">
        <x:f>IF('Interface Tests'!K11=0,1,0)</x:f>
        <x:v>1</x:v>
      </x:c>
      <x:c r="F2523" s="27" t="n">
        <x:v>1</x:v>
      </x:c>
      <x:c r="G2523" s="29" t="str">
        <x:f>IF(E2523=F2523,"PASS","FAIL")</x:f>
        <x:v>PASS</x:v>
      </x:c>
    </x:row>
    <x:row r="2524" ht="18" customHeight="1">
      <x:c r="B2524" s="27" t="str">
        <x:v>A2518</x:v>
      </x:c>
      <x:c r="C2524" s="27" t="str">
        <x:v>interface</x:v>
      </x:c>
      <x:c r="D2524" s="27" t="str">
        <x:v>Interface row 12 challenge present</x:v>
      </x:c>
      <x:c r="E2524" s="27" t="n">
        <x:f>IF('Interface Tests'!F12&lt;&gt;"",1,0)</x:f>
        <x:v>1</x:v>
      </x:c>
      <x:c r="F2524" s="27" t="n">
        <x:v>1</x:v>
      </x:c>
      <x:c r="G2524" s="29" t="str">
        <x:f>IF(E2524=F2524,"PASS","FAIL")</x:f>
        <x:v>PASS</x:v>
      </x:c>
    </x:row>
    <x:row r="2525" ht="18" customHeight="1">
      <x:c r="B2525" s="27" t="str">
        <x:v>A2519</x:v>
      </x:c>
      <x:c r="C2525" s="27" t="str">
        <x:v>interface</x:v>
      </x:c>
      <x:c r="D2525" s="27" t="str">
        <x:v>Interface row 12 acceptance present</x:v>
      </x:c>
      <x:c r="E2525" s="27" t="n">
        <x:f>IF('Interface Tests'!H12&lt;&gt;"",1,0)</x:f>
        <x:v>1</x:v>
      </x:c>
      <x:c r="F2525" s="27" t="n">
        <x:v>1</x:v>
      </x:c>
      <x:c r="G2525" s="29" t="str">
        <x:f>IF(E2525=F2525,"PASS","FAIL")</x:f>
        <x:v>PASS</x:v>
      </x:c>
    </x:row>
    <x:row r="2526" ht="18" customHeight="1">
      <x:c r="B2526" s="27" t="str">
        <x:v>A2520</x:v>
      </x:c>
      <x:c r="C2526" s="27" t="str">
        <x:v>interface</x:v>
      </x:c>
      <x:c r="D2526" s="27" t="str">
        <x:v>Interface row 12 evidence open</x:v>
      </x:c>
      <x:c r="E2526" s="27" t="n">
        <x:f>IF('Interface Tests'!J12="OPEN",1,0)</x:f>
        <x:v>1</x:v>
      </x:c>
      <x:c r="F2526" s="27" t="n">
        <x:v>1</x:v>
      </x:c>
      <x:c r="G2526" s="29" t="str">
        <x:f>IF(E2526=F2526,"PASS","FAIL")</x:f>
        <x:v>PASS</x:v>
      </x:c>
    </x:row>
    <x:row r="2527" ht="18" customHeight="1">
      <x:c r="B2527" s="27" t="str">
        <x:v>A2521</x:v>
      </x:c>
      <x:c r="C2527" s="27" t="str">
        <x:v>interface</x:v>
      </x:c>
      <x:c r="D2527" s="27" t="str">
        <x:v>Interface row 12 zero credit</x:v>
      </x:c>
      <x:c r="E2527" s="27" t="n">
        <x:f>IF('Interface Tests'!K12=0,1,0)</x:f>
        <x:v>1</x:v>
      </x:c>
      <x:c r="F2527" s="27" t="n">
        <x:v>1</x:v>
      </x:c>
      <x:c r="G2527" s="29" t="str">
        <x:f>IF(E2527=F2527,"PASS","FAIL")</x:f>
        <x:v>PASS</x:v>
      </x:c>
    </x:row>
    <x:row r="2528" ht="18" customHeight="1">
      <x:c r="B2528" s="27" t="str">
        <x:v>A2522</x:v>
      </x:c>
      <x:c r="C2528" s="27" t="str">
        <x:v>interface</x:v>
      </x:c>
      <x:c r="D2528" s="27" t="str">
        <x:v>Interface row 13 challenge present</x:v>
      </x:c>
      <x:c r="E2528" s="27" t="n">
        <x:f>IF('Interface Tests'!F13&lt;&gt;"",1,0)</x:f>
        <x:v>1</x:v>
      </x:c>
      <x:c r="F2528" s="27" t="n">
        <x:v>1</x:v>
      </x:c>
      <x:c r="G2528" s="29" t="str">
        <x:f>IF(E2528=F2528,"PASS","FAIL")</x:f>
        <x:v>PASS</x:v>
      </x:c>
    </x:row>
    <x:row r="2529" ht="18" customHeight="1">
      <x:c r="B2529" s="27" t="str">
        <x:v>A2523</x:v>
      </x:c>
      <x:c r="C2529" s="27" t="str">
        <x:v>interface</x:v>
      </x:c>
      <x:c r="D2529" s="27" t="str">
        <x:v>Interface row 13 acceptance present</x:v>
      </x:c>
      <x:c r="E2529" s="27" t="n">
        <x:f>IF('Interface Tests'!H13&lt;&gt;"",1,0)</x:f>
        <x:v>1</x:v>
      </x:c>
      <x:c r="F2529" s="27" t="n">
        <x:v>1</x:v>
      </x:c>
      <x:c r="G2529" s="29" t="str">
        <x:f>IF(E2529=F2529,"PASS","FAIL")</x:f>
        <x:v>PASS</x:v>
      </x:c>
    </x:row>
    <x:row r="2530" ht="18" customHeight="1">
      <x:c r="B2530" s="27" t="str">
        <x:v>A2524</x:v>
      </x:c>
      <x:c r="C2530" s="27" t="str">
        <x:v>interface</x:v>
      </x:c>
      <x:c r="D2530" s="27" t="str">
        <x:v>Interface row 13 evidence open</x:v>
      </x:c>
      <x:c r="E2530" s="27" t="n">
        <x:f>IF('Interface Tests'!J13="OPEN",1,0)</x:f>
        <x:v>1</x:v>
      </x:c>
      <x:c r="F2530" s="27" t="n">
        <x:v>1</x:v>
      </x:c>
      <x:c r="G2530" s="29" t="str">
        <x:f>IF(E2530=F2530,"PASS","FAIL")</x:f>
        <x:v>PASS</x:v>
      </x:c>
    </x:row>
    <x:row r="2531" ht="18" customHeight="1">
      <x:c r="B2531" s="27" t="str">
        <x:v>A2525</x:v>
      </x:c>
      <x:c r="C2531" s="27" t="str">
        <x:v>interface</x:v>
      </x:c>
      <x:c r="D2531" s="27" t="str">
        <x:v>Interface row 13 zero credit</x:v>
      </x:c>
      <x:c r="E2531" s="27" t="n">
        <x:f>IF('Interface Tests'!K13=0,1,0)</x:f>
        <x:v>1</x:v>
      </x:c>
      <x:c r="F2531" s="27" t="n">
        <x:v>1</x:v>
      </x:c>
      <x:c r="G2531" s="29" t="str">
        <x:f>IF(E2531=F2531,"PASS","FAIL")</x:f>
        <x:v>PASS</x:v>
      </x:c>
    </x:row>
    <x:row r="2532" ht="18" customHeight="1">
      <x:c r="B2532" s="27" t="str">
        <x:v>A2526</x:v>
      </x:c>
      <x:c r="C2532" s="27" t="str">
        <x:v>interface</x:v>
      </x:c>
      <x:c r="D2532" s="27" t="str">
        <x:v>Interface row 14 challenge present</x:v>
      </x:c>
      <x:c r="E2532" s="27" t="n">
        <x:f>IF('Interface Tests'!F14&lt;&gt;"",1,0)</x:f>
        <x:v>1</x:v>
      </x:c>
      <x:c r="F2532" s="27" t="n">
        <x:v>1</x:v>
      </x:c>
      <x:c r="G2532" s="29" t="str">
        <x:f>IF(E2532=F2532,"PASS","FAIL")</x:f>
        <x:v>PASS</x:v>
      </x:c>
    </x:row>
    <x:row r="2533" ht="18" customHeight="1">
      <x:c r="B2533" s="27" t="str">
        <x:v>A2527</x:v>
      </x:c>
      <x:c r="C2533" s="27" t="str">
        <x:v>interface</x:v>
      </x:c>
      <x:c r="D2533" s="27" t="str">
        <x:v>Interface row 14 acceptance present</x:v>
      </x:c>
      <x:c r="E2533" s="27" t="n">
        <x:f>IF('Interface Tests'!H14&lt;&gt;"",1,0)</x:f>
        <x:v>1</x:v>
      </x:c>
      <x:c r="F2533" s="27" t="n">
        <x:v>1</x:v>
      </x:c>
      <x:c r="G2533" s="29" t="str">
        <x:f>IF(E2533=F2533,"PASS","FAIL")</x:f>
        <x:v>PASS</x:v>
      </x:c>
    </x:row>
    <x:row r="2534" ht="18" customHeight="1">
      <x:c r="B2534" s="27" t="str">
        <x:v>A2528</x:v>
      </x:c>
      <x:c r="C2534" s="27" t="str">
        <x:v>interface</x:v>
      </x:c>
      <x:c r="D2534" s="27" t="str">
        <x:v>Interface row 14 evidence open</x:v>
      </x:c>
      <x:c r="E2534" s="27" t="n">
        <x:f>IF('Interface Tests'!J14="OPEN",1,0)</x:f>
        <x:v>1</x:v>
      </x:c>
      <x:c r="F2534" s="27" t="n">
        <x:v>1</x:v>
      </x:c>
      <x:c r="G2534" s="29" t="str">
        <x:f>IF(E2534=F2534,"PASS","FAIL")</x:f>
        <x:v>PASS</x:v>
      </x:c>
    </x:row>
    <x:row r="2535" ht="18" customHeight="1">
      <x:c r="B2535" s="27" t="str">
        <x:v>A2529</x:v>
      </x:c>
      <x:c r="C2535" s="27" t="str">
        <x:v>interface</x:v>
      </x:c>
      <x:c r="D2535" s="27" t="str">
        <x:v>Interface row 14 zero credit</x:v>
      </x:c>
      <x:c r="E2535" s="27" t="n">
        <x:f>IF('Interface Tests'!K14=0,1,0)</x:f>
        <x:v>1</x:v>
      </x:c>
      <x:c r="F2535" s="27" t="n">
        <x:v>1</x:v>
      </x:c>
      <x:c r="G2535" s="29" t="str">
        <x:f>IF(E2535=F2535,"PASS","FAIL")</x:f>
        <x:v>PASS</x:v>
      </x:c>
    </x:row>
    <x:row r="2536" ht="18" customHeight="1">
      <x:c r="B2536" s="27" t="str">
        <x:v>A2530</x:v>
      </x:c>
      <x:c r="C2536" s="27" t="str">
        <x:v>interface</x:v>
      </x:c>
      <x:c r="D2536" s="27" t="str">
        <x:v>Interface row 15 challenge present</x:v>
      </x:c>
      <x:c r="E2536" s="27" t="n">
        <x:f>IF('Interface Tests'!F15&lt;&gt;"",1,0)</x:f>
        <x:v>1</x:v>
      </x:c>
      <x:c r="F2536" s="27" t="n">
        <x:v>1</x:v>
      </x:c>
      <x:c r="G2536" s="29" t="str">
        <x:f>IF(E2536=F2536,"PASS","FAIL")</x:f>
        <x:v>PASS</x:v>
      </x:c>
    </x:row>
    <x:row r="2537" ht="18" customHeight="1">
      <x:c r="B2537" s="27" t="str">
        <x:v>A2531</x:v>
      </x:c>
      <x:c r="C2537" s="27" t="str">
        <x:v>interface</x:v>
      </x:c>
      <x:c r="D2537" s="27" t="str">
        <x:v>Interface row 15 acceptance present</x:v>
      </x:c>
      <x:c r="E2537" s="27" t="n">
        <x:f>IF('Interface Tests'!H15&lt;&gt;"",1,0)</x:f>
        <x:v>1</x:v>
      </x:c>
      <x:c r="F2537" s="27" t="n">
        <x:v>1</x:v>
      </x:c>
      <x:c r="G2537" s="29" t="str">
        <x:f>IF(E2537=F2537,"PASS","FAIL")</x:f>
        <x:v>PASS</x:v>
      </x:c>
    </x:row>
    <x:row r="2538" ht="18" customHeight="1">
      <x:c r="B2538" s="27" t="str">
        <x:v>A2532</x:v>
      </x:c>
      <x:c r="C2538" s="27" t="str">
        <x:v>interface</x:v>
      </x:c>
      <x:c r="D2538" s="27" t="str">
        <x:v>Interface row 15 evidence open</x:v>
      </x:c>
      <x:c r="E2538" s="27" t="n">
        <x:f>IF('Interface Tests'!J15="OPEN",1,0)</x:f>
        <x:v>1</x:v>
      </x:c>
      <x:c r="F2538" s="27" t="n">
        <x:v>1</x:v>
      </x:c>
      <x:c r="G2538" s="29" t="str">
        <x:f>IF(E2538=F2538,"PASS","FAIL")</x:f>
        <x:v>PASS</x:v>
      </x:c>
    </x:row>
    <x:row r="2539" ht="18" customHeight="1">
      <x:c r="B2539" s="27" t="str">
        <x:v>A2533</x:v>
      </x:c>
      <x:c r="C2539" s="27" t="str">
        <x:v>interface</x:v>
      </x:c>
      <x:c r="D2539" s="27" t="str">
        <x:v>Interface row 15 zero credit</x:v>
      </x:c>
      <x:c r="E2539" s="27" t="n">
        <x:f>IF('Interface Tests'!K15=0,1,0)</x:f>
        <x:v>1</x:v>
      </x:c>
      <x:c r="F2539" s="27" t="n">
        <x:v>1</x:v>
      </x:c>
      <x:c r="G2539" s="29" t="str">
        <x:f>IF(E2539=F2539,"PASS","FAIL")</x:f>
        <x:v>PASS</x:v>
      </x:c>
    </x:row>
    <x:row r="2540" ht="18" customHeight="1">
      <x:c r="B2540" s="27" t="str">
        <x:v>A2534</x:v>
      </x:c>
      <x:c r="C2540" s="27" t="str">
        <x:v>interface</x:v>
      </x:c>
      <x:c r="D2540" s="27" t="str">
        <x:v>Interface row 16 challenge present</x:v>
      </x:c>
      <x:c r="E2540" s="27" t="n">
        <x:f>IF('Interface Tests'!F16&lt;&gt;"",1,0)</x:f>
        <x:v>1</x:v>
      </x:c>
      <x:c r="F2540" s="27" t="n">
        <x:v>1</x:v>
      </x:c>
      <x:c r="G2540" s="29" t="str">
        <x:f>IF(E2540=F2540,"PASS","FAIL")</x:f>
        <x:v>PASS</x:v>
      </x:c>
    </x:row>
    <x:row r="2541" ht="18" customHeight="1">
      <x:c r="B2541" s="27" t="str">
        <x:v>A2535</x:v>
      </x:c>
      <x:c r="C2541" s="27" t="str">
        <x:v>interface</x:v>
      </x:c>
      <x:c r="D2541" s="27" t="str">
        <x:v>Interface row 16 acceptance present</x:v>
      </x:c>
      <x:c r="E2541" s="27" t="n">
        <x:f>IF('Interface Tests'!H16&lt;&gt;"",1,0)</x:f>
        <x:v>1</x:v>
      </x:c>
      <x:c r="F2541" s="27" t="n">
        <x:v>1</x:v>
      </x:c>
      <x:c r="G2541" s="29" t="str">
        <x:f>IF(E2541=F2541,"PASS","FAIL")</x:f>
        <x:v>PASS</x:v>
      </x:c>
    </x:row>
    <x:row r="2542" ht="18" customHeight="1">
      <x:c r="B2542" s="27" t="str">
        <x:v>A2536</x:v>
      </x:c>
      <x:c r="C2542" s="27" t="str">
        <x:v>interface</x:v>
      </x:c>
      <x:c r="D2542" s="27" t="str">
        <x:v>Interface row 16 evidence open</x:v>
      </x:c>
      <x:c r="E2542" s="27" t="n">
        <x:f>IF('Interface Tests'!J16="OPEN",1,0)</x:f>
        <x:v>1</x:v>
      </x:c>
      <x:c r="F2542" s="27" t="n">
        <x:v>1</x:v>
      </x:c>
      <x:c r="G2542" s="29" t="str">
        <x:f>IF(E2542=F2542,"PASS","FAIL")</x:f>
        <x:v>PASS</x:v>
      </x:c>
    </x:row>
    <x:row r="2543" ht="18" customHeight="1">
      <x:c r="B2543" s="27" t="str">
        <x:v>A2537</x:v>
      </x:c>
      <x:c r="C2543" s="27" t="str">
        <x:v>interface</x:v>
      </x:c>
      <x:c r="D2543" s="27" t="str">
        <x:v>Interface row 16 zero credit</x:v>
      </x:c>
      <x:c r="E2543" s="27" t="n">
        <x:f>IF('Interface Tests'!K16=0,1,0)</x:f>
        <x:v>1</x:v>
      </x:c>
      <x:c r="F2543" s="27" t="n">
        <x:v>1</x:v>
      </x:c>
      <x:c r="G2543" s="29" t="str">
        <x:f>IF(E2543=F2543,"PASS","FAIL")</x:f>
        <x:v>PASS</x:v>
      </x:c>
    </x:row>
    <x:row r="2544" ht="18" customHeight="1">
      <x:c r="B2544" s="27" t="str">
        <x:v>A2538</x:v>
      </x:c>
      <x:c r="C2544" s="27" t="str">
        <x:v>interface</x:v>
      </x:c>
      <x:c r="D2544" s="27" t="str">
        <x:v>Interface row 17 challenge present</x:v>
      </x:c>
      <x:c r="E2544" s="27" t="n">
        <x:f>IF('Interface Tests'!F17&lt;&gt;"",1,0)</x:f>
        <x:v>1</x:v>
      </x:c>
      <x:c r="F2544" s="27" t="n">
        <x:v>1</x:v>
      </x:c>
      <x:c r="G2544" s="29" t="str">
        <x:f>IF(E2544=F2544,"PASS","FAIL")</x:f>
        <x:v>PASS</x:v>
      </x:c>
    </x:row>
    <x:row r="2545" ht="18" customHeight="1">
      <x:c r="B2545" s="27" t="str">
        <x:v>A2539</x:v>
      </x:c>
      <x:c r="C2545" s="27" t="str">
        <x:v>interface</x:v>
      </x:c>
      <x:c r="D2545" s="27" t="str">
        <x:v>Interface row 17 acceptance present</x:v>
      </x:c>
      <x:c r="E2545" s="27" t="n">
        <x:f>IF('Interface Tests'!H17&lt;&gt;"",1,0)</x:f>
        <x:v>1</x:v>
      </x:c>
      <x:c r="F2545" s="27" t="n">
        <x:v>1</x:v>
      </x:c>
      <x:c r="G2545" s="29" t="str">
        <x:f>IF(E2545=F2545,"PASS","FAIL")</x:f>
        <x:v>PASS</x:v>
      </x:c>
    </x:row>
    <x:row r="2546" ht="18" customHeight="1">
      <x:c r="B2546" s="27" t="str">
        <x:v>A2540</x:v>
      </x:c>
      <x:c r="C2546" s="27" t="str">
        <x:v>interface</x:v>
      </x:c>
      <x:c r="D2546" s="27" t="str">
        <x:v>Interface row 17 evidence open</x:v>
      </x:c>
      <x:c r="E2546" s="27" t="n">
        <x:f>IF('Interface Tests'!J17="OPEN",1,0)</x:f>
        <x:v>1</x:v>
      </x:c>
      <x:c r="F2546" s="27" t="n">
        <x:v>1</x:v>
      </x:c>
      <x:c r="G2546" s="29" t="str">
        <x:f>IF(E2546=F2546,"PASS","FAIL")</x:f>
        <x:v>PASS</x:v>
      </x:c>
    </x:row>
    <x:row r="2547" ht="18" customHeight="1">
      <x:c r="B2547" s="27" t="str">
        <x:v>A2541</x:v>
      </x:c>
      <x:c r="C2547" s="27" t="str">
        <x:v>interface</x:v>
      </x:c>
      <x:c r="D2547" s="27" t="str">
        <x:v>Interface row 17 zero credit</x:v>
      </x:c>
      <x:c r="E2547" s="27" t="n">
        <x:f>IF('Interface Tests'!K17=0,1,0)</x:f>
        <x:v>1</x:v>
      </x:c>
      <x:c r="F2547" s="27" t="n">
        <x:v>1</x:v>
      </x:c>
      <x:c r="G2547" s="29" t="str">
        <x:f>IF(E2547=F2547,"PASS","FAIL")</x:f>
        <x:v>PASS</x:v>
      </x:c>
    </x:row>
    <x:row r="2548" ht="18" customHeight="1">
      <x:c r="B2548" s="27" t="str">
        <x:v>A2542</x:v>
      </x:c>
      <x:c r="C2548" s="27" t="str">
        <x:v>interface</x:v>
      </x:c>
      <x:c r="D2548" s="27" t="str">
        <x:v>Interface row 18 challenge present</x:v>
      </x:c>
      <x:c r="E2548" s="27" t="n">
        <x:f>IF('Interface Tests'!F18&lt;&gt;"",1,0)</x:f>
        <x:v>1</x:v>
      </x:c>
      <x:c r="F2548" s="27" t="n">
        <x:v>1</x:v>
      </x:c>
      <x:c r="G2548" s="29" t="str">
        <x:f>IF(E2548=F2548,"PASS","FAIL")</x:f>
        <x:v>PASS</x:v>
      </x:c>
    </x:row>
    <x:row r="2549" ht="18" customHeight="1">
      <x:c r="B2549" s="27" t="str">
        <x:v>A2543</x:v>
      </x:c>
      <x:c r="C2549" s="27" t="str">
        <x:v>interface</x:v>
      </x:c>
      <x:c r="D2549" s="27" t="str">
        <x:v>Interface row 18 acceptance present</x:v>
      </x:c>
      <x:c r="E2549" s="27" t="n">
        <x:f>IF('Interface Tests'!H18&lt;&gt;"",1,0)</x:f>
        <x:v>1</x:v>
      </x:c>
      <x:c r="F2549" s="27" t="n">
        <x:v>1</x:v>
      </x:c>
      <x:c r="G2549" s="29" t="str">
        <x:f>IF(E2549=F2549,"PASS","FAIL")</x:f>
        <x:v>PASS</x:v>
      </x:c>
    </x:row>
    <x:row r="2550" ht="18" customHeight="1">
      <x:c r="B2550" s="27" t="str">
        <x:v>A2544</x:v>
      </x:c>
      <x:c r="C2550" s="27" t="str">
        <x:v>interface</x:v>
      </x:c>
      <x:c r="D2550" s="27" t="str">
        <x:v>Interface row 18 evidence open</x:v>
      </x:c>
      <x:c r="E2550" s="27" t="n">
        <x:f>IF('Interface Tests'!J18="OPEN",1,0)</x:f>
        <x:v>1</x:v>
      </x:c>
      <x:c r="F2550" s="27" t="n">
        <x:v>1</x:v>
      </x:c>
      <x:c r="G2550" s="29" t="str">
        <x:f>IF(E2550=F2550,"PASS","FAIL")</x:f>
        <x:v>PASS</x:v>
      </x:c>
    </x:row>
    <x:row r="2551" ht="18" customHeight="1">
      <x:c r="B2551" s="27" t="str">
        <x:v>A2545</x:v>
      </x:c>
      <x:c r="C2551" s="27" t="str">
        <x:v>interface</x:v>
      </x:c>
      <x:c r="D2551" s="27" t="str">
        <x:v>Interface row 18 zero credit</x:v>
      </x:c>
      <x:c r="E2551" s="27" t="n">
        <x:f>IF('Interface Tests'!K18=0,1,0)</x:f>
        <x:v>1</x:v>
      </x:c>
      <x:c r="F2551" s="27" t="n">
        <x:v>1</x:v>
      </x:c>
      <x:c r="G2551" s="29" t="str">
        <x:f>IF(E2551=F2551,"PASS","FAIL")</x:f>
        <x:v>PASS</x:v>
      </x:c>
    </x:row>
    <x:row r="2552" ht="18" customHeight="1">
      <x:c r="B2552" s="27" t="str">
        <x:v>A2546</x:v>
      </x:c>
      <x:c r="C2552" s="27" t="str">
        <x:v>interface</x:v>
      </x:c>
      <x:c r="D2552" s="27" t="str">
        <x:v>Interface row 19 challenge present</x:v>
      </x:c>
      <x:c r="E2552" s="27" t="n">
        <x:f>IF('Interface Tests'!F19&lt;&gt;"",1,0)</x:f>
        <x:v>1</x:v>
      </x:c>
      <x:c r="F2552" s="27" t="n">
        <x:v>1</x:v>
      </x:c>
      <x:c r="G2552" s="29" t="str">
        <x:f>IF(E2552=F2552,"PASS","FAIL")</x:f>
        <x:v>PASS</x:v>
      </x:c>
    </x:row>
    <x:row r="2553" ht="18" customHeight="1">
      <x:c r="B2553" s="27" t="str">
        <x:v>A2547</x:v>
      </x:c>
      <x:c r="C2553" s="27" t="str">
        <x:v>interface</x:v>
      </x:c>
      <x:c r="D2553" s="27" t="str">
        <x:v>Interface row 19 acceptance present</x:v>
      </x:c>
      <x:c r="E2553" s="27" t="n">
        <x:f>IF('Interface Tests'!H19&lt;&gt;"",1,0)</x:f>
        <x:v>1</x:v>
      </x:c>
      <x:c r="F2553" s="27" t="n">
        <x:v>1</x:v>
      </x:c>
      <x:c r="G2553" s="29" t="str">
        <x:f>IF(E2553=F2553,"PASS","FAIL")</x:f>
        <x:v>PASS</x:v>
      </x:c>
    </x:row>
    <x:row r="2554" ht="18" customHeight="1">
      <x:c r="B2554" s="27" t="str">
        <x:v>A2548</x:v>
      </x:c>
      <x:c r="C2554" s="27" t="str">
        <x:v>interface</x:v>
      </x:c>
      <x:c r="D2554" s="27" t="str">
        <x:v>Interface row 19 evidence open</x:v>
      </x:c>
      <x:c r="E2554" s="27" t="n">
        <x:f>IF('Interface Tests'!J19="OPEN",1,0)</x:f>
        <x:v>1</x:v>
      </x:c>
      <x:c r="F2554" s="27" t="n">
        <x:v>1</x:v>
      </x:c>
      <x:c r="G2554" s="29" t="str">
        <x:f>IF(E2554=F2554,"PASS","FAIL")</x:f>
        <x:v>PASS</x:v>
      </x:c>
    </x:row>
    <x:row r="2555" ht="18" customHeight="1">
      <x:c r="B2555" s="27" t="str">
        <x:v>A2549</x:v>
      </x:c>
      <x:c r="C2555" s="27" t="str">
        <x:v>interface</x:v>
      </x:c>
      <x:c r="D2555" s="27" t="str">
        <x:v>Interface row 19 zero credit</x:v>
      </x:c>
      <x:c r="E2555" s="27" t="n">
        <x:f>IF('Interface Tests'!K19=0,1,0)</x:f>
        <x:v>1</x:v>
      </x:c>
      <x:c r="F2555" s="27" t="n">
        <x:v>1</x:v>
      </x:c>
      <x:c r="G2555" s="29" t="str">
        <x:f>IF(E2555=F2555,"PASS","FAIL")</x:f>
        <x:v>PASS</x:v>
      </x:c>
    </x:row>
    <x:row r="2556" ht="18" customHeight="1">
      <x:c r="B2556" s="27" t="str">
        <x:v>A2550</x:v>
      </x:c>
      <x:c r="C2556" s="27" t="str">
        <x:v>interface</x:v>
      </x:c>
      <x:c r="D2556" s="27" t="str">
        <x:v>Interface row 20 challenge present</x:v>
      </x:c>
      <x:c r="E2556" s="27" t="n">
        <x:f>IF('Interface Tests'!F20&lt;&gt;"",1,0)</x:f>
        <x:v>1</x:v>
      </x:c>
      <x:c r="F2556" s="27" t="n">
        <x:v>1</x:v>
      </x:c>
      <x:c r="G2556" s="29" t="str">
        <x:f>IF(E2556=F2556,"PASS","FAIL")</x:f>
        <x:v>PASS</x:v>
      </x:c>
    </x:row>
    <x:row r="2557" ht="18" customHeight="1">
      <x:c r="B2557" s="27" t="str">
        <x:v>A2551</x:v>
      </x:c>
      <x:c r="C2557" s="27" t="str">
        <x:v>interface</x:v>
      </x:c>
      <x:c r="D2557" s="27" t="str">
        <x:v>Interface row 20 acceptance present</x:v>
      </x:c>
      <x:c r="E2557" s="27" t="n">
        <x:f>IF('Interface Tests'!H20&lt;&gt;"",1,0)</x:f>
        <x:v>1</x:v>
      </x:c>
      <x:c r="F2557" s="27" t="n">
        <x:v>1</x:v>
      </x:c>
      <x:c r="G2557" s="29" t="str">
        <x:f>IF(E2557=F2557,"PASS","FAIL")</x:f>
        <x:v>PASS</x:v>
      </x:c>
    </x:row>
    <x:row r="2558" ht="18" customHeight="1">
      <x:c r="B2558" s="27" t="str">
        <x:v>A2552</x:v>
      </x:c>
      <x:c r="C2558" s="27" t="str">
        <x:v>interface</x:v>
      </x:c>
      <x:c r="D2558" s="27" t="str">
        <x:v>Interface row 20 evidence open</x:v>
      </x:c>
      <x:c r="E2558" s="27" t="n">
        <x:f>IF('Interface Tests'!J20="OPEN",1,0)</x:f>
        <x:v>1</x:v>
      </x:c>
      <x:c r="F2558" s="27" t="n">
        <x:v>1</x:v>
      </x:c>
      <x:c r="G2558" s="29" t="str">
        <x:f>IF(E2558=F2558,"PASS","FAIL")</x:f>
        <x:v>PASS</x:v>
      </x:c>
    </x:row>
    <x:row r="2559" ht="18" customHeight="1">
      <x:c r="B2559" s="27" t="str">
        <x:v>A2553</x:v>
      </x:c>
      <x:c r="C2559" s="27" t="str">
        <x:v>interface</x:v>
      </x:c>
      <x:c r="D2559" s="27" t="str">
        <x:v>Interface row 20 zero credit</x:v>
      </x:c>
      <x:c r="E2559" s="27" t="n">
        <x:f>IF('Interface Tests'!K20=0,1,0)</x:f>
        <x:v>1</x:v>
      </x:c>
      <x:c r="F2559" s="27" t="n">
        <x:v>1</x:v>
      </x:c>
      <x:c r="G2559" s="29" t="str">
        <x:f>IF(E2559=F2559,"PASS","FAIL")</x:f>
        <x:v>PASS</x:v>
      </x:c>
    </x:row>
    <x:row r="2560" ht="18" customHeight="1">
      <x:c r="B2560" s="27" t="str">
        <x:v>A2554</x:v>
      </x:c>
      <x:c r="C2560" s="27" t="str">
        <x:v>interface</x:v>
      </x:c>
      <x:c r="D2560" s="27" t="str">
        <x:v>Interface row 21 challenge present</x:v>
      </x:c>
      <x:c r="E2560" s="27" t="n">
        <x:f>IF('Interface Tests'!F21&lt;&gt;"",1,0)</x:f>
        <x:v>1</x:v>
      </x:c>
      <x:c r="F2560" s="27" t="n">
        <x:v>1</x:v>
      </x:c>
      <x:c r="G2560" s="29" t="str">
        <x:f>IF(E2560=F2560,"PASS","FAIL")</x:f>
        <x:v>PASS</x:v>
      </x:c>
    </x:row>
    <x:row r="2561" ht="18" customHeight="1">
      <x:c r="B2561" s="27" t="str">
        <x:v>A2555</x:v>
      </x:c>
      <x:c r="C2561" s="27" t="str">
        <x:v>interface</x:v>
      </x:c>
      <x:c r="D2561" s="27" t="str">
        <x:v>Interface row 21 acceptance present</x:v>
      </x:c>
      <x:c r="E2561" s="27" t="n">
        <x:f>IF('Interface Tests'!H21&lt;&gt;"",1,0)</x:f>
        <x:v>1</x:v>
      </x:c>
      <x:c r="F2561" s="27" t="n">
        <x:v>1</x:v>
      </x:c>
      <x:c r="G2561" s="29" t="str">
        <x:f>IF(E2561=F2561,"PASS","FAIL")</x:f>
        <x:v>PASS</x:v>
      </x:c>
    </x:row>
    <x:row r="2562" ht="18" customHeight="1">
      <x:c r="B2562" s="27" t="str">
        <x:v>A2556</x:v>
      </x:c>
      <x:c r="C2562" s="27" t="str">
        <x:v>interface</x:v>
      </x:c>
      <x:c r="D2562" s="27" t="str">
        <x:v>Interface row 21 evidence open</x:v>
      </x:c>
      <x:c r="E2562" s="27" t="n">
        <x:f>IF('Interface Tests'!J21="OPEN",1,0)</x:f>
        <x:v>1</x:v>
      </x:c>
      <x:c r="F2562" s="27" t="n">
        <x:v>1</x:v>
      </x:c>
      <x:c r="G2562" s="29" t="str">
        <x:f>IF(E2562=F2562,"PASS","FAIL")</x:f>
        <x:v>PASS</x:v>
      </x:c>
    </x:row>
    <x:row r="2563" ht="18" customHeight="1">
      <x:c r="B2563" s="27" t="str">
        <x:v>A2557</x:v>
      </x:c>
      <x:c r="C2563" s="27" t="str">
        <x:v>interface</x:v>
      </x:c>
      <x:c r="D2563" s="27" t="str">
        <x:v>Interface row 21 zero credit</x:v>
      </x:c>
      <x:c r="E2563" s="27" t="n">
        <x:f>IF('Interface Tests'!K21=0,1,0)</x:f>
        <x:v>1</x:v>
      </x:c>
      <x:c r="F2563" s="27" t="n">
        <x:v>1</x:v>
      </x:c>
      <x:c r="G2563" s="29" t="str">
        <x:f>IF(E2563=F2563,"PASS","FAIL")</x:f>
        <x:v>PASS</x:v>
      </x:c>
    </x:row>
    <x:row r="2564" ht="18" customHeight="1">
      <x:c r="B2564" s="27" t="str">
        <x:v>A2558</x:v>
      </x:c>
      <x:c r="C2564" s="27" t="str">
        <x:v>interface</x:v>
      </x:c>
      <x:c r="D2564" s="27" t="str">
        <x:v>Interface row 22 challenge present</x:v>
      </x:c>
      <x:c r="E2564" s="27" t="n">
        <x:f>IF('Interface Tests'!F22&lt;&gt;"",1,0)</x:f>
        <x:v>1</x:v>
      </x:c>
      <x:c r="F2564" s="27" t="n">
        <x:v>1</x:v>
      </x:c>
      <x:c r="G2564" s="29" t="str">
        <x:f>IF(E2564=F2564,"PASS","FAIL")</x:f>
        <x:v>PASS</x:v>
      </x:c>
    </x:row>
    <x:row r="2565" ht="18" customHeight="1">
      <x:c r="B2565" s="27" t="str">
        <x:v>A2559</x:v>
      </x:c>
      <x:c r="C2565" s="27" t="str">
        <x:v>interface</x:v>
      </x:c>
      <x:c r="D2565" s="27" t="str">
        <x:v>Interface row 22 acceptance present</x:v>
      </x:c>
      <x:c r="E2565" s="27" t="n">
        <x:f>IF('Interface Tests'!H22&lt;&gt;"",1,0)</x:f>
        <x:v>1</x:v>
      </x:c>
      <x:c r="F2565" s="27" t="n">
        <x:v>1</x:v>
      </x:c>
      <x:c r="G2565" s="29" t="str">
        <x:f>IF(E2565=F2565,"PASS","FAIL")</x:f>
        <x:v>PASS</x:v>
      </x:c>
    </x:row>
    <x:row r="2566" ht="18" customHeight="1">
      <x:c r="B2566" s="27" t="str">
        <x:v>A2560</x:v>
      </x:c>
      <x:c r="C2566" s="27" t="str">
        <x:v>interface</x:v>
      </x:c>
      <x:c r="D2566" s="27" t="str">
        <x:v>Interface row 22 evidence open</x:v>
      </x:c>
      <x:c r="E2566" s="27" t="n">
        <x:f>IF('Interface Tests'!J22="OPEN",1,0)</x:f>
        <x:v>1</x:v>
      </x:c>
      <x:c r="F2566" s="27" t="n">
        <x:v>1</x:v>
      </x:c>
      <x:c r="G2566" s="29" t="str">
        <x:f>IF(E2566=F2566,"PASS","FAIL")</x:f>
        <x:v>PASS</x:v>
      </x:c>
    </x:row>
    <x:row r="2567" ht="18" customHeight="1">
      <x:c r="B2567" s="27" t="str">
        <x:v>A2561</x:v>
      </x:c>
      <x:c r="C2567" s="27" t="str">
        <x:v>interface</x:v>
      </x:c>
      <x:c r="D2567" s="27" t="str">
        <x:v>Interface row 22 zero credit</x:v>
      </x:c>
      <x:c r="E2567" s="27" t="n">
        <x:f>IF('Interface Tests'!K22=0,1,0)</x:f>
        <x:v>1</x:v>
      </x:c>
      <x:c r="F2567" s="27" t="n">
        <x:v>1</x:v>
      </x:c>
      <x:c r="G2567" s="29" t="str">
        <x:f>IF(E2567=F2567,"PASS","FAIL")</x:f>
        <x:v>PASS</x:v>
      </x:c>
    </x:row>
    <x:row r="2568" ht="18" customHeight="1">
      <x:c r="B2568" s="27" t="str">
        <x:v>A2562</x:v>
      </x:c>
      <x:c r="C2568" s="27" t="str">
        <x:v>interface</x:v>
      </x:c>
      <x:c r="D2568" s="27" t="str">
        <x:v>Interface row 23 challenge present</x:v>
      </x:c>
      <x:c r="E2568" s="27" t="n">
        <x:f>IF('Interface Tests'!F23&lt;&gt;"",1,0)</x:f>
        <x:v>1</x:v>
      </x:c>
      <x:c r="F2568" s="27" t="n">
        <x:v>1</x:v>
      </x:c>
      <x:c r="G2568" s="29" t="str">
        <x:f>IF(E2568=F2568,"PASS","FAIL")</x:f>
        <x:v>PASS</x:v>
      </x:c>
    </x:row>
    <x:row r="2569" ht="18" customHeight="1">
      <x:c r="B2569" s="27" t="str">
        <x:v>A2563</x:v>
      </x:c>
      <x:c r="C2569" s="27" t="str">
        <x:v>interface</x:v>
      </x:c>
      <x:c r="D2569" s="27" t="str">
        <x:v>Interface row 23 acceptance present</x:v>
      </x:c>
      <x:c r="E2569" s="27" t="n">
        <x:f>IF('Interface Tests'!H23&lt;&gt;"",1,0)</x:f>
        <x:v>1</x:v>
      </x:c>
      <x:c r="F2569" s="27" t="n">
        <x:v>1</x:v>
      </x:c>
      <x:c r="G2569" s="29" t="str">
        <x:f>IF(E2569=F2569,"PASS","FAIL")</x:f>
        <x:v>PASS</x:v>
      </x:c>
    </x:row>
    <x:row r="2570" ht="18" customHeight="1">
      <x:c r="B2570" s="27" t="str">
        <x:v>A2564</x:v>
      </x:c>
      <x:c r="C2570" s="27" t="str">
        <x:v>interface</x:v>
      </x:c>
      <x:c r="D2570" s="27" t="str">
        <x:v>Interface row 23 evidence open</x:v>
      </x:c>
      <x:c r="E2570" s="27" t="n">
        <x:f>IF('Interface Tests'!J23="OPEN",1,0)</x:f>
        <x:v>1</x:v>
      </x:c>
      <x:c r="F2570" s="27" t="n">
        <x:v>1</x:v>
      </x:c>
      <x:c r="G2570" s="29" t="str">
        <x:f>IF(E2570=F2570,"PASS","FAIL")</x:f>
        <x:v>PASS</x:v>
      </x:c>
    </x:row>
    <x:row r="2571" ht="18" customHeight="1">
      <x:c r="B2571" s="27" t="str">
        <x:v>A2565</x:v>
      </x:c>
      <x:c r="C2571" s="27" t="str">
        <x:v>interface</x:v>
      </x:c>
      <x:c r="D2571" s="27" t="str">
        <x:v>Interface row 23 zero credit</x:v>
      </x:c>
      <x:c r="E2571" s="27" t="n">
        <x:f>IF('Interface Tests'!K23=0,1,0)</x:f>
        <x:v>1</x:v>
      </x:c>
      <x:c r="F2571" s="27" t="n">
        <x:v>1</x:v>
      </x:c>
      <x:c r="G2571" s="29" t="str">
        <x:f>IF(E2571=F2571,"PASS","FAIL")</x:f>
        <x:v>PASS</x:v>
      </x:c>
    </x:row>
    <x:row r="2572" ht="18" customHeight="1">
      <x:c r="B2572" s="27" t="str">
        <x:v>A2566</x:v>
      </x:c>
      <x:c r="C2572" s="27" t="str">
        <x:v>interface</x:v>
      </x:c>
      <x:c r="D2572" s="27" t="str">
        <x:v>Interface row 24 challenge present</x:v>
      </x:c>
      <x:c r="E2572" s="27" t="n">
        <x:f>IF('Interface Tests'!F24&lt;&gt;"",1,0)</x:f>
        <x:v>1</x:v>
      </x:c>
      <x:c r="F2572" s="27" t="n">
        <x:v>1</x:v>
      </x:c>
      <x:c r="G2572" s="29" t="str">
        <x:f>IF(E2572=F2572,"PASS","FAIL")</x:f>
        <x:v>PASS</x:v>
      </x:c>
    </x:row>
    <x:row r="2573" ht="18" customHeight="1">
      <x:c r="B2573" s="27" t="str">
        <x:v>A2567</x:v>
      </x:c>
      <x:c r="C2573" s="27" t="str">
        <x:v>interface</x:v>
      </x:c>
      <x:c r="D2573" s="27" t="str">
        <x:v>Interface row 24 acceptance present</x:v>
      </x:c>
      <x:c r="E2573" s="27" t="n">
        <x:f>IF('Interface Tests'!H24&lt;&gt;"",1,0)</x:f>
        <x:v>1</x:v>
      </x:c>
      <x:c r="F2573" s="27" t="n">
        <x:v>1</x:v>
      </x:c>
      <x:c r="G2573" s="29" t="str">
        <x:f>IF(E2573=F2573,"PASS","FAIL")</x:f>
        <x:v>PASS</x:v>
      </x:c>
    </x:row>
    <x:row r="2574" ht="18" customHeight="1">
      <x:c r="B2574" s="27" t="str">
        <x:v>A2568</x:v>
      </x:c>
      <x:c r="C2574" s="27" t="str">
        <x:v>interface</x:v>
      </x:c>
      <x:c r="D2574" s="27" t="str">
        <x:v>Interface row 24 evidence open</x:v>
      </x:c>
      <x:c r="E2574" s="27" t="n">
        <x:f>IF('Interface Tests'!J24="OPEN",1,0)</x:f>
        <x:v>1</x:v>
      </x:c>
      <x:c r="F2574" s="27" t="n">
        <x:v>1</x:v>
      </x:c>
      <x:c r="G2574" s="29" t="str">
        <x:f>IF(E2574=F2574,"PASS","FAIL")</x:f>
        <x:v>PASS</x:v>
      </x:c>
    </x:row>
    <x:row r="2575" ht="18" customHeight="1">
      <x:c r="B2575" s="27" t="str">
        <x:v>A2569</x:v>
      </x:c>
      <x:c r="C2575" s="27" t="str">
        <x:v>interface</x:v>
      </x:c>
      <x:c r="D2575" s="27" t="str">
        <x:v>Interface row 24 zero credit</x:v>
      </x:c>
      <x:c r="E2575" s="27" t="n">
        <x:f>IF('Interface Tests'!K24=0,1,0)</x:f>
        <x:v>1</x:v>
      </x:c>
      <x:c r="F2575" s="27" t="n">
        <x:v>1</x:v>
      </x:c>
      <x:c r="G2575" s="29" t="str">
        <x:f>IF(E2575=F2575,"PASS","FAIL")</x:f>
        <x:v>PASS</x:v>
      </x:c>
    </x:row>
    <x:row r="2576" ht="18" customHeight="1">
      <x:c r="B2576" s="27" t="str">
        <x:v>A2570</x:v>
      </x:c>
      <x:c r="C2576" s="27" t="str">
        <x:v>interface</x:v>
      </x:c>
      <x:c r="D2576" s="27" t="str">
        <x:v>Interface row 25 challenge present</x:v>
      </x:c>
      <x:c r="E2576" s="27" t="n">
        <x:f>IF('Interface Tests'!F25&lt;&gt;"",1,0)</x:f>
        <x:v>1</x:v>
      </x:c>
      <x:c r="F2576" s="27" t="n">
        <x:v>1</x:v>
      </x:c>
      <x:c r="G2576" s="29" t="str">
        <x:f>IF(E2576=F2576,"PASS","FAIL")</x:f>
        <x:v>PASS</x:v>
      </x:c>
    </x:row>
    <x:row r="2577" ht="18" customHeight="1">
      <x:c r="B2577" s="27" t="str">
        <x:v>A2571</x:v>
      </x:c>
      <x:c r="C2577" s="27" t="str">
        <x:v>interface</x:v>
      </x:c>
      <x:c r="D2577" s="27" t="str">
        <x:v>Interface row 25 acceptance present</x:v>
      </x:c>
      <x:c r="E2577" s="27" t="n">
        <x:f>IF('Interface Tests'!H25&lt;&gt;"",1,0)</x:f>
        <x:v>1</x:v>
      </x:c>
      <x:c r="F2577" s="27" t="n">
        <x:v>1</x:v>
      </x:c>
      <x:c r="G2577" s="29" t="str">
        <x:f>IF(E2577=F2577,"PASS","FAIL")</x:f>
        <x:v>PASS</x:v>
      </x:c>
    </x:row>
    <x:row r="2578" ht="18" customHeight="1">
      <x:c r="B2578" s="27" t="str">
        <x:v>A2572</x:v>
      </x:c>
      <x:c r="C2578" s="27" t="str">
        <x:v>interface</x:v>
      </x:c>
      <x:c r="D2578" s="27" t="str">
        <x:v>Interface row 25 evidence open</x:v>
      </x:c>
      <x:c r="E2578" s="27" t="n">
        <x:f>IF('Interface Tests'!J25="OPEN",1,0)</x:f>
        <x:v>1</x:v>
      </x:c>
      <x:c r="F2578" s="27" t="n">
        <x:v>1</x:v>
      </x:c>
      <x:c r="G2578" s="29" t="str">
        <x:f>IF(E2578=F2578,"PASS","FAIL")</x:f>
        <x:v>PASS</x:v>
      </x:c>
    </x:row>
    <x:row r="2579" ht="18" customHeight="1">
      <x:c r="B2579" s="27" t="str">
        <x:v>A2573</x:v>
      </x:c>
      <x:c r="C2579" s="27" t="str">
        <x:v>interface</x:v>
      </x:c>
      <x:c r="D2579" s="27" t="str">
        <x:v>Interface row 25 zero credit</x:v>
      </x:c>
      <x:c r="E2579" s="27" t="n">
        <x:f>IF('Interface Tests'!K25=0,1,0)</x:f>
        <x:v>1</x:v>
      </x:c>
      <x:c r="F2579" s="27" t="n">
        <x:v>1</x:v>
      </x:c>
      <x:c r="G2579" s="29" t="str">
        <x:f>IF(E2579=F2579,"PASS","FAIL")</x:f>
        <x:v>PASS</x:v>
      </x:c>
    </x:row>
    <x:row r="2580" ht="18" customHeight="1">
      <x:c r="B2580" s="27" t="str">
        <x:v>A2574</x:v>
      </x:c>
      <x:c r="C2580" s="27" t="str">
        <x:v>interface</x:v>
      </x:c>
      <x:c r="D2580" s="27" t="str">
        <x:v>Interface row 26 challenge present</x:v>
      </x:c>
      <x:c r="E2580" s="27" t="n">
        <x:f>IF('Interface Tests'!F26&lt;&gt;"",1,0)</x:f>
        <x:v>1</x:v>
      </x:c>
      <x:c r="F2580" s="27" t="n">
        <x:v>1</x:v>
      </x:c>
      <x:c r="G2580" s="29" t="str">
        <x:f>IF(E2580=F2580,"PASS","FAIL")</x:f>
        <x:v>PASS</x:v>
      </x:c>
    </x:row>
    <x:row r="2581" ht="18" customHeight="1">
      <x:c r="B2581" s="27" t="str">
        <x:v>A2575</x:v>
      </x:c>
      <x:c r="C2581" s="27" t="str">
        <x:v>interface</x:v>
      </x:c>
      <x:c r="D2581" s="27" t="str">
        <x:v>Interface row 26 acceptance present</x:v>
      </x:c>
      <x:c r="E2581" s="27" t="n">
        <x:f>IF('Interface Tests'!H26&lt;&gt;"",1,0)</x:f>
        <x:v>1</x:v>
      </x:c>
      <x:c r="F2581" s="27" t="n">
        <x:v>1</x:v>
      </x:c>
      <x:c r="G2581" s="29" t="str">
        <x:f>IF(E2581=F2581,"PASS","FAIL")</x:f>
        <x:v>PASS</x:v>
      </x:c>
    </x:row>
    <x:row r="2582" ht="18" customHeight="1">
      <x:c r="B2582" s="27" t="str">
        <x:v>A2576</x:v>
      </x:c>
      <x:c r="C2582" s="27" t="str">
        <x:v>interface</x:v>
      </x:c>
      <x:c r="D2582" s="27" t="str">
        <x:v>Interface row 26 evidence open</x:v>
      </x:c>
      <x:c r="E2582" s="27" t="n">
        <x:f>IF('Interface Tests'!J26="OPEN",1,0)</x:f>
        <x:v>1</x:v>
      </x:c>
      <x:c r="F2582" s="27" t="n">
        <x:v>1</x:v>
      </x:c>
      <x:c r="G2582" s="29" t="str">
        <x:f>IF(E2582=F2582,"PASS","FAIL")</x:f>
        <x:v>PASS</x:v>
      </x:c>
    </x:row>
    <x:row r="2583" ht="18" customHeight="1">
      <x:c r="B2583" s="27" t="str">
        <x:v>A2577</x:v>
      </x:c>
      <x:c r="C2583" s="27" t="str">
        <x:v>interface</x:v>
      </x:c>
      <x:c r="D2583" s="27" t="str">
        <x:v>Interface row 26 zero credit</x:v>
      </x:c>
      <x:c r="E2583" s="27" t="n">
        <x:f>IF('Interface Tests'!K26=0,1,0)</x:f>
        <x:v>1</x:v>
      </x:c>
      <x:c r="F2583" s="27" t="n">
        <x:v>1</x:v>
      </x:c>
      <x:c r="G2583" s="29" t="str">
        <x:f>IF(E2583=F2583,"PASS","FAIL")</x:f>
        <x:v>PASS</x:v>
      </x:c>
    </x:row>
    <x:row r="2584" ht="18" customHeight="1">
      <x:c r="B2584" s="27" t="str">
        <x:v>A2578</x:v>
      </x:c>
      <x:c r="C2584" s="27" t="str">
        <x:v>interface</x:v>
      </x:c>
      <x:c r="D2584" s="27" t="str">
        <x:v>Interface row 27 challenge present</x:v>
      </x:c>
      <x:c r="E2584" s="27" t="n">
        <x:f>IF('Interface Tests'!F27&lt;&gt;"",1,0)</x:f>
        <x:v>1</x:v>
      </x:c>
      <x:c r="F2584" s="27" t="n">
        <x:v>1</x:v>
      </x:c>
      <x:c r="G2584" s="29" t="str">
        <x:f>IF(E2584=F2584,"PASS","FAIL")</x:f>
        <x:v>PASS</x:v>
      </x:c>
    </x:row>
    <x:row r="2585" ht="18" customHeight="1">
      <x:c r="B2585" s="27" t="str">
        <x:v>A2579</x:v>
      </x:c>
      <x:c r="C2585" s="27" t="str">
        <x:v>interface</x:v>
      </x:c>
      <x:c r="D2585" s="27" t="str">
        <x:v>Interface row 27 acceptance present</x:v>
      </x:c>
      <x:c r="E2585" s="27" t="n">
        <x:f>IF('Interface Tests'!H27&lt;&gt;"",1,0)</x:f>
        <x:v>1</x:v>
      </x:c>
      <x:c r="F2585" s="27" t="n">
        <x:v>1</x:v>
      </x:c>
      <x:c r="G2585" s="29" t="str">
        <x:f>IF(E2585=F2585,"PASS","FAIL")</x:f>
        <x:v>PASS</x:v>
      </x:c>
    </x:row>
    <x:row r="2586" ht="18" customHeight="1">
      <x:c r="B2586" s="27" t="str">
        <x:v>A2580</x:v>
      </x:c>
      <x:c r="C2586" s="27" t="str">
        <x:v>interface</x:v>
      </x:c>
      <x:c r="D2586" s="27" t="str">
        <x:v>Interface row 27 evidence open</x:v>
      </x:c>
      <x:c r="E2586" s="27" t="n">
        <x:f>IF('Interface Tests'!J27="OPEN",1,0)</x:f>
        <x:v>1</x:v>
      </x:c>
      <x:c r="F2586" s="27" t="n">
        <x:v>1</x:v>
      </x:c>
      <x:c r="G2586" s="29" t="str">
        <x:f>IF(E2586=F2586,"PASS","FAIL")</x:f>
        <x:v>PASS</x:v>
      </x:c>
    </x:row>
    <x:row r="2587" ht="18" customHeight="1">
      <x:c r="B2587" s="27" t="str">
        <x:v>A2581</x:v>
      </x:c>
      <x:c r="C2587" s="27" t="str">
        <x:v>interface</x:v>
      </x:c>
      <x:c r="D2587" s="27" t="str">
        <x:v>Interface row 27 zero credit</x:v>
      </x:c>
      <x:c r="E2587" s="27" t="n">
        <x:f>IF('Interface Tests'!K27=0,1,0)</x:f>
        <x:v>1</x:v>
      </x:c>
      <x:c r="F2587" s="27" t="n">
        <x:v>1</x:v>
      </x:c>
      <x:c r="G2587" s="29" t="str">
        <x:f>IF(E2587=F2587,"PASS","FAIL")</x:f>
        <x:v>PASS</x:v>
      </x:c>
    </x:row>
    <x:row r="2588" ht="18" customHeight="1">
      <x:c r="B2588" s="27" t="str">
        <x:v>A2582</x:v>
      </x:c>
      <x:c r="C2588" s="27" t="str">
        <x:v>interface</x:v>
      </x:c>
      <x:c r="D2588" s="27" t="str">
        <x:v>Interface row 28 challenge present</x:v>
      </x:c>
      <x:c r="E2588" s="27" t="n">
        <x:f>IF('Interface Tests'!F28&lt;&gt;"",1,0)</x:f>
        <x:v>1</x:v>
      </x:c>
      <x:c r="F2588" s="27" t="n">
        <x:v>1</x:v>
      </x:c>
      <x:c r="G2588" s="29" t="str">
        <x:f>IF(E2588=F2588,"PASS","FAIL")</x:f>
        <x:v>PASS</x:v>
      </x:c>
    </x:row>
    <x:row r="2589" ht="18" customHeight="1">
      <x:c r="B2589" s="27" t="str">
        <x:v>A2583</x:v>
      </x:c>
      <x:c r="C2589" s="27" t="str">
        <x:v>interface</x:v>
      </x:c>
      <x:c r="D2589" s="27" t="str">
        <x:v>Interface row 28 acceptance present</x:v>
      </x:c>
      <x:c r="E2589" s="27" t="n">
        <x:f>IF('Interface Tests'!H28&lt;&gt;"",1,0)</x:f>
        <x:v>1</x:v>
      </x:c>
      <x:c r="F2589" s="27" t="n">
        <x:v>1</x:v>
      </x:c>
      <x:c r="G2589" s="29" t="str">
        <x:f>IF(E2589=F2589,"PASS","FAIL")</x:f>
        <x:v>PASS</x:v>
      </x:c>
    </x:row>
    <x:row r="2590" ht="18" customHeight="1">
      <x:c r="B2590" s="27" t="str">
        <x:v>A2584</x:v>
      </x:c>
      <x:c r="C2590" s="27" t="str">
        <x:v>interface</x:v>
      </x:c>
      <x:c r="D2590" s="27" t="str">
        <x:v>Interface row 28 evidence open</x:v>
      </x:c>
      <x:c r="E2590" s="27" t="n">
        <x:f>IF('Interface Tests'!J28="OPEN",1,0)</x:f>
        <x:v>1</x:v>
      </x:c>
      <x:c r="F2590" s="27" t="n">
        <x:v>1</x:v>
      </x:c>
      <x:c r="G2590" s="29" t="str">
        <x:f>IF(E2590=F2590,"PASS","FAIL")</x:f>
        <x:v>PASS</x:v>
      </x:c>
    </x:row>
    <x:row r="2591" ht="18" customHeight="1">
      <x:c r="B2591" s="27" t="str">
        <x:v>A2585</x:v>
      </x:c>
      <x:c r="C2591" s="27" t="str">
        <x:v>interface</x:v>
      </x:c>
      <x:c r="D2591" s="27" t="str">
        <x:v>Interface row 28 zero credit</x:v>
      </x:c>
      <x:c r="E2591" s="27" t="n">
        <x:f>IF('Interface Tests'!K28=0,1,0)</x:f>
        <x:v>1</x:v>
      </x:c>
      <x:c r="F2591" s="27" t="n">
        <x:v>1</x:v>
      </x:c>
      <x:c r="G2591" s="29" t="str">
        <x:f>IF(E2591=F2591,"PASS","FAIL")</x:f>
        <x:v>PASS</x:v>
      </x:c>
    </x:row>
    <x:row r="2592" ht="18" customHeight="1">
      <x:c r="B2592" s="27" t="str">
        <x:v>A2586</x:v>
      </x:c>
      <x:c r="C2592" s="27" t="str">
        <x:v>interface</x:v>
      </x:c>
      <x:c r="D2592" s="27" t="str">
        <x:v>Interface row 29 challenge present</x:v>
      </x:c>
      <x:c r="E2592" s="27" t="n">
        <x:f>IF('Interface Tests'!F29&lt;&gt;"",1,0)</x:f>
        <x:v>1</x:v>
      </x:c>
      <x:c r="F2592" s="27" t="n">
        <x:v>1</x:v>
      </x:c>
      <x:c r="G2592" s="29" t="str">
        <x:f>IF(E2592=F2592,"PASS","FAIL")</x:f>
        <x:v>PASS</x:v>
      </x:c>
    </x:row>
    <x:row r="2593" ht="18" customHeight="1">
      <x:c r="B2593" s="27" t="str">
        <x:v>A2587</x:v>
      </x:c>
      <x:c r="C2593" s="27" t="str">
        <x:v>interface</x:v>
      </x:c>
      <x:c r="D2593" s="27" t="str">
        <x:v>Interface row 29 acceptance present</x:v>
      </x:c>
      <x:c r="E2593" s="27" t="n">
        <x:f>IF('Interface Tests'!H29&lt;&gt;"",1,0)</x:f>
        <x:v>1</x:v>
      </x:c>
      <x:c r="F2593" s="27" t="n">
        <x:v>1</x:v>
      </x:c>
      <x:c r="G2593" s="29" t="str">
        <x:f>IF(E2593=F2593,"PASS","FAIL")</x:f>
        <x:v>PASS</x:v>
      </x:c>
    </x:row>
    <x:row r="2594" ht="18" customHeight="1">
      <x:c r="B2594" s="27" t="str">
        <x:v>A2588</x:v>
      </x:c>
      <x:c r="C2594" s="27" t="str">
        <x:v>interface</x:v>
      </x:c>
      <x:c r="D2594" s="27" t="str">
        <x:v>Interface row 29 evidence open</x:v>
      </x:c>
      <x:c r="E2594" s="27" t="n">
        <x:f>IF('Interface Tests'!J29="OPEN",1,0)</x:f>
        <x:v>1</x:v>
      </x:c>
      <x:c r="F2594" s="27" t="n">
        <x:v>1</x:v>
      </x:c>
      <x:c r="G2594" s="29" t="str">
        <x:f>IF(E2594=F2594,"PASS","FAIL")</x:f>
        <x:v>PASS</x:v>
      </x:c>
    </x:row>
    <x:row r="2595" ht="18" customHeight="1">
      <x:c r="B2595" s="27" t="str">
        <x:v>A2589</x:v>
      </x:c>
      <x:c r="C2595" s="27" t="str">
        <x:v>interface</x:v>
      </x:c>
      <x:c r="D2595" s="27" t="str">
        <x:v>Interface row 29 zero credit</x:v>
      </x:c>
      <x:c r="E2595" s="27" t="n">
        <x:f>IF('Interface Tests'!K29=0,1,0)</x:f>
        <x:v>1</x:v>
      </x:c>
      <x:c r="F2595" s="27" t="n">
        <x:v>1</x:v>
      </x:c>
      <x:c r="G2595" s="29" t="str">
        <x:f>IF(E2595=F2595,"PASS","FAIL")</x:f>
        <x:v>PASS</x:v>
      </x:c>
    </x:row>
    <x:row r="2596" ht="18" customHeight="1">
      <x:c r="B2596" s="27" t="str">
        <x:v>A2590</x:v>
      </x:c>
      <x:c r="C2596" s="27" t="str">
        <x:v>interface</x:v>
      </x:c>
      <x:c r="D2596" s="27" t="str">
        <x:v>Interface row 30 challenge present</x:v>
      </x:c>
      <x:c r="E2596" s="27" t="n">
        <x:f>IF('Interface Tests'!F30&lt;&gt;"",1,0)</x:f>
        <x:v>1</x:v>
      </x:c>
      <x:c r="F2596" s="27" t="n">
        <x:v>1</x:v>
      </x:c>
      <x:c r="G2596" s="29" t="str">
        <x:f>IF(E2596=F2596,"PASS","FAIL")</x:f>
        <x:v>PASS</x:v>
      </x:c>
    </x:row>
    <x:row r="2597" ht="18" customHeight="1">
      <x:c r="B2597" s="27" t="str">
        <x:v>A2591</x:v>
      </x:c>
      <x:c r="C2597" s="27" t="str">
        <x:v>interface</x:v>
      </x:c>
      <x:c r="D2597" s="27" t="str">
        <x:v>Interface row 30 acceptance present</x:v>
      </x:c>
      <x:c r="E2597" s="27" t="n">
        <x:f>IF('Interface Tests'!H30&lt;&gt;"",1,0)</x:f>
        <x:v>1</x:v>
      </x:c>
      <x:c r="F2597" s="27" t="n">
        <x:v>1</x:v>
      </x:c>
      <x:c r="G2597" s="29" t="str">
        <x:f>IF(E2597=F2597,"PASS","FAIL")</x:f>
        <x:v>PASS</x:v>
      </x:c>
    </x:row>
    <x:row r="2598" ht="18" customHeight="1">
      <x:c r="B2598" s="27" t="str">
        <x:v>A2592</x:v>
      </x:c>
      <x:c r="C2598" s="27" t="str">
        <x:v>interface</x:v>
      </x:c>
      <x:c r="D2598" s="27" t="str">
        <x:v>Interface row 30 evidence open</x:v>
      </x:c>
      <x:c r="E2598" s="27" t="n">
        <x:f>IF('Interface Tests'!J30="OPEN",1,0)</x:f>
        <x:v>1</x:v>
      </x:c>
      <x:c r="F2598" s="27" t="n">
        <x:v>1</x:v>
      </x:c>
      <x:c r="G2598" s="29" t="str">
        <x:f>IF(E2598=F2598,"PASS","FAIL")</x:f>
        <x:v>PASS</x:v>
      </x:c>
    </x:row>
    <x:row r="2599" ht="18" customHeight="1">
      <x:c r="B2599" s="27" t="str">
        <x:v>A2593</x:v>
      </x:c>
      <x:c r="C2599" s="27" t="str">
        <x:v>interface</x:v>
      </x:c>
      <x:c r="D2599" s="27" t="str">
        <x:v>Interface row 30 zero credit</x:v>
      </x:c>
      <x:c r="E2599" s="27" t="n">
        <x:f>IF('Interface Tests'!K30=0,1,0)</x:f>
        <x:v>1</x:v>
      </x:c>
      <x:c r="F2599" s="27" t="n">
        <x:v>1</x:v>
      </x:c>
      <x:c r="G2599" s="29" t="str">
        <x:f>IF(E2599=F2599,"PASS","FAIL")</x:f>
        <x:v>PASS</x:v>
      </x:c>
    </x:row>
    <x:row r="2600" ht="18" customHeight="1">
      <x:c r="B2600" s="27" t="str">
        <x:v>A2594</x:v>
      </x:c>
      <x:c r="C2600" s="27" t="str">
        <x:v>interface</x:v>
      </x:c>
      <x:c r="D2600" s="27" t="str">
        <x:v>Interface row 31 challenge present</x:v>
      </x:c>
      <x:c r="E2600" s="27" t="n">
        <x:f>IF('Interface Tests'!F31&lt;&gt;"",1,0)</x:f>
        <x:v>1</x:v>
      </x:c>
      <x:c r="F2600" s="27" t="n">
        <x:v>1</x:v>
      </x:c>
      <x:c r="G2600" s="29" t="str">
        <x:f>IF(E2600=F2600,"PASS","FAIL")</x:f>
        <x:v>PASS</x:v>
      </x:c>
    </x:row>
    <x:row r="2601" ht="18" customHeight="1">
      <x:c r="B2601" s="27" t="str">
        <x:v>A2595</x:v>
      </x:c>
      <x:c r="C2601" s="27" t="str">
        <x:v>interface</x:v>
      </x:c>
      <x:c r="D2601" s="27" t="str">
        <x:v>Interface row 31 acceptance present</x:v>
      </x:c>
      <x:c r="E2601" s="27" t="n">
        <x:f>IF('Interface Tests'!H31&lt;&gt;"",1,0)</x:f>
        <x:v>1</x:v>
      </x:c>
      <x:c r="F2601" s="27" t="n">
        <x:v>1</x:v>
      </x:c>
      <x:c r="G2601" s="29" t="str">
        <x:f>IF(E2601=F2601,"PASS","FAIL")</x:f>
        <x:v>PASS</x:v>
      </x:c>
    </x:row>
    <x:row r="2602" ht="18" customHeight="1">
      <x:c r="B2602" s="27" t="str">
        <x:v>A2596</x:v>
      </x:c>
      <x:c r="C2602" s="27" t="str">
        <x:v>interface</x:v>
      </x:c>
      <x:c r="D2602" s="27" t="str">
        <x:v>Interface row 31 evidence open</x:v>
      </x:c>
      <x:c r="E2602" s="27" t="n">
        <x:f>IF('Interface Tests'!J31="OPEN",1,0)</x:f>
        <x:v>1</x:v>
      </x:c>
      <x:c r="F2602" s="27" t="n">
        <x:v>1</x:v>
      </x:c>
      <x:c r="G2602" s="29" t="str">
        <x:f>IF(E2602=F2602,"PASS","FAIL")</x:f>
        <x:v>PASS</x:v>
      </x:c>
    </x:row>
    <x:row r="2603" ht="18" customHeight="1">
      <x:c r="B2603" s="27" t="str">
        <x:v>A2597</x:v>
      </x:c>
      <x:c r="C2603" s="27" t="str">
        <x:v>interface</x:v>
      </x:c>
      <x:c r="D2603" s="27" t="str">
        <x:v>Interface row 31 zero credit</x:v>
      </x:c>
      <x:c r="E2603" s="27" t="n">
        <x:f>IF('Interface Tests'!K31=0,1,0)</x:f>
        <x:v>1</x:v>
      </x:c>
      <x:c r="F2603" s="27" t="n">
        <x:v>1</x:v>
      </x:c>
      <x:c r="G2603" s="29" t="str">
        <x:f>IF(E2603=F2603,"PASS","FAIL")</x:f>
        <x:v>PASS</x:v>
      </x:c>
    </x:row>
    <x:row r="2604" ht="18" customHeight="1">
      <x:c r="B2604" s="27" t="str">
        <x:v>A2598</x:v>
      </x:c>
      <x:c r="C2604" s="27" t="str">
        <x:v>interface</x:v>
      </x:c>
      <x:c r="D2604" s="27" t="str">
        <x:v>Interface row 32 challenge present</x:v>
      </x:c>
      <x:c r="E2604" s="27" t="n">
        <x:f>IF('Interface Tests'!F32&lt;&gt;"",1,0)</x:f>
        <x:v>1</x:v>
      </x:c>
      <x:c r="F2604" s="27" t="n">
        <x:v>1</x:v>
      </x:c>
      <x:c r="G2604" s="29" t="str">
        <x:f>IF(E2604=F2604,"PASS","FAIL")</x:f>
        <x:v>PASS</x:v>
      </x:c>
    </x:row>
    <x:row r="2605" ht="18" customHeight="1">
      <x:c r="B2605" s="27" t="str">
        <x:v>A2599</x:v>
      </x:c>
      <x:c r="C2605" s="27" t="str">
        <x:v>interface</x:v>
      </x:c>
      <x:c r="D2605" s="27" t="str">
        <x:v>Interface row 32 acceptance present</x:v>
      </x:c>
      <x:c r="E2605" s="27" t="n">
        <x:f>IF('Interface Tests'!H32&lt;&gt;"",1,0)</x:f>
        <x:v>1</x:v>
      </x:c>
      <x:c r="F2605" s="27" t="n">
        <x:v>1</x:v>
      </x:c>
      <x:c r="G2605" s="29" t="str">
        <x:f>IF(E2605=F2605,"PASS","FAIL")</x:f>
        <x:v>PASS</x:v>
      </x:c>
    </x:row>
    <x:row r="2606" ht="18" customHeight="1">
      <x:c r="B2606" s="27" t="str">
        <x:v>A2600</x:v>
      </x:c>
      <x:c r="C2606" s="27" t="str">
        <x:v>interface</x:v>
      </x:c>
      <x:c r="D2606" s="27" t="str">
        <x:v>Interface row 32 evidence open</x:v>
      </x:c>
      <x:c r="E2606" s="27" t="n">
        <x:f>IF('Interface Tests'!J32="OPEN",1,0)</x:f>
        <x:v>1</x:v>
      </x:c>
      <x:c r="F2606" s="27" t="n">
        <x:v>1</x:v>
      </x:c>
      <x:c r="G2606" s="29" t="str">
        <x:f>IF(E2606=F2606,"PASS","FAIL")</x:f>
        <x:v>PASS</x:v>
      </x:c>
    </x:row>
    <x:row r="2607" ht="18" customHeight="1">
      <x:c r="B2607" s="27" t="str">
        <x:v>A2601</x:v>
      </x:c>
      <x:c r="C2607" s="27" t="str">
        <x:v>interface</x:v>
      </x:c>
      <x:c r="D2607" s="27" t="str">
        <x:v>Interface row 32 zero credit</x:v>
      </x:c>
      <x:c r="E2607" s="27" t="n">
        <x:f>IF('Interface Tests'!K32=0,1,0)</x:f>
        <x:v>1</x:v>
      </x:c>
      <x:c r="F2607" s="27" t="n">
        <x:v>1</x:v>
      </x:c>
      <x:c r="G2607" s="29" t="str">
        <x:f>IF(E2607=F2607,"PASS","FAIL")</x:f>
        <x:v>PASS</x:v>
      </x:c>
    </x:row>
    <x:row r="2608" ht="18" customHeight="1">
      <x:c r="B2608" s="27" t="str">
        <x:v>A2602</x:v>
      </x:c>
      <x:c r="C2608" s="27" t="str">
        <x:v>interface</x:v>
      </x:c>
      <x:c r="D2608" s="27" t="str">
        <x:v>Interface row 33 challenge present</x:v>
      </x:c>
      <x:c r="E2608" s="27" t="n">
        <x:f>IF('Interface Tests'!F33&lt;&gt;"",1,0)</x:f>
        <x:v>1</x:v>
      </x:c>
      <x:c r="F2608" s="27" t="n">
        <x:v>1</x:v>
      </x:c>
      <x:c r="G2608" s="29" t="str">
        <x:f>IF(E2608=F2608,"PASS","FAIL")</x:f>
        <x:v>PASS</x:v>
      </x:c>
    </x:row>
    <x:row r="2609" ht="18" customHeight="1">
      <x:c r="B2609" s="27" t="str">
        <x:v>A2603</x:v>
      </x:c>
      <x:c r="C2609" s="27" t="str">
        <x:v>interface</x:v>
      </x:c>
      <x:c r="D2609" s="27" t="str">
        <x:v>Interface row 33 acceptance present</x:v>
      </x:c>
      <x:c r="E2609" s="27" t="n">
        <x:f>IF('Interface Tests'!H33&lt;&gt;"",1,0)</x:f>
        <x:v>1</x:v>
      </x:c>
      <x:c r="F2609" s="27" t="n">
        <x:v>1</x:v>
      </x:c>
      <x:c r="G2609" s="29" t="str">
        <x:f>IF(E2609=F2609,"PASS","FAIL")</x:f>
        <x:v>PASS</x:v>
      </x:c>
    </x:row>
    <x:row r="2610" ht="18" customHeight="1">
      <x:c r="B2610" s="27" t="str">
        <x:v>A2604</x:v>
      </x:c>
      <x:c r="C2610" s="27" t="str">
        <x:v>interface</x:v>
      </x:c>
      <x:c r="D2610" s="27" t="str">
        <x:v>Interface row 33 evidence open</x:v>
      </x:c>
      <x:c r="E2610" s="27" t="n">
        <x:f>IF('Interface Tests'!J33="OPEN",1,0)</x:f>
        <x:v>1</x:v>
      </x:c>
      <x:c r="F2610" s="27" t="n">
        <x:v>1</x:v>
      </x:c>
      <x:c r="G2610" s="29" t="str">
        <x:f>IF(E2610=F2610,"PASS","FAIL")</x:f>
        <x:v>PASS</x:v>
      </x:c>
    </x:row>
    <x:row r="2611" ht="18" customHeight="1">
      <x:c r="B2611" s="27" t="str">
        <x:v>A2605</x:v>
      </x:c>
      <x:c r="C2611" s="27" t="str">
        <x:v>interface</x:v>
      </x:c>
      <x:c r="D2611" s="27" t="str">
        <x:v>Interface row 33 zero credit</x:v>
      </x:c>
      <x:c r="E2611" s="27" t="n">
        <x:f>IF('Interface Tests'!K33=0,1,0)</x:f>
        <x:v>1</x:v>
      </x:c>
      <x:c r="F2611" s="27" t="n">
        <x:v>1</x:v>
      </x:c>
      <x:c r="G2611" s="29" t="str">
        <x:f>IF(E2611=F2611,"PASS","FAIL")</x:f>
        <x:v>PASS</x:v>
      </x:c>
    </x:row>
    <x:row r="2612" ht="18" customHeight="1">
      <x:c r="B2612" s="27" t="str">
        <x:v>A2606</x:v>
      </x:c>
      <x:c r="C2612" s="27" t="str">
        <x:v>interface</x:v>
      </x:c>
      <x:c r="D2612" s="27" t="str">
        <x:v>Interface row 34 challenge present</x:v>
      </x:c>
      <x:c r="E2612" s="27" t="n">
        <x:f>IF('Interface Tests'!F34&lt;&gt;"",1,0)</x:f>
        <x:v>1</x:v>
      </x:c>
      <x:c r="F2612" s="27" t="n">
        <x:v>1</x:v>
      </x:c>
      <x:c r="G2612" s="29" t="str">
        <x:f>IF(E2612=F2612,"PASS","FAIL")</x:f>
        <x:v>PASS</x:v>
      </x:c>
    </x:row>
    <x:row r="2613" ht="18" customHeight="1">
      <x:c r="B2613" s="27" t="str">
        <x:v>A2607</x:v>
      </x:c>
      <x:c r="C2613" s="27" t="str">
        <x:v>interface</x:v>
      </x:c>
      <x:c r="D2613" s="27" t="str">
        <x:v>Interface row 34 acceptance present</x:v>
      </x:c>
      <x:c r="E2613" s="27" t="n">
        <x:f>IF('Interface Tests'!H34&lt;&gt;"",1,0)</x:f>
        <x:v>1</x:v>
      </x:c>
      <x:c r="F2613" s="27" t="n">
        <x:v>1</x:v>
      </x:c>
      <x:c r="G2613" s="29" t="str">
        <x:f>IF(E2613=F2613,"PASS","FAIL")</x:f>
        <x:v>PASS</x:v>
      </x:c>
    </x:row>
    <x:row r="2614" ht="18" customHeight="1">
      <x:c r="B2614" s="27" t="str">
        <x:v>A2608</x:v>
      </x:c>
      <x:c r="C2614" s="27" t="str">
        <x:v>interface</x:v>
      </x:c>
      <x:c r="D2614" s="27" t="str">
        <x:v>Interface row 34 evidence open</x:v>
      </x:c>
      <x:c r="E2614" s="27" t="n">
        <x:f>IF('Interface Tests'!J34="OPEN",1,0)</x:f>
        <x:v>1</x:v>
      </x:c>
      <x:c r="F2614" s="27" t="n">
        <x:v>1</x:v>
      </x:c>
      <x:c r="G2614" s="29" t="str">
        <x:f>IF(E2614=F2614,"PASS","FAIL")</x:f>
        <x:v>PASS</x:v>
      </x:c>
    </x:row>
    <x:row r="2615" ht="18" customHeight="1">
      <x:c r="B2615" s="27" t="str">
        <x:v>A2609</x:v>
      </x:c>
      <x:c r="C2615" s="27" t="str">
        <x:v>interface</x:v>
      </x:c>
      <x:c r="D2615" s="27" t="str">
        <x:v>Interface row 34 zero credit</x:v>
      </x:c>
      <x:c r="E2615" s="27" t="n">
        <x:f>IF('Interface Tests'!K34=0,1,0)</x:f>
        <x:v>1</x:v>
      </x:c>
      <x:c r="F2615" s="27" t="n">
        <x:v>1</x:v>
      </x:c>
      <x:c r="G2615" s="29" t="str">
        <x:f>IF(E2615=F2615,"PASS","FAIL")</x:f>
        <x:v>PASS</x:v>
      </x:c>
    </x:row>
    <x:row r="2616" ht="18" customHeight="1">
      <x:c r="B2616" s="27" t="str">
        <x:v>A2610</x:v>
      </x:c>
      <x:c r="C2616" s="27" t="str">
        <x:v>interface</x:v>
      </x:c>
      <x:c r="D2616" s="27" t="str">
        <x:v>Interface row 35 challenge present</x:v>
      </x:c>
      <x:c r="E2616" s="27" t="n">
        <x:f>IF('Interface Tests'!F35&lt;&gt;"",1,0)</x:f>
        <x:v>1</x:v>
      </x:c>
      <x:c r="F2616" s="27" t="n">
        <x:v>1</x:v>
      </x:c>
      <x:c r="G2616" s="29" t="str">
        <x:f>IF(E2616=F2616,"PASS","FAIL")</x:f>
        <x:v>PASS</x:v>
      </x:c>
    </x:row>
    <x:row r="2617" ht="18" customHeight="1">
      <x:c r="B2617" s="27" t="str">
        <x:v>A2611</x:v>
      </x:c>
      <x:c r="C2617" s="27" t="str">
        <x:v>interface</x:v>
      </x:c>
      <x:c r="D2617" s="27" t="str">
        <x:v>Interface row 35 acceptance present</x:v>
      </x:c>
      <x:c r="E2617" s="27" t="n">
        <x:f>IF('Interface Tests'!H35&lt;&gt;"",1,0)</x:f>
        <x:v>1</x:v>
      </x:c>
      <x:c r="F2617" s="27" t="n">
        <x:v>1</x:v>
      </x:c>
      <x:c r="G2617" s="29" t="str">
        <x:f>IF(E2617=F2617,"PASS","FAIL")</x:f>
        <x:v>PASS</x:v>
      </x:c>
    </x:row>
    <x:row r="2618" ht="18" customHeight="1">
      <x:c r="B2618" s="27" t="str">
        <x:v>A2612</x:v>
      </x:c>
      <x:c r="C2618" s="27" t="str">
        <x:v>interface</x:v>
      </x:c>
      <x:c r="D2618" s="27" t="str">
        <x:v>Interface row 35 evidence open</x:v>
      </x:c>
      <x:c r="E2618" s="27" t="n">
        <x:f>IF('Interface Tests'!J35="OPEN",1,0)</x:f>
        <x:v>1</x:v>
      </x:c>
      <x:c r="F2618" s="27" t="n">
        <x:v>1</x:v>
      </x:c>
      <x:c r="G2618" s="29" t="str">
        <x:f>IF(E2618=F2618,"PASS","FAIL")</x:f>
        <x:v>PASS</x:v>
      </x:c>
    </x:row>
    <x:row r="2619" ht="18" customHeight="1">
      <x:c r="B2619" s="27" t="str">
        <x:v>A2613</x:v>
      </x:c>
      <x:c r="C2619" s="27" t="str">
        <x:v>interface</x:v>
      </x:c>
      <x:c r="D2619" s="27" t="str">
        <x:v>Interface row 35 zero credit</x:v>
      </x:c>
      <x:c r="E2619" s="27" t="n">
        <x:f>IF('Interface Tests'!K35=0,1,0)</x:f>
        <x:v>1</x:v>
      </x:c>
      <x:c r="F2619" s="27" t="n">
        <x:v>1</x:v>
      </x:c>
      <x:c r="G2619" s="29" t="str">
        <x:f>IF(E2619=F2619,"PASS","FAIL")</x:f>
        <x:v>PASS</x:v>
      </x:c>
    </x:row>
    <x:row r="2620" ht="18" customHeight="1">
      <x:c r="B2620" s="27" t="str">
        <x:v>A2614</x:v>
      </x:c>
      <x:c r="C2620" s="27" t="str">
        <x:v>interface</x:v>
      </x:c>
      <x:c r="D2620" s="27" t="str">
        <x:v>Interface row 36 challenge present</x:v>
      </x:c>
      <x:c r="E2620" s="27" t="n">
        <x:f>IF('Interface Tests'!F36&lt;&gt;"",1,0)</x:f>
        <x:v>1</x:v>
      </x:c>
      <x:c r="F2620" s="27" t="n">
        <x:v>1</x:v>
      </x:c>
      <x:c r="G2620" s="29" t="str">
        <x:f>IF(E2620=F2620,"PASS","FAIL")</x:f>
        <x:v>PASS</x:v>
      </x:c>
    </x:row>
    <x:row r="2621" ht="18" customHeight="1">
      <x:c r="B2621" s="27" t="str">
        <x:v>A2615</x:v>
      </x:c>
      <x:c r="C2621" s="27" t="str">
        <x:v>interface</x:v>
      </x:c>
      <x:c r="D2621" s="27" t="str">
        <x:v>Interface row 36 acceptance present</x:v>
      </x:c>
      <x:c r="E2621" s="27" t="n">
        <x:f>IF('Interface Tests'!H36&lt;&gt;"",1,0)</x:f>
        <x:v>1</x:v>
      </x:c>
      <x:c r="F2621" s="27" t="n">
        <x:v>1</x:v>
      </x:c>
      <x:c r="G2621" s="29" t="str">
        <x:f>IF(E2621=F2621,"PASS","FAIL")</x:f>
        <x:v>PASS</x:v>
      </x:c>
    </x:row>
    <x:row r="2622" ht="18" customHeight="1">
      <x:c r="B2622" s="27" t="str">
        <x:v>A2616</x:v>
      </x:c>
      <x:c r="C2622" s="27" t="str">
        <x:v>interface</x:v>
      </x:c>
      <x:c r="D2622" s="27" t="str">
        <x:v>Interface row 36 evidence open</x:v>
      </x:c>
      <x:c r="E2622" s="27" t="n">
        <x:f>IF('Interface Tests'!J36="OPEN",1,0)</x:f>
        <x:v>1</x:v>
      </x:c>
      <x:c r="F2622" s="27" t="n">
        <x:v>1</x:v>
      </x:c>
      <x:c r="G2622" s="29" t="str">
        <x:f>IF(E2622=F2622,"PASS","FAIL")</x:f>
        <x:v>PASS</x:v>
      </x:c>
    </x:row>
    <x:row r="2623" ht="18" customHeight="1">
      <x:c r="B2623" s="27" t="str">
        <x:v>A2617</x:v>
      </x:c>
      <x:c r="C2623" s="27" t="str">
        <x:v>interface</x:v>
      </x:c>
      <x:c r="D2623" s="27" t="str">
        <x:v>Interface row 36 zero credit</x:v>
      </x:c>
      <x:c r="E2623" s="27" t="n">
        <x:f>IF('Interface Tests'!K36=0,1,0)</x:f>
        <x:v>1</x:v>
      </x:c>
      <x:c r="F2623" s="27" t="n">
        <x:v>1</x:v>
      </x:c>
      <x:c r="G2623" s="29" t="str">
        <x:f>IF(E2623=F2623,"PASS","FAIL")</x:f>
        <x:v>PASS</x:v>
      </x:c>
    </x:row>
    <x:row r="2624" ht="18" customHeight="1">
      <x:c r="B2624" s="27" t="str">
        <x:v>A2618</x:v>
      </x:c>
      <x:c r="C2624" s="27" t="str">
        <x:v>interface</x:v>
      </x:c>
      <x:c r="D2624" s="27" t="str">
        <x:v>Interface row 37 challenge present</x:v>
      </x:c>
      <x:c r="E2624" s="27" t="n">
        <x:f>IF('Interface Tests'!F37&lt;&gt;"",1,0)</x:f>
        <x:v>1</x:v>
      </x:c>
      <x:c r="F2624" s="27" t="n">
        <x:v>1</x:v>
      </x:c>
      <x:c r="G2624" s="29" t="str">
        <x:f>IF(E2624=F2624,"PASS","FAIL")</x:f>
        <x:v>PASS</x:v>
      </x:c>
    </x:row>
    <x:row r="2625" ht="18" customHeight="1">
      <x:c r="B2625" s="27" t="str">
        <x:v>A2619</x:v>
      </x:c>
      <x:c r="C2625" s="27" t="str">
        <x:v>interface</x:v>
      </x:c>
      <x:c r="D2625" s="27" t="str">
        <x:v>Interface row 37 acceptance present</x:v>
      </x:c>
      <x:c r="E2625" s="27" t="n">
        <x:f>IF('Interface Tests'!H37&lt;&gt;"",1,0)</x:f>
        <x:v>1</x:v>
      </x:c>
      <x:c r="F2625" s="27" t="n">
        <x:v>1</x:v>
      </x:c>
      <x:c r="G2625" s="29" t="str">
        <x:f>IF(E2625=F2625,"PASS","FAIL")</x:f>
        <x:v>PASS</x:v>
      </x:c>
    </x:row>
    <x:row r="2626" ht="18" customHeight="1">
      <x:c r="B2626" s="27" t="str">
        <x:v>A2620</x:v>
      </x:c>
      <x:c r="C2626" s="27" t="str">
        <x:v>interface</x:v>
      </x:c>
      <x:c r="D2626" s="27" t="str">
        <x:v>Interface row 37 evidence open</x:v>
      </x:c>
      <x:c r="E2626" s="27" t="n">
        <x:f>IF('Interface Tests'!J37="OPEN",1,0)</x:f>
        <x:v>1</x:v>
      </x:c>
      <x:c r="F2626" s="27" t="n">
        <x:v>1</x:v>
      </x:c>
      <x:c r="G2626" s="29" t="str">
        <x:f>IF(E2626=F2626,"PASS","FAIL")</x:f>
        <x:v>PASS</x:v>
      </x:c>
    </x:row>
    <x:row r="2627" ht="18" customHeight="1">
      <x:c r="B2627" s="27" t="str">
        <x:v>A2621</x:v>
      </x:c>
      <x:c r="C2627" s="27" t="str">
        <x:v>interface</x:v>
      </x:c>
      <x:c r="D2627" s="27" t="str">
        <x:v>Interface row 37 zero credit</x:v>
      </x:c>
      <x:c r="E2627" s="27" t="n">
        <x:f>IF('Interface Tests'!K37=0,1,0)</x:f>
        <x:v>1</x:v>
      </x:c>
      <x:c r="F2627" s="27" t="n">
        <x:v>1</x:v>
      </x:c>
      <x:c r="G2627" s="29" t="str">
        <x:f>IF(E2627=F2627,"PASS","FAIL")</x:f>
        <x:v>PASS</x:v>
      </x:c>
    </x:row>
    <x:row r="2628" ht="18" customHeight="1">
      <x:c r="B2628" s="27" t="str">
        <x:v>A2622</x:v>
      </x:c>
      <x:c r="C2628" s="27" t="str">
        <x:v>interface</x:v>
      </x:c>
      <x:c r="D2628" s="27" t="str">
        <x:v>Interface row 38 challenge present</x:v>
      </x:c>
      <x:c r="E2628" s="27" t="n">
        <x:f>IF('Interface Tests'!F38&lt;&gt;"",1,0)</x:f>
        <x:v>1</x:v>
      </x:c>
      <x:c r="F2628" s="27" t="n">
        <x:v>1</x:v>
      </x:c>
      <x:c r="G2628" s="29" t="str">
        <x:f>IF(E2628=F2628,"PASS","FAIL")</x:f>
        <x:v>PASS</x:v>
      </x:c>
    </x:row>
    <x:row r="2629" ht="18" customHeight="1">
      <x:c r="B2629" s="27" t="str">
        <x:v>A2623</x:v>
      </x:c>
      <x:c r="C2629" s="27" t="str">
        <x:v>interface</x:v>
      </x:c>
      <x:c r="D2629" s="27" t="str">
        <x:v>Interface row 38 acceptance present</x:v>
      </x:c>
      <x:c r="E2629" s="27" t="n">
        <x:f>IF('Interface Tests'!H38&lt;&gt;"",1,0)</x:f>
        <x:v>1</x:v>
      </x:c>
      <x:c r="F2629" s="27" t="n">
        <x:v>1</x:v>
      </x:c>
      <x:c r="G2629" s="29" t="str">
        <x:f>IF(E2629=F2629,"PASS","FAIL")</x:f>
        <x:v>PASS</x:v>
      </x:c>
    </x:row>
    <x:row r="2630" ht="18" customHeight="1">
      <x:c r="B2630" s="27" t="str">
        <x:v>A2624</x:v>
      </x:c>
      <x:c r="C2630" s="27" t="str">
        <x:v>interface</x:v>
      </x:c>
      <x:c r="D2630" s="27" t="str">
        <x:v>Interface row 38 evidence open</x:v>
      </x:c>
      <x:c r="E2630" s="27" t="n">
        <x:f>IF('Interface Tests'!J38="OPEN",1,0)</x:f>
        <x:v>1</x:v>
      </x:c>
      <x:c r="F2630" s="27" t="n">
        <x:v>1</x:v>
      </x:c>
      <x:c r="G2630" s="29" t="str">
        <x:f>IF(E2630=F2630,"PASS","FAIL")</x:f>
        <x:v>PASS</x:v>
      </x:c>
    </x:row>
    <x:row r="2631" ht="18" customHeight="1">
      <x:c r="B2631" s="27" t="str">
        <x:v>A2625</x:v>
      </x:c>
      <x:c r="C2631" s="27" t="str">
        <x:v>interface</x:v>
      </x:c>
      <x:c r="D2631" s="27" t="str">
        <x:v>Interface row 38 zero credit</x:v>
      </x:c>
      <x:c r="E2631" s="27" t="n">
        <x:f>IF('Interface Tests'!K38=0,1,0)</x:f>
        <x:v>1</x:v>
      </x:c>
      <x:c r="F2631" s="27" t="n">
        <x:v>1</x:v>
      </x:c>
      <x:c r="G2631" s="29" t="str">
        <x:f>IF(E2631=F2631,"PASS","FAIL")</x:f>
        <x:v>PASS</x:v>
      </x:c>
    </x:row>
    <x:row r="2632" ht="18" customHeight="1">
      <x:c r="B2632" s="27" t="str">
        <x:v>A2626</x:v>
      </x:c>
      <x:c r="C2632" s="27" t="str">
        <x:v>interface</x:v>
      </x:c>
      <x:c r="D2632" s="27" t="str">
        <x:v>Interface row 39 challenge present</x:v>
      </x:c>
      <x:c r="E2632" s="27" t="n">
        <x:f>IF('Interface Tests'!F39&lt;&gt;"",1,0)</x:f>
        <x:v>1</x:v>
      </x:c>
      <x:c r="F2632" s="27" t="n">
        <x:v>1</x:v>
      </x:c>
      <x:c r="G2632" s="29" t="str">
        <x:f>IF(E2632=F2632,"PASS","FAIL")</x:f>
        <x:v>PASS</x:v>
      </x:c>
    </x:row>
    <x:row r="2633" ht="18" customHeight="1">
      <x:c r="B2633" s="27" t="str">
        <x:v>A2627</x:v>
      </x:c>
      <x:c r="C2633" s="27" t="str">
        <x:v>interface</x:v>
      </x:c>
      <x:c r="D2633" s="27" t="str">
        <x:v>Interface row 39 acceptance present</x:v>
      </x:c>
      <x:c r="E2633" s="27" t="n">
        <x:f>IF('Interface Tests'!H39&lt;&gt;"",1,0)</x:f>
        <x:v>1</x:v>
      </x:c>
      <x:c r="F2633" s="27" t="n">
        <x:v>1</x:v>
      </x:c>
      <x:c r="G2633" s="29" t="str">
        <x:f>IF(E2633=F2633,"PASS","FAIL")</x:f>
        <x:v>PASS</x:v>
      </x:c>
    </x:row>
    <x:row r="2634" ht="18" customHeight="1">
      <x:c r="B2634" s="27" t="str">
        <x:v>A2628</x:v>
      </x:c>
      <x:c r="C2634" s="27" t="str">
        <x:v>interface</x:v>
      </x:c>
      <x:c r="D2634" s="27" t="str">
        <x:v>Interface row 39 evidence open</x:v>
      </x:c>
      <x:c r="E2634" s="27" t="n">
        <x:f>IF('Interface Tests'!J39="OPEN",1,0)</x:f>
        <x:v>1</x:v>
      </x:c>
      <x:c r="F2634" s="27" t="n">
        <x:v>1</x:v>
      </x:c>
      <x:c r="G2634" s="29" t="str">
        <x:f>IF(E2634=F2634,"PASS","FAIL")</x:f>
        <x:v>PASS</x:v>
      </x:c>
    </x:row>
    <x:row r="2635" ht="18" customHeight="1">
      <x:c r="B2635" s="27" t="str">
        <x:v>A2629</x:v>
      </x:c>
      <x:c r="C2635" s="27" t="str">
        <x:v>interface</x:v>
      </x:c>
      <x:c r="D2635" s="27" t="str">
        <x:v>Interface row 39 zero credit</x:v>
      </x:c>
      <x:c r="E2635" s="27" t="n">
        <x:f>IF('Interface Tests'!K39=0,1,0)</x:f>
        <x:v>1</x:v>
      </x:c>
      <x:c r="F2635" s="27" t="n">
        <x:v>1</x:v>
      </x:c>
      <x:c r="G2635" s="29" t="str">
        <x:f>IF(E2635=F2635,"PASS","FAIL")</x:f>
        <x:v>PASS</x:v>
      </x:c>
    </x:row>
    <x:row r="2636" ht="18" customHeight="1">
      <x:c r="B2636" s="27" t="str">
        <x:v>A2630</x:v>
      </x:c>
      <x:c r="C2636" s="27" t="str">
        <x:v>interface</x:v>
      </x:c>
      <x:c r="D2636" s="27" t="str">
        <x:v>Interface row 40 challenge present</x:v>
      </x:c>
      <x:c r="E2636" s="27" t="n">
        <x:f>IF('Interface Tests'!F40&lt;&gt;"",1,0)</x:f>
        <x:v>1</x:v>
      </x:c>
      <x:c r="F2636" s="27" t="n">
        <x:v>1</x:v>
      </x:c>
      <x:c r="G2636" s="29" t="str">
        <x:f>IF(E2636=F2636,"PASS","FAIL")</x:f>
        <x:v>PASS</x:v>
      </x:c>
    </x:row>
    <x:row r="2637" ht="18" customHeight="1">
      <x:c r="B2637" s="27" t="str">
        <x:v>A2631</x:v>
      </x:c>
      <x:c r="C2637" s="27" t="str">
        <x:v>interface</x:v>
      </x:c>
      <x:c r="D2637" s="27" t="str">
        <x:v>Interface row 40 acceptance present</x:v>
      </x:c>
      <x:c r="E2637" s="27" t="n">
        <x:f>IF('Interface Tests'!H40&lt;&gt;"",1,0)</x:f>
        <x:v>1</x:v>
      </x:c>
      <x:c r="F2637" s="27" t="n">
        <x:v>1</x:v>
      </x:c>
      <x:c r="G2637" s="29" t="str">
        <x:f>IF(E2637=F2637,"PASS","FAIL")</x:f>
        <x:v>PASS</x:v>
      </x:c>
    </x:row>
    <x:row r="2638" ht="18" customHeight="1">
      <x:c r="B2638" s="27" t="str">
        <x:v>A2632</x:v>
      </x:c>
      <x:c r="C2638" s="27" t="str">
        <x:v>interface</x:v>
      </x:c>
      <x:c r="D2638" s="27" t="str">
        <x:v>Interface row 40 evidence open</x:v>
      </x:c>
      <x:c r="E2638" s="27" t="n">
        <x:f>IF('Interface Tests'!J40="OPEN",1,0)</x:f>
        <x:v>1</x:v>
      </x:c>
      <x:c r="F2638" s="27" t="n">
        <x:v>1</x:v>
      </x:c>
      <x:c r="G2638" s="29" t="str">
        <x:f>IF(E2638=F2638,"PASS","FAIL")</x:f>
        <x:v>PASS</x:v>
      </x:c>
    </x:row>
    <x:row r="2639" ht="18" customHeight="1">
      <x:c r="B2639" s="27" t="str">
        <x:v>A2633</x:v>
      </x:c>
      <x:c r="C2639" s="27" t="str">
        <x:v>interface</x:v>
      </x:c>
      <x:c r="D2639" s="27" t="str">
        <x:v>Interface row 40 zero credit</x:v>
      </x:c>
      <x:c r="E2639" s="27" t="n">
        <x:f>IF('Interface Tests'!K40=0,1,0)</x:f>
        <x:v>1</x:v>
      </x:c>
      <x:c r="F2639" s="27" t="n">
        <x:v>1</x:v>
      </x:c>
      <x:c r="G2639" s="29" t="str">
        <x:f>IF(E2639=F2639,"PASS","FAIL")</x:f>
        <x:v>PASS</x:v>
      </x:c>
    </x:row>
    <x:row r="2640" ht="18" customHeight="1">
      <x:c r="B2640" s="27" t="str">
        <x:v>A2634</x:v>
      </x:c>
      <x:c r="C2640" s="27" t="str">
        <x:v>interface</x:v>
      </x:c>
      <x:c r="D2640" s="27" t="str">
        <x:v>Interface row 41 challenge present</x:v>
      </x:c>
      <x:c r="E2640" s="27" t="n">
        <x:f>IF('Interface Tests'!F41&lt;&gt;"",1,0)</x:f>
        <x:v>1</x:v>
      </x:c>
      <x:c r="F2640" s="27" t="n">
        <x:v>1</x:v>
      </x:c>
      <x:c r="G2640" s="29" t="str">
        <x:f>IF(E2640=F2640,"PASS","FAIL")</x:f>
        <x:v>PASS</x:v>
      </x:c>
    </x:row>
    <x:row r="2641" ht="18" customHeight="1">
      <x:c r="B2641" s="27" t="str">
        <x:v>A2635</x:v>
      </x:c>
      <x:c r="C2641" s="27" t="str">
        <x:v>interface</x:v>
      </x:c>
      <x:c r="D2641" s="27" t="str">
        <x:v>Interface row 41 acceptance present</x:v>
      </x:c>
      <x:c r="E2641" s="27" t="n">
        <x:f>IF('Interface Tests'!H41&lt;&gt;"",1,0)</x:f>
        <x:v>1</x:v>
      </x:c>
      <x:c r="F2641" s="27" t="n">
        <x:v>1</x:v>
      </x:c>
      <x:c r="G2641" s="29" t="str">
        <x:f>IF(E2641=F2641,"PASS","FAIL")</x:f>
        <x:v>PASS</x:v>
      </x:c>
    </x:row>
    <x:row r="2642" ht="18" customHeight="1">
      <x:c r="B2642" s="27" t="str">
        <x:v>A2636</x:v>
      </x:c>
      <x:c r="C2642" s="27" t="str">
        <x:v>interface</x:v>
      </x:c>
      <x:c r="D2642" s="27" t="str">
        <x:v>Interface row 41 evidence open</x:v>
      </x:c>
      <x:c r="E2642" s="27" t="n">
        <x:f>IF('Interface Tests'!J41="OPEN",1,0)</x:f>
        <x:v>1</x:v>
      </x:c>
      <x:c r="F2642" s="27" t="n">
        <x:v>1</x:v>
      </x:c>
      <x:c r="G2642" s="29" t="str">
        <x:f>IF(E2642=F2642,"PASS","FAIL")</x:f>
        <x:v>PASS</x:v>
      </x:c>
    </x:row>
    <x:row r="2643" ht="18" customHeight="1">
      <x:c r="B2643" s="27" t="str">
        <x:v>A2637</x:v>
      </x:c>
      <x:c r="C2643" s="27" t="str">
        <x:v>interface</x:v>
      </x:c>
      <x:c r="D2643" s="27" t="str">
        <x:v>Interface row 41 zero credit</x:v>
      </x:c>
      <x:c r="E2643" s="27" t="n">
        <x:f>IF('Interface Tests'!K41=0,1,0)</x:f>
        <x:v>1</x:v>
      </x:c>
      <x:c r="F2643" s="27" t="n">
        <x:v>1</x:v>
      </x:c>
      <x:c r="G2643" s="29" t="str">
        <x:f>IF(E2643=F2643,"PASS","FAIL")</x:f>
        <x:v>PASS</x:v>
      </x:c>
    </x:row>
    <x:row r="2644" ht="18" customHeight="1">
      <x:c r="B2644" s="27" t="str">
        <x:v>A2638</x:v>
      </x:c>
      <x:c r="C2644" s="27" t="str">
        <x:v>interface</x:v>
      </x:c>
      <x:c r="D2644" s="27" t="str">
        <x:v>Interface row 42 challenge present</x:v>
      </x:c>
      <x:c r="E2644" s="27" t="n">
        <x:f>IF('Interface Tests'!F42&lt;&gt;"",1,0)</x:f>
        <x:v>1</x:v>
      </x:c>
      <x:c r="F2644" s="27" t="n">
        <x:v>1</x:v>
      </x:c>
      <x:c r="G2644" s="29" t="str">
        <x:f>IF(E2644=F2644,"PASS","FAIL")</x:f>
        <x:v>PASS</x:v>
      </x:c>
    </x:row>
    <x:row r="2645" ht="18" customHeight="1">
      <x:c r="B2645" s="27" t="str">
        <x:v>A2639</x:v>
      </x:c>
      <x:c r="C2645" s="27" t="str">
        <x:v>interface</x:v>
      </x:c>
      <x:c r="D2645" s="27" t="str">
        <x:v>Interface row 42 acceptance present</x:v>
      </x:c>
      <x:c r="E2645" s="27" t="n">
        <x:f>IF('Interface Tests'!H42&lt;&gt;"",1,0)</x:f>
        <x:v>1</x:v>
      </x:c>
      <x:c r="F2645" s="27" t="n">
        <x:v>1</x:v>
      </x:c>
      <x:c r="G2645" s="29" t="str">
        <x:f>IF(E2645=F2645,"PASS","FAIL")</x:f>
        <x:v>PASS</x:v>
      </x:c>
    </x:row>
    <x:row r="2646" ht="18" customHeight="1">
      <x:c r="B2646" s="27" t="str">
        <x:v>A2640</x:v>
      </x:c>
      <x:c r="C2646" s="27" t="str">
        <x:v>interface</x:v>
      </x:c>
      <x:c r="D2646" s="27" t="str">
        <x:v>Interface row 42 evidence open</x:v>
      </x:c>
      <x:c r="E2646" s="27" t="n">
        <x:f>IF('Interface Tests'!J42="OPEN",1,0)</x:f>
        <x:v>1</x:v>
      </x:c>
      <x:c r="F2646" s="27" t="n">
        <x:v>1</x:v>
      </x:c>
      <x:c r="G2646" s="29" t="str">
        <x:f>IF(E2646=F2646,"PASS","FAIL")</x:f>
        <x:v>PASS</x:v>
      </x:c>
    </x:row>
    <x:row r="2647" ht="18" customHeight="1">
      <x:c r="B2647" s="27" t="str">
        <x:v>A2641</x:v>
      </x:c>
      <x:c r="C2647" s="27" t="str">
        <x:v>interface</x:v>
      </x:c>
      <x:c r="D2647" s="27" t="str">
        <x:v>Interface row 42 zero credit</x:v>
      </x:c>
      <x:c r="E2647" s="27" t="n">
        <x:f>IF('Interface Tests'!K42=0,1,0)</x:f>
        <x:v>1</x:v>
      </x:c>
      <x:c r="F2647" s="27" t="n">
        <x:v>1</x:v>
      </x:c>
      <x:c r="G2647" s="29" t="str">
        <x:f>IF(E2647=F2647,"PASS","FAIL")</x:f>
        <x:v>PASS</x:v>
      </x:c>
    </x:row>
    <x:row r="2648" ht="18" customHeight="1">
      <x:c r="B2648" s="27" t="str">
        <x:v>A2642</x:v>
      </x:c>
      <x:c r="C2648" s="27" t="str">
        <x:v>interface</x:v>
      </x:c>
      <x:c r="D2648" s="27" t="str">
        <x:v>Interface row 43 challenge present</x:v>
      </x:c>
      <x:c r="E2648" s="27" t="n">
        <x:f>IF('Interface Tests'!F43&lt;&gt;"",1,0)</x:f>
        <x:v>1</x:v>
      </x:c>
      <x:c r="F2648" s="27" t="n">
        <x:v>1</x:v>
      </x:c>
      <x:c r="G2648" s="29" t="str">
        <x:f>IF(E2648=F2648,"PASS","FAIL")</x:f>
        <x:v>PASS</x:v>
      </x:c>
    </x:row>
    <x:row r="2649" ht="18" customHeight="1">
      <x:c r="B2649" s="27" t="str">
        <x:v>A2643</x:v>
      </x:c>
      <x:c r="C2649" s="27" t="str">
        <x:v>interface</x:v>
      </x:c>
      <x:c r="D2649" s="27" t="str">
        <x:v>Interface row 43 acceptance present</x:v>
      </x:c>
      <x:c r="E2649" s="27" t="n">
        <x:f>IF('Interface Tests'!H43&lt;&gt;"",1,0)</x:f>
        <x:v>1</x:v>
      </x:c>
      <x:c r="F2649" s="27" t="n">
        <x:v>1</x:v>
      </x:c>
      <x:c r="G2649" s="29" t="str">
        <x:f>IF(E2649=F2649,"PASS","FAIL")</x:f>
        <x:v>PASS</x:v>
      </x:c>
    </x:row>
    <x:row r="2650" ht="18" customHeight="1">
      <x:c r="B2650" s="27" t="str">
        <x:v>A2644</x:v>
      </x:c>
      <x:c r="C2650" s="27" t="str">
        <x:v>interface</x:v>
      </x:c>
      <x:c r="D2650" s="27" t="str">
        <x:v>Interface row 43 evidence open</x:v>
      </x:c>
      <x:c r="E2650" s="27" t="n">
        <x:f>IF('Interface Tests'!J43="OPEN",1,0)</x:f>
        <x:v>1</x:v>
      </x:c>
      <x:c r="F2650" s="27" t="n">
        <x:v>1</x:v>
      </x:c>
      <x:c r="G2650" s="29" t="str">
        <x:f>IF(E2650=F2650,"PASS","FAIL")</x:f>
        <x:v>PASS</x:v>
      </x:c>
    </x:row>
    <x:row r="2651" ht="18" customHeight="1">
      <x:c r="B2651" s="27" t="str">
        <x:v>A2645</x:v>
      </x:c>
      <x:c r="C2651" s="27" t="str">
        <x:v>interface</x:v>
      </x:c>
      <x:c r="D2651" s="27" t="str">
        <x:v>Interface row 43 zero credit</x:v>
      </x:c>
      <x:c r="E2651" s="27" t="n">
        <x:f>IF('Interface Tests'!K43=0,1,0)</x:f>
        <x:v>1</x:v>
      </x:c>
      <x:c r="F2651" s="27" t="n">
        <x:v>1</x:v>
      </x:c>
      <x:c r="G2651" s="29" t="str">
        <x:f>IF(E2651=F2651,"PASS","FAIL")</x:f>
        <x:v>PASS</x:v>
      </x:c>
    </x:row>
    <x:row r="2652" ht="18" customHeight="1">
      <x:c r="B2652" s="27" t="str">
        <x:v>A2646</x:v>
      </x:c>
      <x:c r="C2652" s="27" t="str">
        <x:v>interface</x:v>
      </x:c>
      <x:c r="D2652" s="27" t="str">
        <x:v>Interface row 44 challenge present</x:v>
      </x:c>
      <x:c r="E2652" s="27" t="n">
        <x:f>IF('Interface Tests'!F44&lt;&gt;"",1,0)</x:f>
        <x:v>1</x:v>
      </x:c>
      <x:c r="F2652" s="27" t="n">
        <x:v>1</x:v>
      </x:c>
      <x:c r="G2652" s="29" t="str">
        <x:f>IF(E2652=F2652,"PASS","FAIL")</x:f>
        <x:v>PASS</x:v>
      </x:c>
    </x:row>
    <x:row r="2653" ht="18" customHeight="1">
      <x:c r="B2653" s="27" t="str">
        <x:v>A2647</x:v>
      </x:c>
      <x:c r="C2653" s="27" t="str">
        <x:v>interface</x:v>
      </x:c>
      <x:c r="D2653" s="27" t="str">
        <x:v>Interface row 44 acceptance present</x:v>
      </x:c>
      <x:c r="E2653" s="27" t="n">
        <x:f>IF('Interface Tests'!H44&lt;&gt;"",1,0)</x:f>
        <x:v>1</x:v>
      </x:c>
      <x:c r="F2653" s="27" t="n">
        <x:v>1</x:v>
      </x:c>
      <x:c r="G2653" s="29" t="str">
        <x:f>IF(E2653=F2653,"PASS","FAIL")</x:f>
        <x:v>PASS</x:v>
      </x:c>
    </x:row>
    <x:row r="2654" ht="18" customHeight="1">
      <x:c r="B2654" s="27" t="str">
        <x:v>A2648</x:v>
      </x:c>
      <x:c r="C2654" s="27" t="str">
        <x:v>interface</x:v>
      </x:c>
      <x:c r="D2654" s="27" t="str">
        <x:v>Interface row 44 evidence open</x:v>
      </x:c>
      <x:c r="E2654" s="27" t="n">
        <x:f>IF('Interface Tests'!J44="OPEN",1,0)</x:f>
        <x:v>1</x:v>
      </x:c>
      <x:c r="F2654" s="27" t="n">
        <x:v>1</x:v>
      </x:c>
      <x:c r="G2654" s="29" t="str">
        <x:f>IF(E2654=F2654,"PASS","FAIL")</x:f>
        <x:v>PASS</x:v>
      </x:c>
    </x:row>
    <x:row r="2655" ht="18" customHeight="1">
      <x:c r="B2655" s="27" t="str">
        <x:v>A2649</x:v>
      </x:c>
      <x:c r="C2655" s="27" t="str">
        <x:v>interface</x:v>
      </x:c>
      <x:c r="D2655" s="27" t="str">
        <x:v>Interface row 44 zero credit</x:v>
      </x:c>
      <x:c r="E2655" s="27" t="n">
        <x:f>IF('Interface Tests'!K44=0,1,0)</x:f>
        <x:v>1</x:v>
      </x:c>
      <x:c r="F2655" s="27" t="n">
        <x:v>1</x:v>
      </x:c>
      <x:c r="G2655" s="29" t="str">
        <x:f>IF(E2655=F2655,"PASS","FAIL")</x:f>
        <x:v>PASS</x:v>
      </x:c>
    </x:row>
    <x:row r="2656" ht="18" customHeight="1">
      <x:c r="B2656" s="27" t="str">
        <x:v>A2650</x:v>
      </x:c>
      <x:c r="C2656" s="27" t="str">
        <x:v>interface</x:v>
      </x:c>
      <x:c r="D2656" s="27" t="str">
        <x:v>Interface row 45 challenge present</x:v>
      </x:c>
      <x:c r="E2656" s="27" t="n">
        <x:f>IF('Interface Tests'!F45&lt;&gt;"",1,0)</x:f>
        <x:v>1</x:v>
      </x:c>
      <x:c r="F2656" s="27" t="n">
        <x:v>1</x:v>
      </x:c>
      <x:c r="G2656" s="29" t="str">
        <x:f>IF(E2656=F2656,"PASS","FAIL")</x:f>
        <x:v>PASS</x:v>
      </x:c>
    </x:row>
    <x:row r="2657" ht="18" customHeight="1">
      <x:c r="B2657" s="27" t="str">
        <x:v>A2651</x:v>
      </x:c>
      <x:c r="C2657" s="27" t="str">
        <x:v>interface</x:v>
      </x:c>
      <x:c r="D2657" s="27" t="str">
        <x:v>Interface row 45 acceptance present</x:v>
      </x:c>
      <x:c r="E2657" s="27" t="n">
        <x:f>IF('Interface Tests'!H45&lt;&gt;"",1,0)</x:f>
        <x:v>1</x:v>
      </x:c>
      <x:c r="F2657" s="27" t="n">
        <x:v>1</x:v>
      </x:c>
      <x:c r="G2657" s="29" t="str">
        <x:f>IF(E2657=F2657,"PASS","FAIL")</x:f>
        <x:v>PASS</x:v>
      </x:c>
    </x:row>
    <x:row r="2658" ht="18" customHeight="1">
      <x:c r="B2658" s="27" t="str">
        <x:v>A2652</x:v>
      </x:c>
      <x:c r="C2658" s="27" t="str">
        <x:v>interface</x:v>
      </x:c>
      <x:c r="D2658" s="27" t="str">
        <x:v>Interface row 45 evidence open</x:v>
      </x:c>
      <x:c r="E2658" s="27" t="n">
        <x:f>IF('Interface Tests'!J45="OPEN",1,0)</x:f>
        <x:v>1</x:v>
      </x:c>
      <x:c r="F2658" s="27" t="n">
        <x:v>1</x:v>
      </x:c>
      <x:c r="G2658" s="29" t="str">
        <x:f>IF(E2658=F2658,"PASS","FAIL")</x:f>
        <x:v>PASS</x:v>
      </x:c>
    </x:row>
    <x:row r="2659" ht="18" customHeight="1">
      <x:c r="B2659" s="27" t="str">
        <x:v>A2653</x:v>
      </x:c>
      <x:c r="C2659" s="27" t="str">
        <x:v>interface</x:v>
      </x:c>
      <x:c r="D2659" s="27" t="str">
        <x:v>Interface row 45 zero credit</x:v>
      </x:c>
      <x:c r="E2659" s="27" t="n">
        <x:f>IF('Interface Tests'!K45=0,1,0)</x:f>
        <x:v>1</x:v>
      </x:c>
      <x:c r="F2659" s="27" t="n">
        <x:v>1</x:v>
      </x:c>
      <x:c r="G2659" s="29" t="str">
        <x:f>IF(E2659=F2659,"PASS","FAIL")</x:f>
        <x:v>PASS</x:v>
      </x:c>
    </x:row>
    <x:row r="2660" ht="18" customHeight="1">
      <x:c r="B2660" s="27" t="str">
        <x:v>A2654</x:v>
      </x:c>
      <x:c r="C2660" s="27" t="str">
        <x:v>interface</x:v>
      </x:c>
      <x:c r="D2660" s="27" t="str">
        <x:v>Interface row 46 challenge present</x:v>
      </x:c>
      <x:c r="E2660" s="27" t="n">
        <x:f>IF('Interface Tests'!F46&lt;&gt;"",1,0)</x:f>
        <x:v>1</x:v>
      </x:c>
      <x:c r="F2660" s="27" t="n">
        <x:v>1</x:v>
      </x:c>
      <x:c r="G2660" s="29" t="str">
        <x:f>IF(E2660=F2660,"PASS","FAIL")</x:f>
        <x:v>PASS</x:v>
      </x:c>
    </x:row>
    <x:row r="2661" ht="18" customHeight="1">
      <x:c r="B2661" s="27" t="str">
        <x:v>A2655</x:v>
      </x:c>
      <x:c r="C2661" s="27" t="str">
        <x:v>interface</x:v>
      </x:c>
      <x:c r="D2661" s="27" t="str">
        <x:v>Interface row 46 acceptance present</x:v>
      </x:c>
      <x:c r="E2661" s="27" t="n">
        <x:f>IF('Interface Tests'!H46&lt;&gt;"",1,0)</x:f>
        <x:v>1</x:v>
      </x:c>
      <x:c r="F2661" s="27" t="n">
        <x:v>1</x:v>
      </x:c>
      <x:c r="G2661" s="29" t="str">
        <x:f>IF(E2661=F2661,"PASS","FAIL")</x:f>
        <x:v>PASS</x:v>
      </x:c>
    </x:row>
    <x:row r="2662" ht="18" customHeight="1">
      <x:c r="B2662" s="27" t="str">
        <x:v>A2656</x:v>
      </x:c>
      <x:c r="C2662" s="27" t="str">
        <x:v>interface</x:v>
      </x:c>
      <x:c r="D2662" s="27" t="str">
        <x:v>Interface row 46 evidence open</x:v>
      </x:c>
      <x:c r="E2662" s="27" t="n">
        <x:f>IF('Interface Tests'!J46="OPEN",1,0)</x:f>
        <x:v>1</x:v>
      </x:c>
      <x:c r="F2662" s="27" t="n">
        <x:v>1</x:v>
      </x:c>
      <x:c r="G2662" s="29" t="str">
        <x:f>IF(E2662=F2662,"PASS","FAIL")</x:f>
        <x:v>PASS</x:v>
      </x:c>
    </x:row>
    <x:row r="2663" ht="18" customHeight="1">
      <x:c r="B2663" s="27" t="str">
        <x:v>A2657</x:v>
      </x:c>
      <x:c r="C2663" s="27" t="str">
        <x:v>interface</x:v>
      </x:c>
      <x:c r="D2663" s="27" t="str">
        <x:v>Interface row 46 zero credit</x:v>
      </x:c>
      <x:c r="E2663" s="27" t="n">
        <x:f>IF('Interface Tests'!K46=0,1,0)</x:f>
        <x:v>1</x:v>
      </x:c>
      <x:c r="F2663" s="27" t="n">
        <x:v>1</x:v>
      </x:c>
      <x:c r="G2663" s="29" t="str">
        <x:f>IF(E2663=F2663,"PASS","FAIL")</x:f>
        <x:v>PASS</x:v>
      </x:c>
    </x:row>
    <x:row r="2664" ht="18" customHeight="1">
      <x:c r="B2664" s="27" t="str">
        <x:v>A2658</x:v>
      </x:c>
      <x:c r="C2664" s="27" t="str">
        <x:v>interface</x:v>
      </x:c>
      <x:c r="D2664" s="27" t="str">
        <x:v>Interface row 47 challenge present</x:v>
      </x:c>
      <x:c r="E2664" s="27" t="n">
        <x:f>IF('Interface Tests'!F47&lt;&gt;"",1,0)</x:f>
        <x:v>1</x:v>
      </x:c>
      <x:c r="F2664" s="27" t="n">
        <x:v>1</x:v>
      </x:c>
      <x:c r="G2664" s="29" t="str">
        <x:f>IF(E2664=F2664,"PASS","FAIL")</x:f>
        <x:v>PASS</x:v>
      </x:c>
    </x:row>
    <x:row r="2665" ht="18" customHeight="1">
      <x:c r="B2665" s="27" t="str">
        <x:v>A2659</x:v>
      </x:c>
      <x:c r="C2665" s="27" t="str">
        <x:v>interface</x:v>
      </x:c>
      <x:c r="D2665" s="27" t="str">
        <x:v>Interface row 47 acceptance present</x:v>
      </x:c>
      <x:c r="E2665" s="27" t="n">
        <x:f>IF('Interface Tests'!H47&lt;&gt;"",1,0)</x:f>
        <x:v>1</x:v>
      </x:c>
      <x:c r="F2665" s="27" t="n">
        <x:v>1</x:v>
      </x:c>
      <x:c r="G2665" s="29" t="str">
        <x:f>IF(E2665=F2665,"PASS","FAIL")</x:f>
        <x:v>PASS</x:v>
      </x:c>
    </x:row>
    <x:row r="2666" ht="18" customHeight="1">
      <x:c r="B2666" s="27" t="str">
        <x:v>A2660</x:v>
      </x:c>
      <x:c r="C2666" s="27" t="str">
        <x:v>interface</x:v>
      </x:c>
      <x:c r="D2666" s="27" t="str">
        <x:v>Interface row 47 evidence open</x:v>
      </x:c>
      <x:c r="E2666" s="27" t="n">
        <x:f>IF('Interface Tests'!J47="OPEN",1,0)</x:f>
        <x:v>1</x:v>
      </x:c>
      <x:c r="F2666" s="27" t="n">
        <x:v>1</x:v>
      </x:c>
      <x:c r="G2666" s="29" t="str">
        <x:f>IF(E2666=F2666,"PASS","FAIL")</x:f>
        <x:v>PASS</x:v>
      </x:c>
    </x:row>
    <x:row r="2667" ht="18" customHeight="1">
      <x:c r="B2667" s="27" t="str">
        <x:v>A2661</x:v>
      </x:c>
      <x:c r="C2667" s="27" t="str">
        <x:v>interface</x:v>
      </x:c>
      <x:c r="D2667" s="27" t="str">
        <x:v>Interface row 47 zero credit</x:v>
      </x:c>
      <x:c r="E2667" s="27" t="n">
        <x:f>IF('Interface Tests'!K47=0,1,0)</x:f>
        <x:v>1</x:v>
      </x:c>
      <x:c r="F2667" s="27" t="n">
        <x:v>1</x:v>
      </x:c>
      <x:c r="G2667" s="29" t="str">
        <x:f>IF(E2667=F2667,"PASS","FAIL")</x:f>
        <x:v>PASS</x:v>
      </x:c>
    </x:row>
    <x:row r="2668" ht="18" customHeight="1">
      <x:c r="B2668" s="27" t="str">
        <x:v>A2662</x:v>
      </x:c>
      <x:c r="C2668" s="27" t="str">
        <x:v>interface</x:v>
      </x:c>
      <x:c r="D2668" s="27" t="str">
        <x:v>Interface row 48 challenge present</x:v>
      </x:c>
      <x:c r="E2668" s="27" t="n">
        <x:f>IF('Interface Tests'!F48&lt;&gt;"",1,0)</x:f>
        <x:v>1</x:v>
      </x:c>
      <x:c r="F2668" s="27" t="n">
        <x:v>1</x:v>
      </x:c>
      <x:c r="G2668" s="29" t="str">
        <x:f>IF(E2668=F2668,"PASS","FAIL")</x:f>
        <x:v>PASS</x:v>
      </x:c>
    </x:row>
    <x:row r="2669" ht="18" customHeight="1">
      <x:c r="B2669" s="27" t="str">
        <x:v>A2663</x:v>
      </x:c>
      <x:c r="C2669" s="27" t="str">
        <x:v>interface</x:v>
      </x:c>
      <x:c r="D2669" s="27" t="str">
        <x:v>Interface row 48 acceptance present</x:v>
      </x:c>
      <x:c r="E2669" s="27" t="n">
        <x:f>IF('Interface Tests'!H48&lt;&gt;"",1,0)</x:f>
        <x:v>1</x:v>
      </x:c>
      <x:c r="F2669" s="27" t="n">
        <x:v>1</x:v>
      </x:c>
      <x:c r="G2669" s="29" t="str">
        <x:f>IF(E2669=F2669,"PASS","FAIL")</x:f>
        <x:v>PASS</x:v>
      </x:c>
    </x:row>
    <x:row r="2670" ht="18" customHeight="1">
      <x:c r="B2670" s="27" t="str">
        <x:v>A2664</x:v>
      </x:c>
      <x:c r="C2670" s="27" t="str">
        <x:v>interface</x:v>
      </x:c>
      <x:c r="D2670" s="27" t="str">
        <x:v>Interface row 48 evidence open</x:v>
      </x:c>
      <x:c r="E2670" s="27" t="n">
        <x:f>IF('Interface Tests'!J48="OPEN",1,0)</x:f>
        <x:v>1</x:v>
      </x:c>
      <x:c r="F2670" s="27" t="n">
        <x:v>1</x:v>
      </x:c>
      <x:c r="G2670" s="29" t="str">
        <x:f>IF(E2670=F2670,"PASS","FAIL")</x:f>
        <x:v>PASS</x:v>
      </x:c>
    </x:row>
    <x:row r="2671" ht="18" customHeight="1">
      <x:c r="B2671" s="27" t="str">
        <x:v>A2665</x:v>
      </x:c>
      <x:c r="C2671" s="27" t="str">
        <x:v>interface</x:v>
      </x:c>
      <x:c r="D2671" s="27" t="str">
        <x:v>Interface row 48 zero credit</x:v>
      </x:c>
      <x:c r="E2671" s="27" t="n">
        <x:f>IF('Interface Tests'!K48=0,1,0)</x:f>
        <x:v>1</x:v>
      </x:c>
      <x:c r="F2671" s="27" t="n">
        <x:v>1</x:v>
      </x:c>
      <x:c r="G2671" s="29" t="str">
        <x:f>IF(E2671=F2671,"PASS","FAIL")</x:f>
        <x:v>PASS</x:v>
      </x:c>
    </x:row>
    <x:row r="2672" ht="18" customHeight="1">
      <x:c r="B2672" s="27" t="str">
        <x:v>A2666</x:v>
      </x:c>
      <x:c r="C2672" s="27" t="str">
        <x:v>interface</x:v>
      </x:c>
      <x:c r="D2672" s="27" t="str">
        <x:v>Interface row 49 challenge present</x:v>
      </x:c>
      <x:c r="E2672" s="27" t="n">
        <x:f>IF('Interface Tests'!F49&lt;&gt;"",1,0)</x:f>
        <x:v>1</x:v>
      </x:c>
      <x:c r="F2672" s="27" t="n">
        <x:v>1</x:v>
      </x:c>
      <x:c r="G2672" s="29" t="str">
        <x:f>IF(E2672=F2672,"PASS","FAIL")</x:f>
        <x:v>PASS</x:v>
      </x:c>
    </x:row>
    <x:row r="2673" ht="18" customHeight="1">
      <x:c r="B2673" s="27" t="str">
        <x:v>A2667</x:v>
      </x:c>
      <x:c r="C2673" s="27" t="str">
        <x:v>interface</x:v>
      </x:c>
      <x:c r="D2673" s="27" t="str">
        <x:v>Interface row 49 acceptance present</x:v>
      </x:c>
      <x:c r="E2673" s="27" t="n">
        <x:f>IF('Interface Tests'!H49&lt;&gt;"",1,0)</x:f>
        <x:v>1</x:v>
      </x:c>
      <x:c r="F2673" s="27" t="n">
        <x:v>1</x:v>
      </x:c>
      <x:c r="G2673" s="29" t="str">
        <x:f>IF(E2673=F2673,"PASS","FAIL")</x:f>
        <x:v>PASS</x:v>
      </x:c>
    </x:row>
    <x:row r="2674" ht="18" customHeight="1">
      <x:c r="B2674" s="27" t="str">
        <x:v>A2668</x:v>
      </x:c>
      <x:c r="C2674" s="27" t="str">
        <x:v>interface</x:v>
      </x:c>
      <x:c r="D2674" s="27" t="str">
        <x:v>Interface row 49 evidence open</x:v>
      </x:c>
      <x:c r="E2674" s="27" t="n">
        <x:f>IF('Interface Tests'!J49="OPEN",1,0)</x:f>
        <x:v>1</x:v>
      </x:c>
      <x:c r="F2674" s="27" t="n">
        <x:v>1</x:v>
      </x:c>
      <x:c r="G2674" s="29" t="str">
        <x:f>IF(E2674=F2674,"PASS","FAIL")</x:f>
        <x:v>PASS</x:v>
      </x:c>
    </x:row>
    <x:row r="2675" ht="18" customHeight="1">
      <x:c r="B2675" s="27" t="str">
        <x:v>A2669</x:v>
      </x:c>
      <x:c r="C2675" s="27" t="str">
        <x:v>interface</x:v>
      </x:c>
      <x:c r="D2675" s="27" t="str">
        <x:v>Interface row 49 zero credit</x:v>
      </x:c>
      <x:c r="E2675" s="27" t="n">
        <x:f>IF('Interface Tests'!K49=0,1,0)</x:f>
        <x:v>1</x:v>
      </x:c>
      <x:c r="F2675" s="27" t="n">
        <x:v>1</x:v>
      </x:c>
      <x:c r="G2675" s="29" t="str">
        <x:f>IF(E2675=F2675,"PASS","FAIL")</x:f>
        <x:v>PASS</x:v>
      </x:c>
    </x:row>
    <x:row r="2676" ht="18" customHeight="1">
      <x:c r="B2676" s="27" t="str">
        <x:v>A2670</x:v>
      </x:c>
      <x:c r="C2676" s="27" t="str">
        <x:v>interface</x:v>
      </x:c>
      <x:c r="D2676" s="27" t="str">
        <x:v>Interface row 50 challenge present</x:v>
      </x:c>
      <x:c r="E2676" s="27" t="n">
        <x:f>IF('Interface Tests'!F50&lt;&gt;"",1,0)</x:f>
        <x:v>1</x:v>
      </x:c>
      <x:c r="F2676" s="27" t="n">
        <x:v>1</x:v>
      </x:c>
      <x:c r="G2676" s="29" t="str">
        <x:f>IF(E2676=F2676,"PASS","FAIL")</x:f>
        <x:v>PASS</x:v>
      </x:c>
    </x:row>
    <x:row r="2677" ht="18" customHeight="1">
      <x:c r="B2677" s="27" t="str">
        <x:v>A2671</x:v>
      </x:c>
      <x:c r="C2677" s="27" t="str">
        <x:v>interface</x:v>
      </x:c>
      <x:c r="D2677" s="27" t="str">
        <x:v>Interface row 50 acceptance present</x:v>
      </x:c>
      <x:c r="E2677" s="27" t="n">
        <x:f>IF('Interface Tests'!H50&lt;&gt;"",1,0)</x:f>
        <x:v>1</x:v>
      </x:c>
      <x:c r="F2677" s="27" t="n">
        <x:v>1</x:v>
      </x:c>
      <x:c r="G2677" s="29" t="str">
        <x:f>IF(E2677=F2677,"PASS","FAIL")</x:f>
        <x:v>PASS</x:v>
      </x:c>
    </x:row>
    <x:row r="2678" ht="18" customHeight="1">
      <x:c r="B2678" s="27" t="str">
        <x:v>A2672</x:v>
      </x:c>
      <x:c r="C2678" s="27" t="str">
        <x:v>interface</x:v>
      </x:c>
      <x:c r="D2678" s="27" t="str">
        <x:v>Interface row 50 evidence open</x:v>
      </x:c>
      <x:c r="E2678" s="27" t="n">
        <x:f>IF('Interface Tests'!J50="OPEN",1,0)</x:f>
        <x:v>1</x:v>
      </x:c>
      <x:c r="F2678" s="27" t="n">
        <x:v>1</x:v>
      </x:c>
      <x:c r="G2678" s="29" t="str">
        <x:f>IF(E2678=F2678,"PASS","FAIL")</x:f>
        <x:v>PASS</x:v>
      </x:c>
    </x:row>
    <x:row r="2679" ht="18" customHeight="1">
      <x:c r="B2679" s="27" t="str">
        <x:v>A2673</x:v>
      </x:c>
      <x:c r="C2679" s="27" t="str">
        <x:v>interface</x:v>
      </x:c>
      <x:c r="D2679" s="27" t="str">
        <x:v>Interface row 50 zero credit</x:v>
      </x:c>
      <x:c r="E2679" s="27" t="n">
        <x:f>IF('Interface Tests'!K50=0,1,0)</x:f>
        <x:v>1</x:v>
      </x:c>
      <x:c r="F2679" s="27" t="n">
        <x:v>1</x:v>
      </x:c>
      <x:c r="G2679" s="29" t="str">
        <x:f>IF(E2679=F2679,"PASS","FAIL")</x:f>
        <x:v>PASS</x:v>
      </x:c>
    </x:row>
    <x:row r="2680" ht="18" customHeight="1">
      <x:c r="B2680" s="27" t="str">
        <x:v>A2674</x:v>
      </x:c>
      <x:c r="C2680" s="27" t="str">
        <x:v>interface</x:v>
      </x:c>
      <x:c r="D2680" s="27" t="str">
        <x:v>Interface row 51 challenge present</x:v>
      </x:c>
      <x:c r="E2680" s="27" t="n">
        <x:f>IF('Interface Tests'!F51&lt;&gt;"",1,0)</x:f>
        <x:v>1</x:v>
      </x:c>
      <x:c r="F2680" s="27" t="n">
        <x:v>1</x:v>
      </x:c>
      <x:c r="G2680" s="29" t="str">
        <x:f>IF(E2680=F2680,"PASS","FAIL")</x:f>
        <x:v>PASS</x:v>
      </x:c>
    </x:row>
    <x:row r="2681" ht="18" customHeight="1">
      <x:c r="B2681" s="27" t="str">
        <x:v>A2675</x:v>
      </x:c>
      <x:c r="C2681" s="27" t="str">
        <x:v>interface</x:v>
      </x:c>
      <x:c r="D2681" s="27" t="str">
        <x:v>Interface row 51 acceptance present</x:v>
      </x:c>
      <x:c r="E2681" s="27" t="n">
        <x:f>IF('Interface Tests'!H51&lt;&gt;"",1,0)</x:f>
        <x:v>1</x:v>
      </x:c>
      <x:c r="F2681" s="27" t="n">
        <x:v>1</x:v>
      </x:c>
      <x:c r="G2681" s="29" t="str">
        <x:f>IF(E2681=F2681,"PASS","FAIL")</x:f>
        <x:v>PASS</x:v>
      </x:c>
    </x:row>
    <x:row r="2682" ht="18" customHeight="1">
      <x:c r="B2682" s="27" t="str">
        <x:v>A2676</x:v>
      </x:c>
      <x:c r="C2682" s="27" t="str">
        <x:v>interface</x:v>
      </x:c>
      <x:c r="D2682" s="27" t="str">
        <x:v>Interface row 51 evidence open</x:v>
      </x:c>
      <x:c r="E2682" s="27" t="n">
        <x:f>IF('Interface Tests'!J51="OPEN",1,0)</x:f>
        <x:v>1</x:v>
      </x:c>
      <x:c r="F2682" s="27" t="n">
        <x:v>1</x:v>
      </x:c>
      <x:c r="G2682" s="29" t="str">
        <x:f>IF(E2682=F2682,"PASS","FAIL")</x:f>
        <x:v>PASS</x:v>
      </x:c>
    </x:row>
    <x:row r="2683" ht="18" customHeight="1">
      <x:c r="B2683" s="27" t="str">
        <x:v>A2677</x:v>
      </x:c>
      <x:c r="C2683" s="27" t="str">
        <x:v>interface</x:v>
      </x:c>
      <x:c r="D2683" s="27" t="str">
        <x:v>Interface row 51 zero credit</x:v>
      </x:c>
      <x:c r="E2683" s="27" t="n">
        <x:f>IF('Interface Tests'!K51=0,1,0)</x:f>
        <x:v>1</x:v>
      </x:c>
      <x:c r="F2683" s="27" t="n">
        <x:v>1</x:v>
      </x:c>
      <x:c r="G2683" s="29" t="str">
        <x:f>IF(E2683=F2683,"PASS","FAIL")</x:f>
        <x:v>PASS</x:v>
      </x:c>
    </x:row>
    <x:row r="2684" ht="18" customHeight="1">
      <x:c r="B2684" s="27" t="str">
        <x:v>A2678</x:v>
      </x:c>
      <x:c r="C2684" s="27" t="str">
        <x:v>interface</x:v>
      </x:c>
      <x:c r="D2684" s="27" t="str">
        <x:v>Interface row 52 challenge present</x:v>
      </x:c>
      <x:c r="E2684" s="27" t="n">
        <x:f>IF('Interface Tests'!F52&lt;&gt;"",1,0)</x:f>
        <x:v>1</x:v>
      </x:c>
      <x:c r="F2684" s="27" t="n">
        <x:v>1</x:v>
      </x:c>
      <x:c r="G2684" s="29" t="str">
        <x:f>IF(E2684=F2684,"PASS","FAIL")</x:f>
        <x:v>PASS</x:v>
      </x:c>
    </x:row>
    <x:row r="2685" ht="18" customHeight="1">
      <x:c r="B2685" s="27" t="str">
        <x:v>A2679</x:v>
      </x:c>
      <x:c r="C2685" s="27" t="str">
        <x:v>interface</x:v>
      </x:c>
      <x:c r="D2685" s="27" t="str">
        <x:v>Interface row 52 acceptance present</x:v>
      </x:c>
      <x:c r="E2685" s="27" t="n">
        <x:f>IF('Interface Tests'!H52&lt;&gt;"",1,0)</x:f>
        <x:v>1</x:v>
      </x:c>
      <x:c r="F2685" s="27" t="n">
        <x:v>1</x:v>
      </x:c>
      <x:c r="G2685" s="29" t="str">
        <x:f>IF(E2685=F2685,"PASS","FAIL")</x:f>
        <x:v>PASS</x:v>
      </x:c>
    </x:row>
    <x:row r="2686" ht="18" customHeight="1">
      <x:c r="B2686" s="27" t="str">
        <x:v>A2680</x:v>
      </x:c>
      <x:c r="C2686" s="27" t="str">
        <x:v>interface</x:v>
      </x:c>
      <x:c r="D2686" s="27" t="str">
        <x:v>Interface row 52 evidence open</x:v>
      </x:c>
      <x:c r="E2686" s="27" t="n">
        <x:f>IF('Interface Tests'!J52="OPEN",1,0)</x:f>
        <x:v>1</x:v>
      </x:c>
      <x:c r="F2686" s="27" t="n">
        <x:v>1</x:v>
      </x:c>
      <x:c r="G2686" s="29" t="str">
        <x:f>IF(E2686=F2686,"PASS","FAIL")</x:f>
        <x:v>PASS</x:v>
      </x:c>
    </x:row>
    <x:row r="2687" ht="18" customHeight="1">
      <x:c r="B2687" s="27" t="str">
        <x:v>A2681</x:v>
      </x:c>
      <x:c r="C2687" s="27" t="str">
        <x:v>interface</x:v>
      </x:c>
      <x:c r="D2687" s="27" t="str">
        <x:v>Interface row 52 zero credit</x:v>
      </x:c>
      <x:c r="E2687" s="27" t="n">
        <x:f>IF('Interface Tests'!K52=0,1,0)</x:f>
        <x:v>1</x:v>
      </x:c>
      <x:c r="F2687" s="27" t="n">
        <x:v>1</x:v>
      </x:c>
      <x:c r="G2687" s="29" t="str">
        <x:f>IF(E2687=F2687,"PASS","FAIL")</x:f>
        <x:v>PASS</x:v>
      </x:c>
    </x:row>
    <x:row r="2688" ht="18" customHeight="1">
      <x:c r="B2688" s="27" t="str">
        <x:v>A2682</x:v>
      </x:c>
      <x:c r="C2688" s="27" t="str">
        <x:v>interface</x:v>
      </x:c>
      <x:c r="D2688" s="27" t="str">
        <x:v>Interface row 53 challenge present</x:v>
      </x:c>
      <x:c r="E2688" s="27" t="n">
        <x:f>IF('Interface Tests'!F53&lt;&gt;"",1,0)</x:f>
        <x:v>1</x:v>
      </x:c>
      <x:c r="F2688" s="27" t="n">
        <x:v>1</x:v>
      </x:c>
      <x:c r="G2688" s="29" t="str">
        <x:f>IF(E2688=F2688,"PASS","FAIL")</x:f>
        <x:v>PASS</x:v>
      </x:c>
    </x:row>
    <x:row r="2689" ht="18" customHeight="1">
      <x:c r="B2689" s="27" t="str">
        <x:v>A2683</x:v>
      </x:c>
      <x:c r="C2689" s="27" t="str">
        <x:v>interface</x:v>
      </x:c>
      <x:c r="D2689" s="27" t="str">
        <x:v>Interface row 53 acceptance present</x:v>
      </x:c>
      <x:c r="E2689" s="27" t="n">
        <x:f>IF('Interface Tests'!H53&lt;&gt;"",1,0)</x:f>
        <x:v>1</x:v>
      </x:c>
      <x:c r="F2689" s="27" t="n">
        <x:v>1</x:v>
      </x:c>
      <x:c r="G2689" s="29" t="str">
        <x:f>IF(E2689=F2689,"PASS","FAIL")</x:f>
        <x:v>PASS</x:v>
      </x:c>
    </x:row>
    <x:row r="2690" ht="18" customHeight="1">
      <x:c r="B2690" s="27" t="str">
        <x:v>A2684</x:v>
      </x:c>
      <x:c r="C2690" s="27" t="str">
        <x:v>interface</x:v>
      </x:c>
      <x:c r="D2690" s="27" t="str">
        <x:v>Interface row 53 evidence open</x:v>
      </x:c>
      <x:c r="E2690" s="27" t="n">
        <x:f>IF('Interface Tests'!J53="OPEN",1,0)</x:f>
        <x:v>1</x:v>
      </x:c>
      <x:c r="F2690" s="27" t="n">
        <x:v>1</x:v>
      </x:c>
      <x:c r="G2690" s="29" t="str">
        <x:f>IF(E2690=F2690,"PASS","FAIL")</x:f>
        <x:v>PASS</x:v>
      </x:c>
    </x:row>
    <x:row r="2691" ht="18" customHeight="1">
      <x:c r="B2691" s="27" t="str">
        <x:v>A2685</x:v>
      </x:c>
      <x:c r="C2691" s="27" t="str">
        <x:v>interface</x:v>
      </x:c>
      <x:c r="D2691" s="27" t="str">
        <x:v>Interface row 53 zero credit</x:v>
      </x:c>
      <x:c r="E2691" s="27" t="n">
        <x:f>IF('Interface Tests'!K53=0,1,0)</x:f>
        <x:v>1</x:v>
      </x:c>
      <x:c r="F2691" s="27" t="n">
        <x:v>1</x:v>
      </x:c>
      <x:c r="G2691" s="29" t="str">
        <x:f>IF(E2691=F2691,"PASS","FAIL")</x:f>
        <x:v>PASS</x:v>
      </x:c>
    </x:row>
    <x:row r="2692" ht="18" customHeight="1">
      <x:c r="B2692" s="27" t="str">
        <x:v>A2686</x:v>
      </x:c>
      <x:c r="C2692" s="27" t="str">
        <x:v>interface</x:v>
      </x:c>
      <x:c r="D2692" s="27" t="str">
        <x:v>Interface row 54 challenge present</x:v>
      </x:c>
      <x:c r="E2692" s="27" t="n">
        <x:f>IF('Interface Tests'!F54&lt;&gt;"",1,0)</x:f>
        <x:v>1</x:v>
      </x:c>
      <x:c r="F2692" s="27" t="n">
        <x:v>1</x:v>
      </x:c>
      <x:c r="G2692" s="29" t="str">
        <x:f>IF(E2692=F2692,"PASS","FAIL")</x:f>
        <x:v>PASS</x:v>
      </x:c>
    </x:row>
    <x:row r="2693" ht="18" customHeight="1">
      <x:c r="B2693" s="27" t="str">
        <x:v>A2687</x:v>
      </x:c>
      <x:c r="C2693" s="27" t="str">
        <x:v>interface</x:v>
      </x:c>
      <x:c r="D2693" s="27" t="str">
        <x:v>Interface row 54 acceptance present</x:v>
      </x:c>
      <x:c r="E2693" s="27" t="n">
        <x:f>IF('Interface Tests'!H54&lt;&gt;"",1,0)</x:f>
        <x:v>1</x:v>
      </x:c>
      <x:c r="F2693" s="27" t="n">
        <x:v>1</x:v>
      </x:c>
      <x:c r="G2693" s="29" t="str">
        <x:f>IF(E2693=F2693,"PASS","FAIL")</x:f>
        <x:v>PASS</x:v>
      </x:c>
    </x:row>
    <x:row r="2694" ht="18" customHeight="1">
      <x:c r="B2694" s="27" t="str">
        <x:v>A2688</x:v>
      </x:c>
      <x:c r="C2694" s="27" t="str">
        <x:v>interface</x:v>
      </x:c>
      <x:c r="D2694" s="27" t="str">
        <x:v>Interface row 54 evidence open</x:v>
      </x:c>
      <x:c r="E2694" s="27" t="n">
        <x:f>IF('Interface Tests'!J54="OPEN",1,0)</x:f>
        <x:v>1</x:v>
      </x:c>
      <x:c r="F2694" s="27" t="n">
        <x:v>1</x:v>
      </x:c>
      <x:c r="G2694" s="29" t="str">
        <x:f>IF(E2694=F2694,"PASS","FAIL")</x:f>
        <x:v>PASS</x:v>
      </x:c>
    </x:row>
    <x:row r="2695" ht="18" customHeight="1">
      <x:c r="B2695" s="27" t="str">
        <x:v>A2689</x:v>
      </x:c>
      <x:c r="C2695" s="27" t="str">
        <x:v>interface</x:v>
      </x:c>
      <x:c r="D2695" s="27" t="str">
        <x:v>Interface row 54 zero credit</x:v>
      </x:c>
      <x:c r="E2695" s="27" t="n">
        <x:f>IF('Interface Tests'!K54=0,1,0)</x:f>
        <x:v>1</x:v>
      </x:c>
      <x:c r="F2695" s="27" t="n">
        <x:v>1</x:v>
      </x:c>
      <x:c r="G2695" s="29" t="str">
        <x:f>IF(E2695=F2695,"PASS","FAIL")</x:f>
        <x:v>PASS</x:v>
      </x:c>
    </x:row>
    <x:row r="2696" ht="18" customHeight="1">
      <x:c r="B2696" s="27" t="str">
        <x:v>A2690</x:v>
      </x:c>
      <x:c r="C2696" s="27" t="str">
        <x:v>interface</x:v>
      </x:c>
      <x:c r="D2696" s="27" t="str">
        <x:v>Interface row 55 challenge present</x:v>
      </x:c>
      <x:c r="E2696" s="27" t="n">
        <x:f>IF('Interface Tests'!F55&lt;&gt;"",1,0)</x:f>
        <x:v>1</x:v>
      </x:c>
      <x:c r="F2696" s="27" t="n">
        <x:v>1</x:v>
      </x:c>
      <x:c r="G2696" s="29" t="str">
        <x:f>IF(E2696=F2696,"PASS","FAIL")</x:f>
        <x:v>PASS</x:v>
      </x:c>
    </x:row>
    <x:row r="2697" ht="18" customHeight="1">
      <x:c r="B2697" s="27" t="str">
        <x:v>A2691</x:v>
      </x:c>
      <x:c r="C2697" s="27" t="str">
        <x:v>interface</x:v>
      </x:c>
      <x:c r="D2697" s="27" t="str">
        <x:v>Interface row 55 acceptance present</x:v>
      </x:c>
      <x:c r="E2697" s="27" t="n">
        <x:f>IF('Interface Tests'!H55&lt;&gt;"",1,0)</x:f>
        <x:v>1</x:v>
      </x:c>
      <x:c r="F2697" s="27" t="n">
        <x:v>1</x:v>
      </x:c>
      <x:c r="G2697" s="29" t="str">
        <x:f>IF(E2697=F2697,"PASS","FAIL")</x:f>
        <x:v>PASS</x:v>
      </x:c>
    </x:row>
    <x:row r="2698" ht="18" customHeight="1">
      <x:c r="B2698" s="27" t="str">
        <x:v>A2692</x:v>
      </x:c>
      <x:c r="C2698" s="27" t="str">
        <x:v>interface</x:v>
      </x:c>
      <x:c r="D2698" s="27" t="str">
        <x:v>Interface row 55 evidence open</x:v>
      </x:c>
      <x:c r="E2698" s="27" t="n">
        <x:f>IF('Interface Tests'!J55="OPEN",1,0)</x:f>
        <x:v>1</x:v>
      </x:c>
      <x:c r="F2698" s="27" t="n">
        <x:v>1</x:v>
      </x:c>
      <x:c r="G2698" s="29" t="str">
        <x:f>IF(E2698=F2698,"PASS","FAIL")</x:f>
        <x:v>PASS</x:v>
      </x:c>
    </x:row>
    <x:row r="2699" ht="18" customHeight="1">
      <x:c r="B2699" s="27" t="str">
        <x:v>A2693</x:v>
      </x:c>
      <x:c r="C2699" s="27" t="str">
        <x:v>interface</x:v>
      </x:c>
      <x:c r="D2699" s="27" t="str">
        <x:v>Interface row 55 zero credit</x:v>
      </x:c>
      <x:c r="E2699" s="27" t="n">
        <x:f>IF('Interface Tests'!K55=0,1,0)</x:f>
        <x:v>1</x:v>
      </x:c>
      <x:c r="F2699" s="27" t="n">
        <x:v>1</x:v>
      </x:c>
      <x:c r="G2699" s="29" t="str">
        <x:f>IF(E2699=F2699,"PASS","FAIL")</x:f>
        <x:v>PASS</x:v>
      </x:c>
    </x:row>
    <x:row r="2700" ht="18" customHeight="1">
      <x:c r="B2700" s="27" t="str">
        <x:v>A2694</x:v>
      </x:c>
      <x:c r="C2700" s="27" t="str">
        <x:v>interface</x:v>
      </x:c>
      <x:c r="D2700" s="27" t="str">
        <x:v>Interface row 56 challenge present</x:v>
      </x:c>
      <x:c r="E2700" s="27" t="n">
        <x:f>IF('Interface Tests'!F56&lt;&gt;"",1,0)</x:f>
        <x:v>1</x:v>
      </x:c>
      <x:c r="F2700" s="27" t="n">
        <x:v>1</x:v>
      </x:c>
      <x:c r="G2700" s="29" t="str">
        <x:f>IF(E2700=F2700,"PASS","FAIL")</x:f>
        <x:v>PASS</x:v>
      </x:c>
    </x:row>
    <x:row r="2701" ht="18" customHeight="1">
      <x:c r="B2701" s="27" t="str">
        <x:v>A2695</x:v>
      </x:c>
      <x:c r="C2701" s="27" t="str">
        <x:v>interface</x:v>
      </x:c>
      <x:c r="D2701" s="27" t="str">
        <x:v>Interface row 56 acceptance present</x:v>
      </x:c>
      <x:c r="E2701" s="27" t="n">
        <x:f>IF('Interface Tests'!H56&lt;&gt;"",1,0)</x:f>
        <x:v>1</x:v>
      </x:c>
      <x:c r="F2701" s="27" t="n">
        <x:v>1</x:v>
      </x:c>
      <x:c r="G2701" s="29" t="str">
        <x:f>IF(E2701=F2701,"PASS","FAIL")</x:f>
        <x:v>PASS</x:v>
      </x:c>
    </x:row>
    <x:row r="2702" ht="18" customHeight="1">
      <x:c r="B2702" s="27" t="str">
        <x:v>A2696</x:v>
      </x:c>
      <x:c r="C2702" s="27" t="str">
        <x:v>interface</x:v>
      </x:c>
      <x:c r="D2702" s="27" t="str">
        <x:v>Interface row 56 evidence open</x:v>
      </x:c>
      <x:c r="E2702" s="27" t="n">
        <x:f>IF('Interface Tests'!J56="OPEN",1,0)</x:f>
        <x:v>1</x:v>
      </x:c>
      <x:c r="F2702" s="27" t="n">
        <x:v>1</x:v>
      </x:c>
      <x:c r="G2702" s="29" t="str">
        <x:f>IF(E2702=F2702,"PASS","FAIL")</x:f>
        <x:v>PASS</x:v>
      </x:c>
    </x:row>
    <x:row r="2703" ht="18" customHeight="1">
      <x:c r="B2703" s="27" t="str">
        <x:v>A2697</x:v>
      </x:c>
      <x:c r="C2703" s="27" t="str">
        <x:v>interface</x:v>
      </x:c>
      <x:c r="D2703" s="27" t="str">
        <x:v>Interface row 56 zero credit</x:v>
      </x:c>
      <x:c r="E2703" s="27" t="n">
        <x:f>IF('Interface Tests'!K56=0,1,0)</x:f>
        <x:v>1</x:v>
      </x:c>
      <x:c r="F2703" s="27" t="n">
        <x:v>1</x:v>
      </x:c>
      <x:c r="G2703" s="29" t="str">
        <x:f>IF(E2703=F2703,"PASS","FAIL")</x:f>
        <x:v>PASS</x:v>
      </x:c>
    </x:row>
    <x:row r="2704" ht="18" customHeight="1">
      <x:c r="B2704" s="27" t="str">
        <x:v>A2698</x:v>
      </x:c>
      <x:c r="C2704" s="27" t="str">
        <x:v>interface</x:v>
      </x:c>
      <x:c r="D2704" s="27" t="str">
        <x:v>Interface row 57 challenge present</x:v>
      </x:c>
      <x:c r="E2704" s="27" t="n">
        <x:f>IF('Interface Tests'!F57&lt;&gt;"",1,0)</x:f>
        <x:v>1</x:v>
      </x:c>
      <x:c r="F2704" s="27" t="n">
        <x:v>1</x:v>
      </x:c>
      <x:c r="G2704" s="29" t="str">
        <x:f>IF(E2704=F2704,"PASS","FAIL")</x:f>
        <x:v>PASS</x:v>
      </x:c>
    </x:row>
    <x:row r="2705" ht="18" customHeight="1">
      <x:c r="B2705" s="27" t="str">
        <x:v>A2699</x:v>
      </x:c>
      <x:c r="C2705" s="27" t="str">
        <x:v>interface</x:v>
      </x:c>
      <x:c r="D2705" s="27" t="str">
        <x:v>Interface row 57 acceptance present</x:v>
      </x:c>
      <x:c r="E2705" s="27" t="n">
        <x:f>IF('Interface Tests'!H57&lt;&gt;"",1,0)</x:f>
        <x:v>1</x:v>
      </x:c>
      <x:c r="F2705" s="27" t="n">
        <x:v>1</x:v>
      </x:c>
      <x:c r="G2705" s="29" t="str">
        <x:f>IF(E2705=F2705,"PASS","FAIL")</x:f>
        <x:v>PASS</x:v>
      </x:c>
    </x:row>
    <x:row r="2706" ht="18" customHeight="1">
      <x:c r="B2706" s="27" t="str">
        <x:v>A2700</x:v>
      </x:c>
      <x:c r="C2706" s="27" t="str">
        <x:v>interface</x:v>
      </x:c>
      <x:c r="D2706" s="27" t="str">
        <x:v>Interface row 57 evidence open</x:v>
      </x:c>
      <x:c r="E2706" s="27" t="n">
        <x:f>IF('Interface Tests'!J57="OPEN",1,0)</x:f>
        <x:v>1</x:v>
      </x:c>
      <x:c r="F2706" s="27" t="n">
        <x:v>1</x:v>
      </x:c>
      <x:c r="G2706" s="29" t="str">
        <x:f>IF(E2706=F2706,"PASS","FAIL")</x:f>
        <x:v>PASS</x:v>
      </x:c>
    </x:row>
    <x:row r="2707" ht="18" customHeight="1">
      <x:c r="B2707" s="27" t="str">
        <x:v>A2701</x:v>
      </x:c>
      <x:c r="C2707" s="27" t="str">
        <x:v>interface</x:v>
      </x:c>
      <x:c r="D2707" s="27" t="str">
        <x:v>Interface row 57 zero credit</x:v>
      </x:c>
      <x:c r="E2707" s="27" t="n">
        <x:f>IF('Interface Tests'!K57=0,1,0)</x:f>
        <x:v>1</x:v>
      </x:c>
      <x:c r="F2707" s="27" t="n">
        <x:v>1</x:v>
      </x:c>
      <x:c r="G2707" s="29" t="str">
        <x:f>IF(E2707=F2707,"PASS","FAIL")</x:f>
        <x:v>PASS</x:v>
      </x:c>
    </x:row>
    <x:row r="2708" ht="18" customHeight="1">
      <x:c r="B2708" s="27" t="str">
        <x:v>A2702</x:v>
      </x:c>
      <x:c r="C2708" s="27" t="str">
        <x:v>interface</x:v>
      </x:c>
      <x:c r="D2708" s="27" t="str">
        <x:v>Interface row 58 challenge present</x:v>
      </x:c>
      <x:c r="E2708" s="27" t="n">
        <x:f>IF('Interface Tests'!F58&lt;&gt;"",1,0)</x:f>
        <x:v>1</x:v>
      </x:c>
      <x:c r="F2708" s="27" t="n">
        <x:v>1</x:v>
      </x:c>
      <x:c r="G2708" s="29" t="str">
        <x:f>IF(E2708=F2708,"PASS","FAIL")</x:f>
        <x:v>PASS</x:v>
      </x:c>
    </x:row>
    <x:row r="2709" ht="18" customHeight="1">
      <x:c r="B2709" s="27" t="str">
        <x:v>A2703</x:v>
      </x:c>
      <x:c r="C2709" s="27" t="str">
        <x:v>interface</x:v>
      </x:c>
      <x:c r="D2709" s="27" t="str">
        <x:v>Interface row 58 acceptance present</x:v>
      </x:c>
      <x:c r="E2709" s="27" t="n">
        <x:f>IF('Interface Tests'!H58&lt;&gt;"",1,0)</x:f>
        <x:v>1</x:v>
      </x:c>
      <x:c r="F2709" s="27" t="n">
        <x:v>1</x:v>
      </x:c>
      <x:c r="G2709" s="29" t="str">
        <x:f>IF(E2709=F2709,"PASS","FAIL")</x:f>
        <x:v>PASS</x:v>
      </x:c>
    </x:row>
    <x:row r="2710" ht="18" customHeight="1">
      <x:c r="B2710" s="27" t="str">
        <x:v>A2704</x:v>
      </x:c>
      <x:c r="C2710" s="27" t="str">
        <x:v>interface</x:v>
      </x:c>
      <x:c r="D2710" s="27" t="str">
        <x:v>Interface row 58 evidence open</x:v>
      </x:c>
      <x:c r="E2710" s="27" t="n">
        <x:f>IF('Interface Tests'!J58="OPEN",1,0)</x:f>
        <x:v>1</x:v>
      </x:c>
      <x:c r="F2710" s="27" t="n">
        <x:v>1</x:v>
      </x:c>
      <x:c r="G2710" s="29" t="str">
        <x:f>IF(E2710=F2710,"PASS","FAIL")</x:f>
        <x:v>PASS</x:v>
      </x:c>
    </x:row>
    <x:row r="2711" ht="18" customHeight="1">
      <x:c r="B2711" s="27" t="str">
        <x:v>A2705</x:v>
      </x:c>
      <x:c r="C2711" s="27" t="str">
        <x:v>interface</x:v>
      </x:c>
      <x:c r="D2711" s="27" t="str">
        <x:v>Interface row 58 zero credit</x:v>
      </x:c>
      <x:c r="E2711" s="27" t="n">
        <x:f>IF('Interface Tests'!K58=0,1,0)</x:f>
        <x:v>1</x:v>
      </x:c>
      <x:c r="F2711" s="27" t="n">
        <x:v>1</x:v>
      </x:c>
      <x:c r="G2711" s="29" t="str">
        <x:f>IF(E2711=F2711,"PASS","FAIL")</x:f>
        <x:v>PASS</x:v>
      </x:c>
    </x:row>
    <x:row r="2712" ht="18" customHeight="1">
      <x:c r="B2712" s="27" t="str">
        <x:v>A2706</x:v>
      </x:c>
      <x:c r="C2712" s="27" t="str">
        <x:v>interface</x:v>
      </x:c>
      <x:c r="D2712" s="27" t="str">
        <x:v>Interface row 59 challenge present</x:v>
      </x:c>
      <x:c r="E2712" s="27" t="n">
        <x:f>IF('Interface Tests'!F59&lt;&gt;"",1,0)</x:f>
        <x:v>1</x:v>
      </x:c>
      <x:c r="F2712" s="27" t="n">
        <x:v>1</x:v>
      </x:c>
      <x:c r="G2712" s="29" t="str">
        <x:f>IF(E2712=F2712,"PASS","FAIL")</x:f>
        <x:v>PASS</x:v>
      </x:c>
    </x:row>
    <x:row r="2713" ht="18" customHeight="1">
      <x:c r="B2713" s="27" t="str">
        <x:v>A2707</x:v>
      </x:c>
      <x:c r="C2713" s="27" t="str">
        <x:v>interface</x:v>
      </x:c>
      <x:c r="D2713" s="27" t="str">
        <x:v>Interface row 59 acceptance present</x:v>
      </x:c>
      <x:c r="E2713" s="27" t="n">
        <x:f>IF('Interface Tests'!H59&lt;&gt;"",1,0)</x:f>
        <x:v>1</x:v>
      </x:c>
      <x:c r="F2713" s="27" t="n">
        <x:v>1</x:v>
      </x:c>
      <x:c r="G2713" s="29" t="str">
        <x:f>IF(E2713=F2713,"PASS","FAIL")</x:f>
        <x:v>PASS</x:v>
      </x:c>
    </x:row>
    <x:row r="2714" ht="18" customHeight="1">
      <x:c r="B2714" s="27" t="str">
        <x:v>A2708</x:v>
      </x:c>
      <x:c r="C2714" s="27" t="str">
        <x:v>interface</x:v>
      </x:c>
      <x:c r="D2714" s="27" t="str">
        <x:v>Interface row 59 evidence open</x:v>
      </x:c>
      <x:c r="E2714" s="27" t="n">
        <x:f>IF('Interface Tests'!J59="OPEN",1,0)</x:f>
        <x:v>1</x:v>
      </x:c>
      <x:c r="F2714" s="27" t="n">
        <x:v>1</x:v>
      </x:c>
      <x:c r="G2714" s="29" t="str">
        <x:f>IF(E2714=F2714,"PASS","FAIL")</x:f>
        <x:v>PASS</x:v>
      </x:c>
    </x:row>
    <x:row r="2715" ht="18" customHeight="1">
      <x:c r="B2715" s="27" t="str">
        <x:v>A2709</x:v>
      </x:c>
      <x:c r="C2715" s="27" t="str">
        <x:v>interface</x:v>
      </x:c>
      <x:c r="D2715" s="27" t="str">
        <x:v>Interface row 59 zero credit</x:v>
      </x:c>
      <x:c r="E2715" s="27" t="n">
        <x:f>IF('Interface Tests'!K59=0,1,0)</x:f>
        <x:v>1</x:v>
      </x:c>
      <x:c r="F2715" s="27" t="n">
        <x:v>1</x:v>
      </x:c>
      <x:c r="G2715" s="29" t="str">
        <x:f>IF(E2715=F2715,"PASS","FAIL")</x:f>
        <x:v>PASS</x:v>
      </x:c>
    </x:row>
    <x:row r="2716" ht="18" customHeight="1">
      <x:c r="B2716" s="27" t="str">
        <x:v>A2710</x:v>
      </x:c>
      <x:c r="C2716" s="27" t="str">
        <x:v>interface</x:v>
      </x:c>
      <x:c r="D2716" s="27" t="str">
        <x:v>Interface row 60 challenge present</x:v>
      </x:c>
      <x:c r="E2716" s="27" t="n">
        <x:f>IF('Interface Tests'!F60&lt;&gt;"",1,0)</x:f>
        <x:v>1</x:v>
      </x:c>
      <x:c r="F2716" s="27" t="n">
        <x:v>1</x:v>
      </x:c>
      <x:c r="G2716" s="29" t="str">
        <x:f>IF(E2716=F2716,"PASS","FAIL")</x:f>
        <x:v>PASS</x:v>
      </x:c>
    </x:row>
    <x:row r="2717" ht="18" customHeight="1">
      <x:c r="B2717" s="27" t="str">
        <x:v>A2711</x:v>
      </x:c>
      <x:c r="C2717" s="27" t="str">
        <x:v>interface</x:v>
      </x:c>
      <x:c r="D2717" s="27" t="str">
        <x:v>Interface row 60 acceptance present</x:v>
      </x:c>
      <x:c r="E2717" s="27" t="n">
        <x:f>IF('Interface Tests'!H60&lt;&gt;"",1,0)</x:f>
        <x:v>1</x:v>
      </x:c>
      <x:c r="F2717" s="27" t="n">
        <x:v>1</x:v>
      </x:c>
      <x:c r="G2717" s="29" t="str">
        <x:f>IF(E2717=F2717,"PASS","FAIL")</x:f>
        <x:v>PASS</x:v>
      </x:c>
    </x:row>
    <x:row r="2718" ht="18" customHeight="1">
      <x:c r="B2718" s="27" t="str">
        <x:v>A2712</x:v>
      </x:c>
      <x:c r="C2718" s="27" t="str">
        <x:v>interface</x:v>
      </x:c>
      <x:c r="D2718" s="27" t="str">
        <x:v>Interface row 60 evidence open</x:v>
      </x:c>
      <x:c r="E2718" s="27" t="n">
        <x:f>IF('Interface Tests'!J60="OPEN",1,0)</x:f>
        <x:v>1</x:v>
      </x:c>
      <x:c r="F2718" s="27" t="n">
        <x:v>1</x:v>
      </x:c>
      <x:c r="G2718" s="29" t="str">
        <x:f>IF(E2718=F2718,"PASS","FAIL")</x:f>
        <x:v>PASS</x:v>
      </x:c>
    </x:row>
    <x:row r="2719" ht="18" customHeight="1">
      <x:c r="B2719" s="27" t="str">
        <x:v>A2713</x:v>
      </x:c>
      <x:c r="C2719" s="27" t="str">
        <x:v>interface</x:v>
      </x:c>
      <x:c r="D2719" s="27" t="str">
        <x:v>Interface row 60 zero credit</x:v>
      </x:c>
      <x:c r="E2719" s="27" t="n">
        <x:f>IF('Interface Tests'!K60=0,1,0)</x:f>
        <x:v>1</x:v>
      </x:c>
      <x:c r="F2719" s="27" t="n">
        <x:v>1</x:v>
      </x:c>
      <x:c r="G2719" s="29" t="str">
        <x:f>IF(E2719=F2719,"PASS","FAIL")</x:f>
        <x:v>PASS</x:v>
      </x:c>
    </x:row>
    <x:row r="2720" ht="18" customHeight="1">
      <x:c r="B2720" s="27" t="str">
        <x:v>A2714</x:v>
      </x:c>
      <x:c r="C2720" s="27" t="str">
        <x:v>interface</x:v>
      </x:c>
      <x:c r="D2720" s="27" t="str">
        <x:v>Interface row 61 challenge present</x:v>
      </x:c>
      <x:c r="E2720" s="27" t="n">
        <x:f>IF('Interface Tests'!F61&lt;&gt;"",1,0)</x:f>
        <x:v>1</x:v>
      </x:c>
      <x:c r="F2720" s="27" t="n">
        <x:v>1</x:v>
      </x:c>
      <x:c r="G2720" s="29" t="str">
        <x:f>IF(E2720=F2720,"PASS","FAIL")</x:f>
        <x:v>PASS</x:v>
      </x:c>
    </x:row>
    <x:row r="2721" ht="18" customHeight="1">
      <x:c r="B2721" s="27" t="str">
        <x:v>A2715</x:v>
      </x:c>
      <x:c r="C2721" s="27" t="str">
        <x:v>interface</x:v>
      </x:c>
      <x:c r="D2721" s="27" t="str">
        <x:v>Interface row 61 acceptance present</x:v>
      </x:c>
      <x:c r="E2721" s="27" t="n">
        <x:f>IF('Interface Tests'!H61&lt;&gt;"",1,0)</x:f>
        <x:v>1</x:v>
      </x:c>
      <x:c r="F2721" s="27" t="n">
        <x:v>1</x:v>
      </x:c>
      <x:c r="G2721" s="29" t="str">
        <x:f>IF(E2721=F2721,"PASS","FAIL")</x:f>
        <x:v>PASS</x:v>
      </x:c>
    </x:row>
    <x:row r="2722" ht="18" customHeight="1">
      <x:c r="B2722" s="27" t="str">
        <x:v>A2716</x:v>
      </x:c>
      <x:c r="C2722" s="27" t="str">
        <x:v>interface</x:v>
      </x:c>
      <x:c r="D2722" s="27" t="str">
        <x:v>Interface row 61 evidence open</x:v>
      </x:c>
      <x:c r="E2722" s="27" t="n">
        <x:f>IF('Interface Tests'!J61="OPEN",1,0)</x:f>
        <x:v>1</x:v>
      </x:c>
      <x:c r="F2722" s="27" t="n">
        <x:v>1</x:v>
      </x:c>
      <x:c r="G2722" s="29" t="str">
        <x:f>IF(E2722=F2722,"PASS","FAIL")</x:f>
        <x:v>PASS</x:v>
      </x:c>
    </x:row>
    <x:row r="2723" ht="18" customHeight="1">
      <x:c r="B2723" s="27" t="str">
        <x:v>A2717</x:v>
      </x:c>
      <x:c r="C2723" s="27" t="str">
        <x:v>interface</x:v>
      </x:c>
      <x:c r="D2723" s="27" t="str">
        <x:v>Interface row 61 zero credit</x:v>
      </x:c>
      <x:c r="E2723" s="27" t="n">
        <x:f>IF('Interface Tests'!K61=0,1,0)</x:f>
        <x:v>1</x:v>
      </x:c>
      <x:c r="F2723" s="27" t="n">
        <x:v>1</x:v>
      </x:c>
      <x:c r="G2723" s="29" t="str">
        <x:f>IF(E2723=F2723,"PASS","FAIL")</x:f>
        <x:v>PASS</x:v>
      </x:c>
    </x:row>
    <x:row r="2724" ht="18" customHeight="1">
      <x:c r="B2724" s="27" t="str">
        <x:v>A2718</x:v>
      </x:c>
      <x:c r="C2724" s="27" t="str">
        <x:v>interface</x:v>
      </x:c>
      <x:c r="D2724" s="27" t="str">
        <x:v>Interface row 62 challenge present</x:v>
      </x:c>
      <x:c r="E2724" s="27" t="n">
        <x:f>IF('Interface Tests'!F62&lt;&gt;"",1,0)</x:f>
        <x:v>1</x:v>
      </x:c>
      <x:c r="F2724" s="27" t="n">
        <x:v>1</x:v>
      </x:c>
      <x:c r="G2724" s="29" t="str">
        <x:f>IF(E2724=F2724,"PASS","FAIL")</x:f>
        <x:v>PASS</x:v>
      </x:c>
    </x:row>
    <x:row r="2725" ht="18" customHeight="1">
      <x:c r="B2725" s="27" t="str">
        <x:v>A2719</x:v>
      </x:c>
      <x:c r="C2725" s="27" t="str">
        <x:v>interface</x:v>
      </x:c>
      <x:c r="D2725" s="27" t="str">
        <x:v>Interface row 62 acceptance present</x:v>
      </x:c>
      <x:c r="E2725" s="27" t="n">
        <x:f>IF('Interface Tests'!H62&lt;&gt;"",1,0)</x:f>
        <x:v>1</x:v>
      </x:c>
      <x:c r="F2725" s="27" t="n">
        <x:v>1</x:v>
      </x:c>
      <x:c r="G2725" s="29" t="str">
        <x:f>IF(E2725=F2725,"PASS","FAIL")</x:f>
        <x:v>PASS</x:v>
      </x:c>
    </x:row>
    <x:row r="2726" ht="18" customHeight="1">
      <x:c r="B2726" s="27" t="str">
        <x:v>A2720</x:v>
      </x:c>
      <x:c r="C2726" s="27" t="str">
        <x:v>interface</x:v>
      </x:c>
      <x:c r="D2726" s="27" t="str">
        <x:v>Interface row 62 evidence open</x:v>
      </x:c>
      <x:c r="E2726" s="27" t="n">
        <x:f>IF('Interface Tests'!J62="OPEN",1,0)</x:f>
        <x:v>1</x:v>
      </x:c>
      <x:c r="F2726" s="27" t="n">
        <x:v>1</x:v>
      </x:c>
      <x:c r="G2726" s="29" t="str">
        <x:f>IF(E2726=F2726,"PASS","FAIL")</x:f>
        <x:v>PASS</x:v>
      </x:c>
    </x:row>
    <x:row r="2727" ht="18" customHeight="1">
      <x:c r="B2727" s="27" t="str">
        <x:v>A2721</x:v>
      </x:c>
      <x:c r="C2727" s="27" t="str">
        <x:v>interface</x:v>
      </x:c>
      <x:c r="D2727" s="27" t="str">
        <x:v>Interface row 62 zero credit</x:v>
      </x:c>
      <x:c r="E2727" s="27" t="n">
        <x:f>IF('Interface Tests'!K62=0,1,0)</x:f>
        <x:v>1</x:v>
      </x:c>
      <x:c r="F2727" s="27" t="n">
        <x:v>1</x:v>
      </x:c>
      <x:c r="G2727" s="29" t="str">
        <x:f>IF(E2727=F2727,"PASS","FAIL")</x:f>
        <x:v>PASS</x:v>
      </x:c>
    </x:row>
    <x:row r="2728" ht="18" customHeight="1">
      <x:c r="B2728" s="27" t="str">
        <x:v>A2722</x:v>
      </x:c>
      <x:c r="C2728" s="27" t="str">
        <x:v>interface</x:v>
      </x:c>
      <x:c r="D2728" s="27" t="str">
        <x:v>Interface row 63 challenge present</x:v>
      </x:c>
      <x:c r="E2728" s="27" t="n">
        <x:f>IF('Interface Tests'!F63&lt;&gt;"",1,0)</x:f>
        <x:v>1</x:v>
      </x:c>
      <x:c r="F2728" s="27" t="n">
        <x:v>1</x:v>
      </x:c>
      <x:c r="G2728" s="29" t="str">
        <x:f>IF(E2728=F2728,"PASS","FAIL")</x:f>
        <x:v>PASS</x:v>
      </x:c>
    </x:row>
    <x:row r="2729" ht="18" customHeight="1">
      <x:c r="B2729" s="27" t="str">
        <x:v>A2723</x:v>
      </x:c>
      <x:c r="C2729" s="27" t="str">
        <x:v>interface</x:v>
      </x:c>
      <x:c r="D2729" s="27" t="str">
        <x:v>Interface row 63 acceptance present</x:v>
      </x:c>
      <x:c r="E2729" s="27" t="n">
        <x:f>IF('Interface Tests'!H63&lt;&gt;"",1,0)</x:f>
        <x:v>1</x:v>
      </x:c>
      <x:c r="F2729" s="27" t="n">
        <x:v>1</x:v>
      </x:c>
      <x:c r="G2729" s="29" t="str">
        <x:f>IF(E2729=F2729,"PASS","FAIL")</x:f>
        <x:v>PASS</x:v>
      </x:c>
    </x:row>
    <x:row r="2730" ht="18" customHeight="1">
      <x:c r="B2730" s="27" t="str">
        <x:v>A2724</x:v>
      </x:c>
      <x:c r="C2730" s="27" t="str">
        <x:v>interface</x:v>
      </x:c>
      <x:c r="D2730" s="27" t="str">
        <x:v>Interface row 63 evidence open</x:v>
      </x:c>
      <x:c r="E2730" s="27" t="n">
        <x:f>IF('Interface Tests'!J63="OPEN",1,0)</x:f>
        <x:v>1</x:v>
      </x:c>
      <x:c r="F2730" s="27" t="n">
        <x:v>1</x:v>
      </x:c>
      <x:c r="G2730" s="29" t="str">
        <x:f>IF(E2730=F2730,"PASS","FAIL")</x:f>
        <x:v>PASS</x:v>
      </x:c>
    </x:row>
    <x:row r="2731" ht="18" customHeight="1">
      <x:c r="B2731" s="27" t="str">
        <x:v>A2725</x:v>
      </x:c>
      <x:c r="C2731" s="27" t="str">
        <x:v>interface</x:v>
      </x:c>
      <x:c r="D2731" s="27" t="str">
        <x:v>Interface row 63 zero credit</x:v>
      </x:c>
      <x:c r="E2731" s="27" t="n">
        <x:f>IF('Interface Tests'!K63=0,1,0)</x:f>
        <x:v>1</x:v>
      </x:c>
      <x:c r="F2731" s="27" t="n">
        <x:v>1</x:v>
      </x:c>
      <x:c r="G2731" s="29" t="str">
        <x:f>IF(E2731=F2731,"PASS","FAIL")</x:f>
        <x:v>PASS</x:v>
      </x:c>
    </x:row>
    <x:row r="2732" ht="18" customHeight="1">
      <x:c r="B2732" s="27" t="str">
        <x:v>A2726</x:v>
      </x:c>
      <x:c r="C2732" s="27" t="str">
        <x:v>interface</x:v>
      </x:c>
      <x:c r="D2732" s="27" t="str">
        <x:v>Interface row 64 challenge present</x:v>
      </x:c>
      <x:c r="E2732" s="27" t="n">
        <x:f>IF('Interface Tests'!F64&lt;&gt;"",1,0)</x:f>
        <x:v>1</x:v>
      </x:c>
      <x:c r="F2732" s="27" t="n">
        <x:v>1</x:v>
      </x:c>
      <x:c r="G2732" s="29" t="str">
        <x:f>IF(E2732=F2732,"PASS","FAIL")</x:f>
        <x:v>PASS</x:v>
      </x:c>
    </x:row>
    <x:row r="2733" ht="18" customHeight="1">
      <x:c r="B2733" s="27" t="str">
        <x:v>A2727</x:v>
      </x:c>
      <x:c r="C2733" s="27" t="str">
        <x:v>interface</x:v>
      </x:c>
      <x:c r="D2733" s="27" t="str">
        <x:v>Interface row 64 acceptance present</x:v>
      </x:c>
      <x:c r="E2733" s="27" t="n">
        <x:f>IF('Interface Tests'!H64&lt;&gt;"",1,0)</x:f>
        <x:v>1</x:v>
      </x:c>
      <x:c r="F2733" s="27" t="n">
        <x:v>1</x:v>
      </x:c>
      <x:c r="G2733" s="29" t="str">
        <x:f>IF(E2733=F2733,"PASS","FAIL")</x:f>
        <x:v>PASS</x:v>
      </x:c>
    </x:row>
    <x:row r="2734" ht="18" customHeight="1">
      <x:c r="B2734" s="27" t="str">
        <x:v>A2728</x:v>
      </x:c>
      <x:c r="C2734" s="27" t="str">
        <x:v>interface</x:v>
      </x:c>
      <x:c r="D2734" s="27" t="str">
        <x:v>Interface row 64 evidence open</x:v>
      </x:c>
      <x:c r="E2734" s="27" t="n">
        <x:f>IF('Interface Tests'!J64="OPEN",1,0)</x:f>
        <x:v>1</x:v>
      </x:c>
      <x:c r="F2734" s="27" t="n">
        <x:v>1</x:v>
      </x:c>
      <x:c r="G2734" s="29" t="str">
        <x:f>IF(E2734=F2734,"PASS","FAIL")</x:f>
        <x:v>PASS</x:v>
      </x:c>
    </x:row>
    <x:row r="2735" ht="18" customHeight="1">
      <x:c r="B2735" s="27" t="str">
        <x:v>A2729</x:v>
      </x:c>
      <x:c r="C2735" s="27" t="str">
        <x:v>interface</x:v>
      </x:c>
      <x:c r="D2735" s="27" t="str">
        <x:v>Interface row 64 zero credit</x:v>
      </x:c>
      <x:c r="E2735" s="27" t="n">
        <x:f>IF('Interface Tests'!K64=0,1,0)</x:f>
        <x:v>1</x:v>
      </x:c>
      <x:c r="F2735" s="27" t="n">
        <x:v>1</x:v>
      </x:c>
      <x:c r="G2735" s="29" t="str">
        <x:f>IF(E2735=F2735,"PASS","FAIL")</x:f>
        <x:v>PASS</x:v>
      </x:c>
    </x:row>
    <x:row r="2736" ht="18" customHeight="1">
      <x:c r="B2736" s="27" t="str">
        <x:v>A2730</x:v>
      </x:c>
      <x:c r="C2736" s="27" t="str">
        <x:v>interface</x:v>
      </x:c>
      <x:c r="D2736" s="27" t="str">
        <x:v>Interface row 65 challenge present</x:v>
      </x:c>
      <x:c r="E2736" s="27" t="n">
        <x:f>IF('Interface Tests'!F65&lt;&gt;"",1,0)</x:f>
        <x:v>1</x:v>
      </x:c>
      <x:c r="F2736" s="27" t="n">
        <x:v>1</x:v>
      </x:c>
      <x:c r="G2736" s="29" t="str">
        <x:f>IF(E2736=F2736,"PASS","FAIL")</x:f>
        <x:v>PASS</x:v>
      </x:c>
    </x:row>
    <x:row r="2737" ht="18" customHeight="1">
      <x:c r="B2737" s="27" t="str">
        <x:v>A2731</x:v>
      </x:c>
      <x:c r="C2737" s="27" t="str">
        <x:v>interface</x:v>
      </x:c>
      <x:c r="D2737" s="27" t="str">
        <x:v>Interface row 65 acceptance present</x:v>
      </x:c>
      <x:c r="E2737" s="27" t="n">
        <x:f>IF('Interface Tests'!H65&lt;&gt;"",1,0)</x:f>
        <x:v>1</x:v>
      </x:c>
      <x:c r="F2737" s="27" t="n">
        <x:v>1</x:v>
      </x:c>
      <x:c r="G2737" s="29" t="str">
        <x:f>IF(E2737=F2737,"PASS","FAIL")</x:f>
        <x:v>PASS</x:v>
      </x:c>
    </x:row>
    <x:row r="2738" ht="18" customHeight="1">
      <x:c r="B2738" s="27" t="str">
        <x:v>A2732</x:v>
      </x:c>
      <x:c r="C2738" s="27" t="str">
        <x:v>interface</x:v>
      </x:c>
      <x:c r="D2738" s="27" t="str">
        <x:v>Interface row 65 evidence open</x:v>
      </x:c>
      <x:c r="E2738" s="27" t="n">
        <x:f>IF('Interface Tests'!J65="OPEN",1,0)</x:f>
        <x:v>1</x:v>
      </x:c>
      <x:c r="F2738" s="27" t="n">
        <x:v>1</x:v>
      </x:c>
      <x:c r="G2738" s="29" t="str">
        <x:f>IF(E2738=F2738,"PASS","FAIL")</x:f>
        <x:v>PASS</x:v>
      </x:c>
    </x:row>
    <x:row r="2739" ht="18" customHeight="1">
      <x:c r="B2739" s="27" t="str">
        <x:v>A2733</x:v>
      </x:c>
      <x:c r="C2739" s="27" t="str">
        <x:v>interface</x:v>
      </x:c>
      <x:c r="D2739" s="27" t="str">
        <x:v>Interface row 65 zero credit</x:v>
      </x:c>
      <x:c r="E2739" s="27" t="n">
        <x:f>IF('Interface Tests'!K65=0,1,0)</x:f>
        <x:v>1</x:v>
      </x:c>
      <x:c r="F2739" s="27" t="n">
        <x:v>1</x:v>
      </x:c>
      <x:c r="G2739" s="29" t="str">
        <x:f>IF(E2739=F2739,"PASS","FAIL")</x:f>
        <x:v>PASS</x:v>
      </x:c>
    </x:row>
    <x:row r="2740" ht="18" customHeight="1">
      <x:c r="B2740" s="27" t="str">
        <x:v>A2734</x:v>
      </x:c>
      <x:c r="C2740" s="27" t="str">
        <x:v>interface</x:v>
      </x:c>
      <x:c r="D2740" s="27" t="str">
        <x:v>Interface row 66 challenge present</x:v>
      </x:c>
      <x:c r="E2740" s="27" t="n">
        <x:f>IF('Interface Tests'!F66&lt;&gt;"",1,0)</x:f>
        <x:v>1</x:v>
      </x:c>
      <x:c r="F2740" s="27" t="n">
        <x:v>1</x:v>
      </x:c>
      <x:c r="G2740" s="29" t="str">
        <x:f>IF(E2740=F2740,"PASS","FAIL")</x:f>
        <x:v>PASS</x:v>
      </x:c>
    </x:row>
    <x:row r="2741" ht="18" customHeight="1">
      <x:c r="B2741" s="27" t="str">
        <x:v>A2735</x:v>
      </x:c>
      <x:c r="C2741" s="27" t="str">
        <x:v>interface</x:v>
      </x:c>
      <x:c r="D2741" s="27" t="str">
        <x:v>Interface row 66 acceptance present</x:v>
      </x:c>
      <x:c r="E2741" s="27" t="n">
        <x:f>IF('Interface Tests'!H66&lt;&gt;"",1,0)</x:f>
        <x:v>1</x:v>
      </x:c>
      <x:c r="F2741" s="27" t="n">
        <x:v>1</x:v>
      </x:c>
      <x:c r="G2741" s="29" t="str">
        <x:f>IF(E2741=F2741,"PASS","FAIL")</x:f>
        <x:v>PASS</x:v>
      </x:c>
    </x:row>
    <x:row r="2742" ht="18" customHeight="1">
      <x:c r="B2742" s="27" t="str">
        <x:v>A2736</x:v>
      </x:c>
      <x:c r="C2742" s="27" t="str">
        <x:v>interface</x:v>
      </x:c>
      <x:c r="D2742" s="27" t="str">
        <x:v>Interface row 66 evidence open</x:v>
      </x:c>
      <x:c r="E2742" s="27" t="n">
        <x:f>IF('Interface Tests'!J66="OPEN",1,0)</x:f>
        <x:v>1</x:v>
      </x:c>
      <x:c r="F2742" s="27" t="n">
        <x:v>1</x:v>
      </x:c>
      <x:c r="G2742" s="29" t="str">
        <x:f>IF(E2742=F2742,"PASS","FAIL")</x:f>
        <x:v>PASS</x:v>
      </x:c>
    </x:row>
    <x:row r="2743" ht="18" customHeight="1">
      <x:c r="B2743" s="27" t="str">
        <x:v>A2737</x:v>
      </x:c>
      <x:c r="C2743" s="27" t="str">
        <x:v>interface</x:v>
      </x:c>
      <x:c r="D2743" s="27" t="str">
        <x:v>Interface row 66 zero credit</x:v>
      </x:c>
      <x:c r="E2743" s="27" t="n">
        <x:f>IF('Interface Tests'!K66=0,1,0)</x:f>
        <x:v>1</x:v>
      </x:c>
      <x:c r="F2743" s="27" t="n">
        <x:v>1</x:v>
      </x:c>
      <x:c r="G2743" s="29" t="str">
        <x:f>IF(E2743=F2743,"PASS","FAIL")</x:f>
        <x:v>PASS</x:v>
      </x:c>
    </x:row>
    <x:row r="2744" ht="18" customHeight="1">
      <x:c r="B2744" s="27" t="str">
        <x:v>A2738</x:v>
      </x:c>
      <x:c r="C2744" s="27" t="str">
        <x:v>interface</x:v>
      </x:c>
      <x:c r="D2744" s="27" t="str">
        <x:v>Interface row 67 challenge present</x:v>
      </x:c>
      <x:c r="E2744" s="27" t="n">
        <x:f>IF('Interface Tests'!F67&lt;&gt;"",1,0)</x:f>
        <x:v>1</x:v>
      </x:c>
      <x:c r="F2744" s="27" t="n">
        <x:v>1</x:v>
      </x:c>
      <x:c r="G2744" s="29" t="str">
        <x:f>IF(E2744=F2744,"PASS","FAIL")</x:f>
        <x:v>PASS</x:v>
      </x:c>
    </x:row>
    <x:row r="2745" ht="18" customHeight="1">
      <x:c r="B2745" s="27" t="str">
        <x:v>A2739</x:v>
      </x:c>
      <x:c r="C2745" s="27" t="str">
        <x:v>interface</x:v>
      </x:c>
      <x:c r="D2745" s="27" t="str">
        <x:v>Interface row 67 acceptance present</x:v>
      </x:c>
      <x:c r="E2745" s="27" t="n">
        <x:f>IF('Interface Tests'!H67&lt;&gt;"",1,0)</x:f>
        <x:v>1</x:v>
      </x:c>
      <x:c r="F2745" s="27" t="n">
        <x:v>1</x:v>
      </x:c>
      <x:c r="G2745" s="29" t="str">
        <x:f>IF(E2745=F2745,"PASS","FAIL")</x:f>
        <x:v>PASS</x:v>
      </x:c>
    </x:row>
    <x:row r="2746" ht="18" customHeight="1">
      <x:c r="B2746" s="27" t="str">
        <x:v>A2740</x:v>
      </x:c>
      <x:c r="C2746" s="27" t="str">
        <x:v>interface</x:v>
      </x:c>
      <x:c r="D2746" s="27" t="str">
        <x:v>Interface row 67 evidence open</x:v>
      </x:c>
      <x:c r="E2746" s="27" t="n">
        <x:f>IF('Interface Tests'!J67="OPEN",1,0)</x:f>
        <x:v>1</x:v>
      </x:c>
      <x:c r="F2746" s="27" t="n">
        <x:v>1</x:v>
      </x:c>
      <x:c r="G2746" s="29" t="str">
        <x:f>IF(E2746=F2746,"PASS","FAIL")</x:f>
        <x:v>PASS</x:v>
      </x:c>
    </x:row>
    <x:row r="2747" ht="18" customHeight="1">
      <x:c r="B2747" s="27" t="str">
        <x:v>A2741</x:v>
      </x:c>
      <x:c r="C2747" s="27" t="str">
        <x:v>interface</x:v>
      </x:c>
      <x:c r="D2747" s="27" t="str">
        <x:v>Interface row 67 zero credit</x:v>
      </x:c>
      <x:c r="E2747" s="27" t="n">
        <x:f>IF('Interface Tests'!K67=0,1,0)</x:f>
        <x:v>1</x:v>
      </x:c>
      <x:c r="F2747" s="27" t="n">
        <x:v>1</x:v>
      </x:c>
      <x:c r="G2747" s="29" t="str">
        <x:f>IF(E2747=F2747,"PASS","FAIL")</x:f>
        <x:v>PASS</x:v>
      </x:c>
    </x:row>
    <x:row r="2748" ht="18" customHeight="1">
      <x:c r="B2748" s="27" t="str">
        <x:v>A2742</x:v>
      </x:c>
      <x:c r="C2748" s="27" t="str">
        <x:v>interface</x:v>
      </x:c>
      <x:c r="D2748" s="27" t="str">
        <x:v>Interface row 68 challenge present</x:v>
      </x:c>
      <x:c r="E2748" s="27" t="n">
        <x:f>IF('Interface Tests'!F68&lt;&gt;"",1,0)</x:f>
        <x:v>1</x:v>
      </x:c>
      <x:c r="F2748" s="27" t="n">
        <x:v>1</x:v>
      </x:c>
      <x:c r="G2748" s="29" t="str">
        <x:f>IF(E2748=F2748,"PASS","FAIL")</x:f>
        <x:v>PASS</x:v>
      </x:c>
    </x:row>
    <x:row r="2749" ht="18" customHeight="1">
      <x:c r="B2749" s="27" t="str">
        <x:v>A2743</x:v>
      </x:c>
      <x:c r="C2749" s="27" t="str">
        <x:v>interface</x:v>
      </x:c>
      <x:c r="D2749" s="27" t="str">
        <x:v>Interface row 68 acceptance present</x:v>
      </x:c>
      <x:c r="E2749" s="27" t="n">
        <x:f>IF('Interface Tests'!H68&lt;&gt;"",1,0)</x:f>
        <x:v>1</x:v>
      </x:c>
      <x:c r="F2749" s="27" t="n">
        <x:v>1</x:v>
      </x:c>
      <x:c r="G2749" s="29" t="str">
        <x:f>IF(E2749=F2749,"PASS","FAIL")</x:f>
        <x:v>PASS</x:v>
      </x:c>
    </x:row>
    <x:row r="2750" ht="18" customHeight="1">
      <x:c r="B2750" s="27" t="str">
        <x:v>A2744</x:v>
      </x:c>
      <x:c r="C2750" s="27" t="str">
        <x:v>interface</x:v>
      </x:c>
      <x:c r="D2750" s="27" t="str">
        <x:v>Interface row 68 evidence open</x:v>
      </x:c>
      <x:c r="E2750" s="27" t="n">
        <x:f>IF('Interface Tests'!J68="OPEN",1,0)</x:f>
        <x:v>1</x:v>
      </x:c>
      <x:c r="F2750" s="27" t="n">
        <x:v>1</x:v>
      </x:c>
      <x:c r="G2750" s="29" t="str">
        <x:f>IF(E2750=F2750,"PASS","FAIL")</x:f>
        <x:v>PASS</x:v>
      </x:c>
    </x:row>
    <x:row r="2751" ht="18" customHeight="1">
      <x:c r="B2751" s="27" t="str">
        <x:v>A2745</x:v>
      </x:c>
      <x:c r="C2751" s="27" t="str">
        <x:v>interface</x:v>
      </x:c>
      <x:c r="D2751" s="27" t="str">
        <x:v>Interface row 68 zero credit</x:v>
      </x:c>
      <x:c r="E2751" s="27" t="n">
        <x:f>IF('Interface Tests'!K68=0,1,0)</x:f>
        <x:v>1</x:v>
      </x:c>
      <x:c r="F2751" s="27" t="n">
        <x:v>1</x:v>
      </x:c>
      <x:c r="G2751" s="29" t="str">
        <x:f>IF(E2751=F2751,"PASS","FAIL")</x:f>
        <x:v>PASS</x:v>
      </x:c>
    </x:row>
    <x:row r="2752" ht="18" customHeight="1">
      <x:c r="B2752" s="27" t="str">
        <x:v>A2746</x:v>
      </x:c>
      <x:c r="C2752" s="27" t="str">
        <x:v>interface</x:v>
      </x:c>
      <x:c r="D2752" s="27" t="str">
        <x:v>Interface row 69 challenge present</x:v>
      </x:c>
      <x:c r="E2752" s="27" t="n">
        <x:f>IF('Interface Tests'!F69&lt;&gt;"",1,0)</x:f>
        <x:v>1</x:v>
      </x:c>
      <x:c r="F2752" s="27" t="n">
        <x:v>1</x:v>
      </x:c>
      <x:c r="G2752" s="29" t="str">
        <x:f>IF(E2752=F2752,"PASS","FAIL")</x:f>
        <x:v>PASS</x:v>
      </x:c>
    </x:row>
    <x:row r="2753" ht="18" customHeight="1">
      <x:c r="B2753" s="27" t="str">
        <x:v>A2747</x:v>
      </x:c>
      <x:c r="C2753" s="27" t="str">
        <x:v>interface</x:v>
      </x:c>
      <x:c r="D2753" s="27" t="str">
        <x:v>Interface row 69 acceptance present</x:v>
      </x:c>
      <x:c r="E2753" s="27" t="n">
        <x:f>IF('Interface Tests'!H69&lt;&gt;"",1,0)</x:f>
        <x:v>1</x:v>
      </x:c>
      <x:c r="F2753" s="27" t="n">
        <x:v>1</x:v>
      </x:c>
      <x:c r="G2753" s="29" t="str">
        <x:f>IF(E2753=F2753,"PASS","FAIL")</x:f>
        <x:v>PASS</x:v>
      </x:c>
    </x:row>
    <x:row r="2754" ht="18" customHeight="1">
      <x:c r="B2754" s="27" t="str">
        <x:v>A2748</x:v>
      </x:c>
      <x:c r="C2754" s="27" t="str">
        <x:v>interface</x:v>
      </x:c>
      <x:c r="D2754" s="27" t="str">
        <x:v>Interface row 69 evidence open</x:v>
      </x:c>
      <x:c r="E2754" s="27" t="n">
        <x:f>IF('Interface Tests'!J69="OPEN",1,0)</x:f>
        <x:v>1</x:v>
      </x:c>
      <x:c r="F2754" s="27" t="n">
        <x:v>1</x:v>
      </x:c>
      <x:c r="G2754" s="29" t="str">
        <x:f>IF(E2754=F2754,"PASS","FAIL")</x:f>
        <x:v>PASS</x:v>
      </x:c>
    </x:row>
    <x:row r="2755" ht="18" customHeight="1">
      <x:c r="B2755" s="27" t="str">
        <x:v>A2749</x:v>
      </x:c>
      <x:c r="C2755" s="27" t="str">
        <x:v>interface</x:v>
      </x:c>
      <x:c r="D2755" s="27" t="str">
        <x:v>Interface row 69 zero credit</x:v>
      </x:c>
      <x:c r="E2755" s="27" t="n">
        <x:f>IF('Interface Tests'!K69=0,1,0)</x:f>
        <x:v>1</x:v>
      </x:c>
      <x:c r="F2755" s="27" t="n">
        <x:v>1</x:v>
      </x:c>
      <x:c r="G2755" s="29" t="str">
        <x:f>IF(E2755=F2755,"PASS","FAIL")</x:f>
        <x:v>PASS</x:v>
      </x:c>
    </x:row>
    <x:row r="2756" ht="18" customHeight="1">
      <x:c r="B2756" s="27" t="str">
        <x:v>A2750</x:v>
      </x:c>
      <x:c r="C2756" s="27" t="str">
        <x:v>interface</x:v>
      </x:c>
      <x:c r="D2756" s="27" t="str">
        <x:v>Interface row 70 challenge present</x:v>
      </x:c>
      <x:c r="E2756" s="27" t="n">
        <x:f>IF('Interface Tests'!F70&lt;&gt;"",1,0)</x:f>
        <x:v>1</x:v>
      </x:c>
      <x:c r="F2756" s="27" t="n">
        <x:v>1</x:v>
      </x:c>
      <x:c r="G2756" s="29" t="str">
        <x:f>IF(E2756=F2756,"PASS","FAIL")</x:f>
        <x:v>PASS</x:v>
      </x:c>
    </x:row>
    <x:row r="2757" ht="18" customHeight="1">
      <x:c r="B2757" s="27" t="str">
        <x:v>A2751</x:v>
      </x:c>
      <x:c r="C2757" s="27" t="str">
        <x:v>interface</x:v>
      </x:c>
      <x:c r="D2757" s="27" t="str">
        <x:v>Interface row 70 acceptance present</x:v>
      </x:c>
      <x:c r="E2757" s="27" t="n">
        <x:f>IF('Interface Tests'!H70&lt;&gt;"",1,0)</x:f>
        <x:v>1</x:v>
      </x:c>
      <x:c r="F2757" s="27" t="n">
        <x:v>1</x:v>
      </x:c>
      <x:c r="G2757" s="29" t="str">
        <x:f>IF(E2757=F2757,"PASS","FAIL")</x:f>
        <x:v>PASS</x:v>
      </x:c>
    </x:row>
    <x:row r="2758" ht="18" customHeight="1">
      <x:c r="B2758" s="27" t="str">
        <x:v>A2752</x:v>
      </x:c>
      <x:c r="C2758" s="27" t="str">
        <x:v>interface</x:v>
      </x:c>
      <x:c r="D2758" s="27" t="str">
        <x:v>Interface row 70 evidence open</x:v>
      </x:c>
      <x:c r="E2758" s="27" t="n">
        <x:f>IF('Interface Tests'!J70="OPEN",1,0)</x:f>
        <x:v>1</x:v>
      </x:c>
      <x:c r="F2758" s="27" t="n">
        <x:v>1</x:v>
      </x:c>
      <x:c r="G2758" s="29" t="str">
        <x:f>IF(E2758=F2758,"PASS","FAIL")</x:f>
        <x:v>PASS</x:v>
      </x:c>
    </x:row>
    <x:row r="2759" ht="18" customHeight="1">
      <x:c r="B2759" s="27" t="str">
        <x:v>A2753</x:v>
      </x:c>
      <x:c r="C2759" s="27" t="str">
        <x:v>interface</x:v>
      </x:c>
      <x:c r="D2759" s="27" t="str">
        <x:v>Interface row 70 zero credit</x:v>
      </x:c>
      <x:c r="E2759" s="27" t="n">
        <x:f>IF('Interface Tests'!K70=0,1,0)</x:f>
        <x:v>1</x:v>
      </x:c>
      <x:c r="F2759" s="27" t="n">
        <x:v>1</x:v>
      </x:c>
      <x:c r="G2759" s="29" t="str">
        <x:f>IF(E2759=F2759,"PASS","FAIL")</x:f>
        <x:v>PASS</x:v>
      </x:c>
    </x:row>
    <x:row r="2760" ht="18" customHeight="1">
      <x:c r="B2760" s="27" t="str">
        <x:v>A2754</x:v>
      </x:c>
      <x:c r="C2760" s="27" t="str">
        <x:v>interface</x:v>
      </x:c>
      <x:c r="D2760" s="27" t="str">
        <x:v>Interface row 71 challenge present</x:v>
      </x:c>
      <x:c r="E2760" s="27" t="n">
        <x:f>IF('Interface Tests'!F71&lt;&gt;"",1,0)</x:f>
        <x:v>1</x:v>
      </x:c>
      <x:c r="F2760" s="27" t="n">
        <x:v>1</x:v>
      </x:c>
      <x:c r="G2760" s="29" t="str">
        <x:f>IF(E2760=F2760,"PASS","FAIL")</x:f>
        <x:v>PASS</x:v>
      </x:c>
    </x:row>
    <x:row r="2761" ht="18" customHeight="1">
      <x:c r="B2761" s="27" t="str">
        <x:v>A2755</x:v>
      </x:c>
      <x:c r="C2761" s="27" t="str">
        <x:v>interface</x:v>
      </x:c>
      <x:c r="D2761" s="27" t="str">
        <x:v>Interface row 71 acceptance present</x:v>
      </x:c>
      <x:c r="E2761" s="27" t="n">
        <x:f>IF('Interface Tests'!H71&lt;&gt;"",1,0)</x:f>
        <x:v>1</x:v>
      </x:c>
      <x:c r="F2761" s="27" t="n">
        <x:v>1</x:v>
      </x:c>
      <x:c r="G2761" s="29" t="str">
        <x:f>IF(E2761=F2761,"PASS","FAIL")</x:f>
        <x:v>PASS</x:v>
      </x:c>
    </x:row>
    <x:row r="2762" ht="18" customHeight="1">
      <x:c r="B2762" s="27" t="str">
        <x:v>A2756</x:v>
      </x:c>
      <x:c r="C2762" s="27" t="str">
        <x:v>interface</x:v>
      </x:c>
      <x:c r="D2762" s="27" t="str">
        <x:v>Interface row 71 evidence open</x:v>
      </x:c>
      <x:c r="E2762" s="27" t="n">
        <x:f>IF('Interface Tests'!J71="OPEN",1,0)</x:f>
        <x:v>1</x:v>
      </x:c>
      <x:c r="F2762" s="27" t="n">
        <x:v>1</x:v>
      </x:c>
      <x:c r="G2762" s="29" t="str">
        <x:f>IF(E2762=F2762,"PASS","FAIL")</x:f>
        <x:v>PASS</x:v>
      </x:c>
    </x:row>
    <x:row r="2763" ht="18" customHeight="1">
      <x:c r="B2763" s="27" t="str">
        <x:v>A2757</x:v>
      </x:c>
      <x:c r="C2763" s="27" t="str">
        <x:v>interface</x:v>
      </x:c>
      <x:c r="D2763" s="27" t="str">
        <x:v>Interface row 71 zero credit</x:v>
      </x:c>
      <x:c r="E2763" s="27" t="n">
        <x:f>IF('Interface Tests'!K71=0,1,0)</x:f>
        <x:v>1</x:v>
      </x:c>
      <x:c r="F2763" s="27" t="n">
        <x:v>1</x:v>
      </x:c>
      <x:c r="G2763" s="29" t="str">
        <x:f>IF(E2763=F2763,"PASS","FAIL")</x:f>
        <x:v>PASS</x:v>
      </x:c>
    </x:row>
    <x:row r="2764" ht="18" customHeight="1">
      <x:c r="B2764" s="27" t="str">
        <x:v>A2758</x:v>
      </x:c>
      <x:c r="C2764" s="27" t="str">
        <x:v>interface</x:v>
      </x:c>
      <x:c r="D2764" s="27" t="str">
        <x:v>Interface row 72 challenge present</x:v>
      </x:c>
      <x:c r="E2764" s="27" t="n">
        <x:f>IF('Interface Tests'!F72&lt;&gt;"",1,0)</x:f>
        <x:v>1</x:v>
      </x:c>
      <x:c r="F2764" s="27" t="n">
        <x:v>1</x:v>
      </x:c>
      <x:c r="G2764" s="29" t="str">
        <x:f>IF(E2764=F2764,"PASS","FAIL")</x:f>
        <x:v>PASS</x:v>
      </x:c>
    </x:row>
    <x:row r="2765" ht="18" customHeight="1">
      <x:c r="B2765" s="27" t="str">
        <x:v>A2759</x:v>
      </x:c>
      <x:c r="C2765" s="27" t="str">
        <x:v>interface</x:v>
      </x:c>
      <x:c r="D2765" s="27" t="str">
        <x:v>Interface row 72 acceptance present</x:v>
      </x:c>
      <x:c r="E2765" s="27" t="n">
        <x:f>IF('Interface Tests'!H72&lt;&gt;"",1,0)</x:f>
        <x:v>1</x:v>
      </x:c>
      <x:c r="F2765" s="27" t="n">
        <x:v>1</x:v>
      </x:c>
      <x:c r="G2765" s="29" t="str">
        <x:f>IF(E2765=F2765,"PASS","FAIL")</x:f>
        <x:v>PASS</x:v>
      </x:c>
    </x:row>
    <x:row r="2766" ht="18" customHeight="1">
      <x:c r="B2766" s="27" t="str">
        <x:v>A2760</x:v>
      </x:c>
      <x:c r="C2766" s="27" t="str">
        <x:v>interface</x:v>
      </x:c>
      <x:c r="D2766" s="27" t="str">
        <x:v>Interface row 72 evidence open</x:v>
      </x:c>
      <x:c r="E2766" s="27" t="n">
        <x:f>IF('Interface Tests'!J72="OPEN",1,0)</x:f>
        <x:v>1</x:v>
      </x:c>
      <x:c r="F2766" s="27" t="n">
        <x:v>1</x:v>
      </x:c>
      <x:c r="G2766" s="29" t="str">
        <x:f>IF(E2766=F2766,"PASS","FAIL")</x:f>
        <x:v>PASS</x:v>
      </x:c>
    </x:row>
    <x:row r="2767" ht="18" customHeight="1">
      <x:c r="B2767" s="27" t="str">
        <x:v>A2761</x:v>
      </x:c>
      <x:c r="C2767" s="27" t="str">
        <x:v>interface</x:v>
      </x:c>
      <x:c r="D2767" s="27" t="str">
        <x:v>Interface row 72 zero credit</x:v>
      </x:c>
      <x:c r="E2767" s="27" t="n">
        <x:f>IF('Interface Tests'!K72=0,1,0)</x:f>
        <x:v>1</x:v>
      </x:c>
      <x:c r="F2767" s="27" t="n">
        <x:v>1</x:v>
      </x:c>
      <x:c r="G2767" s="29" t="str">
        <x:f>IF(E2767=F2767,"PASS","FAIL")</x:f>
        <x:v>PASS</x:v>
      </x:c>
    </x:row>
    <x:row r="2768" ht="18" customHeight="1">
      <x:c r="B2768" s="27" t="str">
        <x:v>A2762</x:v>
      </x:c>
      <x:c r="C2768" s="27" t="str">
        <x:v>interface</x:v>
      </x:c>
      <x:c r="D2768" s="27" t="str">
        <x:v>Interface row 73 challenge present</x:v>
      </x:c>
      <x:c r="E2768" s="27" t="n">
        <x:f>IF('Interface Tests'!F73&lt;&gt;"",1,0)</x:f>
        <x:v>1</x:v>
      </x:c>
      <x:c r="F2768" s="27" t="n">
        <x:v>1</x:v>
      </x:c>
      <x:c r="G2768" s="29" t="str">
        <x:f>IF(E2768=F2768,"PASS","FAIL")</x:f>
        <x:v>PASS</x:v>
      </x:c>
    </x:row>
    <x:row r="2769" ht="18" customHeight="1">
      <x:c r="B2769" s="27" t="str">
        <x:v>A2763</x:v>
      </x:c>
      <x:c r="C2769" s="27" t="str">
        <x:v>interface</x:v>
      </x:c>
      <x:c r="D2769" s="27" t="str">
        <x:v>Interface row 73 acceptance present</x:v>
      </x:c>
      <x:c r="E2769" s="27" t="n">
        <x:f>IF('Interface Tests'!H73&lt;&gt;"",1,0)</x:f>
        <x:v>1</x:v>
      </x:c>
      <x:c r="F2769" s="27" t="n">
        <x:v>1</x:v>
      </x:c>
      <x:c r="G2769" s="29" t="str">
        <x:f>IF(E2769=F2769,"PASS","FAIL")</x:f>
        <x:v>PASS</x:v>
      </x:c>
    </x:row>
    <x:row r="2770" ht="18" customHeight="1">
      <x:c r="B2770" s="27" t="str">
        <x:v>A2764</x:v>
      </x:c>
      <x:c r="C2770" s="27" t="str">
        <x:v>interface</x:v>
      </x:c>
      <x:c r="D2770" s="27" t="str">
        <x:v>Interface row 73 evidence open</x:v>
      </x:c>
      <x:c r="E2770" s="27" t="n">
        <x:f>IF('Interface Tests'!J73="OPEN",1,0)</x:f>
        <x:v>1</x:v>
      </x:c>
      <x:c r="F2770" s="27" t="n">
        <x:v>1</x:v>
      </x:c>
      <x:c r="G2770" s="29" t="str">
        <x:f>IF(E2770=F2770,"PASS","FAIL")</x:f>
        <x:v>PASS</x:v>
      </x:c>
    </x:row>
    <x:row r="2771" ht="18" customHeight="1">
      <x:c r="B2771" s="27" t="str">
        <x:v>A2765</x:v>
      </x:c>
      <x:c r="C2771" s="27" t="str">
        <x:v>interface</x:v>
      </x:c>
      <x:c r="D2771" s="27" t="str">
        <x:v>Interface row 73 zero credit</x:v>
      </x:c>
      <x:c r="E2771" s="27" t="n">
        <x:f>IF('Interface Tests'!K73=0,1,0)</x:f>
        <x:v>1</x:v>
      </x:c>
      <x:c r="F2771" s="27" t="n">
        <x:v>1</x:v>
      </x:c>
      <x:c r="G2771" s="29" t="str">
        <x:f>IF(E2771=F2771,"PASS","FAIL")</x:f>
        <x:v>PASS</x:v>
      </x:c>
    </x:row>
    <x:row r="2772" ht="18" customHeight="1">
      <x:c r="B2772" s="27" t="str">
        <x:v>A2766</x:v>
      </x:c>
      <x:c r="C2772" s="27" t="str">
        <x:v>interface</x:v>
      </x:c>
      <x:c r="D2772" s="27" t="str">
        <x:v>Interface row 74 challenge present</x:v>
      </x:c>
      <x:c r="E2772" s="27" t="n">
        <x:f>IF('Interface Tests'!F74&lt;&gt;"",1,0)</x:f>
        <x:v>1</x:v>
      </x:c>
      <x:c r="F2772" s="27" t="n">
        <x:v>1</x:v>
      </x:c>
      <x:c r="G2772" s="29" t="str">
        <x:f>IF(E2772=F2772,"PASS","FAIL")</x:f>
        <x:v>PASS</x:v>
      </x:c>
    </x:row>
    <x:row r="2773" ht="18" customHeight="1">
      <x:c r="B2773" s="27" t="str">
        <x:v>A2767</x:v>
      </x:c>
      <x:c r="C2773" s="27" t="str">
        <x:v>interface</x:v>
      </x:c>
      <x:c r="D2773" s="27" t="str">
        <x:v>Interface row 74 acceptance present</x:v>
      </x:c>
      <x:c r="E2773" s="27" t="n">
        <x:f>IF('Interface Tests'!H74&lt;&gt;"",1,0)</x:f>
        <x:v>1</x:v>
      </x:c>
      <x:c r="F2773" s="27" t="n">
        <x:v>1</x:v>
      </x:c>
      <x:c r="G2773" s="29" t="str">
        <x:f>IF(E2773=F2773,"PASS","FAIL")</x:f>
        <x:v>PASS</x:v>
      </x:c>
    </x:row>
    <x:row r="2774" ht="18" customHeight="1">
      <x:c r="B2774" s="27" t="str">
        <x:v>A2768</x:v>
      </x:c>
      <x:c r="C2774" s="27" t="str">
        <x:v>interface</x:v>
      </x:c>
      <x:c r="D2774" s="27" t="str">
        <x:v>Interface row 74 evidence open</x:v>
      </x:c>
      <x:c r="E2774" s="27" t="n">
        <x:f>IF('Interface Tests'!J74="OPEN",1,0)</x:f>
        <x:v>1</x:v>
      </x:c>
      <x:c r="F2774" s="27" t="n">
        <x:v>1</x:v>
      </x:c>
      <x:c r="G2774" s="29" t="str">
        <x:f>IF(E2774=F2774,"PASS","FAIL")</x:f>
        <x:v>PASS</x:v>
      </x:c>
    </x:row>
    <x:row r="2775" ht="18" customHeight="1">
      <x:c r="B2775" s="27" t="str">
        <x:v>A2769</x:v>
      </x:c>
      <x:c r="C2775" s="27" t="str">
        <x:v>interface</x:v>
      </x:c>
      <x:c r="D2775" s="27" t="str">
        <x:v>Interface row 74 zero credit</x:v>
      </x:c>
      <x:c r="E2775" s="27" t="n">
        <x:f>IF('Interface Tests'!K74=0,1,0)</x:f>
        <x:v>1</x:v>
      </x:c>
      <x:c r="F2775" s="27" t="n">
        <x:v>1</x:v>
      </x:c>
      <x:c r="G2775" s="29" t="str">
        <x:f>IF(E2775=F2775,"PASS","FAIL")</x:f>
        <x:v>PASS</x:v>
      </x:c>
    </x:row>
    <x:row r="2776" ht="18" customHeight="1">
      <x:c r="B2776" s="27" t="str">
        <x:v>A2770</x:v>
      </x:c>
      <x:c r="C2776" s="27" t="str">
        <x:v>interface</x:v>
      </x:c>
      <x:c r="D2776" s="27" t="str">
        <x:v>Interface row 75 challenge present</x:v>
      </x:c>
      <x:c r="E2776" s="27" t="n">
        <x:f>IF('Interface Tests'!F75&lt;&gt;"",1,0)</x:f>
        <x:v>1</x:v>
      </x:c>
      <x:c r="F2776" s="27" t="n">
        <x:v>1</x:v>
      </x:c>
      <x:c r="G2776" s="29" t="str">
        <x:f>IF(E2776=F2776,"PASS","FAIL")</x:f>
        <x:v>PASS</x:v>
      </x:c>
    </x:row>
    <x:row r="2777" ht="18" customHeight="1">
      <x:c r="B2777" s="27" t="str">
        <x:v>A2771</x:v>
      </x:c>
      <x:c r="C2777" s="27" t="str">
        <x:v>interface</x:v>
      </x:c>
      <x:c r="D2777" s="27" t="str">
        <x:v>Interface row 75 acceptance present</x:v>
      </x:c>
      <x:c r="E2777" s="27" t="n">
        <x:f>IF('Interface Tests'!H75&lt;&gt;"",1,0)</x:f>
        <x:v>1</x:v>
      </x:c>
      <x:c r="F2777" s="27" t="n">
        <x:v>1</x:v>
      </x:c>
      <x:c r="G2777" s="29" t="str">
        <x:f>IF(E2777=F2777,"PASS","FAIL")</x:f>
        <x:v>PASS</x:v>
      </x:c>
    </x:row>
    <x:row r="2778" ht="18" customHeight="1">
      <x:c r="B2778" s="27" t="str">
        <x:v>A2772</x:v>
      </x:c>
      <x:c r="C2778" s="27" t="str">
        <x:v>interface</x:v>
      </x:c>
      <x:c r="D2778" s="27" t="str">
        <x:v>Interface row 75 evidence open</x:v>
      </x:c>
      <x:c r="E2778" s="27" t="n">
        <x:f>IF('Interface Tests'!J75="OPEN",1,0)</x:f>
        <x:v>1</x:v>
      </x:c>
      <x:c r="F2778" s="27" t="n">
        <x:v>1</x:v>
      </x:c>
      <x:c r="G2778" s="29" t="str">
        <x:f>IF(E2778=F2778,"PASS","FAIL")</x:f>
        <x:v>PASS</x:v>
      </x:c>
    </x:row>
    <x:row r="2779" ht="18" customHeight="1">
      <x:c r="B2779" s="27" t="str">
        <x:v>A2773</x:v>
      </x:c>
      <x:c r="C2779" s="27" t="str">
        <x:v>interface</x:v>
      </x:c>
      <x:c r="D2779" s="27" t="str">
        <x:v>Interface row 75 zero credit</x:v>
      </x:c>
      <x:c r="E2779" s="27" t="n">
        <x:f>IF('Interface Tests'!K75=0,1,0)</x:f>
        <x:v>1</x:v>
      </x:c>
      <x:c r="F2779" s="27" t="n">
        <x:v>1</x:v>
      </x:c>
      <x:c r="G2779" s="29" t="str">
        <x:f>IF(E2779=F2779,"PASS","FAIL")</x:f>
        <x:v>PASS</x:v>
      </x:c>
    </x:row>
    <x:row r="2780" ht="18" customHeight="1">
      <x:c r="B2780" s="27" t="str">
        <x:v>A2774</x:v>
      </x:c>
      <x:c r="C2780" s="27" t="str">
        <x:v>interface</x:v>
      </x:c>
      <x:c r="D2780" s="27" t="str">
        <x:v>Interface row 76 challenge present</x:v>
      </x:c>
      <x:c r="E2780" s="27" t="n">
        <x:f>IF('Interface Tests'!F76&lt;&gt;"",1,0)</x:f>
        <x:v>1</x:v>
      </x:c>
      <x:c r="F2780" s="27" t="n">
        <x:v>1</x:v>
      </x:c>
      <x:c r="G2780" s="29" t="str">
        <x:f>IF(E2780=F2780,"PASS","FAIL")</x:f>
        <x:v>PASS</x:v>
      </x:c>
    </x:row>
    <x:row r="2781" ht="18" customHeight="1">
      <x:c r="B2781" s="27" t="str">
        <x:v>A2775</x:v>
      </x:c>
      <x:c r="C2781" s="27" t="str">
        <x:v>interface</x:v>
      </x:c>
      <x:c r="D2781" s="27" t="str">
        <x:v>Interface row 76 acceptance present</x:v>
      </x:c>
      <x:c r="E2781" s="27" t="n">
        <x:f>IF('Interface Tests'!H76&lt;&gt;"",1,0)</x:f>
        <x:v>1</x:v>
      </x:c>
      <x:c r="F2781" s="27" t="n">
        <x:v>1</x:v>
      </x:c>
      <x:c r="G2781" s="29" t="str">
        <x:f>IF(E2781=F2781,"PASS","FAIL")</x:f>
        <x:v>PASS</x:v>
      </x:c>
    </x:row>
    <x:row r="2782" ht="18" customHeight="1">
      <x:c r="B2782" s="27" t="str">
        <x:v>A2776</x:v>
      </x:c>
      <x:c r="C2782" s="27" t="str">
        <x:v>interface</x:v>
      </x:c>
      <x:c r="D2782" s="27" t="str">
        <x:v>Interface row 76 evidence open</x:v>
      </x:c>
      <x:c r="E2782" s="27" t="n">
        <x:f>IF('Interface Tests'!J76="OPEN",1,0)</x:f>
        <x:v>1</x:v>
      </x:c>
      <x:c r="F2782" s="27" t="n">
        <x:v>1</x:v>
      </x:c>
      <x:c r="G2782" s="29" t="str">
        <x:f>IF(E2782=F2782,"PASS","FAIL")</x:f>
        <x:v>PASS</x:v>
      </x:c>
    </x:row>
    <x:row r="2783" ht="18" customHeight="1">
      <x:c r="B2783" s="27" t="str">
        <x:v>A2777</x:v>
      </x:c>
      <x:c r="C2783" s="27" t="str">
        <x:v>interface</x:v>
      </x:c>
      <x:c r="D2783" s="27" t="str">
        <x:v>Interface row 76 zero credit</x:v>
      </x:c>
      <x:c r="E2783" s="27" t="n">
        <x:f>IF('Interface Tests'!K76=0,1,0)</x:f>
        <x:v>1</x:v>
      </x:c>
      <x:c r="F2783" s="27" t="n">
        <x:v>1</x:v>
      </x:c>
      <x:c r="G2783" s="29" t="str">
        <x:f>IF(E2783=F2783,"PASS","FAIL")</x:f>
        <x:v>PASS</x:v>
      </x:c>
    </x:row>
    <x:row r="2784" ht="18" customHeight="1">
      <x:c r="B2784" s="27" t="str">
        <x:v>A2778</x:v>
      </x:c>
      <x:c r="C2784" s="27" t="str">
        <x:v>interface</x:v>
      </x:c>
      <x:c r="D2784" s="27" t="str">
        <x:v>Interface row 77 challenge present</x:v>
      </x:c>
      <x:c r="E2784" s="27" t="n">
        <x:f>IF('Interface Tests'!F77&lt;&gt;"",1,0)</x:f>
        <x:v>1</x:v>
      </x:c>
      <x:c r="F2784" s="27" t="n">
        <x:v>1</x:v>
      </x:c>
      <x:c r="G2784" s="29" t="str">
        <x:f>IF(E2784=F2784,"PASS","FAIL")</x:f>
        <x:v>PASS</x:v>
      </x:c>
    </x:row>
    <x:row r="2785" ht="18" customHeight="1">
      <x:c r="B2785" s="27" t="str">
        <x:v>A2779</x:v>
      </x:c>
      <x:c r="C2785" s="27" t="str">
        <x:v>interface</x:v>
      </x:c>
      <x:c r="D2785" s="27" t="str">
        <x:v>Interface row 77 acceptance present</x:v>
      </x:c>
      <x:c r="E2785" s="27" t="n">
        <x:f>IF('Interface Tests'!H77&lt;&gt;"",1,0)</x:f>
        <x:v>1</x:v>
      </x:c>
      <x:c r="F2785" s="27" t="n">
        <x:v>1</x:v>
      </x:c>
      <x:c r="G2785" s="29" t="str">
        <x:f>IF(E2785=F2785,"PASS","FAIL")</x:f>
        <x:v>PASS</x:v>
      </x:c>
    </x:row>
    <x:row r="2786" ht="18" customHeight="1">
      <x:c r="B2786" s="27" t="str">
        <x:v>A2780</x:v>
      </x:c>
      <x:c r="C2786" s="27" t="str">
        <x:v>interface</x:v>
      </x:c>
      <x:c r="D2786" s="27" t="str">
        <x:v>Interface row 77 evidence open</x:v>
      </x:c>
      <x:c r="E2786" s="27" t="n">
        <x:f>IF('Interface Tests'!J77="OPEN",1,0)</x:f>
        <x:v>1</x:v>
      </x:c>
      <x:c r="F2786" s="27" t="n">
        <x:v>1</x:v>
      </x:c>
      <x:c r="G2786" s="29" t="str">
        <x:f>IF(E2786=F2786,"PASS","FAIL")</x:f>
        <x:v>PASS</x:v>
      </x:c>
    </x:row>
    <x:row r="2787" ht="18" customHeight="1">
      <x:c r="B2787" s="27" t="str">
        <x:v>A2781</x:v>
      </x:c>
      <x:c r="C2787" s="27" t="str">
        <x:v>interface</x:v>
      </x:c>
      <x:c r="D2787" s="27" t="str">
        <x:v>Interface row 77 zero credit</x:v>
      </x:c>
      <x:c r="E2787" s="27" t="n">
        <x:f>IF('Interface Tests'!K77=0,1,0)</x:f>
        <x:v>1</x:v>
      </x:c>
      <x:c r="F2787" s="27" t="n">
        <x:v>1</x:v>
      </x:c>
      <x:c r="G2787" s="29" t="str">
        <x:f>IF(E2787=F2787,"PASS","FAIL")</x:f>
        <x:v>PASS</x:v>
      </x:c>
    </x:row>
    <x:row r="2788" ht="18" customHeight="1">
      <x:c r="B2788" s="27" t="str">
        <x:v>A2782</x:v>
      </x:c>
      <x:c r="C2788" s="27" t="str">
        <x:v>interface</x:v>
      </x:c>
      <x:c r="D2788" s="27" t="str">
        <x:v>Interface row 78 challenge present</x:v>
      </x:c>
      <x:c r="E2788" s="27" t="n">
        <x:f>IF('Interface Tests'!F78&lt;&gt;"",1,0)</x:f>
        <x:v>1</x:v>
      </x:c>
      <x:c r="F2788" s="27" t="n">
        <x:v>1</x:v>
      </x:c>
      <x:c r="G2788" s="29" t="str">
        <x:f>IF(E2788=F2788,"PASS","FAIL")</x:f>
        <x:v>PASS</x:v>
      </x:c>
    </x:row>
    <x:row r="2789" ht="18" customHeight="1">
      <x:c r="B2789" s="27" t="str">
        <x:v>A2783</x:v>
      </x:c>
      <x:c r="C2789" s="27" t="str">
        <x:v>interface</x:v>
      </x:c>
      <x:c r="D2789" s="27" t="str">
        <x:v>Interface row 78 acceptance present</x:v>
      </x:c>
      <x:c r="E2789" s="27" t="n">
        <x:f>IF('Interface Tests'!H78&lt;&gt;"",1,0)</x:f>
        <x:v>1</x:v>
      </x:c>
      <x:c r="F2789" s="27" t="n">
        <x:v>1</x:v>
      </x:c>
      <x:c r="G2789" s="29" t="str">
        <x:f>IF(E2789=F2789,"PASS","FAIL")</x:f>
        <x:v>PASS</x:v>
      </x:c>
    </x:row>
    <x:row r="2790" ht="18" customHeight="1">
      <x:c r="B2790" s="27" t="str">
        <x:v>A2784</x:v>
      </x:c>
      <x:c r="C2790" s="27" t="str">
        <x:v>interface</x:v>
      </x:c>
      <x:c r="D2790" s="27" t="str">
        <x:v>Interface row 78 evidence open</x:v>
      </x:c>
      <x:c r="E2790" s="27" t="n">
        <x:f>IF('Interface Tests'!J78="OPEN",1,0)</x:f>
        <x:v>1</x:v>
      </x:c>
      <x:c r="F2790" s="27" t="n">
        <x:v>1</x:v>
      </x:c>
      <x:c r="G2790" s="29" t="str">
        <x:f>IF(E2790=F2790,"PASS","FAIL")</x:f>
        <x:v>PASS</x:v>
      </x:c>
    </x:row>
    <x:row r="2791" ht="18" customHeight="1">
      <x:c r="B2791" s="27" t="str">
        <x:v>A2785</x:v>
      </x:c>
      <x:c r="C2791" s="27" t="str">
        <x:v>interface</x:v>
      </x:c>
      <x:c r="D2791" s="27" t="str">
        <x:v>Interface row 78 zero credit</x:v>
      </x:c>
      <x:c r="E2791" s="27" t="n">
        <x:f>IF('Interface Tests'!K78=0,1,0)</x:f>
        <x:v>1</x:v>
      </x:c>
      <x:c r="F2791" s="27" t="n">
        <x:v>1</x:v>
      </x:c>
      <x:c r="G2791" s="29" t="str">
        <x:f>IF(E2791=F2791,"PASS","FAIL")</x:f>
        <x:v>PASS</x:v>
      </x:c>
    </x:row>
    <x:row r="2792" ht="18" customHeight="1">
      <x:c r="B2792" s="27" t="str">
        <x:v>A2786</x:v>
      </x:c>
      <x:c r="C2792" s="27" t="str">
        <x:v>calibration</x:v>
      </x:c>
      <x:c r="D2792" s="27" t="str">
        <x:v>Calibration row 7 allocation nonnegative</x:v>
      </x:c>
      <x:c r="E2792" s="27" t="n">
        <x:f>IF(Calibration!E7&gt;=0,1,0)</x:f>
        <x:v>1</x:v>
      </x:c>
      <x:c r="F2792" s="27" t="n">
        <x:v>1</x:v>
      </x:c>
      <x:c r="G2792" s="29" t="str">
        <x:f>IF(E2792=F2792,"PASS","FAIL")</x:f>
        <x:v>PASS</x:v>
      </x:c>
    </x:row>
    <x:row r="2793" ht="18" customHeight="1">
      <x:c r="B2793" s="27" t="str">
        <x:v>A2787</x:v>
      </x:c>
      <x:c r="C2793" s="27" t="str">
        <x:v>calibration</x:v>
      </x:c>
      <x:c r="D2793" s="27" t="str">
        <x:v>Calibration row 7 field target half allocation</x:v>
      </x:c>
      <x:c r="E2793" s="27" t="n">
        <x:f>IF(ABS(Calibration!G7-Calibration!E7/2)&lt;0.000001,1,0)</x:f>
        <x:v>1</x:v>
      </x:c>
      <x:c r="F2793" s="27" t="n">
        <x:v>1</x:v>
      </x:c>
      <x:c r="G2793" s="29" t="str">
        <x:f>IF(E2793=F2793,"PASS","FAIL")</x:f>
        <x:v>PASS</x:v>
      </x:c>
    </x:row>
    <x:row r="2794" ht="18" customHeight="1">
      <x:c r="B2794" s="27" t="str">
        <x:v>A2788</x:v>
      </x:c>
      <x:c r="C2794" s="27" t="str">
        <x:v>calibration</x:v>
      </x:c>
      <x:c r="D2794" s="27" t="str">
        <x:v>Calibration row 7 pre-post required</x:v>
      </x:c>
      <x:c r="E2794" s="27" t="n">
        <x:f>IF(Calibration!J7=1,1,0)</x:f>
        <x:v>1</x:v>
      </x:c>
      <x:c r="F2794" s="27" t="n">
        <x:v>1</x:v>
      </x:c>
      <x:c r="G2794" s="29" t="str">
        <x:f>IF(E2794=F2794,"PASS","FAIL")</x:f>
        <x:v>PASS</x:v>
      </x:c>
    </x:row>
    <x:row r="2795" ht="18" customHeight="1">
      <x:c r="B2795" s="27" t="str">
        <x:v>A2789</x:v>
      </x:c>
      <x:c r="C2795" s="27" t="str">
        <x:v>calibration</x:v>
      </x:c>
      <x:c r="D2795" s="27" t="str">
        <x:v>Calibration row 7 evidence open</x:v>
      </x:c>
      <x:c r="E2795" s="27" t="n">
        <x:f>IF(Calibration!L7="OPEN",1,0)</x:f>
        <x:v>1</x:v>
      </x:c>
      <x:c r="F2795" s="27" t="n">
        <x:v>1</x:v>
      </x:c>
      <x:c r="G2795" s="29" t="str">
        <x:f>IF(E2795=F2795,"PASS","FAIL")</x:f>
        <x:v>PASS</x:v>
      </x:c>
    </x:row>
    <x:row r="2796" ht="18" customHeight="1">
      <x:c r="B2796" s="27" t="str">
        <x:v>A2790</x:v>
      </x:c>
      <x:c r="C2796" s="27" t="str">
        <x:v>calibration</x:v>
      </x:c>
      <x:c r="D2796" s="27" t="str">
        <x:v>Calibration row 8 allocation nonnegative</x:v>
      </x:c>
      <x:c r="E2796" s="27" t="n">
        <x:f>IF(Calibration!E8&gt;=0,1,0)</x:f>
        <x:v>1</x:v>
      </x:c>
      <x:c r="F2796" s="27" t="n">
        <x:v>1</x:v>
      </x:c>
      <x:c r="G2796" s="29" t="str">
        <x:f>IF(E2796=F2796,"PASS","FAIL")</x:f>
        <x:v>PASS</x:v>
      </x:c>
    </x:row>
    <x:row r="2797" ht="18" customHeight="1">
      <x:c r="B2797" s="27" t="str">
        <x:v>A2791</x:v>
      </x:c>
      <x:c r="C2797" s="27" t="str">
        <x:v>calibration</x:v>
      </x:c>
      <x:c r="D2797" s="27" t="str">
        <x:v>Calibration row 8 field target half allocation</x:v>
      </x:c>
      <x:c r="E2797" s="27" t="n">
        <x:f>IF(ABS(Calibration!G8-Calibration!E8/2)&lt;0.000001,1,0)</x:f>
        <x:v>1</x:v>
      </x:c>
      <x:c r="F2797" s="27" t="n">
        <x:v>1</x:v>
      </x:c>
      <x:c r="G2797" s="29" t="str">
        <x:f>IF(E2797=F2797,"PASS","FAIL")</x:f>
        <x:v>PASS</x:v>
      </x:c>
    </x:row>
    <x:row r="2798" ht="18" customHeight="1">
      <x:c r="B2798" s="27" t="str">
        <x:v>A2792</x:v>
      </x:c>
      <x:c r="C2798" s="27" t="str">
        <x:v>calibration</x:v>
      </x:c>
      <x:c r="D2798" s="27" t="str">
        <x:v>Calibration row 8 pre-post required</x:v>
      </x:c>
      <x:c r="E2798" s="27" t="n">
        <x:f>IF(Calibration!J8=1,1,0)</x:f>
        <x:v>1</x:v>
      </x:c>
      <x:c r="F2798" s="27" t="n">
        <x:v>1</x:v>
      </x:c>
      <x:c r="G2798" s="29" t="str">
        <x:f>IF(E2798=F2798,"PASS","FAIL")</x:f>
        <x:v>PASS</x:v>
      </x:c>
    </x:row>
    <x:row r="2799" ht="18" customHeight="1">
      <x:c r="B2799" s="27" t="str">
        <x:v>A2793</x:v>
      </x:c>
      <x:c r="C2799" s="27" t="str">
        <x:v>calibration</x:v>
      </x:c>
      <x:c r="D2799" s="27" t="str">
        <x:v>Calibration row 8 evidence open</x:v>
      </x:c>
      <x:c r="E2799" s="27" t="n">
        <x:f>IF(Calibration!L8="OPEN",1,0)</x:f>
        <x:v>1</x:v>
      </x:c>
      <x:c r="F2799" s="27" t="n">
        <x:v>1</x:v>
      </x:c>
      <x:c r="G2799" s="29" t="str">
        <x:f>IF(E2799=F2799,"PASS","FAIL")</x:f>
        <x:v>PASS</x:v>
      </x:c>
    </x:row>
    <x:row r="2800" ht="18" customHeight="1">
      <x:c r="B2800" s="27" t="str">
        <x:v>A2794</x:v>
      </x:c>
      <x:c r="C2800" s="27" t="str">
        <x:v>calibration</x:v>
      </x:c>
      <x:c r="D2800" s="27" t="str">
        <x:v>Calibration row 9 allocation nonnegative</x:v>
      </x:c>
      <x:c r="E2800" s="27" t="n">
        <x:f>IF(Calibration!E9&gt;=0,1,0)</x:f>
        <x:v>1</x:v>
      </x:c>
      <x:c r="F2800" s="27" t="n">
        <x:v>1</x:v>
      </x:c>
      <x:c r="G2800" s="29" t="str">
        <x:f>IF(E2800=F2800,"PASS","FAIL")</x:f>
        <x:v>PASS</x:v>
      </x:c>
    </x:row>
    <x:row r="2801" ht="18" customHeight="1">
      <x:c r="B2801" s="27" t="str">
        <x:v>A2795</x:v>
      </x:c>
      <x:c r="C2801" s="27" t="str">
        <x:v>calibration</x:v>
      </x:c>
      <x:c r="D2801" s="27" t="str">
        <x:v>Calibration row 9 field target half allocation</x:v>
      </x:c>
      <x:c r="E2801" s="27" t="n">
        <x:f>IF(ABS(Calibration!G9-Calibration!E9/2)&lt;0.000001,1,0)</x:f>
        <x:v>1</x:v>
      </x:c>
      <x:c r="F2801" s="27" t="n">
        <x:v>1</x:v>
      </x:c>
      <x:c r="G2801" s="29" t="str">
        <x:f>IF(E2801=F2801,"PASS","FAIL")</x:f>
        <x:v>PASS</x:v>
      </x:c>
    </x:row>
    <x:row r="2802" ht="18" customHeight="1">
      <x:c r="B2802" s="27" t="str">
        <x:v>A2796</x:v>
      </x:c>
      <x:c r="C2802" s="27" t="str">
        <x:v>calibration</x:v>
      </x:c>
      <x:c r="D2802" s="27" t="str">
        <x:v>Calibration row 9 pre-post required</x:v>
      </x:c>
      <x:c r="E2802" s="27" t="n">
        <x:f>IF(Calibration!J9=1,1,0)</x:f>
        <x:v>1</x:v>
      </x:c>
      <x:c r="F2802" s="27" t="n">
        <x:v>1</x:v>
      </x:c>
      <x:c r="G2802" s="29" t="str">
        <x:f>IF(E2802=F2802,"PASS","FAIL")</x:f>
        <x:v>PASS</x:v>
      </x:c>
    </x:row>
    <x:row r="2803" ht="18" customHeight="1">
      <x:c r="B2803" s="27" t="str">
        <x:v>A2797</x:v>
      </x:c>
      <x:c r="C2803" s="27" t="str">
        <x:v>calibration</x:v>
      </x:c>
      <x:c r="D2803" s="27" t="str">
        <x:v>Calibration row 9 evidence open</x:v>
      </x:c>
      <x:c r="E2803" s="27" t="n">
        <x:f>IF(Calibration!L9="OPEN",1,0)</x:f>
        <x:v>1</x:v>
      </x:c>
      <x:c r="F2803" s="27" t="n">
        <x:v>1</x:v>
      </x:c>
      <x:c r="G2803" s="29" t="str">
        <x:f>IF(E2803=F2803,"PASS","FAIL")</x:f>
        <x:v>PASS</x:v>
      </x:c>
    </x:row>
    <x:row r="2804" ht="18" customHeight="1">
      <x:c r="B2804" s="27" t="str">
        <x:v>A2798</x:v>
      </x:c>
      <x:c r="C2804" s="27" t="str">
        <x:v>calibration</x:v>
      </x:c>
      <x:c r="D2804" s="27" t="str">
        <x:v>Calibration row 10 allocation nonnegative</x:v>
      </x:c>
      <x:c r="E2804" s="27" t="n">
        <x:f>IF(Calibration!E10&gt;=0,1,0)</x:f>
        <x:v>1</x:v>
      </x:c>
      <x:c r="F2804" s="27" t="n">
        <x:v>1</x:v>
      </x:c>
      <x:c r="G2804" s="29" t="str">
        <x:f>IF(E2804=F2804,"PASS","FAIL")</x:f>
        <x:v>PASS</x:v>
      </x:c>
    </x:row>
    <x:row r="2805" ht="18" customHeight="1">
      <x:c r="B2805" s="27" t="str">
        <x:v>A2799</x:v>
      </x:c>
      <x:c r="C2805" s="27" t="str">
        <x:v>calibration</x:v>
      </x:c>
      <x:c r="D2805" s="27" t="str">
        <x:v>Calibration row 10 field target half allocation</x:v>
      </x:c>
      <x:c r="E2805" s="27" t="n">
        <x:f>IF(ABS(Calibration!G10-Calibration!E10/2)&lt;0.000001,1,0)</x:f>
        <x:v>1</x:v>
      </x:c>
      <x:c r="F2805" s="27" t="n">
        <x:v>1</x:v>
      </x:c>
      <x:c r="G2805" s="29" t="str">
        <x:f>IF(E2805=F2805,"PASS","FAIL")</x:f>
        <x:v>PASS</x:v>
      </x:c>
    </x:row>
    <x:row r="2806" ht="18" customHeight="1">
      <x:c r="B2806" s="27" t="str">
        <x:v>A2800</x:v>
      </x:c>
      <x:c r="C2806" s="27" t="str">
        <x:v>calibration</x:v>
      </x:c>
      <x:c r="D2806" s="27" t="str">
        <x:v>Calibration row 10 pre-post required</x:v>
      </x:c>
      <x:c r="E2806" s="27" t="n">
        <x:f>IF(Calibration!J10=1,1,0)</x:f>
        <x:v>1</x:v>
      </x:c>
      <x:c r="F2806" s="27" t="n">
        <x:v>1</x:v>
      </x:c>
      <x:c r="G2806" s="29" t="str">
        <x:f>IF(E2806=F2806,"PASS","FAIL")</x:f>
        <x:v>PASS</x:v>
      </x:c>
    </x:row>
    <x:row r="2807" ht="18" customHeight="1">
      <x:c r="B2807" s="27" t="str">
        <x:v>A2801</x:v>
      </x:c>
      <x:c r="C2807" s="27" t="str">
        <x:v>calibration</x:v>
      </x:c>
      <x:c r="D2807" s="27" t="str">
        <x:v>Calibration row 10 evidence open</x:v>
      </x:c>
      <x:c r="E2807" s="27" t="n">
        <x:f>IF(Calibration!L10="OPEN",1,0)</x:f>
        <x:v>1</x:v>
      </x:c>
      <x:c r="F2807" s="27" t="n">
        <x:v>1</x:v>
      </x:c>
      <x:c r="G2807" s="29" t="str">
        <x:f>IF(E2807=F2807,"PASS","FAIL")</x:f>
        <x:v>PASS</x:v>
      </x:c>
    </x:row>
    <x:row r="2808" ht="18" customHeight="1">
      <x:c r="B2808" s="27" t="str">
        <x:v>A2802</x:v>
      </x:c>
      <x:c r="C2808" s="27" t="str">
        <x:v>calibration</x:v>
      </x:c>
      <x:c r="D2808" s="27" t="str">
        <x:v>Calibration row 11 allocation nonnegative</x:v>
      </x:c>
      <x:c r="E2808" s="27" t="n">
        <x:f>IF(Calibration!E11&gt;=0,1,0)</x:f>
        <x:v>1</x:v>
      </x:c>
      <x:c r="F2808" s="27" t="n">
        <x:v>1</x:v>
      </x:c>
      <x:c r="G2808" s="29" t="str">
        <x:f>IF(E2808=F2808,"PASS","FAIL")</x:f>
        <x:v>PASS</x:v>
      </x:c>
    </x:row>
    <x:row r="2809" ht="18" customHeight="1">
      <x:c r="B2809" s="27" t="str">
        <x:v>A2803</x:v>
      </x:c>
      <x:c r="C2809" s="27" t="str">
        <x:v>calibration</x:v>
      </x:c>
      <x:c r="D2809" s="27" t="str">
        <x:v>Calibration row 11 field target half allocation</x:v>
      </x:c>
      <x:c r="E2809" s="27" t="n">
        <x:f>IF(ABS(Calibration!G11-Calibration!E11/2)&lt;0.000001,1,0)</x:f>
        <x:v>1</x:v>
      </x:c>
      <x:c r="F2809" s="27" t="n">
        <x:v>1</x:v>
      </x:c>
      <x:c r="G2809" s="29" t="str">
        <x:f>IF(E2809=F2809,"PASS","FAIL")</x:f>
        <x:v>PASS</x:v>
      </x:c>
    </x:row>
    <x:row r="2810" ht="18" customHeight="1">
      <x:c r="B2810" s="27" t="str">
        <x:v>A2804</x:v>
      </x:c>
      <x:c r="C2810" s="27" t="str">
        <x:v>calibration</x:v>
      </x:c>
      <x:c r="D2810" s="27" t="str">
        <x:v>Calibration row 11 pre-post required</x:v>
      </x:c>
      <x:c r="E2810" s="27" t="n">
        <x:f>IF(Calibration!J11=1,1,0)</x:f>
        <x:v>1</x:v>
      </x:c>
      <x:c r="F2810" s="27" t="n">
        <x:v>1</x:v>
      </x:c>
      <x:c r="G2810" s="29" t="str">
        <x:f>IF(E2810=F2810,"PASS","FAIL")</x:f>
        <x:v>PASS</x:v>
      </x:c>
    </x:row>
    <x:row r="2811" ht="18" customHeight="1">
      <x:c r="B2811" s="27" t="str">
        <x:v>A2805</x:v>
      </x:c>
      <x:c r="C2811" s="27" t="str">
        <x:v>calibration</x:v>
      </x:c>
      <x:c r="D2811" s="27" t="str">
        <x:v>Calibration row 11 evidence open</x:v>
      </x:c>
      <x:c r="E2811" s="27" t="n">
        <x:f>IF(Calibration!L11="OPEN",1,0)</x:f>
        <x:v>1</x:v>
      </x:c>
      <x:c r="F2811" s="27" t="n">
        <x:v>1</x:v>
      </x:c>
      <x:c r="G2811" s="29" t="str">
        <x:f>IF(E2811=F2811,"PASS","FAIL")</x:f>
        <x:v>PASS</x:v>
      </x:c>
    </x:row>
    <x:row r="2812" ht="18" customHeight="1">
      <x:c r="B2812" s="27" t="str">
        <x:v>A2806</x:v>
      </x:c>
      <x:c r="C2812" s="27" t="str">
        <x:v>calibration</x:v>
      </x:c>
      <x:c r="D2812" s="27" t="str">
        <x:v>Calibration row 12 allocation nonnegative</x:v>
      </x:c>
      <x:c r="E2812" s="27" t="n">
        <x:f>IF(Calibration!E12&gt;=0,1,0)</x:f>
        <x:v>1</x:v>
      </x:c>
      <x:c r="F2812" s="27" t="n">
        <x:v>1</x:v>
      </x:c>
      <x:c r="G2812" s="29" t="str">
        <x:f>IF(E2812=F2812,"PASS","FAIL")</x:f>
        <x:v>PASS</x:v>
      </x:c>
    </x:row>
    <x:row r="2813" ht="18" customHeight="1">
      <x:c r="B2813" s="27" t="str">
        <x:v>A2807</x:v>
      </x:c>
      <x:c r="C2813" s="27" t="str">
        <x:v>calibration</x:v>
      </x:c>
      <x:c r="D2813" s="27" t="str">
        <x:v>Calibration row 12 field target half allocation</x:v>
      </x:c>
      <x:c r="E2813" s="27" t="n">
        <x:f>IF(ABS(Calibration!G12-Calibration!E12/2)&lt;0.000001,1,0)</x:f>
        <x:v>1</x:v>
      </x:c>
      <x:c r="F2813" s="27" t="n">
        <x:v>1</x:v>
      </x:c>
      <x:c r="G2813" s="29" t="str">
        <x:f>IF(E2813=F2813,"PASS","FAIL")</x:f>
        <x:v>PASS</x:v>
      </x:c>
    </x:row>
    <x:row r="2814" ht="18" customHeight="1">
      <x:c r="B2814" s="27" t="str">
        <x:v>A2808</x:v>
      </x:c>
      <x:c r="C2814" s="27" t="str">
        <x:v>calibration</x:v>
      </x:c>
      <x:c r="D2814" s="27" t="str">
        <x:v>Calibration row 12 pre-post required</x:v>
      </x:c>
      <x:c r="E2814" s="27" t="n">
        <x:f>IF(Calibration!J12=1,1,0)</x:f>
        <x:v>1</x:v>
      </x:c>
      <x:c r="F2814" s="27" t="n">
        <x:v>1</x:v>
      </x:c>
      <x:c r="G2814" s="29" t="str">
        <x:f>IF(E2814=F2814,"PASS","FAIL")</x:f>
        <x:v>PASS</x:v>
      </x:c>
    </x:row>
    <x:row r="2815" ht="18" customHeight="1">
      <x:c r="B2815" s="27" t="str">
        <x:v>A2809</x:v>
      </x:c>
      <x:c r="C2815" s="27" t="str">
        <x:v>calibration</x:v>
      </x:c>
      <x:c r="D2815" s="27" t="str">
        <x:v>Calibration row 12 evidence open</x:v>
      </x:c>
      <x:c r="E2815" s="27" t="n">
        <x:f>IF(Calibration!L12="OPEN",1,0)</x:f>
        <x:v>1</x:v>
      </x:c>
      <x:c r="F2815" s="27" t="n">
        <x:v>1</x:v>
      </x:c>
      <x:c r="G2815" s="29" t="str">
        <x:f>IF(E2815=F2815,"PASS","FAIL")</x:f>
        <x:v>PASS</x:v>
      </x:c>
    </x:row>
    <x:row r="2816" ht="18" customHeight="1">
      <x:c r="B2816" s="27" t="str">
        <x:v>A2810</x:v>
      </x:c>
      <x:c r="C2816" s="27" t="str">
        <x:v>calibration</x:v>
      </x:c>
      <x:c r="D2816" s="27" t="str">
        <x:v>Calibration row 13 allocation nonnegative</x:v>
      </x:c>
      <x:c r="E2816" s="27" t="n">
        <x:f>IF(Calibration!E13&gt;=0,1,0)</x:f>
        <x:v>1</x:v>
      </x:c>
      <x:c r="F2816" s="27" t="n">
        <x:v>1</x:v>
      </x:c>
      <x:c r="G2816" s="29" t="str">
        <x:f>IF(E2816=F2816,"PASS","FAIL")</x:f>
        <x:v>PASS</x:v>
      </x:c>
    </x:row>
    <x:row r="2817" ht="18" customHeight="1">
      <x:c r="B2817" s="27" t="str">
        <x:v>A2811</x:v>
      </x:c>
      <x:c r="C2817" s="27" t="str">
        <x:v>calibration</x:v>
      </x:c>
      <x:c r="D2817" s="27" t="str">
        <x:v>Calibration row 13 field target half allocation</x:v>
      </x:c>
      <x:c r="E2817" s="27" t="n">
        <x:f>IF(ABS(Calibration!G13-Calibration!E13/2)&lt;0.000001,1,0)</x:f>
        <x:v>1</x:v>
      </x:c>
      <x:c r="F2817" s="27" t="n">
        <x:v>1</x:v>
      </x:c>
      <x:c r="G2817" s="29" t="str">
        <x:f>IF(E2817=F2817,"PASS","FAIL")</x:f>
        <x:v>PASS</x:v>
      </x:c>
    </x:row>
    <x:row r="2818" ht="18" customHeight="1">
      <x:c r="B2818" s="27" t="str">
        <x:v>A2812</x:v>
      </x:c>
      <x:c r="C2818" s="27" t="str">
        <x:v>calibration</x:v>
      </x:c>
      <x:c r="D2818" s="27" t="str">
        <x:v>Calibration row 13 pre-post required</x:v>
      </x:c>
      <x:c r="E2818" s="27" t="n">
        <x:f>IF(Calibration!J13=1,1,0)</x:f>
        <x:v>1</x:v>
      </x:c>
      <x:c r="F2818" s="27" t="n">
        <x:v>1</x:v>
      </x:c>
      <x:c r="G2818" s="29" t="str">
        <x:f>IF(E2818=F2818,"PASS","FAIL")</x:f>
        <x:v>PASS</x:v>
      </x:c>
    </x:row>
    <x:row r="2819" ht="18" customHeight="1">
      <x:c r="B2819" s="27" t="str">
        <x:v>A2813</x:v>
      </x:c>
      <x:c r="C2819" s="27" t="str">
        <x:v>calibration</x:v>
      </x:c>
      <x:c r="D2819" s="27" t="str">
        <x:v>Calibration row 13 evidence open</x:v>
      </x:c>
      <x:c r="E2819" s="27" t="n">
        <x:f>IF(Calibration!L13="OPEN",1,0)</x:f>
        <x:v>1</x:v>
      </x:c>
      <x:c r="F2819" s="27" t="n">
        <x:v>1</x:v>
      </x:c>
      <x:c r="G2819" s="29" t="str">
        <x:f>IF(E2819=F2819,"PASS","FAIL")</x:f>
        <x:v>PASS</x:v>
      </x:c>
    </x:row>
    <x:row r="2820" ht="18" customHeight="1">
      <x:c r="B2820" s="27" t="str">
        <x:v>A2814</x:v>
      </x:c>
      <x:c r="C2820" s="27" t="str">
        <x:v>calibration</x:v>
      </x:c>
      <x:c r="D2820" s="27" t="str">
        <x:v>Calibration row 14 allocation nonnegative</x:v>
      </x:c>
      <x:c r="E2820" s="27" t="n">
        <x:f>IF(Calibration!E14&gt;=0,1,0)</x:f>
        <x:v>1</x:v>
      </x:c>
      <x:c r="F2820" s="27" t="n">
        <x:v>1</x:v>
      </x:c>
      <x:c r="G2820" s="29" t="str">
        <x:f>IF(E2820=F2820,"PASS","FAIL")</x:f>
        <x:v>PASS</x:v>
      </x:c>
    </x:row>
    <x:row r="2821" ht="18" customHeight="1">
      <x:c r="B2821" s="27" t="str">
        <x:v>A2815</x:v>
      </x:c>
      <x:c r="C2821" s="27" t="str">
        <x:v>calibration</x:v>
      </x:c>
      <x:c r="D2821" s="27" t="str">
        <x:v>Calibration row 14 field target half allocation</x:v>
      </x:c>
      <x:c r="E2821" s="27" t="n">
        <x:f>IF(ABS(Calibration!G14-Calibration!E14/2)&lt;0.000001,1,0)</x:f>
        <x:v>1</x:v>
      </x:c>
      <x:c r="F2821" s="27" t="n">
        <x:v>1</x:v>
      </x:c>
      <x:c r="G2821" s="29" t="str">
        <x:f>IF(E2821=F2821,"PASS","FAIL")</x:f>
        <x:v>PASS</x:v>
      </x:c>
    </x:row>
    <x:row r="2822" ht="18" customHeight="1">
      <x:c r="B2822" s="27" t="str">
        <x:v>A2816</x:v>
      </x:c>
      <x:c r="C2822" s="27" t="str">
        <x:v>calibration</x:v>
      </x:c>
      <x:c r="D2822" s="27" t="str">
        <x:v>Calibration row 14 pre-post required</x:v>
      </x:c>
      <x:c r="E2822" s="27" t="n">
        <x:f>IF(Calibration!J14=1,1,0)</x:f>
        <x:v>1</x:v>
      </x:c>
      <x:c r="F2822" s="27" t="n">
        <x:v>1</x:v>
      </x:c>
      <x:c r="G2822" s="29" t="str">
        <x:f>IF(E2822=F2822,"PASS","FAIL")</x:f>
        <x:v>PASS</x:v>
      </x:c>
    </x:row>
    <x:row r="2823" ht="18" customHeight="1">
      <x:c r="B2823" s="27" t="str">
        <x:v>A2817</x:v>
      </x:c>
      <x:c r="C2823" s="27" t="str">
        <x:v>calibration</x:v>
      </x:c>
      <x:c r="D2823" s="27" t="str">
        <x:v>Calibration row 14 evidence open</x:v>
      </x:c>
      <x:c r="E2823" s="27" t="n">
        <x:f>IF(Calibration!L14="OPEN",1,0)</x:f>
        <x:v>1</x:v>
      </x:c>
      <x:c r="F2823" s="27" t="n">
        <x:v>1</x:v>
      </x:c>
      <x:c r="G2823" s="29" t="str">
        <x:f>IF(E2823=F2823,"PASS","FAIL")</x:f>
        <x:v>PASS</x:v>
      </x:c>
    </x:row>
    <x:row r="2824" ht="18" customHeight="1">
      <x:c r="B2824" s="27" t="str">
        <x:v>A2818</x:v>
      </x:c>
      <x:c r="C2824" s="27" t="str">
        <x:v>calibration</x:v>
      </x:c>
      <x:c r="D2824" s="27" t="str">
        <x:v>Calibration row 15 allocation nonnegative</x:v>
      </x:c>
      <x:c r="E2824" s="27" t="n">
        <x:f>IF(Calibration!E15&gt;=0,1,0)</x:f>
        <x:v>1</x:v>
      </x:c>
      <x:c r="F2824" s="27" t="n">
        <x:v>1</x:v>
      </x:c>
      <x:c r="G2824" s="29" t="str">
        <x:f>IF(E2824=F2824,"PASS","FAIL")</x:f>
        <x:v>PASS</x:v>
      </x:c>
    </x:row>
    <x:row r="2825" ht="18" customHeight="1">
      <x:c r="B2825" s="27" t="str">
        <x:v>A2819</x:v>
      </x:c>
      <x:c r="C2825" s="27" t="str">
        <x:v>calibration</x:v>
      </x:c>
      <x:c r="D2825" s="27" t="str">
        <x:v>Calibration row 15 field target half allocation</x:v>
      </x:c>
      <x:c r="E2825" s="27" t="n">
        <x:f>IF(ABS(Calibration!G15-Calibration!E15/2)&lt;0.000001,1,0)</x:f>
        <x:v>1</x:v>
      </x:c>
      <x:c r="F2825" s="27" t="n">
        <x:v>1</x:v>
      </x:c>
      <x:c r="G2825" s="29" t="str">
        <x:f>IF(E2825=F2825,"PASS","FAIL")</x:f>
        <x:v>PASS</x:v>
      </x:c>
    </x:row>
    <x:row r="2826" ht="18" customHeight="1">
      <x:c r="B2826" s="27" t="str">
        <x:v>A2820</x:v>
      </x:c>
      <x:c r="C2826" s="27" t="str">
        <x:v>calibration</x:v>
      </x:c>
      <x:c r="D2826" s="27" t="str">
        <x:v>Calibration row 15 pre-post required</x:v>
      </x:c>
      <x:c r="E2826" s="27" t="n">
        <x:f>IF(Calibration!J15=1,1,0)</x:f>
        <x:v>1</x:v>
      </x:c>
      <x:c r="F2826" s="27" t="n">
        <x:v>1</x:v>
      </x:c>
      <x:c r="G2826" s="29" t="str">
        <x:f>IF(E2826=F2826,"PASS","FAIL")</x:f>
        <x:v>PASS</x:v>
      </x:c>
    </x:row>
    <x:row r="2827" ht="18" customHeight="1">
      <x:c r="B2827" s="27" t="str">
        <x:v>A2821</x:v>
      </x:c>
      <x:c r="C2827" s="27" t="str">
        <x:v>calibration</x:v>
      </x:c>
      <x:c r="D2827" s="27" t="str">
        <x:v>Calibration row 15 evidence open</x:v>
      </x:c>
      <x:c r="E2827" s="27" t="n">
        <x:f>IF(Calibration!L15="OPEN",1,0)</x:f>
        <x:v>1</x:v>
      </x:c>
      <x:c r="F2827" s="27" t="n">
        <x:v>1</x:v>
      </x:c>
      <x:c r="G2827" s="29" t="str">
        <x:f>IF(E2827=F2827,"PASS","FAIL")</x:f>
        <x:v>PASS</x:v>
      </x:c>
    </x:row>
    <x:row r="2828" ht="18" customHeight="1">
      <x:c r="B2828" s="27" t="str">
        <x:v>A2822</x:v>
      </x:c>
      <x:c r="C2828" s="27" t="str">
        <x:v>calibration</x:v>
      </x:c>
      <x:c r="D2828" s="27" t="str">
        <x:v>Calibration row 16 allocation nonnegative</x:v>
      </x:c>
      <x:c r="E2828" s="27" t="n">
        <x:f>IF(Calibration!E16&gt;=0,1,0)</x:f>
        <x:v>1</x:v>
      </x:c>
      <x:c r="F2828" s="27" t="n">
        <x:v>1</x:v>
      </x:c>
      <x:c r="G2828" s="29" t="str">
        <x:f>IF(E2828=F2828,"PASS","FAIL")</x:f>
        <x:v>PASS</x:v>
      </x:c>
    </x:row>
    <x:row r="2829" ht="18" customHeight="1">
      <x:c r="B2829" s="27" t="str">
        <x:v>A2823</x:v>
      </x:c>
      <x:c r="C2829" s="27" t="str">
        <x:v>calibration</x:v>
      </x:c>
      <x:c r="D2829" s="27" t="str">
        <x:v>Calibration row 16 field target half allocation</x:v>
      </x:c>
      <x:c r="E2829" s="27" t="n">
        <x:f>IF(ABS(Calibration!G16-Calibration!E16/2)&lt;0.000001,1,0)</x:f>
        <x:v>1</x:v>
      </x:c>
      <x:c r="F2829" s="27" t="n">
        <x:v>1</x:v>
      </x:c>
      <x:c r="G2829" s="29" t="str">
        <x:f>IF(E2829=F2829,"PASS","FAIL")</x:f>
        <x:v>PASS</x:v>
      </x:c>
    </x:row>
    <x:row r="2830" ht="18" customHeight="1">
      <x:c r="B2830" s="27" t="str">
        <x:v>A2824</x:v>
      </x:c>
      <x:c r="C2830" s="27" t="str">
        <x:v>calibration</x:v>
      </x:c>
      <x:c r="D2830" s="27" t="str">
        <x:v>Calibration row 16 pre-post required</x:v>
      </x:c>
      <x:c r="E2830" s="27" t="n">
        <x:f>IF(Calibration!J16=1,1,0)</x:f>
        <x:v>1</x:v>
      </x:c>
      <x:c r="F2830" s="27" t="n">
        <x:v>1</x:v>
      </x:c>
      <x:c r="G2830" s="29" t="str">
        <x:f>IF(E2830=F2830,"PASS","FAIL")</x:f>
        <x:v>PASS</x:v>
      </x:c>
    </x:row>
    <x:row r="2831" ht="18" customHeight="1">
      <x:c r="B2831" s="27" t="str">
        <x:v>A2825</x:v>
      </x:c>
      <x:c r="C2831" s="27" t="str">
        <x:v>calibration</x:v>
      </x:c>
      <x:c r="D2831" s="27" t="str">
        <x:v>Calibration row 16 evidence open</x:v>
      </x:c>
      <x:c r="E2831" s="27" t="n">
        <x:f>IF(Calibration!L16="OPEN",1,0)</x:f>
        <x:v>1</x:v>
      </x:c>
      <x:c r="F2831" s="27" t="n">
        <x:v>1</x:v>
      </x:c>
      <x:c r="G2831" s="29" t="str">
        <x:f>IF(E2831=F2831,"PASS","FAIL")</x:f>
        <x:v>PASS</x:v>
      </x:c>
    </x:row>
    <x:row r="2832" ht="18" customHeight="1">
      <x:c r="B2832" s="27" t="str">
        <x:v>A2826</x:v>
      </x:c>
      <x:c r="C2832" s="27" t="str">
        <x:v>calibration</x:v>
      </x:c>
      <x:c r="D2832" s="27" t="str">
        <x:v>Calibration row 17 allocation nonnegative</x:v>
      </x:c>
      <x:c r="E2832" s="27" t="n">
        <x:f>IF(Calibration!E17&gt;=0,1,0)</x:f>
        <x:v>1</x:v>
      </x:c>
      <x:c r="F2832" s="27" t="n">
        <x:v>1</x:v>
      </x:c>
      <x:c r="G2832" s="29" t="str">
        <x:f>IF(E2832=F2832,"PASS","FAIL")</x:f>
        <x:v>PASS</x:v>
      </x:c>
    </x:row>
    <x:row r="2833" ht="18" customHeight="1">
      <x:c r="B2833" s="27" t="str">
        <x:v>A2827</x:v>
      </x:c>
      <x:c r="C2833" s="27" t="str">
        <x:v>calibration</x:v>
      </x:c>
      <x:c r="D2833" s="27" t="str">
        <x:v>Calibration row 17 field target half allocation</x:v>
      </x:c>
      <x:c r="E2833" s="27" t="n">
        <x:f>IF(ABS(Calibration!G17-Calibration!E17/2)&lt;0.000001,1,0)</x:f>
        <x:v>1</x:v>
      </x:c>
      <x:c r="F2833" s="27" t="n">
        <x:v>1</x:v>
      </x:c>
      <x:c r="G2833" s="29" t="str">
        <x:f>IF(E2833=F2833,"PASS","FAIL")</x:f>
        <x:v>PASS</x:v>
      </x:c>
    </x:row>
    <x:row r="2834" ht="18" customHeight="1">
      <x:c r="B2834" s="27" t="str">
        <x:v>A2828</x:v>
      </x:c>
      <x:c r="C2834" s="27" t="str">
        <x:v>calibration</x:v>
      </x:c>
      <x:c r="D2834" s="27" t="str">
        <x:v>Calibration row 17 pre-post required</x:v>
      </x:c>
      <x:c r="E2834" s="27" t="n">
        <x:f>IF(Calibration!J17=1,1,0)</x:f>
        <x:v>1</x:v>
      </x:c>
      <x:c r="F2834" s="27" t="n">
        <x:v>1</x:v>
      </x:c>
      <x:c r="G2834" s="29" t="str">
        <x:f>IF(E2834=F2834,"PASS","FAIL")</x:f>
        <x:v>PASS</x:v>
      </x:c>
    </x:row>
    <x:row r="2835" ht="18" customHeight="1">
      <x:c r="B2835" s="27" t="str">
        <x:v>A2829</x:v>
      </x:c>
      <x:c r="C2835" s="27" t="str">
        <x:v>calibration</x:v>
      </x:c>
      <x:c r="D2835" s="27" t="str">
        <x:v>Calibration row 17 evidence open</x:v>
      </x:c>
      <x:c r="E2835" s="27" t="n">
        <x:f>IF(Calibration!L17="OPEN",1,0)</x:f>
        <x:v>1</x:v>
      </x:c>
      <x:c r="F2835" s="27" t="n">
        <x:v>1</x:v>
      </x:c>
      <x:c r="G2835" s="29" t="str">
        <x:f>IF(E2835=F2835,"PASS","FAIL")</x:f>
        <x:v>PASS</x:v>
      </x:c>
    </x:row>
    <x:row r="2836" ht="18" customHeight="1">
      <x:c r="B2836" s="27" t="str">
        <x:v>A2830</x:v>
      </x:c>
      <x:c r="C2836" s="27" t="str">
        <x:v>calibration</x:v>
      </x:c>
      <x:c r="D2836" s="27" t="str">
        <x:v>Calibration row 18 allocation nonnegative</x:v>
      </x:c>
      <x:c r="E2836" s="27" t="n">
        <x:f>IF(Calibration!E18&gt;=0,1,0)</x:f>
        <x:v>1</x:v>
      </x:c>
      <x:c r="F2836" s="27" t="n">
        <x:v>1</x:v>
      </x:c>
      <x:c r="G2836" s="29" t="str">
        <x:f>IF(E2836=F2836,"PASS","FAIL")</x:f>
        <x:v>PASS</x:v>
      </x:c>
    </x:row>
    <x:row r="2837" ht="18" customHeight="1">
      <x:c r="B2837" s="27" t="str">
        <x:v>A2831</x:v>
      </x:c>
      <x:c r="C2837" s="27" t="str">
        <x:v>calibration</x:v>
      </x:c>
      <x:c r="D2837" s="27" t="str">
        <x:v>Calibration row 18 field target half allocation</x:v>
      </x:c>
      <x:c r="E2837" s="27" t="n">
        <x:f>IF(ABS(Calibration!G18-Calibration!E18/2)&lt;0.000001,1,0)</x:f>
        <x:v>1</x:v>
      </x:c>
      <x:c r="F2837" s="27" t="n">
        <x:v>1</x:v>
      </x:c>
      <x:c r="G2837" s="29" t="str">
        <x:f>IF(E2837=F2837,"PASS","FAIL")</x:f>
        <x:v>PASS</x:v>
      </x:c>
    </x:row>
    <x:row r="2838" ht="18" customHeight="1">
      <x:c r="B2838" s="27" t="str">
        <x:v>A2832</x:v>
      </x:c>
      <x:c r="C2838" s="27" t="str">
        <x:v>calibration</x:v>
      </x:c>
      <x:c r="D2838" s="27" t="str">
        <x:v>Calibration row 18 pre-post required</x:v>
      </x:c>
      <x:c r="E2838" s="27" t="n">
        <x:f>IF(Calibration!J18=1,1,0)</x:f>
        <x:v>1</x:v>
      </x:c>
      <x:c r="F2838" s="27" t="n">
        <x:v>1</x:v>
      </x:c>
      <x:c r="G2838" s="29" t="str">
        <x:f>IF(E2838=F2838,"PASS","FAIL")</x:f>
        <x:v>PASS</x:v>
      </x:c>
    </x:row>
    <x:row r="2839" ht="18" customHeight="1">
      <x:c r="B2839" s="27" t="str">
        <x:v>A2833</x:v>
      </x:c>
      <x:c r="C2839" s="27" t="str">
        <x:v>calibration</x:v>
      </x:c>
      <x:c r="D2839" s="27" t="str">
        <x:v>Calibration row 18 evidence open</x:v>
      </x:c>
      <x:c r="E2839" s="27" t="n">
        <x:f>IF(Calibration!L18="OPEN",1,0)</x:f>
        <x:v>1</x:v>
      </x:c>
      <x:c r="F2839" s="27" t="n">
        <x:v>1</x:v>
      </x:c>
      <x:c r="G2839" s="29" t="str">
        <x:f>IF(E2839=F2839,"PASS","FAIL")</x:f>
        <x:v>PASS</x:v>
      </x:c>
    </x:row>
    <x:row r="2840" ht="18" customHeight="1">
      <x:c r="B2840" s="27" t="str">
        <x:v>A2834</x:v>
      </x:c>
      <x:c r="C2840" s="27" t="str">
        <x:v>calibration</x:v>
      </x:c>
      <x:c r="D2840" s="27" t="str">
        <x:v>Calibration row 19 allocation nonnegative</x:v>
      </x:c>
      <x:c r="E2840" s="27" t="n">
        <x:f>IF(Calibration!E19&gt;=0,1,0)</x:f>
        <x:v>1</x:v>
      </x:c>
      <x:c r="F2840" s="27" t="n">
        <x:v>1</x:v>
      </x:c>
      <x:c r="G2840" s="29" t="str">
        <x:f>IF(E2840=F2840,"PASS","FAIL")</x:f>
        <x:v>PASS</x:v>
      </x:c>
    </x:row>
    <x:row r="2841" ht="18" customHeight="1">
      <x:c r="B2841" s="27" t="str">
        <x:v>A2835</x:v>
      </x:c>
      <x:c r="C2841" s="27" t="str">
        <x:v>calibration</x:v>
      </x:c>
      <x:c r="D2841" s="27" t="str">
        <x:v>Calibration row 19 field target half allocation</x:v>
      </x:c>
      <x:c r="E2841" s="27" t="n">
        <x:f>IF(ABS(Calibration!G19-Calibration!E19/2)&lt;0.000001,1,0)</x:f>
        <x:v>1</x:v>
      </x:c>
      <x:c r="F2841" s="27" t="n">
        <x:v>1</x:v>
      </x:c>
      <x:c r="G2841" s="29" t="str">
        <x:f>IF(E2841=F2841,"PASS","FAIL")</x:f>
        <x:v>PASS</x:v>
      </x:c>
    </x:row>
    <x:row r="2842" ht="18" customHeight="1">
      <x:c r="B2842" s="27" t="str">
        <x:v>A2836</x:v>
      </x:c>
      <x:c r="C2842" s="27" t="str">
        <x:v>calibration</x:v>
      </x:c>
      <x:c r="D2842" s="27" t="str">
        <x:v>Calibration row 19 pre-post required</x:v>
      </x:c>
      <x:c r="E2842" s="27" t="n">
        <x:f>IF(Calibration!J19=1,1,0)</x:f>
        <x:v>1</x:v>
      </x:c>
      <x:c r="F2842" s="27" t="n">
        <x:v>1</x:v>
      </x:c>
      <x:c r="G2842" s="29" t="str">
        <x:f>IF(E2842=F2842,"PASS","FAIL")</x:f>
        <x:v>PASS</x:v>
      </x:c>
    </x:row>
    <x:row r="2843" ht="18" customHeight="1">
      <x:c r="B2843" s="27" t="str">
        <x:v>A2837</x:v>
      </x:c>
      <x:c r="C2843" s="27" t="str">
        <x:v>calibration</x:v>
      </x:c>
      <x:c r="D2843" s="27" t="str">
        <x:v>Calibration row 19 evidence open</x:v>
      </x:c>
      <x:c r="E2843" s="27" t="n">
        <x:f>IF(Calibration!L19="OPEN",1,0)</x:f>
        <x:v>1</x:v>
      </x:c>
      <x:c r="F2843" s="27" t="n">
        <x:v>1</x:v>
      </x:c>
      <x:c r="G2843" s="29" t="str">
        <x:f>IF(E2843=F2843,"PASS","FAIL")</x:f>
        <x:v>PASS</x:v>
      </x:c>
    </x:row>
    <x:row r="2844" ht="18" customHeight="1">
      <x:c r="B2844" s="27" t="str">
        <x:v>A2838</x:v>
      </x:c>
      <x:c r="C2844" s="27" t="str">
        <x:v>calibration</x:v>
      </x:c>
      <x:c r="D2844" s="27" t="str">
        <x:v>Calibration row 20 allocation nonnegative</x:v>
      </x:c>
      <x:c r="E2844" s="27" t="n">
        <x:f>IF(Calibration!E20&gt;=0,1,0)</x:f>
        <x:v>1</x:v>
      </x:c>
      <x:c r="F2844" s="27" t="n">
        <x:v>1</x:v>
      </x:c>
      <x:c r="G2844" s="29" t="str">
        <x:f>IF(E2844=F2844,"PASS","FAIL")</x:f>
        <x:v>PASS</x:v>
      </x:c>
    </x:row>
    <x:row r="2845" ht="18" customHeight="1">
      <x:c r="B2845" s="27" t="str">
        <x:v>A2839</x:v>
      </x:c>
      <x:c r="C2845" s="27" t="str">
        <x:v>calibration</x:v>
      </x:c>
      <x:c r="D2845" s="27" t="str">
        <x:v>Calibration row 20 field target half allocation</x:v>
      </x:c>
      <x:c r="E2845" s="27" t="n">
        <x:f>IF(ABS(Calibration!G20-Calibration!E20/2)&lt;0.000001,1,0)</x:f>
        <x:v>1</x:v>
      </x:c>
      <x:c r="F2845" s="27" t="n">
        <x:v>1</x:v>
      </x:c>
      <x:c r="G2845" s="29" t="str">
        <x:f>IF(E2845=F2845,"PASS","FAIL")</x:f>
        <x:v>PASS</x:v>
      </x:c>
    </x:row>
    <x:row r="2846" ht="18" customHeight="1">
      <x:c r="B2846" s="27" t="str">
        <x:v>A2840</x:v>
      </x:c>
      <x:c r="C2846" s="27" t="str">
        <x:v>calibration</x:v>
      </x:c>
      <x:c r="D2846" s="27" t="str">
        <x:v>Calibration row 20 pre-post required</x:v>
      </x:c>
      <x:c r="E2846" s="27" t="n">
        <x:f>IF(Calibration!J20=1,1,0)</x:f>
        <x:v>1</x:v>
      </x:c>
      <x:c r="F2846" s="27" t="n">
        <x:v>1</x:v>
      </x:c>
      <x:c r="G2846" s="29" t="str">
        <x:f>IF(E2846=F2846,"PASS","FAIL")</x:f>
        <x:v>PASS</x:v>
      </x:c>
    </x:row>
    <x:row r="2847" ht="18" customHeight="1">
      <x:c r="B2847" s="27" t="str">
        <x:v>A2841</x:v>
      </x:c>
      <x:c r="C2847" s="27" t="str">
        <x:v>calibration</x:v>
      </x:c>
      <x:c r="D2847" s="27" t="str">
        <x:v>Calibration row 20 evidence open</x:v>
      </x:c>
      <x:c r="E2847" s="27" t="n">
        <x:f>IF(Calibration!L20="OPEN",1,0)</x:f>
        <x:v>1</x:v>
      </x:c>
      <x:c r="F2847" s="27" t="n">
        <x:v>1</x:v>
      </x:c>
      <x:c r="G2847" s="29" t="str">
        <x:f>IF(E2847=F2847,"PASS","FAIL")</x:f>
        <x:v>PASS</x:v>
      </x:c>
    </x:row>
    <x:row r="2848" ht="18" customHeight="1">
      <x:c r="B2848" s="27" t="str">
        <x:v>A2842</x:v>
      </x:c>
      <x:c r="C2848" s="27" t="str">
        <x:v>calibration</x:v>
      </x:c>
      <x:c r="D2848" s="27" t="str">
        <x:v>Calibration row 21 allocation nonnegative</x:v>
      </x:c>
      <x:c r="E2848" s="27" t="n">
        <x:f>IF(Calibration!E21&gt;=0,1,0)</x:f>
        <x:v>1</x:v>
      </x:c>
      <x:c r="F2848" s="27" t="n">
        <x:v>1</x:v>
      </x:c>
      <x:c r="G2848" s="29" t="str">
        <x:f>IF(E2848=F2848,"PASS","FAIL")</x:f>
        <x:v>PASS</x:v>
      </x:c>
    </x:row>
    <x:row r="2849" ht="18" customHeight="1">
      <x:c r="B2849" s="27" t="str">
        <x:v>A2843</x:v>
      </x:c>
      <x:c r="C2849" s="27" t="str">
        <x:v>calibration</x:v>
      </x:c>
      <x:c r="D2849" s="27" t="str">
        <x:v>Calibration row 21 field target half allocation</x:v>
      </x:c>
      <x:c r="E2849" s="27" t="n">
        <x:f>IF(ABS(Calibration!G21-Calibration!E21/2)&lt;0.000001,1,0)</x:f>
        <x:v>1</x:v>
      </x:c>
      <x:c r="F2849" s="27" t="n">
        <x:v>1</x:v>
      </x:c>
      <x:c r="G2849" s="29" t="str">
        <x:f>IF(E2849=F2849,"PASS","FAIL")</x:f>
        <x:v>PASS</x:v>
      </x:c>
    </x:row>
    <x:row r="2850" ht="18" customHeight="1">
      <x:c r="B2850" s="27" t="str">
        <x:v>A2844</x:v>
      </x:c>
      <x:c r="C2850" s="27" t="str">
        <x:v>calibration</x:v>
      </x:c>
      <x:c r="D2850" s="27" t="str">
        <x:v>Calibration row 21 pre-post required</x:v>
      </x:c>
      <x:c r="E2850" s="27" t="n">
        <x:f>IF(Calibration!J21=1,1,0)</x:f>
        <x:v>1</x:v>
      </x:c>
      <x:c r="F2850" s="27" t="n">
        <x:v>1</x:v>
      </x:c>
      <x:c r="G2850" s="29" t="str">
        <x:f>IF(E2850=F2850,"PASS","FAIL")</x:f>
        <x:v>PASS</x:v>
      </x:c>
    </x:row>
    <x:row r="2851" ht="18" customHeight="1">
      <x:c r="B2851" s="27" t="str">
        <x:v>A2845</x:v>
      </x:c>
      <x:c r="C2851" s="27" t="str">
        <x:v>calibration</x:v>
      </x:c>
      <x:c r="D2851" s="27" t="str">
        <x:v>Calibration row 21 evidence open</x:v>
      </x:c>
      <x:c r="E2851" s="27" t="n">
        <x:f>IF(Calibration!L21="OPEN",1,0)</x:f>
        <x:v>1</x:v>
      </x:c>
      <x:c r="F2851" s="27" t="n">
        <x:v>1</x:v>
      </x:c>
      <x:c r="G2851" s="29" t="str">
        <x:f>IF(E2851=F2851,"PASS","FAIL")</x:f>
        <x:v>PASS</x:v>
      </x:c>
    </x:row>
    <x:row r="2852" ht="18" customHeight="1">
      <x:c r="B2852" s="27" t="str">
        <x:v>A2846</x:v>
      </x:c>
      <x:c r="C2852" s="27" t="str">
        <x:v>calibration</x:v>
      </x:c>
      <x:c r="D2852" s="27" t="str">
        <x:v>Calibration row 22 allocation nonnegative</x:v>
      </x:c>
      <x:c r="E2852" s="27" t="n">
        <x:f>IF(Calibration!E22&gt;=0,1,0)</x:f>
        <x:v>1</x:v>
      </x:c>
      <x:c r="F2852" s="27" t="n">
        <x:v>1</x:v>
      </x:c>
      <x:c r="G2852" s="29" t="str">
        <x:f>IF(E2852=F2852,"PASS","FAIL")</x:f>
        <x:v>PASS</x:v>
      </x:c>
    </x:row>
    <x:row r="2853" ht="18" customHeight="1">
      <x:c r="B2853" s="27" t="str">
        <x:v>A2847</x:v>
      </x:c>
      <x:c r="C2853" s="27" t="str">
        <x:v>calibration</x:v>
      </x:c>
      <x:c r="D2853" s="27" t="str">
        <x:v>Calibration row 22 field target half allocation</x:v>
      </x:c>
      <x:c r="E2853" s="27" t="n">
        <x:f>IF(ABS(Calibration!G22-Calibration!E22/2)&lt;0.000001,1,0)</x:f>
        <x:v>1</x:v>
      </x:c>
      <x:c r="F2853" s="27" t="n">
        <x:v>1</x:v>
      </x:c>
      <x:c r="G2853" s="29" t="str">
        <x:f>IF(E2853=F2853,"PASS","FAIL")</x:f>
        <x:v>PASS</x:v>
      </x:c>
    </x:row>
    <x:row r="2854" ht="18" customHeight="1">
      <x:c r="B2854" s="27" t="str">
        <x:v>A2848</x:v>
      </x:c>
      <x:c r="C2854" s="27" t="str">
        <x:v>calibration</x:v>
      </x:c>
      <x:c r="D2854" s="27" t="str">
        <x:v>Calibration row 22 pre-post required</x:v>
      </x:c>
      <x:c r="E2854" s="27" t="n">
        <x:f>IF(Calibration!J22=1,1,0)</x:f>
        <x:v>1</x:v>
      </x:c>
      <x:c r="F2854" s="27" t="n">
        <x:v>1</x:v>
      </x:c>
      <x:c r="G2854" s="29" t="str">
        <x:f>IF(E2854=F2854,"PASS","FAIL")</x:f>
        <x:v>PASS</x:v>
      </x:c>
    </x:row>
    <x:row r="2855" ht="18" customHeight="1">
      <x:c r="B2855" s="27" t="str">
        <x:v>A2849</x:v>
      </x:c>
      <x:c r="C2855" s="27" t="str">
        <x:v>calibration</x:v>
      </x:c>
      <x:c r="D2855" s="27" t="str">
        <x:v>Calibration row 22 evidence open</x:v>
      </x:c>
      <x:c r="E2855" s="27" t="n">
        <x:f>IF(Calibration!L22="OPEN",1,0)</x:f>
        <x:v>1</x:v>
      </x:c>
      <x:c r="F2855" s="27" t="n">
        <x:v>1</x:v>
      </x:c>
      <x:c r="G2855" s="29" t="str">
        <x:f>IF(E2855=F2855,"PASS","FAIL")</x:f>
        <x:v>PASS</x:v>
      </x:c>
    </x:row>
    <x:row r="2856" ht="18" customHeight="1">
      <x:c r="B2856" s="27" t="str">
        <x:v>A2850</x:v>
      </x:c>
      <x:c r="C2856" s="27" t="str">
        <x:v>calibration</x:v>
      </x:c>
      <x:c r="D2856" s="27" t="str">
        <x:v>Calibration row 23 allocation nonnegative</x:v>
      </x:c>
      <x:c r="E2856" s="27" t="n">
        <x:f>IF(Calibration!E23&gt;=0,1,0)</x:f>
        <x:v>1</x:v>
      </x:c>
      <x:c r="F2856" s="27" t="n">
        <x:v>1</x:v>
      </x:c>
      <x:c r="G2856" s="29" t="str">
        <x:f>IF(E2856=F2856,"PASS","FAIL")</x:f>
        <x:v>PASS</x:v>
      </x:c>
    </x:row>
    <x:row r="2857" ht="18" customHeight="1">
      <x:c r="B2857" s="27" t="str">
        <x:v>A2851</x:v>
      </x:c>
      <x:c r="C2857" s="27" t="str">
        <x:v>calibration</x:v>
      </x:c>
      <x:c r="D2857" s="27" t="str">
        <x:v>Calibration row 23 field target half allocation</x:v>
      </x:c>
      <x:c r="E2857" s="27" t="n">
        <x:f>IF(ABS(Calibration!G23-Calibration!E23/2)&lt;0.000001,1,0)</x:f>
        <x:v>1</x:v>
      </x:c>
      <x:c r="F2857" s="27" t="n">
        <x:v>1</x:v>
      </x:c>
      <x:c r="G2857" s="29" t="str">
        <x:f>IF(E2857=F2857,"PASS","FAIL")</x:f>
        <x:v>PASS</x:v>
      </x:c>
    </x:row>
    <x:row r="2858" ht="18" customHeight="1">
      <x:c r="B2858" s="27" t="str">
        <x:v>A2852</x:v>
      </x:c>
      <x:c r="C2858" s="27" t="str">
        <x:v>calibration</x:v>
      </x:c>
      <x:c r="D2858" s="27" t="str">
        <x:v>Calibration row 23 pre-post required</x:v>
      </x:c>
      <x:c r="E2858" s="27" t="n">
        <x:f>IF(Calibration!J23=1,1,0)</x:f>
        <x:v>1</x:v>
      </x:c>
      <x:c r="F2858" s="27" t="n">
        <x:v>1</x:v>
      </x:c>
      <x:c r="G2858" s="29" t="str">
        <x:f>IF(E2858=F2858,"PASS","FAIL")</x:f>
        <x:v>PASS</x:v>
      </x:c>
    </x:row>
    <x:row r="2859" ht="18" customHeight="1">
      <x:c r="B2859" s="27" t="str">
        <x:v>A2853</x:v>
      </x:c>
      <x:c r="C2859" s="27" t="str">
        <x:v>calibration</x:v>
      </x:c>
      <x:c r="D2859" s="27" t="str">
        <x:v>Calibration row 23 evidence open</x:v>
      </x:c>
      <x:c r="E2859" s="27" t="n">
        <x:f>IF(Calibration!L23="OPEN",1,0)</x:f>
        <x:v>1</x:v>
      </x:c>
      <x:c r="F2859" s="27" t="n">
        <x:v>1</x:v>
      </x:c>
      <x:c r="G2859" s="29" t="str">
        <x:f>IF(E2859=F2859,"PASS","FAIL")</x:f>
        <x:v>PASS</x:v>
      </x:c>
    </x:row>
    <x:row r="2860" ht="18" customHeight="1">
      <x:c r="B2860" s="27" t="str">
        <x:v>A2854</x:v>
      </x:c>
      <x:c r="C2860" s="27" t="str">
        <x:v>calibration</x:v>
      </x:c>
      <x:c r="D2860" s="27" t="str">
        <x:v>Calibration row 24 allocation nonnegative</x:v>
      </x:c>
      <x:c r="E2860" s="27" t="n">
        <x:f>IF(Calibration!E24&gt;=0,1,0)</x:f>
        <x:v>1</x:v>
      </x:c>
      <x:c r="F2860" s="27" t="n">
        <x:v>1</x:v>
      </x:c>
      <x:c r="G2860" s="29" t="str">
        <x:f>IF(E2860=F2860,"PASS","FAIL")</x:f>
        <x:v>PASS</x:v>
      </x:c>
    </x:row>
    <x:row r="2861" ht="18" customHeight="1">
      <x:c r="B2861" s="27" t="str">
        <x:v>A2855</x:v>
      </x:c>
      <x:c r="C2861" s="27" t="str">
        <x:v>calibration</x:v>
      </x:c>
      <x:c r="D2861" s="27" t="str">
        <x:v>Calibration row 24 field target half allocation</x:v>
      </x:c>
      <x:c r="E2861" s="27" t="n">
        <x:f>IF(ABS(Calibration!G24-Calibration!E24/2)&lt;0.000001,1,0)</x:f>
        <x:v>1</x:v>
      </x:c>
      <x:c r="F2861" s="27" t="n">
        <x:v>1</x:v>
      </x:c>
      <x:c r="G2861" s="29" t="str">
        <x:f>IF(E2861=F2861,"PASS","FAIL")</x:f>
        <x:v>PASS</x:v>
      </x:c>
    </x:row>
    <x:row r="2862" ht="18" customHeight="1">
      <x:c r="B2862" s="27" t="str">
        <x:v>A2856</x:v>
      </x:c>
      <x:c r="C2862" s="27" t="str">
        <x:v>calibration</x:v>
      </x:c>
      <x:c r="D2862" s="27" t="str">
        <x:v>Calibration row 24 pre-post required</x:v>
      </x:c>
      <x:c r="E2862" s="27" t="n">
        <x:f>IF(Calibration!J24=1,1,0)</x:f>
        <x:v>1</x:v>
      </x:c>
      <x:c r="F2862" s="27" t="n">
        <x:v>1</x:v>
      </x:c>
      <x:c r="G2862" s="29" t="str">
        <x:f>IF(E2862=F2862,"PASS","FAIL")</x:f>
        <x:v>PASS</x:v>
      </x:c>
    </x:row>
    <x:row r="2863" ht="18" customHeight="1">
      <x:c r="B2863" s="27" t="str">
        <x:v>A2857</x:v>
      </x:c>
      <x:c r="C2863" s="27" t="str">
        <x:v>calibration</x:v>
      </x:c>
      <x:c r="D2863" s="27" t="str">
        <x:v>Calibration row 24 evidence open</x:v>
      </x:c>
      <x:c r="E2863" s="27" t="n">
        <x:f>IF(Calibration!L24="OPEN",1,0)</x:f>
        <x:v>1</x:v>
      </x:c>
      <x:c r="F2863" s="27" t="n">
        <x:v>1</x:v>
      </x:c>
      <x:c r="G2863" s="29" t="str">
        <x:f>IF(E2863=F2863,"PASS","FAIL")</x:f>
        <x:v>PASS</x:v>
      </x:c>
    </x:row>
    <x:row r="2864" ht="18" customHeight="1">
      <x:c r="B2864" s="27" t="str">
        <x:v>A2858</x:v>
      </x:c>
      <x:c r="C2864" s="27" t="str">
        <x:v>calibration</x:v>
      </x:c>
      <x:c r="D2864" s="27" t="str">
        <x:v>Calibration row 25 allocation nonnegative</x:v>
      </x:c>
      <x:c r="E2864" s="27" t="n">
        <x:f>IF(Calibration!E25&gt;=0,1,0)</x:f>
        <x:v>1</x:v>
      </x:c>
      <x:c r="F2864" s="27" t="n">
        <x:v>1</x:v>
      </x:c>
      <x:c r="G2864" s="29" t="str">
        <x:f>IF(E2864=F2864,"PASS","FAIL")</x:f>
        <x:v>PASS</x:v>
      </x:c>
    </x:row>
    <x:row r="2865" ht="18" customHeight="1">
      <x:c r="B2865" s="27" t="str">
        <x:v>A2859</x:v>
      </x:c>
      <x:c r="C2865" s="27" t="str">
        <x:v>calibration</x:v>
      </x:c>
      <x:c r="D2865" s="27" t="str">
        <x:v>Calibration row 25 field target half allocation</x:v>
      </x:c>
      <x:c r="E2865" s="27" t="n">
        <x:f>IF(ABS(Calibration!G25-Calibration!E25/2)&lt;0.000001,1,0)</x:f>
        <x:v>1</x:v>
      </x:c>
      <x:c r="F2865" s="27" t="n">
        <x:v>1</x:v>
      </x:c>
      <x:c r="G2865" s="29" t="str">
        <x:f>IF(E2865=F2865,"PASS","FAIL")</x:f>
        <x:v>PASS</x:v>
      </x:c>
    </x:row>
    <x:row r="2866" ht="18" customHeight="1">
      <x:c r="B2866" s="27" t="str">
        <x:v>A2860</x:v>
      </x:c>
      <x:c r="C2866" s="27" t="str">
        <x:v>calibration</x:v>
      </x:c>
      <x:c r="D2866" s="27" t="str">
        <x:v>Calibration row 25 pre-post required</x:v>
      </x:c>
      <x:c r="E2866" s="27" t="n">
        <x:f>IF(Calibration!J25=1,1,0)</x:f>
        <x:v>1</x:v>
      </x:c>
      <x:c r="F2866" s="27" t="n">
        <x:v>1</x:v>
      </x:c>
      <x:c r="G2866" s="29" t="str">
        <x:f>IF(E2866=F2866,"PASS","FAIL")</x:f>
        <x:v>PASS</x:v>
      </x:c>
    </x:row>
    <x:row r="2867" ht="18" customHeight="1">
      <x:c r="B2867" s="27" t="str">
        <x:v>A2861</x:v>
      </x:c>
      <x:c r="C2867" s="27" t="str">
        <x:v>calibration</x:v>
      </x:c>
      <x:c r="D2867" s="27" t="str">
        <x:v>Calibration row 25 evidence open</x:v>
      </x:c>
      <x:c r="E2867" s="27" t="n">
        <x:f>IF(Calibration!L25="OPEN",1,0)</x:f>
        <x:v>1</x:v>
      </x:c>
      <x:c r="F2867" s="27" t="n">
        <x:v>1</x:v>
      </x:c>
      <x:c r="G2867" s="29" t="str">
        <x:f>IF(E2867=F2867,"PASS","FAIL")</x:f>
        <x:v>PASS</x:v>
      </x:c>
    </x:row>
    <x:row r="2868" ht="18" customHeight="1">
      <x:c r="B2868" s="27" t="str">
        <x:v>A2862</x:v>
      </x:c>
      <x:c r="C2868" s="27" t="str">
        <x:v>calibration</x:v>
      </x:c>
      <x:c r="D2868" s="27" t="str">
        <x:v>Calibration row 26 allocation nonnegative</x:v>
      </x:c>
      <x:c r="E2868" s="27" t="n">
        <x:f>IF(Calibration!E26&gt;=0,1,0)</x:f>
        <x:v>1</x:v>
      </x:c>
      <x:c r="F2868" s="27" t="n">
        <x:v>1</x:v>
      </x:c>
      <x:c r="G2868" s="29" t="str">
        <x:f>IF(E2868=F2868,"PASS","FAIL")</x:f>
        <x:v>PASS</x:v>
      </x:c>
    </x:row>
    <x:row r="2869" ht="18" customHeight="1">
      <x:c r="B2869" s="27" t="str">
        <x:v>A2863</x:v>
      </x:c>
      <x:c r="C2869" s="27" t="str">
        <x:v>calibration</x:v>
      </x:c>
      <x:c r="D2869" s="27" t="str">
        <x:v>Calibration row 26 field target half allocation</x:v>
      </x:c>
      <x:c r="E2869" s="27" t="n">
        <x:f>IF(ABS(Calibration!G26-Calibration!E26/2)&lt;0.000001,1,0)</x:f>
        <x:v>1</x:v>
      </x:c>
      <x:c r="F2869" s="27" t="n">
        <x:v>1</x:v>
      </x:c>
      <x:c r="G2869" s="29" t="str">
        <x:f>IF(E2869=F2869,"PASS","FAIL")</x:f>
        <x:v>PASS</x:v>
      </x:c>
    </x:row>
    <x:row r="2870" ht="18" customHeight="1">
      <x:c r="B2870" s="27" t="str">
        <x:v>A2864</x:v>
      </x:c>
      <x:c r="C2870" s="27" t="str">
        <x:v>calibration</x:v>
      </x:c>
      <x:c r="D2870" s="27" t="str">
        <x:v>Calibration row 26 pre-post required</x:v>
      </x:c>
      <x:c r="E2870" s="27" t="n">
        <x:f>IF(Calibration!J26=1,1,0)</x:f>
        <x:v>1</x:v>
      </x:c>
      <x:c r="F2870" s="27" t="n">
        <x:v>1</x:v>
      </x:c>
      <x:c r="G2870" s="29" t="str">
        <x:f>IF(E2870=F2870,"PASS","FAIL")</x:f>
        <x:v>PASS</x:v>
      </x:c>
    </x:row>
    <x:row r="2871" ht="18" customHeight="1">
      <x:c r="B2871" s="27" t="str">
        <x:v>A2865</x:v>
      </x:c>
      <x:c r="C2871" s="27" t="str">
        <x:v>calibration</x:v>
      </x:c>
      <x:c r="D2871" s="27" t="str">
        <x:v>Calibration row 26 evidence open</x:v>
      </x:c>
      <x:c r="E2871" s="27" t="n">
        <x:f>IF(Calibration!L26="OPEN",1,0)</x:f>
        <x:v>1</x:v>
      </x:c>
      <x:c r="F2871" s="27" t="n">
        <x:v>1</x:v>
      </x:c>
      <x:c r="G2871" s="29" t="str">
        <x:f>IF(E2871=F2871,"PASS","FAIL")</x:f>
        <x:v>PASS</x:v>
      </x:c>
    </x:row>
    <x:row r="2872" ht="18" customHeight="1">
      <x:c r="B2872" s="27" t="str">
        <x:v>A2866</x:v>
      </x:c>
      <x:c r="C2872" s="27" t="str">
        <x:v>calibration</x:v>
      </x:c>
      <x:c r="D2872" s="27" t="str">
        <x:v>Calibration row 27 allocation nonnegative</x:v>
      </x:c>
      <x:c r="E2872" s="27" t="n">
        <x:f>IF(Calibration!E27&gt;=0,1,0)</x:f>
        <x:v>1</x:v>
      </x:c>
      <x:c r="F2872" s="27" t="n">
        <x:v>1</x:v>
      </x:c>
      <x:c r="G2872" s="29" t="str">
        <x:f>IF(E2872=F2872,"PASS","FAIL")</x:f>
        <x:v>PASS</x:v>
      </x:c>
    </x:row>
    <x:row r="2873" ht="18" customHeight="1">
      <x:c r="B2873" s="27" t="str">
        <x:v>A2867</x:v>
      </x:c>
      <x:c r="C2873" s="27" t="str">
        <x:v>calibration</x:v>
      </x:c>
      <x:c r="D2873" s="27" t="str">
        <x:v>Calibration row 27 field target half allocation</x:v>
      </x:c>
      <x:c r="E2873" s="27" t="n">
        <x:f>IF(ABS(Calibration!G27-Calibration!E27/2)&lt;0.000001,1,0)</x:f>
        <x:v>1</x:v>
      </x:c>
      <x:c r="F2873" s="27" t="n">
        <x:v>1</x:v>
      </x:c>
      <x:c r="G2873" s="29" t="str">
        <x:f>IF(E2873=F2873,"PASS","FAIL")</x:f>
        <x:v>PASS</x:v>
      </x:c>
    </x:row>
    <x:row r="2874" ht="18" customHeight="1">
      <x:c r="B2874" s="27" t="str">
        <x:v>A2868</x:v>
      </x:c>
      <x:c r="C2874" s="27" t="str">
        <x:v>calibration</x:v>
      </x:c>
      <x:c r="D2874" s="27" t="str">
        <x:v>Calibration row 27 pre-post required</x:v>
      </x:c>
      <x:c r="E2874" s="27" t="n">
        <x:f>IF(Calibration!J27=1,1,0)</x:f>
        <x:v>1</x:v>
      </x:c>
      <x:c r="F2874" s="27" t="n">
        <x:v>1</x:v>
      </x:c>
      <x:c r="G2874" s="29" t="str">
        <x:f>IF(E2874=F2874,"PASS","FAIL")</x:f>
        <x:v>PASS</x:v>
      </x:c>
    </x:row>
    <x:row r="2875" ht="18" customHeight="1">
      <x:c r="B2875" s="27" t="str">
        <x:v>A2869</x:v>
      </x:c>
      <x:c r="C2875" s="27" t="str">
        <x:v>calibration</x:v>
      </x:c>
      <x:c r="D2875" s="27" t="str">
        <x:v>Calibration row 27 evidence open</x:v>
      </x:c>
      <x:c r="E2875" s="27" t="n">
        <x:f>IF(Calibration!L27="OPEN",1,0)</x:f>
        <x:v>1</x:v>
      </x:c>
      <x:c r="F2875" s="27" t="n">
        <x:v>1</x:v>
      </x:c>
      <x:c r="G2875" s="29" t="str">
        <x:f>IF(E2875=F2875,"PASS","FAIL")</x:f>
        <x:v>PASS</x:v>
      </x:c>
    </x:row>
    <x:row r="2876" ht="18" customHeight="1">
      <x:c r="B2876" s="27" t="str">
        <x:v>A2870</x:v>
      </x:c>
      <x:c r="C2876" s="27" t="str">
        <x:v>calibration</x:v>
      </x:c>
      <x:c r="D2876" s="27" t="str">
        <x:v>Calibration row 28 allocation nonnegative</x:v>
      </x:c>
      <x:c r="E2876" s="27" t="n">
        <x:f>IF(Calibration!E28&gt;=0,1,0)</x:f>
        <x:v>1</x:v>
      </x:c>
      <x:c r="F2876" s="27" t="n">
        <x:v>1</x:v>
      </x:c>
      <x:c r="G2876" s="29" t="str">
        <x:f>IF(E2876=F2876,"PASS","FAIL")</x:f>
        <x:v>PASS</x:v>
      </x:c>
    </x:row>
    <x:row r="2877" ht="18" customHeight="1">
      <x:c r="B2877" s="27" t="str">
        <x:v>A2871</x:v>
      </x:c>
      <x:c r="C2877" s="27" t="str">
        <x:v>calibration</x:v>
      </x:c>
      <x:c r="D2877" s="27" t="str">
        <x:v>Calibration row 28 field target half allocation</x:v>
      </x:c>
      <x:c r="E2877" s="27" t="n">
        <x:f>IF(ABS(Calibration!G28-Calibration!E28/2)&lt;0.000001,1,0)</x:f>
        <x:v>1</x:v>
      </x:c>
      <x:c r="F2877" s="27" t="n">
        <x:v>1</x:v>
      </x:c>
      <x:c r="G2877" s="29" t="str">
        <x:f>IF(E2877=F2877,"PASS","FAIL")</x:f>
        <x:v>PASS</x:v>
      </x:c>
    </x:row>
    <x:row r="2878" ht="18" customHeight="1">
      <x:c r="B2878" s="27" t="str">
        <x:v>A2872</x:v>
      </x:c>
      <x:c r="C2878" s="27" t="str">
        <x:v>calibration</x:v>
      </x:c>
      <x:c r="D2878" s="27" t="str">
        <x:v>Calibration row 28 pre-post required</x:v>
      </x:c>
      <x:c r="E2878" s="27" t="n">
        <x:f>IF(Calibration!J28=1,1,0)</x:f>
        <x:v>1</x:v>
      </x:c>
      <x:c r="F2878" s="27" t="n">
        <x:v>1</x:v>
      </x:c>
      <x:c r="G2878" s="29" t="str">
        <x:f>IF(E2878=F2878,"PASS","FAIL")</x:f>
        <x:v>PASS</x:v>
      </x:c>
    </x:row>
    <x:row r="2879" ht="18" customHeight="1">
      <x:c r="B2879" s="27" t="str">
        <x:v>A2873</x:v>
      </x:c>
      <x:c r="C2879" s="27" t="str">
        <x:v>calibration</x:v>
      </x:c>
      <x:c r="D2879" s="27" t="str">
        <x:v>Calibration row 28 evidence open</x:v>
      </x:c>
      <x:c r="E2879" s="27" t="n">
        <x:f>IF(Calibration!L28="OPEN",1,0)</x:f>
        <x:v>1</x:v>
      </x:c>
      <x:c r="F2879" s="27" t="n">
        <x:v>1</x:v>
      </x:c>
      <x:c r="G2879" s="29" t="str">
        <x:f>IF(E2879=F2879,"PASS","FAIL")</x:f>
        <x:v>PASS</x:v>
      </x:c>
    </x:row>
    <x:row r="2880" ht="18" customHeight="1">
      <x:c r="B2880" s="27" t="str">
        <x:v>A2874</x:v>
      </x:c>
      <x:c r="C2880" s="27" t="str">
        <x:v>calibration</x:v>
      </x:c>
      <x:c r="D2880" s="27" t="str">
        <x:v>Calibration row 29 allocation nonnegative</x:v>
      </x:c>
      <x:c r="E2880" s="27" t="n">
        <x:f>IF(Calibration!E29&gt;=0,1,0)</x:f>
        <x:v>1</x:v>
      </x:c>
      <x:c r="F2880" s="27" t="n">
        <x:v>1</x:v>
      </x:c>
      <x:c r="G2880" s="29" t="str">
        <x:f>IF(E2880=F2880,"PASS","FAIL")</x:f>
        <x:v>PASS</x:v>
      </x:c>
    </x:row>
    <x:row r="2881" ht="18" customHeight="1">
      <x:c r="B2881" s="27" t="str">
        <x:v>A2875</x:v>
      </x:c>
      <x:c r="C2881" s="27" t="str">
        <x:v>calibration</x:v>
      </x:c>
      <x:c r="D2881" s="27" t="str">
        <x:v>Calibration row 29 field target half allocation</x:v>
      </x:c>
      <x:c r="E2881" s="27" t="n">
        <x:f>IF(ABS(Calibration!G29-Calibration!E29/2)&lt;0.000001,1,0)</x:f>
        <x:v>1</x:v>
      </x:c>
      <x:c r="F2881" s="27" t="n">
        <x:v>1</x:v>
      </x:c>
      <x:c r="G2881" s="29" t="str">
        <x:f>IF(E2881=F2881,"PASS","FAIL")</x:f>
        <x:v>PASS</x:v>
      </x:c>
    </x:row>
    <x:row r="2882" ht="18" customHeight="1">
      <x:c r="B2882" s="27" t="str">
        <x:v>A2876</x:v>
      </x:c>
      <x:c r="C2882" s="27" t="str">
        <x:v>calibration</x:v>
      </x:c>
      <x:c r="D2882" s="27" t="str">
        <x:v>Calibration row 29 pre-post required</x:v>
      </x:c>
      <x:c r="E2882" s="27" t="n">
        <x:f>IF(Calibration!J29=1,1,0)</x:f>
        <x:v>1</x:v>
      </x:c>
      <x:c r="F2882" s="27" t="n">
        <x:v>1</x:v>
      </x:c>
      <x:c r="G2882" s="29" t="str">
        <x:f>IF(E2882=F2882,"PASS","FAIL")</x:f>
        <x:v>PASS</x:v>
      </x:c>
    </x:row>
    <x:row r="2883" ht="18" customHeight="1">
      <x:c r="B2883" s="27" t="str">
        <x:v>A2877</x:v>
      </x:c>
      <x:c r="C2883" s="27" t="str">
        <x:v>calibration</x:v>
      </x:c>
      <x:c r="D2883" s="27" t="str">
        <x:v>Calibration row 29 evidence open</x:v>
      </x:c>
      <x:c r="E2883" s="27" t="n">
        <x:f>IF(Calibration!L29="OPEN",1,0)</x:f>
        <x:v>1</x:v>
      </x:c>
      <x:c r="F2883" s="27" t="n">
        <x:v>1</x:v>
      </x:c>
      <x:c r="G2883" s="29" t="str">
        <x:f>IF(E2883=F2883,"PASS","FAIL")</x:f>
        <x:v>PASS</x:v>
      </x:c>
    </x:row>
    <x:row r="2884" ht="18" customHeight="1">
      <x:c r="B2884" s="27" t="str">
        <x:v>A2878</x:v>
      </x:c>
      <x:c r="C2884" s="27" t="str">
        <x:v>rights</x:v>
      </x:c>
      <x:c r="D2884" s="27" t="str">
        <x:v>Rights row 7 required</x:v>
      </x:c>
      <x:c r="E2884" s="27" t="n">
        <x:f>IF('Ancestry Rights'!F7=1,1,0)</x:f>
        <x:v>1</x:v>
      </x:c>
      <x:c r="F2884" s="27" t="n">
        <x:v>1</x:v>
      </x:c>
      <x:c r="G2884" s="29" t="str">
        <x:f>IF(E2884=F2884,"PASS","FAIL")</x:f>
        <x:v>PASS</x:v>
      </x:c>
    </x:row>
    <x:row r="2885" ht="18" customHeight="1">
      <x:c r="B2885" s="27" t="str">
        <x:v>A2879</x:v>
      </x:c>
      <x:c r="C2885" s="27" t="str">
        <x:v>rights</x:v>
      </x:c>
      <x:c r="D2885" s="27" t="str">
        <x:v>Rights row 7 not accepted on paper</x:v>
      </x:c>
      <x:c r="E2885" s="27" t="n">
        <x:f>IF('Ancestry Rights'!G7=0,1,0)</x:f>
        <x:v>1</x:v>
      </x:c>
      <x:c r="F2885" s="27" t="n">
        <x:v>1</x:v>
      </x:c>
      <x:c r="G2885" s="29" t="str">
        <x:f>IF(E2885=F2885,"PASS","FAIL")</x:f>
        <x:v>PASS</x:v>
      </x:c>
    </x:row>
    <x:row r="2886" ht="18" customHeight="1">
      <x:c r="B2886" s="27" t="str">
        <x:v>A2880</x:v>
      </x:c>
      <x:c r="C2886" s="27" t="str">
        <x:v>rights</x:v>
      </x:c>
      <x:c r="D2886" s="27" t="str">
        <x:v>Rights row 7 authority present</x:v>
      </x:c>
      <x:c r="E2886" s="27" t="n">
        <x:f>IF('Ancestry Rights'!H7&lt;&gt;"",1,0)</x:f>
        <x:v>1</x:v>
      </x:c>
      <x:c r="F2886" s="27" t="n">
        <x:v>1</x:v>
      </x:c>
      <x:c r="G2886" s="29" t="str">
        <x:f>IF(E2886=F2886,"PASS","FAIL")</x:f>
        <x:v>PASS</x:v>
      </x:c>
    </x:row>
    <x:row r="2887" ht="18" customHeight="1">
      <x:c r="B2887" s="27" t="str">
        <x:v>A2881</x:v>
      </x:c>
      <x:c r="C2887" s="27" t="str">
        <x:v>rights</x:v>
      </x:c>
      <x:c r="D2887" s="27" t="str">
        <x:v>Rights row 7 evidence open</x:v>
      </x:c>
      <x:c r="E2887" s="27" t="n">
        <x:f>IF('Ancestry Rights'!I7="OPEN",1,0)</x:f>
        <x:v>1</x:v>
      </x:c>
      <x:c r="F2887" s="27" t="n">
        <x:v>1</x:v>
      </x:c>
      <x:c r="G2887" s="29" t="str">
        <x:f>IF(E2887=F2887,"PASS","FAIL")</x:f>
        <x:v>PASS</x:v>
      </x:c>
    </x:row>
    <x:row r="2888" ht="18" customHeight="1">
      <x:c r="B2888" s="27" t="str">
        <x:v>A2882</x:v>
      </x:c>
      <x:c r="C2888" s="27" t="str">
        <x:v>rights</x:v>
      </x:c>
      <x:c r="D2888" s="27" t="str">
        <x:v>Rights row 7 zero credit</x:v>
      </x:c>
      <x:c r="E2888" s="27" t="n">
        <x:f>IF('Ancestry Rights'!J7=0,1,0)</x:f>
        <x:v>1</x:v>
      </x:c>
      <x:c r="F2888" s="27" t="n">
        <x:v>1</x:v>
      </x:c>
      <x:c r="G2888" s="29" t="str">
        <x:f>IF(E2888=F2888,"PASS","FAIL")</x:f>
        <x:v>PASS</x:v>
      </x:c>
    </x:row>
    <x:row r="2889" ht="18" customHeight="1">
      <x:c r="B2889" s="27" t="str">
        <x:v>A2883</x:v>
      </x:c>
      <x:c r="C2889" s="27" t="str">
        <x:v>rights</x:v>
      </x:c>
      <x:c r="D2889" s="27" t="str">
        <x:v>Rights row 8 required</x:v>
      </x:c>
      <x:c r="E2889" s="27" t="n">
        <x:f>IF('Ancestry Rights'!F8=1,1,0)</x:f>
        <x:v>1</x:v>
      </x:c>
      <x:c r="F2889" s="27" t="n">
        <x:v>1</x:v>
      </x:c>
      <x:c r="G2889" s="29" t="str">
        <x:f>IF(E2889=F2889,"PASS","FAIL")</x:f>
        <x:v>PASS</x:v>
      </x:c>
    </x:row>
    <x:row r="2890" ht="18" customHeight="1">
      <x:c r="B2890" s="27" t="str">
        <x:v>A2884</x:v>
      </x:c>
      <x:c r="C2890" s="27" t="str">
        <x:v>rights</x:v>
      </x:c>
      <x:c r="D2890" s="27" t="str">
        <x:v>Rights row 8 not accepted on paper</x:v>
      </x:c>
      <x:c r="E2890" s="27" t="n">
        <x:f>IF('Ancestry Rights'!G8=0,1,0)</x:f>
        <x:v>1</x:v>
      </x:c>
      <x:c r="F2890" s="27" t="n">
        <x:v>1</x:v>
      </x:c>
      <x:c r="G2890" s="29" t="str">
        <x:f>IF(E2890=F2890,"PASS","FAIL")</x:f>
        <x:v>PASS</x:v>
      </x:c>
    </x:row>
    <x:row r="2891" ht="18" customHeight="1">
      <x:c r="B2891" s="27" t="str">
        <x:v>A2885</x:v>
      </x:c>
      <x:c r="C2891" s="27" t="str">
        <x:v>rights</x:v>
      </x:c>
      <x:c r="D2891" s="27" t="str">
        <x:v>Rights row 8 authority present</x:v>
      </x:c>
      <x:c r="E2891" s="27" t="n">
        <x:f>IF('Ancestry Rights'!H8&lt;&gt;"",1,0)</x:f>
        <x:v>1</x:v>
      </x:c>
      <x:c r="F2891" s="27" t="n">
        <x:v>1</x:v>
      </x:c>
      <x:c r="G2891" s="29" t="str">
        <x:f>IF(E2891=F2891,"PASS","FAIL")</x:f>
        <x:v>PASS</x:v>
      </x:c>
    </x:row>
    <x:row r="2892" ht="18" customHeight="1">
      <x:c r="B2892" s="27" t="str">
        <x:v>A2886</x:v>
      </x:c>
      <x:c r="C2892" s="27" t="str">
        <x:v>rights</x:v>
      </x:c>
      <x:c r="D2892" s="27" t="str">
        <x:v>Rights row 8 evidence open</x:v>
      </x:c>
      <x:c r="E2892" s="27" t="n">
        <x:f>IF('Ancestry Rights'!I8="OPEN",1,0)</x:f>
        <x:v>1</x:v>
      </x:c>
      <x:c r="F2892" s="27" t="n">
        <x:v>1</x:v>
      </x:c>
      <x:c r="G2892" s="29" t="str">
        <x:f>IF(E2892=F2892,"PASS","FAIL")</x:f>
        <x:v>PASS</x:v>
      </x:c>
    </x:row>
    <x:row r="2893" ht="18" customHeight="1">
      <x:c r="B2893" s="27" t="str">
        <x:v>A2887</x:v>
      </x:c>
      <x:c r="C2893" s="27" t="str">
        <x:v>rights</x:v>
      </x:c>
      <x:c r="D2893" s="27" t="str">
        <x:v>Rights row 8 zero credit</x:v>
      </x:c>
      <x:c r="E2893" s="27" t="n">
        <x:f>IF('Ancestry Rights'!J8=0,1,0)</x:f>
        <x:v>1</x:v>
      </x:c>
      <x:c r="F2893" s="27" t="n">
        <x:v>1</x:v>
      </x:c>
      <x:c r="G2893" s="29" t="str">
        <x:f>IF(E2893=F2893,"PASS","FAIL")</x:f>
        <x:v>PASS</x:v>
      </x:c>
    </x:row>
    <x:row r="2894" ht="18" customHeight="1">
      <x:c r="B2894" s="27" t="str">
        <x:v>A2888</x:v>
      </x:c>
      <x:c r="C2894" s="27" t="str">
        <x:v>rights</x:v>
      </x:c>
      <x:c r="D2894" s="27" t="str">
        <x:v>Rights row 9 required</x:v>
      </x:c>
      <x:c r="E2894" s="27" t="n">
        <x:f>IF('Ancestry Rights'!F9=1,1,0)</x:f>
        <x:v>1</x:v>
      </x:c>
      <x:c r="F2894" s="27" t="n">
        <x:v>1</x:v>
      </x:c>
      <x:c r="G2894" s="29" t="str">
        <x:f>IF(E2894=F2894,"PASS","FAIL")</x:f>
        <x:v>PASS</x:v>
      </x:c>
    </x:row>
    <x:row r="2895" ht="18" customHeight="1">
      <x:c r="B2895" s="27" t="str">
        <x:v>A2889</x:v>
      </x:c>
      <x:c r="C2895" s="27" t="str">
        <x:v>rights</x:v>
      </x:c>
      <x:c r="D2895" s="27" t="str">
        <x:v>Rights row 9 not accepted on paper</x:v>
      </x:c>
      <x:c r="E2895" s="27" t="n">
        <x:f>IF('Ancestry Rights'!G9=0,1,0)</x:f>
        <x:v>1</x:v>
      </x:c>
      <x:c r="F2895" s="27" t="n">
        <x:v>1</x:v>
      </x:c>
      <x:c r="G2895" s="29" t="str">
        <x:f>IF(E2895=F2895,"PASS","FAIL")</x:f>
        <x:v>PASS</x:v>
      </x:c>
    </x:row>
    <x:row r="2896" ht="18" customHeight="1">
      <x:c r="B2896" s="27" t="str">
        <x:v>A2890</x:v>
      </x:c>
      <x:c r="C2896" s="27" t="str">
        <x:v>rights</x:v>
      </x:c>
      <x:c r="D2896" s="27" t="str">
        <x:v>Rights row 9 authority present</x:v>
      </x:c>
      <x:c r="E2896" s="27" t="n">
        <x:f>IF('Ancestry Rights'!H9&lt;&gt;"",1,0)</x:f>
        <x:v>1</x:v>
      </x:c>
      <x:c r="F2896" s="27" t="n">
        <x:v>1</x:v>
      </x:c>
      <x:c r="G2896" s="29" t="str">
        <x:f>IF(E2896=F2896,"PASS","FAIL")</x:f>
        <x:v>PASS</x:v>
      </x:c>
    </x:row>
    <x:row r="2897" ht="18" customHeight="1">
      <x:c r="B2897" s="27" t="str">
        <x:v>A2891</x:v>
      </x:c>
      <x:c r="C2897" s="27" t="str">
        <x:v>rights</x:v>
      </x:c>
      <x:c r="D2897" s="27" t="str">
        <x:v>Rights row 9 evidence open</x:v>
      </x:c>
      <x:c r="E2897" s="27" t="n">
        <x:f>IF('Ancestry Rights'!I9="OPEN",1,0)</x:f>
        <x:v>1</x:v>
      </x:c>
      <x:c r="F2897" s="27" t="n">
        <x:v>1</x:v>
      </x:c>
      <x:c r="G2897" s="29" t="str">
        <x:f>IF(E2897=F2897,"PASS","FAIL")</x:f>
        <x:v>PASS</x:v>
      </x:c>
    </x:row>
    <x:row r="2898" ht="18" customHeight="1">
      <x:c r="B2898" s="27" t="str">
        <x:v>A2892</x:v>
      </x:c>
      <x:c r="C2898" s="27" t="str">
        <x:v>rights</x:v>
      </x:c>
      <x:c r="D2898" s="27" t="str">
        <x:v>Rights row 9 zero credit</x:v>
      </x:c>
      <x:c r="E2898" s="27" t="n">
        <x:f>IF('Ancestry Rights'!J9=0,1,0)</x:f>
        <x:v>1</x:v>
      </x:c>
      <x:c r="F2898" s="27" t="n">
        <x:v>1</x:v>
      </x:c>
      <x:c r="G2898" s="29" t="str">
        <x:f>IF(E2898=F2898,"PASS","FAIL")</x:f>
        <x:v>PASS</x:v>
      </x:c>
    </x:row>
    <x:row r="2899" ht="18" customHeight="1">
      <x:c r="B2899" s="27" t="str">
        <x:v>A2893</x:v>
      </x:c>
      <x:c r="C2899" s="27" t="str">
        <x:v>rights</x:v>
      </x:c>
      <x:c r="D2899" s="27" t="str">
        <x:v>Rights row 10 required</x:v>
      </x:c>
      <x:c r="E2899" s="27" t="n">
        <x:f>IF('Ancestry Rights'!F10=1,1,0)</x:f>
        <x:v>1</x:v>
      </x:c>
      <x:c r="F2899" s="27" t="n">
        <x:v>1</x:v>
      </x:c>
      <x:c r="G2899" s="29" t="str">
        <x:f>IF(E2899=F2899,"PASS","FAIL")</x:f>
        <x:v>PASS</x:v>
      </x:c>
    </x:row>
    <x:row r="2900" ht="18" customHeight="1">
      <x:c r="B2900" s="27" t="str">
        <x:v>A2894</x:v>
      </x:c>
      <x:c r="C2900" s="27" t="str">
        <x:v>rights</x:v>
      </x:c>
      <x:c r="D2900" s="27" t="str">
        <x:v>Rights row 10 not accepted on paper</x:v>
      </x:c>
      <x:c r="E2900" s="27" t="n">
        <x:f>IF('Ancestry Rights'!G10=0,1,0)</x:f>
        <x:v>1</x:v>
      </x:c>
      <x:c r="F2900" s="27" t="n">
        <x:v>1</x:v>
      </x:c>
      <x:c r="G2900" s="29" t="str">
        <x:f>IF(E2900=F2900,"PASS","FAIL")</x:f>
        <x:v>PASS</x:v>
      </x:c>
    </x:row>
    <x:row r="2901" ht="18" customHeight="1">
      <x:c r="B2901" s="27" t="str">
        <x:v>A2895</x:v>
      </x:c>
      <x:c r="C2901" s="27" t="str">
        <x:v>rights</x:v>
      </x:c>
      <x:c r="D2901" s="27" t="str">
        <x:v>Rights row 10 authority present</x:v>
      </x:c>
      <x:c r="E2901" s="27" t="n">
        <x:f>IF('Ancestry Rights'!H10&lt;&gt;"",1,0)</x:f>
        <x:v>1</x:v>
      </x:c>
      <x:c r="F2901" s="27" t="n">
        <x:v>1</x:v>
      </x:c>
      <x:c r="G2901" s="29" t="str">
        <x:f>IF(E2901=F2901,"PASS","FAIL")</x:f>
        <x:v>PASS</x:v>
      </x:c>
    </x:row>
    <x:row r="2902" ht="18" customHeight="1">
      <x:c r="B2902" s="27" t="str">
        <x:v>A2896</x:v>
      </x:c>
      <x:c r="C2902" s="27" t="str">
        <x:v>rights</x:v>
      </x:c>
      <x:c r="D2902" s="27" t="str">
        <x:v>Rights row 10 evidence open</x:v>
      </x:c>
      <x:c r="E2902" s="27" t="n">
        <x:f>IF('Ancestry Rights'!I10="OPEN",1,0)</x:f>
        <x:v>1</x:v>
      </x:c>
      <x:c r="F2902" s="27" t="n">
        <x:v>1</x:v>
      </x:c>
      <x:c r="G2902" s="29" t="str">
        <x:f>IF(E2902=F2902,"PASS","FAIL")</x:f>
        <x:v>PASS</x:v>
      </x:c>
    </x:row>
    <x:row r="2903" ht="18" customHeight="1">
      <x:c r="B2903" s="27" t="str">
        <x:v>A2897</x:v>
      </x:c>
      <x:c r="C2903" s="27" t="str">
        <x:v>rights</x:v>
      </x:c>
      <x:c r="D2903" s="27" t="str">
        <x:v>Rights row 10 zero credit</x:v>
      </x:c>
      <x:c r="E2903" s="27" t="n">
        <x:f>IF('Ancestry Rights'!J10=0,1,0)</x:f>
        <x:v>1</x:v>
      </x:c>
      <x:c r="F2903" s="27" t="n">
        <x:v>1</x:v>
      </x:c>
      <x:c r="G2903" s="29" t="str">
        <x:f>IF(E2903=F2903,"PASS","FAIL")</x:f>
        <x:v>PASS</x:v>
      </x:c>
    </x:row>
    <x:row r="2904" ht="18" customHeight="1">
      <x:c r="B2904" s="27" t="str">
        <x:v>A2898</x:v>
      </x:c>
      <x:c r="C2904" s="27" t="str">
        <x:v>rights</x:v>
      </x:c>
      <x:c r="D2904" s="27" t="str">
        <x:v>Rights row 11 required</x:v>
      </x:c>
      <x:c r="E2904" s="27" t="n">
        <x:f>IF('Ancestry Rights'!F11=1,1,0)</x:f>
        <x:v>1</x:v>
      </x:c>
      <x:c r="F2904" s="27" t="n">
        <x:v>1</x:v>
      </x:c>
      <x:c r="G2904" s="29" t="str">
        <x:f>IF(E2904=F2904,"PASS","FAIL")</x:f>
        <x:v>PASS</x:v>
      </x:c>
    </x:row>
    <x:row r="2905" ht="18" customHeight="1">
      <x:c r="B2905" s="27" t="str">
        <x:v>A2899</x:v>
      </x:c>
      <x:c r="C2905" s="27" t="str">
        <x:v>rights</x:v>
      </x:c>
      <x:c r="D2905" s="27" t="str">
        <x:v>Rights row 11 not accepted on paper</x:v>
      </x:c>
      <x:c r="E2905" s="27" t="n">
        <x:f>IF('Ancestry Rights'!G11=0,1,0)</x:f>
        <x:v>1</x:v>
      </x:c>
      <x:c r="F2905" s="27" t="n">
        <x:v>1</x:v>
      </x:c>
      <x:c r="G2905" s="29" t="str">
        <x:f>IF(E2905=F2905,"PASS","FAIL")</x:f>
        <x:v>PASS</x:v>
      </x:c>
    </x:row>
    <x:row r="2906" ht="18" customHeight="1">
      <x:c r="B2906" s="27" t="str">
        <x:v>A2900</x:v>
      </x:c>
      <x:c r="C2906" s="27" t="str">
        <x:v>rights</x:v>
      </x:c>
      <x:c r="D2906" s="27" t="str">
        <x:v>Rights row 11 authority present</x:v>
      </x:c>
      <x:c r="E2906" s="27" t="n">
        <x:f>IF('Ancestry Rights'!H11&lt;&gt;"",1,0)</x:f>
        <x:v>1</x:v>
      </x:c>
      <x:c r="F2906" s="27" t="n">
        <x:v>1</x:v>
      </x:c>
      <x:c r="G2906" s="29" t="str">
        <x:f>IF(E2906=F2906,"PASS","FAIL")</x:f>
        <x:v>PASS</x:v>
      </x:c>
    </x:row>
    <x:row r="2907" ht="18" customHeight="1">
      <x:c r="B2907" s="27" t="str">
        <x:v>A2901</x:v>
      </x:c>
      <x:c r="C2907" s="27" t="str">
        <x:v>rights</x:v>
      </x:c>
      <x:c r="D2907" s="27" t="str">
        <x:v>Rights row 11 evidence open</x:v>
      </x:c>
      <x:c r="E2907" s="27" t="n">
        <x:f>IF('Ancestry Rights'!I11="OPEN",1,0)</x:f>
        <x:v>1</x:v>
      </x:c>
      <x:c r="F2907" s="27" t="n">
        <x:v>1</x:v>
      </x:c>
      <x:c r="G2907" s="29" t="str">
        <x:f>IF(E2907=F2907,"PASS","FAIL")</x:f>
        <x:v>PASS</x:v>
      </x:c>
    </x:row>
    <x:row r="2908" ht="18" customHeight="1">
      <x:c r="B2908" s="27" t="str">
        <x:v>A2902</x:v>
      </x:c>
      <x:c r="C2908" s="27" t="str">
        <x:v>rights</x:v>
      </x:c>
      <x:c r="D2908" s="27" t="str">
        <x:v>Rights row 11 zero credit</x:v>
      </x:c>
      <x:c r="E2908" s="27" t="n">
        <x:f>IF('Ancestry Rights'!J11=0,1,0)</x:f>
        <x:v>1</x:v>
      </x:c>
      <x:c r="F2908" s="27" t="n">
        <x:v>1</x:v>
      </x:c>
      <x:c r="G2908" s="29" t="str">
        <x:f>IF(E2908=F2908,"PASS","FAIL")</x:f>
        <x:v>PASS</x:v>
      </x:c>
    </x:row>
    <x:row r="2909" ht="18" customHeight="1">
      <x:c r="B2909" s="27" t="str">
        <x:v>A2903</x:v>
      </x:c>
      <x:c r="C2909" s="27" t="str">
        <x:v>rights</x:v>
      </x:c>
      <x:c r="D2909" s="27" t="str">
        <x:v>Rights row 12 required</x:v>
      </x:c>
      <x:c r="E2909" s="27" t="n">
        <x:f>IF('Ancestry Rights'!F12=1,1,0)</x:f>
        <x:v>1</x:v>
      </x:c>
      <x:c r="F2909" s="27" t="n">
        <x:v>1</x:v>
      </x:c>
      <x:c r="G2909" s="29" t="str">
        <x:f>IF(E2909=F2909,"PASS","FAIL")</x:f>
        <x:v>PASS</x:v>
      </x:c>
    </x:row>
    <x:row r="2910" ht="18" customHeight="1">
      <x:c r="B2910" s="27" t="str">
        <x:v>A2904</x:v>
      </x:c>
      <x:c r="C2910" s="27" t="str">
        <x:v>rights</x:v>
      </x:c>
      <x:c r="D2910" s="27" t="str">
        <x:v>Rights row 12 not accepted on paper</x:v>
      </x:c>
      <x:c r="E2910" s="27" t="n">
        <x:f>IF('Ancestry Rights'!G12=0,1,0)</x:f>
        <x:v>1</x:v>
      </x:c>
      <x:c r="F2910" s="27" t="n">
        <x:v>1</x:v>
      </x:c>
      <x:c r="G2910" s="29" t="str">
        <x:f>IF(E2910=F2910,"PASS","FAIL")</x:f>
        <x:v>PASS</x:v>
      </x:c>
    </x:row>
    <x:row r="2911" ht="18" customHeight="1">
      <x:c r="B2911" s="27" t="str">
        <x:v>A2905</x:v>
      </x:c>
      <x:c r="C2911" s="27" t="str">
        <x:v>rights</x:v>
      </x:c>
      <x:c r="D2911" s="27" t="str">
        <x:v>Rights row 12 authority present</x:v>
      </x:c>
      <x:c r="E2911" s="27" t="n">
        <x:f>IF('Ancestry Rights'!H12&lt;&gt;"",1,0)</x:f>
        <x:v>1</x:v>
      </x:c>
      <x:c r="F2911" s="27" t="n">
        <x:v>1</x:v>
      </x:c>
      <x:c r="G2911" s="29" t="str">
        <x:f>IF(E2911=F2911,"PASS","FAIL")</x:f>
        <x:v>PASS</x:v>
      </x:c>
    </x:row>
    <x:row r="2912" ht="18" customHeight="1">
      <x:c r="B2912" s="27" t="str">
        <x:v>A2906</x:v>
      </x:c>
      <x:c r="C2912" s="27" t="str">
        <x:v>rights</x:v>
      </x:c>
      <x:c r="D2912" s="27" t="str">
        <x:v>Rights row 12 evidence open</x:v>
      </x:c>
      <x:c r="E2912" s="27" t="n">
        <x:f>IF('Ancestry Rights'!I12="OPEN",1,0)</x:f>
        <x:v>1</x:v>
      </x:c>
      <x:c r="F2912" s="27" t="n">
        <x:v>1</x:v>
      </x:c>
      <x:c r="G2912" s="29" t="str">
        <x:f>IF(E2912=F2912,"PASS","FAIL")</x:f>
        <x:v>PASS</x:v>
      </x:c>
    </x:row>
    <x:row r="2913" ht="18" customHeight="1">
      <x:c r="B2913" s="27" t="str">
        <x:v>A2907</x:v>
      </x:c>
      <x:c r="C2913" s="27" t="str">
        <x:v>rights</x:v>
      </x:c>
      <x:c r="D2913" s="27" t="str">
        <x:v>Rights row 12 zero credit</x:v>
      </x:c>
      <x:c r="E2913" s="27" t="n">
        <x:f>IF('Ancestry Rights'!J12=0,1,0)</x:f>
        <x:v>1</x:v>
      </x:c>
      <x:c r="F2913" s="27" t="n">
        <x:v>1</x:v>
      </x:c>
      <x:c r="G2913" s="29" t="str">
        <x:f>IF(E2913=F2913,"PASS","FAIL")</x:f>
        <x:v>PASS</x:v>
      </x:c>
    </x:row>
    <x:row r="2914" ht="18" customHeight="1">
      <x:c r="B2914" s="27" t="str">
        <x:v>A2908</x:v>
      </x:c>
      <x:c r="C2914" s="27" t="str">
        <x:v>rights</x:v>
      </x:c>
      <x:c r="D2914" s="27" t="str">
        <x:v>Rights row 13 required</x:v>
      </x:c>
      <x:c r="E2914" s="27" t="n">
        <x:f>IF('Ancestry Rights'!F13=1,1,0)</x:f>
        <x:v>1</x:v>
      </x:c>
      <x:c r="F2914" s="27" t="n">
        <x:v>1</x:v>
      </x:c>
      <x:c r="G2914" s="29" t="str">
        <x:f>IF(E2914=F2914,"PASS","FAIL")</x:f>
        <x:v>PASS</x:v>
      </x:c>
    </x:row>
    <x:row r="2915" ht="18" customHeight="1">
      <x:c r="B2915" s="27" t="str">
        <x:v>A2909</x:v>
      </x:c>
      <x:c r="C2915" s="27" t="str">
        <x:v>rights</x:v>
      </x:c>
      <x:c r="D2915" s="27" t="str">
        <x:v>Rights row 13 not accepted on paper</x:v>
      </x:c>
      <x:c r="E2915" s="27" t="n">
        <x:f>IF('Ancestry Rights'!G13=0,1,0)</x:f>
        <x:v>1</x:v>
      </x:c>
      <x:c r="F2915" s="27" t="n">
        <x:v>1</x:v>
      </x:c>
      <x:c r="G2915" s="29" t="str">
        <x:f>IF(E2915=F2915,"PASS","FAIL")</x:f>
        <x:v>PASS</x:v>
      </x:c>
    </x:row>
    <x:row r="2916" ht="18" customHeight="1">
      <x:c r="B2916" s="27" t="str">
        <x:v>A2910</x:v>
      </x:c>
      <x:c r="C2916" s="27" t="str">
        <x:v>rights</x:v>
      </x:c>
      <x:c r="D2916" s="27" t="str">
        <x:v>Rights row 13 authority present</x:v>
      </x:c>
      <x:c r="E2916" s="27" t="n">
        <x:f>IF('Ancestry Rights'!H13&lt;&gt;"",1,0)</x:f>
        <x:v>1</x:v>
      </x:c>
      <x:c r="F2916" s="27" t="n">
        <x:v>1</x:v>
      </x:c>
      <x:c r="G2916" s="29" t="str">
        <x:f>IF(E2916=F2916,"PASS","FAIL")</x:f>
        <x:v>PASS</x:v>
      </x:c>
    </x:row>
    <x:row r="2917" ht="18" customHeight="1">
      <x:c r="B2917" s="27" t="str">
        <x:v>A2911</x:v>
      </x:c>
      <x:c r="C2917" s="27" t="str">
        <x:v>rights</x:v>
      </x:c>
      <x:c r="D2917" s="27" t="str">
        <x:v>Rights row 13 evidence open</x:v>
      </x:c>
      <x:c r="E2917" s="27" t="n">
        <x:f>IF('Ancestry Rights'!I13="OPEN",1,0)</x:f>
        <x:v>1</x:v>
      </x:c>
      <x:c r="F2917" s="27" t="n">
        <x:v>1</x:v>
      </x:c>
      <x:c r="G2917" s="29" t="str">
        <x:f>IF(E2917=F2917,"PASS","FAIL")</x:f>
        <x:v>PASS</x:v>
      </x:c>
    </x:row>
    <x:row r="2918" ht="18" customHeight="1">
      <x:c r="B2918" s="27" t="str">
        <x:v>A2912</x:v>
      </x:c>
      <x:c r="C2918" s="27" t="str">
        <x:v>rights</x:v>
      </x:c>
      <x:c r="D2918" s="27" t="str">
        <x:v>Rights row 13 zero credit</x:v>
      </x:c>
      <x:c r="E2918" s="27" t="n">
        <x:f>IF('Ancestry Rights'!J13=0,1,0)</x:f>
        <x:v>1</x:v>
      </x:c>
      <x:c r="F2918" s="27" t="n">
        <x:v>1</x:v>
      </x:c>
      <x:c r="G2918" s="29" t="str">
        <x:f>IF(E2918=F2918,"PASS","FAIL")</x:f>
        <x:v>PASS</x:v>
      </x:c>
    </x:row>
    <x:row r="2919" ht="18" customHeight="1">
      <x:c r="B2919" s="27" t="str">
        <x:v>A2913</x:v>
      </x:c>
      <x:c r="C2919" s="27" t="str">
        <x:v>rights</x:v>
      </x:c>
      <x:c r="D2919" s="27" t="str">
        <x:v>Rights row 14 required</x:v>
      </x:c>
      <x:c r="E2919" s="27" t="n">
        <x:f>IF('Ancestry Rights'!F14=1,1,0)</x:f>
        <x:v>1</x:v>
      </x:c>
      <x:c r="F2919" s="27" t="n">
        <x:v>1</x:v>
      </x:c>
      <x:c r="G2919" s="29" t="str">
        <x:f>IF(E2919=F2919,"PASS","FAIL")</x:f>
        <x:v>PASS</x:v>
      </x:c>
    </x:row>
    <x:row r="2920" ht="18" customHeight="1">
      <x:c r="B2920" s="27" t="str">
        <x:v>A2914</x:v>
      </x:c>
      <x:c r="C2920" s="27" t="str">
        <x:v>rights</x:v>
      </x:c>
      <x:c r="D2920" s="27" t="str">
        <x:v>Rights row 14 not accepted on paper</x:v>
      </x:c>
      <x:c r="E2920" s="27" t="n">
        <x:f>IF('Ancestry Rights'!G14=0,1,0)</x:f>
        <x:v>1</x:v>
      </x:c>
      <x:c r="F2920" s="27" t="n">
        <x:v>1</x:v>
      </x:c>
      <x:c r="G2920" s="29" t="str">
        <x:f>IF(E2920=F2920,"PASS","FAIL")</x:f>
        <x:v>PASS</x:v>
      </x:c>
    </x:row>
    <x:row r="2921" ht="18" customHeight="1">
      <x:c r="B2921" s="27" t="str">
        <x:v>A2915</x:v>
      </x:c>
      <x:c r="C2921" s="27" t="str">
        <x:v>rights</x:v>
      </x:c>
      <x:c r="D2921" s="27" t="str">
        <x:v>Rights row 14 authority present</x:v>
      </x:c>
      <x:c r="E2921" s="27" t="n">
        <x:f>IF('Ancestry Rights'!H14&lt;&gt;"",1,0)</x:f>
        <x:v>1</x:v>
      </x:c>
      <x:c r="F2921" s="27" t="n">
        <x:v>1</x:v>
      </x:c>
      <x:c r="G2921" s="29" t="str">
        <x:f>IF(E2921=F2921,"PASS","FAIL")</x:f>
        <x:v>PASS</x:v>
      </x:c>
    </x:row>
    <x:row r="2922" ht="18" customHeight="1">
      <x:c r="B2922" s="27" t="str">
        <x:v>A2916</x:v>
      </x:c>
      <x:c r="C2922" s="27" t="str">
        <x:v>rights</x:v>
      </x:c>
      <x:c r="D2922" s="27" t="str">
        <x:v>Rights row 14 evidence open</x:v>
      </x:c>
      <x:c r="E2922" s="27" t="n">
        <x:f>IF('Ancestry Rights'!I14="OPEN",1,0)</x:f>
        <x:v>1</x:v>
      </x:c>
      <x:c r="F2922" s="27" t="n">
        <x:v>1</x:v>
      </x:c>
      <x:c r="G2922" s="29" t="str">
        <x:f>IF(E2922=F2922,"PASS","FAIL")</x:f>
        <x:v>PASS</x:v>
      </x:c>
    </x:row>
    <x:row r="2923" ht="18" customHeight="1">
      <x:c r="B2923" s="27" t="str">
        <x:v>A2917</x:v>
      </x:c>
      <x:c r="C2923" s="27" t="str">
        <x:v>rights</x:v>
      </x:c>
      <x:c r="D2923" s="27" t="str">
        <x:v>Rights row 14 zero credit</x:v>
      </x:c>
      <x:c r="E2923" s="27" t="n">
        <x:f>IF('Ancestry Rights'!J14=0,1,0)</x:f>
        <x:v>1</x:v>
      </x:c>
      <x:c r="F2923" s="27" t="n">
        <x:v>1</x:v>
      </x:c>
      <x:c r="G2923" s="29" t="str">
        <x:f>IF(E2923=F2923,"PASS","FAIL")</x:f>
        <x:v>PASS</x:v>
      </x:c>
    </x:row>
    <x:row r="2924" ht="18" customHeight="1">
      <x:c r="B2924" s="27" t="str">
        <x:v>A2918</x:v>
      </x:c>
      <x:c r="C2924" s="27" t="str">
        <x:v>rights</x:v>
      </x:c>
      <x:c r="D2924" s="27" t="str">
        <x:v>Rights row 15 required</x:v>
      </x:c>
      <x:c r="E2924" s="27" t="n">
        <x:f>IF('Ancestry Rights'!F15=1,1,0)</x:f>
        <x:v>1</x:v>
      </x:c>
      <x:c r="F2924" s="27" t="n">
        <x:v>1</x:v>
      </x:c>
      <x:c r="G2924" s="29" t="str">
        <x:f>IF(E2924=F2924,"PASS","FAIL")</x:f>
        <x:v>PASS</x:v>
      </x:c>
    </x:row>
    <x:row r="2925" ht="18" customHeight="1">
      <x:c r="B2925" s="27" t="str">
        <x:v>A2919</x:v>
      </x:c>
      <x:c r="C2925" s="27" t="str">
        <x:v>rights</x:v>
      </x:c>
      <x:c r="D2925" s="27" t="str">
        <x:v>Rights row 15 not accepted on paper</x:v>
      </x:c>
      <x:c r="E2925" s="27" t="n">
        <x:f>IF('Ancestry Rights'!G15=0,1,0)</x:f>
        <x:v>1</x:v>
      </x:c>
      <x:c r="F2925" s="27" t="n">
        <x:v>1</x:v>
      </x:c>
      <x:c r="G2925" s="29" t="str">
        <x:f>IF(E2925=F2925,"PASS","FAIL")</x:f>
        <x:v>PASS</x:v>
      </x:c>
    </x:row>
    <x:row r="2926" ht="18" customHeight="1">
      <x:c r="B2926" s="27" t="str">
        <x:v>A2920</x:v>
      </x:c>
      <x:c r="C2926" s="27" t="str">
        <x:v>rights</x:v>
      </x:c>
      <x:c r="D2926" s="27" t="str">
        <x:v>Rights row 15 authority present</x:v>
      </x:c>
      <x:c r="E2926" s="27" t="n">
        <x:f>IF('Ancestry Rights'!H15&lt;&gt;"",1,0)</x:f>
        <x:v>1</x:v>
      </x:c>
      <x:c r="F2926" s="27" t="n">
        <x:v>1</x:v>
      </x:c>
      <x:c r="G2926" s="29" t="str">
        <x:f>IF(E2926=F2926,"PASS","FAIL")</x:f>
        <x:v>PASS</x:v>
      </x:c>
    </x:row>
    <x:row r="2927" ht="18" customHeight="1">
      <x:c r="B2927" s="27" t="str">
        <x:v>A2921</x:v>
      </x:c>
      <x:c r="C2927" s="27" t="str">
        <x:v>rights</x:v>
      </x:c>
      <x:c r="D2927" s="27" t="str">
        <x:v>Rights row 15 evidence open</x:v>
      </x:c>
      <x:c r="E2927" s="27" t="n">
        <x:f>IF('Ancestry Rights'!I15="OPEN",1,0)</x:f>
        <x:v>1</x:v>
      </x:c>
      <x:c r="F2927" s="27" t="n">
        <x:v>1</x:v>
      </x:c>
      <x:c r="G2927" s="29" t="str">
        <x:f>IF(E2927=F2927,"PASS","FAIL")</x:f>
        <x:v>PASS</x:v>
      </x:c>
    </x:row>
    <x:row r="2928" ht="18" customHeight="1">
      <x:c r="B2928" s="27" t="str">
        <x:v>A2922</x:v>
      </x:c>
      <x:c r="C2928" s="27" t="str">
        <x:v>rights</x:v>
      </x:c>
      <x:c r="D2928" s="27" t="str">
        <x:v>Rights row 15 zero credit</x:v>
      </x:c>
      <x:c r="E2928" s="27" t="n">
        <x:f>IF('Ancestry Rights'!J15=0,1,0)</x:f>
        <x:v>1</x:v>
      </x:c>
      <x:c r="F2928" s="27" t="n">
        <x:v>1</x:v>
      </x:c>
      <x:c r="G2928" s="29" t="str">
        <x:f>IF(E2928=F2928,"PASS","FAIL")</x:f>
        <x:v>PASS</x:v>
      </x:c>
    </x:row>
    <x:row r="2929" ht="18" customHeight="1">
      <x:c r="B2929" s="27" t="str">
        <x:v>A2923</x:v>
      </x:c>
      <x:c r="C2929" s="27" t="str">
        <x:v>rights</x:v>
      </x:c>
      <x:c r="D2929" s="27" t="str">
        <x:v>Rights row 16 required</x:v>
      </x:c>
      <x:c r="E2929" s="27" t="n">
        <x:f>IF('Ancestry Rights'!F16=1,1,0)</x:f>
        <x:v>1</x:v>
      </x:c>
      <x:c r="F2929" s="27" t="n">
        <x:v>1</x:v>
      </x:c>
      <x:c r="G2929" s="29" t="str">
        <x:f>IF(E2929=F2929,"PASS","FAIL")</x:f>
        <x:v>PASS</x:v>
      </x:c>
    </x:row>
    <x:row r="2930" ht="18" customHeight="1">
      <x:c r="B2930" s="27" t="str">
        <x:v>A2924</x:v>
      </x:c>
      <x:c r="C2930" s="27" t="str">
        <x:v>rights</x:v>
      </x:c>
      <x:c r="D2930" s="27" t="str">
        <x:v>Rights row 16 not accepted on paper</x:v>
      </x:c>
      <x:c r="E2930" s="27" t="n">
        <x:f>IF('Ancestry Rights'!G16=0,1,0)</x:f>
        <x:v>1</x:v>
      </x:c>
      <x:c r="F2930" s="27" t="n">
        <x:v>1</x:v>
      </x:c>
      <x:c r="G2930" s="29" t="str">
        <x:f>IF(E2930=F2930,"PASS","FAIL")</x:f>
        <x:v>PASS</x:v>
      </x:c>
    </x:row>
    <x:row r="2931" ht="18" customHeight="1">
      <x:c r="B2931" s="27" t="str">
        <x:v>A2925</x:v>
      </x:c>
      <x:c r="C2931" s="27" t="str">
        <x:v>rights</x:v>
      </x:c>
      <x:c r="D2931" s="27" t="str">
        <x:v>Rights row 16 authority present</x:v>
      </x:c>
      <x:c r="E2931" s="27" t="n">
        <x:f>IF('Ancestry Rights'!H16&lt;&gt;"",1,0)</x:f>
        <x:v>1</x:v>
      </x:c>
      <x:c r="F2931" s="27" t="n">
        <x:v>1</x:v>
      </x:c>
      <x:c r="G2931" s="29" t="str">
        <x:f>IF(E2931=F2931,"PASS","FAIL")</x:f>
        <x:v>PASS</x:v>
      </x:c>
    </x:row>
    <x:row r="2932" ht="18" customHeight="1">
      <x:c r="B2932" s="27" t="str">
        <x:v>A2926</x:v>
      </x:c>
      <x:c r="C2932" s="27" t="str">
        <x:v>rights</x:v>
      </x:c>
      <x:c r="D2932" s="27" t="str">
        <x:v>Rights row 16 evidence open</x:v>
      </x:c>
      <x:c r="E2932" s="27" t="n">
        <x:f>IF('Ancestry Rights'!I16="OPEN",1,0)</x:f>
        <x:v>1</x:v>
      </x:c>
      <x:c r="F2932" s="27" t="n">
        <x:v>1</x:v>
      </x:c>
      <x:c r="G2932" s="29" t="str">
        <x:f>IF(E2932=F2932,"PASS","FAIL")</x:f>
        <x:v>PASS</x:v>
      </x:c>
    </x:row>
    <x:row r="2933" ht="18" customHeight="1">
      <x:c r="B2933" s="27" t="str">
        <x:v>A2927</x:v>
      </x:c>
      <x:c r="C2933" s="27" t="str">
        <x:v>rights</x:v>
      </x:c>
      <x:c r="D2933" s="27" t="str">
        <x:v>Rights row 16 zero credit</x:v>
      </x:c>
      <x:c r="E2933" s="27" t="n">
        <x:f>IF('Ancestry Rights'!J16=0,1,0)</x:f>
        <x:v>1</x:v>
      </x:c>
      <x:c r="F2933" s="27" t="n">
        <x:v>1</x:v>
      </x:c>
      <x:c r="G2933" s="29" t="str">
        <x:f>IF(E2933=F2933,"PASS","FAIL")</x:f>
        <x:v>PASS</x:v>
      </x:c>
    </x:row>
    <x:row r="2934" ht="18" customHeight="1">
      <x:c r="B2934" s="27" t="str">
        <x:v>A2928</x:v>
      </x:c>
      <x:c r="C2934" s="27" t="str">
        <x:v>rights</x:v>
      </x:c>
      <x:c r="D2934" s="27" t="str">
        <x:v>Rights row 17 required</x:v>
      </x:c>
      <x:c r="E2934" s="27" t="n">
        <x:f>IF('Ancestry Rights'!F17=1,1,0)</x:f>
        <x:v>1</x:v>
      </x:c>
      <x:c r="F2934" s="27" t="n">
        <x:v>1</x:v>
      </x:c>
      <x:c r="G2934" s="29" t="str">
        <x:f>IF(E2934=F2934,"PASS","FAIL")</x:f>
        <x:v>PASS</x:v>
      </x:c>
    </x:row>
    <x:row r="2935" ht="18" customHeight="1">
      <x:c r="B2935" s="27" t="str">
        <x:v>A2929</x:v>
      </x:c>
      <x:c r="C2935" s="27" t="str">
        <x:v>rights</x:v>
      </x:c>
      <x:c r="D2935" s="27" t="str">
        <x:v>Rights row 17 not accepted on paper</x:v>
      </x:c>
      <x:c r="E2935" s="27" t="n">
        <x:f>IF('Ancestry Rights'!G17=0,1,0)</x:f>
        <x:v>1</x:v>
      </x:c>
      <x:c r="F2935" s="27" t="n">
        <x:v>1</x:v>
      </x:c>
      <x:c r="G2935" s="29" t="str">
        <x:f>IF(E2935=F2935,"PASS","FAIL")</x:f>
        <x:v>PASS</x:v>
      </x:c>
    </x:row>
    <x:row r="2936" ht="18" customHeight="1">
      <x:c r="B2936" s="27" t="str">
        <x:v>A2930</x:v>
      </x:c>
      <x:c r="C2936" s="27" t="str">
        <x:v>rights</x:v>
      </x:c>
      <x:c r="D2936" s="27" t="str">
        <x:v>Rights row 17 authority present</x:v>
      </x:c>
      <x:c r="E2936" s="27" t="n">
        <x:f>IF('Ancestry Rights'!H17&lt;&gt;"",1,0)</x:f>
        <x:v>1</x:v>
      </x:c>
      <x:c r="F2936" s="27" t="n">
        <x:v>1</x:v>
      </x:c>
      <x:c r="G2936" s="29" t="str">
        <x:f>IF(E2936=F2936,"PASS","FAIL")</x:f>
        <x:v>PASS</x:v>
      </x:c>
    </x:row>
    <x:row r="2937" ht="18" customHeight="1">
      <x:c r="B2937" s="27" t="str">
        <x:v>A2931</x:v>
      </x:c>
      <x:c r="C2937" s="27" t="str">
        <x:v>rights</x:v>
      </x:c>
      <x:c r="D2937" s="27" t="str">
        <x:v>Rights row 17 evidence open</x:v>
      </x:c>
      <x:c r="E2937" s="27" t="n">
        <x:f>IF('Ancestry Rights'!I17="OPEN",1,0)</x:f>
        <x:v>1</x:v>
      </x:c>
      <x:c r="F2937" s="27" t="n">
        <x:v>1</x:v>
      </x:c>
      <x:c r="G2937" s="29" t="str">
        <x:f>IF(E2937=F2937,"PASS","FAIL")</x:f>
        <x:v>PASS</x:v>
      </x:c>
    </x:row>
    <x:row r="2938" ht="18" customHeight="1">
      <x:c r="B2938" s="27" t="str">
        <x:v>A2932</x:v>
      </x:c>
      <x:c r="C2938" s="27" t="str">
        <x:v>rights</x:v>
      </x:c>
      <x:c r="D2938" s="27" t="str">
        <x:v>Rights row 17 zero credit</x:v>
      </x:c>
      <x:c r="E2938" s="27" t="n">
        <x:f>IF('Ancestry Rights'!J17=0,1,0)</x:f>
        <x:v>1</x:v>
      </x:c>
      <x:c r="F2938" s="27" t="n">
        <x:v>1</x:v>
      </x:c>
      <x:c r="G2938" s="29" t="str">
        <x:f>IF(E2938=F2938,"PASS","FAIL")</x:f>
        <x:v>PASS</x:v>
      </x:c>
    </x:row>
    <x:row r="2939" ht="18" customHeight="1">
      <x:c r="B2939" s="27" t="str">
        <x:v>A2933</x:v>
      </x:c>
      <x:c r="C2939" s="27" t="str">
        <x:v>rights</x:v>
      </x:c>
      <x:c r="D2939" s="27" t="str">
        <x:v>Rights row 18 required</x:v>
      </x:c>
      <x:c r="E2939" s="27" t="n">
        <x:f>IF('Ancestry Rights'!F18=1,1,0)</x:f>
        <x:v>1</x:v>
      </x:c>
      <x:c r="F2939" s="27" t="n">
        <x:v>1</x:v>
      </x:c>
      <x:c r="G2939" s="29" t="str">
        <x:f>IF(E2939=F2939,"PASS","FAIL")</x:f>
        <x:v>PASS</x:v>
      </x:c>
    </x:row>
    <x:row r="2940" ht="18" customHeight="1">
      <x:c r="B2940" s="27" t="str">
        <x:v>A2934</x:v>
      </x:c>
      <x:c r="C2940" s="27" t="str">
        <x:v>rights</x:v>
      </x:c>
      <x:c r="D2940" s="27" t="str">
        <x:v>Rights row 18 not accepted on paper</x:v>
      </x:c>
      <x:c r="E2940" s="27" t="n">
        <x:f>IF('Ancestry Rights'!G18=0,1,0)</x:f>
        <x:v>1</x:v>
      </x:c>
      <x:c r="F2940" s="27" t="n">
        <x:v>1</x:v>
      </x:c>
      <x:c r="G2940" s="29" t="str">
        <x:f>IF(E2940=F2940,"PASS","FAIL")</x:f>
        <x:v>PASS</x:v>
      </x:c>
    </x:row>
    <x:row r="2941" ht="18" customHeight="1">
      <x:c r="B2941" s="27" t="str">
        <x:v>A2935</x:v>
      </x:c>
      <x:c r="C2941" s="27" t="str">
        <x:v>rights</x:v>
      </x:c>
      <x:c r="D2941" s="27" t="str">
        <x:v>Rights row 18 authority present</x:v>
      </x:c>
      <x:c r="E2941" s="27" t="n">
        <x:f>IF('Ancestry Rights'!H18&lt;&gt;"",1,0)</x:f>
        <x:v>1</x:v>
      </x:c>
      <x:c r="F2941" s="27" t="n">
        <x:v>1</x:v>
      </x:c>
      <x:c r="G2941" s="29" t="str">
        <x:f>IF(E2941=F2941,"PASS","FAIL")</x:f>
        <x:v>PASS</x:v>
      </x:c>
    </x:row>
    <x:row r="2942" ht="18" customHeight="1">
      <x:c r="B2942" s="27" t="str">
        <x:v>A2936</x:v>
      </x:c>
      <x:c r="C2942" s="27" t="str">
        <x:v>rights</x:v>
      </x:c>
      <x:c r="D2942" s="27" t="str">
        <x:v>Rights row 18 evidence open</x:v>
      </x:c>
      <x:c r="E2942" s="27" t="n">
        <x:f>IF('Ancestry Rights'!I18="OPEN",1,0)</x:f>
        <x:v>1</x:v>
      </x:c>
      <x:c r="F2942" s="27" t="n">
        <x:v>1</x:v>
      </x:c>
      <x:c r="G2942" s="29" t="str">
        <x:f>IF(E2942=F2942,"PASS","FAIL")</x:f>
        <x:v>PASS</x:v>
      </x:c>
    </x:row>
    <x:row r="2943" ht="18" customHeight="1">
      <x:c r="B2943" s="27" t="str">
        <x:v>A2937</x:v>
      </x:c>
      <x:c r="C2943" s="27" t="str">
        <x:v>rights</x:v>
      </x:c>
      <x:c r="D2943" s="27" t="str">
        <x:v>Rights row 18 zero credit</x:v>
      </x:c>
      <x:c r="E2943" s="27" t="n">
        <x:f>IF('Ancestry Rights'!J18=0,1,0)</x:f>
        <x:v>1</x:v>
      </x:c>
      <x:c r="F2943" s="27" t="n">
        <x:v>1</x:v>
      </x:c>
      <x:c r="G2943" s="29" t="str">
        <x:f>IF(E2943=F2943,"PASS","FAIL")</x:f>
        <x:v>PASS</x:v>
      </x:c>
    </x:row>
    <x:row r="2944" ht="18" customHeight="1">
      <x:c r="B2944" s="27" t="str">
        <x:v>A2938</x:v>
      </x:c>
      <x:c r="C2944" s="27" t="str">
        <x:v>rights</x:v>
      </x:c>
      <x:c r="D2944" s="27" t="str">
        <x:v>Rights row 19 required</x:v>
      </x:c>
      <x:c r="E2944" s="27" t="n">
        <x:f>IF('Ancestry Rights'!F19=1,1,0)</x:f>
        <x:v>1</x:v>
      </x:c>
      <x:c r="F2944" s="27" t="n">
        <x:v>1</x:v>
      </x:c>
      <x:c r="G2944" s="29" t="str">
        <x:f>IF(E2944=F2944,"PASS","FAIL")</x:f>
        <x:v>PASS</x:v>
      </x:c>
    </x:row>
    <x:row r="2945" ht="18" customHeight="1">
      <x:c r="B2945" s="27" t="str">
        <x:v>A2939</x:v>
      </x:c>
      <x:c r="C2945" s="27" t="str">
        <x:v>rights</x:v>
      </x:c>
      <x:c r="D2945" s="27" t="str">
        <x:v>Rights row 19 not accepted on paper</x:v>
      </x:c>
      <x:c r="E2945" s="27" t="n">
        <x:f>IF('Ancestry Rights'!G19=0,1,0)</x:f>
        <x:v>1</x:v>
      </x:c>
      <x:c r="F2945" s="27" t="n">
        <x:v>1</x:v>
      </x:c>
      <x:c r="G2945" s="29" t="str">
        <x:f>IF(E2945=F2945,"PASS","FAIL")</x:f>
        <x:v>PASS</x:v>
      </x:c>
    </x:row>
    <x:row r="2946" ht="18" customHeight="1">
      <x:c r="B2946" s="27" t="str">
        <x:v>A2940</x:v>
      </x:c>
      <x:c r="C2946" s="27" t="str">
        <x:v>rights</x:v>
      </x:c>
      <x:c r="D2946" s="27" t="str">
        <x:v>Rights row 19 authority present</x:v>
      </x:c>
      <x:c r="E2946" s="27" t="n">
        <x:f>IF('Ancestry Rights'!H19&lt;&gt;"",1,0)</x:f>
        <x:v>1</x:v>
      </x:c>
      <x:c r="F2946" s="27" t="n">
        <x:v>1</x:v>
      </x:c>
      <x:c r="G2946" s="29" t="str">
        <x:f>IF(E2946=F2946,"PASS","FAIL")</x:f>
        <x:v>PASS</x:v>
      </x:c>
    </x:row>
    <x:row r="2947" ht="18" customHeight="1">
      <x:c r="B2947" s="27" t="str">
        <x:v>A2941</x:v>
      </x:c>
      <x:c r="C2947" s="27" t="str">
        <x:v>rights</x:v>
      </x:c>
      <x:c r="D2947" s="27" t="str">
        <x:v>Rights row 19 evidence open</x:v>
      </x:c>
      <x:c r="E2947" s="27" t="n">
        <x:f>IF('Ancestry Rights'!I19="OPEN",1,0)</x:f>
        <x:v>1</x:v>
      </x:c>
      <x:c r="F2947" s="27" t="n">
        <x:v>1</x:v>
      </x:c>
      <x:c r="G2947" s="29" t="str">
        <x:f>IF(E2947=F2947,"PASS","FAIL")</x:f>
        <x:v>PASS</x:v>
      </x:c>
    </x:row>
    <x:row r="2948" ht="18" customHeight="1">
      <x:c r="B2948" s="27" t="str">
        <x:v>A2942</x:v>
      </x:c>
      <x:c r="C2948" s="27" t="str">
        <x:v>rights</x:v>
      </x:c>
      <x:c r="D2948" s="27" t="str">
        <x:v>Rights row 19 zero credit</x:v>
      </x:c>
      <x:c r="E2948" s="27" t="n">
        <x:f>IF('Ancestry Rights'!J19=0,1,0)</x:f>
        <x:v>1</x:v>
      </x:c>
      <x:c r="F2948" s="27" t="n">
        <x:v>1</x:v>
      </x:c>
      <x:c r="G2948" s="29" t="str">
        <x:f>IF(E2948=F2948,"PASS","FAIL")</x:f>
        <x:v>PASS</x:v>
      </x:c>
    </x:row>
    <x:row r="2949" ht="18" customHeight="1">
      <x:c r="B2949" s="27" t="str">
        <x:v>A2943</x:v>
      </x:c>
      <x:c r="C2949" s="27" t="str">
        <x:v>rights</x:v>
      </x:c>
      <x:c r="D2949" s="27" t="str">
        <x:v>Rights row 20 required</x:v>
      </x:c>
      <x:c r="E2949" s="27" t="n">
        <x:f>IF('Ancestry Rights'!F20=1,1,0)</x:f>
        <x:v>1</x:v>
      </x:c>
      <x:c r="F2949" s="27" t="n">
        <x:v>1</x:v>
      </x:c>
      <x:c r="G2949" s="29" t="str">
        <x:f>IF(E2949=F2949,"PASS","FAIL")</x:f>
        <x:v>PASS</x:v>
      </x:c>
    </x:row>
    <x:row r="2950" ht="18" customHeight="1">
      <x:c r="B2950" s="27" t="str">
        <x:v>A2944</x:v>
      </x:c>
      <x:c r="C2950" s="27" t="str">
        <x:v>rights</x:v>
      </x:c>
      <x:c r="D2950" s="27" t="str">
        <x:v>Rights row 20 not accepted on paper</x:v>
      </x:c>
      <x:c r="E2950" s="27" t="n">
        <x:f>IF('Ancestry Rights'!G20=0,1,0)</x:f>
        <x:v>1</x:v>
      </x:c>
      <x:c r="F2950" s="27" t="n">
        <x:v>1</x:v>
      </x:c>
      <x:c r="G2950" s="29" t="str">
        <x:f>IF(E2950=F2950,"PASS","FAIL")</x:f>
        <x:v>PASS</x:v>
      </x:c>
    </x:row>
    <x:row r="2951" ht="18" customHeight="1">
      <x:c r="B2951" s="27" t="str">
        <x:v>A2945</x:v>
      </x:c>
      <x:c r="C2951" s="27" t="str">
        <x:v>rights</x:v>
      </x:c>
      <x:c r="D2951" s="27" t="str">
        <x:v>Rights row 20 authority present</x:v>
      </x:c>
      <x:c r="E2951" s="27" t="n">
        <x:f>IF('Ancestry Rights'!H20&lt;&gt;"",1,0)</x:f>
        <x:v>1</x:v>
      </x:c>
      <x:c r="F2951" s="27" t="n">
        <x:v>1</x:v>
      </x:c>
      <x:c r="G2951" s="29" t="str">
        <x:f>IF(E2951=F2951,"PASS","FAIL")</x:f>
        <x:v>PASS</x:v>
      </x:c>
    </x:row>
    <x:row r="2952" ht="18" customHeight="1">
      <x:c r="B2952" s="27" t="str">
        <x:v>A2946</x:v>
      </x:c>
      <x:c r="C2952" s="27" t="str">
        <x:v>rights</x:v>
      </x:c>
      <x:c r="D2952" s="27" t="str">
        <x:v>Rights row 20 evidence open</x:v>
      </x:c>
      <x:c r="E2952" s="27" t="n">
        <x:f>IF('Ancestry Rights'!I20="OPEN",1,0)</x:f>
        <x:v>1</x:v>
      </x:c>
      <x:c r="F2952" s="27" t="n">
        <x:v>1</x:v>
      </x:c>
      <x:c r="G2952" s="29" t="str">
        <x:f>IF(E2952=F2952,"PASS","FAIL")</x:f>
        <x:v>PASS</x:v>
      </x:c>
    </x:row>
    <x:row r="2953" ht="18" customHeight="1">
      <x:c r="B2953" s="27" t="str">
        <x:v>A2947</x:v>
      </x:c>
      <x:c r="C2953" s="27" t="str">
        <x:v>rights</x:v>
      </x:c>
      <x:c r="D2953" s="27" t="str">
        <x:v>Rights row 20 zero credit</x:v>
      </x:c>
      <x:c r="E2953" s="27" t="n">
        <x:f>IF('Ancestry Rights'!J20=0,1,0)</x:f>
        <x:v>1</x:v>
      </x:c>
      <x:c r="F2953" s="27" t="n">
        <x:v>1</x:v>
      </x:c>
      <x:c r="G2953" s="29" t="str">
        <x:f>IF(E2953=F2953,"PASS","FAIL")</x:f>
        <x:v>PASS</x:v>
      </x:c>
    </x:row>
    <x:row r="2954" ht="18" customHeight="1">
      <x:c r="B2954" s="27" t="str">
        <x:v>A2948</x:v>
      </x:c>
      <x:c r="C2954" s="27" t="str">
        <x:v>rights</x:v>
      </x:c>
      <x:c r="D2954" s="27" t="str">
        <x:v>Rights row 21 required</x:v>
      </x:c>
      <x:c r="E2954" s="27" t="n">
        <x:f>IF('Ancestry Rights'!F21=1,1,0)</x:f>
        <x:v>1</x:v>
      </x:c>
      <x:c r="F2954" s="27" t="n">
        <x:v>1</x:v>
      </x:c>
      <x:c r="G2954" s="29" t="str">
        <x:f>IF(E2954=F2954,"PASS","FAIL")</x:f>
        <x:v>PASS</x:v>
      </x:c>
    </x:row>
    <x:row r="2955" ht="18" customHeight="1">
      <x:c r="B2955" s="27" t="str">
        <x:v>A2949</x:v>
      </x:c>
      <x:c r="C2955" s="27" t="str">
        <x:v>rights</x:v>
      </x:c>
      <x:c r="D2955" s="27" t="str">
        <x:v>Rights row 21 not accepted on paper</x:v>
      </x:c>
      <x:c r="E2955" s="27" t="n">
        <x:f>IF('Ancestry Rights'!G21=0,1,0)</x:f>
        <x:v>1</x:v>
      </x:c>
      <x:c r="F2955" s="27" t="n">
        <x:v>1</x:v>
      </x:c>
      <x:c r="G2955" s="29" t="str">
        <x:f>IF(E2955=F2955,"PASS","FAIL")</x:f>
        <x:v>PASS</x:v>
      </x:c>
    </x:row>
    <x:row r="2956" ht="18" customHeight="1">
      <x:c r="B2956" s="27" t="str">
        <x:v>A2950</x:v>
      </x:c>
      <x:c r="C2956" s="27" t="str">
        <x:v>rights</x:v>
      </x:c>
      <x:c r="D2956" s="27" t="str">
        <x:v>Rights row 21 authority present</x:v>
      </x:c>
      <x:c r="E2956" s="27" t="n">
        <x:f>IF('Ancestry Rights'!H21&lt;&gt;"",1,0)</x:f>
        <x:v>1</x:v>
      </x:c>
      <x:c r="F2956" s="27" t="n">
        <x:v>1</x:v>
      </x:c>
      <x:c r="G2956" s="29" t="str">
        <x:f>IF(E2956=F2956,"PASS","FAIL")</x:f>
        <x:v>PASS</x:v>
      </x:c>
    </x:row>
    <x:row r="2957" ht="18" customHeight="1">
      <x:c r="B2957" s="27" t="str">
        <x:v>A2951</x:v>
      </x:c>
      <x:c r="C2957" s="27" t="str">
        <x:v>rights</x:v>
      </x:c>
      <x:c r="D2957" s="27" t="str">
        <x:v>Rights row 21 evidence open</x:v>
      </x:c>
      <x:c r="E2957" s="27" t="n">
        <x:f>IF('Ancestry Rights'!I21="OPEN",1,0)</x:f>
        <x:v>1</x:v>
      </x:c>
      <x:c r="F2957" s="27" t="n">
        <x:v>1</x:v>
      </x:c>
      <x:c r="G2957" s="29" t="str">
        <x:f>IF(E2957=F2957,"PASS","FAIL")</x:f>
        <x:v>PASS</x:v>
      </x:c>
    </x:row>
    <x:row r="2958" ht="18" customHeight="1">
      <x:c r="B2958" s="27" t="str">
        <x:v>A2952</x:v>
      </x:c>
      <x:c r="C2958" s="27" t="str">
        <x:v>rights</x:v>
      </x:c>
      <x:c r="D2958" s="27" t="str">
        <x:v>Rights row 21 zero credit</x:v>
      </x:c>
      <x:c r="E2958" s="27" t="n">
        <x:f>IF('Ancestry Rights'!J21=0,1,0)</x:f>
        <x:v>1</x:v>
      </x:c>
      <x:c r="F2958" s="27" t="n">
        <x:v>1</x:v>
      </x:c>
      <x:c r="G2958" s="29" t="str">
        <x:f>IF(E2958=F2958,"PASS","FAIL")</x:f>
        <x:v>PASS</x:v>
      </x:c>
    </x:row>
    <x:row r="2959" ht="18" customHeight="1">
      <x:c r="B2959" s="27" t="str">
        <x:v>A2953</x:v>
      </x:c>
      <x:c r="C2959" s="27" t="str">
        <x:v>rights</x:v>
      </x:c>
      <x:c r="D2959" s="27" t="str">
        <x:v>Rights row 22 required</x:v>
      </x:c>
      <x:c r="E2959" s="27" t="n">
        <x:f>IF('Ancestry Rights'!F22=1,1,0)</x:f>
        <x:v>1</x:v>
      </x:c>
      <x:c r="F2959" s="27" t="n">
        <x:v>1</x:v>
      </x:c>
      <x:c r="G2959" s="29" t="str">
        <x:f>IF(E2959=F2959,"PASS","FAIL")</x:f>
        <x:v>PASS</x:v>
      </x:c>
    </x:row>
    <x:row r="2960" ht="18" customHeight="1">
      <x:c r="B2960" s="27" t="str">
        <x:v>A2954</x:v>
      </x:c>
      <x:c r="C2960" s="27" t="str">
        <x:v>rights</x:v>
      </x:c>
      <x:c r="D2960" s="27" t="str">
        <x:v>Rights row 22 not accepted on paper</x:v>
      </x:c>
      <x:c r="E2960" s="27" t="n">
        <x:f>IF('Ancestry Rights'!G22=0,1,0)</x:f>
        <x:v>1</x:v>
      </x:c>
      <x:c r="F2960" s="27" t="n">
        <x:v>1</x:v>
      </x:c>
      <x:c r="G2960" s="29" t="str">
        <x:f>IF(E2960=F2960,"PASS","FAIL")</x:f>
        <x:v>PASS</x:v>
      </x:c>
    </x:row>
    <x:row r="2961" ht="18" customHeight="1">
      <x:c r="B2961" s="27" t="str">
        <x:v>A2955</x:v>
      </x:c>
      <x:c r="C2961" s="27" t="str">
        <x:v>rights</x:v>
      </x:c>
      <x:c r="D2961" s="27" t="str">
        <x:v>Rights row 22 authority present</x:v>
      </x:c>
      <x:c r="E2961" s="27" t="n">
        <x:f>IF('Ancestry Rights'!H22&lt;&gt;"",1,0)</x:f>
        <x:v>1</x:v>
      </x:c>
      <x:c r="F2961" s="27" t="n">
        <x:v>1</x:v>
      </x:c>
      <x:c r="G2961" s="29" t="str">
        <x:f>IF(E2961=F2961,"PASS","FAIL")</x:f>
        <x:v>PASS</x:v>
      </x:c>
    </x:row>
    <x:row r="2962" ht="18" customHeight="1">
      <x:c r="B2962" s="27" t="str">
        <x:v>A2956</x:v>
      </x:c>
      <x:c r="C2962" s="27" t="str">
        <x:v>rights</x:v>
      </x:c>
      <x:c r="D2962" s="27" t="str">
        <x:v>Rights row 22 evidence open</x:v>
      </x:c>
      <x:c r="E2962" s="27" t="n">
        <x:f>IF('Ancestry Rights'!I22="OPEN",1,0)</x:f>
        <x:v>1</x:v>
      </x:c>
      <x:c r="F2962" s="27" t="n">
        <x:v>1</x:v>
      </x:c>
      <x:c r="G2962" s="29" t="str">
        <x:f>IF(E2962=F2962,"PASS","FAIL")</x:f>
        <x:v>PASS</x:v>
      </x:c>
    </x:row>
    <x:row r="2963" ht="18" customHeight="1">
      <x:c r="B2963" s="27" t="str">
        <x:v>A2957</x:v>
      </x:c>
      <x:c r="C2963" s="27" t="str">
        <x:v>rights</x:v>
      </x:c>
      <x:c r="D2963" s="27" t="str">
        <x:v>Rights row 22 zero credit</x:v>
      </x:c>
      <x:c r="E2963" s="27" t="n">
        <x:f>IF('Ancestry Rights'!J22=0,1,0)</x:f>
        <x:v>1</x:v>
      </x:c>
      <x:c r="F2963" s="27" t="n">
        <x:v>1</x:v>
      </x:c>
      <x:c r="G2963" s="29" t="str">
        <x:f>IF(E2963=F2963,"PASS","FAIL")</x:f>
        <x:v>PASS</x:v>
      </x:c>
    </x:row>
    <x:row r="2964" ht="18" customHeight="1">
      <x:c r="B2964" s="27" t="str">
        <x:v>A2958</x:v>
      </x:c>
      <x:c r="C2964" s="27" t="str">
        <x:v>rights</x:v>
      </x:c>
      <x:c r="D2964" s="27" t="str">
        <x:v>Rights row 23 required</x:v>
      </x:c>
      <x:c r="E2964" s="27" t="n">
        <x:f>IF('Ancestry Rights'!F23=1,1,0)</x:f>
        <x:v>1</x:v>
      </x:c>
      <x:c r="F2964" s="27" t="n">
        <x:v>1</x:v>
      </x:c>
      <x:c r="G2964" s="29" t="str">
        <x:f>IF(E2964=F2964,"PASS","FAIL")</x:f>
        <x:v>PASS</x:v>
      </x:c>
    </x:row>
    <x:row r="2965" ht="18" customHeight="1">
      <x:c r="B2965" s="27" t="str">
        <x:v>A2959</x:v>
      </x:c>
      <x:c r="C2965" s="27" t="str">
        <x:v>rights</x:v>
      </x:c>
      <x:c r="D2965" s="27" t="str">
        <x:v>Rights row 23 not accepted on paper</x:v>
      </x:c>
      <x:c r="E2965" s="27" t="n">
        <x:f>IF('Ancestry Rights'!G23=0,1,0)</x:f>
        <x:v>1</x:v>
      </x:c>
      <x:c r="F2965" s="27" t="n">
        <x:v>1</x:v>
      </x:c>
      <x:c r="G2965" s="29" t="str">
        <x:f>IF(E2965=F2965,"PASS","FAIL")</x:f>
        <x:v>PASS</x:v>
      </x:c>
    </x:row>
    <x:row r="2966" ht="18" customHeight="1">
      <x:c r="B2966" s="27" t="str">
        <x:v>A2960</x:v>
      </x:c>
      <x:c r="C2966" s="27" t="str">
        <x:v>rights</x:v>
      </x:c>
      <x:c r="D2966" s="27" t="str">
        <x:v>Rights row 23 authority present</x:v>
      </x:c>
      <x:c r="E2966" s="27" t="n">
        <x:f>IF('Ancestry Rights'!H23&lt;&gt;"",1,0)</x:f>
        <x:v>1</x:v>
      </x:c>
      <x:c r="F2966" s="27" t="n">
        <x:v>1</x:v>
      </x:c>
      <x:c r="G2966" s="29" t="str">
        <x:f>IF(E2966=F2966,"PASS","FAIL")</x:f>
        <x:v>PASS</x:v>
      </x:c>
    </x:row>
    <x:row r="2967" ht="18" customHeight="1">
      <x:c r="B2967" s="27" t="str">
        <x:v>A2961</x:v>
      </x:c>
      <x:c r="C2967" s="27" t="str">
        <x:v>rights</x:v>
      </x:c>
      <x:c r="D2967" s="27" t="str">
        <x:v>Rights row 23 evidence open</x:v>
      </x:c>
      <x:c r="E2967" s="27" t="n">
        <x:f>IF('Ancestry Rights'!I23="OPEN",1,0)</x:f>
        <x:v>1</x:v>
      </x:c>
      <x:c r="F2967" s="27" t="n">
        <x:v>1</x:v>
      </x:c>
      <x:c r="G2967" s="29" t="str">
        <x:f>IF(E2967=F2967,"PASS","FAIL")</x:f>
        <x:v>PASS</x:v>
      </x:c>
    </x:row>
    <x:row r="2968" ht="18" customHeight="1">
      <x:c r="B2968" s="27" t="str">
        <x:v>A2962</x:v>
      </x:c>
      <x:c r="C2968" s="27" t="str">
        <x:v>rights</x:v>
      </x:c>
      <x:c r="D2968" s="27" t="str">
        <x:v>Rights row 23 zero credit</x:v>
      </x:c>
      <x:c r="E2968" s="27" t="n">
        <x:f>IF('Ancestry Rights'!J23=0,1,0)</x:f>
        <x:v>1</x:v>
      </x:c>
      <x:c r="F2968" s="27" t="n">
        <x:v>1</x:v>
      </x:c>
      <x:c r="G2968" s="29" t="str">
        <x:f>IF(E2968=F2968,"PASS","FAIL")</x:f>
        <x:v>PASS</x:v>
      </x:c>
    </x:row>
    <x:row r="2969" ht="18" customHeight="1">
      <x:c r="B2969" s="27" t="str">
        <x:v>A2963</x:v>
      </x:c>
      <x:c r="C2969" s="27" t="str">
        <x:v>rights</x:v>
      </x:c>
      <x:c r="D2969" s="27" t="str">
        <x:v>Rights row 24 required</x:v>
      </x:c>
      <x:c r="E2969" s="27" t="n">
        <x:f>IF('Ancestry Rights'!F24=1,1,0)</x:f>
        <x:v>1</x:v>
      </x:c>
      <x:c r="F2969" s="27" t="n">
        <x:v>1</x:v>
      </x:c>
      <x:c r="G2969" s="29" t="str">
        <x:f>IF(E2969=F2969,"PASS","FAIL")</x:f>
        <x:v>PASS</x:v>
      </x:c>
    </x:row>
    <x:row r="2970" ht="18" customHeight="1">
      <x:c r="B2970" s="27" t="str">
        <x:v>A2964</x:v>
      </x:c>
      <x:c r="C2970" s="27" t="str">
        <x:v>rights</x:v>
      </x:c>
      <x:c r="D2970" s="27" t="str">
        <x:v>Rights row 24 not accepted on paper</x:v>
      </x:c>
      <x:c r="E2970" s="27" t="n">
        <x:f>IF('Ancestry Rights'!G24=0,1,0)</x:f>
        <x:v>1</x:v>
      </x:c>
      <x:c r="F2970" s="27" t="n">
        <x:v>1</x:v>
      </x:c>
      <x:c r="G2970" s="29" t="str">
        <x:f>IF(E2970=F2970,"PASS","FAIL")</x:f>
        <x:v>PASS</x:v>
      </x:c>
    </x:row>
    <x:row r="2971" ht="18" customHeight="1">
      <x:c r="B2971" s="27" t="str">
        <x:v>A2965</x:v>
      </x:c>
      <x:c r="C2971" s="27" t="str">
        <x:v>rights</x:v>
      </x:c>
      <x:c r="D2971" s="27" t="str">
        <x:v>Rights row 24 authority present</x:v>
      </x:c>
      <x:c r="E2971" s="27" t="n">
        <x:f>IF('Ancestry Rights'!H24&lt;&gt;"",1,0)</x:f>
        <x:v>1</x:v>
      </x:c>
      <x:c r="F2971" s="27" t="n">
        <x:v>1</x:v>
      </x:c>
      <x:c r="G2971" s="29" t="str">
        <x:f>IF(E2971=F2971,"PASS","FAIL")</x:f>
        <x:v>PASS</x:v>
      </x:c>
    </x:row>
    <x:row r="2972" ht="18" customHeight="1">
      <x:c r="B2972" s="27" t="str">
        <x:v>A2966</x:v>
      </x:c>
      <x:c r="C2972" s="27" t="str">
        <x:v>rights</x:v>
      </x:c>
      <x:c r="D2972" s="27" t="str">
        <x:v>Rights row 24 evidence open</x:v>
      </x:c>
      <x:c r="E2972" s="27" t="n">
        <x:f>IF('Ancestry Rights'!I24="OPEN",1,0)</x:f>
        <x:v>1</x:v>
      </x:c>
      <x:c r="F2972" s="27" t="n">
        <x:v>1</x:v>
      </x:c>
      <x:c r="G2972" s="29" t="str">
        <x:f>IF(E2972=F2972,"PASS","FAIL")</x:f>
        <x:v>PASS</x:v>
      </x:c>
    </x:row>
    <x:row r="2973" ht="18" customHeight="1">
      <x:c r="B2973" s="27" t="str">
        <x:v>A2967</x:v>
      </x:c>
      <x:c r="C2973" s="27" t="str">
        <x:v>rights</x:v>
      </x:c>
      <x:c r="D2973" s="27" t="str">
        <x:v>Rights row 24 zero credit</x:v>
      </x:c>
      <x:c r="E2973" s="27" t="n">
        <x:f>IF('Ancestry Rights'!J24=0,1,0)</x:f>
        <x:v>1</x:v>
      </x:c>
      <x:c r="F2973" s="27" t="n">
        <x:v>1</x:v>
      </x:c>
      <x:c r="G2973" s="29" t="str">
        <x:f>IF(E2973=F2973,"PASS","FAIL")</x:f>
        <x:v>PASS</x:v>
      </x:c>
    </x:row>
    <x:row r="2974" ht="18" customHeight="1">
      <x:c r="B2974" s="27" t="str">
        <x:v>A2968</x:v>
      </x:c>
      <x:c r="C2974" s="27" t="str">
        <x:v>rights</x:v>
      </x:c>
      <x:c r="D2974" s="27" t="str">
        <x:v>Rights row 25 required</x:v>
      </x:c>
      <x:c r="E2974" s="27" t="n">
        <x:f>IF('Ancestry Rights'!F25=1,1,0)</x:f>
        <x:v>1</x:v>
      </x:c>
      <x:c r="F2974" s="27" t="n">
        <x:v>1</x:v>
      </x:c>
      <x:c r="G2974" s="29" t="str">
        <x:f>IF(E2974=F2974,"PASS","FAIL")</x:f>
        <x:v>PASS</x:v>
      </x:c>
    </x:row>
    <x:row r="2975" ht="18" customHeight="1">
      <x:c r="B2975" s="27" t="str">
        <x:v>A2969</x:v>
      </x:c>
      <x:c r="C2975" s="27" t="str">
        <x:v>rights</x:v>
      </x:c>
      <x:c r="D2975" s="27" t="str">
        <x:v>Rights row 25 not accepted on paper</x:v>
      </x:c>
      <x:c r="E2975" s="27" t="n">
        <x:f>IF('Ancestry Rights'!G25=0,1,0)</x:f>
        <x:v>1</x:v>
      </x:c>
      <x:c r="F2975" s="27" t="n">
        <x:v>1</x:v>
      </x:c>
      <x:c r="G2975" s="29" t="str">
        <x:f>IF(E2975=F2975,"PASS","FAIL")</x:f>
        <x:v>PASS</x:v>
      </x:c>
    </x:row>
    <x:row r="2976" ht="18" customHeight="1">
      <x:c r="B2976" s="27" t="str">
        <x:v>A2970</x:v>
      </x:c>
      <x:c r="C2976" s="27" t="str">
        <x:v>rights</x:v>
      </x:c>
      <x:c r="D2976" s="27" t="str">
        <x:v>Rights row 25 authority present</x:v>
      </x:c>
      <x:c r="E2976" s="27" t="n">
        <x:f>IF('Ancestry Rights'!H25&lt;&gt;"",1,0)</x:f>
        <x:v>1</x:v>
      </x:c>
      <x:c r="F2976" s="27" t="n">
        <x:v>1</x:v>
      </x:c>
      <x:c r="G2976" s="29" t="str">
        <x:f>IF(E2976=F2976,"PASS","FAIL")</x:f>
        <x:v>PASS</x:v>
      </x:c>
    </x:row>
    <x:row r="2977" ht="18" customHeight="1">
      <x:c r="B2977" s="27" t="str">
        <x:v>A2971</x:v>
      </x:c>
      <x:c r="C2977" s="27" t="str">
        <x:v>rights</x:v>
      </x:c>
      <x:c r="D2977" s="27" t="str">
        <x:v>Rights row 25 evidence open</x:v>
      </x:c>
      <x:c r="E2977" s="27" t="n">
        <x:f>IF('Ancestry Rights'!I25="OPEN",1,0)</x:f>
        <x:v>1</x:v>
      </x:c>
      <x:c r="F2977" s="27" t="n">
        <x:v>1</x:v>
      </x:c>
      <x:c r="G2977" s="29" t="str">
        <x:f>IF(E2977=F2977,"PASS","FAIL")</x:f>
        <x:v>PASS</x:v>
      </x:c>
    </x:row>
    <x:row r="2978" ht="18" customHeight="1">
      <x:c r="B2978" s="27" t="str">
        <x:v>A2972</x:v>
      </x:c>
      <x:c r="C2978" s="27" t="str">
        <x:v>rights</x:v>
      </x:c>
      <x:c r="D2978" s="27" t="str">
        <x:v>Rights row 25 zero credit</x:v>
      </x:c>
      <x:c r="E2978" s="27" t="n">
        <x:f>IF('Ancestry Rights'!J25=0,1,0)</x:f>
        <x:v>1</x:v>
      </x:c>
      <x:c r="F2978" s="27" t="n">
        <x:v>1</x:v>
      </x:c>
      <x:c r="G2978" s="29" t="str">
        <x:f>IF(E2978=F2978,"PASS","FAIL")</x:f>
        <x:v>PASS</x:v>
      </x:c>
    </x:row>
    <x:row r="2979" ht="18" customHeight="1">
      <x:c r="B2979" s="27" t="str">
        <x:v>A2973</x:v>
      </x:c>
      <x:c r="C2979" s="27" t="str">
        <x:v>rights</x:v>
      </x:c>
      <x:c r="D2979" s="27" t="str">
        <x:v>Rights row 26 required</x:v>
      </x:c>
      <x:c r="E2979" s="27" t="n">
        <x:f>IF('Ancestry Rights'!F26=1,1,0)</x:f>
        <x:v>1</x:v>
      </x:c>
      <x:c r="F2979" s="27" t="n">
        <x:v>1</x:v>
      </x:c>
      <x:c r="G2979" s="29" t="str">
        <x:f>IF(E2979=F2979,"PASS","FAIL")</x:f>
        <x:v>PASS</x:v>
      </x:c>
    </x:row>
    <x:row r="2980" ht="18" customHeight="1">
      <x:c r="B2980" s="27" t="str">
        <x:v>A2974</x:v>
      </x:c>
      <x:c r="C2980" s="27" t="str">
        <x:v>rights</x:v>
      </x:c>
      <x:c r="D2980" s="27" t="str">
        <x:v>Rights row 26 not accepted on paper</x:v>
      </x:c>
      <x:c r="E2980" s="27" t="n">
        <x:f>IF('Ancestry Rights'!G26=0,1,0)</x:f>
        <x:v>1</x:v>
      </x:c>
      <x:c r="F2980" s="27" t="n">
        <x:v>1</x:v>
      </x:c>
      <x:c r="G2980" s="29" t="str">
        <x:f>IF(E2980=F2980,"PASS","FAIL")</x:f>
        <x:v>PASS</x:v>
      </x:c>
    </x:row>
    <x:row r="2981" ht="18" customHeight="1">
      <x:c r="B2981" s="27" t="str">
        <x:v>A2975</x:v>
      </x:c>
      <x:c r="C2981" s="27" t="str">
        <x:v>rights</x:v>
      </x:c>
      <x:c r="D2981" s="27" t="str">
        <x:v>Rights row 26 authority present</x:v>
      </x:c>
      <x:c r="E2981" s="27" t="n">
        <x:f>IF('Ancestry Rights'!H26&lt;&gt;"",1,0)</x:f>
        <x:v>1</x:v>
      </x:c>
      <x:c r="F2981" s="27" t="n">
        <x:v>1</x:v>
      </x:c>
      <x:c r="G2981" s="29" t="str">
        <x:f>IF(E2981=F2981,"PASS","FAIL")</x:f>
        <x:v>PASS</x:v>
      </x:c>
    </x:row>
    <x:row r="2982" ht="18" customHeight="1">
      <x:c r="B2982" s="27" t="str">
        <x:v>A2976</x:v>
      </x:c>
      <x:c r="C2982" s="27" t="str">
        <x:v>rights</x:v>
      </x:c>
      <x:c r="D2982" s="27" t="str">
        <x:v>Rights row 26 evidence open</x:v>
      </x:c>
      <x:c r="E2982" s="27" t="n">
        <x:f>IF('Ancestry Rights'!I26="OPEN",1,0)</x:f>
        <x:v>1</x:v>
      </x:c>
      <x:c r="F2982" s="27" t="n">
        <x:v>1</x:v>
      </x:c>
      <x:c r="G2982" s="29" t="str">
        <x:f>IF(E2982=F2982,"PASS","FAIL")</x:f>
        <x:v>PASS</x:v>
      </x:c>
    </x:row>
    <x:row r="2983" ht="18" customHeight="1">
      <x:c r="B2983" s="27" t="str">
        <x:v>A2977</x:v>
      </x:c>
      <x:c r="C2983" s="27" t="str">
        <x:v>rights</x:v>
      </x:c>
      <x:c r="D2983" s="27" t="str">
        <x:v>Rights row 26 zero credit</x:v>
      </x:c>
      <x:c r="E2983" s="27" t="n">
        <x:f>IF('Ancestry Rights'!J26=0,1,0)</x:f>
        <x:v>1</x:v>
      </x:c>
      <x:c r="F2983" s="27" t="n">
        <x:v>1</x:v>
      </x:c>
      <x:c r="G2983" s="29" t="str">
        <x:f>IF(E2983=F2983,"PASS","FAIL")</x:f>
        <x:v>PASS</x:v>
      </x:c>
    </x:row>
    <x:row r="2984" ht="18" customHeight="1">
      <x:c r="B2984" s="27" t="str">
        <x:v>A2978</x:v>
      </x:c>
      <x:c r="C2984" s="27" t="str">
        <x:v>rights</x:v>
      </x:c>
      <x:c r="D2984" s="27" t="str">
        <x:v>Rights row 27 required</x:v>
      </x:c>
      <x:c r="E2984" s="27" t="n">
        <x:f>IF('Ancestry Rights'!F27=1,1,0)</x:f>
        <x:v>1</x:v>
      </x:c>
      <x:c r="F2984" s="27" t="n">
        <x:v>1</x:v>
      </x:c>
      <x:c r="G2984" s="29" t="str">
        <x:f>IF(E2984=F2984,"PASS","FAIL")</x:f>
        <x:v>PASS</x:v>
      </x:c>
    </x:row>
    <x:row r="2985" ht="18" customHeight="1">
      <x:c r="B2985" s="27" t="str">
        <x:v>A2979</x:v>
      </x:c>
      <x:c r="C2985" s="27" t="str">
        <x:v>rights</x:v>
      </x:c>
      <x:c r="D2985" s="27" t="str">
        <x:v>Rights row 27 not accepted on paper</x:v>
      </x:c>
      <x:c r="E2985" s="27" t="n">
        <x:f>IF('Ancestry Rights'!G27=0,1,0)</x:f>
        <x:v>1</x:v>
      </x:c>
      <x:c r="F2985" s="27" t="n">
        <x:v>1</x:v>
      </x:c>
      <x:c r="G2985" s="29" t="str">
        <x:f>IF(E2985=F2985,"PASS","FAIL")</x:f>
        <x:v>PASS</x:v>
      </x:c>
    </x:row>
    <x:row r="2986" ht="18" customHeight="1">
      <x:c r="B2986" s="27" t="str">
        <x:v>A2980</x:v>
      </x:c>
      <x:c r="C2986" s="27" t="str">
        <x:v>rights</x:v>
      </x:c>
      <x:c r="D2986" s="27" t="str">
        <x:v>Rights row 27 authority present</x:v>
      </x:c>
      <x:c r="E2986" s="27" t="n">
        <x:f>IF('Ancestry Rights'!H27&lt;&gt;"",1,0)</x:f>
        <x:v>1</x:v>
      </x:c>
      <x:c r="F2986" s="27" t="n">
        <x:v>1</x:v>
      </x:c>
      <x:c r="G2986" s="29" t="str">
        <x:f>IF(E2986=F2986,"PASS","FAIL")</x:f>
        <x:v>PASS</x:v>
      </x:c>
    </x:row>
    <x:row r="2987" ht="18" customHeight="1">
      <x:c r="B2987" s="27" t="str">
        <x:v>A2981</x:v>
      </x:c>
      <x:c r="C2987" s="27" t="str">
        <x:v>rights</x:v>
      </x:c>
      <x:c r="D2987" s="27" t="str">
        <x:v>Rights row 27 evidence open</x:v>
      </x:c>
      <x:c r="E2987" s="27" t="n">
        <x:f>IF('Ancestry Rights'!I27="OPEN",1,0)</x:f>
        <x:v>1</x:v>
      </x:c>
      <x:c r="F2987" s="27" t="n">
        <x:v>1</x:v>
      </x:c>
      <x:c r="G2987" s="29" t="str">
        <x:f>IF(E2987=F2987,"PASS","FAIL")</x:f>
        <x:v>PASS</x:v>
      </x:c>
    </x:row>
    <x:row r="2988" ht="18" customHeight="1">
      <x:c r="B2988" s="27" t="str">
        <x:v>A2982</x:v>
      </x:c>
      <x:c r="C2988" s="27" t="str">
        <x:v>rights</x:v>
      </x:c>
      <x:c r="D2988" s="27" t="str">
        <x:v>Rights row 27 zero credit</x:v>
      </x:c>
      <x:c r="E2988" s="27" t="n">
        <x:f>IF('Ancestry Rights'!J27=0,1,0)</x:f>
        <x:v>1</x:v>
      </x:c>
      <x:c r="F2988" s="27" t="n">
        <x:v>1</x:v>
      </x:c>
      <x:c r="G2988" s="29" t="str">
        <x:f>IF(E2988=F2988,"PASS","FAIL")</x:f>
        <x:v>PASS</x:v>
      </x:c>
    </x:row>
    <x:row r="2989" ht="18" customHeight="1">
      <x:c r="B2989" s="27" t="str">
        <x:v>A2983</x:v>
      </x:c>
      <x:c r="C2989" s="27" t="str">
        <x:v>rights</x:v>
      </x:c>
      <x:c r="D2989" s="27" t="str">
        <x:v>Rights row 28 required</x:v>
      </x:c>
      <x:c r="E2989" s="27" t="n">
        <x:f>IF('Ancestry Rights'!F28=1,1,0)</x:f>
        <x:v>1</x:v>
      </x:c>
      <x:c r="F2989" s="27" t="n">
        <x:v>1</x:v>
      </x:c>
      <x:c r="G2989" s="29" t="str">
        <x:f>IF(E2989=F2989,"PASS","FAIL")</x:f>
        <x:v>PASS</x:v>
      </x:c>
    </x:row>
    <x:row r="2990" ht="18" customHeight="1">
      <x:c r="B2990" s="27" t="str">
        <x:v>A2984</x:v>
      </x:c>
      <x:c r="C2990" s="27" t="str">
        <x:v>rights</x:v>
      </x:c>
      <x:c r="D2990" s="27" t="str">
        <x:v>Rights row 28 not accepted on paper</x:v>
      </x:c>
      <x:c r="E2990" s="27" t="n">
        <x:f>IF('Ancestry Rights'!G28=0,1,0)</x:f>
        <x:v>1</x:v>
      </x:c>
      <x:c r="F2990" s="27" t="n">
        <x:v>1</x:v>
      </x:c>
      <x:c r="G2990" s="29" t="str">
        <x:f>IF(E2990=F2990,"PASS","FAIL")</x:f>
        <x:v>PASS</x:v>
      </x:c>
    </x:row>
    <x:row r="2991" ht="18" customHeight="1">
      <x:c r="B2991" s="27" t="str">
        <x:v>A2985</x:v>
      </x:c>
      <x:c r="C2991" s="27" t="str">
        <x:v>rights</x:v>
      </x:c>
      <x:c r="D2991" s="27" t="str">
        <x:v>Rights row 28 authority present</x:v>
      </x:c>
      <x:c r="E2991" s="27" t="n">
        <x:f>IF('Ancestry Rights'!H28&lt;&gt;"",1,0)</x:f>
        <x:v>1</x:v>
      </x:c>
      <x:c r="F2991" s="27" t="n">
        <x:v>1</x:v>
      </x:c>
      <x:c r="G2991" s="29" t="str">
        <x:f>IF(E2991=F2991,"PASS","FAIL")</x:f>
        <x:v>PASS</x:v>
      </x:c>
    </x:row>
    <x:row r="2992" ht="18" customHeight="1">
      <x:c r="B2992" s="27" t="str">
        <x:v>A2986</x:v>
      </x:c>
      <x:c r="C2992" s="27" t="str">
        <x:v>rights</x:v>
      </x:c>
      <x:c r="D2992" s="27" t="str">
        <x:v>Rights row 28 evidence open</x:v>
      </x:c>
      <x:c r="E2992" s="27" t="n">
        <x:f>IF('Ancestry Rights'!I28="OPEN",1,0)</x:f>
        <x:v>1</x:v>
      </x:c>
      <x:c r="F2992" s="27" t="n">
        <x:v>1</x:v>
      </x:c>
      <x:c r="G2992" s="29" t="str">
        <x:f>IF(E2992=F2992,"PASS","FAIL")</x:f>
        <x:v>PASS</x:v>
      </x:c>
    </x:row>
    <x:row r="2993" ht="18" customHeight="1">
      <x:c r="B2993" s="27" t="str">
        <x:v>A2987</x:v>
      </x:c>
      <x:c r="C2993" s="27" t="str">
        <x:v>rights</x:v>
      </x:c>
      <x:c r="D2993" s="27" t="str">
        <x:v>Rights row 28 zero credit</x:v>
      </x:c>
      <x:c r="E2993" s="27" t="n">
        <x:f>IF('Ancestry Rights'!J28=0,1,0)</x:f>
        <x:v>1</x:v>
      </x:c>
      <x:c r="F2993" s="27" t="n">
        <x:v>1</x:v>
      </x:c>
      <x:c r="G2993" s="29" t="str">
        <x:f>IF(E2993=F2993,"PASS","FAIL")</x:f>
        <x:v>PASS</x:v>
      </x:c>
    </x:row>
    <x:row r="2994" ht="18" customHeight="1">
      <x:c r="B2994" s="27" t="str">
        <x:v>A2988</x:v>
      </x:c>
      <x:c r="C2994" s="27" t="str">
        <x:v>rights</x:v>
      </x:c>
      <x:c r="D2994" s="27" t="str">
        <x:v>Rights row 29 required</x:v>
      </x:c>
      <x:c r="E2994" s="27" t="n">
        <x:f>IF('Ancestry Rights'!F29=1,1,0)</x:f>
        <x:v>1</x:v>
      </x:c>
      <x:c r="F2994" s="27" t="n">
        <x:v>1</x:v>
      </x:c>
      <x:c r="G2994" s="29" t="str">
        <x:f>IF(E2994=F2994,"PASS","FAIL")</x:f>
        <x:v>PASS</x:v>
      </x:c>
    </x:row>
    <x:row r="2995" ht="18" customHeight="1">
      <x:c r="B2995" s="27" t="str">
        <x:v>A2989</x:v>
      </x:c>
      <x:c r="C2995" s="27" t="str">
        <x:v>rights</x:v>
      </x:c>
      <x:c r="D2995" s="27" t="str">
        <x:v>Rights row 29 not accepted on paper</x:v>
      </x:c>
      <x:c r="E2995" s="27" t="n">
        <x:f>IF('Ancestry Rights'!G29=0,1,0)</x:f>
        <x:v>1</x:v>
      </x:c>
      <x:c r="F2995" s="27" t="n">
        <x:v>1</x:v>
      </x:c>
      <x:c r="G2995" s="29" t="str">
        <x:f>IF(E2995=F2995,"PASS","FAIL")</x:f>
        <x:v>PASS</x:v>
      </x:c>
    </x:row>
    <x:row r="2996" ht="18" customHeight="1">
      <x:c r="B2996" s="27" t="str">
        <x:v>A2990</x:v>
      </x:c>
      <x:c r="C2996" s="27" t="str">
        <x:v>rights</x:v>
      </x:c>
      <x:c r="D2996" s="27" t="str">
        <x:v>Rights row 29 authority present</x:v>
      </x:c>
      <x:c r="E2996" s="27" t="n">
        <x:f>IF('Ancestry Rights'!H29&lt;&gt;"",1,0)</x:f>
        <x:v>1</x:v>
      </x:c>
      <x:c r="F2996" s="27" t="n">
        <x:v>1</x:v>
      </x:c>
      <x:c r="G2996" s="29" t="str">
        <x:f>IF(E2996=F2996,"PASS","FAIL")</x:f>
        <x:v>PASS</x:v>
      </x:c>
    </x:row>
    <x:row r="2997" ht="18" customHeight="1">
      <x:c r="B2997" s="27" t="str">
        <x:v>A2991</x:v>
      </x:c>
      <x:c r="C2997" s="27" t="str">
        <x:v>rights</x:v>
      </x:c>
      <x:c r="D2997" s="27" t="str">
        <x:v>Rights row 29 evidence open</x:v>
      </x:c>
      <x:c r="E2997" s="27" t="n">
        <x:f>IF('Ancestry Rights'!I29="OPEN",1,0)</x:f>
        <x:v>1</x:v>
      </x:c>
      <x:c r="F2997" s="27" t="n">
        <x:v>1</x:v>
      </x:c>
      <x:c r="G2997" s="29" t="str">
        <x:f>IF(E2997=F2997,"PASS","FAIL")</x:f>
        <x:v>PASS</x:v>
      </x:c>
    </x:row>
    <x:row r="2998" ht="18" customHeight="1">
      <x:c r="B2998" s="27" t="str">
        <x:v>A2992</x:v>
      </x:c>
      <x:c r="C2998" s="27" t="str">
        <x:v>rights</x:v>
      </x:c>
      <x:c r="D2998" s="27" t="str">
        <x:v>Rights row 29 zero credit</x:v>
      </x:c>
      <x:c r="E2998" s="27" t="n">
        <x:f>IF('Ancestry Rights'!J29=0,1,0)</x:f>
        <x:v>1</x:v>
      </x:c>
      <x:c r="F2998" s="27" t="n">
        <x:v>1</x:v>
      </x:c>
      <x:c r="G2998" s="29" t="str">
        <x:f>IF(E2998=F2998,"PASS","FAIL")</x:f>
        <x:v>PASS</x:v>
      </x:c>
    </x:row>
    <x:row r="2999" ht="18" customHeight="1">
      <x:c r="B2999" s="27" t="str">
        <x:v>A2993</x:v>
      </x:c>
      <x:c r="C2999" s="27" t="str">
        <x:v>rights</x:v>
      </x:c>
      <x:c r="D2999" s="27" t="str">
        <x:v>Rights row 30 required</x:v>
      </x:c>
      <x:c r="E2999" s="27" t="n">
        <x:f>IF('Ancestry Rights'!F30=1,1,0)</x:f>
        <x:v>1</x:v>
      </x:c>
      <x:c r="F2999" s="27" t="n">
        <x:v>1</x:v>
      </x:c>
      <x:c r="G2999" s="29" t="str">
        <x:f>IF(E2999=F2999,"PASS","FAIL")</x:f>
        <x:v>PASS</x:v>
      </x:c>
    </x:row>
    <x:row r="3000" ht="18" customHeight="1">
      <x:c r="B3000" s="27" t="str">
        <x:v>A2994</x:v>
      </x:c>
      <x:c r="C3000" s="27" t="str">
        <x:v>rights</x:v>
      </x:c>
      <x:c r="D3000" s="27" t="str">
        <x:v>Rights row 30 not accepted on paper</x:v>
      </x:c>
      <x:c r="E3000" s="27" t="n">
        <x:f>IF('Ancestry Rights'!G30=0,1,0)</x:f>
        <x:v>1</x:v>
      </x:c>
      <x:c r="F3000" s="27" t="n">
        <x:v>1</x:v>
      </x:c>
      <x:c r="G3000" s="29" t="str">
        <x:f>IF(E3000=F3000,"PASS","FAIL")</x:f>
        <x:v>PASS</x:v>
      </x:c>
    </x:row>
    <x:row r="3001" ht="18" customHeight="1">
      <x:c r="B3001" s="27" t="str">
        <x:v>A2995</x:v>
      </x:c>
      <x:c r="C3001" s="27" t="str">
        <x:v>rights</x:v>
      </x:c>
      <x:c r="D3001" s="27" t="str">
        <x:v>Rights row 30 authority present</x:v>
      </x:c>
      <x:c r="E3001" s="27" t="n">
        <x:f>IF('Ancestry Rights'!H30&lt;&gt;"",1,0)</x:f>
        <x:v>1</x:v>
      </x:c>
      <x:c r="F3001" s="27" t="n">
        <x:v>1</x:v>
      </x:c>
      <x:c r="G3001" s="29" t="str">
        <x:f>IF(E3001=F3001,"PASS","FAIL")</x:f>
        <x:v>PASS</x:v>
      </x:c>
    </x:row>
    <x:row r="3002" ht="18" customHeight="1">
      <x:c r="B3002" s="27" t="str">
        <x:v>A2996</x:v>
      </x:c>
      <x:c r="C3002" s="27" t="str">
        <x:v>rights</x:v>
      </x:c>
      <x:c r="D3002" s="27" t="str">
        <x:v>Rights row 30 evidence open</x:v>
      </x:c>
      <x:c r="E3002" s="27" t="n">
        <x:f>IF('Ancestry Rights'!I30="OPEN",1,0)</x:f>
        <x:v>1</x:v>
      </x:c>
      <x:c r="F3002" s="27" t="n">
        <x:v>1</x:v>
      </x:c>
      <x:c r="G3002" s="29" t="str">
        <x:f>IF(E3002=F3002,"PASS","FAIL")</x:f>
        <x:v>PASS</x:v>
      </x:c>
    </x:row>
    <x:row r="3003" ht="18" customHeight="1">
      <x:c r="B3003" s="27" t="str">
        <x:v>A2997</x:v>
      </x:c>
      <x:c r="C3003" s="27" t="str">
        <x:v>rights</x:v>
      </x:c>
      <x:c r="D3003" s="27" t="str">
        <x:v>Rights row 30 zero credit</x:v>
      </x:c>
      <x:c r="E3003" s="27" t="n">
        <x:f>IF('Ancestry Rights'!J30=0,1,0)</x:f>
        <x:v>1</x:v>
      </x:c>
      <x:c r="F3003" s="27" t="n">
        <x:v>1</x:v>
      </x:c>
      <x:c r="G3003" s="29" t="str">
        <x:f>IF(E3003=F3003,"PASS","FAIL")</x:f>
        <x:v>PASS</x:v>
      </x:c>
    </x:row>
    <x:row r="3004" ht="18" customHeight="1">
      <x:c r="B3004" s="27" t="str">
        <x:v>A2998</x:v>
      </x:c>
      <x:c r="C3004" s="27" t="str">
        <x:v>rights</x:v>
      </x:c>
      <x:c r="D3004" s="27" t="str">
        <x:v>Rights row 31 required</x:v>
      </x:c>
      <x:c r="E3004" s="27" t="n">
        <x:f>IF('Ancestry Rights'!F31=1,1,0)</x:f>
        <x:v>1</x:v>
      </x:c>
      <x:c r="F3004" s="27" t="n">
        <x:v>1</x:v>
      </x:c>
      <x:c r="G3004" s="29" t="str">
        <x:f>IF(E3004=F3004,"PASS","FAIL")</x:f>
        <x:v>PASS</x:v>
      </x:c>
    </x:row>
    <x:row r="3005" ht="18" customHeight="1">
      <x:c r="B3005" s="27" t="str">
        <x:v>A2999</x:v>
      </x:c>
      <x:c r="C3005" s="27" t="str">
        <x:v>rights</x:v>
      </x:c>
      <x:c r="D3005" s="27" t="str">
        <x:v>Rights row 31 not accepted on paper</x:v>
      </x:c>
      <x:c r="E3005" s="27" t="n">
        <x:f>IF('Ancestry Rights'!G31=0,1,0)</x:f>
        <x:v>1</x:v>
      </x:c>
      <x:c r="F3005" s="27" t="n">
        <x:v>1</x:v>
      </x:c>
      <x:c r="G3005" s="29" t="str">
        <x:f>IF(E3005=F3005,"PASS","FAIL")</x:f>
        <x:v>PASS</x:v>
      </x:c>
    </x:row>
    <x:row r="3006" ht="18" customHeight="1">
      <x:c r="B3006" s="27" t="str">
        <x:v>A3000</x:v>
      </x:c>
      <x:c r="C3006" s="27" t="str">
        <x:v>rights</x:v>
      </x:c>
      <x:c r="D3006" s="27" t="str">
        <x:v>Rights row 31 authority present</x:v>
      </x:c>
      <x:c r="E3006" s="27" t="n">
        <x:f>IF('Ancestry Rights'!H31&lt;&gt;"",1,0)</x:f>
        <x:v>1</x:v>
      </x:c>
      <x:c r="F3006" s="27" t="n">
        <x:v>1</x:v>
      </x:c>
      <x:c r="G3006" s="29" t="str">
        <x:f>IF(E3006=F3006,"PASS","FAIL")</x:f>
        <x:v>PASS</x:v>
      </x:c>
    </x:row>
    <x:row r="3007" ht="18" customHeight="1">
      <x:c r="B3007" s="27" t="str">
        <x:v>A3001</x:v>
      </x:c>
      <x:c r="C3007" s="27" t="str">
        <x:v>rights</x:v>
      </x:c>
      <x:c r="D3007" s="27" t="str">
        <x:v>Rights row 31 evidence open</x:v>
      </x:c>
      <x:c r="E3007" s="27" t="n">
        <x:f>IF('Ancestry Rights'!I31="OPEN",1,0)</x:f>
        <x:v>1</x:v>
      </x:c>
      <x:c r="F3007" s="27" t="n">
        <x:v>1</x:v>
      </x:c>
      <x:c r="G3007" s="29" t="str">
        <x:f>IF(E3007=F3007,"PASS","FAIL")</x:f>
        <x:v>PASS</x:v>
      </x:c>
    </x:row>
    <x:row r="3008" ht="18" customHeight="1">
      <x:c r="B3008" s="27" t="str">
        <x:v>A3002</x:v>
      </x:c>
      <x:c r="C3008" s="27" t="str">
        <x:v>rights</x:v>
      </x:c>
      <x:c r="D3008" s="27" t="str">
        <x:v>Rights row 31 zero credit</x:v>
      </x:c>
      <x:c r="E3008" s="27" t="n">
        <x:f>IF('Ancestry Rights'!J31=0,1,0)</x:f>
        <x:v>1</x:v>
      </x:c>
      <x:c r="F3008" s="27" t="n">
        <x:v>1</x:v>
      </x:c>
      <x:c r="G3008" s="29" t="str">
        <x:f>IF(E3008=F3008,"PASS","FAIL")</x:f>
        <x:v>PASS</x:v>
      </x:c>
    </x:row>
    <x:row r="3009" ht="18" customHeight="1">
      <x:c r="B3009" s="27" t="str">
        <x:v>A3003</x:v>
      </x:c>
      <x:c r="C3009" s="27" t="str">
        <x:v>rights</x:v>
      </x:c>
      <x:c r="D3009" s="27" t="str">
        <x:v>Rights row 32 required</x:v>
      </x:c>
      <x:c r="E3009" s="27" t="n">
        <x:f>IF('Ancestry Rights'!F32=1,1,0)</x:f>
        <x:v>1</x:v>
      </x:c>
      <x:c r="F3009" s="27" t="n">
        <x:v>1</x:v>
      </x:c>
      <x:c r="G3009" s="29" t="str">
        <x:f>IF(E3009=F3009,"PASS","FAIL")</x:f>
        <x:v>PASS</x:v>
      </x:c>
    </x:row>
    <x:row r="3010" ht="18" customHeight="1">
      <x:c r="B3010" s="27" t="str">
        <x:v>A3004</x:v>
      </x:c>
      <x:c r="C3010" s="27" t="str">
        <x:v>rights</x:v>
      </x:c>
      <x:c r="D3010" s="27" t="str">
        <x:v>Rights row 32 not accepted on paper</x:v>
      </x:c>
      <x:c r="E3010" s="27" t="n">
        <x:f>IF('Ancestry Rights'!G32=0,1,0)</x:f>
        <x:v>1</x:v>
      </x:c>
      <x:c r="F3010" s="27" t="n">
        <x:v>1</x:v>
      </x:c>
      <x:c r="G3010" s="29" t="str">
        <x:f>IF(E3010=F3010,"PASS","FAIL")</x:f>
        <x:v>PASS</x:v>
      </x:c>
    </x:row>
    <x:row r="3011" ht="18" customHeight="1">
      <x:c r="B3011" s="27" t="str">
        <x:v>A3005</x:v>
      </x:c>
      <x:c r="C3011" s="27" t="str">
        <x:v>rights</x:v>
      </x:c>
      <x:c r="D3011" s="27" t="str">
        <x:v>Rights row 32 authority present</x:v>
      </x:c>
      <x:c r="E3011" s="27" t="n">
        <x:f>IF('Ancestry Rights'!H32&lt;&gt;"",1,0)</x:f>
        <x:v>1</x:v>
      </x:c>
      <x:c r="F3011" s="27" t="n">
        <x:v>1</x:v>
      </x:c>
      <x:c r="G3011" s="29" t="str">
        <x:f>IF(E3011=F3011,"PASS","FAIL")</x:f>
        <x:v>PASS</x:v>
      </x:c>
    </x:row>
    <x:row r="3012" ht="18" customHeight="1">
      <x:c r="B3012" s="27" t="str">
        <x:v>A3006</x:v>
      </x:c>
      <x:c r="C3012" s="27" t="str">
        <x:v>rights</x:v>
      </x:c>
      <x:c r="D3012" s="27" t="str">
        <x:v>Rights row 32 evidence open</x:v>
      </x:c>
      <x:c r="E3012" s="27" t="n">
        <x:f>IF('Ancestry Rights'!I32="OPEN",1,0)</x:f>
        <x:v>1</x:v>
      </x:c>
      <x:c r="F3012" s="27" t="n">
        <x:v>1</x:v>
      </x:c>
      <x:c r="G3012" s="29" t="str">
        <x:f>IF(E3012=F3012,"PASS","FAIL")</x:f>
        <x:v>PASS</x:v>
      </x:c>
    </x:row>
    <x:row r="3013" ht="18" customHeight="1">
      <x:c r="B3013" s="27" t="str">
        <x:v>A3007</x:v>
      </x:c>
      <x:c r="C3013" s="27" t="str">
        <x:v>rights</x:v>
      </x:c>
      <x:c r="D3013" s="27" t="str">
        <x:v>Rights row 32 zero credit</x:v>
      </x:c>
      <x:c r="E3013" s="27" t="n">
        <x:f>IF('Ancestry Rights'!J32=0,1,0)</x:f>
        <x:v>1</x:v>
      </x:c>
      <x:c r="F3013" s="27" t="n">
        <x:v>1</x:v>
      </x:c>
      <x:c r="G3013" s="29" t="str">
        <x:f>IF(E3013=F3013,"PASS","FAIL")</x:f>
        <x:v>PASS</x:v>
      </x:c>
    </x:row>
    <x:row r="3014" ht="18" customHeight="1">
      <x:c r="B3014" s="27" t="str">
        <x:v>A3008</x:v>
      </x:c>
      <x:c r="C3014" s="27" t="str">
        <x:v>rights</x:v>
      </x:c>
      <x:c r="D3014" s="27" t="str">
        <x:v>Rights row 33 required</x:v>
      </x:c>
      <x:c r="E3014" s="27" t="n">
        <x:f>IF('Ancestry Rights'!F33=1,1,0)</x:f>
        <x:v>1</x:v>
      </x:c>
      <x:c r="F3014" s="27" t="n">
        <x:v>1</x:v>
      </x:c>
      <x:c r="G3014" s="29" t="str">
        <x:f>IF(E3014=F3014,"PASS","FAIL")</x:f>
        <x:v>PASS</x:v>
      </x:c>
    </x:row>
    <x:row r="3015" ht="18" customHeight="1">
      <x:c r="B3015" s="27" t="str">
        <x:v>A3009</x:v>
      </x:c>
      <x:c r="C3015" s="27" t="str">
        <x:v>rights</x:v>
      </x:c>
      <x:c r="D3015" s="27" t="str">
        <x:v>Rights row 33 not accepted on paper</x:v>
      </x:c>
      <x:c r="E3015" s="27" t="n">
        <x:f>IF('Ancestry Rights'!G33=0,1,0)</x:f>
        <x:v>1</x:v>
      </x:c>
      <x:c r="F3015" s="27" t="n">
        <x:v>1</x:v>
      </x:c>
      <x:c r="G3015" s="29" t="str">
        <x:f>IF(E3015=F3015,"PASS","FAIL")</x:f>
        <x:v>PASS</x:v>
      </x:c>
    </x:row>
    <x:row r="3016" ht="18" customHeight="1">
      <x:c r="B3016" s="27" t="str">
        <x:v>A3010</x:v>
      </x:c>
      <x:c r="C3016" s="27" t="str">
        <x:v>rights</x:v>
      </x:c>
      <x:c r="D3016" s="27" t="str">
        <x:v>Rights row 33 authority present</x:v>
      </x:c>
      <x:c r="E3016" s="27" t="n">
        <x:f>IF('Ancestry Rights'!H33&lt;&gt;"",1,0)</x:f>
        <x:v>1</x:v>
      </x:c>
      <x:c r="F3016" s="27" t="n">
        <x:v>1</x:v>
      </x:c>
      <x:c r="G3016" s="29" t="str">
        <x:f>IF(E3016=F3016,"PASS","FAIL")</x:f>
        <x:v>PASS</x:v>
      </x:c>
    </x:row>
    <x:row r="3017" ht="18" customHeight="1">
      <x:c r="B3017" s="27" t="str">
        <x:v>A3011</x:v>
      </x:c>
      <x:c r="C3017" s="27" t="str">
        <x:v>rights</x:v>
      </x:c>
      <x:c r="D3017" s="27" t="str">
        <x:v>Rights row 33 evidence open</x:v>
      </x:c>
      <x:c r="E3017" s="27" t="n">
        <x:f>IF('Ancestry Rights'!I33="OPEN",1,0)</x:f>
        <x:v>1</x:v>
      </x:c>
      <x:c r="F3017" s="27" t="n">
        <x:v>1</x:v>
      </x:c>
      <x:c r="G3017" s="29" t="str">
        <x:f>IF(E3017=F3017,"PASS","FAIL")</x:f>
        <x:v>PASS</x:v>
      </x:c>
    </x:row>
    <x:row r="3018" ht="18" customHeight="1">
      <x:c r="B3018" s="27" t="str">
        <x:v>A3012</x:v>
      </x:c>
      <x:c r="C3018" s="27" t="str">
        <x:v>rights</x:v>
      </x:c>
      <x:c r="D3018" s="27" t="str">
        <x:v>Rights row 33 zero credit</x:v>
      </x:c>
      <x:c r="E3018" s="27" t="n">
        <x:f>IF('Ancestry Rights'!J33=0,1,0)</x:f>
        <x:v>1</x:v>
      </x:c>
      <x:c r="F3018" s="27" t="n">
        <x:v>1</x:v>
      </x:c>
      <x:c r="G3018" s="29" t="str">
        <x:f>IF(E3018=F3018,"PASS","FAIL")</x:f>
        <x:v>PASS</x:v>
      </x:c>
    </x:row>
    <x:row r="3019" ht="18" customHeight="1">
      <x:c r="B3019" s="27" t="str">
        <x:v>A3013</x:v>
      </x:c>
      <x:c r="C3019" s="27" t="str">
        <x:v>rights</x:v>
      </x:c>
      <x:c r="D3019" s="27" t="str">
        <x:v>Rights row 34 required</x:v>
      </x:c>
      <x:c r="E3019" s="27" t="n">
        <x:f>IF('Ancestry Rights'!F34=1,1,0)</x:f>
        <x:v>1</x:v>
      </x:c>
      <x:c r="F3019" s="27" t="n">
        <x:v>1</x:v>
      </x:c>
      <x:c r="G3019" s="29" t="str">
        <x:f>IF(E3019=F3019,"PASS","FAIL")</x:f>
        <x:v>PASS</x:v>
      </x:c>
    </x:row>
    <x:row r="3020" ht="18" customHeight="1">
      <x:c r="B3020" s="27" t="str">
        <x:v>A3014</x:v>
      </x:c>
      <x:c r="C3020" s="27" t="str">
        <x:v>rights</x:v>
      </x:c>
      <x:c r="D3020" s="27" t="str">
        <x:v>Rights row 34 not accepted on paper</x:v>
      </x:c>
      <x:c r="E3020" s="27" t="n">
        <x:f>IF('Ancestry Rights'!G34=0,1,0)</x:f>
        <x:v>1</x:v>
      </x:c>
      <x:c r="F3020" s="27" t="n">
        <x:v>1</x:v>
      </x:c>
      <x:c r="G3020" s="29" t="str">
        <x:f>IF(E3020=F3020,"PASS","FAIL")</x:f>
        <x:v>PASS</x:v>
      </x:c>
    </x:row>
    <x:row r="3021" ht="18" customHeight="1">
      <x:c r="B3021" s="27" t="str">
        <x:v>A3015</x:v>
      </x:c>
      <x:c r="C3021" s="27" t="str">
        <x:v>rights</x:v>
      </x:c>
      <x:c r="D3021" s="27" t="str">
        <x:v>Rights row 34 authority present</x:v>
      </x:c>
      <x:c r="E3021" s="27" t="n">
        <x:f>IF('Ancestry Rights'!H34&lt;&gt;"",1,0)</x:f>
        <x:v>1</x:v>
      </x:c>
      <x:c r="F3021" s="27" t="n">
        <x:v>1</x:v>
      </x:c>
      <x:c r="G3021" s="29" t="str">
        <x:f>IF(E3021=F3021,"PASS","FAIL")</x:f>
        <x:v>PASS</x:v>
      </x:c>
    </x:row>
    <x:row r="3022" ht="18" customHeight="1">
      <x:c r="B3022" s="27" t="str">
        <x:v>A3016</x:v>
      </x:c>
      <x:c r="C3022" s="27" t="str">
        <x:v>rights</x:v>
      </x:c>
      <x:c r="D3022" s="27" t="str">
        <x:v>Rights row 34 evidence open</x:v>
      </x:c>
      <x:c r="E3022" s="27" t="n">
        <x:f>IF('Ancestry Rights'!I34="OPEN",1,0)</x:f>
        <x:v>1</x:v>
      </x:c>
      <x:c r="F3022" s="27" t="n">
        <x:v>1</x:v>
      </x:c>
      <x:c r="G3022" s="29" t="str">
        <x:f>IF(E3022=F3022,"PASS","FAIL")</x:f>
        <x:v>PASS</x:v>
      </x:c>
    </x:row>
    <x:row r="3023" ht="18" customHeight="1">
      <x:c r="B3023" s="27" t="str">
        <x:v>A3017</x:v>
      </x:c>
      <x:c r="C3023" s="27" t="str">
        <x:v>rights</x:v>
      </x:c>
      <x:c r="D3023" s="27" t="str">
        <x:v>Rights row 34 zero credit</x:v>
      </x:c>
      <x:c r="E3023" s="27" t="n">
        <x:f>IF('Ancestry Rights'!J34=0,1,0)</x:f>
        <x:v>1</x:v>
      </x:c>
      <x:c r="F3023" s="27" t="n">
        <x:v>1</x:v>
      </x:c>
      <x:c r="G3023" s="29" t="str">
        <x:f>IF(E3023=F3023,"PASS","FAIL")</x:f>
        <x:v>PASS</x:v>
      </x:c>
    </x:row>
    <x:row r="3024" ht="18" customHeight="1">
      <x:c r="B3024" s="27" t="str">
        <x:v>A3018</x:v>
      </x:c>
      <x:c r="C3024" s="27" t="str">
        <x:v>rights</x:v>
      </x:c>
      <x:c r="D3024" s="27" t="str">
        <x:v>Rights row 35 required</x:v>
      </x:c>
      <x:c r="E3024" s="27" t="n">
        <x:f>IF('Ancestry Rights'!F35=1,1,0)</x:f>
        <x:v>1</x:v>
      </x:c>
      <x:c r="F3024" s="27" t="n">
        <x:v>1</x:v>
      </x:c>
      <x:c r="G3024" s="29" t="str">
        <x:f>IF(E3024=F3024,"PASS","FAIL")</x:f>
        <x:v>PASS</x:v>
      </x:c>
    </x:row>
    <x:row r="3025" ht="18" customHeight="1">
      <x:c r="B3025" s="27" t="str">
        <x:v>A3019</x:v>
      </x:c>
      <x:c r="C3025" s="27" t="str">
        <x:v>rights</x:v>
      </x:c>
      <x:c r="D3025" s="27" t="str">
        <x:v>Rights row 35 not accepted on paper</x:v>
      </x:c>
      <x:c r="E3025" s="27" t="n">
        <x:f>IF('Ancestry Rights'!G35=0,1,0)</x:f>
        <x:v>1</x:v>
      </x:c>
      <x:c r="F3025" s="27" t="n">
        <x:v>1</x:v>
      </x:c>
      <x:c r="G3025" s="29" t="str">
        <x:f>IF(E3025=F3025,"PASS","FAIL")</x:f>
        <x:v>PASS</x:v>
      </x:c>
    </x:row>
    <x:row r="3026" ht="18" customHeight="1">
      <x:c r="B3026" s="27" t="str">
        <x:v>A3020</x:v>
      </x:c>
      <x:c r="C3026" s="27" t="str">
        <x:v>rights</x:v>
      </x:c>
      <x:c r="D3026" s="27" t="str">
        <x:v>Rights row 35 authority present</x:v>
      </x:c>
      <x:c r="E3026" s="27" t="n">
        <x:f>IF('Ancestry Rights'!H35&lt;&gt;"",1,0)</x:f>
        <x:v>1</x:v>
      </x:c>
      <x:c r="F3026" s="27" t="n">
        <x:v>1</x:v>
      </x:c>
      <x:c r="G3026" s="29" t="str">
        <x:f>IF(E3026=F3026,"PASS","FAIL")</x:f>
        <x:v>PASS</x:v>
      </x:c>
    </x:row>
    <x:row r="3027" ht="18" customHeight="1">
      <x:c r="B3027" s="27" t="str">
        <x:v>A3021</x:v>
      </x:c>
      <x:c r="C3027" s="27" t="str">
        <x:v>rights</x:v>
      </x:c>
      <x:c r="D3027" s="27" t="str">
        <x:v>Rights row 35 evidence open</x:v>
      </x:c>
      <x:c r="E3027" s="27" t="n">
        <x:f>IF('Ancestry Rights'!I35="OPEN",1,0)</x:f>
        <x:v>1</x:v>
      </x:c>
      <x:c r="F3027" s="27" t="n">
        <x:v>1</x:v>
      </x:c>
      <x:c r="G3027" s="29" t="str">
        <x:f>IF(E3027=F3027,"PASS","FAIL")</x:f>
        <x:v>PASS</x:v>
      </x:c>
    </x:row>
    <x:row r="3028" ht="18" customHeight="1">
      <x:c r="B3028" s="27" t="str">
        <x:v>A3022</x:v>
      </x:c>
      <x:c r="C3028" s="27" t="str">
        <x:v>rights</x:v>
      </x:c>
      <x:c r="D3028" s="27" t="str">
        <x:v>Rights row 35 zero credit</x:v>
      </x:c>
      <x:c r="E3028" s="27" t="n">
        <x:f>IF('Ancestry Rights'!J35=0,1,0)</x:f>
        <x:v>1</x:v>
      </x:c>
      <x:c r="F3028" s="27" t="n">
        <x:v>1</x:v>
      </x:c>
      <x:c r="G3028" s="29" t="str">
        <x:f>IF(E3028=F3028,"PASS","FAIL")</x:f>
        <x:v>PASS</x:v>
      </x:c>
    </x:row>
    <x:row r="3029" ht="18" customHeight="1">
      <x:c r="B3029" s="27" t="str">
        <x:v>A3023</x:v>
      </x:c>
      <x:c r="C3029" s="27" t="str">
        <x:v>rights</x:v>
      </x:c>
      <x:c r="D3029" s="27" t="str">
        <x:v>Rights row 36 required</x:v>
      </x:c>
      <x:c r="E3029" s="27" t="n">
        <x:f>IF('Ancestry Rights'!F36=1,1,0)</x:f>
        <x:v>1</x:v>
      </x:c>
      <x:c r="F3029" s="27" t="n">
        <x:v>1</x:v>
      </x:c>
      <x:c r="G3029" s="29" t="str">
        <x:f>IF(E3029=F3029,"PASS","FAIL")</x:f>
        <x:v>PASS</x:v>
      </x:c>
    </x:row>
    <x:row r="3030" ht="18" customHeight="1">
      <x:c r="B3030" s="27" t="str">
        <x:v>A3024</x:v>
      </x:c>
      <x:c r="C3030" s="27" t="str">
        <x:v>rights</x:v>
      </x:c>
      <x:c r="D3030" s="27" t="str">
        <x:v>Rights row 36 not accepted on paper</x:v>
      </x:c>
      <x:c r="E3030" s="27" t="n">
        <x:f>IF('Ancestry Rights'!G36=0,1,0)</x:f>
        <x:v>1</x:v>
      </x:c>
      <x:c r="F3030" s="27" t="n">
        <x:v>1</x:v>
      </x:c>
      <x:c r="G3030" s="29" t="str">
        <x:f>IF(E3030=F3030,"PASS","FAIL")</x:f>
        <x:v>PASS</x:v>
      </x:c>
    </x:row>
    <x:row r="3031" ht="18" customHeight="1">
      <x:c r="B3031" s="27" t="str">
        <x:v>A3025</x:v>
      </x:c>
      <x:c r="C3031" s="27" t="str">
        <x:v>rights</x:v>
      </x:c>
      <x:c r="D3031" s="27" t="str">
        <x:v>Rights row 36 authority present</x:v>
      </x:c>
      <x:c r="E3031" s="27" t="n">
        <x:f>IF('Ancestry Rights'!H36&lt;&gt;"",1,0)</x:f>
        <x:v>1</x:v>
      </x:c>
      <x:c r="F3031" s="27" t="n">
        <x:v>1</x:v>
      </x:c>
      <x:c r="G3031" s="29" t="str">
        <x:f>IF(E3031=F3031,"PASS","FAIL")</x:f>
        <x:v>PASS</x:v>
      </x:c>
    </x:row>
    <x:row r="3032" ht="18" customHeight="1">
      <x:c r="B3032" s="27" t="str">
        <x:v>A3026</x:v>
      </x:c>
      <x:c r="C3032" s="27" t="str">
        <x:v>rights</x:v>
      </x:c>
      <x:c r="D3032" s="27" t="str">
        <x:v>Rights row 36 evidence open</x:v>
      </x:c>
      <x:c r="E3032" s="27" t="n">
        <x:f>IF('Ancestry Rights'!I36="OPEN",1,0)</x:f>
        <x:v>1</x:v>
      </x:c>
      <x:c r="F3032" s="27" t="n">
        <x:v>1</x:v>
      </x:c>
      <x:c r="G3032" s="29" t="str">
        <x:f>IF(E3032=F3032,"PASS","FAIL")</x:f>
        <x:v>PASS</x:v>
      </x:c>
    </x:row>
    <x:row r="3033" ht="18" customHeight="1">
      <x:c r="B3033" s="27" t="str">
        <x:v>A3027</x:v>
      </x:c>
      <x:c r="C3033" s="27" t="str">
        <x:v>rights</x:v>
      </x:c>
      <x:c r="D3033" s="27" t="str">
        <x:v>Rights row 36 zero credit</x:v>
      </x:c>
      <x:c r="E3033" s="27" t="n">
        <x:f>IF('Ancestry Rights'!J36=0,1,0)</x:f>
        <x:v>1</x:v>
      </x:c>
      <x:c r="F3033" s="27" t="n">
        <x:v>1</x:v>
      </x:c>
      <x:c r="G3033" s="29" t="str">
        <x:f>IF(E3033=F3033,"PASS","FAIL")</x:f>
        <x:v>PASS</x:v>
      </x:c>
    </x:row>
    <x:row r="3034" ht="18" customHeight="1">
      <x:c r="B3034" s="27" t="str">
        <x:v>A3028</x:v>
      </x:c>
      <x:c r="C3034" s="27" t="str">
        <x:v>rights</x:v>
      </x:c>
      <x:c r="D3034" s="27" t="str">
        <x:v>Rights row 37 required</x:v>
      </x:c>
      <x:c r="E3034" s="27" t="n">
        <x:f>IF('Ancestry Rights'!F37=1,1,0)</x:f>
        <x:v>1</x:v>
      </x:c>
      <x:c r="F3034" s="27" t="n">
        <x:v>1</x:v>
      </x:c>
      <x:c r="G3034" s="29" t="str">
        <x:f>IF(E3034=F3034,"PASS","FAIL")</x:f>
        <x:v>PASS</x:v>
      </x:c>
    </x:row>
    <x:row r="3035" ht="18" customHeight="1">
      <x:c r="B3035" s="27" t="str">
        <x:v>A3029</x:v>
      </x:c>
      <x:c r="C3035" s="27" t="str">
        <x:v>rights</x:v>
      </x:c>
      <x:c r="D3035" s="27" t="str">
        <x:v>Rights row 37 not accepted on paper</x:v>
      </x:c>
      <x:c r="E3035" s="27" t="n">
        <x:f>IF('Ancestry Rights'!G37=0,1,0)</x:f>
        <x:v>1</x:v>
      </x:c>
      <x:c r="F3035" s="27" t="n">
        <x:v>1</x:v>
      </x:c>
      <x:c r="G3035" s="29" t="str">
        <x:f>IF(E3035=F3035,"PASS","FAIL")</x:f>
        <x:v>PASS</x:v>
      </x:c>
    </x:row>
    <x:row r="3036" ht="18" customHeight="1">
      <x:c r="B3036" s="27" t="str">
        <x:v>A3030</x:v>
      </x:c>
      <x:c r="C3036" s="27" t="str">
        <x:v>rights</x:v>
      </x:c>
      <x:c r="D3036" s="27" t="str">
        <x:v>Rights row 37 authority present</x:v>
      </x:c>
      <x:c r="E3036" s="27" t="n">
        <x:f>IF('Ancestry Rights'!H37&lt;&gt;"",1,0)</x:f>
        <x:v>1</x:v>
      </x:c>
      <x:c r="F3036" s="27" t="n">
        <x:v>1</x:v>
      </x:c>
      <x:c r="G3036" s="29" t="str">
        <x:f>IF(E3036=F3036,"PASS","FAIL")</x:f>
        <x:v>PASS</x:v>
      </x:c>
    </x:row>
    <x:row r="3037" ht="18" customHeight="1">
      <x:c r="B3037" s="27" t="str">
        <x:v>A3031</x:v>
      </x:c>
      <x:c r="C3037" s="27" t="str">
        <x:v>rights</x:v>
      </x:c>
      <x:c r="D3037" s="27" t="str">
        <x:v>Rights row 37 evidence open</x:v>
      </x:c>
      <x:c r="E3037" s="27" t="n">
        <x:f>IF('Ancestry Rights'!I37="OPEN",1,0)</x:f>
        <x:v>1</x:v>
      </x:c>
      <x:c r="F3037" s="27" t="n">
        <x:v>1</x:v>
      </x:c>
      <x:c r="G3037" s="29" t="str">
        <x:f>IF(E3037=F3037,"PASS","FAIL")</x:f>
        <x:v>PASS</x:v>
      </x:c>
    </x:row>
    <x:row r="3038" ht="18" customHeight="1">
      <x:c r="B3038" s="27" t="str">
        <x:v>A3032</x:v>
      </x:c>
      <x:c r="C3038" s="27" t="str">
        <x:v>rights</x:v>
      </x:c>
      <x:c r="D3038" s="27" t="str">
        <x:v>Rights row 37 zero credit</x:v>
      </x:c>
      <x:c r="E3038" s="27" t="n">
        <x:f>IF('Ancestry Rights'!J37=0,1,0)</x:f>
        <x:v>1</x:v>
      </x:c>
      <x:c r="F3038" s="27" t="n">
        <x:v>1</x:v>
      </x:c>
      <x:c r="G3038" s="29" t="str">
        <x:f>IF(E3038=F3038,"PASS","FAIL")</x:f>
        <x:v>PASS</x:v>
      </x:c>
    </x:row>
    <x:row r="3039" ht="18" customHeight="1">
      <x:c r="B3039" s="27" t="str">
        <x:v>A3033</x:v>
      </x:c>
      <x:c r="C3039" s="27" t="str">
        <x:v>rights</x:v>
      </x:c>
      <x:c r="D3039" s="27" t="str">
        <x:v>Rights row 38 required</x:v>
      </x:c>
      <x:c r="E3039" s="27" t="n">
        <x:f>IF('Ancestry Rights'!F38=1,1,0)</x:f>
        <x:v>1</x:v>
      </x:c>
      <x:c r="F3039" s="27" t="n">
        <x:v>1</x:v>
      </x:c>
      <x:c r="G3039" s="29" t="str">
        <x:f>IF(E3039=F3039,"PASS","FAIL")</x:f>
        <x:v>PASS</x:v>
      </x:c>
    </x:row>
    <x:row r="3040" ht="18" customHeight="1">
      <x:c r="B3040" s="27" t="str">
        <x:v>A3034</x:v>
      </x:c>
      <x:c r="C3040" s="27" t="str">
        <x:v>rights</x:v>
      </x:c>
      <x:c r="D3040" s="27" t="str">
        <x:v>Rights row 38 not accepted on paper</x:v>
      </x:c>
      <x:c r="E3040" s="27" t="n">
        <x:f>IF('Ancestry Rights'!G38=0,1,0)</x:f>
        <x:v>1</x:v>
      </x:c>
      <x:c r="F3040" s="27" t="n">
        <x:v>1</x:v>
      </x:c>
      <x:c r="G3040" s="29" t="str">
        <x:f>IF(E3040=F3040,"PASS","FAIL")</x:f>
        <x:v>PASS</x:v>
      </x:c>
    </x:row>
    <x:row r="3041" ht="18" customHeight="1">
      <x:c r="B3041" s="27" t="str">
        <x:v>A3035</x:v>
      </x:c>
      <x:c r="C3041" s="27" t="str">
        <x:v>rights</x:v>
      </x:c>
      <x:c r="D3041" s="27" t="str">
        <x:v>Rights row 38 authority present</x:v>
      </x:c>
      <x:c r="E3041" s="27" t="n">
        <x:f>IF('Ancestry Rights'!H38&lt;&gt;"",1,0)</x:f>
        <x:v>1</x:v>
      </x:c>
      <x:c r="F3041" s="27" t="n">
        <x:v>1</x:v>
      </x:c>
      <x:c r="G3041" s="29" t="str">
        <x:f>IF(E3041=F3041,"PASS","FAIL")</x:f>
        <x:v>PASS</x:v>
      </x:c>
    </x:row>
    <x:row r="3042" ht="18" customHeight="1">
      <x:c r="B3042" s="27" t="str">
        <x:v>A3036</x:v>
      </x:c>
      <x:c r="C3042" s="27" t="str">
        <x:v>rights</x:v>
      </x:c>
      <x:c r="D3042" s="27" t="str">
        <x:v>Rights row 38 evidence open</x:v>
      </x:c>
      <x:c r="E3042" s="27" t="n">
        <x:f>IF('Ancestry Rights'!I38="OPEN",1,0)</x:f>
        <x:v>1</x:v>
      </x:c>
      <x:c r="F3042" s="27" t="n">
        <x:v>1</x:v>
      </x:c>
      <x:c r="G3042" s="29" t="str">
        <x:f>IF(E3042=F3042,"PASS","FAIL")</x:f>
        <x:v>PASS</x:v>
      </x:c>
    </x:row>
    <x:row r="3043" ht="18" customHeight="1">
      <x:c r="B3043" s="27" t="str">
        <x:v>A3037</x:v>
      </x:c>
      <x:c r="C3043" s="27" t="str">
        <x:v>rights</x:v>
      </x:c>
      <x:c r="D3043" s="27" t="str">
        <x:v>Rights row 38 zero credit</x:v>
      </x:c>
      <x:c r="E3043" s="27" t="n">
        <x:f>IF('Ancestry Rights'!J38=0,1,0)</x:f>
        <x:v>1</x:v>
      </x:c>
      <x:c r="F3043" s="27" t="n">
        <x:v>1</x:v>
      </x:c>
      <x:c r="G3043" s="29" t="str">
        <x:f>IF(E3043=F3043,"PASS","FAIL")</x:f>
        <x:v>PASS</x:v>
      </x:c>
    </x:row>
    <x:row r="3044" ht="18" customHeight="1">
      <x:c r="B3044" s="27" t="str">
        <x:v>A3038</x:v>
      </x:c>
      <x:c r="C3044" s="27" t="str">
        <x:v>rights</x:v>
      </x:c>
      <x:c r="D3044" s="27" t="str">
        <x:v>Rights row 39 required</x:v>
      </x:c>
      <x:c r="E3044" s="27" t="n">
        <x:f>IF('Ancestry Rights'!F39=1,1,0)</x:f>
        <x:v>1</x:v>
      </x:c>
      <x:c r="F3044" s="27" t="n">
        <x:v>1</x:v>
      </x:c>
      <x:c r="G3044" s="29" t="str">
        <x:f>IF(E3044=F3044,"PASS","FAIL")</x:f>
        <x:v>PASS</x:v>
      </x:c>
    </x:row>
    <x:row r="3045" ht="18" customHeight="1">
      <x:c r="B3045" s="27" t="str">
        <x:v>A3039</x:v>
      </x:c>
      <x:c r="C3045" s="27" t="str">
        <x:v>rights</x:v>
      </x:c>
      <x:c r="D3045" s="27" t="str">
        <x:v>Rights row 39 not accepted on paper</x:v>
      </x:c>
      <x:c r="E3045" s="27" t="n">
        <x:f>IF('Ancestry Rights'!G39=0,1,0)</x:f>
        <x:v>1</x:v>
      </x:c>
      <x:c r="F3045" s="27" t="n">
        <x:v>1</x:v>
      </x:c>
      <x:c r="G3045" s="29" t="str">
        <x:f>IF(E3045=F3045,"PASS","FAIL")</x:f>
        <x:v>PASS</x:v>
      </x:c>
    </x:row>
    <x:row r="3046" ht="18" customHeight="1">
      <x:c r="B3046" s="27" t="str">
        <x:v>A3040</x:v>
      </x:c>
      <x:c r="C3046" s="27" t="str">
        <x:v>rights</x:v>
      </x:c>
      <x:c r="D3046" s="27" t="str">
        <x:v>Rights row 39 authority present</x:v>
      </x:c>
      <x:c r="E3046" s="27" t="n">
        <x:f>IF('Ancestry Rights'!H39&lt;&gt;"",1,0)</x:f>
        <x:v>1</x:v>
      </x:c>
      <x:c r="F3046" s="27" t="n">
        <x:v>1</x:v>
      </x:c>
      <x:c r="G3046" s="29" t="str">
        <x:f>IF(E3046=F3046,"PASS","FAIL")</x:f>
        <x:v>PASS</x:v>
      </x:c>
    </x:row>
    <x:row r="3047" ht="18" customHeight="1">
      <x:c r="B3047" s="27" t="str">
        <x:v>A3041</x:v>
      </x:c>
      <x:c r="C3047" s="27" t="str">
        <x:v>rights</x:v>
      </x:c>
      <x:c r="D3047" s="27" t="str">
        <x:v>Rights row 39 evidence open</x:v>
      </x:c>
      <x:c r="E3047" s="27" t="n">
        <x:f>IF('Ancestry Rights'!I39="OPEN",1,0)</x:f>
        <x:v>1</x:v>
      </x:c>
      <x:c r="F3047" s="27" t="n">
        <x:v>1</x:v>
      </x:c>
      <x:c r="G3047" s="29" t="str">
        <x:f>IF(E3047=F3047,"PASS","FAIL")</x:f>
        <x:v>PASS</x:v>
      </x:c>
    </x:row>
    <x:row r="3048" ht="18" customHeight="1">
      <x:c r="B3048" s="27" t="str">
        <x:v>A3042</x:v>
      </x:c>
      <x:c r="C3048" s="27" t="str">
        <x:v>rights</x:v>
      </x:c>
      <x:c r="D3048" s="27" t="str">
        <x:v>Rights row 39 zero credit</x:v>
      </x:c>
      <x:c r="E3048" s="27" t="n">
        <x:f>IF('Ancestry Rights'!J39=0,1,0)</x:f>
        <x:v>1</x:v>
      </x:c>
      <x:c r="F3048" s="27" t="n">
        <x:v>1</x:v>
      </x:c>
      <x:c r="G3048" s="29" t="str">
        <x:f>IF(E3048=F3048,"PASS","FAIL")</x:f>
        <x:v>PASS</x:v>
      </x:c>
    </x:row>
    <x:row r="3049" ht="18" customHeight="1">
      <x:c r="B3049" s="27" t="str">
        <x:v>A3043</x:v>
      </x:c>
      <x:c r="C3049" s="27" t="str">
        <x:v>rights</x:v>
      </x:c>
      <x:c r="D3049" s="27" t="str">
        <x:v>Rights row 40 required</x:v>
      </x:c>
      <x:c r="E3049" s="27" t="n">
        <x:f>IF('Ancestry Rights'!F40=1,1,0)</x:f>
        <x:v>1</x:v>
      </x:c>
      <x:c r="F3049" s="27" t="n">
        <x:v>1</x:v>
      </x:c>
      <x:c r="G3049" s="29" t="str">
        <x:f>IF(E3049=F3049,"PASS","FAIL")</x:f>
        <x:v>PASS</x:v>
      </x:c>
    </x:row>
    <x:row r="3050" ht="18" customHeight="1">
      <x:c r="B3050" s="27" t="str">
        <x:v>A3044</x:v>
      </x:c>
      <x:c r="C3050" s="27" t="str">
        <x:v>rights</x:v>
      </x:c>
      <x:c r="D3050" s="27" t="str">
        <x:v>Rights row 40 not accepted on paper</x:v>
      </x:c>
      <x:c r="E3050" s="27" t="n">
        <x:f>IF('Ancestry Rights'!G40=0,1,0)</x:f>
        <x:v>1</x:v>
      </x:c>
      <x:c r="F3050" s="27" t="n">
        <x:v>1</x:v>
      </x:c>
      <x:c r="G3050" s="29" t="str">
        <x:f>IF(E3050=F3050,"PASS","FAIL")</x:f>
        <x:v>PASS</x:v>
      </x:c>
    </x:row>
    <x:row r="3051" ht="18" customHeight="1">
      <x:c r="B3051" s="27" t="str">
        <x:v>A3045</x:v>
      </x:c>
      <x:c r="C3051" s="27" t="str">
        <x:v>rights</x:v>
      </x:c>
      <x:c r="D3051" s="27" t="str">
        <x:v>Rights row 40 authority present</x:v>
      </x:c>
      <x:c r="E3051" s="27" t="n">
        <x:f>IF('Ancestry Rights'!H40&lt;&gt;"",1,0)</x:f>
        <x:v>1</x:v>
      </x:c>
      <x:c r="F3051" s="27" t="n">
        <x:v>1</x:v>
      </x:c>
      <x:c r="G3051" s="29" t="str">
        <x:f>IF(E3051=F3051,"PASS","FAIL")</x:f>
        <x:v>PASS</x:v>
      </x:c>
    </x:row>
    <x:row r="3052" ht="18" customHeight="1">
      <x:c r="B3052" s="27" t="str">
        <x:v>A3046</x:v>
      </x:c>
      <x:c r="C3052" s="27" t="str">
        <x:v>rights</x:v>
      </x:c>
      <x:c r="D3052" s="27" t="str">
        <x:v>Rights row 40 evidence open</x:v>
      </x:c>
      <x:c r="E3052" s="27" t="n">
        <x:f>IF('Ancestry Rights'!I40="OPEN",1,0)</x:f>
        <x:v>1</x:v>
      </x:c>
      <x:c r="F3052" s="27" t="n">
        <x:v>1</x:v>
      </x:c>
      <x:c r="G3052" s="29" t="str">
        <x:f>IF(E3052=F3052,"PASS","FAIL")</x:f>
        <x:v>PASS</x:v>
      </x:c>
    </x:row>
    <x:row r="3053" ht="18" customHeight="1">
      <x:c r="B3053" s="27" t="str">
        <x:v>A3047</x:v>
      </x:c>
      <x:c r="C3053" s="27" t="str">
        <x:v>rights</x:v>
      </x:c>
      <x:c r="D3053" s="27" t="str">
        <x:v>Rights row 40 zero credit</x:v>
      </x:c>
      <x:c r="E3053" s="27" t="n">
        <x:f>IF('Ancestry Rights'!J40=0,1,0)</x:f>
        <x:v>1</x:v>
      </x:c>
      <x:c r="F3053" s="27" t="n">
        <x:v>1</x:v>
      </x:c>
      <x:c r="G3053" s="29" t="str">
        <x:f>IF(E3053=F3053,"PASS","FAIL")</x:f>
        <x:v>PASS</x:v>
      </x:c>
    </x:row>
    <x:row r="3054" ht="18" customHeight="1">
      <x:c r="B3054" s="27" t="str">
        <x:v>A3048</x:v>
      </x:c>
      <x:c r="C3054" s="27" t="str">
        <x:v>rights</x:v>
      </x:c>
      <x:c r="D3054" s="27" t="str">
        <x:v>Rights row 41 required</x:v>
      </x:c>
      <x:c r="E3054" s="27" t="n">
        <x:f>IF('Ancestry Rights'!F41=1,1,0)</x:f>
        <x:v>1</x:v>
      </x:c>
      <x:c r="F3054" s="27" t="n">
        <x:v>1</x:v>
      </x:c>
      <x:c r="G3054" s="29" t="str">
        <x:f>IF(E3054=F3054,"PASS","FAIL")</x:f>
        <x:v>PASS</x:v>
      </x:c>
    </x:row>
    <x:row r="3055" ht="18" customHeight="1">
      <x:c r="B3055" s="27" t="str">
        <x:v>A3049</x:v>
      </x:c>
      <x:c r="C3055" s="27" t="str">
        <x:v>rights</x:v>
      </x:c>
      <x:c r="D3055" s="27" t="str">
        <x:v>Rights row 41 not accepted on paper</x:v>
      </x:c>
      <x:c r="E3055" s="27" t="n">
        <x:f>IF('Ancestry Rights'!G41=0,1,0)</x:f>
        <x:v>1</x:v>
      </x:c>
      <x:c r="F3055" s="27" t="n">
        <x:v>1</x:v>
      </x:c>
      <x:c r="G3055" s="29" t="str">
        <x:f>IF(E3055=F3055,"PASS","FAIL")</x:f>
        <x:v>PASS</x:v>
      </x:c>
    </x:row>
    <x:row r="3056" ht="18" customHeight="1">
      <x:c r="B3056" s="27" t="str">
        <x:v>A3050</x:v>
      </x:c>
      <x:c r="C3056" s="27" t="str">
        <x:v>rights</x:v>
      </x:c>
      <x:c r="D3056" s="27" t="str">
        <x:v>Rights row 41 authority present</x:v>
      </x:c>
      <x:c r="E3056" s="27" t="n">
        <x:f>IF('Ancestry Rights'!H41&lt;&gt;"",1,0)</x:f>
        <x:v>1</x:v>
      </x:c>
      <x:c r="F3056" s="27" t="n">
        <x:v>1</x:v>
      </x:c>
      <x:c r="G3056" s="29" t="str">
        <x:f>IF(E3056=F3056,"PASS","FAIL")</x:f>
        <x:v>PASS</x:v>
      </x:c>
    </x:row>
    <x:row r="3057" ht="18" customHeight="1">
      <x:c r="B3057" s="27" t="str">
        <x:v>A3051</x:v>
      </x:c>
      <x:c r="C3057" s="27" t="str">
        <x:v>rights</x:v>
      </x:c>
      <x:c r="D3057" s="27" t="str">
        <x:v>Rights row 41 evidence open</x:v>
      </x:c>
      <x:c r="E3057" s="27" t="n">
        <x:f>IF('Ancestry Rights'!I41="OPEN",1,0)</x:f>
        <x:v>1</x:v>
      </x:c>
      <x:c r="F3057" s="27" t="n">
        <x:v>1</x:v>
      </x:c>
      <x:c r="G3057" s="29" t="str">
        <x:f>IF(E3057=F3057,"PASS","FAIL")</x:f>
        <x:v>PASS</x:v>
      </x:c>
    </x:row>
    <x:row r="3058" ht="18" customHeight="1">
      <x:c r="B3058" s="27" t="str">
        <x:v>A3052</x:v>
      </x:c>
      <x:c r="C3058" s="27" t="str">
        <x:v>rights</x:v>
      </x:c>
      <x:c r="D3058" s="27" t="str">
        <x:v>Rights row 41 zero credit</x:v>
      </x:c>
      <x:c r="E3058" s="27" t="n">
        <x:f>IF('Ancestry Rights'!J41=0,1,0)</x:f>
        <x:v>1</x:v>
      </x:c>
      <x:c r="F3058" s="27" t="n">
        <x:v>1</x:v>
      </x:c>
      <x:c r="G3058" s="29" t="str">
        <x:f>IF(E3058=F3058,"PASS","FAIL")</x:f>
        <x:v>PASS</x:v>
      </x:c>
    </x:row>
    <x:row r="3059" ht="18" customHeight="1">
      <x:c r="B3059" s="27" t="str">
        <x:v>A3053</x:v>
      </x:c>
      <x:c r="C3059" s="27" t="str">
        <x:v>rights</x:v>
      </x:c>
      <x:c r="D3059" s="27" t="str">
        <x:v>Rights row 42 required</x:v>
      </x:c>
      <x:c r="E3059" s="27" t="n">
        <x:f>IF('Ancestry Rights'!F42=1,1,0)</x:f>
        <x:v>1</x:v>
      </x:c>
      <x:c r="F3059" s="27" t="n">
        <x:v>1</x:v>
      </x:c>
      <x:c r="G3059" s="29" t="str">
        <x:f>IF(E3059=F3059,"PASS","FAIL")</x:f>
        <x:v>PASS</x:v>
      </x:c>
    </x:row>
    <x:row r="3060" ht="18" customHeight="1">
      <x:c r="B3060" s="27" t="str">
        <x:v>A3054</x:v>
      </x:c>
      <x:c r="C3060" s="27" t="str">
        <x:v>rights</x:v>
      </x:c>
      <x:c r="D3060" s="27" t="str">
        <x:v>Rights row 42 not accepted on paper</x:v>
      </x:c>
      <x:c r="E3060" s="27" t="n">
        <x:f>IF('Ancestry Rights'!G42=0,1,0)</x:f>
        <x:v>1</x:v>
      </x:c>
      <x:c r="F3060" s="27" t="n">
        <x:v>1</x:v>
      </x:c>
      <x:c r="G3060" s="29" t="str">
        <x:f>IF(E3060=F3060,"PASS","FAIL")</x:f>
        <x:v>PASS</x:v>
      </x:c>
    </x:row>
    <x:row r="3061" ht="18" customHeight="1">
      <x:c r="B3061" s="27" t="str">
        <x:v>A3055</x:v>
      </x:c>
      <x:c r="C3061" s="27" t="str">
        <x:v>rights</x:v>
      </x:c>
      <x:c r="D3061" s="27" t="str">
        <x:v>Rights row 42 authority present</x:v>
      </x:c>
      <x:c r="E3061" s="27" t="n">
        <x:f>IF('Ancestry Rights'!H42&lt;&gt;"",1,0)</x:f>
        <x:v>1</x:v>
      </x:c>
      <x:c r="F3061" s="27" t="n">
        <x:v>1</x:v>
      </x:c>
      <x:c r="G3061" s="29" t="str">
        <x:f>IF(E3061=F3061,"PASS","FAIL")</x:f>
        <x:v>PASS</x:v>
      </x:c>
    </x:row>
    <x:row r="3062" ht="18" customHeight="1">
      <x:c r="B3062" s="27" t="str">
        <x:v>A3056</x:v>
      </x:c>
      <x:c r="C3062" s="27" t="str">
        <x:v>rights</x:v>
      </x:c>
      <x:c r="D3062" s="27" t="str">
        <x:v>Rights row 42 evidence open</x:v>
      </x:c>
      <x:c r="E3062" s="27" t="n">
        <x:f>IF('Ancestry Rights'!I42="OPEN",1,0)</x:f>
        <x:v>1</x:v>
      </x:c>
      <x:c r="F3062" s="27" t="n">
        <x:v>1</x:v>
      </x:c>
      <x:c r="G3062" s="29" t="str">
        <x:f>IF(E3062=F3062,"PASS","FAIL")</x:f>
        <x:v>PASS</x:v>
      </x:c>
    </x:row>
    <x:row r="3063" ht="18" customHeight="1">
      <x:c r="B3063" s="27" t="str">
        <x:v>A3057</x:v>
      </x:c>
      <x:c r="C3063" s="27" t="str">
        <x:v>rights</x:v>
      </x:c>
      <x:c r="D3063" s="27" t="str">
        <x:v>Rights row 42 zero credit</x:v>
      </x:c>
      <x:c r="E3063" s="27" t="n">
        <x:f>IF('Ancestry Rights'!J42=0,1,0)</x:f>
        <x:v>1</x:v>
      </x:c>
      <x:c r="F3063" s="27" t="n">
        <x:v>1</x:v>
      </x:c>
      <x:c r="G3063" s="29" t="str">
        <x:f>IF(E3063=F3063,"PASS","FAIL")</x:f>
        <x:v>PASS</x:v>
      </x:c>
    </x:row>
    <x:row r="3064" ht="18" customHeight="1">
      <x:c r="B3064" s="27" t="str">
        <x:v>A3058</x:v>
      </x:c>
      <x:c r="C3064" s="27" t="str">
        <x:v>rights</x:v>
      </x:c>
      <x:c r="D3064" s="27" t="str">
        <x:v>Rights row 43 required</x:v>
      </x:c>
      <x:c r="E3064" s="27" t="n">
        <x:f>IF('Ancestry Rights'!F43=1,1,0)</x:f>
        <x:v>1</x:v>
      </x:c>
      <x:c r="F3064" s="27" t="n">
        <x:v>1</x:v>
      </x:c>
      <x:c r="G3064" s="29" t="str">
        <x:f>IF(E3064=F3064,"PASS","FAIL")</x:f>
        <x:v>PASS</x:v>
      </x:c>
    </x:row>
    <x:row r="3065" ht="18" customHeight="1">
      <x:c r="B3065" s="27" t="str">
        <x:v>A3059</x:v>
      </x:c>
      <x:c r="C3065" s="27" t="str">
        <x:v>rights</x:v>
      </x:c>
      <x:c r="D3065" s="27" t="str">
        <x:v>Rights row 43 not accepted on paper</x:v>
      </x:c>
      <x:c r="E3065" s="27" t="n">
        <x:f>IF('Ancestry Rights'!G43=0,1,0)</x:f>
        <x:v>1</x:v>
      </x:c>
      <x:c r="F3065" s="27" t="n">
        <x:v>1</x:v>
      </x:c>
      <x:c r="G3065" s="29" t="str">
        <x:f>IF(E3065=F3065,"PASS","FAIL")</x:f>
        <x:v>PASS</x:v>
      </x:c>
    </x:row>
    <x:row r="3066" ht="18" customHeight="1">
      <x:c r="B3066" s="27" t="str">
        <x:v>A3060</x:v>
      </x:c>
      <x:c r="C3066" s="27" t="str">
        <x:v>rights</x:v>
      </x:c>
      <x:c r="D3066" s="27" t="str">
        <x:v>Rights row 43 authority present</x:v>
      </x:c>
      <x:c r="E3066" s="27" t="n">
        <x:f>IF('Ancestry Rights'!H43&lt;&gt;"",1,0)</x:f>
        <x:v>1</x:v>
      </x:c>
      <x:c r="F3066" s="27" t="n">
        <x:v>1</x:v>
      </x:c>
      <x:c r="G3066" s="29" t="str">
        <x:f>IF(E3066=F3066,"PASS","FAIL")</x:f>
        <x:v>PASS</x:v>
      </x:c>
    </x:row>
    <x:row r="3067" ht="18" customHeight="1">
      <x:c r="B3067" s="27" t="str">
        <x:v>A3061</x:v>
      </x:c>
      <x:c r="C3067" s="27" t="str">
        <x:v>rights</x:v>
      </x:c>
      <x:c r="D3067" s="27" t="str">
        <x:v>Rights row 43 evidence open</x:v>
      </x:c>
      <x:c r="E3067" s="27" t="n">
        <x:f>IF('Ancestry Rights'!I43="OPEN",1,0)</x:f>
        <x:v>1</x:v>
      </x:c>
      <x:c r="F3067" s="27" t="n">
        <x:v>1</x:v>
      </x:c>
      <x:c r="G3067" s="29" t="str">
        <x:f>IF(E3067=F3067,"PASS","FAIL")</x:f>
        <x:v>PASS</x:v>
      </x:c>
    </x:row>
    <x:row r="3068" ht="18" customHeight="1">
      <x:c r="B3068" s="27" t="str">
        <x:v>A3062</x:v>
      </x:c>
      <x:c r="C3068" s="27" t="str">
        <x:v>rights</x:v>
      </x:c>
      <x:c r="D3068" s="27" t="str">
        <x:v>Rights row 43 zero credit</x:v>
      </x:c>
      <x:c r="E3068" s="27" t="n">
        <x:f>IF('Ancestry Rights'!J43=0,1,0)</x:f>
        <x:v>1</x:v>
      </x:c>
      <x:c r="F3068" s="27" t="n">
        <x:v>1</x:v>
      </x:c>
      <x:c r="G3068" s="29" t="str">
        <x:f>IF(E3068=F3068,"PASS","FAIL")</x:f>
        <x:v>PASS</x:v>
      </x:c>
    </x:row>
    <x:row r="3069" ht="18" customHeight="1">
      <x:c r="B3069" s="27" t="str">
        <x:v>A3063</x:v>
      </x:c>
      <x:c r="C3069" s="27" t="str">
        <x:v>rights</x:v>
      </x:c>
      <x:c r="D3069" s="27" t="str">
        <x:v>Rights row 44 required</x:v>
      </x:c>
      <x:c r="E3069" s="27" t="n">
        <x:f>IF('Ancestry Rights'!F44=1,1,0)</x:f>
        <x:v>1</x:v>
      </x:c>
      <x:c r="F3069" s="27" t="n">
        <x:v>1</x:v>
      </x:c>
      <x:c r="G3069" s="29" t="str">
        <x:f>IF(E3069=F3069,"PASS","FAIL")</x:f>
        <x:v>PASS</x:v>
      </x:c>
    </x:row>
    <x:row r="3070" ht="18" customHeight="1">
      <x:c r="B3070" s="27" t="str">
        <x:v>A3064</x:v>
      </x:c>
      <x:c r="C3070" s="27" t="str">
        <x:v>rights</x:v>
      </x:c>
      <x:c r="D3070" s="27" t="str">
        <x:v>Rights row 44 not accepted on paper</x:v>
      </x:c>
      <x:c r="E3070" s="27" t="n">
        <x:f>IF('Ancestry Rights'!G44=0,1,0)</x:f>
        <x:v>1</x:v>
      </x:c>
      <x:c r="F3070" s="27" t="n">
        <x:v>1</x:v>
      </x:c>
      <x:c r="G3070" s="29" t="str">
        <x:f>IF(E3070=F3070,"PASS","FAIL")</x:f>
        <x:v>PASS</x:v>
      </x:c>
    </x:row>
    <x:row r="3071" ht="18" customHeight="1">
      <x:c r="B3071" s="27" t="str">
        <x:v>A3065</x:v>
      </x:c>
      <x:c r="C3071" s="27" t="str">
        <x:v>rights</x:v>
      </x:c>
      <x:c r="D3071" s="27" t="str">
        <x:v>Rights row 44 authority present</x:v>
      </x:c>
      <x:c r="E3071" s="27" t="n">
        <x:f>IF('Ancestry Rights'!H44&lt;&gt;"",1,0)</x:f>
        <x:v>1</x:v>
      </x:c>
      <x:c r="F3071" s="27" t="n">
        <x:v>1</x:v>
      </x:c>
      <x:c r="G3071" s="29" t="str">
        <x:f>IF(E3071=F3071,"PASS","FAIL")</x:f>
        <x:v>PASS</x:v>
      </x:c>
    </x:row>
    <x:row r="3072" ht="18" customHeight="1">
      <x:c r="B3072" s="27" t="str">
        <x:v>A3066</x:v>
      </x:c>
      <x:c r="C3072" s="27" t="str">
        <x:v>rights</x:v>
      </x:c>
      <x:c r="D3072" s="27" t="str">
        <x:v>Rights row 44 evidence open</x:v>
      </x:c>
      <x:c r="E3072" s="27" t="n">
        <x:f>IF('Ancestry Rights'!I44="OPEN",1,0)</x:f>
        <x:v>1</x:v>
      </x:c>
      <x:c r="F3072" s="27" t="n">
        <x:v>1</x:v>
      </x:c>
      <x:c r="G3072" s="29" t="str">
        <x:f>IF(E3072=F3072,"PASS","FAIL")</x:f>
        <x:v>PASS</x:v>
      </x:c>
    </x:row>
    <x:row r="3073" ht="18" customHeight="1">
      <x:c r="B3073" s="27" t="str">
        <x:v>A3067</x:v>
      </x:c>
      <x:c r="C3073" s="27" t="str">
        <x:v>rights</x:v>
      </x:c>
      <x:c r="D3073" s="27" t="str">
        <x:v>Rights row 44 zero credit</x:v>
      </x:c>
      <x:c r="E3073" s="27" t="n">
        <x:f>IF('Ancestry Rights'!J44=0,1,0)</x:f>
        <x:v>1</x:v>
      </x:c>
      <x:c r="F3073" s="27" t="n">
        <x:v>1</x:v>
      </x:c>
      <x:c r="G3073" s="29" t="str">
        <x:f>IF(E3073=F3073,"PASS","FAIL")</x:f>
        <x:v>PASS</x:v>
      </x:c>
    </x:row>
    <x:row r="3074" ht="18" customHeight="1">
      <x:c r="B3074" s="27" t="str">
        <x:v>A3068</x:v>
      </x:c>
      <x:c r="C3074" s="27" t="str">
        <x:v>rights</x:v>
      </x:c>
      <x:c r="D3074" s="27" t="str">
        <x:v>Rights row 45 required</x:v>
      </x:c>
      <x:c r="E3074" s="27" t="n">
        <x:f>IF('Ancestry Rights'!F45=1,1,0)</x:f>
        <x:v>1</x:v>
      </x:c>
      <x:c r="F3074" s="27" t="n">
        <x:v>1</x:v>
      </x:c>
      <x:c r="G3074" s="29" t="str">
        <x:f>IF(E3074=F3074,"PASS","FAIL")</x:f>
        <x:v>PASS</x:v>
      </x:c>
    </x:row>
    <x:row r="3075" ht="18" customHeight="1">
      <x:c r="B3075" s="27" t="str">
        <x:v>A3069</x:v>
      </x:c>
      <x:c r="C3075" s="27" t="str">
        <x:v>rights</x:v>
      </x:c>
      <x:c r="D3075" s="27" t="str">
        <x:v>Rights row 45 not accepted on paper</x:v>
      </x:c>
      <x:c r="E3075" s="27" t="n">
        <x:f>IF('Ancestry Rights'!G45=0,1,0)</x:f>
        <x:v>1</x:v>
      </x:c>
      <x:c r="F3075" s="27" t="n">
        <x:v>1</x:v>
      </x:c>
      <x:c r="G3075" s="29" t="str">
        <x:f>IF(E3075=F3075,"PASS","FAIL")</x:f>
        <x:v>PASS</x:v>
      </x:c>
    </x:row>
    <x:row r="3076" ht="18" customHeight="1">
      <x:c r="B3076" s="27" t="str">
        <x:v>A3070</x:v>
      </x:c>
      <x:c r="C3076" s="27" t="str">
        <x:v>rights</x:v>
      </x:c>
      <x:c r="D3076" s="27" t="str">
        <x:v>Rights row 45 authority present</x:v>
      </x:c>
      <x:c r="E3076" s="27" t="n">
        <x:f>IF('Ancestry Rights'!H45&lt;&gt;"",1,0)</x:f>
        <x:v>1</x:v>
      </x:c>
      <x:c r="F3076" s="27" t="n">
        <x:v>1</x:v>
      </x:c>
      <x:c r="G3076" s="29" t="str">
        <x:f>IF(E3076=F3076,"PASS","FAIL")</x:f>
        <x:v>PASS</x:v>
      </x:c>
    </x:row>
    <x:row r="3077" ht="18" customHeight="1">
      <x:c r="B3077" s="27" t="str">
        <x:v>A3071</x:v>
      </x:c>
      <x:c r="C3077" s="27" t="str">
        <x:v>rights</x:v>
      </x:c>
      <x:c r="D3077" s="27" t="str">
        <x:v>Rights row 45 evidence open</x:v>
      </x:c>
      <x:c r="E3077" s="27" t="n">
        <x:f>IF('Ancestry Rights'!I45="OPEN",1,0)</x:f>
        <x:v>1</x:v>
      </x:c>
      <x:c r="F3077" s="27" t="n">
        <x:v>1</x:v>
      </x:c>
      <x:c r="G3077" s="29" t="str">
        <x:f>IF(E3077=F3077,"PASS","FAIL")</x:f>
        <x:v>PASS</x:v>
      </x:c>
    </x:row>
    <x:row r="3078" ht="18" customHeight="1">
      <x:c r="B3078" s="27" t="str">
        <x:v>A3072</x:v>
      </x:c>
      <x:c r="C3078" s="27" t="str">
        <x:v>rights</x:v>
      </x:c>
      <x:c r="D3078" s="27" t="str">
        <x:v>Rights row 45 zero credit</x:v>
      </x:c>
      <x:c r="E3078" s="27" t="n">
        <x:f>IF('Ancestry Rights'!J45=0,1,0)</x:f>
        <x:v>1</x:v>
      </x:c>
      <x:c r="F3078" s="27" t="n">
        <x:v>1</x:v>
      </x:c>
      <x:c r="G3078" s="29" t="str">
        <x:f>IF(E3078=F3078,"PASS","FAIL")</x:f>
        <x:v>PASS</x:v>
      </x:c>
    </x:row>
    <x:row r="3079" ht="18" customHeight="1">
      <x:c r="B3079" s="27" t="str">
        <x:v>A3073</x:v>
      </x:c>
      <x:c r="C3079" s="27" t="str">
        <x:v>rights</x:v>
      </x:c>
      <x:c r="D3079" s="27" t="str">
        <x:v>Rights row 46 required</x:v>
      </x:c>
      <x:c r="E3079" s="27" t="n">
        <x:f>IF('Ancestry Rights'!F46=1,1,0)</x:f>
        <x:v>1</x:v>
      </x:c>
      <x:c r="F3079" s="27" t="n">
        <x:v>1</x:v>
      </x:c>
      <x:c r="G3079" s="29" t="str">
        <x:f>IF(E3079=F3079,"PASS","FAIL")</x:f>
        <x:v>PASS</x:v>
      </x:c>
    </x:row>
    <x:row r="3080" ht="18" customHeight="1">
      <x:c r="B3080" s="27" t="str">
        <x:v>A3074</x:v>
      </x:c>
      <x:c r="C3080" s="27" t="str">
        <x:v>rights</x:v>
      </x:c>
      <x:c r="D3080" s="27" t="str">
        <x:v>Rights row 46 not accepted on paper</x:v>
      </x:c>
      <x:c r="E3080" s="27" t="n">
        <x:f>IF('Ancestry Rights'!G46=0,1,0)</x:f>
        <x:v>1</x:v>
      </x:c>
      <x:c r="F3080" s="27" t="n">
        <x:v>1</x:v>
      </x:c>
      <x:c r="G3080" s="29" t="str">
        <x:f>IF(E3080=F3080,"PASS","FAIL")</x:f>
        <x:v>PASS</x:v>
      </x:c>
    </x:row>
    <x:row r="3081" ht="18" customHeight="1">
      <x:c r="B3081" s="27" t="str">
        <x:v>A3075</x:v>
      </x:c>
      <x:c r="C3081" s="27" t="str">
        <x:v>rights</x:v>
      </x:c>
      <x:c r="D3081" s="27" t="str">
        <x:v>Rights row 46 authority present</x:v>
      </x:c>
      <x:c r="E3081" s="27" t="n">
        <x:f>IF('Ancestry Rights'!H46&lt;&gt;"",1,0)</x:f>
        <x:v>1</x:v>
      </x:c>
      <x:c r="F3081" s="27" t="n">
        <x:v>1</x:v>
      </x:c>
      <x:c r="G3081" s="29" t="str">
        <x:f>IF(E3081=F3081,"PASS","FAIL")</x:f>
        <x:v>PASS</x:v>
      </x:c>
    </x:row>
    <x:row r="3082" ht="18" customHeight="1">
      <x:c r="B3082" s="27" t="str">
        <x:v>A3076</x:v>
      </x:c>
      <x:c r="C3082" s="27" t="str">
        <x:v>rights</x:v>
      </x:c>
      <x:c r="D3082" s="27" t="str">
        <x:v>Rights row 46 evidence open</x:v>
      </x:c>
      <x:c r="E3082" s="27" t="n">
        <x:f>IF('Ancestry Rights'!I46="OPEN",1,0)</x:f>
        <x:v>1</x:v>
      </x:c>
      <x:c r="F3082" s="27" t="n">
        <x:v>1</x:v>
      </x:c>
      <x:c r="G3082" s="29" t="str">
        <x:f>IF(E3082=F3082,"PASS","FAIL")</x:f>
        <x:v>PASS</x:v>
      </x:c>
    </x:row>
    <x:row r="3083" ht="18" customHeight="1">
      <x:c r="B3083" s="27" t="str">
        <x:v>A3077</x:v>
      </x:c>
      <x:c r="C3083" s="27" t="str">
        <x:v>rights</x:v>
      </x:c>
      <x:c r="D3083" s="27" t="str">
        <x:v>Rights row 46 zero credit</x:v>
      </x:c>
      <x:c r="E3083" s="27" t="n">
        <x:f>IF('Ancestry Rights'!J46=0,1,0)</x:f>
        <x:v>1</x:v>
      </x:c>
      <x:c r="F3083" s="27" t="n">
        <x:v>1</x:v>
      </x:c>
      <x:c r="G3083" s="29" t="str">
        <x:f>IF(E3083=F3083,"PASS","FAIL")</x:f>
        <x:v>PASS</x:v>
      </x:c>
    </x:row>
    <x:row r="3084" ht="18" customHeight="1">
      <x:c r="B3084" s="27" t="str">
        <x:v>A3078</x:v>
      </x:c>
      <x:c r="C3084" s="27" t="str">
        <x:v>rights</x:v>
      </x:c>
      <x:c r="D3084" s="27" t="str">
        <x:v>Rights row 47 required</x:v>
      </x:c>
      <x:c r="E3084" s="27" t="n">
        <x:f>IF('Ancestry Rights'!F47=1,1,0)</x:f>
        <x:v>1</x:v>
      </x:c>
      <x:c r="F3084" s="27" t="n">
        <x:v>1</x:v>
      </x:c>
      <x:c r="G3084" s="29" t="str">
        <x:f>IF(E3084=F3084,"PASS","FAIL")</x:f>
        <x:v>PASS</x:v>
      </x:c>
    </x:row>
    <x:row r="3085" ht="18" customHeight="1">
      <x:c r="B3085" s="27" t="str">
        <x:v>A3079</x:v>
      </x:c>
      <x:c r="C3085" s="27" t="str">
        <x:v>rights</x:v>
      </x:c>
      <x:c r="D3085" s="27" t="str">
        <x:v>Rights row 47 not accepted on paper</x:v>
      </x:c>
      <x:c r="E3085" s="27" t="n">
        <x:f>IF('Ancestry Rights'!G47=0,1,0)</x:f>
        <x:v>1</x:v>
      </x:c>
      <x:c r="F3085" s="27" t="n">
        <x:v>1</x:v>
      </x:c>
      <x:c r="G3085" s="29" t="str">
        <x:f>IF(E3085=F3085,"PASS","FAIL")</x:f>
        <x:v>PASS</x:v>
      </x:c>
    </x:row>
    <x:row r="3086" ht="18" customHeight="1">
      <x:c r="B3086" s="27" t="str">
        <x:v>A3080</x:v>
      </x:c>
      <x:c r="C3086" s="27" t="str">
        <x:v>rights</x:v>
      </x:c>
      <x:c r="D3086" s="27" t="str">
        <x:v>Rights row 47 authority present</x:v>
      </x:c>
      <x:c r="E3086" s="27" t="n">
        <x:f>IF('Ancestry Rights'!H47&lt;&gt;"",1,0)</x:f>
        <x:v>1</x:v>
      </x:c>
      <x:c r="F3086" s="27" t="n">
        <x:v>1</x:v>
      </x:c>
      <x:c r="G3086" s="29" t="str">
        <x:f>IF(E3086=F3086,"PASS","FAIL")</x:f>
        <x:v>PASS</x:v>
      </x:c>
    </x:row>
    <x:row r="3087" ht="18" customHeight="1">
      <x:c r="B3087" s="27" t="str">
        <x:v>A3081</x:v>
      </x:c>
      <x:c r="C3087" s="27" t="str">
        <x:v>rights</x:v>
      </x:c>
      <x:c r="D3087" s="27" t="str">
        <x:v>Rights row 47 evidence open</x:v>
      </x:c>
      <x:c r="E3087" s="27" t="n">
        <x:f>IF('Ancestry Rights'!I47="OPEN",1,0)</x:f>
        <x:v>1</x:v>
      </x:c>
      <x:c r="F3087" s="27" t="n">
        <x:v>1</x:v>
      </x:c>
      <x:c r="G3087" s="29" t="str">
        <x:f>IF(E3087=F3087,"PASS","FAIL")</x:f>
        <x:v>PASS</x:v>
      </x:c>
    </x:row>
    <x:row r="3088" ht="18" customHeight="1">
      <x:c r="B3088" s="27" t="str">
        <x:v>A3082</x:v>
      </x:c>
      <x:c r="C3088" s="27" t="str">
        <x:v>rights</x:v>
      </x:c>
      <x:c r="D3088" s="27" t="str">
        <x:v>Rights row 47 zero credit</x:v>
      </x:c>
      <x:c r="E3088" s="27" t="n">
        <x:f>IF('Ancestry Rights'!J47=0,1,0)</x:f>
        <x:v>1</x:v>
      </x:c>
      <x:c r="F3088" s="27" t="n">
        <x:v>1</x:v>
      </x:c>
      <x:c r="G3088" s="29" t="str">
        <x:f>IF(E3088=F3088,"PASS","FAIL")</x:f>
        <x:v>PASS</x:v>
      </x:c>
    </x:row>
    <x:row r="3089" ht="18" customHeight="1">
      <x:c r="B3089" s="27" t="str">
        <x:v>A3083</x:v>
      </x:c>
      <x:c r="C3089" s="27" t="str">
        <x:v>rights</x:v>
      </x:c>
      <x:c r="D3089" s="27" t="str">
        <x:v>Rights row 48 required</x:v>
      </x:c>
      <x:c r="E3089" s="27" t="n">
        <x:f>IF('Ancestry Rights'!F48=1,1,0)</x:f>
        <x:v>1</x:v>
      </x:c>
      <x:c r="F3089" s="27" t="n">
        <x:v>1</x:v>
      </x:c>
      <x:c r="G3089" s="29" t="str">
        <x:f>IF(E3089=F3089,"PASS","FAIL")</x:f>
        <x:v>PASS</x:v>
      </x:c>
    </x:row>
    <x:row r="3090" ht="18" customHeight="1">
      <x:c r="B3090" s="27" t="str">
        <x:v>A3084</x:v>
      </x:c>
      <x:c r="C3090" s="27" t="str">
        <x:v>rights</x:v>
      </x:c>
      <x:c r="D3090" s="27" t="str">
        <x:v>Rights row 48 not accepted on paper</x:v>
      </x:c>
      <x:c r="E3090" s="27" t="n">
        <x:f>IF('Ancestry Rights'!G48=0,1,0)</x:f>
        <x:v>1</x:v>
      </x:c>
      <x:c r="F3090" s="27" t="n">
        <x:v>1</x:v>
      </x:c>
      <x:c r="G3090" s="29" t="str">
        <x:f>IF(E3090=F3090,"PASS","FAIL")</x:f>
        <x:v>PASS</x:v>
      </x:c>
    </x:row>
    <x:row r="3091" ht="18" customHeight="1">
      <x:c r="B3091" s="27" t="str">
        <x:v>A3085</x:v>
      </x:c>
      <x:c r="C3091" s="27" t="str">
        <x:v>rights</x:v>
      </x:c>
      <x:c r="D3091" s="27" t="str">
        <x:v>Rights row 48 authority present</x:v>
      </x:c>
      <x:c r="E3091" s="27" t="n">
        <x:f>IF('Ancestry Rights'!H48&lt;&gt;"",1,0)</x:f>
        <x:v>1</x:v>
      </x:c>
      <x:c r="F3091" s="27" t="n">
        <x:v>1</x:v>
      </x:c>
      <x:c r="G3091" s="29" t="str">
        <x:f>IF(E3091=F3091,"PASS","FAIL")</x:f>
        <x:v>PASS</x:v>
      </x:c>
    </x:row>
    <x:row r="3092" ht="18" customHeight="1">
      <x:c r="B3092" s="27" t="str">
        <x:v>A3086</x:v>
      </x:c>
      <x:c r="C3092" s="27" t="str">
        <x:v>rights</x:v>
      </x:c>
      <x:c r="D3092" s="27" t="str">
        <x:v>Rights row 48 evidence open</x:v>
      </x:c>
      <x:c r="E3092" s="27" t="n">
        <x:f>IF('Ancestry Rights'!I48="OPEN",1,0)</x:f>
        <x:v>1</x:v>
      </x:c>
      <x:c r="F3092" s="27" t="n">
        <x:v>1</x:v>
      </x:c>
      <x:c r="G3092" s="29" t="str">
        <x:f>IF(E3092=F3092,"PASS","FAIL")</x:f>
        <x:v>PASS</x:v>
      </x:c>
    </x:row>
    <x:row r="3093" ht="18" customHeight="1">
      <x:c r="B3093" s="27" t="str">
        <x:v>A3087</x:v>
      </x:c>
      <x:c r="C3093" s="27" t="str">
        <x:v>rights</x:v>
      </x:c>
      <x:c r="D3093" s="27" t="str">
        <x:v>Rights row 48 zero credit</x:v>
      </x:c>
      <x:c r="E3093" s="27" t="n">
        <x:f>IF('Ancestry Rights'!J48=0,1,0)</x:f>
        <x:v>1</x:v>
      </x:c>
      <x:c r="F3093" s="27" t="n">
        <x:v>1</x:v>
      </x:c>
      <x:c r="G3093" s="29" t="str">
        <x:f>IF(E3093=F3093,"PASS","FAIL")</x:f>
        <x:v>PASS</x:v>
      </x:c>
    </x:row>
    <x:row r="3094" ht="18" customHeight="1">
      <x:c r="B3094" s="27" t="str">
        <x:v>A3088</x:v>
      </x:c>
      <x:c r="C3094" s="27" t="str">
        <x:v>rights</x:v>
      </x:c>
      <x:c r="D3094" s="27" t="str">
        <x:v>Rights row 49 required</x:v>
      </x:c>
      <x:c r="E3094" s="27" t="n">
        <x:f>IF('Ancestry Rights'!F49=1,1,0)</x:f>
        <x:v>1</x:v>
      </x:c>
      <x:c r="F3094" s="27" t="n">
        <x:v>1</x:v>
      </x:c>
      <x:c r="G3094" s="29" t="str">
        <x:f>IF(E3094=F3094,"PASS","FAIL")</x:f>
        <x:v>PASS</x:v>
      </x:c>
    </x:row>
    <x:row r="3095" ht="18" customHeight="1">
      <x:c r="B3095" s="27" t="str">
        <x:v>A3089</x:v>
      </x:c>
      <x:c r="C3095" s="27" t="str">
        <x:v>rights</x:v>
      </x:c>
      <x:c r="D3095" s="27" t="str">
        <x:v>Rights row 49 not accepted on paper</x:v>
      </x:c>
      <x:c r="E3095" s="27" t="n">
        <x:f>IF('Ancestry Rights'!G49=0,1,0)</x:f>
        <x:v>1</x:v>
      </x:c>
      <x:c r="F3095" s="27" t="n">
        <x:v>1</x:v>
      </x:c>
      <x:c r="G3095" s="29" t="str">
        <x:f>IF(E3095=F3095,"PASS","FAIL")</x:f>
        <x:v>PASS</x:v>
      </x:c>
    </x:row>
    <x:row r="3096" ht="18" customHeight="1">
      <x:c r="B3096" s="27" t="str">
        <x:v>A3090</x:v>
      </x:c>
      <x:c r="C3096" s="27" t="str">
        <x:v>rights</x:v>
      </x:c>
      <x:c r="D3096" s="27" t="str">
        <x:v>Rights row 49 authority present</x:v>
      </x:c>
      <x:c r="E3096" s="27" t="n">
        <x:f>IF('Ancestry Rights'!H49&lt;&gt;"",1,0)</x:f>
        <x:v>1</x:v>
      </x:c>
      <x:c r="F3096" s="27" t="n">
        <x:v>1</x:v>
      </x:c>
      <x:c r="G3096" s="29" t="str">
        <x:f>IF(E3096=F3096,"PASS","FAIL")</x:f>
        <x:v>PASS</x:v>
      </x:c>
    </x:row>
    <x:row r="3097" ht="18" customHeight="1">
      <x:c r="B3097" s="27" t="str">
        <x:v>A3091</x:v>
      </x:c>
      <x:c r="C3097" s="27" t="str">
        <x:v>rights</x:v>
      </x:c>
      <x:c r="D3097" s="27" t="str">
        <x:v>Rights row 49 evidence open</x:v>
      </x:c>
      <x:c r="E3097" s="27" t="n">
        <x:f>IF('Ancestry Rights'!I49="OPEN",1,0)</x:f>
        <x:v>1</x:v>
      </x:c>
      <x:c r="F3097" s="27" t="n">
        <x:v>1</x:v>
      </x:c>
      <x:c r="G3097" s="29" t="str">
        <x:f>IF(E3097=F3097,"PASS","FAIL")</x:f>
        <x:v>PASS</x:v>
      </x:c>
    </x:row>
    <x:row r="3098" ht="18" customHeight="1">
      <x:c r="B3098" s="27" t="str">
        <x:v>A3092</x:v>
      </x:c>
      <x:c r="C3098" s="27" t="str">
        <x:v>rights</x:v>
      </x:c>
      <x:c r="D3098" s="27" t="str">
        <x:v>Rights row 49 zero credit</x:v>
      </x:c>
      <x:c r="E3098" s="27" t="n">
        <x:f>IF('Ancestry Rights'!J49=0,1,0)</x:f>
        <x:v>1</x:v>
      </x:c>
      <x:c r="F3098" s="27" t="n">
        <x:v>1</x:v>
      </x:c>
      <x:c r="G3098" s="29" t="str">
        <x:f>IF(E3098=F3098,"PASS","FAIL")</x:f>
        <x:v>PASS</x:v>
      </x:c>
    </x:row>
    <x:row r="3099" ht="18" customHeight="1">
      <x:c r="B3099" s="27" t="str">
        <x:v>A3093</x:v>
      </x:c>
      <x:c r="C3099" s="27" t="str">
        <x:v>rights</x:v>
      </x:c>
      <x:c r="D3099" s="27" t="str">
        <x:v>Rights row 50 required</x:v>
      </x:c>
      <x:c r="E3099" s="27" t="n">
        <x:f>IF('Ancestry Rights'!F50=1,1,0)</x:f>
        <x:v>1</x:v>
      </x:c>
      <x:c r="F3099" s="27" t="n">
        <x:v>1</x:v>
      </x:c>
      <x:c r="G3099" s="29" t="str">
        <x:f>IF(E3099=F3099,"PASS","FAIL")</x:f>
        <x:v>PASS</x:v>
      </x:c>
    </x:row>
    <x:row r="3100" ht="18" customHeight="1">
      <x:c r="B3100" s="27" t="str">
        <x:v>A3094</x:v>
      </x:c>
      <x:c r="C3100" s="27" t="str">
        <x:v>rights</x:v>
      </x:c>
      <x:c r="D3100" s="27" t="str">
        <x:v>Rights row 50 not accepted on paper</x:v>
      </x:c>
      <x:c r="E3100" s="27" t="n">
        <x:f>IF('Ancestry Rights'!G50=0,1,0)</x:f>
        <x:v>1</x:v>
      </x:c>
      <x:c r="F3100" s="27" t="n">
        <x:v>1</x:v>
      </x:c>
      <x:c r="G3100" s="29" t="str">
        <x:f>IF(E3100=F3100,"PASS","FAIL")</x:f>
        <x:v>PASS</x:v>
      </x:c>
    </x:row>
    <x:row r="3101" ht="18" customHeight="1">
      <x:c r="B3101" s="27" t="str">
        <x:v>A3095</x:v>
      </x:c>
      <x:c r="C3101" s="27" t="str">
        <x:v>rights</x:v>
      </x:c>
      <x:c r="D3101" s="27" t="str">
        <x:v>Rights row 50 authority present</x:v>
      </x:c>
      <x:c r="E3101" s="27" t="n">
        <x:f>IF('Ancestry Rights'!H50&lt;&gt;"",1,0)</x:f>
        <x:v>1</x:v>
      </x:c>
      <x:c r="F3101" s="27" t="n">
        <x:v>1</x:v>
      </x:c>
      <x:c r="G3101" s="29" t="str">
        <x:f>IF(E3101=F3101,"PASS","FAIL")</x:f>
        <x:v>PASS</x:v>
      </x:c>
    </x:row>
    <x:row r="3102" ht="18" customHeight="1">
      <x:c r="B3102" s="27" t="str">
        <x:v>A3096</x:v>
      </x:c>
      <x:c r="C3102" s="27" t="str">
        <x:v>rights</x:v>
      </x:c>
      <x:c r="D3102" s="27" t="str">
        <x:v>Rights row 50 evidence open</x:v>
      </x:c>
      <x:c r="E3102" s="27" t="n">
        <x:f>IF('Ancestry Rights'!I50="OPEN",1,0)</x:f>
        <x:v>1</x:v>
      </x:c>
      <x:c r="F3102" s="27" t="n">
        <x:v>1</x:v>
      </x:c>
      <x:c r="G3102" s="29" t="str">
        <x:f>IF(E3102=F3102,"PASS","FAIL")</x:f>
        <x:v>PASS</x:v>
      </x:c>
    </x:row>
    <x:row r="3103" ht="18" customHeight="1">
      <x:c r="B3103" s="27" t="str">
        <x:v>A3097</x:v>
      </x:c>
      <x:c r="C3103" s="27" t="str">
        <x:v>rights</x:v>
      </x:c>
      <x:c r="D3103" s="27" t="str">
        <x:v>Rights row 50 zero credit</x:v>
      </x:c>
      <x:c r="E3103" s="27" t="n">
        <x:f>IF('Ancestry Rights'!J50=0,1,0)</x:f>
        <x:v>1</x:v>
      </x:c>
      <x:c r="F3103" s="27" t="n">
        <x:v>1</x:v>
      </x:c>
      <x:c r="G3103" s="29" t="str">
        <x:f>IF(E3103=F3103,"PASS","FAIL")</x:f>
        <x:v>PASS</x:v>
      </x:c>
    </x:row>
    <x:row r="3104" ht="18" customHeight="1">
      <x:c r="B3104" s="27" t="str">
        <x:v>A3098</x:v>
      </x:c>
      <x:c r="C3104" s="27" t="str">
        <x:v>rights</x:v>
      </x:c>
      <x:c r="D3104" s="27" t="str">
        <x:v>Rights row 51 required</x:v>
      </x:c>
      <x:c r="E3104" s="27" t="n">
        <x:f>IF('Ancestry Rights'!F51=1,1,0)</x:f>
        <x:v>1</x:v>
      </x:c>
      <x:c r="F3104" s="27" t="n">
        <x:v>1</x:v>
      </x:c>
      <x:c r="G3104" s="29" t="str">
        <x:f>IF(E3104=F3104,"PASS","FAIL")</x:f>
        <x:v>PASS</x:v>
      </x:c>
    </x:row>
    <x:row r="3105" ht="18" customHeight="1">
      <x:c r="B3105" s="27" t="str">
        <x:v>A3099</x:v>
      </x:c>
      <x:c r="C3105" s="27" t="str">
        <x:v>rights</x:v>
      </x:c>
      <x:c r="D3105" s="27" t="str">
        <x:v>Rights row 51 not accepted on paper</x:v>
      </x:c>
      <x:c r="E3105" s="27" t="n">
        <x:f>IF('Ancestry Rights'!G51=0,1,0)</x:f>
        <x:v>1</x:v>
      </x:c>
      <x:c r="F3105" s="27" t="n">
        <x:v>1</x:v>
      </x:c>
      <x:c r="G3105" s="29" t="str">
        <x:f>IF(E3105=F3105,"PASS","FAIL")</x:f>
        <x:v>PASS</x:v>
      </x:c>
    </x:row>
    <x:row r="3106" ht="18" customHeight="1">
      <x:c r="B3106" s="27" t="str">
        <x:v>A3100</x:v>
      </x:c>
      <x:c r="C3106" s="27" t="str">
        <x:v>rights</x:v>
      </x:c>
      <x:c r="D3106" s="27" t="str">
        <x:v>Rights row 51 authority present</x:v>
      </x:c>
      <x:c r="E3106" s="27" t="n">
        <x:f>IF('Ancestry Rights'!H51&lt;&gt;"",1,0)</x:f>
        <x:v>1</x:v>
      </x:c>
      <x:c r="F3106" s="27" t="n">
        <x:v>1</x:v>
      </x:c>
      <x:c r="G3106" s="29" t="str">
        <x:f>IF(E3106=F3106,"PASS","FAIL")</x:f>
        <x:v>PASS</x:v>
      </x:c>
    </x:row>
    <x:row r="3107" ht="18" customHeight="1">
      <x:c r="B3107" s="27" t="str">
        <x:v>A3101</x:v>
      </x:c>
      <x:c r="C3107" s="27" t="str">
        <x:v>rights</x:v>
      </x:c>
      <x:c r="D3107" s="27" t="str">
        <x:v>Rights row 51 evidence open</x:v>
      </x:c>
      <x:c r="E3107" s="27" t="n">
        <x:f>IF('Ancestry Rights'!I51="OPEN",1,0)</x:f>
        <x:v>1</x:v>
      </x:c>
      <x:c r="F3107" s="27" t="n">
        <x:v>1</x:v>
      </x:c>
      <x:c r="G3107" s="29" t="str">
        <x:f>IF(E3107=F3107,"PASS","FAIL")</x:f>
        <x:v>PASS</x:v>
      </x:c>
    </x:row>
    <x:row r="3108" ht="18" customHeight="1">
      <x:c r="B3108" s="27" t="str">
        <x:v>A3102</x:v>
      </x:c>
      <x:c r="C3108" s="27" t="str">
        <x:v>rights</x:v>
      </x:c>
      <x:c r="D3108" s="27" t="str">
        <x:v>Rights row 51 zero credit</x:v>
      </x:c>
      <x:c r="E3108" s="27" t="n">
        <x:f>IF('Ancestry Rights'!J51=0,1,0)</x:f>
        <x:v>1</x:v>
      </x:c>
      <x:c r="F3108" s="27" t="n">
        <x:v>1</x:v>
      </x:c>
      <x:c r="G3108" s="29" t="str">
        <x:f>IF(E3108=F3108,"PASS","FAIL")</x:f>
        <x:v>PASS</x:v>
      </x:c>
    </x:row>
    <x:row r="3109" ht="18" customHeight="1">
      <x:c r="B3109" s="27" t="str">
        <x:v>A3103</x:v>
      </x:c>
      <x:c r="C3109" s="27" t="str">
        <x:v>rights</x:v>
      </x:c>
      <x:c r="D3109" s="27" t="str">
        <x:v>Rights row 52 required</x:v>
      </x:c>
      <x:c r="E3109" s="27" t="n">
        <x:f>IF('Ancestry Rights'!F52=1,1,0)</x:f>
        <x:v>1</x:v>
      </x:c>
      <x:c r="F3109" s="27" t="n">
        <x:v>1</x:v>
      </x:c>
      <x:c r="G3109" s="29" t="str">
        <x:f>IF(E3109=F3109,"PASS","FAIL")</x:f>
        <x:v>PASS</x:v>
      </x:c>
    </x:row>
    <x:row r="3110" ht="18" customHeight="1">
      <x:c r="B3110" s="27" t="str">
        <x:v>A3104</x:v>
      </x:c>
      <x:c r="C3110" s="27" t="str">
        <x:v>rights</x:v>
      </x:c>
      <x:c r="D3110" s="27" t="str">
        <x:v>Rights row 52 not accepted on paper</x:v>
      </x:c>
      <x:c r="E3110" s="27" t="n">
        <x:f>IF('Ancestry Rights'!G52=0,1,0)</x:f>
        <x:v>1</x:v>
      </x:c>
      <x:c r="F3110" s="27" t="n">
        <x:v>1</x:v>
      </x:c>
      <x:c r="G3110" s="29" t="str">
        <x:f>IF(E3110=F3110,"PASS","FAIL")</x:f>
        <x:v>PASS</x:v>
      </x:c>
    </x:row>
    <x:row r="3111" ht="18" customHeight="1">
      <x:c r="B3111" s="27" t="str">
        <x:v>A3105</x:v>
      </x:c>
      <x:c r="C3111" s="27" t="str">
        <x:v>rights</x:v>
      </x:c>
      <x:c r="D3111" s="27" t="str">
        <x:v>Rights row 52 authority present</x:v>
      </x:c>
      <x:c r="E3111" s="27" t="n">
        <x:f>IF('Ancestry Rights'!H52&lt;&gt;"",1,0)</x:f>
        <x:v>1</x:v>
      </x:c>
      <x:c r="F3111" s="27" t="n">
        <x:v>1</x:v>
      </x:c>
      <x:c r="G3111" s="29" t="str">
        <x:f>IF(E3111=F3111,"PASS","FAIL")</x:f>
        <x:v>PASS</x:v>
      </x:c>
    </x:row>
    <x:row r="3112" ht="18" customHeight="1">
      <x:c r="B3112" s="27" t="str">
        <x:v>A3106</x:v>
      </x:c>
      <x:c r="C3112" s="27" t="str">
        <x:v>rights</x:v>
      </x:c>
      <x:c r="D3112" s="27" t="str">
        <x:v>Rights row 52 evidence open</x:v>
      </x:c>
      <x:c r="E3112" s="27" t="n">
        <x:f>IF('Ancestry Rights'!I52="OPEN",1,0)</x:f>
        <x:v>1</x:v>
      </x:c>
      <x:c r="F3112" s="27" t="n">
        <x:v>1</x:v>
      </x:c>
      <x:c r="G3112" s="29" t="str">
        <x:f>IF(E3112=F3112,"PASS","FAIL")</x:f>
        <x:v>PASS</x:v>
      </x:c>
    </x:row>
    <x:row r="3113" ht="18" customHeight="1">
      <x:c r="B3113" s="27" t="str">
        <x:v>A3107</x:v>
      </x:c>
      <x:c r="C3113" s="27" t="str">
        <x:v>rights</x:v>
      </x:c>
      <x:c r="D3113" s="27" t="str">
        <x:v>Rights row 52 zero credit</x:v>
      </x:c>
      <x:c r="E3113" s="27" t="n">
        <x:f>IF('Ancestry Rights'!J52=0,1,0)</x:f>
        <x:v>1</x:v>
      </x:c>
      <x:c r="F3113" s="27" t="n">
        <x:v>1</x:v>
      </x:c>
      <x:c r="G3113" s="29" t="str">
        <x:f>IF(E3113=F3113,"PASS","FAIL")</x:f>
        <x:v>PASS</x:v>
      </x:c>
    </x:row>
    <x:row r="3114" ht="18" customHeight="1">
      <x:c r="B3114" s="27" t="str">
        <x:v>A3108</x:v>
      </x:c>
      <x:c r="C3114" s="27" t="str">
        <x:v>rights</x:v>
      </x:c>
      <x:c r="D3114" s="27" t="str">
        <x:v>Rights row 53 required</x:v>
      </x:c>
      <x:c r="E3114" s="27" t="n">
        <x:f>IF('Ancestry Rights'!F53=1,1,0)</x:f>
        <x:v>1</x:v>
      </x:c>
      <x:c r="F3114" s="27" t="n">
        <x:v>1</x:v>
      </x:c>
      <x:c r="G3114" s="29" t="str">
        <x:f>IF(E3114=F3114,"PASS","FAIL")</x:f>
        <x:v>PASS</x:v>
      </x:c>
    </x:row>
    <x:row r="3115" ht="18" customHeight="1">
      <x:c r="B3115" s="27" t="str">
        <x:v>A3109</x:v>
      </x:c>
      <x:c r="C3115" s="27" t="str">
        <x:v>rights</x:v>
      </x:c>
      <x:c r="D3115" s="27" t="str">
        <x:v>Rights row 53 not accepted on paper</x:v>
      </x:c>
      <x:c r="E3115" s="27" t="n">
        <x:f>IF('Ancestry Rights'!G53=0,1,0)</x:f>
        <x:v>1</x:v>
      </x:c>
      <x:c r="F3115" s="27" t="n">
        <x:v>1</x:v>
      </x:c>
      <x:c r="G3115" s="29" t="str">
        <x:f>IF(E3115=F3115,"PASS","FAIL")</x:f>
        <x:v>PASS</x:v>
      </x:c>
    </x:row>
    <x:row r="3116" ht="18" customHeight="1">
      <x:c r="B3116" s="27" t="str">
        <x:v>A3110</x:v>
      </x:c>
      <x:c r="C3116" s="27" t="str">
        <x:v>rights</x:v>
      </x:c>
      <x:c r="D3116" s="27" t="str">
        <x:v>Rights row 53 authority present</x:v>
      </x:c>
      <x:c r="E3116" s="27" t="n">
        <x:f>IF('Ancestry Rights'!H53&lt;&gt;"",1,0)</x:f>
        <x:v>1</x:v>
      </x:c>
      <x:c r="F3116" s="27" t="n">
        <x:v>1</x:v>
      </x:c>
      <x:c r="G3116" s="29" t="str">
        <x:f>IF(E3116=F3116,"PASS","FAIL")</x:f>
        <x:v>PASS</x:v>
      </x:c>
    </x:row>
    <x:row r="3117" ht="18" customHeight="1">
      <x:c r="B3117" s="27" t="str">
        <x:v>A3111</x:v>
      </x:c>
      <x:c r="C3117" s="27" t="str">
        <x:v>rights</x:v>
      </x:c>
      <x:c r="D3117" s="27" t="str">
        <x:v>Rights row 53 evidence open</x:v>
      </x:c>
      <x:c r="E3117" s="27" t="n">
        <x:f>IF('Ancestry Rights'!I53="OPEN",1,0)</x:f>
        <x:v>1</x:v>
      </x:c>
      <x:c r="F3117" s="27" t="n">
        <x:v>1</x:v>
      </x:c>
      <x:c r="G3117" s="29" t="str">
        <x:f>IF(E3117=F3117,"PASS","FAIL")</x:f>
        <x:v>PASS</x:v>
      </x:c>
    </x:row>
    <x:row r="3118" ht="18" customHeight="1">
      <x:c r="B3118" s="27" t="str">
        <x:v>A3112</x:v>
      </x:c>
      <x:c r="C3118" s="27" t="str">
        <x:v>rights</x:v>
      </x:c>
      <x:c r="D3118" s="27" t="str">
        <x:v>Rights row 53 zero credit</x:v>
      </x:c>
      <x:c r="E3118" s="27" t="n">
        <x:f>IF('Ancestry Rights'!J53=0,1,0)</x:f>
        <x:v>1</x:v>
      </x:c>
      <x:c r="F3118" s="27" t="n">
        <x:v>1</x:v>
      </x:c>
      <x:c r="G3118" s="29" t="str">
        <x:f>IF(E3118=F3118,"PASS","FAIL")</x:f>
        <x:v>PASS</x:v>
      </x:c>
    </x:row>
    <x:row r="3119" ht="18" customHeight="1">
      <x:c r="B3119" s="27" t="str">
        <x:v>A3113</x:v>
      </x:c>
      <x:c r="C3119" s="27" t="str">
        <x:v>rights</x:v>
      </x:c>
      <x:c r="D3119" s="27" t="str">
        <x:v>Rights row 54 required</x:v>
      </x:c>
      <x:c r="E3119" s="27" t="n">
        <x:f>IF('Ancestry Rights'!F54=1,1,0)</x:f>
        <x:v>1</x:v>
      </x:c>
      <x:c r="F3119" s="27" t="n">
        <x:v>1</x:v>
      </x:c>
      <x:c r="G3119" s="29" t="str">
        <x:f>IF(E3119=F3119,"PASS","FAIL")</x:f>
        <x:v>PASS</x:v>
      </x:c>
    </x:row>
    <x:row r="3120" ht="18" customHeight="1">
      <x:c r="B3120" s="27" t="str">
        <x:v>A3114</x:v>
      </x:c>
      <x:c r="C3120" s="27" t="str">
        <x:v>rights</x:v>
      </x:c>
      <x:c r="D3120" s="27" t="str">
        <x:v>Rights row 54 not accepted on paper</x:v>
      </x:c>
      <x:c r="E3120" s="27" t="n">
        <x:f>IF('Ancestry Rights'!G54=0,1,0)</x:f>
        <x:v>1</x:v>
      </x:c>
      <x:c r="F3120" s="27" t="n">
        <x:v>1</x:v>
      </x:c>
      <x:c r="G3120" s="29" t="str">
        <x:f>IF(E3120=F3120,"PASS","FAIL")</x:f>
        <x:v>PASS</x:v>
      </x:c>
    </x:row>
    <x:row r="3121" ht="18" customHeight="1">
      <x:c r="B3121" s="27" t="str">
        <x:v>A3115</x:v>
      </x:c>
      <x:c r="C3121" s="27" t="str">
        <x:v>rights</x:v>
      </x:c>
      <x:c r="D3121" s="27" t="str">
        <x:v>Rights row 54 authority present</x:v>
      </x:c>
      <x:c r="E3121" s="27" t="n">
        <x:f>IF('Ancestry Rights'!H54&lt;&gt;"",1,0)</x:f>
        <x:v>1</x:v>
      </x:c>
      <x:c r="F3121" s="27" t="n">
        <x:v>1</x:v>
      </x:c>
      <x:c r="G3121" s="29" t="str">
        <x:f>IF(E3121=F3121,"PASS","FAIL")</x:f>
        <x:v>PASS</x:v>
      </x:c>
    </x:row>
    <x:row r="3122" ht="18" customHeight="1">
      <x:c r="B3122" s="27" t="str">
        <x:v>A3116</x:v>
      </x:c>
      <x:c r="C3122" s="27" t="str">
        <x:v>rights</x:v>
      </x:c>
      <x:c r="D3122" s="27" t="str">
        <x:v>Rights row 54 evidence open</x:v>
      </x:c>
      <x:c r="E3122" s="27" t="n">
        <x:f>IF('Ancestry Rights'!I54="OPEN",1,0)</x:f>
        <x:v>1</x:v>
      </x:c>
      <x:c r="F3122" s="27" t="n">
        <x:v>1</x:v>
      </x:c>
      <x:c r="G3122" s="29" t="str">
        <x:f>IF(E3122=F3122,"PASS","FAIL")</x:f>
        <x:v>PASS</x:v>
      </x:c>
    </x:row>
    <x:row r="3123" ht="18" customHeight="1">
      <x:c r="B3123" s="27" t="str">
        <x:v>A3117</x:v>
      </x:c>
      <x:c r="C3123" s="27" t="str">
        <x:v>rights</x:v>
      </x:c>
      <x:c r="D3123" s="27" t="str">
        <x:v>Rights row 54 zero credit</x:v>
      </x:c>
      <x:c r="E3123" s="27" t="n">
        <x:f>IF('Ancestry Rights'!J54=0,1,0)</x:f>
        <x:v>1</x:v>
      </x:c>
      <x:c r="F3123" s="27" t="n">
        <x:v>1</x:v>
      </x:c>
      <x:c r="G3123" s="29" t="str">
        <x:f>IF(E3123=F3123,"PASS","FAIL")</x:f>
        <x:v>PASS</x:v>
      </x:c>
    </x:row>
    <x:row r="3124" ht="18" customHeight="1">
      <x:c r="B3124" s="27" t="str">
        <x:v>A3118</x:v>
      </x:c>
      <x:c r="C3124" s="27" t="str">
        <x:v>rights</x:v>
      </x:c>
      <x:c r="D3124" s="27" t="str">
        <x:v>Rights row 55 required</x:v>
      </x:c>
      <x:c r="E3124" s="27" t="n">
        <x:f>IF('Ancestry Rights'!F55=1,1,0)</x:f>
        <x:v>1</x:v>
      </x:c>
      <x:c r="F3124" s="27" t="n">
        <x:v>1</x:v>
      </x:c>
      <x:c r="G3124" s="29" t="str">
        <x:f>IF(E3124=F3124,"PASS","FAIL")</x:f>
        <x:v>PASS</x:v>
      </x:c>
    </x:row>
    <x:row r="3125" ht="18" customHeight="1">
      <x:c r="B3125" s="27" t="str">
        <x:v>A3119</x:v>
      </x:c>
      <x:c r="C3125" s="27" t="str">
        <x:v>rights</x:v>
      </x:c>
      <x:c r="D3125" s="27" t="str">
        <x:v>Rights row 55 not accepted on paper</x:v>
      </x:c>
      <x:c r="E3125" s="27" t="n">
        <x:f>IF('Ancestry Rights'!G55=0,1,0)</x:f>
        <x:v>1</x:v>
      </x:c>
      <x:c r="F3125" s="27" t="n">
        <x:v>1</x:v>
      </x:c>
      <x:c r="G3125" s="29" t="str">
        <x:f>IF(E3125=F3125,"PASS","FAIL")</x:f>
        <x:v>PASS</x:v>
      </x:c>
    </x:row>
    <x:row r="3126" ht="18" customHeight="1">
      <x:c r="B3126" s="27" t="str">
        <x:v>A3120</x:v>
      </x:c>
      <x:c r="C3126" s="27" t="str">
        <x:v>rights</x:v>
      </x:c>
      <x:c r="D3126" s="27" t="str">
        <x:v>Rights row 55 authority present</x:v>
      </x:c>
      <x:c r="E3126" s="27" t="n">
        <x:f>IF('Ancestry Rights'!H55&lt;&gt;"",1,0)</x:f>
        <x:v>1</x:v>
      </x:c>
      <x:c r="F3126" s="27" t="n">
        <x:v>1</x:v>
      </x:c>
      <x:c r="G3126" s="29" t="str">
        <x:f>IF(E3126=F3126,"PASS","FAIL")</x:f>
        <x:v>PASS</x:v>
      </x:c>
    </x:row>
    <x:row r="3127" ht="18" customHeight="1">
      <x:c r="B3127" s="27" t="str">
        <x:v>A3121</x:v>
      </x:c>
      <x:c r="C3127" s="27" t="str">
        <x:v>rights</x:v>
      </x:c>
      <x:c r="D3127" s="27" t="str">
        <x:v>Rights row 55 evidence open</x:v>
      </x:c>
      <x:c r="E3127" s="27" t="n">
        <x:f>IF('Ancestry Rights'!I55="OPEN",1,0)</x:f>
        <x:v>1</x:v>
      </x:c>
      <x:c r="F3127" s="27" t="n">
        <x:v>1</x:v>
      </x:c>
      <x:c r="G3127" s="29" t="str">
        <x:f>IF(E3127=F3127,"PASS","FAIL")</x:f>
        <x:v>PASS</x:v>
      </x:c>
    </x:row>
    <x:row r="3128" ht="18" customHeight="1">
      <x:c r="B3128" s="27" t="str">
        <x:v>A3122</x:v>
      </x:c>
      <x:c r="C3128" s="27" t="str">
        <x:v>rights</x:v>
      </x:c>
      <x:c r="D3128" s="27" t="str">
        <x:v>Rights row 55 zero credit</x:v>
      </x:c>
      <x:c r="E3128" s="27" t="n">
        <x:f>IF('Ancestry Rights'!J55=0,1,0)</x:f>
        <x:v>1</x:v>
      </x:c>
      <x:c r="F3128" s="27" t="n">
        <x:v>1</x:v>
      </x:c>
      <x:c r="G3128" s="29" t="str">
        <x:f>IF(E3128=F3128,"PASS","FAIL")</x:f>
        <x:v>PASS</x:v>
      </x:c>
    </x:row>
    <x:row r="3129" ht="18" customHeight="1">
      <x:c r="B3129" s="27" t="str">
        <x:v>A3123</x:v>
      </x:c>
      <x:c r="C3129" s="27" t="str">
        <x:v>rights</x:v>
      </x:c>
      <x:c r="D3129" s="27" t="str">
        <x:v>Rights row 56 required</x:v>
      </x:c>
      <x:c r="E3129" s="27" t="n">
        <x:f>IF('Ancestry Rights'!F56=1,1,0)</x:f>
        <x:v>1</x:v>
      </x:c>
      <x:c r="F3129" s="27" t="n">
        <x:v>1</x:v>
      </x:c>
      <x:c r="G3129" s="29" t="str">
        <x:f>IF(E3129=F3129,"PASS","FAIL")</x:f>
        <x:v>PASS</x:v>
      </x:c>
    </x:row>
    <x:row r="3130" ht="18" customHeight="1">
      <x:c r="B3130" s="27" t="str">
        <x:v>A3124</x:v>
      </x:c>
      <x:c r="C3130" s="27" t="str">
        <x:v>rights</x:v>
      </x:c>
      <x:c r="D3130" s="27" t="str">
        <x:v>Rights row 56 not accepted on paper</x:v>
      </x:c>
      <x:c r="E3130" s="27" t="n">
        <x:f>IF('Ancestry Rights'!G56=0,1,0)</x:f>
        <x:v>1</x:v>
      </x:c>
      <x:c r="F3130" s="27" t="n">
        <x:v>1</x:v>
      </x:c>
      <x:c r="G3130" s="29" t="str">
        <x:f>IF(E3130=F3130,"PASS","FAIL")</x:f>
        <x:v>PASS</x:v>
      </x:c>
    </x:row>
    <x:row r="3131" ht="18" customHeight="1">
      <x:c r="B3131" s="27" t="str">
        <x:v>A3125</x:v>
      </x:c>
      <x:c r="C3131" s="27" t="str">
        <x:v>rights</x:v>
      </x:c>
      <x:c r="D3131" s="27" t="str">
        <x:v>Rights row 56 authority present</x:v>
      </x:c>
      <x:c r="E3131" s="27" t="n">
        <x:f>IF('Ancestry Rights'!H56&lt;&gt;"",1,0)</x:f>
        <x:v>1</x:v>
      </x:c>
      <x:c r="F3131" s="27" t="n">
        <x:v>1</x:v>
      </x:c>
      <x:c r="G3131" s="29" t="str">
        <x:f>IF(E3131=F3131,"PASS","FAIL")</x:f>
        <x:v>PASS</x:v>
      </x:c>
    </x:row>
    <x:row r="3132" ht="18" customHeight="1">
      <x:c r="B3132" s="27" t="str">
        <x:v>A3126</x:v>
      </x:c>
      <x:c r="C3132" s="27" t="str">
        <x:v>rights</x:v>
      </x:c>
      <x:c r="D3132" s="27" t="str">
        <x:v>Rights row 56 evidence open</x:v>
      </x:c>
      <x:c r="E3132" s="27" t="n">
        <x:f>IF('Ancestry Rights'!I56="OPEN",1,0)</x:f>
        <x:v>1</x:v>
      </x:c>
      <x:c r="F3132" s="27" t="n">
        <x:v>1</x:v>
      </x:c>
      <x:c r="G3132" s="29" t="str">
        <x:f>IF(E3132=F3132,"PASS","FAIL")</x:f>
        <x:v>PASS</x:v>
      </x:c>
    </x:row>
    <x:row r="3133" ht="18" customHeight="1">
      <x:c r="B3133" s="27" t="str">
        <x:v>A3127</x:v>
      </x:c>
      <x:c r="C3133" s="27" t="str">
        <x:v>rights</x:v>
      </x:c>
      <x:c r="D3133" s="27" t="str">
        <x:v>Rights row 56 zero credit</x:v>
      </x:c>
      <x:c r="E3133" s="27" t="n">
        <x:f>IF('Ancestry Rights'!J56=0,1,0)</x:f>
        <x:v>1</x:v>
      </x:c>
      <x:c r="F3133" s="27" t="n">
        <x:v>1</x:v>
      </x:c>
      <x:c r="G3133" s="29" t="str">
        <x:f>IF(E3133=F3133,"PASS","FAIL")</x:f>
        <x:v>PASS</x:v>
      </x:c>
    </x:row>
    <x:row r="3134" ht="18" customHeight="1">
      <x:c r="B3134" s="27" t="str">
        <x:v>A3128</x:v>
      </x:c>
      <x:c r="C3134" s="27" t="str">
        <x:v>rights</x:v>
      </x:c>
      <x:c r="D3134" s="27" t="str">
        <x:v>Rights row 57 required</x:v>
      </x:c>
      <x:c r="E3134" s="27" t="n">
        <x:f>IF('Ancestry Rights'!F57=1,1,0)</x:f>
        <x:v>1</x:v>
      </x:c>
      <x:c r="F3134" s="27" t="n">
        <x:v>1</x:v>
      </x:c>
      <x:c r="G3134" s="29" t="str">
        <x:f>IF(E3134=F3134,"PASS","FAIL")</x:f>
        <x:v>PASS</x:v>
      </x:c>
    </x:row>
    <x:row r="3135" ht="18" customHeight="1">
      <x:c r="B3135" s="27" t="str">
        <x:v>A3129</x:v>
      </x:c>
      <x:c r="C3135" s="27" t="str">
        <x:v>rights</x:v>
      </x:c>
      <x:c r="D3135" s="27" t="str">
        <x:v>Rights row 57 not accepted on paper</x:v>
      </x:c>
      <x:c r="E3135" s="27" t="n">
        <x:f>IF('Ancestry Rights'!G57=0,1,0)</x:f>
        <x:v>1</x:v>
      </x:c>
      <x:c r="F3135" s="27" t="n">
        <x:v>1</x:v>
      </x:c>
      <x:c r="G3135" s="29" t="str">
        <x:f>IF(E3135=F3135,"PASS","FAIL")</x:f>
        <x:v>PASS</x:v>
      </x:c>
    </x:row>
    <x:row r="3136" ht="18" customHeight="1">
      <x:c r="B3136" s="27" t="str">
        <x:v>A3130</x:v>
      </x:c>
      <x:c r="C3136" s="27" t="str">
        <x:v>rights</x:v>
      </x:c>
      <x:c r="D3136" s="27" t="str">
        <x:v>Rights row 57 authority present</x:v>
      </x:c>
      <x:c r="E3136" s="27" t="n">
        <x:f>IF('Ancestry Rights'!H57&lt;&gt;"",1,0)</x:f>
        <x:v>1</x:v>
      </x:c>
      <x:c r="F3136" s="27" t="n">
        <x:v>1</x:v>
      </x:c>
      <x:c r="G3136" s="29" t="str">
        <x:f>IF(E3136=F3136,"PASS","FAIL")</x:f>
        <x:v>PASS</x:v>
      </x:c>
    </x:row>
    <x:row r="3137" ht="18" customHeight="1">
      <x:c r="B3137" s="27" t="str">
        <x:v>A3131</x:v>
      </x:c>
      <x:c r="C3137" s="27" t="str">
        <x:v>rights</x:v>
      </x:c>
      <x:c r="D3137" s="27" t="str">
        <x:v>Rights row 57 evidence open</x:v>
      </x:c>
      <x:c r="E3137" s="27" t="n">
        <x:f>IF('Ancestry Rights'!I57="OPEN",1,0)</x:f>
        <x:v>1</x:v>
      </x:c>
      <x:c r="F3137" s="27" t="n">
        <x:v>1</x:v>
      </x:c>
      <x:c r="G3137" s="29" t="str">
        <x:f>IF(E3137=F3137,"PASS","FAIL")</x:f>
        <x:v>PASS</x:v>
      </x:c>
    </x:row>
    <x:row r="3138" ht="18" customHeight="1">
      <x:c r="B3138" s="27" t="str">
        <x:v>A3132</x:v>
      </x:c>
      <x:c r="C3138" s="27" t="str">
        <x:v>rights</x:v>
      </x:c>
      <x:c r="D3138" s="27" t="str">
        <x:v>Rights row 57 zero credit</x:v>
      </x:c>
      <x:c r="E3138" s="27" t="n">
        <x:f>IF('Ancestry Rights'!J57=0,1,0)</x:f>
        <x:v>1</x:v>
      </x:c>
      <x:c r="F3138" s="27" t="n">
        <x:v>1</x:v>
      </x:c>
      <x:c r="G3138" s="29" t="str">
        <x:f>IF(E3138=F3138,"PASS","FAIL")</x:f>
        <x:v>PASS</x:v>
      </x:c>
    </x:row>
    <x:row r="3139" ht="18" customHeight="1">
      <x:c r="B3139" s="27" t="str">
        <x:v>A3133</x:v>
      </x:c>
      <x:c r="C3139" s="27" t="str">
        <x:v>rights</x:v>
      </x:c>
      <x:c r="D3139" s="27" t="str">
        <x:v>Rights row 58 required</x:v>
      </x:c>
      <x:c r="E3139" s="27" t="n">
        <x:f>IF('Ancestry Rights'!F58=1,1,0)</x:f>
        <x:v>1</x:v>
      </x:c>
      <x:c r="F3139" s="27" t="n">
        <x:v>1</x:v>
      </x:c>
      <x:c r="G3139" s="29" t="str">
        <x:f>IF(E3139=F3139,"PASS","FAIL")</x:f>
        <x:v>PASS</x:v>
      </x:c>
    </x:row>
    <x:row r="3140" ht="18" customHeight="1">
      <x:c r="B3140" s="27" t="str">
        <x:v>A3134</x:v>
      </x:c>
      <x:c r="C3140" s="27" t="str">
        <x:v>rights</x:v>
      </x:c>
      <x:c r="D3140" s="27" t="str">
        <x:v>Rights row 58 not accepted on paper</x:v>
      </x:c>
      <x:c r="E3140" s="27" t="n">
        <x:f>IF('Ancestry Rights'!G58=0,1,0)</x:f>
        <x:v>1</x:v>
      </x:c>
      <x:c r="F3140" s="27" t="n">
        <x:v>1</x:v>
      </x:c>
      <x:c r="G3140" s="29" t="str">
        <x:f>IF(E3140=F3140,"PASS","FAIL")</x:f>
        <x:v>PASS</x:v>
      </x:c>
    </x:row>
    <x:row r="3141" ht="18" customHeight="1">
      <x:c r="B3141" s="27" t="str">
        <x:v>A3135</x:v>
      </x:c>
      <x:c r="C3141" s="27" t="str">
        <x:v>rights</x:v>
      </x:c>
      <x:c r="D3141" s="27" t="str">
        <x:v>Rights row 58 authority present</x:v>
      </x:c>
      <x:c r="E3141" s="27" t="n">
        <x:f>IF('Ancestry Rights'!H58&lt;&gt;"",1,0)</x:f>
        <x:v>1</x:v>
      </x:c>
      <x:c r="F3141" s="27" t="n">
        <x:v>1</x:v>
      </x:c>
      <x:c r="G3141" s="29" t="str">
        <x:f>IF(E3141=F3141,"PASS","FAIL")</x:f>
        <x:v>PASS</x:v>
      </x:c>
    </x:row>
    <x:row r="3142" ht="18" customHeight="1">
      <x:c r="B3142" s="27" t="str">
        <x:v>A3136</x:v>
      </x:c>
      <x:c r="C3142" s="27" t="str">
        <x:v>rights</x:v>
      </x:c>
      <x:c r="D3142" s="27" t="str">
        <x:v>Rights row 58 evidence open</x:v>
      </x:c>
      <x:c r="E3142" s="27" t="n">
        <x:f>IF('Ancestry Rights'!I58="OPEN",1,0)</x:f>
        <x:v>1</x:v>
      </x:c>
      <x:c r="F3142" s="27" t="n">
        <x:v>1</x:v>
      </x:c>
      <x:c r="G3142" s="29" t="str">
        <x:f>IF(E3142=F3142,"PASS","FAIL")</x:f>
        <x:v>PASS</x:v>
      </x:c>
    </x:row>
    <x:row r="3143" ht="18" customHeight="1">
      <x:c r="B3143" s="27" t="str">
        <x:v>A3137</x:v>
      </x:c>
      <x:c r="C3143" s="27" t="str">
        <x:v>rights</x:v>
      </x:c>
      <x:c r="D3143" s="27" t="str">
        <x:v>Rights row 58 zero credit</x:v>
      </x:c>
      <x:c r="E3143" s="27" t="n">
        <x:f>IF('Ancestry Rights'!J58=0,1,0)</x:f>
        <x:v>1</x:v>
      </x:c>
      <x:c r="F3143" s="27" t="n">
        <x:v>1</x:v>
      </x:c>
      <x:c r="G3143" s="29" t="str">
        <x:f>IF(E3143=F3143,"PASS","FAIL")</x:f>
        <x:v>PASS</x:v>
      </x:c>
    </x:row>
    <x:row r="3144" ht="18" customHeight="1">
      <x:c r="B3144" s="27" t="str">
        <x:v>A3138</x:v>
      </x:c>
      <x:c r="C3144" s="27" t="str">
        <x:v>rights</x:v>
      </x:c>
      <x:c r="D3144" s="27" t="str">
        <x:v>Rights row 59 required</x:v>
      </x:c>
      <x:c r="E3144" s="27" t="n">
        <x:f>IF('Ancestry Rights'!F59=1,1,0)</x:f>
        <x:v>1</x:v>
      </x:c>
      <x:c r="F3144" s="27" t="n">
        <x:v>1</x:v>
      </x:c>
      <x:c r="G3144" s="29" t="str">
        <x:f>IF(E3144=F3144,"PASS","FAIL")</x:f>
        <x:v>PASS</x:v>
      </x:c>
    </x:row>
    <x:row r="3145" ht="18" customHeight="1">
      <x:c r="B3145" s="27" t="str">
        <x:v>A3139</x:v>
      </x:c>
      <x:c r="C3145" s="27" t="str">
        <x:v>rights</x:v>
      </x:c>
      <x:c r="D3145" s="27" t="str">
        <x:v>Rights row 59 not accepted on paper</x:v>
      </x:c>
      <x:c r="E3145" s="27" t="n">
        <x:f>IF('Ancestry Rights'!G59=0,1,0)</x:f>
        <x:v>1</x:v>
      </x:c>
      <x:c r="F3145" s="27" t="n">
        <x:v>1</x:v>
      </x:c>
      <x:c r="G3145" s="29" t="str">
        <x:f>IF(E3145=F3145,"PASS","FAIL")</x:f>
        <x:v>PASS</x:v>
      </x:c>
    </x:row>
    <x:row r="3146" ht="18" customHeight="1">
      <x:c r="B3146" s="27" t="str">
        <x:v>A3140</x:v>
      </x:c>
      <x:c r="C3146" s="27" t="str">
        <x:v>rights</x:v>
      </x:c>
      <x:c r="D3146" s="27" t="str">
        <x:v>Rights row 59 authority present</x:v>
      </x:c>
      <x:c r="E3146" s="27" t="n">
        <x:f>IF('Ancestry Rights'!H59&lt;&gt;"",1,0)</x:f>
        <x:v>1</x:v>
      </x:c>
      <x:c r="F3146" s="27" t="n">
        <x:v>1</x:v>
      </x:c>
      <x:c r="G3146" s="29" t="str">
        <x:f>IF(E3146=F3146,"PASS","FAIL")</x:f>
        <x:v>PASS</x:v>
      </x:c>
    </x:row>
    <x:row r="3147" ht="18" customHeight="1">
      <x:c r="B3147" s="27" t="str">
        <x:v>A3141</x:v>
      </x:c>
      <x:c r="C3147" s="27" t="str">
        <x:v>rights</x:v>
      </x:c>
      <x:c r="D3147" s="27" t="str">
        <x:v>Rights row 59 evidence open</x:v>
      </x:c>
      <x:c r="E3147" s="27" t="n">
        <x:f>IF('Ancestry Rights'!I59="OPEN",1,0)</x:f>
        <x:v>1</x:v>
      </x:c>
      <x:c r="F3147" s="27" t="n">
        <x:v>1</x:v>
      </x:c>
      <x:c r="G3147" s="29" t="str">
        <x:f>IF(E3147=F3147,"PASS","FAIL")</x:f>
        <x:v>PASS</x:v>
      </x:c>
    </x:row>
    <x:row r="3148" ht="18" customHeight="1">
      <x:c r="B3148" s="27" t="str">
        <x:v>A3142</x:v>
      </x:c>
      <x:c r="C3148" s="27" t="str">
        <x:v>rights</x:v>
      </x:c>
      <x:c r="D3148" s="27" t="str">
        <x:v>Rights row 59 zero credit</x:v>
      </x:c>
      <x:c r="E3148" s="27" t="n">
        <x:f>IF('Ancestry Rights'!J59=0,1,0)</x:f>
        <x:v>1</x:v>
      </x:c>
      <x:c r="F3148" s="27" t="n">
        <x:v>1</x:v>
      </x:c>
      <x:c r="G3148" s="29" t="str">
        <x:f>IF(E3148=F3148,"PASS","FAIL")</x:f>
        <x:v>PASS</x:v>
      </x:c>
    </x:row>
    <x:row r="3149" ht="18" customHeight="1">
      <x:c r="B3149" s="27" t="str">
        <x:v>A3143</x:v>
      </x:c>
      <x:c r="C3149" s="27" t="str">
        <x:v>rights</x:v>
      </x:c>
      <x:c r="D3149" s="27" t="str">
        <x:v>Rights row 60 required</x:v>
      </x:c>
      <x:c r="E3149" s="27" t="n">
        <x:f>IF('Ancestry Rights'!F60=1,1,0)</x:f>
        <x:v>1</x:v>
      </x:c>
      <x:c r="F3149" s="27" t="n">
        <x:v>1</x:v>
      </x:c>
      <x:c r="G3149" s="29" t="str">
        <x:f>IF(E3149=F3149,"PASS","FAIL")</x:f>
        <x:v>PASS</x:v>
      </x:c>
    </x:row>
    <x:row r="3150" ht="18" customHeight="1">
      <x:c r="B3150" s="27" t="str">
        <x:v>A3144</x:v>
      </x:c>
      <x:c r="C3150" s="27" t="str">
        <x:v>rights</x:v>
      </x:c>
      <x:c r="D3150" s="27" t="str">
        <x:v>Rights row 60 not accepted on paper</x:v>
      </x:c>
      <x:c r="E3150" s="27" t="n">
        <x:f>IF('Ancestry Rights'!G60=0,1,0)</x:f>
        <x:v>1</x:v>
      </x:c>
      <x:c r="F3150" s="27" t="n">
        <x:v>1</x:v>
      </x:c>
      <x:c r="G3150" s="29" t="str">
        <x:f>IF(E3150=F3150,"PASS","FAIL")</x:f>
        <x:v>PASS</x:v>
      </x:c>
    </x:row>
    <x:row r="3151" ht="18" customHeight="1">
      <x:c r="B3151" s="27" t="str">
        <x:v>A3145</x:v>
      </x:c>
      <x:c r="C3151" s="27" t="str">
        <x:v>rights</x:v>
      </x:c>
      <x:c r="D3151" s="27" t="str">
        <x:v>Rights row 60 authority present</x:v>
      </x:c>
      <x:c r="E3151" s="27" t="n">
        <x:f>IF('Ancestry Rights'!H60&lt;&gt;"",1,0)</x:f>
        <x:v>1</x:v>
      </x:c>
      <x:c r="F3151" s="27" t="n">
        <x:v>1</x:v>
      </x:c>
      <x:c r="G3151" s="29" t="str">
        <x:f>IF(E3151=F3151,"PASS","FAIL")</x:f>
        <x:v>PASS</x:v>
      </x:c>
    </x:row>
    <x:row r="3152" ht="18" customHeight="1">
      <x:c r="B3152" s="27" t="str">
        <x:v>A3146</x:v>
      </x:c>
      <x:c r="C3152" s="27" t="str">
        <x:v>rights</x:v>
      </x:c>
      <x:c r="D3152" s="27" t="str">
        <x:v>Rights row 60 evidence open</x:v>
      </x:c>
      <x:c r="E3152" s="27" t="n">
        <x:f>IF('Ancestry Rights'!I60="OPEN",1,0)</x:f>
        <x:v>1</x:v>
      </x:c>
      <x:c r="F3152" s="27" t="n">
        <x:v>1</x:v>
      </x:c>
      <x:c r="G3152" s="29" t="str">
        <x:f>IF(E3152=F3152,"PASS","FAIL")</x:f>
        <x:v>PASS</x:v>
      </x:c>
    </x:row>
    <x:row r="3153" ht="18" customHeight="1">
      <x:c r="B3153" s="27" t="str">
        <x:v>A3147</x:v>
      </x:c>
      <x:c r="C3153" s="27" t="str">
        <x:v>rights</x:v>
      </x:c>
      <x:c r="D3153" s="27" t="str">
        <x:v>Rights row 60 zero credit</x:v>
      </x:c>
      <x:c r="E3153" s="27" t="n">
        <x:f>IF('Ancestry Rights'!J60=0,1,0)</x:f>
        <x:v>1</x:v>
      </x:c>
      <x:c r="F3153" s="27" t="n">
        <x:v>1</x:v>
      </x:c>
      <x:c r="G3153" s="29" t="str">
        <x:f>IF(E3153=F3153,"PASS","FAIL")</x:f>
        <x:v>PASS</x:v>
      </x:c>
    </x:row>
    <x:row r="3154" ht="18" customHeight="1">
      <x:c r="B3154" s="27" t="str">
        <x:v>A3148</x:v>
      </x:c>
      <x:c r="C3154" s="27" t="str">
        <x:v>rights</x:v>
      </x:c>
      <x:c r="D3154" s="27" t="str">
        <x:v>Rights row 61 required</x:v>
      </x:c>
      <x:c r="E3154" s="27" t="n">
        <x:f>IF('Ancestry Rights'!F61=1,1,0)</x:f>
        <x:v>1</x:v>
      </x:c>
      <x:c r="F3154" s="27" t="n">
        <x:v>1</x:v>
      </x:c>
      <x:c r="G3154" s="29" t="str">
        <x:f>IF(E3154=F3154,"PASS","FAIL")</x:f>
        <x:v>PASS</x:v>
      </x:c>
    </x:row>
    <x:row r="3155" ht="18" customHeight="1">
      <x:c r="B3155" s="27" t="str">
        <x:v>A3149</x:v>
      </x:c>
      <x:c r="C3155" s="27" t="str">
        <x:v>rights</x:v>
      </x:c>
      <x:c r="D3155" s="27" t="str">
        <x:v>Rights row 61 not accepted on paper</x:v>
      </x:c>
      <x:c r="E3155" s="27" t="n">
        <x:f>IF('Ancestry Rights'!G61=0,1,0)</x:f>
        <x:v>1</x:v>
      </x:c>
      <x:c r="F3155" s="27" t="n">
        <x:v>1</x:v>
      </x:c>
      <x:c r="G3155" s="29" t="str">
        <x:f>IF(E3155=F3155,"PASS","FAIL")</x:f>
        <x:v>PASS</x:v>
      </x:c>
    </x:row>
    <x:row r="3156" ht="18" customHeight="1">
      <x:c r="B3156" s="27" t="str">
        <x:v>A3150</x:v>
      </x:c>
      <x:c r="C3156" s="27" t="str">
        <x:v>rights</x:v>
      </x:c>
      <x:c r="D3156" s="27" t="str">
        <x:v>Rights row 61 authority present</x:v>
      </x:c>
      <x:c r="E3156" s="27" t="n">
        <x:f>IF('Ancestry Rights'!H61&lt;&gt;"",1,0)</x:f>
        <x:v>1</x:v>
      </x:c>
      <x:c r="F3156" s="27" t="n">
        <x:v>1</x:v>
      </x:c>
      <x:c r="G3156" s="29" t="str">
        <x:f>IF(E3156=F3156,"PASS","FAIL")</x:f>
        <x:v>PASS</x:v>
      </x:c>
    </x:row>
    <x:row r="3157" ht="18" customHeight="1">
      <x:c r="B3157" s="27" t="str">
        <x:v>A3151</x:v>
      </x:c>
      <x:c r="C3157" s="27" t="str">
        <x:v>rights</x:v>
      </x:c>
      <x:c r="D3157" s="27" t="str">
        <x:v>Rights row 61 evidence open</x:v>
      </x:c>
      <x:c r="E3157" s="27" t="n">
        <x:f>IF('Ancestry Rights'!I61="OPEN",1,0)</x:f>
        <x:v>1</x:v>
      </x:c>
      <x:c r="F3157" s="27" t="n">
        <x:v>1</x:v>
      </x:c>
      <x:c r="G3157" s="29" t="str">
        <x:f>IF(E3157=F3157,"PASS","FAIL")</x:f>
        <x:v>PASS</x:v>
      </x:c>
    </x:row>
    <x:row r="3158" ht="18" customHeight="1">
      <x:c r="B3158" s="27" t="str">
        <x:v>A3152</x:v>
      </x:c>
      <x:c r="C3158" s="27" t="str">
        <x:v>rights</x:v>
      </x:c>
      <x:c r="D3158" s="27" t="str">
        <x:v>Rights row 61 zero credit</x:v>
      </x:c>
      <x:c r="E3158" s="27" t="n">
        <x:f>IF('Ancestry Rights'!J61=0,1,0)</x:f>
        <x:v>1</x:v>
      </x:c>
      <x:c r="F3158" s="27" t="n">
        <x:v>1</x:v>
      </x:c>
      <x:c r="G3158" s="29" t="str">
        <x:f>IF(E3158=F3158,"PASS","FAIL")</x:f>
        <x:v>PASS</x:v>
      </x:c>
    </x:row>
    <x:row r="3159" ht="18" customHeight="1">
      <x:c r="B3159" s="27" t="str">
        <x:v>A3153</x:v>
      </x:c>
      <x:c r="C3159" s="27" t="str">
        <x:v>rights</x:v>
      </x:c>
      <x:c r="D3159" s="27" t="str">
        <x:v>Rights row 62 required</x:v>
      </x:c>
      <x:c r="E3159" s="27" t="n">
        <x:f>IF('Ancestry Rights'!F62=1,1,0)</x:f>
        <x:v>1</x:v>
      </x:c>
      <x:c r="F3159" s="27" t="n">
        <x:v>1</x:v>
      </x:c>
      <x:c r="G3159" s="29" t="str">
        <x:f>IF(E3159=F3159,"PASS","FAIL")</x:f>
        <x:v>PASS</x:v>
      </x:c>
    </x:row>
    <x:row r="3160" ht="18" customHeight="1">
      <x:c r="B3160" s="27" t="str">
        <x:v>A3154</x:v>
      </x:c>
      <x:c r="C3160" s="27" t="str">
        <x:v>rights</x:v>
      </x:c>
      <x:c r="D3160" s="27" t="str">
        <x:v>Rights row 62 not accepted on paper</x:v>
      </x:c>
      <x:c r="E3160" s="27" t="n">
        <x:f>IF('Ancestry Rights'!G62=0,1,0)</x:f>
        <x:v>1</x:v>
      </x:c>
      <x:c r="F3160" s="27" t="n">
        <x:v>1</x:v>
      </x:c>
      <x:c r="G3160" s="29" t="str">
        <x:f>IF(E3160=F3160,"PASS","FAIL")</x:f>
        <x:v>PASS</x:v>
      </x:c>
    </x:row>
    <x:row r="3161" ht="18" customHeight="1">
      <x:c r="B3161" s="27" t="str">
        <x:v>A3155</x:v>
      </x:c>
      <x:c r="C3161" s="27" t="str">
        <x:v>rights</x:v>
      </x:c>
      <x:c r="D3161" s="27" t="str">
        <x:v>Rights row 62 authority present</x:v>
      </x:c>
      <x:c r="E3161" s="27" t="n">
        <x:f>IF('Ancestry Rights'!H62&lt;&gt;"",1,0)</x:f>
        <x:v>1</x:v>
      </x:c>
      <x:c r="F3161" s="27" t="n">
        <x:v>1</x:v>
      </x:c>
      <x:c r="G3161" s="29" t="str">
        <x:f>IF(E3161=F3161,"PASS","FAIL")</x:f>
        <x:v>PASS</x:v>
      </x:c>
    </x:row>
    <x:row r="3162" ht="18" customHeight="1">
      <x:c r="B3162" s="27" t="str">
        <x:v>A3156</x:v>
      </x:c>
      <x:c r="C3162" s="27" t="str">
        <x:v>rights</x:v>
      </x:c>
      <x:c r="D3162" s="27" t="str">
        <x:v>Rights row 62 evidence open</x:v>
      </x:c>
      <x:c r="E3162" s="27" t="n">
        <x:f>IF('Ancestry Rights'!I62="OPEN",1,0)</x:f>
        <x:v>1</x:v>
      </x:c>
      <x:c r="F3162" s="27" t="n">
        <x:v>1</x:v>
      </x:c>
      <x:c r="G3162" s="29" t="str">
        <x:f>IF(E3162=F3162,"PASS","FAIL")</x:f>
        <x:v>PASS</x:v>
      </x:c>
    </x:row>
    <x:row r="3163" ht="18" customHeight="1">
      <x:c r="B3163" s="27" t="str">
        <x:v>A3157</x:v>
      </x:c>
      <x:c r="C3163" s="27" t="str">
        <x:v>rights</x:v>
      </x:c>
      <x:c r="D3163" s="27" t="str">
        <x:v>Rights row 62 zero credit</x:v>
      </x:c>
      <x:c r="E3163" s="27" t="n">
        <x:f>IF('Ancestry Rights'!J62=0,1,0)</x:f>
        <x:v>1</x:v>
      </x:c>
      <x:c r="F3163" s="27" t="n">
        <x:v>1</x:v>
      </x:c>
      <x:c r="G3163" s="29" t="str">
        <x:f>IF(E3163=F3163,"PASS","FAIL")</x:f>
        <x:v>PASS</x:v>
      </x:c>
    </x:row>
    <x:row r="3164" ht="18" customHeight="1">
      <x:c r="B3164" s="27" t="str">
        <x:v>A3158</x:v>
      </x:c>
      <x:c r="C3164" s="27" t="str">
        <x:v>rights</x:v>
      </x:c>
      <x:c r="D3164" s="27" t="str">
        <x:v>Rights row 63 required</x:v>
      </x:c>
      <x:c r="E3164" s="27" t="n">
        <x:f>IF('Ancestry Rights'!F63=1,1,0)</x:f>
        <x:v>1</x:v>
      </x:c>
      <x:c r="F3164" s="27" t="n">
        <x:v>1</x:v>
      </x:c>
      <x:c r="G3164" s="29" t="str">
        <x:f>IF(E3164=F3164,"PASS","FAIL")</x:f>
        <x:v>PASS</x:v>
      </x:c>
    </x:row>
    <x:row r="3165" ht="18" customHeight="1">
      <x:c r="B3165" s="27" t="str">
        <x:v>A3159</x:v>
      </x:c>
      <x:c r="C3165" s="27" t="str">
        <x:v>rights</x:v>
      </x:c>
      <x:c r="D3165" s="27" t="str">
        <x:v>Rights row 63 not accepted on paper</x:v>
      </x:c>
      <x:c r="E3165" s="27" t="n">
        <x:f>IF('Ancestry Rights'!G63=0,1,0)</x:f>
        <x:v>1</x:v>
      </x:c>
      <x:c r="F3165" s="27" t="n">
        <x:v>1</x:v>
      </x:c>
      <x:c r="G3165" s="29" t="str">
        <x:f>IF(E3165=F3165,"PASS","FAIL")</x:f>
        <x:v>PASS</x:v>
      </x:c>
    </x:row>
    <x:row r="3166" ht="18" customHeight="1">
      <x:c r="B3166" s="27" t="str">
        <x:v>A3160</x:v>
      </x:c>
      <x:c r="C3166" s="27" t="str">
        <x:v>rights</x:v>
      </x:c>
      <x:c r="D3166" s="27" t="str">
        <x:v>Rights row 63 authority present</x:v>
      </x:c>
      <x:c r="E3166" s="27" t="n">
        <x:f>IF('Ancestry Rights'!H63&lt;&gt;"",1,0)</x:f>
        <x:v>1</x:v>
      </x:c>
      <x:c r="F3166" s="27" t="n">
        <x:v>1</x:v>
      </x:c>
      <x:c r="G3166" s="29" t="str">
        <x:f>IF(E3166=F3166,"PASS","FAIL")</x:f>
        <x:v>PASS</x:v>
      </x:c>
    </x:row>
    <x:row r="3167" ht="18" customHeight="1">
      <x:c r="B3167" s="27" t="str">
        <x:v>A3161</x:v>
      </x:c>
      <x:c r="C3167" s="27" t="str">
        <x:v>rights</x:v>
      </x:c>
      <x:c r="D3167" s="27" t="str">
        <x:v>Rights row 63 evidence open</x:v>
      </x:c>
      <x:c r="E3167" s="27" t="n">
        <x:f>IF('Ancestry Rights'!I63="OPEN",1,0)</x:f>
        <x:v>1</x:v>
      </x:c>
      <x:c r="F3167" s="27" t="n">
        <x:v>1</x:v>
      </x:c>
      <x:c r="G3167" s="29" t="str">
        <x:f>IF(E3167=F3167,"PASS","FAIL")</x:f>
        <x:v>PASS</x:v>
      </x:c>
    </x:row>
    <x:row r="3168" ht="18" customHeight="1">
      <x:c r="B3168" s="27" t="str">
        <x:v>A3162</x:v>
      </x:c>
      <x:c r="C3168" s="27" t="str">
        <x:v>rights</x:v>
      </x:c>
      <x:c r="D3168" s="27" t="str">
        <x:v>Rights row 63 zero credit</x:v>
      </x:c>
      <x:c r="E3168" s="27" t="n">
        <x:f>IF('Ancestry Rights'!J63=0,1,0)</x:f>
        <x:v>1</x:v>
      </x:c>
      <x:c r="F3168" s="27" t="n">
        <x:v>1</x:v>
      </x:c>
      <x:c r="G3168" s="29" t="str">
        <x:f>IF(E3168=F3168,"PASS","FAIL")</x:f>
        <x:v>PASS</x:v>
      </x:c>
    </x:row>
    <x:row r="3169" ht="18" customHeight="1">
      <x:c r="B3169" s="27" t="str">
        <x:v>A3163</x:v>
      </x:c>
      <x:c r="C3169" s="27" t="str">
        <x:v>rights</x:v>
      </x:c>
      <x:c r="D3169" s="27" t="str">
        <x:v>Rights row 64 required</x:v>
      </x:c>
      <x:c r="E3169" s="27" t="n">
        <x:f>IF('Ancestry Rights'!F64=1,1,0)</x:f>
        <x:v>1</x:v>
      </x:c>
      <x:c r="F3169" s="27" t="n">
        <x:v>1</x:v>
      </x:c>
      <x:c r="G3169" s="29" t="str">
        <x:f>IF(E3169=F3169,"PASS","FAIL")</x:f>
        <x:v>PASS</x:v>
      </x:c>
    </x:row>
    <x:row r="3170" ht="18" customHeight="1">
      <x:c r="B3170" s="27" t="str">
        <x:v>A3164</x:v>
      </x:c>
      <x:c r="C3170" s="27" t="str">
        <x:v>rights</x:v>
      </x:c>
      <x:c r="D3170" s="27" t="str">
        <x:v>Rights row 64 not accepted on paper</x:v>
      </x:c>
      <x:c r="E3170" s="27" t="n">
        <x:f>IF('Ancestry Rights'!G64=0,1,0)</x:f>
        <x:v>1</x:v>
      </x:c>
      <x:c r="F3170" s="27" t="n">
        <x:v>1</x:v>
      </x:c>
      <x:c r="G3170" s="29" t="str">
        <x:f>IF(E3170=F3170,"PASS","FAIL")</x:f>
        <x:v>PASS</x:v>
      </x:c>
    </x:row>
    <x:row r="3171" ht="18" customHeight="1">
      <x:c r="B3171" s="27" t="str">
        <x:v>A3165</x:v>
      </x:c>
      <x:c r="C3171" s="27" t="str">
        <x:v>rights</x:v>
      </x:c>
      <x:c r="D3171" s="27" t="str">
        <x:v>Rights row 64 authority present</x:v>
      </x:c>
      <x:c r="E3171" s="27" t="n">
        <x:f>IF('Ancestry Rights'!H64&lt;&gt;"",1,0)</x:f>
        <x:v>1</x:v>
      </x:c>
      <x:c r="F3171" s="27" t="n">
        <x:v>1</x:v>
      </x:c>
      <x:c r="G3171" s="29" t="str">
        <x:f>IF(E3171=F3171,"PASS","FAIL")</x:f>
        <x:v>PASS</x:v>
      </x:c>
    </x:row>
    <x:row r="3172" ht="18" customHeight="1">
      <x:c r="B3172" s="27" t="str">
        <x:v>A3166</x:v>
      </x:c>
      <x:c r="C3172" s="27" t="str">
        <x:v>rights</x:v>
      </x:c>
      <x:c r="D3172" s="27" t="str">
        <x:v>Rights row 64 evidence open</x:v>
      </x:c>
      <x:c r="E3172" s="27" t="n">
        <x:f>IF('Ancestry Rights'!I64="OPEN",1,0)</x:f>
        <x:v>1</x:v>
      </x:c>
      <x:c r="F3172" s="27" t="n">
        <x:v>1</x:v>
      </x:c>
      <x:c r="G3172" s="29" t="str">
        <x:f>IF(E3172=F3172,"PASS","FAIL")</x:f>
        <x:v>PASS</x:v>
      </x:c>
    </x:row>
    <x:row r="3173" ht="18" customHeight="1">
      <x:c r="B3173" s="27" t="str">
        <x:v>A3167</x:v>
      </x:c>
      <x:c r="C3173" s="27" t="str">
        <x:v>rights</x:v>
      </x:c>
      <x:c r="D3173" s="27" t="str">
        <x:v>Rights row 64 zero credit</x:v>
      </x:c>
      <x:c r="E3173" s="27" t="n">
        <x:f>IF('Ancestry Rights'!J64=0,1,0)</x:f>
        <x:v>1</x:v>
      </x:c>
      <x:c r="F3173" s="27" t="n">
        <x:v>1</x:v>
      </x:c>
      <x:c r="G3173" s="29" t="str">
        <x:f>IF(E3173=F3173,"PASS","FAIL")</x:f>
        <x:v>PASS</x:v>
      </x:c>
    </x:row>
    <x:row r="3174" ht="18" customHeight="1">
      <x:c r="B3174" s="27" t="str">
        <x:v>A3168</x:v>
      </x:c>
      <x:c r="C3174" s="27" t="str">
        <x:v>rights</x:v>
      </x:c>
      <x:c r="D3174" s="27" t="str">
        <x:v>Rights row 65 required</x:v>
      </x:c>
      <x:c r="E3174" s="27" t="n">
        <x:f>IF('Ancestry Rights'!F65=1,1,0)</x:f>
        <x:v>1</x:v>
      </x:c>
      <x:c r="F3174" s="27" t="n">
        <x:v>1</x:v>
      </x:c>
      <x:c r="G3174" s="29" t="str">
        <x:f>IF(E3174=F3174,"PASS","FAIL")</x:f>
        <x:v>PASS</x:v>
      </x:c>
    </x:row>
    <x:row r="3175" ht="18" customHeight="1">
      <x:c r="B3175" s="27" t="str">
        <x:v>A3169</x:v>
      </x:c>
      <x:c r="C3175" s="27" t="str">
        <x:v>rights</x:v>
      </x:c>
      <x:c r="D3175" s="27" t="str">
        <x:v>Rights row 65 not accepted on paper</x:v>
      </x:c>
      <x:c r="E3175" s="27" t="n">
        <x:f>IF('Ancestry Rights'!G65=0,1,0)</x:f>
        <x:v>1</x:v>
      </x:c>
      <x:c r="F3175" s="27" t="n">
        <x:v>1</x:v>
      </x:c>
      <x:c r="G3175" s="29" t="str">
        <x:f>IF(E3175=F3175,"PASS","FAIL")</x:f>
        <x:v>PASS</x:v>
      </x:c>
    </x:row>
    <x:row r="3176" ht="18" customHeight="1">
      <x:c r="B3176" s="27" t="str">
        <x:v>A3170</x:v>
      </x:c>
      <x:c r="C3176" s="27" t="str">
        <x:v>rights</x:v>
      </x:c>
      <x:c r="D3176" s="27" t="str">
        <x:v>Rights row 65 authority present</x:v>
      </x:c>
      <x:c r="E3176" s="27" t="n">
        <x:f>IF('Ancestry Rights'!H65&lt;&gt;"",1,0)</x:f>
        <x:v>1</x:v>
      </x:c>
      <x:c r="F3176" s="27" t="n">
        <x:v>1</x:v>
      </x:c>
      <x:c r="G3176" s="29" t="str">
        <x:f>IF(E3176=F3176,"PASS","FAIL")</x:f>
        <x:v>PASS</x:v>
      </x:c>
    </x:row>
    <x:row r="3177" ht="18" customHeight="1">
      <x:c r="B3177" s="27" t="str">
        <x:v>A3171</x:v>
      </x:c>
      <x:c r="C3177" s="27" t="str">
        <x:v>rights</x:v>
      </x:c>
      <x:c r="D3177" s="27" t="str">
        <x:v>Rights row 65 evidence open</x:v>
      </x:c>
      <x:c r="E3177" s="27" t="n">
        <x:f>IF('Ancestry Rights'!I65="OPEN",1,0)</x:f>
        <x:v>1</x:v>
      </x:c>
      <x:c r="F3177" s="27" t="n">
        <x:v>1</x:v>
      </x:c>
      <x:c r="G3177" s="29" t="str">
        <x:f>IF(E3177=F3177,"PASS","FAIL")</x:f>
        <x:v>PASS</x:v>
      </x:c>
    </x:row>
    <x:row r="3178" ht="18" customHeight="1">
      <x:c r="B3178" s="27" t="str">
        <x:v>A3172</x:v>
      </x:c>
      <x:c r="C3178" s="27" t="str">
        <x:v>rights</x:v>
      </x:c>
      <x:c r="D3178" s="27" t="str">
        <x:v>Rights row 65 zero credit</x:v>
      </x:c>
      <x:c r="E3178" s="27" t="n">
        <x:f>IF('Ancestry Rights'!J65=0,1,0)</x:f>
        <x:v>1</x:v>
      </x:c>
      <x:c r="F3178" s="27" t="n">
        <x:v>1</x:v>
      </x:c>
      <x:c r="G3178" s="29" t="str">
        <x:f>IF(E3178=F3178,"PASS","FAIL")</x:f>
        <x:v>PASS</x:v>
      </x:c>
    </x:row>
    <x:row r="3179" ht="18" customHeight="1">
      <x:c r="B3179" s="27" t="str">
        <x:v>A3173</x:v>
      </x:c>
      <x:c r="C3179" s="27" t="str">
        <x:v>rights</x:v>
      </x:c>
      <x:c r="D3179" s="27" t="str">
        <x:v>Rights row 66 required</x:v>
      </x:c>
      <x:c r="E3179" s="27" t="n">
        <x:f>IF('Ancestry Rights'!F66=1,1,0)</x:f>
        <x:v>1</x:v>
      </x:c>
      <x:c r="F3179" s="27" t="n">
        <x:v>1</x:v>
      </x:c>
      <x:c r="G3179" s="29" t="str">
        <x:f>IF(E3179=F3179,"PASS","FAIL")</x:f>
        <x:v>PASS</x:v>
      </x:c>
    </x:row>
    <x:row r="3180" ht="18" customHeight="1">
      <x:c r="B3180" s="27" t="str">
        <x:v>A3174</x:v>
      </x:c>
      <x:c r="C3180" s="27" t="str">
        <x:v>rights</x:v>
      </x:c>
      <x:c r="D3180" s="27" t="str">
        <x:v>Rights row 66 not accepted on paper</x:v>
      </x:c>
      <x:c r="E3180" s="27" t="n">
        <x:f>IF('Ancestry Rights'!G66=0,1,0)</x:f>
        <x:v>1</x:v>
      </x:c>
      <x:c r="F3180" s="27" t="n">
        <x:v>1</x:v>
      </x:c>
      <x:c r="G3180" s="29" t="str">
        <x:f>IF(E3180=F3180,"PASS","FAIL")</x:f>
        <x:v>PASS</x:v>
      </x:c>
    </x:row>
    <x:row r="3181" ht="18" customHeight="1">
      <x:c r="B3181" s="27" t="str">
        <x:v>A3175</x:v>
      </x:c>
      <x:c r="C3181" s="27" t="str">
        <x:v>rights</x:v>
      </x:c>
      <x:c r="D3181" s="27" t="str">
        <x:v>Rights row 66 authority present</x:v>
      </x:c>
      <x:c r="E3181" s="27" t="n">
        <x:f>IF('Ancestry Rights'!H66&lt;&gt;"",1,0)</x:f>
        <x:v>1</x:v>
      </x:c>
      <x:c r="F3181" s="27" t="n">
        <x:v>1</x:v>
      </x:c>
      <x:c r="G3181" s="29" t="str">
        <x:f>IF(E3181=F3181,"PASS","FAIL")</x:f>
        <x:v>PASS</x:v>
      </x:c>
    </x:row>
    <x:row r="3182" ht="18" customHeight="1">
      <x:c r="B3182" s="27" t="str">
        <x:v>A3176</x:v>
      </x:c>
      <x:c r="C3182" s="27" t="str">
        <x:v>rights</x:v>
      </x:c>
      <x:c r="D3182" s="27" t="str">
        <x:v>Rights row 66 evidence open</x:v>
      </x:c>
      <x:c r="E3182" s="27" t="n">
        <x:f>IF('Ancestry Rights'!I66="OPEN",1,0)</x:f>
        <x:v>1</x:v>
      </x:c>
      <x:c r="F3182" s="27" t="n">
        <x:v>1</x:v>
      </x:c>
      <x:c r="G3182" s="29" t="str">
        <x:f>IF(E3182=F3182,"PASS","FAIL")</x:f>
        <x:v>PASS</x:v>
      </x:c>
    </x:row>
    <x:row r="3183" ht="18" customHeight="1">
      <x:c r="B3183" s="27" t="str">
        <x:v>A3177</x:v>
      </x:c>
      <x:c r="C3183" s="27" t="str">
        <x:v>rights</x:v>
      </x:c>
      <x:c r="D3183" s="27" t="str">
        <x:v>Rights row 66 zero credit</x:v>
      </x:c>
      <x:c r="E3183" s="27" t="n">
        <x:f>IF('Ancestry Rights'!J66=0,1,0)</x:f>
        <x:v>1</x:v>
      </x:c>
      <x:c r="F3183" s="27" t="n">
        <x:v>1</x:v>
      </x:c>
      <x:c r="G3183" s="29" t="str">
        <x:f>IF(E3183=F3183,"PASS","FAIL")</x:f>
        <x:v>PASS</x:v>
      </x:c>
    </x:row>
    <x:row r="3184" ht="18" customHeight="1">
      <x:c r="B3184" s="27" t="str">
        <x:v>A3178</x:v>
      </x:c>
      <x:c r="C3184" s="27" t="str">
        <x:v>rights</x:v>
      </x:c>
      <x:c r="D3184" s="27" t="str">
        <x:v>Rights row 67 required</x:v>
      </x:c>
      <x:c r="E3184" s="27" t="n">
        <x:f>IF('Ancestry Rights'!F67=1,1,0)</x:f>
        <x:v>1</x:v>
      </x:c>
      <x:c r="F3184" s="27" t="n">
        <x:v>1</x:v>
      </x:c>
      <x:c r="G3184" s="29" t="str">
        <x:f>IF(E3184=F3184,"PASS","FAIL")</x:f>
        <x:v>PASS</x:v>
      </x:c>
    </x:row>
    <x:row r="3185" ht="18" customHeight="1">
      <x:c r="B3185" s="27" t="str">
        <x:v>A3179</x:v>
      </x:c>
      <x:c r="C3185" s="27" t="str">
        <x:v>rights</x:v>
      </x:c>
      <x:c r="D3185" s="27" t="str">
        <x:v>Rights row 67 not accepted on paper</x:v>
      </x:c>
      <x:c r="E3185" s="27" t="n">
        <x:f>IF('Ancestry Rights'!G67=0,1,0)</x:f>
        <x:v>1</x:v>
      </x:c>
      <x:c r="F3185" s="27" t="n">
        <x:v>1</x:v>
      </x:c>
      <x:c r="G3185" s="29" t="str">
        <x:f>IF(E3185=F3185,"PASS","FAIL")</x:f>
        <x:v>PASS</x:v>
      </x:c>
    </x:row>
    <x:row r="3186" ht="18" customHeight="1">
      <x:c r="B3186" s="27" t="str">
        <x:v>A3180</x:v>
      </x:c>
      <x:c r="C3186" s="27" t="str">
        <x:v>rights</x:v>
      </x:c>
      <x:c r="D3186" s="27" t="str">
        <x:v>Rights row 67 authority present</x:v>
      </x:c>
      <x:c r="E3186" s="27" t="n">
        <x:f>IF('Ancestry Rights'!H67&lt;&gt;"",1,0)</x:f>
        <x:v>1</x:v>
      </x:c>
      <x:c r="F3186" s="27" t="n">
        <x:v>1</x:v>
      </x:c>
      <x:c r="G3186" s="29" t="str">
        <x:f>IF(E3186=F3186,"PASS","FAIL")</x:f>
        <x:v>PASS</x:v>
      </x:c>
    </x:row>
    <x:row r="3187" ht="18" customHeight="1">
      <x:c r="B3187" s="27" t="str">
        <x:v>A3181</x:v>
      </x:c>
      <x:c r="C3187" s="27" t="str">
        <x:v>rights</x:v>
      </x:c>
      <x:c r="D3187" s="27" t="str">
        <x:v>Rights row 67 evidence open</x:v>
      </x:c>
      <x:c r="E3187" s="27" t="n">
        <x:f>IF('Ancestry Rights'!I67="OPEN",1,0)</x:f>
        <x:v>1</x:v>
      </x:c>
      <x:c r="F3187" s="27" t="n">
        <x:v>1</x:v>
      </x:c>
      <x:c r="G3187" s="29" t="str">
        <x:f>IF(E3187=F3187,"PASS","FAIL")</x:f>
        <x:v>PASS</x:v>
      </x:c>
    </x:row>
    <x:row r="3188" ht="18" customHeight="1">
      <x:c r="B3188" s="27" t="str">
        <x:v>A3182</x:v>
      </x:c>
      <x:c r="C3188" s="27" t="str">
        <x:v>rights</x:v>
      </x:c>
      <x:c r="D3188" s="27" t="str">
        <x:v>Rights row 67 zero credit</x:v>
      </x:c>
      <x:c r="E3188" s="27" t="n">
        <x:f>IF('Ancestry Rights'!J67=0,1,0)</x:f>
        <x:v>1</x:v>
      </x:c>
      <x:c r="F3188" s="27" t="n">
        <x:v>1</x:v>
      </x:c>
      <x:c r="G3188" s="29" t="str">
        <x:f>IF(E3188=F3188,"PASS","FAIL")</x:f>
        <x:v>PASS</x:v>
      </x:c>
    </x:row>
    <x:row r="3189" ht="18" customHeight="1">
      <x:c r="B3189" s="27" t="str">
        <x:v>A3183</x:v>
      </x:c>
      <x:c r="C3189" s="27" t="str">
        <x:v>rights</x:v>
      </x:c>
      <x:c r="D3189" s="27" t="str">
        <x:v>Rights row 68 required</x:v>
      </x:c>
      <x:c r="E3189" s="27" t="n">
        <x:f>IF('Ancestry Rights'!F68=1,1,0)</x:f>
        <x:v>1</x:v>
      </x:c>
      <x:c r="F3189" s="27" t="n">
        <x:v>1</x:v>
      </x:c>
      <x:c r="G3189" s="29" t="str">
        <x:f>IF(E3189=F3189,"PASS","FAIL")</x:f>
        <x:v>PASS</x:v>
      </x:c>
    </x:row>
    <x:row r="3190" ht="18" customHeight="1">
      <x:c r="B3190" s="27" t="str">
        <x:v>A3184</x:v>
      </x:c>
      <x:c r="C3190" s="27" t="str">
        <x:v>rights</x:v>
      </x:c>
      <x:c r="D3190" s="27" t="str">
        <x:v>Rights row 68 not accepted on paper</x:v>
      </x:c>
      <x:c r="E3190" s="27" t="n">
        <x:f>IF('Ancestry Rights'!G68=0,1,0)</x:f>
        <x:v>1</x:v>
      </x:c>
      <x:c r="F3190" s="27" t="n">
        <x:v>1</x:v>
      </x:c>
      <x:c r="G3190" s="29" t="str">
        <x:f>IF(E3190=F3190,"PASS","FAIL")</x:f>
        <x:v>PASS</x:v>
      </x:c>
    </x:row>
    <x:row r="3191" ht="18" customHeight="1">
      <x:c r="B3191" s="27" t="str">
        <x:v>A3185</x:v>
      </x:c>
      <x:c r="C3191" s="27" t="str">
        <x:v>rights</x:v>
      </x:c>
      <x:c r="D3191" s="27" t="str">
        <x:v>Rights row 68 authority present</x:v>
      </x:c>
      <x:c r="E3191" s="27" t="n">
        <x:f>IF('Ancestry Rights'!H68&lt;&gt;"",1,0)</x:f>
        <x:v>1</x:v>
      </x:c>
      <x:c r="F3191" s="27" t="n">
        <x:v>1</x:v>
      </x:c>
      <x:c r="G3191" s="29" t="str">
        <x:f>IF(E3191=F3191,"PASS","FAIL")</x:f>
        <x:v>PASS</x:v>
      </x:c>
    </x:row>
    <x:row r="3192" ht="18" customHeight="1">
      <x:c r="B3192" s="27" t="str">
        <x:v>A3186</x:v>
      </x:c>
      <x:c r="C3192" s="27" t="str">
        <x:v>rights</x:v>
      </x:c>
      <x:c r="D3192" s="27" t="str">
        <x:v>Rights row 68 evidence open</x:v>
      </x:c>
      <x:c r="E3192" s="27" t="n">
        <x:f>IF('Ancestry Rights'!I68="OPEN",1,0)</x:f>
        <x:v>1</x:v>
      </x:c>
      <x:c r="F3192" s="27" t="n">
        <x:v>1</x:v>
      </x:c>
      <x:c r="G3192" s="29" t="str">
        <x:f>IF(E3192=F3192,"PASS","FAIL")</x:f>
        <x:v>PASS</x:v>
      </x:c>
    </x:row>
    <x:row r="3193" ht="18" customHeight="1">
      <x:c r="B3193" s="27" t="str">
        <x:v>A3187</x:v>
      </x:c>
      <x:c r="C3193" s="27" t="str">
        <x:v>rights</x:v>
      </x:c>
      <x:c r="D3193" s="27" t="str">
        <x:v>Rights row 68 zero credit</x:v>
      </x:c>
      <x:c r="E3193" s="27" t="n">
        <x:f>IF('Ancestry Rights'!J68=0,1,0)</x:f>
        <x:v>1</x:v>
      </x:c>
      <x:c r="F3193" s="27" t="n">
        <x:v>1</x:v>
      </x:c>
      <x:c r="G3193" s="29" t="str">
        <x:f>IF(E3193=F3193,"PASS","FAIL")</x:f>
        <x:v>PASS</x:v>
      </x:c>
    </x:row>
    <x:row r="3194" ht="18" customHeight="1">
      <x:c r="B3194" s="27" t="str">
        <x:v>A3188</x:v>
      </x:c>
      <x:c r="C3194" s="27" t="str">
        <x:v>rights</x:v>
      </x:c>
      <x:c r="D3194" s="27" t="str">
        <x:v>Rights row 69 required</x:v>
      </x:c>
      <x:c r="E3194" s="27" t="n">
        <x:f>IF('Ancestry Rights'!F69=1,1,0)</x:f>
        <x:v>1</x:v>
      </x:c>
      <x:c r="F3194" s="27" t="n">
        <x:v>1</x:v>
      </x:c>
      <x:c r="G3194" s="29" t="str">
        <x:f>IF(E3194=F3194,"PASS","FAIL")</x:f>
        <x:v>PASS</x:v>
      </x:c>
    </x:row>
    <x:row r="3195" ht="18" customHeight="1">
      <x:c r="B3195" s="27" t="str">
        <x:v>A3189</x:v>
      </x:c>
      <x:c r="C3195" s="27" t="str">
        <x:v>rights</x:v>
      </x:c>
      <x:c r="D3195" s="27" t="str">
        <x:v>Rights row 69 not accepted on paper</x:v>
      </x:c>
      <x:c r="E3195" s="27" t="n">
        <x:f>IF('Ancestry Rights'!G69=0,1,0)</x:f>
        <x:v>1</x:v>
      </x:c>
      <x:c r="F3195" s="27" t="n">
        <x:v>1</x:v>
      </x:c>
      <x:c r="G3195" s="29" t="str">
        <x:f>IF(E3195=F3195,"PASS","FAIL")</x:f>
        <x:v>PASS</x:v>
      </x:c>
    </x:row>
    <x:row r="3196" ht="18" customHeight="1">
      <x:c r="B3196" s="27" t="str">
        <x:v>A3190</x:v>
      </x:c>
      <x:c r="C3196" s="27" t="str">
        <x:v>rights</x:v>
      </x:c>
      <x:c r="D3196" s="27" t="str">
        <x:v>Rights row 69 authority present</x:v>
      </x:c>
      <x:c r="E3196" s="27" t="n">
        <x:f>IF('Ancestry Rights'!H69&lt;&gt;"",1,0)</x:f>
        <x:v>1</x:v>
      </x:c>
      <x:c r="F3196" s="27" t="n">
        <x:v>1</x:v>
      </x:c>
      <x:c r="G3196" s="29" t="str">
        <x:f>IF(E3196=F3196,"PASS","FAIL")</x:f>
        <x:v>PASS</x:v>
      </x:c>
    </x:row>
    <x:row r="3197" ht="18" customHeight="1">
      <x:c r="B3197" s="27" t="str">
        <x:v>A3191</x:v>
      </x:c>
      <x:c r="C3197" s="27" t="str">
        <x:v>rights</x:v>
      </x:c>
      <x:c r="D3197" s="27" t="str">
        <x:v>Rights row 69 evidence open</x:v>
      </x:c>
      <x:c r="E3197" s="27" t="n">
        <x:f>IF('Ancestry Rights'!I69="OPEN",1,0)</x:f>
        <x:v>1</x:v>
      </x:c>
      <x:c r="F3197" s="27" t="n">
        <x:v>1</x:v>
      </x:c>
      <x:c r="G3197" s="29" t="str">
        <x:f>IF(E3197=F3197,"PASS","FAIL")</x:f>
        <x:v>PASS</x:v>
      </x:c>
    </x:row>
    <x:row r="3198" ht="18" customHeight="1">
      <x:c r="B3198" s="27" t="str">
        <x:v>A3192</x:v>
      </x:c>
      <x:c r="C3198" s="27" t="str">
        <x:v>rights</x:v>
      </x:c>
      <x:c r="D3198" s="27" t="str">
        <x:v>Rights row 69 zero credit</x:v>
      </x:c>
      <x:c r="E3198" s="27" t="n">
        <x:f>IF('Ancestry Rights'!J69=0,1,0)</x:f>
        <x:v>1</x:v>
      </x:c>
      <x:c r="F3198" s="27" t="n">
        <x:v>1</x:v>
      </x:c>
      <x:c r="G3198" s="29" t="str">
        <x:f>IF(E3198=F3198,"PASS","FAIL")</x:f>
        <x:v>PASS</x:v>
      </x:c>
    </x:row>
    <x:row r="3199" ht="18" customHeight="1">
      <x:c r="B3199" s="27" t="str">
        <x:v>A3193</x:v>
      </x:c>
      <x:c r="C3199" s="27" t="str">
        <x:v>rights</x:v>
      </x:c>
      <x:c r="D3199" s="27" t="str">
        <x:v>Rights row 70 required</x:v>
      </x:c>
      <x:c r="E3199" s="27" t="n">
        <x:f>IF('Ancestry Rights'!F70=1,1,0)</x:f>
        <x:v>1</x:v>
      </x:c>
      <x:c r="F3199" s="27" t="n">
        <x:v>1</x:v>
      </x:c>
      <x:c r="G3199" s="29" t="str">
        <x:f>IF(E3199=F3199,"PASS","FAIL")</x:f>
        <x:v>PASS</x:v>
      </x:c>
    </x:row>
    <x:row r="3200" ht="18" customHeight="1">
      <x:c r="B3200" s="27" t="str">
        <x:v>A3194</x:v>
      </x:c>
      <x:c r="C3200" s="27" t="str">
        <x:v>rights</x:v>
      </x:c>
      <x:c r="D3200" s="27" t="str">
        <x:v>Rights row 70 not accepted on paper</x:v>
      </x:c>
      <x:c r="E3200" s="27" t="n">
        <x:f>IF('Ancestry Rights'!G70=0,1,0)</x:f>
        <x:v>1</x:v>
      </x:c>
      <x:c r="F3200" s="27" t="n">
        <x:v>1</x:v>
      </x:c>
      <x:c r="G3200" s="29" t="str">
        <x:f>IF(E3200=F3200,"PASS","FAIL")</x:f>
        <x:v>PASS</x:v>
      </x:c>
    </x:row>
    <x:row r="3201" ht="18" customHeight="1">
      <x:c r="B3201" s="27" t="str">
        <x:v>A3195</x:v>
      </x:c>
      <x:c r="C3201" s="27" t="str">
        <x:v>rights</x:v>
      </x:c>
      <x:c r="D3201" s="27" t="str">
        <x:v>Rights row 70 authority present</x:v>
      </x:c>
      <x:c r="E3201" s="27" t="n">
        <x:f>IF('Ancestry Rights'!H70&lt;&gt;"",1,0)</x:f>
        <x:v>1</x:v>
      </x:c>
      <x:c r="F3201" s="27" t="n">
        <x:v>1</x:v>
      </x:c>
      <x:c r="G3201" s="29" t="str">
        <x:f>IF(E3201=F3201,"PASS","FAIL")</x:f>
        <x:v>PASS</x:v>
      </x:c>
    </x:row>
    <x:row r="3202" ht="18" customHeight="1">
      <x:c r="B3202" s="27" t="str">
        <x:v>A3196</x:v>
      </x:c>
      <x:c r="C3202" s="27" t="str">
        <x:v>rights</x:v>
      </x:c>
      <x:c r="D3202" s="27" t="str">
        <x:v>Rights row 70 evidence open</x:v>
      </x:c>
      <x:c r="E3202" s="27" t="n">
        <x:f>IF('Ancestry Rights'!I70="OPEN",1,0)</x:f>
        <x:v>1</x:v>
      </x:c>
      <x:c r="F3202" s="27" t="n">
        <x:v>1</x:v>
      </x:c>
      <x:c r="G3202" s="29" t="str">
        <x:f>IF(E3202=F3202,"PASS","FAIL")</x:f>
        <x:v>PASS</x:v>
      </x:c>
    </x:row>
    <x:row r="3203" ht="18" customHeight="1">
      <x:c r="B3203" s="27" t="str">
        <x:v>A3197</x:v>
      </x:c>
      <x:c r="C3203" s="27" t="str">
        <x:v>rights</x:v>
      </x:c>
      <x:c r="D3203" s="27" t="str">
        <x:v>Rights row 70 zero credit</x:v>
      </x:c>
      <x:c r="E3203" s="27" t="n">
        <x:f>IF('Ancestry Rights'!J70=0,1,0)</x:f>
        <x:v>1</x:v>
      </x:c>
      <x:c r="F3203" s="27" t="n">
        <x:v>1</x:v>
      </x:c>
      <x:c r="G3203" s="29" t="str">
        <x:f>IF(E3203=F3203,"PASS","FAIL")</x:f>
        <x:v>PASS</x:v>
      </x:c>
    </x:row>
    <x:row r="3204" ht="18" customHeight="1">
      <x:c r="B3204" s="27" t="str">
        <x:v>A3198</x:v>
      </x:c>
      <x:c r="C3204" s="27" t="str">
        <x:v>rights</x:v>
      </x:c>
      <x:c r="D3204" s="27" t="str">
        <x:v>Rights row 71 required</x:v>
      </x:c>
      <x:c r="E3204" s="27" t="n">
        <x:f>IF('Ancestry Rights'!F71=1,1,0)</x:f>
        <x:v>1</x:v>
      </x:c>
      <x:c r="F3204" s="27" t="n">
        <x:v>1</x:v>
      </x:c>
      <x:c r="G3204" s="29" t="str">
        <x:f>IF(E3204=F3204,"PASS","FAIL")</x:f>
        <x:v>PASS</x:v>
      </x:c>
    </x:row>
    <x:row r="3205" ht="18" customHeight="1">
      <x:c r="B3205" s="27" t="str">
        <x:v>A3199</x:v>
      </x:c>
      <x:c r="C3205" s="27" t="str">
        <x:v>rights</x:v>
      </x:c>
      <x:c r="D3205" s="27" t="str">
        <x:v>Rights row 71 not accepted on paper</x:v>
      </x:c>
      <x:c r="E3205" s="27" t="n">
        <x:f>IF('Ancestry Rights'!G71=0,1,0)</x:f>
        <x:v>1</x:v>
      </x:c>
      <x:c r="F3205" s="27" t="n">
        <x:v>1</x:v>
      </x:c>
      <x:c r="G3205" s="29" t="str">
        <x:f>IF(E3205=F3205,"PASS","FAIL")</x:f>
        <x:v>PASS</x:v>
      </x:c>
    </x:row>
    <x:row r="3206" ht="18" customHeight="1">
      <x:c r="B3206" s="27" t="str">
        <x:v>A3200</x:v>
      </x:c>
      <x:c r="C3206" s="27" t="str">
        <x:v>rights</x:v>
      </x:c>
      <x:c r="D3206" s="27" t="str">
        <x:v>Rights row 71 authority present</x:v>
      </x:c>
      <x:c r="E3206" s="27" t="n">
        <x:f>IF('Ancestry Rights'!H71&lt;&gt;"",1,0)</x:f>
        <x:v>1</x:v>
      </x:c>
      <x:c r="F3206" s="27" t="n">
        <x:v>1</x:v>
      </x:c>
      <x:c r="G3206" s="29" t="str">
        <x:f>IF(E3206=F3206,"PASS","FAIL")</x:f>
        <x:v>PASS</x:v>
      </x:c>
    </x:row>
    <x:row r="3207" ht="18" customHeight="1">
      <x:c r="B3207" s="27" t="str">
        <x:v>A3201</x:v>
      </x:c>
      <x:c r="C3207" s="27" t="str">
        <x:v>rights</x:v>
      </x:c>
      <x:c r="D3207" s="27" t="str">
        <x:v>Rights row 71 evidence open</x:v>
      </x:c>
      <x:c r="E3207" s="27" t="n">
        <x:f>IF('Ancestry Rights'!I71="OPEN",1,0)</x:f>
        <x:v>1</x:v>
      </x:c>
      <x:c r="F3207" s="27" t="n">
        <x:v>1</x:v>
      </x:c>
      <x:c r="G3207" s="29" t="str">
        <x:f>IF(E3207=F3207,"PASS","FAIL")</x:f>
        <x:v>PASS</x:v>
      </x:c>
    </x:row>
    <x:row r="3208" ht="18" customHeight="1">
      <x:c r="B3208" s="27" t="str">
        <x:v>A3202</x:v>
      </x:c>
      <x:c r="C3208" s="27" t="str">
        <x:v>rights</x:v>
      </x:c>
      <x:c r="D3208" s="27" t="str">
        <x:v>Rights row 71 zero credit</x:v>
      </x:c>
      <x:c r="E3208" s="27" t="n">
        <x:f>IF('Ancestry Rights'!J71=0,1,0)</x:f>
        <x:v>1</x:v>
      </x:c>
      <x:c r="F3208" s="27" t="n">
        <x:v>1</x:v>
      </x:c>
      <x:c r="G3208" s="29" t="str">
        <x:f>IF(E3208=F3208,"PASS","FAIL")</x:f>
        <x:v>PASS</x:v>
      </x:c>
    </x:row>
    <x:row r="3209" ht="18" customHeight="1">
      <x:c r="B3209" s="27" t="str">
        <x:v>A3203</x:v>
      </x:c>
      <x:c r="C3209" s="27" t="str">
        <x:v>rights</x:v>
      </x:c>
      <x:c r="D3209" s="27" t="str">
        <x:v>Rights row 72 required</x:v>
      </x:c>
      <x:c r="E3209" s="27" t="n">
        <x:f>IF('Ancestry Rights'!F72=1,1,0)</x:f>
        <x:v>1</x:v>
      </x:c>
      <x:c r="F3209" s="27" t="n">
        <x:v>1</x:v>
      </x:c>
      <x:c r="G3209" s="29" t="str">
        <x:f>IF(E3209=F3209,"PASS","FAIL")</x:f>
        <x:v>PASS</x:v>
      </x:c>
    </x:row>
    <x:row r="3210" ht="18" customHeight="1">
      <x:c r="B3210" s="27" t="str">
        <x:v>A3204</x:v>
      </x:c>
      <x:c r="C3210" s="27" t="str">
        <x:v>rights</x:v>
      </x:c>
      <x:c r="D3210" s="27" t="str">
        <x:v>Rights row 72 not accepted on paper</x:v>
      </x:c>
      <x:c r="E3210" s="27" t="n">
        <x:f>IF('Ancestry Rights'!G72=0,1,0)</x:f>
        <x:v>1</x:v>
      </x:c>
      <x:c r="F3210" s="27" t="n">
        <x:v>1</x:v>
      </x:c>
      <x:c r="G3210" s="29" t="str">
        <x:f>IF(E3210=F3210,"PASS","FAIL")</x:f>
        <x:v>PASS</x:v>
      </x:c>
    </x:row>
    <x:row r="3211" ht="18" customHeight="1">
      <x:c r="B3211" s="27" t="str">
        <x:v>A3205</x:v>
      </x:c>
      <x:c r="C3211" s="27" t="str">
        <x:v>rights</x:v>
      </x:c>
      <x:c r="D3211" s="27" t="str">
        <x:v>Rights row 72 authority present</x:v>
      </x:c>
      <x:c r="E3211" s="27" t="n">
        <x:f>IF('Ancestry Rights'!H72&lt;&gt;"",1,0)</x:f>
        <x:v>1</x:v>
      </x:c>
      <x:c r="F3211" s="27" t="n">
        <x:v>1</x:v>
      </x:c>
      <x:c r="G3211" s="29" t="str">
        <x:f>IF(E3211=F3211,"PASS","FAIL")</x:f>
        <x:v>PASS</x:v>
      </x:c>
    </x:row>
    <x:row r="3212" ht="18" customHeight="1">
      <x:c r="B3212" s="27" t="str">
        <x:v>A3206</x:v>
      </x:c>
      <x:c r="C3212" s="27" t="str">
        <x:v>rights</x:v>
      </x:c>
      <x:c r="D3212" s="27" t="str">
        <x:v>Rights row 72 evidence open</x:v>
      </x:c>
      <x:c r="E3212" s="27" t="n">
        <x:f>IF('Ancestry Rights'!I72="OPEN",1,0)</x:f>
        <x:v>1</x:v>
      </x:c>
      <x:c r="F3212" s="27" t="n">
        <x:v>1</x:v>
      </x:c>
      <x:c r="G3212" s="29" t="str">
        <x:f>IF(E3212=F3212,"PASS","FAIL")</x:f>
        <x:v>PASS</x:v>
      </x:c>
    </x:row>
    <x:row r="3213" ht="18" customHeight="1">
      <x:c r="B3213" s="27" t="str">
        <x:v>A3207</x:v>
      </x:c>
      <x:c r="C3213" s="27" t="str">
        <x:v>rights</x:v>
      </x:c>
      <x:c r="D3213" s="27" t="str">
        <x:v>Rights row 72 zero credit</x:v>
      </x:c>
      <x:c r="E3213" s="27" t="n">
        <x:f>IF('Ancestry Rights'!J72=0,1,0)</x:f>
        <x:v>1</x:v>
      </x:c>
      <x:c r="F3213" s="27" t="n">
        <x:v>1</x:v>
      </x:c>
      <x:c r="G3213" s="29" t="str">
        <x:f>IF(E3213=F3213,"PASS","FAIL")</x:f>
        <x:v>PASS</x:v>
      </x:c>
    </x:row>
    <x:row r="3214" ht="18" customHeight="1">
      <x:c r="B3214" s="27" t="str">
        <x:v>A3208</x:v>
      </x:c>
      <x:c r="C3214" s="27" t="str">
        <x:v>rights</x:v>
      </x:c>
      <x:c r="D3214" s="27" t="str">
        <x:v>Rights row 73 required</x:v>
      </x:c>
      <x:c r="E3214" s="27" t="n">
        <x:f>IF('Ancestry Rights'!F73=1,1,0)</x:f>
        <x:v>1</x:v>
      </x:c>
      <x:c r="F3214" s="27" t="n">
        <x:v>1</x:v>
      </x:c>
      <x:c r="G3214" s="29" t="str">
        <x:f>IF(E3214=F3214,"PASS","FAIL")</x:f>
        <x:v>PASS</x:v>
      </x:c>
    </x:row>
    <x:row r="3215" ht="18" customHeight="1">
      <x:c r="B3215" s="27" t="str">
        <x:v>A3209</x:v>
      </x:c>
      <x:c r="C3215" s="27" t="str">
        <x:v>rights</x:v>
      </x:c>
      <x:c r="D3215" s="27" t="str">
        <x:v>Rights row 73 not accepted on paper</x:v>
      </x:c>
      <x:c r="E3215" s="27" t="n">
        <x:f>IF('Ancestry Rights'!G73=0,1,0)</x:f>
        <x:v>1</x:v>
      </x:c>
      <x:c r="F3215" s="27" t="n">
        <x:v>1</x:v>
      </x:c>
      <x:c r="G3215" s="29" t="str">
        <x:f>IF(E3215=F3215,"PASS","FAIL")</x:f>
        <x:v>PASS</x:v>
      </x:c>
    </x:row>
    <x:row r="3216" ht="18" customHeight="1">
      <x:c r="B3216" s="27" t="str">
        <x:v>A3210</x:v>
      </x:c>
      <x:c r="C3216" s="27" t="str">
        <x:v>rights</x:v>
      </x:c>
      <x:c r="D3216" s="27" t="str">
        <x:v>Rights row 73 authority present</x:v>
      </x:c>
      <x:c r="E3216" s="27" t="n">
        <x:f>IF('Ancestry Rights'!H73&lt;&gt;"",1,0)</x:f>
        <x:v>1</x:v>
      </x:c>
      <x:c r="F3216" s="27" t="n">
        <x:v>1</x:v>
      </x:c>
      <x:c r="G3216" s="29" t="str">
        <x:f>IF(E3216=F3216,"PASS","FAIL")</x:f>
        <x:v>PASS</x:v>
      </x:c>
    </x:row>
    <x:row r="3217" ht="18" customHeight="1">
      <x:c r="B3217" s="27" t="str">
        <x:v>A3211</x:v>
      </x:c>
      <x:c r="C3217" s="27" t="str">
        <x:v>rights</x:v>
      </x:c>
      <x:c r="D3217" s="27" t="str">
        <x:v>Rights row 73 evidence open</x:v>
      </x:c>
      <x:c r="E3217" s="27" t="n">
        <x:f>IF('Ancestry Rights'!I73="OPEN",1,0)</x:f>
        <x:v>1</x:v>
      </x:c>
      <x:c r="F3217" s="27" t="n">
        <x:v>1</x:v>
      </x:c>
      <x:c r="G3217" s="29" t="str">
        <x:f>IF(E3217=F3217,"PASS","FAIL")</x:f>
        <x:v>PASS</x:v>
      </x:c>
    </x:row>
    <x:row r="3218" ht="18" customHeight="1">
      <x:c r="B3218" s="27" t="str">
        <x:v>A3212</x:v>
      </x:c>
      <x:c r="C3218" s="27" t="str">
        <x:v>rights</x:v>
      </x:c>
      <x:c r="D3218" s="27" t="str">
        <x:v>Rights row 73 zero credit</x:v>
      </x:c>
      <x:c r="E3218" s="27" t="n">
        <x:f>IF('Ancestry Rights'!J73=0,1,0)</x:f>
        <x:v>1</x:v>
      </x:c>
      <x:c r="F3218" s="27" t="n">
        <x:v>1</x:v>
      </x:c>
      <x:c r="G3218" s="29" t="str">
        <x:f>IF(E3218=F3218,"PASS","FAIL")</x:f>
        <x:v>PASS</x:v>
      </x:c>
    </x:row>
    <x:row r="3219" ht="18" customHeight="1">
      <x:c r="B3219" s="27" t="str">
        <x:v>A3213</x:v>
      </x:c>
      <x:c r="C3219" s="27" t="str">
        <x:v>rights</x:v>
      </x:c>
      <x:c r="D3219" s="27" t="str">
        <x:v>Rights row 74 required</x:v>
      </x:c>
      <x:c r="E3219" s="27" t="n">
        <x:f>IF('Ancestry Rights'!F74=1,1,0)</x:f>
        <x:v>1</x:v>
      </x:c>
      <x:c r="F3219" s="27" t="n">
        <x:v>1</x:v>
      </x:c>
      <x:c r="G3219" s="29" t="str">
        <x:f>IF(E3219=F3219,"PASS","FAIL")</x:f>
        <x:v>PASS</x:v>
      </x:c>
    </x:row>
    <x:row r="3220" ht="18" customHeight="1">
      <x:c r="B3220" s="27" t="str">
        <x:v>A3214</x:v>
      </x:c>
      <x:c r="C3220" s="27" t="str">
        <x:v>rights</x:v>
      </x:c>
      <x:c r="D3220" s="27" t="str">
        <x:v>Rights row 74 not accepted on paper</x:v>
      </x:c>
      <x:c r="E3220" s="27" t="n">
        <x:f>IF('Ancestry Rights'!G74=0,1,0)</x:f>
        <x:v>1</x:v>
      </x:c>
      <x:c r="F3220" s="27" t="n">
        <x:v>1</x:v>
      </x:c>
      <x:c r="G3220" s="29" t="str">
        <x:f>IF(E3220=F3220,"PASS","FAIL")</x:f>
        <x:v>PASS</x:v>
      </x:c>
    </x:row>
    <x:row r="3221" ht="18" customHeight="1">
      <x:c r="B3221" s="27" t="str">
        <x:v>A3215</x:v>
      </x:c>
      <x:c r="C3221" s="27" t="str">
        <x:v>rights</x:v>
      </x:c>
      <x:c r="D3221" s="27" t="str">
        <x:v>Rights row 74 authority present</x:v>
      </x:c>
      <x:c r="E3221" s="27" t="n">
        <x:f>IF('Ancestry Rights'!H74&lt;&gt;"",1,0)</x:f>
        <x:v>1</x:v>
      </x:c>
      <x:c r="F3221" s="27" t="n">
        <x:v>1</x:v>
      </x:c>
      <x:c r="G3221" s="29" t="str">
        <x:f>IF(E3221=F3221,"PASS","FAIL")</x:f>
        <x:v>PASS</x:v>
      </x:c>
    </x:row>
    <x:row r="3222" ht="18" customHeight="1">
      <x:c r="B3222" s="27" t="str">
        <x:v>A3216</x:v>
      </x:c>
      <x:c r="C3222" s="27" t="str">
        <x:v>rights</x:v>
      </x:c>
      <x:c r="D3222" s="27" t="str">
        <x:v>Rights row 74 evidence open</x:v>
      </x:c>
      <x:c r="E3222" s="27" t="n">
        <x:f>IF('Ancestry Rights'!I74="OPEN",1,0)</x:f>
        <x:v>1</x:v>
      </x:c>
      <x:c r="F3222" s="27" t="n">
        <x:v>1</x:v>
      </x:c>
      <x:c r="G3222" s="29" t="str">
        <x:f>IF(E3222=F3222,"PASS","FAIL")</x:f>
        <x:v>PASS</x:v>
      </x:c>
    </x:row>
    <x:row r="3223" ht="18" customHeight="1">
      <x:c r="B3223" s="27" t="str">
        <x:v>A3217</x:v>
      </x:c>
      <x:c r="C3223" s="27" t="str">
        <x:v>rights</x:v>
      </x:c>
      <x:c r="D3223" s="27" t="str">
        <x:v>Rights row 74 zero credit</x:v>
      </x:c>
      <x:c r="E3223" s="27" t="n">
        <x:f>IF('Ancestry Rights'!J74=0,1,0)</x:f>
        <x:v>1</x:v>
      </x:c>
      <x:c r="F3223" s="27" t="n">
        <x:v>1</x:v>
      </x:c>
      <x:c r="G3223" s="29" t="str">
        <x:f>IF(E3223=F3223,"PASS","FAIL")</x:f>
        <x:v>PASS</x:v>
      </x:c>
    </x:row>
    <x:row r="3224" ht="18" customHeight="1">
      <x:c r="B3224" s="27" t="str">
        <x:v>A3218</x:v>
      </x:c>
      <x:c r="C3224" s="27" t="str">
        <x:v>rights</x:v>
      </x:c>
      <x:c r="D3224" s="27" t="str">
        <x:v>Rights row 75 required</x:v>
      </x:c>
      <x:c r="E3224" s="27" t="n">
        <x:f>IF('Ancestry Rights'!F75=1,1,0)</x:f>
        <x:v>1</x:v>
      </x:c>
      <x:c r="F3224" s="27" t="n">
        <x:v>1</x:v>
      </x:c>
      <x:c r="G3224" s="29" t="str">
        <x:f>IF(E3224=F3224,"PASS","FAIL")</x:f>
        <x:v>PASS</x:v>
      </x:c>
    </x:row>
    <x:row r="3225" ht="18" customHeight="1">
      <x:c r="B3225" s="27" t="str">
        <x:v>A3219</x:v>
      </x:c>
      <x:c r="C3225" s="27" t="str">
        <x:v>rights</x:v>
      </x:c>
      <x:c r="D3225" s="27" t="str">
        <x:v>Rights row 75 not accepted on paper</x:v>
      </x:c>
      <x:c r="E3225" s="27" t="n">
        <x:f>IF('Ancestry Rights'!G75=0,1,0)</x:f>
        <x:v>1</x:v>
      </x:c>
      <x:c r="F3225" s="27" t="n">
        <x:v>1</x:v>
      </x:c>
      <x:c r="G3225" s="29" t="str">
        <x:f>IF(E3225=F3225,"PASS","FAIL")</x:f>
        <x:v>PASS</x:v>
      </x:c>
    </x:row>
    <x:row r="3226" ht="18" customHeight="1">
      <x:c r="B3226" s="27" t="str">
        <x:v>A3220</x:v>
      </x:c>
      <x:c r="C3226" s="27" t="str">
        <x:v>rights</x:v>
      </x:c>
      <x:c r="D3226" s="27" t="str">
        <x:v>Rights row 75 authority present</x:v>
      </x:c>
      <x:c r="E3226" s="27" t="n">
        <x:f>IF('Ancestry Rights'!H75&lt;&gt;"",1,0)</x:f>
        <x:v>1</x:v>
      </x:c>
      <x:c r="F3226" s="27" t="n">
        <x:v>1</x:v>
      </x:c>
      <x:c r="G3226" s="29" t="str">
        <x:f>IF(E3226=F3226,"PASS","FAIL")</x:f>
        <x:v>PASS</x:v>
      </x:c>
    </x:row>
    <x:row r="3227" ht="18" customHeight="1">
      <x:c r="B3227" s="27" t="str">
        <x:v>A3221</x:v>
      </x:c>
      <x:c r="C3227" s="27" t="str">
        <x:v>rights</x:v>
      </x:c>
      <x:c r="D3227" s="27" t="str">
        <x:v>Rights row 75 evidence open</x:v>
      </x:c>
      <x:c r="E3227" s="27" t="n">
        <x:f>IF('Ancestry Rights'!I75="OPEN",1,0)</x:f>
        <x:v>1</x:v>
      </x:c>
      <x:c r="F3227" s="27" t="n">
        <x:v>1</x:v>
      </x:c>
      <x:c r="G3227" s="29" t="str">
        <x:f>IF(E3227=F3227,"PASS","FAIL")</x:f>
        <x:v>PASS</x:v>
      </x:c>
    </x:row>
    <x:row r="3228" ht="18" customHeight="1">
      <x:c r="B3228" s="27" t="str">
        <x:v>A3222</x:v>
      </x:c>
      <x:c r="C3228" s="27" t="str">
        <x:v>rights</x:v>
      </x:c>
      <x:c r="D3228" s="27" t="str">
        <x:v>Rights row 75 zero credit</x:v>
      </x:c>
      <x:c r="E3228" s="27" t="n">
        <x:f>IF('Ancestry Rights'!J75=0,1,0)</x:f>
        <x:v>1</x:v>
      </x:c>
      <x:c r="F3228" s="27" t="n">
        <x:v>1</x:v>
      </x:c>
      <x:c r="G3228" s="29" t="str">
        <x:f>IF(E3228=F3228,"PASS","FAIL")</x:f>
        <x:v>PASS</x:v>
      </x:c>
    </x:row>
    <x:row r="3229" ht="18" customHeight="1">
      <x:c r="B3229" s="27" t="str">
        <x:v>A3223</x:v>
      </x:c>
      <x:c r="C3229" s="27" t="str">
        <x:v>rights</x:v>
      </x:c>
      <x:c r="D3229" s="27" t="str">
        <x:v>Rights row 76 required</x:v>
      </x:c>
      <x:c r="E3229" s="27" t="n">
        <x:f>IF('Ancestry Rights'!F76=1,1,0)</x:f>
        <x:v>1</x:v>
      </x:c>
      <x:c r="F3229" s="27" t="n">
        <x:v>1</x:v>
      </x:c>
      <x:c r="G3229" s="29" t="str">
        <x:f>IF(E3229=F3229,"PASS","FAIL")</x:f>
        <x:v>PASS</x:v>
      </x:c>
    </x:row>
    <x:row r="3230" ht="18" customHeight="1">
      <x:c r="B3230" s="27" t="str">
        <x:v>A3224</x:v>
      </x:c>
      <x:c r="C3230" s="27" t="str">
        <x:v>rights</x:v>
      </x:c>
      <x:c r="D3230" s="27" t="str">
        <x:v>Rights row 76 not accepted on paper</x:v>
      </x:c>
      <x:c r="E3230" s="27" t="n">
        <x:f>IF('Ancestry Rights'!G76=0,1,0)</x:f>
        <x:v>1</x:v>
      </x:c>
      <x:c r="F3230" s="27" t="n">
        <x:v>1</x:v>
      </x:c>
      <x:c r="G3230" s="29" t="str">
        <x:f>IF(E3230=F3230,"PASS","FAIL")</x:f>
        <x:v>PASS</x:v>
      </x:c>
    </x:row>
    <x:row r="3231" ht="18" customHeight="1">
      <x:c r="B3231" s="27" t="str">
        <x:v>A3225</x:v>
      </x:c>
      <x:c r="C3231" s="27" t="str">
        <x:v>rights</x:v>
      </x:c>
      <x:c r="D3231" s="27" t="str">
        <x:v>Rights row 76 authority present</x:v>
      </x:c>
      <x:c r="E3231" s="27" t="n">
        <x:f>IF('Ancestry Rights'!H76&lt;&gt;"",1,0)</x:f>
        <x:v>1</x:v>
      </x:c>
      <x:c r="F3231" s="27" t="n">
        <x:v>1</x:v>
      </x:c>
      <x:c r="G3231" s="29" t="str">
        <x:f>IF(E3231=F3231,"PASS","FAIL")</x:f>
        <x:v>PASS</x:v>
      </x:c>
    </x:row>
    <x:row r="3232" ht="18" customHeight="1">
      <x:c r="B3232" s="27" t="str">
        <x:v>A3226</x:v>
      </x:c>
      <x:c r="C3232" s="27" t="str">
        <x:v>rights</x:v>
      </x:c>
      <x:c r="D3232" s="27" t="str">
        <x:v>Rights row 76 evidence open</x:v>
      </x:c>
      <x:c r="E3232" s="27" t="n">
        <x:f>IF('Ancestry Rights'!I76="OPEN",1,0)</x:f>
        <x:v>1</x:v>
      </x:c>
      <x:c r="F3232" s="27" t="n">
        <x:v>1</x:v>
      </x:c>
      <x:c r="G3232" s="29" t="str">
        <x:f>IF(E3232=F3232,"PASS","FAIL")</x:f>
        <x:v>PASS</x:v>
      </x:c>
    </x:row>
    <x:row r="3233" ht="18" customHeight="1">
      <x:c r="B3233" s="27" t="str">
        <x:v>A3227</x:v>
      </x:c>
      <x:c r="C3233" s="27" t="str">
        <x:v>rights</x:v>
      </x:c>
      <x:c r="D3233" s="27" t="str">
        <x:v>Rights row 76 zero credit</x:v>
      </x:c>
      <x:c r="E3233" s="27" t="n">
        <x:f>IF('Ancestry Rights'!J76=0,1,0)</x:f>
        <x:v>1</x:v>
      </x:c>
      <x:c r="F3233" s="27" t="n">
        <x:v>1</x:v>
      </x:c>
      <x:c r="G3233" s="29" t="str">
        <x:f>IF(E3233=F3233,"PASS","FAIL")</x:f>
        <x:v>PASS</x:v>
      </x:c>
    </x:row>
    <x:row r="3234" ht="18" customHeight="1">
      <x:c r="B3234" s="27" t="str">
        <x:v>A3228</x:v>
      </x:c>
      <x:c r="C3234" s="27" t="str">
        <x:v>rights</x:v>
      </x:c>
      <x:c r="D3234" s="27" t="str">
        <x:v>Rights row 77 required</x:v>
      </x:c>
      <x:c r="E3234" s="27" t="n">
        <x:f>IF('Ancestry Rights'!F77=1,1,0)</x:f>
        <x:v>1</x:v>
      </x:c>
      <x:c r="F3234" s="27" t="n">
        <x:v>1</x:v>
      </x:c>
      <x:c r="G3234" s="29" t="str">
        <x:f>IF(E3234=F3234,"PASS","FAIL")</x:f>
        <x:v>PASS</x:v>
      </x:c>
    </x:row>
    <x:row r="3235" ht="18" customHeight="1">
      <x:c r="B3235" s="27" t="str">
        <x:v>A3229</x:v>
      </x:c>
      <x:c r="C3235" s="27" t="str">
        <x:v>rights</x:v>
      </x:c>
      <x:c r="D3235" s="27" t="str">
        <x:v>Rights row 77 not accepted on paper</x:v>
      </x:c>
      <x:c r="E3235" s="27" t="n">
        <x:f>IF('Ancestry Rights'!G77=0,1,0)</x:f>
        <x:v>1</x:v>
      </x:c>
      <x:c r="F3235" s="27" t="n">
        <x:v>1</x:v>
      </x:c>
      <x:c r="G3235" s="29" t="str">
        <x:f>IF(E3235=F3235,"PASS","FAIL")</x:f>
        <x:v>PASS</x:v>
      </x:c>
    </x:row>
    <x:row r="3236" ht="18" customHeight="1">
      <x:c r="B3236" s="27" t="str">
        <x:v>A3230</x:v>
      </x:c>
      <x:c r="C3236" s="27" t="str">
        <x:v>rights</x:v>
      </x:c>
      <x:c r="D3236" s="27" t="str">
        <x:v>Rights row 77 authority present</x:v>
      </x:c>
      <x:c r="E3236" s="27" t="n">
        <x:f>IF('Ancestry Rights'!H77&lt;&gt;"",1,0)</x:f>
        <x:v>1</x:v>
      </x:c>
      <x:c r="F3236" s="27" t="n">
        <x:v>1</x:v>
      </x:c>
      <x:c r="G3236" s="29" t="str">
        <x:f>IF(E3236=F3236,"PASS","FAIL")</x:f>
        <x:v>PASS</x:v>
      </x:c>
    </x:row>
    <x:row r="3237" ht="18" customHeight="1">
      <x:c r="B3237" s="27" t="str">
        <x:v>A3231</x:v>
      </x:c>
      <x:c r="C3237" s="27" t="str">
        <x:v>rights</x:v>
      </x:c>
      <x:c r="D3237" s="27" t="str">
        <x:v>Rights row 77 evidence open</x:v>
      </x:c>
      <x:c r="E3237" s="27" t="n">
        <x:f>IF('Ancestry Rights'!I77="OPEN",1,0)</x:f>
        <x:v>1</x:v>
      </x:c>
      <x:c r="F3237" s="27" t="n">
        <x:v>1</x:v>
      </x:c>
      <x:c r="G3237" s="29" t="str">
        <x:f>IF(E3237=F3237,"PASS","FAIL")</x:f>
        <x:v>PASS</x:v>
      </x:c>
    </x:row>
    <x:row r="3238" ht="18" customHeight="1">
      <x:c r="B3238" s="27" t="str">
        <x:v>A3232</x:v>
      </x:c>
      <x:c r="C3238" s="27" t="str">
        <x:v>rights</x:v>
      </x:c>
      <x:c r="D3238" s="27" t="str">
        <x:v>Rights row 77 zero credit</x:v>
      </x:c>
      <x:c r="E3238" s="27" t="n">
        <x:f>IF('Ancestry Rights'!J77=0,1,0)</x:f>
        <x:v>1</x:v>
      </x:c>
      <x:c r="F3238" s="27" t="n">
        <x:v>1</x:v>
      </x:c>
      <x:c r="G3238" s="29" t="str">
        <x:f>IF(E3238=F3238,"PASS","FAIL")</x:f>
        <x:v>PASS</x:v>
      </x:c>
    </x:row>
    <x:row r="3239" ht="18" customHeight="1">
      <x:c r="B3239" s="27" t="str">
        <x:v>A3233</x:v>
      </x:c>
      <x:c r="C3239" s="27" t="str">
        <x:v>rights</x:v>
      </x:c>
      <x:c r="D3239" s="27" t="str">
        <x:v>Rights row 78 required</x:v>
      </x:c>
      <x:c r="E3239" s="27" t="n">
        <x:f>IF('Ancestry Rights'!F78=1,1,0)</x:f>
        <x:v>1</x:v>
      </x:c>
      <x:c r="F3239" s="27" t="n">
        <x:v>1</x:v>
      </x:c>
      <x:c r="G3239" s="29" t="str">
        <x:f>IF(E3239=F3239,"PASS","FAIL")</x:f>
        <x:v>PASS</x:v>
      </x:c>
    </x:row>
    <x:row r="3240" ht="18" customHeight="1">
      <x:c r="B3240" s="27" t="str">
        <x:v>A3234</x:v>
      </x:c>
      <x:c r="C3240" s="27" t="str">
        <x:v>rights</x:v>
      </x:c>
      <x:c r="D3240" s="27" t="str">
        <x:v>Rights row 78 not accepted on paper</x:v>
      </x:c>
      <x:c r="E3240" s="27" t="n">
        <x:f>IF('Ancestry Rights'!G78=0,1,0)</x:f>
        <x:v>1</x:v>
      </x:c>
      <x:c r="F3240" s="27" t="n">
        <x:v>1</x:v>
      </x:c>
      <x:c r="G3240" s="29" t="str">
        <x:f>IF(E3240=F3240,"PASS","FAIL")</x:f>
        <x:v>PASS</x:v>
      </x:c>
    </x:row>
    <x:row r="3241" ht="18" customHeight="1">
      <x:c r="B3241" s="27" t="str">
        <x:v>A3235</x:v>
      </x:c>
      <x:c r="C3241" s="27" t="str">
        <x:v>rights</x:v>
      </x:c>
      <x:c r="D3241" s="27" t="str">
        <x:v>Rights row 78 authority present</x:v>
      </x:c>
      <x:c r="E3241" s="27" t="n">
        <x:f>IF('Ancestry Rights'!H78&lt;&gt;"",1,0)</x:f>
        <x:v>1</x:v>
      </x:c>
      <x:c r="F3241" s="27" t="n">
        <x:v>1</x:v>
      </x:c>
      <x:c r="G3241" s="29" t="str">
        <x:f>IF(E3241=F3241,"PASS","FAIL")</x:f>
        <x:v>PASS</x:v>
      </x:c>
    </x:row>
    <x:row r="3242" ht="18" customHeight="1">
      <x:c r="B3242" s="27" t="str">
        <x:v>A3236</x:v>
      </x:c>
      <x:c r="C3242" s="27" t="str">
        <x:v>rights</x:v>
      </x:c>
      <x:c r="D3242" s="27" t="str">
        <x:v>Rights row 78 evidence open</x:v>
      </x:c>
      <x:c r="E3242" s="27" t="n">
        <x:f>IF('Ancestry Rights'!I78="OPEN",1,0)</x:f>
        <x:v>1</x:v>
      </x:c>
      <x:c r="F3242" s="27" t="n">
        <x:v>1</x:v>
      </x:c>
      <x:c r="G3242" s="29" t="str">
        <x:f>IF(E3242=F3242,"PASS","FAIL")</x:f>
        <x:v>PASS</x:v>
      </x:c>
    </x:row>
    <x:row r="3243" ht="18" customHeight="1">
      <x:c r="B3243" s="27" t="str">
        <x:v>A3237</x:v>
      </x:c>
      <x:c r="C3243" s="27" t="str">
        <x:v>rights</x:v>
      </x:c>
      <x:c r="D3243" s="27" t="str">
        <x:v>Rights row 78 zero credit</x:v>
      </x:c>
      <x:c r="E3243" s="27" t="n">
        <x:f>IF('Ancestry Rights'!J78=0,1,0)</x:f>
        <x:v>1</x:v>
      </x:c>
      <x:c r="F3243" s="27" t="n">
        <x:v>1</x:v>
      </x:c>
      <x:c r="G3243" s="29" t="str">
        <x:f>IF(E3243=F3243,"PASS","FAIL")</x:f>
        <x:v>PASS</x:v>
      </x:c>
    </x:row>
    <x:row r="3244" ht="18" customHeight="1">
      <x:c r="B3244" s="27" t="str">
        <x:v>A3238</x:v>
      </x:c>
      <x:c r="C3244" s="27" t="str">
        <x:v>rights</x:v>
      </x:c>
      <x:c r="D3244" s="27" t="str">
        <x:v>Rights row 79 required</x:v>
      </x:c>
      <x:c r="E3244" s="27" t="n">
        <x:f>IF('Ancestry Rights'!F79=1,1,0)</x:f>
        <x:v>1</x:v>
      </x:c>
      <x:c r="F3244" s="27" t="n">
        <x:v>1</x:v>
      </x:c>
      <x:c r="G3244" s="29" t="str">
        <x:f>IF(E3244=F3244,"PASS","FAIL")</x:f>
        <x:v>PASS</x:v>
      </x:c>
    </x:row>
    <x:row r="3245" ht="18" customHeight="1">
      <x:c r="B3245" s="27" t="str">
        <x:v>A3239</x:v>
      </x:c>
      <x:c r="C3245" s="27" t="str">
        <x:v>rights</x:v>
      </x:c>
      <x:c r="D3245" s="27" t="str">
        <x:v>Rights row 79 not accepted on paper</x:v>
      </x:c>
      <x:c r="E3245" s="27" t="n">
        <x:f>IF('Ancestry Rights'!G79=0,1,0)</x:f>
        <x:v>1</x:v>
      </x:c>
      <x:c r="F3245" s="27" t="n">
        <x:v>1</x:v>
      </x:c>
      <x:c r="G3245" s="29" t="str">
        <x:f>IF(E3245=F3245,"PASS","FAIL")</x:f>
        <x:v>PASS</x:v>
      </x:c>
    </x:row>
    <x:row r="3246" ht="18" customHeight="1">
      <x:c r="B3246" s="27" t="str">
        <x:v>A3240</x:v>
      </x:c>
      <x:c r="C3246" s="27" t="str">
        <x:v>rights</x:v>
      </x:c>
      <x:c r="D3246" s="27" t="str">
        <x:v>Rights row 79 authority present</x:v>
      </x:c>
      <x:c r="E3246" s="27" t="n">
        <x:f>IF('Ancestry Rights'!H79&lt;&gt;"",1,0)</x:f>
        <x:v>1</x:v>
      </x:c>
      <x:c r="F3246" s="27" t="n">
        <x:v>1</x:v>
      </x:c>
      <x:c r="G3246" s="29" t="str">
        <x:f>IF(E3246=F3246,"PASS","FAIL")</x:f>
        <x:v>PASS</x:v>
      </x:c>
    </x:row>
    <x:row r="3247" ht="18" customHeight="1">
      <x:c r="B3247" s="27" t="str">
        <x:v>A3241</x:v>
      </x:c>
      <x:c r="C3247" s="27" t="str">
        <x:v>rights</x:v>
      </x:c>
      <x:c r="D3247" s="27" t="str">
        <x:v>Rights row 79 evidence open</x:v>
      </x:c>
      <x:c r="E3247" s="27" t="n">
        <x:f>IF('Ancestry Rights'!I79="OPEN",1,0)</x:f>
        <x:v>1</x:v>
      </x:c>
      <x:c r="F3247" s="27" t="n">
        <x:v>1</x:v>
      </x:c>
      <x:c r="G3247" s="29" t="str">
        <x:f>IF(E3247=F3247,"PASS","FAIL")</x:f>
        <x:v>PASS</x:v>
      </x:c>
    </x:row>
    <x:row r="3248" ht="18" customHeight="1">
      <x:c r="B3248" s="27" t="str">
        <x:v>A3242</x:v>
      </x:c>
      <x:c r="C3248" s="27" t="str">
        <x:v>rights</x:v>
      </x:c>
      <x:c r="D3248" s="27" t="str">
        <x:v>Rights row 79 zero credit</x:v>
      </x:c>
      <x:c r="E3248" s="27" t="n">
        <x:f>IF('Ancestry Rights'!J79=0,1,0)</x:f>
        <x:v>1</x:v>
      </x:c>
      <x:c r="F3248" s="27" t="n">
        <x:v>1</x:v>
      </x:c>
      <x:c r="G3248" s="29" t="str">
        <x:f>IF(E3248=F3248,"PASS","FAIL")</x:f>
        <x:v>PASS</x:v>
      </x:c>
    </x:row>
    <x:row r="3249" ht="18" customHeight="1">
      <x:c r="B3249" s="27" t="str">
        <x:v>A3243</x:v>
      </x:c>
      <x:c r="C3249" s="27" t="str">
        <x:v>rights</x:v>
      </x:c>
      <x:c r="D3249" s="27" t="str">
        <x:v>Rights row 80 required</x:v>
      </x:c>
      <x:c r="E3249" s="27" t="n">
        <x:f>IF('Ancestry Rights'!F80=1,1,0)</x:f>
        <x:v>1</x:v>
      </x:c>
      <x:c r="F3249" s="27" t="n">
        <x:v>1</x:v>
      </x:c>
      <x:c r="G3249" s="29" t="str">
        <x:f>IF(E3249=F3249,"PASS","FAIL")</x:f>
        <x:v>PASS</x:v>
      </x:c>
    </x:row>
    <x:row r="3250" ht="18" customHeight="1">
      <x:c r="B3250" s="27" t="str">
        <x:v>A3244</x:v>
      </x:c>
      <x:c r="C3250" s="27" t="str">
        <x:v>rights</x:v>
      </x:c>
      <x:c r="D3250" s="27" t="str">
        <x:v>Rights row 80 not accepted on paper</x:v>
      </x:c>
      <x:c r="E3250" s="27" t="n">
        <x:f>IF('Ancestry Rights'!G80=0,1,0)</x:f>
        <x:v>1</x:v>
      </x:c>
      <x:c r="F3250" s="27" t="n">
        <x:v>1</x:v>
      </x:c>
      <x:c r="G3250" s="29" t="str">
        <x:f>IF(E3250=F3250,"PASS","FAIL")</x:f>
        <x:v>PASS</x:v>
      </x:c>
    </x:row>
    <x:row r="3251" ht="18" customHeight="1">
      <x:c r="B3251" s="27" t="str">
        <x:v>A3245</x:v>
      </x:c>
      <x:c r="C3251" s="27" t="str">
        <x:v>rights</x:v>
      </x:c>
      <x:c r="D3251" s="27" t="str">
        <x:v>Rights row 80 authority present</x:v>
      </x:c>
      <x:c r="E3251" s="27" t="n">
        <x:f>IF('Ancestry Rights'!H80&lt;&gt;"",1,0)</x:f>
        <x:v>1</x:v>
      </x:c>
      <x:c r="F3251" s="27" t="n">
        <x:v>1</x:v>
      </x:c>
      <x:c r="G3251" s="29" t="str">
        <x:f>IF(E3251=F3251,"PASS","FAIL")</x:f>
        <x:v>PASS</x:v>
      </x:c>
    </x:row>
    <x:row r="3252" ht="18" customHeight="1">
      <x:c r="B3252" s="27" t="str">
        <x:v>A3246</x:v>
      </x:c>
      <x:c r="C3252" s="27" t="str">
        <x:v>rights</x:v>
      </x:c>
      <x:c r="D3252" s="27" t="str">
        <x:v>Rights row 80 evidence open</x:v>
      </x:c>
      <x:c r="E3252" s="27" t="n">
        <x:f>IF('Ancestry Rights'!I80="OPEN",1,0)</x:f>
        <x:v>1</x:v>
      </x:c>
      <x:c r="F3252" s="27" t="n">
        <x:v>1</x:v>
      </x:c>
      <x:c r="G3252" s="29" t="str">
        <x:f>IF(E3252=F3252,"PASS","FAIL")</x:f>
        <x:v>PASS</x:v>
      </x:c>
    </x:row>
    <x:row r="3253" ht="18" customHeight="1">
      <x:c r="B3253" s="27" t="str">
        <x:v>A3247</x:v>
      </x:c>
      <x:c r="C3253" s="27" t="str">
        <x:v>rights</x:v>
      </x:c>
      <x:c r="D3253" s="27" t="str">
        <x:v>Rights row 80 zero credit</x:v>
      </x:c>
      <x:c r="E3253" s="27" t="n">
        <x:f>IF('Ancestry Rights'!J80=0,1,0)</x:f>
        <x:v>1</x:v>
      </x:c>
      <x:c r="F3253" s="27" t="n">
        <x:v>1</x:v>
      </x:c>
      <x:c r="G3253" s="29" t="str">
        <x:f>IF(E3253=F3253,"PASS","FAIL")</x:f>
        <x:v>PASS</x:v>
      </x:c>
    </x:row>
    <x:row r="3254" ht="18" customHeight="1">
      <x:c r="B3254" s="27" t="str">
        <x:v>A3248</x:v>
      </x:c>
      <x:c r="C3254" s="27" t="str">
        <x:v>rights</x:v>
      </x:c>
      <x:c r="D3254" s="27" t="str">
        <x:v>Rights row 81 required</x:v>
      </x:c>
      <x:c r="E3254" s="27" t="n">
        <x:f>IF('Ancestry Rights'!F81=1,1,0)</x:f>
        <x:v>1</x:v>
      </x:c>
      <x:c r="F3254" s="27" t="n">
        <x:v>1</x:v>
      </x:c>
      <x:c r="G3254" s="29" t="str">
        <x:f>IF(E3254=F3254,"PASS","FAIL")</x:f>
        <x:v>PASS</x:v>
      </x:c>
    </x:row>
    <x:row r="3255" ht="18" customHeight="1">
      <x:c r="B3255" s="27" t="str">
        <x:v>A3249</x:v>
      </x:c>
      <x:c r="C3255" s="27" t="str">
        <x:v>rights</x:v>
      </x:c>
      <x:c r="D3255" s="27" t="str">
        <x:v>Rights row 81 not accepted on paper</x:v>
      </x:c>
      <x:c r="E3255" s="27" t="n">
        <x:f>IF('Ancestry Rights'!G81=0,1,0)</x:f>
        <x:v>1</x:v>
      </x:c>
      <x:c r="F3255" s="27" t="n">
        <x:v>1</x:v>
      </x:c>
      <x:c r="G3255" s="29" t="str">
        <x:f>IF(E3255=F3255,"PASS","FAIL")</x:f>
        <x:v>PASS</x:v>
      </x:c>
    </x:row>
    <x:row r="3256" ht="18" customHeight="1">
      <x:c r="B3256" s="27" t="str">
        <x:v>A3250</x:v>
      </x:c>
      <x:c r="C3256" s="27" t="str">
        <x:v>rights</x:v>
      </x:c>
      <x:c r="D3256" s="27" t="str">
        <x:v>Rights row 81 authority present</x:v>
      </x:c>
      <x:c r="E3256" s="27" t="n">
        <x:f>IF('Ancestry Rights'!H81&lt;&gt;"",1,0)</x:f>
        <x:v>1</x:v>
      </x:c>
      <x:c r="F3256" s="27" t="n">
        <x:v>1</x:v>
      </x:c>
      <x:c r="G3256" s="29" t="str">
        <x:f>IF(E3256=F3256,"PASS","FAIL")</x:f>
        <x:v>PASS</x:v>
      </x:c>
    </x:row>
    <x:row r="3257" ht="18" customHeight="1">
      <x:c r="B3257" s="27" t="str">
        <x:v>A3251</x:v>
      </x:c>
      <x:c r="C3257" s="27" t="str">
        <x:v>rights</x:v>
      </x:c>
      <x:c r="D3257" s="27" t="str">
        <x:v>Rights row 81 evidence open</x:v>
      </x:c>
      <x:c r="E3257" s="27" t="n">
        <x:f>IF('Ancestry Rights'!I81="OPEN",1,0)</x:f>
        <x:v>1</x:v>
      </x:c>
      <x:c r="F3257" s="27" t="n">
        <x:v>1</x:v>
      </x:c>
      <x:c r="G3257" s="29" t="str">
        <x:f>IF(E3257=F3257,"PASS","FAIL")</x:f>
        <x:v>PASS</x:v>
      </x:c>
    </x:row>
    <x:row r="3258" ht="18" customHeight="1">
      <x:c r="B3258" s="27" t="str">
        <x:v>A3252</x:v>
      </x:c>
      <x:c r="C3258" s="27" t="str">
        <x:v>rights</x:v>
      </x:c>
      <x:c r="D3258" s="27" t="str">
        <x:v>Rights row 81 zero credit</x:v>
      </x:c>
      <x:c r="E3258" s="27" t="n">
        <x:f>IF('Ancestry Rights'!J81=0,1,0)</x:f>
        <x:v>1</x:v>
      </x:c>
      <x:c r="F3258" s="27" t="n">
        <x:v>1</x:v>
      </x:c>
      <x:c r="G3258" s="29" t="str">
        <x:f>IF(E3258=F3258,"PASS","FAIL")</x:f>
        <x:v>PASS</x:v>
      </x:c>
    </x:row>
    <x:row r="3259" ht="18" customHeight="1">
      <x:c r="B3259" s="27" t="str">
        <x:v>A3253</x:v>
      </x:c>
      <x:c r="C3259" s="27" t="str">
        <x:v>rights</x:v>
      </x:c>
      <x:c r="D3259" s="27" t="str">
        <x:v>Rights row 82 required</x:v>
      </x:c>
      <x:c r="E3259" s="27" t="n">
        <x:f>IF('Ancestry Rights'!F82=1,1,0)</x:f>
        <x:v>1</x:v>
      </x:c>
      <x:c r="F3259" s="27" t="n">
        <x:v>1</x:v>
      </x:c>
      <x:c r="G3259" s="29" t="str">
        <x:f>IF(E3259=F3259,"PASS","FAIL")</x:f>
        <x:v>PASS</x:v>
      </x:c>
    </x:row>
    <x:row r="3260" ht="18" customHeight="1">
      <x:c r="B3260" s="27" t="str">
        <x:v>A3254</x:v>
      </x:c>
      <x:c r="C3260" s="27" t="str">
        <x:v>rights</x:v>
      </x:c>
      <x:c r="D3260" s="27" t="str">
        <x:v>Rights row 82 not accepted on paper</x:v>
      </x:c>
      <x:c r="E3260" s="27" t="n">
        <x:f>IF('Ancestry Rights'!G82=0,1,0)</x:f>
        <x:v>1</x:v>
      </x:c>
      <x:c r="F3260" s="27" t="n">
        <x:v>1</x:v>
      </x:c>
      <x:c r="G3260" s="29" t="str">
        <x:f>IF(E3260=F3260,"PASS","FAIL")</x:f>
        <x:v>PASS</x:v>
      </x:c>
    </x:row>
    <x:row r="3261" ht="18" customHeight="1">
      <x:c r="B3261" s="27" t="str">
        <x:v>A3255</x:v>
      </x:c>
      <x:c r="C3261" s="27" t="str">
        <x:v>rights</x:v>
      </x:c>
      <x:c r="D3261" s="27" t="str">
        <x:v>Rights row 82 authority present</x:v>
      </x:c>
      <x:c r="E3261" s="27" t="n">
        <x:f>IF('Ancestry Rights'!H82&lt;&gt;"",1,0)</x:f>
        <x:v>1</x:v>
      </x:c>
      <x:c r="F3261" s="27" t="n">
        <x:v>1</x:v>
      </x:c>
      <x:c r="G3261" s="29" t="str">
        <x:f>IF(E3261=F3261,"PASS","FAIL")</x:f>
        <x:v>PASS</x:v>
      </x:c>
    </x:row>
    <x:row r="3262" ht="18" customHeight="1">
      <x:c r="B3262" s="27" t="str">
        <x:v>A3256</x:v>
      </x:c>
      <x:c r="C3262" s="27" t="str">
        <x:v>rights</x:v>
      </x:c>
      <x:c r="D3262" s="27" t="str">
        <x:v>Rights row 82 evidence open</x:v>
      </x:c>
      <x:c r="E3262" s="27" t="n">
        <x:f>IF('Ancestry Rights'!I82="OPEN",1,0)</x:f>
        <x:v>1</x:v>
      </x:c>
      <x:c r="F3262" s="27" t="n">
        <x:v>1</x:v>
      </x:c>
      <x:c r="G3262" s="29" t="str">
        <x:f>IF(E3262=F3262,"PASS","FAIL")</x:f>
        <x:v>PASS</x:v>
      </x:c>
    </x:row>
    <x:row r="3263" ht="18" customHeight="1">
      <x:c r="B3263" s="27" t="str">
        <x:v>A3257</x:v>
      </x:c>
      <x:c r="C3263" s="27" t="str">
        <x:v>rights</x:v>
      </x:c>
      <x:c r="D3263" s="27" t="str">
        <x:v>Rights row 82 zero credit</x:v>
      </x:c>
      <x:c r="E3263" s="27" t="n">
        <x:f>IF('Ancestry Rights'!J82=0,1,0)</x:f>
        <x:v>1</x:v>
      </x:c>
      <x:c r="F3263" s="27" t="n">
        <x:v>1</x:v>
      </x:c>
      <x:c r="G3263" s="29" t="str">
        <x:f>IF(E3263=F3263,"PASS","FAIL")</x:f>
        <x:v>PASS</x:v>
      </x:c>
    </x:row>
    <x:row r="3264" ht="18" customHeight="1">
      <x:c r="B3264" s="27" t="str">
        <x:v>A3258</x:v>
      </x:c>
      <x:c r="C3264" s="27" t="str">
        <x:v>rights</x:v>
      </x:c>
      <x:c r="D3264" s="27" t="str">
        <x:v>Rights row 83 required</x:v>
      </x:c>
      <x:c r="E3264" s="27" t="n">
        <x:f>IF('Ancestry Rights'!F83=1,1,0)</x:f>
        <x:v>1</x:v>
      </x:c>
      <x:c r="F3264" s="27" t="n">
        <x:v>1</x:v>
      </x:c>
      <x:c r="G3264" s="29" t="str">
        <x:f>IF(E3264=F3264,"PASS","FAIL")</x:f>
        <x:v>PASS</x:v>
      </x:c>
    </x:row>
    <x:row r="3265" ht="18" customHeight="1">
      <x:c r="B3265" s="27" t="str">
        <x:v>A3259</x:v>
      </x:c>
      <x:c r="C3265" s="27" t="str">
        <x:v>rights</x:v>
      </x:c>
      <x:c r="D3265" s="27" t="str">
        <x:v>Rights row 83 not accepted on paper</x:v>
      </x:c>
      <x:c r="E3265" s="27" t="n">
        <x:f>IF('Ancestry Rights'!G83=0,1,0)</x:f>
        <x:v>1</x:v>
      </x:c>
      <x:c r="F3265" s="27" t="n">
        <x:v>1</x:v>
      </x:c>
      <x:c r="G3265" s="29" t="str">
        <x:f>IF(E3265=F3265,"PASS","FAIL")</x:f>
        <x:v>PASS</x:v>
      </x:c>
    </x:row>
    <x:row r="3266" ht="18" customHeight="1">
      <x:c r="B3266" s="27" t="str">
        <x:v>A3260</x:v>
      </x:c>
      <x:c r="C3266" s="27" t="str">
        <x:v>rights</x:v>
      </x:c>
      <x:c r="D3266" s="27" t="str">
        <x:v>Rights row 83 authority present</x:v>
      </x:c>
      <x:c r="E3266" s="27" t="n">
        <x:f>IF('Ancestry Rights'!H83&lt;&gt;"",1,0)</x:f>
        <x:v>1</x:v>
      </x:c>
      <x:c r="F3266" s="27" t="n">
        <x:v>1</x:v>
      </x:c>
      <x:c r="G3266" s="29" t="str">
        <x:f>IF(E3266=F3266,"PASS","FAIL")</x:f>
        <x:v>PASS</x:v>
      </x:c>
    </x:row>
    <x:row r="3267" ht="18" customHeight="1">
      <x:c r="B3267" s="27" t="str">
        <x:v>A3261</x:v>
      </x:c>
      <x:c r="C3267" s="27" t="str">
        <x:v>rights</x:v>
      </x:c>
      <x:c r="D3267" s="27" t="str">
        <x:v>Rights row 83 evidence open</x:v>
      </x:c>
      <x:c r="E3267" s="27" t="n">
        <x:f>IF('Ancestry Rights'!I83="OPEN",1,0)</x:f>
        <x:v>1</x:v>
      </x:c>
      <x:c r="F3267" s="27" t="n">
        <x:v>1</x:v>
      </x:c>
      <x:c r="G3267" s="29" t="str">
        <x:f>IF(E3267=F3267,"PASS","FAIL")</x:f>
        <x:v>PASS</x:v>
      </x:c>
    </x:row>
    <x:row r="3268" ht="18" customHeight="1">
      <x:c r="B3268" s="27" t="str">
        <x:v>A3262</x:v>
      </x:c>
      <x:c r="C3268" s="27" t="str">
        <x:v>rights</x:v>
      </x:c>
      <x:c r="D3268" s="27" t="str">
        <x:v>Rights row 83 zero credit</x:v>
      </x:c>
      <x:c r="E3268" s="27" t="n">
        <x:f>IF('Ancestry Rights'!J83=0,1,0)</x:f>
        <x:v>1</x:v>
      </x:c>
      <x:c r="F3268" s="27" t="n">
        <x:v>1</x:v>
      </x:c>
      <x:c r="G3268" s="29" t="str">
        <x:f>IF(E3268=F3268,"PASS","FAIL")</x:f>
        <x:v>PASS</x:v>
      </x:c>
    </x:row>
    <x:row r="3269" ht="18" customHeight="1">
      <x:c r="B3269" s="27" t="str">
        <x:v>A3263</x:v>
      </x:c>
      <x:c r="C3269" s="27" t="str">
        <x:v>rights</x:v>
      </x:c>
      <x:c r="D3269" s="27" t="str">
        <x:v>Rights row 84 required</x:v>
      </x:c>
      <x:c r="E3269" s="27" t="n">
        <x:f>IF('Ancestry Rights'!F84=1,1,0)</x:f>
        <x:v>1</x:v>
      </x:c>
      <x:c r="F3269" s="27" t="n">
        <x:v>1</x:v>
      </x:c>
      <x:c r="G3269" s="29" t="str">
        <x:f>IF(E3269=F3269,"PASS","FAIL")</x:f>
        <x:v>PASS</x:v>
      </x:c>
    </x:row>
    <x:row r="3270" ht="18" customHeight="1">
      <x:c r="B3270" s="27" t="str">
        <x:v>A3264</x:v>
      </x:c>
      <x:c r="C3270" s="27" t="str">
        <x:v>rights</x:v>
      </x:c>
      <x:c r="D3270" s="27" t="str">
        <x:v>Rights row 84 not accepted on paper</x:v>
      </x:c>
      <x:c r="E3270" s="27" t="n">
        <x:f>IF('Ancestry Rights'!G84=0,1,0)</x:f>
        <x:v>1</x:v>
      </x:c>
      <x:c r="F3270" s="27" t="n">
        <x:v>1</x:v>
      </x:c>
      <x:c r="G3270" s="29" t="str">
        <x:f>IF(E3270=F3270,"PASS","FAIL")</x:f>
        <x:v>PASS</x:v>
      </x:c>
    </x:row>
    <x:row r="3271" ht="18" customHeight="1">
      <x:c r="B3271" s="27" t="str">
        <x:v>A3265</x:v>
      </x:c>
      <x:c r="C3271" s="27" t="str">
        <x:v>rights</x:v>
      </x:c>
      <x:c r="D3271" s="27" t="str">
        <x:v>Rights row 84 authority present</x:v>
      </x:c>
      <x:c r="E3271" s="27" t="n">
        <x:f>IF('Ancestry Rights'!H84&lt;&gt;"",1,0)</x:f>
        <x:v>1</x:v>
      </x:c>
      <x:c r="F3271" s="27" t="n">
        <x:v>1</x:v>
      </x:c>
      <x:c r="G3271" s="29" t="str">
        <x:f>IF(E3271=F3271,"PASS","FAIL")</x:f>
        <x:v>PASS</x:v>
      </x:c>
    </x:row>
    <x:row r="3272" ht="18" customHeight="1">
      <x:c r="B3272" s="27" t="str">
        <x:v>A3266</x:v>
      </x:c>
      <x:c r="C3272" s="27" t="str">
        <x:v>rights</x:v>
      </x:c>
      <x:c r="D3272" s="27" t="str">
        <x:v>Rights row 84 evidence open</x:v>
      </x:c>
      <x:c r="E3272" s="27" t="n">
        <x:f>IF('Ancestry Rights'!I84="OPEN",1,0)</x:f>
        <x:v>1</x:v>
      </x:c>
      <x:c r="F3272" s="27" t="n">
        <x:v>1</x:v>
      </x:c>
      <x:c r="G3272" s="29" t="str">
        <x:f>IF(E3272=F3272,"PASS","FAIL")</x:f>
        <x:v>PASS</x:v>
      </x:c>
    </x:row>
    <x:row r="3273" ht="18" customHeight="1">
      <x:c r="B3273" s="27" t="str">
        <x:v>A3267</x:v>
      </x:c>
      <x:c r="C3273" s="27" t="str">
        <x:v>rights</x:v>
      </x:c>
      <x:c r="D3273" s="27" t="str">
        <x:v>Rights row 84 zero credit</x:v>
      </x:c>
      <x:c r="E3273" s="27" t="n">
        <x:f>IF('Ancestry Rights'!J84=0,1,0)</x:f>
        <x:v>1</x:v>
      </x:c>
      <x:c r="F3273" s="27" t="n">
        <x:v>1</x:v>
      </x:c>
      <x:c r="G3273" s="29" t="str">
        <x:f>IF(E3273=F3273,"PASS","FAIL")</x:f>
        <x:v>PASS</x:v>
      </x:c>
    </x:row>
    <x:row r="3274" ht="18" customHeight="1">
      <x:c r="B3274" s="27" t="str">
        <x:v>A3268</x:v>
      </x:c>
      <x:c r="C3274" s="27" t="str">
        <x:v>rights</x:v>
      </x:c>
      <x:c r="D3274" s="27" t="str">
        <x:v>Rights row 85 required</x:v>
      </x:c>
      <x:c r="E3274" s="27" t="n">
        <x:f>IF('Ancestry Rights'!F85=1,1,0)</x:f>
        <x:v>1</x:v>
      </x:c>
      <x:c r="F3274" s="27" t="n">
        <x:v>1</x:v>
      </x:c>
      <x:c r="G3274" s="29" t="str">
        <x:f>IF(E3274=F3274,"PASS","FAIL")</x:f>
        <x:v>PASS</x:v>
      </x:c>
    </x:row>
    <x:row r="3275" ht="18" customHeight="1">
      <x:c r="B3275" s="27" t="str">
        <x:v>A3269</x:v>
      </x:c>
      <x:c r="C3275" s="27" t="str">
        <x:v>rights</x:v>
      </x:c>
      <x:c r="D3275" s="27" t="str">
        <x:v>Rights row 85 not accepted on paper</x:v>
      </x:c>
      <x:c r="E3275" s="27" t="n">
        <x:f>IF('Ancestry Rights'!G85=0,1,0)</x:f>
        <x:v>1</x:v>
      </x:c>
      <x:c r="F3275" s="27" t="n">
        <x:v>1</x:v>
      </x:c>
      <x:c r="G3275" s="29" t="str">
        <x:f>IF(E3275=F3275,"PASS","FAIL")</x:f>
        <x:v>PASS</x:v>
      </x:c>
    </x:row>
    <x:row r="3276" ht="18" customHeight="1">
      <x:c r="B3276" s="27" t="str">
        <x:v>A3270</x:v>
      </x:c>
      <x:c r="C3276" s="27" t="str">
        <x:v>rights</x:v>
      </x:c>
      <x:c r="D3276" s="27" t="str">
        <x:v>Rights row 85 authority present</x:v>
      </x:c>
      <x:c r="E3276" s="27" t="n">
        <x:f>IF('Ancestry Rights'!H85&lt;&gt;"",1,0)</x:f>
        <x:v>1</x:v>
      </x:c>
      <x:c r="F3276" s="27" t="n">
        <x:v>1</x:v>
      </x:c>
      <x:c r="G3276" s="29" t="str">
        <x:f>IF(E3276=F3276,"PASS","FAIL")</x:f>
        <x:v>PASS</x:v>
      </x:c>
    </x:row>
    <x:row r="3277" ht="18" customHeight="1">
      <x:c r="B3277" s="27" t="str">
        <x:v>A3271</x:v>
      </x:c>
      <x:c r="C3277" s="27" t="str">
        <x:v>rights</x:v>
      </x:c>
      <x:c r="D3277" s="27" t="str">
        <x:v>Rights row 85 evidence open</x:v>
      </x:c>
      <x:c r="E3277" s="27" t="n">
        <x:f>IF('Ancestry Rights'!I85="OPEN",1,0)</x:f>
        <x:v>1</x:v>
      </x:c>
      <x:c r="F3277" s="27" t="n">
        <x:v>1</x:v>
      </x:c>
      <x:c r="G3277" s="29" t="str">
        <x:f>IF(E3277=F3277,"PASS","FAIL")</x:f>
        <x:v>PASS</x:v>
      </x:c>
    </x:row>
    <x:row r="3278" ht="18" customHeight="1">
      <x:c r="B3278" s="27" t="str">
        <x:v>A3272</x:v>
      </x:c>
      <x:c r="C3278" s="27" t="str">
        <x:v>rights</x:v>
      </x:c>
      <x:c r="D3278" s="27" t="str">
        <x:v>Rights row 85 zero credit</x:v>
      </x:c>
      <x:c r="E3278" s="27" t="n">
        <x:f>IF('Ancestry Rights'!J85=0,1,0)</x:f>
        <x:v>1</x:v>
      </x:c>
      <x:c r="F3278" s="27" t="n">
        <x:v>1</x:v>
      </x:c>
      <x:c r="G3278" s="29" t="str">
        <x:f>IF(E3278=F3278,"PASS","FAIL")</x:f>
        <x:v>PASS</x:v>
      </x:c>
    </x:row>
    <x:row r="3279" ht="18" customHeight="1">
      <x:c r="B3279" s="27" t="str">
        <x:v>A3273</x:v>
      </x:c>
      <x:c r="C3279" s="27" t="str">
        <x:v>rights</x:v>
      </x:c>
      <x:c r="D3279" s="27" t="str">
        <x:v>Rights row 86 required</x:v>
      </x:c>
      <x:c r="E3279" s="27" t="n">
        <x:f>IF('Ancestry Rights'!F86=1,1,0)</x:f>
        <x:v>1</x:v>
      </x:c>
      <x:c r="F3279" s="27" t="n">
        <x:v>1</x:v>
      </x:c>
      <x:c r="G3279" s="29" t="str">
        <x:f>IF(E3279=F3279,"PASS","FAIL")</x:f>
        <x:v>PASS</x:v>
      </x:c>
    </x:row>
    <x:row r="3280" ht="18" customHeight="1">
      <x:c r="B3280" s="27" t="str">
        <x:v>A3274</x:v>
      </x:c>
      <x:c r="C3280" s="27" t="str">
        <x:v>rights</x:v>
      </x:c>
      <x:c r="D3280" s="27" t="str">
        <x:v>Rights row 86 not accepted on paper</x:v>
      </x:c>
      <x:c r="E3280" s="27" t="n">
        <x:f>IF('Ancestry Rights'!G86=0,1,0)</x:f>
        <x:v>1</x:v>
      </x:c>
      <x:c r="F3280" s="27" t="n">
        <x:v>1</x:v>
      </x:c>
      <x:c r="G3280" s="29" t="str">
        <x:f>IF(E3280=F3280,"PASS","FAIL")</x:f>
        <x:v>PASS</x:v>
      </x:c>
    </x:row>
    <x:row r="3281" ht="18" customHeight="1">
      <x:c r="B3281" s="27" t="str">
        <x:v>A3275</x:v>
      </x:c>
      <x:c r="C3281" s="27" t="str">
        <x:v>rights</x:v>
      </x:c>
      <x:c r="D3281" s="27" t="str">
        <x:v>Rights row 86 authority present</x:v>
      </x:c>
      <x:c r="E3281" s="27" t="n">
        <x:f>IF('Ancestry Rights'!H86&lt;&gt;"",1,0)</x:f>
        <x:v>1</x:v>
      </x:c>
      <x:c r="F3281" s="27" t="n">
        <x:v>1</x:v>
      </x:c>
      <x:c r="G3281" s="29" t="str">
        <x:f>IF(E3281=F3281,"PASS","FAIL")</x:f>
        <x:v>PASS</x:v>
      </x:c>
    </x:row>
    <x:row r="3282" ht="18" customHeight="1">
      <x:c r="B3282" s="27" t="str">
        <x:v>A3276</x:v>
      </x:c>
      <x:c r="C3282" s="27" t="str">
        <x:v>rights</x:v>
      </x:c>
      <x:c r="D3282" s="27" t="str">
        <x:v>Rights row 86 evidence open</x:v>
      </x:c>
      <x:c r="E3282" s="27" t="n">
        <x:f>IF('Ancestry Rights'!I86="OPEN",1,0)</x:f>
        <x:v>1</x:v>
      </x:c>
      <x:c r="F3282" s="27" t="n">
        <x:v>1</x:v>
      </x:c>
      <x:c r="G3282" s="29" t="str">
        <x:f>IF(E3282=F3282,"PASS","FAIL")</x:f>
        <x:v>PASS</x:v>
      </x:c>
    </x:row>
    <x:row r="3283" ht="18" customHeight="1">
      <x:c r="B3283" s="27" t="str">
        <x:v>A3277</x:v>
      </x:c>
      <x:c r="C3283" s="27" t="str">
        <x:v>rights</x:v>
      </x:c>
      <x:c r="D3283" s="27" t="str">
        <x:v>Rights row 86 zero credit</x:v>
      </x:c>
      <x:c r="E3283" s="27" t="n">
        <x:f>IF('Ancestry Rights'!J86=0,1,0)</x:f>
        <x:v>1</x:v>
      </x:c>
      <x:c r="F3283" s="27" t="n">
        <x:v>1</x:v>
      </x:c>
      <x:c r="G3283" s="29" t="str">
        <x:f>IF(E3283=F3283,"PASS","FAIL")</x:f>
        <x:v>PASS</x:v>
      </x:c>
    </x:row>
    <x:row r="3284" ht="18" customHeight="1">
      <x:c r="B3284" s="27" t="str">
        <x:v>A3278</x:v>
      </x:c>
      <x:c r="C3284" s="27" t="str">
        <x:v>rights</x:v>
      </x:c>
      <x:c r="D3284" s="27" t="str">
        <x:v>Rights row 87 required</x:v>
      </x:c>
      <x:c r="E3284" s="27" t="n">
        <x:f>IF('Ancestry Rights'!F87=1,1,0)</x:f>
        <x:v>1</x:v>
      </x:c>
      <x:c r="F3284" s="27" t="n">
        <x:v>1</x:v>
      </x:c>
      <x:c r="G3284" s="29" t="str">
        <x:f>IF(E3284=F3284,"PASS","FAIL")</x:f>
        <x:v>PASS</x:v>
      </x:c>
    </x:row>
    <x:row r="3285" ht="18" customHeight="1">
      <x:c r="B3285" s="27" t="str">
        <x:v>A3279</x:v>
      </x:c>
      <x:c r="C3285" s="27" t="str">
        <x:v>rights</x:v>
      </x:c>
      <x:c r="D3285" s="27" t="str">
        <x:v>Rights row 87 not accepted on paper</x:v>
      </x:c>
      <x:c r="E3285" s="27" t="n">
        <x:f>IF('Ancestry Rights'!G87=0,1,0)</x:f>
        <x:v>1</x:v>
      </x:c>
      <x:c r="F3285" s="27" t="n">
        <x:v>1</x:v>
      </x:c>
      <x:c r="G3285" s="29" t="str">
        <x:f>IF(E3285=F3285,"PASS","FAIL")</x:f>
        <x:v>PASS</x:v>
      </x:c>
    </x:row>
    <x:row r="3286" ht="18" customHeight="1">
      <x:c r="B3286" s="27" t="str">
        <x:v>A3280</x:v>
      </x:c>
      <x:c r="C3286" s="27" t="str">
        <x:v>rights</x:v>
      </x:c>
      <x:c r="D3286" s="27" t="str">
        <x:v>Rights row 87 authority present</x:v>
      </x:c>
      <x:c r="E3286" s="27" t="n">
        <x:f>IF('Ancestry Rights'!H87&lt;&gt;"",1,0)</x:f>
        <x:v>1</x:v>
      </x:c>
      <x:c r="F3286" s="27" t="n">
        <x:v>1</x:v>
      </x:c>
      <x:c r="G3286" s="29" t="str">
        <x:f>IF(E3286=F3286,"PASS","FAIL")</x:f>
        <x:v>PASS</x:v>
      </x:c>
    </x:row>
    <x:row r="3287" ht="18" customHeight="1">
      <x:c r="B3287" s="27" t="str">
        <x:v>A3281</x:v>
      </x:c>
      <x:c r="C3287" s="27" t="str">
        <x:v>rights</x:v>
      </x:c>
      <x:c r="D3287" s="27" t="str">
        <x:v>Rights row 87 evidence open</x:v>
      </x:c>
      <x:c r="E3287" s="27" t="n">
        <x:f>IF('Ancestry Rights'!I87="OPEN",1,0)</x:f>
        <x:v>1</x:v>
      </x:c>
      <x:c r="F3287" s="27" t="n">
        <x:v>1</x:v>
      </x:c>
      <x:c r="G3287" s="29" t="str">
        <x:f>IF(E3287=F3287,"PASS","FAIL")</x:f>
        <x:v>PASS</x:v>
      </x:c>
    </x:row>
    <x:row r="3288" ht="18" customHeight="1">
      <x:c r="B3288" s="27" t="str">
        <x:v>A3282</x:v>
      </x:c>
      <x:c r="C3288" s="27" t="str">
        <x:v>rights</x:v>
      </x:c>
      <x:c r="D3288" s="27" t="str">
        <x:v>Rights row 87 zero credit</x:v>
      </x:c>
      <x:c r="E3288" s="27" t="n">
        <x:f>IF('Ancestry Rights'!J87=0,1,0)</x:f>
        <x:v>1</x:v>
      </x:c>
      <x:c r="F3288" s="27" t="n">
        <x:v>1</x:v>
      </x:c>
      <x:c r="G3288" s="29" t="str">
        <x:f>IF(E3288=F3288,"PASS","FAIL")</x:f>
        <x:v>PASS</x:v>
      </x:c>
    </x:row>
    <x:row r="3289" ht="18" customHeight="1">
      <x:c r="B3289" s="27" t="str">
        <x:v>A3283</x:v>
      </x:c>
      <x:c r="C3289" s="27" t="str">
        <x:v>rights</x:v>
      </x:c>
      <x:c r="D3289" s="27" t="str">
        <x:v>Rights row 88 required</x:v>
      </x:c>
      <x:c r="E3289" s="27" t="n">
        <x:f>IF('Ancestry Rights'!F88=1,1,0)</x:f>
        <x:v>1</x:v>
      </x:c>
      <x:c r="F3289" s="27" t="n">
        <x:v>1</x:v>
      </x:c>
      <x:c r="G3289" s="29" t="str">
        <x:f>IF(E3289=F3289,"PASS","FAIL")</x:f>
        <x:v>PASS</x:v>
      </x:c>
    </x:row>
    <x:row r="3290" ht="18" customHeight="1">
      <x:c r="B3290" s="27" t="str">
        <x:v>A3284</x:v>
      </x:c>
      <x:c r="C3290" s="27" t="str">
        <x:v>rights</x:v>
      </x:c>
      <x:c r="D3290" s="27" t="str">
        <x:v>Rights row 88 not accepted on paper</x:v>
      </x:c>
      <x:c r="E3290" s="27" t="n">
        <x:f>IF('Ancestry Rights'!G88=0,1,0)</x:f>
        <x:v>1</x:v>
      </x:c>
      <x:c r="F3290" s="27" t="n">
        <x:v>1</x:v>
      </x:c>
      <x:c r="G3290" s="29" t="str">
        <x:f>IF(E3290=F3290,"PASS","FAIL")</x:f>
        <x:v>PASS</x:v>
      </x:c>
    </x:row>
    <x:row r="3291" ht="18" customHeight="1">
      <x:c r="B3291" s="27" t="str">
        <x:v>A3285</x:v>
      </x:c>
      <x:c r="C3291" s="27" t="str">
        <x:v>rights</x:v>
      </x:c>
      <x:c r="D3291" s="27" t="str">
        <x:v>Rights row 88 authority present</x:v>
      </x:c>
      <x:c r="E3291" s="27" t="n">
        <x:f>IF('Ancestry Rights'!H88&lt;&gt;"",1,0)</x:f>
        <x:v>1</x:v>
      </x:c>
      <x:c r="F3291" s="27" t="n">
        <x:v>1</x:v>
      </x:c>
      <x:c r="G3291" s="29" t="str">
        <x:f>IF(E3291=F3291,"PASS","FAIL")</x:f>
        <x:v>PASS</x:v>
      </x:c>
    </x:row>
    <x:row r="3292" ht="18" customHeight="1">
      <x:c r="B3292" s="27" t="str">
        <x:v>A3286</x:v>
      </x:c>
      <x:c r="C3292" s="27" t="str">
        <x:v>rights</x:v>
      </x:c>
      <x:c r="D3292" s="27" t="str">
        <x:v>Rights row 88 evidence open</x:v>
      </x:c>
      <x:c r="E3292" s="27" t="n">
        <x:f>IF('Ancestry Rights'!I88="OPEN",1,0)</x:f>
        <x:v>1</x:v>
      </x:c>
      <x:c r="F3292" s="27" t="n">
        <x:v>1</x:v>
      </x:c>
      <x:c r="G3292" s="29" t="str">
        <x:f>IF(E3292=F3292,"PASS","FAIL")</x:f>
        <x:v>PASS</x:v>
      </x:c>
    </x:row>
    <x:row r="3293" ht="18" customHeight="1">
      <x:c r="B3293" s="27" t="str">
        <x:v>A3287</x:v>
      </x:c>
      <x:c r="C3293" s="27" t="str">
        <x:v>rights</x:v>
      </x:c>
      <x:c r="D3293" s="27" t="str">
        <x:v>Rights row 88 zero credit</x:v>
      </x:c>
      <x:c r="E3293" s="27" t="n">
        <x:f>IF('Ancestry Rights'!J88=0,1,0)</x:f>
        <x:v>1</x:v>
      </x:c>
      <x:c r="F3293" s="27" t="n">
        <x:v>1</x:v>
      </x:c>
      <x:c r="G3293" s="29" t="str">
        <x:f>IF(E3293=F3293,"PASS","FAIL")</x:f>
        <x:v>PASS</x:v>
      </x:c>
    </x:row>
    <x:row r="3294" ht="18" customHeight="1">
      <x:c r="B3294" s="27" t="str">
        <x:v>A3288</x:v>
      </x:c>
      <x:c r="C3294" s="27" t="str">
        <x:v>rights</x:v>
      </x:c>
      <x:c r="D3294" s="27" t="str">
        <x:v>Rights row 89 required</x:v>
      </x:c>
      <x:c r="E3294" s="27" t="n">
        <x:f>IF('Ancestry Rights'!F89=1,1,0)</x:f>
        <x:v>1</x:v>
      </x:c>
      <x:c r="F3294" s="27" t="n">
        <x:v>1</x:v>
      </x:c>
      <x:c r="G3294" s="29" t="str">
        <x:f>IF(E3294=F3294,"PASS","FAIL")</x:f>
        <x:v>PASS</x:v>
      </x:c>
    </x:row>
    <x:row r="3295" ht="18" customHeight="1">
      <x:c r="B3295" s="27" t="str">
        <x:v>A3289</x:v>
      </x:c>
      <x:c r="C3295" s="27" t="str">
        <x:v>rights</x:v>
      </x:c>
      <x:c r="D3295" s="27" t="str">
        <x:v>Rights row 89 not accepted on paper</x:v>
      </x:c>
      <x:c r="E3295" s="27" t="n">
        <x:f>IF('Ancestry Rights'!G89=0,1,0)</x:f>
        <x:v>1</x:v>
      </x:c>
      <x:c r="F3295" s="27" t="n">
        <x:v>1</x:v>
      </x:c>
      <x:c r="G3295" s="29" t="str">
        <x:f>IF(E3295=F3295,"PASS","FAIL")</x:f>
        <x:v>PASS</x:v>
      </x:c>
    </x:row>
    <x:row r="3296" ht="18" customHeight="1">
      <x:c r="B3296" s="27" t="str">
        <x:v>A3290</x:v>
      </x:c>
      <x:c r="C3296" s="27" t="str">
        <x:v>rights</x:v>
      </x:c>
      <x:c r="D3296" s="27" t="str">
        <x:v>Rights row 89 authority present</x:v>
      </x:c>
      <x:c r="E3296" s="27" t="n">
        <x:f>IF('Ancestry Rights'!H89&lt;&gt;"",1,0)</x:f>
        <x:v>1</x:v>
      </x:c>
      <x:c r="F3296" s="27" t="n">
        <x:v>1</x:v>
      </x:c>
      <x:c r="G3296" s="29" t="str">
        <x:f>IF(E3296=F3296,"PASS","FAIL")</x:f>
        <x:v>PASS</x:v>
      </x:c>
    </x:row>
    <x:row r="3297" ht="18" customHeight="1">
      <x:c r="B3297" s="27" t="str">
        <x:v>A3291</x:v>
      </x:c>
      <x:c r="C3297" s="27" t="str">
        <x:v>rights</x:v>
      </x:c>
      <x:c r="D3297" s="27" t="str">
        <x:v>Rights row 89 evidence open</x:v>
      </x:c>
      <x:c r="E3297" s="27" t="n">
        <x:f>IF('Ancestry Rights'!I89="OPEN",1,0)</x:f>
        <x:v>1</x:v>
      </x:c>
      <x:c r="F3297" s="27" t="n">
        <x:v>1</x:v>
      </x:c>
      <x:c r="G3297" s="29" t="str">
        <x:f>IF(E3297=F3297,"PASS","FAIL")</x:f>
        <x:v>PASS</x:v>
      </x:c>
    </x:row>
    <x:row r="3298" ht="18" customHeight="1">
      <x:c r="B3298" s="27" t="str">
        <x:v>A3292</x:v>
      </x:c>
      <x:c r="C3298" s="27" t="str">
        <x:v>rights</x:v>
      </x:c>
      <x:c r="D3298" s="27" t="str">
        <x:v>Rights row 89 zero credit</x:v>
      </x:c>
      <x:c r="E3298" s="27" t="n">
        <x:f>IF('Ancestry Rights'!J89=0,1,0)</x:f>
        <x:v>1</x:v>
      </x:c>
      <x:c r="F3298" s="27" t="n">
        <x:v>1</x:v>
      </x:c>
      <x:c r="G3298" s="29" t="str">
        <x:f>IF(E3298=F3298,"PASS","FAIL")</x:f>
        <x:v>PASS</x:v>
      </x:c>
    </x:row>
    <x:row r="3299" ht="18" customHeight="1">
      <x:c r="B3299" s="27" t="str">
        <x:v>A3293</x:v>
      </x:c>
      <x:c r="C3299" s="27" t="str">
        <x:v>rights</x:v>
      </x:c>
      <x:c r="D3299" s="27" t="str">
        <x:v>Rights row 90 required</x:v>
      </x:c>
      <x:c r="E3299" s="27" t="n">
        <x:f>IF('Ancestry Rights'!F90=1,1,0)</x:f>
        <x:v>1</x:v>
      </x:c>
      <x:c r="F3299" s="27" t="n">
        <x:v>1</x:v>
      </x:c>
      <x:c r="G3299" s="29" t="str">
        <x:f>IF(E3299=F3299,"PASS","FAIL")</x:f>
        <x:v>PASS</x:v>
      </x:c>
    </x:row>
    <x:row r="3300" ht="18" customHeight="1">
      <x:c r="B3300" s="27" t="str">
        <x:v>A3294</x:v>
      </x:c>
      <x:c r="C3300" s="27" t="str">
        <x:v>rights</x:v>
      </x:c>
      <x:c r="D3300" s="27" t="str">
        <x:v>Rights row 90 not accepted on paper</x:v>
      </x:c>
      <x:c r="E3300" s="27" t="n">
        <x:f>IF('Ancestry Rights'!G90=0,1,0)</x:f>
        <x:v>1</x:v>
      </x:c>
      <x:c r="F3300" s="27" t="n">
        <x:v>1</x:v>
      </x:c>
      <x:c r="G3300" s="29" t="str">
        <x:f>IF(E3300=F3300,"PASS","FAIL")</x:f>
        <x:v>PASS</x:v>
      </x:c>
    </x:row>
    <x:row r="3301" ht="18" customHeight="1">
      <x:c r="B3301" s="27" t="str">
        <x:v>A3295</x:v>
      </x:c>
      <x:c r="C3301" s="27" t="str">
        <x:v>rights</x:v>
      </x:c>
      <x:c r="D3301" s="27" t="str">
        <x:v>Rights row 90 authority present</x:v>
      </x:c>
      <x:c r="E3301" s="27" t="n">
        <x:f>IF('Ancestry Rights'!H90&lt;&gt;"",1,0)</x:f>
        <x:v>1</x:v>
      </x:c>
      <x:c r="F3301" s="27" t="n">
        <x:v>1</x:v>
      </x:c>
      <x:c r="G3301" s="29" t="str">
        <x:f>IF(E3301=F3301,"PASS","FAIL")</x:f>
        <x:v>PASS</x:v>
      </x:c>
    </x:row>
    <x:row r="3302" ht="18" customHeight="1">
      <x:c r="B3302" s="27" t="str">
        <x:v>A3296</x:v>
      </x:c>
      <x:c r="C3302" s="27" t="str">
        <x:v>rights</x:v>
      </x:c>
      <x:c r="D3302" s="27" t="str">
        <x:v>Rights row 90 evidence open</x:v>
      </x:c>
      <x:c r="E3302" s="27" t="n">
        <x:f>IF('Ancestry Rights'!I90="OPEN",1,0)</x:f>
        <x:v>1</x:v>
      </x:c>
      <x:c r="F3302" s="27" t="n">
        <x:v>1</x:v>
      </x:c>
      <x:c r="G3302" s="29" t="str">
        <x:f>IF(E3302=F3302,"PASS","FAIL")</x:f>
        <x:v>PASS</x:v>
      </x:c>
    </x:row>
    <x:row r="3303" ht="18" customHeight="1">
      <x:c r="B3303" s="27" t="str">
        <x:v>A3297</x:v>
      </x:c>
      <x:c r="C3303" s="27" t="str">
        <x:v>rights</x:v>
      </x:c>
      <x:c r="D3303" s="27" t="str">
        <x:v>Rights row 90 zero credit</x:v>
      </x:c>
      <x:c r="E3303" s="27" t="n">
        <x:f>IF('Ancestry Rights'!J90=0,1,0)</x:f>
        <x:v>1</x:v>
      </x:c>
      <x:c r="F3303" s="27" t="n">
        <x:v>1</x:v>
      </x:c>
      <x:c r="G3303" s="29" t="str">
        <x:f>IF(E3303=F3303,"PASS","FAIL")</x:f>
        <x:v>PASS</x:v>
      </x:c>
    </x:row>
    <x:row r="3304" ht="18" customHeight="1">
      <x:c r="B3304" s="27" t="str">
        <x:v>A3298</x:v>
      </x:c>
      <x:c r="C3304" s="27" t="str">
        <x:v>rights</x:v>
      </x:c>
      <x:c r="D3304" s="27" t="str">
        <x:v>Rights row 91 required</x:v>
      </x:c>
      <x:c r="E3304" s="27" t="n">
        <x:f>IF('Ancestry Rights'!F91=1,1,0)</x:f>
        <x:v>1</x:v>
      </x:c>
      <x:c r="F3304" s="27" t="n">
        <x:v>1</x:v>
      </x:c>
      <x:c r="G3304" s="29" t="str">
        <x:f>IF(E3304=F3304,"PASS","FAIL")</x:f>
        <x:v>PASS</x:v>
      </x:c>
    </x:row>
    <x:row r="3305" ht="18" customHeight="1">
      <x:c r="B3305" s="27" t="str">
        <x:v>A3299</x:v>
      </x:c>
      <x:c r="C3305" s="27" t="str">
        <x:v>rights</x:v>
      </x:c>
      <x:c r="D3305" s="27" t="str">
        <x:v>Rights row 91 not accepted on paper</x:v>
      </x:c>
      <x:c r="E3305" s="27" t="n">
        <x:f>IF('Ancestry Rights'!G91=0,1,0)</x:f>
        <x:v>1</x:v>
      </x:c>
      <x:c r="F3305" s="27" t="n">
        <x:v>1</x:v>
      </x:c>
      <x:c r="G3305" s="29" t="str">
        <x:f>IF(E3305=F3305,"PASS","FAIL")</x:f>
        <x:v>PASS</x:v>
      </x:c>
    </x:row>
    <x:row r="3306" ht="18" customHeight="1">
      <x:c r="B3306" s="27" t="str">
        <x:v>A3300</x:v>
      </x:c>
      <x:c r="C3306" s="27" t="str">
        <x:v>rights</x:v>
      </x:c>
      <x:c r="D3306" s="27" t="str">
        <x:v>Rights row 91 authority present</x:v>
      </x:c>
      <x:c r="E3306" s="27" t="n">
        <x:f>IF('Ancestry Rights'!H91&lt;&gt;"",1,0)</x:f>
        <x:v>1</x:v>
      </x:c>
      <x:c r="F3306" s="27" t="n">
        <x:v>1</x:v>
      </x:c>
      <x:c r="G3306" s="29" t="str">
        <x:f>IF(E3306=F3306,"PASS","FAIL")</x:f>
        <x:v>PASS</x:v>
      </x:c>
    </x:row>
    <x:row r="3307" ht="18" customHeight="1">
      <x:c r="B3307" s="27" t="str">
        <x:v>A3301</x:v>
      </x:c>
      <x:c r="C3307" s="27" t="str">
        <x:v>rights</x:v>
      </x:c>
      <x:c r="D3307" s="27" t="str">
        <x:v>Rights row 91 evidence open</x:v>
      </x:c>
      <x:c r="E3307" s="27" t="n">
        <x:f>IF('Ancestry Rights'!I91="OPEN",1,0)</x:f>
        <x:v>1</x:v>
      </x:c>
      <x:c r="F3307" s="27" t="n">
        <x:v>1</x:v>
      </x:c>
      <x:c r="G3307" s="29" t="str">
        <x:f>IF(E3307=F3307,"PASS","FAIL")</x:f>
        <x:v>PASS</x:v>
      </x:c>
    </x:row>
    <x:row r="3308" ht="18" customHeight="1">
      <x:c r="B3308" s="27" t="str">
        <x:v>A3302</x:v>
      </x:c>
      <x:c r="C3308" s="27" t="str">
        <x:v>rights</x:v>
      </x:c>
      <x:c r="D3308" s="27" t="str">
        <x:v>Rights row 91 zero credit</x:v>
      </x:c>
      <x:c r="E3308" s="27" t="n">
        <x:f>IF('Ancestry Rights'!J91=0,1,0)</x:f>
        <x:v>1</x:v>
      </x:c>
      <x:c r="F3308" s="27" t="n">
        <x:v>1</x:v>
      </x:c>
      <x:c r="G3308" s="29" t="str">
        <x:f>IF(E3308=F3308,"PASS","FAIL")</x:f>
        <x:v>PASS</x:v>
      </x:c>
    </x:row>
    <x:row r="3309" ht="18" customHeight="1">
      <x:c r="B3309" s="27" t="str">
        <x:v>A3303</x:v>
      </x:c>
      <x:c r="C3309" s="27" t="str">
        <x:v>rights</x:v>
      </x:c>
      <x:c r="D3309" s="27" t="str">
        <x:v>Rights row 92 required</x:v>
      </x:c>
      <x:c r="E3309" s="27" t="n">
        <x:f>IF('Ancestry Rights'!F92=1,1,0)</x:f>
        <x:v>1</x:v>
      </x:c>
      <x:c r="F3309" s="27" t="n">
        <x:v>1</x:v>
      </x:c>
      <x:c r="G3309" s="29" t="str">
        <x:f>IF(E3309=F3309,"PASS","FAIL")</x:f>
        <x:v>PASS</x:v>
      </x:c>
    </x:row>
    <x:row r="3310" ht="18" customHeight="1">
      <x:c r="B3310" s="27" t="str">
        <x:v>A3304</x:v>
      </x:c>
      <x:c r="C3310" s="27" t="str">
        <x:v>rights</x:v>
      </x:c>
      <x:c r="D3310" s="27" t="str">
        <x:v>Rights row 92 not accepted on paper</x:v>
      </x:c>
      <x:c r="E3310" s="27" t="n">
        <x:f>IF('Ancestry Rights'!G92=0,1,0)</x:f>
        <x:v>1</x:v>
      </x:c>
      <x:c r="F3310" s="27" t="n">
        <x:v>1</x:v>
      </x:c>
      <x:c r="G3310" s="29" t="str">
        <x:f>IF(E3310=F3310,"PASS","FAIL")</x:f>
        <x:v>PASS</x:v>
      </x:c>
    </x:row>
    <x:row r="3311" ht="18" customHeight="1">
      <x:c r="B3311" s="27" t="str">
        <x:v>A3305</x:v>
      </x:c>
      <x:c r="C3311" s="27" t="str">
        <x:v>rights</x:v>
      </x:c>
      <x:c r="D3311" s="27" t="str">
        <x:v>Rights row 92 authority present</x:v>
      </x:c>
      <x:c r="E3311" s="27" t="n">
        <x:f>IF('Ancestry Rights'!H92&lt;&gt;"",1,0)</x:f>
        <x:v>1</x:v>
      </x:c>
      <x:c r="F3311" s="27" t="n">
        <x:v>1</x:v>
      </x:c>
      <x:c r="G3311" s="29" t="str">
        <x:f>IF(E3311=F3311,"PASS","FAIL")</x:f>
        <x:v>PASS</x:v>
      </x:c>
    </x:row>
    <x:row r="3312" ht="18" customHeight="1">
      <x:c r="B3312" s="27" t="str">
        <x:v>A3306</x:v>
      </x:c>
      <x:c r="C3312" s="27" t="str">
        <x:v>rights</x:v>
      </x:c>
      <x:c r="D3312" s="27" t="str">
        <x:v>Rights row 92 evidence open</x:v>
      </x:c>
      <x:c r="E3312" s="27" t="n">
        <x:f>IF('Ancestry Rights'!I92="OPEN",1,0)</x:f>
        <x:v>1</x:v>
      </x:c>
      <x:c r="F3312" s="27" t="n">
        <x:v>1</x:v>
      </x:c>
      <x:c r="G3312" s="29" t="str">
        <x:f>IF(E3312=F3312,"PASS","FAIL")</x:f>
        <x:v>PASS</x:v>
      </x:c>
    </x:row>
    <x:row r="3313" ht="18" customHeight="1">
      <x:c r="B3313" s="27" t="str">
        <x:v>A3307</x:v>
      </x:c>
      <x:c r="C3313" s="27" t="str">
        <x:v>rights</x:v>
      </x:c>
      <x:c r="D3313" s="27" t="str">
        <x:v>Rights row 92 zero credit</x:v>
      </x:c>
      <x:c r="E3313" s="27" t="n">
        <x:f>IF('Ancestry Rights'!J92=0,1,0)</x:f>
        <x:v>1</x:v>
      </x:c>
      <x:c r="F3313" s="27" t="n">
        <x:v>1</x:v>
      </x:c>
      <x:c r="G3313" s="29" t="str">
        <x:f>IF(E3313=F3313,"PASS","FAIL")</x:f>
        <x:v>PASS</x:v>
      </x:c>
    </x:row>
    <x:row r="3314" ht="18" customHeight="1">
      <x:c r="B3314" s="27" t="str">
        <x:v>A3308</x:v>
      </x:c>
      <x:c r="C3314" s="27" t="str">
        <x:v>rights</x:v>
      </x:c>
      <x:c r="D3314" s="27" t="str">
        <x:v>Rights row 93 required</x:v>
      </x:c>
      <x:c r="E3314" s="27" t="n">
        <x:f>IF('Ancestry Rights'!F93=1,1,0)</x:f>
        <x:v>1</x:v>
      </x:c>
      <x:c r="F3314" s="27" t="n">
        <x:v>1</x:v>
      </x:c>
      <x:c r="G3314" s="29" t="str">
        <x:f>IF(E3314=F3314,"PASS","FAIL")</x:f>
        <x:v>PASS</x:v>
      </x:c>
    </x:row>
    <x:row r="3315" ht="18" customHeight="1">
      <x:c r="B3315" s="27" t="str">
        <x:v>A3309</x:v>
      </x:c>
      <x:c r="C3315" s="27" t="str">
        <x:v>rights</x:v>
      </x:c>
      <x:c r="D3315" s="27" t="str">
        <x:v>Rights row 93 not accepted on paper</x:v>
      </x:c>
      <x:c r="E3315" s="27" t="n">
        <x:f>IF('Ancestry Rights'!G93=0,1,0)</x:f>
        <x:v>1</x:v>
      </x:c>
      <x:c r="F3315" s="27" t="n">
        <x:v>1</x:v>
      </x:c>
      <x:c r="G3315" s="29" t="str">
        <x:f>IF(E3315=F3315,"PASS","FAIL")</x:f>
        <x:v>PASS</x:v>
      </x:c>
    </x:row>
    <x:row r="3316" ht="18" customHeight="1">
      <x:c r="B3316" s="27" t="str">
        <x:v>A3310</x:v>
      </x:c>
      <x:c r="C3316" s="27" t="str">
        <x:v>rights</x:v>
      </x:c>
      <x:c r="D3316" s="27" t="str">
        <x:v>Rights row 93 authority present</x:v>
      </x:c>
      <x:c r="E3316" s="27" t="n">
        <x:f>IF('Ancestry Rights'!H93&lt;&gt;"",1,0)</x:f>
        <x:v>1</x:v>
      </x:c>
      <x:c r="F3316" s="27" t="n">
        <x:v>1</x:v>
      </x:c>
      <x:c r="G3316" s="29" t="str">
        <x:f>IF(E3316=F3316,"PASS","FAIL")</x:f>
        <x:v>PASS</x:v>
      </x:c>
    </x:row>
    <x:row r="3317" ht="18" customHeight="1">
      <x:c r="B3317" s="27" t="str">
        <x:v>A3311</x:v>
      </x:c>
      <x:c r="C3317" s="27" t="str">
        <x:v>rights</x:v>
      </x:c>
      <x:c r="D3317" s="27" t="str">
        <x:v>Rights row 93 evidence open</x:v>
      </x:c>
      <x:c r="E3317" s="27" t="n">
        <x:f>IF('Ancestry Rights'!I93="OPEN",1,0)</x:f>
        <x:v>1</x:v>
      </x:c>
      <x:c r="F3317" s="27" t="n">
        <x:v>1</x:v>
      </x:c>
      <x:c r="G3317" s="29" t="str">
        <x:f>IF(E3317=F3317,"PASS","FAIL")</x:f>
        <x:v>PASS</x:v>
      </x:c>
    </x:row>
    <x:row r="3318" ht="18" customHeight="1">
      <x:c r="B3318" s="27" t="str">
        <x:v>A3312</x:v>
      </x:c>
      <x:c r="C3318" s="27" t="str">
        <x:v>rights</x:v>
      </x:c>
      <x:c r="D3318" s="27" t="str">
        <x:v>Rights row 93 zero credit</x:v>
      </x:c>
      <x:c r="E3318" s="27" t="n">
        <x:f>IF('Ancestry Rights'!J93=0,1,0)</x:f>
        <x:v>1</x:v>
      </x:c>
      <x:c r="F3318" s="27" t="n">
        <x:v>1</x:v>
      </x:c>
      <x:c r="G3318" s="29" t="str">
        <x:f>IF(E3318=F3318,"PASS","FAIL")</x:f>
        <x:v>PASS</x:v>
      </x:c>
    </x:row>
    <x:row r="3319" ht="18" customHeight="1">
      <x:c r="B3319" s="27" t="str">
        <x:v>A3313</x:v>
      </x:c>
      <x:c r="C3319" s="27" t="str">
        <x:v>rights</x:v>
      </x:c>
      <x:c r="D3319" s="27" t="str">
        <x:v>Rights row 94 required</x:v>
      </x:c>
      <x:c r="E3319" s="27" t="n">
        <x:f>IF('Ancestry Rights'!F94=1,1,0)</x:f>
        <x:v>1</x:v>
      </x:c>
      <x:c r="F3319" s="27" t="n">
        <x:v>1</x:v>
      </x:c>
      <x:c r="G3319" s="29" t="str">
        <x:f>IF(E3319=F3319,"PASS","FAIL")</x:f>
        <x:v>PASS</x:v>
      </x:c>
    </x:row>
    <x:row r="3320" ht="18" customHeight="1">
      <x:c r="B3320" s="27" t="str">
        <x:v>A3314</x:v>
      </x:c>
      <x:c r="C3320" s="27" t="str">
        <x:v>rights</x:v>
      </x:c>
      <x:c r="D3320" s="27" t="str">
        <x:v>Rights row 94 not accepted on paper</x:v>
      </x:c>
      <x:c r="E3320" s="27" t="n">
        <x:f>IF('Ancestry Rights'!G94=0,1,0)</x:f>
        <x:v>1</x:v>
      </x:c>
      <x:c r="F3320" s="27" t="n">
        <x:v>1</x:v>
      </x:c>
      <x:c r="G3320" s="29" t="str">
        <x:f>IF(E3320=F3320,"PASS","FAIL")</x:f>
        <x:v>PASS</x:v>
      </x:c>
    </x:row>
    <x:row r="3321" ht="18" customHeight="1">
      <x:c r="B3321" s="27" t="str">
        <x:v>A3315</x:v>
      </x:c>
      <x:c r="C3321" s="27" t="str">
        <x:v>rights</x:v>
      </x:c>
      <x:c r="D3321" s="27" t="str">
        <x:v>Rights row 94 authority present</x:v>
      </x:c>
      <x:c r="E3321" s="27" t="n">
        <x:f>IF('Ancestry Rights'!H94&lt;&gt;"",1,0)</x:f>
        <x:v>1</x:v>
      </x:c>
      <x:c r="F3321" s="27" t="n">
        <x:v>1</x:v>
      </x:c>
      <x:c r="G3321" s="29" t="str">
        <x:f>IF(E3321=F3321,"PASS","FAIL")</x:f>
        <x:v>PASS</x:v>
      </x:c>
    </x:row>
    <x:row r="3322" ht="18" customHeight="1">
      <x:c r="B3322" s="27" t="str">
        <x:v>A3316</x:v>
      </x:c>
      <x:c r="C3322" s="27" t="str">
        <x:v>rights</x:v>
      </x:c>
      <x:c r="D3322" s="27" t="str">
        <x:v>Rights row 94 evidence open</x:v>
      </x:c>
      <x:c r="E3322" s="27" t="n">
        <x:f>IF('Ancestry Rights'!I94="OPEN",1,0)</x:f>
        <x:v>1</x:v>
      </x:c>
      <x:c r="F3322" s="27" t="n">
        <x:v>1</x:v>
      </x:c>
      <x:c r="G3322" s="29" t="str">
        <x:f>IF(E3322=F3322,"PASS","FAIL")</x:f>
        <x:v>PASS</x:v>
      </x:c>
    </x:row>
    <x:row r="3323" ht="18" customHeight="1">
      <x:c r="B3323" s="27" t="str">
        <x:v>A3317</x:v>
      </x:c>
      <x:c r="C3323" s="27" t="str">
        <x:v>rights</x:v>
      </x:c>
      <x:c r="D3323" s="27" t="str">
        <x:v>Rights row 94 zero credit</x:v>
      </x:c>
      <x:c r="E3323" s="27" t="n">
        <x:f>IF('Ancestry Rights'!J94=0,1,0)</x:f>
        <x:v>1</x:v>
      </x:c>
      <x:c r="F3323" s="27" t="n">
        <x:v>1</x:v>
      </x:c>
      <x:c r="G3323" s="29" t="str">
        <x:f>IF(E3323=F3323,"PASS","FAIL")</x:f>
        <x:v>PASS</x:v>
      </x:c>
    </x:row>
    <x:row r="3324" ht="18" customHeight="1">
      <x:c r="B3324" s="27" t="str">
        <x:v>A3318</x:v>
      </x:c>
      <x:c r="C3324" s="27" t="str">
        <x:v>rights</x:v>
      </x:c>
      <x:c r="D3324" s="27" t="str">
        <x:v>Rights row 95 required</x:v>
      </x:c>
      <x:c r="E3324" s="27" t="n">
        <x:f>IF('Ancestry Rights'!F95=1,1,0)</x:f>
        <x:v>1</x:v>
      </x:c>
      <x:c r="F3324" s="27" t="n">
        <x:v>1</x:v>
      </x:c>
      <x:c r="G3324" s="29" t="str">
        <x:f>IF(E3324=F3324,"PASS","FAIL")</x:f>
        <x:v>PASS</x:v>
      </x:c>
    </x:row>
    <x:row r="3325" ht="18" customHeight="1">
      <x:c r="B3325" s="27" t="str">
        <x:v>A3319</x:v>
      </x:c>
      <x:c r="C3325" s="27" t="str">
        <x:v>rights</x:v>
      </x:c>
      <x:c r="D3325" s="27" t="str">
        <x:v>Rights row 95 not accepted on paper</x:v>
      </x:c>
      <x:c r="E3325" s="27" t="n">
        <x:f>IF('Ancestry Rights'!G95=0,1,0)</x:f>
        <x:v>1</x:v>
      </x:c>
      <x:c r="F3325" s="27" t="n">
        <x:v>1</x:v>
      </x:c>
      <x:c r="G3325" s="29" t="str">
        <x:f>IF(E3325=F3325,"PASS","FAIL")</x:f>
        <x:v>PASS</x:v>
      </x:c>
    </x:row>
    <x:row r="3326" ht="18" customHeight="1">
      <x:c r="B3326" s="27" t="str">
        <x:v>A3320</x:v>
      </x:c>
      <x:c r="C3326" s="27" t="str">
        <x:v>rights</x:v>
      </x:c>
      <x:c r="D3326" s="27" t="str">
        <x:v>Rights row 95 authority present</x:v>
      </x:c>
      <x:c r="E3326" s="27" t="n">
        <x:f>IF('Ancestry Rights'!H95&lt;&gt;"",1,0)</x:f>
        <x:v>1</x:v>
      </x:c>
      <x:c r="F3326" s="27" t="n">
        <x:v>1</x:v>
      </x:c>
      <x:c r="G3326" s="29" t="str">
        <x:f>IF(E3326=F3326,"PASS","FAIL")</x:f>
        <x:v>PASS</x:v>
      </x:c>
    </x:row>
    <x:row r="3327" ht="18" customHeight="1">
      <x:c r="B3327" s="27" t="str">
        <x:v>A3321</x:v>
      </x:c>
      <x:c r="C3327" s="27" t="str">
        <x:v>rights</x:v>
      </x:c>
      <x:c r="D3327" s="27" t="str">
        <x:v>Rights row 95 evidence open</x:v>
      </x:c>
      <x:c r="E3327" s="27" t="n">
        <x:f>IF('Ancestry Rights'!I95="OPEN",1,0)</x:f>
        <x:v>1</x:v>
      </x:c>
      <x:c r="F3327" s="27" t="n">
        <x:v>1</x:v>
      </x:c>
      <x:c r="G3327" s="29" t="str">
        <x:f>IF(E3327=F3327,"PASS","FAIL")</x:f>
        <x:v>PASS</x:v>
      </x:c>
    </x:row>
    <x:row r="3328" ht="18" customHeight="1">
      <x:c r="B3328" s="27" t="str">
        <x:v>A3322</x:v>
      </x:c>
      <x:c r="C3328" s="27" t="str">
        <x:v>rights</x:v>
      </x:c>
      <x:c r="D3328" s="27" t="str">
        <x:v>Rights row 95 zero credit</x:v>
      </x:c>
      <x:c r="E3328" s="27" t="n">
        <x:f>IF('Ancestry Rights'!J95=0,1,0)</x:f>
        <x:v>1</x:v>
      </x:c>
      <x:c r="F3328" s="27" t="n">
        <x:v>1</x:v>
      </x:c>
      <x:c r="G3328" s="29" t="str">
        <x:f>IF(E3328=F3328,"PASS","FAIL")</x:f>
        <x:v>PASS</x:v>
      </x:c>
    </x:row>
    <x:row r="3329" ht="18" customHeight="1">
      <x:c r="B3329" s="27" t="str">
        <x:v>A3323</x:v>
      </x:c>
      <x:c r="C3329" s="27" t="str">
        <x:v>rights</x:v>
      </x:c>
      <x:c r="D3329" s="27" t="str">
        <x:v>Rights row 96 required</x:v>
      </x:c>
      <x:c r="E3329" s="27" t="n">
        <x:f>IF('Ancestry Rights'!F96=1,1,0)</x:f>
        <x:v>1</x:v>
      </x:c>
      <x:c r="F3329" s="27" t="n">
        <x:v>1</x:v>
      </x:c>
      <x:c r="G3329" s="29" t="str">
        <x:f>IF(E3329=F3329,"PASS","FAIL")</x:f>
        <x:v>PASS</x:v>
      </x:c>
    </x:row>
    <x:row r="3330" ht="18" customHeight="1">
      <x:c r="B3330" s="27" t="str">
        <x:v>A3324</x:v>
      </x:c>
      <x:c r="C3330" s="27" t="str">
        <x:v>rights</x:v>
      </x:c>
      <x:c r="D3330" s="27" t="str">
        <x:v>Rights row 96 not accepted on paper</x:v>
      </x:c>
      <x:c r="E3330" s="27" t="n">
        <x:f>IF('Ancestry Rights'!G96=0,1,0)</x:f>
        <x:v>1</x:v>
      </x:c>
      <x:c r="F3330" s="27" t="n">
        <x:v>1</x:v>
      </x:c>
      <x:c r="G3330" s="29" t="str">
        <x:f>IF(E3330=F3330,"PASS","FAIL")</x:f>
        <x:v>PASS</x:v>
      </x:c>
    </x:row>
    <x:row r="3331" ht="18" customHeight="1">
      <x:c r="B3331" s="27" t="str">
        <x:v>A3325</x:v>
      </x:c>
      <x:c r="C3331" s="27" t="str">
        <x:v>rights</x:v>
      </x:c>
      <x:c r="D3331" s="27" t="str">
        <x:v>Rights row 96 authority present</x:v>
      </x:c>
      <x:c r="E3331" s="27" t="n">
        <x:f>IF('Ancestry Rights'!H96&lt;&gt;"",1,0)</x:f>
        <x:v>1</x:v>
      </x:c>
      <x:c r="F3331" s="27" t="n">
        <x:v>1</x:v>
      </x:c>
      <x:c r="G3331" s="29" t="str">
        <x:f>IF(E3331=F3331,"PASS","FAIL")</x:f>
        <x:v>PASS</x:v>
      </x:c>
    </x:row>
    <x:row r="3332" ht="18" customHeight="1">
      <x:c r="B3332" s="27" t="str">
        <x:v>A3326</x:v>
      </x:c>
      <x:c r="C3332" s="27" t="str">
        <x:v>rights</x:v>
      </x:c>
      <x:c r="D3332" s="27" t="str">
        <x:v>Rights row 96 evidence open</x:v>
      </x:c>
      <x:c r="E3332" s="27" t="n">
        <x:f>IF('Ancestry Rights'!I96="OPEN",1,0)</x:f>
        <x:v>1</x:v>
      </x:c>
      <x:c r="F3332" s="27" t="n">
        <x:v>1</x:v>
      </x:c>
      <x:c r="G3332" s="29" t="str">
        <x:f>IF(E3332=F3332,"PASS","FAIL")</x:f>
        <x:v>PASS</x:v>
      </x:c>
    </x:row>
    <x:row r="3333" ht="18" customHeight="1">
      <x:c r="B3333" s="27" t="str">
        <x:v>A3327</x:v>
      </x:c>
      <x:c r="C3333" s="27" t="str">
        <x:v>rights</x:v>
      </x:c>
      <x:c r="D3333" s="27" t="str">
        <x:v>Rights row 96 zero credit</x:v>
      </x:c>
      <x:c r="E3333" s="27" t="n">
        <x:f>IF('Ancestry Rights'!J96=0,1,0)</x:f>
        <x:v>1</x:v>
      </x:c>
      <x:c r="F3333" s="27" t="n">
        <x:v>1</x:v>
      </x:c>
      <x:c r="G3333" s="29" t="str">
        <x:f>IF(E3333=F3333,"PASS","FAIL")</x:f>
        <x:v>PASS</x:v>
      </x:c>
    </x:row>
    <x:row r="3334" ht="18" customHeight="1">
      <x:c r="B3334" s="27" t="str">
        <x:v>A3328</x:v>
      </x:c>
      <x:c r="C3334" s="27" t="str">
        <x:v>rights</x:v>
      </x:c>
      <x:c r="D3334" s="27" t="str">
        <x:v>Rights row 97 required</x:v>
      </x:c>
      <x:c r="E3334" s="27" t="n">
        <x:f>IF('Ancestry Rights'!F97=1,1,0)</x:f>
        <x:v>1</x:v>
      </x:c>
      <x:c r="F3334" s="27" t="n">
        <x:v>1</x:v>
      </x:c>
      <x:c r="G3334" s="29" t="str">
        <x:f>IF(E3334=F3334,"PASS","FAIL")</x:f>
        <x:v>PASS</x:v>
      </x:c>
    </x:row>
    <x:row r="3335" ht="18" customHeight="1">
      <x:c r="B3335" s="27" t="str">
        <x:v>A3329</x:v>
      </x:c>
      <x:c r="C3335" s="27" t="str">
        <x:v>rights</x:v>
      </x:c>
      <x:c r="D3335" s="27" t="str">
        <x:v>Rights row 97 not accepted on paper</x:v>
      </x:c>
      <x:c r="E3335" s="27" t="n">
        <x:f>IF('Ancestry Rights'!G97=0,1,0)</x:f>
        <x:v>1</x:v>
      </x:c>
      <x:c r="F3335" s="27" t="n">
        <x:v>1</x:v>
      </x:c>
      <x:c r="G3335" s="29" t="str">
        <x:f>IF(E3335=F3335,"PASS","FAIL")</x:f>
        <x:v>PASS</x:v>
      </x:c>
    </x:row>
    <x:row r="3336" ht="18" customHeight="1">
      <x:c r="B3336" s="27" t="str">
        <x:v>A3330</x:v>
      </x:c>
      <x:c r="C3336" s="27" t="str">
        <x:v>rights</x:v>
      </x:c>
      <x:c r="D3336" s="27" t="str">
        <x:v>Rights row 97 authority present</x:v>
      </x:c>
      <x:c r="E3336" s="27" t="n">
        <x:f>IF('Ancestry Rights'!H97&lt;&gt;"",1,0)</x:f>
        <x:v>1</x:v>
      </x:c>
      <x:c r="F3336" s="27" t="n">
        <x:v>1</x:v>
      </x:c>
      <x:c r="G3336" s="29" t="str">
        <x:f>IF(E3336=F3336,"PASS","FAIL")</x:f>
        <x:v>PASS</x:v>
      </x:c>
    </x:row>
    <x:row r="3337" ht="18" customHeight="1">
      <x:c r="B3337" s="27" t="str">
        <x:v>A3331</x:v>
      </x:c>
      <x:c r="C3337" s="27" t="str">
        <x:v>rights</x:v>
      </x:c>
      <x:c r="D3337" s="27" t="str">
        <x:v>Rights row 97 evidence open</x:v>
      </x:c>
      <x:c r="E3337" s="27" t="n">
        <x:f>IF('Ancestry Rights'!I97="OPEN",1,0)</x:f>
        <x:v>1</x:v>
      </x:c>
      <x:c r="F3337" s="27" t="n">
        <x:v>1</x:v>
      </x:c>
      <x:c r="G3337" s="29" t="str">
        <x:f>IF(E3337=F3337,"PASS","FAIL")</x:f>
        <x:v>PASS</x:v>
      </x:c>
    </x:row>
    <x:row r="3338" ht="18" customHeight="1">
      <x:c r="B3338" s="27" t="str">
        <x:v>A3332</x:v>
      </x:c>
      <x:c r="C3338" s="27" t="str">
        <x:v>rights</x:v>
      </x:c>
      <x:c r="D3338" s="27" t="str">
        <x:v>Rights row 97 zero credit</x:v>
      </x:c>
      <x:c r="E3338" s="27" t="n">
        <x:f>IF('Ancestry Rights'!J97=0,1,0)</x:f>
        <x:v>1</x:v>
      </x:c>
      <x:c r="F3338" s="27" t="n">
        <x:v>1</x:v>
      </x:c>
      <x:c r="G3338" s="29" t="str">
        <x:f>IF(E3338=F3338,"PASS","FAIL")</x:f>
        <x:v>PASS</x:v>
      </x:c>
    </x:row>
    <x:row r="3339" ht="18" customHeight="1">
      <x:c r="B3339" s="27" t="str">
        <x:v>A3333</x:v>
      </x:c>
      <x:c r="C3339" s="27" t="str">
        <x:v>rights</x:v>
      </x:c>
      <x:c r="D3339" s="27" t="str">
        <x:v>Rights row 98 required</x:v>
      </x:c>
      <x:c r="E3339" s="27" t="n">
        <x:f>IF('Ancestry Rights'!F98=1,1,0)</x:f>
        <x:v>1</x:v>
      </x:c>
      <x:c r="F3339" s="27" t="n">
        <x:v>1</x:v>
      </x:c>
      <x:c r="G3339" s="29" t="str">
        <x:f>IF(E3339=F3339,"PASS","FAIL")</x:f>
        <x:v>PASS</x:v>
      </x:c>
    </x:row>
    <x:row r="3340" ht="18" customHeight="1">
      <x:c r="B3340" s="27" t="str">
        <x:v>A3334</x:v>
      </x:c>
      <x:c r="C3340" s="27" t="str">
        <x:v>rights</x:v>
      </x:c>
      <x:c r="D3340" s="27" t="str">
        <x:v>Rights row 98 not accepted on paper</x:v>
      </x:c>
      <x:c r="E3340" s="27" t="n">
        <x:f>IF('Ancestry Rights'!G98=0,1,0)</x:f>
        <x:v>1</x:v>
      </x:c>
      <x:c r="F3340" s="27" t="n">
        <x:v>1</x:v>
      </x:c>
      <x:c r="G3340" s="29" t="str">
        <x:f>IF(E3340=F3340,"PASS","FAIL")</x:f>
        <x:v>PASS</x:v>
      </x:c>
    </x:row>
    <x:row r="3341" ht="18" customHeight="1">
      <x:c r="B3341" s="27" t="str">
        <x:v>A3335</x:v>
      </x:c>
      <x:c r="C3341" s="27" t="str">
        <x:v>rights</x:v>
      </x:c>
      <x:c r="D3341" s="27" t="str">
        <x:v>Rights row 98 authority present</x:v>
      </x:c>
      <x:c r="E3341" s="27" t="n">
        <x:f>IF('Ancestry Rights'!H98&lt;&gt;"",1,0)</x:f>
        <x:v>1</x:v>
      </x:c>
      <x:c r="F3341" s="27" t="n">
        <x:v>1</x:v>
      </x:c>
      <x:c r="G3341" s="29" t="str">
        <x:f>IF(E3341=F3341,"PASS","FAIL")</x:f>
        <x:v>PASS</x:v>
      </x:c>
    </x:row>
    <x:row r="3342" ht="18" customHeight="1">
      <x:c r="B3342" s="27" t="str">
        <x:v>A3336</x:v>
      </x:c>
      <x:c r="C3342" s="27" t="str">
        <x:v>rights</x:v>
      </x:c>
      <x:c r="D3342" s="27" t="str">
        <x:v>Rights row 98 evidence open</x:v>
      </x:c>
      <x:c r="E3342" s="27" t="n">
        <x:f>IF('Ancestry Rights'!I98="OPEN",1,0)</x:f>
        <x:v>1</x:v>
      </x:c>
      <x:c r="F3342" s="27" t="n">
        <x:v>1</x:v>
      </x:c>
      <x:c r="G3342" s="29" t="str">
        <x:f>IF(E3342=F3342,"PASS","FAIL")</x:f>
        <x:v>PASS</x:v>
      </x:c>
    </x:row>
    <x:row r="3343" ht="18" customHeight="1">
      <x:c r="B3343" s="27" t="str">
        <x:v>A3337</x:v>
      </x:c>
      <x:c r="C3343" s="27" t="str">
        <x:v>rights</x:v>
      </x:c>
      <x:c r="D3343" s="27" t="str">
        <x:v>Rights row 98 zero credit</x:v>
      </x:c>
      <x:c r="E3343" s="27" t="n">
        <x:f>IF('Ancestry Rights'!J98=0,1,0)</x:f>
        <x:v>1</x:v>
      </x:c>
      <x:c r="F3343" s="27" t="n">
        <x:v>1</x:v>
      </x:c>
      <x:c r="G3343" s="29" t="str">
        <x:f>IF(E3343=F3343,"PASS","FAIL")</x:f>
        <x:v>PASS</x:v>
      </x:c>
    </x:row>
    <x:row r="3344" ht="18" customHeight="1">
      <x:c r="B3344" s="27" t="str">
        <x:v>A3338</x:v>
      </x:c>
      <x:c r="C3344" s="27" t="str">
        <x:v>rights</x:v>
      </x:c>
      <x:c r="D3344" s="27" t="str">
        <x:v>Rights row 99 required</x:v>
      </x:c>
      <x:c r="E3344" s="27" t="n">
        <x:f>IF('Ancestry Rights'!F99=1,1,0)</x:f>
        <x:v>1</x:v>
      </x:c>
      <x:c r="F3344" s="27" t="n">
        <x:v>1</x:v>
      </x:c>
      <x:c r="G3344" s="29" t="str">
        <x:f>IF(E3344=F3344,"PASS","FAIL")</x:f>
        <x:v>PASS</x:v>
      </x:c>
    </x:row>
    <x:row r="3345" ht="18" customHeight="1">
      <x:c r="B3345" s="27" t="str">
        <x:v>A3339</x:v>
      </x:c>
      <x:c r="C3345" s="27" t="str">
        <x:v>rights</x:v>
      </x:c>
      <x:c r="D3345" s="27" t="str">
        <x:v>Rights row 99 not accepted on paper</x:v>
      </x:c>
      <x:c r="E3345" s="27" t="n">
        <x:f>IF('Ancestry Rights'!G99=0,1,0)</x:f>
        <x:v>1</x:v>
      </x:c>
      <x:c r="F3345" s="27" t="n">
        <x:v>1</x:v>
      </x:c>
      <x:c r="G3345" s="29" t="str">
        <x:f>IF(E3345=F3345,"PASS","FAIL")</x:f>
        <x:v>PASS</x:v>
      </x:c>
    </x:row>
    <x:row r="3346" ht="18" customHeight="1">
      <x:c r="B3346" s="27" t="str">
        <x:v>A3340</x:v>
      </x:c>
      <x:c r="C3346" s="27" t="str">
        <x:v>rights</x:v>
      </x:c>
      <x:c r="D3346" s="27" t="str">
        <x:v>Rights row 99 authority present</x:v>
      </x:c>
      <x:c r="E3346" s="27" t="n">
        <x:f>IF('Ancestry Rights'!H99&lt;&gt;"",1,0)</x:f>
        <x:v>1</x:v>
      </x:c>
      <x:c r="F3346" s="27" t="n">
        <x:v>1</x:v>
      </x:c>
      <x:c r="G3346" s="29" t="str">
        <x:f>IF(E3346=F3346,"PASS","FAIL")</x:f>
        <x:v>PASS</x:v>
      </x:c>
    </x:row>
    <x:row r="3347" ht="18" customHeight="1">
      <x:c r="B3347" s="27" t="str">
        <x:v>A3341</x:v>
      </x:c>
      <x:c r="C3347" s="27" t="str">
        <x:v>rights</x:v>
      </x:c>
      <x:c r="D3347" s="27" t="str">
        <x:v>Rights row 99 evidence open</x:v>
      </x:c>
      <x:c r="E3347" s="27" t="n">
        <x:f>IF('Ancestry Rights'!I99="OPEN",1,0)</x:f>
        <x:v>1</x:v>
      </x:c>
      <x:c r="F3347" s="27" t="n">
        <x:v>1</x:v>
      </x:c>
      <x:c r="G3347" s="29" t="str">
        <x:f>IF(E3347=F3347,"PASS","FAIL")</x:f>
        <x:v>PASS</x:v>
      </x:c>
    </x:row>
    <x:row r="3348" ht="18" customHeight="1">
      <x:c r="B3348" s="27" t="str">
        <x:v>A3342</x:v>
      </x:c>
      <x:c r="C3348" s="27" t="str">
        <x:v>rights</x:v>
      </x:c>
      <x:c r="D3348" s="27" t="str">
        <x:v>Rights row 99 zero credit</x:v>
      </x:c>
      <x:c r="E3348" s="27" t="n">
        <x:f>IF('Ancestry Rights'!J99=0,1,0)</x:f>
        <x:v>1</x:v>
      </x:c>
      <x:c r="F3348" s="27" t="n">
        <x:v>1</x:v>
      </x:c>
      <x:c r="G3348" s="29" t="str">
        <x:f>IF(E3348=F3348,"PASS","FAIL")</x:f>
        <x:v>PASS</x:v>
      </x:c>
    </x:row>
    <x:row r="3349" ht="18" customHeight="1">
      <x:c r="B3349" s="27" t="str">
        <x:v>A3343</x:v>
      </x:c>
      <x:c r="C3349" s="27" t="str">
        <x:v>rights</x:v>
      </x:c>
      <x:c r="D3349" s="27" t="str">
        <x:v>Rights row 100 required</x:v>
      </x:c>
      <x:c r="E3349" s="27" t="n">
        <x:f>IF('Ancestry Rights'!F100=1,1,0)</x:f>
        <x:v>1</x:v>
      </x:c>
      <x:c r="F3349" s="27" t="n">
        <x:v>1</x:v>
      </x:c>
      <x:c r="G3349" s="29" t="str">
        <x:f>IF(E3349=F3349,"PASS","FAIL")</x:f>
        <x:v>PASS</x:v>
      </x:c>
    </x:row>
    <x:row r="3350" ht="18" customHeight="1">
      <x:c r="B3350" s="27" t="str">
        <x:v>A3344</x:v>
      </x:c>
      <x:c r="C3350" s="27" t="str">
        <x:v>rights</x:v>
      </x:c>
      <x:c r="D3350" s="27" t="str">
        <x:v>Rights row 100 not accepted on paper</x:v>
      </x:c>
      <x:c r="E3350" s="27" t="n">
        <x:f>IF('Ancestry Rights'!G100=0,1,0)</x:f>
        <x:v>1</x:v>
      </x:c>
      <x:c r="F3350" s="27" t="n">
        <x:v>1</x:v>
      </x:c>
      <x:c r="G3350" s="29" t="str">
        <x:f>IF(E3350=F3350,"PASS","FAIL")</x:f>
        <x:v>PASS</x:v>
      </x:c>
    </x:row>
    <x:row r="3351" ht="18" customHeight="1">
      <x:c r="B3351" s="27" t="str">
        <x:v>A3345</x:v>
      </x:c>
      <x:c r="C3351" s="27" t="str">
        <x:v>rights</x:v>
      </x:c>
      <x:c r="D3351" s="27" t="str">
        <x:v>Rights row 100 authority present</x:v>
      </x:c>
      <x:c r="E3351" s="27" t="n">
        <x:f>IF('Ancestry Rights'!H100&lt;&gt;"",1,0)</x:f>
        <x:v>1</x:v>
      </x:c>
      <x:c r="F3351" s="27" t="n">
        <x:v>1</x:v>
      </x:c>
      <x:c r="G3351" s="29" t="str">
        <x:f>IF(E3351=F3351,"PASS","FAIL")</x:f>
        <x:v>PASS</x:v>
      </x:c>
    </x:row>
    <x:row r="3352" ht="18" customHeight="1">
      <x:c r="B3352" s="27" t="str">
        <x:v>A3346</x:v>
      </x:c>
      <x:c r="C3352" s="27" t="str">
        <x:v>rights</x:v>
      </x:c>
      <x:c r="D3352" s="27" t="str">
        <x:v>Rights row 100 evidence open</x:v>
      </x:c>
      <x:c r="E3352" s="27" t="n">
        <x:f>IF('Ancestry Rights'!I100="OPEN",1,0)</x:f>
        <x:v>1</x:v>
      </x:c>
      <x:c r="F3352" s="27" t="n">
        <x:v>1</x:v>
      </x:c>
      <x:c r="G3352" s="29" t="str">
        <x:f>IF(E3352=F3352,"PASS","FAIL")</x:f>
        <x:v>PASS</x:v>
      </x:c>
    </x:row>
    <x:row r="3353" ht="18" customHeight="1">
      <x:c r="B3353" s="27" t="str">
        <x:v>A3347</x:v>
      </x:c>
      <x:c r="C3353" s="27" t="str">
        <x:v>rights</x:v>
      </x:c>
      <x:c r="D3353" s="27" t="str">
        <x:v>Rights row 100 zero credit</x:v>
      </x:c>
      <x:c r="E3353" s="27" t="n">
        <x:f>IF('Ancestry Rights'!J100=0,1,0)</x:f>
        <x:v>1</x:v>
      </x:c>
      <x:c r="F3353" s="27" t="n">
        <x:v>1</x:v>
      </x:c>
      <x:c r="G3353" s="29" t="str">
        <x:f>IF(E3353=F3353,"PASS","FAIL")</x:f>
        <x:v>PASS</x:v>
      </x:c>
    </x:row>
    <x:row r="3354" ht="18" customHeight="1">
      <x:c r="B3354" s="27" t="str">
        <x:v>A3348</x:v>
      </x:c>
      <x:c r="C3354" s="27" t="str">
        <x:v>rights</x:v>
      </x:c>
      <x:c r="D3354" s="27" t="str">
        <x:v>Rights row 101 required</x:v>
      </x:c>
      <x:c r="E3354" s="27" t="n">
        <x:f>IF('Ancestry Rights'!F101=1,1,0)</x:f>
        <x:v>1</x:v>
      </x:c>
      <x:c r="F3354" s="27" t="n">
        <x:v>1</x:v>
      </x:c>
      <x:c r="G3354" s="29" t="str">
        <x:f>IF(E3354=F3354,"PASS","FAIL")</x:f>
        <x:v>PASS</x:v>
      </x:c>
    </x:row>
    <x:row r="3355" ht="18" customHeight="1">
      <x:c r="B3355" s="27" t="str">
        <x:v>A3349</x:v>
      </x:c>
      <x:c r="C3355" s="27" t="str">
        <x:v>rights</x:v>
      </x:c>
      <x:c r="D3355" s="27" t="str">
        <x:v>Rights row 101 not accepted on paper</x:v>
      </x:c>
      <x:c r="E3355" s="27" t="n">
        <x:f>IF('Ancestry Rights'!G101=0,1,0)</x:f>
        <x:v>1</x:v>
      </x:c>
      <x:c r="F3355" s="27" t="n">
        <x:v>1</x:v>
      </x:c>
      <x:c r="G3355" s="29" t="str">
        <x:f>IF(E3355=F3355,"PASS","FAIL")</x:f>
        <x:v>PASS</x:v>
      </x:c>
    </x:row>
    <x:row r="3356" ht="18" customHeight="1">
      <x:c r="B3356" s="27" t="str">
        <x:v>A3350</x:v>
      </x:c>
      <x:c r="C3356" s="27" t="str">
        <x:v>rights</x:v>
      </x:c>
      <x:c r="D3356" s="27" t="str">
        <x:v>Rights row 101 authority present</x:v>
      </x:c>
      <x:c r="E3356" s="27" t="n">
        <x:f>IF('Ancestry Rights'!H101&lt;&gt;"",1,0)</x:f>
        <x:v>1</x:v>
      </x:c>
      <x:c r="F3356" s="27" t="n">
        <x:v>1</x:v>
      </x:c>
      <x:c r="G3356" s="29" t="str">
        <x:f>IF(E3356=F3356,"PASS","FAIL")</x:f>
        <x:v>PASS</x:v>
      </x:c>
    </x:row>
    <x:row r="3357" ht="18" customHeight="1">
      <x:c r="B3357" s="27" t="str">
        <x:v>A3351</x:v>
      </x:c>
      <x:c r="C3357" s="27" t="str">
        <x:v>rights</x:v>
      </x:c>
      <x:c r="D3357" s="27" t="str">
        <x:v>Rights row 101 evidence open</x:v>
      </x:c>
      <x:c r="E3357" s="27" t="n">
        <x:f>IF('Ancestry Rights'!I101="OPEN",1,0)</x:f>
        <x:v>1</x:v>
      </x:c>
      <x:c r="F3357" s="27" t="n">
        <x:v>1</x:v>
      </x:c>
      <x:c r="G3357" s="29" t="str">
        <x:f>IF(E3357=F3357,"PASS","FAIL")</x:f>
        <x:v>PASS</x:v>
      </x:c>
    </x:row>
    <x:row r="3358" ht="18" customHeight="1">
      <x:c r="B3358" s="27" t="str">
        <x:v>A3352</x:v>
      </x:c>
      <x:c r="C3358" s="27" t="str">
        <x:v>rights</x:v>
      </x:c>
      <x:c r="D3358" s="27" t="str">
        <x:v>Rights row 101 zero credit</x:v>
      </x:c>
      <x:c r="E3358" s="27" t="n">
        <x:f>IF('Ancestry Rights'!J101=0,1,0)</x:f>
        <x:v>1</x:v>
      </x:c>
      <x:c r="F3358" s="27" t="n">
        <x:v>1</x:v>
      </x:c>
      <x:c r="G3358" s="29" t="str">
        <x:f>IF(E3358=F3358,"PASS","FAIL")</x:f>
        <x:v>PASS</x:v>
      </x:c>
    </x:row>
    <x:row r="3359" ht="18" customHeight="1">
      <x:c r="B3359" s="27" t="str">
        <x:v>A3353</x:v>
      </x:c>
      <x:c r="C3359" s="27" t="str">
        <x:v>rights</x:v>
      </x:c>
      <x:c r="D3359" s="27" t="str">
        <x:v>Rights row 102 required</x:v>
      </x:c>
      <x:c r="E3359" s="27" t="n">
        <x:f>IF('Ancestry Rights'!F102=1,1,0)</x:f>
        <x:v>1</x:v>
      </x:c>
      <x:c r="F3359" s="27" t="n">
        <x:v>1</x:v>
      </x:c>
      <x:c r="G3359" s="29" t="str">
        <x:f>IF(E3359=F3359,"PASS","FAIL")</x:f>
        <x:v>PASS</x:v>
      </x:c>
    </x:row>
    <x:row r="3360" ht="18" customHeight="1">
      <x:c r="B3360" s="27" t="str">
        <x:v>A3354</x:v>
      </x:c>
      <x:c r="C3360" s="27" t="str">
        <x:v>rights</x:v>
      </x:c>
      <x:c r="D3360" s="27" t="str">
        <x:v>Rights row 102 not accepted on paper</x:v>
      </x:c>
      <x:c r="E3360" s="27" t="n">
        <x:f>IF('Ancestry Rights'!G102=0,1,0)</x:f>
        <x:v>1</x:v>
      </x:c>
      <x:c r="F3360" s="27" t="n">
        <x:v>1</x:v>
      </x:c>
      <x:c r="G3360" s="29" t="str">
        <x:f>IF(E3360=F3360,"PASS","FAIL")</x:f>
        <x:v>PASS</x:v>
      </x:c>
    </x:row>
    <x:row r="3361" ht="18" customHeight="1">
      <x:c r="B3361" s="27" t="str">
        <x:v>A3355</x:v>
      </x:c>
      <x:c r="C3361" s="27" t="str">
        <x:v>rights</x:v>
      </x:c>
      <x:c r="D3361" s="27" t="str">
        <x:v>Rights row 102 authority present</x:v>
      </x:c>
      <x:c r="E3361" s="27" t="n">
        <x:f>IF('Ancestry Rights'!H102&lt;&gt;"",1,0)</x:f>
        <x:v>1</x:v>
      </x:c>
      <x:c r="F3361" s="27" t="n">
        <x:v>1</x:v>
      </x:c>
      <x:c r="G3361" s="29" t="str">
        <x:f>IF(E3361=F3361,"PASS","FAIL")</x:f>
        <x:v>PASS</x:v>
      </x:c>
    </x:row>
    <x:row r="3362" ht="18" customHeight="1">
      <x:c r="B3362" s="27" t="str">
        <x:v>A3356</x:v>
      </x:c>
      <x:c r="C3362" s="27" t="str">
        <x:v>rights</x:v>
      </x:c>
      <x:c r="D3362" s="27" t="str">
        <x:v>Rights row 102 evidence open</x:v>
      </x:c>
      <x:c r="E3362" s="27" t="n">
        <x:f>IF('Ancestry Rights'!I102="OPEN",1,0)</x:f>
        <x:v>1</x:v>
      </x:c>
      <x:c r="F3362" s="27" t="n">
        <x:v>1</x:v>
      </x:c>
      <x:c r="G3362" s="29" t="str">
        <x:f>IF(E3362=F3362,"PASS","FAIL")</x:f>
        <x:v>PASS</x:v>
      </x:c>
    </x:row>
    <x:row r="3363" ht="18" customHeight="1">
      <x:c r="B3363" s="27" t="str">
        <x:v>A3357</x:v>
      </x:c>
      <x:c r="C3363" s="27" t="str">
        <x:v>rights</x:v>
      </x:c>
      <x:c r="D3363" s="27" t="str">
        <x:v>Rights row 102 zero credit</x:v>
      </x:c>
      <x:c r="E3363" s="27" t="n">
        <x:f>IF('Ancestry Rights'!J102=0,1,0)</x:f>
        <x:v>1</x:v>
      </x:c>
      <x:c r="F3363" s="27" t="n">
        <x:v>1</x:v>
      </x:c>
      <x:c r="G3363" s="29" t="str">
        <x:f>IF(E3363=F3363,"PASS","FAIL")</x:f>
        <x:v>PASS</x:v>
      </x:c>
    </x:row>
    <x:row r="3364" ht="18" customHeight="1">
      <x:c r="B3364" s="27" t="str">
        <x:v>A3358</x:v>
      </x:c>
      <x:c r="C3364" s="27" t="str">
        <x:v>lots</x:v>
      </x:c>
      <x:c r="D3364" s="27" t="str">
        <x:v>Lot row 7 positive quantity</x:v>
      </x:c>
      <x:c r="E3364" s="27" t="n">
        <x:f>IF('Article Lots'!F7&gt;0,1,0)</x:f>
        <x:v>1</x:v>
      </x:c>
      <x:c r="F3364" s="27" t="n">
        <x:v>1</x:v>
      </x:c>
      <x:c r="G3364" s="29" t="str">
        <x:f>IF(E3364=F3364,"PASS","FAIL")</x:f>
        <x:v>PASS</x:v>
      </x:c>
    </x:row>
    <x:row r="3365" ht="18" customHeight="1">
      <x:c r="B3365" s="27" t="str">
        <x:v>A3359</x:v>
      </x:c>
      <x:c r="C3365" s="27" t="str">
        <x:v>lots</x:v>
      </x:c>
      <x:c r="D3365" s="27" t="str">
        <x:v>Lot row 7 cost extension</x:v>
      </x:c>
      <x:c r="E3365" s="27" t="n">
        <x:f>IF(ABS('Article Lots'!H7-'Article Lots'!F7*'Article Lots'!G7/1000)&lt;0.000001,1,0)</x:f>
        <x:v>1</x:v>
      </x:c>
      <x:c r="F3365" s="27" t="n">
        <x:v>1</x:v>
      </x:c>
      <x:c r="G3365" s="29" t="str">
        <x:f>IF(E3365=F3365,"PASS","FAIL")</x:f>
        <x:v>PASS</x:v>
      </x:c>
    </x:row>
    <x:row r="3366" ht="18" customHeight="1">
      <x:c r="B3366" s="27" t="str">
        <x:v>A3360</x:v>
      </x:c>
      <x:c r="C3366" s="27" t="str">
        <x:v>lots</x:v>
      </x:c>
      <x:c r="D3366" s="27" t="str">
        <x:v>Lot row 7 positive schedule margin</x:v>
      </x:c>
      <x:c r="E3366" s="27" t="n">
        <x:f>IF('Article Lots'!K7&gt;=1,1,0)</x:f>
        <x:v>1</x:v>
      </x:c>
      <x:c r="F3366" s="27" t="n">
        <x:v>1</x:v>
      </x:c>
      <x:c r="G3366" s="29" t="str">
        <x:f>IF(E3366=F3366,"PASS","FAIL")</x:f>
        <x:v>PASS</x:v>
      </x:c>
    </x:row>
    <x:row r="3367" ht="18" customHeight="1">
      <x:c r="B3367" s="27" t="str">
        <x:v>A3361</x:v>
      </x:c>
      <x:c r="C3367" s="27" t="str">
        <x:v>lots</x:v>
      </x:c>
      <x:c r="D3367" s="27" t="str">
        <x:v>Lot row 7 evidence open</x:v>
      </x:c>
      <x:c r="E3367" s="27" t="n">
        <x:f>IF('Article Lots'!M7="OPEN",1,0)</x:f>
        <x:v>1</x:v>
      </x:c>
      <x:c r="F3367" s="27" t="n">
        <x:v>1</x:v>
      </x:c>
      <x:c r="G3367" s="29" t="str">
        <x:f>IF(E3367=F3367,"PASS","FAIL")</x:f>
        <x:v>PASS</x:v>
      </x:c>
    </x:row>
    <x:row r="3368" ht="18" customHeight="1">
      <x:c r="B3368" s="27" t="str">
        <x:v>A3362</x:v>
      </x:c>
      <x:c r="C3368" s="27" t="str">
        <x:v>lots</x:v>
      </x:c>
      <x:c r="D3368" s="27" t="str">
        <x:v>Lot row 8 positive quantity</x:v>
      </x:c>
      <x:c r="E3368" s="27" t="n">
        <x:f>IF('Article Lots'!F8&gt;0,1,0)</x:f>
        <x:v>1</x:v>
      </x:c>
      <x:c r="F3368" s="27" t="n">
        <x:v>1</x:v>
      </x:c>
      <x:c r="G3368" s="29" t="str">
        <x:f>IF(E3368=F3368,"PASS","FAIL")</x:f>
        <x:v>PASS</x:v>
      </x:c>
    </x:row>
    <x:row r="3369" ht="18" customHeight="1">
      <x:c r="B3369" s="27" t="str">
        <x:v>A3363</x:v>
      </x:c>
      <x:c r="C3369" s="27" t="str">
        <x:v>lots</x:v>
      </x:c>
      <x:c r="D3369" s="27" t="str">
        <x:v>Lot row 8 cost extension</x:v>
      </x:c>
      <x:c r="E3369" s="27" t="n">
        <x:f>IF(ABS('Article Lots'!H8-'Article Lots'!F8*'Article Lots'!G8/1000)&lt;0.000001,1,0)</x:f>
        <x:v>1</x:v>
      </x:c>
      <x:c r="F3369" s="27" t="n">
        <x:v>1</x:v>
      </x:c>
      <x:c r="G3369" s="29" t="str">
        <x:f>IF(E3369=F3369,"PASS","FAIL")</x:f>
        <x:v>PASS</x:v>
      </x:c>
    </x:row>
    <x:row r="3370" ht="18" customHeight="1">
      <x:c r="B3370" s="27" t="str">
        <x:v>A3364</x:v>
      </x:c>
      <x:c r="C3370" s="27" t="str">
        <x:v>lots</x:v>
      </x:c>
      <x:c r="D3370" s="27" t="str">
        <x:v>Lot row 8 positive schedule margin</x:v>
      </x:c>
      <x:c r="E3370" s="27" t="n">
        <x:f>IF('Article Lots'!K8&gt;=1,1,0)</x:f>
        <x:v>1</x:v>
      </x:c>
      <x:c r="F3370" s="27" t="n">
        <x:v>1</x:v>
      </x:c>
      <x:c r="G3370" s="29" t="str">
        <x:f>IF(E3370=F3370,"PASS","FAIL")</x:f>
        <x:v>PASS</x:v>
      </x:c>
    </x:row>
    <x:row r="3371" ht="18" customHeight="1">
      <x:c r="B3371" s="27" t="str">
        <x:v>A3365</x:v>
      </x:c>
      <x:c r="C3371" s="27" t="str">
        <x:v>lots</x:v>
      </x:c>
      <x:c r="D3371" s="27" t="str">
        <x:v>Lot row 8 evidence open</x:v>
      </x:c>
      <x:c r="E3371" s="27" t="n">
        <x:f>IF('Article Lots'!M8="OPEN",1,0)</x:f>
        <x:v>1</x:v>
      </x:c>
      <x:c r="F3371" s="27" t="n">
        <x:v>1</x:v>
      </x:c>
      <x:c r="G3371" s="29" t="str">
        <x:f>IF(E3371=F3371,"PASS","FAIL")</x:f>
        <x:v>PASS</x:v>
      </x:c>
    </x:row>
    <x:row r="3372" ht="18" customHeight="1">
      <x:c r="B3372" s="27" t="str">
        <x:v>A3366</x:v>
      </x:c>
      <x:c r="C3372" s="27" t="str">
        <x:v>lots</x:v>
      </x:c>
      <x:c r="D3372" s="27" t="str">
        <x:v>Lot row 9 positive quantity</x:v>
      </x:c>
      <x:c r="E3372" s="27" t="n">
        <x:f>IF('Article Lots'!F9&gt;0,1,0)</x:f>
        <x:v>1</x:v>
      </x:c>
      <x:c r="F3372" s="27" t="n">
        <x:v>1</x:v>
      </x:c>
      <x:c r="G3372" s="29" t="str">
        <x:f>IF(E3372=F3372,"PASS","FAIL")</x:f>
        <x:v>PASS</x:v>
      </x:c>
    </x:row>
    <x:row r="3373" ht="18" customHeight="1">
      <x:c r="B3373" s="27" t="str">
        <x:v>A3367</x:v>
      </x:c>
      <x:c r="C3373" s="27" t="str">
        <x:v>lots</x:v>
      </x:c>
      <x:c r="D3373" s="27" t="str">
        <x:v>Lot row 9 cost extension</x:v>
      </x:c>
      <x:c r="E3373" s="27" t="n">
        <x:f>IF(ABS('Article Lots'!H9-'Article Lots'!F9*'Article Lots'!G9/1000)&lt;0.000001,1,0)</x:f>
        <x:v>1</x:v>
      </x:c>
      <x:c r="F3373" s="27" t="n">
        <x:v>1</x:v>
      </x:c>
      <x:c r="G3373" s="29" t="str">
        <x:f>IF(E3373=F3373,"PASS","FAIL")</x:f>
        <x:v>PASS</x:v>
      </x:c>
    </x:row>
    <x:row r="3374" ht="18" customHeight="1">
      <x:c r="B3374" s="27" t="str">
        <x:v>A3368</x:v>
      </x:c>
      <x:c r="C3374" s="27" t="str">
        <x:v>lots</x:v>
      </x:c>
      <x:c r="D3374" s="27" t="str">
        <x:v>Lot row 9 positive schedule margin</x:v>
      </x:c>
      <x:c r="E3374" s="27" t="n">
        <x:f>IF('Article Lots'!K9&gt;=1,1,0)</x:f>
        <x:v>1</x:v>
      </x:c>
      <x:c r="F3374" s="27" t="n">
        <x:v>1</x:v>
      </x:c>
      <x:c r="G3374" s="29" t="str">
        <x:f>IF(E3374=F3374,"PASS","FAIL")</x:f>
        <x:v>PASS</x:v>
      </x:c>
    </x:row>
    <x:row r="3375" ht="18" customHeight="1">
      <x:c r="B3375" s="27" t="str">
        <x:v>A3369</x:v>
      </x:c>
      <x:c r="C3375" s="27" t="str">
        <x:v>lots</x:v>
      </x:c>
      <x:c r="D3375" s="27" t="str">
        <x:v>Lot row 9 evidence open</x:v>
      </x:c>
      <x:c r="E3375" s="27" t="n">
        <x:f>IF('Article Lots'!M9="OPEN",1,0)</x:f>
        <x:v>1</x:v>
      </x:c>
      <x:c r="F3375" s="27" t="n">
        <x:v>1</x:v>
      </x:c>
      <x:c r="G3375" s="29" t="str">
        <x:f>IF(E3375=F3375,"PASS","FAIL")</x:f>
        <x:v>PASS</x:v>
      </x:c>
    </x:row>
    <x:row r="3376" ht="18" customHeight="1">
      <x:c r="B3376" s="27" t="str">
        <x:v>A3370</x:v>
      </x:c>
      <x:c r="C3376" s="27" t="str">
        <x:v>lots</x:v>
      </x:c>
      <x:c r="D3376" s="27" t="str">
        <x:v>Lot row 10 positive quantity</x:v>
      </x:c>
      <x:c r="E3376" s="27" t="n">
        <x:f>IF('Article Lots'!F10&gt;0,1,0)</x:f>
        <x:v>1</x:v>
      </x:c>
      <x:c r="F3376" s="27" t="n">
        <x:v>1</x:v>
      </x:c>
      <x:c r="G3376" s="29" t="str">
        <x:f>IF(E3376=F3376,"PASS","FAIL")</x:f>
        <x:v>PASS</x:v>
      </x:c>
    </x:row>
    <x:row r="3377" ht="18" customHeight="1">
      <x:c r="B3377" s="27" t="str">
        <x:v>A3371</x:v>
      </x:c>
      <x:c r="C3377" s="27" t="str">
        <x:v>lots</x:v>
      </x:c>
      <x:c r="D3377" s="27" t="str">
        <x:v>Lot row 10 cost extension</x:v>
      </x:c>
      <x:c r="E3377" s="27" t="n">
        <x:f>IF(ABS('Article Lots'!H10-'Article Lots'!F10*'Article Lots'!G10/1000)&lt;0.000001,1,0)</x:f>
        <x:v>1</x:v>
      </x:c>
      <x:c r="F3377" s="27" t="n">
        <x:v>1</x:v>
      </x:c>
      <x:c r="G3377" s="29" t="str">
        <x:f>IF(E3377=F3377,"PASS","FAIL")</x:f>
        <x:v>PASS</x:v>
      </x:c>
    </x:row>
    <x:row r="3378" ht="18" customHeight="1">
      <x:c r="B3378" s="27" t="str">
        <x:v>A3372</x:v>
      </x:c>
      <x:c r="C3378" s="27" t="str">
        <x:v>lots</x:v>
      </x:c>
      <x:c r="D3378" s="27" t="str">
        <x:v>Lot row 10 positive schedule margin</x:v>
      </x:c>
      <x:c r="E3378" s="27" t="n">
        <x:f>IF('Article Lots'!K10&gt;=1,1,0)</x:f>
        <x:v>1</x:v>
      </x:c>
      <x:c r="F3378" s="27" t="n">
        <x:v>1</x:v>
      </x:c>
      <x:c r="G3378" s="29" t="str">
        <x:f>IF(E3378=F3378,"PASS","FAIL")</x:f>
        <x:v>PASS</x:v>
      </x:c>
    </x:row>
    <x:row r="3379" ht="18" customHeight="1">
      <x:c r="B3379" s="27" t="str">
        <x:v>A3373</x:v>
      </x:c>
      <x:c r="C3379" s="27" t="str">
        <x:v>lots</x:v>
      </x:c>
      <x:c r="D3379" s="27" t="str">
        <x:v>Lot row 10 evidence open</x:v>
      </x:c>
      <x:c r="E3379" s="27" t="n">
        <x:f>IF('Article Lots'!M10="OPEN",1,0)</x:f>
        <x:v>1</x:v>
      </x:c>
      <x:c r="F3379" s="27" t="n">
        <x:v>1</x:v>
      </x:c>
      <x:c r="G3379" s="29" t="str">
        <x:f>IF(E3379=F3379,"PASS","FAIL")</x:f>
        <x:v>PASS</x:v>
      </x:c>
    </x:row>
    <x:row r="3380" ht="18" customHeight="1">
      <x:c r="B3380" s="27" t="str">
        <x:v>A3374</x:v>
      </x:c>
      <x:c r="C3380" s="27" t="str">
        <x:v>lots</x:v>
      </x:c>
      <x:c r="D3380" s="27" t="str">
        <x:v>Lot row 11 positive quantity</x:v>
      </x:c>
      <x:c r="E3380" s="27" t="n">
        <x:f>IF('Article Lots'!F11&gt;0,1,0)</x:f>
        <x:v>1</x:v>
      </x:c>
      <x:c r="F3380" s="27" t="n">
        <x:v>1</x:v>
      </x:c>
      <x:c r="G3380" s="29" t="str">
        <x:f>IF(E3380=F3380,"PASS","FAIL")</x:f>
        <x:v>PASS</x:v>
      </x:c>
    </x:row>
    <x:row r="3381" ht="18" customHeight="1">
      <x:c r="B3381" s="27" t="str">
        <x:v>A3375</x:v>
      </x:c>
      <x:c r="C3381" s="27" t="str">
        <x:v>lots</x:v>
      </x:c>
      <x:c r="D3381" s="27" t="str">
        <x:v>Lot row 11 cost extension</x:v>
      </x:c>
      <x:c r="E3381" s="27" t="n">
        <x:f>IF(ABS('Article Lots'!H11-'Article Lots'!F11*'Article Lots'!G11/1000)&lt;0.000001,1,0)</x:f>
        <x:v>1</x:v>
      </x:c>
      <x:c r="F3381" s="27" t="n">
        <x:v>1</x:v>
      </x:c>
      <x:c r="G3381" s="29" t="str">
        <x:f>IF(E3381=F3381,"PASS","FAIL")</x:f>
        <x:v>PASS</x:v>
      </x:c>
    </x:row>
    <x:row r="3382" ht="18" customHeight="1">
      <x:c r="B3382" s="27" t="str">
        <x:v>A3376</x:v>
      </x:c>
      <x:c r="C3382" s="27" t="str">
        <x:v>lots</x:v>
      </x:c>
      <x:c r="D3382" s="27" t="str">
        <x:v>Lot row 11 positive schedule margin</x:v>
      </x:c>
      <x:c r="E3382" s="27" t="n">
        <x:f>IF('Article Lots'!K11&gt;=1,1,0)</x:f>
        <x:v>1</x:v>
      </x:c>
      <x:c r="F3382" s="27" t="n">
        <x:v>1</x:v>
      </x:c>
      <x:c r="G3382" s="29" t="str">
        <x:f>IF(E3382=F3382,"PASS","FAIL")</x:f>
        <x:v>PASS</x:v>
      </x:c>
    </x:row>
    <x:row r="3383" ht="18" customHeight="1">
      <x:c r="B3383" s="27" t="str">
        <x:v>A3377</x:v>
      </x:c>
      <x:c r="C3383" s="27" t="str">
        <x:v>lots</x:v>
      </x:c>
      <x:c r="D3383" s="27" t="str">
        <x:v>Lot row 11 evidence open</x:v>
      </x:c>
      <x:c r="E3383" s="27" t="n">
        <x:f>IF('Article Lots'!M11="OPEN",1,0)</x:f>
        <x:v>1</x:v>
      </x:c>
      <x:c r="F3383" s="27" t="n">
        <x:v>1</x:v>
      </x:c>
      <x:c r="G3383" s="29" t="str">
        <x:f>IF(E3383=F3383,"PASS","FAIL")</x:f>
        <x:v>PASS</x:v>
      </x:c>
    </x:row>
    <x:row r="3384" ht="18" customHeight="1">
      <x:c r="B3384" s="27" t="str">
        <x:v>A3378</x:v>
      </x:c>
      <x:c r="C3384" s="27" t="str">
        <x:v>lots</x:v>
      </x:c>
      <x:c r="D3384" s="27" t="str">
        <x:v>Lot row 12 positive quantity</x:v>
      </x:c>
      <x:c r="E3384" s="27" t="n">
        <x:f>IF('Article Lots'!F12&gt;0,1,0)</x:f>
        <x:v>1</x:v>
      </x:c>
      <x:c r="F3384" s="27" t="n">
        <x:v>1</x:v>
      </x:c>
      <x:c r="G3384" s="29" t="str">
        <x:f>IF(E3384=F3384,"PASS","FAIL")</x:f>
        <x:v>PASS</x:v>
      </x:c>
    </x:row>
    <x:row r="3385" ht="18" customHeight="1">
      <x:c r="B3385" s="27" t="str">
        <x:v>A3379</x:v>
      </x:c>
      <x:c r="C3385" s="27" t="str">
        <x:v>lots</x:v>
      </x:c>
      <x:c r="D3385" s="27" t="str">
        <x:v>Lot row 12 cost extension</x:v>
      </x:c>
      <x:c r="E3385" s="27" t="n">
        <x:f>IF(ABS('Article Lots'!H12-'Article Lots'!F12*'Article Lots'!G12/1000)&lt;0.000001,1,0)</x:f>
        <x:v>1</x:v>
      </x:c>
      <x:c r="F3385" s="27" t="n">
        <x:v>1</x:v>
      </x:c>
      <x:c r="G3385" s="29" t="str">
        <x:f>IF(E3385=F3385,"PASS","FAIL")</x:f>
        <x:v>PASS</x:v>
      </x:c>
    </x:row>
    <x:row r="3386" ht="18" customHeight="1">
      <x:c r="B3386" s="27" t="str">
        <x:v>A3380</x:v>
      </x:c>
      <x:c r="C3386" s="27" t="str">
        <x:v>lots</x:v>
      </x:c>
      <x:c r="D3386" s="27" t="str">
        <x:v>Lot row 12 positive schedule margin</x:v>
      </x:c>
      <x:c r="E3386" s="27" t="n">
        <x:f>IF('Article Lots'!K12&gt;=1,1,0)</x:f>
        <x:v>1</x:v>
      </x:c>
      <x:c r="F3386" s="27" t="n">
        <x:v>1</x:v>
      </x:c>
      <x:c r="G3386" s="29" t="str">
        <x:f>IF(E3386=F3386,"PASS","FAIL")</x:f>
        <x:v>PASS</x:v>
      </x:c>
    </x:row>
    <x:row r="3387" ht="18" customHeight="1">
      <x:c r="B3387" s="27" t="str">
        <x:v>A3381</x:v>
      </x:c>
      <x:c r="C3387" s="27" t="str">
        <x:v>lots</x:v>
      </x:c>
      <x:c r="D3387" s="27" t="str">
        <x:v>Lot row 12 evidence open</x:v>
      </x:c>
      <x:c r="E3387" s="27" t="n">
        <x:f>IF('Article Lots'!M12="OPEN",1,0)</x:f>
        <x:v>1</x:v>
      </x:c>
      <x:c r="F3387" s="27" t="n">
        <x:v>1</x:v>
      </x:c>
      <x:c r="G3387" s="29" t="str">
        <x:f>IF(E3387=F3387,"PASS","FAIL")</x:f>
        <x:v>PASS</x:v>
      </x:c>
    </x:row>
    <x:row r="3388" ht="18" customHeight="1">
      <x:c r="B3388" s="27" t="str">
        <x:v>A3382</x:v>
      </x:c>
      <x:c r="C3388" s="27" t="str">
        <x:v>lots</x:v>
      </x:c>
      <x:c r="D3388" s="27" t="str">
        <x:v>Lot row 13 positive quantity</x:v>
      </x:c>
      <x:c r="E3388" s="27" t="n">
        <x:f>IF('Article Lots'!F13&gt;0,1,0)</x:f>
        <x:v>1</x:v>
      </x:c>
      <x:c r="F3388" s="27" t="n">
        <x:v>1</x:v>
      </x:c>
      <x:c r="G3388" s="29" t="str">
        <x:f>IF(E3388=F3388,"PASS","FAIL")</x:f>
        <x:v>PASS</x:v>
      </x:c>
    </x:row>
    <x:row r="3389" ht="18" customHeight="1">
      <x:c r="B3389" s="27" t="str">
        <x:v>A3383</x:v>
      </x:c>
      <x:c r="C3389" s="27" t="str">
        <x:v>lots</x:v>
      </x:c>
      <x:c r="D3389" s="27" t="str">
        <x:v>Lot row 13 cost extension</x:v>
      </x:c>
      <x:c r="E3389" s="27" t="n">
        <x:f>IF(ABS('Article Lots'!H13-'Article Lots'!F13*'Article Lots'!G13/1000)&lt;0.000001,1,0)</x:f>
        <x:v>1</x:v>
      </x:c>
      <x:c r="F3389" s="27" t="n">
        <x:v>1</x:v>
      </x:c>
      <x:c r="G3389" s="29" t="str">
        <x:f>IF(E3389=F3389,"PASS","FAIL")</x:f>
        <x:v>PASS</x:v>
      </x:c>
    </x:row>
    <x:row r="3390" ht="18" customHeight="1">
      <x:c r="B3390" s="27" t="str">
        <x:v>A3384</x:v>
      </x:c>
      <x:c r="C3390" s="27" t="str">
        <x:v>lots</x:v>
      </x:c>
      <x:c r="D3390" s="27" t="str">
        <x:v>Lot row 13 positive schedule margin</x:v>
      </x:c>
      <x:c r="E3390" s="27" t="n">
        <x:f>IF('Article Lots'!K13&gt;=1,1,0)</x:f>
        <x:v>1</x:v>
      </x:c>
      <x:c r="F3390" s="27" t="n">
        <x:v>1</x:v>
      </x:c>
      <x:c r="G3390" s="29" t="str">
        <x:f>IF(E3390=F3390,"PASS","FAIL")</x:f>
        <x:v>PASS</x:v>
      </x:c>
    </x:row>
    <x:row r="3391" ht="18" customHeight="1">
      <x:c r="B3391" s="27" t="str">
        <x:v>A3385</x:v>
      </x:c>
      <x:c r="C3391" s="27" t="str">
        <x:v>lots</x:v>
      </x:c>
      <x:c r="D3391" s="27" t="str">
        <x:v>Lot row 13 evidence open</x:v>
      </x:c>
      <x:c r="E3391" s="27" t="n">
        <x:f>IF('Article Lots'!M13="OPEN",1,0)</x:f>
        <x:v>1</x:v>
      </x:c>
      <x:c r="F3391" s="27" t="n">
        <x:v>1</x:v>
      </x:c>
      <x:c r="G3391" s="29" t="str">
        <x:f>IF(E3391=F3391,"PASS","FAIL")</x:f>
        <x:v>PASS</x:v>
      </x:c>
    </x:row>
    <x:row r="3392" ht="18" customHeight="1">
      <x:c r="B3392" s="27" t="str">
        <x:v>A3386</x:v>
      </x:c>
      <x:c r="C3392" s="27" t="str">
        <x:v>lots</x:v>
      </x:c>
      <x:c r="D3392" s="27" t="str">
        <x:v>Lot row 14 positive quantity</x:v>
      </x:c>
      <x:c r="E3392" s="27" t="n">
        <x:f>IF('Article Lots'!F14&gt;0,1,0)</x:f>
        <x:v>1</x:v>
      </x:c>
      <x:c r="F3392" s="27" t="n">
        <x:v>1</x:v>
      </x:c>
      <x:c r="G3392" s="29" t="str">
        <x:f>IF(E3392=F3392,"PASS","FAIL")</x:f>
        <x:v>PASS</x:v>
      </x:c>
    </x:row>
    <x:row r="3393" ht="18" customHeight="1">
      <x:c r="B3393" s="27" t="str">
        <x:v>A3387</x:v>
      </x:c>
      <x:c r="C3393" s="27" t="str">
        <x:v>lots</x:v>
      </x:c>
      <x:c r="D3393" s="27" t="str">
        <x:v>Lot row 14 cost extension</x:v>
      </x:c>
      <x:c r="E3393" s="27" t="n">
        <x:f>IF(ABS('Article Lots'!H14-'Article Lots'!F14*'Article Lots'!G14/1000)&lt;0.000001,1,0)</x:f>
        <x:v>1</x:v>
      </x:c>
      <x:c r="F3393" s="27" t="n">
        <x:v>1</x:v>
      </x:c>
      <x:c r="G3393" s="29" t="str">
        <x:f>IF(E3393=F3393,"PASS","FAIL")</x:f>
        <x:v>PASS</x:v>
      </x:c>
    </x:row>
    <x:row r="3394" ht="18" customHeight="1">
      <x:c r="B3394" s="27" t="str">
        <x:v>A3388</x:v>
      </x:c>
      <x:c r="C3394" s="27" t="str">
        <x:v>lots</x:v>
      </x:c>
      <x:c r="D3394" s="27" t="str">
        <x:v>Lot row 14 positive schedule margin</x:v>
      </x:c>
      <x:c r="E3394" s="27" t="n">
        <x:f>IF('Article Lots'!K14&gt;=1,1,0)</x:f>
        <x:v>1</x:v>
      </x:c>
      <x:c r="F3394" s="27" t="n">
        <x:v>1</x:v>
      </x:c>
      <x:c r="G3394" s="29" t="str">
        <x:f>IF(E3394=F3394,"PASS","FAIL")</x:f>
        <x:v>PASS</x:v>
      </x:c>
    </x:row>
    <x:row r="3395" ht="18" customHeight="1">
      <x:c r="B3395" s="27" t="str">
        <x:v>A3389</x:v>
      </x:c>
      <x:c r="C3395" s="27" t="str">
        <x:v>lots</x:v>
      </x:c>
      <x:c r="D3395" s="27" t="str">
        <x:v>Lot row 14 evidence open</x:v>
      </x:c>
      <x:c r="E3395" s="27" t="n">
        <x:f>IF('Article Lots'!M14="OPEN",1,0)</x:f>
        <x:v>1</x:v>
      </x:c>
      <x:c r="F3395" s="27" t="n">
        <x:v>1</x:v>
      </x:c>
      <x:c r="G3395" s="29" t="str">
        <x:f>IF(E3395=F3395,"PASS","FAIL")</x:f>
        <x:v>PASS</x:v>
      </x:c>
    </x:row>
    <x:row r="3396" ht="18" customHeight="1">
      <x:c r="B3396" s="27" t="str">
        <x:v>A3390</x:v>
      </x:c>
      <x:c r="C3396" s="27" t="str">
        <x:v>lots</x:v>
      </x:c>
      <x:c r="D3396" s="27" t="str">
        <x:v>Lot row 15 positive quantity</x:v>
      </x:c>
      <x:c r="E3396" s="27" t="n">
        <x:f>IF('Article Lots'!F15&gt;0,1,0)</x:f>
        <x:v>1</x:v>
      </x:c>
      <x:c r="F3396" s="27" t="n">
        <x:v>1</x:v>
      </x:c>
      <x:c r="G3396" s="29" t="str">
        <x:f>IF(E3396=F3396,"PASS","FAIL")</x:f>
        <x:v>PASS</x:v>
      </x:c>
    </x:row>
    <x:row r="3397" ht="18" customHeight="1">
      <x:c r="B3397" s="27" t="str">
        <x:v>A3391</x:v>
      </x:c>
      <x:c r="C3397" s="27" t="str">
        <x:v>lots</x:v>
      </x:c>
      <x:c r="D3397" s="27" t="str">
        <x:v>Lot row 15 cost extension</x:v>
      </x:c>
      <x:c r="E3397" s="27" t="n">
        <x:f>IF(ABS('Article Lots'!H15-'Article Lots'!F15*'Article Lots'!G15/1000)&lt;0.000001,1,0)</x:f>
        <x:v>1</x:v>
      </x:c>
      <x:c r="F3397" s="27" t="n">
        <x:v>1</x:v>
      </x:c>
      <x:c r="G3397" s="29" t="str">
        <x:f>IF(E3397=F3397,"PASS","FAIL")</x:f>
        <x:v>PASS</x:v>
      </x:c>
    </x:row>
    <x:row r="3398" ht="18" customHeight="1">
      <x:c r="B3398" s="27" t="str">
        <x:v>A3392</x:v>
      </x:c>
      <x:c r="C3398" s="27" t="str">
        <x:v>lots</x:v>
      </x:c>
      <x:c r="D3398" s="27" t="str">
        <x:v>Lot row 15 positive schedule margin</x:v>
      </x:c>
      <x:c r="E3398" s="27" t="n">
        <x:f>IF('Article Lots'!K15&gt;=1,1,0)</x:f>
        <x:v>1</x:v>
      </x:c>
      <x:c r="F3398" s="27" t="n">
        <x:v>1</x:v>
      </x:c>
      <x:c r="G3398" s="29" t="str">
        <x:f>IF(E3398=F3398,"PASS","FAIL")</x:f>
        <x:v>PASS</x:v>
      </x:c>
    </x:row>
    <x:row r="3399" ht="18" customHeight="1">
      <x:c r="B3399" s="27" t="str">
        <x:v>A3393</x:v>
      </x:c>
      <x:c r="C3399" s="27" t="str">
        <x:v>lots</x:v>
      </x:c>
      <x:c r="D3399" s="27" t="str">
        <x:v>Lot row 15 evidence open</x:v>
      </x:c>
      <x:c r="E3399" s="27" t="n">
        <x:f>IF('Article Lots'!M15="OPEN",1,0)</x:f>
        <x:v>1</x:v>
      </x:c>
      <x:c r="F3399" s="27" t="n">
        <x:v>1</x:v>
      </x:c>
      <x:c r="G3399" s="29" t="str">
        <x:f>IF(E3399=F3399,"PASS","FAIL")</x:f>
        <x:v>PASS</x:v>
      </x:c>
    </x:row>
    <x:row r="3400" ht="18" customHeight="1">
      <x:c r="B3400" s="27" t="str">
        <x:v>A3394</x:v>
      </x:c>
      <x:c r="C3400" s="27" t="str">
        <x:v>lots</x:v>
      </x:c>
      <x:c r="D3400" s="27" t="str">
        <x:v>Lot row 16 positive quantity</x:v>
      </x:c>
      <x:c r="E3400" s="27" t="n">
        <x:f>IF('Article Lots'!F16&gt;0,1,0)</x:f>
        <x:v>1</x:v>
      </x:c>
      <x:c r="F3400" s="27" t="n">
        <x:v>1</x:v>
      </x:c>
      <x:c r="G3400" s="29" t="str">
        <x:f>IF(E3400=F3400,"PASS","FAIL")</x:f>
        <x:v>PASS</x:v>
      </x:c>
    </x:row>
    <x:row r="3401" ht="18" customHeight="1">
      <x:c r="B3401" s="27" t="str">
        <x:v>A3395</x:v>
      </x:c>
      <x:c r="C3401" s="27" t="str">
        <x:v>lots</x:v>
      </x:c>
      <x:c r="D3401" s="27" t="str">
        <x:v>Lot row 16 cost extension</x:v>
      </x:c>
      <x:c r="E3401" s="27" t="n">
        <x:f>IF(ABS('Article Lots'!H16-'Article Lots'!F16*'Article Lots'!G16/1000)&lt;0.000001,1,0)</x:f>
        <x:v>1</x:v>
      </x:c>
      <x:c r="F3401" s="27" t="n">
        <x:v>1</x:v>
      </x:c>
      <x:c r="G3401" s="29" t="str">
        <x:f>IF(E3401=F3401,"PASS","FAIL")</x:f>
        <x:v>PASS</x:v>
      </x:c>
    </x:row>
    <x:row r="3402" ht="18" customHeight="1">
      <x:c r="B3402" s="27" t="str">
        <x:v>A3396</x:v>
      </x:c>
      <x:c r="C3402" s="27" t="str">
        <x:v>lots</x:v>
      </x:c>
      <x:c r="D3402" s="27" t="str">
        <x:v>Lot row 16 positive schedule margin</x:v>
      </x:c>
      <x:c r="E3402" s="27" t="n">
        <x:f>IF('Article Lots'!K16&gt;=1,1,0)</x:f>
        <x:v>1</x:v>
      </x:c>
      <x:c r="F3402" s="27" t="n">
        <x:v>1</x:v>
      </x:c>
      <x:c r="G3402" s="29" t="str">
        <x:f>IF(E3402=F3402,"PASS","FAIL")</x:f>
        <x:v>PASS</x:v>
      </x:c>
    </x:row>
    <x:row r="3403" ht="18" customHeight="1">
      <x:c r="B3403" s="27" t="str">
        <x:v>A3397</x:v>
      </x:c>
      <x:c r="C3403" s="27" t="str">
        <x:v>lots</x:v>
      </x:c>
      <x:c r="D3403" s="27" t="str">
        <x:v>Lot row 16 evidence open</x:v>
      </x:c>
      <x:c r="E3403" s="27" t="n">
        <x:f>IF('Article Lots'!M16="OPEN",1,0)</x:f>
        <x:v>1</x:v>
      </x:c>
      <x:c r="F3403" s="27" t="n">
        <x:v>1</x:v>
      </x:c>
      <x:c r="G3403" s="29" t="str">
        <x:f>IF(E3403=F3403,"PASS","FAIL")</x:f>
        <x:v>PASS</x:v>
      </x:c>
    </x:row>
    <x:row r="3404" ht="18" customHeight="1">
      <x:c r="B3404" s="27" t="str">
        <x:v>A3398</x:v>
      </x:c>
      <x:c r="C3404" s="27" t="str">
        <x:v>lots</x:v>
      </x:c>
      <x:c r="D3404" s="27" t="str">
        <x:v>Lot row 17 positive quantity</x:v>
      </x:c>
      <x:c r="E3404" s="27" t="n">
        <x:f>IF('Article Lots'!F17&gt;0,1,0)</x:f>
        <x:v>1</x:v>
      </x:c>
      <x:c r="F3404" s="27" t="n">
        <x:v>1</x:v>
      </x:c>
      <x:c r="G3404" s="29" t="str">
        <x:f>IF(E3404=F3404,"PASS","FAIL")</x:f>
        <x:v>PASS</x:v>
      </x:c>
    </x:row>
    <x:row r="3405" ht="18" customHeight="1">
      <x:c r="B3405" s="27" t="str">
        <x:v>A3399</x:v>
      </x:c>
      <x:c r="C3405" s="27" t="str">
        <x:v>lots</x:v>
      </x:c>
      <x:c r="D3405" s="27" t="str">
        <x:v>Lot row 17 cost extension</x:v>
      </x:c>
      <x:c r="E3405" s="27" t="n">
        <x:f>IF(ABS('Article Lots'!H17-'Article Lots'!F17*'Article Lots'!G17/1000)&lt;0.000001,1,0)</x:f>
        <x:v>1</x:v>
      </x:c>
      <x:c r="F3405" s="27" t="n">
        <x:v>1</x:v>
      </x:c>
      <x:c r="G3405" s="29" t="str">
        <x:f>IF(E3405=F3405,"PASS","FAIL")</x:f>
        <x:v>PASS</x:v>
      </x:c>
    </x:row>
    <x:row r="3406" ht="18" customHeight="1">
      <x:c r="B3406" s="27" t="str">
        <x:v>A3400</x:v>
      </x:c>
      <x:c r="C3406" s="27" t="str">
        <x:v>lots</x:v>
      </x:c>
      <x:c r="D3406" s="27" t="str">
        <x:v>Lot row 17 positive schedule margin</x:v>
      </x:c>
      <x:c r="E3406" s="27" t="n">
        <x:f>IF('Article Lots'!K17&gt;=1,1,0)</x:f>
        <x:v>1</x:v>
      </x:c>
      <x:c r="F3406" s="27" t="n">
        <x:v>1</x:v>
      </x:c>
      <x:c r="G3406" s="29" t="str">
        <x:f>IF(E3406=F3406,"PASS","FAIL")</x:f>
        <x:v>PASS</x:v>
      </x:c>
    </x:row>
    <x:row r="3407" ht="18" customHeight="1">
      <x:c r="B3407" s="27" t="str">
        <x:v>A3401</x:v>
      </x:c>
      <x:c r="C3407" s="27" t="str">
        <x:v>lots</x:v>
      </x:c>
      <x:c r="D3407" s="27" t="str">
        <x:v>Lot row 17 evidence open</x:v>
      </x:c>
      <x:c r="E3407" s="27" t="n">
        <x:f>IF('Article Lots'!M17="OPEN",1,0)</x:f>
        <x:v>1</x:v>
      </x:c>
      <x:c r="F3407" s="27" t="n">
        <x:v>1</x:v>
      </x:c>
      <x:c r="G3407" s="29" t="str">
        <x:f>IF(E3407=F3407,"PASS","FAIL")</x:f>
        <x:v>PASS</x:v>
      </x:c>
    </x:row>
    <x:row r="3408" ht="18" customHeight="1">
      <x:c r="B3408" s="27" t="str">
        <x:v>A3402</x:v>
      </x:c>
      <x:c r="C3408" s="27" t="str">
        <x:v>lots</x:v>
      </x:c>
      <x:c r="D3408" s="27" t="str">
        <x:v>Lot row 18 positive quantity</x:v>
      </x:c>
      <x:c r="E3408" s="27" t="n">
        <x:f>IF('Article Lots'!F18&gt;0,1,0)</x:f>
        <x:v>1</x:v>
      </x:c>
      <x:c r="F3408" s="27" t="n">
        <x:v>1</x:v>
      </x:c>
      <x:c r="G3408" s="29" t="str">
        <x:f>IF(E3408=F3408,"PASS","FAIL")</x:f>
        <x:v>PASS</x:v>
      </x:c>
    </x:row>
    <x:row r="3409" ht="18" customHeight="1">
      <x:c r="B3409" s="27" t="str">
        <x:v>A3403</x:v>
      </x:c>
      <x:c r="C3409" s="27" t="str">
        <x:v>lots</x:v>
      </x:c>
      <x:c r="D3409" s="27" t="str">
        <x:v>Lot row 18 cost extension</x:v>
      </x:c>
      <x:c r="E3409" s="27" t="n">
        <x:f>IF(ABS('Article Lots'!H18-'Article Lots'!F18*'Article Lots'!G18/1000)&lt;0.000001,1,0)</x:f>
        <x:v>1</x:v>
      </x:c>
      <x:c r="F3409" s="27" t="n">
        <x:v>1</x:v>
      </x:c>
      <x:c r="G3409" s="29" t="str">
        <x:f>IF(E3409=F3409,"PASS","FAIL")</x:f>
        <x:v>PASS</x:v>
      </x:c>
    </x:row>
    <x:row r="3410" ht="18" customHeight="1">
      <x:c r="B3410" s="27" t="str">
        <x:v>A3404</x:v>
      </x:c>
      <x:c r="C3410" s="27" t="str">
        <x:v>lots</x:v>
      </x:c>
      <x:c r="D3410" s="27" t="str">
        <x:v>Lot row 18 positive schedule margin</x:v>
      </x:c>
      <x:c r="E3410" s="27" t="n">
        <x:f>IF('Article Lots'!K18&gt;=1,1,0)</x:f>
        <x:v>1</x:v>
      </x:c>
      <x:c r="F3410" s="27" t="n">
        <x:v>1</x:v>
      </x:c>
      <x:c r="G3410" s="29" t="str">
        <x:f>IF(E3410=F3410,"PASS","FAIL")</x:f>
        <x:v>PASS</x:v>
      </x:c>
    </x:row>
    <x:row r="3411" ht="18" customHeight="1">
      <x:c r="B3411" s="27" t="str">
        <x:v>A3405</x:v>
      </x:c>
      <x:c r="C3411" s="27" t="str">
        <x:v>lots</x:v>
      </x:c>
      <x:c r="D3411" s="27" t="str">
        <x:v>Lot row 18 evidence open</x:v>
      </x:c>
      <x:c r="E3411" s="27" t="n">
        <x:f>IF('Article Lots'!M18="OPEN",1,0)</x:f>
        <x:v>1</x:v>
      </x:c>
      <x:c r="F3411" s="27" t="n">
        <x:v>1</x:v>
      </x:c>
      <x:c r="G3411" s="29" t="str">
        <x:f>IF(E3411=F3411,"PASS","FAIL")</x:f>
        <x:v>PASS</x:v>
      </x:c>
    </x:row>
    <x:row r="3412" ht="18" customHeight="1">
      <x:c r="B3412" s="27" t="str">
        <x:v>A3406</x:v>
      </x:c>
      <x:c r="C3412" s="27" t="str">
        <x:v>lots</x:v>
      </x:c>
      <x:c r="D3412" s="27" t="str">
        <x:v>Lot row 19 positive quantity</x:v>
      </x:c>
      <x:c r="E3412" s="27" t="n">
        <x:f>IF('Article Lots'!F19&gt;0,1,0)</x:f>
        <x:v>1</x:v>
      </x:c>
      <x:c r="F3412" s="27" t="n">
        <x:v>1</x:v>
      </x:c>
      <x:c r="G3412" s="29" t="str">
        <x:f>IF(E3412=F3412,"PASS","FAIL")</x:f>
        <x:v>PASS</x:v>
      </x:c>
    </x:row>
    <x:row r="3413" ht="18" customHeight="1">
      <x:c r="B3413" s="27" t="str">
        <x:v>A3407</x:v>
      </x:c>
      <x:c r="C3413" s="27" t="str">
        <x:v>lots</x:v>
      </x:c>
      <x:c r="D3413" s="27" t="str">
        <x:v>Lot row 19 cost extension</x:v>
      </x:c>
      <x:c r="E3413" s="27" t="n">
        <x:f>IF(ABS('Article Lots'!H19-'Article Lots'!F19*'Article Lots'!G19/1000)&lt;0.000001,1,0)</x:f>
        <x:v>1</x:v>
      </x:c>
      <x:c r="F3413" s="27" t="n">
        <x:v>1</x:v>
      </x:c>
      <x:c r="G3413" s="29" t="str">
        <x:f>IF(E3413=F3413,"PASS","FAIL")</x:f>
        <x:v>PASS</x:v>
      </x:c>
    </x:row>
    <x:row r="3414" ht="18" customHeight="1">
      <x:c r="B3414" s="27" t="str">
        <x:v>A3408</x:v>
      </x:c>
      <x:c r="C3414" s="27" t="str">
        <x:v>lots</x:v>
      </x:c>
      <x:c r="D3414" s="27" t="str">
        <x:v>Lot row 19 positive schedule margin</x:v>
      </x:c>
      <x:c r="E3414" s="27" t="n">
        <x:f>IF('Article Lots'!K19&gt;=1,1,0)</x:f>
        <x:v>1</x:v>
      </x:c>
      <x:c r="F3414" s="27" t="n">
        <x:v>1</x:v>
      </x:c>
      <x:c r="G3414" s="29" t="str">
        <x:f>IF(E3414=F3414,"PASS","FAIL")</x:f>
        <x:v>PASS</x:v>
      </x:c>
    </x:row>
    <x:row r="3415" ht="18" customHeight="1">
      <x:c r="B3415" s="27" t="str">
        <x:v>A3409</x:v>
      </x:c>
      <x:c r="C3415" s="27" t="str">
        <x:v>lots</x:v>
      </x:c>
      <x:c r="D3415" s="27" t="str">
        <x:v>Lot row 19 evidence open</x:v>
      </x:c>
      <x:c r="E3415" s="27" t="n">
        <x:f>IF('Article Lots'!M19="OPEN",1,0)</x:f>
        <x:v>1</x:v>
      </x:c>
      <x:c r="F3415" s="27" t="n">
        <x:v>1</x:v>
      </x:c>
      <x:c r="G3415" s="29" t="str">
        <x:f>IF(E3415=F3415,"PASS","FAIL")</x:f>
        <x:v>PASS</x:v>
      </x:c>
    </x:row>
    <x:row r="3416" ht="18" customHeight="1">
      <x:c r="B3416" s="27" t="str">
        <x:v>A3410</x:v>
      </x:c>
      <x:c r="C3416" s="27" t="str">
        <x:v>lots</x:v>
      </x:c>
      <x:c r="D3416" s="27" t="str">
        <x:v>Lot row 20 positive quantity</x:v>
      </x:c>
      <x:c r="E3416" s="27" t="n">
        <x:f>IF('Article Lots'!F20&gt;0,1,0)</x:f>
        <x:v>1</x:v>
      </x:c>
      <x:c r="F3416" s="27" t="n">
        <x:v>1</x:v>
      </x:c>
      <x:c r="G3416" s="29" t="str">
        <x:f>IF(E3416=F3416,"PASS","FAIL")</x:f>
        <x:v>PASS</x:v>
      </x:c>
    </x:row>
    <x:row r="3417" ht="18" customHeight="1">
      <x:c r="B3417" s="27" t="str">
        <x:v>A3411</x:v>
      </x:c>
      <x:c r="C3417" s="27" t="str">
        <x:v>lots</x:v>
      </x:c>
      <x:c r="D3417" s="27" t="str">
        <x:v>Lot row 20 cost extension</x:v>
      </x:c>
      <x:c r="E3417" s="27" t="n">
        <x:f>IF(ABS('Article Lots'!H20-'Article Lots'!F20*'Article Lots'!G20/1000)&lt;0.000001,1,0)</x:f>
        <x:v>1</x:v>
      </x:c>
      <x:c r="F3417" s="27" t="n">
        <x:v>1</x:v>
      </x:c>
      <x:c r="G3417" s="29" t="str">
        <x:f>IF(E3417=F3417,"PASS","FAIL")</x:f>
        <x:v>PASS</x:v>
      </x:c>
    </x:row>
    <x:row r="3418" ht="18" customHeight="1">
      <x:c r="B3418" s="27" t="str">
        <x:v>A3412</x:v>
      </x:c>
      <x:c r="C3418" s="27" t="str">
        <x:v>lots</x:v>
      </x:c>
      <x:c r="D3418" s="27" t="str">
        <x:v>Lot row 20 positive schedule margin</x:v>
      </x:c>
      <x:c r="E3418" s="27" t="n">
        <x:f>IF('Article Lots'!K20&gt;=1,1,0)</x:f>
        <x:v>1</x:v>
      </x:c>
      <x:c r="F3418" s="27" t="n">
        <x:v>1</x:v>
      </x:c>
      <x:c r="G3418" s="29" t="str">
        <x:f>IF(E3418=F3418,"PASS","FAIL")</x:f>
        <x:v>PASS</x:v>
      </x:c>
    </x:row>
    <x:row r="3419" ht="18" customHeight="1">
      <x:c r="B3419" s="27" t="str">
        <x:v>A3413</x:v>
      </x:c>
      <x:c r="C3419" s="27" t="str">
        <x:v>lots</x:v>
      </x:c>
      <x:c r="D3419" s="27" t="str">
        <x:v>Lot row 20 evidence open</x:v>
      </x:c>
      <x:c r="E3419" s="27" t="n">
        <x:f>IF('Article Lots'!M20="OPEN",1,0)</x:f>
        <x:v>1</x:v>
      </x:c>
      <x:c r="F3419" s="27" t="n">
        <x:v>1</x:v>
      </x:c>
      <x:c r="G3419" s="29" t="str">
        <x:f>IF(E3419=F3419,"PASS","FAIL")</x:f>
        <x:v>PASS</x:v>
      </x:c>
    </x:row>
    <x:row r="3420" ht="18" customHeight="1">
      <x:c r="B3420" s="27" t="str">
        <x:v>A3414</x:v>
      </x:c>
      <x:c r="C3420" s="27" t="str">
        <x:v>lots</x:v>
      </x:c>
      <x:c r="D3420" s="27" t="str">
        <x:v>Lot row 21 positive quantity</x:v>
      </x:c>
      <x:c r="E3420" s="27" t="n">
        <x:f>IF('Article Lots'!F21&gt;0,1,0)</x:f>
        <x:v>1</x:v>
      </x:c>
      <x:c r="F3420" s="27" t="n">
        <x:v>1</x:v>
      </x:c>
      <x:c r="G3420" s="29" t="str">
        <x:f>IF(E3420=F3420,"PASS","FAIL")</x:f>
        <x:v>PASS</x:v>
      </x:c>
    </x:row>
    <x:row r="3421" ht="18" customHeight="1">
      <x:c r="B3421" s="27" t="str">
        <x:v>A3415</x:v>
      </x:c>
      <x:c r="C3421" s="27" t="str">
        <x:v>lots</x:v>
      </x:c>
      <x:c r="D3421" s="27" t="str">
        <x:v>Lot row 21 cost extension</x:v>
      </x:c>
      <x:c r="E3421" s="27" t="n">
        <x:f>IF(ABS('Article Lots'!H21-'Article Lots'!F21*'Article Lots'!G21/1000)&lt;0.000001,1,0)</x:f>
        <x:v>1</x:v>
      </x:c>
      <x:c r="F3421" s="27" t="n">
        <x:v>1</x:v>
      </x:c>
      <x:c r="G3421" s="29" t="str">
        <x:f>IF(E3421=F3421,"PASS","FAIL")</x:f>
        <x:v>PASS</x:v>
      </x:c>
    </x:row>
    <x:row r="3422" ht="18" customHeight="1">
      <x:c r="B3422" s="27" t="str">
        <x:v>A3416</x:v>
      </x:c>
      <x:c r="C3422" s="27" t="str">
        <x:v>lots</x:v>
      </x:c>
      <x:c r="D3422" s="27" t="str">
        <x:v>Lot row 21 positive schedule margin</x:v>
      </x:c>
      <x:c r="E3422" s="27" t="n">
        <x:f>IF('Article Lots'!K21&gt;=1,1,0)</x:f>
        <x:v>1</x:v>
      </x:c>
      <x:c r="F3422" s="27" t="n">
        <x:v>1</x:v>
      </x:c>
      <x:c r="G3422" s="29" t="str">
        <x:f>IF(E3422=F3422,"PASS","FAIL")</x:f>
        <x:v>PASS</x:v>
      </x:c>
    </x:row>
    <x:row r="3423" ht="18" customHeight="1">
      <x:c r="B3423" s="27" t="str">
        <x:v>A3417</x:v>
      </x:c>
      <x:c r="C3423" s="27" t="str">
        <x:v>lots</x:v>
      </x:c>
      <x:c r="D3423" s="27" t="str">
        <x:v>Lot row 21 evidence open</x:v>
      </x:c>
      <x:c r="E3423" s="27" t="n">
        <x:f>IF('Article Lots'!M21="OPEN",1,0)</x:f>
        <x:v>1</x:v>
      </x:c>
      <x:c r="F3423" s="27" t="n">
        <x:v>1</x:v>
      </x:c>
      <x:c r="G3423" s="29" t="str">
        <x:f>IF(E3423=F3423,"PASS","FAIL")</x:f>
        <x:v>PASS</x:v>
      </x:c>
    </x:row>
    <x:row r="3424" ht="18" customHeight="1">
      <x:c r="B3424" s="27" t="str">
        <x:v>A3418</x:v>
      </x:c>
      <x:c r="C3424" s="27" t="str">
        <x:v>lots</x:v>
      </x:c>
      <x:c r="D3424" s="27" t="str">
        <x:v>Lot row 22 positive quantity</x:v>
      </x:c>
      <x:c r="E3424" s="27" t="n">
        <x:f>IF('Article Lots'!F22&gt;0,1,0)</x:f>
        <x:v>1</x:v>
      </x:c>
      <x:c r="F3424" s="27" t="n">
        <x:v>1</x:v>
      </x:c>
      <x:c r="G3424" s="29" t="str">
        <x:f>IF(E3424=F3424,"PASS","FAIL")</x:f>
        <x:v>PASS</x:v>
      </x:c>
    </x:row>
    <x:row r="3425" ht="18" customHeight="1">
      <x:c r="B3425" s="27" t="str">
        <x:v>A3419</x:v>
      </x:c>
      <x:c r="C3425" s="27" t="str">
        <x:v>lots</x:v>
      </x:c>
      <x:c r="D3425" s="27" t="str">
        <x:v>Lot row 22 cost extension</x:v>
      </x:c>
      <x:c r="E3425" s="27" t="n">
        <x:f>IF(ABS('Article Lots'!H22-'Article Lots'!F22*'Article Lots'!G22/1000)&lt;0.000001,1,0)</x:f>
        <x:v>1</x:v>
      </x:c>
      <x:c r="F3425" s="27" t="n">
        <x:v>1</x:v>
      </x:c>
      <x:c r="G3425" s="29" t="str">
        <x:f>IF(E3425=F3425,"PASS","FAIL")</x:f>
        <x:v>PASS</x:v>
      </x:c>
    </x:row>
    <x:row r="3426" ht="18" customHeight="1">
      <x:c r="B3426" s="27" t="str">
        <x:v>A3420</x:v>
      </x:c>
      <x:c r="C3426" s="27" t="str">
        <x:v>lots</x:v>
      </x:c>
      <x:c r="D3426" s="27" t="str">
        <x:v>Lot row 22 positive schedule margin</x:v>
      </x:c>
      <x:c r="E3426" s="27" t="n">
        <x:f>IF('Article Lots'!K22&gt;=1,1,0)</x:f>
        <x:v>1</x:v>
      </x:c>
      <x:c r="F3426" s="27" t="n">
        <x:v>1</x:v>
      </x:c>
      <x:c r="G3426" s="29" t="str">
        <x:f>IF(E3426=F3426,"PASS","FAIL")</x:f>
        <x:v>PASS</x:v>
      </x:c>
    </x:row>
    <x:row r="3427" ht="18" customHeight="1">
      <x:c r="B3427" s="27" t="str">
        <x:v>A3421</x:v>
      </x:c>
      <x:c r="C3427" s="27" t="str">
        <x:v>lots</x:v>
      </x:c>
      <x:c r="D3427" s="27" t="str">
        <x:v>Lot row 22 evidence open</x:v>
      </x:c>
      <x:c r="E3427" s="27" t="n">
        <x:f>IF('Article Lots'!M22="OPEN",1,0)</x:f>
        <x:v>1</x:v>
      </x:c>
      <x:c r="F3427" s="27" t="n">
        <x:v>1</x:v>
      </x:c>
      <x:c r="G3427" s="29" t="str">
        <x:f>IF(E3427=F3427,"PASS","FAIL")</x:f>
        <x:v>PASS</x:v>
      </x:c>
    </x:row>
    <x:row r="3428" ht="18" customHeight="1">
      <x:c r="B3428" s="27" t="str">
        <x:v>A3422</x:v>
      </x:c>
      <x:c r="C3428" s="27" t="str">
        <x:v>lots</x:v>
      </x:c>
      <x:c r="D3428" s="27" t="str">
        <x:v>Lot row 23 positive quantity</x:v>
      </x:c>
      <x:c r="E3428" s="27" t="n">
        <x:f>IF('Article Lots'!F23&gt;0,1,0)</x:f>
        <x:v>1</x:v>
      </x:c>
      <x:c r="F3428" s="27" t="n">
        <x:v>1</x:v>
      </x:c>
      <x:c r="G3428" s="29" t="str">
        <x:f>IF(E3428=F3428,"PASS","FAIL")</x:f>
        <x:v>PASS</x:v>
      </x:c>
    </x:row>
    <x:row r="3429" ht="18" customHeight="1">
      <x:c r="B3429" s="27" t="str">
        <x:v>A3423</x:v>
      </x:c>
      <x:c r="C3429" s="27" t="str">
        <x:v>lots</x:v>
      </x:c>
      <x:c r="D3429" s="27" t="str">
        <x:v>Lot row 23 cost extension</x:v>
      </x:c>
      <x:c r="E3429" s="27" t="n">
        <x:f>IF(ABS('Article Lots'!H23-'Article Lots'!F23*'Article Lots'!G23/1000)&lt;0.000001,1,0)</x:f>
        <x:v>1</x:v>
      </x:c>
      <x:c r="F3429" s="27" t="n">
        <x:v>1</x:v>
      </x:c>
      <x:c r="G3429" s="29" t="str">
        <x:f>IF(E3429=F3429,"PASS","FAIL")</x:f>
        <x:v>PASS</x:v>
      </x:c>
    </x:row>
    <x:row r="3430" ht="18" customHeight="1">
      <x:c r="B3430" s="27" t="str">
        <x:v>A3424</x:v>
      </x:c>
      <x:c r="C3430" s="27" t="str">
        <x:v>lots</x:v>
      </x:c>
      <x:c r="D3430" s="27" t="str">
        <x:v>Lot row 23 positive schedule margin</x:v>
      </x:c>
      <x:c r="E3430" s="27" t="n">
        <x:f>IF('Article Lots'!K23&gt;=1,1,0)</x:f>
        <x:v>1</x:v>
      </x:c>
      <x:c r="F3430" s="27" t="n">
        <x:v>1</x:v>
      </x:c>
      <x:c r="G3430" s="29" t="str">
        <x:f>IF(E3430=F3430,"PASS","FAIL")</x:f>
        <x:v>PASS</x:v>
      </x:c>
    </x:row>
    <x:row r="3431" ht="18" customHeight="1">
      <x:c r="B3431" s="27" t="str">
        <x:v>A3425</x:v>
      </x:c>
      <x:c r="C3431" s="27" t="str">
        <x:v>lots</x:v>
      </x:c>
      <x:c r="D3431" s="27" t="str">
        <x:v>Lot row 23 evidence open</x:v>
      </x:c>
      <x:c r="E3431" s="27" t="n">
        <x:f>IF('Article Lots'!M23="OPEN",1,0)</x:f>
        <x:v>1</x:v>
      </x:c>
      <x:c r="F3431" s="27" t="n">
        <x:v>1</x:v>
      </x:c>
      <x:c r="G3431" s="29" t="str">
        <x:f>IF(E3431=F3431,"PASS","FAIL")</x:f>
        <x:v>PASS</x:v>
      </x:c>
    </x:row>
    <x:row r="3432" ht="18" customHeight="1">
      <x:c r="B3432" s="27" t="str">
        <x:v>A3426</x:v>
      </x:c>
      <x:c r="C3432" s="27" t="str">
        <x:v>lots</x:v>
      </x:c>
      <x:c r="D3432" s="27" t="str">
        <x:v>Lot row 24 positive quantity</x:v>
      </x:c>
      <x:c r="E3432" s="27" t="n">
        <x:f>IF('Article Lots'!F24&gt;0,1,0)</x:f>
        <x:v>1</x:v>
      </x:c>
      <x:c r="F3432" s="27" t="n">
        <x:v>1</x:v>
      </x:c>
      <x:c r="G3432" s="29" t="str">
        <x:f>IF(E3432=F3432,"PASS","FAIL")</x:f>
        <x:v>PASS</x:v>
      </x:c>
    </x:row>
    <x:row r="3433" ht="18" customHeight="1">
      <x:c r="B3433" s="27" t="str">
        <x:v>A3427</x:v>
      </x:c>
      <x:c r="C3433" s="27" t="str">
        <x:v>lots</x:v>
      </x:c>
      <x:c r="D3433" s="27" t="str">
        <x:v>Lot row 24 cost extension</x:v>
      </x:c>
      <x:c r="E3433" s="27" t="n">
        <x:f>IF(ABS('Article Lots'!H24-'Article Lots'!F24*'Article Lots'!G24/1000)&lt;0.000001,1,0)</x:f>
        <x:v>1</x:v>
      </x:c>
      <x:c r="F3433" s="27" t="n">
        <x:v>1</x:v>
      </x:c>
      <x:c r="G3433" s="29" t="str">
        <x:f>IF(E3433=F3433,"PASS","FAIL")</x:f>
        <x:v>PASS</x:v>
      </x:c>
    </x:row>
    <x:row r="3434" ht="18" customHeight="1">
      <x:c r="B3434" s="27" t="str">
        <x:v>A3428</x:v>
      </x:c>
      <x:c r="C3434" s="27" t="str">
        <x:v>lots</x:v>
      </x:c>
      <x:c r="D3434" s="27" t="str">
        <x:v>Lot row 24 positive schedule margin</x:v>
      </x:c>
      <x:c r="E3434" s="27" t="n">
        <x:f>IF('Article Lots'!K24&gt;=1,1,0)</x:f>
        <x:v>1</x:v>
      </x:c>
      <x:c r="F3434" s="27" t="n">
        <x:v>1</x:v>
      </x:c>
      <x:c r="G3434" s="29" t="str">
        <x:f>IF(E3434=F3434,"PASS","FAIL")</x:f>
        <x:v>PASS</x:v>
      </x:c>
    </x:row>
    <x:row r="3435" ht="18" customHeight="1">
      <x:c r="B3435" s="27" t="str">
        <x:v>A3429</x:v>
      </x:c>
      <x:c r="C3435" s="27" t="str">
        <x:v>lots</x:v>
      </x:c>
      <x:c r="D3435" s="27" t="str">
        <x:v>Lot row 24 evidence open</x:v>
      </x:c>
      <x:c r="E3435" s="27" t="n">
        <x:f>IF('Article Lots'!M24="OPEN",1,0)</x:f>
        <x:v>1</x:v>
      </x:c>
      <x:c r="F3435" s="27" t="n">
        <x:v>1</x:v>
      </x:c>
      <x:c r="G3435" s="29" t="str">
        <x:f>IF(E3435=F3435,"PASS","FAIL")</x:f>
        <x:v>PASS</x:v>
      </x:c>
    </x:row>
    <x:row r="3436" ht="18" customHeight="1">
      <x:c r="B3436" s="27" t="str">
        <x:v>A3430</x:v>
      </x:c>
      <x:c r="C3436" s="27" t="str">
        <x:v>lots</x:v>
      </x:c>
      <x:c r="D3436" s="27" t="str">
        <x:v>Lot row 25 positive quantity</x:v>
      </x:c>
      <x:c r="E3436" s="27" t="n">
        <x:f>IF('Article Lots'!F25&gt;0,1,0)</x:f>
        <x:v>1</x:v>
      </x:c>
      <x:c r="F3436" s="27" t="n">
        <x:v>1</x:v>
      </x:c>
      <x:c r="G3436" s="29" t="str">
        <x:f>IF(E3436=F3436,"PASS","FAIL")</x:f>
        <x:v>PASS</x:v>
      </x:c>
    </x:row>
    <x:row r="3437" ht="18" customHeight="1">
      <x:c r="B3437" s="27" t="str">
        <x:v>A3431</x:v>
      </x:c>
      <x:c r="C3437" s="27" t="str">
        <x:v>lots</x:v>
      </x:c>
      <x:c r="D3437" s="27" t="str">
        <x:v>Lot row 25 cost extension</x:v>
      </x:c>
      <x:c r="E3437" s="27" t="n">
        <x:f>IF(ABS('Article Lots'!H25-'Article Lots'!F25*'Article Lots'!G25/1000)&lt;0.000001,1,0)</x:f>
        <x:v>1</x:v>
      </x:c>
      <x:c r="F3437" s="27" t="n">
        <x:v>1</x:v>
      </x:c>
      <x:c r="G3437" s="29" t="str">
        <x:f>IF(E3437=F3437,"PASS","FAIL")</x:f>
        <x:v>PASS</x:v>
      </x:c>
    </x:row>
    <x:row r="3438" ht="18" customHeight="1">
      <x:c r="B3438" s="27" t="str">
        <x:v>A3432</x:v>
      </x:c>
      <x:c r="C3438" s="27" t="str">
        <x:v>lots</x:v>
      </x:c>
      <x:c r="D3438" s="27" t="str">
        <x:v>Lot row 25 positive schedule margin</x:v>
      </x:c>
      <x:c r="E3438" s="27" t="n">
        <x:f>IF('Article Lots'!K25&gt;=1,1,0)</x:f>
        <x:v>1</x:v>
      </x:c>
      <x:c r="F3438" s="27" t="n">
        <x:v>1</x:v>
      </x:c>
      <x:c r="G3438" s="29" t="str">
        <x:f>IF(E3438=F3438,"PASS","FAIL")</x:f>
        <x:v>PASS</x:v>
      </x:c>
    </x:row>
    <x:row r="3439" ht="18" customHeight="1">
      <x:c r="B3439" s="27" t="str">
        <x:v>A3433</x:v>
      </x:c>
      <x:c r="C3439" s="27" t="str">
        <x:v>lots</x:v>
      </x:c>
      <x:c r="D3439" s="27" t="str">
        <x:v>Lot row 25 evidence open</x:v>
      </x:c>
      <x:c r="E3439" s="27" t="n">
        <x:f>IF('Article Lots'!M25="OPEN",1,0)</x:f>
        <x:v>1</x:v>
      </x:c>
      <x:c r="F3439" s="27" t="n">
        <x:v>1</x:v>
      </x:c>
      <x:c r="G3439" s="29" t="str">
        <x:f>IF(E3439=F3439,"PASS","FAIL")</x:f>
        <x:v>PASS</x:v>
      </x:c>
    </x:row>
    <x:row r="3440" ht="18" customHeight="1">
      <x:c r="B3440" s="27" t="str">
        <x:v>A3434</x:v>
      </x:c>
      <x:c r="C3440" s="27" t="str">
        <x:v>lots</x:v>
      </x:c>
      <x:c r="D3440" s="27" t="str">
        <x:v>Lot row 26 positive quantity</x:v>
      </x:c>
      <x:c r="E3440" s="27" t="n">
        <x:f>IF('Article Lots'!F26&gt;0,1,0)</x:f>
        <x:v>1</x:v>
      </x:c>
      <x:c r="F3440" s="27" t="n">
        <x:v>1</x:v>
      </x:c>
      <x:c r="G3440" s="29" t="str">
        <x:f>IF(E3440=F3440,"PASS","FAIL")</x:f>
        <x:v>PASS</x:v>
      </x:c>
    </x:row>
    <x:row r="3441" ht="18" customHeight="1">
      <x:c r="B3441" s="27" t="str">
        <x:v>A3435</x:v>
      </x:c>
      <x:c r="C3441" s="27" t="str">
        <x:v>lots</x:v>
      </x:c>
      <x:c r="D3441" s="27" t="str">
        <x:v>Lot row 26 cost extension</x:v>
      </x:c>
      <x:c r="E3441" s="27" t="n">
        <x:f>IF(ABS('Article Lots'!H26-'Article Lots'!F26*'Article Lots'!G26/1000)&lt;0.000001,1,0)</x:f>
        <x:v>1</x:v>
      </x:c>
      <x:c r="F3441" s="27" t="n">
        <x:v>1</x:v>
      </x:c>
      <x:c r="G3441" s="29" t="str">
        <x:f>IF(E3441=F3441,"PASS","FAIL")</x:f>
        <x:v>PASS</x:v>
      </x:c>
    </x:row>
    <x:row r="3442" ht="18" customHeight="1">
      <x:c r="B3442" s="27" t="str">
        <x:v>A3436</x:v>
      </x:c>
      <x:c r="C3442" s="27" t="str">
        <x:v>lots</x:v>
      </x:c>
      <x:c r="D3442" s="27" t="str">
        <x:v>Lot row 26 positive schedule margin</x:v>
      </x:c>
      <x:c r="E3442" s="27" t="n">
        <x:f>IF('Article Lots'!K26&gt;=1,1,0)</x:f>
        <x:v>1</x:v>
      </x:c>
      <x:c r="F3442" s="27" t="n">
        <x:v>1</x:v>
      </x:c>
      <x:c r="G3442" s="29" t="str">
        <x:f>IF(E3442=F3442,"PASS","FAIL")</x:f>
        <x:v>PASS</x:v>
      </x:c>
    </x:row>
    <x:row r="3443" ht="18" customHeight="1">
      <x:c r="B3443" s="27" t="str">
        <x:v>A3437</x:v>
      </x:c>
      <x:c r="C3443" s="27" t="str">
        <x:v>lots</x:v>
      </x:c>
      <x:c r="D3443" s="27" t="str">
        <x:v>Lot row 26 evidence open</x:v>
      </x:c>
      <x:c r="E3443" s="27" t="n">
        <x:f>IF('Article Lots'!M26="OPEN",1,0)</x:f>
        <x:v>1</x:v>
      </x:c>
      <x:c r="F3443" s="27" t="n">
        <x:v>1</x:v>
      </x:c>
      <x:c r="G3443" s="29" t="str">
        <x:f>IF(E3443=F3443,"PASS","FAIL")</x:f>
        <x:v>PASS</x:v>
      </x:c>
    </x:row>
    <x:row r="3444" ht="18" customHeight="1">
      <x:c r="B3444" s="27" t="str">
        <x:v>A3438</x:v>
      </x:c>
      <x:c r="C3444" s="27" t="str">
        <x:v>lots</x:v>
      </x:c>
      <x:c r="D3444" s="27" t="str">
        <x:v>Lot row 27 positive quantity</x:v>
      </x:c>
      <x:c r="E3444" s="27" t="n">
        <x:f>IF('Article Lots'!F27&gt;0,1,0)</x:f>
        <x:v>1</x:v>
      </x:c>
      <x:c r="F3444" s="27" t="n">
        <x:v>1</x:v>
      </x:c>
      <x:c r="G3444" s="29" t="str">
        <x:f>IF(E3444=F3444,"PASS","FAIL")</x:f>
        <x:v>PASS</x:v>
      </x:c>
    </x:row>
    <x:row r="3445" ht="18" customHeight="1">
      <x:c r="B3445" s="27" t="str">
        <x:v>A3439</x:v>
      </x:c>
      <x:c r="C3445" s="27" t="str">
        <x:v>lots</x:v>
      </x:c>
      <x:c r="D3445" s="27" t="str">
        <x:v>Lot row 27 cost extension</x:v>
      </x:c>
      <x:c r="E3445" s="27" t="n">
        <x:f>IF(ABS('Article Lots'!H27-'Article Lots'!F27*'Article Lots'!G27/1000)&lt;0.000001,1,0)</x:f>
        <x:v>1</x:v>
      </x:c>
      <x:c r="F3445" s="27" t="n">
        <x:v>1</x:v>
      </x:c>
      <x:c r="G3445" s="29" t="str">
        <x:f>IF(E3445=F3445,"PASS","FAIL")</x:f>
        <x:v>PASS</x:v>
      </x:c>
    </x:row>
    <x:row r="3446" ht="18" customHeight="1">
      <x:c r="B3446" s="27" t="str">
        <x:v>A3440</x:v>
      </x:c>
      <x:c r="C3446" s="27" t="str">
        <x:v>lots</x:v>
      </x:c>
      <x:c r="D3446" s="27" t="str">
        <x:v>Lot row 27 positive schedule margin</x:v>
      </x:c>
      <x:c r="E3446" s="27" t="n">
        <x:f>IF('Article Lots'!K27&gt;=1,1,0)</x:f>
        <x:v>1</x:v>
      </x:c>
      <x:c r="F3446" s="27" t="n">
        <x:v>1</x:v>
      </x:c>
      <x:c r="G3446" s="29" t="str">
        <x:f>IF(E3446=F3446,"PASS","FAIL")</x:f>
        <x:v>PASS</x:v>
      </x:c>
    </x:row>
    <x:row r="3447" ht="18" customHeight="1">
      <x:c r="B3447" s="27" t="str">
        <x:v>A3441</x:v>
      </x:c>
      <x:c r="C3447" s="27" t="str">
        <x:v>lots</x:v>
      </x:c>
      <x:c r="D3447" s="27" t="str">
        <x:v>Lot row 27 evidence open</x:v>
      </x:c>
      <x:c r="E3447" s="27" t="n">
        <x:f>IF('Article Lots'!M27="OPEN",1,0)</x:f>
        <x:v>1</x:v>
      </x:c>
      <x:c r="F3447" s="27" t="n">
        <x:v>1</x:v>
      </x:c>
      <x:c r="G3447" s="29" t="str">
        <x:f>IF(E3447=F3447,"PASS","FAIL")</x:f>
        <x:v>PASS</x:v>
      </x:c>
    </x:row>
    <x:row r="3448" ht="18" customHeight="1">
      <x:c r="B3448" s="27" t="str">
        <x:v>A3442</x:v>
      </x:c>
      <x:c r="C3448" s="27" t="str">
        <x:v>lots</x:v>
      </x:c>
      <x:c r="D3448" s="27" t="str">
        <x:v>Lot row 28 positive quantity</x:v>
      </x:c>
      <x:c r="E3448" s="27" t="n">
        <x:f>IF('Article Lots'!F28&gt;0,1,0)</x:f>
        <x:v>1</x:v>
      </x:c>
      <x:c r="F3448" s="27" t="n">
        <x:v>1</x:v>
      </x:c>
      <x:c r="G3448" s="29" t="str">
        <x:f>IF(E3448=F3448,"PASS","FAIL")</x:f>
        <x:v>PASS</x:v>
      </x:c>
    </x:row>
    <x:row r="3449" ht="18" customHeight="1">
      <x:c r="B3449" s="27" t="str">
        <x:v>A3443</x:v>
      </x:c>
      <x:c r="C3449" s="27" t="str">
        <x:v>lots</x:v>
      </x:c>
      <x:c r="D3449" s="27" t="str">
        <x:v>Lot row 28 cost extension</x:v>
      </x:c>
      <x:c r="E3449" s="27" t="n">
        <x:f>IF(ABS('Article Lots'!H28-'Article Lots'!F28*'Article Lots'!G28/1000)&lt;0.000001,1,0)</x:f>
        <x:v>1</x:v>
      </x:c>
      <x:c r="F3449" s="27" t="n">
        <x:v>1</x:v>
      </x:c>
      <x:c r="G3449" s="29" t="str">
        <x:f>IF(E3449=F3449,"PASS","FAIL")</x:f>
        <x:v>PASS</x:v>
      </x:c>
    </x:row>
    <x:row r="3450" ht="18" customHeight="1">
      <x:c r="B3450" s="27" t="str">
        <x:v>A3444</x:v>
      </x:c>
      <x:c r="C3450" s="27" t="str">
        <x:v>lots</x:v>
      </x:c>
      <x:c r="D3450" s="27" t="str">
        <x:v>Lot row 28 positive schedule margin</x:v>
      </x:c>
      <x:c r="E3450" s="27" t="n">
        <x:f>IF('Article Lots'!K28&gt;=1,1,0)</x:f>
        <x:v>1</x:v>
      </x:c>
      <x:c r="F3450" s="27" t="n">
        <x:v>1</x:v>
      </x:c>
      <x:c r="G3450" s="29" t="str">
        <x:f>IF(E3450=F3450,"PASS","FAIL")</x:f>
        <x:v>PASS</x:v>
      </x:c>
    </x:row>
    <x:row r="3451" ht="18" customHeight="1">
      <x:c r="B3451" s="27" t="str">
        <x:v>A3445</x:v>
      </x:c>
      <x:c r="C3451" s="27" t="str">
        <x:v>lots</x:v>
      </x:c>
      <x:c r="D3451" s="27" t="str">
        <x:v>Lot row 28 evidence open</x:v>
      </x:c>
      <x:c r="E3451" s="27" t="n">
        <x:f>IF('Article Lots'!M28="OPEN",1,0)</x:f>
        <x:v>1</x:v>
      </x:c>
      <x:c r="F3451" s="27" t="n">
        <x:v>1</x:v>
      </x:c>
      <x:c r="G3451" s="29" t="str">
        <x:f>IF(E3451=F3451,"PASS","FAIL")</x:f>
        <x:v>PASS</x:v>
      </x:c>
    </x:row>
    <x:row r="3452" ht="18" customHeight="1">
      <x:c r="B3452" s="27" t="str">
        <x:v>A3446</x:v>
      </x:c>
      <x:c r="C3452" s="27" t="str">
        <x:v>lots</x:v>
      </x:c>
      <x:c r="D3452" s="27" t="str">
        <x:v>Lot row 29 positive quantity</x:v>
      </x:c>
      <x:c r="E3452" s="27" t="n">
        <x:f>IF('Article Lots'!F29&gt;0,1,0)</x:f>
        <x:v>1</x:v>
      </x:c>
      <x:c r="F3452" s="27" t="n">
        <x:v>1</x:v>
      </x:c>
      <x:c r="G3452" s="29" t="str">
        <x:f>IF(E3452=F3452,"PASS","FAIL")</x:f>
        <x:v>PASS</x:v>
      </x:c>
    </x:row>
    <x:row r="3453" ht="18" customHeight="1">
      <x:c r="B3453" s="27" t="str">
        <x:v>A3447</x:v>
      </x:c>
      <x:c r="C3453" s="27" t="str">
        <x:v>lots</x:v>
      </x:c>
      <x:c r="D3453" s="27" t="str">
        <x:v>Lot row 29 cost extension</x:v>
      </x:c>
      <x:c r="E3453" s="27" t="n">
        <x:f>IF(ABS('Article Lots'!H29-'Article Lots'!F29*'Article Lots'!G29/1000)&lt;0.000001,1,0)</x:f>
        <x:v>1</x:v>
      </x:c>
      <x:c r="F3453" s="27" t="n">
        <x:v>1</x:v>
      </x:c>
      <x:c r="G3453" s="29" t="str">
        <x:f>IF(E3453=F3453,"PASS","FAIL")</x:f>
        <x:v>PASS</x:v>
      </x:c>
    </x:row>
    <x:row r="3454" ht="18" customHeight="1">
      <x:c r="B3454" s="27" t="str">
        <x:v>A3448</x:v>
      </x:c>
      <x:c r="C3454" s="27" t="str">
        <x:v>lots</x:v>
      </x:c>
      <x:c r="D3454" s="27" t="str">
        <x:v>Lot row 29 positive schedule margin</x:v>
      </x:c>
      <x:c r="E3454" s="27" t="n">
        <x:f>IF('Article Lots'!K29&gt;=1,1,0)</x:f>
        <x:v>1</x:v>
      </x:c>
      <x:c r="F3454" s="27" t="n">
        <x:v>1</x:v>
      </x:c>
      <x:c r="G3454" s="29" t="str">
        <x:f>IF(E3454=F3454,"PASS","FAIL")</x:f>
        <x:v>PASS</x:v>
      </x:c>
    </x:row>
    <x:row r="3455" ht="18" customHeight="1">
      <x:c r="B3455" s="27" t="str">
        <x:v>A3449</x:v>
      </x:c>
      <x:c r="C3455" s="27" t="str">
        <x:v>lots</x:v>
      </x:c>
      <x:c r="D3455" s="27" t="str">
        <x:v>Lot row 29 evidence open</x:v>
      </x:c>
      <x:c r="E3455" s="27" t="n">
        <x:f>IF('Article Lots'!M29="OPEN",1,0)</x:f>
        <x:v>1</x:v>
      </x:c>
      <x:c r="F3455" s="27" t="n">
        <x:v>1</x:v>
      </x:c>
      <x:c r="G3455" s="29" t="str">
        <x:f>IF(E3455=F3455,"PASS","FAIL")</x:f>
        <x:v>PASS</x:v>
      </x:c>
    </x:row>
    <x:row r="3456" ht="18" customHeight="1">
      <x:c r="B3456" s="27" t="str">
        <x:v>A3450</x:v>
      </x:c>
      <x:c r="C3456" s="27" t="str">
        <x:v>lots</x:v>
      </x:c>
      <x:c r="D3456" s="27" t="str">
        <x:v>Lot row 30 positive quantity</x:v>
      </x:c>
      <x:c r="E3456" s="27" t="n">
        <x:f>IF('Article Lots'!F30&gt;0,1,0)</x:f>
        <x:v>1</x:v>
      </x:c>
      <x:c r="F3456" s="27" t="n">
        <x:v>1</x:v>
      </x:c>
      <x:c r="G3456" s="29" t="str">
        <x:f>IF(E3456=F3456,"PASS","FAIL")</x:f>
        <x:v>PASS</x:v>
      </x:c>
    </x:row>
    <x:row r="3457" ht="18" customHeight="1">
      <x:c r="B3457" s="27" t="str">
        <x:v>A3451</x:v>
      </x:c>
      <x:c r="C3457" s="27" t="str">
        <x:v>lots</x:v>
      </x:c>
      <x:c r="D3457" s="27" t="str">
        <x:v>Lot row 30 cost extension</x:v>
      </x:c>
      <x:c r="E3457" s="27" t="n">
        <x:f>IF(ABS('Article Lots'!H30-'Article Lots'!F30*'Article Lots'!G30/1000)&lt;0.000001,1,0)</x:f>
        <x:v>1</x:v>
      </x:c>
      <x:c r="F3457" s="27" t="n">
        <x:v>1</x:v>
      </x:c>
      <x:c r="G3457" s="29" t="str">
        <x:f>IF(E3457=F3457,"PASS","FAIL")</x:f>
        <x:v>PASS</x:v>
      </x:c>
    </x:row>
    <x:row r="3458" ht="18" customHeight="1">
      <x:c r="B3458" s="27" t="str">
        <x:v>A3452</x:v>
      </x:c>
      <x:c r="C3458" s="27" t="str">
        <x:v>lots</x:v>
      </x:c>
      <x:c r="D3458" s="27" t="str">
        <x:v>Lot row 30 positive schedule margin</x:v>
      </x:c>
      <x:c r="E3458" s="27" t="n">
        <x:f>IF('Article Lots'!K30&gt;=1,1,0)</x:f>
        <x:v>1</x:v>
      </x:c>
      <x:c r="F3458" s="27" t="n">
        <x:v>1</x:v>
      </x:c>
      <x:c r="G3458" s="29" t="str">
        <x:f>IF(E3458=F3458,"PASS","FAIL")</x:f>
        <x:v>PASS</x:v>
      </x:c>
    </x:row>
    <x:row r="3459" ht="18" customHeight="1">
      <x:c r="B3459" s="27" t="str">
        <x:v>A3453</x:v>
      </x:c>
      <x:c r="C3459" s="27" t="str">
        <x:v>lots</x:v>
      </x:c>
      <x:c r="D3459" s="27" t="str">
        <x:v>Lot row 30 evidence open</x:v>
      </x:c>
      <x:c r="E3459" s="27" t="n">
        <x:f>IF('Article Lots'!M30="OPEN",1,0)</x:f>
        <x:v>1</x:v>
      </x:c>
      <x:c r="F3459" s="27" t="n">
        <x:v>1</x:v>
      </x:c>
      <x:c r="G3459" s="29" t="str">
        <x:f>IF(E3459=F3459,"PASS","FAIL")</x:f>
        <x:v>PASS</x:v>
      </x:c>
    </x:row>
    <x:row r="3460" ht="18" customHeight="1">
      <x:c r="B3460" s="27" t="str">
        <x:v>A3454</x:v>
      </x:c>
      <x:c r="C3460" s="27" t="str">
        <x:v>lots</x:v>
      </x:c>
      <x:c r="D3460" s="27" t="str">
        <x:v>Lot row 31 positive quantity</x:v>
      </x:c>
      <x:c r="E3460" s="27" t="n">
        <x:f>IF('Article Lots'!F31&gt;0,1,0)</x:f>
        <x:v>1</x:v>
      </x:c>
      <x:c r="F3460" s="27" t="n">
        <x:v>1</x:v>
      </x:c>
      <x:c r="G3460" s="29" t="str">
        <x:f>IF(E3460=F3460,"PASS","FAIL")</x:f>
        <x:v>PASS</x:v>
      </x:c>
    </x:row>
    <x:row r="3461" ht="18" customHeight="1">
      <x:c r="B3461" s="27" t="str">
        <x:v>A3455</x:v>
      </x:c>
      <x:c r="C3461" s="27" t="str">
        <x:v>lots</x:v>
      </x:c>
      <x:c r="D3461" s="27" t="str">
        <x:v>Lot row 31 cost extension</x:v>
      </x:c>
      <x:c r="E3461" s="27" t="n">
        <x:f>IF(ABS('Article Lots'!H31-'Article Lots'!F31*'Article Lots'!G31/1000)&lt;0.000001,1,0)</x:f>
        <x:v>1</x:v>
      </x:c>
      <x:c r="F3461" s="27" t="n">
        <x:v>1</x:v>
      </x:c>
      <x:c r="G3461" s="29" t="str">
        <x:f>IF(E3461=F3461,"PASS","FAIL")</x:f>
        <x:v>PASS</x:v>
      </x:c>
    </x:row>
    <x:row r="3462" ht="18" customHeight="1">
      <x:c r="B3462" s="27" t="str">
        <x:v>A3456</x:v>
      </x:c>
      <x:c r="C3462" s="27" t="str">
        <x:v>lots</x:v>
      </x:c>
      <x:c r="D3462" s="27" t="str">
        <x:v>Lot row 31 positive schedule margin</x:v>
      </x:c>
      <x:c r="E3462" s="27" t="n">
        <x:f>IF('Article Lots'!K31&gt;=1,1,0)</x:f>
        <x:v>1</x:v>
      </x:c>
      <x:c r="F3462" s="27" t="n">
        <x:v>1</x:v>
      </x:c>
      <x:c r="G3462" s="29" t="str">
        <x:f>IF(E3462=F3462,"PASS","FAIL")</x:f>
        <x:v>PASS</x:v>
      </x:c>
    </x:row>
    <x:row r="3463" ht="18" customHeight="1">
      <x:c r="B3463" s="27" t="str">
        <x:v>A3457</x:v>
      </x:c>
      <x:c r="C3463" s="27" t="str">
        <x:v>lots</x:v>
      </x:c>
      <x:c r="D3463" s="27" t="str">
        <x:v>Lot row 31 evidence open</x:v>
      </x:c>
      <x:c r="E3463" s="27" t="n">
        <x:f>IF('Article Lots'!M31="OPEN",1,0)</x:f>
        <x:v>1</x:v>
      </x:c>
      <x:c r="F3463" s="27" t="n">
        <x:v>1</x:v>
      </x:c>
      <x:c r="G3463" s="29" t="str">
        <x:f>IF(E3463=F3463,"PASS","FAIL")</x:f>
        <x:v>PASS</x:v>
      </x:c>
    </x:row>
    <x:row r="3464" ht="18" customHeight="1">
      <x:c r="B3464" s="27" t="str">
        <x:v>A3458</x:v>
      </x:c>
      <x:c r="C3464" s="27" t="str">
        <x:v>lots</x:v>
      </x:c>
      <x:c r="D3464" s="27" t="str">
        <x:v>Lot row 32 positive quantity</x:v>
      </x:c>
      <x:c r="E3464" s="27" t="n">
        <x:f>IF('Article Lots'!F32&gt;0,1,0)</x:f>
        <x:v>1</x:v>
      </x:c>
      <x:c r="F3464" s="27" t="n">
        <x:v>1</x:v>
      </x:c>
      <x:c r="G3464" s="29" t="str">
        <x:f>IF(E3464=F3464,"PASS","FAIL")</x:f>
        <x:v>PASS</x:v>
      </x:c>
    </x:row>
    <x:row r="3465" ht="18" customHeight="1">
      <x:c r="B3465" s="27" t="str">
        <x:v>A3459</x:v>
      </x:c>
      <x:c r="C3465" s="27" t="str">
        <x:v>lots</x:v>
      </x:c>
      <x:c r="D3465" s="27" t="str">
        <x:v>Lot row 32 cost extension</x:v>
      </x:c>
      <x:c r="E3465" s="27" t="n">
        <x:f>IF(ABS('Article Lots'!H32-'Article Lots'!F32*'Article Lots'!G32/1000)&lt;0.000001,1,0)</x:f>
        <x:v>1</x:v>
      </x:c>
      <x:c r="F3465" s="27" t="n">
        <x:v>1</x:v>
      </x:c>
      <x:c r="G3465" s="29" t="str">
        <x:f>IF(E3465=F3465,"PASS","FAIL")</x:f>
        <x:v>PASS</x:v>
      </x:c>
    </x:row>
    <x:row r="3466" ht="18" customHeight="1">
      <x:c r="B3466" s="27" t="str">
        <x:v>A3460</x:v>
      </x:c>
      <x:c r="C3466" s="27" t="str">
        <x:v>lots</x:v>
      </x:c>
      <x:c r="D3466" s="27" t="str">
        <x:v>Lot row 32 positive schedule margin</x:v>
      </x:c>
      <x:c r="E3466" s="27" t="n">
        <x:f>IF('Article Lots'!K32&gt;=1,1,0)</x:f>
        <x:v>1</x:v>
      </x:c>
      <x:c r="F3466" s="27" t="n">
        <x:v>1</x:v>
      </x:c>
      <x:c r="G3466" s="29" t="str">
        <x:f>IF(E3466=F3466,"PASS","FAIL")</x:f>
        <x:v>PASS</x:v>
      </x:c>
    </x:row>
    <x:row r="3467" ht="18" customHeight="1">
      <x:c r="B3467" s="27" t="str">
        <x:v>A3461</x:v>
      </x:c>
      <x:c r="C3467" s="27" t="str">
        <x:v>lots</x:v>
      </x:c>
      <x:c r="D3467" s="27" t="str">
        <x:v>Lot row 32 evidence open</x:v>
      </x:c>
      <x:c r="E3467" s="27" t="n">
        <x:f>IF('Article Lots'!M32="OPEN",1,0)</x:f>
        <x:v>1</x:v>
      </x:c>
      <x:c r="F3467" s="27" t="n">
        <x:v>1</x:v>
      </x:c>
      <x:c r="G3467" s="29" t="str">
        <x:f>IF(E3467=F3467,"PASS","FAIL")</x:f>
        <x:v>PASS</x:v>
      </x:c>
    </x:row>
    <x:row r="3468" ht="18" customHeight="1">
      <x:c r="B3468" s="27" t="str">
        <x:v>A3462</x:v>
      </x:c>
      <x:c r="C3468" s="27" t="str">
        <x:v>lots</x:v>
      </x:c>
      <x:c r="D3468" s="27" t="str">
        <x:v>Lot row 33 positive quantity</x:v>
      </x:c>
      <x:c r="E3468" s="27" t="n">
        <x:f>IF('Article Lots'!F33&gt;0,1,0)</x:f>
        <x:v>1</x:v>
      </x:c>
      <x:c r="F3468" s="27" t="n">
        <x:v>1</x:v>
      </x:c>
      <x:c r="G3468" s="29" t="str">
        <x:f>IF(E3468=F3468,"PASS","FAIL")</x:f>
        <x:v>PASS</x:v>
      </x:c>
    </x:row>
    <x:row r="3469" ht="18" customHeight="1">
      <x:c r="B3469" s="27" t="str">
        <x:v>A3463</x:v>
      </x:c>
      <x:c r="C3469" s="27" t="str">
        <x:v>lots</x:v>
      </x:c>
      <x:c r="D3469" s="27" t="str">
        <x:v>Lot row 33 cost extension</x:v>
      </x:c>
      <x:c r="E3469" s="27" t="n">
        <x:f>IF(ABS('Article Lots'!H33-'Article Lots'!F33*'Article Lots'!G33/1000)&lt;0.000001,1,0)</x:f>
        <x:v>1</x:v>
      </x:c>
      <x:c r="F3469" s="27" t="n">
        <x:v>1</x:v>
      </x:c>
      <x:c r="G3469" s="29" t="str">
        <x:f>IF(E3469=F3469,"PASS","FAIL")</x:f>
        <x:v>PASS</x:v>
      </x:c>
    </x:row>
    <x:row r="3470" ht="18" customHeight="1">
      <x:c r="B3470" s="27" t="str">
        <x:v>A3464</x:v>
      </x:c>
      <x:c r="C3470" s="27" t="str">
        <x:v>lots</x:v>
      </x:c>
      <x:c r="D3470" s="27" t="str">
        <x:v>Lot row 33 positive schedule margin</x:v>
      </x:c>
      <x:c r="E3470" s="27" t="n">
        <x:f>IF('Article Lots'!K33&gt;=1,1,0)</x:f>
        <x:v>1</x:v>
      </x:c>
      <x:c r="F3470" s="27" t="n">
        <x:v>1</x:v>
      </x:c>
      <x:c r="G3470" s="29" t="str">
        <x:f>IF(E3470=F3470,"PASS","FAIL")</x:f>
        <x:v>PASS</x:v>
      </x:c>
    </x:row>
    <x:row r="3471" ht="18" customHeight="1">
      <x:c r="B3471" s="27" t="str">
        <x:v>A3465</x:v>
      </x:c>
      <x:c r="C3471" s="27" t="str">
        <x:v>lots</x:v>
      </x:c>
      <x:c r="D3471" s="27" t="str">
        <x:v>Lot row 33 evidence open</x:v>
      </x:c>
      <x:c r="E3471" s="27" t="n">
        <x:f>IF('Article Lots'!M33="OPEN",1,0)</x:f>
        <x:v>1</x:v>
      </x:c>
      <x:c r="F3471" s="27" t="n">
        <x:v>1</x:v>
      </x:c>
      <x:c r="G3471" s="29" t="str">
        <x:f>IF(E3471=F3471,"PASS","FAIL")</x:f>
        <x:v>PASS</x:v>
      </x:c>
    </x:row>
    <x:row r="3472" ht="18" customHeight="1">
      <x:c r="B3472" s="27" t="str">
        <x:v>A3466</x:v>
      </x:c>
      <x:c r="C3472" s="27" t="str">
        <x:v>lots</x:v>
      </x:c>
      <x:c r="D3472" s="27" t="str">
        <x:v>Lot row 34 positive quantity</x:v>
      </x:c>
      <x:c r="E3472" s="27" t="n">
        <x:f>IF('Article Lots'!F34&gt;0,1,0)</x:f>
        <x:v>1</x:v>
      </x:c>
      <x:c r="F3472" s="27" t="n">
        <x:v>1</x:v>
      </x:c>
      <x:c r="G3472" s="29" t="str">
        <x:f>IF(E3472=F3472,"PASS","FAIL")</x:f>
        <x:v>PASS</x:v>
      </x:c>
    </x:row>
    <x:row r="3473" ht="18" customHeight="1">
      <x:c r="B3473" s="27" t="str">
        <x:v>A3467</x:v>
      </x:c>
      <x:c r="C3473" s="27" t="str">
        <x:v>lots</x:v>
      </x:c>
      <x:c r="D3473" s="27" t="str">
        <x:v>Lot row 34 cost extension</x:v>
      </x:c>
      <x:c r="E3473" s="27" t="n">
        <x:f>IF(ABS('Article Lots'!H34-'Article Lots'!F34*'Article Lots'!G34/1000)&lt;0.000001,1,0)</x:f>
        <x:v>1</x:v>
      </x:c>
      <x:c r="F3473" s="27" t="n">
        <x:v>1</x:v>
      </x:c>
      <x:c r="G3473" s="29" t="str">
        <x:f>IF(E3473=F3473,"PASS","FAIL")</x:f>
        <x:v>PASS</x:v>
      </x:c>
    </x:row>
    <x:row r="3474" ht="18" customHeight="1">
      <x:c r="B3474" s="27" t="str">
        <x:v>A3468</x:v>
      </x:c>
      <x:c r="C3474" s="27" t="str">
        <x:v>lots</x:v>
      </x:c>
      <x:c r="D3474" s="27" t="str">
        <x:v>Lot row 34 positive schedule margin</x:v>
      </x:c>
      <x:c r="E3474" s="27" t="n">
        <x:f>IF('Article Lots'!K34&gt;=1,1,0)</x:f>
        <x:v>1</x:v>
      </x:c>
      <x:c r="F3474" s="27" t="n">
        <x:v>1</x:v>
      </x:c>
      <x:c r="G3474" s="29" t="str">
        <x:f>IF(E3474=F3474,"PASS","FAIL")</x:f>
        <x:v>PASS</x:v>
      </x:c>
    </x:row>
    <x:row r="3475" ht="18" customHeight="1">
      <x:c r="B3475" s="27" t="str">
        <x:v>A3469</x:v>
      </x:c>
      <x:c r="C3475" s="27" t="str">
        <x:v>lots</x:v>
      </x:c>
      <x:c r="D3475" s="27" t="str">
        <x:v>Lot row 34 evidence open</x:v>
      </x:c>
      <x:c r="E3475" s="27" t="n">
        <x:f>IF('Article Lots'!M34="OPEN",1,0)</x:f>
        <x:v>1</x:v>
      </x:c>
      <x:c r="F3475" s="27" t="n">
        <x:v>1</x:v>
      </x:c>
      <x:c r="G3475" s="29" t="str">
        <x:f>IF(E3475=F3475,"PASS","FAIL")</x:f>
        <x:v>PASS</x:v>
      </x:c>
    </x:row>
    <x:row r="3476" ht="18" customHeight="1">
      <x:c r="B3476" s="27" t="str">
        <x:v>A3470</x:v>
      </x:c>
      <x:c r="C3476" s="27" t="str">
        <x:v>lots</x:v>
      </x:c>
      <x:c r="D3476" s="27" t="str">
        <x:v>Lot row 35 positive quantity</x:v>
      </x:c>
      <x:c r="E3476" s="27" t="n">
        <x:f>IF('Article Lots'!F35&gt;0,1,0)</x:f>
        <x:v>1</x:v>
      </x:c>
      <x:c r="F3476" s="27" t="n">
        <x:v>1</x:v>
      </x:c>
      <x:c r="G3476" s="29" t="str">
        <x:f>IF(E3476=F3476,"PASS","FAIL")</x:f>
        <x:v>PASS</x:v>
      </x:c>
    </x:row>
    <x:row r="3477" ht="18" customHeight="1">
      <x:c r="B3477" s="27" t="str">
        <x:v>A3471</x:v>
      </x:c>
      <x:c r="C3477" s="27" t="str">
        <x:v>lots</x:v>
      </x:c>
      <x:c r="D3477" s="27" t="str">
        <x:v>Lot row 35 cost extension</x:v>
      </x:c>
      <x:c r="E3477" s="27" t="n">
        <x:f>IF(ABS('Article Lots'!H35-'Article Lots'!F35*'Article Lots'!G35/1000)&lt;0.000001,1,0)</x:f>
        <x:v>1</x:v>
      </x:c>
      <x:c r="F3477" s="27" t="n">
        <x:v>1</x:v>
      </x:c>
      <x:c r="G3477" s="29" t="str">
        <x:f>IF(E3477=F3477,"PASS","FAIL")</x:f>
        <x:v>PASS</x:v>
      </x:c>
    </x:row>
    <x:row r="3478" ht="18" customHeight="1">
      <x:c r="B3478" s="27" t="str">
        <x:v>A3472</x:v>
      </x:c>
      <x:c r="C3478" s="27" t="str">
        <x:v>lots</x:v>
      </x:c>
      <x:c r="D3478" s="27" t="str">
        <x:v>Lot row 35 positive schedule margin</x:v>
      </x:c>
      <x:c r="E3478" s="27" t="n">
        <x:f>IF('Article Lots'!K35&gt;=1,1,0)</x:f>
        <x:v>1</x:v>
      </x:c>
      <x:c r="F3478" s="27" t="n">
        <x:v>1</x:v>
      </x:c>
      <x:c r="G3478" s="29" t="str">
        <x:f>IF(E3478=F3478,"PASS","FAIL")</x:f>
        <x:v>PASS</x:v>
      </x:c>
    </x:row>
    <x:row r="3479" ht="18" customHeight="1">
      <x:c r="B3479" s="27" t="str">
        <x:v>A3473</x:v>
      </x:c>
      <x:c r="C3479" s="27" t="str">
        <x:v>lots</x:v>
      </x:c>
      <x:c r="D3479" s="27" t="str">
        <x:v>Lot row 35 evidence open</x:v>
      </x:c>
      <x:c r="E3479" s="27" t="n">
        <x:f>IF('Article Lots'!M35="OPEN",1,0)</x:f>
        <x:v>1</x:v>
      </x:c>
      <x:c r="F3479" s="27" t="n">
        <x:v>1</x:v>
      </x:c>
      <x:c r="G3479" s="29" t="str">
        <x:f>IF(E3479=F3479,"PASS","FAIL")</x:f>
        <x:v>PASS</x:v>
      </x:c>
    </x:row>
    <x:row r="3480" ht="18" customHeight="1">
      <x:c r="B3480" s="27" t="str">
        <x:v>A3474</x:v>
      </x:c>
      <x:c r="C3480" s="27" t="str">
        <x:v>lots</x:v>
      </x:c>
      <x:c r="D3480" s="27" t="str">
        <x:v>Lot row 36 positive quantity</x:v>
      </x:c>
      <x:c r="E3480" s="27" t="n">
        <x:f>IF('Article Lots'!F36&gt;0,1,0)</x:f>
        <x:v>1</x:v>
      </x:c>
      <x:c r="F3480" s="27" t="n">
        <x:v>1</x:v>
      </x:c>
      <x:c r="G3480" s="29" t="str">
        <x:f>IF(E3480=F3480,"PASS","FAIL")</x:f>
        <x:v>PASS</x:v>
      </x:c>
    </x:row>
    <x:row r="3481" ht="18" customHeight="1">
      <x:c r="B3481" s="27" t="str">
        <x:v>A3475</x:v>
      </x:c>
      <x:c r="C3481" s="27" t="str">
        <x:v>lots</x:v>
      </x:c>
      <x:c r="D3481" s="27" t="str">
        <x:v>Lot row 36 cost extension</x:v>
      </x:c>
      <x:c r="E3481" s="27" t="n">
        <x:f>IF(ABS('Article Lots'!H36-'Article Lots'!F36*'Article Lots'!G36/1000)&lt;0.000001,1,0)</x:f>
        <x:v>1</x:v>
      </x:c>
      <x:c r="F3481" s="27" t="n">
        <x:v>1</x:v>
      </x:c>
      <x:c r="G3481" s="29" t="str">
        <x:f>IF(E3481=F3481,"PASS","FAIL")</x:f>
        <x:v>PASS</x:v>
      </x:c>
    </x:row>
    <x:row r="3482" ht="18" customHeight="1">
      <x:c r="B3482" s="27" t="str">
        <x:v>A3476</x:v>
      </x:c>
      <x:c r="C3482" s="27" t="str">
        <x:v>lots</x:v>
      </x:c>
      <x:c r="D3482" s="27" t="str">
        <x:v>Lot row 36 positive schedule margin</x:v>
      </x:c>
      <x:c r="E3482" s="27" t="n">
        <x:f>IF('Article Lots'!K36&gt;=1,1,0)</x:f>
        <x:v>1</x:v>
      </x:c>
      <x:c r="F3482" s="27" t="n">
        <x:v>1</x:v>
      </x:c>
      <x:c r="G3482" s="29" t="str">
        <x:f>IF(E3482=F3482,"PASS","FAIL")</x:f>
        <x:v>PASS</x:v>
      </x:c>
    </x:row>
    <x:row r="3483" ht="18" customHeight="1">
      <x:c r="B3483" s="27" t="str">
        <x:v>A3477</x:v>
      </x:c>
      <x:c r="C3483" s="27" t="str">
        <x:v>lots</x:v>
      </x:c>
      <x:c r="D3483" s="27" t="str">
        <x:v>Lot row 36 evidence open</x:v>
      </x:c>
      <x:c r="E3483" s="27" t="n">
        <x:f>IF('Article Lots'!M36="OPEN",1,0)</x:f>
        <x:v>1</x:v>
      </x:c>
      <x:c r="F3483" s="27" t="n">
        <x:v>1</x:v>
      </x:c>
      <x:c r="G3483" s="29" t="str">
        <x:f>IF(E3483=F3483,"PASS","FAIL")</x:f>
        <x:v>PASS</x:v>
      </x:c>
    </x:row>
    <x:row r="3484" ht="18" customHeight="1">
      <x:c r="B3484" s="27" t="str">
        <x:v>A3478</x:v>
      </x:c>
      <x:c r="C3484" s="27" t="str">
        <x:v>lots</x:v>
      </x:c>
      <x:c r="D3484" s="27" t="str">
        <x:v>Lot row 37 positive quantity</x:v>
      </x:c>
      <x:c r="E3484" s="27" t="n">
        <x:f>IF('Article Lots'!F37&gt;0,1,0)</x:f>
        <x:v>1</x:v>
      </x:c>
      <x:c r="F3484" s="27" t="n">
        <x:v>1</x:v>
      </x:c>
      <x:c r="G3484" s="29" t="str">
        <x:f>IF(E3484=F3484,"PASS","FAIL")</x:f>
        <x:v>PASS</x:v>
      </x:c>
    </x:row>
    <x:row r="3485" ht="18" customHeight="1">
      <x:c r="B3485" s="27" t="str">
        <x:v>A3479</x:v>
      </x:c>
      <x:c r="C3485" s="27" t="str">
        <x:v>lots</x:v>
      </x:c>
      <x:c r="D3485" s="27" t="str">
        <x:v>Lot row 37 cost extension</x:v>
      </x:c>
      <x:c r="E3485" s="27" t="n">
        <x:f>IF(ABS('Article Lots'!H37-'Article Lots'!F37*'Article Lots'!G37/1000)&lt;0.000001,1,0)</x:f>
        <x:v>1</x:v>
      </x:c>
      <x:c r="F3485" s="27" t="n">
        <x:v>1</x:v>
      </x:c>
      <x:c r="G3485" s="29" t="str">
        <x:f>IF(E3485=F3485,"PASS","FAIL")</x:f>
        <x:v>PASS</x:v>
      </x:c>
    </x:row>
    <x:row r="3486" ht="18" customHeight="1">
      <x:c r="B3486" s="27" t="str">
        <x:v>A3480</x:v>
      </x:c>
      <x:c r="C3486" s="27" t="str">
        <x:v>lots</x:v>
      </x:c>
      <x:c r="D3486" s="27" t="str">
        <x:v>Lot row 37 positive schedule margin</x:v>
      </x:c>
      <x:c r="E3486" s="27" t="n">
        <x:f>IF('Article Lots'!K37&gt;=1,1,0)</x:f>
        <x:v>1</x:v>
      </x:c>
      <x:c r="F3486" s="27" t="n">
        <x:v>1</x:v>
      </x:c>
      <x:c r="G3486" s="29" t="str">
        <x:f>IF(E3486=F3486,"PASS","FAIL")</x:f>
        <x:v>PASS</x:v>
      </x:c>
    </x:row>
    <x:row r="3487" ht="18" customHeight="1">
      <x:c r="B3487" s="27" t="str">
        <x:v>A3481</x:v>
      </x:c>
      <x:c r="C3487" s="27" t="str">
        <x:v>lots</x:v>
      </x:c>
      <x:c r="D3487" s="27" t="str">
        <x:v>Lot row 37 evidence open</x:v>
      </x:c>
      <x:c r="E3487" s="27" t="n">
        <x:f>IF('Article Lots'!M37="OPEN",1,0)</x:f>
        <x:v>1</x:v>
      </x:c>
      <x:c r="F3487" s="27" t="n">
        <x:v>1</x:v>
      </x:c>
      <x:c r="G3487" s="29" t="str">
        <x:f>IF(E3487=F3487,"PASS","FAIL")</x:f>
        <x:v>PASS</x:v>
      </x:c>
    </x:row>
    <x:row r="3488" ht="18" customHeight="1">
      <x:c r="B3488" s="27" t="str">
        <x:v>A3482</x:v>
      </x:c>
      <x:c r="C3488" s="27" t="str">
        <x:v>lots</x:v>
      </x:c>
      <x:c r="D3488" s="27" t="str">
        <x:v>Lot row 38 positive quantity</x:v>
      </x:c>
      <x:c r="E3488" s="27" t="n">
        <x:f>IF('Article Lots'!F38&gt;0,1,0)</x:f>
        <x:v>1</x:v>
      </x:c>
      <x:c r="F3488" s="27" t="n">
        <x:v>1</x:v>
      </x:c>
      <x:c r="G3488" s="29" t="str">
        <x:f>IF(E3488=F3488,"PASS","FAIL")</x:f>
        <x:v>PASS</x:v>
      </x:c>
    </x:row>
    <x:row r="3489" ht="18" customHeight="1">
      <x:c r="B3489" s="27" t="str">
        <x:v>A3483</x:v>
      </x:c>
      <x:c r="C3489" s="27" t="str">
        <x:v>lots</x:v>
      </x:c>
      <x:c r="D3489" s="27" t="str">
        <x:v>Lot row 38 cost extension</x:v>
      </x:c>
      <x:c r="E3489" s="27" t="n">
        <x:f>IF(ABS('Article Lots'!H38-'Article Lots'!F38*'Article Lots'!G38/1000)&lt;0.000001,1,0)</x:f>
        <x:v>1</x:v>
      </x:c>
      <x:c r="F3489" s="27" t="n">
        <x:v>1</x:v>
      </x:c>
      <x:c r="G3489" s="29" t="str">
        <x:f>IF(E3489=F3489,"PASS","FAIL")</x:f>
        <x:v>PASS</x:v>
      </x:c>
    </x:row>
    <x:row r="3490" ht="18" customHeight="1">
      <x:c r="B3490" s="27" t="str">
        <x:v>A3484</x:v>
      </x:c>
      <x:c r="C3490" s="27" t="str">
        <x:v>lots</x:v>
      </x:c>
      <x:c r="D3490" s="27" t="str">
        <x:v>Lot row 38 positive schedule margin</x:v>
      </x:c>
      <x:c r="E3490" s="27" t="n">
        <x:f>IF('Article Lots'!K38&gt;=1,1,0)</x:f>
        <x:v>1</x:v>
      </x:c>
      <x:c r="F3490" s="27" t="n">
        <x:v>1</x:v>
      </x:c>
      <x:c r="G3490" s="29" t="str">
        <x:f>IF(E3490=F3490,"PASS","FAIL")</x:f>
        <x:v>PASS</x:v>
      </x:c>
    </x:row>
    <x:row r="3491" ht="18" customHeight="1">
      <x:c r="B3491" s="27" t="str">
        <x:v>A3485</x:v>
      </x:c>
      <x:c r="C3491" s="27" t="str">
        <x:v>lots</x:v>
      </x:c>
      <x:c r="D3491" s="27" t="str">
        <x:v>Lot row 38 evidence open</x:v>
      </x:c>
      <x:c r="E3491" s="27" t="n">
        <x:f>IF('Article Lots'!M38="OPEN",1,0)</x:f>
        <x:v>1</x:v>
      </x:c>
      <x:c r="F3491" s="27" t="n">
        <x:v>1</x:v>
      </x:c>
      <x:c r="G3491" s="29" t="str">
        <x:f>IF(E3491=F3491,"PASS","FAIL")</x:f>
        <x:v>PASS</x:v>
      </x:c>
    </x:row>
    <x:row r="3492" ht="18" customHeight="1">
      <x:c r="B3492" s="27" t="str">
        <x:v>A3486</x:v>
      </x:c>
      <x:c r="C3492" s="27" t="str">
        <x:v>lots</x:v>
      </x:c>
      <x:c r="D3492" s="27" t="str">
        <x:v>Lot row 39 positive quantity</x:v>
      </x:c>
      <x:c r="E3492" s="27" t="n">
        <x:f>IF('Article Lots'!F39&gt;0,1,0)</x:f>
        <x:v>1</x:v>
      </x:c>
      <x:c r="F3492" s="27" t="n">
        <x:v>1</x:v>
      </x:c>
      <x:c r="G3492" s="29" t="str">
        <x:f>IF(E3492=F3492,"PASS","FAIL")</x:f>
        <x:v>PASS</x:v>
      </x:c>
    </x:row>
    <x:row r="3493" ht="18" customHeight="1">
      <x:c r="B3493" s="27" t="str">
        <x:v>A3487</x:v>
      </x:c>
      <x:c r="C3493" s="27" t="str">
        <x:v>lots</x:v>
      </x:c>
      <x:c r="D3493" s="27" t="str">
        <x:v>Lot row 39 cost extension</x:v>
      </x:c>
      <x:c r="E3493" s="27" t="n">
        <x:f>IF(ABS('Article Lots'!H39-'Article Lots'!F39*'Article Lots'!G39/1000)&lt;0.000001,1,0)</x:f>
        <x:v>1</x:v>
      </x:c>
      <x:c r="F3493" s="27" t="n">
        <x:v>1</x:v>
      </x:c>
      <x:c r="G3493" s="29" t="str">
        <x:f>IF(E3493=F3493,"PASS","FAIL")</x:f>
        <x:v>PASS</x:v>
      </x:c>
    </x:row>
    <x:row r="3494" ht="18" customHeight="1">
      <x:c r="B3494" s="27" t="str">
        <x:v>A3488</x:v>
      </x:c>
      <x:c r="C3494" s="27" t="str">
        <x:v>lots</x:v>
      </x:c>
      <x:c r="D3494" s="27" t="str">
        <x:v>Lot row 39 positive schedule margin</x:v>
      </x:c>
      <x:c r="E3494" s="27" t="n">
        <x:f>IF('Article Lots'!K39&gt;=1,1,0)</x:f>
        <x:v>1</x:v>
      </x:c>
      <x:c r="F3494" s="27" t="n">
        <x:v>1</x:v>
      </x:c>
      <x:c r="G3494" s="29" t="str">
        <x:f>IF(E3494=F3494,"PASS","FAIL")</x:f>
        <x:v>PASS</x:v>
      </x:c>
    </x:row>
    <x:row r="3495" ht="18" customHeight="1">
      <x:c r="B3495" s="27" t="str">
        <x:v>A3489</x:v>
      </x:c>
      <x:c r="C3495" s="27" t="str">
        <x:v>lots</x:v>
      </x:c>
      <x:c r="D3495" s="27" t="str">
        <x:v>Lot row 39 evidence open</x:v>
      </x:c>
      <x:c r="E3495" s="27" t="n">
        <x:f>IF('Article Lots'!M39="OPEN",1,0)</x:f>
        <x:v>1</x:v>
      </x:c>
      <x:c r="F3495" s="27" t="n">
        <x:v>1</x:v>
      </x:c>
      <x:c r="G3495" s="29" t="str">
        <x:f>IF(E3495=F3495,"PASS","FAIL")</x:f>
        <x:v>PASS</x:v>
      </x:c>
    </x:row>
    <x:row r="3496" ht="18" customHeight="1">
      <x:c r="B3496" s="27" t="str">
        <x:v>A3490</x:v>
      </x:c>
      <x:c r="C3496" s="27" t="str">
        <x:v>lots</x:v>
      </x:c>
      <x:c r="D3496" s="27" t="str">
        <x:v>ATC-A01 lot quantities reconcile</x:v>
      </x:c>
      <x:c r="E3496" s="27" t="n">
        <x:f>IF(SUMIFS('Article Lots'!F7:F39,'Article Lots'!C7:C39,"ATC-A01")=36,1,0)</x:f>
        <x:v>1</x:v>
      </x:c>
      <x:c r="F3496" s="27" t="n">
        <x:v>1</x:v>
      </x:c>
      <x:c r="G3496" s="29" t="str">
        <x:f>IF(E3496=F3496,"PASS","FAIL")</x:f>
        <x:v>PASS</x:v>
      </x:c>
    </x:row>
    <x:row r="3497" ht="18" customHeight="1">
      <x:c r="B3497" s="27" t="str">
        <x:v>A3491</x:v>
      </x:c>
      <x:c r="C3497" s="27" t="str">
        <x:v>lots</x:v>
      </x:c>
      <x:c r="D3497" s="27" t="str">
        <x:v>TTC-T01 lot quantities reconcile</x:v>
      </x:c>
      <x:c r="E3497" s="27" t="n">
        <x:f>IF(SUMIFS('Article Lots'!F7:F39,'Article Lots'!C7:C39,"TTC-T01")=36,1,0)</x:f>
        <x:v>1</x:v>
      </x:c>
      <x:c r="F3497" s="27" t="n">
        <x:v>1</x:v>
      </x:c>
      <x:c r="G3497" s="29" t="str">
        <x:f>IF(E3497=F3497,"PASS","FAIL")</x:f>
        <x:v>PASS</x:v>
      </x:c>
    </x:row>
    <x:row r="3498" ht="18" customHeight="1">
      <x:c r="B3498" s="27" t="str">
        <x:v>A3492</x:v>
      </x:c>
      <x:c r="C3498" s="27" t="str">
        <x:v>lots</x:v>
      </x:c>
      <x:c r="D3498" s="27" t="str">
        <x:v>ACN-A01 lot quantities reconcile</x:v>
      </x:c>
      <x:c r="E3498" s="27" t="n">
        <x:f>IF(SUMIFS('Article Lots'!F7:F39,'Article Lots'!C7:C39,"ACN-A01")=8,1,0)</x:f>
        <x:v>1</x:v>
      </x:c>
      <x:c r="F3498" s="27" t="n">
        <x:v>1</x:v>
      </x:c>
      <x:c r="G3498" s="29" t="str">
        <x:f>IF(E3498=F3498,"PASS","FAIL")</x:f>
        <x:v>PASS</x:v>
      </x:c>
    </x:row>
    <x:row r="3499" ht="18" customHeight="1">
      <x:c r="B3499" s="27" t="str">
        <x:v>A3493</x:v>
      </x:c>
      <x:c r="C3499" s="27" t="str">
        <x:v>lots</x:v>
      </x:c>
      <x:c r="D3499" s="27" t="str">
        <x:v>TCN-T01 lot quantities reconcile</x:v>
      </x:c>
      <x:c r="E3499" s="27" t="n">
        <x:f>IF(SUMIFS('Article Lots'!F7:F39,'Article Lots'!C7:C39,"TCN-T01")=10,1,0)</x:f>
        <x:v>1</x:v>
      </x:c>
      <x:c r="F3499" s="27" t="n">
        <x:v>1</x:v>
      </x:c>
      <x:c r="G3499" s="29" t="str">
        <x:f>IF(E3499=F3499,"PASS","FAIL")</x:f>
        <x:v>PASS</x:v>
      </x:c>
    </x:row>
    <x:row r="3500" ht="18" customHeight="1">
      <x:c r="B3500" s="27" t="str">
        <x:v>A3494</x:v>
      </x:c>
      <x:c r="C3500" s="27" t="str">
        <x:v>lots</x:v>
      </x:c>
      <x:c r="D3500" s="27" t="str">
        <x:v>CRS-R01 lot quantities reconcile</x:v>
      </x:c>
      <x:c r="E3500" s="27" t="n">
        <x:f>IF(SUMIFS('Article Lots'!F7:F39,'Article Lots'!C7:C39,"CRS-R01")=8,1,0)</x:f>
        <x:v>1</x:v>
      </x:c>
      <x:c r="F3500" s="27" t="n">
        <x:v>1</x:v>
      </x:c>
      <x:c r="G3500" s="29" t="str">
        <x:f>IF(E3500=F3500,"PASS","FAIL")</x:f>
        <x:v>PASS</x:v>
      </x:c>
    </x:row>
    <x:row r="3501" ht="18" customHeight="1">
      <x:c r="B3501" s="27" t="str">
        <x:v>A3495</x:v>
      </x:c>
      <x:c r="C3501" s="27" t="str">
        <x:v>lots</x:v>
      </x:c>
      <x:c r="D3501" s="27" t="str">
        <x:v>PSS-T01 lot quantities reconcile</x:v>
      </x:c>
      <x:c r="E3501" s="27" t="n">
        <x:f>IF(SUMIFS('Article Lots'!F7:F39,'Article Lots'!C7:C39,"PSS-T01")=16,1,0)</x:f>
        <x:v>1</x:v>
      </x:c>
      <x:c r="F3501" s="27" t="n">
        <x:v>1</x:v>
      </x:c>
      <x:c r="G3501" s="29" t="str">
        <x:f>IF(E3501=F3501,"PASS","FAIL")</x:f>
        <x:v>PASS</x:v>
      </x:c>
    </x:row>
    <x:row r="3502" ht="18" customHeight="1">
      <x:c r="B3502" s="27" t="str">
        <x:v>A3496</x:v>
      </x:c>
      <x:c r="C3502" s="27" t="str">
        <x:v>lots</x:v>
      </x:c>
      <x:c r="D3502" s="27" t="str">
        <x:v>PIF-I01 lot quantities reconcile</x:v>
      </x:c>
      <x:c r="E3502" s="27" t="n">
        <x:f>IF(SUMIFS('Article Lots'!F7:F39,'Article Lots'!C7:C39,"PIF-I01")=60,1,0)</x:f>
        <x:v>1</x:v>
      </x:c>
      <x:c r="F3502" s="27" t="n">
        <x:v>1</x:v>
      </x:c>
      <x:c r="G3502" s="29" t="str">
        <x:f>IF(E3502=F3502,"PASS","FAIL")</x:f>
        <x:v>PASS</x:v>
      </x:c>
    </x:row>
    <x:row r="3503" ht="18" customHeight="1">
      <x:c r="B3503" s="27" t="str">
        <x:v>A3497</x:v>
      </x:c>
      <x:c r="C3503" s="27" t="str">
        <x:v>lots</x:v>
      </x:c>
      <x:c r="D3503" s="27" t="str">
        <x:v>EPS-P01 lot quantities reconcile</x:v>
      </x:c>
      <x:c r="E3503" s="27" t="n">
        <x:f>IF(SUMIFS('Article Lots'!F7:F39,'Article Lots'!C7:C39,"EPS-P01")=20,1,0)</x:f>
        <x:v>1</x:v>
      </x:c>
      <x:c r="F3503" s="27" t="n">
        <x:v>1</x:v>
      </x:c>
      <x:c r="G3503" s="29" t="str">
        <x:f>IF(E3503=F3503,"PASS","FAIL")</x:f>
        <x:v>PASS</x:v>
      </x:c>
    </x:row>
    <x:row r="3504" ht="18" customHeight="1">
      <x:c r="B3504" s="27" t="str">
        <x:v>A3498</x:v>
      </x:c>
      <x:c r="C3504" s="27" t="str">
        <x:v>lots</x:v>
      </x:c>
      <x:c r="D3504" s="27" t="str">
        <x:v>TKS-C01 lot quantities reconcile</x:v>
      </x:c>
      <x:c r="E3504" s="27" t="n">
        <x:f>IF(SUMIFS('Article Lots'!F7:F39,'Article Lots'!C7:C39,"TKS-C01")=20,1,0)</x:f>
        <x:v>1</x:v>
      </x:c>
      <x:c r="F3504" s="27" t="n">
        <x:v>1</x:v>
      </x:c>
      <x:c r="G3504" s="29" t="str">
        <x:f>IF(E3504=F3504,"PASS","FAIL")</x:f>
        <x:v>PASS</x:v>
      </x:c>
    </x:row>
    <x:row r="3505" ht="18" customHeight="1">
      <x:c r="B3505" s="27" t="str">
        <x:v>A3499</x:v>
      </x:c>
      <x:c r="C3505" s="27" t="str">
        <x:v>lots</x:v>
      </x:c>
      <x:c r="D3505" s="27" t="str">
        <x:v>STG-S01 lot quantities reconcile</x:v>
      </x:c>
      <x:c r="E3505" s="27" t="n">
        <x:f>IF(SUMIFS('Article Lots'!F7:F39,'Article Lots'!C7:C39,"STG-S01")=20,1,0)</x:f>
        <x:v>1</x:v>
      </x:c>
      <x:c r="F3505" s="27" t="n">
        <x:v>1</x:v>
      </x:c>
      <x:c r="G3505" s="29" t="str">
        <x:f>IF(E3505=F3505,"PASS","FAIL")</x:f>
        <x:v>PASS</x:v>
      </x:c>
    </x:row>
    <x:row r="3506" ht="18" customHeight="1">
      <x:c r="B3506" s="27" t="str">
        <x:v>A3500</x:v>
      </x:c>
      <x:c r="C3506" s="27" t="str">
        <x:v>lots</x:v>
      </x:c>
      <x:c r="D3506" s="27" t="str">
        <x:v>MHE-E01 lot quantities reconcile</x:v>
      </x:c>
      <x:c r="E3506" s="27" t="n">
        <x:f>IF(SUMIFS('Article Lots'!F7:F39,'Article Lots'!C7:C39,"MHE-E01")=20,1,0)</x:f>
        <x:v>1</x:v>
      </x:c>
      <x:c r="F3506" s="27" t="n">
        <x:v>1</x:v>
      </x:c>
      <x:c r="G3506" s="29" t="str">
        <x:f>IF(E3506=F3506,"PASS","FAIL")</x:f>
        <x:v>PASS</x:v>
      </x:c>
    </x:row>
    <x:row r="3507" ht="18" customHeight="1">
      <x:c r="B3507" s="27" t="str">
        <x:v>A3501</x:v>
      </x:c>
      <x:c r="C3507" s="27" t="str">
        <x:v>facility</x:v>
      </x:c>
      <x:c r="D3507" s="27" t="str">
        <x:v>Facility row 7 load nonnegative</x:v>
      </x:c>
      <x:c r="E3507" s="27" t="n">
        <x:f>IF('Facility Load'!G7&gt;=0,1,0)</x:f>
        <x:v>1</x:v>
      </x:c>
      <x:c r="F3507" s="27" t="n">
        <x:v>1</x:v>
      </x:c>
      <x:c r="G3507" s="29" t="str">
        <x:f>IF(E3507=F3507,"PASS","FAIL")</x:f>
        <x:v>PASS</x:v>
      </x:c>
    </x:row>
    <x:row r="3508" ht="18" customHeight="1">
      <x:c r="B3508" s="27" t="str">
        <x:v>A3502</x:v>
      </x:c>
      <x:c r="C3508" s="27" t="str">
        <x:v>facility</x:v>
      </x:c>
      <x:c r="D3508" s="27" t="str">
        <x:v>Facility row 7 reserve nonnegative</x:v>
      </x:c>
      <x:c r="E3508" s="27" t="n">
        <x:f>IF('Facility Load'!H7&gt;=0,1,0)</x:f>
        <x:v>1</x:v>
      </x:c>
      <x:c r="F3508" s="27" t="n">
        <x:v>1</x:v>
      </x:c>
      <x:c r="G3508" s="29" t="str">
        <x:f>IF(E3508=F3508,"PASS","FAIL")</x:f>
        <x:v>PASS</x:v>
      </x:c>
    </x:row>
    <x:row r="3509" ht="18" customHeight="1">
      <x:c r="B3509" s="27" t="str">
        <x:v>A3503</x:v>
      </x:c>
      <x:c r="C3509" s="27" t="str">
        <x:v>facility</x:v>
      </x:c>
      <x:c r="D3509" s="27" t="str">
        <x:v>Facility row 7 utilization at most one</x:v>
      </x:c>
      <x:c r="E3509" s="27" t="n">
        <x:f>IF('Facility Load'!I7&lt;=1,1,0)</x:f>
        <x:v>1</x:v>
      </x:c>
      <x:c r="F3509" s="27" t="n">
        <x:v>1</x:v>
      </x:c>
      <x:c r="G3509" s="29" t="str">
        <x:f>IF(E3509=F3509,"PASS","FAIL")</x:f>
        <x:v>PASS</x:v>
      </x:c>
    </x:row>
    <x:row r="3510" ht="18" customHeight="1">
      <x:c r="B3510" s="27" t="str">
        <x:v>A3504</x:v>
      </x:c>
      <x:c r="C3510" s="27" t="str">
        <x:v>facility</x:v>
      </x:c>
      <x:c r="D3510" s="27" t="str">
        <x:v>Facility row 7 state open</x:v>
      </x:c>
      <x:c r="E3510" s="27" t="n">
        <x:f>IF('Facility Load'!J7="OPEN",1,0)</x:f>
        <x:v>1</x:v>
      </x:c>
      <x:c r="F3510" s="27" t="n">
        <x:v>1</x:v>
      </x:c>
      <x:c r="G3510" s="29" t="str">
        <x:f>IF(E3510=F3510,"PASS","FAIL")</x:f>
        <x:v>PASS</x:v>
      </x:c>
    </x:row>
    <x:row r="3511" ht="18" customHeight="1">
      <x:c r="B3511" s="27" t="str">
        <x:v>A3505</x:v>
      </x:c>
      <x:c r="C3511" s="27" t="str">
        <x:v>facility</x:v>
      </x:c>
      <x:c r="D3511" s="27" t="str">
        <x:v>Facility row 7 available decision</x:v>
      </x:c>
      <x:c r="E3511" s="27" t="n">
        <x:f>IF('Facility Load'!K7="AVAILABLE",1,0)</x:f>
        <x:v>1</x:v>
      </x:c>
      <x:c r="F3511" s="27" t="n">
        <x:v>1</x:v>
      </x:c>
      <x:c r="G3511" s="29" t="str">
        <x:f>IF(E3511=F3511,"PASS","FAIL")</x:f>
        <x:v>PASS</x:v>
      </x:c>
    </x:row>
    <x:row r="3512" ht="18" customHeight="1">
      <x:c r="B3512" s="27" t="str">
        <x:v>A3506</x:v>
      </x:c>
      <x:c r="C3512" s="27" t="str">
        <x:v>facility</x:v>
      </x:c>
      <x:c r="D3512" s="27" t="str">
        <x:v>Facility row 8 load nonnegative</x:v>
      </x:c>
      <x:c r="E3512" s="27" t="n">
        <x:f>IF('Facility Load'!G8&gt;=0,1,0)</x:f>
        <x:v>1</x:v>
      </x:c>
      <x:c r="F3512" s="27" t="n">
        <x:v>1</x:v>
      </x:c>
      <x:c r="G3512" s="29" t="str">
        <x:f>IF(E3512=F3512,"PASS","FAIL")</x:f>
        <x:v>PASS</x:v>
      </x:c>
    </x:row>
    <x:row r="3513" ht="18" customHeight="1">
      <x:c r="B3513" s="27" t="str">
        <x:v>A3507</x:v>
      </x:c>
      <x:c r="C3513" s="27" t="str">
        <x:v>facility</x:v>
      </x:c>
      <x:c r="D3513" s="27" t="str">
        <x:v>Facility row 8 reserve nonnegative</x:v>
      </x:c>
      <x:c r="E3513" s="27" t="n">
        <x:f>IF('Facility Load'!H8&gt;=0,1,0)</x:f>
        <x:v>1</x:v>
      </x:c>
      <x:c r="F3513" s="27" t="n">
        <x:v>1</x:v>
      </x:c>
      <x:c r="G3513" s="29" t="str">
        <x:f>IF(E3513=F3513,"PASS","FAIL")</x:f>
        <x:v>PASS</x:v>
      </x:c>
    </x:row>
    <x:row r="3514" ht="18" customHeight="1">
      <x:c r="B3514" s="27" t="str">
        <x:v>A3508</x:v>
      </x:c>
      <x:c r="C3514" s="27" t="str">
        <x:v>facility</x:v>
      </x:c>
      <x:c r="D3514" s="27" t="str">
        <x:v>Facility row 8 utilization at most one</x:v>
      </x:c>
      <x:c r="E3514" s="27" t="n">
        <x:f>IF('Facility Load'!I8&lt;=1,1,0)</x:f>
        <x:v>1</x:v>
      </x:c>
      <x:c r="F3514" s="27" t="n">
        <x:v>1</x:v>
      </x:c>
      <x:c r="G3514" s="29" t="str">
        <x:f>IF(E3514=F3514,"PASS","FAIL")</x:f>
        <x:v>PASS</x:v>
      </x:c>
    </x:row>
    <x:row r="3515" ht="18" customHeight="1">
      <x:c r="B3515" s="27" t="str">
        <x:v>A3509</x:v>
      </x:c>
      <x:c r="C3515" s="27" t="str">
        <x:v>facility</x:v>
      </x:c>
      <x:c r="D3515" s="27" t="str">
        <x:v>Facility row 8 state open</x:v>
      </x:c>
      <x:c r="E3515" s="27" t="n">
        <x:f>IF('Facility Load'!J8="OPEN",1,0)</x:f>
        <x:v>1</x:v>
      </x:c>
      <x:c r="F3515" s="27" t="n">
        <x:v>1</x:v>
      </x:c>
      <x:c r="G3515" s="29" t="str">
        <x:f>IF(E3515=F3515,"PASS","FAIL")</x:f>
        <x:v>PASS</x:v>
      </x:c>
    </x:row>
    <x:row r="3516" ht="18" customHeight="1">
      <x:c r="B3516" s="27" t="str">
        <x:v>A3510</x:v>
      </x:c>
      <x:c r="C3516" s="27" t="str">
        <x:v>facility</x:v>
      </x:c>
      <x:c r="D3516" s="27" t="str">
        <x:v>Facility row 8 available decision</x:v>
      </x:c>
      <x:c r="E3516" s="27" t="n">
        <x:f>IF('Facility Load'!K8="AVAILABLE",1,0)</x:f>
        <x:v>1</x:v>
      </x:c>
      <x:c r="F3516" s="27" t="n">
        <x:v>1</x:v>
      </x:c>
      <x:c r="G3516" s="29" t="str">
        <x:f>IF(E3516=F3516,"PASS","FAIL")</x:f>
        <x:v>PASS</x:v>
      </x:c>
    </x:row>
    <x:row r="3517" ht="18" customHeight="1">
      <x:c r="B3517" s="27" t="str">
        <x:v>A3511</x:v>
      </x:c>
      <x:c r="C3517" s="27" t="str">
        <x:v>facility</x:v>
      </x:c>
      <x:c r="D3517" s="27" t="str">
        <x:v>Facility row 9 load nonnegative</x:v>
      </x:c>
      <x:c r="E3517" s="27" t="n">
        <x:f>IF('Facility Load'!G9&gt;=0,1,0)</x:f>
        <x:v>1</x:v>
      </x:c>
      <x:c r="F3517" s="27" t="n">
        <x:v>1</x:v>
      </x:c>
      <x:c r="G3517" s="29" t="str">
        <x:f>IF(E3517=F3517,"PASS","FAIL")</x:f>
        <x:v>PASS</x:v>
      </x:c>
    </x:row>
    <x:row r="3518" ht="18" customHeight="1">
      <x:c r="B3518" s="27" t="str">
        <x:v>A3512</x:v>
      </x:c>
      <x:c r="C3518" s="27" t="str">
        <x:v>facility</x:v>
      </x:c>
      <x:c r="D3518" s="27" t="str">
        <x:v>Facility row 9 reserve nonnegative</x:v>
      </x:c>
      <x:c r="E3518" s="27" t="n">
        <x:f>IF('Facility Load'!H9&gt;=0,1,0)</x:f>
        <x:v>1</x:v>
      </x:c>
      <x:c r="F3518" s="27" t="n">
        <x:v>1</x:v>
      </x:c>
      <x:c r="G3518" s="29" t="str">
        <x:f>IF(E3518=F3518,"PASS","FAIL")</x:f>
        <x:v>PASS</x:v>
      </x:c>
    </x:row>
    <x:row r="3519" ht="18" customHeight="1">
      <x:c r="B3519" s="27" t="str">
        <x:v>A3513</x:v>
      </x:c>
      <x:c r="C3519" s="27" t="str">
        <x:v>facility</x:v>
      </x:c>
      <x:c r="D3519" s="27" t="str">
        <x:v>Facility row 9 utilization at most one</x:v>
      </x:c>
      <x:c r="E3519" s="27" t="n">
        <x:f>IF('Facility Load'!I9&lt;=1,1,0)</x:f>
        <x:v>1</x:v>
      </x:c>
      <x:c r="F3519" s="27" t="n">
        <x:v>1</x:v>
      </x:c>
      <x:c r="G3519" s="29" t="str">
        <x:f>IF(E3519=F3519,"PASS","FAIL")</x:f>
        <x:v>PASS</x:v>
      </x:c>
    </x:row>
    <x:row r="3520" ht="18" customHeight="1">
      <x:c r="B3520" s="27" t="str">
        <x:v>A3514</x:v>
      </x:c>
      <x:c r="C3520" s="27" t="str">
        <x:v>facility</x:v>
      </x:c>
      <x:c r="D3520" s="27" t="str">
        <x:v>Facility row 9 state open</x:v>
      </x:c>
      <x:c r="E3520" s="27" t="n">
        <x:f>IF('Facility Load'!J9="OPEN",1,0)</x:f>
        <x:v>1</x:v>
      </x:c>
      <x:c r="F3520" s="27" t="n">
        <x:v>1</x:v>
      </x:c>
      <x:c r="G3520" s="29" t="str">
        <x:f>IF(E3520=F3520,"PASS","FAIL")</x:f>
        <x:v>PASS</x:v>
      </x:c>
    </x:row>
    <x:row r="3521" ht="18" customHeight="1">
      <x:c r="B3521" s="27" t="str">
        <x:v>A3515</x:v>
      </x:c>
      <x:c r="C3521" s="27" t="str">
        <x:v>facility</x:v>
      </x:c>
      <x:c r="D3521" s="27" t="str">
        <x:v>Facility row 9 available decision</x:v>
      </x:c>
      <x:c r="E3521" s="27" t="n">
        <x:f>IF('Facility Load'!K9="AVAILABLE",1,0)</x:f>
        <x:v>1</x:v>
      </x:c>
      <x:c r="F3521" s="27" t="n">
        <x:v>1</x:v>
      </x:c>
      <x:c r="G3521" s="29" t="str">
        <x:f>IF(E3521=F3521,"PASS","FAIL")</x:f>
        <x:v>PASS</x:v>
      </x:c>
    </x:row>
    <x:row r="3522" ht="18" customHeight="1">
      <x:c r="B3522" s="27" t="str">
        <x:v>A3516</x:v>
      </x:c>
      <x:c r="C3522" s="27" t="str">
        <x:v>facility</x:v>
      </x:c>
      <x:c r="D3522" s="27" t="str">
        <x:v>Facility row 10 load nonnegative</x:v>
      </x:c>
      <x:c r="E3522" s="27" t="n">
        <x:f>IF('Facility Load'!G10&gt;=0,1,0)</x:f>
        <x:v>1</x:v>
      </x:c>
      <x:c r="F3522" s="27" t="n">
        <x:v>1</x:v>
      </x:c>
      <x:c r="G3522" s="29" t="str">
        <x:f>IF(E3522=F3522,"PASS","FAIL")</x:f>
        <x:v>PASS</x:v>
      </x:c>
    </x:row>
    <x:row r="3523" ht="18" customHeight="1">
      <x:c r="B3523" s="27" t="str">
        <x:v>A3517</x:v>
      </x:c>
      <x:c r="C3523" s="27" t="str">
        <x:v>facility</x:v>
      </x:c>
      <x:c r="D3523" s="27" t="str">
        <x:v>Facility row 10 reserve nonnegative</x:v>
      </x:c>
      <x:c r="E3523" s="27" t="n">
        <x:f>IF('Facility Load'!H10&gt;=0,1,0)</x:f>
        <x:v>1</x:v>
      </x:c>
      <x:c r="F3523" s="27" t="n">
        <x:v>1</x:v>
      </x:c>
      <x:c r="G3523" s="29" t="str">
        <x:f>IF(E3523=F3523,"PASS","FAIL")</x:f>
        <x:v>PASS</x:v>
      </x:c>
    </x:row>
    <x:row r="3524" ht="18" customHeight="1">
      <x:c r="B3524" s="27" t="str">
        <x:v>A3518</x:v>
      </x:c>
      <x:c r="C3524" s="27" t="str">
        <x:v>facility</x:v>
      </x:c>
      <x:c r="D3524" s="27" t="str">
        <x:v>Facility row 10 utilization at most one</x:v>
      </x:c>
      <x:c r="E3524" s="27" t="n">
        <x:f>IF('Facility Load'!I10&lt;=1,1,0)</x:f>
        <x:v>1</x:v>
      </x:c>
      <x:c r="F3524" s="27" t="n">
        <x:v>1</x:v>
      </x:c>
      <x:c r="G3524" s="29" t="str">
        <x:f>IF(E3524=F3524,"PASS","FAIL")</x:f>
        <x:v>PASS</x:v>
      </x:c>
    </x:row>
    <x:row r="3525" ht="18" customHeight="1">
      <x:c r="B3525" s="27" t="str">
        <x:v>A3519</x:v>
      </x:c>
      <x:c r="C3525" s="27" t="str">
        <x:v>facility</x:v>
      </x:c>
      <x:c r="D3525" s="27" t="str">
        <x:v>Facility row 10 state open</x:v>
      </x:c>
      <x:c r="E3525" s="27" t="n">
        <x:f>IF('Facility Load'!J10="OPEN",1,0)</x:f>
        <x:v>1</x:v>
      </x:c>
      <x:c r="F3525" s="27" t="n">
        <x:v>1</x:v>
      </x:c>
      <x:c r="G3525" s="29" t="str">
        <x:f>IF(E3525=F3525,"PASS","FAIL")</x:f>
        <x:v>PASS</x:v>
      </x:c>
    </x:row>
    <x:row r="3526" ht="18" customHeight="1">
      <x:c r="B3526" s="27" t="str">
        <x:v>A3520</x:v>
      </x:c>
      <x:c r="C3526" s="27" t="str">
        <x:v>facility</x:v>
      </x:c>
      <x:c r="D3526" s="27" t="str">
        <x:v>Facility row 10 available decision</x:v>
      </x:c>
      <x:c r="E3526" s="27" t="n">
        <x:f>IF('Facility Load'!K10="AVAILABLE",1,0)</x:f>
        <x:v>1</x:v>
      </x:c>
      <x:c r="F3526" s="27" t="n">
        <x:v>1</x:v>
      </x:c>
      <x:c r="G3526" s="29" t="str">
        <x:f>IF(E3526=F3526,"PASS","FAIL")</x:f>
        <x:v>PASS</x:v>
      </x:c>
    </x:row>
    <x:row r="3527" ht="18" customHeight="1">
      <x:c r="B3527" s="27" t="str">
        <x:v>A3521</x:v>
      </x:c>
      <x:c r="C3527" s="27" t="str">
        <x:v>facility</x:v>
      </x:c>
      <x:c r="D3527" s="27" t="str">
        <x:v>Facility row 11 load nonnegative</x:v>
      </x:c>
      <x:c r="E3527" s="27" t="n">
        <x:f>IF('Facility Load'!G11&gt;=0,1,0)</x:f>
        <x:v>1</x:v>
      </x:c>
      <x:c r="F3527" s="27" t="n">
        <x:v>1</x:v>
      </x:c>
      <x:c r="G3527" s="29" t="str">
        <x:f>IF(E3527=F3527,"PASS","FAIL")</x:f>
        <x:v>PASS</x:v>
      </x:c>
    </x:row>
    <x:row r="3528" ht="18" customHeight="1">
      <x:c r="B3528" s="27" t="str">
        <x:v>A3522</x:v>
      </x:c>
      <x:c r="C3528" s="27" t="str">
        <x:v>facility</x:v>
      </x:c>
      <x:c r="D3528" s="27" t="str">
        <x:v>Facility row 11 reserve nonnegative</x:v>
      </x:c>
      <x:c r="E3528" s="27" t="n">
        <x:f>IF('Facility Load'!H11&gt;=0,1,0)</x:f>
        <x:v>1</x:v>
      </x:c>
      <x:c r="F3528" s="27" t="n">
        <x:v>1</x:v>
      </x:c>
      <x:c r="G3528" s="29" t="str">
        <x:f>IF(E3528=F3528,"PASS","FAIL")</x:f>
        <x:v>PASS</x:v>
      </x:c>
    </x:row>
    <x:row r="3529" ht="18" customHeight="1">
      <x:c r="B3529" s="27" t="str">
        <x:v>A3523</x:v>
      </x:c>
      <x:c r="C3529" s="27" t="str">
        <x:v>facility</x:v>
      </x:c>
      <x:c r="D3529" s="27" t="str">
        <x:v>Facility row 11 utilization at most one</x:v>
      </x:c>
      <x:c r="E3529" s="27" t="n">
        <x:f>IF('Facility Load'!I11&lt;=1,1,0)</x:f>
        <x:v>1</x:v>
      </x:c>
      <x:c r="F3529" s="27" t="n">
        <x:v>1</x:v>
      </x:c>
      <x:c r="G3529" s="29" t="str">
        <x:f>IF(E3529=F3529,"PASS","FAIL")</x:f>
        <x:v>PASS</x:v>
      </x:c>
    </x:row>
    <x:row r="3530" ht="18" customHeight="1">
      <x:c r="B3530" s="27" t="str">
        <x:v>A3524</x:v>
      </x:c>
      <x:c r="C3530" s="27" t="str">
        <x:v>facility</x:v>
      </x:c>
      <x:c r="D3530" s="27" t="str">
        <x:v>Facility row 11 state open</x:v>
      </x:c>
      <x:c r="E3530" s="27" t="n">
        <x:f>IF('Facility Load'!J11="OPEN",1,0)</x:f>
        <x:v>1</x:v>
      </x:c>
      <x:c r="F3530" s="27" t="n">
        <x:v>1</x:v>
      </x:c>
      <x:c r="G3530" s="29" t="str">
        <x:f>IF(E3530=F3530,"PASS","FAIL")</x:f>
        <x:v>PASS</x:v>
      </x:c>
    </x:row>
    <x:row r="3531" ht="18" customHeight="1">
      <x:c r="B3531" s="27" t="str">
        <x:v>A3525</x:v>
      </x:c>
      <x:c r="C3531" s="27" t="str">
        <x:v>facility</x:v>
      </x:c>
      <x:c r="D3531" s="27" t="str">
        <x:v>Facility row 11 available decision</x:v>
      </x:c>
      <x:c r="E3531" s="27" t="n">
        <x:f>IF('Facility Load'!K11="AVAILABLE",1,0)</x:f>
        <x:v>1</x:v>
      </x:c>
      <x:c r="F3531" s="27" t="n">
        <x:v>1</x:v>
      </x:c>
      <x:c r="G3531" s="29" t="str">
        <x:f>IF(E3531=F3531,"PASS","FAIL")</x:f>
        <x:v>PASS</x:v>
      </x:c>
    </x:row>
    <x:row r="3532" ht="18" customHeight="1">
      <x:c r="B3532" s="27" t="str">
        <x:v>A3526</x:v>
      </x:c>
      <x:c r="C3532" s="27" t="str">
        <x:v>facility</x:v>
      </x:c>
      <x:c r="D3532" s="27" t="str">
        <x:v>Facility row 12 load nonnegative</x:v>
      </x:c>
      <x:c r="E3532" s="27" t="n">
        <x:f>IF('Facility Load'!G12&gt;=0,1,0)</x:f>
        <x:v>1</x:v>
      </x:c>
      <x:c r="F3532" s="27" t="n">
        <x:v>1</x:v>
      </x:c>
      <x:c r="G3532" s="29" t="str">
        <x:f>IF(E3532=F3532,"PASS","FAIL")</x:f>
        <x:v>PASS</x:v>
      </x:c>
    </x:row>
    <x:row r="3533" ht="18" customHeight="1">
      <x:c r="B3533" s="27" t="str">
        <x:v>A3527</x:v>
      </x:c>
      <x:c r="C3533" s="27" t="str">
        <x:v>facility</x:v>
      </x:c>
      <x:c r="D3533" s="27" t="str">
        <x:v>Facility row 12 reserve nonnegative</x:v>
      </x:c>
      <x:c r="E3533" s="27" t="n">
        <x:f>IF('Facility Load'!H12&gt;=0,1,0)</x:f>
        <x:v>1</x:v>
      </x:c>
      <x:c r="F3533" s="27" t="n">
        <x:v>1</x:v>
      </x:c>
      <x:c r="G3533" s="29" t="str">
        <x:f>IF(E3533=F3533,"PASS","FAIL")</x:f>
        <x:v>PASS</x:v>
      </x:c>
    </x:row>
    <x:row r="3534" ht="18" customHeight="1">
      <x:c r="B3534" s="27" t="str">
        <x:v>A3528</x:v>
      </x:c>
      <x:c r="C3534" s="27" t="str">
        <x:v>facility</x:v>
      </x:c>
      <x:c r="D3534" s="27" t="str">
        <x:v>Facility row 12 utilization at most one</x:v>
      </x:c>
      <x:c r="E3534" s="27" t="n">
        <x:f>IF('Facility Load'!I12&lt;=1,1,0)</x:f>
        <x:v>1</x:v>
      </x:c>
      <x:c r="F3534" s="27" t="n">
        <x:v>1</x:v>
      </x:c>
      <x:c r="G3534" s="29" t="str">
        <x:f>IF(E3534=F3534,"PASS","FAIL")</x:f>
        <x:v>PASS</x:v>
      </x:c>
    </x:row>
    <x:row r="3535" ht="18" customHeight="1">
      <x:c r="B3535" s="27" t="str">
        <x:v>A3529</x:v>
      </x:c>
      <x:c r="C3535" s="27" t="str">
        <x:v>facility</x:v>
      </x:c>
      <x:c r="D3535" s="27" t="str">
        <x:v>Facility row 12 state open</x:v>
      </x:c>
      <x:c r="E3535" s="27" t="n">
        <x:f>IF('Facility Load'!J12="OPEN",1,0)</x:f>
        <x:v>1</x:v>
      </x:c>
      <x:c r="F3535" s="27" t="n">
        <x:v>1</x:v>
      </x:c>
      <x:c r="G3535" s="29" t="str">
        <x:f>IF(E3535=F3535,"PASS","FAIL")</x:f>
        <x:v>PASS</x:v>
      </x:c>
    </x:row>
    <x:row r="3536" ht="18" customHeight="1">
      <x:c r="B3536" s="27" t="str">
        <x:v>A3530</x:v>
      </x:c>
      <x:c r="C3536" s="27" t="str">
        <x:v>facility</x:v>
      </x:c>
      <x:c r="D3536" s="27" t="str">
        <x:v>Facility row 12 available decision</x:v>
      </x:c>
      <x:c r="E3536" s="27" t="n">
        <x:f>IF('Facility Load'!K12="AVAILABLE",1,0)</x:f>
        <x:v>1</x:v>
      </x:c>
      <x:c r="F3536" s="27" t="n">
        <x:v>1</x:v>
      </x:c>
      <x:c r="G3536" s="29" t="str">
        <x:f>IF(E3536=F3536,"PASS","FAIL")</x:f>
        <x:v>PASS</x:v>
      </x:c>
    </x:row>
    <x:row r="3537" ht="18" customHeight="1">
      <x:c r="B3537" s="27" t="str">
        <x:v>A3531</x:v>
      </x:c>
      <x:c r="C3537" s="27" t="str">
        <x:v>facility</x:v>
      </x:c>
      <x:c r="D3537" s="27" t="str">
        <x:v>Facility row 13 load nonnegative</x:v>
      </x:c>
      <x:c r="E3537" s="27" t="n">
        <x:f>IF('Facility Load'!G13&gt;=0,1,0)</x:f>
        <x:v>1</x:v>
      </x:c>
      <x:c r="F3537" s="27" t="n">
        <x:v>1</x:v>
      </x:c>
      <x:c r="G3537" s="29" t="str">
        <x:f>IF(E3537=F3537,"PASS","FAIL")</x:f>
        <x:v>PASS</x:v>
      </x:c>
    </x:row>
    <x:row r="3538" ht="18" customHeight="1">
      <x:c r="B3538" s="27" t="str">
        <x:v>A3532</x:v>
      </x:c>
      <x:c r="C3538" s="27" t="str">
        <x:v>facility</x:v>
      </x:c>
      <x:c r="D3538" s="27" t="str">
        <x:v>Facility row 13 reserve nonnegative</x:v>
      </x:c>
      <x:c r="E3538" s="27" t="n">
        <x:f>IF('Facility Load'!H13&gt;=0,1,0)</x:f>
        <x:v>1</x:v>
      </x:c>
      <x:c r="F3538" s="27" t="n">
        <x:v>1</x:v>
      </x:c>
      <x:c r="G3538" s="29" t="str">
        <x:f>IF(E3538=F3538,"PASS","FAIL")</x:f>
        <x:v>PASS</x:v>
      </x:c>
    </x:row>
    <x:row r="3539" ht="18" customHeight="1">
      <x:c r="B3539" s="27" t="str">
        <x:v>A3533</x:v>
      </x:c>
      <x:c r="C3539" s="27" t="str">
        <x:v>facility</x:v>
      </x:c>
      <x:c r="D3539" s="27" t="str">
        <x:v>Facility row 13 utilization at most one</x:v>
      </x:c>
      <x:c r="E3539" s="27" t="n">
        <x:f>IF('Facility Load'!I13&lt;=1,1,0)</x:f>
        <x:v>1</x:v>
      </x:c>
      <x:c r="F3539" s="27" t="n">
        <x:v>1</x:v>
      </x:c>
      <x:c r="G3539" s="29" t="str">
        <x:f>IF(E3539=F3539,"PASS","FAIL")</x:f>
        <x:v>PASS</x:v>
      </x:c>
    </x:row>
    <x:row r="3540" ht="18" customHeight="1">
      <x:c r="B3540" s="27" t="str">
        <x:v>A3534</x:v>
      </x:c>
      <x:c r="C3540" s="27" t="str">
        <x:v>facility</x:v>
      </x:c>
      <x:c r="D3540" s="27" t="str">
        <x:v>Facility row 13 state open</x:v>
      </x:c>
      <x:c r="E3540" s="27" t="n">
        <x:f>IF('Facility Load'!J13="OPEN",1,0)</x:f>
        <x:v>1</x:v>
      </x:c>
      <x:c r="F3540" s="27" t="n">
        <x:v>1</x:v>
      </x:c>
      <x:c r="G3540" s="29" t="str">
        <x:f>IF(E3540=F3540,"PASS","FAIL")</x:f>
        <x:v>PASS</x:v>
      </x:c>
    </x:row>
    <x:row r="3541" ht="18" customHeight="1">
      <x:c r="B3541" s="27" t="str">
        <x:v>A3535</x:v>
      </x:c>
      <x:c r="C3541" s="27" t="str">
        <x:v>facility</x:v>
      </x:c>
      <x:c r="D3541" s="27" t="str">
        <x:v>Facility row 13 available decision</x:v>
      </x:c>
      <x:c r="E3541" s="27" t="n">
        <x:f>IF('Facility Load'!K13="AVAILABLE",1,0)</x:f>
        <x:v>1</x:v>
      </x:c>
      <x:c r="F3541" s="27" t="n">
        <x:v>1</x:v>
      </x:c>
      <x:c r="G3541" s="29" t="str">
        <x:f>IF(E3541=F3541,"PASS","FAIL")</x:f>
        <x:v>PASS</x:v>
      </x:c>
    </x:row>
    <x:row r="3542" ht="18" customHeight="1">
      <x:c r="B3542" s="27" t="str">
        <x:v>A3536</x:v>
      </x:c>
      <x:c r="C3542" s="27" t="str">
        <x:v>facility</x:v>
      </x:c>
      <x:c r="D3542" s="27" t="str">
        <x:v>Facility row 14 load nonnegative</x:v>
      </x:c>
      <x:c r="E3542" s="27" t="n">
        <x:f>IF('Facility Load'!G14&gt;=0,1,0)</x:f>
        <x:v>1</x:v>
      </x:c>
      <x:c r="F3542" s="27" t="n">
        <x:v>1</x:v>
      </x:c>
      <x:c r="G3542" s="29" t="str">
        <x:f>IF(E3542=F3542,"PASS","FAIL")</x:f>
        <x:v>PASS</x:v>
      </x:c>
    </x:row>
    <x:row r="3543" ht="18" customHeight="1">
      <x:c r="B3543" s="27" t="str">
        <x:v>A3537</x:v>
      </x:c>
      <x:c r="C3543" s="27" t="str">
        <x:v>facility</x:v>
      </x:c>
      <x:c r="D3543" s="27" t="str">
        <x:v>Facility row 14 reserve nonnegative</x:v>
      </x:c>
      <x:c r="E3543" s="27" t="n">
        <x:f>IF('Facility Load'!H14&gt;=0,1,0)</x:f>
        <x:v>1</x:v>
      </x:c>
      <x:c r="F3543" s="27" t="n">
        <x:v>1</x:v>
      </x:c>
      <x:c r="G3543" s="29" t="str">
        <x:f>IF(E3543=F3543,"PASS","FAIL")</x:f>
        <x:v>PASS</x:v>
      </x:c>
    </x:row>
    <x:row r="3544" ht="18" customHeight="1">
      <x:c r="B3544" s="27" t="str">
        <x:v>A3538</x:v>
      </x:c>
      <x:c r="C3544" s="27" t="str">
        <x:v>facility</x:v>
      </x:c>
      <x:c r="D3544" s="27" t="str">
        <x:v>Facility row 14 utilization at most one</x:v>
      </x:c>
      <x:c r="E3544" s="27" t="n">
        <x:f>IF('Facility Load'!I14&lt;=1,1,0)</x:f>
        <x:v>1</x:v>
      </x:c>
      <x:c r="F3544" s="27" t="n">
        <x:v>1</x:v>
      </x:c>
      <x:c r="G3544" s="29" t="str">
        <x:f>IF(E3544=F3544,"PASS","FAIL")</x:f>
        <x:v>PASS</x:v>
      </x:c>
    </x:row>
    <x:row r="3545" ht="18" customHeight="1">
      <x:c r="B3545" s="27" t="str">
        <x:v>A3539</x:v>
      </x:c>
      <x:c r="C3545" s="27" t="str">
        <x:v>facility</x:v>
      </x:c>
      <x:c r="D3545" s="27" t="str">
        <x:v>Facility row 14 state open</x:v>
      </x:c>
      <x:c r="E3545" s="27" t="n">
        <x:f>IF('Facility Load'!J14="OPEN",1,0)</x:f>
        <x:v>1</x:v>
      </x:c>
      <x:c r="F3545" s="27" t="n">
        <x:v>1</x:v>
      </x:c>
      <x:c r="G3545" s="29" t="str">
        <x:f>IF(E3545=F3545,"PASS","FAIL")</x:f>
        <x:v>PASS</x:v>
      </x:c>
    </x:row>
    <x:row r="3546" ht="18" customHeight="1">
      <x:c r="B3546" s="27" t="str">
        <x:v>A3540</x:v>
      </x:c>
      <x:c r="C3546" s="27" t="str">
        <x:v>facility</x:v>
      </x:c>
      <x:c r="D3546" s="27" t="str">
        <x:v>Facility row 14 available decision</x:v>
      </x:c>
      <x:c r="E3546" s="27" t="n">
        <x:f>IF('Facility Load'!K14="AVAILABLE",1,0)</x:f>
        <x:v>1</x:v>
      </x:c>
      <x:c r="F3546" s="27" t="n">
        <x:v>1</x:v>
      </x:c>
      <x:c r="G3546" s="29" t="str">
        <x:f>IF(E3546=F3546,"PASS","FAIL")</x:f>
        <x:v>PASS</x:v>
      </x:c>
    </x:row>
    <x:row r="3547" ht="18" customHeight="1">
      <x:c r="B3547" s="27" t="str">
        <x:v>A3541</x:v>
      </x:c>
      <x:c r="C3547" s="27" t="str">
        <x:v>facility</x:v>
      </x:c>
      <x:c r="D3547" s="27" t="str">
        <x:v>Facility row 15 load nonnegative</x:v>
      </x:c>
      <x:c r="E3547" s="27" t="n">
        <x:f>IF('Facility Load'!G15&gt;=0,1,0)</x:f>
        <x:v>1</x:v>
      </x:c>
      <x:c r="F3547" s="27" t="n">
        <x:v>1</x:v>
      </x:c>
      <x:c r="G3547" s="29" t="str">
        <x:f>IF(E3547=F3547,"PASS","FAIL")</x:f>
        <x:v>PASS</x:v>
      </x:c>
    </x:row>
    <x:row r="3548" ht="18" customHeight="1">
      <x:c r="B3548" s="27" t="str">
        <x:v>A3542</x:v>
      </x:c>
      <x:c r="C3548" s="27" t="str">
        <x:v>facility</x:v>
      </x:c>
      <x:c r="D3548" s="27" t="str">
        <x:v>Facility row 15 reserve nonnegative</x:v>
      </x:c>
      <x:c r="E3548" s="27" t="n">
        <x:f>IF('Facility Load'!H15&gt;=0,1,0)</x:f>
        <x:v>1</x:v>
      </x:c>
      <x:c r="F3548" s="27" t="n">
        <x:v>1</x:v>
      </x:c>
      <x:c r="G3548" s="29" t="str">
        <x:f>IF(E3548=F3548,"PASS","FAIL")</x:f>
        <x:v>PASS</x:v>
      </x:c>
    </x:row>
    <x:row r="3549" ht="18" customHeight="1">
      <x:c r="B3549" s="27" t="str">
        <x:v>A3543</x:v>
      </x:c>
      <x:c r="C3549" s="27" t="str">
        <x:v>facility</x:v>
      </x:c>
      <x:c r="D3549" s="27" t="str">
        <x:v>Facility row 15 utilization at most one</x:v>
      </x:c>
      <x:c r="E3549" s="27" t="n">
        <x:f>IF('Facility Load'!I15&lt;=1,1,0)</x:f>
        <x:v>1</x:v>
      </x:c>
      <x:c r="F3549" s="27" t="n">
        <x:v>1</x:v>
      </x:c>
      <x:c r="G3549" s="29" t="str">
        <x:f>IF(E3549=F3549,"PASS","FAIL")</x:f>
        <x:v>PASS</x:v>
      </x:c>
    </x:row>
    <x:row r="3550" ht="18" customHeight="1">
      <x:c r="B3550" s="27" t="str">
        <x:v>A3544</x:v>
      </x:c>
      <x:c r="C3550" s="27" t="str">
        <x:v>facility</x:v>
      </x:c>
      <x:c r="D3550" s="27" t="str">
        <x:v>Facility row 15 state open</x:v>
      </x:c>
      <x:c r="E3550" s="27" t="n">
        <x:f>IF('Facility Load'!J15="OPEN",1,0)</x:f>
        <x:v>1</x:v>
      </x:c>
      <x:c r="F3550" s="27" t="n">
        <x:v>1</x:v>
      </x:c>
      <x:c r="G3550" s="29" t="str">
        <x:f>IF(E3550=F3550,"PASS","FAIL")</x:f>
        <x:v>PASS</x:v>
      </x:c>
    </x:row>
    <x:row r="3551" ht="18" customHeight="1">
      <x:c r="B3551" s="27" t="str">
        <x:v>A3545</x:v>
      </x:c>
      <x:c r="C3551" s="27" t="str">
        <x:v>facility</x:v>
      </x:c>
      <x:c r="D3551" s="27" t="str">
        <x:v>Facility row 15 available decision</x:v>
      </x:c>
      <x:c r="E3551" s="27" t="n">
        <x:f>IF('Facility Load'!K15="AVAILABLE",1,0)</x:f>
        <x:v>1</x:v>
      </x:c>
      <x:c r="F3551" s="27" t="n">
        <x:v>1</x:v>
      </x:c>
      <x:c r="G3551" s="29" t="str">
        <x:f>IF(E3551=F3551,"PASS","FAIL")</x:f>
        <x:v>PASS</x:v>
      </x:c>
    </x:row>
    <x:row r="3552" ht="18" customHeight="1">
      <x:c r="B3552" s="27" t="str">
        <x:v>A3546</x:v>
      </x:c>
      <x:c r="C3552" s="27" t="str">
        <x:v>facility</x:v>
      </x:c>
      <x:c r="D3552" s="27" t="str">
        <x:v>Facility row 16 load nonnegative</x:v>
      </x:c>
      <x:c r="E3552" s="27" t="n">
        <x:f>IF('Facility Load'!G16&gt;=0,1,0)</x:f>
        <x:v>1</x:v>
      </x:c>
      <x:c r="F3552" s="27" t="n">
        <x:v>1</x:v>
      </x:c>
      <x:c r="G3552" s="29" t="str">
        <x:f>IF(E3552=F3552,"PASS","FAIL")</x:f>
        <x:v>PASS</x:v>
      </x:c>
    </x:row>
    <x:row r="3553" ht="18" customHeight="1">
      <x:c r="B3553" s="27" t="str">
        <x:v>A3547</x:v>
      </x:c>
      <x:c r="C3553" s="27" t="str">
        <x:v>facility</x:v>
      </x:c>
      <x:c r="D3553" s="27" t="str">
        <x:v>Facility row 16 reserve nonnegative</x:v>
      </x:c>
      <x:c r="E3553" s="27" t="n">
        <x:f>IF('Facility Load'!H16&gt;=0,1,0)</x:f>
        <x:v>1</x:v>
      </x:c>
      <x:c r="F3553" s="27" t="n">
        <x:v>1</x:v>
      </x:c>
      <x:c r="G3553" s="29" t="str">
        <x:f>IF(E3553=F3553,"PASS","FAIL")</x:f>
        <x:v>PASS</x:v>
      </x:c>
    </x:row>
    <x:row r="3554" ht="18" customHeight="1">
      <x:c r="B3554" s="27" t="str">
        <x:v>A3548</x:v>
      </x:c>
      <x:c r="C3554" s="27" t="str">
        <x:v>facility</x:v>
      </x:c>
      <x:c r="D3554" s="27" t="str">
        <x:v>Facility row 16 utilization at most one</x:v>
      </x:c>
      <x:c r="E3554" s="27" t="n">
        <x:f>IF('Facility Load'!I16&lt;=1,1,0)</x:f>
        <x:v>1</x:v>
      </x:c>
      <x:c r="F3554" s="27" t="n">
        <x:v>1</x:v>
      </x:c>
      <x:c r="G3554" s="29" t="str">
        <x:f>IF(E3554=F3554,"PASS","FAIL")</x:f>
        <x:v>PASS</x:v>
      </x:c>
    </x:row>
    <x:row r="3555" ht="18" customHeight="1">
      <x:c r="B3555" s="27" t="str">
        <x:v>A3549</x:v>
      </x:c>
      <x:c r="C3555" s="27" t="str">
        <x:v>facility</x:v>
      </x:c>
      <x:c r="D3555" s="27" t="str">
        <x:v>Facility row 16 state open</x:v>
      </x:c>
      <x:c r="E3555" s="27" t="n">
        <x:f>IF('Facility Load'!J16="OPEN",1,0)</x:f>
        <x:v>1</x:v>
      </x:c>
      <x:c r="F3555" s="27" t="n">
        <x:v>1</x:v>
      </x:c>
      <x:c r="G3555" s="29" t="str">
        <x:f>IF(E3555=F3555,"PASS","FAIL")</x:f>
        <x:v>PASS</x:v>
      </x:c>
    </x:row>
    <x:row r="3556" ht="18" customHeight="1">
      <x:c r="B3556" s="27" t="str">
        <x:v>A3550</x:v>
      </x:c>
      <x:c r="C3556" s="27" t="str">
        <x:v>facility</x:v>
      </x:c>
      <x:c r="D3556" s="27" t="str">
        <x:v>Facility row 16 available decision</x:v>
      </x:c>
      <x:c r="E3556" s="27" t="n">
        <x:f>IF('Facility Load'!K16="AVAILABLE",1,0)</x:f>
        <x:v>1</x:v>
      </x:c>
      <x:c r="F3556" s="27" t="n">
        <x:v>1</x:v>
      </x:c>
      <x:c r="G3556" s="29" t="str">
        <x:f>IF(E3556=F3556,"PASS","FAIL")</x:f>
        <x:v>PASS</x:v>
      </x:c>
    </x:row>
    <x:row r="3557" ht="18" customHeight="1">
      <x:c r="B3557" s="27" t="str">
        <x:v>A3551</x:v>
      </x:c>
      <x:c r="C3557" s="27" t="str">
        <x:v>facility</x:v>
      </x:c>
      <x:c r="D3557" s="27" t="str">
        <x:v>Facility row 17 load nonnegative</x:v>
      </x:c>
      <x:c r="E3557" s="27" t="n">
        <x:f>IF('Facility Load'!G17&gt;=0,1,0)</x:f>
        <x:v>1</x:v>
      </x:c>
      <x:c r="F3557" s="27" t="n">
        <x:v>1</x:v>
      </x:c>
      <x:c r="G3557" s="29" t="str">
        <x:f>IF(E3557=F3557,"PASS","FAIL")</x:f>
        <x:v>PASS</x:v>
      </x:c>
    </x:row>
    <x:row r="3558" ht="18" customHeight="1">
      <x:c r="B3558" s="27" t="str">
        <x:v>A3552</x:v>
      </x:c>
      <x:c r="C3558" s="27" t="str">
        <x:v>facility</x:v>
      </x:c>
      <x:c r="D3558" s="27" t="str">
        <x:v>Facility row 17 reserve nonnegative</x:v>
      </x:c>
      <x:c r="E3558" s="27" t="n">
        <x:f>IF('Facility Load'!H17&gt;=0,1,0)</x:f>
        <x:v>1</x:v>
      </x:c>
      <x:c r="F3558" s="27" t="n">
        <x:v>1</x:v>
      </x:c>
      <x:c r="G3558" s="29" t="str">
        <x:f>IF(E3558=F3558,"PASS","FAIL")</x:f>
        <x:v>PASS</x:v>
      </x:c>
    </x:row>
    <x:row r="3559" ht="18" customHeight="1">
      <x:c r="B3559" s="27" t="str">
        <x:v>A3553</x:v>
      </x:c>
      <x:c r="C3559" s="27" t="str">
        <x:v>facility</x:v>
      </x:c>
      <x:c r="D3559" s="27" t="str">
        <x:v>Facility row 17 utilization at most one</x:v>
      </x:c>
      <x:c r="E3559" s="27" t="n">
        <x:f>IF('Facility Load'!I17&lt;=1,1,0)</x:f>
        <x:v>1</x:v>
      </x:c>
      <x:c r="F3559" s="27" t="n">
        <x:v>1</x:v>
      </x:c>
      <x:c r="G3559" s="29" t="str">
        <x:f>IF(E3559=F3559,"PASS","FAIL")</x:f>
        <x:v>PASS</x:v>
      </x:c>
    </x:row>
    <x:row r="3560" ht="18" customHeight="1">
      <x:c r="B3560" s="27" t="str">
        <x:v>A3554</x:v>
      </x:c>
      <x:c r="C3560" s="27" t="str">
        <x:v>facility</x:v>
      </x:c>
      <x:c r="D3560" s="27" t="str">
        <x:v>Facility row 17 state open</x:v>
      </x:c>
      <x:c r="E3560" s="27" t="n">
        <x:f>IF('Facility Load'!J17="OPEN",1,0)</x:f>
        <x:v>1</x:v>
      </x:c>
      <x:c r="F3560" s="27" t="n">
        <x:v>1</x:v>
      </x:c>
      <x:c r="G3560" s="29" t="str">
        <x:f>IF(E3560=F3560,"PASS","FAIL")</x:f>
        <x:v>PASS</x:v>
      </x:c>
    </x:row>
    <x:row r="3561" ht="18" customHeight="1">
      <x:c r="B3561" s="27" t="str">
        <x:v>A3555</x:v>
      </x:c>
      <x:c r="C3561" s="27" t="str">
        <x:v>facility</x:v>
      </x:c>
      <x:c r="D3561" s="27" t="str">
        <x:v>Facility row 17 available decision</x:v>
      </x:c>
      <x:c r="E3561" s="27" t="n">
        <x:f>IF('Facility Load'!K17="AVAILABLE",1,0)</x:f>
        <x:v>1</x:v>
      </x:c>
      <x:c r="F3561" s="27" t="n">
        <x:v>1</x:v>
      </x:c>
      <x:c r="G3561" s="29" t="str">
        <x:f>IF(E3561=F3561,"PASS","FAIL")</x:f>
        <x:v>PASS</x:v>
      </x:c>
    </x:row>
    <x:row r="3562" ht="18" customHeight="1">
      <x:c r="B3562" s="27" t="str">
        <x:v>A3556</x:v>
      </x:c>
      <x:c r="C3562" s="27" t="str">
        <x:v>facility</x:v>
      </x:c>
      <x:c r="D3562" s="27" t="str">
        <x:v>Facility row 18 load nonnegative</x:v>
      </x:c>
      <x:c r="E3562" s="27" t="n">
        <x:f>IF('Facility Load'!G18&gt;=0,1,0)</x:f>
        <x:v>1</x:v>
      </x:c>
      <x:c r="F3562" s="27" t="n">
        <x:v>1</x:v>
      </x:c>
      <x:c r="G3562" s="29" t="str">
        <x:f>IF(E3562=F3562,"PASS","FAIL")</x:f>
        <x:v>PASS</x:v>
      </x:c>
    </x:row>
    <x:row r="3563" ht="18" customHeight="1">
      <x:c r="B3563" s="27" t="str">
        <x:v>A3557</x:v>
      </x:c>
      <x:c r="C3563" s="27" t="str">
        <x:v>facility</x:v>
      </x:c>
      <x:c r="D3563" s="27" t="str">
        <x:v>Facility row 18 reserve nonnegative</x:v>
      </x:c>
      <x:c r="E3563" s="27" t="n">
        <x:f>IF('Facility Load'!H18&gt;=0,1,0)</x:f>
        <x:v>1</x:v>
      </x:c>
      <x:c r="F3563" s="27" t="n">
        <x:v>1</x:v>
      </x:c>
      <x:c r="G3563" s="29" t="str">
        <x:f>IF(E3563=F3563,"PASS","FAIL")</x:f>
        <x:v>PASS</x:v>
      </x:c>
    </x:row>
    <x:row r="3564" ht="18" customHeight="1">
      <x:c r="B3564" s="27" t="str">
        <x:v>A3558</x:v>
      </x:c>
      <x:c r="C3564" s="27" t="str">
        <x:v>facility</x:v>
      </x:c>
      <x:c r="D3564" s="27" t="str">
        <x:v>Facility row 18 utilization at most one</x:v>
      </x:c>
      <x:c r="E3564" s="27" t="n">
        <x:f>IF('Facility Load'!I18&lt;=1,1,0)</x:f>
        <x:v>1</x:v>
      </x:c>
      <x:c r="F3564" s="27" t="n">
        <x:v>1</x:v>
      </x:c>
      <x:c r="G3564" s="29" t="str">
        <x:f>IF(E3564=F3564,"PASS","FAIL")</x:f>
        <x:v>PASS</x:v>
      </x:c>
    </x:row>
    <x:row r="3565" ht="18" customHeight="1">
      <x:c r="B3565" s="27" t="str">
        <x:v>A3559</x:v>
      </x:c>
      <x:c r="C3565" s="27" t="str">
        <x:v>facility</x:v>
      </x:c>
      <x:c r="D3565" s="27" t="str">
        <x:v>Facility row 18 state open</x:v>
      </x:c>
      <x:c r="E3565" s="27" t="n">
        <x:f>IF('Facility Load'!J18="OPEN",1,0)</x:f>
        <x:v>1</x:v>
      </x:c>
      <x:c r="F3565" s="27" t="n">
        <x:v>1</x:v>
      </x:c>
      <x:c r="G3565" s="29" t="str">
        <x:f>IF(E3565=F3565,"PASS","FAIL")</x:f>
        <x:v>PASS</x:v>
      </x:c>
    </x:row>
    <x:row r="3566" ht="18" customHeight="1">
      <x:c r="B3566" s="27" t="str">
        <x:v>A3560</x:v>
      </x:c>
      <x:c r="C3566" s="27" t="str">
        <x:v>facility</x:v>
      </x:c>
      <x:c r="D3566" s="27" t="str">
        <x:v>Facility row 18 available decision</x:v>
      </x:c>
      <x:c r="E3566" s="27" t="n">
        <x:f>IF('Facility Load'!K18="AVAILABLE",1,0)</x:f>
        <x:v>1</x:v>
      </x:c>
      <x:c r="F3566" s="27" t="n">
        <x:v>1</x:v>
      </x:c>
      <x:c r="G3566" s="29" t="str">
        <x:f>IF(E3566=F3566,"PASS","FAIL")</x:f>
        <x:v>PASS</x:v>
      </x:c>
    </x:row>
    <x:row r="3567" ht="18" customHeight="1">
      <x:c r="B3567" s="27" t="str">
        <x:v>A3561</x:v>
      </x:c>
      <x:c r="C3567" s="27" t="str">
        <x:v>facility</x:v>
      </x:c>
      <x:c r="D3567" s="27" t="str">
        <x:v>Facility row 19 load nonnegative</x:v>
      </x:c>
      <x:c r="E3567" s="27" t="n">
        <x:f>IF('Facility Load'!G19&gt;=0,1,0)</x:f>
        <x:v>1</x:v>
      </x:c>
      <x:c r="F3567" s="27" t="n">
        <x:v>1</x:v>
      </x:c>
      <x:c r="G3567" s="29" t="str">
        <x:f>IF(E3567=F3567,"PASS","FAIL")</x:f>
        <x:v>PASS</x:v>
      </x:c>
    </x:row>
    <x:row r="3568" ht="18" customHeight="1">
      <x:c r="B3568" s="27" t="str">
        <x:v>A3562</x:v>
      </x:c>
      <x:c r="C3568" s="27" t="str">
        <x:v>facility</x:v>
      </x:c>
      <x:c r="D3568" s="27" t="str">
        <x:v>Facility row 19 reserve nonnegative</x:v>
      </x:c>
      <x:c r="E3568" s="27" t="n">
        <x:f>IF('Facility Load'!H19&gt;=0,1,0)</x:f>
        <x:v>1</x:v>
      </x:c>
      <x:c r="F3568" s="27" t="n">
        <x:v>1</x:v>
      </x:c>
      <x:c r="G3568" s="29" t="str">
        <x:f>IF(E3568=F3568,"PASS","FAIL")</x:f>
        <x:v>PASS</x:v>
      </x:c>
    </x:row>
    <x:row r="3569" ht="18" customHeight="1">
      <x:c r="B3569" s="27" t="str">
        <x:v>A3563</x:v>
      </x:c>
      <x:c r="C3569" s="27" t="str">
        <x:v>facility</x:v>
      </x:c>
      <x:c r="D3569" s="27" t="str">
        <x:v>Facility row 19 utilization at most one</x:v>
      </x:c>
      <x:c r="E3569" s="27" t="n">
        <x:f>IF('Facility Load'!I19&lt;=1,1,0)</x:f>
        <x:v>1</x:v>
      </x:c>
      <x:c r="F3569" s="27" t="n">
        <x:v>1</x:v>
      </x:c>
      <x:c r="G3569" s="29" t="str">
        <x:f>IF(E3569=F3569,"PASS","FAIL")</x:f>
        <x:v>PASS</x:v>
      </x:c>
    </x:row>
    <x:row r="3570" ht="18" customHeight="1">
      <x:c r="B3570" s="27" t="str">
        <x:v>A3564</x:v>
      </x:c>
      <x:c r="C3570" s="27" t="str">
        <x:v>facility</x:v>
      </x:c>
      <x:c r="D3570" s="27" t="str">
        <x:v>Facility row 19 state open</x:v>
      </x:c>
      <x:c r="E3570" s="27" t="n">
        <x:f>IF('Facility Load'!J19="OPEN",1,0)</x:f>
        <x:v>1</x:v>
      </x:c>
      <x:c r="F3570" s="27" t="n">
        <x:v>1</x:v>
      </x:c>
      <x:c r="G3570" s="29" t="str">
        <x:f>IF(E3570=F3570,"PASS","FAIL")</x:f>
        <x:v>PASS</x:v>
      </x:c>
    </x:row>
    <x:row r="3571" ht="18" customHeight="1">
      <x:c r="B3571" s="27" t="str">
        <x:v>A3565</x:v>
      </x:c>
      <x:c r="C3571" s="27" t="str">
        <x:v>facility</x:v>
      </x:c>
      <x:c r="D3571" s="27" t="str">
        <x:v>Facility row 19 available decision</x:v>
      </x:c>
      <x:c r="E3571" s="27" t="n">
        <x:f>IF('Facility Load'!K19="AVAILABLE",1,0)</x:f>
        <x:v>1</x:v>
      </x:c>
      <x:c r="F3571" s="27" t="n">
        <x:v>1</x:v>
      </x:c>
      <x:c r="G3571" s="29" t="str">
        <x:f>IF(E3571=F3571,"PASS","FAIL")</x:f>
        <x:v>PASS</x:v>
      </x:c>
    </x:row>
    <x:row r="3572" ht="18" customHeight="1">
      <x:c r="B3572" s="27" t="str">
        <x:v>A3566</x:v>
      </x:c>
      <x:c r="C3572" s="27" t="str">
        <x:v>facility</x:v>
      </x:c>
      <x:c r="D3572" s="27" t="str">
        <x:v>Facility row 20 load nonnegative</x:v>
      </x:c>
      <x:c r="E3572" s="27" t="n">
        <x:f>IF('Facility Load'!G20&gt;=0,1,0)</x:f>
        <x:v>1</x:v>
      </x:c>
      <x:c r="F3572" s="27" t="n">
        <x:v>1</x:v>
      </x:c>
      <x:c r="G3572" s="29" t="str">
        <x:f>IF(E3572=F3572,"PASS","FAIL")</x:f>
        <x:v>PASS</x:v>
      </x:c>
    </x:row>
    <x:row r="3573" ht="18" customHeight="1">
      <x:c r="B3573" s="27" t="str">
        <x:v>A3567</x:v>
      </x:c>
      <x:c r="C3573" s="27" t="str">
        <x:v>facility</x:v>
      </x:c>
      <x:c r="D3573" s="27" t="str">
        <x:v>Facility row 20 reserve nonnegative</x:v>
      </x:c>
      <x:c r="E3573" s="27" t="n">
        <x:f>IF('Facility Load'!H20&gt;=0,1,0)</x:f>
        <x:v>1</x:v>
      </x:c>
      <x:c r="F3573" s="27" t="n">
        <x:v>1</x:v>
      </x:c>
      <x:c r="G3573" s="29" t="str">
        <x:f>IF(E3573=F3573,"PASS","FAIL")</x:f>
        <x:v>PASS</x:v>
      </x:c>
    </x:row>
    <x:row r="3574" ht="18" customHeight="1">
      <x:c r="B3574" s="27" t="str">
        <x:v>A3568</x:v>
      </x:c>
      <x:c r="C3574" s="27" t="str">
        <x:v>facility</x:v>
      </x:c>
      <x:c r="D3574" s="27" t="str">
        <x:v>Facility row 20 utilization at most one</x:v>
      </x:c>
      <x:c r="E3574" s="27" t="n">
        <x:f>IF('Facility Load'!I20&lt;=1,1,0)</x:f>
        <x:v>1</x:v>
      </x:c>
      <x:c r="F3574" s="27" t="n">
        <x:v>1</x:v>
      </x:c>
      <x:c r="G3574" s="29" t="str">
        <x:f>IF(E3574=F3574,"PASS","FAIL")</x:f>
        <x:v>PASS</x:v>
      </x:c>
    </x:row>
    <x:row r="3575" ht="18" customHeight="1">
      <x:c r="B3575" s="27" t="str">
        <x:v>A3569</x:v>
      </x:c>
      <x:c r="C3575" s="27" t="str">
        <x:v>facility</x:v>
      </x:c>
      <x:c r="D3575" s="27" t="str">
        <x:v>Facility row 20 state open</x:v>
      </x:c>
      <x:c r="E3575" s="27" t="n">
        <x:f>IF('Facility Load'!J20="OPEN",1,0)</x:f>
        <x:v>1</x:v>
      </x:c>
      <x:c r="F3575" s="27" t="n">
        <x:v>1</x:v>
      </x:c>
      <x:c r="G3575" s="29" t="str">
        <x:f>IF(E3575=F3575,"PASS","FAIL")</x:f>
        <x:v>PASS</x:v>
      </x:c>
    </x:row>
    <x:row r="3576" ht="18" customHeight="1">
      <x:c r="B3576" s="27" t="str">
        <x:v>A3570</x:v>
      </x:c>
      <x:c r="C3576" s="27" t="str">
        <x:v>facility</x:v>
      </x:c>
      <x:c r="D3576" s="27" t="str">
        <x:v>Facility row 20 available decision</x:v>
      </x:c>
      <x:c r="E3576" s="27" t="n">
        <x:f>IF('Facility Load'!K20="AVAILABLE",1,0)</x:f>
        <x:v>1</x:v>
      </x:c>
      <x:c r="F3576" s="27" t="n">
        <x:v>1</x:v>
      </x:c>
      <x:c r="G3576" s="29" t="str">
        <x:f>IF(E3576=F3576,"PASS","FAIL")</x:f>
        <x:v>PASS</x:v>
      </x:c>
    </x:row>
    <x:row r="3577" ht="18" customHeight="1">
      <x:c r="B3577" s="27" t="str">
        <x:v>A3571</x:v>
      </x:c>
      <x:c r="C3577" s="27" t="str">
        <x:v>facility</x:v>
      </x:c>
      <x:c r="D3577" s="27" t="str">
        <x:v>Facility row 21 load nonnegative</x:v>
      </x:c>
      <x:c r="E3577" s="27" t="n">
        <x:f>IF('Facility Load'!G21&gt;=0,1,0)</x:f>
        <x:v>1</x:v>
      </x:c>
      <x:c r="F3577" s="27" t="n">
        <x:v>1</x:v>
      </x:c>
      <x:c r="G3577" s="29" t="str">
        <x:f>IF(E3577=F3577,"PASS","FAIL")</x:f>
        <x:v>PASS</x:v>
      </x:c>
    </x:row>
    <x:row r="3578" ht="18" customHeight="1">
      <x:c r="B3578" s="27" t="str">
        <x:v>A3572</x:v>
      </x:c>
      <x:c r="C3578" s="27" t="str">
        <x:v>facility</x:v>
      </x:c>
      <x:c r="D3578" s="27" t="str">
        <x:v>Facility row 21 reserve nonnegative</x:v>
      </x:c>
      <x:c r="E3578" s="27" t="n">
        <x:f>IF('Facility Load'!H21&gt;=0,1,0)</x:f>
        <x:v>1</x:v>
      </x:c>
      <x:c r="F3578" s="27" t="n">
        <x:v>1</x:v>
      </x:c>
      <x:c r="G3578" s="29" t="str">
        <x:f>IF(E3578=F3578,"PASS","FAIL")</x:f>
        <x:v>PASS</x:v>
      </x:c>
    </x:row>
    <x:row r="3579" ht="18" customHeight="1">
      <x:c r="B3579" s="27" t="str">
        <x:v>A3573</x:v>
      </x:c>
      <x:c r="C3579" s="27" t="str">
        <x:v>facility</x:v>
      </x:c>
      <x:c r="D3579" s="27" t="str">
        <x:v>Facility row 21 utilization at most one</x:v>
      </x:c>
      <x:c r="E3579" s="27" t="n">
        <x:f>IF('Facility Load'!I21&lt;=1,1,0)</x:f>
        <x:v>1</x:v>
      </x:c>
      <x:c r="F3579" s="27" t="n">
        <x:v>1</x:v>
      </x:c>
      <x:c r="G3579" s="29" t="str">
        <x:f>IF(E3579=F3579,"PASS","FAIL")</x:f>
        <x:v>PASS</x:v>
      </x:c>
    </x:row>
    <x:row r="3580" ht="18" customHeight="1">
      <x:c r="B3580" s="27" t="str">
        <x:v>A3574</x:v>
      </x:c>
      <x:c r="C3580" s="27" t="str">
        <x:v>facility</x:v>
      </x:c>
      <x:c r="D3580" s="27" t="str">
        <x:v>Facility row 21 state open</x:v>
      </x:c>
      <x:c r="E3580" s="27" t="n">
        <x:f>IF('Facility Load'!J21="OPEN",1,0)</x:f>
        <x:v>1</x:v>
      </x:c>
      <x:c r="F3580" s="27" t="n">
        <x:v>1</x:v>
      </x:c>
      <x:c r="G3580" s="29" t="str">
        <x:f>IF(E3580=F3580,"PASS","FAIL")</x:f>
        <x:v>PASS</x:v>
      </x:c>
    </x:row>
    <x:row r="3581" ht="18" customHeight="1">
      <x:c r="B3581" s="27" t="str">
        <x:v>A3575</x:v>
      </x:c>
      <x:c r="C3581" s="27" t="str">
        <x:v>facility</x:v>
      </x:c>
      <x:c r="D3581" s="27" t="str">
        <x:v>Facility row 21 available decision</x:v>
      </x:c>
      <x:c r="E3581" s="27" t="n">
        <x:f>IF('Facility Load'!K21="AVAILABLE",1,0)</x:f>
        <x:v>1</x:v>
      </x:c>
      <x:c r="F3581" s="27" t="n">
        <x:v>1</x:v>
      </x:c>
      <x:c r="G3581" s="29" t="str">
        <x:f>IF(E3581=F3581,"PASS","FAIL")</x:f>
        <x:v>PASS</x:v>
      </x:c>
    </x:row>
    <x:row r="3582" ht="18" customHeight="1">
      <x:c r="B3582" s="27" t="str">
        <x:v>A3576</x:v>
      </x:c>
      <x:c r="C3582" s="27" t="str">
        <x:v>facility</x:v>
      </x:c>
      <x:c r="D3582" s="27" t="str">
        <x:v>Facility row 22 load nonnegative</x:v>
      </x:c>
      <x:c r="E3582" s="27" t="n">
        <x:f>IF('Facility Load'!G22&gt;=0,1,0)</x:f>
        <x:v>1</x:v>
      </x:c>
      <x:c r="F3582" s="27" t="n">
        <x:v>1</x:v>
      </x:c>
      <x:c r="G3582" s="29" t="str">
        <x:f>IF(E3582=F3582,"PASS","FAIL")</x:f>
        <x:v>PASS</x:v>
      </x:c>
    </x:row>
    <x:row r="3583" ht="18" customHeight="1">
      <x:c r="B3583" s="27" t="str">
        <x:v>A3577</x:v>
      </x:c>
      <x:c r="C3583" s="27" t="str">
        <x:v>facility</x:v>
      </x:c>
      <x:c r="D3583" s="27" t="str">
        <x:v>Facility row 22 reserve nonnegative</x:v>
      </x:c>
      <x:c r="E3583" s="27" t="n">
        <x:f>IF('Facility Load'!H22&gt;=0,1,0)</x:f>
        <x:v>1</x:v>
      </x:c>
      <x:c r="F3583" s="27" t="n">
        <x:v>1</x:v>
      </x:c>
      <x:c r="G3583" s="29" t="str">
        <x:f>IF(E3583=F3583,"PASS","FAIL")</x:f>
        <x:v>PASS</x:v>
      </x:c>
    </x:row>
    <x:row r="3584" ht="18" customHeight="1">
      <x:c r="B3584" s="27" t="str">
        <x:v>A3578</x:v>
      </x:c>
      <x:c r="C3584" s="27" t="str">
        <x:v>facility</x:v>
      </x:c>
      <x:c r="D3584" s="27" t="str">
        <x:v>Facility row 22 utilization at most one</x:v>
      </x:c>
      <x:c r="E3584" s="27" t="n">
        <x:f>IF('Facility Load'!I22&lt;=1,1,0)</x:f>
        <x:v>1</x:v>
      </x:c>
      <x:c r="F3584" s="27" t="n">
        <x:v>1</x:v>
      </x:c>
      <x:c r="G3584" s="29" t="str">
        <x:f>IF(E3584=F3584,"PASS","FAIL")</x:f>
        <x:v>PASS</x:v>
      </x:c>
    </x:row>
    <x:row r="3585" ht="18" customHeight="1">
      <x:c r="B3585" s="27" t="str">
        <x:v>A3579</x:v>
      </x:c>
      <x:c r="C3585" s="27" t="str">
        <x:v>facility</x:v>
      </x:c>
      <x:c r="D3585" s="27" t="str">
        <x:v>Facility row 22 state open</x:v>
      </x:c>
      <x:c r="E3585" s="27" t="n">
        <x:f>IF('Facility Load'!J22="OPEN",1,0)</x:f>
        <x:v>1</x:v>
      </x:c>
      <x:c r="F3585" s="27" t="n">
        <x:v>1</x:v>
      </x:c>
      <x:c r="G3585" s="29" t="str">
        <x:f>IF(E3585=F3585,"PASS","FAIL")</x:f>
        <x:v>PASS</x:v>
      </x:c>
    </x:row>
    <x:row r="3586" ht="18" customHeight="1">
      <x:c r="B3586" s="27" t="str">
        <x:v>A3580</x:v>
      </x:c>
      <x:c r="C3586" s="27" t="str">
        <x:v>facility</x:v>
      </x:c>
      <x:c r="D3586" s="27" t="str">
        <x:v>Facility row 22 available decision</x:v>
      </x:c>
      <x:c r="E3586" s="27" t="n">
        <x:f>IF('Facility Load'!K22="AVAILABLE",1,0)</x:f>
        <x:v>1</x:v>
      </x:c>
      <x:c r="F3586" s="27" t="n">
        <x:v>1</x:v>
      </x:c>
      <x:c r="G3586" s="29" t="str">
        <x:f>IF(E3586=F3586,"PASS","FAIL")</x:f>
        <x:v>PASS</x:v>
      </x:c>
    </x:row>
    <x:row r="3587" ht="18" customHeight="1">
      <x:c r="B3587" s="27" t="str">
        <x:v>A3581</x:v>
      </x:c>
      <x:c r="C3587" s="27" t="str">
        <x:v>facility</x:v>
      </x:c>
      <x:c r="D3587" s="27" t="str">
        <x:v>Facility row 23 load nonnegative</x:v>
      </x:c>
      <x:c r="E3587" s="27" t="n">
        <x:f>IF('Facility Load'!G23&gt;=0,1,0)</x:f>
        <x:v>1</x:v>
      </x:c>
      <x:c r="F3587" s="27" t="n">
        <x:v>1</x:v>
      </x:c>
      <x:c r="G3587" s="29" t="str">
        <x:f>IF(E3587=F3587,"PASS","FAIL")</x:f>
        <x:v>PASS</x:v>
      </x:c>
    </x:row>
    <x:row r="3588" ht="18" customHeight="1">
      <x:c r="B3588" s="27" t="str">
        <x:v>A3582</x:v>
      </x:c>
      <x:c r="C3588" s="27" t="str">
        <x:v>facility</x:v>
      </x:c>
      <x:c r="D3588" s="27" t="str">
        <x:v>Facility row 23 reserve nonnegative</x:v>
      </x:c>
      <x:c r="E3588" s="27" t="n">
        <x:f>IF('Facility Load'!H23&gt;=0,1,0)</x:f>
        <x:v>1</x:v>
      </x:c>
      <x:c r="F3588" s="27" t="n">
        <x:v>1</x:v>
      </x:c>
      <x:c r="G3588" s="29" t="str">
        <x:f>IF(E3588=F3588,"PASS","FAIL")</x:f>
        <x:v>PASS</x:v>
      </x:c>
    </x:row>
    <x:row r="3589" ht="18" customHeight="1">
      <x:c r="B3589" s="27" t="str">
        <x:v>A3583</x:v>
      </x:c>
      <x:c r="C3589" s="27" t="str">
        <x:v>facility</x:v>
      </x:c>
      <x:c r="D3589" s="27" t="str">
        <x:v>Facility row 23 utilization at most one</x:v>
      </x:c>
      <x:c r="E3589" s="27" t="n">
        <x:f>IF('Facility Load'!I23&lt;=1,1,0)</x:f>
        <x:v>1</x:v>
      </x:c>
      <x:c r="F3589" s="27" t="n">
        <x:v>1</x:v>
      </x:c>
      <x:c r="G3589" s="29" t="str">
        <x:f>IF(E3589=F3589,"PASS","FAIL")</x:f>
        <x:v>PASS</x:v>
      </x:c>
    </x:row>
    <x:row r="3590" ht="18" customHeight="1">
      <x:c r="B3590" s="27" t="str">
        <x:v>A3584</x:v>
      </x:c>
      <x:c r="C3590" s="27" t="str">
        <x:v>facility</x:v>
      </x:c>
      <x:c r="D3590" s="27" t="str">
        <x:v>Facility row 23 state open</x:v>
      </x:c>
      <x:c r="E3590" s="27" t="n">
        <x:f>IF('Facility Load'!J23="OPEN",1,0)</x:f>
        <x:v>1</x:v>
      </x:c>
      <x:c r="F3590" s="27" t="n">
        <x:v>1</x:v>
      </x:c>
      <x:c r="G3590" s="29" t="str">
        <x:f>IF(E3590=F3590,"PASS","FAIL")</x:f>
        <x:v>PASS</x:v>
      </x:c>
    </x:row>
    <x:row r="3591" ht="18" customHeight="1">
      <x:c r="B3591" s="27" t="str">
        <x:v>A3585</x:v>
      </x:c>
      <x:c r="C3591" s="27" t="str">
        <x:v>facility</x:v>
      </x:c>
      <x:c r="D3591" s="27" t="str">
        <x:v>Facility row 23 available decision</x:v>
      </x:c>
      <x:c r="E3591" s="27" t="n">
        <x:f>IF('Facility Load'!K23="AVAILABLE",1,0)</x:f>
        <x:v>1</x:v>
      </x:c>
      <x:c r="F3591" s="27" t="n">
        <x:v>1</x:v>
      </x:c>
      <x:c r="G3591" s="29" t="str">
        <x:f>IF(E3591=F3591,"PASS","FAIL")</x:f>
        <x:v>PASS</x:v>
      </x:c>
    </x:row>
    <x:row r="3592" ht="18" customHeight="1">
      <x:c r="B3592" s="27" t="str">
        <x:v>A3586</x:v>
      </x:c>
      <x:c r="C3592" s="27" t="str">
        <x:v>facility</x:v>
      </x:c>
      <x:c r="D3592" s="27" t="str">
        <x:v>Facility row 24 load nonnegative</x:v>
      </x:c>
      <x:c r="E3592" s="27" t="n">
        <x:f>IF('Facility Load'!G24&gt;=0,1,0)</x:f>
        <x:v>1</x:v>
      </x:c>
      <x:c r="F3592" s="27" t="n">
        <x:v>1</x:v>
      </x:c>
      <x:c r="G3592" s="29" t="str">
        <x:f>IF(E3592=F3592,"PASS","FAIL")</x:f>
        <x:v>PASS</x:v>
      </x:c>
    </x:row>
    <x:row r="3593" ht="18" customHeight="1">
      <x:c r="B3593" s="27" t="str">
        <x:v>A3587</x:v>
      </x:c>
      <x:c r="C3593" s="27" t="str">
        <x:v>facility</x:v>
      </x:c>
      <x:c r="D3593" s="27" t="str">
        <x:v>Facility row 24 reserve nonnegative</x:v>
      </x:c>
      <x:c r="E3593" s="27" t="n">
        <x:f>IF('Facility Load'!H24&gt;=0,1,0)</x:f>
        <x:v>1</x:v>
      </x:c>
      <x:c r="F3593" s="27" t="n">
        <x:v>1</x:v>
      </x:c>
      <x:c r="G3593" s="29" t="str">
        <x:f>IF(E3593=F3593,"PASS","FAIL")</x:f>
        <x:v>PASS</x:v>
      </x:c>
    </x:row>
    <x:row r="3594" ht="18" customHeight="1">
      <x:c r="B3594" s="27" t="str">
        <x:v>A3588</x:v>
      </x:c>
      <x:c r="C3594" s="27" t="str">
        <x:v>facility</x:v>
      </x:c>
      <x:c r="D3594" s="27" t="str">
        <x:v>Facility row 24 utilization at most one</x:v>
      </x:c>
      <x:c r="E3594" s="27" t="n">
        <x:f>IF('Facility Load'!I24&lt;=1,1,0)</x:f>
        <x:v>1</x:v>
      </x:c>
      <x:c r="F3594" s="27" t="n">
        <x:v>1</x:v>
      </x:c>
      <x:c r="G3594" s="29" t="str">
        <x:f>IF(E3594=F3594,"PASS","FAIL")</x:f>
        <x:v>PASS</x:v>
      </x:c>
    </x:row>
    <x:row r="3595" ht="18" customHeight="1">
      <x:c r="B3595" s="27" t="str">
        <x:v>A3589</x:v>
      </x:c>
      <x:c r="C3595" s="27" t="str">
        <x:v>facility</x:v>
      </x:c>
      <x:c r="D3595" s="27" t="str">
        <x:v>Facility row 24 state open</x:v>
      </x:c>
      <x:c r="E3595" s="27" t="n">
        <x:f>IF('Facility Load'!J24="OPEN",1,0)</x:f>
        <x:v>1</x:v>
      </x:c>
      <x:c r="F3595" s="27" t="n">
        <x:v>1</x:v>
      </x:c>
      <x:c r="G3595" s="29" t="str">
        <x:f>IF(E3595=F3595,"PASS","FAIL")</x:f>
        <x:v>PASS</x:v>
      </x:c>
    </x:row>
    <x:row r="3596" ht="18" customHeight="1">
      <x:c r="B3596" s="27" t="str">
        <x:v>A3590</x:v>
      </x:c>
      <x:c r="C3596" s="27" t="str">
        <x:v>facility</x:v>
      </x:c>
      <x:c r="D3596" s="27" t="str">
        <x:v>Facility row 24 available decision</x:v>
      </x:c>
      <x:c r="E3596" s="27" t="n">
        <x:f>IF('Facility Load'!K24="AVAILABLE",1,0)</x:f>
        <x:v>1</x:v>
      </x:c>
      <x:c r="F3596" s="27" t="n">
        <x:v>1</x:v>
      </x:c>
      <x:c r="G3596" s="29" t="str">
        <x:f>IF(E3596=F3596,"PASS","FAIL")</x:f>
        <x:v>PASS</x:v>
      </x:c>
    </x:row>
    <x:row r="3597" ht="18" customHeight="1">
      <x:c r="B3597" s="27" t="str">
        <x:v>A3591</x:v>
      </x:c>
      <x:c r="C3597" s="27" t="str">
        <x:v>facility</x:v>
      </x:c>
      <x:c r="D3597" s="27" t="str">
        <x:v>Facility row 25 load nonnegative</x:v>
      </x:c>
      <x:c r="E3597" s="27" t="n">
        <x:f>IF('Facility Load'!G25&gt;=0,1,0)</x:f>
        <x:v>1</x:v>
      </x:c>
      <x:c r="F3597" s="27" t="n">
        <x:v>1</x:v>
      </x:c>
      <x:c r="G3597" s="29" t="str">
        <x:f>IF(E3597=F3597,"PASS","FAIL")</x:f>
        <x:v>PASS</x:v>
      </x:c>
    </x:row>
    <x:row r="3598" ht="18" customHeight="1">
      <x:c r="B3598" s="27" t="str">
        <x:v>A3592</x:v>
      </x:c>
      <x:c r="C3598" s="27" t="str">
        <x:v>facility</x:v>
      </x:c>
      <x:c r="D3598" s="27" t="str">
        <x:v>Facility row 25 reserve nonnegative</x:v>
      </x:c>
      <x:c r="E3598" s="27" t="n">
        <x:f>IF('Facility Load'!H25&gt;=0,1,0)</x:f>
        <x:v>1</x:v>
      </x:c>
      <x:c r="F3598" s="27" t="n">
        <x:v>1</x:v>
      </x:c>
      <x:c r="G3598" s="29" t="str">
        <x:f>IF(E3598=F3598,"PASS","FAIL")</x:f>
        <x:v>PASS</x:v>
      </x:c>
    </x:row>
    <x:row r="3599" ht="18" customHeight="1">
      <x:c r="B3599" s="27" t="str">
        <x:v>A3593</x:v>
      </x:c>
      <x:c r="C3599" s="27" t="str">
        <x:v>facility</x:v>
      </x:c>
      <x:c r="D3599" s="27" t="str">
        <x:v>Facility row 25 utilization at most one</x:v>
      </x:c>
      <x:c r="E3599" s="27" t="n">
        <x:f>IF('Facility Load'!I25&lt;=1,1,0)</x:f>
        <x:v>1</x:v>
      </x:c>
      <x:c r="F3599" s="27" t="n">
        <x:v>1</x:v>
      </x:c>
      <x:c r="G3599" s="29" t="str">
        <x:f>IF(E3599=F3599,"PASS","FAIL")</x:f>
        <x:v>PASS</x:v>
      </x:c>
    </x:row>
    <x:row r="3600" ht="18" customHeight="1">
      <x:c r="B3600" s="27" t="str">
        <x:v>A3594</x:v>
      </x:c>
      <x:c r="C3600" s="27" t="str">
        <x:v>facility</x:v>
      </x:c>
      <x:c r="D3600" s="27" t="str">
        <x:v>Facility row 25 state open</x:v>
      </x:c>
      <x:c r="E3600" s="27" t="n">
        <x:f>IF('Facility Load'!J25="OPEN",1,0)</x:f>
        <x:v>1</x:v>
      </x:c>
      <x:c r="F3600" s="27" t="n">
        <x:v>1</x:v>
      </x:c>
      <x:c r="G3600" s="29" t="str">
        <x:f>IF(E3600=F3600,"PASS","FAIL")</x:f>
        <x:v>PASS</x:v>
      </x:c>
    </x:row>
    <x:row r="3601" ht="18" customHeight="1">
      <x:c r="B3601" s="27" t="str">
        <x:v>A3595</x:v>
      </x:c>
      <x:c r="C3601" s="27" t="str">
        <x:v>facility</x:v>
      </x:c>
      <x:c r="D3601" s="27" t="str">
        <x:v>Facility row 25 available decision</x:v>
      </x:c>
      <x:c r="E3601" s="27" t="n">
        <x:f>IF('Facility Load'!K25="AVAILABLE",1,0)</x:f>
        <x:v>1</x:v>
      </x:c>
      <x:c r="F3601" s="27" t="n">
        <x:v>1</x:v>
      </x:c>
      <x:c r="G3601" s="29" t="str">
        <x:f>IF(E3601=F3601,"PASS","FAIL")</x:f>
        <x:v>PASS</x:v>
      </x:c>
    </x:row>
    <x:row r="3602" ht="18" customHeight="1">
      <x:c r="B3602" s="27" t="str">
        <x:v>A3596</x:v>
      </x:c>
      <x:c r="C3602" s="27" t="str">
        <x:v>facility</x:v>
      </x:c>
      <x:c r="D3602" s="27" t="str">
        <x:v>Facility row 26 load nonnegative</x:v>
      </x:c>
      <x:c r="E3602" s="27" t="n">
        <x:f>IF('Facility Load'!G26&gt;=0,1,0)</x:f>
        <x:v>1</x:v>
      </x:c>
      <x:c r="F3602" s="27" t="n">
        <x:v>1</x:v>
      </x:c>
      <x:c r="G3602" s="29" t="str">
        <x:f>IF(E3602=F3602,"PASS","FAIL")</x:f>
        <x:v>PASS</x:v>
      </x:c>
    </x:row>
    <x:row r="3603" ht="18" customHeight="1">
      <x:c r="B3603" s="27" t="str">
        <x:v>A3597</x:v>
      </x:c>
      <x:c r="C3603" s="27" t="str">
        <x:v>facility</x:v>
      </x:c>
      <x:c r="D3603" s="27" t="str">
        <x:v>Facility row 26 reserve nonnegative</x:v>
      </x:c>
      <x:c r="E3603" s="27" t="n">
        <x:f>IF('Facility Load'!H26&gt;=0,1,0)</x:f>
        <x:v>1</x:v>
      </x:c>
      <x:c r="F3603" s="27" t="n">
        <x:v>1</x:v>
      </x:c>
      <x:c r="G3603" s="29" t="str">
        <x:f>IF(E3603=F3603,"PASS","FAIL")</x:f>
        <x:v>PASS</x:v>
      </x:c>
    </x:row>
    <x:row r="3604" ht="18" customHeight="1">
      <x:c r="B3604" s="27" t="str">
        <x:v>A3598</x:v>
      </x:c>
      <x:c r="C3604" s="27" t="str">
        <x:v>facility</x:v>
      </x:c>
      <x:c r="D3604" s="27" t="str">
        <x:v>Facility row 26 utilization at most one</x:v>
      </x:c>
      <x:c r="E3604" s="27" t="n">
        <x:f>IF('Facility Load'!I26&lt;=1,1,0)</x:f>
        <x:v>1</x:v>
      </x:c>
      <x:c r="F3604" s="27" t="n">
        <x:v>1</x:v>
      </x:c>
      <x:c r="G3604" s="29" t="str">
        <x:f>IF(E3604=F3604,"PASS","FAIL")</x:f>
        <x:v>PASS</x:v>
      </x:c>
    </x:row>
    <x:row r="3605" ht="18" customHeight="1">
      <x:c r="B3605" s="27" t="str">
        <x:v>A3599</x:v>
      </x:c>
      <x:c r="C3605" s="27" t="str">
        <x:v>facility</x:v>
      </x:c>
      <x:c r="D3605" s="27" t="str">
        <x:v>Facility row 26 state open</x:v>
      </x:c>
      <x:c r="E3605" s="27" t="n">
        <x:f>IF('Facility Load'!J26="OPEN",1,0)</x:f>
        <x:v>1</x:v>
      </x:c>
      <x:c r="F3605" s="27" t="n">
        <x:v>1</x:v>
      </x:c>
      <x:c r="G3605" s="29" t="str">
        <x:f>IF(E3605=F3605,"PASS","FAIL")</x:f>
        <x:v>PASS</x:v>
      </x:c>
    </x:row>
    <x:row r="3606" ht="18" customHeight="1">
      <x:c r="B3606" s="27" t="str">
        <x:v>A3600</x:v>
      </x:c>
      <x:c r="C3606" s="27" t="str">
        <x:v>facility</x:v>
      </x:c>
      <x:c r="D3606" s="27" t="str">
        <x:v>Facility row 26 available decision</x:v>
      </x:c>
      <x:c r="E3606" s="27" t="n">
        <x:f>IF('Facility Load'!K26="AVAILABLE",1,0)</x:f>
        <x:v>1</x:v>
      </x:c>
      <x:c r="F3606" s="27" t="n">
        <x:v>1</x:v>
      </x:c>
      <x:c r="G3606" s="29" t="str">
        <x:f>IF(E3606=F3606,"PASS","FAIL")</x:f>
        <x:v>PASS</x:v>
      </x:c>
    </x:row>
    <x:row r="3607" ht="18" customHeight="1">
      <x:c r="B3607" s="27" t="str">
        <x:v>A3601</x:v>
      </x:c>
      <x:c r="C3607" s="27" t="str">
        <x:v>facility</x:v>
      </x:c>
      <x:c r="D3607" s="27" t="str">
        <x:v>Facility row 27 load nonnegative</x:v>
      </x:c>
      <x:c r="E3607" s="27" t="n">
        <x:f>IF('Facility Load'!G27&gt;=0,1,0)</x:f>
        <x:v>1</x:v>
      </x:c>
      <x:c r="F3607" s="27" t="n">
        <x:v>1</x:v>
      </x:c>
      <x:c r="G3607" s="29" t="str">
        <x:f>IF(E3607=F3607,"PASS","FAIL")</x:f>
        <x:v>PASS</x:v>
      </x:c>
    </x:row>
    <x:row r="3608" ht="18" customHeight="1">
      <x:c r="B3608" s="27" t="str">
        <x:v>A3602</x:v>
      </x:c>
      <x:c r="C3608" s="27" t="str">
        <x:v>facility</x:v>
      </x:c>
      <x:c r="D3608" s="27" t="str">
        <x:v>Facility row 27 reserve nonnegative</x:v>
      </x:c>
      <x:c r="E3608" s="27" t="n">
        <x:f>IF('Facility Load'!H27&gt;=0,1,0)</x:f>
        <x:v>1</x:v>
      </x:c>
      <x:c r="F3608" s="27" t="n">
        <x:v>1</x:v>
      </x:c>
      <x:c r="G3608" s="29" t="str">
        <x:f>IF(E3608=F3608,"PASS","FAIL")</x:f>
        <x:v>PASS</x:v>
      </x:c>
    </x:row>
    <x:row r="3609" ht="18" customHeight="1">
      <x:c r="B3609" s="27" t="str">
        <x:v>A3603</x:v>
      </x:c>
      <x:c r="C3609" s="27" t="str">
        <x:v>facility</x:v>
      </x:c>
      <x:c r="D3609" s="27" t="str">
        <x:v>Facility row 27 utilization at most one</x:v>
      </x:c>
      <x:c r="E3609" s="27" t="n">
        <x:f>IF('Facility Load'!I27&lt;=1,1,0)</x:f>
        <x:v>1</x:v>
      </x:c>
      <x:c r="F3609" s="27" t="n">
        <x:v>1</x:v>
      </x:c>
      <x:c r="G3609" s="29" t="str">
        <x:f>IF(E3609=F3609,"PASS","FAIL")</x:f>
        <x:v>PASS</x:v>
      </x:c>
    </x:row>
    <x:row r="3610" ht="18" customHeight="1">
      <x:c r="B3610" s="27" t="str">
        <x:v>A3604</x:v>
      </x:c>
      <x:c r="C3610" s="27" t="str">
        <x:v>facility</x:v>
      </x:c>
      <x:c r="D3610" s="27" t="str">
        <x:v>Facility row 27 state open</x:v>
      </x:c>
      <x:c r="E3610" s="27" t="n">
        <x:f>IF('Facility Load'!J27="OPEN",1,0)</x:f>
        <x:v>1</x:v>
      </x:c>
      <x:c r="F3610" s="27" t="n">
        <x:v>1</x:v>
      </x:c>
      <x:c r="G3610" s="29" t="str">
        <x:f>IF(E3610=F3610,"PASS","FAIL")</x:f>
        <x:v>PASS</x:v>
      </x:c>
    </x:row>
    <x:row r="3611" ht="18" customHeight="1">
      <x:c r="B3611" s="27" t="str">
        <x:v>A3605</x:v>
      </x:c>
      <x:c r="C3611" s="27" t="str">
        <x:v>facility</x:v>
      </x:c>
      <x:c r="D3611" s="27" t="str">
        <x:v>Facility row 27 available decision</x:v>
      </x:c>
      <x:c r="E3611" s="27" t="n">
        <x:f>IF('Facility Load'!K27="AVAILABLE",1,0)</x:f>
        <x:v>1</x:v>
      </x:c>
      <x:c r="F3611" s="27" t="n">
        <x:v>1</x:v>
      </x:c>
      <x:c r="G3611" s="29" t="str">
        <x:f>IF(E3611=F3611,"PASS","FAIL")</x:f>
        <x:v>PASS</x:v>
      </x:c>
    </x:row>
    <x:row r="3612" ht="18" customHeight="1">
      <x:c r="B3612" s="27" t="str">
        <x:v>A3606</x:v>
      </x:c>
      <x:c r="C3612" s="27" t="str">
        <x:v>facility</x:v>
      </x:c>
      <x:c r="D3612" s="27" t="str">
        <x:v>Facility row 28 load nonnegative</x:v>
      </x:c>
      <x:c r="E3612" s="27" t="n">
        <x:f>IF('Facility Load'!G28&gt;=0,1,0)</x:f>
        <x:v>1</x:v>
      </x:c>
      <x:c r="F3612" s="27" t="n">
        <x:v>1</x:v>
      </x:c>
      <x:c r="G3612" s="29" t="str">
        <x:f>IF(E3612=F3612,"PASS","FAIL")</x:f>
        <x:v>PASS</x:v>
      </x:c>
    </x:row>
    <x:row r="3613" ht="18" customHeight="1">
      <x:c r="B3613" s="27" t="str">
        <x:v>A3607</x:v>
      </x:c>
      <x:c r="C3613" s="27" t="str">
        <x:v>facility</x:v>
      </x:c>
      <x:c r="D3613" s="27" t="str">
        <x:v>Facility row 28 reserve nonnegative</x:v>
      </x:c>
      <x:c r="E3613" s="27" t="n">
        <x:f>IF('Facility Load'!H28&gt;=0,1,0)</x:f>
        <x:v>1</x:v>
      </x:c>
      <x:c r="F3613" s="27" t="n">
        <x:v>1</x:v>
      </x:c>
      <x:c r="G3613" s="29" t="str">
        <x:f>IF(E3613=F3613,"PASS","FAIL")</x:f>
        <x:v>PASS</x:v>
      </x:c>
    </x:row>
    <x:row r="3614" ht="18" customHeight="1">
      <x:c r="B3614" s="27" t="str">
        <x:v>A3608</x:v>
      </x:c>
      <x:c r="C3614" s="27" t="str">
        <x:v>facility</x:v>
      </x:c>
      <x:c r="D3614" s="27" t="str">
        <x:v>Facility row 28 utilization at most one</x:v>
      </x:c>
      <x:c r="E3614" s="27" t="n">
        <x:f>IF('Facility Load'!I28&lt;=1,1,0)</x:f>
        <x:v>1</x:v>
      </x:c>
      <x:c r="F3614" s="27" t="n">
        <x:v>1</x:v>
      </x:c>
      <x:c r="G3614" s="29" t="str">
        <x:f>IF(E3614=F3614,"PASS","FAIL")</x:f>
        <x:v>PASS</x:v>
      </x:c>
    </x:row>
    <x:row r="3615" ht="18" customHeight="1">
      <x:c r="B3615" s="27" t="str">
        <x:v>A3609</x:v>
      </x:c>
      <x:c r="C3615" s="27" t="str">
        <x:v>facility</x:v>
      </x:c>
      <x:c r="D3615" s="27" t="str">
        <x:v>Facility row 28 state open</x:v>
      </x:c>
      <x:c r="E3615" s="27" t="n">
        <x:f>IF('Facility Load'!J28="OPEN",1,0)</x:f>
        <x:v>1</x:v>
      </x:c>
      <x:c r="F3615" s="27" t="n">
        <x:v>1</x:v>
      </x:c>
      <x:c r="G3615" s="29" t="str">
        <x:f>IF(E3615=F3615,"PASS","FAIL")</x:f>
        <x:v>PASS</x:v>
      </x:c>
    </x:row>
    <x:row r="3616" ht="18" customHeight="1">
      <x:c r="B3616" s="27" t="str">
        <x:v>A3610</x:v>
      </x:c>
      <x:c r="C3616" s="27" t="str">
        <x:v>facility</x:v>
      </x:c>
      <x:c r="D3616" s="27" t="str">
        <x:v>Facility row 28 available decision</x:v>
      </x:c>
      <x:c r="E3616" s="27" t="n">
        <x:f>IF('Facility Load'!K28="AVAILABLE",1,0)</x:f>
        <x:v>1</x:v>
      </x:c>
      <x:c r="F3616" s="27" t="n">
        <x:v>1</x:v>
      </x:c>
      <x:c r="G3616" s="29" t="str">
        <x:f>IF(E3616=F3616,"PASS","FAIL")</x:f>
        <x:v>PASS</x:v>
      </x:c>
    </x:row>
    <x:row r="3617" ht="18" customHeight="1">
      <x:c r="B3617" s="27" t="str">
        <x:v>A3611</x:v>
      </x:c>
      <x:c r="C3617" s="27" t="str">
        <x:v>facility</x:v>
      </x:c>
      <x:c r="D3617" s="27" t="str">
        <x:v>Facility row 29 load nonnegative</x:v>
      </x:c>
      <x:c r="E3617" s="27" t="n">
        <x:f>IF('Facility Load'!G29&gt;=0,1,0)</x:f>
        <x:v>1</x:v>
      </x:c>
      <x:c r="F3617" s="27" t="n">
        <x:v>1</x:v>
      </x:c>
      <x:c r="G3617" s="29" t="str">
        <x:f>IF(E3617=F3617,"PASS","FAIL")</x:f>
        <x:v>PASS</x:v>
      </x:c>
    </x:row>
    <x:row r="3618" ht="18" customHeight="1">
      <x:c r="B3618" s="27" t="str">
        <x:v>A3612</x:v>
      </x:c>
      <x:c r="C3618" s="27" t="str">
        <x:v>facility</x:v>
      </x:c>
      <x:c r="D3618" s="27" t="str">
        <x:v>Facility row 29 reserve nonnegative</x:v>
      </x:c>
      <x:c r="E3618" s="27" t="n">
        <x:f>IF('Facility Load'!H29&gt;=0,1,0)</x:f>
        <x:v>1</x:v>
      </x:c>
      <x:c r="F3618" s="27" t="n">
        <x:v>1</x:v>
      </x:c>
      <x:c r="G3618" s="29" t="str">
        <x:f>IF(E3618=F3618,"PASS","FAIL")</x:f>
        <x:v>PASS</x:v>
      </x:c>
    </x:row>
    <x:row r="3619" ht="18" customHeight="1">
      <x:c r="B3619" s="27" t="str">
        <x:v>A3613</x:v>
      </x:c>
      <x:c r="C3619" s="27" t="str">
        <x:v>facility</x:v>
      </x:c>
      <x:c r="D3619" s="27" t="str">
        <x:v>Facility row 29 utilization at most one</x:v>
      </x:c>
      <x:c r="E3619" s="27" t="n">
        <x:f>IF('Facility Load'!I29&lt;=1,1,0)</x:f>
        <x:v>1</x:v>
      </x:c>
      <x:c r="F3619" s="27" t="n">
        <x:v>1</x:v>
      </x:c>
      <x:c r="G3619" s="29" t="str">
        <x:f>IF(E3619=F3619,"PASS","FAIL")</x:f>
        <x:v>PASS</x:v>
      </x:c>
    </x:row>
    <x:row r="3620" ht="18" customHeight="1">
      <x:c r="B3620" s="27" t="str">
        <x:v>A3614</x:v>
      </x:c>
      <x:c r="C3620" s="27" t="str">
        <x:v>facility</x:v>
      </x:c>
      <x:c r="D3620" s="27" t="str">
        <x:v>Facility row 29 state open</x:v>
      </x:c>
      <x:c r="E3620" s="27" t="n">
        <x:f>IF('Facility Load'!J29="OPEN",1,0)</x:f>
        <x:v>1</x:v>
      </x:c>
      <x:c r="F3620" s="27" t="n">
        <x:v>1</x:v>
      </x:c>
      <x:c r="G3620" s="29" t="str">
        <x:f>IF(E3620=F3620,"PASS","FAIL")</x:f>
        <x:v>PASS</x:v>
      </x:c>
    </x:row>
    <x:row r="3621" ht="18" customHeight="1">
      <x:c r="B3621" s="27" t="str">
        <x:v>A3615</x:v>
      </x:c>
      <x:c r="C3621" s="27" t="str">
        <x:v>facility</x:v>
      </x:c>
      <x:c r="D3621" s="27" t="str">
        <x:v>Facility row 29 available decision</x:v>
      </x:c>
      <x:c r="E3621" s="27" t="n">
        <x:f>IF('Facility Load'!K29="AVAILABLE",1,0)</x:f>
        <x:v>1</x:v>
      </x:c>
      <x:c r="F3621" s="27" t="n">
        <x:v>1</x:v>
      </x:c>
      <x:c r="G3621" s="29" t="str">
        <x:f>IF(E3621=F3621,"PASS","FAIL")</x:f>
        <x:v>PASS</x:v>
      </x:c>
    </x:row>
    <x:row r="3622" ht="18" customHeight="1">
      <x:c r="B3622" s="27" t="str">
        <x:v>A3616</x:v>
      </x:c>
      <x:c r="C3622" s="27" t="str">
        <x:v>facility</x:v>
      </x:c>
      <x:c r="D3622" s="27" t="str">
        <x:v>Facility row 30 load nonnegative</x:v>
      </x:c>
      <x:c r="E3622" s="27" t="n">
        <x:f>IF('Facility Load'!G30&gt;=0,1,0)</x:f>
        <x:v>1</x:v>
      </x:c>
      <x:c r="F3622" s="27" t="n">
        <x:v>1</x:v>
      </x:c>
      <x:c r="G3622" s="29" t="str">
        <x:f>IF(E3622=F3622,"PASS","FAIL")</x:f>
        <x:v>PASS</x:v>
      </x:c>
    </x:row>
    <x:row r="3623" ht="18" customHeight="1">
      <x:c r="B3623" s="27" t="str">
        <x:v>A3617</x:v>
      </x:c>
      <x:c r="C3623" s="27" t="str">
        <x:v>facility</x:v>
      </x:c>
      <x:c r="D3623" s="27" t="str">
        <x:v>Facility row 30 reserve nonnegative</x:v>
      </x:c>
      <x:c r="E3623" s="27" t="n">
        <x:f>IF('Facility Load'!H30&gt;=0,1,0)</x:f>
        <x:v>1</x:v>
      </x:c>
      <x:c r="F3623" s="27" t="n">
        <x:v>1</x:v>
      </x:c>
      <x:c r="G3623" s="29" t="str">
        <x:f>IF(E3623=F3623,"PASS","FAIL")</x:f>
        <x:v>PASS</x:v>
      </x:c>
    </x:row>
    <x:row r="3624" ht="18" customHeight="1">
      <x:c r="B3624" s="27" t="str">
        <x:v>A3618</x:v>
      </x:c>
      <x:c r="C3624" s="27" t="str">
        <x:v>facility</x:v>
      </x:c>
      <x:c r="D3624" s="27" t="str">
        <x:v>Facility row 30 utilization at most one</x:v>
      </x:c>
      <x:c r="E3624" s="27" t="n">
        <x:f>IF('Facility Load'!I30&lt;=1,1,0)</x:f>
        <x:v>1</x:v>
      </x:c>
      <x:c r="F3624" s="27" t="n">
        <x:v>1</x:v>
      </x:c>
      <x:c r="G3624" s="29" t="str">
        <x:f>IF(E3624=F3624,"PASS","FAIL")</x:f>
        <x:v>PASS</x:v>
      </x:c>
    </x:row>
    <x:row r="3625" ht="18" customHeight="1">
      <x:c r="B3625" s="27" t="str">
        <x:v>A3619</x:v>
      </x:c>
      <x:c r="C3625" s="27" t="str">
        <x:v>facility</x:v>
      </x:c>
      <x:c r="D3625" s="27" t="str">
        <x:v>Facility row 30 state open</x:v>
      </x:c>
      <x:c r="E3625" s="27" t="n">
        <x:f>IF('Facility Load'!J30="OPEN",1,0)</x:f>
        <x:v>1</x:v>
      </x:c>
      <x:c r="F3625" s="27" t="n">
        <x:v>1</x:v>
      </x:c>
      <x:c r="G3625" s="29" t="str">
        <x:f>IF(E3625=F3625,"PASS","FAIL")</x:f>
        <x:v>PASS</x:v>
      </x:c>
    </x:row>
    <x:row r="3626" ht="18" customHeight="1">
      <x:c r="B3626" s="27" t="str">
        <x:v>A3620</x:v>
      </x:c>
      <x:c r="C3626" s="27" t="str">
        <x:v>facility</x:v>
      </x:c>
      <x:c r="D3626" s="27" t="str">
        <x:v>Facility row 30 available decision</x:v>
      </x:c>
      <x:c r="E3626" s="27" t="n">
        <x:f>IF('Facility Load'!K30="AVAILABLE",1,0)</x:f>
        <x:v>1</x:v>
      </x:c>
      <x:c r="F3626" s="27" t="n">
        <x:v>1</x:v>
      </x:c>
      <x:c r="G3626" s="29" t="str">
        <x:f>IF(E3626=F3626,"PASS","FAIL")</x:f>
        <x:v>PASS</x:v>
      </x:c>
    </x:row>
    <x:row r="3627" ht="18" customHeight="1">
      <x:c r="B3627" s="27" t="str">
        <x:v>A3621</x:v>
      </x:c>
      <x:c r="C3627" s="27" t="str">
        <x:v>facility</x:v>
      </x:c>
      <x:c r="D3627" s="27" t="str">
        <x:v>Facility row 31 load nonnegative</x:v>
      </x:c>
      <x:c r="E3627" s="27" t="n">
        <x:f>IF('Facility Load'!G31&gt;=0,1,0)</x:f>
        <x:v>1</x:v>
      </x:c>
      <x:c r="F3627" s="27" t="n">
        <x:v>1</x:v>
      </x:c>
      <x:c r="G3627" s="29" t="str">
        <x:f>IF(E3627=F3627,"PASS","FAIL")</x:f>
        <x:v>PASS</x:v>
      </x:c>
    </x:row>
    <x:row r="3628" ht="18" customHeight="1">
      <x:c r="B3628" s="27" t="str">
        <x:v>A3622</x:v>
      </x:c>
      <x:c r="C3628" s="27" t="str">
        <x:v>facility</x:v>
      </x:c>
      <x:c r="D3628" s="27" t="str">
        <x:v>Facility row 31 reserve nonnegative</x:v>
      </x:c>
      <x:c r="E3628" s="27" t="n">
        <x:f>IF('Facility Load'!H31&gt;=0,1,0)</x:f>
        <x:v>1</x:v>
      </x:c>
      <x:c r="F3628" s="27" t="n">
        <x:v>1</x:v>
      </x:c>
      <x:c r="G3628" s="29" t="str">
        <x:f>IF(E3628=F3628,"PASS","FAIL")</x:f>
        <x:v>PASS</x:v>
      </x:c>
    </x:row>
    <x:row r="3629" ht="18" customHeight="1">
      <x:c r="B3629" s="27" t="str">
        <x:v>A3623</x:v>
      </x:c>
      <x:c r="C3629" s="27" t="str">
        <x:v>facility</x:v>
      </x:c>
      <x:c r="D3629" s="27" t="str">
        <x:v>Facility row 31 utilization at most one</x:v>
      </x:c>
      <x:c r="E3629" s="27" t="n">
        <x:f>IF('Facility Load'!I31&lt;=1,1,0)</x:f>
        <x:v>1</x:v>
      </x:c>
      <x:c r="F3629" s="27" t="n">
        <x:v>1</x:v>
      </x:c>
      <x:c r="G3629" s="29" t="str">
        <x:f>IF(E3629=F3629,"PASS","FAIL")</x:f>
        <x:v>PASS</x:v>
      </x:c>
    </x:row>
    <x:row r="3630" ht="18" customHeight="1">
      <x:c r="B3630" s="27" t="str">
        <x:v>A3624</x:v>
      </x:c>
      <x:c r="C3630" s="27" t="str">
        <x:v>facility</x:v>
      </x:c>
      <x:c r="D3630" s="27" t="str">
        <x:v>Facility row 31 state open</x:v>
      </x:c>
      <x:c r="E3630" s="27" t="n">
        <x:f>IF('Facility Load'!J31="OPEN",1,0)</x:f>
        <x:v>1</x:v>
      </x:c>
      <x:c r="F3630" s="27" t="n">
        <x:v>1</x:v>
      </x:c>
      <x:c r="G3630" s="29" t="str">
        <x:f>IF(E3630=F3630,"PASS","FAIL")</x:f>
        <x:v>PASS</x:v>
      </x:c>
    </x:row>
    <x:row r="3631" ht="18" customHeight="1">
      <x:c r="B3631" s="27" t="str">
        <x:v>A3625</x:v>
      </x:c>
      <x:c r="C3631" s="27" t="str">
        <x:v>facility</x:v>
      </x:c>
      <x:c r="D3631" s="27" t="str">
        <x:v>Facility row 31 available decision</x:v>
      </x:c>
      <x:c r="E3631" s="27" t="n">
        <x:f>IF('Facility Load'!K31="AVAILABLE",1,0)</x:f>
        <x:v>1</x:v>
      </x:c>
      <x:c r="F3631" s="27" t="n">
        <x:v>1</x:v>
      </x:c>
      <x:c r="G3631" s="29" t="str">
        <x:f>IF(E3631=F3631,"PASS","FAIL")</x:f>
        <x:v>PASS</x:v>
      </x:c>
    </x:row>
    <x:row r="3632" ht="18" customHeight="1">
      <x:c r="B3632" s="27" t="str">
        <x:v>A3626</x:v>
      </x:c>
      <x:c r="C3632" s="27" t="str">
        <x:v>facility</x:v>
      </x:c>
      <x:c r="D3632" s="27" t="str">
        <x:v>Facility row 32 load nonnegative</x:v>
      </x:c>
      <x:c r="E3632" s="27" t="n">
        <x:f>IF('Facility Load'!G32&gt;=0,1,0)</x:f>
        <x:v>1</x:v>
      </x:c>
      <x:c r="F3632" s="27" t="n">
        <x:v>1</x:v>
      </x:c>
      <x:c r="G3632" s="29" t="str">
        <x:f>IF(E3632=F3632,"PASS","FAIL")</x:f>
        <x:v>PASS</x:v>
      </x:c>
    </x:row>
    <x:row r="3633" ht="18" customHeight="1">
      <x:c r="B3633" s="27" t="str">
        <x:v>A3627</x:v>
      </x:c>
      <x:c r="C3633" s="27" t="str">
        <x:v>facility</x:v>
      </x:c>
      <x:c r="D3633" s="27" t="str">
        <x:v>Facility row 32 reserve nonnegative</x:v>
      </x:c>
      <x:c r="E3633" s="27" t="n">
        <x:f>IF('Facility Load'!H32&gt;=0,1,0)</x:f>
        <x:v>1</x:v>
      </x:c>
      <x:c r="F3633" s="27" t="n">
        <x:v>1</x:v>
      </x:c>
      <x:c r="G3633" s="29" t="str">
        <x:f>IF(E3633=F3633,"PASS","FAIL")</x:f>
        <x:v>PASS</x:v>
      </x:c>
    </x:row>
    <x:row r="3634" ht="18" customHeight="1">
      <x:c r="B3634" s="27" t="str">
        <x:v>A3628</x:v>
      </x:c>
      <x:c r="C3634" s="27" t="str">
        <x:v>facility</x:v>
      </x:c>
      <x:c r="D3634" s="27" t="str">
        <x:v>Facility row 32 utilization at most one</x:v>
      </x:c>
      <x:c r="E3634" s="27" t="n">
        <x:f>IF('Facility Load'!I32&lt;=1,1,0)</x:f>
        <x:v>1</x:v>
      </x:c>
      <x:c r="F3634" s="27" t="n">
        <x:v>1</x:v>
      </x:c>
      <x:c r="G3634" s="29" t="str">
        <x:f>IF(E3634=F3634,"PASS","FAIL")</x:f>
        <x:v>PASS</x:v>
      </x:c>
    </x:row>
    <x:row r="3635" ht="18" customHeight="1">
      <x:c r="B3635" s="27" t="str">
        <x:v>A3629</x:v>
      </x:c>
      <x:c r="C3635" s="27" t="str">
        <x:v>facility</x:v>
      </x:c>
      <x:c r="D3635" s="27" t="str">
        <x:v>Facility row 32 state open</x:v>
      </x:c>
      <x:c r="E3635" s="27" t="n">
        <x:f>IF('Facility Load'!J32="OPEN",1,0)</x:f>
        <x:v>1</x:v>
      </x:c>
      <x:c r="F3635" s="27" t="n">
        <x:v>1</x:v>
      </x:c>
      <x:c r="G3635" s="29" t="str">
        <x:f>IF(E3635=F3635,"PASS","FAIL")</x:f>
        <x:v>PASS</x:v>
      </x:c>
    </x:row>
    <x:row r="3636" ht="18" customHeight="1">
      <x:c r="B3636" s="27" t="str">
        <x:v>A3630</x:v>
      </x:c>
      <x:c r="C3636" s="27" t="str">
        <x:v>facility</x:v>
      </x:c>
      <x:c r="D3636" s="27" t="str">
        <x:v>Facility row 32 available decision</x:v>
      </x:c>
      <x:c r="E3636" s="27" t="n">
        <x:f>IF('Facility Load'!K32="AVAILABLE",1,0)</x:f>
        <x:v>1</x:v>
      </x:c>
      <x:c r="F3636" s="27" t="n">
        <x:v>1</x:v>
      </x:c>
      <x:c r="G3636" s="29" t="str">
        <x:f>IF(E3636=F3636,"PASS","FAIL")</x:f>
        <x:v>PASS</x:v>
      </x:c>
    </x:row>
    <x:row r="3637" ht="18" customHeight="1">
      <x:c r="B3637" s="27" t="str">
        <x:v>A3631</x:v>
      </x:c>
      <x:c r="C3637" s="27" t="str">
        <x:v>facility</x:v>
      </x:c>
      <x:c r="D3637" s="27" t="str">
        <x:v>Facility row 33 load nonnegative</x:v>
      </x:c>
      <x:c r="E3637" s="27" t="n">
        <x:f>IF('Facility Load'!G33&gt;=0,1,0)</x:f>
        <x:v>1</x:v>
      </x:c>
      <x:c r="F3637" s="27" t="n">
        <x:v>1</x:v>
      </x:c>
      <x:c r="G3637" s="29" t="str">
        <x:f>IF(E3637=F3637,"PASS","FAIL")</x:f>
        <x:v>PASS</x:v>
      </x:c>
    </x:row>
    <x:row r="3638" ht="18" customHeight="1">
      <x:c r="B3638" s="27" t="str">
        <x:v>A3632</x:v>
      </x:c>
      <x:c r="C3638" s="27" t="str">
        <x:v>facility</x:v>
      </x:c>
      <x:c r="D3638" s="27" t="str">
        <x:v>Facility row 33 reserve nonnegative</x:v>
      </x:c>
      <x:c r="E3638" s="27" t="n">
        <x:f>IF('Facility Load'!H33&gt;=0,1,0)</x:f>
        <x:v>1</x:v>
      </x:c>
      <x:c r="F3638" s="27" t="n">
        <x:v>1</x:v>
      </x:c>
      <x:c r="G3638" s="29" t="str">
        <x:f>IF(E3638=F3638,"PASS","FAIL")</x:f>
        <x:v>PASS</x:v>
      </x:c>
    </x:row>
    <x:row r="3639" ht="18" customHeight="1">
      <x:c r="B3639" s="27" t="str">
        <x:v>A3633</x:v>
      </x:c>
      <x:c r="C3639" s="27" t="str">
        <x:v>facility</x:v>
      </x:c>
      <x:c r="D3639" s="27" t="str">
        <x:v>Facility row 33 utilization at most one</x:v>
      </x:c>
      <x:c r="E3639" s="27" t="n">
        <x:f>IF('Facility Load'!I33&lt;=1,1,0)</x:f>
        <x:v>1</x:v>
      </x:c>
      <x:c r="F3639" s="27" t="n">
        <x:v>1</x:v>
      </x:c>
      <x:c r="G3639" s="29" t="str">
        <x:f>IF(E3639=F3639,"PASS","FAIL")</x:f>
        <x:v>PASS</x:v>
      </x:c>
    </x:row>
    <x:row r="3640" ht="18" customHeight="1">
      <x:c r="B3640" s="27" t="str">
        <x:v>A3634</x:v>
      </x:c>
      <x:c r="C3640" s="27" t="str">
        <x:v>facility</x:v>
      </x:c>
      <x:c r="D3640" s="27" t="str">
        <x:v>Facility row 33 state open</x:v>
      </x:c>
      <x:c r="E3640" s="27" t="n">
        <x:f>IF('Facility Load'!J33="OPEN",1,0)</x:f>
        <x:v>1</x:v>
      </x:c>
      <x:c r="F3640" s="27" t="n">
        <x:v>1</x:v>
      </x:c>
      <x:c r="G3640" s="29" t="str">
        <x:f>IF(E3640=F3640,"PASS","FAIL")</x:f>
        <x:v>PASS</x:v>
      </x:c>
    </x:row>
    <x:row r="3641" ht="18" customHeight="1">
      <x:c r="B3641" s="27" t="str">
        <x:v>A3635</x:v>
      </x:c>
      <x:c r="C3641" s="27" t="str">
        <x:v>facility</x:v>
      </x:c>
      <x:c r="D3641" s="27" t="str">
        <x:v>Facility row 33 available decision</x:v>
      </x:c>
      <x:c r="E3641" s="27" t="n">
        <x:f>IF('Facility Load'!K33="AVAILABLE",1,0)</x:f>
        <x:v>1</x:v>
      </x:c>
      <x:c r="F3641" s="27" t="n">
        <x:v>1</x:v>
      </x:c>
      <x:c r="G3641" s="29" t="str">
        <x:f>IF(E3641=F3641,"PASS","FAIL")</x:f>
        <x:v>PASS</x:v>
      </x:c>
    </x:row>
    <x:row r="3642" ht="18" customHeight="1">
      <x:c r="B3642" s="27" t="str">
        <x:v>A3636</x:v>
      </x:c>
      <x:c r="C3642" s="27" t="str">
        <x:v>facility</x:v>
      </x:c>
      <x:c r="D3642" s="27" t="str">
        <x:v>Facility row 34 load nonnegative</x:v>
      </x:c>
      <x:c r="E3642" s="27" t="n">
        <x:f>IF('Facility Load'!G34&gt;=0,1,0)</x:f>
        <x:v>1</x:v>
      </x:c>
      <x:c r="F3642" s="27" t="n">
        <x:v>1</x:v>
      </x:c>
      <x:c r="G3642" s="29" t="str">
        <x:f>IF(E3642=F3642,"PASS","FAIL")</x:f>
        <x:v>PASS</x:v>
      </x:c>
    </x:row>
    <x:row r="3643" ht="18" customHeight="1">
      <x:c r="B3643" s="27" t="str">
        <x:v>A3637</x:v>
      </x:c>
      <x:c r="C3643" s="27" t="str">
        <x:v>facility</x:v>
      </x:c>
      <x:c r="D3643" s="27" t="str">
        <x:v>Facility row 34 reserve nonnegative</x:v>
      </x:c>
      <x:c r="E3643" s="27" t="n">
        <x:f>IF('Facility Load'!H34&gt;=0,1,0)</x:f>
        <x:v>1</x:v>
      </x:c>
      <x:c r="F3643" s="27" t="n">
        <x:v>1</x:v>
      </x:c>
      <x:c r="G3643" s="29" t="str">
        <x:f>IF(E3643=F3643,"PASS","FAIL")</x:f>
        <x:v>PASS</x:v>
      </x:c>
    </x:row>
    <x:row r="3644" ht="18" customHeight="1">
      <x:c r="B3644" s="27" t="str">
        <x:v>A3638</x:v>
      </x:c>
      <x:c r="C3644" s="27" t="str">
        <x:v>facility</x:v>
      </x:c>
      <x:c r="D3644" s="27" t="str">
        <x:v>Facility row 34 utilization at most one</x:v>
      </x:c>
      <x:c r="E3644" s="27" t="n">
        <x:f>IF('Facility Load'!I34&lt;=1,1,0)</x:f>
        <x:v>1</x:v>
      </x:c>
      <x:c r="F3644" s="27" t="n">
        <x:v>1</x:v>
      </x:c>
      <x:c r="G3644" s="29" t="str">
        <x:f>IF(E3644=F3644,"PASS","FAIL")</x:f>
        <x:v>PASS</x:v>
      </x:c>
    </x:row>
    <x:row r="3645" ht="18" customHeight="1">
      <x:c r="B3645" s="27" t="str">
        <x:v>A3639</x:v>
      </x:c>
      <x:c r="C3645" s="27" t="str">
        <x:v>facility</x:v>
      </x:c>
      <x:c r="D3645" s="27" t="str">
        <x:v>Facility row 34 state open</x:v>
      </x:c>
      <x:c r="E3645" s="27" t="n">
        <x:f>IF('Facility Load'!J34="OPEN",1,0)</x:f>
        <x:v>1</x:v>
      </x:c>
      <x:c r="F3645" s="27" t="n">
        <x:v>1</x:v>
      </x:c>
      <x:c r="G3645" s="29" t="str">
        <x:f>IF(E3645=F3645,"PASS","FAIL")</x:f>
        <x:v>PASS</x:v>
      </x:c>
    </x:row>
    <x:row r="3646" ht="18" customHeight="1">
      <x:c r="B3646" s="27" t="str">
        <x:v>A3640</x:v>
      </x:c>
      <x:c r="C3646" s="27" t="str">
        <x:v>facility</x:v>
      </x:c>
      <x:c r="D3646" s="27" t="str">
        <x:v>Facility row 34 available decision</x:v>
      </x:c>
      <x:c r="E3646" s="27" t="n">
        <x:f>IF('Facility Load'!K34="AVAILABLE",1,0)</x:f>
        <x:v>1</x:v>
      </x:c>
      <x:c r="F3646" s="27" t="n">
        <x:v>1</x:v>
      </x:c>
      <x:c r="G3646" s="29" t="str">
        <x:f>IF(E3646=F3646,"PASS","FAIL")</x:f>
        <x:v>PASS</x:v>
      </x:c>
    </x:row>
    <x:row r="3647" ht="18" customHeight="1">
      <x:c r="B3647" s="27" t="str">
        <x:v>A3641</x:v>
      </x:c>
      <x:c r="C3647" s="27" t="str">
        <x:v>facility</x:v>
      </x:c>
      <x:c r="D3647" s="27" t="str">
        <x:v>Facility row 35 load nonnegative</x:v>
      </x:c>
      <x:c r="E3647" s="27" t="n">
        <x:f>IF('Facility Load'!G35&gt;=0,1,0)</x:f>
        <x:v>1</x:v>
      </x:c>
      <x:c r="F3647" s="27" t="n">
        <x:v>1</x:v>
      </x:c>
      <x:c r="G3647" s="29" t="str">
        <x:f>IF(E3647=F3647,"PASS","FAIL")</x:f>
        <x:v>PASS</x:v>
      </x:c>
    </x:row>
    <x:row r="3648" ht="18" customHeight="1">
      <x:c r="B3648" s="27" t="str">
        <x:v>A3642</x:v>
      </x:c>
      <x:c r="C3648" s="27" t="str">
        <x:v>facility</x:v>
      </x:c>
      <x:c r="D3648" s="27" t="str">
        <x:v>Facility row 35 reserve nonnegative</x:v>
      </x:c>
      <x:c r="E3648" s="27" t="n">
        <x:f>IF('Facility Load'!H35&gt;=0,1,0)</x:f>
        <x:v>1</x:v>
      </x:c>
      <x:c r="F3648" s="27" t="n">
        <x:v>1</x:v>
      </x:c>
      <x:c r="G3648" s="29" t="str">
        <x:f>IF(E3648=F3648,"PASS","FAIL")</x:f>
        <x:v>PASS</x:v>
      </x:c>
    </x:row>
    <x:row r="3649" ht="18" customHeight="1">
      <x:c r="B3649" s="27" t="str">
        <x:v>A3643</x:v>
      </x:c>
      <x:c r="C3649" s="27" t="str">
        <x:v>facility</x:v>
      </x:c>
      <x:c r="D3649" s="27" t="str">
        <x:v>Facility row 35 utilization at most one</x:v>
      </x:c>
      <x:c r="E3649" s="27" t="n">
        <x:f>IF('Facility Load'!I35&lt;=1,1,0)</x:f>
        <x:v>1</x:v>
      </x:c>
      <x:c r="F3649" s="27" t="n">
        <x:v>1</x:v>
      </x:c>
      <x:c r="G3649" s="29" t="str">
        <x:f>IF(E3649=F3649,"PASS","FAIL")</x:f>
        <x:v>PASS</x:v>
      </x:c>
    </x:row>
    <x:row r="3650" ht="18" customHeight="1">
      <x:c r="B3650" s="27" t="str">
        <x:v>A3644</x:v>
      </x:c>
      <x:c r="C3650" s="27" t="str">
        <x:v>facility</x:v>
      </x:c>
      <x:c r="D3650" s="27" t="str">
        <x:v>Facility row 35 state open</x:v>
      </x:c>
      <x:c r="E3650" s="27" t="n">
        <x:f>IF('Facility Load'!J35="OPEN",1,0)</x:f>
        <x:v>1</x:v>
      </x:c>
      <x:c r="F3650" s="27" t="n">
        <x:v>1</x:v>
      </x:c>
      <x:c r="G3650" s="29" t="str">
        <x:f>IF(E3650=F3650,"PASS","FAIL")</x:f>
        <x:v>PASS</x:v>
      </x:c>
    </x:row>
    <x:row r="3651" ht="18" customHeight="1">
      <x:c r="B3651" s="27" t="str">
        <x:v>A3645</x:v>
      </x:c>
      <x:c r="C3651" s="27" t="str">
        <x:v>facility</x:v>
      </x:c>
      <x:c r="D3651" s="27" t="str">
        <x:v>Facility row 35 available decision</x:v>
      </x:c>
      <x:c r="E3651" s="27" t="n">
        <x:f>IF('Facility Load'!K35="AVAILABLE",1,0)</x:f>
        <x:v>1</x:v>
      </x:c>
      <x:c r="F3651" s="27" t="n">
        <x:v>1</x:v>
      </x:c>
      <x:c r="G3651" s="29" t="str">
        <x:f>IF(E3651=F3651,"PASS","FAIL")</x:f>
        <x:v>PASS</x:v>
      </x:c>
    </x:row>
    <x:row r="3652" ht="18" customHeight="1">
      <x:c r="B3652" s="27" t="str">
        <x:v>A3646</x:v>
      </x:c>
      <x:c r="C3652" s="27" t="str">
        <x:v>facility</x:v>
      </x:c>
      <x:c r="D3652" s="27" t="str">
        <x:v>Facility row 36 load nonnegative</x:v>
      </x:c>
      <x:c r="E3652" s="27" t="n">
        <x:f>IF('Facility Load'!G36&gt;=0,1,0)</x:f>
        <x:v>1</x:v>
      </x:c>
      <x:c r="F3652" s="27" t="n">
        <x:v>1</x:v>
      </x:c>
      <x:c r="G3652" s="29" t="str">
        <x:f>IF(E3652=F3652,"PASS","FAIL")</x:f>
        <x:v>PASS</x:v>
      </x:c>
    </x:row>
    <x:row r="3653" ht="18" customHeight="1">
      <x:c r="B3653" s="27" t="str">
        <x:v>A3647</x:v>
      </x:c>
      <x:c r="C3653" s="27" t="str">
        <x:v>facility</x:v>
      </x:c>
      <x:c r="D3653" s="27" t="str">
        <x:v>Facility row 36 reserve nonnegative</x:v>
      </x:c>
      <x:c r="E3653" s="27" t="n">
        <x:f>IF('Facility Load'!H36&gt;=0,1,0)</x:f>
        <x:v>1</x:v>
      </x:c>
      <x:c r="F3653" s="27" t="n">
        <x:v>1</x:v>
      </x:c>
      <x:c r="G3653" s="29" t="str">
        <x:f>IF(E3653=F3653,"PASS","FAIL")</x:f>
        <x:v>PASS</x:v>
      </x:c>
    </x:row>
    <x:row r="3654" ht="18" customHeight="1">
      <x:c r="B3654" s="27" t="str">
        <x:v>A3648</x:v>
      </x:c>
      <x:c r="C3654" s="27" t="str">
        <x:v>facility</x:v>
      </x:c>
      <x:c r="D3654" s="27" t="str">
        <x:v>Facility row 36 utilization at most one</x:v>
      </x:c>
      <x:c r="E3654" s="27" t="n">
        <x:f>IF('Facility Load'!I36&lt;=1,1,0)</x:f>
        <x:v>1</x:v>
      </x:c>
      <x:c r="F3654" s="27" t="n">
        <x:v>1</x:v>
      </x:c>
      <x:c r="G3654" s="29" t="str">
        <x:f>IF(E3654=F3654,"PASS","FAIL")</x:f>
        <x:v>PASS</x:v>
      </x:c>
    </x:row>
    <x:row r="3655" ht="18" customHeight="1">
      <x:c r="B3655" s="27" t="str">
        <x:v>A3649</x:v>
      </x:c>
      <x:c r="C3655" s="27" t="str">
        <x:v>facility</x:v>
      </x:c>
      <x:c r="D3655" s="27" t="str">
        <x:v>Facility row 36 state open</x:v>
      </x:c>
      <x:c r="E3655" s="27" t="n">
        <x:f>IF('Facility Load'!J36="OPEN",1,0)</x:f>
        <x:v>1</x:v>
      </x:c>
      <x:c r="F3655" s="27" t="n">
        <x:v>1</x:v>
      </x:c>
      <x:c r="G3655" s="29" t="str">
        <x:f>IF(E3655=F3655,"PASS","FAIL")</x:f>
        <x:v>PASS</x:v>
      </x:c>
    </x:row>
    <x:row r="3656" ht="18" customHeight="1">
      <x:c r="B3656" s="27" t="str">
        <x:v>A3650</x:v>
      </x:c>
      <x:c r="C3656" s="27" t="str">
        <x:v>facility</x:v>
      </x:c>
      <x:c r="D3656" s="27" t="str">
        <x:v>Facility row 36 available decision</x:v>
      </x:c>
      <x:c r="E3656" s="27" t="n">
        <x:f>IF('Facility Load'!K36="AVAILABLE",1,0)</x:f>
        <x:v>1</x:v>
      </x:c>
      <x:c r="F3656" s="27" t="n">
        <x:v>1</x:v>
      </x:c>
      <x:c r="G3656" s="29" t="str">
        <x:f>IF(E3656=F3656,"PASS","FAIL")</x:f>
        <x:v>PASS</x:v>
      </x:c>
    </x:row>
    <x:row r="3657" ht="18" customHeight="1">
      <x:c r="B3657" s="27" t="str">
        <x:v>A3651</x:v>
      </x:c>
      <x:c r="C3657" s="27" t="str">
        <x:v>facility</x:v>
      </x:c>
      <x:c r="D3657" s="27" t="str">
        <x:v>Facility row 37 load nonnegative</x:v>
      </x:c>
      <x:c r="E3657" s="27" t="n">
        <x:f>IF('Facility Load'!G37&gt;=0,1,0)</x:f>
        <x:v>1</x:v>
      </x:c>
      <x:c r="F3657" s="27" t="n">
        <x:v>1</x:v>
      </x:c>
      <x:c r="G3657" s="29" t="str">
        <x:f>IF(E3657=F3657,"PASS","FAIL")</x:f>
        <x:v>PASS</x:v>
      </x:c>
    </x:row>
    <x:row r="3658" ht="18" customHeight="1">
      <x:c r="B3658" s="27" t="str">
        <x:v>A3652</x:v>
      </x:c>
      <x:c r="C3658" s="27" t="str">
        <x:v>facility</x:v>
      </x:c>
      <x:c r="D3658" s="27" t="str">
        <x:v>Facility row 37 reserve nonnegative</x:v>
      </x:c>
      <x:c r="E3658" s="27" t="n">
        <x:f>IF('Facility Load'!H37&gt;=0,1,0)</x:f>
        <x:v>1</x:v>
      </x:c>
      <x:c r="F3658" s="27" t="n">
        <x:v>1</x:v>
      </x:c>
      <x:c r="G3658" s="29" t="str">
        <x:f>IF(E3658=F3658,"PASS","FAIL")</x:f>
        <x:v>PASS</x:v>
      </x:c>
    </x:row>
    <x:row r="3659" ht="18" customHeight="1">
      <x:c r="B3659" s="27" t="str">
        <x:v>A3653</x:v>
      </x:c>
      <x:c r="C3659" s="27" t="str">
        <x:v>facility</x:v>
      </x:c>
      <x:c r="D3659" s="27" t="str">
        <x:v>Facility row 37 utilization at most one</x:v>
      </x:c>
      <x:c r="E3659" s="27" t="n">
        <x:f>IF('Facility Load'!I37&lt;=1,1,0)</x:f>
        <x:v>1</x:v>
      </x:c>
      <x:c r="F3659" s="27" t="n">
        <x:v>1</x:v>
      </x:c>
      <x:c r="G3659" s="29" t="str">
        <x:f>IF(E3659=F3659,"PASS","FAIL")</x:f>
        <x:v>PASS</x:v>
      </x:c>
    </x:row>
    <x:row r="3660" ht="18" customHeight="1">
      <x:c r="B3660" s="27" t="str">
        <x:v>A3654</x:v>
      </x:c>
      <x:c r="C3660" s="27" t="str">
        <x:v>facility</x:v>
      </x:c>
      <x:c r="D3660" s="27" t="str">
        <x:v>Facility row 37 state open</x:v>
      </x:c>
      <x:c r="E3660" s="27" t="n">
        <x:f>IF('Facility Load'!J37="OPEN",1,0)</x:f>
        <x:v>1</x:v>
      </x:c>
      <x:c r="F3660" s="27" t="n">
        <x:v>1</x:v>
      </x:c>
      <x:c r="G3660" s="29" t="str">
        <x:f>IF(E3660=F3660,"PASS","FAIL")</x:f>
        <x:v>PASS</x:v>
      </x:c>
    </x:row>
    <x:row r="3661" ht="18" customHeight="1">
      <x:c r="B3661" s="27" t="str">
        <x:v>A3655</x:v>
      </x:c>
      <x:c r="C3661" s="27" t="str">
        <x:v>facility</x:v>
      </x:c>
      <x:c r="D3661" s="27" t="str">
        <x:v>Facility row 37 available decision</x:v>
      </x:c>
      <x:c r="E3661" s="27" t="n">
        <x:f>IF('Facility Load'!K37="AVAILABLE",1,0)</x:f>
        <x:v>1</x:v>
      </x:c>
      <x:c r="F3661" s="27" t="n">
        <x:v>1</x:v>
      </x:c>
      <x:c r="G3661" s="29" t="str">
        <x:f>IF(E3661=F3661,"PASS","FAIL")</x:f>
        <x:v>PASS</x:v>
      </x:c>
    </x:row>
    <x:row r="3662" ht="18" customHeight="1">
      <x:c r="B3662" s="27" t="str">
        <x:v>A3656</x:v>
      </x:c>
      <x:c r="C3662" s="27" t="str">
        <x:v>facility</x:v>
      </x:c>
      <x:c r="D3662" s="27" t="str">
        <x:v>Facility row 38 load nonnegative</x:v>
      </x:c>
      <x:c r="E3662" s="27" t="n">
        <x:f>IF('Facility Load'!G38&gt;=0,1,0)</x:f>
        <x:v>1</x:v>
      </x:c>
      <x:c r="F3662" s="27" t="n">
        <x:v>1</x:v>
      </x:c>
      <x:c r="G3662" s="29" t="str">
        <x:f>IF(E3662=F3662,"PASS","FAIL")</x:f>
        <x:v>PASS</x:v>
      </x:c>
    </x:row>
    <x:row r="3663" ht="18" customHeight="1">
      <x:c r="B3663" s="27" t="str">
        <x:v>A3657</x:v>
      </x:c>
      <x:c r="C3663" s="27" t="str">
        <x:v>facility</x:v>
      </x:c>
      <x:c r="D3663" s="27" t="str">
        <x:v>Facility row 38 reserve nonnegative</x:v>
      </x:c>
      <x:c r="E3663" s="27" t="n">
        <x:f>IF('Facility Load'!H38&gt;=0,1,0)</x:f>
        <x:v>1</x:v>
      </x:c>
      <x:c r="F3663" s="27" t="n">
        <x:v>1</x:v>
      </x:c>
      <x:c r="G3663" s="29" t="str">
        <x:f>IF(E3663=F3663,"PASS","FAIL")</x:f>
        <x:v>PASS</x:v>
      </x:c>
    </x:row>
    <x:row r="3664" ht="18" customHeight="1">
      <x:c r="B3664" s="27" t="str">
        <x:v>A3658</x:v>
      </x:c>
      <x:c r="C3664" s="27" t="str">
        <x:v>facility</x:v>
      </x:c>
      <x:c r="D3664" s="27" t="str">
        <x:v>Facility row 38 utilization at most one</x:v>
      </x:c>
      <x:c r="E3664" s="27" t="n">
        <x:f>IF('Facility Load'!I38&lt;=1,1,0)</x:f>
        <x:v>1</x:v>
      </x:c>
      <x:c r="F3664" s="27" t="n">
        <x:v>1</x:v>
      </x:c>
      <x:c r="G3664" s="29" t="str">
        <x:f>IF(E3664=F3664,"PASS","FAIL")</x:f>
        <x:v>PASS</x:v>
      </x:c>
    </x:row>
    <x:row r="3665" ht="18" customHeight="1">
      <x:c r="B3665" s="27" t="str">
        <x:v>A3659</x:v>
      </x:c>
      <x:c r="C3665" s="27" t="str">
        <x:v>facility</x:v>
      </x:c>
      <x:c r="D3665" s="27" t="str">
        <x:v>Facility row 38 state open</x:v>
      </x:c>
      <x:c r="E3665" s="27" t="n">
        <x:f>IF('Facility Load'!J38="OPEN",1,0)</x:f>
        <x:v>1</x:v>
      </x:c>
      <x:c r="F3665" s="27" t="n">
        <x:v>1</x:v>
      </x:c>
      <x:c r="G3665" s="29" t="str">
        <x:f>IF(E3665=F3665,"PASS","FAIL")</x:f>
        <x:v>PASS</x:v>
      </x:c>
    </x:row>
    <x:row r="3666" ht="18" customHeight="1">
      <x:c r="B3666" s="27" t="str">
        <x:v>A3660</x:v>
      </x:c>
      <x:c r="C3666" s="27" t="str">
        <x:v>facility</x:v>
      </x:c>
      <x:c r="D3666" s="27" t="str">
        <x:v>Facility row 38 available decision</x:v>
      </x:c>
      <x:c r="E3666" s="27" t="n">
        <x:f>IF('Facility Load'!K38="AVAILABLE",1,0)</x:f>
        <x:v>1</x:v>
      </x:c>
      <x:c r="F3666" s="27" t="n">
        <x:v>1</x:v>
      </x:c>
      <x:c r="G3666" s="29" t="str">
        <x:f>IF(E3666=F3666,"PASS","FAIL")</x:f>
        <x:v>PASS</x:v>
      </x:c>
    </x:row>
    <x:row r="3667" ht="18" customHeight="1">
      <x:c r="B3667" s="27" t="str">
        <x:v>A3661</x:v>
      </x:c>
      <x:c r="C3667" s="27" t="str">
        <x:v>facility</x:v>
      </x:c>
      <x:c r="D3667" s="27" t="str">
        <x:v>Facility row 39 load nonnegative</x:v>
      </x:c>
      <x:c r="E3667" s="27" t="n">
        <x:f>IF('Facility Load'!G39&gt;=0,1,0)</x:f>
        <x:v>1</x:v>
      </x:c>
      <x:c r="F3667" s="27" t="n">
        <x:v>1</x:v>
      </x:c>
      <x:c r="G3667" s="29" t="str">
        <x:f>IF(E3667=F3667,"PASS","FAIL")</x:f>
        <x:v>PASS</x:v>
      </x:c>
    </x:row>
    <x:row r="3668" ht="18" customHeight="1">
      <x:c r="B3668" s="27" t="str">
        <x:v>A3662</x:v>
      </x:c>
      <x:c r="C3668" s="27" t="str">
        <x:v>facility</x:v>
      </x:c>
      <x:c r="D3668" s="27" t="str">
        <x:v>Facility row 39 reserve nonnegative</x:v>
      </x:c>
      <x:c r="E3668" s="27" t="n">
        <x:f>IF('Facility Load'!H39&gt;=0,1,0)</x:f>
        <x:v>1</x:v>
      </x:c>
      <x:c r="F3668" s="27" t="n">
        <x:v>1</x:v>
      </x:c>
      <x:c r="G3668" s="29" t="str">
        <x:f>IF(E3668=F3668,"PASS","FAIL")</x:f>
        <x:v>PASS</x:v>
      </x:c>
    </x:row>
    <x:row r="3669" ht="18" customHeight="1">
      <x:c r="B3669" s="27" t="str">
        <x:v>A3663</x:v>
      </x:c>
      <x:c r="C3669" s="27" t="str">
        <x:v>facility</x:v>
      </x:c>
      <x:c r="D3669" s="27" t="str">
        <x:v>Facility row 39 utilization at most one</x:v>
      </x:c>
      <x:c r="E3669" s="27" t="n">
        <x:f>IF('Facility Load'!I39&lt;=1,1,0)</x:f>
        <x:v>1</x:v>
      </x:c>
      <x:c r="F3669" s="27" t="n">
        <x:v>1</x:v>
      </x:c>
      <x:c r="G3669" s="29" t="str">
        <x:f>IF(E3669=F3669,"PASS","FAIL")</x:f>
        <x:v>PASS</x:v>
      </x:c>
    </x:row>
    <x:row r="3670" ht="18" customHeight="1">
      <x:c r="B3670" s="27" t="str">
        <x:v>A3664</x:v>
      </x:c>
      <x:c r="C3670" s="27" t="str">
        <x:v>facility</x:v>
      </x:c>
      <x:c r="D3670" s="27" t="str">
        <x:v>Facility row 39 state open</x:v>
      </x:c>
      <x:c r="E3670" s="27" t="n">
        <x:f>IF('Facility Load'!J39="OPEN",1,0)</x:f>
        <x:v>1</x:v>
      </x:c>
      <x:c r="F3670" s="27" t="n">
        <x:v>1</x:v>
      </x:c>
      <x:c r="G3670" s="29" t="str">
        <x:f>IF(E3670=F3670,"PASS","FAIL")</x:f>
        <x:v>PASS</x:v>
      </x:c>
    </x:row>
    <x:row r="3671" ht="18" customHeight="1">
      <x:c r="B3671" s="27" t="str">
        <x:v>A3665</x:v>
      </x:c>
      <x:c r="C3671" s="27" t="str">
        <x:v>facility</x:v>
      </x:c>
      <x:c r="D3671" s="27" t="str">
        <x:v>Facility row 39 available decision</x:v>
      </x:c>
      <x:c r="E3671" s="27" t="n">
        <x:f>IF('Facility Load'!K39="AVAILABLE",1,0)</x:f>
        <x:v>1</x:v>
      </x:c>
      <x:c r="F3671" s="27" t="n">
        <x:v>1</x:v>
      </x:c>
      <x:c r="G3671" s="29" t="str">
        <x:f>IF(E3671=F3671,"PASS","FAIL")</x:f>
        <x:v>PASS</x:v>
      </x:c>
    </x:row>
    <x:row r="3672" ht="18" customHeight="1">
      <x:c r="B3672" s="27" t="str">
        <x:v>A3666</x:v>
      </x:c>
      <x:c r="C3672" s="27" t="str">
        <x:v>facility</x:v>
      </x:c>
      <x:c r="D3672" s="27" t="str">
        <x:v>Facility row 40 load nonnegative</x:v>
      </x:c>
      <x:c r="E3672" s="27" t="n">
        <x:f>IF('Facility Load'!G40&gt;=0,1,0)</x:f>
        <x:v>1</x:v>
      </x:c>
      <x:c r="F3672" s="27" t="n">
        <x:v>1</x:v>
      </x:c>
      <x:c r="G3672" s="29" t="str">
        <x:f>IF(E3672=F3672,"PASS","FAIL")</x:f>
        <x:v>PASS</x:v>
      </x:c>
    </x:row>
    <x:row r="3673" ht="18" customHeight="1">
      <x:c r="B3673" s="27" t="str">
        <x:v>A3667</x:v>
      </x:c>
      <x:c r="C3673" s="27" t="str">
        <x:v>facility</x:v>
      </x:c>
      <x:c r="D3673" s="27" t="str">
        <x:v>Facility row 40 reserve nonnegative</x:v>
      </x:c>
      <x:c r="E3673" s="27" t="n">
        <x:f>IF('Facility Load'!H40&gt;=0,1,0)</x:f>
        <x:v>1</x:v>
      </x:c>
      <x:c r="F3673" s="27" t="n">
        <x:v>1</x:v>
      </x:c>
      <x:c r="G3673" s="29" t="str">
        <x:f>IF(E3673=F3673,"PASS","FAIL")</x:f>
        <x:v>PASS</x:v>
      </x:c>
    </x:row>
    <x:row r="3674" ht="18" customHeight="1">
      <x:c r="B3674" s="27" t="str">
        <x:v>A3668</x:v>
      </x:c>
      <x:c r="C3674" s="27" t="str">
        <x:v>facility</x:v>
      </x:c>
      <x:c r="D3674" s="27" t="str">
        <x:v>Facility row 40 utilization at most one</x:v>
      </x:c>
      <x:c r="E3674" s="27" t="n">
        <x:f>IF('Facility Load'!I40&lt;=1,1,0)</x:f>
        <x:v>1</x:v>
      </x:c>
      <x:c r="F3674" s="27" t="n">
        <x:v>1</x:v>
      </x:c>
      <x:c r="G3674" s="29" t="str">
        <x:f>IF(E3674=F3674,"PASS","FAIL")</x:f>
        <x:v>PASS</x:v>
      </x:c>
    </x:row>
    <x:row r="3675" ht="18" customHeight="1">
      <x:c r="B3675" s="27" t="str">
        <x:v>A3669</x:v>
      </x:c>
      <x:c r="C3675" s="27" t="str">
        <x:v>facility</x:v>
      </x:c>
      <x:c r="D3675" s="27" t="str">
        <x:v>Facility row 40 state open</x:v>
      </x:c>
      <x:c r="E3675" s="27" t="n">
        <x:f>IF('Facility Load'!J40="OPEN",1,0)</x:f>
        <x:v>1</x:v>
      </x:c>
      <x:c r="F3675" s="27" t="n">
        <x:v>1</x:v>
      </x:c>
      <x:c r="G3675" s="29" t="str">
        <x:f>IF(E3675=F3675,"PASS","FAIL")</x:f>
        <x:v>PASS</x:v>
      </x:c>
    </x:row>
    <x:row r="3676" ht="18" customHeight="1">
      <x:c r="B3676" s="27" t="str">
        <x:v>A3670</x:v>
      </x:c>
      <x:c r="C3676" s="27" t="str">
        <x:v>facility</x:v>
      </x:c>
      <x:c r="D3676" s="27" t="str">
        <x:v>Facility row 40 available decision</x:v>
      </x:c>
      <x:c r="E3676" s="27" t="n">
        <x:f>IF('Facility Load'!K40="AVAILABLE",1,0)</x:f>
        <x:v>1</x:v>
      </x:c>
      <x:c r="F3676" s="27" t="n">
        <x:v>1</x:v>
      </x:c>
      <x:c r="G3676" s="29" t="str">
        <x:f>IF(E3676=F3676,"PASS","FAIL")</x:f>
        <x:v>PASS</x:v>
      </x:c>
    </x:row>
    <x:row r="3677" ht="18" customHeight="1">
      <x:c r="B3677" s="27" t="str">
        <x:v>A3671</x:v>
      </x:c>
      <x:c r="C3677" s="27" t="str">
        <x:v>facility</x:v>
      </x:c>
      <x:c r="D3677" s="27" t="str">
        <x:v>Facility row 41 load nonnegative</x:v>
      </x:c>
      <x:c r="E3677" s="27" t="n">
        <x:f>IF('Facility Load'!G41&gt;=0,1,0)</x:f>
        <x:v>1</x:v>
      </x:c>
      <x:c r="F3677" s="27" t="n">
        <x:v>1</x:v>
      </x:c>
      <x:c r="G3677" s="29" t="str">
        <x:f>IF(E3677=F3677,"PASS","FAIL")</x:f>
        <x:v>PASS</x:v>
      </x:c>
    </x:row>
    <x:row r="3678" ht="18" customHeight="1">
      <x:c r="B3678" s="27" t="str">
        <x:v>A3672</x:v>
      </x:c>
      <x:c r="C3678" s="27" t="str">
        <x:v>facility</x:v>
      </x:c>
      <x:c r="D3678" s="27" t="str">
        <x:v>Facility row 41 reserve nonnegative</x:v>
      </x:c>
      <x:c r="E3678" s="27" t="n">
        <x:f>IF('Facility Load'!H41&gt;=0,1,0)</x:f>
        <x:v>1</x:v>
      </x:c>
      <x:c r="F3678" s="27" t="n">
        <x:v>1</x:v>
      </x:c>
      <x:c r="G3678" s="29" t="str">
        <x:f>IF(E3678=F3678,"PASS","FAIL")</x:f>
        <x:v>PASS</x:v>
      </x:c>
    </x:row>
    <x:row r="3679" ht="18" customHeight="1">
      <x:c r="B3679" s="27" t="str">
        <x:v>A3673</x:v>
      </x:c>
      <x:c r="C3679" s="27" t="str">
        <x:v>facility</x:v>
      </x:c>
      <x:c r="D3679" s="27" t="str">
        <x:v>Facility row 41 utilization at most one</x:v>
      </x:c>
      <x:c r="E3679" s="27" t="n">
        <x:f>IF('Facility Load'!I41&lt;=1,1,0)</x:f>
        <x:v>1</x:v>
      </x:c>
      <x:c r="F3679" s="27" t="n">
        <x:v>1</x:v>
      </x:c>
      <x:c r="G3679" s="29" t="str">
        <x:f>IF(E3679=F3679,"PASS","FAIL")</x:f>
        <x:v>PASS</x:v>
      </x:c>
    </x:row>
    <x:row r="3680" ht="18" customHeight="1">
      <x:c r="B3680" s="27" t="str">
        <x:v>A3674</x:v>
      </x:c>
      <x:c r="C3680" s="27" t="str">
        <x:v>facility</x:v>
      </x:c>
      <x:c r="D3680" s="27" t="str">
        <x:v>Facility row 41 state open</x:v>
      </x:c>
      <x:c r="E3680" s="27" t="n">
        <x:f>IF('Facility Load'!J41="OPEN",1,0)</x:f>
        <x:v>1</x:v>
      </x:c>
      <x:c r="F3680" s="27" t="n">
        <x:v>1</x:v>
      </x:c>
      <x:c r="G3680" s="29" t="str">
        <x:f>IF(E3680=F3680,"PASS","FAIL")</x:f>
        <x:v>PASS</x:v>
      </x:c>
    </x:row>
    <x:row r="3681" ht="18" customHeight="1">
      <x:c r="B3681" s="27" t="str">
        <x:v>A3675</x:v>
      </x:c>
      <x:c r="C3681" s="27" t="str">
        <x:v>facility</x:v>
      </x:c>
      <x:c r="D3681" s="27" t="str">
        <x:v>Facility row 41 available decision</x:v>
      </x:c>
      <x:c r="E3681" s="27" t="n">
        <x:f>IF('Facility Load'!K41="AVAILABLE",1,0)</x:f>
        <x:v>1</x:v>
      </x:c>
      <x:c r="F3681" s="27" t="n">
        <x:v>1</x:v>
      </x:c>
      <x:c r="G3681" s="29" t="str">
        <x:f>IF(E3681=F3681,"PASS","FAIL")</x:f>
        <x:v>PASS</x:v>
      </x:c>
    </x:row>
    <x:row r="3682" ht="18" customHeight="1">
      <x:c r="B3682" s="27" t="str">
        <x:v>A3676</x:v>
      </x:c>
      <x:c r="C3682" s="27" t="str">
        <x:v>facility</x:v>
      </x:c>
      <x:c r="D3682" s="27" t="str">
        <x:v>Facility row 42 load nonnegative</x:v>
      </x:c>
      <x:c r="E3682" s="27" t="n">
        <x:f>IF('Facility Load'!G42&gt;=0,1,0)</x:f>
        <x:v>1</x:v>
      </x:c>
      <x:c r="F3682" s="27" t="n">
        <x:v>1</x:v>
      </x:c>
      <x:c r="G3682" s="29" t="str">
        <x:f>IF(E3682=F3682,"PASS","FAIL")</x:f>
        <x:v>PASS</x:v>
      </x:c>
    </x:row>
    <x:row r="3683" ht="18" customHeight="1">
      <x:c r="B3683" s="27" t="str">
        <x:v>A3677</x:v>
      </x:c>
      <x:c r="C3683" s="27" t="str">
        <x:v>facility</x:v>
      </x:c>
      <x:c r="D3683" s="27" t="str">
        <x:v>Facility row 42 reserve nonnegative</x:v>
      </x:c>
      <x:c r="E3683" s="27" t="n">
        <x:f>IF('Facility Load'!H42&gt;=0,1,0)</x:f>
        <x:v>1</x:v>
      </x:c>
      <x:c r="F3683" s="27" t="n">
        <x:v>1</x:v>
      </x:c>
      <x:c r="G3683" s="29" t="str">
        <x:f>IF(E3683=F3683,"PASS","FAIL")</x:f>
        <x:v>PASS</x:v>
      </x:c>
    </x:row>
    <x:row r="3684" ht="18" customHeight="1">
      <x:c r="B3684" s="27" t="str">
        <x:v>A3678</x:v>
      </x:c>
      <x:c r="C3684" s="27" t="str">
        <x:v>facility</x:v>
      </x:c>
      <x:c r="D3684" s="27" t="str">
        <x:v>Facility row 42 utilization at most one</x:v>
      </x:c>
      <x:c r="E3684" s="27" t="n">
        <x:f>IF('Facility Load'!I42&lt;=1,1,0)</x:f>
        <x:v>1</x:v>
      </x:c>
      <x:c r="F3684" s="27" t="n">
        <x:v>1</x:v>
      </x:c>
      <x:c r="G3684" s="29" t="str">
        <x:f>IF(E3684=F3684,"PASS","FAIL")</x:f>
        <x:v>PASS</x:v>
      </x:c>
    </x:row>
    <x:row r="3685" ht="18" customHeight="1">
      <x:c r="B3685" s="27" t="str">
        <x:v>A3679</x:v>
      </x:c>
      <x:c r="C3685" s="27" t="str">
        <x:v>facility</x:v>
      </x:c>
      <x:c r="D3685" s="27" t="str">
        <x:v>Facility row 42 state open</x:v>
      </x:c>
      <x:c r="E3685" s="27" t="n">
        <x:f>IF('Facility Load'!J42="OPEN",1,0)</x:f>
        <x:v>1</x:v>
      </x:c>
      <x:c r="F3685" s="27" t="n">
        <x:v>1</x:v>
      </x:c>
      <x:c r="G3685" s="29" t="str">
        <x:f>IF(E3685=F3685,"PASS","FAIL")</x:f>
        <x:v>PASS</x:v>
      </x:c>
    </x:row>
    <x:row r="3686" ht="18" customHeight="1">
      <x:c r="B3686" s="27" t="str">
        <x:v>A3680</x:v>
      </x:c>
      <x:c r="C3686" s="27" t="str">
        <x:v>facility</x:v>
      </x:c>
      <x:c r="D3686" s="27" t="str">
        <x:v>Facility row 42 available decision</x:v>
      </x:c>
      <x:c r="E3686" s="27" t="n">
        <x:f>IF('Facility Load'!K42="AVAILABLE",1,0)</x:f>
        <x:v>1</x:v>
      </x:c>
      <x:c r="F3686" s="27" t="n">
        <x:v>1</x:v>
      </x:c>
      <x:c r="G3686" s="29" t="str">
        <x:f>IF(E3686=F3686,"PASS","FAIL")</x:f>
        <x:v>PASS</x:v>
      </x:c>
    </x:row>
    <x:row r="3687" ht="18" customHeight="1">
      <x:c r="B3687" s="27" t="str">
        <x:v>A3681</x:v>
      </x:c>
      <x:c r="C3687" s="27" t="str">
        <x:v>facility</x:v>
      </x:c>
      <x:c r="D3687" s="27" t="str">
        <x:v>Facility row 43 load nonnegative</x:v>
      </x:c>
      <x:c r="E3687" s="27" t="n">
        <x:f>IF('Facility Load'!G43&gt;=0,1,0)</x:f>
        <x:v>1</x:v>
      </x:c>
      <x:c r="F3687" s="27" t="n">
        <x:v>1</x:v>
      </x:c>
      <x:c r="G3687" s="29" t="str">
        <x:f>IF(E3687=F3687,"PASS","FAIL")</x:f>
        <x:v>PASS</x:v>
      </x:c>
    </x:row>
    <x:row r="3688" ht="18" customHeight="1">
      <x:c r="B3688" s="27" t="str">
        <x:v>A3682</x:v>
      </x:c>
      <x:c r="C3688" s="27" t="str">
        <x:v>facility</x:v>
      </x:c>
      <x:c r="D3688" s="27" t="str">
        <x:v>Facility row 43 reserve nonnegative</x:v>
      </x:c>
      <x:c r="E3688" s="27" t="n">
        <x:f>IF('Facility Load'!H43&gt;=0,1,0)</x:f>
        <x:v>1</x:v>
      </x:c>
      <x:c r="F3688" s="27" t="n">
        <x:v>1</x:v>
      </x:c>
      <x:c r="G3688" s="29" t="str">
        <x:f>IF(E3688=F3688,"PASS","FAIL")</x:f>
        <x:v>PASS</x:v>
      </x:c>
    </x:row>
    <x:row r="3689" ht="18" customHeight="1">
      <x:c r="B3689" s="27" t="str">
        <x:v>A3683</x:v>
      </x:c>
      <x:c r="C3689" s="27" t="str">
        <x:v>facility</x:v>
      </x:c>
      <x:c r="D3689" s="27" t="str">
        <x:v>Facility row 43 utilization at most one</x:v>
      </x:c>
      <x:c r="E3689" s="27" t="n">
        <x:f>IF('Facility Load'!I43&lt;=1,1,0)</x:f>
        <x:v>1</x:v>
      </x:c>
      <x:c r="F3689" s="27" t="n">
        <x:v>1</x:v>
      </x:c>
      <x:c r="G3689" s="29" t="str">
        <x:f>IF(E3689=F3689,"PASS","FAIL")</x:f>
        <x:v>PASS</x:v>
      </x:c>
    </x:row>
    <x:row r="3690" ht="18" customHeight="1">
      <x:c r="B3690" s="27" t="str">
        <x:v>A3684</x:v>
      </x:c>
      <x:c r="C3690" s="27" t="str">
        <x:v>facility</x:v>
      </x:c>
      <x:c r="D3690" s="27" t="str">
        <x:v>Facility row 43 state open</x:v>
      </x:c>
      <x:c r="E3690" s="27" t="n">
        <x:f>IF('Facility Load'!J43="OPEN",1,0)</x:f>
        <x:v>1</x:v>
      </x:c>
      <x:c r="F3690" s="27" t="n">
        <x:v>1</x:v>
      </x:c>
      <x:c r="G3690" s="29" t="str">
        <x:f>IF(E3690=F3690,"PASS","FAIL")</x:f>
        <x:v>PASS</x:v>
      </x:c>
    </x:row>
    <x:row r="3691" ht="18" customHeight="1">
      <x:c r="B3691" s="27" t="str">
        <x:v>A3685</x:v>
      </x:c>
      <x:c r="C3691" s="27" t="str">
        <x:v>facility</x:v>
      </x:c>
      <x:c r="D3691" s="27" t="str">
        <x:v>Facility row 43 available decision</x:v>
      </x:c>
      <x:c r="E3691" s="27" t="n">
        <x:f>IF('Facility Load'!K43="AVAILABLE",1,0)</x:f>
        <x:v>1</x:v>
      </x:c>
      <x:c r="F3691" s="27" t="n">
        <x:v>1</x:v>
      </x:c>
      <x:c r="G3691" s="29" t="str">
        <x:f>IF(E3691=F3691,"PASS","FAIL")</x:f>
        <x:v>PASS</x:v>
      </x:c>
    </x:row>
    <x:row r="3692" ht="18" customHeight="1">
      <x:c r="B3692" s="27" t="str">
        <x:v>A3686</x:v>
      </x:c>
      <x:c r="C3692" s="27" t="str">
        <x:v>facility</x:v>
      </x:c>
      <x:c r="D3692" s="27" t="str">
        <x:v>Facility row 44 load nonnegative</x:v>
      </x:c>
      <x:c r="E3692" s="27" t="n">
        <x:f>IF('Facility Load'!G44&gt;=0,1,0)</x:f>
        <x:v>1</x:v>
      </x:c>
      <x:c r="F3692" s="27" t="n">
        <x:v>1</x:v>
      </x:c>
      <x:c r="G3692" s="29" t="str">
        <x:f>IF(E3692=F3692,"PASS","FAIL")</x:f>
        <x:v>PASS</x:v>
      </x:c>
    </x:row>
    <x:row r="3693" ht="18" customHeight="1">
      <x:c r="B3693" s="27" t="str">
        <x:v>A3687</x:v>
      </x:c>
      <x:c r="C3693" s="27" t="str">
        <x:v>facility</x:v>
      </x:c>
      <x:c r="D3693" s="27" t="str">
        <x:v>Facility row 44 reserve nonnegative</x:v>
      </x:c>
      <x:c r="E3693" s="27" t="n">
        <x:f>IF('Facility Load'!H44&gt;=0,1,0)</x:f>
        <x:v>1</x:v>
      </x:c>
      <x:c r="F3693" s="27" t="n">
        <x:v>1</x:v>
      </x:c>
      <x:c r="G3693" s="29" t="str">
        <x:f>IF(E3693=F3693,"PASS","FAIL")</x:f>
        <x:v>PASS</x:v>
      </x:c>
    </x:row>
    <x:row r="3694" ht="18" customHeight="1">
      <x:c r="B3694" s="27" t="str">
        <x:v>A3688</x:v>
      </x:c>
      <x:c r="C3694" s="27" t="str">
        <x:v>facility</x:v>
      </x:c>
      <x:c r="D3694" s="27" t="str">
        <x:v>Facility row 44 utilization at most one</x:v>
      </x:c>
      <x:c r="E3694" s="27" t="n">
        <x:f>IF('Facility Load'!I44&lt;=1,1,0)</x:f>
        <x:v>1</x:v>
      </x:c>
      <x:c r="F3694" s="27" t="n">
        <x:v>1</x:v>
      </x:c>
      <x:c r="G3694" s="29" t="str">
        <x:f>IF(E3694=F3694,"PASS","FAIL")</x:f>
        <x:v>PASS</x:v>
      </x:c>
    </x:row>
    <x:row r="3695" ht="18" customHeight="1">
      <x:c r="B3695" s="27" t="str">
        <x:v>A3689</x:v>
      </x:c>
      <x:c r="C3695" s="27" t="str">
        <x:v>facility</x:v>
      </x:c>
      <x:c r="D3695" s="27" t="str">
        <x:v>Facility row 44 state open</x:v>
      </x:c>
      <x:c r="E3695" s="27" t="n">
        <x:f>IF('Facility Load'!J44="OPEN",1,0)</x:f>
        <x:v>1</x:v>
      </x:c>
      <x:c r="F3695" s="27" t="n">
        <x:v>1</x:v>
      </x:c>
      <x:c r="G3695" s="29" t="str">
        <x:f>IF(E3695=F3695,"PASS","FAIL")</x:f>
        <x:v>PASS</x:v>
      </x:c>
    </x:row>
    <x:row r="3696" ht="18" customHeight="1">
      <x:c r="B3696" s="27" t="str">
        <x:v>A3690</x:v>
      </x:c>
      <x:c r="C3696" s="27" t="str">
        <x:v>facility</x:v>
      </x:c>
      <x:c r="D3696" s="27" t="str">
        <x:v>Facility row 44 available decision</x:v>
      </x:c>
      <x:c r="E3696" s="27" t="n">
        <x:f>IF('Facility Load'!K44="AVAILABLE",1,0)</x:f>
        <x:v>1</x:v>
      </x:c>
      <x:c r="F3696" s="27" t="n">
        <x:v>1</x:v>
      </x:c>
      <x:c r="G3696" s="29" t="str">
        <x:f>IF(E3696=F3696,"PASS","FAIL")</x:f>
        <x:v>PASS</x:v>
      </x:c>
    </x:row>
    <x:row r="3697" ht="18" customHeight="1">
      <x:c r="B3697" s="27" t="str">
        <x:v>A3691</x:v>
      </x:c>
      <x:c r="C3697" s="27" t="str">
        <x:v>facility</x:v>
      </x:c>
      <x:c r="D3697" s="27" t="str">
        <x:v>Facility row 45 load nonnegative</x:v>
      </x:c>
      <x:c r="E3697" s="27" t="n">
        <x:f>IF('Facility Load'!G45&gt;=0,1,0)</x:f>
        <x:v>1</x:v>
      </x:c>
      <x:c r="F3697" s="27" t="n">
        <x:v>1</x:v>
      </x:c>
      <x:c r="G3697" s="29" t="str">
        <x:f>IF(E3697=F3697,"PASS","FAIL")</x:f>
        <x:v>PASS</x:v>
      </x:c>
    </x:row>
    <x:row r="3698" ht="18" customHeight="1">
      <x:c r="B3698" s="27" t="str">
        <x:v>A3692</x:v>
      </x:c>
      <x:c r="C3698" s="27" t="str">
        <x:v>facility</x:v>
      </x:c>
      <x:c r="D3698" s="27" t="str">
        <x:v>Facility row 45 reserve nonnegative</x:v>
      </x:c>
      <x:c r="E3698" s="27" t="n">
        <x:f>IF('Facility Load'!H45&gt;=0,1,0)</x:f>
        <x:v>1</x:v>
      </x:c>
      <x:c r="F3698" s="27" t="n">
        <x:v>1</x:v>
      </x:c>
      <x:c r="G3698" s="29" t="str">
        <x:f>IF(E3698=F3698,"PASS","FAIL")</x:f>
        <x:v>PASS</x:v>
      </x:c>
    </x:row>
    <x:row r="3699" ht="18" customHeight="1">
      <x:c r="B3699" s="27" t="str">
        <x:v>A3693</x:v>
      </x:c>
      <x:c r="C3699" s="27" t="str">
        <x:v>facility</x:v>
      </x:c>
      <x:c r="D3699" s="27" t="str">
        <x:v>Facility row 45 utilization at most one</x:v>
      </x:c>
      <x:c r="E3699" s="27" t="n">
        <x:f>IF('Facility Load'!I45&lt;=1,1,0)</x:f>
        <x:v>1</x:v>
      </x:c>
      <x:c r="F3699" s="27" t="n">
        <x:v>1</x:v>
      </x:c>
      <x:c r="G3699" s="29" t="str">
        <x:f>IF(E3699=F3699,"PASS","FAIL")</x:f>
        <x:v>PASS</x:v>
      </x:c>
    </x:row>
    <x:row r="3700" ht="18" customHeight="1">
      <x:c r="B3700" s="27" t="str">
        <x:v>A3694</x:v>
      </x:c>
      <x:c r="C3700" s="27" t="str">
        <x:v>facility</x:v>
      </x:c>
      <x:c r="D3700" s="27" t="str">
        <x:v>Facility row 45 state open</x:v>
      </x:c>
      <x:c r="E3700" s="27" t="n">
        <x:f>IF('Facility Load'!J45="OPEN",1,0)</x:f>
        <x:v>1</x:v>
      </x:c>
      <x:c r="F3700" s="27" t="n">
        <x:v>1</x:v>
      </x:c>
      <x:c r="G3700" s="29" t="str">
        <x:f>IF(E3700=F3700,"PASS","FAIL")</x:f>
        <x:v>PASS</x:v>
      </x:c>
    </x:row>
    <x:row r="3701" ht="18" customHeight="1">
      <x:c r="B3701" s="27" t="str">
        <x:v>A3695</x:v>
      </x:c>
      <x:c r="C3701" s="27" t="str">
        <x:v>facility</x:v>
      </x:c>
      <x:c r="D3701" s="27" t="str">
        <x:v>Facility row 45 available decision</x:v>
      </x:c>
      <x:c r="E3701" s="27" t="n">
        <x:f>IF('Facility Load'!K45="AVAILABLE",1,0)</x:f>
        <x:v>1</x:v>
      </x:c>
      <x:c r="F3701" s="27" t="n">
        <x:v>1</x:v>
      </x:c>
      <x:c r="G3701" s="29" t="str">
        <x:f>IF(E3701=F3701,"PASS","FAIL")</x:f>
        <x:v>PASS</x:v>
      </x:c>
    </x:row>
    <x:row r="3702" ht="18" customHeight="1">
      <x:c r="B3702" s="27" t="str">
        <x:v>A3696</x:v>
      </x:c>
      <x:c r="C3702" s="27" t="str">
        <x:v>facility</x:v>
      </x:c>
      <x:c r="D3702" s="27" t="str">
        <x:v>Facility row 46 load nonnegative</x:v>
      </x:c>
      <x:c r="E3702" s="27" t="n">
        <x:f>IF('Facility Load'!G46&gt;=0,1,0)</x:f>
        <x:v>1</x:v>
      </x:c>
      <x:c r="F3702" s="27" t="n">
        <x:v>1</x:v>
      </x:c>
      <x:c r="G3702" s="29" t="str">
        <x:f>IF(E3702=F3702,"PASS","FAIL")</x:f>
        <x:v>PASS</x:v>
      </x:c>
    </x:row>
    <x:row r="3703" ht="18" customHeight="1">
      <x:c r="B3703" s="27" t="str">
        <x:v>A3697</x:v>
      </x:c>
      <x:c r="C3703" s="27" t="str">
        <x:v>facility</x:v>
      </x:c>
      <x:c r="D3703" s="27" t="str">
        <x:v>Facility row 46 reserve nonnegative</x:v>
      </x:c>
      <x:c r="E3703" s="27" t="n">
        <x:f>IF('Facility Load'!H46&gt;=0,1,0)</x:f>
        <x:v>1</x:v>
      </x:c>
      <x:c r="F3703" s="27" t="n">
        <x:v>1</x:v>
      </x:c>
      <x:c r="G3703" s="29" t="str">
        <x:f>IF(E3703=F3703,"PASS","FAIL")</x:f>
        <x:v>PASS</x:v>
      </x:c>
    </x:row>
    <x:row r="3704" ht="18" customHeight="1">
      <x:c r="B3704" s="27" t="str">
        <x:v>A3698</x:v>
      </x:c>
      <x:c r="C3704" s="27" t="str">
        <x:v>facility</x:v>
      </x:c>
      <x:c r="D3704" s="27" t="str">
        <x:v>Facility row 46 utilization at most one</x:v>
      </x:c>
      <x:c r="E3704" s="27" t="n">
        <x:f>IF('Facility Load'!I46&lt;=1,1,0)</x:f>
        <x:v>1</x:v>
      </x:c>
      <x:c r="F3704" s="27" t="n">
        <x:v>1</x:v>
      </x:c>
      <x:c r="G3704" s="29" t="str">
        <x:f>IF(E3704=F3704,"PASS","FAIL")</x:f>
        <x:v>PASS</x:v>
      </x:c>
    </x:row>
    <x:row r="3705" ht="18" customHeight="1">
      <x:c r="B3705" s="27" t="str">
        <x:v>A3699</x:v>
      </x:c>
      <x:c r="C3705" s="27" t="str">
        <x:v>facility</x:v>
      </x:c>
      <x:c r="D3705" s="27" t="str">
        <x:v>Facility row 46 state open</x:v>
      </x:c>
      <x:c r="E3705" s="27" t="n">
        <x:f>IF('Facility Load'!J46="OPEN",1,0)</x:f>
        <x:v>1</x:v>
      </x:c>
      <x:c r="F3705" s="27" t="n">
        <x:v>1</x:v>
      </x:c>
      <x:c r="G3705" s="29" t="str">
        <x:f>IF(E3705=F3705,"PASS","FAIL")</x:f>
        <x:v>PASS</x:v>
      </x:c>
    </x:row>
    <x:row r="3706" ht="18" customHeight="1">
      <x:c r="B3706" s="27" t="str">
        <x:v>A3700</x:v>
      </x:c>
      <x:c r="C3706" s="27" t="str">
        <x:v>facility</x:v>
      </x:c>
      <x:c r="D3706" s="27" t="str">
        <x:v>Facility row 46 available decision</x:v>
      </x:c>
      <x:c r="E3706" s="27" t="n">
        <x:f>IF('Facility Load'!K46="AVAILABLE",1,0)</x:f>
        <x:v>1</x:v>
      </x:c>
      <x:c r="F3706" s="27" t="n">
        <x:v>1</x:v>
      </x:c>
      <x:c r="G3706" s="29" t="str">
        <x:f>IF(E3706=F3706,"PASS","FAIL")</x:f>
        <x:v>PASS</x:v>
      </x:c>
    </x:row>
    <x:row r="3707" ht="18" customHeight="1">
      <x:c r="B3707" s="27" t="str">
        <x:v>A3701</x:v>
      </x:c>
      <x:c r="C3707" s="27" t="str">
        <x:v>facility</x:v>
      </x:c>
      <x:c r="D3707" s="27" t="str">
        <x:v>Facility row 47 load nonnegative</x:v>
      </x:c>
      <x:c r="E3707" s="27" t="n">
        <x:f>IF('Facility Load'!G47&gt;=0,1,0)</x:f>
        <x:v>1</x:v>
      </x:c>
      <x:c r="F3707" s="27" t="n">
        <x:v>1</x:v>
      </x:c>
      <x:c r="G3707" s="29" t="str">
        <x:f>IF(E3707=F3707,"PASS","FAIL")</x:f>
        <x:v>PASS</x:v>
      </x:c>
    </x:row>
    <x:row r="3708" ht="18" customHeight="1">
      <x:c r="B3708" s="27" t="str">
        <x:v>A3702</x:v>
      </x:c>
      <x:c r="C3708" s="27" t="str">
        <x:v>facility</x:v>
      </x:c>
      <x:c r="D3708" s="27" t="str">
        <x:v>Facility row 47 reserve nonnegative</x:v>
      </x:c>
      <x:c r="E3708" s="27" t="n">
        <x:f>IF('Facility Load'!H47&gt;=0,1,0)</x:f>
        <x:v>1</x:v>
      </x:c>
      <x:c r="F3708" s="27" t="n">
        <x:v>1</x:v>
      </x:c>
      <x:c r="G3708" s="29" t="str">
        <x:f>IF(E3708=F3708,"PASS","FAIL")</x:f>
        <x:v>PASS</x:v>
      </x:c>
    </x:row>
    <x:row r="3709" ht="18" customHeight="1">
      <x:c r="B3709" s="27" t="str">
        <x:v>A3703</x:v>
      </x:c>
      <x:c r="C3709" s="27" t="str">
        <x:v>facility</x:v>
      </x:c>
      <x:c r="D3709" s="27" t="str">
        <x:v>Facility row 47 utilization at most one</x:v>
      </x:c>
      <x:c r="E3709" s="27" t="n">
        <x:f>IF('Facility Load'!I47&lt;=1,1,0)</x:f>
        <x:v>1</x:v>
      </x:c>
      <x:c r="F3709" s="27" t="n">
        <x:v>1</x:v>
      </x:c>
      <x:c r="G3709" s="29" t="str">
        <x:f>IF(E3709=F3709,"PASS","FAIL")</x:f>
        <x:v>PASS</x:v>
      </x:c>
    </x:row>
    <x:row r="3710" ht="18" customHeight="1">
      <x:c r="B3710" s="27" t="str">
        <x:v>A3704</x:v>
      </x:c>
      <x:c r="C3710" s="27" t="str">
        <x:v>facility</x:v>
      </x:c>
      <x:c r="D3710" s="27" t="str">
        <x:v>Facility row 47 state open</x:v>
      </x:c>
      <x:c r="E3710" s="27" t="n">
        <x:f>IF('Facility Load'!J47="OPEN",1,0)</x:f>
        <x:v>1</x:v>
      </x:c>
      <x:c r="F3710" s="27" t="n">
        <x:v>1</x:v>
      </x:c>
      <x:c r="G3710" s="29" t="str">
        <x:f>IF(E3710=F3710,"PASS","FAIL")</x:f>
        <x:v>PASS</x:v>
      </x:c>
    </x:row>
    <x:row r="3711" ht="18" customHeight="1">
      <x:c r="B3711" s="27" t="str">
        <x:v>A3705</x:v>
      </x:c>
      <x:c r="C3711" s="27" t="str">
        <x:v>facility</x:v>
      </x:c>
      <x:c r="D3711" s="27" t="str">
        <x:v>Facility row 47 available decision</x:v>
      </x:c>
      <x:c r="E3711" s="27" t="n">
        <x:f>IF('Facility Load'!K47="AVAILABLE",1,0)</x:f>
        <x:v>1</x:v>
      </x:c>
      <x:c r="F3711" s="27" t="n">
        <x:v>1</x:v>
      </x:c>
      <x:c r="G3711" s="29" t="str">
        <x:f>IF(E3711=F3711,"PASS","FAIL")</x:f>
        <x:v>PASS</x:v>
      </x:c>
    </x:row>
    <x:row r="3712" ht="18" customHeight="1">
      <x:c r="B3712" s="27" t="str">
        <x:v>A3706</x:v>
      </x:c>
      <x:c r="C3712" s="27" t="str">
        <x:v>facility</x:v>
      </x:c>
      <x:c r="D3712" s="27" t="str">
        <x:v>Facility row 48 load nonnegative</x:v>
      </x:c>
      <x:c r="E3712" s="27" t="n">
        <x:f>IF('Facility Load'!G48&gt;=0,1,0)</x:f>
        <x:v>1</x:v>
      </x:c>
      <x:c r="F3712" s="27" t="n">
        <x:v>1</x:v>
      </x:c>
      <x:c r="G3712" s="29" t="str">
        <x:f>IF(E3712=F3712,"PASS","FAIL")</x:f>
        <x:v>PASS</x:v>
      </x:c>
    </x:row>
    <x:row r="3713" ht="18" customHeight="1">
      <x:c r="B3713" s="27" t="str">
        <x:v>A3707</x:v>
      </x:c>
      <x:c r="C3713" s="27" t="str">
        <x:v>facility</x:v>
      </x:c>
      <x:c r="D3713" s="27" t="str">
        <x:v>Facility row 48 reserve nonnegative</x:v>
      </x:c>
      <x:c r="E3713" s="27" t="n">
        <x:f>IF('Facility Load'!H48&gt;=0,1,0)</x:f>
        <x:v>1</x:v>
      </x:c>
      <x:c r="F3713" s="27" t="n">
        <x:v>1</x:v>
      </x:c>
      <x:c r="G3713" s="29" t="str">
        <x:f>IF(E3713=F3713,"PASS","FAIL")</x:f>
        <x:v>PASS</x:v>
      </x:c>
    </x:row>
    <x:row r="3714" ht="18" customHeight="1">
      <x:c r="B3714" s="27" t="str">
        <x:v>A3708</x:v>
      </x:c>
      <x:c r="C3714" s="27" t="str">
        <x:v>facility</x:v>
      </x:c>
      <x:c r="D3714" s="27" t="str">
        <x:v>Facility row 48 utilization at most one</x:v>
      </x:c>
      <x:c r="E3714" s="27" t="n">
        <x:f>IF('Facility Load'!I48&lt;=1,1,0)</x:f>
        <x:v>1</x:v>
      </x:c>
      <x:c r="F3714" s="27" t="n">
        <x:v>1</x:v>
      </x:c>
      <x:c r="G3714" s="29" t="str">
        <x:f>IF(E3714=F3714,"PASS","FAIL")</x:f>
        <x:v>PASS</x:v>
      </x:c>
    </x:row>
    <x:row r="3715" ht="18" customHeight="1">
      <x:c r="B3715" s="27" t="str">
        <x:v>A3709</x:v>
      </x:c>
      <x:c r="C3715" s="27" t="str">
        <x:v>facility</x:v>
      </x:c>
      <x:c r="D3715" s="27" t="str">
        <x:v>Facility row 48 state open</x:v>
      </x:c>
      <x:c r="E3715" s="27" t="n">
        <x:f>IF('Facility Load'!J48="OPEN",1,0)</x:f>
        <x:v>1</x:v>
      </x:c>
      <x:c r="F3715" s="27" t="n">
        <x:v>1</x:v>
      </x:c>
      <x:c r="G3715" s="29" t="str">
        <x:f>IF(E3715=F3715,"PASS","FAIL")</x:f>
        <x:v>PASS</x:v>
      </x:c>
    </x:row>
    <x:row r="3716" ht="18" customHeight="1">
      <x:c r="B3716" s="27" t="str">
        <x:v>A3710</x:v>
      </x:c>
      <x:c r="C3716" s="27" t="str">
        <x:v>facility</x:v>
      </x:c>
      <x:c r="D3716" s="27" t="str">
        <x:v>Facility row 48 available decision</x:v>
      </x:c>
      <x:c r="E3716" s="27" t="n">
        <x:f>IF('Facility Load'!K48="AVAILABLE",1,0)</x:f>
        <x:v>1</x:v>
      </x:c>
      <x:c r="F3716" s="27" t="n">
        <x:v>1</x:v>
      </x:c>
      <x:c r="G3716" s="29" t="str">
        <x:f>IF(E3716=F3716,"PASS","FAIL")</x:f>
        <x:v>PASS</x:v>
      </x:c>
    </x:row>
    <x:row r="3717" ht="18" customHeight="1">
      <x:c r="B3717" s="27" t="str">
        <x:v>A3711</x:v>
      </x:c>
      <x:c r="C3717" s="27" t="str">
        <x:v>facility</x:v>
      </x:c>
      <x:c r="D3717" s="27" t="str">
        <x:v>Facility row 49 load nonnegative</x:v>
      </x:c>
      <x:c r="E3717" s="27" t="n">
        <x:f>IF('Facility Load'!G49&gt;=0,1,0)</x:f>
        <x:v>1</x:v>
      </x:c>
      <x:c r="F3717" s="27" t="n">
        <x:v>1</x:v>
      </x:c>
      <x:c r="G3717" s="29" t="str">
        <x:f>IF(E3717=F3717,"PASS","FAIL")</x:f>
        <x:v>PASS</x:v>
      </x:c>
    </x:row>
    <x:row r="3718" ht="18" customHeight="1">
      <x:c r="B3718" s="27" t="str">
        <x:v>A3712</x:v>
      </x:c>
      <x:c r="C3718" s="27" t="str">
        <x:v>facility</x:v>
      </x:c>
      <x:c r="D3718" s="27" t="str">
        <x:v>Facility row 49 reserve nonnegative</x:v>
      </x:c>
      <x:c r="E3718" s="27" t="n">
        <x:f>IF('Facility Load'!H49&gt;=0,1,0)</x:f>
        <x:v>1</x:v>
      </x:c>
      <x:c r="F3718" s="27" t="n">
        <x:v>1</x:v>
      </x:c>
      <x:c r="G3718" s="29" t="str">
        <x:f>IF(E3718=F3718,"PASS","FAIL")</x:f>
        <x:v>PASS</x:v>
      </x:c>
    </x:row>
    <x:row r="3719" ht="18" customHeight="1">
      <x:c r="B3719" s="27" t="str">
        <x:v>A3713</x:v>
      </x:c>
      <x:c r="C3719" s="27" t="str">
        <x:v>facility</x:v>
      </x:c>
      <x:c r="D3719" s="27" t="str">
        <x:v>Facility row 49 utilization at most one</x:v>
      </x:c>
      <x:c r="E3719" s="27" t="n">
        <x:f>IF('Facility Load'!I49&lt;=1,1,0)</x:f>
        <x:v>1</x:v>
      </x:c>
      <x:c r="F3719" s="27" t="n">
        <x:v>1</x:v>
      </x:c>
      <x:c r="G3719" s="29" t="str">
        <x:f>IF(E3719=F3719,"PASS","FAIL")</x:f>
        <x:v>PASS</x:v>
      </x:c>
    </x:row>
    <x:row r="3720" ht="18" customHeight="1">
      <x:c r="B3720" s="27" t="str">
        <x:v>A3714</x:v>
      </x:c>
      <x:c r="C3720" s="27" t="str">
        <x:v>facility</x:v>
      </x:c>
      <x:c r="D3720" s="27" t="str">
        <x:v>Facility row 49 state open</x:v>
      </x:c>
      <x:c r="E3720" s="27" t="n">
        <x:f>IF('Facility Load'!J49="OPEN",1,0)</x:f>
        <x:v>1</x:v>
      </x:c>
      <x:c r="F3720" s="27" t="n">
        <x:v>1</x:v>
      </x:c>
      <x:c r="G3720" s="29" t="str">
        <x:f>IF(E3720=F3720,"PASS","FAIL")</x:f>
        <x:v>PASS</x:v>
      </x:c>
    </x:row>
    <x:row r="3721" ht="18" customHeight="1">
      <x:c r="B3721" s="27" t="str">
        <x:v>A3715</x:v>
      </x:c>
      <x:c r="C3721" s="27" t="str">
        <x:v>facility</x:v>
      </x:c>
      <x:c r="D3721" s="27" t="str">
        <x:v>Facility row 49 available decision</x:v>
      </x:c>
      <x:c r="E3721" s="27" t="n">
        <x:f>IF('Facility Load'!K49="AVAILABLE",1,0)</x:f>
        <x:v>1</x:v>
      </x:c>
      <x:c r="F3721" s="27" t="n">
        <x:v>1</x:v>
      </x:c>
      <x:c r="G3721" s="29" t="str">
        <x:f>IF(E3721=F3721,"PASS","FAIL")</x:f>
        <x:v>PASS</x:v>
      </x:c>
    </x:row>
    <x:row r="3722" ht="18" customHeight="1">
      <x:c r="B3722" s="27" t="str">
        <x:v>A3716</x:v>
      </x:c>
      <x:c r="C3722" s="27" t="str">
        <x:v>facility</x:v>
      </x:c>
      <x:c r="D3722" s="27" t="str">
        <x:v>Facility row 50 load nonnegative</x:v>
      </x:c>
      <x:c r="E3722" s="27" t="n">
        <x:f>IF('Facility Load'!G50&gt;=0,1,0)</x:f>
        <x:v>1</x:v>
      </x:c>
      <x:c r="F3722" s="27" t="n">
        <x:v>1</x:v>
      </x:c>
      <x:c r="G3722" s="29" t="str">
        <x:f>IF(E3722=F3722,"PASS","FAIL")</x:f>
        <x:v>PASS</x:v>
      </x:c>
    </x:row>
    <x:row r="3723" ht="18" customHeight="1">
      <x:c r="B3723" s="27" t="str">
        <x:v>A3717</x:v>
      </x:c>
      <x:c r="C3723" s="27" t="str">
        <x:v>facility</x:v>
      </x:c>
      <x:c r="D3723" s="27" t="str">
        <x:v>Facility row 50 reserve nonnegative</x:v>
      </x:c>
      <x:c r="E3723" s="27" t="n">
        <x:f>IF('Facility Load'!H50&gt;=0,1,0)</x:f>
        <x:v>1</x:v>
      </x:c>
      <x:c r="F3723" s="27" t="n">
        <x:v>1</x:v>
      </x:c>
      <x:c r="G3723" s="29" t="str">
        <x:f>IF(E3723=F3723,"PASS","FAIL")</x:f>
        <x:v>PASS</x:v>
      </x:c>
    </x:row>
    <x:row r="3724" ht="18" customHeight="1">
      <x:c r="B3724" s="27" t="str">
        <x:v>A3718</x:v>
      </x:c>
      <x:c r="C3724" s="27" t="str">
        <x:v>facility</x:v>
      </x:c>
      <x:c r="D3724" s="27" t="str">
        <x:v>Facility row 50 utilization at most one</x:v>
      </x:c>
      <x:c r="E3724" s="27" t="n">
        <x:f>IF('Facility Load'!I50&lt;=1,1,0)</x:f>
        <x:v>1</x:v>
      </x:c>
      <x:c r="F3724" s="27" t="n">
        <x:v>1</x:v>
      </x:c>
      <x:c r="G3724" s="29" t="str">
        <x:f>IF(E3724=F3724,"PASS","FAIL")</x:f>
        <x:v>PASS</x:v>
      </x:c>
    </x:row>
    <x:row r="3725" ht="18" customHeight="1">
      <x:c r="B3725" s="27" t="str">
        <x:v>A3719</x:v>
      </x:c>
      <x:c r="C3725" s="27" t="str">
        <x:v>facility</x:v>
      </x:c>
      <x:c r="D3725" s="27" t="str">
        <x:v>Facility row 50 state open</x:v>
      </x:c>
      <x:c r="E3725" s="27" t="n">
        <x:f>IF('Facility Load'!J50="OPEN",1,0)</x:f>
        <x:v>1</x:v>
      </x:c>
      <x:c r="F3725" s="27" t="n">
        <x:v>1</x:v>
      </x:c>
      <x:c r="G3725" s="29" t="str">
        <x:f>IF(E3725=F3725,"PASS","FAIL")</x:f>
        <x:v>PASS</x:v>
      </x:c>
    </x:row>
    <x:row r="3726" ht="18" customHeight="1">
      <x:c r="B3726" s="27" t="str">
        <x:v>A3720</x:v>
      </x:c>
      <x:c r="C3726" s="27" t="str">
        <x:v>facility</x:v>
      </x:c>
      <x:c r="D3726" s="27" t="str">
        <x:v>Facility row 50 available decision</x:v>
      </x:c>
      <x:c r="E3726" s="27" t="n">
        <x:f>IF('Facility Load'!K50="AVAILABLE",1,0)</x:f>
        <x:v>1</x:v>
      </x:c>
      <x:c r="F3726" s="27" t="n">
        <x:v>1</x:v>
      </x:c>
      <x:c r="G3726" s="29" t="str">
        <x:f>IF(E3726=F3726,"PASS","FAIL")</x:f>
        <x:v>PASS</x:v>
      </x:c>
    </x:row>
    <x:row r="3727" ht="18" customHeight="1">
      <x:c r="B3727" s="27" t="str">
        <x:v>A3721</x:v>
      </x:c>
      <x:c r="C3727" s="27" t="str">
        <x:v>facility</x:v>
      </x:c>
      <x:c r="D3727" s="27" t="str">
        <x:v>Facility row 51 load nonnegative</x:v>
      </x:c>
      <x:c r="E3727" s="27" t="n">
        <x:f>IF('Facility Load'!G51&gt;=0,1,0)</x:f>
        <x:v>1</x:v>
      </x:c>
      <x:c r="F3727" s="27" t="n">
        <x:v>1</x:v>
      </x:c>
      <x:c r="G3727" s="29" t="str">
        <x:f>IF(E3727=F3727,"PASS","FAIL")</x:f>
        <x:v>PASS</x:v>
      </x:c>
    </x:row>
    <x:row r="3728" ht="18" customHeight="1">
      <x:c r="B3728" s="27" t="str">
        <x:v>A3722</x:v>
      </x:c>
      <x:c r="C3728" s="27" t="str">
        <x:v>facility</x:v>
      </x:c>
      <x:c r="D3728" s="27" t="str">
        <x:v>Facility row 51 reserve nonnegative</x:v>
      </x:c>
      <x:c r="E3728" s="27" t="n">
        <x:f>IF('Facility Load'!H51&gt;=0,1,0)</x:f>
        <x:v>1</x:v>
      </x:c>
      <x:c r="F3728" s="27" t="n">
        <x:v>1</x:v>
      </x:c>
      <x:c r="G3728" s="29" t="str">
        <x:f>IF(E3728=F3728,"PASS","FAIL")</x:f>
        <x:v>PASS</x:v>
      </x:c>
    </x:row>
    <x:row r="3729" ht="18" customHeight="1">
      <x:c r="B3729" s="27" t="str">
        <x:v>A3723</x:v>
      </x:c>
      <x:c r="C3729" s="27" t="str">
        <x:v>facility</x:v>
      </x:c>
      <x:c r="D3729" s="27" t="str">
        <x:v>Facility row 51 utilization at most one</x:v>
      </x:c>
      <x:c r="E3729" s="27" t="n">
        <x:f>IF('Facility Load'!I51&lt;=1,1,0)</x:f>
        <x:v>1</x:v>
      </x:c>
      <x:c r="F3729" s="27" t="n">
        <x:v>1</x:v>
      </x:c>
      <x:c r="G3729" s="29" t="str">
        <x:f>IF(E3729=F3729,"PASS","FAIL")</x:f>
        <x:v>PASS</x:v>
      </x:c>
    </x:row>
    <x:row r="3730" ht="18" customHeight="1">
      <x:c r="B3730" s="27" t="str">
        <x:v>A3724</x:v>
      </x:c>
      <x:c r="C3730" s="27" t="str">
        <x:v>facility</x:v>
      </x:c>
      <x:c r="D3730" s="27" t="str">
        <x:v>Facility row 51 state open</x:v>
      </x:c>
      <x:c r="E3730" s="27" t="n">
        <x:f>IF('Facility Load'!J51="OPEN",1,0)</x:f>
        <x:v>1</x:v>
      </x:c>
      <x:c r="F3730" s="27" t="n">
        <x:v>1</x:v>
      </x:c>
      <x:c r="G3730" s="29" t="str">
        <x:f>IF(E3730=F3730,"PASS","FAIL")</x:f>
        <x:v>PASS</x:v>
      </x:c>
    </x:row>
    <x:row r="3731" ht="18" customHeight="1">
      <x:c r="B3731" s="27" t="str">
        <x:v>A3725</x:v>
      </x:c>
      <x:c r="C3731" s="27" t="str">
        <x:v>facility</x:v>
      </x:c>
      <x:c r="D3731" s="27" t="str">
        <x:v>Facility row 51 available decision</x:v>
      </x:c>
      <x:c r="E3731" s="27" t="n">
        <x:f>IF('Facility Load'!K51="AVAILABLE",1,0)</x:f>
        <x:v>1</x:v>
      </x:c>
      <x:c r="F3731" s="27" t="n">
        <x:v>1</x:v>
      </x:c>
      <x:c r="G3731" s="29" t="str">
        <x:f>IF(E3731=F3731,"PASS","FAIL")</x:f>
        <x:v>PASS</x:v>
      </x:c>
    </x:row>
    <x:row r="3732" ht="18" customHeight="1">
      <x:c r="B3732" s="27" t="str">
        <x:v>A3726</x:v>
      </x:c>
      <x:c r="C3732" s="27" t="str">
        <x:v>facility</x:v>
      </x:c>
      <x:c r="D3732" s="27" t="str">
        <x:v>Facility row 52 load nonnegative</x:v>
      </x:c>
      <x:c r="E3732" s="27" t="n">
        <x:f>IF('Facility Load'!G52&gt;=0,1,0)</x:f>
        <x:v>1</x:v>
      </x:c>
      <x:c r="F3732" s="27" t="n">
        <x:v>1</x:v>
      </x:c>
      <x:c r="G3732" s="29" t="str">
        <x:f>IF(E3732=F3732,"PASS","FAIL")</x:f>
        <x:v>PASS</x:v>
      </x:c>
    </x:row>
    <x:row r="3733" ht="18" customHeight="1">
      <x:c r="B3733" s="27" t="str">
        <x:v>A3727</x:v>
      </x:c>
      <x:c r="C3733" s="27" t="str">
        <x:v>facility</x:v>
      </x:c>
      <x:c r="D3733" s="27" t="str">
        <x:v>Facility row 52 reserve nonnegative</x:v>
      </x:c>
      <x:c r="E3733" s="27" t="n">
        <x:f>IF('Facility Load'!H52&gt;=0,1,0)</x:f>
        <x:v>1</x:v>
      </x:c>
      <x:c r="F3733" s="27" t="n">
        <x:v>1</x:v>
      </x:c>
      <x:c r="G3733" s="29" t="str">
        <x:f>IF(E3733=F3733,"PASS","FAIL")</x:f>
        <x:v>PASS</x:v>
      </x:c>
    </x:row>
    <x:row r="3734" ht="18" customHeight="1">
      <x:c r="B3734" s="27" t="str">
        <x:v>A3728</x:v>
      </x:c>
      <x:c r="C3734" s="27" t="str">
        <x:v>facility</x:v>
      </x:c>
      <x:c r="D3734" s="27" t="str">
        <x:v>Facility row 52 utilization at most one</x:v>
      </x:c>
      <x:c r="E3734" s="27" t="n">
        <x:f>IF('Facility Load'!I52&lt;=1,1,0)</x:f>
        <x:v>1</x:v>
      </x:c>
      <x:c r="F3734" s="27" t="n">
        <x:v>1</x:v>
      </x:c>
      <x:c r="G3734" s="29" t="str">
        <x:f>IF(E3734=F3734,"PASS","FAIL")</x:f>
        <x:v>PASS</x:v>
      </x:c>
    </x:row>
    <x:row r="3735" ht="18" customHeight="1">
      <x:c r="B3735" s="27" t="str">
        <x:v>A3729</x:v>
      </x:c>
      <x:c r="C3735" s="27" t="str">
        <x:v>facility</x:v>
      </x:c>
      <x:c r="D3735" s="27" t="str">
        <x:v>Facility row 52 state open</x:v>
      </x:c>
      <x:c r="E3735" s="27" t="n">
        <x:f>IF('Facility Load'!J52="OPEN",1,0)</x:f>
        <x:v>1</x:v>
      </x:c>
      <x:c r="F3735" s="27" t="n">
        <x:v>1</x:v>
      </x:c>
      <x:c r="G3735" s="29" t="str">
        <x:f>IF(E3735=F3735,"PASS","FAIL")</x:f>
        <x:v>PASS</x:v>
      </x:c>
    </x:row>
    <x:row r="3736" ht="18" customHeight="1">
      <x:c r="B3736" s="27" t="str">
        <x:v>A3730</x:v>
      </x:c>
      <x:c r="C3736" s="27" t="str">
        <x:v>facility</x:v>
      </x:c>
      <x:c r="D3736" s="27" t="str">
        <x:v>Facility row 52 available decision</x:v>
      </x:c>
      <x:c r="E3736" s="27" t="n">
        <x:f>IF('Facility Load'!K52="AVAILABLE",1,0)</x:f>
        <x:v>1</x:v>
      </x:c>
      <x:c r="F3736" s="27" t="n">
        <x:v>1</x:v>
      </x:c>
      <x:c r="G3736" s="29" t="str">
        <x:f>IF(E3736=F3736,"PASS","FAIL")</x:f>
        <x:v>PASS</x:v>
      </x:c>
    </x:row>
    <x:row r="3737" ht="18" customHeight="1">
      <x:c r="B3737" s="27" t="str">
        <x:v>A3731</x:v>
      </x:c>
      <x:c r="C3737" s="27" t="str">
        <x:v>facility</x:v>
      </x:c>
      <x:c r="D3737" s="27" t="str">
        <x:v>Facility row 53 load nonnegative</x:v>
      </x:c>
      <x:c r="E3737" s="27" t="n">
        <x:f>IF('Facility Load'!G53&gt;=0,1,0)</x:f>
        <x:v>1</x:v>
      </x:c>
      <x:c r="F3737" s="27" t="n">
        <x:v>1</x:v>
      </x:c>
      <x:c r="G3737" s="29" t="str">
        <x:f>IF(E3737=F3737,"PASS","FAIL")</x:f>
        <x:v>PASS</x:v>
      </x:c>
    </x:row>
    <x:row r="3738" ht="18" customHeight="1">
      <x:c r="B3738" s="27" t="str">
        <x:v>A3732</x:v>
      </x:c>
      <x:c r="C3738" s="27" t="str">
        <x:v>facility</x:v>
      </x:c>
      <x:c r="D3738" s="27" t="str">
        <x:v>Facility row 53 reserve nonnegative</x:v>
      </x:c>
      <x:c r="E3738" s="27" t="n">
        <x:f>IF('Facility Load'!H53&gt;=0,1,0)</x:f>
        <x:v>1</x:v>
      </x:c>
      <x:c r="F3738" s="27" t="n">
        <x:v>1</x:v>
      </x:c>
      <x:c r="G3738" s="29" t="str">
        <x:f>IF(E3738=F3738,"PASS","FAIL")</x:f>
        <x:v>PASS</x:v>
      </x:c>
    </x:row>
    <x:row r="3739" ht="18" customHeight="1">
      <x:c r="B3739" s="27" t="str">
        <x:v>A3733</x:v>
      </x:c>
      <x:c r="C3739" s="27" t="str">
        <x:v>facility</x:v>
      </x:c>
      <x:c r="D3739" s="27" t="str">
        <x:v>Facility row 53 utilization at most one</x:v>
      </x:c>
      <x:c r="E3739" s="27" t="n">
        <x:f>IF('Facility Load'!I53&lt;=1,1,0)</x:f>
        <x:v>1</x:v>
      </x:c>
      <x:c r="F3739" s="27" t="n">
        <x:v>1</x:v>
      </x:c>
      <x:c r="G3739" s="29" t="str">
        <x:f>IF(E3739=F3739,"PASS","FAIL")</x:f>
        <x:v>PASS</x:v>
      </x:c>
    </x:row>
    <x:row r="3740" ht="18" customHeight="1">
      <x:c r="B3740" s="27" t="str">
        <x:v>A3734</x:v>
      </x:c>
      <x:c r="C3740" s="27" t="str">
        <x:v>facility</x:v>
      </x:c>
      <x:c r="D3740" s="27" t="str">
        <x:v>Facility row 53 state open</x:v>
      </x:c>
      <x:c r="E3740" s="27" t="n">
        <x:f>IF('Facility Load'!J53="OPEN",1,0)</x:f>
        <x:v>1</x:v>
      </x:c>
      <x:c r="F3740" s="27" t="n">
        <x:v>1</x:v>
      </x:c>
      <x:c r="G3740" s="29" t="str">
        <x:f>IF(E3740=F3740,"PASS","FAIL")</x:f>
        <x:v>PASS</x:v>
      </x:c>
    </x:row>
    <x:row r="3741" ht="18" customHeight="1">
      <x:c r="B3741" s="27" t="str">
        <x:v>A3735</x:v>
      </x:c>
      <x:c r="C3741" s="27" t="str">
        <x:v>facility</x:v>
      </x:c>
      <x:c r="D3741" s="27" t="str">
        <x:v>Facility row 53 available decision</x:v>
      </x:c>
      <x:c r="E3741" s="27" t="n">
        <x:f>IF('Facility Load'!K53="AVAILABLE",1,0)</x:f>
        <x:v>1</x:v>
      </x:c>
      <x:c r="F3741" s="27" t="n">
        <x:v>1</x:v>
      </x:c>
      <x:c r="G3741" s="29" t="str">
        <x:f>IF(E3741=F3741,"PASS","FAIL")</x:f>
        <x:v>PASS</x:v>
      </x:c>
    </x:row>
    <x:row r="3742" ht="18" customHeight="1">
      <x:c r="B3742" s="27" t="str">
        <x:v>A3736</x:v>
      </x:c>
      <x:c r="C3742" s="27" t="str">
        <x:v>facility</x:v>
      </x:c>
      <x:c r="D3742" s="27" t="str">
        <x:v>Facility row 54 load nonnegative</x:v>
      </x:c>
      <x:c r="E3742" s="27" t="n">
        <x:f>IF('Facility Load'!G54&gt;=0,1,0)</x:f>
        <x:v>1</x:v>
      </x:c>
      <x:c r="F3742" s="27" t="n">
        <x:v>1</x:v>
      </x:c>
      <x:c r="G3742" s="29" t="str">
        <x:f>IF(E3742=F3742,"PASS","FAIL")</x:f>
        <x:v>PASS</x:v>
      </x:c>
    </x:row>
    <x:row r="3743" ht="18" customHeight="1">
      <x:c r="B3743" s="27" t="str">
        <x:v>A3737</x:v>
      </x:c>
      <x:c r="C3743" s="27" t="str">
        <x:v>facility</x:v>
      </x:c>
      <x:c r="D3743" s="27" t="str">
        <x:v>Facility row 54 reserve nonnegative</x:v>
      </x:c>
      <x:c r="E3743" s="27" t="n">
        <x:f>IF('Facility Load'!H54&gt;=0,1,0)</x:f>
        <x:v>1</x:v>
      </x:c>
      <x:c r="F3743" s="27" t="n">
        <x:v>1</x:v>
      </x:c>
      <x:c r="G3743" s="29" t="str">
        <x:f>IF(E3743=F3743,"PASS","FAIL")</x:f>
        <x:v>PASS</x:v>
      </x:c>
    </x:row>
    <x:row r="3744" ht="18" customHeight="1">
      <x:c r="B3744" s="27" t="str">
        <x:v>A3738</x:v>
      </x:c>
      <x:c r="C3744" s="27" t="str">
        <x:v>facility</x:v>
      </x:c>
      <x:c r="D3744" s="27" t="str">
        <x:v>Facility row 54 utilization at most one</x:v>
      </x:c>
      <x:c r="E3744" s="27" t="n">
        <x:f>IF('Facility Load'!I54&lt;=1,1,0)</x:f>
        <x:v>1</x:v>
      </x:c>
      <x:c r="F3744" s="27" t="n">
        <x:v>1</x:v>
      </x:c>
      <x:c r="G3744" s="29" t="str">
        <x:f>IF(E3744=F3744,"PASS","FAIL")</x:f>
        <x:v>PASS</x:v>
      </x:c>
    </x:row>
    <x:row r="3745" ht="18" customHeight="1">
      <x:c r="B3745" s="27" t="str">
        <x:v>A3739</x:v>
      </x:c>
      <x:c r="C3745" s="27" t="str">
        <x:v>facility</x:v>
      </x:c>
      <x:c r="D3745" s="27" t="str">
        <x:v>Facility row 54 state open</x:v>
      </x:c>
      <x:c r="E3745" s="27" t="n">
        <x:f>IF('Facility Load'!J54="OPEN",1,0)</x:f>
        <x:v>1</x:v>
      </x:c>
      <x:c r="F3745" s="27" t="n">
        <x:v>1</x:v>
      </x:c>
      <x:c r="G3745" s="29" t="str">
        <x:f>IF(E3745=F3745,"PASS","FAIL")</x:f>
        <x:v>PASS</x:v>
      </x:c>
    </x:row>
    <x:row r="3746" ht="18" customHeight="1">
      <x:c r="B3746" s="27" t="str">
        <x:v>A3740</x:v>
      </x:c>
      <x:c r="C3746" s="27" t="str">
        <x:v>facility</x:v>
      </x:c>
      <x:c r="D3746" s="27" t="str">
        <x:v>Facility row 54 available decision</x:v>
      </x:c>
      <x:c r="E3746" s="27" t="n">
        <x:f>IF('Facility Load'!K54="AVAILABLE",1,0)</x:f>
        <x:v>1</x:v>
      </x:c>
      <x:c r="F3746" s="27" t="n">
        <x:v>1</x:v>
      </x:c>
      <x:c r="G3746" s="29" t="str">
        <x:f>IF(E3746=F3746,"PASS","FAIL")</x:f>
        <x:v>PASS</x:v>
      </x:c>
    </x:row>
    <x:row r="3747" ht="18" customHeight="1">
      <x:c r="B3747" s="27" t="str">
        <x:v>A3741</x:v>
      </x:c>
      <x:c r="C3747" s="27" t="str">
        <x:v>facility</x:v>
      </x:c>
      <x:c r="D3747" s="27" t="str">
        <x:v>Facility row 55 load nonnegative</x:v>
      </x:c>
      <x:c r="E3747" s="27" t="n">
        <x:f>IF('Facility Load'!G55&gt;=0,1,0)</x:f>
        <x:v>1</x:v>
      </x:c>
      <x:c r="F3747" s="27" t="n">
        <x:v>1</x:v>
      </x:c>
      <x:c r="G3747" s="29" t="str">
        <x:f>IF(E3747=F3747,"PASS","FAIL")</x:f>
        <x:v>PASS</x:v>
      </x:c>
    </x:row>
    <x:row r="3748" ht="18" customHeight="1">
      <x:c r="B3748" s="27" t="str">
        <x:v>A3742</x:v>
      </x:c>
      <x:c r="C3748" s="27" t="str">
        <x:v>facility</x:v>
      </x:c>
      <x:c r="D3748" s="27" t="str">
        <x:v>Facility row 55 reserve nonnegative</x:v>
      </x:c>
      <x:c r="E3748" s="27" t="n">
        <x:f>IF('Facility Load'!H55&gt;=0,1,0)</x:f>
        <x:v>1</x:v>
      </x:c>
      <x:c r="F3748" s="27" t="n">
        <x:v>1</x:v>
      </x:c>
      <x:c r="G3748" s="29" t="str">
        <x:f>IF(E3748=F3748,"PASS","FAIL")</x:f>
        <x:v>PASS</x:v>
      </x:c>
    </x:row>
    <x:row r="3749" ht="18" customHeight="1">
      <x:c r="B3749" s="27" t="str">
        <x:v>A3743</x:v>
      </x:c>
      <x:c r="C3749" s="27" t="str">
        <x:v>facility</x:v>
      </x:c>
      <x:c r="D3749" s="27" t="str">
        <x:v>Facility row 55 utilization at most one</x:v>
      </x:c>
      <x:c r="E3749" s="27" t="n">
        <x:f>IF('Facility Load'!I55&lt;=1,1,0)</x:f>
        <x:v>1</x:v>
      </x:c>
      <x:c r="F3749" s="27" t="n">
        <x:v>1</x:v>
      </x:c>
      <x:c r="G3749" s="29" t="str">
        <x:f>IF(E3749=F3749,"PASS","FAIL")</x:f>
        <x:v>PASS</x:v>
      </x:c>
    </x:row>
    <x:row r="3750" ht="18" customHeight="1">
      <x:c r="B3750" s="27" t="str">
        <x:v>A3744</x:v>
      </x:c>
      <x:c r="C3750" s="27" t="str">
        <x:v>facility</x:v>
      </x:c>
      <x:c r="D3750" s="27" t="str">
        <x:v>Facility row 55 state open</x:v>
      </x:c>
      <x:c r="E3750" s="27" t="n">
        <x:f>IF('Facility Load'!J55="OPEN",1,0)</x:f>
        <x:v>1</x:v>
      </x:c>
      <x:c r="F3750" s="27" t="n">
        <x:v>1</x:v>
      </x:c>
      <x:c r="G3750" s="29" t="str">
        <x:f>IF(E3750=F3750,"PASS","FAIL")</x:f>
        <x:v>PASS</x:v>
      </x:c>
    </x:row>
    <x:row r="3751" ht="18" customHeight="1">
      <x:c r="B3751" s="27" t="str">
        <x:v>A3745</x:v>
      </x:c>
      <x:c r="C3751" s="27" t="str">
        <x:v>facility</x:v>
      </x:c>
      <x:c r="D3751" s="27" t="str">
        <x:v>Facility row 55 available decision</x:v>
      </x:c>
      <x:c r="E3751" s="27" t="n">
        <x:f>IF('Facility Load'!K55="AVAILABLE",1,0)</x:f>
        <x:v>1</x:v>
      </x:c>
      <x:c r="F3751" s="27" t="n">
        <x:v>1</x:v>
      </x:c>
      <x:c r="G3751" s="29" t="str">
        <x:f>IF(E3751=F3751,"PASS","FAIL")</x:f>
        <x:v>PASS</x:v>
      </x:c>
    </x:row>
    <x:row r="3752" ht="18" customHeight="1">
      <x:c r="B3752" s="27" t="str">
        <x:v>A3746</x:v>
      </x:c>
      <x:c r="C3752" s="27" t="str">
        <x:v>facility</x:v>
      </x:c>
      <x:c r="D3752" s="27" t="str">
        <x:v>Facility row 56 load nonnegative</x:v>
      </x:c>
      <x:c r="E3752" s="27" t="n">
        <x:f>IF('Facility Load'!G56&gt;=0,1,0)</x:f>
        <x:v>1</x:v>
      </x:c>
      <x:c r="F3752" s="27" t="n">
        <x:v>1</x:v>
      </x:c>
      <x:c r="G3752" s="29" t="str">
        <x:f>IF(E3752=F3752,"PASS","FAIL")</x:f>
        <x:v>PASS</x:v>
      </x:c>
    </x:row>
    <x:row r="3753" ht="18" customHeight="1">
      <x:c r="B3753" s="27" t="str">
        <x:v>A3747</x:v>
      </x:c>
      <x:c r="C3753" s="27" t="str">
        <x:v>facility</x:v>
      </x:c>
      <x:c r="D3753" s="27" t="str">
        <x:v>Facility row 56 reserve nonnegative</x:v>
      </x:c>
      <x:c r="E3753" s="27" t="n">
        <x:f>IF('Facility Load'!H56&gt;=0,1,0)</x:f>
        <x:v>1</x:v>
      </x:c>
      <x:c r="F3753" s="27" t="n">
        <x:v>1</x:v>
      </x:c>
      <x:c r="G3753" s="29" t="str">
        <x:f>IF(E3753=F3753,"PASS","FAIL")</x:f>
        <x:v>PASS</x:v>
      </x:c>
    </x:row>
    <x:row r="3754" ht="18" customHeight="1">
      <x:c r="B3754" s="27" t="str">
        <x:v>A3748</x:v>
      </x:c>
      <x:c r="C3754" s="27" t="str">
        <x:v>facility</x:v>
      </x:c>
      <x:c r="D3754" s="27" t="str">
        <x:v>Facility row 56 utilization at most one</x:v>
      </x:c>
      <x:c r="E3754" s="27" t="n">
        <x:f>IF('Facility Load'!I56&lt;=1,1,0)</x:f>
        <x:v>1</x:v>
      </x:c>
      <x:c r="F3754" s="27" t="n">
        <x:v>1</x:v>
      </x:c>
      <x:c r="G3754" s="29" t="str">
        <x:f>IF(E3754=F3754,"PASS","FAIL")</x:f>
        <x:v>PASS</x:v>
      </x:c>
    </x:row>
    <x:row r="3755" ht="18" customHeight="1">
      <x:c r="B3755" s="27" t="str">
        <x:v>A3749</x:v>
      </x:c>
      <x:c r="C3755" s="27" t="str">
        <x:v>facility</x:v>
      </x:c>
      <x:c r="D3755" s="27" t="str">
        <x:v>Facility row 56 state open</x:v>
      </x:c>
      <x:c r="E3755" s="27" t="n">
        <x:f>IF('Facility Load'!J56="OPEN",1,0)</x:f>
        <x:v>1</x:v>
      </x:c>
      <x:c r="F3755" s="27" t="n">
        <x:v>1</x:v>
      </x:c>
      <x:c r="G3755" s="29" t="str">
        <x:f>IF(E3755=F3755,"PASS","FAIL")</x:f>
        <x:v>PASS</x:v>
      </x:c>
    </x:row>
    <x:row r="3756" ht="18" customHeight="1">
      <x:c r="B3756" s="27" t="str">
        <x:v>A3750</x:v>
      </x:c>
      <x:c r="C3756" s="27" t="str">
        <x:v>facility</x:v>
      </x:c>
      <x:c r="D3756" s="27" t="str">
        <x:v>Facility row 56 available decision</x:v>
      </x:c>
      <x:c r="E3756" s="27" t="n">
        <x:f>IF('Facility Load'!K56="AVAILABLE",1,0)</x:f>
        <x:v>1</x:v>
      </x:c>
      <x:c r="F3756" s="27" t="n">
        <x:v>1</x:v>
      </x:c>
      <x:c r="G3756" s="29" t="str">
        <x:f>IF(E3756=F3756,"PASS","FAIL")</x:f>
        <x:v>PASS</x:v>
      </x:c>
    </x:row>
    <x:row r="3757" ht="18" customHeight="1">
      <x:c r="B3757" s="27" t="str">
        <x:v>A3751</x:v>
      </x:c>
      <x:c r="C3757" s="27" t="str">
        <x:v>facility</x:v>
      </x:c>
      <x:c r="D3757" s="27" t="str">
        <x:v>Facility row 57 load nonnegative</x:v>
      </x:c>
      <x:c r="E3757" s="27" t="n">
        <x:f>IF('Facility Load'!G57&gt;=0,1,0)</x:f>
        <x:v>1</x:v>
      </x:c>
      <x:c r="F3757" s="27" t="n">
        <x:v>1</x:v>
      </x:c>
      <x:c r="G3757" s="29" t="str">
        <x:f>IF(E3757=F3757,"PASS","FAIL")</x:f>
        <x:v>PASS</x:v>
      </x:c>
    </x:row>
    <x:row r="3758" ht="18" customHeight="1">
      <x:c r="B3758" s="27" t="str">
        <x:v>A3752</x:v>
      </x:c>
      <x:c r="C3758" s="27" t="str">
        <x:v>facility</x:v>
      </x:c>
      <x:c r="D3758" s="27" t="str">
        <x:v>Facility row 57 reserve nonnegative</x:v>
      </x:c>
      <x:c r="E3758" s="27" t="n">
        <x:f>IF('Facility Load'!H57&gt;=0,1,0)</x:f>
        <x:v>1</x:v>
      </x:c>
      <x:c r="F3758" s="27" t="n">
        <x:v>1</x:v>
      </x:c>
      <x:c r="G3758" s="29" t="str">
        <x:f>IF(E3758=F3758,"PASS","FAIL")</x:f>
        <x:v>PASS</x:v>
      </x:c>
    </x:row>
    <x:row r="3759" ht="18" customHeight="1">
      <x:c r="B3759" s="27" t="str">
        <x:v>A3753</x:v>
      </x:c>
      <x:c r="C3759" s="27" t="str">
        <x:v>facility</x:v>
      </x:c>
      <x:c r="D3759" s="27" t="str">
        <x:v>Facility row 57 utilization at most one</x:v>
      </x:c>
      <x:c r="E3759" s="27" t="n">
        <x:f>IF('Facility Load'!I57&lt;=1,1,0)</x:f>
        <x:v>1</x:v>
      </x:c>
      <x:c r="F3759" s="27" t="n">
        <x:v>1</x:v>
      </x:c>
      <x:c r="G3759" s="29" t="str">
        <x:f>IF(E3759=F3759,"PASS","FAIL")</x:f>
        <x:v>PASS</x:v>
      </x:c>
    </x:row>
    <x:row r="3760" ht="18" customHeight="1">
      <x:c r="B3760" s="27" t="str">
        <x:v>A3754</x:v>
      </x:c>
      <x:c r="C3760" s="27" t="str">
        <x:v>facility</x:v>
      </x:c>
      <x:c r="D3760" s="27" t="str">
        <x:v>Facility row 57 state open</x:v>
      </x:c>
      <x:c r="E3760" s="27" t="n">
        <x:f>IF('Facility Load'!J57="OPEN",1,0)</x:f>
        <x:v>1</x:v>
      </x:c>
      <x:c r="F3760" s="27" t="n">
        <x:v>1</x:v>
      </x:c>
      <x:c r="G3760" s="29" t="str">
        <x:f>IF(E3760=F3760,"PASS","FAIL")</x:f>
        <x:v>PASS</x:v>
      </x:c>
    </x:row>
    <x:row r="3761" ht="18" customHeight="1">
      <x:c r="B3761" s="27" t="str">
        <x:v>A3755</x:v>
      </x:c>
      <x:c r="C3761" s="27" t="str">
        <x:v>facility</x:v>
      </x:c>
      <x:c r="D3761" s="27" t="str">
        <x:v>Facility row 57 available decision</x:v>
      </x:c>
      <x:c r="E3761" s="27" t="n">
        <x:f>IF('Facility Load'!K57="AVAILABLE",1,0)</x:f>
        <x:v>1</x:v>
      </x:c>
      <x:c r="F3761" s="27" t="n">
        <x:v>1</x:v>
      </x:c>
      <x:c r="G3761" s="29" t="str">
        <x:f>IF(E3761=F3761,"PASS","FAIL")</x:f>
        <x:v>PASS</x:v>
      </x:c>
    </x:row>
    <x:row r="3762" ht="18" customHeight="1">
      <x:c r="B3762" s="27" t="str">
        <x:v>A3756</x:v>
      </x:c>
      <x:c r="C3762" s="27" t="str">
        <x:v>facility</x:v>
      </x:c>
      <x:c r="D3762" s="27" t="str">
        <x:v>Facility row 58 load nonnegative</x:v>
      </x:c>
      <x:c r="E3762" s="27" t="n">
        <x:f>IF('Facility Load'!G58&gt;=0,1,0)</x:f>
        <x:v>1</x:v>
      </x:c>
      <x:c r="F3762" s="27" t="n">
        <x:v>1</x:v>
      </x:c>
      <x:c r="G3762" s="29" t="str">
        <x:f>IF(E3762=F3762,"PASS","FAIL")</x:f>
        <x:v>PASS</x:v>
      </x:c>
    </x:row>
    <x:row r="3763" ht="18" customHeight="1">
      <x:c r="B3763" s="27" t="str">
        <x:v>A3757</x:v>
      </x:c>
      <x:c r="C3763" s="27" t="str">
        <x:v>facility</x:v>
      </x:c>
      <x:c r="D3763" s="27" t="str">
        <x:v>Facility row 58 reserve nonnegative</x:v>
      </x:c>
      <x:c r="E3763" s="27" t="n">
        <x:f>IF('Facility Load'!H58&gt;=0,1,0)</x:f>
        <x:v>1</x:v>
      </x:c>
      <x:c r="F3763" s="27" t="n">
        <x:v>1</x:v>
      </x:c>
      <x:c r="G3763" s="29" t="str">
        <x:f>IF(E3763=F3763,"PASS","FAIL")</x:f>
        <x:v>PASS</x:v>
      </x:c>
    </x:row>
    <x:row r="3764" ht="18" customHeight="1">
      <x:c r="B3764" s="27" t="str">
        <x:v>A3758</x:v>
      </x:c>
      <x:c r="C3764" s="27" t="str">
        <x:v>facility</x:v>
      </x:c>
      <x:c r="D3764" s="27" t="str">
        <x:v>Facility row 58 utilization at most one</x:v>
      </x:c>
      <x:c r="E3764" s="27" t="n">
        <x:f>IF('Facility Load'!I58&lt;=1,1,0)</x:f>
        <x:v>1</x:v>
      </x:c>
      <x:c r="F3764" s="27" t="n">
        <x:v>1</x:v>
      </x:c>
      <x:c r="G3764" s="29" t="str">
        <x:f>IF(E3764=F3764,"PASS","FAIL")</x:f>
        <x:v>PASS</x:v>
      </x:c>
    </x:row>
    <x:row r="3765" ht="18" customHeight="1">
      <x:c r="B3765" s="27" t="str">
        <x:v>A3759</x:v>
      </x:c>
      <x:c r="C3765" s="27" t="str">
        <x:v>facility</x:v>
      </x:c>
      <x:c r="D3765" s="27" t="str">
        <x:v>Facility row 58 state open</x:v>
      </x:c>
      <x:c r="E3765" s="27" t="n">
        <x:f>IF('Facility Load'!J58="OPEN",1,0)</x:f>
        <x:v>1</x:v>
      </x:c>
      <x:c r="F3765" s="27" t="n">
        <x:v>1</x:v>
      </x:c>
      <x:c r="G3765" s="29" t="str">
        <x:f>IF(E3765=F3765,"PASS","FAIL")</x:f>
        <x:v>PASS</x:v>
      </x:c>
    </x:row>
    <x:row r="3766" ht="18" customHeight="1">
      <x:c r="B3766" s="27" t="str">
        <x:v>A3760</x:v>
      </x:c>
      <x:c r="C3766" s="27" t="str">
        <x:v>facility</x:v>
      </x:c>
      <x:c r="D3766" s="27" t="str">
        <x:v>Facility row 58 available decision</x:v>
      </x:c>
      <x:c r="E3766" s="27" t="n">
        <x:f>IF('Facility Load'!K58="AVAILABLE",1,0)</x:f>
        <x:v>1</x:v>
      </x:c>
      <x:c r="F3766" s="27" t="n">
        <x:v>1</x:v>
      </x:c>
      <x:c r="G3766" s="29" t="str">
        <x:f>IF(E3766=F3766,"PASS","FAIL")</x:f>
        <x:v>PASS</x:v>
      </x:c>
    </x:row>
    <x:row r="3767" ht="18" customHeight="1">
      <x:c r="B3767" s="27" t="str">
        <x:v>A3761</x:v>
      </x:c>
      <x:c r="C3767" s="27" t="str">
        <x:v>facility</x:v>
      </x:c>
      <x:c r="D3767" s="27" t="str">
        <x:v>Facility row 59 load nonnegative</x:v>
      </x:c>
      <x:c r="E3767" s="27" t="n">
        <x:f>IF('Facility Load'!G59&gt;=0,1,0)</x:f>
        <x:v>1</x:v>
      </x:c>
      <x:c r="F3767" s="27" t="n">
        <x:v>1</x:v>
      </x:c>
      <x:c r="G3767" s="29" t="str">
        <x:f>IF(E3767=F3767,"PASS","FAIL")</x:f>
        <x:v>PASS</x:v>
      </x:c>
    </x:row>
    <x:row r="3768" ht="18" customHeight="1">
      <x:c r="B3768" s="27" t="str">
        <x:v>A3762</x:v>
      </x:c>
      <x:c r="C3768" s="27" t="str">
        <x:v>facility</x:v>
      </x:c>
      <x:c r="D3768" s="27" t="str">
        <x:v>Facility row 59 reserve nonnegative</x:v>
      </x:c>
      <x:c r="E3768" s="27" t="n">
        <x:f>IF('Facility Load'!H59&gt;=0,1,0)</x:f>
        <x:v>1</x:v>
      </x:c>
      <x:c r="F3768" s="27" t="n">
        <x:v>1</x:v>
      </x:c>
      <x:c r="G3768" s="29" t="str">
        <x:f>IF(E3768=F3768,"PASS","FAIL")</x:f>
        <x:v>PASS</x:v>
      </x:c>
    </x:row>
    <x:row r="3769" ht="18" customHeight="1">
      <x:c r="B3769" s="27" t="str">
        <x:v>A3763</x:v>
      </x:c>
      <x:c r="C3769" s="27" t="str">
        <x:v>facility</x:v>
      </x:c>
      <x:c r="D3769" s="27" t="str">
        <x:v>Facility row 59 utilization at most one</x:v>
      </x:c>
      <x:c r="E3769" s="27" t="n">
        <x:f>IF('Facility Load'!I59&lt;=1,1,0)</x:f>
        <x:v>1</x:v>
      </x:c>
      <x:c r="F3769" s="27" t="n">
        <x:v>1</x:v>
      </x:c>
      <x:c r="G3769" s="29" t="str">
        <x:f>IF(E3769=F3769,"PASS","FAIL")</x:f>
        <x:v>PASS</x:v>
      </x:c>
    </x:row>
    <x:row r="3770" ht="18" customHeight="1">
      <x:c r="B3770" s="27" t="str">
        <x:v>A3764</x:v>
      </x:c>
      <x:c r="C3770" s="27" t="str">
        <x:v>facility</x:v>
      </x:c>
      <x:c r="D3770" s="27" t="str">
        <x:v>Facility row 59 state open</x:v>
      </x:c>
      <x:c r="E3770" s="27" t="n">
        <x:f>IF('Facility Load'!J59="OPEN",1,0)</x:f>
        <x:v>1</x:v>
      </x:c>
      <x:c r="F3770" s="27" t="n">
        <x:v>1</x:v>
      </x:c>
      <x:c r="G3770" s="29" t="str">
        <x:f>IF(E3770=F3770,"PASS","FAIL")</x:f>
        <x:v>PASS</x:v>
      </x:c>
    </x:row>
    <x:row r="3771" ht="18" customHeight="1">
      <x:c r="B3771" s="27" t="str">
        <x:v>A3765</x:v>
      </x:c>
      <x:c r="C3771" s="27" t="str">
        <x:v>facility</x:v>
      </x:c>
      <x:c r="D3771" s="27" t="str">
        <x:v>Facility row 59 available decision</x:v>
      </x:c>
      <x:c r="E3771" s="27" t="n">
        <x:f>IF('Facility Load'!K59="AVAILABLE",1,0)</x:f>
        <x:v>1</x:v>
      </x:c>
      <x:c r="F3771" s="27" t="n">
        <x:v>1</x:v>
      </x:c>
      <x:c r="G3771" s="29" t="str">
        <x:f>IF(E3771=F3771,"PASS","FAIL")</x:f>
        <x:v>PASS</x:v>
      </x:c>
    </x:row>
    <x:row r="3772" ht="18" customHeight="1">
      <x:c r="B3772" s="27" t="str">
        <x:v>A3766</x:v>
      </x:c>
      <x:c r="C3772" s="27" t="str">
        <x:v>facility</x:v>
      </x:c>
      <x:c r="D3772" s="27" t="str">
        <x:v>Facility row 60 load nonnegative</x:v>
      </x:c>
      <x:c r="E3772" s="27" t="n">
        <x:f>IF('Facility Load'!G60&gt;=0,1,0)</x:f>
        <x:v>1</x:v>
      </x:c>
      <x:c r="F3772" s="27" t="n">
        <x:v>1</x:v>
      </x:c>
      <x:c r="G3772" s="29" t="str">
        <x:f>IF(E3772=F3772,"PASS","FAIL")</x:f>
        <x:v>PASS</x:v>
      </x:c>
    </x:row>
    <x:row r="3773" ht="18" customHeight="1">
      <x:c r="B3773" s="27" t="str">
        <x:v>A3767</x:v>
      </x:c>
      <x:c r="C3773" s="27" t="str">
        <x:v>facility</x:v>
      </x:c>
      <x:c r="D3773" s="27" t="str">
        <x:v>Facility row 60 reserve nonnegative</x:v>
      </x:c>
      <x:c r="E3773" s="27" t="n">
        <x:f>IF('Facility Load'!H60&gt;=0,1,0)</x:f>
        <x:v>1</x:v>
      </x:c>
      <x:c r="F3773" s="27" t="n">
        <x:v>1</x:v>
      </x:c>
      <x:c r="G3773" s="29" t="str">
        <x:f>IF(E3773=F3773,"PASS","FAIL")</x:f>
        <x:v>PASS</x:v>
      </x:c>
    </x:row>
    <x:row r="3774" ht="18" customHeight="1">
      <x:c r="B3774" s="27" t="str">
        <x:v>A3768</x:v>
      </x:c>
      <x:c r="C3774" s="27" t="str">
        <x:v>facility</x:v>
      </x:c>
      <x:c r="D3774" s="27" t="str">
        <x:v>Facility row 60 utilization at most one</x:v>
      </x:c>
      <x:c r="E3774" s="27" t="n">
        <x:f>IF('Facility Load'!I60&lt;=1,1,0)</x:f>
        <x:v>1</x:v>
      </x:c>
      <x:c r="F3774" s="27" t="n">
        <x:v>1</x:v>
      </x:c>
      <x:c r="G3774" s="29" t="str">
        <x:f>IF(E3774=F3774,"PASS","FAIL")</x:f>
        <x:v>PASS</x:v>
      </x:c>
    </x:row>
    <x:row r="3775" ht="18" customHeight="1">
      <x:c r="B3775" s="27" t="str">
        <x:v>A3769</x:v>
      </x:c>
      <x:c r="C3775" s="27" t="str">
        <x:v>facility</x:v>
      </x:c>
      <x:c r="D3775" s="27" t="str">
        <x:v>Facility row 60 state open</x:v>
      </x:c>
      <x:c r="E3775" s="27" t="n">
        <x:f>IF('Facility Load'!J60="OPEN",1,0)</x:f>
        <x:v>1</x:v>
      </x:c>
      <x:c r="F3775" s="27" t="n">
        <x:v>1</x:v>
      </x:c>
      <x:c r="G3775" s="29" t="str">
        <x:f>IF(E3775=F3775,"PASS","FAIL")</x:f>
        <x:v>PASS</x:v>
      </x:c>
    </x:row>
    <x:row r="3776" ht="18" customHeight="1">
      <x:c r="B3776" s="27" t="str">
        <x:v>A3770</x:v>
      </x:c>
      <x:c r="C3776" s="27" t="str">
        <x:v>facility</x:v>
      </x:c>
      <x:c r="D3776" s="27" t="str">
        <x:v>Facility row 60 available decision</x:v>
      </x:c>
      <x:c r="E3776" s="27" t="n">
        <x:f>IF('Facility Load'!K60="AVAILABLE",1,0)</x:f>
        <x:v>1</x:v>
      </x:c>
      <x:c r="F3776" s="27" t="n">
        <x:v>1</x:v>
      </x:c>
      <x:c r="G3776" s="29" t="str">
        <x:f>IF(E3776=F3776,"PASS","FAIL")</x:f>
        <x:v>PASS</x:v>
      </x:c>
    </x:row>
    <x:row r="3777" ht="18" customHeight="1">
      <x:c r="B3777" s="27" t="str">
        <x:v>A3771</x:v>
      </x:c>
      <x:c r="C3777" s="27" t="str">
        <x:v>facility</x:v>
      </x:c>
      <x:c r="D3777" s="27" t="str">
        <x:v>Facility row 61 load nonnegative</x:v>
      </x:c>
      <x:c r="E3777" s="27" t="n">
        <x:f>IF('Facility Load'!G61&gt;=0,1,0)</x:f>
        <x:v>1</x:v>
      </x:c>
      <x:c r="F3777" s="27" t="n">
        <x:v>1</x:v>
      </x:c>
      <x:c r="G3777" s="29" t="str">
        <x:f>IF(E3777=F3777,"PASS","FAIL")</x:f>
        <x:v>PASS</x:v>
      </x:c>
    </x:row>
    <x:row r="3778" ht="18" customHeight="1">
      <x:c r="B3778" s="27" t="str">
        <x:v>A3772</x:v>
      </x:c>
      <x:c r="C3778" s="27" t="str">
        <x:v>facility</x:v>
      </x:c>
      <x:c r="D3778" s="27" t="str">
        <x:v>Facility row 61 reserve nonnegative</x:v>
      </x:c>
      <x:c r="E3778" s="27" t="n">
        <x:f>IF('Facility Load'!H61&gt;=0,1,0)</x:f>
        <x:v>1</x:v>
      </x:c>
      <x:c r="F3778" s="27" t="n">
        <x:v>1</x:v>
      </x:c>
      <x:c r="G3778" s="29" t="str">
        <x:f>IF(E3778=F3778,"PASS","FAIL")</x:f>
        <x:v>PASS</x:v>
      </x:c>
    </x:row>
    <x:row r="3779" ht="18" customHeight="1">
      <x:c r="B3779" s="27" t="str">
        <x:v>A3773</x:v>
      </x:c>
      <x:c r="C3779" s="27" t="str">
        <x:v>facility</x:v>
      </x:c>
      <x:c r="D3779" s="27" t="str">
        <x:v>Facility row 61 utilization at most one</x:v>
      </x:c>
      <x:c r="E3779" s="27" t="n">
        <x:f>IF('Facility Load'!I61&lt;=1,1,0)</x:f>
        <x:v>1</x:v>
      </x:c>
      <x:c r="F3779" s="27" t="n">
        <x:v>1</x:v>
      </x:c>
      <x:c r="G3779" s="29" t="str">
        <x:f>IF(E3779=F3779,"PASS","FAIL")</x:f>
        <x:v>PASS</x:v>
      </x:c>
    </x:row>
    <x:row r="3780" ht="18" customHeight="1">
      <x:c r="B3780" s="27" t="str">
        <x:v>A3774</x:v>
      </x:c>
      <x:c r="C3780" s="27" t="str">
        <x:v>facility</x:v>
      </x:c>
      <x:c r="D3780" s="27" t="str">
        <x:v>Facility row 61 state open</x:v>
      </x:c>
      <x:c r="E3780" s="27" t="n">
        <x:f>IF('Facility Load'!J61="OPEN",1,0)</x:f>
        <x:v>1</x:v>
      </x:c>
      <x:c r="F3780" s="27" t="n">
        <x:v>1</x:v>
      </x:c>
      <x:c r="G3780" s="29" t="str">
        <x:f>IF(E3780=F3780,"PASS","FAIL")</x:f>
        <x:v>PASS</x:v>
      </x:c>
    </x:row>
    <x:row r="3781" ht="18" customHeight="1">
      <x:c r="B3781" s="27" t="str">
        <x:v>A3775</x:v>
      </x:c>
      <x:c r="C3781" s="27" t="str">
        <x:v>facility</x:v>
      </x:c>
      <x:c r="D3781" s="27" t="str">
        <x:v>Facility row 61 available decision</x:v>
      </x:c>
      <x:c r="E3781" s="27" t="n">
        <x:f>IF('Facility Load'!K61="AVAILABLE",1,0)</x:f>
        <x:v>1</x:v>
      </x:c>
      <x:c r="F3781" s="27" t="n">
        <x:v>1</x:v>
      </x:c>
      <x:c r="G3781" s="29" t="str">
        <x:f>IF(E3781=F3781,"PASS","FAIL")</x:f>
        <x:v>PASS</x:v>
      </x:c>
    </x:row>
    <x:row r="3782" ht="18" customHeight="1">
      <x:c r="B3782" s="27" t="str">
        <x:v>A3776</x:v>
      </x:c>
      <x:c r="C3782" s="27" t="str">
        <x:v>facility</x:v>
      </x:c>
      <x:c r="D3782" s="27" t="str">
        <x:v>Facility row 62 load nonnegative</x:v>
      </x:c>
      <x:c r="E3782" s="27" t="n">
        <x:f>IF('Facility Load'!G62&gt;=0,1,0)</x:f>
        <x:v>1</x:v>
      </x:c>
      <x:c r="F3782" s="27" t="n">
        <x:v>1</x:v>
      </x:c>
      <x:c r="G3782" s="29" t="str">
        <x:f>IF(E3782=F3782,"PASS","FAIL")</x:f>
        <x:v>PASS</x:v>
      </x:c>
    </x:row>
    <x:row r="3783" ht="18" customHeight="1">
      <x:c r="B3783" s="27" t="str">
        <x:v>A3777</x:v>
      </x:c>
      <x:c r="C3783" s="27" t="str">
        <x:v>facility</x:v>
      </x:c>
      <x:c r="D3783" s="27" t="str">
        <x:v>Facility row 62 reserve nonnegative</x:v>
      </x:c>
      <x:c r="E3783" s="27" t="n">
        <x:f>IF('Facility Load'!H62&gt;=0,1,0)</x:f>
        <x:v>1</x:v>
      </x:c>
      <x:c r="F3783" s="27" t="n">
        <x:v>1</x:v>
      </x:c>
      <x:c r="G3783" s="29" t="str">
        <x:f>IF(E3783=F3783,"PASS","FAIL")</x:f>
        <x:v>PASS</x:v>
      </x:c>
    </x:row>
    <x:row r="3784" ht="18" customHeight="1">
      <x:c r="B3784" s="27" t="str">
        <x:v>A3778</x:v>
      </x:c>
      <x:c r="C3784" s="27" t="str">
        <x:v>facility</x:v>
      </x:c>
      <x:c r="D3784" s="27" t="str">
        <x:v>Facility row 62 utilization at most one</x:v>
      </x:c>
      <x:c r="E3784" s="27" t="n">
        <x:f>IF('Facility Load'!I62&lt;=1,1,0)</x:f>
        <x:v>1</x:v>
      </x:c>
      <x:c r="F3784" s="27" t="n">
        <x:v>1</x:v>
      </x:c>
      <x:c r="G3784" s="29" t="str">
        <x:f>IF(E3784=F3784,"PASS","FAIL")</x:f>
        <x:v>PASS</x:v>
      </x:c>
    </x:row>
    <x:row r="3785" ht="18" customHeight="1">
      <x:c r="B3785" s="27" t="str">
        <x:v>A3779</x:v>
      </x:c>
      <x:c r="C3785" s="27" t="str">
        <x:v>facility</x:v>
      </x:c>
      <x:c r="D3785" s="27" t="str">
        <x:v>Facility row 62 state open</x:v>
      </x:c>
      <x:c r="E3785" s="27" t="n">
        <x:f>IF('Facility Load'!J62="OPEN",1,0)</x:f>
        <x:v>1</x:v>
      </x:c>
      <x:c r="F3785" s="27" t="n">
        <x:v>1</x:v>
      </x:c>
      <x:c r="G3785" s="29" t="str">
        <x:f>IF(E3785=F3785,"PASS","FAIL")</x:f>
        <x:v>PASS</x:v>
      </x:c>
    </x:row>
    <x:row r="3786" ht="18" customHeight="1">
      <x:c r="B3786" s="27" t="str">
        <x:v>A3780</x:v>
      </x:c>
      <x:c r="C3786" s="27" t="str">
        <x:v>facility</x:v>
      </x:c>
      <x:c r="D3786" s="27" t="str">
        <x:v>Facility row 62 available decision</x:v>
      </x:c>
      <x:c r="E3786" s="27" t="n">
        <x:f>IF('Facility Load'!K62="AVAILABLE",1,0)</x:f>
        <x:v>1</x:v>
      </x:c>
      <x:c r="F3786" s="27" t="n">
        <x:v>1</x:v>
      </x:c>
      <x:c r="G3786" s="29" t="str">
        <x:f>IF(E3786=F3786,"PASS","FAIL")</x:f>
        <x:v>PASS</x:v>
      </x:c>
    </x:row>
    <x:row r="3787" ht="18" customHeight="1">
      <x:c r="B3787" s="27" t="str">
        <x:v>A3781</x:v>
      </x:c>
      <x:c r="C3787" s="27" t="str">
        <x:v>facility</x:v>
      </x:c>
      <x:c r="D3787" s="27" t="str">
        <x:v>Facility row 63 load nonnegative</x:v>
      </x:c>
      <x:c r="E3787" s="27" t="n">
        <x:f>IF('Facility Load'!G63&gt;=0,1,0)</x:f>
        <x:v>1</x:v>
      </x:c>
      <x:c r="F3787" s="27" t="n">
        <x:v>1</x:v>
      </x:c>
      <x:c r="G3787" s="29" t="str">
        <x:f>IF(E3787=F3787,"PASS","FAIL")</x:f>
        <x:v>PASS</x:v>
      </x:c>
    </x:row>
    <x:row r="3788" ht="18" customHeight="1">
      <x:c r="B3788" s="27" t="str">
        <x:v>A3782</x:v>
      </x:c>
      <x:c r="C3788" s="27" t="str">
        <x:v>facility</x:v>
      </x:c>
      <x:c r="D3788" s="27" t="str">
        <x:v>Facility row 63 reserve nonnegative</x:v>
      </x:c>
      <x:c r="E3788" s="27" t="n">
        <x:f>IF('Facility Load'!H63&gt;=0,1,0)</x:f>
        <x:v>1</x:v>
      </x:c>
      <x:c r="F3788" s="27" t="n">
        <x:v>1</x:v>
      </x:c>
      <x:c r="G3788" s="29" t="str">
        <x:f>IF(E3788=F3788,"PASS","FAIL")</x:f>
        <x:v>PASS</x:v>
      </x:c>
    </x:row>
    <x:row r="3789" ht="18" customHeight="1">
      <x:c r="B3789" s="27" t="str">
        <x:v>A3783</x:v>
      </x:c>
      <x:c r="C3789" s="27" t="str">
        <x:v>facility</x:v>
      </x:c>
      <x:c r="D3789" s="27" t="str">
        <x:v>Facility row 63 utilization at most one</x:v>
      </x:c>
      <x:c r="E3789" s="27" t="n">
        <x:f>IF('Facility Load'!I63&lt;=1,1,0)</x:f>
        <x:v>1</x:v>
      </x:c>
      <x:c r="F3789" s="27" t="n">
        <x:v>1</x:v>
      </x:c>
      <x:c r="G3789" s="29" t="str">
        <x:f>IF(E3789=F3789,"PASS","FAIL")</x:f>
        <x:v>PASS</x:v>
      </x:c>
    </x:row>
    <x:row r="3790" ht="18" customHeight="1">
      <x:c r="B3790" s="27" t="str">
        <x:v>A3784</x:v>
      </x:c>
      <x:c r="C3790" s="27" t="str">
        <x:v>facility</x:v>
      </x:c>
      <x:c r="D3790" s="27" t="str">
        <x:v>Facility row 63 state open</x:v>
      </x:c>
      <x:c r="E3790" s="27" t="n">
        <x:f>IF('Facility Load'!J63="OPEN",1,0)</x:f>
        <x:v>1</x:v>
      </x:c>
      <x:c r="F3790" s="27" t="n">
        <x:v>1</x:v>
      </x:c>
      <x:c r="G3790" s="29" t="str">
        <x:f>IF(E3790=F3790,"PASS","FAIL")</x:f>
        <x:v>PASS</x:v>
      </x:c>
    </x:row>
    <x:row r="3791" ht="18" customHeight="1">
      <x:c r="B3791" s="27" t="str">
        <x:v>A3785</x:v>
      </x:c>
      <x:c r="C3791" s="27" t="str">
        <x:v>facility</x:v>
      </x:c>
      <x:c r="D3791" s="27" t="str">
        <x:v>Facility row 63 available decision</x:v>
      </x:c>
      <x:c r="E3791" s="27" t="n">
        <x:f>IF('Facility Load'!K63="AVAILABLE",1,0)</x:f>
        <x:v>1</x:v>
      </x:c>
      <x:c r="F3791" s="27" t="n">
        <x:v>1</x:v>
      </x:c>
      <x:c r="G3791" s="29" t="str">
        <x:f>IF(E3791=F3791,"PASS","FAIL")</x:f>
        <x:v>PASS</x:v>
      </x:c>
    </x:row>
    <x:row r="3792" ht="18" customHeight="1">
      <x:c r="B3792" s="27" t="str">
        <x:v>A3786</x:v>
      </x:c>
      <x:c r="C3792" s="27" t="str">
        <x:v>facility</x:v>
      </x:c>
      <x:c r="D3792" s="27" t="str">
        <x:v>Facility row 64 load nonnegative</x:v>
      </x:c>
      <x:c r="E3792" s="27" t="n">
        <x:f>IF('Facility Load'!G64&gt;=0,1,0)</x:f>
        <x:v>1</x:v>
      </x:c>
      <x:c r="F3792" s="27" t="n">
        <x:v>1</x:v>
      </x:c>
      <x:c r="G3792" s="29" t="str">
        <x:f>IF(E3792=F3792,"PASS","FAIL")</x:f>
        <x:v>PASS</x:v>
      </x:c>
    </x:row>
    <x:row r="3793" ht="18" customHeight="1">
      <x:c r="B3793" s="27" t="str">
        <x:v>A3787</x:v>
      </x:c>
      <x:c r="C3793" s="27" t="str">
        <x:v>facility</x:v>
      </x:c>
      <x:c r="D3793" s="27" t="str">
        <x:v>Facility row 64 reserve nonnegative</x:v>
      </x:c>
      <x:c r="E3793" s="27" t="n">
        <x:f>IF('Facility Load'!H64&gt;=0,1,0)</x:f>
        <x:v>1</x:v>
      </x:c>
      <x:c r="F3793" s="27" t="n">
        <x:v>1</x:v>
      </x:c>
      <x:c r="G3793" s="29" t="str">
        <x:f>IF(E3793=F3793,"PASS","FAIL")</x:f>
        <x:v>PASS</x:v>
      </x:c>
    </x:row>
    <x:row r="3794" ht="18" customHeight="1">
      <x:c r="B3794" s="27" t="str">
        <x:v>A3788</x:v>
      </x:c>
      <x:c r="C3794" s="27" t="str">
        <x:v>facility</x:v>
      </x:c>
      <x:c r="D3794" s="27" t="str">
        <x:v>Facility row 64 utilization at most one</x:v>
      </x:c>
      <x:c r="E3794" s="27" t="n">
        <x:f>IF('Facility Load'!I64&lt;=1,1,0)</x:f>
        <x:v>1</x:v>
      </x:c>
      <x:c r="F3794" s="27" t="n">
        <x:v>1</x:v>
      </x:c>
      <x:c r="G3794" s="29" t="str">
        <x:f>IF(E3794=F3794,"PASS","FAIL")</x:f>
        <x:v>PASS</x:v>
      </x:c>
    </x:row>
    <x:row r="3795" ht="18" customHeight="1">
      <x:c r="B3795" s="27" t="str">
        <x:v>A3789</x:v>
      </x:c>
      <x:c r="C3795" s="27" t="str">
        <x:v>facility</x:v>
      </x:c>
      <x:c r="D3795" s="27" t="str">
        <x:v>Facility row 64 state open</x:v>
      </x:c>
      <x:c r="E3795" s="27" t="n">
        <x:f>IF('Facility Load'!J64="OPEN",1,0)</x:f>
        <x:v>1</x:v>
      </x:c>
      <x:c r="F3795" s="27" t="n">
        <x:v>1</x:v>
      </x:c>
      <x:c r="G3795" s="29" t="str">
        <x:f>IF(E3795=F3795,"PASS","FAIL")</x:f>
        <x:v>PASS</x:v>
      </x:c>
    </x:row>
    <x:row r="3796" ht="18" customHeight="1">
      <x:c r="B3796" s="27" t="str">
        <x:v>A3790</x:v>
      </x:c>
      <x:c r="C3796" s="27" t="str">
        <x:v>facility</x:v>
      </x:c>
      <x:c r="D3796" s="27" t="str">
        <x:v>Facility row 64 available decision</x:v>
      </x:c>
      <x:c r="E3796" s="27" t="n">
        <x:f>IF('Facility Load'!K64="AVAILABLE",1,0)</x:f>
        <x:v>1</x:v>
      </x:c>
      <x:c r="F3796" s="27" t="n">
        <x:v>1</x:v>
      </x:c>
      <x:c r="G3796" s="29" t="str">
        <x:f>IF(E3796=F3796,"PASS","FAIL")</x:f>
        <x:v>PASS</x:v>
      </x:c>
    </x:row>
    <x:row r="3797" ht="18" customHeight="1">
      <x:c r="B3797" s="27" t="str">
        <x:v>A3791</x:v>
      </x:c>
      <x:c r="C3797" s="27" t="str">
        <x:v>facility</x:v>
      </x:c>
      <x:c r="D3797" s="27" t="str">
        <x:v>Facility row 65 load nonnegative</x:v>
      </x:c>
      <x:c r="E3797" s="27" t="n">
        <x:f>IF('Facility Load'!G65&gt;=0,1,0)</x:f>
        <x:v>1</x:v>
      </x:c>
      <x:c r="F3797" s="27" t="n">
        <x:v>1</x:v>
      </x:c>
      <x:c r="G3797" s="29" t="str">
        <x:f>IF(E3797=F3797,"PASS","FAIL")</x:f>
        <x:v>PASS</x:v>
      </x:c>
    </x:row>
    <x:row r="3798" ht="18" customHeight="1">
      <x:c r="B3798" s="27" t="str">
        <x:v>A3792</x:v>
      </x:c>
      <x:c r="C3798" s="27" t="str">
        <x:v>facility</x:v>
      </x:c>
      <x:c r="D3798" s="27" t="str">
        <x:v>Facility row 65 reserve nonnegative</x:v>
      </x:c>
      <x:c r="E3798" s="27" t="n">
        <x:f>IF('Facility Load'!H65&gt;=0,1,0)</x:f>
        <x:v>1</x:v>
      </x:c>
      <x:c r="F3798" s="27" t="n">
        <x:v>1</x:v>
      </x:c>
      <x:c r="G3798" s="29" t="str">
        <x:f>IF(E3798=F3798,"PASS","FAIL")</x:f>
        <x:v>PASS</x:v>
      </x:c>
    </x:row>
    <x:row r="3799" ht="18" customHeight="1">
      <x:c r="B3799" s="27" t="str">
        <x:v>A3793</x:v>
      </x:c>
      <x:c r="C3799" s="27" t="str">
        <x:v>facility</x:v>
      </x:c>
      <x:c r="D3799" s="27" t="str">
        <x:v>Facility row 65 utilization at most one</x:v>
      </x:c>
      <x:c r="E3799" s="27" t="n">
        <x:f>IF('Facility Load'!I65&lt;=1,1,0)</x:f>
        <x:v>1</x:v>
      </x:c>
      <x:c r="F3799" s="27" t="n">
        <x:v>1</x:v>
      </x:c>
      <x:c r="G3799" s="29" t="str">
        <x:f>IF(E3799=F3799,"PASS","FAIL")</x:f>
        <x:v>PASS</x:v>
      </x:c>
    </x:row>
    <x:row r="3800" ht="18" customHeight="1">
      <x:c r="B3800" s="27" t="str">
        <x:v>A3794</x:v>
      </x:c>
      <x:c r="C3800" s="27" t="str">
        <x:v>facility</x:v>
      </x:c>
      <x:c r="D3800" s="27" t="str">
        <x:v>Facility row 65 state open</x:v>
      </x:c>
      <x:c r="E3800" s="27" t="n">
        <x:f>IF('Facility Load'!J65="OPEN",1,0)</x:f>
        <x:v>1</x:v>
      </x:c>
      <x:c r="F3800" s="27" t="n">
        <x:v>1</x:v>
      </x:c>
      <x:c r="G3800" s="29" t="str">
        <x:f>IF(E3800=F3800,"PASS","FAIL")</x:f>
        <x:v>PASS</x:v>
      </x:c>
    </x:row>
    <x:row r="3801" ht="18" customHeight="1">
      <x:c r="B3801" s="27" t="str">
        <x:v>A3795</x:v>
      </x:c>
      <x:c r="C3801" s="27" t="str">
        <x:v>facility</x:v>
      </x:c>
      <x:c r="D3801" s="27" t="str">
        <x:v>Facility row 65 available decision</x:v>
      </x:c>
      <x:c r="E3801" s="27" t="n">
        <x:f>IF('Facility Load'!K65="AVAILABLE",1,0)</x:f>
        <x:v>1</x:v>
      </x:c>
      <x:c r="F3801" s="27" t="n">
        <x:v>1</x:v>
      </x:c>
      <x:c r="G3801" s="29" t="str">
        <x:f>IF(E3801=F3801,"PASS","FAIL")</x:f>
        <x:v>PASS</x:v>
      </x:c>
    </x:row>
    <x:row r="3802" ht="18" customHeight="1">
      <x:c r="B3802" s="27" t="str">
        <x:v>A3796</x:v>
      </x:c>
      <x:c r="C3802" s="27" t="str">
        <x:v>facility</x:v>
      </x:c>
      <x:c r="D3802" s="27" t="str">
        <x:v>Facility row 66 load nonnegative</x:v>
      </x:c>
      <x:c r="E3802" s="27" t="n">
        <x:f>IF('Facility Load'!G66&gt;=0,1,0)</x:f>
        <x:v>1</x:v>
      </x:c>
      <x:c r="F3802" s="27" t="n">
        <x:v>1</x:v>
      </x:c>
      <x:c r="G3802" s="29" t="str">
        <x:f>IF(E3802=F3802,"PASS","FAIL")</x:f>
        <x:v>PASS</x:v>
      </x:c>
    </x:row>
    <x:row r="3803" ht="18" customHeight="1">
      <x:c r="B3803" s="27" t="str">
        <x:v>A3797</x:v>
      </x:c>
      <x:c r="C3803" s="27" t="str">
        <x:v>facility</x:v>
      </x:c>
      <x:c r="D3803" s="27" t="str">
        <x:v>Facility row 66 reserve nonnegative</x:v>
      </x:c>
      <x:c r="E3803" s="27" t="n">
        <x:f>IF('Facility Load'!H66&gt;=0,1,0)</x:f>
        <x:v>1</x:v>
      </x:c>
      <x:c r="F3803" s="27" t="n">
        <x:v>1</x:v>
      </x:c>
      <x:c r="G3803" s="29" t="str">
        <x:f>IF(E3803=F3803,"PASS","FAIL")</x:f>
        <x:v>PASS</x:v>
      </x:c>
    </x:row>
    <x:row r="3804" ht="18" customHeight="1">
      <x:c r="B3804" s="27" t="str">
        <x:v>A3798</x:v>
      </x:c>
      <x:c r="C3804" s="27" t="str">
        <x:v>facility</x:v>
      </x:c>
      <x:c r="D3804" s="27" t="str">
        <x:v>Facility row 66 utilization at most one</x:v>
      </x:c>
      <x:c r="E3804" s="27" t="n">
        <x:f>IF('Facility Load'!I66&lt;=1,1,0)</x:f>
        <x:v>1</x:v>
      </x:c>
      <x:c r="F3804" s="27" t="n">
        <x:v>1</x:v>
      </x:c>
      <x:c r="G3804" s="29" t="str">
        <x:f>IF(E3804=F3804,"PASS","FAIL")</x:f>
        <x:v>PASS</x:v>
      </x:c>
    </x:row>
    <x:row r="3805" ht="18" customHeight="1">
      <x:c r="B3805" s="27" t="str">
        <x:v>A3799</x:v>
      </x:c>
      <x:c r="C3805" s="27" t="str">
        <x:v>facility</x:v>
      </x:c>
      <x:c r="D3805" s="27" t="str">
        <x:v>Facility row 66 state open</x:v>
      </x:c>
      <x:c r="E3805" s="27" t="n">
        <x:f>IF('Facility Load'!J66="OPEN",1,0)</x:f>
        <x:v>1</x:v>
      </x:c>
      <x:c r="F3805" s="27" t="n">
        <x:v>1</x:v>
      </x:c>
      <x:c r="G3805" s="29" t="str">
        <x:f>IF(E3805=F3805,"PASS","FAIL")</x:f>
        <x:v>PASS</x:v>
      </x:c>
    </x:row>
    <x:row r="3806" ht="18" customHeight="1">
      <x:c r="B3806" s="27" t="str">
        <x:v>A3800</x:v>
      </x:c>
      <x:c r="C3806" s="27" t="str">
        <x:v>facility</x:v>
      </x:c>
      <x:c r="D3806" s="27" t="str">
        <x:v>Facility row 66 available decision</x:v>
      </x:c>
      <x:c r="E3806" s="27" t="n">
        <x:f>IF('Facility Load'!K66="AVAILABLE",1,0)</x:f>
        <x:v>1</x:v>
      </x:c>
      <x:c r="F3806" s="27" t="n">
        <x:v>1</x:v>
      </x:c>
      <x:c r="G3806" s="29" t="str">
        <x:f>IF(E3806=F3806,"PASS","FAIL")</x:f>
        <x:v>PASS</x:v>
      </x:c>
    </x:row>
    <x:row r="3807" ht="18" customHeight="1">
      <x:c r="B3807" s="27" t="str">
        <x:v>A3801</x:v>
      </x:c>
      <x:c r="C3807" s="27" t="str">
        <x:v>facility</x:v>
      </x:c>
      <x:c r="D3807" s="27" t="str">
        <x:v>Facility row 67 load nonnegative</x:v>
      </x:c>
      <x:c r="E3807" s="27" t="n">
        <x:f>IF('Facility Load'!G67&gt;=0,1,0)</x:f>
        <x:v>1</x:v>
      </x:c>
      <x:c r="F3807" s="27" t="n">
        <x:v>1</x:v>
      </x:c>
      <x:c r="G3807" s="29" t="str">
        <x:f>IF(E3807=F3807,"PASS","FAIL")</x:f>
        <x:v>PASS</x:v>
      </x:c>
    </x:row>
    <x:row r="3808" ht="18" customHeight="1">
      <x:c r="B3808" s="27" t="str">
        <x:v>A3802</x:v>
      </x:c>
      <x:c r="C3808" s="27" t="str">
        <x:v>facility</x:v>
      </x:c>
      <x:c r="D3808" s="27" t="str">
        <x:v>Facility row 67 reserve nonnegative</x:v>
      </x:c>
      <x:c r="E3808" s="27" t="n">
        <x:f>IF('Facility Load'!H67&gt;=0,1,0)</x:f>
        <x:v>1</x:v>
      </x:c>
      <x:c r="F3808" s="27" t="n">
        <x:v>1</x:v>
      </x:c>
      <x:c r="G3808" s="29" t="str">
        <x:f>IF(E3808=F3808,"PASS","FAIL")</x:f>
        <x:v>PASS</x:v>
      </x:c>
    </x:row>
    <x:row r="3809" ht="18" customHeight="1">
      <x:c r="B3809" s="27" t="str">
        <x:v>A3803</x:v>
      </x:c>
      <x:c r="C3809" s="27" t="str">
        <x:v>facility</x:v>
      </x:c>
      <x:c r="D3809" s="27" t="str">
        <x:v>Facility row 67 utilization at most one</x:v>
      </x:c>
      <x:c r="E3809" s="27" t="n">
        <x:f>IF('Facility Load'!I67&lt;=1,1,0)</x:f>
        <x:v>1</x:v>
      </x:c>
      <x:c r="F3809" s="27" t="n">
        <x:v>1</x:v>
      </x:c>
      <x:c r="G3809" s="29" t="str">
        <x:f>IF(E3809=F3809,"PASS","FAIL")</x:f>
        <x:v>PASS</x:v>
      </x:c>
    </x:row>
    <x:row r="3810" ht="18" customHeight="1">
      <x:c r="B3810" s="27" t="str">
        <x:v>A3804</x:v>
      </x:c>
      <x:c r="C3810" s="27" t="str">
        <x:v>facility</x:v>
      </x:c>
      <x:c r="D3810" s="27" t="str">
        <x:v>Facility row 67 state open</x:v>
      </x:c>
      <x:c r="E3810" s="27" t="n">
        <x:f>IF('Facility Load'!J67="OPEN",1,0)</x:f>
        <x:v>1</x:v>
      </x:c>
      <x:c r="F3810" s="27" t="n">
        <x:v>1</x:v>
      </x:c>
      <x:c r="G3810" s="29" t="str">
        <x:f>IF(E3810=F3810,"PASS","FAIL")</x:f>
        <x:v>PASS</x:v>
      </x:c>
    </x:row>
    <x:row r="3811" ht="18" customHeight="1">
      <x:c r="B3811" s="27" t="str">
        <x:v>A3805</x:v>
      </x:c>
      <x:c r="C3811" s="27" t="str">
        <x:v>facility</x:v>
      </x:c>
      <x:c r="D3811" s="27" t="str">
        <x:v>Facility row 67 available decision</x:v>
      </x:c>
      <x:c r="E3811" s="27" t="n">
        <x:f>IF('Facility Load'!K67="AVAILABLE",1,0)</x:f>
        <x:v>1</x:v>
      </x:c>
      <x:c r="F3811" s="27" t="n">
        <x:v>1</x:v>
      </x:c>
      <x:c r="G3811" s="29" t="str">
        <x:f>IF(E3811=F3811,"PASS","FAIL")</x:f>
        <x:v>PASS</x:v>
      </x:c>
    </x:row>
    <x:row r="3812" ht="18" customHeight="1">
      <x:c r="B3812" s="27" t="str">
        <x:v>A3806</x:v>
      </x:c>
      <x:c r="C3812" s="27" t="str">
        <x:v>facility</x:v>
      </x:c>
      <x:c r="D3812" s="27" t="str">
        <x:v>Facility row 68 load nonnegative</x:v>
      </x:c>
      <x:c r="E3812" s="27" t="n">
        <x:f>IF('Facility Load'!G68&gt;=0,1,0)</x:f>
        <x:v>1</x:v>
      </x:c>
      <x:c r="F3812" s="27" t="n">
        <x:v>1</x:v>
      </x:c>
      <x:c r="G3812" s="29" t="str">
        <x:f>IF(E3812=F3812,"PASS","FAIL")</x:f>
        <x:v>PASS</x:v>
      </x:c>
    </x:row>
    <x:row r="3813" ht="18" customHeight="1">
      <x:c r="B3813" s="27" t="str">
        <x:v>A3807</x:v>
      </x:c>
      <x:c r="C3813" s="27" t="str">
        <x:v>facility</x:v>
      </x:c>
      <x:c r="D3813" s="27" t="str">
        <x:v>Facility row 68 reserve nonnegative</x:v>
      </x:c>
      <x:c r="E3813" s="27" t="n">
        <x:f>IF('Facility Load'!H68&gt;=0,1,0)</x:f>
        <x:v>1</x:v>
      </x:c>
      <x:c r="F3813" s="27" t="n">
        <x:v>1</x:v>
      </x:c>
      <x:c r="G3813" s="29" t="str">
        <x:f>IF(E3813=F3813,"PASS","FAIL")</x:f>
        <x:v>PASS</x:v>
      </x:c>
    </x:row>
    <x:row r="3814" ht="18" customHeight="1">
      <x:c r="B3814" s="27" t="str">
        <x:v>A3808</x:v>
      </x:c>
      <x:c r="C3814" s="27" t="str">
        <x:v>facility</x:v>
      </x:c>
      <x:c r="D3814" s="27" t="str">
        <x:v>Facility row 68 utilization at most one</x:v>
      </x:c>
      <x:c r="E3814" s="27" t="n">
        <x:f>IF('Facility Load'!I68&lt;=1,1,0)</x:f>
        <x:v>1</x:v>
      </x:c>
      <x:c r="F3814" s="27" t="n">
        <x:v>1</x:v>
      </x:c>
      <x:c r="G3814" s="29" t="str">
        <x:f>IF(E3814=F3814,"PASS","FAIL")</x:f>
        <x:v>PASS</x:v>
      </x:c>
    </x:row>
    <x:row r="3815" ht="18" customHeight="1">
      <x:c r="B3815" s="27" t="str">
        <x:v>A3809</x:v>
      </x:c>
      <x:c r="C3815" s="27" t="str">
        <x:v>facility</x:v>
      </x:c>
      <x:c r="D3815" s="27" t="str">
        <x:v>Facility row 68 state open</x:v>
      </x:c>
      <x:c r="E3815" s="27" t="n">
        <x:f>IF('Facility Load'!J68="OPEN",1,0)</x:f>
        <x:v>1</x:v>
      </x:c>
      <x:c r="F3815" s="27" t="n">
        <x:v>1</x:v>
      </x:c>
      <x:c r="G3815" s="29" t="str">
        <x:f>IF(E3815=F3815,"PASS","FAIL")</x:f>
        <x:v>PASS</x:v>
      </x:c>
    </x:row>
    <x:row r="3816" ht="18" customHeight="1">
      <x:c r="B3816" s="27" t="str">
        <x:v>A3810</x:v>
      </x:c>
      <x:c r="C3816" s="27" t="str">
        <x:v>facility</x:v>
      </x:c>
      <x:c r="D3816" s="27" t="str">
        <x:v>Facility row 68 available decision</x:v>
      </x:c>
      <x:c r="E3816" s="27" t="n">
        <x:f>IF('Facility Load'!K68="AVAILABLE",1,0)</x:f>
        <x:v>1</x:v>
      </x:c>
      <x:c r="F3816" s="27" t="n">
        <x:v>1</x:v>
      </x:c>
      <x:c r="G3816" s="29" t="str">
        <x:f>IF(E3816=F3816,"PASS","FAIL")</x:f>
        <x:v>PASS</x:v>
      </x:c>
    </x:row>
    <x:row r="3817" ht="18" customHeight="1">
      <x:c r="B3817" s="27" t="str">
        <x:v>A3811</x:v>
      </x:c>
      <x:c r="C3817" s="27" t="str">
        <x:v>facility</x:v>
      </x:c>
      <x:c r="D3817" s="27" t="str">
        <x:v>Facility row 69 load nonnegative</x:v>
      </x:c>
      <x:c r="E3817" s="27" t="n">
        <x:f>IF('Facility Load'!G69&gt;=0,1,0)</x:f>
        <x:v>1</x:v>
      </x:c>
      <x:c r="F3817" s="27" t="n">
        <x:v>1</x:v>
      </x:c>
      <x:c r="G3817" s="29" t="str">
        <x:f>IF(E3817=F3817,"PASS","FAIL")</x:f>
        <x:v>PASS</x:v>
      </x:c>
    </x:row>
    <x:row r="3818" ht="18" customHeight="1">
      <x:c r="B3818" s="27" t="str">
        <x:v>A3812</x:v>
      </x:c>
      <x:c r="C3818" s="27" t="str">
        <x:v>facility</x:v>
      </x:c>
      <x:c r="D3818" s="27" t="str">
        <x:v>Facility row 69 reserve nonnegative</x:v>
      </x:c>
      <x:c r="E3818" s="27" t="n">
        <x:f>IF('Facility Load'!H69&gt;=0,1,0)</x:f>
        <x:v>1</x:v>
      </x:c>
      <x:c r="F3818" s="27" t="n">
        <x:v>1</x:v>
      </x:c>
      <x:c r="G3818" s="29" t="str">
        <x:f>IF(E3818=F3818,"PASS","FAIL")</x:f>
        <x:v>PASS</x:v>
      </x:c>
    </x:row>
    <x:row r="3819" ht="18" customHeight="1">
      <x:c r="B3819" s="27" t="str">
        <x:v>A3813</x:v>
      </x:c>
      <x:c r="C3819" s="27" t="str">
        <x:v>facility</x:v>
      </x:c>
      <x:c r="D3819" s="27" t="str">
        <x:v>Facility row 69 utilization at most one</x:v>
      </x:c>
      <x:c r="E3819" s="27" t="n">
        <x:f>IF('Facility Load'!I69&lt;=1,1,0)</x:f>
        <x:v>1</x:v>
      </x:c>
      <x:c r="F3819" s="27" t="n">
        <x:v>1</x:v>
      </x:c>
      <x:c r="G3819" s="29" t="str">
        <x:f>IF(E3819=F3819,"PASS","FAIL")</x:f>
        <x:v>PASS</x:v>
      </x:c>
    </x:row>
    <x:row r="3820" ht="18" customHeight="1">
      <x:c r="B3820" s="27" t="str">
        <x:v>A3814</x:v>
      </x:c>
      <x:c r="C3820" s="27" t="str">
        <x:v>facility</x:v>
      </x:c>
      <x:c r="D3820" s="27" t="str">
        <x:v>Facility row 69 state open</x:v>
      </x:c>
      <x:c r="E3820" s="27" t="n">
        <x:f>IF('Facility Load'!J69="OPEN",1,0)</x:f>
        <x:v>1</x:v>
      </x:c>
      <x:c r="F3820" s="27" t="n">
        <x:v>1</x:v>
      </x:c>
      <x:c r="G3820" s="29" t="str">
        <x:f>IF(E3820=F3820,"PASS","FAIL")</x:f>
        <x:v>PASS</x:v>
      </x:c>
    </x:row>
    <x:row r="3821" ht="18" customHeight="1">
      <x:c r="B3821" s="27" t="str">
        <x:v>A3815</x:v>
      </x:c>
      <x:c r="C3821" s="27" t="str">
        <x:v>facility</x:v>
      </x:c>
      <x:c r="D3821" s="27" t="str">
        <x:v>Facility row 69 available decision</x:v>
      </x:c>
      <x:c r="E3821" s="27" t="n">
        <x:f>IF('Facility Load'!K69="AVAILABLE",1,0)</x:f>
        <x:v>1</x:v>
      </x:c>
      <x:c r="F3821" s="27" t="n">
        <x:v>1</x:v>
      </x:c>
      <x:c r="G3821" s="29" t="str">
        <x:f>IF(E3821=F3821,"PASS","FAIL")</x:f>
        <x:v>PASS</x:v>
      </x:c>
    </x:row>
    <x:row r="3822" ht="18" customHeight="1">
      <x:c r="B3822" s="27" t="str">
        <x:v>A3816</x:v>
      </x:c>
      <x:c r="C3822" s="27" t="str">
        <x:v>facility</x:v>
      </x:c>
      <x:c r="D3822" s="27" t="str">
        <x:v>Facility row 70 load nonnegative</x:v>
      </x:c>
      <x:c r="E3822" s="27" t="n">
        <x:f>IF('Facility Load'!G70&gt;=0,1,0)</x:f>
        <x:v>1</x:v>
      </x:c>
      <x:c r="F3822" s="27" t="n">
        <x:v>1</x:v>
      </x:c>
      <x:c r="G3822" s="29" t="str">
        <x:f>IF(E3822=F3822,"PASS","FAIL")</x:f>
        <x:v>PASS</x:v>
      </x:c>
    </x:row>
    <x:row r="3823" ht="18" customHeight="1">
      <x:c r="B3823" s="27" t="str">
        <x:v>A3817</x:v>
      </x:c>
      <x:c r="C3823" s="27" t="str">
        <x:v>facility</x:v>
      </x:c>
      <x:c r="D3823" s="27" t="str">
        <x:v>Facility row 70 reserve nonnegative</x:v>
      </x:c>
      <x:c r="E3823" s="27" t="n">
        <x:f>IF('Facility Load'!H70&gt;=0,1,0)</x:f>
        <x:v>1</x:v>
      </x:c>
      <x:c r="F3823" s="27" t="n">
        <x:v>1</x:v>
      </x:c>
      <x:c r="G3823" s="29" t="str">
        <x:f>IF(E3823=F3823,"PASS","FAIL")</x:f>
        <x:v>PASS</x:v>
      </x:c>
    </x:row>
    <x:row r="3824" ht="18" customHeight="1">
      <x:c r="B3824" s="27" t="str">
        <x:v>A3818</x:v>
      </x:c>
      <x:c r="C3824" s="27" t="str">
        <x:v>facility</x:v>
      </x:c>
      <x:c r="D3824" s="27" t="str">
        <x:v>Facility row 70 utilization at most one</x:v>
      </x:c>
      <x:c r="E3824" s="27" t="n">
        <x:f>IF('Facility Load'!I70&lt;=1,1,0)</x:f>
        <x:v>1</x:v>
      </x:c>
      <x:c r="F3824" s="27" t="n">
        <x:v>1</x:v>
      </x:c>
      <x:c r="G3824" s="29" t="str">
        <x:f>IF(E3824=F3824,"PASS","FAIL")</x:f>
        <x:v>PASS</x:v>
      </x:c>
    </x:row>
    <x:row r="3825" ht="18" customHeight="1">
      <x:c r="B3825" s="27" t="str">
        <x:v>A3819</x:v>
      </x:c>
      <x:c r="C3825" s="27" t="str">
        <x:v>facility</x:v>
      </x:c>
      <x:c r="D3825" s="27" t="str">
        <x:v>Facility row 70 state open</x:v>
      </x:c>
      <x:c r="E3825" s="27" t="n">
        <x:f>IF('Facility Load'!J70="OPEN",1,0)</x:f>
        <x:v>1</x:v>
      </x:c>
      <x:c r="F3825" s="27" t="n">
        <x:v>1</x:v>
      </x:c>
      <x:c r="G3825" s="29" t="str">
        <x:f>IF(E3825=F3825,"PASS","FAIL")</x:f>
        <x:v>PASS</x:v>
      </x:c>
    </x:row>
    <x:row r="3826" ht="18" customHeight="1">
      <x:c r="B3826" s="27" t="str">
        <x:v>A3820</x:v>
      </x:c>
      <x:c r="C3826" s="27" t="str">
        <x:v>facility</x:v>
      </x:c>
      <x:c r="D3826" s="27" t="str">
        <x:v>Facility row 70 available decision</x:v>
      </x:c>
      <x:c r="E3826" s="27" t="n">
        <x:f>IF('Facility Load'!K70="AVAILABLE",1,0)</x:f>
        <x:v>1</x:v>
      </x:c>
      <x:c r="F3826" s="27" t="n">
        <x:v>1</x:v>
      </x:c>
      <x:c r="G3826" s="29" t="str">
        <x:f>IF(E3826=F3826,"PASS","FAIL")</x:f>
        <x:v>PASS</x:v>
      </x:c>
    </x:row>
    <x:row r="3827" ht="18" customHeight="1">
      <x:c r="B3827" s="27" t="str">
        <x:v>A3821</x:v>
      </x:c>
      <x:c r="C3827" s="27" t="str">
        <x:v>facility</x:v>
      </x:c>
      <x:c r="D3827" s="27" t="str">
        <x:v>Facility row 71 load nonnegative</x:v>
      </x:c>
      <x:c r="E3827" s="27" t="n">
        <x:f>IF('Facility Load'!G71&gt;=0,1,0)</x:f>
        <x:v>1</x:v>
      </x:c>
      <x:c r="F3827" s="27" t="n">
        <x:v>1</x:v>
      </x:c>
      <x:c r="G3827" s="29" t="str">
        <x:f>IF(E3827=F3827,"PASS","FAIL")</x:f>
        <x:v>PASS</x:v>
      </x:c>
    </x:row>
    <x:row r="3828" ht="18" customHeight="1">
      <x:c r="B3828" s="27" t="str">
        <x:v>A3822</x:v>
      </x:c>
      <x:c r="C3828" s="27" t="str">
        <x:v>facility</x:v>
      </x:c>
      <x:c r="D3828" s="27" t="str">
        <x:v>Facility row 71 reserve nonnegative</x:v>
      </x:c>
      <x:c r="E3828" s="27" t="n">
        <x:f>IF('Facility Load'!H71&gt;=0,1,0)</x:f>
        <x:v>1</x:v>
      </x:c>
      <x:c r="F3828" s="27" t="n">
        <x:v>1</x:v>
      </x:c>
      <x:c r="G3828" s="29" t="str">
        <x:f>IF(E3828=F3828,"PASS","FAIL")</x:f>
        <x:v>PASS</x:v>
      </x:c>
    </x:row>
    <x:row r="3829" ht="18" customHeight="1">
      <x:c r="B3829" s="27" t="str">
        <x:v>A3823</x:v>
      </x:c>
      <x:c r="C3829" s="27" t="str">
        <x:v>facility</x:v>
      </x:c>
      <x:c r="D3829" s="27" t="str">
        <x:v>Facility row 71 utilization at most one</x:v>
      </x:c>
      <x:c r="E3829" s="27" t="n">
        <x:f>IF('Facility Load'!I71&lt;=1,1,0)</x:f>
        <x:v>1</x:v>
      </x:c>
      <x:c r="F3829" s="27" t="n">
        <x:v>1</x:v>
      </x:c>
      <x:c r="G3829" s="29" t="str">
        <x:f>IF(E3829=F3829,"PASS","FAIL")</x:f>
        <x:v>PASS</x:v>
      </x:c>
    </x:row>
    <x:row r="3830" ht="18" customHeight="1">
      <x:c r="B3830" s="27" t="str">
        <x:v>A3824</x:v>
      </x:c>
      <x:c r="C3830" s="27" t="str">
        <x:v>facility</x:v>
      </x:c>
      <x:c r="D3830" s="27" t="str">
        <x:v>Facility row 71 state open</x:v>
      </x:c>
      <x:c r="E3830" s="27" t="n">
        <x:f>IF('Facility Load'!J71="OPEN",1,0)</x:f>
        <x:v>1</x:v>
      </x:c>
      <x:c r="F3830" s="27" t="n">
        <x:v>1</x:v>
      </x:c>
      <x:c r="G3830" s="29" t="str">
        <x:f>IF(E3830=F3830,"PASS","FAIL")</x:f>
        <x:v>PASS</x:v>
      </x:c>
    </x:row>
    <x:row r="3831" ht="18" customHeight="1">
      <x:c r="B3831" s="27" t="str">
        <x:v>A3825</x:v>
      </x:c>
      <x:c r="C3831" s="27" t="str">
        <x:v>facility</x:v>
      </x:c>
      <x:c r="D3831" s="27" t="str">
        <x:v>Facility row 71 available decision</x:v>
      </x:c>
      <x:c r="E3831" s="27" t="n">
        <x:f>IF('Facility Load'!K71="AVAILABLE",1,0)</x:f>
        <x:v>1</x:v>
      </x:c>
      <x:c r="F3831" s="27" t="n">
        <x:v>1</x:v>
      </x:c>
      <x:c r="G3831" s="29" t="str">
        <x:f>IF(E3831=F3831,"PASS","FAIL")</x:f>
        <x:v>PASS</x:v>
      </x:c>
    </x:row>
    <x:row r="3832" ht="18" customHeight="1">
      <x:c r="B3832" s="27" t="str">
        <x:v>A3826</x:v>
      </x:c>
      <x:c r="C3832" s="27" t="str">
        <x:v>facility</x:v>
      </x:c>
      <x:c r="D3832" s="27" t="str">
        <x:v>Facility row 72 load nonnegative</x:v>
      </x:c>
      <x:c r="E3832" s="27" t="n">
        <x:f>IF('Facility Load'!G72&gt;=0,1,0)</x:f>
        <x:v>1</x:v>
      </x:c>
      <x:c r="F3832" s="27" t="n">
        <x:v>1</x:v>
      </x:c>
      <x:c r="G3832" s="29" t="str">
        <x:f>IF(E3832=F3832,"PASS","FAIL")</x:f>
        <x:v>PASS</x:v>
      </x:c>
    </x:row>
    <x:row r="3833" ht="18" customHeight="1">
      <x:c r="B3833" s="27" t="str">
        <x:v>A3827</x:v>
      </x:c>
      <x:c r="C3833" s="27" t="str">
        <x:v>facility</x:v>
      </x:c>
      <x:c r="D3833" s="27" t="str">
        <x:v>Facility row 72 reserve nonnegative</x:v>
      </x:c>
      <x:c r="E3833" s="27" t="n">
        <x:f>IF('Facility Load'!H72&gt;=0,1,0)</x:f>
        <x:v>1</x:v>
      </x:c>
      <x:c r="F3833" s="27" t="n">
        <x:v>1</x:v>
      </x:c>
      <x:c r="G3833" s="29" t="str">
        <x:f>IF(E3833=F3833,"PASS","FAIL")</x:f>
        <x:v>PASS</x:v>
      </x:c>
    </x:row>
    <x:row r="3834" ht="18" customHeight="1">
      <x:c r="B3834" s="27" t="str">
        <x:v>A3828</x:v>
      </x:c>
      <x:c r="C3834" s="27" t="str">
        <x:v>facility</x:v>
      </x:c>
      <x:c r="D3834" s="27" t="str">
        <x:v>Facility row 72 utilization at most one</x:v>
      </x:c>
      <x:c r="E3834" s="27" t="n">
        <x:f>IF('Facility Load'!I72&lt;=1,1,0)</x:f>
        <x:v>1</x:v>
      </x:c>
      <x:c r="F3834" s="27" t="n">
        <x:v>1</x:v>
      </x:c>
      <x:c r="G3834" s="29" t="str">
        <x:f>IF(E3834=F3834,"PASS","FAIL")</x:f>
        <x:v>PASS</x:v>
      </x:c>
    </x:row>
    <x:row r="3835" ht="18" customHeight="1">
      <x:c r="B3835" s="27" t="str">
        <x:v>A3829</x:v>
      </x:c>
      <x:c r="C3835" s="27" t="str">
        <x:v>facility</x:v>
      </x:c>
      <x:c r="D3835" s="27" t="str">
        <x:v>Facility row 72 state open</x:v>
      </x:c>
      <x:c r="E3835" s="27" t="n">
        <x:f>IF('Facility Load'!J72="OPEN",1,0)</x:f>
        <x:v>1</x:v>
      </x:c>
      <x:c r="F3835" s="27" t="n">
        <x:v>1</x:v>
      </x:c>
      <x:c r="G3835" s="29" t="str">
        <x:f>IF(E3835=F3835,"PASS","FAIL")</x:f>
        <x:v>PASS</x:v>
      </x:c>
    </x:row>
    <x:row r="3836" ht="18" customHeight="1">
      <x:c r="B3836" s="27" t="str">
        <x:v>A3830</x:v>
      </x:c>
      <x:c r="C3836" s="27" t="str">
        <x:v>facility</x:v>
      </x:c>
      <x:c r="D3836" s="27" t="str">
        <x:v>Facility row 72 available decision</x:v>
      </x:c>
      <x:c r="E3836" s="27" t="n">
        <x:f>IF('Facility Load'!K72="AVAILABLE",1,0)</x:f>
        <x:v>1</x:v>
      </x:c>
      <x:c r="F3836" s="27" t="n">
        <x:v>1</x:v>
      </x:c>
      <x:c r="G3836" s="29" t="str">
        <x:f>IF(E3836=F3836,"PASS","FAIL")</x:f>
        <x:v>PASS</x:v>
      </x:c>
    </x:row>
    <x:row r="3837" ht="18" customHeight="1">
      <x:c r="B3837" s="27" t="str">
        <x:v>A3831</x:v>
      </x:c>
      <x:c r="C3837" s="27" t="str">
        <x:v>facility</x:v>
      </x:c>
      <x:c r="D3837" s="27" t="str">
        <x:v>Facility row 73 load nonnegative</x:v>
      </x:c>
      <x:c r="E3837" s="27" t="n">
        <x:f>IF('Facility Load'!G73&gt;=0,1,0)</x:f>
        <x:v>1</x:v>
      </x:c>
      <x:c r="F3837" s="27" t="n">
        <x:v>1</x:v>
      </x:c>
      <x:c r="G3837" s="29" t="str">
        <x:f>IF(E3837=F3837,"PASS","FAIL")</x:f>
        <x:v>PASS</x:v>
      </x:c>
    </x:row>
    <x:row r="3838" ht="18" customHeight="1">
      <x:c r="B3838" s="27" t="str">
        <x:v>A3832</x:v>
      </x:c>
      <x:c r="C3838" s="27" t="str">
        <x:v>facility</x:v>
      </x:c>
      <x:c r="D3838" s="27" t="str">
        <x:v>Facility row 73 reserve nonnegative</x:v>
      </x:c>
      <x:c r="E3838" s="27" t="n">
        <x:f>IF('Facility Load'!H73&gt;=0,1,0)</x:f>
        <x:v>1</x:v>
      </x:c>
      <x:c r="F3838" s="27" t="n">
        <x:v>1</x:v>
      </x:c>
      <x:c r="G3838" s="29" t="str">
        <x:f>IF(E3838=F3838,"PASS","FAIL")</x:f>
        <x:v>PASS</x:v>
      </x:c>
    </x:row>
    <x:row r="3839" ht="18" customHeight="1">
      <x:c r="B3839" s="27" t="str">
        <x:v>A3833</x:v>
      </x:c>
      <x:c r="C3839" s="27" t="str">
        <x:v>facility</x:v>
      </x:c>
      <x:c r="D3839" s="27" t="str">
        <x:v>Facility row 73 utilization at most one</x:v>
      </x:c>
      <x:c r="E3839" s="27" t="n">
        <x:f>IF('Facility Load'!I73&lt;=1,1,0)</x:f>
        <x:v>1</x:v>
      </x:c>
      <x:c r="F3839" s="27" t="n">
        <x:v>1</x:v>
      </x:c>
      <x:c r="G3839" s="29" t="str">
        <x:f>IF(E3839=F3839,"PASS","FAIL")</x:f>
        <x:v>PASS</x:v>
      </x:c>
    </x:row>
    <x:row r="3840" ht="18" customHeight="1">
      <x:c r="B3840" s="27" t="str">
        <x:v>A3834</x:v>
      </x:c>
      <x:c r="C3840" s="27" t="str">
        <x:v>facility</x:v>
      </x:c>
      <x:c r="D3840" s="27" t="str">
        <x:v>Facility row 73 state open</x:v>
      </x:c>
      <x:c r="E3840" s="27" t="n">
        <x:f>IF('Facility Load'!J73="OPEN",1,0)</x:f>
        <x:v>1</x:v>
      </x:c>
      <x:c r="F3840" s="27" t="n">
        <x:v>1</x:v>
      </x:c>
      <x:c r="G3840" s="29" t="str">
        <x:f>IF(E3840=F3840,"PASS","FAIL")</x:f>
        <x:v>PASS</x:v>
      </x:c>
    </x:row>
    <x:row r="3841" ht="18" customHeight="1">
      <x:c r="B3841" s="27" t="str">
        <x:v>A3835</x:v>
      </x:c>
      <x:c r="C3841" s="27" t="str">
        <x:v>facility</x:v>
      </x:c>
      <x:c r="D3841" s="27" t="str">
        <x:v>Facility row 73 available decision</x:v>
      </x:c>
      <x:c r="E3841" s="27" t="n">
        <x:f>IF('Facility Load'!K73="AVAILABLE",1,0)</x:f>
        <x:v>1</x:v>
      </x:c>
      <x:c r="F3841" s="27" t="n">
        <x:v>1</x:v>
      </x:c>
      <x:c r="G3841" s="29" t="str">
        <x:f>IF(E3841=F3841,"PASS","FAIL")</x:f>
        <x:v>PASS</x:v>
      </x:c>
    </x:row>
    <x:row r="3842" ht="18" customHeight="1">
      <x:c r="B3842" s="27" t="str">
        <x:v>A3836</x:v>
      </x:c>
      <x:c r="C3842" s="27" t="str">
        <x:v>facility</x:v>
      </x:c>
      <x:c r="D3842" s="27" t="str">
        <x:v>Facility row 74 load nonnegative</x:v>
      </x:c>
      <x:c r="E3842" s="27" t="n">
        <x:f>IF('Facility Load'!G74&gt;=0,1,0)</x:f>
        <x:v>1</x:v>
      </x:c>
      <x:c r="F3842" s="27" t="n">
        <x:v>1</x:v>
      </x:c>
      <x:c r="G3842" s="29" t="str">
        <x:f>IF(E3842=F3842,"PASS","FAIL")</x:f>
        <x:v>PASS</x:v>
      </x:c>
    </x:row>
    <x:row r="3843" ht="18" customHeight="1">
      <x:c r="B3843" s="27" t="str">
        <x:v>A3837</x:v>
      </x:c>
      <x:c r="C3843" s="27" t="str">
        <x:v>facility</x:v>
      </x:c>
      <x:c r="D3843" s="27" t="str">
        <x:v>Facility row 74 reserve nonnegative</x:v>
      </x:c>
      <x:c r="E3843" s="27" t="n">
        <x:f>IF('Facility Load'!H74&gt;=0,1,0)</x:f>
        <x:v>1</x:v>
      </x:c>
      <x:c r="F3843" s="27" t="n">
        <x:v>1</x:v>
      </x:c>
      <x:c r="G3843" s="29" t="str">
        <x:f>IF(E3843=F3843,"PASS","FAIL")</x:f>
        <x:v>PASS</x:v>
      </x:c>
    </x:row>
    <x:row r="3844" ht="18" customHeight="1">
      <x:c r="B3844" s="27" t="str">
        <x:v>A3838</x:v>
      </x:c>
      <x:c r="C3844" s="27" t="str">
        <x:v>facility</x:v>
      </x:c>
      <x:c r="D3844" s="27" t="str">
        <x:v>Facility row 74 utilization at most one</x:v>
      </x:c>
      <x:c r="E3844" s="27" t="n">
        <x:f>IF('Facility Load'!I74&lt;=1,1,0)</x:f>
        <x:v>1</x:v>
      </x:c>
      <x:c r="F3844" s="27" t="n">
        <x:v>1</x:v>
      </x:c>
      <x:c r="G3844" s="29" t="str">
        <x:f>IF(E3844=F3844,"PASS","FAIL")</x:f>
        <x:v>PASS</x:v>
      </x:c>
    </x:row>
    <x:row r="3845" ht="18" customHeight="1">
      <x:c r="B3845" s="27" t="str">
        <x:v>A3839</x:v>
      </x:c>
      <x:c r="C3845" s="27" t="str">
        <x:v>facility</x:v>
      </x:c>
      <x:c r="D3845" s="27" t="str">
        <x:v>Facility row 74 state open</x:v>
      </x:c>
      <x:c r="E3845" s="27" t="n">
        <x:f>IF('Facility Load'!J74="OPEN",1,0)</x:f>
        <x:v>1</x:v>
      </x:c>
      <x:c r="F3845" s="27" t="n">
        <x:v>1</x:v>
      </x:c>
      <x:c r="G3845" s="29" t="str">
        <x:f>IF(E3845=F3845,"PASS","FAIL")</x:f>
        <x:v>PASS</x:v>
      </x:c>
    </x:row>
    <x:row r="3846" ht="18" customHeight="1">
      <x:c r="B3846" s="27" t="str">
        <x:v>A3840</x:v>
      </x:c>
      <x:c r="C3846" s="27" t="str">
        <x:v>facility</x:v>
      </x:c>
      <x:c r="D3846" s="27" t="str">
        <x:v>Facility row 74 available decision</x:v>
      </x:c>
      <x:c r="E3846" s="27" t="n">
        <x:f>IF('Facility Load'!K74="AVAILABLE",1,0)</x:f>
        <x:v>1</x:v>
      </x:c>
      <x:c r="F3846" s="27" t="n">
        <x:v>1</x:v>
      </x:c>
      <x:c r="G3846" s="29" t="str">
        <x:f>IF(E3846=F3846,"PASS","FAIL")</x:f>
        <x:v>PASS</x:v>
      </x:c>
    </x:row>
    <x:row r="3847" ht="18" customHeight="1">
      <x:c r="B3847" s="27" t="str">
        <x:v>A3841</x:v>
      </x:c>
      <x:c r="C3847" s="27" t="str">
        <x:v>facility</x:v>
      </x:c>
      <x:c r="D3847" s="27" t="str">
        <x:v>Facility row 75 load nonnegative</x:v>
      </x:c>
      <x:c r="E3847" s="27" t="n">
        <x:f>IF('Facility Load'!G75&gt;=0,1,0)</x:f>
        <x:v>1</x:v>
      </x:c>
      <x:c r="F3847" s="27" t="n">
        <x:v>1</x:v>
      </x:c>
      <x:c r="G3847" s="29" t="str">
        <x:f>IF(E3847=F3847,"PASS","FAIL")</x:f>
        <x:v>PASS</x:v>
      </x:c>
    </x:row>
    <x:row r="3848" ht="18" customHeight="1">
      <x:c r="B3848" s="27" t="str">
        <x:v>A3842</x:v>
      </x:c>
      <x:c r="C3848" s="27" t="str">
        <x:v>facility</x:v>
      </x:c>
      <x:c r="D3848" s="27" t="str">
        <x:v>Facility row 75 reserve nonnegative</x:v>
      </x:c>
      <x:c r="E3848" s="27" t="n">
        <x:f>IF('Facility Load'!H75&gt;=0,1,0)</x:f>
        <x:v>1</x:v>
      </x:c>
      <x:c r="F3848" s="27" t="n">
        <x:v>1</x:v>
      </x:c>
      <x:c r="G3848" s="29" t="str">
        <x:f>IF(E3848=F3848,"PASS","FAIL")</x:f>
        <x:v>PASS</x:v>
      </x:c>
    </x:row>
    <x:row r="3849" ht="18" customHeight="1">
      <x:c r="B3849" s="27" t="str">
        <x:v>A3843</x:v>
      </x:c>
      <x:c r="C3849" s="27" t="str">
        <x:v>facility</x:v>
      </x:c>
      <x:c r="D3849" s="27" t="str">
        <x:v>Facility row 75 utilization at most one</x:v>
      </x:c>
      <x:c r="E3849" s="27" t="n">
        <x:f>IF('Facility Load'!I75&lt;=1,1,0)</x:f>
        <x:v>1</x:v>
      </x:c>
      <x:c r="F3849" s="27" t="n">
        <x:v>1</x:v>
      </x:c>
      <x:c r="G3849" s="29" t="str">
        <x:f>IF(E3849=F3849,"PASS","FAIL")</x:f>
        <x:v>PASS</x:v>
      </x:c>
    </x:row>
    <x:row r="3850" ht="18" customHeight="1">
      <x:c r="B3850" s="27" t="str">
        <x:v>A3844</x:v>
      </x:c>
      <x:c r="C3850" s="27" t="str">
        <x:v>facility</x:v>
      </x:c>
      <x:c r="D3850" s="27" t="str">
        <x:v>Facility row 75 state open</x:v>
      </x:c>
      <x:c r="E3850" s="27" t="n">
        <x:f>IF('Facility Load'!J75="OPEN",1,0)</x:f>
        <x:v>1</x:v>
      </x:c>
      <x:c r="F3850" s="27" t="n">
        <x:v>1</x:v>
      </x:c>
      <x:c r="G3850" s="29" t="str">
        <x:f>IF(E3850=F3850,"PASS","FAIL")</x:f>
        <x:v>PASS</x:v>
      </x:c>
    </x:row>
    <x:row r="3851" ht="18" customHeight="1">
      <x:c r="B3851" s="27" t="str">
        <x:v>A3845</x:v>
      </x:c>
      <x:c r="C3851" s="27" t="str">
        <x:v>facility</x:v>
      </x:c>
      <x:c r="D3851" s="27" t="str">
        <x:v>Facility row 75 available decision</x:v>
      </x:c>
      <x:c r="E3851" s="27" t="n">
        <x:f>IF('Facility Load'!K75="AVAILABLE",1,0)</x:f>
        <x:v>1</x:v>
      </x:c>
      <x:c r="F3851" s="27" t="n">
        <x:v>1</x:v>
      </x:c>
      <x:c r="G3851" s="29" t="str">
        <x:f>IF(E3851=F3851,"PASS","FAIL")</x:f>
        <x:v>PASS</x:v>
      </x:c>
    </x:row>
    <x:row r="3852" ht="18" customHeight="1">
      <x:c r="B3852" s="27" t="str">
        <x:v>A3846</x:v>
      </x:c>
      <x:c r="C3852" s="27" t="str">
        <x:v>facility</x:v>
      </x:c>
      <x:c r="D3852" s="27" t="str">
        <x:v>Facility row 76 load nonnegative</x:v>
      </x:c>
      <x:c r="E3852" s="27" t="n">
        <x:f>IF('Facility Load'!G76&gt;=0,1,0)</x:f>
        <x:v>1</x:v>
      </x:c>
      <x:c r="F3852" s="27" t="n">
        <x:v>1</x:v>
      </x:c>
      <x:c r="G3852" s="29" t="str">
        <x:f>IF(E3852=F3852,"PASS","FAIL")</x:f>
        <x:v>PASS</x:v>
      </x:c>
    </x:row>
    <x:row r="3853" ht="18" customHeight="1">
      <x:c r="B3853" s="27" t="str">
        <x:v>A3847</x:v>
      </x:c>
      <x:c r="C3853" s="27" t="str">
        <x:v>facility</x:v>
      </x:c>
      <x:c r="D3853" s="27" t="str">
        <x:v>Facility row 76 reserve nonnegative</x:v>
      </x:c>
      <x:c r="E3853" s="27" t="n">
        <x:f>IF('Facility Load'!H76&gt;=0,1,0)</x:f>
        <x:v>1</x:v>
      </x:c>
      <x:c r="F3853" s="27" t="n">
        <x:v>1</x:v>
      </x:c>
      <x:c r="G3853" s="29" t="str">
        <x:f>IF(E3853=F3853,"PASS","FAIL")</x:f>
        <x:v>PASS</x:v>
      </x:c>
    </x:row>
    <x:row r="3854" ht="18" customHeight="1">
      <x:c r="B3854" s="27" t="str">
        <x:v>A3848</x:v>
      </x:c>
      <x:c r="C3854" s="27" t="str">
        <x:v>facility</x:v>
      </x:c>
      <x:c r="D3854" s="27" t="str">
        <x:v>Facility row 76 utilization at most one</x:v>
      </x:c>
      <x:c r="E3854" s="27" t="n">
        <x:f>IF('Facility Load'!I76&lt;=1,1,0)</x:f>
        <x:v>1</x:v>
      </x:c>
      <x:c r="F3854" s="27" t="n">
        <x:v>1</x:v>
      </x:c>
      <x:c r="G3854" s="29" t="str">
        <x:f>IF(E3854=F3854,"PASS","FAIL")</x:f>
        <x:v>PASS</x:v>
      </x:c>
    </x:row>
    <x:row r="3855" ht="18" customHeight="1">
      <x:c r="B3855" s="27" t="str">
        <x:v>A3849</x:v>
      </x:c>
      <x:c r="C3855" s="27" t="str">
        <x:v>facility</x:v>
      </x:c>
      <x:c r="D3855" s="27" t="str">
        <x:v>Facility row 76 state open</x:v>
      </x:c>
      <x:c r="E3855" s="27" t="n">
        <x:f>IF('Facility Load'!J76="OPEN",1,0)</x:f>
        <x:v>1</x:v>
      </x:c>
      <x:c r="F3855" s="27" t="n">
        <x:v>1</x:v>
      </x:c>
      <x:c r="G3855" s="29" t="str">
        <x:f>IF(E3855=F3855,"PASS","FAIL")</x:f>
        <x:v>PASS</x:v>
      </x:c>
    </x:row>
    <x:row r="3856" ht="18" customHeight="1">
      <x:c r="B3856" s="27" t="str">
        <x:v>A3850</x:v>
      </x:c>
      <x:c r="C3856" s="27" t="str">
        <x:v>facility</x:v>
      </x:c>
      <x:c r="D3856" s="27" t="str">
        <x:v>Facility row 76 available decision</x:v>
      </x:c>
      <x:c r="E3856" s="27" t="n">
        <x:f>IF('Facility Load'!K76="AVAILABLE",1,0)</x:f>
        <x:v>1</x:v>
      </x:c>
      <x:c r="F3856" s="27" t="n">
        <x:v>1</x:v>
      </x:c>
      <x:c r="G3856" s="29" t="str">
        <x:f>IF(E3856=F3856,"PASS","FAIL")</x:f>
        <x:v>PASS</x:v>
      </x:c>
    </x:row>
    <x:row r="3857" ht="18" customHeight="1">
      <x:c r="B3857" s="27" t="str">
        <x:v>A3851</x:v>
      </x:c>
      <x:c r="C3857" s="27" t="str">
        <x:v>facility</x:v>
      </x:c>
      <x:c r="D3857" s="27" t="str">
        <x:v>Facility row 77 load nonnegative</x:v>
      </x:c>
      <x:c r="E3857" s="27" t="n">
        <x:f>IF('Facility Load'!G77&gt;=0,1,0)</x:f>
        <x:v>1</x:v>
      </x:c>
      <x:c r="F3857" s="27" t="n">
        <x:v>1</x:v>
      </x:c>
      <x:c r="G3857" s="29" t="str">
        <x:f>IF(E3857=F3857,"PASS","FAIL")</x:f>
        <x:v>PASS</x:v>
      </x:c>
    </x:row>
    <x:row r="3858" ht="18" customHeight="1">
      <x:c r="B3858" s="27" t="str">
        <x:v>A3852</x:v>
      </x:c>
      <x:c r="C3858" s="27" t="str">
        <x:v>facility</x:v>
      </x:c>
      <x:c r="D3858" s="27" t="str">
        <x:v>Facility row 77 reserve nonnegative</x:v>
      </x:c>
      <x:c r="E3858" s="27" t="n">
        <x:f>IF('Facility Load'!H77&gt;=0,1,0)</x:f>
        <x:v>1</x:v>
      </x:c>
      <x:c r="F3858" s="27" t="n">
        <x:v>1</x:v>
      </x:c>
      <x:c r="G3858" s="29" t="str">
        <x:f>IF(E3858=F3858,"PASS","FAIL")</x:f>
        <x:v>PASS</x:v>
      </x:c>
    </x:row>
    <x:row r="3859" ht="18" customHeight="1">
      <x:c r="B3859" s="27" t="str">
        <x:v>A3853</x:v>
      </x:c>
      <x:c r="C3859" s="27" t="str">
        <x:v>facility</x:v>
      </x:c>
      <x:c r="D3859" s="27" t="str">
        <x:v>Facility row 77 utilization at most one</x:v>
      </x:c>
      <x:c r="E3859" s="27" t="n">
        <x:f>IF('Facility Load'!I77&lt;=1,1,0)</x:f>
        <x:v>1</x:v>
      </x:c>
      <x:c r="F3859" s="27" t="n">
        <x:v>1</x:v>
      </x:c>
      <x:c r="G3859" s="29" t="str">
        <x:f>IF(E3859=F3859,"PASS","FAIL")</x:f>
        <x:v>PASS</x:v>
      </x:c>
    </x:row>
    <x:row r="3860" ht="18" customHeight="1">
      <x:c r="B3860" s="27" t="str">
        <x:v>A3854</x:v>
      </x:c>
      <x:c r="C3860" s="27" t="str">
        <x:v>facility</x:v>
      </x:c>
      <x:c r="D3860" s="27" t="str">
        <x:v>Facility row 77 state open</x:v>
      </x:c>
      <x:c r="E3860" s="27" t="n">
        <x:f>IF('Facility Load'!J77="OPEN",1,0)</x:f>
        <x:v>1</x:v>
      </x:c>
      <x:c r="F3860" s="27" t="n">
        <x:v>1</x:v>
      </x:c>
      <x:c r="G3860" s="29" t="str">
        <x:f>IF(E3860=F3860,"PASS","FAIL")</x:f>
        <x:v>PASS</x:v>
      </x:c>
    </x:row>
    <x:row r="3861" ht="18" customHeight="1">
      <x:c r="B3861" s="27" t="str">
        <x:v>A3855</x:v>
      </x:c>
      <x:c r="C3861" s="27" t="str">
        <x:v>facility</x:v>
      </x:c>
      <x:c r="D3861" s="27" t="str">
        <x:v>Facility row 77 available decision</x:v>
      </x:c>
      <x:c r="E3861" s="27" t="n">
        <x:f>IF('Facility Load'!K77="AVAILABLE",1,0)</x:f>
        <x:v>1</x:v>
      </x:c>
      <x:c r="F3861" s="27" t="n">
        <x:v>1</x:v>
      </x:c>
      <x:c r="G3861" s="29" t="str">
        <x:f>IF(E3861=F3861,"PASS","FAIL")</x:f>
        <x:v>PASS</x:v>
      </x:c>
    </x:row>
    <x:row r="3862" ht="18" customHeight="1">
      <x:c r="B3862" s="27" t="str">
        <x:v>A3856</x:v>
      </x:c>
      <x:c r="C3862" s="27" t="str">
        <x:v>facility</x:v>
      </x:c>
      <x:c r="D3862" s="27" t="str">
        <x:v>Facility row 78 load nonnegative</x:v>
      </x:c>
      <x:c r="E3862" s="27" t="n">
        <x:f>IF('Facility Load'!G78&gt;=0,1,0)</x:f>
        <x:v>1</x:v>
      </x:c>
      <x:c r="F3862" s="27" t="n">
        <x:v>1</x:v>
      </x:c>
      <x:c r="G3862" s="29" t="str">
        <x:f>IF(E3862=F3862,"PASS","FAIL")</x:f>
        <x:v>PASS</x:v>
      </x:c>
    </x:row>
    <x:row r="3863" ht="18" customHeight="1">
      <x:c r="B3863" s="27" t="str">
        <x:v>A3857</x:v>
      </x:c>
      <x:c r="C3863" s="27" t="str">
        <x:v>facility</x:v>
      </x:c>
      <x:c r="D3863" s="27" t="str">
        <x:v>Facility row 78 reserve nonnegative</x:v>
      </x:c>
      <x:c r="E3863" s="27" t="n">
        <x:f>IF('Facility Load'!H78&gt;=0,1,0)</x:f>
        <x:v>1</x:v>
      </x:c>
      <x:c r="F3863" s="27" t="n">
        <x:v>1</x:v>
      </x:c>
      <x:c r="G3863" s="29" t="str">
        <x:f>IF(E3863=F3863,"PASS","FAIL")</x:f>
        <x:v>PASS</x:v>
      </x:c>
    </x:row>
    <x:row r="3864" ht="18" customHeight="1">
      <x:c r="B3864" s="27" t="str">
        <x:v>A3858</x:v>
      </x:c>
      <x:c r="C3864" s="27" t="str">
        <x:v>facility</x:v>
      </x:c>
      <x:c r="D3864" s="27" t="str">
        <x:v>Facility row 78 utilization at most one</x:v>
      </x:c>
      <x:c r="E3864" s="27" t="n">
        <x:f>IF('Facility Load'!I78&lt;=1,1,0)</x:f>
        <x:v>1</x:v>
      </x:c>
      <x:c r="F3864" s="27" t="n">
        <x:v>1</x:v>
      </x:c>
      <x:c r="G3864" s="29" t="str">
        <x:f>IF(E3864=F3864,"PASS","FAIL")</x:f>
        <x:v>PASS</x:v>
      </x:c>
    </x:row>
    <x:row r="3865" ht="18" customHeight="1">
      <x:c r="B3865" s="27" t="str">
        <x:v>A3859</x:v>
      </x:c>
      <x:c r="C3865" s="27" t="str">
        <x:v>facility</x:v>
      </x:c>
      <x:c r="D3865" s="27" t="str">
        <x:v>Facility row 78 state open</x:v>
      </x:c>
      <x:c r="E3865" s="27" t="n">
        <x:f>IF('Facility Load'!J78="OPEN",1,0)</x:f>
        <x:v>1</x:v>
      </x:c>
      <x:c r="F3865" s="27" t="n">
        <x:v>1</x:v>
      </x:c>
      <x:c r="G3865" s="29" t="str">
        <x:f>IF(E3865=F3865,"PASS","FAIL")</x:f>
        <x:v>PASS</x:v>
      </x:c>
    </x:row>
    <x:row r="3866" ht="18" customHeight="1">
      <x:c r="B3866" s="27" t="str">
        <x:v>A3860</x:v>
      </x:c>
      <x:c r="C3866" s="27" t="str">
        <x:v>facility</x:v>
      </x:c>
      <x:c r="D3866" s="27" t="str">
        <x:v>Facility row 78 available decision</x:v>
      </x:c>
      <x:c r="E3866" s="27" t="n">
        <x:f>IF('Facility Load'!K78="AVAILABLE",1,0)</x:f>
        <x:v>1</x:v>
      </x:c>
      <x:c r="F3866" s="27" t="n">
        <x:v>1</x:v>
      </x:c>
      <x:c r="G3866" s="29" t="str">
        <x:f>IF(E3866=F3866,"PASS","FAIL")</x:f>
        <x:v>PASS</x:v>
      </x:c>
    </x:row>
    <x:row r="3867" ht="18" customHeight="1">
      <x:c r="B3867" s="27" t="str">
        <x:v>A3861</x:v>
      </x:c>
      <x:c r="C3867" s="27" t="str">
        <x:v>schedule</x:v>
      </x:c>
      <x:c r="D3867" s="27" t="str">
        <x:v>Schedule row 7 date order</x:v>
      </x:c>
      <x:c r="E3867" s="27" t="n">
        <x:f>IF('Program Schedule'!F7&gt;='Program Schedule'!E7,1,0)</x:f>
        <x:v>1</x:v>
      </x:c>
      <x:c r="F3867" s="27" t="n">
        <x:v>1</x:v>
      </x:c>
      <x:c r="G3867" s="29" t="str">
        <x:f>IF(E3867=F3867,"PASS","FAIL")</x:f>
        <x:v>PASS</x:v>
      </x:c>
    </x:row>
    <x:row r="3868" ht="18" customHeight="1">
      <x:c r="B3868" s="27" t="str">
        <x:v>A3862</x:v>
      </x:c>
      <x:c r="C3868" s="27" t="str">
        <x:v>schedule</x:v>
      </x:c>
      <x:c r="D3868" s="27" t="str">
        <x:v>Schedule row 7 duration formula</x:v>
      </x:c>
      <x:c r="E3868" s="27" t="n">
        <x:f>IF('Program Schedule'!G7='Program Schedule'!F7-'Program Schedule'!E7+1,1,0)</x:f>
        <x:v>1</x:v>
      </x:c>
      <x:c r="F3868" s="27" t="n">
        <x:v>1</x:v>
      </x:c>
      <x:c r="G3868" s="29" t="str">
        <x:f>IF(E3868=F3868,"PASS","FAIL")</x:f>
        <x:v>PASS</x:v>
      </x:c>
    </x:row>
    <x:row r="3869" ht="18" customHeight="1">
      <x:c r="B3869" s="27" t="str">
        <x:v>A3863</x:v>
      </x:c>
      <x:c r="C3869" s="27" t="str">
        <x:v>schedule</x:v>
      </x:c>
      <x:c r="D3869" s="27" t="str">
        <x:v>Schedule row 7 evidence open</x:v>
      </x:c>
      <x:c r="E3869" s="27" t="n">
        <x:f>IF('Program Schedule'!I7="OPEN",1,0)</x:f>
        <x:v>1</x:v>
      </x:c>
      <x:c r="F3869" s="27" t="n">
        <x:v>1</x:v>
      </x:c>
      <x:c r="G3869" s="29" t="str">
        <x:f>IF(E3869=F3869,"PASS","FAIL")</x:f>
        <x:v>PASS</x:v>
      </x:c>
    </x:row>
    <x:row r="3870" ht="18" customHeight="1">
      <x:c r="B3870" s="27" t="str">
        <x:v>A3864</x:v>
      </x:c>
      <x:c r="C3870" s="27" t="str">
        <x:v>schedule</x:v>
      </x:c>
      <x:c r="D3870" s="27" t="str">
        <x:v>Schedule row 7 zero credit</x:v>
      </x:c>
      <x:c r="E3870" s="27" t="n">
        <x:f>IF('Program Schedule'!J7=0,1,0)</x:f>
        <x:v>1</x:v>
      </x:c>
      <x:c r="F3870" s="27" t="n">
        <x:v>1</x:v>
      </x:c>
      <x:c r="G3870" s="29" t="str">
        <x:f>IF(E3870=F3870,"PASS","FAIL")</x:f>
        <x:v>PASS</x:v>
      </x:c>
    </x:row>
    <x:row r="3871" ht="18" customHeight="1">
      <x:c r="B3871" s="27" t="str">
        <x:v>A3865</x:v>
      </x:c>
      <x:c r="C3871" s="27" t="str">
        <x:v>schedule</x:v>
      </x:c>
      <x:c r="D3871" s="27" t="str">
        <x:v>Schedule row 7 inside calendar</x:v>
      </x:c>
      <x:c r="E3871" s="27" t="n">
        <x:f>IF('Program Schedule'!K7="INSIDE",1,0)</x:f>
        <x:v>1</x:v>
      </x:c>
      <x:c r="F3871" s="27" t="n">
        <x:v>1</x:v>
      </x:c>
      <x:c r="G3871" s="29" t="str">
        <x:f>IF(E3871=F3871,"PASS","FAIL")</x:f>
        <x:v>PASS</x:v>
      </x:c>
    </x:row>
    <x:row r="3872" ht="18" customHeight="1">
      <x:c r="B3872" s="27" t="str">
        <x:v>A3866</x:v>
      </x:c>
      <x:c r="C3872" s="27" t="str">
        <x:v>schedule</x:v>
      </x:c>
      <x:c r="D3872" s="27" t="str">
        <x:v>Schedule row 8 date order</x:v>
      </x:c>
      <x:c r="E3872" s="27" t="n">
        <x:f>IF('Program Schedule'!F8&gt;='Program Schedule'!E8,1,0)</x:f>
        <x:v>1</x:v>
      </x:c>
      <x:c r="F3872" s="27" t="n">
        <x:v>1</x:v>
      </x:c>
      <x:c r="G3872" s="29" t="str">
        <x:f>IF(E3872=F3872,"PASS","FAIL")</x:f>
        <x:v>PASS</x:v>
      </x:c>
    </x:row>
    <x:row r="3873" ht="18" customHeight="1">
      <x:c r="B3873" s="27" t="str">
        <x:v>A3867</x:v>
      </x:c>
      <x:c r="C3873" s="27" t="str">
        <x:v>schedule</x:v>
      </x:c>
      <x:c r="D3873" s="27" t="str">
        <x:v>Schedule row 8 duration formula</x:v>
      </x:c>
      <x:c r="E3873" s="27" t="n">
        <x:f>IF('Program Schedule'!G8='Program Schedule'!F8-'Program Schedule'!E8+1,1,0)</x:f>
        <x:v>1</x:v>
      </x:c>
      <x:c r="F3873" s="27" t="n">
        <x:v>1</x:v>
      </x:c>
      <x:c r="G3873" s="29" t="str">
        <x:f>IF(E3873=F3873,"PASS","FAIL")</x:f>
        <x:v>PASS</x:v>
      </x:c>
    </x:row>
    <x:row r="3874" ht="18" customHeight="1">
      <x:c r="B3874" s="27" t="str">
        <x:v>A3868</x:v>
      </x:c>
      <x:c r="C3874" s="27" t="str">
        <x:v>schedule</x:v>
      </x:c>
      <x:c r="D3874" s="27" t="str">
        <x:v>Schedule row 8 evidence open</x:v>
      </x:c>
      <x:c r="E3874" s="27" t="n">
        <x:f>IF('Program Schedule'!I8="OPEN",1,0)</x:f>
        <x:v>1</x:v>
      </x:c>
      <x:c r="F3874" s="27" t="n">
        <x:v>1</x:v>
      </x:c>
      <x:c r="G3874" s="29" t="str">
        <x:f>IF(E3874=F3874,"PASS","FAIL")</x:f>
        <x:v>PASS</x:v>
      </x:c>
    </x:row>
    <x:row r="3875" ht="18" customHeight="1">
      <x:c r="B3875" s="27" t="str">
        <x:v>A3869</x:v>
      </x:c>
      <x:c r="C3875" s="27" t="str">
        <x:v>schedule</x:v>
      </x:c>
      <x:c r="D3875" s="27" t="str">
        <x:v>Schedule row 8 zero credit</x:v>
      </x:c>
      <x:c r="E3875" s="27" t="n">
        <x:f>IF('Program Schedule'!J8=0,1,0)</x:f>
        <x:v>1</x:v>
      </x:c>
      <x:c r="F3875" s="27" t="n">
        <x:v>1</x:v>
      </x:c>
      <x:c r="G3875" s="29" t="str">
        <x:f>IF(E3875=F3875,"PASS","FAIL")</x:f>
        <x:v>PASS</x:v>
      </x:c>
    </x:row>
    <x:row r="3876" ht="18" customHeight="1">
      <x:c r="B3876" s="27" t="str">
        <x:v>A3870</x:v>
      </x:c>
      <x:c r="C3876" s="27" t="str">
        <x:v>schedule</x:v>
      </x:c>
      <x:c r="D3876" s="27" t="str">
        <x:v>Schedule row 8 inside calendar</x:v>
      </x:c>
      <x:c r="E3876" s="27" t="n">
        <x:f>IF('Program Schedule'!K8="INSIDE",1,0)</x:f>
        <x:v>1</x:v>
      </x:c>
      <x:c r="F3876" s="27" t="n">
        <x:v>1</x:v>
      </x:c>
      <x:c r="G3876" s="29" t="str">
        <x:f>IF(E3876=F3876,"PASS","FAIL")</x:f>
        <x:v>PASS</x:v>
      </x:c>
    </x:row>
    <x:row r="3877" ht="18" customHeight="1">
      <x:c r="B3877" s="27" t="str">
        <x:v>A3871</x:v>
      </x:c>
      <x:c r="C3877" s="27" t="str">
        <x:v>schedule</x:v>
      </x:c>
      <x:c r="D3877" s="27" t="str">
        <x:v>Schedule row 9 date order</x:v>
      </x:c>
      <x:c r="E3877" s="27" t="n">
        <x:f>IF('Program Schedule'!F9&gt;='Program Schedule'!E9,1,0)</x:f>
        <x:v>1</x:v>
      </x:c>
      <x:c r="F3877" s="27" t="n">
        <x:v>1</x:v>
      </x:c>
      <x:c r="G3877" s="29" t="str">
        <x:f>IF(E3877=F3877,"PASS","FAIL")</x:f>
        <x:v>PASS</x:v>
      </x:c>
    </x:row>
    <x:row r="3878" ht="18" customHeight="1">
      <x:c r="B3878" s="27" t="str">
        <x:v>A3872</x:v>
      </x:c>
      <x:c r="C3878" s="27" t="str">
        <x:v>schedule</x:v>
      </x:c>
      <x:c r="D3878" s="27" t="str">
        <x:v>Schedule row 9 duration formula</x:v>
      </x:c>
      <x:c r="E3878" s="27" t="n">
        <x:f>IF('Program Schedule'!G9='Program Schedule'!F9-'Program Schedule'!E9+1,1,0)</x:f>
        <x:v>1</x:v>
      </x:c>
      <x:c r="F3878" s="27" t="n">
        <x:v>1</x:v>
      </x:c>
      <x:c r="G3878" s="29" t="str">
        <x:f>IF(E3878=F3878,"PASS","FAIL")</x:f>
        <x:v>PASS</x:v>
      </x:c>
    </x:row>
    <x:row r="3879" ht="18" customHeight="1">
      <x:c r="B3879" s="27" t="str">
        <x:v>A3873</x:v>
      </x:c>
      <x:c r="C3879" s="27" t="str">
        <x:v>schedule</x:v>
      </x:c>
      <x:c r="D3879" s="27" t="str">
        <x:v>Schedule row 9 evidence open</x:v>
      </x:c>
      <x:c r="E3879" s="27" t="n">
        <x:f>IF('Program Schedule'!I9="OPEN",1,0)</x:f>
        <x:v>1</x:v>
      </x:c>
      <x:c r="F3879" s="27" t="n">
        <x:v>1</x:v>
      </x:c>
      <x:c r="G3879" s="29" t="str">
        <x:f>IF(E3879=F3879,"PASS","FAIL")</x:f>
        <x:v>PASS</x:v>
      </x:c>
    </x:row>
    <x:row r="3880" ht="18" customHeight="1">
      <x:c r="B3880" s="27" t="str">
        <x:v>A3874</x:v>
      </x:c>
      <x:c r="C3880" s="27" t="str">
        <x:v>schedule</x:v>
      </x:c>
      <x:c r="D3880" s="27" t="str">
        <x:v>Schedule row 9 zero credit</x:v>
      </x:c>
      <x:c r="E3880" s="27" t="n">
        <x:f>IF('Program Schedule'!J9=0,1,0)</x:f>
        <x:v>1</x:v>
      </x:c>
      <x:c r="F3880" s="27" t="n">
        <x:v>1</x:v>
      </x:c>
      <x:c r="G3880" s="29" t="str">
        <x:f>IF(E3880=F3880,"PASS","FAIL")</x:f>
        <x:v>PASS</x:v>
      </x:c>
    </x:row>
    <x:row r="3881" ht="18" customHeight="1">
      <x:c r="B3881" s="27" t="str">
        <x:v>A3875</x:v>
      </x:c>
      <x:c r="C3881" s="27" t="str">
        <x:v>schedule</x:v>
      </x:c>
      <x:c r="D3881" s="27" t="str">
        <x:v>Schedule row 9 inside calendar</x:v>
      </x:c>
      <x:c r="E3881" s="27" t="n">
        <x:f>IF('Program Schedule'!K9="INSIDE",1,0)</x:f>
        <x:v>1</x:v>
      </x:c>
      <x:c r="F3881" s="27" t="n">
        <x:v>1</x:v>
      </x:c>
      <x:c r="G3881" s="29" t="str">
        <x:f>IF(E3881=F3881,"PASS","FAIL")</x:f>
        <x:v>PASS</x:v>
      </x:c>
    </x:row>
    <x:row r="3882" ht="18" customHeight="1">
      <x:c r="B3882" s="27" t="str">
        <x:v>A3876</x:v>
      </x:c>
      <x:c r="C3882" s="27" t="str">
        <x:v>schedule</x:v>
      </x:c>
      <x:c r="D3882" s="27" t="str">
        <x:v>Schedule row 10 date order</x:v>
      </x:c>
      <x:c r="E3882" s="27" t="n">
        <x:f>IF('Program Schedule'!F10&gt;='Program Schedule'!E10,1,0)</x:f>
        <x:v>1</x:v>
      </x:c>
      <x:c r="F3882" s="27" t="n">
        <x:v>1</x:v>
      </x:c>
      <x:c r="G3882" s="29" t="str">
        <x:f>IF(E3882=F3882,"PASS","FAIL")</x:f>
        <x:v>PASS</x:v>
      </x:c>
    </x:row>
    <x:row r="3883" ht="18" customHeight="1">
      <x:c r="B3883" s="27" t="str">
        <x:v>A3877</x:v>
      </x:c>
      <x:c r="C3883" s="27" t="str">
        <x:v>schedule</x:v>
      </x:c>
      <x:c r="D3883" s="27" t="str">
        <x:v>Schedule row 10 duration formula</x:v>
      </x:c>
      <x:c r="E3883" s="27" t="n">
        <x:f>IF('Program Schedule'!G10='Program Schedule'!F10-'Program Schedule'!E10+1,1,0)</x:f>
        <x:v>1</x:v>
      </x:c>
      <x:c r="F3883" s="27" t="n">
        <x:v>1</x:v>
      </x:c>
      <x:c r="G3883" s="29" t="str">
        <x:f>IF(E3883=F3883,"PASS","FAIL")</x:f>
        <x:v>PASS</x:v>
      </x:c>
    </x:row>
    <x:row r="3884" ht="18" customHeight="1">
      <x:c r="B3884" s="27" t="str">
        <x:v>A3878</x:v>
      </x:c>
      <x:c r="C3884" s="27" t="str">
        <x:v>schedule</x:v>
      </x:c>
      <x:c r="D3884" s="27" t="str">
        <x:v>Schedule row 10 evidence open</x:v>
      </x:c>
      <x:c r="E3884" s="27" t="n">
        <x:f>IF('Program Schedule'!I10="OPEN",1,0)</x:f>
        <x:v>1</x:v>
      </x:c>
      <x:c r="F3884" s="27" t="n">
        <x:v>1</x:v>
      </x:c>
      <x:c r="G3884" s="29" t="str">
        <x:f>IF(E3884=F3884,"PASS","FAIL")</x:f>
        <x:v>PASS</x:v>
      </x:c>
    </x:row>
    <x:row r="3885" ht="18" customHeight="1">
      <x:c r="B3885" s="27" t="str">
        <x:v>A3879</x:v>
      </x:c>
      <x:c r="C3885" s="27" t="str">
        <x:v>schedule</x:v>
      </x:c>
      <x:c r="D3885" s="27" t="str">
        <x:v>Schedule row 10 zero credit</x:v>
      </x:c>
      <x:c r="E3885" s="27" t="n">
        <x:f>IF('Program Schedule'!J10=0,1,0)</x:f>
        <x:v>1</x:v>
      </x:c>
      <x:c r="F3885" s="27" t="n">
        <x:v>1</x:v>
      </x:c>
      <x:c r="G3885" s="29" t="str">
        <x:f>IF(E3885=F3885,"PASS","FAIL")</x:f>
        <x:v>PASS</x:v>
      </x:c>
    </x:row>
    <x:row r="3886" ht="18" customHeight="1">
      <x:c r="B3886" s="27" t="str">
        <x:v>A3880</x:v>
      </x:c>
      <x:c r="C3886" s="27" t="str">
        <x:v>schedule</x:v>
      </x:c>
      <x:c r="D3886" s="27" t="str">
        <x:v>Schedule row 10 inside calendar</x:v>
      </x:c>
      <x:c r="E3886" s="27" t="n">
        <x:f>IF('Program Schedule'!K10="INSIDE",1,0)</x:f>
        <x:v>1</x:v>
      </x:c>
      <x:c r="F3886" s="27" t="n">
        <x:v>1</x:v>
      </x:c>
      <x:c r="G3886" s="29" t="str">
        <x:f>IF(E3886=F3886,"PASS","FAIL")</x:f>
        <x:v>PASS</x:v>
      </x:c>
    </x:row>
    <x:row r="3887" ht="18" customHeight="1">
      <x:c r="B3887" s="27" t="str">
        <x:v>A3881</x:v>
      </x:c>
      <x:c r="C3887" s="27" t="str">
        <x:v>schedule</x:v>
      </x:c>
      <x:c r="D3887" s="27" t="str">
        <x:v>Schedule row 11 date order</x:v>
      </x:c>
      <x:c r="E3887" s="27" t="n">
        <x:f>IF('Program Schedule'!F11&gt;='Program Schedule'!E11,1,0)</x:f>
        <x:v>1</x:v>
      </x:c>
      <x:c r="F3887" s="27" t="n">
        <x:v>1</x:v>
      </x:c>
      <x:c r="G3887" s="29" t="str">
        <x:f>IF(E3887=F3887,"PASS","FAIL")</x:f>
        <x:v>PASS</x:v>
      </x:c>
    </x:row>
    <x:row r="3888" ht="18" customHeight="1">
      <x:c r="B3888" s="27" t="str">
        <x:v>A3882</x:v>
      </x:c>
      <x:c r="C3888" s="27" t="str">
        <x:v>schedule</x:v>
      </x:c>
      <x:c r="D3888" s="27" t="str">
        <x:v>Schedule row 11 duration formula</x:v>
      </x:c>
      <x:c r="E3888" s="27" t="n">
        <x:f>IF('Program Schedule'!G11='Program Schedule'!F11-'Program Schedule'!E11+1,1,0)</x:f>
        <x:v>1</x:v>
      </x:c>
      <x:c r="F3888" s="27" t="n">
        <x:v>1</x:v>
      </x:c>
      <x:c r="G3888" s="29" t="str">
        <x:f>IF(E3888=F3888,"PASS","FAIL")</x:f>
        <x:v>PASS</x:v>
      </x:c>
    </x:row>
    <x:row r="3889" ht="18" customHeight="1">
      <x:c r="B3889" s="27" t="str">
        <x:v>A3883</x:v>
      </x:c>
      <x:c r="C3889" s="27" t="str">
        <x:v>schedule</x:v>
      </x:c>
      <x:c r="D3889" s="27" t="str">
        <x:v>Schedule row 11 evidence open</x:v>
      </x:c>
      <x:c r="E3889" s="27" t="n">
        <x:f>IF('Program Schedule'!I11="OPEN",1,0)</x:f>
        <x:v>1</x:v>
      </x:c>
      <x:c r="F3889" s="27" t="n">
        <x:v>1</x:v>
      </x:c>
      <x:c r="G3889" s="29" t="str">
        <x:f>IF(E3889=F3889,"PASS","FAIL")</x:f>
        <x:v>PASS</x:v>
      </x:c>
    </x:row>
    <x:row r="3890" ht="18" customHeight="1">
      <x:c r="B3890" s="27" t="str">
        <x:v>A3884</x:v>
      </x:c>
      <x:c r="C3890" s="27" t="str">
        <x:v>schedule</x:v>
      </x:c>
      <x:c r="D3890" s="27" t="str">
        <x:v>Schedule row 11 zero credit</x:v>
      </x:c>
      <x:c r="E3890" s="27" t="n">
        <x:f>IF('Program Schedule'!J11=0,1,0)</x:f>
        <x:v>1</x:v>
      </x:c>
      <x:c r="F3890" s="27" t="n">
        <x:v>1</x:v>
      </x:c>
      <x:c r="G3890" s="29" t="str">
        <x:f>IF(E3890=F3890,"PASS","FAIL")</x:f>
        <x:v>PASS</x:v>
      </x:c>
    </x:row>
    <x:row r="3891" ht="18" customHeight="1">
      <x:c r="B3891" s="27" t="str">
        <x:v>A3885</x:v>
      </x:c>
      <x:c r="C3891" s="27" t="str">
        <x:v>schedule</x:v>
      </x:c>
      <x:c r="D3891" s="27" t="str">
        <x:v>Schedule row 11 inside calendar</x:v>
      </x:c>
      <x:c r="E3891" s="27" t="n">
        <x:f>IF('Program Schedule'!K11="INSIDE",1,0)</x:f>
        <x:v>1</x:v>
      </x:c>
      <x:c r="F3891" s="27" t="n">
        <x:v>1</x:v>
      </x:c>
      <x:c r="G3891" s="29" t="str">
        <x:f>IF(E3891=F3891,"PASS","FAIL")</x:f>
        <x:v>PASS</x:v>
      </x:c>
    </x:row>
    <x:row r="3892" ht="18" customHeight="1">
      <x:c r="B3892" s="27" t="str">
        <x:v>A3886</x:v>
      </x:c>
      <x:c r="C3892" s="27" t="str">
        <x:v>schedule</x:v>
      </x:c>
      <x:c r="D3892" s="27" t="str">
        <x:v>Schedule row 12 date order</x:v>
      </x:c>
      <x:c r="E3892" s="27" t="n">
        <x:f>IF('Program Schedule'!F12&gt;='Program Schedule'!E12,1,0)</x:f>
        <x:v>1</x:v>
      </x:c>
      <x:c r="F3892" s="27" t="n">
        <x:v>1</x:v>
      </x:c>
      <x:c r="G3892" s="29" t="str">
        <x:f>IF(E3892=F3892,"PASS","FAIL")</x:f>
        <x:v>PASS</x:v>
      </x:c>
    </x:row>
    <x:row r="3893" ht="18" customHeight="1">
      <x:c r="B3893" s="27" t="str">
        <x:v>A3887</x:v>
      </x:c>
      <x:c r="C3893" s="27" t="str">
        <x:v>schedule</x:v>
      </x:c>
      <x:c r="D3893" s="27" t="str">
        <x:v>Schedule row 12 duration formula</x:v>
      </x:c>
      <x:c r="E3893" s="27" t="n">
        <x:f>IF('Program Schedule'!G12='Program Schedule'!F12-'Program Schedule'!E12+1,1,0)</x:f>
        <x:v>1</x:v>
      </x:c>
      <x:c r="F3893" s="27" t="n">
        <x:v>1</x:v>
      </x:c>
      <x:c r="G3893" s="29" t="str">
        <x:f>IF(E3893=F3893,"PASS","FAIL")</x:f>
        <x:v>PASS</x:v>
      </x:c>
    </x:row>
    <x:row r="3894" ht="18" customHeight="1">
      <x:c r="B3894" s="27" t="str">
        <x:v>A3888</x:v>
      </x:c>
      <x:c r="C3894" s="27" t="str">
        <x:v>schedule</x:v>
      </x:c>
      <x:c r="D3894" s="27" t="str">
        <x:v>Schedule row 12 evidence open</x:v>
      </x:c>
      <x:c r="E3894" s="27" t="n">
        <x:f>IF('Program Schedule'!I12="OPEN",1,0)</x:f>
        <x:v>1</x:v>
      </x:c>
      <x:c r="F3894" s="27" t="n">
        <x:v>1</x:v>
      </x:c>
      <x:c r="G3894" s="29" t="str">
        <x:f>IF(E3894=F3894,"PASS","FAIL")</x:f>
        <x:v>PASS</x:v>
      </x:c>
    </x:row>
    <x:row r="3895" ht="18" customHeight="1">
      <x:c r="B3895" s="27" t="str">
        <x:v>A3889</x:v>
      </x:c>
      <x:c r="C3895" s="27" t="str">
        <x:v>schedule</x:v>
      </x:c>
      <x:c r="D3895" s="27" t="str">
        <x:v>Schedule row 12 zero credit</x:v>
      </x:c>
      <x:c r="E3895" s="27" t="n">
        <x:f>IF('Program Schedule'!J12=0,1,0)</x:f>
        <x:v>1</x:v>
      </x:c>
      <x:c r="F3895" s="27" t="n">
        <x:v>1</x:v>
      </x:c>
      <x:c r="G3895" s="29" t="str">
        <x:f>IF(E3895=F3895,"PASS","FAIL")</x:f>
        <x:v>PASS</x:v>
      </x:c>
    </x:row>
    <x:row r="3896" ht="18" customHeight="1">
      <x:c r="B3896" s="27" t="str">
        <x:v>A3890</x:v>
      </x:c>
      <x:c r="C3896" s="27" t="str">
        <x:v>schedule</x:v>
      </x:c>
      <x:c r="D3896" s="27" t="str">
        <x:v>Schedule row 12 inside calendar</x:v>
      </x:c>
      <x:c r="E3896" s="27" t="n">
        <x:f>IF('Program Schedule'!K12="INSIDE",1,0)</x:f>
        <x:v>1</x:v>
      </x:c>
      <x:c r="F3896" s="27" t="n">
        <x:v>1</x:v>
      </x:c>
      <x:c r="G3896" s="29" t="str">
        <x:f>IF(E3896=F3896,"PASS","FAIL")</x:f>
        <x:v>PASS</x:v>
      </x:c>
    </x:row>
    <x:row r="3897" ht="18" customHeight="1">
      <x:c r="B3897" s="27" t="str">
        <x:v>A3891</x:v>
      </x:c>
      <x:c r="C3897" s="27" t="str">
        <x:v>schedule</x:v>
      </x:c>
      <x:c r="D3897" s="27" t="str">
        <x:v>Schedule row 13 date order</x:v>
      </x:c>
      <x:c r="E3897" s="27" t="n">
        <x:f>IF('Program Schedule'!F13&gt;='Program Schedule'!E13,1,0)</x:f>
        <x:v>1</x:v>
      </x:c>
      <x:c r="F3897" s="27" t="n">
        <x:v>1</x:v>
      </x:c>
      <x:c r="G3897" s="29" t="str">
        <x:f>IF(E3897=F3897,"PASS","FAIL")</x:f>
        <x:v>PASS</x:v>
      </x:c>
    </x:row>
    <x:row r="3898" ht="18" customHeight="1">
      <x:c r="B3898" s="27" t="str">
        <x:v>A3892</x:v>
      </x:c>
      <x:c r="C3898" s="27" t="str">
        <x:v>schedule</x:v>
      </x:c>
      <x:c r="D3898" s="27" t="str">
        <x:v>Schedule row 13 duration formula</x:v>
      </x:c>
      <x:c r="E3898" s="27" t="n">
        <x:f>IF('Program Schedule'!G13='Program Schedule'!F13-'Program Schedule'!E13+1,1,0)</x:f>
        <x:v>1</x:v>
      </x:c>
      <x:c r="F3898" s="27" t="n">
        <x:v>1</x:v>
      </x:c>
      <x:c r="G3898" s="29" t="str">
        <x:f>IF(E3898=F3898,"PASS","FAIL")</x:f>
        <x:v>PASS</x:v>
      </x:c>
    </x:row>
    <x:row r="3899" ht="18" customHeight="1">
      <x:c r="B3899" s="27" t="str">
        <x:v>A3893</x:v>
      </x:c>
      <x:c r="C3899" s="27" t="str">
        <x:v>schedule</x:v>
      </x:c>
      <x:c r="D3899" s="27" t="str">
        <x:v>Schedule row 13 evidence open</x:v>
      </x:c>
      <x:c r="E3899" s="27" t="n">
        <x:f>IF('Program Schedule'!I13="OPEN",1,0)</x:f>
        <x:v>1</x:v>
      </x:c>
      <x:c r="F3899" s="27" t="n">
        <x:v>1</x:v>
      </x:c>
      <x:c r="G3899" s="29" t="str">
        <x:f>IF(E3899=F3899,"PASS","FAIL")</x:f>
        <x:v>PASS</x:v>
      </x:c>
    </x:row>
    <x:row r="3900" ht="18" customHeight="1">
      <x:c r="B3900" s="27" t="str">
        <x:v>A3894</x:v>
      </x:c>
      <x:c r="C3900" s="27" t="str">
        <x:v>schedule</x:v>
      </x:c>
      <x:c r="D3900" s="27" t="str">
        <x:v>Schedule row 13 zero credit</x:v>
      </x:c>
      <x:c r="E3900" s="27" t="n">
        <x:f>IF('Program Schedule'!J13=0,1,0)</x:f>
        <x:v>1</x:v>
      </x:c>
      <x:c r="F3900" s="27" t="n">
        <x:v>1</x:v>
      </x:c>
      <x:c r="G3900" s="29" t="str">
        <x:f>IF(E3900=F3900,"PASS","FAIL")</x:f>
        <x:v>PASS</x:v>
      </x:c>
    </x:row>
    <x:row r="3901" ht="18" customHeight="1">
      <x:c r="B3901" s="27" t="str">
        <x:v>A3895</x:v>
      </x:c>
      <x:c r="C3901" s="27" t="str">
        <x:v>schedule</x:v>
      </x:c>
      <x:c r="D3901" s="27" t="str">
        <x:v>Schedule row 13 inside calendar</x:v>
      </x:c>
      <x:c r="E3901" s="27" t="n">
        <x:f>IF('Program Schedule'!K13="INSIDE",1,0)</x:f>
        <x:v>1</x:v>
      </x:c>
      <x:c r="F3901" s="27" t="n">
        <x:v>1</x:v>
      </x:c>
      <x:c r="G3901" s="29" t="str">
        <x:f>IF(E3901=F3901,"PASS","FAIL")</x:f>
        <x:v>PASS</x:v>
      </x:c>
    </x:row>
    <x:row r="3902" ht="18" customHeight="1">
      <x:c r="B3902" s="27" t="str">
        <x:v>A3896</x:v>
      </x:c>
      <x:c r="C3902" s="27" t="str">
        <x:v>schedule</x:v>
      </x:c>
      <x:c r="D3902" s="27" t="str">
        <x:v>Schedule row 14 date order</x:v>
      </x:c>
      <x:c r="E3902" s="27" t="n">
        <x:f>IF('Program Schedule'!F14&gt;='Program Schedule'!E14,1,0)</x:f>
        <x:v>1</x:v>
      </x:c>
      <x:c r="F3902" s="27" t="n">
        <x:v>1</x:v>
      </x:c>
      <x:c r="G3902" s="29" t="str">
        <x:f>IF(E3902=F3902,"PASS","FAIL")</x:f>
        <x:v>PASS</x:v>
      </x:c>
    </x:row>
    <x:row r="3903" ht="18" customHeight="1">
      <x:c r="B3903" s="27" t="str">
        <x:v>A3897</x:v>
      </x:c>
      <x:c r="C3903" s="27" t="str">
        <x:v>schedule</x:v>
      </x:c>
      <x:c r="D3903" s="27" t="str">
        <x:v>Schedule row 14 duration formula</x:v>
      </x:c>
      <x:c r="E3903" s="27" t="n">
        <x:f>IF('Program Schedule'!G14='Program Schedule'!F14-'Program Schedule'!E14+1,1,0)</x:f>
        <x:v>1</x:v>
      </x:c>
      <x:c r="F3903" s="27" t="n">
        <x:v>1</x:v>
      </x:c>
      <x:c r="G3903" s="29" t="str">
        <x:f>IF(E3903=F3903,"PASS","FAIL")</x:f>
        <x:v>PASS</x:v>
      </x:c>
    </x:row>
    <x:row r="3904" ht="18" customHeight="1">
      <x:c r="B3904" s="27" t="str">
        <x:v>A3898</x:v>
      </x:c>
      <x:c r="C3904" s="27" t="str">
        <x:v>schedule</x:v>
      </x:c>
      <x:c r="D3904" s="27" t="str">
        <x:v>Schedule row 14 evidence open</x:v>
      </x:c>
      <x:c r="E3904" s="27" t="n">
        <x:f>IF('Program Schedule'!I14="OPEN",1,0)</x:f>
        <x:v>1</x:v>
      </x:c>
      <x:c r="F3904" s="27" t="n">
        <x:v>1</x:v>
      </x:c>
      <x:c r="G3904" s="29" t="str">
        <x:f>IF(E3904=F3904,"PASS","FAIL")</x:f>
        <x:v>PASS</x:v>
      </x:c>
    </x:row>
    <x:row r="3905" ht="18" customHeight="1">
      <x:c r="B3905" s="27" t="str">
        <x:v>A3899</x:v>
      </x:c>
      <x:c r="C3905" s="27" t="str">
        <x:v>schedule</x:v>
      </x:c>
      <x:c r="D3905" s="27" t="str">
        <x:v>Schedule row 14 zero credit</x:v>
      </x:c>
      <x:c r="E3905" s="27" t="n">
        <x:f>IF('Program Schedule'!J14=0,1,0)</x:f>
        <x:v>1</x:v>
      </x:c>
      <x:c r="F3905" s="27" t="n">
        <x:v>1</x:v>
      </x:c>
      <x:c r="G3905" s="29" t="str">
        <x:f>IF(E3905=F3905,"PASS","FAIL")</x:f>
        <x:v>PASS</x:v>
      </x:c>
    </x:row>
    <x:row r="3906" ht="18" customHeight="1">
      <x:c r="B3906" s="27" t="str">
        <x:v>A3900</x:v>
      </x:c>
      <x:c r="C3906" s="27" t="str">
        <x:v>schedule</x:v>
      </x:c>
      <x:c r="D3906" s="27" t="str">
        <x:v>Schedule row 14 inside calendar</x:v>
      </x:c>
      <x:c r="E3906" s="27" t="n">
        <x:f>IF('Program Schedule'!K14="INSIDE",1,0)</x:f>
        <x:v>1</x:v>
      </x:c>
      <x:c r="F3906" s="27" t="n">
        <x:v>1</x:v>
      </x:c>
      <x:c r="G3906" s="29" t="str">
        <x:f>IF(E3906=F3906,"PASS","FAIL")</x:f>
        <x:v>PASS</x:v>
      </x:c>
    </x:row>
    <x:row r="3907" ht="18" customHeight="1">
      <x:c r="B3907" s="27" t="str">
        <x:v>A3901</x:v>
      </x:c>
      <x:c r="C3907" s="27" t="str">
        <x:v>schedule</x:v>
      </x:c>
      <x:c r="D3907" s="27" t="str">
        <x:v>Schedule row 15 date order</x:v>
      </x:c>
      <x:c r="E3907" s="27" t="n">
        <x:f>IF('Program Schedule'!F15&gt;='Program Schedule'!E15,1,0)</x:f>
        <x:v>1</x:v>
      </x:c>
      <x:c r="F3907" s="27" t="n">
        <x:v>1</x:v>
      </x:c>
      <x:c r="G3907" s="29" t="str">
        <x:f>IF(E3907=F3907,"PASS","FAIL")</x:f>
        <x:v>PASS</x:v>
      </x:c>
    </x:row>
    <x:row r="3908" ht="18" customHeight="1">
      <x:c r="B3908" s="27" t="str">
        <x:v>A3902</x:v>
      </x:c>
      <x:c r="C3908" s="27" t="str">
        <x:v>schedule</x:v>
      </x:c>
      <x:c r="D3908" s="27" t="str">
        <x:v>Schedule row 15 duration formula</x:v>
      </x:c>
      <x:c r="E3908" s="27" t="n">
        <x:f>IF('Program Schedule'!G15='Program Schedule'!F15-'Program Schedule'!E15+1,1,0)</x:f>
        <x:v>1</x:v>
      </x:c>
      <x:c r="F3908" s="27" t="n">
        <x:v>1</x:v>
      </x:c>
      <x:c r="G3908" s="29" t="str">
        <x:f>IF(E3908=F3908,"PASS","FAIL")</x:f>
        <x:v>PASS</x:v>
      </x:c>
    </x:row>
    <x:row r="3909" ht="18" customHeight="1">
      <x:c r="B3909" s="27" t="str">
        <x:v>A3903</x:v>
      </x:c>
      <x:c r="C3909" s="27" t="str">
        <x:v>schedule</x:v>
      </x:c>
      <x:c r="D3909" s="27" t="str">
        <x:v>Schedule row 15 evidence open</x:v>
      </x:c>
      <x:c r="E3909" s="27" t="n">
        <x:f>IF('Program Schedule'!I15="OPEN",1,0)</x:f>
        <x:v>1</x:v>
      </x:c>
      <x:c r="F3909" s="27" t="n">
        <x:v>1</x:v>
      </x:c>
      <x:c r="G3909" s="29" t="str">
        <x:f>IF(E3909=F3909,"PASS","FAIL")</x:f>
        <x:v>PASS</x:v>
      </x:c>
    </x:row>
    <x:row r="3910" ht="18" customHeight="1">
      <x:c r="B3910" s="27" t="str">
        <x:v>A3904</x:v>
      </x:c>
      <x:c r="C3910" s="27" t="str">
        <x:v>schedule</x:v>
      </x:c>
      <x:c r="D3910" s="27" t="str">
        <x:v>Schedule row 15 zero credit</x:v>
      </x:c>
      <x:c r="E3910" s="27" t="n">
        <x:f>IF('Program Schedule'!J15=0,1,0)</x:f>
        <x:v>1</x:v>
      </x:c>
      <x:c r="F3910" s="27" t="n">
        <x:v>1</x:v>
      </x:c>
      <x:c r="G3910" s="29" t="str">
        <x:f>IF(E3910=F3910,"PASS","FAIL")</x:f>
        <x:v>PASS</x:v>
      </x:c>
    </x:row>
    <x:row r="3911" ht="18" customHeight="1">
      <x:c r="B3911" s="27" t="str">
        <x:v>A3905</x:v>
      </x:c>
      <x:c r="C3911" s="27" t="str">
        <x:v>schedule</x:v>
      </x:c>
      <x:c r="D3911" s="27" t="str">
        <x:v>Schedule row 15 inside calendar</x:v>
      </x:c>
      <x:c r="E3911" s="27" t="n">
        <x:f>IF('Program Schedule'!K15="INSIDE",1,0)</x:f>
        <x:v>1</x:v>
      </x:c>
      <x:c r="F3911" s="27" t="n">
        <x:v>1</x:v>
      </x:c>
      <x:c r="G3911" s="29" t="str">
        <x:f>IF(E3911=F3911,"PASS","FAIL")</x:f>
        <x:v>PASS</x:v>
      </x:c>
    </x:row>
    <x:row r="3912" ht="18" customHeight="1">
      <x:c r="B3912" s="27" t="str">
        <x:v>A3906</x:v>
      </x:c>
      <x:c r="C3912" s="27" t="str">
        <x:v>schedule</x:v>
      </x:c>
      <x:c r="D3912" s="27" t="str">
        <x:v>Schedule row 16 date order</x:v>
      </x:c>
      <x:c r="E3912" s="27" t="n">
        <x:f>IF('Program Schedule'!F16&gt;='Program Schedule'!E16,1,0)</x:f>
        <x:v>1</x:v>
      </x:c>
      <x:c r="F3912" s="27" t="n">
        <x:v>1</x:v>
      </x:c>
      <x:c r="G3912" s="29" t="str">
        <x:f>IF(E3912=F3912,"PASS","FAIL")</x:f>
        <x:v>PASS</x:v>
      </x:c>
    </x:row>
    <x:row r="3913" ht="18" customHeight="1">
      <x:c r="B3913" s="27" t="str">
        <x:v>A3907</x:v>
      </x:c>
      <x:c r="C3913" s="27" t="str">
        <x:v>schedule</x:v>
      </x:c>
      <x:c r="D3913" s="27" t="str">
        <x:v>Schedule row 16 duration formula</x:v>
      </x:c>
      <x:c r="E3913" s="27" t="n">
        <x:f>IF('Program Schedule'!G16='Program Schedule'!F16-'Program Schedule'!E16+1,1,0)</x:f>
        <x:v>1</x:v>
      </x:c>
      <x:c r="F3913" s="27" t="n">
        <x:v>1</x:v>
      </x:c>
      <x:c r="G3913" s="29" t="str">
        <x:f>IF(E3913=F3913,"PASS","FAIL")</x:f>
        <x:v>PASS</x:v>
      </x:c>
    </x:row>
    <x:row r="3914" ht="18" customHeight="1">
      <x:c r="B3914" s="27" t="str">
        <x:v>A3908</x:v>
      </x:c>
      <x:c r="C3914" s="27" t="str">
        <x:v>schedule</x:v>
      </x:c>
      <x:c r="D3914" s="27" t="str">
        <x:v>Schedule row 16 evidence open</x:v>
      </x:c>
      <x:c r="E3914" s="27" t="n">
        <x:f>IF('Program Schedule'!I16="OPEN",1,0)</x:f>
        <x:v>1</x:v>
      </x:c>
      <x:c r="F3914" s="27" t="n">
        <x:v>1</x:v>
      </x:c>
      <x:c r="G3914" s="29" t="str">
        <x:f>IF(E3914=F3914,"PASS","FAIL")</x:f>
        <x:v>PASS</x:v>
      </x:c>
    </x:row>
    <x:row r="3915" ht="18" customHeight="1">
      <x:c r="B3915" s="27" t="str">
        <x:v>A3909</x:v>
      </x:c>
      <x:c r="C3915" s="27" t="str">
        <x:v>schedule</x:v>
      </x:c>
      <x:c r="D3915" s="27" t="str">
        <x:v>Schedule row 16 zero credit</x:v>
      </x:c>
      <x:c r="E3915" s="27" t="n">
        <x:f>IF('Program Schedule'!J16=0,1,0)</x:f>
        <x:v>1</x:v>
      </x:c>
      <x:c r="F3915" s="27" t="n">
        <x:v>1</x:v>
      </x:c>
      <x:c r="G3915" s="29" t="str">
        <x:f>IF(E3915=F3915,"PASS","FAIL")</x:f>
        <x:v>PASS</x:v>
      </x:c>
    </x:row>
    <x:row r="3916" ht="18" customHeight="1">
      <x:c r="B3916" s="27" t="str">
        <x:v>A3910</x:v>
      </x:c>
      <x:c r="C3916" s="27" t="str">
        <x:v>schedule</x:v>
      </x:c>
      <x:c r="D3916" s="27" t="str">
        <x:v>Schedule row 16 inside calendar</x:v>
      </x:c>
      <x:c r="E3916" s="27" t="n">
        <x:f>IF('Program Schedule'!K16="INSIDE",1,0)</x:f>
        <x:v>1</x:v>
      </x:c>
      <x:c r="F3916" s="27" t="n">
        <x:v>1</x:v>
      </x:c>
      <x:c r="G3916" s="29" t="str">
        <x:f>IF(E3916=F3916,"PASS","FAIL")</x:f>
        <x:v>PASS</x:v>
      </x:c>
    </x:row>
    <x:row r="3917" ht="18" customHeight="1">
      <x:c r="B3917" s="27" t="str">
        <x:v>A3911</x:v>
      </x:c>
      <x:c r="C3917" s="27" t="str">
        <x:v>schedule</x:v>
      </x:c>
      <x:c r="D3917" s="27" t="str">
        <x:v>Schedule row 17 date order</x:v>
      </x:c>
      <x:c r="E3917" s="27" t="n">
        <x:f>IF('Program Schedule'!F17&gt;='Program Schedule'!E17,1,0)</x:f>
        <x:v>1</x:v>
      </x:c>
      <x:c r="F3917" s="27" t="n">
        <x:v>1</x:v>
      </x:c>
      <x:c r="G3917" s="29" t="str">
        <x:f>IF(E3917=F3917,"PASS","FAIL")</x:f>
        <x:v>PASS</x:v>
      </x:c>
    </x:row>
    <x:row r="3918" ht="18" customHeight="1">
      <x:c r="B3918" s="27" t="str">
        <x:v>A3912</x:v>
      </x:c>
      <x:c r="C3918" s="27" t="str">
        <x:v>schedule</x:v>
      </x:c>
      <x:c r="D3918" s="27" t="str">
        <x:v>Schedule row 17 duration formula</x:v>
      </x:c>
      <x:c r="E3918" s="27" t="n">
        <x:f>IF('Program Schedule'!G17='Program Schedule'!F17-'Program Schedule'!E17+1,1,0)</x:f>
        <x:v>1</x:v>
      </x:c>
      <x:c r="F3918" s="27" t="n">
        <x:v>1</x:v>
      </x:c>
      <x:c r="G3918" s="29" t="str">
        <x:f>IF(E3918=F3918,"PASS","FAIL")</x:f>
        <x:v>PASS</x:v>
      </x:c>
    </x:row>
    <x:row r="3919" ht="18" customHeight="1">
      <x:c r="B3919" s="27" t="str">
        <x:v>A3913</x:v>
      </x:c>
      <x:c r="C3919" s="27" t="str">
        <x:v>schedule</x:v>
      </x:c>
      <x:c r="D3919" s="27" t="str">
        <x:v>Schedule row 17 evidence open</x:v>
      </x:c>
      <x:c r="E3919" s="27" t="n">
        <x:f>IF('Program Schedule'!I17="OPEN",1,0)</x:f>
        <x:v>1</x:v>
      </x:c>
      <x:c r="F3919" s="27" t="n">
        <x:v>1</x:v>
      </x:c>
      <x:c r="G3919" s="29" t="str">
        <x:f>IF(E3919=F3919,"PASS","FAIL")</x:f>
        <x:v>PASS</x:v>
      </x:c>
    </x:row>
    <x:row r="3920" ht="18" customHeight="1">
      <x:c r="B3920" s="27" t="str">
        <x:v>A3914</x:v>
      </x:c>
      <x:c r="C3920" s="27" t="str">
        <x:v>schedule</x:v>
      </x:c>
      <x:c r="D3920" s="27" t="str">
        <x:v>Schedule row 17 zero credit</x:v>
      </x:c>
      <x:c r="E3920" s="27" t="n">
        <x:f>IF('Program Schedule'!J17=0,1,0)</x:f>
        <x:v>1</x:v>
      </x:c>
      <x:c r="F3920" s="27" t="n">
        <x:v>1</x:v>
      </x:c>
      <x:c r="G3920" s="29" t="str">
        <x:f>IF(E3920=F3920,"PASS","FAIL")</x:f>
        <x:v>PASS</x:v>
      </x:c>
    </x:row>
    <x:row r="3921" ht="18" customHeight="1">
      <x:c r="B3921" s="27" t="str">
        <x:v>A3915</x:v>
      </x:c>
      <x:c r="C3921" s="27" t="str">
        <x:v>schedule</x:v>
      </x:c>
      <x:c r="D3921" s="27" t="str">
        <x:v>Schedule row 17 inside calendar</x:v>
      </x:c>
      <x:c r="E3921" s="27" t="n">
        <x:f>IF('Program Schedule'!K17="INSIDE",1,0)</x:f>
        <x:v>1</x:v>
      </x:c>
      <x:c r="F3921" s="27" t="n">
        <x:v>1</x:v>
      </x:c>
      <x:c r="G3921" s="29" t="str">
        <x:f>IF(E3921=F3921,"PASS","FAIL")</x:f>
        <x:v>PASS</x:v>
      </x:c>
    </x:row>
    <x:row r="3922" ht="18" customHeight="1">
      <x:c r="B3922" s="27" t="str">
        <x:v>A3916</x:v>
      </x:c>
      <x:c r="C3922" s="27" t="str">
        <x:v>schedule</x:v>
      </x:c>
      <x:c r="D3922" s="27" t="str">
        <x:v>Schedule row 18 date order</x:v>
      </x:c>
      <x:c r="E3922" s="27" t="n">
        <x:f>IF('Program Schedule'!F18&gt;='Program Schedule'!E18,1,0)</x:f>
        <x:v>1</x:v>
      </x:c>
      <x:c r="F3922" s="27" t="n">
        <x:v>1</x:v>
      </x:c>
      <x:c r="G3922" s="29" t="str">
        <x:f>IF(E3922=F3922,"PASS","FAIL")</x:f>
        <x:v>PASS</x:v>
      </x:c>
    </x:row>
    <x:row r="3923" ht="18" customHeight="1">
      <x:c r="B3923" s="27" t="str">
        <x:v>A3917</x:v>
      </x:c>
      <x:c r="C3923" s="27" t="str">
        <x:v>schedule</x:v>
      </x:c>
      <x:c r="D3923" s="27" t="str">
        <x:v>Schedule row 18 duration formula</x:v>
      </x:c>
      <x:c r="E3923" s="27" t="n">
        <x:f>IF('Program Schedule'!G18='Program Schedule'!F18-'Program Schedule'!E18+1,1,0)</x:f>
        <x:v>1</x:v>
      </x:c>
      <x:c r="F3923" s="27" t="n">
        <x:v>1</x:v>
      </x:c>
      <x:c r="G3923" s="29" t="str">
        <x:f>IF(E3923=F3923,"PASS","FAIL")</x:f>
        <x:v>PASS</x:v>
      </x:c>
    </x:row>
    <x:row r="3924" ht="18" customHeight="1">
      <x:c r="B3924" s="27" t="str">
        <x:v>A3918</x:v>
      </x:c>
      <x:c r="C3924" s="27" t="str">
        <x:v>schedule</x:v>
      </x:c>
      <x:c r="D3924" s="27" t="str">
        <x:v>Schedule row 18 evidence open</x:v>
      </x:c>
      <x:c r="E3924" s="27" t="n">
        <x:f>IF('Program Schedule'!I18="OPEN",1,0)</x:f>
        <x:v>1</x:v>
      </x:c>
      <x:c r="F3924" s="27" t="n">
        <x:v>1</x:v>
      </x:c>
      <x:c r="G3924" s="29" t="str">
        <x:f>IF(E3924=F3924,"PASS","FAIL")</x:f>
        <x:v>PASS</x:v>
      </x:c>
    </x:row>
    <x:row r="3925" ht="18" customHeight="1">
      <x:c r="B3925" s="27" t="str">
        <x:v>A3919</x:v>
      </x:c>
      <x:c r="C3925" s="27" t="str">
        <x:v>schedule</x:v>
      </x:c>
      <x:c r="D3925" s="27" t="str">
        <x:v>Schedule row 18 zero credit</x:v>
      </x:c>
      <x:c r="E3925" s="27" t="n">
        <x:f>IF('Program Schedule'!J18=0,1,0)</x:f>
        <x:v>1</x:v>
      </x:c>
      <x:c r="F3925" s="27" t="n">
        <x:v>1</x:v>
      </x:c>
      <x:c r="G3925" s="29" t="str">
        <x:f>IF(E3925=F3925,"PASS","FAIL")</x:f>
        <x:v>PASS</x:v>
      </x:c>
    </x:row>
    <x:row r="3926" ht="18" customHeight="1">
      <x:c r="B3926" s="27" t="str">
        <x:v>A3920</x:v>
      </x:c>
      <x:c r="C3926" s="27" t="str">
        <x:v>schedule</x:v>
      </x:c>
      <x:c r="D3926" s="27" t="str">
        <x:v>Schedule row 18 inside calendar</x:v>
      </x:c>
      <x:c r="E3926" s="27" t="n">
        <x:f>IF('Program Schedule'!K18="INSIDE",1,0)</x:f>
        <x:v>1</x:v>
      </x:c>
      <x:c r="F3926" s="27" t="n">
        <x:v>1</x:v>
      </x:c>
      <x:c r="G3926" s="29" t="str">
        <x:f>IF(E3926=F3926,"PASS","FAIL")</x:f>
        <x:v>PASS</x:v>
      </x:c>
    </x:row>
    <x:row r="3927" ht="18" customHeight="1">
      <x:c r="B3927" s="27" t="str">
        <x:v>A3921</x:v>
      </x:c>
      <x:c r="C3927" s="27" t="str">
        <x:v>cost</x:v>
      </x:c>
      <x:c r="D3927" s="27" t="str">
        <x:v>Cost C7 nonnegative</x:v>
      </x:c>
      <x:c r="E3927" s="27" t="n">
        <x:f>IF('Cost Phasing'!C7&gt;=0,1,0)</x:f>
        <x:v>1</x:v>
      </x:c>
      <x:c r="F3927" s="27" t="n">
        <x:v>1</x:v>
      </x:c>
      <x:c r="G3927" s="29" t="str">
        <x:f>IF(E3927=F3927,"PASS","FAIL")</x:f>
        <x:v>PASS</x:v>
      </x:c>
    </x:row>
    <x:row r="3928" ht="18" customHeight="1">
      <x:c r="B3928" s="27" t="str">
        <x:v>A3922</x:v>
      </x:c>
      <x:c r="C3928" s="27" t="str">
        <x:v>cost</x:v>
      </x:c>
      <x:c r="D3928" s="27" t="str">
        <x:v>Cost D7 nonnegative</x:v>
      </x:c>
      <x:c r="E3928" s="27" t="n">
        <x:f>IF('Cost Phasing'!D7&gt;=0,1,0)</x:f>
        <x:v>1</x:v>
      </x:c>
      <x:c r="F3928" s="27" t="n">
        <x:v>1</x:v>
      </x:c>
      <x:c r="G3928" s="29" t="str">
        <x:f>IF(E3928=F3928,"PASS","FAIL")</x:f>
        <x:v>PASS</x:v>
      </x:c>
    </x:row>
    <x:row r="3929" ht="18" customHeight="1">
      <x:c r="B3929" s="27" t="str">
        <x:v>A3923</x:v>
      </x:c>
      <x:c r="C3929" s="27" t="str">
        <x:v>cost</x:v>
      </x:c>
      <x:c r="D3929" s="27" t="str">
        <x:v>Cost E7 nonnegative</x:v>
      </x:c>
      <x:c r="E3929" s="27" t="n">
        <x:f>IF('Cost Phasing'!E7&gt;=0,1,0)</x:f>
        <x:v>1</x:v>
      </x:c>
      <x:c r="F3929" s="27" t="n">
        <x:v>1</x:v>
      </x:c>
      <x:c r="G3929" s="29" t="str">
        <x:f>IF(E3929=F3929,"PASS","FAIL")</x:f>
        <x:v>PASS</x:v>
      </x:c>
    </x:row>
    <x:row r="3930" ht="18" customHeight="1">
      <x:c r="B3930" s="27" t="str">
        <x:v>A3924</x:v>
      </x:c>
      <x:c r="C3930" s="27" t="str">
        <x:v>cost</x:v>
      </x:c>
      <x:c r="D3930" s="27" t="str">
        <x:v>Cost F7 nonnegative</x:v>
      </x:c>
      <x:c r="E3930" s="27" t="n">
        <x:f>IF('Cost Phasing'!F7&gt;=0,1,0)</x:f>
        <x:v>1</x:v>
      </x:c>
      <x:c r="F3930" s="27" t="n">
        <x:v>1</x:v>
      </x:c>
      <x:c r="G3930" s="29" t="str">
        <x:f>IF(E3930=F3930,"PASS","FAIL")</x:f>
        <x:v>PASS</x:v>
      </x:c>
    </x:row>
    <x:row r="3931" ht="18" customHeight="1">
      <x:c r="B3931" s="27" t="str">
        <x:v>A3925</x:v>
      </x:c>
      <x:c r="C3931" s="27" t="str">
        <x:v>cost</x:v>
      </x:c>
      <x:c r="D3931" s="27" t="str">
        <x:v>Cost G7 nonnegative</x:v>
      </x:c>
      <x:c r="E3931" s="27" t="n">
        <x:f>IF('Cost Phasing'!G7&gt;=0,1,0)</x:f>
        <x:v>1</x:v>
      </x:c>
      <x:c r="F3931" s="27" t="n">
        <x:v>1</x:v>
      </x:c>
      <x:c r="G3931" s="29" t="str">
        <x:f>IF(E3931=F3931,"PASS","FAIL")</x:f>
        <x:v>PASS</x:v>
      </x:c>
    </x:row>
    <x:row r="3932" ht="18" customHeight="1">
      <x:c r="B3932" s="27" t="str">
        <x:v>A3926</x:v>
      </x:c>
      <x:c r="C3932" s="27" t="str">
        <x:v>cost</x:v>
      </x:c>
      <x:c r="D3932" s="27" t="str">
        <x:v>Cost H7 nonnegative</x:v>
      </x:c>
      <x:c r="E3932" s="27" t="n">
        <x:f>IF('Cost Phasing'!H7&gt;=0,1,0)</x:f>
        <x:v>1</x:v>
      </x:c>
      <x:c r="F3932" s="27" t="n">
        <x:v>1</x:v>
      </x:c>
      <x:c r="G3932" s="29" t="str">
        <x:f>IF(E3932=F3932,"PASS","FAIL")</x:f>
        <x:v>PASS</x:v>
      </x:c>
    </x:row>
    <x:row r="3933" ht="18" customHeight="1">
      <x:c r="B3933" s="27" t="str">
        <x:v>A3927</x:v>
      </x:c>
      <x:c r="C3933" s="27" t="str">
        <x:v>cost</x:v>
      </x:c>
      <x:c r="D3933" s="27" t="str">
        <x:v>Cost I7 nonnegative</x:v>
      </x:c>
      <x:c r="E3933" s="27" t="n">
        <x:f>IF('Cost Phasing'!I7&gt;=0,1,0)</x:f>
        <x:v>1</x:v>
      </x:c>
      <x:c r="F3933" s="27" t="n">
        <x:v>1</x:v>
      </x:c>
      <x:c r="G3933" s="29" t="str">
        <x:f>IF(E3933=F3933,"PASS","FAIL")</x:f>
        <x:v>PASS</x:v>
      </x:c>
    </x:row>
    <x:row r="3934" ht="18" customHeight="1">
      <x:c r="B3934" s="27" t="str">
        <x:v>A3928</x:v>
      </x:c>
      <x:c r="C3934" s="27" t="str">
        <x:v>cost</x:v>
      </x:c>
      <x:c r="D3934" s="27" t="str">
        <x:v>Cost J7 nonnegative</x:v>
      </x:c>
      <x:c r="E3934" s="27" t="n">
        <x:f>IF('Cost Phasing'!J7&gt;=0,1,0)</x:f>
        <x:v>1</x:v>
      </x:c>
      <x:c r="F3934" s="27" t="n">
        <x:v>1</x:v>
      </x:c>
      <x:c r="G3934" s="29" t="str">
        <x:f>IF(E3934=F3934,"PASS","FAIL")</x:f>
        <x:v>PASS</x:v>
      </x:c>
    </x:row>
    <x:row r="3935" ht="18" customHeight="1">
      <x:c r="B3935" s="27" t="str">
        <x:v>A3929</x:v>
      </x:c>
      <x:c r="C3935" s="27" t="str">
        <x:v>cost</x:v>
      </x:c>
      <x:c r="D3935" s="27" t="str">
        <x:v>Cost K7 nonnegative</x:v>
      </x:c>
      <x:c r="E3935" s="27" t="n">
        <x:f>IF('Cost Phasing'!K7&gt;=0,1,0)</x:f>
        <x:v>1</x:v>
      </x:c>
      <x:c r="F3935" s="27" t="n">
        <x:v>1</x:v>
      </x:c>
      <x:c r="G3935" s="29" t="str">
        <x:f>IF(E3935=F3935,"PASS","FAIL")</x:f>
        <x:v>PASS</x:v>
      </x:c>
    </x:row>
    <x:row r="3936" ht="18" customHeight="1">
      <x:c r="B3936" s="27" t="str">
        <x:v>A3930</x:v>
      </x:c>
      <x:c r="C3936" s="27" t="str">
        <x:v>cost</x:v>
      </x:c>
      <x:c r="D3936" s="27" t="str">
        <x:v>Cost row 7 reconciles</x:v>
      </x:c>
      <x:c r="E3936" s="27" t="n">
        <x:f>IF(ABS('Cost Phasing'!N7)&lt;0.000001,1,0)</x:f>
        <x:v>1</x:v>
      </x:c>
      <x:c r="F3936" s="27" t="n">
        <x:v>1</x:v>
      </x:c>
      <x:c r="G3936" s="29" t="str">
        <x:f>IF(E3936=F3936,"PASS","FAIL")</x:f>
        <x:v>PASS</x:v>
      </x:c>
    </x:row>
    <x:row r="3937" ht="18" customHeight="1">
      <x:c r="B3937" s="27" t="str">
        <x:v>A3931</x:v>
      </x:c>
      <x:c r="C3937" s="27" t="str">
        <x:v>cost</x:v>
      </x:c>
      <x:c r="D3937" s="27" t="str">
        <x:v>Cost C8 nonnegative</x:v>
      </x:c>
      <x:c r="E3937" s="27" t="n">
        <x:f>IF('Cost Phasing'!C8&gt;=0,1,0)</x:f>
        <x:v>1</x:v>
      </x:c>
      <x:c r="F3937" s="27" t="n">
        <x:v>1</x:v>
      </x:c>
      <x:c r="G3937" s="29" t="str">
        <x:f>IF(E3937=F3937,"PASS","FAIL")</x:f>
        <x:v>PASS</x:v>
      </x:c>
    </x:row>
    <x:row r="3938" ht="18" customHeight="1">
      <x:c r="B3938" s="27" t="str">
        <x:v>A3932</x:v>
      </x:c>
      <x:c r="C3938" s="27" t="str">
        <x:v>cost</x:v>
      </x:c>
      <x:c r="D3938" s="27" t="str">
        <x:v>Cost D8 nonnegative</x:v>
      </x:c>
      <x:c r="E3938" s="27" t="n">
        <x:f>IF('Cost Phasing'!D8&gt;=0,1,0)</x:f>
        <x:v>1</x:v>
      </x:c>
      <x:c r="F3938" s="27" t="n">
        <x:v>1</x:v>
      </x:c>
      <x:c r="G3938" s="29" t="str">
        <x:f>IF(E3938=F3938,"PASS","FAIL")</x:f>
        <x:v>PASS</x:v>
      </x:c>
    </x:row>
    <x:row r="3939" ht="18" customHeight="1">
      <x:c r="B3939" s="27" t="str">
        <x:v>A3933</x:v>
      </x:c>
      <x:c r="C3939" s="27" t="str">
        <x:v>cost</x:v>
      </x:c>
      <x:c r="D3939" s="27" t="str">
        <x:v>Cost E8 nonnegative</x:v>
      </x:c>
      <x:c r="E3939" s="27" t="n">
        <x:f>IF('Cost Phasing'!E8&gt;=0,1,0)</x:f>
        <x:v>1</x:v>
      </x:c>
      <x:c r="F3939" s="27" t="n">
        <x:v>1</x:v>
      </x:c>
      <x:c r="G3939" s="29" t="str">
        <x:f>IF(E3939=F3939,"PASS","FAIL")</x:f>
        <x:v>PASS</x:v>
      </x:c>
    </x:row>
    <x:row r="3940" ht="18" customHeight="1">
      <x:c r="B3940" s="27" t="str">
        <x:v>A3934</x:v>
      </x:c>
      <x:c r="C3940" s="27" t="str">
        <x:v>cost</x:v>
      </x:c>
      <x:c r="D3940" s="27" t="str">
        <x:v>Cost F8 nonnegative</x:v>
      </x:c>
      <x:c r="E3940" s="27" t="n">
        <x:f>IF('Cost Phasing'!F8&gt;=0,1,0)</x:f>
        <x:v>1</x:v>
      </x:c>
      <x:c r="F3940" s="27" t="n">
        <x:v>1</x:v>
      </x:c>
      <x:c r="G3940" s="29" t="str">
        <x:f>IF(E3940=F3940,"PASS","FAIL")</x:f>
        <x:v>PASS</x:v>
      </x:c>
    </x:row>
    <x:row r="3941" ht="18" customHeight="1">
      <x:c r="B3941" s="27" t="str">
        <x:v>A3935</x:v>
      </x:c>
      <x:c r="C3941" s="27" t="str">
        <x:v>cost</x:v>
      </x:c>
      <x:c r="D3941" s="27" t="str">
        <x:v>Cost G8 nonnegative</x:v>
      </x:c>
      <x:c r="E3941" s="27" t="n">
        <x:f>IF('Cost Phasing'!G8&gt;=0,1,0)</x:f>
        <x:v>1</x:v>
      </x:c>
      <x:c r="F3941" s="27" t="n">
        <x:v>1</x:v>
      </x:c>
      <x:c r="G3941" s="29" t="str">
        <x:f>IF(E3941=F3941,"PASS","FAIL")</x:f>
        <x:v>PASS</x:v>
      </x:c>
    </x:row>
    <x:row r="3942" ht="18" customHeight="1">
      <x:c r="B3942" s="27" t="str">
        <x:v>A3936</x:v>
      </x:c>
      <x:c r="C3942" s="27" t="str">
        <x:v>cost</x:v>
      </x:c>
      <x:c r="D3942" s="27" t="str">
        <x:v>Cost H8 nonnegative</x:v>
      </x:c>
      <x:c r="E3942" s="27" t="n">
        <x:f>IF('Cost Phasing'!H8&gt;=0,1,0)</x:f>
        <x:v>1</x:v>
      </x:c>
      <x:c r="F3942" s="27" t="n">
        <x:v>1</x:v>
      </x:c>
      <x:c r="G3942" s="29" t="str">
        <x:f>IF(E3942=F3942,"PASS","FAIL")</x:f>
        <x:v>PASS</x:v>
      </x:c>
    </x:row>
    <x:row r="3943" ht="18" customHeight="1">
      <x:c r="B3943" s="27" t="str">
        <x:v>A3937</x:v>
      </x:c>
      <x:c r="C3943" s="27" t="str">
        <x:v>cost</x:v>
      </x:c>
      <x:c r="D3943" s="27" t="str">
        <x:v>Cost I8 nonnegative</x:v>
      </x:c>
      <x:c r="E3943" s="27" t="n">
        <x:f>IF('Cost Phasing'!I8&gt;=0,1,0)</x:f>
        <x:v>1</x:v>
      </x:c>
      <x:c r="F3943" s="27" t="n">
        <x:v>1</x:v>
      </x:c>
      <x:c r="G3943" s="29" t="str">
        <x:f>IF(E3943=F3943,"PASS","FAIL")</x:f>
        <x:v>PASS</x:v>
      </x:c>
    </x:row>
    <x:row r="3944" ht="18" customHeight="1">
      <x:c r="B3944" s="27" t="str">
        <x:v>A3938</x:v>
      </x:c>
      <x:c r="C3944" s="27" t="str">
        <x:v>cost</x:v>
      </x:c>
      <x:c r="D3944" s="27" t="str">
        <x:v>Cost J8 nonnegative</x:v>
      </x:c>
      <x:c r="E3944" s="27" t="n">
        <x:f>IF('Cost Phasing'!J8&gt;=0,1,0)</x:f>
        <x:v>1</x:v>
      </x:c>
      <x:c r="F3944" s="27" t="n">
        <x:v>1</x:v>
      </x:c>
      <x:c r="G3944" s="29" t="str">
        <x:f>IF(E3944=F3944,"PASS","FAIL")</x:f>
        <x:v>PASS</x:v>
      </x:c>
    </x:row>
    <x:row r="3945" ht="18" customHeight="1">
      <x:c r="B3945" s="27" t="str">
        <x:v>A3939</x:v>
      </x:c>
      <x:c r="C3945" s="27" t="str">
        <x:v>cost</x:v>
      </x:c>
      <x:c r="D3945" s="27" t="str">
        <x:v>Cost K8 nonnegative</x:v>
      </x:c>
      <x:c r="E3945" s="27" t="n">
        <x:f>IF('Cost Phasing'!K8&gt;=0,1,0)</x:f>
        <x:v>1</x:v>
      </x:c>
      <x:c r="F3945" s="27" t="n">
        <x:v>1</x:v>
      </x:c>
      <x:c r="G3945" s="29" t="str">
        <x:f>IF(E3945=F3945,"PASS","FAIL")</x:f>
        <x:v>PASS</x:v>
      </x:c>
    </x:row>
    <x:row r="3946" ht="18" customHeight="1">
      <x:c r="B3946" s="27" t="str">
        <x:v>A3940</x:v>
      </x:c>
      <x:c r="C3946" s="27" t="str">
        <x:v>cost</x:v>
      </x:c>
      <x:c r="D3946" s="27" t="str">
        <x:v>Cost row 8 reconciles</x:v>
      </x:c>
      <x:c r="E3946" s="27" t="n">
        <x:f>IF(ABS('Cost Phasing'!N8)&lt;0.000001,1,0)</x:f>
        <x:v>1</x:v>
      </x:c>
      <x:c r="F3946" s="27" t="n">
        <x:v>1</x:v>
      </x:c>
      <x:c r="G3946" s="29" t="str">
        <x:f>IF(E3946=F3946,"PASS","FAIL")</x:f>
        <x:v>PASS</x:v>
      </x:c>
    </x:row>
    <x:row r="3947" ht="18" customHeight="1">
      <x:c r="B3947" s="27" t="str">
        <x:v>A3941</x:v>
      </x:c>
      <x:c r="C3947" s="27" t="str">
        <x:v>cost</x:v>
      </x:c>
      <x:c r="D3947" s="27" t="str">
        <x:v>Cost C9 nonnegative</x:v>
      </x:c>
      <x:c r="E3947" s="27" t="n">
        <x:f>IF('Cost Phasing'!C9&gt;=0,1,0)</x:f>
        <x:v>1</x:v>
      </x:c>
      <x:c r="F3947" s="27" t="n">
        <x:v>1</x:v>
      </x:c>
      <x:c r="G3947" s="29" t="str">
        <x:f>IF(E3947=F3947,"PASS","FAIL")</x:f>
        <x:v>PASS</x:v>
      </x:c>
    </x:row>
    <x:row r="3948" ht="18" customHeight="1">
      <x:c r="B3948" s="27" t="str">
        <x:v>A3942</x:v>
      </x:c>
      <x:c r="C3948" s="27" t="str">
        <x:v>cost</x:v>
      </x:c>
      <x:c r="D3948" s="27" t="str">
        <x:v>Cost D9 nonnegative</x:v>
      </x:c>
      <x:c r="E3948" s="27" t="n">
        <x:f>IF('Cost Phasing'!D9&gt;=0,1,0)</x:f>
        <x:v>1</x:v>
      </x:c>
      <x:c r="F3948" s="27" t="n">
        <x:v>1</x:v>
      </x:c>
      <x:c r="G3948" s="29" t="str">
        <x:f>IF(E3948=F3948,"PASS","FAIL")</x:f>
        <x:v>PASS</x:v>
      </x:c>
    </x:row>
    <x:row r="3949" ht="18" customHeight="1">
      <x:c r="B3949" s="27" t="str">
        <x:v>A3943</x:v>
      </x:c>
      <x:c r="C3949" s="27" t="str">
        <x:v>cost</x:v>
      </x:c>
      <x:c r="D3949" s="27" t="str">
        <x:v>Cost E9 nonnegative</x:v>
      </x:c>
      <x:c r="E3949" s="27" t="n">
        <x:f>IF('Cost Phasing'!E9&gt;=0,1,0)</x:f>
        <x:v>1</x:v>
      </x:c>
      <x:c r="F3949" s="27" t="n">
        <x:v>1</x:v>
      </x:c>
      <x:c r="G3949" s="29" t="str">
        <x:f>IF(E3949=F3949,"PASS","FAIL")</x:f>
        <x:v>PASS</x:v>
      </x:c>
    </x:row>
    <x:row r="3950" ht="18" customHeight="1">
      <x:c r="B3950" s="27" t="str">
        <x:v>A3944</x:v>
      </x:c>
      <x:c r="C3950" s="27" t="str">
        <x:v>cost</x:v>
      </x:c>
      <x:c r="D3950" s="27" t="str">
        <x:v>Cost F9 nonnegative</x:v>
      </x:c>
      <x:c r="E3950" s="27" t="n">
        <x:f>IF('Cost Phasing'!F9&gt;=0,1,0)</x:f>
        <x:v>1</x:v>
      </x:c>
      <x:c r="F3950" s="27" t="n">
        <x:v>1</x:v>
      </x:c>
      <x:c r="G3950" s="29" t="str">
        <x:f>IF(E3950=F3950,"PASS","FAIL")</x:f>
        <x:v>PASS</x:v>
      </x:c>
    </x:row>
    <x:row r="3951" ht="18" customHeight="1">
      <x:c r="B3951" s="27" t="str">
        <x:v>A3945</x:v>
      </x:c>
      <x:c r="C3951" s="27" t="str">
        <x:v>cost</x:v>
      </x:c>
      <x:c r="D3951" s="27" t="str">
        <x:v>Cost G9 nonnegative</x:v>
      </x:c>
      <x:c r="E3951" s="27" t="n">
        <x:f>IF('Cost Phasing'!G9&gt;=0,1,0)</x:f>
        <x:v>1</x:v>
      </x:c>
      <x:c r="F3951" s="27" t="n">
        <x:v>1</x:v>
      </x:c>
      <x:c r="G3951" s="29" t="str">
        <x:f>IF(E3951=F3951,"PASS","FAIL")</x:f>
        <x:v>PASS</x:v>
      </x:c>
    </x:row>
    <x:row r="3952" ht="18" customHeight="1">
      <x:c r="B3952" s="27" t="str">
        <x:v>A3946</x:v>
      </x:c>
      <x:c r="C3952" s="27" t="str">
        <x:v>cost</x:v>
      </x:c>
      <x:c r="D3952" s="27" t="str">
        <x:v>Cost H9 nonnegative</x:v>
      </x:c>
      <x:c r="E3952" s="27" t="n">
        <x:f>IF('Cost Phasing'!H9&gt;=0,1,0)</x:f>
        <x:v>1</x:v>
      </x:c>
      <x:c r="F3952" s="27" t="n">
        <x:v>1</x:v>
      </x:c>
      <x:c r="G3952" s="29" t="str">
        <x:f>IF(E3952=F3952,"PASS","FAIL")</x:f>
        <x:v>PASS</x:v>
      </x:c>
    </x:row>
    <x:row r="3953" ht="18" customHeight="1">
      <x:c r="B3953" s="27" t="str">
        <x:v>A3947</x:v>
      </x:c>
      <x:c r="C3953" s="27" t="str">
        <x:v>cost</x:v>
      </x:c>
      <x:c r="D3953" s="27" t="str">
        <x:v>Cost I9 nonnegative</x:v>
      </x:c>
      <x:c r="E3953" s="27" t="n">
        <x:f>IF('Cost Phasing'!I9&gt;=0,1,0)</x:f>
        <x:v>1</x:v>
      </x:c>
      <x:c r="F3953" s="27" t="n">
        <x:v>1</x:v>
      </x:c>
      <x:c r="G3953" s="29" t="str">
        <x:f>IF(E3953=F3953,"PASS","FAIL")</x:f>
        <x:v>PASS</x:v>
      </x:c>
    </x:row>
    <x:row r="3954" ht="18" customHeight="1">
      <x:c r="B3954" s="27" t="str">
        <x:v>A3948</x:v>
      </x:c>
      <x:c r="C3954" s="27" t="str">
        <x:v>cost</x:v>
      </x:c>
      <x:c r="D3954" s="27" t="str">
        <x:v>Cost J9 nonnegative</x:v>
      </x:c>
      <x:c r="E3954" s="27" t="n">
        <x:f>IF('Cost Phasing'!J9&gt;=0,1,0)</x:f>
        <x:v>1</x:v>
      </x:c>
      <x:c r="F3954" s="27" t="n">
        <x:v>1</x:v>
      </x:c>
      <x:c r="G3954" s="29" t="str">
        <x:f>IF(E3954=F3954,"PASS","FAIL")</x:f>
        <x:v>PASS</x:v>
      </x:c>
    </x:row>
    <x:row r="3955" ht="18" customHeight="1">
      <x:c r="B3955" s="27" t="str">
        <x:v>A3949</x:v>
      </x:c>
      <x:c r="C3955" s="27" t="str">
        <x:v>cost</x:v>
      </x:c>
      <x:c r="D3955" s="27" t="str">
        <x:v>Cost K9 nonnegative</x:v>
      </x:c>
      <x:c r="E3955" s="27" t="n">
        <x:f>IF('Cost Phasing'!K9&gt;=0,1,0)</x:f>
        <x:v>1</x:v>
      </x:c>
      <x:c r="F3955" s="27" t="n">
        <x:v>1</x:v>
      </x:c>
      <x:c r="G3955" s="29" t="str">
        <x:f>IF(E3955=F3955,"PASS","FAIL")</x:f>
        <x:v>PASS</x:v>
      </x:c>
    </x:row>
    <x:row r="3956" ht="18" customHeight="1">
      <x:c r="B3956" s="27" t="str">
        <x:v>A3950</x:v>
      </x:c>
      <x:c r="C3956" s="27" t="str">
        <x:v>cost</x:v>
      </x:c>
      <x:c r="D3956" s="27" t="str">
        <x:v>Cost row 9 reconciles</x:v>
      </x:c>
      <x:c r="E3956" s="27" t="n">
        <x:f>IF(ABS('Cost Phasing'!N9)&lt;0.000001,1,0)</x:f>
        <x:v>1</x:v>
      </x:c>
      <x:c r="F3956" s="27" t="n">
        <x:v>1</x:v>
      </x:c>
      <x:c r="G3956" s="29" t="str">
        <x:f>IF(E3956=F3956,"PASS","FAIL")</x:f>
        <x:v>PASS</x:v>
      </x:c>
    </x:row>
    <x:row r="3957" ht="18" customHeight="1">
      <x:c r="B3957" s="27" t="str">
        <x:v>A3951</x:v>
      </x:c>
      <x:c r="C3957" s="27" t="str">
        <x:v>cost</x:v>
      </x:c>
      <x:c r="D3957" s="27" t="str">
        <x:v>Cost C10 nonnegative</x:v>
      </x:c>
      <x:c r="E3957" s="27" t="n">
        <x:f>IF('Cost Phasing'!C10&gt;=0,1,0)</x:f>
        <x:v>1</x:v>
      </x:c>
      <x:c r="F3957" s="27" t="n">
        <x:v>1</x:v>
      </x:c>
      <x:c r="G3957" s="29" t="str">
        <x:f>IF(E3957=F3957,"PASS","FAIL")</x:f>
        <x:v>PASS</x:v>
      </x:c>
    </x:row>
    <x:row r="3958" ht="18" customHeight="1">
      <x:c r="B3958" s="27" t="str">
        <x:v>A3952</x:v>
      </x:c>
      <x:c r="C3958" s="27" t="str">
        <x:v>cost</x:v>
      </x:c>
      <x:c r="D3958" s="27" t="str">
        <x:v>Cost D10 nonnegative</x:v>
      </x:c>
      <x:c r="E3958" s="27" t="n">
        <x:f>IF('Cost Phasing'!D10&gt;=0,1,0)</x:f>
        <x:v>1</x:v>
      </x:c>
      <x:c r="F3958" s="27" t="n">
        <x:v>1</x:v>
      </x:c>
      <x:c r="G3958" s="29" t="str">
        <x:f>IF(E3958=F3958,"PASS","FAIL")</x:f>
        <x:v>PASS</x:v>
      </x:c>
    </x:row>
    <x:row r="3959" ht="18" customHeight="1">
      <x:c r="B3959" s="27" t="str">
        <x:v>A3953</x:v>
      </x:c>
      <x:c r="C3959" s="27" t="str">
        <x:v>cost</x:v>
      </x:c>
      <x:c r="D3959" s="27" t="str">
        <x:v>Cost E10 nonnegative</x:v>
      </x:c>
      <x:c r="E3959" s="27" t="n">
        <x:f>IF('Cost Phasing'!E10&gt;=0,1,0)</x:f>
        <x:v>1</x:v>
      </x:c>
      <x:c r="F3959" s="27" t="n">
        <x:v>1</x:v>
      </x:c>
      <x:c r="G3959" s="29" t="str">
        <x:f>IF(E3959=F3959,"PASS","FAIL")</x:f>
        <x:v>PASS</x:v>
      </x:c>
    </x:row>
    <x:row r="3960" ht="18" customHeight="1">
      <x:c r="B3960" s="27" t="str">
        <x:v>A3954</x:v>
      </x:c>
      <x:c r="C3960" s="27" t="str">
        <x:v>cost</x:v>
      </x:c>
      <x:c r="D3960" s="27" t="str">
        <x:v>Cost F10 nonnegative</x:v>
      </x:c>
      <x:c r="E3960" s="27" t="n">
        <x:f>IF('Cost Phasing'!F10&gt;=0,1,0)</x:f>
        <x:v>1</x:v>
      </x:c>
      <x:c r="F3960" s="27" t="n">
        <x:v>1</x:v>
      </x:c>
      <x:c r="G3960" s="29" t="str">
        <x:f>IF(E3960=F3960,"PASS","FAIL")</x:f>
        <x:v>PASS</x:v>
      </x:c>
    </x:row>
    <x:row r="3961" ht="18" customHeight="1">
      <x:c r="B3961" s="27" t="str">
        <x:v>A3955</x:v>
      </x:c>
      <x:c r="C3961" s="27" t="str">
        <x:v>cost</x:v>
      </x:c>
      <x:c r="D3961" s="27" t="str">
        <x:v>Cost G10 nonnegative</x:v>
      </x:c>
      <x:c r="E3961" s="27" t="n">
        <x:f>IF('Cost Phasing'!G10&gt;=0,1,0)</x:f>
        <x:v>1</x:v>
      </x:c>
      <x:c r="F3961" s="27" t="n">
        <x:v>1</x:v>
      </x:c>
      <x:c r="G3961" s="29" t="str">
        <x:f>IF(E3961=F3961,"PASS","FAIL")</x:f>
        <x:v>PASS</x:v>
      </x:c>
    </x:row>
    <x:row r="3962" ht="18" customHeight="1">
      <x:c r="B3962" s="27" t="str">
        <x:v>A3956</x:v>
      </x:c>
      <x:c r="C3962" s="27" t="str">
        <x:v>cost</x:v>
      </x:c>
      <x:c r="D3962" s="27" t="str">
        <x:v>Cost H10 nonnegative</x:v>
      </x:c>
      <x:c r="E3962" s="27" t="n">
        <x:f>IF('Cost Phasing'!H10&gt;=0,1,0)</x:f>
        <x:v>1</x:v>
      </x:c>
      <x:c r="F3962" s="27" t="n">
        <x:v>1</x:v>
      </x:c>
      <x:c r="G3962" s="29" t="str">
        <x:f>IF(E3962=F3962,"PASS","FAIL")</x:f>
        <x:v>PASS</x:v>
      </x:c>
    </x:row>
    <x:row r="3963" ht="18" customHeight="1">
      <x:c r="B3963" s="27" t="str">
        <x:v>A3957</x:v>
      </x:c>
      <x:c r="C3963" s="27" t="str">
        <x:v>cost</x:v>
      </x:c>
      <x:c r="D3963" s="27" t="str">
        <x:v>Cost I10 nonnegative</x:v>
      </x:c>
      <x:c r="E3963" s="27" t="n">
        <x:f>IF('Cost Phasing'!I10&gt;=0,1,0)</x:f>
        <x:v>1</x:v>
      </x:c>
      <x:c r="F3963" s="27" t="n">
        <x:v>1</x:v>
      </x:c>
      <x:c r="G3963" s="29" t="str">
        <x:f>IF(E3963=F3963,"PASS","FAIL")</x:f>
        <x:v>PASS</x:v>
      </x:c>
    </x:row>
    <x:row r="3964" ht="18" customHeight="1">
      <x:c r="B3964" s="27" t="str">
        <x:v>A3958</x:v>
      </x:c>
      <x:c r="C3964" s="27" t="str">
        <x:v>cost</x:v>
      </x:c>
      <x:c r="D3964" s="27" t="str">
        <x:v>Cost J10 nonnegative</x:v>
      </x:c>
      <x:c r="E3964" s="27" t="n">
        <x:f>IF('Cost Phasing'!J10&gt;=0,1,0)</x:f>
        <x:v>1</x:v>
      </x:c>
      <x:c r="F3964" s="27" t="n">
        <x:v>1</x:v>
      </x:c>
      <x:c r="G3964" s="29" t="str">
        <x:f>IF(E3964=F3964,"PASS","FAIL")</x:f>
        <x:v>PASS</x:v>
      </x:c>
    </x:row>
    <x:row r="3965" ht="18" customHeight="1">
      <x:c r="B3965" s="27" t="str">
        <x:v>A3959</x:v>
      </x:c>
      <x:c r="C3965" s="27" t="str">
        <x:v>cost</x:v>
      </x:c>
      <x:c r="D3965" s="27" t="str">
        <x:v>Cost K10 nonnegative</x:v>
      </x:c>
      <x:c r="E3965" s="27" t="n">
        <x:f>IF('Cost Phasing'!K10&gt;=0,1,0)</x:f>
        <x:v>1</x:v>
      </x:c>
      <x:c r="F3965" s="27" t="n">
        <x:v>1</x:v>
      </x:c>
      <x:c r="G3965" s="29" t="str">
        <x:f>IF(E3965=F3965,"PASS","FAIL")</x:f>
        <x:v>PASS</x:v>
      </x:c>
    </x:row>
    <x:row r="3966" ht="18" customHeight="1">
      <x:c r="B3966" s="27" t="str">
        <x:v>A3960</x:v>
      </x:c>
      <x:c r="C3966" s="27" t="str">
        <x:v>cost</x:v>
      </x:c>
      <x:c r="D3966" s="27" t="str">
        <x:v>Cost row 10 reconciles</x:v>
      </x:c>
      <x:c r="E3966" s="27" t="n">
        <x:f>IF(ABS('Cost Phasing'!N10)&lt;0.000001,1,0)</x:f>
        <x:v>1</x:v>
      </x:c>
      <x:c r="F3966" s="27" t="n">
        <x:v>1</x:v>
      </x:c>
      <x:c r="G3966" s="29" t="str">
        <x:f>IF(E3966=F3966,"PASS","FAIL")</x:f>
        <x:v>PASS</x:v>
      </x:c>
    </x:row>
    <x:row r="3967" ht="18" customHeight="1">
      <x:c r="B3967" s="27" t="str">
        <x:v>A3961</x:v>
      </x:c>
      <x:c r="C3967" s="27" t="str">
        <x:v>cost</x:v>
      </x:c>
      <x:c r="D3967" s="27" t="str">
        <x:v>Cost C11 nonnegative</x:v>
      </x:c>
      <x:c r="E3967" s="27" t="n">
        <x:f>IF('Cost Phasing'!C11&gt;=0,1,0)</x:f>
        <x:v>1</x:v>
      </x:c>
      <x:c r="F3967" s="27" t="n">
        <x:v>1</x:v>
      </x:c>
      <x:c r="G3967" s="29" t="str">
        <x:f>IF(E3967=F3967,"PASS","FAIL")</x:f>
        <x:v>PASS</x:v>
      </x:c>
    </x:row>
    <x:row r="3968" ht="18" customHeight="1">
      <x:c r="B3968" s="27" t="str">
        <x:v>A3962</x:v>
      </x:c>
      <x:c r="C3968" s="27" t="str">
        <x:v>cost</x:v>
      </x:c>
      <x:c r="D3968" s="27" t="str">
        <x:v>Cost D11 nonnegative</x:v>
      </x:c>
      <x:c r="E3968" s="27" t="n">
        <x:f>IF('Cost Phasing'!D11&gt;=0,1,0)</x:f>
        <x:v>1</x:v>
      </x:c>
      <x:c r="F3968" s="27" t="n">
        <x:v>1</x:v>
      </x:c>
      <x:c r="G3968" s="29" t="str">
        <x:f>IF(E3968=F3968,"PASS","FAIL")</x:f>
        <x:v>PASS</x:v>
      </x:c>
    </x:row>
    <x:row r="3969" ht="18" customHeight="1">
      <x:c r="B3969" s="27" t="str">
        <x:v>A3963</x:v>
      </x:c>
      <x:c r="C3969" s="27" t="str">
        <x:v>cost</x:v>
      </x:c>
      <x:c r="D3969" s="27" t="str">
        <x:v>Cost E11 nonnegative</x:v>
      </x:c>
      <x:c r="E3969" s="27" t="n">
        <x:f>IF('Cost Phasing'!E11&gt;=0,1,0)</x:f>
        <x:v>1</x:v>
      </x:c>
      <x:c r="F3969" s="27" t="n">
        <x:v>1</x:v>
      </x:c>
      <x:c r="G3969" s="29" t="str">
        <x:f>IF(E3969=F3969,"PASS","FAIL")</x:f>
        <x:v>PASS</x:v>
      </x:c>
    </x:row>
    <x:row r="3970" ht="18" customHeight="1">
      <x:c r="B3970" s="27" t="str">
        <x:v>A3964</x:v>
      </x:c>
      <x:c r="C3970" s="27" t="str">
        <x:v>cost</x:v>
      </x:c>
      <x:c r="D3970" s="27" t="str">
        <x:v>Cost F11 nonnegative</x:v>
      </x:c>
      <x:c r="E3970" s="27" t="n">
        <x:f>IF('Cost Phasing'!F11&gt;=0,1,0)</x:f>
        <x:v>1</x:v>
      </x:c>
      <x:c r="F3970" s="27" t="n">
        <x:v>1</x:v>
      </x:c>
      <x:c r="G3970" s="29" t="str">
        <x:f>IF(E3970=F3970,"PASS","FAIL")</x:f>
        <x:v>PASS</x:v>
      </x:c>
    </x:row>
    <x:row r="3971" ht="18" customHeight="1">
      <x:c r="B3971" s="27" t="str">
        <x:v>A3965</x:v>
      </x:c>
      <x:c r="C3971" s="27" t="str">
        <x:v>cost</x:v>
      </x:c>
      <x:c r="D3971" s="27" t="str">
        <x:v>Cost G11 nonnegative</x:v>
      </x:c>
      <x:c r="E3971" s="27" t="n">
        <x:f>IF('Cost Phasing'!G11&gt;=0,1,0)</x:f>
        <x:v>1</x:v>
      </x:c>
      <x:c r="F3971" s="27" t="n">
        <x:v>1</x:v>
      </x:c>
      <x:c r="G3971" s="29" t="str">
        <x:f>IF(E3971=F3971,"PASS","FAIL")</x:f>
        <x:v>PASS</x:v>
      </x:c>
    </x:row>
    <x:row r="3972" ht="18" customHeight="1">
      <x:c r="B3972" s="27" t="str">
        <x:v>A3966</x:v>
      </x:c>
      <x:c r="C3972" s="27" t="str">
        <x:v>cost</x:v>
      </x:c>
      <x:c r="D3972" s="27" t="str">
        <x:v>Cost H11 nonnegative</x:v>
      </x:c>
      <x:c r="E3972" s="27" t="n">
        <x:f>IF('Cost Phasing'!H11&gt;=0,1,0)</x:f>
        <x:v>1</x:v>
      </x:c>
      <x:c r="F3972" s="27" t="n">
        <x:v>1</x:v>
      </x:c>
      <x:c r="G3972" s="29" t="str">
        <x:f>IF(E3972=F3972,"PASS","FAIL")</x:f>
        <x:v>PASS</x:v>
      </x:c>
    </x:row>
    <x:row r="3973" ht="18" customHeight="1">
      <x:c r="B3973" s="27" t="str">
        <x:v>A3967</x:v>
      </x:c>
      <x:c r="C3973" s="27" t="str">
        <x:v>cost</x:v>
      </x:c>
      <x:c r="D3973" s="27" t="str">
        <x:v>Cost I11 nonnegative</x:v>
      </x:c>
      <x:c r="E3973" s="27" t="n">
        <x:f>IF('Cost Phasing'!I11&gt;=0,1,0)</x:f>
        <x:v>1</x:v>
      </x:c>
      <x:c r="F3973" s="27" t="n">
        <x:v>1</x:v>
      </x:c>
      <x:c r="G3973" s="29" t="str">
        <x:f>IF(E3973=F3973,"PASS","FAIL")</x:f>
        <x:v>PASS</x:v>
      </x:c>
    </x:row>
    <x:row r="3974" ht="18" customHeight="1">
      <x:c r="B3974" s="27" t="str">
        <x:v>A3968</x:v>
      </x:c>
      <x:c r="C3974" s="27" t="str">
        <x:v>cost</x:v>
      </x:c>
      <x:c r="D3974" s="27" t="str">
        <x:v>Cost J11 nonnegative</x:v>
      </x:c>
      <x:c r="E3974" s="27" t="n">
        <x:f>IF('Cost Phasing'!J11&gt;=0,1,0)</x:f>
        <x:v>1</x:v>
      </x:c>
      <x:c r="F3974" s="27" t="n">
        <x:v>1</x:v>
      </x:c>
      <x:c r="G3974" s="29" t="str">
        <x:f>IF(E3974=F3974,"PASS","FAIL")</x:f>
        <x:v>PASS</x:v>
      </x:c>
    </x:row>
    <x:row r="3975" ht="18" customHeight="1">
      <x:c r="B3975" s="27" t="str">
        <x:v>A3969</x:v>
      </x:c>
      <x:c r="C3975" s="27" t="str">
        <x:v>cost</x:v>
      </x:c>
      <x:c r="D3975" s="27" t="str">
        <x:v>Cost K11 nonnegative</x:v>
      </x:c>
      <x:c r="E3975" s="27" t="n">
        <x:f>IF('Cost Phasing'!K11&gt;=0,1,0)</x:f>
        <x:v>1</x:v>
      </x:c>
      <x:c r="F3975" s="27" t="n">
        <x:v>1</x:v>
      </x:c>
      <x:c r="G3975" s="29" t="str">
        <x:f>IF(E3975=F3975,"PASS","FAIL")</x:f>
        <x:v>PASS</x:v>
      </x:c>
    </x:row>
    <x:row r="3976" ht="18" customHeight="1">
      <x:c r="B3976" s="27" t="str">
        <x:v>A3970</x:v>
      </x:c>
      <x:c r="C3976" s="27" t="str">
        <x:v>cost</x:v>
      </x:c>
      <x:c r="D3976" s="27" t="str">
        <x:v>Cost row 11 reconciles</x:v>
      </x:c>
      <x:c r="E3976" s="27" t="n">
        <x:f>IF(ABS('Cost Phasing'!N11)&lt;0.000001,1,0)</x:f>
        <x:v>1</x:v>
      </x:c>
      <x:c r="F3976" s="27" t="n">
        <x:v>1</x:v>
      </x:c>
      <x:c r="G3976" s="29" t="str">
        <x:f>IF(E3976=F3976,"PASS","FAIL")</x:f>
        <x:v>PASS</x:v>
      </x:c>
    </x:row>
    <x:row r="3977" ht="18" customHeight="1">
      <x:c r="B3977" s="27" t="str">
        <x:v>A3971</x:v>
      </x:c>
      <x:c r="C3977" s="27" t="str">
        <x:v>cost</x:v>
      </x:c>
      <x:c r="D3977" s="27" t="str">
        <x:v>Cost C12 nonnegative</x:v>
      </x:c>
      <x:c r="E3977" s="27" t="n">
        <x:f>IF('Cost Phasing'!C12&gt;=0,1,0)</x:f>
        <x:v>1</x:v>
      </x:c>
      <x:c r="F3977" s="27" t="n">
        <x:v>1</x:v>
      </x:c>
      <x:c r="G3977" s="29" t="str">
        <x:f>IF(E3977=F3977,"PASS","FAIL")</x:f>
        <x:v>PASS</x:v>
      </x:c>
    </x:row>
    <x:row r="3978" ht="18" customHeight="1">
      <x:c r="B3978" s="27" t="str">
        <x:v>A3972</x:v>
      </x:c>
      <x:c r="C3978" s="27" t="str">
        <x:v>cost</x:v>
      </x:c>
      <x:c r="D3978" s="27" t="str">
        <x:v>Cost D12 nonnegative</x:v>
      </x:c>
      <x:c r="E3978" s="27" t="n">
        <x:f>IF('Cost Phasing'!D12&gt;=0,1,0)</x:f>
        <x:v>1</x:v>
      </x:c>
      <x:c r="F3978" s="27" t="n">
        <x:v>1</x:v>
      </x:c>
      <x:c r="G3978" s="29" t="str">
        <x:f>IF(E3978=F3978,"PASS","FAIL")</x:f>
        <x:v>PASS</x:v>
      </x:c>
    </x:row>
    <x:row r="3979" ht="18" customHeight="1">
      <x:c r="B3979" s="27" t="str">
        <x:v>A3973</x:v>
      </x:c>
      <x:c r="C3979" s="27" t="str">
        <x:v>cost</x:v>
      </x:c>
      <x:c r="D3979" s="27" t="str">
        <x:v>Cost E12 nonnegative</x:v>
      </x:c>
      <x:c r="E3979" s="27" t="n">
        <x:f>IF('Cost Phasing'!E12&gt;=0,1,0)</x:f>
        <x:v>1</x:v>
      </x:c>
      <x:c r="F3979" s="27" t="n">
        <x:v>1</x:v>
      </x:c>
      <x:c r="G3979" s="29" t="str">
        <x:f>IF(E3979=F3979,"PASS","FAIL")</x:f>
        <x:v>PASS</x:v>
      </x:c>
    </x:row>
    <x:row r="3980" ht="18" customHeight="1">
      <x:c r="B3980" s="27" t="str">
        <x:v>A3974</x:v>
      </x:c>
      <x:c r="C3980" s="27" t="str">
        <x:v>cost</x:v>
      </x:c>
      <x:c r="D3980" s="27" t="str">
        <x:v>Cost F12 nonnegative</x:v>
      </x:c>
      <x:c r="E3980" s="27" t="n">
        <x:f>IF('Cost Phasing'!F12&gt;=0,1,0)</x:f>
        <x:v>1</x:v>
      </x:c>
      <x:c r="F3980" s="27" t="n">
        <x:v>1</x:v>
      </x:c>
      <x:c r="G3980" s="29" t="str">
        <x:f>IF(E3980=F3980,"PASS","FAIL")</x:f>
        <x:v>PASS</x:v>
      </x:c>
    </x:row>
    <x:row r="3981" ht="18" customHeight="1">
      <x:c r="B3981" s="27" t="str">
        <x:v>A3975</x:v>
      </x:c>
      <x:c r="C3981" s="27" t="str">
        <x:v>cost</x:v>
      </x:c>
      <x:c r="D3981" s="27" t="str">
        <x:v>Cost G12 nonnegative</x:v>
      </x:c>
      <x:c r="E3981" s="27" t="n">
        <x:f>IF('Cost Phasing'!G12&gt;=0,1,0)</x:f>
        <x:v>1</x:v>
      </x:c>
      <x:c r="F3981" s="27" t="n">
        <x:v>1</x:v>
      </x:c>
      <x:c r="G3981" s="29" t="str">
        <x:f>IF(E3981=F3981,"PASS","FAIL")</x:f>
        <x:v>PASS</x:v>
      </x:c>
    </x:row>
    <x:row r="3982" ht="18" customHeight="1">
      <x:c r="B3982" s="27" t="str">
        <x:v>A3976</x:v>
      </x:c>
      <x:c r="C3982" s="27" t="str">
        <x:v>cost</x:v>
      </x:c>
      <x:c r="D3982" s="27" t="str">
        <x:v>Cost H12 nonnegative</x:v>
      </x:c>
      <x:c r="E3982" s="27" t="n">
        <x:f>IF('Cost Phasing'!H12&gt;=0,1,0)</x:f>
        <x:v>1</x:v>
      </x:c>
      <x:c r="F3982" s="27" t="n">
        <x:v>1</x:v>
      </x:c>
      <x:c r="G3982" s="29" t="str">
        <x:f>IF(E3982=F3982,"PASS","FAIL")</x:f>
        <x:v>PASS</x:v>
      </x:c>
    </x:row>
    <x:row r="3983" ht="18" customHeight="1">
      <x:c r="B3983" s="27" t="str">
        <x:v>A3977</x:v>
      </x:c>
      <x:c r="C3983" s="27" t="str">
        <x:v>cost</x:v>
      </x:c>
      <x:c r="D3983" s="27" t="str">
        <x:v>Cost I12 nonnegative</x:v>
      </x:c>
      <x:c r="E3983" s="27" t="n">
        <x:f>IF('Cost Phasing'!I12&gt;=0,1,0)</x:f>
        <x:v>1</x:v>
      </x:c>
      <x:c r="F3983" s="27" t="n">
        <x:v>1</x:v>
      </x:c>
      <x:c r="G3983" s="29" t="str">
        <x:f>IF(E3983=F3983,"PASS","FAIL")</x:f>
        <x:v>PASS</x:v>
      </x:c>
    </x:row>
    <x:row r="3984" ht="18" customHeight="1">
      <x:c r="B3984" s="27" t="str">
        <x:v>A3978</x:v>
      </x:c>
      <x:c r="C3984" s="27" t="str">
        <x:v>cost</x:v>
      </x:c>
      <x:c r="D3984" s="27" t="str">
        <x:v>Cost J12 nonnegative</x:v>
      </x:c>
      <x:c r="E3984" s="27" t="n">
        <x:f>IF('Cost Phasing'!J12&gt;=0,1,0)</x:f>
        <x:v>1</x:v>
      </x:c>
      <x:c r="F3984" s="27" t="n">
        <x:v>1</x:v>
      </x:c>
      <x:c r="G3984" s="29" t="str">
        <x:f>IF(E3984=F3984,"PASS","FAIL")</x:f>
        <x:v>PASS</x:v>
      </x:c>
    </x:row>
    <x:row r="3985" ht="18" customHeight="1">
      <x:c r="B3985" s="27" t="str">
        <x:v>A3979</x:v>
      </x:c>
      <x:c r="C3985" s="27" t="str">
        <x:v>cost</x:v>
      </x:c>
      <x:c r="D3985" s="27" t="str">
        <x:v>Cost K12 nonnegative</x:v>
      </x:c>
      <x:c r="E3985" s="27" t="n">
        <x:f>IF('Cost Phasing'!K12&gt;=0,1,0)</x:f>
        <x:v>1</x:v>
      </x:c>
      <x:c r="F3985" s="27" t="n">
        <x:v>1</x:v>
      </x:c>
      <x:c r="G3985" s="29" t="str">
        <x:f>IF(E3985=F3985,"PASS","FAIL")</x:f>
        <x:v>PASS</x:v>
      </x:c>
    </x:row>
    <x:row r="3986" ht="18" customHeight="1">
      <x:c r="B3986" s="27" t="str">
        <x:v>A3980</x:v>
      </x:c>
      <x:c r="C3986" s="27" t="str">
        <x:v>cost</x:v>
      </x:c>
      <x:c r="D3986" s="27" t="str">
        <x:v>Cost row 12 reconciles</x:v>
      </x:c>
      <x:c r="E3986" s="27" t="n">
        <x:f>IF(ABS('Cost Phasing'!N12)&lt;0.000001,1,0)</x:f>
        <x:v>1</x:v>
      </x:c>
      <x:c r="F3986" s="27" t="n">
        <x:v>1</x:v>
      </x:c>
      <x:c r="G3986" s="29" t="str">
        <x:f>IF(E3986=F3986,"PASS","FAIL")</x:f>
        <x:v>PASS</x:v>
      </x:c>
    </x:row>
    <x:row r="3987" ht="18" customHeight="1">
      <x:c r="B3987" s="27" t="str">
        <x:v>A3981</x:v>
      </x:c>
      <x:c r="C3987" s="27" t="str">
        <x:v>cost</x:v>
      </x:c>
      <x:c r="D3987" s="27" t="str">
        <x:v>Cost C13 nonnegative</x:v>
      </x:c>
      <x:c r="E3987" s="27" t="n">
        <x:f>IF('Cost Phasing'!C13&gt;=0,1,0)</x:f>
        <x:v>1</x:v>
      </x:c>
      <x:c r="F3987" s="27" t="n">
        <x:v>1</x:v>
      </x:c>
      <x:c r="G3987" s="29" t="str">
        <x:f>IF(E3987=F3987,"PASS","FAIL")</x:f>
        <x:v>PASS</x:v>
      </x:c>
    </x:row>
    <x:row r="3988" ht="18" customHeight="1">
      <x:c r="B3988" s="27" t="str">
        <x:v>A3982</x:v>
      </x:c>
      <x:c r="C3988" s="27" t="str">
        <x:v>cost</x:v>
      </x:c>
      <x:c r="D3988" s="27" t="str">
        <x:v>Cost D13 nonnegative</x:v>
      </x:c>
      <x:c r="E3988" s="27" t="n">
        <x:f>IF('Cost Phasing'!D13&gt;=0,1,0)</x:f>
        <x:v>1</x:v>
      </x:c>
      <x:c r="F3988" s="27" t="n">
        <x:v>1</x:v>
      </x:c>
      <x:c r="G3988" s="29" t="str">
        <x:f>IF(E3988=F3988,"PASS","FAIL")</x:f>
        <x:v>PASS</x:v>
      </x:c>
    </x:row>
    <x:row r="3989" ht="18" customHeight="1">
      <x:c r="B3989" s="27" t="str">
        <x:v>A3983</x:v>
      </x:c>
      <x:c r="C3989" s="27" t="str">
        <x:v>cost</x:v>
      </x:c>
      <x:c r="D3989" s="27" t="str">
        <x:v>Cost E13 nonnegative</x:v>
      </x:c>
      <x:c r="E3989" s="27" t="n">
        <x:f>IF('Cost Phasing'!E13&gt;=0,1,0)</x:f>
        <x:v>1</x:v>
      </x:c>
      <x:c r="F3989" s="27" t="n">
        <x:v>1</x:v>
      </x:c>
      <x:c r="G3989" s="29" t="str">
        <x:f>IF(E3989=F3989,"PASS","FAIL")</x:f>
        <x:v>PASS</x:v>
      </x:c>
    </x:row>
    <x:row r="3990" ht="18" customHeight="1">
      <x:c r="B3990" s="27" t="str">
        <x:v>A3984</x:v>
      </x:c>
      <x:c r="C3990" s="27" t="str">
        <x:v>cost</x:v>
      </x:c>
      <x:c r="D3990" s="27" t="str">
        <x:v>Cost F13 nonnegative</x:v>
      </x:c>
      <x:c r="E3990" s="27" t="n">
        <x:f>IF('Cost Phasing'!F13&gt;=0,1,0)</x:f>
        <x:v>1</x:v>
      </x:c>
      <x:c r="F3990" s="27" t="n">
        <x:v>1</x:v>
      </x:c>
      <x:c r="G3990" s="29" t="str">
        <x:f>IF(E3990=F3990,"PASS","FAIL")</x:f>
        <x:v>PASS</x:v>
      </x:c>
    </x:row>
    <x:row r="3991" ht="18" customHeight="1">
      <x:c r="B3991" s="27" t="str">
        <x:v>A3985</x:v>
      </x:c>
      <x:c r="C3991" s="27" t="str">
        <x:v>cost</x:v>
      </x:c>
      <x:c r="D3991" s="27" t="str">
        <x:v>Cost G13 nonnegative</x:v>
      </x:c>
      <x:c r="E3991" s="27" t="n">
        <x:f>IF('Cost Phasing'!G13&gt;=0,1,0)</x:f>
        <x:v>1</x:v>
      </x:c>
      <x:c r="F3991" s="27" t="n">
        <x:v>1</x:v>
      </x:c>
      <x:c r="G3991" s="29" t="str">
        <x:f>IF(E3991=F3991,"PASS","FAIL")</x:f>
        <x:v>PASS</x:v>
      </x:c>
    </x:row>
    <x:row r="3992" ht="18" customHeight="1">
      <x:c r="B3992" s="27" t="str">
        <x:v>A3986</x:v>
      </x:c>
      <x:c r="C3992" s="27" t="str">
        <x:v>cost</x:v>
      </x:c>
      <x:c r="D3992" s="27" t="str">
        <x:v>Cost H13 nonnegative</x:v>
      </x:c>
      <x:c r="E3992" s="27" t="n">
        <x:f>IF('Cost Phasing'!H13&gt;=0,1,0)</x:f>
        <x:v>1</x:v>
      </x:c>
      <x:c r="F3992" s="27" t="n">
        <x:v>1</x:v>
      </x:c>
      <x:c r="G3992" s="29" t="str">
        <x:f>IF(E3992=F3992,"PASS","FAIL")</x:f>
        <x:v>PASS</x:v>
      </x:c>
    </x:row>
    <x:row r="3993" ht="18" customHeight="1">
      <x:c r="B3993" s="27" t="str">
        <x:v>A3987</x:v>
      </x:c>
      <x:c r="C3993" s="27" t="str">
        <x:v>cost</x:v>
      </x:c>
      <x:c r="D3993" s="27" t="str">
        <x:v>Cost I13 nonnegative</x:v>
      </x:c>
      <x:c r="E3993" s="27" t="n">
        <x:f>IF('Cost Phasing'!I13&gt;=0,1,0)</x:f>
        <x:v>1</x:v>
      </x:c>
      <x:c r="F3993" s="27" t="n">
        <x:v>1</x:v>
      </x:c>
      <x:c r="G3993" s="29" t="str">
        <x:f>IF(E3993=F3993,"PASS","FAIL")</x:f>
        <x:v>PASS</x:v>
      </x:c>
    </x:row>
    <x:row r="3994" ht="18" customHeight="1">
      <x:c r="B3994" s="27" t="str">
        <x:v>A3988</x:v>
      </x:c>
      <x:c r="C3994" s="27" t="str">
        <x:v>cost</x:v>
      </x:c>
      <x:c r="D3994" s="27" t="str">
        <x:v>Cost J13 nonnegative</x:v>
      </x:c>
      <x:c r="E3994" s="27" t="n">
        <x:f>IF('Cost Phasing'!J13&gt;=0,1,0)</x:f>
        <x:v>1</x:v>
      </x:c>
      <x:c r="F3994" s="27" t="n">
        <x:v>1</x:v>
      </x:c>
      <x:c r="G3994" s="29" t="str">
        <x:f>IF(E3994=F3994,"PASS","FAIL")</x:f>
        <x:v>PASS</x:v>
      </x:c>
    </x:row>
    <x:row r="3995" ht="18" customHeight="1">
      <x:c r="B3995" s="27" t="str">
        <x:v>A3989</x:v>
      </x:c>
      <x:c r="C3995" s="27" t="str">
        <x:v>cost</x:v>
      </x:c>
      <x:c r="D3995" s="27" t="str">
        <x:v>Cost K13 nonnegative</x:v>
      </x:c>
      <x:c r="E3995" s="27" t="n">
        <x:f>IF('Cost Phasing'!K13&gt;=0,1,0)</x:f>
        <x:v>1</x:v>
      </x:c>
      <x:c r="F3995" s="27" t="n">
        <x:v>1</x:v>
      </x:c>
      <x:c r="G3995" s="29" t="str">
        <x:f>IF(E3995=F3995,"PASS","FAIL")</x:f>
        <x:v>PASS</x:v>
      </x:c>
    </x:row>
    <x:row r="3996" ht="18" customHeight="1">
      <x:c r="B3996" s="27" t="str">
        <x:v>A3990</x:v>
      </x:c>
      <x:c r="C3996" s="27" t="str">
        <x:v>cost</x:v>
      </x:c>
      <x:c r="D3996" s="27" t="str">
        <x:v>Cost row 13 reconciles</x:v>
      </x:c>
      <x:c r="E3996" s="27" t="n">
        <x:f>IF(ABS('Cost Phasing'!N13)&lt;0.000001,1,0)</x:f>
        <x:v>1</x:v>
      </x:c>
      <x:c r="F3996" s="27" t="n">
        <x:v>1</x:v>
      </x:c>
      <x:c r="G3996" s="29" t="str">
        <x:f>IF(E3996=F3996,"PASS","FAIL")</x:f>
        <x:v>PASS</x:v>
      </x:c>
    </x:row>
    <x:row r="3997" ht="18" customHeight="1">
      <x:c r="B3997" s="27" t="str">
        <x:v>A3991</x:v>
      </x:c>
      <x:c r="C3997" s="27" t="str">
        <x:v>cost</x:v>
      </x:c>
      <x:c r="D3997" s="27" t="str">
        <x:v>Cost C14 nonnegative</x:v>
      </x:c>
      <x:c r="E3997" s="27" t="n">
        <x:f>IF('Cost Phasing'!C14&gt;=0,1,0)</x:f>
        <x:v>1</x:v>
      </x:c>
      <x:c r="F3997" s="27" t="n">
        <x:v>1</x:v>
      </x:c>
      <x:c r="G3997" s="29" t="str">
        <x:f>IF(E3997=F3997,"PASS","FAIL")</x:f>
        <x:v>PASS</x:v>
      </x:c>
    </x:row>
    <x:row r="3998" ht="18" customHeight="1">
      <x:c r="B3998" s="27" t="str">
        <x:v>A3992</x:v>
      </x:c>
      <x:c r="C3998" s="27" t="str">
        <x:v>cost</x:v>
      </x:c>
      <x:c r="D3998" s="27" t="str">
        <x:v>Cost D14 nonnegative</x:v>
      </x:c>
      <x:c r="E3998" s="27" t="n">
        <x:f>IF('Cost Phasing'!D14&gt;=0,1,0)</x:f>
        <x:v>1</x:v>
      </x:c>
      <x:c r="F3998" s="27" t="n">
        <x:v>1</x:v>
      </x:c>
      <x:c r="G3998" s="29" t="str">
        <x:f>IF(E3998=F3998,"PASS","FAIL")</x:f>
        <x:v>PASS</x:v>
      </x:c>
    </x:row>
    <x:row r="3999" ht="18" customHeight="1">
      <x:c r="B3999" s="27" t="str">
        <x:v>A3993</x:v>
      </x:c>
      <x:c r="C3999" s="27" t="str">
        <x:v>cost</x:v>
      </x:c>
      <x:c r="D3999" s="27" t="str">
        <x:v>Cost E14 nonnegative</x:v>
      </x:c>
      <x:c r="E3999" s="27" t="n">
        <x:f>IF('Cost Phasing'!E14&gt;=0,1,0)</x:f>
        <x:v>1</x:v>
      </x:c>
      <x:c r="F3999" s="27" t="n">
        <x:v>1</x:v>
      </x:c>
      <x:c r="G3999" s="29" t="str">
        <x:f>IF(E3999=F3999,"PASS","FAIL")</x:f>
        <x:v>PASS</x:v>
      </x:c>
    </x:row>
    <x:row r="4000" ht="18" customHeight="1">
      <x:c r="B4000" s="27" t="str">
        <x:v>A3994</x:v>
      </x:c>
      <x:c r="C4000" s="27" t="str">
        <x:v>cost</x:v>
      </x:c>
      <x:c r="D4000" s="27" t="str">
        <x:v>Cost F14 nonnegative</x:v>
      </x:c>
      <x:c r="E4000" s="27" t="n">
        <x:f>IF('Cost Phasing'!F14&gt;=0,1,0)</x:f>
        <x:v>1</x:v>
      </x:c>
      <x:c r="F4000" s="27" t="n">
        <x:v>1</x:v>
      </x:c>
      <x:c r="G4000" s="29" t="str">
        <x:f>IF(E4000=F4000,"PASS","FAIL")</x:f>
        <x:v>PASS</x:v>
      </x:c>
    </x:row>
    <x:row r="4001" ht="18" customHeight="1">
      <x:c r="B4001" s="27" t="str">
        <x:v>A3995</x:v>
      </x:c>
      <x:c r="C4001" s="27" t="str">
        <x:v>cost</x:v>
      </x:c>
      <x:c r="D4001" s="27" t="str">
        <x:v>Cost G14 nonnegative</x:v>
      </x:c>
      <x:c r="E4001" s="27" t="n">
        <x:f>IF('Cost Phasing'!G14&gt;=0,1,0)</x:f>
        <x:v>1</x:v>
      </x:c>
      <x:c r="F4001" s="27" t="n">
        <x:v>1</x:v>
      </x:c>
      <x:c r="G4001" s="29" t="str">
        <x:f>IF(E4001=F4001,"PASS","FAIL")</x:f>
        <x:v>PASS</x:v>
      </x:c>
    </x:row>
    <x:row r="4002" ht="18" customHeight="1">
      <x:c r="B4002" s="27" t="str">
        <x:v>A3996</x:v>
      </x:c>
      <x:c r="C4002" s="27" t="str">
        <x:v>cost</x:v>
      </x:c>
      <x:c r="D4002" s="27" t="str">
        <x:v>Cost H14 nonnegative</x:v>
      </x:c>
      <x:c r="E4002" s="27" t="n">
        <x:f>IF('Cost Phasing'!H14&gt;=0,1,0)</x:f>
        <x:v>1</x:v>
      </x:c>
      <x:c r="F4002" s="27" t="n">
        <x:v>1</x:v>
      </x:c>
      <x:c r="G4002" s="29" t="str">
        <x:f>IF(E4002=F4002,"PASS","FAIL")</x:f>
        <x:v>PASS</x:v>
      </x:c>
    </x:row>
    <x:row r="4003" ht="18" customHeight="1">
      <x:c r="B4003" s="27" t="str">
        <x:v>A3997</x:v>
      </x:c>
      <x:c r="C4003" s="27" t="str">
        <x:v>cost</x:v>
      </x:c>
      <x:c r="D4003" s="27" t="str">
        <x:v>Cost I14 nonnegative</x:v>
      </x:c>
      <x:c r="E4003" s="27" t="n">
        <x:f>IF('Cost Phasing'!I14&gt;=0,1,0)</x:f>
        <x:v>1</x:v>
      </x:c>
      <x:c r="F4003" s="27" t="n">
        <x:v>1</x:v>
      </x:c>
      <x:c r="G4003" s="29" t="str">
        <x:f>IF(E4003=F4003,"PASS","FAIL")</x:f>
        <x:v>PASS</x:v>
      </x:c>
    </x:row>
    <x:row r="4004" ht="18" customHeight="1">
      <x:c r="B4004" s="27" t="str">
        <x:v>A3998</x:v>
      </x:c>
      <x:c r="C4004" s="27" t="str">
        <x:v>cost</x:v>
      </x:c>
      <x:c r="D4004" s="27" t="str">
        <x:v>Cost J14 nonnegative</x:v>
      </x:c>
      <x:c r="E4004" s="27" t="n">
        <x:f>IF('Cost Phasing'!J14&gt;=0,1,0)</x:f>
        <x:v>1</x:v>
      </x:c>
      <x:c r="F4004" s="27" t="n">
        <x:v>1</x:v>
      </x:c>
      <x:c r="G4004" s="29" t="str">
        <x:f>IF(E4004=F4004,"PASS","FAIL")</x:f>
        <x:v>PASS</x:v>
      </x:c>
    </x:row>
    <x:row r="4005" ht="18" customHeight="1">
      <x:c r="B4005" s="27" t="str">
        <x:v>A3999</x:v>
      </x:c>
      <x:c r="C4005" s="27" t="str">
        <x:v>cost</x:v>
      </x:c>
      <x:c r="D4005" s="27" t="str">
        <x:v>Cost K14 nonnegative</x:v>
      </x:c>
      <x:c r="E4005" s="27" t="n">
        <x:f>IF('Cost Phasing'!K14&gt;=0,1,0)</x:f>
        <x:v>1</x:v>
      </x:c>
      <x:c r="F4005" s="27" t="n">
        <x:v>1</x:v>
      </x:c>
      <x:c r="G4005" s="29" t="str">
        <x:f>IF(E4005=F4005,"PASS","FAIL")</x:f>
        <x:v>PASS</x:v>
      </x:c>
    </x:row>
    <x:row r="4006" ht="18" customHeight="1">
      <x:c r="B4006" s="27" t="str">
        <x:v>A4000</x:v>
      </x:c>
      <x:c r="C4006" s="27" t="str">
        <x:v>cost</x:v>
      </x:c>
      <x:c r="D4006" s="27" t="str">
        <x:v>Cost row 14 reconciles</x:v>
      </x:c>
      <x:c r="E4006" s="27" t="n">
        <x:f>IF(ABS('Cost Phasing'!N14)&lt;0.000001,1,0)</x:f>
        <x:v>1</x:v>
      </x:c>
      <x:c r="F4006" s="27" t="n">
        <x:v>1</x:v>
      </x:c>
      <x:c r="G4006" s="29" t="str">
        <x:f>IF(E4006=F4006,"PASS","FAIL")</x:f>
        <x:v>PASS</x:v>
      </x:c>
    </x:row>
    <x:row r="4007" ht="18" customHeight="1">
      <x:c r="B4007" s="27" t="str">
        <x:v>A4001</x:v>
      </x:c>
      <x:c r="C4007" s="27" t="str">
        <x:v>cost</x:v>
      </x:c>
      <x:c r="D4007" s="27" t="str">
        <x:v>Cost C15 nonnegative</x:v>
      </x:c>
      <x:c r="E4007" s="27" t="n">
        <x:f>IF('Cost Phasing'!C15&gt;=0,1,0)</x:f>
        <x:v>1</x:v>
      </x:c>
      <x:c r="F4007" s="27" t="n">
        <x:v>1</x:v>
      </x:c>
      <x:c r="G4007" s="29" t="str">
        <x:f>IF(E4007=F4007,"PASS","FAIL")</x:f>
        <x:v>PASS</x:v>
      </x:c>
    </x:row>
    <x:row r="4008" ht="18" customHeight="1">
      <x:c r="B4008" s="27" t="str">
        <x:v>A4002</x:v>
      </x:c>
      <x:c r="C4008" s="27" t="str">
        <x:v>cost</x:v>
      </x:c>
      <x:c r="D4008" s="27" t="str">
        <x:v>Cost D15 nonnegative</x:v>
      </x:c>
      <x:c r="E4008" s="27" t="n">
        <x:f>IF('Cost Phasing'!D15&gt;=0,1,0)</x:f>
        <x:v>1</x:v>
      </x:c>
      <x:c r="F4008" s="27" t="n">
        <x:v>1</x:v>
      </x:c>
      <x:c r="G4008" s="29" t="str">
        <x:f>IF(E4008=F4008,"PASS","FAIL")</x:f>
        <x:v>PASS</x:v>
      </x:c>
    </x:row>
    <x:row r="4009" ht="18" customHeight="1">
      <x:c r="B4009" s="27" t="str">
        <x:v>A4003</x:v>
      </x:c>
      <x:c r="C4009" s="27" t="str">
        <x:v>cost</x:v>
      </x:c>
      <x:c r="D4009" s="27" t="str">
        <x:v>Cost E15 nonnegative</x:v>
      </x:c>
      <x:c r="E4009" s="27" t="n">
        <x:f>IF('Cost Phasing'!E15&gt;=0,1,0)</x:f>
        <x:v>1</x:v>
      </x:c>
      <x:c r="F4009" s="27" t="n">
        <x:v>1</x:v>
      </x:c>
      <x:c r="G4009" s="29" t="str">
        <x:f>IF(E4009=F4009,"PASS","FAIL")</x:f>
        <x:v>PASS</x:v>
      </x:c>
    </x:row>
    <x:row r="4010" ht="18" customHeight="1">
      <x:c r="B4010" s="27" t="str">
        <x:v>A4004</x:v>
      </x:c>
      <x:c r="C4010" s="27" t="str">
        <x:v>cost</x:v>
      </x:c>
      <x:c r="D4010" s="27" t="str">
        <x:v>Cost F15 nonnegative</x:v>
      </x:c>
      <x:c r="E4010" s="27" t="n">
        <x:f>IF('Cost Phasing'!F15&gt;=0,1,0)</x:f>
        <x:v>1</x:v>
      </x:c>
      <x:c r="F4010" s="27" t="n">
        <x:v>1</x:v>
      </x:c>
      <x:c r="G4010" s="29" t="str">
        <x:f>IF(E4010=F4010,"PASS","FAIL")</x:f>
        <x:v>PASS</x:v>
      </x:c>
    </x:row>
    <x:row r="4011" ht="18" customHeight="1">
      <x:c r="B4011" s="27" t="str">
        <x:v>A4005</x:v>
      </x:c>
      <x:c r="C4011" s="27" t="str">
        <x:v>cost</x:v>
      </x:c>
      <x:c r="D4011" s="27" t="str">
        <x:v>Cost G15 nonnegative</x:v>
      </x:c>
      <x:c r="E4011" s="27" t="n">
        <x:f>IF('Cost Phasing'!G15&gt;=0,1,0)</x:f>
        <x:v>1</x:v>
      </x:c>
      <x:c r="F4011" s="27" t="n">
        <x:v>1</x:v>
      </x:c>
      <x:c r="G4011" s="29" t="str">
        <x:f>IF(E4011=F4011,"PASS","FAIL")</x:f>
        <x:v>PASS</x:v>
      </x:c>
    </x:row>
    <x:row r="4012" ht="18" customHeight="1">
      <x:c r="B4012" s="27" t="str">
        <x:v>A4006</x:v>
      </x:c>
      <x:c r="C4012" s="27" t="str">
        <x:v>cost</x:v>
      </x:c>
      <x:c r="D4012" s="27" t="str">
        <x:v>Cost H15 nonnegative</x:v>
      </x:c>
      <x:c r="E4012" s="27" t="n">
        <x:f>IF('Cost Phasing'!H15&gt;=0,1,0)</x:f>
        <x:v>1</x:v>
      </x:c>
      <x:c r="F4012" s="27" t="n">
        <x:v>1</x:v>
      </x:c>
      <x:c r="G4012" s="29" t="str">
        <x:f>IF(E4012=F4012,"PASS","FAIL")</x:f>
        <x:v>PASS</x:v>
      </x:c>
    </x:row>
    <x:row r="4013" ht="18" customHeight="1">
      <x:c r="B4013" s="27" t="str">
        <x:v>A4007</x:v>
      </x:c>
      <x:c r="C4013" s="27" t="str">
        <x:v>cost</x:v>
      </x:c>
      <x:c r="D4013" s="27" t="str">
        <x:v>Cost I15 nonnegative</x:v>
      </x:c>
      <x:c r="E4013" s="27" t="n">
        <x:f>IF('Cost Phasing'!I15&gt;=0,1,0)</x:f>
        <x:v>1</x:v>
      </x:c>
      <x:c r="F4013" s="27" t="n">
        <x:v>1</x:v>
      </x:c>
      <x:c r="G4013" s="29" t="str">
        <x:f>IF(E4013=F4013,"PASS","FAIL")</x:f>
        <x:v>PASS</x:v>
      </x:c>
    </x:row>
    <x:row r="4014" ht="18" customHeight="1">
      <x:c r="B4014" s="27" t="str">
        <x:v>A4008</x:v>
      </x:c>
      <x:c r="C4014" s="27" t="str">
        <x:v>cost</x:v>
      </x:c>
      <x:c r="D4014" s="27" t="str">
        <x:v>Cost J15 nonnegative</x:v>
      </x:c>
      <x:c r="E4014" s="27" t="n">
        <x:f>IF('Cost Phasing'!J15&gt;=0,1,0)</x:f>
        <x:v>1</x:v>
      </x:c>
      <x:c r="F4014" s="27" t="n">
        <x:v>1</x:v>
      </x:c>
      <x:c r="G4014" s="29" t="str">
        <x:f>IF(E4014=F4014,"PASS","FAIL")</x:f>
        <x:v>PASS</x:v>
      </x:c>
    </x:row>
    <x:row r="4015" ht="18" customHeight="1">
      <x:c r="B4015" s="27" t="str">
        <x:v>A4009</x:v>
      </x:c>
      <x:c r="C4015" s="27" t="str">
        <x:v>cost</x:v>
      </x:c>
      <x:c r="D4015" s="27" t="str">
        <x:v>Cost K15 nonnegative</x:v>
      </x:c>
      <x:c r="E4015" s="27" t="n">
        <x:f>IF('Cost Phasing'!K15&gt;=0,1,0)</x:f>
        <x:v>1</x:v>
      </x:c>
      <x:c r="F4015" s="27" t="n">
        <x:v>1</x:v>
      </x:c>
      <x:c r="G4015" s="29" t="str">
        <x:f>IF(E4015=F4015,"PASS","FAIL")</x:f>
        <x:v>PASS</x:v>
      </x:c>
    </x:row>
    <x:row r="4016" ht="18" customHeight="1">
      <x:c r="B4016" s="27" t="str">
        <x:v>A4010</x:v>
      </x:c>
      <x:c r="C4016" s="27" t="str">
        <x:v>cost</x:v>
      </x:c>
      <x:c r="D4016" s="27" t="str">
        <x:v>Cost row 15 reconciles</x:v>
      </x:c>
      <x:c r="E4016" s="27" t="n">
        <x:f>IF(ABS('Cost Phasing'!N15)&lt;0.000001,1,0)</x:f>
        <x:v>1</x:v>
      </x:c>
      <x:c r="F4016" s="27" t="n">
        <x:v>1</x:v>
      </x:c>
      <x:c r="G4016" s="29" t="str">
        <x:f>IF(E4016=F4016,"PASS","FAIL")</x:f>
        <x:v>PASS</x:v>
      </x:c>
    </x:row>
    <x:row r="4017" ht="18" customHeight="1">
      <x:c r="B4017" s="27" t="str">
        <x:v>A4011</x:v>
      </x:c>
      <x:c r="C4017" s="27" t="str">
        <x:v>cost</x:v>
      </x:c>
      <x:c r="D4017" s="27" t="str">
        <x:v>Cost C16 nonnegative</x:v>
      </x:c>
      <x:c r="E4017" s="27" t="n">
        <x:f>IF('Cost Phasing'!C16&gt;=0,1,0)</x:f>
        <x:v>1</x:v>
      </x:c>
      <x:c r="F4017" s="27" t="n">
        <x:v>1</x:v>
      </x:c>
      <x:c r="G4017" s="29" t="str">
        <x:f>IF(E4017=F4017,"PASS","FAIL")</x:f>
        <x:v>PASS</x:v>
      </x:c>
    </x:row>
    <x:row r="4018" ht="18" customHeight="1">
      <x:c r="B4018" s="27" t="str">
        <x:v>A4012</x:v>
      </x:c>
      <x:c r="C4018" s="27" t="str">
        <x:v>cost</x:v>
      </x:c>
      <x:c r="D4018" s="27" t="str">
        <x:v>Cost D16 nonnegative</x:v>
      </x:c>
      <x:c r="E4018" s="27" t="n">
        <x:f>IF('Cost Phasing'!D16&gt;=0,1,0)</x:f>
        <x:v>1</x:v>
      </x:c>
      <x:c r="F4018" s="27" t="n">
        <x:v>1</x:v>
      </x:c>
      <x:c r="G4018" s="29" t="str">
        <x:f>IF(E4018=F4018,"PASS","FAIL")</x:f>
        <x:v>PASS</x:v>
      </x:c>
    </x:row>
    <x:row r="4019" ht="18" customHeight="1">
      <x:c r="B4019" s="27" t="str">
        <x:v>A4013</x:v>
      </x:c>
      <x:c r="C4019" s="27" t="str">
        <x:v>cost</x:v>
      </x:c>
      <x:c r="D4019" s="27" t="str">
        <x:v>Cost E16 nonnegative</x:v>
      </x:c>
      <x:c r="E4019" s="27" t="n">
        <x:f>IF('Cost Phasing'!E16&gt;=0,1,0)</x:f>
        <x:v>1</x:v>
      </x:c>
      <x:c r="F4019" s="27" t="n">
        <x:v>1</x:v>
      </x:c>
      <x:c r="G4019" s="29" t="str">
        <x:f>IF(E4019=F4019,"PASS","FAIL")</x:f>
        <x:v>PASS</x:v>
      </x:c>
    </x:row>
    <x:row r="4020" ht="18" customHeight="1">
      <x:c r="B4020" s="27" t="str">
        <x:v>A4014</x:v>
      </x:c>
      <x:c r="C4020" s="27" t="str">
        <x:v>cost</x:v>
      </x:c>
      <x:c r="D4020" s="27" t="str">
        <x:v>Cost F16 nonnegative</x:v>
      </x:c>
      <x:c r="E4020" s="27" t="n">
        <x:f>IF('Cost Phasing'!F16&gt;=0,1,0)</x:f>
        <x:v>1</x:v>
      </x:c>
      <x:c r="F4020" s="27" t="n">
        <x:v>1</x:v>
      </x:c>
      <x:c r="G4020" s="29" t="str">
        <x:f>IF(E4020=F4020,"PASS","FAIL")</x:f>
        <x:v>PASS</x:v>
      </x:c>
    </x:row>
    <x:row r="4021" ht="18" customHeight="1">
      <x:c r="B4021" s="27" t="str">
        <x:v>A4015</x:v>
      </x:c>
      <x:c r="C4021" s="27" t="str">
        <x:v>cost</x:v>
      </x:c>
      <x:c r="D4021" s="27" t="str">
        <x:v>Cost G16 nonnegative</x:v>
      </x:c>
      <x:c r="E4021" s="27" t="n">
        <x:f>IF('Cost Phasing'!G16&gt;=0,1,0)</x:f>
        <x:v>1</x:v>
      </x:c>
      <x:c r="F4021" s="27" t="n">
        <x:v>1</x:v>
      </x:c>
      <x:c r="G4021" s="29" t="str">
        <x:f>IF(E4021=F4021,"PASS","FAIL")</x:f>
        <x:v>PASS</x:v>
      </x:c>
    </x:row>
    <x:row r="4022" ht="18" customHeight="1">
      <x:c r="B4022" s="27" t="str">
        <x:v>A4016</x:v>
      </x:c>
      <x:c r="C4022" s="27" t="str">
        <x:v>cost</x:v>
      </x:c>
      <x:c r="D4022" s="27" t="str">
        <x:v>Cost H16 nonnegative</x:v>
      </x:c>
      <x:c r="E4022" s="27" t="n">
        <x:f>IF('Cost Phasing'!H16&gt;=0,1,0)</x:f>
        <x:v>1</x:v>
      </x:c>
      <x:c r="F4022" s="27" t="n">
        <x:v>1</x:v>
      </x:c>
      <x:c r="G4022" s="29" t="str">
        <x:f>IF(E4022=F4022,"PASS","FAIL")</x:f>
        <x:v>PASS</x:v>
      </x:c>
    </x:row>
    <x:row r="4023" ht="18" customHeight="1">
      <x:c r="B4023" s="27" t="str">
        <x:v>A4017</x:v>
      </x:c>
      <x:c r="C4023" s="27" t="str">
        <x:v>cost</x:v>
      </x:c>
      <x:c r="D4023" s="27" t="str">
        <x:v>Cost I16 nonnegative</x:v>
      </x:c>
      <x:c r="E4023" s="27" t="n">
        <x:f>IF('Cost Phasing'!I16&gt;=0,1,0)</x:f>
        <x:v>1</x:v>
      </x:c>
      <x:c r="F4023" s="27" t="n">
        <x:v>1</x:v>
      </x:c>
      <x:c r="G4023" s="29" t="str">
        <x:f>IF(E4023=F4023,"PASS","FAIL")</x:f>
        <x:v>PASS</x:v>
      </x:c>
    </x:row>
    <x:row r="4024" ht="18" customHeight="1">
      <x:c r="B4024" s="27" t="str">
        <x:v>A4018</x:v>
      </x:c>
      <x:c r="C4024" s="27" t="str">
        <x:v>cost</x:v>
      </x:c>
      <x:c r="D4024" s="27" t="str">
        <x:v>Cost J16 nonnegative</x:v>
      </x:c>
      <x:c r="E4024" s="27" t="n">
        <x:f>IF('Cost Phasing'!J16&gt;=0,1,0)</x:f>
        <x:v>1</x:v>
      </x:c>
      <x:c r="F4024" s="27" t="n">
        <x:v>1</x:v>
      </x:c>
      <x:c r="G4024" s="29" t="str">
        <x:f>IF(E4024=F4024,"PASS","FAIL")</x:f>
        <x:v>PASS</x:v>
      </x:c>
    </x:row>
    <x:row r="4025" ht="18" customHeight="1">
      <x:c r="B4025" s="27" t="str">
        <x:v>A4019</x:v>
      </x:c>
      <x:c r="C4025" s="27" t="str">
        <x:v>cost</x:v>
      </x:c>
      <x:c r="D4025" s="27" t="str">
        <x:v>Cost K16 nonnegative</x:v>
      </x:c>
      <x:c r="E4025" s="27" t="n">
        <x:f>IF('Cost Phasing'!K16&gt;=0,1,0)</x:f>
        <x:v>1</x:v>
      </x:c>
      <x:c r="F4025" s="27" t="n">
        <x:v>1</x:v>
      </x:c>
      <x:c r="G4025" s="29" t="str">
        <x:f>IF(E4025=F4025,"PASS","FAIL")</x:f>
        <x:v>PASS</x:v>
      </x:c>
    </x:row>
    <x:row r="4026" ht="18" customHeight="1">
      <x:c r="B4026" s="27" t="str">
        <x:v>A4020</x:v>
      </x:c>
      <x:c r="C4026" s="27" t="str">
        <x:v>cost</x:v>
      </x:c>
      <x:c r="D4026" s="27" t="str">
        <x:v>Cost row 16 reconciles</x:v>
      </x:c>
      <x:c r="E4026" s="27" t="n">
        <x:f>IF(ABS('Cost Phasing'!N16)&lt;0.000001,1,0)</x:f>
        <x:v>1</x:v>
      </x:c>
      <x:c r="F4026" s="27" t="n">
        <x:v>1</x:v>
      </x:c>
      <x:c r="G4026" s="29" t="str">
        <x:f>IF(E4026=F4026,"PASS","FAIL")</x:f>
        <x:v>PASS</x:v>
      </x:c>
    </x:row>
    <x:row r="4027" ht="18" customHeight="1">
      <x:c r="B4027" s="27" t="str">
        <x:v>A4021</x:v>
      </x:c>
      <x:c r="C4027" s="27" t="str">
        <x:v>cost</x:v>
      </x:c>
      <x:c r="D4027" s="27" t="str">
        <x:v>Cost C17 nonnegative</x:v>
      </x:c>
      <x:c r="E4027" s="27" t="n">
        <x:f>IF('Cost Phasing'!C17&gt;=0,1,0)</x:f>
        <x:v>1</x:v>
      </x:c>
      <x:c r="F4027" s="27" t="n">
        <x:v>1</x:v>
      </x:c>
      <x:c r="G4027" s="29" t="str">
        <x:f>IF(E4027=F4027,"PASS","FAIL")</x:f>
        <x:v>PASS</x:v>
      </x:c>
    </x:row>
    <x:row r="4028" ht="18" customHeight="1">
      <x:c r="B4028" s="27" t="str">
        <x:v>A4022</x:v>
      </x:c>
      <x:c r="C4028" s="27" t="str">
        <x:v>cost</x:v>
      </x:c>
      <x:c r="D4028" s="27" t="str">
        <x:v>Cost D17 nonnegative</x:v>
      </x:c>
      <x:c r="E4028" s="27" t="n">
        <x:f>IF('Cost Phasing'!D17&gt;=0,1,0)</x:f>
        <x:v>1</x:v>
      </x:c>
      <x:c r="F4028" s="27" t="n">
        <x:v>1</x:v>
      </x:c>
      <x:c r="G4028" s="29" t="str">
        <x:f>IF(E4028=F4028,"PASS","FAIL")</x:f>
        <x:v>PASS</x:v>
      </x:c>
    </x:row>
    <x:row r="4029" ht="18" customHeight="1">
      <x:c r="B4029" s="27" t="str">
        <x:v>A4023</x:v>
      </x:c>
      <x:c r="C4029" s="27" t="str">
        <x:v>cost</x:v>
      </x:c>
      <x:c r="D4029" s="27" t="str">
        <x:v>Cost E17 nonnegative</x:v>
      </x:c>
      <x:c r="E4029" s="27" t="n">
        <x:f>IF('Cost Phasing'!E17&gt;=0,1,0)</x:f>
        <x:v>1</x:v>
      </x:c>
      <x:c r="F4029" s="27" t="n">
        <x:v>1</x:v>
      </x:c>
      <x:c r="G4029" s="29" t="str">
        <x:f>IF(E4029=F4029,"PASS","FAIL")</x:f>
        <x:v>PASS</x:v>
      </x:c>
    </x:row>
    <x:row r="4030" ht="18" customHeight="1">
      <x:c r="B4030" s="27" t="str">
        <x:v>A4024</x:v>
      </x:c>
      <x:c r="C4030" s="27" t="str">
        <x:v>cost</x:v>
      </x:c>
      <x:c r="D4030" s="27" t="str">
        <x:v>Cost F17 nonnegative</x:v>
      </x:c>
      <x:c r="E4030" s="27" t="n">
        <x:f>IF('Cost Phasing'!F17&gt;=0,1,0)</x:f>
        <x:v>1</x:v>
      </x:c>
      <x:c r="F4030" s="27" t="n">
        <x:v>1</x:v>
      </x:c>
      <x:c r="G4030" s="29" t="str">
        <x:f>IF(E4030=F4030,"PASS","FAIL")</x:f>
        <x:v>PASS</x:v>
      </x:c>
    </x:row>
    <x:row r="4031" ht="18" customHeight="1">
      <x:c r="B4031" s="27" t="str">
        <x:v>A4025</x:v>
      </x:c>
      <x:c r="C4031" s="27" t="str">
        <x:v>cost</x:v>
      </x:c>
      <x:c r="D4031" s="27" t="str">
        <x:v>Cost G17 nonnegative</x:v>
      </x:c>
      <x:c r="E4031" s="27" t="n">
        <x:f>IF('Cost Phasing'!G17&gt;=0,1,0)</x:f>
        <x:v>1</x:v>
      </x:c>
      <x:c r="F4031" s="27" t="n">
        <x:v>1</x:v>
      </x:c>
      <x:c r="G4031" s="29" t="str">
        <x:f>IF(E4031=F4031,"PASS","FAIL")</x:f>
        <x:v>PASS</x:v>
      </x:c>
    </x:row>
    <x:row r="4032" ht="18" customHeight="1">
      <x:c r="B4032" s="27" t="str">
        <x:v>A4026</x:v>
      </x:c>
      <x:c r="C4032" s="27" t="str">
        <x:v>cost</x:v>
      </x:c>
      <x:c r="D4032" s="27" t="str">
        <x:v>Cost H17 nonnegative</x:v>
      </x:c>
      <x:c r="E4032" s="27" t="n">
        <x:f>IF('Cost Phasing'!H17&gt;=0,1,0)</x:f>
        <x:v>1</x:v>
      </x:c>
      <x:c r="F4032" s="27" t="n">
        <x:v>1</x:v>
      </x:c>
      <x:c r="G4032" s="29" t="str">
        <x:f>IF(E4032=F4032,"PASS","FAIL")</x:f>
        <x:v>PASS</x:v>
      </x:c>
    </x:row>
    <x:row r="4033" ht="18" customHeight="1">
      <x:c r="B4033" s="27" t="str">
        <x:v>A4027</x:v>
      </x:c>
      <x:c r="C4033" s="27" t="str">
        <x:v>cost</x:v>
      </x:c>
      <x:c r="D4033" s="27" t="str">
        <x:v>Cost I17 nonnegative</x:v>
      </x:c>
      <x:c r="E4033" s="27" t="n">
        <x:f>IF('Cost Phasing'!I17&gt;=0,1,0)</x:f>
        <x:v>1</x:v>
      </x:c>
      <x:c r="F4033" s="27" t="n">
        <x:v>1</x:v>
      </x:c>
      <x:c r="G4033" s="29" t="str">
        <x:f>IF(E4033=F4033,"PASS","FAIL")</x:f>
        <x:v>PASS</x:v>
      </x:c>
    </x:row>
    <x:row r="4034" ht="18" customHeight="1">
      <x:c r="B4034" s="27" t="str">
        <x:v>A4028</x:v>
      </x:c>
      <x:c r="C4034" s="27" t="str">
        <x:v>cost</x:v>
      </x:c>
      <x:c r="D4034" s="27" t="str">
        <x:v>Cost J17 nonnegative</x:v>
      </x:c>
      <x:c r="E4034" s="27" t="n">
        <x:f>IF('Cost Phasing'!J17&gt;=0,1,0)</x:f>
        <x:v>1</x:v>
      </x:c>
      <x:c r="F4034" s="27" t="n">
        <x:v>1</x:v>
      </x:c>
      <x:c r="G4034" s="29" t="str">
        <x:f>IF(E4034=F4034,"PASS","FAIL")</x:f>
        <x:v>PASS</x:v>
      </x:c>
    </x:row>
    <x:row r="4035" ht="18" customHeight="1">
      <x:c r="B4035" s="27" t="str">
        <x:v>A4029</x:v>
      </x:c>
      <x:c r="C4035" s="27" t="str">
        <x:v>cost</x:v>
      </x:c>
      <x:c r="D4035" s="27" t="str">
        <x:v>Cost K17 nonnegative</x:v>
      </x:c>
      <x:c r="E4035" s="27" t="n">
        <x:f>IF('Cost Phasing'!K17&gt;=0,1,0)</x:f>
        <x:v>1</x:v>
      </x:c>
      <x:c r="F4035" s="27" t="n">
        <x:v>1</x:v>
      </x:c>
      <x:c r="G4035" s="29" t="str">
        <x:f>IF(E4035=F4035,"PASS","FAIL")</x:f>
        <x:v>PASS</x:v>
      </x:c>
    </x:row>
    <x:row r="4036" ht="18" customHeight="1">
      <x:c r="B4036" s="27" t="str">
        <x:v>A4030</x:v>
      </x:c>
      <x:c r="C4036" s="27" t="str">
        <x:v>cost</x:v>
      </x:c>
      <x:c r="D4036" s="27" t="str">
        <x:v>Cost row 17 reconciles</x:v>
      </x:c>
      <x:c r="E4036" s="27" t="n">
        <x:f>IF(ABS('Cost Phasing'!N17)&lt;0.000001,1,0)</x:f>
        <x:v>1</x:v>
      </x:c>
      <x:c r="F4036" s="27" t="n">
        <x:v>1</x:v>
      </x:c>
      <x:c r="G4036" s="29" t="str">
        <x:f>IF(E4036=F4036,"PASS","FAIL")</x:f>
        <x:v>PASS</x:v>
      </x:c>
    </x:row>
    <x:row r="4037" ht="18" customHeight="1">
      <x:c r="B4037" s="27" t="str">
        <x:v>A4031</x:v>
      </x:c>
      <x:c r="C4037" s="27" t="str">
        <x:v>gate</x:v>
      </x:c>
      <x:c r="D4037" s="27" t="str">
        <x:v>Gate row 7 evidence open</x:v>
      </x:c>
      <x:c r="E4037" s="27" t="n">
        <x:f>IF('Release Gates'!F7="OPEN",1,0)</x:f>
        <x:v>1</x:v>
      </x:c>
      <x:c r="F4037" s="27" t="n">
        <x:v>1</x:v>
      </x:c>
      <x:c r="G4037" s="29" t="str">
        <x:f>IF(E4037=F4037,"PASS","FAIL")</x:f>
        <x:v>PASS</x:v>
      </x:c>
    </x:row>
    <x:row r="4038" ht="18" customHeight="1">
      <x:c r="B4038" s="27" t="str">
        <x:v>A4032</x:v>
      </x:c>
      <x:c r="C4038" s="27" t="str">
        <x:v>gate</x:v>
      </x:c>
      <x:c r="D4038" s="27" t="str">
        <x:v>Gate row 7 decision hold</x:v>
      </x:c>
      <x:c r="E4038" s="27" t="n">
        <x:f>IF('Release Gates'!G7="HOLD",1,0)</x:f>
        <x:v>1</x:v>
      </x:c>
      <x:c r="F4038" s="27" t="n">
        <x:v>1</x:v>
      </x:c>
      <x:c r="G4038" s="29" t="str">
        <x:f>IF(E4038=F4038,"PASS","FAIL")</x:f>
        <x:v>PASS</x:v>
      </x:c>
    </x:row>
    <x:row r="4039" ht="18" customHeight="1">
      <x:c r="B4039" s="27" t="str">
        <x:v>A4033</x:v>
      </x:c>
      <x:c r="C4039" s="27" t="str">
        <x:v>gate</x:v>
      </x:c>
      <x:c r="D4039" s="27" t="str">
        <x:v>Gate row 7 rendering blocked</x:v>
      </x:c>
      <x:c r="E4039" s="27" t="n">
        <x:f>IF('Release Gates'!I7="BLOCKED",1,0)</x:f>
        <x:v>1</x:v>
      </x:c>
      <x:c r="F4039" s="27" t="n">
        <x:v>1</x:v>
      </x:c>
      <x:c r="G4039" s="29" t="str">
        <x:f>IF(E4039=F4039,"PASS","FAIL")</x:f>
        <x:v>PASS</x:v>
      </x:c>
    </x:row>
    <x:row r="4040" ht="18" customHeight="1">
      <x:c r="B4040" s="27" t="str">
        <x:v>A4034</x:v>
      </x:c>
      <x:c r="C4040" s="27" t="str">
        <x:v>gate</x:v>
      </x:c>
      <x:c r="D4040" s="27" t="str">
        <x:v>Gate row 7 zero credit</x:v>
      </x:c>
      <x:c r="E4040" s="27" t="n">
        <x:f>IF('Release Gates'!J7=0,1,0)</x:f>
        <x:v>1</x:v>
      </x:c>
      <x:c r="F4040" s="27" t="n">
        <x:v>1</x:v>
      </x:c>
      <x:c r="G4040" s="29" t="str">
        <x:f>IF(E4040=F4040,"PASS","FAIL")</x:f>
        <x:v>PASS</x:v>
      </x:c>
    </x:row>
    <x:row r="4041" ht="18" customHeight="1">
      <x:c r="B4041" s="27" t="str">
        <x:v>A4035</x:v>
      </x:c>
      <x:c r="C4041" s="27" t="str">
        <x:v>gate</x:v>
      </x:c>
      <x:c r="D4041" s="27" t="str">
        <x:v>Gate row 8 evidence open</x:v>
      </x:c>
      <x:c r="E4041" s="27" t="n">
        <x:f>IF('Release Gates'!F8="OPEN",1,0)</x:f>
        <x:v>1</x:v>
      </x:c>
      <x:c r="F4041" s="27" t="n">
        <x:v>1</x:v>
      </x:c>
      <x:c r="G4041" s="29" t="str">
        <x:f>IF(E4041=F4041,"PASS","FAIL")</x:f>
        <x:v>PASS</x:v>
      </x:c>
    </x:row>
    <x:row r="4042" ht="18" customHeight="1">
      <x:c r="B4042" s="27" t="str">
        <x:v>A4036</x:v>
      </x:c>
      <x:c r="C4042" s="27" t="str">
        <x:v>gate</x:v>
      </x:c>
      <x:c r="D4042" s="27" t="str">
        <x:v>Gate row 8 decision hold</x:v>
      </x:c>
      <x:c r="E4042" s="27" t="n">
        <x:f>IF('Release Gates'!G8="HOLD",1,0)</x:f>
        <x:v>1</x:v>
      </x:c>
      <x:c r="F4042" s="27" t="n">
        <x:v>1</x:v>
      </x:c>
      <x:c r="G4042" s="29" t="str">
        <x:f>IF(E4042=F4042,"PASS","FAIL")</x:f>
        <x:v>PASS</x:v>
      </x:c>
    </x:row>
    <x:row r="4043" ht="18" customHeight="1">
      <x:c r="B4043" s="27" t="str">
        <x:v>A4037</x:v>
      </x:c>
      <x:c r="C4043" s="27" t="str">
        <x:v>gate</x:v>
      </x:c>
      <x:c r="D4043" s="27" t="str">
        <x:v>Gate row 8 rendering blocked</x:v>
      </x:c>
      <x:c r="E4043" s="27" t="n">
        <x:f>IF('Release Gates'!I8="BLOCKED",1,0)</x:f>
        <x:v>1</x:v>
      </x:c>
      <x:c r="F4043" s="27" t="n">
        <x:v>1</x:v>
      </x:c>
      <x:c r="G4043" s="29" t="str">
        <x:f>IF(E4043=F4043,"PASS","FAIL")</x:f>
        <x:v>PASS</x:v>
      </x:c>
    </x:row>
    <x:row r="4044" ht="18" customHeight="1">
      <x:c r="B4044" s="27" t="str">
        <x:v>A4038</x:v>
      </x:c>
      <x:c r="C4044" s="27" t="str">
        <x:v>gate</x:v>
      </x:c>
      <x:c r="D4044" s="27" t="str">
        <x:v>Gate row 8 zero credit</x:v>
      </x:c>
      <x:c r="E4044" s="27" t="n">
        <x:f>IF('Release Gates'!J8=0,1,0)</x:f>
        <x:v>1</x:v>
      </x:c>
      <x:c r="F4044" s="27" t="n">
        <x:v>1</x:v>
      </x:c>
      <x:c r="G4044" s="29" t="str">
        <x:f>IF(E4044=F4044,"PASS","FAIL")</x:f>
        <x:v>PASS</x:v>
      </x:c>
    </x:row>
    <x:row r="4045" ht="18" customHeight="1">
      <x:c r="B4045" s="27" t="str">
        <x:v>A4039</x:v>
      </x:c>
      <x:c r="C4045" s="27" t="str">
        <x:v>gate</x:v>
      </x:c>
      <x:c r="D4045" s="27" t="str">
        <x:v>Gate row 9 evidence open</x:v>
      </x:c>
      <x:c r="E4045" s="27" t="n">
        <x:f>IF('Release Gates'!F9="OPEN",1,0)</x:f>
        <x:v>1</x:v>
      </x:c>
      <x:c r="F4045" s="27" t="n">
        <x:v>1</x:v>
      </x:c>
      <x:c r="G4045" s="29" t="str">
        <x:f>IF(E4045=F4045,"PASS","FAIL")</x:f>
        <x:v>PASS</x:v>
      </x:c>
    </x:row>
    <x:row r="4046" ht="18" customHeight="1">
      <x:c r="B4046" s="27" t="str">
        <x:v>A4040</x:v>
      </x:c>
      <x:c r="C4046" s="27" t="str">
        <x:v>gate</x:v>
      </x:c>
      <x:c r="D4046" s="27" t="str">
        <x:v>Gate row 9 decision hold</x:v>
      </x:c>
      <x:c r="E4046" s="27" t="n">
        <x:f>IF('Release Gates'!G9="HOLD",1,0)</x:f>
        <x:v>1</x:v>
      </x:c>
      <x:c r="F4046" s="27" t="n">
        <x:v>1</x:v>
      </x:c>
      <x:c r="G4046" s="29" t="str">
        <x:f>IF(E4046=F4046,"PASS","FAIL")</x:f>
        <x:v>PASS</x:v>
      </x:c>
    </x:row>
    <x:row r="4047" ht="18" customHeight="1">
      <x:c r="B4047" s="27" t="str">
        <x:v>A4041</x:v>
      </x:c>
      <x:c r="C4047" s="27" t="str">
        <x:v>gate</x:v>
      </x:c>
      <x:c r="D4047" s="27" t="str">
        <x:v>Gate row 9 rendering blocked</x:v>
      </x:c>
      <x:c r="E4047" s="27" t="n">
        <x:f>IF('Release Gates'!I9="BLOCKED",1,0)</x:f>
        <x:v>1</x:v>
      </x:c>
      <x:c r="F4047" s="27" t="n">
        <x:v>1</x:v>
      </x:c>
      <x:c r="G4047" s="29" t="str">
        <x:f>IF(E4047=F4047,"PASS","FAIL")</x:f>
        <x:v>PASS</x:v>
      </x:c>
    </x:row>
    <x:row r="4048" ht="18" customHeight="1">
      <x:c r="B4048" s="27" t="str">
        <x:v>A4042</x:v>
      </x:c>
      <x:c r="C4048" s="27" t="str">
        <x:v>gate</x:v>
      </x:c>
      <x:c r="D4048" s="27" t="str">
        <x:v>Gate row 9 zero credit</x:v>
      </x:c>
      <x:c r="E4048" s="27" t="n">
        <x:f>IF('Release Gates'!J9=0,1,0)</x:f>
        <x:v>1</x:v>
      </x:c>
      <x:c r="F4048" s="27" t="n">
        <x:v>1</x:v>
      </x:c>
      <x:c r="G4048" s="29" t="str">
        <x:f>IF(E4048=F4048,"PASS","FAIL")</x:f>
        <x:v>PASS</x:v>
      </x:c>
    </x:row>
    <x:row r="4049" ht="18" customHeight="1">
      <x:c r="B4049" s="27" t="str">
        <x:v>A4043</x:v>
      </x:c>
      <x:c r="C4049" s="27" t="str">
        <x:v>gate</x:v>
      </x:c>
      <x:c r="D4049" s="27" t="str">
        <x:v>Gate row 10 evidence open</x:v>
      </x:c>
      <x:c r="E4049" s="27" t="n">
        <x:f>IF('Release Gates'!F10="OPEN",1,0)</x:f>
        <x:v>1</x:v>
      </x:c>
      <x:c r="F4049" s="27" t="n">
        <x:v>1</x:v>
      </x:c>
      <x:c r="G4049" s="29" t="str">
        <x:f>IF(E4049=F4049,"PASS","FAIL")</x:f>
        <x:v>PASS</x:v>
      </x:c>
    </x:row>
    <x:row r="4050" ht="18" customHeight="1">
      <x:c r="B4050" s="27" t="str">
        <x:v>A4044</x:v>
      </x:c>
      <x:c r="C4050" s="27" t="str">
        <x:v>gate</x:v>
      </x:c>
      <x:c r="D4050" s="27" t="str">
        <x:v>Gate row 10 decision hold</x:v>
      </x:c>
      <x:c r="E4050" s="27" t="n">
        <x:f>IF('Release Gates'!G10="HOLD",1,0)</x:f>
        <x:v>1</x:v>
      </x:c>
      <x:c r="F4050" s="27" t="n">
        <x:v>1</x:v>
      </x:c>
      <x:c r="G4050" s="29" t="str">
        <x:f>IF(E4050=F4050,"PASS","FAIL")</x:f>
        <x:v>PASS</x:v>
      </x:c>
    </x:row>
    <x:row r="4051" ht="18" customHeight="1">
      <x:c r="B4051" s="27" t="str">
        <x:v>A4045</x:v>
      </x:c>
      <x:c r="C4051" s="27" t="str">
        <x:v>gate</x:v>
      </x:c>
      <x:c r="D4051" s="27" t="str">
        <x:v>Gate row 10 rendering blocked</x:v>
      </x:c>
      <x:c r="E4051" s="27" t="n">
        <x:f>IF('Release Gates'!I10="BLOCKED",1,0)</x:f>
        <x:v>1</x:v>
      </x:c>
      <x:c r="F4051" s="27" t="n">
        <x:v>1</x:v>
      </x:c>
      <x:c r="G4051" s="29" t="str">
        <x:f>IF(E4051=F4051,"PASS","FAIL")</x:f>
        <x:v>PASS</x:v>
      </x:c>
    </x:row>
    <x:row r="4052" ht="18" customHeight="1">
      <x:c r="B4052" s="27" t="str">
        <x:v>A4046</x:v>
      </x:c>
      <x:c r="C4052" s="27" t="str">
        <x:v>gate</x:v>
      </x:c>
      <x:c r="D4052" s="27" t="str">
        <x:v>Gate row 10 zero credit</x:v>
      </x:c>
      <x:c r="E4052" s="27" t="n">
        <x:f>IF('Release Gates'!J10=0,1,0)</x:f>
        <x:v>1</x:v>
      </x:c>
      <x:c r="F4052" s="27" t="n">
        <x:v>1</x:v>
      </x:c>
      <x:c r="G4052" s="29" t="str">
        <x:f>IF(E4052=F4052,"PASS","FAIL")</x:f>
        <x:v>PASS</x:v>
      </x:c>
    </x:row>
    <x:row r="4053" ht="18" customHeight="1">
      <x:c r="B4053" s="27" t="str">
        <x:v>A4047</x:v>
      </x:c>
      <x:c r="C4053" s="27" t="str">
        <x:v>gate</x:v>
      </x:c>
      <x:c r="D4053" s="27" t="str">
        <x:v>Gate row 11 evidence open</x:v>
      </x:c>
      <x:c r="E4053" s="27" t="n">
        <x:f>IF('Release Gates'!F11="OPEN",1,0)</x:f>
        <x:v>1</x:v>
      </x:c>
      <x:c r="F4053" s="27" t="n">
        <x:v>1</x:v>
      </x:c>
      <x:c r="G4053" s="29" t="str">
        <x:f>IF(E4053=F4053,"PASS","FAIL")</x:f>
        <x:v>PASS</x:v>
      </x:c>
    </x:row>
    <x:row r="4054" ht="18" customHeight="1">
      <x:c r="B4054" s="27" t="str">
        <x:v>A4048</x:v>
      </x:c>
      <x:c r="C4054" s="27" t="str">
        <x:v>gate</x:v>
      </x:c>
      <x:c r="D4054" s="27" t="str">
        <x:v>Gate row 11 decision hold</x:v>
      </x:c>
      <x:c r="E4054" s="27" t="n">
        <x:f>IF('Release Gates'!G11="HOLD",1,0)</x:f>
        <x:v>1</x:v>
      </x:c>
      <x:c r="F4054" s="27" t="n">
        <x:v>1</x:v>
      </x:c>
      <x:c r="G4054" s="29" t="str">
        <x:f>IF(E4054=F4054,"PASS","FAIL")</x:f>
        <x:v>PASS</x:v>
      </x:c>
    </x:row>
    <x:row r="4055" ht="18" customHeight="1">
      <x:c r="B4055" s="27" t="str">
        <x:v>A4049</x:v>
      </x:c>
      <x:c r="C4055" s="27" t="str">
        <x:v>gate</x:v>
      </x:c>
      <x:c r="D4055" s="27" t="str">
        <x:v>Gate row 11 rendering blocked</x:v>
      </x:c>
      <x:c r="E4055" s="27" t="n">
        <x:f>IF('Release Gates'!I11="BLOCKED",1,0)</x:f>
        <x:v>1</x:v>
      </x:c>
      <x:c r="F4055" s="27" t="n">
        <x:v>1</x:v>
      </x:c>
      <x:c r="G4055" s="29" t="str">
        <x:f>IF(E4055=F4055,"PASS","FAIL")</x:f>
        <x:v>PASS</x:v>
      </x:c>
    </x:row>
    <x:row r="4056" ht="18" customHeight="1">
      <x:c r="B4056" s="27" t="str">
        <x:v>A4050</x:v>
      </x:c>
      <x:c r="C4056" s="27" t="str">
        <x:v>gate</x:v>
      </x:c>
      <x:c r="D4056" s="27" t="str">
        <x:v>Gate row 11 zero credit</x:v>
      </x:c>
      <x:c r="E4056" s="27" t="n">
        <x:f>IF('Release Gates'!J11=0,1,0)</x:f>
        <x:v>1</x:v>
      </x:c>
      <x:c r="F4056" s="27" t="n">
        <x:v>1</x:v>
      </x:c>
      <x:c r="G4056" s="29" t="str">
        <x:f>IF(E4056=F4056,"PASS","FAIL")</x:f>
        <x:v>PASS</x:v>
      </x:c>
    </x:row>
    <x:row r="4057" ht="18" customHeight="1">
      <x:c r="B4057" s="27" t="str">
        <x:v>A4051</x:v>
      </x:c>
      <x:c r="C4057" s="27" t="str">
        <x:v>gate</x:v>
      </x:c>
      <x:c r="D4057" s="27" t="str">
        <x:v>Gate row 12 evidence open</x:v>
      </x:c>
      <x:c r="E4057" s="27" t="n">
        <x:f>IF('Release Gates'!F12="OPEN",1,0)</x:f>
        <x:v>1</x:v>
      </x:c>
      <x:c r="F4057" s="27" t="n">
        <x:v>1</x:v>
      </x:c>
      <x:c r="G4057" s="29" t="str">
        <x:f>IF(E4057=F4057,"PASS","FAIL")</x:f>
        <x:v>PASS</x:v>
      </x:c>
    </x:row>
    <x:row r="4058" ht="18" customHeight="1">
      <x:c r="B4058" s="27" t="str">
        <x:v>A4052</x:v>
      </x:c>
      <x:c r="C4058" s="27" t="str">
        <x:v>gate</x:v>
      </x:c>
      <x:c r="D4058" s="27" t="str">
        <x:v>Gate row 12 decision hold</x:v>
      </x:c>
      <x:c r="E4058" s="27" t="n">
        <x:f>IF('Release Gates'!G12="HOLD",1,0)</x:f>
        <x:v>1</x:v>
      </x:c>
      <x:c r="F4058" s="27" t="n">
        <x:v>1</x:v>
      </x:c>
      <x:c r="G4058" s="29" t="str">
        <x:f>IF(E4058=F4058,"PASS","FAIL")</x:f>
        <x:v>PASS</x:v>
      </x:c>
    </x:row>
    <x:row r="4059" ht="18" customHeight="1">
      <x:c r="B4059" s="27" t="str">
        <x:v>A4053</x:v>
      </x:c>
      <x:c r="C4059" s="27" t="str">
        <x:v>gate</x:v>
      </x:c>
      <x:c r="D4059" s="27" t="str">
        <x:v>Gate row 12 rendering blocked</x:v>
      </x:c>
      <x:c r="E4059" s="27" t="n">
        <x:f>IF('Release Gates'!I12="BLOCKED",1,0)</x:f>
        <x:v>1</x:v>
      </x:c>
      <x:c r="F4059" s="27" t="n">
        <x:v>1</x:v>
      </x:c>
      <x:c r="G4059" s="29" t="str">
        <x:f>IF(E4059=F4059,"PASS","FAIL")</x:f>
        <x:v>PASS</x:v>
      </x:c>
    </x:row>
    <x:row r="4060" ht="18" customHeight="1">
      <x:c r="B4060" s="27" t="str">
        <x:v>A4054</x:v>
      </x:c>
      <x:c r="C4060" s="27" t="str">
        <x:v>gate</x:v>
      </x:c>
      <x:c r="D4060" s="27" t="str">
        <x:v>Gate row 12 zero credit</x:v>
      </x:c>
      <x:c r="E4060" s="27" t="n">
        <x:f>IF('Release Gates'!J12=0,1,0)</x:f>
        <x:v>1</x:v>
      </x:c>
      <x:c r="F4060" s="27" t="n">
        <x:v>1</x:v>
      </x:c>
      <x:c r="G4060" s="29" t="str">
        <x:f>IF(E4060=F4060,"PASS","FAIL")</x:f>
        <x:v>PASS</x:v>
      </x:c>
    </x:row>
    <x:row r="4061" ht="18" customHeight="1">
      <x:c r="B4061" s="27" t="str">
        <x:v>A4055</x:v>
      </x:c>
      <x:c r="C4061" s="27" t="str">
        <x:v>gate</x:v>
      </x:c>
      <x:c r="D4061" s="27" t="str">
        <x:v>Gate row 13 evidence open</x:v>
      </x:c>
      <x:c r="E4061" s="27" t="n">
        <x:f>IF('Release Gates'!F13="OPEN",1,0)</x:f>
        <x:v>1</x:v>
      </x:c>
      <x:c r="F4061" s="27" t="n">
        <x:v>1</x:v>
      </x:c>
      <x:c r="G4061" s="29" t="str">
        <x:f>IF(E4061=F4061,"PASS","FAIL")</x:f>
        <x:v>PASS</x:v>
      </x:c>
    </x:row>
    <x:row r="4062" ht="18" customHeight="1">
      <x:c r="B4062" s="27" t="str">
        <x:v>A4056</x:v>
      </x:c>
      <x:c r="C4062" s="27" t="str">
        <x:v>gate</x:v>
      </x:c>
      <x:c r="D4062" s="27" t="str">
        <x:v>Gate row 13 decision hold</x:v>
      </x:c>
      <x:c r="E4062" s="27" t="n">
        <x:f>IF('Release Gates'!G13="HOLD",1,0)</x:f>
        <x:v>1</x:v>
      </x:c>
      <x:c r="F4062" s="27" t="n">
        <x:v>1</x:v>
      </x:c>
      <x:c r="G4062" s="29" t="str">
        <x:f>IF(E4062=F4062,"PASS","FAIL")</x:f>
        <x:v>PASS</x:v>
      </x:c>
    </x:row>
    <x:row r="4063" ht="18" customHeight="1">
      <x:c r="B4063" s="27" t="str">
        <x:v>A4057</x:v>
      </x:c>
      <x:c r="C4063" s="27" t="str">
        <x:v>gate</x:v>
      </x:c>
      <x:c r="D4063" s="27" t="str">
        <x:v>Gate row 13 rendering blocked</x:v>
      </x:c>
      <x:c r="E4063" s="27" t="n">
        <x:f>IF('Release Gates'!I13="BLOCKED",1,0)</x:f>
        <x:v>1</x:v>
      </x:c>
      <x:c r="F4063" s="27" t="n">
        <x:v>1</x:v>
      </x:c>
      <x:c r="G4063" s="29" t="str">
        <x:f>IF(E4063=F4063,"PASS","FAIL")</x:f>
        <x:v>PASS</x:v>
      </x:c>
    </x:row>
    <x:row r="4064" ht="18" customHeight="1">
      <x:c r="B4064" s="27" t="str">
        <x:v>A4058</x:v>
      </x:c>
      <x:c r="C4064" s="27" t="str">
        <x:v>gate</x:v>
      </x:c>
      <x:c r="D4064" s="27" t="str">
        <x:v>Gate row 13 zero credit</x:v>
      </x:c>
      <x:c r="E4064" s="27" t="n">
        <x:f>IF('Release Gates'!J13=0,1,0)</x:f>
        <x:v>1</x:v>
      </x:c>
      <x:c r="F4064" s="27" t="n">
        <x:v>1</x:v>
      </x:c>
      <x:c r="G4064" s="29" t="str">
        <x:f>IF(E4064=F4064,"PASS","FAIL")</x:f>
        <x:v>PASS</x:v>
      </x:c>
    </x:row>
    <x:row r="4065" ht="18" customHeight="1">
      <x:c r="B4065" s="27" t="str">
        <x:v>A4059</x:v>
      </x:c>
      <x:c r="C4065" s="27" t="str">
        <x:v>gate</x:v>
      </x:c>
      <x:c r="D4065" s="27" t="str">
        <x:v>Gate row 14 evidence open</x:v>
      </x:c>
      <x:c r="E4065" s="27" t="n">
        <x:f>IF('Release Gates'!F14="OPEN",1,0)</x:f>
        <x:v>1</x:v>
      </x:c>
      <x:c r="F4065" s="27" t="n">
        <x:v>1</x:v>
      </x:c>
      <x:c r="G4065" s="29" t="str">
        <x:f>IF(E4065=F4065,"PASS","FAIL")</x:f>
        <x:v>PASS</x:v>
      </x:c>
    </x:row>
    <x:row r="4066" ht="18" customHeight="1">
      <x:c r="B4066" s="27" t="str">
        <x:v>A4060</x:v>
      </x:c>
      <x:c r="C4066" s="27" t="str">
        <x:v>gate</x:v>
      </x:c>
      <x:c r="D4066" s="27" t="str">
        <x:v>Gate row 14 decision hold</x:v>
      </x:c>
      <x:c r="E4066" s="27" t="n">
        <x:f>IF('Release Gates'!G14="HOLD",1,0)</x:f>
        <x:v>1</x:v>
      </x:c>
      <x:c r="F4066" s="27" t="n">
        <x:v>1</x:v>
      </x:c>
      <x:c r="G4066" s="29" t="str">
        <x:f>IF(E4066=F4066,"PASS","FAIL")</x:f>
        <x:v>PASS</x:v>
      </x:c>
    </x:row>
    <x:row r="4067" ht="18" customHeight="1">
      <x:c r="B4067" s="27" t="str">
        <x:v>A4061</x:v>
      </x:c>
      <x:c r="C4067" s="27" t="str">
        <x:v>gate</x:v>
      </x:c>
      <x:c r="D4067" s="27" t="str">
        <x:v>Gate row 14 rendering blocked</x:v>
      </x:c>
      <x:c r="E4067" s="27" t="n">
        <x:f>IF('Release Gates'!I14="BLOCKED",1,0)</x:f>
        <x:v>1</x:v>
      </x:c>
      <x:c r="F4067" s="27" t="n">
        <x:v>1</x:v>
      </x:c>
      <x:c r="G4067" s="29" t="str">
        <x:f>IF(E4067=F4067,"PASS","FAIL")</x:f>
        <x:v>PASS</x:v>
      </x:c>
    </x:row>
    <x:row r="4068" ht="18" customHeight="1">
      <x:c r="B4068" s="27" t="str">
        <x:v>A4062</x:v>
      </x:c>
      <x:c r="C4068" s="27" t="str">
        <x:v>gate</x:v>
      </x:c>
      <x:c r="D4068" s="27" t="str">
        <x:v>Gate row 14 zero credit</x:v>
      </x:c>
      <x:c r="E4068" s="27" t="n">
        <x:f>IF('Release Gates'!J14=0,1,0)</x:f>
        <x:v>1</x:v>
      </x:c>
      <x:c r="F4068" s="27" t="n">
        <x:v>1</x:v>
      </x:c>
      <x:c r="G4068" s="29" t="str">
        <x:f>IF(E4068=F4068,"PASS","FAIL")</x:f>
        <x:v>PASS</x:v>
      </x:c>
    </x:row>
    <x:row r="4069" ht="18" customHeight="1">
      <x:c r="B4069" s="27" t="str">
        <x:v>A4063</x:v>
      </x:c>
      <x:c r="C4069" s="27" t="str">
        <x:v>gate</x:v>
      </x:c>
      <x:c r="D4069" s="27" t="str">
        <x:v>Gate row 15 evidence open</x:v>
      </x:c>
      <x:c r="E4069" s="27" t="n">
        <x:f>IF('Release Gates'!F15="OPEN",1,0)</x:f>
        <x:v>1</x:v>
      </x:c>
      <x:c r="F4069" s="27" t="n">
        <x:v>1</x:v>
      </x:c>
      <x:c r="G4069" s="29" t="str">
        <x:f>IF(E4069=F4069,"PASS","FAIL")</x:f>
        <x:v>PASS</x:v>
      </x:c>
    </x:row>
    <x:row r="4070" ht="18" customHeight="1">
      <x:c r="B4070" s="27" t="str">
        <x:v>A4064</x:v>
      </x:c>
      <x:c r="C4070" s="27" t="str">
        <x:v>gate</x:v>
      </x:c>
      <x:c r="D4070" s="27" t="str">
        <x:v>Gate row 15 decision hold</x:v>
      </x:c>
      <x:c r="E4070" s="27" t="n">
        <x:f>IF('Release Gates'!G15="HOLD",1,0)</x:f>
        <x:v>1</x:v>
      </x:c>
      <x:c r="F4070" s="27" t="n">
        <x:v>1</x:v>
      </x:c>
      <x:c r="G4070" s="29" t="str">
        <x:f>IF(E4070=F4070,"PASS","FAIL")</x:f>
        <x:v>PASS</x:v>
      </x:c>
    </x:row>
    <x:row r="4071" ht="18" customHeight="1">
      <x:c r="B4071" s="27" t="str">
        <x:v>A4065</x:v>
      </x:c>
      <x:c r="C4071" s="27" t="str">
        <x:v>gate</x:v>
      </x:c>
      <x:c r="D4071" s="27" t="str">
        <x:v>Gate row 15 rendering blocked</x:v>
      </x:c>
      <x:c r="E4071" s="27" t="n">
        <x:f>IF('Release Gates'!I15="BLOCKED",1,0)</x:f>
        <x:v>1</x:v>
      </x:c>
      <x:c r="F4071" s="27" t="n">
        <x:v>1</x:v>
      </x:c>
      <x:c r="G4071" s="29" t="str">
        <x:f>IF(E4071=F4071,"PASS","FAIL")</x:f>
        <x:v>PASS</x:v>
      </x:c>
    </x:row>
    <x:row r="4072" ht="18" customHeight="1">
      <x:c r="B4072" s="27" t="str">
        <x:v>A4066</x:v>
      </x:c>
      <x:c r="C4072" s="27" t="str">
        <x:v>gate</x:v>
      </x:c>
      <x:c r="D4072" s="27" t="str">
        <x:v>Gate row 15 zero credit</x:v>
      </x:c>
      <x:c r="E4072" s="27" t="n">
        <x:f>IF('Release Gates'!J15=0,1,0)</x:f>
        <x:v>1</x:v>
      </x:c>
      <x:c r="F4072" s="27" t="n">
        <x:v>1</x:v>
      </x:c>
      <x:c r="G4072" s="29" t="str">
        <x:f>IF(E4072=F4072,"PASS","FAIL")</x:f>
        <x:v>PASS</x:v>
      </x:c>
    </x:row>
    <x:row r="4073" ht="18" customHeight="1">
      <x:c r="B4073" s="27" t="str">
        <x:v>A4067</x:v>
      </x:c>
      <x:c r="C4073" s="27" t="str">
        <x:v>gate</x:v>
      </x:c>
      <x:c r="D4073" s="27" t="str">
        <x:v>Gate row 16 evidence open</x:v>
      </x:c>
      <x:c r="E4073" s="27" t="n">
        <x:f>IF('Release Gates'!F16="OPEN",1,0)</x:f>
        <x:v>1</x:v>
      </x:c>
      <x:c r="F4073" s="27" t="n">
        <x:v>1</x:v>
      </x:c>
      <x:c r="G4073" s="29" t="str">
        <x:f>IF(E4073=F4073,"PASS","FAIL")</x:f>
        <x:v>PASS</x:v>
      </x:c>
    </x:row>
    <x:row r="4074" ht="18" customHeight="1">
      <x:c r="B4074" s="27" t="str">
        <x:v>A4068</x:v>
      </x:c>
      <x:c r="C4074" s="27" t="str">
        <x:v>gate</x:v>
      </x:c>
      <x:c r="D4074" s="27" t="str">
        <x:v>Gate row 16 decision hold</x:v>
      </x:c>
      <x:c r="E4074" s="27" t="n">
        <x:f>IF('Release Gates'!G16="HOLD",1,0)</x:f>
        <x:v>1</x:v>
      </x:c>
      <x:c r="F4074" s="27" t="n">
        <x:v>1</x:v>
      </x:c>
      <x:c r="G4074" s="29" t="str">
        <x:f>IF(E4074=F4074,"PASS","FAIL")</x:f>
        <x:v>PASS</x:v>
      </x:c>
    </x:row>
    <x:row r="4075" ht="18" customHeight="1">
      <x:c r="B4075" s="27" t="str">
        <x:v>A4069</x:v>
      </x:c>
      <x:c r="C4075" s="27" t="str">
        <x:v>gate</x:v>
      </x:c>
      <x:c r="D4075" s="27" t="str">
        <x:v>Gate row 16 rendering blocked</x:v>
      </x:c>
      <x:c r="E4075" s="27" t="n">
        <x:f>IF('Release Gates'!I16="BLOCKED",1,0)</x:f>
        <x:v>1</x:v>
      </x:c>
      <x:c r="F4075" s="27" t="n">
        <x:v>1</x:v>
      </x:c>
      <x:c r="G4075" s="29" t="str">
        <x:f>IF(E4075=F4075,"PASS","FAIL")</x:f>
        <x:v>PASS</x:v>
      </x:c>
    </x:row>
    <x:row r="4076" ht="18" customHeight="1">
      <x:c r="B4076" s="27" t="str">
        <x:v>A4070</x:v>
      </x:c>
      <x:c r="C4076" s="27" t="str">
        <x:v>gate</x:v>
      </x:c>
      <x:c r="D4076" s="27" t="str">
        <x:v>Gate row 16 zero credit</x:v>
      </x:c>
      <x:c r="E4076" s="27" t="n">
        <x:f>IF('Release Gates'!J16=0,1,0)</x:f>
        <x:v>1</x:v>
      </x:c>
      <x:c r="F4076" s="27" t="n">
        <x:v>1</x:v>
      </x:c>
      <x:c r="G4076" s="29" t="str">
        <x:f>IF(E4076=F4076,"PASS","FAIL")</x:f>
        <x:v>PASS</x:v>
      </x:c>
    </x:row>
    <x:row r="4077" ht="18" customHeight="1">
      <x:c r="B4077" s="27" t="str">
        <x:v>A4071</x:v>
      </x:c>
      <x:c r="C4077" s="27" t="str">
        <x:v>gate</x:v>
      </x:c>
      <x:c r="D4077" s="27" t="str">
        <x:v>Gate row 17 evidence open</x:v>
      </x:c>
      <x:c r="E4077" s="27" t="n">
        <x:f>IF('Release Gates'!F17="OPEN",1,0)</x:f>
        <x:v>1</x:v>
      </x:c>
      <x:c r="F4077" s="27" t="n">
        <x:v>1</x:v>
      </x:c>
      <x:c r="G4077" s="29" t="str">
        <x:f>IF(E4077=F4077,"PASS","FAIL")</x:f>
        <x:v>PASS</x:v>
      </x:c>
    </x:row>
    <x:row r="4078" ht="18" customHeight="1">
      <x:c r="B4078" s="27" t="str">
        <x:v>A4072</x:v>
      </x:c>
      <x:c r="C4078" s="27" t="str">
        <x:v>gate</x:v>
      </x:c>
      <x:c r="D4078" s="27" t="str">
        <x:v>Gate row 17 decision hold</x:v>
      </x:c>
      <x:c r="E4078" s="27" t="n">
        <x:f>IF('Release Gates'!G17="HOLD",1,0)</x:f>
        <x:v>1</x:v>
      </x:c>
      <x:c r="F4078" s="27" t="n">
        <x:v>1</x:v>
      </x:c>
      <x:c r="G4078" s="29" t="str">
        <x:f>IF(E4078=F4078,"PASS","FAIL")</x:f>
        <x:v>PASS</x:v>
      </x:c>
    </x:row>
    <x:row r="4079" ht="18" customHeight="1">
      <x:c r="B4079" s="27" t="str">
        <x:v>A4073</x:v>
      </x:c>
      <x:c r="C4079" s="27" t="str">
        <x:v>gate</x:v>
      </x:c>
      <x:c r="D4079" s="27" t="str">
        <x:v>Gate row 17 rendering blocked</x:v>
      </x:c>
      <x:c r="E4079" s="27" t="n">
        <x:f>IF('Release Gates'!I17="BLOCKED",1,0)</x:f>
        <x:v>1</x:v>
      </x:c>
      <x:c r="F4079" s="27" t="n">
        <x:v>1</x:v>
      </x:c>
      <x:c r="G4079" s="29" t="str">
        <x:f>IF(E4079=F4079,"PASS","FAIL")</x:f>
        <x:v>PASS</x:v>
      </x:c>
    </x:row>
    <x:row r="4080" ht="18" customHeight="1">
      <x:c r="B4080" s="27" t="str">
        <x:v>A4074</x:v>
      </x:c>
      <x:c r="C4080" s="27" t="str">
        <x:v>gate</x:v>
      </x:c>
      <x:c r="D4080" s="27" t="str">
        <x:v>Gate row 17 zero credit</x:v>
      </x:c>
      <x:c r="E4080" s="27" t="n">
        <x:f>IF('Release Gates'!J17=0,1,0)</x:f>
        <x:v>1</x:v>
      </x:c>
      <x:c r="F4080" s="27" t="n">
        <x:v>1</x:v>
      </x:c>
      <x:c r="G4080" s="29" t="str">
        <x:f>IF(E4080=F4080,"PASS","FAIL")</x:f>
        <x:v>PASS</x:v>
      </x:c>
    </x:row>
    <x:row r="4081" ht="18" customHeight="1">
      <x:c r="B4081" s="27" t="str">
        <x:v>A4075</x:v>
      </x:c>
      <x:c r="C4081" s="27" t="str">
        <x:v>gate</x:v>
      </x:c>
      <x:c r="D4081" s="27" t="str">
        <x:v>Gate row 18 evidence open</x:v>
      </x:c>
      <x:c r="E4081" s="27" t="n">
        <x:f>IF('Release Gates'!F18="OPEN",1,0)</x:f>
        <x:v>1</x:v>
      </x:c>
      <x:c r="F4081" s="27" t="n">
        <x:v>1</x:v>
      </x:c>
      <x:c r="G4081" s="29" t="str">
        <x:f>IF(E4081=F4081,"PASS","FAIL")</x:f>
        <x:v>PASS</x:v>
      </x:c>
    </x:row>
    <x:row r="4082" ht="18" customHeight="1">
      <x:c r="B4082" s="27" t="str">
        <x:v>A4076</x:v>
      </x:c>
      <x:c r="C4082" s="27" t="str">
        <x:v>gate</x:v>
      </x:c>
      <x:c r="D4082" s="27" t="str">
        <x:v>Gate row 18 decision hold</x:v>
      </x:c>
      <x:c r="E4082" s="27" t="n">
        <x:f>IF('Release Gates'!G18="HOLD",1,0)</x:f>
        <x:v>1</x:v>
      </x:c>
      <x:c r="F4082" s="27" t="n">
        <x:v>1</x:v>
      </x:c>
      <x:c r="G4082" s="29" t="str">
        <x:f>IF(E4082=F4082,"PASS","FAIL")</x:f>
        <x:v>PASS</x:v>
      </x:c>
    </x:row>
    <x:row r="4083" ht="18" customHeight="1">
      <x:c r="B4083" s="27" t="str">
        <x:v>A4077</x:v>
      </x:c>
      <x:c r="C4083" s="27" t="str">
        <x:v>gate</x:v>
      </x:c>
      <x:c r="D4083" s="27" t="str">
        <x:v>Gate row 18 rendering blocked</x:v>
      </x:c>
      <x:c r="E4083" s="27" t="n">
        <x:f>IF('Release Gates'!I18="BLOCKED",1,0)</x:f>
        <x:v>1</x:v>
      </x:c>
      <x:c r="F4083" s="27" t="n">
        <x:v>1</x:v>
      </x:c>
      <x:c r="G4083" s="29" t="str">
        <x:f>IF(E4083=F4083,"PASS","FAIL")</x:f>
        <x:v>PASS</x:v>
      </x:c>
    </x:row>
    <x:row r="4084" ht="18" customHeight="1">
      <x:c r="B4084" s="27" t="str">
        <x:v>A4078</x:v>
      </x:c>
      <x:c r="C4084" s="27" t="str">
        <x:v>gate</x:v>
      </x:c>
      <x:c r="D4084" s="27" t="str">
        <x:v>Gate row 18 zero credit</x:v>
      </x:c>
      <x:c r="E4084" s="27" t="n">
        <x:f>IF('Release Gates'!J18=0,1,0)</x:f>
        <x:v>1</x:v>
      </x:c>
      <x:c r="F4084" s="27" t="n">
        <x:v>1</x:v>
      </x:c>
      <x:c r="G4084" s="29" t="str">
        <x:f>IF(E4084=F4084,"PASS","FAIL")</x:f>
        <x:v>PASS</x:v>
      </x:c>
    </x:row>
    <x:row r="4085" ht="18" customHeight="1">
      <x:c r="B4085" s="27" t="str">
        <x:v>A4079</x:v>
      </x:c>
      <x:c r="C4085" s="27" t="str">
        <x:v>gate</x:v>
      </x:c>
      <x:c r="D4085" s="27" t="str">
        <x:v>Gate row 19 evidence open</x:v>
      </x:c>
      <x:c r="E4085" s="27" t="n">
        <x:f>IF('Release Gates'!F19="OPEN",1,0)</x:f>
        <x:v>1</x:v>
      </x:c>
      <x:c r="F4085" s="27" t="n">
        <x:v>1</x:v>
      </x:c>
      <x:c r="G4085" s="29" t="str">
        <x:f>IF(E4085=F4085,"PASS","FAIL")</x:f>
        <x:v>PASS</x:v>
      </x:c>
    </x:row>
    <x:row r="4086" ht="18" customHeight="1">
      <x:c r="B4086" s="27" t="str">
        <x:v>A4080</x:v>
      </x:c>
      <x:c r="C4086" s="27" t="str">
        <x:v>gate</x:v>
      </x:c>
      <x:c r="D4086" s="27" t="str">
        <x:v>Gate row 19 decision hold</x:v>
      </x:c>
      <x:c r="E4086" s="27" t="n">
        <x:f>IF('Release Gates'!G19="HOLD",1,0)</x:f>
        <x:v>1</x:v>
      </x:c>
      <x:c r="F4086" s="27" t="n">
        <x:v>1</x:v>
      </x:c>
      <x:c r="G4086" s="29" t="str">
        <x:f>IF(E4086=F4086,"PASS","FAIL")</x:f>
        <x:v>PASS</x:v>
      </x:c>
    </x:row>
    <x:row r="4087" ht="18" customHeight="1">
      <x:c r="B4087" s="27" t="str">
        <x:v>A4081</x:v>
      </x:c>
      <x:c r="C4087" s="27" t="str">
        <x:v>gate</x:v>
      </x:c>
      <x:c r="D4087" s="27" t="str">
        <x:v>Gate row 19 rendering blocked</x:v>
      </x:c>
      <x:c r="E4087" s="27" t="n">
        <x:f>IF('Release Gates'!I19="BLOCKED",1,0)</x:f>
        <x:v>1</x:v>
      </x:c>
      <x:c r="F4087" s="27" t="n">
        <x:v>1</x:v>
      </x:c>
      <x:c r="G4087" s="29" t="str">
        <x:f>IF(E4087=F4087,"PASS","FAIL")</x:f>
        <x:v>PASS</x:v>
      </x:c>
    </x:row>
    <x:row r="4088" ht="18" customHeight="1">
      <x:c r="B4088" s="27" t="str">
        <x:v>A4082</x:v>
      </x:c>
      <x:c r="C4088" s="27" t="str">
        <x:v>gate</x:v>
      </x:c>
      <x:c r="D4088" s="27" t="str">
        <x:v>Gate row 19 zero credit</x:v>
      </x:c>
      <x:c r="E4088" s="27" t="n">
        <x:f>IF('Release Gates'!J19=0,1,0)</x:f>
        <x:v>1</x:v>
      </x:c>
      <x:c r="F4088" s="27" t="n">
        <x:v>1</x:v>
      </x:c>
      <x:c r="G4088" s="29" t="str">
        <x:f>IF(E4088=F4088,"PASS","FAIL")</x:f>
        <x:v>PASS</x:v>
      </x:c>
    </x:row>
    <x:row r="4089" ht="18" customHeight="1">
      <x:c r="B4089" s="27" t="str">
        <x:v>A4083</x:v>
      </x:c>
      <x:c r="C4089" s="27" t="str">
        <x:v>gate</x:v>
      </x:c>
      <x:c r="D4089" s="27" t="str">
        <x:v>Gate row 20 evidence open</x:v>
      </x:c>
      <x:c r="E4089" s="27" t="n">
        <x:f>IF('Release Gates'!F20="OPEN",1,0)</x:f>
        <x:v>1</x:v>
      </x:c>
      <x:c r="F4089" s="27" t="n">
        <x:v>1</x:v>
      </x:c>
      <x:c r="G4089" s="29" t="str">
        <x:f>IF(E4089=F4089,"PASS","FAIL")</x:f>
        <x:v>PASS</x:v>
      </x:c>
    </x:row>
    <x:row r="4090" ht="18" customHeight="1">
      <x:c r="B4090" s="27" t="str">
        <x:v>A4084</x:v>
      </x:c>
      <x:c r="C4090" s="27" t="str">
        <x:v>gate</x:v>
      </x:c>
      <x:c r="D4090" s="27" t="str">
        <x:v>Gate row 20 decision hold</x:v>
      </x:c>
      <x:c r="E4090" s="27" t="n">
        <x:f>IF('Release Gates'!G20="HOLD",1,0)</x:f>
        <x:v>1</x:v>
      </x:c>
      <x:c r="F4090" s="27" t="n">
        <x:v>1</x:v>
      </x:c>
      <x:c r="G4090" s="29" t="str">
        <x:f>IF(E4090=F4090,"PASS","FAIL")</x:f>
        <x:v>PASS</x:v>
      </x:c>
    </x:row>
    <x:row r="4091" ht="18" customHeight="1">
      <x:c r="B4091" s="27" t="str">
        <x:v>A4085</x:v>
      </x:c>
      <x:c r="C4091" s="27" t="str">
        <x:v>gate</x:v>
      </x:c>
      <x:c r="D4091" s="27" t="str">
        <x:v>Gate row 20 rendering blocked</x:v>
      </x:c>
      <x:c r="E4091" s="27" t="n">
        <x:f>IF('Release Gates'!I20="BLOCKED",1,0)</x:f>
        <x:v>1</x:v>
      </x:c>
      <x:c r="F4091" s="27" t="n">
        <x:v>1</x:v>
      </x:c>
      <x:c r="G4091" s="29" t="str">
        <x:f>IF(E4091=F4091,"PASS","FAIL")</x:f>
        <x:v>PASS</x:v>
      </x:c>
    </x:row>
    <x:row r="4092" ht="18" customHeight="1">
      <x:c r="B4092" s="27" t="str">
        <x:v>A4086</x:v>
      </x:c>
      <x:c r="C4092" s="27" t="str">
        <x:v>gate</x:v>
      </x:c>
      <x:c r="D4092" s="27" t="str">
        <x:v>Gate row 20 zero credit</x:v>
      </x:c>
      <x:c r="E4092" s="27" t="n">
        <x:f>IF('Release Gates'!J20=0,1,0)</x:f>
        <x:v>1</x:v>
      </x:c>
      <x:c r="F4092" s="27" t="n">
        <x:v>1</x:v>
      </x:c>
      <x:c r="G4092" s="29" t="str">
        <x:f>IF(E4092=F4092,"PASS","FAIL")</x:f>
        <x:v>PASS</x:v>
      </x:c>
    </x:row>
    <x:row r="4093" ht="18" customHeight="1">
      <x:c r="B4093" s="27" t="str">
        <x:v>A4087</x:v>
      </x:c>
      <x:c r="C4093" s="27" t="str">
        <x:v>gate</x:v>
      </x:c>
      <x:c r="D4093" s="27" t="str">
        <x:v>Gate row 21 evidence open</x:v>
      </x:c>
      <x:c r="E4093" s="27" t="n">
        <x:f>IF('Release Gates'!F21="OPEN",1,0)</x:f>
        <x:v>1</x:v>
      </x:c>
      <x:c r="F4093" s="27" t="n">
        <x:v>1</x:v>
      </x:c>
      <x:c r="G4093" s="29" t="str">
        <x:f>IF(E4093=F4093,"PASS","FAIL")</x:f>
        <x:v>PASS</x:v>
      </x:c>
    </x:row>
    <x:row r="4094" ht="18" customHeight="1">
      <x:c r="B4094" s="27" t="str">
        <x:v>A4088</x:v>
      </x:c>
      <x:c r="C4094" s="27" t="str">
        <x:v>gate</x:v>
      </x:c>
      <x:c r="D4094" s="27" t="str">
        <x:v>Gate row 21 decision hold</x:v>
      </x:c>
      <x:c r="E4094" s="27" t="n">
        <x:f>IF('Release Gates'!G21="HOLD",1,0)</x:f>
        <x:v>1</x:v>
      </x:c>
      <x:c r="F4094" s="27" t="n">
        <x:v>1</x:v>
      </x:c>
      <x:c r="G4094" s="29" t="str">
        <x:f>IF(E4094=F4094,"PASS","FAIL")</x:f>
        <x:v>PASS</x:v>
      </x:c>
    </x:row>
    <x:row r="4095" ht="18" customHeight="1">
      <x:c r="B4095" s="27" t="str">
        <x:v>A4089</x:v>
      </x:c>
      <x:c r="C4095" s="27" t="str">
        <x:v>gate</x:v>
      </x:c>
      <x:c r="D4095" s="27" t="str">
        <x:v>Gate row 21 rendering blocked</x:v>
      </x:c>
      <x:c r="E4095" s="27" t="n">
        <x:f>IF('Release Gates'!I21="BLOCKED",1,0)</x:f>
        <x:v>1</x:v>
      </x:c>
      <x:c r="F4095" s="27" t="n">
        <x:v>1</x:v>
      </x:c>
      <x:c r="G4095" s="29" t="str">
        <x:f>IF(E4095=F4095,"PASS","FAIL")</x:f>
        <x:v>PASS</x:v>
      </x:c>
    </x:row>
    <x:row r="4096" ht="18" customHeight="1">
      <x:c r="B4096" s="27" t="str">
        <x:v>A4090</x:v>
      </x:c>
      <x:c r="C4096" s="27" t="str">
        <x:v>gate</x:v>
      </x:c>
      <x:c r="D4096" s="27" t="str">
        <x:v>Gate row 21 zero credit</x:v>
      </x:c>
      <x:c r="E4096" s="27" t="n">
        <x:f>IF('Release Gates'!J21=0,1,0)</x:f>
        <x:v>1</x:v>
      </x:c>
      <x:c r="F4096" s="27" t="n">
        <x:v>1</x:v>
      </x:c>
      <x:c r="G4096" s="29" t="str">
        <x:f>IF(E4096=F4096,"PASS","FAIL")</x:f>
        <x:v>PASS</x:v>
      </x:c>
    </x:row>
    <x:row r="4097" ht="18" customHeight="1">
      <x:c r="B4097" s="27" t="str">
        <x:v>A4091</x:v>
      </x:c>
      <x:c r="C4097" s="27" t="str">
        <x:v>global</x:v>
      </x:c>
      <x:c r="D4097" s="27" t="str">
        <x:v>Eleven families</x:v>
      </x:c>
      <x:c r="E4097" s="27" t="n">
        <x:f>COUNTA('Article Baselines'!B7:B17)</x:f>
        <x:v>11</x:v>
      </x:c>
      <x:c r="F4097" s="27" t="n">
        <x:v>11</x:v>
      </x:c>
      <x:c r="G4097" s="29" t="str">
        <x:f>IF(E4097=F4097,"PASS","FAIL")</x:f>
        <x:v>PASS</x:v>
      </x:c>
    </x:row>
    <x:row r="4098" ht="18" customHeight="1">
      <x:c r="B4098" s="27" t="str">
        <x:v>A4092</x:v>
      </x:c>
      <x:c r="C4098" s="27" t="str">
        <x:v>global</x:v>
      </x:c>
      <x:c r="D4098" s="27" t="str">
        <x:v>One hundred fifty-four packages</x:v>
      </x:c>
      <x:c r="E4098" s="27" t="n">
        <x:f>COUNTA('Build Packages'!B7:B160)</x:f>
        <x:v>154</x:v>
      </x:c>
      <x:c r="F4098" s="27" t="n">
        <x:v>154</x:v>
      </x:c>
      <x:c r="G4098" s="29" t="str">
        <x:f>IF(E4098=F4098,"PASS","FAIL")</x:f>
        <x:v>PASS</x:v>
      </x:c>
    </x:row>
    <x:row r="4099" ht="18" customHeight="1">
      <x:c r="B4099" s="27" t="str">
        <x:v>A4093</x:v>
      </x:c>
      <x:c r="C4099" s="27" t="str">
        <x:v>global</x:v>
      </x:c>
      <x:c r="D4099" s="27" t="str">
        <x:v>One hundred thirty-two acceptances</x:v>
      </x:c>
      <x:c r="E4099" s="27" t="n">
        <x:f>COUNTA('Acceptance Register'!B7:B138)</x:f>
        <x:v>132</x:v>
      </x:c>
      <x:c r="F4099" s="27" t="n">
        <x:v>132</x:v>
      </x:c>
      <x:c r="G4099" s="29" t="str">
        <x:f>IF(E4099=F4099,"PASS","FAIL")</x:f>
        <x:v>PASS</x:v>
      </x:c>
    </x:row>
    <x:row r="4100" ht="18" customHeight="1">
      <x:c r="B4100" s="27" t="str">
        <x:v>A4094</x:v>
      </x:c>
      <x:c r="C4100" s="27" t="str">
        <x:v>global</x:v>
      </x:c>
      <x:c r="D4100" s="27" t="str">
        <x:v>Eighty-eight hazards</x:v>
      </x:c>
      <x:c r="E4100" s="27" t="n">
        <x:f>COUNTA('Hazard Register'!B7:B94)</x:f>
        <x:v>88</x:v>
      </x:c>
      <x:c r="F4100" s="27" t="n">
        <x:v>88</x:v>
      </x:c>
      <x:c r="G4100" s="29" t="str">
        <x:f>IF(E4100=F4100,"PASS","FAIL")</x:f>
        <x:v>PASS</x:v>
      </x:c>
    </x:row>
    <x:row r="4101" ht="18" customHeight="1">
      <x:c r="B4101" s="27" t="str">
        <x:v>A4095</x:v>
      </x:c>
      <x:c r="C4101" s="27" t="str">
        <x:v>global</x:v>
      </x:c>
      <x:c r="D4101" s="27" t="str">
        <x:v>Seventy-two interface tests</x:v>
      </x:c>
      <x:c r="E4101" s="27" t="n">
        <x:f>COUNTA('Interface Tests'!B7:B78)</x:f>
        <x:v>72</x:v>
      </x:c>
      <x:c r="F4101" s="27" t="n">
        <x:v>72</x:v>
      </x:c>
      <x:c r="G4101" s="29" t="str">
        <x:f>IF(E4101=F4101,"PASS","FAIL")</x:f>
        <x:v>PASS</x:v>
      </x:c>
    </x:row>
    <x:row r="4102" ht="18" customHeight="1">
      <x:c r="B4102" s="27" t="str">
        <x:v>A4096</x:v>
      </x:c>
      <x:c r="C4102" s="27" t="str">
        <x:v>global</x:v>
      </x:c>
      <x:c r="D4102" s="27" t="str">
        <x:v>Twenty-three calibration chains</x:v>
      </x:c>
      <x:c r="E4102" s="27" t="n">
        <x:f>COUNTA(Calibration!B7:B29)</x:f>
        <x:v>23</x:v>
      </x:c>
      <x:c r="F4102" s="27" t="n">
        <x:v>23</x:v>
      </x:c>
      <x:c r="G4102" s="29" t="str">
        <x:f>IF(E4102=F4102,"PASS","FAIL")</x:f>
        <x:v>PASS</x:v>
      </x:c>
    </x:row>
    <x:row r="4103" ht="18" customHeight="1">
      <x:c r="B4103" s="27" t="str">
        <x:v>A4097</x:v>
      </x:c>
      <x:c r="C4103" s="27" t="str">
        <x:v>global</x:v>
      </x:c>
      <x:c r="D4103" s="27" t="str">
        <x:v>Ninety-six rights records</x:v>
      </x:c>
      <x:c r="E4103" s="27" t="n">
        <x:f>COUNTA('Ancestry Rights'!B7:B102)</x:f>
        <x:v>96</x:v>
      </x:c>
      <x:c r="F4103" s="27" t="n">
        <x:v>96</x:v>
      </x:c>
      <x:c r="G4103" s="29" t="str">
        <x:f>IF(E4103=F4103,"PASS","FAIL")</x:f>
        <x:v>PASS</x:v>
      </x:c>
    </x:row>
    <x:row r="4104" ht="18" customHeight="1">
      <x:c r="B4104" s="27" t="str">
        <x:v>A4098</x:v>
      </x:c>
      <x:c r="C4104" s="27" t="str">
        <x:v>global</x:v>
      </x:c>
      <x:c r="D4104" s="27" t="str">
        <x:v>Thirty-three article lots</x:v>
      </x:c>
      <x:c r="E4104" s="27" t="n">
        <x:f>COUNTA('Article Lots'!B7:B39)</x:f>
        <x:v>33</x:v>
      </x:c>
      <x:c r="F4104" s="27" t="n">
        <x:v>33</x:v>
      </x:c>
      <x:c r="G4104" s="29" t="str">
        <x:f>IF(E4104=F4104,"PASS","FAIL")</x:f>
        <x:v>PASS</x:v>
      </x:c>
    </x:row>
    <x:row r="4105" ht="18" customHeight="1">
      <x:c r="B4105" s="27" t="str">
        <x:v>A4099</x:v>
      </x:c>
      <x:c r="C4105" s="27" t="str">
        <x:v>global</x:v>
      </x:c>
      <x:c r="D4105" s="27" t="str">
        <x:v>Two hundred fifty-four articles</x:v>
      </x:c>
      <x:c r="E4105" s="27" t="n">
        <x:f>SUM('Article Lots'!F7:F39)</x:f>
        <x:v>254</x:v>
      </x:c>
      <x:c r="F4105" s="27" t="n">
        <x:v>254</x:v>
      </x:c>
      <x:c r="G4105" s="29" t="str">
        <x:f>IF(E4105=F4105,"PASS","FAIL")</x:f>
        <x:v>PASS</x:v>
      </x:c>
    </x:row>
    <x:row r="4106" ht="18" customHeight="1">
      <x:c r="B4106" s="27" t="str">
        <x:v>A4100</x:v>
      </x:c>
      <x:c r="C4106" s="27" t="str">
        <x:v>global</x:v>
      </x:c>
      <x:c r="D4106" s="27" t="str">
        <x:v>Article cost USD 1.764B</x:v>
      </x:c>
      <x:c r="E4106" s="27" t="n">
        <x:f>SUM('Article Lots'!H7:H39)</x:f>
        <x:v>1.764</x:v>
      </x:c>
      <x:c r="F4106" s="27" t="n">
        <x:v>1.764</x:v>
      </x:c>
      <x:c r="G4106" s="29" t="str">
        <x:f>IF(E4106=F4106,"PASS","FAIL")</x:f>
        <x:v>PASS</x:v>
      </x:c>
    </x:row>
    <x:row r="4107" ht="18" customHeight="1">
      <x:c r="B4107" s="27" t="str">
        <x:v>A4101</x:v>
      </x:c>
      <x:c r="C4107" s="27" t="str">
        <x:v>global</x:v>
      </x:c>
      <x:c r="D4107" s="27" t="str">
        <x:v>Seventy-two facility-year records</x:v>
      </x:c>
      <x:c r="E4107" s="27" t="n">
        <x:f>COUNTA('Facility Load'!B7:B78)</x:f>
        <x:v>72</x:v>
      </x:c>
      <x:c r="F4107" s="27" t="n">
        <x:v>72</x:v>
      </x:c>
      <x:c r="G4107" s="29" t="str">
        <x:f>IF(E4107=F4107,"PASS","FAIL")</x:f>
        <x:v>PASS</x:v>
      </x:c>
    </x:row>
    <x:row r="4108" ht="18" customHeight="1">
      <x:c r="B4108" s="27" t="str">
        <x:v>A4102</x:v>
      </x:c>
      <x:c r="C4108" s="27" t="str">
        <x:v>global</x:v>
      </x:c>
      <x:c r="D4108" s="27" t="str">
        <x:v>Calendar completion 102 months</x:v>
      </x:c>
      <x:c r="E4108" s="27" t="n">
        <x:f>MAX('Program Schedule'!F7:F18)</x:f>
        <x:v>102</x:v>
      </x:c>
      <x:c r="F4108" s="27" t="n">
        <x:v>102</x:v>
      </x:c>
      <x:c r="G4108" s="29" t="str">
        <x:f>IF(E4108=F4108,"PASS","FAIL")</x:f>
        <x:v>PASS</x:v>
      </x:c>
    </x:row>
    <x:row r="4109" ht="18" customHeight="1">
      <x:c r="B4109" s="27" t="str">
        <x:v>A4103</x:v>
      </x:c>
      <x:c r="C4109" s="27" t="str">
        <x:v>global</x:v>
      </x:c>
      <x:c r="D4109" s="27" t="str">
        <x:v>Program cost USD 6.8B</x:v>
      </x:c>
      <x:c r="E4109" s="27" t="n">
        <x:f>'Cost Phasing'!L20</x:f>
        <x:v>6.8</x:v>
      </x:c>
      <x:c r="F4109" s="27" t="n">
        <x:v>6.8</x:v>
      </x:c>
      <x:c r="G4109" s="29" t="str">
        <x:f>IF(E4109=F4109,"PASS","FAIL")</x:f>
        <x:v>PASS</x:v>
      </x:c>
    </x:row>
    <x:row r="4110" ht="18" customHeight="1">
      <x:c r="B4110" s="27" t="str">
        <x:v>A4104</x:v>
      </x:c>
      <x:c r="C4110" s="27" t="str">
        <x:v>global</x:v>
      </x:c>
      <x:c r="D4110" s="27" t="str">
        <x:v>Program variance zero</x:v>
      </x:c>
      <x:c r="E4110" s="27" t="n">
        <x:f>IF(ABS('Cost Phasing'!N20)&lt;0.000001,1,0)</x:f>
        <x:v>1</x:v>
      </x:c>
      <x:c r="F4110" s="27" t="n">
        <x:v>1</x:v>
      </x:c>
      <x:c r="G4110" s="29" t="str">
        <x:f>IF(E4110=F4110,"PASS","FAIL")</x:f>
        <x:v>PASS</x:v>
      </x:c>
    </x:row>
    <x:row r="4111" ht="18" customHeight="1">
      <x:c r="B4111" s="27" t="str">
        <x:v>A4105</x:v>
      </x:c>
      <x:c r="C4111" s="27" t="str">
        <x:v>global</x:v>
      </x:c>
      <x:c r="D4111" s="27" t="str">
        <x:v>Fifteen release gates</x:v>
      </x:c>
      <x:c r="E4111" s="27" t="n">
        <x:f>COUNTA('Release Gates'!B7:B21)</x:f>
        <x:v>15</x:v>
      </x:c>
      <x:c r="F4111" s="27" t="n">
        <x:v>15</x:v>
      </x:c>
      <x:c r="G4111" s="29" t="str">
        <x:f>IF(E4111=F4111,"PASS","FAIL")</x:f>
        <x:v>PASS</x:v>
      </x:c>
    </x:row>
    <x:row r="4112" ht="18" customHeight="1">
      <x:c r="B4112" s="27" t="str">
        <x:v>A4106</x:v>
      </x:c>
      <x:c r="C4112" s="27" t="str">
        <x:v>global</x:v>
      </x:c>
      <x:c r="D4112" s="27" t="str">
        <x:v>Zero gate credit</x:v>
      </x:c>
      <x:c r="E4112" s="27" t="n">
        <x:f>SUM('Release Gates'!J7:J21)</x:f>
        <x:v>0</x:v>
      </x:c>
      <x:c r="F4112" s="27" t="n">
        <x:v>0</x:v>
      </x:c>
      <x:c r="G4112" s="29" t="str">
        <x:f>IF(E4112=F4112,"PASS","FAIL")</x:f>
        <x:v>PASS</x:v>
      </x:c>
    </x:row>
    <x:row r="4113" ht="18" customHeight="1">
      <x:c r="B4113" s="27" t="str">
        <x:v>A4107</x:v>
      </x:c>
      <x:c r="C4113" s="27" t="str">
        <x:v>global</x:v>
      </x:c>
      <x:c r="D4113" s="27" t="str">
        <x:v>All rendering blocked</x:v>
      </x:c>
      <x:c r="E4113" s="27" t="n">
        <x:f>COUNTIFS('Release Gates'!I7:I21,"BLOCKED")</x:f>
        <x:v>15</x:v>
      </x:c>
      <x:c r="F4113" s="27" t="n">
        <x:v>15</x:v>
      </x:c>
      <x:c r="G4113" s="29" t="str">
        <x:f>IF(E4113=F4113,"PASS","FAIL")</x:f>
        <x:v>PASS</x:v>
      </x:c>
    </x:row>
    <x:row r="4114" ht="18" customHeight="1">
      <x:c r="B4114" s="27" t="str">
        <x:v>A4108</x:v>
      </x:c>
      <x:c r="C4114" s="27" t="str">
        <x:v>global</x:v>
      </x:c>
      <x:c r="D4114" s="27" t="str">
        <x:v>F01 unchanged</x:v>
      </x:c>
      <x:c r="E4114" s="27" t="n">
        <x:f>Assumptions!C27</x:f>
        <x:v>24</x:v>
      </x:c>
      <x:c r="F4114" s="27" t="n">
        <x:v>24</x:v>
      </x:c>
      <x:c r="G4114" s="29" t="str">
        <x:f>IF(E4114=F4114,"PASS","FAIL")</x:f>
        <x:v>PASS</x:v>
      </x:c>
    </x:row>
    <x:row r="4115" ht="18" customHeight="1">
      <x:c r="B4115" s="31" t="str">
        <x:v>A4109</x:v>
      </x:c>
      <x:c r="C4115" s="31" t="str">
        <x:v>global</x:v>
      </x:c>
      <x:c r="D4115" s="31" t="str">
        <x:v>Rendering authorization zero</x:v>
      </x:c>
      <x:c r="E4115" s="31" t="n">
        <x:f>Assumptions!C32</x:f>
        <x:v>0</x:v>
      </x:c>
      <x:c r="F4115" s="31" t="n">
        <x:v>0</x:v>
      </x:c>
      <x:c r="G4115" s="33" t="str">
        <x:f>IF(E4115=F4115,"PASS","FAIL")</x:f>
        <x:v>PASS</x:v>
      </x:c>
    </x:row>
    <x:row r="4116" ht="18" customHeight="1">
      <x:c r="B4116" s="2"/>
      <x:c r="C4116" s="2"/>
      <x:c r="D4116" s="2"/>
      <x:c r="E4116" s="2"/>
      <x:c r="F4116" s="2"/>
      <x:c r="G4116" s="2"/>
    </x:row>
    <x:row r="4117" ht="18" customHeight="1">
      <x:c r="B4117" s="2"/>
      <x:c r="C4117" s="2"/>
      <x:c r="D4117" s="2"/>
      <x:c r="E4117" s="2"/>
      <x:c r="F4117" s="2"/>
      <x:c r="G4117" s="2"/>
    </x:row>
    <x:row r="4118" ht="18" customHeight="1">
      <x:c r="B4118" s="2"/>
      <x:c r="C4118" s="2"/>
      <x:c r="D4118" s="2"/>
      <x:c r="E4118" s="2"/>
      <x:c r="F4118" s="2"/>
      <x:c r="G4118" s="2"/>
    </x:row>
    <x:row r="4119" ht="18" customHeight="1">
      <x:c r="B4119" s="2"/>
      <x:c r="C4119" s="2"/>
      <x:c r="D4119" s="2"/>
      <x:c r="E4119" s="2"/>
      <x:c r="F4119" s="2"/>
      <x:c r="G4119" s="2"/>
    </x:row>
    <x:row r="4120" ht="18" customHeight="1">
      <x:c r="B4120" s="2"/>
      <x:c r="C4120" s="2"/>
      <x:c r="D4120" s="2"/>
      <x:c r="E4120" s="2"/>
      <x:c r="F4120" s="2"/>
      <x:c r="G4120" s="2"/>
    </x:row>
    <x:row r="4121" ht="18" customHeight="1">
      <x:c r="B4121" s="2"/>
      <x:c r="C4121" s="2"/>
      <x:c r="D4121" s="2"/>
      <x:c r="E4121" s="2"/>
      <x:c r="F4121" s="2"/>
      <x:c r="G4121" s="2"/>
    </x:row>
    <x:row r="4122" ht="18" customHeight="1">
      <x:c r="B4122" s="2"/>
      <x:c r="C4122" s="2"/>
      <x:c r="D4122" s="2"/>
      <x:c r="E4122" s="2"/>
      <x:c r="F4122" s="2"/>
      <x:c r="G4122" s="2"/>
    </x:row>
    <x:row r="4123" ht="18" customHeight="1">
      <x:c r="B4123" s="2"/>
      <x:c r="C4123" s="2"/>
      <x:c r="D4123" s="2"/>
      <x:c r="E4123" s="2"/>
      <x:c r="F4123" s="2"/>
      <x:c r="G4123" s="2"/>
    </x:row>
    <x:row r="4124" ht="18" customHeight="1">
      <x:c r="B4124" s="2"/>
      <x:c r="C4124" s="2"/>
      <x:c r="D4124" s="2"/>
      <x:c r="E4124" s="2"/>
      <x:c r="F4124" s="2"/>
      <x:c r="G4124" s="2"/>
    </x:row>
    <x:row r="4125" ht="18" customHeight="1">
      <x:c r="B4125" s="2"/>
      <x:c r="C4125" s="2"/>
      <x:c r="D4125" s="2"/>
      <x:c r="E4125" s="2"/>
      <x:c r="F4125" s="2"/>
      <x:c r="G4125" s="2"/>
    </x:row>
    <x:row r="4126" ht="18" customHeight="1">
      <x:c r="B4126" s="2"/>
      <x:c r="C4126" s="2"/>
      <x:c r="D4126" s="2"/>
      <x:c r="E4126" s="2"/>
      <x:c r="F4126" s="2"/>
      <x:c r="G4126" s="2"/>
    </x:row>
    <x:row r="4127" ht="18" customHeight="1">
      <x:c r="B4127" s="2"/>
      <x:c r="C4127" s="2"/>
      <x:c r="D4127" s="2"/>
      <x:c r="E4127" s="2"/>
      <x:c r="F4127" s="2"/>
      <x:c r="G4127" s="2"/>
    </x:row>
    <x:row r="4128" ht="18" customHeight="1">
      <x:c r="B4128" s="2"/>
      <x:c r="C4128" s="2"/>
      <x:c r="D4128" s="2"/>
      <x:c r="E4128" s="2"/>
      <x:c r="F4128" s="2"/>
      <x:c r="G4128" s="2"/>
    </x:row>
    <x:row r="4129" ht="18" customHeight="1">
      <x:c r="B4129" s="2"/>
      <x:c r="C4129" s="2"/>
      <x:c r="D4129" s="2"/>
      <x:c r="E4129" s="2"/>
      <x:c r="F4129" s="2"/>
      <x:c r="G4129" s="2"/>
    </x:row>
    <x:row r="4130" ht="18" customHeight="1">
      <x:c r="B4130" s="2"/>
      <x:c r="C4130" s="2"/>
      <x:c r="D4130" s="2"/>
      <x:c r="E4130" s="2"/>
      <x:c r="F4130" s="2"/>
      <x:c r="G4130" s="2"/>
    </x:row>
    <x:row r="4131" ht="18" customHeight="1">
      <x:c r="B4131" s="2"/>
      <x:c r="C4131" s="2"/>
      <x:c r="D4131" s="2"/>
      <x:c r="E4131" s="2"/>
      <x:c r="F4131" s="2"/>
      <x:c r="G4131" s="2"/>
    </x:row>
    <x:row r="4132" ht="18" customHeight="1">
      <x:c r="B4132" s="2"/>
      <x:c r="C4132" s="2"/>
      <x:c r="D4132" s="2"/>
      <x:c r="E4132" s="2"/>
      <x:c r="F4132" s="2"/>
      <x:c r="G4132" s="2"/>
    </x:row>
    <x:row r="4133" ht="18" customHeight="1">
      <x:c r="B4133" s="2"/>
      <x:c r="C4133" s="2"/>
      <x:c r="D4133" s="2"/>
      <x:c r="E4133" s="2"/>
      <x:c r="F4133" s="2"/>
      <x:c r="G4133" s="2"/>
    </x:row>
    <x:row r="4134" ht="18" customHeight="1">
      <x:c r="B4134" s="2"/>
      <x:c r="C4134" s="2"/>
      <x:c r="D4134" s="2"/>
      <x:c r="E4134" s="2"/>
      <x:c r="F4134" s="2"/>
      <x:c r="G4134" s="2"/>
    </x:row>
    <x:row r="4135" ht="18" customHeight="1">
      <x:c r="B4135" s="2"/>
      <x:c r="C4135" s="2"/>
      <x:c r="D4135" s="2"/>
      <x:c r="E4135" s="2"/>
      <x:c r="F4135" s="2"/>
      <x:c r="G4135" s="2"/>
    </x:row>
    <x:row r="4136" ht="18" customHeight="1">
      <x:c r="B4136" s="2"/>
      <x:c r="C4136" s="2"/>
      <x:c r="D4136" s="2"/>
      <x:c r="E4136" s="2"/>
      <x:c r="F4136" s="2"/>
      <x:c r="G4136" s="2"/>
    </x:row>
    <x:row r="4137" ht="18" customHeight="1">
      <x:c r="B4137" s="2"/>
      <x:c r="C4137" s="2"/>
      <x:c r="D4137" s="2"/>
      <x:c r="E4137" s="2"/>
      <x:c r="F4137" s="2"/>
      <x:c r="G4137" s="2"/>
    </x:row>
    <x:row r="4138" ht="18" customHeight="1">
      <x:c r="B4138" s="2"/>
      <x:c r="C4138" s="2"/>
      <x:c r="D4138" s="2"/>
      <x:c r="E4138" s="2"/>
      <x:c r="F4138" s="2"/>
      <x:c r="G4138" s="2"/>
    </x:row>
    <x:row r="4139" ht="18" customHeight="1">
      <x:c r="B4139" s="2"/>
      <x:c r="C4139" s="2"/>
      <x:c r="D4139" s="2"/>
      <x:c r="E4139" s="2"/>
      <x:c r="F4139" s="2"/>
      <x:c r="G4139" s="2"/>
    </x:row>
    <x:row r="4140" ht="18" customHeight="1">
      <x:c r="B4140" s="2"/>
      <x:c r="C4140" s="2"/>
      <x:c r="D4140" s="2"/>
      <x:c r="E4140" s="2"/>
      <x:c r="F4140" s="2"/>
      <x:c r="G4140" s="2"/>
    </x:row>
    <x:row r="4141" ht="18" customHeight="1">
      <x:c r="B4141" s="2"/>
      <x:c r="C4141" s="2"/>
      <x:c r="D4141" s="2"/>
      <x:c r="E4141" s="2"/>
      <x:c r="F4141" s="2"/>
      <x:c r="G4141" s="2"/>
    </x:row>
    <x:row r="4142" ht="18" customHeight="1">
      <x:c r="B4142" s="2"/>
      <x:c r="C4142" s="2"/>
      <x:c r="D4142" s="2"/>
      <x:c r="E4142" s="2"/>
      <x:c r="F4142" s="2"/>
      <x:c r="G4142" s="2"/>
    </x:row>
    <x:row r="4143" ht="18" customHeight="1">
      <x:c r="B4143" s="2"/>
      <x:c r="C4143" s="2"/>
      <x:c r="D4143" s="2"/>
      <x:c r="E4143" s="2"/>
      <x:c r="F4143" s="2"/>
      <x:c r="G4143" s="2"/>
    </x:row>
    <x:row r="4144" ht="18" customHeight="1">
      <x:c r="B4144" s="2"/>
      <x:c r="C4144" s="2"/>
      <x:c r="D4144" s="2"/>
      <x:c r="E4144" s="2"/>
      <x:c r="F4144" s="2"/>
      <x:c r="G4144" s="2"/>
    </x:row>
    <x:row r="4145" ht="18" customHeight="1">
      <x:c r="B4145" s="2"/>
      <x:c r="C4145" s="2"/>
      <x:c r="D4145" s="2"/>
      <x:c r="E4145" s="2"/>
      <x:c r="F4145" s="2"/>
      <x:c r="G4145" s="2"/>
    </x:row>
    <x:row r="4146" ht="18" customHeight="1">
      <x:c r="B4146" s="2"/>
      <x:c r="C4146" s="2"/>
      <x:c r="D4146" s="2"/>
      <x:c r="E4146" s="2"/>
      <x:c r="F4146" s="2"/>
      <x:c r="G4146" s="2"/>
    </x:row>
    <x:row r="4147" ht="18" customHeight="1">
      <x:c r="B4147" s="2"/>
      <x:c r="C4147" s="2"/>
      <x:c r="D4147" s="2"/>
      <x:c r="E4147" s="2"/>
      <x:c r="F4147" s="2"/>
      <x:c r="G4147" s="2"/>
    </x:row>
    <x:row r="4148" ht="18" customHeight="1">
      <x:c r="B4148" s="2"/>
      <x:c r="C4148" s="2"/>
      <x:c r="D4148" s="2"/>
      <x:c r="E4148" s="2"/>
      <x:c r="F4148" s="2"/>
      <x:c r="G4148" s="2"/>
    </x:row>
    <x:row r="4149" ht="18" customHeight="1">
      <x:c r="B4149" s="2"/>
      <x:c r="C4149" s="2"/>
      <x:c r="D4149" s="2"/>
      <x:c r="E4149" s="2"/>
      <x:c r="F4149" s="2"/>
      <x:c r="G4149" s="2"/>
    </x:row>
    <x:row r="4150" ht="18" customHeight="1">
      <x:c r="B4150" s="2"/>
      <x:c r="C4150" s="2"/>
      <x:c r="D4150" s="2"/>
      <x:c r="E4150" s="2"/>
      <x:c r="F4150" s="2"/>
      <x:c r="G4150" s="2"/>
    </x:row>
    <x:row r="4151" ht="18" customHeight="1">
      <x:c r="B4151" s="2"/>
      <x:c r="C4151" s="2"/>
      <x:c r="D4151" s="2"/>
      <x:c r="E4151" s="2"/>
      <x:c r="F4151" s="2"/>
      <x:c r="G4151" s="2"/>
    </x:row>
    <x:row r="4152" ht="18" customHeight="1">
      <x:c r="B4152" s="2"/>
      <x:c r="C4152" s="2"/>
      <x:c r="D4152" s="2"/>
      <x:c r="E4152" s="2"/>
      <x:c r="F4152" s="2"/>
      <x:c r="G4152" s="2"/>
    </x:row>
    <x:row r="4153" ht="18" customHeight="1">
      <x:c r="B4153" s="2"/>
      <x:c r="C4153" s="2"/>
      <x:c r="D4153" s="2"/>
      <x:c r="E4153" s="2"/>
      <x:c r="F4153" s="2"/>
      <x:c r="G4153" s="2"/>
    </x:row>
    <x:row r="4154" ht="18" customHeight="1">
      <x:c r="B4154" s="2"/>
      <x:c r="C4154" s="2"/>
      <x:c r="D4154" s="2"/>
      <x:c r="E4154" s="2"/>
      <x:c r="F4154" s="2"/>
      <x:c r="G4154" s="2"/>
    </x:row>
    <x:row r="4155" ht="18" customHeight="1">
      <x:c r="B4155" s="2"/>
      <x:c r="C4155" s="2"/>
      <x:c r="D4155" s="2"/>
      <x:c r="E4155" s="2"/>
      <x:c r="F4155" s="2"/>
      <x:c r="G4155" s="2"/>
    </x:row>
    <x:row r="4156" ht="18" customHeight="1">
      <x:c r="B4156" s="2"/>
      <x:c r="C4156" s="2"/>
      <x:c r="D4156" s="2"/>
      <x:c r="E4156" s="2"/>
      <x:c r="F4156" s="2"/>
      <x:c r="G4156" s="2"/>
    </x:row>
    <x:row r="4157" ht="18" customHeight="1">
      <x:c r="B4157" s="2"/>
      <x:c r="C4157" s="2"/>
      <x:c r="D4157" s="2"/>
      <x:c r="E4157" s="2"/>
      <x:c r="F4157" s="2"/>
      <x:c r="G4157" s="2"/>
    </x:row>
    <x:row r="4158" ht="18" customHeight="1">
      <x:c r="B4158" s="2"/>
      <x:c r="C4158" s="2"/>
      <x:c r="D4158" s="2"/>
      <x:c r="E4158" s="2"/>
      <x:c r="F4158" s="2"/>
      <x:c r="G4158" s="2"/>
    </x:row>
    <x:row r="4159" ht="18" customHeight="1">
      <x:c r="B4159" s="2"/>
      <x:c r="C4159" s="2"/>
      <x:c r="D4159" s="2"/>
      <x:c r="E4159" s="2"/>
      <x:c r="F4159" s="2"/>
      <x:c r="G4159" s="2"/>
    </x:row>
    <x:row r="4160" ht="18" customHeight="1">
      <x:c r="B4160" s="2"/>
      <x:c r="C4160" s="2"/>
      <x:c r="D4160" s="2"/>
      <x:c r="E4160" s="2"/>
      <x:c r="F4160" s="2"/>
      <x:c r="G4160" s="2"/>
    </x:row>
    <x:row r="4161" ht="18" customHeight="1">
      <x:c r="B4161" s="2"/>
      <x:c r="C4161" s="2"/>
      <x:c r="D4161" s="2"/>
      <x:c r="E4161" s="2"/>
      <x:c r="F4161" s="2"/>
      <x:c r="G4161" s="2"/>
    </x:row>
    <x:row r="4162" ht="18" customHeight="1">
      <x:c r="B4162" s="2"/>
      <x:c r="C4162" s="2"/>
      <x:c r="D4162" s="2"/>
      <x:c r="E4162" s="2"/>
      <x:c r="F4162" s="2"/>
      <x:c r="G4162" s="2"/>
    </x:row>
    <x:row r="4163" ht="18" customHeight="1">
      <x:c r="B4163" s="2"/>
      <x:c r="C4163" s="2"/>
      <x:c r="D4163" s="2"/>
      <x:c r="E4163" s="2"/>
      <x:c r="F4163" s="2"/>
      <x:c r="G4163" s="2"/>
    </x:row>
    <x:row r="4164" ht="18" customHeight="1">
      <x:c r="B4164" s="2"/>
      <x:c r="C4164" s="2"/>
      <x:c r="D4164" s="2"/>
      <x:c r="E4164" s="2"/>
      <x:c r="F4164" s="2"/>
      <x:c r="G4164" s="2"/>
    </x:row>
    <x:row r="4165" ht="18" customHeight="1">
      <x:c r="B4165" s="2"/>
      <x:c r="C4165" s="2"/>
      <x:c r="D4165" s="2"/>
      <x:c r="E4165" s="2"/>
      <x:c r="F4165" s="2"/>
      <x:c r="G4165" s="2"/>
    </x:row>
    <x:row r="4166" ht="18" customHeight="1">
      <x:c r="B4166" s="2"/>
      <x:c r="C4166" s="2"/>
      <x:c r="D4166" s="2"/>
      <x:c r="E4166" s="2"/>
      <x:c r="F4166" s="2"/>
      <x:c r="G4166" s="2"/>
    </x:row>
    <x:row r="4167" ht="18" customHeight="1">
      <x:c r="B4167" s="2"/>
      <x:c r="C4167" s="2"/>
      <x:c r="D4167" s="2"/>
      <x:c r="E4167" s="2"/>
      <x:c r="F4167" s="2"/>
      <x:c r="G4167" s="2"/>
    </x:row>
    <x:row r="4168" ht="18" customHeight="1">
      <x:c r="B4168" s="2"/>
      <x:c r="C4168" s="2"/>
      <x:c r="D4168" s="2"/>
      <x:c r="E4168" s="2"/>
      <x:c r="F4168" s="2"/>
      <x:c r="G4168" s="2"/>
    </x:row>
    <x:row r="4169" ht="18" customHeight="1">
      <x:c r="B4169" s="2"/>
      <x:c r="C4169" s="2"/>
      <x:c r="D4169" s="2"/>
      <x:c r="E4169" s="2"/>
      <x:c r="F4169" s="2"/>
      <x:c r="G4169" s="2"/>
    </x:row>
    <x:row r="4170" ht="18" customHeight="1">
      <x:c r="B4170" s="2"/>
      <x:c r="C4170" s="2"/>
      <x:c r="D4170" s="2"/>
      <x:c r="E4170" s="2"/>
      <x:c r="F4170" s="2"/>
      <x:c r="G4170" s="2"/>
    </x:row>
    <x:row r="4171" ht="18" customHeight="1">
      <x:c r="B4171" s="2"/>
      <x:c r="C4171" s="2"/>
      <x:c r="D4171" s="2"/>
      <x:c r="E4171" s="2"/>
      <x:c r="F4171" s="2"/>
      <x:c r="G4171" s="2"/>
    </x:row>
    <x:row r="4172" ht="18" customHeight="1">
      <x:c r="B4172" s="2"/>
      <x:c r="C4172" s="2"/>
      <x:c r="D4172" s="2"/>
      <x:c r="E4172" s="2"/>
      <x:c r="F4172" s="2"/>
      <x:c r="G4172" s="2"/>
    </x:row>
    <x:row r="4173" ht="18" customHeight="1">
      <x:c r="B4173" s="2"/>
      <x:c r="C4173" s="2"/>
      <x:c r="D4173" s="2"/>
      <x:c r="E4173" s="2"/>
      <x:c r="F4173" s="2"/>
      <x:c r="G4173" s="2"/>
    </x:row>
    <x:row r="4174" ht="18" customHeight="1">
      <x:c r="B4174" s="2"/>
      <x:c r="C4174" s="2"/>
      <x:c r="D4174" s="2"/>
      <x:c r="E4174" s="2"/>
      <x:c r="F4174" s="2"/>
      <x:c r="G4174" s="2"/>
    </x:row>
    <x:row r="4175" ht="18" customHeight="1">
      <x:c r="B4175" s="2"/>
      <x:c r="C4175" s="2"/>
      <x:c r="D4175" s="2"/>
      <x:c r="E4175" s="2"/>
      <x:c r="F4175" s="2"/>
      <x:c r="G4175" s="2"/>
    </x:row>
    <x:row r="4176" ht="18" customHeight="1">
      <x:c r="B4176" s="2"/>
      <x:c r="C4176" s="2"/>
      <x:c r="D4176" s="2"/>
      <x:c r="E4176" s="2"/>
      <x:c r="F4176" s="2"/>
      <x:c r="G4176" s="2"/>
    </x:row>
    <x:row r="4177" ht="18" customHeight="1">
      <x:c r="B4177" s="2"/>
      <x:c r="C4177" s="2"/>
      <x:c r="D4177" s="2"/>
      <x:c r="E4177" s="2"/>
      <x:c r="F4177" s="2"/>
      <x:c r="G4177" s="2"/>
    </x:row>
    <x:row r="4178" ht="18" customHeight="1">
      <x:c r="B4178" s="2"/>
      <x:c r="C4178" s="2"/>
      <x:c r="D4178" s="2"/>
      <x:c r="E4178" s="2"/>
      <x:c r="F4178" s="2"/>
      <x:c r="G4178" s="2"/>
    </x:row>
    <x:row r="4179" ht="18" customHeight="1">
      <x:c r="B4179" s="2"/>
      <x:c r="C4179" s="2"/>
      <x:c r="D4179" s="2"/>
      <x:c r="E4179" s="2"/>
      <x:c r="F4179" s="2"/>
      <x:c r="G4179" s="2"/>
    </x:row>
    <x:row r="4180" ht="18" customHeight="1">
      <x:c r="B4180" s="2"/>
      <x:c r="C4180" s="2"/>
      <x:c r="D4180" s="2"/>
      <x:c r="E4180" s="2"/>
      <x:c r="F4180" s="2"/>
      <x:c r="G4180" s="2"/>
    </x:row>
    <x:row r="4181" ht="18" customHeight="1">
      <x:c r="B4181" s="2"/>
      <x:c r="C4181" s="2"/>
      <x:c r="D4181" s="2"/>
      <x:c r="E4181" s="2"/>
      <x:c r="F4181" s="2"/>
      <x:c r="G4181" s="2"/>
    </x:row>
    <x:row r="4182" ht="18" customHeight="1">
      <x:c r="B4182" s="2"/>
      <x:c r="C4182" s="2"/>
      <x:c r="D4182" s="2"/>
      <x:c r="E4182" s="2"/>
      <x:c r="F4182" s="2"/>
      <x:c r="G4182" s="2"/>
    </x:row>
    <x:row r="4183" ht="18" customHeight="1">
      <x:c r="B4183" s="2"/>
      <x:c r="C4183" s="2"/>
      <x:c r="D4183" s="2"/>
      <x:c r="E4183" s="2"/>
      <x:c r="F4183" s="2"/>
      <x:c r="G4183" s="2"/>
    </x:row>
    <x:row r="4184" ht="18" customHeight="1">
      <x:c r="B4184" s="2"/>
      <x:c r="C4184" s="2"/>
      <x:c r="D4184" s="2"/>
      <x:c r="E4184" s="2"/>
      <x:c r="F4184" s="2"/>
      <x:c r="G4184" s="2"/>
    </x:row>
    <x:row r="4185" ht="18" customHeight="1">
      <x:c r="B4185" s="2"/>
      <x:c r="C4185" s="2"/>
      <x:c r="D4185" s="2"/>
      <x:c r="E4185" s="2"/>
      <x:c r="F4185" s="2"/>
      <x:c r="G4185" s="2"/>
    </x:row>
    <x:row r="4186" ht="18" customHeight="1">
      <x:c r="B4186" s="2"/>
      <x:c r="C4186" s="2"/>
      <x:c r="D4186" s="2"/>
      <x:c r="E4186" s="2"/>
      <x:c r="F4186" s="2"/>
      <x:c r="G4186" s="2"/>
    </x:row>
    <x:row r="4187" ht="18" customHeight="1">
      <x:c r="B4187" s="2"/>
      <x:c r="C4187" s="2"/>
      <x:c r="D4187" s="2"/>
      <x:c r="E4187" s="2"/>
      <x:c r="F4187" s="2"/>
      <x:c r="G4187" s="2"/>
    </x:row>
    <x:row r="4188" ht="18" customHeight="1">
      <x:c r="B4188" s="2"/>
      <x:c r="C4188" s="2"/>
      <x:c r="D4188" s="2"/>
      <x:c r="E4188" s="2"/>
      <x:c r="F4188" s="2"/>
      <x:c r="G4188" s="2"/>
    </x:row>
    <x:row r="4189" ht="18" customHeight="1">
      <x:c r="B4189" s="2"/>
      <x:c r="C4189" s="2"/>
      <x:c r="D4189" s="2"/>
      <x:c r="E4189" s="2"/>
      <x:c r="F4189" s="2"/>
      <x:c r="G4189" s="2"/>
    </x:row>
    <x:row r="4190" ht="18" customHeight="1">
      <x:c r="B4190" s="2"/>
      <x:c r="C4190" s="2"/>
      <x:c r="D4190" s="2"/>
      <x:c r="E4190" s="2"/>
      <x:c r="F4190" s="2"/>
      <x:c r="G4190" s="2"/>
    </x:row>
    <x:row r="4191" ht="18" customHeight="1">
      <x:c r="B4191" s="2"/>
      <x:c r="C4191" s="2"/>
      <x:c r="D4191" s="2"/>
      <x:c r="E4191" s="2"/>
      <x:c r="F4191" s="2"/>
      <x:c r="G4191" s="2"/>
    </x:row>
    <x:row r="4192" ht="18" customHeight="1">
      <x:c r="B4192" s="2"/>
      <x:c r="C4192" s="2"/>
      <x:c r="D4192" s="2"/>
      <x:c r="E4192" s="2"/>
      <x:c r="F4192" s="2"/>
      <x:c r="G4192" s="2"/>
    </x:row>
    <x:row r="4193" ht="18" customHeight="1">
      <x:c r="B4193" s="2"/>
      <x:c r="C4193" s="2"/>
      <x:c r="D4193" s="2"/>
      <x:c r="E4193" s="2"/>
      <x:c r="F4193" s="2"/>
      <x:c r="G4193" s="2"/>
    </x:row>
    <x:row r="4194" ht="18" customHeight="1">
      <x:c r="B4194" s="2"/>
      <x:c r="C4194" s="2"/>
      <x:c r="D4194" s="2"/>
      <x:c r="E4194" s="2"/>
      <x:c r="F4194" s="2"/>
      <x:c r="G4194" s="2"/>
    </x:row>
    <x:row r="4195" ht="18" customHeight="1">
      <x:c r="B4195" s="2"/>
      <x:c r="C4195" s="2"/>
      <x:c r="D4195" s="2"/>
      <x:c r="E4195" s="2"/>
      <x:c r="F4195" s="2"/>
      <x:c r="G4195" s="2"/>
    </x:row>
    <x:row r="4196" ht="18" customHeight="1">
      <x:c r="B4196" s="2"/>
      <x:c r="C4196" s="2"/>
      <x:c r="D4196" s="2"/>
      <x:c r="E4196" s="2"/>
      <x:c r="F4196" s="2"/>
      <x:c r="G4196" s="2"/>
    </x:row>
    <x:row r="4197" ht="18" customHeight="1">
      <x:c r="B4197" s="2"/>
      <x:c r="C4197" s="2"/>
      <x:c r="D4197" s="2"/>
      <x:c r="E4197" s="2"/>
      <x:c r="F4197" s="2"/>
      <x:c r="G4197" s="2"/>
    </x:row>
    <x:row r="4198" ht="18" customHeight="1">
      <x:c r="B4198" s="2"/>
      <x:c r="C4198" s="2"/>
      <x:c r="D4198" s="2"/>
      <x:c r="E4198" s="2"/>
      <x:c r="F4198" s="2"/>
      <x:c r="G4198" s="2"/>
    </x:row>
    <x:row r="4199" ht="18" customHeight="1">
      <x:c r="B4199" s="2"/>
      <x:c r="C4199" s="2"/>
      <x:c r="D4199" s="2"/>
      <x:c r="E4199" s="2"/>
      <x:c r="F4199" s="2"/>
      <x:c r="G4199" s="2"/>
    </x:row>
    <x:row r="4200" ht="18" customHeight="1">
      <x:c r="B4200" s="2"/>
      <x:c r="C4200" s="2"/>
      <x:c r="D4200" s="2"/>
      <x:c r="E4200" s="2"/>
      <x:c r="F4200" s="2"/>
      <x:c r="G4200" s="2"/>
    </x:row>
    <x:row r="4201" ht="18" customHeight="1">
      <x:c r="B4201" s="2"/>
      <x:c r="C4201" s="2"/>
      <x:c r="D4201" s="2"/>
      <x:c r="E4201" s="2"/>
      <x:c r="F4201" s="2"/>
      <x:c r="G4201" s="2"/>
    </x:row>
    <x:row r="4202" ht="18" customHeight="1">
      <x:c r="B4202" s="2"/>
      <x:c r="C4202" s="2"/>
      <x:c r="D4202" s="2"/>
      <x:c r="E4202" s="2"/>
      <x:c r="F4202" s="2"/>
      <x:c r="G4202" s="2"/>
    </x:row>
    <x:row r="4203" ht="18" customHeight="1">
      <x:c r="B4203" s="2"/>
      <x:c r="C4203" s="2"/>
      <x:c r="D4203" s="2"/>
      <x:c r="E4203" s="2"/>
      <x:c r="F4203" s="2"/>
      <x:c r="G4203" s="2"/>
    </x:row>
    <x:row r="4204" ht="18" customHeight="1">
      <x:c r="B4204" s="2"/>
      <x:c r="C4204" s="2"/>
      <x:c r="D4204" s="2"/>
      <x:c r="E4204" s="2"/>
      <x:c r="F4204" s="2"/>
      <x:c r="G4204" s="2"/>
    </x:row>
    <x:row r="4205" ht="18" customHeight="1">
      <x:c r="B4205" s="2"/>
      <x:c r="C4205" s="2"/>
      <x:c r="D4205" s="2"/>
      <x:c r="E4205" s="2"/>
      <x:c r="F4205" s="2"/>
      <x:c r="G4205" s="2"/>
    </x:row>
    <x:row r="4206" ht="18" customHeight="1">
      <x:c r="B4206" s="2"/>
      <x:c r="C4206" s="2"/>
      <x:c r="D4206" s="2"/>
      <x:c r="E4206" s="2"/>
      <x:c r="F4206" s="2"/>
      <x:c r="G4206" s="2"/>
    </x:row>
    <x:row r="4207" ht="18" customHeight="1">
      <x:c r="B4207" s="2"/>
      <x:c r="C4207" s="2"/>
      <x:c r="D4207" s="2"/>
      <x:c r="E4207" s="2"/>
      <x:c r="F4207" s="2"/>
      <x:c r="G4207" s="2"/>
    </x:row>
    <x:row r="4208" ht="18" customHeight="1">
      <x:c r="B4208" s="2"/>
      <x:c r="C4208" s="2"/>
      <x:c r="D4208" s="2"/>
      <x:c r="E4208" s="2"/>
      <x:c r="F4208" s="2"/>
      <x:c r="G4208" s="2"/>
    </x:row>
    <x:row r="4209" ht="18" customHeight="1">
      <x:c r="B4209" s="2"/>
      <x:c r="C4209" s="2"/>
      <x:c r="D4209" s="2"/>
      <x:c r="E4209" s="2"/>
      <x:c r="F4209" s="2"/>
      <x:c r="G4209" s="2"/>
    </x:row>
    <x:row r="4210" ht="18" customHeight="1">
      <x:c r="B4210" s="2"/>
      <x:c r="C4210" s="2"/>
      <x:c r="D4210" s="2"/>
      <x:c r="E4210" s="2"/>
      <x:c r="F4210" s="2"/>
      <x:c r="G4210" s="2"/>
    </x:row>
    <x:row r="4211" ht="18" customHeight="1">
      <x:c r="B4211" s="2"/>
      <x:c r="C4211" s="2"/>
      <x:c r="D4211" s="2"/>
      <x:c r="E4211" s="2"/>
      <x:c r="F4211" s="2"/>
      <x:c r="G4211" s="2"/>
    </x:row>
    <x:row r="4212" ht="18" customHeight="1">
      <x:c r="B4212" s="2"/>
      <x:c r="C4212" s="2"/>
      <x:c r="D4212" s="2"/>
      <x:c r="E4212" s="2"/>
      <x:c r="F4212" s="2"/>
      <x:c r="G4212" s="2"/>
    </x:row>
    <x:row r="4213" ht="18" customHeight="1">
      <x:c r="B4213" s="2"/>
      <x:c r="C4213" s="2"/>
      <x:c r="D4213" s="2"/>
      <x:c r="E4213" s="2"/>
      <x:c r="F4213" s="2"/>
      <x:c r="G4213" s="2"/>
    </x:row>
    <x:row r="4214" ht="18" customHeight="1">
      <x:c r="B4214" s="2"/>
      <x:c r="C4214" s="2"/>
      <x:c r="D4214" s="2"/>
      <x:c r="E4214" s="2"/>
      <x:c r="F4214" s="2"/>
      <x:c r="G4214" s="2"/>
    </x:row>
    <x:row r="4215" ht="18" customHeight="1">
      <x:c r="B4215" s="2"/>
      <x:c r="C4215" s="2"/>
      <x:c r="D4215" s="2"/>
      <x:c r="E4215" s="2"/>
      <x:c r="F4215" s="2"/>
      <x:c r="G4215" s="2"/>
    </x:row>
    <x:row r="4216" ht="18" customHeight="1">
      <x:c r="B4216" s="2"/>
      <x:c r="C4216" s="2"/>
      <x:c r="D4216" s="2"/>
      <x:c r="E4216" s="2"/>
      <x:c r="F4216" s="2"/>
      <x:c r="G4216" s="2"/>
    </x:row>
    <x:row r="4217" ht="18" customHeight="1">
      <x:c r="B4217" s="2"/>
      <x:c r="C4217" s="2"/>
      <x:c r="D4217" s="2"/>
      <x:c r="E4217" s="2"/>
      <x:c r="F4217" s="2"/>
      <x:c r="G4217" s="2"/>
    </x:row>
    <x:row r="4218" ht="18" customHeight="1">
      <x:c r="B4218" s="2"/>
      <x:c r="C4218" s="2"/>
      <x:c r="D4218" s="2"/>
      <x:c r="E4218" s="2"/>
      <x:c r="F4218" s="2"/>
      <x:c r="G4218" s="2"/>
    </x:row>
    <x:row r="4219" ht="18" customHeight="1">
      <x:c r="B4219" s="2"/>
      <x:c r="C4219" s="2"/>
      <x:c r="D4219" s="2"/>
      <x:c r="E4219" s="2"/>
      <x:c r="F4219" s="2"/>
      <x:c r="G4219" s="2"/>
    </x:row>
    <x:row r="4220" ht="18" customHeight="1">
      <x:c r="B4220" s="2"/>
      <x:c r="C4220" s="2"/>
      <x:c r="D4220" s="2"/>
      <x:c r="E4220" s="2"/>
      <x:c r="F4220" s="2"/>
      <x:c r="G4220" s="2"/>
    </x:row>
    <x:row r="4221" ht="18" customHeight="1">
      <x:c r="B4221" s="2"/>
      <x:c r="C4221" s="2"/>
      <x:c r="D4221" s="2"/>
      <x:c r="E4221" s="2"/>
      <x:c r="F4221" s="2"/>
      <x:c r="G4221" s="2"/>
    </x:row>
    <x:row r="4222" ht="18" customHeight="1">
      <x:c r="B4222" s="2"/>
      <x:c r="C4222" s="2"/>
      <x:c r="D4222" s="2"/>
      <x:c r="E4222" s="2"/>
      <x:c r="F4222" s="2"/>
      <x:c r="G4222" s="2"/>
    </x:row>
    <x:row r="4223" ht="18" customHeight="1">
      <x:c r="B4223" s="2"/>
      <x:c r="C4223" s="2"/>
      <x:c r="D4223" s="2"/>
      <x:c r="E4223" s="2"/>
      <x:c r="F4223" s="2"/>
      <x:c r="G4223" s="2"/>
    </x:row>
    <x:row r="4224" ht="18" customHeight="1">
      <x:c r="B4224" s="2"/>
      <x:c r="C4224" s="2"/>
      <x:c r="D4224" s="2"/>
      <x:c r="E4224" s="2"/>
      <x:c r="F4224" s="2"/>
      <x:c r="G4224" s="2"/>
    </x:row>
    <x:row r="4225" ht="18" customHeight="1">
      <x:c r="B4225" s="2"/>
      <x:c r="C4225" s="2"/>
      <x:c r="D4225" s="2"/>
      <x:c r="E4225" s="2"/>
      <x:c r="F4225" s="2"/>
      <x:c r="G4225" s="2"/>
    </x:row>
    <x:row r="4226" ht="18" customHeight="1">
      <x:c r="B4226" s="2"/>
      <x:c r="C4226" s="2"/>
      <x:c r="D4226" s="2"/>
      <x:c r="E4226" s="2"/>
      <x:c r="F4226" s="2"/>
      <x:c r="G4226" s="2"/>
    </x:row>
    <x:row r="4227" ht="18" customHeight="1">
      <x:c r="B4227" s="2"/>
      <x:c r="C4227" s="2"/>
      <x:c r="D4227" s="2"/>
      <x:c r="E4227" s="2"/>
      <x:c r="F4227" s="2"/>
      <x:c r="G4227" s="2"/>
    </x:row>
    <x:row r="4228" ht="18" customHeight="1">
      <x:c r="B4228" s="2"/>
      <x:c r="C4228" s="2"/>
      <x:c r="D4228" s="2"/>
      <x:c r="E4228" s="2"/>
      <x:c r="F4228" s="2"/>
      <x:c r="G4228" s="2"/>
    </x:row>
    <x:row r="4229" ht="18" customHeight="1">
      <x:c r="B4229" s="2"/>
      <x:c r="C4229" s="2"/>
      <x:c r="D4229" s="2"/>
      <x:c r="E4229" s="2"/>
      <x:c r="F4229" s="2"/>
      <x:c r="G4229" s="2"/>
    </x:row>
    <x:row r="4230" ht="18" customHeight="1">
      <x:c r="B4230" s="2"/>
      <x:c r="C4230" s="2"/>
      <x:c r="D4230" s="2"/>
      <x:c r="E4230" s="2"/>
      <x:c r="F4230" s="2"/>
      <x:c r="G4230" s="2"/>
    </x:row>
    <x:row r="4231" ht="18" customHeight="1">
      <x:c r="B4231" s="2"/>
      <x:c r="C4231" s="2"/>
      <x:c r="D4231" s="2"/>
      <x:c r="E4231" s="2"/>
      <x:c r="F4231" s="2"/>
      <x:c r="G4231" s="2"/>
    </x:row>
    <x:row r="4232" ht="18" customHeight="1">
      <x:c r="B4232" s="2"/>
      <x:c r="C4232" s="2"/>
      <x:c r="D4232" s="2"/>
      <x:c r="E4232" s="2"/>
      <x:c r="F4232" s="2"/>
      <x:c r="G4232" s="2"/>
    </x:row>
    <x:row r="4233" ht="18" customHeight="1">
      <x:c r="B4233" s="2"/>
      <x:c r="C4233" s="2"/>
      <x:c r="D4233" s="2"/>
      <x:c r="E4233" s="2"/>
      <x:c r="F4233" s="2"/>
      <x:c r="G4233" s="2"/>
    </x:row>
    <x:row r="4234" ht="18" customHeight="1">
      <x:c r="B4234" s="2"/>
      <x:c r="C4234" s="2"/>
      <x:c r="D4234" s="2"/>
      <x:c r="E4234" s="2"/>
      <x:c r="F4234" s="2"/>
      <x:c r="G4234" s="2"/>
    </x:row>
    <x:row r="4235" ht="18" customHeight="1">
      <x:c r="B4235" s="2"/>
      <x:c r="C4235" s="2"/>
      <x:c r="D4235" s="2"/>
      <x:c r="E4235" s="2"/>
      <x:c r="F4235" s="2"/>
      <x:c r="G4235" s="2"/>
    </x:row>
    <x:row r="4236" ht="18" customHeight="1">
      <x:c r="B4236" s="2"/>
      <x:c r="C4236" s="2"/>
      <x:c r="D4236" s="2"/>
      <x:c r="E4236" s="2"/>
      <x:c r="F4236" s="2"/>
      <x:c r="G4236" s="2"/>
    </x:row>
    <x:row r="4237" ht="18" customHeight="1">
      <x:c r="B4237" s="2"/>
      <x:c r="C4237" s="2"/>
      <x:c r="D4237" s="2"/>
      <x:c r="E4237" s="2"/>
      <x:c r="F4237" s="2"/>
      <x:c r="G4237" s="2"/>
    </x:row>
    <x:row r="4238" ht="18" customHeight="1">
      <x:c r="B4238" s="2"/>
      <x:c r="C4238" s="2"/>
      <x:c r="D4238" s="2"/>
      <x:c r="E4238" s="2"/>
      <x:c r="F4238" s="2"/>
      <x:c r="G4238" s="2"/>
    </x:row>
    <x:row r="4239" ht="18" customHeight="1">
      <x:c r="B4239" s="2"/>
      <x:c r="C4239" s="2"/>
      <x:c r="D4239" s="2"/>
      <x:c r="E4239" s="2"/>
      <x:c r="F4239" s="2"/>
      <x:c r="G4239" s="2"/>
    </x:row>
    <x:row r="4240" ht="18" customHeight="1">
      <x:c r="B4240" s="2"/>
      <x:c r="C4240" s="2"/>
      <x:c r="D4240" s="2"/>
      <x:c r="E4240" s="2"/>
      <x:c r="F4240" s="2"/>
      <x:c r="G4240" s="2"/>
    </x:row>
    <x:row r="4241" ht="18" customHeight="1">
      <x:c r="B4241" s="2"/>
      <x:c r="C4241" s="2"/>
      <x:c r="D4241" s="2"/>
      <x:c r="E4241" s="2"/>
      <x:c r="F4241" s="2"/>
      <x:c r="G4241" s="2"/>
    </x:row>
    <x:row r="4242" ht="18" customHeight="1">
      <x:c r="B4242" s="2"/>
      <x:c r="C4242" s="2"/>
      <x:c r="D4242" s="2"/>
      <x:c r="E4242" s="2"/>
      <x:c r="F4242" s="2"/>
      <x:c r="G4242" s="2"/>
    </x:row>
    <x:row r="4243" ht="18" customHeight="1">
      <x:c r="B4243" s="2"/>
      <x:c r="C4243" s="2"/>
      <x:c r="D4243" s="2"/>
      <x:c r="E4243" s="2"/>
      <x:c r="F4243" s="2"/>
      <x:c r="G4243" s="2"/>
    </x:row>
    <x:row r="4244" ht="18" customHeight="1">
      <x:c r="B4244" s="2"/>
      <x:c r="C4244" s="2"/>
      <x:c r="D4244" s="2"/>
      <x:c r="E4244" s="2"/>
      <x:c r="F4244" s="2"/>
      <x:c r="G4244" s="2"/>
    </x:row>
    <x:row r="4245" ht="18" customHeight="1">
      <x:c r="B4245" s="2"/>
      <x:c r="C4245" s="2"/>
      <x:c r="D4245" s="2"/>
      <x:c r="E4245" s="2"/>
      <x:c r="F4245" s="2"/>
      <x:c r="G4245" s="2"/>
    </x:row>
    <x:row r="4246" ht="18" customHeight="1">
      <x:c r="B4246" s="2"/>
      <x:c r="C4246" s="2"/>
      <x:c r="D4246" s="2"/>
      <x:c r="E4246" s="2"/>
      <x:c r="F4246" s="2"/>
      <x:c r="G4246" s="2"/>
    </x:row>
    <x:row r="4247" ht="18" customHeight="1">
      <x:c r="B4247" s="2"/>
      <x:c r="C4247" s="2"/>
      <x:c r="D4247" s="2"/>
      <x:c r="E4247" s="2"/>
      <x:c r="F4247" s="2"/>
      <x:c r="G4247" s="2"/>
    </x:row>
    <x:row r="4248" ht="18" customHeight="1">
      <x:c r="B4248" s="2"/>
      <x:c r="C4248" s="2"/>
      <x:c r="D4248" s="2"/>
      <x:c r="E4248" s="2"/>
      <x:c r="F4248" s="2"/>
      <x:c r="G4248" s="2"/>
    </x:row>
    <x:row r="4249" ht="18" customHeight="1">
      <x:c r="B4249" s="2"/>
      <x:c r="C4249" s="2"/>
      <x:c r="D4249" s="2"/>
      <x:c r="E4249" s="2"/>
      <x:c r="F4249" s="2"/>
      <x:c r="G4249" s="2"/>
    </x:row>
    <x:row r="4250" ht="18" customHeight="1">
      <x:c r="B4250" s="2"/>
      <x:c r="C4250" s="2"/>
      <x:c r="D4250" s="2"/>
      <x:c r="E4250" s="2"/>
      <x:c r="F4250" s="2"/>
      <x:c r="G4250" s="2"/>
    </x:row>
    <x:row r="4251" ht="18" customHeight="1">
      <x:c r="B4251" s="2"/>
      <x:c r="C4251" s="2"/>
      <x:c r="D4251" s="2"/>
      <x:c r="E4251" s="2"/>
      <x:c r="F4251" s="2"/>
      <x:c r="G4251" s="2"/>
    </x:row>
    <x:row r="4252" ht="18" customHeight="1">
      <x:c r="B4252" s="2"/>
      <x:c r="C4252" s="2"/>
      <x:c r="D4252" s="2"/>
      <x:c r="E4252" s="2"/>
      <x:c r="F4252" s="2"/>
      <x:c r="G4252" s="2"/>
    </x:row>
    <x:row r="4253" ht="18" customHeight="1">
      <x:c r="B4253" s="2"/>
      <x:c r="C4253" s="2"/>
      <x:c r="D4253" s="2"/>
      <x:c r="E4253" s="2"/>
      <x:c r="F4253" s="2"/>
      <x:c r="G4253" s="2"/>
    </x:row>
    <x:row r="4254" ht="18" customHeight="1">
      <x:c r="B4254" s="2"/>
      <x:c r="C4254" s="2"/>
      <x:c r="D4254" s="2"/>
      <x:c r="E4254" s="2"/>
      <x:c r="F4254" s="2"/>
      <x:c r="G4254" s="2"/>
    </x:row>
    <x:row r="4255" ht="18" customHeight="1">
      <x:c r="B4255" s="2"/>
      <x:c r="C4255" s="2"/>
      <x:c r="D4255" s="2"/>
      <x:c r="E4255" s="2"/>
      <x:c r="F4255" s="2"/>
      <x:c r="G4255" s="2"/>
    </x:row>
    <x:row r="4256" ht="18" customHeight="1">
      <x:c r="B4256" s="2"/>
      <x:c r="C4256" s="2"/>
      <x:c r="D4256" s="2"/>
      <x:c r="E4256" s="2"/>
      <x:c r="F4256" s="2"/>
      <x:c r="G4256" s="2"/>
    </x:row>
    <x:row r="4257" ht="18" customHeight="1">
      <x:c r="B4257" s="2"/>
      <x:c r="C4257" s="2"/>
      <x:c r="D4257" s="2"/>
      <x:c r="E4257" s="2"/>
      <x:c r="F4257" s="2"/>
      <x:c r="G4257" s="2"/>
    </x:row>
    <x:row r="4258" ht="18" customHeight="1">
      <x:c r="B4258" s="2"/>
      <x:c r="C4258" s="2"/>
      <x:c r="D4258" s="2"/>
      <x:c r="E4258" s="2"/>
      <x:c r="F4258" s="2"/>
      <x:c r="G4258" s="2"/>
    </x:row>
    <x:row r="4259" ht="18" customHeight="1">
      <x:c r="B4259" s="2"/>
      <x:c r="C4259" s="2"/>
      <x:c r="D4259" s="2"/>
      <x:c r="E4259" s="2"/>
      <x:c r="F4259" s="2"/>
      <x:c r="G4259" s="2"/>
    </x:row>
    <x:row r="4260" ht="18" customHeight="1">
      <x:c r="B4260" s="2"/>
      <x:c r="C4260" s="2"/>
      <x:c r="D4260" s="2"/>
      <x:c r="E4260" s="2"/>
      <x:c r="F4260" s="2"/>
      <x:c r="G4260" s="2"/>
    </x:row>
    <x:row r="4261" ht="18" customHeight="1">
      <x:c r="B4261" s="2"/>
      <x:c r="C4261" s="2"/>
      <x:c r="D4261" s="2"/>
      <x:c r="E4261" s="2"/>
      <x:c r="F4261" s="2"/>
      <x:c r="G4261" s="2"/>
    </x:row>
    <x:row r="4262" ht="18" customHeight="1">
      <x:c r="B4262" s="2"/>
      <x:c r="C4262" s="2"/>
      <x:c r="D4262" s="2"/>
      <x:c r="E4262" s="2"/>
      <x:c r="F4262" s="2"/>
      <x:c r="G4262" s="2"/>
    </x:row>
    <x:row r="4263" ht="18" customHeight="1">
      <x:c r="B4263" s="2"/>
      <x:c r="C4263" s="2"/>
      <x:c r="D4263" s="2"/>
      <x:c r="E4263" s="2"/>
      <x:c r="F4263" s="2"/>
      <x:c r="G4263" s="2"/>
    </x:row>
    <x:row r="4264" ht="18" customHeight="1">
      <x:c r="B4264" s="2"/>
      <x:c r="C4264" s="2"/>
      <x:c r="D4264" s="2"/>
      <x:c r="E4264" s="2"/>
      <x:c r="F4264" s="2"/>
      <x:c r="G4264" s="2"/>
    </x:row>
    <x:row r="4265" ht="18" customHeight="1">
      <x:c r="B4265" s="2"/>
      <x:c r="C4265" s="2"/>
      <x:c r="D4265" s="2"/>
      <x:c r="E4265" s="2"/>
      <x:c r="F4265" s="2"/>
      <x:c r="G4265" s="2"/>
    </x:row>
    <x:row r="4266" ht="18" customHeight="1">
      <x:c r="B4266" s="2"/>
      <x:c r="C4266" s="2"/>
      <x:c r="D4266" s="2"/>
      <x:c r="E4266" s="2"/>
      <x:c r="F4266" s="2"/>
      <x:c r="G4266" s="2"/>
    </x:row>
    <x:row r="4267" ht="18" customHeight="1">
      <x:c r="B4267" s="2"/>
      <x:c r="C4267" s="2"/>
      <x:c r="D4267" s="2"/>
      <x:c r="E4267" s="2"/>
      <x:c r="F4267" s="2"/>
      <x:c r="G4267" s="2"/>
    </x:row>
    <x:row r="4268" ht="18" customHeight="1">
      <x:c r="B4268" s="2"/>
      <x:c r="C4268" s="2"/>
      <x:c r="D4268" s="2"/>
      <x:c r="E4268" s="2"/>
      <x:c r="F4268" s="2"/>
      <x:c r="G4268" s="2"/>
    </x:row>
    <x:row r="4269" ht="18" customHeight="1">
      <x:c r="B4269" s="2"/>
      <x:c r="C4269" s="2"/>
      <x:c r="D4269" s="2"/>
      <x:c r="E4269" s="2"/>
      <x:c r="F4269" s="2"/>
      <x:c r="G4269" s="2"/>
    </x:row>
    <x:row r="4270" ht="18" customHeight="1">
      <x:c r="B4270" s="2"/>
      <x:c r="C4270" s="2"/>
      <x:c r="D4270" s="2"/>
      <x:c r="E4270" s="2"/>
      <x:c r="F4270" s="2"/>
      <x:c r="G4270" s="2"/>
    </x:row>
    <x:row r="4271" ht="18" customHeight="1">
      <x:c r="B4271" s="2"/>
      <x:c r="C4271" s="2"/>
      <x:c r="D4271" s="2"/>
      <x:c r="E4271" s="2"/>
      <x:c r="F4271" s="2"/>
      <x:c r="G4271" s="2"/>
    </x:row>
    <x:row r="4272" ht="18" customHeight="1">
      <x:c r="B4272" s="2"/>
      <x:c r="C4272" s="2"/>
      <x:c r="D4272" s="2"/>
      <x:c r="E4272" s="2"/>
      <x:c r="F4272" s="2"/>
      <x:c r="G4272" s="2"/>
    </x:row>
    <x:row r="4273" ht="18" customHeight="1">
      <x:c r="B4273" s="2"/>
      <x:c r="C4273" s="2"/>
      <x:c r="D4273" s="2"/>
      <x:c r="E4273" s="2"/>
      <x:c r="F4273" s="2"/>
      <x:c r="G4273" s="2"/>
    </x:row>
    <x:row r="4274" ht="18" customHeight="1">
      <x:c r="B4274" s="2"/>
      <x:c r="C4274" s="2"/>
      <x:c r="D4274" s="2"/>
      <x:c r="E4274" s="2"/>
      <x:c r="F4274" s="2"/>
      <x:c r="G4274" s="2"/>
    </x:row>
    <x:row r="4275" ht="18" customHeight="1">
      <x:c r="B4275" s="2"/>
      <x:c r="C4275" s="2"/>
      <x:c r="D4275" s="2"/>
      <x:c r="E4275" s="2"/>
      <x:c r="F4275" s="2"/>
      <x:c r="G4275" s="2"/>
    </x:row>
    <x:row r="4276" ht="18" customHeight="1">
      <x:c r="B4276" s="2"/>
      <x:c r="C4276" s="2"/>
      <x:c r="D4276" s="2"/>
      <x:c r="E4276" s="2"/>
      <x:c r="F4276" s="2"/>
      <x:c r="G4276" s="2"/>
    </x:row>
    <x:row r="4277" ht="18" customHeight="1">
      <x:c r="B4277" s="2"/>
      <x:c r="C4277" s="2"/>
      <x:c r="D4277" s="2"/>
      <x:c r="E4277" s="2"/>
      <x:c r="F4277" s="2"/>
      <x:c r="G4277" s="2"/>
    </x:row>
    <x:row r="4278" ht="18" customHeight="1">
      <x:c r="B4278" s="2"/>
      <x:c r="C4278" s="2"/>
      <x:c r="D4278" s="2"/>
      <x:c r="E4278" s="2"/>
      <x:c r="F4278" s="2"/>
      <x:c r="G4278" s="2"/>
    </x:row>
    <x:row r="4279" ht="18" customHeight="1">
      <x:c r="B4279" s="2"/>
      <x:c r="C4279" s="2"/>
      <x:c r="D4279" s="2"/>
      <x:c r="E4279" s="2"/>
      <x:c r="F4279" s="2"/>
      <x:c r="G4279" s="2"/>
    </x:row>
    <x:row r="4280" ht="18" customHeight="1">
      <x:c r="B4280" s="2"/>
      <x:c r="C4280" s="2"/>
      <x:c r="D4280" s="2"/>
      <x:c r="E4280" s="2"/>
      <x:c r="F4280" s="2"/>
      <x:c r="G4280" s="2"/>
    </x:row>
    <x:row r="4281" ht="18" customHeight="1">
      <x:c r="B4281" s="2"/>
      <x:c r="C4281" s="2"/>
      <x:c r="D4281" s="2"/>
      <x:c r="E4281" s="2"/>
      <x:c r="F4281" s="2"/>
      <x:c r="G4281" s="2"/>
    </x:row>
    <x:row r="4282" ht="18" customHeight="1">
      <x:c r="B4282" s="2"/>
      <x:c r="C4282" s="2"/>
      <x:c r="D4282" s="2"/>
      <x:c r="E4282" s="2"/>
      <x:c r="F4282" s="2"/>
      <x:c r="G4282" s="2"/>
    </x:row>
    <x:row r="4283" ht="18" customHeight="1">
      <x:c r="B4283" s="2"/>
      <x:c r="C4283" s="2"/>
      <x:c r="D4283" s="2"/>
      <x:c r="E4283" s="2"/>
      <x:c r="F4283" s="2"/>
      <x:c r="G4283" s="2"/>
    </x:row>
    <x:row r="4284" ht="18" customHeight="1">
      <x:c r="B4284" s="2"/>
      <x:c r="C4284" s="2"/>
      <x:c r="D4284" s="2"/>
      <x:c r="E4284" s="2"/>
      <x:c r="F4284" s="2"/>
      <x:c r="G4284" s="2"/>
    </x:row>
    <x:row r="4285" ht="18" customHeight="1">
      <x:c r="B4285" s="2"/>
      <x:c r="C4285" s="2"/>
      <x:c r="D4285" s="2"/>
      <x:c r="E4285" s="2"/>
      <x:c r="F4285" s="2"/>
      <x:c r="G4285" s="2"/>
    </x:row>
    <x:row r="4286" ht="18" customHeight="1">
      <x:c r="B4286" s="2"/>
      <x:c r="C4286" s="2"/>
      <x:c r="D4286" s="2"/>
      <x:c r="E4286" s="2"/>
      <x:c r="F4286" s="2"/>
      <x:c r="G4286" s="2"/>
    </x:row>
    <x:row r="4287" ht="18" customHeight="1">
      <x:c r="B4287" s="2"/>
      <x:c r="C4287" s="2"/>
      <x:c r="D4287" s="2"/>
      <x:c r="E4287" s="2"/>
      <x:c r="F4287" s="2"/>
      <x:c r="G4287" s="2"/>
    </x:row>
    <x:row r="4288" ht="18" customHeight="1">
      <x:c r="B4288" s="2"/>
      <x:c r="C4288" s="2"/>
      <x:c r="D4288" s="2"/>
      <x:c r="E4288" s="2"/>
      <x:c r="F4288" s="2"/>
      <x:c r="G4288" s="2"/>
    </x:row>
    <x:row r="4289" ht="18" customHeight="1">
      <x:c r="B4289" s="2"/>
      <x:c r="C4289" s="2"/>
      <x:c r="D4289" s="2"/>
      <x:c r="E4289" s="2"/>
      <x:c r="F4289" s="2"/>
      <x:c r="G4289" s="2"/>
    </x:row>
    <x:row r="4290" ht="18" customHeight="1">
      <x:c r="B4290" s="2"/>
      <x:c r="C4290" s="2"/>
      <x:c r="D4290" s="2"/>
      <x:c r="E4290" s="2"/>
      <x:c r="F4290" s="2"/>
      <x:c r="G4290" s="2"/>
    </x:row>
    <x:row r="4291" ht="18" customHeight="1">
      <x:c r="B4291" s="2"/>
      <x:c r="C4291" s="2"/>
      <x:c r="D4291" s="2"/>
      <x:c r="E4291" s="2"/>
      <x:c r="F4291" s="2"/>
      <x:c r="G4291" s="2"/>
    </x:row>
    <x:row r="4292" ht="18" customHeight="1">
      <x:c r="B4292" s="2"/>
      <x:c r="C4292" s="2"/>
      <x:c r="D4292" s="2"/>
      <x:c r="E4292" s="2"/>
      <x:c r="F4292" s="2"/>
      <x:c r="G4292" s="2"/>
    </x:row>
    <x:row r="4293" ht="18" customHeight="1">
      <x:c r="B4293" s="2"/>
      <x:c r="C4293" s="2"/>
      <x:c r="D4293" s="2"/>
      <x:c r="E4293" s="2"/>
      <x:c r="F4293" s="2"/>
      <x:c r="G4293" s="2"/>
    </x:row>
    <x:row r="4294" ht="18" customHeight="1">
      <x:c r="B4294" s="2"/>
      <x:c r="C4294" s="2"/>
      <x:c r="D4294" s="2"/>
      <x:c r="E4294" s="2"/>
      <x:c r="F4294" s="2"/>
      <x:c r="G4294" s="2"/>
    </x:row>
    <x:row r="4295" ht="18" customHeight="1">
      <x:c r="B4295" s="2"/>
      <x:c r="C4295" s="2"/>
      <x:c r="D4295" s="2"/>
      <x:c r="E4295" s="2"/>
      <x:c r="F4295" s="2"/>
      <x:c r="G4295" s="2"/>
    </x:row>
    <x:row r="4296" ht="18" customHeight="1">
      <x:c r="B4296" s="2"/>
      <x:c r="C4296" s="2"/>
      <x:c r="D4296" s="2"/>
      <x:c r="E4296" s="2"/>
      <x:c r="F4296" s="2"/>
      <x:c r="G4296" s="2"/>
    </x:row>
    <x:row r="4297" ht="18" customHeight="1">
      <x:c r="B4297" s="2"/>
      <x:c r="C4297" s="2"/>
      <x:c r="D4297" s="2"/>
      <x:c r="E4297" s="2"/>
      <x:c r="F4297" s="2"/>
      <x:c r="G4297" s="2"/>
    </x:row>
    <x:row r="4298" ht="18" customHeight="1">
      <x:c r="B4298" s="2"/>
      <x:c r="C4298" s="2"/>
      <x:c r="D4298" s="2"/>
      <x:c r="E4298" s="2"/>
      <x:c r="F4298" s="2"/>
      <x:c r="G4298" s="2"/>
    </x:row>
    <x:row r="4299" ht="18" customHeight="1">
      <x:c r="B4299" s="2"/>
      <x:c r="C4299" s="2"/>
      <x:c r="D4299" s="2"/>
      <x:c r="E4299" s="2"/>
      <x:c r="F4299" s="2"/>
      <x:c r="G4299" s="2"/>
    </x:row>
    <x:row r="4300" ht="18" customHeight="1">
      <x:c r="B4300" s="2"/>
      <x:c r="C4300" s="2"/>
      <x:c r="D4300" s="2"/>
      <x:c r="E4300" s="2"/>
      <x:c r="F4300" s="2"/>
      <x:c r="G4300" s="2"/>
    </x:row>
  </x:sheetData>
  <x:mergeCells>
    <x:mergeCell ref="B3:G3"/>
  </x:mergeCells>
  <x:conditionalFormatting sqref="G7:G4115">
    <x:cfRule type="containsText" dxfId="80" priority="1" operator="containsText" text="OPEN"/>
    <x:cfRule type="containsText" dxfId="81" priority="2" operator="containsText" text="HOLD"/>
    <x:cfRule type="containsText" dxfId="82" priority="3" operator="containsText" text="BLOCKED"/>
    <x:cfRule type="containsText" dxfId="83" priority="4" operator="containsText" text="DRAFT"/>
    <x:cfRule type="containsText" dxfId="84" priority="5" operator="containsText" text="FAIL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9" hidden="0" customWidth="1"/>
    <x:col min="3" max="3" width="49" hidden="0" customWidth="1"/>
    <x:col min="4" max="4" width="38" hidden="0" customWidth="1"/>
    <x:col min="5" max="5" width="36" hidden="0" customWidth="1"/>
    <x:col min="6" max="6" width="31" hidden="0" customWidth="1"/>
    <x:col min="7" max="7" width="28" hidden="0" customWidth="1"/>
    <x:col min="8" max="8" width="35" hidden="0" customWidth="1"/>
    <x:col min="9" max="9" width="27" hidden="0" customWidth="1"/>
    <x:col min="10" max="10" width="31" hidden="0" customWidth="1"/>
  </x:cols>
  <x:sheetData>
    <x:row r="2" ht="18" customHeight="1">
      <x:c r="B2" s="3" t="str">
        <x:v>Workbook guide</x:v>
      </x:c>
      <x:c r="C2" s="2"/>
      <x:c r="D2" s="2"/>
      <x:c r="E2" s="2"/>
      <x:c r="F2" s="2"/>
      <x:c r="G2" s="2"/>
      <x:c r="H2" s="2"/>
      <x:c r="I2" s="2"/>
      <x:c r="J2" s="2"/>
    </x:row>
    <x:row r="3" ht="18" customHeight="1">
      <x:c r="B3" s="4" t="str">
        <x:v>MESA-1D is a prototype build-and-acceptance constitution, not a product specification or evidence result.</x:v>
      </x:c>
      <x:c r="C3" s="2"/>
      <x:c r="D3" s="2"/>
      <x:c r="E3" s="2"/>
      <x:c r="F3" s="2"/>
      <x:c r="G3" s="2"/>
      <x:c r="H3" s="2"/>
      <x:c r="I3" s="2"/>
      <x:c r="J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</x:row>
    <x:row r="6" ht="18" customHeight="1">
      <x:c r="B6" s="25" t="str">
        <x:v>Sheet</x:v>
      </x:c>
      <x:c r="C6" s="26" t="str">
        <x:v>Purpose</x:v>
      </x:c>
      <x:c r="D6" s="26" t="str">
        <x:v>Decision owned</x:v>
      </x:c>
      <x:c r="E6" s="26" t="str">
        <x:v>Inputs</x:v>
      </x:c>
      <x:c r="F6" s="26" t="str">
        <x:v>Formula outputs</x:v>
      </x:c>
      <x:c r="G6" s="26" t="str">
        <x:v>State semantics</x:v>
      </x:c>
      <x:c r="H6" s="26" t="str">
        <x:v>Do not infer</x:v>
      </x:c>
      <x:c r="I6" s="26" t="str">
        <x:v>Owner</x:v>
      </x:c>
      <x:c r="J6" s="26" t="str">
        <x:v>Update trigger</x:v>
      </x:c>
    </x:row>
    <x:row r="7" ht="18" customHeight="1">
      <x:c r="B7" s="27" t="str">
        <x:v>Summary</x:v>
      </x:c>
      <x:c r="C7" s="27" t="str">
        <x:v>current answer</x:v>
      </x:c>
      <x:c r="D7" s="27" t="str">
        <x:v>calendar and authority boundary</x:v>
      </x:c>
      <x:c r="E7" s="27" t="str">
        <x:v>all builds</x:v>
      </x:c>
      <x:c r="F7" s="27" t="str">
        <x:v>headline controls</x:v>
      </x:c>
      <x:c r="G7" s="27" t="str">
        <x:v>PASS plus OPEN</x:v>
      </x:c>
      <x:c r="H7" s="27" t="str">
        <x:v>physical maturity</x:v>
      </x:c>
      <x:c r="I7" s="27" t="str">
        <x:v>program executive</x:v>
      </x:c>
      <x:c r="J7" s="29" t="str">
        <x:v>accepted evidence</x:v>
      </x:c>
    </x:row>
    <x:row r="8" ht="18" customHeight="1">
      <x:c r="B8" s="27" t="str">
        <x:v>Assumptions</x:v>
      </x:c>
      <x:c r="C8" s="27" t="str">
        <x:v>declared inputs</x:v>
      </x:c>
      <x:c r="D8" s="27" t="str">
        <x:v>freeze inherited controls</x:v>
      </x:c>
      <x:c r="E8" s="27" t="str">
        <x:v>MESA-1R/1C and Pass 94</x:v>
      </x:c>
      <x:c r="F8" s="27" t="str">
        <x:v>none</x:v>
      </x:c>
      <x:c r="G8" s="27" t="str">
        <x:v>blue is unmeasured</x:v>
      </x:c>
      <x:c r="H8" s="27" t="str">
        <x:v>standard or observation</x:v>
      </x:c>
      <x:c r="I8" s="27" t="str">
        <x:v>model custodian</x:v>
      </x:c>
      <x:c r="J8" s="29" t="str">
        <x:v>prospective amendment</x:v>
      </x:c>
    </x:row>
    <x:row r="9" ht="18" customHeight="1">
      <x:c r="B9" s="27" t="str">
        <x:v>Article Baselines</x:v>
      </x:c>
      <x:c r="C9" s="27" t="str">
        <x:v>family envelopes</x:v>
      </x:c>
      <x:c r="D9" s="27" t="str">
        <x:v>fix burden and readiness</x:v>
      </x:c>
      <x:c r="E9" s="27" t="str">
        <x:v>eleven selected architectures</x:v>
      </x:c>
      <x:c r="F9" s="27" t="str">
        <x:v>energy and heat targets</x:v>
      </x:c>
      <x:c r="G9" s="27" t="str">
        <x:v>OPEN</x:v>
      </x:c>
      <x:c r="H9" s="27" t="str">
        <x:v>performance</x:v>
      </x:c>
      <x:c r="I9" s="27" t="str">
        <x:v>configuration authority</x:v>
      </x:c>
      <x:c r="J9" s="29" t="str">
        <x:v>measured first article</x:v>
      </x:c>
    </x:row>
    <x:row r="10" ht="18" customHeight="1">
      <x:c r="B10" s="27" t="str">
        <x:v>Allocation Build</x:v>
      </x:c>
      <x:c r="C10" s="27" t="str">
        <x:v>reserve discipline</x:v>
      </x:c>
      <x:c r="D10" s="27" t="str">
        <x:v>hold 15 percent unassigned</x:v>
      </x:c>
      <x:c r="E10" s="27" t="str">
        <x:v>family envelopes and shares</x:v>
      </x:c>
      <x:c r="F10" s="27" t="str">
        <x:v>mass volume power storage</x:v>
      </x:c>
      <x:c r="G10" s="27" t="str">
        <x:v>OPEN</x:v>
      </x:c>
      <x:c r="H10" s="27" t="str">
        <x:v>component design</x:v>
      </x:c>
      <x:c r="I10" s="27" t="str">
        <x:v>requirements authority</x:v>
      </x:c>
      <x:c r="J10" s="29" t="str">
        <x:v>accepted allocation change</x:v>
      </x:c>
    </x:row>
    <x:row r="11" ht="18" customHeight="1">
      <x:c r="B11" s="27" t="str">
        <x:v>Build Packages</x:v>
      </x:c>
      <x:c r="C11" s="27" t="str">
        <x:v>release documents</x:v>
      </x:c>
      <x:c r="D11" s="27" t="str">
        <x:v>make architectures reproducible</x:v>
      </x:c>
      <x:c r="E11" s="27" t="str">
        <x:v>fourteen templates</x:v>
      </x:c>
      <x:c r="F11" s="27" t="str">
        <x:v>counts</x:v>
      </x:c>
      <x:c r="G11" s="27" t="str">
        <x:v>DRAFT/OPEN</x:v>
      </x:c>
      <x:c r="H11" s="27" t="str">
        <x:v>approved drawing</x:v>
      </x:c>
      <x:c r="I11" s="27" t="str">
        <x:v>configuration authority</x:v>
      </x:c>
      <x:c r="J11" s="29" t="str">
        <x:v>signed package</x:v>
      </x:c>
    </x:row>
    <x:row r="12" ht="18" customHeight="1">
      <x:c r="B12" s="27" t="str">
        <x:v>Acceptance Register</x:v>
      </x:c>
      <x:c r="C12" s="27" t="str">
        <x:v>article decisions</x:v>
      </x:c>
      <x:c r="D12" s="27" t="str">
        <x:v>twelve tests per family</x:v>
      </x:c>
      <x:c r="E12" s="27" t="str">
        <x:v>family allocations</x:v>
      </x:c>
      <x:c r="F12" s="27" t="str">
        <x:v>counts</x:v>
      </x:c>
      <x:c r="G12" s="27" t="str">
        <x:v>OPEN/HOLD</x:v>
      </x:c>
      <x:c r="H12" s="27" t="str">
        <x:v>test success</x:v>
      </x:c>
      <x:c r="I12" s="27" t="str">
        <x:v>evidence authorities</x:v>
      </x:c>
      <x:c r="J12" s="29" t="str">
        <x:v>accepted record</x:v>
      </x:c>
    </x:row>
    <x:row r="13" ht="18" customHeight="1">
      <x:c r="B13" s="27" t="str">
        <x:v>Hazard Register</x:v>
      </x:c>
      <x:c r="C13" s="27" t="str">
        <x:v>qualification worlds</x:v>
      </x:c>
      <x:c r="D13" s="27" t="str">
        <x:v>survive or invalidate explicitly</x:v>
      </x:c>
      <x:c r="E13" s="27" t="str">
        <x:v>eight worlds per family</x:v>
      </x:c>
      <x:c r="F13" s="27" t="str">
        <x:v>counts</x:v>
      </x:c>
      <x:c r="G13" s="27" t="str">
        <x:v>OPEN</x:v>
      </x:c>
      <x:c r="H13" s="27" t="str">
        <x:v>adopted standard</x:v>
      </x:c>
      <x:c r="I13" s="27" t="str">
        <x:v>hazard authority</x:v>
      </x:c>
      <x:c r="J13" s="29" t="str">
        <x:v>exposure evidence</x:v>
      </x:c>
    </x:row>
    <x:row r="14" ht="18" customHeight="1">
      <x:c r="B14" s="27" t="str">
        <x:v>Interface Tests</x:v>
      </x:c>
      <x:c r="C14" s="27" t="str">
        <x:v>no-crutch boundary</x:v>
      </x:c>
      <x:c r="D14" s="27" t="str">
        <x:v>prove physical one-way behavior</x:v>
      </x:c>
      <x:c r="E14" s="27" t="str">
        <x:v>twelve interfaces</x:v>
      </x:c>
      <x:c r="F14" s="27" t="str">
        <x:v>counts</x:v>
      </x:c>
      <x:c r="G14" s="27" t="str">
        <x:v>OPEN</x:v>
      </x:c>
      <x:c r="H14" s="27" t="str">
        <x:v>software assurance</x:v>
      </x:c>
      <x:c r="I14" s="27" t="str">
        <x:v>interface authority</x:v>
      </x:c>
      <x:c r="J14" s="29" t="str">
        <x:v>teardown evidence</x:v>
      </x:c>
    </x:row>
    <x:row r="15" ht="18" customHeight="1">
      <x:c r="B15" s="27" t="str">
        <x:v>Calibration</x:v>
      </x:c>
      <x:c r="C15" s="27" t="str">
        <x:v>measurement allocations</x:v>
      </x:c>
      <x:c r="D15" s="27" t="str">
        <x:v>bind field-check chains</x:v>
      </x:c>
      <x:c r="E15" s="27" t="str">
        <x:v>twenty-three measurands</x:v>
      </x:c>
      <x:c r="F15" s="27" t="str">
        <x:v>half-allocation targets</x:v>
      </x:c>
      <x:c r="G15" s="27" t="str">
        <x:v>OPEN</x:v>
      </x:c>
      <x:c r="H15" s="27" t="str">
        <x:v>measured uncertainty</x:v>
      </x:c>
      <x:c r="I15" s="27" t="str">
        <x:v>metrology authorities</x:v>
      </x:c>
      <x:c r="J15" s="29" t="str">
        <x:v>calibration evidence</x:v>
      </x:c>
    </x:row>
    <x:row r="16" ht="18" customHeight="1">
      <x:c r="B16" s="27" t="str">
        <x:v>Ancestry Rights</x:v>
      </x:c>
      <x:c r="C16" s="27" t="str">
        <x:v>industrial independence</x:v>
      </x:c>
      <x:c r="D16" s="27" t="str">
        <x:v>attach rights below prime</x:v>
      </x:c>
      <x:c r="E16" s="27" t="str">
        <x:v>twelve critical chains</x:v>
      </x:c>
      <x:c r="F16" s="27" t="str">
        <x:v>counts</x:v>
      </x:c>
      <x:c r="G16" s="27" t="str">
        <x:v>OPEN</x:v>
      </x:c>
      <x:c r="H16" s="27" t="str">
        <x:v>supplier independence</x:v>
      </x:c>
      <x:c r="I16" s="27" t="str">
        <x:v>industrial authority</x:v>
      </x:c>
      <x:c r="J16" s="29" t="str">
        <x:v>disclosure or teardown</x:v>
      </x:c>
    </x:row>
    <x:row r="17" ht="18" customHeight="1">
      <x:c r="B17" s="27" t="str">
        <x:v>Article Lots</x:v>
      </x:c>
      <x:c r="C17" s="27" t="str">
        <x:v>physical custody</x:v>
      </x:c>
      <x:c r="D17" s="27" t="str">
        <x:v>separate article purposes</x:v>
      </x:c>
      <x:c r="E17" s="27" t="str">
        <x:v>lot quantities and unit planning cost</x:v>
      </x:c>
      <x:c r="F17" s="27" t="str">
        <x:v>count cost and margin</x:v>
      </x:c>
      <x:c r="G17" s="27" t="str">
        <x:v>OPEN</x:v>
      </x:c>
      <x:c r="H17" s="27" t="str">
        <x:v>availability</x:v>
      </x:c>
      <x:c r="I17" s="27" t="str">
        <x:v>custody authorities</x:v>
      </x:c>
      <x:c r="J17" s="29" t="str">
        <x:v>lot release</x:v>
      </x:c>
    </x:row>
    <x:row r="18" ht="18" customHeight="1">
      <x:c r="B18" s="27" t="str">
        <x:v>Facility Load</x:v>
      </x:c>
      <x:c r="C18" s="27" t="str">
        <x:v>range capacity</x:v>
      </x:c>
      <x:c r="D18" s="27" t="str">
        <x:v>avoid hidden schedule overload</x:v>
      </x:c>
      <x:c r="E18" s="27" t="str">
        <x:v>eight facilities and annual days</x:v>
      </x:c>
      <x:c r="F18" s="27" t="str">
        <x:v>reserve and utilization</x:v>
      </x:c>
      <x:c r="G18" s="27" t="str">
        <x:v>OPEN</x:v>
      </x:c>
      <x:c r="H18" s="27" t="str">
        <x:v>site selection</x:v>
      </x:c>
      <x:c r="I18" s="27" t="str">
        <x:v>proving command</x:v>
      </x:c>
      <x:c r="J18" s="29" t="str">
        <x:v>qualified capacity</x:v>
      </x:c>
    </x:row>
    <x:row r="19" ht="18" customHeight="1">
      <x:c r="B19" s="27" t="str">
        <x:v>Program Schedule</x:v>
      </x:c>
      <x:c r="C19" s="27" t="str">
        <x:v>calendar correction</x:v>
      </x:c>
      <x:c r="D19" s="27" t="str">
        <x:v>add build-release lead</x:v>
      </x:c>
      <x:c r="E19" s="27" t="str">
        <x:v>stage dependencies</x:v>
      </x:c>
      <x:c r="F19" s="27" t="str">
        <x:v>102-month finish</x:v>
      </x:c>
      <x:c r="G19" s="27" t="str">
        <x:v>OPEN</x:v>
      </x:c>
      <x:c r="H19" s="27" t="str">
        <x:v>schedule certainty</x:v>
      </x:c>
      <x:c r="I19" s="27" t="str">
        <x:v>program executive</x:v>
      </x:c>
      <x:c r="J19" s="29" t="str">
        <x:v>stage acceptance</x:v>
      </x:c>
    </x:row>
    <x:row r="20" ht="18" customHeight="1">
      <x:c r="B20" s="27" t="str">
        <x:v>Cost Phasing</x:v>
      </x:c>
      <x:c r="C20" s="27" t="str">
        <x:v>fiscal timing</x:v>
      </x:c>
      <x:c r="D20" s="27" t="str">
        <x:v>retain USD 6.8B ceiling</x:v>
      </x:c>
      <x:c r="E20" s="27" t="str">
        <x:v>Pass 93 workstreams</x:v>
      </x:c>
      <x:c r="F20" s="27" t="str">
        <x:v>year totals and variance</x:v>
      </x:c>
      <x:c r="G20" s="27" t="str">
        <x:v>planning values</x:v>
      </x:c>
      <x:c r="H20" s="27" t="str">
        <x:v>quote or appropriation</x:v>
      </x:c>
      <x:c r="I20" s="27" t="str">
        <x:v>cost evidence board</x:v>
      </x:c>
      <x:c r="J20" s="29" t="str">
        <x:v>award obligation</x:v>
      </x:c>
    </x:row>
    <x:row r="21" ht="18" customHeight="1">
      <x:c r="B21" s="27" t="str">
        <x:v>Release Gates</x:v>
      </x:c>
      <x:c r="C21" s="27" t="str">
        <x:v>stop rules</x:v>
      </x:c>
      <x:c r="D21" s="27" t="str">
        <x:v>separate drafting build test and form</x:v>
      </x:c>
      <x:c r="E21" s="27" t="str">
        <x:v>all registers</x:v>
      </x:c>
      <x:c r="F21" s="27" t="str">
        <x:v>none</x:v>
      </x:c>
      <x:c r="G21" s="27" t="str">
        <x:v>HOLD/BLOCKED</x:v>
      </x:c>
      <x:c r="H21" s="27" t="str">
        <x:v>authorization</x:v>
      </x:c>
      <x:c r="I21" s="27" t="str">
        <x:v>requirements authority</x:v>
      </x:c>
      <x:c r="J21" s="29" t="str">
        <x:v>gate closure</x:v>
      </x:c>
    </x:row>
    <x:row r="22" ht="18" customHeight="1">
      <x:c r="B22" s="31" t="str">
        <x:v>Audit</x:v>
      </x:c>
      <x:c r="C22" s="31" t="str">
        <x:v>terminal validation</x:v>
      </x:c>
      <x:c r="D22" s="31" t="str">
        <x:v>4109 controls</x:v>
      </x:c>
      <x:c r="E22" s="31" t="str">
        <x:v>all sheets</x:v>
      </x:c>
      <x:c r="F22" s="31" t="str">
        <x:v>PASS/FAIL</x:v>
      </x:c>
      <x:c r="G22" s="31" t="str">
        <x:v>PASS model only</x:v>
      </x:c>
      <x:c r="H22" s="31" t="str">
        <x:v>physical evidence</x:v>
      </x:c>
      <x:c r="I22" s="31" t="str">
        <x:v>model custodian</x:v>
      </x:c>
      <x:c r="J22" s="33" t="str">
        <x:v>formula change</x:v>
      </x:c>
    </x:row>
    <x:row r="23" ht="18" customHeight="1"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18" customHeight="1"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18" customHeight="1">
      <x:c r="B25" s="8" t="str">
        <x:v>Version and use</x:v>
      </x:c>
      <x:c r="C25" s="9" t="str">
        <x:v>Version and use</x:v>
      </x:c>
      <x:c r="D25" s="9" t="str">
        <x:v>Version and use</x:v>
      </x:c>
      <x:c r="E25" s="9" t="str">
        <x:v>Version and use</x:v>
      </x:c>
      <x:c r="F25" s="9" t="str">
        <x:v>Version and use</x:v>
      </x:c>
      <x:c r="G25" s="9" t="str">
        <x:v>Version and use</x:v>
      </x:c>
      <x:c r="H25" s="9" t="str">
        <x:v>Version and use</x:v>
      </x:c>
      <x:c r="I25" s="9" t="str">
        <x:v>Version and use</x:v>
      </x:c>
      <x:c r="J25" s="10" t="str">
        <x:v>Version and use</x:v>
      </x:c>
    </x:row>
    <x:row r="26" ht="28" customHeight="1">
      <x:c r="B26" s="2" t="str">
        <x:v>Model version</x:v>
      </x:c>
      <x:c r="C26" s="2" t="str">
        <x:v>MESA-1D Pass 94</x:v>
      </x:c>
      <x:c r="D26" s="2" t="str"/>
      <x:c r="E26" s="2" t="str"/>
      <x:c r="F26" s="2" t="str"/>
      <x:c r="G26" s="2" t="str"/>
      <x:c r="H26" s="2" t="str"/>
      <x:c r="I26" s="2" t="str"/>
      <x:c r="J26" s="2" t="str"/>
    </x:row>
    <x:row r="27" ht="28" customHeight="1">
      <x:c r="B27" s="2" t="str">
        <x:v>Currency</x:v>
      </x:c>
      <x:c r="C27" s="2" t="str">
        <x:v>constant planning USD billions; price base not selected</x:v>
      </x:c>
      <x:c r="D27" s="2" t="str"/>
      <x:c r="E27" s="2" t="str"/>
      <x:c r="F27" s="2" t="str"/>
      <x:c r="G27" s="2" t="str"/>
      <x:c r="H27" s="2" t="str"/>
      <x:c r="I27" s="2" t="str"/>
      <x:c r="J27" s="2" t="str"/>
    </x:row>
    <x:row r="28" ht="28" customHeight="1">
      <x:c r="B28" s="2" t="str">
        <x:v>External sources</x:v>
      </x:c>
      <x:c r="C28" s="2" t="str">
        <x:v>none; first-principles synthesis from internal project references</x:v>
      </x:c>
      <x:c r="D28" s="2" t="str"/>
      <x:c r="E28" s="2" t="str"/>
      <x:c r="F28" s="2" t="str"/>
      <x:c r="G28" s="2" t="str"/>
      <x:c r="H28" s="2" t="str"/>
      <x:c r="I28" s="2" t="str"/>
      <x:c r="J28" s="2" t="str"/>
    </x:row>
    <x:row r="29" ht="28" customHeight="1">
      <x:c r="B29" s="2" t="str">
        <x:v>Calendar correction</x:v>
      </x:c>
      <x:c r="C29" s="2" t="str">
        <x:v>24-month build-release lead precedes the inherited 78-month test sequence</x:v>
      </x:c>
      <x:c r="D29" s="2" t="str"/>
      <x:c r="E29" s="2" t="str"/>
      <x:c r="F29" s="2" t="str"/>
      <x:c r="G29" s="2" t="str"/>
      <x:c r="H29" s="2" t="str"/>
      <x:c r="I29" s="2" t="str"/>
      <x:c r="J29" s="2" t="str"/>
    </x:row>
    <x:row r="30" ht="28" customHeight="1">
      <x:c r="B30" s="2" t="str">
        <x:v>Hazard thresholds</x:v>
      </x:c>
      <x:c r="C30" s="2" t="str">
        <x:v>research targets only; no adopted external standard is asserted</x:v>
      </x:c>
      <x:c r="D30" s="2" t="str"/>
      <x:c r="E30" s="2" t="str"/>
      <x:c r="F30" s="2" t="str"/>
      <x:c r="G30" s="2" t="str"/>
      <x:c r="H30" s="2" t="str"/>
      <x:c r="I30" s="2" t="str"/>
      <x:c r="J30" s="2" t="str"/>
    </x:row>
    <x:row r="31" ht="28" customHeight="1">
      <x:c r="B31" s="2" t="str">
        <x:v>Technical form</x:v>
      </x:c>
      <x:c r="C31" s="2" t="str">
        <x:v>chemistry, material, process and geometry remain open to rival teams</x:v>
      </x:c>
      <x:c r="D31" s="2" t="str"/>
      <x:c r="E31" s="2" t="str"/>
      <x:c r="F31" s="2" t="str"/>
      <x:c r="G31" s="2" t="str"/>
      <x:c r="H31" s="2" t="str"/>
      <x:c r="I31" s="2" t="str"/>
      <x:c r="J31" s="2" t="str"/>
    </x:row>
    <x:row r="32" ht="28" customHeight="1">
      <x:c r="B32" s="2" t="str">
        <x:v>Production</x:v>
      </x:c>
      <x:c r="C32" s="2" t="str">
        <x:v>HOLD through accepted independent second-lot P08</x:v>
      </x:c>
      <x:c r="D32" s="2" t="str"/>
      <x:c r="E32" s="2" t="str"/>
      <x:c r="F32" s="2" t="str"/>
      <x:c r="G32" s="2" t="str"/>
      <x:c r="H32" s="2" t="str"/>
      <x:c r="I32" s="2" t="str"/>
      <x:c r="J32" s="2" t="str"/>
    </x:row>
    <x:row r="33" ht="28" customHeight="1">
      <x:c r="B33" s="2" t="str">
        <x:v>Rendering</x:v>
      </x:c>
      <x:c r="C33" s="2" t="str">
        <x:v>BLOCKED pending measured article envelopes and accepted complete mission</x:v>
      </x:c>
      <x:c r="D33" s="2" t="str"/>
      <x:c r="E33" s="2" t="str"/>
      <x:c r="F33" s="2" t="str"/>
      <x:c r="G33" s="2" t="str"/>
      <x:c r="H33" s="2" t="str"/>
      <x:c r="I33" s="2" t="str"/>
      <x:c r="J33" s="2" t="str"/>
    </x:row>
    <x:row r="34" ht="28" customHeight="1">
      <x:c r="B34" s="2" t="str">
        <x:v>Next pass</x:v>
      </x:c>
      <x:c r="C34" s="2" t="str">
        <x:v>draft family-specific procurement data packages and source-selection experiment</x:v>
      </x:c>
      <x:c r="D34" s="2" t="str"/>
      <x:c r="E34" s="2" t="str"/>
      <x:c r="F34" s="2" t="str"/>
      <x:c r="G34" s="2" t="str"/>
      <x:c r="H34" s="2" t="str"/>
      <x:c r="I34" s="2" t="str"/>
      <x:c r="J34" s="2" t="str"/>
    </x:row>
    <x:row r="35" ht="18" customHeight="1"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18" customHeight="1"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18" customHeight="1"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18" customHeight="1"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mergeCells>
    <x:mergeCell ref="B3:J3"/>
    <x:mergeCell ref="B25:J25"/>
  </x:mergeCells>
  <x:pageMargins left="0.7" right="0.7" top="0.75" bottom="0.75" header="0.3" footer="0.3"/>
</x:worksheet>
</file>