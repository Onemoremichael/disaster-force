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worksheets/sheet10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234b382ce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bec881a525db40df"/>
    <x:sheet xmlns:r="http://schemas.openxmlformats.org/officeDocument/2006/relationships" name="01 Controls" sheetId="2" r:id="Rc4299a7d549a4410"/>
    <x:sheet xmlns:r="http://schemas.openxmlformats.org/officeDocument/2006/relationships" name="02 Architectures" sheetId="3" r:id="R8d54ac2118454313"/>
    <x:sheet xmlns:r="http://schemas.openxmlformats.org/officeDocument/2006/relationships" name="03 Dependencies" sheetId="4" r:id="Rba71237f0ac349b8"/>
    <x:sheet xmlns:r="http://schemas.openxmlformats.org/officeDocument/2006/relationships" name="04 Failure Worlds" sheetId="5" r:id="R82dcfdb96c78478c"/>
    <x:sheet xmlns:r="http://schemas.openxmlformats.org/officeDocument/2006/relationships" name="05 Formation" sheetId="6" r:id="Rf7b219adecc546db"/>
    <x:sheet xmlns:r="http://schemas.openxmlformats.org/officeDocument/2006/relationships" name="06 Program" sheetId="7" r:id="R24e3bc8d05a642e5"/>
    <x:sheet xmlns:r="http://schemas.openxmlformats.org/officeDocument/2006/relationships" name="07 Test Contract" sheetId="8" r:id="R70f7918c9f99481b"/>
    <x:sheet xmlns:r="http://schemas.openxmlformats.org/officeDocument/2006/relationships" name="08 Evidence" sheetId="9" r:id="R3cc1331f7a924720"/>
    <x:sheet xmlns:r="http://schemas.openxmlformats.org/officeDocument/2006/relationships" name="09 Integrity" sheetId="10" r:id="Rfeffd87e8ea146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0.00"/>
    <x:numFmt numFmtId="202" formatCode="$#,##0.00"/>
    <x:numFmt numFmtId="203" formatCode="0"/>
    <x:numFmt numFmtId="204" formatCode="0%"/>
    <x:numFmt numFmtId="205" formatCode="#,##0"/>
    <x:numFmt numFmtId="206" formatCode="$#,##0.0"/>
  </x:numFmts>
  <x:fonts count="8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  <x:font>
      <x:sz val="9"/>
      <x:color rgb="FF5C6873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</x:fills>
  <x:borders count="3">
    <x:border/>
    <x:border>
      <x:bottom style="medium">
        <x:color rgb="FF17324D"/>
      </x:bottom>
    </x:border>
    <x:border>
      <x:bottom style="medium">
        <x:color rgb="FFFFFFFF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201" fontId="5" fillId="3" borderId="0" xfId="0" applyNumberFormat="1" applyFont="1" applyFill="1" applyBorder="1" applyAlignment="1">
      <x:alignment vertical="top"/>
    </x:xf>
    <x:xf numFmtId="202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5" fontId="4" fillId="0" borderId="0" xfId="0" applyNumberFormat="1" applyFont="1" applyFill="1" applyBorder="1" applyAlignment="1">
      <x:alignment vertical="top" wrapText="1"/>
    </x:xf>
    <x:xf numFmtId="206" fontId="4" fillId="0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7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0d66a75b94ecc" /><Relationship Type="http://schemas.openxmlformats.org/officeDocument/2006/relationships/theme" Target="/xl/theme/theme1.xml" Id="Rba1341c07ac84655" /><Relationship Type="http://schemas.openxmlformats.org/officeDocument/2006/relationships/sharedStrings" Target="/xl/sharedStrings.xml" Id="Rcdf7bf4e0f144228" /><Relationship Type="http://schemas.openxmlformats.org/officeDocument/2006/relationships/worksheet" Target="/xl/worksheets/sheet1.xml" Id="Rbec881a525db40df" /><Relationship Type="http://schemas.openxmlformats.org/officeDocument/2006/relationships/worksheet" Target="/xl/worksheets/sheet2.xml" Id="Rc4299a7d549a4410" /><Relationship Type="http://schemas.openxmlformats.org/officeDocument/2006/relationships/worksheet" Target="/xl/worksheets/sheet3.xml" Id="R8d54ac2118454313" /><Relationship Type="http://schemas.openxmlformats.org/officeDocument/2006/relationships/worksheet" Target="/xl/worksheets/sheet4.xml" Id="Rba71237f0ac349b8" /><Relationship Type="http://schemas.openxmlformats.org/officeDocument/2006/relationships/worksheet" Target="/xl/worksheets/sheet5.xml" Id="R82dcfdb96c78478c" /><Relationship Type="http://schemas.openxmlformats.org/officeDocument/2006/relationships/worksheet" Target="/xl/worksheets/sheet6.xml" Id="Rf7b219adecc546db" /><Relationship Type="http://schemas.openxmlformats.org/officeDocument/2006/relationships/worksheet" Target="/xl/worksheets/sheet7.xml" Id="R24e3bc8d05a642e5" /><Relationship Type="http://schemas.openxmlformats.org/officeDocument/2006/relationships/worksheet" Target="/xl/worksheets/sheet8.xml" Id="R70f7918c9f99481b" /><Relationship Type="http://schemas.openxmlformats.org/officeDocument/2006/relationships/worksheet" Target="/xl/worksheets/sheet9.xml" Id="R3cc1331f7a924720" /><Relationship Type="http://schemas.openxmlformats.org/officeDocument/2006/relationships/worksheet" Target="/xl/worksheets/sheet10.xml" Id="Rfeffd87e8ea146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e54cbbde1e48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Service worlds retained (of 16)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Service worlds passed</c:v>
          </c:tx>
          <c:cat>
            <c:strRef>
              <c:f>'00 Decision'!$J$6:$J$9</c:f>
              <c:strCache>
                <c:ptCount val="0"/>
              </c:strCache>
            </c:strRef>
          </c:cat>
          <c:val>
            <c:numRef>
              <c:f>'00 Decision'!$K$6:$K$9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e54cbbde1e48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4" name="DecisionSummaryTable" displayName="DecisionSummaryTable" ref="C5:H9" headerRowCount="1" totalsRowCount="0" totalsRowShown="0">
  <x:tableColumns count="6">
    <x:tableColumn id="1" name="Architecture"/>
    <x:tableColumn id="2" name="Distinct boundaries"/>
    <x:tableColumn id="3" name="Shared one-cut boundaries"/>
    <x:tableColumn id="4" name="Service worlds passed"/>
    <x:tableColumn id="5" name="Dry t/set"/>
    <x:tableColumn id="6" name="25-year program $B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5" name="DecisionRegisterTable" displayName="DecisionRegisterTable" ref="C12:H18" headerRowCount="1" totalsRowCount="0" totalsRowShown="0">
  <x:tableColumns count="6">
    <x:tableColumn id="1" name="Decision"/>
    <x:tableColumn id="2" name="Finding"/>
    <x:tableColumn id="3" name="Model evidence"/>
    <x:tableColumn id="4" name="Acquisition implication"/>
    <x:tableColumn id="5" name="Status"/>
    <x:tableColumn id="6" name="Next proo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6" name="DecisionBoundaryTable" displayName="DecisionBoundaryTable" ref="C21:H33" headerRowCount="1" totalsRowCount="0" totalsRowShown="0">
  <x:tableColumns count="6">
    <x:tableColumn id="1" name="Boundary"/>
    <x:tableColumn id="2" name="K1"/>
    <x:tableColumn id="3" name="K2"/>
    <x:tableColumn id="4" name="K3"/>
    <x:tableColumn id="5" name="K4"/>
    <x:tableColumn id="6" name="Mean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IndependenceControlTable" displayName="IndependenceControlTable" ref="C5:G33" headerRowCount="1" totalsRowCount="0" totalsRowShown="0">
  <x:tableColumns count="5">
    <x:tableColumn id="1" name="Control"/>
    <x:tableColumn id="2" name="Value"/>
    <x:tableColumn id="3" name="Unit"/>
    <x:tableColumn id="4" name="Role"/>
    <x:tableColumn id="5" name="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ArchitectureSummaryTable" displayName="ArchitectureSummaryTable" ref="C5:V9" headerRowCount="1" totalsRowCount="0" totalsRowShown="0">
  <x:tableColumns count="20">
    <x:tableColumn id="1" name="ID"/>
    <x:tableColumn id="2" name="Architecture"/>
    <x:tableColumn id="3" name="Design claim"/>
    <x:tableColumn id="4" name="Operational paths"/>
    <x:tableColumn id="5" name="Reserve paths"/>
    <x:tableColumn id="6" name="Distinct boundaries"/>
    <x:tableColumn id="7" name="Shared one-cut boundaries"/>
    <x:tableColumn id="8" name="Independence ratio"/>
    <x:tableColumn id="9" name="Minimum cut"/>
    <x:tableColumn id="10" name="Dry t/set"/>
    <x:tableColumn id="11" name="Chargeable t/set"/>
    <x:tableColumn id="12" name="Crew/set"/>
    <x:tableColumn id="13" name="Equipment $B/set"/>
    <x:tableColumn id="14" name="Service worlds passed"/>
    <x:tableColumn id="15" name="Service worlds"/>
    <x:tableColumn id="16" name="Correct behavior worlds"/>
    <x:tableColumn id="17" name="Required independence met"/>
    <x:tableColumn id="18" name="Evidence gates closed"/>
    <x:tableColumn id="19" name="Rendering"/>
    <x:tableColumn id="20" name="Strict admis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DependencyDomainTable" displayName="DependencyDomainTable" ref="C5:L53" headerRowCount="1" totalsRowCount="0" totalsRowShown="0">
  <x:tableColumns count="10">
    <x:tableColumn id="1" name="Architecture"/>
    <x:tableColumn id="2" name="Boundary no."/>
    <x:tableColumn id="3" name="Boundary"/>
    <x:tableColumn id="4" name="Path A domain"/>
    <x:tableColumn id="5" name="Path B domain"/>
    <x:tableColumn id="6" name="Reserve domain"/>
    <x:tableColumn id="7" name="A/B distinct"/>
    <x:tableColumn id="8" name="Reserve distinct"/>
    <x:tableColumn id="9" name="Evidence"/>
    <x:tableColumn id="10" name="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DependencySummaryTable" displayName="DependencySummaryTable" ref="N5:R9" headerRowCount="1" totalsRowCount="0" totalsRowShown="0">
  <x:tableColumns count="5">
    <x:tableColumn id="1" name="Architecture"/>
    <x:tableColumn id="2" name="Distinct A/B boundaries"/>
    <x:tableColumn id="3" name="Shared one-cut boundaries"/>
    <x:tableColumn id="4" name="Independence ratio"/>
    <x:tableColumn id="5" name="Minimum domains to remove floo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FailureWorldTable" displayName="FailureWorldTable" ref="C5:J22" headerRowCount="1" totalsRowCount="0" totalsRowShown="0">
  <x:tableColumns count="8">
    <x:tableColumn id="1" name="World"/>
    <x:tableColumn id="2" name="Condition"/>
    <x:tableColumn id="3" name="Boundary no."/>
    <x:tableColumn id="4" name="Logic"/>
    <x:tableColumn id="5" name="Required m³/day"/>
    <x:tableColumn id="6" name="Service bearing"/>
    <x:tableColumn id="7" name="Expected safe behavior"/>
    <x:tableColumn id="8" name="Challenge ty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FailureResultTable" displayName="FailureResultTable" ref="C25:V93" headerRowCount="1" totalsRowCount="0" totalsRowShown="0">
  <x:tableColumns count="20">
    <x:tableColumn id="1" name="Architecture"/>
    <x:tableColumn id="2" name="World"/>
    <x:tableColumn id="3" name="Boundary no."/>
    <x:tableColumn id="4" name="Logic"/>
    <x:tableColumn id="5" name="Required"/>
    <x:tableColumn id="6" name="Service bearing"/>
    <x:tableColumn id="7" name="A/B distinct"/>
    <x:tableColumn id="8" name="Reserve fraction"/>
    <x:tableColumn id="9" name="Path A live"/>
    <x:tableColumn id="10" name="Path B live"/>
    <x:tableColumn id="11" name="Reserve live"/>
    <x:tableColumn id="12" name="Delivered m³/day"/>
    <x:tableColumn id="13" name="Service"/>
    <x:tableColumn id="14" name="Safe behavior"/>
    <x:tableColumn id="15" name="Overall"/>
    <x:tableColumn id="16" name="Shared cuts"/>
    <x:tableColumn id="17" name="Minimum cut"/>
    <x:tableColumn id="18" name="Strict admission"/>
    <x:tableColumn id="19" name="Interpretation"/>
    <x:tableColumn id="20" name="Evid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" name="ComponentLibraryTable" displayName="ComponentLibraryTable" ref="C5:J17" headerRowCount="1" totalsRowCount="0" totalsRowShown="0">
  <x:tableColumns count="8">
    <x:tableColumn id="1" name="Component"/>
    <x:tableColumn id="2" name="Boundary"/>
    <x:tableColumn id="3" name="Dry t"/>
    <x:tableColumn id="4" name="Chargeable t"/>
    <x:tableColumn id="5" name="Crew"/>
    <x:tableColumn id="6" name="Equipment $B"/>
    <x:tableColumn id="7" name="Owner"/>
    <x:tableColumn id="8" name="Configuration 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3" name="FormationBillTable" displayName="FormationBillTable" ref="C20:R68" headerRowCount="1" totalsRowCount="0" totalsRowShown="0">
  <x:tableColumns count="16">
    <x:tableColumn id="1" name="Architecture"/>
    <x:tableColumn id="2" name="Component"/>
    <x:tableColumn id="3" name="Quantity"/>
    <x:tableColumn id="4" name="Dry t"/>
    <x:tableColumn id="5" name="Chargeable t"/>
    <x:tableColumn id="6" name="Crew"/>
    <x:tableColumn id="7" name="Equipment $B"/>
    <x:tableColumn id="8" name="Boundary instances"/>
    <x:tableColumn id="9" name="Source"/>
    <x:tableColumn id="10" name="Treatment"/>
    <x:tableColumn id="11" name="Carrier"/>
    <x:tableColumn id="12" name="Node"/>
    <x:tableColumn id="13" name="Power"/>
    <x:tableColumn id="14" name="Quality"/>
    <x:tableColumn id="15" name="Island"/>
    <x:tableColumn id="16" name="Reserve rol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ProgramComparatorTable" displayName="ProgramComparatorTable" ref="C5:P9" headerRowCount="1" totalsRowCount="0" totalsRowShown="0">
  <x:tableColumns count="14">
    <x:tableColumn id="1" name="Architecture"/>
    <x:tableColumn id="2" name="Equipment $B/set"/>
    <x:tableColumn id="3" name="Sets"/>
    <x:tableColumn id="4" name="Equipment $B"/>
    <x:tableColumn id="5" name="Node works $B/node"/>
    <x:tableColumn id="6" name="Nodes"/>
    <x:tableColumn id="7" name="Node works $B"/>
    <x:tableColumn id="8" name="Annual O&amp;S $B/set"/>
    <x:tableColumn id="9" name="25-year O&amp;S $B"/>
    <x:tableColumn id="10" name="RDT&amp;E + industrial $B"/>
    <x:tableColumn id="11" name="Total program $B"/>
    <x:tableColumn id="12" name="Delta to K1 $B"/>
    <x:tableColumn id="13" name="Service worlds passed"/>
    <x:tableColumn id="14" name="Cost per passing service world $B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SensitivityTable" displayName="SensitivityTable" ref="C13:I25" headerRowCount="1" totalsRowCount="0" totalsRowShown="0">
  <x:tableColumns count="7">
    <x:tableColumn id="1" name="Sensitivity"/>
    <x:tableColumn id="2" name="Case"/>
    <x:tableColumn id="3" name="Input"/>
    <x:tableColumn id="4" name="K1"/>
    <x:tableColumn id="5" name="K2"/>
    <x:tableColumn id="6" name="K3"/>
    <x:tableColumn id="7" name="K4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1" name="IndependenceTestTable" displayName="IndependenceTestTable" ref="C5:I25" headerRowCount="1" totalsRowCount="0" totalsRowShown="0">
  <x:tableColumns count="7">
    <x:tableColumn id="1" name="Gate"/>
    <x:tableColumn id="2" name="Test"/>
    <x:tableColumn id="3" name="Required observation"/>
    <x:tableColumn id="4" name="Owner"/>
    <x:tableColumn id="5" name="Evidence state"/>
    <x:tableColumn id="6" name="Rendering relevance"/>
    <x:tableColumn id="7" name="Acquisition consequen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2" name="EvidenceLineageTable" displayName="EvidenceLineageTable" ref="C5:J13" headerRowCount="1" totalsRowCount="0" totalsRowShown="0">
  <x:tableColumns count="8">
    <x:tableColumn id="1" name="ID"/>
    <x:tableColumn id="2" name="Source"/>
    <x:tableColumn id="3" name="Type"/>
    <x:tableColumn id="4" name="Inherited claim"/>
    <x:tableColumn id="5" name="Use in this model"/>
    <x:tableColumn id="6" name="Boundary"/>
    <x:tableColumn id="7" name="State"/>
    <x:tableColumn id="8" name="Limitat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3" name="IntegrityCheckTable" displayName="IntegrityCheckTable" ref="C5:H65" headerRowCount="1" totalsRowCount="0" totalsRowShown="0">
  <x:tableColumns count="6">
    <x:tableColumn id="1" name="Check"/>
    <x:tableColumn id="2" name="Observed"/>
    <x:tableColumn id="3" name="Expected"/>
    <x:tableColumn id="4" name="Difference"/>
    <x:tableColumn id="5" name="Status"/>
    <x:tableColumn id="6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5abf09776945c2" /><Relationship Type="http://schemas.openxmlformats.org/officeDocument/2006/relationships/table" Target="/xl/tables/table1.xml" Id="Rd701359bb6c34745" /><Relationship Type="http://schemas.openxmlformats.org/officeDocument/2006/relationships/table" Target="/xl/tables/table2.xml" Id="Rab3a6b4f3f0b4503" /><Relationship Type="http://schemas.openxmlformats.org/officeDocument/2006/relationships/table" Target="/xl/tables/table3.xml" Id="R59eb186be0c040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94560b2b078b46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95fe858a0c1c4d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d0cf6f9cf95c4e8d" /><Relationship Type="http://schemas.openxmlformats.org/officeDocument/2006/relationships/table" Target="/xl/tables/table7.xml" Id="R687c9cad1c6842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31b497d5c7364b0d" /><Relationship Type="http://schemas.openxmlformats.org/officeDocument/2006/relationships/table" Target="/xl/tables/table9.xml" Id="R6cd38f7c43e843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c0dcd205905c42e1" /><Relationship Type="http://schemas.openxmlformats.org/officeDocument/2006/relationships/table" Target="/xl/tables/table11.xml" Id="R02cd0d3f982745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2.xml" Id="R2fe0ed895f074cd9" /><Relationship Type="http://schemas.openxmlformats.org/officeDocument/2006/relationships/table" Target="/xl/tables/table13.xml" Id="R2dab488344fc4c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4.xml" Id="R2856d41b69ba46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5.xml" Id="Rbc5a85145af946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6.xml" Id="R39f3b295c0c44f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1" hidden="0" customWidth="1"/>
    <x:col min="4" max="4" width="18" hidden="0" customWidth="1"/>
    <x:col min="5" max="5" width="23" hidden="0" customWidth="1"/>
    <x:col min="6" max="6" width="21" hidden="0" customWidth="1"/>
    <x:col min="7" max="7" width="16" hidden="0" customWidth="1"/>
    <x:col min="8" max="8" width="24" hidden="0" customWidth="1"/>
    <x:col min="9" max="9" width="3" hidden="0" customWidth="1"/>
    <x:col min="10" max="10" width="31" hidden="0" customWidth="1"/>
    <x:col min="11" max="11" width="2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2">
      <x:c r="C2" s="27" t="str">
        <x:v>A second source is not a second service chain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C3" s="29" t="str">
        <x:v>Pass 70 decision view — independence is an end-to-end graph property, and national depth requires a third generated cell rather than two assets committed to one incident.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</x:row>
    <x:row r="4"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</x:row>
    <x:row r="5">
      <x:c r="C5" s="9" t="str">
        <x:v>Architecture</x:v>
      </x:c>
      <x:c r="D5" s="9" t="str">
        <x:v>Distinct boundaries</x:v>
      </x:c>
      <x:c r="E5" s="9" t="str">
        <x:v>Shared one-cut boundaries</x:v>
      </x:c>
      <x:c r="F5" s="9" t="str">
        <x:v>Service worlds passed</x:v>
      </x:c>
      <x:c r="G5" s="9" t="str">
        <x:v>Dry t/set</x:v>
      </x:c>
      <x:c r="H5" s="9" t="str">
        <x:v>25-year program $B</x:v>
      </x:c>
      <x:c r="I5" s="30"/>
      <x:c r="J5" s="31" t="str">
        <x:v>Architecture</x:v>
      </x:c>
      <x:c r="K5" s="31" t="str">
        <x:v>Service worlds passed</x:v>
      </x:c>
      <x:c r="L5" s="30"/>
      <x:c r="M5" s="30"/>
      <x:c r="N5" s="30"/>
      <x:c r="O5" s="30"/>
      <x:c r="P5" s="30"/>
    </x:row>
    <x:row r="6" ht="38" customHeight="1">
      <x:c r="C6" s="17" t="str">
        <x:f>'02 Architectures'!$C6&amp;" — "&amp;'02 Architectures'!$D6</x:f>
        <x:v>K1 — Source diversity only</x:v>
      </x:c>
      <x:c r="D6" s="32" t="n">
        <x:f>'02 Architectures'!$H6</x:f>
        <x:v>2</x:v>
      </x:c>
      <x:c r="E6" s="32" t="n">
        <x:f>'02 Architectures'!$I6</x:f>
        <x:v>10</x:v>
      </x:c>
      <x:c r="F6" s="32" t="n">
        <x:f>'02 Architectures'!$P6</x:f>
        <x:v>4</x:v>
      </x:c>
      <x:c r="G6" s="32" t="n">
        <x:f>'02 Architectures'!$L6</x:f>
        <x:v>4880</x:v>
      </x:c>
      <x:c r="H6" s="33" t="n">
        <x:f>'06 Program'!$M6</x:f>
        <x:v>283.52</x:v>
      </x:c>
      <x:c r="I6" s="30"/>
      <x:c r="J6" s="31" t="str">
        <x:f>C6</x:f>
        <x:v>K1 — Source diversity only</x:v>
      </x:c>
      <x:c r="K6" s="31" t="n">
        <x:f>F6</x:f>
        <x:v>4</x:v>
      </x:c>
      <x:c r="L6" s="30"/>
      <x:c r="M6" s="30"/>
      <x:c r="N6" s="30"/>
      <x:c r="O6" s="30"/>
      <x:c r="P6" s="30"/>
    </x:row>
    <x:row r="7" ht="38" customHeight="1">
      <x:c r="C7" s="17" t="str">
        <x:f>'02 Architectures'!$C7&amp;" — "&amp;'02 Architectures'!$D7</x:f>
        <x:v>K2 — Split deployment</x:v>
      </x:c>
      <x:c r="D7" s="32" t="n">
        <x:f>'02 Architectures'!$H7</x:f>
        <x:v>4</x:v>
      </x:c>
      <x:c r="E7" s="32" t="n">
        <x:f>'02 Architectures'!$I7</x:f>
        <x:v>8</x:v>
      </x:c>
      <x:c r="F7" s="32" t="n">
        <x:f>'02 Architectures'!$P7</x:f>
        <x:v>6</x:v>
      </x:c>
      <x:c r="G7" s="32" t="n">
        <x:f>'02 Architectures'!$L7</x:f>
        <x:v>5310</x:v>
      </x:c>
      <x:c r="H7" s="33" t="n">
        <x:f>'06 Program'!$M7</x:f>
        <x:v>317.52</x:v>
      </x:c>
      <x:c r="I7" s="30"/>
      <x:c r="J7" s="31" t="str">
        <x:f>C7</x:f>
        <x:v>K2 — Split deployment</x:v>
      </x:c>
      <x:c r="K7" s="31" t="n">
        <x:f>F7</x:f>
        <x:v>6</x:v>
      </x:c>
      <x:c r="L7" s="30"/>
      <x:c r="M7" s="30"/>
      <x:c r="N7" s="30"/>
      <x:c r="O7" s="30"/>
      <x:c r="P7" s="30"/>
    </x:row>
    <x:row r="8" ht="38" customHeight="1">
      <x:c r="C8" s="17" t="str">
        <x:f>'02 Architectures'!$C8&amp;" — "&amp;'02 Architectures'!$D8</x:f>
        <x:v>K3 — Paired service chains</x:v>
      </x:c>
      <x:c r="D8" s="32" t="n">
        <x:f>'02 Architectures'!$H8</x:f>
        <x:v>9</x:v>
      </x:c>
      <x:c r="E8" s="32" t="n">
        <x:f>'02 Architectures'!$I8</x:f>
        <x:v>3</x:v>
      </x:c>
      <x:c r="F8" s="32" t="n">
        <x:f>'02 Architectures'!$P8</x:f>
        <x:v>11</x:v>
      </x:c>
      <x:c r="G8" s="32" t="n">
        <x:f>'02 Architectures'!$L8</x:f>
        <x:v>5830</x:v>
      </x:c>
      <x:c r="H8" s="33" t="n">
        <x:f>'06 Program'!$M8</x:f>
        <x:v>380.24</x:v>
      </x:c>
      <x:c r="I8" s="30"/>
      <x:c r="J8" s="31" t="str">
        <x:f>C8</x:f>
        <x:v>K3 — Paired service chains</x:v>
      </x:c>
      <x:c r="K8" s="31" t="n">
        <x:f>F8</x:f>
        <x:v>11</x:v>
      </x:c>
      <x:c r="L8" s="30"/>
      <x:c r="M8" s="30"/>
      <x:c r="N8" s="30"/>
      <x:c r="O8" s="30"/>
      <x:c r="P8" s="30"/>
    </x:row>
    <x:row r="9" ht="38" customHeight="1">
      <x:c r="C9" s="17" t="str">
        <x:f>'02 Architectures'!$C9&amp;" — "&amp;'02 Architectures'!$D9</x:f>
        <x:v>K4 — Cellular force depth</x:v>
      </x:c>
      <x:c r="D9" s="32" t="n">
        <x:f>'02 Architectures'!$H9</x:f>
        <x:v>12</x:v>
      </x:c>
      <x:c r="E9" s="32" t="n">
        <x:f>'02 Architectures'!$I9</x:f>
        <x:v>0</x:v>
      </x:c>
      <x:c r="F9" s="32" t="n">
        <x:f>'02 Architectures'!$P9</x:f>
        <x:v>16</x:v>
      </x:c>
      <x:c r="G9" s="32" t="n">
        <x:f>'02 Architectures'!$L9</x:f>
        <x:v>10090</x:v>
      </x:c>
      <x:c r="H9" s="33" t="n">
        <x:f>'06 Program'!$M9</x:f>
        <x:v>599.7600000000001</x:v>
      </x:c>
      <x:c r="I9" s="30"/>
      <x:c r="J9" s="31" t="str">
        <x:f>C9</x:f>
        <x:v>K4 — Cellular force depth</x:v>
      </x:c>
      <x:c r="K9" s="31" t="n">
        <x:f>F9</x:f>
        <x:v>16</x:v>
      </x:c>
      <x:c r="L9" s="30"/>
      <x:c r="M9" s="30"/>
      <x:c r="N9" s="30"/>
      <x:c r="O9" s="30"/>
      <x:c r="P9" s="30"/>
    </x:row>
    <x:row r="10"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</x:row>
    <x:row r="11"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</x:row>
    <x:row r="12">
      <x:c r="C12" s="9" t="str">
        <x:v>Decision</x:v>
      </x:c>
      <x:c r="D12" s="9" t="str">
        <x:v>Finding</x:v>
      </x:c>
      <x:c r="E12" s="9" t="str">
        <x:v>Model evidence</x:v>
      </x:c>
      <x:c r="F12" s="9" t="str">
        <x:v>Acquisition implication</x:v>
      </x:c>
      <x:c r="G12" s="9" t="str">
        <x:v>Status</x:v>
      </x:c>
      <x:c r="H12" s="9" t="str">
        <x:v>Next proof</x:v>
      </x:c>
      <x:c r="I12" s="30"/>
      <x:c r="J12" s="30"/>
      <x:c r="K12" s="30"/>
      <x:c r="L12" s="30"/>
      <x:c r="M12" s="30"/>
      <x:c r="N12" s="30"/>
      <x:c r="O12" s="30"/>
      <x:c r="P12" s="30"/>
    </x:row>
    <x:row r="13" ht="78" customHeight="1">
      <x:c r="C13" s="17" t="str">
        <x:v>Source diversity</x:v>
      </x:c>
      <x:c r="D13" s="17" t="str">
        <x:v>K1 has two independent source and treatment domains but ten shared one-cut boundaries.</x:v>
      </x:c>
      <x:c r="E13" s="17" t="str">
        <x:v>4 of 16 service worlds</x:v>
      </x:c>
      <x:c r="F13" s="17" t="str">
        <x:v>Do not procure source count as resilience.</x:v>
      </x:c>
      <x:c r="G13" s="17" t="str">
        <x:v>FAIL</x:v>
      </x:c>
      <x:c r="H13" s="17" t="str">
        <x:v>Cut carrier, node and receiver common modes</x:v>
      </x:c>
      <x:c r="I13" s="30"/>
      <x:c r="J13" s="30"/>
      <x:c r="K13" s="30"/>
      <x:c r="L13" s="30"/>
      <x:c r="M13" s="30"/>
      <x:c r="N13" s="30"/>
      <x:c r="O13" s="30"/>
      <x:c r="P13" s="30"/>
    </x:row>
    <x:row r="14" ht="78" customHeight="1">
      <x:c r="C14" s="17" t="str">
        <x:v>Split deployment</x:v>
      </x:c>
      <x:c r="D14" s="17" t="str">
        <x:v>K2 separates lift and landing but common power, quality, island, material, crew, depot, control and base remain.</x:v>
      </x:c>
      <x:c r="E14" s="17" t="str">
        <x:v>6 of 16 service worlds</x:v>
      </x:c>
      <x:c r="F14" s="17" t="str">
        <x:v>A second convoy is not a second service chain.</x:v>
      </x:c>
      <x:c r="G14" s="17" t="str">
        <x:v>FAIL</x:v>
      </x:c>
      <x:c r="H14" s="17" t="str">
        <x:v>Black-start, release and island cuts</x:v>
      </x:c>
      <x:c r="I14" s="30"/>
      <x:c r="J14" s="30"/>
      <x:c r="K14" s="30"/>
      <x:c r="L14" s="30"/>
      <x:c r="M14" s="30"/>
      <x:c r="N14" s="30"/>
      <x:c r="O14" s="30"/>
      <x:c r="P14" s="30"/>
    </x:row>
    <x:row r="15" ht="78" customHeight="1">
      <x:c r="C15" s="17" t="str">
        <x:v>Paired chains</x:v>
      </x:c>
      <x:c r="D15" s="17" t="str">
        <x:v>K3 removes operational common modes but shared material ancestry, reset depot and mobilization base can still remove both.</x:v>
      </x:c>
      <x:c r="E15" s="17" t="str">
        <x:v>11 of 16 service worlds</x:v>
      </x:c>
      <x:c r="F15" s="17" t="str">
        <x:v>Industrial and force-generation diversity are configuration items.</x:v>
      </x:c>
      <x:c r="G15" s="17" t="str">
        <x:v>FAIL</x:v>
      </x:c>
      <x:c r="H15" s="17" t="str">
        <x:v>Lot recall, depot contamination and base denial</x:v>
      </x:c>
      <x:c r="I15" s="30"/>
      <x:c r="J15" s="30"/>
      <x:c r="K15" s="30"/>
      <x:c r="L15" s="30"/>
      <x:c r="M15" s="30"/>
      <x:c r="N15" s="30"/>
      <x:c r="O15" s="30"/>
      <x:c r="P15" s="30"/>
    </x:row>
    <x:row r="16" ht="78" customHeight="1">
      <x:c r="C16" s="17" t="str">
        <x:v>Cellular depth</x:v>
      </x:c>
      <x:c r="D16" s="17" t="str">
        <x:v>K4 carries three complete cells and no registered paired one-cut domain.</x:v>
      </x:c>
      <x:c r="E16" s="17" t="str">
        <x:v>16 of 16 service worlds; 17 of 17 correct behaviors</x:v>
      </x:c>
      <x:c r="F16" s="17" t="str">
        <x:v>Advance as the upper proving comparator, not as a selected fleet.</x:v>
      </x:c>
      <x:c r="G16" s="17" t="str">
        <x:v>DECLARED</x:v>
      </x:c>
      <x:c r="H16" s="17" t="str">
        <x:v>Twenty representative gates</x:v>
      </x:c>
      <x:c r="I16" s="30"/>
      <x:c r="J16" s="30"/>
      <x:c r="K16" s="30"/>
      <x:c r="L16" s="30"/>
      <x:c r="M16" s="30"/>
      <x:c r="N16" s="30"/>
      <x:c r="O16" s="30"/>
      <x:c r="P16" s="30"/>
    </x:row>
    <x:row r="17" ht="78" customHeight="1">
      <x:c r="C17" s="17" t="str">
        <x:v>Program consequence</x:v>
      </x:c>
      <x:c r="D17" s="17" t="str">
        <x:v>Closing every boundary raises the comparator from K1's shared chain to a substantially larger maintained force.</x:v>
      </x:c>
      <x:c r="E17" s="17" t="str">
        <x:v>Mass and cost respond to live controls</x:v>
      </x:c>
      <x:c r="F17" s="17" t="str">
        <x:v>Fund independence as industrial capacity, crews, depots and bases.</x:v>
      </x:c>
      <x:c r="G17" s="17" t="str">
        <x:v>DECLARED</x:v>
      </x:c>
      <x:c r="H17" s="17" t="str">
        <x:v>Configuration-locked program learning</x:v>
      </x:c>
      <x:c r="I17" s="30"/>
      <x:c r="J17" s="30"/>
      <x:c r="K17" s="30"/>
      <x:c r="L17" s="30"/>
      <x:c r="M17" s="30"/>
      <x:c r="N17" s="30"/>
      <x:c r="O17" s="30"/>
      <x:c r="P17" s="30"/>
    </x:row>
    <x:row r="18" ht="78" customHeight="1">
      <x:c r="C18" s="17" t="str">
        <x:v>Rendering</x:v>
      </x:c>
      <x:c r="D18" s="17" t="str">
        <x:v>All architecture form remains premature.</x:v>
      </x:c>
      <x:c r="E18" s="17" t="str">
        <x:v>0 of 20 gates closed</x:v>
      </x:c>
      <x:c r="F18" s="17" t="str">
        <x:v>Continue requirements work before depicting vehicles.</x:v>
      </x:c>
      <x:c r="G18" s="17" t="str">
        <x:v>BLOCKED</x:v>
      </x:c>
      <x:c r="H18" s="17" t="str">
        <x:v>Representative end-to-end trial</x:v>
      </x:c>
      <x:c r="I18" s="30"/>
      <x:c r="J18" s="30"/>
      <x:c r="K18" s="30"/>
      <x:c r="L18" s="30"/>
      <x:c r="M18" s="30"/>
      <x:c r="N18" s="30"/>
      <x:c r="O18" s="30"/>
      <x:c r="P18" s="30"/>
    </x:row>
    <x:row r="19"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</x:row>
    <x:row r="20"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</x:row>
    <x:row r="21">
      <x:c r="C21" s="9" t="str">
        <x:v>Boundary</x:v>
      </x:c>
      <x:c r="D21" s="9" t="str">
        <x:v>K1</x:v>
      </x:c>
      <x:c r="E21" s="9" t="str">
        <x:v>K2</x:v>
      </x:c>
      <x:c r="F21" s="9" t="str">
        <x:v>K3</x:v>
      </x:c>
      <x:c r="G21" s="9" t="str">
        <x:v>K4</x:v>
      </x:c>
      <x:c r="H21" s="9" t="str">
        <x:v>Meaning</x:v>
      </x:c>
      <x:c r="I21" s="30"/>
      <x:c r="J21" s="30"/>
      <x:c r="K21" s="30"/>
      <x:c r="L21" s="30"/>
      <x:c r="M21" s="30"/>
      <x:c r="N21" s="30"/>
      <x:c r="O21" s="30"/>
      <x:c r="P21" s="30"/>
    </x:row>
    <x:row r="22" ht="31" customHeight="1">
      <x:c r="C22" s="17" t="str">
        <x:v>Source</x:v>
      </x:c>
      <x:c r="D22" s="17" t="str">
        <x:f>IF(SUMIFS('03 Dependencies'!$I$6:$I$53,'03 Dependencies'!$C$6:$C$53,"K1",'03 Dependencies'!$D$6:$D$53,1)=1,"DISTINCT","COMMON")</x:f>
        <x:v>DISTINCT</x:v>
      </x:c>
      <x:c r="E22" s="17" t="str">
        <x:f>IF(SUMIFS('03 Dependencies'!$I$6:$I$53,'03 Dependencies'!$C$6:$C$53,"K2",'03 Dependencies'!$D$6:$D$53,1)=1,"DISTINCT","COMMON")</x:f>
        <x:v>DISTINCT</x:v>
      </x:c>
      <x:c r="F22" s="17" t="str">
        <x:f>IF(SUMIFS('03 Dependencies'!$I$6:$I$53,'03 Dependencies'!$C$6:$C$53,"K3",'03 Dependencies'!$D$6:$D$53,1)=1,"DISTINCT","COMMON")</x:f>
        <x:v>DISTINCT</x:v>
      </x:c>
      <x:c r="G22" s="17" t="str">
        <x:f>IF(SUMIFS('03 Dependencies'!$I$6:$I$53,'03 Dependencies'!$C$6:$C$53,"K4",'03 Dependencies'!$D$6:$D$53,1)=1,"DISTINCT","COMMON")</x:f>
        <x:v>DISTINCT</x:v>
      </x:c>
      <x:c r="H22" s="17" t="str">
        <x:v>Physical production boundary</x:v>
      </x:c>
      <x:c r="I22" s="30"/>
      <x:c r="J22" s="30"/>
      <x:c r="K22" s="30"/>
      <x:c r="L22" s="30"/>
      <x:c r="M22" s="30"/>
      <x:c r="N22" s="30"/>
      <x:c r="O22" s="30"/>
      <x:c r="P22" s="30"/>
    </x:row>
    <x:row r="23" ht="31" customHeight="1">
      <x:c r="C23" s="17" t="str">
        <x:v>Treatment</x:v>
      </x:c>
      <x:c r="D23" s="17" t="str">
        <x:f>IF(SUMIFS('03 Dependencies'!$I$6:$I$53,'03 Dependencies'!$C$6:$C$53,"K1",'03 Dependencies'!$D$6:$D$53,2)=1,"DISTINCT","COMMON")</x:f>
        <x:v>DISTINCT</x:v>
      </x:c>
      <x:c r="E23" s="17" t="str">
        <x:f>IF(SUMIFS('03 Dependencies'!$I$6:$I$53,'03 Dependencies'!$C$6:$C$53,"K2",'03 Dependencies'!$D$6:$D$53,2)=1,"DISTINCT","COMMON")</x:f>
        <x:v>DISTINCT</x:v>
      </x:c>
      <x:c r="F23" s="17" t="str">
        <x:f>IF(SUMIFS('03 Dependencies'!$I$6:$I$53,'03 Dependencies'!$C$6:$C$53,"K3",'03 Dependencies'!$D$6:$D$53,2)=1,"DISTINCT","COMMON")</x:f>
        <x:v>DISTINCT</x:v>
      </x:c>
      <x:c r="G23" s="17" t="str">
        <x:f>IF(SUMIFS('03 Dependencies'!$I$6:$I$53,'03 Dependencies'!$C$6:$C$53,"K4",'03 Dependencies'!$D$6:$D$53,2)=1,"DISTINCT","COMMON")</x:f>
        <x:v>DISTINCT</x:v>
      </x:c>
      <x:c r="H23" s="17" t="str">
        <x:v>Physical production boundary</x:v>
      </x:c>
      <x:c r="I23" s="30"/>
      <x:c r="J23" s="30"/>
      <x:c r="K23" s="30"/>
      <x:c r="L23" s="30"/>
      <x:c r="M23" s="30"/>
      <x:c r="N23" s="30"/>
      <x:c r="O23" s="30"/>
      <x:c r="P23" s="30"/>
    </x:row>
    <x:row r="24" ht="31" customHeight="1">
      <x:c r="C24" s="17" t="str">
        <x:v>Carrier / corridor</x:v>
      </x:c>
      <x:c r="D24" s="17" t="str">
        <x:f>IF(SUMIFS('03 Dependencies'!$I$6:$I$53,'03 Dependencies'!$C$6:$C$53,"K1",'03 Dependencies'!$D$6:$D$53,3)=1,"DISTINCT","COMMON")</x:f>
        <x:v>COMMON</x:v>
      </x:c>
      <x:c r="E24" s="17" t="str">
        <x:f>IF(SUMIFS('03 Dependencies'!$I$6:$I$53,'03 Dependencies'!$C$6:$C$53,"K2",'03 Dependencies'!$D$6:$D$53,3)=1,"DISTINCT","COMMON")</x:f>
        <x:v>DISTINCT</x:v>
      </x:c>
      <x:c r="F24" s="17" t="str">
        <x:f>IF(SUMIFS('03 Dependencies'!$I$6:$I$53,'03 Dependencies'!$C$6:$C$53,"K3",'03 Dependencies'!$D$6:$D$53,3)=1,"DISTINCT","COMMON")</x:f>
        <x:v>DISTINCT</x:v>
      </x:c>
      <x:c r="G24" s="17" t="str">
        <x:f>IF(SUMIFS('03 Dependencies'!$I$6:$I$53,'03 Dependencies'!$C$6:$C$53,"K4",'03 Dependencies'!$D$6:$D$53,3)=1,"DISTINCT","COMMON")</x:f>
        <x:v>DISTINCT</x:v>
      </x:c>
      <x:c r="H24" s="17" t="str">
        <x:v>Theater operating boundary</x:v>
      </x:c>
      <x:c r="I24" s="30"/>
      <x:c r="J24" s="30"/>
      <x:c r="K24" s="30"/>
      <x:c r="L24" s="30"/>
      <x:c r="M24" s="30"/>
      <x:c r="N24" s="30"/>
      <x:c r="O24" s="30"/>
      <x:c r="P24" s="30"/>
    </x:row>
    <x:row r="25" ht="31" customHeight="1">
      <x:c r="C25" s="17" t="str">
        <x:v>Receiving node</x:v>
      </x:c>
      <x:c r="D25" s="17" t="str">
        <x:f>IF(SUMIFS('03 Dependencies'!$I$6:$I$53,'03 Dependencies'!$C$6:$C$53,"K1",'03 Dependencies'!$D$6:$D$53,4)=1,"DISTINCT","COMMON")</x:f>
        <x:v>COMMON</x:v>
      </x:c>
      <x:c r="E25" s="17" t="str">
        <x:f>IF(SUMIFS('03 Dependencies'!$I$6:$I$53,'03 Dependencies'!$C$6:$C$53,"K2",'03 Dependencies'!$D$6:$D$53,4)=1,"DISTINCT","COMMON")</x:f>
        <x:v>DISTINCT</x:v>
      </x:c>
      <x:c r="F25" s="17" t="str">
        <x:f>IF(SUMIFS('03 Dependencies'!$I$6:$I$53,'03 Dependencies'!$C$6:$C$53,"K3",'03 Dependencies'!$D$6:$D$53,4)=1,"DISTINCT","COMMON")</x:f>
        <x:v>DISTINCT</x:v>
      </x:c>
      <x:c r="G25" s="17" t="str">
        <x:f>IF(SUMIFS('03 Dependencies'!$I$6:$I$53,'03 Dependencies'!$C$6:$C$53,"K4",'03 Dependencies'!$D$6:$D$53,4)=1,"DISTINCT","COMMON")</x:f>
        <x:v>DISTINCT</x:v>
      </x:c>
      <x:c r="H25" s="17" t="str">
        <x:v>Theater operating boundary</x:v>
      </x:c>
      <x:c r="I25" s="30"/>
      <x:c r="J25" s="30"/>
      <x:c r="K25" s="30"/>
      <x:c r="L25" s="30"/>
      <x:c r="M25" s="30"/>
      <x:c r="N25" s="30"/>
      <x:c r="O25" s="30"/>
      <x:c r="P25" s="30"/>
    </x:row>
    <x:row r="26" ht="31" customHeight="1">
      <x:c r="C26" s="17" t="str">
        <x:v>Power</x:v>
      </x:c>
      <x:c r="D26" s="17" t="str">
        <x:f>IF(SUMIFS('03 Dependencies'!$I$6:$I$53,'03 Dependencies'!$C$6:$C$53,"K1",'03 Dependencies'!$D$6:$D$53,5)=1,"DISTINCT","COMMON")</x:f>
        <x:v>COMMON</x:v>
      </x:c>
      <x:c r="E26" s="17" t="str">
        <x:f>IF(SUMIFS('03 Dependencies'!$I$6:$I$53,'03 Dependencies'!$C$6:$C$53,"K2",'03 Dependencies'!$D$6:$D$53,5)=1,"DISTINCT","COMMON")</x:f>
        <x:v>COMMON</x:v>
      </x:c>
      <x:c r="F26" s="17" t="str">
        <x:f>IF(SUMIFS('03 Dependencies'!$I$6:$I$53,'03 Dependencies'!$C$6:$C$53,"K3",'03 Dependencies'!$D$6:$D$53,5)=1,"DISTINCT","COMMON")</x:f>
        <x:v>DISTINCT</x:v>
      </x:c>
      <x:c r="G26" s="17" t="str">
        <x:f>IF(SUMIFS('03 Dependencies'!$I$6:$I$53,'03 Dependencies'!$C$6:$C$53,"K4",'03 Dependencies'!$D$6:$D$53,5)=1,"DISTINCT","COMMON")</x:f>
        <x:v>DISTINCT</x:v>
      </x:c>
      <x:c r="H26" s="17" t="str">
        <x:v>Theater operating boundary</x:v>
      </x:c>
      <x:c r="I26" s="30"/>
      <x:c r="J26" s="30"/>
      <x:c r="K26" s="30"/>
      <x:c r="L26" s="30"/>
      <x:c r="M26" s="30"/>
      <x:c r="N26" s="30"/>
      <x:c r="O26" s="30"/>
      <x:c r="P26" s="30"/>
    </x:row>
    <x:row r="27" ht="31" customHeight="1">
      <x:c r="C27" s="17" t="str">
        <x:v>Quality / release</x:v>
      </x:c>
      <x:c r="D27" s="17" t="str">
        <x:f>IF(SUMIFS('03 Dependencies'!$I$6:$I$53,'03 Dependencies'!$C$6:$C$53,"K1",'03 Dependencies'!$D$6:$D$53,6)=1,"DISTINCT","COMMON")</x:f>
        <x:v>COMMON</x:v>
      </x:c>
      <x:c r="E27" s="17" t="str">
        <x:f>IF(SUMIFS('03 Dependencies'!$I$6:$I$53,'03 Dependencies'!$C$6:$C$53,"K2",'03 Dependencies'!$D$6:$D$53,6)=1,"DISTINCT","COMMON")</x:f>
        <x:v>COMMON</x:v>
      </x:c>
      <x:c r="F27" s="17" t="str">
        <x:f>IF(SUMIFS('03 Dependencies'!$I$6:$I$53,'03 Dependencies'!$C$6:$C$53,"K3",'03 Dependencies'!$D$6:$D$53,6)=1,"DISTINCT","COMMON")</x:f>
        <x:v>DISTINCT</x:v>
      </x:c>
      <x:c r="G27" s="17" t="str">
        <x:f>IF(SUMIFS('03 Dependencies'!$I$6:$I$53,'03 Dependencies'!$C$6:$C$53,"K4",'03 Dependencies'!$D$6:$D$53,6)=1,"DISTINCT","COMMON")</x:f>
        <x:v>DISTINCT</x:v>
      </x:c>
      <x:c r="H27" s="17" t="str">
        <x:v>Theater operating boundary</x:v>
      </x:c>
      <x:c r="I27" s="30"/>
      <x:c r="J27" s="30"/>
      <x:c r="K27" s="30"/>
      <x:c r="L27" s="30"/>
      <x:c r="M27" s="30"/>
      <x:c r="N27" s="30"/>
      <x:c r="O27" s="30"/>
      <x:c r="P27" s="30"/>
    </x:row>
    <x:row r="28" ht="31" customHeight="1">
      <x:c r="C28" s="17" t="str">
        <x:v>Receiver island</x:v>
      </x:c>
      <x:c r="D28" s="17" t="str">
        <x:f>IF(SUMIFS('03 Dependencies'!$I$6:$I$53,'03 Dependencies'!$C$6:$C$53,"K1",'03 Dependencies'!$D$6:$D$53,7)=1,"DISTINCT","COMMON")</x:f>
        <x:v>COMMON</x:v>
      </x:c>
      <x:c r="E28" s="17" t="str">
        <x:f>IF(SUMIFS('03 Dependencies'!$I$6:$I$53,'03 Dependencies'!$C$6:$C$53,"K2",'03 Dependencies'!$D$6:$D$53,7)=1,"DISTINCT","COMMON")</x:f>
        <x:v>COMMON</x:v>
      </x:c>
      <x:c r="F28" s="17" t="str">
        <x:f>IF(SUMIFS('03 Dependencies'!$I$6:$I$53,'03 Dependencies'!$C$6:$C$53,"K3",'03 Dependencies'!$D$6:$D$53,7)=1,"DISTINCT","COMMON")</x:f>
        <x:v>DISTINCT</x:v>
      </x:c>
      <x:c r="G28" s="17" t="str">
        <x:f>IF(SUMIFS('03 Dependencies'!$I$6:$I$53,'03 Dependencies'!$C$6:$C$53,"K4",'03 Dependencies'!$D$6:$D$53,7)=1,"DISTINCT","COMMON")</x:f>
        <x:v>DISTINCT</x:v>
      </x:c>
      <x:c r="H28" s="17" t="str">
        <x:v>Theater operating boundary</x:v>
      </x:c>
      <x:c r="I28" s="30"/>
      <x:c r="J28" s="30"/>
      <x:c r="K28" s="30"/>
      <x:c r="L28" s="30"/>
      <x:c r="M28" s="30"/>
      <x:c r="N28" s="30"/>
      <x:c r="O28" s="30"/>
      <x:c r="P28" s="30"/>
    </x:row>
    <x:row r="29" ht="31" customHeight="1">
      <x:c r="C29" s="17" t="str">
        <x:v>Process-material lot</x:v>
      </x:c>
      <x:c r="D29" s="17" t="str">
        <x:f>IF(SUMIFS('03 Dependencies'!$I$6:$I$53,'03 Dependencies'!$C$6:$C$53,"K1",'03 Dependencies'!$D$6:$D$53,8)=1,"DISTINCT","COMMON")</x:f>
        <x:v>COMMON</x:v>
      </x:c>
      <x:c r="E29" s="17" t="str">
        <x:f>IF(SUMIFS('03 Dependencies'!$I$6:$I$53,'03 Dependencies'!$C$6:$C$53,"K2",'03 Dependencies'!$D$6:$D$53,8)=1,"DISTINCT","COMMON")</x:f>
        <x:v>COMMON</x:v>
      </x:c>
      <x:c r="F29" s="17" t="str">
        <x:f>IF(SUMIFS('03 Dependencies'!$I$6:$I$53,'03 Dependencies'!$C$6:$C$53,"K3",'03 Dependencies'!$D$6:$D$53,8)=1,"DISTINCT","COMMON")</x:f>
        <x:v>COMMON</x:v>
      </x:c>
      <x:c r="G29" s="17" t="str">
        <x:f>IF(SUMIFS('03 Dependencies'!$I$6:$I$53,'03 Dependencies'!$C$6:$C$53,"K4",'03 Dependencies'!$D$6:$D$53,8)=1,"DISTINCT","COMMON")</x:f>
        <x:v>DISTINCT</x:v>
      </x:c>
      <x:c r="H29" s="17" t="str">
        <x:v>Industrial, personnel or force-generation boundary</x:v>
      </x:c>
      <x:c r="I29" s="30"/>
      <x:c r="J29" s="30"/>
      <x:c r="K29" s="30"/>
      <x:c r="L29" s="30"/>
      <x:c r="M29" s="30"/>
      <x:c r="N29" s="30"/>
      <x:c r="O29" s="30"/>
      <x:c r="P29" s="30"/>
    </x:row>
    <x:row r="30" ht="31" customHeight="1">
      <x:c r="C30" s="17" t="str">
        <x:v>Crew cohort</x:v>
      </x:c>
      <x:c r="D30" s="17" t="str">
        <x:f>IF(SUMIFS('03 Dependencies'!$I$6:$I$53,'03 Dependencies'!$C$6:$C$53,"K1",'03 Dependencies'!$D$6:$D$53,9)=1,"DISTINCT","COMMON")</x:f>
        <x:v>COMMON</x:v>
      </x:c>
      <x:c r="E30" s="17" t="str">
        <x:f>IF(SUMIFS('03 Dependencies'!$I$6:$I$53,'03 Dependencies'!$C$6:$C$53,"K2",'03 Dependencies'!$D$6:$D$53,9)=1,"DISTINCT","COMMON")</x:f>
        <x:v>COMMON</x:v>
      </x:c>
      <x:c r="F30" s="17" t="str">
        <x:f>IF(SUMIFS('03 Dependencies'!$I$6:$I$53,'03 Dependencies'!$C$6:$C$53,"K3",'03 Dependencies'!$D$6:$D$53,9)=1,"DISTINCT","COMMON")</x:f>
        <x:v>DISTINCT</x:v>
      </x:c>
      <x:c r="G30" s="17" t="str">
        <x:f>IF(SUMIFS('03 Dependencies'!$I$6:$I$53,'03 Dependencies'!$C$6:$C$53,"K4",'03 Dependencies'!$D$6:$D$53,9)=1,"DISTINCT","COMMON")</x:f>
        <x:v>DISTINCT</x:v>
      </x:c>
      <x:c r="H30" s="17" t="str">
        <x:v>Industrial, personnel or force-generation boundary</x:v>
      </x:c>
      <x:c r="I30" s="30"/>
      <x:c r="J30" s="30"/>
      <x:c r="K30" s="30"/>
      <x:c r="L30" s="30"/>
      <x:c r="M30" s="30"/>
      <x:c r="N30" s="30"/>
      <x:c r="O30" s="30"/>
      <x:c r="P30" s="30"/>
    </x:row>
    <x:row r="31" ht="31" customHeight="1">
      <x:c r="C31" s="17" t="str">
        <x:v>Reset depot</x:v>
      </x:c>
      <x:c r="D31" s="17" t="str">
        <x:f>IF(SUMIFS('03 Dependencies'!$I$6:$I$53,'03 Dependencies'!$C$6:$C$53,"K1",'03 Dependencies'!$D$6:$D$53,10)=1,"DISTINCT","COMMON")</x:f>
        <x:v>COMMON</x:v>
      </x:c>
      <x:c r="E31" s="17" t="str">
        <x:f>IF(SUMIFS('03 Dependencies'!$I$6:$I$53,'03 Dependencies'!$C$6:$C$53,"K2",'03 Dependencies'!$D$6:$D$53,10)=1,"DISTINCT","COMMON")</x:f>
        <x:v>COMMON</x:v>
      </x:c>
      <x:c r="F31" s="17" t="str">
        <x:f>IF(SUMIFS('03 Dependencies'!$I$6:$I$53,'03 Dependencies'!$C$6:$C$53,"K3",'03 Dependencies'!$D$6:$D$53,10)=1,"DISTINCT","COMMON")</x:f>
        <x:v>COMMON</x:v>
      </x:c>
      <x:c r="G31" s="17" t="str">
        <x:f>IF(SUMIFS('03 Dependencies'!$I$6:$I$53,'03 Dependencies'!$C$6:$C$53,"K4",'03 Dependencies'!$D$6:$D$53,10)=1,"DISTINCT","COMMON")</x:f>
        <x:v>DISTINCT</x:v>
      </x:c>
      <x:c r="H31" s="17" t="str">
        <x:v>Industrial, personnel or force-generation boundary</x:v>
      </x:c>
      <x:c r="I31" s="30"/>
      <x:c r="J31" s="30"/>
      <x:c r="K31" s="30"/>
      <x:c r="L31" s="30"/>
      <x:c r="M31" s="30"/>
      <x:c r="N31" s="30"/>
      <x:c r="O31" s="30"/>
      <x:c r="P31" s="30"/>
    </x:row>
    <x:row r="32" ht="31" customHeight="1">
      <x:c r="C32" s="17" t="str">
        <x:v>Control / evidence</x:v>
      </x:c>
      <x:c r="D32" s="17" t="str">
        <x:f>IF(SUMIFS('03 Dependencies'!$I$6:$I$53,'03 Dependencies'!$C$6:$C$53,"K1",'03 Dependencies'!$D$6:$D$53,11)=1,"DISTINCT","COMMON")</x:f>
        <x:v>COMMON</x:v>
      </x:c>
      <x:c r="E32" s="17" t="str">
        <x:f>IF(SUMIFS('03 Dependencies'!$I$6:$I$53,'03 Dependencies'!$C$6:$C$53,"K2",'03 Dependencies'!$D$6:$D$53,11)=1,"DISTINCT","COMMON")</x:f>
        <x:v>COMMON</x:v>
      </x:c>
      <x:c r="F32" s="17" t="str">
        <x:f>IF(SUMIFS('03 Dependencies'!$I$6:$I$53,'03 Dependencies'!$C$6:$C$53,"K3",'03 Dependencies'!$D$6:$D$53,11)=1,"DISTINCT","COMMON")</x:f>
        <x:v>DISTINCT</x:v>
      </x:c>
      <x:c r="G32" s="17" t="str">
        <x:f>IF(SUMIFS('03 Dependencies'!$I$6:$I$53,'03 Dependencies'!$C$6:$C$53,"K4",'03 Dependencies'!$D$6:$D$53,11)=1,"DISTINCT","COMMON")</x:f>
        <x:v>DISTINCT</x:v>
      </x:c>
      <x:c r="H32" s="17" t="str">
        <x:v>Industrial, personnel or force-generation boundary</x:v>
      </x:c>
      <x:c r="I32" s="30"/>
      <x:c r="J32" s="30"/>
      <x:c r="K32" s="30"/>
      <x:c r="L32" s="30"/>
      <x:c r="M32" s="30"/>
      <x:c r="N32" s="30"/>
      <x:c r="O32" s="30"/>
      <x:c r="P32" s="30"/>
    </x:row>
    <x:row r="33" ht="31" customHeight="1">
      <x:c r="C33" s="17" t="str">
        <x:v>Mobilization base</x:v>
      </x:c>
      <x:c r="D33" s="17" t="str">
        <x:f>IF(SUMIFS('03 Dependencies'!$I$6:$I$53,'03 Dependencies'!$C$6:$C$53,"K1",'03 Dependencies'!$D$6:$D$53,12)=1,"DISTINCT","COMMON")</x:f>
        <x:v>COMMON</x:v>
      </x:c>
      <x:c r="E33" s="17" t="str">
        <x:f>IF(SUMIFS('03 Dependencies'!$I$6:$I$53,'03 Dependencies'!$C$6:$C$53,"K2",'03 Dependencies'!$D$6:$D$53,12)=1,"DISTINCT","COMMON")</x:f>
        <x:v>COMMON</x:v>
      </x:c>
      <x:c r="F33" s="17" t="str">
        <x:f>IF(SUMIFS('03 Dependencies'!$I$6:$I$53,'03 Dependencies'!$C$6:$C$53,"K3",'03 Dependencies'!$D$6:$D$53,12)=1,"DISTINCT","COMMON")</x:f>
        <x:v>COMMON</x:v>
      </x:c>
      <x:c r="G33" s="17" t="str">
        <x:f>IF(SUMIFS('03 Dependencies'!$I$6:$I$53,'03 Dependencies'!$C$6:$C$53,"K4",'03 Dependencies'!$D$6:$D$53,12)=1,"DISTINCT","COMMON")</x:f>
        <x:v>DISTINCT</x:v>
      </x:c>
      <x:c r="H33" s="17" t="str">
        <x:v>Industrial, personnel or force-generation boundary</x:v>
      </x:c>
      <x:c r="I33" s="30"/>
      <x:c r="J33" s="30"/>
      <x:c r="K33" s="30"/>
      <x:c r="L33" s="30"/>
      <x:c r="M33" s="30"/>
      <x:c r="N33" s="30"/>
      <x:c r="O33" s="30"/>
      <x:c r="P33" s="30"/>
    </x:row>
  </x:sheetData>
  <x:mergeCells>
    <x:mergeCell ref="C2:P2"/>
    <x:mergeCell ref="C3:P3"/>
  </x:mergeCells>
  <x:conditionalFormatting sqref="G13:G18">
    <x:cfRule type="containsText" dxfId="63" priority="1" operator="containsText" text="FAIL"/>
    <x:cfRule type="containsText" dxfId="64" priority="2" operator="containsText" text="DENIED"/>
    <x:cfRule type="containsText" dxfId="65" priority="3" operator="containsText" text="BLOCKED"/>
    <x:cfRule type="containsText" dxfId="66" priority="4" operator="containsText" text="OPEN"/>
    <x:cfRule type="containsText" dxfId="67" priority="5" operator="containsText" text="DECLARED"/>
    <x:cfRule type="containsText" dxfId="68" priority="6" operator="containsText" text="PASS"/>
    <x:cfRule type="containsText" dxfId="69" priority="7" operator="containsText" text="ADMITTED"/>
  </x:conditionalFormatting>
  <x:conditionalFormatting sqref="D22:G33">
    <x:cfRule type="containsText" dxfId="70" priority="8" operator="containsText" text="FAIL"/>
    <x:cfRule type="containsText" dxfId="71" priority="9" operator="containsText" text="DENIED"/>
    <x:cfRule type="containsText" dxfId="72" priority="10" operator="containsText" text="BLOCKED"/>
    <x:cfRule type="containsText" dxfId="73" priority="11" operator="containsText" text="OPEN"/>
    <x:cfRule type="containsText" dxfId="74" priority="12" operator="containsText" text="DECLARED"/>
    <x:cfRule type="containsText" dxfId="75" priority="13" operator="containsText" text="PASS"/>
    <x:cfRule type="containsText" dxfId="76" priority="14" operator="containsText" text="ADMITTED"/>
  </x:conditionalFormatting>
  <x:pageMargins left="0.7" right="0.7" top="0.75" bottom="0.75" header="0.3" footer="0.3"/>
  <x:drawing xmlns:r="http://schemas.openxmlformats.org/officeDocument/2006/relationships" r:id="Rc35abf09776945c2"/>
  <x:tableParts count="3">
    <x:tablePart xmlns:r="http://schemas.openxmlformats.org/officeDocument/2006/relationships" r:id="Rd701359bb6c34745"/>
    <x:tablePart xmlns:r="http://schemas.openxmlformats.org/officeDocument/2006/relationships" r:id="Rab3a6b4f3f0b4503"/>
    <x:tablePart xmlns:r="http://schemas.openxmlformats.org/officeDocument/2006/relationships" r:id="R59eb186be0c0403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3" hidden="0" customWidth="1"/>
    <x:col min="4" max="4" width="23" hidden="0" customWidth="1"/>
    <x:col min="5" max="5" width="22" hidden="0" customWidth="1"/>
    <x:col min="6" max="6" width="61" hidden="0" customWidth="1"/>
    <x:col min="7" max="7" width="18" hidden="0" customWidth="1"/>
  </x:cols>
  <x:sheetData>
    <x:row r="2">
      <x:c r="C2" s="27" t="str">
        <x:v>End-to-end independence controls</x:v>
      </x:c>
      <x:c r="D2" s="28"/>
      <x:c r="E2" s="28"/>
      <x:c r="F2" s="28"/>
      <x:c r="G2" s="28"/>
      <x:c r="H2" s="28"/>
    </x:row>
    <x:row r="3">
      <x:c r="C3" s="29" t="str">
        <x:v>Blue values are inherited or declared planning hypotheses. The accounting boundary runs from source through mobilization, receiver service and reset.</x:v>
      </x:c>
      <x:c r="D3" s="29"/>
      <x:c r="E3" s="29"/>
      <x:c r="F3" s="29"/>
      <x:c r="G3" s="29"/>
      <x:c r="H3" s="29"/>
    </x:row>
    <x:row r="4">
      <x:c r="C4" s="30"/>
      <x:c r="D4" s="30"/>
      <x:c r="E4" s="30"/>
      <x:c r="F4" s="30"/>
      <x:c r="G4" s="30"/>
      <x:c r="H4" s="30"/>
    </x:row>
    <x:row r="5">
      <x:c r="C5" s="9" t="str">
        <x:v>Control</x:v>
      </x:c>
      <x:c r="D5" s="9" t="str">
        <x:v>Value</x:v>
      </x:c>
      <x:c r="E5" s="9" t="str">
        <x:v>Unit</x:v>
      </x:c>
      <x:c r="F5" s="9" t="str">
        <x:v>Role</x:v>
      </x:c>
      <x:c r="G5" s="9" t="str">
        <x:v>State</x:v>
      </x:c>
      <x:c r="H5" s="30"/>
    </x:row>
    <x:row r="6" ht="31" customHeight="1">
      <x:c r="C6" s="17" t="str">
        <x:v>Normal water-service requirement</x:v>
      </x:c>
      <x:c r="D6" s="34" t="n">
        <x:v>10000</x:v>
      </x:c>
      <x:c r="E6" s="17" t="str">
        <x:v>m³/day</x:v>
      </x:c>
      <x:c r="F6" s="17" t="str">
        <x:v>200,000 people at 50 L/person/day</x:v>
      </x:c>
      <x:c r="G6" s="17" t="str">
        <x:v>INHERITED</x:v>
      </x:c>
      <x:c r="H6" s="30"/>
    </x:row>
    <x:row r="7" ht="31" customHeight="1">
      <x:c r="C7" s="17" t="str">
        <x:v>Single-failure safe-service floor</x:v>
      </x:c>
      <x:c r="D7" s="34" t="n">
        <x:v>5000</x:v>
      </x:c>
      <x:c r="E7" s="17" t="str">
        <x:v>m³/day</x:v>
      </x:c>
      <x:c r="F7" s="17" t="str">
        <x:v>Half-demand assurance floor</x:v>
      </x:c>
      <x:c r="G7" s="17" t="str">
        <x:v>INHERITED</x:v>
      </x:c>
      <x:c r="H7" s="30"/>
    </x:row>
    <x:row r="8" ht="31" customHeight="1">
      <x:c r="C8" s="17" t="str">
        <x:v>Initial operational formations</x:v>
      </x:c>
      <x:c r="D8" s="34" t="n">
        <x:v>24</x:v>
      </x:c>
      <x:c r="E8" s="17" t="str">
        <x:v>sets</x:v>
      </x:c>
      <x:c r="F8" s="17" t="str">
        <x:v>Program comparator</x:v>
      </x:c>
      <x:c r="G8" s="17" t="str">
        <x:v>INHERITED</x:v>
      </x:c>
      <x:c r="H8" s="30"/>
    </x:row>
    <x:row r="9" ht="31" customHeight="1">
      <x:c r="C9" s="17" t="str">
        <x:v>Prepared receiver nodes</x:v>
      </x:c>
      <x:c r="D9" s="34" t="n">
        <x:v>12</x:v>
      </x:c>
      <x:c r="E9" s="17" t="str">
        <x:v>nodes</x:v>
      </x:c>
      <x:c r="F9" s="17" t="str">
        <x:v>Program comparator</x:v>
      </x:c>
      <x:c r="G9" s="17" t="str">
        <x:v>INHERITED</x:v>
      </x:c>
      <x:c r="H9" s="30"/>
    </x:row>
    <x:row r="10" ht="31" customHeight="1">
      <x:c r="C10" s="17" t="str">
        <x:v>Program period</x:v>
      </x:c>
      <x:c r="D10" s="34" t="n">
        <x:v>25</x:v>
      </x:c>
      <x:c r="E10" s="17" t="str">
        <x:v>years</x:v>
      </x:c>
      <x:c r="F10" s="17" t="str">
        <x:v>Ownership and operations comparator</x:v>
      </x:c>
      <x:c r="G10" s="17" t="str">
        <x:v>INHERITED</x:v>
      </x:c>
      <x:c r="H10" s="30"/>
    </x:row>
    <x:row r="11" ht="31" customHeight="1">
      <x:c r="C11" s="17" t="str">
        <x:v>Independent boundary count</x:v>
      </x:c>
      <x:c r="D11" s="34" t="n">
        <x:v>12</x:v>
      </x:c>
      <x:c r="E11" s="17" t="str">
        <x:v>boundaries</x:v>
      </x:c>
      <x:c r="F11" s="17" t="str">
        <x:v>Source through mobilization base</x:v>
      </x:c>
      <x:c r="G11" s="17" t="str">
        <x:v>DECLARED</x:v>
      </x:c>
      <x:c r="H11" s="30"/>
    </x:row>
    <x:row r="12" ht="31" customHeight="1">
      <x:c r="C12" s="17" t="str">
        <x:v>Required independence threshold</x:v>
      </x:c>
      <x:c r="D12" s="34" t="n">
        <x:v>12</x:v>
      </x:c>
      <x:c r="E12" s="17" t="str">
        <x:v>boundaries</x:v>
      </x:c>
      <x:c r="F12" s="17" t="str">
        <x:v>Sensitivity driver</x:v>
      </x:c>
      <x:c r="G12" s="17" t="str">
        <x:v>DECLARED</x:v>
      </x:c>
      <x:c r="H12" s="30"/>
    </x:row>
    <x:row r="13" ht="31" customHeight="1">
      <x:c r="C13" s="17" t="str">
        <x:v>Reserve-cell availability</x:v>
      </x:c>
      <x:c r="D13" s="35" t="n">
        <x:v>1</x:v>
      </x:c>
      <x:c r="E13" s="17" t="str">
        <x:v>fraction</x:v>
      </x:c>
      <x:c r="F13" s="17" t="str">
        <x:v>Concurrent-event and cross-path recovery</x:v>
      </x:c>
      <x:c r="G13" s="17" t="str">
        <x:v>DECLARED</x:v>
      </x:c>
      <x:c r="H13" s="30"/>
    </x:row>
    <x:row r="14" ht="31" customHeight="1">
      <x:c r="C14" s="17" t="str">
        <x:v>Duplicate-support mass factor</x:v>
      </x:c>
      <x:c r="D14" s="35" t="n">
        <x:v>1</x:v>
      </x:c>
      <x:c r="E14" s="17" t="str">
        <x:v>factor</x:v>
      </x:c>
      <x:c r="F14" s="17" t="str">
        <x:v>Sensitivity driver</x:v>
      </x:c>
      <x:c r="G14" s="17" t="str">
        <x:v>DECLARED</x:v>
      </x:c>
      <x:c r="H14" s="30"/>
    </x:row>
    <x:row r="15" ht="31" customHeight="1">
      <x:c r="C15" s="17" t="str">
        <x:v>Program-cost factor</x:v>
      </x:c>
      <x:c r="D15" s="35" t="n">
        <x:v>1</x:v>
      </x:c>
      <x:c r="E15" s="17" t="str">
        <x:v>factor</x:v>
      </x:c>
      <x:c r="F15" s="17" t="str">
        <x:v>Sensitivity driver</x:v>
      </x:c>
      <x:c r="G15" s="17" t="str">
        <x:v>DECLARED</x:v>
      </x:c>
      <x:c r="H15" s="30"/>
    </x:row>
    <x:row r="16" ht="31" customHeight="1">
      <x:c r="C16" s="17" t="str">
        <x:v>Evidence gates closed</x:v>
      </x:c>
      <x:c r="D16" s="34" t="n">
        <x:v>0</x:v>
      </x:c>
      <x:c r="E16" s="17" t="str">
        <x:v>gates</x:v>
      </x:c>
      <x:c r="F16" s="17" t="str">
        <x:v>Representative evidence state</x:v>
      </x:c>
      <x:c r="G16" s="17" t="str">
        <x:v>OBSERVED</x:v>
      </x:c>
      <x:c r="H16" s="30"/>
    </x:row>
    <x:row r="17" ht="31" customHeight="1">
      <x:c r="C17" s="17" t="str">
        <x:v>Required evidence gates</x:v>
      </x:c>
      <x:c r="D17" s="34" t="n">
        <x:v>20</x:v>
      </x:c>
      <x:c r="E17" s="17" t="str">
        <x:v>gates</x:v>
      </x:c>
      <x:c r="F17" s="17" t="str">
        <x:v>Admission contract</x:v>
      </x:c>
      <x:c r="G17" s="17" t="str">
        <x:v>DECLARED</x:v>
      </x:c>
      <x:c r="H17" s="30"/>
    </x:row>
    <x:row r="18" ht="31" customHeight="1">
      <x:c r="C18" s="17" t="str">
        <x:v>Rendering state</x:v>
      </x:c>
      <x:c r="D18" s="34" t="str">
        <x:v>BLOCKED</x:v>
      </x:c>
      <x:c r="E18" s="17" t="str">
        <x:v>state</x:v>
      </x:c>
      <x:c r="F18" s="17" t="str">
        <x:v>No rendering before representative closure</x:v>
      </x:c>
      <x:c r="G18" s="17" t="str">
        <x:v>OBSERVED</x:v>
      </x:c>
      <x:c r="H18" s="30"/>
    </x:row>
    <x:row r="19" ht="31" customHeight="1">
      <x:c r="C19" s="17" t="str">
        <x:v>Path A source</x:v>
      </x:c>
      <x:c r="D19" s="34" t="str">
        <x:v>C2 protected aquifer</x:v>
      </x:c>
      <x:c r="E19" s="17" t="str">
        <x:v>configuration</x:v>
      </x:c>
      <x:c r="F19" s="17" t="str">
        <x:v>Prepared groundwater chain</x:v>
      </x:c>
      <x:c r="G19" s="17" t="str">
        <x:v>INHERITED</x:v>
      </x:c>
      <x:c r="H19" s="30"/>
    </x:row>
    <x:row r="20" ht="31" customHeight="1">
      <x:c r="C20" s="17" t="str">
        <x:v>Path B source</x:v>
      </x:c>
      <x:c r="D20" s="34" t="str">
        <x:v>C3 + E2 regenerative</x:v>
      </x:c>
      <x:c r="E20" s="17" t="str">
        <x:v>configuration</x:v>
      </x:c>
      <x:c r="F20" s="17" t="str">
        <x:v>Variable-feed chain with regeneration and dewatering</x:v>
      </x:c>
      <x:c r="G20" s="17" t="str">
        <x:v>INHERITED</x:v>
      </x:c>
      <x:c r="H20" s="30"/>
    </x:row>
    <x:row r="21" ht="31" customHeight="1">
      <x:c r="C21" s="17" t="str">
        <x:v>Second-event cell</x:v>
      </x:c>
      <x:c r="D21" s="34" t="str">
        <x:v>C3 + E2 regenerative</x:v>
      </x:c>
      <x:c r="E21" s="17" t="str">
        <x:v>configuration</x:v>
      </x:c>
      <x:c r="F21" s="17" t="str">
        <x:v>Only K4 carries a third deployable service cell</x:v>
      </x:c>
      <x:c r="G21" s="17" t="str">
        <x:v>DECLARED</x:v>
      </x:c>
      <x:c r="H21" s="30"/>
    </x:row>
    <x:row r="22" ht="31" customHeight="1">
      <x:c r="C22" s="17" t="str">
        <x:v>Path A source-core dry mass</x:v>
      </x:c>
      <x:c r="D22" s="34" t="n">
        <x:v>920</x:v>
      </x:c>
      <x:c r="E22" s="17" t="str">
        <x:v>t</x:v>
      </x:c>
      <x:c r="F22" s="17" t="str">
        <x:v>Pass 68 C2</x:v>
      </x:c>
      <x:c r="G22" s="17" t="str">
        <x:v>INHERITED</x:v>
      </x:c>
      <x:c r="H22" s="30"/>
    </x:row>
    <x:row r="23" ht="31" customHeight="1">
      <x:c r="C23" s="17" t="str">
        <x:v>Path A chargeable mass</x:v>
      </x:c>
      <x:c r="D23" s="34" t="n">
        <x:v>1100</x:v>
      </x:c>
      <x:c r="E23" s="17" t="str">
        <x:v>t</x:v>
      </x:c>
      <x:c r="F23" s="17" t="str">
        <x:v>Pass 68 C2</x:v>
      </x:c>
      <x:c r="G23" s="17" t="str">
        <x:v>INHERITED</x:v>
      </x:c>
      <x:c r="H23" s="30"/>
    </x:row>
    <x:row r="24" ht="31" customHeight="1">
      <x:c r="C24" s="17" t="str">
        <x:v>Path A crew</x:v>
      </x:c>
      <x:c r="D24" s="34" t="n">
        <x:v>72</x:v>
      </x:c>
      <x:c r="E24" s="17" t="str">
        <x:v>people</x:v>
      </x:c>
      <x:c r="F24" s="17" t="str">
        <x:v>Pass 68 C2</x:v>
      </x:c>
      <x:c r="G24" s="17" t="str">
        <x:v>INHERITED</x:v>
      </x:c>
      <x:c r="H24" s="30"/>
    </x:row>
    <x:row r="25" ht="31" customHeight="1">
      <x:c r="C25" s="17" t="str">
        <x:v>Path A equipment</x:v>
      </x:c>
      <x:c r="D25" s="36" t="n">
        <x:v>0.95</x:v>
      </x:c>
      <x:c r="E25" s="17" t="str">
        <x:v>$B</x:v>
      </x:c>
      <x:c r="F25" s="17" t="str">
        <x:v>Pass 68 C2 program input</x:v>
      </x:c>
      <x:c r="G25" s="17" t="str">
        <x:v>INHERITED</x:v>
      </x:c>
      <x:c r="H25" s="30"/>
    </x:row>
    <x:row r="26" ht="31" customHeight="1">
      <x:c r="C26" s="17" t="str">
        <x:v>Path B source-core dry mass</x:v>
      </x:c>
      <x:c r="D26" s="34" t="n">
        <x:v>2710</x:v>
      </x:c>
      <x:c r="E26" s="17" t="str">
        <x:v>t</x:v>
      </x:c>
      <x:c r="F26" s="17" t="str">
        <x:v>Pass 68 C3 plus Pass 69 E2</x:v>
      </x:c>
      <x:c r="G26" s="17" t="str">
        <x:v>INHERITED</x:v>
      </x:c>
      <x:c r="H26" s="30"/>
    </x:row>
    <x:row r="27" ht="31" customHeight="1">
      <x:c r="C27" s="17" t="str">
        <x:v>Path B chargeable mass</x:v>
      </x:c>
      <x:c r="D27" s="34" t="n">
        <x:v>3010</x:v>
      </x:c>
      <x:c r="E27" s="17" t="str">
        <x:v>t</x:v>
      </x:c>
      <x:c r="F27" s="17" t="str">
        <x:v>Pass 68 C3 plus Pass 69 E2</x:v>
      </x:c>
      <x:c r="G27" s="17" t="str">
        <x:v>INHERITED</x:v>
      </x:c>
      <x:c r="H27" s="30"/>
    </x:row>
    <x:row r="28" ht="31" customHeight="1">
      <x:c r="C28" s="17" t="str">
        <x:v>Path B crew</x:v>
      </x:c>
      <x:c r="D28" s="34" t="n">
        <x:v>110</x:v>
      </x:c>
      <x:c r="E28" s="17" t="str">
        <x:v>people</x:v>
      </x:c>
      <x:c r="F28" s="17" t="str">
        <x:v>Pass 68 C3 plus Pass 69 E2</x:v>
      </x:c>
      <x:c r="G28" s="17" t="str">
        <x:v>INHERITED</x:v>
      </x:c>
      <x:c r="H28" s="30"/>
    </x:row>
    <x:row r="29" ht="31" customHeight="1">
      <x:c r="C29" s="17" t="str">
        <x:v>Path B equipment</x:v>
      </x:c>
      <x:c r="D29" s="36" t="n">
        <x:v>2.2</x:v>
      </x:c>
      <x:c r="E29" s="17" t="str">
        <x:v>$B</x:v>
      </x:c>
      <x:c r="F29" s="17" t="str">
        <x:v>C3 $1.55B plus E2 $0.65B</x:v>
      </x:c>
      <x:c r="G29" s="17" t="str">
        <x:v>INHERITED</x:v>
      </x:c>
      <x:c r="H29" s="30"/>
    </x:row>
    <x:row r="30" ht="31" customHeight="1">
      <x:c r="C30" s="17" t="str">
        <x:v>Annual O&amp;S K1</x:v>
      </x:c>
      <x:c r="D30" s="36" t="n">
        <x:v>0.18</x:v>
      </x:c>
      <x:c r="E30" s="17" t="str">
        <x:v>$B/set-year</x:v>
      </x:c>
      <x:c r="F30" s="17" t="str">
        <x:v>Declared comparator</x:v>
      </x:c>
      <x:c r="G30" s="17" t="str">
        <x:v>DECLARED</x:v>
      </x:c>
      <x:c r="H30" s="30"/>
    </x:row>
    <x:row r="31" ht="31" customHeight="1">
      <x:c r="C31" s="17" t="str">
        <x:v>Annual O&amp;S K2</x:v>
      </x:c>
      <x:c r="D31" s="36" t="n">
        <x:v>0.2</x:v>
      </x:c>
      <x:c r="E31" s="17" t="str">
        <x:v>$B/set-year</x:v>
      </x:c>
      <x:c r="F31" s="17" t="str">
        <x:v>Declared comparator</x:v>
      </x:c>
      <x:c r="G31" s="17" t="str">
        <x:v>DECLARED</x:v>
      </x:c>
      <x:c r="H31" s="30"/>
    </x:row>
    <x:row r="32" ht="31" customHeight="1">
      <x:c r="C32" s="17" t="str">
        <x:v>Annual O&amp;S K3</x:v>
      </x:c>
      <x:c r="D32" s="36" t="n">
        <x:v>0.24</x:v>
      </x:c>
      <x:c r="E32" s="17" t="str">
        <x:v>$B/set-year</x:v>
      </x:c>
      <x:c r="F32" s="17" t="str">
        <x:v>Declared comparator</x:v>
      </x:c>
      <x:c r="G32" s="17" t="str">
        <x:v>DECLARED</x:v>
      </x:c>
      <x:c r="H32" s="30"/>
    </x:row>
    <x:row r="33" ht="31" customHeight="1">
      <x:c r="C33" s="17" t="str">
        <x:v>Annual O&amp;S K4</x:v>
      </x:c>
      <x:c r="D33" s="36" t="n">
        <x:v>0.38</x:v>
      </x:c>
      <x:c r="E33" s="17" t="str">
        <x:v>$B/set-year</x:v>
      </x:c>
      <x:c r="F33" s="17" t="str">
        <x:v>Declared comparator</x:v>
      </x:c>
      <x:c r="G33" s="17" t="str">
        <x:v>DECLARED</x:v>
      </x:c>
      <x:c r="H33" s="30"/>
    </x:row>
  </x:sheetData>
  <x:mergeCells>
    <x:mergeCell ref="C2:H2"/>
    <x:mergeCell ref="C3:H3"/>
  </x:mergeCells>
  <x:conditionalFormatting sqref="D18:D18">
    <x:cfRule type="containsText" dxfId="0" priority="1" operator="containsText" text="FAIL"/>
    <x:cfRule type="containsText" dxfId="1" priority="2" operator="containsText" text="DENIED"/>
    <x:cfRule type="containsText" dxfId="2" priority="3" operator="containsText" text="BLOCKED"/>
    <x:cfRule type="containsText" dxfId="3" priority="4" operator="containsText" text="OPEN"/>
    <x:cfRule type="containsText" dxfId="4" priority="5" operator="containsText" text="DECLARED"/>
    <x:cfRule type="containsText" dxfId="5" priority="6" operator="containsText" text="PASS"/>
    <x:cfRule type="containsText" dxfId="6" priority="7" operator="containsText" text="ADMITTED"/>
  </x:conditionalFormatting>
  <x:conditionalFormatting sqref="G6:G33">
    <x:cfRule type="containsText" dxfId="7" priority="8" operator="containsText" text="FAIL"/>
    <x:cfRule type="containsText" dxfId="8" priority="9" operator="containsText" text="DENIED"/>
    <x:cfRule type="containsText" dxfId="9" priority="10" operator="containsText" text="BLOCKED"/>
    <x:cfRule type="containsText" dxfId="10" priority="11" operator="containsText" text="OPEN"/>
    <x:cfRule type="containsText" dxfId="11" priority="12" operator="containsText" text="DECLARED"/>
    <x:cfRule type="containsText" dxfId="12" priority="13" operator="containsText" text="PASS"/>
    <x:cfRule type="containsText" dxfId="13" priority="14" operator="containsText" text="ADMITTED"/>
  </x:conditionalFormatting>
  <x:pageMargins left="0.7" right="0.7" top="0.75" bottom="0.75" header="0.3" footer="0.3"/>
  <x:tableParts count="1">
    <x:tablePart xmlns:r="http://schemas.openxmlformats.org/officeDocument/2006/relationships" r:id="R94560b2b078b46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0" hidden="0" customWidth="1"/>
    <x:col min="4" max="4" width="33" hidden="0" customWidth="1"/>
    <x:col min="5" max="5" width="63" hidden="0" customWidth="1"/>
    <x:col min="6" max="6" width="17" hidden="0" customWidth="1"/>
    <x:col min="7" max="7" width="15" hidden="0" customWidth="1"/>
    <x:col min="8" max="8" width="19" hidden="0" customWidth="1"/>
    <x:col min="9" max="9" width="21" hidden="0" customWidth="1"/>
    <x:col min="10" max="10" width="18" hidden="0" customWidth="1"/>
    <x:col min="11" max="11" width="15" hidden="0" customWidth="1"/>
    <x:col min="12" max="12" width="15" hidden="0" customWidth="1"/>
    <x:col min="13" max="13" width="20" hidden="0" customWidth="1"/>
    <x:col min="14" max="14" width="14" hidden="0" customWidth="1"/>
    <x:col min="15" max="15" width="21" hidden="0" customWidth="1"/>
    <x:col min="16" max="16" width="20" hidden="0" customWidth="1"/>
    <x:col min="17" max="17" width="16" hidden="0" customWidth="1"/>
    <x:col min="18" max="18" width="22" hidden="0" customWidth="1"/>
    <x:col min="19" max="19" width="23" hidden="0" customWidth="1"/>
    <x:col min="20" max="20" width="21" hidden="0" customWidth="1"/>
    <x:col min="21" max="21" width="16" hidden="0" customWidth="1"/>
    <x:col min="22" max="22" width="18" hidden="0" customWidth="1"/>
  </x:cols>
  <x:sheetData>
    <x:row r="2">
      <x:c r="C2" s="27" t="str">
        <x:v>Rival service-chain architectures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</x:row>
    <x:row r="3">
      <x:c r="C3" s="29" t="str">
        <x:v>Source diversity, deployment separation, paired service chains and national force depth are different acquisition objects.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</x:row>
    <x:row r="4"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</x:row>
    <x:row r="5">
      <x:c r="C5" s="9" t="str">
        <x:v>ID</x:v>
      </x:c>
      <x:c r="D5" s="9" t="str">
        <x:v>Architecture</x:v>
      </x:c>
      <x:c r="E5" s="9" t="str">
        <x:v>Design claim</x:v>
      </x:c>
      <x:c r="F5" s="9" t="str">
        <x:v>Operational paths</x:v>
      </x:c>
      <x:c r="G5" s="9" t="str">
        <x:v>Reserve paths</x:v>
      </x:c>
      <x:c r="H5" s="9" t="str">
        <x:v>Distinct boundaries</x:v>
      </x:c>
      <x:c r="I5" s="9" t="str">
        <x:v>Shared one-cut boundaries</x:v>
      </x:c>
      <x:c r="J5" s="9" t="str">
        <x:v>Independence ratio</x:v>
      </x:c>
      <x:c r="K5" s="9" t="str">
        <x:v>Minimum cut</x:v>
      </x:c>
      <x:c r="L5" s="9" t="str">
        <x:v>Dry t/set</x:v>
      </x:c>
      <x:c r="M5" s="9" t="str">
        <x:v>Chargeable t/set</x:v>
      </x:c>
      <x:c r="N5" s="9" t="str">
        <x:v>Crew/set</x:v>
      </x:c>
      <x:c r="O5" s="9" t="str">
        <x:v>Equipment $B/set</x:v>
      </x:c>
      <x:c r="P5" s="9" t="str">
        <x:v>Service worlds passed</x:v>
      </x:c>
      <x:c r="Q5" s="9" t="str">
        <x:v>Service worlds</x:v>
      </x:c>
      <x:c r="R5" s="9" t="str">
        <x:v>Correct behavior worlds</x:v>
      </x:c>
      <x:c r="S5" s="9" t="str">
        <x:v>Required independence met</x:v>
      </x:c>
      <x:c r="T5" s="9" t="str">
        <x:v>Evidence gates closed</x:v>
      </x:c>
      <x:c r="U5" s="9" t="str">
        <x:v>Rendering</x:v>
      </x:c>
      <x:c r="V5" s="9" t="str">
        <x:v>Strict admission</x:v>
      </x:c>
      <x:c r="W5" s="30"/>
      <x:c r="X5" s="30"/>
    </x:row>
    <x:row r="6" ht="66" customHeight="1">
      <x:c r="C6" s="17" t="str">
        <x:v>K1</x:v>
      </x:c>
      <x:c r="D6" s="17" t="str">
        <x:v>Source diversity only</x:v>
      </x:c>
      <x:c r="E6" s="17" t="str">
        <x:v>Two source types share lift, node, receiver, power, quality, materials, crew, depot, control and base</x:v>
      </x:c>
      <x:c r="F6" s="37" t="n">
        <x:v>2</x:v>
      </x:c>
      <x:c r="G6" s="37" t="n">
        <x:v>0</x:v>
      </x:c>
      <x:c r="H6" s="37" t="n">
        <x:f>SUMIFS('03 Dependencies'!$O$6:$O$9,'03 Dependencies'!$N$6:$N$9,C6)</x:f>
        <x:v>2</x:v>
      </x:c>
      <x:c r="I6" s="37" t="n">
        <x:f>SUMIFS('03 Dependencies'!$P$6:$P$9,'03 Dependencies'!$N$6:$N$9,C6)</x:f>
        <x:v>10</x:v>
      </x:c>
      <x:c r="J6" s="38" t="n">
        <x:f>SUMIFS('03 Dependencies'!$Q$6:$Q$9,'03 Dependencies'!$N$6:$N$9,C6)</x:f>
        <x:v>0.16666666666666666</x:v>
      </x:c>
      <x:c r="K6" s="32" t="n">
        <x:f>SUMIFS('03 Dependencies'!$R$6:$R$9,'03 Dependencies'!$N$6:$N$9,C6)</x:f>
        <x:v>1</x:v>
      </x:c>
      <x:c r="L6" s="32" t="n">
        <x:f>SUMIFS('05 Formation'!$F$21:$F$68,'05 Formation'!$C$21:$C$68,C6)</x:f>
        <x:v>4880</x:v>
      </x:c>
      <x:c r="M6" s="32" t="n">
        <x:f>SUMIFS('05 Formation'!$G$21:$G$68,'05 Formation'!$C$21:$C$68,C6)</x:f>
        <x:v>5620</x:v>
      </x:c>
      <x:c r="N6" s="32" t="n">
        <x:f>SUMIFS('05 Formation'!$H$21:$H$68,'05 Formation'!$C$21:$C$68,C6)</x:f>
        <x:v>274</x:v>
      </x:c>
      <x:c r="O6" s="39" t="n">
        <x:f>SUMIFS('05 Formation'!$I$21:$I$68,'05 Formation'!$C$21:$C$68,C6)</x:f>
        <x:v>4.13</x:v>
      </x:c>
      <x:c r="P6" s="37" t="n">
        <x:f>COUNTIFS('04 Failure Worlds'!$C$26:$C$93,C6,'04 Failure Worlds'!$H$26:$H$93,1,'04 Failure Worlds'!$O$26:$O$93,"PASS")</x:f>
        <x:v>4</x:v>
      </x:c>
      <x:c r="Q6" s="37" t="n">
        <x:f>COUNTIFS('04 Failure Worlds'!$C$26:$C$93,C6,'04 Failure Worlds'!$H$26:$H$93,1)</x:f>
        <x:v>16</x:v>
      </x:c>
      <x:c r="R6" s="37" t="n">
        <x:f>COUNTIFS('04 Failure Worlds'!$C$26:$C$93,C6,'04 Failure Worlds'!$Q$26:$Q$93,"PASS")</x:f>
        <x:v>5</x:v>
      </x:c>
      <x:c r="S6" s="37" t="str">
        <x:f>IF(H6&gt;='01 Controls'!$D$12,"PASS","FAIL")</x:f>
        <x:v>FAIL</x:v>
      </x:c>
      <x:c r="T6" s="37" t="n">
        <x:f>'01 Controls'!$D$16</x:f>
        <x:v>0</x:v>
      </x:c>
      <x:c r="U6" s="17" t="str">
        <x:f>'01 Controls'!$D$18</x:f>
        <x:v>BLOCKED</x:v>
      </x:c>
      <x:c r="V6" s="17" t="str">
        <x:f>IF(AND(P6=Q6,R6=17,S6="PASS",T6&gt;='01 Controls'!$D$17,U6="ELIGIBLE"),"ADMITTED","DENIED")</x:f>
        <x:v>DENIED</x:v>
      </x:c>
      <x:c r="W6" s="30"/>
      <x:c r="X6" s="30"/>
    </x:row>
    <x:row r="7" ht="66" customHeight="1">
      <x:c r="C7" s="17" t="str">
        <x:v>K2</x:v>
      </x:c>
      <x:c r="D7" s="17" t="str">
        <x:v>Split deployment</x:v>
      </x:c>
      <x:c r="E7" s="17" t="str">
        <x:v>Sources, treatment, carrier and receiving node are separate; receiver and sustainment remain common</x:v>
      </x:c>
      <x:c r="F7" s="37" t="n">
        <x:v>2</x:v>
      </x:c>
      <x:c r="G7" s="37" t="n">
        <x:v>0</x:v>
      </x:c>
      <x:c r="H7" s="37" t="n">
        <x:f>SUMIFS('03 Dependencies'!$O$6:$O$9,'03 Dependencies'!$N$6:$N$9,C7)</x:f>
        <x:v>4</x:v>
      </x:c>
      <x:c r="I7" s="37" t="n">
        <x:f>SUMIFS('03 Dependencies'!$P$6:$P$9,'03 Dependencies'!$N$6:$N$9,C7)</x:f>
        <x:v>8</x:v>
      </x:c>
      <x:c r="J7" s="38" t="n">
        <x:f>SUMIFS('03 Dependencies'!$Q$6:$Q$9,'03 Dependencies'!$N$6:$N$9,C7)</x:f>
        <x:v>0.3333333333333333</x:v>
      </x:c>
      <x:c r="K7" s="32" t="n">
        <x:f>SUMIFS('03 Dependencies'!$R$6:$R$9,'03 Dependencies'!$N$6:$N$9,C7)</x:f>
        <x:v>1</x:v>
      </x:c>
      <x:c r="L7" s="32" t="n">
        <x:f>SUMIFS('05 Formation'!$F$21:$F$68,'05 Formation'!$C$21:$C$68,C7)</x:f>
        <x:v>5310</x:v>
      </x:c>
      <x:c r="M7" s="32" t="n">
        <x:f>SUMIFS('05 Formation'!$G$21:$G$68,'05 Formation'!$C$21:$C$68,C7)</x:f>
        <x:v>6140</x:v>
      </x:c>
      <x:c r="N7" s="32" t="n">
        <x:f>SUMIFS('05 Formation'!$H$21:$H$68,'05 Formation'!$C$21:$C$68,C7)</x:f>
        <x:v>296</x:v>
      </x:c>
      <x:c r="O7" s="39" t="n">
        <x:f>SUMIFS('05 Formation'!$I$21:$I$68,'05 Formation'!$C$21:$C$68,C7)</x:f>
        <x:v>4.43</x:v>
      </x:c>
      <x:c r="P7" s="37" t="n">
        <x:f>COUNTIFS('04 Failure Worlds'!$C$26:$C$93,C7,'04 Failure Worlds'!$H$26:$H$93,1,'04 Failure Worlds'!$O$26:$O$93,"PASS")</x:f>
        <x:v>6</x:v>
      </x:c>
      <x:c r="Q7" s="37" t="n">
        <x:f>COUNTIFS('04 Failure Worlds'!$C$26:$C$93,C7,'04 Failure Worlds'!$H$26:$H$93,1)</x:f>
        <x:v>16</x:v>
      </x:c>
      <x:c r="R7" s="37" t="n">
        <x:f>COUNTIFS('04 Failure Worlds'!$C$26:$C$93,C7,'04 Failure Worlds'!$Q$26:$Q$93,"PASS")</x:f>
        <x:v>7</x:v>
      </x:c>
      <x:c r="S7" s="37" t="str">
        <x:f>IF(H7&gt;='01 Controls'!$D$12,"PASS","FAIL")</x:f>
        <x:v>FAIL</x:v>
      </x:c>
      <x:c r="T7" s="37" t="n">
        <x:f>'01 Controls'!$D$16</x:f>
        <x:v>0</x:v>
      </x:c>
      <x:c r="U7" s="17" t="str">
        <x:f>'01 Controls'!$D$18</x:f>
        <x:v>BLOCKED</x:v>
      </x:c>
      <x:c r="V7" s="17" t="str">
        <x:f>IF(AND(P7=Q7,R7=17,S7="PASS",T7&gt;='01 Controls'!$D$17,U7="ELIGIBLE"),"ADMITTED","DENIED")</x:f>
        <x:v>DENIED</x:v>
      </x:c>
      <x:c r="W7" s="30"/>
      <x:c r="X7" s="30"/>
    </x:row>
    <x:row r="8" ht="66" customHeight="1">
      <x:c r="C8" s="17" t="str">
        <x:v>K3</x:v>
      </x:c>
      <x:c r="D8" s="17" t="str">
        <x:v>Paired service chains</x:v>
      </x:c>
      <x:c r="E8" s="17" t="str">
        <x:v>Two source-to-island chains separate operations but retain common material, depot and mobilization dependencies</x:v>
      </x:c>
      <x:c r="F8" s="37" t="n">
        <x:v>2</x:v>
      </x:c>
      <x:c r="G8" s="37" t="n">
        <x:v>0</x:v>
      </x:c>
      <x:c r="H8" s="37" t="n">
        <x:f>SUMIFS('03 Dependencies'!$O$6:$O$9,'03 Dependencies'!$N$6:$N$9,C8)</x:f>
        <x:v>9</x:v>
      </x:c>
      <x:c r="I8" s="37" t="n">
        <x:f>SUMIFS('03 Dependencies'!$P$6:$P$9,'03 Dependencies'!$N$6:$N$9,C8)</x:f>
        <x:v>3</x:v>
      </x:c>
      <x:c r="J8" s="38" t="n">
        <x:f>SUMIFS('03 Dependencies'!$Q$6:$Q$9,'03 Dependencies'!$N$6:$N$9,C8)</x:f>
        <x:v>0.75</x:v>
      </x:c>
      <x:c r="K8" s="32" t="n">
        <x:f>SUMIFS('03 Dependencies'!$R$6:$R$9,'03 Dependencies'!$N$6:$N$9,C8)</x:f>
        <x:v>1</x:v>
      </x:c>
      <x:c r="L8" s="32" t="n">
        <x:f>SUMIFS('05 Formation'!$F$21:$F$68,'05 Formation'!$C$21:$C$68,C8)</x:f>
        <x:v>5830</x:v>
      </x:c>
      <x:c r="M8" s="32" t="n">
        <x:f>SUMIFS('05 Formation'!$G$21:$G$68,'05 Formation'!$C$21:$C$68,C8)</x:f>
        <x:v>6755</x:v>
      </x:c>
      <x:c r="N8" s="32" t="n">
        <x:f>SUMIFS('05 Formation'!$H$21:$H$68,'05 Formation'!$C$21:$C$68,C8)</x:f>
        <x:v>346</x:v>
      </x:c>
      <x:c r="O8" s="39" t="n">
        <x:f>SUMIFS('05 Formation'!$I$21:$I$68,'05 Formation'!$C$21:$C$68,C8)</x:f>
        <x:v>4.909999999999999</x:v>
      </x:c>
      <x:c r="P8" s="37" t="n">
        <x:f>COUNTIFS('04 Failure Worlds'!$C$26:$C$93,C8,'04 Failure Worlds'!$H$26:$H$93,1,'04 Failure Worlds'!$O$26:$O$93,"PASS")</x:f>
        <x:v>11</x:v>
      </x:c>
      <x:c r="Q8" s="37" t="n">
        <x:f>COUNTIFS('04 Failure Worlds'!$C$26:$C$93,C8,'04 Failure Worlds'!$H$26:$H$93,1)</x:f>
        <x:v>16</x:v>
      </x:c>
      <x:c r="R8" s="37" t="n">
        <x:f>COUNTIFS('04 Failure Worlds'!$C$26:$C$93,C8,'04 Failure Worlds'!$Q$26:$Q$93,"PASS")</x:f>
        <x:v>12</x:v>
      </x:c>
      <x:c r="S8" s="37" t="str">
        <x:f>IF(H8&gt;='01 Controls'!$D$12,"PASS","FAIL")</x:f>
        <x:v>FAIL</x:v>
      </x:c>
      <x:c r="T8" s="37" t="n">
        <x:f>'01 Controls'!$D$16</x:f>
        <x:v>0</x:v>
      </x:c>
      <x:c r="U8" s="17" t="str">
        <x:f>'01 Controls'!$D$18</x:f>
        <x:v>BLOCKED</x:v>
      </x:c>
      <x:c r="V8" s="17" t="str">
        <x:f>IF(AND(P8=Q8,R8=17,S8="PASS",T8&gt;='01 Controls'!$D$17,U8="ELIGIBLE"),"ADMITTED","DENIED")</x:f>
        <x:v>DENIED</x:v>
      </x:c>
      <x:c r="W8" s="30"/>
      <x:c r="X8" s="30"/>
    </x:row>
    <x:row r="9" ht="66" customHeight="1">
      <x:c r="C9" s="17" t="str">
        <x:v>K4</x:v>
      </x:c>
      <x:c r="D9" s="17" t="str">
        <x:v>Cellular force depth</x:v>
      </x:c>
      <x:c r="E9" s="17" t="str">
        <x:v>Three complete cells preserve paired service plus one independently generated reserve for another theater or cross-path loss</x:v>
      </x:c>
      <x:c r="F9" s="37" t="n">
        <x:v>2</x:v>
      </x:c>
      <x:c r="G9" s="37" t="n">
        <x:v>1</x:v>
      </x:c>
      <x:c r="H9" s="37" t="n">
        <x:f>SUMIFS('03 Dependencies'!$O$6:$O$9,'03 Dependencies'!$N$6:$N$9,C9)</x:f>
        <x:v>12</x:v>
      </x:c>
      <x:c r="I9" s="37" t="n">
        <x:f>SUMIFS('03 Dependencies'!$P$6:$P$9,'03 Dependencies'!$N$6:$N$9,C9)</x:f>
        <x:v>0</x:v>
      </x:c>
      <x:c r="J9" s="38" t="n">
        <x:f>SUMIFS('03 Dependencies'!$Q$6:$Q$9,'03 Dependencies'!$N$6:$N$9,C9)</x:f>
        <x:v>1</x:v>
      </x:c>
      <x:c r="K9" s="32" t="n">
        <x:f>SUMIFS('03 Dependencies'!$R$6:$R$9,'03 Dependencies'!$N$6:$N$9,C9)</x:f>
        <x:v>3</x:v>
      </x:c>
      <x:c r="L9" s="32" t="n">
        <x:f>SUMIFS('05 Formation'!$F$21:$F$68,'05 Formation'!$C$21:$C$68,C9)</x:f>
        <x:v>10090</x:v>
      </x:c>
      <x:c r="M9" s="32" t="n">
        <x:f>SUMIFS('05 Formation'!$G$21:$G$68,'05 Formation'!$C$21:$C$68,C9)</x:f>
        <x:v>11650</x:v>
      </x:c>
      <x:c r="N9" s="32" t="n">
        <x:f>SUMIFS('05 Formation'!$H$21:$H$68,'05 Formation'!$C$21:$C$68,C9)</x:f>
        <x:v>568</x:v>
      </x:c>
      <x:c r="O9" s="39" t="n">
        <x:f>SUMIFS('05 Formation'!$I$21:$I$68,'05 Formation'!$C$21:$C$68,C9)</x:f>
        <x:v>8.290000000000001</x:v>
      </x:c>
      <x:c r="P9" s="37" t="n">
        <x:f>COUNTIFS('04 Failure Worlds'!$C$26:$C$93,C9,'04 Failure Worlds'!$H$26:$H$93,1,'04 Failure Worlds'!$O$26:$O$93,"PASS")</x:f>
        <x:v>16</x:v>
      </x:c>
      <x:c r="Q9" s="37" t="n">
        <x:f>COUNTIFS('04 Failure Worlds'!$C$26:$C$93,C9,'04 Failure Worlds'!$H$26:$H$93,1)</x:f>
        <x:v>16</x:v>
      </x:c>
      <x:c r="R9" s="37" t="n">
        <x:f>COUNTIFS('04 Failure Worlds'!$C$26:$C$93,C9,'04 Failure Worlds'!$Q$26:$Q$93,"PASS")</x:f>
        <x:v>17</x:v>
      </x:c>
      <x:c r="S9" s="37" t="str">
        <x:f>IF(H9&gt;='01 Controls'!$D$12,"PASS","FAIL")</x:f>
        <x:v>PASS</x:v>
      </x:c>
      <x:c r="T9" s="37" t="n">
        <x:f>'01 Controls'!$D$16</x:f>
        <x:v>0</x:v>
      </x:c>
      <x:c r="U9" s="17" t="str">
        <x:f>'01 Controls'!$D$18</x:f>
        <x:v>BLOCKED</x:v>
      </x:c>
      <x:c r="V9" s="17" t="str">
        <x:f>IF(AND(P9=Q9,R9=17,S9="PASS",T9&gt;='01 Controls'!$D$17,U9="ELIGIBLE"),"ADMITTED","DENIED")</x:f>
        <x:v>DENIED</x:v>
      </x:c>
      <x:c r="W9" s="30"/>
      <x:c r="X9" s="30"/>
    </x:row>
  </x:sheetData>
  <x:mergeCells>
    <x:mergeCell ref="C2:X2"/>
    <x:mergeCell ref="C3:X3"/>
  </x:mergeCells>
  <x:conditionalFormatting sqref="S6:V9">
    <x:cfRule type="containsText" dxfId="35" priority="1" operator="containsText" text="FAIL"/>
    <x:cfRule type="containsText" dxfId="36" priority="2" operator="containsText" text="DENIED"/>
    <x:cfRule type="containsText" dxfId="37" priority="3" operator="containsText" text="BLOCKED"/>
    <x:cfRule type="containsText" dxfId="38" priority="4" operator="containsText" text="OPEN"/>
    <x:cfRule type="containsText" dxfId="39" priority="5" operator="containsText" text="DECLARED"/>
    <x:cfRule type="containsText" dxfId="40" priority="6" operator="containsText" text="PASS"/>
    <x:cfRule type="containsText" dxfId="41" priority="7" operator="containsText" text="ADMITTED"/>
  </x:conditionalFormatting>
  <x:pageMargins left="0.7" right="0.7" top="0.75" bottom="0.75" header="0.3" footer="0.3"/>
  <x:tableParts count="1">
    <x:tablePart xmlns:r="http://schemas.openxmlformats.org/officeDocument/2006/relationships" r:id="R95fe858a0c1c4d7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4" hidden="0" customWidth="1"/>
    <x:col min="4" max="4" width="12" hidden="0" customWidth="1"/>
    <x:col min="5" max="5" width="27" hidden="0" customWidth="1"/>
    <x:col min="6" max="6" width="25" hidden="0" customWidth="1"/>
    <x:col min="7" max="7" width="25" hidden="0" customWidth="1"/>
    <x:col min="8" max="8" width="25" hidden="0" customWidth="1"/>
    <x:col min="9" max="9" width="16" hidden="0" customWidth="1"/>
    <x:col min="10" max="10" width="16" hidden="0" customWidth="1"/>
    <x:col min="11" max="11" width="14" hidden="0" customWidth="1"/>
    <x:col min="12" max="12" width="31" hidden="0" customWidth="1"/>
    <x:col min="13" max="13" width="3" hidden="0" customWidth="1"/>
    <x:col min="14" max="14" width="14" hidden="0" customWidth="1"/>
    <x:col min="15" max="15" width="21" hidden="0" customWidth="1"/>
    <x:col min="16" max="16" width="24" hidden="0" customWidth="1"/>
    <x:col min="17" max="17" width="18" hidden="0" customWidth="1"/>
    <x:col min="18" max="18" width="25" hidden="0" customWidth="1"/>
  </x:cols>
  <x:sheetData>
    <x:row r="2">
      <x:c r="C2" s="27" t="str">
        <x:v>End-to-end dependency graph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30"/>
      <x:c r="P2" s="30"/>
      <x:c r="Q2" s="30"/>
      <x:c r="R2" s="30"/>
    </x:row>
    <x:row r="3">
      <x:c r="C3" s="29" t="str">
        <x:v>Matching A/B domain identifiers expose a one-cut common mode. K4 also registers a third domain reserved for concurrent or cross-path loss.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30"/>
      <x:c r="P3" s="30"/>
      <x:c r="Q3" s="30"/>
      <x:c r="R3" s="30"/>
    </x:row>
    <x:row r="4"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</x:row>
    <x:row r="5">
      <x:c r="C5" s="9" t="str">
        <x:v>Architecture</x:v>
      </x:c>
      <x:c r="D5" s="9" t="str">
        <x:v>Boundary no.</x:v>
      </x:c>
      <x:c r="E5" s="9" t="str">
        <x:v>Boundary</x:v>
      </x:c>
      <x:c r="F5" s="9" t="str">
        <x:v>Path A domain</x:v>
      </x:c>
      <x:c r="G5" s="9" t="str">
        <x:v>Path B domain</x:v>
      </x:c>
      <x:c r="H5" s="9" t="str">
        <x:v>Reserve domain</x:v>
      </x:c>
      <x:c r="I5" s="9" t="str">
        <x:v>A/B distinct</x:v>
      </x:c>
      <x:c r="J5" s="9" t="str">
        <x:v>Reserve distinct</x:v>
      </x:c>
      <x:c r="K5" s="9" t="str">
        <x:v>Evidence</x:v>
      </x:c>
      <x:c r="L5" s="9" t="str">
        <x:v>Interpretation</x:v>
      </x:c>
      <x:c r="M5" s="30"/>
      <x:c r="N5" s="9" t="str">
        <x:v>Architecture</x:v>
      </x:c>
      <x:c r="O5" s="9" t="str">
        <x:v>Distinct A/B boundaries</x:v>
      </x:c>
      <x:c r="P5" s="9" t="str">
        <x:v>Shared one-cut boundaries</x:v>
      </x:c>
      <x:c r="Q5" s="9" t="str">
        <x:v>Independence ratio</x:v>
      </x:c>
      <x:c r="R5" s="9" t="str">
        <x:v>Minimum domains to remove floor</x:v>
      </x:c>
    </x:row>
    <x:row r="6" ht="34" customHeight="1">
      <x:c r="C6" s="17" t="str">
        <x:v>K1</x:v>
      </x:c>
      <x:c r="D6" s="37" t="n">
        <x:v>1</x:v>
      </x:c>
      <x:c r="E6" s="17" t="str">
        <x:v>Source</x:v>
      </x:c>
      <x:c r="F6" s="17" t="str">
        <x:v>SRC-A</x:v>
      </x:c>
      <x:c r="G6" s="17" t="str">
        <x:v>SRC-B</x:v>
      </x:c>
      <x:c r="H6" s="17" t="str"/>
      <x:c r="I6" s="37" t="n">
        <x:f>IF(F6&lt;&gt;G6,1,0)</x:f>
        <x:v>1</x:v>
      </x:c>
      <x:c r="J6" s="37" t="n">
        <x:f>IF(H6="",0,IF(AND(H6&lt;&gt;F6,H6&lt;&gt;G6),1,0))</x:f>
        <x:v>0</x:v>
      </x:c>
      <x:c r="K6" s="17" t="str">
        <x:v>OPEN</x:v>
      </x:c>
      <x:c r="L6" s="17" t="str">
        <x:f>IF(I6=1,IF(J6=1,"PAIR + RESERVE DISTINCT","PAIR DISTINCT"),"COMMON ONE-CUT DOMAIN")</x:f>
        <x:v>PAIR DISTINCT</x:v>
      </x:c>
      <x:c r="M6" s="30"/>
      <x:c r="N6" s="17" t="str">
        <x:v>K1</x:v>
      </x:c>
      <x:c r="O6" s="37" t="n">
        <x:f>SUMIFS($I$6:$I$53,$C$6:$C$53,N6)</x:f>
        <x:v>2</x:v>
      </x:c>
      <x:c r="P6" s="37" t="n">
        <x:f>'01 Controls'!$D$11-O6</x:f>
        <x:v>10</x:v>
      </x:c>
      <x:c r="Q6" s="38" t="n">
        <x:f>O6/'01 Controls'!$D$11</x:f>
        <x:v>0.16666666666666666</x:v>
      </x:c>
      <x:c r="R6" s="37" t="n">
        <x:f>IF(P6&gt;0,1,IF(N6="K4",IF('01 Controls'!$D$13*'01 Controls'!$D$7&gt;='01 Controls'!$D$7,3,2),2))</x:f>
        <x:v>1</x:v>
      </x:c>
    </x:row>
    <x:row r="7" ht="34" customHeight="1">
      <x:c r="C7" s="17" t="str">
        <x:v>K1</x:v>
      </x:c>
      <x:c r="D7" s="37" t="n">
        <x:v>2</x:v>
      </x:c>
      <x:c r="E7" s="17" t="str">
        <x:v>Treatment</x:v>
      </x:c>
      <x:c r="F7" s="17" t="str">
        <x:v>TRT-A</x:v>
      </x:c>
      <x:c r="G7" s="17" t="str">
        <x:v>TRT-B</x:v>
      </x:c>
      <x:c r="H7" s="17" t="str"/>
      <x:c r="I7" s="37" t="n">
        <x:f>IF(F7&lt;&gt;G7,1,0)</x:f>
        <x:v>1</x:v>
      </x:c>
      <x:c r="J7" s="37" t="n">
        <x:f>IF(H7="",0,IF(AND(H7&lt;&gt;F7,H7&lt;&gt;G7),1,0))</x:f>
        <x:v>0</x:v>
      </x:c>
      <x:c r="K7" s="17" t="str">
        <x:v>OPEN</x:v>
      </x:c>
      <x:c r="L7" s="17" t="str">
        <x:f>IF(I7=1,IF(J7=1,"PAIR + RESERVE DISTINCT","PAIR DISTINCT"),"COMMON ONE-CUT DOMAIN")</x:f>
        <x:v>PAIR DISTINCT</x:v>
      </x:c>
      <x:c r="M7" s="30"/>
      <x:c r="N7" s="17" t="str">
        <x:v>K2</x:v>
      </x:c>
      <x:c r="O7" s="37" t="n">
        <x:f>SUMIFS($I$6:$I$53,$C$6:$C$53,N7)</x:f>
        <x:v>4</x:v>
      </x:c>
      <x:c r="P7" s="37" t="n">
        <x:f>'01 Controls'!$D$11-O7</x:f>
        <x:v>8</x:v>
      </x:c>
      <x:c r="Q7" s="38" t="n">
        <x:f>O7/'01 Controls'!$D$11</x:f>
        <x:v>0.3333333333333333</x:v>
      </x:c>
      <x:c r="R7" s="37" t="n">
        <x:f>IF(P7&gt;0,1,IF(N7="K4",IF('01 Controls'!$D$13*'01 Controls'!$D$7&gt;='01 Controls'!$D$7,3,2),2))</x:f>
        <x:v>1</x:v>
      </x:c>
    </x:row>
    <x:row r="8" ht="34" customHeight="1">
      <x:c r="C8" s="17" t="str">
        <x:v>K1</x:v>
      </x:c>
      <x:c r="D8" s="37" t="n">
        <x:v>3</x:v>
      </x:c>
      <x:c r="E8" s="17" t="str">
        <x:v>Carrier / corridor</x:v>
      </x:c>
      <x:c r="F8" s="17" t="str">
        <x:v>CARRIER---CORRIDOR-0</x:v>
      </x:c>
      <x:c r="G8" s="17" t="str">
        <x:v>CARRIER---CORRIDOR-0</x:v>
      </x:c>
      <x:c r="H8" s="17" t="str"/>
      <x:c r="I8" s="37" t="n">
        <x:f>IF(F8&lt;&gt;G8,1,0)</x:f>
        <x:v>0</x:v>
      </x:c>
      <x:c r="J8" s="37" t="n">
        <x:f>IF(H8="",0,IF(AND(H8&lt;&gt;F8,H8&lt;&gt;G8),1,0))</x:f>
        <x:v>0</x:v>
      </x:c>
      <x:c r="K8" s="17" t="str">
        <x:v>OPEN</x:v>
      </x:c>
      <x:c r="L8" s="17" t="str">
        <x:f>IF(I8=1,IF(J8=1,"PAIR + RESERVE DISTINCT","PAIR DISTINCT"),"COMMON ONE-CUT DOMAIN")</x:f>
        <x:v>COMMON ONE-CUT DOMAIN</x:v>
      </x:c>
      <x:c r="M8" s="30"/>
      <x:c r="N8" s="17" t="str">
        <x:v>K3</x:v>
      </x:c>
      <x:c r="O8" s="37" t="n">
        <x:f>SUMIFS($I$6:$I$53,$C$6:$C$53,N8)</x:f>
        <x:v>9</x:v>
      </x:c>
      <x:c r="P8" s="37" t="n">
        <x:f>'01 Controls'!$D$11-O8</x:f>
        <x:v>3</x:v>
      </x:c>
      <x:c r="Q8" s="38" t="n">
        <x:f>O8/'01 Controls'!$D$11</x:f>
        <x:v>0.75</x:v>
      </x:c>
      <x:c r="R8" s="37" t="n">
        <x:f>IF(P8&gt;0,1,IF(N8="K4",IF('01 Controls'!$D$13*'01 Controls'!$D$7&gt;='01 Controls'!$D$7,3,2),2))</x:f>
        <x:v>1</x:v>
      </x:c>
    </x:row>
    <x:row r="9" ht="34" customHeight="1">
      <x:c r="C9" s="17" t="str">
        <x:v>K1</x:v>
      </x:c>
      <x:c r="D9" s="37" t="n">
        <x:v>4</x:v>
      </x:c>
      <x:c r="E9" s="17" t="str">
        <x:v>Receiving node</x:v>
      </x:c>
      <x:c r="F9" s="17" t="str">
        <x:v>RECEIVING-NODE-0</x:v>
      </x:c>
      <x:c r="G9" s="17" t="str">
        <x:v>RECEIVING-NODE-0</x:v>
      </x:c>
      <x:c r="H9" s="17" t="str"/>
      <x:c r="I9" s="37" t="n">
        <x:f>IF(F9&lt;&gt;G9,1,0)</x:f>
        <x:v>0</x:v>
      </x:c>
      <x:c r="J9" s="37" t="n">
        <x:f>IF(H9="",0,IF(AND(H9&lt;&gt;F9,H9&lt;&gt;G9),1,0))</x:f>
        <x:v>0</x:v>
      </x:c>
      <x:c r="K9" s="17" t="str">
        <x:v>OPEN</x:v>
      </x:c>
      <x:c r="L9" s="17" t="str">
        <x:f>IF(I9=1,IF(J9=1,"PAIR + RESERVE DISTINCT","PAIR DISTINCT"),"COMMON ONE-CUT DOMAIN")</x:f>
        <x:v>COMMON ONE-CUT DOMAIN</x:v>
      </x:c>
      <x:c r="M9" s="30"/>
      <x:c r="N9" s="17" t="str">
        <x:v>K4</x:v>
      </x:c>
      <x:c r="O9" s="37" t="n">
        <x:f>SUMIFS($I$6:$I$53,$C$6:$C$53,N9)</x:f>
        <x:v>12</x:v>
      </x:c>
      <x:c r="P9" s="37" t="n">
        <x:f>'01 Controls'!$D$11-O9</x:f>
        <x:v>0</x:v>
      </x:c>
      <x:c r="Q9" s="38" t="n">
        <x:f>O9/'01 Controls'!$D$11</x:f>
        <x:v>1</x:v>
      </x:c>
      <x:c r="R9" s="37" t="n">
        <x:f>IF(P9&gt;0,1,IF(N9="K4",IF('01 Controls'!$D$13*'01 Controls'!$D$7&gt;='01 Controls'!$D$7,3,2),2))</x:f>
        <x:v>3</x:v>
      </x:c>
    </x:row>
    <x:row r="10" ht="34" customHeight="1">
      <x:c r="C10" s="17" t="str">
        <x:v>K1</x:v>
      </x:c>
      <x:c r="D10" s="37" t="n">
        <x:v>5</x:v>
      </x:c>
      <x:c r="E10" s="17" t="str">
        <x:v>Power</x:v>
      </x:c>
      <x:c r="F10" s="17" t="str">
        <x:v>POWER-0</x:v>
      </x:c>
      <x:c r="G10" s="17" t="str">
        <x:v>POWER-0</x:v>
      </x:c>
      <x:c r="H10" s="17" t="str"/>
      <x:c r="I10" s="37" t="n">
        <x:f>IF(F10&lt;&gt;G10,1,0)</x:f>
        <x:v>0</x:v>
      </x:c>
      <x:c r="J10" s="37" t="n">
        <x:f>IF(H10="",0,IF(AND(H10&lt;&gt;F10,H10&lt;&gt;G10),1,0))</x:f>
        <x:v>0</x:v>
      </x:c>
      <x:c r="K10" s="17" t="str">
        <x:v>OPEN</x:v>
      </x:c>
      <x:c r="L10" s="17" t="str">
        <x:f>IF(I10=1,IF(J10=1,"PAIR + RESERVE DISTINCT","PAIR DISTINCT"),"COMMON ONE-CUT DOMAIN")</x:f>
        <x:v>COMMON ONE-CUT DOMAIN</x:v>
      </x:c>
      <x:c r="M10" s="30"/>
      <x:c r="N10" s="30"/>
      <x:c r="O10" s="30"/>
      <x:c r="P10" s="30"/>
      <x:c r="Q10" s="30"/>
      <x:c r="R10" s="30"/>
    </x:row>
    <x:row r="11" ht="34" customHeight="1">
      <x:c r="C11" s="17" t="str">
        <x:v>K1</x:v>
      </x:c>
      <x:c r="D11" s="37" t="n">
        <x:v>6</x:v>
      </x:c>
      <x:c r="E11" s="17" t="str">
        <x:v>Quality / release</x:v>
      </x:c>
      <x:c r="F11" s="17" t="str">
        <x:v>QUALITY---RELEASE-0</x:v>
      </x:c>
      <x:c r="G11" s="17" t="str">
        <x:v>QUALITY---RELEASE-0</x:v>
      </x:c>
      <x:c r="H11" s="17" t="str"/>
      <x:c r="I11" s="37" t="n">
        <x:f>IF(F11&lt;&gt;G11,1,0)</x:f>
        <x:v>0</x:v>
      </x:c>
      <x:c r="J11" s="37" t="n">
        <x:f>IF(H11="",0,IF(AND(H11&lt;&gt;F11,H11&lt;&gt;G11),1,0))</x:f>
        <x:v>0</x:v>
      </x:c>
      <x:c r="K11" s="17" t="str">
        <x:v>OPEN</x:v>
      </x:c>
      <x:c r="L11" s="17" t="str">
        <x:f>IF(I11=1,IF(J11=1,"PAIR + RESERVE DISTINCT","PAIR DISTINCT"),"COMMON ONE-CUT DOMAIN")</x:f>
        <x:v>COMMON ONE-CUT DOMAIN</x:v>
      </x:c>
      <x:c r="M11" s="30"/>
      <x:c r="N11" s="30"/>
      <x:c r="O11" s="30"/>
      <x:c r="P11" s="30"/>
      <x:c r="Q11" s="30"/>
      <x:c r="R11" s="30"/>
    </x:row>
    <x:row r="12" ht="34" customHeight="1">
      <x:c r="C12" s="17" t="str">
        <x:v>K1</x:v>
      </x:c>
      <x:c r="D12" s="37" t="n">
        <x:v>7</x:v>
      </x:c>
      <x:c r="E12" s="17" t="str">
        <x:v>Receiver island</x:v>
      </x:c>
      <x:c r="F12" s="17" t="str">
        <x:v>RECEIVER-ISLAND-0</x:v>
      </x:c>
      <x:c r="G12" s="17" t="str">
        <x:v>RECEIVER-ISLAND-0</x:v>
      </x:c>
      <x:c r="H12" s="17" t="str"/>
      <x:c r="I12" s="37" t="n">
        <x:f>IF(F12&lt;&gt;G12,1,0)</x:f>
        <x:v>0</x:v>
      </x:c>
      <x:c r="J12" s="37" t="n">
        <x:f>IF(H12="",0,IF(AND(H12&lt;&gt;F12,H12&lt;&gt;G12),1,0))</x:f>
        <x:v>0</x:v>
      </x:c>
      <x:c r="K12" s="17" t="str">
        <x:v>OPEN</x:v>
      </x:c>
      <x:c r="L12" s="17" t="str">
        <x:f>IF(I12=1,IF(J12=1,"PAIR + RESERVE DISTINCT","PAIR DISTINCT"),"COMMON ONE-CUT DOMAIN")</x:f>
        <x:v>COMMON ONE-CUT DOMAIN</x:v>
      </x:c>
      <x:c r="M12" s="30"/>
      <x:c r="N12" s="30"/>
      <x:c r="O12" s="30"/>
      <x:c r="P12" s="30"/>
      <x:c r="Q12" s="30"/>
      <x:c r="R12" s="30"/>
    </x:row>
    <x:row r="13" ht="34" customHeight="1">
      <x:c r="C13" s="17" t="str">
        <x:v>K1</x:v>
      </x:c>
      <x:c r="D13" s="37" t="n">
        <x:v>8</x:v>
      </x:c>
      <x:c r="E13" s="17" t="str">
        <x:v>Process-material lot</x:v>
      </x:c>
      <x:c r="F13" s="17" t="str">
        <x:v>PROCESS-MATERIAL-LOT-0</x:v>
      </x:c>
      <x:c r="G13" s="17" t="str">
        <x:v>PROCESS-MATERIAL-LOT-0</x:v>
      </x:c>
      <x:c r="H13" s="17" t="str"/>
      <x:c r="I13" s="37" t="n">
        <x:f>IF(F13&lt;&gt;G13,1,0)</x:f>
        <x:v>0</x:v>
      </x:c>
      <x:c r="J13" s="37" t="n">
        <x:f>IF(H13="",0,IF(AND(H13&lt;&gt;F13,H13&lt;&gt;G13),1,0))</x:f>
        <x:v>0</x:v>
      </x:c>
      <x:c r="K13" s="17" t="str">
        <x:v>OPEN</x:v>
      </x:c>
      <x:c r="L13" s="17" t="str">
        <x:f>IF(I13=1,IF(J13=1,"PAIR + RESERVE DISTINCT","PAIR DISTINCT"),"COMMON ONE-CUT DOMAIN")</x:f>
        <x:v>COMMON ONE-CUT DOMAIN</x:v>
      </x:c>
      <x:c r="M13" s="30"/>
      <x:c r="N13" s="30"/>
      <x:c r="O13" s="30"/>
      <x:c r="P13" s="30"/>
      <x:c r="Q13" s="30"/>
      <x:c r="R13" s="30"/>
    </x:row>
    <x:row r="14" ht="34" customHeight="1">
      <x:c r="C14" s="17" t="str">
        <x:v>K1</x:v>
      </x:c>
      <x:c r="D14" s="37" t="n">
        <x:v>9</x:v>
      </x:c>
      <x:c r="E14" s="17" t="str">
        <x:v>Crew cohort</x:v>
      </x:c>
      <x:c r="F14" s="17" t="str">
        <x:v>CREW-COHORT-0</x:v>
      </x:c>
      <x:c r="G14" s="17" t="str">
        <x:v>CREW-COHORT-0</x:v>
      </x:c>
      <x:c r="H14" s="17" t="str"/>
      <x:c r="I14" s="37" t="n">
        <x:f>IF(F14&lt;&gt;G14,1,0)</x:f>
        <x:v>0</x:v>
      </x:c>
      <x:c r="J14" s="37" t="n">
        <x:f>IF(H14="",0,IF(AND(H14&lt;&gt;F14,H14&lt;&gt;G14),1,0))</x:f>
        <x:v>0</x:v>
      </x:c>
      <x:c r="K14" s="17" t="str">
        <x:v>OPEN</x:v>
      </x:c>
      <x:c r="L14" s="17" t="str">
        <x:f>IF(I14=1,IF(J14=1,"PAIR + RESERVE DISTINCT","PAIR DISTINCT"),"COMMON ONE-CUT DOMAIN")</x:f>
        <x:v>COMMON ONE-CUT DOMAIN</x:v>
      </x:c>
      <x:c r="M14" s="30"/>
      <x:c r="N14" s="30"/>
      <x:c r="O14" s="30"/>
      <x:c r="P14" s="30"/>
      <x:c r="Q14" s="30"/>
      <x:c r="R14" s="30"/>
    </x:row>
    <x:row r="15" ht="34" customHeight="1">
      <x:c r="C15" s="17" t="str">
        <x:v>K1</x:v>
      </x:c>
      <x:c r="D15" s="37" t="n">
        <x:v>10</x:v>
      </x:c>
      <x:c r="E15" s="17" t="str">
        <x:v>Reset depot</x:v>
      </x:c>
      <x:c r="F15" s="17" t="str">
        <x:v>RESET-DEPOT-0</x:v>
      </x:c>
      <x:c r="G15" s="17" t="str">
        <x:v>RESET-DEPOT-0</x:v>
      </x:c>
      <x:c r="H15" s="17" t="str"/>
      <x:c r="I15" s="37" t="n">
        <x:f>IF(F15&lt;&gt;G15,1,0)</x:f>
        <x:v>0</x:v>
      </x:c>
      <x:c r="J15" s="37" t="n">
        <x:f>IF(H15="",0,IF(AND(H15&lt;&gt;F15,H15&lt;&gt;G15),1,0))</x:f>
        <x:v>0</x:v>
      </x:c>
      <x:c r="K15" s="17" t="str">
        <x:v>OPEN</x:v>
      </x:c>
      <x:c r="L15" s="17" t="str">
        <x:f>IF(I15=1,IF(J15=1,"PAIR + RESERVE DISTINCT","PAIR DISTINCT"),"COMMON ONE-CUT DOMAIN")</x:f>
        <x:v>COMMON ONE-CUT DOMAIN</x:v>
      </x:c>
      <x:c r="M15" s="30"/>
      <x:c r="N15" s="30"/>
      <x:c r="O15" s="30"/>
      <x:c r="P15" s="30"/>
      <x:c r="Q15" s="30"/>
      <x:c r="R15" s="30"/>
    </x:row>
    <x:row r="16" ht="34" customHeight="1">
      <x:c r="C16" s="17" t="str">
        <x:v>K1</x:v>
      </x:c>
      <x:c r="D16" s="37" t="n">
        <x:v>11</x:v>
      </x:c>
      <x:c r="E16" s="17" t="str">
        <x:v>Control / evidence</x:v>
      </x:c>
      <x:c r="F16" s="17" t="str">
        <x:v>CONTROL---EVIDENCE-0</x:v>
      </x:c>
      <x:c r="G16" s="17" t="str">
        <x:v>CONTROL---EVIDENCE-0</x:v>
      </x:c>
      <x:c r="H16" s="17" t="str"/>
      <x:c r="I16" s="37" t="n">
        <x:f>IF(F16&lt;&gt;G16,1,0)</x:f>
        <x:v>0</x:v>
      </x:c>
      <x:c r="J16" s="37" t="n">
        <x:f>IF(H16="",0,IF(AND(H16&lt;&gt;F16,H16&lt;&gt;G16),1,0))</x:f>
        <x:v>0</x:v>
      </x:c>
      <x:c r="K16" s="17" t="str">
        <x:v>OPEN</x:v>
      </x:c>
      <x:c r="L16" s="17" t="str">
        <x:f>IF(I16=1,IF(J16=1,"PAIR + RESERVE DISTINCT","PAIR DISTINCT"),"COMMON ONE-CUT DOMAIN")</x:f>
        <x:v>COMMON ONE-CUT DOMAIN</x:v>
      </x:c>
      <x:c r="M16" s="30"/>
      <x:c r="N16" s="30"/>
      <x:c r="O16" s="30"/>
      <x:c r="P16" s="30"/>
      <x:c r="Q16" s="30"/>
      <x:c r="R16" s="30"/>
    </x:row>
    <x:row r="17" ht="34" customHeight="1">
      <x:c r="C17" s="17" t="str">
        <x:v>K1</x:v>
      </x:c>
      <x:c r="D17" s="37" t="n">
        <x:v>12</x:v>
      </x:c>
      <x:c r="E17" s="17" t="str">
        <x:v>Mobilization base</x:v>
      </x:c>
      <x:c r="F17" s="17" t="str">
        <x:v>MOBILIZATION-BASE-0</x:v>
      </x:c>
      <x:c r="G17" s="17" t="str">
        <x:v>MOBILIZATION-BASE-0</x:v>
      </x:c>
      <x:c r="H17" s="17" t="str"/>
      <x:c r="I17" s="37" t="n">
        <x:f>IF(F17&lt;&gt;G17,1,0)</x:f>
        <x:v>0</x:v>
      </x:c>
      <x:c r="J17" s="37" t="n">
        <x:f>IF(H17="",0,IF(AND(H17&lt;&gt;F17,H17&lt;&gt;G17),1,0))</x:f>
        <x:v>0</x:v>
      </x:c>
      <x:c r="K17" s="17" t="str">
        <x:v>OPEN</x:v>
      </x:c>
      <x:c r="L17" s="17" t="str">
        <x:f>IF(I17=1,IF(J17=1,"PAIR + RESERVE DISTINCT","PAIR DISTINCT"),"COMMON ONE-CUT DOMAIN")</x:f>
        <x:v>COMMON ONE-CUT DOMAIN</x:v>
      </x:c>
      <x:c r="M17" s="30"/>
      <x:c r="N17" s="30"/>
      <x:c r="O17" s="30"/>
      <x:c r="P17" s="30"/>
      <x:c r="Q17" s="30"/>
      <x:c r="R17" s="30"/>
    </x:row>
    <x:row r="18" ht="34" customHeight="1">
      <x:c r="C18" s="17" t="str">
        <x:v>K2</x:v>
      </x:c>
      <x:c r="D18" s="37" t="n">
        <x:v>1</x:v>
      </x:c>
      <x:c r="E18" s="17" t="str">
        <x:v>Source</x:v>
      </x:c>
      <x:c r="F18" s="17" t="str">
        <x:v>SRC-A</x:v>
      </x:c>
      <x:c r="G18" s="17" t="str">
        <x:v>SRC-B</x:v>
      </x:c>
      <x:c r="H18" s="17" t="str"/>
      <x:c r="I18" s="37" t="n">
        <x:f>IF(F18&lt;&gt;G18,1,0)</x:f>
        <x:v>1</x:v>
      </x:c>
      <x:c r="J18" s="37" t="n">
        <x:f>IF(H18="",0,IF(AND(H18&lt;&gt;F18,H18&lt;&gt;G18),1,0))</x:f>
        <x:v>0</x:v>
      </x:c>
      <x:c r="K18" s="17" t="str">
        <x:v>OPEN</x:v>
      </x:c>
      <x:c r="L18" s="17" t="str">
        <x:f>IF(I18=1,IF(J18=1,"PAIR + RESERVE DISTINCT","PAIR DISTINCT"),"COMMON ONE-CUT DOMAIN")</x:f>
        <x:v>PAIR DISTINCT</x:v>
      </x:c>
      <x:c r="M18" s="30"/>
      <x:c r="N18" s="30"/>
      <x:c r="O18" s="30"/>
      <x:c r="P18" s="30"/>
      <x:c r="Q18" s="30"/>
      <x:c r="R18" s="30"/>
    </x:row>
    <x:row r="19" ht="34" customHeight="1">
      <x:c r="C19" s="17" t="str">
        <x:v>K2</x:v>
      </x:c>
      <x:c r="D19" s="37" t="n">
        <x:v>2</x:v>
      </x:c>
      <x:c r="E19" s="17" t="str">
        <x:v>Treatment</x:v>
      </x:c>
      <x:c r="F19" s="17" t="str">
        <x:v>TRT-A</x:v>
      </x:c>
      <x:c r="G19" s="17" t="str">
        <x:v>TRT-B</x:v>
      </x:c>
      <x:c r="H19" s="17" t="str"/>
      <x:c r="I19" s="37" t="n">
        <x:f>IF(F19&lt;&gt;G19,1,0)</x:f>
        <x:v>1</x:v>
      </x:c>
      <x:c r="J19" s="37" t="n">
        <x:f>IF(H19="",0,IF(AND(H19&lt;&gt;F19,H19&lt;&gt;G19),1,0))</x:f>
        <x:v>0</x:v>
      </x:c>
      <x:c r="K19" s="17" t="str">
        <x:v>OPEN</x:v>
      </x:c>
      <x:c r="L19" s="17" t="str">
        <x:f>IF(I19=1,IF(J19=1,"PAIR + RESERVE DISTINCT","PAIR DISTINCT"),"COMMON ONE-CUT DOMAIN")</x:f>
        <x:v>PAIR DISTINCT</x:v>
      </x:c>
      <x:c r="M19" s="30"/>
      <x:c r="N19" s="30"/>
      <x:c r="O19" s="30"/>
      <x:c r="P19" s="30"/>
      <x:c r="Q19" s="30"/>
      <x:c r="R19" s="30"/>
    </x:row>
    <x:row r="20" ht="34" customHeight="1">
      <x:c r="C20" s="17" t="str">
        <x:v>K2</x:v>
      </x:c>
      <x:c r="D20" s="37" t="n">
        <x:v>3</x:v>
      </x:c>
      <x:c r="E20" s="17" t="str">
        <x:v>Carrier / corridor</x:v>
      </x:c>
      <x:c r="F20" s="17" t="str">
        <x:v>CAR-A</x:v>
      </x:c>
      <x:c r="G20" s="17" t="str">
        <x:v>CAR-B</x:v>
      </x:c>
      <x:c r="H20" s="17" t="str"/>
      <x:c r="I20" s="37" t="n">
        <x:f>IF(F20&lt;&gt;G20,1,0)</x:f>
        <x:v>1</x:v>
      </x:c>
      <x:c r="J20" s="37" t="n">
        <x:f>IF(H20="",0,IF(AND(H20&lt;&gt;F20,H20&lt;&gt;G20),1,0))</x:f>
        <x:v>0</x:v>
      </x:c>
      <x:c r="K20" s="17" t="str">
        <x:v>OPEN</x:v>
      </x:c>
      <x:c r="L20" s="17" t="str">
        <x:f>IF(I20=1,IF(J20=1,"PAIR + RESERVE DISTINCT","PAIR DISTINCT"),"COMMON ONE-CUT DOMAIN")</x:f>
        <x:v>PAIR DISTINCT</x:v>
      </x:c>
      <x:c r="M20" s="30"/>
      <x:c r="N20" s="30"/>
      <x:c r="O20" s="30"/>
      <x:c r="P20" s="30"/>
      <x:c r="Q20" s="30"/>
      <x:c r="R20" s="30"/>
    </x:row>
    <x:row r="21" ht="34" customHeight="1">
      <x:c r="C21" s="17" t="str">
        <x:v>K2</x:v>
      </x:c>
      <x:c r="D21" s="37" t="n">
        <x:v>4</x:v>
      </x:c>
      <x:c r="E21" s="17" t="str">
        <x:v>Receiving node</x:v>
      </x:c>
      <x:c r="F21" s="17" t="str">
        <x:v>NODE-A</x:v>
      </x:c>
      <x:c r="G21" s="17" t="str">
        <x:v>NODE-B</x:v>
      </x:c>
      <x:c r="H21" s="17" t="str"/>
      <x:c r="I21" s="37" t="n">
        <x:f>IF(F21&lt;&gt;G21,1,0)</x:f>
        <x:v>1</x:v>
      </x:c>
      <x:c r="J21" s="37" t="n">
        <x:f>IF(H21="",0,IF(AND(H21&lt;&gt;F21,H21&lt;&gt;G21),1,0))</x:f>
        <x:v>0</x:v>
      </x:c>
      <x:c r="K21" s="17" t="str">
        <x:v>OPEN</x:v>
      </x:c>
      <x:c r="L21" s="17" t="str">
        <x:f>IF(I21=1,IF(J21=1,"PAIR + RESERVE DISTINCT","PAIR DISTINCT"),"COMMON ONE-CUT DOMAIN")</x:f>
        <x:v>PAIR DISTINCT</x:v>
      </x:c>
      <x:c r="M21" s="30"/>
      <x:c r="N21" s="30"/>
      <x:c r="O21" s="30"/>
      <x:c r="P21" s="30"/>
      <x:c r="Q21" s="30"/>
      <x:c r="R21" s="30"/>
    </x:row>
    <x:row r="22" ht="34" customHeight="1">
      <x:c r="C22" s="17" t="str">
        <x:v>K2</x:v>
      </x:c>
      <x:c r="D22" s="37" t="n">
        <x:v>5</x:v>
      </x:c>
      <x:c r="E22" s="17" t="str">
        <x:v>Power</x:v>
      </x:c>
      <x:c r="F22" s="17" t="str">
        <x:v>POWER-0</x:v>
      </x:c>
      <x:c r="G22" s="17" t="str">
        <x:v>POWER-0</x:v>
      </x:c>
      <x:c r="H22" s="17" t="str"/>
      <x:c r="I22" s="37" t="n">
        <x:f>IF(F22&lt;&gt;G22,1,0)</x:f>
        <x:v>0</x:v>
      </x:c>
      <x:c r="J22" s="37" t="n">
        <x:f>IF(H22="",0,IF(AND(H22&lt;&gt;F22,H22&lt;&gt;G22),1,0))</x:f>
        <x:v>0</x:v>
      </x:c>
      <x:c r="K22" s="17" t="str">
        <x:v>OPEN</x:v>
      </x:c>
      <x:c r="L22" s="17" t="str">
        <x:f>IF(I22=1,IF(J22=1,"PAIR + RESERVE DISTINCT","PAIR DISTINCT"),"COMMON ONE-CUT DOMAIN")</x:f>
        <x:v>COMMON ONE-CUT DOMAIN</x:v>
      </x:c>
      <x:c r="M22" s="30"/>
      <x:c r="N22" s="30"/>
      <x:c r="O22" s="30"/>
      <x:c r="P22" s="30"/>
      <x:c r="Q22" s="30"/>
      <x:c r="R22" s="30"/>
    </x:row>
    <x:row r="23" ht="34" customHeight="1">
      <x:c r="C23" s="17" t="str">
        <x:v>K2</x:v>
      </x:c>
      <x:c r="D23" s="37" t="n">
        <x:v>6</x:v>
      </x:c>
      <x:c r="E23" s="17" t="str">
        <x:v>Quality / release</x:v>
      </x:c>
      <x:c r="F23" s="17" t="str">
        <x:v>QUALITY---RELEASE-0</x:v>
      </x:c>
      <x:c r="G23" s="17" t="str">
        <x:v>QUALITY---RELEASE-0</x:v>
      </x:c>
      <x:c r="H23" s="17" t="str"/>
      <x:c r="I23" s="37" t="n">
        <x:f>IF(F23&lt;&gt;G23,1,0)</x:f>
        <x:v>0</x:v>
      </x:c>
      <x:c r="J23" s="37" t="n">
        <x:f>IF(H23="",0,IF(AND(H23&lt;&gt;F23,H23&lt;&gt;G23),1,0))</x:f>
        <x:v>0</x:v>
      </x:c>
      <x:c r="K23" s="17" t="str">
        <x:v>OPEN</x:v>
      </x:c>
      <x:c r="L23" s="17" t="str">
        <x:f>IF(I23=1,IF(J23=1,"PAIR + RESERVE DISTINCT","PAIR DISTINCT"),"COMMON ONE-CUT DOMAIN")</x:f>
        <x:v>COMMON ONE-CUT DOMAIN</x:v>
      </x:c>
      <x:c r="M23" s="30"/>
      <x:c r="N23" s="30"/>
      <x:c r="O23" s="30"/>
      <x:c r="P23" s="30"/>
      <x:c r="Q23" s="30"/>
      <x:c r="R23" s="30"/>
    </x:row>
    <x:row r="24" ht="34" customHeight="1">
      <x:c r="C24" s="17" t="str">
        <x:v>K2</x:v>
      </x:c>
      <x:c r="D24" s="37" t="n">
        <x:v>7</x:v>
      </x:c>
      <x:c r="E24" s="17" t="str">
        <x:v>Receiver island</x:v>
      </x:c>
      <x:c r="F24" s="17" t="str">
        <x:v>RECEIVER-ISLAND-0</x:v>
      </x:c>
      <x:c r="G24" s="17" t="str">
        <x:v>RECEIVER-ISLAND-0</x:v>
      </x:c>
      <x:c r="H24" s="17" t="str"/>
      <x:c r="I24" s="37" t="n">
        <x:f>IF(F24&lt;&gt;G24,1,0)</x:f>
        <x:v>0</x:v>
      </x:c>
      <x:c r="J24" s="37" t="n">
        <x:f>IF(H24="",0,IF(AND(H24&lt;&gt;F24,H24&lt;&gt;G24),1,0))</x:f>
        <x:v>0</x:v>
      </x:c>
      <x:c r="K24" s="17" t="str">
        <x:v>OPEN</x:v>
      </x:c>
      <x:c r="L24" s="17" t="str">
        <x:f>IF(I24=1,IF(J24=1,"PAIR + RESERVE DISTINCT","PAIR DISTINCT"),"COMMON ONE-CUT DOMAIN")</x:f>
        <x:v>COMMON ONE-CUT DOMAIN</x:v>
      </x:c>
      <x:c r="M24" s="30"/>
      <x:c r="N24" s="30"/>
      <x:c r="O24" s="30"/>
      <x:c r="P24" s="30"/>
      <x:c r="Q24" s="30"/>
      <x:c r="R24" s="30"/>
    </x:row>
    <x:row r="25" ht="34" customHeight="1">
      <x:c r="C25" s="17" t="str">
        <x:v>K2</x:v>
      </x:c>
      <x:c r="D25" s="37" t="n">
        <x:v>8</x:v>
      </x:c>
      <x:c r="E25" s="17" t="str">
        <x:v>Process-material lot</x:v>
      </x:c>
      <x:c r="F25" s="17" t="str">
        <x:v>PROCESS-MATERIAL-LOT-0</x:v>
      </x:c>
      <x:c r="G25" s="17" t="str">
        <x:v>PROCESS-MATERIAL-LOT-0</x:v>
      </x:c>
      <x:c r="H25" s="17" t="str"/>
      <x:c r="I25" s="37" t="n">
        <x:f>IF(F25&lt;&gt;G25,1,0)</x:f>
        <x:v>0</x:v>
      </x:c>
      <x:c r="J25" s="37" t="n">
        <x:f>IF(H25="",0,IF(AND(H25&lt;&gt;F25,H25&lt;&gt;G25),1,0))</x:f>
        <x:v>0</x:v>
      </x:c>
      <x:c r="K25" s="17" t="str">
        <x:v>OPEN</x:v>
      </x:c>
      <x:c r="L25" s="17" t="str">
        <x:f>IF(I25=1,IF(J25=1,"PAIR + RESERVE DISTINCT","PAIR DISTINCT"),"COMMON ONE-CUT DOMAIN")</x:f>
        <x:v>COMMON ONE-CUT DOMAIN</x:v>
      </x:c>
      <x:c r="M25" s="30"/>
      <x:c r="N25" s="30"/>
      <x:c r="O25" s="30"/>
      <x:c r="P25" s="30"/>
      <x:c r="Q25" s="30"/>
      <x:c r="R25" s="30"/>
    </x:row>
    <x:row r="26" ht="34" customHeight="1">
      <x:c r="C26" s="17" t="str">
        <x:v>K2</x:v>
      </x:c>
      <x:c r="D26" s="37" t="n">
        <x:v>9</x:v>
      </x:c>
      <x:c r="E26" s="17" t="str">
        <x:v>Crew cohort</x:v>
      </x:c>
      <x:c r="F26" s="17" t="str">
        <x:v>CREW-COHORT-0</x:v>
      </x:c>
      <x:c r="G26" s="17" t="str">
        <x:v>CREW-COHORT-0</x:v>
      </x:c>
      <x:c r="H26" s="17" t="str"/>
      <x:c r="I26" s="37" t="n">
        <x:f>IF(F26&lt;&gt;G26,1,0)</x:f>
        <x:v>0</x:v>
      </x:c>
      <x:c r="J26" s="37" t="n">
        <x:f>IF(H26="",0,IF(AND(H26&lt;&gt;F26,H26&lt;&gt;G26),1,0))</x:f>
        <x:v>0</x:v>
      </x:c>
      <x:c r="K26" s="17" t="str">
        <x:v>OPEN</x:v>
      </x:c>
      <x:c r="L26" s="17" t="str">
        <x:f>IF(I26=1,IF(J26=1,"PAIR + RESERVE DISTINCT","PAIR DISTINCT"),"COMMON ONE-CUT DOMAIN")</x:f>
        <x:v>COMMON ONE-CUT DOMAIN</x:v>
      </x:c>
      <x:c r="M26" s="30"/>
      <x:c r="N26" s="30"/>
      <x:c r="O26" s="30"/>
      <x:c r="P26" s="30"/>
      <x:c r="Q26" s="30"/>
      <x:c r="R26" s="30"/>
    </x:row>
    <x:row r="27" ht="34" customHeight="1">
      <x:c r="C27" s="17" t="str">
        <x:v>K2</x:v>
      </x:c>
      <x:c r="D27" s="37" t="n">
        <x:v>10</x:v>
      </x:c>
      <x:c r="E27" s="17" t="str">
        <x:v>Reset depot</x:v>
      </x:c>
      <x:c r="F27" s="17" t="str">
        <x:v>RESET-DEPOT-0</x:v>
      </x:c>
      <x:c r="G27" s="17" t="str">
        <x:v>RESET-DEPOT-0</x:v>
      </x:c>
      <x:c r="H27" s="17" t="str"/>
      <x:c r="I27" s="37" t="n">
        <x:f>IF(F27&lt;&gt;G27,1,0)</x:f>
        <x:v>0</x:v>
      </x:c>
      <x:c r="J27" s="37" t="n">
        <x:f>IF(H27="",0,IF(AND(H27&lt;&gt;F27,H27&lt;&gt;G27),1,0))</x:f>
        <x:v>0</x:v>
      </x:c>
      <x:c r="K27" s="17" t="str">
        <x:v>OPEN</x:v>
      </x:c>
      <x:c r="L27" s="17" t="str">
        <x:f>IF(I27=1,IF(J27=1,"PAIR + RESERVE DISTINCT","PAIR DISTINCT"),"COMMON ONE-CUT DOMAIN")</x:f>
        <x:v>COMMON ONE-CUT DOMAIN</x:v>
      </x:c>
      <x:c r="M27" s="30"/>
      <x:c r="N27" s="30"/>
      <x:c r="O27" s="30"/>
      <x:c r="P27" s="30"/>
      <x:c r="Q27" s="30"/>
      <x:c r="R27" s="30"/>
    </x:row>
    <x:row r="28" ht="34" customHeight="1">
      <x:c r="C28" s="17" t="str">
        <x:v>K2</x:v>
      </x:c>
      <x:c r="D28" s="37" t="n">
        <x:v>11</x:v>
      </x:c>
      <x:c r="E28" s="17" t="str">
        <x:v>Control / evidence</x:v>
      </x:c>
      <x:c r="F28" s="17" t="str">
        <x:v>CONTROL---EVIDENCE-0</x:v>
      </x:c>
      <x:c r="G28" s="17" t="str">
        <x:v>CONTROL---EVIDENCE-0</x:v>
      </x:c>
      <x:c r="H28" s="17" t="str"/>
      <x:c r="I28" s="37" t="n">
        <x:f>IF(F28&lt;&gt;G28,1,0)</x:f>
        <x:v>0</x:v>
      </x:c>
      <x:c r="J28" s="37" t="n">
        <x:f>IF(H28="",0,IF(AND(H28&lt;&gt;F28,H28&lt;&gt;G28),1,0))</x:f>
        <x:v>0</x:v>
      </x:c>
      <x:c r="K28" s="17" t="str">
        <x:v>OPEN</x:v>
      </x:c>
      <x:c r="L28" s="17" t="str">
        <x:f>IF(I28=1,IF(J28=1,"PAIR + RESERVE DISTINCT","PAIR DISTINCT"),"COMMON ONE-CUT DOMAIN")</x:f>
        <x:v>COMMON ONE-CUT DOMAIN</x:v>
      </x:c>
      <x:c r="M28" s="30"/>
      <x:c r="N28" s="30"/>
      <x:c r="O28" s="30"/>
      <x:c r="P28" s="30"/>
      <x:c r="Q28" s="30"/>
      <x:c r="R28" s="30"/>
    </x:row>
    <x:row r="29" ht="34" customHeight="1">
      <x:c r="C29" s="17" t="str">
        <x:v>K2</x:v>
      </x:c>
      <x:c r="D29" s="37" t="n">
        <x:v>12</x:v>
      </x:c>
      <x:c r="E29" s="17" t="str">
        <x:v>Mobilization base</x:v>
      </x:c>
      <x:c r="F29" s="17" t="str">
        <x:v>MOBILIZATION-BASE-0</x:v>
      </x:c>
      <x:c r="G29" s="17" t="str">
        <x:v>MOBILIZATION-BASE-0</x:v>
      </x:c>
      <x:c r="H29" s="17" t="str"/>
      <x:c r="I29" s="37" t="n">
        <x:f>IF(F29&lt;&gt;G29,1,0)</x:f>
        <x:v>0</x:v>
      </x:c>
      <x:c r="J29" s="37" t="n">
        <x:f>IF(H29="",0,IF(AND(H29&lt;&gt;F29,H29&lt;&gt;G29),1,0))</x:f>
        <x:v>0</x:v>
      </x:c>
      <x:c r="K29" s="17" t="str">
        <x:v>OPEN</x:v>
      </x:c>
      <x:c r="L29" s="17" t="str">
        <x:f>IF(I29=1,IF(J29=1,"PAIR + RESERVE DISTINCT","PAIR DISTINCT"),"COMMON ONE-CUT DOMAIN")</x:f>
        <x:v>COMMON ONE-CUT DOMAIN</x:v>
      </x:c>
      <x:c r="M29" s="30"/>
      <x:c r="N29" s="30"/>
      <x:c r="O29" s="30"/>
      <x:c r="P29" s="30"/>
      <x:c r="Q29" s="30"/>
      <x:c r="R29" s="30"/>
    </x:row>
    <x:row r="30" ht="34" customHeight="1">
      <x:c r="C30" s="17" t="str">
        <x:v>K3</x:v>
      </x:c>
      <x:c r="D30" s="37" t="n">
        <x:v>1</x:v>
      </x:c>
      <x:c r="E30" s="17" t="str">
        <x:v>Source</x:v>
      </x:c>
      <x:c r="F30" s="17" t="str">
        <x:v>SRC-A</x:v>
      </x:c>
      <x:c r="G30" s="17" t="str">
        <x:v>SRC-B</x:v>
      </x:c>
      <x:c r="H30" s="17" t="str"/>
      <x:c r="I30" s="37" t="n">
        <x:f>IF(F30&lt;&gt;G30,1,0)</x:f>
        <x:v>1</x:v>
      </x:c>
      <x:c r="J30" s="37" t="n">
        <x:f>IF(H30="",0,IF(AND(H30&lt;&gt;F30,H30&lt;&gt;G30),1,0))</x:f>
        <x:v>0</x:v>
      </x:c>
      <x:c r="K30" s="17" t="str">
        <x:v>OPEN</x:v>
      </x:c>
      <x:c r="L30" s="17" t="str">
        <x:f>IF(I30=1,IF(J30=1,"PAIR + RESERVE DISTINCT","PAIR DISTINCT"),"COMMON ONE-CUT DOMAIN")</x:f>
        <x:v>PAIR DISTINCT</x:v>
      </x:c>
      <x:c r="M30" s="30"/>
      <x:c r="N30" s="30"/>
      <x:c r="O30" s="30"/>
      <x:c r="P30" s="30"/>
      <x:c r="Q30" s="30"/>
      <x:c r="R30" s="30"/>
    </x:row>
    <x:row r="31" ht="34" customHeight="1">
      <x:c r="C31" s="17" t="str">
        <x:v>K3</x:v>
      </x:c>
      <x:c r="D31" s="37" t="n">
        <x:v>2</x:v>
      </x:c>
      <x:c r="E31" s="17" t="str">
        <x:v>Treatment</x:v>
      </x:c>
      <x:c r="F31" s="17" t="str">
        <x:v>TRT-A</x:v>
      </x:c>
      <x:c r="G31" s="17" t="str">
        <x:v>TRT-B</x:v>
      </x:c>
      <x:c r="H31" s="17" t="str"/>
      <x:c r="I31" s="37" t="n">
        <x:f>IF(F31&lt;&gt;G31,1,0)</x:f>
        <x:v>1</x:v>
      </x:c>
      <x:c r="J31" s="37" t="n">
        <x:f>IF(H31="",0,IF(AND(H31&lt;&gt;F31,H31&lt;&gt;G31),1,0))</x:f>
        <x:v>0</x:v>
      </x:c>
      <x:c r="K31" s="17" t="str">
        <x:v>OPEN</x:v>
      </x:c>
      <x:c r="L31" s="17" t="str">
        <x:f>IF(I31=1,IF(J31=1,"PAIR + RESERVE DISTINCT","PAIR DISTINCT"),"COMMON ONE-CUT DOMAIN")</x:f>
        <x:v>PAIR DISTINCT</x:v>
      </x:c>
      <x:c r="M31" s="30"/>
      <x:c r="N31" s="30"/>
      <x:c r="O31" s="30"/>
      <x:c r="P31" s="30"/>
      <x:c r="Q31" s="30"/>
      <x:c r="R31" s="30"/>
    </x:row>
    <x:row r="32" ht="34" customHeight="1">
      <x:c r="C32" s="17" t="str">
        <x:v>K3</x:v>
      </x:c>
      <x:c r="D32" s="37" t="n">
        <x:v>3</x:v>
      </x:c>
      <x:c r="E32" s="17" t="str">
        <x:v>Carrier / corridor</x:v>
      </x:c>
      <x:c r="F32" s="17" t="str">
        <x:v>CAR-A</x:v>
      </x:c>
      <x:c r="G32" s="17" t="str">
        <x:v>CAR-B</x:v>
      </x:c>
      <x:c r="H32" s="17" t="str"/>
      <x:c r="I32" s="37" t="n">
        <x:f>IF(F32&lt;&gt;G32,1,0)</x:f>
        <x:v>1</x:v>
      </x:c>
      <x:c r="J32" s="37" t="n">
        <x:f>IF(H32="",0,IF(AND(H32&lt;&gt;F32,H32&lt;&gt;G32),1,0))</x:f>
        <x:v>0</x:v>
      </x:c>
      <x:c r="K32" s="17" t="str">
        <x:v>OPEN</x:v>
      </x:c>
      <x:c r="L32" s="17" t="str">
        <x:f>IF(I32=1,IF(J32=1,"PAIR + RESERVE DISTINCT","PAIR DISTINCT"),"COMMON ONE-CUT DOMAIN")</x:f>
        <x:v>PAIR DISTINCT</x:v>
      </x:c>
      <x:c r="M32" s="30"/>
      <x:c r="N32" s="30"/>
      <x:c r="O32" s="30"/>
      <x:c r="P32" s="30"/>
      <x:c r="Q32" s="30"/>
      <x:c r="R32" s="30"/>
    </x:row>
    <x:row r="33" ht="34" customHeight="1">
      <x:c r="C33" s="17" t="str">
        <x:v>K3</x:v>
      </x:c>
      <x:c r="D33" s="37" t="n">
        <x:v>4</x:v>
      </x:c>
      <x:c r="E33" s="17" t="str">
        <x:v>Receiving node</x:v>
      </x:c>
      <x:c r="F33" s="17" t="str">
        <x:v>NODE-A</x:v>
      </x:c>
      <x:c r="G33" s="17" t="str">
        <x:v>NODE-B</x:v>
      </x:c>
      <x:c r="H33" s="17" t="str"/>
      <x:c r="I33" s="37" t="n">
        <x:f>IF(F33&lt;&gt;G33,1,0)</x:f>
        <x:v>1</x:v>
      </x:c>
      <x:c r="J33" s="37" t="n">
        <x:f>IF(H33="",0,IF(AND(H33&lt;&gt;F33,H33&lt;&gt;G33),1,0))</x:f>
        <x:v>0</x:v>
      </x:c>
      <x:c r="K33" s="17" t="str">
        <x:v>OPEN</x:v>
      </x:c>
      <x:c r="L33" s="17" t="str">
        <x:f>IF(I33=1,IF(J33=1,"PAIR + RESERVE DISTINCT","PAIR DISTINCT"),"COMMON ONE-CUT DOMAIN")</x:f>
        <x:v>PAIR DISTINCT</x:v>
      </x:c>
      <x:c r="M33" s="30"/>
      <x:c r="N33" s="30"/>
      <x:c r="O33" s="30"/>
      <x:c r="P33" s="30"/>
      <x:c r="Q33" s="30"/>
      <x:c r="R33" s="30"/>
    </x:row>
    <x:row r="34" ht="34" customHeight="1">
      <x:c r="C34" s="17" t="str">
        <x:v>K3</x:v>
      </x:c>
      <x:c r="D34" s="37" t="n">
        <x:v>5</x:v>
      </x:c>
      <x:c r="E34" s="17" t="str">
        <x:v>Power</x:v>
      </x:c>
      <x:c r="F34" s="17" t="str">
        <x:v>PWR-A</x:v>
      </x:c>
      <x:c r="G34" s="17" t="str">
        <x:v>PWR-B</x:v>
      </x:c>
      <x:c r="H34" s="17" t="str"/>
      <x:c r="I34" s="37" t="n">
        <x:f>IF(F34&lt;&gt;G34,1,0)</x:f>
        <x:v>1</x:v>
      </x:c>
      <x:c r="J34" s="37" t="n">
        <x:f>IF(H34="",0,IF(AND(H34&lt;&gt;F34,H34&lt;&gt;G34),1,0))</x:f>
        <x:v>0</x:v>
      </x:c>
      <x:c r="K34" s="17" t="str">
        <x:v>OPEN</x:v>
      </x:c>
      <x:c r="L34" s="17" t="str">
        <x:f>IF(I34=1,IF(J34=1,"PAIR + RESERVE DISTINCT","PAIR DISTINCT"),"COMMON ONE-CUT DOMAIN")</x:f>
        <x:v>PAIR DISTINCT</x:v>
      </x:c>
      <x:c r="M34" s="30"/>
      <x:c r="N34" s="30"/>
      <x:c r="O34" s="30"/>
      <x:c r="P34" s="30"/>
      <x:c r="Q34" s="30"/>
      <x:c r="R34" s="30"/>
    </x:row>
    <x:row r="35" ht="34" customHeight="1">
      <x:c r="C35" s="17" t="str">
        <x:v>K3</x:v>
      </x:c>
      <x:c r="D35" s="37" t="n">
        <x:v>6</x:v>
      </x:c>
      <x:c r="E35" s="17" t="str">
        <x:v>Quality / release</x:v>
      </x:c>
      <x:c r="F35" s="17" t="str">
        <x:v>QUAL-A</x:v>
      </x:c>
      <x:c r="G35" s="17" t="str">
        <x:v>QUAL-B</x:v>
      </x:c>
      <x:c r="H35" s="17" t="str"/>
      <x:c r="I35" s="37" t="n">
        <x:f>IF(F35&lt;&gt;G35,1,0)</x:f>
        <x:v>1</x:v>
      </x:c>
      <x:c r="J35" s="37" t="n">
        <x:f>IF(H35="",0,IF(AND(H35&lt;&gt;F35,H35&lt;&gt;G35),1,0))</x:f>
        <x:v>0</x:v>
      </x:c>
      <x:c r="K35" s="17" t="str">
        <x:v>OPEN</x:v>
      </x:c>
      <x:c r="L35" s="17" t="str">
        <x:f>IF(I35=1,IF(J35=1,"PAIR + RESERVE DISTINCT","PAIR DISTINCT"),"COMMON ONE-CUT DOMAIN")</x:f>
        <x:v>PAIR DISTINCT</x:v>
      </x:c>
      <x:c r="M35" s="30"/>
      <x:c r="N35" s="30"/>
      <x:c r="O35" s="30"/>
      <x:c r="P35" s="30"/>
      <x:c r="Q35" s="30"/>
      <x:c r="R35" s="30"/>
    </x:row>
    <x:row r="36" ht="34" customHeight="1">
      <x:c r="C36" s="17" t="str">
        <x:v>K3</x:v>
      </x:c>
      <x:c r="D36" s="37" t="n">
        <x:v>7</x:v>
      </x:c>
      <x:c r="E36" s="17" t="str">
        <x:v>Receiver island</x:v>
      </x:c>
      <x:c r="F36" s="17" t="str">
        <x:v>ISL-A</x:v>
      </x:c>
      <x:c r="G36" s="17" t="str">
        <x:v>ISL-B</x:v>
      </x:c>
      <x:c r="H36" s="17" t="str"/>
      <x:c r="I36" s="37" t="n">
        <x:f>IF(F36&lt;&gt;G36,1,0)</x:f>
        <x:v>1</x:v>
      </x:c>
      <x:c r="J36" s="37" t="n">
        <x:f>IF(H36="",0,IF(AND(H36&lt;&gt;F36,H36&lt;&gt;G36),1,0))</x:f>
        <x:v>0</x:v>
      </x:c>
      <x:c r="K36" s="17" t="str">
        <x:v>OPEN</x:v>
      </x:c>
      <x:c r="L36" s="17" t="str">
        <x:f>IF(I36=1,IF(J36=1,"PAIR + RESERVE DISTINCT","PAIR DISTINCT"),"COMMON ONE-CUT DOMAIN")</x:f>
        <x:v>PAIR DISTINCT</x:v>
      </x:c>
      <x:c r="M36" s="30"/>
      <x:c r="N36" s="30"/>
      <x:c r="O36" s="30"/>
      <x:c r="P36" s="30"/>
      <x:c r="Q36" s="30"/>
      <x:c r="R36" s="30"/>
    </x:row>
    <x:row r="37" ht="34" customHeight="1">
      <x:c r="C37" s="17" t="str">
        <x:v>K3</x:v>
      </x:c>
      <x:c r="D37" s="37" t="n">
        <x:v>8</x:v>
      </x:c>
      <x:c r="E37" s="17" t="str">
        <x:v>Process-material lot</x:v>
      </x:c>
      <x:c r="F37" s="17" t="str">
        <x:v>PROCESS-MATERIAL-LOT-0</x:v>
      </x:c>
      <x:c r="G37" s="17" t="str">
        <x:v>PROCESS-MATERIAL-LOT-0</x:v>
      </x:c>
      <x:c r="H37" s="17" t="str"/>
      <x:c r="I37" s="37" t="n">
        <x:f>IF(F37&lt;&gt;G37,1,0)</x:f>
        <x:v>0</x:v>
      </x:c>
      <x:c r="J37" s="37" t="n">
        <x:f>IF(H37="",0,IF(AND(H37&lt;&gt;F37,H37&lt;&gt;G37),1,0))</x:f>
        <x:v>0</x:v>
      </x:c>
      <x:c r="K37" s="17" t="str">
        <x:v>OPEN</x:v>
      </x:c>
      <x:c r="L37" s="17" t="str">
        <x:f>IF(I37=1,IF(J37=1,"PAIR + RESERVE DISTINCT","PAIR DISTINCT"),"COMMON ONE-CUT DOMAIN")</x:f>
        <x:v>COMMON ONE-CUT DOMAIN</x:v>
      </x:c>
      <x:c r="M37" s="30"/>
      <x:c r="N37" s="30"/>
      <x:c r="O37" s="30"/>
      <x:c r="P37" s="30"/>
      <x:c r="Q37" s="30"/>
      <x:c r="R37" s="30"/>
    </x:row>
    <x:row r="38" ht="34" customHeight="1">
      <x:c r="C38" s="17" t="str">
        <x:v>K3</x:v>
      </x:c>
      <x:c r="D38" s="37" t="n">
        <x:v>9</x:v>
      </x:c>
      <x:c r="E38" s="17" t="str">
        <x:v>Crew cohort</x:v>
      </x:c>
      <x:c r="F38" s="17" t="str">
        <x:v>CREW-A</x:v>
      </x:c>
      <x:c r="G38" s="17" t="str">
        <x:v>CREW-B</x:v>
      </x:c>
      <x:c r="H38" s="17" t="str"/>
      <x:c r="I38" s="37" t="n">
        <x:f>IF(F38&lt;&gt;G38,1,0)</x:f>
        <x:v>1</x:v>
      </x:c>
      <x:c r="J38" s="37" t="n">
        <x:f>IF(H38="",0,IF(AND(H38&lt;&gt;F38,H38&lt;&gt;G38),1,0))</x:f>
        <x:v>0</x:v>
      </x:c>
      <x:c r="K38" s="17" t="str">
        <x:v>OPEN</x:v>
      </x:c>
      <x:c r="L38" s="17" t="str">
        <x:f>IF(I38=1,IF(J38=1,"PAIR + RESERVE DISTINCT","PAIR DISTINCT"),"COMMON ONE-CUT DOMAIN")</x:f>
        <x:v>PAIR DISTINCT</x:v>
      </x:c>
      <x:c r="M38" s="30"/>
      <x:c r="N38" s="30"/>
      <x:c r="O38" s="30"/>
      <x:c r="P38" s="30"/>
      <x:c r="Q38" s="30"/>
      <x:c r="R38" s="30"/>
    </x:row>
    <x:row r="39" ht="34" customHeight="1">
      <x:c r="C39" s="17" t="str">
        <x:v>K3</x:v>
      </x:c>
      <x:c r="D39" s="37" t="n">
        <x:v>10</x:v>
      </x:c>
      <x:c r="E39" s="17" t="str">
        <x:v>Reset depot</x:v>
      </x:c>
      <x:c r="F39" s="17" t="str">
        <x:v>RESET-DEPOT-0</x:v>
      </x:c>
      <x:c r="G39" s="17" t="str">
        <x:v>RESET-DEPOT-0</x:v>
      </x:c>
      <x:c r="H39" s="17" t="str"/>
      <x:c r="I39" s="37" t="n">
        <x:f>IF(F39&lt;&gt;G39,1,0)</x:f>
        <x:v>0</x:v>
      </x:c>
      <x:c r="J39" s="37" t="n">
        <x:f>IF(H39="",0,IF(AND(H39&lt;&gt;F39,H39&lt;&gt;G39),1,0))</x:f>
        <x:v>0</x:v>
      </x:c>
      <x:c r="K39" s="17" t="str">
        <x:v>OPEN</x:v>
      </x:c>
      <x:c r="L39" s="17" t="str">
        <x:f>IF(I39=1,IF(J39=1,"PAIR + RESERVE DISTINCT","PAIR DISTINCT"),"COMMON ONE-CUT DOMAIN")</x:f>
        <x:v>COMMON ONE-CUT DOMAIN</x:v>
      </x:c>
      <x:c r="M39" s="30"/>
      <x:c r="N39" s="30"/>
      <x:c r="O39" s="30"/>
      <x:c r="P39" s="30"/>
      <x:c r="Q39" s="30"/>
      <x:c r="R39" s="30"/>
    </x:row>
    <x:row r="40" ht="34" customHeight="1">
      <x:c r="C40" s="17" t="str">
        <x:v>K3</x:v>
      </x:c>
      <x:c r="D40" s="37" t="n">
        <x:v>11</x:v>
      </x:c>
      <x:c r="E40" s="17" t="str">
        <x:v>Control / evidence</x:v>
      </x:c>
      <x:c r="F40" s="17" t="str">
        <x:v>CTRL-A</x:v>
      </x:c>
      <x:c r="G40" s="17" t="str">
        <x:v>CTRL-B</x:v>
      </x:c>
      <x:c r="H40" s="17" t="str"/>
      <x:c r="I40" s="37" t="n">
        <x:f>IF(F40&lt;&gt;G40,1,0)</x:f>
        <x:v>1</x:v>
      </x:c>
      <x:c r="J40" s="37" t="n">
        <x:f>IF(H40="",0,IF(AND(H40&lt;&gt;F40,H40&lt;&gt;G40),1,0))</x:f>
        <x:v>0</x:v>
      </x:c>
      <x:c r="K40" s="17" t="str">
        <x:v>OPEN</x:v>
      </x:c>
      <x:c r="L40" s="17" t="str">
        <x:f>IF(I40=1,IF(J40=1,"PAIR + RESERVE DISTINCT","PAIR DISTINCT"),"COMMON ONE-CUT DOMAIN")</x:f>
        <x:v>PAIR DISTINCT</x:v>
      </x:c>
      <x:c r="M40" s="30"/>
      <x:c r="N40" s="30"/>
      <x:c r="O40" s="30"/>
      <x:c r="P40" s="30"/>
      <x:c r="Q40" s="30"/>
      <x:c r="R40" s="30"/>
    </x:row>
    <x:row r="41" ht="34" customHeight="1">
      <x:c r="C41" s="17" t="str">
        <x:v>K3</x:v>
      </x:c>
      <x:c r="D41" s="37" t="n">
        <x:v>12</x:v>
      </x:c>
      <x:c r="E41" s="17" t="str">
        <x:v>Mobilization base</x:v>
      </x:c>
      <x:c r="F41" s="17" t="str">
        <x:v>MOBILIZATION-BASE-0</x:v>
      </x:c>
      <x:c r="G41" s="17" t="str">
        <x:v>MOBILIZATION-BASE-0</x:v>
      </x:c>
      <x:c r="H41" s="17" t="str"/>
      <x:c r="I41" s="37" t="n">
        <x:f>IF(F41&lt;&gt;G41,1,0)</x:f>
        <x:v>0</x:v>
      </x:c>
      <x:c r="J41" s="37" t="n">
        <x:f>IF(H41="",0,IF(AND(H41&lt;&gt;F41,H41&lt;&gt;G41),1,0))</x:f>
        <x:v>0</x:v>
      </x:c>
      <x:c r="K41" s="17" t="str">
        <x:v>OPEN</x:v>
      </x:c>
      <x:c r="L41" s="17" t="str">
        <x:f>IF(I41=1,IF(J41=1,"PAIR + RESERVE DISTINCT","PAIR DISTINCT"),"COMMON ONE-CUT DOMAIN")</x:f>
        <x:v>COMMON ONE-CUT DOMAIN</x:v>
      </x:c>
      <x:c r="M41" s="30"/>
      <x:c r="N41" s="30"/>
      <x:c r="O41" s="30"/>
      <x:c r="P41" s="30"/>
      <x:c r="Q41" s="30"/>
      <x:c r="R41" s="30"/>
    </x:row>
    <x:row r="42" ht="34" customHeight="1">
      <x:c r="C42" s="17" t="str">
        <x:v>K4</x:v>
      </x:c>
      <x:c r="D42" s="37" t="n">
        <x:v>1</x:v>
      </x:c>
      <x:c r="E42" s="17" t="str">
        <x:v>Source</x:v>
      </x:c>
      <x:c r="F42" s="17" t="str">
        <x:v>SRC-A</x:v>
      </x:c>
      <x:c r="G42" s="17" t="str">
        <x:v>SRC-B</x:v>
      </x:c>
      <x:c r="H42" s="17" t="str">
        <x:v>SOURCE-R</x:v>
      </x:c>
      <x:c r="I42" s="37" t="n">
        <x:f>IF(F42&lt;&gt;G42,1,0)</x:f>
        <x:v>1</x:v>
      </x:c>
      <x:c r="J42" s="37" t="n">
        <x:f>IF(H42="",0,IF(AND(H42&lt;&gt;F42,H42&lt;&gt;G42),1,0))</x:f>
        <x:v>1</x:v>
      </x:c>
      <x:c r="K42" s="17" t="str">
        <x:v>OPEN</x:v>
      </x:c>
      <x:c r="L42" s="17" t="str">
        <x:f>IF(I42=1,IF(J42=1,"PAIR + RESERVE DISTINCT","PAIR DISTINCT"),"COMMON ONE-CUT DOMAIN")</x:f>
        <x:v>PAIR + RESERVE DISTINCT</x:v>
      </x:c>
      <x:c r="M42" s="30"/>
      <x:c r="N42" s="30"/>
      <x:c r="O42" s="30"/>
      <x:c r="P42" s="30"/>
      <x:c r="Q42" s="30"/>
      <x:c r="R42" s="30"/>
    </x:row>
    <x:row r="43" ht="34" customHeight="1">
      <x:c r="C43" s="17" t="str">
        <x:v>K4</x:v>
      </x:c>
      <x:c r="D43" s="37" t="n">
        <x:v>2</x:v>
      </x:c>
      <x:c r="E43" s="17" t="str">
        <x:v>Treatment</x:v>
      </x:c>
      <x:c r="F43" s="17" t="str">
        <x:v>TRT-A</x:v>
      </x:c>
      <x:c r="G43" s="17" t="str">
        <x:v>TRT-B</x:v>
      </x:c>
      <x:c r="H43" s="17" t="str">
        <x:v>TREATMENT-R</x:v>
      </x:c>
      <x:c r="I43" s="37" t="n">
        <x:f>IF(F43&lt;&gt;G43,1,0)</x:f>
        <x:v>1</x:v>
      </x:c>
      <x:c r="J43" s="37" t="n">
        <x:f>IF(H43="",0,IF(AND(H43&lt;&gt;F43,H43&lt;&gt;G43),1,0))</x:f>
        <x:v>1</x:v>
      </x:c>
      <x:c r="K43" s="17" t="str">
        <x:v>OPEN</x:v>
      </x:c>
      <x:c r="L43" s="17" t="str">
        <x:f>IF(I43=1,IF(J43=1,"PAIR + RESERVE DISTINCT","PAIR DISTINCT"),"COMMON ONE-CUT DOMAIN")</x:f>
        <x:v>PAIR + RESERVE DISTINCT</x:v>
      </x:c>
      <x:c r="M43" s="30"/>
      <x:c r="N43" s="30"/>
      <x:c r="O43" s="30"/>
      <x:c r="P43" s="30"/>
      <x:c r="Q43" s="30"/>
      <x:c r="R43" s="30"/>
    </x:row>
    <x:row r="44" ht="34" customHeight="1">
      <x:c r="C44" s="17" t="str">
        <x:v>K4</x:v>
      </x:c>
      <x:c r="D44" s="37" t="n">
        <x:v>3</x:v>
      </x:c>
      <x:c r="E44" s="17" t="str">
        <x:v>Carrier / corridor</x:v>
      </x:c>
      <x:c r="F44" s="17" t="str">
        <x:v>CAR-A</x:v>
      </x:c>
      <x:c r="G44" s="17" t="str">
        <x:v>CAR-B</x:v>
      </x:c>
      <x:c r="H44" s="17" t="str">
        <x:v>CARRIER---CORRIDOR-R</x:v>
      </x:c>
      <x:c r="I44" s="37" t="n">
        <x:f>IF(F44&lt;&gt;G44,1,0)</x:f>
        <x:v>1</x:v>
      </x:c>
      <x:c r="J44" s="37" t="n">
        <x:f>IF(H44="",0,IF(AND(H44&lt;&gt;F44,H44&lt;&gt;G44),1,0))</x:f>
        <x:v>1</x:v>
      </x:c>
      <x:c r="K44" s="17" t="str">
        <x:v>OPEN</x:v>
      </x:c>
      <x:c r="L44" s="17" t="str">
        <x:f>IF(I44=1,IF(J44=1,"PAIR + RESERVE DISTINCT","PAIR DISTINCT"),"COMMON ONE-CUT DOMAIN")</x:f>
        <x:v>PAIR + RESERVE DISTINCT</x:v>
      </x:c>
      <x:c r="M44" s="30"/>
      <x:c r="N44" s="30"/>
      <x:c r="O44" s="30"/>
      <x:c r="P44" s="30"/>
      <x:c r="Q44" s="30"/>
      <x:c r="R44" s="30"/>
    </x:row>
    <x:row r="45" ht="34" customHeight="1">
      <x:c r="C45" s="17" t="str">
        <x:v>K4</x:v>
      </x:c>
      <x:c r="D45" s="37" t="n">
        <x:v>4</x:v>
      </x:c>
      <x:c r="E45" s="17" t="str">
        <x:v>Receiving node</x:v>
      </x:c>
      <x:c r="F45" s="17" t="str">
        <x:v>NODE-A</x:v>
      </x:c>
      <x:c r="G45" s="17" t="str">
        <x:v>NODE-B</x:v>
      </x:c>
      <x:c r="H45" s="17" t="str">
        <x:v>RECEIVING-NODE-R</x:v>
      </x:c>
      <x:c r="I45" s="37" t="n">
        <x:f>IF(F45&lt;&gt;G45,1,0)</x:f>
        <x:v>1</x:v>
      </x:c>
      <x:c r="J45" s="37" t="n">
        <x:f>IF(H45="",0,IF(AND(H45&lt;&gt;F45,H45&lt;&gt;G45),1,0))</x:f>
        <x:v>1</x:v>
      </x:c>
      <x:c r="K45" s="17" t="str">
        <x:v>OPEN</x:v>
      </x:c>
      <x:c r="L45" s="17" t="str">
        <x:f>IF(I45=1,IF(J45=1,"PAIR + RESERVE DISTINCT","PAIR DISTINCT"),"COMMON ONE-CUT DOMAIN")</x:f>
        <x:v>PAIR + RESERVE DISTINCT</x:v>
      </x:c>
      <x:c r="M45" s="30"/>
      <x:c r="N45" s="30"/>
      <x:c r="O45" s="30"/>
      <x:c r="P45" s="30"/>
      <x:c r="Q45" s="30"/>
      <x:c r="R45" s="30"/>
    </x:row>
    <x:row r="46" ht="34" customHeight="1">
      <x:c r="C46" s="17" t="str">
        <x:v>K4</x:v>
      </x:c>
      <x:c r="D46" s="37" t="n">
        <x:v>5</x:v>
      </x:c>
      <x:c r="E46" s="17" t="str">
        <x:v>Power</x:v>
      </x:c>
      <x:c r="F46" s="17" t="str">
        <x:v>PWR-A</x:v>
      </x:c>
      <x:c r="G46" s="17" t="str">
        <x:v>PWR-B</x:v>
      </x:c>
      <x:c r="H46" s="17" t="str">
        <x:v>POWER-R</x:v>
      </x:c>
      <x:c r="I46" s="37" t="n">
        <x:f>IF(F46&lt;&gt;G46,1,0)</x:f>
        <x:v>1</x:v>
      </x:c>
      <x:c r="J46" s="37" t="n">
        <x:f>IF(H46="",0,IF(AND(H46&lt;&gt;F46,H46&lt;&gt;G46),1,0))</x:f>
        <x:v>1</x:v>
      </x:c>
      <x:c r="K46" s="17" t="str">
        <x:v>OPEN</x:v>
      </x:c>
      <x:c r="L46" s="17" t="str">
        <x:f>IF(I46=1,IF(J46=1,"PAIR + RESERVE DISTINCT","PAIR DISTINCT"),"COMMON ONE-CUT DOMAIN")</x:f>
        <x:v>PAIR + RESERVE DISTINCT</x:v>
      </x:c>
      <x:c r="M46" s="30"/>
      <x:c r="N46" s="30"/>
      <x:c r="O46" s="30"/>
      <x:c r="P46" s="30"/>
      <x:c r="Q46" s="30"/>
      <x:c r="R46" s="30"/>
    </x:row>
    <x:row r="47" ht="34" customHeight="1">
      <x:c r="C47" s="17" t="str">
        <x:v>K4</x:v>
      </x:c>
      <x:c r="D47" s="37" t="n">
        <x:v>6</x:v>
      </x:c>
      <x:c r="E47" s="17" t="str">
        <x:v>Quality / release</x:v>
      </x:c>
      <x:c r="F47" s="17" t="str">
        <x:v>QUAL-A</x:v>
      </x:c>
      <x:c r="G47" s="17" t="str">
        <x:v>QUAL-B</x:v>
      </x:c>
      <x:c r="H47" s="17" t="str">
        <x:v>QUALITY---RELEASE-R</x:v>
      </x:c>
      <x:c r="I47" s="37" t="n">
        <x:f>IF(F47&lt;&gt;G47,1,0)</x:f>
        <x:v>1</x:v>
      </x:c>
      <x:c r="J47" s="37" t="n">
        <x:f>IF(H47="",0,IF(AND(H47&lt;&gt;F47,H47&lt;&gt;G47),1,0))</x:f>
        <x:v>1</x:v>
      </x:c>
      <x:c r="K47" s="17" t="str">
        <x:v>OPEN</x:v>
      </x:c>
      <x:c r="L47" s="17" t="str">
        <x:f>IF(I47=1,IF(J47=1,"PAIR + RESERVE DISTINCT","PAIR DISTINCT"),"COMMON ONE-CUT DOMAIN")</x:f>
        <x:v>PAIR + RESERVE DISTINCT</x:v>
      </x:c>
      <x:c r="M47" s="30"/>
      <x:c r="N47" s="30"/>
      <x:c r="O47" s="30"/>
      <x:c r="P47" s="30"/>
      <x:c r="Q47" s="30"/>
      <x:c r="R47" s="30"/>
    </x:row>
    <x:row r="48" ht="34" customHeight="1">
      <x:c r="C48" s="17" t="str">
        <x:v>K4</x:v>
      </x:c>
      <x:c r="D48" s="37" t="n">
        <x:v>7</x:v>
      </x:c>
      <x:c r="E48" s="17" t="str">
        <x:v>Receiver island</x:v>
      </x:c>
      <x:c r="F48" s="17" t="str">
        <x:v>ISL-A</x:v>
      </x:c>
      <x:c r="G48" s="17" t="str">
        <x:v>ISL-B</x:v>
      </x:c>
      <x:c r="H48" s="17" t="str">
        <x:v>RECEIVER-ISLAND-R</x:v>
      </x:c>
      <x:c r="I48" s="37" t="n">
        <x:f>IF(F48&lt;&gt;G48,1,0)</x:f>
        <x:v>1</x:v>
      </x:c>
      <x:c r="J48" s="37" t="n">
        <x:f>IF(H48="",0,IF(AND(H48&lt;&gt;F48,H48&lt;&gt;G48),1,0))</x:f>
        <x:v>1</x:v>
      </x:c>
      <x:c r="K48" s="17" t="str">
        <x:v>OPEN</x:v>
      </x:c>
      <x:c r="L48" s="17" t="str">
        <x:f>IF(I48=1,IF(J48=1,"PAIR + RESERVE DISTINCT","PAIR DISTINCT"),"COMMON ONE-CUT DOMAIN")</x:f>
        <x:v>PAIR + RESERVE DISTINCT</x:v>
      </x:c>
      <x:c r="M48" s="30"/>
      <x:c r="N48" s="30"/>
      <x:c r="O48" s="30"/>
      <x:c r="P48" s="30"/>
      <x:c r="Q48" s="30"/>
      <x:c r="R48" s="30"/>
    </x:row>
    <x:row r="49" ht="34" customHeight="1">
      <x:c r="C49" s="17" t="str">
        <x:v>K4</x:v>
      </x:c>
      <x:c r="D49" s="37" t="n">
        <x:v>8</x:v>
      </x:c>
      <x:c r="E49" s="17" t="str">
        <x:v>Process-material lot</x:v>
      </x:c>
      <x:c r="F49" s="17" t="str">
        <x:v>LOT-A</x:v>
      </x:c>
      <x:c r="G49" s="17" t="str">
        <x:v>LOT-B</x:v>
      </x:c>
      <x:c r="H49" s="17" t="str">
        <x:v>PROCESS-MATERIAL-LOT-R</x:v>
      </x:c>
      <x:c r="I49" s="37" t="n">
        <x:f>IF(F49&lt;&gt;G49,1,0)</x:f>
        <x:v>1</x:v>
      </x:c>
      <x:c r="J49" s="37" t="n">
        <x:f>IF(H49="",0,IF(AND(H49&lt;&gt;F49,H49&lt;&gt;G49),1,0))</x:f>
        <x:v>1</x:v>
      </x:c>
      <x:c r="K49" s="17" t="str">
        <x:v>OPEN</x:v>
      </x:c>
      <x:c r="L49" s="17" t="str">
        <x:f>IF(I49=1,IF(J49=1,"PAIR + RESERVE DISTINCT","PAIR DISTINCT"),"COMMON ONE-CUT DOMAIN")</x:f>
        <x:v>PAIR + RESERVE DISTINCT</x:v>
      </x:c>
      <x:c r="M49" s="30"/>
      <x:c r="N49" s="30"/>
      <x:c r="O49" s="30"/>
      <x:c r="P49" s="30"/>
      <x:c r="Q49" s="30"/>
      <x:c r="R49" s="30"/>
    </x:row>
    <x:row r="50" ht="34" customHeight="1">
      <x:c r="C50" s="17" t="str">
        <x:v>K4</x:v>
      </x:c>
      <x:c r="D50" s="37" t="n">
        <x:v>9</x:v>
      </x:c>
      <x:c r="E50" s="17" t="str">
        <x:v>Crew cohort</x:v>
      </x:c>
      <x:c r="F50" s="17" t="str">
        <x:v>CREW-A</x:v>
      </x:c>
      <x:c r="G50" s="17" t="str">
        <x:v>CREW-B</x:v>
      </x:c>
      <x:c r="H50" s="17" t="str">
        <x:v>CREW-COHORT-R</x:v>
      </x:c>
      <x:c r="I50" s="37" t="n">
        <x:f>IF(F50&lt;&gt;G50,1,0)</x:f>
        <x:v>1</x:v>
      </x:c>
      <x:c r="J50" s="37" t="n">
        <x:f>IF(H50="",0,IF(AND(H50&lt;&gt;F50,H50&lt;&gt;G50),1,0))</x:f>
        <x:v>1</x:v>
      </x:c>
      <x:c r="K50" s="17" t="str">
        <x:v>OPEN</x:v>
      </x:c>
      <x:c r="L50" s="17" t="str">
        <x:f>IF(I50=1,IF(J50=1,"PAIR + RESERVE DISTINCT","PAIR DISTINCT"),"COMMON ONE-CUT DOMAIN")</x:f>
        <x:v>PAIR + RESERVE DISTINCT</x:v>
      </x:c>
      <x:c r="M50" s="30"/>
      <x:c r="N50" s="30"/>
      <x:c r="O50" s="30"/>
      <x:c r="P50" s="30"/>
      <x:c r="Q50" s="30"/>
      <x:c r="R50" s="30"/>
    </x:row>
    <x:row r="51" ht="34" customHeight="1">
      <x:c r="C51" s="17" t="str">
        <x:v>K4</x:v>
      </x:c>
      <x:c r="D51" s="37" t="n">
        <x:v>10</x:v>
      </x:c>
      <x:c r="E51" s="17" t="str">
        <x:v>Reset depot</x:v>
      </x:c>
      <x:c r="F51" s="17" t="str">
        <x:v>DEP-A</x:v>
      </x:c>
      <x:c r="G51" s="17" t="str">
        <x:v>DEP-B</x:v>
      </x:c>
      <x:c r="H51" s="17" t="str">
        <x:v>RESET-DEPOT-R</x:v>
      </x:c>
      <x:c r="I51" s="37" t="n">
        <x:f>IF(F51&lt;&gt;G51,1,0)</x:f>
        <x:v>1</x:v>
      </x:c>
      <x:c r="J51" s="37" t="n">
        <x:f>IF(H51="",0,IF(AND(H51&lt;&gt;F51,H51&lt;&gt;G51),1,0))</x:f>
        <x:v>1</x:v>
      </x:c>
      <x:c r="K51" s="17" t="str">
        <x:v>OPEN</x:v>
      </x:c>
      <x:c r="L51" s="17" t="str">
        <x:f>IF(I51=1,IF(J51=1,"PAIR + RESERVE DISTINCT","PAIR DISTINCT"),"COMMON ONE-CUT DOMAIN")</x:f>
        <x:v>PAIR + RESERVE DISTINCT</x:v>
      </x:c>
      <x:c r="M51" s="30"/>
      <x:c r="N51" s="30"/>
      <x:c r="O51" s="30"/>
      <x:c r="P51" s="30"/>
      <x:c r="Q51" s="30"/>
      <x:c r="R51" s="30"/>
    </x:row>
    <x:row r="52" ht="34" customHeight="1">
      <x:c r="C52" s="17" t="str">
        <x:v>K4</x:v>
      </x:c>
      <x:c r="D52" s="37" t="n">
        <x:v>11</x:v>
      </x:c>
      <x:c r="E52" s="17" t="str">
        <x:v>Control / evidence</x:v>
      </x:c>
      <x:c r="F52" s="17" t="str">
        <x:v>CTRL-A</x:v>
      </x:c>
      <x:c r="G52" s="17" t="str">
        <x:v>CTRL-B</x:v>
      </x:c>
      <x:c r="H52" s="17" t="str">
        <x:v>CONTROL---EVIDENCE-R</x:v>
      </x:c>
      <x:c r="I52" s="37" t="n">
        <x:f>IF(F52&lt;&gt;G52,1,0)</x:f>
        <x:v>1</x:v>
      </x:c>
      <x:c r="J52" s="37" t="n">
        <x:f>IF(H52="",0,IF(AND(H52&lt;&gt;F52,H52&lt;&gt;G52),1,0))</x:f>
        <x:v>1</x:v>
      </x:c>
      <x:c r="K52" s="17" t="str">
        <x:v>OPEN</x:v>
      </x:c>
      <x:c r="L52" s="17" t="str">
        <x:f>IF(I52=1,IF(J52=1,"PAIR + RESERVE DISTINCT","PAIR DISTINCT"),"COMMON ONE-CUT DOMAIN")</x:f>
        <x:v>PAIR + RESERVE DISTINCT</x:v>
      </x:c>
      <x:c r="M52" s="30"/>
      <x:c r="N52" s="30"/>
      <x:c r="O52" s="30"/>
      <x:c r="P52" s="30"/>
      <x:c r="Q52" s="30"/>
      <x:c r="R52" s="30"/>
    </x:row>
    <x:row r="53" ht="34" customHeight="1">
      <x:c r="C53" s="17" t="str">
        <x:v>K4</x:v>
      </x:c>
      <x:c r="D53" s="37" t="n">
        <x:v>12</x:v>
      </x:c>
      <x:c r="E53" s="17" t="str">
        <x:v>Mobilization base</x:v>
      </x:c>
      <x:c r="F53" s="17" t="str">
        <x:v>BASE-A</x:v>
      </x:c>
      <x:c r="G53" s="17" t="str">
        <x:v>BASE-B</x:v>
      </x:c>
      <x:c r="H53" s="17" t="str">
        <x:v>MOBILIZATION-BASE-R</x:v>
      </x:c>
      <x:c r="I53" s="37" t="n">
        <x:f>IF(F53&lt;&gt;G53,1,0)</x:f>
        <x:v>1</x:v>
      </x:c>
      <x:c r="J53" s="37" t="n">
        <x:f>IF(H53="",0,IF(AND(H53&lt;&gt;F53,H53&lt;&gt;G53),1,0))</x:f>
        <x:v>1</x:v>
      </x:c>
      <x:c r="K53" s="17" t="str">
        <x:v>OPEN</x:v>
      </x:c>
      <x:c r="L53" s="17" t="str">
        <x:f>IF(I53=1,IF(J53=1,"PAIR + RESERVE DISTINCT","PAIR DISTINCT"),"COMMON ONE-CUT DOMAIN")</x:f>
        <x:v>PAIR + RESERVE DISTINCT</x:v>
      </x:c>
      <x:c r="M53" s="30"/>
      <x:c r="N53" s="30"/>
      <x:c r="O53" s="30"/>
      <x:c r="P53" s="30"/>
      <x:c r="Q53" s="30"/>
      <x:c r="R53" s="30"/>
    </x:row>
  </x:sheetData>
  <x:mergeCells>
    <x:mergeCell ref="C2:N2"/>
    <x:mergeCell ref="C3:N3"/>
  </x:mergeCells>
  <x:conditionalFormatting sqref="K6:L53">
    <x:cfRule type="containsText" dxfId="14" priority="1" operator="containsText" text="FAIL"/>
    <x:cfRule type="containsText" dxfId="15" priority="2" operator="containsText" text="DENIED"/>
    <x:cfRule type="containsText" dxfId="16" priority="3" operator="containsText" text="BLOCKED"/>
    <x:cfRule type="containsText" dxfId="17" priority="4" operator="containsText" text="OPEN"/>
    <x:cfRule type="containsText" dxfId="18" priority="5" operator="containsText" text="DECLARED"/>
    <x:cfRule type="containsText" dxfId="19" priority="6" operator="containsText" text="PASS"/>
    <x:cfRule type="containsText" dxfId="20" priority="7" operator="containsText" text="ADMITTED"/>
  </x:conditionalFormatting>
  <x:pageMargins left="0.7" right="0.7" top="0.75" bottom="0.75" header="0.3" footer="0.3"/>
  <x:tableParts count="2">
    <x:tablePart xmlns:r="http://schemas.openxmlformats.org/officeDocument/2006/relationships" r:id="Rd0cf6f9cf95c4e8d"/>
    <x:tablePart xmlns:r="http://schemas.openxmlformats.org/officeDocument/2006/relationships" r:id="R687c9cad1c68425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25" topLeftCell="E26" activePane="bottomRight" state="frozen"/>
    </x:sheetView>
  </x:sheetViews>
  <x:sheetFormatPr defaultRowHeight="15"/>
  <x:cols>
    <x:col min="3" max="3" width="14" hidden="0" customWidth="1"/>
    <x:col min="4" max="4" width="50" hidden="0" customWidth="1"/>
    <x:col min="5" max="5" width="13" hidden="0" customWidth="1"/>
    <x:col min="6" max="6" width="18" hidden="0" customWidth="1"/>
    <x:col min="7" max="7" width="14" hidden="0" customWidth="1"/>
    <x:col min="8" max="8" width="15" hidden="0" customWidth="1"/>
    <x:col min="9" max="9" width="15" hidden="0" customWidth="1"/>
    <x:col min="10" max="10" width="17" hidden="0" customWidth="1"/>
    <x:col min="11" max="11" width="13" hidden="0" customWidth="1"/>
    <x:col min="12" max="12" width="13" hidden="0" customWidth="1"/>
    <x:col min="13" max="13" width="14" hidden="0" customWidth="1"/>
    <x:col min="14" max="14" width="21" hidden="0" customWidth="1"/>
    <x:col min="15" max="15" width="14" hidden="0" customWidth="1"/>
    <x:col min="16" max="16" width="17" hidden="0" customWidth="1"/>
    <x:col min="17" max="17" width="14" hidden="0" customWidth="1"/>
    <x:col min="18" max="18" width="13" hidden="0" customWidth="1"/>
    <x:col min="19" max="19" width="13" hidden="0" customWidth="1"/>
    <x:col min="20" max="20" width="18" hidden="0" customWidth="1"/>
    <x:col min="21" max="21" width="31" hidden="0" customWidth="1"/>
    <x:col min="22" max="22" width="13" hidden="0" customWidth="1"/>
  </x:cols>
  <x:sheetData>
    <x:row r="2">
      <x:c r="C2" s="27" t="str">
        <x:v>Failure worlds and service result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</x:row>
    <x:row r="3">
      <x:c r="C3" s="29" t="str">
        <x:v>Sixteen service-bearing worlds plus one universal stop distinguish source diversity, chain independence and national force depth.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</x:row>
    <x:row r="4"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</x:row>
    <x:row r="5">
      <x:c r="C5" s="9" t="str">
        <x:v>World</x:v>
      </x:c>
      <x:c r="D5" s="9" t="str">
        <x:v>Condition</x:v>
      </x:c>
      <x:c r="E5" s="9" t="str">
        <x:v>Boundary no.</x:v>
      </x:c>
      <x:c r="F5" s="9" t="str">
        <x:v>Logic</x:v>
      </x:c>
      <x:c r="G5" s="9" t="str">
        <x:v>Required m³/day</x:v>
      </x:c>
      <x:c r="H5" s="9" t="str">
        <x:v>Service bearing</x:v>
      </x:c>
      <x:c r="I5" s="9" t="str">
        <x:v>Expected safe behavior</x:v>
      </x:c>
      <x:c r="J5" s="9" t="str">
        <x:v>Challenge type</x:v>
      </x:c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</x:row>
    <x:row r="6" ht="47" customHeight="1">
      <x:c r="C6" s="17" t="str">
        <x:v>W00</x:v>
      </x:c>
      <x:c r="D6" s="17" t="str">
        <x:v>No failure; both committed chains operate</x:v>
      </x:c>
      <x:c r="E6" s="37" t="n">
        <x:v>0</x:v>
      </x:c>
      <x:c r="F6" s="17" t="str">
        <x:v>BASELINE</x:v>
      </x:c>
      <x:c r="G6" s="32" t="n">
        <x:v>10000</x:v>
      </x:c>
      <x:c r="H6" s="32" t="n">
        <x:v>1</x:v>
      </x:c>
      <x:c r="I6" s="17" t="str">
        <x:v>ISSUE</x:v>
      </x:c>
      <x:c r="J6" s="17" t="str">
        <x:v>baseline</x:v>
      </x:c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</x:row>
    <x:row r="7" ht="47" customHeight="1">
      <x:c r="C7" s="17" t="str">
        <x:v>W01</x:v>
      </x:c>
      <x:c r="D7" s="17" t="str">
        <x:v>Path A source held</x:v>
      </x:c>
      <x:c r="E7" s="37" t="n">
        <x:v>1</x:v>
      </x:c>
      <x:c r="F7" s="17" t="str">
        <x:v>LOSE_A</x:v>
      </x:c>
      <x:c r="G7" s="32" t="n">
        <x:v>5000</x:v>
      </x:c>
      <x:c r="H7" s="32" t="n">
        <x:v>1</x:v>
      </x:c>
      <x:c r="I7" s="17" t="str">
        <x:v>ISSUE SURVIVOR</x:v>
      </x:c>
      <x:c r="J7" s="17" t="str">
        <x:v>single path</x:v>
      </x:c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</x:row>
    <x:row r="8" ht="47" customHeight="1">
      <x:c r="C8" s="17" t="str">
        <x:v>W02</x:v>
      </x:c>
      <x:c r="D8" s="17" t="str">
        <x:v>Path B source held</x:v>
      </x:c>
      <x:c r="E8" s="37" t="n">
        <x:v>1</x:v>
      </x:c>
      <x:c r="F8" s="17" t="str">
        <x:v>LOSE_B</x:v>
      </x:c>
      <x:c r="G8" s="32" t="n">
        <x:v>5000</x:v>
      </x:c>
      <x:c r="H8" s="32" t="n">
        <x:v>1</x:v>
      </x:c>
      <x:c r="I8" s="17" t="str">
        <x:v>ISSUE SURVIVOR</x:v>
      </x:c>
      <x:c r="J8" s="17" t="str">
        <x:v>single path</x:v>
      </x:c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</x:row>
    <x:row r="9" ht="47" customHeight="1">
      <x:c r="C9" s="17" t="str">
        <x:v>W03</x:v>
      </x:c>
      <x:c r="D9" s="17" t="str">
        <x:v>Path A treatment train fails</x:v>
      </x:c>
      <x:c r="E9" s="37" t="n">
        <x:v>2</x:v>
      </x:c>
      <x:c r="F9" s="17" t="str">
        <x:v>LOSE_A</x:v>
      </x:c>
      <x:c r="G9" s="32" t="n">
        <x:v>5000</x:v>
      </x:c>
      <x:c r="H9" s="32" t="n">
        <x:v>1</x:v>
      </x:c>
      <x:c r="I9" s="17" t="str">
        <x:v>ISSUE SURVIVOR</x:v>
      </x:c>
      <x:c r="J9" s="17" t="str">
        <x:v>single path</x:v>
      </x:c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</x:row>
    <x:row r="10" ht="47" customHeight="1">
      <x:c r="C10" s="17" t="str">
        <x:v>W04</x:v>
      </x:c>
      <x:c r="D10" s="17" t="str">
        <x:v>One carrier or sanitary corridor domain is lost</x:v>
      </x:c>
      <x:c r="E10" s="37" t="n">
        <x:v>3</x:v>
      </x:c>
      <x:c r="F10" s="17" t="str">
        <x:v>BOUNDARY</x:v>
      </x:c>
      <x:c r="G10" s="32" t="n">
        <x:v>5000</x:v>
      </x:c>
      <x:c r="H10" s="32" t="n">
        <x:v>1</x:v>
      </x:c>
      <x:c r="I10" s="17" t="str">
        <x:v>ISSUE SURVIVOR</x:v>
      </x:c>
      <x:c r="J10" s="17" t="str">
        <x:v>common-mode challenge</x:v>
      </x:c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</x:row>
    <x:row r="11" ht="47" customHeight="1">
      <x:c r="C11" s="17" t="str">
        <x:v>W05</x:v>
      </x:c>
      <x:c r="D11" s="17" t="str">
        <x:v>One reception and transfer node is lost</x:v>
      </x:c>
      <x:c r="E11" s="37" t="n">
        <x:v>4</x:v>
      </x:c>
      <x:c r="F11" s="17" t="str">
        <x:v>BOUNDARY</x:v>
      </x:c>
      <x:c r="G11" s="32" t="n">
        <x:v>5000</x:v>
      </x:c>
      <x:c r="H11" s="32" t="n">
        <x:v>1</x:v>
      </x:c>
      <x:c r="I11" s="17" t="str">
        <x:v>ISSUE SURVIVOR</x:v>
      </x:c>
      <x:c r="J11" s="17" t="str">
        <x:v>common-mode challenge</x:v>
      </x:c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</x:row>
    <x:row r="12" ht="47" customHeight="1">
      <x:c r="C12" s="17" t="str">
        <x:v>W06</x:v>
      </x:c>
      <x:c r="D12" s="17" t="str">
        <x:v>One receiver power domain black-starts unsuccessfully</x:v>
      </x:c>
      <x:c r="E12" s="37" t="n">
        <x:v>5</x:v>
      </x:c>
      <x:c r="F12" s="17" t="str">
        <x:v>BOUNDARY</x:v>
      </x:c>
      <x:c r="G12" s="32" t="n">
        <x:v>5000</x:v>
      </x:c>
      <x:c r="H12" s="32" t="n">
        <x:v>1</x:v>
      </x:c>
      <x:c r="I12" s="17" t="str">
        <x:v>ISSUE SURVIVOR</x:v>
      </x:c>
      <x:c r="J12" s="17" t="str">
        <x:v>common-mode challenge</x:v>
      </x:c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</x:row>
    <x:row r="13" ht="47" customHeight="1">
      <x:c r="C13" s="17" t="str">
        <x:v>W07</x:v>
      </x:c>
      <x:c r="D13" s="17" t="str">
        <x:v>One quality method and release domain is held</x:v>
      </x:c>
      <x:c r="E13" s="37" t="n">
        <x:v>6</x:v>
      </x:c>
      <x:c r="F13" s="17" t="str">
        <x:v>BOUNDARY</x:v>
      </x:c>
      <x:c r="G13" s="32" t="n">
        <x:v>5000</x:v>
      </x:c>
      <x:c r="H13" s="32" t="n">
        <x:v>1</x:v>
      </x:c>
      <x:c r="I13" s="17" t="str">
        <x:v>ISSUE SURVIVOR</x:v>
      </x:c>
      <x:c r="J13" s="17" t="str">
        <x:v>common-mode challenge</x:v>
      </x:c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</x:row>
    <x:row r="14" ht="47" customHeight="1">
      <x:c r="C14" s="17" t="str">
        <x:v>W08</x:v>
      </x:c>
      <x:c r="D14" s="17" t="str">
        <x:v>One receiver island or product manifold is contaminated</x:v>
      </x:c>
      <x:c r="E14" s="37" t="n">
        <x:v>7</x:v>
      </x:c>
      <x:c r="F14" s="17" t="str">
        <x:v>BOUNDARY</x:v>
      </x:c>
      <x:c r="G14" s="32" t="n">
        <x:v>5000</x:v>
      </x:c>
      <x:c r="H14" s="32" t="n">
        <x:v>1</x:v>
      </x:c>
      <x:c r="I14" s="17" t="str">
        <x:v>ISSUE SURVIVOR</x:v>
      </x:c>
      <x:c r="J14" s="17" t="str">
        <x:v>common-mode challenge</x:v>
      </x:c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</x:row>
    <x:row r="15" ht="47" customHeight="1">
      <x:c r="C15" s="17" t="str">
        <x:v>W09</x:v>
      </x:c>
      <x:c r="D15" s="17" t="str">
        <x:v>One process-material lineage is recalled</x:v>
      </x:c>
      <x:c r="E15" s="37" t="n">
        <x:v>8</x:v>
      </x:c>
      <x:c r="F15" s="17" t="str">
        <x:v>BOUNDARY</x:v>
      </x:c>
      <x:c r="G15" s="32" t="n">
        <x:v>5000</x:v>
      </x:c>
      <x:c r="H15" s="32" t="n">
        <x:v>1</x:v>
      </x:c>
      <x:c r="I15" s="17" t="str">
        <x:v>ISSUE SURVIVOR</x:v>
      </x:c>
      <x:c r="J15" s="17" t="str">
        <x:v>industrial common mode</x:v>
      </x:c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</x:row>
    <x:row r="16" ht="47" customHeight="1">
      <x:c r="C16" s="17" t="str">
        <x:v>W10</x:v>
      </x:c>
      <x:c r="D16" s="17" t="str">
        <x:v>One operating crew cohort is quarantined</x:v>
      </x:c>
      <x:c r="E16" s="37" t="n">
        <x:v>9</x:v>
      </x:c>
      <x:c r="F16" s="17" t="str">
        <x:v>BOUNDARY</x:v>
      </x:c>
      <x:c r="G16" s="32" t="n">
        <x:v>5000</x:v>
      </x:c>
      <x:c r="H16" s="32" t="n">
        <x:v>1</x:v>
      </x:c>
      <x:c r="I16" s="17" t="str">
        <x:v>ISSUE SURVIVOR</x:v>
      </x:c>
      <x:c r="J16" s="17" t="str">
        <x:v>workforce common mode</x:v>
      </x:c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</x:row>
    <x:row r="17" ht="47" customHeight="1">
      <x:c r="C17" s="17" t="str">
        <x:v>W11</x:v>
      </x:c>
      <x:c r="D17" s="17" t="str">
        <x:v>One reset depot is contaminated before next mission</x:v>
      </x:c>
      <x:c r="E17" s="37" t="n">
        <x:v>10</x:v>
      </x:c>
      <x:c r="F17" s="17" t="str">
        <x:v>BOUNDARY</x:v>
      </x:c>
      <x:c r="G17" s="32" t="n">
        <x:v>5000</x:v>
      </x:c>
      <x:c r="H17" s="32" t="n">
        <x:v>1</x:v>
      </x:c>
      <x:c r="I17" s="17" t="str">
        <x:v>ISSUE SURVIVOR</x:v>
      </x:c>
      <x:c r="J17" s="17" t="str">
        <x:v>repeat mission</x:v>
      </x:c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</x:row>
    <x:row r="18" ht="47" customHeight="1">
      <x:c r="C18" s="17" t="str">
        <x:v>W12</x:v>
      </x:c>
      <x:c r="D18" s="17" t="str">
        <x:v>One control and evidence plane is denied</x:v>
      </x:c>
      <x:c r="E18" s="37" t="n">
        <x:v>11</x:v>
      </x:c>
      <x:c r="F18" s="17" t="str">
        <x:v>BOUNDARY</x:v>
      </x:c>
      <x:c r="G18" s="32" t="n">
        <x:v>5000</x:v>
      </x:c>
      <x:c r="H18" s="32" t="n">
        <x:v>1</x:v>
      </x:c>
      <x:c r="I18" s="17" t="str">
        <x:v>ISSUE SURVIVOR</x:v>
      </x:c>
      <x:c r="J18" s="17" t="str">
        <x:v>cyber and authority</x:v>
      </x:c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</x:row>
    <x:row r="19" ht="47" customHeight="1">
      <x:c r="C19" s="17" t="str">
        <x:v>W13</x:v>
      </x:c>
      <x:c r="D19" s="17" t="str">
        <x:v>One mobilization base is denied before departure</x:v>
      </x:c>
      <x:c r="E19" s="37" t="n">
        <x:v>12</x:v>
      </x:c>
      <x:c r="F19" s="17" t="str">
        <x:v>BOUNDARY</x:v>
      </x:c>
      <x:c r="G19" s="32" t="n">
        <x:v>5000</x:v>
      </x:c>
      <x:c r="H19" s="32" t="n">
        <x:v>1</x:v>
      </x:c>
      <x:c r="I19" s="17" t="str">
        <x:v>ISSUE SURVIVOR</x:v>
      </x:c>
      <x:c r="J19" s="17" t="str">
        <x:v>force generation</x:v>
      </x:c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</x:row>
    <x:row r="20" ht="47" customHeight="1">
      <x:c r="C20" s="17" t="str">
        <x:v>W14</x:v>
      </x:c>
      <x:c r="D20" s="17" t="str">
        <x:v>A second theater requires the floor while the pair remains committed</x:v>
      </x:c>
      <x:c r="E20" s="37" t="n">
        <x:v>0</x:v>
      </x:c>
      <x:c r="F20" s="17" t="str">
        <x:v>RESERVE</x:v>
      </x:c>
      <x:c r="G20" s="32" t="n">
        <x:v>5000</x:v>
      </x:c>
      <x:c r="H20" s="32" t="n">
        <x:v>1</x:v>
      </x:c>
      <x:c r="I20" s="17" t="str">
        <x:v>ISSUE RESERVE</x:v>
      </x:c>
      <x:c r="J20" s="17" t="str">
        <x:v>concurrent event</x:v>
      </x:c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</x:row>
    <x:row r="21" ht="47" customHeight="1">
      <x:c r="C21" s="17" t="str">
        <x:v>W15</x:v>
      </x:c>
      <x:c r="D21" s="17" t="str">
        <x:v>All qualified provenances are held by universal no-issue authority</x:v>
      </x:c>
      <x:c r="E21" s="37" t="n">
        <x:v>0</x:v>
      </x:c>
      <x:c r="F21" s="17" t="str">
        <x:v>UNIVERSAL_STOP</x:v>
      </x:c>
      <x:c r="G21" s="32" t="n">
        <x:v>0</x:v>
      </x:c>
      <x:c r="H21" s="32" t="n">
        <x:v>0</x:v>
      </x:c>
      <x:c r="I21" s="17" t="str">
        <x:v>STOP</x:v>
      </x:c>
      <x:c r="J21" s="17" t="str">
        <x:v>safe stop</x:v>
      </x:c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</x:row>
    <x:row r="22" ht="47" customHeight="1">
      <x:c r="C22" s="17" t="str">
        <x:v>W16</x:v>
      </x:c>
      <x:c r="D22" s="17" t="str">
        <x:v>Path A source and Path B receiver island fail together</x:v>
      </x:c>
      <x:c r="E22" s="37" t="n">
        <x:v>0</x:v>
      </x:c>
      <x:c r="F22" s="17" t="str">
        <x:v>CROSS_PATH</x:v>
      </x:c>
      <x:c r="G22" s="32" t="n">
        <x:v>5000</x:v>
      </x:c>
      <x:c r="H22" s="32" t="n">
        <x:v>1</x:v>
      </x:c>
      <x:c r="I22" s="17" t="str">
        <x:v>ISSUE RESERVE</x:v>
      </x:c>
      <x:c r="J22" s="17" t="str">
        <x:v>compound failure</x:v>
      </x:c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</x:row>
    <x:row r="23"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</x:row>
    <x:row r="24"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</x:row>
    <x:row r="25">
      <x:c r="C25" s="9" t="str">
        <x:v>Architecture</x:v>
      </x:c>
      <x:c r="D25" s="9" t="str">
        <x:v>World</x:v>
      </x:c>
      <x:c r="E25" s="9" t="str">
        <x:v>Boundary no.</x:v>
      </x:c>
      <x:c r="F25" s="9" t="str">
        <x:v>Logic</x:v>
      </x:c>
      <x:c r="G25" s="9" t="str">
        <x:v>Required</x:v>
      </x:c>
      <x:c r="H25" s="9" t="str">
        <x:v>Service bearing</x:v>
      </x:c>
      <x:c r="I25" s="9" t="str">
        <x:v>A/B distinct</x:v>
      </x:c>
      <x:c r="J25" s="9" t="str">
        <x:v>Reserve fraction</x:v>
      </x:c>
      <x:c r="K25" s="9" t="str">
        <x:v>Path A live</x:v>
      </x:c>
      <x:c r="L25" s="9" t="str">
        <x:v>Path B live</x:v>
      </x:c>
      <x:c r="M25" s="9" t="str">
        <x:v>Reserve live</x:v>
      </x:c>
      <x:c r="N25" s="9" t="str">
        <x:v>Delivered m³/day</x:v>
      </x:c>
      <x:c r="O25" s="9" t="str">
        <x:v>Service</x:v>
      </x:c>
      <x:c r="P25" s="9" t="str">
        <x:v>Safe behavior</x:v>
      </x:c>
      <x:c r="Q25" s="9" t="str">
        <x:v>Overall</x:v>
      </x:c>
      <x:c r="R25" s="9" t="str">
        <x:v>Shared cuts</x:v>
      </x:c>
      <x:c r="S25" s="9" t="str">
        <x:v>Minimum cut</x:v>
      </x:c>
      <x:c r="T25" s="9" t="str">
        <x:v>Strict admission</x:v>
      </x:c>
      <x:c r="U25" s="9" t="str">
        <x:v>Interpretation</x:v>
      </x:c>
      <x:c r="V25" s="9" t="str">
        <x:v>Evidence</x:v>
      </x:c>
    </x:row>
    <x:row r="26" ht="35" customHeight="1">
      <x:c r="C26" s="17" t="str">
        <x:v>K1</x:v>
      </x:c>
      <x:c r="D26" s="17" t="str">
        <x:v>W00</x:v>
      </x:c>
      <x:c r="E26" s="40" t="n">
        <x:f>E6</x:f>
        <x:v>0</x:v>
      </x:c>
      <x:c r="F26" s="40" t="str">
        <x:f>F6</x:f>
        <x:v>BASELINE</x:v>
      </x:c>
      <x:c r="G26" s="40" t="n">
        <x:f>G6</x:f>
        <x:v>10000</x:v>
      </x:c>
      <x:c r="H26" s="40" t="n">
        <x:f>H6</x:f>
        <x:v>1</x:v>
      </x:c>
      <x:c r="I26" s="40" t="n">
        <x:f>IF(E26=0,1,SUMIFS('03 Dependencies'!$I$6:$I$53,'03 Dependencies'!$C$6:$C$53,C26,'03 Dependencies'!$D$6:$D$53,E26))</x:f>
        <x:v>1</x:v>
      </x:c>
      <x:c r="J26" s="38" t="n">
        <x:f>IF(C26="K4",'01 Controls'!$D$13,0)</x:f>
        <x:v>0</x:v>
      </x:c>
      <x:c r="K26" s="40" t="n">
        <x:f>IF(OR(F26="UNIVERSAL_STOP",F26="RESERVE",F26="CROSS_PATH",F26="LOSE_A"),0,IF(F26="LOSE_B",1,IF(F26="BASELINE",1,IF(I26=1,0,0))))</x:f>
        <x:v>1</x:v>
      </x:c>
      <x:c r="L26" s="40" t="n">
        <x:f>IF(OR(F26="UNIVERSAL_STOP",F26="RESERVE",F26="CROSS_PATH",F26="LOSE_B"),0,IF(F26="LOSE_A",1,IF(F26="BASELINE",1,IF(I26=1,1,0))))</x:f>
        <x:v>1</x:v>
      </x:c>
      <x:c r="M26" s="40" t="n">
        <x:f>IF(OR(F26="RESERVE",F26="CROSS_PATH"),J26,0)</x:f>
        <x:v>0</x:v>
      </x:c>
      <x:c r="N26" s="40" t="n">
        <x:f>MIN('01 Controls'!$D$6,(K26+L26+M26)*'01 Controls'!$D$7)</x:f>
        <x:v>10000</x:v>
      </x:c>
      <x:c r="O26" s="17" t="str">
        <x:f>IF(H26=0,"n.a.",IF(N26&gt;=G26,"PASS","FAIL"))</x:f>
        <x:v>PASS</x:v>
      </x:c>
      <x:c r="P26" s="17" t="str">
        <x:f>IF(F26="UNIVERSAL_STOP",IF(N26=0,"PASS","FAIL"),"PASS")</x:f>
        <x:v>PASS</x:v>
      </x:c>
      <x:c r="Q26" s="17" t="str">
        <x:f>IF(AND(OR(O26="PASS",O26="n.a."),P26="PASS"),"PASS","FAIL")</x:f>
        <x:v>PASS</x:v>
      </x:c>
      <x:c r="R26" s="17" t="n">
        <x:f>SUMIFS('03 Dependencies'!$P$6:$P$9,'03 Dependencies'!$N$6:$N$9,C26)</x:f>
        <x:v>10</x:v>
      </x:c>
      <x:c r="S26" s="17" t="n">
        <x:f>SUMIFS('03 Dependencies'!$R$6:$R$9,'03 Dependencies'!$N$6:$N$9,C26)</x:f>
        <x:v>1</x:v>
      </x:c>
      <x:c r="T26" s="17" t="str">
        <x:f>IF(AND('01 Controls'!$D$16&gt;='01 Controls'!$D$17,'01 Controls'!$D$18="ELIGIBLE"),"ADMITTED","DENIED")</x:f>
        <x:v>DENIED</x:v>
      </x:c>
      <x:c r="U26" s="17" t="str">
        <x:f>IF(F26="UNIVERSAL_STOP","LAWFUL UNIVERSAL STOP",IF(Q26="PASS",IF(N26&gt;=G26,"REQUIRED SERVICE RETAINED","SAFE HOLD"),"SERVICE CHAIN COLLAPSES"))</x:f>
        <x:v>REQUIRED SERVICE RETAINED</x:v>
      </x:c>
      <x:c r="V26" s="17" t="str">
        <x:v>OPEN</x:v>
      </x:c>
    </x:row>
    <x:row r="27" ht="35" customHeight="1">
      <x:c r="C27" s="17" t="str">
        <x:v>K1</x:v>
      </x:c>
      <x:c r="D27" s="17" t="str">
        <x:v>W01</x:v>
      </x:c>
      <x:c r="E27" s="40" t="n">
        <x:f>E7</x:f>
        <x:v>1</x:v>
      </x:c>
      <x:c r="F27" s="40" t="str">
        <x:f>F7</x:f>
        <x:v>LOSE_A</x:v>
      </x:c>
      <x:c r="G27" s="40" t="n">
        <x:f>G7</x:f>
        <x:v>5000</x:v>
      </x:c>
      <x:c r="H27" s="40" t="n">
        <x:f>H7</x:f>
        <x:v>1</x:v>
      </x:c>
      <x:c r="I27" s="40" t="n">
        <x:f>IF(E27=0,1,SUMIFS('03 Dependencies'!$I$6:$I$53,'03 Dependencies'!$C$6:$C$53,C27,'03 Dependencies'!$D$6:$D$53,E27))</x:f>
        <x:v>1</x:v>
      </x:c>
      <x:c r="J27" s="38" t="n">
        <x:f>IF(C27="K4",'01 Controls'!$D$13,0)</x:f>
        <x:v>0</x:v>
      </x:c>
      <x:c r="K27" s="40" t="n">
        <x:f>IF(OR(F27="UNIVERSAL_STOP",F27="RESERVE",F27="CROSS_PATH",F27="LOSE_A"),0,IF(F27="LOSE_B",1,IF(F27="BASELINE",1,IF(I27=1,0,0))))</x:f>
        <x:v>0</x:v>
      </x:c>
      <x:c r="L27" s="40" t="n">
        <x:f>IF(OR(F27="UNIVERSAL_STOP",F27="RESERVE",F27="CROSS_PATH",F27="LOSE_B"),0,IF(F27="LOSE_A",1,IF(F27="BASELINE",1,IF(I27=1,1,0))))</x:f>
        <x:v>1</x:v>
      </x:c>
      <x:c r="M27" s="40" t="n">
        <x:f>IF(OR(F27="RESERVE",F27="CROSS_PATH"),J27,0)</x:f>
        <x:v>0</x:v>
      </x:c>
      <x:c r="N27" s="40" t="n">
        <x:f>MIN('01 Controls'!$D$6,(K27+L27+M27)*'01 Controls'!$D$7)</x:f>
        <x:v>5000</x:v>
      </x:c>
      <x:c r="O27" s="17" t="str">
        <x:f>IF(H27=0,"n.a.",IF(N27&gt;=G27,"PASS","FAIL"))</x:f>
        <x:v>PASS</x:v>
      </x:c>
      <x:c r="P27" s="17" t="str">
        <x:f>IF(F27="UNIVERSAL_STOP",IF(N27=0,"PASS","FAIL"),"PASS")</x:f>
        <x:v>PASS</x:v>
      </x:c>
      <x:c r="Q27" s="17" t="str">
        <x:f>IF(AND(OR(O27="PASS",O27="n.a."),P27="PASS"),"PASS","FAIL")</x:f>
        <x:v>PASS</x:v>
      </x:c>
      <x:c r="R27" s="17" t="n">
        <x:f>SUMIFS('03 Dependencies'!$P$6:$P$9,'03 Dependencies'!$N$6:$N$9,C27)</x:f>
        <x:v>10</x:v>
      </x:c>
      <x:c r="S27" s="17" t="n">
        <x:f>SUMIFS('03 Dependencies'!$R$6:$R$9,'03 Dependencies'!$N$6:$N$9,C27)</x:f>
        <x:v>1</x:v>
      </x:c>
      <x:c r="T27" s="17" t="str">
        <x:f>IF(AND('01 Controls'!$D$16&gt;='01 Controls'!$D$17,'01 Controls'!$D$18="ELIGIBLE"),"ADMITTED","DENIED")</x:f>
        <x:v>DENIED</x:v>
      </x:c>
      <x:c r="U27" s="17" t="str">
        <x:f>IF(F27="UNIVERSAL_STOP","LAWFUL UNIVERSAL STOP",IF(Q27="PASS",IF(N27&gt;=G27,"REQUIRED SERVICE RETAINED","SAFE HOLD"),"SERVICE CHAIN COLLAPSES"))</x:f>
        <x:v>REQUIRED SERVICE RETAINED</x:v>
      </x:c>
      <x:c r="V27" s="17" t="str">
        <x:v>OPEN</x:v>
      </x:c>
    </x:row>
    <x:row r="28" ht="35" customHeight="1">
      <x:c r="C28" s="17" t="str">
        <x:v>K1</x:v>
      </x:c>
      <x:c r="D28" s="17" t="str">
        <x:v>W02</x:v>
      </x:c>
      <x:c r="E28" s="40" t="n">
        <x:f>E8</x:f>
        <x:v>1</x:v>
      </x:c>
      <x:c r="F28" s="40" t="str">
        <x:f>F8</x:f>
        <x:v>LOSE_B</x:v>
      </x:c>
      <x:c r="G28" s="40" t="n">
        <x:f>G8</x:f>
        <x:v>5000</x:v>
      </x:c>
      <x:c r="H28" s="40" t="n">
        <x:f>H8</x:f>
        <x:v>1</x:v>
      </x:c>
      <x:c r="I28" s="40" t="n">
        <x:f>IF(E28=0,1,SUMIFS('03 Dependencies'!$I$6:$I$53,'03 Dependencies'!$C$6:$C$53,C28,'03 Dependencies'!$D$6:$D$53,E28))</x:f>
        <x:v>1</x:v>
      </x:c>
      <x:c r="J28" s="38" t="n">
        <x:f>IF(C28="K4",'01 Controls'!$D$13,0)</x:f>
        <x:v>0</x:v>
      </x:c>
      <x:c r="K28" s="40" t="n">
        <x:f>IF(OR(F28="UNIVERSAL_STOP",F28="RESERVE",F28="CROSS_PATH",F28="LOSE_A"),0,IF(F28="LOSE_B",1,IF(F28="BASELINE",1,IF(I28=1,0,0))))</x:f>
        <x:v>1</x:v>
      </x:c>
      <x:c r="L28" s="40" t="n">
        <x:f>IF(OR(F28="UNIVERSAL_STOP",F28="RESERVE",F28="CROSS_PATH",F28="LOSE_B"),0,IF(F28="LOSE_A",1,IF(F28="BASELINE",1,IF(I28=1,1,0))))</x:f>
        <x:v>0</x:v>
      </x:c>
      <x:c r="M28" s="40" t="n">
        <x:f>IF(OR(F28="RESERVE",F28="CROSS_PATH"),J28,0)</x:f>
        <x:v>0</x:v>
      </x:c>
      <x:c r="N28" s="40" t="n">
        <x:f>MIN('01 Controls'!$D$6,(K28+L28+M28)*'01 Controls'!$D$7)</x:f>
        <x:v>5000</x:v>
      </x:c>
      <x:c r="O28" s="17" t="str">
        <x:f>IF(H28=0,"n.a.",IF(N28&gt;=G28,"PASS","FAIL"))</x:f>
        <x:v>PASS</x:v>
      </x:c>
      <x:c r="P28" s="17" t="str">
        <x:f>IF(F28="UNIVERSAL_STOP",IF(N28=0,"PASS","FAIL"),"PASS")</x:f>
        <x:v>PASS</x:v>
      </x:c>
      <x:c r="Q28" s="17" t="str">
        <x:f>IF(AND(OR(O28="PASS",O28="n.a."),P28="PASS"),"PASS","FAIL")</x:f>
        <x:v>PASS</x:v>
      </x:c>
      <x:c r="R28" s="17" t="n">
        <x:f>SUMIFS('03 Dependencies'!$P$6:$P$9,'03 Dependencies'!$N$6:$N$9,C28)</x:f>
        <x:v>10</x:v>
      </x:c>
      <x:c r="S28" s="17" t="n">
        <x:f>SUMIFS('03 Dependencies'!$R$6:$R$9,'03 Dependencies'!$N$6:$N$9,C28)</x:f>
        <x:v>1</x:v>
      </x:c>
      <x:c r="T28" s="17" t="str">
        <x:f>IF(AND('01 Controls'!$D$16&gt;='01 Controls'!$D$17,'01 Controls'!$D$18="ELIGIBLE"),"ADMITTED","DENIED")</x:f>
        <x:v>DENIED</x:v>
      </x:c>
      <x:c r="U28" s="17" t="str">
        <x:f>IF(F28="UNIVERSAL_STOP","LAWFUL UNIVERSAL STOP",IF(Q28="PASS",IF(N28&gt;=G28,"REQUIRED SERVICE RETAINED","SAFE HOLD"),"SERVICE CHAIN COLLAPSES"))</x:f>
        <x:v>REQUIRED SERVICE RETAINED</x:v>
      </x:c>
      <x:c r="V28" s="17" t="str">
        <x:v>OPEN</x:v>
      </x:c>
    </x:row>
    <x:row r="29" ht="35" customHeight="1">
      <x:c r="C29" s="17" t="str">
        <x:v>K1</x:v>
      </x:c>
      <x:c r="D29" s="17" t="str">
        <x:v>W03</x:v>
      </x:c>
      <x:c r="E29" s="40" t="n">
        <x:f>E9</x:f>
        <x:v>2</x:v>
      </x:c>
      <x:c r="F29" s="40" t="str">
        <x:f>F9</x:f>
        <x:v>LOSE_A</x:v>
      </x:c>
      <x:c r="G29" s="40" t="n">
        <x:f>G9</x:f>
        <x:v>5000</x:v>
      </x:c>
      <x:c r="H29" s="40" t="n">
        <x:f>H9</x:f>
        <x:v>1</x:v>
      </x:c>
      <x:c r="I29" s="40" t="n">
        <x:f>IF(E29=0,1,SUMIFS('03 Dependencies'!$I$6:$I$53,'03 Dependencies'!$C$6:$C$53,C29,'03 Dependencies'!$D$6:$D$53,E29))</x:f>
        <x:v>1</x:v>
      </x:c>
      <x:c r="J29" s="38" t="n">
        <x:f>IF(C29="K4",'01 Controls'!$D$13,0)</x:f>
        <x:v>0</x:v>
      </x:c>
      <x:c r="K29" s="40" t="n">
        <x:f>IF(OR(F29="UNIVERSAL_STOP",F29="RESERVE",F29="CROSS_PATH",F29="LOSE_A"),0,IF(F29="LOSE_B",1,IF(F29="BASELINE",1,IF(I29=1,0,0))))</x:f>
        <x:v>0</x:v>
      </x:c>
      <x:c r="L29" s="40" t="n">
        <x:f>IF(OR(F29="UNIVERSAL_STOP",F29="RESERVE",F29="CROSS_PATH",F29="LOSE_B"),0,IF(F29="LOSE_A",1,IF(F29="BASELINE",1,IF(I29=1,1,0))))</x:f>
        <x:v>1</x:v>
      </x:c>
      <x:c r="M29" s="40" t="n">
        <x:f>IF(OR(F29="RESERVE",F29="CROSS_PATH"),J29,0)</x:f>
        <x:v>0</x:v>
      </x:c>
      <x:c r="N29" s="40" t="n">
        <x:f>MIN('01 Controls'!$D$6,(K29+L29+M29)*'01 Controls'!$D$7)</x:f>
        <x:v>5000</x:v>
      </x:c>
      <x:c r="O29" s="17" t="str">
        <x:f>IF(H29=0,"n.a.",IF(N29&gt;=G29,"PASS","FAIL"))</x:f>
        <x:v>PASS</x:v>
      </x:c>
      <x:c r="P29" s="17" t="str">
        <x:f>IF(F29="UNIVERSAL_STOP",IF(N29=0,"PASS","FAIL"),"PASS")</x:f>
        <x:v>PASS</x:v>
      </x:c>
      <x:c r="Q29" s="17" t="str">
        <x:f>IF(AND(OR(O29="PASS",O29="n.a."),P29="PASS"),"PASS","FAIL")</x:f>
        <x:v>PASS</x:v>
      </x:c>
      <x:c r="R29" s="17" t="n">
        <x:f>SUMIFS('03 Dependencies'!$P$6:$P$9,'03 Dependencies'!$N$6:$N$9,C29)</x:f>
        <x:v>10</x:v>
      </x:c>
      <x:c r="S29" s="17" t="n">
        <x:f>SUMIFS('03 Dependencies'!$R$6:$R$9,'03 Dependencies'!$N$6:$N$9,C29)</x:f>
        <x:v>1</x:v>
      </x:c>
      <x:c r="T29" s="17" t="str">
        <x:f>IF(AND('01 Controls'!$D$16&gt;='01 Controls'!$D$17,'01 Controls'!$D$18="ELIGIBLE"),"ADMITTED","DENIED")</x:f>
        <x:v>DENIED</x:v>
      </x:c>
      <x:c r="U29" s="17" t="str">
        <x:f>IF(F29="UNIVERSAL_STOP","LAWFUL UNIVERSAL STOP",IF(Q29="PASS",IF(N29&gt;=G29,"REQUIRED SERVICE RETAINED","SAFE HOLD"),"SERVICE CHAIN COLLAPSES"))</x:f>
        <x:v>REQUIRED SERVICE RETAINED</x:v>
      </x:c>
      <x:c r="V29" s="17" t="str">
        <x:v>OPEN</x:v>
      </x:c>
    </x:row>
    <x:row r="30" ht="35" customHeight="1">
      <x:c r="C30" s="17" t="str">
        <x:v>K1</x:v>
      </x:c>
      <x:c r="D30" s="17" t="str">
        <x:v>W04</x:v>
      </x:c>
      <x:c r="E30" s="40" t="n">
        <x:f>E10</x:f>
        <x:v>3</x:v>
      </x:c>
      <x:c r="F30" s="40" t="str">
        <x:f>F10</x:f>
        <x:v>BOUNDARY</x:v>
      </x:c>
      <x:c r="G30" s="40" t="n">
        <x:f>G10</x:f>
        <x:v>5000</x:v>
      </x:c>
      <x:c r="H30" s="40" t="n">
        <x:f>H10</x:f>
        <x:v>1</x:v>
      </x:c>
      <x:c r="I30" s="40" t="n">
        <x:f>IF(E30=0,1,SUMIFS('03 Dependencies'!$I$6:$I$53,'03 Dependencies'!$C$6:$C$53,C30,'03 Dependencies'!$D$6:$D$53,E30))</x:f>
        <x:v>0</x:v>
      </x:c>
      <x:c r="J30" s="38" t="n">
        <x:f>IF(C30="K4",'01 Controls'!$D$13,0)</x:f>
        <x:v>0</x:v>
      </x:c>
      <x:c r="K30" s="40" t="n">
        <x:f>IF(OR(F30="UNIVERSAL_STOP",F30="RESERVE",F30="CROSS_PATH",F30="LOSE_A"),0,IF(F30="LOSE_B",1,IF(F30="BASELINE",1,IF(I30=1,0,0))))</x:f>
        <x:v>0</x:v>
      </x:c>
      <x:c r="L30" s="40" t="n">
        <x:f>IF(OR(F30="UNIVERSAL_STOP",F30="RESERVE",F30="CROSS_PATH",F30="LOSE_B"),0,IF(F30="LOSE_A",1,IF(F30="BASELINE",1,IF(I30=1,1,0))))</x:f>
        <x:v>0</x:v>
      </x:c>
      <x:c r="M30" s="40" t="n">
        <x:f>IF(OR(F30="RESERVE",F30="CROSS_PATH"),J30,0)</x:f>
        <x:v>0</x:v>
      </x:c>
      <x:c r="N30" s="40" t="n">
        <x:f>MIN('01 Controls'!$D$6,(K30+L30+M30)*'01 Controls'!$D$7)</x:f>
        <x:v>0</x:v>
      </x:c>
      <x:c r="O30" s="17" t="str">
        <x:f>IF(H30=0,"n.a.",IF(N30&gt;=G30,"PASS","FAIL"))</x:f>
        <x:v>FAIL</x:v>
      </x:c>
      <x:c r="P30" s="17" t="str">
        <x:f>IF(F30="UNIVERSAL_STOP",IF(N30=0,"PASS","FAIL"),"PASS")</x:f>
        <x:v>PASS</x:v>
      </x:c>
      <x:c r="Q30" s="17" t="str">
        <x:f>IF(AND(OR(O30="PASS",O30="n.a."),P30="PASS"),"PASS","FAIL")</x:f>
        <x:v>FAIL</x:v>
      </x:c>
      <x:c r="R30" s="17" t="n">
        <x:f>SUMIFS('03 Dependencies'!$P$6:$P$9,'03 Dependencies'!$N$6:$N$9,C30)</x:f>
        <x:v>10</x:v>
      </x:c>
      <x:c r="S30" s="17" t="n">
        <x:f>SUMIFS('03 Dependencies'!$R$6:$R$9,'03 Dependencies'!$N$6:$N$9,C30)</x:f>
        <x:v>1</x:v>
      </x:c>
      <x:c r="T30" s="17" t="str">
        <x:f>IF(AND('01 Controls'!$D$16&gt;='01 Controls'!$D$17,'01 Controls'!$D$18="ELIGIBLE"),"ADMITTED","DENIED")</x:f>
        <x:v>DENIED</x:v>
      </x:c>
      <x:c r="U30" s="17" t="str">
        <x:f>IF(F30="UNIVERSAL_STOP","LAWFUL UNIVERSAL STOP",IF(Q30="PASS",IF(N30&gt;=G30,"REQUIRED SERVICE RETAINED","SAFE HOLD"),"SERVICE CHAIN COLLAPSES"))</x:f>
        <x:v>SERVICE CHAIN COLLAPSES</x:v>
      </x:c>
      <x:c r="V30" s="17" t="str">
        <x:v>OPEN</x:v>
      </x:c>
    </x:row>
    <x:row r="31" ht="35" customHeight="1">
      <x:c r="C31" s="17" t="str">
        <x:v>K1</x:v>
      </x:c>
      <x:c r="D31" s="17" t="str">
        <x:v>W05</x:v>
      </x:c>
      <x:c r="E31" s="40" t="n">
        <x:f>E11</x:f>
        <x:v>4</x:v>
      </x:c>
      <x:c r="F31" s="40" t="str">
        <x:f>F11</x:f>
        <x:v>BOUNDARY</x:v>
      </x:c>
      <x:c r="G31" s="40" t="n">
        <x:f>G11</x:f>
        <x:v>5000</x:v>
      </x:c>
      <x:c r="H31" s="40" t="n">
        <x:f>H11</x:f>
        <x:v>1</x:v>
      </x:c>
      <x:c r="I31" s="40" t="n">
        <x:f>IF(E31=0,1,SUMIFS('03 Dependencies'!$I$6:$I$53,'03 Dependencies'!$C$6:$C$53,C31,'03 Dependencies'!$D$6:$D$53,E31))</x:f>
        <x:v>0</x:v>
      </x:c>
      <x:c r="J31" s="38" t="n">
        <x:f>IF(C31="K4",'01 Controls'!$D$13,0)</x:f>
        <x:v>0</x:v>
      </x:c>
      <x:c r="K31" s="40" t="n">
        <x:f>IF(OR(F31="UNIVERSAL_STOP",F31="RESERVE",F31="CROSS_PATH",F31="LOSE_A"),0,IF(F31="LOSE_B",1,IF(F31="BASELINE",1,IF(I31=1,0,0))))</x:f>
        <x:v>0</x:v>
      </x:c>
      <x:c r="L31" s="40" t="n">
        <x:f>IF(OR(F31="UNIVERSAL_STOP",F31="RESERVE",F31="CROSS_PATH",F31="LOSE_B"),0,IF(F31="LOSE_A",1,IF(F31="BASELINE",1,IF(I31=1,1,0))))</x:f>
        <x:v>0</x:v>
      </x:c>
      <x:c r="M31" s="40" t="n">
        <x:f>IF(OR(F31="RESERVE",F31="CROSS_PATH"),J31,0)</x:f>
        <x:v>0</x:v>
      </x:c>
      <x:c r="N31" s="40" t="n">
        <x:f>MIN('01 Controls'!$D$6,(K31+L31+M31)*'01 Controls'!$D$7)</x:f>
        <x:v>0</x:v>
      </x:c>
      <x:c r="O31" s="17" t="str">
        <x:f>IF(H31=0,"n.a.",IF(N31&gt;=G31,"PASS","FAIL"))</x:f>
        <x:v>FAIL</x:v>
      </x:c>
      <x:c r="P31" s="17" t="str">
        <x:f>IF(F31="UNIVERSAL_STOP",IF(N31=0,"PASS","FAIL"),"PASS")</x:f>
        <x:v>PASS</x:v>
      </x:c>
      <x:c r="Q31" s="17" t="str">
        <x:f>IF(AND(OR(O31="PASS",O31="n.a."),P31="PASS"),"PASS","FAIL")</x:f>
        <x:v>FAIL</x:v>
      </x:c>
      <x:c r="R31" s="17" t="n">
        <x:f>SUMIFS('03 Dependencies'!$P$6:$P$9,'03 Dependencies'!$N$6:$N$9,C31)</x:f>
        <x:v>10</x:v>
      </x:c>
      <x:c r="S31" s="17" t="n">
        <x:f>SUMIFS('03 Dependencies'!$R$6:$R$9,'03 Dependencies'!$N$6:$N$9,C31)</x:f>
        <x:v>1</x:v>
      </x:c>
      <x:c r="T31" s="17" t="str">
        <x:f>IF(AND('01 Controls'!$D$16&gt;='01 Controls'!$D$17,'01 Controls'!$D$18="ELIGIBLE"),"ADMITTED","DENIED")</x:f>
        <x:v>DENIED</x:v>
      </x:c>
      <x:c r="U31" s="17" t="str">
        <x:f>IF(F31="UNIVERSAL_STOP","LAWFUL UNIVERSAL STOP",IF(Q31="PASS",IF(N31&gt;=G31,"REQUIRED SERVICE RETAINED","SAFE HOLD"),"SERVICE CHAIN COLLAPSES"))</x:f>
        <x:v>SERVICE CHAIN COLLAPSES</x:v>
      </x:c>
      <x:c r="V31" s="17" t="str">
        <x:v>OPEN</x:v>
      </x:c>
    </x:row>
    <x:row r="32" ht="35" customHeight="1">
      <x:c r="C32" s="17" t="str">
        <x:v>K1</x:v>
      </x:c>
      <x:c r="D32" s="17" t="str">
        <x:v>W06</x:v>
      </x:c>
      <x:c r="E32" s="40" t="n">
        <x:f>E12</x:f>
        <x:v>5</x:v>
      </x:c>
      <x:c r="F32" s="40" t="str">
        <x:f>F12</x:f>
        <x:v>BOUNDARY</x:v>
      </x:c>
      <x:c r="G32" s="40" t="n">
        <x:f>G12</x:f>
        <x:v>5000</x:v>
      </x:c>
      <x:c r="H32" s="40" t="n">
        <x:f>H12</x:f>
        <x:v>1</x:v>
      </x:c>
      <x:c r="I32" s="40" t="n">
        <x:f>IF(E32=0,1,SUMIFS('03 Dependencies'!$I$6:$I$53,'03 Dependencies'!$C$6:$C$53,C32,'03 Dependencies'!$D$6:$D$53,E32))</x:f>
        <x:v>0</x:v>
      </x:c>
      <x:c r="J32" s="38" t="n">
        <x:f>IF(C32="K4",'01 Controls'!$D$13,0)</x:f>
        <x:v>0</x:v>
      </x:c>
      <x:c r="K32" s="40" t="n">
        <x:f>IF(OR(F32="UNIVERSAL_STOP",F32="RESERVE",F32="CROSS_PATH",F32="LOSE_A"),0,IF(F32="LOSE_B",1,IF(F32="BASELINE",1,IF(I32=1,0,0))))</x:f>
        <x:v>0</x:v>
      </x:c>
      <x:c r="L32" s="40" t="n">
        <x:f>IF(OR(F32="UNIVERSAL_STOP",F32="RESERVE",F32="CROSS_PATH",F32="LOSE_B"),0,IF(F32="LOSE_A",1,IF(F32="BASELINE",1,IF(I32=1,1,0))))</x:f>
        <x:v>0</x:v>
      </x:c>
      <x:c r="M32" s="40" t="n">
        <x:f>IF(OR(F32="RESERVE",F32="CROSS_PATH"),J32,0)</x:f>
        <x:v>0</x:v>
      </x:c>
      <x:c r="N32" s="40" t="n">
        <x:f>MIN('01 Controls'!$D$6,(K32+L32+M32)*'01 Controls'!$D$7)</x:f>
        <x:v>0</x:v>
      </x:c>
      <x:c r="O32" s="17" t="str">
        <x:f>IF(H32=0,"n.a.",IF(N32&gt;=G32,"PASS","FAIL"))</x:f>
        <x:v>FAIL</x:v>
      </x:c>
      <x:c r="P32" s="17" t="str">
        <x:f>IF(F32="UNIVERSAL_STOP",IF(N32=0,"PASS","FAIL"),"PASS")</x:f>
        <x:v>PASS</x:v>
      </x:c>
      <x:c r="Q32" s="17" t="str">
        <x:f>IF(AND(OR(O32="PASS",O32="n.a."),P32="PASS"),"PASS","FAIL")</x:f>
        <x:v>FAIL</x:v>
      </x:c>
      <x:c r="R32" s="17" t="n">
        <x:f>SUMIFS('03 Dependencies'!$P$6:$P$9,'03 Dependencies'!$N$6:$N$9,C32)</x:f>
        <x:v>10</x:v>
      </x:c>
      <x:c r="S32" s="17" t="n">
        <x:f>SUMIFS('03 Dependencies'!$R$6:$R$9,'03 Dependencies'!$N$6:$N$9,C32)</x:f>
        <x:v>1</x:v>
      </x:c>
      <x:c r="T32" s="17" t="str">
        <x:f>IF(AND('01 Controls'!$D$16&gt;='01 Controls'!$D$17,'01 Controls'!$D$18="ELIGIBLE"),"ADMITTED","DENIED")</x:f>
        <x:v>DENIED</x:v>
      </x:c>
      <x:c r="U32" s="17" t="str">
        <x:f>IF(F32="UNIVERSAL_STOP","LAWFUL UNIVERSAL STOP",IF(Q32="PASS",IF(N32&gt;=G32,"REQUIRED SERVICE RETAINED","SAFE HOLD"),"SERVICE CHAIN COLLAPSES"))</x:f>
        <x:v>SERVICE CHAIN COLLAPSES</x:v>
      </x:c>
      <x:c r="V32" s="17" t="str">
        <x:v>OPEN</x:v>
      </x:c>
    </x:row>
    <x:row r="33" ht="35" customHeight="1">
      <x:c r="C33" s="17" t="str">
        <x:v>K1</x:v>
      </x:c>
      <x:c r="D33" s="17" t="str">
        <x:v>W07</x:v>
      </x:c>
      <x:c r="E33" s="40" t="n">
        <x:f>E13</x:f>
        <x:v>6</x:v>
      </x:c>
      <x:c r="F33" s="40" t="str">
        <x:f>F13</x:f>
        <x:v>BOUNDARY</x:v>
      </x:c>
      <x:c r="G33" s="40" t="n">
        <x:f>G13</x:f>
        <x:v>5000</x:v>
      </x:c>
      <x:c r="H33" s="40" t="n">
        <x:f>H13</x:f>
        <x:v>1</x:v>
      </x:c>
      <x:c r="I33" s="40" t="n">
        <x:f>IF(E33=0,1,SUMIFS('03 Dependencies'!$I$6:$I$53,'03 Dependencies'!$C$6:$C$53,C33,'03 Dependencies'!$D$6:$D$53,E33))</x:f>
        <x:v>0</x:v>
      </x:c>
      <x:c r="J33" s="38" t="n">
        <x:f>IF(C33="K4",'01 Controls'!$D$13,0)</x:f>
        <x:v>0</x:v>
      </x:c>
      <x:c r="K33" s="40" t="n">
        <x:f>IF(OR(F33="UNIVERSAL_STOP",F33="RESERVE",F33="CROSS_PATH",F33="LOSE_A"),0,IF(F33="LOSE_B",1,IF(F33="BASELINE",1,IF(I33=1,0,0))))</x:f>
        <x:v>0</x:v>
      </x:c>
      <x:c r="L33" s="40" t="n">
        <x:f>IF(OR(F33="UNIVERSAL_STOP",F33="RESERVE",F33="CROSS_PATH",F33="LOSE_B"),0,IF(F33="LOSE_A",1,IF(F33="BASELINE",1,IF(I33=1,1,0))))</x:f>
        <x:v>0</x:v>
      </x:c>
      <x:c r="M33" s="40" t="n">
        <x:f>IF(OR(F33="RESERVE",F33="CROSS_PATH"),J33,0)</x:f>
        <x:v>0</x:v>
      </x:c>
      <x:c r="N33" s="40" t="n">
        <x:f>MIN('01 Controls'!$D$6,(K33+L33+M33)*'01 Controls'!$D$7)</x:f>
        <x:v>0</x:v>
      </x:c>
      <x:c r="O33" s="17" t="str">
        <x:f>IF(H33=0,"n.a.",IF(N33&gt;=G33,"PASS","FAIL"))</x:f>
        <x:v>FAIL</x:v>
      </x:c>
      <x:c r="P33" s="17" t="str">
        <x:f>IF(F33="UNIVERSAL_STOP",IF(N33=0,"PASS","FAIL"),"PASS")</x:f>
        <x:v>PASS</x:v>
      </x:c>
      <x:c r="Q33" s="17" t="str">
        <x:f>IF(AND(OR(O33="PASS",O33="n.a."),P33="PASS"),"PASS","FAIL")</x:f>
        <x:v>FAIL</x:v>
      </x:c>
      <x:c r="R33" s="17" t="n">
        <x:f>SUMIFS('03 Dependencies'!$P$6:$P$9,'03 Dependencies'!$N$6:$N$9,C33)</x:f>
        <x:v>10</x:v>
      </x:c>
      <x:c r="S33" s="17" t="n">
        <x:f>SUMIFS('03 Dependencies'!$R$6:$R$9,'03 Dependencies'!$N$6:$N$9,C33)</x:f>
        <x:v>1</x:v>
      </x:c>
      <x:c r="T33" s="17" t="str">
        <x:f>IF(AND('01 Controls'!$D$16&gt;='01 Controls'!$D$17,'01 Controls'!$D$18="ELIGIBLE"),"ADMITTED","DENIED")</x:f>
        <x:v>DENIED</x:v>
      </x:c>
      <x:c r="U33" s="17" t="str">
        <x:f>IF(F33="UNIVERSAL_STOP","LAWFUL UNIVERSAL STOP",IF(Q33="PASS",IF(N33&gt;=G33,"REQUIRED SERVICE RETAINED","SAFE HOLD"),"SERVICE CHAIN COLLAPSES"))</x:f>
        <x:v>SERVICE CHAIN COLLAPSES</x:v>
      </x:c>
      <x:c r="V33" s="17" t="str">
        <x:v>OPEN</x:v>
      </x:c>
    </x:row>
    <x:row r="34" ht="35" customHeight="1">
      <x:c r="C34" s="17" t="str">
        <x:v>K1</x:v>
      </x:c>
      <x:c r="D34" s="17" t="str">
        <x:v>W08</x:v>
      </x:c>
      <x:c r="E34" s="40" t="n">
        <x:f>E14</x:f>
        <x:v>7</x:v>
      </x:c>
      <x:c r="F34" s="40" t="str">
        <x:f>F14</x:f>
        <x:v>BOUNDARY</x:v>
      </x:c>
      <x:c r="G34" s="40" t="n">
        <x:f>G14</x:f>
        <x:v>5000</x:v>
      </x:c>
      <x:c r="H34" s="40" t="n">
        <x:f>H14</x:f>
        <x:v>1</x:v>
      </x:c>
      <x:c r="I34" s="40" t="n">
        <x:f>IF(E34=0,1,SUMIFS('03 Dependencies'!$I$6:$I$53,'03 Dependencies'!$C$6:$C$53,C34,'03 Dependencies'!$D$6:$D$53,E34))</x:f>
        <x:v>0</x:v>
      </x:c>
      <x:c r="J34" s="38" t="n">
        <x:f>IF(C34="K4",'01 Controls'!$D$13,0)</x:f>
        <x:v>0</x:v>
      </x:c>
      <x:c r="K34" s="40" t="n">
        <x:f>IF(OR(F34="UNIVERSAL_STOP",F34="RESERVE",F34="CROSS_PATH",F34="LOSE_A"),0,IF(F34="LOSE_B",1,IF(F34="BASELINE",1,IF(I34=1,0,0))))</x:f>
        <x:v>0</x:v>
      </x:c>
      <x:c r="L34" s="40" t="n">
        <x:f>IF(OR(F34="UNIVERSAL_STOP",F34="RESERVE",F34="CROSS_PATH",F34="LOSE_B"),0,IF(F34="LOSE_A",1,IF(F34="BASELINE",1,IF(I34=1,1,0))))</x:f>
        <x:v>0</x:v>
      </x:c>
      <x:c r="M34" s="40" t="n">
        <x:f>IF(OR(F34="RESERVE",F34="CROSS_PATH"),J34,0)</x:f>
        <x:v>0</x:v>
      </x:c>
      <x:c r="N34" s="40" t="n">
        <x:f>MIN('01 Controls'!$D$6,(K34+L34+M34)*'01 Controls'!$D$7)</x:f>
        <x:v>0</x:v>
      </x:c>
      <x:c r="O34" s="17" t="str">
        <x:f>IF(H34=0,"n.a.",IF(N34&gt;=G34,"PASS","FAIL"))</x:f>
        <x:v>FAIL</x:v>
      </x:c>
      <x:c r="P34" s="17" t="str">
        <x:f>IF(F34="UNIVERSAL_STOP",IF(N34=0,"PASS","FAIL"),"PASS")</x:f>
        <x:v>PASS</x:v>
      </x:c>
      <x:c r="Q34" s="17" t="str">
        <x:f>IF(AND(OR(O34="PASS",O34="n.a."),P34="PASS"),"PASS","FAIL")</x:f>
        <x:v>FAIL</x:v>
      </x:c>
      <x:c r="R34" s="17" t="n">
        <x:f>SUMIFS('03 Dependencies'!$P$6:$P$9,'03 Dependencies'!$N$6:$N$9,C34)</x:f>
        <x:v>10</x:v>
      </x:c>
      <x:c r="S34" s="17" t="n">
        <x:f>SUMIFS('03 Dependencies'!$R$6:$R$9,'03 Dependencies'!$N$6:$N$9,C34)</x:f>
        <x:v>1</x:v>
      </x:c>
      <x:c r="T34" s="17" t="str">
        <x:f>IF(AND('01 Controls'!$D$16&gt;='01 Controls'!$D$17,'01 Controls'!$D$18="ELIGIBLE"),"ADMITTED","DENIED")</x:f>
        <x:v>DENIED</x:v>
      </x:c>
      <x:c r="U34" s="17" t="str">
        <x:f>IF(F34="UNIVERSAL_STOP","LAWFUL UNIVERSAL STOP",IF(Q34="PASS",IF(N34&gt;=G34,"REQUIRED SERVICE RETAINED","SAFE HOLD"),"SERVICE CHAIN COLLAPSES"))</x:f>
        <x:v>SERVICE CHAIN COLLAPSES</x:v>
      </x:c>
      <x:c r="V34" s="17" t="str">
        <x:v>OPEN</x:v>
      </x:c>
    </x:row>
    <x:row r="35" ht="35" customHeight="1">
      <x:c r="C35" s="17" t="str">
        <x:v>K1</x:v>
      </x:c>
      <x:c r="D35" s="17" t="str">
        <x:v>W09</x:v>
      </x:c>
      <x:c r="E35" s="40" t="n">
        <x:f>E15</x:f>
        <x:v>8</x:v>
      </x:c>
      <x:c r="F35" s="40" t="str">
        <x:f>F15</x:f>
        <x:v>BOUNDARY</x:v>
      </x:c>
      <x:c r="G35" s="40" t="n">
        <x:f>G15</x:f>
        <x:v>5000</x:v>
      </x:c>
      <x:c r="H35" s="40" t="n">
        <x:f>H15</x:f>
        <x:v>1</x:v>
      </x:c>
      <x:c r="I35" s="40" t="n">
        <x:f>IF(E35=0,1,SUMIFS('03 Dependencies'!$I$6:$I$53,'03 Dependencies'!$C$6:$C$53,C35,'03 Dependencies'!$D$6:$D$53,E35))</x:f>
        <x:v>0</x:v>
      </x:c>
      <x:c r="J35" s="38" t="n">
        <x:f>IF(C35="K4",'01 Controls'!$D$13,0)</x:f>
        <x:v>0</x:v>
      </x:c>
      <x:c r="K35" s="40" t="n">
        <x:f>IF(OR(F35="UNIVERSAL_STOP",F35="RESERVE",F35="CROSS_PATH",F35="LOSE_A"),0,IF(F35="LOSE_B",1,IF(F35="BASELINE",1,IF(I35=1,0,0))))</x:f>
        <x:v>0</x:v>
      </x:c>
      <x:c r="L35" s="40" t="n">
        <x:f>IF(OR(F35="UNIVERSAL_STOP",F35="RESERVE",F35="CROSS_PATH",F35="LOSE_B"),0,IF(F35="LOSE_A",1,IF(F35="BASELINE",1,IF(I35=1,1,0))))</x:f>
        <x:v>0</x:v>
      </x:c>
      <x:c r="M35" s="40" t="n">
        <x:f>IF(OR(F35="RESERVE",F35="CROSS_PATH"),J35,0)</x:f>
        <x:v>0</x:v>
      </x:c>
      <x:c r="N35" s="40" t="n">
        <x:f>MIN('01 Controls'!$D$6,(K35+L35+M35)*'01 Controls'!$D$7)</x:f>
        <x:v>0</x:v>
      </x:c>
      <x:c r="O35" s="17" t="str">
        <x:f>IF(H35=0,"n.a.",IF(N35&gt;=G35,"PASS","FAIL"))</x:f>
        <x:v>FAIL</x:v>
      </x:c>
      <x:c r="P35" s="17" t="str">
        <x:f>IF(F35="UNIVERSAL_STOP",IF(N35=0,"PASS","FAIL"),"PASS")</x:f>
        <x:v>PASS</x:v>
      </x:c>
      <x:c r="Q35" s="17" t="str">
        <x:f>IF(AND(OR(O35="PASS",O35="n.a."),P35="PASS"),"PASS","FAIL")</x:f>
        <x:v>FAIL</x:v>
      </x:c>
      <x:c r="R35" s="17" t="n">
        <x:f>SUMIFS('03 Dependencies'!$P$6:$P$9,'03 Dependencies'!$N$6:$N$9,C35)</x:f>
        <x:v>10</x:v>
      </x:c>
      <x:c r="S35" s="17" t="n">
        <x:f>SUMIFS('03 Dependencies'!$R$6:$R$9,'03 Dependencies'!$N$6:$N$9,C35)</x:f>
        <x:v>1</x:v>
      </x:c>
      <x:c r="T35" s="17" t="str">
        <x:f>IF(AND('01 Controls'!$D$16&gt;='01 Controls'!$D$17,'01 Controls'!$D$18="ELIGIBLE"),"ADMITTED","DENIED")</x:f>
        <x:v>DENIED</x:v>
      </x:c>
      <x:c r="U35" s="17" t="str">
        <x:f>IF(F35="UNIVERSAL_STOP","LAWFUL UNIVERSAL STOP",IF(Q35="PASS",IF(N35&gt;=G35,"REQUIRED SERVICE RETAINED","SAFE HOLD"),"SERVICE CHAIN COLLAPSES"))</x:f>
        <x:v>SERVICE CHAIN COLLAPSES</x:v>
      </x:c>
      <x:c r="V35" s="17" t="str">
        <x:v>OPEN</x:v>
      </x:c>
    </x:row>
    <x:row r="36" ht="35" customHeight="1">
      <x:c r="C36" s="17" t="str">
        <x:v>K1</x:v>
      </x:c>
      <x:c r="D36" s="17" t="str">
        <x:v>W10</x:v>
      </x:c>
      <x:c r="E36" s="40" t="n">
        <x:f>E16</x:f>
        <x:v>9</x:v>
      </x:c>
      <x:c r="F36" s="40" t="str">
        <x:f>F16</x:f>
        <x:v>BOUNDARY</x:v>
      </x:c>
      <x:c r="G36" s="40" t="n">
        <x:f>G16</x:f>
        <x:v>5000</x:v>
      </x:c>
      <x:c r="H36" s="40" t="n">
        <x:f>H16</x:f>
        <x:v>1</x:v>
      </x:c>
      <x:c r="I36" s="40" t="n">
        <x:f>IF(E36=0,1,SUMIFS('03 Dependencies'!$I$6:$I$53,'03 Dependencies'!$C$6:$C$53,C36,'03 Dependencies'!$D$6:$D$53,E36))</x:f>
        <x:v>0</x:v>
      </x:c>
      <x:c r="J36" s="38" t="n">
        <x:f>IF(C36="K4",'01 Controls'!$D$13,0)</x:f>
        <x:v>0</x:v>
      </x:c>
      <x:c r="K36" s="40" t="n">
        <x:f>IF(OR(F36="UNIVERSAL_STOP",F36="RESERVE",F36="CROSS_PATH",F36="LOSE_A"),0,IF(F36="LOSE_B",1,IF(F36="BASELINE",1,IF(I36=1,0,0))))</x:f>
        <x:v>0</x:v>
      </x:c>
      <x:c r="L36" s="40" t="n">
        <x:f>IF(OR(F36="UNIVERSAL_STOP",F36="RESERVE",F36="CROSS_PATH",F36="LOSE_B"),0,IF(F36="LOSE_A",1,IF(F36="BASELINE",1,IF(I36=1,1,0))))</x:f>
        <x:v>0</x:v>
      </x:c>
      <x:c r="M36" s="40" t="n">
        <x:f>IF(OR(F36="RESERVE",F36="CROSS_PATH"),J36,0)</x:f>
        <x:v>0</x:v>
      </x:c>
      <x:c r="N36" s="40" t="n">
        <x:f>MIN('01 Controls'!$D$6,(K36+L36+M36)*'01 Controls'!$D$7)</x:f>
        <x:v>0</x:v>
      </x:c>
      <x:c r="O36" s="17" t="str">
        <x:f>IF(H36=0,"n.a.",IF(N36&gt;=G36,"PASS","FAIL"))</x:f>
        <x:v>FAIL</x:v>
      </x:c>
      <x:c r="P36" s="17" t="str">
        <x:f>IF(F36="UNIVERSAL_STOP",IF(N36=0,"PASS","FAIL"),"PASS")</x:f>
        <x:v>PASS</x:v>
      </x:c>
      <x:c r="Q36" s="17" t="str">
        <x:f>IF(AND(OR(O36="PASS",O36="n.a."),P36="PASS"),"PASS","FAIL")</x:f>
        <x:v>FAIL</x:v>
      </x:c>
      <x:c r="R36" s="17" t="n">
        <x:f>SUMIFS('03 Dependencies'!$P$6:$P$9,'03 Dependencies'!$N$6:$N$9,C36)</x:f>
        <x:v>10</x:v>
      </x:c>
      <x:c r="S36" s="17" t="n">
        <x:f>SUMIFS('03 Dependencies'!$R$6:$R$9,'03 Dependencies'!$N$6:$N$9,C36)</x:f>
        <x:v>1</x:v>
      </x:c>
      <x:c r="T36" s="17" t="str">
        <x:f>IF(AND('01 Controls'!$D$16&gt;='01 Controls'!$D$17,'01 Controls'!$D$18="ELIGIBLE"),"ADMITTED","DENIED")</x:f>
        <x:v>DENIED</x:v>
      </x:c>
      <x:c r="U36" s="17" t="str">
        <x:f>IF(F36="UNIVERSAL_STOP","LAWFUL UNIVERSAL STOP",IF(Q36="PASS",IF(N36&gt;=G36,"REQUIRED SERVICE RETAINED","SAFE HOLD"),"SERVICE CHAIN COLLAPSES"))</x:f>
        <x:v>SERVICE CHAIN COLLAPSES</x:v>
      </x:c>
      <x:c r="V36" s="17" t="str">
        <x:v>OPEN</x:v>
      </x:c>
    </x:row>
    <x:row r="37" ht="35" customHeight="1">
      <x:c r="C37" s="17" t="str">
        <x:v>K1</x:v>
      </x:c>
      <x:c r="D37" s="17" t="str">
        <x:v>W11</x:v>
      </x:c>
      <x:c r="E37" s="40" t="n">
        <x:f>E17</x:f>
        <x:v>10</x:v>
      </x:c>
      <x:c r="F37" s="40" t="str">
        <x:f>F17</x:f>
        <x:v>BOUNDARY</x:v>
      </x:c>
      <x:c r="G37" s="40" t="n">
        <x:f>G17</x:f>
        <x:v>5000</x:v>
      </x:c>
      <x:c r="H37" s="40" t="n">
        <x:f>H17</x:f>
        <x:v>1</x:v>
      </x:c>
      <x:c r="I37" s="40" t="n">
        <x:f>IF(E37=0,1,SUMIFS('03 Dependencies'!$I$6:$I$53,'03 Dependencies'!$C$6:$C$53,C37,'03 Dependencies'!$D$6:$D$53,E37))</x:f>
        <x:v>0</x:v>
      </x:c>
      <x:c r="J37" s="38" t="n">
        <x:f>IF(C37="K4",'01 Controls'!$D$13,0)</x:f>
        <x:v>0</x:v>
      </x:c>
      <x:c r="K37" s="40" t="n">
        <x:f>IF(OR(F37="UNIVERSAL_STOP",F37="RESERVE",F37="CROSS_PATH",F37="LOSE_A"),0,IF(F37="LOSE_B",1,IF(F37="BASELINE",1,IF(I37=1,0,0))))</x:f>
        <x:v>0</x:v>
      </x:c>
      <x:c r="L37" s="40" t="n">
        <x:f>IF(OR(F37="UNIVERSAL_STOP",F37="RESERVE",F37="CROSS_PATH",F37="LOSE_B"),0,IF(F37="LOSE_A",1,IF(F37="BASELINE",1,IF(I37=1,1,0))))</x:f>
        <x:v>0</x:v>
      </x:c>
      <x:c r="M37" s="40" t="n">
        <x:f>IF(OR(F37="RESERVE",F37="CROSS_PATH"),J37,0)</x:f>
        <x:v>0</x:v>
      </x:c>
      <x:c r="N37" s="40" t="n">
        <x:f>MIN('01 Controls'!$D$6,(K37+L37+M37)*'01 Controls'!$D$7)</x:f>
        <x:v>0</x:v>
      </x:c>
      <x:c r="O37" s="17" t="str">
        <x:f>IF(H37=0,"n.a.",IF(N37&gt;=G37,"PASS","FAIL"))</x:f>
        <x:v>FAIL</x:v>
      </x:c>
      <x:c r="P37" s="17" t="str">
        <x:f>IF(F37="UNIVERSAL_STOP",IF(N37=0,"PASS","FAIL"),"PASS")</x:f>
        <x:v>PASS</x:v>
      </x:c>
      <x:c r="Q37" s="17" t="str">
        <x:f>IF(AND(OR(O37="PASS",O37="n.a."),P37="PASS"),"PASS","FAIL")</x:f>
        <x:v>FAIL</x:v>
      </x:c>
      <x:c r="R37" s="17" t="n">
        <x:f>SUMIFS('03 Dependencies'!$P$6:$P$9,'03 Dependencies'!$N$6:$N$9,C37)</x:f>
        <x:v>10</x:v>
      </x:c>
      <x:c r="S37" s="17" t="n">
        <x:f>SUMIFS('03 Dependencies'!$R$6:$R$9,'03 Dependencies'!$N$6:$N$9,C37)</x:f>
        <x:v>1</x:v>
      </x:c>
      <x:c r="T37" s="17" t="str">
        <x:f>IF(AND('01 Controls'!$D$16&gt;='01 Controls'!$D$17,'01 Controls'!$D$18="ELIGIBLE"),"ADMITTED","DENIED")</x:f>
        <x:v>DENIED</x:v>
      </x:c>
      <x:c r="U37" s="17" t="str">
        <x:f>IF(F37="UNIVERSAL_STOP","LAWFUL UNIVERSAL STOP",IF(Q37="PASS",IF(N37&gt;=G37,"REQUIRED SERVICE RETAINED","SAFE HOLD"),"SERVICE CHAIN COLLAPSES"))</x:f>
        <x:v>SERVICE CHAIN COLLAPSES</x:v>
      </x:c>
      <x:c r="V37" s="17" t="str">
        <x:v>OPEN</x:v>
      </x:c>
    </x:row>
    <x:row r="38" ht="35" customHeight="1">
      <x:c r="C38" s="17" t="str">
        <x:v>K1</x:v>
      </x:c>
      <x:c r="D38" s="17" t="str">
        <x:v>W12</x:v>
      </x:c>
      <x:c r="E38" s="40" t="n">
        <x:f>E18</x:f>
        <x:v>11</x:v>
      </x:c>
      <x:c r="F38" s="40" t="str">
        <x:f>F18</x:f>
        <x:v>BOUNDARY</x:v>
      </x:c>
      <x:c r="G38" s="40" t="n">
        <x:f>G18</x:f>
        <x:v>5000</x:v>
      </x:c>
      <x:c r="H38" s="40" t="n">
        <x:f>H18</x:f>
        <x:v>1</x:v>
      </x:c>
      <x:c r="I38" s="40" t="n">
        <x:f>IF(E38=0,1,SUMIFS('03 Dependencies'!$I$6:$I$53,'03 Dependencies'!$C$6:$C$53,C38,'03 Dependencies'!$D$6:$D$53,E38))</x:f>
        <x:v>0</x:v>
      </x:c>
      <x:c r="J38" s="38" t="n">
        <x:f>IF(C38="K4",'01 Controls'!$D$13,0)</x:f>
        <x:v>0</x:v>
      </x:c>
      <x:c r="K38" s="40" t="n">
        <x:f>IF(OR(F38="UNIVERSAL_STOP",F38="RESERVE",F38="CROSS_PATH",F38="LOSE_A"),0,IF(F38="LOSE_B",1,IF(F38="BASELINE",1,IF(I38=1,0,0))))</x:f>
        <x:v>0</x:v>
      </x:c>
      <x:c r="L38" s="40" t="n">
        <x:f>IF(OR(F38="UNIVERSAL_STOP",F38="RESERVE",F38="CROSS_PATH",F38="LOSE_B"),0,IF(F38="LOSE_A",1,IF(F38="BASELINE",1,IF(I38=1,1,0))))</x:f>
        <x:v>0</x:v>
      </x:c>
      <x:c r="M38" s="40" t="n">
        <x:f>IF(OR(F38="RESERVE",F38="CROSS_PATH"),J38,0)</x:f>
        <x:v>0</x:v>
      </x:c>
      <x:c r="N38" s="40" t="n">
        <x:f>MIN('01 Controls'!$D$6,(K38+L38+M38)*'01 Controls'!$D$7)</x:f>
        <x:v>0</x:v>
      </x:c>
      <x:c r="O38" s="17" t="str">
        <x:f>IF(H38=0,"n.a.",IF(N38&gt;=G38,"PASS","FAIL"))</x:f>
        <x:v>FAIL</x:v>
      </x:c>
      <x:c r="P38" s="17" t="str">
        <x:f>IF(F38="UNIVERSAL_STOP",IF(N38=0,"PASS","FAIL"),"PASS")</x:f>
        <x:v>PASS</x:v>
      </x:c>
      <x:c r="Q38" s="17" t="str">
        <x:f>IF(AND(OR(O38="PASS",O38="n.a."),P38="PASS"),"PASS","FAIL")</x:f>
        <x:v>FAIL</x:v>
      </x:c>
      <x:c r="R38" s="17" t="n">
        <x:f>SUMIFS('03 Dependencies'!$P$6:$P$9,'03 Dependencies'!$N$6:$N$9,C38)</x:f>
        <x:v>10</x:v>
      </x:c>
      <x:c r="S38" s="17" t="n">
        <x:f>SUMIFS('03 Dependencies'!$R$6:$R$9,'03 Dependencies'!$N$6:$N$9,C38)</x:f>
        <x:v>1</x:v>
      </x:c>
      <x:c r="T38" s="17" t="str">
        <x:f>IF(AND('01 Controls'!$D$16&gt;='01 Controls'!$D$17,'01 Controls'!$D$18="ELIGIBLE"),"ADMITTED","DENIED")</x:f>
        <x:v>DENIED</x:v>
      </x:c>
      <x:c r="U38" s="17" t="str">
        <x:f>IF(F38="UNIVERSAL_STOP","LAWFUL UNIVERSAL STOP",IF(Q38="PASS",IF(N38&gt;=G38,"REQUIRED SERVICE RETAINED","SAFE HOLD"),"SERVICE CHAIN COLLAPSES"))</x:f>
        <x:v>SERVICE CHAIN COLLAPSES</x:v>
      </x:c>
      <x:c r="V38" s="17" t="str">
        <x:v>OPEN</x:v>
      </x:c>
    </x:row>
    <x:row r="39" ht="35" customHeight="1">
      <x:c r="C39" s="17" t="str">
        <x:v>K1</x:v>
      </x:c>
      <x:c r="D39" s="17" t="str">
        <x:v>W13</x:v>
      </x:c>
      <x:c r="E39" s="40" t="n">
        <x:f>E19</x:f>
        <x:v>12</x:v>
      </x:c>
      <x:c r="F39" s="40" t="str">
        <x:f>F19</x:f>
        <x:v>BOUNDARY</x:v>
      </x:c>
      <x:c r="G39" s="40" t="n">
        <x:f>G19</x:f>
        <x:v>5000</x:v>
      </x:c>
      <x:c r="H39" s="40" t="n">
        <x:f>H19</x:f>
        <x:v>1</x:v>
      </x:c>
      <x:c r="I39" s="40" t="n">
        <x:f>IF(E39=0,1,SUMIFS('03 Dependencies'!$I$6:$I$53,'03 Dependencies'!$C$6:$C$53,C39,'03 Dependencies'!$D$6:$D$53,E39))</x:f>
        <x:v>0</x:v>
      </x:c>
      <x:c r="J39" s="38" t="n">
        <x:f>IF(C39="K4",'01 Controls'!$D$13,0)</x:f>
        <x:v>0</x:v>
      </x:c>
      <x:c r="K39" s="40" t="n">
        <x:f>IF(OR(F39="UNIVERSAL_STOP",F39="RESERVE",F39="CROSS_PATH",F39="LOSE_A"),0,IF(F39="LOSE_B",1,IF(F39="BASELINE",1,IF(I39=1,0,0))))</x:f>
        <x:v>0</x:v>
      </x:c>
      <x:c r="L39" s="40" t="n">
        <x:f>IF(OR(F39="UNIVERSAL_STOP",F39="RESERVE",F39="CROSS_PATH",F39="LOSE_B"),0,IF(F39="LOSE_A",1,IF(F39="BASELINE",1,IF(I39=1,1,0))))</x:f>
        <x:v>0</x:v>
      </x:c>
      <x:c r="M39" s="40" t="n">
        <x:f>IF(OR(F39="RESERVE",F39="CROSS_PATH"),J39,0)</x:f>
        <x:v>0</x:v>
      </x:c>
      <x:c r="N39" s="40" t="n">
        <x:f>MIN('01 Controls'!$D$6,(K39+L39+M39)*'01 Controls'!$D$7)</x:f>
        <x:v>0</x:v>
      </x:c>
      <x:c r="O39" s="17" t="str">
        <x:f>IF(H39=0,"n.a.",IF(N39&gt;=G39,"PASS","FAIL"))</x:f>
        <x:v>FAIL</x:v>
      </x:c>
      <x:c r="P39" s="17" t="str">
        <x:f>IF(F39="UNIVERSAL_STOP",IF(N39=0,"PASS","FAIL"),"PASS")</x:f>
        <x:v>PASS</x:v>
      </x:c>
      <x:c r="Q39" s="17" t="str">
        <x:f>IF(AND(OR(O39="PASS",O39="n.a."),P39="PASS"),"PASS","FAIL")</x:f>
        <x:v>FAIL</x:v>
      </x:c>
      <x:c r="R39" s="17" t="n">
        <x:f>SUMIFS('03 Dependencies'!$P$6:$P$9,'03 Dependencies'!$N$6:$N$9,C39)</x:f>
        <x:v>10</x:v>
      </x:c>
      <x:c r="S39" s="17" t="n">
        <x:f>SUMIFS('03 Dependencies'!$R$6:$R$9,'03 Dependencies'!$N$6:$N$9,C39)</x:f>
        <x:v>1</x:v>
      </x:c>
      <x:c r="T39" s="17" t="str">
        <x:f>IF(AND('01 Controls'!$D$16&gt;='01 Controls'!$D$17,'01 Controls'!$D$18="ELIGIBLE"),"ADMITTED","DENIED")</x:f>
        <x:v>DENIED</x:v>
      </x:c>
      <x:c r="U39" s="17" t="str">
        <x:f>IF(F39="UNIVERSAL_STOP","LAWFUL UNIVERSAL STOP",IF(Q39="PASS",IF(N39&gt;=G39,"REQUIRED SERVICE RETAINED","SAFE HOLD"),"SERVICE CHAIN COLLAPSES"))</x:f>
        <x:v>SERVICE CHAIN COLLAPSES</x:v>
      </x:c>
      <x:c r="V39" s="17" t="str">
        <x:v>OPEN</x:v>
      </x:c>
    </x:row>
    <x:row r="40" ht="35" customHeight="1">
      <x:c r="C40" s="17" t="str">
        <x:v>K1</x:v>
      </x:c>
      <x:c r="D40" s="17" t="str">
        <x:v>W14</x:v>
      </x:c>
      <x:c r="E40" s="40" t="n">
        <x:f>E20</x:f>
        <x:v>0</x:v>
      </x:c>
      <x:c r="F40" s="40" t="str">
        <x:f>F20</x:f>
        <x:v>RESERVE</x:v>
      </x:c>
      <x:c r="G40" s="40" t="n">
        <x:f>G20</x:f>
        <x:v>5000</x:v>
      </x:c>
      <x:c r="H40" s="40" t="n">
        <x:f>H20</x:f>
        <x:v>1</x:v>
      </x:c>
      <x:c r="I40" s="40" t="n">
        <x:f>IF(E40=0,1,SUMIFS('03 Dependencies'!$I$6:$I$53,'03 Dependencies'!$C$6:$C$53,C40,'03 Dependencies'!$D$6:$D$53,E40))</x:f>
        <x:v>1</x:v>
      </x:c>
      <x:c r="J40" s="38" t="n">
        <x:f>IF(C40="K4",'01 Controls'!$D$13,0)</x:f>
        <x:v>0</x:v>
      </x:c>
      <x:c r="K40" s="40" t="n">
        <x:f>IF(OR(F40="UNIVERSAL_STOP",F40="RESERVE",F40="CROSS_PATH",F40="LOSE_A"),0,IF(F40="LOSE_B",1,IF(F40="BASELINE",1,IF(I40=1,0,0))))</x:f>
        <x:v>0</x:v>
      </x:c>
      <x:c r="L40" s="40" t="n">
        <x:f>IF(OR(F40="UNIVERSAL_STOP",F40="RESERVE",F40="CROSS_PATH",F40="LOSE_B"),0,IF(F40="LOSE_A",1,IF(F40="BASELINE",1,IF(I40=1,1,0))))</x:f>
        <x:v>0</x:v>
      </x:c>
      <x:c r="M40" s="40" t="n">
        <x:f>IF(OR(F40="RESERVE",F40="CROSS_PATH"),J40,0)</x:f>
        <x:v>0</x:v>
      </x:c>
      <x:c r="N40" s="40" t="n">
        <x:f>MIN('01 Controls'!$D$6,(K40+L40+M40)*'01 Controls'!$D$7)</x:f>
        <x:v>0</x:v>
      </x:c>
      <x:c r="O40" s="17" t="str">
        <x:f>IF(H40=0,"n.a.",IF(N40&gt;=G40,"PASS","FAIL"))</x:f>
        <x:v>FAIL</x:v>
      </x:c>
      <x:c r="P40" s="17" t="str">
        <x:f>IF(F40="UNIVERSAL_STOP",IF(N40=0,"PASS","FAIL"),"PASS")</x:f>
        <x:v>PASS</x:v>
      </x:c>
      <x:c r="Q40" s="17" t="str">
        <x:f>IF(AND(OR(O40="PASS",O40="n.a."),P40="PASS"),"PASS","FAIL")</x:f>
        <x:v>FAIL</x:v>
      </x:c>
      <x:c r="R40" s="17" t="n">
        <x:f>SUMIFS('03 Dependencies'!$P$6:$P$9,'03 Dependencies'!$N$6:$N$9,C40)</x:f>
        <x:v>10</x:v>
      </x:c>
      <x:c r="S40" s="17" t="n">
        <x:f>SUMIFS('03 Dependencies'!$R$6:$R$9,'03 Dependencies'!$N$6:$N$9,C40)</x:f>
        <x:v>1</x:v>
      </x:c>
      <x:c r="T40" s="17" t="str">
        <x:f>IF(AND('01 Controls'!$D$16&gt;='01 Controls'!$D$17,'01 Controls'!$D$18="ELIGIBLE"),"ADMITTED","DENIED")</x:f>
        <x:v>DENIED</x:v>
      </x:c>
      <x:c r="U40" s="17" t="str">
        <x:f>IF(F40="UNIVERSAL_STOP","LAWFUL UNIVERSAL STOP",IF(Q40="PASS",IF(N40&gt;=G40,"REQUIRED SERVICE RETAINED","SAFE HOLD"),"SERVICE CHAIN COLLAPSES"))</x:f>
        <x:v>SERVICE CHAIN COLLAPSES</x:v>
      </x:c>
      <x:c r="V40" s="17" t="str">
        <x:v>OPEN</x:v>
      </x:c>
    </x:row>
    <x:row r="41" ht="35" customHeight="1">
      <x:c r="C41" s="17" t="str">
        <x:v>K1</x:v>
      </x:c>
      <x:c r="D41" s="17" t="str">
        <x:v>W15</x:v>
      </x:c>
      <x:c r="E41" s="40" t="n">
        <x:f>E21</x:f>
        <x:v>0</x:v>
      </x:c>
      <x:c r="F41" s="40" t="str">
        <x:f>F21</x:f>
        <x:v>UNIVERSAL_STOP</x:v>
      </x:c>
      <x:c r="G41" s="40" t="n">
        <x:f>G21</x:f>
        <x:v>0</x:v>
      </x:c>
      <x:c r="H41" s="40" t="n">
        <x:f>H21</x:f>
        <x:v>0</x:v>
      </x:c>
      <x:c r="I41" s="40" t="n">
        <x:f>IF(E41=0,1,SUMIFS('03 Dependencies'!$I$6:$I$53,'03 Dependencies'!$C$6:$C$53,C41,'03 Dependencies'!$D$6:$D$53,E41))</x:f>
        <x:v>1</x:v>
      </x:c>
      <x:c r="J41" s="38" t="n">
        <x:f>IF(C41="K4",'01 Controls'!$D$13,0)</x:f>
        <x:v>0</x:v>
      </x:c>
      <x:c r="K41" s="40" t="n">
        <x:f>IF(OR(F41="UNIVERSAL_STOP",F41="RESERVE",F41="CROSS_PATH",F41="LOSE_A"),0,IF(F41="LOSE_B",1,IF(F41="BASELINE",1,IF(I41=1,0,0))))</x:f>
        <x:v>0</x:v>
      </x:c>
      <x:c r="L41" s="40" t="n">
        <x:f>IF(OR(F41="UNIVERSAL_STOP",F41="RESERVE",F41="CROSS_PATH",F41="LOSE_B"),0,IF(F41="LOSE_A",1,IF(F41="BASELINE",1,IF(I41=1,1,0))))</x:f>
        <x:v>0</x:v>
      </x:c>
      <x:c r="M41" s="40" t="n">
        <x:f>IF(OR(F41="RESERVE",F41="CROSS_PATH"),J41,0)</x:f>
        <x:v>0</x:v>
      </x:c>
      <x:c r="N41" s="40" t="n">
        <x:f>MIN('01 Controls'!$D$6,(K41+L41+M41)*'01 Controls'!$D$7)</x:f>
        <x:v>0</x:v>
      </x:c>
      <x:c r="O41" s="17" t="str">
        <x:f>IF(H41=0,"n.a.",IF(N41&gt;=G41,"PASS","FAIL"))</x:f>
        <x:v>n.a.</x:v>
      </x:c>
      <x:c r="P41" s="17" t="str">
        <x:f>IF(F41="UNIVERSAL_STOP",IF(N41=0,"PASS","FAIL"),"PASS")</x:f>
        <x:v>PASS</x:v>
      </x:c>
      <x:c r="Q41" s="17" t="str">
        <x:f>IF(AND(OR(O41="PASS",O41="n.a."),P41="PASS"),"PASS","FAIL")</x:f>
        <x:v>PASS</x:v>
      </x:c>
      <x:c r="R41" s="17" t="n">
        <x:f>SUMIFS('03 Dependencies'!$P$6:$P$9,'03 Dependencies'!$N$6:$N$9,C41)</x:f>
        <x:v>10</x:v>
      </x:c>
      <x:c r="S41" s="17" t="n">
        <x:f>SUMIFS('03 Dependencies'!$R$6:$R$9,'03 Dependencies'!$N$6:$N$9,C41)</x:f>
        <x:v>1</x:v>
      </x:c>
      <x:c r="T41" s="17" t="str">
        <x:f>IF(AND('01 Controls'!$D$16&gt;='01 Controls'!$D$17,'01 Controls'!$D$18="ELIGIBLE"),"ADMITTED","DENIED")</x:f>
        <x:v>DENIED</x:v>
      </x:c>
      <x:c r="U41" s="17" t="str">
        <x:f>IF(F41="UNIVERSAL_STOP","LAWFUL UNIVERSAL STOP",IF(Q41="PASS",IF(N41&gt;=G41,"REQUIRED SERVICE RETAINED","SAFE HOLD"),"SERVICE CHAIN COLLAPSES"))</x:f>
        <x:v>LAWFUL UNIVERSAL STOP</x:v>
      </x:c>
      <x:c r="V41" s="17" t="str">
        <x:v>OPEN</x:v>
      </x:c>
    </x:row>
    <x:row r="42" ht="35" customHeight="1">
      <x:c r="C42" s="17" t="str">
        <x:v>K1</x:v>
      </x:c>
      <x:c r="D42" s="17" t="str">
        <x:v>W16</x:v>
      </x:c>
      <x:c r="E42" s="40" t="n">
        <x:f>E22</x:f>
        <x:v>0</x:v>
      </x:c>
      <x:c r="F42" s="40" t="str">
        <x:f>F22</x:f>
        <x:v>CROSS_PATH</x:v>
      </x:c>
      <x:c r="G42" s="40" t="n">
        <x:f>G22</x:f>
        <x:v>5000</x:v>
      </x:c>
      <x:c r="H42" s="40" t="n">
        <x:f>H22</x:f>
        <x:v>1</x:v>
      </x:c>
      <x:c r="I42" s="40" t="n">
        <x:f>IF(E42=0,1,SUMIFS('03 Dependencies'!$I$6:$I$53,'03 Dependencies'!$C$6:$C$53,C42,'03 Dependencies'!$D$6:$D$53,E42))</x:f>
        <x:v>1</x:v>
      </x:c>
      <x:c r="J42" s="38" t="n">
        <x:f>IF(C42="K4",'01 Controls'!$D$13,0)</x:f>
        <x:v>0</x:v>
      </x:c>
      <x:c r="K42" s="40" t="n">
        <x:f>IF(OR(F42="UNIVERSAL_STOP",F42="RESERVE",F42="CROSS_PATH",F42="LOSE_A"),0,IF(F42="LOSE_B",1,IF(F42="BASELINE",1,IF(I42=1,0,0))))</x:f>
        <x:v>0</x:v>
      </x:c>
      <x:c r="L42" s="40" t="n">
        <x:f>IF(OR(F42="UNIVERSAL_STOP",F42="RESERVE",F42="CROSS_PATH",F42="LOSE_B"),0,IF(F42="LOSE_A",1,IF(F42="BASELINE",1,IF(I42=1,1,0))))</x:f>
        <x:v>0</x:v>
      </x:c>
      <x:c r="M42" s="40" t="n">
        <x:f>IF(OR(F42="RESERVE",F42="CROSS_PATH"),J42,0)</x:f>
        <x:v>0</x:v>
      </x:c>
      <x:c r="N42" s="40" t="n">
        <x:f>MIN('01 Controls'!$D$6,(K42+L42+M42)*'01 Controls'!$D$7)</x:f>
        <x:v>0</x:v>
      </x:c>
      <x:c r="O42" s="17" t="str">
        <x:f>IF(H42=0,"n.a.",IF(N42&gt;=G42,"PASS","FAIL"))</x:f>
        <x:v>FAIL</x:v>
      </x:c>
      <x:c r="P42" s="17" t="str">
        <x:f>IF(F42="UNIVERSAL_STOP",IF(N42=0,"PASS","FAIL"),"PASS")</x:f>
        <x:v>PASS</x:v>
      </x:c>
      <x:c r="Q42" s="17" t="str">
        <x:f>IF(AND(OR(O42="PASS",O42="n.a."),P42="PASS"),"PASS","FAIL")</x:f>
        <x:v>FAIL</x:v>
      </x:c>
      <x:c r="R42" s="17" t="n">
        <x:f>SUMIFS('03 Dependencies'!$P$6:$P$9,'03 Dependencies'!$N$6:$N$9,C42)</x:f>
        <x:v>10</x:v>
      </x:c>
      <x:c r="S42" s="17" t="n">
        <x:f>SUMIFS('03 Dependencies'!$R$6:$R$9,'03 Dependencies'!$N$6:$N$9,C42)</x:f>
        <x:v>1</x:v>
      </x:c>
      <x:c r="T42" s="17" t="str">
        <x:f>IF(AND('01 Controls'!$D$16&gt;='01 Controls'!$D$17,'01 Controls'!$D$18="ELIGIBLE"),"ADMITTED","DENIED")</x:f>
        <x:v>DENIED</x:v>
      </x:c>
      <x:c r="U42" s="17" t="str">
        <x:f>IF(F42="UNIVERSAL_STOP","LAWFUL UNIVERSAL STOP",IF(Q42="PASS",IF(N42&gt;=G42,"REQUIRED SERVICE RETAINED","SAFE HOLD"),"SERVICE CHAIN COLLAPSES"))</x:f>
        <x:v>SERVICE CHAIN COLLAPSES</x:v>
      </x:c>
      <x:c r="V42" s="17" t="str">
        <x:v>OPEN</x:v>
      </x:c>
    </x:row>
    <x:row r="43" ht="35" customHeight="1">
      <x:c r="C43" s="17" t="str">
        <x:v>K2</x:v>
      </x:c>
      <x:c r="D43" s="17" t="str">
        <x:v>W00</x:v>
      </x:c>
      <x:c r="E43" s="40" t="n">
        <x:f>E6</x:f>
        <x:v>0</x:v>
      </x:c>
      <x:c r="F43" s="40" t="str">
        <x:f>F6</x:f>
        <x:v>BASELINE</x:v>
      </x:c>
      <x:c r="G43" s="40" t="n">
        <x:f>G6</x:f>
        <x:v>10000</x:v>
      </x:c>
      <x:c r="H43" s="40" t="n">
        <x:f>H6</x:f>
        <x:v>1</x:v>
      </x:c>
      <x:c r="I43" s="40" t="n">
        <x:f>IF(E43=0,1,SUMIFS('03 Dependencies'!$I$6:$I$53,'03 Dependencies'!$C$6:$C$53,C43,'03 Dependencies'!$D$6:$D$53,E43))</x:f>
        <x:v>1</x:v>
      </x:c>
      <x:c r="J43" s="38" t="n">
        <x:f>IF(C43="K4",'01 Controls'!$D$13,0)</x:f>
        <x:v>0</x:v>
      </x:c>
      <x:c r="K43" s="40" t="n">
        <x:f>IF(OR(F43="UNIVERSAL_STOP",F43="RESERVE",F43="CROSS_PATH",F43="LOSE_A"),0,IF(F43="LOSE_B",1,IF(F43="BASELINE",1,IF(I43=1,0,0))))</x:f>
        <x:v>1</x:v>
      </x:c>
      <x:c r="L43" s="40" t="n">
        <x:f>IF(OR(F43="UNIVERSAL_STOP",F43="RESERVE",F43="CROSS_PATH",F43="LOSE_B"),0,IF(F43="LOSE_A",1,IF(F43="BASELINE",1,IF(I43=1,1,0))))</x:f>
        <x:v>1</x:v>
      </x:c>
      <x:c r="M43" s="40" t="n">
        <x:f>IF(OR(F43="RESERVE",F43="CROSS_PATH"),J43,0)</x:f>
        <x:v>0</x:v>
      </x:c>
      <x:c r="N43" s="40" t="n">
        <x:f>MIN('01 Controls'!$D$6,(K43+L43+M43)*'01 Controls'!$D$7)</x:f>
        <x:v>10000</x:v>
      </x:c>
      <x:c r="O43" s="17" t="str">
        <x:f>IF(H43=0,"n.a.",IF(N43&gt;=G43,"PASS","FAIL"))</x:f>
        <x:v>PASS</x:v>
      </x:c>
      <x:c r="P43" s="17" t="str">
        <x:f>IF(F43="UNIVERSAL_STOP",IF(N43=0,"PASS","FAIL"),"PASS")</x:f>
        <x:v>PASS</x:v>
      </x:c>
      <x:c r="Q43" s="17" t="str">
        <x:f>IF(AND(OR(O43="PASS",O43="n.a."),P43="PASS"),"PASS","FAIL")</x:f>
        <x:v>PASS</x:v>
      </x:c>
      <x:c r="R43" s="17" t="n">
        <x:f>SUMIFS('03 Dependencies'!$P$6:$P$9,'03 Dependencies'!$N$6:$N$9,C43)</x:f>
        <x:v>8</x:v>
      </x:c>
      <x:c r="S43" s="17" t="n">
        <x:f>SUMIFS('03 Dependencies'!$R$6:$R$9,'03 Dependencies'!$N$6:$N$9,C43)</x:f>
        <x:v>1</x:v>
      </x:c>
      <x:c r="T43" s="17" t="str">
        <x:f>IF(AND('01 Controls'!$D$16&gt;='01 Controls'!$D$17,'01 Controls'!$D$18="ELIGIBLE"),"ADMITTED","DENIED")</x:f>
        <x:v>DENIED</x:v>
      </x:c>
      <x:c r="U43" s="17" t="str">
        <x:f>IF(F43="UNIVERSAL_STOP","LAWFUL UNIVERSAL STOP",IF(Q43="PASS",IF(N43&gt;=G43,"REQUIRED SERVICE RETAINED","SAFE HOLD"),"SERVICE CHAIN COLLAPSES"))</x:f>
        <x:v>REQUIRED SERVICE RETAINED</x:v>
      </x:c>
      <x:c r="V43" s="17" t="str">
        <x:v>OPEN</x:v>
      </x:c>
    </x:row>
    <x:row r="44" ht="35" customHeight="1">
      <x:c r="C44" s="17" t="str">
        <x:v>K2</x:v>
      </x:c>
      <x:c r="D44" s="17" t="str">
        <x:v>W01</x:v>
      </x:c>
      <x:c r="E44" s="40" t="n">
        <x:f>E7</x:f>
        <x:v>1</x:v>
      </x:c>
      <x:c r="F44" s="40" t="str">
        <x:f>F7</x:f>
        <x:v>LOSE_A</x:v>
      </x:c>
      <x:c r="G44" s="40" t="n">
        <x:f>G7</x:f>
        <x:v>5000</x:v>
      </x:c>
      <x:c r="H44" s="40" t="n">
        <x:f>H7</x:f>
        <x:v>1</x:v>
      </x:c>
      <x:c r="I44" s="40" t="n">
        <x:f>IF(E44=0,1,SUMIFS('03 Dependencies'!$I$6:$I$53,'03 Dependencies'!$C$6:$C$53,C44,'03 Dependencies'!$D$6:$D$53,E44))</x:f>
        <x:v>1</x:v>
      </x:c>
      <x:c r="J44" s="38" t="n">
        <x:f>IF(C44="K4",'01 Controls'!$D$13,0)</x:f>
        <x:v>0</x:v>
      </x:c>
      <x:c r="K44" s="40" t="n">
        <x:f>IF(OR(F44="UNIVERSAL_STOP",F44="RESERVE",F44="CROSS_PATH",F44="LOSE_A"),0,IF(F44="LOSE_B",1,IF(F44="BASELINE",1,IF(I44=1,0,0))))</x:f>
        <x:v>0</x:v>
      </x:c>
      <x:c r="L44" s="40" t="n">
        <x:f>IF(OR(F44="UNIVERSAL_STOP",F44="RESERVE",F44="CROSS_PATH",F44="LOSE_B"),0,IF(F44="LOSE_A",1,IF(F44="BASELINE",1,IF(I44=1,1,0))))</x:f>
        <x:v>1</x:v>
      </x:c>
      <x:c r="M44" s="40" t="n">
        <x:f>IF(OR(F44="RESERVE",F44="CROSS_PATH"),J44,0)</x:f>
        <x:v>0</x:v>
      </x:c>
      <x:c r="N44" s="40" t="n">
        <x:f>MIN('01 Controls'!$D$6,(K44+L44+M44)*'01 Controls'!$D$7)</x:f>
        <x:v>5000</x:v>
      </x:c>
      <x:c r="O44" s="17" t="str">
        <x:f>IF(H44=0,"n.a.",IF(N44&gt;=G44,"PASS","FAIL"))</x:f>
        <x:v>PASS</x:v>
      </x:c>
      <x:c r="P44" s="17" t="str">
        <x:f>IF(F44="UNIVERSAL_STOP",IF(N44=0,"PASS","FAIL"),"PASS")</x:f>
        <x:v>PASS</x:v>
      </x:c>
      <x:c r="Q44" s="17" t="str">
        <x:f>IF(AND(OR(O44="PASS",O44="n.a."),P44="PASS"),"PASS","FAIL")</x:f>
        <x:v>PASS</x:v>
      </x:c>
      <x:c r="R44" s="17" t="n">
        <x:f>SUMIFS('03 Dependencies'!$P$6:$P$9,'03 Dependencies'!$N$6:$N$9,C44)</x:f>
        <x:v>8</x:v>
      </x:c>
      <x:c r="S44" s="17" t="n">
        <x:f>SUMIFS('03 Dependencies'!$R$6:$R$9,'03 Dependencies'!$N$6:$N$9,C44)</x:f>
        <x:v>1</x:v>
      </x:c>
      <x:c r="T44" s="17" t="str">
        <x:f>IF(AND('01 Controls'!$D$16&gt;='01 Controls'!$D$17,'01 Controls'!$D$18="ELIGIBLE"),"ADMITTED","DENIED")</x:f>
        <x:v>DENIED</x:v>
      </x:c>
      <x:c r="U44" s="17" t="str">
        <x:f>IF(F44="UNIVERSAL_STOP","LAWFUL UNIVERSAL STOP",IF(Q44="PASS",IF(N44&gt;=G44,"REQUIRED SERVICE RETAINED","SAFE HOLD"),"SERVICE CHAIN COLLAPSES"))</x:f>
        <x:v>REQUIRED SERVICE RETAINED</x:v>
      </x:c>
      <x:c r="V44" s="17" t="str">
        <x:v>OPEN</x:v>
      </x:c>
    </x:row>
    <x:row r="45" ht="35" customHeight="1">
      <x:c r="C45" s="17" t="str">
        <x:v>K2</x:v>
      </x:c>
      <x:c r="D45" s="17" t="str">
        <x:v>W02</x:v>
      </x:c>
      <x:c r="E45" s="40" t="n">
        <x:f>E8</x:f>
        <x:v>1</x:v>
      </x:c>
      <x:c r="F45" s="40" t="str">
        <x:f>F8</x:f>
        <x:v>LOSE_B</x:v>
      </x:c>
      <x:c r="G45" s="40" t="n">
        <x:f>G8</x:f>
        <x:v>5000</x:v>
      </x:c>
      <x:c r="H45" s="40" t="n">
        <x:f>H8</x:f>
        <x:v>1</x:v>
      </x:c>
      <x:c r="I45" s="40" t="n">
        <x:f>IF(E45=0,1,SUMIFS('03 Dependencies'!$I$6:$I$53,'03 Dependencies'!$C$6:$C$53,C45,'03 Dependencies'!$D$6:$D$53,E45))</x:f>
        <x:v>1</x:v>
      </x:c>
      <x:c r="J45" s="38" t="n">
        <x:f>IF(C45="K4",'01 Controls'!$D$13,0)</x:f>
        <x:v>0</x:v>
      </x:c>
      <x:c r="K45" s="40" t="n">
        <x:f>IF(OR(F45="UNIVERSAL_STOP",F45="RESERVE",F45="CROSS_PATH",F45="LOSE_A"),0,IF(F45="LOSE_B",1,IF(F45="BASELINE",1,IF(I45=1,0,0))))</x:f>
        <x:v>1</x:v>
      </x:c>
      <x:c r="L45" s="40" t="n">
        <x:f>IF(OR(F45="UNIVERSAL_STOP",F45="RESERVE",F45="CROSS_PATH",F45="LOSE_B"),0,IF(F45="LOSE_A",1,IF(F45="BASELINE",1,IF(I45=1,1,0))))</x:f>
        <x:v>0</x:v>
      </x:c>
      <x:c r="M45" s="40" t="n">
        <x:f>IF(OR(F45="RESERVE",F45="CROSS_PATH"),J45,0)</x:f>
        <x:v>0</x:v>
      </x:c>
      <x:c r="N45" s="40" t="n">
        <x:f>MIN('01 Controls'!$D$6,(K45+L45+M45)*'01 Controls'!$D$7)</x:f>
        <x:v>5000</x:v>
      </x:c>
      <x:c r="O45" s="17" t="str">
        <x:f>IF(H45=0,"n.a.",IF(N45&gt;=G45,"PASS","FAIL"))</x:f>
        <x:v>PASS</x:v>
      </x:c>
      <x:c r="P45" s="17" t="str">
        <x:f>IF(F45="UNIVERSAL_STOP",IF(N45=0,"PASS","FAIL"),"PASS")</x:f>
        <x:v>PASS</x:v>
      </x:c>
      <x:c r="Q45" s="17" t="str">
        <x:f>IF(AND(OR(O45="PASS",O45="n.a."),P45="PASS"),"PASS","FAIL")</x:f>
        <x:v>PASS</x:v>
      </x:c>
      <x:c r="R45" s="17" t="n">
        <x:f>SUMIFS('03 Dependencies'!$P$6:$P$9,'03 Dependencies'!$N$6:$N$9,C45)</x:f>
        <x:v>8</x:v>
      </x:c>
      <x:c r="S45" s="17" t="n">
        <x:f>SUMIFS('03 Dependencies'!$R$6:$R$9,'03 Dependencies'!$N$6:$N$9,C45)</x:f>
        <x:v>1</x:v>
      </x:c>
      <x:c r="T45" s="17" t="str">
        <x:f>IF(AND('01 Controls'!$D$16&gt;='01 Controls'!$D$17,'01 Controls'!$D$18="ELIGIBLE"),"ADMITTED","DENIED")</x:f>
        <x:v>DENIED</x:v>
      </x:c>
      <x:c r="U45" s="17" t="str">
        <x:f>IF(F45="UNIVERSAL_STOP","LAWFUL UNIVERSAL STOP",IF(Q45="PASS",IF(N45&gt;=G45,"REQUIRED SERVICE RETAINED","SAFE HOLD"),"SERVICE CHAIN COLLAPSES"))</x:f>
        <x:v>REQUIRED SERVICE RETAINED</x:v>
      </x:c>
      <x:c r="V45" s="17" t="str">
        <x:v>OPEN</x:v>
      </x:c>
    </x:row>
    <x:row r="46" ht="35" customHeight="1">
      <x:c r="C46" s="17" t="str">
        <x:v>K2</x:v>
      </x:c>
      <x:c r="D46" s="17" t="str">
        <x:v>W03</x:v>
      </x:c>
      <x:c r="E46" s="40" t="n">
        <x:f>E9</x:f>
        <x:v>2</x:v>
      </x:c>
      <x:c r="F46" s="40" t="str">
        <x:f>F9</x:f>
        <x:v>LOSE_A</x:v>
      </x:c>
      <x:c r="G46" s="40" t="n">
        <x:f>G9</x:f>
        <x:v>5000</x:v>
      </x:c>
      <x:c r="H46" s="40" t="n">
        <x:f>H9</x:f>
        <x:v>1</x:v>
      </x:c>
      <x:c r="I46" s="40" t="n">
        <x:f>IF(E46=0,1,SUMIFS('03 Dependencies'!$I$6:$I$53,'03 Dependencies'!$C$6:$C$53,C46,'03 Dependencies'!$D$6:$D$53,E46))</x:f>
        <x:v>1</x:v>
      </x:c>
      <x:c r="J46" s="38" t="n">
        <x:f>IF(C46="K4",'01 Controls'!$D$13,0)</x:f>
        <x:v>0</x:v>
      </x:c>
      <x:c r="K46" s="40" t="n">
        <x:f>IF(OR(F46="UNIVERSAL_STOP",F46="RESERVE",F46="CROSS_PATH",F46="LOSE_A"),0,IF(F46="LOSE_B",1,IF(F46="BASELINE",1,IF(I46=1,0,0))))</x:f>
        <x:v>0</x:v>
      </x:c>
      <x:c r="L46" s="40" t="n">
        <x:f>IF(OR(F46="UNIVERSAL_STOP",F46="RESERVE",F46="CROSS_PATH",F46="LOSE_B"),0,IF(F46="LOSE_A",1,IF(F46="BASELINE",1,IF(I46=1,1,0))))</x:f>
        <x:v>1</x:v>
      </x:c>
      <x:c r="M46" s="40" t="n">
        <x:f>IF(OR(F46="RESERVE",F46="CROSS_PATH"),J46,0)</x:f>
        <x:v>0</x:v>
      </x:c>
      <x:c r="N46" s="40" t="n">
        <x:f>MIN('01 Controls'!$D$6,(K46+L46+M46)*'01 Controls'!$D$7)</x:f>
        <x:v>5000</x:v>
      </x:c>
      <x:c r="O46" s="17" t="str">
        <x:f>IF(H46=0,"n.a.",IF(N46&gt;=G46,"PASS","FAIL"))</x:f>
        <x:v>PASS</x:v>
      </x:c>
      <x:c r="P46" s="17" t="str">
        <x:f>IF(F46="UNIVERSAL_STOP",IF(N46=0,"PASS","FAIL"),"PASS")</x:f>
        <x:v>PASS</x:v>
      </x:c>
      <x:c r="Q46" s="17" t="str">
        <x:f>IF(AND(OR(O46="PASS",O46="n.a."),P46="PASS"),"PASS","FAIL")</x:f>
        <x:v>PASS</x:v>
      </x:c>
      <x:c r="R46" s="17" t="n">
        <x:f>SUMIFS('03 Dependencies'!$P$6:$P$9,'03 Dependencies'!$N$6:$N$9,C46)</x:f>
        <x:v>8</x:v>
      </x:c>
      <x:c r="S46" s="17" t="n">
        <x:f>SUMIFS('03 Dependencies'!$R$6:$R$9,'03 Dependencies'!$N$6:$N$9,C46)</x:f>
        <x:v>1</x:v>
      </x:c>
      <x:c r="T46" s="17" t="str">
        <x:f>IF(AND('01 Controls'!$D$16&gt;='01 Controls'!$D$17,'01 Controls'!$D$18="ELIGIBLE"),"ADMITTED","DENIED")</x:f>
        <x:v>DENIED</x:v>
      </x:c>
      <x:c r="U46" s="17" t="str">
        <x:f>IF(F46="UNIVERSAL_STOP","LAWFUL UNIVERSAL STOP",IF(Q46="PASS",IF(N46&gt;=G46,"REQUIRED SERVICE RETAINED","SAFE HOLD"),"SERVICE CHAIN COLLAPSES"))</x:f>
        <x:v>REQUIRED SERVICE RETAINED</x:v>
      </x:c>
      <x:c r="V46" s="17" t="str">
        <x:v>OPEN</x:v>
      </x:c>
    </x:row>
    <x:row r="47" ht="35" customHeight="1">
      <x:c r="C47" s="17" t="str">
        <x:v>K2</x:v>
      </x:c>
      <x:c r="D47" s="17" t="str">
        <x:v>W04</x:v>
      </x:c>
      <x:c r="E47" s="40" t="n">
        <x:f>E10</x:f>
        <x:v>3</x:v>
      </x:c>
      <x:c r="F47" s="40" t="str">
        <x:f>F10</x:f>
        <x:v>BOUNDARY</x:v>
      </x:c>
      <x:c r="G47" s="40" t="n">
        <x:f>G10</x:f>
        <x:v>5000</x:v>
      </x:c>
      <x:c r="H47" s="40" t="n">
        <x:f>H10</x:f>
        <x:v>1</x:v>
      </x:c>
      <x:c r="I47" s="40" t="n">
        <x:f>IF(E47=0,1,SUMIFS('03 Dependencies'!$I$6:$I$53,'03 Dependencies'!$C$6:$C$53,C47,'03 Dependencies'!$D$6:$D$53,E47))</x:f>
        <x:v>1</x:v>
      </x:c>
      <x:c r="J47" s="38" t="n">
        <x:f>IF(C47="K4",'01 Controls'!$D$13,0)</x:f>
        <x:v>0</x:v>
      </x:c>
      <x:c r="K47" s="40" t="n">
        <x:f>IF(OR(F47="UNIVERSAL_STOP",F47="RESERVE",F47="CROSS_PATH",F47="LOSE_A"),0,IF(F47="LOSE_B",1,IF(F47="BASELINE",1,IF(I47=1,0,0))))</x:f>
        <x:v>0</x:v>
      </x:c>
      <x:c r="L47" s="40" t="n">
        <x:f>IF(OR(F47="UNIVERSAL_STOP",F47="RESERVE",F47="CROSS_PATH",F47="LOSE_B"),0,IF(F47="LOSE_A",1,IF(F47="BASELINE",1,IF(I47=1,1,0))))</x:f>
        <x:v>1</x:v>
      </x:c>
      <x:c r="M47" s="40" t="n">
        <x:f>IF(OR(F47="RESERVE",F47="CROSS_PATH"),J47,0)</x:f>
        <x:v>0</x:v>
      </x:c>
      <x:c r="N47" s="40" t="n">
        <x:f>MIN('01 Controls'!$D$6,(K47+L47+M47)*'01 Controls'!$D$7)</x:f>
        <x:v>5000</x:v>
      </x:c>
      <x:c r="O47" s="17" t="str">
        <x:f>IF(H47=0,"n.a.",IF(N47&gt;=G47,"PASS","FAIL"))</x:f>
        <x:v>PASS</x:v>
      </x:c>
      <x:c r="P47" s="17" t="str">
        <x:f>IF(F47="UNIVERSAL_STOP",IF(N47=0,"PASS","FAIL"),"PASS")</x:f>
        <x:v>PASS</x:v>
      </x:c>
      <x:c r="Q47" s="17" t="str">
        <x:f>IF(AND(OR(O47="PASS",O47="n.a."),P47="PASS"),"PASS","FAIL")</x:f>
        <x:v>PASS</x:v>
      </x:c>
      <x:c r="R47" s="17" t="n">
        <x:f>SUMIFS('03 Dependencies'!$P$6:$P$9,'03 Dependencies'!$N$6:$N$9,C47)</x:f>
        <x:v>8</x:v>
      </x:c>
      <x:c r="S47" s="17" t="n">
        <x:f>SUMIFS('03 Dependencies'!$R$6:$R$9,'03 Dependencies'!$N$6:$N$9,C47)</x:f>
        <x:v>1</x:v>
      </x:c>
      <x:c r="T47" s="17" t="str">
        <x:f>IF(AND('01 Controls'!$D$16&gt;='01 Controls'!$D$17,'01 Controls'!$D$18="ELIGIBLE"),"ADMITTED","DENIED")</x:f>
        <x:v>DENIED</x:v>
      </x:c>
      <x:c r="U47" s="17" t="str">
        <x:f>IF(F47="UNIVERSAL_STOP","LAWFUL UNIVERSAL STOP",IF(Q47="PASS",IF(N47&gt;=G47,"REQUIRED SERVICE RETAINED","SAFE HOLD"),"SERVICE CHAIN COLLAPSES"))</x:f>
        <x:v>REQUIRED SERVICE RETAINED</x:v>
      </x:c>
      <x:c r="V47" s="17" t="str">
        <x:v>OPEN</x:v>
      </x:c>
    </x:row>
    <x:row r="48" ht="35" customHeight="1">
      <x:c r="C48" s="17" t="str">
        <x:v>K2</x:v>
      </x:c>
      <x:c r="D48" s="17" t="str">
        <x:v>W05</x:v>
      </x:c>
      <x:c r="E48" s="40" t="n">
        <x:f>E11</x:f>
        <x:v>4</x:v>
      </x:c>
      <x:c r="F48" s="40" t="str">
        <x:f>F11</x:f>
        <x:v>BOUNDARY</x:v>
      </x:c>
      <x:c r="G48" s="40" t="n">
        <x:f>G11</x:f>
        <x:v>5000</x:v>
      </x:c>
      <x:c r="H48" s="40" t="n">
        <x:f>H11</x:f>
        <x:v>1</x:v>
      </x:c>
      <x:c r="I48" s="40" t="n">
        <x:f>IF(E48=0,1,SUMIFS('03 Dependencies'!$I$6:$I$53,'03 Dependencies'!$C$6:$C$53,C48,'03 Dependencies'!$D$6:$D$53,E48))</x:f>
        <x:v>1</x:v>
      </x:c>
      <x:c r="J48" s="38" t="n">
        <x:f>IF(C48="K4",'01 Controls'!$D$13,0)</x:f>
        <x:v>0</x:v>
      </x:c>
      <x:c r="K48" s="40" t="n">
        <x:f>IF(OR(F48="UNIVERSAL_STOP",F48="RESERVE",F48="CROSS_PATH",F48="LOSE_A"),0,IF(F48="LOSE_B",1,IF(F48="BASELINE",1,IF(I48=1,0,0))))</x:f>
        <x:v>0</x:v>
      </x:c>
      <x:c r="L48" s="40" t="n">
        <x:f>IF(OR(F48="UNIVERSAL_STOP",F48="RESERVE",F48="CROSS_PATH",F48="LOSE_B"),0,IF(F48="LOSE_A",1,IF(F48="BASELINE",1,IF(I48=1,1,0))))</x:f>
        <x:v>1</x:v>
      </x:c>
      <x:c r="M48" s="40" t="n">
        <x:f>IF(OR(F48="RESERVE",F48="CROSS_PATH"),J48,0)</x:f>
        <x:v>0</x:v>
      </x:c>
      <x:c r="N48" s="40" t="n">
        <x:f>MIN('01 Controls'!$D$6,(K48+L48+M48)*'01 Controls'!$D$7)</x:f>
        <x:v>5000</x:v>
      </x:c>
      <x:c r="O48" s="17" t="str">
        <x:f>IF(H48=0,"n.a.",IF(N48&gt;=G48,"PASS","FAIL"))</x:f>
        <x:v>PASS</x:v>
      </x:c>
      <x:c r="P48" s="17" t="str">
        <x:f>IF(F48="UNIVERSAL_STOP",IF(N48=0,"PASS","FAIL"),"PASS")</x:f>
        <x:v>PASS</x:v>
      </x:c>
      <x:c r="Q48" s="17" t="str">
        <x:f>IF(AND(OR(O48="PASS",O48="n.a."),P48="PASS"),"PASS","FAIL")</x:f>
        <x:v>PASS</x:v>
      </x:c>
      <x:c r="R48" s="17" t="n">
        <x:f>SUMIFS('03 Dependencies'!$P$6:$P$9,'03 Dependencies'!$N$6:$N$9,C48)</x:f>
        <x:v>8</x:v>
      </x:c>
      <x:c r="S48" s="17" t="n">
        <x:f>SUMIFS('03 Dependencies'!$R$6:$R$9,'03 Dependencies'!$N$6:$N$9,C48)</x:f>
        <x:v>1</x:v>
      </x:c>
      <x:c r="T48" s="17" t="str">
        <x:f>IF(AND('01 Controls'!$D$16&gt;='01 Controls'!$D$17,'01 Controls'!$D$18="ELIGIBLE"),"ADMITTED","DENIED")</x:f>
        <x:v>DENIED</x:v>
      </x:c>
      <x:c r="U48" s="17" t="str">
        <x:f>IF(F48="UNIVERSAL_STOP","LAWFUL UNIVERSAL STOP",IF(Q48="PASS",IF(N48&gt;=G48,"REQUIRED SERVICE RETAINED","SAFE HOLD"),"SERVICE CHAIN COLLAPSES"))</x:f>
        <x:v>REQUIRED SERVICE RETAINED</x:v>
      </x:c>
      <x:c r="V48" s="17" t="str">
        <x:v>OPEN</x:v>
      </x:c>
    </x:row>
    <x:row r="49" ht="35" customHeight="1">
      <x:c r="C49" s="17" t="str">
        <x:v>K2</x:v>
      </x:c>
      <x:c r="D49" s="17" t="str">
        <x:v>W06</x:v>
      </x:c>
      <x:c r="E49" s="40" t="n">
        <x:f>E12</x:f>
        <x:v>5</x:v>
      </x:c>
      <x:c r="F49" s="40" t="str">
        <x:f>F12</x:f>
        <x:v>BOUNDARY</x:v>
      </x:c>
      <x:c r="G49" s="40" t="n">
        <x:f>G12</x:f>
        <x:v>5000</x:v>
      </x:c>
      <x:c r="H49" s="40" t="n">
        <x:f>H12</x:f>
        <x:v>1</x:v>
      </x:c>
      <x:c r="I49" s="40" t="n">
        <x:f>IF(E49=0,1,SUMIFS('03 Dependencies'!$I$6:$I$53,'03 Dependencies'!$C$6:$C$53,C49,'03 Dependencies'!$D$6:$D$53,E49))</x:f>
        <x:v>0</x:v>
      </x:c>
      <x:c r="J49" s="38" t="n">
        <x:f>IF(C49="K4",'01 Controls'!$D$13,0)</x:f>
        <x:v>0</x:v>
      </x:c>
      <x:c r="K49" s="40" t="n">
        <x:f>IF(OR(F49="UNIVERSAL_STOP",F49="RESERVE",F49="CROSS_PATH",F49="LOSE_A"),0,IF(F49="LOSE_B",1,IF(F49="BASELINE",1,IF(I49=1,0,0))))</x:f>
        <x:v>0</x:v>
      </x:c>
      <x:c r="L49" s="40" t="n">
        <x:f>IF(OR(F49="UNIVERSAL_STOP",F49="RESERVE",F49="CROSS_PATH",F49="LOSE_B"),0,IF(F49="LOSE_A",1,IF(F49="BASELINE",1,IF(I49=1,1,0))))</x:f>
        <x:v>0</x:v>
      </x:c>
      <x:c r="M49" s="40" t="n">
        <x:f>IF(OR(F49="RESERVE",F49="CROSS_PATH"),J49,0)</x:f>
        <x:v>0</x:v>
      </x:c>
      <x:c r="N49" s="40" t="n">
        <x:f>MIN('01 Controls'!$D$6,(K49+L49+M49)*'01 Controls'!$D$7)</x:f>
        <x:v>0</x:v>
      </x:c>
      <x:c r="O49" s="17" t="str">
        <x:f>IF(H49=0,"n.a.",IF(N49&gt;=G49,"PASS","FAIL"))</x:f>
        <x:v>FAIL</x:v>
      </x:c>
      <x:c r="P49" s="17" t="str">
        <x:f>IF(F49="UNIVERSAL_STOP",IF(N49=0,"PASS","FAIL"),"PASS")</x:f>
        <x:v>PASS</x:v>
      </x:c>
      <x:c r="Q49" s="17" t="str">
        <x:f>IF(AND(OR(O49="PASS",O49="n.a."),P49="PASS"),"PASS","FAIL")</x:f>
        <x:v>FAIL</x:v>
      </x:c>
      <x:c r="R49" s="17" t="n">
        <x:f>SUMIFS('03 Dependencies'!$P$6:$P$9,'03 Dependencies'!$N$6:$N$9,C49)</x:f>
        <x:v>8</x:v>
      </x:c>
      <x:c r="S49" s="17" t="n">
        <x:f>SUMIFS('03 Dependencies'!$R$6:$R$9,'03 Dependencies'!$N$6:$N$9,C49)</x:f>
        <x:v>1</x:v>
      </x:c>
      <x:c r="T49" s="17" t="str">
        <x:f>IF(AND('01 Controls'!$D$16&gt;='01 Controls'!$D$17,'01 Controls'!$D$18="ELIGIBLE"),"ADMITTED","DENIED")</x:f>
        <x:v>DENIED</x:v>
      </x:c>
      <x:c r="U49" s="17" t="str">
        <x:f>IF(F49="UNIVERSAL_STOP","LAWFUL UNIVERSAL STOP",IF(Q49="PASS",IF(N49&gt;=G49,"REQUIRED SERVICE RETAINED","SAFE HOLD"),"SERVICE CHAIN COLLAPSES"))</x:f>
        <x:v>SERVICE CHAIN COLLAPSES</x:v>
      </x:c>
      <x:c r="V49" s="17" t="str">
        <x:v>OPEN</x:v>
      </x:c>
    </x:row>
    <x:row r="50" ht="35" customHeight="1">
      <x:c r="C50" s="17" t="str">
        <x:v>K2</x:v>
      </x:c>
      <x:c r="D50" s="17" t="str">
        <x:v>W07</x:v>
      </x:c>
      <x:c r="E50" s="40" t="n">
        <x:f>E13</x:f>
        <x:v>6</x:v>
      </x:c>
      <x:c r="F50" s="40" t="str">
        <x:f>F13</x:f>
        <x:v>BOUNDARY</x:v>
      </x:c>
      <x:c r="G50" s="40" t="n">
        <x:f>G13</x:f>
        <x:v>5000</x:v>
      </x:c>
      <x:c r="H50" s="40" t="n">
        <x:f>H13</x:f>
        <x:v>1</x:v>
      </x:c>
      <x:c r="I50" s="40" t="n">
        <x:f>IF(E50=0,1,SUMIFS('03 Dependencies'!$I$6:$I$53,'03 Dependencies'!$C$6:$C$53,C50,'03 Dependencies'!$D$6:$D$53,E50))</x:f>
        <x:v>0</x:v>
      </x:c>
      <x:c r="J50" s="38" t="n">
        <x:f>IF(C50="K4",'01 Controls'!$D$13,0)</x:f>
        <x:v>0</x:v>
      </x:c>
      <x:c r="K50" s="40" t="n">
        <x:f>IF(OR(F50="UNIVERSAL_STOP",F50="RESERVE",F50="CROSS_PATH",F50="LOSE_A"),0,IF(F50="LOSE_B",1,IF(F50="BASELINE",1,IF(I50=1,0,0))))</x:f>
        <x:v>0</x:v>
      </x:c>
      <x:c r="L50" s="40" t="n">
        <x:f>IF(OR(F50="UNIVERSAL_STOP",F50="RESERVE",F50="CROSS_PATH",F50="LOSE_B"),0,IF(F50="LOSE_A",1,IF(F50="BASELINE",1,IF(I50=1,1,0))))</x:f>
        <x:v>0</x:v>
      </x:c>
      <x:c r="M50" s="40" t="n">
        <x:f>IF(OR(F50="RESERVE",F50="CROSS_PATH"),J50,0)</x:f>
        <x:v>0</x:v>
      </x:c>
      <x:c r="N50" s="40" t="n">
        <x:f>MIN('01 Controls'!$D$6,(K50+L50+M50)*'01 Controls'!$D$7)</x:f>
        <x:v>0</x:v>
      </x:c>
      <x:c r="O50" s="17" t="str">
        <x:f>IF(H50=0,"n.a.",IF(N50&gt;=G50,"PASS","FAIL"))</x:f>
        <x:v>FAIL</x:v>
      </x:c>
      <x:c r="P50" s="17" t="str">
        <x:f>IF(F50="UNIVERSAL_STOP",IF(N50=0,"PASS","FAIL"),"PASS")</x:f>
        <x:v>PASS</x:v>
      </x:c>
      <x:c r="Q50" s="17" t="str">
        <x:f>IF(AND(OR(O50="PASS",O50="n.a."),P50="PASS"),"PASS","FAIL")</x:f>
        <x:v>FAIL</x:v>
      </x:c>
      <x:c r="R50" s="17" t="n">
        <x:f>SUMIFS('03 Dependencies'!$P$6:$P$9,'03 Dependencies'!$N$6:$N$9,C50)</x:f>
        <x:v>8</x:v>
      </x:c>
      <x:c r="S50" s="17" t="n">
        <x:f>SUMIFS('03 Dependencies'!$R$6:$R$9,'03 Dependencies'!$N$6:$N$9,C50)</x:f>
        <x:v>1</x:v>
      </x:c>
      <x:c r="T50" s="17" t="str">
        <x:f>IF(AND('01 Controls'!$D$16&gt;='01 Controls'!$D$17,'01 Controls'!$D$18="ELIGIBLE"),"ADMITTED","DENIED")</x:f>
        <x:v>DENIED</x:v>
      </x:c>
      <x:c r="U50" s="17" t="str">
        <x:f>IF(F50="UNIVERSAL_STOP","LAWFUL UNIVERSAL STOP",IF(Q50="PASS",IF(N50&gt;=G50,"REQUIRED SERVICE RETAINED","SAFE HOLD"),"SERVICE CHAIN COLLAPSES"))</x:f>
        <x:v>SERVICE CHAIN COLLAPSES</x:v>
      </x:c>
      <x:c r="V50" s="17" t="str">
        <x:v>OPEN</x:v>
      </x:c>
    </x:row>
    <x:row r="51" ht="35" customHeight="1">
      <x:c r="C51" s="17" t="str">
        <x:v>K2</x:v>
      </x:c>
      <x:c r="D51" s="17" t="str">
        <x:v>W08</x:v>
      </x:c>
      <x:c r="E51" s="40" t="n">
        <x:f>E14</x:f>
        <x:v>7</x:v>
      </x:c>
      <x:c r="F51" s="40" t="str">
        <x:f>F14</x:f>
        <x:v>BOUNDARY</x:v>
      </x:c>
      <x:c r="G51" s="40" t="n">
        <x:f>G14</x:f>
        <x:v>5000</x:v>
      </x:c>
      <x:c r="H51" s="40" t="n">
        <x:f>H14</x:f>
        <x:v>1</x:v>
      </x:c>
      <x:c r="I51" s="40" t="n">
        <x:f>IF(E51=0,1,SUMIFS('03 Dependencies'!$I$6:$I$53,'03 Dependencies'!$C$6:$C$53,C51,'03 Dependencies'!$D$6:$D$53,E51))</x:f>
        <x:v>0</x:v>
      </x:c>
      <x:c r="J51" s="38" t="n">
        <x:f>IF(C51="K4",'01 Controls'!$D$13,0)</x:f>
        <x:v>0</x:v>
      </x:c>
      <x:c r="K51" s="40" t="n">
        <x:f>IF(OR(F51="UNIVERSAL_STOP",F51="RESERVE",F51="CROSS_PATH",F51="LOSE_A"),0,IF(F51="LOSE_B",1,IF(F51="BASELINE",1,IF(I51=1,0,0))))</x:f>
        <x:v>0</x:v>
      </x:c>
      <x:c r="L51" s="40" t="n">
        <x:f>IF(OR(F51="UNIVERSAL_STOP",F51="RESERVE",F51="CROSS_PATH",F51="LOSE_B"),0,IF(F51="LOSE_A",1,IF(F51="BASELINE",1,IF(I51=1,1,0))))</x:f>
        <x:v>0</x:v>
      </x:c>
      <x:c r="M51" s="40" t="n">
        <x:f>IF(OR(F51="RESERVE",F51="CROSS_PATH"),J51,0)</x:f>
        <x:v>0</x:v>
      </x:c>
      <x:c r="N51" s="40" t="n">
        <x:f>MIN('01 Controls'!$D$6,(K51+L51+M51)*'01 Controls'!$D$7)</x:f>
        <x:v>0</x:v>
      </x:c>
      <x:c r="O51" s="17" t="str">
        <x:f>IF(H51=0,"n.a.",IF(N51&gt;=G51,"PASS","FAIL"))</x:f>
        <x:v>FAIL</x:v>
      </x:c>
      <x:c r="P51" s="17" t="str">
        <x:f>IF(F51="UNIVERSAL_STOP",IF(N51=0,"PASS","FAIL"),"PASS")</x:f>
        <x:v>PASS</x:v>
      </x:c>
      <x:c r="Q51" s="17" t="str">
        <x:f>IF(AND(OR(O51="PASS",O51="n.a."),P51="PASS"),"PASS","FAIL")</x:f>
        <x:v>FAIL</x:v>
      </x:c>
      <x:c r="R51" s="17" t="n">
        <x:f>SUMIFS('03 Dependencies'!$P$6:$P$9,'03 Dependencies'!$N$6:$N$9,C51)</x:f>
        <x:v>8</x:v>
      </x:c>
      <x:c r="S51" s="17" t="n">
        <x:f>SUMIFS('03 Dependencies'!$R$6:$R$9,'03 Dependencies'!$N$6:$N$9,C51)</x:f>
        <x:v>1</x:v>
      </x:c>
      <x:c r="T51" s="17" t="str">
        <x:f>IF(AND('01 Controls'!$D$16&gt;='01 Controls'!$D$17,'01 Controls'!$D$18="ELIGIBLE"),"ADMITTED","DENIED")</x:f>
        <x:v>DENIED</x:v>
      </x:c>
      <x:c r="U51" s="17" t="str">
        <x:f>IF(F51="UNIVERSAL_STOP","LAWFUL UNIVERSAL STOP",IF(Q51="PASS",IF(N51&gt;=G51,"REQUIRED SERVICE RETAINED","SAFE HOLD"),"SERVICE CHAIN COLLAPSES"))</x:f>
        <x:v>SERVICE CHAIN COLLAPSES</x:v>
      </x:c>
      <x:c r="V51" s="17" t="str">
        <x:v>OPEN</x:v>
      </x:c>
    </x:row>
    <x:row r="52" ht="35" customHeight="1">
      <x:c r="C52" s="17" t="str">
        <x:v>K2</x:v>
      </x:c>
      <x:c r="D52" s="17" t="str">
        <x:v>W09</x:v>
      </x:c>
      <x:c r="E52" s="40" t="n">
        <x:f>E15</x:f>
        <x:v>8</x:v>
      </x:c>
      <x:c r="F52" s="40" t="str">
        <x:f>F15</x:f>
        <x:v>BOUNDARY</x:v>
      </x:c>
      <x:c r="G52" s="40" t="n">
        <x:f>G15</x:f>
        <x:v>5000</x:v>
      </x:c>
      <x:c r="H52" s="40" t="n">
        <x:f>H15</x:f>
        <x:v>1</x:v>
      </x:c>
      <x:c r="I52" s="40" t="n">
        <x:f>IF(E52=0,1,SUMIFS('03 Dependencies'!$I$6:$I$53,'03 Dependencies'!$C$6:$C$53,C52,'03 Dependencies'!$D$6:$D$53,E52))</x:f>
        <x:v>0</x:v>
      </x:c>
      <x:c r="J52" s="38" t="n">
        <x:f>IF(C52="K4",'01 Controls'!$D$13,0)</x:f>
        <x:v>0</x:v>
      </x:c>
      <x:c r="K52" s="40" t="n">
        <x:f>IF(OR(F52="UNIVERSAL_STOP",F52="RESERVE",F52="CROSS_PATH",F52="LOSE_A"),0,IF(F52="LOSE_B",1,IF(F52="BASELINE",1,IF(I52=1,0,0))))</x:f>
        <x:v>0</x:v>
      </x:c>
      <x:c r="L52" s="40" t="n">
        <x:f>IF(OR(F52="UNIVERSAL_STOP",F52="RESERVE",F52="CROSS_PATH",F52="LOSE_B"),0,IF(F52="LOSE_A",1,IF(F52="BASELINE",1,IF(I52=1,1,0))))</x:f>
        <x:v>0</x:v>
      </x:c>
      <x:c r="M52" s="40" t="n">
        <x:f>IF(OR(F52="RESERVE",F52="CROSS_PATH"),J52,0)</x:f>
        <x:v>0</x:v>
      </x:c>
      <x:c r="N52" s="40" t="n">
        <x:f>MIN('01 Controls'!$D$6,(K52+L52+M52)*'01 Controls'!$D$7)</x:f>
        <x:v>0</x:v>
      </x:c>
      <x:c r="O52" s="17" t="str">
        <x:f>IF(H52=0,"n.a.",IF(N52&gt;=G52,"PASS","FAIL"))</x:f>
        <x:v>FAIL</x:v>
      </x:c>
      <x:c r="P52" s="17" t="str">
        <x:f>IF(F52="UNIVERSAL_STOP",IF(N52=0,"PASS","FAIL"),"PASS")</x:f>
        <x:v>PASS</x:v>
      </x:c>
      <x:c r="Q52" s="17" t="str">
        <x:f>IF(AND(OR(O52="PASS",O52="n.a."),P52="PASS"),"PASS","FAIL")</x:f>
        <x:v>FAIL</x:v>
      </x:c>
      <x:c r="R52" s="17" t="n">
        <x:f>SUMIFS('03 Dependencies'!$P$6:$P$9,'03 Dependencies'!$N$6:$N$9,C52)</x:f>
        <x:v>8</x:v>
      </x:c>
      <x:c r="S52" s="17" t="n">
        <x:f>SUMIFS('03 Dependencies'!$R$6:$R$9,'03 Dependencies'!$N$6:$N$9,C52)</x:f>
        <x:v>1</x:v>
      </x:c>
      <x:c r="T52" s="17" t="str">
        <x:f>IF(AND('01 Controls'!$D$16&gt;='01 Controls'!$D$17,'01 Controls'!$D$18="ELIGIBLE"),"ADMITTED","DENIED")</x:f>
        <x:v>DENIED</x:v>
      </x:c>
      <x:c r="U52" s="17" t="str">
        <x:f>IF(F52="UNIVERSAL_STOP","LAWFUL UNIVERSAL STOP",IF(Q52="PASS",IF(N52&gt;=G52,"REQUIRED SERVICE RETAINED","SAFE HOLD"),"SERVICE CHAIN COLLAPSES"))</x:f>
        <x:v>SERVICE CHAIN COLLAPSES</x:v>
      </x:c>
      <x:c r="V52" s="17" t="str">
        <x:v>OPEN</x:v>
      </x:c>
    </x:row>
    <x:row r="53" ht="35" customHeight="1">
      <x:c r="C53" s="17" t="str">
        <x:v>K2</x:v>
      </x:c>
      <x:c r="D53" s="17" t="str">
        <x:v>W10</x:v>
      </x:c>
      <x:c r="E53" s="40" t="n">
        <x:f>E16</x:f>
        <x:v>9</x:v>
      </x:c>
      <x:c r="F53" s="40" t="str">
        <x:f>F16</x:f>
        <x:v>BOUNDARY</x:v>
      </x:c>
      <x:c r="G53" s="40" t="n">
        <x:f>G16</x:f>
        <x:v>5000</x:v>
      </x:c>
      <x:c r="H53" s="40" t="n">
        <x:f>H16</x:f>
        <x:v>1</x:v>
      </x:c>
      <x:c r="I53" s="40" t="n">
        <x:f>IF(E53=0,1,SUMIFS('03 Dependencies'!$I$6:$I$53,'03 Dependencies'!$C$6:$C$53,C53,'03 Dependencies'!$D$6:$D$53,E53))</x:f>
        <x:v>0</x:v>
      </x:c>
      <x:c r="J53" s="38" t="n">
        <x:f>IF(C53="K4",'01 Controls'!$D$13,0)</x:f>
        <x:v>0</x:v>
      </x:c>
      <x:c r="K53" s="40" t="n">
        <x:f>IF(OR(F53="UNIVERSAL_STOP",F53="RESERVE",F53="CROSS_PATH",F53="LOSE_A"),0,IF(F53="LOSE_B",1,IF(F53="BASELINE",1,IF(I53=1,0,0))))</x:f>
        <x:v>0</x:v>
      </x:c>
      <x:c r="L53" s="40" t="n">
        <x:f>IF(OR(F53="UNIVERSAL_STOP",F53="RESERVE",F53="CROSS_PATH",F53="LOSE_B"),0,IF(F53="LOSE_A",1,IF(F53="BASELINE",1,IF(I53=1,1,0))))</x:f>
        <x:v>0</x:v>
      </x:c>
      <x:c r="M53" s="40" t="n">
        <x:f>IF(OR(F53="RESERVE",F53="CROSS_PATH"),J53,0)</x:f>
        <x:v>0</x:v>
      </x:c>
      <x:c r="N53" s="40" t="n">
        <x:f>MIN('01 Controls'!$D$6,(K53+L53+M53)*'01 Controls'!$D$7)</x:f>
        <x:v>0</x:v>
      </x:c>
      <x:c r="O53" s="17" t="str">
        <x:f>IF(H53=0,"n.a.",IF(N53&gt;=G53,"PASS","FAIL"))</x:f>
        <x:v>FAIL</x:v>
      </x:c>
      <x:c r="P53" s="17" t="str">
        <x:f>IF(F53="UNIVERSAL_STOP",IF(N53=0,"PASS","FAIL"),"PASS")</x:f>
        <x:v>PASS</x:v>
      </x:c>
      <x:c r="Q53" s="17" t="str">
        <x:f>IF(AND(OR(O53="PASS",O53="n.a."),P53="PASS"),"PASS","FAIL")</x:f>
        <x:v>FAIL</x:v>
      </x:c>
      <x:c r="R53" s="17" t="n">
        <x:f>SUMIFS('03 Dependencies'!$P$6:$P$9,'03 Dependencies'!$N$6:$N$9,C53)</x:f>
        <x:v>8</x:v>
      </x:c>
      <x:c r="S53" s="17" t="n">
        <x:f>SUMIFS('03 Dependencies'!$R$6:$R$9,'03 Dependencies'!$N$6:$N$9,C53)</x:f>
        <x:v>1</x:v>
      </x:c>
      <x:c r="T53" s="17" t="str">
        <x:f>IF(AND('01 Controls'!$D$16&gt;='01 Controls'!$D$17,'01 Controls'!$D$18="ELIGIBLE"),"ADMITTED","DENIED")</x:f>
        <x:v>DENIED</x:v>
      </x:c>
      <x:c r="U53" s="17" t="str">
        <x:f>IF(F53="UNIVERSAL_STOP","LAWFUL UNIVERSAL STOP",IF(Q53="PASS",IF(N53&gt;=G53,"REQUIRED SERVICE RETAINED","SAFE HOLD"),"SERVICE CHAIN COLLAPSES"))</x:f>
        <x:v>SERVICE CHAIN COLLAPSES</x:v>
      </x:c>
      <x:c r="V53" s="17" t="str">
        <x:v>OPEN</x:v>
      </x:c>
    </x:row>
    <x:row r="54" ht="35" customHeight="1">
      <x:c r="C54" s="17" t="str">
        <x:v>K2</x:v>
      </x:c>
      <x:c r="D54" s="17" t="str">
        <x:v>W11</x:v>
      </x:c>
      <x:c r="E54" s="40" t="n">
        <x:f>E17</x:f>
        <x:v>10</x:v>
      </x:c>
      <x:c r="F54" s="40" t="str">
        <x:f>F17</x:f>
        <x:v>BOUNDARY</x:v>
      </x:c>
      <x:c r="G54" s="40" t="n">
        <x:f>G17</x:f>
        <x:v>5000</x:v>
      </x:c>
      <x:c r="H54" s="40" t="n">
        <x:f>H17</x:f>
        <x:v>1</x:v>
      </x:c>
      <x:c r="I54" s="40" t="n">
        <x:f>IF(E54=0,1,SUMIFS('03 Dependencies'!$I$6:$I$53,'03 Dependencies'!$C$6:$C$53,C54,'03 Dependencies'!$D$6:$D$53,E54))</x:f>
        <x:v>0</x:v>
      </x:c>
      <x:c r="J54" s="38" t="n">
        <x:f>IF(C54="K4",'01 Controls'!$D$13,0)</x:f>
        <x:v>0</x:v>
      </x:c>
      <x:c r="K54" s="40" t="n">
        <x:f>IF(OR(F54="UNIVERSAL_STOP",F54="RESERVE",F54="CROSS_PATH",F54="LOSE_A"),0,IF(F54="LOSE_B",1,IF(F54="BASELINE",1,IF(I54=1,0,0))))</x:f>
        <x:v>0</x:v>
      </x:c>
      <x:c r="L54" s="40" t="n">
        <x:f>IF(OR(F54="UNIVERSAL_STOP",F54="RESERVE",F54="CROSS_PATH",F54="LOSE_B"),0,IF(F54="LOSE_A",1,IF(F54="BASELINE",1,IF(I54=1,1,0))))</x:f>
        <x:v>0</x:v>
      </x:c>
      <x:c r="M54" s="40" t="n">
        <x:f>IF(OR(F54="RESERVE",F54="CROSS_PATH"),J54,0)</x:f>
        <x:v>0</x:v>
      </x:c>
      <x:c r="N54" s="40" t="n">
        <x:f>MIN('01 Controls'!$D$6,(K54+L54+M54)*'01 Controls'!$D$7)</x:f>
        <x:v>0</x:v>
      </x:c>
      <x:c r="O54" s="17" t="str">
        <x:f>IF(H54=0,"n.a.",IF(N54&gt;=G54,"PASS","FAIL"))</x:f>
        <x:v>FAIL</x:v>
      </x:c>
      <x:c r="P54" s="17" t="str">
        <x:f>IF(F54="UNIVERSAL_STOP",IF(N54=0,"PASS","FAIL"),"PASS")</x:f>
        <x:v>PASS</x:v>
      </x:c>
      <x:c r="Q54" s="17" t="str">
        <x:f>IF(AND(OR(O54="PASS",O54="n.a."),P54="PASS"),"PASS","FAIL")</x:f>
        <x:v>FAIL</x:v>
      </x:c>
      <x:c r="R54" s="17" t="n">
        <x:f>SUMIFS('03 Dependencies'!$P$6:$P$9,'03 Dependencies'!$N$6:$N$9,C54)</x:f>
        <x:v>8</x:v>
      </x:c>
      <x:c r="S54" s="17" t="n">
        <x:f>SUMIFS('03 Dependencies'!$R$6:$R$9,'03 Dependencies'!$N$6:$N$9,C54)</x:f>
        <x:v>1</x:v>
      </x:c>
      <x:c r="T54" s="17" t="str">
        <x:f>IF(AND('01 Controls'!$D$16&gt;='01 Controls'!$D$17,'01 Controls'!$D$18="ELIGIBLE"),"ADMITTED","DENIED")</x:f>
        <x:v>DENIED</x:v>
      </x:c>
      <x:c r="U54" s="17" t="str">
        <x:f>IF(F54="UNIVERSAL_STOP","LAWFUL UNIVERSAL STOP",IF(Q54="PASS",IF(N54&gt;=G54,"REQUIRED SERVICE RETAINED","SAFE HOLD"),"SERVICE CHAIN COLLAPSES"))</x:f>
        <x:v>SERVICE CHAIN COLLAPSES</x:v>
      </x:c>
      <x:c r="V54" s="17" t="str">
        <x:v>OPEN</x:v>
      </x:c>
    </x:row>
    <x:row r="55" ht="35" customHeight="1">
      <x:c r="C55" s="17" t="str">
        <x:v>K2</x:v>
      </x:c>
      <x:c r="D55" s="17" t="str">
        <x:v>W12</x:v>
      </x:c>
      <x:c r="E55" s="40" t="n">
        <x:f>E18</x:f>
        <x:v>11</x:v>
      </x:c>
      <x:c r="F55" s="40" t="str">
        <x:f>F18</x:f>
        <x:v>BOUNDARY</x:v>
      </x:c>
      <x:c r="G55" s="40" t="n">
        <x:f>G18</x:f>
        <x:v>5000</x:v>
      </x:c>
      <x:c r="H55" s="40" t="n">
        <x:f>H18</x:f>
        <x:v>1</x:v>
      </x:c>
      <x:c r="I55" s="40" t="n">
        <x:f>IF(E55=0,1,SUMIFS('03 Dependencies'!$I$6:$I$53,'03 Dependencies'!$C$6:$C$53,C55,'03 Dependencies'!$D$6:$D$53,E55))</x:f>
        <x:v>0</x:v>
      </x:c>
      <x:c r="J55" s="38" t="n">
        <x:f>IF(C55="K4",'01 Controls'!$D$13,0)</x:f>
        <x:v>0</x:v>
      </x:c>
      <x:c r="K55" s="40" t="n">
        <x:f>IF(OR(F55="UNIVERSAL_STOP",F55="RESERVE",F55="CROSS_PATH",F55="LOSE_A"),0,IF(F55="LOSE_B",1,IF(F55="BASELINE",1,IF(I55=1,0,0))))</x:f>
        <x:v>0</x:v>
      </x:c>
      <x:c r="L55" s="40" t="n">
        <x:f>IF(OR(F55="UNIVERSAL_STOP",F55="RESERVE",F55="CROSS_PATH",F55="LOSE_B"),0,IF(F55="LOSE_A",1,IF(F55="BASELINE",1,IF(I55=1,1,0))))</x:f>
        <x:v>0</x:v>
      </x:c>
      <x:c r="M55" s="40" t="n">
        <x:f>IF(OR(F55="RESERVE",F55="CROSS_PATH"),J55,0)</x:f>
        <x:v>0</x:v>
      </x:c>
      <x:c r="N55" s="40" t="n">
        <x:f>MIN('01 Controls'!$D$6,(K55+L55+M55)*'01 Controls'!$D$7)</x:f>
        <x:v>0</x:v>
      </x:c>
      <x:c r="O55" s="17" t="str">
        <x:f>IF(H55=0,"n.a.",IF(N55&gt;=G55,"PASS","FAIL"))</x:f>
        <x:v>FAIL</x:v>
      </x:c>
      <x:c r="P55" s="17" t="str">
        <x:f>IF(F55="UNIVERSAL_STOP",IF(N55=0,"PASS","FAIL"),"PASS")</x:f>
        <x:v>PASS</x:v>
      </x:c>
      <x:c r="Q55" s="17" t="str">
        <x:f>IF(AND(OR(O55="PASS",O55="n.a."),P55="PASS"),"PASS","FAIL")</x:f>
        <x:v>FAIL</x:v>
      </x:c>
      <x:c r="R55" s="17" t="n">
        <x:f>SUMIFS('03 Dependencies'!$P$6:$P$9,'03 Dependencies'!$N$6:$N$9,C55)</x:f>
        <x:v>8</x:v>
      </x:c>
      <x:c r="S55" s="17" t="n">
        <x:f>SUMIFS('03 Dependencies'!$R$6:$R$9,'03 Dependencies'!$N$6:$N$9,C55)</x:f>
        <x:v>1</x:v>
      </x:c>
      <x:c r="T55" s="17" t="str">
        <x:f>IF(AND('01 Controls'!$D$16&gt;='01 Controls'!$D$17,'01 Controls'!$D$18="ELIGIBLE"),"ADMITTED","DENIED")</x:f>
        <x:v>DENIED</x:v>
      </x:c>
      <x:c r="U55" s="17" t="str">
        <x:f>IF(F55="UNIVERSAL_STOP","LAWFUL UNIVERSAL STOP",IF(Q55="PASS",IF(N55&gt;=G55,"REQUIRED SERVICE RETAINED","SAFE HOLD"),"SERVICE CHAIN COLLAPSES"))</x:f>
        <x:v>SERVICE CHAIN COLLAPSES</x:v>
      </x:c>
      <x:c r="V55" s="17" t="str">
        <x:v>OPEN</x:v>
      </x:c>
    </x:row>
    <x:row r="56" ht="35" customHeight="1">
      <x:c r="C56" s="17" t="str">
        <x:v>K2</x:v>
      </x:c>
      <x:c r="D56" s="17" t="str">
        <x:v>W13</x:v>
      </x:c>
      <x:c r="E56" s="40" t="n">
        <x:f>E19</x:f>
        <x:v>12</x:v>
      </x:c>
      <x:c r="F56" s="40" t="str">
        <x:f>F19</x:f>
        <x:v>BOUNDARY</x:v>
      </x:c>
      <x:c r="G56" s="40" t="n">
        <x:f>G19</x:f>
        <x:v>5000</x:v>
      </x:c>
      <x:c r="H56" s="40" t="n">
        <x:f>H19</x:f>
        <x:v>1</x:v>
      </x:c>
      <x:c r="I56" s="40" t="n">
        <x:f>IF(E56=0,1,SUMIFS('03 Dependencies'!$I$6:$I$53,'03 Dependencies'!$C$6:$C$53,C56,'03 Dependencies'!$D$6:$D$53,E56))</x:f>
        <x:v>0</x:v>
      </x:c>
      <x:c r="J56" s="38" t="n">
        <x:f>IF(C56="K4",'01 Controls'!$D$13,0)</x:f>
        <x:v>0</x:v>
      </x:c>
      <x:c r="K56" s="40" t="n">
        <x:f>IF(OR(F56="UNIVERSAL_STOP",F56="RESERVE",F56="CROSS_PATH",F56="LOSE_A"),0,IF(F56="LOSE_B",1,IF(F56="BASELINE",1,IF(I56=1,0,0))))</x:f>
        <x:v>0</x:v>
      </x:c>
      <x:c r="L56" s="40" t="n">
        <x:f>IF(OR(F56="UNIVERSAL_STOP",F56="RESERVE",F56="CROSS_PATH",F56="LOSE_B"),0,IF(F56="LOSE_A",1,IF(F56="BASELINE",1,IF(I56=1,1,0))))</x:f>
        <x:v>0</x:v>
      </x:c>
      <x:c r="M56" s="40" t="n">
        <x:f>IF(OR(F56="RESERVE",F56="CROSS_PATH"),J56,0)</x:f>
        <x:v>0</x:v>
      </x:c>
      <x:c r="N56" s="40" t="n">
        <x:f>MIN('01 Controls'!$D$6,(K56+L56+M56)*'01 Controls'!$D$7)</x:f>
        <x:v>0</x:v>
      </x:c>
      <x:c r="O56" s="17" t="str">
        <x:f>IF(H56=0,"n.a.",IF(N56&gt;=G56,"PASS","FAIL"))</x:f>
        <x:v>FAIL</x:v>
      </x:c>
      <x:c r="P56" s="17" t="str">
        <x:f>IF(F56="UNIVERSAL_STOP",IF(N56=0,"PASS","FAIL"),"PASS")</x:f>
        <x:v>PASS</x:v>
      </x:c>
      <x:c r="Q56" s="17" t="str">
        <x:f>IF(AND(OR(O56="PASS",O56="n.a."),P56="PASS"),"PASS","FAIL")</x:f>
        <x:v>FAIL</x:v>
      </x:c>
      <x:c r="R56" s="17" t="n">
        <x:f>SUMIFS('03 Dependencies'!$P$6:$P$9,'03 Dependencies'!$N$6:$N$9,C56)</x:f>
        <x:v>8</x:v>
      </x:c>
      <x:c r="S56" s="17" t="n">
        <x:f>SUMIFS('03 Dependencies'!$R$6:$R$9,'03 Dependencies'!$N$6:$N$9,C56)</x:f>
        <x:v>1</x:v>
      </x:c>
      <x:c r="T56" s="17" t="str">
        <x:f>IF(AND('01 Controls'!$D$16&gt;='01 Controls'!$D$17,'01 Controls'!$D$18="ELIGIBLE"),"ADMITTED","DENIED")</x:f>
        <x:v>DENIED</x:v>
      </x:c>
      <x:c r="U56" s="17" t="str">
        <x:f>IF(F56="UNIVERSAL_STOP","LAWFUL UNIVERSAL STOP",IF(Q56="PASS",IF(N56&gt;=G56,"REQUIRED SERVICE RETAINED","SAFE HOLD"),"SERVICE CHAIN COLLAPSES"))</x:f>
        <x:v>SERVICE CHAIN COLLAPSES</x:v>
      </x:c>
      <x:c r="V56" s="17" t="str">
        <x:v>OPEN</x:v>
      </x:c>
    </x:row>
    <x:row r="57" ht="35" customHeight="1">
      <x:c r="C57" s="17" t="str">
        <x:v>K2</x:v>
      </x:c>
      <x:c r="D57" s="17" t="str">
        <x:v>W14</x:v>
      </x:c>
      <x:c r="E57" s="40" t="n">
        <x:f>E20</x:f>
        <x:v>0</x:v>
      </x:c>
      <x:c r="F57" s="40" t="str">
        <x:f>F20</x:f>
        <x:v>RESERVE</x:v>
      </x:c>
      <x:c r="G57" s="40" t="n">
        <x:f>G20</x:f>
        <x:v>5000</x:v>
      </x:c>
      <x:c r="H57" s="40" t="n">
        <x:f>H20</x:f>
        <x:v>1</x:v>
      </x:c>
      <x:c r="I57" s="40" t="n">
        <x:f>IF(E57=0,1,SUMIFS('03 Dependencies'!$I$6:$I$53,'03 Dependencies'!$C$6:$C$53,C57,'03 Dependencies'!$D$6:$D$53,E57))</x:f>
        <x:v>1</x:v>
      </x:c>
      <x:c r="J57" s="38" t="n">
        <x:f>IF(C57="K4",'01 Controls'!$D$13,0)</x:f>
        <x:v>0</x:v>
      </x:c>
      <x:c r="K57" s="40" t="n">
        <x:f>IF(OR(F57="UNIVERSAL_STOP",F57="RESERVE",F57="CROSS_PATH",F57="LOSE_A"),0,IF(F57="LOSE_B",1,IF(F57="BASELINE",1,IF(I57=1,0,0))))</x:f>
        <x:v>0</x:v>
      </x:c>
      <x:c r="L57" s="40" t="n">
        <x:f>IF(OR(F57="UNIVERSAL_STOP",F57="RESERVE",F57="CROSS_PATH",F57="LOSE_B"),0,IF(F57="LOSE_A",1,IF(F57="BASELINE",1,IF(I57=1,1,0))))</x:f>
        <x:v>0</x:v>
      </x:c>
      <x:c r="M57" s="40" t="n">
        <x:f>IF(OR(F57="RESERVE",F57="CROSS_PATH"),J57,0)</x:f>
        <x:v>0</x:v>
      </x:c>
      <x:c r="N57" s="40" t="n">
        <x:f>MIN('01 Controls'!$D$6,(K57+L57+M57)*'01 Controls'!$D$7)</x:f>
        <x:v>0</x:v>
      </x:c>
      <x:c r="O57" s="17" t="str">
        <x:f>IF(H57=0,"n.a.",IF(N57&gt;=G57,"PASS","FAIL"))</x:f>
        <x:v>FAIL</x:v>
      </x:c>
      <x:c r="P57" s="17" t="str">
        <x:f>IF(F57="UNIVERSAL_STOP",IF(N57=0,"PASS","FAIL"),"PASS")</x:f>
        <x:v>PASS</x:v>
      </x:c>
      <x:c r="Q57" s="17" t="str">
        <x:f>IF(AND(OR(O57="PASS",O57="n.a."),P57="PASS"),"PASS","FAIL")</x:f>
        <x:v>FAIL</x:v>
      </x:c>
      <x:c r="R57" s="17" t="n">
        <x:f>SUMIFS('03 Dependencies'!$P$6:$P$9,'03 Dependencies'!$N$6:$N$9,C57)</x:f>
        <x:v>8</x:v>
      </x:c>
      <x:c r="S57" s="17" t="n">
        <x:f>SUMIFS('03 Dependencies'!$R$6:$R$9,'03 Dependencies'!$N$6:$N$9,C57)</x:f>
        <x:v>1</x:v>
      </x:c>
      <x:c r="T57" s="17" t="str">
        <x:f>IF(AND('01 Controls'!$D$16&gt;='01 Controls'!$D$17,'01 Controls'!$D$18="ELIGIBLE"),"ADMITTED","DENIED")</x:f>
        <x:v>DENIED</x:v>
      </x:c>
      <x:c r="U57" s="17" t="str">
        <x:f>IF(F57="UNIVERSAL_STOP","LAWFUL UNIVERSAL STOP",IF(Q57="PASS",IF(N57&gt;=G57,"REQUIRED SERVICE RETAINED","SAFE HOLD"),"SERVICE CHAIN COLLAPSES"))</x:f>
        <x:v>SERVICE CHAIN COLLAPSES</x:v>
      </x:c>
      <x:c r="V57" s="17" t="str">
        <x:v>OPEN</x:v>
      </x:c>
    </x:row>
    <x:row r="58" ht="35" customHeight="1">
      <x:c r="C58" s="17" t="str">
        <x:v>K2</x:v>
      </x:c>
      <x:c r="D58" s="17" t="str">
        <x:v>W15</x:v>
      </x:c>
      <x:c r="E58" s="40" t="n">
        <x:f>E21</x:f>
        <x:v>0</x:v>
      </x:c>
      <x:c r="F58" s="40" t="str">
        <x:f>F21</x:f>
        <x:v>UNIVERSAL_STOP</x:v>
      </x:c>
      <x:c r="G58" s="40" t="n">
        <x:f>G21</x:f>
        <x:v>0</x:v>
      </x:c>
      <x:c r="H58" s="40" t="n">
        <x:f>H21</x:f>
        <x:v>0</x:v>
      </x:c>
      <x:c r="I58" s="40" t="n">
        <x:f>IF(E58=0,1,SUMIFS('03 Dependencies'!$I$6:$I$53,'03 Dependencies'!$C$6:$C$53,C58,'03 Dependencies'!$D$6:$D$53,E58))</x:f>
        <x:v>1</x:v>
      </x:c>
      <x:c r="J58" s="38" t="n">
        <x:f>IF(C58="K4",'01 Controls'!$D$13,0)</x:f>
        <x:v>0</x:v>
      </x:c>
      <x:c r="K58" s="40" t="n">
        <x:f>IF(OR(F58="UNIVERSAL_STOP",F58="RESERVE",F58="CROSS_PATH",F58="LOSE_A"),0,IF(F58="LOSE_B",1,IF(F58="BASELINE",1,IF(I58=1,0,0))))</x:f>
        <x:v>0</x:v>
      </x:c>
      <x:c r="L58" s="40" t="n">
        <x:f>IF(OR(F58="UNIVERSAL_STOP",F58="RESERVE",F58="CROSS_PATH",F58="LOSE_B"),0,IF(F58="LOSE_A",1,IF(F58="BASELINE",1,IF(I58=1,1,0))))</x:f>
        <x:v>0</x:v>
      </x:c>
      <x:c r="M58" s="40" t="n">
        <x:f>IF(OR(F58="RESERVE",F58="CROSS_PATH"),J58,0)</x:f>
        <x:v>0</x:v>
      </x:c>
      <x:c r="N58" s="40" t="n">
        <x:f>MIN('01 Controls'!$D$6,(K58+L58+M58)*'01 Controls'!$D$7)</x:f>
        <x:v>0</x:v>
      </x:c>
      <x:c r="O58" s="17" t="str">
        <x:f>IF(H58=0,"n.a.",IF(N58&gt;=G58,"PASS","FAIL"))</x:f>
        <x:v>n.a.</x:v>
      </x:c>
      <x:c r="P58" s="17" t="str">
        <x:f>IF(F58="UNIVERSAL_STOP",IF(N58=0,"PASS","FAIL"),"PASS")</x:f>
        <x:v>PASS</x:v>
      </x:c>
      <x:c r="Q58" s="17" t="str">
        <x:f>IF(AND(OR(O58="PASS",O58="n.a."),P58="PASS"),"PASS","FAIL")</x:f>
        <x:v>PASS</x:v>
      </x:c>
      <x:c r="R58" s="17" t="n">
        <x:f>SUMIFS('03 Dependencies'!$P$6:$P$9,'03 Dependencies'!$N$6:$N$9,C58)</x:f>
        <x:v>8</x:v>
      </x:c>
      <x:c r="S58" s="17" t="n">
        <x:f>SUMIFS('03 Dependencies'!$R$6:$R$9,'03 Dependencies'!$N$6:$N$9,C58)</x:f>
        <x:v>1</x:v>
      </x:c>
      <x:c r="T58" s="17" t="str">
        <x:f>IF(AND('01 Controls'!$D$16&gt;='01 Controls'!$D$17,'01 Controls'!$D$18="ELIGIBLE"),"ADMITTED","DENIED")</x:f>
        <x:v>DENIED</x:v>
      </x:c>
      <x:c r="U58" s="17" t="str">
        <x:f>IF(F58="UNIVERSAL_STOP","LAWFUL UNIVERSAL STOP",IF(Q58="PASS",IF(N58&gt;=G58,"REQUIRED SERVICE RETAINED","SAFE HOLD"),"SERVICE CHAIN COLLAPSES"))</x:f>
        <x:v>LAWFUL UNIVERSAL STOP</x:v>
      </x:c>
      <x:c r="V58" s="17" t="str">
        <x:v>OPEN</x:v>
      </x:c>
    </x:row>
    <x:row r="59" ht="35" customHeight="1">
      <x:c r="C59" s="17" t="str">
        <x:v>K2</x:v>
      </x:c>
      <x:c r="D59" s="17" t="str">
        <x:v>W16</x:v>
      </x:c>
      <x:c r="E59" s="40" t="n">
        <x:f>E22</x:f>
        <x:v>0</x:v>
      </x:c>
      <x:c r="F59" s="40" t="str">
        <x:f>F22</x:f>
        <x:v>CROSS_PATH</x:v>
      </x:c>
      <x:c r="G59" s="40" t="n">
        <x:f>G22</x:f>
        <x:v>5000</x:v>
      </x:c>
      <x:c r="H59" s="40" t="n">
        <x:f>H22</x:f>
        <x:v>1</x:v>
      </x:c>
      <x:c r="I59" s="40" t="n">
        <x:f>IF(E59=0,1,SUMIFS('03 Dependencies'!$I$6:$I$53,'03 Dependencies'!$C$6:$C$53,C59,'03 Dependencies'!$D$6:$D$53,E59))</x:f>
        <x:v>1</x:v>
      </x:c>
      <x:c r="J59" s="38" t="n">
        <x:f>IF(C59="K4",'01 Controls'!$D$13,0)</x:f>
        <x:v>0</x:v>
      </x:c>
      <x:c r="K59" s="40" t="n">
        <x:f>IF(OR(F59="UNIVERSAL_STOP",F59="RESERVE",F59="CROSS_PATH",F59="LOSE_A"),0,IF(F59="LOSE_B",1,IF(F59="BASELINE",1,IF(I59=1,0,0))))</x:f>
        <x:v>0</x:v>
      </x:c>
      <x:c r="L59" s="40" t="n">
        <x:f>IF(OR(F59="UNIVERSAL_STOP",F59="RESERVE",F59="CROSS_PATH",F59="LOSE_B"),0,IF(F59="LOSE_A",1,IF(F59="BASELINE",1,IF(I59=1,1,0))))</x:f>
        <x:v>0</x:v>
      </x:c>
      <x:c r="M59" s="40" t="n">
        <x:f>IF(OR(F59="RESERVE",F59="CROSS_PATH"),J59,0)</x:f>
        <x:v>0</x:v>
      </x:c>
      <x:c r="N59" s="40" t="n">
        <x:f>MIN('01 Controls'!$D$6,(K59+L59+M59)*'01 Controls'!$D$7)</x:f>
        <x:v>0</x:v>
      </x:c>
      <x:c r="O59" s="17" t="str">
        <x:f>IF(H59=0,"n.a.",IF(N59&gt;=G59,"PASS","FAIL"))</x:f>
        <x:v>FAIL</x:v>
      </x:c>
      <x:c r="P59" s="17" t="str">
        <x:f>IF(F59="UNIVERSAL_STOP",IF(N59=0,"PASS","FAIL"),"PASS")</x:f>
        <x:v>PASS</x:v>
      </x:c>
      <x:c r="Q59" s="17" t="str">
        <x:f>IF(AND(OR(O59="PASS",O59="n.a."),P59="PASS"),"PASS","FAIL")</x:f>
        <x:v>FAIL</x:v>
      </x:c>
      <x:c r="R59" s="17" t="n">
        <x:f>SUMIFS('03 Dependencies'!$P$6:$P$9,'03 Dependencies'!$N$6:$N$9,C59)</x:f>
        <x:v>8</x:v>
      </x:c>
      <x:c r="S59" s="17" t="n">
        <x:f>SUMIFS('03 Dependencies'!$R$6:$R$9,'03 Dependencies'!$N$6:$N$9,C59)</x:f>
        <x:v>1</x:v>
      </x:c>
      <x:c r="T59" s="17" t="str">
        <x:f>IF(AND('01 Controls'!$D$16&gt;='01 Controls'!$D$17,'01 Controls'!$D$18="ELIGIBLE"),"ADMITTED","DENIED")</x:f>
        <x:v>DENIED</x:v>
      </x:c>
      <x:c r="U59" s="17" t="str">
        <x:f>IF(F59="UNIVERSAL_STOP","LAWFUL UNIVERSAL STOP",IF(Q59="PASS",IF(N59&gt;=G59,"REQUIRED SERVICE RETAINED","SAFE HOLD"),"SERVICE CHAIN COLLAPSES"))</x:f>
        <x:v>SERVICE CHAIN COLLAPSES</x:v>
      </x:c>
      <x:c r="V59" s="17" t="str">
        <x:v>OPEN</x:v>
      </x:c>
    </x:row>
    <x:row r="60" ht="35" customHeight="1">
      <x:c r="C60" s="17" t="str">
        <x:v>K3</x:v>
      </x:c>
      <x:c r="D60" s="17" t="str">
        <x:v>W00</x:v>
      </x:c>
      <x:c r="E60" s="40" t="n">
        <x:f>E6</x:f>
        <x:v>0</x:v>
      </x:c>
      <x:c r="F60" s="40" t="str">
        <x:f>F6</x:f>
        <x:v>BASELINE</x:v>
      </x:c>
      <x:c r="G60" s="40" t="n">
        <x:f>G6</x:f>
        <x:v>10000</x:v>
      </x:c>
      <x:c r="H60" s="40" t="n">
        <x:f>H6</x:f>
        <x:v>1</x:v>
      </x:c>
      <x:c r="I60" s="40" t="n">
        <x:f>IF(E60=0,1,SUMIFS('03 Dependencies'!$I$6:$I$53,'03 Dependencies'!$C$6:$C$53,C60,'03 Dependencies'!$D$6:$D$53,E60))</x:f>
        <x:v>1</x:v>
      </x:c>
      <x:c r="J60" s="38" t="n">
        <x:f>IF(C60="K4",'01 Controls'!$D$13,0)</x:f>
        <x:v>0</x:v>
      </x:c>
      <x:c r="K60" s="40" t="n">
        <x:f>IF(OR(F60="UNIVERSAL_STOP",F60="RESERVE",F60="CROSS_PATH",F60="LOSE_A"),0,IF(F60="LOSE_B",1,IF(F60="BASELINE",1,IF(I60=1,0,0))))</x:f>
        <x:v>1</x:v>
      </x:c>
      <x:c r="L60" s="40" t="n">
        <x:f>IF(OR(F60="UNIVERSAL_STOP",F60="RESERVE",F60="CROSS_PATH",F60="LOSE_B"),0,IF(F60="LOSE_A",1,IF(F60="BASELINE",1,IF(I60=1,1,0))))</x:f>
        <x:v>1</x:v>
      </x:c>
      <x:c r="M60" s="40" t="n">
        <x:f>IF(OR(F60="RESERVE",F60="CROSS_PATH"),J60,0)</x:f>
        <x:v>0</x:v>
      </x:c>
      <x:c r="N60" s="40" t="n">
        <x:f>MIN('01 Controls'!$D$6,(K60+L60+M60)*'01 Controls'!$D$7)</x:f>
        <x:v>10000</x:v>
      </x:c>
      <x:c r="O60" s="17" t="str">
        <x:f>IF(H60=0,"n.a.",IF(N60&gt;=G60,"PASS","FAIL"))</x:f>
        <x:v>PASS</x:v>
      </x:c>
      <x:c r="P60" s="17" t="str">
        <x:f>IF(F60="UNIVERSAL_STOP",IF(N60=0,"PASS","FAIL"),"PASS")</x:f>
        <x:v>PASS</x:v>
      </x:c>
      <x:c r="Q60" s="17" t="str">
        <x:f>IF(AND(OR(O60="PASS",O60="n.a."),P60="PASS"),"PASS","FAIL")</x:f>
        <x:v>PASS</x:v>
      </x:c>
      <x:c r="R60" s="17" t="n">
        <x:f>SUMIFS('03 Dependencies'!$P$6:$P$9,'03 Dependencies'!$N$6:$N$9,C60)</x:f>
        <x:v>3</x:v>
      </x:c>
      <x:c r="S60" s="17" t="n">
        <x:f>SUMIFS('03 Dependencies'!$R$6:$R$9,'03 Dependencies'!$N$6:$N$9,C60)</x:f>
        <x:v>1</x:v>
      </x:c>
      <x:c r="T60" s="17" t="str">
        <x:f>IF(AND('01 Controls'!$D$16&gt;='01 Controls'!$D$17,'01 Controls'!$D$18="ELIGIBLE"),"ADMITTED","DENIED")</x:f>
        <x:v>DENIED</x:v>
      </x:c>
      <x:c r="U60" s="17" t="str">
        <x:f>IF(F60="UNIVERSAL_STOP","LAWFUL UNIVERSAL STOP",IF(Q60="PASS",IF(N60&gt;=G60,"REQUIRED SERVICE RETAINED","SAFE HOLD"),"SERVICE CHAIN COLLAPSES"))</x:f>
        <x:v>REQUIRED SERVICE RETAINED</x:v>
      </x:c>
      <x:c r="V60" s="17" t="str">
        <x:v>OPEN</x:v>
      </x:c>
    </x:row>
    <x:row r="61" ht="35" customHeight="1">
      <x:c r="C61" s="17" t="str">
        <x:v>K3</x:v>
      </x:c>
      <x:c r="D61" s="17" t="str">
        <x:v>W01</x:v>
      </x:c>
      <x:c r="E61" s="40" t="n">
        <x:f>E7</x:f>
        <x:v>1</x:v>
      </x:c>
      <x:c r="F61" s="40" t="str">
        <x:f>F7</x:f>
        <x:v>LOSE_A</x:v>
      </x:c>
      <x:c r="G61" s="40" t="n">
        <x:f>G7</x:f>
        <x:v>5000</x:v>
      </x:c>
      <x:c r="H61" s="40" t="n">
        <x:f>H7</x:f>
        <x:v>1</x:v>
      </x:c>
      <x:c r="I61" s="40" t="n">
        <x:f>IF(E61=0,1,SUMIFS('03 Dependencies'!$I$6:$I$53,'03 Dependencies'!$C$6:$C$53,C61,'03 Dependencies'!$D$6:$D$53,E61))</x:f>
        <x:v>1</x:v>
      </x:c>
      <x:c r="J61" s="38" t="n">
        <x:f>IF(C61="K4",'01 Controls'!$D$13,0)</x:f>
        <x:v>0</x:v>
      </x:c>
      <x:c r="K61" s="40" t="n">
        <x:f>IF(OR(F61="UNIVERSAL_STOP",F61="RESERVE",F61="CROSS_PATH",F61="LOSE_A"),0,IF(F61="LOSE_B",1,IF(F61="BASELINE",1,IF(I61=1,0,0))))</x:f>
        <x:v>0</x:v>
      </x:c>
      <x:c r="L61" s="40" t="n">
        <x:f>IF(OR(F61="UNIVERSAL_STOP",F61="RESERVE",F61="CROSS_PATH",F61="LOSE_B"),0,IF(F61="LOSE_A",1,IF(F61="BASELINE",1,IF(I61=1,1,0))))</x:f>
        <x:v>1</x:v>
      </x:c>
      <x:c r="M61" s="40" t="n">
        <x:f>IF(OR(F61="RESERVE",F61="CROSS_PATH"),J61,0)</x:f>
        <x:v>0</x:v>
      </x:c>
      <x:c r="N61" s="40" t="n">
        <x:f>MIN('01 Controls'!$D$6,(K61+L61+M61)*'01 Controls'!$D$7)</x:f>
        <x:v>5000</x:v>
      </x:c>
      <x:c r="O61" s="17" t="str">
        <x:f>IF(H61=0,"n.a.",IF(N61&gt;=G61,"PASS","FAIL"))</x:f>
        <x:v>PASS</x:v>
      </x:c>
      <x:c r="P61" s="17" t="str">
        <x:f>IF(F61="UNIVERSAL_STOP",IF(N61=0,"PASS","FAIL"),"PASS")</x:f>
        <x:v>PASS</x:v>
      </x:c>
      <x:c r="Q61" s="17" t="str">
        <x:f>IF(AND(OR(O61="PASS",O61="n.a."),P61="PASS"),"PASS","FAIL")</x:f>
        <x:v>PASS</x:v>
      </x:c>
      <x:c r="R61" s="17" t="n">
        <x:f>SUMIFS('03 Dependencies'!$P$6:$P$9,'03 Dependencies'!$N$6:$N$9,C61)</x:f>
        <x:v>3</x:v>
      </x:c>
      <x:c r="S61" s="17" t="n">
        <x:f>SUMIFS('03 Dependencies'!$R$6:$R$9,'03 Dependencies'!$N$6:$N$9,C61)</x:f>
        <x:v>1</x:v>
      </x:c>
      <x:c r="T61" s="17" t="str">
        <x:f>IF(AND('01 Controls'!$D$16&gt;='01 Controls'!$D$17,'01 Controls'!$D$18="ELIGIBLE"),"ADMITTED","DENIED")</x:f>
        <x:v>DENIED</x:v>
      </x:c>
      <x:c r="U61" s="17" t="str">
        <x:f>IF(F61="UNIVERSAL_STOP","LAWFUL UNIVERSAL STOP",IF(Q61="PASS",IF(N61&gt;=G61,"REQUIRED SERVICE RETAINED","SAFE HOLD"),"SERVICE CHAIN COLLAPSES"))</x:f>
        <x:v>REQUIRED SERVICE RETAINED</x:v>
      </x:c>
      <x:c r="V61" s="17" t="str">
        <x:v>OPEN</x:v>
      </x:c>
    </x:row>
    <x:row r="62" ht="35" customHeight="1">
      <x:c r="C62" s="17" t="str">
        <x:v>K3</x:v>
      </x:c>
      <x:c r="D62" s="17" t="str">
        <x:v>W02</x:v>
      </x:c>
      <x:c r="E62" s="40" t="n">
        <x:f>E8</x:f>
        <x:v>1</x:v>
      </x:c>
      <x:c r="F62" s="40" t="str">
        <x:f>F8</x:f>
        <x:v>LOSE_B</x:v>
      </x:c>
      <x:c r="G62" s="40" t="n">
        <x:f>G8</x:f>
        <x:v>5000</x:v>
      </x:c>
      <x:c r="H62" s="40" t="n">
        <x:f>H8</x:f>
        <x:v>1</x:v>
      </x:c>
      <x:c r="I62" s="40" t="n">
        <x:f>IF(E62=0,1,SUMIFS('03 Dependencies'!$I$6:$I$53,'03 Dependencies'!$C$6:$C$53,C62,'03 Dependencies'!$D$6:$D$53,E62))</x:f>
        <x:v>1</x:v>
      </x:c>
      <x:c r="J62" s="38" t="n">
        <x:f>IF(C62="K4",'01 Controls'!$D$13,0)</x:f>
        <x:v>0</x:v>
      </x:c>
      <x:c r="K62" s="40" t="n">
        <x:f>IF(OR(F62="UNIVERSAL_STOP",F62="RESERVE",F62="CROSS_PATH",F62="LOSE_A"),0,IF(F62="LOSE_B",1,IF(F62="BASELINE",1,IF(I62=1,0,0))))</x:f>
        <x:v>1</x:v>
      </x:c>
      <x:c r="L62" s="40" t="n">
        <x:f>IF(OR(F62="UNIVERSAL_STOP",F62="RESERVE",F62="CROSS_PATH",F62="LOSE_B"),0,IF(F62="LOSE_A",1,IF(F62="BASELINE",1,IF(I62=1,1,0))))</x:f>
        <x:v>0</x:v>
      </x:c>
      <x:c r="M62" s="40" t="n">
        <x:f>IF(OR(F62="RESERVE",F62="CROSS_PATH"),J62,0)</x:f>
        <x:v>0</x:v>
      </x:c>
      <x:c r="N62" s="40" t="n">
        <x:f>MIN('01 Controls'!$D$6,(K62+L62+M62)*'01 Controls'!$D$7)</x:f>
        <x:v>5000</x:v>
      </x:c>
      <x:c r="O62" s="17" t="str">
        <x:f>IF(H62=0,"n.a.",IF(N62&gt;=G62,"PASS","FAIL"))</x:f>
        <x:v>PASS</x:v>
      </x:c>
      <x:c r="P62" s="17" t="str">
        <x:f>IF(F62="UNIVERSAL_STOP",IF(N62=0,"PASS","FAIL"),"PASS")</x:f>
        <x:v>PASS</x:v>
      </x:c>
      <x:c r="Q62" s="17" t="str">
        <x:f>IF(AND(OR(O62="PASS",O62="n.a."),P62="PASS"),"PASS","FAIL")</x:f>
        <x:v>PASS</x:v>
      </x:c>
      <x:c r="R62" s="17" t="n">
        <x:f>SUMIFS('03 Dependencies'!$P$6:$P$9,'03 Dependencies'!$N$6:$N$9,C62)</x:f>
        <x:v>3</x:v>
      </x:c>
      <x:c r="S62" s="17" t="n">
        <x:f>SUMIFS('03 Dependencies'!$R$6:$R$9,'03 Dependencies'!$N$6:$N$9,C62)</x:f>
        <x:v>1</x:v>
      </x:c>
      <x:c r="T62" s="17" t="str">
        <x:f>IF(AND('01 Controls'!$D$16&gt;='01 Controls'!$D$17,'01 Controls'!$D$18="ELIGIBLE"),"ADMITTED","DENIED")</x:f>
        <x:v>DENIED</x:v>
      </x:c>
      <x:c r="U62" s="17" t="str">
        <x:f>IF(F62="UNIVERSAL_STOP","LAWFUL UNIVERSAL STOP",IF(Q62="PASS",IF(N62&gt;=G62,"REQUIRED SERVICE RETAINED","SAFE HOLD"),"SERVICE CHAIN COLLAPSES"))</x:f>
        <x:v>REQUIRED SERVICE RETAINED</x:v>
      </x:c>
      <x:c r="V62" s="17" t="str">
        <x:v>OPEN</x:v>
      </x:c>
    </x:row>
    <x:row r="63" ht="35" customHeight="1">
      <x:c r="C63" s="17" t="str">
        <x:v>K3</x:v>
      </x:c>
      <x:c r="D63" s="17" t="str">
        <x:v>W03</x:v>
      </x:c>
      <x:c r="E63" s="40" t="n">
        <x:f>E9</x:f>
        <x:v>2</x:v>
      </x:c>
      <x:c r="F63" s="40" t="str">
        <x:f>F9</x:f>
        <x:v>LOSE_A</x:v>
      </x:c>
      <x:c r="G63" s="40" t="n">
        <x:f>G9</x:f>
        <x:v>5000</x:v>
      </x:c>
      <x:c r="H63" s="40" t="n">
        <x:f>H9</x:f>
        <x:v>1</x:v>
      </x:c>
      <x:c r="I63" s="40" t="n">
        <x:f>IF(E63=0,1,SUMIFS('03 Dependencies'!$I$6:$I$53,'03 Dependencies'!$C$6:$C$53,C63,'03 Dependencies'!$D$6:$D$53,E63))</x:f>
        <x:v>1</x:v>
      </x:c>
      <x:c r="J63" s="38" t="n">
        <x:f>IF(C63="K4",'01 Controls'!$D$13,0)</x:f>
        <x:v>0</x:v>
      </x:c>
      <x:c r="K63" s="40" t="n">
        <x:f>IF(OR(F63="UNIVERSAL_STOP",F63="RESERVE",F63="CROSS_PATH",F63="LOSE_A"),0,IF(F63="LOSE_B",1,IF(F63="BASELINE",1,IF(I63=1,0,0))))</x:f>
        <x:v>0</x:v>
      </x:c>
      <x:c r="L63" s="40" t="n">
        <x:f>IF(OR(F63="UNIVERSAL_STOP",F63="RESERVE",F63="CROSS_PATH",F63="LOSE_B"),0,IF(F63="LOSE_A",1,IF(F63="BASELINE",1,IF(I63=1,1,0))))</x:f>
        <x:v>1</x:v>
      </x:c>
      <x:c r="M63" s="40" t="n">
        <x:f>IF(OR(F63="RESERVE",F63="CROSS_PATH"),J63,0)</x:f>
        <x:v>0</x:v>
      </x:c>
      <x:c r="N63" s="40" t="n">
        <x:f>MIN('01 Controls'!$D$6,(K63+L63+M63)*'01 Controls'!$D$7)</x:f>
        <x:v>5000</x:v>
      </x:c>
      <x:c r="O63" s="17" t="str">
        <x:f>IF(H63=0,"n.a.",IF(N63&gt;=G63,"PASS","FAIL"))</x:f>
        <x:v>PASS</x:v>
      </x:c>
      <x:c r="P63" s="17" t="str">
        <x:f>IF(F63="UNIVERSAL_STOP",IF(N63=0,"PASS","FAIL"),"PASS")</x:f>
        <x:v>PASS</x:v>
      </x:c>
      <x:c r="Q63" s="17" t="str">
        <x:f>IF(AND(OR(O63="PASS",O63="n.a."),P63="PASS"),"PASS","FAIL")</x:f>
        <x:v>PASS</x:v>
      </x:c>
      <x:c r="R63" s="17" t="n">
        <x:f>SUMIFS('03 Dependencies'!$P$6:$P$9,'03 Dependencies'!$N$6:$N$9,C63)</x:f>
        <x:v>3</x:v>
      </x:c>
      <x:c r="S63" s="17" t="n">
        <x:f>SUMIFS('03 Dependencies'!$R$6:$R$9,'03 Dependencies'!$N$6:$N$9,C63)</x:f>
        <x:v>1</x:v>
      </x:c>
      <x:c r="T63" s="17" t="str">
        <x:f>IF(AND('01 Controls'!$D$16&gt;='01 Controls'!$D$17,'01 Controls'!$D$18="ELIGIBLE"),"ADMITTED","DENIED")</x:f>
        <x:v>DENIED</x:v>
      </x:c>
      <x:c r="U63" s="17" t="str">
        <x:f>IF(F63="UNIVERSAL_STOP","LAWFUL UNIVERSAL STOP",IF(Q63="PASS",IF(N63&gt;=G63,"REQUIRED SERVICE RETAINED","SAFE HOLD"),"SERVICE CHAIN COLLAPSES"))</x:f>
        <x:v>REQUIRED SERVICE RETAINED</x:v>
      </x:c>
      <x:c r="V63" s="17" t="str">
        <x:v>OPEN</x:v>
      </x:c>
    </x:row>
    <x:row r="64" ht="35" customHeight="1">
      <x:c r="C64" s="17" t="str">
        <x:v>K3</x:v>
      </x:c>
      <x:c r="D64" s="17" t="str">
        <x:v>W04</x:v>
      </x:c>
      <x:c r="E64" s="40" t="n">
        <x:f>E10</x:f>
        <x:v>3</x:v>
      </x:c>
      <x:c r="F64" s="40" t="str">
        <x:f>F10</x:f>
        <x:v>BOUNDARY</x:v>
      </x:c>
      <x:c r="G64" s="40" t="n">
        <x:f>G10</x:f>
        <x:v>5000</x:v>
      </x:c>
      <x:c r="H64" s="40" t="n">
        <x:f>H10</x:f>
        <x:v>1</x:v>
      </x:c>
      <x:c r="I64" s="40" t="n">
        <x:f>IF(E64=0,1,SUMIFS('03 Dependencies'!$I$6:$I$53,'03 Dependencies'!$C$6:$C$53,C64,'03 Dependencies'!$D$6:$D$53,E64))</x:f>
        <x:v>1</x:v>
      </x:c>
      <x:c r="J64" s="38" t="n">
        <x:f>IF(C64="K4",'01 Controls'!$D$13,0)</x:f>
        <x:v>0</x:v>
      </x:c>
      <x:c r="K64" s="40" t="n">
        <x:f>IF(OR(F64="UNIVERSAL_STOP",F64="RESERVE",F64="CROSS_PATH",F64="LOSE_A"),0,IF(F64="LOSE_B",1,IF(F64="BASELINE",1,IF(I64=1,0,0))))</x:f>
        <x:v>0</x:v>
      </x:c>
      <x:c r="L64" s="40" t="n">
        <x:f>IF(OR(F64="UNIVERSAL_STOP",F64="RESERVE",F64="CROSS_PATH",F64="LOSE_B"),0,IF(F64="LOSE_A",1,IF(F64="BASELINE",1,IF(I64=1,1,0))))</x:f>
        <x:v>1</x:v>
      </x:c>
      <x:c r="M64" s="40" t="n">
        <x:f>IF(OR(F64="RESERVE",F64="CROSS_PATH"),J64,0)</x:f>
        <x:v>0</x:v>
      </x:c>
      <x:c r="N64" s="40" t="n">
        <x:f>MIN('01 Controls'!$D$6,(K64+L64+M64)*'01 Controls'!$D$7)</x:f>
        <x:v>5000</x:v>
      </x:c>
      <x:c r="O64" s="17" t="str">
        <x:f>IF(H64=0,"n.a.",IF(N64&gt;=G64,"PASS","FAIL"))</x:f>
        <x:v>PASS</x:v>
      </x:c>
      <x:c r="P64" s="17" t="str">
        <x:f>IF(F64="UNIVERSAL_STOP",IF(N64=0,"PASS","FAIL"),"PASS")</x:f>
        <x:v>PASS</x:v>
      </x:c>
      <x:c r="Q64" s="17" t="str">
        <x:f>IF(AND(OR(O64="PASS",O64="n.a."),P64="PASS"),"PASS","FAIL")</x:f>
        <x:v>PASS</x:v>
      </x:c>
      <x:c r="R64" s="17" t="n">
        <x:f>SUMIFS('03 Dependencies'!$P$6:$P$9,'03 Dependencies'!$N$6:$N$9,C64)</x:f>
        <x:v>3</x:v>
      </x:c>
      <x:c r="S64" s="17" t="n">
        <x:f>SUMIFS('03 Dependencies'!$R$6:$R$9,'03 Dependencies'!$N$6:$N$9,C64)</x:f>
        <x:v>1</x:v>
      </x:c>
      <x:c r="T64" s="17" t="str">
        <x:f>IF(AND('01 Controls'!$D$16&gt;='01 Controls'!$D$17,'01 Controls'!$D$18="ELIGIBLE"),"ADMITTED","DENIED")</x:f>
        <x:v>DENIED</x:v>
      </x:c>
      <x:c r="U64" s="17" t="str">
        <x:f>IF(F64="UNIVERSAL_STOP","LAWFUL UNIVERSAL STOP",IF(Q64="PASS",IF(N64&gt;=G64,"REQUIRED SERVICE RETAINED","SAFE HOLD"),"SERVICE CHAIN COLLAPSES"))</x:f>
        <x:v>REQUIRED SERVICE RETAINED</x:v>
      </x:c>
      <x:c r="V64" s="17" t="str">
        <x:v>OPEN</x:v>
      </x:c>
    </x:row>
    <x:row r="65" ht="35" customHeight="1">
      <x:c r="C65" s="17" t="str">
        <x:v>K3</x:v>
      </x:c>
      <x:c r="D65" s="17" t="str">
        <x:v>W05</x:v>
      </x:c>
      <x:c r="E65" s="40" t="n">
        <x:f>E11</x:f>
        <x:v>4</x:v>
      </x:c>
      <x:c r="F65" s="40" t="str">
        <x:f>F11</x:f>
        <x:v>BOUNDARY</x:v>
      </x:c>
      <x:c r="G65" s="40" t="n">
        <x:f>G11</x:f>
        <x:v>5000</x:v>
      </x:c>
      <x:c r="H65" s="40" t="n">
        <x:f>H11</x:f>
        <x:v>1</x:v>
      </x:c>
      <x:c r="I65" s="40" t="n">
        <x:f>IF(E65=0,1,SUMIFS('03 Dependencies'!$I$6:$I$53,'03 Dependencies'!$C$6:$C$53,C65,'03 Dependencies'!$D$6:$D$53,E65))</x:f>
        <x:v>1</x:v>
      </x:c>
      <x:c r="J65" s="38" t="n">
        <x:f>IF(C65="K4",'01 Controls'!$D$13,0)</x:f>
        <x:v>0</x:v>
      </x:c>
      <x:c r="K65" s="40" t="n">
        <x:f>IF(OR(F65="UNIVERSAL_STOP",F65="RESERVE",F65="CROSS_PATH",F65="LOSE_A"),0,IF(F65="LOSE_B",1,IF(F65="BASELINE",1,IF(I65=1,0,0))))</x:f>
        <x:v>0</x:v>
      </x:c>
      <x:c r="L65" s="40" t="n">
        <x:f>IF(OR(F65="UNIVERSAL_STOP",F65="RESERVE",F65="CROSS_PATH",F65="LOSE_B"),0,IF(F65="LOSE_A",1,IF(F65="BASELINE",1,IF(I65=1,1,0))))</x:f>
        <x:v>1</x:v>
      </x:c>
      <x:c r="M65" s="40" t="n">
        <x:f>IF(OR(F65="RESERVE",F65="CROSS_PATH"),J65,0)</x:f>
        <x:v>0</x:v>
      </x:c>
      <x:c r="N65" s="40" t="n">
        <x:f>MIN('01 Controls'!$D$6,(K65+L65+M65)*'01 Controls'!$D$7)</x:f>
        <x:v>5000</x:v>
      </x:c>
      <x:c r="O65" s="17" t="str">
        <x:f>IF(H65=0,"n.a.",IF(N65&gt;=G65,"PASS","FAIL"))</x:f>
        <x:v>PASS</x:v>
      </x:c>
      <x:c r="P65" s="17" t="str">
        <x:f>IF(F65="UNIVERSAL_STOP",IF(N65=0,"PASS","FAIL"),"PASS")</x:f>
        <x:v>PASS</x:v>
      </x:c>
      <x:c r="Q65" s="17" t="str">
        <x:f>IF(AND(OR(O65="PASS",O65="n.a."),P65="PASS"),"PASS","FAIL")</x:f>
        <x:v>PASS</x:v>
      </x:c>
      <x:c r="R65" s="17" t="n">
        <x:f>SUMIFS('03 Dependencies'!$P$6:$P$9,'03 Dependencies'!$N$6:$N$9,C65)</x:f>
        <x:v>3</x:v>
      </x:c>
      <x:c r="S65" s="17" t="n">
        <x:f>SUMIFS('03 Dependencies'!$R$6:$R$9,'03 Dependencies'!$N$6:$N$9,C65)</x:f>
        <x:v>1</x:v>
      </x:c>
      <x:c r="T65" s="17" t="str">
        <x:f>IF(AND('01 Controls'!$D$16&gt;='01 Controls'!$D$17,'01 Controls'!$D$18="ELIGIBLE"),"ADMITTED","DENIED")</x:f>
        <x:v>DENIED</x:v>
      </x:c>
      <x:c r="U65" s="17" t="str">
        <x:f>IF(F65="UNIVERSAL_STOP","LAWFUL UNIVERSAL STOP",IF(Q65="PASS",IF(N65&gt;=G65,"REQUIRED SERVICE RETAINED","SAFE HOLD"),"SERVICE CHAIN COLLAPSES"))</x:f>
        <x:v>REQUIRED SERVICE RETAINED</x:v>
      </x:c>
      <x:c r="V65" s="17" t="str">
        <x:v>OPEN</x:v>
      </x:c>
    </x:row>
    <x:row r="66" ht="35" customHeight="1">
      <x:c r="C66" s="17" t="str">
        <x:v>K3</x:v>
      </x:c>
      <x:c r="D66" s="17" t="str">
        <x:v>W06</x:v>
      </x:c>
      <x:c r="E66" s="40" t="n">
        <x:f>E12</x:f>
        <x:v>5</x:v>
      </x:c>
      <x:c r="F66" s="40" t="str">
        <x:f>F12</x:f>
        <x:v>BOUNDARY</x:v>
      </x:c>
      <x:c r="G66" s="40" t="n">
        <x:f>G12</x:f>
        <x:v>5000</x:v>
      </x:c>
      <x:c r="H66" s="40" t="n">
        <x:f>H12</x:f>
        <x:v>1</x:v>
      </x:c>
      <x:c r="I66" s="40" t="n">
        <x:f>IF(E66=0,1,SUMIFS('03 Dependencies'!$I$6:$I$53,'03 Dependencies'!$C$6:$C$53,C66,'03 Dependencies'!$D$6:$D$53,E66))</x:f>
        <x:v>1</x:v>
      </x:c>
      <x:c r="J66" s="38" t="n">
        <x:f>IF(C66="K4",'01 Controls'!$D$13,0)</x:f>
        <x:v>0</x:v>
      </x:c>
      <x:c r="K66" s="40" t="n">
        <x:f>IF(OR(F66="UNIVERSAL_STOP",F66="RESERVE",F66="CROSS_PATH",F66="LOSE_A"),0,IF(F66="LOSE_B",1,IF(F66="BASELINE",1,IF(I66=1,0,0))))</x:f>
        <x:v>0</x:v>
      </x:c>
      <x:c r="L66" s="40" t="n">
        <x:f>IF(OR(F66="UNIVERSAL_STOP",F66="RESERVE",F66="CROSS_PATH",F66="LOSE_B"),0,IF(F66="LOSE_A",1,IF(F66="BASELINE",1,IF(I66=1,1,0))))</x:f>
        <x:v>1</x:v>
      </x:c>
      <x:c r="M66" s="40" t="n">
        <x:f>IF(OR(F66="RESERVE",F66="CROSS_PATH"),J66,0)</x:f>
        <x:v>0</x:v>
      </x:c>
      <x:c r="N66" s="40" t="n">
        <x:f>MIN('01 Controls'!$D$6,(K66+L66+M66)*'01 Controls'!$D$7)</x:f>
        <x:v>5000</x:v>
      </x:c>
      <x:c r="O66" s="17" t="str">
        <x:f>IF(H66=0,"n.a.",IF(N66&gt;=G66,"PASS","FAIL"))</x:f>
        <x:v>PASS</x:v>
      </x:c>
      <x:c r="P66" s="17" t="str">
        <x:f>IF(F66="UNIVERSAL_STOP",IF(N66=0,"PASS","FAIL"),"PASS")</x:f>
        <x:v>PASS</x:v>
      </x:c>
      <x:c r="Q66" s="17" t="str">
        <x:f>IF(AND(OR(O66="PASS",O66="n.a."),P66="PASS"),"PASS","FAIL")</x:f>
        <x:v>PASS</x:v>
      </x:c>
      <x:c r="R66" s="17" t="n">
        <x:f>SUMIFS('03 Dependencies'!$P$6:$P$9,'03 Dependencies'!$N$6:$N$9,C66)</x:f>
        <x:v>3</x:v>
      </x:c>
      <x:c r="S66" s="17" t="n">
        <x:f>SUMIFS('03 Dependencies'!$R$6:$R$9,'03 Dependencies'!$N$6:$N$9,C66)</x:f>
        <x:v>1</x:v>
      </x:c>
      <x:c r="T66" s="17" t="str">
        <x:f>IF(AND('01 Controls'!$D$16&gt;='01 Controls'!$D$17,'01 Controls'!$D$18="ELIGIBLE"),"ADMITTED","DENIED")</x:f>
        <x:v>DENIED</x:v>
      </x:c>
      <x:c r="U66" s="17" t="str">
        <x:f>IF(F66="UNIVERSAL_STOP","LAWFUL UNIVERSAL STOP",IF(Q66="PASS",IF(N66&gt;=G66,"REQUIRED SERVICE RETAINED","SAFE HOLD"),"SERVICE CHAIN COLLAPSES"))</x:f>
        <x:v>REQUIRED SERVICE RETAINED</x:v>
      </x:c>
      <x:c r="V66" s="17" t="str">
        <x:v>OPEN</x:v>
      </x:c>
    </x:row>
    <x:row r="67" ht="35" customHeight="1">
      <x:c r="C67" s="17" t="str">
        <x:v>K3</x:v>
      </x:c>
      <x:c r="D67" s="17" t="str">
        <x:v>W07</x:v>
      </x:c>
      <x:c r="E67" s="40" t="n">
        <x:f>E13</x:f>
        <x:v>6</x:v>
      </x:c>
      <x:c r="F67" s="40" t="str">
        <x:f>F13</x:f>
        <x:v>BOUNDARY</x:v>
      </x:c>
      <x:c r="G67" s="40" t="n">
        <x:f>G13</x:f>
        <x:v>5000</x:v>
      </x:c>
      <x:c r="H67" s="40" t="n">
        <x:f>H13</x:f>
        <x:v>1</x:v>
      </x:c>
      <x:c r="I67" s="40" t="n">
        <x:f>IF(E67=0,1,SUMIFS('03 Dependencies'!$I$6:$I$53,'03 Dependencies'!$C$6:$C$53,C67,'03 Dependencies'!$D$6:$D$53,E67))</x:f>
        <x:v>1</x:v>
      </x:c>
      <x:c r="J67" s="38" t="n">
        <x:f>IF(C67="K4",'01 Controls'!$D$13,0)</x:f>
        <x:v>0</x:v>
      </x:c>
      <x:c r="K67" s="40" t="n">
        <x:f>IF(OR(F67="UNIVERSAL_STOP",F67="RESERVE",F67="CROSS_PATH",F67="LOSE_A"),0,IF(F67="LOSE_B",1,IF(F67="BASELINE",1,IF(I67=1,0,0))))</x:f>
        <x:v>0</x:v>
      </x:c>
      <x:c r="L67" s="40" t="n">
        <x:f>IF(OR(F67="UNIVERSAL_STOP",F67="RESERVE",F67="CROSS_PATH",F67="LOSE_B"),0,IF(F67="LOSE_A",1,IF(F67="BASELINE",1,IF(I67=1,1,0))))</x:f>
        <x:v>1</x:v>
      </x:c>
      <x:c r="M67" s="40" t="n">
        <x:f>IF(OR(F67="RESERVE",F67="CROSS_PATH"),J67,0)</x:f>
        <x:v>0</x:v>
      </x:c>
      <x:c r="N67" s="40" t="n">
        <x:f>MIN('01 Controls'!$D$6,(K67+L67+M67)*'01 Controls'!$D$7)</x:f>
        <x:v>5000</x:v>
      </x:c>
      <x:c r="O67" s="17" t="str">
        <x:f>IF(H67=0,"n.a.",IF(N67&gt;=G67,"PASS","FAIL"))</x:f>
        <x:v>PASS</x:v>
      </x:c>
      <x:c r="P67" s="17" t="str">
        <x:f>IF(F67="UNIVERSAL_STOP",IF(N67=0,"PASS","FAIL"),"PASS")</x:f>
        <x:v>PASS</x:v>
      </x:c>
      <x:c r="Q67" s="17" t="str">
        <x:f>IF(AND(OR(O67="PASS",O67="n.a."),P67="PASS"),"PASS","FAIL")</x:f>
        <x:v>PASS</x:v>
      </x:c>
      <x:c r="R67" s="17" t="n">
        <x:f>SUMIFS('03 Dependencies'!$P$6:$P$9,'03 Dependencies'!$N$6:$N$9,C67)</x:f>
        <x:v>3</x:v>
      </x:c>
      <x:c r="S67" s="17" t="n">
        <x:f>SUMIFS('03 Dependencies'!$R$6:$R$9,'03 Dependencies'!$N$6:$N$9,C67)</x:f>
        <x:v>1</x:v>
      </x:c>
      <x:c r="T67" s="17" t="str">
        <x:f>IF(AND('01 Controls'!$D$16&gt;='01 Controls'!$D$17,'01 Controls'!$D$18="ELIGIBLE"),"ADMITTED","DENIED")</x:f>
        <x:v>DENIED</x:v>
      </x:c>
      <x:c r="U67" s="17" t="str">
        <x:f>IF(F67="UNIVERSAL_STOP","LAWFUL UNIVERSAL STOP",IF(Q67="PASS",IF(N67&gt;=G67,"REQUIRED SERVICE RETAINED","SAFE HOLD"),"SERVICE CHAIN COLLAPSES"))</x:f>
        <x:v>REQUIRED SERVICE RETAINED</x:v>
      </x:c>
      <x:c r="V67" s="17" t="str">
        <x:v>OPEN</x:v>
      </x:c>
    </x:row>
    <x:row r="68" ht="35" customHeight="1">
      <x:c r="C68" s="17" t="str">
        <x:v>K3</x:v>
      </x:c>
      <x:c r="D68" s="17" t="str">
        <x:v>W08</x:v>
      </x:c>
      <x:c r="E68" s="40" t="n">
        <x:f>E14</x:f>
        <x:v>7</x:v>
      </x:c>
      <x:c r="F68" s="40" t="str">
        <x:f>F14</x:f>
        <x:v>BOUNDARY</x:v>
      </x:c>
      <x:c r="G68" s="40" t="n">
        <x:f>G14</x:f>
        <x:v>5000</x:v>
      </x:c>
      <x:c r="H68" s="40" t="n">
        <x:f>H14</x:f>
        <x:v>1</x:v>
      </x:c>
      <x:c r="I68" s="40" t="n">
        <x:f>IF(E68=0,1,SUMIFS('03 Dependencies'!$I$6:$I$53,'03 Dependencies'!$C$6:$C$53,C68,'03 Dependencies'!$D$6:$D$53,E68))</x:f>
        <x:v>1</x:v>
      </x:c>
      <x:c r="J68" s="38" t="n">
        <x:f>IF(C68="K4",'01 Controls'!$D$13,0)</x:f>
        <x:v>0</x:v>
      </x:c>
      <x:c r="K68" s="40" t="n">
        <x:f>IF(OR(F68="UNIVERSAL_STOP",F68="RESERVE",F68="CROSS_PATH",F68="LOSE_A"),0,IF(F68="LOSE_B",1,IF(F68="BASELINE",1,IF(I68=1,0,0))))</x:f>
        <x:v>0</x:v>
      </x:c>
      <x:c r="L68" s="40" t="n">
        <x:f>IF(OR(F68="UNIVERSAL_STOP",F68="RESERVE",F68="CROSS_PATH",F68="LOSE_B"),0,IF(F68="LOSE_A",1,IF(F68="BASELINE",1,IF(I68=1,1,0))))</x:f>
        <x:v>1</x:v>
      </x:c>
      <x:c r="M68" s="40" t="n">
        <x:f>IF(OR(F68="RESERVE",F68="CROSS_PATH"),J68,0)</x:f>
        <x:v>0</x:v>
      </x:c>
      <x:c r="N68" s="40" t="n">
        <x:f>MIN('01 Controls'!$D$6,(K68+L68+M68)*'01 Controls'!$D$7)</x:f>
        <x:v>5000</x:v>
      </x:c>
      <x:c r="O68" s="17" t="str">
        <x:f>IF(H68=0,"n.a.",IF(N68&gt;=G68,"PASS","FAIL"))</x:f>
        <x:v>PASS</x:v>
      </x:c>
      <x:c r="P68" s="17" t="str">
        <x:f>IF(F68="UNIVERSAL_STOP",IF(N68=0,"PASS","FAIL"),"PASS")</x:f>
        <x:v>PASS</x:v>
      </x:c>
      <x:c r="Q68" s="17" t="str">
        <x:f>IF(AND(OR(O68="PASS",O68="n.a."),P68="PASS"),"PASS","FAIL")</x:f>
        <x:v>PASS</x:v>
      </x:c>
      <x:c r="R68" s="17" t="n">
        <x:f>SUMIFS('03 Dependencies'!$P$6:$P$9,'03 Dependencies'!$N$6:$N$9,C68)</x:f>
        <x:v>3</x:v>
      </x:c>
      <x:c r="S68" s="17" t="n">
        <x:f>SUMIFS('03 Dependencies'!$R$6:$R$9,'03 Dependencies'!$N$6:$N$9,C68)</x:f>
        <x:v>1</x:v>
      </x:c>
      <x:c r="T68" s="17" t="str">
        <x:f>IF(AND('01 Controls'!$D$16&gt;='01 Controls'!$D$17,'01 Controls'!$D$18="ELIGIBLE"),"ADMITTED","DENIED")</x:f>
        <x:v>DENIED</x:v>
      </x:c>
      <x:c r="U68" s="17" t="str">
        <x:f>IF(F68="UNIVERSAL_STOP","LAWFUL UNIVERSAL STOP",IF(Q68="PASS",IF(N68&gt;=G68,"REQUIRED SERVICE RETAINED","SAFE HOLD"),"SERVICE CHAIN COLLAPSES"))</x:f>
        <x:v>REQUIRED SERVICE RETAINED</x:v>
      </x:c>
      <x:c r="V68" s="17" t="str">
        <x:v>OPEN</x:v>
      </x:c>
    </x:row>
    <x:row r="69" ht="35" customHeight="1">
      <x:c r="C69" s="17" t="str">
        <x:v>K3</x:v>
      </x:c>
      <x:c r="D69" s="17" t="str">
        <x:v>W09</x:v>
      </x:c>
      <x:c r="E69" s="40" t="n">
        <x:f>E15</x:f>
        <x:v>8</x:v>
      </x:c>
      <x:c r="F69" s="40" t="str">
        <x:f>F15</x:f>
        <x:v>BOUNDARY</x:v>
      </x:c>
      <x:c r="G69" s="40" t="n">
        <x:f>G15</x:f>
        <x:v>5000</x:v>
      </x:c>
      <x:c r="H69" s="40" t="n">
        <x:f>H15</x:f>
        <x:v>1</x:v>
      </x:c>
      <x:c r="I69" s="40" t="n">
        <x:f>IF(E69=0,1,SUMIFS('03 Dependencies'!$I$6:$I$53,'03 Dependencies'!$C$6:$C$53,C69,'03 Dependencies'!$D$6:$D$53,E69))</x:f>
        <x:v>0</x:v>
      </x:c>
      <x:c r="J69" s="38" t="n">
        <x:f>IF(C69="K4",'01 Controls'!$D$13,0)</x:f>
        <x:v>0</x:v>
      </x:c>
      <x:c r="K69" s="40" t="n">
        <x:f>IF(OR(F69="UNIVERSAL_STOP",F69="RESERVE",F69="CROSS_PATH",F69="LOSE_A"),0,IF(F69="LOSE_B",1,IF(F69="BASELINE",1,IF(I69=1,0,0))))</x:f>
        <x:v>0</x:v>
      </x:c>
      <x:c r="L69" s="40" t="n">
        <x:f>IF(OR(F69="UNIVERSAL_STOP",F69="RESERVE",F69="CROSS_PATH",F69="LOSE_B"),0,IF(F69="LOSE_A",1,IF(F69="BASELINE",1,IF(I69=1,1,0))))</x:f>
        <x:v>0</x:v>
      </x:c>
      <x:c r="M69" s="40" t="n">
        <x:f>IF(OR(F69="RESERVE",F69="CROSS_PATH"),J69,0)</x:f>
        <x:v>0</x:v>
      </x:c>
      <x:c r="N69" s="40" t="n">
        <x:f>MIN('01 Controls'!$D$6,(K69+L69+M69)*'01 Controls'!$D$7)</x:f>
        <x:v>0</x:v>
      </x:c>
      <x:c r="O69" s="17" t="str">
        <x:f>IF(H69=0,"n.a.",IF(N69&gt;=G69,"PASS","FAIL"))</x:f>
        <x:v>FAIL</x:v>
      </x:c>
      <x:c r="P69" s="17" t="str">
        <x:f>IF(F69="UNIVERSAL_STOP",IF(N69=0,"PASS","FAIL"),"PASS")</x:f>
        <x:v>PASS</x:v>
      </x:c>
      <x:c r="Q69" s="17" t="str">
        <x:f>IF(AND(OR(O69="PASS",O69="n.a."),P69="PASS"),"PASS","FAIL")</x:f>
        <x:v>FAIL</x:v>
      </x:c>
      <x:c r="R69" s="17" t="n">
        <x:f>SUMIFS('03 Dependencies'!$P$6:$P$9,'03 Dependencies'!$N$6:$N$9,C69)</x:f>
        <x:v>3</x:v>
      </x:c>
      <x:c r="S69" s="17" t="n">
        <x:f>SUMIFS('03 Dependencies'!$R$6:$R$9,'03 Dependencies'!$N$6:$N$9,C69)</x:f>
        <x:v>1</x:v>
      </x:c>
      <x:c r="T69" s="17" t="str">
        <x:f>IF(AND('01 Controls'!$D$16&gt;='01 Controls'!$D$17,'01 Controls'!$D$18="ELIGIBLE"),"ADMITTED","DENIED")</x:f>
        <x:v>DENIED</x:v>
      </x:c>
      <x:c r="U69" s="17" t="str">
        <x:f>IF(F69="UNIVERSAL_STOP","LAWFUL UNIVERSAL STOP",IF(Q69="PASS",IF(N69&gt;=G69,"REQUIRED SERVICE RETAINED","SAFE HOLD"),"SERVICE CHAIN COLLAPSES"))</x:f>
        <x:v>SERVICE CHAIN COLLAPSES</x:v>
      </x:c>
      <x:c r="V69" s="17" t="str">
        <x:v>OPEN</x:v>
      </x:c>
    </x:row>
    <x:row r="70" ht="35" customHeight="1">
      <x:c r="C70" s="17" t="str">
        <x:v>K3</x:v>
      </x:c>
      <x:c r="D70" s="17" t="str">
        <x:v>W10</x:v>
      </x:c>
      <x:c r="E70" s="40" t="n">
        <x:f>E16</x:f>
        <x:v>9</x:v>
      </x:c>
      <x:c r="F70" s="40" t="str">
        <x:f>F16</x:f>
        <x:v>BOUNDARY</x:v>
      </x:c>
      <x:c r="G70" s="40" t="n">
        <x:f>G16</x:f>
        <x:v>5000</x:v>
      </x:c>
      <x:c r="H70" s="40" t="n">
        <x:f>H16</x:f>
        <x:v>1</x:v>
      </x:c>
      <x:c r="I70" s="40" t="n">
        <x:f>IF(E70=0,1,SUMIFS('03 Dependencies'!$I$6:$I$53,'03 Dependencies'!$C$6:$C$53,C70,'03 Dependencies'!$D$6:$D$53,E70))</x:f>
        <x:v>1</x:v>
      </x:c>
      <x:c r="J70" s="38" t="n">
        <x:f>IF(C70="K4",'01 Controls'!$D$13,0)</x:f>
        <x:v>0</x:v>
      </x:c>
      <x:c r="K70" s="40" t="n">
        <x:f>IF(OR(F70="UNIVERSAL_STOP",F70="RESERVE",F70="CROSS_PATH",F70="LOSE_A"),0,IF(F70="LOSE_B",1,IF(F70="BASELINE",1,IF(I70=1,0,0))))</x:f>
        <x:v>0</x:v>
      </x:c>
      <x:c r="L70" s="40" t="n">
        <x:f>IF(OR(F70="UNIVERSAL_STOP",F70="RESERVE",F70="CROSS_PATH",F70="LOSE_B"),0,IF(F70="LOSE_A",1,IF(F70="BASELINE",1,IF(I70=1,1,0))))</x:f>
        <x:v>1</x:v>
      </x:c>
      <x:c r="M70" s="40" t="n">
        <x:f>IF(OR(F70="RESERVE",F70="CROSS_PATH"),J70,0)</x:f>
        <x:v>0</x:v>
      </x:c>
      <x:c r="N70" s="40" t="n">
        <x:f>MIN('01 Controls'!$D$6,(K70+L70+M70)*'01 Controls'!$D$7)</x:f>
        <x:v>5000</x:v>
      </x:c>
      <x:c r="O70" s="17" t="str">
        <x:f>IF(H70=0,"n.a.",IF(N70&gt;=G70,"PASS","FAIL"))</x:f>
        <x:v>PASS</x:v>
      </x:c>
      <x:c r="P70" s="17" t="str">
        <x:f>IF(F70="UNIVERSAL_STOP",IF(N70=0,"PASS","FAIL"),"PASS")</x:f>
        <x:v>PASS</x:v>
      </x:c>
      <x:c r="Q70" s="17" t="str">
        <x:f>IF(AND(OR(O70="PASS",O70="n.a."),P70="PASS"),"PASS","FAIL")</x:f>
        <x:v>PASS</x:v>
      </x:c>
      <x:c r="R70" s="17" t="n">
        <x:f>SUMIFS('03 Dependencies'!$P$6:$P$9,'03 Dependencies'!$N$6:$N$9,C70)</x:f>
        <x:v>3</x:v>
      </x:c>
      <x:c r="S70" s="17" t="n">
        <x:f>SUMIFS('03 Dependencies'!$R$6:$R$9,'03 Dependencies'!$N$6:$N$9,C70)</x:f>
        <x:v>1</x:v>
      </x:c>
      <x:c r="T70" s="17" t="str">
        <x:f>IF(AND('01 Controls'!$D$16&gt;='01 Controls'!$D$17,'01 Controls'!$D$18="ELIGIBLE"),"ADMITTED","DENIED")</x:f>
        <x:v>DENIED</x:v>
      </x:c>
      <x:c r="U70" s="17" t="str">
        <x:f>IF(F70="UNIVERSAL_STOP","LAWFUL UNIVERSAL STOP",IF(Q70="PASS",IF(N70&gt;=G70,"REQUIRED SERVICE RETAINED","SAFE HOLD"),"SERVICE CHAIN COLLAPSES"))</x:f>
        <x:v>REQUIRED SERVICE RETAINED</x:v>
      </x:c>
      <x:c r="V70" s="17" t="str">
        <x:v>OPEN</x:v>
      </x:c>
    </x:row>
    <x:row r="71" ht="35" customHeight="1">
      <x:c r="C71" s="17" t="str">
        <x:v>K3</x:v>
      </x:c>
      <x:c r="D71" s="17" t="str">
        <x:v>W11</x:v>
      </x:c>
      <x:c r="E71" s="40" t="n">
        <x:f>E17</x:f>
        <x:v>10</x:v>
      </x:c>
      <x:c r="F71" s="40" t="str">
        <x:f>F17</x:f>
        <x:v>BOUNDARY</x:v>
      </x:c>
      <x:c r="G71" s="40" t="n">
        <x:f>G17</x:f>
        <x:v>5000</x:v>
      </x:c>
      <x:c r="H71" s="40" t="n">
        <x:f>H17</x:f>
        <x:v>1</x:v>
      </x:c>
      <x:c r="I71" s="40" t="n">
        <x:f>IF(E71=0,1,SUMIFS('03 Dependencies'!$I$6:$I$53,'03 Dependencies'!$C$6:$C$53,C71,'03 Dependencies'!$D$6:$D$53,E71))</x:f>
        <x:v>0</x:v>
      </x:c>
      <x:c r="J71" s="38" t="n">
        <x:f>IF(C71="K4",'01 Controls'!$D$13,0)</x:f>
        <x:v>0</x:v>
      </x:c>
      <x:c r="K71" s="40" t="n">
        <x:f>IF(OR(F71="UNIVERSAL_STOP",F71="RESERVE",F71="CROSS_PATH",F71="LOSE_A"),0,IF(F71="LOSE_B",1,IF(F71="BASELINE",1,IF(I71=1,0,0))))</x:f>
        <x:v>0</x:v>
      </x:c>
      <x:c r="L71" s="40" t="n">
        <x:f>IF(OR(F71="UNIVERSAL_STOP",F71="RESERVE",F71="CROSS_PATH",F71="LOSE_B"),0,IF(F71="LOSE_A",1,IF(F71="BASELINE",1,IF(I71=1,1,0))))</x:f>
        <x:v>0</x:v>
      </x:c>
      <x:c r="M71" s="40" t="n">
        <x:f>IF(OR(F71="RESERVE",F71="CROSS_PATH"),J71,0)</x:f>
        <x:v>0</x:v>
      </x:c>
      <x:c r="N71" s="40" t="n">
        <x:f>MIN('01 Controls'!$D$6,(K71+L71+M71)*'01 Controls'!$D$7)</x:f>
        <x:v>0</x:v>
      </x:c>
      <x:c r="O71" s="17" t="str">
        <x:f>IF(H71=0,"n.a.",IF(N71&gt;=G71,"PASS","FAIL"))</x:f>
        <x:v>FAIL</x:v>
      </x:c>
      <x:c r="P71" s="17" t="str">
        <x:f>IF(F71="UNIVERSAL_STOP",IF(N71=0,"PASS","FAIL"),"PASS")</x:f>
        <x:v>PASS</x:v>
      </x:c>
      <x:c r="Q71" s="17" t="str">
        <x:f>IF(AND(OR(O71="PASS",O71="n.a."),P71="PASS"),"PASS","FAIL")</x:f>
        <x:v>FAIL</x:v>
      </x:c>
      <x:c r="R71" s="17" t="n">
        <x:f>SUMIFS('03 Dependencies'!$P$6:$P$9,'03 Dependencies'!$N$6:$N$9,C71)</x:f>
        <x:v>3</x:v>
      </x:c>
      <x:c r="S71" s="17" t="n">
        <x:f>SUMIFS('03 Dependencies'!$R$6:$R$9,'03 Dependencies'!$N$6:$N$9,C71)</x:f>
        <x:v>1</x:v>
      </x:c>
      <x:c r="T71" s="17" t="str">
        <x:f>IF(AND('01 Controls'!$D$16&gt;='01 Controls'!$D$17,'01 Controls'!$D$18="ELIGIBLE"),"ADMITTED","DENIED")</x:f>
        <x:v>DENIED</x:v>
      </x:c>
      <x:c r="U71" s="17" t="str">
        <x:f>IF(F71="UNIVERSAL_STOP","LAWFUL UNIVERSAL STOP",IF(Q71="PASS",IF(N71&gt;=G71,"REQUIRED SERVICE RETAINED","SAFE HOLD"),"SERVICE CHAIN COLLAPSES"))</x:f>
        <x:v>SERVICE CHAIN COLLAPSES</x:v>
      </x:c>
      <x:c r="V71" s="17" t="str">
        <x:v>OPEN</x:v>
      </x:c>
    </x:row>
    <x:row r="72" ht="35" customHeight="1">
      <x:c r="C72" s="17" t="str">
        <x:v>K3</x:v>
      </x:c>
      <x:c r="D72" s="17" t="str">
        <x:v>W12</x:v>
      </x:c>
      <x:c r="E72" s="40" t="n">
        <x:f>E18</x:f>
        <x:v>11</x:v>
      </x:c>
      <x:c r="F72" s="40" t="str">
        <x:f>F18</x:f>
        <x:v>BOUNDARY</x:v>
      </x:c>
      <x:c r="G72" s="40" t="n">
        <x:f>G18</x:f>
        <x:v>5000</x:v>
      </x:c>
      <x:c r="H72" s="40" t="n">
        <x:f>H18</x:f>
        <x:v>1</x:v>
      </x:c>
      <x:c r="I72" s="40" t="n">
        <x:f>IF(E72=0,1,SUMIFS('03 Dependencies'!$I$6:$I$53,'03 Dependencies'!$C$6:$C$53,C72,'03 Dependencies'!$D$6:$D$53,E72))</x:f>
        <x:v>1</x:v>
      </x:c>
      <x:c r="J72" s="38" t="n">
        <x:f>IF(C72="K4",'01 Controls'!$D$13,0)</x:f>
        <x:v>0</x:v>
      </x:c>
      <x:c r="K72" s="40" t="n">
        <x:f>IF(OR(F72="UNIVERSAL_STOP",F72="RESERVE",F72="CROSS_PATH",F72="LOSE_A"),0,IF(F72="LOSE_B",1,IF(F72="BASELINE",1,IF(I72=1,0,0))))</x:f>
        <x:v>0</x:v>
      </x:c>
      <x:c r="L72" s="40" t="n">
        <x:f>IF(OR(F72="UNIVERSAL_STOP",F72="RESERVE",F72="CROSS_PATH",F72="LOSE_B"),0,IF(F72="LOSE_A",1,IF(F72="BASELINE",1,IF(I72=1,1,0))))</x:f>
        <x:v>1</x:v>
      </x:c>
      <x:c r="M72" s="40" t="n">
        <x:f>IF(OR(F72="RESERVE",F72="CROSS_PATH"),J72,0)</x:f>
        <x:v>0</x:v>
      </x:c>
      <x:c r="N72" s="40" t="n">
        <x:f>MIN('01 Controls'!$D$6,(K72+L72+M72)*'01 Controls'!$D$7)</x:f>
        <x:v>5000</x:v>
      </x:c>
      <x:c r="O72" s="17" t="str">
        <x:f>IF(H72=0,"n.a.",IF(N72&gt;=G72,"PASS","FAIL"))</x:f>
        <x:v>PASS</x:v>
      </x:c>
      <x:c r="P72" s="17" t="str">
        <x:f>IF(F72="UNIVERSAL_STOP",IF(N72=0,"PASS","FAIL"),"PASS")</x:f>
        <x:v>PASS</x:v>
      </x:c>
      <x:c r="Q72" s="17" t="str">
        <x:f>IF(AND(OR(O72="PASS",O72="n.a."),P72="PASS"),"PASS","FAIL")</x:f>
        <x:v>PASS</x:v>
      </x:c>
      <x:c r="R72" s="17" t="n">
        <x:f>SUMIFS('03 Dependencies'!$P$6:$P$9,'03 Dependencies'!$N$6:$N$9,C72)</x:f>
        <x:v>3</x:v>
      </x:c>
      <x:c r="S72" s="17" t="n">
        <x:f>SUMIFS('03 Dependencies'!$R$6:$R$9,'03 Dependencies'!$N$6:$N$9,C72)</x:f>
        <x:v>1</x:v>
      </x:c>
      <x:c r="T72" s="17" t="str">
        <x:f>IF(AND('01 Controls'!$D$16&gt;='01 Controls'!$D$17,'01 Controls'!$D$18="ELIGIBLE"),"ADMITTED","DENIED")</x:f>
        <x:v>DENIED</x:v>
      </x:c>
      <x:c r="U72" s="17" t="str">
        <x:f>IF(F72="UNIVERSAL_STOP","LAWFUL UNIVERSAL STOP",IF(Q72="PASS",IF(N72&gt;=G72,"REQUIRED SERVICE RETAINED","SAFE HOLD"),"SERVICE CHAIN COLLAPSES"))</x:f>
        <x:v>REQUIRED SERVICE RETAINED</x:v>
      </x:c>
      <x:c r="V72" s="17" t="str">
        <x:v>OPEN</x:v>
      </x:c>
    </x:row>
    <x:row r="73" ht="35" customHeight="1">
      <x:c r="C73" s="17" t="str">
        <x:v>K3</x:v>
      </x:c>
      <x:c r="D73" s="17" t="str">
        <x:v>W13</x:v>
      </x:c>
      <x:c r="E73" s="40" t="n">
        <x:f>E19</x:f>
        <x:v>12</x:v>
      </x:c>
      <x:c r="F73" s="40" t="str">
        <x:f>F19</x:f>
        <x:v>BOUNDARY</x:v>
      </x:c>
      <x:c r="G73" s="40" t="n">
        <x:f>G19</x:f>
        <x:v>5000</x:v>
      </x:c>
      <x:c r="H73" s="40" t="n">
        <x:f>H19</x:f>
        <x:v>1</x:v>
      </x:c>
      <x:c r="I73" s="40" t="n">
        <x:f>IF(E73=0,1,SUMIFS('03 Dependencies'!$I$6:$I$53,'03 Dependencies'!$C$6:$C$53,C73,'03 Dependencies'!$D$6:$D$53,E73))</x:f>
        <x:v>0</x:v>
      </x:c>
      <x:c r="J73" s="38" t="n">
        <x:f>IF(C73="K4",'01 Controls'!$D$13,0)</x:f>
        <x:v>0</x:v>
      </x:c>
      <x:c r="K73" s="40" t="n">
        <x:f>IF(OR(F73="UNIVERSAL_STOP",F73="RESERVE",F73="CROSS_PATH",F73="LOSE_A"),0,IF(F73="LOSE_B",1,IF(F73="BASELINE",1,IF(I73=1,0,0))))</x:f>
        <x:v>0</x:v>
      </x:c>
      <x:c r="L73" s="40" t="n">
        <x:f>IF(OR(F73="UNIVERSAL_STOP",F73="RESERVE",F73="CROSS_PATH",F73="LOSE_B"),0,IF(F73="LOSE_A",1,IF(F73="BASELINE",1,IF(I73=1,1,0))))</x:f>
        <x:v>0</x:v>
      </x:c>
      <x:c r="M73" s="40" t="n">
        <x:f>IF(OR(F73="RESERVE",F73="CROSS_PATH"),J73,0)</x:f>
        <x:v>0</x:v>
      </x:c>
      <x:c r="N73" s="40" t="n">
        <x:f>MIN('01 Controls'!$D$6,(K73+L73+M73)*'01 Controls'!$D$7)</x:f>
        <x:v>0</x:v>
      </x:c>
      <x:c r="O73" s="17" t="str">
        <x:f>IF(H73=0,"n.a.",IF(N73&gt;=G73,"PASS","FAIL"))</x:f>
        <x:v>FAIL</x:v>
      </x:c>
      <x:c r="P73" s="17" t="str">
        <x:f>IF(F73="UNIVERSAL_STOP",IF(N73=0,"PASS","FAIL"),"PASS")</x:f>
        <x:v>PASS</x:v>
      </x:c>
      <x:c r="Q73" s="17" t="str">
        <x:f>IF(AND(OR(O73="PASS",O73="n.a."),P73="PASS"),"PASS","FAIL")</x:f>
        <x:v>FAIL</x:v>
      </x:c>
      <x:c r="R73" s="17" t="n">
        <x:f>SUMIFS('03 Dependencies'!$P$6:$P$9,'03 Dependencies'!$N$6:$N$9,C73)</x:f>
        <x:v>3</x:v>
      </x:c>
      <x:c r="S73" s="17" t="n">
        <x:f>SUMIFS('03 Dependencies'!$R$6:$R$9,'03 Dependencies'!$N$6:$N$9,C73)</x:f>
        <x:v>1</x:v>
      </x:c>
      <x:c r="T73" s="17" t="str">
        <x:f>IF(AND('01 Controls'!$D$16&gt;='01 Controls'!$D$17,'01 Controls'!$D$18="ELIGIBLE"),"ADMITTED","DENIED")</x:f>
        <x:v>DENIED</x:v>
      </x:c>
      <x:c r="U73" s="17" t="str">
        <x:f>IF(F73="UNIVERSAL_STOP","LAWFUL UNIVERSAL STOP",IF(Q73="PASS",IF(N73&gt;=G73,"REQUIRED SERVICE RETAINED","SAFE HOLD"),"SERVICE CHAIN COLLAPSES"))</x:f>
        <x:v>SERVICE CHAIN COLLAPSES</x:v>
      </x:c>
      <x:c r="V73" s="17" t="str">
        <x:v>OPEN</x:v>
      </x:c>
    </x:row>
    <x:row r="74" ht="35" customHeight="1">
      <x:c r="C74" s="17" t="str">
        <x:v>K3</x:v>
      </x:c>
      <x:c r="D74" s="17" t="str">
        <x:v>W14</x:v>
      </x:c>
      <x:c r="E74" s="40" t="n">
        <x:f>E20</x:f>
        <x:v>0</x:v>
      </x:c>
      <x:c r="F74" s="40" t="str">
        <x:f>F20</x:f>
        <x:v>RESERVE</x:v>
      </x:c>
      <x:c r="G74" s="40" t="n">
        <x:f>G20</x:f>
        <x:v>5000</x:v>
      </x:c>
      <x:c r="H74" s="40" t="n">
        <x:f>H20</x:f>
        <x:v>1</x:v>
      </x:c>
      <x:c r="I74" s="40" t="n">
        <x:f>IF(E74=0,1,SUMIFS('03 Dependencies'!$I$6:$I$53,'03 Dependencies'!$C$6:$C$53,C74,'03 Dependencies'!$D$6:$D$53,E74))</x:f>
        <x:v>1</x:v>
      </x:c>
      <x:c r="J74" s="38" t="n">
        <x:f>IF(C74="K4",'01 Controls'!$D$13,0)</x:f>
        <x:v>0</x:v>
      </x:c>
      <x:c r="K74" s="40" t="n">
        <x:f>IF(OR(F74="UNIVERSAL_STOP",F74="RESERVE",F74="CROSS_PATH",F74="LOSE_A"),0,IF(F74="LOSE_B",1,IF(F74="BASELINE",1,IF(I74=1,0,0))))</x:f>
        <x:v>0</x:v>
      </x:c>
      <x:c r="L74" s="40" t="n">
        <x:f>IF(OR(F74="UNIVERSAL_STOP",F74="RESERVE",F74="CROSS_PATH",F74="LOSE_B"),0,IF(F74="LOSE_A",1,IF(F74="BASELINE",1,IF(I74=1,1,0))))</x:f>
        <x:v>0</x:v>
      </x:c>
      <x:c r="M74" s="40" t="n">
        <x:f>IF(OR(F74="RESERVE",F74="CROSS_PATH"),J74,0)</x:f>
        <x:v>0</x:v>
      </x:c>
      <x:c r="N74" s="40" t="n">
        <x:f>MIN('01 Controls'!$D$6,(K74+L74+M74)*'01 Controls'!$D$7)</x:f>
        <x:v>0</x:v>
      </x:c>
      <x:c r="O74" s="17" t="str">
        <x:f>IF(H74=0,"n.a.",IF(N74&gt;=G74,"PASS","FAIL"))</x:f>
        <x:v>FAIL</x:v>
      </x:c>
      <x:c r="P74" s="17" t="str">
        <x:f>IF(F74="UNIVERSAL_STOP",IF(N74=0,"PASS","FAIL"),"PASS")</x:f>
        <x:v>PASS</x:v>
      </x:c>
      <x:c r="Q74" s="17" t="str">
        <x:f>IF(AND(OR(O74="PASS",O74="n.a."),P74="PASS"),"PASS","FAIL")</x:f>
        <x:v>FAIL</x:v>
      </x:c>
      <x:c r="R74" s="17" t="n">
        <x:f>SUMIFS('03 Dependencies'!$P$6:$P$9,'03 Dependencies'!$N$6:$N$9,C74)</x:f>
        <x:v>3</x:v>
      </x:c>
      <x:c r="S74" s="17" t="n">
        <x:f>SUMIFS('03 Dependencies'!$R$6:$R$9,'03 Dependencies'!$N$6:$N$9,C74)</x:f>
        <x:v>1</x:v>
      </x:c>
      <x:c r="T74" s="17" t="str">
        <x:f>IF(AND('01 Controls'!$D$16&gt;='01 Controls'!$D$17,'01 Controls'!$D$18="ELIGIBLE"),"ADMITTED","DENIED")</x:f>
        <x:v>DENIED</x:v>
      </x:c>
      <x:c r="U74" s="17" t="str">
        <x:f>IF(F74="UNIVERSAL_STOP","LAWFUL UNIVERSAL STOP",IF(Q74="PASS",IF(N74&gt;=G74,"REQUIRED SERVICE RETAINED","SAFE HOLD"),"SERVICE CHAIN COLLAPSES"))</x:f>
        <x:v>SERVICE CHAIN COLLAPSES</x:v>
      </x:c>
      <x:c r="V74" s="17" t="str">
        <x:v>OPEN</x:v>
      </x:c>
    </x:row>
    <x:row r="75" ht="35" customHeight="1">
      <x:c r="C75" s="17" t="str">
        <x:v>K3</x:v>
      </x:c>
      <x:c r="D75" s="17" t="str">
        <x:v>W15</x:v>
      </x:c>
      <x:c r="E75" s="40" t="n">
        <x:f>E21</x:f>
        <x:v>0</x:v>
      </x:c>
      <x:c r="F75" s="40" t="str">
        <x:f>F21</x:f>
        <x:v>UNIVERSAL_STOP</x:v>
      </x:c>
      <x:c r="G75" s="40" t="n">
        <x:f>G21</x:f>
        <x:v>0</x:v>
      </x:c>
      <x:c r="H75" s="40" t="n">
        <x:f>H21</x:f>
        <x:v>0</x:v>
      </x:c>
      <x:c r="I75" s="40" t="n">
        <x:f>IF(E75=0,1,SUMIFS('03 Dependencies'!$I$6:$I$53,'03 Dependencies'!$C$6:$C$53,C75,'03 Dependencies'!$D$6:$D$53,E75))</x:f>
        <x:v>1</x:v>
      </x:c>
      <x:c r="J75" s="38" t="n">
        <x:f>IF(C75="K4",'01 Controls'!$D$13,0)</x:f>
        <x:v>0</x:v>
      </x:c>
      <x:c r="K75" s="40" t="n">
        <x:f>IF(OR(F75="UNIVERSAL_STOP",F75="RESERVE",F75="CROSS_PATH",F75="LOSE_A"),0,IF(F75="LOSE_B",1,IF(F75="BASELINE",1,IF(I75=1,0,0))))</x:f>
        <x:v>0</x:v>
      </x:c>
      <x:c r="L75" s="40" t="n">
        <x:f>IF(OR(F75="UNIVERSAL_STOP",F75="RESERVE",F75="CROSS_PATH",F75="LOSE_B"),0,IF(F75="LOSE_A",1,IF(F75="BASELINE",1,IF(I75=1,1,0))))</x:f>
        <x:v>0</x:v>
      </x:c>
      <x:c r="M75" s="40" t="n">
        <x:f>IF(OR(F75="RESERVE",F75="CROSS_PATH"),J75,0)</x:f>
        <x:v>0</x:v>
      </x:c>
      <x:c r="N75" s="40" t="n">
        <x:f>MIN('01 Controls'!$D$6,(K75+L75+M75)*'01 Controls'!$D$7)</x:f>
        <x:v>0</x:v>
      </x:c>
      <x:c r="O75" s="17" t="str">
        <x:f>IF(H75=0,"n.a.",IF(N75&gt;=G75,"PASS","FAIL"))</x:f>
        <x:v>n.a.</x:v>
      </x:c>
      <x:c r="P75" s="17" t="str">
        <x:f>IF(F75="UNIVERSAL_STOP",IF(N75=0,"PASS","FAIL"),"PASS")</x:f>
        <x:v>PASS</x:v>
      </x:c>
      <x:c r="Q75" s="17" t="str">
        <x:f>IF(AND(OR(O75="PASS",O75="n.a."),P75="PASS"),"PASS","FAIL")</x:f>
        <x:v>PASS</x:v>
      </x:c>
      <x:c r="R75" s="17" t="n">
        <x:f>SUMIFS('03 Dependencies'!$P$6:$P$9,'03 Dependencies'!$N$6:$N$9,C75)</x:f>
        <x:v>3</x:v>
      </x:c>
      <x:c r="S75" s="17" t="n">
        <x:f>SUMIFS('03 Dependencies'!$R$6:$R$9,'03 Dependencies'!$N$6:$N$9,C75)</x:f>
        <x:v>1</x:v>
      </x:c>
      <x:c r="T75" s="17" t="str">
        <x:f>IF(AND('01 Controls'!$D$16&gt;='01 Controls'!$D$17,'01 Controls'!$D$18="ELIGIBLE"),"ADMITTED","DENIED")</x:f>
        <x:v>DENIED</x:v>
      </x:c>
      <x:c r="U75" s="17" t="str">
        <x:f>IF(F75="UNIVERSAL_STOP","LAWFUL UNIVERSAL STOP",IF(Q75="PASS",IF(N75&gt;=G75,"REQUIRED SERVICE RETAINED","SAFE HOLD"),"SERVICE CHAIN COLLAPSES"))</x:f>
        <x:v>LAWFUL UNIVERSAL STOP</x:v>
      </x:c>
      <x:c r="V75" s="17" t="str">
        <x:v>OPEN</x:v>
      </x:c>
    </x:row>
    <x:row r="76" ht="35" customHeight="1">
      <x:c r="C76" s="17" t="str">
        <x:v>K3</x:v>
      </x:c>
      <x:c r="D76" s="17" t="str">
        <x:v>W16</x:v>
      </x:c>
      <x:c r="E76" s="40" t="n">
        <x:f>E22</x:f>
        <x:v>0</x:v>
      </x:c>
      <x:c r="F76" s="40" t="str">
        <x:f>F22</x:f>
        <x:v>CROSS_PATH</x:v>
      </x:c>
      <x:c r="G76" s="40" t="n">
        <x:f>G22</x:f>
        <x:v>5000</x:v>
      </x:c>
      <x:c r="H76" s="40" t="n">
        <x:f>H22</x:f>
        <x:v>1</x:v>
      </x:c>
      <x:c r="I76" s="40" t="n">
        <x:f>IF(E76=0,1,SUMIFS('03 Dependencies'!$I$6:$I$53,'03 Dependencies'!$C$6:$C$53,C76,'03 Dependencies'!$D$6:$D$53,E76))</x:f>
        <x:v>1</x:v>
      </x:c>
      <x:c r="J76" s="38" t="n">
        <x:f>IF(C76="K4",'01 Controls'!$D$13,0)</x:f>
        <x:v>0</x:v>
      </x:c>
      <x:c r="K76" s="40" t="n">
        <x:f>IF(OR(F76="UNIVERSAL_STOP",F76="RESERVE",F76="CROSS_PATH",F76="LOSE_A"),0,IF(F76="LOSE_B",1,IF(F76="BASELINE",1,IF(I76=1,0,0))))</x:f>
        <x:v>0</x:v>
      </x:c>
      <x:c r="L76" s="40" t="n">
        <x:f>IF(OR(F76="UNIVERSAL_STOP",F76="RESERVE",F76="CROSS_PATH",F76="LOSE_B"),0,IF(F76="LOSE_A",1,IF(F76="BASELINE",1,IF(I76=1,1,0))))</x:f>
        <x:v>0</x:v>
      </x:c>
      <x:c r="M76" s="40" t="n">
        <x:f>IF(OR(F76="RESERVE",F76="CROSS_PATH"),J76,0)</x:f>
        <x:v>0</x:v>
      </x:c>
      <x:c r="N76" s="40" t="n">
        <x:f>MIN('01 Controls'!$D$6,(K76+L76+M76)*'01 Controls'!$D$7)</x:f>
        <x:v>0</x:v>
      </x:c>
      <x:c r="O76" s="17" t="str">
        <x:f>IF(H76=0,"n.a.",IF(N76&gt;=G76,"PASS","FAIL"))</x:f>
        <x:v>FAIL</x:v>
      </x:c>
      <x:c r="P76" s="17" t="str">
        <x:f>IF(F76="UNIVERSAL_STOP",IF(N76=0,"PASS","FAIL"),"PASS")</x:f>
        <x:v>PASS</x:v>
      </x:c>
      <x:c r="Q76" s="17" t="str">
        <x:f>IF(AND(OR(O76="PASS",O76="n.a."),P76="PASS"),"PASS","FAIL")</x:f>
        <x:v>FAIL</x:v>
      </x:c>
      <x:c r="R76" s="17" t="n">
        <x:f>SUMIFS('03 Dependencies'!$P$6:$P$9,'03 Dependencies'!$N$6:$N$9,C76)</x:f>
        <x:v>3</x:v>
      </x:c>
      <x:c r="S76" s="17" t="n">
        <x:f>SUMIFS('03 Dependencies'!$R$6:$R$9,'03 Dependencies'!$N$6:$N$9,C76)</x:f>
        <x:v>1</x:v>
      </x:c>
      <x:c r="T76" s="17" t="str">
        <x:f>IF(AND('01 Controls'!$D$16&gt;='01 Controls'!$D$17,'01 Controls'!$D$18="ELIGIBLE"),"ADMITTED","DENIED")</x:f>
        <x:v>DENIED</x:v>
      </x:c>
      <x:c r="U76" s="17" t="str">
        <x:f>IF(F76="UNIVERSAL_STOP","LAWFUL UNIVERSAL STOP",IF(Q76="PASS",IF(N76&gt;=G76,"REQUIRED SERVICE RETAINED","SAFE HOLD"),"SERVICE CHAIN COLLAPSES"))</x:f>
        <x:v>SERVICE CHAIN COLLAPSES</x:v>
      </x:c>
      <x:c r="V76" s="17" t="str">
        <x:v>OPEN</x:v>
      </x:c>
    </x:row>
    <x:row r="77" ht="35" customHeight="1">
      <x:c r="C77" s="17" t="str">
        <x:v>K4</x:v>
      </x:c>
      <x:c r="D77" s="17" t="str">
        <x:v>W00</x:v>
      </x:c>
      <x:c r="E77" s="40" t="n">
        <x:f>E6</x:f>
        <x:v>0</x:v>
      </x:c>
      <x:c r="F77" s="40" t="str">
        <x:f>F6</x:f>
        <x:v>BASELINE</x:v>
      </x:c>
      <x:c r="G77" s="40" t="n">
        <x:f>G6</x:f>
        <x:v>10000</x:v>
      </x:c>
      <x:c r="H77" s="40" t="n">
        <x:f>H6</x:f>
        <x:v>1</x:v>
      </x:c>
      <x:c r="I77" s="40" t="n">
        <x:f>IF(E77=0,1,SUMIFS('03 Dependencies'!$I$6:$I$53,'03 Dependencies'!$C$6:$C$53,C77,'03 Dependencies'!$D$6:$D$53,E77))</x:f>
        <x:v>1</x:v>
      </x:c>
      <x:c r="J77" s="38" t="n">
        <x:f>IF(C77="K4",'01 Controls'!$D$13,0)</x:f>
        <x:v>1</x:v>
      </x:c>
      <x:c r="K77" s="40" t="n">
        <x:f>IF(OR(F77="UNIVERSAL_STOP",F77="RESERVE",F77="CROSS_PATH",F77="LOSE_A"),0,IF(F77="LOSE_B",1,IF(F77="BASELINE",1,IF(I77=1,0,0))))</x:f>
        <x:v>1</x:v>
      </x:c>
      <x:c r="L77" s="40" t="n">
        <x:f>IF(OR(F77="UNIVERSAL_STOP",F77="RESERVE",F77="CROSS_PATH",F77="LOSE_B"),0,IF(F77="LOSE_A",1,IF(F77="BASELINE",1,IF(I77=1,1,0))))</x:f>
        <x:v>1</x:v>
      </x:c>
      <x:c r="M77" s="40" t="n">
        <x:f>IF(OR(F77="RESERVE",F77="CROSS_PATH"),J77,0)</x:f>
        <x:v>0</x:v>
      </x:c>
      <x:c r="N77" s="40" t="n">
        <x:f>MIN('01 Controls'!$D$6,(K77+L77+M77)*'01 Controls'!$D$7)</x:f>
        <x:v>10000</x:v>
      </x:c>
      <x:c r="O77" s="17" t="str">
        <x:f>IF(H77=0,"n.a.",IF(N77&gt;=G77,"PASS","FAIL"))</x:f>
        <x:v>PASS</x:v>
      </x:c>
      <x:c r="P77" s="17" t="str">
        <x:f>IF(F77="UNIVERSAL_STOP",IF(N77=0,"PASS","FAIL"),"PASS")</x:f>
        <x:v>PASS</x:v>
      </x:c>
      <x:c r="Q77" s="17" t="str">
        <x:f>IF(AND(OR(O77="PASS",O77="n.a."),P77="PASS"),"PASS","FAIL")</x:f>
        <x:v>PASS</x:v>
      </x:c>
      <x:c r="R77" s="17" t="n">
        <x:f>SUMIFS('03 Dependencies'!$P$6:$P$9,'03 Dependencies'!$N$6:$N$9,C77)</x:f>
        <x:v>0</x:v>
      </x:c>
      <x:c r="S77" s="17" t="n">
        <x:f>SUMIFS('03 Dependencies'!$R$6:$R$9,'03 Dependencies'!$N$6:$N$9,C77)</x:f>
        <x:v>3</x:v>
      </x:c>
      <x:c r="T77" s="17" t="str">
        <x:f>IF(AND('01 Controls'!$D$16&gt;='01 Controls'!$D$17,'01 Controls'!$D$18="ELIGIBLE"),"ADMITTED","DENIED")</x:f>
        <x:v>DENIED</x:v>
      </x:c>
      <x:c r="U77" s="17" t="str">
        <x:f>IF(F77="UNIVERSAL_STOP","LAWFUL UNIVERSAL STOP",IF(Q77="PASS",IF(N77&gt;=G77,"REQUIRED SERVICE RETAINED","SAFE HOLD"),"SERVICE CHAIN COLLAPSES"))</x:f>
        <x:v>REQUIRED SERVICE RETAINED</x:v>
      </x:c>
      <x:c r="V77" s="17" t="str">
        <x:v>OPEN</x:v>
      </x:c>
    </x:row>
    <x:row r="78" ht="35" customHeight="1">
      <x:c r="C78" s="17" t="str">
        <x:v>K4</x:v>
      </x:c>
      <x:c r="D78" s="17" t="str">
        <x:v>W01</x:v>
      </x:c>
      <x:c r="E78" s="40" t="n">
        <x:f>E7</x:f>
        <x:v>1</x:v>
      </x:c>
      <x:c r="F78" s="40" t="str">
        <x:f>F7</x:f>
        <x:v>LOSE_A</x:v>
      </x:c>
      <x:c r="G78" s="40" t="n">
        <x:f>G7</x:f>
        <x:v>5000</x:v>
      </x:c>
      <x:c r="H78" s="40" t="n">
        <x:f>H7</x:f>
        <x:v>1</x:v>
      </x:c>
      <x:c r="I78" s="40" t="n">
        <x:f>IF(E78=0,1,SUMIFS('03 Dependencies'!$I$6:$I$53,'03 Dependencies'!$C$6:$C$53,C78,'03 Dependencies'!$D$6:$D$53,E78))</x:f>
        <x:v>1</x:v>
      </x:c>
      <x:c r="J78" s="38" t="n">
        <x:f>IF(C78="K4",'01 Controls'!$D$13,0)</x:f>
        <x:v>1</x:v>
      </x:c>
      <x:c r="K78" s="40" t="n">
        <x:f>IF(OR(F78="UNIVERSAL_STOP",F78="RESERVE",F78="CROSS_PATH",F78="LOSE_A"),0,IF(F78="LOSE_B",1,IF(F78="BASELINE",1,IF(I78=1,0,0))))</x:f>
        <x:v>0</x:v>
      </x:c>
      <x:c r="L78" s="40" t="n">
        <x:f>IF(OR(F78="UNIVERSAL_STOP",F78="RESERVE",F78="CROSS_PATH",F78="LOSE_B"),0,IF(F78="LOSE_A",1,IF(F78="BASELINE",1,IF(I78=1,1,0))))</x:f>
        <x:v>1</x:v>
      </x:c>
      <x:c r="M78" s="40" t="n">
        <x:f>IF(OR(F78="RESERVE",F78="CROSS_PATH"),J78,0)</x:f>
        <x:v>0</x:v>
      </x:c>
      <x:c r="N78" s="40" t="n">
        <x:f>MIN('01 Controls'!$D$6,(K78+L78+M78)*'01 Controls'!$D$7)</x:f>
        <x:v>5000</x:v>
      </x:c>
      <x:c r="O78" s="17" t="str">
        <x:f>IF(H78=0,"n.a.",IF(N78&gt;=G78,"PASS","FAIL"))</x:f>
        <x:v>PASS</x:v>
      </x:c>
      <x:c r="P78" s="17" t="str">
        <x:f>IF(F78="UNIVERSAL_STOP",IF(N78=0,"PASS","FAIL"),"PASS")</x:f>
        <x:v>PASS</x:v>
      </x:c>
      <x:c r="Q78" s="17" t="str">
        <x:f>IF(AND(OR(O78="PASS",O78="n.a."),P78="PASS"),"PASS","FAIL")</x:f>
        <x:v>PASS</x:v>
      </x:c>
      <x:c r="R78" s="17" t="n">
        <x:f>SUMIFS('03 Dependencies'!$P$6:$P$9,'03 Dependencies'!$N$6:$N$9,C78)</x:f>
        <x:v>0</x:v>
      </x:c>
      <x:c r="S78" s="17" t="n">
        <x:f>SUMIFS('03 Dependencies'!$R$6:$R$9,'03 Dependencies'!$N$6:$N$9,C78)</x:f>
        <x:v>3</x:v>
      </x:c>
      <x:c r="T78" s="17" t="str">
        <x:f>IF(AND('01 Controls'!$D$16&gt;='01 Controls'!$D$17,'01 Controls'!$D$18="ELIGIBLE"),"ADMITTED","DENIED")</x:f>
        <x:v>DENIED</x:v>
      </x:c>
      <x:c r="U78" s="17" t="str">
        <x:f>IF(F78="UNIVERSAL_STOP","LAWFUL UNIVERSAL STOP",IF(Q78="PASS",IF(N78&gt;=G78,"REQUIRED SERVICE RETAINED","SAFE HOLD"),"SERVICE CHAIN COLLAPSES"))</x:f>
        <x:v>REQUIRED SERVICE RETAINED</x:v>
      </x:c>
      <x:c r="V78" s="17" t="str">
        <x:v>OPEN</x:v>
      </x:c>
    </x:row>
    <x:row r="79" ht="35" customHeight="1">
      <x:c r="C79" s="17" t="str">
        <x:v>K4</x:v>
      </x:c>
      <x:c r="D79" s="17" t="str">
        <x:v>W02</x:v>
      </x:c>
      <x:c r="E79" s="40" t="n">
        <x:f>E8</x:f>
        <x:v>1</x:v>
      </x:c>
      <x:c r="F79" s="40" t="str">
        <x:f>F8</x:f>
        <x:v>LOSE_B</x:v>
      </x:c>
      <x:c r="G79" s="40" t="n">
        <x:f>G8</x:f>
        <x:v>5000</x:v>
      </x:c>
      <x:c r="H79" s="40" t="n">
        <x:f>H8</x:f>
        <x:v>1</x:v>
      </x:c>
      <x:c r="I79" s="40" t="n">
        <x:f>IF(E79=0,1,SUMIFS('03 Dependencies'!$I$6:$I$53,'03 Dependencies'!$C$6:$C$53,C79,'03 Dependencies'!$D$6:$D$53,E79))</x:f>
        <x:v>1</x:v>
      </x:c>
      <x:c r="J79" s="38" t="n">
        <x:f>IF(C79="K4",'01 Controls'!$D$13,0)</x:f>
        <x:v>1</x:v>
      </x:c>
      <x:c r="K79" s="40" t="n">
        <x:f>IF(OR(F79="UNIVERSAL_STOP",F79="RESERVE",F79="CROSS_PATH",F79="LOSE_A"),0,IF(F79="LOSE_B",1,IF(F79="BASELINE",1,IF(I79=1,0,0))))</x:f>
        <x:v>1</x:v>
      </x:c>
      <x:c r="L79" s="40" t="n">
        <x:f>IF(OR(F79="UNIVERSAL_STOP",F79="RESERVE",F79="CROSS_PATH",F79="LOSE_B"),0,IF(F79="LOSE_A",1,IF(F79="BASELINE",1,IF(I79=1,1,0))))</x:f>
        <x:v>0</x:v>
      </x:c>
      <x:c r="M79" s="40" t="n">
        <x:f>IF(OR(F79="RESERVE",F79="CROSS_PATH"),J79,0)</x:f>
        <x:v>0</x:v>
      </x:c>
      <x:c r="N79" s="40" t="n">
        <x:f>MIN('01 Controls'!$D$6,(K79+L79+M79)*'01 Controls'!$D$7)</x:f>
        <x:v>5000</x:v>
      </x:c>
      <x:c r="O79" s="17" t="str">
        <x:f>IF(H79=0,"n.a.",IF(N79&gt;=G79,"PASS","FAIL"))</x:f>
        <x:v>PASS</x:v>
      </x:c>
      <x:c r="P79" s="17" t="str">
        <x:f>IF(F79="UNIVERSAL_STOP",IF(N79=0,"PASS","FAIL"),"PASS")</x:f>
        <x:v>PASS</x:v>
      </x:c>
      <x:c r="Q79" s="17" t="str">
        <x:f>IF(AND(OR(O79="PASS",O79="n.a."),P79="PASS"),"PASS","FAIL")</x:f>
        <x:v>PASS</x:v>
      </x:c>
      <x:c r="R79" s="17" t="n">
        <x:f>SUMIFS('03 Dependencies'!$P$6:$P$9,'03 Dependencies'!$N$6:$N$9,C79)</x:f>
        <x:v>0</x:v>
      </x:c>
      <x:c r="S79" s="17" t="n">
        <x:f>SUMIFS('03 Dependencies'!$R$6:$R$9,'03 Dependencies'!$N$6:$N$9,C79)</x:f>
        <x:v>3</x:v>
      </x:c>
      <x:c r="T79" s="17" t="str">
        <x:f>IF(AND('01 Controls'!$D$16&gt;='01 Controls'!$D$17,'01 Controls'!$D$18="ELIGIBLE"),"ADMITTED","DENIED")</x:f>
        <x:v>DENIED</x:v>
      </x:c>
      <x:c r="U79" s="17" t="str">
        <x:f>IF(F79="UNIVERSAL_STOP","LAWFUL UNIVERSAL STOP",IF(Q79="PASS",IF(N79&gt;=G79,"REQUIRED SERVICE RETAINED","SAFE HOLD"),"SERVICE CHAIN COLLAPSES"))</x:f>
        <x:v>REQUIRED SERVICE RETAINED</x:v>
      </x:c>
      <x:c r="V79" s="17" t="str">
        <x:v>OPEN</x:v>
      </x:c>
    </x:row>
    <x:row r="80" ht="35" customHeight="1">
      <x:c r="C80" s="17" t="str">
        <x:v>K4</x:v>
      </x:c>
      <x:c r="D80" s="17" t="str">
        <x:v>W03</x:v>
      </x:c>
      <x:c r="E80" s="40" t="n">
        <x:f>E9</x:f>
        <x:v>2</x:v>
      </x:c>
      <x:c r="F80" s="40" t="str">
        <x:f>F9</x:f>
        <x:v>LOSE_A</x:v>
      </x:c>
      <x:c r="G80" s="40" t="n">
        <x:f>G9</x:f>
        <x:v>5000</x:v>
      </x:c>
      <x:c r="H80" s="40" t="n">
        <x:f>H9</x:f>
        <x:v>1</x:v>
      </x:c>
      <x:c r="I80" s="40" t="n">
        <x:f>IF(E80=0,1,SUMIFS('03 Dependencies'!$I$6:$I$53,'03 Dependencies'!$C$6:$C$53,C80,'03 Dependencies'!$D$6:$D$53,E80))</x:f>
        <x:v>1</x:v>
      </x:c>
      <x:c r="J80" s="38" t="n">
        <x:f>IF(C80="K4",'01 Controls'!$D$13,0)</x:f>
        <x:v>1</x:v>
      </x:c>
      <x:c r="K80" s="40" t="n">
        <x:f>IF(OR(F80="UNIVERSAL_STOP",F80="RESERVE",F80="CROSS_PATH",F80="LOSE_A"),0,IF(F80="LOSE_B",1,IF(F80="BASELINE",1,IF(I80=1,0,0))))</x:f>
        <x:v>0</x:v>
      </x:c>
      <x:c r="L80" s="40" t="n">
        <x:f>IF(OR(F80="UNIVERSAL_STOP",F80="RESERVE",F80="CROSS_PATH",F80="LOSE_B"),0,IF(F80="LOSE_A",1,IF(F80="BASELINE",1,IF(I80=1,1,0))))</x:f>
        <x:v>1</x:v>
      </x:c>
      <x:c r="M80" s="40" t="n">
        <x:f>IF(OR(F80="RESERVE",F80="CROSS_PATH"),J80,0)</x:f>
        <x:v>0</x:v>
      </x:c>
      <x:c r="N80" s="40" t="n">
        <x:f>MIN('01 Controls'!$D$6,(K80+L80+M80)*'01 Controls'!$D$7)</x:f>
        <x:v>5000</x:v>
      </x:c>
      <x:c r="O80" s="17" t="str">
        <x:f>IF(H80=0,"n.a.",IF(N80&gt;=G80,"PASS","FAIL"))</x:f>
        <x:v>PASS</x:v>
      </x:c>
      <x:c r="P80" s="17" t="str">
        <x:f>IF(F80="UNIVERSAL_STOP",IF(N80=0,"PASS","FAIL"),"PASS")</x:f>
        <x:v>PASS</x:v>
      </x:c>
      <x:c r="Q80" s="17" t="str">
        <x:f>IF(AND(OR(O80="PASS",O80="n.a."),P80="PASS"),"PASS","FAIL")</x:f>
        <x:v>PASS</x:v>
      </x:c>
      <x:c r="R80" s="17" t="n">
        <x:f>SUMIFS('03 Dependencies'!$P$6:$P$9,'03 Dependencies'!$N$6:$N$9,C80)</x:f>
        <x:v>0</x:v>
      </x:c>
      <x:c r="S80" s="17" t="n">
        <x:f>SUMIFS('03 Dependencies'!$R$6:$R$9,'03 Dependencies'!$N$6:$N$9,C80)</x:f>
        <x:v>3</x:v>
      </x:c>
      <x:c r="T80" s="17" t="str">
        <x:f>IF(AND('01 Controls'!$D$16&gt;='01 Controls'!$D$17,'01 Controls'!$D$18="ELIGIBLE"),"ADMITTED","DENIED")</x:f>
        <x:v>DENIED</x:v>
      </x:c>
      <x:c r="U80" s="17" t="str">
        <x:f>IF(F80="UNIVERSAL_STOP","LAWFUL UNIVERSAL STOP",IF(Q80="PASS",IF(N80&gt;=G80,"REQUIRED SERVICE RETAINED","SAFE HOLD"),"SERVICE CHAIN COLLAPSES"))</x:f>
        <x:v>REQUIRED SERVICE RETAINED</x:v>
      </x:c>
      <x:c r="V80" s="17" t="str">
        <x:v>OPEN</x:v>
      </x:c>
    </x:row>
    <x:row r="81" ht="35" customHeight="1">
      <x:c r="C81" s="17" t="str">
        <x:v>K4</x:v>
      </x:c>
      <x:c r="D81" s="17" t="str">
        <x:v>W04</x:v>
      </x:c>
      <x:c r="E81" s="40" t="n">
        <x:f>E10</x:f>
        <x:v>3</x:v>
      </x:c>
      <x:c r="F81" s="40" t="str">
        <x:f>F10</x:f>
        <x:v>BOUNDARY</x:v>
      </x:c>
      <x:c r="G81" s="40" t="n">
        <x:f>G10</x:f>
        <x:v>5000</x:v>
      </x:c>
      <x:c r="H81" s="40" t="n">
        <x:f>H10</x:f>
        <x:v>1</x:v>
      </x:c>
      <x:c r="I81" s="40" t="n">
        <x:f>IF(E81=0,1,SUMIFS('03 Dependencies'!$I$6:$I$53,'03 Dependencies'!$C$6:$C$53,C81,'03 Dependencies'!$D$6:$D$53,E81))</x:f>
        <x:v>1</x:v>
      </x:c>
      <x:c r="J81" s="38" t="n">
        <x:f>IF(C81="K4",'01 Controls'!$D$13,0)</x:f>
        <x:v>1</x:v>
      </x:c>
      <x:c r="K81" s="40" t="n">
        <x:f>IF(OR(F81="UNIVERSAL_STOP",F81="RESERVE",F81="CROSS_PATH",F81="LOSE_A"),0,IF(F81="LOSE_B",1,IF(F81="BASELINE",1,IF(I81=1,0,0))))</x:f>
        <x:v>0</x:v>
      </x:c>
      <x:c r="L81" s="40" t="n">
        <x:f>IF(OR(F81="UNIVERSAL_STOP",F81="RESERVE",F81="CROSS_PATH",F81="LOSE_B"),0,IF(F81="LOSE_A",1,IF(F81="BASELINE",1,IF(I81=1,1,0))))</x:f>
        <x:v>1</x:v>
      </x:c>
      <x:c r="M81" s="40" t="n">
        <x:f>IF(OR(F81="RESERVE",F81="CROSS_PATH"),J81,0)</x:f>
        <x:v>0</x:v>
      </x:c>
      <x:c r="N81" s="40" t="n">
        <x:f>MIN('01 Controls'!$D$6,(K81+L81+M81)*'01 Controls'!$D$7)</x:f>
        <x:v>5000</x:v>
      </x:c>
      <x:c r="O81" s="17" t="str">
        <x:f>IF(H81=0,"n.a.",IF(N81&gt;=G81,"PASS","FAIL"))</x:f>
        <x:v>PASS</x:v>
      </x:c>
      <x:c r="P81" s="17" t="str">
        <x:f>IF(F81="UNIVERSAL_STOP",IF(N81=0,"PASS","FAIL"),"PASS")</x:f>
        <x:v>PASS</x:v>
      </x:c>
      <x:c r="Q81" s="17" t="str">
        <x:f>IF(AND(OR(O81="PASS",O81="n.a."),P81="PASS"),"PASS","FAIL")</x:f>
        <x:v>PASS</x:v>
      </x:c>
      <x:c r="R81" s="17" t="n">
        <x:f>SUMIFS('03 Dependencies'!$P$6:$P$9,'03 Dependencies'!$N$6:$N$9,C81)</x:f>
        <x:v>0</x:v>
      </x:c>
      <x:c r="S81" s="17" t="n">
        <x:f>SUMIFS('03 Dependencies'!$R$6:$R$9,'03 Dependencies'!$N$6:$N$9,C81)</x:f>
        <x:v>3</x:v>
      </x:c>
      <x:c r="T81" s="17" t="str">
        <x:f>IF(AND('01 Controls'!$D$16&gt;='01 Controls'!$D$17,'01 Controls'!$D$18="ELIGIBLE"),"ADMITTED","DENIED")</x:f>
        <x:v>DENIED</x:v>
      </x:c>
      <x:c r="U81" s="17" t="str">
        <x:f>IF(F81="UNIVERSAL_STOP","LAWFUL UNIVERSAL STOP",IF(Q81="PASS",IF(N81&gt;=G81,"REQUIRED SERVICE RETAINED","SAFE HOLD"),"SERVICE CHAIN COLLAPSES"))</x:f>
        <x:v>REQUIRED SERVICE RETAINED</x:v>
      </x:c>
      <x:c r="V81" s="17" t="str">
        <x:v>OPEN</x:v>
      </x:c>
    </x:row>
    <x:row r="82" ht="35" customHeight="1">
      <x:c r="C82" s="17" t="str">
        <x:v>K4</x:v>
      </x:c>
      <x:c r="D82" s="17" t="str">
        <x:v>W05</x:v>
      </x:c>
      <x:c r="E82" s="40" t="n">
        <x:f>E11</x:f>
        <x:v>4</x:v>
      </x:c>
      <x:c r="F82" s="40" t="str">
        <x:f>F11</x:f>
        <x:v>BOUNDARY</x:v>
      </x:c>
      <x:c r="G82" s="40" t="n">
        <x:f>G11</x:f>
        <x:v>5000</x:v>
      </x:c>
      <x:c r="H82" s="40" t="n">
        <x:f>H11</x:f>
        <x:v>1</x:v>
      </x:c>
      <x:c r="I82" s="40" t="n">
        <x:f>IF(E82=0,1,SUMIFS('03 Dependencies'!$I$6:$I$53,'03 Dependencies'!$C$6:$C$53,C82,'03 Dependencies'!$D$6:$D$53,E82))</x:f>
        <x:v>1</x:v>
      </x:c>
      <x:c r="J82" s="38" t="n">
        <x:f>IF(C82="K4",'01 Controls'!$D$13,0)</x:f>
        <x:v>1</x:v>
      </x:c>
      <x:c r="K82" s="40" t="n">
        <x:f>IF(OR(F82="UNIVERSAL_STOP",F82="RESERVE",F82="CROSS_PATH",F82="LOSE_A"),0,IF(F82="LOSE_B",1,IF(F82="BASELINE",1,IF(I82=1,0,0))))</x:f>
        <x:v>0</x:v>
      </x:c>
      <x:c r="L82" s="40" t="n">
        <x:f>IF(OR(F82="UNIVERSAL_STOP",F82="RESERVE",F82="CROSS_PATH",F82="LOSE_B"),0,IF(F82="LOSE_A",1,IF(F82="BASELINE",1,IF(I82=1,1,0))))</x:f>
        <x:v>1</x:v>
      </x:c>
      <x:c r="M82" s="40" t="n">
        <x:f>IF(OR(F82="RESERVE",F82="CROSS_PATH"),J82,0)</x:f>
        <x:v>0</x:v>
      </x:c>
      <x:c r="N82" s="40" t="n">
        <x:f>MIN('01 Controls'!$D$6,(K82+L82+M82)*'01 Controls'!$D$7)</x:f>
        <x:v>5000</x:v>
      </x:c>
      <x:c r="O82" s="17" t="str">
        <x:f>IF(H82=0,"n.a.",IF(N82&gt;=G82,"PASS","FAIL"))</x:f>
        <x:v>PASS</x:v>
      </x:c>
      <x:c r="P82" s="17" t="str">
        <x:f>IF(F82="UNIVERSAL_STOP",IF(N82=0,"PASS","FAIL"),"PASS")</x:f>
        <x:v>PASS</x:v>
      </x:c>
      <x:c r="Q82" s="17" t="str">
        <x:f>IF(AND(OR(O82="PASS",O82="n.a."),P82="PASS"),"PASS","FAIL")</x:f>
        <x:v>PASS</x:v>
      </x:c>
      <x:c r="R82" s="17" t="n">
        <x:f>SUMIFS('03 Dependencies'!$P$6:$P$9,'03 Dependencies'!$N$6:$N$9,C82)</x:f>
        <x:v>0</x:v>
      </x:c>
      <x:c r="S82" s="17" t="n">
        <x:f>SUMIFS('03 Dependencies'!$R$6:$R$9,'03 Dependencies'!$N$6:$N$9,C82)</x:f>
        <x:v>3</x:v>
      </x:c>
      <x:c r="T82" s="17" t="str">
        <x:f>IF(AND('01 Controls'!$D$16&gt;='01 Controls'!$D$17,'01 Controls'!$D$18="ELIGIBLE"),"ADMITTED","DENIED")</x:f>
        <x:v>DENIED</x:v>
      </x:c>
      <x:c r="U82" s="17" t="str">
        <x:f>IF(F82="UNIVERSAL_STOP","LAWFUL UNIVERSAL STOP",IF(Q82="PASS",IF(N82&gt;=G82,"REQUIRED SERVICE RETAINED","SAFE HOLD"),"SERVICE CHAIN COLLAPSES"))</x:f>
        <x:v>REQUIRED SERVICE RETAINED</x:v>
      </x:c>
      <x:c r="V82" s="17" t="str">
        <x:v>OPEN</x:v>
      </x:c>
    </x:row>
    <x:row r="83" ht="35" customHeight="1">
      <x:c r="C83" s="17" t="str">
        <x:v>K4</x:v>
      </x:c>
      <x:c r="D83" s="17" t="str">
        <x:v>W06</x:v>
      </x:c>
      <x:c r="E83" s="40" t="n">
        <x:f>E12</x:f>
        <x:v>5</x:v>
      </x:c>
      <x:c r="F83" s="40" t="str">
        <x:f>F12</x:f>
        <x:v>BOUNDARY</x:v>
      </x:c>
      <x:c r="G83" s="40" t="n">
        <x:f>G12</x:f>
        <x:v>5000</x:v>
      </x:c>
      <x:c r="H83" s="40" t="n">
        <x:f>H12</x:f>
        <x:v>1</x:v>
      </x:c>
      <x:c r="I83" s="40" t="n">
        <x:f>IF(E83=0,1,SUMIFS('03 Dependencies'!$I$6:$I$53,'03 Dependencies'!$C$6:$C$53,C83,'03 Dependencies'!$D$6:$D$53,E83))</x:f>
        <x:v>1</x:v>
      </x:c>
      <x:c r="J83" s="38" t="n">
        <x:f>IF(C83="K4",'01 Controls'!$D$13,0)</x:f>
        <x:v>1</x:v>
      </x:c>
      <x:c r="K83" s="40" t="n">
        <x:f>IF(OR(F83="UNIVERSAL_STOP",F83="RESERVE",F83="CROSS_PATH",F83="LOSE_A"),0,IF(F83="LOSE_B",1,IF(F83="BASELINE",1,IF(I83=1,0,0))))</x:f>
        <x:v>0</x:v>
      </x:c>
      <x:c r="L83" s="40" t="n">
        <x:f>IF(OR(F83="UNIVERSAL_STOP",F83="RESERVE",F83="CROSS_PATH",F83="LOSE_B"),0,IF(F83="LOSE_A",1,IF(F83="BASELINE",1,IF(I83=1,1,0))))</x:f>
        <x:v>1</x:v>
      </x:c>
      <x:c r="M83" s="40" t="n">
        <x:f>IF(OR(F83="RESERVE",F83="CROSS_PATH"),J83,0)</x:f>
        <x:v>0</x:v>
      </x:c>
      <x:c r="N83" s="40" t="n">
        <x:f>MIN('01 Controls'!$D$6,(K83+L83+M83)*'01 Controls'!$D$7)</x:f>
        <x:v>5000</x:v>
      </x:c>
      <x:c r="O83" s="17" t="str">
        <x:f>IF(H83=0,"n.a.",IF(N83&gt;=G83,"PASS","FAIL"))</x:f>
        <x:v>PASS</x:v>
      </x:c>
      <x:c r="P83" s="17" t="str">
        <x:f>IF(F83="UNIVERSAL_STOP",IF(N83=0,"PASS","FAIL"),"PASS")</x:f>
        <x:v>PASS</x:v>
      </x:c>
      <x:c r="Q83" s="17" t="str">
        <x:f>IF(AND(OR(O83="PASS",O83="n.a."),P83="PASS"),"PASS","FAIL")</x:f>
        <x:v>PASS</x:v>
      </x:c>
      <x:c r="R83" s="17" t="n">
        <x:f>SUMIFS('03 Dependencies'!$P$6:$P$9,'03 Dependencies'!$N$6:$N$9,C83)</x:f>
        <x:v>0</x:v>
      </x:c>
      <x:c r="S83" s="17" t="n">
        <x:f>SUMIFS('03 Dependencies'!$R$6:$R$9,'03 Dependencies'!$N$6:$N$9,C83)</x:f>
        <x:v>3</x:v>
      </x:c>
      <x:c r="T83" s="17" t="str">
        <x:f>IF(AND('01 Controls'!$D$16&gt;='01 Controls'!$D$17,'01 Controls'!$D$18="ELIGIBLE"),"ADMITTED","DENIED")</x:f>
        <x:v>DENIED</x:v>
      </x:c>
      <x:c r="U83" s="17" t="str">
        <x:f>IF(F83="UNIVERSAL_STOP","LAWFUL UNIVERSAL STOP",IF(Q83="PASS",IF(N83&gt;=G83,"REQUIRED SERVICE RETAINED","SAFE HOLD"),"SERVICE CHAIN COLLAPSES"))</x:f>
        <x:v>REQUIRED SERVICE RETAINED</x:v>
      </x:c>
      <x:c r="V83" s="17" t="str">
        <x:v>OPEN</x:v>
      </x:c>
    </x:row>
    <x:row r="84" ht="35" customHeight="1">
      <x:c r="C84" s="17" t="str">
        <x:v>K4</x:v>
      </x:c>
      <x:c r="D84" s="17" t="str">
        <x:v>W07</x:v>
      </x:c>
      <x:c r="E84" s="40" t="n">
        <x:f>E13</x:f>
        <x:v>6</x:v>
      </x:c>
      <x:c r="F84" s="40" t="str">
        <x:f>F13</x:f>
        <x:v>BOUNDARY</x:v>
      </x:c>
      <x:c r="G84" s="40" t="n">
        <x:f>G13</x:f>
        <x:v>5000</x:v>
      </x:c>
      <x:c r="H84" s="40" t="n">
        <x:f>H13</x:f>
        <x:v>1</x:v>
      </x:c>
      <x:c r="I84" s="40" t="n">
        <x:f>IF(E84=0,1,SUMIFS('03 Dependencies'!$I$6:$I$53,'03 Dependencies'!$C$6:$C$53,C84,'03 Dependencies'!$D$6:$D$53,E84))</x:f>
        <x:v>1</x:v>
      </x:c>
      <x:c r="J84" s="38" t="n">
        <x:f>IF(C84="K4",'01 Controls'!$D$13,0)</x:f>
        <x:v>1</x:v>
      </x:c>
      <x:c r="K84" s="40" t="n">
        <x:f>IF(OR(F84="UNIVERSAL_STOP",F84="RESERVE",F84="CROSS_PATH",F84="LOSE_A"),0,IF(F84="LOSE_B",1,IF(F84="BASELINE",1,IF(I84=1,0,0))))</x:f>
        <x:v>0</x:v>
      </x:c>
      <x:c r="L84" s="40" t="n">
        <x:f>IF(OR(F84="UNIVERSAL_STOP",F84="RESERVE",F84="CROSS_PATH",F84="LOSE_B"),0,IF(F84="LOSE_A",1,IF(F84="BASELINE",1,IF(I84=1,1,0))))</x:f>
        <x:v>1</x:v>
      </x:c>
      <x:c r="M84" s="40" t="n">
        <x:f>IF(OR(F84="RESERVE",F84="CROSS_PATH"),J84,0)</x:f>
        <x:v>0</x:v>
      </x:c>
      <x:c r="N84" s="40" t="n">
        <x:f>MIN('01 Controls'!$D$6,(K84+L84+M84)*'01 Controls'!$D$7)</x:f>
        <x:v>5000</x:v>
      </x:c>
      <x:c r="O84" s="17" t="str">
        <x:f>IF(H84=0,"n.a.",IF(N84&gt;=G84,"PASS","FAIL"))</x:f>
        <x:v>PASS</x:v>
      </x:c>
      <x:c r="P84" s="17" t="str">
        <x:f>IF(F84="UNIVERSAL_STOP",IF(N84=0,"PASS","FAIL"),"PASS")</x:f>
        <x:v>PASS</x:v>
      </x:c>
      <x:c r="Q84" s="17" t="str">
        <x:f>IF(AND(OR(O84="PASS",O84="n.a."),P84="PASS"),"PASS","FAIL")</x:f>
        <x:v>PASS</x:v>
      </x:c>
      <x:c r="R84" s="17" t="n">
        <x:f>SUMIFS('03 Dependencies'!$P$6:$P$9,'03 Dependencies'!$N$6:$N$9,C84)</x:f>
        <x:v>0</x:v>
      </x:c>
      <x:c r="S84" s="17" t="n">
        <x:f>SUMIFS('03 Dependencies'!$R$6:$R$9,'03 Dependencies'!$N$6:$N$9,C84)</x:f>
        <x:v>3</x:v>
      </x:c>
      <x:c r="T84" s="17" t="str">
        <x:f>IF(AND('01 Controls'!$D$16&gt;='01 Controls'!$D$17,'01 Controls'!$D$18="ELIGIBLE"),"ADMITTED","DENIED")</x:f>
        <x:v>DENIED</x:v>
      </x:c>
      <x:c r="U84" s="17" t="str">
        <x:f>IF(F84="UNIVERSAL_STOP","LAWFUL UNIVERSAL STOP",IF(Q84="PASS",IF(N84&gt;=G84,"REQUIRED SERVICE RETAINED","SAFE HOLD"),"SERVICE CHAIN COLLAPSES"))</x:f>
        <x:v>REQUIRED SERVICE RETAINED</x:v>
      </x:c>
      <x:c r="V84" s="17" t="str">
        <x:v>OPEN</x:v>
      </x:c>
    </x:row>
    <x:row r="85" ht="35" customHeight="1">
      <x:c r="C85" s="17" t="str">
        <x:v>K4</x:v>
      </x:c>
      <x:c r="D85" s="17" t="str">
        <x:v>W08</x:v>
      </x:c>
      <x:c r="E85" s="40" t="n">
        <x:f>E14</x:f>
        <x:v>7</x:v>
      </x:c>
      <x:c r="F85" s="40" t="str">
        <x:f>F14</x:f>
        <x:v>BOUNDARY</x:v>
      </x:c>
      <x:c r="G85" s="40" t="n">
        <x:f>G14</x:f>
        <x:v>5000</x:v>
      </x:c>
      <x:c r="H85" s="40" t="n">
        <x:f>H14</x:f>
        <x:v>1</x:v>
      </x:c>
      <x:c r="I85" s="40" t="n">
        <x:f>IF(E85=0,1,SUMIFS('03 Dependencies'!$I$6:$I$53,'03 Dependencies'!$C$6:$C$53,C85,'03 Dependencies'!$D$6:$D$53,E85))</x:f>
        <x:v>1</x:v>
      </x:c>
      <x:c r="J85" s="38" t="n">
        <x:f>IF(C85="K4",'01 Controls'!$D$13,0)</x:f>
        <x:v>1</x:v>
      </x:c>
      <x:c r="K85" s="40" t="n">
        <x:f>IF(OR(F85="UNIVERSAL_STOP",F85="RESERVE",F85="CROSS_PATH",F85="LOSE_A"),0,IF(F85="LOSE_B",1,IF(F85="BASELINE",1,IF(I85=1,0,0))))</x:f>
        <x:v>0</x:v>
      </x:c>
      <x:c r="L85" s="40" t="n">
        <x:f>IF(OR(F85="UNIVERSAL_STOP",F85="RESERVE",F85="CROSS_PATH",F85="LOSE_B"),0,IF(F85="LOSE_A",1,IF(F85="BASELINE",1,IF(I85=1,1,0))))</x:f>
        <x:v>1</x:v>
      </x:c>
      <x:c r="M85" s="40" t="n">
        <x:f>IF(OR(F85="RESERVE",F85="CROSS_PATH"),J85,0)</x:f>
        <x:v>0</x:v>
      </x:c>
      <x:c r="N85" s="40" t="n">
        <x:f>MIN('01 Controls'!$D$6,(K85+L85+M85)*'01 Controls'!$D$7)</x:f>
        <x:v>5000</x:v>
      </x:c>
      <x:c r="O85" s="17" t="str">
        <x:f>IF(H85=0,"n.a.",IF(N85&gt;=G85,"PASS","FAIL"))</x:f>
        <x:v>PASS</x:v>
      </x:c>
      <x:c r="P85" s="17" t="str">
        <x:f>IF(F85="UNIVERSAL_STOP",IF(N85=0,"PASS","FAIL"),"PASS")</x:f>
        <x:v>PASS</x:v>
      </x:c>
      <x:c r="Q85" s="17" t="str">
        <x:f>IF(AND(OR(O85="PASS",O85="n.a."),P85="PASS"),"PASS","FAIL")</x:f>
        <x:v>PASS</x:v>
      </x:c>
      <x:c r="R85" s="17" t="n">
        <x:f>SUMIFS('03 Dependencies'!$P$6:$P$9,'03 Dependencies'!$N$6:$N$9,C85)</x:f>
        <x:v>0</x:v>
      </x:c>
      <x:c r="S85" s="17" t="n">
        <x:f>SUMIFS('03 Dependencies'!$R$6:$R$9,'03 Dependencies'!$N$6:$N$9,C85)</x:f>
        <x:v>3</x:v>
      </x:c>
      <x:c r="T85" s="17" t="str">
        <x:f>IF(AND('01 Controls'!$D$16&gt;='01 Controls'!$D$17,'01 Controls'!$D$18="ELIGIBLE"),"ADMITTED","DENIED")</x:f>
        <x:v>DENIED</x:v>
      </x:c>
      <x:c r="U85" s="17" t="str">
        <x:f>IF(F85="UNIVERSAL_STOP","LAWFUL UNIVERSAL STOP",IF(Q85="PASS",IF(N85&gt;=G85,"REQUIRED SERVICE RETAINED","SAFE HOLD"),"SERVICE CHAIN COLLAPSES"))</x:f>
        <x:v>REQUIRED SERVICE RETAINED</x:v>
      </x:c>
      <x:c r="V85" s="17" t="str">
        <x:v>OPEN</x:v>
      </x:c>
    </x:row>
    <x:row r="86" ht="35" customHeight="1">
      <x:c r="C86" s="17" t="str">
        <x:v>K4</x:v>
      </x:c>
      <x:c r="D86" s="17" t="str">
        <x:v>W09</x:v>
      </x:c>
      <x:c r="E86" s="40" t="n">
        <x:f>E15</x:f>
        <x:v>8</x:v>
      </x:c>
      <x:c r="F86" s="40" t="str">
        <x:f>F15</x:f>
        <x:v>BOUNDARY</x:v>
      </x:c>
      <x:c r="G86" s="40" t="n">
        <x:f>G15</x:f>
        <x:v>5000</x:v>
      </x:c>
      <x:c r="H86" s="40" t="n">
        <x:f>H15</x:f>
        <x:v>1</x:v>
      </x:c>
      <x:c r="I86" s="40" t="n">
        <x:f>IF(E86=0,1,SUMIFS('03 Dependencies'!$I$6:$I$53,'03 Dependencies'!$C$6:$C$53,C86,'03 Dependencies'!$D$6:$D$53,E86))</x:f>
        <x:v>1</x:v>
      </x:c>
      <x:c r="J86" s="38" t="n">
        <x:f>IF(C86="K4",'01 Controls'!$D$13,0)</x:f>
        <x:v>1</x:v>
      </x:c>
      <x:c r="K86" s="40" t="n">
        <x:f>IF(OR(F86="UNIVERSAL_STOP",F86="RESERVE",F86="CROSS_PATH",F86="LOSE_A"),0,IF(F86="LOSE_B",1,IF(F86="BASELINE",1,IF(I86=1,0,0))))</x:f>
        <x:v>0</x:v>
      </x:c>
      <x:c r="L86" s="40" t="n">
        <x:f>IF(OR(F86="UNIVERSAL_STOP",F86="RESERVE",F86="CROSS_PATH",F86="LOSE_B"),0,IF(F86="LOSE_A",1,IF(F86="BASELINE",1,IF(I86=1,1,0))))</x:f>
        <x:v>1</x:v>
      </x:c>
      <x:c r="M86" s="40" t="n">
        <x:f>IF(OR(F86="RESERVE",F86="CROSS_PATH"),J86,0)</x:f>
        <x:v>0</x:v>
      </x:c>
      <x:c r="N86" s="40" t="n">
        <x:f>MIN('01 Controls'!$D$6,(K86+L86+M86)*'01 Controls'!$D$7)</x:f>
        <x:v>5000</x:v>
      </x:c>
      <x:c r="O86" s="17" t="str">
        <x:f>IF(H86=0,"n.a.",IF(N86&gt;=G86,"PASS","FAIL"))</x:f>
        <x:v>PASS</x:v>
      </x:c>
      <x:c r="P86" s="17" t="str">
        <x:f>IF(F86="UNIVERSAL_STOP",IF(N86=0,"PASS","FAIL"),"PASS")</x:f>
        <x:v>PASS</x:v>
      </x:c>
      <x:c r="Q86" s="17" t="str">
        <x:f>IF(AND(OR(O86="PASS",O86="n.a."),P86="PASS"),"PASS","FAIL")</x:f>
        <x:v>PASS</x:v>
      </x:c>
      <x:c r="R86" s="17" t="n">
        <x:f>SUMIFS('03 Dependencies'!$P$6:$P$9,'03 Dependencies'!$N$6:$N$9,C86)</x:f>
        <x:v>0</x:v>
      </x:c>
      <x:c r="S86" s="17" t="n">
        <x:f>SUMIFS('03 Dependencies'!$R$6:$R$9,'03 Dependencies'!$N$6:$N$9,C86)</x:f>
        <x:v>3</x:v>
      </x:c>
      <x:c r="T86" s="17" t="str">
        <x:f>IF(AND('01 Controls'!$D$16&gt;='01 Controls'!$D$17,'01 Controls'!$D$18="ELIGIBLE"),"ADMITTED","DENIED")</x:f>
        <x:v>DENIED</x:v>
      </x:c>
      <x:c r="U86" s="17" t="str">
        <x:f>IF(F86="UNIVERSAL_STOP","LAWFUL UNIVERSAL STOP",IF(Q86="PASS",IF(N86&gt;=G86,"REQUIRED SERVICE RETAINED","SAFE HOLD"),"SERVICE CHAIN COLLAPSES"))</x:f>
        <x:v>REQUIRED SERVICE RETAINED</x:v>
      </x:c>
      <x:c r="V86" s="17" t="str">
        <x:v>OPEN</x:v>
      </x:c>
    </x:row>
    <x:row r="87" ht="35" customHeight="1">
      <x:c r="C87" s="17" t="str">
        <x:v>K4</x:v>
      </x:c>
      <x:c r="D87" s="17" t="str">
        <x:v>W10</x:v>
      </x:c>
      <x:c r="E87" s="40" t="n">
        <x:f>E16</x:f>
        <x:v>9</x:v>
      </x:c>
      <x:c r="F87" s="40" t="str">
        <x:f>F16</x:f>
        <x:v>BOUNDARY</x:v>
      </x:c>
      <x:c r="G87" s="40" t="n">
        <x:f>G16</x:f>
        <x:v>5000</x:v>
      </x:c>
      <x:c r="H87" s="40" t="n">
        <x:f>H16</x:f>
        <x:v>1</x:v>
      </x:c>
      <x:c r="I87" s="40" t="n">
        <x:f>IF(E87=0,1,SUMIFS('03 Dependencies'!$I$6:$I$53,'03 Dependencies'!$C$6:$C$53,C87,'03 Dependencies'!$D$6:$D$53,E87))</x:f>
        <x:v>1</x:v>
      </x:c>
      <x:c r="J87" s="38" t="n">
        <x:f>IF(C87="K4",'01 Controls'!$D$13,0)</x:f>
        <x:v>1</x:v>
      </x:c>
      <x:c r="K87" s="40" t="n">
        <x:f>IF(OR(F87="UNIVERSAL_STOP",F87="RESERVE",F87="CROSS_PATH",F87="LOSE_A"),0,IF(F87="LOSE_B",1,IF(F87="BASELINE",1,IF(I87=1,0,0))))</x:f>
        <x:v>0</x:v>
      </x:c>
      <x:c r="L87" s="40" t="n">
        <x:f>IF(OR(F87="UNIVERSAL_STOP",F87="RESERVE",F87="CROSS_PATH",F87="LOSE_B"),0,IF(F87="LOSE_A",1,IF(F87="BASELINE",1,IF(I87=1,1,0))))</x:f>
        <x:v>1</x:v>
      </x:c>
      <x:c r="M87" s="40" t="n">
        <x:f>IF(OR(F87="RESERVE",F87="CROSS_PATH"),J87,0)</x:f>
        <x:v>0</x:v>
      </x:c>
      <x:c r="N87" s="40" t="n">
        <x:f>MIN('01 Controls'!$D$6,(K87+L87+M87)*'01 Controls'!$D$7)</x:f>
        <x:v>5000</x:v>
      </x:c>
      <x:c r="O87" s="17" t="str">
        <x:f>IF(H87=0,"n.a.",IF(N87&gt;=G87,"PASS","FAIL"))</x:f>
        <x:v>PASS</x:v>
      </x:c>
      <x:c r="P87" s="17" t="str">
        <x:f>IF(F87="UNIVERSAL_STOP",IF(N87=0,"PASS","FAIL"),"PASS")</x:f>
        <x:v>PASS</x:v>
      </x:c>
      <x:c r="Q87" s="17" t="str">
        <x:f>IF(AND(OR(O87="PASS",O87="n.a."),P87="PASS"),"PASS","FAIL")</x:f>
        <x:v>PASS</x:v>
      </x:c>
      <x:c r="R87" s="17" t="n">
        <x:f>SUMIFS('03 Dependencies'!$P$6:$P$9,'03 Dependencies'!$N$6:$N$9,C87)</x:f>
        <x:v>0</x:v>
      </x:c>
      <x:c r="S87" s="17" t="n">
        <x:f>SUMIFS('03 Dependencies'!$R$6:$R$9,'03 Dependencies'!$N$6:$N$9,C87)</x:f>
        <x:v>3</x:v>
      </x:c>
      <x:c r="T87" s="17" t="str">
        <x:f>IF(AND('01 Controls'!$D$16&gt;='01 Controls'!$D$17,'01 Controls'!$D$18="ELIGIBLE"),"ADMITTED","DENIED")</x:f>
        <x:v>DENIED</x:v>
      </x:c>
      <x:c r="U87" s="17" t="str">
        <x:f>IF(F87="UNIVERSAL_STOP","LAWFUL UNIVERSAL STOP",IF(Q87="PASS",IF(N87&gt;=G87,"REQUIRED SERVICE RETAINED","SAFE HOLD"),"SERVICE CHAIN COLLAPSES"))</x:f>
        <x:v>REQUIRED SERVICE RETAINED</x:v>
      </x:c>
      <x:c r="V87" s="17" t="str">
        <x:v>OPEN</x:v>
      </x:c>
    </x:row>
    <x:row r="88" ht="35" customHeight="1">
      <x:c r="C88" s="17" t="str">
        <x:v>K4</x:v>
      </x:c>
      <x:c r="D88" s="17" t="str">
        <x:v>W11</x:v>
      </x:c>
      <x:c r="E88" s="40" t="n">
        <x:f>E17</x:f>
        <x:v>10</x:v>
      </x:c>
      <x:c r="F88" s="40" t="str">
        <x:f>F17</x:f>
        <x:v>BOUNDARY</x:v>
      </x:c>
      <x:c r="G88" s="40" t="n">
        <x:f>G17</x:f>
        <x:v>5000</x:v>
      </x:c>
      <x:c r="H88" s="40" t="n">
        <x:f>H17</x:f>
        <x:v>1</x:v>
      </x:c>
      <x:c r="I88" s="40" t="n">
        <x:f>IF(E88=0,1,SUMIFS('03 Dependencies'!$I$6:$I$53,'03 Dependencies'!$C$6:$C$53,C88,'03 Dependencies'!$D$6:$D$53,E88))</x:f>
        <x:v>1</x:v>
      </x:c>
      <x:c r="J88" s="38" t="n">
        <x:f>IF(C88="K4",'01 Controls'!$D$13,0)</x:f>
        <x:v>1</x:v>
      </x:c>
      <x:c r="K88" s="40" t="n">
        <x:f>IF(OR(F88="UNIVERSAL_STOP",F88="RESERVE",F88="CROSS_PATH",F88="LOSE_A"),0,IF(F88="LOSE_B",1,IF(F88="BASELINE",1,IF(I88=1,0,0))))</x:f>
        <x:v>0</x:v>
      </x:c>
      <x:c r="L88" s="40" t="n">
        <x:f>IF(OR(F88="UNIVERSAL_STOP",F88="RESERVE",F88="CROSS_PATH",F88="LOSE_B"),0,IF(F88="LOSE_A",1,IF(F88="BASELINE",1,IF(I88=1,1,0))))</x:f>
        <x:v>1</x:v>
      </x:c>
      <x:c r="M88" s="40" t="n">
        <x:f>IF(OR(F88="RESERVE",F88="CROSS_PATH"),J88,0)</x:f>
        <x:v>0</x:v>
      </x:c>
      <x:c r="N88" s="40" t="n">
        <x:f>MIN('01 Controls'!$D$6,(K88+L88+M88)*'01 Controls'!$D$7)</x:f>
        <x:v>5000</x:v>
      </x:c>
      <x:c r="O88" s="17" t="str">
        <x:f>IF(H88=0,"n.a.",IF(N88&gt;=G88,"PASS","FAIL"))</x:f>
        <x:v>PASS</x:v>
      </x:c>
      <x:c r="P88" s="17" t="str">
        <x:f>IF(F88="UNIVERSAL_STOP",IF(N88=0,"PASS","FAIL"),"PASS")</x:f>
        <x:v>PASS</x:v>
      </x:c>
      <x:c r="Q88" s="17" t="str">
        <x:f>IF(AND(OR(O88="PASS",O88="n.a."),P88="PASS"),"PASS","FAIL")</x:f>
        <x:v>PASS</x:v>
      </x:c>
      <x:c r="R88" s="17" t="n">
        <x:f>SUMIFS('03 Dependencies'!$P$6:$P$9,'03 Dependencies'!$N$6:$N$9,C88)</x:f>
        <x:v>0</x:v>
      </x:c>
      <x:c r="S88" s="17" t="n">
        <x:f>SUMIFS('03 Dependencies'!$R$6:$R$9,'03 Dependencies'!$N$6:$N$9,C88)</x:f>
        <x:v>3</x:v>
      </x:c>
      <x:c r="T88" s="17" t="str">
        <x:f>IF(AND('01 Controls'!$D$16&gt;='01 Controls'!$D$17,'01 Controls'!$D$18="ELIGIBLE"),"ADMITTED","DENIED")</x:f>
        <x:v>DENIED</x:v>
      </x:c>
      <x:c r="U88" s="17" t="str">
        <x:f>IF(F88="UNIVERSAL_STOP","LAWFUL UNIVERSAL STOP",IF(Q88="PASS",IF(N88&gt;=G88,"REQUIRED SERVICE RETAINED","SAFE HOLD"),"SERVICE CHAIN COLLAPSES"))</x:f>
        <x:v>REQUIRED SERVICE RETAINED</x:v>
      </x:c>
      <x:c r="V88" s="17" t="str">
        <x:v>OPEN</x:v>
      </x:c>
    </x:row>
    <x:row r="89" ht="35" customHeight="1">
      <x:c r="C89" s="17" t="str">
        <x:v>K4</x:v>
      </x:c>
      <x:c r="D89" s="17" t="str">
        <x:v>W12</x:v>
      </x:c>
      <x:c r="E89" s="40" t="n">
        <x:f>E18</x:f>
        <x:v>11</x:v>
      </x:c>
      <x:c r="F89" s="40" t="str">
        <x:f>F18</x:f>
        <x:v>BOUNDARY</x:v>
      </x:c>
      <x:c r="G89" s="40" t="n">
        <x:f>G18</x:f>
        <x:v>5000</x:v>
      </x:c>
      <x:c r="H89" s="40" t="n">
        <x:f>H18</x:f>
        <x:v>1</x:v>
      </x:c>
      <x:c r="I89" s="40" t="n">
        <x:f>IF(E89=0,1,SUMIFS('03 Dependencies'!$I$6:$I$53,'03 Dependencies'!$C$6:$C$53,C89,'03 Dependencies'!$D$6:$D$53,E89))</x:f>
        <x:v>1</x:v>
      </x:c>
      <x:c r="J89" s="38" t="n">
        <x:f>IF(C89="K4",'01 Controls'!$D$13,0)</x:f>
        <x:v>1</x:v>
      </x:c>
      <x:c r="K89" s="40" t="n">
        <x:f>IF(OR(F89="UNIVERSAL_STOP",F89="RESERVE",F89="CROSS_PATH",F89="LOSE_A"),0,IF(F89="LOSE_B",1,IF(F89="BASELINE",1,IF(I89=1,0,0))))</x:f>
        <x:v>0</x:v>
      </x:c>
      <x:c r="L89" s="40" t="n">
        <x:f>IF(OR(F89="UNIVERSAL_STOP",F89="RESERVE",F89="CROSS_PATH",F89="LOSE_B"),0,IF(F89="LOSE_A",1,IF(F89="BASELINE",1,IF(I89=1,1,0))))</x:f>
        <x:v>1</x:v>
      </x:c>
      <x:c r="M89" s="40" t="n">
        <x:f>IF(OR(F89="RESERVE",F89="CROSS_PATH"),J89,0)</x:f>
        <x:v>0</x:v>
      </x:c>
      <x:c r="N89" s="40" t="n">
        <x:f>MIN('01 Controls'!$D$6,(K89+L89+M89)*'01 Controls'!$D$7)</x:f>
        <x:v>5000</x:v>
      </x:c>
      <x:c r="O89" s="17" t="str">
        <x:f>IF(H89=0,"n.a.",IF(N89&gt;=G89,"PASS","FAIL"))</x:f>
        <x:v>PASS</x:v>
      </x:c>
      <x:c r="P89" s="17" t="str">
        <x:f>IF(F89="UNIVERSAL_STOP",IF(N89=0,"PASS","FAIL"),"PASS")</x:f>
        <x:v>PASS</x:v>
      </x:c>
      <x:c r="Q89" s="17" t="str">
        <x:f>IF(AND(OR(O89="PASS",O89="n.a."),P89="PASS"),"PASS","FAIL")</x:f>
        <x:v>PASS</x:v>
      </x:c>
      <x:c r="R89" s="17" t="n">
        <x:f>SUMIFS('03 Dependencies'!$P$6:$P$9,'03 Dependencies'!$N$6:$N$9,C89)</x:f>
        <x:v>0</x:v>
      </x:c>
      <x:c r="S89" s="17" t="n">
        <x:f>SUMIFS('03 Dependencies'!$R$6:$R$9,'03 Dependencies'!$N$6:$N$9,C89)</x:f>
        <x:v>3</x:v>
      </x:c>
      <x:c r="T89" s="17" t="str">
        <x:f>IF(AND('01 Controls'!$D$16&gt;='01 Controls'!$D$17,'01 Controls'!$D$18="ELIGIBLE"),"ADMITTED","DENIED")</x:f>
        <x:v>DENIED</x:v>
      </x:c>
      <x:c r="U89" s="17" t="str">
        <x:f>IF(F89="UNIVERSAL_STOP","LAWFUL UNIVERSAL STOP",IF(Q89="PASS",IF(N89&gt;=G89,"REQUIRED SERVICE RETAINED","SAFE HOLD"),"SERVICE CHAIN COLLAPSES"))</x:f>
        <x:v>REQUIRED SERVICE RETAINED</x:v>
      </x:c>
      <x:c r="V89" s="17" t="str">
        <x:v>OPEN</x:v>
      </x:c>
    </x:row>
    <x:row r="90" ht="35" customHeight="1">
      <x:c r="C90" s="17" t="str">
        <x:v>K4</x:v>
      </x:c>
      <x:c r="D90" s="17" t="str">
        <x:v>W13</x:v>
      </x:c>
      <x:c r="E90" s="40" t="n">
        <x:f>E19</x:f>
        <x:v>12</x:v>
      </x:c>
      <x:c r="F90" s="40" t="str">
        <x:f>F19</x:f>
        <x:v>BOUNDARY</x:v>
      </x:c>
      <x:c r="G90" s="40" t="n">
        <x:f>G19</x:f>
        <x:v>5000</x:v>
      </x:c>
      <x:c r="H90" s="40" t="n">
        <x:f>H19</x:f>
        <x:v>1</x:v>
      </x:c>
      <x:c r="I90" s="40" t="n">
        <x:f>IF(E90=0,1,SUMIFS('03 Dependencies'!$I$6:$I$53,'03 Dependencies'!$C$6:$C$53,C90,'03 Dependencies'!$D$6:$D$53,E90))</x:f>
        <x:v>1</x:v>
      </x:c>
      <x:c r="J90" s="38" t="n">
        <x:f>IF(C90="K4",'01 Controls'!$D$13,0)</x:f>
        <x:v>1</x:v>
      </x:c>
      <x:c r="K90" s="40" t="n">
        <x:f>IF(OR(F90="UNIVERSAL_STOP",F90="RESERVE",F90="CROSS_PATH",F90="LOSE_A"),0,IF(F90="LOSE_B",1,IF(F90="BASELINE",1,IF(I90=1,0,0))))</x:f>
        <x:v>0</x:v>
      </x:c>
      <x:c r="L90" s="40" t="n">
        <x:f>IF(OR(F90="UNIVERSAL_STOP",F90="RESERVE",F90="CROSS_PATH",F90="LOSE_B"),0,IF(F90="LOSE_A",1,IF(F90="BASELINE",1,IF(I90=1,1,0))))</x:f>
        <x:v>1</x:v>
      </x:c>
      <x:c r="M90" s="40" t="n">
        <x:f>IF(OR(F90="RESERVE",F90="CROSS_PATH"),J90,0)</x:f>
        <x:v>0</x:v>
      </x:c>
      <x:c r="N90" s="40" t="n">
        <x:f>MIN('01 Controls'!$D$6,(K90+L90+M90)*'01 Controls'!$D$7)</x:f>
        <x:v>5000</x:v>
      </x:c>
      <x:c r="O90" s="17" t="str">
        <x:f>IF(H90=0,"n.a.",IF(N90&gt;=G90,"PASS","FAIL"))</x:f>
        <x:v>PASS</x:v>
      </x:c>
      <x:c r="P90" s="17" t="str">
        <x:f>IF(F90="UNIVERSAL_STOP",IF(N90=0,"PASS","FAIL"),"PASS")</x:f>
        <x:v>PASS</x:v>
      </x:c>
      <x:c r="Q90" s="17" t="str">
        <x:f>IF(AND(OR(O90="PASS",O90="n.a."),P90="PASS"),"PASS","FAIL")</x:f>
        <x:v>PASS</x:v>
      </x:c>
      <x:c r="R90" s="17" t="n">
        <x:f>SUMIFS('03 Dependencies'!$P$6:$P$9,'03 Dependencies'!$N$6:$N$9,C90)</x:f>
        <x:v>0</x:v>
      </x:c>
      <x:c r="S90" s="17" t="n">
        <x:f>SUMIFS('03 Dependencies'!$R$6:$R$9,'03 Dependencies'!$N$6:$N$9,C90)</x:f>
        <x:v>3</x:v>
      </x:c>
      <x:c r="T90" s="17" t="str">
        <x:f>IF(AND('01 Controls'!$D$16&gt;='01 Controls'!$D$17,'01 Controls'!$D$18="ELIGIBLE"),"ADMITTED","DENIED")</x:f>
        <x:v>DENIED</x:v>
      </x:c>
      <x:c r="U90" s="17" t="str">
        <x:f>IF(F90="UNIVERSAL_STOP","LAWFUL UNIVERSAL STOP",IF(Q90="PASS",IF(N90&gt;=G90,"REQUIRED SERVICE RETAINED","SAFE HOLD"),"SERVICE CHAIN COLLAPSES"))</x:f>
        <x:v>REQUIRED SERVICE RETAINED</x:v>
      </x:c>
      <x:c r="V90" s="17" t="str">
        <x:v>OPEN</x:v>
      </x:c>
    </x:row>
    <x:row r="91" ht="35" customHeight="1">
      <x:c r="C91" s="17" t="str">
        <x:v>K4</x:v>
      </x:c>
      <x:c r="D91" s="17" t="str">
        <x:v>W14</x:v>
      </x:c>
      <x:c r="E91" s="40" t="n">
        <x:f>E20</x:f>
        <x:v>0</x:v>
      </x:c>
      <x:c r="F91" s="40" t="str">
        <x:f>F20</x:f>
        <x:v>RESERVE</x:v>
      </x:c>
      <x:c r="G91" s="40" t="n">
        <x:f>G20</x:f>
        <x:v>5000</x:v>
      </x:c>
      <x:c r="H91" s="40" t="n">
        <x:f>H20</x:f>
        <x:v>1</x:v>
      </x:c>
      <x:c r="I91" s="40" t="n">
        <x:f>IF(E91=0,1,SUMIFS('03 Dependencies'!$I$6:$I$53,'03 Dependencies'!$C$6:$C$53,C91,'03 Dependencies'!$D$6:$D$53,E91))</x:f>
        <x:v>1</x:v>
      </x:c>
      <x:c r="J91" s="38" t="n">
        <x:f>IF(C91="K4",'01 Controls'!$D$13,0)</x:f>
        <x:v>1</x:v>
      </x:c>
      <x:c r="K91" s="40" t="n">
        <x:f>IF(OR(F91="UNIVERSAL_STOP",F91="RESERVE",F91="CROSS_PATH",F91="LOSE_A"),0,IF(F91="LOSE_B",1,IF(F91="BASELINE",1,IF(I91=1,0,0))))</x:f>
        <x:v>0</x:v>
      </x:c>
      <x:c r="L91" s="40" t="n">
        <x:f>IF(OR(F91="UNIVERSAL_STOP",F91="RESERVE",F91="CROSS_PATH",F91="LOSE_B"),0,IF(F91="LOSE_A",1,IF(F91="BASELINE",1,IF(I91=1,1,0))))</x:f>
        <x:v>0</x:v>
      </x:c>
      <x:c r="M91" s="40" t="n">
        <x:f>IF(OR(F91="RESERVE",F91="CROSS_PATH"),J91,0)</x:f>
        <x:v>1</x:v>
      </x:c>
      <x:c r="N91" s="40" t="n">
        <x:f>MIN('01 Controls'!$D$6,(K91+L91+M91)*'01 Controls'!$D$7)</x:f>
        <x:v>5000</x:v>
      </x:c>
      <x:c r="O91" s="17" t="str">
        <x:f>IF(H91=0,"n.a.",IF(N91&gt;=G91,"PASS","FAIL"))</x:f>
        <x:v>PASS</x:v>
      </x:c>
      <x:c r="P91" s="17" t="str">
        <x:f>IF(F91="UNIVERSAL_STOP",IF(N91=0,"PASS","FAIL"),"PASS")</x:f>
        <x:v>PASS</x:v>
      </x:c>
      <x:c r="Q91" s="17" t="str">
        <x:f>IF(AND(OR(O91="PASS",O91="n.a."),P91="PASS"),"PASS","FAIL")</x:f>
        <x:v>PASS</x:v>
      </x:c>
      <x:c r="R91" s="17" t="n">
        <x:f>SUMIFS('03 Dependencies'!$P$6:$P$9,'03 Dependencies'!$N$6:$N$9,C91)</x:f>
        <x:v>0</x:v>
      </x:c>
      <x:c r="S91" s="17" t="n">
        <x:f>SUMIFS('03 Dependencies'!$R$6:$R$9,'03 Dependencies'!$N$6:$N$9,C91)</x:f>
        <x:v>3</x:v>
      </x:c>
      <x:c r="T91" s="17" t="str">
        <x:f>IF(AND('01 Controls'!$D$16&gt;='01 Controls'!$D$17,'01 Controls'!$D$18="ELIGIBLE"),"ADMITTED","DENIED")</x:f>
        <x:v>DENIED</x:v>
      </x:c>
      <x:c r="U91" s="17" t="str">
        <x:f>IF(F91="UNIVERSAL_STOP","LAWFUL UNIVERSAL STOP",IF(Q91="PASS",IF(N91&gt;=G91,"REQUIRED SERVICE RETAINED","SAFE HOLD"),"SERVICE CHAIN COLLAPSES"))</x:f>
        <x:v>REQUIRED SERVICE RETAINED</x:v>
      </x:c>
      <x:c r="V91" s="17" t="str">
        <x:v>OPEN</x:v>
      </x:c>
    </x:row>
    <x:row r="92" ht="35" customHeight="1">
      <x:c r="C92" s="17" t="str">
        <x:v>K4</x:v>
      </x:c>
      <x:c r="D92" s="17" t="str">
        <x:v>W15</x:v>
      </x:c>
      <x:c r="E92" s="40" t="n">
        <x:f>E21</x:f>
        <x:v>0</x:v>
      </x:c>
      <x:c r="F92" s="40" t="str">
        <x:f>F21</x:f>
        <x:v>UNIVERSAL_STOP</x:v>
      </x:c>
      <x:c r="G92" s="40" t="n">
        <x:f>G21</x:f>
        <x:v>0</x:v>
      </x:c>
      <x:c r="H92" s="40" t="n">
        <x:f>H21</x:f>
        <x:v>0</x:v>
      </x:c>
      <x:c r="I92" s="40" t="n">
        <x:f>IF(E92=0,1,SUMIFS('03 Dependencies'!$I$6:$I$53,'03 Dependencies'!$C$6:$C$53,C92,'03 Dependencies'!$D$6:$D$53,E92))</x:f>
        <x:v>1</x:v>
      </x:c>
      <x:c r="J92" s="38" t="n">
        <x:f>IF(C92="K4",'01 Controls'!$D$13,0)</x:f>
        <x:v>1</x:v>
      </x:c>
      <x:c r="K92" s="40" t="n">
        <x:f>IF(OR(F92="UNIVERSAL_STOP",F92="RESERVE",F92="CROSS_PATH",F92="LOSE_A"),0,IF(F92="LOSE_B",1,IF(F92="BASELINE",1,IF(I92=1,0,0))))</x:f>
        <x:v>0</x:v>
      </x:c>
      <x:c r="L92" s="40" t="n">
        <x:f>IF(OR(F92="UNIVERSAL_STOP",F92="RESERVE",F92="CROSS_PATH",F92="LOSE_B"),0,IF(F92="LOSE_A",1,IF(F92="BASELINE",1,IF(I92=1,1,0))))</x:f>
        <x:v>0</x:v>
      </x:c>
      <x:c r="M92" s="40" t="n">
        <x:f>IF(OR(F92="RESERVE",F92="CROSS_PATH"),J92,0)</x:f>
        <x:v>0</x:v>
      </x:c>
      <x:c r="N92" s="40" t="n">
        <x:f>MIN('01 Controls'!$D$6,(K92+L92+M92)*'01 Controls'!$D$7)</x:f>
        <x:v>0</x:v>
      </x:c>
      <x:c r="O92" s="17" t="str">
        <x:f>IF(H92=0,"n.a.",IF(N92&gt;=G92,"PASS","FAIL"))</x:f>
        <x:v>n.a.</x:v>
      </x:c>
      <x:c r="P92" s="17" t="str">
        <x:f>IF(F92="UNIVERSAL_STOP",IF(N92=0,"PASS","FAIL"),"PASS")</x:f>
        <x:v>PASS</x:v>
      </x:c>
      <x:c r="Q92" s="17" t="str">
        <x:f>IF(AND(OR(O92="PASS",O92="n.a."),P92="PASS"),"PASS","FAIL")</x:f>
        <x:v>PASS</x:v>
      </x:c>
      <x:c r="R92" s="17" t="n">
        <x:f>SUMIFS('03 Dependencies'!$P$6:$P$9,'03 Dependencies'!$N$6:$N$9,C92)</x:f>
        <x:v>0</x:v>
      </x:c>
      <x:c r="S92" s="17" t="n">
        <x:f>SUMIFS('03 Dependencies'!$R$6:$R$9,'03 Dependencies'!$N$6:$N$9,C92)</x:f>
        <x:v>3</x:v>
      </x:c>
      <x:c r="T92" s="17" t="str">
        <x:f>IF(AND('01 Controls'!$D$16&gt;='01 Controls'!$D$17,'01 Controls'!$D$18="ELIGIBLE"),"ADMITTED","DENIED")</x:f>
        <x:v>DENIED</x:v>
      </x:c>
      <x:c r="U92" s="17" t="str">
        <x:f>IF(F92="UNIVERSAL_STOP","LAWFUL UNIVERSAL STOP",IF(Q92="PASS",IF(N92&gt;=G92,"REQUIRED SERVICE RETAINED","SAFE HOLD"),"SERVICE CHAIN COLLAPSES"))</x:f>
        <x:v>LAWFUL UNIVERSAL STOP</x:v>
      </x:c>
      <x:c r="V92" s="17" t="str">
        <x:v>OPEN</x:v>
      </x:c>
    </x:row>
    <x:row r="93" ht="35" customHeight="1">
      <x:c r="C93" s="17" t="str">
        <x:v>K4</x:v>
      </x:c>
      <x:c r="D93" s="17" t="str">
        <x:v>W16</x:v>
      </x:c>
      <x:c r="E93" s="40" t="n">
        <x:f>E22</x:f>
        <x:v>0</x:v>
      </x:c>
      <x:c r="F93" s="40" t="str">
        <x:f>F22</x:f>
        <x:v>CROSS_PATH</x:v>
      </x:c>
      <x:c r="G93" s="40" t="n">
        <x:f>G22</x:f>
        <x:v>5000</x:v>
      </x:c>
      <x:c r="H93" s="40" t="n">
        <x:f>H22</x:f>
        <x:v>1</x:v>
      </x:c>
      <x:c r="I93" s="40" t="n">
        <x:f>IF(E93=0,1,SUMIFS('03 Dependencies'!$I$6:$I$53,'03 Dependencies'!$C$6:$C$53,C93,'03 Dependencies'!$D$6:$D$53,E93))</x:f>
        <x:v>1</x:v>
      </x:c>
      <x:c r="J93" s="38" t="n">
        <x:f>IF(C93="K4",'01 Controls'!$D$13,0)</x:f>
        <x:v>1</x:v>
      </x:c>
      <x:c r="K93" s="40" t="n">
        <x:f>IF(OR(F93="UNIVERSAL_STOP",F93="RESERVE",F93="CROSS_PATH",F93="LOSE_A"),0,IF(F93="LOSE_B",1,IF(F93="BASELINE",1,IF(I93=1,0,0))))</x:f>
        <x:v>0</x:v>
      </x:c>
      <x:c r="L93" s="40" t="n">
        <x:f>IF(OR(F93="UNIVERSAL_STOP",F93="RESERVE",F93="CROSS_PATH",F93="LOSE_B"),0,IF(F93="LOSE_A",1,IF(F93="BASELINE",1,IF(I93=1,1,0))))</x:f>
        <x:v>0</x:v>
      </x:c>
      <x:c r="M93" s="40" t="n">
        <x:f>IF(OR(F93="RESERVE",F93="CROSS_PATH"),J93,0)</x:f>
        <x:v>1</x:v>
      </x:c>
      <x:c r="N93" s="40" t="n">
        <x:f>MIN('01 Controls'!$D$6,(K93+L93+M93)*'01 Controls'!$D$7)</x:f>
        <x:v>5000</x:v>
      </x:c>
      <x:c r="O93" s="17" t="str">
        <x:f>IF(H93=0,"n.a.",IF(N93&gt;=G93,"PASS","FAIL"))</x:f>
        <x:v>PASS</x:v>
      </x:c>
      <x:c r="P93" s="17" t="str">
        <x:f>IF(F93="UNIVERSAL_STOP",IF(N93=0,"PASS","FAIL"),"PASS")</x:f>
        <x:v>PASS</x:v>
      </x:c>
      <x:c r="Q93" s="17" t="str">
        <x:f>IF(AND(OR(O93="PASS",O93="n.a."),P93="PASS"),"PASS","FAIL")</x:f>
        <x:v>PASS</x:v>
      </x:c>
      <x:c r="R93" s="17" t="n">
        <x:f>SUMIFS('03 Dependencies'!$P$6:$P$9,'03 Dependencies'!$N$6:$N$9,C93)</x:f>
        <x:v>0</x:v>
      </x:c>
      <x:c r="S93" s="17" t="n">
        <x:f>SUMIFS('03 Dependencies'!$R$6:$R$9,'03 Dependencies'!$N$6:$N$9,C93)</x:f>
        <x:v>3</x:v>
      </x:c>
      <x:c r="T93" s="17" t="str">
        <x:f>IF(AND('01 Controls'!$D$16&gt;='01 Controls'!$D$17,'01 Controls'!$D$18="ELIGIBLE"),"ADMITTED","DENIED")</x:f>
        <x:v>DENIED</x:v>
      </x:c>
      <x:c r="U93" s="17" t="str">
        <x:f>IF(F93="UNIVERSAL_STOP","LAWFUL UNIVERSAL STOP",IF(Q93="PASS",IF(N93&gt;=G93,"REQUIRED SERVICE RETAINED","SAFE HOLD"),"SERVICE CHAIN COLLAPSES"))</x:f>
        <x:v>REQUIRED SERVICE RETAINED</x:v>
      </x:c>
      <x:c r="V93" s="17" t="str">
        <x:v>OPEN</x:v>
      </x:c>
    </x:row>
  </x:sheetData>
  <x:mergeCells>
    <x:mergeCell ref="C2:V2"/>
    <x:mergeCell ref="C3:V3"/>
  </x:mergeCells>
  <x:conditionalFormatting sqref="O26:Q93">
    <x:cfRule type="containsText" dxfId="21" priority="1" operator="containsText" text="FAIL"/>
    <x:cfRule type="containsText" dxfId="22" priority="2" operator="containsText" text="DENIED"/>
    <x:cfRule type="containsText" dxfId="23" priority="3" operator="containsText" text="BLOCKED"/>
    <x:cfRule type="containsText" dxfId="24" priority="4" operator="containsText" text="OPEN"/>
    <x:cfRule type="containsText" dxfId="25" priority="5" operator="containsText" text="DECLARED"/>
    <x:cfRule type="containsText" dxfId="26" priority="6" operator="containsText" text="PASS"/>
    <x:cfRule type="containsText" dxfId="27" priority="7" operator="containsText" text="ADMITTED"/>
  </x:conditionalFormatting>
  <x:conditionalFormatting sqref="T26:V93">
    <x:cfRule type="containsText" dxfId="28" priority="8" operator="containsText" text="FAIL"/>
    <x:cfRule type="containsText" dxfId="29" priority="9" operator="containsText" text="DENIED"/>
    <x:cfRule type="containsText" dxfId="30" priority="10" operator="containsText" text="BLOCKED"/>
    <x:cfRule type="containsText" dxfId="31" priority="11" operator="containsText" text="OPEN"/>
    <x:cfRule type="containsText" dxfId="32" priority="12" operator="containsText" text="DECLARED"/>
    <x:cfRule type="containsText" dxfId="33" priority="13" operator="containsText" text="PASS"/>
    <x:cfRule type="containsText" dxfId="34" priority="14" operator="containsText" text="ADMITTED"/>
  </x:conditionalFormatting>
  <x:pageMargins left="0.7" right="0.7" top="0.75" bottom="0.75" header="0.3" footer="0.3"/>
  <x:tableParts count="2">
    <x:tablePart xmlns:r="http://schemas.openxmlformats.org/officeDocument/2006/relationships" r:id="R31b497d5c7364b0d"/>
    <x:tablePart xmlns:r="http://schemas.openxmlformats.org/officeDocument/2006/relationships" r:id="R6cd38f7c43e8436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20" topLeftCell="E21" activePane="bottomRight" state="frozen"/>
    </x:sheetView>
  </x:sheetViews>
  <x:sheetFormatPr defaultRowHeight="15"/>
  <x:cols>
    <x:col min="3" max="3" width="14" hidden="0" customWidth="1"/>
    <x:col min="4" max="4" width="40" hidden="0" customWidth="1"/>
    <x:col min="5" max="5" width="12" hidden="0" customWidth="1"/>
    <x:col min="6" max="6" width="14" hidden="0" customWidth="1"/>
    <x:col min="7" max="7" width="18" hidden="0" customWidth="1"/>
    <x:col min="8" max="8" width="12" hidden="0" customWidth="1"/>
    <x:col min="9" max="9" width="18" hidden="0" customWidth="1"/>
    <x:col min="10" max="10" width="24" hidden="0" customWidth="1"/>
    <x:col min="11" max="11" width="11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1" hidden="0" customWidth="1"/>
    <x:col min="17" max="17" width="10" hidden="0" customWidth="1"/>
    <x:col min="18" max="18" width="18" hidden="0" customWidth="1"/>
  </x:cols>
  <x:sheetData>
    <x:row r="2">
      <x:c r="C2" s="27" t="str">
        <x:v>Configuration and force composition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30"/>
      <x:c r="R2" s="30"/>
    </x:row>
    <x:row r="3">
      <x:c r="C3" s="29" t="str">
        <x:v>Every additional failure domain has mass, crew, equipment cost and an organizational owner. K4 adds a third complete 5,000 m³/day cell for concurrent demand.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30"/>
      <x:c r="R3" s="30"/>
    </x:row>
    <x:row r="4"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</x:row>
    <x:row r="5">
      <x:c r="C5" s="9" t="str">
        <x:v>Component</x:v>
      </x:c>
      <x:c r="D5" s="9" t="str">
        <x:v>Boundary</x:v>
      </x:c>
      <x:c r="E5" s="9" t="str">
        <x:v>Dry t</x:v>
      </x:c>
      <x:c r="F5" s="9" t="str">
        <x:v>Chargeable t</x:v>
      </x:c>
      <x:c r="G5" s="9" t="str">
        <x:v>Crew</x:v>
      </x:c>
      <x:c r="H5" s="9" t="str">
        <x:v>Equipment $B</x:v>
      </x:c>
      <x:c r="I5" s="9" t="str">
        <x:v>Owner</x:v>
      </x:c>
      <x:c r="J5" s="9" t="str">
        <x:v>Configuration note</x:v>
      </x:c>
      <x:c r="K5" s="30"/>
      <x:c r="L5" s="30"/>
      <x:c r="M5" s="30"/>
      <x:c r="N5" s="30"/>
      <x:c r="O5" s="30"/>
      <x:c r="P5" s="30"/>
      <x:c r="Q5" s="30"/>
      <x:c r="R5" s="30"/>
    </x:row>
    <x:row r="6" ht="56" customHeight="1">
      <x:c r="C6" s="17" t="str">
        <x:v>Path A source core</x:v>
      </x:c>
      <x:c r="D6" s="17" t="str">
        <x:v>Source + treatment</x:v>
      </x:c>
      <x:c r="E6" s="40" t="n">
        <x:v>920</x:v>
      </x:c>
      <x:c r="F6" s="40" t="n">
        <x:v>1100</x:v>
      </x:c>
      <x:c r="G6" s="40" t="n">
        <x:v>72</x:v>
      </x:c>
      <x:c r="H6" s="39" t="n">
        <x:v>0.95</x:v>
      </x:c>
      <x:c r="I6" s="17" t="str">
        <x:v>Protected Aquifer Regiment</x:v>
      </x:c>
      <x:c r="J6" s="17" t="str">
        <x:v>Prepared wellfield, treatment, organic source power, residual control and laboratory</x:v>
      </x:c>
      <x:c r="K6" s="30"/>
      <x:c r="L6" s="30"/>
      <x:c r="M6" s="30"/>
      <x:c r="N6" s="30"/>
      <x:c r="O6" s="30"/>
      <x:c r="P6" s="30"/>
      <x:c r="Q6" s="30"/>
      <x:c r="R6" s="30"/>
    </x:row>
    <x:row r="7" ht="56" customHeight="1">
      <x:c r="C7" s="17" t="str">
        <x:v>Path B source core</x:v>
      </x:c>
      <x:c r="D7" s="17" t="str">
        <x:v>Source + treatment</x:v>
      </x:c>
      <x:c r="E7" s="40" t="n">
        <x:v>2710</x:v>
      </x:c>
      <x:c r="F7" s="40" t="n">
        <x:v>3010</x:v>
      </x:c>
      <x:c r="G7" s="40" t="n">
        <x:v>110</x:v>
      </x:c>
      <x:c r="H7" s="39" t="n">
        <x:v>2.2</x:v>
      </x:c>
      <x:c r="I7" s="17" t="str">
        <x:v>Adaptive Inland Treatment Group</x:v>
      </x:c>
      <x:c r="J7" s="17" t="str">
        <x:v>Variable-feed C3 with E2 regeneration and dewatering</x:v>
      </x:c>
      <x:c r="K7" s="30"/>
      <x:c r="L7" s="30"/>
      <x:c r="M7" s="30"/>
      <x:c r="N7" s="30"/>
      <x:c r="O7" s="30"/>
      <x:c r="P7" s="30"/>
      <x:c r="Q7" s="30"/>
      <x:c r="R7" s="30"/>
    </x:row>
    <x:row r="8" ht="56" customHeight="1">
      <x:c r="C8" s="17" t="str">
        <x:v>Carrier and sanitary corridor cell</x:v>
      </x:c>
      <x:c r="D8" s="17" t="str">
        <x:v>Carrier / corridor</x:v>
      </x:c>
      <x:c r="E8" s="40" t="n">
        <x:v>250</x:v>
      </x:c>
      <x:c r="F8" s="40" t="n">
        <x:v>300</x:v>
      </x:c>
      <x:c r="G8" s="40" t="n">
        <x:v>12</x:v>
      </x:c>
      <x:c r="H8" s="39" t="n">
        <x:v>0.18</x:v>
      </x:c>
      <x:c r="I8" s="17" t="str">
        <x:v>Strategic Mobility Command</x:v>
      </x:c>
      <x:c r="J8" s="17" t="str">
        <x:v>Configured lift, route and sanitary final approach</x:v>
      </x:c>
      <x:c r="K8" s="30"/>
      <x:c r="L8" s="30"/>
      <x:c r="M8" s="30"/>
      <x:c r="N8" s="30"/>
      <x:c r="O8" s="30"/>
      <x:c r="P8" s="30"/>
      <x:c r="Q8" s="30"/>
      <x:c r="R8" s="30"/>
    </x:row>
    <x:row r="9" ht="56" customHeight="1">
      <x:c r="C9" s="17" t="str">
        <x:v>Reception and transfer cell</x:v>
      </x:c>
      <x:c r="D9" s="17" t="str">
        <x:v>Receiving node</x:v>
      </x:c>
      <x:c r="E9" s="40" t="n">
        <x:v>180</x:v>
      </x:c>
      <x:c r="F9" s="40" t="n">
        <x:v>220</x:v>
      </x:c>
      <x:c r="G9" s="40" t="n">
        <x:v>10</x:v>
      </x:c>
      <x:c r="H9" s="39" t="n">
        <x:v>0.12</x:v>
      </x:c>
      <x:c r="I9" s="17" t="str">
        <x:v>Reception Command</x:v>
      </x:c>
      <x:c r="J9" s="17" t="str">
        <x:v>Unloading, staging, custody and clean transfer</x:v>
      </x:c>
      <x:c r="K9" s="30"/>
      <x:c r="L9" s="30"/>
      <x:c r="M9" s="30"/>
      <x:c r="N9" s="30"/>
      <x:c r="O9" s="30"/>
      <x:c r="P9" s="30"/>
      <x:c r="Q9" s="30"/>
      <x:c r="R9" s="30"/>
    </x:row>
    <x:row r="10" ht="56" customHeight="1">
      <x:c r="C10" s="17" t="str">
        <x:v>Receiver power-autonomy cell</x:v>
      </x:c>
      <x:c r="D10" s="17" t="str">
        <x:v>Power</x:v>
      </x:c>
      <x:c r="E10" s="40" t="n">
        <x:v>160</x:v>
      </x:c>
      <x:c r="F10" s="40" t="n">
        <x:v>190</x:v>
      </x:c>
      <x:c r="G10" s="40" t="n">
        <x:v>8</x:v>
      </x:c>
      <x:c r="H10" s="39" t="n">
        <x:v>0.14</x:v>
      </x:c>
      <x:c r="I10" s="17" t="str">
        <x:v>Utility Service</x:v>
      </x:c>
      <x:c r="J10" s="17" t="str">
        <x:v>Grid-forming generation, storage, protection and black start</x:v>
      </x:c>
      <x:c r="K10" s="30"/>
      <x:c r="L10" s="30"/>
      <x:c r="M10" s="30"/>
      <x:c r="N10" s="30"/>
      <x:c r="O10" s="30"/>
      <x:c r="P10" s="30"/>
      <x:c r="Q10" s="30"/>
      <x:c r="R10" s="30"/>
    </x:row>
    <x:row r="11" ht="56" customHeight="1">
      <x:c r="C11" s="17" t="str">
        <x:v>Quality and release workcell</x:v>
      </x:c>
      <x:c r="D11" s="17" t="str">
        <x:v>Quality / release</x:v>
      </x:c>
      <x:c r="E11" s="40" t="n">
        <x:v>45</x:v>
      </x:c>
      <x:c r="F11" s="40" t="n">
        <x:v>55</x:v>
      </x:c>
      <x:c r="G11" s="40" t="n">
        <x:v>8</x:v>
      </x:c>
      <x:c r="H11" s="39" t="n">
        <x:v>0.08</x:v>
      </x:c>
      <x:c r="I11" s="17" t="str">
        <x:v>Water Assurance Directorate</x:v>
      </x:c>
      <x:c r="J11" s="17" t="str">
        <x:v>Sampling, bounded analysis, custody and local signed release</x:v>
      </x:c>
      <x:c r="K11" s="30"/>
      <x:c r="L11" s="30"/>
      <x:c r="M11" s="30"/>
      <x:c r="N11" s="30"/>
      <x:c r="O11" s="30"/>
      <x:c r="P11" s="30"/>
      <x:c r="Q11" s="30"/>
      <x:c r="R11" s="30"/>
    </x:row>
    <x:row r="12" ht="56" customHeight="1">
      <x:c r="C12" s="17" t="str">
        <x:v>Hydraulic service island</x:v>
      </x:c>
      <x:c r="D12" s="17" t="str">
        <x:v>Receiver island</x:v>
      </x:c>
      <x:c r="E12" s="40" t="n">
        <x:v>260</x:v>
      </x:c>
      <x:c r="F12" s="40" t="n">
        <x:v>300</x:v>
      </x:c>
      <x:c r="G12" s="40" t="n">
        <x:v>12</x:v>
      </x:c>
      <x:c r="H12" s="39" t="n">
        <x:v>0.18</x:v>
      </x:c>
      <x:c r="I12" s="17" t="str">
        <x:v>Water Service</x:v>
      </x:c>
      <x:c r="J12" s="17" t="str">
        <x:v>Storage, isolation, pressure, accessible issue and product identity</x:v>
      </x:c>
      <x:c r="K12" s="30"/>
      <x:c r="L12" s="30"/>
      <x:c r="M12" s="30"/>
      <x:c r="N12" s="30"/>
      <x:c r="O12" s="30"/>
      <x:c r="P12" s="30"/>
      <x:c r="Q12" s="30"/>
      <x:c r="R12" s="30"/>
    </x:row>
    <x:row r="13" ht="56" customHeight="1">
      <x:c r="C13" s="17" t="str">
        <x:v>Process-material lineage pack</x:v>
      </x:c>
      <x:c r="D13" s="17" t="str">
        <x:v>Material lot</x:v>
      </x:c>
      <x:c r="E13" s="40" t="n">
        <x:v>70</x:v>
      </x:c>
      <x:c r="F13" s="40" t="n">
        <x:v>85</x:v>
      </x:c>
      <x:c r="G13" s="40" t="n">
        <x:v>4</x:v>
      </x:c>
      <x:c r="H13" s="39" t="n">
        <x:v>0.04</x:v>
      </x:c>
      <x:c r="I13" s="17" t="str">
        <x:v>Process-Materials Command</x:v>
      </x:c>
      <x:c r="J13" s="17" t="str">
        <x:v>Separate reagents, media, calibration and sterile-part ancestry</x:v>
      </x:c>
      <x:c r="K13" s="30"/>
      <x:c r="L13" s="30"/>
      <x:c r="M13" s="30"/>
      <x:c r="N13" s="30"/>
      <x:c r="O13" s="30"/>
      <x:c r="P13" s="30"/>
      <x:c r="Q13" s="30"/>
      <x:c r="R13" s="30"/>
    </x:row>
    <x:row r="14" ht="56" customHeight="1">
      <x:c r="C14" s="17" t="str">
        <x:v>Crew continuity package</x:v>
      </x:c>
      <x:c r="D14" s="17" t="str">
        <x:v>Crew cohort</x:v>
      </x:c>
      <x:c r="E14" s="40" t="n">
        <x:v>30</x:v>
      </x:c>
      <x:c r="F14" s="40" t="n">
        <x:v>40</x:v>
      </x:c>
      <x:c r="G14" s="40" t="n">
        <x:v>18</x:v>
      </x:c>
      <x:c r="H14" s="39" t="n">
        <x:v>0.03</x:v>
      </x:c>
      <x:c r="I14" s="17" t="str">
        <x:v>Water Service Personnel Command</x:v>
      </x:c>
      <x:c r="J14" s="17" t="str">
        <x:v>Watch depth, medical clearance, isolation and relief</x:v>
      </x:c>
      <x:c r="K14" s="30"/>
      <x:c r="L14" s="30"/>
      <x:c r="M14" s="30"/>
      <x:c r="N14" s="30"/>
      <x:c r="O14" s="30"/>
      <x:c r="P14" s="30"/>
      <x:c r="Q14" s="30"/>
      <x:c r="R14" s="30"/>
    </x:row>
    <x:row r="15" ht="56" customHeight="1">
      <x:c r="C15" s="17" t="str">
        <x:v>Regeneration-depot interface</x:v>
      </x:c>
      <x:c r="D15" s="17" t="str">
        <x:v>Reset depot</x:v>
      </x:c>
      <x:c r="E15" s="40" t="n">
        <x:v>140</x:v>
      </x:c>
      <x:c r="F15" s="40" t="n">
        <x:v>170</x:v>
      </x:c>
      <x:c r="G15" s="40" t="n">
        <x:v>10</x:v>
      </x:c>
      <x:c r="H15" s="39" t="n">
        <x:v>0.1</x:v>
      </x:c>
      <x:c r="I15" s="17" t="str">
        <x:v>Sustainment and Reconstitution Command</x:v>
      </x:c>
      <x:c r="J15" s="17" t="str">
        <x:v>Cleaning, media restoration, residual transfer and recertification</x:v>
      </x:c>
      <x:c r="K15" s="30"/>
      <x:c r="L15" s="30"/>
      <x:c r="M15" s="30"/>
      <x:c r="N15" s="30"/>
      <x:c r="O15" s="30"/>
      <x:c r="P15" s="30"/>
      <x:c r="Q15" s="30"/>
      <x:c r="R15" s="30"/>
    </x:row>
    <x:row r="16" ht="56" customHeight="1">
      <x:c r="C16" s="17" t="str">
        <x:v>Offline control and evidence cell</x:v>
      </x:c>
      <x:c r="D16" s="17" t="str">
        <x:v>Control / evidence</x:v>
      </x:c>
      <x:c r="E16" s="40" t="n">
        <x:v>25</x:v>
      </x:c>
      <x:c r="F16" s="40" t="n">
        <x:v>30</x:v>
      </x:c>
      <x:c r="G16" s="40" t="n">
        <x:v>4</x:v>
      </x:c>
      <x:c r="H16" s="39" t="n">
        <x:v>0.05</x:v>
      </x:c>
      <x:c r="I16" s="17" t="str">
        <x:v>Joint Campaign Assurance Command</x:v>
      </x:c>
      <x:c r="J16" s="17" t="str">
        <x:v>Independent controls, physical stop and reconcilable offline record</x:v>
      </x:c>
      <x:c r="K16" s="30"/>
      <x:c r="L16" s="30"/>
      <x:c r="M16" s="30"/>
      <x:c r="N16" s="30"/>
      <x:c r="O16" s="30"/>
      <x:c r="P16" s="30"/>
      <x:c r="Q16" s="30"/>
      <x:c r="R16" s="30"/>
    </x:row>
    <x:row r="17" ht="56" customHeight="1">
      <x:c r="C17" s="17" t="str">
        <x:v>Mobilization-base package</x:v>
      </x:c>
      <x:c r="D17" s="17" t="str">
        <x:v>Mobilization base</x:v>
      </x:c>
      <x:c r="E17" s="40" t="n">
        <x:v>90</x:v>
      </x:c>
      <x:c r="F17" s="40" t="n">
        <x:v>120</x:v>
      </x:c>
      <x:c r="G17" s="40" t="n">
        <x:v>6</x:v>
      </x:c>
      <x:c r="H17" s="39" t="n">
        <x:v>0.06</x:v>
      </x:c>
      <x:c r="I17" s="17" t="str">
        <x:v>Force Generation Command</x:v>
      </x:c>
      <x:c r="J17" s="17" t="str">
        <x:v>Separate storage, maintenance, loading and activation domain</x:v>
      </x:c>
      <x:c r="K17" s="30"/>
      <x:c r="L17" s="30"/>
      <x:c r="M17" s="30"/>
      <x:c r="N17" s="30"/>
      <x:c r="O17" s="30"/>
      <x:c r="P17" s="30"/>
      <x:c r="Q17" s="30"/>
      <x:c r="R17" s="30"/>
    </x:row>
    <x:row r="18"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</x:row>
    <x:row r="19"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</x:row>
    <x:row r="20">
      <x:c r="C20" s="9" t="str">
        <x:v>Architecture</x:v>
      </x:c>
      <x:c r="D20" s="9" t="str">
        <x:v>Component</x:v>
      </x:c>
      <x:c r="E20" s="9" t="str">
        <x:v>Quantity</x:v>
      </x:c>
      <x:c r="F20" s="9" t="str">
        <x:v>Dry t</x:v>
      </x:c>
      <x:c r="G20" s="9" t="str">
        <x:v>Chargeable t</x:v>
      </x:c>
      <x:c r="H20" s="9" t="str">
        <x:v>Crew</x:v>
      </x:c>
      <x:c r="I20" s="9" t="str">
        <x:v>Equipment $B</x:v>
      </x:c>
      <x:c r="J20" s="9" t="str">
        <x:v>Boundary instances</x:v>
      </x:c>
      <x:c r="K20" s="9" t="str">
        <x:v>Source</x:v>
      </x:c>
      <x:c r="L20" s="9" t="str">
        <x:v>Treatment</x:v>
      </x:c>
      <x:c r="M20" s="9" t="str">
        <x:v>Carrier</x:v>
      </x:c>
      <x:c r="N20" s="9" t="str">
        <x:v>Node</x:v>
      </x:c>
      <x:c r="O20" s="9" t="str">
        <x:v>Power</x:v>
      </x:c>
      <x:c r="P20" s="9" t="str">
        <x:v>Quality</x:v>
      </x:c>
      <x:c r="Q20" s="9" t="str">
        <x:v>Island</x:v>
      </x:c>
      <x:c r="R20" s="9" t="str">
        <x:v>Reserve role</x:v>
      </x:c>
    </x:row>
    <x:row r="21" ht="28" customHeight="1">
      <x:c r="C21" s="17" t="str">
        <x:v>K1</x:v>
      </x:c>
      <x:c r="D21" s="17" t="str">
        <x:v>Path A source core</x:v>
      </x:c>
      <x:c r="E21" s="40" t="n">
        <x:v>1</x:v>
      </x:c>
      <x:c r="F21" s="40" t="n">
        <x:f>E21*E6</x:f>
        <x:v>920</x:v>
      </x:c>
      <x:c r="G21" s="40" t="n">
        <x:f>E21*F6</x:f>
        <x:v>1100</x:v>
      </x:c>
      <x:c r="H21" s="40" t="n">
        <x:f>E21*G6</x:f>
        <x:v>72</x:v>
      </x:c>
      <x:c r="I21" s="39" t="n">
        <x:f>E21*H6*'01 Controls'!$D$15</x:f>
        <x:v>0.95</x:v>
      </x:c>
      <x:c r="J21" s="17" t="str">
        <x:v>Source + treatment</x:v>
      </x:c>
      <x:c r="K21" s="17" t="n">
        <x:v>1</x:v>
      </x:c>
      <x:c r="L21" s="17" t="n">
        <x:v>0</x:v>
      </x:c>
      <x:c r="M21" s="17" t="n">
        <x:v>0</x:v>
      </x:c>
      <x:c r="N21" s="17" t="n">
        <x:v>0</x:v>
      </x:c>
      <x:c r="O21" s="17" t="n">
        <x:v>0</x:v>
      </x:c>
      <x:c r="P21" s="17" t="n">
        <x:v>0</x:v>
      </x:c>
      <x:c r="Q21" s="17" t="n">
        <x:v>0</x:v>
      </x:c>
      <x:c r="R21" s="17" t="str">
        <x:v>PAIR</x:v>
      </x:c>
    </x:row>
    <x:row r="22" ht="28" customHeight="1">
      <x:c r="C22" s="17" t="str">
        <x:v>K1</x:v>
      </x:c>
      <x:c r="D22" s="17" t="str">
        <x:v>Path B source core</x:v>
      </x:c>
      <x:c r="E22" s="40" t="n">
        <x:v>1</x:v>
      </x:c>
      <x:c r="F22" s="40" t="n">
        <x:f>E22*E7</x:f>
        <x:v>2710</x:v>
      </x:c>
      <x:c r="G22" s="40" t="n">
        <x:f>E22*F7</x:f>
        <x:v>3010</x:v>
      </x:c>
      <x:c r="H22" s="40" t="n">
        <x:f>E22*G7</x:f>
        <x:v>110</x:v>
      </x:c>
      <x:c r="I22" s="39" t="n">
        <x:f>E22*H7*'01 Controls'!$D$15</x:f>
        <x:v>2.2</x:v>
      </x:c>
      <x:c r="J22" s="17" t="str">
        <x:v>Source + treatment</x:v>
      </x:c>
      <x:c r="K22" s="17" t="n">
        <x:v>0</x:v>
      </x:c>
      <x:c r="L22" s="17" t="n">
        <x:v>1</x:v>
      </x:c>
      <x:c r="M22" s="17" t="n">
        <x:v>0</x:v>
      </x:c>
      <x:c r="N22" s="17" t="n">
        <x:v>0</x:v>
      </x:c>
      <x:c r="O22" s="17" t="n">
        <x:v>0</x:v>
      </x:c>
      <x:c r="P22" s="17" t="n">
        <x:v>0</x:v>
      </x:c>
      <x:c r="Q22" s="17" t="n">
        <x:v>0</x:v>
      </x:c>
      <x:c r="R22" s="17" t="str">
        <x:v>PAIR</x:v>
      </x:c>
    </x:row>
    <x:row r="23" ht="28" customHeight="1">
      <x:c r="C23" s="17" t="str">
        <x:v>K1</x:v>
      </x:c>
      <x:c r="D23" s="17" t="str">
        <x:v>Carrier and sanitary corridor cell</x:v>
      </x:c>
      <x:c r="E23" s="40" t="n">
        <x:v>1</x:v>
      </x:c>
      <x:c r="F23" s="40" t="n">
        <x:f>E23*E8*'01 Controls'!$D$14</x:f>
        <x:v>250</x:v>
      </x:c>
      <x:c r="G23" s="40" t="n">
        <x:f>E23*F8*'01 Controls'!$D$14</x:f>
        <x:v>300</x:v>
      </x:c>
      <x:c r="H23" s="40" t="n">
        <x:f>E23*G8</x:f>
        <x:v>12</x:v>
      </x:c>
      <x:c r="I23" s="39" t="n">
        <x:f>E23*H8*'01 Controls'!$D$15</x:f>
        <x:v>0.18</x:v>
      </x:c>
      <x:c r="J23" s="17" t="str">
        <x:v>Carrier / corridor</x:v>
      </x:c>
      <x:c r="K23" s="17" t="n">
        <x:v>0</x:v>
      </x:c>
      <x:c r="L23" s="17" t="n">
        <x:v>0</x:v>
      </x:c>
      <x:c r="M23" s="17" t="n">
        <x:v>1</x:v>
      </x:c>
      <x:c r="N23" s="17" t="n">
        <x:v>0</x:v>
      </x:c>
      <x:c r="O23" s="17" t="n">
        <x:v>0</x:v>
      </x:c>
      <x:c r="P23" s="17" t="n">
        <x:v>0</x:v>
      </x:c>
      <x:c r="Q23" s="17" t="n">
        <x:v>0</x:v>
      </x:c>
      <x:c r="R23" s="17" t="str">
        <x:v>PAIR</x:v>
      </x:c>
    </x:row>
    <x:row r="24" ht="28" customHeight="1">
      <x:c r="C24" s="17" t="str">
        <x:v>K1</x:v>
      </x:c>
      <x:c r="D24" s="17" t="str">
        <x:v>Reception and transfer cell</x:v>
      </x:c>
      <x:c r="E24" s="40" t="n">
        <x:v>1</x:v>
      </x:c>
      <x:c r="F24" s="40" t="n">
        <x:f>E24*E9*'01 Controls'!$D$14</x:f>
        <x:v>180</x:v>
      </x:c>
      <x:c r="G24" s="40" t="n">
        <x:f>E24*F9*'01 Controls'!$D$14</x:f>
        <x:v>220</x:v>
      </x:c>
      <x:c r="H24" s="40" t="n">
        <x:f>E24*G9</x:f>
        <x:v>10</x:v>
      </x:c>
      <x:c r="I24" s="39" t="n">
        <x:f>E24*H9*'01 Controls'!$D$15</x:f>
        <x:v>0.12</x:v>
      </x:c>
      <x:c r="J24" s="17" t="str">
        <x:v>Receiving node</x:v>
      </x:c>
      <x:c r="K24" s="17" t="n">
        <x:v>0</x:v>
      </x:c>
      <x:c r="L24" s="17" t="n">
        <x:v>0</x:v>
      </x:c>
      <x:c r="M24" s="17" t="n">
        <x:v>0</x:v>
      </x:c>
      <x:c r="N24" s="17" t="n">
        <x:v>1</x:v>
      </x:c>
      <x:c r="O24" s="17" t="n">
        <x:v>0</x:v>
      </x:c>
      <x:c r="P24" s="17" t="n">
        <x:v>0</x:v>
      </x:c>
      <x:c r="Q24" s="17" t="n">
        <x:v>0</x:v>
      </x:c>
      <x:c r="R24" s="17" t="str">
        <x:v>PAIR</x:v>
      </x:c>
    </x:row>
    <x:row r="25" ht="28" customHeight="1">
      <x:c r="C25" s="17" t="str">
        <x:v>K1</x:v>
      </x:c>
      <x:c r="D25" s="17" t="str">
        <x:v>Receiver power-autonomy cell</x:v>
      </x:c>
      <x:c r="E25" s="40" t="n">
        <x:v>1</x:v>
      </x:c>
      <x:c r="F25" s="40" t="n">
        <x:f>E25*E10*'01 Controls'!$D$14</x:f>
        <x:v>160</x:v>
      </x:c>
      <x:c r="G25" s="40" t="n">
        <x:f>E25*F10*'01 Controls'!$D$14</x:f>
        <x:v>190</x:v>
      </x:c>
      <x:c r="H25" s="40" t="n">
        <x:f>E25*G10</x:f>
        <x:v>8</x:v>
      </x:c>
      <x:c r="I25" s="39" t="n">
        <x:f>E25*H10*'01 Controls'!$D$15</x:f>
        <x:v>0.14</x:v>
      </x:c>
      <x:c r="J25" s="17" t="str">
        <x:v>Power</x:v>
      </x:c>
      <x:c r="K25" s="17" t="n">
        <x:v>0</x:v>
      </x:c>
      <x:c r="L25" s="17" t="n">
        <x:v>0</x:v>
      </x:c>
      <x:c r="M25" s="17" t="n">
        <x:v>0</x:v>
      </x:c>
      <x:c r="N25" s="17" t="n">
        <x:v>0</x:v>
      </x:c>
      <x:c r="O25" s="17" t="n">
        <x:v>1</x:v>
      </x:c>
      <x:c r="P25" s="17" t="n">
        <x:v>0</x:v>
      </x:c>
      <x:c r="Q25" s="17" t="n">
        <x:v>0</x:v>
      </x:c>
      <x:c r="R25" s="17" t="str">
        <x:v>PAIR</x:v>
      </x:c>
    </x:row>
    <x:row r="26" ht="28" customHeight="1">
      <x:c r="C26" s="17" t="str">
        <x:v>K1</x:v>
      </x:c>
      <x:c r="D26" s="17" t="str">
        <x:v>Quality and release workcell</x:v>
      </x:c>
      <x:c r="E26" s="40" t="n">
        <x:v>1</x:v>
      </x:c>
      <x:c r="F26" s="40" t="n">
        <x:f>E26*E11*'01 Controls'!$D$14</x:f>
        <x:v>45</x:v>
      </x:c>
      <x:c r="G26" s="40" t="n">
        <x:f>E26*F11*'01 Controls'!$D$14</x:f>
        <x:v>55</x:v>
      </x:c>
      <x:c r="H26" s="40" t="n">
        <x:f>E26*G11</x:f>
        <x:v>8</x:v>
      </x:c>
      <x:c r="I26" s="39" t="n">
        <x:f>E26*H11*'01 Controls'!$D$15</x:f>
        <x:v>0.08</x:v>
      </x:c>
      <x:c r="J26" s="17" t="str">
        <x:v>Quality / release</x:v>
      </x:c>
      <x:c r="K26" s="17" t="n">
        <x:v>0</x:v>
      </x:c>
      <x:c r="L26" s="17" t="n">
        <x:v>0</x:v>
      </x:c>
      <x:c r="M26" s="17" t="n">
        <x:v>0</x:v>
      </x:c>
      <x:c r="N26" s="17" t="n">
        <x:v>0</x:v>
      </x:c>
      <x:c r="O26" s="17" t="n">
        <x:v>0</x:v>
      </x:c>
      <x:c r="P26" s="17" t="n">
        <x:v>1</x:v>
      </x:c>
      <x:c r="Q26" s="17" t="n">
        <x:v>0</x:v>
      </x:c>
      <x:c r="R26" s="17" t="str">
        <x:v>PAIR</x:v>
      </x:c>
    </x:row>
    <x:row r="27" ht="28" customHeight="1">
      <x:c r="C27" s="17" t="str">
        <x:v>K1</x:v>
      </x:c>
      <x:c r="D27" s="17" t="str">
        <x:v>Hydraulic service island</x:v>
      </x:c>
      <x:c r="E27" s="40" t="n">
        <x:v>1</x:v>
      </x:c>
      <x:c r="F27" s="40" t="n">
        <x:f>E27*E12*'01 Controls'!$D$14</x:f>
        <x:v>260</x:v>
      </x:c>
      <x:c r="G27" s="40" t="n">
        <x:f>E27*F12*'01 Controls'!$D$14</x:f>
        <x:v>300</x:v>
      </x:c>
      <x:c r="H27" s="40" t="n">
        <x:f>E27*G12</x:f>
        <x:v>12</x:v>
      </x:c>
      <x:c r="I27" s="39" t="n">
        <x:f>E27*H12*'01 Controls'!$D$15</x:f>
        <x:v>0.18</x:v>
      </x:c>
      <x:c r="J27" s="17" t="str">
        <x:v>Receiver island</x:v>
      </x:c>
      <x:c r="K27" s="17" t="n">
        <x:v>0</x:v>
      </x:c>
      <x:c r="L27" s="17" t="n">
        <x:v>0</x:v>
      </x:c>
      <x:c r="M27" s="17" t="n">
        <x:v>0</x:v>
      </x:c>
      <x:c r="N27" s="17" t="n">
        <x:v>0</x:v>
      </x:c>
      <x:c r="O27" s="17" t="n">
        <x:v>0</x:v>
      </x:c>
      <x:c r="P27" s="17" t="n">
        <x:v>0</x:v>
      </x:c>
      <x:c r="Q27" s="17" t="n">
        <x:v>1</x:v>
      </x:c>
      <x:c r="R27" s="17" t="str">
        <x:v>PAIR</x:v>
      </x:c>
    </x:row>
    <x:row r="28" ht="28" customHeight="1">
      <x:c r="C28" s="17" t="str">
        <x:v>K1</x:v>
      </x:c>
      <x:c r="D28" s="17" t="str">
        <x:v>Process-material lineage pack</x:v>
      </x:c>
      <x:c r="E28" s="40" t="n">
        <x:v>1</x:v>
      </x:c>
      <x:c r="F28" s="40" t="n">
        <x:f>E28*E13*'01 Controls'!$D$14</x:f>
        <x:v>70</x:v>
      </x:c>
      <x:c r="G28" s="40" t="n">
        <x:f>E28*F13*'01 Controls'!$D$14</x:f>
        <x:v>85</x:v>
      </x:c>
      <x:c r="H28" s="40" t="n">
        <x:f>E28*G13</x:f>
        <x:v>4</x:v>
      </x:c>
      <x:c r="I28" s="39" t="n">
        <x:f>E28*H13*'01 Controls'!$D$15</x:f>
        <x:v>0.04</x:v>
      </x:c>
      <x:c r="J28" s="17" t="str">
        <x:v>Material lot</x:v>
      </x:c>
      <x:c r="K28" s="17" t="n">
        <x:v>0</x:v>
      </x:c>
      <x:c r="L28" s="17" t="n">
        <x:v>0</x:v>
      </x:c>
      <x:c r="M28" s="17" t="n">
        <x:v>0</x:v>
      </x:c>
      <x:c r="N28" s="17" t="n">
        <x:v>0</x:v>
      </x:c>
      <x:c r="O28" s="17" t="n">
        <x:v>0</x:v>
      </x:c>
      <x:c r="P28" s="17" t="n">
        <x:v>0</x:v>
      </x:c>
      <x:c r="Q28" s="17" t="n">
        <x:v>0</x:v>
      </x:c>
      <x:c r="R28" s="17" t="str">
        <x:v>PAIR</x:v>
      </x:c>
    </x:row>
    <x:row r="29" ht="28" customHeight="1">
      <x:c r="C29" s="17" t="str">
        <x:v>K1</x:v>
      </x:c>
      <x:c r="D29" s="17" t="str">
        <x:v>Crew continuity package</x:v>
      </x:c>
      <x:c r="E29" s="40" t="n">
        <x:v>1</x:v>
      </x:c>
      <x:c r="F29" s="40" t="n">
        <x:f>E29*E14*'01 Controls'!$D$14</x:f>
        <x:v>30</x:v>
      </x:c>
      <x:c r="G29" s="40" t="n">
        <x:f>E29*F14*'01 Controls'!$D$14</x:f>
        <x:v>40</x:v>
      </x:c>
      <x:c r="H29" s="40" t="n">
        <x:f>E29*G14</x:f>
        <x:v>18</x:v>
      </x:c>
      <x:c r="I29" s="39" t="n">
        <x:f>E29*H14*'01 Controls'!$D$15</x:f>
        <x:v>0.03</x:v>
      </x:c>
      <x:c r="J29" s="17" t="str">
        <x:v>Crew cohort</x:v>
      </x:c>
      <x:c r="K29" s="17" t="n">
        <x:v>0</x:v>
      </x:c>
      <x:c r="L29" s="17" t="n">
        <x:v>0</x:v>
      </x:c>
      <x:c r="M29" s="17" t="n">
        <x:v>0</x:v>
      </x:c>
      <x:c r="N29" s="17" t="n">
        <x:v>0</x:v>
      </x:c>
      <x:c r="O29" s="17" t="n">
        <x:v>0</x:v>
      </x:c>
      <x:c r="P29" s="17" t="n">
        <x:v>0</x:v>
      </x:c>
      <x:c r="Q29" s="17" t="n">
        <x:v>0</x:v>
      </x:c>
      <x:c r="R29" s="17" t="str">
        <x:v>PAIR</x:v>
      </x:c>
    </x:row>
    <x:row r="30" ht="28" customHeight="1">
      <x:c r="C30" s="17" t="str">
        <x:v>K1</x:v>
      </x:c>
      <x:c r="D30" s="17" t="str">
        <x:v>Regeneration-depot interface</x:v>
      </x:c>
      <x:c r="E30" s="40" t="n">
        <x:v>1</x:v>
      </x:c>
      <x:c r="F30" s="40" t="n">
        <x:f>E30*E15*'01 Controls'!$D$14</x:f>
        <x:v>140</x:v>
      </x:c>
      <x:c r="G30" s="40" t="n">
        <x:f>E30*F15*'01 Controls'!$D$14</x:f>
        <x:v>170</x:v>
      </x:c>
      <x:c r="H30" s="40" t="n">
        <x:f>E30*G15</x:f>
        <x:v>10</x:v>
      </x:c>
      <x:c r="I30" s="39" t="n">
        <x:f>E30*H15*'01 Controls'!$D$15</x:f>
        <x:v>0.1</x:v>
      </x:c>
      <x:c r="J30" s="17" t="str">
        <x:v>Reset depot</x:v>
      </x:c>
      <x:c r="K30" s="17" t="n">
        <x:v>0</x:v>
      </x:c>
      <x:c r="L30" s="17" t="n">
        <x:v>0</x:v>
      </x:c>
      <x:c r="M30" s="17" t="n">
        <x:v>0</x:v>
      </x:c>
      <x:c r="N30" s="17" t="n">
        <x:v>0</x:v>
      </x:c>
      <x:c r="O30" s="17" t="n">
        <x:v>0</x:v>
      </x:c>
      <x:c r="P30" s="17" t="n">
        <x:v>0</x:v>
      </x:c>
      <x:c r="Q30" s="17" t="n">
        <x:v>0</x:v>
      </x:c>
      <x:c r="R30" s="17" t="str">
        <x:v>PAIR</x:v>
      </x:c>
    </x:row>
    <x:row r="31" ht="28" customHeight="1">
      <x:c r="C31" s="17" t="str">
        <x:v>K1</x:v>
      </x:c>
      <x:c r="D31" s="17" t="str">
        <x:v>Offline control and evidence cell</x:v>
      </x:c>
      <x:c r="E31" s="40" t="n">
        <x:v>1</x:v>
      </x:c>
      <x:c r="F31" s="40" t="n">
        <x:f>E31*E16*'01 Controls'!$D$14</x:f>
        <x:v>25</x:v>
      </x:c>
      <x:c r="G31" s="40" t="n">
        <x:f>E31*F16*'01 Controls'!$D$14</x:f>
        <x:v>30</x:v>
      </x:c>
      <x:c r="H31" s="40" t="n">
        <x:f>E31*G16</x:f>
        <x:v>4</x:v>
      </x:c>
      <x:c r="I31" s="39" t="n">
        <x:f>E31*H16*'01 Controls'!$D$15</x:f>
        <x:v>0.05</x:v>
      </x:c>
      <x:c r="J31" s="17" t="str">
        <x:v>Control / evidence</x:v>
      </x:c>
      <x:c r="K31" s="17" t="n">
        <x:v>0</x:v>
      </x:c>
      <x:c r="L31" s="17" t="n">
        <x:v>0</x:v>
      </x:c>
      <x:c r="M31" s="17" t="n">
        <x:v>0</x:v>
      </x:c>
      <x:c r="N31" s="17" t="n">
        <x:v>0</x:v>
      </x:c>
      <x:c r="O31" s="17" t="n">
        <x:v>0</x:v>
      </x:c>
      <x:c r="P31" s="17" t="n">
        <x:v>0</x:v>
      </x:c>
      <x:c r="Q31" s="17" t="n">
        <x:v>0</x:v>
      </x:c>
      <x:c r="R31" s="17" t="str">
        <x:v>PAIR</x:v>
      </x:c>
    </x:row>
    <x:row r="32" ht="28" customHeight="1">
      <x:c r="C32" s="17" t="str">
        <x:v>K1</x:v>
      </x:c>
      <x:c r="D32" s="17" t="str">
        <x:v>Mobilization-base package</x:v>
      </x:c>
      <x:c r="E32" s="40" t="n">
        <x:v>1</x:v>
      </x:c>
      <x:c r="F32" s="40" t="n">
        <x:f>E32*E17*'01 Controls'!$D$14</x:f>
        <x:v>90</x:v>
      </x:c>
      <x:c r="G32" s="40" t="n">
        <x:f>E32*F17*'01 Controls'!$D$14</x:f>
        <x:v>120</x:v>
      </x:c>
      <x:c r="H32" s="40" t="n">
        <x:f>E32*G17</x:f>
        <x:v>6</x:v>
      </x:c>
      <x:c r="I32" s="39" t="n">
        <x:f>E32*H17*'01 Controls'!$D$15</x:f>
        <x:v>0.06</x:v>
      </x:c>
      <x:c r="J32" s="17" t="str">
        <x:v>Mobilization base</x:v>
      </x:c>
      <x:c r="K32" s="17" t="n">
        <x:v>0</x:v>
      </x:c>
      <x:c r="L32" s="17" t="n">
        <x:v>0</x:v>
      </x:c>
      <x:c r="M32" s="17" t="n">
        <x:v>0</x:v>
      </x:c>
      <x:c r="N32" s="17" t="n">
        <x:v>0</x:v>
      </x:c>
      <x:c r="O32" s="17" t="n">
        <x:v>0</x:v>
      </x:c>
      <x:c r="P32" s="17" t="n">
        <x:v>0</x:v>
      </x:c>
      <x:c r="Q32" s="17" t="n">
        <x:v>0</x:v>
      </x:c>
      <x:c r="R32" s="17" t="str">
        <x:v>PAIR</x:v>
      </x:c>
    </x:row>
    <x:row r="33" ht="28" customHeight="1">
      <x:c r="C33" s="17" t="str">
        <x:v>K2</x:v>
      </x:c>
      <x:c r="D33" s="17" t="str">
        <x:v>Path A source core</x:v>
      </x:c>
      <x:c r="E33" s="40" t="n">
        <x:v>1</x:v>
      </x:c>
      <x:c r="F33" s="40" t="n">
        <x:f>E33*E6</x:f>
        <x:v>920</x:v>
      </x:c>
      <x:c r="G33" s="40" t="n">
        <x:f>E33*F6</x:f>
        <x:v>1100</x:v>
      </x:c>
      <x:c r="H33" s="40" t="n">
        <x:f>E33*G6</x:f>
        <x:v>72</x:v>
      </x:c>
      <x:c r="I33" s="39" t="n">
        <x:f>E33*H6*'01 Controls'!$D$15</x:f>
        <x:v>0.95</x:v>
      </x:c>
      <x:c r="J33" s="17" t="str">
        <x:v>Source + treatment</x:v>
      </x:c>
      <x:c r="K33" s="17" t="n">
        <x:v>1</x:v>
      </x:c>
      <x:c r="L33" s="17" t="n">
        <x:v>0</x:v>
      </x:c>
      <x:c r="M33" s="17" t="n">
        <x:v>0</x:v>
      </x:c>
      <x:c r="N33" s="17" t="n">
        <x:v>0</x:v>
      </x:c>
      <x:c r="O33" s="17" t="n">
        <x:v>0</x:v>
      </x:c>
      <x:c r="P33" s="17" t="n">
        <x:v>0</x:v>
      </x:c>
      <x:c r="Q33" s="17" t="n">
        <x:v>0</x:v>
      </x:c>
      <x:c r="R33" s="17" t="str">
        <x:v>PAIR</x:v>
      </x:c>
    </x:row>
    <x:row r="34" ht="28" customHeight="1">
      <x:c r="C34" s="17" t="str">
        <x:v>K2</x:v>
      </x:c>
      <x:c r="D34" s="17" t="str">
        <x:v>Path B source core</x:v>
      </x:c>
      <x:c r="E34" s="40" t="n">
        <x:v>1</x:v>
      </x:c>
      <x:c r="F34" s="40" t="n">
        <x:f>E34*E7</x:f>
        <x:v>2710</x:v>
      </x:c>
      <x:c r="G34" s="40" t="n">
        <x:f>E34*F7</x:f>
        <x:v>3010</x:v>
      </x:c>
      <x:c r="H34" s="40" t="n">
        <x:f>E34*G7</x:f>
        <x:v>110</x:v>
      </x:c>
      <x:c r="I34" s="39" t="n">
        <x:f>E34*H7*'01 Controls'!$D$15</x:f>
        <x:v>2.2</x:v>
      </x:c>
      <x:c r="J34" s="17" t="str">
        <x:v>Source + treatment</x:v>
      </x:c>
      <x:c r="K34" s="17" t="n">
        <x:v>0</x:v>
      </x:c>
      <x:c r="L34" s="17" t="n">
        <x:v>1</x:v>
      </x:c>
      <x:c r="M34" s="17" t="n">
        <x:v>0</x:v>
      </x:c>
      <x:c r="N34" s="17" t="n">
        <x:v>0</x:v>
      </x:c>
      <x:c r="O34" s="17" t="n">
        <x:v>0</x:v>
      </x:c>
      <x:c r="P34" s="17" t="n">
        <x:v>0</x:v>
      </x:c>
      <x:c r="Q34" s="17" t="n">
        <x:v>0</x:v>
      </x:c>
      <x:c r="R34" s="17" t="str">
        <x:v>PAIR</x:v>
      </x:c>
    </x:row>
    <x:row r="35" ht="28" customHeight="1">
      <x:c r="C35" s="17" t="str">
        <x:v>K2</x:v>
      </x:c>
      <x:c r="D35" s="17" t="str">
        <x:v>Carrier and sanitary corridor cell</x:v>
      </x:c>
      <x:c r="E35" s="40" t="n">
        <x:v>2</x:v>
      </x:c>
      <x:c r="F35" s="40" t="n">
        <x:f>E35*E8*'01 Controls'!$D$14</x:f>
        <x:v>500</x:v>
      </x:c>
      <x:c r="G35" s="40" t="n">
        <x:f>E35*F8*'01 Controls'!$D$14</x:f>
        <x:v>600</x:v>
      </x:c>
      <x:c r="H35" s="40" t="n">
        <x:f>E35*G8</x:f>
        <x:v>24</x:v>
      </x:c>
      <x:c r="I35" s="39" t="n">
        <x:f>E35*H8*'01 Controls'!$D$15</x:f>
        <x:v>0.36</x:v>
      </x:c>
      <x:c r="J35" s="17" t="str">
        <x:v>Carrier / corridor</x:v>
      </x:c>
      <x:c r="K35" s="17" t="n">
        <x:v>0</x:v>
      </x:c>
      <x:c r="L35" s="17" t="n">
        <x:v>0</x:v>
      </x:c>
      <x:c r="M35" s="17" t="n">
        <x:v>1</x:v>
      </x:c>
      <x:c r="N35" s="17" t="n">
        <x:v>0</x:v>
      </x:c>
      <x:c r="O35" s="17" t="n">
        <x:v>0</x:v>
      </x:c>
      <x:c r="P35" s="17" t="n">
        <x:v>0</x:v>
      </x:c>
      <x:c r="Q35" s="17" t="n">
        <x:v>0</x:v>
      </x:c>
      <x:c r="R35" s="17" t="str">
        <x:v>PAIR</x:v>
      </x:c>
    </x:row>
    <x:row r="36" ht="28" customHeight="1">
      <x:c r="C36" s="17" t="str">
        <x:v>K2</x:v>
      </x:c>
      <x:c r="D36" s="17" t="str">
        <x:v>Reception and transfer cell</x:v>
      </x:c>
      <x:c r="E36" s="40" t="n">
        <x:v>2</x:v>
      </x:c>
      <x:c r="F36" s="40" t="n">
        <x:f>E36*E9*'01 Controls'!$D$14</x:f>
        <x:v>360</x:v>
      </x:c>
      <x:c r="G36" s="40" t="n">
        <x:f>E36*F9*'01 Controls'!$D$14</x:f>
        <x:v>440</x:v>
      </x:c>
      <x:c r="H36" s="40" t="n">
        <x:f>E36*G9</x:f>
        <x:v>20</x:v>
      </x:c>
      <x:c r="I36" s="39" t="n">
        <x:f>E36*H9*'01 Controls'!$D$15</x:f>
        <x:v>0.24</x:v>
      </x:c>
      <x:c r="J36" s="17" t="str">
        <x:v>Receiving node</x:v>
      </x:c>
      <x:c r="K36" s="17" t="n">
        <x:v>0</x:v>
      </x:c>
      <x:c r="L36" s="17" t="n">
        <x:v>0</x:v>
      </x:c>
      <x:c r="M36" s="17" t="n">
        <x:v>0</x:v>
      </x:c>
      <x:c r="N36" s="17" t="n">
        <x:v>1</x:v>
      </x:c>
      <x:c r="O36" s="17" t="n">
        <x:v>0</x:v>
      </x:c>
      <x:c r="P36" s="17" t="n">
        <x:v>0</x:v>
      </x:c>
      <x:c r="Q36" s="17" t="n">
        <x:v>0</x:v>
      </x:c>
      <x:c r="R36" s="17" t="str">
        <x:v>PAIR</x:v>
      </x:c>
    </x:row>
    <x:row r="37" ht="28" customHeight="1">
      <x:c r="C37" s="17" t="str">
        <x:v>K2</x:v>
      </x:c>
      <x:c r="D37" s="17" t="str">
        <x:v>Receiver power-autonomy cell</x:v>
      </x:c>
      <x:c r="E37" s="40" t="n">
        <x:v>1</x:v>
      </x:c>
      <x:c r="F37" s="40" t="n">
        <x:f>E37*E10*'01 Controls'!$D$14</x:f>
        <x:v>160</x:v>
      </x:c>
      <x:c r="G37" s="40" t="n">
        <x:f>E37*F10*'01 Controls'!$D$14</x:f>
        <x:v>190</x:v>
      </x:c>
      <x:c r="H37" s="40" t="n">
        <x:f>E37*G10</x:f>
        <x:v>8</x:v>
      </x:c>
      <x:c r="I37" s="39" t="n">
        <x:f>E37*H10*'01 Controls'!$D$15</x:f>
        <x:v>0.14</x:v>
      </x:c>
      <x:c r="J37" s="17" t="str">
        <x:v>Power</x:v>
      </x:c>
      <x:c r="K37" s="17" t="n">
        <x:v>0</x:v>
      </x:c>
      <x:c r="L37" s="17" t="n">
        <x:v>0</x:v>
      </x:c>
      <x:c r="M37" s="17" t="n">
        <x:v>0</x:v>
      </x:c>
      <x:c r="N37" s="17" t="n">
        <x:v>0</x:v>
      </x:c>
      <x:c r="O37" s="17" t="n">
        <x:v>1</x:v>
      </x:c>
      <x:c r="P37" s="17" t="n">
        <x:v>0</x:v>
      </x:c>
      <x:c r="Q37" s="17" t="n">
        <x:v>0</x:v>
      </x:c>
      <x:c r="R37" s="17" t="str">
        <x:v>PAIR</x:v>
      </x:c>
    </x:row>
    <x:row r="38" ht="28" customHeight="1">
      <x:c r="C38" s="17" t="str">
        <x:v>K2</x:v>
      </x:c>
      <x:c r="D38" s="17" t="str">
        <x:v>Quality and release workcell</x:v>
      </x:c>
      <x:c r="E38" s="40" t="n">
        <x:v>1</x:v>
      </x:c>
      <x:c r="F38" s="40" t="n">
        <x:f>E38*E11*'01 Controls'!$D$14</x:f>
        <x:v>45</x:v>
      </x:c>
      <x:c r="G38" s="40" t="n">
        <x:f>E38*F11*'01 Controls'!$D$14</x:f>
        <x:v>55</x:v>
      </x:c>
      <x:c r="H38" s="40" t="n">
        <x:f>E38*G11</x:f>
        <x:v>8</x:v>
      </x:c>
      <x:c r="I38" s="39" t="n">
        <x:f>E38*H11*'01 Controls'!$D$15</x:f>
        <x:v>0.08</x:v>
      </x:c>
      <x:c r="J38" s="17" t="str">
        <x:v>Quality / release</x:v>
      </x:c>
      <x:c r="K38" s="17" t="n">
        <x:v>0</x:v>
      </x:c>
      <x:c r="L38" s="17" t="n">
        <x:v>0</x:v>
      </x:c>
      <x:c r="M38" s="17" t="n">
        <x:v>0</x:v>
      </x:c>
      <x:c r="N38" s="17" t="n">
        <x:v>0</x:v>
      </x:c>
      <x:c r="O38" s="17" t="n">
        <x:v>0</x:v>
      </x:c>
      <x:c r="P38" s="17" t="n">
        <x:v>1</x:v>
      </x:c>
      <x:c r="Q38" s="17" t="n">
        <x:v>0</x:v>
      </x:c>
      <x:c r="R38" s="17" t="str">
        <x:v>PAIR</x:v>
      </x:c>
    </x:row>
    <x:row r="39" ht="28" customHeight="1">
      <x:c r="C39" s="17" t="str">
        <x:v>K2</x:v>
      </x:c>
      <x:c r="D39" s="17" t="str">
        <x:v>Hydraulic service island</x:v>
      </x:c>
      <x:c r="E39" s="40" t="n">
        <x:v>1</x:v>
      </x:c>
      <x:c r="F39" s="40" t="n">
        <x:f>E39*E12*'01 Controls'!$D$14</x:f>
        <x:v>260</x:v>
      </x:c>
      <x:c r="G39" s="40" t="n">
        <x:f>E39*F12*'01 Controls'!$D$14</x:f>
        <x:v>300</x:v>
      </x:c>
      <x:c r="H39" s="40" t="n">
        <x:f>E39*G12</x:f>
        <x:v>12</x:v>
      </x:c>
      <x:c r="I39" s="39" t="n">
        <x:f>E39*H12*'01 Controls'!$D$15</x:f>
        <x:v>0.18</x:v>
      </x:c>
      <x:c r="J39" s="17" t="str">
        <x:v>Receiver island</x:v>
      </x:c>
      <x:c r="K39" s="17" t="n">
        <x:v>0</x:v>
      </x:c>
      <x:c r="L39" s="17" t="n">
        <x:v>0</x:v>
      </x:c>
      <x:c r="M39" s="17" t="n">
        <x:v>0</x:v>
      </x:c>
      <x:c r="N39" s="17" t="n">
        <x:v>0</x:v>
      </x:c>
      <x:c r="O39" s="17" t="n">
        <x:v>0</x:v>
      </x:c>
      <x:c r="P39" s="17" t="n">
        <x:v>0</x:v>
      </x:c>
      <x:c r="Q39" s="17" t="n">
        <x:v>1</x:v>
      </x:c>
      <x:c r="R39" s="17" t="str">
        <x:v>PAIR</x:v>
      </x:c>
    </x:row>
    <x:row r="40" ht="28" customHeight="1">
      <x:c r="C40" s="17" t="str">
        <x:v>K2</x:v>
      </x:c>
      <x:c r="D40" s="17" t="str">
        <x:v>Process-material lineage pack</x:v>
      </x:c>
      <x:c r="E40" s="40" t="n">
        <x:v>1</x:v>
      </x:c>
      <x:c r="F40" s="40" t="n">
        <x:f>E40*E13*'01 Controls'!$D$14</x:f>
        <x:v>70</x:v>
      </x:c>
      <x:c r="G40" s="40" t="n">
        <x:f>E40*F13*'01 Controls'!$D$14</x:f>
        <x:v>85</x:v>
      </x:c>
      <x:c r="H40" s="40" t="n">
        <x:f>E40*G13</x:f>
        <x:v>4</x:v>
      </x:c>
      <x:c r="I40" s="39" t="n">
        <x:f>E40*H13*'01 Controls'!$D$15</x:f>
        <x:v>0.04</x:v>
      </x:c>
      <x:c r="J40" s="17" t="str">
        <x:v>Material lot</x:v>
      </x:c>
      <x:c r="K40" s="17" t="n">
        <x:v>0</x:v>
      </x:c>
      <x:c r="L40" s="17" t="n">
        <x:v>0</x:v>
      </x:c>
      <x:c r="M40" s="17" t="n">
        <x:v>0</x:v>
      </x:c>
      <x:c r="N40" s="17" t="n">
        <x:v>0</x:v>
      </x:c>
      <x:c r="O40" s="17" t="n">
        <x:v>0</x:v>
      </x:c>
      <x:c r="P40" s="17" t="n">
        <x:v>0</x:v>
      </x:c>
      <x:c r="Q40" s="17" t="n">
        <x:v>0</x:v>
      </x:c>
      <x:c r="R40" s="17" t="str">
        <x:v>PAIR</x:v>
      </x:c>
    </x:row>
    <x:row r="41" ht="28" customHeight="1">
      <x:c r="C41" s="17" t="str">
        <x:v>K2</x:v>
      </x:c>
      <x:c r="D41" s="17" t="str">
        <x:v>Crew continuity package</x:v>
      </x:c>
      <x:c r="E41" s="40" t="n">
        <x:v>1</x:v>
      </x:c>
      <x:c r="F41" s="40" t="n">
        <x:f>E41*E14*'01 Controls'!$D$14</x:f>
        <x:v>30</x:v>
      </x:c>
      <x:c r="G41" s="40" t="n">
        <x:f>E41*F14*'01 Controls'!$D$14</x:f>
        <x:v>40</x:v>
      </x:c>
      <x:c r="H41" s="40" t="n">
        <x:f>E41*G14</x:f>
        <x:v>18</x:v>
      </x:c>
      <x:c r="I41" s="39" t="n">
        <x:f>E41*H14*'01 Controls'!$D$15</x:f>
        <x:v>0.03</x:v>
      </x:c>
      <x:c r="J41" s="17" t="str">
        <x:v>Crew cohort</x:v>
      </x:c>
      <x:c r="K41" s="17" t="n">
        <x:v>0</x:v>
      </x:c>
      <x:c r="L41" s="17" t="n">
        <x:v>0</x:v>
      </x:c>
      <x:c r="M41" s="17" t="n">
        <x:v>0</x:v>
      </x:c>
      <x:c r="N41" s="17" t="n">
        <x:v>0</x:v>
      </x:c>
      <x:c r="O41" s="17" t="n">
        <x:v>0</x:v>
      </x:c>
      <x:c r="P41" s="17" t="n">
        <x:v>0</x:v>
      </x:c>
      <x:c r="Q41" s="17" t="n">
        <x:v>0</x:v>
      </x:c>
      <x:c r="R41" s="17" t="str">
        <x:v>PAIR</x:v>
      </x:c>
    </x:row>
    <x:row r="42" ht="28" customHeight="1">
      <x:c r="C42" s="17" t="str">
        <x:v>K2</x:v>
      </x:c>
      <x:c r="D42" s="17" t="str">
        <x:v>Regeneration-depot interface</x:v>
      </x:c>
      <x:c r="E42" s="40" t="n">
        <x:v>1</x:v>
      </x:c>
      <x:c r="F42" s="40" t="n">
        <x:f>E42*E15*'01 Controls'!$D$14</x:f>
        <x:v>140</x:v>
      </x:c>
      <x:c r="G42" s="40" t="n">
        <x:f>E42*F15*'01 Controls'!$D$14</x:f>
        <x:v>170</x:v>
      </x:c>
      <x:c r="H42" s="40" t="n">
        <x:f>E42*G15</x:f>
        <x:v>10</x:v>
      </x:c>
      <x:c r="I42" s="39" t="n">
        <x:f>E42*H15*'01 Controls'!$D$15</x:f>
        <x:v>0.1</x:v>
      </x:c>
      <x:c r="J42" s="17" t="str">
        <x:v>Reset depot</x:v>
      </x:c>
      <x:c r="K42" s="17" t="n">
        <x:v>0</x:v>
      </x:c>
      <x:c r="L42" s="17" t="n">
        <x:v>0</x:v>
      </x:c>
      <x:c r="M42" s="17" t="n">
        <x:v>0</x:v>
      </x:c>
      <x:c r="N42" s="17" t="n">
        <x:v>0</x:v>
      </x:c>
      <x:c r="O42" s="17" t="n">
        <x:v>0</x:v>
      </x:c>
      <x:c r="P42" s="17" t="n">
        <x:v>0</x:v>
      </x:c>
      <x:c r="Q42" s="17" t="n">
        <x:v>0</x:v>
      </x:c>
      <x:c r="R42" s="17" t="str">
        <x:v>PAIR</x:v>
      </x:c>
    </x:row>
    <x:row r="43" ht="28" customHeight="1">
      <x:c r="C43" s="17" t="str">
        <x:v>K2</x:v>
      </x:c>
      <x:c r="D43" s="17" t="str">
        <x:v>Offline control and evidence cell</x:v>
      </x:c>
      <x:c r="E43" s="40" t="n">
        <x:v>1</x:v>
      </x:c>
      <x:c r="F43" s="40" t="n">
        <x:f>E43*E16*'01 Controls'!$D$14</x:f>
        <x:v>25</x:v>
      </x:c>
      <x:c r="G43" s="40" t="n">
        <x:f>E43*F16*'01 Controls'!$D$14</x:f>
        <x:v>30</x:v>
      </x:c>
      <x:c r="H43" s="40" t="n">
        <x:f>E43*G16</x:f>
        <x:v>4</x:v>
      </x:c>
      <x:c r="I43" s="39" t="n">
        <x:f>E43*H16*'01 Controls'!$D$15</x:f>
        <x:v>0.05</x:v>
      </x:c>
      <x:c r="J43" s="17" t="str">
        <x:v>Control / evidence</x:v>
      </x:c>
      <x:c r="K43" s="17" t="n">
        <x:v>0</x:v>
      </x:c>
      <x:c r="L43" s="17" t="n">
        <x:v>0</x:v>
      </x:c>
      <x:c r="M43" s="17" t="n">
        <x:v>0</x:v>
      </x:c>
      <x:c r="N43" s="17" t="n">
        <x:v>0</x:v>
      </x:c>
      <x:c r="O43" s="17" t="n">
        <x:v>0</x:v>
      </x:c>
      <x:c r="P43" s="17" t="n">
        <x:v>0</x:v>
      </x:c>
      <x:c r="Q43" s="17" t="n">
        <x:v>0</x:v>
      </x:c>
      <x:c r="R43" s="17" t="str">
        <x:v>PAIR</x:v>
      </x:c>
    </x:row>
    <x:row r="44" ht="28" customHeight="1">
      <x:c r="C44" s="17" t="str">
        <x:v>K2</x:v>
      </x:c>
      <x:c r="D44" s="17" t="str">
        <x:v>Mobilization-base package</x:v>
      </x:c>
      <x:c r="E44" s="40" t="n">
        <x:v>1</x:v>
      </x:c>
      <x:c r="F44" s="40" t="n">
        <x:f>E44*E17*'01 Controls'!$D$14</x:f>
        <x:v>90</x:v>
      </x:c>
      <x:c r="G44" s="40" t="n">
        <x:f>E44*F17*'01 Controls'!$D$14</x:f>
        <x:v>120</x:v>
      </x:c>
      <x:c r="H44" s="40" t="n">
        <x:f>E44*G17</x:f>
        <x:v>6</x:v>
      </x:c>
      <x:c r="I44" s="39" t="n">
        <x:f>E44*H17*'01 Controls'!$D$15</x:f>
        <x:v>0.06</x:v>
      </x:c>
      <x:c r="J44" s="17" t="str">
        <x:v>Mobilization base</x:v>
      </x:c>
      <x:c r="K44" s="17" t="n">
        <x:v>0</x:v>
      </x:c>
      <x:c r="L44" s="17" t="n">
        <x:v>0</x:v>
      </x:c>
      <x:c r="M44" s="17" t="n">
        <x:v>0</x:v>
      </x:c>
      <x:c r="N44" s="17" t="n">
        <x:v>0</x:v>
      </x:c>
      <x:c r="O44" s="17" t="n">
        <x:v>0</x:v>
      </x:c>
      <x:c r="P44" s="17" t="n">
        <x:v>0</x:v>
      </x:c>
      <x:c r="Q44" s="17" t="n">
        <x:v>0</x:v>
      </x:c>
      <x:c r="R44" s="17" t="str">
        <x:v>PAIR</x:v>
      </x:c>
    </x:row>
    <x:row r="45" ht="28" customHeight="1">
      <x:c r="C45" s="17" t="str">
        <x:v>K3</x:v>
      </x:c>
      <x:c r="D45" s="17" t="str">
        <x:v>Path A source core</x:v>
      </x:c>
      <x:c r="E45" s="40" t="n">
        <x:v>1</x:v>
      </x:c>
      <x:c r="F45" s="40" t="n">
        <x:f>E45*E6</x:f>
        <x:v>920</x:v>
      </x:c>
      <x:c r="G45" s="40" t="n">
        <x:f>E45*F6</x:f>
        <x:v>1100</x:v>
      </x:c>
      <x:c r="H45" s="40" t="n">
        <x:f>E45*G6</x:f>
        <x:v>72</x:v>
      </x:c>
      <x:c r="I45" s="39" t="n">
        <x:f>E45*H6*'01 Controls'!$D$15</x:f>
        <x:v>0.95</x:v>
      </x:c>
      <x:c r="J45" s="17" t="str">
        <x:v>Source + treatment</x:v>
      </x:c>
      <x:c r="K45" s="17" t="n">
        <x:v>1</x:v>
      </x:c>
      <x:c r="L45" s="17" t="n">
        <x:v>0</x:v>
      </x:c>
      <x:c r="M45" s="17" t="n">
        <x:v>0</x:v>
      </x:c>
      <x:c r="N45" s="17" t="n">
        <x:v>0</x:v>
      </x:c>
      <x:c r="O45" s="17" t="n">
        <x:v>0</x:v>
      </x:c>
      <x:c r="P45" s="17" t="n">
        <x:v>0</x:v>
      </x:c>
      <x:c r="Q45" s="17" t="n">
        <x:v>0</x:v>
      </x:c>
      <x:c r="R45" s="17" t="str">
        <x:v>PAIR</x:v>
      </x:c>
    </x:row>
    <x:row r="46" ht="28" customHeight="1">
      <x:c r="C46" s="17" t="str">
        <x:v>K3</x:v>
      </x:c>
      <x:c r="D46" s="17" t="str">
        <x:v>Path B source core</x:v>
      </x:c>
      <x:c r="E46" s="40" t="n">
        <x:v>1</x:v>
      </x:c>
      <x:c r="F46" s="40" t="n">
        <x:f>E46*E7</x:f>
        <x:v>2710</x:v>
      </x:c>
      <x:c r="G46" s="40" t="n">
        <x:f>E46*F7</x:f>
        <x:v>3010</x:v>
      </x:c>
      <x:c r="H46" s="40" t="n">
        <x:f>E46*G7</x:f>
        <x:v>110</x:v>
      </x:c>
      <x:c r="I46" s="39" t="n">
        <x:f>E46*H7*'01 Controls'!$D$15</x:f>
        <x:v>2.2</x:v>
      </x:c>
      <x:c r="J46" s="17" t="str">
        <x:v>Source + treatment</x:v>
      </x:c>
      <x:c r="K46" s="17" t="n">
        <x:v>0</x:v>
      </x:c>
      <x:c r="L46" s="17" t="n">
        <x:v>1</x:v>
      </x:c>
      <x:c r="M46" s="17" t="n">
        <x:v>0</x:v>
      </x:c>
      <x:c r="N46" s="17" t="n">
        <x:v>0</x:v>
      </x:c>
      <x:c r="O46" s="17" t="n">
        <x:v>0</x:v>
      </x:c>
      <x:c r="P46" s="17" t="n">
        <x:v>0</x:v>
      </x:c>
      <x:c r="Q46" s="17" t="n">
        <x:v>0</x:v>
      </x:c>
      <x:c r="R46" s="17" t="str">
        <x:v>PAIR</x:v>
      </x:c>
    </x:row>
    <x:row r="47" ht="28" customHeight="1">
      <x:c r="C47" s="17" t="str">
        <x:v>K3</x:v>
      </x:c>
      <x:c r="D47" s="17" t="str">
        <x:v>Carrier and sanitary corridor cell</x:v>
      </x:c>
      <x:c r="E47" s="40" t="n">
        <x:v>2</x:v>
      </x:c>
      <x:c r="F47" s="40" t="n">
        <x:f>E47*E8*'01 Controls'!$D$14</x:f>
        <x:v>500</x:v>
      </x:c>
      <x:c r="G47" s="40" t="n">
        <x:f>E47*F8*'01 Controls'!$D$14</x:f>
        <x:v>600</x:v>
      </x:c>
      <x:c r="H47" s="40" t="n">
        <x:f>E47*G8</x:f>
        <x:v>24</x:v>
      </x:c>
      <x:c r="I47" s="39" t="n">
        <x:f>E47*H8*'01 Controls'!$D$15</x:f>
        <x:v>0.36</x:v>
      </x:c>
      <x:c r="J47" s="17" t="str">
        <x:v>Carrier / corridor</x:v>
      </x:c>
      <x:c r="K47" s="17" t="n">
        <x:v>0</x:v>
      </x:c>
      <x:c r="L47" s="17" t="n">
        <x:v>0</x:v>
      </x:c>
      <x:c r="M47" s="17" t="n">
        <x:v>1</x:v>
      </x:c>
      <x:c r="N47" s="17" t="n">
        <x:v>0</x:v>
      </x:c>
      <x:c r="O47" s="17" t="n">
        <x:v>0</x:v>
      </x:c>
      <x:c r="P47" s="17" t="n">
        <x:v>0</x:v>
      </x:c>
      <x:c r="Q47" s="17" t="n">
        <x:v>0</x:v>
      </x:c>
      <x:c r="R47" s="17" t="str">
        <x:v>PAIR</x:v>
      </x:c>
    </x:row>
    <x:row r="48" ht="28" customHeight="1">
      <x:c r="C48" s="17" t="str">
        <x:v>K3</x:v>
      </x:c>
      <x:c r="D48" s="17" t="str">
        <x:v>Reception and transfer cell</x:v>
      </x:c>
      <x:c r="E48" s="40" t="n">
        <x:v>2</x:v>
      </x:c>
      <x:c r="F48" s="40" t="n">
        <x:f>E48*E9*'01 Controls'!$D$14</x:f>
        <x:v>360</x:v>
      </x:c>
      <x:c r="G48" s="40" t="n">
        <x:f>E48*F9*'01 Controls'!$D$14</x:f>
        <x:v>440</x:v>
      </x:c>
      <x:c r="H48" s="40" t="n">
        <x:f>E48*G9</x:f>
        <x:v>20</x:v>
      </x:c>
      <x:c r="I48" s="39" t="n">
        <x:f>E48*H9*'01 Controls'!$D$15</x:f>
        <x:v>0.24</x:v>
      </x:c>
      <x:c r="J48" s="17" t="str">
        <x:v>Receiving node</x:v>
      </x:c>
      <x:c r="K48" s="17" t="n">
        <x:v>0</x:v>
      </x:c>
      <x:c r="L48" s="17" t="n">
        <x:v>0</x:v>
      </x:c>
      <x:c r="M48" s="17" t="n">
        <x:v>0</x:v>
      </x:c>
      <x:c r="N48" s="17" t="n">
        <x:v>1</x:v>
      </x:c>
      <x:c r="O48" s="17" t="n">
        <x:v>0</x:v>
      </x:c>
      <x:c r="P48" s="17" t="n">
        <x:v>0</x:v>
      </x:c>
      <x:c r="Q48" s="17" t="n">
        <x:v>0</x:v>
      </x:c>
      <x:c r="R48" s="17" t="str">
        <x:v>PAIR</x:v>
      </x:c>
    </x:row>
    <x:row r="49" ht="28" customHeight="1">
      <x:c r="C49" s="17" t="str">
        <x:v>K3</x:v>
      </x:c>
      <x:c r="D49" s="17" t="str">
        <x:v>Receiver power-autonomy cell</x:v>
      </x:c>
      <x:c r="E49" s="40" t="n">
        <x:v>2</x:v>
      </x:c>
      <x:c r="F49" s="40" t="n">
        <x:f>E49*E10*'01 Controls'!$D$14</x:f>
        <x:v>320</x:v>
      </x:c>
      <x:c r="G49" s="40" t="n">
        <x:f>E49*F10*'01 Controls'!$D$14</x:f>
        <x:v>380</x:v>
      </x:c>
      <x:c r="H49" s="40" t="n">
        <x:f>E49*G10</x:f>
        <x:v>16</x:v>
      </x:c>
      <x:c r="I49" s="39" t="n">
        <x:f>E49*H10*'01 Controls'!$D$15</x:f>
        <x:v>0.28</x:v>
      </x:c>
      <x:c r="J49" s="17" t="str">
        <x:v>Power</x:v>
      </x:c>
      <x:c r="K49" s="17" t="n">
        <x:v>0</x:v>
      </x:c>
      <x:c r="L49" s="17" t="n">
        <x:v>0</x:v>
      </x:c>
      <x:c r="M49" s="17" t="n">
        <x:v>0</x:v>
      </x:c>
      <x:c r="N49" s="17" t="n">
        <x:v>0</x:v>
      </x:c>
      <x:c r="O49" s="17" t="n">
        <x:v>1</x:v>
      </x:c>
      <x:c r="P49" s="17" t="n">
        <x:v>0</x:v>
      </x:c>
      <x:c r="Q49" s="17" t="n">
        <x:v>0</x:v>
      </x:c>
      <x:c r="R49" s="17" t="str">
        <x:v>PAIR</x:v>
      </x:c>
    </x:row>
    <x:row r="50" ht="28" customHeight="1">
      <x:c r="C50" s="17" t="str">
        <x:v>K3</x:v>
      </x:c>
      <x:c r="D50" s="17" t="str">
        <x:v>Quality and release workcell</x:v>
      </x:c>
      <x:c r="E50" s="40" t="n">
        <x:v>2</x:v>
      </x:c>
      <x:c r="F50" s="40" t="n">
        <x:f>E50*E11*'01 Controls'!$D$14</x:f>
        <x:v>90</x:v>
      </x:c>
      <x:c r="G50" s="40" t="n">
        <x:f>E50*F11*'01 Controls'!$D$14</x:f>
        <x:v>110</x:v>
      </x:c>
      <x:c r="H50" s="40" t="n">
        <x:f>E50*G11</x:f>
        <x:v>16</x:v>
      </x:c>
      <x:c r="I50" s="39" t="n">
        <x:f>E50*H11*'01 Controls'!$D$15</x:f>
        <x:v>0.16</x:v>
      </x:c>
      <x:c r="J50" s="17" t="str">
        <x:v>Quality / release</x:v>
      </x:c>
      <x:c r="K50" s="17" t="n">
        <x:v>0</x:v>
      </x:c>
      <x:c r="L50" s="17" t="n">
        <x:v>0</x:v>
      </x:c>
      <x:c r="M50" s="17" t="n">
        <x:v>0</x:v>
      </x:c>
      <x:c r="N50" s="17" t="n">
        <x:v>0</x:v>
      </x:c>
      <x:c r="O50" s="17" t="n">
        <x:v>0</x:v>
      </x:c>
      <x:c r="P50" s="17" t="n">
        <x:v>1</x:v>
      </x:c>
      <x:c r="Q50" s="17" t="n">
        <x:v>0</x:v>
      </x:c>
      <x:c r="R50" s="17" t="str">
        <x:v>PAIR</x:v>
      </x:c>
    </x:row>
    <x:row r="51" ht="28" customHeight="1">
      <x:c r="C51" s="17" t="str">
        <x:v>K3</x:v>
      </x:c>
      <x:c r="D51" s="17" t="str">
        <x:v>Hydraulic service island</x:v>
      </x:c>
      <x:c r="E51" s="40" t="n">
        <x:v>2</x:v>
      </x:c>
      <x:c r="F51" s="40" t="n">
        <x:f>E51*E12*'01 Controls'!$D$14</x:f>
        <x:v>520</x:v>
      </x:c>
      <x:c r="G51" s="40" t="n">
        <x:f>E51*F12*'01 Controls'!$D$14</x:f>
        <x:v>600</x:v>
      </x:c>
      <x:c r="H51" s="40" t="n">
        <x:f>E51*G12</x:f>
        <x:v>24</x:v>
      </x:c>
      <x:c r="I51" s="39" t="n">
        <x:f>E51*H12*'01 Controls'!$D$15</x:f>
        <x:v>0.36</x:v>
      </x:c>
      <x:c r="J51" s="17" t="str">
        <x:v>Receiver island</x:v>
      </x:c>
      <x:c r="K51" s="17" t="n">
        <x:v>0</x:v>
      </x:c>
      <x:c r="L51" s="17" t="n">
        <x:v>0</x:v>
      </x:c>
      <x:c r="M51" s="17" t="n">
        <x:v>0</x:v>
      </x:c>
      <x:c r="N51" s="17" t="n">
        <x:v>0</x:v>
      </x:c>
      <x:c r="O51" s="17" t="n">
        <x:v>0</x:v>
      </x:c>
      <x:c r="P51" s="17" t="n">
        <x:v>0</x:v>
      </x:c>
      <x:c r="Q51" s="17" t="n">
        <x:v>1</x:v>
      </x:c>
      <x:c r="R51" s="17" t="str">
        <x:v>PAIR</x:v>
      </x:c>
    </x:row>
    <x:row r="52" ht="28" customHeight="1">
      <x:c r="C52" s="17" t="str">
        <x:v>K3</x:v>
      </x:c>
      <x:c r="D52" s="17" t="str">
        <x:v>Process-material lineage pack</x:v>
      </x:c>
      <x:c r="E52" s="40" t="n">
        <x:v>1</x:v>
      </x:c>
      <x:c r="F52" s="40" t="n">
        <x:f>E52*E13*'01 Controls'!$D$14</x:f>
        <x:v>70</x:v>
      </x:c>
      <x:c r="G52" s="40" t="n">
        <x:f>E52*F13*'01 Controls'!$D$14</x:f>
        <x:v>85</x:v>
      </x:c>
      <x:c r="H52" s="40" t="n">
        <x:f>E52*G13</x:f>
        <x:v>4</x:v>
      </x:c>
      <x:c r="I52" s="39" t="n">
        <x:f>E52*H13*'01 Controls'!$D$15</x:f>
        <x:v>0.04</x:v>
      </x:c>
      <x:c r="J52" s="17" t="str">
        <x:v>Material lot</x:v>
      </x:c>
      <x:c r="K52" s="17" t="n">
        <x:v>0</x:v>
      </x:c>
      <x:c r="L52" s="17" t="n">
        <x:v>0</x:v>
      </x:c>
      <x:c r="M52" s="17" t="n">
        <x:v>0</x:v>
      </x:c>
      <x:c r="N52" s="17" t="n">
        <x:v>0</x:v>
      </x:c>
      <x:c r="O52" s="17" t="n">
        <x:v>0</x:v>
      </x:c>
      <x:c r="P52" s="17" t="n">
        <x:v>0</x:v>
      </x:c>
      <x:c r="Q52" s="17" t="n">
        <x:v>0</x:v>
      </x:c>
      <x:c r="R52" s="17" t="str">
        <x:v>PAIR</x:v>
      </x:c>
    </x:row>
    <x:row r="53" ht="28" customHeight="1">
      <x:c r="C53" s="17" t="str">
        <x:v>K3</x:v>
      </x:c>
      <x:c r="D53" s="17" t="str">
        <x:v>Crew continuity package</x:v>
      </x:c>
      <x:c r="E53" s="40" t="n">
        <x:v>2</x:v>
      </x:c>
      <x:c r="F53" s="40" t="n">
        <x:f>E53*E14*'01 Controls'!$D$14</x:f>
        <x:v>60</x:v>
      </x:c>
      <x:c r="G53" s="40" t="n">
        <x:f>E53*F14*'01 Controls'!$D$14</x:f>
        <x:v>80</x:v>
      </x:c>
      <x:c r="H53" s="40" t="n">
        <x:f>E53*G14</x:f>
        <x:v>36</x:v>
      </x:c>
      <x:c r="I53" s="39" t="n">
        <x:f>E53*H14*'01 Controls'!$D$15</x:f>
        <x:v>0.06</x:v>
      </x:c>
      <x:c r="J53" s="17" t="str">
        <x:v>Crew cohort</x:v>
      </x:c>
      <x:c r="K53" s="17" t="n">
        <x:v>0</x:v>
      </x:c>
      <x:c r="L53" s="17" t="n">
        <x:v>0</x:v>
      </x:c>
      <x:c r="M53" s="17" t="n">
        <x:v>0</x:v>
      </x:c>
      <x:c r="N53" s="17" t="n">
        <x:v>0</x:v>
      </x:c>
      <x:c r="O53" s="17" t="n">
        <x:v>0</x:v>
      </x:c>
      <x:c r="P53" s="17" t="n">
        <x:v>0</x:v>
      </x:c>
      <x:c r="Q53" s="17" t="n">
        <x:v>0</x:v>
      </x:c>
      <x:c r="R53" s="17" t="str">
        <x:v>PAIR</x:v>
      </x:c>
    </x:row>
    <x:row r="54" ht="28" customHeight="1">
      <x:c r="C54" s="17" t="str">
        <x:v>K3</x:v>
      </x:c>
      <x:c r="D54" s="17" t="str">
        <x:v>Regeneration-depot interface</x:v>
      </x:c>
      <x:c r="E54" s="40" t="n">
        <x:v>1</x:v>
      </x:c>
      <x:c r="F54" s="40" t="n">
        <x:f>E54*E15*'01 Controls'!$D$14</x:f>
        <x:v>140</x:v>
      </x:c>
      <x:c r="G54" s="40" t="n">
        <x:f>E54*F15*'01 Controls'!$D$14</x:f>
        <x:v>170</x:v>
      </x:c>
      <x:c r="H54" s="40" t="n">
        <x:f>E54*G15</x:f>
        <x:v>10</x:v>
      </x:c>
      <x:c r="I54" s="39" t="n">
        <x:f>E54*H15*'01 Controls'!$D$15</x:f>
        <x:v>0.1</x:v>
      </x:c>
      <x:c r="J54" s="17" t="str">
        <x:v>Reset depot</x:v>
      </x:c>
      <x:c r="K54" s="17" t="n">
        <x:v>0</x:v>
      </x:c>
      <x:c r="L54" s="17" t="n">
        <x:v>0</x:v>
      </x:c>
      <x:c r="M54" s="17" t="n">
        <x:v>0</x:v>
      </x:c>
      <x:c r="N54" s="17" t="n">
        <x:v>0</x:v>
      </x:c>
      <x:c r="O54" s="17" t="n">
        <x:v>0</x:v>
      </x:c>
      <x:c r="P54" s="17" t="n">
        <x:v>0</x:v>
      </x:c>
      <x:c r="Q54" s="17" t="n">
        <x:v>0</x:v>
      </x:c>
      <x:c r="R54" s="17" t="str">
        <x:v>PAIR</x:v>
      </x:c>
    </x:row>
    <x:row r="55" ht="28" customHeight="1">
      <x:c r="C55" s="17" t="str">
        <x:v>K3</x:v>
      </x:c>
      <x:c r="D55" s="17" t="str">
        <x:v>Offline control and evidence cell</x:v>
      </x:c>
      <x:c r="E55" s="40" t="n">
        <x:v>2</x:v>
      </x:c>
      <x:c r="F55" s="40" t="n">
        <x:f>E55*E16*'01 Controls'!$D$14</x:f>
        <x:v>50</x:v>
      </x:c>
      <x:c r="G55" s="40" t="n">
        <x:f>E55*F16*'01 Controls'!$D$14</x:f>
        <x:v>60</x:v>
      </x:c>
      <x:c r="H55" s="40" t="n">
        <x:f>E55*G16</x:f>
        <x:v>8</x:v>
      </x:c>
      <x:c r="I55" s="39" t="n">
        <x:f>E55*H16*'01 Controls'!$D$15</x:f>
        <x:v>0.1</x:v>
      </x:c>
      <x:c r="J55" s="17" t="str">
        <x:v>Control / evidence</x:v>
      </x:c>
      <x:c r="K55" s="17" t="n">
        <x:v>0</x:v>
      </x:c>
      <x:c r="L55" s="17" t="n">
        <x:v>0</x:v>
      </x:c>
      <x:c r="M55" s="17" t="n">
        <x:v>0</x:v>
      </x:c>
      <x:c r="N55" s="17" t="n">
        <x:v>0</x:v>
      </x:c>
      <x:c r="O55" s="17" t="n">
        <x:v>0</x:v>
      </x:c>
      <x:c r="P55" s="17" t="n">
        <x:v>0</x:v>
      </x:c>
      <x:c r="Q55" s="17" t="n">
        <x:v>0</x:v>
      </x:c>
      <x:c r="R55" s="17" t="str">
        <x:v>PAIR</x:v>
      </x:c>
    </x:row>
    <x:row r="56" ht="28" customHeight="1">
      <x:c r="C56" s="17" t="str">
        <x:v>K3</x:v>
      </x:c>
      <x:c r="D56" s="17" t="str">
        <x:v>Mobilization-base package</x:v>
      </x:c>
      <x:c r="E56" s="40" t="n">
        <x:v>1</x:v>
      </x:c>
      <x:c r="F56" s="40" t="n">
        <x:f>E56*E17*'01 Controls'!$D$14</x:f>
        <x:v>90</x:v>
      </x:c>
      <x:c r="G56" s="40" t="n">
        <x:f>E56*F17*'01 Controls'!$D$14</x:f>
        <x:v>120</x:v>
      </x:c>
      <x:c r="H56" s="40" t="n">
        <x:f>E56*G17</x:f>
        <x:v>6</x:v>
      </x:c>
      <x:c r="I56" s="39" t="n">
        <x:f>E56*H17*'01 Controls'!$D$15</x:f>
        <x:v>0.06</x:v>
      </x:c>
      <x:c r="J56" s="17" t="str">
        <x:v>Mobilization base</x:v>
      </x:c>
      <x:c r="K56" s="17" t="n">
        <x:v>0</x:v>
      </x:c>
      <x:c r="L56" s="17" t="n">
        <x:v>0</x:v>
      </x:c>
      <x:c r="M56" s="17" t="n">
        <x:v>0</x:v>
      </x:c>
      <x:c r="N56" s="17" t="n">
        <x:v>0</x:v>
      </x:c>
      <x:c r="O56" s="17" t="n">
        <x:v>0</x:v>
      </x:c>
      <x:c r="P56" s="17" t="n">
        <x:v>0</x:v>
      </x:c>
      <x:c r="Q56" s="17" t="n">
        <x:v>0</x:v>
      </x:c>
      <x:c r="R56" s="17" t="str">
        <x:v>PAIR</x:v>
      </x:c>
    </x:row>
    <x:row r="57" ht="28" customHeight="1">
      <x:c r="C57" s="17" t="str">
        <x:v>K4</x:v>
      </x:c>
      <x:c r="D57" s="17" t="str">
        <x:v>Path A source core</x:v>
      </x:c>
      <x:c r="E57" s="40" t="n">
        <x:v>1</x:v>
      </x:c>
      <x:c r="F57" s="40" t="n">
        <x:f>E57*E6</x:f>
        <x:v>920</x:v>
      </x:c>
      <x:c r="G57" s="40" t="n">
        <x:f>E57*F6</x:f>
        <x:v>1100</x:v>
      </x:c>
      <x:c r="H57" s="40" t="n">
        <x:f>E57*G6</x:f>
        <x:v>72</x:v>
      </x:c>
      <x:c r="I57" s="39" t="n">
        <x:f>E57*H6*'01 Controls'!$D$15</x:f>
        <x:v>0.95</x:v>
      </x:c>
      <x:c r="J57" s="17" t="str">
        <x:v>Source + treatment</x:v>
      </x:c>
      <x:c r="K57" s="17" t="n">
        <x:v>1</x:v>
      </x:c>
      <x:c r="L57" s="17" t="n">
        <x:v>0</x:v>
      </x:c>
      <x:c r="M57" s="17" t="n">
        <x:v>0</x:v>
      </x:c>
      <x:c r="N57" s="17" t="n">
        <x:v>0</x:v>
      </x:c>
      <x:c r="O57" s="17" t="n">
        <x:v>0</x:v>
      </x:c>
      <x:c r="P57" s="17" t="n">
        <x:v>0</x:v>
      </x:c>
      <x:c r="Q57" s="17" t="n">
        <x:v>0</x:v>
      </x:c>
      <x:c r="R57" s="17" t="str">
        <x:v>PAIR</x:v>
      </x:c>
    </x:row>
    <x:row r="58" ht="28" customHeight="1">
      <x:c r="C58" s="17" t="str">
        <x:v>K4</x:v>
      </x:c>
      <x:c r="D58" s="17" t="str">
        <x:v>Path B source core</x:v>
      </x:c>
      <x:c r="E58" s="40" t="n">
        <x:v>2</x:v>
      </x:c>
      <x:c r="F58" s="40" t="n">
        <x:f>E58*E7</x:f>
        <x:v>5420</x:v>
      </x:c>
      <x:c r="G58" s="40" t="n">
        <x:f>E58*F7</x:f>
        <x:v>6020</x:v>
      </x:c>
      <x:c r="H58" s="40" t="n">
        <x:f>E58*G7</x:f>
        <x:v>220</x:v>
      </x:c>
      <x:c r="I58" s="39" t="n">
        <x:f>E58*H7*'01 Controls'!$D$15</x:f>
        <x:v>4.4</x:v>
      </x:c>
      <x:c r="J58" s="17" t="str">
        <x:v>Source + treatment</x:v>
      </x:c>
      <x:c r="K58" s="17" t="n">
        <x:v>0</x:v>
      </x:c>
      <x:c r="L58" s="17" t="n">
        <x:v>1</x:v>
      </x:c>
      <x:c r="M58" s="17" t="n">
        <x:v>0</x:v>
      </x:c>
      <x:c r="N58" s="17" t="n">
        <x:v>0</x:v>
      </x:c>
      <x:c r="O58" s="17" t="n">
        <x:v>0</x:v>
      </x:c>
      <x:c r="P58" s="17" t="n">
        <x:v>0</x:v>
      </x:c>
      <x:c r="Q58" s="17" t="n">
        <x:v>0</x:v>
      </x:c>
      <x:c r="R58" s="17" t="str">
        <x:v>THIRD CELL</x:v>
      </x:c>
    </x:row>
    <x:row r="59" ht="28" customHeight="1">
      <x:c r="C59" s="17" t="str">
        <x:v>K4</x:v>
      </x:c>
      <x:c r="D59" s="17" t="str">
        <x:v>Carrier and sanitary corridor cell</x:v>
      </x:c>
      <x:c r="E59" s="40" t="n">
        <x:v>3</x:v>
      </x:c>
      <x:c r="F59" s="40" t="n">
        <x:f>E59*E8*'01 Controls'!$D$14</x:f>
        <x:v>750</x:v>
      </x:c>
      <x:c r="G59" s="40" t="n">
        <x:f>E59*F8*'01 Controls'!$D$14</x:f>
        <x:v>900</x:v>
      </x:c>
      <x:c r="H59" s="40" t="n">
        <x:f>E59*G8</x:f>
        <x:v>36</x:v>
      </x:c>
      <x:c r="I59" s="39" t="n">
        <x:f>E59*H8*'01 Controls'!$D$15</x:f>
        <x:v>0.54</x:v>
      </x:c>
      <x:c r="J59" s="17" t="str">
        <x:v>Carrier / corridor</x:v>
      </x:c>
      <x:c r="K59" s="17" t="n">
        <x:v>0</x:v>
      </x:c>
      <x:c r="L59" s="17" t="n">
        <x:v>0</x:v>
      </x:c>
      <x:c r="M59" s="17" t="n">
        <x:v>1</x:v>
      </x:c>
      <x:c r="N59" s="17" t="n">
        <x:v>0</x:v>
      </x:c>
      <x:c r="O59" s="17" t="n">
        <x:v>0</x:v>
      </x:c>
      <x:c r="P59" s="17" t="n">
        <x:v>0</x:v>
      </x:c>
      <x:c r="Q59" s="17" t="n">
        <x:v>0</x:v>
      </x:c>
      <x:c r="R59" s="17" t="str">
        <x:v>THIRD CELL</x:v>
      </x:c>
    </x:row>
    <x:row r="60" ht="28" customHeight="1">
      <x:c r="C60" s="17" t="str">
        <x:v>K4</x:v>
      </x:c>
      <x:c r="D60" s="17" t="str">
        <x:v>Reception and transfer cell</x:v>
      </x:c>
      <x:c r="E60" s="40" t="n">
        <x:v>3</x:v>
      </x:c>
      <x:c r="F60" s="40" t="n">
        <x:f>E60*E9*'01 Controls'!$D$14</x:f>
        <x:v>540</x:v>
      </x:c>
      <x:c r="G60" s="40" t="n">
        <x:f>E60*F9*'01 Controls'!$D$14</x:f>
        <x:v>660</x:v>
      </x:c>
      <x:c r="H60" s="40" t="n">
        <x:f>E60*G9</x:f>
        <x:v>30</x:v>
      </x:c>
      <x:c r="I60" s="39" t="n">
        <x:f>E60*H9*'01 Controls'!$D$15</x:f>
        <x:v>0.36</x:v>
      </x:c>
      <x:c r="J60" s="17" t="str">
        <x:v>Receiving node</x:v>
      </x:c>
      <x:c r="K60" s="17" t="n">
        <x:v>0</x:v>
      </x:c>
      <x:c r="L60" s="17" t="n">
        <x:v>0</x:v>
      </x:c>
      <x:c r="M60" s="17" t="n">
        <x:v>0</x:v>
      </x:c>
      <x:c r="N60" s="17" t="n">
        <x:v>1</x:v>
      </x:c>
      <x:c r="O60" s="17" t="n">
        <x:v>0</x:v>
      </x:c>
      <x:c r="P60" s="17" t="n">
        <x:v>0</x:v>
      </x:c>
      <x:c r="Q60" s="17" t="n">
        <x:v>0</x:v>
      </x:c>
      <x:c r="R60" s="17" t="str">
        <x:v>THIRD CELL</x:v>
      </x:c>
    </x:row>
    <x:row r="61" ht="28" customHeight="1">
      <x:c r="C61" s="17" t="str">
        <x:v>K4</x:v>
      </x:c>
      <x:c r="D61" s="17" t="str">
        <x:v>Receiver power-autonomy cell</x:v>
      </x:c>
      <x:c r="E61" s="40" t="n">
        <x:v>3</x:v>
      </x:c>
      <x:c r="F61" s="40" t="n">
        <x:f>E61*E10*'01 Controls'!$D$14</x:f>
        <x:v>480</x:v>
      </x:c>
      <x:c r="G61" s="40" t="n">
        <x:f>E61*F10*'01 Controls'!$D$14</x:f>
        <x:v>570</x:v>
      </x:c>
      <x:c r="H61" s="40" t="n">
        <x:f>E61*G10</x:f>
        <x:v>24</x:v>
      </x:c>
      <x:c r="I61" s="39" t="n">
        <x:f>E61*H10*'01 Controls'!$D$15</x:f>
        <x:v>0.42000000000000004</x:v>
      </x:c>
      <x:c r="J61" s="17" t="str">
        <x:v>Power</x:v>
      </x:c>
      <x:c r="K61" s="17" t="n">
        <x:v>0</x:v>
      </x:c>
      <x:c r="L61" s="17" t="n">
        <x:v>0</x:v>
      </x:c>
      <x:c r="M61" s="17" t="n">
        <x:v>0</x:v>
      </x:c>
      <x:c r="N61" s="17" t="n">
        <x:v>0</x:v>
      </x:c>
      <x:c r="O61" s="17" t="n">
        <x:v>1</x:v>
      </x:c>
      <x:c r="P61" s="17" t="n">
        <x:v>0</x:v>
      </x:c>
      <x:c r="Q61" s="17" t="n">
        <x:v>0</x:v>
      </x:c>
      <x:c r="R61" s="17" t="str">
        <x:v>THIRD CELL</x:v>
      </x:c>
    </x:row>
    <x:row r="62" ht="28" customHeight="1">
      <x:c r="C62" s="17" t="str">
        <x:v>K4</x:v>
      </x:c>
      <x:c r="D62" s="17" t="str">
        <x:v>Quality and release workcell</x:v>
      </x:c>
      <x:c r="E62" s="40" t="n">
        <x:v>3</x:v>
      </x:c>
      <x:c r="F62" s="40" t="n">
        <x:f>E62*E11*'01 Controls'!$D$14</x:f>
        <x:v>135</x:v>
      </x:c>
      <x:c r="G62" s="40" t="n">
        <x:f>E62*F11*'01 Controls'!$D$14</x:f>
        <x:v>165</x:v>
      </x:c>
      <x:c r="H62" s="40" t="n">
        <x:f>E62*G11</x:f>
        <x:v>24</x:v>
      </x:c>
      <x:c r="I62" s="39" t="n">
        <x:f>E62*H11*'01 Controls'!$D$15</x:f>
        <x:v>0.24</x:v>
      </x:c>
      <x:c r="J62" s="17" t="str">
        <x:v>Quality / release</x:v>
      </x:c>
      <x:c r="K62" s="17" t="n">
        <x:v>0</x:v>
      </x:c>
      <x:c r="L62" s="17" t="n">
        <x:v>0</x:v>
      </x:c>
      <x:c r="M62" s="17" t="n">
        <x:v>0</x:v>
      </x:c>
      <x:c r="N62" s="17" t="n">
        <x:v>0</x:v>
      </x:c>
      <x:c r="O62" s="17" t="n">
        <x:v>0</x:v>
      </x:c>
      <x:c r="P62" s="17" t="n">
        <x:v>1</x:v>
      </x:c>
      <x:c r="Q62" s="17" t="n">
        <x:v>0</x:v>
      </x:c>
      <x:c r="R62" s="17" t="str">
        <x:v>THIRD CELL</x:v>
      </x:c>
    </x:row>
    <x:row r="63" ht="28" customHeight="1">
      <x:c r="C63" s="17" t="str">
        <x:v>K4</x:v>
      </x:c>
      <x:c r="D63" s="17" t="str">
        <x:v>Hydraulic service island</x:v>
      </x:c>
      <x:c r="E63" s="40" t="n">
        <x:v>3</x:v>
      </x:c>
      <x:c r="F63" s="40" t="n">
        <x:f>E63*E12*'01 Controls'!$D$14</x:f>
        <x:v>780</x:v>
      </x:c>
      <x:c r="G63" s="40" t="n">
        <x:f>E63*F12*'01 Controls'!$D$14</x:f>
        <x:v>900</x:v>
      </x:c>
      <x:c r="H63" s="40" t="n">
        <x:f>E63*G12</x:f>
        <x:v>36</x:v>
      </x:c>
      <x:c r="I63" s="39" t="n">
        <x:f>E63*H12*'01 Controls'!$D$15</x:f>
        <x:v>0.54</x:v>
      </x:c>
      <x:c r="J63" s="17" t="str">
        <x:v>Receiver island</x:v>
      </x:c>
      <x:c r="K63" s="17" t="n">
        <x:v>0</x:v>
      </x:c>
      <x:c r="L63" s="17" t="n">
        <x:v>0</x:v>
      </x:c>
      <x:c r="M63" s="17" t="n">
        <x:v>0</x:v>
      </x:c>
      <x:c r="N63" s="17" t="n">
        <x:v>0</x:v>
      </x:c>
      <x:c r="O63" s="17" t="n">
        <x:v>0</x:v>
      </x:c>
      <x:c r="P63" s="17" t="n">
        <x:v>0</x:v>
      </x:c>
      <x:c r="Q63" s="17" t="n">
        <x:v>1</x:v>
      </x:c>
      <x:c r="R63" s="17" t="str">
        <x:v>THIRD CELL</x:v>
      </x:c>
    </x:row>
    <x:row r="64" ht="28" customHeight="1">
      <x:c r="C64" s="17" t="str">
        <x:v>K4</x:v>
      </x:c>
      <x:c r="D64" s="17" t="str">
        <x:v>Process-material lineage pack</x:v>
      </x:c>
      <x:c r="E64" s="40" t="n">
        <x:v>3</x:v>
      </x:c>
      <x:c r="F64" s="40" t="n">
        <x:f>E64*E13*'01 Controls'!$D$14</x:f>
        <x:v>210</x:v>
      </x:c>
      <x:c r="G64" s="40" t="n">
        <x:f>E64*F13*'01 Controls'!$D$14</x:f>
        <x:v>255</x:v>
      </x:c>
      <x:c r="H64" s="40" t="n">
        <x:f>E64*G13</x:f>
        <x:v>12</x:v>
      </x:c>
      <x:c r="I64" s="39" t="n">
        <x:f>E64*H13*'01 Controls'!$D$15</x:f>
        <x:v>0.12</x:v>
      </x:c>
      <x:c r="J64" s="17" t="str">
        <x:v>Material lot</x:v>
      </x:c>
      <x:c r="K64" s="17" t="n">
        <x:v>0</x:v>
      </x:c>
      <x:c r="L64" s="17" t="n">
        <x:v>0</x:v>
      </x:c>
      <x:c r="M64" s="17" t="n">
        <x:v>0</x:v>
      </x:c>
      <x:c r="N64" s="17" t="n">
        <x:v>0</x:v>
      </x:c>
      <x:c r="O64" s="17" t="n">
        <x:v>0</x:v>
      </x:c>
      <x:c r="P64" s="17" t="n">
        <x:v>0</x:v>
      </x:c>
      <x:c r="Q64" s="17" t="n">
        <x:v>0</x:v>
      </x:c>
      <x:c r="R64" s="17" t="str">
        <x:v>THIRD CELL</x:v>
      </x:c>
    </x:row>
    <x:row r="65" ht="28" customHeight="1">
      <x:c r="C65" s="17" t="str">
        <x:v>K4</x:v>
      </x:c>
      <x:c r="D65" s="17" t="str">
        <x:v>Crew continuity package</x:v>
      </x:c>
      <x:c r="E65" s="40" t="n">
        <x:v>3</x:v>
      </x:c>
      <x:c r="F65" s="40" t="n">
        <x:f>E65*E14*'01 Controls'!$D$14</x:f>
        <x:v>90</x:v>
      </x:c>
      <x:c r="G65" s="40" t="n">
        <x:f>E65*F14*'01 Controls'!$D$14</x:f>
        <x:v>120</x:v>
      </x:c>
      <x:c r="H65" s="40" t="n">
        <x:f>E65*G14</x:f>
        <x:v>54</x:v>
      </x:c>
      <x:c r="I65" s="39" t="n">
        <x:f>E65*H14*'01 Controls'!$D$15</x:f>
        <x:v>0.09</x:v>
      </x:c>
      <x:c r="J65" s="17" t="str">
        <x:v>Crew cohort</x:v>
      </x:c>
      <x:c r="K65" s="17" t="n">
        <x:v>0</x:v>
      </x:c>
      <x:c r="L65" s="17" t="n">
        <x:v>0</x:v>
      </x:c>
      <x:c r="M65" s="17" t="n">
        <x:v>0</x:v>
      </x:c>
      <x:c r="N65" s="17" t="n">
        <x:v>0</x:v>
      </x:c>
      <x:c r="O65" s="17" t="n">
        <x:v>0</x:v>
      </x:c>
      <x:c r="P65" s="17" t="n">
        <x:v>0</x:v>
      </x:c>
      <x:c r="Q65" s="17" t="n">
        <x:v>0</x:v>
      </x:c>
      <x:c r="R65" s="17" t="str">
        <x:v>THIRD CELL</x:v>
      </x:c>
    </x:row>
    <x:row r="66" ht="28" customHeight="1">
      <x:c r="C66" s="17" t="str">
        <x:v>K4</x:v>
      </x:c>
      <x:c r="D66" s="17" t="str">
        <x:v>Regeneration-depot interface</x:v>
      </x:c>
      <x:c r="E66" s="40" t="n">
        <x:v>3</x:v>
      </x:c>
      <x:c r="F66" s="40" t="n">
        <x:f>E66*E15*'01 Controls'!$D$14</x:f>
        <x:v>420</x:v>
      </x:c>
      <x:c r="G66" s="40" t="n">
        <x:f>E66*F15*'01 Controls'!$D$14</x:f>
        <x:v>510</x:v>
      </x:c>
      <x:c r="H66" s="40" t="n">
        <x:f>E66*G15</x:f>
        <x:v>30</x:v>
      </x:c>
      <x:c r="I66" s="39" t="n">
        <x:f>E66*H15*'01 Controls'!$D$15</x:f>
        <x:v>0.30000000000000004</x:v>
      </x:c>
      <x:c r="J66" s="17" t="str">
        <x:v>Reset depot</x:v>
      </x:c>
      <x:c r="K66" s="17" t="n">
        <x:v>0</x:v>
      </x:c>
      <x:c r="L66" s="17" t="n">
        <x:v>0</x:v>
      </x:c>
      <x:c r="M66" s="17" t="n">
        <x:v>0</x:v>
      </x:c>
      <x:c r="N66" s="17" t="n">
        <x:v>0</x:v>
      </x:c>
      <x:c r="O66" s="17" t="n">
        <x:v>0</x:v>
      </x:c>
      <x:c r="P66" s="17" t="n">
        <x:v>0</x:v>
      </x:c>
      <x:c r="Q66" s="17" t="n">
        <x:v>0</x:v>
      </x:c>
      <x:c r="R66" s="17" t="str">
        <x:v>THIRD CELL</x:v>
      </x:c>
    </x:row>
    <x:row r="67" ht="28" customHeight="1">
      <x:c r="C67" s="17" t="str">
        <x:v>K4</x:v>
      </x:c>
      <x:c r="D67" s="17" t="str">
        <x:v>Offline control and evidence cell</x:v>
      </x:c>
      <x:c r="E67" s="40" t="n">
        <x:v>3</x:v>
      </x:c>
      <x:c r="F67" s="40" t="n">
        <x:f>E67*E16*'01 Controls'!$D$14</x:f>
        <x:v>75</x:v>
      </x:c>
      <x:c r="G67" s="40" t="n">
        <x:f>E67*F16*'01 Controls'!$D$14</x:f>
        <x:v>90</x:v>
      </x:c>
      <x:c r="H67" s="40" t="n">
        <x:f>E67*G16</x:f>
        <x:v>12</x:v>
      </x:c>
      <x:c r="I67" s="39" t="n">
        <x:f>E67*H16*'01 Controls'!$D$15</x:f>
        <x:v>0.15000000000000002</x:v>
      </x:c>
      <x:c r="J67" s="17" t="str">
        <x:v>Control / evidence</x:v>
      </x:c>
      <x:c r="K67" s="17" t="n">
        <x:v>0</x:v>
      </x:c>
      <x:c r="L67" s="17" t="n">
        <x:v>0</x:v>
      </x:c>
      <x:c r="M67" s="17" t="n">
        <x:v>0</x:v>
      </x:c>
      <x:c r="N67" s="17" t="n">
        <x:v>0</x:v>
      </x:c>
      <x:c r="O67" s="17" t="n">
        <x:v>0</x:v>
      </x:c>
      <x:c r="P67" s="17" t="n">
        <x:v>0</x:v>
      </x:c>
      <x:c r="Q67" s="17" t="n">
        <x:v>0</x:v>
      </x:c>
      <x:c r="R67" s="17" t="str">
        <x:v>THIRD CELL</x:v>
      </x:c>
    </x:row>
    <x:row r="68" ht="28" customHeight="1">
      <x:c r="C68" s="17" t="str">
        <x:v>K4</x:v>
      </x:c>
      <x:c r="D68" s="17" t="str">
        <x:v>Mobilization-base package</x:v>
      </x:c>
      <x:c r="E68" s="40" t="n">
        <x:v>3</x:v>
      </x:c>
      <x:c r="F68" s="40" t="n">
        <x:f>E68*E17*'01 Controls'!$D$14</x:f>
        <x:v>270</x:v>
      </x:c>
      <x:c r="G68" s="40" t="n">
        <x:f>E68*F17*'01 Controls'!$D$14</x:f>
        <x:v>360</x:v>
      </x:c>
      <x:c r="H68" s="40" t="n">
        <x:f>E68*G17</x:f>
        <x:v>18</x:v>
      </x:c>
      <x:c r="I68" s="39" t="n">
        <x:f>E68*H17*'01 Controls'!$D$15</x:f>
        <x:v>0.18</x:v>
      </x:c>
      <x:c r="J68" s="17" t="str">
        <x:v>Mobilization base</x:v>
      </x:c>
      <x:c r="K68" s="17" t="n">
        <x:v>0</x:v>
      </x:c>
      <x:c r="L68" s="17" t="n">
        <x:v>0</x:v>
      </x:c>
      <x:c r="M68" s="17" t="n">
        <x:v>0</x:v>
      </x:c>
      <x:c r="N68" s="17" t="n">
        <x:v>0</x:v>
      </x:c>
      <x:c r="O68" s="17" t="n">
        <x:v>0</x:v>
      </x:c>
      <x:c r="P68" s="17" t="n">
        <x:v>0</x:v>
      </x:c>
      <x:c r="Q68" s="17" t="n">
        <x:v>0</x:v>
      </x:c>
      <x:c r="R68" s="17" t="str">
        <x:v>THIRD CELL</x:v>
      </x:c>
    </x:row>
  </x:sheetData>
  <x:mergeCells>
    <x:mergeCell ref="C2:P2"/>
    <x:mergeCell ref="C3:P3"/>
  </x:mergeCells>
  <x:pageMargins left="0.7" right="0.7" top="0.75" bottom="0.75" header="0.3" footer="0.3"/>
  <x:tableParts count="2">
    <x:tablePart xmlns:r="http://schemas.openxmlformats.org/officeDocument/2006/relationships" r:id="Rc0dcd205905c42e1"/>
    <x:tablePart xmlns:r="http://schemas.openxmlformats.org/officeDocument/2006/relationships" r:id="R02cd0d3f9827456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3" hidden="0" customWidth="1"/>
    <x:col min="4" max="4" width="21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  <x:col min="11" max="11" width="22" hidden="0" customWidth="1"/>
    <x:col min="12" max="12" width="23" hidden="0" customWidth="1"/>
    <x:col min="13" max="13" width="22" hidden="0" customWidth="1"/>
    <x:col min="14" max="14" width="20" hidden="0" customWidth="1"/>
    <x:col min="15" max="15" width="23" hidden="0" customWidth="1"/>
    <x:col min="16" max="16" width="23" hidden="0" customWidth="1"/>
  </x:cols>
  <x:sheetData>
    <x:row r="2">
      <x:c r="C2" s="27" t="str">
        <x:v>Twenty-five-year industrial program comparator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C3" s="29" t="str">
        <x:v>The model prices independent domains as maintained force structure, not as labels. Values are declared comparators, not estimates or budget recommendations.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</x:row>
    <x:row r="4"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</x:row>
    <x:row r="5">
      <x:c r="C5" s="9" t="str">
        <x:v>Architecture</x:v>
      </x:c>
      <x:c r="D5" s="9" t="str">
        <x:v>Equipment $B/set</x:v>
      </x:c>
      <x:c r="E5" s="9" t="str">
        <x:v>Sets</x:v>
      </x:c>
      <x:c r="F5" s="9" t="str">
        <x:v>Equipment $B</x:v>
      </x:c>
      <x:c r="G5" s="9" t="str">
        <x:v>Node works $B/node</x:v>
      </x:c>
      <x:c r="H5" s="9" t="str">
        <x:v>Nodes</x:v>
      </x:c>
      <x:c r="I5" s="9" t="str">
        <x:v>Node works $B</x:v>
      </x:c>
      <x:c r="J5" s="9" t="str">
        <x:v>Annual O&amp;S $B/set</x:v>
      </x:c>
      <x:c r="K5" s="9" t="str">
        <x:v>25-year O&amp;S $B</x:v>
      </x:c>
      <x:c r="L5" s="9" t="str">
        <x:v>RDT&amp;E + industrial $B</x:v>
      </x:c>
      <x:c r="M5" s="9" t="str">
        <x:v>Total program $B</x:v>
      </x:c>
      <x:c r="N5" s="9" t="str">
        <x:v>Delta to K1 $B</x:v>
      </x:c>
      <x:c r="O5" s="9" t="str">
        <x:v>Service worlds passed</x:v>
      </x:c>
      <x:c r="P5" s="9" t="str">
        <x:v>Cost per passing service world $B</x:v>
      </x:c>
    </x:row>
    <x:row r="6" ht="38" customHeight="1">
      <x:c r="C6" s="17" t="str">
        <x:v>K1</x:v>
      </x:c>
      <x:c r="D6" s="39" t="n">
        <x:f>'02 Architectures'!$O6</x:f>
        <x:v>4.13</x:v>
      </x:c>
      <x:c r="E6" s="37" t="n">
        <x:f>'01 Controls'!$D$8</x:f>
        <x:v>24</x:v>
      </x:c>
      <x:c r="F6" s="39" t="n">
        <x:f>D6*E6</x:f>
        <x:v>99.12</x:v>
      </x:c>
      <x:c r="G6" s="39" t="n">
        <x:v>2.2</x:v>
      </x:c>
      <x:c r="H6" s="37" t="n">
        <x:f>'01 Controls'!$D$9</x:f>
        <x:v>12</x:v>
      </x:c>
      <x:c r="I6" s="39" t="n">
        <x:f>G6*H6*'01 Controls'!$D$15</x:f>
        <x:v>26.400000000000002</x:v>
      </x:c>
      <x:c r="J6" s="39" t="n">
        <x:f>'01 Controls'!$D30*'01 Controls'!$D$15</x:f>
        <x:v>0.18</x:v>
      </x:c>
      <x:c r="K6" s="39" t="n">
        <x:f>J6*E6*'01 Controls'!$D$10</x:f>
        <x:v>108</x:v>
      </x:c>
      <x:c r="L6" s="39" t="n">
        <x:v>50</x:v>
      </x:c>
      <x:c r="M6" s="39" t="n">
        <x:f>SUM(F6,I6,K6,L6)</x:f>
        <x:v>283.52</x:v>
      </x:c>
      <x:c r="N6" s="39" t="n">
        <x:f>M6-$M$6</x:f>
        <x:v>0</x:v>
      </x:c>
      <x:c r="O6" s="37" t="n">
        <x:f>'02 Architectures'!$P6</x:f>
        <x:v>4</x:v>
      </x:c>
      <x:c r="P6" s="39" t="n">
        <x:f>M6/O6</x:f>
        <x:v>70.88</x:v>
      </x:c>
    </x:row>
    <x:row r="7" ht="38" customHeight="1">
      <x:c r="C7" s="17" t="str">
        <x:v>K2</x:v>
      </x:c>
      <x:c r="D7" s="39" t="n">
        <x:f>'02 Architectures'!$O7</x:f>
        <x:v>4.43</x:v>
      </x:c>
      <x:c r="E7" s="37" t="n">
        <x:f>'01 Controls'!$D$8</x:f>
        <x:v>24</x:v>
      </x:c>
      <x:c r="F7" s="39" t="n">
        <x:f>D7*E7</x:f>
        <x:v>106.32</x:v>
      </x:c>
      <x:c r="G7" s="39" t="n">
        <x:v>2.6</x:v>
      </x:c>
      <x:c r="H7" s="37" t="n">
        <x:f>'01 Controls'!$D$9</x:f>
        <x:v>12</x:v>
      </x:c>
      <x:c r="I7" s="39" t="n">
        <x:f>G7*H7*'01 Controls'!$D$15</x:f>
        <x:v>31.200000000000003</x:v>
      </x:c>
      <x:c r="J7" s="39" t="n">
        <x:f>'01 Controls'!$D31*'01 Controls'!$D$15</x:f>
        <x:v>0.2</x:v>
      </x:c>
      <x:c r="K7" s="39" t="n">
        <x:f>J7*E7*'01 Controls'!$D$10</x:f>
        <x:v>120.00000000000001</x:v>
      </x:c>
      <x:c r="L7" s="39" t="n">
        <x:v>60</x:v>
      </x:c>
      <x:c r="M7" s="39" t="n">
        <x:f>SUM(F7,I7,K7,L7)</x:f>
        <x:v>317.52</x:v>
      </x:c>
      <x:c r="N7" s="39" t="n">
        <x:f>M7-$M$6</x:f>
        <x:v>34</x:v>
      </x:c>
      <x:c r="O7" s="37" t="n">
        <x:f>'02 Architectures'!$P7</x:f>
        <x:v>6</x:v>
      </x:c>
      <x:c r="P7" s="39" t="n">
        <x:f>M7/O7</x:f>
        <x:v>52.919999999999995</x:v>
      </x:c>
    </x:row>
    <x:row r="8" ht="38" customHeight="1">
      <x:c r="C8" s="17" t="str">
        <x:v>K3</x:v>
      </x:c>
      <x:c r="D8" s="39" t="n">
        <x:f>'02 Architectures'!$O8</x:f>
        <x:v>4.909999999999999</x:v>
      </x:c>
      <x:c r="E8" s="37" t="n">
        <x:f>'01 Controls'!$D$8</x:f>
        <x:v>24</x:v>
      </x:c>
      <x:c r="F8" s="39" t="n">
        <x:f>D8*E8</x:f>
        <x:v>117.83999999999997</x:v>
      </x:c>
      <x:c r="G8" s="39" t="n">
        <x:v>3.2</x:v>
      </x:c>
      <x:c r="H8" s="37" t="n">
        <x:f>'01 Controls'!$D$9</x:f>
        <x:v>12</x:v>
      </x:c>
      <x:c r="I8" s="39" t="n">
        <x:f>G8*H8*'01 Controls'!$D$15</x:f>
        <x:v>38.400000000000006</x:v>
      </x:c>
      <x:c r="J8" s="39" t="n">
        <x:f>'01 Controls'!$D32*'01 Controls'!$D$15</x:f>
        <x:v>0.24</x:v>
      </x:c>
      <x:c r="K8" s="39" t="n">
        <x:f>J8*E8*'01 Controls'!$D$10</x:f>
        <x:v>144</x:v>
      </x:c>
      <x:c r="L8" s="39" t="n">
        <x:v>80</x:v>
      </x:c>
      <x:c r="M8" s="39" t="n">
        <x:f>SUM(F8,I8,K8,L8)</x:f>
        <x:v>380.24</x:v>
      </x:c>
      <x:c r="N8" s="39" t="n">
        <x:f>M8-$M$6</x:f>
        <x:v>96.72000000000003</x:v>
      </x:c>
      <x:c r="O8" s="37" t="n">
        <x:f>'02 Architectures'!$P8</x:f>
        <x:v>11</x:v>
      </x:c>
      <x:c r="P8" s="39" t="n">
        <x:f>M8/O8</x:f>
        <x:v>34.56727272727273</x:v>
      </x:c>
    </x:row>
    <x:row r="9" ht="38" customHeight="1">
      <x:c r="C9" s="17" t="str">
        <x:v>K4</x:v>
      </x:c>
      <x:c r="D9" s="39" t="n">
        <x:f>'02 Architectures'!$O9</x:f>
        <x:v>8.290000000000001</x:v>
      </x:c>
      <x:c r="E9" s="37" t="n">
        <x:f>'01 Controls'!$D$8</x:f>
        <x:v>24</x:v>
      </x:c>
      <x:c r="F9" s="39" t="n">
        <x:f>D9*E9</x:f>
        <x:v>198.96000000000004</x:v>
      </x:c>
      <x:c r="G9" s="39" t="n">
        <x:v>4.4</x:v>
      </x:c>
      <x:c r="H9" s="37" t="n">
        <x:f>'01 Controls'!$D$9</x:f>
        <x:v>12</x:v>
      </x:c>
      <x:c r="I9" s="39" t="n">
        <x:f>G9*H9*'01 Controls'!$D$15</x:f>
        <x:v>52.800000000000004</x:v>
      </x:c>
      <x:c r="J9" s="39" t="n">
        <x:f>'01 Controls'!$D33*'01 Controls'!$D$15</x:f>
        <x:v>0.38</x:v>
      </x:c>
      <x:c r="K9" s="39" t="n">
        <x:f>J9*E9*'01 Controls'!$D$10</x:f>
        <x:v>228.00000000000003</x:v>
      </x:c>
      <x:c r="L9" s="39" t="n">
        <x:v>120</x:v>
      </x:c>
      <x:c r="M9" s="39" t="n">
        <x:f>SUM(F9,I9,K9,L9)</x:f>
        <x:v>599.7600000000001</x:v>
      </x:c>
      <x:c r="N9" s="39" t="n">
        <x:f>M9-$M$6</x:f>
        <x:v>316.2400000000001</x:v>
      </x:c>
      <x:c r="O9" s="37" t="n">
        <x:f>'02 Architectures'!$P9</x:f>
        <x:v>16</x:v>
      </x:c>
      <x:c r="P9" s="39" t="n">
        <x:f>M9/O9</x:f>
        <x:v>37.48500000000001</x:v>
      </x:c>
    </x:row>
    <x:row r="10"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</x:row>
    <x:row r="11"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</x:row>
    <x:row r="12"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</x:row>
    <x:row r="13">
      <x:c r="C13" s="9" t="str">
        <x:v>Sensitivity</x:v>
      </x:c>
      <x:c r="D13" s="9" t="str">
        <x:v>Case</x:v>
      </x:c>
      <x:c r="E13" s="9" t="str">
        <x:v>Input</x:v>
      </x:c>
      <x:c r="F13" s="9" t="str">
        <x:v>K1</x:v>
      </x:c>
      <x:c r="G13" s="9" t="str">
        <x:v>K2</x:v>
      </x:c>
      <x:c r="H13" s="9" t="str">
        <x:v>K3</x:v>
      </x:c>
      <x:c r="I13" s="9" t="str">
        <x:v>K4</x:v>
      </x:c>
      <x:c r="J13" s="30"/>
      <x:c r="K13" s="30"/>
      <x:c r="L13" s="30"/>
      <x:c r="M13" s="30"/>
      <x:c r="N13" s="30"/>
      <x:c r="O13" s="30"/>
      <x:c r="P13" s="30"/>
    </x:row>
    <x:row r="14" ht="28" customHeight="1">
      <x:c r="C14" s="17" t="str">
        <x:v>Independence threshold</x:v>
      </x:c>
      <x:c r="D14" s="17" t="str">
        <x:v>6 boundaries</x:v>
      </x:c>
      <x:c r="E14" s="37" t="n">
        <x:v>6</x:v>
      </x:c>
      <x:c r="F14" s="37" t="n">
        <x:f>IF('02 Architectures'!$H$6&gt;=$E14,1,0)</x:f>
        <x:v>0</x:v>
      </x:c>
      <x:c r="G14" s="37" t="n">
        <x:f>IF('02 Architectures'!$H$7&gt;=$E14,1,0)</x:f>
        <x:v>0</x:v>
      </x:c>
      <x:c r="H14" s="37" t="n">
        <x:f>IF('02 Architectures'!$H$8&gt;=$E14,1,0)</x:f>
        <x:v>1</x:v>
      </x:c>
      <x:c r="I14" s="37" t="n">
        <x:f>IF('02 Architectures'!$H$9&gt;=$E14,1,0)</x:f>
        <x:v>1</x:v>
      </x:c>
      <x:c r="J14" s="30"/>
      <x:c r="K14" s="30"/>
      <x:c r="L14" s="30"/>
      <x:c r="M14" s="30"/>
      <x:c r="N14" s="30"/>
      <x:c r="O14" s="30"/>
      <x:c r="P14" s="30"/>
    </x:row>
    <x:row r="15" ht="28" customHeight="1">
      <x:c r="C15" s="17" t="str">
        <x:v>Independence threshold</x:v>
      </x:c>
      <x:c r="D15" s="17" t="str">
        <x:v>9 boundaries</x:v>
      </x:c>
      <x:c r="E15" s="37" t="n">
        <x:v>9</x:v>
      </x:c>
      <x:c r="F15" s="37" t="n">
        <x:f>IF('02 Architectures'!$H$6&gt;=$E15,1,0)</x:f>
        <x:v>0</x:v>
      </x:c>
      <x:c r="G15" s="37" t="n">
        <x:f>IF('02 Architectures'!$H$7&gt;=$E15,1,0)</x:f>
        <x:v>0</x:v>
      </x:c>
      <x:c r="H15" s="37" t="n">
        <x:f>IF('02 Architectures'!$H$8&gt;=$E15,1,0)</x:f>
        <x:v>1</x:v>
      </x:c>
      <x:c r="I15" s="37" t="n">
        <x:f>IF('02 Architectures'!$H$9&gt;=$E15,1,0)</x:f>
        <x:v>1</x:v>
      </x:c>
      <x:c r="J15" s="30"/>
      <x:c r="K15" s="30"/>
      <x:c r="L15" s="30"/>
      <x:c r="M15" s="30"/>
      <x:c r="N15" s="30"/>
      <x:c r="O15" s="30"/>
      <x:c r="P15" s="30"/>
    </x:row>
    <x:row r="16" ht="28" customHeight="1">
      <x:c r="C16" s="17" t="str">
        <x:v>Independence threshold</x:v>
      </x:c>
      <x:c r="D16" s="17" t="str">
        <x:v>12 boundaries</x:v>
      </x:c>
      <x:c r="E16" s="37" t="n">
        <x:v>12</x:v>
      </x:c>
      <x:c r="F16" s="37" t="n">
        <x:f>IF('02 Architectures'!$H$6&gt;=$E16,1,0)</x:f>
        <x:v>0</x:v>
      </x:c>
      <x:c r="G16" s="37" t="n">
        <x:f>IF('02 Architectures'!$H$7&gt;=$E16,1,0)</x:f>
        <x:v>0</x:v>
      </x:c>
      <x:c r="H16" s="37" t="n">
        <x:f>IF('02 Architectures'!$H$8&gt;=$E16,1,0)</x:f>
        <x:v>0</x:v>
      </x:c>
      <x:c r="I16" s="37" t="n">
        <x:f>IF('02 Architectures'!$H$9&gt;=$E16,1,0)</x:f>
        <x:v>1</x:v>
      </x:c>
      <x:c r="J16" s="30"/>
      <x:c r="K16" s="30"/>
      <x:c r="L16" s="30"/>
      <x:c r="M16" s="30"/>
      <x:c r="N16" s="30"/>
      <x:c r="O16" s="30"/>
      <x:c r="P16" s="30"/>
    </x:row>
    <x:row r="17" ht="28" customHeight="1">
      <x:c r="C17" s="17" t="str">
        <x:v>Reserve availability</x:v>
      </x:c>
      <x:c r="D17" s="17" t="str">
        <x:v>50%</x:v>
      </x:c>
      <x:c r="E17" s="38" t="n">
        <x:v>0.5</x:v>
      </x:c>
      <x:c r="F17" s="37" t="n">
        <x:v>0</x:v>
      </x:c>
      <x:c r="G17" s="37" t="n">
        <x:v>0</x:v>
      </x:c>
      <x:c r="H17" s="37" t="n">
        <x:v>0</x:v>
      </x:c>
      <x:c r="I17" s="37" t="n">
        <x:f>IF($E17*'01 Controls'!$D$7&gt;='01 Controls'!$D$7,1,0)</x:f>
        <x:v>0</x:v>
      </x:c>
      <x:c r="J17" s="30"/>
      <x:c r="K17" s="30"/>
      <x:c r="L17" s="30"/>
      <x:c r="M17" s="30"/>
      <x:c r="N17" s="30"/>
      <x:c r="O17" s="30"/>
      <x:c r="P17" s="30"/>
    </x:row>
    <x:row r="18" ht="28" customHeight="1">
      <x:c r="C18" s="17" t="str">
        <x:v>Reserve availability</x:v>
      </x:c>
      <x:c r="D18" s="17" t="str">
        <x:v>75%</x:v>
      </x:c>
      <x:c r="E18" s="38" t="n">
        <x:v>0.75</x:v>
      </x:c>
      <x:c r="F18" s="37" t="n">
        <x:v>0</x:v>
      </x:c>
      <x:c r="G18" s="37" t="n">
        <x:v>0</x:v>
      </x:c>
      <x:c r="H18" s="37" t="n">
        <x:v>0</x:v>
      </x:c>
      <x:c r="I18" s="37" t="n">
        <x:f>IF($E18*'01 Controls'!$D$7&gt;='01 Controls'!$D$7,1,0)</x:f>
        <x:v>0</x:v>
      </x:c>
      <x:c r="J18" s="30"/>
      <x:c r="K18" s="30"/>
      <x:c r="L18" s="30"/>
      <x:c r="M18" s="30"/>
      <x:c r="N18" s="30"/>
      <x:c r="O18" s="30"/>
      <x:c r="P18" s="30"/>
    </x:row>
    <x:row r="19" ht="28" customHeight="1">
      <x:c r="C19" s="17" t="str">
        <x:v>Reserve availability</x:v>
      </x:c>
      <x:c r="D19" s="17" t="str">
        <x:v>100%</x:v>
      </x:c>
      <x:c r="E19" s="38" t="n">
        <x:v>1</x:v>
      </x:c>
      <x:c r="F19" s="37" t="n">
        <x:v>0</x:v>
      </x:c>
      <x:c r="G19" s="37" t="n">
        <x:v>0</x:v>
      </x:c>
      <x:c r="H19" s="37" t="n">
        <x:v>0</x:v>
      </x:c>
      <x:c r="I19" s="37" t="n">
        <x:f>IF($E19*'01 Controls'!$D$7&gt;='01 Controls'!$D$7,1,0)</x:f>
        <x:v>1</x:v>
      </x:c>
      <x:c r="J19" s="30"/>
      <x:c r="K19" s="30"/>
      <x:c r="L19" s="30"/>
      <x:c r="M19" s="30"/>
      <x:c r="N19" s="30"/>
      <x:c r="O19" s="30"/>
      <x:c r="P19" s="30"/>
    </x:row>
    <x:row r="20" ht="28" customHeight="1">
      <x:c r="C20" s="17" t="str">
        <x:v>Support mass</x:v>
      </x:c>
      <x:c r="D20" s="17" t="str">
        <x:v>75%</x:v>
      </x:c>
      <x:c r="E20" s="38" t="n">
        <x:v>0.75</x:v>
      </x:c>
      <x:c r="F20" s="32" t="n">
        <x:f>3630+1250*$E20</x:f>
        <x:v>4567.5</x:v>
      </x:c>
      <x:c r="G20" s="32" t="n">
        <x:f>3630+1680*$E20</x:f>
        <x:v>4890</x:v>
      </x:c>
      <x:c r="H20" s="32" t="n">
        <x:f>3630+2200*$E20</x:f>
        <x:v>5280</x:v>
      </x:c>
      <x:c r="I20" s="32" t="n">
        <x:f>6340+3750*$E20</x:f>
        <x:v>9152.5</x:v>
      </x:c>
      <x:c r="J20" s="30"/>
      <x:c r="K20" s="30"/>
      <x:c r="L20" s="30"/>
      <x:c r="M20" s="30"/>
      <x:c r="N20" s="30"/>
      <x:c r="O20" s="30"/>
      <x:c r="P20" s="30"/>
    </x:row>
    <x:row r="21" ht="28" customHeight="1">
      <x:c r="C21" s="17" t="str">
        <x:v>Support mass</x:v>
      </x:c>
      <x:c r="D21" s="17" t="str">
        <x:v>100%</x:v>
      </x:c>
      <x:c r="E21" s="38" t="n">
        <x:v>1</x:v>
      </x:c>
      <x:c r="F21" s="32" t="n">
        <x:f>3630+1250*$E21</x:f>
        <x:v>4880</x:v>
      </x:c>
      <x:c r="G21" s="32" t="n">
        <x:f>3630+1680*$E21</x:f>
        <x:v>5310</x:v>
      </x:c>
      <x:c r="H21" s="32" t="n">
        <x:f>3630+2200*$E21</x:f>
        <x:v>5830</x:v>
      </x:c>
      <x:c r="I21" s="32" t="n">
        <x:f>6340+3750*$E21</x:f>
        <x:v>10090</x:v>
      </x:c>
      <x:c r="J21" s="30"/>
      <x:c r="K21" s="30"/>
      <x:c r="L21" s="30"/>
      <x:c r="M21" s="30"/>
      <x:c r="N21" s="30"/>
      <x:c r="O21" s="30"/>
      <x:c r="P21" s="30"/>
    </x:row>
    <x:row r="22" ht="28" customHeight="1">
      <x:c r="C22" s="17" t="str">
        <x:v>Support mass</x:v>
      </x:c>
      <x:c r="D22" s="17" t="str">
        <x:v>125%</x:v>
      </x:c>
      <x:c r="E22" s="38" t="n">
        <x:v>1.25</x:v>
      </x:c>
      <x:c r="F22" s="32" t="n">
        <x:f>3630+1250*$E22</x:f>
        <x:v>5192.5</x:v>
      </x:c>
      <x:c r="G22" s="32" t="n">
        <x:f>3630+1680*$E22</x:f>
        <x:v>5730</x:v>
      </x:c>
      <x:c r="H22" s="32" t="n">
        <x:f>3630+2200*$E22</x:f>
        <x:v>6380</x:v>
      </x:c>
      <x:c r="I22" s="32" t="n">
        <x:f>6340+3750*$E22</x:f>
        <x:v>11027.5</x:v>
      </x:c>
      <x:c r="J22" s="30"/>
      <x:c r="K22" s="30"/>
      <x:c r="L22" s="30"/>
      <x:c r="M22" s="30"/>
      <x:c r="N22" s="30"/>
      <x:c r="O22" s="30"/>
      <x:c r="P22" s="30"/>
    </x:row>
    <x:row r="23" ht="28" customHeight="1">
      <x:c r="C23" s="17" t="str">
        <x:v>Program cost</x:v>
      </x:c>
      <x:c r="D23" s="17" t="str">
        <x:v>80%</x:v>
      </x:c>
      <x:c r="E23" s="38" t="n">
        <x:v>0.8</x:v>
      </x:c>
      <x:c r="F23" s="33" t="n">
        <x:f>$M$6*$E23</x:f>
        <x:v>226.816</x:v>
      </x:c>
      <x:c r="G23" s="33" t="n">
        <x:f>$M$7*$E23</x:f>
        <x:v>254.016</x:v>
      </x:c>
      <x:c r="H23" s="33" t="n">
        <x:f>$M$8*$E23</x:f>
        <x:v>304.192</x:v>
      </x:c>
      <x:c r="I23" s="33" t="n">
        <x:f>$M$9*$E23</x:f>
        <x:v>479.8080000000001</x:v>
      </x:c>
      <x:c r="J23" s="30"/>
      <x:c r="K23" s="30"/>
      <x:c r="L23" s="30"/>
      <x:c r="M23" s="30"/>
      <x:c r="N23" s="30"/>
      <x:c r="O23" s="30"/>
      <x:c r="P23" s="30"/>
    </x:row>
    <x:row r="24" ht="28" customHeight="1">
      <x:c r="C24" s="17" t="str">
        <x:v>Program cost</x:v>
      </x:c>
      <x:c r="D24" s="17" t="str">
        <x:v>100%</x:v>
      </x:c>
      <x:c r="E24" s="38" t="n">
        <x:v>1</x:v>
      </x:c>
      <x:c r="F24" s="33" t="n">
        <x:f>$M$6*$E24</x:f>
        <x:v>283.52</x:v>
      </x:c>
      <x:c r="G24" s="33" t="n">
        <x:f>$M$7*$E24</x:f>
        <x:v>317.52</x:v>
      </x:c>
      <x:c r="H24" s="33" t="n">
        <x:f>$M$8*$E24</x:f>
        <x:v>380.24</x:v>
      </x:c>
      <x:c r="I24" s="33" t="n">
        <x:f>$M$9*$E24</x:f>
        <x:v>599.7600000000001</x:v>
      </x:c>
      <x:c r="J24" s="30"/>
      <x:c r="K24" s="30"/>
      <x:c r="L24" s="30"/>
      <x:c r="M24" s="30"/>
      <x:c r="N24" s="30"/>
      <x:c r="O24" s="30"/>
      <x:c r="P24" s="30"/>
    </x:row>
    <x:row r="25" ht="28" customHeight="1">
      <x:c r="C25" s="17" t="str">
        <x:v>Program cost</x:v>
      </x:c>
      <x:c r="D25" s="17" t="str">
        <x:v>120%</x:v>
      </x:c>
      <x:c r="E25" s="38" t="n">
        <x:v>1.2</x:v>
      </x:c>
      <x:c r="F25" s="33" t="n">
        <x:f>$M$6*$E25</x:f>
        <x:v>340.224</x:v>
      </x:c>
      <x:c r="G25" s="33" t="n">
        <x:f>$M$7*$E25</x:f>
        <x:v>381.02399999999994</x:v>
      </x:c>
      <x:c r="H25" s="33" t="n">
        <x:f>$M$8*$E25</x:f>
        <x:v>456.288</x:v>
      </x:c>
      <x:c r="I25" s="33" t="n">
        <x:f>$M$9*$E25</x:f>
        <x:v>719.7120000000001</x:v>
      </x:c>
      <x:c r="J25" s="30"/>
      <x:c r="K25" s="30"/>
      <x:c r="L25" s="30"/>
      <x:c r="M25" s="30"/>
      <x:c r="N25" s="30"/>
      <x:c r="O25" s="30"/>
      <x:c r="P25" s="30"/>
    </x:row>
  </x:sheetData>
  <x:mergeCells>
    <x:mergeCell ref="C2:P2"/>
    <x:mergeCell ref="C3:P3"/>
  </x:mergeCells>
  <x:pageMargins left="0.7" right="0.7" top="0.75" bottom="0.75" header="0.3" footer="0.3"/>
  <x:tableParts count="2">
    <x:tablePart xmlns:r="http://schemas.openxmlformats.org/officeDocument/2006/relationships" r:id="R2fe0ed895f074cd9"/>
    <x:tablePart xmlns:r="http://schemas.openxmlformats.org/officeDocument/2006/relationships" r:id="R2dab488344fc4c4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9" hidden="0" customWidth="1"/>
    <x:col min="4" max="4" width="38" hidden="0" customWidth="1"/>
    <x:col min="5" max="5" width="66" hidden="0" customWidth="1"/>
    <x:col min="6" max="6" width="36" hidden="0" customWidth="1"/>
    <x:col min="7" max="7" width="16" hidden="0" customWidth="1"/>
    <x:col min="8" max="8" width="20" hidden="0" customWidth="1"/>
    <x:col min="9" max="9" width="24" hidden="0" customWidth="1"/>
  </x:cols>
  <x:sheetData>
    <x:row r="2">
      <x:c r="C2" s="27" t="str">
        <x:v>Representative test and admission contract</x:v>
      </x:c>
      <x:c r="D2" s="28"/>
      <x:c r="E2" s="28"/>
      <x:c r="F2" s="28"/>
      <x:c r="G2" s="28"/>
      <x:c r="H2" s="28"/>
      <x:c r="I2" s="28"/>
      <x:c r="J2" s="28"/>
      <x:c r="K2" s="28"/>
    </x:row>
    <x:row r="3">
      <x:c r="C3" s="29" t="str">
        <x:v>A declared domain identifier earns no independence credit until a locked configuration survives the corresponding challenge.</x:v>
      </x:c>
      <x:c r="D3" s="29"/>
      <x:c r="E3" s="29"/>
      <x:c r="F3" s="29"/>
      <x:c r="G3" s="29"/>
      <x:c r="H3" s="29"/>
      <x:c r="I3" s="29"/>
      <x:c r="J3" s="29"/>
      <x:c r="K3" s="29"/>
    </x:row>
    <x:row r="4"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C5" s="9" t="str">
        <x:v>Gate</x:v>
      </x:c>
      <x:c r="D5" s="9" t="str">
        <x:v>Test</x:v>
      </x:c>
      <x:c r="E5" s="9" t="str">
        <x:v>Required observation</x:v>
      </x:c>
      <x:c r="F5" s="9" t="str">
        <x:v>Owner</x:v>
      </x:c>
      <x:c r="G5" s="9" t="str">
        <x:v>Evidence state</x:v>
      </x:c>
      <x:c r="H5" s="9" t="str">
        <x:v>Rendering relevance</x:v>
      </x:c>
      <x:c r="I5" s="9" t="str">
        <x:v>Acquisition consequence</x:v>
      </x:c>
      <x:c r="J5" s="30"/>
      <x:c r="K5" s="30"/>
    </x:row>
    <x:row r="6" ht="58" customHeight="1">
      <x:c r="C6" s="37" t="n">
        <x:v>1</x:v>
      </x:c>
      <x:c r="D6" s="17" t="str">
        <x:v>Source-separation challenge</x:v>
      </x:c>
      <x:c r="E6" s="17" t="str">
        <x:v>Hold one provenance; the other retains 5,000 m³/day safe service</x:v>
      </x:c>
      <x:c r="F6" s="17" t="str">
        <x:v>Water Assurance Directorate</x:v>
      </x:c>
      <x:c r="G6" s="17" t="str">
        <x:v>OPEN</x:v>
      </x:c>
      <x:c r="H6" s="17" t="str">
        <x:v>SUPPORTING</x:v>
      </x:c>
      <x:c r="I6" s="17" t="str">
        <x:v>NO PRODUCTION CREDIT</x:v>
      </x:c>
      <x:c r="J6" s="30"/>
      <x:c r="K6" s="30"/>
    </x:row>
    <x:row r="7" ht="58" customHeight="1">
      <x:c r="C7" s="37" t="n">
        <x:v>2</x:v>
      </x:c>
      <x:c r="D7" s="17" t="str">
        <x:v>Treatment configuration fault</x:v>
      </x:c>
      <x:c r="E7" s="17" t="str">
        <x:v>Remove one locked train without invalidating the other</x:v>
      </x:c>
      <x:c r="F7" s="17" t="str">
        <x:v>Water Service</x:v>
      </x:c>
      <x:c r="G7" s="17" t="str">
        <x:v>OPEN</x:v>
      </x:c>
      <x:c r="H7" s="17" t="str">
        <x:v>SUPPORTING</x:v>
      </x:c>
      <x:c r="I7" s="17" t="str">
        <x:v>NO PRODUCTION CREDIT</x:v>
      </x:c>
      <x:c r="J7" s="30"/>
      <x:c r="K7" s="30"/>
    </x:row>
    <x:row r="8" ht="58" customHeight="1">
      <x:c r="C8" s="37" t="n">
        <x:v>3</x:v>
      </x:c>
      <x:c r="D8" s="17" t="str">
        <x:v>Carrier and corridor cut</x:v>
      </x:c>
      <x:c r="E8" s="17" t="str">
        <x:v>Lose one lift and final-approach domain; one path arrives and commissions</x:v>
      </x:c>
      <x:c r="F8" s="17" t="str">
        <x:v>Strategic Mobility Command</x:v>
      </x:c>
      <x:c r="G8" s="17" t="str">
        <x:v>OPEN</x:v>
      </x:c>
      <x:c r="H8" s="17" t="str">
        <x:v>SUPPORTING</x:v>
      </x:c>
      <x:c r="I8" s="17" t="str">
        <x:v>NO PRODUCTION CREDIT</x:v>
      </x:c>
      <x:c r="J8" s="30"/>
      <x:c r="K8" s="30"/>
    </x:row>
    <x:row r="9" ht="58" customHeight="1">
      <x:c r="C9" s="37" t="n">
        <x:v>4</x:v>
      </x:c>
      <x:c r="D9" s="17" t="str">
        <x:v>Receiving-node cut</x:v>
      </x:c>
      <x:c r="E9" s="17" t="str">
        <x:v>Lose one node with no shared staging, custody or transfer collapse</x:v>
      </x:c>
      <x:c r="F9" s="17" t="str">
        <x:v>Reception Command</x:v>
      </x:c>
      <x:c r="G9" s="17" t="str">
        <x:v>OPEN</x:v>
      </x:c>
      <x:c r="H9" s="17" t="str">
        <x:v>SUPPORTING</x:v>
      </x:c>
      <x:c r="I9" s="17" t="str">
        <x:v>NO PRODUCTION CREDIT</x:v>
      </x:c>
      <x:c r="J9" s="30"/>
      <x:c r="K9" s="30"/>
    </x:row>
    <x:row r="10" ht="58" customHeight="1">
      <x:c r="C10" s="37" t="n">
        <x:v>5</x:v>
      </x:c>
      <x:c r="D10" s="17" t="str">
        <x:v>Power-domain cut</x:v>
      </x:c>
      <x:c r="E10" s="17" t="str">
        <x:v>Black-start survivor with no shared bus, fuel or protection dependency</x:v>
      </x:c>
      <x:c r="F10" s="17" t="str">
        <x:v>Utility Service</x:v>
      </x:c>
      <x:c r="G10" s="17" t="str">
        <x:v>OPEN</x:v>
      </x:c>
      <x:c r="H10" s="17" t="str">
        <x:v>SUPPORTING</x:v>
      </x:c>
      <x:c r="I10" s="17" t="str">
        <x:v>NO PRODUCTION CREDIT</x:v>
      </x:c>
      <x:c r="J10" s="30"/>
      <x:c r="K10" s="30"/>
    </x:row>
    <x:row r="11" ht="58" customHeight="1">
      <x:c r="C11" s="37" t="n">
        <x:v>6</x:v>
      </x:c>
      <x:c r="D11" s="17" t="str">
        <x:v>Quality and release cut</x:v>
      </x:c>
      <x:c r="E11" s="17" t="str">
        <x:v>Hold one method or authority cell; lawful survivor continues</x:v>
      </x:c>
      <x:c r="F11" s="17" t="str">
        <x:v>National Public Health Release Authority</x:v>
      </x:c>
      <x:c r="G11" s="17" t="str">
        <x:v>OPEN</x:v>
      </x:c>
      <x:c r="H11" s="17" t="str">
        <x:v>SUPPORTING</x:v>
      </x:c>
      <x:c r="I11" s="17" t="str">
        <x:v>NO PRODUCTION CREDIT</x:v>
      </x:c>
      <x:c r="J11" s="30"/>
      <x:c r="K11" s="30"/>
    </x:row>
    <x:row r="12" ht="58" customHeight="1">
      <x:c r="C12" s="37" t="n">
        <x:v>7</x:v>
      </x:c>
      <x:c r="D12" s="17" t="str">
        <x:v>Receiver-island contamination</x:v>
      </x:c>
      <x:c r="E12" s="17" t="str">
        <x:v>Isolate one product manifold without cross-boundary transfer</x:v>
      </x:c>
      <x:c r="F12" s="17" t="str">
        <x:v>Receiving Quality Command</x:v>
      </x:c>
      <x:c r="G12" s="17" t="str">
        <x:v>OPEN</x:v>
      </x:c>
      <x:c r="H12" s="17" t="str">
        <x:v>SUPPORTING</x:v>
      </x:c>
      <x:c r="I12" s="17" t="str">
        <x:v>NO PRODUCTION CREDIT</x:v>
      </x:c>
      <x:c r="J12" s="30"/>
      <x:c r="K12" s="30"/>
    </x:row>
    <x:row r="13" ht="58" customHeight="1">
      <x:c r="C13" s="37" t="n">
        <x:v>8</x:v>
      </x:c>
      <x:c r="D13" s="17" t="str">
        <x:v>Process-material lineage recall</x:v>
      </x:c>
      <x:c r="E13" s="17" t="str">
        <x:v>Trace upstream ancestry and substitute an unrelated qualified lot</x:v>
      </x:c>
      <x:c r="F13" s="17" t="str">
        <x:v>Process-Materials Command</x:v>
      </x:c>
      <x:c r="G13" s="17" t="str">
        <x:v>OPEN</x:v>
      </x:c>
      <x:c r="H13" s="17" t="str">
        <x:v>SUPPORTING</x:v>
      </x:c>
      <x:c r="I13" s="17" t="str">
        <x:v>NO PRODUCTION CREDIT</x:v>
      </x:c>
      <x:c r="J13" s="30"/>
      <x:c r="K13" s="30"/>
    </x:row>
    <x:row r="14" ht="58" customHeight="1">
      <x:c r="C14" s="37" t="n">
        <x:v>9</x:v>
      </x:c>
      <x:c r="D14" s="17" t="str">
        <x:v>Crew-cohort quarantine</x:v>
      </x:c>
      <x:c r="E14" s="17" t="str">
        <x:v>Sustain survivor with separate watches, credentials and health lineage</x:v>
      </x:c>
      <x:c r="F14" s="17" t="str">
        <x:v>Water Service Personnel Command</x:v>
      </x:c>
      <x:c r="G14" s="17" t="str">
        <x:v>OPEN</x:v>
      </x:c>
      <x:c r="H14" s="17" t="str">
        <x:v>SUPPORTING</x:v>
      </x:c>
      <x:c r="I14" s="17" t="str">
        <x:v>NO PRODUCTION CREDIT</x:v>
      </x:c>
      <x:c r="J14" s="30"/>
      <x:c r="K14" s="30"/>
    </x:row>
    <x:row r="15" ht="58" customHeight="1">
      <x:c r="C15" s="37" t="n">
        <x:v>10</x:v>
      </x:c>
      <x:c r="D15" s="17" t="str">
        <x:v>Reset-depot contamination</x:v>
      </x:c>
      <x:c r="E15" s="17" t="str">
        <x:v>Recertify another cell through a distinct depot and residual route</x:v>
      </x:c>
      <x:c r="F15" s="17" t="str">
        <x:v>Sustainment and Reconstitution Command</x:v>
      </x:c>
      <x:c r="G15" s="17" t="str">
        <x:v>OPEN</x:v>
      </x:c>
      <x:c r="H15" s="17" t="str">
        <x:v>SUPPORTING</x:v>
      </x:c>
      <x:c r="I15" s="17" t="str">
        <x:v>NO PRODUCTION CREDIT</x:v>
      </x:c>
      <x:c r="J15" s="30"/>
      <x:c r="K15" s="30"/>
    </x:row>
    <x:row r="16" ht="58" customHeight="1">
      <x:c r="C16" s="37" t="n">
        <x:v>11</x:v>
      </x:c>
      <x:c r="D16" s="17" t="str">
        <x:v>Control and evidence denial</x:v>
      </x:c>
      <x:c r="E16" s="17" t="str">
        <x:v>Operate safely offline with physical stop and later reconciliation</x:v>
      </x:c>
      <x:c r="F16" s="17" t="str">
        <x:v>Joint Campaign Assurance Command</x:v>
      </x:c>
      <x:c r="G16" s="17" t="str">
        <x:v>OPEN</x:v>
      </x:c>
      <x:c r="H16" s="17" t="str">
        <x:v>SUPPORTING</x:v>
      </x:c>
      <x:c r="I16" s="17" t="str">
        <x:v>NO PRODUCTION CREDIT</x:v>
      </x:c>
      <x:c r="J16" s="30"/>
      <x:c r="K16" s="30"/>
    </x:row>
    <x:row r="17" ht="58" customHeight="1">
      <x:c r="C17" s="37" t="n">
        <x:v>12</x:v>
      </x:c>
      <x:c r="D17" s="17" t="str">
        <x:v>Mobilization-base denial</x:v>
      </x:c>
      <x:c r="E17" s="17" t="str">
        <x:v>Activate a service cell from another maintained base</x:v>
      </x:c>
      <x:c r="F17" s="17" t="str">
        <x:v>Force Generation Command</x:v>
      </x:c>
      <x:c r="G17" s="17" t="str">
        <x:v>OPEN</x:v>
      </x:c>
      <x:c r="H17" s="17" t="str">
        <x:v>SUPPORTING</x:v>
      </x:c>
      <x:c r="I17" s="17" t="str">
        <x:v>NO PRODUCTION CREDIT</x:v>
      </x:c>
      <x:c r="J17" s="30"/>
      <x:c r="K17" s="30"/>
    </x:row>
    <x:row r="18" ht="58" customHeight="1">
      <x:c r="C18" s="37" t="n">
        <x:v>13</x:v>
      </x:c>
      <x:c r="D18" s="17" t="str">
        <x:v>Baseline full service</x:v>
      </x:c>
      <x:c r="E18" s="17" t="str">
        <x:v>Deliver 10,000 m³/day through both paths at one receiver federation</x:v>
      </x:c>
      <x:c r="F18" s="17" t="str">
        <x:v>Geographic Joint Command</x:v>
      </x:c>
      <x:c r="G18" s="17" t="str">
        <x:v>OPEN</x:v>
      </x:c>
      <x:c r="H18" s="17" t="str">
        <x:v>SUPPORTING</x:v>
      </x:c>
      <x:c r="I18" s="17" t="str">
        <x:v>NO PRODUCTION CREDIT</x:v>
      </x:c>
      <x:c r="J18" s="30"/>
      <x:c r="K18" s="30"/>
    </x:row>
    <x:row r="19" ht="58" customHeight="1">
      <x:c r="C19" s="37" t="n">
        <x:v>14</x:v>
      </x:c>
      <x:c r="D19" s="17" t="str">
        <x:v>All single-domain cuts</x:v>
      </x:c>
      <x:c r="E19" s="17" t="str">
        <x:v>Retain 5,000 m³/day for each declared boundary loss</x:v>
      </x:c>
      <x:c r="F19" s="17" t="str">
        <x:v>Resilience Test and Evaluation Authority</x:v>
      </x:c>
      <x:c r="G19" s="17" t="str">
        <x:v>OPEN</x:v>
      </x:c>
      <x:c r="H19" s="17" t="str">
        <x:v>SUPPORTING</x:v>
      </x:c>
      <x:c r="I19" s="17" t="str">
        <x:v>NO PRODUCTION CREDIT</x:v>
      </x:c>
      <x:c r="J19" s="30"/>
      <x:c r="K19" s="30"/>
    </x:row>
    <x:row r="20" ht="58" customHeight="1">
      <x:c r="C20" s="37" t="n">
        <x:v>15</x:v>
      </x:c>
      <x:c r="D20" s="17" t="str">
        <x:v>Cross-path compound loss</x:v>
      </x:c>
      <x:c r="E20" s="17" t="str">
        <x:v>Lose A source and B island; reserve cell supplies the floor</x:v>
      </x:c>
      <x:c r="F20" s="17" t="str">
        <x:v>Resilience Test and Evaluation Authority</x:v>
      </x:c>
      <x:c r="G20" s="17" t="str">
        <x:v>OPEN</x:v>
      </x:c>
      <x:c r="H20" s="17" t="str">
        <x:v>SUPPORTING</x:v>
      </x:c>
      <x:c r="I20" s="17" t="str">
        <x:v>NO PRODUCTION CREDIT</x:v>
      </x:c>
      <x:c r="J20" s="30"/>
      <x:c r="K20" s="30"/>
    </x:row>
    <x:row r="21" ht="58" customHeight="1">
      <x:c r="C21" s="37" t="n">
        <x:v>16</x:v>
      </x:c>
      <x:c r="D21" s="17" t="str">
        <x:v>Concurrent second theater</x:v>
      </x:c>
      <x:c r="E21" s="17" t="str">
        <x:v>Generate another 5,000 m³/day cell while the pair remains committed</x:v>
      </x:c>
      <x:c r="F21" s="17" t="str">
        <x:v>National Resilience Command</x:v>
      </x:c>
      <x:c r="G21" s="17" t="str">
        <x:v>OPEN</x:v>
      </x:c>
      <x:c r="H21" s="17" t="str">
        <x:v>SUPPORTING</x:v>
      </x:c>
      <x:c r="I21" s="17" t="str">
        <x:v>NO PRODUCTION CREDIT</x:v>
      </x:c>
      <x:c r="J21" s="30"/>
      <x:c r="K21" s="30"/>
    </x:row>
    <x:row r="22" ht="58" customHeight="1">
      <x:c r="C22" s="37" t="n">
        <x:v>17</x:v>
      </x:c>
      <x:c r="D22" s="17" t="str">
        <x:v>Fourteen-day paired mission</x:v>
      </x:c>
      <x:c r="E22" s="17" t="str">
        <x:v>Close water, power, crew, residual and product custody on both paths</x:v>
      </x:c>
      <x:c r="F22" s="17" t="str">
        <x:v>Water Service</x:v>
      </x:c>
      <x:c r="G22" s="17" t="str">
        <x:v>OPEN</x:v>
      </x:c>
      <x:c r="H22" s="17" t="str">
        <x:v>SUPPORTING</x:v>
      </x:c>
      <x:c r="I22" s="17" t="str">
        <x:v>NO PRODUCTION CREDIT</x:v>
      </x:c>
      <x:c r="J22" s="30"/>
      <x:c r="K22" s="30"/>
    </x:row>
    <x:row r="23" ht="58" customHeight="1">
      <x:c r="C23" s="37" t="n">
        <x:v>18</x:v>
      </x:c>
      <x:c r="D23" s="17" t="str">
        <x:v>Thirty-day regenerative path</x:v>
      </x:c>
      <x:c r="E23" s="17" t="str">
        <x:v>Path B closes no-outlet and no-consumable denial without hidden support</x:v>
      </x:c>
      <x:c r="F23" s="17" t="str">
        <x:v>Water Endurance Squadron</x:v>
      </x:c>
      <x:c r="G23" s="17" t="str">
        <x:v>OPEN</x:v>
      </x:c>
      <x:c r="H23" s="17" t="str">
        <x:v>SUPPORTING</x:v>
      </x:c>
      <x:c r="I23" s="17" t="str">
        <x:v>NO PRODUCTION CREDIT</x:v>
      </x:c>
      <x:c r="J23" s="30"/>
      <x:c r="K23" s="30"/>
    </x:row>
    <x:row r="24" ht="58" customHeight="1">
      <x:c r="C24" s="37" t="n">
        <x:v>19</x:v>
      </x:c>
      <x:c r="D24" s="17" t="str">
        <x:v>Configuration and cost reconciliation</x:v>
      </x:c>
      <x:c r="E24" s="17" t="str">
        <x:v>Serialized objects, chargeable mass, crews, sites and program accounts agree</x:v>
      </x:c>
      <x:c r="F24" s="17" t="str">
        <x:v>Acquisition Executive</x:v>
      </x:c>
      <x:c r="G24" s="17" t="str">
        <x:v>OPEN</x:v>
      </x:c>
      <x:c r="H24" s="17" t="str">
        <x:v>SUPPORTING</x:v>
      </x:c>
      <x:c r="I24" s="17" t="str">
        <x:v>NO PRODUCTION CREDIT</x:v>
      </x:c>
      <x:c r="J24" s="30"/>
      <x:c r="K24" s="30"/>
    </x:row>
    <x:row r="25" ht="58" customHeight="1">
      <x:c r="C25" s="37" t="n">
        <x:v>20</x:v>
      </x:c>
      <x:c r="D25" s="17" t="str">
        <x:v>Rendering release</x:v>
      </x:c>
      <x:c r="E25" s="17" t="str">
        <x:v>Representative chain physics and all relevant boundaries close before form is depicted</x:v>
      </x:c>
      <x:c r="F25" s="17" t="str">
        <x:v>Resilience Test and Evaluation Authority</x:v>
      </x:c>
      <x:c r="G25" s="17" t="str">
        <x:v>OPEN</x:v>
      </x:c>
      <x:c r="H25" s="17" t="str">
        <x:v>DECISIVE</x:v>
      </x:c>
      <x:c r="I25" s="17" t="str">
        <x:v>RENDERING BLOCKED</x:v>
      </x:c>
      <x:c r="J25" s="30"/>
      <x:c r="K25" s="30"/>
    </x:row>
  </x:sheetData>
  <x:mergeCells>
    <x:mergeCell ref="C2:K2"/>
    <x:mergeCell ref="C3:K3"/>
  </x:mergeCells>
  <x:conditionalFormatting sqref="G6:I25">
    <x:cfRule type="containsText" dxfId="42" priority="1" operator="containsText" text="FAIL"/>
    <x:cfRule type="containsText" dxfId="43" priority="2" operator="containsText" text="DENIED"/>
    <x:cfRule type="containsText" dxfId="44" priority="3" operator="containsText" text="BLOCKED"/>
    <x:cfRule type="containsText" dxfId="45" priority="4" operator="containsText" text="OPEN"/>
    <x:cfRule type="containsText" dxfId="46" priority="5" operator="containsText" text="DECLARED"/>
    <x:cfRule type="containsText" dxfId="47" priority="6" operator="containsText" text="PASS"/>
    <x:cfRule type="containsText" dxfId="48" priority="7" operator="containsText" text="ADMITTED"/>
  </x:conditionalFormatting>
  <x:pageMargins left="0.7" right="0.7" top="0.75" bottom="0.75" header="0.3" footer="0.3"/>
  <x:tableParts count="1">
    <x:tablePart xmlns:r="http://schemas.openxmlformats.org/officeDocument/2006/relationships" r:id="R2856d41b69ba467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2" hidden="0" customWidth="1"/>
    <x:col min="4" max="4" width="39" hidden="0" customWidth="1"/>
    <x:col min="5" max="5" width="20" hidden="0" customWidth="1"/>
    <x:col min="6" max="6" width="62" hidden="0" customWidth="1"/>
    <x:col min="7" max="7" width="55" hidden="0" customWidth="1"/>
    <x:col min="8" max="8" width="18" hidden="0" customWidth="1"/>
    <x:col min="9" max="9" width="16" hidden="0" customWidth="1"/>
    <x:col min="10" max="10" width="53" hidden="0" customWidth="1"/>
  </x:cols>
  <x:sheetData>
    <x:row r="2">
      <x:c r="C2" s="27" t="str">
        <x:v>Evidence and lineage register</x:v>
      </x:c>
      <x:c r="D2" s="28"/>
      <x:c r="E2" s="28"/>
      <x:c r="F2" s="28"/>
      <x:c r="G2" s="28"/>
      <x:c r="H2" s="28"/>
      <x:c r="I2" s="28"/>
      <x:c r="J2" s="28"/>
      <x:c r="K2" s="28"/>
      <x:c r="L2" s="28"/>
    </x:row>
    <x:row r="3">
      <x:c r="C3" s="29" t="str">
        <x:v>Only repository-controlled predecessors are used. No external source or website is introduced in this pass.</x:v>
      </x:c>
      <x:c r="D3" s="29"/>
      <x:c r="E3" s="29"/>
      <x:c r="F3" s="29"/>
      <x:c r="G3" s="29"/>
      <x:c r="H3" s="29"/>
      <x:c r="I3" s="29"/>
      <x:c r="J3" s="29"/>
      <x:c r="K3" s="29"/>
      <x:c r="L3" s="29"/>
    </x:row>
    <x:row r="4"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>
      <x:c r="C5" s="9" t="str">
        <x:v>ID</x:v>
      </x:c>
      <x:c r="D5" s="9" t="str">
        <x:v>Source</x:v>
      </x:c>
      <x:c r="E5" s="9" t="str">
        <x:v>Type</x:v>
      </x:c>
      <x:c r="F5" s="9" t="str">
        <x:v>Inherited claim</x:v>
      </x:c>
      <x:c r="G5" s="9" t="str">
        <x:v>Use in this model</x:v>
      </x:c>
      <x:c r="H5" s="9" t="str">
        <x:v>Boundary</x:v>
      </x:c>
      <x:c r="I5" s="9" t="str">
        <x:v>State</x:v>
      </x:c>
      <x:c r="J5" s="9" t="str">
        <x:v>Limitation</x:v>
      </x:c>
      <x:c r="K5" s="30"/>
      <x:c r="L5" s="30"/>
    </x:row>
    <x:row r="6" ht="72" customHeight="1">
      <x:c r="C6" s="17" t="str">
        <x:v>EV-01</x:v>
      </x:c>
      <x:c r="D6" s="17" t="str">
        <x:v>Pass 66 federated receiver architecture</x:v>
      </x:c>
      <x:c r="E6" s="17" t="str">
        <x:v>internal research</x:v>
      </x:c>
      <x:c r="F6" s="17" t="str">
        <x:v>R4 receiver requires separate islands, power, quality and source provenance</x:v>
      </x:c>
      <x:c r="G6" s="17" t="str">
        <x:v>Defines receiver-side independence</x:v>
      </x:c>
      <x:c r="H6" s="17" t="str">
        <x:v>receiver</x:v>
      </x:c>
      <x:c r="I6" s="17" t="str">
        <x:v>CURRENT</x:v>
      </x:c>
      <x:c r="J6" s="17" t="str">
        <x:v>Declared coefficients; no representative proof</x:v>
      </x:c>
      <x:c r="K6" s="30"/>
      <x:c r="L6" s="30"/>
    </x:row>
    <x:row r="7" ht="72" customHeight="1">
      <x:c r="C7" s="17" t="str">
        <x:v>EV-02</x:v>
      </x:c>
      <x:c r="D7" s="17" t="str">
        <x:v>Pass 67 unknown-agent water assurance</x:v>
      </x:c>
      <x:c r="E7" s="17" t="str">
        <x:v>internal research</x:v>
      </x:c>
      <x:c r="F7" s="17" t="str">
        <x:v>Positive provenance is a physical chain; common-mode register is mandatory</x:v>
      </x:c>
      <x:c r="G7" s="17" t="str">
        <x:v>Defines quality, authority and supplier correlation</x:v>
      </x:c>
      <x:c r="H7" s="17" t="str">
        <x:v>assurance</x:v>
      </x:c>
      <x:c r="I7" s="17" t="str">
        <x:v>CURRENT</x:v>
      </x:c>
      <x:c r="J7" s="17" t="str">
        <x:v>No complete source configuration admitted</x:v>
      </x:c>
      <x:c r="K7" s="30"/>
      <x:c r="L7" s="30"/>
    </x:row>
    <x:row r="8" ht="72" customHeight="1">
      <x:c r="C8" s="17" t="str">
        <x:v>EV-03</x:v>
      </x:c>
      <x:c r="D8" s="17" t="str">
        <x:v>Pass 68 assurance-source family competition</x:v>
      </x:c>
      <x:c r="E8" s="17" t="str">
        <x:v>internal research</x:v>
      </x:c>
      <x:c r="F8" s="17" t="str">
        <x:v>C2 and C3 are physically distinct 5,000 m³/day source families</x:v>
      </x:c>
      <x:c r="G8" s="17" t="str">
        <x:v>Supplies Path A and Path B source-core values</x:v>
      </x:c>
      <x:c r="H8" s="17" t="str">
        <x:v>source</x:v>
      </x:c>
      <x:c r="I8" s="17" t="str">
        <x:v>CURRENT</x:v>
      </x:c>
      <x:c r="J8" s="17" t="str">
        <x:v>Portfolio covers geography unevenly</x:v>
      </x:c>
      <x:c r="K8" s="30"/>
      <x:c r="L8" s="30"/>
    </x:row>
    <x:row r="9" ht="72" customHeight="1">
      <x:c r="C9" s="17" t="str">
        <x:v>EV-04</x:v>
      </x:c>
      <x:c r="D9" s="17" t="str">
        <x:v>Pass 69 closed-loop water endurance</x:v>
      </x:c>
      <x:c r="E9" s="17" t="str">
        <x:v>internal research</x:v>
      </x:c>
      <x:c r="F9" s="17" t="str">
        <x:v>E2 closes combined residual and consumable denial but fails power derating and repeat mission</x:v>
      </x:c>
      <x:c r="G9" s="17" t="str">
        <x:v>Supplies regenerative overlay for Path B</x:v>
      </x:c>
      <x:c r="H9" s="17" t="str">
        <x:v>endurance</x:v>
      </x:c>
      <x:c r="I9" s="17" t="str">
        <x:v>CURRENT</x:v>
      </x:c>
      <x:c r="J9" s="17" t="str">
        <x:v>No architecture selected</x:v>
      </x:c>
      <x:c r="K9" s="30"/>
      <x:c r="L9" s="30"/>
    </x:row>
    <x:row r="10" ht="72" customHeight="1">
      <x:c r="C10" s="17" t="str">
        <x:v>EV-05</x:v>
      </x:c>
      <x:c r="D10" s="17" t="str">
        <x:v>Pass 62 carrier-node program</x:v>
      </x:c>
      <x:c r="E10" s="17" t="str">
        <x:v>internal research</x:v>
      </x:c>
      <x:c r="F10" s="17" t="str">
        <x:v>End-to-end mobility is limited by configured carrier and node positions</x:v>
      </x:c>
      <x:c r="G10" s="17" t="str">
        <x:v>Prevents movement from being treated as free</x:v>
      </x:c>
      <x:c r="H10" s="17" t="str">
        <x:v>carrier/node</x:v>
      </x:c>
      <x:c r="I10" s="17" t="str">
        <x:v>CURRENT</x:v>
      </x:c>
      <x:c r="J10" s="17" t="str">
        <x:v>This pass uses declared cell coefficients</x:v>
      </x:c>
      <x:c r="K10" s="30"/>
      <x:c r="L10" s="30"/>
    </x:row>
    <x:row r="11" ht="72" customHeight="1">
      <x:c r="C11" s="17" t="str">
        <x:v>EV-06</x:v>
      </x:c>
      <x:c r="D11" s="17" t="str">
        <x:v>Pass 60 shared-capacity claim denial</x:v>
      </x:c>
      <x:c r="E11" s="17" t="str">
        <x:v>internal research</x:v>
      </x:c>
      <x:c r="F11" s="17" t="str">
        <x:v>One asset cannot satisfy simultaneous claims without allocation evidence</x:v>
      </x:c>
      <x:c r="G11" s="17" t="str">
        <x:v>Defines concurrent second-event rule</x:v>
      </x:c>
      <x:c r="H11" s="17" t="str">
        <x:v>force depth</x:v>
      </x:c>
      <x:c r="I11" s="17" t="str">
        <x:v>CURRENT</x:v>
      </x:c>
      <x:c r="J11" s="17" t="str">
        <x:v>Reserve fraction is a sensitivity input</x:v>
      </x:c>
      <x:c r="K11" s="30"/>
      <x:c r="L11" s="30"/>
    </x:row>
    <x:row r="12" ht="72" customHeight="1">
      <x:c r="C12" s="17" t="str">
        <x:v>EV-07</x:v>
      </x:c>
      <x:c r="D12" s="17" t="str">
        <x:v>Pass 58 canonical allocation</x:v>
      </x:c>
      <x:c r="E12" s="17" t="str">
        <x:v>internal model</x:v>
      </x:c>
      <x:c r="F12" s="17" t="str">
        <x:v>Formation quantities must reconcile with workforce and capital</x:v>
      </x:c>
      <x:c r="G12" s="17" t="str">
        <x:v>Defines 24-set, 12-node comparator scale</x:v>
      </x:c>
      <x:c r="H12" s="17" t="str">
        <x:v>program</x:v>
      </x:c>
      <x:c r="I12" s="17" t="str">
        <x:v>CURRENT</x:v>
      </x:c>
      <x:c r="J12" s="17" t="str">
        <x:v>Not a national inventory recommendation</x:v>
      </x:c>
      <x:c r="K12" s="30"/>
      <x:c r="L12" s="30"/>
    </x:row>
    <x:row r="13" ht="72" customHeight="1">
      <x:c r="C13" s="17" t="str">
        <x:v>EV-08</x:v>
      </x:c>
      <x:c r="D13" s="17" t="str">
        <x:v>Pass 70 declared dependency graph</x:v>
      </x:c>
      <x:c r="E13" s="17" t="str">
        <x:v>current model</x:v>
      </x:c>
      <x:c r="F13" s="17" t="str">
        <x:v>Matching domain IDs create one-cut common modes</x:v>
      </x:c>
      <x:c r="G13" s="17" t="str">
        <x:v>Calculates architecture results</x:v>
      </x:c>
      <x:c r="H13" s="17" t="str">
        <x:v>all</x:v>
      </x:c>
      <x:c r="I13" s="17" t="str">
        <x:v>DECLARED</x:v>
      </x:c>
      <x:c r="J13" s="17" t="str">
        <x:v>Identifiers require representative validation</x:v>
      </x:c>
      <x:c r="K13" s="30"/>
      <x:c r="L13" s="30"/>
    </x:row>
  </x:sheetData>
  <x:mergeCells>
    <x:mergeCell ref="C2:L2"/>
    <x:mergeCell ref="C3:L3"/>
  </x:mergeCells>
  <x:conditionalFormatting sqref="I6:I13">
    <x:cfRule type="containsText" dxfId="49" priority="1" operator="containsText" text="FAIL"/>
    <x:cfRule type="containsText" dxfId="50" priority="2" operator="containsText" text="DENIED"/>
    <x:cfRule type="containsText" dxfId="51" priority="3" operator="containsText" text="BLOCKED"/>
    <x:cfRule type="containsText" dxfId="52" priority="4" operator="containsText" text="OPEN"/>
    <x:cfRule type="containsText" dxfId="53" priority="5" operator="containsText" text="DECLARED"/>
    <x:cfRule type="containsText" dxfId="54" priority="6" operator="containsText" text="PASS"/>
    <x:cfRule type="containsText" dxfId="55" priority="7" operator="containsText" text="ADMITTED"/>
  </x:conditionalFormatting>
  <x:pageMargins left="0.7" right="0.7" top="0.75" bottom="0.75" header="0.3" footer="0.3"/>
  <x:tableParts count="1">
    <x:tablePart xmlns:r="http://schemas.openxmlformats.org/officeDocument/2006/relationships" r:id="Rbc5a85145af9468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9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60" hidden="0" customWidth="1"/>
  </x:cols>
  <x:sheetData>
    <x:row r="2">
      <x:c r="C2" s="27" t="str">
        <x:v>Integrity and recalculation controls</x:v>
      </x:c>
      <x:c r="D2" s="28"/>
      <x:c r="E2" s="28"/>
      <x:c r="F2" s="28"/>
      <x:c r="G2" s="28"/>
      <x:c r="H2" s="28"/>
      <x:c r="I2" s="28"/>
      <x:c r="J2" s="28"/>
      <x:c r="K2" s="28"/>
      <x:c r="L2" s="28"/>
    </x:row>
    <x:row r="3">
      <x:c r="C3" s="29" t="str">
        <x:v>Terminal checks observe the model. No output, build, gate or admission formula depends on this sheet.</x:v>
      </x:c>
      <x:c r="D3" s="29"/>
      <x:c r="E3" s="29"/>
      <x:c r="F3" s="29"/>
      <x:c r="G3" s="29"/>
      <x:c r="H3" s="29"/>
      <x:c r="I3" s="29"/>
      <x:c r="J3" s="29"/>
      <x:c r="K3" s="29"/>
      <x:c r="L3" s="29"/>
    </x:row>
    <x:row r="4"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>
      <x:c r="C5" s="9" t="str">
        <x:v>Check</x:v>
      </x:c>
      <x:c r="D5" s="9" t="str">
        <x:v>Observed</x:v>
      </x:c>
      <x:c r="E5" s="9" t="str">
        <x:v>Expected</x:v>
      </x:c>
      <x:c r="F5" s="9" t="str">
        <x:v>Difference</x:v>
      </x:c>
      <x:c r="G5" s="9" t="str">
        <x:v>Status</x:v>
      </x:c>
      <x:c r="H5" s="9" t="str">
        <x:v>Purpose</x:v>
      </x:c>
      <x:c r="I5" s="30"/>
      <x:c r="J5" s="30"/>
      <x:c r="K5" s="30"/>
      <x:c r="L5" s="30"/>
    </x:row>
    <x:row r="6" ht="30" customHeight="1">
      <x:c r="C6" s="17" t="str">
        <x:v>Architecture count</x:v>
      </x:c>
      <x:c r="D6" s="40" t="n">
        <x:f>COUNTA('02 Architectures'!$C$6:$C$9)</x:f>
        <x:v>4</x:v>
      </x:c>
      <x:c r="E6" s="40" t="n">
        <x:v>4</x:v>
      </x:c>
      <x:c r="F6" s="40" t="n">
        <x:f>D6-E6</x:f>
        <x:v>0</x:v>
      </x:c>
      <x:c r="G6" s="17" t="str">
        <x:f>IF(ABS(F6)&lt;0.01,"PASS","FAIL")</x:f>
        <x:v>PASS</x:v>
      </x:c>
      <x:c r="H6" s="17" t="str">
        <x:v>Four rival architectures</x:v>
      </x:c>
      <x:c r="I6" s="30"/>
      <x:c r="J6" s="30"/>
      <x:c r="K6" s="30"/>
      <x:c r="L6" s="30"/>
    </x:row>
    <x:row r="7" ht="30" customHeight="1">
      <x:c r="C7" s="17" t="str">
        <x:v>Boundary record count</x:v>
      </x:c>
      <x:c r="D7" s="40" t="n">
        <x:f>COUNTA('03 Dependencies'!$C$6:$C$53)</x:f>
        <x:v>48</x:v>
      </x:c>
      <x:c r="E7" s="40" t="n">
        <x:v>48</x:v>
      </x:c>
      <x:c r="F7" s="40" t="n">
        <x:f>D7-E7</x:f>
        <x:v>0</x:v>
      </x:c>
      <x:c r="G7" s="17" t="str">
        <x:f>IF(ABS(F7)&lt;0.01,"PASS","FAIL")</x:f>
        <x:v>PASS</x:v>
      </x:c>
      <x:c r="H7" s="17" t="str">
        <x:v>Four architectures × twelve boundaries</x:v>
      </x:c>
      <x:c r="I7" s="30"/>
      <x:c r="J7" s="30"/>
      <x:c r="K7" s="30"/>
      <x:c r="L7" s="30"/>
    </x:row>
    <x:row r="8" ht="30" customHeight="1">
      <x:c r="C8" s="17" t="str">
        <x:v>World definition count</x:v>
      </x:c>
      <x:c r="D8" s="40" t="n">
        <x:f>COUNTA('04 Failure Worlds'!$C$6:$C$22)</x:f>
        <x:v>17</x:v>
      </x:c>
      <x:c r="E8" s="40" t="n">
        <x:v>17</x:v>
      </x:c>
      <x:c r="F8" s="40" t="n">
        <x:f>D8-E8</x:f>
        <x:v>0</x:v>
      </x:c>
      <x:c r="G8" s="17" t="str">
        <x:f>IF(ABS(F8)&lt;0.01,"PASS","FAIL")</x:f>
        <x:v>PASS</x:v>
      </x:c>
      <x:c r="H8" s="17" t="str">
        <x:v>Registered deterministic worlds</x:v>
      </x:c>
      <x:c r="I8" s="30"/>
      <x:c r="J8" s="30"/>
      <x:c r="K8" s="30"/>
      <x:c r="L8" s="30"/>
    </x:row>
    <x:row r="9" ht="30" customHeight="1">
      <x:c r="C9" s="17" t="str">
        <x:v>World result count</x:v>
      </x:c>
      <x:c r="D9" s="40" t="n">
        <x:f>COUNTA('04 Failure Worlds'!$C$26:$C$93)</x:f>
        <x:v>68</x:v>
      </x:c>
      <x:c r="E9" s="40" t="n">
        <x:v>68</x:v>
      </x:c>
      <x:c r="F9" s="40" t="n">
        <x:f>D9-E9</x:f>
        <x:v>0</x:v>
      </x:c>
      <x:c r="G9" s="17" t="str">
        <x:f>IF(ABS(F9)&lt;0.01,"PASS","FAIL")</x:f>
        <x:v>PASS</x:v>
      </x:c>
      <x:c r="H9" s="17" t="str">
        <x:v>Four architectures × seventeen worlds</x:v>
      </x:c>
      <x:c r="I9" s="30"/>
      <x:c r="J9" s="30"/>
      <x:c r="K9" s="30"/>
      <x:c r="L9" s="30"/>
    </x:row>
    <x:row r="10" ht="30" customHeight="1">
      <x:c r="C10" s="17" t="str">
        <x:v>Component record count</x:v>
      </x:c>
      <x:c r="D10" s="40" t="n">
        <x:f>COUNTA('05 Formation'!$C$21:$C$68)</x:f>
        <x:v>48</x:v>
      </x:c>
      <x:c r="E10" s="40" t="n">
        <x:v>48</x:v>
      </x:c>
      <x:c r="F10" s="40" t="n">
        <x:f>D10-E10</x:f>
        <x:v>0</x:v>
      </x:c>
      <x:c r="G10" s="17" t="str">
        <x:f>IF(ABS(F10)&lt;0.01,"PASS","FAIL")</x:f>
        <x:v>PASS</x:v>
      </x:c>
      <x:c r="H10" s="17" t="str">
        <x:v>Four architectures × twelve components</x:v>
      </x:c>
      <x:c r="I10" s="30"/>
      <x:c r="J10" s="30"/>
      <x:c r="K10" s="30"/>
      <x:c r="L10" s="30"/>
    </x:row>
    <x:row r="11" ht="30" customHeight="1">
      <x:c r="C11" s="17" t="str">
        <x:v>Evidence-gate count</x:v>
      </x:c>
      <x:c r="D11" s="40" t="n">
        <x:f>COUNTA('07 Test Contract'!$C$6:$C$25)</x:f>
        <x:v>20</x:v>
      </x:c>
      <x:c r="E11" s="40" t="n">
        <x:v>20</x:v>
      </x:c>
      <x:c r="F11" s="40" t="n">
        <x:f>D11-E11</x:f>
        <x:v>0</x:v>
      </x:c>
      <x:c r="G11" s="17" t="str">
        <x:f>IF(ABS(F11)&lt;0.01,"PASS","FAIL")</x:f>
        <x:v>PASS</x:v>
      </x:c>
      <x:c r="H11" s="17" t="str">
        <x:v>Admission contract completeness</x:v>
      </x:c>
      <x:c r="I11" s="30"/>
      <x:c r="J11" s="30"/>
      <x:c r="K11" s="30"/>
      <x:c r="L11" s="30"/>
    </x:row>
    <x:row r="12" ht="30" customHeight="1">
      <x:c r="C12" s="17" t="str">
        <x:v>Open evidence gates</x:v>
      </x:c>
      <x:c r="D12" s="40" t="n">
        <x:f>COUNTIFS('07 Test Contract'!$G$6:$G$25,"OPEN")</x:f>
        <x:v>20</x:v>
      </x:c>
      <x:c r="E12" s="40" t="n">
        <x:v>20</x:v>
      </x:c>
      <x:c r="F12" s="40" t="n">
        <x:f>D12-E12</x:f>
        <x:v>0</x:v>
      </x:c>
      <x:c r="G12" s="17" t="str">
        <x:f>IF(ABS(F12)&lt;0.01,"PASS","FAIL")</x:f>
        <x:v>PASS</x:v>
      </x:c>
      <x:c r="H12" s="17" t="str">
        <x:v>No modeled result becomes proof</x:v>
      </x:c>
      <x:c r="I12" s="30"/>
      <x:c r="J12" s="30"/>
      <x:c r="K12" s="30"/>
      <x:c r="L12" s="30"/>
    </x:row>
    <x:row r="13" ht="30" customHeight="1">
      <x:c r="C13" s="17" t="str">
        <x:v>Strict admissions</x:v>
      </x:c>
      <x:c r="D13" s="40" t="n">
        <x:f>COUNTIFS('02 Architectures'!$V$6:$V$9,"ADMITTED")</x:f>
        <x:v>0</x:v>
      </x:c>
      <x:c r="E13" s="40" t="n">
        <x:v>0</x:v>
      </x:c>
      <x:c r="F13" s="40" t="n">
        <x:f>D13-E13</x:f>
        <x:v>0</x:v>
      </x:c>
      <x:c r="G13" s="17" t="str">
        <x:f>IF(ABS(F13)&lt;0.01,"PASS","FAIL")</x:f>
        <x:v>PASS</x:v>
      </x:c>
      <x:c r="H13" s="17" t="str">
        <x:v>No procurement admission</x:v>
      </x:c>
      <x:c r="I13" s="30"/>
      <x:c r="J13" s="30"/>
      <x:c r="K13" s="30"/>
      <x:c r="L13" s="30"/>
    </x:row>
    <x:row r="14" ht="30" customHeight="1">
      <x:c r="C14" s="17" t="str">
        <x:v>K1 distinct boundaries</x:v>
      </x:c>
      <x:c r="D14" s="40" t="n">
        <x:f>'02 Architectures'!$H$6</x:f>
        <x:v>2</x:v>
      </x:c>
      <x:c r="E14" s="40" t="n">
        <x:v>2</x:v>
      </x:c>
      <x:c r="F14" s="40" t="n">
        <x:f>D14-E14</x:f>
        <x:v>0</x:v>
      </x:c>
      <x:c r="G14" s="17" t="str">
        <x:f>IF(ABS(F14)&lt;0.01,"PASS","FAIL")</x:f>
        <x:v>PASS</x:v>
      </x:c>
      <x:c r="H14" s="17" t="str">
        <x:v>Source and treatment only</x:v>
      </x:c>
      <x:c r="I14" s="30"/>
      <x:c r="J14" s="30"/>
      <x:c r="K14" s="30"/>
      <x:c r="L14" s="30"/>
    </x:row>
    <x:row r="15" ht="30" customHeight="1">
      <x:c r="C15" s="17" t="str">
        <x:v>K2 distinct boundaries</x:v>
      </x:c>
      <x:c r="D15" s="40" t="n">
        <x:f>'02 Architectures'!$H$7</x:f>
        <x:v>4</x:v>
      </x:c>
      <x:c r="E15" s="40" t="n">
        <x:v>4</x:v>
      </x:c>
      <x:c r="F15" s="40" t="n">
        <x:f>D15-E15</x:f>
        <x:v>0</x:v>
      </x:c>
      <x:c r="G15" s="17" t="str">
        <x:f>IF(ABS(F15)&lt;0.01,"PASS","FAIL")</x:f>
        <x:v>PASS</x:v>
      </x:c>
      <x:c r="H15" s="17" t="str">
        <x:v>Adds carrier and node</x:v>
      </x:c>
      <x:c r="I15" s="30"/>
      <x:c r="J15" s="30"/>
      <x:c r="K15" s="30"/>
      <x:c r="L15" s="30"/>
    </x:row>
    <x:row r="16" ht="30" customHeight="1">
      <x:c r="C16" s="17" t="str">
        <x:v>K3 distinct boundaries</x:v>
      </x:c>
      <x:c r="D16" s="40" t="n">
        <x:f>'02 Architectures'!$H$8</x:f>
        <x:v>9</x:v>
      </x:c>
      <x:c r="E16" s="40" t="n">
        <x:v>9</x:v>
      </x:c>
      <x:c r="F16" s="40" t="n">
        <x:f>D16-E16</x:f>
        <x:v>0</x:v>
      </x:c>
      <x:c r="G16" s="17" t="str">
        <x:f>IF(ABS(F16)&lt;0.01,"PASS","FAIL")</x:f>
        <x:v>PASS</x:v>
      </x:c>
      <x:c r="H16" s="17" t="str">
        <x:v>Operational split with three hidden dependencies</x:v>
      </x:c>
      <x:c r="I16" s="30"/>
      <x:c r="J16" s="30"/>
      <x:c r="K16" s="30"/>
      <x:c r="L16" s="30"/>
    </x:row>
    <x:row r="17" ht="30" customHeight="1">
      <x:c r="C17" s="17" t="str">
        <x:v>K4 distinct boundaries</x:v>
      </x:c>
      <x:c r="D17" s="40" t="n">
        <x:f>'02 Architectures'!$H$9</x:f>
        <x:v>12</x:v>
      </x:c>
      <x:c r="E17" s="40" t="n">
        <x:v>12</x:v>
      </x:c>
      <x:c r="F17" s="40" t="n">
        <x:f>D17-E17</x:f>
        <x:v>0</x:v>
      </x:c>
      <x:c r="G17" s="17" t="str">
        <x:f>IF(ABS(F17)&lt;0.01,"PASS","FAIL")</x:f>
        <x:v>PASS</x:v>
      </x:c>
      <x:c r="H17" s="17" t="str">
        <x:v>All registered boundaries distinct</x:v>
      </x:c>
      <x:c r="I17" s="30"/>
      <x:c r="J17" s="30"/>
      <x:c r="K17" s="30"/>
      <x:c r="L17" s="30"/>
    </x:row>
    <x:row r="18" ht="30" customHeight="1">
      <x:c r="C18" s="17" t="str">
        <x:v>K1 shared cuts</x:v>
      </x:c>
      <x:c r="D18" s="40" t="n">
        <x:f>'02 Architectures'!$I$6</x:f>
        <x:v>10</x:v>
      </x:c>
      <x:c r="E18" s="40" t="n">
        <x:v>10</x:v>
      </x:c>
      <x:c r="F18" s="40" t="n">
        <x:f>D18-E18</x:f>
        <x:v>0</x:v>
      </x:c>
      <x:c r="G18" s="17" t="str">
        <x:f>IF(ABS(F18)&lt;0.01,"PASS","FAIL")</x:f>
        <x:v>PASS</x:v>
      </x:c>
      <x:c r="H18" s="17" t="str">
        <x:v>Ten single common-mode removals</x:v>
      </x:c>
      <x:c r="I18" s="30"/>
      <x:c r="J18" s="30"/>
      <x:c r="K18" s="30"/>
      <x:c r="L18" s="30"/>
    </x:row>
    <x:row r="19" ht="30" customHeight="1">
      <x:c r="C19" s="17" t="str">
        <x:v>K2 shared cuts</x:v>
      </x:c>
      <x:c r="D19" s="40" t="n">
        <x:f>'02 Architectures'!$I$7</x:f>
        <x:v>8</x:v>
      </x:c>
      <x:c r="E19" s="40" t="n">
        <x:v>8</x:v>
      </x:c>
      <x:c r="F19" s="40" t="n">
        <x:f>D19-E19</x:f>
        <x:v>0</x:v>
      </x:c>
      <x:c r="G19" s="17" t="str">
        <x:f>IF(ABS(F19)&lt;0.01,"PASS","FAIL")</x:f>
        <x:v>PASS</x:v>
      </x:c>
      <x:c r="H19" s="17" t="str">
        <x:v>Eight single common-mode removals</x:v>
      </x:c>
      <x:c r="I19" s="30"/>
      <x:c r="J19" s="30"/>
      <x:c r="K19" s="30"/>
      <x:c r="L19" s="30"/>
    </x:row>
    <x:row r="20" ht="30" customHeight="1">
      <x:c r="C20" s="17" t="str">
        <x:v>K3 shared cuts</x:v>
      </x:c>
      <x:c r="D20" s="40" t="n">
        <x:f>'02 Architectures'!$I$8</x:f>
        <x:v>3</x:v>
      </x:c>
      <x:c r="E20" s="40" t="n">
        <x:v>3</x:v>
      </x:c>
      <x:c r="F20" s="40" t="n">
        <x:f>D20-E20</x:f>
        <x:v>0</x:v>
      </x:c>
      <x:c r="G20" s="17" t="str">
        <x:f>IF(ABS(F20)&lt;0.01,"PASS","FAIL")</x:f>
        <x:v>PASS</x:v>
      </x:c>
      <x:c r="H20" s="17" t="str">
        <x:v>Material, depot and base remain common</x:v>
      </x:c>
      <x:c r="I20" s="30"/>
      <x:c r="J20" s="30"/>
      <x:c r="K20" s="30"/>
      <x:c r="L20" s="30"/>
    </x:row>
    <x:row r="21" ht="30" customHeight="1">
      <x:c r="C21" s="17" t="str">
        <x:v>K4 shared cuts</x:v>
      </x:c>
      <x:c r="D21" s="40" t="n">
        <x:f>'02 Architectures'!$I$9</x:f>
        <x:v>0</x:v>
      </x:c>
      <x:c r="E21" s="40" t="n">
        <x:v>0</x:v>
      </x:c>
      <x:c r="F21" s="40" t="n">
        <x:f>D21-E21</x:f>
        <x:v>0</x:v>
      </x:c>
      <x:c r="G21" s="17" t="str">
        <x:f>IF(ABS(F21)&lt;0.01,"PASS","FAIL")</x:f>
        <x:v>PASS</x:v>
      </x:c>
      <x:c r="H21" s="17" t="str">
        <x:v>No registered paired one-cut boundary</x:v>
      </x:c>
      <x:c r="I21" s="30"/>
      <x:c r="J21" s="30"/>
      <x:c r="K21" s="30"/>
      <x:c r="L21" s="30"/>
    </x:row>
    <x:row r="22" ht="30" customHeight="1">
      <x:c r="C22" s="17" t="str">
        <x:v>K1 service worlds passed</x:v>
      </x:c>
      <x:c r="D22" s="40" t="n">
        <x:f>'02 Architectures'!$P$6</x:f>
        <x:v>4</x:v>
      </x:c>
      <x:c r="E22" s="40" t="n">
        <x:v>4</x:v>
      </x:c>
      <x:c r="F22" s="40" t="n">
        <x:f>D22-E22</x:f>
        <x:v>0</x:v>
      </x:c>
      <x:c r="G22" s="17" t="str">
        <x:f>IF(ABS(F22)&lt;0.01,"PASS","FAIL")</x:f>
        <x:v>PASS</x:v>
      </x:c>
      <x:c r="H22" s="17" t="str">
        <x:v>Baseline and source/treatment survivors</x:v>
      </x:c>
      <x:c r="I22" s="30"/>
      <x:c r="J22" s="30"/>
      <x:c r="K22" s="30"/>
      <x:c r="L22" s="30"/>
    </x:row>
    <x:row r="23" ht="30" customHeight="1">
      <x:c r="C23" s="17" t="str">
        <x:v>K2 service worlds passed</x:v>
      </x:c>
      <x:c r="D23" s="40" t="n">
        <x:f>'02 Architectures'!$P$7</x:f>
        <x:v>6</x:v>
      </x:c>
      <x:c r="E23" s="40" t="n">
        <x:v>6</x:v>
      </x:c>
      <x:c r="F23" s="40" t="n">
        <x:f>D23-E23</x:f>
        <x:v>0</x:v>
      </x:c>
      <x:c r="G23" s="17" t="str">
        <x:f>IF(ABS(F23)&lt;0.01,"PASS","FAIL")</x:f>
        <x:v>PASS</x:v>
      </x:c>
      <x:c r="H23" s="17" t="str">
        <x:v>Adds carrier and node survivors</x:v>
      </x:c>
      <x:c r="I23" s="30"/>
      <x:c r="J23" s="30"/>
      <x:c r="K23" s="30"/>
      <x:c r="L23" s="30"/>
    </x:row>
    <x:row r="24" ht="30" customHeight="1">
      <x:c r="C24" s="17" t="str">
        <x:v>K3 service worlds passed</x:v>
      </x:c>
      <x:c r="D24" s="40" t="n">
        <x:f>'02 Architectures'!$P$8</x:f>
        <x:v>11</x:v>
      </x:c>
      <x:c r="E24" s="40" t="n">
        <x:v>11</x:v>
      </x:c>
      <x:c r="F24" s="40" t="n">
        <x:f>D24-E24</x:f>
        <x:v>0</x:v>
      </x:c>
      <x:c r="G24" s="17" t="str">
        <x:f>IF(ABS(F24)&lt;0.01,"PASS","FAIL")</x:f>
        <x:v>PASS</x:v>
      </x:c>
      <x:c r="H24" s="17" t="str">
        <x:v>Fails three shared dependencies and two depth worlds</x:v>
      </x:c>
      <x:c r="I24" s="30"/>
      <x:c r="J24" s="30"/>
      <x:c r="K24" s="30"/>
      <x:c r="L24" s="30"/>
    </x:row>
    <x:row r="25" ht="30" customHeight="1">
      <x:c r="C25" s="17" t="str">
        <x:v>K4 service worlds passed</x:v>
      </x:c>
      <x:c r="D25" s="40" t="n">
        <x:f>'02 Architectures'!$P$9</x:f>
        <x:v>16</x:v>
      </x:c>
      <x:c r="E25" s="40" t="n">
        <x:v>16</x:v>
      </x:c>
      <x:c r="F25" s="40" t="n">
        <x:f>D25-E25</x:f>
        <x:v>0</x:v>
      </x:c>
      <x:c r="G25" s="17" t="str">
        <x:f>IF(ABS(F25)&lt;0.01,"PASS","FAIL")</x:f>
        <x:v>PASS</x:v>
      </x:c>
      <x:c r="H25" s="17" t="str">
        <x:v>All service-bearing worlds</x:v>
      </x:c>
      <x:c r="I25" s="30"/>
      <x:c r="J25" s="30"/>
      <x:c r="K25" s="30"/>
      <x:c r="L25" s="30"/>
    </x:row>
    <x:row r="26" ht="30" customHeight="1">
      <x:c r="C26" s="17" t="str">
        <x:v>All K1 behavior worlds correct</x:v>
      </x:c>
      <x:c r="D26" s="40" t="n">
        <x:f>'02 Architectures'!$R$6</x:f>
        <x:v>5</x:v>
      </x:c>
      <x:c r="E26" s="40" t="n">
        <x:v>5</x:v>
      </x:c>
      <x:c r="F26" s="40" t="n">
        <x:f>D26-E26</x:f>
        <x:v>0</x:v>
      </x:c>
      <x:c r="G26" s="17" t="str">
        <x:f>IF(ABS(F26)&lt;0.01,"PASS","FAIL")</x:f>
        <x:v>PASS</x:v>
      </x:c>
      <x:c r="H26" s="17" t="str">
        <x:v>Four service passes plus universal stop</x:v>
      </x:c>
      <x:c r="I26" s="30"/>
      <x:c r="J26" s="30"/>
      <x:c r="K26" s="30"/>
      <x:c r="L26" s="30"/>
    </x:row>
    <x:row r="27" ht="30" customHeight="1">
      <x:c r="C27" s="17" t="str">
        <x:v>All K2 behavior worlds correct</x:v>
      </x:c>
      <x:c r="D27" s="40" t="n">
        <x:f>'02 Architectures'!$R$7</x:f>
        <x:v>7</x:v>
      </x:c>
      <x:c r="E27" s="40" t="n">
        <x:v>7</x:v>
      </x:c>
      <x:c r="F27" s="40" t="n">
        <x:f>D27-E27</x:f>
        <x:v>0</x:v>
      </x:c>
      <x:c r="G27" s="17" t="str">
        <x:f>IF(ABS(F27)&lt;0.01,"PASS","FAIL")</x:f>
        <x:v>PASS</x:v>
      </x:c>
      <x:c r="H27" s="17" t="str">
        <x:v>Six service passes plus universal stop</x:v>
      </x:c>
      <x:c r="I27" s="30"/>
      <x:c r="J27" s="30"/>
      <x:c r="K27" s="30"/>
      <x:c r="L27" s="30"/>
    </x:row>
    <x:row r="28" ht="30" customHeight="1">
      <x:c r="C28" s="17" t="str">
        <x:v>All K3 behavior worlds correct</x:v>
      </x:c>
      <x:c r="D28" s="40" t="n">
        <x:f>'02 Architectures'!$R$8</x:f>
        <x:v>12</x:v>
      </x:c>
      <x:c r="E28" s="40" t="n">
        <x:v>12</x:v>
      </x:c>
      <x:c r="F28" s="40" t="n">
        <x:f>D28-E28</x:f>
        <x:v>0</x:v>
      </x:c>
      <x:c r="G28" s="17" t="str">
        <x:f>IF(ABS(F28)&lt;0.01,"PASS","FAIL")</x:f>
        <x:v>PASS</x:v>
      </x:c>
      <x:c r="H28" s="17" t="str">
        <x:v>Eleven service passes plus universal stop</x:v>
      </x:c>
      <x:c r="I28" s="30"/>
      <x:c r="J28" s="30"/>
      <x:c r="K28" s="30"/>
      <x:c r="L28" s="30"/>
    </x:row>
    <x:row r="29" ht="30" customHeight="1">
      <x:c r="C29" s="17" t="str">
        <x:v>All K4 behavior worlds correct</x:v>
      </x:c>
      <x:c r="D29" s="40" t="n">
        <x:f>'02 Architectures'!$R$9</x:f>
        <x:v>17</x:v>
      </x:c>
      <x:c r="E29" s="40" t="n">
        <x:v>17</x:v>
      </x:c>
      <x:c r="F29" s="40" t="n">
        <x:f>D29-E29</x:f>
        <x:v>0</x:v>
      </x:c>
      <x:c r="G29" s="17" t="str">
        <x:f>IF(ABS(F29)&lt;0.01,"PASS","FAIL")</x:f>
        <x:v>PASS</x:v>
      </x:c>
      <x:c r="H29" s="17" t="str">
        <x:v>All worlds including safe stop</x:v>
      </x:c>
      <x:c r="I29" s="30"/>
      <x:c r="J29" s="30"/>
      <x:c r="K29" s="30"/>
      <x:c r="L29" s="30"/>
    </x:row>
    <x:row r="30" ht="30" customHeight="1">
      <x:c r="C30" s="17" t="str">
        <x:v>Path A inherited dry mass</x:v>
      </x:c>
      <x:c r="D30" s="40" t="n">
        <x:f>'05 Formation'!$E$6</x:f>
        <x:v>920</x:v>
      </x:c>
      <x:c r="E30" s="40" t="n">
        <x:v>920</x:v>
      </x:c>
      <x:c r="F30" s="40" t="n">
        <x:f>D30-E30</x:f>
        <x:v>0</x:v>
      </x:c>
      <x:c r="G30" s="17" t="str">
        <x:f>IF(ABS(F30)&lt;0.01,"PASS","FAIL")</x:f>
        <x:v>PASS</x:v>
      </x:c>
      <x:c r="H30" s="17" t="str">
        <x:v>Pass 68 C2 lineage</x:v>
      </x:c>
      <x:c r="I30" s="30"/>
      <x:c r="J30" s="30"/>
      <x:c r="K30" s="30"/>
      <x:c r="L30" s="30"/>
    </x:row>
    <x:row r="31" ht="30" customHeight="1">
      <x:c r="C31" s="17" t="str">
        <x:v>Path B inherited dry mass</x:v>
      </x:c>
      <x:c r="D31" s="40" t="n">
        <x:f>'05 Formation'!$E$7</x:f>
        <x:v>2710</x:v>
      </x:c>
      <x:c r="E31" s="40" t="n">
        <x:v>2710</x:v>
      </x:c>
      <x:c r="F31" s="40" t="n">
        <x:f>D31-E31</x:f>
        <x:v>0</x:v>
      </x:c>
      <x:c r="G31" s="17" t="str">
        <x:f>IF(ABS(F31)&lt;0.01,"PASS","FAIL")</x:f>
        <x:v>PASS</x:v>
      </x:c>
      <x:c r="H31" s="17" t="str">
        <x:v>Pass 68 C3 plus Pass 69 E2</x:v>
      </x:c>
      <x:c r="I31" s="30"/>
      <x:c r="J31" s="30"/>
      <x:c r="K31" s="30"/>
      <x:c r="L31" s="30"/>
    </x:row>
    <x:row r="32" ht="30" customHeight="1">
      <x:c r="C32" s="17" t="str">
        <x:v>Support cell dry mass</x:v>
      </x:c>
      <x:c r="D32" s="40" t="n">
        <x:f>SUM('05 Formation'!$E$8:$E$17)</x:f>
        <x:v>1250</x:v>
      </x:c>
      <x:c r="E32" s="40" t="n">
        <x:v>1250</x:v>
      </x:c>
      <x:c r="F32" s="40" t="n">
        <x:f>D32-E32</x:f>
        <x:v>0</x:v>
      </x:c>
      <x:c r="G32" s="17" t="str">
        <x:f>IF(ABS(F32)&lt;0.01,"PASS","FAIL")</x:f>
        <x:v>PASS</x:v>
      </x:c>
      <x:c r="H32" s="17" t="str">
        <x:v>One complete support-domain set</x:v>
      </x:c>
      <x:c r="I32" s="30"/>
      <x:c r="J32" s="30"/>
      <x:c r="K32" s="30"/>
      <x:c r="L32" s="30"/>
    </x:row>
    <x:row r="33" ht="30" customHeight="1">
      <x:c r="C33" s="17" t="str">
        <x:v>Support cell chargeable mass</x:v>
      </x:c>
      <x:c r="D33" s="40" t="n">
        <x:f>SUM('05 Formation'!$F$8:$F$17)</x:f>
        <x:v>1510</x:v>
      </x:c>
      <x:c r="E33" s="40" t="n">
        <x:v>1510</x:v>
      </x:c>
      <x:c r="F33" s="40" t="n">
        <x:f>D33-E33</x:f>
        <x:v>0</x:v>
      </x:c>
      <x:c r="G33" s="17" t="str">
        <x:f>IF(ABS(F33)&lt;0.01,"PASS","FAIL")</x:f>
        <x:v>PASS</x:v>
      </x:c>
      <x:c r="H33" s="17" t="str">
        <x:v>One complete support-domain set</x:v>
      </x:c>
      <x:c r="I33" s="30"/>
      <x:c r="J33" s="30"/>
      <x:c r="K33" s="30"/>
      <x:c r="L33" s="30"/>
    </x:row>
    <x:row r="34" ht="30" customHeight="1">
      <x:c r="C34" s="17" t="str">
        <x:v>Support cell crew</x:v>
      </x:c>
      <x:c r="D34" s="40" t="n">
        <x:f>SUM('05 Formation'!$G$8:$G$17)</x:f>
        <x:v>92</x:v>
      </x:c>
      <x:c r="E34" s="40" t="n">
        <x:v>92</x:v>
      </x:c>
      <x:c r="F34" s="40" t="n">
        <x:f>D34-E34</x:f>
        <x:v>0</x:v>
      </x:c>
      <x:c r="G34" s="17" t="str">
        <x:f>IF(ABS(F34)&lt;0.01,"PASS","FAIL")</x:f>
        <x:v>PASS</x:v>
      </x:c>
      <x:c r="H34" s="17" t="str">
        <x:v>One complete support-domain set</x:v>
      </x:c>
      <x:c r="I34" s="30"/>
      <x:c r="J34" s="30"/>
      <x:c r="K34" s="30"/>
      <x:c r="L34" s="30"/>
    </x:row>
    <x:row r="35" ht="30" customHeight="1">
      <x:c r="C35" s="17" t="str">
        <x:v>Support cell equipment</x:v>
      </x:c>
      <x:c r="D35" s="40" t="n">
        <x:f>SUM('05 Formation'!$H$8:$H$17)</x:f>
        <x:v>0.98</x:v>
      </x:c>
      <x:c r="E35" s="40" t="n">
        <x:v>0.98</x:v>
      </x:c>
      <x:c r="F35" s="40" t="n">
        <x:f>D35-E35</x:f>
        <x:v>0</x:v>
      </x:c>
      <x:c r="G35" s="17" t="str">
        <x:f>IF(ABS(F35)&lt;0.01,"PASS","FAIL")</x:f>
        <x:v>PASS</x:v>
      </x:c>
      <x:c r="H35" s="17" t="str">
        <x:v>One complete support-domain set</x:v>
      </x:c>
      <x:c r="I35" s="30"/>
      <x:c r="J35" s="30"/>
      <x:c r="K35" s="30"/>
      <x:c r="L35" s="30"/>
    </x:row>
    <x:row r="36" ht="30" customHeight="1">
      <x:c r="C36" s="17" t="str">
        <x:v>K1 dry mass</x:v>
      </x:c>
      <x:c r="D36" s="40" t="n">
        <x:f>'02 Architectures'!$L$6</x:f>
        <x:v>4880</x:v>
      </x:c>
      <x:c r="E36" s="40" t="n">
        <x:v>4880</x:v>
      </x:c>
      <x:c r="F36" s="40" t="n">
        <x:f>D36-E36</x:f>
        <x:v>0</x:v>
      </x:c>
      <x:c r="G36" s="17" t="str">
        <x:f>IF(ABS(F36)&lt;0.01,"PASS","FAIL")</x:f>
        <x:v>PASS</x:v>
      </x:c>
      <x:c r="H36" s="17" t="str">
        <x:v>Two cores plus one support set</x:v>
      </x:c>
      <x:c r="I36" s="30"/>
      <x:c r="J36" s="30"/>
      <x:c r="K36" s="30"/>
      <x:c r="L36" s="30"/>
    </x:row>
    <x:row r="37" ht="30" customHeight="1">
      <x:c r="C37" s="17" t="str">
        <x:v>K2 dry mass</x:v>
      </x:c>
      <x:c r="D37" s="40" t="n">
        <x:f>'02 Architectures'!$L$7</x:f>
        <x:v>5310</x:v>
      </x:c>
      <x:c r="E37" s="40" t="n">
        <x:v>5310</x:v>
      </x:c>
      <x:c r="F37" s="40" t="n">
        <x:f>D37-E37</x:f>
        <x:v>0</x:v>
      </x:c>
      <x:c r="G37" s="17" t="str">
        <x:f>IF(ABS(F37)&lt;0.01,"PASS","FAIL")</x:f>
        <x:v>PASS</x:v>
      </x:c>
      <x:c r="H37" s="17" t="str">
        <x:v>Duplicates carrier and node</x:v>
      </x:c>
      <x:c r="I37" s="30"/>
      <x:c r="J37" s="30"/>
      <x:c r="K37" s="30"/>
      <x:c r="L37" s="30"/>
    </x:row>
    <x:row r="38" ht="30" customHeight="1">
      <x:c r="C38" s="17" t="str">
        <x:v>K3 dry mass</x:v>
      </x:c>
      <x:c r="D38" s="40" t="n">
        <x:f>'02 Architectures'!$L$8</x:f>
        <x:v>5830</x:v>
      </x:c>
      <x:c r="E38" s="40" t="n">
        <x:v>5830</x:v>
      </x:c>
      <x:c r="F38" s="40" t="n">
        <x:f>D38-E38</x:f>
        <x:v>0</x:v>
      </x:c>
      <x:c r="G38" s="17" t="str">
        <x:f>IF(ABS(F38)&lt;0.01,"PASS","FAIL")</x:f>
        <x:v>PASS</x:v>
      </x:c>
      <x:c r="H38" s="17" t="str">
        <x:v>Duplicates seven support domains</x:v>
      </x:c>
      <x:c r="I38" s="30"/>
      <x:c r="J38" s="30"/>
      <x:c r="K38" s="30"/>
      <x:c r="L38" s="30"/>
    </x:row>
    <x:row r="39" ht="30" customHeight="1">
      <x:c r="C39" s="17" t="str">
        <x:v>K4 dry mass</x:v>
      </x:c>
      <x:c r="D39" s="40" t="n">
        <x:f>'02 Architectures'!$L$9</x:f>
        <x:v>10090</x:v>
      </x:c>
      <x:c r="E39" s="40" t="n">
        <x:v>10090</x:v>
      </x:c>
      <x:c r="F39" s="40" t="n">
        <x:f>D39-E39</x:f>
        <x:v>0</x:v>
      </x:c>
      <x:c r="G39" s="17" t="str">
        <x:f>IF(ABS(F39)&lt;0.01,"PASS","FAIL")</x:f>
        <x:v>PASS</x:v>
      </x:c>
      <x:c r="H39" s="17" t="str">
        <x:v>Three service cells</x:v>
      </x:c>
      <x:c r="I39" s="30"/>
      <x:c r="J39" s="30"/>
      <x:c r="K39" s="30"/>
      <x:c r="L39" s="30"/>
    </x:row>
    <x:row r="40" ht="30" customHeight="1">
      <x:c r="C40" s="17" t="str">
        <x:v>K1 crew</x:v>
      </x:c>
      <x:c r="D40" s="40" t="n">
        <x:f>'02 Architectures'!$N$6</x:f>
        <x:v>274</x:v>
      </x:c>
      <x:c r="E40" s="40" t="n">
        <x:v>274</x:v>
      </x:c>
      <x:c r="F40" s="40" t="n">
        <x:f>D40-E40</x:f>
        <x:v>0</x:v>
      </x:c>
      <x:c r="G40" s="17" t="str">
        <x:f>IF(ABS(F40)&lt;0.01,"PASS","FAIL")</x:f>
        <x:v>PASS</x:v>
      </x:c>
      <x:c r="H40" s="17" t="str">
        <x:v>Two cores plus shared support</x:v>
      </x:c>
      <x:c r="I40" s="30"/>
      <x:c r="J40" s="30"/>
      <x:c r="K40" s="30"/>
      <x:c r="L40" s="30"/>
    </x:row>
    <x:row r="41" ht="30" customHeight="1">
      <x:c r="C41" s="17" t="str">
        <x:v>K4 crew</x:v>
      </x:c>
      <x:c r="D41" s="40" t="n">
        <x:f>'02 Architectures'!$N$9</x:f>
        <x:v>568</x:v>
      </x:c>
      <x:c r="E41" s="40" t="n">
        <x:v>568</x:v>
      </x:c>
      <x:c r="F41" s="40" t="n">
        <x:f>D41-E41</x:f>
        <x:v>0</x:v>
      </x:c>
      <x:c r="G41" s="17" t="str">
        <x:f>IF(ABS(F41)&lt;0.01,"PASS","FAIL")</x:f>
        <x:v>PASS</x:v>
      </x:c>
      <x:c r="H41" s="17" t="str">
        <x:v>Three complete cell crews</x:v>
      </x:c>
      <x:c r="I41" s="30"/>
      <x:c r="J41" s="30"/>
      <x:c r="K41" s="30"/>
      <x:c r="L41" s="30"/>
    </x:row>
    <x:row r="42" ht="30" customHeight="1">
      <x:c r="C42" s="17" t="str">
        <x:v>K1 equipment per set</x:v>
      </x:c>
      <x:c r="D42" s="40" t="n">
        <x:f>'02 Architectures'!$O$6</x:f>
        <x:v>4.13</x:v>
      </x:c>
      <x:c r="E42" s="40" t="n">
        <x:v>4.13</x:v>
      </x:c>
      <x:c r="F42" s="40" t="n">
        <x:f>D42-E42</x:f>
        <x:v>0</x:v>
      </x:c>
      <x:c r="G42" s="17" t="str">
        <x:f>IF(ABS(F42)&lt;0.01,"PASS","FAIL")</x:f>
        <x:v>PASS</x:v>
      </x:c>
      <x:c r="H42" s="17" t="str">
        <x:v>Declared component sum</x:v>
      </x:c>
      <x:c r="I42" s="30"/>
      <x:c r="J42" s="30"/>
      <x:c r="K42" s="30"/>
      <x:c r="L42" s="30"/>
    </x:row>
    <x:row r="43" ht="30" customHeight="1">
      <x:c r="C43" s="17" t="str">
        <x:v>K4 equipment per set</x:v>
      </x:c>
      <x:c r="D43" s="40" t="n">
        <x:f>'02 Architectures'!$O$9</x:f>
        <x:v>8.290000000000001</x:v>
      </x:c>
      <x:c r="E43" s="40" t="n">
        <x:v>8.29</x:v>
      </x:c>
      <x:c r="F43" s="40" t="n">
        <x:f>D43-E43</x:f>
        <x:v>1.7763568394002505e-15</x:v>
      </x:c>
      <x:c r="G43" s="17" t="str">
        <x:f>IF(ABS(F43)&lt;0.01,"PASS","FAIL")</x:f>
        <x:v>PASS</x:v>
      </x:c>
      <x:c r="H43" s="17" t="str">
        <x:v>Three complete cell equipment sum</x:v>
      </x:c>
      <x:c r="I43" s="30"/>
      <x:c r="J43" s="30"/>
      <x:c r="K43" s="30"/>
      <x:c r="L43" s="30"/>
    </x:row>
    <x:row r="44" ht="30" customHeight="1">
      <x:c r="C44" s="17" t="str">
        <x:v>K1 baseline full service</x:v>
      </x:c>
      <x:c r="D44" s="40" t="n">
        <x:f>SUMIFS('04 Failure Worlds'!$N$26:$N$93,'04 Failure Worlds'!$C$26:$C$93,"K1",'04 Failure Worlds'!$D$26:$D$93,"W00")</x:f>
        <x:v>10000</x:v>
      </x:c>
      <x:c r="E44" s="40" t="n">
        <x:v>10000</x:v>
      </x:c>
      <x:c r="F44" s="40" t="n">
        <x:f>D44-E44</x:f>
        <x:v>0</x:v>
      </x:c>
      <x:c r="G44" s="17" t="str">
        <x:f>IF(ABS(F44)&lt;0.01,"PASS","FAIL")</x:f>
        <x:v>PASS</x:v>
      </x:c>
      <x:c r="H44" s="17" t="str">
        <x:v>Baseline service closes</x:v>
      </x:c>
      <x:c r="I44" s="30"/>
      <x:c r="J44" s="30"/>
      <x:c r="K44" s="30"/>
      <x:c r="L44" s="30"/>
    </x:row>
    <x:row r="45" ht="30" customHeight="1">
      <x:c r="C45" s="17" t="str">
        <x:v>K1 carrier-cut service</x:v>
      </x:c>
      <x:c r="D45" s="40" t="n">
        <x:f>SUMIFS('04 Failure Worlds'!$N$26:$N$93,'04 Failure Worlds'!$C$26:$C$93,"K1",'04 Failure Worlds'!$D$26:$D$93,"W04")</x:f>
        <x:v>0</x:v>
      </x:c>
      <x:c r="E45" s="40" t="n">
        <x:v>0</x:v>
      </x:c>
      <x:c r="F45" s="40" t="n">
        <x:f>D45-E45</x:f>
        <x:v>0</x:v>
      </x:c>
      <x:c r="G45" s="17" t="str">
        <x:f>IF(ABS(F45)&lt;0.01,"PASS","FAIL")</x:f>
        <x:v>PASS</x:v>
      </x:c>
      <x:c r="H45" s="17" t="str">
        <x:v>Shared carrier removes both</x:v>
      </x:c>
      <x:c r="I45" s="30"/>
      <x:c r="J45" s="30"/>
      <x:c r="K45" s="30"/>
      <x:c r="L45" s="30"/>
    </x:row>
    <x:row r="46" ht="30" customHeight="1">
      <x:c r="C46" s="17" t="str">
        <x:v>K2 carrier-cut service</x:v>
      </x:c>
      <x:c r="D46" s="40" t="n">
        <x:f>SUMIFS('04 Failure Worlds'!$N$26:$N$93,'04 Failure Worlds'!$C$26:$C$93,"K2",'04 Failure Worlds'!$D$26:$D$93,"W04")</x:f>
        <x:v>5000</x:v>
      </x:c>
      <x:c r="E46" s="40" t="n">
        <x:v>5000</x:v>
      </x:c>
      <x:c r="F46" s="40" t="n">
        <x:f>D46-E46</x:f>
        <x:v>0</x:v>
      </x:c>
      <x:c r="G46" s="17" t="str">
        <x:f>IF(ABS(F46)&lt;0.01,"PASS","FAIL")</x:f>
        <x:v>PASS</x:v>
      </x:c>
      <x:c r="H46" s="17" t="str">
        <x:v>Split carrier preserves floor</x:v>
      </x:c>
      <x:c r="I46" s="30"/>
      <x:c r="J46" s="30"/>
      <x:c r="K46" s="30"/>
      <x:c r="L46" s="30"/>
    </x:row>
    <x:row r="47" ht="30" customHeight="1">
      <x:c r="C47" s="17" t="str">
        <x:v>K2 power-cut service</x:v>
      </x:c>
      <x:c r="D47" s="40" t="n">
        <x:f>SUMIFS('04 Failure Worlds'!$N$26:$N$93,'04 Failure Worlds'!$C$26:$C$93,"K2",'04 Failure Worlds'!$D$26:$D$93,"W06")</x:f>
        <x:v>0</x:v>
      </x:c>
      <x:c r="E47" s="40" t="n">
        <x:v>0</x:v>
      </x:c>
      <x:c r="F47" s="40" t="n">
        <x:f>D47-E47</x:f>
        <x:v>0</x:v>
      </x:c>
      <x:c r="G47" s="17" t="str">
        <x:f>IF(ABS(F47)&lt;0.01,"PASS","FAIL")</x:f>
        <x:v>PASS</x:v>
      </x:c>
      <x:c r="H47" s="17" t="str">
        <x:v>Common power removes both</x:v>
      </x:c>
      <x:c r="I47" s="30"/>
      <x:c r="J47" s="30"/>
      <x:c r="K47" s="30"/>
      <x:c r="L47" s="30"/>
    </x:row>
    <x:row r="48" ht="30" customHeight="1">
      <x:c r="C48" s="17" t="str">
        <x:v>K3 power-cut service</x:v>
      </x:c>
      <x:c r="D48" s="40" t="n">
        <x:f>SUMIFS('04 Failure Worlds'!$N$26:$N$93,'04 Failure Worlds'!$C$26:$C$93,"K3",'04 Failure Worlds'!$D$26:$D$93,"W06")</x:f>
        <x:v>5000</x:v>
      </x:c>
      <x:c r="E48" s="40" t="n">
        <x:v>5000</x:v>
      </x:c>
      <x:c r="F48" s="40" t="n">
        <x:f>D48-E48</x:f>
        <x:v>0</x:v>
      </x:c>
      <x:c r="G48" s="17" t="str">
        <x:f>IF(ABS(F48)&lt;0.01,"PASS","FAIL")</x:f>
        <x:v>PASS</x:v>
      </x:c>
      <x:c r="H48" s="17" t="str">
        <x:v>Paired power preserves floor</x:v>
      </x:c>
      <x:c r="I48" s="30"/>
      <x:c r="J48" s="30"/>
      <x:c r="K48" s="30"/>
      <x:c r="L48" s="30"/>
    </x:row>
    <x:row r="49" ht="30" customHeight="1">
      <x:c r="C49" s="17" t="str">
        <x:v>K3 material-recall service</x:v>
      </x:c>
      <x:c r="D49" s="40" t="n">
        <x:f>SUMIFS('04 Failure Worlds'!$N$26:$N$93,'04 Failure Worlds'!$C$26:$C$93,"K3",'04 Failure Worlds'!$D$26:$D$93,"W09")</x:f>
        <x:v>0</x:v>
      </x:c>
      <x:c r="E49" s="40" t="n">
        <x:v>0</x:v>
      </x:c>
      <x:c r="F49" s="40" t="n">
        <x:f>D49-E49</x:f>
        <x:v>0</x:v>
      </x:c>
      <x:c r="G49" s="17" t="str">
        <x:f>IF(ABS(F49)&lt;0.01,"PASS","FAIL")</x:f>
        <x:v>PASS</x:v>
      </x:c>
      <x:c r="H49" s="17" t="str">
        <x:v>Shared lineage removes both</x:v>
      </x:c>
      <x:c r="I49" s="30"/>
      <x:c r="J49" s="30"/>
      <x:c r="K49" s="30"/>
      <x:c r="L49" s="30"/>
    </x:row>
    <x:row r="50" ht="30" customHeight="1">
      <x:c r="C50" s="17" t="str">
        <x:v>K4 material-recall service</x:v>
      </x:c>
      <x:c r="D50" s="40" t="n">
        <x:f>SUMIFS('04 Failure Worlds'!$N$26:$N$93,'04 Failure Worlds'!$C$26:$C$93,"K4",'04 Failure Worlds'!$D$26:$D$93,"W09")</x:f>
        <x:v>5000</x:v>
      </x:c>
      <x:c r="E50" s="40" t="n">
        <x:v>5000</x:v>
      </x:c>
      <x:c r="F50" s="40" t="n">
        <x:f>D50-E50</x:f>
        <x:v>0</x:v>
      </x:c>
      <x:c r="G50" s="17" t="str">
        <x:f>IF(ABS(F50)&lt;0.01,"PASS","FAIL")</x:f>
        <x:v>PASS</x:v>
      </x:c>
      <x:c r="H50" s="17" t="str">
        <x:v>Independent lineages preserve floor</x:v>
      </x:c>
      <x:c r="I50" s="30"/>
      <x:c r="J50" s="30"/>
      <x:c r="K50" s="30"/>
      <x:c r="L50" s="30"/>
    </x:row>
    <x:row r="51" ht="30" customHeight="1">
      <x:c r="C51" s="17" t="str">
        <x:v>K3 concurrent-event service</x:v>
      </x:c>
      <x:c r="D51" s="40" t="n">
        <x:f>SUMIFS('04 Failure Worlds'!$N$26:$N$93,'04 Failure Worlds'!$C$26:$C$93,"K3",'04 Failure Worlds'!$D$26:$D$93,"W14")</x:f>
        <x:v>0</x:v>
      </x:c>
      <x:c r="E51" s="40" t="n">
        <x:v>0</x:v>
      </x:c>
      <x:c r="F51" s="40" t="n">
        <x:f>D51-E51</x:f>
        <x:v>0</x:v>
      </x:c>
      <x:c r="G51" s="17" t="str">
        <x:f>IF(ABS(F51)&lt;0.01,"PASS","FAIL")</x:f>
        <x:v>PASS</x:v>
      </x:c>
      <x:c r="H51" s="17" t="str">
        <x:v>No third deployable cell</x:v>
      </x:c>
      <x:c r="I51" s="30"/>
      <x:c r="J51" s="30"/>
      <x:c r="K51" s="30"/>
      <x:c r="L51" s="30"/>
    </x:row>
    <x:row r="52" ht="30" customHeight="1">
      <x:c r="C52" s="17" t="str">
        <x:v>K4 concurrent-event service</x:v>
      </x:c>
      <x:c r="D52" s="40" t="n">
        <x:f>SUMIFS('04 Failure Worlds'!$N$26:$N$93,'04 Failure Worlds'!$C$26:$C$93,"K4",'04 Failure Worlds'!$D$26:$D$93,"W14")</x:f>
        <x:v>5000</x:v>
      </x:c>
      <x:c r="E52" s="40" t="n">
        <x:v>5000</x:v>
      </x:c>
      <x:c r="F52" s="40" t="n">
        <x:f>D52-E52</x:f>
        <x:v>0</x:v>
      </x:c>
      <x:c r="G52" s="17" t="str">
        <x:f>IF(ABS(F52)&lt;0.01,"PASS","FAIL")</x:f>
        <x:v>PASS</x:v>
      </x:c>
      <x:c r="H52" s="17" t="str">
        <x:v>Third cell preserves floor</x:v>
      </x:c>
      <x:c r="I52" s="30"/>
      <x:c r="J52" s="30"/>
      <x:c r="K52" s="30"/>
      <x:c r="L52" s="30"/>
    </x:row>
    <x:row r="53" ht="30" customHeight="1">
      <x:c r="C53" s="17" t="str">
        <x:v>Universal stop issues zero</x:v>
      </x:c>
      <x:c r="D53" s="40" t="n">
        <x:f>SUMIFS('04 Failure Worlds'!$N$26:$N$93,'04 Failure Worlds'!$D$26:$D$93,"W15")</x:f>
        <x:v>0</x:v>
      </x:c>
      <x:c r="E53" s="40" t="n">
        <x:v>0</x:v>
      </x:c>
      <x:c r="F53" s="40" t="n">
        <x:f>D53-E53</x:f>
        <x:v>0</x:v>
      </x:c>
      <x:c r="G53" s="17" t="str">
        <x:f>IF(ABS(F53)&lt;0.01,"PASS","FAIL")</x:f>
        <x:v>PASS</x:v>
      </x:c>
      <x:c r="H53" s="17" t="str">
        <x:v>No architecture overrides universal hold</x:v>
      </x:c>
      <x:c r="I53" s="30"/>
      <x:c r="J53" s="30"/>
      <x:c r="K53" s="30"/>
      <x:c r="L53" s="30"/>
    </x:row>
    <x:row r="54" ht="30" customHeight="1">
      <x:c r="C54" s="17" t="str">
        <x:v>K4 minimum cut</x:v>
      </x:c>
      <x:c r="D54" s="40" t="n">
        <x:f>'02 Architectures'!$K$9</x:f>
        <x:v>3</x:v>
      </x:c>
      <x:c r="E54" s="40" t="n">
        <x:v>3</x:v>
      </x:c>
      <x:c r="F54" s="40" t="n">
        <x:f>D54-E54</x:f>
        <x:v>0</x:v>
      </x:c>
      <x:c r="G54" s="17" t="str">
        <x:f>IF(ABS(F54)&lt;0.01,"PASS","FAIL")</x:f>
        <x:v>PASS</x:v>
      </x:c>
      <x:c r="H54" s="17" t="str">
        <x:v>Three domains required to remove three cells</x:v>
      </x:c>
      <x:c r="I54" s="30"/>
      <x:c r="J54" s="30"/>
      <x:c r="K54" s="30"/>
      <x:c r="L54" s="30"/>
    </x:row>
    <x:row r="55" ht="30" customHeight="1">
      <x:c r="C55" s="17" t="str">
        <x:v>Independence sensitivity reacts</x:v>
      </x:c>
      <x:c r="D55" s="40" t="n">
        <x:f>SUM('06 Program'!$F$14:$I$16)</x:f>
        <x:v>5</x:v>
      </x:c>
      <x:c r="E55" s="40" t="n">
        <x:v>5</x:v>
      </x:c>
      <x:c r="F55" s="40" t="n">
        <x:f>D55-E55</x:f>
        <x:v>0</x:v>
      </x:c>
      <x:c r="G55" s="17" t="str">
        <x:f>IF(ABS(F55)&lt;0.01,"PASS","FAIL")</x:f>
        <x:v>PASS</x:v>
      </x:c>
      <x:c r="H55" s="17" t="str">
        <x:v>Threshold cases produce 2 + 2 + 1 qualifiers</x:v>
      </x:c>
      <x:c r="I55" s="30"/>
      <x:c r="J55" s="30"/>
      <x:c r="K55" s="30"/>
      <x:c r="L55" s="30"/>
    </x:row>
    <x:row r="56" ht="30" customHeight="1">
      <x:c r="C56" s="17" t="str">
        <x:v>Reserve sensitivity reacts</x:v>
      </x:c>
      <x:c r="D56" s="40" t="n">
        <x:f>SUM('06 Program'!$I$17:$I$19)</x:f>
        <x:v>1</x:v>
      </x:c>
      <x:c r="E56" s="40" t="n">
        <x:v>1</x:v>
      </x:c>
      <x:c r="F56" s="40" t="n">
        <x:f>D56-E56</x:f>
        <x:v>0</x:v>
      </x:c>
      <x:c r="G56" s="17" t="str">
        <x:f>IF(ABS(F56)&lt;0.01,"PASS","FAIL")</x:f>
        <x:v>PASS</x:v>
      </x:c>
      <x:c r="H56" s="17" t="str">
        <x:v>Only full reserve reaches 5,000 m³/day floor</x:v>
      </x:c>
      <x:c r="I56" s="30"/>
      <x:c r="J56" s="30"/>
      <x:c r="K56" s="30"/>
      <x:c r="L56" s="30"/>
    </x:row>
    <x:row r="57" ht="30" customHeight="1">
      <x:c r="C57" s="17" t="str">
        <x:v>Mass sensitivity reacts</x:v>
      </x:c>
      <x:c r="D57" s="40" t="n">
        <x:f>MAX('06 Program'!$I$20:$I$22)-MIN('06 Program'!$I$20:$I$22)</x:f>
        <x:v>1875</x:v>
      </x:c>
      <x:c r="E57" s="40" t="n">
        <x:v>1875</x:v>
      </x:c>
      <x:c r="F57" s="40" t="n">
        <x:f>D57-E57</x:f>
        <x:v>0</x:v>
      </x:c>
      <x:c r="G57" s="17" t="str">
        <x:f>IF(ABS(F57)&lt;0.01,"PASS","FAIL")</x:f>
        <x:v>PASS</x:v>
      </x:c>
      <x:c r="H57" s="17" t="str">
        <x:v>K4 support mass responds to factor</x:v>
      </x:c>
      <x:c r="I57" s="30"/>
      <x:c r="J57" s="30"/>
      <x:c r="K57" s="30"/>
      <x:c r="L57" s="30"/>
    </x:row>
    <x:row r="58" ht="30" customHeight="1">
      <x:c r="C58" s="17" t="str">
        <x:v>Cost sensitivity reacts</x:v>
      </x:c>
      <x:c r="D58" s="40" t="n">
        <x:f>MAX('06 Program'!$I$23:$I$25)-MIN('06 Program'!$I$23:$I$25)</x:f>
        <x:v>239.904</x:v>
      </x:c>
      <x:c r="E58" s="40" t="n">
        <x:f>'06 Program'!$M$9*0.4</x:f>
        <x:v>239.90400000000005</x:v>
      </x:c>
      <x:c r="F58" s="40" t="n">
        <x:f>D58-E58</x:f>
        <x:v>-5.684341886080802e-14</x:v>
      </x:c>
      <x:c r="G58" s="17" t="str">
        <x:f>IF(ABS(F58)&lt;0.01,"PASS","FAIL")</x:f>
        <x:v>PASS</x:v>
      </x:c>
      <x:c r="H58" s="17" t="str">
        <x:v>K4 program responds to cost factor</x:v>
      </x:c>
      <x:c r="I58" s="30"/>
      <x:c r="J58" s="30"/>
      <x:c r="K58" s="30"/>
      <x:c r="L58" s="30"/>
    </x:row>
    <x:row r="59" ht="30" customHeight="1">
      <x:c r="C59" s="17" t="str">
        <x:v>Rendering blocked</x:v>
      </x:c>
      <x:c r="D59" s="40" t="n">
        <x:f>COUNTIFS('02 Architectures'!$U$6:$U$9,"BLOCKED")</x:f>
        <x:v>4</x:v>
      </x:c>
      <x:c r="E59" s="40" t="n">
        <x:v>4</x:v>
      </x:c>
      <x:c r="F59" s="40" t="n">
        <x:f>D59-E59</x:f>
        <x:v>0</x:v>
      </x:c>
      <x:c r="G59" s="17" t="str">
        <x:f>IF(ABS(F59)&lt;0.01,"PASS","FAIL")</x:f>
        <x:v>PASS</x:v>
      </x:c>
      <x:c r="H59" s="17" t="str">
        <x:v>All architecture renderings blocked</x:v>
      </x:c>
      <x:c r="I59" s="30"/>
      <x:c r="J59" s="30"/>
      <x:c r="K59" s="30"/>
      <x:c r="L59" s="30"/>
    </x:row>
    <x:row r="60" ht="30" customHeight="1">
      <x:c r="C60" s="17" t="str">
        <x:v>No closed gates in dependency graph</x:v>
      </x:c>
      <x:c r="D60" s="40" t="n">
        <x:f>COUNTIFS('03 Dependencies'!$K$6:$K$53,"OPEN")</x:f>
        <x:v>48</x:v>
      </x:c>
      <x:c r="E60" s="40" t="n">
        <x:v>48</x:v>
      </x:c>
      <x:c r="F60" s="40" t="n">
        <x:f>D60-E60</x:f>
        <x:v>0</x:v>
      </x:c>
      <x:c r="G60" s="17" t="str">
        <x:f>IF(ABS(F60)&lt;0.01,"PASS","FAIL")</x:f>
        <x:v>PASS</x:v>
      </x:c>
      <x:c r="H60" s="17" t="str">
        <x:v>Every domain claim remains unproven</x:v>
      </x:c>
      <x:c r="I60" s="30"/>
      <x:c r="J60" s="30"/>
      <x:c r="K60" s="30"/>
      <x:c r="L60" s="30"/>
    </x:row>
    <x:row r="61" ht="30" customHeight="1">
      <x:c r="C61" s="17" t="str">
        <x:v>Model total service records</x:v>
      </x:c>
      <x:c r="D61" s="40" t="n">
        <x:f>COUNTIFS('04 Failure Worlds'!$O$26:$O$93,"PASS")</x:f>
        <x:v>37</x:v>
      </x:c>
      <x:c r="E61" s="40" t="n">
        <x:v>37</x:v>
      </x:c>
      <x:c r="F61" s="40" t="n">
        <x:f>D61-E61</x:f>
        <x:v>0</x:v>
      </x:c>
      <x:c r="G61" s="17" t="str">
        <x:f>IF(ABS(F61)&lt;0.01,"PASS","FAIL")</x:f>
        <x:v>PASS</x:v>
      </x:c>
      <x:c r="H61" s="17" t="str">
        <x:v>4 + 6 + 11 + 16 service passes</x:v>
      </x:c>
      <x:c r="I61" s="30"/>
      <x:c r="J61" s="30"/>
      <x:c r="K61" s="30"/>
      <x:c r="L61" s="30"/>
    </x:row>
    <x:row r="62" ht="30" customHeight="1">
      <x:c r="C62" s="17" t="str">
        <x:v>All universal-stop behaviors pass</x:v>
      </x:c>
      <x:c r="D62" s="40" t="n">
        <x:f>COUNTIFS('04 Failure Worlds'!$D$26:$D$93,"W15",'04 Failure Worlds'!$P$26:$P$93,"PASS")</x:f>
        <x:v>4</x:v>
      </x:c>
      <x:c r="E62" s="40" t="n">
        <x:v>4</x:v>
      </x:c>
      <x:c r="F62" s="40" t="n">
        <x:f>D62-E62</x:f>
        <x:v>0</x:v>
      </x:c>
      <x:c r="G62" s="17" t="str">
        <x:f>IF(ABS(F62)&lt;0.01,"PASS","FAIL")</x:f>
        <x:v>PASS</x:v>
      </x:c>
      <x:c r="H62" s="17" t="str">
        <x:v>Safe stop preserved across alternatives</x:v>
      </x:c>
      <x:c r="I62" s="30"/>
      <x:c r="J62" s="30"/>
      <x:c r="K62" s="30"/>
      <x:c r="L62" s="30"/>
    </x:row>
    <x:row r="63" ht="30" customHeight="1">
      <x:c r="C63" s="17" t="str">
        <x:v>Program count</x:v>
      </x:c>
      <x:c r="D63" s="40" t="n">
        <x:f>COUNTA('06 Program'!$C$6:$C$9)</x:f>
        <x:v>4</x:v>
      </x:c>
      <x:c r="E63" s="40" t="n">
        <x:v>4</x:v>
      </x:c>
      <x:c r="F63" s="40" t="n">
        <x:f>D63-E63</x:f>
        <x:v>0</x:v>
      </x:c>
      <x:c r="G63" s="17" t="str">
        <x:f>IF(ABS(F63)&lt;0.01,"PASS","FAIL")</x:f>
        <x:v>PASS</x:v>
      </x:c>
      <x:c r="H63" s="17" t="str">
        <x:v>One comparator per architecture</x:v>
      </x:c>
      <x:c r="I63" s="30"/>
      <x:c r="J63" s="30"/>
      <x:c r="K63" s="30"/>
      <x:c r="L63" s="30"/>
    </x:row>
    <x:row r="64" ht="30" customHeight="1">
      <x:c r="C64" s="17" t="str">
        <x:v>K4 program exceeds K1</x:v>
      </x:c>
      <x:c r="D64" s="40" t="n">
        <x:f>IF('06 Program'!$M$9&gt;'06 Program'!$M$6,1,0)</x:f>
        <x:v>1</x:v>
      </x:c>
      <x:c r="E64" s="40" t="n">
        <x:v>1</x:v>
      </x:c>
      <x:c r="F64" s="40" t="n">
        <x:f>D64-E64</x:f>
        <x:v>0</x:v>
      </x:c>
      <x:c r="G64" s="17" t="str">
        <x:f>IF(ABS(F64)&lt;0.01,"PASS","FAIL")</x:f>
        <x:v>PASS</x:v>
      </x:c>
      <x:c r="H64" s="17" t="str">
        <x:v>Depth is not costless</x:v>
      </x:c>
      <x:c r="I64" s="30"/>
      <x:c r="J64" s="30"/>
      <x:c r="K64" s="30"/>
      <x:c r="L64" s="30"/>
    </x:row>
    <x:row r="65" ht="30" customHeight="1">
      <x:c r="C65" s="17" t="str">
        <x:v>All strict admissions denied</x:v>
      </x:c>
      <x:c r="D65" s="40" t="n">
        <x:f>COUNTIFS('02 Architectures'!$V$6:$V$9,"DENIED")</x:f>
        <x:v>4</x:v>
      </x:c>
      <x:c r="E65" s="40" t="n">
        <x:v>4</x:v>
      </x:c>
      <x:c r="F65" s="40" t="n">
        <x:f>D65-E65</x:f>
        <x:v>0</x:v>
      </x:c>
      <x:c r="G65" s="17" t="str">
        <x:f>IF(ABS(F65)&lt;0.01,"PASS","FAIL")</x:f>
        <x:v>PASS</x:v>
      </x:c>
      <x:c r="H65" s="17" t="str">
        <x:v>Admission remains zero</x:v>
      </x:c>
      <x:c r="I65" s="30"/>
      <x:c r="J65" s="30"/>
      <x:c r="K65" s="30"/>
      <x:c r="L65" s="30"/>
    </x:row>
  </x:sheetData>
  <x:mergeCells>
    <x:mergeCell ref="C2:L2"/>
    <x:mergeCell ref="C3:L3"/>
  </x:mergeCells>
  <x:conditionalFormatting sqref="G6:G65">
    <x:cfRule type="containsText" dxfId="56" priority="1" operator="containsText" text="FAIL"/>
    <x:cfRule type="containsText" dxfId="57" priority="2" operator="containsText" text="DENIED"/>
    <x:cfRule type="containsText" dxfId="58" priority="3" operator="containsText" text="BLOCKED"/>
    <x:cfRule type="containsText" dxfId="59" priority="4" operator="containsText" text="OPEN"/>
    <x:cfRule type="containsText" dxfId="60" priority="5" operator="containsText" text="DECLARED"/>
    <x:cfRule type="containsText" dxfId="61" priority="6" operator="containsText" text="PASS"/>
    <x:cfRule type="containsText" dxfId="62" priority="7" operator="containsText" text="ADMITTED"/>
  </x:conditionalFormatting>
  <x:pageMargins left="0.7" right="0.7" top="0.75" bottom="0.75" header="0.3" footer="0.3"/>
  <x:tableParts count="1">
    <x:tablePart xmlns:r="http://schemas.openxmlformats.org/officeDocument/2006/relationships" r:id="R39f3b295c0c44fbf"/>
  </x:tableParts>
</x:worksheet>
</file>