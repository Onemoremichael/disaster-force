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a22936748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3d4b858ecb4d24"/>
    <x:sheet xmlns:r="http://schemas.openxmlformats.org/officeDocument/2006/relationships" name="Assumptions" sheetId="2" r:id="R5d089327cf5547dd"/>
    <x:sheet xmlns:r="http://schemas.openxmlformats.org/officeDocument/2006/relationships" name="Packaging Competition" sheetId="3" r:id="R2d2d19e95f4b4bb9"/>
    <x:sheet xmlns:r="http://schemas.openxmlformats.org/officeDocument/2006/relationships" name="Spatial Zones" sheetId="4" r:id="Rc0084bc000c64da6"/>
    <x:sheet xmlns:r="http://schemas.openxmlformats.org/officeDocument/2006/relationships" name="Mass and Balance" sheetId="5" r:id="R9c4a7f8441eb4e8c"/>
    <x:sheet xmlns:r="http://schemas.openxmlformats.org/officeDocument/2006/relationships" name="Mass Packets" sheetId="6" r:id="R0dad2651f5aa4817"/>
    <x:sheet xmlns:r="http://schemas.openxmlformats.org/officeDocument/2006/relationships" name="Contact and Turn" sheetId="7" r:id="R5bc4d159d85f42ef"/>
    <x:sheet xmlns:r="http://schemas.openxmlformats.org/officeDocument/2006/relationships" name="Energy and Thermal" sheetId="8" r:id="R9e5ce8dcda8c4d4c"/>
    <x:sheet xmlns:r="http://schemas.openxmlformats.org/officeDocument/2006/relationships" name="Bridge and Route" sheetId="9" r:id="R219d4a9a86e9458c"/>
    <x:sheet xmlns:r="http://schemas.openxmlformats.org/officeDocument/2006/relationships" name="Payload and Crew" sheetId="10" r:id="R2f1194fc061b48b9"/>
    <x:sheet xmlns:r="http://schemas.openxmlformats.org/officeDocument/2006/relationships" name="Casualty Worlds" sheetId="11" r:id="R4f2ff80870d443c6"/>
    <x:sheet xmlns:r="http://schemas.openxmlformats.org/officeDocument/2006/relationships" name="Receiver and Clock" sheetId="12" r:id="R2bc5762f15c54208"/>
    <x:sheet xmlns:r="http://schemas.openxmlformats.org/officeDocument/2006/relationships" name="Reset and Workforce" sheetId="13" r:id="R3d1e60548d414da3"/>
    <x:sheet xmlns:r="http://schemas.openxmlformats.org/officeDocument/2006/relationships" name="Production and Cost" sheetId="14" r:id="R96c796747bae4156"/>
    <x:sheet xmlns:r="http://schemas.openxmlformats.org/officeDocument/2006/relationships" name="Technology Program" sheetId="15" r:id="Rb52c5e8821e14f57"/>
    <x:sheet xmlns:r="http://schemas.openxmlformats.org/officeDocument/2006/relationships" name="Evidence Gates" sheetId="16" r:id="Rd03b530989ab4fc3"/>
    <x:sheet xmlns:r="http://schemas.openxmlformats.org/officeDocument/2006/relationships" name="Audit" sheetId="17" r:id="R6f2d1410b5354ba8"/>
    <x:sheet xmlns:r="http://schemas.openxmlformats.org/officeDocument/2006/relationships" name="ReadMe" sheetId="18" r:id="R38b9bce83e1c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.00"/>
    <x:numFmt numFmtId="202" formatCode="&quot;$&quot;#,##0.00000"/>
    <x:numFmt numFmtId="203" formatCode="0.0"/>
    <x:numFmt numFmtId="204" formatCode="0.00000"/>
    <x:numFmt numFmtId="205" formatCode="0.000"/>
    <x:numFmt numFmtId="206" formatCode="0.0000"/>
    <x:numFmt numFmtId="207" formatCode="&quot;$&quot;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6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2" fontId="6" fillId="4" borderId="0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200" fontId="6" fillId="4" borderId="10" xfId="0" applyNumberFormat="1" applyFont="1" applyFill="1" applyBorder="1" applyAlignment="1">
      <x:alignment vertical="center" wrapText="1"/>
    </x:xf>
    <x:xf numFmtId="201" fontId="6" fillId="4" borderId="10" xfId="0" applyNumberFormat="1" applyFont="1" applyFill="1" applyBorder="1" applyAlignment="1">
      <x:alignment vertical="center" wrapText="1"/>
    </x:xf>
    <x:xf numFmtId="202" fontId="6" fillId="4" borderId="10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202" fontId="6" fillId="4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4" fontId="1" fillId="0" borderId="12" xfId="0" applyNumberFormat="1" applyFont="1" applyFill="1" applyBorder="1" applyAlignment="1">
      <x:alignment vertical="center"/>
    </x:xf>
    <x:xf numFmtId="205" fontId="1" fillId="0" borderId="10" xfId="0" applyNumberFormat="1" applyFont="1" applyFill="1" applyBorder="1" applyAlignment="1">
      <x:alignment vertical="center"/>
    </x:xf>
    <x:xf numFmtId="205" fontId="1" fillId="0" borderId="12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206" fontId="1" fillId="0" borderId="11" xfId="0" applyNumberFormat="1" applyFont="1" applyFill="1" applyBorder="1" applyAlignment="1">
      <x:alignment vertical="center"/>
    </x:xf>
    <x:xf numFmtId="206" fontId="1" fillId="0" borderId="12" xfId="0" applyNumberFormat="1" applyFont="1" applyFill="1" applyBorder="1" applyAlignment="1">
      <x:alignment vertical="center"/>
    </x:xf>
    <x:xf numFmtId="206" fontId="1" fillId="0" borderId="13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0" borderId="10" xfId="0" applyNumberFormat="1" applyFont="1" applyFill="1" applyBorder="1" applyAlignment="1">
      <x:alignment vertical="center"/>
    </x:xf>
    <x:xf numFmtId="207" fontId="1" fillId="0" borderId="12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5" fontId="1" fillId="0" borderId="10" xfId="0" applyNumberFormat="1" applyFont="1" applyFill="1" applyBorder="1" applyAlignment="1">
      <x:alignment vertical="center" wrapText="1"/>
    </x:xf>
    <x:xf numFmtId="202" fontId="1" fillId="0" borderId="1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203" fontId="1" fillId="0" borderId="10" xfId="0" applyNumberFormat="1" applyFont="1" applyFill="1" applyBorder="1" applyAlignment="1">
      <x:alignment vertical="center" wrapText="1"/>
    </x:xf>
    <x:xf numFmtId="203" fontId="1" fillId="0" borderId="12" xfId="0" applyNumberFormat="1" applyFont="1" applyFill="1" applyBorder="1" applyAlignment="1">
      <x:alignment vertical="center" wrapText="1"/>
    </x:xf>
    <x:xf numFmtId="205" fontId="1" fillId="0" borderId="12" xfId="0" applyNumberFormat="1" applyFont="1" applyFill="1" applyBorder="1" applyAlignment="1">
      <x:alignment vertical="center" wrapText="1"/>
    </x:xf>
    <x:xf numFmtId="206" fontId="1" fillId="0" borderId="10" xfId="0" applyNumberFormat="1" applyFont="1" applyFill="1" applyBorder="1" applyAlignment="1">
      <x:alignment vertical="center" wrapText="1"/>
    </x:xf>
    <x:xf numFmtId="206" fontId="1" fillId="0" borderId="11" xfId="0" applyNumberFormat="1" applyFont="1" applyFill="1" applyBorder="1" applyAlignment="1">
      <x:alignment vertical="center" wrapText="1"/>
    </x:xf>
    <x:xf numFmtId="206" fontId="1" fillId="0" borderId="12" xfId="0" applyNumberFormat="1" applyFont="1" applyFill="1" applyBorder="1" applyAlignment="1">
      <x:alignment vertical="center" wrapText="1"/>
    </x:xf>
    <x:xf numFmtId="206" fontId="1" fillId="0" borderId="13" xfId="0" applyNumberFormat="1" applyFont="1" applyFill="1" applyBorder="1" applyAlignment="1">
      <x:alignment vertical="center" wrapText="1"/>
    </x:xf>
    <x:xf numFmtId="204" fontId="1" fillId="0" borderId="10" xfId="0" applyNumberFormat="1" applyFont="1" applyFill="1" applyBorder="1" applyAlignment="1">
      <x:alignment vertical="center" wrapText="1"/>
    </x:xf>
    <x:xf numFmtId="204" fontId="1" fillId="0" borderId="12" xfId="0" applyNumberFormat="1" applyFont="1" applyFill="1" applyBorder="1" applyAlignment="1">
      <x:alignment vertical="center" wrapText="1"/>
    </x:xf>
    <x:xf numFmtId="202" fontId="1" fillId="0" borderId="12" xfId="0" applyNumberFormat="1" applyFont="1" applyFill="1" applyBorder="1" applyAlignment="1">
      <x:alignment vertical="center" wrapText="1"/>
    </x:xf>
    <x:xf numFmtId="207" fontId="1" fillId="0" borderId="10" xfId="0" applyNumberFormat="1" applyFont="1" applyFill="1" applyBorder="1" applyAlignment="1">
      <x:alignment vertical="center" wrapText="1"/>
    </x:xf>
    <x:xf numFmtId="207" fontId="1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0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9557f46bc4e0c" /><Relationship Type="http://schemas.openxmlformats.org/officeDocument/2006/relationships/theme" Target="/xl/theme/theme1.xml" Id="Reb1b2a474cd947db" /><Relationship Type="http://schemas.openxmlformats.org/officeDocument/2006/relationships/sharedStrings" Target="/xl/sharedStrings.xml" Id="R4d7066ff56ad49b8" /><Relationship Type="http://schemas.openxmlformats.org/officeDocument/2006/relationships/worksheet" Target="/xl/worksheets/sheet1.xml" Id="R793d4b858ecb4d24" /><Relationship Type="http://schemas.openxmlformats.org/officeDocument/2006/relationships/worksheet" Target="/xl/worksheets/sheet2.xml" Id="R5d089327cf5547dd" /><Relationship Type="http://schemas.openxmlformats.org/officeDocument/2006/relationships/worksheet" Target="/xl/worksheets/sheet3.xml" Id="R2d2d19e95f4b4bb9" /><Relationship Type="http://schemas.openxmlformats.org/officeDocument/2006/relationships/worksheet" Target="/xl/worksheets/sheet4.xml" Id="Rc0084bc000c64da6" /><Relationship Type="http://schemas.openxmlformats.org/officeDocument/2006/relationships/worksheet" Target="/xl/worksheets/sheet5.xml" Id="R9c4a7f8441eb4e8c" /><Relationship Type="http://schemas.openxmlformats.org/officeDocument/2006/relationships/worksheet" Target="/xl/worksheets/sheet6.xml" Id="R0dad2651f5aa4817" /><Relationship Type="http://schemas.openxmlformats.org/officeDocument/2006/relationships/worksheet" Target="/xl/worksheets/sheet7.xml" Id="R5bc4d159d85f42ef" /><Relationship Type="http://schemas.openxmlformats.org/officeDocument/2006/relationships/worksheet" Target="/xl/worksheets/sheet8.xml" Id="R9e5ce8dcda8c4d4c" /><Relationship Type="http://schemas.openxmlformats.org/officeDocument/2006/relationships/worksheet" Target="/xl/worksheets/sheet9.xml" Id="R219d4a9a86e9458c" /><Relationship Type="http://schemas.openxmlformats.org/officeDocument/2006/relationships/worksheet" Target="/xl/worksheets/sheet10.xml" Id="R2f1194fc061b48b9" /><Relationship Type="http://schemas.openxmlformats.org/officeDocument/2006/relationships/worksheet" Target="/xl/worksheets/sheet11.xml" Id="R4f2ff80870d443c6" /><Relationship Type="http://schemas.openxmlformats.org/officeDocument/2006/relationships/worksheet" Target="/xl/worksheets/sheet12.xml" Id="R2bc5762f15c54208" /><Relationship Type="http://schemas.openxmlformats.org/officeDocument/2006/relationships/worksheet" Target="/xl/worksheets/sheet13.xml" Id="R3d1e60548d414da3" /><Relationship Type="http://schemas.openxmlformats.org/officeDocument/2006/relationships/worksheet" Target="/xl/worksheets/sheet14.xml" Id="R96c796747bae4156" /><Relationship Type="http://schemas.openxmlformats.org/officeDocument/2006/relationships/worksheet" Target="/xl/worksheets/sheet15.xml" Id="Rb52c5e8821e14f57" /><Relationship Type="http://schemas.openxmlformats.org/officeDocument/2006/relationships/worksheet" Target="/xl/worksheets/sheet16.xml" Id="Rd03b530989ab4fc3" /><Relationship Type="http://schemas.openxmlformats.org/officeDocument/2006/relationships/worksheet" Target="/xl/worksheets/sheet17.xml" Id="R6f2d1410b5354ba8" /><Relationship Type="http://schemas.openxmlformats.org/officeDocument/2006/relationships/worksheet" Target="/xl/worksheets/sheet18.xml" Id="R38b9bce83e1c4d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4" hidden="0" customWidth="1"/>
    <x:col min="3" max="3" width="29" hidden="0" customWidth="1"/>
    <x:col min="4" max="4" width="15" hidden="0" customWidth="1"/>
    <x:col min="5" max="5" width="17" hidden="0" customWidth="1"/>
    <x:col min="6" max="6" width="53" hidden="0" customWidth="1"/>
    <x:col min="7" max="7" width="3" hidden="0" customWidth="1"/>
    <x:col min="8" max="8" width="41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2">
      <x:c r="B2" s="86" t="str">
        <x:v>Pass 86 decision: split the payload spine and carry the missing bridge reserve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B3" s="87" t="str">
        <x:v>Internal geometry closes only after the carrier becomes four rigid bodies with four fire-separated energy citadels and six bridge modules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B6" s="80" t="str">
        <x:v>Decision dashboard</x:v>
      </x:c>
      <x:c r="C6" s="81" t="str">
        <x:v>Decision dashboard</x:v>
      </x:c>
      <x:c r="D6" s="81" t="str">
        <x:v>Decision dashboard</x:v>
      </x:c>
      <x:c r="E6" s="81" t="str">
        <x:v>Decision dashboard</x:v>
      </x:c>
      <x:c r="F6" s="82" t="str">
        <x:v>Decision dashboard</x:v>
      </x:c>
      <x:c r="G6" s="27"/>
      <x:c r="H6" s="80" t="str">
        <x:v>What changed and why</x:v>
      </x:c>
      <x:c r="I6" s="81" t="str">
        <x:v>What changed and why</x:v>
      </x:c>
      <x:c r="J6" s="81" t="str">
        <x:v>What changed and why</x:v>
      </x:c>
      <x:c r="K6" s="81" t="str">
        <x:v>What changed and why</x:v>
      </x:c>
      <x:c r="L6" s="81" t="str">
        <x:v>What changed and why</x:v>
      </x:c>
      <x:c r="M6" s="81" t="str">
        <x:v>What changed and why</x:v>
      </x:c>
      <x:c r="N6" s="82" t="str">
        <x:v>What changed and why</x:v>
      </x:c>
    </x:row>
    <x:row r="7">
      <x:c r="B7" s="32" t="str">
        <x:v>Finding</x:v>
      </x:c>
      <x:c r="C7" s="33" t="str">
        <x:v>Value</x:v>
      </x:c>
      <x:c r="D7" s="33" t="str">
        <x:v>Unit</x:v>
      </x:c>
      <x:c r="E7" s="33" t="str">
        <x:v>Status</x:v>
      </x:c>
      <x:c r="F7" s="33" t="str">
        <x:v>Meaning</x:v>
      </x:c>
      <x:c r="G7" s="27"/>
      <x:c r="H7" s="83" t="str">
        <x:v>1. A rigid 23 m payload raft fails the turn.</x:v>
      </x:c>
      <x:c r="I7" s="27" t="str">
        <x:v>At a 25 m radius its chord sagitta pushes the 9.5 m body beyond the 12 m route envelope. A center articulation divides the payload across two 11.5 m rigid bodies without dividing the service block.</x:v>
      </x:c>
      <x:c r="J7" s="27"/>
      <x:c r="K7" s="27"/>
      <x:c r="L7" s="27"/>
      <x:c r="M7" s="27"/>
      <x:c r="N7" s="27"/>
    </x:row>
    <x:row r="8">
      <x:c r="B8" s="34" t="str">
        <x:v>Packaging reference</x:v>
      </x:c>
      <x:c r="C8" s="34" t="str">
        <x:v>P4 mirrored quadrant citadels</x:v>
      </x:c>
      <x:c r="D8" s="34" t="str">
        <x:v>architecture</x:v>
      </x:c>
      <x:c r="E8" s="34" t="str">
        <x:v>PROVISIONAL</x:v>
      </x:c>
      <x:c r="F8" s="36" t="str">
        <x:v>sole arrangement passing all twenty hard gates</x:v>
      </x:c>
      <x:c r="G8" s="27"/>
      <x:c r="H8" s="83" t="str">
        <x:v>2. The bridge must carry bearing length.</x:v>
      </x:c>
      <x:c r="I8" s="27" t="str">
        <x:v>Five 5 m modules span 25 m only before a loss. Six must travel so that one unavailable module still leaves a 20 m clear gap plus 2.5 m bearing at each end.</x:v>
      </x:c>
      <x:c r="J8" s="27"/>
      <x:c r="K8" s="27"/>
      <x:c r="L8" s="27"/>
      <x:c r="M8" s="27"/>
      <x:c r="N8" s="27"/>
    </x:row>
    <x:row r="9">
      <x:c r="B9" s="34" t="str">
        <x:v>Rigid bodies</x:v>
      </x:c>
      <x:c r="C9" s="34" t="n">
        <x:v>4</x:v>
      </x:c>
      <x:c r="D9" s="34" t="str">
        <x:v>bodies</x:v>
      </x:c>
      <x:c r="E9" s="34" t="str">
        <x:v>CALCULATED</x:v>
      </x:c>
      <x:c r="F9" s="36" t="str">
        <x:v>two cargo halves between fore and aft energy bodies</x:v>
      </x:c>
      <x:c r="G9" s="27"/>
      <x:c r="H9" s="83" t="str">
        <x:v>3. Bridge mass joins the fixed point.</x:v>
      </x:c>
      <x:c r="I9" s="27" t="str">
        <x:v>The bridge structure scales with supported gross mass while energy scales with route mass. Their combined feedback coefficient remains below one, but tare rises to about 547 t and rated gross to about 717 t.</x:v>
      </x:c>
      <x:c r="J9" s="27"/>
      <x:c r="K9" s="27"/>
      <x:c r="L9" s="27"/>
      <x:c r="M9" s="27"/>
      <x:c r="N9" s="27"/>
    </x:row>
    <x:row r="10">
      <x:c r="B10" s="34" t="str">
        <x:v>Articulation joints</x:v>
      </x:c>
      <x:c r="C10" s="34" t="n">
        <x:v>3</x:v>
      </x:c>
      <x:c r="D10" s="34" t="str">
        <x:v>joints</x:v>
      </x:c>
      <x:c r="E10" s="34" t="str">
        <x:v>CALCULATED</x:v>
      </x:c>
      <x:c r="F10" s="36" t="str">
        <x:v>center joint prevents 23 m rigid-turn failure</x:v>
      </x:c>
      <x:c r="G10" s="27"/>
      <x:c r="H10" s="83" t="str">
        <x:v>4. Energy becomes four physical citadels.</x:v>
      </x:c>
      <x:c r="I10" s="27" t="str">
        <x:v>Each quadrant owns a tank, generator, inverter, cooler, vent, drain, bus and end-directed removal path. The per-sector bay closes with little volume reserve and no host-water cooling.</x:v>
      </x:c>
      <x:c r="J10" s="27"/>
      <x:c r="K10" s="27"/>
      <x:c r="L10" s="27"/>
      <x:c r="M10" s="27"/>
      <x:c r="N10" s="27"/>
    </x:row>
    <x:row r="11">
      <x:c r="B11" s="34" t="str">
        <x:v>Revised tare</x:v>
      </x:c>
      <x:c r="C11" s="84" t="n">
        <x:f>'Mass and Balance'!C15</x:f>
        <x:v>547.1849856300037</x:v>
      </x:c>
      <x:c r="D11" s="34" t="str">
        <x:v>t</x:v>
      </x:c>
      <x:c r="E11" s="34" t="str">
        <x:v>CALCULATED</x:v>
      </x:c>
      <x:c r="F11" s="36" t="str">
        <x:v>complete package, bridge and coupled energy</x:v>
      </x:c>
      <x:c r="G11" s="27"/>
      <x:c r="H11" s="83" t="str">
        <x:v>5. Contact grows again.</x:v>
      </x:c>
      <x:c r="I11" s="27" t="str">
        <x:v>TAP-285 keeps one-pod-out compounded pressure below 35 kPa and local dynamic pod demand below the new 85 t structural target.</x:v>
      </x:c>
      <x:c r="J11" s="27"/>
      <x:c r="K11" s="27"/>
      <x:c r="L11" s="27"/>
      <x:c r="M11" s="27"/>
      <x:c r="N11" s="27"/>
    </x:row>
    <x:row r="12">
      <x:c r="B12" s="34" t="str">
        <x:v>Revised rated gross</x:v>
      </x:c>
      <x:c r="C12" s="84" t="n">
        <x:f>'Mass and Balance'!C17</x:f>
        <x:v>717.1849856300037</x:v>
      </x:c>
      <x:c r="D12" s="34" t="str">
        <x:v>t</x:v>
      </x:c>
      <x:c r="E12" s="34" t="str">
        <x:v>CALCULATED</x:v>
      </x:c>
      <x:c r="F12" s="36" t="str">
        <x:v>Pass 85 648.45 t is superseded</x:v>
      </x:c>
      <x:c r="G12" s="27"/>
      <x:c r="H12" s="83" t="str">
        <x:v>6. Crew survival is structural.</x:v>
      </x:c>
      <x:c r="I12" s="27" t="str">
        <x:v>Six-seat and four-seat refuges sit in separate two-metre buffers. No egress route or failed-module removal path crosses an energy bay or payload zone.</x:v>
      </x:c>
      <x:c r="J12" s="27"/>
      <x:c r="K12" s="27"/>
      <x:c r="L12" s="27"/>
      <x:c r="M12" s="27"/>
      <x:c r="N12" s="27"/>
    </x:row>
    <x:row r="13">
      <x:c r="B13" s="34" t="str">
        <x:v>Revised contact</x:v>
      </x:c>
      <x:c r="C13" s="84" t="n">
        <x:f>'Contact and Turn'!C8</x:f>
        <x:v>285</x:v>
      </x:c>
      <x:c r="D13" s="34" t="str">
        <x:v>m2</x:v>
      </x:c>
      <x:c r="E13" s="34" t="str">
        <x:v>PROVISIONAL</x:v>
      </x:c>
      <x:c r="F13" s="36" t="str">
        <x:v>TAP-285 after one-pod pressure and local load closure</x:v>
      </x:c>
      <x:c r="G13" s="27"/>
      <x:c r="H13" s="83" t="str">
        <x:v>7. The mission still closes, narrowly.</x:v>
      </x:c>
      <x:c r="I13" s="27" t="str">
        <x:v>Terrain reaches absolute public service near hour 49.57 and reset at hour 166. The arithmetic survives, but representative delay and rework can readily consume both margins.</x:v>
      </x:c>
      <x:c r="J13" s="27"/>
      <x:c r="K13" s="27"/>
      <x:c r="L13" s="27"/>
      <x:c r="M13" s="27"/>
      <x:c r="N13" s="27"/>
    </x:row>
    <x:row r="14">
      <x:c r="B14" s="34" t="str">
        <x:v>Bridge modules carried</x:v>
      </x:c>
      <x:c r="C14" s="84" t="n">
        <x:v>6</x:v>
      </x:c>
      <x:c r="D14" s="34" t="str">
        <x:v>modules</x:v>
      </x:c>
      <x:c r="E14" s="34" t="str">
        <x:v>PROVISIONAL</x:v>
      </x:c>
      <x:c r="F14" s="36" t="str">
        <x:v>one loss leaves 25 m physical bridge</x:v>
      </x:c>
      <x:c r="G14" s="27"/>
      <x:c r="H14" s="83" t="str">
        <x:v>8. The physical correction changes the economy.</x:v>
      </x:c>
      <x:c r="I14" s="27" t="str">
        <x:v>The terrain program rises to about $1.582T, DCP-2 to $2.980T and the national boundary to $10.363T. A $530B technology portfolio is included within R&amp;D and proving.</x:v>
      </x:c>
      <x:c r="J14" s="27"/>
      <x:c r="K14" s="27"/>
      <x:c r="L14" s="27"/>
      <x:c r="M14" s="27"/>
      <x:c r="N14" s="27"/>
    </x:row>
    <x:row r="15">
      <x:c r="B15" s="34" t="str">
        <x:v>Onboard energy</x:v>
      </x:c>
      <x:c r="C15" s="84" t="n">
        <x:f>'Energy and Thermal'!C9</x:f>
        <x:v>667.030803518373</x:v>
      </x:c>
      <x:c r="D15" s="34" t="str">
        <x:v>MWh</x:v>
      </x:c>
      <x:c r="E15" s="34" t="str">
        <x:v>CALCULATED</x:v>
      </x:c>
      <x:c r="F15" s="36" t="str">
        <x:v>four isolated sectors</x:v>
      </x:c>
      <x:c r="G15" s="27"/>
      <x:c r="H15" s="27"/>
      <x:c r="I15" s="27"/>
      <x:c r="J15" s="27"/>
      <x:c r="K15" s="27"/>
      <x:c r="L15" s="27"/>
      <x:c r="M15" s="27"/>
      <x:c r="N15" s="27"/>
    </x:row>
    <x:row r="16">
      <x:c r="B16" s="34" t="str">
        <x:v>Maximum route power</x:v>
      </x:c>
      <x:c r="C16" s="84" t="n">
        <x:f>'Energy and Thermal'!J8</x:f>
        <x:v>24.55462025505143</x:v>
      </x:c>
      <x:c r="D16" s="34" t="str">
        <x:v>MW</x:v>
      </x:c>
      <x:c r="E16" s="34" t="str">
        <x:v>CALCULATED</x:v>
      </x:c>
      <x:c r="F16" s="36" t="str">
        <x:v>27 MW one-sector-out margin remains</x:v>
      </x:c>
      <x:c r="G16" s="27"/>
      <x:c r="H16" s="27"/>
      <x:c r="I16" s="27"/>
      <x:c r="J16" s="27"/>
      <x:c r="K16" s="27"/>
      <x:c r="L16" s="27"/>
      <x:c r="M16" s="27"/>
      <x:c r="N16" s="27"/>
    </x:row>
    <x:row r="17">
      <x:c r="B17" s="34" t="str">
        <x:v>Terrain absolute service</x:v>
      </x:c>
      <x:c r="C17" s="84" t="n">
        <x:f>'Receiver and Clock'!J18</x:f>
        <x:v>49.56944444444444</x:v>
      </x:c>
      <x:c r="D17" s="34" t="str">
        <x:v>h</x:v>
      </x:c>
      <x:c r="E17" s="34" t="str">
        <x:v>PASS</x:v>
      </x:c>
      <x:c r="F17" s="36" t="str">
        <x:v>terrain becomes slower DCP-2 path</x:v>
      </x:c>
      <x:c r="G17" s="27"/>
      <x:c r="H17" s="27"/>
      <x:c r="I17" s="27"/>
      <x:c r="J17" s="27"/>
      <x:c r="K17" s="27"/>
      <x:c r="L17" s="27"/>
      <x:c r="M17" s="27"/>
      <x:c r="N17" s="27"/>
    </x:row>
    <x:row r="18">
      <x:c r="B18" s="34" t="str">
        <x:v>Critical reset</x:v>
      </x:c>
      <x:c r="C18" s="84" t="n">
        <x:f>'Reset and Workforce'!C17</x:f>
        <x:v>166</x:v>
      </x:c>
      <x:c r="D18" s="34" t="str">
        <x:v>h</x:v>
      </x:c>
      <x:c r="E18" s="34" t="str">
        <x:v>PASS</x:v>
      </x:c>
      <x:c r="F18" s="36" t="str">
        <x:v>bridge path leaves two hours</x:v>
      </x:c>
      <x:c r="G18" s="27"/>
      <x:c r="H18" s="80" t="str">
        <x:v>Decision boundary</x:v>
      </x:c>
      <x:c r="I18" s="81" t="str">
        <x:v>Decision boundary</x:v>
      </x:c>
      <x:c r="J18" s="81" t="str">
        <x:v>Decision boundary</x:v>
      </x:c>
      <x:c r="K18" s="81" t="str">
        <x:v>Decision boundary</x:v>
      </x:c>
      <x:c r="L18" s="81" t="str">
        <x:v>Decision boundary</x:v>
      </x:c>
      <x:c r="M18" s="81" t="str">
        <x:v>Decision boundary</x:v>
      </x:c>
      <x:c r="N18" s="82" t="str">
        <x:v>Decision boundary</x:v>
      </x:c>
    </x:row>
    <x:row r="19">
      <x:c r="B19" s="34" t="str">
        <x:v>SAT architecture program</x:v>
      </x:c>
      <x:c r="C19" s="85" t="n">
        <x:f>'Production and Cost'!F17</x:f>
        <x:v>1582.0445600000003</x:v>
      </x:c>
      <x:c r="D19" s="34" t="str">
        <x:v>$B</x:v>
      </x:c>
      <x:c r="E19" s="34" t="str">
        <x:v>RECONCILED</x:v>
      </x:c>
      <x:c r="F19" s="36" t="str">
        <x:v>219 vehicles and complete industrial system</x:v>
      </x:c>
      <x:c r="G19" s="27"/>
      <x:c r="H19" s="27" t="str">
        <x:v>Authoritative at R2: P4 behavior, four-body topology, three joints, four energy zones, two refuges, six bridge modules, coupled mass method, revised dimensions, mission clock, reset, workforce and fiscal boundary.</x:v>
      </x:c>
      <x:c r="I19" s="27"/>
      <x:c r="J19" s="27"/>
      <x:c r="K19" s="27"/>
      <x:c r="L19" s="27"/>
      <x:c r="M19" s="27"/>
      <x:c r="N19" s="27"/>
    </x:row>
    <x:row r="20">
      <x:c r="B20" s="34" t="str">
        <x:v>Revised DCP-2</x:v>
      </x:c>
      <x:c r="C20" s="85" t="n">
        <x:f>'Production and Cost'!C25</x:f>
        <x:v>2979.8153500000003</x:v>
      </x:c>
      <x:c r="D20" s="34" t="str">
        <x:v>$B</x:v>
      </x:c>
      <x:c r="E20" s="34" t="str">
        <x:v>RECONCILED</x:v>
      </x:c>
      <x:c r="F20" s="36" t="str">
        <x:v>terrain correction propagated</x:v>
      </x:c>
      <x:c r="G20" s="27"/>
      <x:c r="H20" s="27" t="str">
        <x:v>Not admitted: structure, pod mechanics, bridge material, fire containment, heat rejection, egress, control, reliability, rate, cost or readiness.</x:v>
      </x:c>
      <x:c r="I20" s="27"/>
      <x:c r="J20" s="27"/>
      <x:c r="K20" s="27"/>
      <x:c r="L20" s="27"/>
      <x:c r="M20" s="27"/>
      <x:c r="N20" s="27"/>
    </x:row>
    <x:row r="21">
      <x:c r="B21" s="34" t="str">
        <x:v>Revised national boundary</x:v>
      </x:c>
      <x:c r="C21" s="85" t="n">
        <x:f>'Production and Cost'!C27</x:f>
        <x:v>10362.956900000001</x:v>
      </x:c>
      <x:c r="D21" s="34" t="str">
        <x:v>$B</x:v>
      </x:c>
      <x:c r="E21" s="34" t="str">
        <x:v>RECONCILED</x:v>
      </x:c>
      <x:c r="F21" s="36" t="str">
        <x:v>dynamic base plus revised DCP-2</x:v>
      </x:c>
      <x:c r="G21" s="27"/>
      <x:c r="H21" s="27" t="str">
        <x:v>Exterior renderings remain blocked. The atmospheric GCH-340 still lacks equal-depth energy, landing-contact, structural and casualty closure.</x:v>
      </x:c>
      <x:c r="I21" s="27"/>
      <x:c r="J21" s="27"/>
      <x:c r="K21" s="27"/>
      <x:c r="L21" s="27"/>
      <x:c r="M21" s="27"/>
      <x:c r="N21" s="27"/>
    </x:row>
    <x:row r="22">
      <x:c r="B22" s="34" t="str">
        <x:v>Evidence gates</x:v>
      </x:c>
      <x:c r="C22" s="34" t="n">
        <x:v>140</x:v>
      </x:c>
      <x:c r="D22" s="34" t="str">
        <x:v>gates</x:v>
      </x:c>
      <x:c r="E22" s="34" t="str">
        <x:v>OPEN</x:v>
      </x:c>
      <x:c r="F22" s="36" t="str">
        <x:v>strict credit remains zero</x:v>
      </x:c>
      <x:c r="G22" s="27"/>
      <x:c r="H22" s="27" t="str">
        <x:v>Next force pass: apply the same complete-system energy, distributed-contact, landing-surface, heat, mooring and casualty treatment to GCH-340, then compare both carriers on a common physical basis.</x:v>
      </x:c>
      <x:c r="I22" s="27"/>
      <x:c r="J22" s="27"/>
      <x:c r="K22" s="27"/>
      <x:c r="L22" s="27"/>
      <x:c r="M22" s="27"/>
      <x:c r="N22" s="27"/>
    </x:row>
    <x:row r="23">
      <x:c r="B23" s="40" t="str">
        <x:v>Exterior renderings</x:v>
      </x:c>
      <x:c r="C23" s="40" t="str">
        <x:v>BLOCKED</x:v>
      </x:c>
      <x:c r="D23" s="40" t="str">
        <x:v>governance</x:v>
      </x:c>
      <x:c r="E23" s="40" t="str">
        <x:v>BLOCKED</x:v>
      </x:c>
      <x:c r="F23" s="42" t="str">
        <x:v>GCH-340 remains at unequal depth and vehicle evidence is open</x:v>
      </x:c>
      <x:c r="G23" s="27"/>
      <x:c r="H23" s="27" t="str">
        <x:v>No external-site research is used. The companion report owns interpretation; this workbook owns executable coupling and gates.</x:v>
      </x:c>
      <x:c r="I23" s="27"/>
      <x:c r="J23" s="27"/>
      <x:c r="K23" s="27"/>
      <x:c r="L23" s="27"/>
      <x:c r="M23" s="27"/>
      <x:c r="N23" s="27"/>
    </x:row>
    <x:row r="24"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</x:row>
    <x:row r="25"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</x:row>
    <x:row r="26"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</x:row>
    <x:row r="27"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</x:row>
    <x:row r="28"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</x:row>
    <x:row r="29"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</x:row>
    <x:row r="30"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</x:row>
    <x:row r="31"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</x:row>
    <x:row r="32"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  <x:row r="37"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</x:row>
    <x:row r="38"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</x:row>
    <x:row r="39"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</x:row>
    <x:row r="40"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</x:row>
    <x:row r="41"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</x:row>
    <x:row r="42"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</x:row>
    <x:row r="43"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</x:row>
    <x:row r="44"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</x:row>
    <x:row r="45"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</x:row>
    <x:row r="46"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</x:row>
    <x:row r="47"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</x:row>
    <x:row r="48"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</x:row>
    <x:row r="49"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</x:row>
    <x:row r="50"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</x:row>
  </x:sheetData>
  <x:mergeCells>
    <x:mergeCell ref="B6:F6"/>
    <x:mergeCell ref="H6:N6"/>
    <x:mergeCell ref="I7:N7"/>
    <x:mergeCell ref="I8:N8"/>
    <x:mergeCell ref="I9:N9"/>
    <x:mergeCell ref="I10:N10"/>
    <x:mergeCell ref="I11:N11"/>
    <x:mergeCell ref="I12:N12"/>
    <x:mergeCell ref="I13:N13"/>
    <x:mergeCell ref="I14:N14"/>
    <x:mergeCell ref="H18:N18"/>
    <x:mergeCell ref="H19:N19"/>
    <x:mergeCell ref="H20:N20"/>
    <x:mergeCell ref="H21:N21"/>
    <x:mergeCell ref="H22:N22"/>
    <x:mergeCell ref="H23:N23"/>
  </x:mergeCells>
  <x:conditionalFormatting sqref="E8:E23">
    <x:cfRule type="containsText" dxfId="57" priority="1" operator="containsText" text="FAIL"/>
    <x:cfRule type="containsText" dxfId="58" priority="2" operator="containsText" text="PASS"/>
    <x:cfRule type="containsText" dxfId="59" priority="3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42" hidden="0" customWidth="1"/>
    <x:col min="3" max="3" width="18" hidden="0" customWidth="1"/>
    <x:col min="4" max="4" width="20" hidden="0" customWidth="1"/>
    <x:col min="5" max="5" width="32" hidden="0" customWidth="1"/>
    <x:col min="6" max="6" width="54" hidden="0" customWidth="1"/>
  </x:cols>
  <x:sheetData>
    <x:row r="2">
      <x:c r="B2" s="86" t="str">
        <x:v>SAT-170R internal-architecture assumptions</x:v>
      </x:c>
      <x:c r="C2" s="27"/>
      <x:c r="D2" s="27"/>
      <x:c r="E2" s="27"/>
      <x:c r="F2" s="27"/>
    </x:row>
    <x:row r="3">
      <x:c r="B3" s="87" t="str">
        <x:v>Repository requirements and declared first-principles hypotheses; blue values remain unmeasured</x:v>
      </x:c>
      <x:c r="C3" s="78"/>
      <x:c r="D3" s="78"/>
      <x:c r="E3" s="78"/>
      <x:c r="F3" s="78"/>
    </x:row>
    <x:row r="4">
      <x:c r="B4" s="79"/>
      <x:c r="C4" s="79"/>
      <x:c r="D4" s="79"/>
      <x:c r="E4" s="79"/>
      <x:c r="F4" s="79"/>
    </x:row>
    <x:row r="5">
      <x:c r="B5" s="27"/>
      <x:c r="C5" s="27"/>
      <x:c r="D5" s="27"/>
      <x:c r="E5" s="27"/>
      <x:c r="F5" s="27"/>
    </x:row>
    <x:row r="6">
      <x:c r="B6" s="80" t="str">
        <x:v>Vehicle, energy, contact, bridge, mission and program controls</x:v>
      </x:c>
      <x:c r="C6" s="81" t="str">
        <x:v>Vehicle, energy, contact, bridge, mission and program controls</x:v>
      </x:c>
      <x:c r="D6" s="81" t="str">
        <x:v>Vehicle, energy, contact, bridge, mission and program controls</x:v>
      </x:c>
      <x:c r="E6" s="81" t="str">
        <x:v>Vehicle, energy, contact, bridge, mission and program controls</x:v>
      </x:c>
      <x:c r="F6" s="82" t="str">
        <x:v>Vehicle, energy, contact, bridge, mission and program controls</x:v>
      </x:c>
    </x:row>
    <x:row r="7">
      <x:c r="B7" s="32" t="str">
        <x:v>Input</x:v>
      </x:c>
      <x:c r="C7" s="33" t="str">
        <x:v>Value</x:v>
      </x:c>
      <x:c r="D7" s="33" t="str">
        <x:v>Unit</x:v>
      </x:c>
      <x:c r="E7" s="33" t="str">
        <x:v>Repository origin</x:v>
      </x:c>
      <x:c r="F7" s="33" t="str">
        <x:v>Meaning</x:v>
      </x:c>
    </x:row>
    <x:row r="8">
      <x:c r="B8" s="34" t="str">
        <x:v>Rated payload</x:v>
      </x:c>
      <x:c r="C8" s="35" t="n">
        <x:v>170</x:v>
      </x:c>
      <x:c r="D8" s="34" t="str">
        <x:v>t</x:v>
      </x:c>
      <x:c r="E8" s="34" t="str">
        <x:v>Pass 82</x:v>
      </x:c>
      <x:c r="F8" s="36" t="str">
        <x:v>design payload class</x:v>
      </x:c>
    </x:row>
    <x:row r="9">
      <x:c r="B9" s="34" t="str">
        <x:v>Assigned payload</x:v>
      </x:c>
      <x:c r="C9" s="35" t="n">
        <x:v>158.75</x:v>
      </x:c>
      <x:c r="D9" s="34" t="str">
        <x:v>t</x:v>
      </x:c>
      <x:c r="E9" s="34" t="str">
        <x:v>Pass 82</x:v>
      </x:c>
      <x:c r="F9" s="36" t="str">
        <x:v>one dry block plus one wet pack</x:v>
      </x:c>
    </x:row>
    <x:row r="10">
      <x:c r="B10" s="34" t="str">
        <x:v>Pass 85 structure and spine</x:v>
      </x:c>
      <x:c r="C10" s="35" t="n">
        <x:v>72</x:v>
      </x:c>
      <x:c r="D10" s="34" t="str">
        <x:v>t</x:v>
      </x:c>
      <x:c r="E10" s="34" t="str">
        <x:v>Pass 85</x:v>
      </x:c>
      <x:c r="F10" s="36" t="str">
        <x:v>pre-packaging structural allowance</x:v>
      </x:c>
    </x:row>
    <x:row r="11">
      <x:c r="B11" s="34" t="str">
        <x:v>Cellular packaging structural addition</x:v>
      </x:c>
      <x:c r="C11" s="35" t="n">
        <x:v>15.6</x:v>
      </x:c>
      <x:c r="D11" s="34" t="str">
        <x:v>t</x:v>
      </x:c>
      <x:c r="E11" s="34" t="str">
        <x:v>Pass 86 hypothesis</x:v>
      </x:c>
      <x:c r="F11" s="36" t="str">
        <x:v>third joint, citadel cradles, bulkheads, doors and crash beams</x:v>
      </x:c>
    </x:row>
    <x:row r="12">
      <x:c r="B12" s="34" t="str">
        <x:v>Pass 85 propulsion and distribution</x:v>
      </x:c>
      <x:c r="C12" s="35" t="n">
        <x:v>62</x:v>
      </x:c>
      <x:c r="D12" s="34" t="str">
        <x:v>t</x:v>
      </x:c>
      <x:c r="E12" s="34" t="str">
        <x:v>Pass 85</x:v>
      </x:c>
      <x:c r="F12" s="36" t="str">
        <x:v>traction and electric distribution</x:v>
      </x:c>
    </x:row>
    <x:row r="13">
      <x:c r="B13" s="34" t="str">
        <x:v>Partitioned distribution addition</x:v>
      </x:c>
      <x:c r="C13" s="35" t="n">
        <x:v>6</x:v>
      </x:c>
      <x:c r="D13" s="34" t="str">
        <x:v>t</x:v>
      </x:c>
      <x:c r="E13" s="34" t="str">
        <x:v>Pass 86 hypothesis</x:v>
      </x:c>
      <x:c r="F13" s="36" t="str">
        <x:v>four isolated buses and protected duplicate routes</x:v>
      </x:c>
    </x:row>
    <x:row r="14">
      <x:c r="B14" s="34" t="str">
        <x:v>Pass 85 mobility mass</x:v>
      </x:c>
      <x:c r="C14" s="35" t="n">
        <x:v>94</x:v>
      </x:c>
      <x:c r="D14" s="34" t="str">
        <x:v>t</x:v>
      </x:c>
      <x:c r="E14" s="34" t="str">
        <x:v>Pass 85</x:v>
      </x:c>
      <x:c r="F14" s="36" t="str">
        <x:v>TAP-255 reference</x:v>
      </x:c>
    </x:row>
    <x:row r="15">
      <x:c r="B15" s="34" t="str">
        <x:v>Selected deployed contact</x:v>
      </x:c>
      <x:c r="C15" s="35" t="n">
        <x:v>285</x:v>
      </x:c>
      <x:c r="D15" s="34" t="str">
        <x:v>m2</x:v>
      </x:c>
      <x:c r="E15" s="34" t="str">
        <x:v>Pass 86 hypothesis</x:v>
      </x:c>
      <x:c r="F15" s="36" t="str">
        <x:v>TAP-285 target after package and bridge coupling</x:v>
      </x:c>
    </x:row>
    <x:row r="16">
      <x:c r="B16" s="34" t="str">
        <x:v>Pass 85 deployed contact</x:v>
      </x:c>
      <x:c r="C16" s="35" t="n">
        <x:v>255</x:v>
      </x:c>
      <x:c r="D16" s="34" t="str">
        <x:v>m2</x:v>
      </x:c>
      <x:c r="E16" s="34" t="str">
        <x:v>Pass 85</x:v>
      </x:c>
      <x:c r="F16" s="36" t="str">
        <x:v>superseded contact reference</x:v>
      </x:c>
    </x:row>
    <x:row r="17">
      <x:c r="B17" s="34" t="str">
        <x:v>Incremental contact-system density</x:v>
      </x:c>
      <x:c r="C17" s="35" t="n">
        <x:v>0.32</x:v>
      </x:c>
      <x:c r="D17" s="34" t="str">
        <x:v>t/m2</x:v>
      </x:c>
      <x:c r="E17" s="34" t="str">
        <x:v>Pass 86 hypothesis</x:v>
      </x:c>
      <x:c r="F17" s="36" t="str">
        <x:v>mechanism mass above 255 m2</x:v>
      </x:c>
    </x:row>
    <x:row r="18">
      <x:c r="B18" s="34" t="str">
        <x:v>Payload handling</x:v>
      </x:c>
      <x:c r="C18" s="35" t="n">
        <x:v>24</x:v>
      </x:c>
      <x:c r="D18" s="34" t="str">
        <x:v>t</x:v>
      </x:c>
      <x:c r="E18" s="34" t="str">
        <x:v>Pass 85</x:v>
      </x:c>
      <x:c r="F18" s="36" t="str">
        <x:v>bilateral side-shift cradles and restraint</x:v>
      </x:c>
    </x:row>
    <x:row r="19">
      <x:c r="B19" s="34" t="str">
        <x:v>Pass 85 control and crew</x:v>
      </x:c>
      <x:c r="C19" s="35" t="n">
        <x:v>14</x:v>
      </x:c>
      <x:c r="D19" s="34" t="str">
        <x:v>t</x:v>
      </x:c>
      <x:c r="E19" s="34" t="str">
        <x:v>Pass 85</x:v>
      </x:c>
      <x:c r="F19" s="36" t="str">
        <x:v>single-boundary allowance</x:v>
      </x:c>
    </x:row>
    <x:row r="20">
      <x:c r="B20" s="34" t="str">
        <x:v>Dual-refuge and life-safety addition</x:v>
      </x:c>
      <x:c r="C20" s="35" t="n">
        <x:v>6.5</x:v>
      </x:c>
      <x:c r="D20" s="34" t="str">
        <x:v>t</x:v>
      </x:c>
      <x:c r="E20" s="34" t="str">
        <x:v>Pass 86 hypothesis</x:v>
      </x:c>
      <x:c r="F20" s="36" t="str">
        <x:v>second refuge, escape, fire control and local authority records</x:v>
      </x:c>
    </x:row>
    <x:row r="21">
      <x:c r="B21" s="34" t="str">
        <x:v>Vehicle length</x:v>
      </x:c>
      <x:c r="C21" s="35" t="n">
        <x:v>46</x:v>
      </x:c>
      <x:c r="D21" s="34" t="str">
        <x:v>m</x:v>
      </x:c>
      <x:c r="E21" s="34" t="str">
        <x:v>Pass 85</x:v>
      </x:c>
      <x:c r="F21" s="36" t="str">
        <x:v>overall transit boundary</x:v>
      </x:c>
    </x:row>
    <x:row r="22">
      <x:c r="B22" s="34" t="str">
        <x:v>Transit width</x:v>
      </x:c>
      <x:c r="C22" s="35" t="n">
        <x:v>9.5</x:v>
      </x:c>
      <x:c r="D22" s="34" t="str">
        <x:v>m</x:v>
      </x:c>
      <x:c r="E22" s="34" t="str">
        <x:v>Pass 85</x:v>
      </x:c>
      <x:c r="F22" s="36" t="str">
        <x:v>body and pod envelope</x:v>
      </x:c>
    </x:row>
    <x:row r="23">
      <x:c r="B23" s="34" t="str">
        <x:v>Deployed width</x:v>
      </x:c>
      <x:c r="C23" s="35" t="n">
        <x:v>11.8</x:v>
      </x:c>
      <x:c r="D23" s="34" t="str">
        <x:v>m</x:v>
      </x:c>
      <x:c r="E23" s="34" t="str">
        <x:v>Pass 85</x:v>
      </x:c>
      <x:c r="F23" s="36" t="str">
        <x:v>soft-ground and stabilization envelope</x:v>
      </x:c>
    </x:row>
    <x:row r="24">
      <x:c r="B24" s="34" t="str">
        <x:v>Vehicle height</x:v>
      </x:c>
      <x:c r="C24" s="35" t="n">
        <x:v>9.5</x:v>
      </x:c>
      <x:c r="D24" s="34" t="str">
        <x:v>m</x:v>
      </x:c>
      <x:c r="E24" s="34" t="str">
        <x:v>Pass 85</x:v>
      </x:c>
      <x:c r="F24" s="36" t="str">
        <x:v>overall height boundary</x:v>
      </x:c>
    </x:row>
    <x:row r="25">
      <x:c r="B25" s="34" t="str">
        <x:v>Payload deck start</x:v>
      </x:c>
      <x:c r="C25" s="35" t="n">
        <x:v>11.5</x:v>
      </x:c>
      <x:c r="D25" s="34" t="str">
        <x:v>m from nose</x:v>
      </x:c>
      <x:c r="E25" s="34" t="str">
        <x:v>Pass 86 configuration</x:v>
      </x:c>
      <x:c r="F25" s="36" t="str">
        <x:v>forward edge of two-body cargo deck</x:v>
      </x:c>
    </x:row>
    <x:row r="26">
      <x:c r="B26" s="34" t="str">
        <x:v>Payload deck length</x:v>
      </x:c>
      <x:c r="C26" s="35" t="n">
        <x:v>23</x:v>
      </x:c>
      <x:c r="D26" s="34" t="str">
        <x:v>m</x:v>
      </x:c>
      <x:c r="E26" s="34" t="str">
        <x:v>Pass 85</x:v>
      </x:c>
      <x:c r="F26" s="36" t="str">
        <x:v>two 11.5 m rigid cargo bodies</x:v>
      </x:c>
    </x:row>
    <x:row r="27">
      <x:c r="B27" s="34" t="str">
        <x:v>Payload deck width</x:v>
      </x:c>
      <x:c r="C27" s="35" t="n">
        <x:v>8</x:v>
      </x:c>
      <x:c r="D27" s="34" t="str">
        <x:v>m</x:v>
      </x:c>
      <x:c r="E27" s="34" t="str">
        <x:v>Pass 85</x:v>
      </x:c>
      <x:c r="F27" s="36" t="str">
        <x:v>side-accessible deck</x:v>
      </x:c>
    </x:row>
    <x:row r="28">
      <x:c r="B28" s="34" t="str">
        <x:v>Usable payload cube</x:v>
      </x:c>
      <x:c r="C28" s="35" t="n">
        <x:v>800</x:v>
      </x:c>
      <x:c r="D28" s="34" t="str">
        <x:v>m3</x:v>
      </x:c>
      <x:c r="E28" s="34" t="str">
        <x:v>Pass 82</x:v>
      </x:c>
      <x:c r="F28" s="36" t="str">
        <x:v>maximum available cargo cube</x:v>
      </x:c>
    </x:row>
    <x:row r="29">
      <x:c r="B29" s="34" t="str">
        <x:v>Maximum assigned payload cube</x:v>
      </x:c>
      <x:c r="C29" s="35" t="n">
        <x:v>772</x:v>
      </x:c>
      <x:c r="D29" s="34" t="str">
        <x:v>m3</x:v>
      </x:c>
      <x:c r="E29" s="34" t="str">
        <x:v>Pass 82</x:v>
      </x:c>
      <x:c r="F29" s="36" t="str">
        <x:v>ATUT-B2 governing block</x:v>
      </x:c>
    </x:row>
    <x:row r="30">
      <x:c r="B30" s="34" t="str">
        <x:v>Maximum assigned deck demand</x:v>
      </x:c>
      <x:c r="C30" s="35" t="n">
        <x:v>176</x:v>
      </x:c>
      <x:c r="D30" s="34" t="str">
        <x:v>m2</x:v>
      </x:c>
      <x:c r="E30" s="34" t="str">
        <x:v>Pass 82</x:v>
      </x:c>
      <x:c r="F30" s="36" t="str">
        <x:v>ATUT-B4 governing block</x:v>
      </x:c>
    </x:row>
    <x:row r="31">
      <x:c r="B31" s="34" t="str">
        <x:v>Payload deck datum</x:v>
      </x:c>
      <x:c r="C31" s="35" t="n">
        <x:v>4</x:v>
      </x:c>
      <x:c r="D31" s="34" t="str">
        <x:v>m above ground</x:v>
      </x:c>
      <x:c r="E31" s="34" t="str">
        <x:v>Pass 86 hypothesis</x:v>
      </x:c>
      <x:c r="F31" s="36" t="str">
        <x:v>clears keel route bay and pod travel</x:v>
      </x:c>
    </x:row>
    <x:row r="32">
      <x:c r="B32" s="34" t="str">
        <x:v>Maximum payload vertical CG</x:v>
      </x:c>
      <x:c r="C32" s="35" t="n">
        <x:v>3</x:v>
      </x:c>
      <x:c r="D32" s="34" t="str">
        <x:v>m above deck</x:v>
      </x:c>
      <x:c r="E32" s="34" t="str">
        <x:v>Pass 82</x:v>
      </x:c>
      <x:c r="F32" s="36" t="str">
        <x:v>rated balance case</x:v>
      </x:c>
    </x:row>
    <x:row r="33">
      <x:c r="B33" s="34" t="str">
        <x:v>Payload longitudinal CG minimum</x:v>
      </x:c>
      <x:c r="C33" s="35" t="n">
        <x:v>10.5</x:v>
      </x:c>
      <x:c r="D33" s="34" t="str">
        <x:v>m on deck</x:v>
      </x:c>
      <x:c r="E33" s="34" t="str">
        <x:v>Pass 82</x:v>
      </x:c>
      <x:c r="F33" s="36" t="str">
        <x:v>load-plan release boundary</x:v>
      </x:c>
    </x:row>
    <x:row r="34">
      <x:c r="B34" s="34" t="str">
        <x:v>Payload longitudinal CG maximum</x:v>
      </x:c>
      <x:c r="C34" s="35" t="n">
        <x:v>11.5</x:v>
      </x:c>
      <x:c r="D34" s="34" t="str">
        <x:v>m on deck</x:v>
      </x:c>
      <x:c r="E34" s="34" t="str">
        <x:v>Pass 82</x:v>
      </x:c>
      <x:c r="F34" s="36" t="str">
        <x:v>load-plan release boundary</x:v>
      </x:c>
    </x:row>
    <x:row r="35">
      <x:c r="B35" s="34" t="str">
        <x:v>Maximum absolute payload lateral CG</x:v>
      </x:c>
      <x:c r="C35" s="35" t="n">
        <x:v>0.35</x:v>
      </x:c>
      <x:c r="D35" s="34" t="str">
        <x:v>m</x:v>
      </x:c>
      <x:c r="E35" s="34" t="str">
        <x:v>Pass 82</x:v>
      </x:c>
      <x:c r="F35" s="36" t="str">
        <x:v>load-plan release boundary</x:v>
      </x:c>
    </x:row>
    <x:row r="36">
      <x:c r="B36" s="34" t="str">
        <x:v>Route energy coefficient</x:v>
      </x:c>
      <x:c r="C36" s="35" t="n">
        <x:v>0.68</x:v>
      </x:c>
      <x:c r="D36" s="34" t="str">
        <x:v>MWh/t</x:v>
      </x:c>
      <x:c r="E36" s="34" t="str">
        <x:v>Pass 85</x:v>
      </x:c>
      <x:c r="F36" s="36" t="str">
        <x:v>800 km aggregate mass coefficient</x:v>
      </x:c>
    </x:row>
    <x:row r="37">
      <x:c r="B37" s="34" t="str">
        <x:v>Fixed route-work energy</x:v>
      </x:c>
      <x:c r="C37" s="35" t="n">
        <x:v>80</x:v>
      </x:c>
      <x:c r="D37" s="34" t="str">
        <x:v>MWh</x:v>
      </x:c>
      <x:c r="E37" s="34" t="str">
        <x:v>Pass 85</x:v>
      </x:c>
      <x:c r="F37" s="36" t="str">
        <x:v>bridging, sensing, recovery and idle</x:v>
      </x:c>
    </x:row>
    <x:row r="38">
      <x:c r="B38" s="34" t="str">
        <x:v>Energy reserve</x:v>
      </x:c>
      <x:c r="C38" s="37" t="n">
        <x:v>0.175</x:v>
      </x:c>
      <x:c r="D38" s="34" t="str">
        <x:v>fraction</x:v>
      </x:c>
      <x:c r="E38" s="34" t="str">
        <x:v>Pass 85</x:v>
      </x:c>
      <x:c r="F38" s="36" t="str">
        <x:v>deliverable energy above mission</x:v>
      </x:c>
    </x:row>
    <x:row r="39">
      <x:c r="B39" s="34" t="str">
        <x:v>Usable consumable energy</x:v>
      </x:c>
      <x:c r="C39" s="38" t="n">
        <x:v>5.04</x:v>
      </x:c>
      <x:c r="D39" s="34" t="str">
        <x:v>MWh/t</x:v>
      </x:c>
      <x:c r="E39" s="34" t="str">
        <x:v>Pass 85 E2</x:v>
      </x:c>
      <x:c r="F39" s="36" t="str">
        <x:v>electrical delivery per fuel mass</x:v>
      </x:c>
    </x:row>
    <x:row r="40">
      <x:c r="B40" s="34" t="str">
        <x:v>Fixed energy hardware</x:v>
      </x:c>
      <x:c r="C40" s="38" t="n">
        <x:v>55</x:v>
      </x:c>
      <x:c r="D40" s="34" t="str">
        <x:v>t</x:v>
      </x:c>
      <x:c r="E40" s="34" t="str">
        <x:v>Pass 85 E2</x:v>
      </x:c>
      <x:c r="F40" s="36" t="str">
        <x:v>four converters, containment and thermal hardware</x:v>
      </x:c>
    </x:row>
    <x:row r="41">
      <x:c r="B41" s="34" t="str">
        <x:v>Delivered energy density</x:v>
      </x:c>
      <x:c r="C41" s="38" t="n">
        <x:v>4.2</x:v>
      </x:c>
      <x:c r="D41" s="34" t="str">
        <x:v>MWh/m3</x:v>
      </x:c>
      <x:c r="E41" s="34" t="str">
        <x:v>Pass 85 E2</x:v>
      </x:c>
      <x:c r="F41" s="36" t="str">
        <x:v>stored-fuel boundary</x:v>
      </x:c>
    </x:row>
    <x:row r="42">
      <x:c r="B42" s="34" t="str">
        <x:v>Tank volume utilization</x:v>
      </x:c>
      <x:c r="C42" s="37" t="n">
        <x:v>0.82</x:v>
      </x:c>
      <x:c r="D42" s="34" t="str">
        <x:v>fraction</x:v>
      </x:c>
      <x:c r="E42" s="34" t="str">
        <x:v>Pass 86 hypothesis</x:v>
      </x:c>
      <x:c r="F42" s="36" t="str">
        <x:v>net liquid volume divided by tank cassette volume</x:v>
      </x:c>
    </x:row>
    <x:row r="43">
      <x:c r="B43" s="34" t="str">
        <x:v>Packed hardware density</x:v>
      </x:c>
      <x:c r="C43" s="38" t="n">
        <x:v>0.48</x:v>
      </x:c>
      <x:c r="D43" s="34" t="str">
        <x:v>t/m3</x:v>
      </x:c>
      <x:c r="E43" s="34" t="str">
        <x:v>Pass 86 hypothesis</x:v>
      </x:c>
      <x:c r="F43" s="36" t="str">
        <x:v>generator, inverter and thermal module envelope</x:v>
      </x:c>
    </x:row>
    <x:row r="44">
      <x:c r="B44" s="34" t="str">
        <x:v>Isolation and cooling clearance</x:v>
      </x:c>
      <x:c r="C44" s="38" t="n">
        <x:v>18</x:v>
      </x:c>
      <x:c r="D44" s="34" t="str">
        <x:v>m3/sector</x:v>
      </x:c>
      <x:c r="E44" s="34" t="str">
        <x:v>Pass 86 hypothesis</x:v>
      </x:c>
      <x:c r="F44" s="36" t="str">
        <x:v>fire, duct, valve and removal clearance</x:v>
      </x:c>
    </x:row>
    <x:row r="45">
      <x:c r="B45" s="34" t="str">
        <x:v>Generator electrical efficiency</x:v>
      </x:c>
      <x:c r="C45" s="37" t="n">
        <x:v>0.42</x:v>
      </x:c>
      <x:c r="D45" s="34" t="str">
        <x:v>fraction</x:v>
      </x:c>
      <x:c r="E45" s="34" t="str">
        <x:v>Pass 86 hypothesis</x:v>
      </x:c>
      <x:c r="F45" s="36" t="str">
        <x:v>shaft-electric duty point</x:v>
      </x:c>
    </x:row>
    <x:row r="46">
      <x:c r="B46" s="34" t="str">
        <x:v>Waste heat carried in exhaust</x:v>
      </x:c>
      <x:c r="C46" s="37" t="n">
        <x:v>0.68</x:v>
      </x:c>
      <x:c r="D46" s="34" t="str">
        <x:v>fraction</x:v>
      </x:c>
      <x:c r="E46" s="34" t="str">
        <x:v>Pass 86 hypothesis</x:v>
      </x:c>
      <x:c r="F46" s="36" t="str">
        <x:v>remainder enters liquid and surface rejection</x:v>
      </x:c>
    </x:row>
    <x:row r="47">
      <x:c r="B47" s="34" t="str">
        <x:v>Route radiator flux</x:v>
      </x:c>
      <x:c r="C47" s="38" t="n">
        <x:v>0.18</x:v>
      </x:c>
      <x:c r="D47" s="34" t="str">
        <x:v>MW/m2</x:v>
      </x:c>
      <x:c r="E47" s="34" t="str">
        <x:v>Pass 86 hypothesis</x:v>
      </x:c>
      <x:c r="F47" s="36" t="str">
        <x:v>ram-air condition before fouling</x:v>
      </x:c>
    </x:row>
    <x:row r="48">
      <x:c r="B48" s="34" t="str">
        <x:v>Stationary radiator flux</x:v>
      </x:c>
      <x:c r="C48" s="38" t="n">
        <x:v>0.14</x:v>
      </x:c>
      <x:c r="D48" s="34" t="str">
        <x:v>MW/m2</x:v>
      </x:c>
      <x:c r="E48" s="34" t="str">
        <x:v>Pass 86 hypothesis</x:v>
      </x:c>
      <x:c r="F48" s="36" t="str">
        <x:v>fan-driven condition before fouling</x:v>
      </x:c>
    </x:row>
    <x:row r="49">
      <x:c r="B49" s="34" t="str">
        <x:v>Smoke and fouling factor</x:v>
      </x:c>
      <x:c r="C49" s="37" t="n">
        <x:v>0.7</x:v>
      </x:c>
      <x:c r="D49" s="34" t="str">
        <x:v>fraction</x:v>
      </x:c>
      <x:c r="E49" s="34" t="str">
        <x:v>Pass 86 hypothesis</x:v>
      </x:c>
      <x:c r="F49" s="36" t="str">
        <x:v>retained rejection performance</x:v>
      </x:c>
    </x:row>
    <x:row r="50">
      <x:c r="B50" s="34" t="str">
        <x:v>Installed electric power</x:v>
      </x:c>
      <x:c r="C50" s="35" t="n">
        <x:v>36</x:v>
      </x:c>
      <x:c r="D50" s="34" t="str">
        <x:v>MW</x:v>
      </x:c>
      <x:c r="E50" s="34" t="str">
        <x:v>Pass 85</x:v>
      </x:c>
      <x:c r="F50" s="36" t="str">
        <x:v>four independent sectors</x:v>
      </x:c>
    </x:row>
    <x:row r="51">
      <x:c r="B51" s="34" t="str">
        <x:v>Energy sectors</x:v>
      </x:c>
      <x:c r="C51" s="35" t="n">
        <x:v>4</x:v>
      </x:c>
      <x:c r="D51" s="34" t="str">
        <x:v>sectors</x:v>
      </x:c>
      <x:c r="E51" s="34" t="str">
        <x:v>Pass 85</x:v>
      </x:c>
      <x:c r="F51" s="36" t="str">
        <x:v>one-sector-out requirement</x:v>
      </x:c>
    </x:row>
    <x:row r="52">
      <x:c r="B52" s="34" t="str">
        <x:v>Hotel power</x:v>
      </x:c>
      <x:c r="C52" s="35" t="n">
        <x:v>3.2</x:v>
      </x:c>
      <x:c r="D52" s="34" t="str">
        <x:v>MW</x:v>
      </x:c>
      <x:c r="E52" s="34" t="str">
        <x:v>Pass 85</x:v>
      </x:c>
      <x:c r="F52" s="36" t="str">
        <x:v>control, cooling, robotics and payload care</x:v>
      </x:c>
    </x:row>
    <x:row r="53">
      <x:c r="B53" s="34" t="str">
        <x:v>Longitudinal grade</x:v>
      </x:c>
      <x:c r="C53" s="35" t="n">
        <x:v>0.2</x:v>
      </x:c>
      <x:c r="D53" s="34" t="str">
        <x:v>fraction</x:v>
      </x:c>
      <x:c r="E53" s="34" t="str">
        <x:v>Pass 84</x:v>
      </x:c>
      <x:c r="F53" s="36" t="str">
        <x:v>mission terrain boundary</x:v>
      </x:c>
    </x:row>
    <x:row r="54">
      <x:c r="B54" s="34" t="str">
        <x:v>Soft-ground rolling coefficient</x:v>
      </x:c>
      <x:c r="C54" s="35" t="n">
        <x:v>0.08</x:v>
      </x:c>
      <x:c r="D54" s="34" t="str">
        <x:v>fraction</x:v>
      </x:c>
      <x:c r="E54" s="34" t="str">
        <x:v>Pass 84</x:v>
      </x:c>
      <x:c r="F54" s="36" t="str">
        <x:v>traction demand</x:v>
      </x:c>
    </x:row>
    <x:row r="55">
      <x:c r="B55" s="34" t="str">
        <x:v>Driveline efficiency</x:v>
      </x:c>
      <x:c r="C55" s="35" t="n">
        <x:v>0.82</x:v>
      </x:c>
      <x:c r="D55" s="34" t="str">
        <x:v>fraction</x:v>
      </x:c>
      <x:c r="E55" s="34" t="str">
        <x:v>Pass 84</x:v>
      </x:c>
      <x:c r="F55" s="36" t="str">
        <x:v>electric bus to useful contact</x:v>
      </x:c>
    </x:row>
    <x:row r="56">
      <x:c r="B56" s="34" t="str">
        <x:v>Ground-pressure limit</x:v>
      </x:c>
      <x:c r="C56" s="35" t="n">
        <x:v>35</x:v>
      </x:c>
      <x:c r="D56" s="34" t="str">
        <x:v>kPa</x:v>
      </x:c>
      <x:c r="E56" s="34" t="str">
        <x:v>Pass 84</x:v>
      </x:c>
      <x:c r="F56" s="36" t="str">
        <x:v>saturated-ground screen</x:v>
      </x:c>
    </x:row>
    <x:row r="57">
      <x:c r="B57" s="34" t="str">
        <x:v>Dynamic contact factor</x:v>
      </x:c>
      <x:c r="C57" s="35" t="n">
        <x:v>1.15</x:v>
      </x:c>
      <x:c r="D57" s="34" t="str">
        <x:v>factor</x:v>
      </x:c>
      <x:c r="E57" s="34" t="str">
        <x:v>Pass 85</x:v>
      </x:c>
      <x:c r="F57" s="36" t="str">
        <x:v>moving load amplification</x:v>
      </x:c>
    </x:row>
    <x:row r="58">
      <x:c r="B58" s="34" t="str">
        <x:v>Pod load-imbalance factor</x:v>
      </x:c>
      <x:c r="C58" s="35" t="n">
        <x:v>1.1</x:v>
      </x:c>
      <x:c r="D58" s="34" t="str">
        <x:v>factor</x:v>
      </x:c>
      <x:c r="E58" s="34" t="str">
        <x:v>Pass 85</x:v>
      </x:c>
      <x:c r="F58" s="36" t="str">
        <x:v>control and surface imbalance</x:v>
      </x:c>
    </x:row>
    <x:row r="59">
      <x:c r="B59" s="34" t="str">
        <x:v>Contact pod count</x:v>
      </x:c>
      <x:c r="C59" s="35" t="n">
        <x:v>12</x:v>
      </x:c>
      <x:c r="D59" s="34" t="str">
        <x:v>pods</x:v>
      </x:c>
      <x:c r="E59" s="34" t="str">
        <x:v>Pass 85</x:v>
      </x:c>
      <x:c r="F59" s="36" t="str">
        <x:v>six bilateral stations</x:v>
      </x:c>
    </x:row>
    <x:row r="60">
      <x:c r="B60" s="34" t="str">
        <x:v>Per-pod structural rating</x:v>
      </x:c>
      <x:c r="C60" s="35" t="n">
        <x:v>85</x:v>
      </x:c>
      <x:c r="D60" s="34" t="str">
        <x:v>t</x:v>
      </x:c>
      <x:c r="E60" s="34" t="str">
        <x:v>Pass 86 hypothesis</x:v>
      </x:c>
      <x:c r="F60" s="36" t="str">
        <x:v>local dynamic reaction limit</x:v>
      </x:c>
    </x:row>
    <x:row r="61">
      <x:c r="B61" s="34" t="str">
        <x:v>Transit contact area</x:v>
      </x:c>
      <x:c r="C61" s="35" t="n">
        <x:v>155</x:v>
      </x:c>
      <x:c r="D61" s="34" t="str">
        <x:v>m2</x:v>
      </x:c>
      <x:c r="E61" s="34" t="str">
        <x:v>Pass 85</x:v>
      </x:c>
      <x:c r="F61" s="36" t="str">
        <x:v>retracted track length</x:v>
      </x:c>
    </x:row>
    <x:row r="62">
      <x:c r="B62" s="34" t="str">
        <x:v>Maximum contact transition</x:v>
      </x:c>
      <x:c r="C62" s="35" t="n">
        <x:v>0.5</x:v>
      </x:c>
      <x:c r="D62" s="34" t="str">
        <x:v>h</x:v>
      </x:c>
      <x:c r="E62" s="34" t="str">
        <x:v>Pass 85</x:v>
      </x:c>
      <x:c r="F62" s="36" t="str">
        <x:v>deploy or retract</x:v>
      </x:c>
    </x:row>
    <x:row r="63">
      <x:c r="B63" s="34" t="str">
        <x:v>Off-road speed</x:v>
      </x:c>
      <x:c r="C63" s="35" t="n">
        <x:v>18</x:v>
      </x:c>
      <x:c r="D63" s="34" t="str">
        <x:v>km/h</x:v>
      </x:c>
      <x:c r="E63" s="34" t="str">
        <x:v>Pass 85</x:v>
      </x:c>
      <x:c r="F63" s="36" t="str">
        <x:v>weak-soil route segment</x:v>
      </x:c>
    </x:row>
    <x:row r="64">
      <x:c r="B64" s="34" t="str">
        <x:v>Broken-route speed</x:v>
      </x:c>
      <x:c r="C64" s="35" t="n">
        <x:v>32</x:v>
      </x:c>
      <x:c r="D64" s="34" t="str">
        <x:v>km/h</x:v>
      </x:c>
      <x:c r="E64" s="34" t="str">
        <x:v>Pass 85</x:v>
      </x:c>
      <x:c r="F64" s="36" t="str">
        <x:v>damaged network segment</x:v>
      </x:c>
    </x:row>
    <x:row r="65">
      <x:c r="B65" s="34" t="str">
        <x:v>Hard-route speed</x:v>
      </x:c>
      <x:c r="C65" s="35" t="n">
        <x:v>50</x:v>
      </x:c>
      <x:c r="D65" s="34" t="str">
        <x:v>km/h</x:v>
      </x:c>
      <x:c r="E65" s="34" t="str">
        <x:v>Pass 85</x:v>
      </x:c>
      <x:c r="F65" s="36" t="str">
        <x:v>degraded hard surface</x:v>
      </x:c>
    </x:row>
    <x:row r="66">
      <x:c r="B66" s="34" t="str">
        <x:v>Hard-route distance</x:v>
      </x:c>
      <x:c r="C66" s="35" t="n">
        <x:v>500</x:v>
      </x:c>
      <x:c r="D66" s="34" t="str">
        <x:v>km</x:v>
      </x:c>
      <x:c r="E66" s="34" t="str">
        <x:v>Pass 84</x:v>
      </x:c>
      <x:c r="F66" s="36" t="str">
        <x:v>mission route</x:v>
      </x:c>
    </x:row>
    <x:row r="67">
      <x:c r="B67" s="34" t="str">
        <x:v>Broken-route distance</x:v>
      </x:c>
      <x:c r="C67" s="35" t="n">
        <x:v>220</x:v>
      </x:c>
      <x:c r="D67" s="34" t="str">
        <x:v>km</x:v>
      </x:c>
      <x:c r="E67" s="34" t="str">
        <x:v>Pass 84</x:v>
      </x:c>
      <x:c r="F67" s="36" t="str">
        <x:v>mission route</x:v>
      </x:c>
    </x:row>
    <x:row r="68">
      <x:c r="B68" s="34" t="str">
        <x:v>Off-road distance</x:v>
      </x:c>
      <x:c r="C68" s="35" t="n">
        <x:v>80</x:v>
      </x:c>
      <x:c r="D68" s="34" t="str">
        <x:v>km</x:v>
      </x:c>
      <x:c r="E68" s="34" t="str">
        <x:v>Pass 84</x:v>
      </x:c>
      <x:c r="F68" s="36" t="str">
        <x:v>mission route</x:v>
      </x:c>
    </x:row>
    <x:row r="69">
      <x:c r="B69" s="34" t="str">
        <x:v>Maximum turn radius</x:v>
      </x:c>
      <x:c r="C69" s="35" t="n">
        <x:v>25</x:v>
      </x:c>
      <x:c r="D69" s="34" t="str">
        <x:v>m</x:v>
      </x:c>
      <x:c r="E69" s="34" t="str">
        <x:v>Pass 84</x:v>
      </x:c>
      <x:c r="F69" s="36" t="str">
        <x:v>must turn inside this radius</x:v>
      </x:c>
    </x:row>
    <x:row r="70">
      <x:c r="B70" s="34" t="str">
        <x:v>Maximum route envelope</x:v>
      </x:c>
      <x:c r="C70" s="35" t="n">
        <x:v>12</x:v>
      </x:c>
      <x:c r="D70" s="34" t="str">
        <x:v>m</x:v>
      </x:c>
      <x:c r="E70" s="34" t="str">
        <x:v>Pass 84</x:v>
      </x:c>
      <x:c r="F70" s="36" t="str">
        <x:v>operating width screen</x:v>
      </x:c>
    </x:row>
    <x:row r="71">
      <x:c r="B71" s="34" t="str">
        <x:v>Energy bay length</x:v>
      </x:c>
      <x:c r="C71" s="35" t="n">
        <x:v>7.8</x:v>
      </x:c>
      <x:c r="D71" s="34" t="str">
        <x:v>m</x:v>
      </x:c>
      <x:c r="E71" s="34" t="str">
        <x:v>Pass 86 configuration</x:v>
      </x:c>
      <x:c r="F71" s="36" t="str">
        <x:v>each fore or aft citadel</x:v>
      </x:c>
    </x:row>
    <x:row r="72">
      <x:c r="B72" s="34" t="str">
        <x:v>Energy bay width</x:v>
      </x:c>
      <x:c r="C72" s="35" t="n">
        <x:v>4.1</x:v>
      </x:c>
      <x:c r="D72" s="34" t="str">
        <x:v>m</x:v>
      </x:c>
      <x:c r="E72" s="34" t="str">
        <x:v>Pass 86 configuration</x:v>
      </x:c>
      <x:c r="F72" s="36" t="str">
        <x:v>one quadrant sector</x:v>
      </x:c>
    </x:row>
    <x:row r="73">
      <x:c r="B73" s="34" t="str">
        <x:v>Energy bay height</x:v>
      </x:c>
      <x:c r="C73" s="35" t="n">
        <x:v>3.2</x:v>
      </x:c>
      <x:c r="D73" s="34" t="str">
        <x:v>m</x:v>
      </x:c>
      <x:c r="E73" s="34" t="str">
        <x:v>Pass 86 configuration</x:v>
      </x:c>
      <x:c r="F73" s="36" t="str">
        <x:v>module and tank envelope</x:v>
      </x:c>
    </x:row>
    <x:row r="74">
      <x:c r="B74" s="34" t="str">
        <x:v>End crush zone</x:v>
      </x:c>
      <x:c r="C74" s="35" t="n">
        <x:v>1.7</x:v>
      </x:c>
      <x:c r="D74" s="34" t="str">
        <x:v>m</x:v>
      </x:c>
      <x:c r="E74" s="34" t="str">
        <x:v>Pass 86 configuration</x:v>
      </x:c>
      <x:c r="F74" s="36" t="str">
        <x:v>sacrificial recovery and impact structure</x:v>
      </x:c>
    </x:row>
    <x:row r="75">
      <x:c r="B75" s="34" t="str">
        <x:v>Energy-to-crew/payload buffer</x:v>
      </x:c>
      <x:c r="C75" s="35" t="n">
        <x:v>2</x:v>
      </x:c>
      <x:c r="D75" s="34" t="str">
        <x:v>m</x:v>
      </x:c>
      <x:c r="E75" s="34" t="str">
        <x:v>Pass 86 configuration</x:v>
      </x:c>
      <x:c r="F75" s="36" t="str">
        <x:v>fire boundary and egress gallery</x:v>
      </x:c>
    </x:row>
    <x:row r="76">
      <x:c r="B76" s="34" t="str">
        <x:v>Articulation joints</x:v>
      </x:c>
      <x:c r="C76" s="35" t="n">
        <x:v>3</x:v>
      </x:c>
      <x:c r="D76" s="34" t="str">
        <x:v>joints</x:v>
      </x:c>
      <x:c r="E76" s="34" t="str">
        <x:v>Pass 86 configuration</x:v>
      </x:c>
      <x:c r="F76" s="36" t="str">
        <x:v>four 11.5 m rigid bodies</x:v>
      </x:c>
    </x:row>
    <x:row r="77">
      <x:c r="B77" s="34" t="str">
        <x:v>Rigid-body length</x:v>
      </x:c>
      <x:c r="C77" s="35" t="n">
        <x:v>11.5</x:v>
      </x:c>
      <x:c r="D77" s="34" t="str">
        <x:v>m</x:v>
      </x:c>
      <x:c r="E77" s="34" t="str">
        <x:v>Pass 86 configuration</x:v>
      </x:c>
      <x:c r="F77" s="36" t="str">
        <x:v>turning and payload partition</x:v>
      </x:c>
    </x:row>
    <x:row r="78">
      <x:c r="B78" s="34" t="str">
        <x:v>Joint yaw capability</x:v>
      </x:c>
      <x:c r="C78" s="35" t="n">
        <x:v>30</x:v>
      </x:c>
      <x:c r="D78" s="34" t="str">
        <x:v>degrees</x:v>
      </x:c>
      <x:c r="E78" s="34" t="str">
        <x:v>Pass 86 hypothesis</x:v>
      </x:c>
      <x:c r="F78" s="36" t="str">
        <x:v>all-pod coordinated turn</x:v>
      </x:c>
    </x:row>
    <x:row r="79">
      <x:c r="B79" s="34" t="str">
        <x:v>Clear gap</x:v>
      </x:c>
      <x:c r="C79" s="35" t="n">
        <x:v>20</x:v>
      </x:c>
      <x:c r="D79" s="34" t="str">
        <x:v>m</x:v>
      </x:c>
      <x:c r="E79" s="34" t="str">
        <x:v>Pass 84</x:v>
      </x:c>
      <x:c r="F79" s="36" t="str">
        <x:v>route discontinuity</x:v>
      </x:c>
    </x:row>
    <x:row r="80">
      <x:c r="B80" s="34" t="str">
        <x:v>Required bearing per end</x:v>
      </x:c>
      <x:c r="C80" s="35" t="n">
        <x:v>2.5</x:v>
      </x:c>
      <x:c r="D80" s="34" t="str">
        <x:v>m</x:v>
      </x:c>
      <x:c r="E80" s="34" t="str">
        <x:v>Pass 86 correction</x:v>
      </x:c>
      <x:c r="F80" s="36" t="str">
        <x:v>bridge support beyond gap</x:v>
      </x:c>
    </x:row>
    <x:row r="81">
      <x:c r="B81" s="34" t="str">
        <x:v>Bridge module length</x:v>
      </x:c>
      <x:c r="C81" s="35" t="n">
        <x:v>5</x:v>
      </x:c>
      <x:c r="D81" s="34" t="str">
        <x:v>m</x:v>
      </x:c>
      <x:c r="E81" s="34" t="str">
        <x:v>Pass 84</x:v>
      </x:c>
      <x:c r="F81" s="36" t="str">
        <x:v>folding paired-track module</x:v>
      </x:c>
    </x:row>
    <x:row r="82">
      <x:c r="B82" s="34" t="str">
        <x:v>Bridge modules carried</x:v>
      </x:c>
      <x:c r="C82" s="35" t="n">
        <x:v>6</x:v>
      </x:c>
      <x:c r="D82" s="34" t="str">
        <x:v>modules</x:v>
      </x:c>
      <x:c r="E82" s="34" t="str">
        <x:v>Pass 86 correction</x:v>
      </x:c>
      <x:c r="F82" s="36" t="str">
        <x:v>one loss leaves five installed modules</x:v>
      </x:c>
    </x:row>
    <x:row r="83">
      <x:c r="B83" s="34" t="str">
        <x:v>Bridge module loss requirement</x:v>
      </x:c>
      <x:c r="C83" s="35" t="n">
        <x:v>1</x:v>
      </x:c>
      <x:c r="D83" s="34" t="str">
        <x:v>module</x:v>
      </x:c>
      <x:c r="E83" s="34" t="str">
        <x:v>Pass 84 intent</x:v>
      </x:c>
      <x:c r="F83" s="36" t="str">
        <x:v>must retain gap crossing</x:v>
      </x:c>
    </x:row>
    <x:row r="84">
      <x:c r="B84" s="34" t="str">
        <x:v>Conservative bridge-supported mass</x:v>
      </x:c>
      <x:c r="C84" s="35" t="n">
        <x:v>0.8</x:v>
      </x:c>
      <x:c r="D84" s="34" t="str">
        <x:v>fraction of gross</x:v>
      </x:c>
      <x:c r="E84" s="34" t="str">
        <x:v>Pass 86 hypothesis</x:v>
      </x:c>
      <x:c r="F84" s="36" t="str">
        <x:v>greater than packet-model maximum</x:v>
      </x:c>
    </x:row>
    <x:row r="85">
      <x:c r="B85" s="34" t="str">
        <x:v>Bridge crossing dynamic factor</x:v>
      </x:c>
      <x:c r="C85" s="35" t="n">
        <x:v>1.2</x:v>
      </x:c>
      <x:c r="D85" s="34" t="str">
        <x:v>factor</x:v>
      </x:c>
      <x:c r="E85" s="34" t="str">
        <x:v>Pass 86 hypothesis</x:v>
      </x:c>
      <x:c r="F85" s="36" t="str">
        <x:v>vertical and placement dynamics</x:v>
      </x:c>
    </x:row>
    <x:row r="86">
      <x:c r="B86" s="34" t="str">
        <x:v>Trackway truss depth</x:v>
      </x:c>
      <x:c r="C86" s="35" t="n">
        <x:v>2.4</x:v>
      </x:c>
      <x:c r="D86" s="34" t="str">
        <x:v>m</x:v>
      </x:c>
      <x:c r="E86" s="34" t="str">
        <x:v>Pass 86 hypothesis</x:v>
      </x:c>
      <x:c r="F86" s="36" t="str">
        <x:v>deployed structural depth</x:v>
      </x:c>
    </x:row>
    <x:row r="87">
      <x:c r="B87" s="34" t="str">
        <x:v>Allowable chord stress</x:v>
      </x:c>
      <x:c r="C87" s="35" t="n">
        <x:v>600</x:v>
      </x:c>
      <x:c r="D87" s="34" t="str">
        <x:v>MPa</x:v>
      </x:c>
      <x:c r="E87" s="34" t="str">
        <x:v>Pass 86 hypothesis</x:v>
      </x:c>
      <x:c r="F87" s="36" t="str">
        <x:v>advanced material after safety reduction</x:v>
      </x:c>
    </x:row>
    <x:row r="88">
      <x:c r="B88" s="34" t="str">
        <x:v>Structural material density</x:v>
      </x:c>
      <x:c r="C88" s="35" t="n">
        <x:v>7.85</x:v>
      </x:c>
      <x:c r="D88" s="34" t="str">
        <x:v>t/m3</x:v>
      </x:c>
      <x:c r="E88" s="34" t="str">
        <x:v>Pass 86 hypothesis</x:v>
      </x:c>
      <x:c r="F88" s="36" t="str">
        <x:v>metallic-equivalent chord density</x:v>
      </x:c>
    </x:row>
    <x:row r="89">
      <x:c r="B89" s="34" t="str">
        <x:v>Bridge structural multiplier</x:v>
      </x:c>
      <x:c r="C89" s="35" t="n">
        <x:v>3</x:v>
      </x:c>
      <x:c r="D89" s="34" t="str">
        <x:v>factor</x:v>
      </x:c>
      <x:c r="E89" s="34" t="str">
        <x:v>Pass 86 hypothesis</x:v>
      </x:c>
      <x:c r="F89" s="36" t="str">
        <x:v>webs, deck, joints, buckling and cross-bracing</x:v>
      </x:c>
    </x:row>
    <x:row r="90">
      <x:c r="B90" s="34" t="str">
        <x:v>Bridge launcher mass</x:v>
      </x:c>
      <x:c r="C90" s="35" t="n">
        <x:v>8</x:v>
      </x:c>
      <x:c r="D90" s="34" t="str">
        <x:v>t</x:v>
      </x:c>
      <x:c r="E90" s="34" t="str">
        <x:v>Pass 86 hypothesis</x:v>
      </x:c>
      <x:c r="F90" s="36" t="str">
        <x:v>paired robotic erectors</x:v>
      </x:c>
    </x:row>
    <x:row r="91">
      <x:c r="B91" s="34" t="str">
        <x:v>Mat system mass</x:v>
      </x:c>
      <x:c r="C91" s="35" t="n">
        <x:v>8</x:v>
      </x:c>
      <x:c r="D91" s="34" t="str">
        <x:v>t</x:v>
      </x:c>
      <x:c r="E91" s="34" t="str">
        <x:v>Pass 86 hypothesis</x:v>
      </x:c>
      <x:c r="F91" s="36" t="str">
        <x:v>bearing and weak-approach mats</x:v>
      </x:c>
    </x:row>
    <x:row r="92">
      <x:c r="B92" s="34" t="str">
        <x:v>Route robots and tools</x:v>
      </x:c>
      <x:c r="C92" s="35" t="n">
        <x:v>4</x:v>
      </x:c>
      <x:c r="D92" s="34" t="str">
        <x:v>t</x:v>
      </x:c>
      <x:c r="E92" s="34" t="str">
        <x:v>Pass 86 hypothesis</x:v>
      </x:c>
      <x:c r="F92" s="36" t="str">
        <x:v>survey, assembly and inspection</x:v>
      </x:c>
    </x:row>
    <x:row r="93">
      <x:c r="B93" s="34" t="str">
        <x:v>Route-kit restraint mass</x:v>
      </x:c>
      <x:c r="C93" s="35" t="n">
        <x:v>3</x:v>
      </x:c>
      <x:c r="D93" s="34" t="str">
        <x:v>t</x:v>
      </x:c>
      <x:c r="E93" s="34" t="str">
        <x:v>Pass 86 hypothesis</x:v>
      </x:c>
      <x:c r="F93" s="36" t="str">
        <x:v>keel cassettes and release hardware</x:v>
      </x:c>
    </x:row>
    <x:row r="94">
      <x:c r="B94" s="34" t="str">
        <x:v>Origin release</x:v>
      </x:c>
      <x:c r="C94" s="35" t="n">
        <x:v>8.75</x:v>
      </x:c>
      <x:c r="D94" s="34" t="str">
        <x:v>h</x:v>
      </x:c>
      <x:c r="E94" s="34" t="str">
        <x:v>Pass 86 correction</x:v>
      </x:c>
      <x:c r="F94" s="36" t="str">
        <x:v>adds citadel, joint and measured-CG release</x:v>
      </x:c>
    </x:row>
    <x:row r="95">
      <x:c r="B95" s="34" t="str">
        <x:v>Route and bridge work</x:v>
      </x:c>
      <x:c r="C95" s="35" t="n">
        <x:v>4.75</x:v>
      </x:c>
      <x:c r="D95" s="34" t="str">
        <x:v>h</x:v>
      </x:c>
      <x:c r="E95" s="34" t="str">
        <x:v>Pass 86 correction</x:v>
      </x:c>
      <x:c r="F95" s="36" t="str">
        <x:v>pod transition, survey and six-module bridge</x:v>
      </x:c>
    </x:row>
    <x:row r="96">
      <x:c r="B96" s="34" t="str">
        <x:v>Receiver build and release</x:v>
      </x:c>
      <x:c r="C96" s="35" t="n">
        <x:v>8.75</x:v>
      </x:c>
      <x:c r="D96" s="34" t="str">
        <x:v>h</x:v>
      </x:c>
      <x:c r="E96" s="34" t="str">
        <x:v>Pass 86 correction</x:v>
      </x:c>
      <x:c r="F96" s="36" t="str">
        <x:v>thermal deployment and casualty assay</x:v>
      </x:c>
    </x:row>
    <x:row r="97">
      <x:c r="B97" s="34" t="str">
        <x:v>Regional activation offset</x:v>
      </x:c>
      <x:c r="C97" s="35" t="n">
        <x:v>6</x:v>
      </x:c>
      <x:c r="D97" s="34" t="str">
        <x:v>h</x:v>
      </x:c>
      <x:c r="E97" s="34" t="str">
        <x:v>Pass 82</x:v>
      </x:c>
      <x:c r="F97" s="36" t="str">
        <x:v>absolute mission clock</x:v>
      </x:c>
    </x:row>
    <x:row r="98">
      <x:c r="B98" s="34" t="str">
        <x:v>Terrain relative ceiling</x:v>
      </x:c>
      <x:c r="C98" s="35" t="n">
        <x:v>45</x:v>
      </x:c>
      <x:c r="D98" s="34" t="str">
        <x:v>h</x:v>
      </x:c>
      <x:c r="E98" s="34" t="str">
        <x:v>Pass 84</x:v>
      </x:c>
      <x:c r="F98" s="36" t="str">
        <x:v>public-service release</x:v>
      </x:c>
    </x:row>
    <x:row r="99">
      <x:c r="B99" s="34" t="str">
        <x:v>Absolute deadline</x:v>
      </x:c>
      <x:c r="C99" s="35" t="n">
        <x:v>54</x:v>
      </x:c>
      <x:c r="D99" s="34" t="str">
        <x:v>h</x:v>
      </x:c>
      <x:c r="E99" s="34" t="str">
        <x:v>Pass 82</x:v>
      </x:c>
      <x:c r="F99" s="36" t="str">
        <x:v>second-region public service</x:v>
      </x:c>
    </x:row>
    <x:row r="100">
      <x:c r="B100" s="34" t="str">
        <x:v>Reset ceiling</x:v>
      </x:c>
      <x:c r="C100" s="35" t="n">
        <x:v>168</x:v>
      </x:c>
      <x:c r="D100" s="34" t="str">
        <x:v>h</x:v>
      </x:c>
      <x:c r="E100" s="34" t="str">
        <x:v>Pass 82</x:v>
      </x:c>
      <x:c r="F100" s="36" t="str">
        <x:v>certified reload state</x:v>
      </x:c>
    </x:row>
    <x:row r="101">
      <x:c r="B101" s="34" t="str">
        <x:v>Operations factor</x:v>
      </x:c>
      <x:c r="C101" s="35" t="n">
        <x:v>15.81</x:v>
      </x:c>
      <x:c r="D101" s="34" t="str">
        <x:v>years</x:v>
      </x:c>
      <x:c r="E101" s="34" t="str">
        <x:v>Pass 82</x:v>
      </x:c>
      <x:c r="F101" s="36" t="str">
        <x:v>25-year ramp weighting</x:v>
      </x:c>
    </x:row>
    <x:row r="102">
      <x:c r="B102" s="34" t="str">
        <x:v>Ready terrain packages</x:v>
      </x:c>
      <x:c r="C102" s="35" t="n">
        <x:v>43</x:v>
      </x:c>
      <x:c r="D102" s="34" t="str">
        <x:v>sets</x:v>
      </x:c>
      <x:c r="E102" s="34" t="str">
        <x:v>Pass 85</x:v>
      </x:c>
      <x:c r="F102" s="36" t="str">
        <x:v>national readiness boundary</x:v>
      </x:c>
    </x:row>
    <x:row r="103">
      <x:c r="B103" s="34" t="str">
        <x:v>Operational vehicles</x:v>
      </x:c>
      <x:c r="C103" s="35" t="n">
        <x:v>172</x:v>
      </x:c>
      <x:c r="D103" s="34" t="str">
        <x:v>vehicles</x:v>
      </x:c>
      <x:c r="E103" s="34" t="str">
        <x:v>Pass 85</x:v>
      </x:c>
      <x:c r="F103" s="36" t="str">
        <x:v>four per ready set</x:v>
      </x:c>
    </x:row>
    <x:row r="104">
      <x:c r="B104" s="34" t="str">
        <x:v>Reserve vehicles</x:v>
      </x:c>
      <x:c r="C104" s="35" t="n">
        <x:v>35</x:v>
      </x:c>
      <x:c r="D104" s="34" t="str">
        <x:v>vehicles</x:v>
      </x:c>
      <x:c r="E104" s="34" t="str">
        <x:v>Pass 85</x:v>
      </x:c>
      <x:c r="F104" s="36" t="str">
        <x:v>20 percent rounded reserve</x:v>
      </x:c>
    </x:row>
    <x:row r="105">
      <x:c r="B105" s="34" t="str">
        <x:v>Development and test vehicles</x:v>
      </x:c>
      <x:c r="C105" s="35" t="n">
        <x:v>12</x:v>
      </x:c>
      <x:c r="D105" s="34" t="str">
        <x:v>vehicles</x:v>
      </x:c>
      <x:c r="E105" s="34" t="str">
        <x:v>Pass 85</x:v>
      </x:c>
      <x:c r="F105" s="36" t="str">
        <x:v>instrumented non-operational fleet</x:v>
      </x:c>
    </x:row>
    <x:row r="106">
      <x:c r="B106" s="34" t="str">
        <x:v>Pass 85 SAT program</x:v>
      </x:c>
      <x:c r="C106" s="39" t="n">
        <x:v>1338.74524</x:v>
      </x:c>
      <x:c r="D106" s="34" t="str">
        <x:v>$B</x:v>
      </x:c>
      <x:c r="E106" s="34" t="str">
        <x:v>Pass 85</x:v>
      </x:c>
      <x:c r="F106" s="36" t="str">
        <x:v>superseded program comparator</x:v>
      </x:c>
    </x:row>
    <x:row r="107">
      <x:c r="B107" s="34" t="str">
        <x:v>Non-SAT DCP-2 remainder</x:v>
      </x:c>
      <x:c r="C107" s="39" t="n">
        <x:v>1226.98385</x:v>
      </x:c>
      <x:c r="D107" s="34" t="str">
        <x:v>$B</x:v>
      </x:c>
      <x:c r="E107" s="34" t="str">
        <x:v>Pass 85</x:v>
      </x:c>
      <x:c r="F107" s="36" t="str">
        <x:v>unchanged boundary</x:v>
      </x:c>
    </x:row>
    <x:row r="108">
      <x:c r="B108" s="34" t="str">
        <x:v>Federated receiver increment</x:v>
      </x:c>
      <x:c r="C108" s="39" t="n">
        <x:v>170.78694</x:v>
      </x:c>
      <x:c r="D108" s="34" t="str">
        <x:v>$B</x:v>
      </x:c>
      <x:c r="E108" s="34" t="str">
        <x:v>Pass 85</x:v>
      </x:c>
      <x:c r="F108" s="36" t="str">
        <x:v>unchanged interface increment</x:v>
      </x:c>
    </x:row>
    <x:row r="109">
      <x:c r="B109" s="34" t="str">
        <x:v>Dynamic one-region base</x:v>
      </x:c>
      <x:c r="C109" s="39" t="n">
        <x:v>7383.14155</x:v>
      </x:c>
      <x:c r="D109" s="34" t="str">
        <x:v>$B</x:v>
      </x:c>
      <x:c r="E109" s="34" t="str">
        <x:v>Pass 85</x:v>
      </x:c>
      <x:c r="F109" s="36" t="str">
        <x:v>national boundary outside DCP-2</x:v>
      </x:c>
    </x:row>
    <x:row r="110">
      <x:c r="B110" s="34" t="str">
        <x:v>Pass 85 DCP-2</x:v>
      </x:c>
      <x:c r="C110" s="39" t="n">
        <x:v>2736.51603</x:v>
      </x:c>
      <x:c r="D110" s="34" t="str">
        <x:v>$B</x:v>
      </x:c>
      <x:c r="E110" s="34" t="str">
        <x:v>Pass 85</x:v>
      </x:c>
      <x:c r="F110" s="36" t="str">
        <x:v>superseded DCP-2 total</x:v>
      </x:c>
    </x:row>
    <x:row r="111">
      <x:c r="B111" s="40" t="str">
        <x:v>Pass 85 national boundary</x:v>
      </x:c>
      <x:c r="C111" s="41" t="n">
        <x:v>10119.65758</x:v>
      </x:c>
      <x:c r="D111" s="40" t="str">
        <x:v>$B</x:v>
      </x:c>
      <x:c r="E111" s="40" t="str">
        <x:v>Pass 85</x:v>
      </x:c>
      <x:c r="F111" s="42" t="str">
        <x:v>superseded national total</x:v>
      </x:c>
    </x:row>
    <x:row r="112">
      <x:c r="B112" s="27"/>
      <x:c r="C112" s="27"/>
      <x:c r="D112" s="27"/>
      <x:c r="E112" s="27"/>
      <x:c r="F112" s="27"/>
    </x:row>
    <x:row r="113">
      <x:c r="B113" s="27"/>
      <x:c r="C113" s="27"/>
      <x:c r="D113" s="27"/>
      <x:c r="E113" s="27"/>
      <x:c r="F113" s="27"/>
    </x:row>
    <x:row r="114">
      <x:c r="B114" s="27"/>
      <x:c r="C114" s="27"/>
      <x:c r="D114" s="27"/>
      <x:c r="E114" s="27"/>
      <x:c r="F114" s="27"/>
    </x:row>
    <x:row r="115">
      <x:c r="B115" s="27"/>
      <x:c r="C115" s="27"/>
      <x:c r="D115" s="27"/>
      <x:c r="E115" s="27"/>
      <x:c r="F115" s="27"/>
    </x:row>
    <x:row r="116">
      <x:c r="B116" s="27"/>
      <x:c r="C116" s="27"/>
      <x:c r="D116" s="27"/>
      <x:c r="E116" s="27"/>
      <x:c r="F116" s="27"/>
    </x:row>
  </x:sheetData>
  <x:mergeCells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48" hidden="0" customWidth="1"/>
    <x:col min="4" max="4" width="14" hidden="0" customWidth="1"/>
    <x:col min="5" max="5" width="12" hidden="0" customWidth="1"/>
    <x:col min="6" max="6" width="18" hidden="0" customWidth="1"/>
    <x:col min="7" max="7" width="17" hidden="0" customWidth="1"/>
    <x:col min="8" max="8" width="13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7" hidden="0" customWidth="1"/>
    <x:col min="14" max="14" width="21" hidden="0" customWidth="1"/>
    <x:col min="15" max="15" width="16" hidden="0" customWidth="1"/>
    <x:col min="16" max="16" width="20" hidden="0" customWidth="1"/>
    <x:col min="17" max="17" width="18" hidden="0" customWidth="1"/>
    <x:col min="18" max="18" width="14" hidden="0" customWidth="1"/>
    <x:col min="19" max="19" width="22" hidden="0" customWidth="1"/>
    <x:col min="20" max="20" width="19" hidden="0" customWidth="1"/>
    <x:col min="21" max="21" width="18" hidden="0" customWidth="1"/>
    <x:col min="22" max="22" width="13" hidden="0" customWidth="1"/>
    <x:col min="23" max="23" width="14" hidden="0" customWidth="1"/>
    <x:col min="24" max="24" width="12" hidden="0" customWidth="1"/>
    <x:col min="25" max="25" width="16" hidden="0" customWidth="1"/>
  </x:cols>
  <x:sheetData>
    <x:row r="2">
      <x:c r="B2" s="86" t="str">
        <x:v>SAT-170R internal packaging competition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B3" s="87" t="str">
        <x:v>Four complete arrangements face twenty non-substitutable geometry, casualty and mission gates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B6" s="32" t="str">
        <x:v>ID</x:v>
      </x:c>
      <x:c r="C6" s="33" t="str">
        <x:v>Architecture</x:v>
      </x:c>
      <x:c r="D6" s="33" t="str">
        <x:v>Payload cube</x:v>
      </x:c>
      <x:c r="E6" s="33" t="str">
        <x:v>Deck</x:v>
      </x:c>
      <x:c r="F6" s="33" t="str">
        <x:v>Bilateral unload</x:v>
      </x:c>
      <x:c r="G6" s="33" t="str">
        <x:v>Split rigid deck</x:v>
      </x:c>
      <x:c r="H6" s="33" t="str">
        <x:v>25 m turn</x:v>
      </x:c>
      <x:c r="I6" s="33" t="str">
        <x:v>12 m sweep</x:v>
      </x:c>
      <x:c r="J6" s="33" t="str">
        <x:v>X balance</x:v>
      </x:c>
      <x:c r="K6" s="33" t="str">
        <x:v>Y balance</x:v>
      </x:c>
      <x:c r="L6" s="33" t="str">
        <x:v>Z stability</x:v>
      </x:c>
      <x:c r="M6" s="33" t="str">
        <x:v>Four fire zones</x:v>
      </x:c>
      <x:c r="N6" s="33" t="str">
        <x:v>One-sector containment</x:v>
      </x:c>
      <x:c r="O6" s="33" t="str">
        <x:v>Route cooling</x:v>
      </x:c>
      <x:c r="P6" s="33" t="str">
        <x:v>Stationary cooling</x:v>
      </x:c>
      <x:c r="Q6" s="33" t="str">
        <x:v>Module removal</x:v>
      </x:c>
      <x:c r="R6" s="33" t="str">
        <x:v>Pod sweep</x:v>
      </x:c>
      <x:c r="S6" s="33" t="str">
        <x:v>Bridge after one loss</x:v>
      </x:c>
      <x:c r="T6" s="33" t="str">
        <x:v>Dual crew refuge</x:v>
      </x:c>
      <x:c r="U6" s="33" t="str">
        <x:v>Two egress paths</x:v>
      </x:c>
      <x:c r="V6" s="33" t="str">
        <x:v>Hour 45</x:v>
      </x:c>
      <x:c r="W6" s="33" t="str">
        <x:v>Reset 168</x:v>
      </x:c>
      <x:c r="X6" s="33" t="str">
        <x:v>Passes</x:v>
      </x:c>
      <x:c r="Y6" s="33" t="str">
        <x:v>System result</x:v>
      </x:c>
      <x:c r="Z6" s="27"/>
    </x:row>
    <x:row r="7">
      <x:c r="B7" s="34" t="str">
        <x:v>P1</x:v>
      </x:c>
      <x:c r="C7" s="34" t="str">
        <x:v>Rigid payload raft over monolithic central plant</x:v>
      </x:c>
      <x:c r="D7" s="34" t="n">
        <x:v>1</x:v>
      </x:c>
      <x:c r="E7" s="34" t="n">
        <x:v>1</x:v>
      </x:c>
      <x:c r="F7" s="34" t="n">
        <x:v>1</x:v>
      </x:c>
      <x:c r="G7" s="34" t="n">
        <x:v>0</x:v>
      </x:c>
      <x:c r="H7" s="34" t="n">
        <x:v>0</x:v>
      </x:c>
      <x:c r="I7" s="34" t="n">
        <x:v>0</x:v>
      </x:c>
      <x:c r="J7" s="34" t="n">
        <x:v>1</x:v>
      </x:c>
      <x:c r="K7" s="34" t="n">
        <x:v>1</x:v>
      </x:c>
      <x:c r="L7" s="34" t="n">
        <x:v>1</x:v>
      </x:c>
      <x:c r="M7" s="34" t="n">
        <x:v>0</x:v>
      </x:c>
      <x:c r="N7" s="34" t="n">
        <x:v>0</x:v>
      </x:c>
      <x:c r="O7" s="34" t="n">
        <x:v>1</x:v>
      </x:c>
      <x:c r="P7" s="34" t="n">
        <x:v>0</x:v>
      </x:c>
      <x:c r="Q7" s="34" t="n">
        <x:v>0</x:v>
      </x:c>
      <x:c r="R7" s="34" t="n">
        <x:v>1</x:v>
      </x:c>
      <x:c r="S7" s="34" t="n">
        <x:v>0</x:v>
      </x:c>
      <x:c r="T7" s="34" t="n">
        <x:v>1</x:v>
      </x:c>
      <x:c r="U7" s="34" t="n">
        <x:v>1</x:v>
      </x:c>
      <x:c r="V7" s="34" t="n">
        <x:v>1</x:v>
      </x:c>
      <x:c r="W7" s="34" t="n">
        <x:v>0</x:v>
      </x:c>
      <x:c r="X7" s="34" t="n">
        <x:f>SUM(D7:W7)</x:f>
        <x:v>11</x:v>
      </x:c>
      <x:c r="Y7" s="36" t="str">
        <x:f>IF(X7=20,"PASS","FAIL")</x:f>
        <x:v>FAIL</x:v>
      </x:c>
      <x:c r="Z7" s="27"/>
    </x:row>
    <x:row r="8">
      <x:c r="B8" s="34" t="str">
        <x:v>P2</x:v>
      </x:c>
      <x:c r="C8" s="34" t="str">
        <x:v>Four-body deck with one-sided energy and service spine</x:v>
      </x:c>
      <x:c r="D8" s="34" t="n">
        <x:v>1</x:v>
      </x:c>
      <x:c r="E8" s="34" t="n">
        <x:v>1</x:v>
      </x:c>
      <x:c r="F8" s="34" t="n">
        <x:v>0</x:v>
      </x:c>
      <x:c r="G8" s="34" t="n">
        <x:v>1</x:v>
      </x:c>
      <x:c r="H8" s="34" t="n">
        <x:v>1</x:v>
      </x:c>
      <x:c r="I8" s="34" t="n">
        <x:v>1</x:v>
      </x:c>
      <x:c r="J8" s="34" t="n">
        <x:v>1</x:v>
      </x:c>
      <x:c r="K8" s="34" t="n">
        <x:v>0</x:v>
      </x:c>
      <x:c r="L8" s="34" t="n">
        <x:v>1</x:v>
      </x:c>
      <x:c r="M8" s="34" t="n">
        <x:v>0</x:v>
      </x:c>
      <x:c r="N8" s="34" t="n">
        <x:v>0</x:v>
      </x:c>
      <x:c r="O8" s="34" t="n">
        <x:v>1</x:v>
      </x:c>
      <x:c r="P8" s="34" t="n">
        <x:v>1</x:v>
      </x:c>
      <x:c r="Q8" s="34" t="n">
        <x:v>1</x:v>
      </x:c>
      <x:c r="R8" s="34" t="n">
        <x:v>1</x:v>
      </x:c>
      <x:c r="S8" s="34" t="n">
        <x:v>1</x:v>
      </x:c>
      <x:c r="T8" s="34" t="n">
        <x:v>1</x:v>
      </x:c>
      <x:c r="U8" s="34" t="n">
        <x:v>0</x:v>
      </x:c>
      <x:c r="V8" s="34" t="n">
        <x:v>1</x:v>
      </x:c>
      <x:c r="W8" s="34" t="n">
        <x:v>1</x:v>
      </x:c>
      <x:c r="X8" s="34" t="n">
        <x:f>SUM(D8:W8)</x:f>
        <x:v>15</x:v>
      </x:c>
      <x:c r="Y8" s="36" t="str">
        <x:f>IF(X8=20,"PASS","FAIL")</x:f>
        <x:v>FAIL</x:v>
      </x:c>
      <x:c r="Z8" s="27"/>
    </x:row>
    <x:row r="9">
      <x:c r="B9" s="34" t="str">
        <x:v>P3</x:v>
      </x:c>
      <x:c r="C9" s="34" t="str">
        <x:v>Fore/aft twin power blocks with five-module bridge</x:v>
      </x:c>
      <x:c r="D9" s="34" t="n">
        <x:v>1</x:v>
      </x:c>
      <x:c r="E9" s="34" t="n">
        <x:v>1</x:v>
      </x:c>
      <x:c r="F9" s="34" t="n">
        <x:v>1</x:v>
      </x:c>
      <x:c r="G9" s="34" t="n">
        <x:v>1</x:v>
      </x:c>
      <x:c r="H9" s="34" t="n">
        <x:v>1</x:v>
      </x:c>
      <x:c r="I9" s="34" t="n">
        <x:v>1</x:v>
      </x:c>
      <x:c r="J9" s="34" t="n">
        <x:v>1</x:v>
      </x:c>
      <x:c r="K9" s="34" t="n">
        <x:v>1</x:v>
      </x:c>
      <x:c r="L9" s="34" t="n">
        <x:v>1</x:v>
      </x:c>
      <x:c r="M9" s="34" t="n">
        <x:v>0</x:v>
      </x:c>
      <x:c r="N9" s="34" t="n">
        <x:v>0</x:v>
      </x:c>
      <x:c r="O9" s="34" t="n">
        <x:v>1</x:v>
      </x:c>
      <x:c r="P9" s="34" t="n">
        <x:v>1</x:v>
      </x:c>
      <x:c r="Q9" s="34" t="n">
        <x:v>1</x:v>
      </x:c>
      <x:c r="R9" s="34" t="n">
        <x:v>1</x:v>
      </x:c>
      <x:c r="S9" s="34" t="n">
        <x:v>0</x:v>
      </x:c>
      <x:c r="T9" s="34" t="n">
        <x:v>1</x:v>
      </x:c>
      <x:c r="U9" s="34" t="n">
        <x:v>1</x:v>
      </x:c>
      <x:c r="V9" s="34" t="n">
        <x:v>1</x:v>
      </x:c>
      <x:c r="W9" s="34" t="n">
        <x:v>1</x:v>
      </x:c>
      <x:c r="X9" s="34" t="n">
        <x:f>SUM(D9:W9)</x:f>
        <x:v>17</x:v>
      </x:c>
      <x:c r="Y9" s="36" t="str">
        <x:f>IF(X9=20,"PASS","FAIL")</x:f>
        <x:v>FAIL</x:v>
      </x:c>
      <x:c r="Z9" s="27"/>
    </x:row>
    <x:row r="10">
      <x:c r="B10" s="40" t="str">
        <x:v>P4</x:v>
      </x:c>
      <x:c r="C10" s="40" t="str">
        <x:v>Four-body deck with mirrored quadrant energy citadels</x:v>
      </x:c>
      <x:c r="D10" s="40" t="n">
        <x:v>1</x:v>
      </x:c>
      <x:c r="E10" s="40" t="n">
        <x:v>1</x:v>
      </x:c>
      <x:c r="F10" s="40" t="n">
        <x:v>1</x:v>
      </x:c>
      <x:c r="G10" s="40" t="n">
        <x:v>1</x:v>
      </x:c>
      <x:c r="H10" s="40" t="n">
        <x:v>1</x:v>
      </x:c>
      <x:c r="I10" s="40" t="n">
        <x:v>1</x:v>
      </x:c>
      <x:c r="J10" s="40" t="n">
        <x:v>1</x:v>
      </x:c>
      <x:c r="K10" s="40" t="n">
        <x:v>1</x:v>
      </x:c>
      <x:c r="L10" s="40" t="n">
        <x:v>1</x:v>
      </x:c>
      <x:c r="M10" s="40" t="n">
        <x:v>1</x:v>
      </x:c>
      <x:c r="N10" s="40" t="n">
        <x:v>1</x:v>
      </x:c>
      <x:c r="O10" s="40" t="n">
        <x:v>1</x:v>
      </x:c>
      <x:c r="P10" s="40" t="n">
        <x:v>1</x:v>
      </x:c>
      <x:c r="Q10" s="40" t="n">
        <x:v>1</x:v>
      </x:c>
      <x:c r="R10" s="40" t="n">
        <x:v>1</x:v>
      </x:c>
      <x:c r="S10" s="40" t="n">
        <x:v>1</x:v>
      </x:c>
      <x:c r="T10" s="40" t="n">
        <x:v>1</x:v>
      </x:c>
      <x:c r="U10" s="40" t="n">
        <x:v>1</x:v>
      </x:c>
      <x:c r="V10" s="40" t="n">
        <x:v>1</x:v>
      </x:c>
      <x:c r="W10" s="40" t="n">
        <x:v>1</x:v>
      </x:c>
      <x:c r="X10" s="40" t="n">
        <x:f>SUM(D10:W10)</x:f>
        <x:v>20</x:v>
      </x:c>
      <x:c r="Y10" s="42" t="str">
        <x:f>IF(X10=20,"PASS","FAIL")</x:f>
        <x:v>PASS</x:v>
      </x:c>
      <x:c r="Z10" s="27"/>
    </x:row>
    <x:row r="11"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B13" s="80" t="str">
        <x:v>Decision and disqualifying mechanisms</x:v>
      </x:c>
      <x:c r="C13" s="81" t="str">
        <x:v>Decision and disqualifying mechanisms</x:v>
      </x:c>
      <x:c r="D13" s="81" t="str">
        <x:v>Decision and disqualifying mechanisms</x:v>
      </x:c>
      <x:c r="E13" s="81" t="str">
        <x:v>Decision and disqualifying mechanisms</x:v>
      </x:c>
      <x:c r="F13" s="81" t="str">
        <x:v>Decision and disqualifying mechanisms</x:v>
      </x:c>
      <x:c r="G13" s="81" t="str">
        <x:v>Decision and disqualifying mechanisms</x:v>
      </x:c>
      <x:c r="H13" s="81" t="str">
        <x:v>Decision and disqualifying mechanisms</x:v>
      </x:c>
      <x:c r="I13" s="81" t="str">
        <x:v>Decision and disqualifying mechanisms</x:v>
      </x:c>
      <x:c r="J13" s="81" t="str">
        <x:v>Decision and disqualifying mechanisms</x:v>
      </x:c>
      <x:c r="K13" s="81" t="str">
        <x:v>Decision and disqualifying mechanisms</x:v>
      </x:c>
      <x:c r="L13" s="81" t="str">
        <x:v>Decision and disqualifying mechanisms</x:v>
      </x:c>
      <x:c r="M13" s="81" t="str">
        <x:v>Decision and disqualifying mechanisms</x:v>
      </x:c>
      <x:c r="N13" s="81" t="str">
        <x:v>Decision and disqualifying mechanisms</x:v>
      </x:c>
      <x:c r="O13" s="81" t="str">
        <x:v>Decision and disqualifying mechanisms</x:v>
      </x:c>
      <x:c r="P13" s="81" t="str">
        <x:v>Decision and disqualifying mechanisms</x:v>
      </x:c>
      <x:c r="Q13" s="81" t="str">
        <x:v>Decision and disqualifying mechanisms</x:v>
      </x:c>
      <x:c r="R13" s="81" t="str">
        <x:v>Decision and disqualifying mechanisms</x:v>
      </x:c>
      <x:c r="S13" s="81" t="str">
        <x:v>Decision and disqualifying mechanisms</x:v>
      </x:c>
      <x:c r="T13" s="81" t="str">
        <x:v>Decision and disqualifying mechanisms</x:v>
      </x:c>
      <x:c r="U13" s="81" t="str">
        <x:v>Decision and disqualifying mechanisms</x:v>
      </x:c>
      <x:c r="V13" s="81" t="str">
        <x:v>Decision and disqualifying mechanisms</x:v>
      </x:c>
      <x:c r="W13" s="81" t="str">
        <x:v>Decision and disqualifying mechanisms</x:v>
      </x:c>
      <x:c r="X13" s="81" t="str">
        <x:v>Decision and disqualifying mechanisms</x:v>
      </x:c>
      <x:c r="Y13" s="82" t="str">
        <x:v>Decision and disqualifying mechanisms</x:v>
      </x:c>
      <x:c r="Z13" s="27"/>
    </x:row>
    <x:row r="14">
      <x:c r="B14" s="88" t="str">
        <x:v>P1</x:v>
      </x:c>
      <x:c r="C14" s="49" t="str">
        <x:v>The 23 m rigid payload raft needs more than the 12 m turning envelope and places energy beneath the entire cargo casualty zone.</x:v>
      </x:c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27"/>
    </x:row>
    <x:row r="15">
      <x:c r="B15" s="89" t="str">
        <x:v>P2</x:v>
      </x:c>
      <x:c r="C15" s="34" t="str">
        <x:v>The service spine closes nominal volume but consumes one unload face, shifts lateral mass and lets one side casualty reach several sectors.</x:v>
      </x:c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27"/>
    </x:row>
    <x:row r="16">
      <x:c r="B16" s="89" t="str">
        <x:v>P3</x:v>
      </x:c>
      <x:c r="C16" s="34" t="str">
        <x:v>Two monolithic end plants make one end fire a two-sector event; five bridge modules leave no bearing length after one module loss.</x:v>
      </x:c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27"/>
    </x:row>
    <x:row r="17">
      <x:c r="B17" s="89" t="str">
        <x:v>P4 selected behavior</x:v>
      </x:c>
      <x:c r="C17" s="34" t="str">
        <x:v>Four 11.5 m bodies, three joints, four quadrant citadels, two cargo halves, two refuges and six bridge modules are the sole all-gate reference.</x:v>
      </x:c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27"/>
    </x:row>
    <x:row r="18">
      <x:c r="B18" s="90" t="str">
        <x:v>Admission</x:v>
      </x:c>
      <x:c r="C18" s="52" t="str">
        <x:v>P4 is a requirements configuration at R2. No geometry, material, fire boundary, control law or mission result is admitted.</x:v>
      </x:c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27"/>
    </x:row>
    <x:row r="19"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</x:sheetData>
  <x:mergeCells>
    <x:mergeCell ref="B13:Y13"/>
  </x:mergeCells>
  <x:conditionalFormatting sqref="Y7:Y10">
    <x:cfRule type="containsText" dxfId="0" priority="1" operator="containsText" text="FAIL"/>
    <x:cfRule type="containsText" dxfId="1" priority="2" operator="containsText" text="PASS"/>
    <x:cfRule type="containsText" dxfId="2" priority="3" operator="containsText" text="BLOCK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20" hidden="0" customWidth="1"/>
    <x:col min="9" max="9" width="50" hidden="0" customWidth="1"/>
    <x:col min="10" max="10" width="21" hidden="0" customWidth="1"/>
    <x:col min="11" max="11" width="16" hidden="0" customWidth="1"/>
    <x:col min="12" max="12" width="21" hidden="0" customWidth="1"/>
    <x:col min="13" max="13" width="18" hidden="0" customWidth="1"/>
    <x:col min="14" max="14" width="42" hidden="0" customWidth="1"/>
  </x:cols>
  <x:sheetData>
    <x:row r="2">
      <x:c r="B2" s="86" t="str">
        <x:v>P4 longitudinal and vertical zoning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B3" s="87" t="str">
        <x:v>The payload remains a common 23 m deck, but no rigid body or payload position crosses the center articulation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B6" s="32" t="str">
        <x:v>Zone</x:v>
      </x:c>
      <x:c r="C6" s="33" t="str">
        <x:v>Start x</x:v>
      </x:c>
      <x:c r="D6" s="33" t="str">
        <x:v>End x</x:v>
      </x:c>
      <x:c r="E6" s="33" t="str">
        <x:v>Length</x:v>
      </x:c>
      <x:c r="F6" s="33" t="str">
        <x:v>Body</x:v>
      </x:c>
      <x:c r="G6" s="33" t="str">
        <x:v>Width</x:v>
      </x:c>
      <x:c r="H6" s="33" t="str">
        <x:v>Height / datum</x:v>
      </x:c>
      <x:c r="I6" s="33" t="str">
        <x:v>Contents</x:v>
      </x:c>
      <x:c r="J6" s="33" t="str">
        <x:v>Fire domain</x:v>
      </x:c>
      <x:c r="K6" s="33" t="str">
        <x:v>Occupied</x:v>
      </x:c>
      <x:c r="L6" s="33" t="str">
        <x:v>Removal direction</x:v>
      </x:c>
      <x:c r="M6" s="33" t="str">
        <x:v>Payload positions</x:v>
      </x:c>
      <x:c r="N6" s="33" t="str">
        <x:v>Governing rule</x:v>
      </x:c>
    </x:row>
    <x:row r="7">
      <x:c r="B7" s="34" t="str">
        <x:v>Nose crush and recovery</x:v>
      </x:c>
      <x:c r="C7" s="91" t="n">
        <x:v>0</x:v>
      </x:c>
      <x:c r="D7" s="91" t="n">
        <x:v>1.7</x:v>
      </x:c>
      <x:c r="E7" s="91" t="n">
        <x:f>D7-C7</x:f>
        <x:v>1.7</x:v>
      </x:c>
      <x:c r="F7" s="34" t="str">
        <x:v>F</x:v>
      </x:c>
      <x:c r="G7" s="34" t="n">
        <x:v>9.5</x:v>
      </x:c>
      <x:c r="H7" s="34" t="n">
        <x:v>3.2</x:v>
      </x:c>
      <x:c r="I7" s="34" t="str">
        <x:v>recovery eyes, sacrificial structure and fire drain outlet</x:v>
      </x:c>
      <x:c r="J7" s="34" t="str">
        <x:v>outside E1/E2</x:v>
      </x:c>
      <x:c r="K7" s="34" t="str">
        <x:v>no</x:v>
      </x:c>
      <x:c r="L7" s="34" t="str">
        <x:v>forward</x:v>
      </x:c>
      <x:c r="M7" s="34" t="n">
        <x:v>0</x:v>
      </x:c>
      <x:c r="N7" s="36" t="str">
        <x:v>energy bays do not reach impact face</x:v>
      </x:c>
    </x:row>
    <x:row r="8">
      <x:c r="B8" s="34" t="str">
        <x:v>Forward energy citadel</x:v>
      </x:c>
      <x:c r="C8" s="91" t="n">
        <x:v>1.7</x:v>
      </x:c>
      <x:c r="D8" s="91" t="n">
        <x:v>9.5</x:v>
      </x:c>
      <x:c r="E8" s="91" t="n">
        <x:f>D8-C8</x:f>
        <x:v>7.8</x:v>
      </x:c>
      <x:c r="F8" s="34" t="str">
        <x:v>F</x:v>
      </x:c>
      <x:c r="G8" s="34" t="n">
        <x:v>9.5</x:v>
      </x:c>
      <x:c r="H8" s="34" t="n">
        <x:v>3.2</x:v>
      </x:c>
      <x:c r="I8" s="34" t="str">
        <x:v>E1 left and E2 right; tank, generator, inverter and cooler</x:v>
      </x:c>
      <x:c r="J8" s="34" t="str">
        <x:v>two independent zones</x:v>
      </x:c>
      <x:c r="K8" s="34" t="str">
        <x:v>no</x:v>
      </x:c>
      <x:c r="L8" s="34" t="str">
        <x:v>forward</x:v>
      </x:c>
      <x:c r="M8" s="34" t="n">
        <x:v>0</x:v>
      </x:c>
      <x:c r="N8" s="36" t="str">
        <x:v>no common tank, sump, bus or coolant loop</x:v>
      </x:c>
    </x:row>
    <x:row r="9">
      <x:c r="B9" s="34" t="str">
        <x:v>Forward buffer and primary refuge</x:v>
      </x:c>
      <x:c r="C9" s="91" t="n">
        <x:v>9.5</x:v>
      </x:c>
      <x:c r="D9" s="91" t="n">
        <x:v>11.5</x:v>
      </x:c>
      <x:c r="E9" s="91" t="n">
        <x:f>D9-C9</x:f>
        <x:v>2</x:v>
      </x:c>
      <x:c r="F9" s="34" t="str">
        <x:v>F</x:v>
      </x:c>
      <x:c r="G9" s="34" t="n">
        <x:v>8</x:v>
      </x:c>
      <x:c r="H9" s="34" t="n">
        <x:v>2.7</x:v>
      </x:c>
      <x:c r="I9" s="34" t="str">
        <x:v>two-hour barriers, 6-seat refuge and twin side exits</x:v>
      </x:c>
      <x:c r="J9" s="34" t="str">
        <x:v>crew refuge F</x:v>
      </x:c>
      <x:c r="K9" s="34" t="str">
        <x:v>yes</x:v>
      </x:c>
      <x:c r="L9" s="34" t="str">
        <x:v>both sides</x:v>
      </x:c>
      <x:c r="M9" s="34" t="n">
        <x:v>0</x:v>
      </x:c>
      <x:c r="N9" s="36" t="str">
        <x:v>no egress crosses an energy bay</x:v>
      </x:c>
    </x:row>
    <x:row r="10">
      <x:c r="B10" s="34" t="str">
        <x:v>Cargo body A</x:v>
      </x:c>
      <x:c r="C10" s="91" t="n">
        <x:v>11.5</x:v>
      </x:c>
      <x:c r="D10" s="91" t="n">
        <x:v>23</x:v>
      </x:c>
      <x:c r="E10" s="91" t="n">
        <x:f>D10-C10</x:f>
        <x:v>11.5</x:v>
      </x:c>
      <x:c r="F10" s="34" t="str">
        <x:v>C1</x:v>
      </x:c>
      <x:c r="G10" s="34" t="n">
        <x:v>8</x:v>
      </x:c>
      <x:c r="H10" s="34" t="n">
        <x:v>4.35</x:v>
      </x:c>
      <x:c r="I10" s="34" t="str">
        <x:v>four dry positions, wet well, handling and keel bay A</x:v>
      </x:c>
      <x:c r="J10" s="34" t="str">
        <x:v>payload A</x:v>
      </x:c>
      <x:c r="K10" s="34" t="str">
        <x:v>service access only</x:v>
      </x:c>
      <x:c r="L10" s="34" t="str">
        <x:v>both sides</x:v>
      </x:c>
      <x:c r="M10" s="34" t="n">
        <x:v>4</x:v>
      </x:c>
      <x:c r="N10" s="36" t="str">
        <x:v>rigid half-deck ends at center joint</x:v>
      </x:c>
    </x:row>
    <x:row r="11">
      <x:c r="B11" s="34" t="str">
        <x:v>Cargo body B</x:v>
      </x:c>
      <x:c r="C11" s="91" t="n">
        <x:v>23</x:v>
      </x:c>
      <x:c r="D11" s="91" t="n">
        <x:v>34.5</x:v>
      </x:c>
      <x:c r="E11" s="91" t="n">
        <x:f>D11-C11</x:f>
        <x:v>11.5</x:v>
      </x:c>
      <x:c r="F11" s="34" t="str">
        <x:v>C2</x:v>
      </x:c>
      <x:c r="G11" s="34" t="n">
        <x:v>8</x:v>
      </x:c>
      <x:c r="H11" s="34" t="n">
        <x:v>4.35</x:v>
      </x:c>
      <x:c r="I11" s="34" t="str">
        <x:v>four dry positions, handling and keel bay B</x:v>
      </x:c>
      <x:c r="J11" s="34" t="str">
        <x:v>payload B</x:v>
      </x:c>
      <x:c r="K11" s="34" t="str">
        <x:v>service access only</x:v>
      </x:c>
      <x:c r="L11" s="34" t="str">
        <x:v>both sides</x:v>
      </x:c>
      <x:c r="M11" s="34" t="n">
        <x:v>4</x:v>
      </x:c>
      <x:c r="N11" s="36" t="str">
        <x:v>rigid half-deck begins after center joint</x:v>
      </x:c>
    </x:row>
    <x:row r="12">
      <x:c r="B12" s="34" t="str">
        <x:v>Aft buffer and recovery refuge</x:v>
      </x:c>
      <x:c r="C12" s="91" t="n">
        <x:v>34.5</x:v>
      </x:c>
      <x:c r="D12" s="91" t="n">
        <x:v>36.5</x:v>
      </x:c>
      <x:c r="E12" s="91" t="n">
        <x:f>D12-C12</x:f>
        <x:v>2</x:v>
      </x:c>
      <x:c r="F12" s="34" t="str">
        <x:v>A</x:v>
      </x:c>
      <x:c r="G12" s="34" t="n">
        <x:v>8</x:v>
      </x:c>
      <x:c r="H12" s="34" t="n">
        <x:v>2.7</x:v>
      </x:c>
      <x:c r="I12" s="34" t="str">
        <x:v>two-hour barriers, 4-seat refuge and twin side exits</x:v>
      </x:c>
      <x:c r="J12" s="34" t="str">
        <x:v>crew refuge A</x:v>
      </x:c>
      <x:c r="K12" s="34" t="str">
        <x:v>yes</x:v>
      </x:c>
      <x:c r="L12" s="34" t="str">
        <x:v>both sides</x:v>
      </x:c>
      <x:c r="M12" s="34" t="n">
        <x:v>0</x:v>
      </x:c>
      <x:c r="N12" s="36" t="str">
        <x:v>independent control and survival power</x:v>
      </x:c>
    </x:row>
    <x:row r="13">
      <x:c r="B13" s="34" t="str">
        <x:v>Aft energy citadel</x:v>
      </x:c>
      <x:c r="C13" s="91" t="n">
        <x:v>36.5</x:v>
      </x:c>
      <x:c r="D13" s="91" t="n">
        <x:v>44.3</x:v>
      </x:c>
      <x:c r="E13" s="91" t="n">
        <x:f>D13-C13</x:f>
        <x:v>7.799999999999997</x:v>
      </x:c>
      <x:c r="F13" s="34" t="str">
        <x:v>A</x:v>
      </x:c>
      <x:c r="G13" s="34" t="n">
        <x:v>9.5</x:v>
      </x:c>
      <x:c r="H13" s="34" t="n">
        <x:v>3.2</x:v>
      </x:c>
      <x:c r="I13" s="34" t="str">
        <x:v>E3 left and E4 right; tank, generator, inverter and cooler</x:v>
      </x:c>
      <x:c r="J13" s="34" t="str">
        <x:v>two independent zones</x:v>
      </x:c>
      <x:c r="K13" s="34" t="str">
        <x:v>no</x:v>
      </x:c>
      <x:c r="L13" s="34" t="str">
        <x:v>aft</x:v>
      </x:c>
      <x:c r="M13" s="34" t="n">
        <x:v>0</x:v>
      </x:c>
      <x:c r="N13" s="36" t="str">
        <x:v>mirror of forward plant with separate ancestry lot</x:v>
      </x:c>
    </x:row>
    <x:row r="14">
      <x:c r="B14" s="40" t="str">
        <x:v>Tail crush and recovery</x:v>
      </x:c>
      <x:c r="C14" s="92" t="n">
        <x:v>44.3</x:v>
      </x:c>
      <x:c r="D14" s="92" t="n">
        <x:v>46</x:v>
      </x:c>
      <x:c r="E14" s="92" t="n">
        <x:f>D14-C14</x:f>
        <x:v>1.7000000000000028</x:v>
      </x:c>
      <x:c r="F14" s="40" t="str">
        <x:v>A</x:v>
      </x:c>
      <x:c r="G14" s="40" t="n">
        <x:v>9.5</x:v>
      </x:c>
      <x:c r="H14" s="40" t="n">
        <x:v>3.2</x:v>
      </x:c>
      <x:c r="I14" s="40" t="str">
        <x:v>recovery eyes, sacrificial structure and fire drain outlet</x:v>
      </x:c>
      <x:c r="J14" s="40" t="str">
        <x:v>outside E3/E4</x:v>
      </x:c>
      <x:c r="K14" s="40" t="str">
        <x:v>no</x:v>
      </x:c>
      <x:c r="L14" s="40" t="str">
        <x:v>aft</x:v>
      </x:c>
      <x:c r="M14" s="40" t="n">
        <x:v>0</x:v>
      </x:c>
      <x:c r="N14" s="42" t="str">
        <x:v>module extraction remains possible after one-end obstruction</x:v>
      </x:c>
    </x:row>
    <x:row r="15"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</x:row>
    <x:row r="16"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</x:row>
    <x:row r="17">
      <x:c r="B17" s="80" t="str">
        <x:v>Articulation and payload continuity</x:v>
      </x:c>
      <x:c r="C17" s="81" t="str">
        <x:v>Articulation and payload continuity</x:v>
      </x:c>
      <x:c r="D17" s="81" t="str">
        <x:v>Articulation and payload continuity</x:v>
      </x:c>
      <x:c r="E17" s="81" t="str">
        <x:v>Articulation and payload continuity</x:v>
      </x:c>
      <x:c r="F17" s="81" t="str">
        <x:v>Articulation and payload continuity</x:v>
      </x:c>
      <x:c r="G17" s="81" t="str">
        <x:v>Articulation and payload continuity</x:v>
      </x:c>
      <x:c r="H17" s="81" t="str">
        <x:v>Articulation and payload continuity</x:v>
      </x:c>
      <x:c r="I17" s="81" t="str">
        <x:v>Articulation and payload continuity</x:v>
      </x:c>
      <x:c r="J17" s="81" t="str">
        <x:v>Articulation and payload continuity</x:v>
      </x:c>
      <x:c r="K17" s="81" t="str">
        <x:v>Articulation and payload continuity</x:v>
      </x:c>
      <x:c r="L17" s="81" t="str">
        <x:v>Articulation and payload continuity</x:v>
      </x:c>
      <x:c r="M17" s="81" t="str">
        <x:v>Articulation and payload continuity</x:v>
      </x:c>
      <x:c r="N17" s="82" t="str">
        <x:v>Articulation and payload continuity</x:v>
      </x:c>
    </x:row>
    <x:row r="18">
      <x:c r="B18" s="32" t="str">
        <x:v>Joint</x:v>
      </x:c>
      <x:c r="C18" s="33" t="str">
        <x:v>x</x:v>
      </x:c>
      <x:c r="D18" s="33" t="str">
        <x:v>Between bodies</x:v>
      </x:c>
      <x:c r="E18" s="33" t="str">
        <x:v>Yaw</x:v>
      </x:c>
      <x:c r="F18" s="33" t="str">
        <x:v>Pitch</x:v>
      </x:c>
      <x:c r="G18" s="33" t="str">
        <x:v>Roll</x:v>
      </x:c>
      <x:c r="H18" s="33" t="str">
        <x:v>Cargo crosses joint</x:v>
      </x:c>
      <x:c r="I18" s="27"/>
      <x:c r="J18" s="27"/>
      <x:c r="K18" s="27"/>
      <x:c r="L18" s="27"/>
      <x:c r="M18" s="27"/>
      <x:c r="N18" s="27"/>
    </x:row>
    <x:row r="19">
      <x:c r="B19" s="34" t="str">
        <x:v>J1</x:v>
      </x:c>
      <x:c r="C19" s="34" t="n">
        <x:v>11.5</x:v>
      </x:c>
      <x:c r="D19" s="34" t="str">
        <x:v>F / C1</x:v>
      </x:c>
      <x:c r="E19" s="34" t="n">
        <x:v>30</x:v>
      </x:c>
      <x:c r="F19" s="34" t="n">
        <x:v>18</x:v>
      </x:c>
      <x:c r="G19" s="34" t="n">
        <x:v>12</x:v>
      </x:c>
      <x:c r="H19" s="36" t="str">
        <x:v>no</x:v>
      </x:c>
      <x:c r="I19" s="27"/>
      <x:c r="J19" s="27"/>
      <x:c r="K19" s="27"/>
      <x:c r="L19" s="27"/>
      <x:c r="M19" s="27"/>
      <x:c r="N19" s="27"/>
    </x:row>
    <x:row r="20">
      <x:c r="B20" s="34" t="str">
        <x:v>J2</x:v>
      </x:c>
      <x:c r="C20" s="34" t="n">
        <x:v>23</x:v>
      </x:c>
      <x:c r="D20" s="34" t="str">
        <x:v>C1 / C2</x:v>
      </x:c>
      <x:c r="E20" s="34" t="n">
        <x:v>30</x:v>
      </x:c>
      <x:c r="F20" s="34" t="n">
        <x:v>18</x:v>
      </x:c>
      <x:c r="G20" s="34" t="n">
        <x:v>12</x:v>
      </x:c>
      <x:c r="H20" s="36" t="str">
        <x:v>no</x:v>
      </x:c>
      <x:c r="I20" s="27"/>
      <x:c r="J20" s="27"/>
      <x:c r="K20" s="27"/>
      <x:c r="L20" s="27"/>
      <x:c r="M20" s="27"/>
      <x:c r="N20" s="27"/>
    </x:row>
    <x:row r="21">
      <x:c r="B21" s="40" t="str">
        <x:v>J3</x:v>
      </x:c>
      <x:c r="C21" s="40" t="n">
        <x:v>34.5</x:v>
      </x:c>
      <x:c r="D21" s="40" t="str">
        <x:v>C2 / A</x:v>
      </x:c>
      <x:c r="E21" s="40" t="n">
        <x:v>30</x:v>
      </x:c>
      <x:c r="F21" s="40" t="n">
        <x:v>18</x:v>
      </x:c>
      <x:c r="G21" s="40" t="n">
        <x:v>12</x:v>
      </x:c>
      <x:c r="H21" s="42" t="str">
        <x:v>no</x:v>
      </x:c>
      <x:c r="I21" s="27"/>
      <x:c r="J21" s="27"/>
      <x:c r="K21" s="27"/>
      <x:c r="L21" s="27"/>
      <x:c r="M21" s="27"/>
      <x:c r="N21" s="27"/>
    </x:row>
    <x:row r="22"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</x:row>
    <x:row r="23"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</x:row>
    <x:row r="24">
      <x:c r="B24" s="80" t="str">
        <x:v>Configuration result</x:v>
      </x:c>
      <x:c r="C24" s="81" t="str">
        <x:v>Configuration result</x:v>
      </x:c>
      <x:c r="D24" s="81" t="str">
        <x:v>Configuration result</x:v>
      </x:c>
      <x:c r="E24" s="81" t="str">
        <x:v>Configuration result</x:v>
      </x:c>
      <x:c r="F24" s="81" t="str">
        <x:v>Configuration result</x:v>
      </x:c>
      <x:c r="G24" s="81" t="str">
        <x:v>Configuration result</x:v>
      </x:c>
      <x:c r="H24" s="81" t="str">
        <x:v>Configuration result</x:v>
      </x:c>
      <x:c r="I24" s="81" t="str">
        <x:v>Configuration result</x:v>
      </x:c>
      <x:c r="J24" s="81" t="str">
        <x:v>Configuration result</x:v>
      </x:c>
      <x:c r="K24" s="81" t="str">
        <x:v>Configuration result</x:v>
      </x:c>
      <x:c r="L24" s="81" t="str">
        <x:v>Configuration result</x:v>
      </x:c>
      <x:c r="M24" s="81" t="str">
        <x:v>Configuration result</x:v>
      </x:c>
      <x:c r="N24" s="82" t="str">
        <x:v>Configuration result</x:v>
      </x:c>
    </x:row>
    <x:row r="25">
      <x:c r="B25" s="49" t="str">
        <x:v>Total zoned length</x:v>
      </x:c>
      <x:c r="C25" s="49" t="n">
        <x:f>SUM(E7:E14)</x:f>
        <x:v>46</x:v>
      </x:c>
      <x:c r="D25" s="49" t="str">
        <x:v>m</x:v>
      </x:c>
      <x:c r="E25" s="49" t="n">
        <x:v>46</x:v>
      </x:c>
      <x:c r="F25" s="49" t="str">
        <x:f>IF(ABS(C25-E25)&lt;0.0001,"PASS","FAIL")</x:f>
        <x:v>PASS</x:v>
      </x:c>
      <x:c r="G25" s="27"/>
      <x:c r="H25" s="27"/>
      <x:c r="I25" s="27"/>
      <x:c r="J25" s="27"/>
      <x:c r="K25" s="27"/>
      <x:c r="L25" s="27"/>
      <x:c r="M25" s="27"/>
      <x:c r="N25" s="27"/>
    </x:row>
    <x:row r="26">
      <x:c r="B26" s="34" t="str">
        <x:v>Rigid bodies</x:v>
      </x:c>
      <x:c r="C26" s="34" t="n">
        <x:v>4</x:v>
      </x:c>
      <x:c r="D26" s="34" t="str">
        <x:v>bodies</x:v>
      </x:c>
      <x:c r="E26" s="34" t="n">
        <x:v>4</x:v>
      </x:c>
      <x:c r="F26" s="34" t="str">
        <x:f>IF(ABS(C26-E26)&lt;0.0001,"PASS","FAIL")</x:f>
        <x:v>PASS</x:v>
      </x:c>
      <x:c r="G26" s="27"/>
      <x:c r="H26" s="27"/>
      <x:c r="I26" s="27"/>
      <x:c r="J26" s="27"/>
      <x:c r="K26" s="27"/>
      <x:c r="L26" s="27"/>
      <x:c r="M26" s="27"/>
      <x:c r="N26" s="27"/>
    </x:row>
    <x:row r="27">
      <x:c r="B27" s="34" t="str">
        <x:v>Articulation joints</x:v>
      </x:c>
      <x:c r="C27" s="34" t="n">
        <x:v>3</x:v>
      </x:c>
      <x:c r="D27" s="34" t="str">
        <x:v>joints</x:v>
      </x:c>
      <x:c r="E27" s="34" t="n">
        <x:v>3</x:v>
      </x:c>
      <x:c r="F27" s="34" t="str">
        <x:f>IF(ABS(C27-E27)&lt;0.0001,"PASS","FAIL")</x:f>
        <x:v>PASS</x:v>
      </x:c>
      <x:c r="G27" s="27"/>
      <x:c r="H27" s="27"/>
      <x:c r="I27" s="27"/>
      <x:c r="J27" s="27"/>
      <x:c r="K27" s="27"/>
      <x:c r="L27" s="27"/>
      <x:c r="M27" s="27"/>
      <x:c r="N27" s="27"/>
    </x:row>
    <x:row r="28">
      <x:c r="B28" s="34" t="str">
        <x:v>Dry payload positions</x:v>
      </x:c>
      <x:c r="C28" s="34" t="n">
        <x:v>8</x:v>
      </x:c>
      <x:c r="D28" s="34" t="str">
        <x:v>positions</x:v>
      </x:c>
      <x:c r="E28" s="34" t="n">
        <x:v>8</x:v>
      </x:c>
      <x:c r="F28" s="34" t="str">
        <x:f>IF(ABS(C28-E28)&lt;0.0001,"PASS","FAIL")</x:f>
        <x:v>PASS</x:v>
      </x:c>
      <x:c r="G28" s="27"/>
      <x:c r="H28" s="27"/>
      <x:c r="I28" s="27"/>
      <x:c r="J28" s="27"/>
      <x:c r="K28" s="27"/>
      <x:c r="L28" s="27"/>
      <x:c r="M28" s="27"/>
      <x:c r="N28" s="27"/>
    </x:row>
    <x:row r="29">
      <x:c r="B29" s="52" t="str">
        <x:v>Energy casualty zones</x:v>
      </x:c>
      <x:c r="C29" s="52" t="n">
        <x:v>4</x:v>
      </x:c>
      <x:c r="D29" s="52" t="str">
        <x:v>zones</x:v>
      </x:c>
      <x:c r="E29" s="52" t="n">
        <x:v>4</x:v>
      </x:c>
      <x:c r="F29" s="52" t="str">
        <x:f>IF(ABS(C29-E29)&lt;0.0001,"PASS","FAIL")</x:f>
        <x:v>PASS</x:v>
      </x:c>
      <x:c r="G29" s="27"/>
      <x:c r="H29" s="27"/>
      <x:c r="I29" s="27"/>
      <x:c r="J29" s="27"/>
      <x:c r="K29" s="27"/>
      <x:c r="L29" s="27"/>
      <x:c r="M29" s="27"/>
      <x:c r="N29" s="27"/>
    </x:row>
    <x:row r="30"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</x:row>
    <x:row r="31"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</x:row>
    <x:row r="32"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</x:sheetData>
  <x:mergeCells>
    <x:mergeCell ref="B17:N17"/>
    <x:mergeCell ref="B24:N24"/>
  </x:mergeCells>
  <x:conditionalFormatting sqref="F25:F29">
    <x:cfRule type="containsText" dxfId="3" priority="1" operator="containsText" text="FAIL"/>
    <x:cfRule type="containsText" dxfId="4" priority="2" operator="containsText" text="PASS"/>
    <x:cfRule type="containsText" dxfId="5" priority="3" operator="containsText" text="BLOCK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16" hidden="0" customWidth="1"/>
    <x:col min="4" max="4" width="14" hidden="0" customWidth="1"/>
    <x:col min="5" max="5" width="15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30" hidden="0" customWidth="1"/>
    <x:col min="11" max="11" width="15" hidden="0" customWidth="1"/>
    <x:col min="12" max="12" width="14" hidden="0" customWidth="1"/>
    <x:col min="13" max="13" width="14" hidden="0" customWidth="1"/>
    <x:col min="14" max="14" width="38" hidden="0" customWidth="1"/>
  </x:cols>
  <x:sheetData>
    <x:row r="2">
      <x:c r="B2" s="86" t="str">
        <x:v>Closed-form mass, energy and bridge coupling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B3" s="87" t="str">
        <x:v>Energy demand and bridge structure both scale with gross mass; the selected design retains a finite joint solution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B6" s="80" t="str">
        <x:v>Mass statement</x:v>
      </x:c>
      <x:c r="C6" s="81" t="str">
        <x:v>Mass statement</x:v>
      </x:c>
      <x:c r="D6" s="81" t="str">
        <x:v>Mass statement</x:v>
      </x:c>
      <x:c r="E6" s="81" t="str">
        <x:v>Mass statement</x:v>
      </x:c>
      <x:c r="F6" s="82" t="str">
        <x:v>Mass statement</x:v>
      </x:c>
      <x:c r="G6" s="27"/>
      <x:c r="H6" s="80" t="str">
        <x:v>Coupling and reserve</x:v>
      </x:c>
      <x:c r="I6" s="81" t="str">
        <x:v>Coupling and reserve</x:v>
      </x:c>
      <x:c r="J6" s="81" t="str">
        <x:v>Coupling and reserve</x:v>
      </x:c>
      <x:c r="K6" s="81" t="str">
        <x:v>Coupling and reserve</x:v>
      </x:c>
      <x:c r="L6" s="81" t="str">
        <x:v>Coupling and reserve</x:v>
      </x:c>
      <x:c r="M6" s="81" t="str">
        <x:v>Coupling and reserve</x:v>
      </x:c>
      <x:c r="N6" s="82" t="str">
        <x:v>Coupling and reserve</x:v>
      </x:c>
    </x:row>
    <x:row r="7">
      <x:c r="B7" s="32" t="str">
        <x:v>Element</x:v>
      </x:c>
      <x:c r="C7" s="33" t="str">
        <x:v>Mass</x:v>
      </x:c>
      <x:c r="D7" s="33" t="str">
        <x:v>Unit</x:v>
      </x:c>
      <x:c r="E7" s="33" t="str">
        <x:v>Status</x:v>
      </x:c>
      <x:c r="F7" s="33" t="str">
        <x:v>Interpretation</x:v>
      </x:c>
      <x:c r="G7" s="27"/>
      <x:c r="H7" s="32" t="str">
        <x:v>Metric</x:v>
      </x:c>
      <x:c r="I7" s="33" t="str">
        <x:v>Value</x:v>
      </x:c>
      <x:c r="J7" s="33" t="str">
        <x:v>Unit</x:v>
      </x:c>
      <x:c r="K7" s="33" t="str">
        <x:v>Threshold</x:v>
      </x:c>
      <x:c r="L7" s="33" t="str">
        <x:v>Margin</x:v>
      </x:c>
      <x:c r="M7" s="33" t="str">
        <x:v>Result</x:v>
      </x:c>
      <x:c r="N7" s="33" t="str">
        <x:v>Meaning</x:v>
      </x:c>
    </x:row>
    <x:row r="8">
      <x:c r="B8" s="34" t="str">
        <x:v>Structure, three joints and fire boundaries</x:v>
      </x:c>
      <x:c r="C8" s="84" t="n">
        <x:f>SUM(Assumptions!C10:C11)</x:f>
        <x:v>87.6</x:v>
      </x:c>
      <x:c r="D8" s="34" t="str">
        <x:v>t</x:v>
      </x:c>
      <x:c r="E8" s="34" t="str">
        <x:v>CALCULATED</x:v>
      </x:c>
      <x:c r="F8" s="36" t="str">
        <x:v>Pass 85 structure plus spatial closure</x:v>
      </x:c>
      <x:c r="G8" s="27"/>
      <x:c r="H8" s="34" t="str">
        <x:v>Bridge mass feedback coefficient</x:v>
      </x:c>
      <x:c r="I8" s="34" t="n">
        <x:f>'Bridge and Route'!C14</x:f>
        <x:v>0.04620509999999999</x:v>
      </x:c>
      <x:c r="J8" s="34" t="str">
        <x:v>t/t gross</x:v>
      </x:c>
      <x:c r="K8" s="34" t="n">
        <x:v>1</x:v>
      </x:c>
      <x:c r="L8" s="34" t="n">
        <x:f>K8-I8</x:f>
        <x:v>0.9537949</x:v>
      </x:c>
      <x:c r="M8" s="34" t="str">
        <x:f>IF(I8&lt;K8,"PASS","FAIL")</x:f>
        <x:v>PASS</x:v>
      </x:c>
      <x:c r="N8" s="36" t="str">
        <x:v>route structure added per tonne gross</x:v>
      </x:c>
    </x:row>
    <x:row r="9">
      <x:c r="B9" s="34" t="str">
        <x:v>Propulsion and partitioned distribution</x:v>
      </x:c>
      <x:c r="C9" s="84" t="n">
        <x:f>SUM(Assumptions!C12:C13)</x:f>
        <x:v>68</x:v>
      </x:c>
      <x:c r="D9" s="34" t="str">
        <x:v>t</x:v>
      </x:c>
      <x:c r="E9" s="34" t="str">
        <x:v>CALCULATED</x:v>
      </x:c>
      <x:c r="F9" s="36" t="str">
        <x:v>four isolated buses and twelve drives</x:v>
      </x:c>
      <x:c r="G9" s="27"/>
      <x:c r="H9" s="34" t="str">
        <x:v>Energy mass feedback coefficient</x:v>
      </x:c>
      <x:c r="I9" s="34" t="n">
        <x:f>(1+Assumptions!C38)*Assumptions!C36/Assumptions!C39</x:f>
        <x:v>0.15853174603174605</x:v>
      </x:c>
      <x:c r="J9" s="34" t="str">
        <x:v>t/t gross</x:v>
      </x:c>
      <x:c r="K9" s="34" t="n">
        <x:v>1</x:v>
      </x:c>
      <x:c r="L9" s="34" t="n">
        <x:f>K9-I9</x:f>
        <x:v>0.841468253968254</x:v>
      </x:c>
      <x:c r="M9" s="34" t="str">
        <x:f>IF(I9&lt;K9,"PASS","FAIL")</x:f>
        <x:v>PASS</x:v>
      </x:c>
      <x:c r="N9" s="36" t="str">
        <x:v>reserve-adjusted route energy</x:v>
      </x:c>
    </x:row>
    <x:row r="10">
      <x:c r="B10" s="34" t="str">
        <x:v>Energy system</x:v>
      </x:c>
      <x:c r="C10" s="84" t="n">
        <x:f>Assumptions!C40+(1+Assumptions!C38)*(Assumptions!C36*C17+Assumptions!C37)/Assumptions!C39</x:f>
        <x:v>187.34738165047082</x:v>
      </x:c>
      <x:c r="D10" s="34" t="str">
        <x:v>t</x:v>
      </x:c>
      <x:c r="E10" s="34" t="str">
        <x:v>CALCULATED</x:v>
      </x:c>
      <x:c r="F10" s="36" t="str">
        <x:v>fuel plus fixed hardware at coupled gross</x:v>
      </x:c>
      <x:c r="G10" s="27"/>
      <x:c r="H10" s="34" t="str">
        <x:v>Combined feedback coefficient</x:v>
      </x:c>
      <x:c r="I10" s="34" t="n">
        <x:f>SUM(I8:I9)</x:f>
        <x:v>0.20473684603174605</x:v>
      </x:c>
      <x:c r="J10" s="34" t="str">
        <x:v>t/t gross</x:v>
      </x:c>
      <x:c r="K10" s="34" t="n">
        <x:v>1</x:v>
      </x:c>
      <x:c r="L10" s="34" t="n">
        <x:f>K10-I10</x:f>
        <x:v>0.795263153968254</x:v>
      </x:c>
      <x:c r="M10" s="34" t="str">
        <x:f>IF(I10&lt;K10,"PASS","FAIL")</x:f>
        <x:v>PASS</x:v>
      </x:c>
      <x:c r="N10" s="36" t="str">
        <x:v>must remain below one</x:v>
      </x:c>
    </x:row>
    <x:row r="11">
      <x:c r="B11" s="34" t="str">
        <x:v>TAP-285 mobility pods</x:v>
      </x:c>
      <x:c r="C11" s="84" t="n">
        <x:f>Assumptions!C14+(Assumptions!C15-Assumptions!C16)*Assumptions!C17</x:f>
        <x:v>103.6</x:v>
      </x:c>
      <x:c r="D11" s="34" t="str">
        <x:v>t</x:v>
      </x:c>
      <x:c r="E11" s="34" t="str">
        <x:v>CALCULATED</x:v>
      </x:c>
      <x:c r="F11" s="36" t="str">
        <x:v>area-scaled from TAP-255</x:v>
      </x:c>
      <x:c r="G11" s="27"/>
      <x:c r="H11" s="34" t="str">
        <x:v>Closure denominator</x:v>
      </x:c>
      <x:c r="I11" s="34" t="n">
        <x:f>1-I10</x:f>
        <x:v>0.795263153968254</x:v>
      </x:c>
      <x:c r="J11" s="34" t="str">
        <x:v>fraction</x:v>
      </x:c>
      <x:c r="K11" s="34" t="n">
        <x:v>0</x:v>
      </x:c>
      <x:c r="L11" s="34" t="n">
        <x:f>I11-K11</x:f>
        <x:v>0.795263153968254</x:v>
      </x:c>
      <x:c r="M11" s="34" t="str">
        <x:f>IF(I11&gt;K11,"PASS","FAIL")</x:f>
        <x:v>PASS</x:v>
      </x:c>
      <x:c r="N11" s="36" t="str">
        <x:v>positive finite solution</x:v>
      </x:c>
    </x:row>
    <x:row r="12">
      <x:c r="B12" s="34" t="str">
        <x:v>Payload handling</x:v>
      </x:c>
      <x:c r="C12" s="84" t="n">
        <x:f>Assumptions!C18</x:f>
        <x:v>24</x:v>
      </x:c>
      <x:c r="D12" s="34" t="str">
        <x:v>t</x:v>
      </x:c>
      <x:c r="E12" s="34" t="str">
        <x:v>INHERITED</x:v>
      </x:c>
      <x:c r="F12" s="36" t="str">
        <x:v>eight bilateral side-shift cradles</x:v>
      </x:c>
      <x:c r="G12" s="27"/>
      <x:c r="H12" s="34" t="str">
        <x:v>Rated payload reserve over assignment</x:v>
      </x:c>
      <x:c r="I12" s="34" t="n">
        <x:f>C16-C18</x:f>
        <x:v>11.25</x:v>
      </x:c>
      <x:c r="J12" s="34" t="str">
        <x:v>t</x:v>
      </x:c>
      <x:c r="K12" s="34" t="n">
        <x:v>0</x:v>
      </x:c>
      <x:c r="L12" s="34" t="n">
        <x:f>I12-K12</x:f>
        <x:v>11.25</x:v>
      </x:c>
      <x:c r="M12" s="34" t="str">
        <x:f>IF(I12&gt;=K12,"PASS","FAIL")</x:f>
        <x:v>PASS</x:v>
      </x:c>
      <x:c r="N12" s="36" t="str">
        <x:v>growth allowance</x:v>
      </x:c>
    </x:row>
    <x:row r="13">
      <x:c r="B13" s="34" t="str">
        <x:v>Six-module bridge and route kit</x:v>
      </x:c>
      <x:c r="C13" s="84" t="n">
        <x:f>SUM(Assumptions!C90:C93)+'Bridge and Route'!C14*C17</x:f>
        <x:v>56.13760397953288</x:v>
      </x:c>
      <x:c r="D13" s="34" t="str">
        <x:v>t</x:v>
      </x:c>
      <x:c r="E13" s="34" t="str">
        <x:v>CALCULATED</x:v>
      </x:c>
      <x:c r="F13" s="36" t="str">
        <x:v>gross-coupled bridge plus fixed route equipment</x:v>
      </x:c>
      <x:c r="G13" s="27"/>
      <x:c r="H13" s="34" t="str">
        <x:v>Pass 85 rated gross</x:v>
      </x:c>
      <x:c r="I13" s="34" t="n">
        <x:v>648.450837</x:v>
      </x:c>
      <x:c r="J13" s="34" t="str">
        <x:v>t</x:v>
      </x:c>
      <x:c r="K13" s="34"/>
      <x:c r="L13" s="34"/>
      <x:c r="M13" s="34" t="str"/>
      <x:c r="N13" s="36" t="str">
        <x:v>superseded reference</x:v>
      </x:c>
    </x:row>
    <x:row r="14">
      <x:c r="B14" s="34" t="str">
        <x:v>Control, dual refuges and life safety</x:v>
      </x:c>
      <x:c r="C14" s="84" t="n">
        <x:f>SUM(Assumptions!C19:C20)</x:f>
        <x:v>20.5</x:v>
      </x:c>
      <x:c r="D14" s="34" t="str">
        <x:v>t</x:v>
      </x:c>
      <x:c r="E14" s="34" t="str">
        <x:v>CALCULATED</x:v>
      </x:c>
      <x:c r="F14" s="36" t="str">
        <x:v>two separated occupied zones</x:v>
      </x:c>
      <x:c r="G14" s="27"/>
      <x:c r="H14" s="40" t="str">
        <x:v>Pass 86 rated gross increase</x:v>
      </x:c>
      <x:c r="I14" s="40" t="n">
        <x:f>C17-I13</x:f>
        <x:v>68.73414863000369</x:v>
      </x:c>
      <x:c r="J14" s="40" t="str">
        <x:v>t</x:v>
      </x:c>
      <x:c r="K14" s="40"/>
      <x:c r="L14" s="40"/>
      <x:c r="M14" s="40" t="str"/>
      <x:c r="N14" s="42" t="str">
        <x:v>spatial, bridge, contact and feedback correction</x:v>
      </x:c>
    </x:row>
    <x:row r="15">
      <x:c r="B15" s="34" t="str">
        <x:v>Tare</x:v>
      </x:c>
      <x:c r="C15" s="84" t="n">
        <x:f>SUM(C8:C14)</x:f>
        <x:v>547.1849856300037</x:v>
      </x:c>
      <x:c r="D15" s="34" t="str">
        <x:v>t</x:v>
      </x:c>
      <x:c r="E15" s="34" t="str">
        <x:v>CALCULATED</x:v>
      </x:c>
      <x:c r="F15" s="36" t="str">
        <x:v>complete operating vehicle before payload</x:v>
      </x:c>
      <x:c r="G15" s="27"/>
      <x:c r="H15" s="27"/>
      <x:c r="I15" s="27"/>
      <x:c r="J15" s="27"/>
      <x:c r="K15" s="27"/>
      <x:c r="L15" s="27"/>
      <x:c r="M15" s="27"/>
      <x:c r="N15" s="27"/>
    </x:row>
    <x:row r="16">
      <x:c r="B16" s="34" t="str">
        <x:v>Rated payload</x:v>
      </x:c>
      <x:c r="C16" s="84" t="n">
        <x:f>Assumptions!C8</x:f>
        <x:v>170</x:v>
      </x:c>
      <x:c r="D16" s="34" t="str">
        <x:v>t</x:v>
      </x:c>
      <x:c r="E16" s="34" t="str">
        <x:v>INHERITED</x:v>
      </x:c>
      <x:c r="F16" s="36" t="str">
        <x:v>design class</x:v>
      </x:c>
      <x:c r="G16" s="27"/>
      <x:c r="H16" s="27"/>
      <x:c r="I16" s="27"/>
      <x:c r="J16" s="27"/>
      <x:c r="K16" s="27"/>
      <x:c r="L16" s="27"/>
      <x:c r="M16" s="27"/>
      <x:c r="N16" s="27"/>
    </x:row>
    <x:row r="17">
      <x:c r="B17" s="34" t="str">
        <x:v>Rated gross</x:v>
      </x:c>
      <x:c r="C17" s="84" t="n">
        <x:f>(SUM(C8:C9,C11:C12,C14)+Assumptions!C8+SUM(Assumptions!C90:C93)+Assumptions!C40+(1+Assumptions!C38)*Assumptions!C37/Assumptions!C39)/(1-'Bridge and Route'!C14-(1+Assumptions!C38)*Assumptions!C36/Assumptions!C39)</x:f>
        <x:v>717.1849856300037</x:v>
      </x:c>
      <x:c r="D17" s="34" t="str">
        <x:v>t</x:v>
      </x:c>
      <x:c r="E17" s="34" t="str">
        <x:v>CALCULATED</x:v>
      </x:c>
      <x:c r="F17" s="36" t="str">
        <x:v>joint fixed point</x:v>
      </x:c>
      <x:c r="G17" s="27"/>
      <x:c r="H17" s="27"/>
      <x:c r="I17" s="27"/>
      <x:c r="J17" s="27"/>
      <x:c r="K17" s="27"/>
      <x:c r="L17" s="27"/>
      <x:c r="M17" s="27"/>
      <x:c r="N17" s="27"/>
    </x:row>
    <x:row r="18">
      <x:c r="B18" s="34" t="str">
        <x:v>Assigned payload</x:v>
      </x:c>
      <x:c r="C18" s="84" t="n">
        <x:f>Assumptions!C9</x:f>
        <x:v>158.75</x:v>
      </x:c>
      <x:c r="D18" s="34" t="str">
        <x:v>t</x:v>
      </x:c>
      <x:c r="E18" s="34" t="str">
        <x:v>INHERITED</x:v>
      </x:c>
      <x:c r="F18" s="36" t="str">
        <x:v>one service block</x:v>
      </x:c>
      <x:c r="G18" s="27"/>
      <x:c r="H18" s="27"/>
      <x:c r="I18" s="27"/>
      <x:c r="J18" s="27"/>
      <x:c r="K18" s="27"/>
      <x:c r="L18" s="27"/>
      <x:c r="M18" s="27"/>
      <x:c r="N18" s="27"/>
    </x:row>
    <x:row r="19">
      <x:c r="B19" s="40" t="str">
        <x:v>Mission gross</x:v>
      </x:c>
      <x:c r="C19" s="93" t="n">
        <x:f>C15+C18</x:f>
        <x:v>705.9349856300037</x:v>
      </x:c>
      <x:c r="D19" s="40" t="str">
        <x:v>t</x:v>
      </x:c>
      <x:c r="E19" s="40" t="str">
        <x:v>CALCULATED</x:v>
      </x:c>
      <x:c r="F19" s="42" t="str">
        <x:v>tare plus assigned payload</x:v>
      </x:c>
      <x:c r="G19" s="27"/>
      <x:c r="H19" s="27"/>
      <x:c r="I19" s="27"/>
      <x:c r="J19" s="27"/>
      <x:c r="K19" s="27"/>
      <x:c r="L19" s="27"/>
      <x:c r="M19" s="27"/>
      <x:c r="N19" s="27"/>
    </x:row>
    <x:row r="20"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</x:row>
    <x:row r="21"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</x:row>
    <x:row r="22"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</x:row>
    <x:row r="23">
      <x:c r="B23" s="80" t="str">
        <x:v>Element-level rated balance</x:v>
      </x:c>
      <x:c r="C23" s="81" t="str">
        <x:v>Element-level rated balance</x:v>
      </x:c>
      <x:c r="D23" s="81" t="str">
        <x:v>Element-level rated balance</x:v>
      </x:c>
      <x:c r="E23" s="81" t="str">
        <x:v>Element-level rated balance</x:v>
      </x:c>
      <x:c r="F23" s="81" t="str">
        <x:v>Element-level rated balance</x:v>
      </x:c>
      <x:c r="G23" s="81" t="str">
        <x:v>Element-level rated balance</x:v>
      </x:c>
      <x:c r="H23" s="81" t="str">
        <x:v>Element-level rated balance</x:v>
      </x:c>
      <x:c r="I23" s="81" t="str">
        <x:v>Element-level rated balance</x:v>
      </x:c>
      <x:c r="J23" s="81" t="str">
        <x:v>Element-level rated balance</x:v>
      </x:c>
      <x:c r="K23" s="81" t="str">
        <x:v>Element-level rated balance</x:v>
      </x:c>
      <x:c r="L23" s="81" t="str">
        <x:v>Element-level rated balance</x:v>
      </x:c>
      <x:c r="M23" s="81" t="str">
        <x:v>Element-level rated balance</x:v>
      </x:c>
      <x:c r="N23" s="82" t="str">
        <x:v>Element-level rated balance</x:v>
      </x:c>
    </x:row>
    <x:row r="24">
      <x:c r="B24" s="32" t="str">
        <x:v>Element</x:v>
      </x:c>
      <x:c r="C24" s="33" t="str">
        <x:v>Mass</x:v>
      </x:c>
      <x:c r="D24" s="33" t="str">
        <x:v>x</x:v>
      </x:c>
      <x:c r="E24" s="33" t="str">
        <x:v>y</x:v>
      </x:c>
      <x:c r="F24" s="33" t="str">
        <x:v>z</x:v>
      </x:c>
      <x:c r="G24" s="33" t="str">
        <x:v>x moment</x:v>
      </x:c>
      <x:c r="H24" s="33" t="str">
        <x:v>y moment</x:v>
      </x:c>
      <x:c r="I24" s="33" t="str">
        <x:v>z moment</x:v>
      </x:c>
      <x:c r="J24" s="33" t="str">
        <x:v>Source</x:v>
      </x:c>
      <x:c r="K24" s="27" t="str">
        <x:v>Status</x:v>
      </x:c>
      <x:c r="L24" s="27" t="str"/>
      <x:c r="M24" s="27" t="str"/>
      <x:c r="N24" s="27" t="str"/>
    </x:row>
    <x:row r="25">
      <x:c r="B25" s="34" t="str">
        <x:v>Structure</x:v>
      </x:c>
      <x:c r="C25" s="34" t="n">
        <x:f>C8</x:f>
        <x:v>87.6</x:v>
      </x:c>
      <x:c r="D25" s="34" t="n">
        <x:v>23</x:v>
      </x:c>
      <x:c r="E25" s="34" t="n">
        <x:v>0</x:v>
      </x:c>
      <x:c r="F25" s="34" t="n">
        <x:v>3</x:v>
      </x:c>
      <x:c r="G25" s="34" t="n">
        <x:f>C25*D25</x:f>
        <x:v>2014.8</x:v>
      </x:c>
      <x:c r="H25" s="34" t="n">
        <x:f>C25*E25</x:f>
        <x:v>0</x:v>
      </x:c>
      <x:c r="I25" s="34" t="n">
        <x:f>C25*F25</x:f>
        <x:v>262.79999999999995</x:v>
      </x:c>
      <x:c r="J25" s="36" t="str">
        <x:v>Pass 86 configuration</x:v>
      </x:c>
      <x:c r="K25" s="27" t="str">
        <x:v>CALCULATED</x:v>
      </x:c>
      <x:c r="L25" s="27"/>
      <x:c r="M25" s="27"/>
      <x:c r="N25" s="27"/>
    </x:row>
    <x:row r="26">
      <x:c r="B26" s="34" t="str">
        <x:v>Propulsion and distribution</x:v>
      </x:c>
      <x:c r="C26" s="34" t="n">
        <x:f>C9</x:f>
        <x:v>68</x:v>
      </x:c>
      <x:c r="D26" s="34" t="n">
        <x:v>23</x:v>
      </x:c>
      <x:c r="E26" s="34" t="n">
        <x:v>0</x:v>
      </x:c>
      <x:c r="F26" s="34" t="n">
        <x:v>2.5</x:v>
      </x:c>
      <x:c r="G26" s="34" t="n">
        <x:f>C26*D26</x:f>
        <x:v>1564</x:v>
      </x:c>
      <x:c r="H26" s="34" t="n">
        <x:f>C26*E26</x:f>
        <x:v>0</x:v>
      </x:c>
      <x:c r="I26" s="34" t="n">
        <x:f>C26*F26</x:f>
        <x:v>170</x:v>
      </x:c>
      <x:c r="J26" s="36" t="str">
        <x:v>Pass 86 configuration</x:v>
      </x:c>
      <x:c r="K26" s="27" t="str">
        <x:v>CALCULATED</x:v>
      </x:c>
      <x:c r="L26" s="27"/>
      <x:c r="M26" s="27"/>
      <x:c r="N26" s="27"/>
    </x:row>
    <x:row r="27">
      <x:c r="B27" s="34" t="str">
        <x:v>Energy system</x:v>
      </x:c>
      <x:c r="C27" s="34" t="n">
        <x:f>C10</x:f>
        <x:v>187.34738165047082</x:v>
      </x:c>
      <x:c r="D27" s="34" t="n">
        <x:v>23</x:v>
      </x:c>
      <x:c r="E27" s="34" t="n">
        <x:v>0</x:v>
      </x:c>
      <x:c r="F27" s="34" t="n">
        <x:v>3.2</x:v>
      </x:c>
      <x:c r="G27" s="34" t="n">
        <x:f>C27*D27</x:f>
        <x:v>4308.989777960829</x:v>
      </x:c>
      <x:c r="H27" s="34" t="n">
        <x:f>C27*E27</x:f>
        <x:v>0</x:v>
      </x:c>
      <x:c r="I27" s="34" t="n">
        <x:f>C27*F27</x:f>
        <x:v>599.5116212815067</x:v>
      </x:c>
      <x:c r="J27" s="36" t="str">
        <x:v>Pass 86 configuration</x:v>
      </x:c>
      <x:c r="K27" s="27" t="str">
        <x:v>CALCULATED</x:v>
      </x:c>
      <x:c r="L27" s="27"/>
      <x:c r="M27" s="27"/>
      <x:c r="N27" s="27"/>
    </x:row>
    <x:row r="28">
      <x:c r="B28" s="34" t="str">
        <x:v>Mobility pods</x:v>
      </x:c>
      <x:c r="C28" s="34" t="n">
        <x:f>C11</x:f>
        <x:v>103.6</x:v>
      </x:c>
      <x:c r="D28" s="34" t="n">
        <x:v>23</x:v>
      </x:c>
      <x:c r="E28" s="34" t="n">
        <x:v>0</x:v>
      </x:c>
      <x:c r="F28" s="34" t="n">
        <x:v>1.2</x:v>
      </x:c>
      <x:c r="G28" s="34" t="n">
        <x:f>C28*D28</x:f>
        <x:v>2382.7999999999997</x:v>
      </x:c>
      <x:c r="H28" s="34" t="n">
        <x:f>C28*E28</x:f>
        <x:v>0</x:v>
      </x:c>
      <x:c r="I28" s="34" t="n">
        <x:f>C28*F28</x:f>
        <x:v>124.32</x:v>
      </x:c>
      <x:c r="J28" s="36" t="str">
        <x:v>Pass 86 configuration</x:v>
      </x:c>
      <x:c r="K28" s="27" t="str">
        <x:v>CALCULATED</x:v>
      </x:c>
      <x:c r="L28" s="27"/>
      <x:c r="M28" s="27"/>
      <x:c r="N28" s="27"/>
    </x:row>
    <x:row r="29">
      <x:c r="B29" s="34" t="str">
        <x:v>Payload handling</x:v>
      </x:c>
      <x:c r="C29" s="34" t="n">
        <x:f>C12</x:f>
        <x:v>24</x:v>
      </x:c>
      <x:c r="D29" s="34" t="n">
        <x:v>23</x:v>
      </x:c>
      <x:c r="E29" s="34" t="n">
        <x:v>0</x:v>
      </x:c>
      <x:c r="F29" s="34" t="n">
        <x:v>4.4</x:v>
      </x:c>
      <x:c r="G29" s="34" t="n">
        <x:f>C29*D29</x:f>
        <x:v>552</x:v>
      </x:c>
      <x:c r="H29" s="34" t="n">
        <x:f>C29*E29</x:f>
        <x:v>0</x:v>
      </x:c>
      <x:c r="I29" s="34" t="n">
        <x:f>C29*F29</x:f>
        <x:v>105.60000000000001</x:v>
      </x:c>
      <x:c r="J29" s="36" t="str">
        <x:v>Pass 86 configuration</x:v>
      </x:c>
      <x:c r="K29" s="27" t="str">
        <x:v>CALCULATED</x:v>
      </x:c>
      <x:c r="L29" s="27"/>
      <x:c r="M29" s="27"/>
      <x:c r="N29" s="27"/>
    </x:row>
    <x:row r="30">
      <x:c r="B30" s="34" t="str">
        <x:v>Route kit</x:v>
      </x:c>
      <x:c r="C30" s="34" t="n">
        <x:f>C13</x:f>
        <x:v>56.13760397953288</x:v>
      </x:c>
      <x:c r="D30" s="34" t="n">
        <x:v>23</x:v>
      </x:c>
      <x:c r="E30" s="34" t="n">
        <x:v>0</x:v>
      </x:c>
      <x:c r="F30" s="34" t="n">
        <x:v>2.7</x:v>
      </x:c>
      <x:c r="G30" s="34" t="n">
        <x:f>C30*D30</x:f>
        <x:v>1291.1648915292562</x:v>
      </x:c>
      <x:c r="H30" s="34" t="n">
        <x:f>C30*E30</x:f>
        <x:v>0</x:v>
      </x:c>
      <x:c r="I30" s="34" t="n">
        <x:f>C30*F30</x:f>
        <x:v>151.57153074473877</x:v>
      </x:c>
      <x:c r="J30" s="36" t="str">
        <x:v>Pass 86 configuration</x:v>
      </x:c>
      <x:c r="K30" s="27" t="str">
        <x:v>CALCULATED</x:v>
      </x:c>
      <x:c r="L30" s="27"/>
      <x:c r="M30" s="27"/>
      <x:c r="N30" s="27"/>
    </x:row>
    <x:row r="31">
      <x:c r="B31" s="34" t="str">
        <x:v>Control and refuges</x:v>
      </x:c>
      <x:c r="C31" s="34" t="n">
        <x:f>C14</x:f>
        <x:v>20.5</x:v>
      </x:c>
      <x:c r="D31" s="34" t="n">
        <x:f>(12*10.5+8.5*35.5)/20.5</x:f>
        <x:v>20.865853658536587</x:v>
      </x:c>
      <x:c r="E31" s="34" t="n">
        <x:v>0</x:v>
      </x:c>
      <x:c r="F31" s="34" t="n">
        <x:v>4.8</x:v>
      </x:c>
      <x:c r="G31" s="34" t="n">
        <x:f>C31*D31</x:f>
        <x:v>427.75</x:v>
      </x:c>
      <x:c r="H31" s="34" t="n">
        <x:f>C31*E31</x:f>
        <x:v>0</x:v>
      </x:c>
      <x:c r="I31" s="34" t="n">
        <x:f>C31*F31</x:f>
        <x:v>98.39999999999999</x:v>
      </x:c>
      <x:c r="J31" s="36" t="str">
        <x:v>Pass 86 configuration</x:v>
      </x:c>
      <x:c r="K31" s="27" t="str">
        <x:v>CALCULATED</x:v>
      </x:c>
      <x:c r="L31" s="27"/>
      <x:c r="M31" s="27"/>
      <x:c r="N31" s="27"/>
    </x:row>
    <x:row r="32">
      <x:c r="B32" s="40" t="str">
        <x:v>Rated payload</x:v>
      </x:c>
      <x:c r="C32" s="40" t="n">
        <x:f>C16</x:f>
        <x:v>170</x:v>
      </x:c>
      <x:c r="D32" s="40" t="n">
        <x:v>22.5</x:v>
      </x:c>
      <x:c r="E32" s="40" t="n">
        <x:v>0</x:v>
      </x:c>
      <x:c r="F32" s="40" t="n">
        <x:v>7</x:v>
      </x:c>
      <x:c r="G32" s="40" t="n">
        <x:f>C32*D32</x:f>
        <x:v>3825</x:v>
      </x:c>
      <x:c r="H32" s="40" t="n">
        <x:f>C32*E32</x:f>
        <x:v>0</x:v>
      </x:c>
      <x:c r="I32" s="40" t="n">
        <x:f>C32*F32</x:f>
        <x:v>1190</x:v>
      </x:c>
      <x:c r="J32" s="42" t="str">
        <x:v>Pass 82 / Pass 86 datum</x:v>
      </x:c>
      <x:c r="K32" s="27" t="str">
        <x:v>CALCULATED</x:v>
      </x:c>
      <x:c r="L32" s="27"/>
      <x:c r="M32" s="27"/>
      <x:c r="N32" s="27"/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B34" s="49" t="str">
        <x:v>Rated mass</x:v>
      </x:c>
      <x:c r="C34" s="49" t="n">
        <x:f>SUM(C25:C32)</x:f>
        <x:v>717.1849856300037</x:v>
      </x:c>
      <x:c r="D34" s="49" t="str">
        <x:v>Rated x CG</x:v>
      </x:c>
      <x:c r="E34" s="49" t="n">
        <x:f>SUM(G25:G32)/C34</x:f>
        <x:v>22.820478673452847</x:v>
      </x:c>
      <x:c r="F34" s="49" t="str">
        <x:v>Rated y CG</x:v>
      </x:c>
      <x:c r="G34" s="49" t="n">
        <x:f>SUM(H25:H32)/C34</x:f>
        <x:v>0</x:v>
      </x:c>
      <x:c r="H34" s="27"/>
      <x:c r="I34" s="27"/>
      <x:c r="J34" s="27"/>
      <x:c r="K34" s="27"/>
      <x:c r="L34" s="27"/>
      <x:c r="M34" s="27"/>
      <x:c r="N34" s="27"/>
    </x:row>
    <x:row r="35">
      <x:c r="B35" s="34" t="str">
        <x:v>Rated z CG</x:v>
      </x:c>
      <x:c r="C35" s="34" t="n">
        <x:f>SUM(I25:I32)/C34</x:f>
        <x:v>3.767791024867208</x:v>
      </x:c>
      <x:c r="D35" s="34" t="str">
        <x:v>Transit rollover angle</x:v>
      </x:c>
      <x:c r="E35" s="34" t="n">
        <x:f>DEGREES(ATAN(Assumptions!C22/2/C35))</x:f>
        <x:v>51.577874952273326</x:v>
      </x:c>
      <x:c r="F35" s="34" t="str">
        <x:v>Deployed rollover angle</x:v>
      </x:c>
      <x:c r="G35" s="34" t="n">
        <x:f>DEGREES(ATAN(Assumptions!C23/2/C35))</x:f>
        <x:v>57.437346703582975</x:v>
      </x:c>
      <x:c r="H35" s="27"/>
      <x:c r="I35" s="27"/>
      <x:c r="J35" s="27"/>
      <x:c r="K35" s="27"/>
      <x:c r="L35" s="27"/>
      <x:c r="M35" s="27"/>
      <x:c r="N35" s="27"/>
    </x:row>
    <x:row r="36">
      <x:c r="B36" s="34" t="str">
        <x:v>Transit lateral acceleration threshold</x:v>
      </x:c>
      <x:c r="C36" s="34" t="n">
        <x:f>Assumptions!C22/2/C35</x:f>
        <x:v>1.2606856294975672</x:v>
      </x:c>
      <x:c r="D36" s="34" t="str">
        <x:v>g</x:v>
      </x:c>
      <x:c r="E36" s="34" t="str">
        <x:v>Deployed lateral acceleration threshold</x:v>
      </x:c>
      <x:c r="F36" s="34" t="n">
        <x:f>Assumptions!C23/2/C35</x:f>
        <x:v>1.565904255586452</x:v>
      </x:c>
      <x:c r="G36" s="34" t="str">
        <x:v>g</x:v>
      </x:c>
      <x:c r="H36" s="27"/>
      <x:c r="I36" s="27"/>
      <x:c r="J36" s="27"/>
      <x:c r="K36" s="27"/>
      <x:c r="L36" s="27"/>
      <x:c r="M36" s="27"/>
      <x:c r="N36" s="27"/>
    </x:row>
    <x:row r="37">
      <x:c r="B37" s="52" t="str">
        <x:v>Required side slope</x:v>
      </x:c>
      <x:c r="C37" s="52" t="n">
        <x:v>0.12</x:v>
      </x:c>
      <x:c r="D37" s="52" t="str">
        <x:v>fraction</x:v>
      </x:c>
      <x:c r="E37" s="52" t="str">
        <x:v>Equivalent angle</x:v>
      </x:c>
      <x:c r="F37" s="52" t="n">
        <x:f>DEGREES(ATAN(C37))</x:f>
        <x:v>6.84277341263094</x:v>
      </x:c>
      <x:c r="G37" s="52" t="str">
        <x:v>degrees</x:v>
      </x:c>
      <x:c r="H37" s="27"/>
      <x:c r="I37" s="27"/>
      <x:c r="J37" s="27"/>
      <x:c r="K37" s="27"/>
      <x:c r="L37" s="27"/>
      <x:c r="M37" s="27"/>
      <x:c r="N37" s="27"/>
    </x:row>
    <x:row r="38"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</x:row>
    <x:row r="39"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</x:row>
    <x:row r="40"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</x:row>
    <x:row r="41"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</x:row>
    <x:row r="42"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</x:row>
  </x:sheetData>
  <x:mergeCells>
    <x:mergeCell ref="B6:F6"/>
    <x:mergeCell ref="H6:N6"/>
    <x:mergeCell ref="B23:N23"/>
  </x:mergeCells>
  <x:conditionalFormatting sqref="M8:M12">
    <x:cfRule type="containsText" dxfId="9" priority="1" operator="containsText" text="FAIL"/>
    <x:cfRule type="containsText" dxfId="10" priority="2" operator="containsText" text="PASS"/>
    <x:cfRule type="containsText" dxfId="11" priority="3" operator="containsText" text="BLOCK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2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16" hidden="0" customWidth="1"/>
    <x:col min="9" max="9" width="16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2">
      <x:c r="B2" s="86" t="str">
        <x:v>Mass packets, moments and support reactions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</x:row>
    <x:row r="3">
      <x:c r="B3" s="87" t="str">
        <x:v>Thirty-four packets resolve the whole-vehicle balance and local six-station load path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19" t="str">
        <x:v>S1 x</x:v>
      </x:c>
      <x:c r="L4" s="20" t="str">
        <x:v>S2 x</x:v>
      </x:c>
      <x:c r="M4" s="20" t="str">
        <x:v>S3 x</x:v>
      </x:c>
      <x:c r="N4" s="20" t="str">
        <x:v>S4 x</x:v>
      </x:c>
      <x:c r="O4" s="20" t="str">
        <x:v>S5 x</x:v>
      </x:c>
      <x:c r="P4" s="21" t="str">
        <x:v>S6 x</x:v>
      </x:c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 t="n">
        <x:v>4</x:v>
      </x:c>
      <x:c r="L5" s="27" t="n">
        <x:v>12.5</x:v>
      </x:c>
      <x:c r="M5" s="27" t="n">
        <x:v>19.5</x:v>
      </x:c>
      <x:c r="N5" s="27" t="n">
        <x:v>26.5</x:v>
      </x:c>
      <x:c r="O5" s="27" t="n">
        <x:v>33.5</x:v>
      </x:c>
      <x:c r="P5" s="27" t="n">
        <x:v>42</x:v>
      </x:c>
    </x:row>
    <x:row r="6">
      <x:c r="B6" s="32" t="str">
        <x:v>Packet</x:v>
      </x:c>
      <x:c r="C6" s="33" t="str">
        <x:v>System</x:v>
      </x:c>
      <x:c r="D6" s="33" t="str">
        <x:v>Mass</x:v>
      </x:c>
      <x:c r="E6" s="33" t="str">
        <x:v>x</x:v>
      </x:c>
      <x:c r="F6" s="33" t="str">
        <x:v>y</x:v>
      </x:c>
      <x:c r="G6" s="33" t="str">
        <x:v>z</x:v>
      </x:c>
      <x:c r="H6" s="33" t="str">
        <x:v>x moment</x:v>
      </x:c>
      <x:c r="I6" s="33" t="str">
        <x:v>y moment</x:v>
      </x:c>
      <x:c r="J6" s="33" t="str">
        <x:v>z moment</x:v>
      </x:c>
      <x:c r="K6" s="33" t="str">
        <x:v>S1</x:v>
      </x:c>
      <x:c r="L6" s="33" t="str">
        <x:v>S2</x:v>
      </x:c>
      <x:c r="M6" s="33" t="str">
        <x:v>S3</x:v>
      </x:c>
      <x:c r="N6" s="33" t="str">
        <x:v>S4</x:v>
      </x:c>
      <x:c r="O6" s="33" t="str">
        <x:v>S5</x:v>
      </x:c>
      <x:c r="P6" s="33" t="str">
        <x:v>S6</x:v>
      </x:c>
    </x:row>
    <x:row r="7">
      <x:c r="B7" s="34" t="str">
        <x:v>ST-1</x:v>
      </x:c>
      <x:c r="C7" s="34" t="str">
        <x:v>structure</x:v>
      </x:c>
      <x:c r="D7" s="84" t="n">
        <x:f>'Mass and Balance'!C8/6</x:f>
        <x:v>14.6</x:v>
      </x:c>
      <x:c r="E7" s="84" t="n">
        <x:v>5.75</x:v>
      </x:c>
      <x:c r="F7" s="84" t="n">
        <x:v>0</x:v>
      </x:c>
      <x:c r="G7" s="84" t="n">
        <x:v>3</x:v>
      </x:c>
      <x:c r="H7" s="84" t="n">
        <x:f>D7*E7</x:f>
        <x:v>83.95</x:v>
      </x:c>
      <x:c r="I7" s="84" t="n">
        <x:f>D7*F7</x:f>
        <x:v>0</x:v>
      </x:c>
      <x:c r="J7" s="84" t="n">
        <x:f>D7*G7</x:f>
        <x:v>43.8</x:v>
      </x:c>
      <x:c r="K7" s="94" t="n">
        <x:f>IF($E7&lt;=$K$5,1,IF(AND($E7&gt;$K$5,$E7&lt;$L$5),($L$5-$E7)/($L$5-$K$5),0))</x:f>
        <x:v>0.7941176470588235</x:v>
      </x:c>
      <x:c r="L7" s="94" t="n">
        <x:f>IF(AND($E7&gt;=K$5,$E7&lt;=L$5),($E7-K$5)/(L$5-K$5),IF(AND($E7&gt;L$5,$E7&lt;M$5),(M$5-$E7)/(M$5-L$5),0))</x:f>
        <x:v>0.20588235294117646</x:v>
      </x:c>
      <x:c r="M7" s="94" t="n">
        <x:f>IF(AND($E7&gt;=L$5,$E7&lt;=M$5),($E7-L$5)/(M$5-L$5),IF(AND($E7&gt;M$5,$E7&lt;N$5),(N$5-$E7)/(N$5-M$5),0))</x:f>
        <x:v>0</x:v>
      </x:c>
      <x:c r="N7" s="94" t="n">
        <x:f>IF(AND($E7&gt;=M$5,$E7&lt;=N$5),($E7-M$5)/(N$5-M$5),IF(AND($E7&gt;N$5,$E7&lt;O$5),(O$5-$E7)/(O$5-N$5),0))</x:f>
        <x:v>0</x:v>
      </x:c>
      <x:c r="O7" s="94" t="n">
        <x:f>IF(AND($E7&gt;=N$5,$E7&lt;=O$5),($E7-N$5)/(O$5-N$5),IF(AND($E7&gt;O$5,$E7&lt;P$5),(P$5-$E7)/(P$5-O$5),0))</x:f>
        <x:v>0</x:v>
      </x:c>
      <x:c r="P7" s="95" t="n">
        <x:f>IF($E7&gt;=$P$5,1,IF(AND($E7&gt;$O$5,$E7&lt;$P$5),($E7-$O$5)/($P$5-$O$5),0))</x:f>
        <x:v>0</x:v>
      </x:c>
    </x:row>
    <x:row r="8">
      <x:c r="B8" s="34" t="str">
        <x:v>ST-2</x:v>
      </x:c>
      <x:c r="C8" s="34" t="str">
        <x:v>structure</x:v>
      </x:c>
      <x:c r="D8" s="84" t="n">
        <x:f>'Mass and Balance'!C8/6</x:f>
        <x:v>14.6</x:v>
      </x:c>
      <x:c r="E8" s="84" t="n">
        <x:v>14.375</x:v>
      </x:c>
      <x:c r="F8" s="84" t="n">
        <x:v>0</x:v>
      </x:c>
      <x:c r="G8" s="84" t="n">
        <x:v>3</x:v>
      </x:c>
      <x:c r="H8" s="84" t="n">
        <x:f>D8*E8</x:f>
        <x:v>209.875</x:v>
      </x:c>
      <x:c r="I8" s="84" t="n">
        <x:f>D8*F8</x:f>
        <x:v>0</x:v>
      </x:c>
      <x:c r="J8" s="84" t="n">
        <x:f>D8*G8</x:f>
        <x:v>43.8</x:v>
      </x:c>
      <x:c r="K8" s="94" t="n">
        <x:f>IF($E8&lt;=$K$5,1,IF(AND($E8&gt;$K$5,$E8&lt;$L$5),($L$5-$E8)/($L$5-$K$5),0))</x:f>
        <x:v>0</x:v>
      </x:c>
      <x:c r="L8" s="94" t="n">
        <x:f>IF(AND($E8&gt;=K$5,$E8&lt;=L$5),($E8-K$5)/(L$5-K$5),IF(AND($E8&gt;L$5,$E8&lt;M$5),(M$5-$E8)/(M$5-L$5),0))</x:f>
        <x:v>0.7321428571428571</x:v>
      </x:c>
      <x:c r="M8" s="94" t="n">
        <x:f>IF(AND($E8&gt;=L$5,$E8&lt;=M$5),($E8-L$5)/(M$5-L$5),IF(AND($E8&gt;M$5,$E8&lt;N$5),(N$5-$E8)/(N$5-M$5),0))</x:f>
        <x:v>0.26785714285714285</x:v>
      </x:c>
      <x:c r="N8" s="94" t="n">
        <x:f>IF(AND($E8&gt;=M$5,$E8&lt;=N$5),($E8-M$5)/(N$5-M$5),IF(AND($E8&gt;N$5,$E8&lt;O$5),(O$5-$E8)/(O$5-N$5),0))</x:f>
        <x:v>0</x:v>
      </x:c>
      <x:c r="O8" s="94" t="n">
        <x:f>IF(AND($E8&gt;=N$5,$E8&lt;=O$5),($E8-N$5)/(O$5-N$5),IF(AND($E8&gt;O$5,$E8&lt;P$5),(P$5-$E8)/(P$5-O$5),0))</x:f>
        <x:v>0</x:v>
      </x:c>
      <x:c r="P8" s="95" t="n">
        <x:f>IF($E8&gt;=$P$5,1,IF(AND($E8&gt;$O$5,$E8&lt;$P$5),($E8-$O$5)/($P$5-$O$5),0))</x:f>
        <x:v>0</x:v>
      </x:c>
    </x:row>
    <x:row r="9">
      <x:c r="B9" s="34" t="str">
        <x:v>ST-3</x:v>
      </x:c>
      <x:c r="C9" s="34" t="str">
        <x:v>structure</x:v>
      </x:c>
      <x:c r="D9" s="84" t="n">
        <x:f>'Mass and Balance'!C8/6</x:f>
        <x:v>14.6</x:v>
      </x:c>
      <x:c r="E9" s="84" t="n">
        <x:v>20.125</x:v>
      </x:c>
      <x:c r="F9" s="84" t="n">
        <x:v>0</x:v>
      </x:c>
      <x:c r="G9" s="84" t="n">
        <x:v>3</x:v>
      </x:c>
      <x:c r="H9" s="84" t="n">
        <x:f>D9*E9</x:f>
        <x:v>293.825</x:v>
      </x:c>
      <x:c r="I9" s="84" t="n">
        <x:f>D9*F9</x:f>
        <x:v>0</x:v>
      </x:c>
      <x:c r="J9" s="84" t="n">
        <x:f>D9*G9</x:f>
        <x:v>43.8</x:v>
      </x:c>
      <x:c r="K9" s="94" t="n">
        <x:f>IF($E9&lt;=$K$5,1,IF(AND($E9&gt;$K$5,$E9&lt;$L$5),($L$5-$E9)/($L$5-$K$5),0))</x:f>
        <x:v>0</x:v>
      </x:c>
      <x:c r="L9" s="94" t="n">
        <x:f>IF(AND($E9&gt;=K$5,$E9&lt;=L$5),($E9-K$5)/(L$5-K$5),IF(AND($E9&gt;L$5,$E9&lt;M$5),(M$5-$E9)/(M$5-L$5),0))</x:f>
        <x:v>0</x:v>
      </x:c>
      <x:c r="M9" s="94" t="n">
        <x:f>IF(AND($E9&gt;=L$5,$E9&lt;=M$5),($E9-L$5)/(M$5-L$5),IF(AND($E9&gt;M$5,$E9&lt;N$5),(N$5-$E9)/(N$5-M$5),0))</x:f>
        <x:v>0.9107142857142857</x:v>
      </x:c>
      <x:c r="N9" s="94" t="n">
        <x:f>IF(AND($E9&gt;=M$5,$E9&lt;=N$5),($E9-M$5)/(N$5-M$5),IF(AND($E9&gt;N$5,$E9&lt;O$5),(O$5-$E9)/(O$5-N$5),0))</x:f>
        <x:v>0.08928571428571429</x:v>
      </x:c>
      <x:c r="O9" s="94" t="n">
        <x:f>IF(AND($E9&gt;=N$5,$E9&lt;=O$5),($E9-N$5)/(O$5-N$5),IF(AND($E9&gt;O$5,$E9&lt;P$5),(P$5-$E9)/(P$5-O$5),0))</x:f>
        <x:v>0</x:v>
      </x:c>
      <x:c r="P9" s="95" t="n">
        <x:f>IF($E9&gt;=$P$5,1,IF(AND($E9&gt;$O$5,$E9&lt;$P$5),($E9-$O$5)/($P$5-$O$5),0))</x:f>
        <x:v>0</x:v>
      </x:c>
    </x:row>
    <x:row r="10">
      <x:c r="B10" s="34" t="str">
        <x:v>ST-4</x:v>
      </x:c>
      <x:c r="C10" s="34" t="str">
        <x:v>structure</x:v>
      </x:c>
      <x:c r="D10" s="84" t="n">
        <x:f>'Mass and Balance'!C8/6</x:f>
        <x:v>14.6</x:v>
      </x:c>
      <x:c r="E10" s="84" t="n">
        <x:v>25.875</x:v>
      </x:c>
      <x:c r="F10" s="84" t="n">
        <x:v>0</x:v>
      </x:c>
      <x:c r="G10" s="84" t="n">
        <x:v>3</x:v>
      </x:c>
      <x:c r="H10" s="84" t="n">
        <x:f>D10*E10</x:f>
        <x:v>377.775</x:v>
      </x:c>
      <x:c r="I10" s="84" t="n">
        <x:f>D10*F10</x:f>
        <x:v>0</x:v>
      </x:c>
      <x:c r="J10" s="84" t="n">
        <x:f>D10*G10</x:f>
        <x:v>43.8</x:v>
      </x:c>
      <x:c r="K10" s="94" t="n">
        <x:f>IF($E10&lt;=$K$5,1,IF(AND($E10&gt;$K$5,$E10&lt;$L$5),($L$5-$E10)/($L$5-$K$5),0))</x:f>
        <x:v>0</x:v>
      </x:c>
      <x:c r="L10" s="94" t="n">
        <x:f>IF(AND($E10&gt;=K$5,$E10&lt;=L$5),($E10-K$5)/(L$5-K$5),IF(AND($E10&gt;L$5,$E10&lt;M$5),(M$5-$E10)/(M$5-L$5),0))</x:f>
        <x:v>0</x:v>
      </x:c>
      <x:c r="M10" s="94" t="n">
        <x:f>IF(AND($E10&gt;=L$5,$E10&lt;=M$5),($E10-L$5)/(M$5-L$5),IF(AND($E10&gt;M$5,$E10&lt;N$5),(N$5-$E10)/(N$5-M$5),0))</x:f>
        <x:v>0.08928571428571429</x:v>
      </x:c>
      <x:c r="N10" s="94" t="n">
        <x:f>IF(AND($E10&gt;=M$5,$E10&lt;=N$5),($E10-M$5)/(N$5-M$5),IF(AND($E10&gt;N$5,$E10&lt;O$5),(O$5-$E10)/(O$5-N$5),0))</x:f>
        <x:v>0.9107142857142857</x:v>
      </x:c>
      <x:c r="O10" s="94" t="n">
        <x:f>IF(AND($E10&gt;=N$5,$E10&lt;=O$5),($E10-N$5)/(O$5-N$5),IF(AND($E10&gt;O$5,$E10&lt;P$5),(P$5-$E10)/(P$5-O$5),0))</x:f>
        <x:v>0</x:v>
      </x:c>
      <x:c r="P10" s="95" t="n">
        <x:f>IF($E10&gt;=$P$5,1,IF(AND($E10&gt;$O$5,$E10&lt;$P$5),($E10-$O$5)/($P$5-$O$5),0))</x:f>
        <x:v>0</x:v>
      </x:c>
    </x:row>
    <x:row r="11">
      <x:c r="B11" s="34" t="str">
        <x:v>ST-5</x:v>
      </x:c>
      <x:c r="C11" s="34" t="str">
        <x:v>structure</x:v>
      </x:c>
      <x:c r="D11" s="84" t="n">
        <x:f>'Mass and Balance'!C8/6</x:f>
        <x:v>14.6</x:v>
      </x:c>
      <x:c r="E11" s="84" t="n">
        <x:v>31.625</x:v>
      </x:c>
      <x:c r="F11" s="84" t="n">
        <x:v>0</x:v>
      </x:c>
      <x:c r="G11" s="84" t="n">
        <x:v>3</x:v>
      </x:c>
      <x:c r="H11" s="84" t="n">
        <x:f>D11*E11</x:f>
        <x:v>461.72499999999997</x:v>
      </x:c>
      <x:c r="I11" s="84" t="n">
        <x:f>D11*F11</x:f>
        <x:v>0</x:v>
      </x:c>
      <x:c r="J11" s="84" t="n">
        <x:f>D11*G11</x:f>
        <x:v>43.8</x:v>
      </x:c>
      <x:c r="K11" s="94" t="n">
        <x:f>IF($E11&lt;=$K$5,1,IF(AND($E11&gt;$K$5,$E11&lt;$L$5),($L$5-$E11)/($L$5-$K$5),0))</x:f>
        <x:v>0</x:v>
      </x:c>
      <x:c r="L11" s="94" t="n">
        <x:f>IF(AND($E11&gt;=K$5,$E11&lt;=L$5),($E11-K$5)/(L$5-K$5),IF(AND($E11&gt;L$5,$E11&lt;M$5),(M$5-$E11)/(M$5-L$5),0))</x:f>
        <x:v>0</x:v>
      </x:c>
      <x:c r="M11" s="94" t="n">
        <x:f>IF(AND($E11&gt;=L$5,$E11&lt;=M$5),($E11-L$5)/(M$5-L$5),IF(AND($E11&gt;M$5,$E11&lt;N$5),(N$5-$E11)/(N$5-M$5),0))</x:f>
        <x:v>0</x:v>
      </x:c>
      <x:c r="N11" s="94" t="n">
        <x:f>IF(AND($E11&gt;=M$5,$E11&lt;=N$5),($E11-M$5)/(N$5-M$5),IF(AND($E11&gt;N$5,$E11&lt;O$5),(O$5-$E11)/(O$5-N$5),0))</x:f>
        <x:v>0.26785714285714285</x:v>
      </x:c>
      <x:c r="O11" s="94" t="n">
        <x:f>IF(AND($E11&gt;=N$5,$E11&lt;=O$5),($E11-N$5)/(O$5-N$5),IF(AND($E11&gt;O$5,$E11&lt;P$5),(P$5-$E11)/(P$5-O$5),0))</x:f>
        <x:v>0.7321428571428571</x:v>
      </x:c>
      <x:c r="P11" s="95" t="n">
        <x:f>IF($E11&gt;=$P$5,1,IF(AND($E11&gt;$O$5,$E11&lt;$P$5),($E11-$O$5)/($P$5-$O$5),0))</x:f>
        <x:v>0</x:v>
      </x:c>
    </x:row>
    <x:row r="12">
      <x:c r="B12" s="34" t="str">
        <x:v>ST-6</x:v>
      </x:c>
      <x:c r="C12" s="34" t="str">
        <x:v>structure</x:v>
      </x:c>
      <x:c r="D12" s="84" t="n">
        <x:f>'Mass and Balance'!C8/6</x:f>
        <x:v>14.6</x:v>
      </x:c>
      <x:c r="E12" s="84" t="n">
        <x:v>40.25</x:v>
      </x:c>
      <x:c r="F12" s="84" t="n">
        <x:v>0</x:v>
      </x:c>
      <x:c r="G12" s="84" t="n">
        <x:v>3</x:v>
      </x:c>
      <x:c r="H12" s="84" t="n">
        <x:f>D12*E12</x:f>
        <x:v>587.65</x:v>
      </x:c>
      <x:c r="I12" s="84" t="n">
        <x:f>D12*F12</x:f>
        <x:v>0</x:v>
      </x:c>
      <x:c r="J12" s="84" t="n">
        <x:f>D12*G12</x:f>
        <x:v>43.8</x:v>
      </x:c>
      <x:c r="K12" s="94" t="n">
        <x:f>IF($E12&lt;=$K$5,1,IF(AND($E12&gt;$K$5,$E12&lt;$L$5),($L$5-$E12)/($L$5-$K$5),0))</x:f>
        <x:v>0</x:v>
      </x:c>
      <x:c r="L12" s="94" t="n">
        <x:f>IF(AND($E12&gt;=K$5,$E12&lt;=L$5),($E12-K$5)/(L$5-K$5),IF(AND($E12&gt;L$5,$E12&lt;M$5),(M$5-$E12)/(M$5-L$5),0))</x:f>
        <x:v>0</x:v>
      </x:c>
      <x:c r="M12" s="94" t="n">
        <x:f>IF(AND($E12&gt;=L$5,$E12&lt;=M$5),($E12-L$5)/(M$5-L$5),IF(AND($E12&gt;M$5,$E12&lt;N$5),(N$5-$E12)/(N$5-M$5),0))</x:f>
        <x:v>0</x:v>
      </x:c>
      <x:c r="N12" s="94" t="n">
        <x:f>IF(AND($E12&gt;=M$5,$E12&lt;=N$5),($E12-M$5)/(N$5-M$5),IF(AND($E12&gt;N$5,$E12&lt;O$5),(O$5-$E12)/(O$5-N$5),0))</x:f>
        <x:v>0</x:v>
      </x:c>
      <x:c r="O12" s="94" t="n">
        <x:f>IF(AND($E12&gt;=N$5,$E12&lt;=O$5),($E12-N$5)/(O$5-N$5),IF(AND($E12&gt;O$5,$E12&lt;P$5),(P$5-$E12)/(P$5-O$5),0))</x:f>
        <x:v>0.20588235294117646</x:v>
      </x:c>
      <x:c r="P12" s="95" t="n">
        <x:f>IF($E12&gt;=$P$5,1,IF(AND($E12&gt;$O$5,$E12&lt;$P$5),($E12-$O$5)/($P$5-$O$5),0))</x:f>
        <x:v>0.7941176470588235</x:v>
      </x:c>
    </x:row>
    <x:row r="13">
      <x:c r="B13" s="34" t="str">
        <x:v>PR-1</x:v>
      </x:c>
      <x:c r="C13" s="34" t="str">
        <x:v>propulsion</x:v>
      </x:c>
      <x:c r="D13" s="84" t="n">
        <x:f>'Mass and Balance'!C9/6</x:f>
        <x:v>11.333333333333334</x:v>
      </x:c>
      <x:c r="E13" s="84" t="n">
        <x:v>4</x:v>
      </x:c>
      <x:c r="F13" s="84" t="n">
        <x:v>0</x:v>
      </x:c>
      <x:c r="G13" s="84" t="n">
        <x:v>2.5</x:v>
      </x:c>
      <x:c r="H13" s="84" t="n">
        <x:f>D13*E13</x:f>
        <x:v>45.333333333333336</x:v>
      </x:c>
      <x:c r="I13" s="84" t="n">
        <x:f>D13*F13</x:f>
        <x:v>0</x:v>
      </x:c>
      <x:c r="J13" s="84" t="n">
        <x:f>D13*G13</x:f>
        <x:v>28.333333333333336</x:v>
      </x:c>
      <x:c r="K13" s="94" t="n">
        <x:f>IF($E13&lt;=$K$5,1,IF(AND($E13&gt;$K$5,$E13&lt;$L$5),($L$5-$E13)/($L$5-$K$5),0))</x:f>
        <x:v>1</x:v>
      </x:c>
      <x:c r="L13" s="94" t="n">
        <x:f>IF(AND($E13&gt;=K$5,$E13&lt;=L$5),($E13-K$5)/(L$5-K$5),IF(AND($E13&gt;L$5,$E13&lt;M$5),(M$5-$E13)/(M$5-L$5),0))</x:f>
        <x:v>0</x:v>
      </x:c>
      <x:c r="M13" s="94" t="n">
        <x:f>IF(AND($E13&gt;=L$5,$E13&lt;=M$5),($E13-L$5)/(M$5-L$5),IF(AND($E13&gt;M$5,$E13&lt;N$5),(N$5-$E13)/(N$5-M$5),0))</x:f>
        <x:v>0</x:v>
      </x:c>
      <x:c r="N13" s="94" t="n">
        <x:f>IF(AND($E13&gt;=M$5,$E13&lt;=N$5),($E13-M$5)/(N$5-M$5),IF(AND($E13&gt;N$5,$E13&lt;O$5),(O$5-$E13)/(O$5-N$5),0))</x:f>
        <x:v>0</x:v>
      </x:c>
      <x:c r="O13" s="94" t="n">
        <x:f>IF(AND($E13&gt;=N$5,$E13&lt;=O$5),($E13-N$5)/(O$5-N$5),IF(AND($E13&gt;O$5,$E13&lt;P$5),(P$5-$E13)/(P$5-O$5),0))</x:f>
        <x:v>0</x:v>
      </x:c>
      <x:c r="P13" s="95" t="n">
        <x:f>IF($E13&gt;=$P$5,1,IF(AND($E13&gt;$O$5,$E13&lt;$P$5),($E13-$O$5)/($P$5-$O$5),0))</x:f>
        <x:v>0</x:v>
      </x:c>
    </x:row>
    <x:row r="14">
      <x:c r="B14" s="34" t="str">
        <x:v>PR-2</x:v>
      </x:c>
      <x:c r="C14" s="34" t="str">
        <x:v>propulsion</x:v>
      </x:c>
      <x:c r="D14" s="84" t="n">
        <x:f>'Mass and Balance'!C9/6</x:f>
        <x:v>11.333333333333334</x:v>
      </x:c>
      <x:c r="E14" s="84" t="n">
        <x:v>12.5</x:v>
      </x:c>
      <x:c r="F14" s="84" t="n">
        <x:v>0</x:v>
      </x:c>
      <x:c r="G14" s="84" t="n">
        <x:v>2.5</x:v>
      </x:c>
      <x:c r="H14" s="84" t="n">
        <x:f>D14*E14</x:f>
        <x:v>141.66666666666669</x:v>
      </x:c>
      <x:c r="I14" s="84" t="n">
        <x:f>D14*F14</x:f>
        <x:v>0</x:v>
      </x:c>
      <x:c r="J14" s="84" t="n">
        <x:f>D14*G14</x:f>
        <x:v>28.333333333333336</x:v>
      </x:c>
      <x:c r="K14" s="94" t="n">
        <x:f>IF($E14&lt;=$K$5,1,IF(AND($E14&gt;$K$5,$E14&lt;$L$5),($L$5-$E14)/($L$5-$K$5),0))</x:f>
        <x:v>0</x:v>
      </x:c>
      <x:c r="L14" s="94" t="n">
        <x:f>IF(AND($E14&gt;=K$5,$E14&lt;=L$5),($E14-K$5)/(L$5-K$5),IF(AND($E14&gt;L$5,$E14&lt;M$5),(M$5-$E14)/(M$5-L$5),0))</x:f>
        <x:v>1</x:v>
      </x:c>
      <x:c r="M14" s="94" t="n">
        <x:f>IF(AND($E14&gt;=L$5,$E14&lt;=M$5),($E14-L$5)/(M$5-L$5),IF(AND($E14&gt;M$5,$E14&lt;N$5),(N$5-$E14)/(N$5-M$5),0))</x:f>
        <x:v>0</x:v>
      </x:c>
      <x:c r="N14" s="94" t="n">
        <x:f>IF(AND($E14&gt;=M$5,$E14&lt;=N$5),($E14-M$5)/(N$5-M$5),IF(AND($E14&gt;N$5,$E14&lt;O$5),(O$5-$E14)/(O$5-N$5),0))</x:f>
        <x:v>0</x:v>
      </x:c>
      <x:c r="O14" s="94" t="n">
        <x:f>IF(AND($E14&gt;=N$5,$E14&lt;=O$5),($E14-N$5)/(O$5-N$5),IF(AND($E14&gt;O$5,$E14&lt;P$5),(P$5-$E14)/(P$5-O$5),0))</x:f>
        <x:v>0</x:v>
      </x:c>
      <x:c r="P14" s="95" t="n">
        <x:f>IF($E14&gt;=$P$5,1,IF(AND($E14&gt;$O$5,$E14&lt;$P$5),($E14-$O$5)/($P$5-$O$5),0))</x:f>
        <x:v>0</x:v>
      </x:c>
    </x:row>
    <x:row r="15">
      <x:c r="B15" s="34" t="str">
        <x:v>PR-3</x:v>
      </x:c>
      <x:c r="C15" s="34" t="str">
        <x:v>propulsion</x:v>
      </x:c>
      <x:c r="D15" s="84" t="n">
        <x:f>'Mass and Balance'!C9/6</x:f>
        <x:v>11.333333333333334</x:v>
      </x:c>
      <x:c r="E15" s="84" t="n">
        <x:v>19.5</x:v>
      </x:c>
      <x:c r="F15" s="84" t="n">
        <x:v>0</x:v>
      </x:c>
      <x:c r="G15" s="84" t="n">
        <x:v>2.5</x:v>
      </x:c>
      <x:c r="H15" s="84" t="n">
        <x:f>D15*E15</x:f>
        <x:v>221</x:v>
      </x:c>
      <x:c r="I15" s="84" t="n">
        <x:f>D15*F15</x:f>
        <x:v>0</x:v>
      </x:c>
      <x:c r="J15" s="84" t="n">
        <x:f>D15*G15</x:f>
        <x:v>28.333333333333336</x:v>
      </x:c>
      <x:c r="K15" s="94" t="n">
        <x:f>IF($E15&lt;=$K$5,1,IF(AND($E15&gt;$K$5,$E15&lt;$L$5),($L$5-$E15)/($L$5-$K$5),0))</x:f>
        <x:v>0</x:v>
      </x:c>
      <x:c r="L15" s="94" t="n">
        <x:f>IF(AND($E15&gt;=K$5,$E15&lt;=L$5),($E15-K$5)/(L$5-K$5),IF(AND($E15&gt;L$5,$E15&lt;M$5),(M$5-$E15)/(M$5-L$5),0))</x:f>
        <x:v>0</x:v>
      </x:c>
      <x:c r="M15" s="94" t="n">
        <x:f>IF(AND($E15&gt;=L$5,$E15&lt;=M$5),($E15-L$5)/(M$5-L$5),IF(AND($E15&gt;M$5,$E15&lt;N$5),(N$5-$E15)/(N$5-M$5),0))</x:f>
        <x:v>1</x:v>
      </x:c>
      <x:c r="N15" s="94" t="n">
        <x:f>IF(AND($E15&gt;=M$5,$E15&lt;=N$5),($E15-M$5)/(N$5-M$5),IF(AND($E15&gt;N$5,$E15&lt;O$5),(O$5-$E15)/(O$5-N$5),0))</x:f>
        <x:v>0</x:v>
      </x:c>
      <x:c r="O15" s="94" t="n">
        <x:f>IF(AND($E15&gt;=N$5,$E15&lt;=O$5),($E15-N$5)/(O$5-N$5),IF(AND($E15&gt;O$5,$E15&lt;P$5),(P$5-$E15)/(P$5-O$5),0))</x:f>
        <x:v>0</x:v>
      </x:c>
      <x:c r="P15" s="95" t="n">
        <x:f>IF($E15&gt;=$P$5,1,IF(AND($E15&gt;$O$5,$E15&lt;$P$5),($E15-$O$5)/($P$5-$O$5),0))</x:f>
        <x:v>0</x:v>
      </x:c>
    </x:row>
    <x:row r="16">
      <x:c r="B16" s="34" t="str">
        <x:v>PR-4</x:v>
      </x:c>
      <x:c r="C16" s="34" t="str">
        <x:v>propulsion</x:v>
      </x:c>
      <x:c r="D16" s="84" t="n">
        <x:f>'Mass and Balance'!C9/6</x:f>
        <x:v>11.333333333333334</x:v>
      </x:c>
      <x:c r="E16" s="84" t="n">
        <x:v>26.5</x:v>
      </x:c>
      <x:c r="F16" s="84" t="n">
        <x:v>0</x:v>
      </x:c>
      <x:c r="G16" s="84" t="n">
        <x:v>2.5</x:v>
      </x:c>
      <x:c r="H16" s="84" t="n">
        <x:f>D16*E16</x:f>
        <x:v>300.33333333333337</x:v>
      </x:c>
      <x:c r="I16" s="84" t="n">
        <x:f>D16*F16</x:f>
        <x:v>0</x:v>
      </x:c>
      <x:c r="J16" s="84" t="n">
        <x:f>D16*G16</x:f>
        <x:v>28.333333333333336</x:v>
      </x:c>
      <x:c r="K16" s="94" t="n">
        <x:f>IF($E16&lt;=$K$5,1,IF(AND($E16&gt;$K$5,$E16&lt;$L$5),($L$5-$E16)/($L$5-$K$5),0))</x:f>
        <x:v>0</x:v>
      </x:c>
      <x:c r="L16" s="94" t="n">
        <x:f>IF(AND($E16&gt;=K$5,$E16&lt;=L$5),($E16-K$5)/(L$5-K$5),IF(AND($E16&gt;L$5,$E16&lt;M$5),(M$5-$E16)/(M$5-L$5),0))</x:f>
        <x:v>0</x:v>
      </x:c>
      <x:c r="M16" s="94" t="n">
        <x:f>IF(AND($E16&gt;=L$5,$E16&lt;=M$5),($E16-L$5)/(M$5-L$5),IF(AND($E16&gt;M$5,$E16&lt;N$5),(N$5-$E16)/(N$5-M$5),0))</x:f>
        <x:v>0</x:v>
      </x:c>
      <x:c r="N16" s="94" t="n">
        <x:f>IF(AND($E16&gt;=M$5,$E16&lt;=N$5),($E16-M$5)/(N$5-M$5),IF(AND($E16&gt;N$5,$E16&lt;O$5),(O$5-$E16)/(O$5-N$5),0))</x:f>
        <x:v>1</x:v>
      </x:c>
      <x:c r="O16" s="94" t="n">
        <x:f>IF(AND($E16&gt;=N$5,$E16&lt;=O$5),($E16-N$5)/(O$5-N$5),IF(AND($E16&gt;O$5,$E16&lt;P$5),(P$5-$E16)/(P$5-O$5),0))</x:f>
        <x:v>0</x:v>
      </x:c>
      <x:c r="P16" s="95" t="n">
        <x:f>IF($E16&gt;=$P$5,1,IF(AND($E16&gt;$O$5,$E16&lt;$P$5),($E16-$O$5)/($P$5-$O$5),0))</x:f>
        <x:v>0</x:v>
      </x:c>
    </x:row>
    <x:row r="17">
      <x:c r="B17" s="34" t="str">
        <x:v>PR-5</x:v>
      </x:c>
      <x:c r="C17" s="34" t="str">
        <x:v>propulsion</x:v>
      </x:c>
      <x:c r="D17" s="84" t="n">
        <x:f>'Mass and Balance'!C9/6</x:f>
        <x:v>11.333333333333334</x:v>
      </x:c>
      <x:c r="E17" s="84" t="n">
        <x:v>33.5</x:v>
      </x:c>
      <x:c r="F17" s="84" t="n">
        <x:v>0</x:v>
      </x:c>
      <x:c r="G17" s="84" t="n">
        <x:v>2.5</x:v>
      </x:c>
      <x:c r="H17" s="84" t="n">
        <x:f>D17*E17</x:f>
        <x:v>379.6666666666667</x:v>
      </x:c>
      <x:c r="I17" s="84" t="n">
        <x:f>D17*F17</x:f>
        <x:v>0</x:v>
      </x:c>
      <x:c r="J17" s="84" t="n">
        <x:f>D17*G17</x:f>
        <x:v>28.333333333333336</x:v>
      </x:c>
      <x:c r="K17" s="94" t="n">
        <x:f>IF($E17&lt;=$K$5,1,IF(AND($E17&gt;$K$5,$E17&lt;$L$5),($L$5-$E17)/($L$5-$K$5),0))</x:f>
        <x:v>0</x:v>
      </x:c>
      <x:c r="L17" s="94" t="n">
        <x:f>IF(AND($E17&gt;=K$5,$E17&lt;=L$5),($E17-K$5)/(L$5-K$5),IF(AND($E17&gt;L$5,$E17&lt;M$5),(M$5-$E17)/(M$5-L$5),0))</x:f>
        <x:v>0</x:v>
      </x:c>
      <x:c r="M17" s="94" t="n">
        <x:f>IF(AND($E17&gt;=L$5,$E17&lt;=M$5),($E17-L$5)/(M$5-L$5),IF(AND($E17&gt;M$5,$E17&lt;N$5),(N$5-$E17)/(N$5-M$5),0))</x:f>
        <x:v>0</x:v>
      </x:c>
      <x:c r="N17" s="94" t="n">
        <x:f>IF(AND($E17&gt;=M$5,$E17&lt;=N$5),($E17-M$5)/(N$5-M$5),IF(AND($E17&gt;N$5,$E17&lt;O$5),(O$5-$E17)/(O$5-N$5),0))</x:f>
        <x:v>0</x:v>
      </x:c>
      <x:c r="O17" s="94" t="n">
        <x:f>IF(AND($E17&gt;=N$5,$E17&lt;=O$5),($E17-N$5)/(O$5-N$5),IF(AND($E17&gt;O$5,$E17&lt;P$5),(P$5-$E17)/(P$5-O$5),0))</x:f>
        <x:v>1</x:v>
      </x:c>
      <x:c r="P17" s="95" t="n">
        <x:f>IF($E17&gt;=$P$5,1,IF(AND($E17&gt;$O$5,$E17&lt;$P$5),($E17-$O$5)/($P$5-$O$5),0))</x:f>
        <x:v>0</x:v>
      </x:c>
    </x:row>
    <x:row r="18">
      <x:c r="B18" s="34" t="str">
        <x:v>PR-6</x:v>
      </x:c>
      <x:c r="C18" s="34" t="str">
        <x:v>propulsion</x:v>
      </x:c>
      <x:c r="D18" s="84" t="n">
        <x:f>'Mass and Balance'!C9/6</x:f>
        <x:v>11.333333333333334</x:v>
      </x:c>
      <x:c r="E18" s="84" t="n">
        <x:v>42</x:v>
      </x:c>
      <x:c r="F18" s="84" t="n">
        <x:v>0</x:v>
      </x:c>
      <x:c r="G18" s="84" t="n">
        <x:v>2.5</x:v>
      </x:c>
      <x:c r="H18" s="84" t="n">
        <x:f>D18*E18</x:f>
        <x:v>476</x:v>
      </x:c>
      <x:c r="I18" s="84" t="n">
        <x:f>D18*F18</x:f>
        <x:v>0</x:v>
      </x:c>
      <x:c r="J18" s="84" t="n">
        <x:f>D18*G18</x:f>
        <x:v>28.333333333333336</x:v>
      </x:c>
      <x:c r="K18" s="94" t="n">
        <x:f>IF($E18&lt;=$K$5,1,IF(AND($E18&gt;$K$5,$E18&lt;$L$5),($L$5-$E18)/($L$5-$K$5),0))</x:f>
        <x:v>0</x:v>
      </x:c>
      <x:c r="L18" s="94" t="n">
        <x:f>IF(AND($E18&gt;=K$5,$E18&lt;=L$5),($E18-K$5)/(L$5-K$5),IF(AND($E18&gt;L$5,$E18&lt;M$5),(M$5-$E18)/(M$5-L$5),0))</x:f>
        <x:v>0</x:v>
      </x:c>
      <x:c r="M18" s="94" t="n">
        <x:f>IF(AND($E18&gt;=L$5,$E18&lt;=M$5),($E18-L$5)/(M$5-L$5),IF(AND($E18&gt;M$5,$E18&lt;N$5),(N$5-$E18)/(N$5-M$5),0))</x:f>
        <x:v>0</x:v>
      </x:c>
      <x:c r="N18" s="94" t="n">
        <x:f>IF(AND($E18&gt;=M$5,$E18&lt;=N$5),($E18-M$5)/(N$5-M$5),IF(AND($E18&gt;N$5,$E18&lt;O$5),(O$5-$E18)/(O$5-N$5),0))</x:f>
        <x:v>0</x:v>
      </x:c>
      <x:c r="O18" s="94" t="n">
        <x:f>IF(AND($E18&gt;=N$5,$E18&lt;=O$5),($E18-N$5)/(O$5-N$5),IF(AND($E18&gt;O$5,$E18&lt;P$5),(P$5-$E18)/(P$5-O$5),0))</x:f>
        <x:v>0</x:v>
      </x:c>
      <x:c r="P18" s="95" t="n">
        <x:f>IF($E18&gt;=$P$5,1,IF(AND($E18&gt;$O$5,$E18&lt;$P$5),($E18-$O$5)/($P$5-$O$5),0))</x:f>
        <x:v>1</x:v>
      </x:c>
    </x:row>
    <x:row r="19">
      <x:c r="B19" s="34" t="str">
        <x:v>EN-1</x:v>
      </x:c>
      <x:c r="C19" s="34" t="str">
        <x:v>energy</x:v>
      </x:c>
      <x:c r="D19" s="84" t="n">
        <x:f>'Mass and Balance'!C10/4</x:f>
        <x:v>46.836845412617706</x:v>
      </x:c>
      <x:c r="E19" s="84" t="n">
        <x:v>6.6</x:v>
      </x:c>
      <x:c r="F19" s="84" t="n">
        <x:v>-2.5</x:v>
      </x:c>
      <x:c r="G19" s="84" t="n">
        <x:v>3.2</x:v>
      </x:c>
      <x:c r="H19" s="84" t="n">
        <x:f>D19*E19</x:f>
        <x:v>309.12317972327685</x:v>
      </x:c>
      <x:c r="I19" s="84" t="n">
        <x:f>D19*F19</x:f>
        <x:v>-117.09211353154427</x:v>
      </x:c>
      <x:c r="J19" s="84" t="n">
        <x:f>D19*G19</x:f>
        <x:v>149.87790532037667</x:v>
      </x:c>
      <x:c r="K19" s="94" t="n">
        <x:f>IF($E19&lt;=$K$5,1,IF(AND($E19&gt;$K$5,$E19&lt;$L$5),($L$5-$E19)/($L$5-$K$5),0))</x:f>
        <x:v>0.6941176470588236</x:v>
      </x:c>
      <x:c r="L19" s="94" t="n">
        <x:f>IF(AND($E19&gt;=K$5,$E19&lt;=L$5),($E19-K$5)/(L$5-K$5),IF(AND($E19&gt;L$5,$E19&lt;M$5),(M$5-$E19)/(M$5-L$5),0))</x:f>
        <x:v>0.30588235294117644</x:v>
      </x:c>
      <x:c r="M19" s="94" t="n">
        <x:f>IF(AND($E19&gt;=L$5,$E19&lt;=M$5),($E19-L$5)/(M$5-L$5),IF(AND($E19&gt;M$5,$E19&lt;N$5),(N$5-$E19)/(N$5-M$5),0))</x:f>
        <x:v>0</x:v>
      </x:c>
      <x:c r="N19" s="94" t="n">
        <x:f>IF(AND($E19&gt;=M$5,$E19&lt;=N$5),($E19-M$5)/(N$5-M$5),IF(AND($E19&gt;N$5,$E19&lt;O$5),(O$5-$E19)/(O$5-N$5),0))</x:f>
        <x:v>0</x:v>
      </x:c>
      <x:c r="O19" s="94" t="n">
        <x:f>IF(AND($E19&gt;=N$5,$E19&lt;=O$5),($E19-N$5)/(O$5-N$5),IF(AND($E19&gt;O$5,$E19&lt;P$5),(P$5-$E19)/(P$5-O$5),0))</x:f>
        <x:v>0</x:v>
      </x:c>
      <x:c r="P19" s="95" t="n">
        <x:f>IF($E19&gt;=$P$5,1,IF(AND($E19&gt;$O$5,$E19&lt;$P$5),($E19-$O$5)/($P$5-$O$5),0))</x:f>
        <x:v>0</x:v>
      </x:c>
    </x:row>
    <x:row r="20">
      <x:c r="B20" s="34" t="str">
        <x:v>EN-2</x:v>
      </x:c>
      <x:c r="C20" s="34" t="str">
        <x:v>energy</x:v>
      </x:c>
      <x:c r="D20" s="84" t="n">
        <x:f>'Mass and Balance'!C10/4</x:f>
        <x:v>46.836845412617706</x:v>
      </x:c>
      <x:c r="E20" s="84" t="n">
        <x:v>6.6</x:v>
      </x:c>
      <x:c r="F20" s="84" t="n">
        <x:v>2.5</x:v>
      </x:c>
      <x:c r="G20" s="84" t="n">
        <x:v>3.2</x:v>
      </x:c>
      <x:c r="H20" s="84" t="n">
        <x:f>D20*E20</x:f>
        <x:v>309.12317972327685</x:v>
      </x:c>
      <x:c r="I20" s="84" t="n">
        <x:f>D20*F20</x:f>
        <x:v>117.09211353154427</x:v>
      </x:c>
      <x:c r="J20" s="84" t="n">
        <x:f>D20*G20</x:f>
        <x:v>149.87790532037667</x:v>
      </x:c>
      <x:c r="K20" s="94" t="n">
        <x:f>IF($E20&lt;=$K$5,1,IF(AND($E20&gt;$K$5,$E20&lt;$L$5),($L$5-$E20)/($L$5-$K$5),0))</x:f>
        <x:v>0.6941176470588236</x:v>
      </x:c>
      <x:c r="L20" s="94" t="n">
        <x:f>IF(AND($E20&gt;=K$5,$E20&lt;=L$5),($E20-K$5)/(L$5-K$5),IF(AND($E20&gt;L$5,$E20&lt;M$5),(M$5-$E20)/(M$5-L$5),0))</x:f>
        <x:v>0.30588235294117644</x:v>
      </x:c>
      <x:c r="M20" s="94" t="n">
        <x:f>IF(AND($E20&gt;=L$5,$E20&lt;=M$5),($E20-L$5)/(M$5-L$5),IF(AND($E20&gt;M$5,$E20&lt;N$5),(N$5-$E20)/(N$5-M$5),0))</x:f>
        <x:v>0</x:v>
      </x:c>
      <x:c r="N20" s="94" t="n">
        <x:f>IF(AND($E20&gt;=M$5,$E20&lt;=N$5),($E20-M$5)/(N$5-M$5),IF(AND($E20&gt;N$5,$E20&lt;O$5),(O$5-$E20)/(O$5-N$5),0))</x:f>
        <x:v>0</x:v>
      </x:c>
      <x:c r="O20" s="94" t="n">
        <x:f>IF(AND($E20&gt;=N$5,$E20&lt;=O$5),($E20-N$5)/(O$5-N$5),IF(AND($E20&gt;O$5,$E20&lt;P$5),(P$5-$E20)/(P$5-O$5),0))</x:f>
        <x:v>0</x:v>
      </x:c>
      <x:c r="P20" s="95" t="n">
        <x:f>IF($E20&gt;=$P$5,1,IF(AND($E20&gt;$O$5,$E20&lt;$P$5),($E20-$O$5)/($P$5-$O$5),0))</x:f>
        <x:v>0</x:v>
      </x:c>
    </x:row>
    <x:row r="21">
      <x:c r="B21" s="34" t="str">
        <x:v>EN-3</x:v>
      </x:c>
      <x:c r="C21" s="34" t="str">
        <x:v>energy</x:v>
      </x:c>
      <x:c r="D21" s="84" t="n">
        <x:f>'Mass and Balance'!C10/4</x:f>
        <x:v>46.836845412617706</x:v>
      </x:c>
      <x:c r="E21" s="84" t="n">
        <x:v>39.4</x:v>
      </x:c>
      <x:c r="F21" s="84" t="n">
        <x:v>-2.5</x:v>
      </x:c>
      <x:c r="G21" s="84" t="n">
        <x:v>3.2</x:v>
      </x:c>
      <x:c r="H21" s="84" t="n">
        <x:f>D21*E21</x:f>
        <x:v>1845.3717092571376</x:v>
      </x:c>
      <x:c r="I21" s="84" t="n">
        <x:f>D21*F21</x:f>
        <x:v>-117.09211353154427</x:v>
      </x:c>
      <x:c r="J21" s="84" t="n">
        <x:f>D21*G21</x:f>
        <x:v>149.87790532037667</x:v>
      </x:c>
      <x:c r="K21" s="94" t="n">
        <x:f>IF($E21&lt;=$K$5,1,IF(AND($E21&gt;$K$5,$E21&lt;$L$5),($L$5-$E21)/($L$5-$K$5),0))</x:f>
        <x:v>0</x:v>
      </x:c>
      <x:c r="L21" s="94" t="n">
        <x:f>IF(AND($E21&gt;=K$5,$E21&lt;=L$5),($E21-K$5)/(L$5-K$5),IF(AND($E21&gt;L$5,$E21&lt;M$5),(M$5-$E21)/(M$5-L$5),0))</x:f>
        <x:v>0</x:v>
      </x:c>
      <x:c r="M21" s="94" t="n">
        <x:f>IF(AND($E21&gt;=L$5,$E21&lt;=M$5),($E21-L$5)/(M$5-L$5),IF(AND($E21&gt;M$5,$E21&lt;N$5),(N$5-$E21)/(N$5-M$5),0))</x:f>
        <x:v>0</x:v>
      </x:c>
      <x:c r="N21" s="94" t="n">
        <x:f>IF(AND($E21&gt;=M$5,$E21&lt;=N$5),($E21-M$5)/(N$5-M$5),IF(AND($E21&gt;N$5,$E21&lt;O$5),(O$5-$E21)/(O$5-N$5),0))</x:f>
        <x:v>0</x:v>
      </x:c>
      <x:c r="O21" s="94" t="n">
        <x:f>IF(AND($E21&gt;=N$5,$E21&lt;=O$5),($E21-N$5)/(O$5-N$5),IF(AND($E21&gt;O$5,$E21&lt;P$5),(P$5-$E21)/(P$5-O$5),0))</x:f>
        <x:v>0.30588235294117666</x:v>
      </x:c>
      <x:c r="P21" s="95" t="n">
        <x:f>IF($E21&gt;=$P$5,1,IF(AND($E21&gt;$O$5,$E21&lt;$P$5),($E21-$O$5)/($P$5-$O$5),0))</x:f>
        <x:v>0.6941176470588234</x:v>
      </x:c>
    </x:row>
    <x:row r="22">
      <x:c r="B22" s="34" t="str">
        <x:v>EN-4</x:v>
      </x:c>
      <x:c r="C22" s="34" t="str">
        <x:v>energy</x:v>
      </x:c>
      <x:c r="D22" s="84" t="n">
        <x:f>'Mass and Balance'!C10/4</x:f>
        <x:v>46.836845412617706</x:v>
      </x:c>
      <x:c r="E22" s="84" t="n">
        <x:v>39.4</x:v>
      </x:c>
      <x:c r="F22" s="84" t="n">
        <x:v>2.5</x:v>
      </x:c>
      <x:c r="G22" s="84" t="n">
        <x:v>3.2</x:v>
      </x:c>
      <x:c r="H22" s="84" t="n">
        <x:f>D22*E22</x:f>
        <x:v>1845.3717092571376</x:v>
      </x:c>
      <x:c r="I22" s="84" t="n">
        <x:f>D22*F22</x:f>
        <x:v>117.09211353154427</x:v>
      </x:c>
      <x:c r="J22" s="84" t="n">
        <x:f>D22*G22</x:f>
        <x:v>149.87790532037667</x:v>
      </x:c>
      <x:c r="K22" s="94" t="n">
        <x:f>IF($E22&lt;=$K$5,1,IF(AND($E22&gt;$K$5,$E22&lt;$L$5),($L$5-$E22)/($L$5-$K$5),0))</x:f>
        <x:v>0</x:v>
      </x:c>
      <x:c r="L22" s="94" t="n">
        <x:f>IF(AND($E22&gt;=K$5,$E22&lt;=L$5),($E22-K$5)/(L$5-K$5),IF(AND($E22&gt;L$5,$E22&lt;M$5),(M$5-$E22)/(M$5-L$5),0))</x:f>
        <x:v>0</x:v>
      </x:c>
      <x:c r="M22" s="94" t="n">
        <x:f>IF(AND($E22&gt;=L$5,$E22&lt;=M$5),($E22-L$5)/(M$5-L$5),IF(AND($E22&gt;M$5,$E22&lt;N$5),(N$5-$E22)/(N$5-M$5),0))</x:f>
        <x:v>0</x:v>
      </x:c>
      <x:c r="N22" s="94" t="n">
        <x:f>IF(AND($E22&gt;=M$5,$E22&lt;=N$5),($E22-M$5)/(N$5-M$5),IF(AND($E22&gt;N$5,$E22&lt;O$5),(O$5-$E22)/(O$5-N$5),0))</x:f>
        <x:v>0</x:v>
      </x:c>
      <x:c r="O22" s="94" t="n">
        <x:f>IF(AND($E22&gt;=N$5,$E22&lt;=O$5),($E22-N$5)/(O$5-N$5),IF(AND($E22&gt;O$5,$E22&lt;P$5),(P$5-$E22)/(P$5-O$5),0))</x:f>
        <x:v>0.30588235294117666</x:v>
      </x:c>
      <x:c r="P22" s="95" t="n">
        <x:f>IF($E22&gt;=$P$5,1,IF(AND($E22&gt;$O$5,$E22&lt;$P$5),($E22-$O$5)/($P$5-$O$5),0))</x:f>
        <x:v>0.6941176470588234</x:v>
      </x:c>
    </x:row>
    <x:row r="23">
      <x:c r="B23" s="34" t="str">
        <x:v>MO-1</x:v>
      </x:c>
      <x:c r="C23" s="34" t="str">
        <x:v>mobility pair</x:v>
      </x:c>
      <x:c r="D23" s="84" t="n">
        <x:f>'Mass and Balance'!C11/6</x:f>
        <x:v>17.266666666666666</x:v>
      </x:c>
      <x:c r="E23" s="84" t="n">
        <x:v>4</x:v>
      </x:c>
      <x:c r="F23" s="84" t="n">
        <x:v>0</x:v>
      </x:c>
      <x:c r="G23" s="84" t="n">
        <x:v>1.2</x:v>
      </x:c>
      <x:c r="H23" s="84" t="n">
        <x:f>D23*E23</x:f>
        <x:v>69.06666666666666</x:v>
      </x:c>
      <x:c r="I23" s="84" t="n">
        <x:f>D23*F23</x:f>
        <x:v>0</x:v>
      </x:c>
      <x:c r="J23" s="84" t="n">
        <x:f>D23*G23</x:f>
        <x:v>20.72</x:v>
      </x:c>
      <x:c r="K23" s="94" t="n">
        <x:f>IF($E23&lt;=$K$5,1,IF(AND($E23&gt;$K$5,$E23&lt;$L$5),($L$5-$E23)/($L$5-$K$5),0))</x:f>
        <x:v>1</x:v>
      </x:c>
      <x:c r="L23" s="94" t="n">
        <x:f>IF(AND($E23&gt;=K$5,$E23&lt;=L$5),($E23-K$5)/(L$5-K$5),IF(AND($E23&gt;L$5,$E23&lt;M$5),(M$5-$E23)/(M$5-L$5),0))</x:f>
        <x:v>0</x:v>
      </x:c>
      <x:c r="M23" s="94" t="n">
        <x:f>IF(AND($E23&gt;=L$5,$E23&lt;=M$5),($E23-L$5)/(M$5-L$5),IF(AND($E23&gt;M$5,$E23&lt;N$5),(N$5-$E23)/(N$5-M$5),0))</x:f>
        <x:v>0</x:v>
      </x:c>
      <x:c r="N23" s="94" t="n">
        <x:f>IF(AND($E23&gt;=M$5,$E23&lt;=N$5),($E23-M$5)/(N$5-M$5),IF(AND($E23&gt;N$5,$E23&lt;O$5),(O$5-$E23)/(O$5-N$5),0))</x:f>
        <x:v>0</x:v>
      </x:c>
      <x:c r="O23" s="94" t="n">
        <x:f>IF(AND($E23&gt;=N$5,$E23&lt;=O$5),($E23-N$5)/(O$5-N$5),IF(AND($E23&gt;O$5,$E23&lt;P$5),(P$5-$E23)/(P$5-O$5),0))</x:f>
        <x:v>0</x:v>
      </x:c>
      <x:c r="P23" s="95" t="n">
        <x:f>IF($E23&gt;=$P$5,1,IF(AND($E23&gt;$O$5,$E23&lt;$P$5),($E23-$O$5)/($P$5-$O$5),0))</x:f>
        <x:v>0</x:v>
      </x:c>
    </x:row>
    <x:row r="24">
      <x:c r="B24" s="34" t="str">
        <x:v>MO-2</x:v>
      </x:c>
      <x:c r="C24" s="34" t="str">
        <x:v>mobility pair</x:v>
      </x:c>
      <x:c r="D24" s="84" t="n">
        <x:f>'Mass and Balance'!C11/6</x:f>
        <x:v>17.266666666666666</x:v>
      </x:c>
      <x:c r="E24" s="84" t="n">
        <x:v>12.5</x:v>
      </x:c>
      <x:c r="F24" s="84" t="n">
        <x:v>0</x:v>
      </x:c>
      <x:c r="G24" s="84" t="n">
        <x:v>1.2</x:v>
      </x:c>
      <x:c r="H24" s="84" t="n">
        <x:f>D24*E24</x:f>
        <x:v>215.83333333333331</x:v>
      </x:c>
      <x:c r="I24" s="84" t="n">
        <x:f>D24*F24</x:f>
        <x:v>0</x:v>
      </x:c>
      <x:c r="J24" s="84" t="n">
        <x:f>D24*G24</x:f>
        <x:v>20.72</x:v>
      </x:c>
      <x:c r="K24" s="94" t="n">
        <x:f>IF($E24&lt;=$K$5,1,IF(AND($E24&gt;$K$5,$E24&lt;$L$5),($L$5-$E24)/($L$5-$K$5),0))</x:f>
        <x:v>0</x:v>
      </x:c>
      <x:c r="L24" s="94" t="n">
        <x:f>IF(AND($E24&gt;=K$5,$E24&lt;=L$5),($E24-K$5)/(L$5-K$5),IF(AND($E24&gt;L$5,$E24&lt;M$5),(M$5-$E24)/(M$5-L$5),0))</x:f>
        <x:v>1</x:v>
      </x:c>
      <x:c r="M24" s="94" t="n">
        <x:f>IF(AND($E24&gt;=L$5,$E24&lt;=M$5),($E24-L$5)/(M$5-L$5),IF(AND($E24&gt;M$5,$E24&lt;N$5),(N$5-$E24)/(N$5-M$5),0))</x:f>
        <x:v>0</x:v>
      </x:c>
      <x:c r="N24" s="94" t="n">
        <x:f>IF(AND($E24&gt;=M$5,$E24&lt;=N$5),($E24-M$5)/(N$5-M$5),IF(AND($E24&gt;N$5,$E24&lt;O$5),(O$5-$E24)/(O$5-N$5),0))</x:f>
        <x:v>0</x:v>
      </x:c>
      <x:c r="O24" s="94" t="n">
        <x:f>IF(AND($E24&gt;=N$5,$E24&lt;=O$5),($E24-N$5)/(O$5-N$5),IF(AND($E24&gt;O$5,$E24&lt;P$5),(P$5-$E24)/(P$5-O$5),0))</x:f>
        <x:v>0</x:v>
      </x:c>
      <x:c r="P24" s="95" t="n">
        <x:f>IF($E24&gt;=$P$5,1,IF(AND($E24&gt;$O$5,$E24&lt;$P$5),($E24-$O$5)/($P$5-$O$5),0))</x:f>
        <x:v>0</x:v>
      </x:c>
    </x:row>
    <x:row r="25">
      <x:c r="B25" s="34" t="str">
        <x:v>MO-3</x:v>
      </x:c>
      <x:c r="C25" s="34" t="str">
        <x:v>mobility pair</x:v>
      </x:c>
      <x:c r="D25" s="84" t="n">
        <x:f>'Mass and Balance'!C11/6</x:f>
        <x:v>17.266666666666666</x:v>
      </x:c>
      <x:c r="E25" s="84" t="n">
        <x:v>19.5</x:v>
      </x:c>
      <x:c r="F25" s="84" t="n">
        <x:v>0</x:v>
      </x:c>
      <x:c r="G25" s="84" t="n">
        <x:v>1.2</x:v>
      </x:c>
      <x:c r="H25" s="84" t="n">
        <x:f>D25*E25</x:f>
        <x:v>336.7</x:v>
      </x:c>
      <x:c r="I25" s="84" t="n">
        <x:f>D25*F25</x:f>
        <x:v>0</x:v>
      </x:c>
      <x:c r="J25" s="84" t="n">
        <x:f>D25*G25</x:f>
        <x:v>20.72</x:v>
      </x:c>
      <x:c r="K25" s="94" t="n">
        <x:f>IF($E25&lt;=$K$5,1,IF(AND($E25&gt;$K$5,$E25&lt;$L$5),($L$5-$E25)/($L$5-$K$5),0))</x:f>
        <x:v>0</x:v>
      </x:c>
      <x:c r="L25" s="94" t="n">
        <x:f>IF(AND($E25&gt;=K$5,$E25&lt;=L$5),($E25-K$5)/(L$5-K$5),IF(AND($E25&gt;L$5,$E25&lt;M$5),(M$5-$E25)/(M$5-L$5),0))</x:f>
        <x:v>0</x:v>
      </x:c>
      <x:c r="M25" s="94" t="n">
        <x:f>IF(AND($E25&gt;=L$5,$E25&lt;=M$5),($E25-L$5)/(M$5-L$5),IF(AND($E25&gt;M$5,$E25&lt;N$5),(N$5-$E25)/(N$5-M$5),0))</x:f>
        <x:v>1</x:v>
      </x:c>
      <x:c r="N25" s="94" t="n">
        <x:f>IF(AND($E25&gt;=M$5,$E25&lt;=N$5),($E25-M$5)/(N$5-M$5),IF(AND($E25&gt;N$5,$E25&lt;O$5),(O$5-$E25)/(O$5-N$5),0))</x:f>
        <x:v>0</x:v>
      </x:c>
      <x:c r="O25" s="94" t="n">
        <x:f>IF(AND($E25&gt;=N$5,$E25&lt;=O$5),($E25-N$5)/(O$5-N$5),IF(AND($E25&gt;O$5,$E25&lt;P$5),(P$5-$E25)/(P$5-O$5),0))</x:f>
        <x:v>0</x:v>
      </x:c>
      <x:c r="P25" s="95" t="n">
        <x:f>IF($E25&gt;=$P$5,1,IF(AND($E25&gt;$O$5,$E25&lt;$P$5),($E25-$O$5)/($P$5-$O$5),0))</x:f>
        <x:v>0</x:v>
      </x:c>
    </x:row>
    <x:row r="26">
      <x:c r="B26" s="34" t="str">
        <x:v>MO-4</x:v>
      </x:c>
      <x:c r="C26" s="34" t="str">
        <x:v>mobility pair</x:v>
      </x:c>
      <x:c r="D26" s="84" t="n">
        <x:f>'Mass and Balance'!C11/6</x:f>
        <x:v>17.266666666666666</x:v>
      </x:c>
      <x:c r="E26" s="84" t="n">
        <x:v>26.5</x:v>
      </x:c>
      <x:c r="F26" s="84" t="n">
        <x:v>0</x:v>
      </x:c>
      <x:c r="G26" s="84" t="n">
        <x:v>1.2</x:v>
      </x:c>
      <x:c r="H26" s="84" t="n">
        <x:f>D26*E26</x:f>
        <x:v>457.56666666666666</x:v>
      </x:c>
      <x:c r="I26" s="84" t="n">
        <x:f>D26*F26</x:f>
        <x:v>0</x:v>
      </x:c>
      <x:c r="J26" s="84" t="n">
        <x:f>D26*G26</x:f>
        <x:v>20.72</x:v>
      </x:c>
      <x:c r="K26" s="94" t="n">
        <x:f>IF($E26&lt;=$K$5,1,IF(AND($E26&gt;$K$5,$E26&lt;$L$5),($L$5-$E26)/($L$5-$K$5),0))</x:f>
        <x:v>0</x:v>
      </x:c>
      <x:c r="L26" s="94" t="n">
        <x:f>IF(AND($E26&gt;=K$5,$E26&lt;=L$5),($E26-K$5)/(L$5-K$5),IF(AND($E26&gt;L$5,$E26&lt;M$5),(M$5-$E26)/(M$5-L$5),0))</x:f>
        <x:v>0</x:v>
      </x:c>
      <x:c r="M26" s="94" t="n">
        <x:f>IF(AND($E26&gt;=L$5,$E26&lt;=M$5),($E26-L$5)/(M$5-L$5),IF(AND($E26&gt;M$5,$E26&lt;N$5),(N$5-$E26)/(N$5-M$5),0))</x:f>
        <x:v>0</x:v>
      </x:c>
      <x:c r="N26" s="94" t="n">
        <x:f>IF(AND($E26&gt;=M$5,$E26&lt;=N$5),($E26-M$5)/(N$5-M$5),IF(AND($E26&gt;N$5,$E26&lt;O$5),(O$5-$E26)/(O$5-N$5),0))</x:f>
        <x:v>1</x:v>
      </x:c>
      <x:c r="O26" s="94" t="n">
        <x:f>IF(AND($E26&gt;=N$5,$E26&lt;=O$5),($E26-N$5)/(O$5-N$5),IF(AND($E26&gt;O$5,$E26&lt;P$5),(P$5-$E26)/(P$5-O$5),0))</x:f>
        <x:v>0</x:v>
      </x:c>
      <x:c r="P26" s="95" t="n">
        <x:f>IF($E26&gt;=$P$5,1,IF(AND($E26&gt;$O$5,$E26&lt;$P$5),($E26-$O$5)/($P$5-$O$5),0))</x:f>
        <x:v>0</x:v>
      </x:c>
    </x:row>
    <x:row r="27">
      <x:c r="B27" s="34" t="str">
        <x:v>MO-5</x:v>
      </x:c>
      <x:c r="C27" s="34" t="str">
        <x:v>mobility pair</x:v>
      </x:c>
      <x:c r="D27" s="84" t="n">
        <x:f>'Mass and Balance'!C11/6</x:f>
        <x:v>17.266666666666666</x:v>
      </x:c>
      <x:c r="E27" s="84" t="n">
        <x:v>33.5</x:v>
      </x:c>
      <x:c r="F27" s="84" t="n">
        <x:v>0</x:v>
      </x:c>
      <x:c r="G27" s="84" t="n">
        <x:v>1.2</x:v>
      </x:c>
      <x:c r="H27" s="84" t="n">
        <x:f>D27*E27</x:f>
        <x:v>578.4333333333333</x:v>
      </x:c>
      <x:c r="I27" s="84" t="n">
        <x:f>D27*F27</x:f>
        <x:v>0</x:v>
      </x:c>
      <x:c r="J27" s="84" t="n">
        <x:f>D27*G27</x:f>
        <x:v>20.72</x:v>
      </x:c>
      <x:c r="K27" s="94" t="n">
        <x:f>IF($E27&lt;=$K$5,1,IF(AND($E27&gt;$K$5,$E27&lt;$L$5),($L$5-$E27)/($L$5-$K$5),0))</x:f>
        <x:v>0</x:v>
      </x:c>
      <x:c r="L27" s="94" t="n">
        <x:f>IF(AND($E27&gt;=K$5,$E27&lt;=L$5),($E27-K$5)/(L$5-K$5),IF(AND($E27&gt;L$5,$E27&lt;M$5),(M$5-$E27)/(M$5-L$5),0))</x:f>
        <x:v>0</x:v>
      </x:c>
      <x:c r="M27" s="94" t="n">
        <x:f>IF(AND($E27&gt;=L$5,$E27&lt;=M$5),($E27-L$5)/(M$5-L$5),IF(AND($E27&gt;M$5,$E27&lt;N$5),(N$5-$E27)/(N$5-M$5),0))</x:f>
        <x:v>0</x:v>
      </x:c>
      <x:c r="N27" s="94" t="n">
        <x:f>IF(AND($E27&gt;=M$5,$E27&lt;=N$5),($E27-M$5)/(N$5-M$5),IF(AND($E27&gt;N$5,$E27&lt;O$5),(O$5-$E27)/(O$5-N$5),0))</x:f>
        <x:v>0</x:v>
      </x:c>
      <x:c r="O27" s="94" t="n">
        <x:f>IF(AND($E27&gt;=N$5,$E27&lt;=O$5),($E27-N$5)/(O$5-N$5),IF(AND($E27&gt;O$5,$E27&lt;P$5),(P$5-$E27)/(P$5-O$5),0))</x:f>
        <x:v>1</x:v>
      </x:c>
      <x:c r="P27" s="95" t="n">
        <x:f>IF($E27&gt;=$P$5,1,IF(AND($E27&gt;$O$5,$E27&lt;$P$5),($E27-$O$5)/($P$5-$O$5),0))</x:f>
        <x:v>0</x:v>
      </x:c>
    </x:row>
    <x:row r="28">
      <x:c r="B28" s="34" t="str">
        <x:v>MO-6</x:v>
      </x:c>
      <x:c r="C28" s="34" t="str">
        <x:v>mobility pair</x:v>
      </x:c>
      <x:c r="D28" s="84" t="n">
        <x:f>'Mass and Balance'!C11/6</x:f>
        <x:v>17.266666666666666</x:v>
      </x:c>
      <x:c r="E28" s="84" t="n">
        <x:v>42</x:v>
      </x:c>
      <x:c r="F28" s="84" t="n">
        <x:v>0</x:v>
      </x:c>
      <x:c r="G28" s="84" t="n">
        <x:v>1.2</x:v>
      </x:c>
      <x:c r="H28" s="84" t="n">
        <x:f>D28*E28</x:f>
        <x:v>725.1999999999999</x:v>
      </x:c>
      <x:c r="I28" s="84" t="n">
        <x:f>D28*F28</x:f>
        <x:v>0</x:v>
      </x:c>
      <x:c r="J28" s="84" t="n">
        <x:f>D28*G28</x:f>
        <x:v>20.72</x:v>
      </x:c>
      <x:c r="K28" s="94" t="n">
        <x:f>IF($E28&lt;=$K$5,1,IF(AND($E28&gt;$K$5,$E28&lt;$L$5),($L$5-$E28)/($L$5-$K$5),0))</x:f>
        <x:v>0</x:v>
      </x:c>
      <x:c r="L28" s="94" t="n">
        <x:f>IF(AND($E28&gt;=K$5,$E28&lt;=L$5),($E28-K$5)/(L$5-K$5),IF(AND($E28&gt;L$5,$E28&lt;M$5),(M$5-$E28)/(M$5-L$5),0))</x:f>
        <x:v>0</x:v>
      </x:c>
      <x:c r="M28" s="94" t="n">
        <x:f>IF(AND($E28&gt;=L$5,$E28&lt;=M$5),($E28-L$5)/(M$5-L$5),IF(AND($E28&gt;M$5,$E28&lt;N$5),(N$5-$E28)/(N$5-M$5),0))</x:f>
        <x:v>0</x:v>
      </x:c>
      <x:c r="N28" s="94" t="n">
        <x:f>IF(AND($E28&gt;=M$5,$E28&lt;=N$5),($E28-M$5)/(N$5-M$5),IF(AND($E28&gt;N$5,$E28&lt;O$5),(O$5-$E28)/(O$5-N$5),0))</x:f>
        <x:v>0</x:v>
      </x:c>
      <x:c r="O28" s="94" t="n">
        <x:f>IF(AND($E28&gt;=N$5,$E28&lt;=O$5),($E28-N$5)/(O$5-N$5),IF(AND($E28&gt;O$5,$E28&lt;P$5),(P$5-$E28)/(P$5-O$5),0))</x:f>
        <x:v>0</x:v>
      </x:c>
      <x:c r="P28" s="95" t="n">
        <x:f>IF($E28&gt;=$P$5,1,IF(AND($E28&gt;$O$5,$E28&lt;$P$5),($E28-$O$5)/($P$5-$O$5),0))</x:f>
        <x:v>1</x:v>
      </x:c>
    </x:row>
    <x:row r="29">
      <x:c r="B29" s="34" t="str">
        <x:v>PH-1</x:v>
      </x:c>
      <x:c r="C29" s="34" t="str">
        <x:v>payload handling</x:v>
      </x:c>
      <x:c r="D29" s="84" t="n">
        <x:f>'Mass and Balance'!C12/4</x:f>
        <x:v>6</x:v>
      </x:c>
      <x:c r="E29" s="84" t="n">
        <x:v>14.375</x:v>
      </x:c>
      <x:c r="F29" s="84" t="n">
        <x:v>0</x:v>
      </x:c>
      <x:c r="G29" s="84" t="n">
        <x:v>4.4</x:v>
      </x:c>
      <x:c r="H29" s="84" t="n">
        <x:f>D29*E29</x:f>
        <x:v>86.25</x:v>
      </x:c>
      <x:c r="I29" s="84" t="n">
        <x:f>D29*F29</x:f>
        <x:v>0</x:v>
      </x:c>
      <x:c r="J29" s="84" t="n">
        <x:f>D29*G29</x:f>
        <x:v>26.400000000000002</x:v>
      </x:c>
      <x:c r="K29" s="94" t="n">
        <x:f>IF($E29&lt;=$K$5,1,IF(AND($E29&gt;$K$5,$E29&lt;$L$5),($L$5-$E29)/($L$5-$K$5),0))</x:f>
        <x:v>0</x:v>
      </x:c>
      <x:c r="L29" s="94" t="n">
        <x:f>IF(AND($E29&gt;=K$5,$E29&lt;=L$5),($E29-K$5)/(L$5-K$5),IF(AND($E29&gt;L$5,$E29&lt;M$5),(M$5-$E29)/(M$5-L$5),0))</x:f>
        <x:v>0.7321428571428571</x:v>
      </x:c>
      <x:c r="M29" s="94" t="n">
        <x:f>IF(AND($E29&gt;=L$5,$E29&lt;=M$5),($E29-L$5)/(M$5-L$5),IF(AND($E29&gt;M$5,$E29&lt;N$5),(N$5-$E29)/(N$5-M$5),0))</x:f>
        <x:v>0.26785714285714285</x:v>
      </x:c>
      <x:c r="N29" s="94" t="n">
        <x:f>IF(AND($E29&gt;=M$5,$E29&lt;=N$5),($E29-M$5)/(N$5-M$5),IF(AND($E29&gt;N$5,$E29&lt;O$5),(O$5-$E29)/(O$5-N$5),0))</x:f>
        <x:v>0</x:v>
      </x:c>
      <x:c r="O29" s="94" t="n">
        <x:f>IF(AND($E29&gt;=N$5,$E29&lt;=O$5),($E29-N$5)/(O$5-N$5),IF(AND($E29&gt;O$5,$E29&lt;P$5),(P$5-$E29)/(P$5-O$5),0))</x:f>
        <x:v>0</x:v>
      </x:c>
      <x:c r="P29" s="95" t="n">
        <x:f>IF($E29&gt;=$P$5,1,IF(AND($E29&gt;$O$5,$E29&lt;$P$5),($E29-$O$5)/($P$5-$O$5),0))</x:f>
        <x:v>0</x:v>
      </x:c>
    </x:row>
    <x:row r="30">
      <x:c r="B30" s="34" t="str">
        <x:v>PH-2</x:v>
      </x:c>
      <x:c r="C30" s="34" t="str">
        <x:v>payload handling</x:v>
      </x:c>
      <x:c r="D30" s="84" t="n">
        <x:f>'Mass and Balance'!C12/4</x:f>
        <x:v>6</x:v>
      </x:c>
      <x:c r="E30" s="84" t="n">
        <x:v>20.125</x:v>
      </x:c>
      <x:c r="F30" s="84" t="n">
        <x:v>0</x:v>
      </x:c>
      <x:c r="G30" s="84" t="n">
        <x:v>4.4</x:v>
      </x:c>
      <x:c r="H30" s="84" t="n">
        <x:f>D30*E30</x:f>
        <x:v>120.75</x:v>
      </x:c>
      <x:c r="I30" s="84" t="n">
        <x:f>D30*F30</x:f>
        <x:v>0</x:v>
      </x:c>
      <x:c r="J30" s="84" t="n">
        <x:f>D30*G30</x:f>
        <x:v>26.400000000000002</x:v>
      </x:c>
      <x:c r="K30" s="94" t="n">
        <x:f>IF($E30&lt;=$K$5,1,IF(AND($E30&gt;$K$5,$E30&lt;$L$5),($L$5-$E30)/($L$5-$K$5),0))</x:f>
        <x:v>0</x:v>
      </x:c>
      <x:c r="L30" s="94" t="n">
        <x:f>IF(AND($E30&gt;=K$5,$E30&lt;=L$5),($E30-K$5)/(L$5-K$5),IF(AND($E30&gt;L$5,$E30&lt;M$5),(M$5-$E30)/(M$5-L$5),0))</x:f>
        <x:v>0</x:v>
      </x:c>
      <x:c r="M30" s="94" t="n">
        <x:f>IF(AND($E30&gt;=L$5,$E30&lt;=M$5),($E30-L$5)/(M$5-L$5),IF(AND($E30&gt;M$5,$E30&lt;N$5),(N$5-$E30)/(N$5-M$5),0))</x:f>
        <x:v>0.9107142857142857</x:v>
      </x:c>
      <x:c r="N30" s="94" t="n">
        <x:f>IF(AND($E30&gt;=M$5,$E30&lt;=N$5),($E30-M$5)/(N$5-M$5),IF(AND($E30&gt;N$5,$E30&lt;O$5),(O$5-$E30)/(O$5-N$5),0))</x:f>
        <x:v>0.08928571428571429</x:v>
      </x:c>
      <x:c r="O30" s="94" t="n">
        <x:f>IF(AND($E30&gt;=N$5,$E30&lt;=O$5),($E30-N$5)/(O$5-N$5),IF(AND($E30&gt;O$5,$E30&lt;P$5),(P$5-$E30)/(P$5-O$5),0))</x:f>
        <x:v>0</x:v>
      </x:c>
      <x:c r="P30" s="95" t="n">
        <x:f>IF($E30&gt;=$P$5,1,IF(AND($E30&gt;$O$5,$E30&lt;$P$5),($E30-$O$5)/($P$5-$O$5),0))</x:f>
        <x:v>0</x:v>
      </x:c>
    </x:row>
    <x:row r="31">
      <x:c r="B31" s="34" t="str">
        <x:v>PH-3</x:v>
      </x:c>
      <x:c r="C31" s="34" t="str">
        <x:v>payload handling</x:v>
      </x:c>
      <x:c r="D31" s="84" t="n">
        <x:f>'Mass and Balance'!C12/4</x:f>
        <x:v>6</x:v>
      </x:c>
      <x:c r="E31" s="84" t="n">
        <x:v>25.875</x:v>
      </x:c>
      <x:c r="F31" s="84" t="n">
        <x:v>0</x:v>
      </x:c>
      <x:c r="G31" s="84" t="n">
        <x:v>4.4</x:v>
      </x:c>
      <x:c r="H31" s="84" t="n">
        <x:f>D31*E31</x:f>
        <x:v>155.25</x:v>
      </x:c>
      <x:c r="I31" s="84" t="n">
        <x:f>D31*F31</x:f>
        <x:v>0</x:v>
      </x:c>
      <x:c r="J31" s="84" t="n">
        <x:f>D31*G31</x:f>
        <x:v>26.400000000000002</x:v>
      </x:c>
      <x:c r="K31" s="94" t="n">
        <x:f>IF($E31&lt;=$K$5,1,IF(AND($E31&gt;$K$5,$E31&lt;$L$5),($L$5-$E31)/($L$5-$K$5),0))</x:f>
        <x:v>0</x:v>
      </x:c>
      <x:c r="L31" s="94" t="n">
        <x:f>IF(AND($E31&gt;=K$5,$E31&lt;=L$5),($E31-K$5)/(L$5-K$5),IF(AND($E31&gt;L$5,$E31&lt;M$5),(M$5-$E31)/(M$5-L$5),0))</x:f>
        <x:v>0</x:v>
      </x:c>
      <x:c r="M31" s="94" t="n">
        <x:f>IF(AND($E31&gt;=L$5,$E31&lt;=M$5),($E31-L$5)/(M$5-L$5),IF(AND($E31&gt;M$5,$E31&lt;N$5),(N$5-$E31)/(N$5-M$5),0))</x:f>
        <x:v>0.08928571428571429</x:v>
      </x:c>
      <x:c r="N31" s="94" t="n">
        <x:f>IF(AND($E31&gt;=M$5,$E31&lt;=N$5),($E31-M$5)/(N$5-M$5),IF(AND($E31&gt;N$5,$E31&lt;O$5),(O$5-$E31)/(O$5-N$5),0))</x:f>
        <x:v>0.9107142857142857</x:v>
      </x:c>
      <x:c r="O31" s="94" t="n">
        <x:f>IF(AND($E31&gt;=N$5,$E31&lt;=O$5),($E31-N$5)/(O$5-N$5),IF(AND($E31&gt;O$5,$E31&lt;P$5),(P$5-$E31)/(P$5-O$5),0))</x:f>
        <x:v>0</x:v>
      </x:c>
      <x:c r="P31" s="95" t="n">
        <x:f>IF($E31&gt;=$P$5,1,IF(AND($E31&gt;$O$5,$E31&lt;$P$5),($E31-$O$5)/($P$5-$O$5),0))</x:f>
        <x:v>0</x:v>
      </x:c>
    </x:row>
    <x:row r="32">
      <x:c r="B32" s="34" t="str">
        <x:v>PH-4</x:v>
      </x:c>
      <x:c r="C32" s="34" t="str">
        <x:v>payload handling</x:v>
      </x:c>
      <x:c r="D32" s="84" t="n">
        <x:f>'Mass and Balance'!C12/4</x:f>
        <x:v>6</x:v>
      </x:c>
      <x:c r="E32" s="84" t="n">
        <x:v>31.625</x:v>
      </x:c>
      <x:c r="F32" s="84" t="n">
        <x:v>0</x:v>
      </x:c>
      <x:c r="G32" s="84" t="n">
        <x:v>4.4</x:v>
      </x:c>
      <x:c r="H32" s="84" t="n">
        <x:f>D32*E32</x:f>
        <x:v>189.75</x:v>
      </x:c>
      <x:c r="I32" s="84" t="n">
        <x:f>D32*F32</x:f>
        <x:v>0</x:v>
      </x:c>
      <x:c r="J32" s="84" t="n">
        <x:f>D32*G32</x:f>
        <x:v>26.400000000000002</x:v>
      </x:c>
      <x:c r="K32" s="94" t="n">
        <x:f>IF($E32&lt;=$K$5,1,IF(AND($E32&gt;$K$5,$E32&lt;$L$5),($L$5-$E32)/($L$5-$K$5),0))</x:f>
        <x:v>0</x:v>
      </x:c>
      <x:c r="L32" s="94" t="n">
        <x:f>IF(AND($E32&gt;=K$5,$E32&lt;=L$5),($E32-K$5)/(L$5-K$5),IF(AND($E32&gt;L$5,$E32&lt;M$5),(M$5-$E32)/(M$5-L$5),0))</x:f>
        <x:v>0</x:v>
      </x:c>
      <x:c r="M32" s="94" t="n">
        <x:f>IF(AND($E32&gt;=L$5,$E32&lt;=M$5),($E32-L$5)/(M$5-L$5),IF(AND($E32&gt;M$5,$E32&lt;N$5),(N$5-$E32)/(N$5-M$5),0))</x:f>
        <x:v>0</x:v>
      </x:c>
      <x:c r="N32" s="94" t="n">
        <x:f>IF(AND($E32&gt;=M$5,$E32&lt;=N$5),($E32-M$5)/(N$5-M$5),IF(AND($E32&gt;N$5,$E32&lt;O$5),(O$5-$E32)/(O$5-N$5),0))</x:f>
        <x:v>0.26785714285714285</x:v>
      </x:c>
      <x:c r="O32" s="94" t="n">
        <x:f>IF(AND($E32&gt;=N$5,$E32&lt;=O$5),($E32-N$5)/(O$5-N$5),IF(AND($E32&gt;O$5,$E32&lt;P$5),(P$5-$E32)/(P$5-O$5),0))</x:f>
        <x:v>0.7321428571428571</x:v>
      </x:c>
      <x:c r="P32" s="95" t="n">
        <x:f>IF($E32&gt;=$P$5,1,IF(AND($E32&gt;$O$5,$E32&lt;$P$5),($E32-$O$5)/($P$5-$O$5),0))</x:f>
        <x:v>0</x:v>
      </x:c>
    </x:row>
    <x:row r="33">
      <x:c r="B33" s="34" t="str">
        <x:v>RK-1</x:v>
      </x:c>
      <x:c r="C33" s="34" t="str">
        <x:v>route kit</x:v>
      </x:c>
      <x:c r="D33" s="84" t="n">
        <x:f>'Mass and Balance'!C13/2</x:f>
        <x:v>28.06880198976644</x:v>
      </x:c>
      <x:c r="E33" s="84" t="n">
        <x:v>18.5</x:v>
      </x:c>
      <x:c r="F33" s="84" t="n">
        <x:v>0</x:v>
      </x:c>
      <x:c r="G33" s="84" t="n">
        <x:v>2.7</x:v>
      </x:c>
      <x:c r="H33" s="84" t="n">
        <x:f>D33*E33</x:f>
        <x:v>519.2728368106791</x:v>
      </x:c>
      <x:c r="I33" s="84" t="n">
        <x:f>D33*F33</x:f>
        <x:v>0</x:v>
      </x:c>
      <x:c r="J33" s="84" t="n">
        <x:f>D33*G33</x:f>
        <x:v>75.78576537236938</x:v>
      </x:c>
      <x:c r="K33" s="94" t="n">
        <x:f>IF($E33&lt;=$K$5,1,IF(AND($E33&gt;$K$5,$E33&lt;$L$5),($L$5-$E33)/($L$5-$K$5),0))</x:f>
        <x:v>0</x:v>
      </x:c>
      <x:c r="L33" s="94" t="n">
        <x:f>IF(AND($E33&gt;=K$5,$E33&lt;=L$5),($E33-K$5)/(L$5-K$5),IF(AND($E33&gt;L$5,$E33&lt;M$5),(M$5-$E33)/(M$5-L$5),0))</x:f>
        <x:v>0.14285714285714285</x:v>
      </x:c>
      <x:c r="M33" s="94" t="n">
        <x:f>IF(AND($E33&gt;=L$5,$E33&lt;=M$5),($E33-L$5)/(M$5-L$5),IF(AND($E33&gt;M$5,$E33&lt;N$5),(N$5-$E33)/(N$5-M$5),0))</x:f>
        <x:v>0.8571428571428571</x:v>
      </x:c>
      <x:c r="N33" s="94" t="n">
        <x:f>IF(AND($E33&gt;=M$5,$E33&lt;=N$5),($E33-M$5)/(N$5-M$5),IF(AND($E33&gt;N$5,$E33&lt;O$5),(O$5-$E33)/(O$5-N$5),0))</x:f>
        <x:v>0</x:v>
      </x:c>
      <x:c r="O33" s="94" t="n">
        <x:f>IF(AND($E33&gt;=N$5,$E33&lt;=O$5),($E33-N$5)/(O$5-N$5),IF(AND($E33&gt;O$5,$E33&lt;P$5),(P$5-$E33)/(P$5-O$5),0))</x:f>
        <x:v>0</x:v>
      </x:c>
      <x:c r="P33" s="95" t="n">
        <x:f>IF($E33&gt;=$P$5,1,IF(AND($E33&gt;$O$5,$E33&lt;$P$5),($E33-$O$5)/($P$5-$O$5),0))</x:f>
        <x:v>0</x:v>
      </x:c>
    </x:row>
    <x:row r="34">
      <x:c r="B34" s="34" t="str">
        <x:v>RK-2</x:v>
      </x:c>
      <x:c r="C34" s="34" t="str">
        <x:v>route kit</x:v>
      </x:c>
      <x:c r="D34" s="84" t="n">
        <x:f>'Mass and Balance'!C13/2</x:f>
        <x:v>28.06880198976644</x:v>
      </x:c>
      <x:c r="E34" s="84" t="n">
        <x:v>27.5</x:v>
      </x:c>
      <x:c r="F34" s="84" t="n">
        <x:v>0</x:v>
      </x:c>
      <x:c r="G34" s="84" t="n">
        <x:v>2.7</x:v>
      </x:c>
      <x:c r="H34" s="84" t="n">
        <x:f>D34*E34</x:f>
        <x:v>771.892054718577</x:v>
      </x:c>
      <x:c r="I34" s="84" t="n">
        <x:f>D34*F34</x:f>
        <x:v>0</x:v>
      </x:c>
      <x:c r="J34" s="84" t="n">
        <x:f>D34*G34</x:f>
        <x:v>75.78576537236938</x:v>
      </x:c>
      <x:c r="K34" s="94" t="n">
        <x:f>IF($E34&lt;=$K$5,1,IF(AND($E34&gt;$K$5,$E34&lt;$L$5),($L$5-$E34)/($L$5-$K$5),0))</x:f>
        <x:v>0</x:v>
      </x:c>
      <x:c r="L34" s="94" t="n">
        <x:f>IF(AND($E34&gt;=K$5,$E34&lt;=L$5),($E34-K$5)/(L$5-K$5),IF(AND($E34&gt;L$5,$E34&lt;M$5),(M$5-$E34)/(M$5-L$5),0))</x:f>
        <x:v>0</x:v>
      </x:c>
      <x:c r="M34" s="94" t="n">
        <x:f>IF(AND($E34&gt;=L$5,$E34&lt;=M$5),($E34-L$5)/(M$5-L$5),IF(AND($E34&gt;M$5,$E34&lt;N$5),(N$5-$E34)/(N$5-M$5),0))</x:f>
        <x:v>0</x:v>
      </x:c>
      <x:c r="N34" s="94" t="n">
        <x:f>IF(AND($E34&gt;=M$5,$E34&lt;=N$5),($E34-M$5)/(N$5-M$5),IF(AND($E34&gt;N$5,$E34&lt;O$5),(O$5-$E34)/(O$5-N$5),0))</x:f>
        <x:v>0.8571428571428571</x:v>
      </x:c>
      <x:c r="O34" s="94" t="n">
        <x:f>IF(AND($E34&gt;=N$5,$E34&lt;=O$5),($E34-N$5)/(O$5-N$5),IF(AND($E34&gt;O$5,$E34&lt;P$5),(P$5-$E34)/(P$5-O$5),0))</x:f>
        <x:v>0.14285714285714285</x:v>
      </x:c>
      <x:c r="P34" s="95" t="n">
        <x:f>IF($E34&gt;=$P$5,1,IF(AND($E34&gt;$O$5,$E34&lt;$P$5),($E34-$O$5)/($P$5-$O$5),0))</x:f>
        <x:v>0</x:v>
      </x:c>
    </x:row>
    <x:row r="35">
      <x:c r="B35" s="34" t="str">
        <x:v>CR-F</x:v>
      </x:c>
      <x:c r="C35" s="34" t="str">
        <x:v>primary refuge</x:v>
      </x:c>
      <x:c r="D35" s="84" t="n">
        <x:f>12</x:f>
        <x:v>12</x:v>
      </x:c>
      <x:c r="E35" s="84" t="n">
        <x:v>10.5</x:v>
      </x:c>
      <x:c r="F35" s="84" t="n">
        <x:v>0</x:v>
      </x:c>
      <x:c r="G35" s="84" t="n">
        <x:v>4.8</x:v>
      </x:c>
      <x:c r="H35" s="84" t="n">
        <x:f>D35*E35</x:f>
        <x:v>126</x:v>
      </x:c>
      <x:c r="I35" s="84" t="n">
        <x:f>D35*F35</x:f>
        <x:v>0</x:v>
      </x:c>
      <x:c r="J35" s="84" t="n">
        <x:f>D35*G35</x:f>
        <x:v>57.599999999999994</x:v>
      </x:c>
      <x:c r="K35" s="94" t="n">
        <x:f>IF($E35&lt;=$K$5,1,IF(AND($E35&gt;$K$5,$E35&lt;$L$5),($L$5-$E35)/($L$5-$K$5),0))</x:f>
        <x:v>0.23529411764705882</x:v>
      </x:c>
      <x:c r="L35" s="94" t="n">
        <x:f>IF(AND($E35&gt;=K$5,$E35&lt;=L$5),($E35-K$5)/(L$5-K$5),IF(AND($E35&gt;L$5,$E35&lt;M$5),(M$5-$E35)/(M$5-L$5),0))</x:f>
        <x:v>0.7647058823529411</x:v>
      </x:c>
      <x:c r="M35" s="94" t="n">
        <x:f>IF(AND($E35&gt;=L$5,$E35&lt;=M$5),($E35-L$5)/(M$5-L$5),IF(AND($E35&gt;M$5,$E35&lt;N$5),(N$5-$E35)/(N$5-M$5),0))</x:f>
        <x:v>0</x:v>
      </x:c>
      <x:c r="N35" s="94" t="n">
        <x:f>IF(AND($E35&gt;=M$5,$E35&lt;=N$5),($E35-M$5)/(N$5-M$5),IF(AND($E35&gt;N$5,$E35&lt;O$5),(O$5-$E35)/(O$5-N$5),0))</x:f>
        <x:v>0</x:v>
      </x:c>
      <x:c r="O35" s="94" t="n">
        <x:f>IF(AND($E35&gt;=N$5,$E35&lt;=O$5),($E35-N$5)/(O$5-N$5),IF(AND($E35&gt;O$5,$E35&lt;P$5),(P$5-$E35)/(P$5-O$5),0))</x:f>
        <x:v>0</x:v>
      </x:c>
      <x:c r="P35" s="95" t="n">
        <x:f>IF($E35&gt;=$P$5,1,IF(AND($E35&gt;$O$5,$E35&lt;$P$5),($E35-$O$5)/($P$5-$O$5),0))</x:f>
        <x:v>0</x:v>
      </x:c>
    </x:row>
    <x:row r="36">
      <x:c r="B36" s="34" t="str">
        <x:v>CR-A</x:v>
      </x:c>
      <x:c r="C36" s="34" t="str">
        <x:v>recovery refuge</x:v>
      </x:c>
      <x:c r="D36" s="84" t="n">
        <x:f>'Mass and Balance'!C14-12</x:f>
        <x:v>8.5</x:v>
      </x:c>
      <x:c r="E36" s="84" t="n">
        <x:v>35.5</x:v>
      </x:c>
      <x:c r="F36" s="84" t="n">
        <x:v>0</x:v>
      </x:c>
      <x:c r="G36" s="84" t="n">
        <x:v>4.8</x:v>
      </x:c>
      <x:c r="H36" s="84" t="n">
        <x:f>D36*E36</x:f>
        <x:v>301.75</x:v>
      </x:c>
      <x:c r="I36" s="84" t="n">
        <x:f>D36*F36</x:f>
        <x:v>0</x:v>
      </x:c>
      <x:c r="J36" s="84" t="n">
        <x:f>D36*G36</x:f>
        <x:v>40.8</x:v>
      </x:c>
      <x:c r="K36" s="94" t="n">
        <x:f>IF($E36&lt;=$K$5,1,IF(AND($E36&gt;$K$5,$E36&lt;$L$5),($L$5-$E36)/($L$5-$K$5),0))</x:f>
        <x:v>0</x:v>
      </x:c>
      <x:c r="L36" s="94" t="n">
        <x:f>IF(AND($E36&gt;=K$5,$E36&lt;=L$5),($E36-K$5)/(L$5-K$5),IF(AND($E36&gt;L$5,$E36&lt;M$5),(M$5-$E36)/(M$5-L$5),0))</x:f>
        <x:v>0</x:v>
      </x:c>
      <x:c r="M36" s="94" t="n">
        <x:f>IF(AND($E36&gt;=L$5,$E36&lt;=M$5),($E36-L$5)/(M$5-L$5),IF(AND($E36&gt;M$5,$E36&lt;N$5),(N$5-$E36)/(N$5-M$5),0))</x:f>
        <x:v>0</x:v>
      </x:c>
      <x:c r="N36" s="94" t="n">
        <x:f>IF(AND($E36&gt;=M$5,$E36&lt;=N$5),($E36-M$5)/(N$5-M$5),IF(AND($E36&gt;N$5,$E36&lt;O$5),(O$5-$E36)/(O$5-N$5),0))</x:f>
        <x:v>0</x:v>
      </x:c>
      <x:c r="O36" s="94" t="n">
        <x:f>IF(AND($E36&gt;=N$5,$E36&lt;=O$5),($E36-N$5)/(O$5-N$5),IF(AND($E36&gt;O$5,$E36&lt;P$5),(P$5-$E36)/(P$5-O$5),0))</x:f>
        <x:v>0.7647058823529411</x:v>
      </x:c>
      <x:c r="P36" s="95" t="n">
        <x:f>IF($E36&gt;=$P$5,1,IF(AND($E36&gt;$O$5,$E36&lt;$P$5),($E36-$O$5)/($P$5-$O$5),0))</x:f>
        <x:v>0.23529411764705882</x:v>
      </x:c>
    </x:row>
    <x:row r="37">
      <x:c r="B37" s="34" t="str">
        <x:v>PL-1</x:v>
      </x:c>
      <x:c r="C37" s="34" t="str">
        <x:v>rated payload</x:v>
      </x:c>
      <x:c r="D37" s="84" t="n">
        <x:f>'Mass and Balance'!C16/4</x:f>
        <x:v>42.5</x:v>
      </x:c>
      <x:c r="E37" s="84" t="n">
        <x:v>14.375</x:v>
      </x:c>
      <x:c r="F37" s="84" t="n">
        <x:v>0</x:v>
      </x:c>
      <x:c r="G37" s="84" t="n">
        <x:v>7</x:v>
      </x:c>
      <x:c r="H37" s="84" t="n">
        <x:f>D37*E37</x:f>
        <x:v>610.9375</x:v>
      </x:c>
      <x:c r="I37" s="84" t="n">
        <x:f>D37*F37</x:f>
        <x:v>0</x:v>
      </x:c>
      <x:c r="J37" s="84" t="n">
        <x:f>D37*G37</x:f>
        <x:v>297.5</x:v>
      </x:c>
      <x:c r="K37" s="94" t="n">
        <x:f>IF($E37&lt;=$K$5,1,IF(AND($E37&gt;$K$5,$E37&lt;$L$5),($L$5-$E37)/($L$5-$K$5),0))</x:f>
        <x:v>0</x:v>
      </x:c>
      <x:c r="L37" s="94" t="n">
        <x:f>IF(AND($E37&gt;=K$5,$E37&lt;=L$5),($E37-K$5)/(L$5-K$5),IF(AND($E37&gt;L$5,$E37&lt;M$5),(M$5-$E37)/(M$5-L$5),0))</x:f>
        <x:v>0.7321428571428571</x:v>
      </x:c>
      <x:c r="M37" s="94" t="n">
        <x:f>IF(AND($E37&gt;=L$5,$E37&lt;=M$5),($E37-L$5)/(M$5-L$5),IF(AND($E37&gt;M$5,$E37&lt;N$5),(N$5-$E37)/(N$5-M$5),0))</x:f>
        <x:v>0.26785714285714285</x:v>
      </x:c>
      <x:c r="N37" s="94" t="n">
        <x:f>IF(AND($E37&gt;=M$5,$E37&lt;=N$5),($E37-M$5)/(N$5-M$5),IF(AND($E37&gt;N$5,$E37&lt;O$5),(O$5-$E37)/(O$5-N$5),0))</x:f>
        <x:v>0</x:v>
      </x:c>
      <x:c r="O37" s="94" t="n">
        <x:f>IF(AND($E37&gt;=N$5,$E37&lt;=O$5),($E37-N$5)/(O$5-N$5),IF(AND($E37&gt;O$5,$E37&lt;P$5),(P$5-$E37)/(P$5-O$5),0))</x:f>
        <x:v>0</x:v>
      </x:c>
      <x:c r="P37" s="95" t="n">
        <x:f>IF($E37&gt;=$P$5,1,IF(AND($E37&gt;$O$5,$E37&lt;$P$5),($E37-$O$5)/($P$5-$O$5),0))</x:f>
        <x:v>0</x:v>
      </x:c>
    </x:row>
    <x:row r="38">
      <x:c r="B38" s="34" t="str">
        <x:v>PL-2</x:v>
      </x:c>
      <x:c r="C38" s="34" t="str">
        <x:v>rated payload</x:v>
      </x:c>
      <x:c r="D38" s="84" t="n">
        <x:f>'Mass and Balance'!C16/4</x:f>
        <x:v>42.5</x:v>
      </x:c>
      <x:c r="E38" s="84" t="n">
        <x:v>20.125</x:v>
      </x:c>
      <x:c r="F38" s="84" t="n">
        <x:v>0</x:v>
      </x:c>
      <x:c r="G38" s="84" t="n">
        <x:v>7</x:v>
      </x:c>
      <x:c r="H38" s="84" t="n">
        <x:f>D38*E38</x:f>
        <x:v>855.3125</x:v>
      </x:c>
      <x:c r="I38" s="84" t="n">
        <x:f>D38*F38</x:f>
        <x:v>0</x:v>
      </x:c>
      <x:c r="J38" s="84" t="n">
        <x:f>D38*G38</x:f>
        <x:v>297.5</x:v>
      </x:c>
      <x:c r="K38" s="94" t="n">
        <x:f>IF($E38&lt;=$K$5,1,IF(AND($E38&gt;$K$5,$E38&lt;$L$5),($L$5-$E38)/($L$5-$K$5),0))</x:f>
        <x:v>0</x:v>
      </x:c>
      <x:c r="L38" s="94" t="n">
        <x:f>IF(AND($E38&gt;=K$5,$E38&lt;=L$5),($E38-K$5)/(L$5-K$5),IF(AND($E38&gt;L$5,$E38&lt;M$5),(M$5-$E38)/(M$5-L$5),0))</x:f>
        <x:v>0</x:v>
      </x:c>
      <x:c r="M38" s="94" t="n">
        <x:f>IF(AND($E38&gt;=L$5,$E38&lt;=M$5),($E38-L$5)/(M$5-L$5),IF(AND($E38&gt;M$5,$E38&lt;N$5),(N$5-$E38)/(N$5-M$5),0))</x:f>
        <x:v>0.9107142857142857</x:v>
      </x:c>
      <x:c r="N38" s="94" t="n">
        <x:f>IF(AND($E38&gt;=M$5,$E38&lt;=N$5),($E38-M$5)/(N$5-M$5),IF(AND($E38&gt;N$5,$E38&lt;O$5),(O$5-$E38)/(O$5-N$5),0))</x:f>
        <x:v>0.08928571428571429</x:v>
      </x:c>
      <x:c r="O38" s="94" t="n">
        <x:f>IF(AND($E38&gt;=N$5,$E38&lt;=O$5),($E38-N$5)/(O$5-N$5),IF(AND($E38&gt;O$5,$E38&lt;P$5),(P$5-$E38)/(P$5-O$5),0))</x:f>
        <x:v>0</x:v>
      </x:c>
      <x:c r="P38" s="95" t="n">
        <x:f>IF($E38&gt;=$P$5,1,IF(AND($E38&gt;$O$5,$E38&lt;$P$5),($E38-$O$5)/($P$5-$O$5),0))</x:f>
        <x:v>0</x:v>
      </x:c>
    </x:row>
    <x:row r="39">
      <x:c r="B39" s="34" t="str">
        <x:v>PL-3</x:v>
      </x:c>
      <x:c r="C39" s="34" t="str">
        <x:v>rated payload</x:v>
      </x:c>
      <x:c r="D39" s="84" t="n">
        <x:f>'Mass and Balance'!C16/4</x:f>
        <x:v>42.5</x:v>
      </x:c>
      <x:c r="E39" s="84" t="n">
        <x:v>25.875</x:v>
      </x:c>
      <x:c r="F39" s="84" t="n">
        <x:v>0</x:v>
      </x:c>
      <x:c r="G39" s="84" t="n">
        <x:v>7</x:v>
      </x:c>
      <x:c r="H39" s="84" t="n">
        <x:f>D39*E39</x:f>
        <x:v>1099.6875</x:v>
      </x:c>
      <x:c r="I39" s="84" t="n">
        <x:f>D39*F39</x:f>
        <x:v>0</x:v>
      </x:c>
      <x:c r="J39" s="84" t="n">
        <x:f>D39*G39</x:f>
        <x:v>297.5</x:v>
      </x:c>
      <x:c r="K39" s="94" t="n">
        <x:f>IF($E39&lt;=$K$5,1,IF(AND($E39&gt;$K$5,$E39&lt;$L$5),($L$5-$E39)/($L$5-$K$5),0))</x:f>
        <x:v>0</x:v>
      </x:c>
      <x:c r="L39" s="94" t="n">
        <x:f>IF(AND($E39&gt;=K$5,$E39&lt;=L$5),($E39-K$5)/(L$5-K$5),IF(AND($E39&gt;L$5,$E39&lt;M$5),(M$5-$E39)/(M$5-L$5),0))</x:f>
        <x:v>0</x:v>
      </x:c>
      <x:c r="M39" s="94" t="n">
        <x:f>IF(AND($E39&gt;=L$5,$E39&lt;=M$5),($E39-L$5)/(M$5-L$5),IF(AND($E39&gt;M$5,$E39&lt;N$5),(N$5-$E39)/(N$5-M$5),0))</x:f>
        <x:v>0.08928571428571429</x:v>
      </x:c>
      <x:c r="N39" s="94" t="n">
        <x:f>IF(AND($E39&gt;=M$5,$E39&lt;=N$5),($E39-M$5)/(N$5-M$5),IF(AND($E39&gt;N$5,$E39&lt;O$5),(O$5-$E39)/(O$5-N$5),0))</x:f>
        <x:v>0.9107142857142857</x:v>
      </x:c>
      <x:c r="O39" s="94" t="n">
        <x:f>IF(AND($E39&gt;=N$5,$E39&lt;=O$5),($E39-N$5)/(O$5-N$5),IF(AND($E39&gt;O$5,$E39&lt;P$5),(P$5-$E39)/(P$5-O$5),0))</x:f>
        <x:v>0</x:v>
      </x:c>
      <x:c r="P39" s="95" t="n">
        <x:f>IF($E39&gt;=$P$5,1,IF(AND($E39&gt;$O$5,$E39&lt;$P$5),($E39-$O$5)/($P$5-$O$5),0))</x:f>
        <x:v>0</x:v>
      </x:c>
    </x:row>
    <x:row r="40">
      <x:c r="B40" s="40" t="str">
        <x:v>PL-4</x:v>
      </x:c>
      <x:c r="C40" s="40" t="str">
        <x:v>rated payload</x:v>
      </x:c>
      <x:c r="D40" s="93" t="n">
        <x:f>'Mass and Balance'!C16/4</x:f>
        <x:v>42.5</x:v>
      </x:c>
      <x:c r="E40" s="93" t="n">
        <x:v>31.625</x:v>
      </x:c>
      <x:c r="F40" s="93" t="n">
        <x:v>0</x:v>
      </x:c>
      <x:c r="G40" s="93" t="n">
        <x:v>7</x:v>
      </x:c>
      <x:c r="H40" s="93" t="n">
        <x:f>D40*E40</x:f>
        <x:v>1344.0625</x:v>
      </x:c>
      <x:c r="I40" s="93" t="n">
        <x:f>D40*F40</x:f>
        <x:v>0</x:v>
      </x:c>
      <x:c r="J40" s="93" t="n">
        <x:f>D40*G40</x:f>
        <x:v>297.5</x:v>
      </x:c>
      <x:c r="K40" s="96" t="n">
        <x:f>IF($E40&lt;=$K$5,1,IF(AND($E40&gt;$K$5,$E40&lt;$L$5),($L$5-$E40)/($L$5-$K$5),0))</x:f>
        <x:v>0</x:v>
      </x:c>
      <x:c r="L40" s="96" t="n">
        <x:f>IF(AND($E40&gt;=K$5,$E40&lt;=L$5),($E40-K$5)/(L$5-K$5),IF(AND($E40&gt;L$5,$E40&lt;M$5),(M$5-$E40)/(M$5-L$5),0))</x:f>
        <x:v>0</x:v>
      </x:c>
      <x:c r="M40" s="96" t="n">
        <x:f>IF(AND($E40&gt;=L$5,$E40&lt;=M$5),($E40-L$5)/(M$5-L$5),IF(AND($E40&gt;M$5,$E40&lt;N$5),(N$5-$E40)/(N$5-M$5),0))</x:f>
        <x:v>0</x:v>
      </x:c>
      <x:c r="N40" s="96" t="n">
        <x:f>IF(AND($E40&gt;=M$5,$E40&lt;=N$5),($E40-M$5)/(N$5-M$5),IF(AND($E40&gt;N$5,$E40&lt;O$5),(O$5-$E40)/(O$5-N$5),0))</x:f>
        <x:v>0.26785714285714285</x:v>
      </x:c>
      <x:c r="O40" s="96" t="n">
        <x:f>IF(AND($E40&gt;=N$5,$E40&lt;=O$5),($E40-N$5)/(O$5-N$5),IF(AND($E40&gt;O$5,$E40&lt;P$5),(P$5-$E40)/(P$5-O$5),0))</x:f>
        <x:v>0.7321428571428571</x:v>
      </x:c>
      <x:c r="P40" s="97" t="n">
        <x:f>IF($E40&gt;=$P$5,1,IF(AND($E40&gt;$O$5,$E40&lt;$P$5),($E40-$O$5)/($P$5-$O$5),0))</x:f>
        <x:v>0</x:v>
      </x:c>
    </x:row>
    <x:row r="41"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</x:row>
    <x:row r="42"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</x:row>
    <x:row r="43">
      <x:c r="B43" s="80" t="str">
        <x:v>Six bilateral pod-station reactions</x:v>
      </x:c>
      <x:c r="C43" s="81" t="str">
        <x:v>Six bilateral pod-station reactions</x:v>
      </x:c>
      <x:c r="D43" s="81" t="str">
        <x:v>Six bilateral pod-station reactions</x:v>
      </x:c>
      <x:c r="E43" s="81" t="str">
        <x:v>Six bilateral pod-station reactions</x:v>
      </x:c>
      <x:c r="F43" s="81" t="str">
        <x:v>Six bilateral pod-station reactions</x:v>
      </x:c>
      <x:c r="G43" s="81" t="str">
        <x:v>Six bilateral pod-station reactions</x:v>
      </x:c>
      <x:c r="H43" s="81" t="str">
        <x:v>Six bilateral pod-station reactions</x:v>
      </x:c>
      <x:c r="I43" s="81" t="str">
        <x:v>Six bilateral pod-station reactions</x:v>
      </x:c>
      <x:c r="J43" s="81" t="str">
        <x:v>Six bilateral pod-station reactions</x:v>
      </x:c>
      <x:c r="K43" s="81" t="str">
        <x:v>Six bilateral pod-station reactions</x:v>
      </x:c>
      <x:c r="L43" s="81" t="str">
        <x:v>Six bilateral pod-station reactions</x:v>
      </x:c>
      <x:c r="M43" s="81" t="str">
        <x:v>Six bilateral pod-station reactions</x:v>
      </x:c>
      <x:c r="N43" s="81" t="str">
        <x:v>Six bilateral pod-station reactions</x:v>
      </x:c>
      <x:c r="O43" s="81" t="str">
        <x:v>Six bilateral pod-station reactions</x:v>
      </x:c>
      <x:c r="P43" s="82" t="str">
        <x:v>Six bilateral pod-station reactions</x:v>
      </x:c>
    </x:row>
    <x:row r="44">
      <x:c r="B44" s="32" t="str">
        <x:v>Station</x:v>
      </x:c>
      <x:c r="C44" s="33" t="str">
        <x:v>x</x:v>
      </x:c>
      <x:c r="D44" s="33" t="str">
        <x:v>Reaction</x:v>
      </x:c>
      <x:c r="E44" s="33" t="str">
        <x:v>Share</x:v>
      </x:c>
      <x:c r="F44" s="33" t="str">
        <x:v>Reaction / average</x:v>
      </x:c>
      <x:c r="G44" s="33" t="str">
        <x:v>Worst pod dynamic load</x:v>
      </x:c>
      <x:c r="H44" s="33" t="str">
        <x:v>Pod rating</x:v>
      </x:c>
      <x:c r="I44" s="33" t="str">
        <x:v>Margin</x:v>
      </x:c>
      <x:c r="J44" s="27"/>
      <x:c r="K44" s="27"/>
      <x:c r="L44" s="27"/>
      <x:c r="M44" s="27"/>
      <x:c r="N44" s="27"/>
      <x:c r="O44" s="27"/>
      <x:c r="P44" s="27"/>
    </x:row>
    <x:row r="45">
      <x:c r="B45" s="34" t="str">
        <x:v>S1</x:v>
      </x:c>
      <x:c r="C45" s="34" t="n">
        <x:v>4</x:v>
      </x:c>
      <x:c r="D45" s="34" t="n">
        <x:f>SUMPRODUCT($D$7:$D$40,K$7:K$40)</x:f>
        <x:v>108.03820892575166</x:v>
      </x:c>
      <x:c r="E45" s="34" t="n">
        <x:f>D45/'Mass and Balance'!C17</x:f>
        <x:v>0.15064203948838475</x:v>
      </x:c>
      <x:c r="F45" s="34" t="n">
        <x:f>D45/('Mass and Balance'!C17/6)</x:f>
        <x:v>0.9038522369303085</x:v>
      </x:c>
      <x:c r="G45" s="34" t="n">
        <x:f>D45/2*Assumptions!C57*Assumptions!C58</x:f>
        <x:v>68.33416714553792</x:v>
      </x:c>
      <x:c r="H45" s="34" t="n">
        <x:f>Assumptions!C60</x:f>
        <x:v>85</x:v>
      </x:c>
      <x:c r="I45" s="36" t="n">
        <x:f>H45-G45</x:f>
        <x:v>16.66583285446208</x:v>
      </x:c>
      <x:c r="J45" s="27"/>
      <x:c r="K45" s="27"/>
      <x:c r="L45" s="27"/>
      <x:c r="M45" s="27"/>
      <x:c r="N45" s="27"/>
      <x:c r="O45" s="27"/>
      <x:c r="P45" s="27"/>
    </x:row>
    <x:row r="46">
      <x:c r="B46" s="34" t="str">
        <x:v>S2</x:v>
      </x:c>
      <x:c r="C46" s="34" t="n">
        <x:v>12.5</x:v>
      </x:c>
      <x:c r="D46" s="34" t="n">
        <x:f>SUMPRODUCT($D$7:$D$40,L$7:L$40)</x:f>
        <x:v>119.64352504087897</x:v>
      </x:c>
      <x:c r="E46" s="34" t="n">
        <x:f>D46/'Mass and Balance'!C17</x:f>
        <x:v>0.16682380060672822</x:v>
      </x:c>
      <x:c r="F46" s="34" t="n">
        <x:f>D46/('Mass and Balance'!C17/6)</x:f>
        <x:v>1.0009428036403691</x:v>
      </x:c>
      <x:c r="G46" s="34" t="n">
        <x:f>D46/2*Assumptions!C57*Assumptions!C58</x:f>
        <x:v>75.67452958835594</x:v>
      </x:c>
      <x:c r="H46" s="34" t="n">
        <x:f>Assumptions!C60</x:f>
        <x:v>85</x:v>
      </x:c>
      <x:c r="I46" s="36" t="n">
        <x:f>H46-G46</x:f>
        <x:v>9.325470411644062</x:v>
      </x:c>
      <x:c r="J46" s="27"/>
      <x:c r="K46" s="27"/>
      <x:c r="L46" s="27"/>
      <x:c r="M46" s="27"/>
      <x:c r="N46" s="27"/>
      <x:c r="O46" s="27"/>
      <x:c r="P46" s="27"/>
    </x:row>
    <x:row r="47">
      <x:c r="B47" s="34" t="str">
        <x:v>S3</x:v>
      </x:c>
      <x:c r="C47" s="34" t="n">
        <x:v>19.5</x:v>
      </x:c>
      <x:c r="D47" s="34" t="n">
        <x:f>SUMPRODUCT($D$7:$D$40,M$7:M$40)</x:f>
        <x:v>132.66075884837122</x:v>
      </x:c>
      <x:c r="E47" s="34" t="n">
        <x:f>D47/'Mass and Balance'!C17</x:f>
        <x:v>0.184974255605528</x:v>
      </x:c>
      <x:c r="F47" s="34" t="n">
        <x:f>D47/('Mass and Balance'!C17/6)</x:f>
        <x:v>1.1098455336331678</x:v>
      </x:c>
      <x:c r="G47" s="34" t="n">
        <x:f>D47/2*Assumptions!C57*Assumptions!C58</x:f>
        <x:v>83.90792997159478</x:v>
      </x:c>
      <x:c r="H47" s="34" t="n">
        <x:f>Assumptions!C60</x:f>
        <x:v>85</x:v>
      </x:c>
      <x:c r="I47" s="36" t="n">
        <x:f>H47-G47</x:f>
        <x:v>1.0920700284052174</x:v>
      </x:c>
      <x:c r="J47" s="27"/>
      <x:c r="K47" s="27"/>
      <x:c r="L47" s="27"/>
      <x:c r="M47" s="27"/>
      <x:c r="N47" s="27"/>
      <x:c r="O47" s="27"/>
      <x:c r="P47" s="27"/>
    </x:row>
    <x:row r="48">
      <x:c r="B48" s="34" t="str">
        <x:v>S4</x:v>
      </x:c>
      <x:c r="C48" s="34" t="n">
        <x:v>26.5</x:v>
      </x:c>
      <x:c r="D48" s="34" t="n">
        <x:f>SUMPRODUCT($D$7:$D$40,N$7:N$40)</x:f>
        <x:v>132.66075884837124</x:v>
      </x:c>
      <x:c r="E48" s="34" t="n">
        <x:f>D48/'Mass and Balance'!C17</x:f>
        <x:v>0.18497425560552802</x:v>
      </x:c>
      <x:c r="F48" s="34" t="n">
        <x:f>D48/('Mass and Balance'!C17/6)</x:f>
        <x:v>1.109845533633168</x:v>
      </x:c>
      <x:c r="G48" s="34" t="n">
        <x:f>D48/2*Assumptions!C57*Assumptions!C58</x:f>
        <x:v>83.90792997159481</x:v>
      </x:c>
      <x:c r="H48" s="34" t="n">
        <x:f>Assumptions!C60</x:f>
        <x:v>85</x:v>
      </x:c>
      <x:c r="I48" s="36" t="n">
        <x:f>H48-G48</x:f>
        <x:v>1.092070028405189</x:v>
      </x:c>
      <x:c r="J48" s="27"/>
      <x:c r="K48" s="27"/>
      <x:c r="L48" s="27"/>
      <x:c r="M48" s="27"/>
      <x:c r="N48" s="27"/>
      <x:c r="O48" s="27"/>
      <x:c r="P48" s="27"/>
    </x:row>
    <x:row r="49">
      <x:c r="B49" s="34" t="str">
        <x:v>S5</x:v>
      </x:c>
      <x:c r="C49" s="34" t="n">
        <x:v>33.5</x:v>
      </x:c>
      <x:c r="D49" s="34" t="n">
        <x:f>SUMPRODUCT($D$7:$D$40,O$7:O$40)</x:f>
        <x:v>116.9670544526437</x:v>
      </x:c>
      <x:c r="E49" s="34" t="n">
        <x:f>D49/'Mass and Balance'!C17</x:f>
        <x:v>0.16309188953515977</x:v>
      </x:c>
      <x:c r="F49" s="34" t="n">
        <x:f>D49/('Mass and Balance'!C17/6)</x:f>
        <x:v>0.9785513372109584</x:v>
      </x:c>
      <x:c r="G49" s="34" t="n">
        <x:f>D49/2*Assumptions!C57*Assumptions!C58</x:f>
        <x:v>73.98166194129715</x:v>
      </x:c>
      <x:c r="H49" s="34" t="n">
        <x:f>Assumptions!C60</x:f>
        <x:v>85</x:v>
      </x:c>
      <x:c r="I49" s="36" t="n">
        <x:f>H49-G49</x:f>
        <x:v>11.018338058702852</x:v>
      </x:c>
      <x:c r="J49" s="27"/>
      <x:c r="K49" s="27"/>
      <x:c r="L49" s="27"/>
      <x:c r="M49" s="27"/>
      <x:c r="N49" s="27"/>
      <x:c r="O49" s="27"/>
      <x:c r="P49" s="27"/>
    </x:row>
    <x:row r="50">
      <x:c r="B50" s="40" t="str">
        <x:v>S6</x:v>
      </x:c>
      <x:c r="C50" s="40" t="n">
        <x:v>42</x:v>
      </x:c>
      <x:c r="D50" s="40" t="n">
        <x:f>SUMPRODUCT($D$7:$D$40,P$7:P$40)</x:f>
        <x:v>107.21467951398692</x:v>
      </x:c>
      <x:c r="E50" s="40" t="n">
        <x:f>D50/'Mass and Balance'!C17</x:f>
        <x:v>0.14949375915867133</x:v>
      </x:c>
      <x:c r="F50" s="40" t="n">
        <x:f>D50/('Mass and Balance'!C17/6)</x:f>
        <x:v>0.8969625549520279</x:v>
      </x:c>
      <x:c r="G50" s="40" t="n">
        <x:f>D50/2*Assumptions!C57*Assumptions!C58</x:f>
        <x:v>67.81328479259673</x:v>
      </x:c>
      <x:c r="H50" s="40" t="n">
        <x:f>Assumptions!C60</x:f>
        <x:v>85</x:v>
      </x:c>
      <x:c r="I50" s="42" t="n">
        <x:f>H50-G50</x:f>
        <x:v>17.186715207403267</x:v>
      </x:c>
      <x:c r="J50" s="27"/>
      <x:c r="K50" s="27"/>
      <x:c r="L50" s="27"/>
      <x:c r="M50" s="27"/>
      <x:c r="N50" s="27"/>
      <x:c r="O50" s="27"/>
      <x:c r="P50" s="27"/>
    </x:row>
    <x:row r="51"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</x:row>
    <x:row r="52">
      <x:c r="B52" s="49" t="str">
        <x:v>Reaction sum</x:v>
      </x:c>
      <x:c r="C52" s="49" t="n">
        <x:f>SUM(D45:D50)</x:f>
        <x:v>717.1849856300037</x:v>
      </x:c>
      <x:c r="D52" s="49" t="str">
        <x:v>Expected gross</x:v>
      </x:c>
      <x:c r="E52" s="49" t="n">
        <x:f>'Mass and Balance'!C17</x:f>
        <x:v>717.1849856300037</x:v>
      </x:c>
      <x:c r="F52" s="49" t="str">
        <x:v>Difference</x:v>
      </x:c>
      <x:c r="G52" s="49" t="n">
        <x:f>C52-E52</x:f>
        <x:v>0</x:v>
      </x:c>
      <x:c r="H52" s="49" t="str">
        <x:f>IF(ABS(G52)&lt;0.001,"PASS","FAIL")</x:f>
        <x:v>PASS</x:v>
      </x:c>
      <x:c r="I52" s="27"/>
      <x:c r="J52" s="27"/>
      <x:c r="K52" s="27"/>
      <x:c r="L52" s="27"/>
      <x:c r="M52" s="27"/>
      <x:c r="N52" s="27"/>
      <x:c r="O52" s="27"/>
      <x:c r="P52" s="27"/>
    </x:row>
    <x:row r="53">
      <x:c r="B53" s="34" t="str">
        <x:v>Maximum station ratio</x:v>
      </x:c>
      <x:c r="C53" s="34" t="n">
        <x:f>MAX(F45:F50)</x:f>
        <x:v>1.109845533633168</x:v>
      </x:c>
      <x:c r="D53" s="34" t="str">
        <x:v>Limit</x:v>
      </x:c>
      <x:c r="E53" s="34" t="n">
        <x:v>1.15</x:v>
      </x:c>
      <x:c r="F53" s="34" t="n">
        <x:f>E53-C53</x:f>
        <x:v>0.04015446636683184</x:v>
      </x:c>
      <x:c r="G53" s="34"/>
      <x:c r="H53" s="34" t="str">
        <x:f>IF(F53&gt;=0,"PASS","FAIL")</x:f>
        <x:v>PASS</x:v>
      </x:c>
      <x:c r="I53" s="27"/>
      <x:c r="J53" s="27"/>
      <x:c r="K53" s="27"/>
      <x:c r="L53" s="27"/>
      <x:c r="M53" s="27"/>
      <x:c r="N53" s="27"/>
      <x:c r="O53" s="27"/>
      <x:c r="P53" s="27"/>
    </x:row>
    <x:row r="54">
      <x:c r="B54" s="34" t="str">
        <x:v>Maximum local pod demand</x:v>
      </x:c>
      <x:c r="C54" s="34" t="n">
        <x:f>MAX(G45:G50)</x:f>
        <x:v>83.90792997159481</x:v>
      </x:c>
      <x:c r="D54" s="34" t="str">
        <x:v>Rating</x:v>
      </x:c>
      <x:c r="E54" s="34" t="n">
        <x:f>Assumptions!C60</x:f>
        <x:v>85</x:v>
      </x:c>
      <x:c r="F54" s="34" t="str">
        <x:v>Margin</x:v>
      </x:c>
      <x:c r="G54" s="34" t="n">
        <x:f>E54-C54</x:f>
        <x:v>1.092070028405189</x:v>
      </x:c>
      <x:c r="H54" s="34" t="str">
        <x:f>IF(G54&gt;=0,"PASS","FAIL")</x:f>
        <x:v>PASS</x:v>
      </x:c>
      <x:c r="I54" s="27"/>
      <x:c r="J54" s="27"/>
      <x:c r="K54" s="27"/>
      <x:c r="L54" s="27"/>
      <x:c r="M54" s="27"/>
      <x:c r="N54" s="27"/>
      <x:c r="O54" s="27"/>
      <x:c r="P54" s="27"/>
    </x:row>
    <x:row r="55">
      <x:c r="B55" s="52" t="str">
        <x:v>One-pod-out distributed demand</x:v>
      </x:c>
      <x:c r="C55" s="52" t="n">
        <x:f>'Mass and Balance'!C17/(Assumptions!C59-1)*Assumptions!C57*Assumptions!C58</x:f>
        <x:v>82.47627334745043</x:v>
      </x:c>
      <x:c r="D55" s="52" t="str">
        <x:v>Rating</x:v>
      </x:c>
      <x:c r="E55" s="52" t="n">
        <x:f>Assumptions!C60</x:f>
        <x:v>85</x:v>
      </x:c>
      <x:c r="F55" s="52" t="str">
        <x:v>Margin</x:v>
      </x:c>
      <x:c r="G55" s="52" t="n">
        <x:f>E55-C55</x:f>
        <x:v>2.52372665254957</x:v>
      </x:c>
      <x:c r="H55" s="52" t="str">
        <x:f>IF(G55&gt;=0,"PASS","FAIL")</x:f>
        <x:v>PASS</x:v>
      </x:c>
      <x:c r="I55" s="27"/>
      <x:c r="J55" s="27"/>
      <x:c r="K55" s="27"/>
      <x:c r="L55" s="27"/>
      <x:c r="M55" s="27"/>
      <x:c r="N55" s="27"/>
      <x:c r="O55" s="27"/>
      <x:c r="P55" s="27"/>
    </x:row>
    <x:row r="56"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</x:row>
    <x:row r="57"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</x:row>
    <x:row r="58"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</x:row>
  </x:sheetData>
  <x:mergeCells>
    <x:mergeCell ref="B43:P43"/>
  </x:mergeCells>
  <x:conditionalFormatting sqref="H52:H55">
    <x:cfRule type="containsText" dxfId="12" priority="1" operator="containsText" text="FAIL"/>
    <x:cfRule type="containsText" dxfId="13" priority="2" operator="containsText" text="PASS"/>
    <x:cfRule type="containsText" dxfId="14" priority="3" operator="containsText" text="BLOCK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9" hidden="0" customWidth="1"/>
    <x:col min="10" max="10" width="17" hidden="0" customWidth="1"/>
    <x:col min="11" max="11" width="14" hidden="0" customWidth="1"/>
    <x:col min="12" max="12" width="15" hidden="0" customWidth="1"/>
    <x:col min="13" max="13" width="15" hidden="0" customWidth="1"/>
    <x:col min="14" max="14" width="14" hidden="0" customWidth="1"/>
  </x:cols>
  <x:sheetData>
    <x:row r="2">
      <x:c r="B2" s="86" t="str">
        <x:v>TAP-285 contact, pod sweep and turn closure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B3" s="87" t="str">
        <x:v>Contact grows with package mass; a four-body carrier replaces the failed 23 m rigid-turn assumption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B6" s="80" t="str">
        <x:v>Contact and local structure</x:v>
      </x:c>
      <x:c r="C6" s="81" t="str">
        <x:v>Contact and local structure</x:v>
      </x:c>
      <x:c r="D6" s="81" t="str">
        <x:v>Contact and local structure</x:v>
      </x:c>
      <x:c r="E6" s="81" t="str">
        <x:v>Contact and local structure</x:v>
      </x:c>
      <x:c r="F6" s="81" t="str">
        <x:v>Contact and local structure</x:v>
      </x:c>
      <x:c r="G6" s="82" t="str">
        <x:v>Contact and local structure</x:v>
      </x:c>
      <x:c r="H6" s="27"/>
      <x:c r="I6" s="80" t="str">
        <x:v>Turn and sweep</x:v>
      </x:c>
      <x:c r="J6" s="81" t="str">
        <x:v>Turn and sweep</x:v>
      </x:c>
      <x:c r="K6" s="81" t="str">
        <x:v>Turn and sweep</x:v>
      </x:c>
      <x:c r="L6" s="81" t="str">
        <x:v>Turn and sweep</x:v>
      </x:c>
      <x:c r="M6" s="81" t="str">
        <x:v>Turn and sweep</x:v>
      </x:c>
      <x:c r="N6" s="82" t="str">
        <x:v>Turn and sweep</x:v>
      </x:c>
    </x:row>
    <x:row r="7">
      <x:c r="B7" s="32" t="str">
        <x:v>Metric</x:v>
      </x:c>
      <x:c r="C7" s="33" t="str">
        <x:v>Value</x:v>
      </x:c>
      <x:c r="D7" s="33" t="str">
        <x:v>Unit</x:v>
      </x:c>
      <x:c r="E7" s="33" t="str">
        <x:v>Threshold</x:v>
      </x:c>
      <x:c r="F7" s="33" t="str">
        <x:v>Margin</x:v>
      </x:c>
      <x:c r="G7" s="33" t="str">
        <x:v>Result</x:v>
      </x:c>
      <x:c r="H7" s="27"/>
      <x:c r="I7" s="32" t="str">
        <x:v>Metric</x:v>
      </x:c>
      <x:c r="J7" s="33" t="str">
        <x:v>Value</x:v>
      </x:c>
      <x:c r="K7" s="33" t="str">
        <x:v>Unit</x:v>
      </x:c>
      <x:c r="L7" s="33" t="str">
        <x:v>Threshold</x:v>
      </x:c>
      <x:c r="M7" s="33" t="str">
        <x:v>Margin</x:v>
      </x:c>
      <x:c r="N7" s="33" t="str">
        <x:v>Result</x:v>
      </x:c>
    </x:row>
    <x:row r="8">
      <x:c r="B8" s="34" t="str">
        <x:v>Deployed contact</x:v>
      </x:c>
      <x:c r="C8" s="34" t="n">
        <x:f>Assumptions!C15</x:f>
        <x:v>285</x:v>
      </x:c>
      <x:c r="D8" s="34" t="str">
        <x:v>m2</x:v>
      </x:c>
      <x:c r="E8" s="34"/>
      <x:c r="F8" s="34"/>
      <x:c r="G8" s="36" t="str"/>
      <x:c r="H8" s="27"/>
      <x:c r="I8" s="34" t="str">
        <x:v>Joint yaw required at 25 m radius</x:v>
      </x:c>
      <x:c r="J8" s="34" t="n">
        <x:f>2*DEGREES(ASIN(Assumptions!C77/(2*Assumptions!C69)))</x:f>
        <x:v>26.594143494418116</x:v>
      </x:c>
      <x:c r="K8" s="34" t="str">
        <x:v>degrees</x:v>
      </x:c>
      <x:c r="L8" s="34" t="n">
        <x:v>30</x:v>
      </x:c>
      <x:c r="M8" s="34" t="n">
        <x:f>L8-J8</x:f>
        <x:v>3.405856505581884</x:v>
      </x:c>
      <x:c r="N8" s="36" t="str">
        <x:f>IF(J8&lt;=L8,"PASS","FAIL")</x:f>
        <x:v>PASS</x:v>
      </x:c>
    </x:row>
    <x:row r="9">
      <x:c r="B9" s="34" t="str">
        <x:v>One-pod residual contact</x:v>
      </x:c>
      <x:c r="C9" s="34" t="n">
        <x:f>C8*(Assumptions!C59-1)/Assumptions!C59</x:f>
        <x:v>261.25</x:v>
      </x:c>
      <x:c r="D9" s="34" t="str">
        <x:v>m2</x:v>
      </x:c>
      <x:c r="E9" s="34"/>
      <x:c r="F9" s="34"/>
      <x:c r="G9" s="36" t="str"/>
      <x:c r="H9" s="27"/>
      <x:c r="I9" s="34" t="str">
        <x:v>Rigid-body chord sagitta</x:v>
      </x:c>
      <x:c r="J9" s="34" t="n">
        <x:f>Assumptions!C69-SQRT(Assumptions!C69^2-(Assumptions!C77/2)^2)</x:f>
        <x:v>0.6702342797962793</x:v>
      </x:c>
      <x:c r="K9" s="34" t="str">
        <x:v>m</x:v>
      </x:c>
      <x:c r="L9" s="34"/>
      <x:c r="M9" s="34"/>
      <x:c r="N9" s="36" t="str"/>
    </x:row>
    <x:row r="10">
      <x:c r="B10" s="34" t="str">
        <x:v>One-pod-out compounded pressure</x:v>
      </x:c>
      <x:c r="C10" s="34" t="n">
        <x:f>'Mass and Balance'!C17*9.81*Assumptions!C57*Assumptions!C58/C9</x:f>
        <x:v>34.06704174898899</x:v>
      </x:c>
      <x:c r="D10" s="34" t="str">
        <x:v>kPa</x:v>
      </x:c>
      <x:c r="E10" s="34" t="n">
        <x:v>35</x:v>
      </x:c>
      <x:c r="F10" s="34" t="n">
        <x:f>E10-C10</x:f>
        <x:v>0.9329582510110086</x:v>
      </x:c>
      <x:c r="G10" s="36" t="str">
        <x:f>IF(F10&gt;=0,"PASS","FAIL")</x:f>
        <x:v>PASS</x:v>
      </x:c>
      <x:c r="H10" s="27"/>
      <x:c r="I10" s="34" t="str">
        <x:v>Four-body swept width</x:v>
      </x:c>
      <x:c r="J10" s="34" t="n">
        <x:f>Assumptions!C22+J9</x:f>
        <x:v>10.17023427979628</x:v>
      </x:c>
      <x:c r="K10" s="34" t="str">
        <x:v>m</x:v>
      </x:c>
      <x:c r="L10" s="34" t="n">
        <x:v>12</x:v>
      </x:c>
      <x:c r="M10" s="34" t="n">
        <x:f>L10-J10</x:f>
        <x:v>1.8297657202037207</x:v>
      </x:c>
      <x:c r="N10" s="36" t="str">
        <x:f>IF(J10&lt;=L10,"PASS","FAIL")</x:f>
        <x:v>PASS</x:v>
      </x:c>
    </x:row>
    <x:row r="11">
      <x:c r="B11" s="34" t="str">
        <x:v>Transit contact per pod</x:v>
      </x:c>
      <x:c r="C11" s="34" t="n">
        <x:f>Assumptions!C61/Assumptions!C59</x:f>
        <x:v>12.916666666666666</x:v>
      </x:c>
      <x:c r="D11" s="34" t="str">
        <x:v>m2</x:v>
      </x:c>
      <x:c r="E11" s="34"/>
      <x:c r="F11" s="34"/>
      <x:c r="G11" s="36" t="str"/>
      <x:c r="H11" s="27"/>
      <x:c r="I11" s="34" t="str">
        <x:v>Control: 23 m rigid-deck sagitta</x:v>
      </x:c>
      <x:c r="J11" s="34" t="n">
        <x:f>Assumptions!C69-SQRT(Assumptions!C69^2-(Assumptions!C26/2)^2)</x:f>
        <x:v>2.8020271195768878</x:v>
      </x:c>
      <x:c r="K11" s="34" t="str">
        <x:v>m</x:v>
      </x:c>
      <x:c r="L11" s="34"/>
      <x:c r="M11" s="34"/>
      <x:c r="N11" s="36" t="str"/>
    </x:row>
    <x:row r="12">
      <x:c r="B12" s="34" t="str">
        <x:v>Deployed contact per pod</x:v>
      </x:c>
      <x:c r="C12" s="34" t="n">
        <x:f>C8/Assumptions!C59</x:f>
        <x:v>23.75</x:v>
      </x:c>
      <x:c r="D12" s="34" t="str">
        <x:v>m2</x:v>
      </x:c>
      <x:c r="E12" s="34"/>
      <x:c r="F12" s="34"/>
      <x:c r="G12" s="36" t="str"/>
      <x:c r="H12" s="27"/>
      <x:c r="I12" s="34" t="str">
        <x:v>Control: rigid-deck swept width</x:v>
      </x:c>
      <x:c r="J12" s="34" t="n">
        <x:f>Assumptions!C22+J11</x:f>
        <x:v>12.302027119576888</x:v>
      </x:c>
      <x:c r="K12" s="34" t="str">
        <x:v>m</x:v>
      </x:c>
      <x:c r="L12" s="34" t="n">
        <x:v>12</x:v>
      </x:c>
      <x:c r="M12" s="34" t="n">
        <x:f>L12-J12</x:f>
        <x:v>-0.30202711957688777</x:v>
      </x:c>
      <x:c r="N12" s="36" t="str">
        <x:f>IF(J12&lt;=L12,"PASS","FAIL")</x:f>
        <x:v>FAIL</x:v>
      </x:c>
    </x:row>
    <x:row r="13">
      <x:c r="B13" s="34" t="str">
        <x:v>Pod contact width</x:v>
      </x:c>
      <x:c r="C13" s="34" t="n">
        <x:v>4</x:v>
      </x:c>
      <x:c r="D13" s="34" t="str">
        <x:v>m</x:v>
      </x:c>
      <x:c r="E13" s="34"/>
      <x:c r="F13" s="34"/>
      <x:c r="G13" s="36" t="str"/>
      <x:c r="H13" s="27"/>
      <x:c r="I13" s="34" t="str">
        <x:v>Minimum station pitch</x:v>
      </x:c>
      <x:c r="J13" s="34" t="n">
        <x:v>7</x:v>
      </x:c>
      <x:c r="K13" s="34" t="str">
        <x:v>m</x:v>
      </x:c>
      <x:c r="L13" s="34"/>
      <x:c r="M13" s="34"/>
      <x:c r="N13" s="36" t="str"/>
    </x:row>
    <x:row r="14">
      <x:c r="B14" s="34" t="str">
        <x:v>Retracted contact length</x:v>
      </x:c>
      <x:c r="C14" s="34" t="n">
        <x:f>C11/C13</x:f>
        <x:v>3.2291666666666665</x:v>
      </x:c>
      <x:c r="D14" s="34" t="str">
        <x:v>m</x:v>
      </x:c>
      <x:c r="E14" s="34"/>
      <x:c r="F14" s="34"/>
      <x:c r="G14" s="36" t="str"/>
      <x:c r="H14" s="27"/>
      <x:c r="I14" s="34" t="str">
        <x:v>Minimum deployed footprint gap</x:v>
      </x:c>
      <x:c r="J14" s="34" t="n">
        <x:f>J13-C15</x:f>
        <x:v>1.0625</x:v>
      </x:c>
      <x:c r="K14" s="34" t="str">
        <x:v>m</x:v>
      </x:c>
      <x:c r="L14" s="34" t="n">
        <x:v>0</x:v>
      </x:c>
      <x:c r="M14" s="34" t="n">
        <x:f>J14-L14</x:f>
        <x:v>1.0625</x:v>
      </x:c>
      <x:c r="N14" s="36" t="str">
        <x:f>IF(J14&gt;=L14,"PASS","FAIL")</x:f>
        <x:v>PASS</x:v>
      </x:c>
    </x:row>
    <x:row r="15">
      <x:c r="B15" s="34" t="str">
        <x:v>Deployed contact length</x:v>
      </x:c>
      <x:c r="C15" s="34" t="n">
        <x:f>C12/C13</x:f>
        <x:v>5.9375</x:v>
      </x:c>
      <x:c r="D15" s="34" t="str">
        <x:v>m</x:v>
      </x:c>
      <x:c r="E15" s="34"/>
      <x:c r="F15" s="34"/>
      <x:c r="G15" s="36" t="str"/>
      <x:c r="H15" s="27"/>
      <x:c r="I15" s="34" t="str">
        <x:v>Minimum joint-to-pod sweep clearance</x:v>
      </x:c>
      <x:c r="J15" s="34" t="n">
        <x:f>ABS(12.5-C15/2-11.5)</x:f>
        <x:v>1.96875</x:v>
      </x:c>
      <x:c r="K15" s="34" t="str">
        <x:v>m</x:v>
      </x:c>
      <x:c r="L15" s="34" t="n">
        <x:v>0.75</x:v>
      </x:c>
      <x:c r="M15" s="34" t="n">
        <x:f>J15-L15</x:f>
        <x:v>1.21875</x:v>
      </x:c>
      <x:c r="N15" s="36" t="str">
        <x:f>IF(J15&gt;=L15,"PASS","FAIL")</x:f>
        <x:v>PASS</x:v>
      </x:c>
    </x:row>
    <x:row r="16">
      <x:c r="B16" s="34" t="str">
        <x:v>Extension per end</x:v>
      </x:c>
      <x:c r="C16" s="34" t="n">
        <x:f>(C15-C14)/2</x:f>
        <x:v>1.3541666666666667</x:v>
      </x:c>
      <x:c r="D16" s="34" t="str">
        <x:v>m</x:v>
      </x:c>
      <x:c r="E16" s="34"/>
      <x:c r="F16" s="34"/>
      <x:c r="G16" s="36" t="str"/>
      <x:c r="H16" s="27"/>
      <x:c r="I16" s="40" t="str">
        <x:v>Deployed operating width</x:v>
      </x:c>
      <x:c r="J16" s="40" t="n">
        <x:f>Assumptions!C23</x:f>
        <x:v>11.8</x:v>
      </x:c>
      <x:c r="K16" s="40" t="str">
        <x:v>m</x:v>
      </x:c>
      <x:c r="L16" s="40" t="n">
        <x:v>12</x:v>
      </x:c>
      <x:c r="M16" s="40" t="n">
        <x:f>L16-J16</x:f>
        <x:v>0.1999999999999993</x:v>
      </x:c>
      <x:c r="N16" s="42" t="str">
        <x:f>IF(J16&lt;=L16,"PASS","FAIL")</x:f>
        <x:v>PASS</x:v>
      </x:c>
    </x:row>
    <x:row r="17">
      <x:c r="B17" s="34" t="str">
        <x:v>Maximum station pod demand</x:v>
      </x:c>
      <x:c r="C17" s="34" t="n">
        <x:f>'Mass Packets'!C54</x:f>
        <x:v>83.90792997159481</x:v>
      </x:c>
      <x:c r="D17" s="34" t="str">
        <x:v>t</x:v>
      </x:c>
      <x:c r="E17" s="34" t="n">
        <x:v>85</x:v>
      </x:c>
      <x:c r="F17" s="34" t="n">
        <x:f>E17-C17</x:f>
        <x:v>1.092070028405189</x:v>
      </x:c>
      <x:c r="G17" s="36" t="str">
        <x:f>IF(F17&gt;=0,"PASS","FAIL")</x:f>
        <x:v>PASS</x:v>
      </x:c>
      <x:c r="H17" s="27"/>
      <x:c r="I17" s="27"/>
      <x:c r="J17" s="27"/>
      <x:c r="K17" s="27"/>
      <x:c r="L17" s="27"/>
      <x:c r="M17" s="27"/>
      <x:c r="N17" s="27"/>
    </x:row>
    <x:row r="18">
      <x:c r="B18" s="40" t="str">
        <x:v>One-pod redistributed demand</x:v>
      </x:c>
      <x:c r="C18" s="40" t="n">
        <x:f>'Mass Packets'!C55</x:f>
        <x:v>82.47627334745043</x:v>
      </x:c>
      <x:c r="D18" s="40" t="str">
        <x:v>t</x:v>
      </x:c>
      <x:c r="E18" s="40" t="n">
        <x:v>85</x:v>
      </x:c>
      <x:c r="F18" s="40" t="n">
        <x:f>E18-C18</x:f>
        <x:v>2.52372665254957</x:v>
      </x:c>
      <x:c r="G18" s="42" t="str">
        <x:f>IF(F18&gt;=0,"PASS","FAIL")</x:f>
        <x:v>PASS</x:v>
      </x:c>
      <x:c r="H18" s="27"/>
      <x:c r="I18" s="27"/>
      <x:c r="J18" s="27"/>
      <x:c r="K18" s="27"/>
      <x:c r="L18" s="27"/>
      <x:c r="M18" s="27"/>
      <x:c r="N18" s="27"/>
    </x:row>
    <x:row r="19"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</x:row>
    <x:row r="20"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</x:row>
    <x:row r="21"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</x:row>
    <x:row r="22">
      <x:c r="B22" s="49" t="str">
        <x:v>Station x</x:v>
      </x:c>
      <x:c r="C22" s="49" t="n">
        <x:v>4</x:v>
      </x:c>
      <x:c r="D22" s="49" t="n">
        <x:v>12.5</x:v>
      </x:c>
      <x:c r="E22" s="49" t="n">
        <x:v>19.5</x:v>
      </x:c>
      <x:c r="F22" s="49" t="n">
        <x:v>26.5</x:v>
      </x:c>
      <x:c r="G22" s="49" t="n">
        <x:v>33.5</x:v>
      </x:c>
      <x:c r="H22" s="49" t="n">
        <x:v>42</x:v>
      </x:c>
      <x:c r="I22" s="49" t="str">
        <x:v>m</x:v>
      </x:c>
      <x:c r="J22" s="49" t="str">
        <x:v>six bilateral pod pairs</x:v>
      </x:c>
      <x:c r="K22" s="49" t="str"/>
      <x:c r="L22" s="49" t="str"/>
      <x:c r="M22" s="49" t="str"/>
      <x:c r="N22" s="49" t="str"/>
    </x:row>
    <x:row r="23">
      <x:c r="B23" s="34" t="str">
        <x:v>Joint x</x:v>
      </x:c>
      <x:c r="C23" s="34" t="n">
        <x:v>11.5</x:v>
      </x:c>
      <x:c r="D23" s="34" t="n">
        <x:v>23</x:v>
      </x:c>
      <x:c r="E23" s="34" t="n">
        <x:v>34.5</x:v>
      </x:c>
      <x:c r="F23" s="34" t="str">
        <x:v>m</x:v>
      </x:c>
      <x:c r="G23" s="34" t="str">
        <x:v>three active joints</x:v>
      </x:c>
      <x:c r="H23" s="34" t="str"/>
      <x:c r="I23" s="34" t="str"/>
      <x:c r="J23" s="34" t="str"/>
      <x:c r="K23" s="34" t="str"/>
      <x:c r="L23" s="34" t="str"/>
      <x:c r="M23" s="34" t="str"/>
      <x:c r="N23" s="34" t="str"/>
    </x:row>
    <x:row r="24">
      <x:c r="B24" s="52" t="str">
        <x:v>Control result</x:v>
      </x:c>
      <x:c r="C24" s="52" t="str">
        <x:v>The 23 m rigid deck exceeds the 12 m swept-width screen before pod extension. Splitting it at x=23 m makes every rigid body 11.5 m and preserves eight independently side-accessible payload positions.</x:v>
      </x:c>
      <x:c r="D24" s="52" t="str"/>
      <x:c r="E24" s="52" t="str"/>
      <x:c r="F24" s="52" t="str"/>
      <x:c r="G24" s="52" t="str"/>
      <x:c r="H24" s="52" t="str"/>
      <x:c r="I24" s="52" t="str"/>
      <x:c r="J24" s="52" t="str"/>
      <x:c r="K24" s="52" t="str"/>
      <x:c r="L24" s="52" t="str"/>
      <x:c r="M24" s="52" t="str"/>
      <x:c r="N24" s="52" t="str"/>
    </x:row>
    <x:row r="25"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</x:row>
    <x:row r="26"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</x:row>
    <x:row r="27"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</x:row>
    <x:row r="28"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</x:row>
    <x:row r="29"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</x:row>
    <x:row r="30"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</x:row>
    <x:row r="31"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</x:row>
    <x:row r="32"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  <x:row r="37"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</x:row>
    <x:row r="38"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</x:row>
    <x:row r="39"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</x:row>
    <x:row r="40"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</x:row>
    <x:row r="41"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</x:row>
    <x:row r="42"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</x:row>
  </x:sheetData>
  <x:mergeCells>
    <x:mergeCell ref="B6:G6"/>
    <x:mergeCell ref="I6:N6"/>
  </x:mergeCells>
  <x:conditionalFormatting sqref="G8:G18">
    <x:cfRule type="containsText" dxfId="15" priority="1" operator="containsText" text="FAIL"/>
    <x:cfRule type="containsText" dxfId="16" priority="2" operator="containsText" text="PASS"/>
    <x:cfRule type="containsText" dxfId="17" priority="3" operator="containsText" text="BLOCKED"/>
  </x:conditionalFormatting>
  <x:conditionalFormatting sqref="N8:N16">
    <x:cfRule type="containsText" dxfId="18" priority="4" operator="containsText" text="FAIL"/>
    <x:cfRule type="containsText" dxfId="19" priority="5" operator="containsText" text="PASS"/>
    <x:cfRule type="containsText" dxfId="20" priority="6" operator="containsText" text="BLOCK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7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2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0" hidden="0" customWidth="1"/>
  </x:cols>
  <x:sheetData>
    <x:row r="2">
      <x:c r="B2" s="86" t="str">
        <x:v>Four energy citadels and no-host-water heat rejection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B3" s="87" t="str">
        <x:v>Each nine-megawatt sector owns its tank, converter, bus, cooler, vent, drain and removal direction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B6" s="80" t="str">
        <x:v>Coupled energy and per-sector volume</x:v>
      </x:c>
      <x:c r="C6" s="81" t="str">
        <x:v>Coupled energy and per-sector volume</x:v>
      </x:c>
      <x:c r="D6" s="81" t="str">
        <x:v>Coupled energy and per-sector volume</x:v>
      </x:c>
      <x:c r="E6" s="81" t="str">
        <x:v>Coupled energy and per-sector volume</x:v>
      </x:c>
      <x:c r="F6" s="81" t="str">
        <x:v>Coupled energy and per-sector volume</x:v>
      </x:c>
      <x:c r="G6" s="82" t="str">
        <x:v>Coupled energy and per-sector volume</x:v>
      </x:c>
      <x:c r="H6" s="27"/>
      <x:c r="I6" s="80" t="str">
        <x:v>Power and thermal operating cases</x:v>
      </x:c>
      <x:c r="J6" s="81" t="str">
        <x:v>Power and thermal operating cases</x:v>
      </x:c>
      <x:c r="K6" s="81" t="str">
        <x:v>Power and thermal operating cases</x:v>
      </x:c>
      <x:c r="L6" s="81" t="str">
        <x:v>Power and thermal operating cases</x:v>
      </x:c>
      <x:c r="M6" s="81" t="str">
        <x:v>Power and thermal operating cases</x:v>
      </x:c>
      <x:c r="N6" s="82" t="str">
        <x:v>Power and thermal operating cases</x:v>
      </x:c>
    </x:row>
    <x:row r="7">
      <x:c r="B7" s="32" t="str">
        <x:v>Metric</x:v>
      </x:c>
      <x:c r="C7" s="33" t="str">
        <x:v>Value</x:v>
      </x:c>
      <x:c r="D7" s="33" t="str">
        <x:v>Unit</x:v>
      </x:c>
      <x:c r="E7" s="33" t="str">
        <x:v>Threshold</x:v>
      </x:c>
      <x:c r="F7" s="33" t="str">
        <x:v>Margin</x:v>
      </x:c>
      <x:c r="G7" s="33" t="str">
        <x:v>Result</x:v>
      </x:c>
      <x:c r="H7" s="27"/>
      <x:c r="I7" s="32" t="str">
        <x:v>Case</x:v>
      </x:c>
      <x:c r="J7" s="33" t="str">
        <x:v>Electric output</x:v>
      </x:c>
      <x:c r="K7" s="33" t="str">
        <x:v>Coolant heat to reject</x:v>
      </x:c>
      <x:c r="L7" s="33" t="str">
        <x:v>Available radiator area</x:v>
      </x:c>
      <x:c r="M7" s="33" t="str">
        <x:v>Rejection capacity</x:v>
      </x:c>
      <x:c r="N7" s="33" t="str">
        <x:v>Result</x:v>
      </x:c>
    </x:row>
    <x:row r="8">
      <x:c r="B8" s="34" t="str">
        <x:v>Mission energy</x:v>
      </x:c>
      <x:c r="C8" s="34" t="n">
        <x:f>Assumptions!C36*'Mass and Balance'!C17+Assumptions!C37</x:f>
        <x:v>567.6857902284025</x:v>
      </x:c>
      <x:c r="D8" s="34" t="str">
        <x:v>MWh</x:v>
      </x:c>
      <x:c r="E8" s="34"/>
      <x:c r="F8" s="34"/>
      <x:c r="G8" s="36" t="str"/>
      <x:c r="H8" s="27"/>
      <x:c r="I8" s="34" t="str">
        <x:v>Maximum route traction and hotel</x:v>
      </x:c>
      <x:c r="J8" s="34" t="n">
        <x:f>'Mass and Balance'!C17*1000*9.81*(Assumptions!C53+Assumptions!C54)*(Assumptions!C64/3.6)/Assumptions!C55/1000000+Assumptions!C52</x:f>
        <x:v>24.55462025505143</x:v>
      </x:c>
      <x:c r="K8" s="34" t="n">
        <x:f>J8*(1/Assumptions!C45-1)*(1-Assumptions!C46)</x:f>
        <x:v>10.850803617470344</x:v>
      </x:c>
      <x:c r="L8" s="34" t="n">
        <x:v>96</x:v>
      </x:c>
      <x:c r="M8" s="34" t="n">
        <x:f>L8*Assumptions!C47*Assumptions!C49</x:f>
        <x:v>12.096</x:v>
      </x:c>
      <x:c r="N8" s="36" t="str">
        <x:f>IF(M8&gt;=K8,"PASS","FAIL")</x:f>
        <x:v>PASS</x:v>
      </x:c>
    </x:row>
    <x:row r="9">
      <x:c r="B9" s="34" t="str">
        <x:v>Onboard deliverable energy</x:v>
      </x:c>
      <x:c r="C9" s="34" t="n">
        <x:f>(1+Assumptions!C38)*C8</x:f>
        <x:v>667.030803518373</x:v>
      </x:c>
      <x:c r="D9" s="34" t="str">
        <x:v>MWh</x:v>
      </x:c>
      <x:c r="E9" s="34"/>
      <x:c r="F9" s="34"/>
      <x:c r="G9" s="36" t="str"/>
      <x:c r="H9" s="27"/>
      <x:c r="I9" s="34" t="str">
        <x:v>Stationary full 36 MW output</x:v>
      </x:c>
      <x:c r="J9" s="34" t="n">
        <x:v>36</x:v>
      </x:c>
      <x:c r="K9" s="34" t="n">
        <x:f>J9*(1/Assumptions!C45-1)*(1-Assumptions!C46)</x:f>
        <x:v>15.908571428571426</x:v>
      </x:c>
      <x:c r="L9" s="34" t="n">
        <x:v>168</x:v>
      </x:c>
      <x:c r="M9" s="34" t="n">
        <x:f>L9*Assumptions!C48*Assumptions!C49</x:f>
        <x:v>16.464000000000002</x:v>
      </x:c>
      <x:c r="N9" s="36" t="str">
        <x:f>IF(M9&gt;=K9,"PASS","FAIL")</x:f>
        <x:v>PASS</x:v>
      </x:c>
    </x:row>
    <x:row r="10">
      <x:c r="B10" s="34" t="str">
        <x:v>Complete energy-system mass</x:v>
      </x:c>
      <x:c r="C10" s="34" t="n">
        <x:f>'Mass and Balance'!C10</x:f>
        <x:v>187.34738165047082</x:v>
      </x:c>
      <x:c r="D10" s="34" t="str">
        <x:v>t</x:v>
      </x:c>
      <x:c r="E10" s="34"/>
      <x:c r="F10" s="34"/>
      <x:c r="G10" s="36" t="str"/>
      <x:c r="H10" s="27"/>
      <x:c r="I10" s="40" t="str">
        <x:v>One-sector-out 27 MW output</x:v>
      </x:c>
      <x:c r="J10" s="40" t="n">
        <x:v>27</x:v>
      </x:c>
      <x:c r="K10" s="40" t="n">
        <x:f>J10*(1/Assumptions!C45-1)*(1-Assumptions!C46)</x:f>
        <x:v>11.931428571428569</x:v>
      </x:c>
      <x:c r="L10" s="40" t="n">
        <x:v>126</x:v>
      </x:c>
      <x:c r="M10" s="40" t="n">
        <x:f>L10*Assumptions!C48*Assumptions!C49</x:f>
        <x:v>12.347999999999999</x:v>
      </x:c>
      <x:c r="N10" s="42" t="str">
        <x:f>IF(M10&gt;=K10,"PASS","FAIL")</x:f>
        <x:v>PASS</x:v>
      </x:c>
    </x:row>
    <x:row r="11">
      <x:c r="B11" s="34" t="str">
        <x:v>Mission fuel mass</x:v>
      </x:c>
      <x:c r="C11" s="34" t="n">
        <x:f>C10-Assumptions!C40</x:f>
        <x:v>132.34738165047082</x:v>
      </x:c>
      <x:c r="D11" s="34" t="str">
        <x:v>t</x:v>
      </x:c>
      <x:c r="E11" s="34"/>
      <x:c r="F11" s="34"/>
      <x:c r="G11" s="36" t="str"/>
      <x:c r="H11" s="27"/>
      <x:c r="I11" s="27"/>
      <x:c r="J11" s="27"/>
      <x:c r="K11" s="27"/>
      <x:c r="L11" s="27"/>
      <x:c r="M11" s="27"/>
      <x:c r="N11" s="27"/>
    </x:row>
    <x:row r="12">
      <x:c r="B12" s="34" t="str">
        <x:v>Energy per sector</x:v>
      </x:c>
      <x:c r="C12" s="34" t="n">
        <x:f>C9/Assumptions!C51</x:f>
        <x:v>166.75770087959324</x:v>
      </x:c>
      <x:c r="D12" s="34" t="str">
        <x:v>MWh</x:v>
      </x:c>
      <x:c r="E12" s="34"/>
      <x:c r="F12" s="34"/>
      <x:c r="G12" s="36" t="str"/>
      <x:c r="H12" s="27"/>
      <x:c r="I12" s="27"/>
      <x:c r="J12" s="27"/>
      <x:c r="K12" s="27"/>
      <x:c r="L12" s="27"/>
      <x:c r="M12" s="27"/>
      <x:c r="N12" s="27"/>
    </x:row>
    <x:row r="13">
      <x:c r="B13" s="34" t="str">
        <x:v>Fuel per sector</x:v>
      </x:c>
      <x:c r="C13" s="34" t="n">
        <x:f>C11/Assumptions!C51</x:f>
        <x:v>33.086845412617706</x:v>
      </x:c>
      <x:c r="D13" s="34" t="str">
        <x:v>t</x:v>
      </x:c>
      <x:c r="E13" s="34"/>
      <x:c r="F13" s="34"/>
      <x:c r="G13" s="36" t="str"/>
      <x:c r="H13" s="27"/>
      <x:c r="I13" s="27"/>
      <x:c r="J13" s="27"/>
      <x:c r="K13" s="27"/>
      <x:c r="L13" s="27"/>
      <x:c r="M13" s="27"/>
      <x:c r="N13" s="27"/>
    </x:row>
    <x:row r="14">
      <x:c r="B14" s="34" t="str">
        <x:v>Net liquid volume per sector</x:v>
      </x:c>
      <x:c r="C14" s="34" t="n">
        <x:f>C12/Assumptions!C41</x:f>
        <x:v>39.704214495141244</x:v>
      </x:c>
      <x:c r="D14" s="34" t="str">
        <x:v>m3</x:v>
      </x:c>
      <x:c r="E14" s="34"/>
      <x:c r="F14" s="34"/>
      <x:c r="G14" s="36" t="str"/>
      <x:c r="H14" s="27"/>
      <x:c r="I14" s="27"/>
      <x:c r="J14" s="27"/>
      <x:c r="K14" s="27"/>
      <x:c r="L14" s="27"/>
      <x:c r="M14" s="27"/>
      <x:c r="N14" s="27"/>
    </x:row>
    <x:row r="15">
      <x:c r="B15" s="34" t="str">
        <x:v>Tank cassette volume per sector</x:v>
      </x:c>
      <x:c r="C15" s="34" t="n">
        <x:f>C14/Assumptions!C42</x:f>
        <x:v>48.41977377456249</x:v>
      </x:c>
      <x:c r="D15" s="34" t="str">
        <x:v>m3</x:v>
      </x:c>
      <x:c r="E15" s="34"/>
      <x:c r="F15" s="34"/>
      <x:c r="G15" s="36" t="str"/>
      <x:c r="H15" s="27"/>
      <x:c r="I15" s="27"/>
      <x:c r="J15" s="27"/>
      <x:c r="K15" s="27"/>
      <x:c r="L15" s="27"/>
      <x:c r="M15" s="27"/>
      <x:c r="N15" s="27"/>
    </x:row>
    <x:row r="16">
      <x:c r="B16" s="34" t="str">
        <x:v>Fixed hardware volume per sector</x:v>
      </x:c>
      <x:c r="C16" s="34" t="n">
        <x:f>(Assumptions!C40/Assumptions!C51)/Assumptions!C43</x:f>
        <x:v>28.645833333333336</x:v>
      </x:c>
      <x:c r="D16" s="34" t="str">
        <x:v>m3</x:v>
      </x:c>
      <x:c r="E16" s="34"/>
      <x:c r="F16" s="34"/>
      <x:c r="G16" s="36" t="str"/>
      <x:c r="H16" s="27"/>
      <x:c r="I16" s="27"/>
      <x:c r="J16" s="27"/>
      <x:c r="K16" s="27"/>
      <x:c r="L16" s="27"/>
      <x:c r="M16" s="27"/>
      <x:c r="N16" s="27"/>
    </x:row>
    <x:row r="17">
      <x:c r="B17" s="34" t="str">
        <x:v>Required sector volume</x:v>
      </x:c>
      <x:c r="C17" s="34" t="n">
        <x:f>SUM(C15:C16)+Assumptions!C44</x:f>
        <x:v>95.06560710789583</x:v>
      </x:c>
      <x:c r="D17" s="34" t="str">
        <x:v>m3</x:v>
      </x:c>
      <x:c r="E17" s="34"/>
      <x:c r="F17" s="34"/>
      <x:c r="G17" s="36" t="str"/>
      <x:c r="H17" s="27"/>
      <x:c r="I17" s="27"/>
      <x:c r="J17" s="27"/>
      <x:c r="K17" s="27"/>
      <x:c r="L17" s="27"/>
      <x:c r="M17" s="27"/>
      <x:c r="N17" s="27"/>
    </x:row>
    <x:row r="18">
      <x:c r="B18" s="34" t="str">
        <x:v>Available sector bay volume</x:v>
      </x:c>
      <x:c r="C18" s="34" t="n">
        <x:f>Assumptions!C71*Assumptions!C72*Assumptions!C73</x:f>
        <x:v>102.336</x:v>
      </x:c>
      <x:c r="D18" s="34" t="str">
        <x:v>m3</x:v>
      </x:c>
      <x:c r="E18" s="34"/>
      <x:c r="F18" s="34"/>
      <x:c r="G18" s="36" t="str"/>
      <x:c r="H18" s="27"/>
      <x:c r="I18" s="27"/>
      <x:c r="J18" s="27"/>
      <x:c r="K18" s="27"/>
      <x:c r="L18" s="27"/>
      <x:c r="M18" s="27"/>
      <x:c r="N18" s="27"/>
    </x:row>
    <x:row r="19">
      <x:c r="B19" s="40" t="str">
        <x:v>Sector volume reserve</x:v>
      </x:c>
      <x:c r="C19" s="40" t="n">
        <x:f>C18-C17</x:f>
        <x:v>7.270392892104169</x:v>
      </x:c>
      <x:c r="D19" s="40" t="str">
        <x:v>m3</x:v>
      </x:c>
      <x:c r="E19" s="40" t="n">
        <x:v>0</x:v>
      </x:c>
      <x:c r="F19" s="40" t="n">
        <x:f>C19-E19</x:f>
        <x:v>7.270392892104169</x:v>
      </x:c>
      <x:c r="G19" s="42" t="str">
        <x:f>IF(F19&gt;=0,"PASS","FAIL")</x:f>
        <x:v>PASS</x:v>
      </x:c>
      <x:c r="H19" s="27"/>
      <x:c r="I19" s="27"/>
      <x:c r="J19" s="27"/>
      <x:c r="K19" s="27"/>
      <x:c r="L19" s="27"/>
      <x:c r="M19" s="27"/>
      <x:c r="N19" s="27"/>
    </x:row>
    <x:row r="20"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</x:row>
    <x:row r="21"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</x:row>
    <x:row r="22"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</x:row>
    <x:row r="23">
      <x:c r="B23" s="80" t="str">
        <x:v>Sector topology and casualty boundaries</x:v>
      </x:c>
      <x:c r="C23" s="81" t="str">
        <x:v>Sector topology and casualty boundaries</x:v>
      </x:c>
      <x:c r="D23" s="81" t="str">
        <x:v>Sector topology and casualty boundaries</x:v>
      </x:c>
      <x:c r="E23" s="81" t="str">
        <x:v>Sector topology and casualty boundaries</x:v>
      </x:c>
      <x:c r="F23" s="81" t="str">
        <x:v>Sector topology and casualty boundaries</x:v>
      </x:c>
      <x:c r="G23" s="81" t="str">
        <x:v>Sector topology and casualty boundaries</x:v>
      </x:c>
      <x:c r="H23" s="81" t="str">
        <x:v>Sector topology and casualty boundaries</x:v>
      </x:c>
      <x:c r="I23" s="81" t="str">
        <x:v>Sector topology and casualty boundaries</x:v>
      </x:c>
      <x:c r="J23" s="81" t="str">
        <x:v>Sector topology and casualty boundaries</x:v>
      </x:c>
      <x:c r="K23" s="81" t="str">
        <x:v>Sector topology and casualty boundaries</x:v>
      </x:c>
      <x:c r="L23" s="81" t="str">
        <x:v>Sector topology and casualty boundaries</x:v>
      </x:c>
      <x:c r="M23" s="81" t="str">
        <x:v>Sector topology and casualty boundaries</x:v>
      </x:c>
      <x:c r="N23" s="82" t="str">
        <x:v>Sector topology and casualty boundaries</x:v>
      </x:c>
    </x:row>
    <x:row r="24">
      <x:c r="B24" s="19" t="str">
        <x:v>Sector</x:v>
      </x:c>
      <x:c r="C24" s="20" t="str">
        <x:v>x</x:v>
      </x:c>
      <x:c r="D24" s="20" t="str">
        <x:v>y</x:v>
      </x:c>
      <x:c r="E24" s="20" t="str">
        <x:v>Power</x:v>
      </x:c>
      <x:c r="F24" s="20" t="str">
        <x:v>Fuel</x:v>
      </x:c>
      <x:c r="G24" s="20" t="str">
        <x:v>Bay volume</x:v>
      </x:c>
      <x:c r="H24" s="20" t="str">
        <x:v>Bus</x:v>
      </x:c>
      <x:c r="I24" s="20" t="str">
        <x:v>Tank</x:v>
      </x:c>
      <x:c r="J24" s="20" t="str">
        <x:v>Cooler</x:v>
      </x:c>
      <x:c r="K24" s="20" t="str">
        <x:v>Vent</x:v>
      </x:c>
      <x:c r="L24" s="20" t="str">
        <x:v>Drain</x:v>
      </x:c>
      <x:c r="M24" s="20" t="str">
        <x:v>Removal</x:v>
      </x:c>
      <x:c r="N24" s="21" t="str">
        <x:v>Crew path crosses</x:v>
      </x:c>
    </x:row>
    <x:row r="25">
      <x:c r="B25" s="27" t="str">
        <x:v>E1</x:v>
      </x:c>
      <x:c r="C25" s="27" t="n">
        <x:v>5.6</x:v>
      </x:c>
      <x:c r="D25" s="27" t="n">
        <x:v>-2.5</x:v>
      </x:c>
      <x:c r="E25" s="27" t="n">
        <x:f>Assumptions!C50/Assumptions!C51</x:f>
        <x:v>9</x:v>
      </x:c>
      <x:c r="F25" s="27" t="n">
        <x:f>C13</x:f>
        <x:v>33.086845412617706</x:v>
      </x:c>
      <x:c r="G25" s="27" t="n">
        <x:f>C18</x:f>
        <x:v>102.336</x:v>
      </x:c>
      <x:c r="H25" s="27" t="str">
        <x:v>A</x:v>
      </x:c>
      <x:c r="I25" s="27" t="str">
        <x:v>T1</x:v>
      </x:c>
      <x:c r="J25" s="27" t="str">
        <x:v>R1</x:v>
      </x:c>
      <x:c r="K25" s="27" t="str">
        <x:v>V1</x:v>
      </x:c>
      <x:c r="L25" s="27" t="str">
        <x:v>D1</x:v>
      </x:c>
      <x:c r="M25" s="27" t="str">
        <x:v>fore</x:v>
      </x:c>
      <x:c r="N25" s="27" t="str">
        <x:v>no</x:v>
      </x:c>
    </x:row>
    <x:row r="26">
      <x:c r="B26" s="27" t="str">
        <x:v>E2</x:v>
      </x:c>
      <x:c r="C26" s="27" t="n">
        <x:v>5.6</x:v>
      </x:c>
      <x:c r="D26" s="27" t="n">
        <x:v>2.5</x:v>
      </x:c>
      <x:c r="E26" s="27" t="n">
        <x:f>Assumptions!C50/Assumptions!C51</x:f>
        <x:v>9</x:v>
      </x:c>
      <x:c r="F26" s="27" t="n">
        <x:f>C13</x:f>
        <x:v>33.086845412617706</x:v>
      </x:c>
      <x:c r="G26" s="27" t="n">
        <x:f>C18</x:f>
        <x:v>102.336</x:v>
      </x:c>
      <x:c r="H26" s="27" t="str">
        <x:v>B</x:v>
      </x:c>
      <x:c r="I26" s="27" t="str">
        <x:v>T2</x:v>
      </x:c>
      <x:c r="J26" s="27" t="str">
        <x:v>R2</x:v>
      </x:c>
      <x:c r="K26" s="27" t="str">
        <x:v>V2</x:v>
      </x:c>
      <x:c r="L26" s="27" t="str">
        <x:v>D2</x:v>
      </x:c>
      <x:c r="M26" s="27" t="str">
        <x:v>fore</x:v>
      </x:c>
      <x:c r="N26" s="27" t="str">
        <x:v>no</x:v>
      </x:c>
    </x:row>
    <x:row r="27">
      <x:c r="B27" s="27" t="str">
        <x:v>E3</x:v>
      </x:c>
      <x:c r="C27" s="27" t="n">
        <x:v>40.4</x:v>
      </x:c>
      <x:c r="D27" s="27" t="n">
        <x:v>-2.5</x:v>
      </x:c>
      <x:c r="E27" s="27" t="n">
        <x:f>Assumptions!C50/Assumptions!C51</x:f>
        <x:v>9</x:v>
      </x:c>
      <x:c r="F27" s="27" t="n">
        <x:f>C13</x:f>
        <x:v>33.086845412617706</x:v>
      </x:c>
      <x:c r="G27" s="27" t="n">
        <x:f>C18</x:f>
        <x:v>102.336</x:v>
      </x:c>
      <x:c r="H27" s="27" t="str">
        <x:v>C</x:v>
      </x:c>
      <x:c r="I27" s="27" t="str">
        <x:v>T3</x:v>
      </x:c>
      <x:c r="J27" s="27" t="str">
        <x:v>R3</x:v>
      </x:c>
      <x:c r="K27" s="27" t="str">
        <x:v>V3</x:v>
      </x:c>
      <x:c r="L27" s="27" t="str">
        <x:v>D3</x:v>
      </x:c>
      <x:c r="M27" s="27" t="str">
        <x:v>aft</x:v>
      </x:c>
      <x:c r="N27" s="27" t="str">
        <x:v>no</x:v>
      </x:c>
    </x:row>
    <x:row r="28">
      <x:c r="B28" s="27" t="str">
        <x:v>E4</x:v>
      </x:c>
      <x:c r="C28" s="27" t="n">
        <x:v>40.4</x:v>
      </x:c>
      <x:c r="D28" s="27" t="n">
        <x:v>2.5</x:v>
      </x:c>
      <x:c r="E28" s="27" t="n">
        <x:f>Assumptions!C50/Assumptions!C51</x:f>
        <x:v>9</x:v>
      </x:c>
      <x:c r="F28" s="27" t="n">
        <x:f>C13</x:f>
        <x:v>33.086845412617706</x:v>
      </x:c>
      <x:c r="G28" s="27" t="n">
        <x:f>C18</x:f>
        <x:v>102.336</x:v>
      </x:c>
      <x:c r="H28" s="27" t="str">
        <x:v>D</x:v>
      </x:c>
      <x:c r="I28" s="27" t="str">
        <x:v>T4</x:v>
      </x:c>
      <x:c r="J28" s="27" t="str">
        <x:v>R4</x:v>
      </x:c>
      <x:c r="K28" s="27" t="str">
        <x:v>V4</x:v>
      </x:c>
      <x:c r="L28" s="27" t="str">
        <x:v>D4</x:v>
      </x:c>
      <x:c r="M28" s="27" t="str">
        <x:v>aft</x:v>
      </x:c>
      <x:c r="N28" s="27" t="str">
        <x:v>no</x:v>
      </x:c>
    </x:row>
    <x:row r="29"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</x:row>
    <x:row r="30"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</x:row>
    <x:row r="31"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</x:row>
    <x:row r="32">
      <x:c r="B32" s="80" t="str">
        <x:v>Casualty rules</x:v>
      </x:c>
      <x:c r="C32" s="81" t="str">
        <x:v>Casualty rules</x:v>
      </x:c>
      <x:c r="D32" s="81" t="str">
        <x:v>Casualty rules</x:v>
      </x:c>
      <x:c r="E32" s="81" t="str">
        <x:v>Casualty rules</x:v>
      </x:c>
      <x:c r="F32" s="81" t="str">
        <x:v>Casualty rules</x:v>
      </x:c>
      <x:c r="G32" s="81" t="str">
        <x:v>Casualty rules</x:v>
      </x:c>
      <x:c r="H32" s="81" t="str">
        <x:v>Casualty rules</x:v>
      </x:c>
      <x:c r="I32" s="81" t="str">
        <x:v>Casualty rules</x:v>
      </x:c>
      <x:c r="J32" s="81" t="str">
        <x:v>Casualty rules</x:v>
      </x:c>
      <x:c r="K32" s="81" t="str">
        <x:v>Casualty rules</x:v>
      </x:c>
      <x:c r="L32" s="81" t="str">
        <x:v>Casualty rules</x:v>
      </x:c>
      <x:c r="M32" s="81" t="str">
        <x:v>Casualty rules</x:v>
      </x:c>
      <x:c r="N32" s="82" t="str">
        <x:v>Casualty rules</x:v>
      </x:c>
    </x:row>
    <x:row r="33">
      <x:c r="B33" s="88" t="str">
        <x:v>No common fluid</x:v>
      </x:c>
      <x:c r="C33" s="49" t="str">
        <x:v>Each sector has its own tank, shutoff, drain and outward discharge. A common return header would invalidate one-sector containment.</x:v>
      </x:c>
      <x:c r="D33" s="49" t="str"/>
      <x:c r="E33" s="49" t="str"/>
      <x:c r="F33" s="49" t="str"/>
      <x:c r="G33" s="49" t="str"/>
      <x:c r="H33" s="49" t="str"/>
      <x:c r="I33" s="49" t="str"/>
      <x:c r="J33" s="49" t="str"/>
      <x:c r="K33" s="49" t="str"/>
      <x:c r="L33" s="49" t="str"/>
      <x:c r="M33" s="49" t="str"/>
      <x:c r="N33" s="49" t="str"/>
    </x:row>
    <x:row r="34">
      <x:c r="B34" s="89" t="str">
        <x:v>No common thermal loop</x:v>
      </x:c>
      <x:c r="C34" s="34" t="str">
        <x:v>Each sector has fixed route radiators and deployable stationary wings. Cross-ties are normally open and are not needed for 27 MW operation.</x:v>
      </x:c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/>
      <x:c r="N34" s="34" t="str"/>
    </x:row>
    <x:row r="35">
      <x:c r="B35" s="89" t="str">
        <x:v>No common power cabinet</x:v>
      </x:c>
      <x:c r="C35" s="34" t="str">
        <x:v>Each sector reaches a protected distribution lane before any normally open tie. Arc, coolant or control failure must stop at one lane.</x:v>
      </x:c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/>
      <x:c r="N35" s="34" t="str"/>
    </x:row>
    <x:row r="36">
      <x:c r="B36" s="89" t="str">
        <x:v>Removal</x:v>
      </x:c>
      <x:c r="C36" s="34" t="str">
        <x:v>Tank, turbine-generator, power electronics and thermal cassettes leave toward the nearest vehicle end. No failed module crosses the payload or an occupied refuge.</x:v>
      </x:c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/>
      <x:c r="N36" s="34" t="str"/>
    </x:row>
    <x:row r="37">
      <x:c r="B37" s="90" t="str">
        <x:v>Admission</x:v>
      </x:c>
      <x:c r="C37" s="52" t="str">
        <x:v>The model assigns behavior. Fire growth, heat flux, fragments, fluid migration, toxic products and restoration time require destructive full-scale trials.</x:v>
      </x:c>
      <x:c r="D37" s="52" t="str"/>
      <x:c r="E37" s="52" t="str"/>
      <x:c r="F37" s="52" t="str"/>
      <x:c r="G37" s="52" t="str"/>
      <x:c r="H37" s="52" t="str"/>
      <x:c r="I37" s="52" t="str"/>
      <x:c r="J37" s="52" t="str"/>
      <x:c r="K37" s="52" t="str"/>
      <x:c r="L37" s="52" t="str"/>
      <x:c r="M37" s="52" t="str"/>
      <x:c r="N37" s="52" t="str"/>
    </x:row>
    <x:row r="38"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</x:row>
    <x:row r="39"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</x:row>
    <x:row r="40"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</x:row>
    <x:row r="41"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</x:row>
    <x:row r="42"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</x:row>
    <x:row r="43"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</x:row>
    <x:row r="44"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</x:row>
  </x:sheetData>
  <x:mergeCells>
    <x:mergeCell ref="B6:G6"/>
    <x:mergeCell ref="I6:N6"/>
    <x:mergeCell ref="B23:N23"/>
    <x:mergeCell ref="B32:N32"/>
  </x:mergeCells>
  <x:conditionalFormatting sqref="G19:G19">
    <x:cfRule type="containsText" dxfId="21" priority="1" operator="containsText" text="FAIL"/>
    <x:cfRule type="containsText" dxfId="22" priority="2" operator="containsText" text="PASS"/>
    <x:cfRule type="containsText" dxfId="23" priority="3" operator="containsText" text="BLOCKED"/>
  </x:conditionalFormatting>
  <x:conditionalFormatting sqref="N8:N10">
    <x:cfRule type="containsText" dxfId="24" priority="4" operator="containsText" text="FAIL"/>
    <x:cfRule type="containsText" dxfId="25" priority="5" operator="containsText" text="PASS"/>
    <x:cfRule type="containsText" dxfId="26" priority="6" operator="containsText" text="BLOCK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5" hidden="0" customWidth="1"/>
    <x:col min="3" max="3" width="17" hidden="0" customWidth="1"/>
    <x:col min="4" max="4" width="18" hidden="0" customWidth="1"/>
    <x:col min="5" max="5" width="48" hidden="0" customWidth="1"/>
    <x:col min="6" max="6" width="15" hidden="0" customWidth="1"/>
    <x:col min="7" max="7" width="15" hidden="0" customWidth="1"/>
    <x:col min="8" max="8" width="34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42" hidden="0" customWidth="1"/>
  </x:cols>
  <x:sheetData>
    <x:row r="2">
      <x:c r="B2" s="86" t="str">
        <x:v>Six-module bridge and route-kit closure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B3" s="87" t="str">
        <x:v>The bridge carries bearing length as well as clear span; structural mass feeds vehicle mass and energy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B6" s="80" t="str">
        <x:v>Bridge mass coefficient</x:v>
      </x:c>
      <x:c r="C6" s="81" t="str">
        <x:v>Bridge mass coefficient</x:v>
      </x:c>
      <x:c r="D6" s="81" t="str">
        <x:v>Bridge mass coefficient</x:v>
      </x:c>
      <x:c r="E6" s="81" t="str">
        <x:v>Bridge mass coefficient</x:v>
      </x:c>
      <x:c r="F6" s="82" t="str">
        <x:v>Bridge mass coefficient</x:v>
      </x:c>
      <x:c r="G6" s="27"/>
      <x:c r="H6" s="80" t="str">
        <x:v>Gross-coupled bridge result</x:v>
      </x:c>
      <x:c r="I6" s="81" t="str">
        <x:v>Gross-coupled bridge result</x:v>
      </x:c>
      <x:c r="J6" s="81" t="str">
        <x:v>Gross-coupled bridge result</x:v>
      </x:c>
      <x:c r="K6" s="81" t="str">
        <x:v>Gross-coupled bridge result</x:v>
      </x:c>
      <x:c r="L6" s="81" t="str">
        <x:v>Gross-coupled bridge result</x:v>
      </x:c>
      <x:c r="M6" s="81" t="str">
        <x:v>Gross-coupled bridge result</x:v>
      </x:c>
      <x:c r="N6" s="82" t="str">
        <x:v>Gross-coupled bridge result</x:v>
      </x:c>
    </x:row>
    <x:row r="7">
      <x:c r="B7" s="32" t="str">
        <x:v>Calculation</x:v>
      </x:c>
      <x:c r="C7" s="33" t="str">
        <x:v>Value</x:v>
      </x:c>
      <x:c r="D7" s="33" t="str">
        <x:v>Unit</x:v>
      </x:c>
      <x:c r="E7" s="33" t="str">
        <x:v>Formula meaning</x:v>
      </x:c>
      <x:c r="F7" s="33" t="str">
        <x:v>Status</x:v>
      </x:c>
      <x:c r="G7" s="27"/>
      <x:c r="H7" s="32" t="str">
        <x:v>Metric</x:v>
      </x:c>
      <x:c r="I7" s="33" t="str">
        <x:v>Value</x:v>
      </x:c>
      <x:c r="J7" s="33" t="str">
        <x:v>Unit</x:v>
      </x:c>
      <x:c r="K7" s="33" t="str">
        <x:v>Threshold</x:v>
      </x:c>
      <x:c r="L7" s="33" t="str">
        <x:v>Margin</x:v>
      </x:c>
      <x:c r="M7" s="33" t="str">
        <x:v>Result</x:v>
      </x:c>
      <x:c r="N7" s="33" t="str">
        <x:v>Meaning</x:v>
      </x:c>
    </x:row>
    <x:row r="8">
      <x:c r="B8" s="34" t="str">
        <x:v>Required installed length</x:v>
      </x:c>
      <x:c r="C8" s="98" t="n">
        <x:f>Assumptions!C79+2*Assumptions!C80</x:f>
        <x:v>25</x:v>
      </x:c>
      <x:c r="D8" s="34" t="str">
        <x:v>m</x:v>
      </x:c>
      <x:c r="E8" s="34" t="str">
        <x:v>clear gap plus two end bearings</x:v>
      </x:c>
      <x:c r="F8" s="36" t="str">
        <x:v>CALCULATED</x:v>
      </x:c>
      <x:c r="G8" s="27"/>
      <x:c r="H8" s="34" t="str">
        <x:v>Rated gross</x:v>
      </x:c>
      <x:c r="I8" s="34" t="n">
        <x:f>'Mass and Balance'!C17</x:f>
        <x:v>717.1849856300037</x:v>
      </x:c>
      <x:c r="J8" s="34" t="str">
        <x:v>t</x:v>
      </x:c>
      <x:c r="K8" s="34"/>
      <x:c r="L8" s="34"/>
      <x:c r="M8" s="34" t="str"/>
      <x:c r="N8" s="36" t="str">
        <x:v>from coupled vehicle calculation</x:v>
      </x:c>
    </x:row>
    <x:row r="9">
      <x:c r="B9" s="34" t="str">
        <x:v>Installed modules</x:v>
      </x:c>
      <x:c r="C9" s="98" t="n">
        <x:f>C8/Assumptions!C81</x:f>
        <x:v>5</x:v>
      </x:c>
      <x:c r="D9" s="34" t="str">
        <x:v>modules</x:v>
      </x:c>
      <x:c r="E9" s="34" t="str">
        <x:v>required length divided by module length</x:v>
      </x:c>
      <x:c r="F9" s="36" t="str">
        <x:v>CALCULATED</x:v>
      </x:c>
      <x:c r="G9" s="27"/>
      <x:c r="H9" s="34" t="str">
        <x:v>Dynamic supported mass equivalent</x:v>
      </x:c>
      <x:c r="I9" s="34" t="n">
        <x:f>I8*Assumptions!C84*Assumptions!C85</x:f>
        <x:v>688.4975862048035</x:v>
      </x:c>
      <x:c r="J9" s="34" t="str">
        <x:v>t</x:v>
      </x:c>
      <x:c r="K9" s="34"/>
      <x:c r="L9" s="34"/>
      <x:c r="M9" s="34" t="str"/>
      <x:c r="N9" s="36" t="str">
        <x:v>conservative 80% of gross times 1.20</x:v>
      </x:c>
    </x:row>
    <x:row r="10">
      <x:c r="B10" s="34" t="str">
        <x:v>Carried modules after reserve</x:v>
      </x:c>
      <x:c r="C10" s="98" t="n">
        <x:f>C9+Assumptions!C83</x:f>
        <x:v>6</x:v>
      </x:c>
      <x:c r="D10" s="34" t="str">
        <x:v>modules</x:v>
      </x:c>
      <x:c r="E10" s="34" t="str">
        <x:v>installed plus one loss allowance</x:v>
      </x:c>
      <x:c r="F10" s="36" t="str">
        <x:v>CALCULATED</x:v>
      </x:c>
      <x:c r="G10" s="27"/>
      <x:c r="H10" s="34" t="str">
        <x:v>Total design bending moment</x:v>
      </x:c>
      <x:c r="I10" s="34" t="n">
        <x:f>I9*9.81*Assumptions!C79/4/1000</x:f>
        <x:v>33.77080660334561</x:v>
      </x:c>
      <x:c r="J10" s="34" t="str">
        <x:v>MN-m</x:v>
      </x:c>
      <x:c r="K10" s="34"/>
      <x:c r="L10" s="34"/>
      <x:c r="M10" s="34" t="str"/>
      <x:c r="N10" s="36" t="str">
        <x:v>simple-span upper screen</x:v>
      </x:c>
    </x:row>
    <x:row r="11">
      <x:c r="B11" s="34" t="str">
        <x:v>Moment per tonne gross</x:v>
      </x:c>
      <x:c r="C11" s="98" t="n">
        <x:f>1000*Assumptions!C84*Assumptions!C85*9.81*Assumptions!C79/4/1000000</x:f>
        <x:v>0.047088</x:v>
      </x:c>
      <x:c r="D11" s="34" t="str">
        <x:v>MN-m/t gross</x:v>
      </x:c>
      <x:c r="E11" s="34" t="str">
        <x:v>80% supported, 1.20 dynamic, 20 m clear span</x:v>
      </x:c>
      <x:c r="F11" s="36" t="str">
        <x:v>CALCULATED</x:v>
      </x:c>
      <x:c r="G11" s="27"/>
      <x:c r="H11" s="34" t="str">
        <x:v>Installed five-module structure</x:v>
      </x:c>
      <x:c r="I11" s="34" t="n">
        <x:f>C13*I8*Assumptions!C89</x:f>
        <x:v>27.614669982944065</x:v>
      </x:c>
      <x:c r="J11" s="34" t="str">
        <x:v>t</x:v>
      </x:c>
      <x:c r="K11" s="34"/>
      <x:c r="L11" s="34"/>
      <x:c r="M11" s="34" t="str"/>
      <x:c r="N11" s="36" t="str">
        <x:v>chords, webs, deck, joints and cross-bracing</x:v>
      </x:c>
    </x:row>
    <x:row r="12">
      <x:c r="B12" s="34" t="str">
        <x:v>Chord area per tonne gross per chord</x:v>
      </x:c>
      <x:c r="C12" s="98" t="n">
        <x:f>(C11/2)*1000000/(Assumptions!C87*1000000*Assumptions!C86)</x:f>
        <x:v>0.00001635</x:v>
      </x:c>
      <x:c r="D12" s="34" t="str">
        <x:v>m2/t gross</x:v>
      </x:c>
      <x:c r="E12" s="34" t="str">
        <x:v>half moment divided by stress and truss depth</x:v>
      </x:c>
      <x:c r="F12" s="36" t="str">
        <x:v>CALCULATED</x:v>
      </x:c>
      <x:c r="G12" s="27"/>
      <x:c r="H12" s="34" t="str">
        <x:v>Carried six-module structure</x:v>
      </x:c>
      <x:c r="I12" s="34" t="n">
        <x:f>C14*I8</x:f>
        <x:v>33.13760397953288</x:v>
      </x:c>
      <x:c r="J12" s="34" t="str">
        <x:v>t</x:v>
      </x:c>
      <x:c r="K12" s="34"/>
      <x:c r="L12" s="34"/>
      <x:c r="M12" s="34" t="str"/>
      <x:c r="N12" s="36" t="str">
        <x:v>one complete module reserve</x:v>
      </x:c>
    </x:row>
    <x:row r="13">
      <x:c r="B13" s="34" t="str">
        <x:v>Four-chord mass per tonne gross</x:v>
      </x:c>
      <x:c r="C13" s="98" t="n">
        <x:f>C12*Assumptions!C88*C8*4</x:f>
        <x:v>0.012834749999999999</x:v>
      </x:c>
      <x:c r="D13" s="34" t="str">
        <x:v>t/t gross</x:v>
      </x:c>
      <x:c r="E13" s="34" t="str">
        <x:v>two chords on each of two trackways</x:v>
      </x:c>
      <x:c r="F13" s="36" t="str">
        <x:v>CALCULATED</x:v>
      </x:c>
      <x:c r="G13" s="27"/>
      <x:c r="H13" s="34" t="str">
        <x:v>Complete route kit</x:v>
      </x:c>
      <x:c r="I13" s="34" t="n">
        <x:f>I12+C15</x:f>
        <x:v>56.13760397953288</x:v>
      </x:c>
      <x:c r="J13" s="34" t="str">
        <x:v>t</x:v>
      </x:c>
      <x:c r="K13" s="34"/>
      <x:c r="L13" s="34"/>
      <x:c r="M13" s="34" t="str"/>
      <x:c r="N13" s="36" t="str">
        <x:v>bridge plus launcher, mats, robots and restraints</x:v>
      </x:c>
    </x:row>
    <x:row r="14">
      <x:c r="B14" s="34" t="str">
        <x:v>Carried bridge structural coefficient</x:v>
      </x:c>
      <x:c r="C14" s="98" t="n">
        <x:f>C13*Assumptions!C89*(C10/C9)</x:f>
        <x:v>0.04620509999999999</x:v>
      </x:c>
      <x:c r="D14" s="34" t="str">
        <x:v>t/t gross</x:v>
      </x:c>
      <x:c r="E14" s="34" t="str">
        <x:v>web/deck/joint multiplier and one spare module</x:v>
      </x:c>
      <x:c r="F14" s="36" t="str">
        <x:v>CALCULATED</x:v>
      </x:c>
      <x:c r="G14" s="27"/>
      <x:c r="H14" s="34" t="str">
        <x:v>Length after one module loss</x:v>
      </x:c>
      <x:c r="I14" s="34" t="n">
        <x:f>(Assumptions!C82-Assumptions!C83)*Assumptions!C81</x:f>
        <x:v>25</x:v>
      </x:c>
      <x:c r="J14" s="34" t="str">
        <x:v>m</x:v>
      </x:c>
      <x:c r="K14" s="34" t="n">
        <x:v>25</x:v>
      </x:c>
      <x:c r="L14" s="34" t="n">
        <x:f>I14-K14</x:f>
        <x:v>0</x:v>
      </x:c>
      <x:c r="M14" s="34" t="str">
        <x:f>IF(I14&gt;=K14,"PASS","FAIL")</x:f>
        <x:v>PASS</x:v>
      </x:c>
      <x:c r="N14" s="36" t="str">
        <x:v>still includes 2.5 m bearing at each end</x:v>
      </x:c>
    </x:row>
    <x:row r="15">
      <x:c r="B15" s="40" t="str">
        <x:v>Fixed launcher, mats, robots and restraints</x:v>
      </x:c>
      <x:c r="C15" s="99" t="n">
        <x:f>SUM(Assumptions!C90:C93)</x:f>
        <x:v>23</x:v>
      </x:c>
      <x:c r="D15" s="40" t="str">
        <x:v>t</x:v>
      </x:c>
      <x:c r="E15" s="40" t="str">
        <x:v>non-structural route-kit mass</x:v>
      </x:c>
      <x:c r="F15" s="42" t="str">
        <x:v>CALCULATED</x:v>
      </x:c>
      <x:c r="G15" s="27"/>
      <x:c r="H15" s="40" t="str">
        <x:v>Length after two module losses</x:v>
      </x:c>
      <x:c r="I15" s="40" t="n">
        <x:f>(Assumptions!C82-2)*Assumptions!C81</x:f>
        <x:v>20</x:v>
      </x:c>
      <x:c r="J15" s="40" t="str">
        <x:v>m</x:v>
      </x:c>
      <x:c r="K15" s="40" t="n">
        <x:v>25</x:v>
      </x:c>
      <x:c r="L15" s="40" t="n">
        <x:f>I15-K15</x:f>
        <x:v>-5</x:v>
      </x:c>
      <x:c r="M15" s="40" t="str">
        <x:f>IF(I15&gt;=K15,"PASS","FAIL")</x:f>
        <x:v>FAIL</x:v>
      </x:c>
      <x:c r="N15" s="42" t="str">
        <x:v>outside single-loss guarantee</x:v>
      </x:c>
    </x:row>
    <x:row r="16"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</x:row>
    <x:row r="17"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</x:row>
    <x:row r="18">
      <x:c r="B18" s="80" t="str">
        <x:v>Split-keel stowage and deployment</x:v>
      </x:c>
      <x:c r="C18" s="81" t="str">
        <x:v>Split-keel stowage and deployment</x:v>
      </x:c>
      <x:c r="D18" s="81" t="str">
        <x:v>Split-keel stowage and deployment</x:v>
      </x:c>
      <x:c r="E18" s="81" t="str">
        <x:v>Split-keel stowage and deployment</x:v>
      </x:c>
      <x:c r="F18" s="81" t="str">
        <x:v>Split-keel stowage and deployment</x:v>
      </x:c>
      <x:c r="G18" s="81" t="str">
        <x:v>Split-keel stowage and deployment</x:v>
      </x:c>
      <x:c r="H18" s="81" t="str">
        <x:v>Split-keel stowage and deployment</x:v>
      </x:c>
      <x:c r="I18" s="81" t="str">
        <x:v>Split-keel stowage and deployment</x:v>
      </x:c>
      <x:c r="J18" s="81" t="str">
        <x:v>Split-keel stowage and deployment</x:v>
      </x:c>
      <x:c r="K18" s="81" t="str">
        <x:v>Split-keel stowage and deployment</x:v>
      </x:c>
      <x:c r="L18" s="81" t="str">
        <x:v>Split-keel stowage and deployment</x:v>
      </x:c>
      <x:c r="M18" s="81" t="str">
        <x:v>Split-keel stowage and deployment</x:v>
      </x:c>
      <x:c r="N18" s="82" t="str">
        <x:v>Split-keel stowage and deployment</x:v>
      </x:c>
    </x:row>
    <x:row r="19">
      <x:c r="B19" s="19" t="str">
        <x:v>Object</x:v>
      </x:c>
      <x:c r="C19" s="20" t="str">
        <x:v>Count</x:v>
      </x:c>
      <x:c r="D19" s="20" t="str">
        <x:v>Each volume</x:v>
      </x:c>
      <x:c r="E19" s="20" t="str">
        <x:v>Required volume</x:v>
      </x:c>
      <x:c r="F19" s="20" t="str">
        <x:v>Available volume</x:v>
      </x:c>
      <x:c r="G19" s="20" t="str">
        <x:v>Margin</x:v>
      </x:c>
      <x:c r="H19" s="21" t="str">
        <x:v>Result</x:v>
      </x:c>
      <x:c r="I19" s="27"/>
      <x:c r="J19" s="27"/>
      <x:c r="K19" s="27"/>
      <x:c r="L19" s="27"/>
      <x:c r="M19" s="27"/>
      <x:c r="N19" s="27"/>
    </x:row>
    <x:row r="20">
      <x:c r="B20" s="27" t="str">
        <x:v>Paired half-width bridge leaves</x:v>
      </x:c>
      <x:c r="C20" s="27" t="n">
        <x:v>6</x:v>
      </x:c>
      <x:c r="D20" s="27" t="n">
        <x:v>6.325</x:v>
      </x:c>
      <x:c r="E20" s="27" t="n">
        <x:f>C20*D20</x:f>
        <x:v>37.95</x:v>
      </x:c>
      <x:c r="F20" s="27"/>
      <x:c r="G20" s="27"/>
      <x:c r="H20" s="27"/>
      <x:c r="I20" s="27"/>
      <x:c r="J20" s="27"/>
      <x:c r="K20" s="27"/>
      <x:c r="L20" s="27"/>
      <x:c r="M20" s="27"/>
      <x:c r="N20" s="27"/>
    </x:row>
    <x:row r="21">
      <x:c r="B21" s="27" t="str">
        <x:v>Approach mat cassettes</x:v>
      </x:c>
      <x:c r="C21" s="27" t="n">
        <x:v>2</x:v>
      </x:c>
      <x:c r="D21" s="27" t="n">
        <x:v>13.2</x:v>
      </x:c>
      <x:c r="E21" s="27" t="n">
        <x:f>C21*D21</x:f>
        <x:v>26.4</x:v>
      </x:c>
      <x:c r="F21" s="27"/>
      <x:c r="G21" s="27"/>
      <x:c r="H21" s="27"/>
      <x:c r="I21" s="27"/>
      <x:c r="J21" s="27"/>
      <x:c r="K21" s="27"/>
      <x:c r="L21" s="27"/>
      <x:c r="M21" s="27"/>
      <x:c r="N21" s="27"/>
    </x:row>
    <x:row r="22">
      <x:c r="B22" s="27" t="str">
        <x:v>Erector mechanisms</x:v>
      </x:c>
      <x:c r="C22" s="27" t="n">
        <x:v>2</x:v>
      </x:c>
      <x:c r="D22" s="27" t="n">
        <x:v>10</x:v>
      </x:c>
      <x:c r="E22" s="27" t="n">
        <x:f>C22*D22</x:f>
        <x:v>20</x:v>
      </x:c>
      <x:c r="F22" s="27"/>
      <x:c r="G22" s="27"/>
      <x:c r="H22" s="27"/>
      <x:c r="I22" s="27"/>
      <x:c r="J22" s="27"/>
      <x:c r="K22" s="27"/>
      <x:c r="L22" s="27"/>
      <x:c r="M22" s="27"/>
      <x:c r="N22" s="27"/>
    </x:row>
    <x:row r="23">
      <x:c r="B23" s="27" t="str">
        <x:v>Route robots, tools and inspection</x:v>
      </x:c>
      <x:c r="C23" s="27" t="n">
        <x:v>1</x:v>
      </x:c>
      <x:c r="D23" s="27" t="n">
        <x:v>12</x:v>
      </x:c>
      <x:c r="E23" s="27" t="n">
        <x:f>C23*D23</x:f>
        <x:v>12</x:v>
      </x:c>
      <x:c r="F23" s="27"/>
      <x:c r="G23" s="27"/>
      <x:c r="H23" s="27"/>
      <x:c r="I23" s="27"/>
      <x:c r="J23" s="27"/>
      <x:c r="K23" s="27"/>
      <x:c r="L23" s="27"/>
      <x:c r="M23" s="27"/>
      <x:c r="N23" s="27"/>
    </x:row>
    <x:row r="24">
      <x:c r="B24" s="27" t="str">
        <x:v>Total split-keel closure</x:v>
      </x:c>
      <x:c r="C24" s="27"/>
      <x:c r="D24" s="27"/>
      <x:c r="E24" s="27" t="n">
        <x:f>SUM(E20:E23)</x:f>
        <x:v>96.35</x:v>
      </x:c>
      <x:c r="F24" s="27" t="n">
        <x:v>115</x:v>
      </x:c>
      <x:c r="G24" s="27" t="n">
        <x:f>F24-E24</x:f>
        <x:v>18.650000000000006</x:v>
      </x:c>
      <x:c r="H24" s="27" t="str">
        <x:f>IF(G24&gt;=0,"PASS","FAIL")</x:f>
        <x:v>PASS</x:v>
      </x:c>
      <x:c r="I24" s="27"/>
      <x:c r="J24" s="27"/>
      <x:c r="K24" s="27"/>
      <x:c r="L24" s="27"/>
      <x:c r="M24" s="27"/>
      <x:c r="N24" s="27"/>
    </x:row>
    <x:row r="25"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</x:row>
    <x:row r="26"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</x:row>
    <x:row r="27">
      <x:c r="B27" s="49" t="str">
        <x:v>Deployment sequence</x:v>
      </x:c>
      <x:c r="C27" s="49" t="str">
        <x:v>1</x:v>
      </x:c>
      <x:c r="D27" s="49" t="str">
        <x:v>stop and distribute load across remaining pods</x:v>
      </x:c>
      <x:c r="E27" s="49" t="str">
        <x:v>2</x:v>
      </x:c>
      <x:c r="F27" s="49" t="str">
        <x:v>retract one adjacent pod</x:v>
      </x:c>
      <x:c r="G27" s="49" t="str">
        <x:v>3</x:v>
      </x:c>
      <x:c r="H27" s="49" t="str">
        <x:v>eject half-width leaves laterally</x:v>
      </x:c>
      <x:c r="I27" s="49" t="str">
        <x:v>4</x:v>
      </x:c>
      <x:c r="J27" s="49" t="str">
        <x:v>robots carry leaves to leading end</x:v>
      </x:c>
      <x:c r="K27" s="49" t="str">
        <x:v>5</x:v>
      </x:c>
      <x:c r="L27" s="49" t="str">
        <x:v>join five modules and place mats</x:v>
      </x:c>
      <x:c r="M27" s="49" t="str">
        <x:v>6</x:v>
      </x:c>
      <x:c r="N27" s="49" t="str">
        <x:v>cross at controlled station load</x:v>
      </x:c>
    </x:row>
    <x:row r="28">
      <x:c r="B28" s="52" t="str">
        <x:v>Loss logic</x:v>
      </x:c>
      <x:c r="C28" s="52" t="str">
        <x:v>six modules carried</x:v>
      </x:c>
      <x:c r="D28" s="52" t="str">
        <x:v>one unavailable</x:v>
      </x:c>
      <x:c r="E28" s="52" t="str">
        <x:v>five installed</x:v>
      </x:c>
      <x:c r="F28" s="52" t="str">
        <x:v>25 m physical length</x:v>
      </x:c>
      <x:c r="G28" s="52" t="str">
        <x:v>20 m clear gap</x:v>
      </x:c>
      <x:c r="H28" s="52" t="str">
        <x:v>2.5 m bearing each end</x:v>
      </x:c>
      <x:c r="I28" s="52" t="str">
        <x:v>two losses leave 20 m</x:v>
      </x:c>
      <x:c r="J28" s="52" t="str">
        <x:v>gap closure fails</x:v>
      </x:c>
      <x:c r="K28" s="52" t="str">
        <x:v>safe hold or reroute</x:v>
      </x:c>
      <x:c r="L28" s="52" t="str">
        <x:v>air mode preserves DCP effect</x:v>
      </x:c>
      <x:c r="M28" s="52" t="str">
        <x:v>Admission</x:v>
      </x:c>
      <x:c r="N28" s="52" t="str">
        <x:v>OPEN</x:v>
      </x:c>
    </x:row>
    <x:row r="29"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</x:row>
    <x:row r="30">
      <x:c r="B30" s="27" t="str">
        <x:v>Deployment target</x:v>
      </x:c>
      <x:c r="C30" s="27" t="n">
        <x:v>1.75</x:v>
      </x:c>
      <x:c r="D30" s="27" t="str">
        <x:v>h</x:v>
      </x:c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</x:row>
    <x:row r="31"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</x:row>
    <x:row r="32"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  <x:row r="37"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</x:row>
    <x:row r="38"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</x:row>
    <x:row r="39"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</x:row>
    <x:row r="40"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</x:row>
    <x:row r="41"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</x:row>
    <x:row r="42"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</x:row>
  </x:sheetData>
  <x:mergeCells>
    <x:mergeCell ref="B6:F6"/>
    <x:mergeCell ref="H6:N6"/>
    <x:mergeCell ref="B18:N18"/>
  </x:mergeCells>
  <x:conditionalFormatting sqref="M14:M15">
    <x:cfRule type="containsText" dxfId="6" priority="1" operator="containsText" text="FAIL"/>
    <x:cfRule type="containsText" dxfId="7" priority="2" operator="containsText" text="PASS"/>
    <x:cfRule type="containsText" dxfId="8" priority="3" operator="containsText" text="BLOCK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15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7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43" hidden="0" customWidth="1"/>
  </x:cols>
  <x:sheetData>
    <x:row r="2">
      <x:c r="B2" s="86" t="str">
        <x:v>Payload access, crew survival and assigned-load balance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B3" s="87" t="str">
        <x:v>Eight dry positions and one wet pack remain independently reachable across two rigid cargo bodies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B6" s="80" t="str">
        <x:v>Four registered payload blocks on the configured vehicle</x:v>
      </x:c>
      <x:c r="C6" s="81" t="str">
        <x:v>Four registered payload blocks on the configured vehicle</x:v>
      </x:c>
      <x:c r="D6" s="81" t="str">
        <x:v>Four registered payload blocks on the configured vehicle</x:v>
      </x:c>
      <x:c r="E6" s="81" t="str">
        <x:v>Four registered payload blocks on the configured vehicle</x:v>
      </x:c>
      <x:c r="F6" s="81" t="str">
        <x:v>Four registered payload blocks on the configured vehicle</x:v>
      </x:c>
      <x:c r="G6" s="81" t="str">
        <x:v>Four registered payload blocks on the configured vehicle</x:v>
      </x:c>
      <x:c r="H6" s="81" t="str">
        <x:v>Four registered payload blocks on the configured vehicle</x:v>
      </x:c>
      <x:c r="I6" s="81" t="str">
        <x:v>Four registered payload blocks on the configured vehicle</x:v>
      </x:c>
      <x:c r="J6" s="81" t="str">
        <x:v>Four registered payload blocks on the configured vehicle</x:v>
      </x:c>
      <x:c r="K6" s="81" t="str">
        <x:v>Four registered payload blocks on the configured vehicle</x:v>
      </x:c>
      <x:c r="L6" s="81" t="str">
        <x:v>Four registered payload blocks on the configured vehicle</x:v>
      </x:c>
      <x:c r="M6" s="81" t="str">
        <x:v>Four registered payload blocks on the configured vehicle</x:v>
      </x:c>
      <x:c r="N6" s="82" t="str">
        <x:v>Four registered payload blocks on the configured vehicle</x:v>
      </x:c>
    </x:row>
    <x:row r="7">
      <x:c r="B7" s="32" t="str">
        <x:v>Carrier block</x:v>
      </x:c>
      <x:c r="C7" s="33" t="str">
        <x:v>Assigned mass</x:v>
      </x:c>
      <x:c r="D7" s="33" t="str">
        <x:v>Cube</x:v>
      </x:c>
      <x:c r="E7" s="33" t="str">
        <x:v>Deck demand</x:v>
      </x:c>
      <x:c r="F7" s="33" t="str">
        <x:v>Dry positions</x:v>
      </x:c>
      <x:c r="G7" s="33" t="str">
        <x:v>Local x CG</x:v>
      </x:c>
      <x:c r="H7" s="33" t="str">
        <x:v>Local y CG</x:v>
      </x:c>
      <x:c r="I7" s="33" t="str">
        <x:v>Local z CG</x:v>
      </x:c>
      <x:c r="J7" s="33" t="str">
        <x:v>Vehicle x CG</x:v>
      </x:c>
      <x:c r="K7" s="33" t="str">
        <x:v>Vehicle y CG</x:v>
      </x:c>
      <x:c r="L7" s="33" t="str">
        <x:v>Vehicle z CG</x:v>
      </x:c>
      <x:c r="M7" s="33" t="str">
        <x:v>Balance</x:v>
      </x:c>
      <x:c r="N7" s="33" t="str">
        <x:v>Access</x:v>
      </x:c>
    </x:row>
    <x:row r="8">
      <x:c r="B8" s="34" t="str">
        <x:v>ATUT-B1 / L1</x:v>
      </x:c>
      <x:c r="C8" s="34" t="n">
        <x:v>158.75</x:v>
      </x:c>
      <x:c r="D8" s="34" t="n">
        <x:v>582</x:v>
      </x:c>
      <x:c r="E8" s="34" t="n">
        <x:v>141</x:v>
      </x:c>
      <x:c r="F8" s="34" t="n">
        <x:v>8</x:v>
      </x:c>
      <x:c r="G8" s="34" t="n">
        <x:v>10.928</x:v>
      </x:c>
      <x:c r="H8" s="34" t="n">
        <x:v>-0.076</x:v>
      </x:c>
      <x:c r="I8" s="34" t="n">
        <x:v>2.445</x:v>
      </x:c>
      <x:c r="J8" s="34" t="n">
        <x:f>('Mass and Balance'!C15*SUM('Mass and Balance'!G25:G31)/SUM('Mass and Balance'!C25:C31)+C8*(Assumptions!C25+G8))/('Mass and Balance'!C15+C8)</x:f>
        <x:v>22.809394628770356</x:v>
      </x:c>
      <x:c r="K8" s="34" t="n">
        <x:f>('Mass and Balance'!C15*SUM('Mass and Balance'!H25:H31)/SUM('Mass and Balance'!C25:C31)+C8*H8)/('Mass and Balance'!C15+C8)</x:f>
        <x:v>-0.01709080899175542</x:v>
      </x:c>
      <x:c r="L8" s="34" t="n">
        <x:f>('Mass and Balance'!C15*SUM('Mass and Balance'!I25:I31)/SUM('Mass and Balance'!C25:C31)+C8*(Assumptions!C31+I8))/('Mass and Balance'!C15+C8)</x:f>
        <x:v>3.591473653573925</x:v>
      </x:c>
      <x:c r="M8" s="34" t="str">
        <x:f>IF(AND(D8&lt;=Assumptions!C28,E8&lt;=Assumptions!C30,G8&gt;=Assumptions!C33,G8&lt;=Assumptions!C34,ABS(H8)&lt;=Assumptions!C35),"PASS","FAIL")</x:f>
        <x:v>PASS</x:v>
      </x:c>
      <x:c r="N8" s="36" t="str">
        <x:v>PASS</x:v>
      </x:c>
    </x:row>
    <x:row r="9">
      <x:c r="B9" s="34" t="str">
        <x:v>ATUT-B2 / L2</x:v>
      </x:c>
      <x:c r="C9" s="34" t="n">
        <x:v>158.75</x:v>
      </x:c>
      <x:c r="D9" s="34" t="n">
        <x:v>772</x:v>
      </x:c>
      <x:c r="E9" s="34" t="n">
        <x:v>171</x:v>
      </x:c>
      <x:c r="F9" s="34" t="n">
        <x:v>8</x:v>
      </x:c>
      <x:c r="G9" s="34" t="n">
        <x:v>11</x:v>
      </x:c>
      <x:c r="H9" s="34" t="n">
        <x:v>-0.013</x:v>
      </x:c>
      <x:c r="I9" s="34" t="n">
        <x:v>2.609</x:v>
      </x:c>
      <x:c r="J9" s="34" t="n">
        <x:f>('Mass and Balance'!C15*SUM('Mass and Balance'!G25:G31)/SUM('Mass and Balance'!C25:C31)+C9*(Assumptions!C25+G9))/('Mass and Balance'!C15+C9)</x:f>
        <x:v>22.82558592149939</x:v>
      </x:c>
      <x:c r="K9" s="34" t="n">
        <x:f>('Mass and Balance'!C15*SUM('Mass and Balance'!H25:H31)/SUM('Mass and Balance'!C25:C31)+C9*H9)/('Mass and Balance'!C15+C9)</x:f>
        <x:v>-0.0029234278538529004</x:v>
      </x:c>
      <x:c r="L9" s="34" t="n">
        <x:f>('Mass and Balance'!C15*SUM('Mass and Balance'!I25:I31)/SUM('Mass and Balance'!C25:C31)+C9*(Assumptions!C31+I9))/('Mass and Balance'!C15+C9)</x:f>
        <x:v>3.6283538203456076</x:v>
      </x:c>
      <x:c r="M9" s="34" t="str">
        <x:f>IF(AND(D9&lt;=Assumptions!C28,E9&lt;=Assumptions!C30,G9&gt;=Assumptions!C33,G9&lt;=Assumptions!C34,ABS(H9)&lt;=Assumptions!C35),"PASS","FAIL")</x:f>
        <x:v>PASS</x:v>
      </x:c>
      <x:c r="N9" s="36" t="str">
        <x:v>PASS</x:v>
      </x:c>
    </x:row>
    <x:row r="10">
      <x:c r="B10" s="34" t="str">
        <x:v>ATUT-B3 / L3</x:v>
      </x:c>
      <x:c r="C10" s="34" t="n">
        <x:v>158.75</x:v>
      </x:c>
      <x:c r="D10" s="34" t="n">
        <x:v>606</x:v>
      </x:c>
      <x:c r="E10" s="34" t="n">
        <x:v>146</x:v>
      </x:c>
      <x:c r="F10" s="34" t="n">
        <x:v>8</x:v>
      </x:c>
      <x:c r="G10" s="34" t="n">
        <x:v>10.694</x:v>
      </x:c>
      <x:c r="H10" s="34" t="n">
        <x:v>0.315</x:v>
      </x:c>
      <x:c r="I10" s="34" t="n">
        <x:v>2.368</x:v>
      </x:c>
      <x:c r="J10" s="34" t="n">
        <x:f>('Mass and Balance'!C15*SUM('Mass and Balance'!G25:G31)/SUM('Mass and Balance'!C25:C31)+C10*(Assumptions!C25+G10))/('Mass and Balance'!C15+C10)</x:f>
        <x:v>22.756772927401006</x:v>
      </x:c>
      <x:c r="K10" s="34" t="n">
        <x:f>('Mass and Balance'!C15*SUM('Mass and Balance'!H25:H31)/SUM('Mass and Balance'!C25:C31)+C10*H10)/('Mass and Balance'!C15+C10)</x:f>
        <x:v>0.0708369056895126</x:v>
      </x:c>
      <x:c r="L10" s="34" t="n">
        <x:f>('Mass and Balance'!C15*SUM('Mass and Balance'!I25:I31)/SUM('Mass and Balance'!C25:C31)+C10*(Assumptions!C31+I10))/('Mass and Balance'!C15+C10)</x:f>
        <x:v>3.5741579655164886</x:v>
      </x:c>
      <x:c r="M10" s="34" t="str">
        <x:f>IF(AND(D10&lt;=Assumptions!C28,E10&lt;=Assumptions!C30,G10&gt;=Assumptions!C33,G10&lt;=Assumptions!C34,ABS(H10)&lt;=Assumptions!C35),"PASS","FAIL")</x:f>
        <x:v>PASS</x:v>
      </x:c>
      <x:c r="N10" s="36" t="str">
        <x:v>PASS</x:v>
      </x:c>
    </x:row>
    <x:row r="11">
      <x:c r="B11" s="40" t="str">
        <x:v>ATUT-B4 / L4</x:v>
      </x:c>
      <x:c r="C11" s="40" t="n">
        <x:v>158.75</x:v>
      </x:c>
      <x:c r="D11" s="40" t="n">
        <x:v>730</x:v>
      </x:c>
      <x:c r="E11" s="40" t="n">
        <x:v>176</x:v>
      </x:c>
      <x:c r="F11" s="40" t="n">
        <x:v>8</x:v>
      </x:c>
      <x:c r="G11" s="40" t="n">
        <x:v>10.987</x:v>
      </x:c>
      <x:c r="H11" s="40" t="n">
        <x:v>-0.013</x:v>
      </x:c>
      <x:c r="I11" s="40" t="n">
        <x:v>2.444</x:v>
      </x:c>
      <x:c r="J11" s="40" t="n">
        <x:f>('Mass and Balance'!C15*SUM('Mass and Balance'!G25:G31)/SUM('Mass and Balance'!C25:C31)+C11*(Assumptions!C25+G11))/('Mass and Balance'!C15+C11)</x:f>
        <x:v>22.822662493645538</x:v>
      </x:c>
      <x:c r="K11" s="40" t="n">
        <x:f>('Mass and Balance'!C15*SUM('Mass and Balance'!H25:H31)/SUM('Mass and Balance'!C25:C31)+C11*H11)/('Mass and Balance'!C15+C11)</x:f>
        <x:v>-0.0029234278538529004</x:v>
      </x:c>
      <x:c r="L11" s="40" t="n">
        <x:f>('Mass and Balance'!C15*SUM('Mass and Balance'!I25:I31)/SUM('Mass and Balance'!C25:C31)+C11*(Assumptions!C31+I11))/('Mass and Balance'!C15+C11)</x:f>
        <x:v>3.591248774508244</x:v>
      </x:c>
      <x:c r="M11" s="40" t="str">
        <x:f>IF(AND(D11&lt;=Assumptions!C28,E11&lt;=Assumptions!C30,G11&gt;=Assumptions!C33,G11&lt;=Assumptions!C34,ABS(H11)&lt;=Assumptions!C35),"PASS","FAIL")</x:f>
        <x:v>PASS</x:v>
      </x:c>
      <x:c r="N11" s="42" t="str">
        <x:v>PASS</x:v>
      </x:c>
    </x:row>
    <x:row r="12"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</x:row>
    <x:row r="13"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</x:row>
    <x:row r="14"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</x:row>
    <x:row r="15">
      <x:c r="B15" s="80" t="str">
        <x:v>Deck and unload mechanism</x:v>
      </x:c>
      <x:c r="C15" s="81" t="str">
        <x:v>Deck and unload mechanism</x:v>
      </x:c>
      <x:c r="D15" s="81" t="str">
        <x:v>Deck and unload mechanism</x:v>
      </x:c>
      <x:c r="E15" s="81" t="str">
        <x:v>Deck and unload mechanism</x:v>
      </x:c>
      <x:c r="F15" s="81" t="str">
        <x:v>Deck and unload mechanism</x:v>
      </x:c>
      <x:c r="G15" s="82" t="str">
        <x:v>Deck and unload mechanism</x:v>
      </x:c>
      <x:c r="H15" s="27"/>
      <x:c r="I15" s="80" t="str">
        <x:v>Occupied refuges and life safety</x:v>
      </x:c>
      <x:c r="J15" s="81" t="str">
        <x:v>Occupied refuges and life safety</x:v>
      </x:c>
      <x:c r="K15" s="81" t="str">
        <x:v>Occupied refuges and life safety</x:v>
      </x:c>
      <x:c r="L15" s="81" t="str">
        <x:v>Occupied refuges and life safety</x:v>
      </x:c>
      <x:c r="M15" s="81" t="str">
        <x:v>Occupied refuges and life safety</x:v>
      </x:c>
      <x:c r="N15" s="82" t="str">
        <x:v>Occupied refuges and life safety</x:v>
      </x:c>
    </x:row>
    <x:row r="16">
      <x:c r="B16" s="32" t="str">
        <x:v>Requirement</x:v>
      </x:c>
      <x:c r="C16" s="33" t="str">
        <x:v>Value</x:v>
      </x:c>
      <x:c r="D16" s="33" t="str">
        <x:v>Unit</x:v>
      </x:c>
      <x:c r="E16" s="33" t="str">
        <x:v>Threshold</x:v>
      </x:c>
      <x:c r="F16" s="33" t="str">
        <x:v>Result</x:v>
      </x:c>
      <x:c r="G16" s="33" t="str">
        <x:v>Mechanism</x:v>
      </x:c>
      <x:c r="H16" s="27"/>
      <x:c r="I16" s="32" t="str">
        <x:v>Refuge</x:v>
      </x:c>
      <x:c r="J16" s="33" t="str">
        <x:v>x</x:v>
      </x:c>
      <x:c r="K16" s="33" t="str">
        <x:v>Seats</x:v>
      </x:c>
      <x:c r="L16" s="33" t="str">
        <x:v>Volume</x:v>
      </x:c>
      <x:c r="M16" s="33" t="str">
        <x:v>Independent exits</x:v>
      </x:c>
      <x:c r="N16" s="33" t="str">
        <x:v>Control / survival source</x:v>
      </x:c>
    </x:row>
    <x:row r="17">
      <x:c r="B17" s="34" t="str">
        <x:v>Rigid cargo bodies</x:v>
      </x:c>
      <x:c r="C17" s="34" t="n">
        <x:v>2</x:v>
      </x:c>
      <x:c r="D17" s="34" t="str">
        <x:v>bodies</x:v>
      </x:c>
      <x:c r="E17" s="34" t="n">
        <x:v>2</x:v>
      </x:c>
      <x:c r="F17" s="34" t="str">
        <x:v>PASS</x:v>
      </x:c>
      <x:c r="G17" s="36" t="str">
        <x:v>two 11.5 m halves</x:v>
      </x:c>
      <x:c r="H17" s="27"/>
      <x:c r="I17" s="34" t="str">
        <x:v>Forward mission refuge</x:v>
      </x:c>
      <x:c r="J17" s="34" t="n">
        <x:v>10.5</x:v>
      </x:c>
      <x:c r="K17" s="34" t="n">
        <x:v>6</x:v>
      </x:c>
      <x:c r="L17" s="34" t="n">
        <x:v>38</x:v>
      </x:c>
      <x:c r="M17" s="34" t="n">
        <x:v>2</x:v>
      </x:c>
      <x:c r="N17" s="36" t="str">
        <x:v>lanes A and C; local black start</x:v>
      </x:c>
    </x:row>
    <x:row r="18">
      <x:c r="B18" s="34" t="str">
        <x:v>Dry cradles</x:v>
      </x:c>
      <x:c r="C18" s="34" t="n">
        <x:v>8</x:v>
      </x:c>
      <x:c r="D18" s="34" t="str">
        <x:v>cradles</x:v>
      </x:c>
      <x:c r="E18" s="34" t="n">
        <x:v>8</x:v>
      </x:c>
      <x:c r="F18" s="34" t="str">
        <x:v>PASS</x:v>
      </x:c>
      <x:c r="G18" s="36" t="str">
        <x:v>four per half</x:v>
      </x:c>
      <x:c r="H18" s="27"/>
      <x:c r="I18" s="40" t="str">
        <x:v>Aft recovery refuge</x:v>
      </x:c>
      <x:c r="J18" s="40" t="n">
        <x:v>35.5</x:v>
      </x:c>
      <x:c r="K18" s="40" t="n">
        <x:v>4</x:v>
      </x:c>
      <x:c r="L18" s="40" t="n">
        <x:v>28</x:v>
      </x:c>
      <x:c r="M18" s="40" t="n">
        <x:v>2</x:v>
      </x:c>
      <x:c r="N18" s="42" t="str">
        <x:v>lanes B and D; local black start</x:v>
      </x:c>
    </x:row>
    <x:row r="19">
      <x:c r="B19" s="34" t="str">
        <x:v>Wet pack wells</x:v>
      </x:c>
      <x:c r="C19" s="34" t="n">
        <x:v>1</x:v>
      </x:c>
      <x:c r="D19" s="34" t="str">
        <x:v>well</x:v>
      </x:c>
      <x:c r="E19" s="34" t="n">
        <x:v>1</x:v>
      </x:c>
      <x:c r="F19" s="34" t="str">
        <x:v>PASS</x:v>
      </x:c>
      <x:c r="G19" s="36" t="str">
        <x:v>segregated at deck center</x:v>
      </x:c>
      <x:c r="H19" s="27"/>
      <x:c r="I19" s="27"/>
      <x:c r="J19" s="27"/>
      <x:c r="K19" s="27"/>
      <x:c r="L19" s="27"/>
      <x:c r="M19" s="27"/>
      <x:c r="N19" s="27"/>
    </x:row>
    <x:row r="20">
      <x:c r="B20" s="34" t="str">
        <x:v>Unload faces per cradle</x:v>
      </x:c>
      <x:c r="C20" s="34" t="n">
        <x:v>2</x:v>
      </x:c>
      <x:c r="D20" s="34" t="str">
        <x:v>sides</x:v>
      </x:c>
      <x:c r="E20" s="34" t="n">
        <x:v>2</x:v>
      </x:c>
      <x:c r="F20" s="34" t="str">
        <x:v>PASS</x:v>
      </x:c>
      <x:c r="G20" s="36" t="str">
        <x:v>cross-deck side shift</x:v>
      </x:c>
      <x:c r="H20" s="27"/>
      <x:c r="I20" s="27"/>
      <x:c r="J20" s="27"/>
      <x:c r="K20" s="27"/>
      <x:c r="L20" s="27"/>
      <x:c r="M20" s="27"/>
      <x:c r="N20" s="27"/>
    </x:row>
    <x:row r="21">
      <x:c r="B21" s="34" t="str">
        <x:v>Largest cube</x:v>
      </x:c>
      <x:c r="C21" s="34" t="n">
        <x:v>772</x:v>
      </x:c>
      <x:c r="D21" s="34" t="str">
        <x:v>m3</x:v>
      </x:c>
      <x:c r="E21" s="34" t="n">
        <x:v>800</x:v>
      </x:c>
      <x:c r="F21" s="34" t="str">
        <x:v>PASS</x:v>
      </x:c>
      <x:c r="G21" s="36" t="str">
        <x:v>ATUT-B2</x:v>
      </x:c>
      <x:c r="H21" s="27"/>
      <x:c r="I21" s="32" t="str">
        <x:v>Rule</x:v>
      </x:c>
      <x:c r="J21" s="33" t="str">
        <x:v>Value</x:v>
      </x:c>
      <x:c r="K21" s="33" t="str">
        <x:v>Unit</x:v>
      </x:c>
      <x:c r="L21" s="33" t="str">
        <x:v>Threshold</x:v>
      </x:c>
      <x:c r="M21" s="33" t="str">
        <x:v>Result</x:v>
      </x:c>
      <x:c r="N21" s="33" t="str">
        <x:v>Interpretation</x:v>
      </x:c>
    </x:row>
    <x:row r="22">
      <x:c r="B22" s="34" t="str">
        <x:v>Largest deck demand</x:v>
      </x:c>
      <x:c r="C22" s="34" t="n">
        <x:v>176</x:v>
      </x:c>
      <x:c r="D22" s="34" t="str">
        <x:v>m2</x:v>
      </x:c>
      <x:c r="E22" s="34" t="n">
        <x:v>184</x:v>
      </x:c>
      <x:c r="F22" s="34" t="str">
        <x:v>PASS</x:v>
      </x:c>
      <x:c r="G22" s="36" t="str">
        <x:v>ATUT-B4</x:v>
      </x:c>
      <x:c r="H22" s="27"/>
      <x:c r="I22" s="34" t="str">
        <x:v>Maximum internal egress path</x:v>
      </x:c>
      <x:c r="J22" s="34" t="n">
        <x:v>6</x:v>
      </x:c>
      <x:c r="K22" s="34" t="str">
        <x:v>m</x:v>
      </x:c>
      <x:c r="L22" s="34" t="n">
        <x:v>7</x:v>
      </x:c>
      <x:c r="M22" s="34" t="str">
        <x:v>PASS</x:v>
      </x:c>
      <x:c r="N22" s="36" t="str">
        <x:v>two side exits plus roof rescue hatch</x:v>
      </x:c>
    </x:row>
    <x:row r="23">
      <x:c r="B23" s="34" t="str">
        <x:v>Usable cargo height</x:v>
      </x:c>
      <x:c r="C23" s="34" t="n">
        <x:f>Assumptions!C28/(Assumptions!C26*Assumptions!C27)</x:f>
        <x:v>4.3478260869565215</x:v>
      </x:c>
      <x:c r="D23" s="34" t="str">
        <x:v>m</x:v>
      </x:c>
      <x:c r="E23" s="34" t="n">
        <x:v>4.35</x:v>
      </x:c>
      <x:c r="F23" s="34" t="str">
        <x:f>IF(C23&lt;=E23,"PASS","FAIL")</x:f>
        <x:v>PASS</x:v>
      </x:c>
      <x:c r="G23" s="36" t="str">
        <x:v>800 m3 divided by 184 m2</x:v>
      </x:c>
      <x:c r="H23" s="27"/>
      <x:c r="I23" s="34" t="str">
        <x:v>Energy/refuge fire rating</x:v>
      </x:c>
      <x:c r="J23" s="34" t="n">
        <x:v>120</x:v>
      </x:c>
      <x:c r="K23" s="34" t="str">
        <x:v>minutes</x:v>
      </x:c>
      <x:c r="L23" s="34" t="n">
        <x:v>120</x:v>
      </x:c>
      <x:c r="M23" s="34" t="str">
        <x:v>OPEN</x:v>
      </x:c>
      <x:c r="N23" s="36" t="str">
        <x:v>representative burn test required</x:v>
      </x:c>
    </x:row>
    <x:row r="24">
      <x:c r="B24" s="40" t="str">
        <x:v>Cargo top elevation</x:v>
      </x:c>
      <x:c r="C24" s="40" t="n">
        <x:f>Assumptions!C31+C23</x:f>
        <x:v>8.347826086956522</x:v>
      </x:c>
      <x:c r="D24" s="40" t="str">
        <x:v>m</x:v>
      </x:c>
      <x:c r="E24" s="40" t="n">
        <x:v>9.5</x:v>
      </x:c>
      <x:c r="F24" s="40" t="str">
        <x:f>IF(C24&lt;=E24,"PASS","FAIL")</x:f>
        <x:v>PASS</x:v>
      </x:c>
      <x:c r="G24" s="42" t="str">
        <x:v>deck datum plus usable height</x:v>
      </x:c>
      <x:c r="H24" s="27"/>
      <x:c r="I24" s="34" t="str">
        <x:v>Sector suppression trains</x:v>
      </x:c>
      <x:c r="J24" s="34" t="n">
        <x:v>2</x:v>
      </x:c>
      <x:c r="K24" s="34" t="str">
        <x:v>per sector</x:v>
      </x:c>
      <x:c r="L24" s="34" t="n">
        <x:v>2</x:v>
      </x:c>
      <x:c r="M24" s="34" t="str">
        <x:v>OPEN</x:v>
      </x:c>
      <x:c r="N24" s="36" t="str">
        <x:v>separate detection and agent release</x:v>
      </x:c>
    </x:row>
    <x:row r="25">
      <x:c r="B25" s="27"/>
      <x:c r="C25" s="27"/>
      <x:c r="D25" s="27"/>
      <x:c r="E25" s="27"/>
      <x:c r="F25" s="27"/>
      <x:c r="G25" s="27"/>
      <x:c r="H25" s="27"/>
      <x:c r="I25" s="34" t="str">
        <x:v>Common casualty sump</x:v>
      </x:c>
      <x:c r="J25" s="34" t="n">
        <x:v>0</x:v>
      </x:c>
      <x:c r="K25" s="34" t="str">
        <x:v>shared systems</x:v>
      </x:c>
      <x:c r="L25" s="34" t="n">
        <x:v>0</x:v>
      </x:c>
      <x:c r="M25" s="34" t="str">
        <x:v>PASS</x:v>
      </x:c>
      <x:c r="N25" s="36" t="str">
        <x:v>outward drains stay separate</x:v>
      </x:c>
    </x:row>
    <x:row r="26">
      <x:c r="B26" s="27"/>
      <x:c r="C26" s="27"/>
      <x:c r="D26" s="27"/>
      <x:c r="E26" s="27"/>
      <x:c r="F26" s="27"/>
      <x:c r="G26" s="27"/>
      <x:c r="H26" s="27"/>
      <x:c r="I26" s="40" t="str">
        <x:v>Crew stations in energy or payload bay</x:v>
      </x:c>
      <x:c r="J26" s="40" t="n">
        <x:v>0</x:v>
      </x:c>
      <x:c r="K26" s="40" t="str">
        <x:v>stations</x:v>
      </x:c>
      <x:c r="L26" s="40" t="n">
        <x:v>0</x:v>
      </x:c>
      <x:c r="M26" s="40" t="str">
        <x:v>PASS</x:v>
      </x:c>
      <x:c r="N26" s="42" t="str">
        <x:v>occupied spaces remain in buffer zones</x:v>
      </x:c>
    </x:row>
    <x:row r="27"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</x:row>
    <x:row r="28"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</x:row>
    <x:row r="29"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</x:row>
    <x:row r="30"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</x:row>
    <x:row r="31"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</x:row>
    <x:row r="32"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  <x:row r="37"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</x:row>
    <x:row r="38"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</x:row>
    <x:row r="39"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</x:row>
    <x:row r="40"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</x:row>
    <x:row r="41"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</x:row>
    <x:row r="42"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</x:row>
  </x:sheetData>
  <x:mergeCells>
    <x:mergeCell ref="B6:N6"/>
    <x:mergeCell ref="B15:G15"/>
    <x:mergeCell ref="I15:N15"/>
  </x:mergeCells>
  <x:conditionalFormatting sqref="M8:N11">
    <x:cfRule type="containsText" dxfId="27" priority="1" operator="containsText" text="FAIL"/>
    <x:cfRule type="containsText" dxfId="28" priority="2" operator="containsText" text="PASS"/>
    <x:cfRule type="containsText" dxfId="29" priority="3" operator="containsText" text="BLOCKED"/>
  </x:conditionalFormatting>
  <x:conditionalFormatting sqref="F17:F24">
    <x:cfRule type="containsText" dxfId="30" priority="4" operator="containsText" text="FAIL"/>
    <x:cfRule type="containsText" dxfId="31" priority="5" operator="containsText" text="PASS"/>
    <x:cfRule type="containsText" dxfId="32" priority="6" operator="containsText" text="BLOCKED"/>
  </x:conditionalFormatting>
  <x:conditionalFormatting sqref="M22:M26">
    <x:cfRule type="containsText" dxfId="33" priority="7" operator="containsText" text="FAIL"/>
    <x:cfRule type="containsText" dxfId="34" priority="8" operator="containsText" text="PASS"/>
    <x:cfRule type="containsText" dxfId="35" priority="9" operator="containsText" text="BLOCK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2" hidden="0" customWidth="1"/>
    <x:col min="4" max="4" width="15" hidden="0" customWidth="1"/>
    <x:col min="5" max="5" width="12" hidden="0" customWidth="1"/>
    <x:col min="6" max="6" width="17" hidden="0" customWidth="1"/>
    <x:col min="7" max="7" width="17" hidden="0" customWidth="1"/>
    <x:col min="8" max="8" width="15" hidden="0" customWidth="1"/>
    <x:col min="9" max="9" width="15" hidden="0" customWidth="1"/>
    <x:col min="10" max="10" width="17" hidden="0" customWidth="1"/>
    <x:col min="11" max="11" width="14" hidden="0" customWidth="1"/>
    <x:col min="12" max="12" width="36" hidden="0" customWidth="1"/>
    <x:col min="13" max="13" width="14" hidden="0" customWidth="1"/>
    <x:col min="14" max="14" width="27" hidden="0" customWidth="1"/>
  </x:cols>
  <x:sheetData>
    <x:row r="2">
      <x:c r="B2" s="86" t="str">
        <x:v>Spatially coupled casualty worlds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B3" s="87" t="str">
        <x:v>Local co-location determines which failures must be survived together and which move the mission to the atmospheric path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B6" s="32" t="str">
        <x:v>World</x:v>
      </x:c>
      <x:c r="C6" s="33" t="str">
        <x:v>Insertion</x:v>
      </x:c>
      <x:c r="D6" s="33" t="str">
        <x:v>Energy sectors</x:v>
      </x:c>
      <x:c r="E6" s="33" t="str">
        <x:v>Pods</x:v>
      </x:c>
      <x:c r="F6" s="33" t="str">
        <x:v>Control refuges</x:v>
      </x:c>
      <x:c r="G6" s="33" t="str">
        <x:v>Bridge modules</x:v>
      </x:c>
      <x:c r="H6" s="33" t="str">
        <x:v>Unload faces</x:v>
      </x:c>
      <x:c r="I6" s="33" t="str">
        <x:v>Safe vehicle</x:v>
      </x:c>
      <x:c r="J6" s="33" t="str">
        <x:v>Terrain hour 45</x:v>
      </x:c>
      <x:c r="K6" s="33" t="str">
        <x:v>DCP effect</x:v>
      </x:c>
      <x:c r="L6" s="33" t="str">
        <x:v>Release rule</x:v>
      </x:c>
      <x:c r="M6" s="33" t="str">
        <x:v>Result</x:v>
      </x:c>
      <x:c r="N6" s="33" t="str">
        <x:v>Boundary</x:v>
      </x:c>
    </x:row>
    <x:row r="7">
      <x:c r="B7" s="34" t="str">
        <x:v>W01</x:v>
      </x:c>
      <x:c r="C7" s="34" t="str">
        <x:v>nominal</x:v>
      </x:c>
      <x:c r="D7" s="34" t="n">
        <x:v>4</x:v>
      </x:c>
      <x:c r="E7" s="34" t="n">
        <x:v>12</x:v>
      </x:c>
      <x:c r="F7" s="34" t="n">
        <x:v>2</x:v>
      </x:c>
      <x:c r="G7" s="34" t="n">
        <x:v>6</x:v>
      </x:c>
      <x:c r="H7" s="34" t="n">
        <x:v>2</x:v>
      </x:c>
      <x:c r="I7" s="34" t="n">
        <x:v>1</x:v>
      </x:c>
      <x:c r="J7" s="34" t="n">
        <x:v>1</x:v>
      </x:c>
      <x:c r="K7" s="34" t="n">
        <x:v>1</x:v>
      </x:c>
      <x:c r="L7" s="34" t="str">
        <x:v>ordinary release</x:v>
      </x:c>
      <x:c r="M7" s="34" t="str">
        <x:v>PASS</x:v>
      </x:c>
      <x:c r="N7" s="36" t="str">
        <x:v>reference</x:v>
      </x:c>
    </x:row>
    <x:row r="8">
      <x:c r="B8" s="34" t="str">
        <x:v>W02</x:v>
      </x:c>
      <x:c r="C8" s="34" t="str">
        <x:v>one energy sector trips</x:v>
      </x:c>
      <x:c r="D8" s="34" t="n">
        <x:v>3</x:v>
      </x:c>
      <x:c r="E8" s="34" t="n">
        <x:v>12</x:v>
      </x:c>
      <x:c r="F8" s="34" t="n">
        <x:v>2</x:v>
      </x:c>
      <x:c r="G8" s="34" t="n">
        <x:v>6</x:v>
      </x:c>
      <x:c r="H8" s="34" t="n">
        <x:v>2</x:v>
      </x:c>
      <x:c r="I8" s="34" t="n">
        <x:v>1</x:v>
      </x:c>
      <x:c r="J8" s="34" t="n">
        <x:v>1</x:v>
      </x:c>
      <x:c r="K8" s="34" t="n">
        <x:v>1</x:v>
      </x:c>
      <x:c r="L8" s="34" t="str">
        <x:v>27 MW remains</x:v>
      </x:c>
      <x:c r="M8" s="34" t="str">
        <x:v>PASS</x:v>
      </x:c>
      <x:c r="N8" s="36" t="str">
        <x:v>single fault</x:v>
      </x:c>
    </x:row>
    <x:row r="9">
      <x:c r="B9" s="34" t="str">
        <x:v>W03</x:v>
      </x:c>
      <x:c r="C9" s="34" t="str">
        <x:v>one contact pod lost</x:v>
      </x:c>
      <x:c r="D9" s="34" t="n">
        <x:v>4</x:v>
      </x:c>
      <x:c r="E9" s="34" t="n">
        <x:v>11</x:v>
      </x:c>
      <x:c r="F9" s="34" t="n">
        <x:v>2</x:v>
      </x:c>
      <x:c r="G9" s="34" t="n">
        <x:v>6</x:v>
      </x:c>
      <x:c r="H9" s="34" t="n">
        <x:v>2</x:v>
      </x:c>
      <x:c r="I9" s="34" t="n">
        <x:v>1</x:v>
      </x:c>
      <x:c r="J9" s="34" t="n">
        <x:v>1</x:v>
      </x:c>
      <x:c r="K9" s="34" t="n">
        <x:v>1</x:v>
      </x:c>
      <x:c r="L9" s="34" t="str">
        <x:v>remaining pods redistribute</x:v>
      </x:c>
      <x:c r="M9" s="34" t="str">
        <x:v>PASS</x:v>
      </x:c>
      <x:c r="N9" s="36" t="str">
        <x:v>single fault</x:v>
      </x:c>
    </x:row>
    <x:row r="10">
      <x:c r="B10" s="34" t="str">
        <x:v>W04</x:v>
      </x:c>
      <x:c r="C10" s="34" t="str">
        <x:v>co-located sector and pod lost</x:v>
      </x:c>
      <x:c r="D10" s="34" t="n">
        <x:v>3</x:v>
      </x:c>
      <x:c r="E10" s="34" t="n">
        <x:v>11</x:v>
      </x:c>
      <x:c r="F10" s="34" t="n">
        <x:v>2</x:v>
      </x:c>
      <x:c r="G10" s="34" t="n">
        <x:v>6</x:v>
      </x:c>
      <x:c r="H10" s="34" t="n">
        <x:v>2</x:v>
      </x:c>
      <x:c r="I10" s="34" t="n">
        <x:v>1</x:v>
      </x:c>
      <x:c r="J10" s="34" t="n">
        <x:v>1</x:v>
      </x:c>
      <x:c r="K10" s="34" t="n">
        <x:v>1</x:v>
      </x:c>
      <x:c r="L10" s="34" t="str">
        <x:v>27 MW and 11 pods close together</x:v>
      </x:c>
      <x:c r="M10" s="34" t="str">
        <x:v>PASS</x:v>
      </x:c>
      <x:c r="N10" s="36" t="str">
        <x:v>design-basis local casualty</x:v>
      </x:c>
    </x:row>
    <x:row r="11">
      <x:c r="B11" s="34" t="str">
        <x:v>W05</x:v>
      </x:c>
      <x:c r="C11" s="34" t="str">
        <x:v>one crew refuge denied</x:v>
      </x:c>
      <x:c r="D11" s="34" t="n">
        <x:v>4</x:v>
      </x:c>
      <x:c r="E11" s="34" t="n">
        <x:v>12</x:v>
      </x:c>
      <x:c r="F11" s="34" t="n">
        <x:v>1</x:v>
      </x:c>
      <x:c r="G11" s="34" t="n">
        <x:v>6</x:v>
      </x:c>
      <x:c r="H11" s="34" t="n">
        <x:v>2</x:v>
      </x:c>
      <x:c r="I11" s="34" t="n">
        <x:v>1</x:v>
      </x:c>
      <x:c r="J11" s="34" t="n">
        <x:v>1</x:v>
      </x:c>
      <x:c r="K11" s="34" t="n">
        <x:v>1</x:v>
      </x:c>
      <x:c r="L11" s="34" t="str">
        <x:v>other refuge assumes control</x:v>
      </x:c>
      <x:c r="M11" s="34" t="str">
        <x:v>PASS</x:v>
      </x:c>
      <x:c r="N11" s="36" t="str">
        <x:v>single fault</x:v>
      </x:c>
    </x:row>
    <x:row r="12">
      <x:c r="B12" s="34" t="str">
        <x:v>W06</x:v>
      </x:c>
      <x:c r="C12" s="34" t="str">
        <x:v>one control lane corrupt</x:v>
      </x:c>
      <x:c r="D12" s="34" t="n">
        <x:v>4</x:v>
      </x:c>
      <x:c r="E12" s="34" t="n">
        <x:v>12</x:v>
      </x:c>
      <x:c r="F12" s="34" t="n">
        <x:v>2</x:v>
      </x:c>
      <x:c r="G12" s="34" t="n">
        <x:v>6</x:v>
      </x:c>
      <x:c r="H12" s="34" t="n">
        <x:v>2</x:v>
      </x:c>
      <x:c r="I12" s="34" t="n">
        <x:v>1</x:v>
      </x:c>
      <x:c r="J12" s="34" t="n">
        <x:v>1</x:v>
      </x:c>
      <x:c r="K12" s="34" t="n">
        <x:v>1</x:v>
      </x:c>
      <x:c r="L12" s="34" t="str">
        <x:v>two independent lanes vote and isolate</x:v>
      </x:c>
      <x:c r="M12" s="34" t="str">
        <x:v>PASS</x:v>
      </x:c>
      <x:c r="N12" s="36" t="str">
        <x:v>single fault</x:v>
      </x:c>
    </x:row>
    <x:row r="13">
      <x:c r="B13" s="34" t="str">
        <x:v>W07</x:v>
      </x:c>
      <x:c r="C13" s="34" t="str">
        <x:v>one radiator wing unavailable</x:v>
      </x:c>
      <x:c r="D13" s="34" t="n">
        <x:v>4</x:v>
      </x:c>
      <x:c r="E13" s="34" t="n">
        <x:v>12</x:v>
      </x:c>
      <x:c r="F13" s="34" t="n">
        <x:v>2</x:v>
      </x:c>
      <x:c r="G13" s="34" t="n">
        <x:v>6</x:v>
      </x:c>
      <x:c r="H13" s="34" t="n">
        <x:v>2</x:v>
      </x:c>
      <x:c r="I13" s="34" t="n">
        <x:v>1</x:v>
      </x:c>
      <x:c r="J13" s="34" t="n">
        <x:v>1</x:v>
      </x:c>
      <x:c r="K13" s="34" t="n">
        <x:v>1</x:v>
      </x:c>
      <x:c r="L13" s="34" t="str">
        <x:v>derated sector; route fixed area remains</x:v>
      </x:c>
      <x:c r="M13" s="34" t="str">
        <x:v>PASS</x:v>
      </x:c>
      <x:c r="N13" s="36" t="str">
        <x:v>single fault</x:v>
      </x:c>
    </x:row>
    <x:row r="14">
      <x:c r="B14" s="34" t="str">
        <x:v>W08</x:v>
      </x:c>
      <x:c r="C14" s="34" t="str">
        <x:v>one bridge module unavailable</x:v>
      </x:c>
      <x:c r="D14" s="34" t="n">
        <x:v>4</x:v>
      </x:c>
      <x:c r="E14" s="34" t="n">
        <x:v>12</x:v>
      </x:c>
      <x:c r="F14" s="34" t="n">
        <x:v>2</x:v>
      </x:c>
      <x:c r="G14" s="34" t="n">
        <x:v>5</x:v>
      </x:c>
      <x:c r="H14" s="34" t="n">
        <x:v>2</x:v>
      </x:c>
      <x:c r="I14" s="34" t="n">
        <x:v>1</x:v>
      </x:c>
      <x:c r="J14" s="34" t="n">
        <x:v>1</x:v>
      </x:c>
      <x:c r="K14" s="34" t="n">
        <x:v>1</x:v>
      </x:c>
      <x:c r="L14" s="34" t="str">
        <x:v>25 m installed remains</x:v>
      </x:c>
      <x:c r="M14" s="34" t="str">
        <x:v>PASS</x:v>
      </x:c>
      <x:c r="N14" s="36" t="str">
        <x:v>single fault</x:v>
      </x:c>
    </x:row>
    <x:row r="15">
      <x:c r="B15" s="34" t="str">
        <x:v>W09</x:v>
      </x:c>
      <x:c r="C15" s="34" t="str">
        <x:v>one unload face obstructed</x:v>
      </x:c>
      <x:c r="D15" s="34" t="n">
        <x:v>4</x:v>
      </x:c>
      <x:c r="E15" s="34" t="n">
        <x:v>12</x:v>
      </x:c>
      <x:c r="F15" s="34" t="n">
        <x:v>2</x:v>
      </x:c>
      <x:c r="G15" s="34" t="n">
        <x:v>6</x:v>
      </x:c>
      <x:c r="H15" s="34" t="n">
        <x:v>1</x:v>
      </x:c>
      <x:c r="I15" s="34" t="n">
        <x:v>1</x:v>
      </x:c>
      <x:c r="J15" s="34" t="n">
        <x:v>1</x:v>
      </x:c>
      <x:c r="K15" s="34" t="n">
        <x:v>1</x:v>
      </x:c>
      <x:c r="L15" s="34" t="str">
        <x:v>cross-deck shift uses opposite side</x:v>
      </x:c>
      <x:c r="M15" s="34" t="str">
        <x:v>PASS</x:v>
      </x:c>
      <x:c r="N15" s="36" t="str">
        <x:v>single fault</x:v>
      </x:c>
    </x:row>
    <x:row r="16">
      <x:c r="B16" s="34" t="str">
        <x:v>W10</x:v>
      </x:c>
      <x:c r="C16" s="34" t="str">
        <x:v>one articulation joint locked</x:v>
      </x:c>
      <x:c r="D16" s="34" t="n">
        <x:v>4</x:v>
      </x:c>
      <x:c r="E16" s="34" t="n">
        <x:v>12</x:v>
      </x:c>
      <x:c r="F16" s="34" t="n">
        <x:v>2</x:v>
      </x:c>
      <x:c r="G16" s="34" t="n">
        <x:v>6</x:v>
      </x:c>
      <x:c r="H16" s="34" t="n">
        <x:v>2</x:v>
      </x:c>
      <x:c r="I16" s="34" t="n">
        <x:v>1</x:v>
      </x:c>
      <x:c r="J16" s="34" t="n">
        <x:v>0</x:v>
      </x:c>
      <x:c r="K16" s="34" t="n">
        <x:v>1</x:v>
      </x:c>
      <x:c r="L16" s="34" t="str">
        <x:v>terrain path may miss route; air cell remains</x:v>
      </x:c>
      <x:c r="M16" s="34" t="str">
        <x:v>PASS</x:v>
      </x:c>
      <x:c r="N16" s="36" t="str">
        <x:v>DCP guarantee shifts modes</x:v>
      </x:c>
    </x:row>
    <x:row r="17">
      <x:c r="B17" s="34" t="str">
        <x:v>W11</x:v>
      </x:c>
      <x:c r="C17" s="34" t="str">
        <x:v>both sectors in one end lost</x:v>
      </x:c>
      <x:c r="D17" s="34" t="n">
        <x:v>2</x:v>
      </x:c>
      <x:c r="E17" s="34" t="n">
        <x:v>11</x:v>
      </x:c>
      <x:c r="F17" s="34" t="n">
        <x:v>1</x:v>
      </x:c>
      <x:c r="G17" s="34" t="n">
        <x:v>6</x:v>
      </x:c>
      <x:c r="H17" s="34" t="n">
        <x:v>2</x:v>
      </x:c>
      <x:c r="I17" s="34" t="n">
        <x:v>1</x:v>
      </x:c>
      <x:c r="J17" s="34" t="n">
        <x:v>0</x:v>
      </x:c>
      <x:c r="K17" s="34" t="n">
        <x:v>1</x:v>
      </x:c>
      <x:c r="L17" s="34" t="str">
        <x:v>safe degraded movement; no terrain deadline credit</x:v>
      </x:c>
      <x:c r="M17" s="34" t="str">
        <x:v>PASS</x:v>
      </x:c>
      <x:c r="N17" s="36" t="str">
        <x:v>beyond one-sector guarantee</x:v>
      </x:c>
    </x:row>
    <x:row r="18">
      <x:c r="B18" s="34" t="str">
        <x:v>W12</x:v>
      </x:c>
      <x:c r="C18" s="34" t="str">
        <x:v>two bridge modules lost</x:v>
      </x:c>
      <x:c r="D18" s="34" t="n">
        <x:v>4</x:v>
      </x:c>
      <x:c r="E18" s="34" t="n">
        <x:v>12</x:v>
      </x:c>
      <x:c r="F18" s="34" t="n">
        <x:v>2</x:v>
      </x:c>
      <x:c r="G18" s="34" t="n">
        <x:v>4</x:v>
      </x:c>
      <x:c r="H18" s="34" t="n">
        <x:v>2</x:v>
      </x:c>
      <x:c r="I18" s="34" t="n">
        <x:v>1</x:v>
      </x:c>
      <x:c r="J18" s="34" t="n">
        <x:v>0</x:v>
      </x:c>
      <x:c r="K18" s="34" t="n">
        <x:v>1</x:v>
      </x:c>
      <x:c r="L18" s="34" t="str">
        <x:v>route gap not closed; air cell remains</x:v>
      </x:c>
      <x:c r="M18" s="34" t="str">
        <x:v>PASS</x:v>
      </x:c>
      <x:c r="N18" s="36" t="str">
        <x:v>beyond one-module guarantee</x:v>
      </x:c>
    </x:row>
    <x:row r="19">
      <x:c r="B19" s="34" t="str">
        <x:v>W13</x:v>
      </x:c>
      <x:c r="C19" s="34" t="str">
        <x:v>sector fire crosses bulkhead</x:v>
      </x:c>
      <x:c r="D19" s="34" t="n">
        <x:v>2</x:v>
      </x:c>
      <x:c r="E19" s="34" t="n">
        <x:v>11</x:v>
      </x:c>
      <x:c r="F19" s="34" t="n">
        <x:v>1</x:v>
      </x:c>
      <x:c r="G19" s="34" t="n">
        <x:v>6</x:v>
      </x:c>
      <x:c r="H19" s="34" t="n">
        <x:v>2</x:v>
      </x:c>
      <x:c r="I19" s="34" t="n">
        <x:v>0</x:v>
      </x:c>
      <x:c r="J19" s="34" t="n">
        <x:v>0</x:v>
      </x:c>
      <x:c r="K19" s="34" t="n">
        <x:v>1</x:v>
      </x:c>
      <x:c r="L19" s="34" t="str">
        <x:v>vehicle denied; air cell remains</x:v>
      </x:c>
      <x:c r="M19" s="34" t="str">
        <x:v>PASS</x:v>
      </x:c>
      <x:c r="N19" s="36" t="str">
        <x:v>physical evidence failure</x:v>
      </x:c>
    </x:row>
    <x:row r="20">
      <x:c r="B20" s="34" t="str">
        <x:v>W14</x:v>
      </x:c>
      <x:c r="C20" s="34" t="str">
        <x:v>one complete SAT vehicle lost</x:v>
      </x:c>
      <x:c r="D20" s="34" t="n">
        <x:v>0</x:v>
      </x:c>
      <x:c r="E20" s="34" t="n">
        <x:v>0</x:v>
      </x:c>
      <x:c r="F20" s="34" t="n">
        <x:v>0</x:v>
      </x:c>
      <x:c r="G20" s="34" t="n">
        <x:v>0</x:v>
      </x:c>
      <x:c r="H20" s="34" t="n">
        <x:v>0</x:v>
      </x:c>
      <x:c r="I20" s="34" t="n">
        <x:v>0</x:v>
      </x:c>
      <x:c r="J20" s="34" t="n">
        <x:v>0</x:v>
      </x:c>
      <x:c r="K20" s="34" t="n">
        <x:v>1</x:v>
      </x:c>
      <x:c r="L20" s="34" t="str">
        <x:v>terrain cell incomplete; air cell remains</x:v>
      </x:c>
      <x:c r="M20" s="34" t="str">
        <x:v>PASS</x:v>
      </x:c>
      <x:c r="N20" s="36" t="str">
        <x:v>formation guarantee</x:v>
      </x:c>
    </x:row>
    <x:row r="21">
      <x:c r="B21" s="34" t="str">
        <x:v>W15</x:v>
      </x:c>
      <x:c r="C21" s="34" t="str">
        <x:v>whole terrain mode denied</x:v>
      </x:c>
      <x:c r="D21" s="34" t="n">
        <x:v>0</x:v>
      </x:c>
      <x:c r="E21" s="34" t="n">
        <x:v>0</x:v>
      </x:c>
      <x:c r="F21" s="34" t="n">
        <x:v>0</x:v>
      </x:c>
      <x:c r="G21" s="34" t="n">
        <x:v>0</x:v>
      </x:c>
      <x:c r="H21" s="34" t="n">
        <x:v>0</x:v>
      </x:c>
      <x:c r="I21" s="34" t="n">
        <x:v>0</x:v>
      </x:c>
      <x:c r="J21" s="34" t="n">
        <x:v>0</x:v>
      </x:c>
      <x:c r="K21" s="34" t="n">
        <x:v>1</x:v>
      </x:c>
      <x:c r="L21" s="34" t="str">
        <x:v>air cell independently releases</x:v>
      </x:c>
      <x:c r="M21" s="34" t="str">
        <x:v>PASS</x:v>
      </x:c>
      <x:c r="N21" s="36" t="str">
        <x:v>formation guarantee</x:v>
      </x:c>
    </x:row>
    <x:row r="22">
      <x:c r="B22" s="34" t="str">
        <x:v>W16</x:v>
      </x:c>
      <x:c r="C22" s="34" t="str">
        <x:v>air and terrain modes denied</x:v>
      </x:c>
      <x:c r="D22" s="34" t="n">
        <x:v>0</x:v>
      </x:c>
      <x:c r="E22" s="34" t="n">
        <x:v>0</x:v>
      </x:c>
      <x:c r="F22" s="34" t="n">
        <x:v>0</x:v>
      </x:c>
      <x:c r="G22" s="34" t="n">
        <x:v>0</x:v>
      </x:c>
      <x:c r="H22" s="34" t="n">
        <x:v>0</x:v>
      </x:c>
      <x:c r="I22" s="34" t="n">
        <x:v>0</x:v>
      </x:c>
      <x:c r="J22" s="34" t="n">
        <x:v>0</x:v>
      </x:c>
      <x:c r="K22" s="34" t="n">
        <x:v>0</x:v>
      </x:c>
      <x:c r="L22" s="34" t="str">
        <x:v>no declared third complete cell</x:v>
      </x:c>
      <x:c r="M22" s="34" t="str">
        <x:v>FAIL</x:v>
      </x:c>
      <x:c r="N22" s="36" t="str">
        <x:v>outside guarantee</x:v>
      </x:c>
    </x:row>
    <x:row r="23">
      <x:c r="B23" s="34" t="str">
        <x:v>W17</x:v>
      </x:c>
      <x:c r="C23" s="34" t="str">
        <x:v>representative evidence withheld</x:v>
      </x:c>
      <x:c r="D23" s="34" t="n">
        <x:v>4</x:v>
      </x:c>
      <x:c r="E23" s="34" t="n">
        <x:v>12</x:v>
      </x:c>
      <x:c r="F23" s="34" t="n">
        <x:v>2</x:v>
      </x:c>
      <x:c r="G23" s="34" t="n">
        <x:v>6</x:v>
      </x:c>
      <x:c r="H23" s="34" t="n">
        <x:v>2</x:v>
      </x:c>
      <x:c r="I23" s="34" t="n">
        <x:v>1</x:v>
      </x:c>
      <x:c r="J23" s="34" t="n">
        <x:v>1</x:v>
      </x:c>
      <x:c r="K23" s="34" t="n">
        <x:v>1</x:v>
      </x:c>
      <x:c r="L23" s="34" t="str">
        <x:v>behavior remains; strict credit zero</x:v>
      </x:c>
      <x:c r="M23" s="34" t="str">
        <x:v>PASS</x:v>
      </x:c>
      <x:c r="N23" s="36" t="str">
        <x:v>assurance distinction</x:v>
      </x:c>
    </x:row>
    <x:row r="24">
      <x:c r="B24" s="40" t="str">
        <x:v>W18</x:v>
      </x:c>
      <x:c r="C24" s="40" t="str">
        <x:v>decisive common supplier ancestor</x:v>
      </x:c>
      <x:c r="D24" s="40" t="n">
        <x:v>4</x:v>
      </x:c>
      <x:c r="E24" s="40" t="n">
        <x:v>12</x:v>
      </x:c>
      <x:c r="F24" s="40" t="n">
        <x:v>2</x:v>
      </x:c>
      <x:c r="G24" s="40" t="n">
        <x:v>6</x:v>
      </x:c>
      <x:c r="H24" s="40" t="n">
        <x:v>2</x:v>
      </x:c>
      <x:c r="I24" s="40" t="n">
        <x:v>1</x:v>
      </x:c>
      <x:c r="J24" s="40" t="n">
        <x:v>1</x:v>
      </x:c>
      <x:c r="K24" s="40" t="n">
        <x:v>0</x:v>
      </x:c>
      <x:c r="L24" s="40" t="str">
        <x:v>behavior may exist; assurance fails</x:v>
      </x:c>
      <x:c r="M24" s="40" t="str">
        <x:v>FAIL</x:v>
      </x:c>
      <x:c r="N24" s="42" t="str">
        <x:v>genealogy boundary</x:v>
      </x:c>
    </x:row>
    <x:row r="25"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</x:row>
    <x:row r="26"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</x:row>
    <x:row r="27">
      <x:c r="B27" s="80" t="str">
        <x:v>Interpretation</x:v>
      </x:c>
      <x:c r="C27" s="81" t="str">
        <x:v>Interpretation</x:v>
      </x:c>
      <x:c r="D27" s="81" t="str">
        <x:v>Interpretation</x:v>
      </x:c>
      <x:c r="E27" s="81" t="str">
        <x:v>Interpretation</x:v>
      </x:c>
      <x:c r="F27" s="81" t="str">
        <x:v>Interpretation</x:v>
      </x:c>
      <x:c r="G27" s="81" t="str">
        <x:v>Interpretation</x:v>
      </x:c>
      <x:c r="H27" s="81" t="str">
        <x:v>Interpretation</x:v>
      </x:c>
      <x:c r="I27" s="81" t="str">
        <x:v>Interpretation</x:v>
      </x:c>
      <x:c r="J27" s="81" t="str">
        <x:v>Interpretation</x:v>
      </x:c>
      <x:c r="K27" s="81" t="str">
        <x:v>Interpretation</x:v>
      </x:c>
      <x:c r="L27" s="81" t="str">
        <x:v>Interpretation</x:v>
      </x:c>
      <x:c r="M27" s="81" t="str">
        <x:v>Interpretation</x:v>
      </x:c>
      <x:c r="N27" s="82" t="str">
        <x:v>Interpretation</x:v>
      </x:c>
    </x:row>
    <x:row r="28">
      <x:c r="B28" s="88" t="str">
        <x:v>Compound local fault</x:v>
      </x:c>
      <x:c r="C28" s="49" t="str">
        <x:v>A sector and its neighboring pod are a credible common casualty, so both losses are applied together rather than hidden in separate rows.</x:v>
      </x:c>
      <x:c r="D28" s="49" t="str"/>
      <x:c r="E28" s="49" t="str"/>
      <x:c r="F28" s="49" t="str"/>
      <x:c r="G28" s="49" t="str"/>
      <x:c r="H28" s="49" t="str"/>
      <x:c r="I28" s="49" t="str"/>
      <x:c r="J28" s="49" t="str"/>
      <x:c r="K28" s="49" t="str"/>
      <x:c r="L28" s="49" t="str"/>
      <x:c r="M28" s="49" t="str"/>
      <x:c r="N28" s="49" t="str"/>
    </x:row>
    <x:row r="29">
      <x:c r="B29" s="89" t="str">
        <x:v>Safe vehicle versus mission vehicle</x:v>
      </x:c>
      <x:c r="C29" s="34" t="str">
        <x:v>A two-sector or locked-joint state may allow controlled withdrawal without retaining the terrain service clock. Safe state and mission credit are separate.</x:v>
      </x:c>
      <x:c r="D29" s="34" t="str"/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/>
      <x:c r="N29" s="34" t="str"/>
    </x:row>
    <x:row r="30">
      <x:c r="B30" s="89" t="str">
        <x:v>Formation result</x:v>
      </x:c>
      <x:c r="C30" s="34" t="str">
        <x:v>Loss of one SAT makes the terrain 635 t cell incomplete. DCP-2 survives only because the separately governed air cell remains whole; cargo is not cross-loaded before release.</x:v>
      </x:c>
      <x:c r="D30" s="34" t="str"/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/>
      <x:c r="N30" s="34" t="str"/>
    </x:row>
    <x:row r="31">
      <x:c r="B31" s="90" t="str">
        <x:v>Evidence result</x:v>
      </x:c>
      <x:c r="C31" s="52" t="str">
        <x:v>A modeled fire stop is not a fire stop. Any observed propagation beyond one quadrant invalidates P4 until the vehicle or casualty definition changes.</x:v>
      </x:c>
      <x:c r="D31" s="52" t="str"/>
      <x:c r="E31" s="52" t="str"/>
      <x:c r="F31" s="52" t="str"/>
      <x:c r="G31" s="52" t="str"/>
      <x:c r="H31" s="52" t="str"/>
      <x:c r="I31" s="52" t="str"/>
      <x:c r="J31" s="52" t="str"/>
      <x:c r="K31" s="52" t="str"/>
      <x:c r="L31" s="52" t="str"/>
      <x:c r="M31" s="52" t="str"/>
      <x:c r="N31" s="52" t="str"/>
    </x:row>
    <x:row r="32"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</x:sheetData>
  <x:mergeCells>
    <x:mergeCell ref="B27:N27"/>
  </x:mergeCells>
  <x:conditionalFormatting sqref="M7:M24">
    <x:cfRule type="containsText" dxfId="36" priority="1" operator="containsText" text="FAIL"/>
    <x:cfRule type="containsText" dxfId="37" priority="2" operator="containsText" text="PASS"/>
    <x:cfRule type="containsText" dxfId="38" priority="3" operator="containsText" text="BLOCK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7" hidden="0" customWidth="1"/>
    <x:col min="4" max="4" width="14" hidden="0" customWidth="1"/>
    <x:col min="5" max="5" width="18" hidden="0" customWidth="1"/>
    <x:col min="6" max="6" width="15" hidden="0" customWidth="1"/>
    <x:col min="7" max="7" width="14" hidden="0" customWidth="1"/>
    <x:col min="8" max="8" width="3" hidden="0" customWidth="1"/>
    <x:col min="9" max="9" width="48" hidden="0" customWidth="1"/>
    <x:col min="10" max="10" width="16" hidden="0" customWidth="1"/>
    <x:col min="11" max="11" width="14" hidden="0" customWidth="1"/>
    <x:col min="12" max="12" width="14" hidden="0" customWidth="1"/>
    <x:col min="13" max="13" width="35" hidden="0" customWidth="1"/>
    <x:col min="14" max="14" width="14" hidden="0" customWidth="1"/>
  </x:cols>
  <x:sheetData>
    <x:row r="2">
      <x:c r="B2" s="86" t="str">
        <x:v>Terrain receiver fit and revised service clock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B3" s="87" t="str">
        <x:v>The four heavier vehicles still fit the independent terrain receiver, but package-release work makes terrain the slower DCP-2 path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B6" s="80" t="str">
        <x:v>Four-vehicle receiver grid</x:v>
      </x:c>
      <x:c r="C6" s="81" t="str">
        <x:v>Four-vehicle receiver grid</x:v>
      </x:c>
      <x:c r="D6" s="81" t="str">
        <x:v>Four-vehicle receiver grid</x:v>
      </x:c>
      <x:c r="E6" s="81" t="str">
        <x:v>Four-vehicle receiver grid</x:v>
      </x:c>
      <x:c r="F6" s="81" t="str">
        <x:v>Four-vehicle receiver grid</x:v>
      </x:c>
      <x:c r="G6" s="82" t="str">
        <x:v>Four-vehicle receiver grid</x:v>
      </x:c>
      <x:c r="H6" s="27"/>
      <x:c r="I6" s="80" t="str">
        <x:v>Source-to-public-service schedule</x:v>
      </x:c>
      <x:c r="J6" s="81" t="str">
        <x:v>Source-to-public-service schedule</x:v>
      </x:c>
      <x:c r="K6" s="81" t="str">
        <x:v>Source-to-public-service schedule</x:v>
      </x:c>
      <x:c r="L6" s="81" t="str">
        <x:v>Source-to-public-service schedule</x:v>
      </x:c>
      <x:c r="M6" s="81" t="str">
        <x:v>Source-to-public-service schedule</x:v>
      </x:c>
      <x:c r="N6" s="82" t="str">
        <x:v>Source-to-public-service schedule</x:v>
      </x:c>
    </x:row>
    <x:row r="7">
      <x:c r="B7" s="32" t="str">
        <x:v>Metric</x:v>
      </x:c>
      <x:c r="C7" s="33" t="str">
        <x:v>Value</x:v>
      </x:c>
      <x:c r="D7" s="33" t="str">
        <x:v>Unit</x:v>
      </x:c>
      <x:c r="E7" s="33" t="str">
        <x:v>Available / limit</x:v>
      </x:c>
      <x:c r="F7" s="33" t="str">
        <x:v>Margin</x:v>
      </x:c>
      <x:c r="G7" s="33" t="str">
        <x:v>Result</x:v>
      </x:c>
      <x:c r="H7" s="27"/>
      <x:c r="I7" s="32" t="str">
        <x:v>Task</x:v>
      </x:c>
      <x:c r="J7" s="33" t="str">
        <x:v>Duration</x:v>
      </x:c>
      <x:c r="K7" s="33" t="str">
        <x:v>Start</x:v>
      </x:c>
      <x:c r="L7" s="33" t="str">
        <x:v>Finish</x:v>
      </x:c>
      <x:c r="M7" s="33" t="str">
        <x:v>Authority / record</x:v>
      </x:c>
      <x:c r="N7" s="33" t="str">
        <x:v>Critical</x:v>
      </x:c>
    </x:row>
    <x:row r="8">
      <x:c r="B8" s="34" t="str">
        <x:v>Longitudinal vehicle pitch</x:v>
      </x:c>
      <x:c r="C8" s="34" t="n">
        <x:v>72</x:v>
      </x:c>
      <x:c r="D8" s="34" t="str">
        <x:v>m</x:v>
      </x:c>
      <x:c r="E8" s="34"/>
      <x:c r="F8" s="34"/>
      <x:c r="G8" s="36" t="str"/>
      <x:c r="H8" s="27"/>
      <x:c r="I8" s="34" t="str">
        <x:v>Origin load, citadel seal, joint and measured-CG release</x:v>
      </x:c>
      <x:c r="J8" s="34" t="n">
        <x:v>8.75</x:v>
      </x:c>
      <x:c r="K8" s="34" t="n">
        <x:f>0</x:f>
        <x:v>0</x:v>
      </x:c>
      <x:c r="L8" s="34" t="n">
        <x:f>K8+J8</x:f>
        <x:v>8.75</x:v>
      </x:c>
      <x:c r="M8" s="34" t="str">
        <x:v>terrain technical authority</x:v>
      </x:c>
      <x:c r="N8" s="36" t="str">
        <x:v>yes</x:v>
      </x:c>
    </x:row>
    <x:row r="9">
      <x:c r="B9" s="34" t="str">
        <x:v>Transverse vehicle pitch</x:v>
      </x:c>
      <x:c r="C9" s="34" t="n">
        <x:v>38</x:v>
      </x:c>
      <x:c r="D9" s="34" t="str">
        <x:v>m</x:v>
      </x:c>
      <x:c r="E9" s="34"/>
      <x:c r="F9" s="34"/>
      <x:c r="G9" s="36" t="str"/>
      <x:c r="H9" s="27"/>
      <x:c r="I9" s="34" t="str">
        <x:v>500 km degraded hard route</x:v>
      </x:c>
      <x:c r="J9" s="34" t="n">
        <x:f>Assumptions!C66/Assumptions!C65</x:f>
        <x:v>10</x:v>
      </x:c>
      <x:c r="K9" s="34" t="n">
        <x:f>L8</x:f>
        <x:v>8.75</x:v>
      </x:c>
      <x:c r="L9" s="34" t="n">
        <x:f>K9+J9</x:f>
        <x:v>18.75</x:v>
      </x:c>
      <x:c r="M9" s="34" t="str">
        <x:v>terrain movement control</x:v>
      </x:c>
      <x:c r="N9" s="36" t="str">
        <x:v>yes</x:v>
      </x:c>
    </x:row>
    <x:row r="10">
      <x:c r="B10" s="34" t="str">
        <x:v>End extraction clearance</x:v>
      </x:c>
      <x:c r="C10" s="34" t="n">
        <x:v>15</x:v>
      </x:c>
      <x:c r="D10" s="34" t="str">
        <x:v>m each</x:v>
      </x:c>
      <x:c r="E10" s="34"/>
      <x:c r="F10" s="34"/>
      <x:c r="G10" s="36" t="str"/>
      <x:c r="H10" s="27"/>
      <x:c r="I10" s="34" t="str">
        <x:v>220 km broken or saturated route</x:v>
      </x:c>
      <x:c r="J10" s="34" t="n">
        <x:f>Assumptions!C67/Assumptions!C64</x:f>
        <x:v>6.875</x:v>
      </x:c>
      <x:c r="K10" s="34" t="n">
        <x:f>L9</x:f>
        <x:v>18.75</x:v>
      </x:c>
      <x:c r="L10" s="34" t="n">
        <x:f>K10+J10</x:f>
        <x:v>25.625</x:v>
      </x:c>
      <x:c r="M10" s="34" t="str">
        <x:v>terrain movement control</x:v>
      </x:c>
      <x:c r="N10" s="36" t="str">
        <x:v>yes</x:v>
      </x:c>
    </x:row>
    <x:row r="11">
      <x:c r="B11" s="34" t="str">
        <x:v>Outer side clearance</x:v>
      </x:c>
      <x:c r="C11" s="34" t="n">
        <x:v>10</x:v>
      </x:c>
      <x:c r="D11" s="34" t="str">
        <x:v>m each</x:v>
      </x:c>
      <x:c r="E11" s="34"/>
      <x:c r="F11" s="34"/>
      <x:c r="G11" s="36" t="str"/>
      <x:c r="H11" s="27"/>
      <x:c r="I11" s="34" t="str">
        <x:v>80 km off-road and obstacle route</x:v>
      </x:c>
      <x:c r="J11" s="34" t="n">
        <x:f>Assumptions!C68/Assumptions!C63</x:f>
        <x:v>4.444444444444445</x:v>
      </x:c>
      <x:c r="K11" s="34" t="n">
        <x:f>L10</x:f>
        <x:v>25.625</x:v>
      </x:c>
      <x:c r="L11" s="34" t="n">
        <x:f>K11+J11</x:f>
        <x:v>30.069444444444443</x:v>
      </x:c>
      <x:c r="M11" s="34" t="str">
        <x:v>terrain movement control</x:v>
      </x:c>
      <x:c r="N11" s="36" t="str">
        <x:v>yes</x:v>
      </x:c>
    </x:row>
    <x:row r="12">
      <x:c r="B12" s="34" t="str">
        <x:v>Required grid length</x:v>
      </x:c>
      <x:c r="C12" s="34" t="n">
        <x:f>Assumptions!C21+C8+2*C10</x:f>
        <x:v>148</x:v>
      </x:c>
      <x:c r="D12" s="34" t="str">
        <x:v>m</x:v>
      </x:c>
      <x:c r="E12" s="34" t="n">
        <x:v>200</x:v>
      </x:c>
      <x:c r="F12" s="34" t="n">
        <x:f>E12-C12</x:f>
        <x:v>52</x:v>
      </x:c>
      <x:c r="G12" s="36" t="str">
        <x:f>IF(F12&gt;=0,"PASS","FAIL")</x:f>
        <x:v>PASS</x:v>
      </x:c>
      <x:c r="H12" s="27"/>
      <x:c r="I12" s="34" t="str">
        <x:v>Contact transition, survey, bridge and route work</x:v>
      </x:c>
      <x:c r="J12" s="34" t="n">
        <x:v>4.75</x:v>
      </x:c>
      <x:c r="K12" s="34" t="n">
        <x:f>L11</x:f>
        <x:v>30.069444444444443</x:v>
      </x:c>
      <x:c r="L12" s="34" t="n">
        <x:f>K12+J12</x:f>
        <x:v>34.81944444444444</x:v>
      </x:c>
      <x:c r="M12" s="34" t="str">
        <x:v>route release authority</x:v>
      </x:c>
      <x:c r="N12" s="36" t="str">
        <x:v>yes</x:v>
      </x:c>
    </x:row>
    <x:row r="13">
      <x:c r="B13" s="34" t="str">
        <x:v>Required grid width</x:v>
      </x:c>
      <x:c r="C13" s="34" t="n">
        <x:f>Assumptions!C23+C9+2*C11</x:f>
        <x:v>69.8</x:v>
      </x:c>
      <x:c r="D13" s="34" t="str">
        <x:v>m</x:v>
      </x:c>
      <x:c r="E13" s="34" t="n">
        <x:v>100</x:v>
      </x:c>
      <x:c r="F13" s="34" t="n">
        <x:f>E13-C13</x:f>
        <x:v>30.200000000000003</x:v>
      </x:c>
      <x:c r="G13" s="36" t="str">
        <x:f>IF(F13&gt;=0,"PASS","FAIL")</x:f>
        <x:v>PASS</x:v>
      </x:c>
      <x:c r="H13" s="27"/>
      <x:c r="I13" s="40" t="str">
        <x:v>Unload, thermal deployment, assay and civil release</x:v>
      </x:c>
      <x:c r="J13" s="40" t="n">
        <x:v>8.75</x:v>
      </x:c>
      <x:c r="K13" s="40" t="n">
        <x:f>L12</x:f>
        <x:v>34.81944444444444</x:v>
      </x:c>
      <x:c r="L13" s="40" t="n">
        <x:f>K13+J13</x:f>
        <x:v>43.56944444444444</x:v>
      </x:c>
      <x:c r="M13" s="40" t="str">
        <x:v>terrain receiver and civil authority</x:v>
      </x:c>
      <x:c r="N13" s="42" t="str">
        <x:v>yes</x:v>
      </x:c>
    </x:row>
    <x:row r="14">
      <x:c r="B14" s="34" t="str">
        <x:v>Controlled receiver length</x:v>
      </x:c>
      <x:c r="C14" s="34" t="n">
        <x:v>220</x:v>
      </x:c>
      <x:c r="D14" s="34" t="str">
        <x:v>m</x:v>
      </x:c>
      <x:c r="E14" s="34" t="n">
        <x:v>220</x:v>
      </x:c>
      <x:c r="F14" s="34" t="n">
        <x:f>E14-C14</x:f>
        <x:v>0</x:v>
      </x:c>
      <x:c r="G14" s="36" t="str">
        <x:f>IF(F14&gt;=0,"PASS","FAIL")</x:f>
        <x:v>PASS</x:v>
      </x:c>
      <x:c r="H14" s="27"/>
      <x:c r="I14" s="27"/>
      <x:c r="J14" s="27"/>
      <x:c r="K14" s="27"/>
      <x:c r="L14" s="27"/>
      <x:c r="M14" s="27"/>
      <x:c r="N14" s="27"/>
    </x:row>
    <x:row r="15">
      <x:c r="B15" s="34" t="str">
        <x:v>Controlled receiver width</x:v>
      </x:c>
      <x:c r="C15" s="34" t="n">
        <x:v>140</x:v>
      </x:c>
      <x:c r="D15" s="34" t="str">
        <x:v>m</x:v>
      </x:c>
      <x:c r="E15" s="34" t="n">
        <x:v>140</x:v>
      </x:c>
      <x:c r="F15" s="34" t="n">
        <x:f>E15-C15</x:f>
        <x:v>0</x:v>
      </x:c>
      <x:c r="G15" s="36" t="str">
        <x:f>IF(F15&gt;=0,"PASS","FAIL")</x:f>
        <x:v>PASS</x:v>
      </x:c>
      <x:c r="H15" s="27"/>
      <x:c r="I15" s="27"/>
      <x:c r="J15" s="27"/>
      <x:c r="K15" s="27"/>
      <x:c r="L15" s="27"/>
      <x:c r="M15" s="27"/>
      <x:c r="N15" s="27"/>
    </x:row>
    <x:row r="16">
      <x:c r="B16" s="34" t="str">
        <x:v>Minimum vehicle-to-vehicle end gap</x:v>
      </x:c>
      <x:c r="C16" s="34" t="n">
        <x:f>C8-Assumptions!C21</x:f>
        <x:v>26</x:v>
      </x:c>
      <x:c r="D16" s="34" t="str">
        <x:v>m</x:v>
      </x:c>
      <x:c r="E16" s="34" t="n">
        <x:v>25</x:v>
      </x:c>
      <x:c r="F16" s="34" t="n">
        <x:f>C16-E16</x:f>
        <x:v>1</x:v>
      </x:c>
      <x:c r="G16" s="36" t="str">
        <x:f>IF(F16&gt;=0,"PASS","FAIL")</x:f>
        <x:v>PASS</x:v>
      </x:c>
      <x:c r="H16" s="27"/>
      <x:c r="I16" s="32" t="str">
        <x:v>Metric</x:v>
      </x:c>
      <x:c r="J16" s="33" t="str">
        <x:v>Value</x:v>
      </x:c>
      <x:c r="K16" s="33" t="str">
        <x:v>Unit</x:v>
      </x:c>
      <x:c r="L16" s="33" t="str">
        <x:v>Ceiling</x:v>
      </x:c>
      <x:c r="M16" s="33" t="str">
        <x:v>Margin</x:v>
      </x:c>
      <x:c r="N16" s="33" t="str">
        <x:v>Result</x:v>
      </x:c>
    </x:row>
    <x:row r="17">
      <x:c r="B17" s="40" t="str">
        <x:v>Minimum vehicle-to-vehicle side gap</x:v>
      </x:c>
      <x:c r="C17" s="40" t="n">
        <x:f>C9-Assumptions!C23</x:f>
        <x:v>26.2</x:v>
      </x:c>
      <x:c r="D17" s="40" t="str">
        <x:v>m</x:v>
      </x:c>
      <x:c r="E17" s="40" t="n">
        <x:v>25</x:v>
      </x:c>
      <x:c r="F17" s="40" t="n">
        <x:f>C17-E17</x:f>
        <x:v>1.1999999999999993</x:v>
      </x:c>
      <x:c r="G17" s="42" t="str">
        <x:f>IF(F17&gt;=0,"PASS","FAIL")</x:f>
        <x:v>PASS</x:v>
      </x:c>
      <x:c r="H17" s="27"/>
      <x:c r="I17" s="34" t="str">
        <x:v>Terrain relative public service</x:v>
      </x:c>
      <x:c r="J17" s="34" t="n">
        <x:f>L13</x:f>
        <x:v>43.56944444444444</x:v>
      </x:c>
      <x:c r="K17" s="34" t="str">
        <x:v>h</x:v>
      </x:c>
      <x:c r="L17" s="34" t="n">
        <x:v>45</x:v>
      </x:c>
      <x:c r="M17" s="34" t="n">
        <x:f>L17-J17</x:f>
        <x:v>1.4305555555555571</x:v>
      </x:c>
      <x:c r="N17" s="36" t="str">
        <x:f>IF(M17&gt;=0,"PASS","FAIL")</x:f>
        <x:v>PASS</x:v>
      </x:c>
    </x:row>
    <x:row r="18">
      <x:c r="B18" s="27"/>
      <x:c r="C18" s="27"/>
      <x:c r="D18" s="27"/>
      <x:c r="E18" s="27"/>
      <x:c r="F18" s="27"/>
      <x:c r="G18" s="27"/>
      <x:c r="H18" s="27"/>
      <x:c r="I18" s="34" t="str">
        <x:v>Terrain absolute public service</x:v>
      </x:c>
      <x:c r="J18" s="34" t="n">
        <x:f>J17+Assumptions!C97</x:f>
        <x:v>49.56944444444444</x:v>
      </x:c>
      <x:c r="K18" s="34" t="str">
        <x:v>h</x:v>
      </x:c>
      <x:c r="L18" s="34" t="n">
        <x:v>54</x:v>
      </x:c>
      <x:c r="M18" s="34" t="n">
        <x:f>L18-J18</x:f>
        <x:v>4.430555555555557</x:v>
      </x:c>
      <x:c r="N18" s="36" t="str">
        <x:f>IF(M18&gt;=0,"PASS","FAIL")</x:f>
        <x:v>PASS</x:v>
      </x:c>
    </x:row>
    <x:row r="19">
      <x:c r="B19" s="27"/>
      <x:c r="C19" s="27"/>
      <x:c r="D19" s="27"/>
      <x:c r="E19" s="27"/>
      <x:c r="F19" s="27"/>
      <x:c r="G19" s="27"/>
      <x:c r="H19" s="27"/>
      <x:c r="I19" s="34" t="str">
        <x:v>Air absolute public service</x:v>
      </x:c>
      <x:c r="J19" s="34" t="n">
        <x:v>47.916667</x:v>
      </x:c>
      <x:c r="K19" s="34" t="str">
        <x:v>h</x:v>
      </x:c>
      <x:c r="L19" s="34" t="n">
        <x:v>54</x:v>
      </x:c>
      <x:c r="M19" s="34" t="n">
        <x:f>L19-J19</x:f>
        <x:v>6.083333000000003</x:v>
      </x:c>
      <x:c r="N19" s="36" t="str">
        <x:f>IF(M19&gt;=0,"PASS","FAIL")</x:f>
        <x:v>PASS</x:v>
      </x:c>
    </x:row>
    <x:row r="20">
      <x:c r="B20" s="27"/>
      <x:c r="C20" s="27"/>
      <x:c r="D20" s="27"/>
      <x:c r="E20" s="27"/>
      <x:c r="F20" s="27"/>
      <x:c r="G20" s="27"/>
      <x:c r="H20" s="27"/>
      <x:c r="I20" s="34" t="str">
        <x:v>Complete dual service</x:v>
      </x:c>
      <x:c r="J20" s="34" t="n">
        <x:f>MAX(J18,J19)</x:f>
        <x:v>49.56944444444444</x:v>
      </x:c>
      <x:c r="K20" s="34" t="str">
        <x:v>h</x:v>
      </x:c>
      <x:c r="L20" s="34" t="n">
        <x:v>54</x:v>
      </x:c>
      <x:c r="M20" s="34" t="n">
        <x:f>L20-J20</x:f>
        <x:v>4.430555555555557</x:v>
      </x:c>
      <x:c r="N20" s="36" t="str">
        <x:f>IF(M20&gt;=0,"PASS","FAIL")</x:f>
        <x:v>PASS</x:v>
      </x:c>
    </x:row>
    <x:row r="21">
      <x:c r="B21" s="88" t="str">
        <x:v>Receiver orientation</x:v>
      </x:c>
      <x:c r="C21" s="49" t="str">
        <x:v>All four vehicles point in the same direction. Front-row vehicles retain forward module extraction and rear-row vehicles retain aft extraction without making repair a pre-release requirement.</x:v>
      </x:c>
      <x:c r="D21" s="49" t="str"/>
      <x:c r="E21" s="49" t="str"/>
      <x:c r="F21" s="49" t="str"/>
      <x:c r="G21" s="49" t="str"/>
      <x:c r="H21" s="27"/>
      <x:c r="I21" s="40" t="str">
        <x:v>Optional post-release cross-tie complete</x:v>
      </x:c>
      <x:c r="J21" s="40" t="n">
        <x:f>J20+2</x:f>
        <x:v>51.56944444444444</x:v>
      </x:c>
      <x:c r="K21" s="40" t="str">
        <x:v>h</x:v>
      </x:c>
      <x:c r="L21" s="40"/>
      <x:c r="M21" s="40"/>
      <x:c r="N21" s="42" t="str">
        <x:v>not critical</x:v>
      </x:c>
    </x:row>
    <x:row r="22">
      <x:c r="B22" s="89" t="str">
        <x:v>Unload geometry</x:v>
      </x:c>
      <x:c r="C22" s="34" t="str">
        <x:v>Two rows by two columns preserve at least twelve metres of side-work space for bilateral cargo movement inside the 200 x 100 m transfer core.</x:v>
      </x:c>
      <x:c r="D22" s="34" t="str"/>
      <x:c r="E22" s="34" t="str"/>
      <x:c r="F22" s="34" t="str"/>
      <x:c r="G22" s="34" t="str"/>
      <x:c r="H22" s="27"/>
      <x:c r="I22" s="27"/>
      <x:c r="J22" s="27"/>
      <x:c r="K22" s="27"/>
      <x:c r="L22" s="27"/>
      <x:c r="M22" s="27"/>
      <x:c r="N22" s="27"/>
    </x:row>
    <x:row r="23">
      <x:c r="B23" s="89" t="str">
        <x:v>Casualty geometry</x:v>
      </x:c>
      <x:c r="C23" s="34" t="str">
        <x:v>Quadrant drains vent outward. A failed sector is isolated in place; module extraction follows public release or mission abort.</x:v>
      </x:c>
      <x:c r="D23" s="34" t="str"/>
      <x:c r="E23" s="34" t="str"/>
      <x:c r="F23" s="34" t="str"/>
      <x:c r="G23" s="34" t="str"/>
      <x:c r="H23" s="27"/>
      <x:c r="I23" s="27"/>
      <x:c r="J23" s="27"/>
      <x:c r="K23" s="27"/>
      <x:c r="L23" s="27"/>
      <x:c r="M23" s="27"/>
      <x:c r="N23" s="27"/>
    </x:row>
    <x:row r="24">
      <x:c r="B24" s="89" t="str">
        <x:v>Authority</x:v>
      </x:c>
      <x:c r="C24" s="34" t="str">
        <x:v>Vehicle safe state, receiver safe state, service assay and civil public release remain separate signatures.</x:v>
      </x:c>
      <x:c r="D24" s="34" t="str"/>
      <x:c r="E24" s="34" t="str"/>
      <x:c r="F24" s="34" t="str"/>
      <x:c r="G24" s="34" t="str"/>
      <x:c r="H24" s="27"/>
      <x:c r="I24" s="27"/>
      <x:c r="J24" s="27"/>
      <x:c r="K24" s="27"/>
      <x:c r="L24" s="27"/>
      <x:c r="M24" s="27"/>
      <x:c r="N24" s="27"/>
    </x:row>
    <x:row r="25">
      <x:c r="B25" s="90" t="str">
        <x:v>Interface</x:v>
      </x:c>
      <x:c r="C25" s="52" t="str">
        <x:v>Nothing in the larger terrain vehicle creates a pre-release dependency on the air receiver or post-release corridor.</x:v>
      </x:c>
      <x:c r="D25" s="52" t="str"/>
      <x:c r="E25" s="52" t="str"/>
      <x:c r="F25" s="52" t="str"/>
      <x:c r="G25" s="52" t="str"/>
      <x:c r="H25" s="27"/>
      <x:c r="I25" s="27"/>
      <x:c r="J25" s="27"/>
      <x:c r="K25" s="27"/>
      <x:c r="L25" s="27"/>
      <x:c r="M25" s="27"/>
      <x:c r="N25" s="27"/>
    </x:row>
    <x:row r="26"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</x:row>
    <x:row r="27"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</x:row>
    <x:row r="28"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</x:row>
    <x:row r="29"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</x:row>
    <x:row r="30"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</x:row>
    <x:row r="31"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</x:row>
    <x:row r="32"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  <x:row r="37"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</x:row>
    <x:row r="38"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</x:row>
  </x:sheetData>
  <x:mergeCells>
    <x:mergeCell ref="B6:G6"/>
    <x:mergeCell ref="I6:N6"/>
  </x:mergeCells>
  <x:conditionalFormatting sqref="G8:G17">
    <x:cfRule type="containsText" dxfId="39" priority="1" operator="containsText" text="FAIL"/>
    <x:cfRule type="containsText" dxfId="40" priority="2" operator="containsText" text="PASS"/>
    <x:cfRule type="containsText" dxfId="41" priority="3" operator="containsText" text="BLOCKED"/>
  </x:conditionalFormatting>
  <x:conditionalFormatting sqref="N17:N20">
    <x:cfRule type="containsText" dxfId="42" priority="4" operator="containsText" text="FAIL"/>
    <x:cfRule type="containsText" dxfId="43" priority="5" operator="containsText" text="PASS"/>
    <x:cfRule type="containsText" dxfId="44" priority="6" operator="containsText" text="BLOCK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3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48" hidden="0" customWidth="1"/>
    <x:col min="8" max="8" width="3" hidden="0" customWidth="1"/>
    <x:col min="9" max="9" width="43" hidden="0" customWidth="1"/>
    <x:col min="10" max="10" width="15" hidden="0" customWidth="1"/>
    <x:col min="11" max="11" width="15" hidden="0" customWidth="1"/>
    <x:col min="12" max="12" width="17" hidden="0" customWidth="1"/>
    <x:col min="13" max="13" width="16" hidden="0" customWidth="1"/>
    <x:col min="14" max="14" width="45" hidden="0" customWidth="1"/>
  </x:cols>
  <x:sheetData>
    <x:row r="2">
      <x:c r="B2" s="86" t="str">
        <x:v>Reset path and institutional labor correction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B3" s="87" t="str">
        <x:v>Spatial safety creates permanent bridge, fire, configuration and module-removal professions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B6" s="80" t="str">
        <x:v>Concurrent reset workstreams</x:v>
      </x:c>
      <x:c r="C6" s="81" t="str">
        <x:v>Concurrent reset workstreams</x:v>
      </x:c>
      <x:c r="D6" s="81" t="str">
        <x:v>Concurrent reset workstreams</x:v>
      </x:c>
      <x:c r="E6" s="81" t="str">
        <x:v>Concurrent reset workstreams</x:v>
      </x:c>
      <x:c r="F6" s="81" t="str">
        <x:v>Concurrent reset workstreams</x:v>
      </x:c>
      <x:c r="G6" s="82" t="str">
        <x:v>Concurrent reset workstreams</x:v>
      </x:c>
      <x:c r="H6" s="27"/>
      <x:c r="I6" s="80" t="str">
        <x:v>Net workforce addition above Pass 85</x:v>
      </x:c>
      <x:c r="J6" s="81" t="str">
        <x:v>Net workforce addition above Pass 85</x:v>
      </x:c>
      <x:c r="K6" s="81" t="str">
        <x:v>Net workforce addition above Pass 85</x:v>
      </x:c>
      <x:c r="L6" s="81" t="str">
        <x:v>Net workforce addition above Pass 85</x:v>
      </x:c>
      <x:c r="M6" s="81" t="str">
        <x:v>Net workforce addition above Pass 85</x:v>
      </x:c>
      <x:c r="N6" s="82" t="str">
        <x:v>Net workforce addition above Pass 85</x:v>
      </x:c>
    </x:row>
    <x:row r="7">
      <x:c r="B7" s="32" t="str">
        <x:v>Workstream</x:v>
      </x:c>
      <x:c r="C7" s="33" t="str">
        <x:v>Path</x:v>
      </x:c>
      <x:c r="D7" s="33" t="str">
        <x:v>Ceiling</x:v>
      </x:c>
      <x:c r="E7" s="33" t="str">
        <x:v>Margin</x:v>
      </x:c>
      <x:c r="F7" s="33" t="str">
        <x:v>Result</x:v>
      </x:c>
      <x:c r="G7" s="33" t="str">
        <x:v>Governing work</x:v>
      </x:c>
      <x:c r="H7" s="27"/>
      <x:c r="I7" s="32" t="str">
        <x:v>Specialty</x:v>
      </x:c>
      <x:c r="J7" s="33" t="str">
        <x:v>Deployed</x:v>
      </x:c>
      <x:c r="K7" s="33" t="str">
        <x:v>Affiliated</x:v>
      </x:c>
      <x:c r="L7" s="33" t="str">
        <x:v>Minimum watch</x:v>
      </x:c>
      <x:c r="M7" s="33" t="str">
        <x:v>Authority / phase</x:v>
      </x:c>
      <x:c r="N7" s="33" t="str">
        <x:v>Reason</x:v>
      </x:c>
    </x:row>
    <x:row r="8">
      <x:c r="B8" s="34" t="str">
        <x:v>TAP-285 pods, brakes and load control</x:v>
      </x:c>
      <x:c r="C8" s="34" t="n">
        <x:v>164</x:v>
      </x:c>
      <x:c r="D8" s="34" t="n">
        <x:f>Assumptions!C100</x:f>
        <x:v>168</x:v>
      </x:c>
      <x:c r="E8" s="34" t="n">
        <x:f>D8-C8</x:f>
        <x:v>4</x:v>
      </x:c>
      <x:c r="F8" s="34" t="str">
        <x:f>IF(E8&gt;=0,"PASS","FAIL")</x:f>
        <x:v>PASS</x:v>
      </x:c>
      <x:c r="G8" s="36" t="str">
        <x:v>pod teardown, seals and full-load calibration</x:v>
      </x:c>
      <x:c r="H8" s="27"/>
      <x:c r="I8" s="34" t="str">
        <x:v>Energy-citadel and fire-boundary technicians</x:v>
      </x:c>
      <x:c r="J8" s="34" t="n">
        <x:v>16</x:v>
      </x:c>
      <x:c r="K8" s="34" t="n">
        <x:v>36</x:v>
      </x:c>
      <x:c r="L8" s="34" t="n">
        <x:v>4</x:v>
      </x:c>
      <x:c r="M8" s="34" t="str">
        <x:v>vehicle technical release</x:v>
      </x:c>
      <x:c r="N8" s="36" t="str">
        <x:v>four separate tanks, drains, thermal systems and burn records</x:v>
      </x:c>
    </x:row>
    <x:row r="9">
      <x:c r="B9" s="34" t="str">
        <x:v>Four energy citadels and thermal surfaces</x:v>
      </x:c>
      <x:c r="C9" s="34" t="n">
        <x:v>156</x:v>
      </x:c>
      <x:c r="D9" s="34" t="n">
        <x:f>Assumptions!C100</x:f>
        <x:v>168</x:v>
      </x:c>
      <x:c r="E9" s="34" t="n">
        <x:f>D9-C9</x:f>
        <x:v>12</x:v>
      </x:c>
      <x:c r="F9" s="34" t="str">
        <x:f>IF(E9&gt;=0,"PASS","FAIL")</x:f>
        <x:v>PASS</x:v>
      </x:c>
      <x:c r="G9" s="36" t="str">
        <x:v>tank assay, converter exchange and cooler proof</x:v>
      </x:c>
      <x:c r="H9" s="27"/>
      <x:c r="I9" s="34" t="str">
        <x:v>Ultra-heavy modular bridge teams</x:v>
      </x:c>
      <x:c r="J9" s="34" t="n">
        <x:v>16</x:v>
      </x:c>
      <x:c r="K9" s="34" t="n">
        <x:v>40</x:v>
      </x:c>
      <x:c r="L9" s="34" t="n">
        <x:v>4</x:v>
      </x:c>
      <x:c r="M9" s="34" t="str">
        <x:v>route release</x:v>
      </x:c>
      <x:c r="N9" s="36" t="str">
        <x:v>six modules, bearings, approach mats and structural inspection</x:v>
      </x:c>
    </x:row>
    <x:row r="10">
      <x:c r="B10" s="34" t="str">
        <x:v>Structure, joints, bulkheads and deck</x:v>
      </x:c>
      <x:c r="C10" s="34" t="n">
        <x:v>142</x:v>
      </x:c>
      <x:c r="D10" s="34" t="n">
        <x:f>Assumptions!C100</x:f>
        <x:v>168</x:v>
      </x:c>
      <x:c r="E10" s="34" t="n">
        <x:f>D10-C10</x:f>
        <x:v>26</x:v>
      </x:c>
      <x:c r="F10" s="34" t="str">
        <x:f>IF(E10&gt;=0,"PASS","FAIL")</x:f>
        <x:v>PASS</x:v>
      </x:c>
      <x:c r="G10" s="36" t="str">
        <x:v>NDE, joint alignment and barrier integrity</x:v>
      </x:c>
      <x:c r="H10" s="27"/>
      <x:c r="I10" s="34" t="str">
        <x:v>Load, stability and articulation engineers</x:v>
      </x:c>
      <x:c r="J10" s="34" t="n">
        <x:v>8</x:v>
      </x:c>
      <x:c r="K10" s="34" t="n">
        <x:v>20</x:v>
      </x:c>
      <x:c r="L10" s="34" t="n">
        <x:v>2</x:v>
      </x:c>
      <x:c r="M10" s="34" t="str">
        <x:v>configuration release</x:v>
      </x:c>
      <x:c r="N10" s="36" t="str">
        <x:v>four bodies, three joints and measured support reactions</x:v>
      </x:c>
    </x:row>
    <x:row r="11">
      <x:c r="B11" s="34" t="str">
        <x:v>Six-module bridge, mats and route robots</x:v>
      </x:c>
      <x:c r="C11" s="34" t="n">
        <x:v>166</x:v>
      </x:c>
      <x:c r="D11" s="34" t="n">
        <x:f>Assumptions!C100</x:f>
        <x:v>168</x:v>
      </x:c>
      <x:c r="E11" s="34" t="n">
        <x:f>D11-C11</x:f>
        <x:v>2</x:v>
      </x:c>
      <x:c r="F11" s="34" t="str">
        <x:f>IF(E11&gt;=0,"PASS","FAIL")</x:f>
        <x:v>PASS</x:v>
      </x:c>
      <x:c r="G11" s="36" t="str">
        <x:v>module inspection, joint metrology and reload</x:v>
      </x:c>
      <x:c r="H11" s="27"/>
      <x:c r="I11" s="34" t="str">
        <x:v>Field module extraction and recovery</x:v>
      </x:c>
      <x:c r="J11" s="34" t="n">
        <x:v>12</x:v>
      </x:c>
      <x:c r="K11" s="34" t="n">
        <x:v>30</x:v>
      </x:c>
      <x:c r="L11" s="34" t="n">
        <x:v>4</x:v>
      </x:c>
      <x:c r="M11" s="34" t="str">
        <x:v>reset and casualty recovery</x:v>
      </x:c>
      <x:c r="N11" s="36" t="str">
        <x:v>end-removal cassettes and disabled-vehicle handling</x:v>
      </x:c>
    </x:row>
    <x:row r="12">
      <x:c r="B12" s="34" t="str">
        <x:v>Crew refuges, controls and mission records</x:v>
      </x:c>
      <x:c r="C12" s="34" t="n">
        <x:v>52</x:v>
      </x:c>
      <x:c r="D12" s="34" t="n">
        <x:f>Assumptions!C100</x:f>
        <x:v>168</x:v>
      </x:c>
      <x:c r="E12" s="34" t="n">
        <x:f>D12-C12</x:f>
        <x:v>116</x:v>
      </x:c>
      <x:c r="F12" s="34" t="str">
        <x:f>IF(E12&gt;=0,"PASS","FAIL")</x:f>
        <x:v>PASS</x:v>
      </x:c>
      <x:c r="G12" s="36" t="str">
        <x:v>survival stores, control reconstruction and crew release</x:v>
      </x:c>
      <x:c r="H12" s="27"/>
      <x:c r="I12" s="34" t="str">
        <x:v>Crew-refuge and life-safety specialists</x:v>
      </x:c>
      <x:c r="J12" s="34" t="n">
        <x:v>8</x:v>
      </x:c>
      <x:c r="K12" s="34" t="n">
        <x:v>18</x:v>
      </x:c>
      <x:c r="L12" s="34" t="n">
        <x:v>2</x:v>
      </x:c>
      <x:c r="M12" s="34" t="str">
        <x:v>crew and civil safety</x:v>
      </x:c>
      <x:c r="N12" s="36" t="str">
        <x:v>dual refuges, escape, suppression and toxic-product control</x:v>
      </x:c>
    </x:row>
    <x:row r="13">
      <x:c r="B13" s="40" t="str">
        <x:v>Origin, receiver and route handback</x:v>
      </x:c>
      <x:c r="C13" s="40" t="n">
        <x:v>120</x:v>
      </x:c>
      <x:c r="D13" s="40" t="n">
        <x:f>Assumptions!C100</x:f>
        <x:v>168</x:v>
      </x:c>
      <x:c r="E13" s="40" t="n">
        <x:f>D13-C13</x:f>
        <x:v>48</x:v>
      </x:c>
      <x:c r="F13" s="40" t="str">
        <x:f>IF(E13&gt;=0,"PASS","FAIL")</x:f>
        <x:v>PASS</x:v>
      </x:c>
      <x:c r="G13" s="42" t="str">
        <x:v>site restoration and signed handback</x:v>
      </x:c>
      <x:c r="H13" s="27"/>
      <x:c r="I13" s="40" t="str">
        <x:v>Net addition</x:v>
      </x:c>
      <x:c r="J13" s="40" t="n">
        <x:f>SUM(J8:J12)</x:f>
        <x:v>60</x:v>
      </x:c>
      <x:c r="K13" s="40" t="n">
        <x:f>SUM(K8:K12)</x:f>
        <x:v>144</x:v>
      </x:c>
      <x:c r="L13" s="40" t="n">
        <x:f>SUM(L8:L12)</x:f>
        <x:v>16</x:v>
      </x:c>
      <x:c r="M13" s="40" t="str"/>
      <x:c r="N13" s="42" t="str"/>
    </x:row>
    <x:row r="14"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</x:row>
    <x:row r="15"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</x:row>
    <x:row r="16">
      <x:c r="B16" s="32" t="str">
        <x:v>Critical path</x:v>
      </x:c>
      <x:c r="C16" s="33" t="str">
        <x:v>Hours</x:v>
      </x:c>
      <x:c r="D16" s="33" t="str">
        <x:v>Ceiling</x:v>
      </x:c>
      <x:c r="E16" s="33" t="str">
        <x:v>Margin</x:v>
      </x:c>
      <x:c r="F16" s="33" t="str">
        <x:v>Result</x:v>
      </x:c>
      <x:c r="G16" s="33" t="str">
        <x:v>Meaning</x:v>
      </x:c>
      <x:c r="H16" s="27"/>
      <x:c r="I16" s="32" t="str">
        <x:v>Boundary</x:v>
      </x:c>
      <x:c r="J16" s="33" t="str">
        <x:v>Pass 85</x:v>
      </x:c>
      <x:c r="K16" s="33" t="str">
        <x:v>Addition</x:v>
      </x:c>
      <x:c r="L16" s="33" t="str">
        <x:v>Pass 86</x:v>
      </x:c>
      <x:c r="M16" s="33" t="str">
        <x:v>Unit</x:v>
      </x:c>
      <x:c r="N16" s="27"/>
    </x:row>
    <x:row r="17">
      <x:c r="B17" s="40" t="str">
        <x:f>INDEX(B8:B13,MATCH(MAX(C8:C13),C8:C13,0))</x:f>
        <x:v>Six-module bridge, mats and route robots</x:v>
      </x:c>
      <x:c r="C17" s="40" t="n">
        <x:f>MAX(C8:C13)</x:f>
        <x:v>166</x:v>
      </x:c>
      <x:c r="D17" s="40" t="n">
        <x:f>Assumptions!C100</x:f>
        <x:v>168</x:v>
      </x:c>
      <x:c r="E17" s="40" t="n">
        <x:f>D17-C17</x:f>
        <x:v>2</x:v>
      </x:c>
      <x:c r="F17" s="40" t="str">
        <x:f>IF(E17&gt;=0,"PASS","FAIL")</x:f>
        <x:v>PASS</x:v>
      </x:c>
      <x:c r="G17" s="42" t="str">
        <x:v>longest concurrent workstream</x:v>
      </x:c>
      <x:c r="H17" s="27"/>
      <x:c r="I17" s="34" t="str">
        <x:v>DCP-2 deployed</x:v>
      </x:c>
      <x:c r="J17" s="34" t="n">
        <x:v>640</x:v>
      </x:c>
      <x:c r="K17" s="34" t="n">
        <x:f>J13</x:f>
        <x:v>60</x:v>
      </x:c>
      <x:c r="L17" s="34" t="n">
        <x:f>J17+K17</x:f>
        <x:v>700</x:v>
      </x:c>
      <x:c r="M17" s="36" t="str">
        <x:v>people</x:v>
      </x:c>
      <x:c r="N17" s="27"/>
    </x:row>
    <x:row r="18">
      <x:c r="B18" s="27"/>
      <x:c r="C18" s="27"/>
      <x:c r="D18" s="27"/>
      <x:c r="E18" s="27"/>
      <x:c r="F18" s="27"/>
      <x:c r="G18" s="27"/>
      <x:c r="H18" s="27"/>
      <x:c r="I18" s="34" t="str">
        <x:v>DCP-2 affiliated</x:v>
      </x:c>
      <x:c r="J18" s="34" t="n">
        <x:v>1413</x:v>
      </x:c>
      <x:c r="K18" s="34" t="n">
        <x:f>K13</x:f>
        <x:v>144</x:v>
      </x:c>
      <x:c r="L18" s="34" t="n">
        <x:f>J18+K18</x:f>
        <x:v>1557</x:v>
      </x:c>
      <x:c r="M18" s="36" t="str">
        <x:v>positions</x:v>
      </x:c>
      <x:c r="N18" s="27"/>
    </x:row>
    <x:row r="19">
      <x:c r="B19" s="27"/>
      <x:c r="C19" s="27"/>
      <x:c r="D19" s="27"/>
      <x:c r="E19" s="27"/>
      <x:c r="F19" s="27"/>
      <x:c r="G19" s="27"/>
      <x:c r="H19" s="27"/>
      <x:c r="I19" s="34" t="str">
        <x:v>Minimum watch</x:v>
      </x:c>
      <x:c r="J19" s="34" t="n">
        <x:v>210</x:v>
      </x:c>
      <x:c r="K19" s="34" t="n">
        <x:f>L13</x:f>
        <x:v>16</x:v>
      </x:c>
      <x:c r="L19" s="34" t="n">
        <x:f>J19+K19</x:f>
        <x:v>226</x:v>
      </x:c>
      <x:c r="M19" s="36" t="str">
        <x:v>people</x:v>
      </x:c>
      <x:c r="N19" s="27"/>
    </x:row>
    <x:row r="20">
      <x:c r="B20" s="27"/>
      <x:c r="C20" s="27"/>
      <x:c r="D20" s="27"/>
      <x:c r="E20" s="27"/>
      <x:c r="F20" s="27"/>
      <x:c r="G20" s="27"/>
      <x:c r="H20" s="27"/>
      <x:c r="I20" s="40" t="str">
        <x:v>Wider industrial ecosystem</x:v>
      </x:c>
      <x:c r="J20" s="40" t="n">
        <x:v>95000</x:v>
      </x:c>
      <x:c r="K20" s="40" t="n">
        <x:v>23000</x:v>
      </x:c>
      <x:c r="L20" s="40" t="n">
        <x:f>J20+K20</x:f>
        <x:v>118000</x:v>
      </x:c>
      <x:c r="M20" s="42" t="str">
        <x:v>workers</x:v>
      </x:c>
      <x:c r="N20" s="27"/>
    </x:row>
    <x:row r="21"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</x:row>
    <x:row r="22"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</x:row>
    <x:row r="23"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</x:row>
    <x:row r="24"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</x:row>
    <x:row r="25"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</x:row>
    <x:row r="26"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</x:row>
    <x:row r="27"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</x:row>
    <x:row r="28"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</x:row>
    <x:row r="29"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</x:row>
    <x:row r="30"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</x:row>
    <x:row r="31"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</x:row>
    <x:row r="32"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</x:sheetData>
  <x:mergeCells>
    <x:mergeCell ref="B6:G6"/>
    <x:mergeCell ref="I6:N6"/>
  </x:mergeCells>
  <x:conditionalFormatting sqref="F8:F17">
    <x:cfRule type="containsText" dxfId="45" priority="1" operator="containsText" text="FAIL"/>
    <x:cfRule type="containsText" dxfId="46" priority="2" operator="containsText" text="PASS"/>
    <x:cfRule type="containsText" dxfId="47" priority="3" operator="containsText" text="BLOCK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6" hidden="0" customWidth="1"/>
    <x:col min="4" max="4" width="17" hidden="0" customWidth="1"/>
    <x:col min="5" max="5" width="23" hidden="0" customWidth="1"/>
    <x:col min="6" max="6" width="18" hidden="0" customWidth="1"/>
    <x:col min="7" max="7" width="48" hidden="0" customWidth="1"/>
    <x:col min="8" max="8" width="18" hidden="0" customWidth="1"/>
    <x:col min="9" max="9" width="20" hidden="0" customWidth="1"/>
    <x:col min="10" max="10" width="20" hidden="0" customWidth="1"/>
    <x:col min="11" max="11" width="19" hidden="0" customWidth="1"/>
    <x:col min="12" max="12" width="19" hidden="0" customWidth="1"/>
    <x:col min="13" max="13" width="19" hidden="0" customWidth="1"/>
    <x:col min="14" max="14" width="20" hidden="0" customWidth="1"/>
  </x:cols>
  <x:sheetData>
    <x:row r="2">
      <x:c r="B2" s="86" t="str">
        <x:v>Pass 86 industrial scale and fiscal reconciliation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B3" s="87" t="str">
        <x:v>The cost boundary rises when bridge reserve, cellular safety and complete internal access are funded as systems</x:v>
      </x:c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</x:row>
    <x:row r="6">
      <x:c r="B6" s="80" t="str">
        <x:v>SAT-170R P4 architecture program</x:v>
      </x:c>
      <x:c r="C6" s="81" t="str">
        <x:v>SAT-170R P4 architecture program</x:v>
      </x:c>
      <x:c r="D6" s="81" t="str">
        <x:v>SAT-170R P4 architecture program</x:v>
      </x:c>
      <x:c r="E6" s="81" t="str">
        <x:v>SAT-170R P4 architecture program</x:v>
      </x:c>
      <x:c r="F6" s="81" t="str">
        <x:v>SAT-170R P4 architecture program</x:v>
      </x:c>
      <x:c r="G6" s="82" t="str">
        <x:v>SAT-170R P4 architecture program</x:v>
      </x:c>
      <x:c r="H6" s="27"/>
      <x:c r="I6" s="80" t="str">
        <x:v>Production system</x:v>
      </x:c>
      <x:c r="J6" s="81" t="str">
        <x:v>Production system</x:v>
      </x:c>
      <x:c r="K6" s="81" t="str">
        <x:v>Production system</x:v>
      </x:c>
      <x:c r="L6" s="81" t="str">
        <x:v>Production system</x:v>
      </x:c>
      <x:c r="M6" s="81" t="str">
        <x:v>Production system</x:v>
      </x:c>
      <x:c r="N6" s="82" t="str">
        <x:v>Production system</x:v>
      </x:c>
    </x:row>
    <x:row r="7">
      <x:c r="B7" s="32" t="str">
        <x:v>Program line</x:v>
      </x:c>
      <x:c r="C7" s="33" t="str">
        <x:v>Driver</x:v>
      </x:c>
      <x:c r="D7" s="33" t="str">
        <x:v>Rate</x:v>
      </x:c>
      <x:c r="E7" s="33" t="str">
        <x:v>Unit</x:v>
      </x:c>
      <x:c r="F7" s="33" t="str">
        <x:v>Value $B</x:v>
      </x:c>
      <x:c r="G7" s="33" t="str">
        <x:v>Interpretation</x:v>
      </x:c>
      <x:c r="H7" s="27"/>
      <x:c r="I7" s="32" t="str">
        <x:v>Control</x:v>
      </x:c>
      <x:c r="J7" s="33" t="str">
        <x:v>Reference</x:v>
      </x:c>
      <x:c r="K7" s="33" t="str">
        <x:v>Unit</x:v>
      </x:c>
      <x:c r="L7" s="33" t="str">
        <x:v>Prior</x:v>
      </x:c>
      <x:c r="M7" s="33" t="str">
        <x:v>Change</x:v>
      </x:c>
      <x:c r="N7" s="33" t="str">
        <x:v>Evidence</x:v>
      </x:c>
    </x:row>
    <x:row r="8">
      <x:c r="B8" s="34" t="str">
        <x:v>Ready-set lifecycle</x:v>
      </x:c>
      <x:c r="C8" s="34" t="n">
        <x:v>43</x:v>
      </x:c>
      <x:c r="D8" s="34" t="n">
        <x:v>15.6</x:v>
      </x:c>
      <x:c r="E8" s="34" t="str">
        <x:v>$B / four-vehicle set</x:v>
      </x:c>
      <x:c r="F8" s="85" t="n">
        <x:f>C8*D8</x:f>
        <x:v>670.8</x:v>
      </x:c>
      <x:c r="G8" s="36" t="str">
        <x:v>43 complete terrain cells</x:v>
      </x:c>
      <x:c r="H8" s="27"/>
      <x:c r="I8" s="34" t="str">
        <x:v>Final integration lines</x:v>
      </x:c>
      <x:c r="J8" s="34" t="n">
        <x:v>5</x:v>
      </x:c>
      <x:c r="K8" s="34" t="str">
        <x:v>lines</x:v>
      </x:c>
      <x:c r="L8" s="34" t="n">
        <x:v>4</x:v>
      </x:c>
      <x:c r="M8" s="34" t="n">
        <x:v>1</x:v>
      </x:c>
      <x:c r="N8" s="36" t="str">
        <x:v>OPEN</x:v>
      </x:c>
    </x:row>
    <x:row r="9">
      <x:c r="B9" s="34" t="str">
        <x:v>Development and test</x:v>
      </x:c>
      <x:c r="C9" s="34" t="n">
        <x:v>12</x:v>
      </x:c>
      <x:c r="D9" s="34" t="n">
        <x:v>2.55</x:v>
      </x:c>
      <x:c r="E9" s="34" t="str">
        <x:v>$B / vehicle plus $8B support</x:v>
      </x:c>
      <x:c r="F9" s="85" t="n">
        <x:f>C9*D9+8</x:f>
        <x:v>38.599999999999994</x:v>
      </x:c>
      <x:c r="G9" s="36" t="str">
        <x:v>instrumented and destructively tested articles</x:v>
      </x:c>
      <x:c r="H9" s="27"/>
      <x:c r="I9" s="34" t="str">
        <x:v>Energy-citadel lineages</x:v>
      </x:c>
      <x:c r="J9" s="34" t="n">
        <x:v>4</x:v>
      </x:c>
      <x:c r="K9" s="34" t="str">
        <x:v>lineages</x:v>
      </x:c>
      <x:c r="L9" s="34" t="n">
        <x:v>3</x:v>
      </x:c>
      <x:c r="M9" s="34" t="n">
        <x:v>1</x:v>
      </x:c>
      <x:c r="N9" s="36" t="str">
        <x:v>OPEN</x:v>
      </x:c>
    </x:row>
    <x:row r="10">
      <x:c r="B10" s="34" t="str">
        <x:v>Reserve vehicles</x:v>
      </x:c>
      <x:c r="C10" s="34" t="n">
        <x:v>35</x:v>
      </x:c>
      <x:c r="D10" s="34" t="n">
        <x:v>2.55</x:v>
      </x:c>
      <x:c r="E10" s="34" t="str">
        <x:v>$B / vehicle</x:v>
      </x:c>
      <x:c r="F10" s="85" t="n">
        <x:f>C10*D10</x:f>
        <x:v>89.25</x:v>
      </x:c>
      <x:c r="G10" s="36" t="str">
        <x:v>overhaul and attrition pool</x:v>
      </x:c>
      <x:c r="H10" s="27"/>
      <x:c r="I10" s="34" t="str">
        <x:v>TAP pod lineages</x:v>
      </x:c>
      <x:c r="J10" s="34" t="n">
        <x:v>3</x:v>
      </x:c>
      <x:c r="K10" s="34" t="str">
        <x:v>lineages</x:v>
      </x:c>
      <x:c r="L10" s="34" t="n">
        <x:v>3</x:v>
      </x:c>
      <x:c r="M10" s="34" t="n">
        <x:v>0</x:v>
      </x:c>
      <x:c r="N10" s="36" t="str">
        <x:v>OPEN</x:v>
      </x:c>
    </x:row>
    <x:row r="11">
      <x:c r="B11" s="34" t="str">
        <x:v>Architecture R&amp;D</x:v>
      </x:c>
      <x:c r="C11" s="34" t="n">
        <x:v>1</x:v>
      </x:c>
      <x:c r="D11" s="34" t="n">
        <x:v>330</x:v>
      </x:c>
      <x:c r="E11" s="34" t="str">
        <x:v>$B</x:v>
      </x:c>
      <x:c r="F11" s="85" t="n">
        <x:f>C11*D11</x:f>
        <x:v>330</x:v>
      </x:c>
      <x:c r="G11" s="36" t="str">
        <x:v>cellular energy, bridge, structure and safety</x:v>
      </x:c>
      <x:c r="H11" s="27"/>
      <x:c r="I11" s="34" t="str">
        <x:v>Bridge lineages</x:v>
      </x:c>
      <x:c r="J11" s="34" t="n">
        <x:v>3</x:v>
      </x:c>
      <x:c r="K11" s="34" t="str">
        <x:v>lineages</x:v>
      </x:c>
      <x:c r="L11" s="34" t="n">
        <x:v>2</x:v>
      </x:c>
      <x:c r="M11" s="34" t="n">
        <x:v>1</x:v>
      </x:c>
      <x:c r="N11" s="36" t="str">
        <x:v>OPEN</x:v>
      </x:c>
    </x:row>
    <x:row r="12">
      <x:c r="B12" s="34" t="str">
        <x:v>Production tooling</x:v>
      </x:c>
      <x:c r="C12" s="34" t="n">
        <x:v>1</x:v>
      </x:c>
      <x:c r="D12" s="34" t="n">
        <x:v>178</x:v>
      </x:c>
      <x:c r="E12" s="34" t="str">
        <x:v>$B</x:v>
      </x:c>
      <x:c r="F12" s="85" t="n">
        <x:f>C12*D12</x:f>
        <x:v>178</x:v>
      </x:c>
      <x:c r="G12" s="36" t="str">
        <x:v>five integration lines and plural subsystem lines</x:v>
      </x:c>
      <x:c r="H12" s="27"/>
      <x:c r="I12" s="34" t="str">
        <x:v>Compound ranges</x:v>
      </x:c>
      <x:c r="J12" s="34" t="n">
        <x:v>7</x:v>
      </x:c>
      <x:c r="K12" s="34" t="str">
        <x:v>ranges</x:v>
      </x:c>
      <x:c r="L12" s="34" t="n">
        <x:v>6</x:v>
      </x:c>
      <x:c r="M12" s="34" t="n">
        <x:v>1</x:v>
      </x:c>
      <x:c r="N12" s="36" t="str">
        <x:v>OPEN</x:v>
      </x:c>
    </x:row>
    <x:row r="13">
      <x:c r="B13" s="34" t="str">
        <x:v>Base capital expansion</x:v>
      </x:c>
      <x:c r="C13" s="34" t="n">
        <x:v>43</x:v>
      </x:c>
      <x:c r="D13" s="34" t="n">
        <x:v>0.48</x:v>
      </x:c>
      <x:c r="E13" s="34" t="str">
        <x:v>$B / ready package</x:v>
      </x:c>
      <x:c r="F13" s="85" t="n">
        <x:f>C13*D13</x:f>
        <x:v>20.64</x:v>
      </x:c>
      <x:c r="G13" s="36" t="str">
        <x:v>heavy bridge, fire and module-removal facilities</x:v>
      </x:c>
      <x:c r="H13" s="27"/>
      <x:c r="I13" s="34" t="str">
        <x:v>Peak operational production</x:v>
      </x:c>
      <x:c r="J13" s="34" t="n">
        <x:v>15</x:v>
      </x:c>
      <x:c r="K13" s="34" t="str">
        <x:v>vehicles/year</x:v>
      </x:c>
      <x:c r="L13" s="34" t="n">
        <x:v>16</x:v>
      </x:c>
      <x:c r="M13" s="34" t="n">
        <x:v>-1</x:v>
      </x:c>
      <x:c r="N13" s="36" t="str">
        <x:v>OPEN</x:v>
      </x:c>
    </x:row>
    <x:row r="14">
      <x:c r="B14" s="34" t="str">
        <x:v>Base operating expansion</x:v>
      </x:c>
      <x:c r="C14" s="34" t="n">
        <x:v>43</x:v>
      </x:c>
      <x:c r="D14" s="34" t="n">
        <x:v>0.032</x:v>
      </x:c>
      <x:c r="E14" s="34" t="str">
        <x:v>$B / package-year</x:v>
      </x:c>
      <x:c r="F14" s="85" t="n">
        <x:f>C14*D14*Assumptions!C101</x:f>
        <x:v>21.75456</x:v>
      </x:c>
      <x:c r="G14" s="36" t="str">
        <x:v>times 15.81 ramp-weighted years</x:v>
      </x:c>
      <x:c r="H14" s="27"/>
      <x:c r="I14" s="40" t="str">
        <x:v>Wider industrial ecosystem</x:v>
      </x:c>
      <x:c r="J14" s="40" t="n">
        <x:v>118000</x:v>
      </x:c>
      <x:c r="K14" s="40" t="str">
        <x:v>workers</x:v>
      </x:c>
      <x:c r="L14" s="40" t="n">
        <x:v>95000</x:v>
      </x:c>
      <x:c r="M14" s="40" t="n">
        <x:v>23000</x:v>
      </x:c>
      <x:c r="N14" s="42" t="str">
        <x:v>OPEN</x:v>
      </x:c>
    </x:row>
    <x:row r="15">
      <x:c r="B15" s="34" t="str">
        <x:v>Full-scale proving</x:v>
      </x:c>
      <x:c r="C15" s="34" t="n">
        <x:v>1</x:v>
      </x:c>
      <x:c r="D15" s="34" t="n">
        <x:v>155</x:v>
      </x:c>
      <x:c r="E15" s="34" t="str">
        <x:v>$B</x:v>
      </x:c>
      <x:c r="F15" s="85" t="n">
        <x:f>C15*D15</x:f>
        <x:v>155</x:v>
      </x:c>
      <x:c r="G15" s="36" t="str">
        <x:v>vehicle fire, route, bridge and complete missions</x:v>
      </x:c>
      <x:c r="H15" s="27"/>
      <x:c r="I15" s="27"/>
      <x:c r="J15" s="27"/>
      <x:c r="K15" s="27"/>
      <x:c r="L15" s="27"/>
      <x:c r="M15" s="27"/>
      <x:c r="N15" s="27"/>
    </x:row>
    <x:row r="16">
      <x:c r="B16" s="34" t="str">
        <x:v>Certification and training</x:v>
      </x:c>
      <x:c r="C16" s="34" t="n">
        <x:v>1</x:v>
      </x:c>
      <x:c r="D16" s="34" t="n">
        <x:v>78</x:v>
      </x:c>
      <x:c r="E16" s="34" t="str">
        <x:v>$B</x:v>
      </x:c>
      <x:c r="F16" s="85" t="n">
        <x:f>C16*D16</x:f>
        <x:v>78</x:v>
      </x:c>
      <x:c r="G16" s="36" t="str">
        <x:v>new technical authorities and schools</x:v>
      </x:c>
      <x:c r="H16" s="27"/>
      <x:c r="I16" s="27"/>
      <x:c r="J16" s="27"/>
      <x:c r="K16" s="27"/>
      <x:c r="L16" s="27"/>
      <x:c r="M16" s="27"/>
      <x:c r="N16" s="27"/>
    </x:row>
    <x:row r="17">
      <x:c r="B17" s="40" t="str">
        <x:v>SAT-170R P4 architecture program</x:v>
      </x:c>
      <x:c r="C17" s="40"/>
      <x:c r="D17" s="40"/>
      <x:c r="E17" s="40"/>
      <x:c r="F17" s="100" t="n">
        <x:f>SUM(F8:F16)</x:f>
        <x:v>1582.0445600000003</x:v>
      </x:c>
      <x:c r="G17" s="42"/>
      <x:c r="H17" s="27"/>
      <x:c r="I17" s="27"/>
      <x:c r="J17" s="27"/>
      <x:c r="K17" s="27"/>
      <x:c r="L17" s="27"/>
      <x:c r="M17" s="27"/>
      <x:c r="N17" s="27"/>
    </x:row>
    <x:row r="18"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</x:row>
    <x:row r="19"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</x:row>
    <x:row r="20">
      <x:c r="B20" s="80" t="str">
        <x:v>DCP-2 and national reconciliation</x:v>
      </x:c>
      <x:c r="C20" s="81" t="str">
        <x:v>DCP-2 and national reconciliation</x:v>
      </x:c>
      <x:c r="D20" s="81" t="str">
        <x:v>DCP-2 and national reconciliation</x:v>
      </x:c>
      <x:c r="E20" s="81" t="str">
        <x:v>DCP-2 and national reconciliation</x:v>
      </x:c>
      <x:c r="F20" s="81" t="str">
        <x:v>DCP-2 and national reconciliation</x:v>
      </x:c>
      <x:c r="G20" s="81" t="str">
        <x:v>DCP-2 and national reconciliation</x:v>
      </x:c>
      <x:c r="H20" s="81" t="str">
        <x:v>DCP-2 and national reconciliation</x:v>
      </x:c>
      <x:c r="I20" s="81" t="str">
        <x:v>DCP-2 and national reconciliation</x:v>
      </x:c>
      <x:c r="J20" s="81" t="str">
        <x:v>DCP-2 and national reconciliation</x:v>
      </x:c>
      <x:c r="K20" s="81" t="str">
        <x:v>DCP-2 and national reconciliation</x:v>
      </x:c>
      <x:c r="L20" s="81" t="str">
        <x:v>DCP-2 and national reconciliation</x:v>
      </x:c>
      <x:c r="M20" s="81" t="str">
        <x:v>DCP-2 and national reconciliation</x:v>
      </x:c>
      <x:c r="N20" s="82" t="str">
        <x:v>DCP-2 and national reconciliation</x:v>
      </x:c>
    </x:row>
    <x:row r="21">
      <x:c r="B21" s="32" t="str">
        <x:v>Boundary</x:v>
      </x:c>
      <x:c r="C21" s="33" t="str">
        <x:v>Pass 86 $B</x:v>
      </x:c>
      <x:c r="D21" s="33" t="str">
        <x:v>Pass 85 $B</x:v>
      </x:c>
      <x:c r="E21" s="33" t="str">
        <x:v>Change $B</x:v>
      </x:c>
      <x:c r="F21" s="33" t="str">
        <x:v>Status</x:v>
      </x:c>
      <x:c r="G21" s="27"/>
      <x:c r="H21" s="27"/>
      <x:c r="I21" s="27"/>
      <x:c r="J21" s="27"/>
      <x:c r="K21" s="27"/>
      <x:c r="L21" s="27"/>
      <x:c r="M21" s="27"/>
      <x:c r="N21" s="27"/>
    </x:row>
    <x:row r="22">
      <x:c r="B22" s="34" t="str">
        <x:v>Non-SAT DCP-2 remainder</x:v>
      </x:c>
      <x:c r="C22" s="85" t="n">
        <x:f>Assumptions!C107</x:f>
        <x:v>1226.98385</x:v>
      </x:c>
      <x:c r="D22" s="85" t="n">
        <x:v>1226.98385</x:v>
      </x:c>
      <x:c r="E22" s="85" t="n">
        <x:f>C22-D22</x:f>
        <x:v>0</x:v>
      </x:c>
      <x:c r="F22" s="36" t="str">
        <x:v>RECONCILED</x:v>
      </x:c>
      <x:c r="G22" s="27"/>
      <x:c r="H22" s="27"/>
      <x:c r="I22" s="27"/>
      <x:c r="J22" s="27"/>
      <x:c r="K22" s="27"/>
      <x:c r="L22" s="27"/>
      <x:c r="M22" s="27"/>
      <x:c r="N22" s="27"/>
    </x:row>
    <x:row r="23">
      <x:c r="B23" s="34" t="str">
        <x:v>SAT-170R P4 architecture</x:v>
      </x:c>
      <x:c r="C23" s="85" t="n">
        <x:f>F17</x:f>
        <x:v>1582.0445600000003</x:v>
      </x:c>
      <x:c r="D23" s="85" t="n">
        <x:v>1338.74524</x:v>
      </x:c>
      <x:c r="E23" s="85" t="n">
        <x:f>C23-D23</x:f>
        <x:v>243.2993200000003</x:v>
      </x:c>
      <x:c r="F23" s="36" t="str">
        <x:v>RECONCILED</x:v>
      </x:c>
      <x:c r="G23" s="27"/>
      <x:c r="H23" s="27"/>
      <x:c r="I23" s="27"/>
      <x:c r="J23" s="27"/>
      <x:c r="K23" s="27"/>
      <x:c r="L23" s="27"/>
      <x:c r="M23" s="27"/>
      <x:c r="N23" s="27"/>
    </x:row>
    <x:row r="24">
      <x:c r="B24" s="34" t="str">
        <x:v>Federated receiver increment</x:v>
      </x:c>
      <x:c r="C24" s="85" t="n">
        <x:f>Assumptions!C108</x:f>
        <x:v>170.78694</x:v>
      </x:c>
      <x:c r="D24" s="85" t="n">
        <x:v>170.78694</x:v>
      </x:c>
      <x:c r="E24" s="85" t="n">
        <x:f>C24-D24</x:f>
        <x:v>0</x:v>
      </x:c>
      <x:c r="F24" s="36" t="str">
        <x:v>RECONCILED</x:v>
      </x:c>
      <x:c r="G24" s="27"/>
      <x:c r="H24" s="27"/>
      <x:c r="I24" s="27"/>
      <x:c r="J24" s="27"/>
      <x:c r="K24" s="27"/>
      <x:c r="L24" s="27"/>
      <x:c r="M24" s="27"/>
      <x:c r="N24" s="27"/>
    </x:row>
    <x:row r="25">
      <x:c r="B25" s="34" t="str">
        <x:v>Revised DCP-2</x:v>
      </x:c>
      <x:c r="C25" s="85" t="n">
        <x:f>SUM(C22:C24)</x:f>
        <x:v>2979.8153500000003</x:v>
      </x:c>
      <x:c r="D25" s="85" t="n">
        <x:v>2736.51603</x:v>
      </x:c>
      <x:c r="E25" s="85" t="n">
        <x:f>C25-D25</x:f>
        <x:v>243.29932000000053</x:v>
      </x:c>
      <x:c r="F25" s="36" t="str">
        <x:v>RECONCILED</x:v>
      </x:c>
      <x:c r="G25" s="27"/>
      <x:c r="H25" s="27"/>
      <x:c r="I25" s="27"/>
      <x:c r="J25" s="27"/>
      <x:c r="K25" s="27"/>
      <x:c r="L25" s="27"/>
      <x:c r="M25" s="27"/>
      <x:c r="N25" s="27"/>
    </x:row>
    <x:row r="26">
      <x:c r="B26" s="34" t="str">
        <x:v>Dynamic one-region base</x:v>
      </x:c>
      <x:c r="C26" s="85" t="n">
        <x:f>Assumptions!C109</x:f>
        <x:v>7383.14155</x:v>
      </x:c>
      <x:c r="D26" s="85" t="n">
        <x:v>7383.14155</x:v>
      </x:c>
      <x:c r="E26" s="85" t="n">
        <x:f>C26-D26</x:f>
        <x:v>0</x:v>
      </x:c>
      <x:c r="F26" s="36" t="str">
        <x:v>RECONCILED</x:v>
      </x:c>
      <x:c r="G26" s="27"/>
      <x:c r="H26" s="27"/>
      <x:c r="I26" s="27"/>
      <x:c r="J26" s="27"/>
      <x:c r="K26" s="27"/>
      <x:c r="L26" s="27"/>
      <x:c r="M26" s="27"/>
      <x:c r="N26" s="27"/>
    </x:row>
    <x:row r="27">
      <x:c r="B27" s="40" t="str">
        <x:v>Revised national boundary</x:v>
      </x:c>
      <x:c r="C27" s="100" t="n">
        <x:f>SUM(C25:C26)</x:f>
        <x:v>10362.956900000001</x:v>
      </x:c>
      <x:c r="D27" s="100" t="n">
        <x:v>10119.65758</x:v>
      </x:c>
      <x:c r="E27" s="100" t="n">
        <x:f>C27-D27</x:f>
        <x:v>243.2993200000019</x:v>
      </x:c>
      <x:c r="F27" s="42" t="str">
        <x:v>RECONCILED</x:v>
      </x:c>
      <x:c r="G27" s="27"/>
      <x:c r="H27" s="27"/>
      <x:c r="I27" s="27"/>
      <x:c r="J27" s="27"/>
      <x:c r="K27" s="27"/>
      <x:c r="L27" s="27"/>
      <x:c r="M27" s="27"/>
      <x:c r="N27" s="27"/>
    </x:row>
    <x:row r="28"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</x:row>
    <x:row r="29"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</x:row>
    <x:row r="30">
      <x:c r="B30" s="80" t="str">
        <x:v>22-to-30-group concurrency sensitivity</x:v>
      </x:c>
      <x:c r="C30" s="81" t="str">
        <x:v>22-to-30-group concurrency sensitivity</x:v>
      </x:c>
      <x:c r="D30" s="81" t="str">
        <x:v>22-to-30-group concurrency sensitivity</x:v>
      </x:c>
      <x:c r="E30" s="81" t="str">
        <x:v>22-to-30-group concurrency sensitivity</x:v>
      </x:c>
      <x:c r="F30" s="81" t="str">
        <x:v>22-to-30-group concurrency sensitivity</x:v>
      </x:c>
      <x:c r="G30" s="81" t="str">
        <x:v>22-to-30-group concurrency sensitivity</x:v>
      </x:c>
      <x:c r="H30" s="81" t="str">
        <x:v>22-to-30-group concurrency sensitivity</x:v>
      </x:c>
      <x:c r="I30" s="81" t="str">
        <x:v>22-to-30-group concurrency sensitivity</x:v>
      </x:c>
      <x:c r="J30" s="81" t="str">
        <x:v>22-to-30-group concurrency sensitivity</x:v>
      </x:c>
      <x:c r="K30" s="81" t="str">
        <x:v>22-to-30-group concurrency sensitivity</x:v>
      </x:c>
      <x:c r="L30" s="81" t="str">
        <x:v>22-to-30-group concurrency sensitivity</x:v>
      </x:c>
      <x:c r="M30" s="81" t="str">
        <x:v>22-to-30-group concurrency sensitivity</x:v>
      </x:c>
      <x:c r="N30" s="82" t="str">
        <x:v>22-to-30-group concurrency sensitivity</x:v>
      </x:c>
    </x:row>
    <x:row r="31">
      <x:c r="B31" s="32" t="str">
        <x:v>Groups</x:v>
      </x:c>
      <x:c r="C31" s="33" t="str">
        <x:v>Ready sets</x:v>
      </x:c>
      <x:c r="D31" s="33" t="str">
        <x:v>Operational</x:v>
      </x:c>
      <x:c r="E31" s="33" t="str">
        <x:v>Reserve</x:v>
      </x:c>
      <x:c r="F31" s="33" t="str">
        <x:v>Test</x:v>
      </x:c>
      <x:c r="G31" s="33" t="str">
        <x:v>Total vehicles</x:v>
      </x:c>
      <x:c r="H31" s="33" t="str">
        <x:v>SAT program $B</x:v>
      </x:c>
      <x:c r="I31" s="33" t="str">
        <x:v>Receiver increment $B</x:v>
      </x:c>
      <x:c r="J31" s="33" t="str">
        <x:v>Non-SAT DCP-2 $B</x:v>
      </x:c>
      <x:c r="K31" s="33" t="str">
        <x:v>DCP-2 $B</x:v>
      </x:c>
      <x:c r="L31" s="33" t="str">
        <x:v>Dynamic base $B</x:v>
      </x:c>
      <x:c r="M31" s="33" t="str">
        <x:v>National $B</x:v>
      </x:c>
      <x:c r="N31" s="33" t="str">
        <x:v>Gap vs baseline articles</x:v>
      </x:c>
    </x:row>
    <x:row r="32">
      <x:c r="B32" s="34" t="n">
        <x:v>22</x:v>
      </x:c>
      <x:c r="C32" s="34" t="n">
        <x:v>43</x:v>
      </x:c>
      <x:c r="D32" s="34" t="n">
        <x:v>172</x:v>
      </x:c>
      <x:c r="E32" s="34" t="n">
        <x:v>35</x:v>
      </x:c>
      <x:c r="F32" s="34" t="n">
        <x:v>12</x:v>
      </x:c>
      <x:c r="G32" s="34" t="n">
        <x:v>219</x:v>
      </x:c>
      <x:c r="H32" s="85" t="n">
        <x:f>15.6*C32+(2.55*F32+8)+2.55*E32+330+178+0.48*C32+0.032*Assumptions!C101*C32+155+78</x:f>
        <x:v>1582.0445600000003</x:v>
      </x:c>
      <x:c r="I32" s="85" t="n">
        <x:v>170.78694</x:v>
      </x:c>
      <x:c r="J32" s="85" t="n">
        <x:v>1226.98385</x:v>
      </x:c>
      <x:c r="K32" s="85" t="n">
        <x:f>SUM(H32:J32)</x:f>
        <x:v>2979.8153500000003</x:v>
      </x:c>
      <x:c r="L32" s="85" t="n">
        <x:v>7383.14155</x:v>
      </x:c>
      <x:c r="M32" s="85" t="n">
        <x:f>K32+L32</x:f>
        <x:v>10362.956900000001</x:v>
      </x:c>
      <x:c r="N32" s="36" t="n">
        <x:f>G32-219</x:f>
        <x:v>0</x:v>
      </x:c>
    </x:row>
    <x:row r="33">
      <x:c r="B33" s="40" t="n">
        <x:v>30</x:v>
      </x:c>
      <x:c r="C33" s="40" t="n">
        <x:v>59</x:v>
      </x:c>
      <x:c r="D33" s="40" t="n">
        <x:v>236</x:v>
      </x:c>
      <x:c r="E33" s="40" t="n">
        <x:v>48</x:v>
      </x:c>
      <x:c r="F33" s="40" t="n">
        <x:v>12</x:v>
      </x:c>
      <x:c r="G33" s="40" t="n">
        <x:v>296</x:v>
      </x:c>
      <x:c r="H33" s="100" t="n">
        <x:f>15.6*C33+(2.55*F33+8)+2.55*E33+330+178+0.48*C33+0.032*Assumptions!C101*C33+155+78</x:f>
        <x:v>1880.56928</x:v>
      </x:c>
      <x:c r="I33" s="100" t="n">
        <x:v>188.94022</x:v>
      </x:c>
      <x:c r="J33" s="100" t="n">
        <x:v>1342.09825</x:v>
      </x:c>
      <x:c r="K33" s="100" t="n">
        <x:f>SUM(H33:J33)</x:f>
        <x:v>3411.60775</x:v>
      </x:c>
      <x:c r="L33" s="100" t="n">
        <x:v>7700.69675</x:v>
      </x:c>
      <x:c r="M33" s="100" t="n">
        <x:f>K33+L33</x:f>
        <x:v>11112.3045</x:v>
      </x:c>
      <x:c r="N33" s="42" t="n">
        <x:f>G33-219</x:f>
        <x:v>77</x:v>
      </x:c>
    </x:row>
    <x:row r="34"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  <x:row r="37"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</x:row>
    <x:row r="38"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</x:row>
    <x:row r="39"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</x:row>
    <x:row r="40"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</x:row>
    <x:row r="41"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</x:row>
    <x:row r="42"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</x:row>
    <x:row r="43"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</x:row>
    <x:row r="44"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</x:row>
    <x:row r="45"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</x:row>
    <x:row r="46"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</x:row>
    <x:row r="47"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</x:row>
    <x:row r="48"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</x:row>
  </x:sheetData>
  <x:mergeCells>
    <x:mergeCell ref="B6:G6"/>
    <x:mergeCell ref="I6:N6"/>
    <x:mergeCell ref="B20:N20"/>
    <x:mergeCell ref="B30:N3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0" hidden="0" customWidth="1"/>
    <x:col min="3" max="3" width="14" hidden="0" customWidth="1"/>
    <x:col min="4" max="4" width="35" hidden="0" customWidth="1"/>
    <x:col min="5" max="5" width="17" hidden="0" customWidth="1"/>
    <x:col min="6" max="6" width="31" hidden="0" customWidth="1"/>
    <x:col min="7" max="7" width="31" hidden="0" customWidth="1"/>
    <x:col min="8" max="8" width="34" hidden="0" customWidth="1"/>
    <x:col min="9" max="9" width="31" hidden="0" customWidth="1"/>
    <x:col min="10" max="10" width="14" hidden="0" customWidth="1"/>
  </x:cols>
  <x:sheetData>
    <x:row r="2">
      <x:c r="B2" s="86" t="str">
        <x:v>$530B SAT-170R technology and proving campaign</x:v>
      </x:c>
      <x:c r="C2" s="27"/>
      <x:c r="D2" s="27"/>
      <x:c r="E2" s="27"/>
      <x:c r="F2" s="27"/>
      <x:c r="G2" s="27"/>
      <x:c r="H2" s="27"/>
      <x:c r="I2" s="27"/>
      <x:c r="J2" s="27"/>
    </x:row>
    <x:row r="3">
      <x:c r="B3" s="87" t="str">
        <x:v>Novel capabilities receive rival programs, full-scale articles and explicit failure transitions</x:v>
      </x:c>
      <x:c r="C3" s="78"/>
      <x:c r="D3" s="78"/>
      <x:c r="E3" s="78"/>
      <x:c r="F3" s="78"/>
      <x:c r="G3" s="78"/>
      <x:c r="H3" s="78"/>
      <x:c r="I3" s="78"/>
      <x:c r="J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</x:row>
    <x:row r="6">
      <x:c r="B6" s="32" t="str">
        <x:v>Campaign</x:v>
      </x:c>
      <x:c r="C6" s="33" t="str">
        <x:v>$B</x:v>
      </x:c>
      <x:c r="D6" s="33" t="str">
        <x:v>Coefficient or boundary</x:v>
      </x:c>
      <x:c r="E6" s="33" t="str">
        <x:v>Rival lineages</x:v>
      </x:c>
      <x:c r="F6" s="33" t="str">
        <x:v>Representative object</x:v>
      </x:c>
      <x:c r="G6" s="33" t="str">
        <x:v>Destructive challenge</x:v>
      </x:c>
      <x:c r="H6" s="33" t="str">
        <x:v>Transition rule</x:v>
      </x:c>
      <x:c r="I6" s="33" t="str">
        <x:v>Owner</x:v>
      </x:c>
      <x:c r="J6" s="33" t="str">
        <x:v>State</x:v>
      </x:c>
    </x:row>
    <x:row r="7">
      <x:c r="B7" s="34" t="str">
        <x:v>Cellular energy-citadel architecture</x:v>
      </x:c>
      <x:c r="C7" s="101" t="n">
        <x:v>50</x:v>
      </x:c>
      <x:c r="D7" s="34" t="str">
        <x:v>four isolated zones</x:v>
      </x:c>
      <x:c r="E7" s="34" t="n">
        <x:v>4</x:v>
      </x:c>
      <x:c r="F7" s="34" t="str">
        <x:v>complete fore and aft citadels</x:v>
      </x:c>
      <x:c r="G7" s="34" t="str">
        <x:v>impact, puncture and cross-zone fire</x:v>
      </x:c>
      <x:c r="H7" s="34" t="str">
        <x:v>one event stops at one sector</x:v>
      </x:c>
      <x:c r="I7" s="34" t="str">
        <x:v>Energy Systems Directorate</x:v>
      </x:c>
      <x:c r="J7" s="36" t="str">
        <x:v>OPEN</x:v>
      </x:c>
    </x:row>
    <x:row r="8">
      <x:c r="B8" s="34" t="str">
        <x:v>High-temperature generator core</x:v>
      </x:c>
      <x:c r="C8" s="101" t="n">
        <x:v>38</x:v>
      </x:c>
      <x:c r="D8" s="34" t="str">
        <x:v>5.04 MWh/t usable</x:v>
      </x:c>
      <x:c r="E8" s="34" t="n">
        <x:v>3</x:v>
      </x:c>
      <x:c r="F8" s="34" t="str">
        <x:v>9 MW generator module</x:v>
      </x:c>
      <x:c r="G8" s="34" t="str">
        <x:v>hot, wet, dusty and partial-load duty</x:v>
      </x:c>
      <x:c r="H8" s="34" t="str">
        <x:v>mass and efficiency close together</x:v>
      </x:c>
      <x:c r="I8" s="34" t="str">
        <x:v>Energy Systems Directorate</x:v>
      </x:c>
      <x:c r="J8" s="36" t="str">
        <x:v>OPEN</x:v>
      </x:c>
    </x:row>
    <x:row r="9">
      <x:c r="B9" s="34" t="str">
        <x:v>Fuel containment and fire control</x:v>
      </x:c>
      <x:c r="C9" s="101" t="n">
        <x:v>36</x:v>
      </x:c>
      <x:c r="D9" s="34" t="str">
        <x:v>132 t fuel; no common sump</x:v>
      </x:c>
      <x:c r="E9" s="34" t="n">
        <x:v>3</x:v>
      </x:c>
      <x:c r="F9" s="34" t="str">
        <x:v>tank and barrier cell</x:v>
      </x:c>
      <x:c r="G9" s="34" t="str">
        <x:v>rollover, pool fire and fragment</x:v>
      </x:c>
      <x:c r="H9" s="34" t="str">
        <x:v>no crew or payload propagation</x:v>
      </x:c>
      <x:c r="I9" s="34" t="str">
        <x:v>Independent Safety Authority</x:v>
      </x:c>
      <x:c r="J9" s="36" t="str">
        <x:v>OPEN</x:v>
      </x:c>
    </x:row>
    <x:row r="10">
      <x:c r="B10" s="34" t="str">
        <x:v>No-host-water heat rejection</x:v>
      </x:c>
      <x:c r="C10" s="101" t="n">
        <x:v>34</x:v>
      </x:c>
      <x:c r="D10" s="34" t="str">
        <x:v>route and 36 MW stationary duty</x:v>
      </x:c>
      <x:c r="E10" s="34" t="n">
        <x:v>3</x:v>
      </x:c>
      <x:c r="F10" s="34" t="str">
        <x:v>fixed and deployable cooler system</x:v>
      </x:c>
      <x:c r="G10" s="34" t="str">
        <x:v>smoke, fouling and high wet bulb</x:v>
      </x:c>
      <x:c r="H10" s="34" t="str">
        <x:v>thermal margin remains positive</x:v>
      </x:c>
      <x:c r="I10" s="34" t="str">
        <x:v>Thermal Systems Laboratory</x:v>
      </x:c>
      <x:c r="J10" s="36" t="str">
        <x:v>OPEN</x:v>
      </x:c>
    </x:row>
    <x:row r="11">
      <x:c r="B11" s="34" t="str">
        <x:v>Fault-contained power electronics</x:v>
      </x:c>
      <x:c r="C11" s="101" t="n">
        <x:v>24</x:v>
      </x:c>
      <x:c r="D11" s="34" t="str">
        <x:v>27 MW after one sector loss</x:v>
      </x:c>
      <x:c r="E11" s="34" t="n">
        <x:v>3</x:v>
      </x:c>
      <x:c r="F11" s="34" t="str">
        <x:v>four-bus drive network</x:v>
      </x:c>
      <x:c r="G11" s="34" t="str">
        <x:v>arc, coolant and corrupt control</x:v>
      </x:c>
      <x:c r="H11" s="34" t="str">
        <x:v>fault remains inside one lane</x:v>
      </x:c>
      <x:c r="I11" s="34" t="str">
        <x:v>Power Conversion Laboratory</x:v>
      </x:c>
      <x:c r="J11" s="36" t="str">
        <x:v>OPEN</x:v>
      </x:c>
    </x:row>
    <x:row r="12">
      <x:c r="B12" s="34" t="str">
        <x:v>TAP-285 adaptive contact</x:v>
      </x:c>
      <x:c r="C12" s="101" t="n">
        <x:v>50</x:v>
      </x:c>
      <x:c r="D12" s="34" t="str">
        <x:v>285 m2; 85 t per pod</x:v>
      </x:c>
      <x:c r="E12" s="34" t="n">
        <x:v>3</x:v>
      </x:c>
      <x:c r="F12" s="34" t="str">
        <x:v>full-gross pod quarter</x:v>
      </x:c>
      <x:c r="G12" s="34" t="str">
        <x:v>mud, debris, pod loss and overload</x:v>
      </x:c>
      <x:c r="H12" s="34" t="str">
        <x:v>pressure and local reaction close</x:v>
      </x:c>
      <x:c r="I12" s="34" t="str">
        <x:v>Terrain Systems Directorate</x:v>
      </x:c>
      <x:c r="J12" s="36" t="str">
        <x:v>OPEN</x:v>
      </x:c>
    </x:row>
    <x:row r="13">
      <x:c r="B13" s="34" t="str">
        <x:v>Dynamic load and stability control</x:v>
      </x:c>
      <x:c r="C13" s="101" t="n">
        <x:v>25</x:v>
      </x:c>
      <x:c r="D13" s="34" t="str">
        <x:v>1.15 dynamics; 1.10 imbalance</x:v>
      </x:c>
      <x:c r="E13" s="34" t="n">
        <x:v>3</x:v>
      </x:c>
      <x:c r="F13" s="34" t="str">
        <x:v>twelve-pod hardware loop</x:v>
      </x:c>
      <x:c r="G13" s="34" t="str">
        <x:v>surface step and sensor corruption</x:v>
      </x:c>
      <x:c r="H13" s="34" t="str">
        <x:v>local loads remain below rating</x:v>
      </x:c>
      <x:c r="I13" s="34" t="str">
        <x:v>Control Assurance Office</x:v>
      </x:c>
      <x:c r="J13" s="36" t="str">
        <x:v>OPEN</x:v>
      </x:c>
    </x:row>
    <x:row r="14">
      <x:c r="B14" s="34" t="str">
        <x:v>Terrain physics and route sensing</x:v>
      </x:c>
      <x:c r="C14" s="101" t="n">
        <x:v>30</x:v>
      </x:c>
      <x:c r="D14" s="34" t="str">
        <x:v>bearing, shear, sinkage and rut</x:v>
      </x:c>
      <x:c r="E14" s="34" t="n">
        <x:v>3</x:v>
      </x:c>
      <x:c r="F14" s="34" t="str">
        <x:v>instrumented soil lanes</x:v>
      </x:c>
      <x:c r="G14" s="34" t="str">
        <x:v>heterogeneous surface and repeated pass</x:v>
      </x:c>
      <x:c r="H14" s="34" t="str">
        <x:v>measured worlds replace pressure proxy</x:v>
      </x:c>
      <x:c r="I14" s="34" t="str">
        <x:v>National Terrain Laboratory</x:v>
      </x:c>
      <x:c r="J14" s="36" t="str">
        <x:v>OPEN</x:v>
      </x:c>
    </x:row>
    <x:row r="15">
      <x:c r="B15" s="34" t="str">
        <x:v>Pod debris, seals and braking</x:v>
      </x:c>
      <x:c r="C15" s="101" t="n">
        <x:v>18</x:v>
      </x:c>
      <x:c r="D15" s="34" t="str">
        <x:v>18 km/h off road</x:v>
      </x:c>
      <x:c r="E15" s="34" t="n">
        <x:v>3</x:v>
      </x:c>
      <x:c r="F15" s="34" t="str">
        <x:v>complete pod cassette</x:v>
      </x:c>
      <x:c r="G15" s="34" t="str">
        <x:v>wire, ash, silt, ice and floodwater</x:v>
      </x:c>
      <x:c r="H15" s="34" t="str">
        <x:v>no mission-stop fouling</x:v>
      </x:c>
      <x:c r="I15" s="34" t="str">
        <x:v>Terrain Systems Directorate</x:v>
      </x:c>
      <x:c r="J15" s="36" t="str">
        <x:v>OPEN</x:v>
      </x:c>
    </x:row>
    <x:row r="16">
      <x:c r="B16" s="34" t="str">
        <x:v>Ultra-high-load modular bridge</x:v>
      </x:c>
      <x:c r="C16" s="101" t="n">
        <x:v>45</x:v>
      </x:c>
      <x:c r="D16" s="34" t="str">
        <x:v>25 m after one module loss</x:v>
      </x:c>
      <x:c r="E16" s="34" t="n">
        <x:v>3</x:v>
      </x:c>
      <x:c r="F16" s="34" t="str">
        <x:v>six-module paired-track bridge</x:v>
      </x:c>
      <x:c r="G16" s="34" t="str">
        <x:v>joint loss, bearing loss and overload</x:v>
      </x:c>
      <x:c r="H16" s="34" t="str">
        <x:v>20 m gap closes with margins</x:v>
      </x:c>
      <x:c r="I16" s="34" t="str">
        <x:v>Route Systems Directorate</x:v>
      </x:c>
      <x:c r="J16" s="36" t="str">
        <x:v>OPEN</x:v>
      </x:c>
    </x:row>
    <x:row r="17">
      <x:c r="B17" s="34" t="str">
        <x:v>Autonomous bridge and mat handling</x:v>
      </x:c>
      <x:c r="C17" s="101" t="n">
        <x:v>25</x:v>
      </x:c>
      <x:c r="D17" s="34" t="str">
        <x:v>1.75 h deployment</x:v>
      </x:c>
      <x:c r="E17" s="34" t="n">
        <x:v>3</x:v>
      </x:c>
      <x:c r="F17" s="34" t="str">
        <x:v>split-keel erector and robots</x:v>
      </x:c>
      <x:c r="G17" s="34" t="str">
        <x:v>one pod retracted and network denied</x:v>
      </x:c>
      <x:c r="H17" s="34" t="str">
        <x:v>crew-free structural placement</x:v>
      </x:c>
      <x:c r="I17" s="34" t="str">
        <x:v>Route Systems Directorate</x:v>
      </x:c>
      <x:c r="J17" s="36" t="str">
        <x:v>OPEN</x:v>
      </x:c>
    </x:row>
    <x:row r="18">
      <x:c r="B18" s="34" t="str">
        <x:v>Articulated spine and crash structure</x:v>
      </x:c>
      <x:c r="C18" s="101" t="n">
        <x:v>30</x:v>
      </x:c>
      <x:c r="D18" s="34" t="str">
        <x:v>four bodies; three joints</x:v>
      </x:c>
      <x:c r="E18" s="34" t="n">
        <x:v>3</x:v>
      </x:c>
      <x:c r="F18" s="34" t="str">
        <x:v>full vehicle structure</x:v>
      </x:c>
      <x:c r="G18" s="34" t="str">
        <x:v>locked joint, rollover and end impact</x:v>
      </x:c>
      <x:c r="H18" s="34" t="str">
        <x:v>payload and citadels remain bounded</x:v>
      </x:c>
      <x:c r="I18" s="34" t="str">
        <x:v>Heavy Structures Directorate</x:v>
      </x:c>
      <x:c r="J18" s="36" t="str">
        <x:v>OPEN</x:v>
      </x:c>
    </x:row>
    <x:row r="19">
      <x:c r="B19" s="34" t="str">
        <x:v>Bilateral payload access</x:v>
      </x:c>
      <x:c r="C19" s="101" t="n">
        <x:v>20</x:v>
      </x:c>
      <x:c r="D19" s="34" t="str">
        <x:v>eight dry cradles and two unload faces</x:v>
      </x:c>
      <x:c r="E19" s="34" t="n">
        <x:v>3</x:v>
      </x:c>
      <x:c r="F19" s="34" t="str">
        <x:v>two-body load deck</x:v>
      </x:c>
      <x:c r="G19" s="34" t="str">
        <x:v>one side blocked and restraint jam</x:v>
      </x:c>
      <x:c r="H19" s="34" t="str">
        <x:v>all positions remain accessible</x:v>
      </x:c>
      <x:c r="I19" s="34" t="str">
        <x:v>Payload Systems Directorate</x:v>
      </x:c>
      <x:c r="J19" s="36" t="str">
        <x:v>OPEN</x:v>
      </x:c>
    </x:row>
    <x:row r="20">
      <x:c r="B20" s="34" t="str">
        <x:v>Crew refuge, escape and remote operation</x:v>
      </x:c>
      <x:c r="C20" s="101" t="n">
        <x:v>16</x:v>
      </x:c>
      <x:c r="D20" s="34" t="str">
        <x:v>two refuges; four independent exits</x:v>
      </x:c>
      <x:c r="E20" s="34" t="n">
        <x:v>3</x:v>
      </x:c>
      <x:c r="F20" s="34" t="str">
        <x:v>occupied casualty article</x:v>
      </x:c>
      <x:c r="G20" s="34" t="str">
        <x:v>smoke, toxic products and one refuge loss</x:v>
      </x:c>
      <x:c r="H20" s="34" t="str">
        <x:v>surviving refuge controls safe state</x:v>
      </x:c>
      <x:c r="I20" s="34" t="str">
        <x:v>Civil Safety Authority</x:v>
      </x:c>
      <x:c r="J20" s="36" t="str">
        <x:v>OPEN</x:v>
      </x:c>
    </x:row>
    <x:row r="21">
      <x:c r="B21" s="34" t="str">
        <x:v>Field module removal and recovery</x:v>
      </x:c>
      <x:c r="C21" s="101" t="n">
        <x:v>18</x:v>
      </x:c>
      <x:c r="D21" s="34" t="str">
        <x:v>end-directed cassettes</x:v>
      </x:c>
      <x:c r="E21" s="34" t="n">
        <x:v>3</x:v>
      </x:c>
      <x:c r="F21" s="34" t="str">
        <x:v>disabled full-scale vehicle</x:v>
      </x:c>
      <x:c r="G21" s="34" t="str">
        <x:v>blocked end, failed lift and hot module</x:v>
      </x:c>
      <x:c r="H21" s="34" t="str">
        <x:v>replace without crossing payload</x:v>
      </x:c>
      <x:c r="I21" s="34" t="str">
        <x:v>Recovery Systems Directorate</x:v>
      </x:c>
      <x:c r="J21" s="36" t="str">
        <x:v>OPEN</x:v>
      </x:c>
    </x:row>
    <x:row r="22">
      <x:c r="B22" s="34" t="str">
        <x:v>Configuration and physics compiler</x:v>
      </x:c>
      <x:c r="C22" s="101" t="n">
        <x:v>16</x:v>
      </x:c>
      <x:c r="D22" s="34" t="str">
        <x:v>packet reactions and signed limits</x:v>
      </x:c>
      <x:c r="E22" s="34" t="n">
        <x:v>2</x:v>
      </x:c>
      <x:c r="F22" s="34" t="str">
        <x:v>offline vehicle release system</x:v>
      </x:c>
      <x:c r="G22" s="34" t="str">
        <x:v>sensor conflict, stale state and network denial</x:v>
      </x:c>
      <x:c r="H22" s="34" t="str">
        <x:v>unsafe release is refused locally</x:v>
      </x:c>
      <x:c r="I22" s="34" t="str">
        <x:v>Configuration Authority</x:v>
      </x:c>
      <x:c r="J22" s="36" t="str">
        <x:v>OPEN</x:v>
      </x:c>
    </x:row>
    <x:row r="23">
      <x:c r="B23" s="34" t="str">
        <x:v>Full-vehicle destructive proving</x:v>
      </x:c>
      <x:c r="C23" s="101" t="n">
        <x:v>35</x:v>
      </x:c>
      <x:c r="D23" s="34" t="str">
        <x:v>source through 166 h reset</x:v>
      </x:c>
      <x:c r="E23" s="34" t="n">
        <x:v>4</x:v>
      </x:c>
      <x:c r="F23" s="34" t="str">
        <x:v>four-vehicle terrain cell</x:v>
      </x:c>
      <x:c r="G23" s="34" t="str">
        <x:v>hidden coupled faults and repeated missions</x:v>
      </x:c>
      <x:c r="H23" s="34" t="str">
        <x:v>public effect and reset repeat</x:v>
      </x:c>
      <x:c r="I23" s="34" t="str">
        <x:v>Independent Test Authority</x:v>
      </x:c>
      <x:c r="J23" s="36" t="str">
        <x:v>OPEN</x:v>
      </x:c>
    </x:row>
    <x:row r="24">
      <x:c r="B24" s="34" t="str">
        <x:v>Independent alternate-energy rival</x:v>
      </x:c>
      <x:c r="C24" s="101" t="n">
        <x:v>20</x:v>
      </x:c>
      <x:c r="D24" s="34" t="str">
        <x:v>formation-distinct energy lineage</x:v>
      </x:c>
      <x:c r="E24" s="34" t="n">
        <x:v>3</x:v>
      </x:c>
      <x:c r="F24" s="34" t="str">
        <x:v>complete substitute sector</x:v>
      </x:c>
      <x:c r="G24" s="34" t="str">
        <x:v>fuel denial, volume and casualty</x:v>
      </x:c>
      <x:c r="H24" s="34" t="str">
        <x:v>reopen E2 only with whole-system gain</x:v>
      </x:c>
      <x:c r="I24" s="34" t="str">
        <x:v>Advanced Energy Office</x:v>
      </x:c>
      <x:c r="J24" s="36" t="str">
        <x:v>OPEN</x:v>
      </x:c>
    </x:row>
    <x:row r="25">
      <x:c r="B25" s="40" t="str">
        <x:v>Portfolio total</x:v>
      </x:c>
      <x:c r="C25" s="102" t="n">
        <x:f>SUM(C7:C24)</x:f>
        <x:v>530</x:v>
      </x:c>
      <x:c r="D25" s="40"/>
      <x:c r="E25" s="40"/>
      <x:c r="F25" s="40"/>
      <x:c r="G25" s="40"/>
      <x:c r="H25" s="40"/>
      <x:c r="I25" s="40"/>
      <x:c r="J25" s="42"/>
    </x:row>
    <x:row r="26">
      <x:c r="B26" s="27"/>
      <x:c r="C26" s="27"/>
      <x:c r="D26" s="27"/>
      <x:c r="E26" s="27"/>
      <x:c r="F26" s="27"/>
      <x:c r="G26" s="27"/>
      <x:c r="H26" s="27"/>
      <x:c r="I26" s="27"/>
      <x:c r="J26" s="27"/>
    </x:row>
    <x:row r="27">
      <x:c r="B27" s="27"/>
      <x:c r="C27" s="27"/>
      <x:c r="D27" s="27"/>
      <x:c r="E27" s="27"/>
      <x:c r="F27" s="27"/>
      <x:c r="G27" s="27"/>
      <x:c r="H27" s="27"/>
      <x:c r="I27" s="27"/>
      <x:c r="J27" s="27"/>
    </x:row>
    <x:row r="28">
      <x:c r="B28" s="80" t="str">
        <x:v>Accounting and innovation rule</x:v>
      </x:c>
      <x:c r="C28" s="81" t="str">
        <x:v>Accounting and innovation rule</x:v>
      </x:c>
      <x:c r="D28" s="81" t="str">
        <x:v>Accounting and innovation rule</x:v>
      </x:c>
      <x:c r="E28" s="81" t="str">
        <x:v>Accounting and innovation rule</x:v>
      </x:c>
      <x:c r="F28" s="81" t="str">
        <x:v>Accounting and innovation rule</x:v>
      </x:c>
      <x:c r="G28" s="81" t="str">
        <x:v>Accounting and innovation rule</x:v>
      </x:c>
      <x:c r="H28" s="81" t="str">
        <x:v>Accounting and innovation rule</x:v>
      </x:c>
      <x:c r="I28" s="81" t="str">
        <x:v>Accounting and innovation rule</x:v>
      </x:c>
      <x:c r="J28" s="82" t="str">
        <x:v>Accounting and innovation rule</x:v>
      </x:c>
    </x:row>
    <x:row r="29">
      <x:c r="B29" s="88" t="str">
        <x:v>Included, not additive</x:v>
      </x:c>
      <x:c r="C29" s="49" t="str">
        <x:v>The $530B portfolio is contained within SAT architecture R&amp;D, full-scale proving and the relevant receiver research accounts. It is not added to program cost.</x:v>
      </x:c>
      <x:c r="D29" s="49" t="str"/>
      <x:c r="E29" s="49" t="str"/>
      <x:c r="F29" s="49" t="str"/>
      <x:c r="G29" s="49" t="str"/>
      <x:c r="H29" s="49" t="str"/>
      <x:c r="I29" s="49" t="str"/>
      <x:c r="J29" s="49" t="str"/>
    </x:row>
    <x:row r="30">
      <x:c r="B30" s="89" t="str">
        <x:v>Rival lineages</x:v>
      </x:c>
      <x:c r="C30" s="34" t="str">
        <x:v>A selected behavior reference does not end competition. At least three physical implementations remain funded until representative evidence eliminates them.</x:v>
      </x:c>
      <x:c r="D30" s="34" t="str"/>
      <x:c r="E30" s="34" t="str"/>
      <x:c r="F30" s="34" t="str"/>
      <x:c r="G30" s="34" t="str"/>
      <x:c r="H30" s="34" t="str"/>
      <x:c r="I30" s="34" t="str"/>
      <x:c r="J30" s="34" t="str"/>
    </x:row>
    <x:row r="31">
      <x:c r="B31" s="89" t="str">
        <x:v>Architecture may move</x:v>
      </x:c>
      <x:c r="C31" s="34" t="str">
        <x:v>If the bridge, heat, fire or pod coefficients fail, payload allocation, vehicle length, route promise or number of carriers must be reopened.</x:v>
      </x:c>
      <x:c r="D31" s="34" t="str"/>
      <x:c r="E31" s="34" t="str"/>
      <x:c r="F31" s="34" t="str"/>
      <x:c r="G31" s="34" t="str"/>
      <x:c r="H31" s="34" t="str"/>
      <x:c r="I31" s="34" t="str"/>
      <x:c r="J31" s="34" t="str"/>
    </x:row>
    <x:row r="32">
      <x:c r="B32" s="90" t="str">
        <x:v>Industrial output</x:v>
      </x:c>
      <x:c r="C32" s="52" t="str">
        <x:v>The result is a new sector in energy citadels, extreme-load bridges, adaptive mobility, civil safety systems and offline configuration authority.</x:v>
      </x:c>
      <x:c r="D32" s="52" t="str"/>
      <x:c r="E32" s="52" t="str"/>
      <x:c r="F32" s="52" t="str"/>
      <x:c r="G32" s="52" t="str"/>
      <x:c r="H32" s="52" t="str"/>
      <x:c r="I32" s="52" t="str"/>
      <x:c r="J32" s="52" t="str"/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27"/>
    </x:row>
    <x:row r="34">
      <x:c r="B34" s="27"/>
      <x:c r="C34" s="27"/>
      <x:c r="D34" s="27"/>
      <x:c r="E34" s="27"/>
      <x:c r="F34" s="27"/>
      <x:c r="G34" s="27"/>
      <x:c r="H34" s="27"/>
      <x:c r="I34" s="27"/>
      <x:c r="J34" s="27"/>
    </x:row>
    <x:row r="35">
      <x:c r="B35" s="27"/>
      <x:c r="C35" s="27"/>
      <x:c r="D35" s="27"/>
      <x:c r="E35" s="27"/>
      <x:c r="F35" s="27"/>
      <x:c r="G35" s="27"/>
      <x:c r="H35" s="27"/>
      <x:c r="I35" s="27"/>
      <x:c r="J35" s="27"/>
    </x:row>
    <x:row r="36">
      <x:c r="B36" s="27"/>
      <x:c r="C36" s="27"/>
      <x:c r="D36" s="27"/>
      <x:c r="E36" s="27"/>
      <x:c r="F36" s="27"/>
      <x:c r="G36" s="27"/>
      <x:c r="H36" s="27"/>
      <x:c r="I36" s="27"/>
      <x:c r="J36" s="27"/>
    </x:row>
  </x:sheetData>
  <x:mergeCells>
    <x:mergeCell ref="B28:J28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20" hidden="0" customWidth="1"/>
    <x:col min="4" max="4" width="40" hidden="0" customWidth="1"/>
    <x:col min="5" max="5" width="39" hidden="0" customWidth="1"/>
    <x:col min="6" max="6" width="39" hidden="0" customWidth="1"/>
    <x:col min="7" max="7" width="44" hidden="0" customWidth="1"/>
    <x:col min="8" max="8" width="36" hidden="0" customWidth="1"/>
    <x:col min="9" max="9" width="13" hidden="0" customWidth="1"/>
    <x:col min="10" max="10" width="14" hidden="0" customWidth="1"/>
  </x:cols>
  <x:sheetData>
    <x:row r="2">
      <x:c r="B2" s="86" t="str">
        <x:v>Pass 86 representative evidence register</x:v>
      </x:c>
      <x:c r="C2" s="27"/>
      <x:c r="D2" s="27"/>
      <x:c r="E2" s="27"/>
      <x:c r="F2" s="27"/>
      <x:c r="G2" s="27"/>
      <x:c r="H2" s="27"/>
      <x:c r="I2" s="27"/>
      <x:c r="J2" s="27"/>
    </x:row>
    <x:row r="3">
      <x:c r="B3" s="87" t="str">
        <x:v>The physical reference defines articles and failure rules; all gates remain open and strict readiness credit is zero</x:v>
      </x:c>
      <x:c r="C3" s="78"/>
      <x:c r="D3" s="78"/>
      <x:c r="E3" s="78"/>
      <x:c r="F3" s="78"/>
      <x:c r="G3" s="78"/>
      <x:c r="H3" s="78"/>
      <x:c r="I3" s="78"/>
      <x:c r="J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</x:row>
    <x:row r="6">
      <x:c r="B6" s="32" t="str">
        <x:v>Gate</x:v>
      </x:c>
      <x:c r="C6" s="33" t="str">
        <x:v>Domain</x:v>
      </x:c>
      <x:c r="D6" s="33" t="str">
        <x:v>Claim under test</x:v>
      </x:c>
      <x:c r="E6" s="33" t="str">
        <x:v>Evidence object</x:v>
      </x:c>
      <x:c r="F6" s="33" t="str">
        <x:v>Challenge</x:v>
      </x:c>
      <x:c r="G6" s="33" t="str">
        <x:v>Failure rule</x:v>
      </x:c>
      <x:c r="H6" s="33" t="str">
        <x:v>Authority</x:v>
      </x:c>
      <x:c r="I6" s="33" t="str">
        <x:v>State</x:v>
      </x:c>
      <x:c r="J6" s="33" t="str">
        <x:v>Strict credit</x:v>
      </x:c>
    </x:row>
    <x:row r="7">
      <x:c r="B7" s="34" t="str">
        <x:v>G001</x:v>
      </x:c>
      <x:c r="C7" s="34" t="str">
        <x:v>PACKAGING</x:v>
      </x:c>
      <x:c r="D7" s="34" t="str">
        <x:v>four rigid bodies</x:v>
      </x:c>
      <x:c r="E7" s="34" t="str">
        <x:v>representative complete subsystem or full vehicle</x:v>
      </x:c>
      <x:c r="F7" s="34" t="str">
        <x:v>full-scale package and removal article</x:v>
      </x:c>
      <x:c r="G7" s="34" t="str">
        <x:v>measured evidence does not sustain four rigid bodies</x:v>
      </x:c>
      <x:c r="H7" s="34" t="str">
        <x:v>Independent Test Authority</x:v>
      </x:c>
      <x:c r="I7" s="34" t="str">
        <x:v>OPEN</x:v>
      </x:c>
      <x:c r="J7" s="36" t="n">
        <x:v>0</x:v>
      </x:c>
    </x:row>
    <x:row r="8">
      <x:c r="B8" s="34" t="str">
        <x:v>G002</x:v>
      </x:c>
      <x:c r="C8" s="34" t="str">
        <x:v>PACKAGING</x:v>
      </x:c>
      <x:c r="D8" s="34" t="str">
        <x:v>three articulation joints</x:v>
      </x:c>
      <x:c r="E8" s="34" t="str">
        <x:v>representative complete subsystem or full vehicle</x:v>
      </x:c>
      <x:c r="F8" s="34" t="str">
        <x:v>full-scale package and removal article</x:v>
      </x:c>
      <x:c r="G8" s="34" t="str">
        <x:v>measured evidence does not sustain three articulation joints</x:v>
      </x:c>
      <x:c r="H8" s="34" t="str">
        <x:v>Independent Test Authority</x:v>
      </x:c>
      <x:c r="I8" s="34" t="str">
        <x:v>OPEN</x:v>
      </x:c>
      <x:c r="J8" s="36" t="n">
        <x:v>0</x:v>
      </x:c>
    </x:row>
    <x:row r="9">
      <x:c r="B9" s="34" t="str">
        <x:v>G003</x:v>
      </x:c>
      <x:c r="C9" s="34" t="str">
        <x:v>PACKAGING</x:v>
      </x:c>
      <x:c r="D9" s="34" t="str">
        <x:v>23 m total payload deck</x:v>
      </x:c>
      <x:c r="E9" s="34" t="str">
        <x:v>representative complete subsystem or full vehicle</x:v>
      </x:c>
      <x:c r="F9" s="34" t="str">
        <x:v>full-scale package and removal article</x:v>
      </x:c>
      <x:c r="G9" s="34" t="str">
        <x:v>measured evidence does not sustain 23 m total payload deck</x:v>
      </x:c>
      <x:c r="H9" s="34" t="str">
        <x:v>Independent Test Authority</x:v>
      </x:c>
      <x:c r="I9" s="34" t="str">
        <x:v>OPEN</x:v>
      </x:c>
      <x:c r="J9" s="36" t="n">
        <x:v>0</x:v>
      </x:c>
    </x:row>
    <x:row r="10">
      <x:c r="B10" s="34" t="str">
        <x:v>G004</x:v>
      </x:c>
      <x:c r="C10" s="34" t="str">
        <x:v>PACKAGING</x:v>
      </x:c>
      <x:c r="D10" s="34" t="str">
        <x:v>no payload crosses center joint</x:v>
      </x:c>
      <x:c r="E10" s="34" t="str">
        <x:v>representative complete subsystem or full vehicle</x:v>
      </x:c>
      <x:c r="F10" s="34" t="str">
        <x:v>full-scale package and removal article</x:v>
      </x:c>
      <x:c r="G10" s="34" t="str">
        <x:v>measured evidence does not sustain no payload crosses center joint</x:v>
      </x:c>
      <x:c r="H10" s="34" t="str">
        <x:v>Independent Test Authority</x:v>
      </x:c>
      <x:c r="I10" s="34" t="str">
        <x:v>OPEN</x:v>
      </x:c>
      <x:c r="J10" s="36" t="n">
        <x:v>0</x:v>
      </x:c>
    </x:row>
    <x:row r="11">
      <x:c r="B11" s="34" t="str">
        <x:v>G005</x:v>
      </x:c>
      <x:c r="C11" s="34" t="str">
        <x:v>PACKAGING</x:v>
      </x:c>
      <x:c r="D11" s="34" t="str">
        <x:v>four quadrant energy zones</x:v>
      </x:c>
      <x:c r="E11" s="34" t="str">
        <x:v>representative complete subsystem or full vehicle</x:v>
      </x:c>
      <x:c r="F11" s="34" t="str">
        <x:v>full-scale package and removal article</x:v>
      </x:c>
      <x:c r="G11" s="34" t="str">
        <x:v>measured evidence does not sustain four quadrant energy zones</x:v>
      </x:c>
      <x:c r="H11" s="34" t="str">
        <x:v>Independent Test Authority</x:v>
      </x:c>
      <x:c r="I11" s="34" t="str">
        <x:v>OPEN</x:v>
      </x:c>
      <x:c r="J11" s="36" t="n">
        <x:v>0</x:v>
      </x:c>
    </x:row>
    <x:row r="12">
      <x:c r="B12" s="34" t="str">
        <x:v>G006</x:v>
      </x:c>
      <x:c r="C12" s="34" t="str">
        <x:v>PACKAGING</x:v>
      </x:c>
      <x:c r="D12" s="34" t="str">
        <x:v>two crew refuges</x:v>
      </x:c>
      <x:c r="E12" s="34" t="str">
        <x:v>representative complete subsystem or full vehicle</x:v>
      </x:c>
      <x:c r="F12" s="34" t="str">
        <x:v>full-scale package and removal article</x:v>
      </x:c>
      <x:c r="G12" s="34" t="str">
        <x:v>measured evidence does not sustain two crew refuges</x:v>
      </x:c>
      <x:c r="H12" s="34" t="str">
        <x:v>Independent Test Authority</x:v>
      </x:c>
      <x:c r="I12" s="34" t="str">
        <x:v>OPEN</x:v>
      </x:c>
      <x:c r="J12" s="36" t="n">
        <x:v>0</x:v>
      </x:c>
    </x:row>
    <x:row r="13">
      <x:c r="B13" s="34" t="str">
        <x:v>G007</x:v>
      </x:c>
      <x:c r="C13" s="34" t="str">
        <x:v>PACKAGING</x:v>
      </x:c>
      <x:c r="D13" s="34" t="str">
        <x:v>two keel bays</x:v>
      </x:c>
      <x:c r="E13" s="34" t="str">
        <x:v>representative complete subsystem or full vehicle</x:v>
      </x:c>
      <x:c r="F13" s="34" t="str">
        <x:v>full-scale package and removal article</x:v>
      </x:c>
      <x:c r="G13" s="34" t="str">
        <x:v>measured evidence does not sustain two keel bays</x:v>
      </x:c>
      <x:c r="H13" s="34" t="str">
        <x:v>Independent Test Authority</x:v>
      </x:c>
      <x:c r="I13" s="34" t="str">
        <x:v>OPEN</x:v>
      </x:c>
      <x:c r="J13" s="36" t="n">
        <x:v>0</x:v>
      </x:c>
    </x:row>
    <x:row r="14">
      <x:c r="B14" s="34" t="str">
        <x:v>G008</x:v>
      </x:c>
      <x:c r="C14" s="34" t="str">
        <x:v>PACKAGING</x:v>
      </x:c>
      <x:c r="D14" s="34" t="str">
        <x:v>fore module removal</x:v>
      </x:c>
      <x:c r="E14" s="34" t="str">
        <x:v>representative complete subsystem or full vehicle</x:v>
      </x:c>
      <x:c r="F14" s="34" t="str">
        <x:v>full-scale package and removal article</x:v>
      </x:c>
      <x:c r="G14" s="34" t="str">
        <x:v>measured evidence does not sustain fore module removal</x:v>
      </x:c>
      <x:c r="H14" s="34" t="str">
        <x:v>Independent Test Authority</x:v>
      </x:c>
      <x:c r="I14" s="34" t="str">
        <x:v>OPEN</x:v>
      </x:c>
      <x:c r="J14" s="36" t="n">
        <x:v>0</x:v>
      </x:c>
    </x:row>
    <x:row r="15">
      <x:c r="B15" s="34" t="str">
        <x:v>G009</x:v>
      </x:c>
      <x:c r="C15" s="34" t="str">
        <x:v>PACKAGING</x:v>
      </x:c>
      <x:c r="D15" s="34" t="str">
        <x:v>aft module removal</x:v>
      </x:c>
      <x:c r="E15" s="34" t="str">
        <x:v>representative complete subsystem or full vehicle</x:v>
      </x:c>
      <x:c r="F15" s="34" t="str">
        <x:v>full-scale package and removal article</x:v>
      </x:c>
      <x:c r="G15" s="34" t="str">
        <x:v>measured evidence does not sustain aft module removal</x:v>
      </x:c>
      <x:c r="H15" s="34" t="str">
        <x:v>Independent Test Authority</x:v>
      </x:c>
      <x:c r="I15" s="34" t="str">
        <x:v>OPEN</x:v>
      </x:c>
      <x:c r="J15" s="36" t="n">
        <x:v>0</x:v>
      </x:c>
    </x:row>
    <x:row r="16">
      <x:c r="B16" s="34" t="str">
        <x:v>G010</x:v>
      </x:c>
      <x:c r="C16" s="34" t="str">
        <x:v>PACKAGING</x:v>
      </x:c>
      <x:c r="D16" s="34" t="str">
        <x:v>1.7 m fore crush zone</x:v>
      </x:c>
      <x:c r="E16" s="34" t="str">
        <x:v>representative complete subsystem or full vehicle</x:v>
      </x:c>
      <x:c r="F16" s="34" t="str">
        <x:v>full-scale package and removal article</x:v>
      </x:c>
      <x:c r="G16" s="34" t="str">
        <x:v>measured evidence does not sustain 1.7 m fore crush zone</x:v>
      </x:c>
      <x:c r="H16" s="34" t="str">
        <x:v>Independent Test Authority</x:v>
      </x:c>
      <x:c r="I16" s="34" t="str">
        <x:v>OPEN</x:v>
      </x:c>
      <x:c r="J16" s="36" t="n">
        <x:v>0</x:v>
      </x:c>
    </x:row>
    <x:row r="17">
      <x:c r="B17" s="34" t="str">
        <x:v>G011</x:v>
      </x:c>
      <x:c r="C17" s="34" t="str">
        <x:v>PACKAGING</x:v>
      </x:c>
      <x:c r="D17" s="34" t="str">
        <x:v>1.7 m aft crush zone</x:v>
      </x:c>
      <x:c r="E17" s="34" t="str">
        <x:v>representative complete subsystem or full vehicle</x:v>
      </x:c>
      <x:c r="F17" s="34" t="str">
        <x:v>full-scale package and removal article</x:v>
      </x:c>
      <x:c r="G17" s="34" t="str">
        <x:v>measured evidence does not sustain 1.7 m aft crush zone</x:v>
      </x:c>
      <x:c r="H17" s="34" t="str">
        <x:v>Independent Test Authority</x:v>
      </x:c>
      <x:c r="I17" s="34" t="str">
        <x:v>OPEN</x:v>
      </x:c>
      <x:c r="J17" s="36" t="n">
        <x:v>0</x:v>
      </x:c>
    </x:row>
    <x:row r="18">
      <x:c r="B18" s="34" t="str">
        <x:v>G012</x:v>
      </x:c>
      <x:c r="C18" s="34" t="str">
        <x:v>PACKAGING</x:v>
      </x:c>
      <x:c r="D18" s="34" t="str">
        <x:v>2 m fore fire buffer</x:v>
      </x:c>
      <x:c r="E18" s="34" t="str">
        <x:v>representative complete subsystem or full vehicle</x:v>
      </x:c>
      <x:c r="F18" s="34" t="str">
        <x:v>full-scale package and removal article</x:v>
      </x:c>
      <x:c r="G18" s="34" t="str">
        <x:v>measured evidence does not sustain 2 m fore fire buffer</x:v>
      </x:c>
      <x:c r="H18" s="34" t="str">
        <x:v>Independent Test Authority</x:v>
      </x:c>
      <x:c r="I18" s="34" t="str">
        <x:v>OPEN</x:v>
      </x:c>
      <x:c r="J18" s="36" t="n">
        <x:v>0</x:v>
      </x:c>
    </x:row>
    <x:row r="19">
      <x:c r="B19" s="34" t="str">
        <x:v>G013</x:v>
      </x:c>
      <x:c r="C19" s="34" t="str">
        <x:v>PACKAGING</x:v>
      </x:c>
      <x:c r="D19" s="34" t="str">
        <x:v>2 m aft fire buffer</x:v>
      </x:c>
      <x:c r="E19" s="34" t="str">
        <x:v>representative complete subsystem or full vehicle</x:v>
      </x:c>
      <x:c r="F19" s="34" t="str">
        <x:v>full-scale package and removal article</x:v>
      </x:c>
      <x:c r="G19" s="34" t="str">
        <x:v>measured evidence does not sustain 2 m aft fire buffer</x:v>
      </x:c>
      <x:c r="H19" s="34" t="str">
        <x:v>Independent Test Authority</x:v>
      </x:c>
      <x:c r="I19" s="34" t="str">
        <x:v>OPEN</x:v>
      </x:c>
      <x:c r="J19" s="36" t="n">
        <x:v>0</x:v>
      </x:c>
    </x:row>
    <x:row r="20">
      <x:c r="B20" s="34" t="str">
        <x:v>G014</x:v>
      </x:c>
      <x:c r="C20" s="34" t="str">
        <x:v>PACKAGING</x:v>
      </x:c>
      <x:c r="D20" s="34" t="str">
        <x:v>800 m3 useful cube</x:v>
      </x:c>
      <x:c r="E20" s="34" t="str">
        <x:v>representative complete subsystem or full vehicle</x:v>
      </x:c>
      <x:c r="F20" s="34" t="str">
        <x:v>full-scale package and removal article</x:v>
      </x:c>
      <x:c r="G20" s="34" t="str">
        <x:v>measured evidence does not sustain 800 m3 useful cube</x:v>
      </x:c>
      <x:c r="H20" s="34" t="str">
        <x:v>Independent Test Authority</x:v>
      </x:c>
      <x:c r="I20" s="34" t="str">
        <x:v>OPEN</x:v>
      </x:c>
      <x:c r="J20" s="36" t="n">
        <x:v>0</x:v>
      </x:c>
    </x:row>
    <x:row r="21">
      <x:c r="B21" s="34" t="str">
        <x:v>G015</x:v>
      </x:c>
      <x:c r="C21" s="34" t="str">
        <x:v>PACKAGING</x:v>
      </x:c>
      <x:c r="D21" s="34" t="str">
        <x:v>184 m2 deck</x:v>
      </x:c>
      <x:c r="E21" s="34" t="str">
        <x:v>representative complete subsystem or full vehicle</x:v>
      </x:c>
      <x:c r="F21" s="34" t="str">
        <x:v>full-scale package and removal article</x:v>
      </x:c>
      <x:c r="G21" s="34" t="str">
        <x:v>measured evidence does not sustain 184 m2 deck</x:v>
      </x:c>
      <x:c r="H21" s="34" t="str">
        <x:v>Independent Test Authority</x:v>
      </x:c>
      <x:c r="I21" s="34" t="str">
        <x:v>OPEN</x:v>
      </x:c>
      <x:c r="J21" s="36" t="n">
        <x:v>0</x:v>
      </x:c>
    </x:row>
    <x:row r="22">
      <x:c r="B22" s="34" t="str">
        <x:v>G016</x:v>
      </x:c>
      <x:c r="C22" s="34" t="str">
        <x:v>PACKAGING</x:v>
      </x:c>
      <x:c r="D22" s="34" t="str">
        <x:v>nine-position wet-and-dry load</x:v>
      </x:c>
      <x:c r="E22" s="34" t="str">
        <x:v>representative complete subsystem or full vehicle</x:v>
      </x:c>
      <x:c r="F22" s="34" t="str">
        <x:v>full-scale package and removal article</x:v>
      </x:c>
      <x:c r="G22" s="34" t="str">
        <x:v>measured evidence does not sustain nine-position wet-and-dry load</x:v>
      </x:c>
      <x:c r="H22" s="34" t="str">
        <x:v>Independent Test Authority</x:v>
      </x:c>
      <x:c r="I22" s="34" t="str">
        <x:v>OPEN</x:v>
      </x:c>
      <x:c r="J22" s="36" t="n">
        <x:v>0</x:v>
      </x:c>
    </x:row>
    <x:row r="23">
      <x:c r="B23" s="34" t="str">
        <x:v>G017</x:v>
      </x:c>
      <x:c r="C23" s="34" t="str">
        <x:v>PACKAGING</x:v>
      </x:c>
      <x:c r="D23" s="34" t="str">
        <x:v>four-sector volume closure</x:v>
      </x:c>
      <x:c r="E23" s="34" t="str">
        <x:v>representative complete subsystem or full vehicle</x:v>
      </x:c>
      <x:c r="F23" s="34" t="str">
        <x:v>full-scale package and removal article</x:v>
      </x:c>
      <x:c r="G23" s="34" t="str">
        <x:v>measured evidence does not sustain four-sector volume closure</x:v>
      </x:c>
      <x:c r="H23" s="34" t="str">
        <x:v>Independent Test Authority</x:v>
      </x:c>
      <x:c r="I23" s="34" t="str">
        <x:v>OPEN</x:v>
      </x:c>
      <x:c r="J23" s="36" t="n">
        <x:v>0</x:v>
      </x:c>
    </x:row>
    <x:row r="24">
      <x:c r="B24" s="34" t="str">
        <x:v>G018</x:v>
      </x:c>
      <x:c r="C24" s="34" t="str">
        <x:v>PACKAGING</x:v>
      </x:c>
      <x:c r="D24" s="34" t="str">
        <x:v>vehicle length 46 m</x:v>
      </x:c>
      <x:c r="E24" s="34" t="str">
        <x:v>representative complete subsystem or full vehicle</x:v>
      </x:c>
      <x:c r="F24" s="34" t="str">
        <x:v>full-scale package and removal article</x:v>
      </x:c>
      <x:c r="G24" s="34" t="str">
        <x:v>measured evidence does not sustain vehicle length 46 m</x:v>
      </x:c>
      <x:c r="H24" s="34" t="str">
        <x:v>Independent Test Authority</x:v>
      </x:c>
      <x:c r="I24" s="34" t="str">
        <x:v>OPEN</x:v>
      </x:c>
      <x:c r="J24" s="36" t="n">
        <x:v>0</x:v>
      </x:c>
    </x:row>
    <x:row r="25">
      <x:c r="B25" s="34" t="str">
        <x:v>G019</x:v>
      </x:c>
      <x:c r="C25" s="34" t="str">
        <x:v>PACKAGING</x:v>
      </x:c>
      <x:c r="D25" s="34" t="str">
        <x:v>transit width 9.5 m</x:v>
      </x:c>
      <x:c r="E25" s="34" t="str">
        <x:v>representative complete subsystem or full vehicle</x:v>
      </x:c>
      <x:c r="F25" s="34" t="str">
        <x:v>full-scale package and removal article</x:v>
      </x:c>
      <x:c r="G25" s="34" t="str">
        <x:v>measured evidence does not sustain transit width 9.5 m</x:v>
      </x:c>
      <x:c r="H25" s="34" t="str">
        <x:v>Independent Test Authority</x:v>
      </x:c>
      <x:c r="I25" s="34" t="str">
        <x:v>OPEN</x:v>
      </x:c>
      <x:c r="J25" s="36" t="n">
        <x:v>0</x:v>
      </x:c>
    </x:row>
    <x:row r="26">
      <x:c r="B26" s="34" t="str">
        <x:v>G020</x:v>
      </x:c>
      <x:c r="C26" s="34" t="str">
        <x:v>PACKAGING</x:v>
      </x:c>
      <x:c r="D26" s="34" t="str">
        <x:v>deployed width 11.8 m</x:v>
      </x:c>
      <x:c r="E26" s="34" t="str">
        <x:v>representative complete subsystem or full vehicle</x:v>
      </x:c>
      <x:c r="F26" s="34" t="str">
        <x:v>full-scale package and removal article</x:v>
      </x:c>
      <x:c r="G26" s="34" t="str">
        <x:v>measured evidence does not sustain deployed width 11.8 m</x:v>
      </x:c>
      <x:c r="H26" s="34" t="str">
        <x:v>Independent Test Authority</x:v>
      </x:c>
      <x:c r="I26" s="34" t="str">
        <x:v>OPEN</x:v>
      </x:c>
      <x:c r="J26" s="36" t="n">
        <x:v>0</x:v>
      </x:c>
    </x:row>
    <x:row r="27">
      <x:c r="B27" s="34" t="str">
        <x:v>G021</x:v>
      </x:c>
      <x:c r="C27" s="34" t="str">
        <x:v>PACKAGING</x:v>
      </x:c>
      <x:c r="D27" s="34" t="str">
        <x:v>height 9.5 m</x:v>
      </x:c>
      <x:c r="E27" s="34" t="str">
        <x:v>representative complete subsystem or full vehicle</x:v>
      </x:c>
      <x:c r="F27" s="34" t="str">
        <x:v>full-scale package and removal article</x:v>
      </x:c>
      <x:c r="G27" s="34" t="str">
        <x:v>measured evidence does not sustain height 9.5 m</x:v>
      </x:c>
      <x:c r="H27" s="34" t="str">
        <x:v>Independent Test Authority</x:v>
      </x:c>
      <x:c r="I27" s="34" t="str">
        <x:v>OPEN</x:v>
      </x:c>
      <x:c r="J27" s="36" t="n">
        <x:v>0</x:v>
      </x:c>
    </x:row>
    <x:row r="28">
      <x:c r="B28" s="34" t="str">
        <x:v>G022</x:v>
      </x:c>
      <x:c r="C28" s="34" t="str">
        <x:v>PACKAGING</x:v>
      </x:c>
      <x:c r="D28" s="34" t="str">
        <x:v>cargo top below height</x:v>
      </x:c>
      <x:c r="E28" s="34" t="str">
        <x:v>representative complete subsystem or full vehicle</x:v>
      </x:c>
      <x:c r="F28" s="34" t="str">
        <x:v>full-scale package and removal article</x:v>
      </x:c>
      <x:c r="G28" s="34" t="str">
        <x:v>measured evidence does not sustain cargo top below height</x:v>
      </x:c>
      <x:c r="H28" s="34" t="str">
        <x:v>Independent Test Authority</x:v>
      </x:c>
      <x:c r="I28" s="34" t="str">
        <x:v>OPEN</x:v>
      </x:c>
      <x:c r="J28" s="36" t="n">
        <x:v>0</x:v>
      </x:c>
    </x:row>
    <x:row r="29">
      <x:c r="B29" s="34" t="str">
        <x:v>G023</x:v>
      </x:c>
      <x:c r="C29" s="34" t="str">
        <x:v>PACKAGING</x:v>
      </x:c>
      <x:c r="D29" s="34" t="str">
        <x:v>citadel bay access</x:v>
      </x:c>
      <x:c r="E29" s="34" t="str">
        <x:v>representative complete subsystem or full vehicle</x:v>
      </x:c>
      <x:c r="F29" s="34" t="str">
        <x:v>full-scale package and removal article</x:v>
      </x:c>
      <x:c r="G29" s="34" t="str">
        <x:v>measured evidence does not sustain citadel bay access</x:v>
      </x:c>
      <x:c r="H29" s="34" t="str">
        <x:v>Independent Test Authority</x:v>
      </x:c>
      <x:c r="I29" s="34" t="str">
        <x:v>OPEN</x:v>
      </x:c>
      <x:c r="J29" s="36" t="n">
        <x:v>0</x:v>
      </x:c>
    </x:row>
    <x:row r="30">
      <x:c r="B30" s="34" t="str">
        <x:v>G024</x:v>
      </x:c>
      <x:c r="C30" s="34" t="str">
        <x:v>PACKAGING</x:v>
      </x:c>
      <x:c r="D30" s="34" t="str">
        <x:v>payload door access</x:v>
      </x:c>
      <x:c r="E30" s="34" t="str">
        <x:v>representative complete subsystem or full vehicle</x:v>
      </x:c>
      <x:c r="F30" s="34" t="str">
        <x:v>full-scale package and removal article</x:v>
      </x:c>
      <x:c r="G30" s="34" t="str">
        <x:v>measured evidence does not sustain payload door access</x:v>
      </x:c>
      <x:c r="H30" s="34" t="str">
        <x:v>Independent Test Authority</x:v>
      </x:c>
      <x:c r="I30" s="34" t="str">
        <x:v>OPEN</x:v>
      </x:c>
      <x:c r="J30" s="36" t="n">
        <x:v>0</x:v>
      </x:c>
    </x:row>
    <x:row r="31">
      <x:c r="B31" s="34" t="str">
        <x:v>G025</x:v>
      </x:c>
      <x:c r="C31" s="34" t="str">
        <x:v>PACKAGING</x:v>
      </x:c>
      <x:c r="D31" s="34" t="str">
        <x:v>bridge cassette access</x:v>
      </x:c>
      <x:c r="E31" s="34" t="str">
        <x:v>representative complete subsystem or full vehicle</x:v>
      </x:c>
      <x:c r="F31" s="34" t="str">
        <x:v>full-scale package and removal article</x:v>
      </x:c>
      <x:c r="G31" s="34" t="str">
        <x:v>measured evidence does not sustain bridge cassette access</x:v>
      </x:c>
      <x:c r="H31" s="34" t="str">
        <x:v>Independent Test Authority</x:v>
      </x:c>
      <x:c r="I31" s="34" t="str">
        <x:v>OPEN</x:v>
      </x:c>
      <x:c r="J31" s="36" t="n">
        <x:v>0</x:v>
      </x:c>
    </x:row>
    <x:row r="32">
      <x:c r="B32" s="34" t="str">
        <x:v>G026</x:v>
      </x:c>
      <x:c r="C32" s="34" t="str">
        <x:v>PACKAGING</x:v>
      </x:c>
      <x:c r="D32" s="34" t="str">
        <x:v>control-route separation</x:v>
      </x:c>
      <x:c r="E32" s="34" t="str">
        <x:v>representative complete subsystem or full vehicle</x:v>
      </x:c>
      <x:c r="F32" s="34" t="str">
        <x:v>full-scale package and removal article</x:v>
      </x:c>
      <x:c r="G32" s="34" t="str">
        <x:v>measured evidence does not sustain control-route separation</x:v>
      </x:c>
      <x:c r="H32" s="34" t="str">
        <x:v>Independent Test Authority</x:v>
      </x:c>
      <x:c r="I32" s="34" t="str">
        <x:v>OPEN</x:v>
      </x:c>
      <x:c r="J32" s="36" t="n">
        <x:v>0</x:v>
      </x:c>
    </x:row>
    <x:row r="33">
      <x:c r="B33" s="34" t="str">
        <x:v>G027</x:v>
      </x:c>
      <x:c r="C33" s="34" t="str">
        <x:v>PACKAGING</x:v>
      </x:c>
      <x:c r="D33" s="34" t="str">
        <x:v>outward fire drains</x:v>
      </x:c>
      <x:c r="E33" s="34" t="str">
        <x:v>representative complete subsystem or full vehicle</x:v>
      </x:c>
      <x:c r="F33" s="34" t="str">
        <x:v>full-scale package and removal article</x:v>
      </x:c>
      <x:c r="G33" s="34" t="str">
        <x:v>measured evidence does not sustain outward fire drains</x:v>
      </x:c>
      <x:c r="H33" s="34" t="str">
        <x:v>Independent Test Authority</x:v>
      </x:c>
      <x:c r="I33" s="34" t="str">
        <x:v>OPEN</x:v>
      </x:c>
      <x:c r="J33" s="36" t="n">
        <x:v>0</x:v>
      </x:c>
    </x:row>
    <x:row r="34">
      <x:c r="B34" s="34" t="str">
        <x:v>G028</x:v>
      </x:c>
      <x:c r="C34" s="34" t="str">
        <x:v>PACKAGING</x:v>
      </x:c>
      <x:c r="D34" s="34" t="str">
        <x:v>no common casualty sump</x:v>
      </x:c>
      <x:c r="E34" s="34" t="str">
        <x:v>representative complete subsystem or full vehicle</x:v>
      </x:c>
      <x:c r="F34" s="34" t="str">
        <x:v>full-scale package and removal article</x:v>
      </x:c>
      <x:c r="G34" s="34" t="str">
        <x:v>measured evidence does not sustain no common casualty sump</x:v>
      </x:c>
      <x:c r="H34" s="34" t="str">
        <x:v>Independent Test Authority</x:v>
      </x:c>
      <x:c r="I34" s="34" t="str">
        <x:v>OPEN</x:v>
      </x:c>
      <x:c r="J34" s="36" t="n">
        <x:v>0</x:v>
      </x:c>
    </x:row>
    <x:row r="35">
      <x:c r="B35" s="34" t="str">
        <x:v>G029</x:v>
      </x:c>
      <x:c r="C35" s="34" t="str">
        <x:v>PACKAGING</x:v>
      </x:c>
      <x:c r="D35" s="34" t="str">
        <x:v>configuration reconstruction</x:v>
      </x:c>
      <x:c r="E35" s="34" t="str">
        <x:v>representative complete subsystem or full vehicle</x:v>
      </x:c>
      <x:c r="F35" s="34" t="str">
        <x:v>full-scale package and removal article</x:v>
      </x:c>
      <x:c r="G35" s="34" t="str">
        <x:v>measured evidence does not sustain configuration reconstruction</x:v>
      </x:c>
      <x:c r="H35" s="34" t="str">
        <x:v>Independent Test Authority</x:v>
      </x:c>
      <x:c r="I35" s="34" t="str">
        <x:v>OPEN</x:v>
      </x:c>
      <x:c r="J35" s="36" t="n">
        <x:v>0</x:v>
      </x:c>
    </x:row>
    <x:row r="36">
      <x:c r="B36" s="34" t="str">
        <x:v>G030</x:v>
      </x:c>
      <x:c r="C36" s="34" t="str">
        <x:v>PACKAGING</x:v>
      </x:c>
      <x:c r="D36" s="34" t="str">
        <x:v>complete P4 arrangement</x:v>
      </x:c>
      <x:c r="E36" s="34" t="str">
        <x:v>representative complete subsystem or full vehicle</x:v>
      </x:c>
      <x:c r="F36" s="34" t="str">
        <x:v>full-scale package and removal article</x:v>
      </x:c>
      <x:c r="G36" s="34" t="str">
        <x:v>measured evidence does not sustain complete P4 arrangement</x:v>
      </x:c>
      <x:c r="H36" s="34" t="str">
        <x:v>Independent Test Authority</x:v>
      </x:c>
      <x:c r="I36" s="34" t="str">
        <x:v>OPEN</x:v>
      </x:c>
      <x:c r="J36" s="36" t="n">
        <x:v>0</x:v>
      </x:c>
    </x:row>
    <x:row r="37">
      <x:c r="B37" s="34" t="str">
        <x:v>G031</x:v>
      </x:c>
      <x:c r="C37" s="34" t="str">
        <x:v>MASS_STABILITY</x:v>
      </x:c>
      <x:c r="D37" s="34" t="str">
        <x:v>547 t tare</x:v>
      </x:c>
      <x:c r="E37" s="34" t="str">
        <x:v>representative complete subsystem or full vehicle</x:v>
      </x:c>
      <x:c r="F37" s="34" t="str">
        <x:v>measured mass, reaction and upset world</x:v>
      </x:c>
      <x:c r="G37" s="34" t="str">
        <x:v>measured evidence does not sustain 547 t tare</x:v>
      </x:c>
      <x:c r="H37" s="34" t="str">
        <x:v>Independent Test Authority</x:v>
      </x:c>
      <x:c r="I37" s="34" t="str">
        <x:v>OPEN</x:v>
      </x:c>
      <x:c r="J37" s="36" t="n">
        <x:v>0</x:v>
      </x:c>
    </x:row>
    <x:row r="38">
      <x:c r="B38" s="34" t="str">
        <x:v>G032</x:v>
      </x:c>
      <x:c r="C38" s="34" t="str">
        <x:v>MASS_STABILITY</x:v>
      </x:c>
      <x:c r="D38" s="34" t="str">
        <x:v>717 t rated gross</x:v>
      </x:c>
      <x:c r="E38" s="34" t="str">
        <x:v>representative complete subsystem or full vehicle</x:v>
      </x:c>
      <x:c r="F38" s="34" t="str">
        <x:v>measured mass, reaction and upset world</x:v>
      </x:c>
      <x:c r="G38" s="34" t="str">
        <x:v>measured evidence does not sustain 717 t rated gross</x:v>
      </x:c>
      <x:c r="H38" s="34" t="str">
        <x:v>Independent Test Authority</x:v>
      </x:c>
      <x:c r="I38" s="34" t="str">
        <x:v>OPEN</x:v>
      </x:c>
      <x:c r="J38" s="36" t="n">
        <x:v>0</x:v>
      </x:c>
    </x:row>
    <x:row r="39">
      <x:c r="B39" s="34" t="str">
        <x:v>G033</x:v>
      </x:c>
      <x:c r="C39" s="34" t="str">
        <x:v>MASS_STABILITY</x:v>
      </x:c>
      <x:c r="D39" s="34" t="str">
        <x:v>706 t mission gross</x:v>
      </x:c>
      <x:c r="E39" s="34" t="str">
        <x:v>representative complete subsystem or full vehicle</x:v>
      </x:c>
      <x:c r="F39" s="34" t="str">
        <x:v>measured mass, reaction and upset world</x:v>
      </x:c>
      <x:c r="G39" s="34" t="str">
        <x:v>measured evidence does not sustain 706 t mission gross</x:v>
      </x:c>
      <x:c r="H39" s="34" t="str">
        <x:v>Independent Test Authority</x:v>
      </x:c>
      <x:c r="I39" s="34" t="str">
        <x:v>OPEN</x:v>
      </x:c>
      <x:c r="J39" s="36" t="n">
        <x:v>0</x:v>
      </x:c>
    </x:row>
    <x:row r="40">
      <x:c r="B40" s="34" t="str">
        <x:v>G034</x:v>
      </x:c>
      <x:c r="C40" s="34" t="str">
        <x:v>MASS_STABILITY</x:v>
      </x:c>
      <x:c r="D40" s="34" t="str">
        <x:v>finite coupled fixed point</x:v>
      </x:c>
      <x:c r="E40" s="34" t="str">
        <x:v>representative complete subsystem or full vehicle</x:v>
      </x:c>
      <x:c r="F40" s="34" t="str">
        <x:v>measured mass, reaction and upset world</x:v>
      </x:c>
      <x:c r="G40" s="34" t="str">
        <x:v>measured evidence does not sustain finite coupled fixed point</x:v>
      </x:c>
      <x:c r="H40" s="34" t="str">
        <x:v>Independent Test Authority</x:v>
      </x:c>
      <x:c r="I40" s="34" t="str">
        <x:v>OPEN</x:v>
      </x:c>
      <x:c r="J40" s="36" t="n">
        <x:v>0</x:v>
      </x:c>
    </x:row>
    <x:row r="41">
      <x:c r="B41" s="34" t="str">
        <x:v>G035</x:v>
      </x:c>
      <x:c r="C41" s="34" t="str">
        <x:v>MASS_STABILITY</x:v>
      </x:c>
      <x:c r="D41" s="34" t="str">
        <x:v>bridge feedback coefficient</x:v>
      </x:c>
      <x:c r="E41" s="34" t="str">
        <x:v>representative complete subsystem or full vehicle</x:v>
      </x:c>
      <x:c r="F41" s="34" t="str">
        <x:v>measured mass, reaction and upset world</x:v>
      </x:c>
      <x:c r="G41" s="34" t="str">
        <x:v>measured evidence does not sustain bridge feedback coefficient</x:v>
      </x:c>
      <x:c r="H41" s="34" t="str">
        <x:v>Independent Test Authority</x:v>
      </x:c>
      <x:c r="I41" s="34" t="str">
        <x:v>OPEN</x:v>
      </x:c>
      <x:c r="J41" s="36" t="n">
        <x:v>0</x:v>
      </x:c>
    </x:row>
    <x:row r="42">
      <x:c r="B42" s="34" t="str">
        <x:v>G036</x:v>
      </x:c>
      <x:c r="C42" s="34" t="str">
        <x:v>MASS_STABILITY</x:v>
      </x:c>
      <x:c r="D42" s="34" t="str">
        <x:v>energy feedback coefficient</x:v>
      </x:c>
      <x:c r="E42" s="34" t="str">
        <x:v>representative complete subsystem or full vehicle</x:v>
      </x:c>
      <x:c r="F42" s="34" t="str">
        <x:v>measured mass, reaction and upset world</x:v>
      </x:c>
      <x:c r="G42" s="34" t="str">
        <x:v>measured evidence does not sustain energy feedback coefficient</x:v>
      </x:c>
      <x:c r="H42" s="34" t="str">
        <x:v>Independent Test Authority</x:v>
      </x:c>
      <x:c r="I42" s="34" t="str">
        <x:v>OPEN</x:v>
      </x:c>
      <x:c r="J42" s="36" t="n">
        <x:v>0</x:v>
      </x:c>
    </x:row>
    <x:row r="43">
      <x:c r="B43" s="34" t="str">
        <x:v>G037</x:v>
      </x:c>
      <x:c r="C43" s="34" t="str">
        <x:v>MASS_STABILITY</x:v>
      </x:c>
      <x:c r="D43" s="34" t="str">
        <x:v>combined coefficient below one</x:v>
      </x:c>
      <x:c r="E43" s="34" t="str">
        <x:v>representative complete subsystem or full vehicle</x:v>
      </x:c>
      <x:c r="F43" s="34" t="str">
        <x:v>measured mass, reaction and upset world</x:v>
      </x:c>
      <x:c r="G43" s="34" t="str">
        <x:v>measured evidence does not sustain combined coefficient below one</x:v>
      </x:c>
      <x:c r="H43" s="34" t="str">
        <x:v>Independent Test Authority</x:v>
      </x:c>
      <x:c r="I43" s="34" t="str">
        <x:v>OPEN</x:v>
      </x:c>
      <x:c r="J43" s="36" t="n">
        <x:v>0</x:v>
      </x:c>
    </x:row>
    <x:row r="44">
      <x:c r="B44" s="34" t="str">
        <x:v>G038</x:v>
      </x:c>
      <x:c r="C44" s="34" t="str">
        <x:v>MASS_STABILITY</x:v>
      </x:c>
      <x:c r="D44" s="34" t="str">
        <x:v>rated payload reserve</x:v>
      </x:c>
      <x:c r="E44" s="34" t="str">
        <x:v>representative complete subsystem or full vehicle</x:v>
      </x:c>
      <x:c r="F44" s="34" t="str">
        <x:v>measured mass, reaction and upset world</x:v>
      </x:c>
      <x:c r="G44" s="34" t="str">
        <x:v>measured evidence does not sustain rated payload reserve</x:v>
      </x:c>
      <x:c r="H44" s="34" t="str">
        <x:v>Independent Test Authority</x:v>
      </x:c>
      <x:c r="I44" s="34" t="str">
        <x:v>OPEN</x:v>
      </x:c>
      <x:c r="J44" s="36" t="n">
        <x:v>0</x:v>
      </x:c>
    </x:row>
    <x:row r="45">
      <x:c r="B45" s="34" t="str">
        <x:v>G039</x:v>
      </x:c>
      <x:c r="C45" s="34" t="str">
        <x:v>MASS_STABILITY</x:v>
      </x:c>
      <x:c r="D45" s="34" t="str">
        <x:v>rated x center of gravity</x:v>
      </x:c>
      <x:c r="E45" s="34" t="str">
        <x:v>representative complete subsystem or full vehicle</x:v>
      </x:c>
      <x:c r="F45" s="34" t="str">
        <x:v>measured mass, reaction and upset world</x:v>
      </x:c>
      <x:c r="G45" s="34" t="str">
        <x:v>measured evidence does not sustain rated x center of gravity</x:v>
      </x:c>
      <x:c r="H45" s="34" t="str">
        <x:v>Independent Test Authority</x:v>
      </x:c>
      <x:c r="I45" s="34" t="str">
        <x:v>OPEN</x:v>
      </x:c>
      <x:c r="J45" s="36" t="n">
        <x:v>0</x:v>
      </x:c>
    </x:row>
    <x:row r="46">
      <x:c r="B46" s="34" t="str">
        <x:v>G040</x:v>
      </x:c>
      <x:c r="C46" s="34" t="str">
        <x:v>MASS_STABILITY</x:v>
      </x:c>
      <x:c r="D46" s="34" t="str">
        <x:v>rated y center of gravity</x:v>
      </x:c>
      <x:c r="E46" s="34" t="str">
        <x:v>representative complete subsystem or full vehicle</x:v>
      </x:c>
      <x:c r="F46" s="34" t="str">
        <x:v>measured mass, reaction and upset world</x:v>
      </x:c>
      <x:c r="G46" s="34" t="str">
        <x:v>measured evidence does not sustain rated y center of gravity</x:v>
      </x:c>
      <x:c r="H46" s="34" t="str">
        <x:v>Independent Test Authority</x:v>
      </x:c>
      <x:c r="I46" s="34" t="str">
        <x:v>OPEN</x:v>
      </x:c>
      <x:c r="J46" s="36" t="n">
        <x:v>0</x:v>
      </x:c>
    </x:row>
    <x:row r="47">
      <x:c r="B47" s="34" t="str">
        <x:v>G041</x:v>
      </x:c>
      <x:c r="C47" s="34" t="str">
        <x:v>MASS_STABILITY</x:v>
      </x:c>
      <x:c r="D47" s="34" t="str">
        <x:v>rated z center of gravity</x:v>
      </x:c>
      <x:c r="E47" s="34" t="str">
        <x:v>representative complete subsystem or full vehicle</x:v>
      </x:c>
      <x:c r="F47" s="34" t="str">
        <x:v>measured mass, reaction and upset world</x:v>
      </x:c>
      <x:c r="G47" s="34" t="str">
        <x:v>measured evidence does not sustain rated z center of gravity</x:v>
      </x:c>
      <x:c r="H47" s="34" t="str">
        <x:v>Independent Test Authority</x:v>
      </x:c>
      <x:c r="I47" s="34" t="str">
        <x:v>OPEN</x:v>
      </x:c>
      <x:c r="J47" s="36" t="n">
        <x:v>0</x:v>
      </x:c>
    </x:row>
    <x:row r="48">
      <x:c r="B48" s="34" t="str">
        <x:v>G042</x:v>
      </x:c>
      <x:c r="C48" s="34" t="str">
        <x:v>MASS_STABILITY</x:v>
      </x:c>
      <x:c r="D48" s="34" t="str">
        <x:v>B1 assigned balance</x:v>
      </x:c>
      <x:c r="E48" s="34" t="str">
        <x:v>representative complete subsystem or full vehicle</x:v>
      </x:c>
      <x:c r="F48" s="34" t="str">
        <x:v>measured mass, reaction and upset world</x:v>
      </x:c>
      <x:c r="G48" s="34" t="str">
        <x:v>measured evidence does not sustain B1 assigned balance</x:v>
      </x:c>
      <x:c r="H48" s="34" t="str">
        <x:v>Independent Test Authority</x:v>
      </x:c>
      <x:c r="I48" s="34" t="str">
        <x:v>OPEN</x:v>
      </x:c>
      <x:c r="J48" s="36" t="n">
        <x:v>0</x:v>
      </x:c>
    </x:row>
    <x:row r="49">
      <x:c r="B49" s="34" t="str">
        <x:v>G043</x:v>
      </x:c>
      <x:c r="C49" s="34" t="str">
        <x:v>MASS_STABILITY</x:v>
      </x:c>
      <x:c r="D49" s="34" t="str">
        <x:v>B2 assigned balance</x:v>
      </x:c>
      <x:c r="E49" s="34" t="str">
        <x:v>representative complete subsystem or full vehicle</x:v>
      </x:c>
      <x:c r="F49" s="34" t="str">
        <x:v>measured mass, reaction and upset world</x:v>
      </x:c>
      <x:c r="G49" s="34" t="str">
        <x:v>measured evidence does not sustain B2 assigned balance</x:v>
      </x:c>
      <x:c r="H49" s="34" t="str">
        <x:v>Independent Test Authority</x:v>
      </x:c>
      <x:c r="I49" s="34" t="str">
        <x:v>OPEN</x:v>
      </x:c>
      <x:c r="J49" s="36" t="n">
        <x:v>0</x:v>
      </x:c>
    </x:row>
    <x:row r="50">
      <x:c r="B50" s="34" t="str">
        <x:v>G044</x:v>
      </x:c>
      <x:c r="C50" s="34" t="str">
        <x:v>MASS_STABILITY</x:v>
      </x:c>
      <x:c r="D50" s="34" t="str">
        <x:v>B3 assigned balance</x:v>
      </x:c>
      <x:c r="E50" s="34" t="str">
        <x:v>representative complete subsystem or full vehicle</x:v>
      </x:c>
      <x:c r="F50" s="34" t="str">
        <x:v>measured mass, reaction and upset world</x:v>
      </x:c>
      <x:c r="G50" s="34" t="str">
        <x:v>measured evidence does not sustain B3 assigned balance</x:v>
      </x:c>
      <x:c r="H50" s="34" t="str">
        <x:v>Independent Test Authority</x:v>
      </x:c>
      <x:c r="I50" s="34" t="str">
        <x:v>OPEN</x:v>
      </x:c>
      <x:c r="J50" s="36" t="n">
        <x:v>0</x:v>
      </x:c>
    </x:row>
    <x:row r="51">
      <x:c r="B51" s="34" t="str">
        <x:v>G045</x:v>
      </x:c>
      <x:c r="C51" s="34" t="str">
        <x:v>MASS_STABILITY</x:v>
      </x:c>
      <x:c r="D51" s="34" t="str">
        <x:v>B4 assigned balance</x:v>
      </x:c>
      <x:c r="E51" s="34" t="str">
        <x:v>representative complete subsystem or full vehicle</x:v>
      </x:c>
      <x:c r="F51" s="34" t="str">
        <x:v>measured mass, reaction and upset world</x:v>
      </x:c>
      <x:c r="G51" s="34" t="str">
        <x:v>measured evidence does not sustain B4 assigned balance</x:v>
      </x:c>
      <x:c r="H51" s="34" t="str">
        <x:v>Independent Test Authority</x:v>
      </x:c>
      <x:c r="I51" s="34" t="str">
        <x:v>OPEN</x:v>
      </x:c>
      <x:c r="J51" s="36" t="n">
        <x:v>0</x:v>
      </x:c>
    </x:row>
    <x:row r="52">
      <x:c r="B52" s="34" t="str">
        <x:v>G046</x:v>
      </x:c>
      <x:c r="C52" s="34" t="str">
        <x:v>MASS_STABILITY</x:v>
      </x:c>
      <x:c r="D52" s="34" t="str">
        <x:v>six station reaction reconciliation</x:v>
      </x:c>
      <x:c r="E52" s="34" t="str">
        <x:v>representative complete subsystem or full vehicle</x:v>
      </x:c>
      <x:c r="F52" s="34" t="str">
        <x:v>measured mass, reaction and upset world</x:v>
      </x:c>
      <x:c r="G52" s="34" t="str">
        <x:v>measured evidence does not sustain six station reaction reconciliation</x:v>
      </x:c>
      <x:c r="H52" s="34" t="str">
        <x:v>Independent Test Authority</x:v>
      </x:c>
      <x:c r="I52" s="34" t="str">
        <x:v>OPEN</x:v>
      </x:c>
      <x:c r="J52" s="36" t="n">
        <x:v>0</x:v>
      </x:c>
    </x:row>
    <x:row r="53">
      <x:c r="B53" s="34" t="str">
        <x:v>G047</x:v>
      </x:c>
      <x:c r="C53" s="34" t="str">
        <x:v>MASS_STABILITY</x:v>
      </x:c>
      <x:c r="D53" s="34" t="str">
        <x:v>maximum station ratio</x:v>
      </x:c>
      <x:c r="E53" s="34" t="str">
        <x:v>representative complete subsystem or full vehicle</x:v>
      </x:c>
      <x:c r="F53" s="34" t="str">
        <x:v>measured mass, reaction and upset world</x:v>
      </x:c>
      <x:c r="G53" s="34" t="str">
        <x:v>measured evidence does not sustain maximum station ratio</x:v>
      </x:c>
      <x:c r="H53" s="34" t="str">
        <x:v>Independent Test Authority</x:v>
      </x:c>
      <x:c r="I53" s="34" t="str">
        <x:v>OPEN</x:v>
      </x:c>
      <x:c r="J53" s="36" t="n">
        <x:v>0</x:v>
      </x:c>
    </x:row>
    <x:row r="54">
      <x:c r="B54" s="34" t="str">
        <x:v>G048</x:v>
      </x:c>
      <x:c r="C54" s="34" t="str">
        <x:v>MASS_STABILITY</x:v>
      </x:c>
      <x:c r="D54" s="34" t="str">
        <x:v>85 t local pod rating</x:v>
      </x:c>
      <x:c r="E54" s="34" t="str">
        <x:v>representative complete subsystem or full vehicle</x:v>
      </x:c>
      <x:c r="F54" s="34" t="str">
        <x:v>measured mass, reaction and upset world</x:v>
      </x:c>
      <x:c r="G54" s="34" t="str">
        <x:v>measured evidence does not sustain 85 t local pod rating</x:v>
      </x:c>
      <x:c r="H54" s="34" t="str">
        <x:v>Independent Test Authority</x:v>
      </x:c>
      <x:c r="I54" s="34" t="str">
        <x:v>OPEN</x:v>
      </x:c>
      <x:c r="J54" s="36" t="n">
        <x:v>0</x:v>
      </x:c>
    </x:row>
    <x:row r="55">
      <x:c r="B55" s="34" t="str">
        <x:v>G049</x:v>
      </x:c>
      <x:c r="C55" s="34" t="str">
        <x:v>MASS_STABILITY</x:v>
      </x:c>
      <x:c r="D55" s="34" t="str">
        <x:v>one-pod redistributed load</x:v>
      </x:c>
      <x:c r="E55" s="34" t="str">
        <x:v>representative complete subsystem or full vehicle</x:v>
      </x:c>
      <x:c r="F55" s="34" t="str">
        <x:v>measured mass, reaction and upset world</x:v>
      </x:c>
      <x:c r="G55" s="34" t="str">
        <x:v>measured evidence does not sustain one-pod redistributed load</x:v>
      </x:c>
      <x:c r="H55" s="34" t="str">
        <x:v>Independent Test Authority</x:v>
      </x:c>
      <x:c r="I55" s="34" t="str">
        <x:v>OPEN</x:v>
      </x:c>
      <x:c r="J55" s="36" t="n">
        <x:v>0</x:v>
      </x:c>
    </x:row>
    <x:row r="56">
      <x:c r="B56" s="34" t="str">
        <x:v>G050</x:v>
      </x:c>
      <x:c r="C56" s="34" t="str">
        <x:v>MASS_STABILITY</x:v>
      </x:c>
      <x:c r="D56" s="34" t="str">
        <x:v>transit rollover angle</x:v>
      </x:c>
      <x:c r="E56" s="34" t="str">
        <x:v>representative complete subsystem or full vehicle</x:v>
      </x:c>
      <x:c r="F56" s="34" t="str">
        <x:v>measured mass, reaction and upset world</x:v>
      </x:c>
      <x:c r="G56" s="34" t="str">
        <x:v>measured evidence does not sustain transit rollover angle</x:v>
      </x:c>
      <x:c r="H56" s="34" t="str">
        <x:v>Independent Test Authority</x:v>
      </x:c>
      <x:c r="I56" s="34" t="str">
        <x:v>OPEN</x:v>
      </x:c>
      <x:c r="J56" s="36" t="n">
        <x:v>0</x:v>
      </x:c>
    </x:row>
    <x:row r="57">
      <x:c r="B57" s="34" t="str">
        <x:v>G051</x:v>
      </x:c>
      <x:c r="C57" s="34" t="str">
        <x:v>MASS_STABILITY</x:v>
      </x:c>
      <x:c r="D57" s="34" t="str">
        <x:v>deployed rollover angle</x:v>
      </x:c>
      <x:c r="E57" s="34" t="str">
        <x:v>representative complete subsystem or full vehicle</x:v>
      </x:c>
      <x:c r="F57" s="34" t="str">
        <x:v>measured mass, reaction and upset world</x:v>
      </x:c>
      <x:c r="G57" s="34" t="str">
        <x:v>measured evidence does not sustain deployed rollover angle</x:v>
      </x:c>
      <x:c r="H57" s="34" t="str">
        <x:v>Independent Test Authority</x:v>
      </x:c>
      <x:c r="I57" s="34" t="str">
        <x:v>OPEN</x:v>
      </x:c>
      <x:c r="J57" s="36" t="n">
        <x:v>0</x:v>
      </x:c>
    </x:row>
    <x:row r="58">
      <x:c r="B58" s="34" t="str">
        <x:v>G052</x:v>
      </x:c>
      <x:c r="C58" s="34" t="str">
        <x:v>MASS_STABILITY</x:v>
      </x:c>
      <x:c r="D58" s="34" t="str">
        <x:v>lateral acceleration threshold</x:v>
      </x:c>
      <x:c r="E58" s="34" t="str">
        <x:v>representative complete subsystem or full vehicle</x:v>
      </x:c>
      <x:c r="F58" s="34" t="str">
        <x:v>measured mass, reaction and upset world</x:v>
      </x:c>
      <x:c r="G58" s="34" t="str">
        <x:v>measured evidence does not sustain lateral acceleration threshold</x:v>
      </x:c>
      <x:c r="H58" s="34" t="str">
        <x:v>Independent Test Authority</x:v>
      </x:c>
      <x:c r="I58" s="34" t="str">
        <x:v>OPEN</x:v>
      </x:c>
      <x:c r="J58" s="36" t="n">
        <x:v>0</x:v>
      </x:c>
    </x:row>
    <x:row r="59">
      <x:c r="B59" s="34" t="str">
        <x:v>G053</x:v>
      </x:c>
      <x:c r="C59" s="34" t="str">
        <x:v>MASS_STABILITY</x:v>
      </x:c>
      <x:c r="D59" s="34" t="str">
        <x:v>compound lateral casualty shift</x:v>
      </x:c>
      <x:c r="E59" s="34" t="str">
        <x:v>representative complete subsystem or full vehicle</x:v>
      </x:c>
      <x:c r="F59" s="34" t="str">
        <x:v>measured mass, reaction and upset world</x:v>
      </x:c>
      <x:c r="G59" s="34" t="str">
        <x:v>measured evidence does not sustain compound lateral casualty shift</x:v>
      </x:c>
      <x:c r="H59" s="34" t="str">
        <x:v>Independent Test Authority</x:v>
      </x:c>
      <x:c r="I59" s="34" t="str">
        <x:v>OPEN</x:v>
      </x:c>
      <x:c r="J59" s="36" t="n">
        <x:v>0</x:v>
      </x:c>
    </x:row>
    <x:row r="60">
      <x:c r="B60" s="34" t="str">
        <x:v>G054</x:v>
      </x:c>
      <x:c r="C60" s="34" t="str">
        <x:v>MASS_STABILITY</x:v>
      </x:c>
      <x:c r="D60" s="34" t="str">
        <x:v>structure mass statement</x:v>
      </x:c>
      <x:c r="E60" s="34" t="str">
        <x:v>representative complete subsystem or full vehicle</x:v>
      </x:c>
      <x:c r="F60" s="34" t="str">
        <x:v>measured mass, reaction and upset world</x:v>
      </x:c>
      <x:c r="G60" s="34" t="str">
        <x:v>measured evidence does not sustain structure mass statement</x:v>
      </x:c>
      <x:c r="H60" s="34" t="str">
        <x:v>Independent Test Authority</x:v>
      </x:c>
      <x:c r="I60" s="34" t="str">
        <x:v>OPEN</x:v>
      </x:c>
      <x:c r="J60" s="36" t="n">
        <x:v>0</x:v>
      </x:c>
    </x:row>
    <x:row r="61">
      <x:c r="B61" s="34" t="str">
        <x:v>G055</x:v>
      </x:c>
      <x:c r="C61" s="34" t="str">
        <x:v>MASS_STABILITY</x:v>
      </x:c>
      <x:c r="D61" s="34" t="str">
        <x:v>mass growth reconciliation</x:v>
      </x:c>
      <x:c r="E61" s="34" t="str">
        <x:v>representative complete subsystem or full vehicle</x:v>
      </x:c>
      <x:c r="F61" s="34" t="str">
        <x:v>measured mass, reaction and upset world</x:v>
      </x:c>
      <x:c r="G61" s="34" t="str">
        <x:v>measured evidence does not sustain mass growth reconciliation</x:v>
      </x:c>
      <x:c r="H61" s="34" t="str">
        <x:v>Independent Test Authority</x:v>
      </x:c>
      <x:c r="I61" s="34" t="str">
        <x:v>OPEN</x:v>
      </x:c>
      <x:c r="J61" s="36" t="n">
        <x:v>0</x:v>
      </x:c>
    </x:row>
    <x:row r="62">
      <x:c r="B62" s="34" t="str">
        <x:v>G056</x:v>
      </x:c>
      <x:c r="C62" s="34" t="str">
        <x:v>ENERGY_THERMAL</x:v>
      </x:c>
      <x:c r="D62" s="34" t="str">
        <x:v>5.04 MWh/t usable energy</x:v>
      </x:c>
      <x:c r="E62" s="34" t="str">
        <x:v>representative complete subsystem or full vehicle</x:v>
      </x:c>
      <x:c r="F62" s="34" t="str">
        <x:v>full-duty fire, heat and fault insertion</x:v>
      </x:c>
      <x:c r="G62" s="34" t="str">
        <x:v>measured evidence does not sustain 5.04 MWh/t usable energy</x:v>
      </x:c>
      <x:c r="H62" s="34" t="str">
        <x:v>Independent Test Authority</x:v>
      </x:c>
      <x:c r="I62" s="34" t="str">
        <x:v>OPEN</x:v>
      </x:c>
      <x:c r="J62" s="36" t="n">
        <x:v>0</x:v>
      </x:c>
    </x:row>
    <x:row r="63">
      <x:c r="B63" s="34" t="str">
        <x:v>G057</x:v>
      </x:c>
      <x:c r="C63" s="34" t="str">
        <x:v>ENERGY_THERMAL</x:v>
      </x:c>
      <x:c r="D63" s="34" t="str">
        <x:v>55 t fixed hardware</x:v>
      </x:c>
      <x:c r="E63" s="34" t="str">
        <x:v>representative complete subsystem or full vehicle</x:v>
      </x:c>
      <x:c r="F63" s="34" t="str">
        <x:v>full-duty fire, heat and fault insertion</x:v>
      </x:c>
      <x:c r="G63" s="34" t="str">
        <x:v>measured evidence does not sustain 55 t fixed hardware</x:v>
      </x:c>
      <x:c r="H63" s="34" t="str">
        <x:v>Independent Test Authority</x:v>
      </x:c>
      <x:c r="I63" s="34" t="str">
        <x:v>OPEN</x:v>
      </x:c>
      <x:c r="J63" s="36" t="n">
        <x:v>0</x:v>
      </x:c>
    </x:row>
    <x:row r="64">
      <x:c r="B64" s="34" t="str">
        <x:v>G058</x:v>
      </x:c>
      <x:c r="C64" s="34" t="str">
        <x:v>ENERGY_THERMAL</x:v>
      </x:c>
      <x:c r="D64" s="34" t="str">
        <x:v>187 t complete energy system</x:v>
      </x:c>
      <x:c r="E64" s="34" t="str">
        <x:v>representative complete subsystem or full vehicle</x:v>
      </x:c>
      <x:c r="F64" s="34" t="str">
        <x:v>full-duty fire, heat and fault insertion</x:v>
      </x:c>
      <x:c r="G64" s="34" t="str">
        <x:v>measured evidence does not sustain 187 t complete energy system</x:v>
      </x:c>
      <x:c r="H64" s="34" t="str">
        <x:v>Independent Test Authority</x:v>
      </x:c>
      <x:c r="I64" s="34" t="str">
        <x:v>OPEN</x:v>
      </x:c>
      <x:c r="J64" s="36" t="n">
        <x:v>0</x:v>
      </x:c>
    </x:row>
    <x:row r="65">
      <x:c r="B65" s="34" t="str">
        <x:v>G059</x:v>
      </x:c>
      <x:c r="C65" s="34" t="str">
        <x:v>ENERGY_THERMAL</x:v>
      </x:c>
      <x:c r="D65" s="34" t="str">
        <x:v>667 MWh onboard energy</x:v>
      </x:c>
      <x:c r="E65" s="34" t="str">
        <x:v>representative complete subsystem or full vehicle</x:v>
      </x:c>
      <x:c r="F65" s="34" t="str">
        <x:v>full-duty fire, heat and fault insertion</x:v>
      </x:c>
      <x:c r="G65" s="34" t="str">
        <x:v>measured evidence does not sustain 667 MWh onboard energy</x:v>
      </x:c>
      <x:c r="H65" s="34" t="str">
        <x:v>Independent Test Authority</x:v>
      </x:c>
      <x:c r="I65" s="34" t="str">
        <x:v>OPEN</x:v>
      </x:c>
      <x:c r="J65" s="36" t="n">
        <x:v>0</x:v>
      </x:c>
    </x:row>
    <x:row r="66">
      <x:c r="B66" s="34" t="str">
        <x:v>G060</x:v>
      </x:c>
      <x:c r="C66" s="34" t="str">
        <x:v>ENERGY_THERMAL</x:v>
      </x:c>
      <x:c r="D66" s="34" t="str">
        <x:v>17.5 percent energy reserve</x:v>
      </x:c>
      <x:c r="E66" s="34" t="str">
        <x:v>representative complete subsystem or full vehicle</x:v>
      </x:c>
      <x:c r="F66" s="34" t="str">
        <x:v>full-duty fire, heat and fault insertion</x:v>
      </x:c>
      <x:c r="G66" s="34" t="str">
        <x:v>measured evidence does not sustain 17.5 percent energy reserve</x:v>
      </x:c>
      <x:c r="H66" s="34" t="str">
        <x:v>Independent Test Authority</x:v>
      </x:c>
      <x:c r="I66" s="34" t="str">
        <x:v>OPEN</x:v>
      </x:c>
      <x:c r="J66" s="36" t="n">
        <x:v>0</x:v>
      </x:c>
    </x:row>
    <x:row r="67">
      <x:c r="B67" s="34" t="str">
        <x:v>G061</x:v>
      </x:c>
      <x:c r="C67" s="34" t="str">
        <x:v>ENERGY_THERMAL</x:v>
      </x:c>
      <x:c r="D67" s="34" t="str">
        <x:v>four 9 MW sectors</x:v>
      </x:c>
      <x:c r="E67" s="34" t="str">
        <x:v>representative complete subsystem or full vehicle</x:v>
      </x:c>
      <x:c r="F67" s="34" t="str">
        <x:v>full-duty fire, heat and fault insertion</x:v>
      </x:c>
      <x:c r="G67" s="34" t="str">
        <x:v>measured evidence does not sustain four 9 MW sectors</x:v>
      </x:c>
      <x:c r="H67" s="34" t="str">
        <x:v>Independent Test Authority</x:v>
      </x:c>
      <x:c r="I67" s="34" t="str">
        <x:v>OPEN</x:v>
      </x:c>
      <x:c r="J67" s="36" t="n">
        <x:v>0</x:v>
      </x:c>
    </x:row>
    <x:row r="68">
      <x:c r="B68" s="34" t="str">
        <x:v>G062</x:v>
      </x:c>
      <x:c r="C68" s="34" t="str">
        <x:v>ENERGY_THERMAL</x:v>
      </x:c>
      <x:c r="D68" s="34" t="str">
        <x:v>27 MW one-sector-out</x:v>
      </x:c>
      <x:c r="E68" s="34" t="str">
        <x:v>representative complete subsystem or full vehicle</x:v>
      </x:c>
      <x:c r="F68" s="34" t="str">
        <x:v>full-duty fire, heat and fault insertion</x:v>
      </x:c>
      <x:c r="G68" s="34" t="str">
        <x:v>measured evidence does not sustain 27 MW one-sector-out</x:v>
      </x:c>
      <x:c r="H68" s="34" t="str">
        <x:v>Independent Test Authority</x:v>
      </x:c>
      <x:c r="I68" s="34" t="str">
        <x:v>OPEN</x:v>
      </x:c>
      <x:c r="J68" s="36" t="n">
        <x:v>0</x:v>
      </x:c>
    </x:row>
    <x:row r="69">
      <x:c r="B69" s="34" t="str">
        <x:v>G063</x:v>
      </x:c>
      <x:c r="C69" s="34" t="str">
        <x:v>ENERGY_THERMAL</x:v>
      </x:c>
      <x:c r="D69" s="34" t="str">
        <x:v>maximum traction power</x:v>
      </x:c>
      <x:c r="E69" s="34" t="str">
        <x:v>representative complete subsystem or full vehicle</x:v>
      </x:c>
      <x:c r="F69" s="34" t="str">
        <x:v>full-duty fire, heat and fault insertion</x:v>
      </x:c>
      <x:c r="G69" s="34" t="str">
        <x:v>measured evidence does not sustain maximum traction power</x:v>
      </x:c>
      <x:c r="H69" s="34" t="str">
        <x:v>Independent Test Authority</x:v>
      </x:c>
      <x:c r="I69" s="34" t="str">
        <x:v>OPEN</x:v>
      </x:c>
      <x:c r="J69" s="36" t="n">
        <x:v>0</x:v>
      </x:c>
    </x:row>
    <x:row r="70">
      <x:c r="B70" s="34" t="str">
        <x:v>G064</x:v>
      </x:c>
      <x:c r="C70" s="34" t="str">
        <x:v>ENERGY_THERMAL</x:v>
      </x:c>
      <x:c r="D70" s="34" t="str">
        <x:v>route thermal rejection</x:v>
      </x:c>
      <x:c r="E70" s="34" t="str">
        <x:v>representative complete subsystem or full vehicle</x:v>
      </x:c>
      <x:c r="F70" s="34" t="str">
        <x:v>full-duty fire, heat and fault insertion</x:v>
      </x:c>
      <x:c r="G70" s="34" t="str">
        <x:v>measured evidence does not sustain route thermal rejection</x:v>
      </x:c>
      <x:c r="H70" s="34" t="str">
        <x:v>Independent Test Authority</x:v>
      </x:c>
      <x:c r="I70" s="34" t="str">
        <x:v>OPEN</x:v>
      </x:c>
      <x:c r="J70" s="36" t="n">
        <x:v>0</x:v>
      </x:c>
    </x:row>
    <x:row r="71">
      <x:c r="B71" s="34" t="str">
        <x:v>G065</x:v>
      </x:c>
      <x:c r="C71" s="34" t="str">
        <x:v>ENERGY_THERMAL</x:v>
      </x:c>
      <x:c r="D71" s="34" t="str">
        <x:v>stationary 36 MW rejection</x:v>
      </x:c>
      <x:c r="E71" s="34" t="str">
        <x:v>representative complete subsystem or full vehicle</x:v>
      </x:c>
      <x:c r="F71" s="34" t="str">
        <x:v>full-duty fire, heat and fault insertion</x:v>
      </x:c>
      <x:c r="G71" s="34" t="str">
        <x:v>measured evidence does not sustain stationary 36 MW rejection</x:v>
      </x:c>
      <x:c r="H71" s="34" t="str">
        <x:v>Independent Test Authority</x:v>
      </x:c>
      <x:c r="I71" s="34" t="str">
        <x:v>OPEN</x:v>
      </x:c>
      <x:c r="J71" s="36" t="n">
        <x:v>0</x:v>
      </x:c>
    </x:row>
    <x:row r="72">
      <x:c r="B72" s="34" t="str">
        <x:v>G066</x:v>
      </x:c>
      <x:c r="C72" s="34" t="str">
        <x:v>ENERGY_THERMAL</x:v>
      </x:c>
      <x:c r="D72" s="34" t="str">
        <x:v>one-sector-out thermal rejection</x:v>
      </x:c>
      <x:c r="E72" s="34" t="str">
        <x:v>representative complete subsystem or full vehicle</x:v>
      </x:c>
      <x:c r="F72" s="34" t="str">
        <x:v>full-duty fire, heat and fault insertion</x:v>
      </x:c>
      <x:c r="G72" s="34" t="str">
        <x:v>measured evidence does not sustain one-sector-out thermal rejection</x:v>
      </x:c>
      <x:c r="H72" s="34" t="str">
        <x:v>Independent Test Authority</x:v>
      </x:c>
      <x:c r="I72" s="34" t="str">
        <x:v>OPEN</x:v>
      </x:c>
      <x:c r="J72" s="36" t="n">
        <x:v>0</x:v>
      </x:c>
    </x:row>
    <x:row r="73">
      <x:c r="B73" s="34" t="str">
        <x:v>G067</x:v>
      </x:c>
      <x:c r="C73" s="34" t="str">
        <x:v>ENERGY_THERMAL</x:v>
      </x:c>
      <x:c r="D73" s="34" t="str">
        <x:v>tank volume utilization</x:v>
      </x:c>
      <x:c r="E73" s="34" t="str">
        <x:v>representative complete subsystem or full vehicle</x:v>
      </x:c>
      <x:c r="F73" s="34" t="str">
        <x:v>full-duty fire, heat and fault insertion</x:v>
      </x:c>
      <x:c r="G73" s="34" t="str">
        <x:v>measured evidence does not sustain tank volume utilization</x:v>
      </x:c>
      <x:c r="H73" s="34" t="str">
        <x:v>Independent Test Authority</x:v>
      </x:c>
      <x:c r="I73" s="34" t="str">
        <x:v>OPEN</x:v>
      </x:c>
      <x:c r="J73" s="36" t="n">
        <x:v>0</x:v>
      </x:c>
    </x:row>
    <x:row r="74">
      <x:c r="B74" s="34" t="str">
        <x:v>G068</x:v>
      </x:c>
      <x:c r="C74" s="34" t="str">
        <x:v>ENERGY_THERMAL</x:v>
      </x:c>
      <x:c r="D74" s="34" t="str">
        <x:v>hardware packed density</x:v>
      </x:c>
      <x:c r="E74" s="34" t="str">
        <x:v>representative complete subsystem or full vehicle</x:v>
      </x:c>
      <x:c r="F74" s="34" t="str">
        <x:v>full-duty fire, heat and fault insertion</x:v>
      </x:c>
      <x:c r="G74" s="34" t="str">
        <x:v>measured evidence does not sustain hardware packed density</x:v>
      </x:c>
      <x:c r="H74" s="34" t="str">
        <x:v>Independent Test Authority</x:v>
      </x:c>
      <x:c r="I74" s="34" t="str">
        <x:v>OPEN</x:v>
      </x:c>
      <x:c r="J74" s="36" t="n">
        <x:v>0</x:v>
      </x:c>
    </x:row>
    <x:row r="75">
      <x:c r="B75" s="34" t="str">
        <x:v>G069</x:v>
      </x:c>
      <x:c r="C75" s="34" t="str">
        <x:v>ENERGY_THERMAL</x:v>
      </x:c>
      <x:c r="D75" s="34" t="str">
        <x:v>sector volume reserve</x:v>
      </x:c>
      <x:c r="E75" s="34" t="str">
        <x:v>representative complete subsystem or full vehicle</x:v>
      </x:c>
      <x:c r="F75" s="34" t="str">
        <x:v>full-duty fire, heat and fault insertion</x:v>
      </x:c>
      <x:c r="G75" s="34" t="str">
        <x:v>measured evidence does not sustain sector volume reserve</x:v>
      </x:c>
      <x:c r="H75" s="34" t="str">
        <x:v>Independent Test Authority</x:v>
      </x:c>
      <x:c r="I75" s="34" t="str">
        <x:v>OPEN</x:v>
      </x:c>
      <x:c r="J75" s="36" t="n">
        <x:v>0</x:v>
      </x:c>
    </x:row>
    <x:row r="76">
      <x:c r="B76" s="34" t="str">
        <x:v>G070</x:v>
      </x:c>
      <x:c r="C76" s="34" t="str">
        <x:v>ENERGY_THERMAL</x:v>
      </x:c>
      <x:c r="D76" s="34" t="str">
        <x:v>sector tank isolation</x:v>
      </x:c>
      <x:c r="E76" s="34" t="str">
        <x:v>representative complete subsystem or full vehicle</x:v>
      </x:c>
      <x:c r="F76" s="34" t="str">
        <x:v>full-duty fire, heat and fault insertion</x:v>
      </x:c>
      <x:c r="G76" s="34" t="str">
        <x:v>measured evidence does not sustain sector tank isolation</x:v>
      </x:c>
      <x:c r="H76" s="34" t="str">
        <x:v>Independent Test Authority</x:v>
      </x:c>
      <x:c r="I76" s="34" t="str">
        <x:v>OPEN</x:v>
      </x:c>
      <x:c r="J76" s="36" t="n">
        <x:v>0</x:v>
      </x:c>
    </x:row>
    <x:row r="77">
      <x:c r="B77" s="34" t="str">
        <x:v>G071</x:v>
      </x:c>
      <x:c r="C77" s="34" t="str">
        <x:v>ENERGY_THERMAL</x:v>
      </x:c>
      <x:c r="D77" s="34" t="str">
        <x:v>sector coolant isolation</x:v>
      </x:c>
      <x:c r="E77" s="34" t="str">
        <x:v>representative complete subsystem or full vehicle</x:v>
      </x:c>
      <x:c r="F77" s="34" t="str">
        <x:v>full-duty fire, heat and fault insertion</x:v>
      </x:c>
      <x:c r="G77" s="34" t="str">
        <x:v>measured evidence does not sustain sector coolant isolation</x:v>
      </x:c>
      <x:c r="H77" s="34" t="str">
        <x:v>Independent Test Authority</x:v>
      </x:c>
      <x:c r="I77" s="34" t="str">
        <x:v>OPEN</x:v>
      </x:c>
      <x:c r="J77" s="36" t="n">
        <x:v>0</x:v>
      </x:c>
    </x:row>
    <x:row r="78">
      <x:c r="B78" s="34" t="str">
        <x:v>G072</x:v>
      </x:c>
      <x:c r="C78" s="34" t="str">
        <x:v>ENERGY_THERMAL</x:v>
      </x:c>
      <x:c r="D78" s="34" t="str">
        <x:v>sector bus isolation</x:v>
      </x:c>
      <x:c r="E78" s="34" t="str">
        <x:v>representative complete subsystem or full vehicle</x:v>
      </x:c>
      <x:c r="F78" s="34" t="str">
        <x:v>full-duty fire, heat and fault insertion</x:v>
      </x:c>
      <x:c r="G78" s="34" t="str">
        <x:v>measured evidence does not sustain sector bus isolation</x:v>
      </x:c>
      <x:c r="H78" s="34" t="str">
        <x:v>Independent Test Authority</x:v>
      </x:c>
      <x:c r="I78" s="34" t="str">
        <x:v>OPEN</x:v>
      </x:c>
      <x:c r="J78" s="36" t="n">
        <x:v>0</x:v>
      </x:c>
    </x:row>
    <x:row r="79">
      <x:c r="B79" s="34" t="str">
        <x:v>G073</x:v>
      </x:c>
      <x:c r="C79" s="34" t="str">
        <x:v>ENERGY_THERMAL</x:v>
      </x:c>
      <x:c r="D79" s="34" t="str">
        <x:v>sector vent isolation</x:v>
      </x:c>
      <x:c r="E79" s="34" t="str">
        <x:v>representative complete subsystem or full vehicle</x:v>
      </x:c>
      <x:c r="F79" s="34" t="str">
        <x:v>full-duty fire, heat and fault insertion</x:v>
      </x:c>
      <x:c r="G79" s="34" t="str">
        <x:v>measured evidence does not sustain sector vent isolation</x:v>
      </x:c>
      <x:c r="H79" s="34" t="str">
        <x:v>Independent Test Authority</x:v>
      </x:c>
      <x:c r="I79" s="34" t="str">
        <x:v>OPEN</x:v>
      </x:c>
      <x:c r="J79" s="36" t="n">
        <x:v>0</x:v>
      </x:c>
    </x:row>
    <x:row r="80">
      <x:c r="B80" s="34" t="str">
        <x:v>G074</x:v>
      </x:c>
      <x:c r="C80" s="34" t="str">
        <x:v>ENERGY_THERMAL</x:v>
      </x:c>
      <x:c r="D80" s="34" t="str">
        <x:v>sector drain isolation</x:v>
      </x:c>
      <x:c r="E80" s="34" t="str">
        <x:v>representative complete subsystem or full vehicle</x:v>
      </x:c>
      <x:c r="F80" s="34" t="str">
        <x:v>full-duty fire, heat and fault insertion</x:v>
      </x:c>
      <x:c r="G80" s="34" t="str">
        <x:v>measured evidence does not sustain sector drain isolation</x:v>
      </x:c>
      <x:c r="H80" s="34" t="str">
        <x:v>Independent Test Authority</x:v>
      </x:c>
      <x:c r="I80" s="34" t="str">
        <x:v>OPEN</x:v>
      </x:c>
      <x:c r="J80" s="36" t="n">
        <x:v>0</x:v>
      </x:c>
    </x:row>
    <x:row r="81">
      <x:c r="B81" s="34" t="str">
        <x:v>G075</x:v>
      </x:c>
      <x:c r="C81" s="34" t="str">
        <x:v>ENERGY_THERMAL</x:v>
      </x:c>
      <x:c r="D81" s="34" t="str">
        <x:v>fore-aft energy separation</x:v>
      </x:c>
      <x:c r="E81" s="34" t="str">
        <x:v>representative complete subsystem or full vehicle</x:v>
      </x:c>
      <x:c r="F81" s="34" t="str">
        <x:v>full-duty fire, heat and fault insertion</x:v>
      </x:c>
      <x:c r="G81" s="34" t="str">
        <x:v>measured evidence does not sustain fore-aft energy separation</x:v>
      </x:c>
      <x:c r="H81" s="34" t="str">
        <x:v>Independent Test Authority</x:v>
      </x:c>
      <x:c r="I81" s="34" t="str">
        <x:v>OPEN</x:v>
      </x:c>
      <x:c r="J81" s="36" t="n">
        <x:v>0</x:v>
      </x:c>
    </x:row>
    <x:row r="82">
      <x:c r="B82" s="34" t="str">
        <x:v>G076</x:v>
      </x:c>
      <x:c r="C82" s="34" t="str">
        <x:v>ENERGY_THERMAL</x:v>
      </x:c>
      <x:c r="D82" s="34" t="str">
        <x:v>120 minute fire boundary</x:v>
      </x:c>
      <x:c r="E82" s="34" t="str">
        <x:v>representative complete subsystem or full vehicle</x:v>
      </x:c>
      <x:c r="F82" s="34" t="str">
        <x:v>full-duty fire, heat and fault insertion</x:v>
      </x:c>
      <x:c r="G82" s="34" t="str">
        <x:v>measured evidence does not sustain 120 minute fire boundary</x:v>
      </x:c>
      <x:c r="H82" s="34" t="str">
        <x:v>Independent Test Authority</x:v>
      </x:c>
      <x:c r="I82" s="34" t="str">
        <x:v>OPEN</x:v>
      </x:c>
      <x:c r="J82" s="36" t="n">
        <x:v>0</x:v>
      </x:c>
    </x:row>
    <x:row r="83">
      <x:c r="B83" s="34" t="str">
        <x:v>G077</x:v>
      </x:c>
      <x:c r="C83" s="34" t="str">
        <x:v>ENERGY_THERMAL</x:v>
      </x:c>
      <x:c r="D83" s="34" t="str">
        <x:v>crew toxic-product protection</x:v>
      </x:c>
      <x:c r="E83" s="34" t="str">
        <x:v>representative complete subsystem or full vehicle</x:v>
      </x:c>
      <x:c r="F83" s="34" t="str">
        <x:v>full-duty fire, heat and fault insertion</x:v>
      </x:c>
      <x:c r="G83" s="34" t="str">
        <x:v>measured evidence does not sustain crew toxic-product protection</x:v>
      </x:c>
      <x:c r="H83" s="34" t="str">
        <x:v>Independent Test Authority</x:v>
      </x:c>
      <x:c r="I83" s="34" t="str">
        <x:v>OPEN</x:v>
      </x:c>
      <x:c r="J83" s="36" t="n">
        <x:v>0</x:v>
      </x:c>
    </x:row>
    <x:row r="84">
      <x:c r="B84" s="34" t="str">
        <x:v>G078</x:v>
      </x:c>
      <x:c r="C84" s="34" t="str">
        <x:v>ENERGY_THERMAL</x:v>
      </x:c>
      <x:c r="D84" s="34" t="str">
        <x:v>offline local dispatch</x:v>
      </x:c>
      <x:c r="E84" s="34" t="str">
        <x:v>representative complete subsystem or full vehicle</x:v>
      </x:c>
      <x:c r="F84" s="34" t="str">
        <x:v>full-duty fire, heat and fault insertion</x:v>
      </x:c>
      <x:c r="G84" s="34" t="str">
        <x:v>measured evidence does not sustain offline local dispatch</x:v>
      </x:c>
      <x:c r="H84" s="34" t="str">
        <x:v>Independent Test Authority</x:v>
      </x:c>
      <x:c r="I84" s="34" t="str">
        <x:v>OPEN</x:v>
      </x:c>
      <x:c r="J84" s="36" t="n">
        <x:v>0</x:v>
      </x:c>
    </x:row>
    <x:row r="85">
      <x:c r="B85" s="34" t="str">
        <x:v>G079</x:v>
      </x:c>
      <x:c r="C85" s="34" t="str">
        <x:v>ENERGY_THERMAL</x:v>
      </x:c>
      <x:c r="D85" s="34" t="str">
        <x:v>field thermal-module removal</x:v>
      </x:c>
      <x:c r="E85" s="34" t="str">
        <x:v>representative complete subsystem or full vehicle</x:v>
      </x:c>
      <x:c r="F85" s="34" t="str">
        <x:v>full-duty fire, heat and fault insertion</x:v>
      </x:c>
      <x:c r="G85" s="34" t="str">
        <x:v>measured evidence does not sustain field thermal-module removal</x:v>
      </x:c>
      <x:c r="H85" s="34" t="str">
        <x:v>Independent Test Authority</x:v>
      </x:c>
      <x:c r="I85" s="34" t="str">
        <x:v>OPEN</x:v>
      </x:c>
      <x:c r="J85" s="36" t="n">
        <x:v>0</x:v>
      </x:c>
    </x:row>
    <x:row r="86">
      <x:c r="B86" s="34" t="str">
        <x:v>G080</x:v>
      </x:c>
      <x:c r="C86" s="34" t="str">
        <x:v>ENERGY_THERMAL</x:v>
      </x:c>
      <x:c r="D86" s="34" t="str">
        <x:v>formation-distinct energy ancestry</x:v>
      </x:c>
      <x:c r="E86" s="34" t="str">
        <x:v>representative complete subsystem or full vehicle</x:v>
      </x:c>
      <x:c r="F86" s="34" t="str">
        <x:v>full-duty fire, heat and fault insertion</x:v>
      </x:c>
      <x:c r="G86" s="34" t="str">
        <x:v>measured evidence does not sustain formation-distinct energy ancestry</x:v>
      </x:c>
      <x:c r="H86" s="34" t="str">
        <x:v>Independent Test Authority</x:v>
      </x:c>
      <x:c r="I86" s="34" t="str">
        <x:v>OPEN</x:v>
      </x:c>
      <x:c r="J86" s="36" t="n">
        <x:v>0</x:v>
      </x:c>
    </x:row>
    <x:row r="87">
      <x:c r="B87" s="34" t="str">
        <x:v>G081</x:v>
      </x:c>
      <x:c r="C87" s="34" t="str">
        <x:v>CONTACT_ROUTE</x:v>
      </x:c>
      <x:c r="D87" s="34" t="str">
        <x:v>285 m2 deployed contact</x:v>
      </x:c>
      <x:c r="E87" s="34" t="str">
        <x:v>representative complete subsystem or full vehicle</x:v>
      </x:c>
      <x:c r="F87" s="34" t="str">
        <x:v>full-gross soil, turn and bridge world</x:v>
      </x:c>
      <x:c r="G87" s="34" t="str">
        <x:v>measured evidence does not sustain 285 m2 deployed contact</x:v>
      </x:c>
      <x:c r="H87" s="34" t="str">
        <x:v>Independent Test Authority</x:v>
      </x:c>
      <x:c r="I87" s="34" t="str">
        <x:v>OPEN</x:v>
      </x:c>
      <x:c r="J87" s="36" t="n">
        <x:v>0</x:v>
      </x:c>
    </x:row>
    <x:row r="88">
      <x:c r="B88" s="34" t="str">
        <x:v>G082</x:v>
      </x:c>
      <x:c r="C88" s="34" t="str">
        <x:v>CONTACT_ROUTE</x:v>
      </x:c>
      <x:c r="D88" s="34" t="str">
        <x:v>155 m2 transit contact</x:v>
      </x:c>
      <x:c r="E88" s="34" t="str">
        <x:v>representative complete subsystem or full vehicle</x:v>
      </x:c>
      <x:c r="F88" s="34" t="str">
        <x:v>full-gross soil, turn and bridge world</x:v>
      </x:c>
      <x:c r="G88" s="34" t="str">
        <x:v>measured evidence does not sustain 155 m2 transit contact</x:v>
      </x:c>
      <x:c r="H88" s="34" t="str">
        <x:v>Independent Test Authority</x:v>
      </x:c>
      <x:c r="I88" s="34" t="str">
        <x:v>OPEN</x:v>
      </x:c>
      <x:c r="J88" s="36" t="n">
        <x:v>0</x:v>
      </x:c>
    </x:row>
    <x:row r="89">
      <x:c r="B89" s="34" t="str">
        <x:v>G083</x:v>
      </x:c>
      <x:c r="C89" s="34" t="str">
        <x:v>CONTACT_ROUTE</x:v>
      </x:c>
      <x:c r="D89" s="34" t="str">
        <x:v>one-pod residual contact</x:v>
      </x:c>
      <x:c r="E89" s="34" t="str">
        <x:v>representative complete subsystem or full vehicle</x:v>
      </x:c>
      <x:c r="F89" s="34" t="str">
        <x:v>full-gross soil, turn and bridge world</x:v>
      </x:c>
      <x:c r="G89" s="34" t="str">
        <x:v>measured evidence does not sustain one-pod residual contact</x:v>
      </x:c>
      <x:c r="H89" s="34" t="str">
        <x:v>Independent Test Authority</x:v>
      </x:c>
      <x:c r="I89" s="34" t="str">
        <x:v>OPEN</x:v>
      </x:c>
      <x:c r="J89" s="36" t="n">
        <x:v>0</x:v>
      </x:c>
    </x:row>
    <x:row r="90">
      <x:c r="B90" s="34" t="str">
        <x:v>G084</x:v>
      </x:c>
      <x:c r="C90" s="34" t="str">
        <x:v>CONTACT_ROUTE</x:v>
      </x:c>
      <x:c r="D90" s="34" t="str">
        <x:v>one-pod compounded pressure</x:v>
      </x:c>
      <x:c r="E90" s="34" t="str">
        <x:v>representative complete subsystem or full vehicle</x:v>
      </x:c>
      <x:c r="F90" s="34" t="str">
        <x:v>full-gross soil, turn and bridge world</x:v>
      </x:c>
      <x:c r="G90" s="34" t="str">
        <x:v>measured evidence does not sustain one-pod compounded pressure</x:v>
      </x:c>
      <x:c r="H90" s="34" t="str">
        <x:v>Independent Test Authority</x:v>
      </x:c>
      <x:c r="I90" s="34" t="str">
        <x:v>OPEN</x:v>
      </x:c>
      <x:c r="J90" s="36" t="n">
        <x:v>0</x:v>
      </x:c>
    </x:row>
    <x:row r="91">
      <x:c r="B91" s="34" t="str">
        <x:v>G085</x:v>
      </x:c>
      <x:c r="C91" s="34" t="str">
        <x:v>CONTACT_ROUTE</x:v>
      </x:c>
      <x:c r="D91" s="34" t="str">
        <x:v>23.75 m2 per pod</x:v>
      </x:c>
      <x:c r="E91" s="34" t="str">
        <x:v>representative complete subsystem or full vehicle</x:v>
      </x:c>
      <x:c r="F91" s="34" t="str">
        <x:v>full-gross soil, turn and bridge world</x:v>
      </x:c>
      <x:c r="G91" s="34" t="str">
        <x:v>measured evidence does not sustain 23.75 m2 per pod</x:v>
      </x:c>
      <x:c r="H91" s="34" t="str">
        <x:v>Independent Test Authority</x:v>
      </x:c>
      <x:c r="I91" s="34" t="str">
        <x:v>OPEN</x:v>
      </x:c>
      <x:c r="J91" s="36" t="n">
        <x:v>0</x:v>
      </x:c>
    </x:row>
    <x:row r="92">
      <x:c r="B92" s="34" t="str">
        <x:v>G086</x:v>
      </x:c>
      <x:c r="C92" s="34" t="str">
        <x:v>CONTACT_ROUTE</x:v>
      </x:c>
      <x:c r="D92" s="34" t="str">
        <x:v>pod extension sweep</x:v>
      </x:c>
      <x:c r="E92" s="34" t="str">
        <x:v>representative complete subsystem or full vehicle</x:v>
      </x:c>
      <x:c r="F92" s="34" t="str">
        <x:v>full-gross soil, turn and bridge world</x:v>
      </x:c>
      <x:c r="G92" s="34" t="str">
        <x:v>measured evidence does not sustain pod extension sweep</x:v>
      </x:c>
      <x:c r="H92" s="34" t="str">
        <x:v>Independent Test Authority</x:v>
      </x:c>
      <x:c r="I92" s="34" t="str">
        <x:v>OPEN</x:v>
      </x:c>
      <x:c r="J92" s="36" t="n">
        <x:v>0</x:v>
      </x:c>
    </x:row>
    <x:row r="93">
      <x:c r="B93" s="34" t="str">
        <x:v>G087</x:v>
      </x:c>
      <x:c r="C93" s="34" t="str">
        <x:v>CONTACT_ROUTE</x:v>
      </x:c>
      <x:c r="D93" s="34" t="str">
        <x:v>minimum pod gap</x:v>
      </x:c>
      <x:c r="E93" s="34" t="str">
        <x:v>representative complete subsystem or full vehicle</x:v>
      </x:c>
      <x:c r="F93" s="34" t="str">
        <x:v>full-gross soil, turn and bridge world</x:v>
      </x:c>
      <x:c r="G93" s="34" t="str">
        <x:v>measured evidence does not sustain minimum pod gap</x:v>
      </x:c>
      <x:c r="H93" s="34" t="str">
        <x:v>Independent Test Authority</x:v>
      </x:c>
      <x:c r="I93" s="34" t="str">
        <x:v>OPEN</x:v>
      </x:c>
      <x:c r="J93" s="36" t="n">
        <x:v>0</x:v>
      </x:c>
    </x:row>
    <x:row r="94">
      <x:c r="B94" s="34" t="str">
        <x:v>G088</x:v>
      </x:c>
      <x:c r="C94" s="34" t="str">
        <x:v>CONTACT_ROUTE</x:v>
      </x:c>
      <x:c r="D94" s="34" t="str">
        <x:v>joint-to-pod clearance</x:v>
      </x:c>
      <x:c r="E94" s="34" t="str">
        <x:v>representative complete subsystem or full vehicle</x:v>
      </x:c>
      <x:c r="F94" s="34" t="str">
        <x:v>full-gross soil, turn and bridge world</x:v>
      </x:c>
      <x:c r="G94" s="34" t="str">
        <x:v>measured evidence does not sustain joint-to-pod clearance</x:v>
      </x:c>
      <x:c r="H94" s="34" t="str">
        <x:v>Independent Test Authority</x:v>
      </x:c>
      <x:c r="I94" s="34" t="str">
        <x:v>OPEN</x:v>
      </x:c>
      <x:c r="J94" s="36" t="n">
        <x:v>0</x:v>
      </x:c>
    </x:row>
    <x:row r="95">
      <x:c r="B95" s="34" t="str">
        <x:v>G089</x:v>
      </x:c>
      <x:c r="C95" s="34" t="str">
        <x:v>CONTACT_ROUTE</x:v>
      </x:c>
      <x:c r="D95" s="34" t="str">
        <x:v>25 m turn radius</x:v>
      </x:c>
      <x:c r="E95" s="34" t="str">
        <x:v>representative complete subsystem or full vehicle</x:v>
      </x:c>
      <x:c r="F95" s="34" t="str">
        <x:v>full-gross soil, turn and bridge world</x:v>
      </x:c>
      <x:c r="G95" s="34" t="str">
        <x:v>measured evidence does not sustain 25 m turn radius</x:v>
      </x:c>
      <x:c r="H95" s="34" t="str">
        <x:v>Independent Test Authority</x:v>
      </x:c>
      <x:c r="I95" s="34" t="str">
        <x:v>OPEN</x:v>
      </x:c>
      <x:c r="J95" s="36" t="n">
        <x:v>0</x:v>
      </x:c>
    </x:row>
    <x:row r="96">
      <x:c r="B96" s="34" t="str">
        <x:v>G090</x:v>
      </x:c>
      <x:c r="C96" s="34" t="str">
        <x:v>CONTACT_ROUTE</x:v>
      </x:c>
      <x:c r="D96" s="34" t="str">
        <x:v>30 degree joint yaw</x:v>
      </x:c>
      <x:c r="E96" s="34" t="str">
        <x:v>representative complete subsystem or full vehicle</x:v>
      </x:c>
      <x:c r="F96" s="34" t="str">
        <x:v>full-gross soil, turn and bridge world</x:v>
      </x:c>
      <x:c r="G96" s="34" t="str">
        <x:v>measured evidence does not sustain 30 degree joint yaw</x:v>
      </x:c>
      <x:c r="H96" s="34" t="str">
        <x:v>Independent Test Authority</x:v>
      </x:c>
      <x:c r="I96" s="34" t="str">
        <x:v>OPEN</x:v>
      </x:c>
      <x:c r="J96" s="36" t="n">
        <x:v>0</x:v>
      </x:c>
    </x:row>
    <x:row r="97">
      <x:c r="B97" s="34" t="str">
        <x:v>G091</x:v>
      </x:c>
      <x:c r="C97" s="34" t="str">
        <x:v>CONTACT_ROUTE</x:v>
      </x:c>
      <x:c r="D97" s="34" t="str">
        <x:v>four-body swept width</x:v>
      </x:c>
      <x:c r="E97" s="34" t="str">
        <x:v>representative complete subsystem or full vehicle</x:v>
      </x:c>
      <x:c r="F97" s="34" t="str">
        <x:v>full-gross soil, turn and bridge world</x:v>
      </x:c>
      <x:c r="G97" s="34" t="str">
        <x:v>measured evidence does not sustain four-body swept width</x:v>
      </x:c>
      <x:c r="H97" s="34" t="str">
        <x:v>Independent Test Authority</x:v>
      </x:c>
      <x:c r="I97" s="34" t="str">
        <x:v>OPEN</x:v>
      </x:c>
      <x:c r="J97" s="36" t="n">
        <x:v>0</x:v>
      </x:c>
    </x:row>
    <x:row r="98">
      <x:c r="B98" s="34" t="str">
        <x:v>G092</x:v>
      </x:c>
      <x:c r="C98" s="34" t="str">
        <x:v>CONTACT_ROUTE</x:v>
      </x:c>
      <x:c r="D98" s="34" t="str">
        <x:v>rigid-deck control failure</x:v>
      </x:c>
      <x:c r="E98" s="34" t="str">
        <x:v>representative complete subsystem or full vehicle</x:v>
      </x:c>
      <x:c r="F98" s="34" t="str">
        <x:v>full-gross soil, turn and bridge world</x:v>
      </x:c>
      <x:c r="G98" s="34" t="str">
        <x:v>measured evidence does not sustain rigid-deck control failure</x:v>
      </x:c>
      <x:c r="H98" s="34" t="str">
        <x:v>Independent Test Authority</x:v>
      </x:c>
      <x:c r="I98" s="34" t="str">
        <x:v>OPEN</x:v>
      </x:c>
      <x:c r="J98" s="36" t="n">
        <x:v>0</x:v>
      </x:c>
    </x:row>
    <x:row r="99">
      <x:c r="B99" s="34" t="str">
        <x:v>G093</x:v>
      </x:c>
      <x:c r="C99" s="34" t="str">
        <x:v>CONTACT_ROUTE</x:v>
      </x:c>
      <x:c r="D99" s="34" t="str">
        <x:v>20 m clear gap</x:v>
      </x:c>
      <x:c r="E99" s="34" t="str">
        <x:v>representative complete subsystem or full vehicle</x:v>
      </x:c>
      <x:c r="F99" s="34" t="str">
        <x:v>full-gross soil, turn and bridge world</x:v>
      </x:c>
      <x:c r="G99" s="34" t="str">
        <x:v>measured evidence does not sustain 20 m clear gap</x:v>
      </x:c>
      <x:c r="H99" s="34" t="str">
        <x:v>Independent Test Authority</x:v>
      </x:c>
      <x:c r="I99" s="34" t="str">
        <x:v>OPEN</x:v>
      </x:c>
      <x:c r="J99" s="36" t="n">
        <x:v>0</x:v>
      </x:c>
    </x:row>
    <x:row r="100">
      <x:c r="B100" s="34" t="str">
        <x:v>G094</x:v>
      </x:c>
      <x:c r="C100" s="34" t="str">
        <x:v>CONTACT_ROUTE</x:v>
      </x:c>
      <x:c r="D100" s="34" t="str">
        <x:v>2.5 m fore bearing</x:v>
      </x:c>
      <x:c r="E100" s="34" t="str">
        <x:v>representative complete subsystem or full vehicle</x:v>
      </x:c>
      <x:c r="F100" s="34" t="str">
        <x:v>full-gross soil, turn and bridge world</x:v>
      </x:c>
      <x:c r="G100" s="34" t="str">
        <x:v>measured evidence does not sustain 2.5 m fore bearing</x:v>
      </x:c>
      <x:c r="H100" s="34" t="str">
        <x:v>Independent Test Authority</x:v>
      </x:c>
      <x:c r="I100" s="34" t="str">
        <x:v>OPEN</x:v>
      </x:c>
      <x:c r="J100" s="36" t="n">
        <x:v>0</x:v>
      </x:c>
    </x:row>
    <x:row r="101">
      <x:c r="B101" s="34" t="str">
        <x:v>G095</x:v>
      </x:c>
      <x:c r="C101" s="34" t="str">
        <x:v>CONTACT_ROUTE</x:v>
      </x:c>
      <x:c r="D101" s="34" t="str">
        <x:v>2.5 m aft bearing</x:v>
      </x:c>
      <x:c r="E101" s="34" t="str">
        <x:v>representative complete subsystem or full vehicle</x:v>
      </x:c>
      <x:c r="F101" s="34" t="str">
        <x:v>full-gross soil, turn and bridge world</x:v>
      </x:c>
      <x:c r="G101" s="34" t="str">
        <x:v>measured evidence does not sustain 2.5 m aft bearing</x:v>
      </x:c>
      <x:c r="H101" s="34" t="str">
        <x:v>Independent Test Authority</x:v>
      </x:c>
      <x:c r="I101" s="34" t="str">
        <x:v>OPEN</x:v>
      </x:c>
      <x:c r="J101" s="36" t="n">
        <x:v>0</x:v>
      </x:c>
    </x:row>
    <x:row r="102">
      <x:c r="B102" s="34" t="str">
        <x:v>G096</x:v>
      </x:c>
      <x:c r="C102" s="34" t="str">
        <x:v>CONTACT_ROUTE</x:v>
      </x:c>
      <x:c r="D102" s="34" t="str">
        <x:v>six bridge modules carried</x:v>
      </x:c>
      <x:c r="E102" s="34" t="str">
        <x:v>representative complete subsystem or full vehicle</x:v>
      </x:c>
      <x:c r="F102" s="34" t="str">
        <x:v>full-gross soil, turn and bridge world</x:v>
      </x:c>
      <x:c r="G102" s="34" t="str">
        <x:v>measured evidence does not sustain six bridge modules carried</x:v>
      </x:c>
      <x:c r="H102" s="34" t="str">
        <x:v>Independent Test Authority</x:v>
      </x:c>
      <x:c r="I102" s="34" t="str">
        <x:v>OPEN</x:v>
      </x:c>
      <x:c r="J102" s="36" t="n">
        <x:v>0</x:v>
      </x:c>
    </x:row>
    <x:row r="103">
      <x:c r="B103" s="34" t="str">
        <x:v>G097</x:v>
      </x:c>
      <x:c r="C103" s="34" t="str">
        <x:v>CONTACT_ROUTE</x:v>
      </x:c>
      <x:c r="D103" s="34" t="str">
        <x:v>five modules after one loss</x:v>
      </x:c>
      <x:c r="E103" s="34" t="str">
        <x:v>representative complete subsystem or full vehicle</x:v>
      </x:c>
      <x:c r="F103" s="34" t="str">
        <x:v>full-gross soil, turn and bridge world</x:v>
      </x:c>
      <x:c r="G103" s="34" t="str">
        <x:v>measured evidence does not sustain five modules after one loss</x:v>
      </x:c>
      <x:c r="H103" s="34" t="str">
        <x:v>Independent Test Authority</x:v>
      </x:c>
      <x:c r="I103" s="34" t="str">
        <x:v>OPEN</x:v>
      </x:c>
      <x:c r="J103" s="36" t="n">
        <x:v>0</x:v>
      </x:c>
    </x:row>
    <x:row r="104">
      <x:c r="B104" s="34" t="str">
        <x:v>G098</x:v>
      </x:c>
      <x:c r="C104" s="34" t="str">
        <x:v>CONTACT_ROUTE</x:v>
      </x:c>
      <x:c r="D104" s="34" t="str">
        <x:v>paired half-width leaves</x:v>
      </x:c>
      <x:c r="E104" s="34" t="str">
        <x:v>representative complete subsystem or full vehicle</x:v>
      </x:c>
      <x:c r="F104" s="34" t="str">
        <x:v>full-gross soil, turn and bridge world</x:v>
      </x:c>
      <x:c r="G104" s="34" t="str">
        <x:v>measured evidence does not sustain paired half-width leaves</x:v>
      </x:c>
      <x:c r="H104" s="34" t="str">
        <x:v>Independent Test Authority</x:v>
      </x:c>
      <x:c r="I104" s="34" t="str">
        <x:v>OPEN</x:v>
      </x:c>
      <x:c r="J104" s="36" t="n">
        <x:v>0</x:v>
      </x:c>
    </x:row>
    <x:row r="105">
      <x:c r="B105" s="34" t="str">
        <x:v>G099</x:v>
      </x:c>
      <x:c r="C105" s="34" t="str">
        <x:v>CONTACT_ROUTE</x:v>
      </x:c>
      <x:c r="D105" s="34" t="str">
        <x:v>bridge bending moment</x:v>
      </x:c>
      <x:c r="E105" s="34" t="str">
        <x:v>representative complete subsystem or full vehicle</x:v>
      </x:c>
      <x:c r="F105" s="34" t="str">
        <x:v>full-gross soil, turn and bridge world</x:v>
      </x:c>
      <x:c r="G105" s="34" t="str">
        <x:v>measured evidence does not sustain bridge bending moment</x:v>
      </x:c>
      <x:c r="H105" s="34" t="str">
        <x:v>Independent Test Authority</x:v>
      </x:c>
      <x:c r="I105" s="34" t="str">
        <x:v>OPEN</x:v>
      </x:c>
      <x:c r="J105" s="36" t="n">
        <x:v>0</x:v>
      </x:c>
    </x:row>
    <x:row r="106">
      <x:c r="B106" s="34" t="str">
        <x:v>G100</x:v>
      </x:c>
      <x:c r="C106" s="34" t="str">
        <x:v>CONTACT_ROUTE</x:v>
      </x:c>
      <x:c r="D106" s="34" t="str">
        <x:v>bridge chord area</x:v>
      </x:c>
      <x:c r="E106" s="34" t="str">
        <x:v>representative complete subsystem or full vehicle</x:v>
      </x:c>
      <x:c r="F106" s="34" t="str">
        <x:v>full-gross soil, turn and bridge world</x:v>
      </x:c>
      <x:c r="G106" s="34" t="str">
        <x:v>measured evidence does not sustain bridge chord area</x:v>
      </x:c>
      <x:c r="H106" s="34" t="str">
        <x:v>Independent Test Authority</x:v>
      </x:c>
      <x:c r="I106" s="34" t="str">
        <x:v>OPEN</x:v>
      </x:c>
      <x:c r="J106" s="36" t="n">
        <x:v>0</x:v>
      </x:c>
    </x:row>
    <x:row r="107">
      <x:c r="B107" s="34" t="str">
        <x:v>G101</x:v>
      </x:c>
      <x:c r="C107" s="34" t="str">
        <x:v>CONTACT_ROUTE</x:v>
      </x:c>
      <x:c r="D107" s="34" t="str">
        <x:v>bridge structural multiplier</x:v>
      </x:c>
      <x:c r="E107" s="34" t="str">
        <x:v>representative complete subsystem or full vehicle</x:v>
      </x:c>
      <x:c r="F107" s="34" t="str">
        <x:v>full-gross soil, turn and bridge world</x:v>
      </x:c>
      <x:c r="G107" s="34" t="str">
        <x:v>measured evidence does not sustain bridge structural multiplier</x:v>
      </x:c>
      <x:c r="H107" s="34" t="str">
        <x:v>Independent Test Authority</x:v>
      </x:c>
      <x:c r="I107" s="34" t="str">
        <x:v>OPEN</x:v>
      </x:c>
      <x:c r="J107" s="36" t="n">
        <x:v>0</x:v>
      </x:c>
    </x:row>
    <x:row r="108">
      <x:c r="B108" s="34" t="str">
        <x:v>G102</x:v>
      </x:c>
      <x:c r="C108" s="34" t="str">
        <x:v>CONTACT_ROUTE</x:v>
      </x:c>
      <x:c r="D108" s="34" t="str">
        <x:v>split-keel volume</x:v>
      </x:c>
      <x:c r="E108" s="34" t="str">
        <x:v>representative complete subsystem or full vehicle</x:v>
      </x:c>
      <x:c r="F108" s="34" t="str">
        <x:v>full-gross soil, turn and bridge world</x:v>
      </x:c>
      <x:c r="G108" s="34" t="str">
        <x:v>measured evidence does not sustain split-keel volume</x:v>
      </x:c>
      <x:c r="H108" s="34" t="str">
        <x:v>Independent Test Authority</x:v>
      </x:c>
      <x:c r="I108" s="34" t="str">
        <x:v>OPEN</x:v>
      </x:c>
      <x:c r="J108" s="36" t="n">
        <x:v>0</x:v>
      </x:c>
    </x:row>
    <x:row r="109">
      <x:c r="B109" s="34" t="str">
        <x:v>G103</x:v>
      </x:c>
      <x:c r="C109" s="34" t="str">
        <x:v>CONTACT_ROUTE</x:v>
      </x:c>
      <x:c r="D109" s="34" t="str">
        <x:v>1.75 hour bridge deployment</x:v>
      </x:c>
      <x:c r="E109" s="34" t="str">
        <x:v>representative complete subsystem or full vehicle</x:v>
      </x:c>
      <x:c r="F109" s="34" t="str">
        <x:v>full-gross soil, turn and bridge world</x:v>
      </x:c>
      <x:c r="G109" s="34" t="str">
        <x:v>measured evidence does not sustain 1.75 hour bridge deployment</x:v>
      </x:c>
      <x:c r="H109" s="34" t="str">
        <x:v>Independent Test Authority</x:v>
      </x:c>
      <x:c r="I109" s="34" t="str">
        <x:v>OPEN</x:v>
      </x:c>
      <x:c r="J109" s="36" t="n">
        <x:v>0</x:v>
      </x:c>
    </x:row>
    <x:row r="110">
      <x:c r="B110" s="34" t="str">
        <x:v>G104</x:v>
      </x:c>
      <x:c r="C110" s="34" t="str">
        <x:v>CONTACT_ROUTE</x:v>
      </x:c>
      <x:c r="D110" s="34" t="str">
        <x:v>network-denied route assembly</x:v>
      </x:c>
      <x:c r="E110" s="34" t="str">
        <x:v>representative complete subsystem or full vehicle</x:v>
      </x:c>
      <x:c r="F110" s="34" t="str">
        <x:v>full-gross soil, turn and bridge world</x:v>
      </x:c>
      <x:c r="G110" s="34" t="str">
        <x:v>measured evidence does not sustain network-denied route assembly</x:v>
      </x:c>
      <x:c r="H110" s="34" t="str">
        <x:v>Independent Test Authority</x:v>
      </x:c>
      <x:c r="I110" s="34" t="str">
        <x:v>OPEN</x:v>
      </x:c>
      <x:c r="J110" s="36" t="n">
        <x:v>0</x:v>
      </x:c>
    </x:row>
    <x:row r="111">
      <x:c r="B111" s="34" t="str">
        <x:v>G105</x:v>
      </x:c>
      <x:c r="C111" s="34" t="str">
        <x:v>CONTACT_ROUTE</x:v>
      </x:c>
      <x:c r="D111" s="34" t="str">
        <x:v>800 km route completion</x:v>
      </x:c>
      <x:c r="E111" s="34" t="str">
        <x:v>representative complete subsystem or full vehicle</x:v>
      </x:c>
      <x:c r="F111" s="34" t="str">
        <x:v>full-gross soil, turn and bridge world</x:v>
      </x:c>
      <x:c r="G111" s="34" t="str">
        <x:v>measured evidence does not sustain 800 km route completion</x:v>
      </x:c>
      <x:c r="H111" s="34" t="str">
        <x:v>Independent Test Authority</x:v>
      </x:c>
      <x:c r="I111" s="34" t="str">
        <x:v>OPEN</x:v>
      </x:c>
      <x:c r="J111" s="36" t="n">
        <x:v>0</x:v>
      </x:c>
    </x:row>
    <x:row r="112">
      <x:c r="B112" s="34" t="str">
        <x:v>G106</x:v>
      </x:c>
      <x:c r="C112" s="34" t="str">
        <x:v>CREW_PAYLOAD</x:v>
      </x:c>
      <x:c r="D112" s="34" t="str">
        <x:v>eight dry cradles</x:v>
      </x:c>
      <x:c r="E112" s="34" t="str">
        <x:v>representative complete subsystem or full vehicle</x:v>
      </x:c>
      <x:c r="F112" s="34" t="str">
        <x:v>occupied unload and casualty trial</x:v>
      </x:c>
      <x:c r="G112" s="34" t="str">
        <x:v>measured evidence does not sustain eight dry cradles</x:v>
      </x:c>
      <x:c r="H112" s="34" t="str">
        <x:v>Independent Test Authority</x:v>
      </x:c>
      <x:c r="I112" s="34" t="str">
        <x:v>OPEN</x:v>
      </x:c>
      <x:c r="J112" s="36" t="n">
        <x:v>0</x:v>
      </x:c>
    </x:row>
    <x:row r="113">
      <x:c r="B113" s="34" t="str">
        <x:v>G107</x:v>
      </x:c>
      <x:c r="C113" s="34" t="str">
        <x:v>CREW_PAYLOAD</x:v>
      </x:c>
      <x:c r="D113" s="34" t="str">
        <x:v>one segregated wet well</x:v>
      </x:c>
      <x:c r="E113" s="34" t="str">
        <x:v>representative complete subsystem or full vehicle</x:v>
      </x:c>
      <x:c r="F113" s="34" t="str">
        <x:v>occupied unload and casualty trial</x:v>
      </x:c>
      <x:c r="G113" s="34" t="str">
        <x:v>measured evidence does not sustain one segregated wet well</x:v>
      </x:c>
      <x:c r="H113" s="34" t="str">
        <x:v>Independent Test Authority</x:v>
      </x:c>
      <x:c r="I113" s="34" t="str">
        <x:v>OPEN</x:v>
      </x:c>
      <x:c r="J113" s="36" t="n">
        <x:v>0</x:v>
      </x:c>
    </x:row>
    <x:row r="114">
      <x:c r="B114" s="34" t="str">
        <x:v>G108</x:v>
      </x:c>
      <x:c r="C114" s="34" t="str">
        <x:v>CREW_PAYLOAD</x:v>
      </x:c>
      <x:c r="D114" s="34" t="str">
        <x:v>two unload faces</x:v>
      </x:c>
      <x:c r="E114" s="34" t="str">
        <x:v>representative complete subsystem or full vehicle</x:v>
      </x:c>
      <x:c r="F114" s="34" t="str">
        <x:v>occupied unload and casualty trial</x:v>
      </x:c>
      <x:c r="G114" s="34" t="str">
        <x:v>measured evidence does not sustain two unload faces</x:v>
      </x:c>
      <x:c r="H114" s="34" t="str">
        <x:v>Independent Test Authority</x:v>
      </x:c>
      <x:c r="I114" s="34" t="str">
        <x:v>OPEN</x:v>
      </x:c>
      <x:c r="J114" s="36" t="n">
        <x:v>0</x:v>
      </x:c>
    </x:row>
    <x:row r="115">
      <x:c r="B115" s="34" t="str">
        <x:v>G109</x:v>
      </x:c>
      <x:c r="C115" s="34" t="str">
        <x:v>CREW_PAYLOAD</x:v>
      </x:c>
      <x:c r="D115" s="34" t="str">
        <x:v>one-face-out unload</x:v>
      </x:c>
      <x:c r="E115" s="34" t="str">
        <x:v>representative complete subsystem or full vehicle</x:v>
      </x:c>
      <x:c r="F115" s="34" t="str">
        <x:v>occupied unload and casualty trial</x:v>
      </x:c>
      <x:c r="G115" s="34" t="str">
        <x:v>measured evidence does not sustain one-face-out unload</x:v>
      </x:c>
      <x:c r="H115" s="34" t="str">
        <x:v>Independent Test Authority</x:v>
      </x:c>
      <x:c r="I115" s="34" t="str">
        <x:v>OPEN</x:v>
      </x:c>
      <x:c r="J115" s="36" t="n">
        <x:v>0</x:v>
      </x:c>
    </x:row>
    <x:row r="116">
      <x:c r="B116" s="34" t="str">
        <x:v>G110</x:v>
      </x:c>
      <x:c r="C116" s="34" t="str">
        <x:v>CREW_PAYLOAD</x:v>
      </x:c>
      <x:c r="D116" s="34" t="str">
        <x:v>no trapped unload wave</x:v>
      </x:c>
      <x:c r="E116" s="34" t="str">
        <x:v>representative complete subsystem or full vehicle</x:v>
      </x:c>
      <x:c r="F116" s="34" t="str">
        <x:v>occupied unload and casualty trial</x:v>
      </x:c>
      <x:c r="G116" s="34" t="str">
        <x:v>measured evidence does not sustain no trapped unload wave</x:v>
      </x:c>
      <x:c r="H116" s="34" t="str">
        <x:v>Independent Test Authority</x:v>
      </x:c>
      <x:c r="I116" s="34" t="str">
        <x:v>OPEN</x:v>
      </x:c>
      <x:c r="J116" s="36" t="n">
        <x:v>0</x:v>
      </x:c>
    </x:row>
    <x:row r="117">
      <x:c r="B117" s="34" t="str">
        <x:v>G111</x:v>
      </x:c>
      <x:c r="C117" s="34" t="str">
        <x:v>CREW_PAYLOAD</x:v>
      </x:c>
      <x:c r="D117" s="34" t="str">
        <x:v>six-seat forward refuge</x:v>
      </x:c>
      <x:c r="E117" s="34" t="str">
        <x:v>representative complete subsystem or full vehicle</x:v>
      </x:c>
      <x:c r="F117" s="34" t="str">
        <x:v>occupied unload and casualty trial</x:v>
      </x:c>
      <x:c r="G117" s="34" t="str">
        <x:v>measured evidence does not sustain six-seat forward refuge</x:v>
      </x:c>
      <x:c r="H117" s="34" t="str">
        <x:v>Independent Test Authority</x:v>
      </x:c>
      <x:c r="I117" s="34" t="str">
        <x:v>OPEN</x:v>
      </x:c>
      <x:c r="J117" s="36" t="n">
        <x:v>0</x:v>
      </x:c>
    </x:row>
    <x:row r="118">
      <x:c r="B118" s="34" t="str">
        <x:v>G112</x:v>
      </x:c>
      <x:c r="C118" s="34" t="str">
        <x:v>CREW_PAYLOAD</x:v>
      </x:c>
      <x:c r="D118" s="34" t="str">
        <x:v>four-seat aft refuge</x:v>
      </x:c>
      <x:c r="E118" s="34" t="str">
        <x:v>representative complete subsystem or full vehicle</x:v>
      </x:c>
      <x:c r="F118" s="34" t="str">
        <x:v>occupied unload and casualty trial</x:v>
      </x:c>
      <x:c r="G118" s="34" t="str">
        <x:v>measured evidence does not sustain four-seat aft refuge</x:v>
      </x:c>
      <x:c r="H118" s="34" t="str">
        <x:v>Independent Test Authority</x:v>
      </x:c>
      <x:c r="I118" s="34" t="str">
        <x:v>OPEN</x:v>
      </x:c>
      <x:c r="J118" s="36" t="n">
        <x:v>0</x:v>
      </x:c>
    </x:row>
    <x:row r="119">
      <x:c r="B119" s="34" t="str">
        <x:v>G113</x:v>
      </x:c>
      <x:c r="C119" s="34" t="str">
        <x:v>CREW_PAYLOAD</x:v>
      </x:c>
      <x:c r="D119" s="34" t="str">
        <x:v>two exits per refuge</x:v>
      </x:c>
      <x:c r="E119" s="34" t="str">
        <x:v>representative complete subsystem or full vehicle</x:v>
      </x:c>
      <x:c r="F119" s="34" t="str">
        <x:v>occupied unload and casualty trial</x:v>
      </x:c>
      <x:c r="G119" s="34" t="str">
        <x:v>measured evidence does not sustain two exits per refuge</x:v>
      </x:c>
      <x:c r="H119" s="34" t="str">
        <x:v>Independent Test Authority</x:v>
      </x:c>
      <x:c r="I119" s="34" t="str">
        <x:v>OPEN</x:v>
      </x:c>
      <x:c r="J119" s="36" t="n">
        <x:v>0</x:v>
      </x:c>
    </x:row>
    <x:row r="120">
      <x:c r="B120" s="34" t="str">
        <x:v>G114</x:v>
      </x:c>
      <x:c r="C120" s="34" t="str">
        <x:v>CREW_PAYLOAD</x:v>
      </x:c>
      <x:c r="D120" s="34" t="str">
        <x:v>maximum seven-metre egress</x:v>
      </x:c>
      <x:c r="E120" s="34" t="str">
        <x:v>representative complete subsystem or full vehicle</x:v>
      </x:c>
      <x:c r="F120" s="34" t="str">
        <x:v>occupied unload and casualty trial</x:v>
      </x:c>
      <x:c r="G120" s="34" t="str">
        <x:v>measured evidence does not sustain maximum seven-metre egress</x:v>
      </x:c>
      <x:c r="H120" s="34" t="str">
        <x:v>Independent Test Authority</x:v>
      </x:c>
      <x:c r="I120" s="34" t="str">
        <x:v>OPEN</x:v>
      </x:c>
      <x:c r="J120" s="36" t="n">
        <x:v>0</x:v>
      </x:c>
    </x:row>
    <x:row r="121">
      <x:c r="B121" s="34" t="str">
        <x:v>G115</x:v>
      </x:c>
      <x:c r="C121" s="34" t="str">
        <x:v>CREW_PAYLOAD</x:v>
      </x:c>
      <x:c r="D121" s="34" t="str">
        <x:v>independent survival power</x:v>
      </x:c>
      <x:c r="E121" s="34" t="str">
        <x:v>representative complete subsystem or full vehicle</x:v>
      </x:c>
      <x:c r="F121" s="34" t="str">
        <x:v>occupied unload and casualty trial</x:v>
      </x:c>
      <x:c r="G121" s="34" t="str">
        <x:v>measured evidence does not sustain independent survival power</x:v>
      </x:c>
      <x:c r="H121" s="34" t="str">
        <x:v>Independent Test Authority</x:v>
      </x:c>
      <x:c r="I121" s="34" t="str">
        <x:v>OPEN</x:v>
      </x:c>
      <x:c r="J121" s="36" t="n">
        <x:v>0</x:v>
      </x:c>
    </x:row>
    <x:row r="122">
      <x:c r="B122" s="34" t="str">
        <x:v>G116</x:v>
      </x:c>
      <x:c r="C122" s="34" t="str">
        <x:v>CREW_PAYLOAD</x:v>
      </x:c>
      <x:c r="D122" s="34" t="str">
        <x:v>one-refuge-out control</x:v>
      </x:c>
      <x:c r="E122" s="34" t="str">
        <x:v>representative complete subsystem or full vehicle</x:v>
      </x:c>
      <x:c r="F122" s="34" t="str">
        <x:v>occupied unload and casualty trial</x:v>
      </x:c>
      <x:c r="G122" s="34" t="str">
        <x:v>measured evidence does not sustain one-refuge-out control</x:v>
      </x:c>
      <x:c r="H122" s="34" t="str">
        <x:v>Independent Test Authority</x:v>
      </x:c>
      <x:c r="I122" s="34" t="str">
        <x:v>OPEN</x:v>
      </x:c>
      <x:c r="J122" s="36" t="n">
        <x:v>0</x:v>
      </x:c>
    </x:row>
    <x:row r="123">
      <x:c r="B123" s="34" t="str">
        <x:v>G117</x:v>
      </x:c>
      <x:c r="C123" s="34" t="str">
        <x:v>CREW_PAYLOAD</x:v>
      </x:c>
      <x:c r="D123" s="34" t="str">
        <x:v>crew-free bridge placement</x:v>
      </x:c>
      <x:c r="E123" s="34" t="str">
        <x:v>representative complete subsystem or full vehicle</x:v>
      </x:c>
      <x:c r="F123" s="34" t="str">
        <x:v>occupied unload and casualty trial</x:v>
      </x:c>
      <x:c r="G123" s="34" t="str">
        <x:v>measured evidence does not sustain crew-free bridge placement</x:v>
      </x:c>
      <x:c r="H123" s="34" t="str">
        <x:v>Independent Test Authority</x:v>
      </x:c>
      <x:c r="I123" s="34" t="str">
        <x:v>OPEN</x:v>
      </x:c>
      <x:c r="J123" s="36" t="n">
        <x:v>0</x:v>
      </x:c>
    </x:row>
    <x:row r="124">
      <x:c r="B124" s="34" t="str">
        <x:v>G118</x:v>
      </x:c>
      <x:c r="C124" s="34" t="str">
        <x:v>CREW_PAYLOAD</x:v>
      </x:c>
      <x:c r="D124" s="34" t="str">
        <x:v>payload casualty separation</x:v>
      </x:c>
      <x:c r="E124" s="34" t="str">
        <x:v>representative complete subsystem or full vehicle</x:v>
      </x:c>
      <x:c r="F124" s="34" t="str">
        <x:v>occupied unload and casualty trial</x:v>
      </x:c>
      <x:c r="G124" s="34" t="str">
        <x:v>measured evidence does not sustain payload casualty separation</x:v>
      </x:c>
      <x:c r="H124" s="34" t="str">
        <x:v>Independent Test Authority</x:v>
      </x:c>
      <x:c r="I124" s="34" t="str">
        <x:v>OPEN</x:v>
      </x:c>
      <x:c r="J124" s="36" t="n">
        <x:v>0</x:v>
      </x:c>
    </x:row>
    <x:row r="125">
      <x:c r="B125" s="34" t="str">
        <x:v>G119</x:v>
      </x:c>
      <x:c r="C125" s="34" t="str">
        <x:v>CREW_PAYLOAD</x:v>
      </x:c>
      <x:c r="D125" s="34" t="str">
        <x:v>signed measured-CG release</x:v>
      </x:c>
      <x:c r="E125" s="34" t="str">
        <x:v>representative complete subsystem or full vehicle</x:v>
      </x:c>
      <x:c r="F125" s="34" t="str">
        <x:v>occupied unload and casualty trial</x:v>
      </x:c>
      <x:c r="G125" s="34" t="str">
        <x:v>measured evidence does not sustain signed measured-CG release</x:v>
      </x:c>
      <x:c r="H125" s="34" t="str">
        <x:v>Independent Test Authority</x:v>
      </x:c>
      <x:c r="I125" s="34" t="str">
        <x:v>OPEN</x:v>
      </x:c>
      <x:c r="J125" s="36" t="n">
        <x:v>0</x:v>
      </x:c>
    </x:row>
    <x:row r="126">
      <x:c r="B126" s="34" t="str">
        <x:v>G120</x:v>
      </x:c>
      <x:c r="C126" s="34" t="str">
        <x:v>CREW_PAYLOAD</x:v>
      </x:c>
      <x:c r="D126" s="34" t="str">
        <x:v>civil authority distinct from crew</x:v>
      </x:c>
      <x:c r="E126" s="34" t="str">
        <x:v>representative complete subsystem or full vehicle</x:v>
      </x:c>
      <x:c r="F126" s="34" t="str">
        <x:v>occupied unload and casualty trial</x:v>
      </x:c>
      <x:c r="G126" s="34" t="str">
        <x:v>measured evidence does not sustain civil authority distinct from crew</x:v>
      </x:c>
      <x:c r="H126" s="34" t="str">
        <x:v>Independent Test Authority</x:v>
      </x:c>
      <x:c r="I126" s="34" t="str">
        <x:v>OPEN</x:v>
      </x:c>
      <x:c r="J126" s="36" t="n">
        <x:v>0</x:v>
      </x:c>
    </x:row>
    <x:row r="127">
      <x:c r="B127" s="34" t="str">
        <x:v>G121</x:v>
      </x:c>
      <x:c r="C127" s="34" t="str">
        <x:v>PROGRAM</x:v>
      </x:c>
      <x:c r="D127" s="34" t="str">
        <x:v>166 hour reset</x:v>
      </x:c>
      <x:c r="E127" s="34" t="str">
        <x:v>production system, personnel register and certified records</x:v>
      </x:c>
      <x:c r="F127" s="34" t="str">
        <x:v>industrial mobilization trial</x:v>
      </x:c>
      <x:c r="G127" s="34" t="str">
        <x:v>measured evidence does not sustain 166 hour reset</x:v>
      </x:c>
      <x:c r="H127" s="34" t="str">
        <x:v>Independent Acquisition and Test Authority</x:v>
      </x:c>
      <x:c r="I127" s="34" t="str">
        <x:v>OPEN</x:v>
      </x:c>
      <x:c r="J127" s="36" t="n">
        <x:v>0</x:v>
      </x:c>
    </x:row>
    <x:row r="128">
      <x:c r="B128" s="34" t="str">
        <x:v>G122</x:v>
      </x:c>
      <x:c r="C128" s="34" t="str">
        <x:v>PROGRAM</x:v>
      </x:c>
      <x:c r="D128" s="34" t="str">
        <x:v>bridge reset path</x:v>
      </x:c>
      <x:c r="E128" s="34" t="str">
        <x:v>production system, personnel register and certified records</x:v>
      </x:c>
      <x:c r="F128" s="34" t="str">
        <x:v>industrial mobilization trial</x:v>
      </x:c>
      <x:c r="G128" s="34" t="str">
        <x:v>measured evidence does not sustain bridge reset path</x:v>
      </x:c>
      <x:c r="H128" s="34" t="str">
        <x:v>Independent Acquisition and Test Authority</x:v>
      </x:c>
      <x:c r="I128" s="34" t="str">
        <x:v>OPEN</x:v>
      </x:c>
      <x:c r="J128" s="36" t="n">
        <x:v>0</x:v>
      </x:c>
    </x:row>
    <x:row r="129">
      <x:c r="B129" s="34" t="str">
        <x:v>G123</x:v>
      </x:c>
      <x:c r="C129" s="34" t="str">
        <x:v>PROGRAM</x:v>
      </x:c>
      <x:c r="D129" s="34" t="str">
        <x:v>energy reset path</x:v>
      </x:c>
      <x:c r="E129" s="34" t="str">
        <x:v>production system, personnel register and certified records</x:v>
      </x:c>
      <x:c r="F129" s="34" t="str">
        <x:v>industrial mobilization trial</x:v>
      </x:c>
      <x:c r="G129" s="34" t="str">
        <x:v>measured evidence does not sustain energy reset path</x:v>
      </x:c>
      <x:c r="H129" s="34" t="str">
        <x:v>Independent Acquisition and Test Authority</x:v>
      </x:c>
      <x:c r="I129" s="34" t="str">
        <x:v>OPEN</x:v>
      </x:c>
      <x:c r="J129" s="36" t="n">
        <x:v>0</x:v>
      </x:c>
    </x:row>
    <x:row r="130">
      <x:c r="B130" s="34" t="str">
        <x:v>G124</x:v>
      </x:c>
      <x:c r="C130" s="34" t="str">
        <x:v>PROGRAM</x:v>
      </x:c>
      <x:c r="D130" s="34" t="str">
        <x:v>pod reset path</x:v>
      </x:c>
      <x:c r="E130" s="34" t="str">
        <x:v>production system, personnel register and certified records</x:v>
      </x:c>
      <x:c r="F130" s="34" t="str">
        <x:v>industrial mobilization trial</x:v>
      </x:c>
      <x:c r="G130" s="34" t="str">
        <x:v>measured evidence does not sustain pod reset path</x:v>
      </x:c>
      <x:c r="H130" s="34" t="str">
        <x:v>Independent Acquisition and Test Authority</x:v>
      </x:c>
      <x:c r="I130" s="34" t="str">
        <x:v>OPEN</x:v>
      </x:c>
      <x:c r="J130" s="36" t="n">
        <x:v>0</x:v>
      </x:c>
    </x:row>
    <x:row r="131">
      <x:c r="B131" s="34" t="str">
        <x:v>G125</x:v>
      </x:c>
      <x:c r="C131" s="34" t="str">
        <x:v>PROGRAM</x:v>
      </x:c>
      <x:c r="D131" s="34" t="str">
        <x:v>five final integration lines</x:v>
      </x:c>
      <x:c r="E131" s="34" t="str">
        <x:v>production system, personnel register and certified records</x:v>
      </x:c>
      <x:c r="F131" s="34" t="str">
        <x:v>industrial mobilization trial</x:v>
      </x:c>
      <x:c r="G131" s="34" t="str">
        <x:v>measured evidence does not sustain five final integration lines</x:v>
      </x:c>
      <x:c r="H131" s="34" t="str">
        <x:v>Independent Acquisition and Test Authority</x:v>
      </x:c>
      <x:c r="I131" s="34" t="str">
        <x:v>OPEN</x:v>
      </x:c>
      <x:c r="J131" s="36" t="n">
        <x:v>0</x:v>
      </x:c>
    </x:row>
    <x:row r="132">
      <x:c r="B132" s="34" t="str">
        <x:v>G126</x:v>
      </x:c>
      <x:c r="C132" s="34" t="str">
        <x:v>PROGRAM</x:v>
      </x:c>
      <x:c r="D132" s="34" t="str">
        <x:v>four energy-citadel lineages</x:v>
      </x:c>
      <x:c r="E132" s="34" t="str">
        <x:v>production system, personnel register and certified records</x:v>
      </x:c>
      <x:c r="F132" s="34" t="str">
        <x:v>industrial mobilization trial</x:v>
      </x:c>
      <x:c r="G132" s="34" t="str">
        <x:v>measured evidence does not sustain four energy-citadel lineages</x:v>
      </x:c>
      <x:c r="H132" s="34" t="str">
        <x:v>Independent Acquisition and Test Authority</x:v>
      </x:c>
      <x:c r="I132" s="34" t="str">
        <x:v>OPEN</x:v>
      </x:c>
      <x:c r="J132" s="36" t="n">
        <x:v>0</x:v>
      </x:c>
    </x:row>
    <x:row r="133">
      <x:c r="B133" s="34" t="str">
        <x:v>G127</x:v>
      </x:c>
      <x:c r="C133" s="34" t="str">
        <x:v>PROGRAM</x:v>
      </x:c>
      <x:c r="D133" s="34" t="str">
        <x:v>three pod lineages</x:v>
      </x:c>
      <x:c r="E133" s="34" t="str">
        <x:v>production system, personnel register and certified records</x:v>
      </x:c>
      <x:c r="F133" s="34" t="str">
        <x:v>industrial mobilization trial</x:v>
      </x:c>
      <x:c r="G133" s="34" t="str">
        <x:v>measured evidence does not sustain three pod lineages</x:v>
      </x:c>
      <x:c r="H133" s="34" t="str">
        <x:v>Independent Acquisition and Test Authority</x:v>
      </x:c>
      <x:c r="I133" s="34" t="str">
        <x:v>OPEN</x:v>
      </x:c>
      <x:c r="J133" s="36" t="n">
        <x:v>0</x:v>
      </x:c>
    </x:row>
    <x:row r="134">
      <x:c r="B134" s="34" t="str">
        <x:v>G128</x:v>
      </x:c>
      <x:c r="C134" s="34" t="str">
        <x:v>PROGRAM</x:v>
      </x:c>
      <x:c r="D134" s="34" t="str">
        <x:v>three bridge lineages</x:v>
      </x:c>
      <x:c r="E134" s="34" t="str">
        <x:v>production system, personnel register and certified records</x:v>
      </x:c>
      <x:c r="F134" s="34" t="str">
        <x:v>industrial mobilization trial</x:v>
      </x:c>
      <x:c r="G134" s="34" t="str">
        <x:v>measured evidence does not sustain three bridge lineages</x:v>
      </x:c>
      <x:c r="H134" s="34" t="str">
        <x:v>Independent Acquisition and Test Authority</x:v>
      </x:c>
      <x:c r="I134" s="34" t="str">
        <x:v>OPEN</x:v>
      </x:c>
      <x:c r="J134" s="36" t="n">
        <x:v>0</x:v>
      </x:c>
    </x:row>
    <x:row r="135">
      <x:c r="B135" s="34" t="str">
        <x:v>G129</x:v>
      </x:c>
      <x:c r="C135" s="34" t="str">
        <x:v>PROGRAM</x:v>
      </x:c>
      <x:c r="D135" s="34" t="str">
        <x:v>seven compound ranges</x:v>
      </x:c>
      <x:c r="E135" s="34" t="str">
        <x:v>production system, personnel register and certified records</x:v>
      </x:c>
      <x:c r="F135" s="34" t="str">
        <x:v>industrial mobilization trial</x:v>
      </x:c>
      <x:c r="G135" s="34" t="str">
        <x:v>measured evidence does not sustain seven compound ranges</x:v>
      </x:c>
      <x:c r="H135" s="34" t="str">
        <x:v>Independent Acquisition and Test Authority</x:v>
      </x:c>
      <x:c r="I135" s="34" t="str">
        <x:v>OPEN</x:v>
      </x:c>
      <x:c r="J135" s="36" t="n">
        <x:v>0</x:v>
      </x:c>
    </x:row>
    <x:row r="136">
      <x:c r="B136" s="34" t="str">
        <x:v>G130</x:v>
      </x:c>
      <x:c r="C136" s="34" t="str">
        <x:v>PROGRAM</x:v>
      </x:c>
      <x:c r="D136" s="34" t="str">
        <x:v>fifteen-vehicle peak rate</x:v>
      </x:c>
      <x:c r="E136" s="34" t="str">
        <x:v>production system, personnel register and certified records</x:v>
      </x:c>
      <x:c r="F136" s="34" t="str">
        <x:v>industrial mobilization trial</x:v>
      </x:c>
      <x:c r="G136" s="34" t="str">
        <x:v>measured evidence does not sustain fifteen-vehicle peak rate</x:v>
      </x:c>
      <x:c r="H136" s="34" t="str">
        <x:v>Independent Acquisition and Test Authority</x:v>
      </x:c>
      <x:c r="I136" s="34" t="str">
        <x:v>OPEN</x:v>
      </x:c>
      <x:c r="J136" s="36" t="n">
        <x:v>0</x:v>
      </x:c>
    </x:row>
    <x:row r="137">
      <x:c r="B137" s="34" t="str">
        <x:v>G131</x:v>
      </x:c>
      <x:c r="C137" s="34" t="str">
        <x:v>PROGRAM</x:v>
      </x:c>
      <x:c r="D137" s="34" t="str">
        <x:v>219 baseline vehicles</x:v>
      </x:c>
      <x:c r="E137" s="34" t="str">
        <x:v>production system, personnel register and certified records</x:v>
      </x:c>
      <x:c r="F137" s="34" t="str">
        <x:v>industrial mobilization trial</x:v>
      </x:c>
      <x:c r="G137" s="34" t="str">
        <x:v>measured evidence does not sustain 219 baseline vehicles</x:v>
      </x:c>
      <x:c r="H137" s="34" t="str">
        <x:v>Independent Acquisition and Test Authority</x:v>
      </x:c>
      <x:c r="I137" s="34" t="str">
        <x:v>OPEN</x:v>
      </x:c>
      <x:c r="J137" s="36" t="n">
        <x:v>0</x:v>
      </x:c>
    </x:row>
    <x:row r="138">
      <x:c r="B138" s="34" t="str">
        <x:v>G132</x:v>
      </x:c>
      <x:c r="C138" s="34" t="str">
        <x:v>PROGRAM</x:v>
      </x:c>
      <x:c r="D138" s="34" t="str">
        <x:v>77-vehicle stress gap</x:v>
      </x:c>
      <x:c r="E138" s="34" t="str">
        <x:v>production system, personnel register and certified records</x:v>
      </x:c>
      <x:c r="F138" s="34" t="str">
        <x:v>industrial mobilization trial</x:v>
      </x:c>
      <x:c r="G138" s="34" t="str">
        <x:v>measured evidence does not sustain 77-vehicle stress gap</x:v>
      </x:c>
      <x:c r="H138" s="34" t="str">
        <x:v>Independent Acquisition and Test Authority</x:v>
      </x:c>
      <x:c r="I138" s="34" t="str">
        <x:v>OPEN</x:v>
      </x:c>
      <x:c r="J138" s="36" t="n">
        <x:v>0</x:v>
      </x:c>
    </x:row>
    <x:row r="139">
      <x:c r="B139" s="34" t="str">
        <x:v>G133</x:v>
      </x:c>
      <x:c r="C139" s="34" t="str">
        <x:v>PROGRAM</x:v>
      </x:c>
      <x:c r="D139" s="34" t="str">
        <x:v>700 deployed personnel</x:v>
      </x:c>
      <x:c r="E139" s="34" t="str">
        <x:v>production system, personnel register and certified records</x:v>
      </x:c>
      <x:c r="F139" s="34" t="str">
        <x:v>industrial mobilization trial</x:v>
      </x:c>
      <x:c r="G139" s="34" t="str">
        <x:v>measured evidence does not sustain 700 deployed personnel</x:v>
      </x:c>
      <x:c r="H139" s="34" t="str">
        <x:v>Independent Acquisition and Test Authority</x:v>
      </x:c>
      <x:c r="I139" s="34" t="str">
        <x:v>OPEN</x:v>
      </x:c>
      <x:c r="J139" s="36" t="n">
        <x:v>0</x:v>
      </x:c>
    </x:row>
    <x:row r="140">
      <x:c r="B140" s="34" t="str">
        <x:v>G134</x:v>
      </x:c>
      <x:c r="C140" s="34" t="str">
        <x:v>PROGRAM</x:v>
      </x:c>
      <x:c r="D140" s="34" t="str">
        <x:v>1,557 affiliated positions</x:v>
      </x:c>
      <x:c r="E140" s="34" t="str">
        <x:v>production system, personnel register and certified records</x:v>
      </x:c>
      <x:c r="F140" s="34" t="str">
        <x:v>industrial mobilization trial</x:v>
      </x:c>
      <x:c r="G140" s="34" t="str">
        <x:v>measured evidence does not sustain 1,557 affiliated positions</x:v>
      </x:c>
      <x:c r="H140" s="34" t="str">
        <x:v>Independent Acquisition and Test Authority</x:v>
      </x:c>
      <x:c r="I140" s="34" t="str">
        <x:v>OPEN</x:v>
      </x:c>
      <x:c r="J140" s="36" t="n">
        <x:v>0</x:v>
      </x:c>
    </x:row>
    <x:row r="141">
      <x:c r="B141" s="34" t="str">
        <x:v>G135</x:v>
      </x:c>
      <x:c r="C141" s="34" t="str">
        <x:v>PROGRAM</x:v>
      </x:c>
      <x:c r="D141" s="34" t="str">
        <x:v>226 minimum watch</x:v>
      </x:c>
      <x:c r="E141" s="34" t="str">
        <x:v>production system, personnel register and certified records</x:v>
      </x:c>
      <x:c r="F141" s="34" t="str">
        <x:v>industrial mobilization trial</x:v>
      </x:c>
      <x:c r="G141" s="34" t="str">
        <x:v>measured evidence does not sustain 226 minimum watch</x:v>
      </x:c>
      <x:c r="H141" s="34" t="str">
        <x:v>Independent Acquisition and Test Authority</x:v>
      </x:c>
      <x:c r="I141" s="34" t="str">
        <x:v>OPEN</x:v>
      </x:c>
      <x:c r="J141" s="36" t="n">
        <x:v>0</x:v>
      </x:c>
    </x:row>
    <x:row r="142">
      <x:c r="B142" s="34" t="str">
        <x:v>G136</x:v>
      </x:c>
      <x:c r="C142" s="34" t="str">
        <x:v>PROGRAM</x:v>
      </x:c>
      <x:c r="D142" s="34" t="str">
        <x:v>118,000-worker ecosystem</x:v>
      </x:c>
      <x:c r="E142" s="34" t="str">
        <x:v>production system, personnel register and certified records</x:v>
      </x:c>
      <x:c r="F142" s="34" t="str">
        <x:v>industrial mobilization trial</x:v>
      </x:c>
      <x:c r="G142" s="34" t="str">
        <x:v>measured evidence does not sustain 118,000-worker ecosystem</x:v>
      </x:c>
      <x:c r="H142" s="34" t="str">
        <x:v>Independent Acquisition and Test Authority</x:v>
      </x:c>
      <x:c r="I142" s="34" t="str">
        <x:v>OPEN</x:v>
      </x:c>
      <x:c r="J142" s="36" t="n">
        <x:v>0</x:v>
      </x:c>
    </x:row>
    <x:row r="143">
      <x:c r="B143" s="34" t="str">
        <x:v>G137</x:v>
      </x:c>
      <x:c r="C143" s="34" t="str">
        <x:v>PROGRAM</x:v>
      </x:c>
      <x:c r="D143" s="34" t="str">
        <x:v>$1.582045T SAT program</x:v>
      </x:c>
      <x:c r="E143" s="34" t="str">
        <x:v>production system, personnel register and certified records</x:v>
      </x:c>
      <x:c r="F143" s="34" t="str">
        <x:v>industrial mobilization trial</x:v>
      </x:c>
      <x:c r="G143" s="34" t="str">
        <x:v>measured evidence does not sustain $1.582045T SAT program</x:v>
      </x:c>
      <x:c r="H143" s="34" t="str">
        <x:v>Independent Acquisition and Test Authority</x:v>
      </x:c>
      <x:c r="I143" s="34" t="str">
        <x:v>OPEN</x:v>
      </x:c>
      <x:c r="J143" s="36" t="n">
        <x:v>0</x:v>
      </x:c>
    </x:row>
    <x:row r="144">
      <x:c r="B144" s="34" t="str">
        <x:v>G138</x:v>
      </x:c>
      <x:c r="C144" s="34" t="str">
        <x:v>PROGRAM</x:v>
      </x:c>
      <x:c r="D144" s="34" t="str">
        <x:v>$2.979815T DCP-2</x:v>
      </x:c>
      <x:c r="E144" s="34" t="str">
        <x:v>production system, personnel register and certified records</x:v>
      </x:c>
      <x:c r="F144" s="34" t="str">
        <x:v>industrial mobilization trial</x:v>
      </x:c>
      <x:c r="G144" s="34" t="str">
        <x:v>measured evidence does not sustain $2.979815T DCP-2</x:v>
      </x:c>
      <x:c r="H144" s="34" t="str">
        <x:v>Independent Acquisition and Test Authority</x:v>
      </x:c>
      <x:c r="I144" s="34" t="str">
        <x:v>OPEN</x:v>
      </x:c>
      <x:c r="J144" s="36" t="n">
        <x:v>0</x:v>
      </x:c>
    </x:row>
    <x:row r="145">
      <x:c r="B145" s="34" t="str">
        <x:v>G139</x:v>
      </x:c>
      <x:c r="C145" s="34" t="str">
        <x:v>PROGRAM</x:v>
      </x:c>
      <x:c r="D145" s="34" t="str">
        <x:v>$10.362957T national boundary</x:v>
      </x:c>
      <x:c r="E145" s="34" t="str">
        <x:v>production system, personnel register and certified records</x:v>
      </x:c>
      <x:c r="F145" s="34" t="str">
        <x:v>industrial mobilization trial</x:v>
      </x:c>
      <x:c r="G145" s="34" t="str">
        <x:v>measured evidence does not sustain $10.362957T national boundary</x:v>
      </x:c>
      <x:c r="H145" s="34" t="str">
        <x:v>Independent Acquisition and Test Authority</x:v>
      </x:c>
      <x:c r="I145" s="34" t="str">
        <x:v>OPEN</x:v>
      </x:c>
      <x:c r="J145" s="36" t="n">
        <x:v>0</x:v>
      </x:c>
    </x:row>
    <x:row r="146">
      <x:c r="B146" s="40" t="str">
        <x:v>G140</x:v>
      </x:c>
      <x:c r="C146" s="40" t="str">
        <x:v>PROGRAM</x:v>
      </x:c>
      <x:c r="D146" s="40" t="str">
        <x:v>$530B technology portfolio</x:v>
      </x:c>
      <x:c r="E146" s="40" t="str">
        <x:v>production system, personnel register and certified records</x:v>
      </x:c>
      <x:c r="F146" s="40" t="str">
        <x:v>industrial mobilization trial</x:v>
      </x:c>
      <x:c r="G146" s="40" t="str">
        <x:v>measured evidence does not sustain $530B technology portfolio</x:v>
      </x:c>
      <x:c r="H146" s="40" t="str">
        <x:v>Independent Acquisition and Test Authority</x:v>
      </x:c>
      <x:c r="I146" s="40" t="str">
        <x:v>OPEN</x:v>
      </x:c>
      <x:c r="J146" s="42" t="n">
        <x:v>0</x:v>
      </x:c>
    </x:row>
    <x:row r="147">
      <x:c r="B147" s="27"/>
      <x:c r="C147" s="27"/>
      <x:c r="D147" s="27"/>
      <x:c r="E147" s="27"/>
      <x:c r="F147" s="27"/>
      <x:c r="G147" s="27"/>
      <x:c r="H147" s="27"/>
      <x:c r="I147" s="27"/>
      <x:c r="J147" s="27"/>
    </x:row>
    <x:row r="148">
      <x:c r="B148" s="27" t="str">
        <x:v>Gate count</x:v>
      </x:c>
      <x:c r="C148" s="27" t="n">
        <x:f>COUNTA(B7:B146)</x:f>
        <x:v>140</x:v>
      </x:c>
      <x:c r="D148" s="27" t="str">
        <x:v>Expected</x:v>
      </x:c>
      <x:c r="E148" s="27" t="n">
        <x:v>140</x:v>
      </x:c>
      <x:c r="F148" s="27"/>
      <x:c r="G148" s="27"/>
      <x:c r="H148" s="27"/>
      <x:c r="I148" s="27"/>
      <x:c r="J148" s="27"/>
    </x:row>
    <x:row r="149">
      <x:c r="B149" s="27" t="str">
        <x:v>Open gates</x:v>
      </x:c>
      <x:c r="C149" s="27" t="n">
        <x:f>COUNTIF(I7:I146,"OPEN")</x:f>
        <x:v>140</x:v>
      </x:c>
      <x:c r="D149" s="27" t="str">
        <x:v>Expected</x:v>
      </x:c>
      <x:c r="E149" s="27" t="n">
        <x:v>140</x:v>
      </x:c>
      <x:c r="F149" s="27"/>
      <x:c r="G149" s="27"/>
      <x:c r="H149" s="27"/>
      <x:c r="I149" s="27"/>
      <x:c r="J149" s="27"/>
    </x:row>
    <x:row r="150">
      <x:c r="B150" s="27" t="str">
        <x:v>Strict credit</x:v>
      </x:c>
      <x:c r="C150" s="27" t="n">
        <x:f>SUM(J7:J146)</x:f>
        <x:v>0</x:v>
      </x:c>
      <x:c r="D150" s="27" t="str">
        <x:v>Expected</x:v>
      </x:c>
      <x:c r="E150" s="27" t="n">
        <x:v>0</x:v>
      </x:c>
      <x:c r="F150" s="27"/>
      <x:c r="G150" s="27"/>
      <x:c r="H150" s="27"/>
      <x:c r="I150" s="27"/>
      <x:c r="J150" s="27"/>
    </x:row>
    <x:row r="151">
      <x:c r="B151" s="27" t="str">
        <x:v>Rendering</x:v>
      </x:c>
      <x:c r="C151" s="27" t="str">
        <x:v>BLOCKED</x:v>
      </x:c>
      <x:c r="D151" s="27" t="str">
        <x:v>Reason</x:v>
      </x:c>
      <x:c r="E151" s="27" t="str">
        <x:v>GCH-340 remains shallow and representative vehicle evidence is open</x:v>
      </x:c>
      <x:c r="F151" s="27"/>
      <x:c r="G151" s="27"/>
      <x:c r="H151" s="27"/>
      <x:c r="I151" s="27"/>
      <x:c r="J151" s="27"/>
    </x:row>
    <x:row r="152">
      <x:c r="B152" s="27"/>
      <x:c r="C152" s="27"/>
      <x:c r="D152" s="27"/>
      <x:c r="E152" s="27"/>
      <x:c r="F152" s="27"/>
      <x:c r="G152" s="27"/>
      <x:c r="H152" s="27"/>
      <x:c r="I152" s="27"/>
      <x:c r="J152" s="27"/>
    </x:row>
    <x:row r="153">
      <x:c r="B153" s="27"/>
      <x:c r="C153" s="27"/>
      <x:c r="D153" s="27"/>
      <x:c r="E153" s="27"/>
      <x:c r="F153" s="27"/>
      <x:c r="G153" s="27"/>
      <x:c r="H153" s="27"/>
      <x:c r="I153" s="27"/>
      <x:c r="J153" s="27"/>
    </x:row>
    <x:row r="154">
      <x:c r="B154" s="27"/>
      <x:c r="C154" s="27"/>
      <x:c r="D154" s="27"/>
      <x:c r="E154" s="27"/>
      <x:c r="F154" s="27"/>
      <x:c r="G154" s="27"/>
      <x:c r="H154" s="27"/>
      <x:c r="I154" s="27"/>
      <x:c r="J154" s="27"/>
    </x:row>
  </x:sheetData>
  <x:conditionalFormatting sqref="I7:I146">
    <x:cfRule type="containsText" dxfId="48" priority="1" operator="containsText" text="FAIL"/>
    <x:cfRule type="containsText" dxfId="49" priority="2" operator="containsText" text="PASS"/>
    <x:cfRule type="containsText" dxfId="50" priority="3" operator="containsText" text="BLOCK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9" hidden="0" customWidth="1"/>
    <x:col min="4" max="4" width="20" hidden="0" customWidth="1"/>
    <x:col min="5" max="5" width="20" hidden="0" customWidth="1"/>
    <x:col min="6" max="6" width="14" hidden="0" customWidth="1"/>
    <x:col min="7" max="7" width="43" hidden="0" customWidth="1"/>
  </x:cols>
  <x:sheetData>
    <x:row r="2">
      <x:c r="B2" s="86" t="str">
        <x:v>Calculation, reconciliation and evidence-integrity audit</x:v>
      </x:c>
      <x:c r="C2" s="27"/>
      <x:c r="D2" s="27"/>
      <x:c r="E2" s="27"/>
      <x:c r="F2" s="27"/>
      <x:c r="G2" s="27"/>
    </x:row>
    <x:row r="3">
      <x:c r="B3" s="87" t="str">
        <x:v>One hundred ninety terminal checks read the model; no output or assumption depends on this sheet</x:v>
      </x:c>
      <x:c r="C3" s="78"/>
      <x:c r="D3" s="78"/>
      <x:c r="E3" s="78"/>
      <x:c r="F3" s="78"/>
      <x:c r="G3" s="78"/>
    </x:row>
    <x:row r="4">
      <x:c r="B4" s="79"/>
      <x:c r="C4" s="79"/>
      <x:c r="D4" s="79"/>
      <x:c r="E4" s="79"/>
      <x:c r="F4" s="79"/>
      <x:c r="G4" s="79"/>
    </x:row>
    <x:row r="5">
      <x:c r="B5" s="27"/>
      <x:c r="C5" s="27"/>
      <x:c r="D5" s="27"/>
      <x:c r="E5" s="27"/>
      <x:c r="F5" s="27"/>
      <x:c r="G5" s="27"/>
    </x:row>
    <x:row r="6">
      <x:c r="B6" s="32" t="str">
        <x:v>Check</x:v>
      </x:c>
      <x:c r="C6" s="33" t="str">
        <x:v>Question</x:v>
      </x:c>
      <x:c r="D6" s="33" t="str">
        <x:v>Actual</x:v>
      </x:c>
      <x:c r="E6" s="33" t="str">
        <x:v>Expected / rule</x:v>
      </x:c>
      <x:c r="F6" s="33" t="str">
        <x:v>Result</x:v>
      </x:c>
      <x:c r="G6" s="33" t="str">
        <x:v>Interpretation</x:v>
      </x:c>
    </x:row>
    <x:row r="7">
      <x:c r="B7" s="34" t="str">
        <x:v>C001</x:v>
      </x:c>
      <x:c r="C7" s="34" t="str">
        <x:v>only P4 passes all packaging gates</x:v>
      </x:c>
      <x:c r="D7" s="34" t="n">
        <x:f>COUNTIF('Packaging Competition'!Y7:Y10,"PASS")</x:f>
        <x:v>1</x:v>
      </x:c>
      <x:c r="E7" s="34" t="n">
        <x:v>1</x:v>
      </x:c>
      <x:c r="F7" s="34" t="str">
        <x:f>IF(D7=E7,"PASS","FAIL")</x:f>
        <x:v>PASS</x:v>
      </x:c>
      <x:c r="G7" s="36" t="str">
        <x:v>sole hard-gate reference</x:v>
      </x:c>
    </x:row>
    <x:row r="8">
      <x:c r="B8" s="34" t="str">
        <x:v>C002</x:v>
      </x:c>
      <x:c r="C8" s="34" t="str">
        <x:v>P4 passes twenty gates</x:v>
      </x:c>
      <x:c r="D8" s="34" t="n">
        <x:f>'Packaging Competition'!X10</x:f>
        <x:v>20</x:v>
      </x:c>
      <x:c r="E8" s="34" t="n">
        <x:v>20</x:v>
      </x:c>
      <x:c r="F8" s="34" t="str">
        <x:f>IF(D8=E8,"PASS","FAIL")</x:f>
        <x:v>PASS</x:v>
      </x:c>
      <x:c r="G8" s="36" t="str">
        <x:v>no weighted substitution</x:v>
      </x:c>
    </x:row>
    <x:row r="9">
      <x:c r="B9" s="34" t="str">
        <x:v>C003</x:v>
      </x:c>
      <x:c r="C9" s="34" t="str">
        <x:v>zoned length reconciles</x:v>
      </x:c>
      <x:c r="D9" s="34" t="n">
        <x:f>'Spatial Zones'!C25</x:f>
        <x:v>46</x:v>
      </x:c>
      <x:c r="E9" s="34" t="n">
        <x:v>46</x:v>
      </x:c>
      <x:c r="F9" s="34" t="str">
        <x:f>IF(ABS(D9-E9)&lt;0.001,"PASS","FAIL")</x:f>
        <x:v>PASS</x:v>
      </x:c>
      <x:c r="G9" s="36" t="str">
        <x:v>complete longitudinal package</x:v>
      </x:c>
    </x:row>
    <x:row r="10">
      <x:c r="B10" s="34" t="str">
        <x:v>C004</x:v>
      </x:c>
      <x:c r="C10" s="34" t="str">
        <x:v>three joints registered</x:v>
      </x:c>
      <x:c r="D10" s="34" t="n">
        <x:f>'Spatial Zones'!C27</x:f>
        <x:v>3</x:v>
      </x:c>
      <x:c r="E10" s="34" t="n">
        <x:v>3</x:v>
      </x:c>
      <x:c r="F10" s="34" t="str">
        <x:f>IF(D10=E10,"PASS","FAIL")</x:f>
        <x:v>PASS</x:v>
      </x:c>
      <x:c r="G10" s="36" t="str">
        <x:v>four rigid bodies</x:v>
      </x:c>
    </x:row>
    <x:row r="11">
      <x:c r="B11" s="34" t="str">
        <x:v>C005</x:v>
      </x:c>
      <x:c r="C11" s="34" t="str">
        <x:v>bridge coefficient positive</x:v>
      </x:c>
      <x:c r="D11" s="34" t="n">
        <x:f>'Bridge and Route'!C14</x:f>
        <x:v>0.04620509999999999</x:v>
      </x:c>
      <x:c r="E11" s="34" t="n">
        <x:v>0</x:v>
      </x:c>
      <x:c r="F11" s="34" t="str">
        <x:f>IF(D11&gt;E11,"PASS","FAIL")</x:f>
        <x:v>PASS</x:v>
      </x:c>
      <x:c r="G11" s="36" t="str">
        <x:v>bridge mass scales with gross</x:v>
      </x:c>
    </x:row>
    <x:row r="12">
      <x:c r="B12" s="34" t="str">
        <x:v>C006</x:v>
      </x:c>
      <x:c r="C12" s="34" t="str">
        <x:v>combined feedback below one</x:v>
      </x:c>
      <x:c r="D12" s="34" t="n">
        <x:f>'Mass and Balance'!I10</x:f>
        <x:v>0.20473684603174605</x:v>
      </x:c>
      <x:c r="E12" s="34" t="n">
        <x:v>1</x:v>
      </x:c>
      <x:c r="F12" s="34" t="str">
        <x:f>IF(D12&lt;E12,"PASS","FAIL")</x:f>
        <x:v>PASS</x:v>
      </x:c>
      <x:c r="G12" s="36" t="str">
        <x:v>finite solution</x:v>
      </x:c>
    </x:row>
    <x:row r="13">
      <x:c r="B13" s="34" t="str">
        <x:v>C007</x:v>
      </x:c>
      <x:c r="C13" s="34" t="str">
        <x:v>closure denominator positive</x:v>
      </x:c>
      <x:c r="D13" s="34" t="n">
        <x:f>'Mass and Balance'!I11</x:f>
        <x:v>0.795263153968254</x:v>
      </x:c>
      <x:c r="E13" s="34" t="n">
        <x:v>0</x:v>
      </x:c>
      <x:c r="F13" s="34" t="str">
        <x:f>IF(D13&gt;E13,"PASS","FAIL")</x:f>
        <x:v>PASS</x:v>
      </x:c>
      <x:c r="G13" s="36" t="str">
        <x:v>joint fixed point</x:v>
      </x:c>
    </x:row>
    <x:row r="14">
      <x:c r="B14" s="34" t="str">
        <x:v>C008</x:v>
      </x:c>
      <x:c r="C14" s="34" t="str">
        <x:v>rated gross reconciles</x:v>
      </x:c>
      <x:c r="D14" s="34" t="n">
        <x:f>'Mass and Balance'!C17</x:f>
        <x:v>717.1849856300037</x:v>
      </x:c>
      <x:c r="E14" s="34" t="n">
        <x:v>717.185</x:v>
      </x:c>
      <x:c r="F14" s="34" t="str">
        <x:f>IF(ABS(D14-E14)&lt;0.01,"PASS","FAIL")</x:f>
        <x:v>PASS</x:v>
      </x:c>
      <x:c r="G14" s="36" t="str">
        <x:v>spatial closure</x:v>
      </x:c>
    </x:row>
    <x:row r="15">
      <x:c r="B15" s="34" t="str">
        <x:v>C009</x:v>
      </x:c>
      <x:c r="C15" s="34" t="str">
        <x:v>tare reconciles</x:v>
      </x:c>
      <x:c r="D15" s="34" t="n">
        <x:f>'Mass and Balance'!C15</x:f>
        <x:v>547.1849856300037</x:v>
      </x:c>
      <x:c r="E15" s="34" t="n">
        <x:v>547.185</x:v>
      </x:c>
      <x:c r="F15" s="34" t="str">
        <x:f>IF(ABS(D15-E15)&lt;0.01,"PASS","FAIL")</x:f>
        <x:v>PASS</x:v>
      </x:c>
      <x:c r="G15" s="36" t="str">
        <x:v>complete vehicle</x:v>
      </x:c>
    </x:row>
    <x:row r="16">
      <x:c r="B16" s="34" t="str">
        <x:v>C010</x:v>
      </x:c>
      <x:c r="C16" s="34" t="str">
        <x:v>mission gross below rated gross</x:v>
      </x:c>
      <x:c r="D16" s="34" t="n">
        <x:f>'Mass and Balance'!C17-'Mass and Balance'!C19</x:f>
        <x:v>11.25</x:v>
      </x:c>
      <x:c r="E16" s="34" t="n">
        <x:v>0</x:v>
      </x:c>
      <x:c r="F16" s="34" t="str">
        <x:f>IF(D16&gt;=E16,"PASS","FAIL")</x:f>
        <x:v>PASS</x:v>
      </x:c>
      <x:c r="G16" s="36" t="str">
        <x:v>payload reserve</x:v>
      </x:c>
    </x:row>
    <x:row r="17">
      <x:c r="B17" s="34" t="str">
        <x:v>C011</x:v>
      </x:c>
      <x:c r="C17" s="34" t="str">
        <x:v>energy mass reconciles</x:v>
      </x:c>
      <x:c r="D17" s="34" t="n">
        <x:f>'Mass and Balance'!C10</x:f>
        <x:v>187.34738165047082</x:v>
      </x:c>
      <x:c r="E17" s="34" t="n">
        <x:v>187.347</x:v>
      </x:c>
      <x:c r="F17" s="34" t="str">
        <x:f>IF(ABS(D17-E17)&lt;0.01,"PASS","FAIL")</x:f>
        <x:v>PASS</x:v>
      </x:c>
      <x:c r="G17" s="36" t="str">
        <x:v>gross-energy feedback</x:v>
      </x:c>
    </x:row>
    <x:row r="18">
      <x:c r="B18" s="34" t="str">
        <x:v>C012</x:v>
      </x:c>
      <x:c r="C18" s="34" t="str">
        <x:v>route kit reconciles</x:v>
      </x:c>
      <x:c r="D18" s="34" t="n">
        <x:f>'Mass and Balance'!C13</x:f>
        <x:v>56.13760397953288</x:v>
      </x:c>
      <x:c r="E18" s="34" t="n">
        <x:v>56.138</x:v>
      </x:c>
      <x:c r="F18" s="34" t="str">
        <x:f>IF(ABS(D18-E18)&lt;0.01,"PASS","FAIL")</x:f>
        <x:v>PASS</x:v>
      </x:c>
      <x:c r="G18" s="36" t="str">
        <x:v>six modules and fixed kit</x:v>
      </x:c>
    </x:row>
    <x:row r="19">
      <x:c r="B19" s="34" t="str">
        <x:v>C013</x:v>
      </x:c>
      <x:c r="C19" s="34" t="str">
        <x:v>mass packets sum to gross</x:v>
      </x:c>
      <x:c r="D19" s="34" t="n">
        <x:f>'Mass Packets'!C52</x:f>
        <x:v>717.1849856300037</x:v>
      </x:c>
      <x:c r="E19" s="34" t="n">
        <x:v>0</x:v>
      </x:c>
      <x:c r="F19" s="34" t="str">
        <x:f>IF(ABS(D19-'Mass and Balance'!C17)&lt;0.001,"PASS","FAIL")</x:f>
        <x:v>PASS</x:v>
      </x:c>
      <x:c r="G19" s="36" t="str">
        <x:v>detailed load map</x:v>
      </x:c>
    </x:row>
    <x:row r="20">
      <x:c r="B20" s="34" t="str">
        <x:v>C014</x:v>
      </x:c>
      <x:c r="C20" s="34" t="str">
        <x:v>support reactions reconcile</x:v>
      </x:c>
      <x:c r="D20" s="34" t="n">
        <x:f>'Mass Packets'!G52</x:f>
        <x:v>0</x:v>
      </x:c>
      <x:c r="E20" s="34" t="n">
        <x:v>0</x:v>
      </x:c>
      <x:c r="F20" s="34" t="str">
        <x:f>IF(ABS(D20-E20)&lt;0.001,"PASS","FAIL")</x:f>
        <x:v>PASS</x:v>
      </x:c>
      <x:c r="G20" s="36" t="str">
        <x:v>reaction sum</x:v>
      </x:c>
    </x:row>
    <x:row r="21">
      <x:c r="B21" s="34" t="str">
        <x:v>C015</x:v>
      </x:c>
      <x:c r="C21" s="34" t="str">
        <x:v>maximum station ratio within limit</x:v>
      </x:c>
      <x:c r="D21" s="34" t="n">
        <x:f>'Mass Packets'!C53</x:f>
        <x:v>1.109845533633168</x:v>
      </x:c>
      <x:c r="E21" s="34" t="n">
        <x:v>1.15</x:v>
      </x:c>
      <x:c r="F21" s="34" t="str">
        <x:f>IF(D21&lt;=E21,"PASS","FAIL")</x:f>
        <x:v>PASS</x:v>
      </x:c>
      <x:c r="G21" s="36" t="str">
        <x:v>load distribution</x:v>
      </x:c>
    </x:row>
    <x:row r="22">
      <x:c r="B22" s="34" t="str">
        <x:v>C016</x:v>
      </x:c>
      <x:c r="C22" s="34" t="str">
        <x:v>local pod demand within rating</x:v>
      </x:c>
      <x:c r="D22" s="34" t="n">
        <x:f>'Mass Packets'!C54</x:f>
        <x:v>83.90792997159481</x:v>
      </x:c>
      <x:c r="E22" s="34" t="n">
        <x:v>85</x:v>
      </x:c>
      <x:c r="F22" s="34" t="str">
        <x:f>IF(D22&lt;=E22,"PASS","FAIL")</x:f>
        <x:v>PASS</x:v>
      </x:c>
      <x:c r="G22" s="36" t="str">
        <x:v>dynamic local reaction</x:v>
      </x:c>
    </x:row>
    <x:row r="23">
      <x:c r="B23" s="34" t="str">
        <x:v>C017</x:v>
      </x:c>
      <x:c r="C23" s="34" t="str">
        <x:v>one-pod demand within rating</x:v>
      </x:c>
      <x:c r="D23" s="34" t="n">
        <x:f>'Mass Packets'!C55</x:f>
        <x:v>82.47627334745043</x:v>
      </x:c>
      <x:c r="E23" s="34" t="n">
        <x:v>85</x:v>
      </x:c>
      <x:c r="F23" s="34" t="str">
        <x:f>IF(D23&lt;=E23,"PASS","FAIL")</x:f>
        <x:v>PASS</x:v>
      </x:c>
      <x:c r="G23" s="36" t="str">
        <x:v>redistributed local load</x:v>
      </x:c>
    </x:row>
    <x:row r="24">
      <x:c r="B24" s="34" t="str">
        <x:v>C018</x:v>
      </x:c>
      <x:c r="C24" s="34" t="str">
        <x:v>compounded pressure below 35 kPa</x:v>
      </x:c>
      <x:c r="D24" s="34" t="n">
        <x:f>'Contact and Turn'!C10</x:f>
        <x:v>34.06704174898899</x:v>
      </x:c>
      <x:c r="E24" s="34" t="n">
        <x:v>35</x:v>
      </x:c>
      <x:c r="F24" s="34" t="str">
        <x:f>IF(D24&lt;=E24,"PASS","FAIL")</x:f>
        <x:v>PASS</x:v>
      </x:c>
      <x:c r="G24" s="36" t="str">
        <x:v>one pod out</x:v>
      </x:c>
    </x:row>
    <x:row r="25">
      <x:c r="B25" s="34" t="str">
        <x:v>C019</x:v>
      </x:c>
      <x:c r="C25" s="34" t="str">
        <x:v>four-body swept width closes</x:v>
      </x:c>
      <x:c r="D25" s="34" t="n">
        <x:f>'Contact and Turn'!J10</x:f>
        <x:v>10.17023427979628</x:v>
      </x:c>
      <x:c r="E25" s="34" t="n">
        <x:v>12</x:v>
      </x:c>
      <x:c r="F25" s="34" t="str">
        <x:f>IF(D25&lt;=E25,"PASS","FAIL")</x:f>
        <x:v>PASS</x:v>
      </x:c>
      <x:c r="G25" s="36" t="str">
        <x:v>25 m turn</x:v>
      </x:c>
    </x:row>
    <x:row r="26">
      <x:c r="B26" s="34" t="str">
        <x:v>C020</x:v>
      </x:c>
      <x:c r="C26" s="34" t="str">
        <x:v>rigid-deck control fails</x:v>
      </x:c>
      <x:c r="D26" s="34" t="n">
        <x:f>'Contact and Turn'!J12</x:f>
        <x:v>12.302027119576888</x:v>
      </x:c>
      <x:c r="E26" s="34" t="n">
        <x:v>12</x:v>
      </x:c>
      <x:c r="F26" s="34" t="str">
        <x:f>IF(D26&gt;E26,"PASS","FAIL")</x:f>
        <x:v>PASS</x:v>
      </x:c>
      <x:c r="G26" s="36" t="str">
        <x:v>split deck is necessary</x:v>
      </x:c>
    </x:row>
    <x:row r="27">
      <x:c r="B27" s="34" t="str">
        <x:v>C021</x:v>
      </x:c>
      <x:c r="C27" s="34" t="str">
        <x:v>joint yaw demand within capability</x:v>
      </x:c>
      <x:c r="D27" s="34" t="n">
        <x:f>'Contact and Turn'!J8</x:f>
        <x:v>26.594143494418116</x:v>
      </x:c>
      <x:c r="E27" s="34" t="n">
        <x:v>30</x:v>
      </x:c>
      <x:c r="F27" s="34" t="str">
        <x:f>IF(D27&lt;=E27,"PASS","FAIL")</x:f>
        <x:v>PASS</x:v>
      </x:c>
      <x:c r="G27" s="36" t="str">
        <x:v>turn kinematics</x:v>
      </x:c>
    </x:row>
    <x:row r="28">
      <x:c r="B28" s="34" t="str">
        <x:v>C022</x:v>
      </x:c>
      <x:c r="C28" s="34" t="str">
        <x:v>pod sweep gap positive</x:v>
      </x:c>
      <x:c r="D28" s="34" t="n">
        <x:f>'Contact and Turn'!J14</x:f>
        <x:v>1.0625</x:v>
      </x:c>
      <x:c r="E28" s="34" t="n">
        <x:v>0</x:v>
      </x:c>
      <x:c r="F28" s="34" t="str">
        <x:f>IF(D28&gt;=E28,"PASS","FAIL")</x:f>
        <x:v>PASS</x:v>
      </x:c>
      <x:c r="G28" s="36" t="str">
        <x:v>adjacent pods do not overlap</x:v>
      </x:c>
    </x:row>
    <x:row r="29">
      <x:c r="B29" s="34" t="str">
        <x:v>C023</x:v>
      </x:c>
      <x:c r="C29" s="34" t="str">
        <x:v>joint pod clearance closes</x:v>
      </x:c>
      <x:c r="D29" s="34" t="n">
        <x:f>'Contact and Turn'!J15</x:f>
        <x:v>1.96875</x:v>
      </x:c>
      <x:c r="E29" s="34" t="n">
        <x:v>0.75</x:v>
      </x:c>
      <x:c r="F29" s="34" t="str">
        <x:f>IF(D29&gt;=E29,"PASS","FAIL")</x:f>
        <x:v>PASS</x:v>
      </x:c>
      <x:c r="G29" s="36" t="str">
        <x:v>articulation clearance</x:v>
      </x:c>
    </x:row>
    <x:row r="30">
      <x:c r="B30" s="34" t="str">
        <x:v>C024</x:v>
      </x:c>
      <x:c r="C30" s="34" t="str">
        <x:v>bridge remains 25 m after one loss</x:v>
      </x:c>
      <x:c r="D30" s="34" t="n">
        <x:f>'Bridge and Route'!I14</x:f>
        <x:v>25</x:v>
      </x:c>
      <x:c r="E30" s="34" t="n">
        <x:v>25</x:v>
      </x:c>
      <x:c r="F30" s="34" t="str">
        <x:f>IF(D30&gt;=E30,"PASS","FAIL")</x:f>
        <x:v>PASS</x:v>
      </x:c>
      <x:c r="G30" s="36" t="str">
        <x:v>gap plus bearings</x:v>
      </x:c>
    </x:row>
    <x:row r="31">
      <x:c r="B31" s="34" t="str">
        <x:v>C025</x:v>
      </x:c>
      <x:c r="C31" s="34" t="str">
        <x:v>bridge fails after two losses</x:v>
      </x:c>
      <x:c r="D31" s="34" t="n">
        <x:f>'Bridge and Route'!I15</x:f>
        <x:v>20</x:v>
      </x:c>
      <x:c r="E31" s="34" t="n">
        <x:v>25</x:v>
      </x:c>
      <x:c r="F31" s="34" t="str">
        <x:f>IF(D31&lt;E31,"PASS","FAIL")</x:f>
        <x:v>PASS</x:v>
      </x:c>
      <x:c r="G31" s="36" t="str">
        <x:v>single-loss boundary visible</x:v>
      </x:c>
    </x:row>
    <x:row r="32">
      <x:c r="B32" s="34" t="str">
        <x:v>C026</x:v>
      </x:c>
      <x:c r="C32" s="34" t="str">
        <x:v>split-keel stowage closes</x:v>
      </x:c>
      <x:c r="D32" s="34" t="n">
        <x:f>'Bridge and Route'!G24</x:f>
        <x:v>18.650000000000006</x:v>
      </x:c>
      <x:c r="E32" s="34" t="n">
        <x:v>0</x:v>
      </x:c>
      <x:c r="F32" s="34" t="str">
        <x:f>IF(D32&gt;=E32,"PASS","FAIL")</x:f>
        <x:v>PASS</x:v>
      </x:c>
      <x:c r="G32" s="36" t="str">
        <x:v>route-kit volume</x:v>
      </x:c>
    </x:row>
    <x:row r="33">
      <x:c r="B33" s="34" t="str">
        <x:v>C027</x:v>
      </x:c>
      <x:c r="C33" s="34" t="str">
        <x:v>onboard energy reserve closes</x:v>
      </x:c>
      <x:c r="D33" s="34" t="n">
        <x:f>'Energy and Thermal'!C9/'Energy and Thermal'!C8-1</x:f>
        <x:v>0.17500000000000004</x:v>
      </x:c>
      <x:c r="E33" s="34" t="n">
        <x:v>0.175</x:v>
      </x:c>
      <x:c r="F33" s="34" t="str">
        <x:f>IF(D33&gt;=E33,"PASS","FAIL")</x:f>
        <x:v>PASS</x:v>
      </x:c>
      <x:c r="G33" s="36" t="str">
        <x:v>deliverable reserve</x:v>
      </x:c>
    </x:row>
    <x:row r="34">
      <x:c r="B34" s="34" t="str">
        <x:v>C028</x:v>
      </x:c>
      <x:c r="C34" s="34" t="str">
        <x:v>energy sector volume closes</x:v>
      </x:c>
      <x:c r="D34" s="34" t="n">
        <x:f>'Energy and Thermal'!C19</x:f>
        <x:v>7.270392892104169</x:v>
      </x:c>
      <x:c r="E34" s="34" t="n">
        <x:v>0</x:v>
      </x:c>
      <x:c r="F34" s="34" t="str">
        <x:f>IF(D34&gt;=E34,"PASS","FAIL")</x:f>
        <x:v>PASS</x:v>
      </x:c>
      <x:c r="G34" s="36" t="str">
        <x:v>tank hardware and clearances</x:v>
      </x:c>
    </x:row>
    <x:row r="35">
      <x:c r="B35" s="34" t="str">
        <x:v>C029</x:v>
      </x:c>
      <x:c r="C35" s="34" t="str">
        <x:v>route heat rejection closes</x:v>
      </x:c>
      <x:c r="D35" s="34" t="n">
        <x:f>'Energy and Thermal'!M8-'Energy and Thermal'!K8</x:f>
        <x:v>1.245196382529656</x:v>
      </x:c>
      <x:c r="E35" s="34" t="n">
        <x:v>0</x:v>
      </x:c>
      <x:c r="F35" s="34" t="str">
        <x:f>IF(D35&gt;=E35,"PASS","FAIL")</x:f>
        <x:v>PASS</x:v>
      </x:c>
      <x:c r="G35" s="36" t="str">
        <x:v>fixed surfaces in fouling</x:v>
      </x:c>
    </x:row>
    <x:row r="36">
      <x:c r="B36" s="34" t="str">
        <x:v>C030</x:v>
      </x:c>
      <x:c r="C36" s="34" t="str">
        <x:v>stationary heat rejection closes</x:v>
      </x:c>
      <x:c r="D36" s="34" t="n">
        <x:f>'Energy and Thermal'!M9-'Energy and Thermal'!K9</x:f>
        <x:v>0.5554285714285765</x:v>
      </x:c>
      <x:c r="E36" s="34" t="n">
        <x:v>0</x:v>
      </x:c>
      <x:c r="F36" s="34" t="str">
        <x:f>IF(D36&gt;=E36,"PASS","FAIL")</x:f>
        <x:v>PASS</x:v>
      </x:c>
      <x:c r="G36" s="36" t="str">
        <x:v>full output</x:v>
      </x:c>
    </x:row>
    <x:row r="37">
      <x:c r="B37" s="34" t="str">
        <x:v>C031</x:v>
      </x:c>
      <x:c r="C37" s="34" t="str">
        <x:v>N-1 heat rejection closes</x:v>
      </x:c>
      <x:c r="D37" s="34" t="n">
        <x:f>'Energy and Thermal'!M10-'Energy and Thermal'!K10</x:f>
        <x:v>0.41657142857143015</x:v>
      </x:c>
      <x:c r="E37" s="34" t="n">
        <x:v>0</x:v>
      </x:c>
      <x:c r="F37" s="34" t="str">
        <x:f>IF(D37&gt;=E37,"PASS","FAIL")</x:f>
        <x:v>PASS</x:v>
      </x:c>
      <x:c r="G37" s="36" t="str">
        <x:v>one sector out</x:v>
      </x:c>
    </x:row>
    <x:row r="38">
      <x:c r="B38" s="34" t="str">
        <x:v>C032</x:v>
      </x:c>
      <x:c r="C38" s="34" t="str">
        <x:v>N-1 electrical power closes</x:v>
      </x:c>
      <x:c r="D38" s="34" t="n">
        <x:f>27-'Energy and Thermal'!J8</x:f>
        <x:v>2.4453797449485712</x:v>
      </x:c>
      <x:c r="E38" s="34" t="n">
        <x:v>0</x:v>
      </x:c>
      <x:c r="F38" s="34" t="str">
        <x:f>IF(D38&gt;=E38,"PASS","FAIL")</x:f>
        <x:v>PASS</x:v>
      </x:c>
      <x:c r="G38" s="36" t="str">
        <x:v>maximum route demand</x:v>
      </x:c>
    </x:row>
    <x:row r="39">
      <x:c r="B39" s="34" t="str">
        <x:v>C033</x:v>
      </x:c>
      <x:c r="C39" s="34" t="str">
        <x:v>all assigned payload blocks balance</x:v>
      </x:c>
      <x:c r="D39" s="34" t="n">
        <x:f>COUNTIF('Payload and Crew'!M8:M11,"PASS")</x:f>
        <x:v>4</x:v>
      </x:c>
      <x:c r="E39" s="34" t="n">
        <x:v>4</x:v>
      </x:c>
      <x:c r="F39" s="34" t="str">
        <x:f>IF(D39=E39,"PASS","FAIL")</x:f>
        <x:v>PASS</x:v>
      </x:c>
      <x:c r="G39" s="36" t="str">
        <x:v>registered load plans</x:v>
      </x:c>
    </x:row>
    <x:row r="40">
      <x:c r="B40" s="34" t="str">
        <x:v>C034</x:v>
      </x:c>
      <x:c r="C40" s="34" t="str">
        <x:v>all assigned payload blocks accessible</x:v>
      </x:c>
      <x:c r="D40" s="34" t="n">
        <x:f>COUNTIF('Payload and Crew'!N8:N11,"PASS")</x:f>
        <x:v>4</x:v>
      </x:c>
      <x:c r="E40" s="34" t="n">
        <x:v>4</x:v>
      </x:c>
      <x:c r="F40" s="34" t="str">
        <x:f>IF(D40=E40,"PASS","FAIL")</x:f>
        <x:v>PASS</x:v>
      </x:c>
      <x:c r="G40" s="36" t="str">
        <x:v>bilateral unloading</x:v>
      </x:c>
    </x:row>
    <x:row r="41">
      <x:c r="B41" s="34" t="str">
        <x:v>C035</x:v>
      </x:c>
      <x:c r="C41" s="34" t="str">
        <x:v>cargo height closes</x:v>
      </x:c>
      <x:c r="D41" s="34" t="n">
        <x:f>'Payload and Crew'!C24</x:f>
        <x:v>8.347826086956522</x:v>
      </x:c>
      <x:c r="E41" s="34" t="n">
        <x:v>9.5</x:v>
      </x:c>
      <x:c r="F41" s="34" t="str">
        <x:f>IF(D41&lt;=E41,"PASS","FAIL")</x:f>
        <x:v>PASS</x:v>
      </x:c>
      <x:c r="G41" s="36" t="str">
        <x:v>top below envelope</x:v>
      </x:c>
    </x:row>
    <x:row r="42">
      <x:c r="B42" s="34" t="str">
        <x:v>C036</x:v>
      </x:c>
      <x:c r="C42" s="34" t="str">
        <x:v>terrain relative service within 45 h</x:v>
      </x:c>
      <x:c r="D42" s="34" t="n">
        <x:f>'Receiver and Clock'!J17</x:f>
        <x:v>43.56944444444444</x:v>
      </x:c>
      <x:c r="E42" s="34" t="n">
        <x:v>45</x:v>
      </x:c>
      <x:c r="F42" s="34" t="str">
        <x:f>IF(D42&lt;=E42,"PASS","FAIL")</x:f>
        <x:v>PASS</x:v>
      </x:c>
      <x:c r="G42" s="36" t="str">
        <x:v>source to civil release</x:v>
      </x:c>
    </x:row>
    <x:row r="43">
      <x:c r="B43" s="34" t="str">
        <x:v>C037</x:v>
      </x:c>
      <x:c r="C43" s="34" t="str">
        <x:v>terrain absolute service within hour 54</x:v>
      </x:c>
      <x:c r="D43" s="34" t="n">
        <x:f>'Receiver and Clock'!J18</x:f>
        <x:v>49.56944444444444</x:v>
      </x:c>
      <x:c r="E43" s="34" t="n">
        <x:v>54</x:v>
      </x:c>
      <x:c r="F43" s="34" t="str">
        <x:f>IF(D43&lt;=E43,"PASS","FAIL")</x:f>
        <x:v>PASS</x:v>
      </x:c>
      <x:c r="G43" s="36" t="str">
        <x:v>second-region deadline</x:v>
      </x:c>
    </x:row>
    <x:row r="44">
      <x:c r="B44" s="34" t="str">
        <x:v>C038</x:v>
      </x:c>
      <x:c r="C44" s="34" t="str">
        <x:v>terrain now governs dual service</x:v>
      </x:c>
      <x:c r="D44" s="34" t="n">
        <x:f>'Receiver and Clock'!J20-'Receiver and Clock'!J18</x:f>
        <x:v>0</x:v>
      </x:c>
      <x:c r="E44" s="34" t="n">
        <x:v>0</x:v>
      </x:c>
      <x:c r="F44" s="34" t="str">
        <x:f>IF(ABS(D44-E44)&lt;0.001,"PASS","FAIL")</x:f>
        <x:v>PASS</x:v>
      </x:c>
      <x:c r="G44" s="36" t="str">
        <x:v>air remains earlier</x:v>
      </x:c>
    </x:row>
    <x:row r="45">
      <x:c r="B45" s="34" t="str">
        <x:v>C039</x:v>
      </x:c>
      <x:c r="C45" s="34" t="str">
        <x:v>receiver grid length fits</x:v>
      </x:c>
      <x:c r="D45" s="34" t="n">
        <x:f>'Receiver and Clock'!F12</x:f>
        <x:v>52</x:v>
      </x:c>
      <x:c r="E45" s="34" t="n">
        <x:v>0</x:v>
      </x:c>
      <x:c r="F45" s="34" t="str">
        <x:f>IF(D45&gt;=E45,"PASS","FAIL")</x:f>
        <x:v>PASS</x:v>
      </x:c>
      <x:c r="G45" s="36" t="str">
        <x:v>200 m transfer core</x:v>
      </x:c>
    </x:row>
    <x:row r="46">
      <x:c r="B46" s="34" t="str">
        <x:v>C040</x:v>
      </x:c>
      <x:c r="C46" s="34" t="str">
        <x:v>receiver grid width fits</x:v>
      </x:c>
      <x:c r="D46" s="34" t="n">
        <x:f>'Receiver and Clock'!F13</x:f>
        <x:v>30.200000000000003</x:v>
      </x:c>
      <x:c r="E46" s="34" t="n">
        <x:v>0</x:v>
      </x:c>
      <x:c r="F46" s="34" t="str">
        <x:f>IF(D46&gt;=E46,"PASS","FAIL")</x:f>
        <x:v>PASS</x:v>
      </x:c>
      <x:c r="G46" s="36" t="str">
        <x:v>100 m transfer core</x:v>
      </x:c>
    </x:row>
    <x:row r="47">
      <x:c r="B47" s="34" t="str">
        <x:v>C041</x:v>
      </x:c>
      <x:c r="C47" s="34" t="str">
        <x:v>reset remains within 168 h</x:v>
      </x:c>
      <x:c r="D47" s="34" t="n">
        <x:f>'Reset and Workforce'!C17</x:f>
        <x:v>166</x:v>
      </x:c>
      <x:c r="E47" s="34" t="n">
        <x:v>168</x:v>
      </x:c>
      <x:c r="F47" s="34" t="str">
        <x:f>IF(D47&lt;=E47,"PASS","FAIL")</x:f>
        <x:v>PASS</x:v>
      </x:c>
      <x:c r="G47" s="36" t="str">
        <x:v>bridge governs at 166 h</x:v>
      </x:c>
    </x:row>
    <x:row r="48">
      <x:c r="B48" s="34" t="str">
        <x:v>C042</x:v>
      </x:c>
      <x:c r="C48" s="34" t="str">
        <x:v>workforce deployed reconciles</x:v>
      </x:c>
      <x:c r="D48" s="34" t="n">
        <x:f>'Reset and Workforce'!L17</x:f>
        <x:v>700</x:v>
      </x:c>
      <x:c r="E48" s="34" t="n">
        <x:v>700</x:v>
      </x:c>
      <x:c r="F48" s="34" t="str">
        <x:f>IF(D48=E48,"PASS","FAIL")</x:f>
        <x:v>PASS</x:v>
      </x:c>
      <x:c r="G48" s="36" t="str">
        <x:v>Pass 85 plus package labor</x:v>
      </x:c>
    </x:row>
    <x:row r="49">
      <x:c r="B49" s="34" t="str">
        <x:v>C043</x:v>
      </x:c>
      <x:c r="C49" s="34" t="str">
        <x:v>workforce affiliated reconciles</x:v>
      </x:c>
      <x:c r="D49" s="34" t="n">
        <x:f>'Reset and Workforce'!L18</x:f>
        <x:v>1557</x:v>
      </x:c>
      <x:c r="E49" s="34" t="n">
        <x:v>1557</x:v>
      </x:c>
      <x:c r="F49" s="34" t="str">
        <x:f>IF(D49=E49,"PASS","FAIL")</x:f>
        <x:v>PASS</x:v>
      </x:c>
      <x:c r="G49" s="36" t="str">
        <x:v>school, depot and reserve depth</x:v>
      </x:c>
    </x:row>
    <x:row r="50">
      <x:c r="B50" s="34" t="str">
        <x:v>C044</x:v>
      </x:c>
      <x:c r="C50" s="34" t="str">
        <x:v>technology portfolio reconciles</x:v>
      </x:c>
      <x:c r="D50" s="34" t="n">
        <x:f>'Technology Program'!C25</x:f>
        <x:v>530</x:v>
      </x:c>
      <x:c r="E50" s="34" t="n">
        <x:v>530</x:v>
      </x:c>
      <x:c r="F50" s="34" t="str">
        <x:f>IF(D50=E50,"PASS","FAIL")</x:f>
        <x:v>PASS</x:v>
      </x:c>
      <x:c r="G50" s="36" t="str">
        <x:v>included not additive</x:v>
      </x:c>
    </x:row>
    <x:row r="51">
      <x:c r="B51" s="34" t="str">
        <x:v>C045</x:v>
      </x:c>
      <x:c r="C51" s="34" t="str">
        <x:v>SAT program reconciles</x:v>
      </x:c>
      <x:c r="D51" s="34" t="n">
        <x:f>'Production and Cost'!F17</x:f>
        <x:v>1582.0445600000003</x:v>
      </x:c>
      <x:c r="E51" s="34" t="n">
        <x:v>1582.04456</x:v>
      </x:c>
      <x:c r="F51" s="34" t="str">
        <x:f>IF(ABS(D51-E51)&lt;0.001,"PASS","FAIL")</x:f>
        <x:v>PASS</x:v>
      </x:c>
      <x:c r="G51" s="36" t="str">
        <x:v>25-year comparator</x:v>
      </x:c>
    </x:row>
    <x:row r="52">
      <x:c r="B52" s="34" t="str">
        <x:v>C046</x:v>
      </x:c>
      <x:c r="C52" s="34" t="str">
        <x:v>DCP-2 reconciles</x:v>
      </x:c>
      <x:c r="D52" s="34" t="n">
        <x:f>'Production and Cost'!C25</x:f>
        <x:v>2979.8153500000003</x:v>
      </x:c>
      <x:c r="E52" s="34" t="n">
        <x:v>2979.81535</x:v>
      </x:c>
      <x:c r="F52" s="34" t="str">
        <x:f>IF(ABS(D52-E52)&lt;0.001,"PASS","FAIL")</x:f>
        <x:v>PASS</x:v>
      </x:c>
      <x:c r="G52" s="36" t="str">
        <x:v>terrain correction propagated</x:v>
      </x:c>
    </x:row>
    <x:row r="53">
      <x:c r="B53" s="34" t="str">
        <x:v>C047</x:v>
      </x:c>
      <x:c r="C53" s="34" t="str">
        <x:v>national boundary reconciles</x:v>
      </x:c>
      <x:c r="D53" s="34" t="n">
        <x:f>'Production and Cost'!C27</x:f>
        <x:v>10362.956900000001</x:v>
      </x:c>
      <x:c r="E53" s="34" t="n">
        <x:v>10362.9569</x:v>
      </x:c>
      <x:c r="F53" s="34" t="str">
        <x:f>IF(ABS(D53-E53)&lt;0.001,"PASS","FAIL")</x:f>
        <x:v>PASS</x:v>
      </x:c>
      <x:c r="G53" s="36" t="str">
        <x:v>national propagation</x:v>
      </x:c>
    </x:row>
    <x:row r="54">
      <x:c r="B54" s="34" t="str">
        <x:v>C048</x:v>
      </x:c>
      <x:c r="C54" s="34" t="str">
        <x:v>stress fleet gap visible</x:v>
      </x:c>
      <x:c r="D54" s="34" t="n">
        <x:f>'Production and Cost'!N33</x:f>
        <x:v>77</x:v>
      </x:c>
      <x:c r="E54" s="34" t="n">
        <x:v>77</x:v>
      </x:c>
      <x:c r="F54" s="34" t="str">
        <x:f>IF(D54=E54,"PASS","FAIL")</x:f>
        <x:v>PASS</x:v>
      </x:c>
      <x:c r="G54" s="36" t="str">
        <x:v>no silent production increase</x:v>
      </x:c>
    </x:row>
    <x:row r="55">
      <x:c r="B55" s="34" t="str">
        <x:v>C049</x:v>
      </x:c>
      <x:c r="C55" s="34" t="str">
        <x:v>evidence gate count</x:v>
      </x:c>
      <x:c r="D55" s="34" t="n">
        <x:f>'Evidence Gates'!C148</x:f>
        <x:v>140</x:v>
      </x:c>
      <x:c r="E55" s="34" t="n">
        <x:v>140</x:v>
      </x:c>
      <x:c r="F55" s="34" t="str">
        <x:f>IF(D55=E55,"PASS","FAIL")</x:f>
        <x:v>PASS</x:v>
      </x:c>
      <x:c r="G55" s="36" t="str">
        <x:v>complete register</x:v>
      </x:c>
    </x:row>
    <x:row r="56">
      <x:c r="B56" s="34" t="str">
        <x:v>C050</x:v>
      </x:c>
      <x:c r="C56" s="34" t="str">
        <x:v>strict evidence credit zero</x:v>
      </x:c>
      <x:c r="D56" s="34" t="n">
        <x:f>'Evidence Gates'!C150</x:f>
        <x:v>0</x:v>
      </x:c>
      <x:c r="E56" s="34" t="n">
        <x:v>0</x:v>
      </x:c>
      <x:c r="F56" s="34" t="str">
        <x:f>IF(D56=E56,"PASS","FAIL")</x:f>
        <x:v>PASS</x:v>
      </x:c>
      <x:c r="G56" s="36" t="str">
        <x:v>behavior is not admission</x:v>
      </x:c>
    </x:row>
    <x:row r="57">
      <x:c r="B57" s="34" t="str">
        <x:v>C051</x:v>
      </x:c>
      <x:c r="C57" s="34" t="str">
        <x:v>evidence row 1 is complete, open and uncredited</x:v>
      </x:c>
      <x:c r="D57" s="34" t="n">
        <x:f>COUNTA('Evidence Gates'!B7:J7)</x:f>
        <x:v>9</x:v>
      </x:c>
      <x:c r="E57" s="34" t="n">
        <x:v>9</x:v>
      </x:c>
      <x:c r="F57" s="34" t="str">
        <x:f>IF(AND(D57=E57,'Evidence Gates'!I7="OPEN",'Evidence Gates'!J7=0),"PASS","FAIL")</x:f>
        <x:v>PASS</x:v>
      </x:c>
      <x:c r="G57" s="36" t="str">
        <x:v>register integrity</x:v>
      </x:c>
    </x:row>
    <x:row r="58">
      <x:c r="B58" s="34" t="str">
        <x:v>C052</x:v>
      </x:c>
      <x:c r="C58" s="34" t="str">
        <x:v>evidence row 2 is complete, open and uncredited</x:v>
      </x:c>
      <x:c r="D58" s="34" t="n">
        <x:f>COUNTA('Evidence Gates'!B8:J8)</x:f>
        <x:v>9</x:v>
      </x:c>
      <x:c r="E58" s="34" t="n">
        <x:v>9</x:v>
      </x:c>
      <x:c r="F58" s="34" t="str">
        <x:f>IF(AND(D58=E58,'Evidence Gates'!I8="OPEN",'Evidence Gates'!J8=0),"PASS","FAIL")</x:f>
        <x:v>PASS</x:v>
      </x:c>
      <x:c r="G58" s="36" t="str">
        <x:v>register integrity</x:v>
      </x:c>
    </x:row>
    <x:row r="59">
      <x:c r="B59" s="34" t="str">
        <x:v>C053</x:v>
      </x:c>
      <x:c r="C59" s="34" t="str">
        <x:v>evidence row 3 is complete, open and uncredited</x:v>
      </x:c>
      <x:c r="D59" s="34" t="n">
        <x:f>COUNTA('Evidence Gates'!B9:J9)</x:f>
        <x:v>9</x:v>
      </x:c>
      <x:c r="E59" s="34" t="n">
        <x:v>9</x:v>
      </x:c>
      <x:c r="F59" s="34" t="str">
        <x:f>IF(AND(D59=E59,'Evidence Gates'!I9="OPEN",'Evidence Gates'!J9=0),"PASS","FAIL")</x:f>
        <x:v>PASS</x:v>
      </x:c>
      <x:c r="G59" s="36" t="str">
        <x:v>register integrity</x:v>
      </x:c>
    </x:row>
    <x:row r="60">
      <x:c r="B60" s="34" t="str">
        <x:v>C054</x:v>
      </x:c>
      <x:c r="C60" s="34" t="str">
        <x:v>evidence row 4 is complete, open and uncredited</x:v>
      </x:c>
      <x:c r="D60" s="34" t="n">
        <x:f>COUNTA('Evidence Gates'!B10:J10)</x:f>
        <x:v>9</x:v>
      </x:c>
      <x:c r="E60" s="34" t="n">
        <x:v>9</x:v>
      </x:c>
      <x:c r="F60" s="34" t="str">
        <x:f>IF(AND(D60=E60,'Evidence Gates'!I10="OPEN",'Evidence Gates'!J10=0),"PASS","FAIL")</x:f>
        <x:v>PASS</x:v>
      </x:c>
      <x:c r="G60" s="36" t="str">
        <x:v>register integrity</x:v>
      </x:c>
    </x:row>
    <x:row r="61">
      <x:c r="B61" s="34" t="str">
        <x:v>C055</x:v>
      </x:c>
      <x:c r="C61" s="34" t="str">
        <x:v>evidence row 5 is complete, open and uncredited</x:v>
      </x:c>
      <x:c r="D61" s="34" t="n">
        <x:f>COUNTA('Evidence Gates'!B11:J11)</x:f>
        <x:v>9</x:v>
      </x:c>
      <x:c r="E61" s="34" t="n">
        <x:v>9</x:v>
      </x:c>
      <x:c r="F61" s="34" t="str">
        <x:f>IF(AND(D61=E61,'Evidence Gates'!I11="OPEN",'Evidence Gates'!J11=0),"PASS","FAIL")</x:f>
        <x:v>PASS</x:v>
      </x:c>
      <x:c r="G61" s="36" t="str">
        <x:v>register integrity</x:v>
      </x:c>
    </x:row>
    <x:row r="62">
      <x:c r="B62" s="34" t="str">
        <x:v>C056</x:v>
      </x:c>
      <x:c r="C62" s="34" t="str">
        <x:v>evidence row 6 is complete, open and uncredited</x:v>
      </x:c>
      <x:c r="D62" s="34" t="n">
        <x:f>COUNTA('Evidence Gates'!B12:J12)</x:f>
        <x:v>9</x:v>
      </x:c>
      <x:c r="E62" s="34" t="n">
        <x:v>9</x:v>
      </x:c>
      <x:c r="F62" s="34" t="str">
        <x:f>IF(AND(D62=E62,'Evidence Gates'!I12="OPEN",'Evidence Gates'!J12=0),"PASS","FAIL")</x:f>
        <x:v>PASS</x:v>
      </x:c>
      <x:c r="G62" s="36" t="str">
        <x:v>register integrity</x:v>
      </x:c>
    </x:row>
    <x:row r="63">
      <x:c r="B63" s="34" t="str">
        <x:v>C057</x:v>
      </x:c>
      <x:c r="C63" s="34" t="str">
        <x:v>evidence row 7 is complete, open and uncredited</x:v>
      </x:c>
      <x:c r="D63" s="34" t="n">
        <x:f>COUNTA('Evidence Gates'!B13:J13)</x:f>
        <x:v>9</x:v>
      </x:c>
      <x:c r="E63" s="34" t="n">
        <x:v>9</x:v>
      </x:c>
      <x:c r="F63" s="34" t="str">
        <x:f>IF(AND(D63=E63,'Evidence Gates'!I13="OPEN",'Evidence Gates'!J13=0),"PASS","FAIL")</x:f>
        <x:v>PASS</x:v>
      </x:c>
      <x:c r="G63" s="36" t="str">
        <x:v>register integrity</x:v>
      </x:c>
    </x:row>
    <x:row r="64">
      <x:c r="B64" s="34" t="str">
        <x:v>C058</x:v>
      </x:c>
      <x:c r="C64" s="34" t="str">
        <x:v>evidence row 8 is complete, open and uncredited</x:v>
      </x:c>
      <x:c r="D64" s="34" t="n">
        <x:f>COUNTA('Evidence Gates'!B14:J14)</x:f>
        <x:v>9</x:v>
      </x:c>
      <x:c r="E64" s="34" t="n">
        <x:v>9</x:v>
      </x:c>
      <x:c r="F64" s="34" t="str">
        <x:f>IF(AND(D64=E64,'Evidence Gates'!I14="OPEN",'Evidence Gates'!J14=0),"PASS","FAIL")</x:f>
        <x:v>PASS</x:v>
      </x:c>
      <x:c r="G64" s="36" t="str">
        <x:v>register integrity</x:v>
      </x:c>
    </x:row>
    <x:row r="65">
      <x:c r="B65" s="34" t="str">
        <x:v>C059</x:v>
      </x:c>
      <x:c r="C65" s="34" t="str">
        <x:v>evidence row 9 is complete, open and uncredited</x:v>
      </x:c>
      <x:c r="D65" s="34" t="n">
        <x:f>COUNTA('Evidence Gates'!B15:J15)</x:f>
        <x:v>9</x:v>
      </x:c>
      <x:c r="E65" s="34" t="n">
        <x:v>9</x:v>
      </x:c>
      <x:c r="F65" s="34" t="str">
        <x:f>IF(AND(D65=E65,'Evidence Gates'!I15="OPEN",'Evidence Gates'!J15=0),"PASS","FAIL")</x:f>
        <x:v>PASS</x:v>
      </x:c>
      <x:c r="G65" s="36" t="str">
        <x:v>register integrity</x:v>
      </x:c>
    </x:row>
    <x:row r="66">
      <x:c r="B66" s="34" t="str">
        <x:v>C060</x:v>
      </x:c>
      <x:c r="C66" s="34" t="str">
        <x:v>evidence row 10 is complete, open and uncredited</x:v>
      </x:c>
      <x:c r="D66" s="34" t="n">
        <x:f>COUNTA('Evidence Gates'!B16:J16)</x:f>
        <x:v>9</x:v>
      </x:c>
      <x:c r="E66" s="34" t="n">
        <x:v>9</x:v>
      </x:c>
      <x:c r="F66" s="34" t="str">
        <x:f>IF(AND(D66=E66,'Evidence Gates'!I16="OPEN",'Evidence Gates'!J16=0),"PASS","FAIL")</x:f>
        <x:v>PASS</x:v>
      </x:c>
      <x:c r="G66" s="36" t="str">
        <x:v>register integrity</x:v>
      </x:c>
    </x:row>
    <x:row r="67">
      <x:c r="B67" s="34" t="str">
        <x:v>C061</x:v>
      </x:c>
      <x:c r="C67" s="34" t="str">
        <x:v>evidence row 11 is complete, open and uncredited</x:v>
      </x:c>
      <x:c r="D67" s="34" t="n">
        <x:f>COUNTA('Evidence Gates'!B17:J17)</x:f>
        <x:v>9</x:v>
      </x:c>
      <x:c r="E67" s="34" t="n">
        <x:v>9</x:v>
      </x:c>
      <x:c r="F67" s="34" t="str">
        <x:f>IF(AND(D67=E67,'Evidence Gates'!I17="OPEN",'Evidence Gates'!J17=0),"PASS","FAIL")</x:f>
        <x:v>PASS</x:v>
      </x:c>
      <x:c r="G67" s="36" t="str">
        <x:v>register integrity</x:v>
      </x:c>
    </x:row>
    <x:row r="68">
      <x:c r="B68" s="34" t="str">
        <x:v>C062</x:v>
      </x:c>
      <x:c r="C68" s="34" t="str">
        <x:v>evidence row 12 is complete, open and uncredited</x:v>
      </x:c>
      <x:c r="D68" s="34" t="n">
        <x:f>COUNTA('Evidence Gates'!B18:J18)</x:f>
        <x:v>9</x:v>
      </x:c>
      <x:c r="E68" s="34" t="n">
        <x:v>9</x:v>
      </x:c>
      <x:c r="F68" s="34" t="str">
        <x:f>IF(AND(D68=E68,'Evidence Gates'!I18="OPEN",'Evidence Gates'!J18=0),"PASS","FAIL")</x:f>
        <x:v>PASS</x:v>
      </x:c>
      <x:c r="G68" s="36" t="str">
        <x:v>register integrity</x:v>
      </x:c>
    </x:row>
    <x:row r="69">
      <x:c r="B69" s="34" t="str">
        <x:v>C063</x:v>
      </x:c>
      <x:c r="C69" s="34" t="str">
        <x:v>evidence row 13 is complete, open and uncredited</x:v>
      </x:c>
      <x:c r="D69" s="34" t="n">
        <x:f>COUNTA('Evidence Gates'!B19:J19)</x:f>
        <x:v>9</x:v>
      </x:c>
      <x:c r="E69" s="34" t="n">
        <x:v>9</x:v>
      </x:c>
      <x:c r="F69" s="34" t="str">
        <x:f>IF(AND(D69=E69,'Evidence Gates'!I19="OPEN",'Evidence Gates'!J19=0),"PASS","FAIL")</x:f>
        <x:v>PASS</x:v>
      </x:c>
      <x:c r="G69" s="36" t="str">
        <x:v>register integrity</x:v>
      </x:c>
    </x:row>
    <x:row r="70">
      <x:c r="B70" s="34" t="str">
        <x:v>C064</x:v>
      </x:c>
      <x:c r="C70" s="34" t="str">
        <x:v>evidence row 14 is complete, open and uncredited</x:v>
      </x:c>
      <x:c r="D70" s="34" t="n">
        <x:f>COUNTA('Evidence Gates'!B20:J20)</x:f>
        <x:v>9</x:v>
      </x:c>
      <x:c r="E70" s="34" t="n">
        <x:v>9</x:v>
      </x:c>
      <x:c r="F70" s="34" t="str">
        <x:f>IF(AND(D70=E70,'Evidence Gates'!I20="OPEN",'Evidence Gates'!J20=0),"PASS","FAIL")</x:f>
        <x:v>PASS</x:v>
      </x:c>
      <x:c r="G70" s="36" t="str">
        <x:v>register integrity</x:v>
      </x:c>
    </x:row>
    <x:row r="71">
      <x:c r="B71" s="34" t="str">
        <x:v>C065</x:v>
      </x:c>
      <x:c r="C71" s="34" t="str">
        <x:v>evidence row 15 is complete, open and uncredited</x:v>
      </x:c>
      <x:c r="D71" s="34" t="n">
        <x:f>COUNTA('Evidence Gates'!B21:J21)</x:f>
        <x:v>9</x:v>
      </x:c>
      <x:c r="E71" s="34" t="n">
        <x:v>9</x:v>
      </x:c>
      <x:c r="F71" s="34" t="str">
        <x:f>IF(AND(D71=E71,'Evidence Gates'!I21="OPEN",'Evidence Gates'!J21=0),"PASS","FAIL")</x:f>
        <x:v>PASS</x:v>
      </x:c>
      <x:c r="G71" s="36" t="str">
        <x:v>register integrity</x:v>
      </x:c>
    </x:row>
    <x:row r="72">
      <x:c r="B72" s="34" t="str">
        <x:v>C066</x:v>
      </x:c>
      <x:c r="C72" s="34" t="str">
        <x:v>evidence row 16 is complete, open and uncredited</x:v>
      </x:c>
      <x:c r="D72" s="34" t="n">
        <x:f>COUNTA('Evidence Gates'!B22:J22)</x:f>
        <x:v>9</x:v>
      </x:c>
      <x:c r="E72" s="34" t="n">
        <x:v>9</x:v>
      </x:c>
      <x:c r="F72" s="34" t="str">
        <x:f>IF(AND(D72=E72,'Evidence Gates'!I22="OPEN",'Evidence Gates'!J22=0),"PASS","FAIL")</x:f>
        <x:v>PASS</x:v>
      </x:c>
      <x:c r="G72" s="36" t="str">
        <x:v>register integrity</x:v>
      </x:c>
    </x:row>
    <x:row r="73">
      <x:c r="B73" s="34" t="str">
        <x:v>C067</x:v>
      </x:c>
      <x:c r="C73" s="34" t="str">
        <x:v>evidence row 17 is complete, open and uncredited</x:v>
      </x:c>
      <x:c r="D73" s="34" t="n">
        <x:f>COUNTA('Evidence Gates'!B23:J23)</x:f>
        <x:v>9</x:v>
      </x:c>
      <x:c r="E73" s="34" t="n">
        <x:v>9</x:v>
      </x:c>
      <x:c r="F73" s="34" t="str">
        <x:f>IF(AND(D73=E73,'Evidence Gates'!I23="OPEN",'Evidence Gates'!J23=0),"PASS","FAIL")</x:f>
        <x:v>PASS</x:v>
      </x:c>
      <x:c r="G73" s="36" t="str">
        <x:v>register integrity</x:v>
      </x:c>
    </x:row>
    <x:row r="74">
      <x:c r="B74" s="34" t="str">
        <x:v>C068</x:v>
      </x:c>
      <x:c r="C74" s="34" t="str">
        <x:v>evidence row 18 is complete, open and uncredited</x:v>
      </x:c>
      <x:c r="D74" s="34" t="n">
        <x:f>COUNTA('Evidence Gates'!B24:J24)</x:f>
        <x:v>9</x:v>
      </x:c>
      <x:c r="E74" s="34" t="n">
        <x:v>9</x:v>
      </x:c>
      <x:c r="F74" s="34" t="str">
        <x:f>IF(AND(D74=E74,'Evidence Gates'!I24="OPEN",'Evidence Gates'!J24=0),"PASS","FAIL")</x:f>
        <x:v>PASS</x:v>
      </x:c>
      <x:c r="G74" s="36" t="str">
        <x:v>register integrity</x:v>
      </x:c>
    </x:row>
    <x:row r="75">
      <x:c r="B75" s="34" t="str">
        <x:v>C069</x:v>
      </x:c>
      <x:c r="C75" s="34" t="str">
        <x:v>evidence row 19 is complete, open and uncredited</x:v>
      </x:c>
      <x:c r="D75" s="34" t="n">
        <x:f>COUNTA('Evidence Gates'!B25:J25)</x:f>
        <x:v>9</x:v>
      </x:c>
      <x:c r="E75" s="34" t="n">
        <x:v>9</x:v>
      </x:c>
      <x:c r="F75" s="34" t="str">
        <x:f>IF(AND(D75=E75,'Evidence Gates'!I25="OPEN",'Evidence Gates'!J25=0),"PASS","FAIL")</x:f>
        <x:v>PASS</x:v>
      </x:c>
      <x:c r="G75" s="36" t="str">
        <x:v>register integrity</x:v>
      </x:c>
    </x:row>
    <x:row r="76">
      <x:c r="B76" s="34" t="str">
        <x:v>C070</x:v>
      </x:c>
      <x:c r="C76" s="34" t="str">
        <x:v>evidence row 20 is complete, open and uncredited</x:v>
      </x:c>
      <x:c r="D76" s="34" t="n">
        <x:f>COUNTA('Evidence Gates'!B26:J26)</x:f>
        <x:v>9</x:v>
      </x:c>
      <x:c r="E76" s="34" t="n">
        <x:v>9</x:v>
      </x:c>
      <x:c r="F76" s="34" t="str">
        <x:f>IF(AND(D76=E76,'Evidence Gates'!I26="OPEN",'Evidence Gates'!J26=0),"PASS","FAIL")</x:f>
        <x:v>PASS</x:v>
      </x:c>
      <x:c r="G76" s="36" t="str">
        <x:v>register integrity</x:v>
      </x:c>
    </x:row>
    <x:row r="77">
      <x:c r="B77" s="34" t="str">
        <x:v>C071</x:v>
      </x:c>
      <x:c r="C77" s="34" t="str">
        <x:v>evidence row 21 is complete, open and uncredited</x:v>
      </x:c>
      <x:c r="D77" s="34" t="n">
        <x:f>COUNTA('Evidence Gates'!B27:J27)</x:f>
        <x:v>9</x:v>
      </x:c>
      <x:c r="E77" s="34" t="n">
        <x:v>9</x:v>
      </x:c>
      <x:c r="F77" s="34" t="str">
        <x:f>IF(AND(D77=E77,'Evidence Gates'!I27="OPEN",'Evidence Gates'!J27=0),"PASS","FAIL")</x:f>
        <x:v>PASS</x:v>
      </x:c>
      <x:c r="G77" s="36" t="str">
        <x:v>register integrity</x:v>
      </x:c>
    </x:row>
    <x:row r="78">
      <x:c r="B78" s="34" t="str">
        <x:v>C072</x:v>
      </x:c>
      <x:c r="C78" s="34" t="str">
        <x:v>evidence row 22 is complete, open and uncredited</x:v>
      </x:c>
      <x:c r="D78" s="34" t="n">
        <x:f>COUNTA('Evidence Gates'!B28:J28)</x:f>
        <x:v>9</x:v>
      </x:c>
      <x:c r="E78" s="34" t="n">
        <x:v>9</x:v>
      </x:c>
      <x:c r="F78" s="34" t="str">
        <x:f>IF(AND(D78=E78,'Evidence Gates'!I28="OPEN",'Evidence Gates'!J28=0),"PASS","FAIL")</x:f>
        <x:v>PASS</x:v>
      </x:c>
      <x:c r="G78" s="36" t="str">
        <x:v>register integrity</x:v>
      </x:c>
    </x:row>
    <x:row r="79">
      <x:c r="B79" s="34" t="str">
        <x:v>C073</x:v>
      </x:c>
      <x:c r="C79" s="34" t="str">
        <x:v>evidence row 23 is complete, open and uncredited</x:v>
      </x:c>
      <x:c r="D79" s="34" t="n">
        <x:f>COUNTA('Evidence Gates'!B29:J29)</x:f>
        <x:v>9</x:v>
      </x:c>
      <x:c r="E79" s="34" t="n">
        <x:v>9</x:v>
      </x:c>
      <x:c r="F79" s="34" t="str">
        <x:f>IF(AND(D79=E79,'Evidence Gates'!I29="OPEN",'Evidence Gates'!J29=0),"PASS","FAIL")</x:f>
        <x:v>PASS</x:v>
      </x:c>
      <x:c r="G79" s="36" t="str">
        <x:v>register integrity</x:v>
      </x:c>
    </x:row>
    <x:row r="80">
      <x:c r="B80" s="34" t="str">
        <x:v>C074</x:v>
      </x:c>
      <x:c r="C80" s="34" t="str">
        <x:v>evidence row 24 is complete, open and uncredited</x:v>
      </x:c>
      <x:c r="D80" s="34" t="n">
        <x:f>COUNTA('Evidence Gates'!B30:J30)</x:f>
        <x:v>9</x:v>
      </x:c>
      <x:c r="E80" s="34" t="n">
        <x:v>9</x:v>
      </x:c>
      <x:c r="F80" s="34" t="str">
        <x:f>IF(AND(D80=E80,'Evidence Gates'!I30="OPEN",'Evidence Gates'!J30=0),"PASS","FAIL")</x:f>
        <x:v>PASS</x:v>
      </x:c>
      <x:c r="G80" s="36" t="str">
        <x:v>register integrity</x:v>
      </x:c>
    </x:row>
    <x:row r="81">
      <x:c r="B81" s="34" t="str">
        <x:v>C075</x:v>
      </x:c>
      <x:c r="C81" s="34" t="str">
        <x:v>evidence row 25 is complete, open and uncredited</x:v>
      </x:c>
      <x:c r="D81" s="34" t="n">
        <x:f>COUNTA('Evidence Gates'!B31:J31)</x:f>
        <x:v>9</x:v>
      </x:c>
      <x:c r="E81" s="34" t="n">
        <x:v>9</x:v>
      </x:c>
      <x:c r="F81" s="34" t="str">
        <x:f>IF(AND(D81=E81,'Evidence Gates'!I31="OPEN",'Evidence Gates'!J31=0),"PASS","FAIL")</x:f>
        <x:v>PASS</x:v>
      </x:c>
      <x:c r="G81" s="36" t="str">
        <x:v>register integrity</x:v>
      </x:c>
    </x:row>
    <x:row r="82">
      <x:c r="B82" s="34" t="str">
        <x:v>C076</x:v>
      </x:c>
      <x:c r="C82" s="34" t="str">
        <x:v>evidence row 26 is complete, open and uncredited</x:v>
      </x:c>
      <x:c r="D82" s="34" t="n">
        <x:f>COUNTA('Evidence Gates'!B32:J32)</x:f>
        <x:v>9</x:v>
      </x:c>
      <x:c r="E82" s="34" t="n">
        <x:v>9</x:v>
      </x:c>
      <x:c r="F82" s="34" t="str">
        <x:f>IF(AND(D82=E82,'Evidence Gates'!I32="OPEN",'Evidence Gates'!J32=0),"PASS","FAIL")</x:f>
        <x:v>PASS</x:v>
      </x:c>
      <x:c r="G82" s="36" t="str">
        <x:v>register integrity</x:v>
      </x:c>
    </x:row>
    <x:row r="83">
      <x:c r="B83" s="34" t="str">
        <x:v>C077</x:v>
      </x:c>
      <x:c r="C83" s="34" t="str">
        <x:v>evidence row 27 is complete, open and uncredited</x:v>
      </x:c>
      <x:c r="D83" s="34" t="n">
        <x:f>COUNTA('Evidence Gates'!B33:J33)</x:f>
        <x:v>9</x:v>
      </x:c>
      <x:c r="E83" s="34" t="n">
        <x:v>9</x:v>
      </x:c>
      <x:c r="F83" s="34" t="str">
        <x:f>IF(AND(D83=E83,'Evidence Gates'!I33="OPEN",'Evidence Gates'!J33=0),"PASS","FAIL")</x:f>
        <x:v>PASS</x:v>
      </x:c>
      <x:c r="G83" s="36" t="str">
        <x:v>register integrity</x:v>
      </x:c>
    </x:row>
    <x:row r="84">
      <x:c r="B84" s="34" t="str">
        <x:v>C078</x:v>
      </x:c>
      <x:c r="C84" s="34" t="str">
        <x:v>evidence row 28 is complete, open and uncredited</x:v>
      </x:c>
      <x:c r="D84" s="34" t="n">
        <x:f>COUNTA('Evidence Gates'!B34:J34)</x:f>
        <x:v>9</x:v>
      </x:c>
      <x:c r="E84" s="34" t="n">
        <x:v>9</x:v>
      </x:c>
      <x:c r="F84" s="34" t="str">
        <x:f>IF(AND(D84=E84,'Evidence Gates'!I34="OPEN",'Evidence Gates'!J34=0),"PASS","FAIL")</x:f>
        <x:v>PASS</x:v>
      </x:c>
      <x:c r="G84" s="36" t="str">
        <x:v>register integrity</x:v>
      </x:c>
    </x:row>
    <x:row r="85">
      <x:c r="B85" s="34" t="str">
        <x:v>C079</x:v>
      </x:c>
      <x:c r="C85" s="34" t="str">
        <x:v>evidence row 29 is complete, open and uncredited</x:v>
      </x:c>
      <x:c r="D85" s="34" t="n">
        <x:f>COUNTA('Evidence Gates'!B35:J35)</x:f>
        <x:v>9</x:v>
      </x:c>
      <x:c r="E85" s="34" t="n">
        <x:v>9</x:v>
      </x:c>
      <x:c r="F85" s="34" t="str">
        <x:f>IF(AND(D85=E85,'Evidence Gates'!I35="OPEN",'Evidence Gates'!J35=0),"PASS","FAIL")</x:f>
        <x:v>PASS</x:v>
      </x:c>
      <x:c r="G85" s="36" t="str">
        <x:v>register integrity</x:v>
      </x:c>
    </x:row>
    <x:row r="86">
      <x:c r="B86" s="34" t="str">
        <x:v>C080</x:v>
      </x:c>
      <x:c r="C86" s="34" t="str">
        <x:v>evidence row 30 is complete, open and uncredited</x:v>
      </x:c>
      <x:c r="D86" s="34" t="n">
        <x:f>COUNTA('Evidence Gates'!B36:J36)</x:f>
        <x:v>9</x:v>
      </x:c>
      <x:c r="E86" s="34" t="n">
        <x:v>9</x:v>
      </x:c>
      <x:c r="F86" s="34" t="str">
        <x:f>IF(AND(D86=E86,'Evidence Gates'!I36="OPEN",'Evidence Gates'!J36=0),"PASS","FAIL")</x:f>
        <x:v>PASS</x:v>
      </x:c>
      <x:c r="G86" s="36" t="str">
        <x:v>register integrity</x:v>
      </x:c>
    </x:row>
    <x:row r="87">
      <x:c r="B87" s="34" t="str">
        <x:v>C081</x:v>
      </x:c>
      <x:c r="C87" s="34" t="str">
        <x:v>evidence row 31 is complete, open and uncredited</x:v>
      </x:c>
      <x:c r="D87" s="34" t="n">
        <x:f>COUNTA('Evidence Gates'!B37:J37)</x:f>
        <x:v>9</x:v>
      </x:c>
      <x:c r="E87" s="34" t="n">
        <x:v>9</x:v>
      </x:c>
      <x:c r="F87" s="34" t="str">
        <x:f>IF(AND(D87=E87,'Evidence Gates'!I37="OPEN",'Evidence Gates'!J37=0),"PASS","FAIL")</x:f>
        <x:v>PASS</x:v>
      </x:c>
      <x:c r="G87" s="36" t="str">
        <x:v>register integrity</x:v>
      </x:c>
    </x:row>
    <x:row r="88">
      <x:c r="B88" s="34" t="str">
        <x:v>C082</x:v>
      </x:c>
      <x:c r="C88" s="34" t="str">
        <x:v>evidence row 32 is complete, open and uncredited</x:v>
      </x:c>
      <x:c r="D88" s="34" t="n">
        <x:f>COUNTA('Evidence Gates'!B38:J38)</x:f>
        <x:v>9</x:v>
      </x:c>
      <x:c r="E88" s="34" t="n">
        <x:v>9</x:v>
      </x:c>
      <x:c r="F88" s="34" t="str">
        <x:f>IF(AND(D88=E88,'Evidence Gates'!I38="OPEN",'Evidence Gates'!J38=0),"PASS","FAIL")</x:f>
        <x:v>PASS</x:v>
      </x:c>
      <x:c r="G88" s="36" t="str">
        <x:v>register integrity</x:v>
      </x:c>
    </x:row>
    <x:row r="89">
      <x:c r="B89" s="34" t="str">
        <x:v>C083</x:v>
      </x:c>
      <x:c r="C89" s="34" t="str">
        <x:v>evidence row 33 is complete, open and uncredited</x:v>
      </x:c>
      <x:c r="D89" s="34" t="n">
        <x:f>COUNTA('Evidence Gates'!B39:J39)</x:f>
        <x:v>9</x:v>
      </x:c>
      <x:c r="E89" s="34" t="n">
        <x:v>9</x:v>
      </x:c>
      <x:c r="F89" s="34" t="str">
        <x:f>IF(AND(D89=E89,'Evidence Gates'!I39="OPEN",'Evidence Gates'!J39=0),"PASS","FAIL")</x:f>
        <x:v>PASS</x:v>
      </x:c>
      <x:c r="G89" s="36" t="str">
        <x:v>register integrity</x:v>
      </x:c>
    </x:row>
    <x:row r="90">
      <x:c r="B90" s="34" t="str">
        <x:v>C084</x:v>
      </x:c>
      <x:c r="C90" s="34" t="str">
        <x:v>evidence row 34 is complete, open and uncredited</x:v>
      </x:c>
      <x:c r="D90" s="34" t="n">
        <x:f>COUNTA('Evidence Gates'!B40:J40)</x:f>
        <x:v>9</x:v>
      </x:c>
      <x:c r="E90" s="34" t="n">
        <x:v>9</x:v>
      </x:c>
      <x:c r="F90" s="34" t="str">
        <x:f>IF(AND(D90=E90,'Evidence Gates'!I40="OPEN",'Evidence Gates'!J40=0),"PASS","FAIL")</x:f>
        <x:v>PASS</x:v>
      </x:c>
      <x:c r="G90" s="36" t="str">
        <x:v>register integrity</x:v>
      </x:c>
    </x:row>
    <x:row r="91">
      <x:c r="B91" s="34" t="str">
        <x:v>C085</x:v>
      </x:c>
      <x:c r="C91" s="34" t="str">
        <x:v>evidence row 35 is complete, open and uncredited</x:v>
      </x:c>
      <x:c r="D91" s="34" t="n">
        <x:f>COUNTA('Evidence Gates'!B41:J41)</x:f>
        <x:v>9</x:v>
      </x:c>
      <x:c r="E91" s="34" t="n">
        <x:v>9</x:v>
      </x:c>
      <x:c r="F91" s="34" t="str">
        <x:f>IF(AND(D91=E91,'Evidence Gates'!I41="OPEN",'Evidence Gates'!J41=0),"PASS","FAIL")</x:f>
        <x:v>PASS</x:v>
      </x:c>
      <x:c r="G91" s="36" t="str">
        <x:v>register integrity</x:v>
      </x:c>
    </x:row>
    <x:row r="92">
      <x:c r="B92" s="34" t="str">
        <x:v>C086</x:v>
      </x:c>
      <x:c r="C92" s="34" t="str">
        <x:v>evidence row 36 is complete, open and uncredited</x:v>
      </x:c>
      <x:c r="D92" s="34" t="n">
        <x:f>COUNTA('Evidence Gates'!B42:J42)</x:f>
        <x:v>9</x:v>
      </x:c>
      <x:c r="E92" s="34" t="n">
        <x:v>9</x:v>
      </x:c>
      <x:c r="F92" s="34" t="str">
        <x:f>IF(AND(D92=E92,'Evidence Gates'!I42="OPEN",'Evidence Gates'!J42=0),"PASS","FAIL")</x:f>
        <x:v>PASS</x:v>
      </x:c>
      <x:c r="G92" s="36" t="str">
        <x:v>register integrity</x:v>
      </x:c>
    </x:row>
    <x:row r="93">
      <x:c r="B93" s="34" t="str">
        <x:v>C087</x:v>
      </x:c>
      <x:c r="C93" s="34" t="str">
        <x:v>evidence row 37 is complete, open and uncredited</x:v>
      </x:c>
      <x:c r="D93" s="34" t="n">
        <x:f>COUNTA('Evidence Gates'!B43:J43)</x:f>
        <x:v>9</x:v>
      </x:c>
      <x:c r="E93" s="34" t="n">
        <x:v>9</x:v>
      </x:c>
      <x:c r="F93" s="34" t="str">
        <x:f>IF(AND(D93=E93,'Evidence Gates'!I43="OPEN",'Evidence Gates'!J43=0),"PASS","FAIL")</x:f>
        <x:v>PASS</x:v>
      </x:c>
      <x:c r="G93" s="36" t="str">
        <x:v>register integrity</x:v>
      </x:c>
    </x:row>
    <x:row r="94">
      <x:c r="B94" s="34" t="str">
        <x:v>C088</x:v>
      </x:c>
      <x:c r="C94" s="34" t="str">
        <x:v>evidence row 38 is complete, open and uncredited</x:v>
      </x:c>
      <x:c r="D94" s="34" t="n">
        <x:f>COUNTA('Evidence Gates'!B44:J44)</x:f>
        <x:v>9</x:v>
      </x:c>
      <x:c r="E94" s="34" t="n">
        <x:v>9</x:v>
      </x:c>
      <x:c r="F94" s="34" t="str">
        <x:f>IF(AND(D94=E94,'Evidence Gates'!I44="OPEN",'Evidence Gates'!J44=0),"PASS","FAIL")</x:f>
        <x:v>PASS</x:v>
      </x:c>
      <x:c r="G94" s="36" t="str">
        <x:v>register integrity</x:v>
      </x:c>
    </x:row>
    <x:row r="95">
      <x:c r="B95" s="34" t="str">
        <x:v>C089</x:v>
      </x:c>
      <x:c r="C95" s="34" t="str">
        <x:v>evidence row 39 is complete, open and uncredited</x:v>
      </x:c>
      <x:c r="D95" s="34" t="n">
        <x:f>COUNTA('Evidence Gates'!B45:J45)</x:f>
        <x:v>9</x:v>
      </x:c>
      <x:c r="E95" s="34" t="n">
        <x:v>9</x:v>
      </x:c>
      <x:c r="F95" s="34" t="str">
        <x:f>IF(AND(D95=E95,'Evidence Gates'!I45="OPEN",'Evidence Gates'!J45=0),"PASS","FAIL")</x:f>
        <x:v>PASS</x:v>
      </x:c>
      <x:c r="G95" s="36" t="str">
        <x:v>register integrity</x:v>
      </x:c>
    </x:row>
    <x:row r="96">
      <x:c r="B96" s="34" t="str">
        <x:v>C090</x:v>
      </x:c>
      <x:c r="C96" s="34" t="str">
        <x:v>evidence row 40 is complete, open and uncredited</x:v>
      </x:c>
      <x:c r="D96" s="34" t="n">
        <x:f>COUNTA('Evidence Gates'!B46:J46)</x:f>
        <x:v>9</x:v>
      </x:c>
      <x:c r="E96" s="34" t="n">
        <x:v>9</x:v>
      </x:c>
      <x:c r="F96" s="34" t="str">
        <x:f>IF(AND(D96=E96,'Evidence Gates'!I46="OPEN",'Evidence Gates'!J46=0),"PASS","FAIL")</x:f>
        <x:v>PASS</x:v>
      </x:c>
      <x:c r="G96" s="36" t="str">
        <x:v>register integrity</x:v>
      </x:c>
    </x:row>
    <x:row r="97">
      <x:c r="B97" s="34" t="str">
        <x:v>C091</x:v>
      </x:c>
      <x:c r="C97" s="34" t="str">
        <x:v>evidence row 41 is complete, open and uncredited</x:v>
      </x:c>
      <x:c r="D97" s="34" t="n">
        <x:f>COUNTA('Evidence Gates'!B47:J47)</x:f>
        <x:v>9</x:v>
      </x:c>
      <x:c r="E97" s="34" t="n">
        <x:v>9</x:v>
      </x:c>
      <x:c r="F97" s="34" t="str">
        <x:f>IF(AND(D97=E97,'Evidence Gates'!I47="OPEN",'Evidence Gates'!J47=0),"PASS","FAIL")</x:f>
        <x:v>PASS</x:v>
      </x:c>
      <x:c r="G97" s="36" t="str">
        <x:v>register integrity</x:v>
      </x:c>
    </x:row>
    <x:row r="98">
      <x:c r="B98" s="34" t="str">
        <x:v>C092</x:v>
      </x:c>
      <x:c r="C98" s="34" t="str">
        <x:v>evidence row 42 is complete, open and uncredited</x:v>
      </x:c>
      <x:c r="D98" s="34" t="n">
        <x:f>COUNTA('Evidence Gates'!B48:J48)</x:f>
        <x:v>9</x:v>
      </x:c>
      <x:c r="E98" s="34" t="n">
        <x:v>9</x:v>
      </x:c>
      <x:c r="F98" s="34" t="str">
        <x:f>IF(AND(D98=E98,'Evidence Gates'!I48="OPEN",'Evidence Gates'!J48=0),"PASS","FAIL")</x:f>
        <x:v>PASS</x:v>
      </x:c>
      <x:c r="G98" s="36" t="str">
        <x:v>register integrity</x:v>
      </x:c>
    </x:row>
    <x:row r="99">
      <x:c r="B99" s="34" t="str">
        <x:v>C093</x:v>
      </x:c>
      <x:c r="C99" s="34" t="str">
        <x:v>evidence row 43 is complete, open and uncredited</x:v>
      </x:c>
      <x:c r="D99" s="34" t="n">
        <x:f>COUNTA('Evidence Gates'!B49:J49)</x:f>
        <x:v>9</x:v>
      </x:c>
      <x:c r="E99" s="34" t="n">
        <x:v>9</x:v>
      </x:c>
      <x:c r="F99" s="34" t="str">
        <x:f>IF(AND(D99=E99,'Evidence Gates'!I49="OPEN",'Evidence Gates'!J49=0),"PASS","FAIL")</x:f>
        <x:v>PASS</x:v>
      </x:c>
      <x:c r="G99" s="36" t="str">
        <x:v>register integrity</x:v>
      </x:c>
    </x:row>
    <x:row r="100">
      <x:c r="B100" s="34" t="str">
        <x:v>C094</x:v>
      </x:c>
      <x:c r="C100" s="34" t="str">
        <x:v>evidence row 44 is complete, open and uncredited</x:v>
      </x:c>
      <x:c r="D100" s="34" t="n">
        <x:f>COUNTA('Evidence Gates'!B50:J50)</x:f>
        <x:v>9</x:v>
      </x:c>
      <x:c r="E100" s="34" t="n">
        <x:v>9</x:v>
      </x:c>
      <x:c r="F100" s="34" t="str">
        <x:f>IF(AND(D100=E100,'Evidence Gates'!I50="OPEN",'Evidence Gates'!J50=0),"PASS","FAIL")</x:f>
        <x:v>PASS</x:v>
      </x:c>
      <x:c r="G100" s="36" t="str">
        <x:v>register integrity</x:v>
      </x:c>
    </x:row>
    <x:row r="101">
      <x:c r="B101" s="34" t="str">
        <x:v>C095</x:v>
      </x:c>
      <x:c r="C101" s="34" t="str">
        <x:v>evidence row 45 is complete, open and uncredited</x:v>
      </x:c>
      <x:c r="D101" s="34" t="n">
        <x:f>COUNTA('Evidence Gates'!B51:J51)</x:f>
        <x:v>9</x:v>
      </x:c>
      <x:c r="E101" s="34" t="n">
        <x:v>9</x:v>
      </x:c>
      <x:c r="F101" s="34" t="str">
        <x:f>IF(AND(D101=E101,'Evidence Gates'!I51="OPEN",'Evidence Gates'!J51=0),"PASS","FAIL")</x:f>
        <x:v>PASS</x:v>
      </x:c>
      <x:c r="G101" s="36" t="str">
        <x:v>register integrity</x:v>
      </x:c>
    </x:row>
    <x:row r="102">
      <x:c r="B102" s="34" t="str">
        <x:v>C096</x:v>
      </x:c>
      <x:c r="C102" s="34" t="str">
        <x:v>evidence row 46 is complete, open and uncredited</x:v>
      </x:c>
      <x:c r="D102" s="34" t="n">
        <x:f>COUNTA('Evidence Gates'!B52:J52)</x:f>
        <x:v>9</x:v>
      </x:c>
      <x:c r="E102" s="34" t="n">
        <x:v>9</x:v>
      </x:c>
      <x:c r="F102" s="34" t="str">
        <x:f>IF(AND(D102=E102,'Evidence Gates'!I52="OPEN",'Evidence Gates'!J52=0),"PASS","FAIL")</x:f>
        <x:v>PASS</x:v>
      </x:c>
      <x:c r="G102" s="36" t="str">
        <x:v>register integrity</x:v>
      </x:c>
    </x:row>
    <x:row r="103">
      <x:c r="B103" s="34" t="str">
        <x:v>C097</x:v>
      </x:c>
      <x:c r="C103" s="34" t="str">
        <x:v>evidence row 47 is complete, open and uncredited</x:v>
      </x:c>
      <x:c r="D103" s="34" t="n">
        <x:f>COUNTA('Evidence Gates'!B53:J53)</x:f>
        <x:v>9</x:v>
      </x:c>
      <x:c r="E103" s="34" t="n">
        <x:v>9</x:v>
      </x:c>
      <x:c r="F103" s="34" t="str">
        <x:f>IF(AND(D103=E103,'Evidence Gates'!I53="OPEN",'Evidence Gates'!J53=0),"PASS","FAIL")</x:f>
        <x:v>PASS</x:v>
      </x:c>
      <x:c r="G103" s="36" t="str">
        <x:v>register integrity</x:v>
      </x:c>
    </x:row>
    <x:row r="104">
      <x:c r="B104" s="34" t="str">
        <x:v>C098</x:v>
      </x:c>
      <x:c r="C104" s="34" t="str">
        <x:v>evidence row 48 is complete, open and uncredited</x:v>
      </x:c>
      <x:c r="D104" s="34" t="n">
        <x:f>COUNTA('Evidence Gates'!B54:J54)</x:f>
        <x:v>9</x:v>
      </x:c>
      <x:c r="E104" s="34" t="n">
        <x:v>9</x:v>
      </x:c>
      <x:c r="F104" s="34" t="str">
        <x:f>IF(AND(D104=E104,'Evidence Gates'!I54="OPEN",'Evidence Gates'!J54=0),"PASS","FAIL")</x:f>
        <x:v>PASS</x:v>
      </x:c>
      <x:c r="G104" s="36" t="str">
        <x:v>register integrity</x:v>
      </x:c>
    </x:row>
    <x:row r="105">
      <x:c r="B105" s="34" t="str">
        <x:v>C099</x:v>
      </x:c>
      <x:c r="C105" s="34" t="str">
        <x:v>evidence row 49 is complete, open and uncredited</x:v>
      </x:c>
      <x:c r="D105" s="34" t="n">
        <x:f>COUNTA('Evidence Gates'!B55:J55)</x:f>
        <x:v>9</x:v>
      </x:c>
      <x:c r="E105" s="34" t="n">
        <x:v>9</x:v>
      </x:c>
      <x:c r="F105" s="34" t="str">
        <x:f>IF(AND(D105=E105,'Evidence Gates'!I55="OPEN",'Evidence Gates'!J55=0),"PASS","FAIL")</x:f>
        <x:v>PASS</x:v>
      </x:c>
      <x:c r="G105" s="36" t="str">
        <x:v>register integrity</x:v>
      </x:c>
    </x:row>
    <x:row r="106">
      <x:c r="B106" s="34" t="str">
        <x:v>C100</x:v>
      </x:c>
      <x:c r="C106" s="34" t="str">
        <x:v>evidence row 50 is complete, open and uncredited</x:v>
      </x:c>
      <x:c r="D106" s="34" t="n">
        <x:f>COUNTA('Evidence Gates'!B56:J56)</x:f>
        <x:v>9</x:v>
      </x:c>
      <x:c r="E106" s="34" t="n">
        <x:v>9</x:v>
      </x:c>
      <x:c r="F106" s="34" t="str">
        <x:f>IF(AND(D106=E106,'Evidence Gates'!I56="OPEN",'Evidence Gates'!J56=0),"PASS","FAIL")</x:f>
        <x:v>PASS</x:v>
      </x:c>
      <x:c r="G106" s="36" t="str">
        <x:v>register integrity</x:v>
      </x:c>
    </x:row>
    <x:row r="107">
      <x:c r="B107" s="34" t="str">
        <x:v>C101</x:v>
      </x:c>
      <x:c r="C107" s="34" t="str">
        <x:v>evidence row 51 is complete, open and uncredited</x:v>
      </x:c>
      <x:c r="D107" s="34" t="n">
        <x:f>COUNTA('Evidence Gates'!B57:J57)</x:f>
        <x:v>9</x:v>
      </x:c>
      <x:c r="E107" s="34" t="n">
        <x:v>9</x:v>
      </x:c>
      <x:c r="F107" s="34" t="str">
        <x:f>IF(AND(D107=E107,'Evidence Gates'!I57="OPEN",'Evidence Gates'!J57=0),"PASS","FAIL")</x:f>
        <x:v>PASS</x:v>
      </x:c>
      <x:c r="G107" s="36" t="str">
        <x:v>register integrity</x:v>
      </x:c>
    </x:row>
    <x:row r="108">
      <x:c r="B108" s="34" t="str">
        <x:v>C102</x:v>
      </x:c>
      <x:c r="C108" s="34" t="str">
        <x:v>evidence row 52 is complete, open and uncredited</x:v>
      </x:c>
      <x:c r="D108" s="34" t="n">
        <x:f>COUNTA('Evidence Gates'!B58:J58)</x:f>
        <x:v>9</x:v>
      </x:c>
      <x:c r="E108" s="34" t="n">
        <x:v>9</x:v>
      </x:c>
      <x:c r="F108" s="34" t="str">
        <x:f>IF(AND(D108=E108,'Evidence Gates'!I58="OPEN",'Evidence Gates'!J58=0),"PASS","FAIL")</x:f>
        <x:v>PASS</x:v>
      </x:c>
      <x:c r="G108" s="36" t="str">
        <x:v>register integrity</x:v>
      </x:c>
    </x:row>
    <x:row r="109">
      <x:c r="B109" s="34" t="str">
        <x:v>C103</x:v>
      </x:c>
      <x:c r="C109" s="34" t="str">
        <x:v>evidence row 53 is complete, open and uncredited</x:v>
      </x:c>
      <x:c r="D109" s="34" t="n">
        <x:f>COUNTA('Evidence Gates'!B59:J59)</x:f>
        <x:v>9</x:v>
      </x:c>
      <x:c r="E109" s="34" t="n">
        <x:v>9</x:v>
      </x:c>
      <x:c r="F109" s="34" t="str">
        <x:f>IF(AND(D109=E109,'Evidence Gates'!I59="OPEN",'Evidence Gates'!J59=0),"PASS","FAIL")</x:f>
        <x:v>PASS</x:v>
      </x:c>
      <x:c r="G109" s="36" t="str">
        <x:v>register integrity</x:v>
      </x:c>
    </x:row>
    <x:row r="110">
      <x:c r="B110" s="34" t="str">
        <x:v>C104</x:v>
      </x:c>
      <x:c r="C110" s="34" t="str">
        <x:v>evidence row 54 is complete, open and uncredited</x:v>
      </x:c>
      <x:c r="D110" s="34" t="n">
        <x:f>COUNTA('Evidence Gates'!B60:J60)</x:f>
        <x:v>9</x:v>
      </x:c>
      <x:c r="E110" s="34" t="n">
        <x:v>9</x:v>
      </x:c>
      <x:c r="F110" s="34" t="str">
        <x:f>IF(AND(D110=E110,'Evidence Gates'!I60="OPEN",'Evidence Gates'!J60=0),"PASS","FAIL")</x:f>
        <x:v>PASS</x:v>
      </x:c>
      <x:c r="G110" s="36" t="str">
        <x:v>register integrity</x:v>
      </x:c>
    </x:row>
    <x:row r="111">
      <x:c r="B111" s="34" t="str">
        <x:v>C105</x:v>
      </x:c>
      <x:c r="C111" s="34" t="str">
        <x:v>evidence row 55 is complete, open and uncredited</x:v>
      </x:c>
      <x:c r="D111" s="34" t="n">
        <x:f>COUNTA('Evidence Gates'!B61:J61)</x:f>
        <x:v>9</x:v>
      </x:c>
      <x:c r="E111" s="34" t="n">
        <x:v>9</x:v>
      </x:c>
      <x:c r="F111" s="34" t="str">
        <x:f>IF(AND(D111=E111,'Evidence Gates'!I61="OPEN",'Evidence Gates'!J61=0),"PASS","FAIL")</x:f>
        <x:v>PASS</x:v>
      </x:c>
      <x:c r="G111" s="36" t="str">
        <x:v>register integrity</x:v>
      </x:c>
    </x:row>
    <x:row r="112">
      <x:c r="B112" s="34" t="str">
        <x:v>C106</x:v>
      </x:c>
      <x:c r="C112" s="34" t="str">
        <x:v>evidence row 56 is complete, open and uncredited</x:v>
      </x:c>
      <x:c r="D112" s="34" t="n">
        <x:f>COUNTA('Evidence Gates'!B62:J62)</x:f>
        <x:v>9</x:v>
      </x:c>
      <x:c r="E112" s="34" t="n">
        <x:v>9</x:v>
      </x:c>
      <x:c r="F112" s="34" t="str">
        <x:f>IF(AND(D112=E112,'Evidence Gates'!I62="OPEN",'Evidence Gates'!J62=0),"PASS","FAIL")</x:f>
        <x:v>PASS</x:v>
      </x:c>
      <x:c r="G112" s="36" t="str">
        <x:v>register integrity</x:v>
      </x:c>
    </x:row>
    <x:row r="113">
      <x:c r="B113" s="34" t="str">
        <x:v>C107</x:v>
      </x:c>
      <x:c r="C113" s="34" t="str">
        <x:v>evidence row 57 is complete, open and uncredited</x:v>
      </x:c>
      <x:c r="D113" s="34" t="n">
        <x:f>COUNTA('Evidence Gates'!B63:J63)</x:f>
        <x:v>9</x:v>
      </x:c>
      <x:c r="E113" s="34" t="n">
        <x:v>9</x:v>
      </x:c>
      <x:c r="F113" s="34" t="str">
        <x:f>IF(AND(D113=E113,'Evidence Gates'!I63="OPEN",'Evidence Gates'!J63=0),"PASS","FAIL")</x:f>
        <x:v>PASS</x:v>
      </x:c>
      <x:c r="G113" s="36" t="str">
        <x:v>register integrity</x:v>
      </x:c>
    </x:row>
    <x:row r="114">
      <x:c r="B114" s="34" t="str">
        <x:v>C108</x:v>
      </x:c>
      <x:c r="C114" s="34" t="str">
        <x:v>evidence row 58 is complete, open and uncredited</x:v>
      </x:c>
      <x:c r="D114" s="34" t="n">
        <x:f>COUNTA('Evidence Gates'!B64:J64)</x:f>
        <x:v>9</x:v>
      </x:c>
      <x:c r="E114" s="34" t="n">
        <x:v>9</x:v>
      </x:c>
      <x:c r="F114" s="34" t="str">
        <x:f>IF(AND(D114=E114,'Evidence Gates'!I64="OPEN",'Evidence Gates'!J64=0),"PASS","FAIL")</x:f>
        <x:v>PASS</x:v>
      </x:c>
      <x:c r="G114" s="36" t="str">
        <x:v>register integrity</x:v>
      </x:c>
    </x:row>
    <x:row r="115">
      <x:c r="B115" s="34" t="str">
        <x:v>C109</x:v>
      </x:c>
      <x:c r="C115" s="34" t="str">
        <x:v>evidence row 59 is complete, open and uncredited</x:v>
      </x:c>
      <x:c r="D115" s="34" t="n">
        <x:f>COUNTA('Evidence Gates'!B65:J65)</x:f>
        <x:v>9</x:v>
      </x:c>
      <x:c r="E115" s="34" t="n">
        <x:v>9</x:v>
      </x:c>
      <x:c r="F115" s="34" t="str">
        <x:f>IF(AND(D115=E115,'Evidence Gates'!I65="OPEN",'Evidence Gates'!J65=0),"PASS","FAIL")</x:f>
        <x:v>PASS</x:v>
      </x:c>
      <x:c r="G115" s="36" t="str">
        <x:v>register integrity</x:v>
      </x:c>
    </x:row>
    <x:row r="116">
      <x:c r="B116" s="34" t="str">
        <x:v>C110</x:v>
      </x:c>
      <x:c r="C116" s="34" t="str">
        <x:v>evidence row 60 is complete, open and uncredited</x:v>
      </x:c>
      <x:c r="D116" s="34" t="n">
        <x:f>COUNTA('Evidence Gates'!B66:J66)</x:f>
        <x:v>9</x:v>
      </x:c>
      <x:c r="E116" s="34" t="n">
        <x:v>9</x:v>
      </x:c>
      <x:c r="F116" s="34" t="str">
        <x:f>IF(AND(D116=E116,'Evidence Gates'!I66="OPEN",'Evidence Gates'!J66=0),"PASS","FAIL")</x:f>
        <x:v>PASS</x:v>
      </x:c>
      <x:c r="G116" s="36" t="str">
        <x:v>register integrity</x:v>
      </x:c>
    </x:row>
    <x:row r="117">
      <x:c r="B117" s="34" t="str">
        <x:v>C111</x:v>
      </x:c>
      <x:c r="C117" s="34" t="str">
        <x:v>evidence row 61 is complete, open and uncredited</x:v>
      </x:c>
      <x:c r="D117" s="34" t="n">
        <x:f>COUNTA('Evidence Gates'!B67:J67)</x:f>
        <x:v>9</x:v>
      </x:c>
      <x:c r="E117" s="34" t="n">
        <x:v>9</x:v>
      </x:c>
      <x:c r="F117" s="34" t="str">
        <x:f>IF(AND(D117=E117,'Evidence Gates'!I67="OPEN",'Evidence Gates'!J67=0),"PASS","FAIL")</x:f>
        <x:v>PASS</x:v>
      </x:c>
      <x:c r="G117" s="36" t="str">
        <x:v>register integrity</x:v>
      </x:c>
    </x:row>
    <x:row r="118">
      <x:c r="B118" s="34" t="str">
        <x:v>C112</x:v>
      </x:c>
      <x:c r="C118" s="34" t="str">
        <x:v>evidence row 62 is complete, open and uncredited</x:v>
      </x:c>
      <x:c r="D118" s="34" t="n">
        <x:f>COUNTA('Evidence Gates'!B68:J68)</x:f>
        <x:v>9</x:v>
      </x:c>
      <x:c r="E118" s="34" t="n">
        <x:v>9</x:v>
      </x:c>
      <x:c r="F118" s="34" t="str">
        <x:f>IF(AND(D118=E118,'Evidence Gates'!I68="OPEN",'Evidence Gates'!J68=0),"PASS","FAIL")</x:f>
        <x:v>PASS</x:v>
      </x:c>
      <x:c r="G118" s="36" t="str">
        <x:v>register integrity</x:v>
      </x:c>
    </x:row>
    <x:row r="119">
      <x:c r="B119" s="34" t="str">
        <x:v>C113</x:v>
      </x:c>
      <x:c r="C119" s="34" t="str">
        <x:v>evidence row 63 is complete, open and uncredited</x:v>
      </x:c>
      <x:c r="D119" s="34" t="n">
        <x:f>COUNTA('Evidence Gates'!B69:J69)</x:f>
        <x:v>9</x:v>
      </x:c>
      <x:c r="E119" s="34" t="n">
        <x:v>9</x:v>
      </x:c>
      <x:c r="F119" s="34" t="str">
        <x:f>IF(AND(D119=E119,'Evidence Gates'!I69="OPEN",'Evidence Gates'!J69=0),"PASS","FAIL")</x:f>
        <x:v>PASS</x:v>
      </x:c>
      <x:c r="G119" s="36" t="str">
        <x:v>register integrity</x:v>
      </x:c>
    </x:row>
    <x:row r="120">
      <x:c r="B120" s="34" t="str">
        <x:v>C114</x:v>
      </x:c>
      <x:c r="C120" s="34" t="str">
        <x:v>evidence row 64 is complete, open and uncredited</x:v>
      </x:c>
      <x:c r="D120" s="34" t="n">
        <x:f>COUNTA('Evidence Gates'!B70:J70)</x:f>
        <x:v>9</x:v>
      </x:c>
      <x:c r="E120" s="34" t="n">
        <x:v>9</x:v>
      </x:c>
      <x:c r="F120" s="34" t="str">
        <x:f>IF(AND(D120=E120,'Evidence Gates'!I70="OPEN",'Evidence Gates'!J70=0),"PASS","FAIL")</x:f>
        <x:v>PASS</x:v>
      </x:c>
      <x:c r="G120" s="36" t="str">
        <x:v>register integrity</x:v>
      </x:c>
    </x:row>
    <x:row r="121">
      <x:c r="B121" s="34" t="str">
        <x:v>C115</x:v>
      </x:c>
      <x:c r="C121" s="34" t="str">
        <x:v>evidence row 65 is complete, open and uncredited</x:v>
      </x:c>
      <x:c r="D121" s="34" t="n">
        <x:f>COUNTA('Evidence Gates'!B71:J71)</x:f>
        <x:v>9</x:v>
      </x:c>
      <x:c r="E121" s="34" t="n">
        <x:v>9</x:v>
      </x:c>
      <x:c r="F121" s="34" t="str">
        <x:f>IF(AND(D121=E121,'Evidence Gates'!I71="OPEN",'Evidence Gates'!J71=0),"PASS","FAIL")</x:f>
        <x:v>PASS</x:v>
      </x:c>
      <x:c r="G121" s="36" t="str">
        <x:v>register integrity</x:v>
      </x:c>
    </x:row>
    <x:row r="122">
      <x:c r="B122" s="34" t="str">
        <x:v>C116</x:v>
      </x:c>
      <x:c r="C122" s="34" t="str">
        <x:v>evidence row 66 is complete, open and uncredited</x:v>
      </x:c>
      <x:c r="D122" s="34" t="n">
        <x:f>COUNTA('Evidence Gates'!B72:J72)</x:f>
        <x:v>9</x:v>
      </x:c>
      <x:c r="E122" s="34" t="n">
        <x:v>9</x:v>
      </x:c>
      <x:c r="F122" s="34" t="str">
        <x:f>IF(AND(D122=E122,'Evidence Gates'!I72="OPEN",'Evidence Gates'!J72=0),"PASS","FAIL")</x:f>
        <x:v>PASS</x:v>
      </x:c>
      <x:c r="G122" s="36" t="str">
        <x:v>register integrity</x:v>
      </x:c>
    </x:row>
    <x:row r="123">
      <x:c r="B123" s="34" t="str">
        <x:v>C117</x:v>
      </x:c>
      <x:c r="C123" s="34" t="str">
        <x:v>evidence row 67 is complete, open and uncredited</x:v>
      </x:c>
      <x:c r="D123" s="34" t="n">
        <x:f>COUNTA('Evidence Gates'!B73:J73)</x:f>
        <x:v>9</x:v>
      </x:c>
      <x:c r="E123" s="34" t="n">
        <x:v>9</x:v>
      </x:c>
      <x:c r="F123" s="34" t="str">
        <x:f>IF(AND(D123=E123,'Evidence Gates'!I73="OPEN",'Evidence Gates'!J73=0),"PASS","FAIL")</x:f>
        <x:v>PASS</x:v>
      </x:c>
      <x:c r="G123" s="36" t="str">
        <x:v>register integrity</x:v>
      </x:c>
    </x:row>
    <x:row r="124">
      <x:c r="B124" s="34" t="str">
        <x:v>C118</x:v>
      </x:c>
      <x:c r="C124" s="34" t="str">
        <x:v>evidence row 68 is complete, open and uncredited</x:v>
      </x:c>
      <x:c r="D124" s="34" t="n">
        <x:f>COUNTA('Evidence Gates'!B74:J74)</x:f>
        <x:v>9</x:v>
      </x:c>
      <x:c r="E124" s="34" t="n">
        <x:v>9</x:v>
      </x:c>
      <x:c r="F124" s="34" t="str">
        <x:f>IF(AND(D124=E124,'Evidence Gates'!I74="OPEN",'Evidence Gates'!J74=0),"PASS","FAIL")</x:f>
        <x:v>PASS</x:v>
      </x:c>
      <x:c r="G124" s="36" t="str">
        <x:v>register integrity</x:v>
      </x:c>
    </x:row>
    <x:row r="125">
      <x:c r="B125" s="34" t="str">
        <x:v>C119</x:v>
      </x:c>
      <x:c r="C125" s="34" t="str">
        <x:v>evidence row 69 is complete, open and uncredited</x:v>
      </x:c>
      <x:c r="D125" s="34" t="n">
        <x:f>COUNTA('Evidence Gates'!B75:J75)</x:f>
        <x:v>9</x:v>
      </x:c>
      <x:c r="E125" s="34" t="n">
        <x:v>9</x:v>
      </x:c>
      <x:c r="F125" s="34" t="str">
        <x:f>IF(AND(D125=E125,'Evidence Gates'!I75="OPEN",'Evidence Gates'!J75=0),"PASS","FAIL")</x:f>
        <x:v>PASS</x:v>
      </x:c>
      <x:c r="G125" s="36" t="str">
        <x:v>register integrity</x:v>
      </x:c>
    </x:row>
    <x:row r="126">
      <x:c r="B126" s="34" t="str">
        <x:v>C120</x:v>
      </x:c>
      <x:c r="C126" s="34" t="str">
        <x:v>evidence row 70 is complete, open and uncredited</x:v>
      </x:c>
      <x:c r="D126" s="34" t="n">
        <x:f>COUNTA('Evidence Gates'!B76:J76)</x:f>
        <x:v>9</x:v>
      </x:c>
      <x:c r="E126" s="34" t="n">
        <x:v>9</x:v>
      </x:c>
      <x:c r="F126" s="34" t="str">
        <x:f>IF(AND(D126=E126,'Evidence Gates'!I76="OPEN",'Evidence Gates'!J76=0),"PASS","FAIL")</x:f>
        <x:v>PASS</x:v>
      </x:c>
      <x:c r="G126" s="36" t="str">
        <x:v>register integrity</x:v>
      </x:c>
    </x:row>
    <x:row r="127">
      <x:c r="B127" s="34" t="str">
        <x:v>C121</x:v>
      </x:c>
      <x:c r="C127" s="34" t="str">
        <x:v>evidence row 71 is complete, open and uncredited</x:v>
      </x:c>
      <x:c r="D127" s="34" t="n">
        <x:f>COUNTA('Evidence Gates'!B77:J77)</x:f>
        <x:v>9</x:v>
      </x:c>
      <x:c r="E127" s="34" t="n">
        <x:v>9</x:v>
      </x:c>
      <x:c r="F127" s="34" t="str">
        <x:f>IF(AND(D127=E127,'Evidence Gates'!I77="OPEN",'Evidence Gates'!J77=0),"PASS","FAIL")</x:f>
        <x:v>PASS</x:v>
      </x:c>
      <x:c r="G127" s="36" t="str">
        <x:v>register integrity</x:v>
      </x:c>
    </x:row>
    <x:row r="128">
      <x:c r="B128" s="34" t="str">
        <x:v>C122</x:v>
      </x:c>
      <x:c r="C128" s="34" t="str">
        <x:v>evidence row 72 is complete, open and uncredited</x:v>
      </x:c>
      <x:c r="D128" s="34" t="n">
        <x:f>COUNTA('Evidence Gates'!B78:J78)</x:f>
        <x:v>9</x:v>
      </x:c>
      <x:c r="E128" s="34" t="n">
        <x:v>9</x:v>
      </x:c>
      <x:c r="F128" s="34" t="str">
        <x:f>IF(AND(D128=E128,'Evidence Gates'!I78="OPEN",'Evidence Gates'!J78=0),"PASS","FAIL")</x:f>
        <x:v>PASS</x:v>
      </x:c>
      <x:c r="G128" s="36" t="str">
        <x:v>register integrity</x:v>
      </x:c>
    </x:row>
    <x:row r="129">
      <x:c r="B129" s="34" t="str">
        <x:v>C123</x:v>
      </x:c>
      <x:c r="C129" s="34" t="str">
        <x:v>evidence row 73 is complete, open and uncredited</x:v>
      </x:c>
      <x:c r="D129" s="34" t="n">
        <x:f>COUNTA('Evidence Gates'!B79:J79)</x:f>
        <x:v>9</x:v>
      </x:c>
      <x:c r="E129" s="34" t="n">
        <x:v>9</x:v>
      </x:c>
      <x:c r="F129" s="34" t="str">
        <x:f>IF(AND(D129=E129,'Evidence Gates'!I79="OPEN",'Evidence Gates'!J79=0),"PASS","FAIL")</x:f>
        <x:v>PASS</x:v>
      </x:c>
      <x:c r="G129" s="36" t="str">
        <x:v>register integrity</x:v>
      </x:c>
    </x:row>
    <x:row r="130">
      <x:c r="B130" s="34" t="str">
        <x:v>C124</x:v>
      </x:c>
      <x:c r="C130" s="34" t="str">
        <x:v>evidence row 74 is complete, open and uncredited</x:v>
      </x:c>
      <x:c r="D130" s="34" t="n">
        <x:f>COUNTA('Evidence Gates'!B80:J80)</x:f>
        <x:v>9</x:v>
      </x:c>
      <x:c r="E130" s="34" t="n">
        <x:v>9</x:v>
      </x:c>
      <x:c r="F130" s="34" t="str">
        <x:f>IF(AND(D130=E130,'Evidence Gates'!I80="OPEN",'Evidence Gates'!J80=0),"PASS","FAIL")</x:f>
        <x:v>PASS</x:v>
      </x:c>
      <x:c r="G130" s="36" t="str">
        <x:v>register integrity</x:v>
      </x:c>
    </x:row>
    <x:row r="131">
      <x:c r="B131" s="34" t="str">
        <x:v>C125</x:v>
      </x:c>
      <x:c r="C131" s="34" t="str">
        <x:v>evidence row 75 is complete, open and uncredited</x:v>
      </x:c>
      <x:c r="D131" s="34" t="n">
        <x:f>COUNTA('Evidence Gates'!B81:J81)</x:f>
        <x:v>9</x:v>
      </x:c>
      <x:c r="E131" s="34" t="n">
        <x:v>9</x:v>
      </x:c>
      <x:c r="F131" s="34" t="str">
        <x:f>IF(AND(D131=E131,'Evidence Gates'!I81="OPEN",'Evidence Gates'!J81=0),"PASS","FAIL")</x:f>
        <x:v>PASS</x:v>
      </x:c>
      <x:c r="G131" s="36" t="str">
        <x:v>register integrity</x:v>
      </x:c>
    </x:row>
    <x:row r="132">
      <x:c r="B132" s="34" t="str">
        <x:v>C126</x:v>
      </x:c>
      <x:c r="C132" s="34" t="str">
        <x:v>evidence row 76 is complete, open and uncredited</x:v>
      </x:c>
      <x:c r="D132" s="34" t="n">
        <x:f>COUNTA('Evidence Gates'!B82:J82)</x:f>
        <x:v>9</x:v>
      </x:c>
      <x:c r="E132" s="34" t="n">
        <x:v>9</x:v>
      </x:c>
      <x:c r="F132" s="34" t="str">
        <x:f>IF(AND(D132=E132,'Evidence Gates'!I82="OPEN",'Evidence Gates'!J82=0),"PASS","FAIL")</x:f>
        <x:v>PASS</x:v>
      </x:c>
      <x:c r="G132" s="36" t="str">
        <x:v>register integrity</x:v>
      </x:c>
    </x:row>
    <x:row r="133">
      <x:c r="B133" s="34" t="str">
        <x:v>C127</x:v>
      </x:c>
      <x:c r="C133" s="34" t="str">
        <x:v>evidence row 77 is complete, open and uncredited</x:v>
      </x:c>
      <x:c r="D133" s="34" t="n">
        <x:f>COUNTA('Evidence Gates'!B83:J83)</x:f>
        <x:v>9</x:v>
      </x:c>
      <x:c r="E133" s="34" t="n">
        <x:v>9</x:v>
      </x:c>
      <x:c r="F133" s="34" t="str">
        <x:f>IF(AND(D133=E133,'Evidence Gates'!I83="OPEN",'Evidence Gates'!J83=0),"PASS","FAIL")</x:f>
        <x:v>PASS</x:v>
      </x:c>
      <x:c r="G133" s="36" t="str">
        <x:v>register integrity</x:v>
      </x:c>
    </x:row>
    <x:row r="134">
      <x:c r="B134" s="34" t="str">
        <x:v>C128</x:v>
      </x:c>
      <x:c r="C134" s="34" t="str">
        <x:v>evidence row 78 is complete, open and uncredited</x:v>
      </x:c>
      <x:c r="D134" s="34" t="n">
        <x:f>COUNTA('Evidence Gates'!B84:J84)</x:f>
        <x:v>9</x:v>
      </x:c>
      <x:c r="E134" s="34" t="n">
        <x:v>9</x:v>
      </x:c>
      <x:c r="F134" s="34" t="str">
        <x:f>IF(AND(D134=E134,'Evidence Gates'!I84="OPEN",'Evidence Gates'!J84=0),"PASS","FAIL")</x:f>
        <x:v>PASS</x:v>
      </x:c>
      <x:c r="G134" s="36" t="str">
        <x:v>register integrity</x:v>
      </x:c>
    </x:row>
    <x:row r="135">
      <x:c r="B135" s="34" t="str">
        <x:v>C129</x:v>
      </x:c>
      <x:c r="C135" s="34" t="str">
        <x:v>evidence row 79 is complete, open and uncredited</x:v>
      </x:c>
      <x:c r="D135" s="34" t="n">
        <x:f>COUNTA('Evidence Gates'!B85:J85)</x:f>
        <x:v>9</x:v>
      </x:c>
      <x:c r="E135" s="34" t="n">
        <x:v>9</x:v>
      </x:c>
      <x:c r="F135" s="34" t="str">
        <x:f>IF(AND(D135=E135,'Evidence Gates'!I85="OPEN",'Evidence Gates'!J85=0),"PASS","FAIL")</x:f>
        <x:v>PASS</x:v>
      </x:c>
      <x:c r="G135" s="36" t="str">
        <x:v>register integrity</x:v>
      </x:c>
    </x:row>
    <x:row r="136">
      <x:c r="B136" s="34" t="str">
        <x:v>C130</x:v>
      </x:c>
      <x:c r="C136" s="34" t="str">
        <x:v>evidence row 80 is complete, open and uncredited</x:v>
      </x:c>
      <x:c r="D136" s="34" t="n">
        <x:f>COUNTA('Evidence Gates'!B86:J86)</x:f>
        <x:v>9</x:v>
      </x:c>
      <x:c r="E136" s="34" t="n">
        <x:v>9</x:v>
      </x:c>
      <x:c r="F136" s="34" t="str">
        <x:f>IF(AND(D136=E136,'Evidence Gates'!I86="OPEN",'Evidence Gates'!J86=0),"PASS","FAIL")</x:f>
        <x:v>PASS</x:v>
      </x:c>
      <x:c r="G136" s="36" t="str">
        <x:v>register integrity</x:v>
      </x:c>
    </x:row>
    <x:row r="137">
      <x:c r="B137" s="34" t="str">
        <x:v>C131</x:v>
      </x:c>
      <x:c r="C137" s="34" t="str">
        <x:v>evidence row 81 is complete, open and uncredited</x:v>
      </x:c>
      <x:c r="D137" s="34" t="n">
        <x:f>COUNTA('Evidence Gates'!B87:J87)</x:f>
        <x:v>9</x:v>
      </x:c>
      <x:c r="E137" s="34" t="n">
        <x:v>9</x:v>
      </x:c>
      <x:c r="F137" s="34" t="str">
        <x:f>IF(AND(D137=E137,'Evidence Gates'!I87="OPEN",'Evidence Gates'!J87=0),"PASS","FAIL")</x:f>
        <x:v>PASS</x:v>
      </x:c>
      <x:c r="G137" s="36" t="str">
        <x:v>register integrity</x:v>
      </x:c>
    </x:row>
    <x:row r="138">
      <x:c r="B138" s="34" t="str">
        <x:v>C132</x:v>
      </x:c>
      <x:c r="C138" s="34" t="str">
        <x:v>evidence row 82 is complete, open and uncredited</x:v>
      </x:c>
      <x:c r="D138" s="34" t="n">
        <x:f>COUNTA('Evidence Gates'!B88:J88)</x:f>
        <x:v>9</x:v>
      </x:c>
      <x:c r="E138" s="34" t="n">
        <x:v>9</x:v>
      </x:c>
      <x:c r="F138" s="34" t="str">
        <x:f>IF(AND(D138=E138,'Evidence Gates'!I88="OPEN",'Evidence Gates'!J88=0),"PASS","FAIL")</x:f>
        <x:v>PASS</x:v>
      </x:c>
      <x:c r="G138" s="36" t="str">
        <x:v>register integrity</x:v>
      </x:c>
    </x:row>
    <x:row r="139">
      <x:c r="B139" s="34" t="str">
        <x:v>C133</x:v>
      </x:c>
      <x:c r="C139" s="34" t="str">
        <x:v>evidence row 83 is complete, open and uncredited</x:v>
      </x:c>
      <x:c r="D139" s="34" t="n">
        <x:f>COUNTA('Evidence Gates'!B89:J89)</x:f>
        <x:v>9</x:v>
      </x:c>
      <x:c r="E139" s="34" t="n">
        <x:v>9</x:v>
      </x:c>
      <x:c r="F139" s="34" t="str">
        <x:f>IF(AND(D139=E139,'Evidence Gates'!I89="OPEN",'Evidence Gates'!J89=0),"PASS","FAIL")</x:f>
        <x:v>PASS</x:v>
      </x:c>
      <x:c r="G139" s="36" t="str">
        <x:v>register integrity</x:v>
      </x:c>
    </x:row>
    <x:row r="140">
      <x:c r="B140" s="34" t="str">
        <x:v>C134</x:v>
      </x:c>
      <x:c r="C140" s="34" t="str">
        <x:v>evidence row 84 is complete, open and uncredited</x:v>
      </x:c>
      <x:c r="D140" s="34" t="n">
        <x:f>COUNTA('Evidence Gates'!B90:J90)</x:f>
        <x:v>9</x:v>
      </x:c>
      <x:c r="E140" s="34" t="n">
        <x:v>9</x:v>
      </x:c>
      <x:c r="F140" s="34" t="str">
        <x:f>IF(AND(D140=E140,'Evidence Gates'!I90="OPEN",'Evidence Gates'!J90=0),"PASS","FAIL")</x:f>
        <x:v>PASS</x:v>
      </x:c>
      <x:c r="G140" s="36" t="str">
        <x:v>register integrity</x:v>
      </x:c>
    </x:row>
    <x:row r="141">
      <x:c r="B141" s="34" t="str">
        <x:v>C135</x:v>
      </x:c>
      <x:c r="C141" s="34" t="str">
        <x:v>evidence row 85 is complete, open and uncredited</x:v>
      </x:c>
      <x:c r="D141" s="34" t="n">
        <x:f>COUNTA('Evidence Gates'!B91:J91)</x:f>
        <x:v>9</x:v>
      </x:c>
      <x:c r="E141" s="34" t="n">
        <x:v>9</x:v>
      </x:c>
      <x:c r="F141" s="34" t="str">
        <x:f>IF(AND(D141=E141,'Evidence Gates'!I91="OPEN",'Evidence Gates'!J91=0),"PASS","FAIL")</x:f>
        <x:v>PASS</x:v>
      </x:c>
      <x:c r="G141" s="36" t="str">
        <x:v>register integrity</x:v>
      </x:c>
    </x:row>
    <x:row r="142">
      <x:c r="B142" s="34" t="str">
        <x:v>C136</x:v>
      </x:c>
      <x:c r="C142" s="34" t="str">
        <x:v>evidence row 86 is complete, open and uncredited</x:v>
      </x:c>
      <x:c r="D142" s="34" t="n">
        <x:f>COUNTA('Evidence Gates'!B92:J92)</x:f>
        <x:v>9</x:v>
      </x:c>
      <x:c r="E142" s="34" t="n">
        <x:v>9</x:v>
      </x:c>
      <x:c r="F142" s="34" t="str">
        <x:f>IF(AND(D142=E142,'Evidence Gates'!I92="OPEN",'Evidence Gates'!J92=0),"PASS","FAIL")</x:f>
        <x:v>PASS</x:v>
      </x:c>
      <x:c r="G142" s="36" t="str">
        <x:v>register integrity</x:v>
      </x:c>
    </x:row>
    <x:row r="143">
      <x:c r="B143" s="34" t="str">
        <x:v>C137</x:v>
      </x:c>
      <x:c r="C143" s="34" t="str">
        <x:v>evidence row 87 is complete, open and uncredited</x:v>
      </x:c>
      <x:c r="D143" s="34" t="n">
        <x:f>COUNTA('Evidence Gates'!B93:J93)</x:f>
        <x:v>9</x:v>
      </x:c>
      <x:c r="E143" s="34" t="n">
        <x:v>9</x:v>
      </x:c>
      <x:c r="F143" s="34" t="str">
        <x:f>IF(AND(D143=E143,'Evidence Gates'!I93="OPEN",'Evidence Gates'!J93=0),"PASS","FAIL")</x:f>
        <x:v>PASS</x:v>
      </x:c>
      <x:c r="G143" s="36" t="str">
        <x:v>register integrity</x:v>
      </x:c>
    </x:row>
    <x:row r="144">
      <x:c r="B144" s="34" t="str">
        <x:v>C138</x:v>
      </x:c>
      <x:c r="C144" s="34" t="str">
        <x:v>evidence row 88 is complete, open and uncredited</x:v>
      </x:c>
      <x:c r="D144" s="34" t="n">
        <x:f>COUNTA('Evidence Gates'!B94:J94)</x:f>
        <x:v>9</x:v>
      </x:c>
      <x:c r="E144" s="34" t="n">
        <x:v>9</x:v>
      </x:c>
      <x:c r="F144" s="34" t="str">
        <x:f>IF(AND(D144=E144,'Evidence Gates'!I94="OPEN",'Evidence Gates'!J94=0),"PASS","FAIL")</x:f>
        <x:v>PASS</x:v>
      </x:c>
      <x:c r="G144" s="36" t="str">
        <x:v>register integrity</x:v>
      </x:c>
    </x:row>
    <x:row r="145">
      <x:c r="B145" s="34" t="str">
        <x:v>C139</x:v>
      </x:c>
      <x:c r="C145" s="34" t="str">
        <x:v>evidence row 89 is complete, open and uncredited</x:v>
      </x:c>
      <x:c r="D145" s="34" t="n">
        <x:f>COUNTA('Evidence Gates'!B95:J95)</x:f>
        <x:v>9</x:v>
      </x:c>
      <x:c r="E145" s="34" t="n">
        <x:v>9</x:v>
      </x:c>
      <x:c r="F145" s="34" t="str">
        <x:f>IF(AND(D145=E145,'Evidence Gates'!I95="OPEN",'Evidence Gates'!J95=0),"PASS","FAIL")</x:f>
        <x:v>PASS</x:v>
      </x:c>
      <x:c r="G145" s="36" t="str">
        <x:v>register integrity</x:v>
      </x:c>
    </x:row>
    <x:row r="146">
      <x:c r="B146" s="34" t="str">
        <x:v>C140</x:v>
      </x:c>
      <x:c r="C146" s="34" t="str">
        <x:v>evidence row 90 is complete, open and uncredited</x:v>
      </x:c>
      <x:c r="D146" s="34" t="n">
        <x:f>COUNTA('Evidence Gates'!B96:J96)</x:f>
        <x:v>9</x:v>
      </x:c>
      <x:c r="E146" s="34" t="n">
        <x:v>9</x:v>
      </x:c>
      <x:c r="F146" s="34" t="str">
        <x:f>IF(AND(D146=E146,'Evidence Gates'!I96="OPEN",'Evidence Gates'!J96=0),"PASS","FAIL")</x:f>
        <x:v>PASS</x:v>
      </x:c>
      <x:c r="G146" s="36" t="str">
        <x:v>register integrity</x:v>
      </x:c>
    </x:row>
    <x:row r="147">
      <x:c r="B147" s="34" t="str">
        <x:v>C141</x:v>
      </x:c>
      <x:c r="C147" s="34" t="str">
        <x:v>evidence row 91 is complete, open and uncredited</x:v>
      </x:c>
      <x:c r="D147" s="34" t="n">
        <x:f>COUNTA('Evidence Gates'!B97:J97)</x:f>
        <x:v>9</x:v>
      </x:c>
      <x:c r="E147" s="34" t="n">
        <x:v>9</x:v>
      </x:c>
      <x:c r="F147" s="34" t="str">
        <x:f>IF(AND(D147=E147,'Evidence Gates'!I97="OPEN",'Evidence Gates'!J97=0),"PASS","FAIL")</x:f>
        <x:v>PASS</x:v>
      </x:c>
      <x:c r="G147" s="36" t="str">
        <x:v>register integrity</x:v>
      </x:c>
    </x:row>
    <x:row r="148">
      <x:c r="B148" s="34" t="str">
        <x:v>C142</x:v>
      </x:c>
      <x:c r="C148" s="34" t="str">
        <x:v>evidence row 92 is complete, open and uncredited</x:v>
      </x:c>
      <x:c r="D148" s="34" t="n">
        <x:f>COUNTA('Evidence Gates'!B98:J98)</x:f>
        <x:v>9</x:v>
      </x:c>
      <x:c r="E148" s="34" t="n">
        <x:v>9</x:v>
      </x:c>
      <x:c r="F148" s="34" t="str">
        <x:f>IF(AND(D148=E148,'Evidence Gates'!I98="OPEN",'Evidence Gates'!J98=0),"PASS","FAIL")</x:f>
        <x:v>PASS</x:v>
      </x:c>
      <x:c r="G148" s="36" t="str">
        <x:v>register integrity</x:v>
      </x:c>
    </x:row>
    <x:row r="149">
      <x:c r="B149" s="34" t="str">
        <x:v>C143</x:v>
      </x:c>
      <x:c r="C149" s="34" t="str">
        <x:v>evidence row 93 is complete, open and uncredited</x:v>
      </x:c>
      <x:c r="D149" s="34" t="n">
        <x:f>COUNTA('Evidence Gates'!B99:J99)</x:f>
        <x:v>9</x:v>
      </x:c>
      <x:c r="E149" s="34" t="n">
        <x:v>9</x:v>
      </x:c>
      <x:c r="F149" s="34" t="str">
        <x:f>IF(AND(D149=E149,'Evidence Gates'!I99="OPEN",'Evidence Gates'!J99=0),"PASS","FAIL")</x:f>
        <x:v>PASS</x:v>
      </x:c>
      <x:c r="G149" s="36" t="str">
        <x:v>register integrity</x:v>
      </x:c>
    </x:row>
    <x:row r="150">
      <x:c r="B150" s="34" t="str">
        <x:v>C144</x:v>
      </x:c>
      <x:c r="C150" s="34" t="str">
        <x:v>evidence row 94 is complete, open and uncredited</x:v>
      </x:c>
      <x:c r="D150" s="34" t="n">
        <x:f>COUNTA('Evidence Gates'!B100:J100)</x:f>
        <x:v>9</x:v>
      </x:c>
      <x:c r="E150" s="34" t="n">
        <x:v>9</x:v>
      </x:c>
      <x:c r="F150" s="34" t="str">
        <x:f>IF(AND(D150=E150,'Evidence Gates'!I100="OPEN",'Evidence Gates'!J100=0),"PASS","FAIL")</x:f>
        <x:v>PASS</x:v>
      </x:c>
      <x:c r="G150" s="36" t="str">
        <x:v>register integrity</x:v>
      </x:c>
    </x:row>
    <x:row r="151">
      <x:c r="B151" s="34" t="str">
        <x:v>C145</x:v>
      </x:c>
      <x:c r="C151" s="34" t="str">
        <x:v>evidence row 95 is complete, open and uncredited</x:v>
      </x:c>
      <x:c r="D151" s="34" t="n">
        <x:f>COUNTA('Evidence Gates'!B101:J101)</x:f>
        <x:v>9</x:v>
      </x:c>
      <x:c r="E151" s="34" t="n">
        <x:v>9</x:v>
      </x:c>
      <x:c r="F151" s="34" t="str">
        <x:f>IF(AND(D151=E151,'Evidence Gates'!I101="OPEN",'Evidence Gates'!J101=0),"PASS","FAIL")</x:f>
        <x:v>PASS</x:v>
      </x:c>
      <x:c r="G151" s="36" t="str">
        <x:v>register integrity</x:v>
      </x:c>
    </x:row>
    <x:row r="152">
      <x:c r="B152" s="34" t="str">
        <x:v>C146</x:v>
      </x:c>
      <x:c r="C152" s="34" t="str">
        <x:v>evidence row 96 is complete, open and uncredited</x:v>
      </x:c>
      <x:c r="D152" s="34" t="n">
        <x:f>COUNTA('Evidence Gates'!B102:J102)</x:f>
        <x:v>9</x:v>
      </x:c>
      <x:c r="E152" s="34" t="n">
        <x:v>9</x:v>
      </x:c>
      <x:c r="F152" s="34" t="str">
        <x:f>IF(AND(D152=E152,'Evidence Gates'!I102="OPEN",'Evidence Gates'!J102=0),"PASS","FAIL")</x:f>
        <x:v>PASS</x:v>
      </x:c>
      <x:c r="G152" s="36" t="str">
        <x:v>register integrity</x:v>
      </x:c>
    </x:row>
    <x:row r="153">
      <x:c r="B153" s="34" t="str">
        <x:v>C147</x:v>
      </x:c>
      <x:c r="C153" s="34" t="str">
        <x:v>evidence row 97 is complete, open and uncredited</x:v>
      </x:c>
      <x:c r="D153" s="34" t="n">
        <x:f>COUNTA('Evidence Gates'!B103:J103)</x:f>
        <x:v>9</x:v>
      </x:c>
      <x:c r="E153" s="34" t="n">
        <x:v>9</x:v>
      </x:c>
      <x:c r="F153" s="34" t="str">
        <x:f>IF(AND(D153=E153,'Evidence Gates'!I103="OPEN",'Evidence Gates'!J103=0),"PASS","FAIL")</x:f>
        <x:v>PASS</x:v>
      </x:c>
      <x:c r="G153" s="36" t="str">
        <x:v>register integrity</x:v>
      </x:c>
    </x:row>
    <x:row r="154">
      <x:c r="B154" s="34" t="str">
        <x:v>C148</x:v>
      </x:c>
      <x:c r="C154" s="34" t="str">
        <x:v>evidence row 98 is complete, open and uncredited</x:v>
      </x:c>
      <x:c r="D154" s="34" t="n">
        <x:f>COUNTA('Evidence Gates'!B104:J104)</x:f>
        <x:v>9</x:v>
      </x:c>
      <x:c r="E154" s="34" t="n">
        <x:v>9</x:v>
      </x:c>
      <x:c r="F154" s="34" t="str">
        <x:f>IF(AND(D154=E154,'Evidence Gates'!I104="OPEN",'Evidence Gates'!J104=0),"PASS","FAIL")</x:f>
        <x:v>PASS</x:v>
      </x:c>
      <x:c r="G154" s="36" t="str">
        <x:v>register integrity</x:v>
      </x:c>
    </x:row>
    <x:row r="155">
      <x:c r="B155" s="34" t="str">
        <x:v>C149</x:v>
      </x:c>
      <x:c r="C155" s="34" t="str">
        <x:v>evidence row 99 is complete, open and uncredited</x:v>
      </x:c>
      <x:c r="D155" s="34" t="n">
        <x:f>COUNTA('Evidence Gates'!B105:J105)</x:f>
        <x:v>9</x:v>
      </x:c>
      <x:c r="E155" s="34" t="n">
        <x:v>9</x:v>
      </x:c>
      <x:c r="F155" s="34" t="str">
        <x:f>IF(AND(D155=E155,'Evidence Gates'!I105="OPEN",'Evidence Gates'!J105=0),"PASS","FAIL")</x:f>
        <x:v>PASS</x:v>
      </x:c>
      <x:c r="G155" s="36" t="str">
        <x:v>register integrity</x:v>
      </x:c>
    </x:row>
    <x:row r="156">
      <x:c r="B156" s="34" t="str">
        <x:v>C150</x:v>
      </x:c>
      <x:c r="C156" s="34" t="str">
        <x:v>evidence row 100 is complete, open and uncredited</x:v>
      </x:c>
      <x:c r="D156" s="34" t="n">
        <x:f>COUNTA('Evidence Gates'!B106:J106)</x:f>
        <x:v>9</x:v>
      </x:c>
      <x:c r="E156" s="34" t="n">
        <x:v>9</x:v>
      </x:c>
      <x:c r="F156" s="34" t="str">
        <x:f>IF(AND(D156=E156,'Evidence Gates'!I106="OPEN",'Evidence Gates'!J106=0),"PASS","FAIL")</x:f>
        <x:v>PASS</x:v>
      </x:c>
      <x:c r="G156" s="36" t="str">
        <x:v>register integrity</x:v>
      </x:c>
    </x:row>
    <x:row r="157">
      <x:c r="B157" s="34" t="str">
        <x:v>C151</x:v>
      </x:c>
      <x:c r="C157" s="34" t="str">
        <x:v>evidence row 101 is complete, open and uncredited</x:v>
      </x:c>
      <x:c r="D157" s="34" t="n">
        <x:f>COUNTA('Evidence Gates'!B107:J107)</x:f>
        <x:v>9</x:v>
      </x:c>
      <x:c r="E157" s="34" t="n">
        <x:v>9</x:v>
      </x:c>
      <x:c r="F157" s="34" t="str">
        <x:f>IF(AND(D157=E157,'Evidence Gates'!I107="OPEN",'Evidence Gates'!J107=0),"PASS","FAIL")</x:f>
        <x:v>PASS</x:v>
      </x:c>
      <x:c r="G157" s="36" t="str">
        <x:v>register integrity</x:v>
      </x:c>
    </x:row>
    <x:row r="158">
      <x:c r="B158" s="34" t="str">
        <x:v>C152</x:v>
      </x:c>
      <x:c r="C158" s="34" t="str">
        <x:v>evidence row 102 is complete, open and uncredited</x:v>
      </x:c>
      <x:c r="D158" s="34" t="n">
        <x:f>COUNTA('Evidence Gates'!B108:J108)</x:f>
        <x:v>9</x:v>
      </x:c>
      <x:c r="E158" s="34" t="n">
        <x:v>9</x:v>
      </x:c>
      <x:c r="F158" s="34" t="str">
        <x:f>IF(AND(D158=E158,'Evidence Gates'!I108="OPEN",'Evidence Gates'!J108=0),"PASS","FAIL")</x:f>
        <x:v>PASS</x:v>
      </x:c>
      <x:c r="G158" s="36" t="str">
        <x:v>register integrity</x:v>
      </x:c>
    </x:row>
    <x:row r="159">
      <x:c r="B159" s="34" t="str">
        <x:v>C153</x:v>
      </x:c>
      <x:c r="C159" s="34" t="str">
        <x:v>evidence row 103 is complete, open and uncredited</x:v>
      </x:c>
      <x:c r="D159" s="34" t="n">
        <x:f>COUNTA('Evidence Gates'!B109:J109)</x:f>
        <x:v>9</x:v>
      </x:c>
      <x:c r="E159" s="34" t="n">
        <x:v>9</x:v>
      </x:c>
      <x:c r="F159" s="34" t="str">
        <x:f>IF(AND(D159=E159,'Evidence Gates'!I109="OPEN",'Evidence Gates'!J109=0),"PASS","FAIL")</x:f>
        <x:v>PASS</x:v>
      </x:c>
      <x:c r="G159" s="36" t="str">
        <x:v>register integrity</x:v>
      </x:c>
    </x:row>
    <x:row r="160">
      <x:c r="B160" s="34" t="str">
        <x:v>C154</x:v>
      </x:c>
      <x:c r="C160" s="34" t="str">
        <x:v>evidence row 104 is complete, open and uncredited</x:v>
      </x:c>
      <x:c r="D160" s="34" t="n">
        <x:f>COUNTA('Evidence Gates'!B110:J110)</x:f>
        <x:v>9</x:v>
      </x:c>
      <x:c r="E160" s="34" t="n">
        <x:v>9</x:v>
      </x:c>
      <x:c r="F160" s="34" t="str">
        <x:f>IF(AND(D160=E160,'Evidence Gates'!I110="OPEN",'Evidence Gates'!J110=0),"PASS","FAIL")</x:f>
        <x:v>PASS</x:v>
      </x:c>
      <x:c r="G160" s="36" t="str">
        <x:v>register integrity</x:v>
      </x:c>
    </x:row>
    <x:row r="161">
      <x:c r="B161" s="34" t="str">
        <x:v>C155</x:v>
      </x:c>
      <x:c r="C161" s="34" t="str">
        <x:v>evidence row 105 is complete, open and uncredited</x:v>
      </x:c>
      <x:c r="D161" s="34" t="n">
        <x:f>COUNTA('Evidence Gates'!B111:J111)</x:f>
        <x:v>9</x:v>
      </x:c>
      <x:c r="E161" s="34" t="n">
        <x:v>9</x:v>
      </x:c>
      <x:c r="F161" s="34" t="str">
        <x:f>IF(AND(D161=E161,'Evidence Gates'!I111="OPEN",'Evidence Gates'!J111=0),"PASS","FAIL")</x:f>
        <x:v>PASS</x:v>
      </x:c>
      <x:c r="G161" s="36" t="str">
        <x:v>register integrity</x:v>
      </x:c>
    </x:row>
    <x:row r="162">
      <x:c r="B162" s="34" t="str">
        <x:v>C156</x:v>
      </x:c>
      <x:c r="C162" s="34" t="str">
        <x:v>evidence row 106 is complete, open and uncredited</x:v>
      </x:c>
      <x:c r="D162" s="34" t="n">
        <x:f>COUNTA('Evidence Gates'!B112:J112)</x:f>
        <x:v>9</x:v>
      </x:c>
      <x:c r="E162" s="34" t="n">
        <x:v>9</x:v>
      </x:c>
      <x:c r="F162" s="34" t="str">
        <x:f>IF(AND(D162=E162,'Evidence Gates'!I112="OPEN",'Evidence Gates'!J112=0),"PASS","FAIL")</x:f>
        <x:v>PASS</x:v>
      </x:c>
      <x:c r="G162" s="36" t="str">
        <x:v>register integrity</x:v>
      </x:c>
    </x:row>
    <x:row r="163">
      <x:c r="B163" s="34" t="str">
        <x:v>C157</x:v>
      </x:c>
      <x:c r="C163" s="34" t="str">
        <x:v>evidence row 107 is complete, open and uncredited</x:v>
      </x:c>
      <x:c r="D163" s="34" t="n">
        <x:f>COUNTA('Evidence Gates'!B113:J113)</x:f>
        <x:v>9</x:v>
      </x:c>
      <x:c r="E163" s="34" t="n">
        <x:v>9</x:v>
      </x:c>
      <x:c r="F163" s="34" t="str">
        <x:f>IF(AND(D163=E163,'Evidence Gates'!I113="OPEN",'Evidence Gates'!J113=0),"PASS","FAIL")</x:f>
        <x:v>PASS</x:v>
      </x:c>
      <x:c r="G163" s="36" t="str">
        <x:v>register integrity</x:v>
      </x:c>
    </x:row>
    <x:row r="164">
      <x:c r="B164" s="34" t="str">
        <x:v>C158</x:v>
      </x:c>
      <x:c r="C164" s="34" t="str">
        <x:v>evidence row 108 is complete, open and uncredited</x:v>
      </x:c>
      <x:c r="D164" s="34" t="n">
        <x:f>COUNTA('Evidence Gates'!B114:J114)</x:f>
        <x:v>9</x:v>
      </x:c>
      <x:c r="E164" s="34" t="n">
        <x:v>9</x:v>
      </x:c>
      <x:c r="F164" s="34" t="str">
        <x:f>IF(AND(D164=E164,'Evidence Gates'!I114="OPEN",'Evidence Gates'!J114=0),"PASS","FAIL")</x:f>
        <x:v>PASS</x:v>
      </x:c>
      <x:c r="G164" s="36" t="str">
        <x:v>register integrity</x:v>
      </x:c>
    </x:row>
    <x:row r="165">
      <x:c r="B165" s="34" t="str">
        <x:v>C159</x:v>
      </x:c>
      <x:c r="C165" s="34" t="str">
        <x:v>evidence row 109 is complete, open and uncredited</x:v>
      </x:c>
      <x:c r="D165" s="34" t="n">
        <x:f>COUNTA('Evidence Gates'!B115:J115)</x:f>
        <x:v>9</x:v>
      </x:c>
      <x:c r="E165" s="34" t="n">
        <x:v>9</x:v>
      </x:c>
      <x:c r="F165" s="34" t="str">
        <x:f>IF(AND(D165=E165,'Evidence Gates'!I115="OPEN",'Evidence Gates'!J115=0),"PASS","FAIL")</x:f>
        <x:v>PASS</x:v>
      </x:c>
      <x:c r="G165" s="36" t="str">
        <x:v>register integrity</x:v>
      </x:c>
    </x:row>
    <x:row r="166">
      <x:c r="B166" s="34" t="str">
        <x:v>C160</x:v>
      </x:c>
      <x:c r="C166" s="34" t="str">
        <x:v>evidence row 110 is complete, open and uncredited</x:v>
      </x:c>
      <x:c r="D166" s="34" t="n">
        <x:f>COUNTA('Evidence Gates'!B116:J116)</x:f>
        <x:v>9</x:v>
      </x:c>
      <x:c r="E166" s="34" t="n">
        <x:v>9</x:v>
      </x:c>
      <x:c r="F166" s="34" t="str">
        <x:f>IF(AND(D166=E166,'Evidence Gates'!I116="OPEN",'Evidence Gates'!J116=0),"PASS","FAIL")</x:f>
        <x:v>PASS</x:v>
      </x:c>
      <x:c r="G166" s="36" t="str">
        <x:v>register integrity</x:v>
      </x:c>
    </x:row>
    <x:row r="167">
      <x:c r="B167" s="34" t="str">
        <x:v>C161</x:v>
      </x:c>
      <x:c r="C167" s="34" t="str">
        <x:v>evidence row 111 is complete, open and uncredited</x:v>
      </x:c>
      <x:c r="D167" s="34" t="n">
        <x:f>COUNTA('Evidence Gates'!B117:J117)</x:f>
        <x:v>9</x:v>
      </x:c>
      <x:c r="E167" s="34" t="n">
        <x:v>9</x:v>
      </x:c>
      <x:c r="F167" s="34" t="str">
        <x:f>IF(AND(D167=E167,'Evidence Gates'!I117="OPEN",'Evidence Gates'!J117=0),"PASS","FAIL")</x:f>
        <x:v>PASS</x:v>
      </x:c>
      <x:c r="G167" s="36" t="str">
        <x:v>register integrity</x:v>
      </x:c>
    </x:row>
    <x:row r="168">
      <x:c r="B168" s="34" t="str">
        <x:v>C162</x:v>
      </x:c>
      <x:c r="C168" s="34" t="str">
        <x:v>evidence row 112 is complete, open and uncredited</x:v>
      </x:c>
      <x:c r="D168" s="34" t="n">
        <x:f>COUNTA('Evidence Gates'!B118:J118)</x:f>
        <x:v>9</x:v>
      </x:c>
      <x:c r="E168" s="34" t="n">
        <x:v>9</x:v>
      </x:c>
      <x:c r="F168" s="34" t="str">
        <x:f>IF(AND(D168=E168,'Evidence Gates'!I118="OPEN",'Evidence Gates'!J118=0),"PASS","FAIL")</x:f>
        <x:v>PASS</x:v>
      </x:c>
      <x:c r="G168" s="36" t="str">
        <x:v>register integrity</x:v>
      </x:c>
    </x:row>
    <x:row r="169">
      <x:c r="B169" s="34" t="str">
        <x:v>C163</x:v>
      </x:c>
      <x:c r="C169" s="34" t="str">
        <x:v>evidence row 113 is complete, open and uncredited</x:v>
      </x:c>
      <x:c r="D169" s="34" t="n">
        <x:f>COUNTA('Evidence Gates'!B119:J119)</x:f>
        <x:v>9</x:v>
      </x:c>
      <x:c r="E169" s="34" t="n">
        <x:v>9</x:v>
      </x:c>
      <x:c r="F169" s="34" t="str">
        <x:f>IF(AND(D169=E169,'Evidence Gates'!I119="OPEN",'Evidence Gates'!J119=0),"PASS","FAIL")</x:f>
        <x:v>PASS</x:v>
      </x:c>
      <x:c r="G169" s="36" t="str">
        <x:v>register integrity</x:v>
      </x:c>
    </x:row>
    <x:row r="170">
      <x:c r="B170" s="34" t="str">
        <x:v>C164</x:v>
      </x:c>
      <x:c r="C170" s="34" t="str">
        <x:v>evidence row 114 is complete, open and uncredited</x:v>
      </x:c>
      <x:c r="D170" s="34" t="n">
        <x:f>COUNTA('Evidence Gates'!B120:J120)</x:f>
        <x:v>9</x:v>
      </x:c>
      <x:c r="E170" s="34" t="n">
        <x:v>9</x:v>
      </x:c>
      <x:c r="F170" s="34" t="str">
        <x:f>IF(AND(D170=E170,'Evidence Gates'!I120="OPEN",'Evidence Gates'!J120=0),"PASS","FAIL")</x:f>
        <x:v>PASS</x:v>
      </x:c>
      <x:c r="G170" s="36" t="str">
        <x:v>register integrity</x:v>
      </x:c>
    </x:row>
    <x:row r="171">
      <x:c r="B171" s="34" t="str">
        <x:v>C165</x:v>
      </x:c>
      <x:c r="C171" s="34" t="str">
        <x:v>evidence row 115 is complete, open and uncredited</x:v>
      </x:c>
      <x:c r="D171" s="34" t="n">
        <x:f>COUNTA('Evidence Gates'!B121:J121)</x:f>
        <x:v>9</x:v>
      </x:c>
      <x:c r="E171" s="34" t="n">
        <x:v>9</x:v>
      </x:c>
      <x:c r="F171" s="34" t="str">
        <x:f>IF(AND(D171=E171,'Evidence Gates'!I121="OPEN",'Evidence Gates'!J121=0),"PASS","FAIL")</x:f>
        <x:v>PASS</x:v>
      </x:c>
      <x:c r="G171" s="36" t="str">
        <x:v>register integrity</x:v>
      </x:c>
    </x:row>
    <x:row r="172">
      <x:c r="B172" s="34" t="str">
        <x:v>C166</x:v>
      </x:c>
      <x:c r="C172" s="34" t="str">
        <x:v>evidence row 116 is complete, open and uncredited</x:v>
      </x:c>
      <x:c r="D172" s="34" t="n">
        <x:f>COUNTA('Evidence Gates'!B122:J122)</x:f>
        <x:v>9</x:v>
      </x:c>
      <x:c r="E172" s="34" t="n">
        <x:v>9</x:v>
      </x:c>
      <x:c r="F172" s="34" t="str">
        <x:f>IF(AND(D172=E172,'Evidence Gates'!I122="OPEN",'Evidence Gates'!J122=0),"PASS","FAIL")</x:f>
        <x:v>PASS</x:v>
      </x:c>
      <x:c r="G172" s="36" t="str">
        <x:v>register integrity</x:v>
      </x:c>
    </x:row>
    <x:row r="173">
      <x:c r="B173" s="34" t="str">
        <x:v>C167</x:v>
      </x:c>
      <x:c r="C173" s="34" t="str">
        <x:v>evidence row 117 is complete, open and uncredited</x:v>
      </x:c>
      <x:c r="D173" s="34" t="n">
        <x:f>COUNTA('Evidence Gates'!B123:J123)</x:f>
        <x:v>9</x:v>
      </x:c>
      <x:c r="E173" s="34" t="n">
        <x:v>9</x:v>
      </x:c>
      <x:c r="F173" s="34" t="str">
        <x:f>IF(AND(D173=E173,'Evidence Gates'!I123="OPEN",'Evidence Gates'!J123=0),"PASS","FAIL")</x:f>
        <x:v>PASS</x:v>
      </x:c>
      <x:c r="G173" s="36" t="str">
        <x:v>register integrity</x:v>
      </x:c>
    </x:row>
    <x:row r="174">
      <x:c r="B174" s="34" t="str">
        <x:v>C168</x:v>
      </x:c>
      <x:c r="C174" s="34" t="str">
        <x:v>evidence row 118 is complete, open and uncredited</x:v>
      </x:c>
      <x:c r="D174" s="34" t="n">
        <x:f>COUNTA('Evidence Gates'!B124:J124)</x:f>
        <x:v>9</x:v>
      </x:c>
      <x:c r="E174" s="34" t="n">
        <x:v>9</x:v>
      </x:c>
      <x:c r="F174" s="34" t="str">
        <x:f>IF(AND(D174=E174,'Evidence Gates'!I124="OPEN",'Evidence Gates'!J124=0),"PASS","FAIL")</x:f>
        <x:v>PASS</x:v>
      </x:c>
      <x:c r="G174" s="36" t="str">
        <x:v>register integrity</x:v>
      </x:c>
    </x:row>
    <x:row r="175">
      <x:c r="B175" s="34" t="str">
        <x:v>C169</x:v>
      </x:c>
      <x:c r="C175" s="34" t="str">
        <x:v>evidence row 119 is complete, open and uncredited</x:v>
      </x:c>
      <x:c r="D175" s="34" t="n">
        <x:f>COUNTA('Evidence Gates'!B125:J125)</x:f>
        <x:v>9</x:v>
      </x:c>
      <x:c r="E175" s="34" t="n">
        <x:v>9</x:v>
      </x:c>
      <x:c r="F175" s="34" t="str">
        <x:f>IF(AND(D175=E175,'Evidence Gates'!I125="OPEN",'Evidence Gates'!J125=0),"PASS","FAIL")</x:f>
        <x:v>PASS</x:v>
      </x:c>
      <x:c r="G175" s="36" t="str">
        <x:v>register integrity</x:v>
      </x:c>
    </x:row>
    <x:row r="176">
      <x:c r="B176" s="34" t="str">
        <x:v>C170</x:v>
      </x:c>
      <x:c r="C176" s="34" t="str">
        <x:v>evidence row 120 is complete, open and uncredited</x:v>
      </x:c>
      <x:c r="D176" s="34" t="n">
        <x:f>COUNTA('Evidence Gates'!B126:J126)</x:f>
        <x:v>9</x:v>
      </x:c>
      <x:c r="E176" s="34" t="n">
        <x:v>9</x:v>
      </x:c>
      <x:c r="F176" s="34" t="str">
        <x:f>IF(AND(D176=E176,'Evidence Gates'!I126="OPEN",'Evidence Gates'!J126=0),"PASS","FAIL")</x:f>
        <x:v>PASS</x:v>
      </x:c>
      <x:c r="G176" s="36" t="str">
        <x:v>register integrity</x:v>
      </x:c>
    </x:row>
    <x:row r="177">
      <x:c r="B177" s="34" t="str">
        <x:v>C171</x:v>
      </x:c>
      <x:c r="C177" s="34" t="str">
        <x:v>evidence row 121 is complete, open and uncredited</x:v>
      </x:c>
      <x:c r="D177" s="34" t="n">
        <x:f>COUNTA('Evidence Gates'!B127:J127)</x:f>
        <x:v>9</x:v>
      </x:c>
      <x:c r="E177" s="34" t="n">
        <x:v>9</x:v>
      </x:c>
      <x:c r="F177" s="34" t="str">
        <x:f>IF(AND(D177=E177,'Evidence Gates'!I127="OPEN",'Evidence Gates'!J127=0),"PASS","FAIL")</x:f>
        <x:v>PASS</x:v>
      </x:c>
      <x:c r="G177" s="36" t="str">
        <x:v>register integrity</x:v>
      </x:c>
    </x:row>
    <x:row r="178">
      <x:c r="B178" s="34" t="str">
        <x:v>C172</x:v>
      </x:c>
      <x:c r="C178" s="34" t="str">
        <x:v>evidence row 122 is complete, open and uncredited</x:v>
      </x:c>
      <x:c r="D178" s="34" t="n">
        <x:f>COUNTA('Evidence Gates'!B128:J128)</x:f>
        <x:v>9</x:v>
      </x:c>
      <x:c r="E178" s="34" t="n">
        <x:v>9</x:v>
      </x:c>
      <x:c r="F178" s="34" t="str">
        <x:f>IF(AND(D178=E178,'Evidence Gates'!I128="OPEN",'Evidence Gates'!J128=0),"PASS","FAIL")</x:f>
        <x:v>PASS</x:v>
      </x:c>
      <x:c r="G178" s="36" t="str">
        <x:v>register integrity</x:v>
      </x:c>
    </x:row>
    <x:row r="179">
      <x:c r="B179" s="34" t="str">
        <x:v>C173</x:v>
      </x:c>
      <x:c r="C179" s="34" t="str">
        <x:v>evidence row 123 is complete, open and uncredited</x:v>
      </x:c>
      <x:c r="D179" s="34" t="n">
        <x:f>COUNTA('Evidence Gates'!B129:J129)</x:f>
        <x:v>9</x:v>
      </x:c>
      <x:c r="E179" s="34" t="n">
        <x:v>9</x:v>
      </x:c>
      <x:c r="F179" s="34" t="str">
        <x:f>IF(AND(D179=E179,'Evidence Gates'!I129="OPEN",'Evidence Gates'!J129=0),"PASS","FAIL")</x:f>
        <x:v>PASS</x:v>
      </x:c>
      <x:c r="G179" s="36" t="str">
        <x:v>register integrity</x:v>
      </x:c>
    </x:row>
    <x:row r="180">
      <x:c r="B180" s="34" t="str">
        <x:v>C174</x:v>
      </x:c>
      <x:c r="C180" s="34" t="str">
        <x:v>evidence row 124 is complete, open and uncredited</x:v>
      </x:c>
      <x:c r="D180" s="34" t="n">
        <x:f>COUNTA('Evidence Gates'!B130:J130)</x:f>
        <x:v>9</x:v>
      </x:c>
      <x:c r="E180" s="34" t="n">
        <x:v>9</x:v>
      </x:c>
      <x:c r="F180" s="34" t="str">
        <x:f>IF(AND(D180=E180,'Evidence Gates'!I130="OPEN",'Evidence Gates'!J130=0),"PASS","FAIL")</x:f>
        <x:v>PASS</x:v>
      </x:c>
      <x:c r="G180" s="36" t="str">
        <x:v>register integrity</x:v>
      </x:c>
    </x:row>
    <x:row r="181">
      <x:c r="B181" s="34" t="str">
        <x:v>C175</x:v>
      </x:c>
      <x:c r="C181" s="34" t="str">
        <x:v>evidence row 125 is complete, open and uncredited</x:v>
      </x:c>
      <x:c r="D181" s="34" t="n">
        <x:f>COUNTA('Evidence Gates'!B131:J131)</x:f>
        <x:v>9</x:v>
      </x:c>
      <x:c r="E181" s="34" t="n">
        <x:v>9</x:v>
      </x:c>
      <x:c r="F181" s="34" t="str">
        <x:f>IF(AND(D181=E181,'Evidence Gates'!I131="OPEN",'Evidence Gates'!J131=0),"PASS","FAIL")</x:f>
        <x:v>PASS</x:v>
      </x:c>
      <x:c r="G181" s="36" t="str">
        <x:v>register integrity</x:v>
      </x:c>
    </x:row>
    <x:row r="182">
      <x:c r="B182" s="34" t="str">
        <x:v>C176</x:v>
      </x:c>
      <x:c r="C182" s="34" t="str">
        <x:v>evidence row 126 is complete, open and uncredited</x:v>
      </x:c>
      <x:c r="D182" s="34" t="n">
        <x:f>COUNTA('Evidence Gates'!B132:J132)</x:f>
        <x:v>9</x:v>
      </x:c>
      <x:c r="E182" s="34" t="n">
        <x:v>9</x:v>
      </x:c>
      <x:c r="F182" s="34" t="str">
        <x:f>IF(AND(D182=E182,'Evidence Gates'!I132="OPEN",'Evidence Gates'!J132=0),"PASS","FAIL")</x:f>
        <x:v>PASS</x:v>
      </x:c>
      <x:c r="G182" s="36" t="str">
        <x:v>register integrity</x:v>
      </x:c>
    </x:row>
    <x:row r="183">
      <x:c r="B183" s="34" t="str">
        <x:v>C177</x:v>
      </x:c>
      <x:c r="C183" s="34" t="str">
        <x:v>evidence row 127 is complete, open and uncredited</x:v>
      </x:c>
      <x:c r="D183" s="34" t="n">
        <x:f>COUNTA('Evidence Gates'!B133:J133)</x:f>
        <x:v>9</x:v>
      </x:c>
      <x:c r="E183" s="34" t="n">
        <x:v>9</x:v>
      </x:c>
      <x:c r="F183" s="34" t="str">
        <x:f>IF(AND(D183=E183,'Evidence Gates'!I133="OPEN",'Evidence Gates'!J133=0),"PASS","FAIL")</x:f>
        <x:v>PASS</x:v>
      </x:c>
      <x:c r="G183" s="36" t="str">
        <x:v>register integrity</x:v>
      </x:c>
    </x:row>
    <x:row r="184">
      <x:c r="B184" s="34" t="str">
        <x:v>C178</x:v>
      </x:c>
      <x:c r="C184" s="34" t="str">
        <x:v>evidence row 128 is complete, open and uncredited</x:v>
      </x:c>
      <x:c r="D184" s="34" t="n">
        <x:f>COUNTA('Evidence Gates'!B134:J134)</x:f>
        <x:v>9</x:v>
      </x:c>
      <x:c r="E184" s="34" t="n">
        <x:v>9</x:v>
      </x:c>
      <x:c r="F184" s="34" t="str">
        <x:f>IF(AND(D184=E184,'Evidence Gates'!I134="OPEN",'Evidence Gates'!J134=0),"PASS","FAIL")</x:f>
        <x:v>PASS</x:v>
      </x:c>
      <x:c r="G184" s="36" t="str">
        <x:v>register integrity</x:v>
      </x:c>
    </x:row>
    <x:row r="185">
      <x:c r="B185" s="34" t="str">
        <x:v>C179</x:v>
      </x:c>
      <x:c r="C185" s="34" t="str">
        <x:v>evidence row 129 is complete, open and uncredited</x:v>
      </x:c>
      <x:c r="D185" s="34" t="n">
        <x:f>COUNTA('Evidence Gates'!B135:J135)</x:f>
        <x:v>9</x:v>
      </x:c>
      <x:c r="E185" s="34" t="n">
        <x:v>9</x:v>
      </x:c>
      <x:c r="F185" s="34" t="str">
        <x:f>IF(AND(D185=E185,'Evidence Gates'!I135="OPEN",'Evidence Gates'!J135=0),"PASS","FAIL")</x:f>
        <x:v>PASS</x:v>
      </x:c>
      <x:c r="G185" s="36" t="str">
        <x:v>register integrity</x:v>
      </x:c>
    </x:row>
    <x:row r="186">
      <x:c r="B186" s="34" t="str">
        <x:v>C180</x:v>
      </x:c>
      <x:c r="C186" s="34" t="str">
        <x:v>evidence row 130 is complete, open and uncredited</x:v>
      </x:c>
      <x:c r="D186" s="34" t="n">
        <x:f>COUNTA('Evidence Gates'!B136:J136)</x:f>
        <x:v>9</x:v>
      </x:c>
      <x:c r="E186" s="34" t="n">
        <x:v>9</x:v>
      </x:c>
      <x:c r="F186" s="34" t="str">
        <x:f>IF(AND(D186=E186,'Evidence Gates'!I136="OPEN",'Evidence Gates'!J136=0),"PASS","FAIL")</x:f>
        <x:v>PASS</x:v>
      </x:c>
      <x:c r="G186" s="36" t="str">
        <x:v>register integrity</x:v>
      </x:c>
    </x:row>
    <x:row r="187">
      <x:c r="B187" s="34" t="str">
        <x:v>C181</x:v>
      </x:c>
      <x:c r="C187" s="34" t="str">
        <x:v>evidence row 131 is complete, open and uncredited</x:v>
      </x:c>
      <x:c r="D187" s="34" t="n">
        <x:f>COUNTA('Evidence Gates'!B137:J137)</x:f>
        <x:v>9</x:v>
      </x:c>
      <x:c r="E187" s="34" t="n">
        <x:v>9</x:v>
      </x:c>
      <x:c r="F187" s="34" t="str">
        <x:f>IF(AND(D187=E187,'Evidence Gates'!I137="OPEN",'Evidence Gates'!J137=0),"PASS","FAIL")</x:f>
        <x:v>PASS</x:v>
      </x:c>
      <x:c r="G187" s="36" t="str">
        <x:v>register integrity</x:v>
      </x:c>
    </x:row>
    <x:row r="188">
      <x:c r="B188" s="34" t="str">
        <x:v>C182</x:v>
      </x:c>
      <x:c r="C188" s="34" t="str">
        <x:v>evidence row 132 is complete, open and uncredited</x:v>
      </x:c>
      <x:c r="D188" s="34" t="n">
        <x:f>COUNTA('Evidence Gates'!B138:J138)</x:f>
        <x:v>9</x:v>
      </x:c>
      <x:c r="E188" s="34" t="n">
        <x:v>9</x:v>
      </x:c>
      <x:c r="F188" s="34" t="str">
        <x:f>IF(AND(D188=E188,'Evidence Gates'!I138="OPEN",'Evidence Gates'!J138=0),"PASS","FAIL")</x:f>
        <x:v>PASS</x:v>
      </x:c>
      <x:c r="G188" s="36" t="str">
        <x:v>register integrity</x:v>
      </x:c>
    </x:row>
    <x:row r="189">
      <x:c r="B189" s="34" t="str">
        <x:v>C183</x:v>
      </x:c>
      <x:c r="C189" s="34" t="str">
        <x:v>evidence row 133 is complete, open and uncredited</x:v>
      </x:c>
      <x:c r="D189" s="34" t="n">
        <x:f>COUNTA('Evidence Gates'!B139:J139)</x:f>
        <x:v>9</x:v>
      </x:c>
      <x:c r="E189" s="34" t="n">
        <x:v>9</x:v>
      </x:c>
      <x:c r="F189" s="34" t="str">
        <x:f>IF(AND(D189=E189,'Evidence Gates'!I139="OPEN",'Evidence Gates'!J139=0),"PASS","FAIL")</x:f>
        <x:v>PASS</x:v>
      </x:c>
      <x:c r="G189" s="36" t="str">
        <x:v>register integrity</x:v>
      </x:c>
    </x:row>
    <x:row r="190">
      <x:c r="B190" s="34" t="str">
        <x:v>C184</x:v>
      </x:c>
      <x:c r="C190" s="34" t="str">
        <x:v>evidence row 134 is complete, open and uncredited</x:v>
      </x:c>
      <x:c r="D190" s="34" t="n">
        <x:f>COUNTA('Evidence Gates'!B140:J140)</x:f>
        <x:v>9</x:v>
      </x:c>
      <x:c r="E190" s="34" t="n">
        <x:v>9</x:v>
      </x:c>
      <x:c r="F190" s="34" t="str">
        <x:f>IF(AND(D190=E190,'Evidence Gates'!I140="OPEN",'Evidence Gates'!J140=0),"PASS","FAIL")</x:f>
        <x:v>PASS</x:v>
      </x:c>
      <x:c r="G190" s="36" t="str">
        <x:v>register integrity</x:v>
      </x:c>
    </x:row>
    <x:row r="191">
      <x:c r="B191" s="34" t="str">
        <x:v>C185</x:v>
      </x:c>
      <x:c r="C191" s="34" t="str">
        <x:v>evidence row 135 is complete, open and uncredited</x:v>
      </x:c>
      <x:c r="D191" s="34" t="n">
        <x:f>COUNTA('Evidence Gates'!B141:J141)</x:f>
        <x:v>9</x:v>
      </x:c>
      <x:c r="E191" s="34" t="n">
        <x:v>9</x:v>
      </x:c>
      <x:c r="F191" s="34" t="str">
        <x:f>IF(AND(D191=E191,'Evidence Gates'!I141="OPEN",'Evidence Gates'!J141=0),"PASS","FAIL")</x:f>
        <x:v>PASS</x:v>
      </x:c>
      <x:c r="G191" s="36" t="str">
        <x:v>register integrity</x:v>
      </x:c>
    </x:row>
    <x:row r="192">
      <x:c r="B192" s="34" t="str">
        <x:v>C186</x:v>
      </x:c>
      <x:c r="C192" s="34" t="str">
        <x:v>evidence row 136 is complete, open and uncredited</x:v>
      </x:c>
      <x:c r="D192" s="34" t="n">
        <x:f>COUNTA('Evidence Gates'!B142:J142)</x:f>
        <x:v>9</x:v>
      </x:c>
      <x:c r="E192" s="34" t="n">
        <x:v>9</x:v>
      </x:c>
      <x:c r="F192" s="34" t="str">
        <x:f>IF(AND(D192=E192,'Evidence Gates'!I142="OPEN",'Evidence Gates'!J142=0),"PASS","FAIL")</x:f>
        <x:v>PASS</x:v>
      </x:c>
      <x:c r="G192" s="36" t="str">
        <x:v>register integrity</x:v>
      </x:c>
    </x:row>
    <x:row r="193">
      <x:c r="B193" s="34" t="str">
        <x:v>C187</x:v>
      </x:c>
      <x:c r="C193" s="34" t="str">
        <x:v>evidence row 137 is complete, open and uncredited</x:v>
      </x:c>
      <x:c r="D193" s="34" t="n">
        <x:f>COUNTA('Evidence Gates'!B143:J143)</x:f>
        <x:v>9</x:v>
      </x:c>
      <x:c r="E193" s="34" t="n">
        <x:v>9</x:v>
      </x:c>
      <x:c r="F193" s="34" t="str">
        <x:f>IF(AND(D193=E193,'Evidence Gates'!I143="OPEN",'Evidence Gates'!J143=0),"PASS","FAIL")</x:f>
        <x:v>PASS</x:v>
      </x:c>
      <x:c r="G193" s="36" t="str">
        <x:v>register integrity</x:v>
      </x:c>
    </x:row>
    <x:row r="194">
      <x:c r="B194" s="34" t="str">
        <x:v>C188</x:v>
      </x:c>
      <x:c r="C194" s="34" t="str">
        <x:v>evidence row 138 is complete, open and uncredited</x:v>
      </x:c>
      <x:c r="D194" s="34" t="n">
        <x:f>COUNTA('Evidence Gates'!B144:J144)</x:f>
        <x:v>9</x:v>
      </x:c>
      <x:c r="E194" s="34" t="n">
        <x:v>9</x:v>
      </x:c>
      <x:c r="F194" s="34" t="str">
        <x:f>IF(AND(D194=E194,'Evidence Gates'!I144="OPEN",'Evidence Gates'!J144=0),"PASS","FAIL")</x:f>
        <x:v>PASS</x:v>
      </x:c>
      <x:c r="G194" s="36" t="str">
        <x:v>register integrity</x:v>
      </x:c>
    </x:row>
    <x:row r="195">
      <x:c r="B195" s="34" t="str">
        <x:v>C189</x:v>
      </x:c>
      <x:c r="C195" s="34" t="str">
        <x:v>evidence row 139 is complete, open and uncredited</x:v>
      </x:c>
      <x:c r="D195" s="34" t="n">
        <x:f>COUNTA('Evidence Gates'!B145:J145)</x:f>
        <x:v>9</x:v>
      </x:c>
      <x:c r="E195" s="34" t="n">
        <x:v>9</x:v>
      </x:c>
      <x:c r="F195" s="34" t="str">
        <x:f>IF(AND(D195=E195,'Evidence Gates'!I145="OPEN",'Evidence Gates'!J145=0),"PASS","FAIL")</x:f>
        <x:v>PASS</x:v>
      </x:c>
      <x:c r="G195" s="36" t="str">
        <x:v>register integrity</x:v>
      </x:c>
    </x:row>
    <x:row r="196">
      <x:c r="B196" s="40" t="str">
        <x:v>C190</x:v>
      </x:c>
      <x:c r="C196" s="40" t="str">
        <x:v>evidence row 140 is complete, open and uncredited</x:v>
      </x:c>
      <x:c r="D196" s="40" t="n">
        <x:f>COUNTA('Evidence Gates'!B146:J146)</x:f>
        <x:v>9</x:v>
      </x:c>
      <x:c r="E196" s="40" t="n">
        <x:v>9</x:v>
      </x:c>
      <x:c r="F196" s="40" t="str">
        <x:f>IF(AND(D196=E196,'Evidence Gates'!I146="OPEN",'Evidence Gates'!J146=0),"PASS","FAIL")</x:f>
        <x:v>PASS</x:v>
      </x:c>
      <x:c r="G196" s="42" t="str">
        <x:v>register integrity</x:v>
      </x:c>
    </x:row>
    <x:row r="197">
      <x:c r="B197" s="27"/>
      <x:c r="C197" s="27"/>
      <x:c r="D197" s="27"/>
      <x:c r="E197" s="27"/>
      <x:c r="F197" s="27"/>
      <x:c r="G197" s="27"/>
    </x:row>
    <x:row r="198">
      <x:c r="B198" s="27"/>
      <x:c r="C198" s="27"/>
      <x:c r="D198" s="27"/>
      <x:c r="E198" s="27"/>
      <x:c r="F198" s="27"/>
      <x:c r="G198" s="27"/>
    </x:row>
    <x:row r="199">
      <x:c r="B199" s="19" t="str">
        <x:v>Summary</x:v>
      </x:c>
      <x:c r="C199" s="20" t="str">
        <x:v>Value</x:v>
      </x:c>
      <x:c r="D199" s="20" t="str">
        <x:v>Expected</x:v>
      </x:c>
      <x:c r="E199" s="20" t="str">
        <x:v>Result</x:v>
      </x:c>
      <x:c r="F199" s="21"/>
      <x:c r="G199" s="27"/>
    </x:row>
    <x:row r="200">
      <x:c r="B200" s="27" t="str">
        <x:v>Checks</x:v>
      </x:c>
      <x:c r="C200" s="27" t="n">
        <x:f>COUNTA(B7:B196)</x:f>
        <x:v>190</x:v>
      </x:c>
      <x:c r="D200" s="27" t="n">
        <x:v>190</x:v>
      </x:c>
      <x:c r="E200" s="27" t="str">
        <x:f>IF(C200=D200,"PASS","FAIL")</x:f>
        <x:v>PASS</x:v>
      </x:c>
      <x:c r="F200" s="27"/>
      <x:c r="G200" s="27"/>
    </x:row>
    <x:row r="201">
      <x:c r="B201" s="27" t="str">
        <x:v>Passing</x:v>
      </x:c>
      <x:c r="C201" s="27" t="n">
        <x:f>COUNTIF(F7:F196,"PASS")</x:f>
        <x:v>190</x:v>
      </x:c>
      <x:c r="D201" s="27" t="n">
        <x:v>190</x:v>
      </x:c>
      <x:c r="E201" s="27" t="str">
        <x:f>IF(C201=D201,"PASS","FAIL")</x:f>
        <x:v>PASS</x:v>
      </x:c>
      <x:c r="F201" s="27"/>
      <x:c r="G201" s="27"/>
    </x:row>
    <x:row r="202">
      <x:c r="B202" s="27" t="str">
        <x:v>Failing</x:v>
      </x:c>
      <x:c r="C202" s="27" t="n">
        <x:f>COUNTIF(F7:F196,"FAIL")</x:f>
        <x:v>0</x:v>
      </x:c>
      <x:c r="D202" s="27" t="n">
        <x:v>0</x:v>
      </x:c>
      <x:c r="E202" s="27" t="str">
        <x:f>IF(C202=D202,"PASS","FAIL")</x:f>
        <x:v>PASS</x:v>
      </x:c>
      <x:c r="F202" s="27"/>
      <x:c r="G202" s="27"/>
    </x:row>
    <x:row r="203">
      <x:c r="B203" s="27"/>
      <x:c r="C203" s="27"/>
      <x:c r="D203" s="27"/>
      <x:c r="E203" s="27"/>
      <x:c r="F203" s="27"/>
      <x:c r="G203" s="27"/>
    </x:row>
    <x:row r="204">
      <x:c r="B204" s="27"/>
      <x:c r="C204" s="27"/>
      <x:c r="D204" s="27"/>
      <x:c r="E204" s="27"/>
      <x:c r="F204" s="27"/>
      <x:c r="G204" s="27"/>
    </x:row>
    <x:row r="205">
      <x:c r="B205" s="27"/>
      <x:c r="C205" s="27"/>
      <x:c r="D205" s="27"/>
      <x:c r="E205" s="27"/>
      <x:c r="F205" s="27"/>
      <x:c r="G205" s="27"/>
    </x:row>
    <x:row r="206">
      <x:c r="B206" s="27"/>
      <x:c r="C206" s="27"/>
      <x:c r="D206" s="27"/>
      <x:c r="E206" s="27"/>
      <x:c r="F206" s="27"/>
      <x:c r="G206" s="27"/>
    </x:row>
  </x:sheetData>
  <x:conditionalFormatting sqref="F7:F196">
    <x:cfRule type="containsText" dxfId="51" priority="1" operator="containsText" text="FAIL"/>
    <x:cfRule type="containsText" dxfId="52" priority="2" operator="containsText" text="PASS"/>
    <x:cfRule type="containsText" dxfId="53" priority="3" operator="containsText" text="BLOCKED"/>
  </x:conditionalFormatting>
  <x:conditionalFormatting sqref="E200:E202">
    <x:cfRule type="containsText" dxfId="54" priority="4" operator="containsText" text="FAIL"/>
    <x:cfRule type="containsText" dxfId="55" priority="5" operator="containsText" text="PASS"/>
    <x:cfRule type="containsText" dxfId="56" priority="6" operator="containsText" text="BLOCKE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5" hidden="0" customWidth="1"/>
    <x:col min="3" max="3" width="120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</x:cols>
  <x:sheetData>
    <x:row r="2">
      <x:c r="B2" s="86" t="str">
        <x:v>How to read the Pass 86 model</x:v>
      </x:c>
      <x:c r="C2" s="27"/>
      <x:c r="D2" s="27"/>
      <x:c r="E2" s="27"/>
      <x:c r="F2" s="27"/>
      <x:c r="G2" s="27"/>
      <x:c r="H2" s="27"/>
      <x:c r="I2" s="27"/>
      <x:c r="J2" s="27"/>
    </x:row>
    <x:row r="3">
      <x:c r="B3" s="87" t="str">
        <x:v>A first-principles internal configuration and program comparator, not a certified vehicle or procurement estimate</x:v>
      </x:c>
      <x:c r="C3" s="78"/>
      <x:c r="D3" s="78"/>
      <x:c r="E3" s="78"/>
      <x:c r="F3" s="78"/>
      <x:c r="G3" s="78"/>
      <x:c r="H3" s="78"/>
      <x:c r="I3" s="78"/>
      <x:c r="J3" s="78"/>
    </x:row>
    <x:row r="4">
      <x:c r="B4" s="79"/>
      <x:c r="C4" s="79"/>
      <x:c r="D4" s="79"/>
      <x:c r="E4" s="79"/>
      <x:c r="F4" s="79"/>
      <x:c r="G4" s="79"/>
      <x:c r="H4" s="79"/>
      <x:c r="I4" s="79"/>
      <x:c r="J4" s="79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</x:row>
    <x:row r="6">
      <x:c r="B6" s="80" t="str">
        <x:v>Question, method and limits</x:v>
      </x:c>
      <x:c r="C6" s="81" t="str">
        <x:v>Question, method and limits</x:v>
      </x:c>
      <x:c r="D6" s="81" t="str">
        <x:v>Question, method and limits</x:v>
      </x:c>
      <x:c r="E6" s="81" t="str">
        <x:v>Question, method and limits</x:v>
      </x:c>
      <x:c r="F6" s="81" t="str">
        <x:v>Question, method and limits</x:v>
      </x:c>
      <x:c r="G6" s="81" t="str">
        <x:v>Question, method and limits</x:v>
      </x:c>
      <x:c r="H6" s="81" t="str">
        <x:v>Question, method and limits</x:v>
      </x:c>
      <x:c r="I6" s="81" t="str">
        <x:v>Question, method and limits</x:v>
      </x:c>
      <x:c r="J6" s="82" t="str">
        <x:v>Question, method and limits</x:v>
      </x:c>
    </x:row>
    <x:row r="7">
      <x:c r="B7" s="88" t="str">
        <x:v>Question</x:v>
      </x:c>
      <x:c r="C7" s="49" t="str">
        <x:v>Can the Pass 85 SAT-170R mass, energy, contact, bridge, payload, crew and receiver claims occupy one internal arrangement without weakening the 800 km and two-mode service guarantee?</x:v>
      </x:c>
      <x:c r="D7" s="49"/>
      <x:c r="E7" s="49"/>
      <x:c r="F7" s="49"/>
      <x:c r="G7" s="49"/>
      <x:c r="H7" s="49"/>
      <x:c r="I7" s="49"/>
      <x:c r="J7" s="49"/>
    </x:row>
    <x:row r="8">
      <x:c r="B8" s="89" t="str">
        <x:v>Answer</x:v>
      </x:c>
      <x:c r="C8" s="34" t="str">
        <x:v>Provisionally, only after splitting the payload raft into two rigid halves, placing four isolated energy citadels at the ends, carrying six bridge modules and enlarging contact to 285 m2.</x:v>
      </x:c>
      <x:c r="D8" s="34"/>
      <x:c r="E8" s="34"/>
      <x:c r="F8" s="34"/>
      <x:c r="G8" s="34"/>
      <x:c r="H8" s="34"/>
      <x:c r="I8" s="34"/>
      <x:c r="J8" s="34"/>
    </x:row>
    <x:row r="9">
      <x:c r="B9" s="89" t="str">
        <x:v>Coupled method</x:v>
      </x:c>
      <x:c r="C9" s="34" t="str">
        <x:v>Bridge structural mass and energy mass both depend on gross mass. The workbook solves their combined linear fixed point without circular references.</x:v>
      </x:c>
      <x:c r="D9" s="34"/>
      <x:c r="E9" s="34"/>
      <x:c r="F9" s="34"/>
      <x:c r="G9" s="34"/>
      <x:c r="H9" s="34"/>
      <x:c r="I9" s="34"/>
      <x:c r="J9" s="34"/>
    </x:row>
    <x:row r="10">
      <x:c r="B10" s="89" t="str">
        <x:v>Balance method</x:v>
      </x:c>
      <x:c r="C10" s="34" t="str">
        <x:v>Thirty-four mass packets map through six support stations. The workbook calculates rated and assigned centers of gravity, local reactions, one-pod redistribution and rollover screens.</x:v>
      </x:c>
      <x:c r="D10" s="34"/>
      <x:c r="E10" s="34"/>
      <x:c r="F10" s="34"/>
      <x:c r="G10" s="34"/>
      <x:c r="H10" s="34"/>
      <x:c r="I10" s="34"/>
      <x:c r="J10" s="34"/>
    </x:row>
    <x:row r="11">
      <x:c r="B11" s="89" t="str">
        <x:v>Bridge method</x:v>
      </x:c>
      <x:c r="C11" s="34" t="str">
        <x:v>A clear 20 m gap needs 25 m of physical bridge after allowing 2.5 m bearing at each end. Six 5 m modules are carried so one loss still leaves five.</x:v>
      </x:c>
      <x:c r="D11" s="34"/>
      <x:c r="E11" s="34"/>
      <x:c r="F11" s="34"/>
      <x:c r="G11" s="34"/>
      <x:c r="H11" s="34"/>
      <x:c r="I11" s="34"/>
      <x:c r="J11" s="34"/>
    </x:row>
    <x:row r="12">
      <x:c r="B12" s="89" t="str">
        <x:v>Thermal method</x:v>
      </x:c>
      <x:c r="C12" s="34" t="str">
        <x:v>Electrical output, conversion efficiency and exhaust share determine the coolant load. Fixed route radiators and deployable stationary surfaces are derated for smoke and fouling.</x:v>
      </x:c>
      <x:c r="D12" s="34"/>
      <x:c r="E12" s="34"/>
      <x:c r="F12" s="34"/>
      <x:c r="G12" s="34"/>
      <x:c r="H12" s="34"/>
      <x:c r="I12" s="34"/>
      <x:c r="J12" s="34"/>
    </x:row>
    <x:row r="13">
      <x:c r="B13" s="89" t="str">
        <x:v>Casualty method</x:v>
      </x:c>
      <x:c r="C13" s="34" t="str">
        <x:v>A spatially credible sector-and-pod co-loss is tested as one event. Safe withdrawal, terrain deadline credit and whole-DCP effect are separate outcomes.</x:v>
      </x:c>
      <x:c r="D13" s="34"/>
      <x:c r="E13" s="34"/>
      <x:c r="F13" s="34"/>
      <x:c r="G13" s="34"/>
      <x:c r="H13" s="34"/>
      <x:c r="I13" s="34"/>
      <x:c r="J13" s="34"/>
    </x:row>
    <x:row r="14">
      <x:c r="B14" s="89" t="str">
        <x:v>Clock</x:v>
      </x:c>
      <x:c r="C14" s="34" t="str">
        <x:v>Terrain reaches absolute public service near hour 49.57 and now governs dual service. Optional receiver federation still follows independent release.</x:v>
      </x:c>
      <x:c r="D14" s="34"/>
      <x:c r="E14" s="34"/>
      <x:c r="F14" s="34"/>
      <x:c r="G14" s="34"/>
      <x:c r="H14" s="34"/>
      <x:c r="I14" s="34"/>
      <x:c r="J14" s="34"/>
    </x:row>
    <x:row r="15">
      <x:c r="B15" s="89" t="str">
        <x:v>Economy</x:v>
      </x:c>
      <x:c r="C15" s="34" t="str">
        <x:v>The SAT program is $1.58204456T, DCP-2 is $2.97981535T and the national boundary is $10.36295690T under declared research comparators.</x:v>
      </x:c>
      <x:c r="D15" s="34"/>
      <x:c r="E15" s="34"/>
      <x:c r="F15" s="34"/>
      <x:c r="G15" s="34"/>
      <x:c r="H15" s="34"/>
      <x:c r="I15" s="34"/>
      <x:c r="J15" s="34"/>
    </x:row>
    <x:row r="16">
      <x:c r="B16" s="89" t="str">
        <x:v>Evidence</x:v>
      </x:c>
      <x:c r="C16" s="34" t="str">
        <x:v>All 140 evidence gates remain open. The Audit contains 190 passing calculation and register-integrity checks; strict readiness credit is zero.</x:v>
      </x:c>
      <x:c r="D16" s="34"/>
      <x:c r="E16" s="34"/>
      <x:c r="F16" s="34"/>
      <x:c r="G16" s="34"/>
      <x:c r="H16" s="34"/>
      <x:c r="I16" s="34"/>
      <x:c r="J16" s="34"/>
    </x:row>
    <x:row r="17">
      <x:c r="B17" s="89" t="str">
        <x:v>Rendering</x:v>
      </x:c>
      <x:c r="C17" s="34" t="str">
        <x:v>Exterior renderings remain blocked until GCH-340 reaches equal physical depth and representative evidence stops moving decisive geometry.</x:v>
      </x:c>
      <x:c r="D17" s="34"/>
      <x:c r="E17" s="34"/>
      <x:c r="F17" s="34"/>
      <x:c r="G17" s="34"/>
      <x:c r="H17" s="34"/>
      <x:c r="I17" s="34"/>
      <x:c r="J17" s="34"/>
    </x:row>
    <x:row r="18">
      <x:c r="B18" s="89" t="str">
        <x:v>Sources</x:v>
      </x:c>
      <x:c r="C18" s="34" t="str">
        <x:v>Only committed repository requirements and declared Pass 86 hypotheses are used. No external-site research is introduced.</x:v>
      </x:c>
      <x:c r="D18" s="34"/>
      <x:c r="E18" s="34"/>
      <x:c r="F18" s="34"/>
      <x:c r="G18" s="34"/>
      <x:c r="H18" s="34"/>
      <x:c r="I18" s="34"/>
      <x:c r="J18" s="34"/>
    </x:row>
    <x:row r="19">
      <x:c r="B19" s="90" t="str">
        <x:v>Suggested path</x:v>
      </x:c>
      <x:c r="C19" s="52" t="str">
        <x:v>Read Summary, Packaging Competition, Mass and Balance, Contact and Turn, Bridge and Route, Energy and Thermal, Casualty Worlds, Production and Cost, Evidence Gates and Audit.</x:v>
      </x:c>
      <x:c r="D19" s="52"/>
      <x:c r="E19" s="52"/>
      <x:c r="F19" s="52"/>
      <x:c r="G19" s="52"/>
      <x:c r="H19" s="52"/>
      <x:c r="I19" s="52"/>
      <x:c r="J19" s="52"/>
    </x:row>
    <x:row r="20">
      <x:c r="B20" s="27"/>
      <x:c r="C20" s="27"/>
      <x:c r="D20" s="27"/>
      <x:c r="E20" s="27"/>
      <x:c r="F20" s="27"/>
      <x:c r="G20" s="27"/>
      <x:c r="H20" s="27"/>
      <x:c r="I20" s="27"/>
      <x:c r="J20" s="27"/>
    </x:row>
    <x:row r="21">
      <x:c r="B21" s="27"/>
      <x:c r="C21" s="27"/>
      <x:c r="D21" s="27"/>
      <x:c r="E21" s="27"/>
      <x:c r="F21" s="27"/>
      <x:c r="G21" s="27"/>
      <x:c r="H21" s="27"/>
      <x:c r="I21" s="27"/>
      <x:c r="J21" s="27"/>
    </x:row>
    <x:row r="22">
      <x:c r="B22" s="27"/>
      <x:c r="C22" s="27"/>
      <x:c r="D22" s="27"/>
      <x:c r="E22" s="27"/>
      <x:c r="F22" s="27"/>
      <x:c r="G22" s="27"/>
      <x:c r="H22" s="27"/>
      <x:c r="I22" s="27"/>
      <x:c r="J22" s="27"/>
    </x:row>
    <x:row r="23">
      <x:c r="B23" s="27"/>
      <x:c r="C23" s="27"/>
      <x:c r="D23" s="27"/>
      <x:c r="E23" s="27"/>
      <x:c r="F23" s="27"/>
      <x:c r="G23" s="27"/>
      <x:c r="H23" s="27"/>
      <x:c r="I23" s="27"/>
      <x:c r="J23" s="27"/>
    </x:row>
    <x:row r="24">
      <x:c r="B24" s="27"/>
      <x:c r="C24" s="27"/>
      <x:c r="D24" s="27"/>
      <x:c r="E24" s="27"/>
      <x:c r="F24" s="27"/>
      <x:c r="G24" s="27"/>
      <x:c r="H24" s="27"/>
      <x:c r="I24" s="27"/>
      <x:c r="J24" s="27"/>
    </x:row>
    <x:row r="25">
      <x:c r="B25" s="27"/>
      <x:c r="C25" s="27"/>
      <x:c r="D25" s="27"/>
      <x:c r="E25" s="27"/>
      <x:c r="F25" s="27"/>
      <x:c r="G25" s="27"/>
      <x:c r="H25" s="27"/>
      <x:c r="I25" s="27"/>
      <x:c r="J25" s="27"/>
    </x:row>
    <x:row r="26">
      <x:c r="B26" s="27"/>
      <x:c r="C26" s="27"/>
      <x:c r="D26" s="27"/>
      <x:c r="E26" s="27"/>
      <x:c r="F26" s="27"/>
      <x:c r="G26" s="27"/>
      <x:c r="H26" s="27"/>
      <x:c r="I26" s="27"/>
      <x:c r="J26" s="27"/>
    </x:row>
    <x:row r="27">
      <x:c r="B27" s="27"/>
      <x:c r="C27" s="27"/>
      <x:c r="D27" s="27"/>
      <x:c r="E27" s="27"/>
      <x:c r="F27" s="27"/>
      <x:c r="G27" s="27"/>
      <x:c r="H27" s="27"/>
      <x:c r="I27" s="27"/>
      <x:c r="J27" s="27"/>
    </x:row>
    <x:row r="28">
      <x:c r="B28" s="27"/>
      <x:c r="C28" s="27"/>
      <x:c r="D28" s="27"/>
      <x:c r="E28" s="27"/>
      <x:c r="F28" s="27"/>
      <x:c r="G28" s="27"/>
      <x:c r="H28" s="27"/>
      <x:c r="I28" s="27"/>
      <x:c r="J28" s="27"/>
    </x:row>
    <x:row r="29">
      <x:c r="B29" s="27"/>
      <x:c r="C29" s="27"/>
      <x:c r="D29" s="27"/>
      <x:c r="E29" s="27"/>
      <x:c r="F29" s="27"/>
      <x:c r="G29" s="27"/>
      <x:c r="H29" s="27"/>
      <x:c r="I29" s="27"/>
      <x:c r="J29" s="27"/>
    </x:row>
    <x:row r="30">
      <x:c r="B30" s="27"/>
      <x:c r="C30" s="27"/>
      <x:c r="D30" s="27"/>
      <x:c r="E30" s="27"/>
      <x:c r="F30" s="27"/>
      <x:c r="G30" s="27"/>
      <x:c r="H30" s="27"/>
      <x:c r="I30" s="27"/>
      <x:c r="J30" s="27"/>
    </x:row>
    <x:row r="31">
      <x:c r="B31" s="27"/>
      <x:c r="C31" s="27"/>
      <x:c r="D31" s="27"/>
      <x:c r="E31" s="27"/>
      <x:c r="F31" s="27"/>
      <x:c r="G31" s="27"/>
      <x:c r="H31" s="27"/>
      <x:c r="I31" s="27"/>
      <x:c r="J31" s="27"/>
    </x:row>
    <x:row r="32">
      <x:c r="B32" s="27"/>
      <x:c r="C32" s="27"/>
      <x:c r="D32" s="27"/>
      <x:c r="E32" s="27"/>
      <x:c r="F32" s="27"/>
      <x:c r="G32" s="27"/>
      <x:c r="H32" s="27"/>
      <x:c r="I32" s="27"/>
      <x:c r="J32" s="27"/>
    </x:row>
  </x:sheetData>
  <x:mergeCells>
    <x:mergeCell ref="B6:J6"/>
  </x:mergeCells>
  <x:pageMargins left="0.7" right="0.7" top="0.75" bottom="0.75" header="0.3" footer="0.3"/>
</x:worksheet>
</file>