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4719c8db2e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520e6bb4504ec8"/>
    <x:sheet xmlns:r="http://schemas.openxmlformats.org/officeDocument/2006/relationships" name="Assumptions" sheetId="2" r:id="R22874b89adcc4866"/>
    <x:sheet xmlns:r="http://schemas.openxmlformats.org/officeDocument/2006/relationships" name="Architectures" sheetId="3" r:id="R71e607b0fb8044a4"/>
    <x:sheet xmlns:r="http://schemas.openxmlformats.org/officeDocument/2006/relationships" name="Mass and Payload" sheetId="4" r:id="Rd34d4a9df8c74697"/>
    <x:sheet xmlns:r="http://schemas.openxmlformats.org/officeDocument/2006/relationships" name="Geometry and Stability" sheetId="5" r:id="R35b6717f90674abc"/>
    <x:sheet xmlns:r="http://schemas.openxmlformats.org/officeDocument/2006/relationships" name="Ground Pressure" sheetId="6" r:id="Re71e080f47a441a5"/>
    <x:sheet xmlns:r="http://schemas.openxmlformats.org/officeDocument/2006/relationships" name="Traction and Power" sheetId="7" r:id="R4d886b2a2ff04589"/>
    <x:sheet xmlns:r="http://schemas.openxmlformats.org/officeDocument/2006/relationships" name="Route and Clock" sheetId="8" r:id="R86a79c1463ae49e7"/>
    <x:sheet xmlns:r="http://schemas.openxmlformats.org/officeDocument/2006/relationships" name="Obstacles and Water" sheetId="9" r:id="R3c44edb671294f88"/>
    <x:sheet xmlns:r="http://schemas.openxmlformats.org/officeDocument/2006/relationships" name="Recovery" sheetId="10" r:id="R5e6ecdedeb004231"/>
    <x:sheet xmlns:r="http://schemas.openxmlformats.org/officeDocument/2006/relationships" name="Receiver and Unload" sheetId="11" r:id="R0be61a3d510e43af"/>
    <x:sheet xmlns:r="http://schemas.openxmlformats.org/officeDocument/2006/relationships" name="Resilience" sheetId="12" r:id="R6b45dfc419fb449f"/>
    <x:sheet xmlns:r="http://schemas.openxmlformats.org/officeDocument/2006/relationships" name="Reset" sheetId="13" r:id="R3c18fcb037c04887"/>
    <x:sheet xmlns:r="http://schemas.openxmlformats.org/officeDocument/2006/relationships" name="Workforce" sheetId="14" r:id="Re131fb2b3e9c42a2"/>
    <x:sheet xmlns:r="http://schemas.openxmlformats.org/officeDocument/2006/relationships" name="Production" sheetId="15" r:id="R981f144974304d4b"/>
    <x:sheet xmlns:r="http://schemas.openxmlformats.org/officeDocument/2006/relationships" name="Program Cost" sheetId="16" r:id="R1548943f0456454c"/>
    <x:sheet xmlns:r="http://schemas.openxmlformats.org/officeDocument/2006/relationships" name="Technology" sheetId="17" r:id="R617649d8567847f4"/>
    <x:sheet xmlns:r="http://schemas.openxmlformats.org/officeDocument/2006/relationships" name="Evidence Gates" sheetId="18" r:id="R6fc784c3f1504bf0"/>
    <x:sheet xmlns:r="http://schemas.openxmlformats.org/officeDocument/2006/relationships" name="Checks" sheetId="19" r:id="R2af1ad9236b541c6"/>
    <x:sheet xmlns:r="http://schemas.openxmlformats.org/officeDocument/2006/relationships" name="ReadMe" sheetId="20" r:id="Rf8d018445e0f4d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&quot;$&quot;#,##0.00000"/>
    <x:numFmt numFmtId="202" formatCode="&quot;$&quot;0.000"/>
    <x:numFmt numFmtId="203" formatCode="&quot;$&quot;#,##0.0"/>
    <x:numFmt numFmtId="204" formatCode="&quot;$&quot;0"/>
  </x:numFmts>
  <x:fonts count="7">
    <x:font>
      <x:sz val="11"/>
      <x:name val="Carlito"/>
    </x:font>
    <x:font>
      <x:sz val="10"/>
      <x:color rgb="FF1F2933"/>
      <x:name val="Arial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CEAF4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DF1F4"/>
      </x:patternFill>
    </x:fill>
  </x:fills>
  <x:borders count="17">
    <x:border/>
    <x:border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top style="double">
        <x:color rgb="FF17324D"/>
      </x:top>
    </x:border>
    <x:border>
      <x:bottom style="thin">
        <x:color rgb="FFD8E0E5"/>
      </x:bottom>
    </x:border>
    <x:border>
      <x:top style="thin">
        <x:color rgb="FFD8E0E5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7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 wrapText="1"/>
    </x:xf>
    <x:xf numFmtId="0" fontId="5" fillId="3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201" fontId="6" fillId="4" borderId="10" xfId="0" applyNumberFormat="1" applyFont="1" applyFill="1" applyBorder="1" applyAlignment="1">
      <x:alignment vertical="center"/>
    </x:xf>
    <x:xf numFmtId="201" fontId="1" fillId="5" borderId="10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0" borderId="10" xfId="0" applyNumberFormat="1" applyFont="1" applyFill="1" applyBorder="1" applyAlignment="1">
      <x:alignment vertical="center"/>
    </x:xf>
    <x:xf numFmtId="202" fontId="1" fillId="0" borderId="10" xfId="0" applyNumberFormat="1" applyFont="1" applyFill="1" applyBorder="1" applyAlignment="1">
      <x:alignment vertical="center"/>
    </x:xf>
    <x:xf numFmtId="202" fontId="1" fillId="0" borderId="11" xfId="0" applyNumberFormat="1" applyFont="1" applyFill="1" applyBorder="1" applyAlignment="1">
      <x:alignment vertical="center"/>
    </x:xf>
    <x:xf numFmtId="200" fontId="1" fillId="0" borderId="12" xfId="0" applyNumberFormat="1" applyFont="1" applyFill="1" applyBorder="1" applyAlignment="1">
      <x:alignment vertical="center"/>
    </x:xf>
    <x:xf numFmtId="202" fontId="1" fillId="0" borderId="12" xfId="0" applyNumberFormat="1" applyFont="1" applyFill="1" applyBorder="1" applyAlignment="1">
      <x:alignment vertical="center"/>
    </x:xf>
    <x:xf numFmtId="202" fontId="1" fillId="0" borderId="1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0" xfId="0" applyNumberFormat="1" applyFont="1" applyFill="1" applyBorder="1" applyAlignment="1">
      <x:alignment vertical="center"/>
    </x:xf>
    <x:xf numFmtId="201" fontId="1" fillId="0" borderId="11" xfId="0" applyNumberFormat="1" applyFont="1" applyFill="1" applyBorder="1" applyAlignment="1">
      <x:alignment vertical="center"/>
    </x:xf>
    <x:xf numFmtId="201" fontId="1" fillId="0" borderId="12" xfId="0" applyNumberFormat="1" applyFont="1" applyFill="1" applyBorder="1" applyAlignment="1">
      <x:alignment vertical="center"/>
    </x:xf>
    <x:xf numFmtId="201" fontId="1" fillId="0" borderId="13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204" fontId="1" fillId="0" borderId="12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3" fontId="1" fillId="0" borderId="10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200" fontId="6" fillId="4" borderId="10" xfId="0" applyNumberFormat="1" applyFont="1" applyFill="1" applyBorder="1" applyAlignment="1">
      <x:alignment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201" fontId="6" fillId="4" borderId="10" xfId="0" applyNumberFormat="1" applyFont="1" applyFill="1" applyBorder="1" applyAlignment="1">
      <x:alignment vertical="center" wrapText="1"/>
    </x:xf>
    <x:xf numFmtId="201" fontId="1" fillId="5" borderId="10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202" fontId="1" fillId="0" borderId="10" xfId="0" applyNumberFormat="1" applyFont="1" applyFill="1" applyBorder="1" applyAlignment="1">
      <x:alignment vertical="center" wrapText="1"/>
    </x:xf>
    <x:xf numFmtId="202" fontId="1" fillId="0" borderId="11" xfId="0" applyNumberFormat="1" applyFont="1" applyFill="1" applyBorder="1" applyAlignment="1">
      <x:alignment vertical="center" wrapText="1"/>
    </x:xf>
    <x:xf numFmtId="200" fontId="1" fillId="0" borderId="12" xfId="0" applyNumberFormat="1" applyFont="1" applyFill="1" applyBorder="1" applyAlignment="1">
      <x:alignment vertical="center" wrapText="1"/>
    </x:xf>
    <x:xf numFmtId="202" fontId="1" fillId="0" borderId="12" xfId="0" applyNumberFormat="1" applyFont="1" applyFill="1" applyBorder="1" applyAlignment="1">
      <x:alignment vertical="center" wrapText="1"/>
    </x:xf>
    <x:xf numFmtId="202" fontId="1" fillId="0" borderId="13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  <x:xf numFmtId="201" fontId="1" fillId="0" borderId="10" xfId="0" applyNumberFormat="1" applyFont="1" applyFill="1" applyBorder="1" applyAlignment="1">
      <x:alignment vertical="center" wrapText="1"/>
    </x:xf>
    <x:xf numFmtId="201" fontId="1" fillId="0" borderId="11" xfId="0" applyNumberFormat="1" applyFont="1" applyFill="1" applyBorder="1" applyAlignment="1">
      <x:alignment vertical="center" wrapText="1"/>
    </x:xf>
    <x:xf numFmtId="201" fontId="1" fillId="0" borderId="12" xfId="0" applyNumberFormat="1" applyFont="1" applyFill="1" applyBorder="1" applyAlignment="1">
      <x:alignment vertical="center" wrapText="1"/>
    </x:xf>
    <x:xf numFmtId="201" fontId="1" fillId="0" borderId="13" xfId="0" applyNumberFormat="1" applyFont="1" applyFill="1" applyBorder="1" applyAlignment="1">
      <x:alignment vertical="center" wrapText="1"/>
    </x:xf>
    <x:xf numFmtId="204" fontId="1" fillId="0" borderId="10" xfId="0" applyNumberFormat="1" applyFont="1" applyFill="1" applyBorder="1" applyAlignment="1">
      <x:alignment vertical="center" wrapText="1"/>
    </x:xf>
    <x:xf numFmtId="204" fontId="1" fillId="0" borderId="12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6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6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bec5df150423d" /><Relationship Type="http://schemas.openxmlformats.org/officeDocument/2006/relationships/theme" Target="/xl/theme/theme1.xml" Id="Rac9c59af99fb49d7" /><Relationship Type="http://schemas.openxmlformats.org/officeDocument/2006/relationships/sharedStrings" Target="/xl/sharedStrings.xml" Id="Rcfe3447d7a3445aa" /><Relationship Type="http://schemas.openxmlformats.org/officeDocument/2006/relationships/worksheet" Target="/xl/worksheets/sheet1.xml" Id="R37520e6bb4504ec8" /><Relationship Type="http://schemas.openxmlformats.org/officeDocument/2006/relationships/worksheet" Target="/xl/worksheets/sheet2.xml" Id="R22874b89adcc4866" /><Relationship Type="http://schemas.openxmlformats.org/officeDocument/2006/relationships/worksheet" Target="/xl/worksheets/sheet3.xml" Id="R71e607b0fb8044a4" /><Relationship Type="http://schemas.openxmlformats.org/officeDocument/2006/relationships/worksheet" Target="/xl/worksheets/sheet4.xml" Id="Rd34d4a9df8c74697" /><Relationship Type="http://schemas.openxmlformats.org/officeDocument/2006/relationships/worksheet" Target="/xl/worksheets/sheet5.xml" Id="R35b6717f90674abc" /><Relationship Type="http://schemas.openxmlformats.org/officeDocument/2006/relationships/worksheet" Target="/xl/worksheets/sheet6.xml" Id="Re71e080f47a441a5" /><Relationship Type="http://schemas.openxmlformats.org/officeDocument/2006/relationships/worksheet" Target="/xl/worksheets/sheet7.xml" Id="R4d886b2a2ff04589" /><Relationship Type="http://schemas.openxmlformats.org/officeDocument/2006/relationships/worksheet" Target="/xl/worksheets/sheet8.xml" Id="R86a79c1463ae49e7" /><Relationship Type="http://schemas.openxmlformats.org/officeDocument/2006/relationships/worksheet" Target="/xl/worksheets/sheet9.xml" Id="R3c44edb671294f88" /><Relationship Type="http://schemas.openxmlformats.org/officeDocument/2006/relationships/worksheet" Target="/xl/worksheets/sheet10.xml" Id="R5e6ecdedeb004231" /><Relationship Type="http://schemas.openxmlformats.org/officeDocument/2006/relationships/worksheet" Target="/xl/worksheets/sheet11.xml" Id="R0be61a3d510e43af" /><Relationship Type="http://schemas.openxmlformats.org/officeDocument/2006/relationships/worksheet" Target="/xl/worksheets/sheet12.xml" Id="R6b45dfc419fb449f" /><Relationship Type="http://schemas.openxmlformats.org/officeDocument/2006/relationships/worksheet" Target="/xl/worksheets/sheet13.xml" Id="R3c18fcb037c04887" /><Relationship Type="http://schemas.openxmlformats.org/officeDocument/2006/relationships/worksheet" Target="/xl/worksheets/sheet14.xml" Id="Re131fb2b3e9c42a2" /><Relationship Type="http://schemas.openxmlformats.org/officeDocument/2006/relationships/worksheet" Target="/xl/worksheets/sheet15.xml" Id="R981f144974304d4b" /><Relationship Type="http://schemas.openxmlformats.org/officeDocument/2006/relationships/worksheet" Target="/xl/worksheets/sheet16.xml" Id="R1548943f0456454c" /><Relationship Type="http://schemas.openxmlformats.org/officeDocument/2006/relationships/worksheet" Target="/xl/worksheets/sheet17.xml" Id="R617649d8567847f4" /><Relationship Type="http://schemas.openxmlformats.org/officeDocument/2006/relationships/worksheet" Target="/xl/worksheets/sheet18.xml" Id="R6fc784c3f1504bf0" /><Relationship Type="http://schemas.openxmlformats.org/officeDocument/2006/relationships/worksheet" Target="/xl/worksheets/sheet19.xml" Id="R2af1ad9236b541c6" /><Relationship Type="http://schemas.openxmlformats.org/officeDocument/2006/relationships/worksheet" Target="/xl/worksheets/sheet20.xml" Id="Rf8d018445e0f4d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5" hidden="0" customWidth="1"/>
    <x:col min="3" max="3" width="27" hidden="0" customWidth="1"/>
    <x:col min="4" max="4" width="16" hidden="0" customWidth="1"/>
    <x:col min="5" max="5" width="52" hidden="0" customWidth="1"/>
    <x:col min="6" max="6" width="18" hidden="0" customWidth="1"/>
    <x:col min="7" max="7" width="3" hidden="0" customWidth="1"/>
    <x:col min="8" max="8" width="35" hidden="0" customWidth="1"/>
    <x:col min="9" max="9" width="21" hidden="0" customWidth="1"/>
    <x:col min="10" max="10" width="16" hidden="0" customWidth="1"/>
    <x:col min="11" max="11" width="22" hidden="0" customWidth="1"/>
    <x:col min="12" max="12" width="19" hidden="0" customWidth="1"/>
    <x:col min="13" max="13" width="17" hidden="0" customWidth="1"/>
    <x:col min="14" max="14" width="17" hidden="0" customWidth="1"/>
    <x:col min="15" max="15" width="17" hidden="0" customWidth="1"/>
    <x:col min="16" max="16" width="16" hidden="0" customWidth="1"/>
  </x:cols>
  <x:sheetData>
    <x:row r="2">
      <x:c r="B2" s="69" t="str">
        <x:v>ATUT-170 architecture competition</x:v>
      </x:c>
      <x:c r="C2" s="69" t="str">
        <x:v>ATUT-170 architecture competition</x:v>
      </x:c>
      <x:c r="D2" s="69" t="str">
        <x:v>ATUT-170 architecture competition</x:v>
      </x:c>
      <x:c r="E2" s="69" t="str">
        <x:v>ATUT-170 architecture competition</x:v>
      </x:c>
      <x:c r="F2" s="69" t="str">
        <x:v>ATUT-170 architecture competition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>
      <x:c r="B3" s="71" t="str">
        <x:v>A segmented adaptive terrain carrier is the provisional universal behavior reference—not a scaled heavy truck</x:v>
      </x:c>
      <x:c r="C3" s="71" t="str">
        <x:v>A segmented adaptive terrain carrier is the provisional universal behavior reference—not a scaled heavy truck</x:v>
      </x:c>
      <x:c r="D3" s="71" t="str">
        <x:v>A segmented adaptive terrain carrier is the provisional universal behavior reference—not a scaled heavy truck</x:v>
      </x:c>
      <x:c r="E3" s="71" t="str">
        <x:v>A segmented adaptive terrain carrier is the provisional universal behavior reference—not a scaled heavy truck</x:v>
      </x:c>
      <x:c r="F3" s="71" t="str">
        <x:v>A segmented adaptive terrain carrier is the provisional universal behavior reference—not a scaled heavy truck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</x:row>
    <x:row r="6">
      <x:c r="B6" s="73" t="str">
        <x:v>Executive result</x:v>
      </x:c>
      <x:c r="C6" s="74" t="str">
        <x:v>Executive result</x:v>
      </x:c>
      <x:c r="D6" s="74" t="str">
        <x:v>Executive result</x:v>
      </x:c>
      <x:c r="E6" s="74" t="str">
        <x:v>Executive result</x:v>
      </x:c>
      <x:c r="F6" s="75" t="str">
        <x:v>Executive result</x:v>
      </x:c>
      <x:c r="G6" s="70"/>
      <x:c r="H6" s="73" t="str">
        <x:v>Architecture decision screen</x:v>
      </x:c>
      <x:c r="I6" s="74" t="str">
        <x:v>Architecture decision screen</x:v>
      </x:c>
      <x:c r="J6" s="74" t="str">
        <x:v>Architecture decision screen</x:v>
      </x:c>
      <x:c r="K6" s="74" t="str">
        <x:v>Architecture decision screen</x:v>
      </x:c>
      <x:c r="L6" s="74" t="str">
        <x:v>Architecture decision screen</x:v>
      </x:c>
      <x:c r="M6" s="74" t="str">
        <x:v>Architecture decision screen</x:v>
      </x:c>
      <x:c r="N6" s="74" t="str">
        <x:v>Architecture decision screen</x:v>
      </x:c>
      <x:c r="O6" s="74" t="str">
        <x:v>Architecture decision screen</x:v>
      </x:c>
      <x:c r="P6" s="75" t="str">
        <x:v>Architecture decision screen</x:v>
      </x:c>
    </x:row>
    <x:row r="7">
      <x:c r="B7" s="29" t="str">
        <x:v>Decision</x:v>
      </x:c>
      <x:c r="C7" s="30" t="str">
        <x:v>Value</x:v>
      </x:c>
      <x:c r="D7" s="30" t="str">
        <x:v>Unit</x:v>
      </x:c>
      <x:c r="E7" s="30" t="str">
        <x:v>Interpretation</x:v>
      </x:c>
      <x:c r="F7" s="30" t="str">
        <x:v>State</x:v>
      </x:c>
      <x:c r="G7" s="70"/>
      <x:c r="H7" s="29" t="str">
        <x:v>ID</x:v>
      </x:c>
      <x:c r="I7" s="30" t="str">
        <x:v>Mass and geometry</x:v>
      </x:c>
      <x:c r="J7" s="30" t="str">
        <x:v>Ground</x:v>
      </x:c>
      <x:c r="K7" s="30" t="str">
        <x:v>Traction and energy</x:v>
      </x:c>
      <x:c r="L7" s="30" t="str">
        <x:v>Route and clock</x:v>
      </x:c>
      <x:c r="M7" s="30" t="str">
        <x:v>Obstacles</x:v>
      </x:c>
      <x:c r="N7" s="30" t="str">
        <x:v>Recovery</x:v>
      </x:c>
      <x:c r="O7" s="30" t="str">
        <x:v>Receiver</x:v>
      </x:c>
      <x:c r="P7" s="30" t="str">
        <x:v>Decision</x:v>
      </x:c>
    </x:row>
    <x:row r="8">
      <x:c r="B8" s="76" t="str">
        <x:v>Architecture reference</x:v>
      </x:c>
      <x:c r="C8" s="76" t="str">
        <x:v>T4 SAT-170</x:v>
      </x:c>
      <x:c r="D8" s="76" t="str">
        <x:v>research</x:v>
      </x:c>
      <x:c r="E8" s="76" t="str">
        <x:v>segmented adaptive terrain carrier</x:v>
      </x:c>
      <x:c r="F8" s="77" t="str">
        <x:v>calculated</x:v>
      </x:c>
      <x:c r="G8" s="70"/>
      <x:c r="H8" s="76" t="str">
        <x:f>Architectures!B7</x:f>
        <x:v>T1</x:v>
      </x:c>
      <x:c r="I8" s="76" t="str">
        <x:f>IF(AND('Mass and Payload'!P7="PASS",'Geometry and Stability'!O7="PASS"),"PASS","FAIL")</x:f>
        <x:v>FAIL</x:v>
      </x:c>
      <x:c r="J8" s="76" t="str">
        <x:f>'Ground Pressure'!H7</x:f>
        <x:v>FAIL</x:v>
      </x:c>
      <x:c r="K8" s="76" t="str">
        <x:f>IF(AND('Traction and Power'!Q7="PASS",'Traction and Power'!G15="PASS"),"PASS","FAIL")</x:f>
        <x:v>PASS</x:v>
      </x:c>
      <x:c r="L8" s="76" t="str">
        <x:f>'Route and Clock'!Q7</x:f>
        <x:v>FAIL</x:v>
      </x:c>
      <x:c r="M8" s="76" t="str">
        <x:f>'Obstacles and Water'!Z7</x:f>
        <x:v>FAIL</x:v>
      </x:c>
      <x:c r="N8" s="76" t="str">
        <x:f>Recovery!P7</x:f>
        <x:v>FAIL</x:v>
      </x:c>
      <x:c r="O8" s="76" t="str">
        <x:f>'Receiver and Unload'!R7</x:f>
        <x:v>FAIL</x:v>
      </x:c>
      <x:c r="P8" s="77" t="str">
        <x:f>IF(COUNTIFS(I8:O8,"PASS")=7,"PASS","FAIL")</x:f>
        <x:v>FAIL</x:v>
      </x:c>
    </x:row>
    <x:row r="9">
      <x:c r="B9" s="76" t="str">
        <x:v>Universal behavior</x:v>
      </x:c>
      <x:c r="C9" s="76" t="str">
        <x:v>PASS</x:v>
      </x:c>
      <x:c r="D9" s="76" t="str">
        <x:v>behavior</x:v>
      </x:c>
      <x:c r="E9" s="76" t="str">
        <x:v>only rival closing every declared screen</x:v>
      </x:c>
      <x:c r="F9" s="77" t="str">
        <x:v>calculated</x:v>
      </x:c>
      <x:c r="G9" s="70"/>
      <x:c r="H9" s="76" t="str">
        <x:f>Architectures!B8</x:f>
        <x:v>T2</x:v>
      </x:c>
      <x:c r="I9" s="76" t="str">
        <x:f>IF(AND('Mass and Payload'!P8="PASS",'Geometry and Stability'!O8="PASS"),"PASS","FAIL")</x:f>
        <x:v>PASS</x:v>
      </x:c>
      <x:c r="J9" s="76" t="str">
        <x:f>'Ground Pressure'!H8</x:f>
        <x:v>PASS</x:v>
      </x:c>
      <x:c r="K9" s="76" t="str">
        <x:f>IF(AND('Traction and Power'!Q8="PASS",'Traction and Power'!G16="PASS"),"PASS","FAIL")</x:f>
        <x:v>PASS</x:v>
      </x:c>
      <x:c r="L9" s="76" t="str">
        <x:f>'Route and Clock'!Q8</x:f>
        <x:v>FAIL</x:v>
      </x:c>
      <x:c r="M9" s="76" t="str">
        <x:f>'Obstacles and Water'!Z8</x:f>
        <x:v>FAIL</x:v>
      </x:c>
      <x:c r="N9" s="76" t="str">
        <x:f>Recovery!P8</x:f>
        <x:v>FAIL</x:v>
      </x:c>
      <x:c r="O9" s="76" t="str">
        <x:f>'Receiver and Unload'!R8</x:f>
        <x:v>PASS</x:v>
      </x:c>
      <x:c r="P9" s="77" t="str">
        <x:f>IF(COUNTIFS(I9:O9,"PASS")=7,"PASS","FAIL")</x:f>
        <x:v>FAIL</x:v>
      </x:c>
    </x:row>
    <x:row r="10">
      <x:c r="B10" s="76" t="str">
        <x:v>Design payload</x:v>
      </x:c>
      <x:c r="C10" s="76" t="n">
        <x:v>170</x:v>
      </x:c>
      <x:c r="D10" s="76" t="str">
        <x:v>t</x:v>
      </x:c>
      <x:c r="E10" s="76" t="str">
        <x:v>158.75 t assigned</x:v>
      </x:c>
      <x:c r="F10" s="77" t="str">
        <x:v>inherited</x:v>
      </x:c>
      <x:c r="G10" s="70"/>
      <x:c r="H10" s="76" t="str">
        <x:f>Architectures!B9</x:f>
        <x:v>T3</x:v>
      </x:c>
      <x:c r="I10" s="76" t="str">
        <x:f>IF(AND('Mass and Payload'!P9="PASS",'Geometry and Stability'!O9="PASS"),"PASS","FAIL")</x:f>
        <x:v>FAIL</x:v>
      </x:c>
      <x:c r="J10" s="76" t="str">
        <x:f>'Ground Pressure'!H9</x:f>
        <x:v>PASS</x:v>
      </x:c>
      <x:c r="K10" s="76" t="str">
        <x:f>IF(AND('Traction and Power'!Q9="PASS",'Traction and Power'!G17="PASS"),"PASS","FAIL")</x:f>
        <x:v>FAIL</x:v>
      </x:c>
      <x:c r="L10" s="76" t="str">
        <x:f>'Route and Clock'!Q9</x:f>
        <x:v>PASS</x:v>
      </x:c>
      <x:c r="M10" s="76" t="str">
        <x:f>'Obstacles and Water'!Z9</x:f>
        <x:v>FAIL</x:v>
      </x:c>
      <x:c r="N10" s="76" t="str">
        <x:f>Recovery!P9</x:f>
        <x:v>FAIL</x:v>
      </x:c>
      <x:c r="O10" s="76" t="str">
        <x:f>'Receiver and Unload'!R9</x:f>
        <x:v>FAIL</x:v>
      </x:c>
      <x:c r="P10" s="77" t="str">
        <x:f>IF(COUNTIFS(I10:O10,"PASS")=7,"PASS","FAIL")</x:f>
        <x:v>FAIL</x:v>
      </x:c>
    </x:row>
    <x:row r="11">
      <x:c r="B11" s="76" t="str">
        <x:v>Design gross mass</x:v>
      </x:c>
      <x:c r="C11" s="76" t="n">
        <x:f>'Mass and Payload'!F10</x:f>
        <x:v>502</x:v>
      </x:c>
      <x:c r="D11" s="76" t="str">
        <x:v>t</x:v>
      </x:c>
      <x:c r="E11" s="76" t="str">
        <x:v>complete vehicle plus rated payload</x:v>
      </x:c>
      <x:c r="F11" s="77" t="str">
        <x:v>calculated</x:v>
      </x:c>
      <x:c r="G11" s="70"/>
      <x:c r="H11" s="78" t="str">
        <x:f>Architectures!B10</x:f>
        <x:v>T4</x:v>
      </x:c>
      <x:c r="I11" s="78" t="str">
        <x:f>IF(AND('Mass and Payload'!P10="PASS",'Geometry and Stability'!O10="PASS"),"PASS","FAIL")</x:f>
        <x:v>PASS</x:v>
      </x:c>
      <x:c r="J11" s="78" t="str">
        <x:f>'Ground Pressure'!H10</x:f>
        <x:v>PASS</x:v>
      </x:c>
      <x:c r="K11" s="78" t="str">
        <x:f>IF(AND('Traction and Power'!Q10="PASS",'Traction and Power'!G18="PASS"),"PASS","FAIL")</x:f>
        <x:v>PASS</x:v>
      </x:c>
      <x:c r="L11" s="78" t="str">
        <x:f>'Route and Clock'!Q10</x:f>
        <x:v>PASS</x:v>
      </x:c>
      <x:c r="M11" s="78" t="str">
        <x:f>'Obstacles and Water'!Z10</x:f>
        <x:v>PASS</x:v>
      </x:c>
      <x:c r="N11" s="78" t="str">
        <x:f>Recovery!P10</x:f>
        <x:v>PASS</x:v>
      </x:c>
      <x:c r="O11" s="78" t="str">
        <x:f>'Receiver and Unload'!R10</x:f>
        <x:v>PASS</x:v>
      </x:c>
      <x:c r="P11" s="79" t="str">
        <x:f>IF(COUNTIFS(I11:O11,"PASS")=7,"PASS","FAIL")</x:f>
        <x:v>PASS</x:v>
      </x:c>
    </x:row>
    <x:row r="12">
      <x:c r="B12" s="76" t="str">
        <x:v>Mission gross mass</x:v>
      </x:c>
      <x:c r="C12" s="76" t="n">
        <x:f>'Mass and Payload'!H10</x:f>
        <x:v>490.75</x:v>
      </x:c>
      <x:c r="D12" s="76" t="str">
        <x:v>t</x:v>
      </x:c>
      <x:c r="E12" s="76" t="str">
        <x:v>complete vehicle plus assigned payload</x:v>
      </x:c>
      <x:c r="F12" s="77" t="str">
        <x:v>calculated</x:v>
      </x:c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</x:row>
    <x:row r="13">
      <x:c r="B13" s="76" t="str">
        <x:v>Saturated-ground pressure</x:v>
      </x:c>
      <x:c r="C13" s="76" t="n">
        <x:f>'Ground Pressure'!F10</x:f>
        <x:v>31.77174193548387</x:v>
      </x:c>
      <x:c r="D13" s="76" t="str">
        <x:v>kPa</x:v>
      </x:c>
      <x:c r="E13" s="76" t="str">
        <x:v>below 35 kPa admission limit</x:v>
      </x:c>
      <x:c r="F13" s="77" t="str">
        <x:v>calculated</x:v>
      </x:c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</x:row>
    <x:row r="14">
      <x:c r="B14" s="76" t="str">
        <x:v>Relative public service</x:v>
      </x:c>
      <x:c r="C14" s="76" t="n">
        <x:f>'Route and Clock'!M10</x:f>
        <x:v>39.37662337662338</x:v>
      </x:c>
      <x:c r="D14" s="76" t="str">
        <x:v>h</x:v>
      </x:c>
      <x:c r="E14" s="76" t="str">
        <x:v>inside hour 45</x:v>
      </x:c>
      <x:c r="F14" s="77" t="str">
        <x:v>calculated</x:v>
      </x:c>
      <x:c r="G14" s="70"/>
      <x:c r="H14" s="73" t="str">
        <x:v>Governing judgments</x:v>
      </x:c>
      <x:c r="I14" s="74" t="str">
        <x:v>Governing judgments</x:v>
      </x:c>
      <x:c r="J14" s="74" t="str">
        <x:v>Governing judgments</x:v>
      </x:c>
      <x:c r="K14" s="74" t="str">
        <x:v>Governing judgments</x:v>
      </x:c>
      <x:c r="L14" s="74" t="str">
        <x:v>Governing judgments</x:v>
      </x:c>
      <x:c r="M14" s="74" t="str">
        <x:v>Governing judgments</x:v>
      </x:c>
      <x:c r="N14" s="74" t="str">
        <x:v>Governing judgments</x:v>
      </x:c>
      <x:c r="O14" s="74" t="str">
        <x:v>Governing judgments</x:v>
      </x:c>
      <x:c r="P14" s="75" t="str">
        <x:v>Governing judgments</x:v>
      </x:c>
    </x:row>
    <x:row r="15">
      <x:c r="B15" s="76" t="str">
        <x:v>Clock margin</x:v>
      </x:c>
      <x:c r="C15" s="76" t="n">
        <x:f>'Route and Clock'!N10</x:f>
        <x:v>5.623376623376622</x:v>
      </x:c>
      <x:c r="D15" s="76" t="str">
        <x:v>h</x:v>
      </x:c>
      <x:c r="E15" s="76" t="str">
        <x:v>route and service reserve</x:v>
      </x:c>
      <x:c r="F15" s="77" t="str">
        <x:v>calculated</x:v>
      </x:c>
      <x:c r="G15" s="70"/>
      <x:c r="H15" s="80" t="str">
        <x:v>1. Terrain is a system, not a chassis.</x:v>
      </x:c>
      <x:c r="I15" s="70" t="str">
        <x:v>T4 owns contact, traction, articulation, bridge, route sensing, recovery and offline convoy behavior as one certified vehicle system.</x:v>
      </x:c>
      <x:c r="J15" s="70"/>
      <x:c r="K15" s="70"/>
      <x:c r="L15" s="70"/>
      <x:c r="M15" s="70"/>
      <x:c r="N15" s="70"/>
      <x:c r="O15" s="70"/>
      <x:c r="P15" s="70"/>
    </x:row>
    <x:row r="16">
      <x:c r="B16" s="76" t="str">
        <x:v>Required route energy</x:v>
      </x:c>
      <x:c r="C16" s="76" t="n">
        <x:f>'Traction and Power'!D18</x:f>
        <x:v>421.36</x:v>
      </x:c>
      <x:c r="D16" s="76" t="str">
        <x:v>MWh</x:v>
      </x:c>
      <x:c r="E16" s="76" t="str">
        <x:v>800 km plus route work</x:v>
      </x:c>
      <x:c r="F16" s="77" t="str">
        <x:v>calculated</x:v>
      </x:c>
      <x:c r="G16" s="70"/>
      <x:c r="H16" s="80" t="str">
        <x:v>2. Single-regime superiority is insufficient.</x:v>
      </x:c>
      <x:c r="I16" s="70" t="str">
        <x:v>T2 is gentle on soil and T3 is fast across floodwater, but neither preserves the complete 800 km service chain.</x:v>
      </x:c>
      <x:c r="J16" s="70"/>
      <x:c r="K16" s="70"/>
      <x:c r="L16" s="70"/>
      <x:c r="M16" s="70"/>
      <x:c r="N16" s="70"/>
      <x:c r="O16" s="70"/>
      <x:c r="P16" s="70"/>
    </x:row>
    <x:row r="17">
      <x:c r="B17" s="76" t="str">
        <x:v>Energy reserve</x:v>
      </x:c>
      <x:c r="C17" s="81" t="n">
        <x:f>'Traction and Power'!F18</x:f>
        <x:v>0.4239605088285552</x:v>
      </x:c>
      <x:c r="D17" s="76" t="str">
        <x:v>fraction</x:v>
      </x:c>
      <x:c r="E17" s="76" t="str">
        <x:v>technology campaign remains open</x:v>
      </x:c>
      <x:c r="F17" s="77" t="str">
        <x:v>calculated</x:v>
      </x:c>
      <x:c r="G17" s="70"/>
      <x:c r="H17" s="80" t="str">
        <x:v>3. The energy assumption is a technology target.</x:v>
      </x:c>
      <x:c r="I17" s="70" t="str">
        <x:v>T4 carries 600 MWh at 60 t. A battery-only interpretation is rejected; fuel-electric or another high-specific-energy system must prove the claim.</x:v>
      </x:c>
      <x:c r="J17" s="70"/>
      <x:c r="K17" s="70"/>
      <x:c r="L17" s="70"/>
      <x:c r="M17" s="70"/>
      <x:c r="N17" s="70"/>
      <x:c r="O17" s="70"/>
      <x:c r="P17" s="70"/>
    </x:row>
    <x:row r="18">
      <x:c r="B18" s="76" t="str">
        <x:v>Organic gap capacity</x:v>
      </x:c>
      <x:c r="C18" s="76" t="n">
        <x:v>25</x:v>
      </x:c>
      <x:c r="D18" s="76" t="str">
        <x:v>m</x:v>
      </x:c>
      <x:c r="E18" s="76" t="str">
        <x:v>retains 20 m after one panel loss</x:v>
      </x:c>
      <x:c r="F18" s="77" t="str">
        <x:v>declared</x:v>
      </x:c>
      <x:c r="G18" s="70"/>
      <x:c r="H18" s="80" t="str">
        <x:v>4. Organic bridging is mission equipment.</x:v>
      </x:c>
      <x:c r="I18" s="70" t="str">
        <x:v>The 25 m route kit is inside tare, cost, crew and reset. One lost 5 m panel still leaves the required 20 m crossing.</x:v>
      </x:c>
      <x:c r="J18" s="70"/>
      <x:c r="K18" s="70"/>
      <x:c r="L18" s="70"/>
      <x:c r="M18" s="70"/>
      <x:c r="N18" s="70"/>
      <x:c r="O18" s="70"/>
      <x:c r="P18" s="70"/>
    </x:row>
    <x:row r="19">
      <x:c r="B19" s="76" t="str">
        <x:v>Reset critical path</x:v>
      </x:c>
      <x:c r="C19" s="76" t="n">
        <x:f>Reset!D17</x:f>
        <x:v>148</x:v>
      </x:c>
      <x:c r="D19" s="76" t="str">
        <x:v>h</x:v>
      </x:c>
      <x:c r="E19" s="76" t="str">
        <x:v>inside 168-hour ceiling</x:v>
      </x:c>
      <x:c r="F19" s="77" t="str">
        <x:v>calculated</x:v>
      </x:c>
      <x:c r="G19" s="70"/>
      <x:c r="H19" s="80" t="str">
        <x:v>5. Scale changes the national program.</x:v>
      </x:c>
      <x:c r="I19" s="70" t="str">
        <x:v>Two hundred nineteen vehicles, three integration lines and a complete proving system replace the prior generic lifecycle placeholder.</x:v>
      </x:c>
      <x:c r="J19" s="70"/>
      <x:c r="K19" s="70"/>
      <x:c r="L19" s="70"/>
      <x:c r="M19" s="70"/>
      <x:c r="N19" s="70"/>
      <x:c r="O19" s="70"/>
      <x:c r="P19" s="70"/>
    </x:row>
    <x:row r="20">
      <x:c r="B20" s="76" t="str">
        <x:v>Operational vehicles</x:v>
      </x:c>
      <x:c r="C20" s="76" t="n">
        <x:f>Assumptions!C45</x:f>
        <x:v>172</x:v>
      </x:c>
      <x:c r="D20" s="76" t="str">
        <x:v>vehicles</x:v>
      </x:c>
      <x:c r="E20" s="76" t="str">
        <x:v>four per ready package</x:v>
      </x:c>
      <x:c r="F20" s="77" t="str">
        <x:v>calculated</x:v>
      </x:c>
      <x:c r="G20" s="70"/>
      <x:c r="H20" s="80" t="str">
        <x:v>6. Rendering remains blocked.</x:v>
      </x:c>
      <x:c r="I20" s="70" t="str">
        <x:v>T4 is a requirements reference. Suspension geometry, articulation, bridge packaging, energy system and compound terrain evidence remain open.</x:v>
      </x:c>
      <x:c r="J20" s="70"/>
      <x:c r="K20" s="70"/>
      <x:c r="L20" s="70"/>
      <x:c r="M20" s="70"/>
      <x:c r="N20" s="70"/>
      <x:c r="O20" s="70"/>
      <x:c r="P20" s="70"/>
    </x:row>
    <x:row r="21">
      <x:c r="B21" s="76" t="str">
        <x:v>Total production articles</x:v>
      </x:c>
      <x:c r="C21" s="76" t="n">
        <x:f>Assumptions!C49</x:f>
        <x:v>219</x:v>
      </x:c>
      <x:c r="D21" s="76" t="str">
        <x:v>vehicles</x:v>
      </x:c>
      <x:c r="E21" s="76" t="str">
        <x:v>operational reserve and test</x:v>
      </x:c>
      <x:c r="F21" s="77" t="str">
        <x:v>calculated</x:v>
      </x:c>
      <x:c r="G21" s="70"/>
      <x:c r="H21" s="70"/>
      <x:c r="I21" s="70"/>
      <x:c r="J21" s="70"/>
      <x:c r="K21" s="70"/>
      <x:c r="L21" s="70"/>
      <x:c r="M21" s="70"/>
      <x:c r="N21" s="70"/>
      <x:c r="O21" s="70"/>
      <x:c r="P21" s="70"/>
    </x:row>
    <x:row r="22">
      <x:c r="B22" s="76" t="str">
        <x:v>Architecture program</x:v>
      </x:c>
      <x:c r="C22" s="82" t="n">
        <x:f>'Program Cost'!F16</x:f>
        <x:v>882.8269399999999</x:v>
      </x:c>
      <x:c r="D22" s="76" t="str">
        <x:v>$B</x:v>
      </x:c>
      <x:c r="E22" s="76" t="str">
        <x:v>full SAT-170 industrial account</x:v>
      </x:c>
      <x:c r="F22" s="77" t="str">
        <x:v>calculated</x:v>
      </x:c>
      <x:c r="G22" s="70"/>
      <x:c r="H22" s="70"/>
      <x:c r="I22" s="70"/>
      <x:c r="J22" s="70"/>
      <x:c r="K22" s="70"/>
      <x:c r="L22" s="70"/>
      <x:c r="M22" s="70"/>
      <x:c r="N22" s="70"/>
      <x:c r="O22" s="70"/>
      <x:c r="P22" s="70"/>
    </x:row>
    <x:row r="23">
      <x:c r="B23" s="76" t="str">
        <x:v>Revised DCP-2 program</x:v>
      </x:c>
      <x:c r="C23" s="82" t="n">
        <x:f>'Program Cost'!F18</x:f>
        <x:v>2109.81079</x:v>
      </x:c>
      <x:c r="D23" s="76" t="str">
        <x:v>$B</x:v>
      </x:c>
      <x:c r="E23" s="76" t="str">
        <x:v>replaces generic ATUT account</x:v>
      </x:c>
      <x:c r="F23" s="77" t="str">
        <x:v>calculated</x:v>
      </x:c>
      <x:c r="G23" s="70"/>
      <x:c r="H23" s="70"/>
      <x:c r="I23" s="70"/>
      <x:c r="J23" s="70"/>
      <x:c r="K23" s="70"/>
      <x:c r="L23" s="70"/>
      <x:c r="M23" s="70"/>
      <x:c r="N23" s="70"/>
      <x:c r="O23" s="70"/>
      <x:c r="P23" s="70"/>
    </x:row>
    <x:row r="24">
      <x:c r="B24" s="76" t="str">
        <x:v>Revised national boundary</x:v>
      </x:c>
      <x:c r="C24" s="82" t="n">
        <x:f>'Program Cost'!F20</x:f>
        <x:v>9492.95234</x:v>
      </x:c>
      <x:c r="D24" s="76" t="str">
        <x:v>$B</x:v>
      </x:c>
      <x:c r="E24" s="76" t="str">
        <x:v>dynamic F1-C1 plus revised DCP-2</x:v>
      </x:c>
      <x:c r="F24" s="77" t="str">
        <x:v>calculated</x:v>
      </x:c>
      <x:c r="G24" s="70"/>
      <x:c r="H24" s="70"/>
      <x:c r="I24" s="70"/>
      <x:c r="J24" s="70"/>
      <x:c r="K24" s="70"/>
      <x:c r="L24" s="70"/>
      <x:c r="M24" s="70"/>
      <x:c r="N24" s="70"/>
      <x:c r="O24" s="70"/>
      <x:c r="P24" s="70"/>
    </x:row>
    <x:row r="25">
      <x:c r="B25" s="76" t="str">
        <x:v>Increase over Pass 83</x:v>
      </x:c>
      <x:c r="C25" s="82" t="n">
        <x:f>'Program Cost'!F21</x:f>
        <x:v>592.5769399999999</x:v>
      </x:c>
      <x:c r="D25" s="76" t="str">
        <x:v>$B</x:v>
      </x:c>
      <x:c r="E25" s="76" t="str">
        <x:v>physical-architecture correction</x:v>
      </x:c>
      <x:c r="F25" s="77" t="str">
        <x:v>calculated</x:v>
      </x:c>
      <x:c r="G25" s="70"/>
      <x:c r="H25" s="70"/>
      <x:c r="I25" s="70"/>
      <x:c r="J25" s="70"/>
      <x:c r="K25" s="70"/>
      <x:c r="L25" s="70"/>
      <x:c r="M25" s="70"/>
      <x:c r="N25" s="70"/>
      <x:c r="O25" s="70"/>
      <x:c r="P25" s="70"/>
    </x:row>
    <x:row r="26">
      <x:c r="B26" s="76" t="str">
        <x:v>Technology campaigns</x:v>
      </x:c>
      <x:c r="C26" s="76" t="n">
        <x:v>260</x:v>
      </x:c>
      <x:c r="D26" s="76" t="str">
        <x:v>$B</x:v>
      </x:c>
      <x:c r="E26" s="76" t="str">
        <x:v>thirteen portfolios including proving</x:v>
      </x:c>
      <x:c r="F26" s="77" t="str">
        <x:v>declared</x:v>
      </x:c>
      <x:c r="G26" s="70"/>
      <x:c r="H26" s="70"/>
      <x:c r="I26" s="70"/>
      <x:c r="J26" s="70"/>
      <x:c r="K26" s="70"/>
      <x:c r="L26" s="70"/>
      <x:c r="M26" s="70"/>
      <x:c r="N26" s="70"/>
      <x:c r="O26" s="70"/>
      <x:c r="P26" s="70"/>
    </x:row>
    <x:row r="27">
      <x:c r="B27" s="76" t="str">
        <x:v>Open evidence gates</x:v>
      </x:c>
      <x:c r="C27" s="76" t="n">
        <x:v>100</x:v>
      </x:c>
      <x:c r="D27" s="76" t="str">
        <x:v>gates</x:v>
      </x:c>
      <x:c r="E27" s="76" t="str">
        <x:v>behavior creates no current credit</x:v>
      </x:c>
      <x:c r="F27" s="77" t="str">
        <x:v>calculated</x:v>
      </x:c>
      <x:c r="G27" s="70"/>
      <x:c r="H27" s="70"/>
      <x:c r="I27" s="70"/>
      <x:c r="J27" s="70"/>
      <x:c r="K27" s="70"/>
      <x:c r="L27" s="70"/>
      <x:c r="M27" s="70"/>
      <x:c r="N27" s="70"/>
      <x:c r="O27" s="70"/>
      <x:c r="P27" s="70"/>
    </x:row>
    <x:row r="28">
      <x:c r="B28" s="78" t="str">
        <x:v>Rendering state</x:v>
      </x:c>
      <x:c r="C28" s="78" t="str">
        <x:v>BLOCKED</x:v>
      </x:c>
      <x:c r="D28" s="78" t="str">
        <x:v>governance</x:v>
      </x:c>
      <x:c r="E28" s="78" t="str">
        <x:v>representative geometry and evidence remain open</x:v>
      </x:c>
      <x:c r="F28" s="79" t="str">
        <x:v>declared</x:v>
      </x:c>
      <x:c r="G28" s="70"/>
      <x:c r="H28" s="70"/>
      <x:c r="I28" s="70"/>
      <x:c r="J28" s="70"/>
      <x:c r="K28" s="70"/>
      <x:c r="L28" s="70"/>
      <x:c r="M28" s="70"/>
      <x:c r="N28" s="70"/>
      <x:c r="O28" s="70"/>
      <x:c r="P28" s="70"/>
    </x:row>
    <x:row r="29">
      <x:c r="B29" s="70"/>
      <x:c r="C29" s="70"/>
      <x:c r="D29" s="70"/>
      <x:c r="E29" s="70"/>
      <x:c r="F29" s="70"/>
      <x:c r="G29" s="70"/>
      <x:c r="H29" s="70"/>
      <x:c r="I29" s="70"/>
      <x:c r="J29" s="70"/>
      <x:c r="K29" s="70"/>
      <x:c r="L29" s="70"/>
      <x:c r="M29" s="70"/>
      <x:c r="N29" s="70"/>
      <x:c r="O29" s="70"/>
      <x:c r="P29" s="70"/>
    </x:row>
    <x:row r="30"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  <x:c r="M30" s="70"/>
      <x:c r="N30" s="70"/>
      <x:c r="O30" s="70"/>
      <x:c r="P30" s="70"/>
    </x:row>
    <x:row r="31">
      <x:c r="B31" s="70"/>
      <x:c r="C31" s="70"/>
      <x:c r="D31" s="70"/>
      <x:c r="E31" s="70"/>
      <x:c r="F31" s="70"/>
      <x:c r="G31" s="70"/>
      <x:c r="H31" s="70"/>
      <x:c r="I31" s="70"/>
      <x:c r="J31" s="70"/>
      <x:c r="K31" s="70"/>
      <x:c r="L31" s="70"/>
      <x:c r="M31" s="70"/>
      <x:c r="N31" s="70"/>
      <x:c r="O31" s="70"/>
      <x:c r="P31" s="70"/>
    </x:row>
    <x:row r="32">
      <x:c r="B32" s="70"/>
      <x:c r="C32" s="70"/>
      <x:c r="D32" s="70"/>
      <x:c r="E32" s="70"/>
      <x:c r="F32" s="70"/>
      <x:c r="G32" s="70"/>
      <x:c r="H32" s="70"/>
      <x:c r="I32" s="70"/>
      <x:c r="J32" s="70"/>
      <x:c r="K32" s="70"/>
      <x:c r="L32" s="70"/>
      <x:c r="M32" s="70"/>
      <x:c r="N32" s="70"/>
      <x:c r="O32" s="70"/>
      <x:c r="P32" s="70"/>
    </x:row>
    <x:row r="33">
      <x:c r="B33" s="70"/>
      <x:c r="C33" s="70"/>
      <x:c r="D33" s="70"/>
      <x:c r="E33" s="70"/>
      <x:c r="F33" s="70"/>
      <x:c r="G33" s="70"/>
      <x:c r="H33" s="70"/>
      <x:c r="I33" s="70"/>
      <x:c r="J33" s="70"/>
      <x:c r="K33" s="70"/>
      <x:c r="L33" s="70"/>
      <x:c r="M33" s="70"/>
      <x:c r="N33" s="70"/>
      <x:c r="O33" s="70"/>
      <x:c r="P33" s="70"/>
    </x:row>
    <x:row r="34">
      <x:c r="B34" s="70"/>
      <x:c r="C34" s="70"/>
      <x:c r="D34" s="70"/>
      <x:c r="E34" s="70"/>
      <x:c r="F34" s="70"/>
      <x:c r="G34" s="70"/>
      <x:c r="H34" s="70"/>
      <x:c r="I34" s="70"/>
      <x:c r="J34" s="70"/>
      <x:c r="K34" s="70"/>
      <x:c r="L34" s="70"/>
      <x:c r="M34" s="70"/>
      <x:c r="N34" s="70"/>
      <x:c r="O34" s="70"/>
      <x:c r="P34" s="70"/>
    </x:row>
    <x:row r="35">
      <x:c r="B35" s="70"/>
      <x:c r="C35" s="70"/>
      <x:c r="D35" s="70"/>
      <x:c r="E35" s="70"/>
      <x:c r="F35" s="70"/>
      <x:c r="G35" s="70"/>
      <x:c r="H35" s="70"/>
      <x:c r="I35" s="70"/>
      <x:c r="J35" s="70"/>
      <x:c r="K35" s="70"/>
      <x:c r="L35" s="70"/>
      <x:c r="M35" s="70"/>
      <x:c r="N35" s="70"/>
      <x:c r="O35" s="70"/>
      <x:c r="P35" s="70"/>
    </x:row>
    <x:row r="36"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</x:row>
    <x:row r="37">
      <x:c r="B37" s="70"/>
      <x:c r="C37" s="70"/>
      <x:c r="D37" s="70"/>
      <x:c r="E37" s="70"/>
      <x:c r="F37" s="70"/>
      <x:c r="G37" s="70"/>
      <x:c r="H37" s="70"/>
      <x:c r="I37" s="70"/>
      <x:c r="J37" s="70"/>
      <x:c r="K37" s="70"/>
      <x:c r="L37" s="70"/>
      <x:c r="M37" s="70"/>
      <x:c r="N37" s="70"/>
      <x:c r="O37" s="70"/>
      <x:c r="P37" s="70"/>
    </x:row>
    <x:row r="38">
      <x:c r="B38" s="70"/>
      <x:c r="C38" s="70"/>
      <x:c r="D38" s="70"/>
      <x:c r="E38" s="70"/>
      <x:c r="F38" s="70"/>
      <x:c r="G38" s="70"/>
      <x:c r="H38" s="70"/>
      <x:c r="I38" s="70"/>
      <x:c r="J38" s="70"/>
      <x:c r="K38" s="70"/>
      <x:c r="L38" s="70"/>
      <x:c r="M38" s="70"/>
      <x:c r="N38" s="70"/>
      <x:c r="O38" s="70"/>
      <x:c r="P38" s="70"/>
    </x:row>
    <x:row r="39">
      <x:c r="B39" s="70"/>
      <x:c r="C39" s="70"/>
      <x:c r="D39" s="70"/>
      <x:c r="E39" s="70"/>
      <x:c r="F39" s="70"/>
      <x:c r="G39" s="70"/>
      <x:c r="H39" s="70"/>
      <x:c r="I39" s="70"/>
      <x:c r="J39" s="70"/>
      <x:c r="K39" s="70"/>
      <x:c r="L39" s="70"/>
      <x:c r="M39" s="70"/>
      <x:c r="N39" s="70"/>
      <x:c r="O39" s="70"/>
      <x:c r="P39" s="70"/>
    </x:row>
    <x:row r="40">
      <x:c r="B40" s="70"/>
      <x:c r="C40" s="70"/>
      <x:c r="D40" s="70"/>
      <x:c r="E40" s="70"/>
      <x:c r="F40" s="70"/>
      <x:c r="G40" s="70"/>
      <x:c r="H40" s="70"/>
      <x:c r="I40" s="70"/>
      <x:c r="J40" s="70"/>
      <x:c r="K40" s="70"/>
      <x:c r="L40" s="70"/>
      <x:c r="M40" s="70"/>
      <x:c r="N40" s="70"/>
      <x:c r="O40" s="70"/>
      <x:c r="P40" s="70"/>
    </x:row>
    <x:row r="41"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  <x:c r="L41" s="70"/>
      <x:c r="M41" s="70"/>
      <x:c r="N41" s="70"/>
      <x:c r="O41" s="70"/>
      <x:c r="P41" s="70"/>
    </x:row>
    <x:row r="42">
      <x:c r="B42" s="70"/>
      <x:c r="C42" s="70"/>
      <x:c r="D42" s="70"/>
      <x:c r="E42" s="70"/>
      <x:c r="F42" s="70"/>
      <x:c r="G42" s="70"/>
      <x:c r="H42" s="70"/>
      <x:c r="I42" s="70"/>
      <x:c r="J42" s="70"/>
      <x:c r="K42" s="70"/>
      <x:c r="L42" s="70"/>
      <x:c r="M42" s="70"/>
      <x:c r="N42" s="70"/>
      <x:c r="O42" s="70"/>
      <x:c r="P42" s="70"/>
    </x:row>
    <x:row r="43">
      <x:c r="B43" s="70"/>
      <x:c r="C43" s="70"/>
      <x:c r="D43" s="70"/>
      <x:c r="E43" s="70"/>
      <x:c r="F43" s="70"/>
      <x:c r="G43" s="70"/>
      <x:c r="H43" s="70"/>
      <x:c r="I43" s="70"/>
      <x:c r="J43" s="70"/>
      <x:c r="K43" s="70"/>
      <x:c r="L43" s="70"/>
      <x:c r="M43" s="70"/>
      <x:c r="N43" s="70"/>
      <x:c r="O43" s="70"/>
      <x:c r="P43" s="70"/>
    </x:row>
    <x:row r="44">
      <x:c r="B44" s="70"/>
      <x:c r="C44" s="70"/>
      <x:c r="D44" s="70"/>
      <x:c r="E44" s="70"/>
      <x:c r="F44" s="70"/>
      <x:c r="G44" s="70"/>
      <x:c r="H44" s="70"/>
      <x:c r="I44" s="70"/>
      <x:c r="J44" s="70"/>
      <x:c r="K44" s="70"/>
      <x:c r="L44" s="70"/>
      <x:c r="M44" s="70"/>
      <x:c r="N44" s="70"/>
      <x:c r="O44" s="70"/>
      <x:c r="P44" s="70"/>
    </x:row>
    <x:row r="45">
      <x:c r="B45" s="70"/>
      <x:c r="C45" s="70"/>
      <x:c r="D45" s="70"/>
      <x:c r="E45" s="70"/>
      <x:c r="F45" s="70"/>
      <x:c r="G45" s="70"/>
      <x:c r="H45" s="70"/>
      <x:c r="I45" s="70"/>
      <x:c r="J45" s="70"/>
      <x:c r="K45" s="70"/>
      <x:c r="L45" s="70"/>
      <x:c r="M45" s="70"/>
      <x:c r="N45" s="70"/>
      <x:c r="O45" s="70"/>
      <x:c r="P45" s="70"/>
    </x:row>
    <x:row r="46">
      <x:c r="B46" s="70"/>
      <x:c r="C46" s="70"/>
      <x:c r="D46" s="70"/>
      <x:c r="E46" s="70"/>
      <x:c r="F46" s="70"/>
      <x:c r="G46" s="70"/>
      <x:c r="H46" s="70"/>
      <x:c r="I46" s="70"/>
      <x:c r="J46" s="70"/>
      <x:c r="K46" s="70"/>
      <x:c r="L46" s="70"/>
      <x:c r="M46" s="70"/>
      <x:c r="N46" s="70"/>
      <x:c r="O46" s="70"/>
      <x:c r="P46" s="70"/>
    </x:row>
  </x:sheetData>
  <x:mergeCells>
    <x:mergeCell ref="B2:F2"/>
    <x:mergeCell ref="B3:F3"/>
    <x:mergeCell ref="B6:F6"/>
    <x:mergeCell ref="H6:P6"/>
    <x:mergeCell ref="H14:P14"/>
    <x:mergeCell ref="I15:P15"/>
    <x:mergeCell ref="I16:P16"/>
    <x:mergeCell ref="I17:P17"/>
    <x:mergeCell ref="I18:P18"/>
    <x:mergeCell ref="I19:P19"/>
    <x:mergeCell ref="I20:P20"/>
  </x:mergeCells>
  <x:conditionalFormatting sqref="I8:P11">
    <x:cfRule type="containsText" dxfId="22" priority="1" operator="containsText" text="FAIL"/>
    <x:cfRule type="containsText" dxfId="23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3" hidden="0" customWidth="1"/>
    <x:col min="3" max="3" width="22" hidden="0" customWidth="1"/>
    <x:col min="4" max="4" width="20" hidden="0" customWidth="1"/>
    <x:col min="5" max="5" width="26" hidden="0" customWidth="1"/>
    <x:col min="6" max="6" width="52" hidden="0" customWidth="1"/>
  </x:cols>
  <x:sheetData>
    <x:row r="2">
      <x:c r="B2" s="69" t="str">
        <x:v>ATUT-170 architecture competition assumptions</x:v>
      </x:c>
      <x:c r="C2" s="69" t="str">
        <x:v>ATUT-170 architecture competition assumptions</x:v>
      </x:c>
      <x:c r="D2" s="69" t="str">
        <x:v>ATUT-170 architecture competition assumptions</x:v>
      </x:c>
      <x:c r="E2" s="69" t="str">
        <x:v>ATUT-170 architecture competition assumptions</x:v>
      </x:c>
      <x:c r="F2" s="69" t="str">
        <x:v>ATUT-170 architecture competition assumptions</x:v>
      </x:c>
    </x:row>
    <x:row r="3">
      <x:c r="B3" s="71" t="str">
        <x:v>One heavy inland carrier must preserve the terrain path from origin release through public service</x:v>
      </x:c>
      <x:c r="C3" s="71" t="str">
        <x:v>One heavy inland carrier must preserve the terrain path from origin release through public service</x:v>
      </x:c>
      <x:c r="D3" s="71" t="str">
        <x:v>One heavy inland carrier must preserve the terrain path from origin release through public service</x:v>
      </x:c>
      <x:c r="E3" s="71" t="str">
        <x:v>One heavy inland carrier must preserve the terrain path from origin release through public service</x:v>
      </x:c>
      <x:c r="F3" s="71" t="str">
        <x:v>One heavy inland carrier must preserve the terrain path from origin release through public service</x:v>
      </x:c>
    </x:row>
    <x:row r="4">
      <x:c r="B4" s="72"/>
      <x:c r="C4" s="72"/>
      <x:c r="D4" s="72"/>
      <x:c r="E4" s="72"/>
      <x:c r="F4" s="72"/>
    </x:row>
    <x:row r="5">
      <x:c r="B5" s="70"/>
      <x:c r="C5" s="70"/>
      <x:c r="D5" s="70"/>
      <x:c r="E5" s="70"/>
      <x:c r="F5" s="70"/>
    </x:row>
    <x:row r="6">
      <x:c r="B6" s="73" t="str">
        <x:v>Payload, mobility, clock, fleet, cost and evidence controls</x:v>
      </x:c>
      <x:c r="C6" s="74" t="str">
        <x:v>Payload, mobility, clock, fleet, cost and evidence controls</x:v>
      </x:c>
      <x:c r="D6" s="74" t="str">
        <x:v>Payload, mobility, clock, fleet, cost and evidence controls</x:v>
      </x:c>
      <x:c r="E6" s="74" t="str">
        <x:v>Payload, mobility, clock, fleet, cost and evidence controls</x:v>
      </x:c>
      <x:c r="F6" s="75" t="str">
        <x:v>Payload, mobility, clock, fleet, cost and evidence controls</x:v>
      </x:c>
    </x:row>
    <x:row r="7">
      <x:c r="B7" s="29" t="str">
        <x:v>Input</x:v>
      </x:c>
      <x:c r="C7" s="30" t="str">
        <x:v>Value</x:v>
      </x:c>
      <x:c r="D7" s="30" t="str">
        <x:v>Unit</x:v>
      </x:c>
      <x:c r="E7" s="30" t="str">
        <x:v>Origin</x:v>
      </x:c>
      <x:c r="F7" s="30" t="str">
        <x:v>Meaning</x:v>
      </x:c>
    </x:row>
    <x:row r="8">
      <x:c r="B8" s="76" t="str">
        <x:v>Design payload rating</x:v>
      </x:c>
      <x:c r="C8" s="83" t="n">
        <x:v>170</x:v>
      </x:c>
      <x:c r="D8" s="76" t="str">
        <x:v>t</x:v>
      </x:c>
      <x:c r="E8" s="76" t="str">
        <x:v>Pass 82</x:v>
      </x:c>
      <x:c r="F8" s="77" t="str">
        <x:v>carrier payload limit</x:v>
      </x:c>
    </x:row>
    <x:row r="9">
      <x:c r="B9" s="76" t="str">
        <x:v>Assigned mission payload</x:v>
      </x:c>
      <x:c r="C9" s="83" t="n">
        <x:v>158.75</x:v>
      </x:c>
      <x:c r="D9" s="76" t="str">
        <x:v>t</x:v>
      </x:c>
      <x:c r="E9" s="76" t="str">
        <x:v>Pass 82</x:v>
      </x:c>
      <x:c r="F9" s="77" t="str">
        <x:v>one dry block plus one wet pack</x:v>
      </x:c>
    </x:row>
    <x:row r="10">
      <x:c r="B10" s="76" t="str">
        <x:v>Largest assigned cargo cube</x:v>
      </x:c>
      <x:c r="C10" s="83" t="n">
        <x:v>772</x:v>
      </x:c>
      <x:c r="D10" s="76" t="str">
        <x:v>m3</x:v>
      </x:c>
      <x:c r="E10" s="76" t="str">
        <x:v>Pass 82 manifest</x:v>
      </x:c>
      <x:c r="F10" s="77" t="str">
        <x:v>governing ATUT vehicle cube</x:v>
      </x:c>
    </x:row>
    <x:row r="11">
      <x:c r="B11" s="76" t="str">
        <x:v>Largest assigned deck demand</x:v>
      </x:c>
      <x:c r="C11" s="83" t="n">
        <x:v>176</x:v>
      </x:c>
      <x:c r="D11" s="76" t="str">
        <x:v>m2</x:v>
      </x:c>
      <x:c r="E11" s="76" t="str">
        <x:v>Pass 82 manifest</x:v>
      </x:c>
      <x:c r="F11" s="77" t="str">
        <x:v>governing ATUT deck demand</x:v>
      </x:c>
    </x:row>
    <x:row r="12">
      <x:c r="B12" s="76" t="str">
        <x:v>Usable cargo cube</x:v>
      </x:c>
      <x:c r="C12" s="83" t="n">
        <x:v>800</x:v>
      </x:c>
      <x:c r="D12" s="76" t="str">
        <x:v>m3</x:v>
      </x:c>
      <x:c r="E12" s="76" t="str">
        <x:v>Pass 82</x:v>
      </x:c>
      <x:c r="F12" s="77" t="str">
        <x:v>accessible volume</x:v>
      </x:c>
    </x:row>
    <x:row r="13">
      <x:c r="B13" s="76" t="str">
        <x:v>Usable load deck</x:v>
      </x:c>
      <x:c r="C13" s="83" t="n">
        <x:v>184</x:v>
      </x:c>
      <x:c r="D13" s="76" t="str">
        <x:v>m2</x:v>
      </x:c>
      <x:c r="E13" s="76" t="str">
        <x:v>Pass 82</x:v>
      </x:c>
      <x:c r="F13" s="77" t="str">
        <x:v>restraint and unload surface</x:v>
      </x:c>
    </x:row>
    <x:row r="14">
      <x:c r="B14" s="76" t="str">
        <x:v>Damaged-land route</x:v>
      </x:c>
      <x:c r="C14" s="83" t="n">
        <x:v>800</x:v>
      </x:c>
      <x:c r="D14" s="76" t="str">
        <x:v>km</x:v>
      </x:c>
      <x:c r="E14" s="76" t="str">
        <x:v>Pass 78</x:v>
      </x:c>
      <x:c r="F14" s="77" t="str">
        <x:v>one-way terrain path</x:v>
      </x:c>
    </x:row>
    <x:row r="15">
      <x:c r="B15" s="76" t="str">
        <x:v>Degraded hard network</x:v>
      </x:c>
      <x:c r="C15" s="83" t="n">
        <x:v>500</x:v>
      </x:c>
      <x:c r="D15" s="76" t="str">
        <x:v>km</x:v>
      </x:c>
      <x:c r="E15" s="76" t="str">
        <x:v>declared design case</x:v>
      </x:c>
      <x:c r="F15" s="77" t="str">
        <x:v>broken but trafficable pavement</x:v>
      </x:c>
    </x:row>
    <x:row r="16">
      <x:c r="B16" s="76" t="str">
        <x:v>Broken or saturated network</x:v>
      </x:c>
      <x:c r="C16" s="83" t="n">
        <x:v>220</x:v>
      </x:c>
      <x:c r="D16" s="76" t="str">
        <x:v>km</x:v>
      </x:c>
      <x:c r="E16" s="76" t="str">
        <x:v>declared design case</x:v>
      </x:c>
      <x:c r="F16" s="77" t="str">
        <x:v>soft shoulders and failed structures</x:v>
      </x:c>
    </x:row>
    <x:row r="17">
      <x:c r="B17" s="76" t="str">
        <x:v>Off-road and obstacle route</x:v>
      </x:c>
      <x:c r="C17" s="83" t="n">
        <x:v>80</x:v>
      </x:c>
      <x:c r="D17" s="76" t="str">
        <x:v>km</x:v>
      </x:c>
      <x:c r="E17" s="76" t="str">
        <x:v>declared design case</x:v>
      </x:c>
      <x:c r="F17" s="77" t="str">
        <x:v>no reliable road</x:v>
      </x:c>
    </x:row>
    <x:row r="18">
      <x:c r="B18" s="76" t="str">
        <x:v>Origin release and load</x:v>
      </x:c>
      <x:c r="C18" s="83" t="n">
        <x:v>8</x:v>
      </x:c>
      <x:c r="D18" s="76" t="str">
        <x:v>h</x:v>
      </x:c>
      <x:c r="E18" s="76" t="str">
        <x:v>Pass 82</x:v>
      </x:c>
      <x:c r="F18" s="77" t="str">
        <x:v>release through departure</x:v>
      </x:c>
    </x:row>
    <x:row r="19">
      <x:c r="B19" s="76" t="str">
        <x:v>Receiver service build</x:v>
      </x:c>
      <x:c r="C19" s="83" t="n">
        <x:v>8</x:v>
      </x:c>
      <x:c r="D19" s="76" t="str">
        <x:v>h</x:v>
      </x:c>
      <x:c r="E19" s="76" t="str">
        <x:v>Pass 82</x:v>
      </x:c>
      <x:c r="F19" s="77" t="str">
        <x:v>arrival through public service</x:v>
      </x:c>
    </x:row>
    <x:row r="20">
      <x:c r="B20" s="76" t="str">
        <x:v>Relative public-service ceiling</x:v>
      </x:c>
      <x:c r="C20" s="83" t="n">
        <x:v>45</x:v>
      </x:c>
      <x:c r="D20" s="76" t="str">
        <x:v>h</x:v>
      </x:c>
      <x:c r="E20" s="76" t="str">
        <x:v>Pass 82</x:v>
      </x:c>
      <x:c r="F20" s="77" t="str">
        <x:v>from regional activation</x:v>
      </x:c>
    </x:row>
    <x:row r="21">
      <x:c r="B21" s="76" t="str">
        <x:v>Region activation</x:v>
      </x:c>
      <x:c r="C21" s="83" t="n">
        <x:v>6</x:v>
      </x:c>
      <x:c r="D21" s="76" t="str">
        <x:v>h</x:v>
      </x:c>
      <x:c r="E21" s="76" t="str">
        <x:v>Pass 82</x:v>
      </x:c>
      <x:c r="F21" s="77" t="str">
        <x:v>national-to-regional release</x:v>
      </x:c>
    </x:row>
    <x:row r="22">
      <x:c r="B22" s="76" t="str">
        <x:v>Absolute public-service deadline</x:v>
      </x:c>
      <x:c r="C22" s="83" t="n">
        <x:v>54</x:v>
      </x:c>
      <x:c r="D22" s="76" t="str">
        <x:v>h</x:v>
      </x:c>
      <x:c r="E22" s="76" t="str">
        <x:v>Pass 82</x:v>
      </x:c>
      <x:c r="F22" s="77" t="str">
        <x:v>calendar boundary</x:v>
      </x:c>
    </x:row>
    <x:row r="23">
      <x:c r="B23" s="76" t="str">
        <x:v>Maximum saturated-ground pressure</x:v>
      </x:c>
      <x:c r="C23" s="83" t="n">
        <x:v>35</x:v>
      </x:c>
      <x:c r="D23" s="76" t="str">
        <x:v>kPa</x:v>
      </x:c>
      <x:c r="E23" s="76" t="str">
        <x:v>declared terrain case</x:v>
      </x:c>
      <x:c r="F23" s="77" t="str">
        <x:v>protects access over weak soils</x:v>
      </x:c>
    </x:row>
    <x:row r="24">
      <x:c r="B24" s="76" t="str">
        <x:v>Receiver bearing floor</x:v>
      </x:c>
      <x:c r="C24" s="83" t="n">
        <x:v>60</x:v>
      </x:c>
      <x:c r="D24" s="76" t="str">
        <x:v>kPa</x:v>
      </x:c>
      <x:c r="E24" s="76" t="str">
        <x:v>Pass 82</x:v>
      </x:c>
      <x:c r="F24" s="77" t="str">
        <x:v>temporary public-service pad</x:v>
      </x:c>
    </x:row>
    <x:row r="25">
      <x:c r="B25" s="76" t="str">
        <x:v>Maximum route width</x:v>
      </x:c>
      <x:c r="C25" s="83" t="n">
        <x:v>12</x:v>
      </x:c>
      <x:c r="D25" s="76" t="str">
        <x:v>m</x:v>
      </x:c>
      <x:c r="E25" s="76" t="str">
        <x:v>declared terrain case</x:v>
      </x:c>
      <x:c r="F25" s="77" t="str">
        <x:v>field maneuver envelope</x:v>
      </x:c>
    </x:row>
    <x:row r="26">
      <x:c r="B26" s="76" t="str">
        <x:v>Maximum turn radius</x:v>
      </x:c>
      <x:c r="C26" s="83" t="n">
        <x:v>25</x:v>
      </x:c>
      <x:c r="D26" s="76" t="str">
        <x:v>m</x:v>
      </x:c>
      <x:c r="E26" s="76" t="str">
        <x:v>declared terrain case</x:v>
      </x:c>
      <x:c r="F26" s="77" t="str">
        <x:v>broken-network geometry</x:v>
      </x:c>
    </x:row>
    <x:row r="27">
      <x:c r="B27" s="76" t="str">
        <x:v>Required longitudinal grade</x:v>
      </x:c>
      <x:c r="C27" s="84" t="n">
        <x:v>0.2</x:v>
      </x:c>
      <x:c r="D27" s="76" t="str">
        <x:v>fraction</x:v>
      </x:c>
      <x:c r="E27" s="76" t="str">
        <x:v>declared terrain case</x:v>
      </x:c>
      <x:c r="F27" s="77" t="str">
        <x:v>twenty-percent grade</x:v>
      </x:c>
    </x:row>
    <x:row r="28">
      <x:c r="B28" s="76" t="str">
        <x:v>Required side slope</x:v>
      </x:c>
      <x:c r="C28" s="84" t="n">
        <x:v>0.12</x:v>
      </x:c>
      <x:c r="D28" s="76" t="str">
        <x:v>fraction</x:v>
      </x:c>
      <x:c r="E28" s="76" t="str">
        <x:v>declared terrain case</x:v>
      </x:c>
      <x:c r="F28" s="77" t="str">
        <x:v>twelve-percent cross-slope</x:v>
      </x:c>
    </x:row>
    <x:row r="29">
      <x:c r="B29" s="76" t="str">
        <x:v>Required vertical step</x:v>
      </x:c>
      <x:c r="C29" s="84" t="n">
        <x:v>1.5</x:v>
      </x:c>
      <x:c r="D29" s="76" t="str">
        <x:v>m</x:v>
      </x:c>
      <x:c r="E29" s="76" t="str">
        <x:v>declared terrain case</x:v>
      </x:c>
      <x:c r="F29" s="77" t="str">
        <x:v>debris and failed approaches</x:v>
      </x:c>
    </x:row>
    <x:row r="30">
      <x:c r="B30" s="76" t="str">
        <x:v>Required organic gap</x:v>
      </x:c>
      <x:c r="C30" s="84" t="n">
        <x:v>20</x:v>
      </x:c>
      <x:c r="D30" s="76" t="str">
        <x:v>m</x:v>
      </x:c>
      <x:c r="E30" s="76" t="str">
        <x:v>declared terrain case</x:v>
      </x:c>
      <x:c r="F30" s="77" t="str">
        <x:v>small bridge loss</x:v>
      </x:c>
    </x:row>
    <x:row r="31">
      <x:c r="B31" s="76" t="str">
        <x:v>Required water depth</x:v>
      </x:c>
      <x:c r="C31" s="83" t="n">
        <x:v>2</x:v>
      </x:c>
      <x:c r="D31" s="76" t="str">
        <x:v>m</x:v>
      </x:c>
      <x:c r="E31" s="76" t="str">
        <x:v>declared terrain case</x:v>
      </x:c>
      <x:c r="F31" s="77" t="str">
        <x:v>flooded approach</x:v>
      </x:c>
    </x:row>
    <x:row r="32">
      <x:c r="B32" s="76" t="str">
        <x:v>Maximum unload</x:v>
      </x:c>
      <x:c r="C32" s="83" t="n">
        <x:v>4</x:v>
      </x:c>
      <x:c r="D32" s="76" t="str">
        <x:v>h</x:v>
      </x:c>
      <x:c r="E32" s="76" t="str">
        <x:v>Pass 82</x:v>
      </x:c>
      <x:c r="F32" s="77" t="str">
        <x:v>cargo available at receiver</x:v>
      </x:c>
    </x:row>
    <x:row r="33">
      <x:c r="B33" s="76" t="str">
        <x:v>Minimum payload mass reserve</x:v>
      </x:c>
      <x:c r="C33" s="84" t="n">
        <x:v>0.05</x:v>
      </x:c>
      <x:c r="D33" s="76" t="str">
        <x:v>fraction</x:v>
      </x:c>
      <x:c r="E33" s="76" t="str">
        <x:v>design discipline</x:v>
      </x:c>
      <x:c r="F33" s="77" t="str">
        <x:v>rating above assigned mass</x:v>
      </x:c>
    </x:row>
    <x:row r="34">
      <x:c r="B34" s="76" t="str">
        <x:v>Minimum cube and deck reserve</x:v>
      </x:c>
      <x:c r="C34" s="84" t="n">
        <x:v>0.03</x:v>
      </x:c>
      <x:c r="D34" s="76" t="str">
        <x:v>fraction</x:v>
      </x:c>
      <x:c r="E34" s="76" t="str">
        <x:v>design discipline</x:v>
      </x:c>
      <x:c r="F34" s="77" t="str">
        <x:v>accessible working margin</x:v>
      </x:c>
    </x:row>
    <x:row r="35">
      <x:c r="B35" s="76" t="str">
        <x:v>Minimum tractive reserve</x:v>
      </x:c>
      <x:c r="C35" s="84" t="n">
        <x:v>0.2</x:v>
      </x:c>
      <x:c r="D35" s="76" t="str">
        <x:v>fraction</x:v>
      </x:c>
      <x:c r="E35" s="76" t="str">
        <x:v>design discipline</x:v>
      </x:c>
      <x:c r="F35" s="77" t="str">
        <x:v>available versus governing demand</x:v>
      </x:c>
    </x:row>
    <x:row r="36">
      <x:c r="B36" s="76" t="str">
        <x:v>Minimum mission-energy reserve</x:v>
      </x:c>
      <x:c r="C36" s="84" t="n">
        <x:v>0.15</x:v>
      </x:c>
      <x:c r="D36" s="76" t="str">
        <x:v>fraction</x:v>
      </x:c>
      <x:c r="E36" s="76" t="str">
        <x:v>design discipline</x:v>
      </x:c>
      <x:c r="F36" s="77" t="str">
        <x:v>route and diversion reserve</x:v>
      </x:c>
    </x:row>
    <x:row r="37">
      <x:c r="B37" s="76" t="str">
        <x:v>Driveline efficiency</x:v>
      </x:c>
      <x:c r="C37" s="83" t="n">
        <x:v>0.82</x:v>
      </x:c>
      <x:c r="D37" s="76" t="str">
        <x:v>fraction</x:v>
      </x:c>
      <x:c r="E37" s="76" t="str">
        <x:v>declared physics</x:v>
      </x:c>
      <x:c r="F37" s="77" t="str">
        <x:v>tractive power conversion</x:v>
      </x:c>
    </x:row>
    <x:row r="38">
      <x:c r="B38" s="76" t="str">
        <x:v>Hotel and mission power</x:v>
      </x:c>
      <x:c r="C38" s="83" t="n">
        <x:v>2.5</x:v>
      </x:c>
      <x:c r="D38" s="76" t="str">
        <x:v>MW</x:v>
      </x:c>
      <x:c r="E38" s="76" t="str">
        <x:v>declared architecture</x:v>
      </x:c>
      <x:c r="F38" s="77" t="str">
        <x:v>control, pumps and payload services</x:v>
      </x:c>
    </x:row>
    <x:row r="39">
      <x:c r="B39" s="76" t="str">
        <x:v>Minimum recovery pull ratio</x:v>
      </x:c>
      <x:c r="C39" s="83" t="n">
        <x:v>1.2</x:v>
      </x:c>
      <x:c r="D39" s="76" t="str">
        <x:v>ratio</x:v>
      </x:c>
      <x:c r="E39" s="76" t="str">
        <x:v>design discipline</x:v>
      </x:c>
      <x:c r="F39" s="77" t="str">
        <x:v>self and cooperative recovery</x:v>
      </x:c>
    </x:row>
    <x:row r="40">
      <x:c r="B40" s="76" t="str">
        <x:v>Assigned hard-access groups</x:v>
      </x:c>
      <x:c r="C40" s="83" t="n">
        <x:v>22</x:v>
      </x:c>
      <x:c r="D40" s="76" t="str">
        <x:v>groups</x:v>
      </x:c>
      <x:c r="E40" s="76" t="str">
        <x:v>Pass 82</x:v>
      </x:c>
      <x:c r="F40" s="77" t="str">
        <x:v>national mission assignment</x:v>
      </x:c>
    </x:row>
    <x:row r="41">
      <x:c r="B41" s="76" t="str">
        <x:v>Concurrency factor</x:v>
      </x:c>
      <x:c r="C41" s="83" t="n">
        <x:v>1.5</x:v>
      </x:c>
      <x:c r="D41" s="76" t="str">
        <x:v>factor</x:v>
      </x:c>
      <x:c r="E41" s="76" t="str">
        <x:v>Pass 82</x:v>
      </x:c>
      <x:c r="F41" s="77" t="str">
        <x:v>overlapping campaigns</x:v>
      </x:c>
    </x:row>
    <x:row r="42">
      <x:c r="B42" s="76" t="str">
        <x:v>Readiness factor</x:v>
      </x:c>
      <x:c r="C42" s="83" t="n">
        <x:v>1.3</x:v>
      </x:c>
      <x:c r="D42" s="76" t="str">
        <x:v>factor</x:v>
      </x:c>
      <x:c r="E42" s="76" t="str">
        <x:v>Pass 82</x:v>
      </x:c>
      <x:c r="F42" s="77" t="str">
        <x:v>training, overhaul and attrition</x:v>
      </x:c>
    </x:row>
    <x:row r="43">
      <x:c r="B43" s="76" t="str">
        <x:v>Ready packages</x:v>
      </x:c>
      <x:c r="C43" s="85" t="n">
        <x:f>CEILING(C40*C41*C42,1)</x:f>
        <x:v>43</x:v>
      </x:c>
      <x:c r="D43" s="76" t="str">
        <x:v>packages</x:v>
      </x:c>
      <x:c r="E43" s="76" t="str">
        <x:v>calculated</x:v>
      </x:c>
      <x:c r="F43" s="77" t="str">
        <x:v>ceiling of assigned demand</x:v>
      </x:c>
    </x:row>
    <x:row r="44">
      <x:c r="B44" s="76" t="str">
        <x:v>ATUT vehicles per package</x:v>
      </x:c>
      <x:c r="C44" s="83" t="n">
        <x:v>4</x:v>
      </x:c>
      <x:c r="D44" s="76" t="str">
        <x:v>vehicles</x:v>
      </x:c>
      <x:c r="E44" s="76" t="str">
        <x:v>Pass 82</x:v>
      </x:c>
      <x:c r="F44" s="77" t="str">
        <x:v>one terrain cell</x:v>
      </x:c>
    </x:row>
    <x:row r="45">
      <x:c r="B45" s="76" t="str">
        <x:v>Operational ATUT vehicles</x:v>
      </x:c>
      <x:c r="C45" s="85" t="n">
        <x:f>C43*C44</x:f>
        <x:v>172</x:v>
      </x:c>
      <x:c r="D45" s="76" t="str">
        <x:v>vehicles</x:v>
      </x:c>
      <x:c r="E45" s="76" t="str">
        <x:v>calculated</x:v>
      </x:c>
      <x:c r="F45" s="77" t="str">
        <x:v>ready packages times four</x:v>
      </x:c>
    </x:row>
    <x:row r="46">
      <x:c r="B46" s="76" t="str">
        <x:v>Reserve vehicle fraction</x:v>
      </x:c>
      <x:c r="C46" s="84" t="n">
        <x:v>0.2</x:v>
      </x:c>
      <x:c r="D46" s="76" t="str">
        <x:v>fraction</x:v>
      </x:c>
      <x:c r="E46" s="76" t="str">
        <x:v>declared program</x:v>
      </x:c>
      <x:c r="F46" s="77" t="str">
        <x:v>attrition and overhaul pool</x:v>
      </x:c>
    </x:row>
    <x:row r="47">
      <x:c r="B47" s="76" t="str">
        <x:v>Reserve ATUT vehicles</x:v>
      </x:c>
      <x:c r="C47" s="85" t="n">
        <x:f>CEILING(C45*C46,1)</x:f>
        <x:v>35</x:v>
      </x:c>
      <x:c r="D47" s="76" t="str">
        <x:v>vehicles</x:v>
      </x:c>
      <x:c r="E47" s="76" t="str">
        <x:v>calculated</x:v>
      </x:c>
      <x:c r="F47" s="77" t="str">
        <x:v>ceiling of operational pool</x:v>
      </x:c>
    </x:row>
    <x:row r="48">
      <x:c r="B48" s="76" t="str">
        <x:v>Development and test articles</x:v>
      </x:c>
      <x:c r="C48" s="83" t="n">
        <x:v>12</x:v>
      </x:c>
      <x:c r="D48" s="76" t="str">
        <x:v>vehicles</x:v>
      </x:c>
      <x:c r="E48" s="76" t="str">
        <x:v>declared program</x:v>
      </x:c>
      <x:c r="F48" s="77" t="str">
        <x:v>instrumented non-operational fleet</x:v>
      </x:c>
    </x:row>
    <x:row r="49">
      <x:c r="B49" s="76" t="str">
        <x:v>Total production articles</x:v>
      </x:c>
      <x:c r="C49" s="85" t="n">
        <x:f>C45+C47+C48</x:f>
        <x:v>219</x:v>
      </x:c>
      <x:c r="D49" s="76" t="str">
        <x:v>vehicles</x:v>
      </x:c>
      <x:c r="E49" s="76" t="str">
        <x:v>calculated</x:v>
      </x:c>
      <x:c r="F49" s="77" t="str">
        <x:v>operational plus reserve plus test</x:v>
      </x:c>
    </x:row>
    <x:row r="50">
      <x:c r="B50" s="76" t="str">
        <x:v>Operations factor</x:v>
      </x:c>
      <x:c r="C50" s="83" t="n">
        <x:v>15.81</x:v>
      </x:c>
      <x:c r="D50" s="76" t="str">
        <x:v>years</x:v>
      </x:c>
      <x:c r="E50" s="76" t="str">
        <x:v>Pass 82</x:v>
      </x:c>
      <x:c r="F50" s="77" t="str">
        <x:v>twenty-five-year ramp weighted</x:v>
      </x:c>
    </x:row>
    <x:row r="51">
      <x:c r="B51" s="76" t="str">
        <x:v>Pass 83 DCP-2 program</x:v>
      </x:c>
      <x:c r="C51" s="86" t="n">
        <x:v>1517.23385</x:v>
      </x:c>
      <x:c r="D51" s="76" t="str">
        <x:v>$B</x:v>
      </x:c>
      <x:c r="E51" s="76" t="str">
        <x:v>Pass 83</x:v>
      </x:c>
      <x:c r="F51" s="77" t="str">
        <x:v>pre-ATUT-architecture comparator</x:v>
      </x:c>
    </x:row>
    <x:row r="52">
      <x:c r="B52" s="76" t="str">
        <x:v>Pass 83 generic ATUT account</x:v>
      </x:c>
      <x:c r="C52" s="86" t="n">
        <x:v>290.25</x:v>
      </x:c>
      <x:c r="D52" s="76" t="str">
        <x:v>$B</x:v>
      </x:c>
      <x:c r="E52" s="76" t="str">
        <x:v>Pass 83</x:v>
      </x:c>
      <x:c r="F52" s="77" t="str">
        <x:v>6.75B per ready set</x:v>
      </x:c>
    </x:row>
    <x:row r="53">
      <x:c r="B53" s="76" t="str">
        <x:v>Pass 83 national boundary</x:v>
      </x:c>
      <x:c r="C53" s="86" t="n">
        <x:v>8900.3754</x:v>
      </x:c>
      <x:c r="D53" s="76" t="str">
        <x:v>$B</x:v>
      </x:c>
      <x:c r="E53" s="76" t="str">
        <x:v>Pass 83</x:v>
      </x:c>
      <x:c r="F53" s="77" t="str">
        <x:v>dynamic base plus DCP-2</x:v>
      </x:c>
    </x:row>
    <x:row r="54">
      <x:c r="B54" s="76" t="str">
        <x:v>F1-C1 national boundary at 43</x:v>
      </x:c>
      <x:c r="C54" s="86" t="n">
        <x:v>7383.14155</x:v>
      </x:c>
      <x:c r="D54" s="76" t="str">
        <x:v>$B</x:v>
      </x:c>
      <x:c r="E54" s="76" t="str">
        <x:v>Pass 83</x:v>
      </x:c>
      <x:c r="F54" s="77" t="str">
        <x:v>one-region force before reinforcement</x:v>
      </x:c>
    </x:row>
    <x:row r="55">
      <x:c r="B55" s="76" t="str">
        <x:v>F1-C1 cost per extra ready group</x:v>
      </x:c>
      <x:c r="C55" s="86" t="n">
        <x:v>19.8472</x:v>
      </x:c>
      <x:c r="D55" s="76" t="str">
        <x:v>$B/group</x:v>
      </x:c>
      <x:c r="E55" s="76" t="str">
        <x:v>Pass 83</x:v>
      </x:c>
      <x:c r="F55" s="77" t="str">
        <x:v>dynamic one-region base</x:v>
      </x:c>
    </x:row>
    <x:row r="56">
      <x:c r="B56" s="76" t="str">
        <x:v>Pass 83 DCP per extra ready group</x:v>
      </x:c>
      <x:c r="C56" s="86" t="n">
        <x:v>13.94465</x:v>
      </x:c>
      <x:c r="D56" s="76" t="str">
        <x:v>$B/group</x:v>
      </x:c>
      <x:c r="E56" s="76" t="str">
        <x:v>Pass 83</x:v>
      </x:c>
      <x:c r="F56" s="77" t="str">
        <x:v>dynamic DCP comparator</x:v>
      </x:c>
    </x:row>
    <x:row r="57">
      <x:c r="B57" s="76" t="str">
        <x:v>Dynamic F1-C1 national boundary</x:v>
      </x:c>
      <x:c r="C57" s="87" t="n">
        <x:f>C54+(C43-43)*C55</x:f>
        <x:v>7383.14155</x:v>
      </x:c>
      <x:c r="D57" s="76" t="str">
        <x:v>$B</x:v>
      </x:c>
      <x:c r="E57" s="76" t="str">
        <x:v>calculated</x:v>
      </x:c>
      <x:c r="F57" s="77" t="str">
        <x:v>responds to group input</x:v>
      </x:c>
    </x:row>
    <x:row r="58">
      <x:c r="B58" s="76" t="str">
        <x:v>Dynamic Pass 83 DCP-2</x:v>
      </x:c>
      <x:c r="C58" s="87" t="n">
        <x:f>C51+(C43-43)*C56</x:f>
        <x:v>1517.23385</x:v>
      </x:c>
      <x:c r="D58" s="76" t="str">
        <x:v>$B</x:v>
      </x:c>
      <x:c r="E58" s="76" t="str">
        <x:v>calculated</x:v>
      </x:c>
      <x:c r="F58" s="77" t="str">
        <x:v>responds to group input</x:v>
      </x:c>
    </x:row>
    <x:row r="59">
      <x:c r="B59" s="76" t="str">
        <x:v>Pass 83 deployed workforce</x:v>
      </x:c>
      <x:c r="C59" s="83" t="n">
        <x:v>528</x:v>
      </x:c>
      <x:c r="D59" s="76" t="str">
        <x:v>people</x:v>
      </x:c>
      <x:c r="E59" s="76" t="str">
        <x:v>Pass 83</x:v>
      </x:c>
      <x:c r="F59" s="77" t="str">
        <x:v>before ATUT additions</x:v>
      </x:c>
    </x:row>
    <x:row r="60">
      <x:c r="B60" s="76" t="str">
        <x:v>Pass 83 affiliated workforce</x:v>
      </x:c>
      <x:c r="C60" s="83" t="n">
        <x:v>1157</x:v>
      </x:c>
      <x:c r="D60" s="76" t="str">
        <x:v>positions</x:v>
      </x:c>
      <x:c r="E60" s="76" t="str">
        <x:v>Pass 83</x:v>
      </x:c>
      <x:c r="F60" s="77" t="str">
        <x:v>before ATUT additions</x:v>
      </x:c>
    </x:row>
    <x:row r="61">
      <x:c r="B61" s="76" t="str">
        <x:v>Pass 83 minimum watch</x:v>
      </x:c>
      <x:c r="C61" s="83" t="n">
        <x:v>174</x:v>
      </x:c>
      <x:c r="D61" s="76" t="str">
        <x:v>people</x:v>
      </x:c>
      <x:c r="E61" s="76" t="str">
        <x:v>Pass 83</x:v>
      </x:c>
      <x:c r="F61" s="77" t="str">
        <x:v>before ATUT additions</x:v>
      </x:c>
    </x:row>
    <x:row r="62">
      <x:c r="B62" s="76" t="str">
        <x:v>ATUT reset ceiling</x:v>
      </x:c>
      <x:c r="C62" s="83" t="n">
        <x:v>168</x:v>
      </x:c>
      <x:c r="D62" s="76" t="str">
        <x:v>h</x:v>
      </x:c>
      <x:c r="E62" s="76" t="str">
        <x:v>Pass 82</x:v>
      </x:c>
      <x:c r="F62" s="77" t="str">
        <x:v>returned to certified load</x:v>
      </x:c>
    </x:row>
    <x:row r="63">
      <x:c r="B63" s="78" t="str">
        <x:v>Rendering authorization</x:v>
      </x:c>
      <x:c r="C63" s="88" t="n">
        <x:v>0</x:v>
      </x:c>
      <x:c r="D63" s="78" t="str">
        <x:v>binary</x:v>
      </x:c>
      <x:c r="E63" s="78" t="str">
        <x:v>governance</x:v>
      </x:c>
      <x:c r="F63" s="79" t="str">
        <x:v>blocked pending evidence</x:v>
      </x:c>
    </x:row>
    <x:row r="64">
      <x:c r="B64" s="70"/>
      <x:c r="C64" s="70"/>
      <x:c r="D64" s="70"/>
      <x:c r="E64" s="70"/>
      <x:c r="F64" s="70"/>
    </x:row>
    <x:row r="65">
      <x:c r="B65" s="70"/>
      <x:c r="C65" s="70"/>
      <x:c r="D65" s="70"/>
      <x:c r="E65" s="70"/>
      <x:c r="F65" s="70"/>
    </x:row>
    <x:row r="66">
      <x:c r="B66" s="70"/>
      <x:c r="C66" s="70"/>
      <x:c r="D66" s="70"/>
      <x:c r="E66" s="70"/>
      <x:c r="F66" s="70"/>
    </x:row>
    <x:row r="67">
      <x:c r="B67" s="70"/>
      <x:c r="C67" s="70"/>
      <x:c r="D67" s="70"/>
      <x:c r="E67" s="70"/>
      <x:c r="F67" s="70"/>
    </x:row>
    <x:row r="68">
      <x:c r="B68" s="70"/>
      <x:c r="C68" s="70"/>
      <x:c r="D68" s="70"/>
      <x:c r="E68" s="70"/>
      <x:c r="F68" s="70"/>
    </x:row>
    <x:row r="69">
      <x:c r="B69" s="70"/>
      <x:c r="C69" s="70"/>
      <x:c r="D69" s="70"/>
      <x:c r="E69" s="70"/>
      <x:c r="F69" s="70"/>
    </x:row>
    <x:row r="70">
      <x:c r="B70" s="70"/>
      <x:c r="C70" s="70"/>
      <x:c r="D70" s="70"/>
      <x:c r="E70" s="70"/>
      <x:c r="F70" s="70"/>
    </x:row>
  </x:sheetData>
  <x:mergeCells>
    <x:mergeCell ref="B2:F2"/>
    <x:mergeCell ref="B3:F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9" hidden="0" customWidth="1"/>
    <x:col min="3" max="3" width="37" hidden="0" customWidth="1"/>
    <x:col min="4" max="4" width="47" hidden="0" customWidth="1"/>
    <x:col min="5" max="5" width="3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8" hidden="0" customWidth="1"/>
    <x:col min="11" max="11" width="14" hidden="0" customWidth="1"/>
    <x:col min="12" max="12" width="17" hidden="0" customWidth="1"/>
    <x:col min="13" max="13" width="15" hidden="0" customWidth="1"/>
    <x:col min="14" max="14" width="15" hidden="0" customWidth="1"/>
    <x:col min="15" max="15" width="19" hidden="0" customWidth="1"/>
    <x:col min="16" max="16" width="18" hidden="0" customWidth="1"/>
    <x:col min="17" max="17" width="17" hidden="0" customWidth="1"/>
    <x:col min="18" max="18" width="17" hidden="0" customWidth="1"/>
    <x:col min="19" max="19" width="15" hidden="0" customWidth="1"/>
    <x:col min="20" max="20" width="17" hidden="0" customWidth="1"/>
    <x:col min="21" max="21" width="17" hidden="0" customWidth="1"/>
    <x:col min="22" max="22" width="15" hidden="0" customWidth="1"/>
    <x:col min="23" max="23" width="18" hidden="0" customWidth="1"/>
    <x:col min="24" max="24" width="13" hidden="0" customWidth="1"/>
    <x:col min="25" max="25" width="17" hidden="0" customWidth="1"/>
    <x:col min="26" max="26" width="13" hidden="0" customWidth="1"/>
    <x:col min="27" max="27" width="13" hidden="0" customWidth="1"/>
    <x:col min="28" max="28" width="13" hidden="0" customWidth="1"/>
    <x:col min="29" max="29" width="17" hidden="0" customWidth="1"/>
    <x:col min="30" max="30" width="18" hidden="0" customWidth="1"/>
    <x:col min="31" max="31" width="19" hidden="0" customWidth="1"/>
    <x:col min="32" max="32" width="19" hidden="0" customWidth="1"/>
    <x:col min="33" max="33" width="16" hidden="0" customWidth="1"/>
    <x:col min="34" max="34" width="22" hidden="0" customWidth="1"/>
    <x:col min="35" max="35" width="22" hidden="0" customWidth="1"/>
    <x:col min="36" max="36" width="20" hidden="0" customWidth="1"/>
    <x:col min="37" max="37" width="18" hidden="0" customWidth="1"/>
    <x:col min="38" max="38" width="15" hidden="0" customWidth="1"/>
    <x:col min="39" max="39" width="19" hidden="0" customWidth="1"/>
    <x:col min="40" max="40" width="18" hidden="0" customWidth="1"/>
    <x:col min="41" max="41" width="21" hidden="0" customWidth="1"/>
    <x:col min="42" max="42" width="22" hidden="0" customWidth="1"/>
    <x:col min="43" max="43" width="22" hidden="0" customWidth="1"/>
    <x:col min="44" max="44" width="15" hidden="0" customWidth="1"/>
    <x:col min="45" max="45" width="19" hidden="0" customWidth="1"/>
    <x:col min="46" max="46" width="21" hidden="0" customWidth="1"/>
  </x:cols>
  <x:sheetData>
    <x:row r="2">
      <x:c r="B2" s="69" t="str">
        <x:v>ATUT-170 physical architecture declarations</x:v>
      </x:c>
      <x:c r="C2" s="69" t="str">
        <x:v>ATUT-170 physical architecture declarations</x:v>
      </x:c>
      <x:c r="D2" s="69" t="str">
        <x:v>ATUT-170 physical architecture declarations</x:v>
      </x:c>
      <x:c r="E2" s="69" t="str">
        <x:v>ATUT-170 physical architecture declarations</x:v>
      </x:c>
      <x:c r="F2" s="69" t="str">
        <x:v>ATUT-170 physical architecture declarations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  <x:c r="Y2" s="70"/>
      <x:c r="Z2" s="70"/>
      <x:c r="AA2" s="70"/>
      <x:c r="AB2" s="70"/>
      <x:c r="AC2" s="70"/>
      <x:c r="AD2" s="70"/>
      <x:c r="AE2" s="70"/>
      <x:c r="AF2" s="70"/>
      <x:c r="AG2" s="70"/>
      <x:c r="AH2" s="70"/>
      <x:c r="AI2" s="70"/>
      <x:c r="AJ2" s="70"/>
      <x:c r="AK2" s="70"/>
      <x:c r="AL2" s="70"/>
      <x:c r="AM2" s="70"/>
      <x:c r="AN2" s="70"/>
      <x:c r="AO2" s="70"/>
      <x:c r="AP2" s="70"/>
      <x:c r="AQ2" s="70"/>
      <x:c r="AR2" s="70"/>
      <x:c r="AS2" s="70"/>
      <x:c r="AT2" s="70"/>
    </x:row>
    <x:row r="3">
      <x:c r="B3" s="71" t="str">
        <x:v>Four clean-sheet mobility logics carry identical payload and route obligations</x:v>
      </x:c>
      <x:c r="C3" s="71" t="str">
        <x:v>Four clean-sheet mobility logics carry identical payload and route obligations</x:v>
      </x:c>
      <x:c r="D3" s="71" t="str">
        <x:v>Four clean-sheet mobility logics carry identical payload and route obligations</x:v>
      </x:c>
      <x:c r="E3" s="71" t="str">
        <x:v>Four clean-sheet mobility logics carry identical payload and route obligations</x:v>
      </x:c>
      <x:c r="F3" s="71" t="str">
        <x:v>Four clean-sheet mobility logics carry identical payload and route obligations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  <x:c r="S3" s="70"/>
      <x:c r="T3" s="70"/>
      <x:c r="U3" s="70"/>
      <x:c r="V3" s="70"/>
      <x:c r="W3" s="70"/>
      <x:c r="X3" s="70"/>
      <x:c r="Y3" s="70"/>
      <x:c r="Z3" s="70"/>
      <x:c r="AA3" s="70"/>
      <x:c r="AB3" s="70"/>
      <x:c r="AC3" s="70"/>
      <x:c r="AD3" s="70"/>
      <x:c r="AE3" s="70"/>
      <x:c r="AF3" s="70"/>
      <x:c r="AG3" s="70"/>
      <x:c r="AH3" s="70"/>
      <x:c r="AI3" s="70"/>
      <x:c r="AJ3" s="70"/>
      <x:c r="AK3" s="70"/>
      <x:c r="AL3" s="70"/>
      <x:c r="AM3" s="70"/>
      <x:c r="AN3" s="70"/>
      <x:c r="AO3" s="70"/>
      <x:c r="AP3" s="70"/>
      <x:c r="AQ3" s="70"/>
      <x:c r="AR3" s="70"/>
      <x:c r="AS3" s="70"/>
      <x:c r="AT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  <x:c r="AA4" s="72"/>
      <x:c r="AB4" s="72"/>
      <x:c r="AC4" s="72"/>
      <x:c r="AD4" s="72"/>
      <x:c r="AE4" s="72"/>
      <x:c r="AF4" s="72"/>
      <x:c r="AG4" s="72"/>
      <x:c r="AH4" s="72"/>
      <x:c r="AI4" s="72"/>
      <x:c r="AJ4" s="72"/>
      <x:c r="AK4" s="72"/>
      <x:c r="AL4" s="72"/>
      <x:c r="AM4" s="72"/>
      <x:c r="AN4" s="72"/>
      <x:c r="AO4" s="72"/>
      <x:c r="AP4" s="72"/>
      <x:c r="AQ4" s="72"/>
      <x:c r="AR4" s="72"/>
      <x:c r="AS4" s="72"/>
      <x:c r="AT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  <x:c r="R5" s="70"/>
      <x:c r="S5" s="70"/>
      <x:c r="T5" s="70"/>
      <x:c r="U5" s="70"/>
      <x:c r="V5" s="70"/>
      <x:c r="W5" s="70"/>
      <x:c r="X5" s="70"/>
      <x:c r="Y5" s="70"/>
      <x:c r="Z5" s="70"/>
      <x:c r="AA5" s="70"/>
      <x:c r="AB5" s="70"/>
      <x:c r="AC5" s="70"/>
      <x:c r="AD5" s="70"/>
      <x:c r="AE5" s="70"/>
      <x:c r="AF5" s="70"/>
      <x:c r="AG5" s="70"/>
      <x:c r="AH5" s="70"/>
      <x:c r="AI5" s="70"/>
      <x:c r="AJ5" s="70"/>
      <x:c r="AK5" s="70"/>
      <x:c r="AL5" s="70"/>
      <x:c r="AM5" s="70"/>
      <x:c r="AN5" s="70"/>
      <x:c r="AO5" s="70"/>
      <x:c r="AP5" s="70"/>
      <x:c r="AQ5" s="70"/>
      <x:c r="AR5" s="70"/>
      <x:c r="AS5" s="70"/>
      <x:c r="AT5" s="70"/>
    </x:row>
    <x:row r="6">
      <x:c r="B6" s="29" t="str">
        <x:v>ID</x:v>
      </x:c>
      <x:c r="C6" s="30" t="str">
        <x:v>Architecture</x:v>
      </x:c>
      <x:c r="D6" s="30" t="str">
        <x:v>Mobility logic</x:v>
      </x:c>
      <x:c r="E6" s="30" t="str">
        <x:v>Route support</x:v>
      </x:c>
      <x:c r="F6" s="30" t="str">
        <x:v>Structure t</x:v>
      </x:c>
      <x:c r="G6" s="30" t="str">
        <x:v>Propulsion t</x:v>
      </x:c>
      <x:c r="H6" s="30" t="str">
        <x:v>Energy t</x:v>
      </x:c>
      <x:c r="I6" s="30" t="str">
        <x:v>Mobility t</x:v>
      </x:c>
      <x:c r="J6" s="30" t="str">
        <x:v>Payload handling t</x:v>
      </x:c>
      <x:c r="K6" s="30" t="str">
        <x:v>Route kit t</x:v>
      </x:c>
      <x:c r="L6" s="30" t="str">
        <x:v>Control and crew t</x:v>
      </x:c>
      <x:c r="M6" s="30" t="str">
        <x:v>Deck length m</x:v>
      </x:c>
      <x:c r="N6" s="30" t="str">
        <x:v>Deck width m</x:v>
      </x:c>
      <x:c r="O6" s="30" t="str">
        <x:v>Cargo clearance m</x:v>
      </x:c>
      <x:c r="P6" s="30" t="str">
        <x:v>Overall length m</x:v>
      </x:c>
      <x:c r="Q6" s="30" t="str">
        <x:v>Overall width m</x:v>
      </x:c>
      <x:c r="R6" s="30" t="str">
        <x:v>Overall height m</x:v>
      </x:c>
      <x:c r="S6" s="30" t="str">
        <x:v>Tare CG m</x:v>
      </x:c>
      <x:c r="T6" s="30" t="str">
        <x:v>Contact area m2</x:v>
      </x:c>
      <x:c r="U6" s="30" t="str">
        <x:v>Traction coefficient</x:v>
      </x:c>
      <x:c r="V6" s="30" t="str">
        <x:v>Driven fraction</x:v>
      </x:c>
      <x:c r="W6" s="30" t="str">
        <x:v>Soft rolling coefficient</x:v>
      </x:c>
      <x:c r="X6" s="30" t="str">
        <x:v>Grade cap</x:v>
      </x:c>
      <x:c r="Y6" s="30" t="str">
        <x:v>Side-slope cap</x:v>
      </x:c>
      <x:c r="Z6" s="30" t="str">
        <x:v>Step m</x:v>
      </x:c>
      <x:c r="AA6" s="30" t="str">
        <x:v>Gap m</x:v>
      </x:c>
      <x:c r="AB6" s="30" t="str">
        <x:v>Water m</x:v>
      </x:c>
      <x:c r="AC6" s="30" t="str">
        <x:v>Turn radius m</x:v>
      </x:c>
      <x:c r="AD6" s="30" t="str">
        <x:v>Hard speed km/h</x:v>
      </x:c>
      <x:c r="AE6" s="30" t="str">
        <x:v>Broken speed km/h</x:v>
      </x:c>
      <x:c r="AF6" s="30" t="str">
        <x:v>Off-road speed km/h</x:v>
      </x:c>
      <x:c r="AG6" s="30" t="str">
        <x:v>Route work h</x:v>
      </x:c>
      <x:c r="AH6" s="30" t="str">
        <x:v>Specific energy kWh/t-km</x:v>
      </x:c>
      <x:c r="AI6" s="30" t="str">
        <x:v>Route-work energy MWh</x:v>
      </x:c>
      <x:c r="AJ6" s="30" t="str">
        <x:v>Onboard energy MWh</x:v>
      </x:c>
      <x:c r="AK6" s="30" t="str">
        <x:v>Installed power MW</x:v>
      </x:c>
      <x:c r="AL6" s="30" t="str">
        <x:v>Drive modules</x:v>
      </x:c>
      <x:c r="AM6" s="30" t="str">
        <x:v>Recovery pull ratio</x:v>
      </x:c>
      <x:c r="AN6" s="30" t="str">
        <x:v>Base footprint km2</x:v>
      </x:c>
      <x:c r="AO6" s="30" t="str">
        <x:v>Acquisition $B/vehicle</x:v>
      </x:c>
      <x:c r="AP6" s="30" t="str">
        <x:v>Lifecycle $B/ready set</x:v>
      </x:c>
      <x:c r="AQ6" s="30" t="str">
        <x:v>Architecture R&amp;D $B</x:v>
      </x:c>
      <x:c r="AR6" s="30" t="str">
        <x:v>Tooling $B</x:v>
      </x:c>
      <x:c r="AS6" s="30" t="str">
        <x:v>Base cap $B/package</x:v>
      </x:c>
      <x:c r="AT6" s="30" t="str">
        <x:v>Base ops $B/set-year</x:v>
      </x:c>
    </x:row>
    <x:row r="7">
      <x:c r="B7" s="76" t="str">
        <x:v>T1</x:v>
      </x:c>
      <x:c r="C7" s="76" t="str">
        <x:v>DTC-170 distributed tracked carrier</x:v>
      </x:c>
      <x:c r="D7" s="76" t="str">
        <x:v>two long articulated track hulls</x:v>
      </x:c>
      <x:c r="E7" s="76" t="str">
        <x:v>winch, short bridge and survey UAS</x:v>
      </x:c>
      <x:c r="F7" s="76" t="n">
        <x:v>75</x:v>
      </x:c>
      <x:c r="G7" s="76" t="n">
        <x:v>40</x:v>
      </x:c>
      <x:c r="H7" s="76" t="n">
        <x:v>55</x:v>
      </x:c>
      <x:c r="I7" s="76" t="n">
        <x:v>80</x:v>
      </x:c>
      <x:c r="J7" s="76" t="n">
        <x:v>25</x:v>
      </x:c>
      <x:c r="K7" s="76" t="n">
        <x:v>25</x:v>
      </x:c>
      <x:c r="L7" s="76" t="n">
        <x:v>15</x:v>
      </x:c>
      <x:c r="M7" s="76" t="n">
        <x:v>23</x:v>
      </x:c>
      <x:c r="N7" s="76" t="n">
        <x:v>8</x:v>
      </x:c>
      <x:c r="O7" s="76" t="n">
        <x:v>5.5</x:v>
      </x:c>
      <x:c r="P7" s="76" t="n">
        <x:v>36</x:v>
      </x:c>
      <x:c r="Q7" s="76" t="n">
        <x:v>8.2</x:v>
      </x:c>
      <x:c r="R7" s="76" t="n">
        <x:v>8.5</x:v>
      </x:c>
      <x:c r="S7" s="76" t="n">
        <x:v>2.2</x:v>
      </x:c>
      <x:c r="T7" s="81" t="n">
        <x:v>110</x:v>
      </x:c>
      <x:c r="U7" s="81" t="n">
        <x:v>0.65</x:v>
      </x:c>
      <x:c r="V7" s="81" t="n">
        <x:v>1</x:v>
      </x:c>
      <x:c r="W7" s="81" t="n">
        <x:v>0.09</x:v>
      </x:c>
      <x:c r="X7" s="81" t="n">
        <x:v>0.22</x:v>
      </x:c>
      <x:c r="Y7" s="76" t="n">
        <x:v>0.14</x:v>
      </x:c>
      <x:c r="Z7" s="76" t="n">
        <x:v>1.2</x:v>
      </x:c>
      <x:c r="AA7" s="76" t="n">
        <x:v>8</x:v>
      </x:c>
      <x:c r="AB7" s="76" t="n">
        <x:v>1.8</x:v>
      </x:c>
      <x:c r="AC7" s="76" t="n">
        <x:v>32</x:v>
      </x:c>
      <x:c r="AD7" s="76" t="n">
        <x:v>35</x:v>
      </x:c>
      <x:c r="AE7" s="76" t="n">
        <x:v>20</x:v>
      </x:c>
      <x:c r="AF7" s="76" t="n">
        <x:v>10</x:v>
      </x:c>
      <x:c r="AG7" s="76" t="n">
        <x:v>8</x:v>
      </x:c>
      <x:c r="AH7" s="76" t="n">
        <x:v>1</x:v>
      </x:c>
      <x:c r="AI7" s="76" t="n">
        <x:v>30</x:v>
      </x:c>
      <x:c r="AJ7" s="76" t="n">
        <x:v>520</x:v>
      </x:c>
      <x:c r="AK7" s="76" t="n">
        <x:v>24</x:v>
      </x:c>
      <x:c r="AL7" s="76" t="n">
        <x:v>12</x:v>
      </x:c>
      <x:c r="AM7" s="76" t="n">
        <x:v>1.1</x:v>
      </x:c>
      <x:c r="AN7" s="76" t="n">
        <x:v>2.2</x:v>
      </x:c>
      <x:c r="AO7" s="89" t="n">
        <x:v>1.2</x:v>
      </x:c>
      <x:c r="AP7" s="89" t="n">
        <x:v>8.4</x:v>
      </x:c>
      <x:c r="AQ7" s="89" t="n">
        <x:v>100</x:v>
      </x:c>
      <x:c r="AR7" s="89" t="n">
        <x:v>85</x:v>
      </x:c>
      <x:c r="AS7" s="89" t="n">
        <x:v>0.22</x:v>
      </x:c>
      <x:c r="AT7" s="90" t="n">
        <x:v>0.014</x:v>
      </x:c>
    </x:row>
    <x:row r="8">
      <x:c r="B8" s="76" t="str">
        <x:v>T2</x:v>
      </x:c>
      <x:c r="C8" s="76" t="str">
        <x:v>LWS-170 load-walking transporter</x:v>
      </x:c>
      <x:c r="D8" s="76" t="str">
        <x:v>many independent load-spreading legs</x:v>
      </x:c>
      <x:c r="E8" s="76" t="str">
        <x:v>terrain pads and anchoring drones</x:v>
      </x:c>
      <x:c r="F8" s="76" t="n">
        <x:v>85</x:v>
      </x:c>
      <x:c r="G8" s="76" t="n">
        <x:v>55</x:v>
      </x:c>
      <x:c r="H8" s="76" t="n">
        <x:v>70</x:v>
      </x:c>
      <x:c r="I8" s="76" t="n">
        <x:v>110</x:v>
      </x:c>
      <x:c r="J8" s="76" t="n">
        <x:v>30</x:v>
      </x:c>
      <x:c r="K8" s="76" t="n">
        <x:v>20</x:v>
      </x:c>
      <x:c r="L8" s="76" t="n">
        <x:v>15</x:v>
      </x:c>
      <x:c r="M8" s="76" t="n">
        <x:v>23</x:v>
      </x:c>
      <x:c r="N8" s="76" t="n">
        <x:v>8</x:v>
      </x:c>
      <x:c r="O8" s="76" t="n">
        <x:v>6</x:v>
      </x:c>
      <x:c r="P8" s="76" t="n">
        <x:v>38</x:v>
      </x:c>
      <x:c r="Q8" s="76" t="n">
        <x:v>9.5</x:v>
      </x:c>
      <x:c r="R8" s="76" t="n">
        <x:v>9</x:v>
      </x:c>
      <x:c r="S8" s="76" t="n">
        <x:v>2.8</x:v>
      </x:c>
      <x:c r="T8" s="81" t="n">
        <x:v>190</x:v>
      </x:c>
      <x:c r="U8" s="81" t="n">
        <x:v>0.8</x:v>
      </x:c>
      <x:c r="V8" s="81" t="n">
        <x:v>1</x:v>
      </x:c>
      <x:c r="W8" s="81" t="n">
        <x:v>0.12</x:v>
      </x:c>
      <x:c r="X8" s="81" t="n">
        <x:v>0.25</x:v>
      </x:c>
      <x:c r="Y8" s="76" t="n">
        <x:v>0.18</x:v>
      </x:c>
      <x:c r="Z8" s="76" t="n">
        <x:v>2.5</x:v>
      </x:c>
      <x:c r="AA8" s="76" t="n">
        <x:v>12</x:v>
      </x:c>
      <x:c r="AB8" s="76" t="n">
        <x:v>1.5</x:v>
      </x:c>
      <x:c r="AC8" s="76" t="n">
        <x:v>14</x:v>
      </x:c>
      <x:c r="AD8" s="76" t="n">
        <x:v>18</x:v>
      </x:c>
      <x:c r="AE8" s="76" t="n">
        <x:v>10</x:v>
      </x:c>
      <x:c r="AF8" s="76" t="n">
        <x:v>6</x:v>
      </x:c>
      <x:c r="AG8" s="76" t="n">
        <x:v>4</x:v>
      </x:c>
      <x:c r="AH8" s="76" t="n">
        <x:v>1.8</x:v>
      </x:c>
      <x:c r="AI8" s="76" t="n">
        <x:v>50</x:v>
      </x:c>
      <x:c r="AJ8" s="76" t="n">
        <x:v>1100</x:v>
      </x:c>
      <x:c r="AK8" s="76" t="n">
        <x:v>28</x:v>
      </x:c>
      <x:c r="AL8" s="76" t="n">
        <x:v>16</x:v>
      </x:c>
      <x:c r="AM8" s="76" t="n">
        <x:v>1.5</x:v>
      </x:c>
      <x:c r="AN8" s="76" t="n">
        <x:v>3.1</x:v>
      </x:c>
      <x:c r="AO8" s="89" t="n">
        <x:v>1.6</x:v>
      </x:c>
      <x:c r="AP8" s="89" t="n">
        <x:v>11.5</x:v>
      </x:c>
      <x:c r="AQ8" s="89" t="n">
        <x:v>135</x:v>
      </x:c>
      <x:c r="AR8" s="89" t="n">
        <x:v>110</x:v>
      </x:c>
      <x:c r="AS8" s="89" t="n">
        <x:v>0.35</x:v>
      </x:c>
      <x:c r="AT8" s="90" t="n">
        <x:v>0.022</x:v>
      </x:c>
    </x:row>
    <x:row r="9">
      <x:c r="B9" s="76" t="str">
        <x:v>T3</x:v>
      </x:c>
      <x:c r="C9" s="76" t="str">
        <x:v>ACC-170 amphibious cushion crawler</x:v>
      </x:c>
      <x:c r="D9" s="76" t="str">
        <x:v>segmented air cushion with edge drives</x:v>
      </x:c>
      <x:c r="E9" s="76" t="str">
        <x:v>debris scouts and skirt repair fleet</x:v>
      </x:c>
      <x:c r="F9" s="76" t="n">
        <x:v>70</x:v>
      </x:c>
      <x:c r="G9" s="76" t="n">
        <x:v>75</x:v>
      </x:c>
      <x:c r="H9" s="76" t="n">
        <x:v>90</x:v>
      </x:c>
      <x:c r="I9" s="76" t="n">
        <x:v>55</x:v>
      </x:c>
      <x:c r="J9" s="76" t="n">
        <x:v>25</x:v>
      </x:c>
      <x:c r="K9" s="76" t="n">
        <x:v>20</x:v>
      </x:c>
      <x:c r="L9" s="76" t="n">
        <x:v>15</x:v>
      </x:c>
      <x:c r="M9" s="76" t="n">
        <x:v>23</x:v>
      </x:c>
      <x:c r="N9" s="76" t="n">
        <x:v>8</x:v>
      </x:c>
      <x:c r="O9" s="76" t="n">
        <x:v>5.5</x:v>
      </x:c>
      <x:c r="P9" s="76" t="n">
        <x:v>45</x:v>
      </x:c>
      <x:c r="Q9" s="76" t="n">
        <x:v>16</x:v>
      </x:c>
      <x:c r="R9" s="76" t="n">
        <x:v>7.5</x:v>
      </x:c>
      <x:c r="S9" s="76" t="n">
        <x:v>2</x:v>
      </x:c>
      <x:c r="T9" s="81" t="n">
        <x:v>300</x:v>
      </x:c>
      <x:c r="U9" s="81" t="n">
        <x:v>0.14</x:v>
      </x:c>
      <x:c r="V9" s="81" t="n">
        <x:v>0.3</x:v>
      </x:c>
      <x:c r="W9" s="81" t="n">
        <x:v>0.08</x:v>
      </x:c>
      <x:c r="X9" s="81" t="n">
        <x:v>0.08</x:v>
      </x:c>
      <x:c r="Y9" s="76" t="n">
        <x:v>0.06</x:v>
      </x:c>
      <x:c r="Z9" s="76" t="n">
        <x:v>0.5</x:v>
      </x:c>
      <x:c r="AA9" s="76" t="n">
        <x:v>0</x:v>
      </x:c>
      <x:c r="AB9" s="76" t="n">
        <x:v>5</x:v>
      </x:c>
      <x:c r="AC9" s="76" t="n">
        <x:v>40</x:v>
      </x:c>
      <x:c r="AD9" s="76" t="n">
        <x:v>45</x:v>
      </x:c>
      <x:c r="AE9" s="76" t="n">
        <x:v>40</x:v>
      </x:c>
      <x:c r="AF9" s="76" t="n">
        <x:v>35</x:v>
      </x:c>
      <x:c r="AG9" s="76" t="n">
        <x:v>10</x:v>
      </x:c>
      <x:c r="AH9" s="76" t="n">
        <x:v>2.2</x:v>
      </x:c>
      <x:c r="AI9" s="76" t="n">
        <x:v>100</x:v>
      </x:c>
      <x:c r="AJ9" s="76" t="n">
        <x:v>1250</x:v>
      </x:c>
      <x:c r="AK9" s="76" t="n">
        <x:v>42</x:v>
      </x:c>
      <x:c r="AL9" s="76" t="n">
        <x:v>10</x:v>
      </x:c>
      <x:c r="AM9" s="76" t="n">
        <x:v>0.8</x:v>
      </x:c>
      <x:c r="AN9" s="76" t="n">
        <x:v>3.4</x:v>
      </x:c>
      <x:c r="AO9" s="89" t="n">
        <x:v>1.5</x:v>
      </x:c>
      <x:c r="AP9" s="89" t="n">
        <x:v>10.8</x:v>
      </x:c>
      <x:c r="AQ9" s="89" t="n">
        <x:v>125</x:v>
      </x:c>
      <x:c r="AR9" s="89" t="n">
        <x:v>100</x:v>
      </x:c>
      <x:c r="AS9" s="89" t="n">
        <x:v>0.32</x:v>
      </x:c>
      <x:c r="AT9" s="90" t="n">
        <x:v>0.025</x:v>
      </x:c>
    </x:row>
    <x:row r="10">
      <x:c r="B10" s="78" t="str">
        <x:v>T4</x:v>
      </x:c>
      <x:c r="C10" s="78" t="str">
        <x:v>SAT-170 segmented adaptive terrain carrier</x:v>
      </x:c>
      <x:c r="D10" s="78" t="str">
        <x:v>twelve electric terrain pods under an articulated spine</x:v>
      </x:c>
      <x:c r="E10" s="78" t="str">
        <x:v>self-laid bridge and mat kit plus route robotics</x:v>
      </x:c>
      <x:c r="F10" s="78" t="n">
        <x:v>68</x:v>
      </x:c>
      <x:c r="G10" s="78" t="n">
        <x:v>58</x:v>
      </x:c>
      <x:c r="H10" s="78" t="n">
        <x:v>60</x:v>
      </x:c>
      <x:c r="I10" s="78" t="n">
        <x:v>72</x:v>
      </x:c>
      <x:c r="J10" s="78" t="n">
        <x:v>24</x:v>
      </x:c>
      <x:c r="K10" s="78" t="n">
        <x:v>36</x:v>
      </x:c>
      <x:c r="L10" s="78" t="n">
        <x:v>14</x:v>
      </x:c>
      <x:c r="M10" s="78" t="n">
        <x:v>23</x:v>
      </x:c>
      <x:c r="N10" s="78" t="n">
        <x:v>8</x:v>
      </x:c>
      <x:c r="O10" s="78" t="n">
        <x:v>6.2</x:v>
      </x:c>
      <x:c r="P10" s="78" t="n">
        <x:v>42</x:v>
      </x:c>
      <x:c r="Q10" s="78" t="n">
        <x:v>8.6</x:v>
      </x:c>
      <x:c r="R10" s="78" t="n">
        <x:v>8.8</x:v>
      </x:c>
      <x:c r="S10" s="78" t="n">
        <x:v>1.8</x:v>
      </x:c>
      <x:c r="T10" s="91" t="n">
        <x:v>155</x:v>
      </x:c>
      <x:c r="U10" s="91" t="n">
        <x:v>0.62</x:v>
      </x:c>
      <x:c r="V10" s="91" t="n">
        <x:v>1</x:v>
      </x:c>
      <x:c r="W10" s="91" t="n">
        <x:v>0.08</x:v>
      </x:c>
      <x:c r="X10" s="91" t="n">
        <x:v>0.25</x:v>
      </x:c>
      <x:c r="Y10" s="78" t="n">
        <x:v>0.16</x:v>
      </x:c>
      <x:c r="Z10" s="78" t="n">
        <x:v>1.8</x:v>
      </x:c>
      <x:c r="AA10" s="78" t="n">
        <x:v>25</x:v>
      </x:c>
      <x:c r="AB10" s="78" t="n">
        <x:v>2.5</x:v>
      </x:c>
      <x:c r="AC10" s="78" t="n">
        <x:v>18</x:v>
      </x:c>
      <x:c r="AD10" s="78" t="n">
        <x:v>55</x:v>
      </x:c>
      <x:c r="AE10" s="78" t="n">
        <x:v>35</x:v>
      </x:c>
      <x:c r="AF10" s="78" t="n">
        <x:v>20</x:v>
      </x:c>
      <x:c r="AG10" s="78" t="n">
        <x:v>4</x:v>
      </x:c>
      <x:c r="AH10" s="78" t="n">
        <x:v>0.85</x:v>
      </x:c>
      <x:c r="AI10" s="78" t="n">
        <x:v>80</x:v>
      </x:c>
      <x:c r="AJ10" s="78" t="n">
        <x:v>600</x:v>
      </x:c>
      <x:c r="AK10" s="78" t="n">
        <x:v>32</x:v>
      </x:c>
      <x:c r="AL10" s="78" t="n">
        <x:v>12</x:v>
      </x:c>
      <x:c r="AM10" s="78" t="n">
        <x:v>1.4</x:v>
      </x:c>
      <x:c r="AN10" s="78" t="n">
        <x:v>2.6</x:v>
      </x:c>
      <x:c r="AO10" s="92" t="n">
        <x:v>1.45</x:v>
      </x:c>
      <x:c r="AP10" s="92" t="n">
        <x:v>9.8</x:v>
      </x:c>
      <x:c r="AQ10" s="92" t="n">
        <x:v>150</x:v>
      </x:c>
      <x:c r="AR10" s="92" t="n">
        <x:v>105</x:v>
      </x:c>
      <x:c r="AS10" s="92" t="n">
        <x:v>0.28</x:v>
      </x:c>
      <x:c r="AT10" s="93" t="n">
        <x:v>0.018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  <x:c r="AA11" s="70"/>
      <x:c r="AB11" s="70"/>
      <x:c r="AC11" s="70"/>
      <x:c r="AD11" s="70"/>
      <x:c r="AE11" s="70"/>
      <x:c r="AF11" s="70"/>
      <x:c r="AG11" s="70"/>
      <x:c r="AH11" s="70"/>
      <x:c r="AI11" s="70"/>
      <x:c r="AJ11" s="70"/>
      <x:c r="AK11" s="70"/>
      <x:c r="AL11" s="70"/>
      <x:c r="AM11" s="70"/>
      <x:c r="AN11" s="70"/>
      <x:c r="AO11" s="70"/>
      <x:c r="AP11" s="70"/>
      <x:c r="AQ11" s="70"/>
      <x:c r="AR11" s="70"/>
      <x:c r="AS11" s="70"/>
      <x:c r="AT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  <x:c r="AA12" s="70"/>
      <x:c r="AB12" s="70"/>
      <x:c r="AC12" s="70"/>
      <x:c r="AD12" s="70"/>
      <x:c r="AE12" s="70"/>
      <x:c r="AF12" s="70"/>
      <x:c r="AG12" s="70"/>
      <x:c r="AH12" s="70"/>
      <x:c r="AI12" s="70"/>
      <x:c r="AJ12" s="70"/>
      <x:c r="AK12" s="70"/>
      <x:c r="AL12" s="70"/>
      <x:c r="AM12" s="70"/>
      <x:c r="AN12" s="70"/>
      <x:c r="AO12" s="70"/>
      <x:c r="AP12" s="70"/>
      <x:c r="AQ12" s="70"/>
      <x:c r="AR12" s="70"/>
      <x:c r="AS12" s="70"/>
      <x:c r="AT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  <x:c r="AA13" s="70"/>
      <x:c r="AB13" s="70"/>
      <x:c r="AC13" s="70"/>
      <x:c r="AD13" s="70"/>
      <x:c r="AE13" s="70"/>
      <x:c r="AF13" s="70"/>
      <x:c r="AG13" s="70"/>
      <x:c r="AH13" s="70"/>
      <x:c r="AI13" s="70"/>
      <x:c r="AJ13" s="70"/>
      <x:c r="AK13" s="70"/>
      <x:c r="AL13" s="70"/>
      <x:c r="AM13" s="70"/>
      <x:c r="AN13" s="70"/>
      <x:c r="AO13" s="70"/>
      <x:c r="AP13" s="70"/>
      <x:c r="AQ13" s="70"/>
      <x:c r="AR13" s="70"/>
      <x:c r="AS13" s="70"/>
      <x:c r="AT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  <x:c r="AA14" s="70"/>
      <x:c r="AB14" s="70"/>
      <x:c r="AC14" s="70"/>
      <x:c r="AD14" s="70"/>
      <x:c r="AE14" s="70"/>
      <x:c r="AF14" s="70"/>
      <x:c r="AG14" s="70"/>
      <x:c r="AH14" s="70"/>
      <x:c r="AI14" s="70"/>
      <x:c r="AJ14" s="70"/>
      <x:c r="AK14" s="70"/>
      <x:c r="AL14" s="70"/>
      <x:c r="AM14" s="70"/>
      <x:c r="AN14" s="70"/>
      <x:c r="AO14" s="70"/>
      <x:c r="AP14" s="70"/>
      <x:c r="AQ14" s="70"/>
      <x:c r="AR14" s="70"/>
      <x:c r="AS14" s="70"/>
      <x:c r="AT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  <x:c r="AA15" s="70"/>
      <x:c r="AB15" s="70"/>
      <x:c r="AC15" s="70"/>
      <x:c r="AD15" s="70"/>
      <x:c r="AE15" s="70"/>
      <x:c r="AF15" s="70"/>
      <x:c r="AG15" s="70"/>
      <x:c r="AH15" s="70"/>
      <x:c r="AI15" s="70"/>
      <x:c r="AJ15" s="70"/>
      <x:c r="AK15" s="70"/>
      <x:c r="AL15" s="70"/>
      <x:c r="AM15" s="70"/>
      <x:c r="AN15" s="70"/>
      <x:c r="AO15" s="70"/>
      <x:c r="AP15" s="70"/>
      <x:c r="AQ15" s="70"/>
      <x:c r="AR15" s="70"/>
      <x:c r="AS15" s="70"/>
      <x:c r="AT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  <x:c r="AA16" s="70"/>
      <x:c r="AB16" s="70"/>
      <x:c r="AC16" s="70"/>
      <x:c r="AD16" s="70"/>
      <x:c r="AE16" s="70"/>
      <x:c r="AF16" s="70"/>
      <x:c r="AG16" s="70"/>
      <x:c r="AH16" s="70"/>
      <x:c r="AI16" s="70"/>
      <x:c r="AJ16" s="70"/>
      <x:c r="AK16" s="70"/>
      <x:c r="AL16" s="70"/>
      <x:c r="AM16" s="70"/>
      <x:c r="AN16" s="70"/>
      <x:c r="AO16" s="70"/>
      <x:c r="AP16" s="70"/>
      <x:c r="AQ16" s="70"/>
      <x:c r="AR16" s="70"/>
      <x:c r="AS16" s="70"/>
      <x:c r="AT16" s="70"/>
    </x:row>
  </x:sheetData>
  <x:mergeCells>
    <x:mergeCell ref="B2:F2"/>
    <x:mergeCell ref="B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4" hidden="0" customWidth="1"/>
    <x:col min="5" max="5" width="19" hidden="0" customWidth="1"/>
    <x:col min="6" max="6" width="17" hidden="0" customWidth="1"/>
    <x:col min="7" max="7" width="19" hidden="0" customWidth="1"/>
    <x:col min="8" max="8" width="17" hidden="0" customWidth="1"/>
    <x:col min="9" max="9" width="15" hidden="0" customWidth="1"/>
    <x:col min="10" max="10" width="18" hidden="0" customWidth="1"/>
    <x:col min="11" max="11" width="17" hidden="0" customWidth="1"/>
    <x:col min="12" max="12" width="15" hidden="0" customWidth="1"/>
    <x:col min="13" max="13" width="19" hidden="0" customWidth="1"/>
    <x:col min="14" max="14" width="18" hidden="0" customWidth="1"/>
    <x:col min="15" max="15" width="15" hidden="0" customWidth="1"/>
    <x:col min="16" max="16" width="14" hidden="0" customWidth="1"/>
  </x:cols>
  <x:sheetData>
    <x:row r="2">
      <x:c r="B2" s="69" t="str">
        <x:v>Mass, payload, cube and deck closure</x:v>
      </x:c>
      <x:c r="C2" s="69" t="str">
        <x:v>Mass, payload, cube and deck closure</x:v>
      </x:c>
      <x:c r="D2" s="69" t="str">
        <x:v>Mass, payload, cube and deck closure</x:v>
      </x:c>
      <x:c r="E2" s="69" t="str">
        <x:v>Mass, payload, cube and deck closure</x:v>
      </x:c>
      <x:c r="F2" s="69" t="str">
        <x:v>Mass, payload, cube and deck closure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>
      <x:c r="B3" s="71" t="str">
        <x:v>Assigned payload is identical; architecture tare is the differentiator</x:v>
      </x:c>
      <x:c r="C3" s="71" t="str">
        <x:v>Assigned payload is identical; architecture tare is the differentiator</x:v>
      </x:c>
      <x:c r="D3" s="71" t="str">
        <x:v>Assigned payload is identical; architecture tare is the differentiator</x:v>
      </x:c>
      <x:c r="E3" s="71" t="str">
        <x:v>Assigned payload is identical; architecture tare is the differentiator</x:v>
      </x:c>
      <x:c r="F3" s="71" t="str">
        <x:v>Assigned payload is identical; architecture tare is the differentiator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</x:row>
    <x:row r="6">
      <x:c r="B6" s="29" t="str">
        <x:v>ID</x:v>
      </x:c>
      <x:c r="C6" s="30" t="str">
        <x:v>Architecture</x:v>
      </x:c>
      <x:c r="D6" s="30" t="str">
        <x:v>Tare t</x:v>
      </x:c>
      <x:c r="E6" s="30" t="str">
        <x:v>Design payload t</x:v>
      </x:c>
      <x:c r="F6" s="30" t="str">
        <x:v>Design gross t</x:v>
      </x:c>
      <x:c r="G6" s="30" t="str">
        <x:v>Assigned payload t</x:v>
      </x:c>
      <x:c r="H6" s="30" t="str">
        <x:v>Mission gross t</x:v>
      </x:c>
      <x:c r="I6" s="30" t="str">
        <x:v>Mass reserve</x:v>
      </x:c>
      <x:c r="J6" s="30" t="str">
        <x:v>Assigned cube m3</x:v>
      </x:c>
      <x:c r="K6" s="30" t="str">
        <x:v>Usable cube m3</x:v>
      </x:c>
      <x:c r="L6" s="30" t="str">
        <x:v>Cube reserve</x:v>
      </x:c>
      <x:c r="M6" s="30" t="str">
        <x:v>Assigned deck m2</x:v>
      </x:c>
      <x:c r="N6" s="30" t="str">
        <x:v>Usable deck m2</x:v>
      </x:c>
      <x:c r="O6" s="30" t="str">
        <x:v>Deck reserve</x:v>
      </x:c>
      <x:c r="P6" s="30" t="str">
        <x:v>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SUM(Architectures!F7:L7)</x:f>
        <x:v>315</x:v>
      </x:c>
      <x:c r="E7" s="76" t="n">
        <x:f>Assumptions!C8</x:f>
        <x:v>170</x:v>
      </x:c>
      <x:c r="F7" s="76" t="n">
        <x:f>D7+E7</x:f>
        <x:v>485</x:v>
      </x:c>
      <x:c r="G7" s="76" t="n">
        <x:f>Assumptions!C9</x:f>
        <x:v>158.75</x:v>
      </x:c>
      <x:c r="H7" s="76" t="n">
        <x:f>D7+G7</x:f>
        <x:v>473.75</x:v>
      </x:c>
      <x:c r="I7" s="81" t="n">
        <x:f>E7/G7-1</x:f>
        <x:v>0.07086614173228356</x:v>
      </x:c>
      <x:c r="J7" s="76" t="n">
        <x:f>Assumptions!C10</x:f>
        <x:v>772</x:v>
      </x:c>
      <x:c r="K7" s="76" t="n">
        <x:f>Assumptions!C12</x:f>
        <x:v>800</x:v>
      </x:c>
      <x:c r="L7" s="81" t="n">
        <x:f>K7/J7-1</x:f>
        <x:v>0.03626943005181338</x:v>
      </x:c>
      <x:c r="M7" s="76" t="n">
        <x:f>Assumptions!C11</x:f>
        <x:v>176</x:v>
      </x:c>
      <x:c r="N7" s="76" t="n">
        <x:f>Assumptions!C13</x:f>
        <x:v>184</x:v>
      </x:c>
      <x:c r="O7" s="81" t="n">
        <x:f>N7/M7-1</x:f>
        <x:v>0.045454545454545414</x:v>
      </x:c>
      <x:c r="P7" s="77" t="str">
        <x:f>IF(AND(I7&gt;=Assumptions!C33,L7&gt;=Assumptions!C34,O7&gt;=Assumptions!C34),"PASS","FAIL")</x:f>
        <x:v>PASS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SUM(Architectures!F8:L8)</x:f>
        <x:v>385</x:v>
      </x:c>
      <x:c r="E8" s="76" t="n">
        <x:f>Assumptions!C8</x:f>
        <x:v>170</x:v>
      </x:c>
      <x:c r="F8" s="76" t="n">
        <x:f>D8+E8</x:f>
        <x:v>555</x:v>
      </x:c>
      <x:c r="G8" s="76" t="n">
        <x:f>Assumptions!C9</x:f>
        <x:v>158.75</x:v>
      </x:c>
      <x:c r="H8" s="76" t="n">
        <x:f>D8+G8</x:f>
        <x:v>543.75</x:v>
      </x:c>
      <x:c r="I8" s="81" t="n">
        <x:f>E8/G8-1</x:f>
        <x:v>0.07086614173228356</x:v>
      </x:c>
      <x:c r="J8" s="76" t="n">
        <x:f>Assumptions!C10</x:f>
        <x:v>772</x:v>
      </x:c>
      <x:c r="K8" s="76" t="n">
        <x:f>Assumptions!C12</x:f>
        <x:v>800</x:v>
      </x:c>
      <x:c r="L8" s="81" t="n">
        <x:f>K8/J8-1</x:f>
        <x:v>0.03626943005181338</x:v>
      </x:c>
      <x:c r="M8" s="76" t="n">
        <x:f>Assumptions!C11</x:f>
        <x:v>176</x:v>
      </x:c>
      <x:c r="N8" s="76" t="n">
        <x:f>Assumptions!C13</x:f>
        <x:v>184</x:v>
      </x:c>
      <x:c r="O8" s="81" t="n">
        <x:f>N8/M8-1</x:f>
        <x:v>0.045454545454545414</x:v>
      </x:c>
      <x:c r="P8" s="77" t="str">
        <x:f>IF(AND(I8&gt;=Assumptions!C33,L8&gt;=Assumptions!C34,O8&gt;=Assumptions!C34),"PASS","FAIL")</x:f>
        <x:v>PASS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SUM(Architectures!F9:L9)</x:f>
        <x:v>350</x:v>
      </x:c>
      <x:c r="E9" s="76" t="n">
        <x:f>Assumptions!C8</x:f>
        <x:v>170</x:v>
      </x:c>
      <x:c r="F9" s="76" t="n">
        <x:f>D9+E9</x:f>
        <x:v>520</x:v>
      </x:c>
      <x:c r="G9" s="76" t="n">
        <x:f>Assumptions!C9</x:f>
        <x:v>158.75</x:v>
      </x:c>
      <x:c r="H9" s="76" t="n">
        <x:f>D9+G9</x:f>
        <x:v>508.75</x:v>
      </x:c>
      <x:c r="I9" s="81" t="n">
        <x:f>E9/G9-1</x:f>
        <x:v>0.07086614173228356</x:v>
      </x:c>
      <x:c r="J9" s="76" t="n">
        <x:f>Assumptions!C10</x:f>
        <x:v>772</x:v>
      </x:c>
      <x:c r="K9" s="76" t="n">
        <x:f>Assumptions!C12</x:f>
        <x:v>800</x:v>
      </x:c>
      <x:c r="L9" s="81" t="n">
        <x:f>K9/J9-1</x:f>
        <x:v>0.03626943005181338</x:v>
      </x:c>
      <x:c r="M9" s="76" t="n">
        <x:f>Assumptions!C11</x:f>
        <x:v>176</x:v>
      </x:c>
      <x:c r="N9" s="76" t="n">
        <x:f>Assumptions!C13</x:f>
        <x:v>184</x:v>
      </x:c>
      <x:c r="O9" s="81" t="n">
        <x:f>N9/M9-1</x:f>
        <x:v>0.045454545454545414</x:v>
      </x:c>
      <x:c r="P9" s="77" t="str">
        <x:f>IF(AND(I9&gt;=Assumptions!C33,L9&gt;=Assumptions!C34,O9&gt;=Assumptions!C34),"PASS","FAIL")</x:f>
        <x:v>PASS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SUM(Architectures!F10:L10)</x:f>
        <x:v>332</x:v>
      </x:c>
      <x:c r="E10" s="78" t="n">
        <x:f>Assumptions!C8</x:f>
        <x:v>170</x:v>
      </x:c>
      <x:c r="F10" s="78" t="n">
        <x:f>D10+E10</x:f>
        <x:v>502</x:v>
      </x:c>
      <x:c r="G10" s="78" t="n">
        <x:f>Assumptions!C9</x:f>
        <x:v>158.75</x:v>
      </x:c>
      <x:c r="H10" s="78" t="n">
        <x:f>D10+G10</x:f>
        <x:v>490.75</x:v>
      </x:c>
      <x:c r="I10" s="91" t="n">
        <x:f>E10/G10-1</x:f>
        <x:v>0.07086614173228356</x:v>
      </x:c>
      <x:c r="J10" s="78" t="n">
        <x:f>Assumptions!C10</x:f>
        <x:v>772</x:v>
      </x:c>
      <x:c r="K10" s="78" t="n">
        <x:f>Assumptions!C12</x:f>
        <x:v>800</x:v>
      </x:c>
      <x:c r="L10" s="91" t="n">
        <x:f>K10/J10-1</x:f>
        <x:v>0.03626943005181338</x:v>
      </x:c>
      <x:c r="M10" s="78" t="n">
        <x:f>Assumptions!C11</x:f>
        <x:v>176</x:v>
      </x:c>
      <x:c r="N10" s="78" t="n">
        <x:f>Assumptions!C13</x:f>
        <x:v>184</x:v>
      </x:c>
      <x:c r="O10" s="91" t="n">
        <x:f>N10/M10-1</x:f>
        <x:v>0.045454545454545414</x:v>
      </x:c>
      <x:c r="P10" s="79" t="str">
        <x:f>IF(AND(I10&gt;=Assumptions!C33,L10&gt;=Assumptions!C34,O10&gt;=Assumptions!C34),"PASS","FAIL")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</x:row>
  </x:sheetData>
  <x:mergeCells>
    <x:mergeCell ref="B2:F2"/>
    <x:mergeCell ref="B3:F3"/>
  </x:mergeCells>
  <x:conditionalFormatting sqref="P7:P10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8" hidden="0" customWidth="1"/>
    <x:col min="5" max="5" width="19" hidden="0" customWidth="1"/>
    <x:col min="6" max="6" width="20" hidden="0" customWidth="1"/>
    <x:col min="7" max="7" width="18" hidden="0" customWidth="1"/>
    <x:col min="8" max="8" width="17" hidden="0" customWidth="1"/>
    <x:col min="9" max="9" width="17" hidden="0" customWidth="1"/>
    <x:col min="10" max="10" width="14" hidden="0" customWidth="1"/>
    <x:col min="11" max="11" width="15" hidden="0" customWidth="1"/>
    <x:col min="12" max="12" width="23" hidden="0" customWidth="1"/>
    <x:col min="13" max="13" width="15" hidden="0" customWidth="1"/>
    <x:col min="14" max="14" width="18" hidden="0" customWidth="1"/>
    <x:col min="15" max="15" width="14" hidden="0" customWidth="1"/>
  </x:cols>
  <x:sheetData>
    <x:row r="2">
      <x:c r="B2" s="69" t="str">
        <x:v>Geometry, stability and access envelope</x:v>
      </x:c>
      <x:c r="C2" s="69" t="str">
        <x:v>Geometry, stability and access envelope</x:v>
      </x:c>
      <x:c r="D2" s="69" t="str">
        <x:v>Geometry, stability and access envelope</x:v>
      </x:c>
      <x:c r="E2" s="69" t="str">
        <x:v>Geometry, stability and access envelope</x:v>
      </x:c>
      <x:c r="F2" s="69" t="str">
        <x:v>Geometry, stability and access envelope</x:v>
      </x:c>
      <x:c r="G2" s="70"/>
      <x:c r="H2" s="70"/>
      <x:c r="I2" s="70"/>
      <x:c r="J2" s="70"/>
      <x:c r="K2" s="70"/>
      <x:c r="L2" s="70"/>
      <x:c r="M2" s="70"/>
      <x:c r="N2" s="70"/>
      <x:c r="O2" s="70"/>
    </x:row>
    <x:row r="3">
      <x:c r="B3" s="71" t="str">
        <x:v>The carrier must hold its load, remain laterally controllable and turn inside broken infrastructure</x:v>
      </x:c>
      <x:c r="C3" s="71" t="str">
        <x:v>The carrier must hold its load, remain laterally controllable and turn inside broken infrastructure</x:v>
      </x:c>
      <x:c r="D3" s="71" t="str">
        <x:v>The carrier must hold its load, remain laterally controllable and turn inside broken infrastructure</x:v>
      </x:c>
      <x:c r="E3" s="71" t="str">
        <x:v>The carrier must hold its load, remain laterally controllable and turn inside broken infrastructure</x:v>
      </x:c>
      <x:c r="F3" s="71" t="str">
        <x:v>The carrier must hold its load, remain laterally controllable and turn inside broken infrastructure</x:v>
      </x:c>
      <x:c r="G3" s="70"/>
      <x:c r="H3" s="70"/>
      <x:c r="I3" s="70"/>
      <x:c r="J3" s="70"/>
      <x:c r="K3" s="70"/>
      <x:c r="L3" s="70"/>
      <x:c r="M3" s="70"/>
      <x:c r="N3" s="70"/>
      <x:c r="O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</x:row>
    <x:row r="6">
      <x:c r="B6" s="29" t="str">
        <x:v>ID</x:v>
      </x:c>
      <x:c r="C6" s="30" t="str">
        <x:v>Architecture</x:v>
      </x:c>
      <x:c r="D6" s="30" t="str">
        <x:v>Deck area m2</x:v>
      </x:c>
      <x:c r="E6" s="30" t="str">
        <x:v>Cargo clearance m</x:v>
      </x:c>
      <x:c r="F6" s="30" t="str">
        <x:v>Cargo envelope m3</x:v>
      </x:c>
      <x:c r="G6" s="30" t="str">
        <x:v>Overall length m</x:v>
      </x:c>
      <x:c r="H6" s="30" t="str">
        <x:v>Overall width m</x:v>
      </x:c>
      <x:c r="I6" s="30" t="str">
        <x:v>Overall height m</x:v>
      </x:c>
      <x:c r="J6" s="30" t="str">
        <x:v>Tare CG m</x:v>
      </x:c>
      <x:c r="K6" s="30" t="str">
        <x:v>Loaded CG m</x:v>
      </x:c>
      <x:c r="L6" s="30" t="str">
        <x:v>Declared side-slope cap</x:v>
      </x:c>
      <x:c r="M6" s="30" t="str">
        <x:v>Width result</x:v>
      </x:c>
      <x:c r="N6" s="30" t="str">
        <x:v>Turn radius m</x:v>
      </x:c>
      <x:c r="O6" s="30" t="str">
        <x:v>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Architectures!M7*Architectures!N7</x:f>
        <x:v>184</x:v>
      </x:c>
      <x:c r="E7" s="76" t="n">
        <x:f>Architectures!O7</x:f>
        <x:v>5.5</x:v>
      </x:c>
      <x:c r="F7" s="76" t="n">
        <x:f>D7*E7</x:f>
        <x:v>1012</x:v>
      </x:c>
      <x:c r="G7" s="76" t="n">
        <x:f>Architectures!P7</x:f>
        <x:v>36</x:v>
      </x:c>
      <x:c r="H7" s="76" t="n">
        <x:f>Architectures!Q7</x:f>
        <x:v>8.2</x:v>
      </x:c>
      <x:c r="I7" s="76" t="n">
        <x:f>Architectures!R7</x:f>
        <x:v>8.5</x:v>
      </x:c>
      <x:c r="J7" s="76" t="n">
        <x:f>Architectures!S7</x:f>
        <x:v>2.2</x:v>
      </x:c>
      <x:c r="K7" s="76" t="n">
        <x:f>('Mass and Payload'!D7*J7+Assumptions!C9*2.609)/'Mass and Payload'!H7</x:f>
        <x:v>2.337052770448549</x:v>
      </x:c>
      <x:c r="L7" s="81" t="n">
        <x:f>Architectures!Y7</x:f>
        <x:v>0.14</x:v>
      </x:c>
      <x:c r="M7" s="76" t="str">
        <x:f>IF(H7&lt;=Assumptions!C25,"PASS","FAIL")</x:f>
        <x:v>PASS</x:v>
      </x:c>
      <x:c r="N7" s="76" t="n">
        <x:f>Architectures!AC7</x:f>
        <x:v>32</x:v>
      </x:c>
      <x:c r="O7" s="77" t="str">
        <x:f>IF(AND(N7&lt;=Assumptions!C26,L7&gt;=Assumptions!C28,D7&gt;=Assumptions!C11,F7&gt;=Assumptions!C10),"PASS","FAIL")</x:f>
        <x:v>FAIL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Architectures!M8*Architectures!N8</x:f>
        <x:v>184</x:v>
      </x:c>
      <x:c r="E8" s="76" t="n">
        <x:f>Architectures!O8</x:f>
        <x:v>6</x:v>
      </x:c>
      <x:c r="F8" s="76" t="n">
        <x:f>D8*E8</x:f>
        <x:v>1104</x:v>
      </x:c>
      <x:c r="G8" s="76" t="n">
        <x:f>Architectures!P8</x:f>
        <x:v>38</x:v>
      </x:c>
      <x:c r="H8" s="76" t="n">
        <x:f>Architectures!Q8</x:f>
        <x:v>9.5</x:v>
      </x:c>
      <x:c r="I8" s="76" t="n">
        <x:f>Architectures!R8</x:f>
        <x:v>9</x:v>
      </x:c>
      <x:c r="J8" s="76" t="n">
        <x:f>Architectures!S8</x:f>
        <x:v>2.8</x:v>
      </x:c>
      <x:c r="K8" s="76" t="n">
        <x:f>('Mass and Payload'!D8*J8+Assumptions!C9*2.609)/'Mass and Payload'!H8</x:f>
        <x:v>2.7442367816091955</x:v>
      </x:c>
      <x:c r="L8" s="81" t="n">
        <x:f>Architectures!Y8</x:f>
        <x:v>0.18</x:v>
      </x:c>
      <x:c r="M8" s="76" t="str">
        <x:f>IF(H8&lt;=Assumptions!C25,"PASS","FAIL")</x:f>
        <x:v>PASS</x:v>
      </x:c>
      <x:c r="N8" s="76" t="n">
        <x:f>Architectures!AC8</x:f>
        <x:v>14</x:v>
      </x:c>
      <x:c r="O8" s="77" t="str">
        <x:f>IF(AND(N8&lt;=Assumptions!C26,L8&gt;=Assumptions!C28,D8&gt;=Assumptions!C11,F8&gt;=Assumptions!C10),"PASS","FAIL")</x:f>
        <x:v>PASS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Architectures!M9*Architectures!N9</x:f>
        <x:v>184</x:v>
      </x:c>
      <x:c r="E9" s="76" t="n">
        <x:f>Architectures!O9</x:f>
        <x:v>5.5</x:v>
      </x:c>
      <x:c r="F9" s="76" t="n">
        <x:f>D9*E9</x:f>
        <x:v>1012</x:v>
      </x:c>
      <x:c r="G9" s="76" t="n">
        <x:f>Architectures!P9</x:f>
        <x:v>45</x:v>
      </x:c>
      <x:c r="H9" s="76" t="n">
        <x:f>Architectures!Q9</x:f>
        <x:v>16</x:v>
      </x:c>
      <x:c r="I9" s="76" t="n">
        <x:f>Architectures!R9</x:f>
        <x:v>7.5</x:v>
      </x:c>
      <x:c r="J9" s="76" t="n">
        <x:f>Architectures!S9</x:f>
        <x:v>2</x:v>
      </x:c>
      <x:c r="K9" s="76" t="n">
        <x:f>('Mass and Payload'!D9*J9+Assumptions!C9*2.609)/'Mass and Payload'!H9</x:f>
        <x:v>2.190031941031941</x:v>
      </x:c>
      <x:c r="L9" s="81" t="n">
        <x:f>Architectures!Y9</x:f>
        <x:v>0.06</x:v>
      </x:c>
      <x:c r="M9" s="76" t="str">
        <x:f>IF(H9&lt;=Assumptions!C25,"PASS","FAIL")</x:f>
        <x:v>FAIL</x:v>
      </x:c>
      <x:c r="N9" s="76" t="n">
        <x:f>Architectures!AC9</x:f>
        <x:v>40</x:v>
      </x:c>
      <x:c r="O9" s="77" t="str">
        <x:f>IF(AND(N9&lt;=Assumptions!C26,L9&gt;=Assumptions!C28,D9&gt;=Assumptions!C11,F9&gt;=Assumptions!C10),"PASS","FAIL")</x:f>
        <x:v>FAIL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Architectures!M10*Architectures!N10</x:f>
        <x:v>184</x:v>
      </x:c>
      <x:c r="E10" s="78" t="n">
        <x:f>Architectures!O10</x:f>
        <x:v>6.2</x:v>
      </x:c>
      <x:c r="F10" s="78" t="n">
        <x:f>D10*E10</x:f>
        <x:v>1140.8</x:v>
      </x:c>
      <x:c r="G10" s="78" t="n">
        <x:f>Architectures!P10</x:f>
        <x:v>42</x:v>
      </x:c>
      <x:c r="H10" s="78" t="n">
        <x:f>Architectures!Q10</x:f>
        <x:v>8.6</x:v>
      </x:c>
      <x:c r="I10" s="78" t="n">
        <x:f>Architectures!R10</x:f>
        <x:v>8.8</x:v>
      </x:c>
      <x:c r="J10" s="78" t="n">
        <x:f>Architectures!S10</x:f>
        <x:v>1.8</x:v>
      </x:c>
      <x:c r="K10" s="78" t="n">
        <x:f>('Mass and Payload'!D10*J10+Assumptions!C9*2.609)/'Mass and Payload'!H10</x:f>
        <x:v>2.061698930208864</x:v>
      </x:c>
      <x:c r="L10" s="91" t="n">
        <x:f>Architectures!Y10</x:f>
        <x:v>0.16</x:v>
      </x:c>
      <x:c r="M10" s="78" t="str">
        <x:f>IF(H10&lt;=Assumptions!C25,"PASS","FAIL")</x:f>
        <x:v>PASS</x:v>
      </x:c>
      <x:c r="N10" s="78" t="n">
        <x:f>Architectures!AC10</x:f>
        <x:v>18</x:v>
      </x:c>
      <x:c r="O10" s="79" t="str">
        <x:f>IF(AND(N10&lt;=Assumptions!C26,L10&gt;=Assumptions!C28,D10&gt;=Assumptions!C11,F10&gt;=Assumptions!C10),"PASS","FAIL")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</x:row>
    <x:row r="17"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</x:row>
  </x:sheetData>
  <x:mergeCells>
    <x:mergeCell ref="B2:F2"/>
    <x:mergeCell ref="B3:F3"/>
  </x:mergeCells>
  <x:conditionalFormatting sqref="M7:M10">
    <x:cfRule type="containsText" dxfId="2" priority="1" operator="containsText" text="FAIL"/>
    <x:cfRule type="containsText" dxfId="3" priority="2" operator="containsText" text="PASS"/>
  </x:conditionalFormatting>
  <x:conditionalFormatting sqref="O7:O10">
    <x:cfRule type="containsText" dxfId="4" priority="3" operator="containsText" text="FAIL"/>
    <x:cfRule type="containsText" dxfId="5" priority="4" operator="containsText" text="PASS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8" hidden="0" customWidth="1"/>
    <x:col min="5" max="5" width="18" hidden="0" customWidth="1"/>
    <x:col min="6" max="6" width="20" hidden="0" customWidth="1"/>
    <x:col min="7" max="7" width="17" hidden="0" customWidth="1"/>
    <x:col min="8" max="8" width="15" hidden="0" customWidth="1"/>
    <x:col min="9" max="9" width="18" hidden="0" customWidth="1"/>
    <x:col min="10" max="10" width="21" hidden="0" customWidth="1"/>
    <x:col min="11" max="11" width="19" hidden="0" customWidth="1"/>
    <x:col min="12" max="12" width="17" hidden="0" customWidth="1"/>
  </x:cols>
  <x:sheetData>
    <x:row r="2">
      <x:c r="B2" s="69" t="str">
        <x:v>Weak-soil and receiver bearing closure</x:v>
      </x:c>
      <x:c r="C2" s="69" t="str">
        <x:v>Weak-soil and receiver bearing closure</x:v>
      </x:c>
      <x:c r="D2" s="69" t="str">
        <x:v>Weak-soil and receiver bearing closure</x:v>
      </x:c>
      <x:c r="E2" s="69" t="str">
        <x:v>Weak-soil and receiver bearing closure</x:v>
      </x:c>
      <x:c r="F2" s="69" t="str">
        <x:v>Weak-soil and receiver bearing closure</x:v>
      </x:c>
      <x:c r="G2" s="70"/>
      <x:c r="H2" s="70"/>
      <x:c r="I2" s="70"/>
      <x:c r="J2" s="70"/>
      <x:c r="K2" s="70"/>
      <x:c r="L2" s="70"/>
    </x:row>
    <x:row r="3">
      <x:c r="B3" s="71" t="str">
        <x:v>Gross design mass governs saturated-ground admission; mission mass governs receiver service</x:v>
      </x:c>
      <x:c r="C3" s="71" t="str">
        <x:v>Gross design mass governs saturated-ground admission; mission mass governs receiver service</x:v>
      </x:c>
      <x:c r="D3" s="71" t="str">
        <x:v>Gross design mass governs saturated-ground admission; mission mass governs receiver service</x:v>
      </x:c>
      <x:c r="E3" s="71" t="str">
        <x:v>Gross design mass governs saturated-ground admission; mission mass governs receiver service</x:v>
      </x:c>
      <x:c r="F3" s="71" t="str">
        <x:v>Gross design mass governs saturated-ground admission; mission mass governs receiver service</x:v>
      </x:c>
      <x:c r="G3" s="70"/>
      <x:c r="H3" s="70"/>
      <x:c r="I3" s="70"/>
      <x:c r="J3" s="70"/>
      <x:c r="K3" s="70"/>
      <x:c r="L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</x:row>
    <x:row r="6">
      <x:c r="B6" s="29" t="str">
        <x:v>ID</x:v>
      </x:c>
      <x:c r="C6" s="30" t="str">
        <x:v>Architecture</x:v>
      </x:c>
      <x:c r="D6" s="30" t="str">
        <x:v>Design gross t</x:v>
      </x:c>
      <x:c r="E6" s="30" t="str">
        <x:v>Contact area m2</x:v>
      </x:c>
      <x:c r="F6" s="30" t="str">
        <x:v>Terrain pressure kPa</x:v>
      </x:c>
      <x:c r="G6" s="30" t="str">
        <x:v>Terrain limit kPa</x:v>
      </x:c>
      <x:c r="H6" s="30" t="str">
        <x:v>Terrain result</x:v>
      </x:c>
      <x:c r="I6" s="30" t="str">
        <x:v>Mission gross t</x:v>
      </x:c>
      <x:c r="J6" s="30" t="str">
        <x:v>Receiver pressure kPa</x:v>
      </x:c>
      <x:c r="K6" s="30" t="str">
        <x:v>Receiver floor kPa</x:v>
      </x:c>
      <x:c r="L6" s="30" t="str">
        <x:v>Receiver 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'Mass and Payload'!F7</x:f>
        <x:v>485</x:v>
      </x:c>
      <x:c r="E7" s="76" t="n">
        <x:f>Architectures!T7</x:f>
        <x:v>110</x:v>
      </x:c>
      <x:c r="F7" s="76" t="n">
        <x:f>D7*9.81/E7</x:f>
        <x:v>43.25318181818182</x:v>
      </x:c>
      <x:c r="G7" s="76" t="n">
        <x:f>Assumptions!C23</x:f>
        <x:v>35</x:v>
      </x:c>
      <x:c r="H7" s="76" t="str">
        <x:f>IF(F7&lt;=G7,"PASS","FAIL")</x:f>
        <x:v>FAIL</x:v>
      </x:c>
      <x:c r="I7" s="76" t="n">
        <x:f>'Mass and Payload'!H7</x:f>
        <x:v>473.75</x:v>
      </x:c>
      <x:c r="J7" s="76" t="n">
        <x:f>I7*9.81/E7</x:f>
        <x:v>42.249886363636364</x:v>
      </x:c>
      <x:c r="K7" s="76" t="n">
        <x:f>Assumptions!C24</x:f>
        <x:v>60</x:v>
      </x:c>
      <x:c r="L7" s="77" t="str">
        <x:f>IF(J7&lt;=K7,"PASS","FAIL")</x:f>
        <x:v>PASS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'Mass and Payload'!F8</x:f>
        <x:v>555</x:v>
      </x:c>
      <x:c r="E8" s="76" t="n">
        <x:f>Architectures!T8</x:f>
        <x:v>190</x:v>
      </x:c>
      <x:c r="F8" s="76" t="n">
        <x:f>D8*9.81/E8</x:f>
        <x:v>28.655526315789476</x:v>
      </x:c>
      <x:c r="G8" s="76" t="n">
        <x:f>Assumptions!C23</x:f>
        <x:v>35</x:v>
      </x:c>
      <x:c r="H8" s="76" t="str">
        <x:f>IF(F8&lt;=G8,"PASS","FAIL")</x:f>
        <x:v>PASS</x:v>
      </x:c>
      <x:c r="I8" s="76" t="n">
        <x:f>'Mass and Payload'!H8</x:f>
        <x:v>543.75</x:v>
      </x:c>
      <x:c r="J8" s="76" t="n">
        <x:f>I8*9.81/E8</x:f>
        <x:v>28.07467105263158</x:v>
      </x:c>
      <x:c r="K8" s="76" t="n">
        <x:f>Assumptions!C24</x:f>
        <x:v>60</x:v>
      </x:c>
      <x:c r="L8" s="77" t="str">
        <x:f>IF(J8&lt;=K8,"PASS","FAIL")</x:f>
        <x:v>PASS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'Mass and Payload'!F9</x:f>
        <x:v>520</x:v>
      </x:c>
      <x:c r="E9" s="76" t="n">
        <x:f>Architectures!T9</x:f>
        <x:v>300</x:v>
      </x:c>
      <x:c r="F9" s="76" t="n">
        <x:f>D9*9.81/E9</x:f>
        <x:v>17.003999999999998</x:v>
      </x:c>
      <x:c r="G9" s="76" t="n">
        <x:f>Assumptions!C23</x:f>
        <x:v>35</x:v>
      </x:c>
      <x:c r="H9" s="76" t="str">
        <x:f>IF(F9&lt;=G9,"PASS","FAIL")</x:f>
        <x:v>PASS</x:v>
      </x:c>
      <x:c r="I9" s="76" t="n">
        <x:f>'Mass and Payload'!H9</x:f>
        <x:v>508.75</x:v>
      </x:c>
      <x:c r="J9" s="76" t="n">
        <x:f>I9*9.81/E9</x:f>
        <x:v>16.636125000000003</x:v>
      </x:c>
      <x:c r="K9" s="76" t="n">
        <x:f>Assumptions!C24</x:f>
        <x:v>60</x:v>
      </x:c>
      <x:c r="L9" s="77" t="str">
        <x:f>IF(J9&lt;=K9,"PASS","FAIL")</x:f>
        <x:v>PASS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'Mass and Payload'!F10</x:f>
        <x:v>502</x:v>
      </x:c>
      <x:c r="E10" s="78" t="n">
        <x:f>Architectures!T10</x:f>
        <x:v>155</x:v>
      </x:c>
      <x:c r="F10" s="78" t="n">
        <x:f>D10*9.81/E10</x:f>
        <x:v>31.77174193548387</x:v>
      </x:c>
      <x:c r="G10" s="78" t="n">
        <x:f>Assumptions!C23</x:f>
        <x:v>35</x:v>
      </x:c>
      <x:c r="H10" s="78" t="str">
        <x:f>IF(F10&lt;=G10,"PASS","FAIL")</x:f>
        <x:v>PASS</x:v>
      </x:c>
      <x:c r="I10" s="78" t="n">
        <x:f>'Mass and Payload'!H10</x:f>
        <x:v>490.75</x:v>
      </x:c>
      <x:c r="J10" s="78" t="n">
        <x:f>I10*9.81/E10</x:f>
        <x:v>31.059725806451617</x:v>
      </x:c>
      <x:c r="K10" s="78" t="n">
        <x:f>Assumptions!C24</x:f>
        <x:v>60</x:v>
      </x:c>
      <x:c r="L10" s="79" t="str">
        <x:f>IF(J10&lt;=K10,"PASS","FAIL")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</x:row>
    <x:row r="17"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</x:row>
  </x:sheetData>
  <x:mergeCells>
    <x:mergeCell ref="B2:F2"/>
    <x:mergeCell ref="B3:F3"/>
  </x:mergeCells>
  <x:conditionalFormatting sqref="H7:H10">
    <x:cfRule type="containsText" dxfId="6" priority="1" operator="containsText" text="FAIL"/>
    <x:cfRule type="containsText" dxfId="7" priority="2" operator="containsText" text="PASS"/>
  </x:conditionalFormatting>
  <x:conditionalFormatting sqref="L7:L10">
    <x:cfRule type="containsText" dxfId="8" priority="3" operator="containsText" text="FAIL"/>
    <x:cfRule type="containsText" dxfId="9" priority="4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8" hidden="0" customWidth="1"/>
    <x:col min="5" max="5" width="20" hidden="0" customWidth="1"/>
    <x:col min="6" max="6" width="19" hidden="0" customWidth="1"/>
    <x:col min="7" max="7" width="17" hidden="0" customWidth="1"/>
    <x:col min="8" max="8" width="20" hidden="0" customWidth="1"/>
    <x:col min="9" max="9" width="18" hidden="0" customWidth="1"/>
    <x:col min="10" max="10" width="14" hidden="0" customWidth="1"/>
    <x:col min="11" max="11" width="22" hidden="0" customWidth="1"/>
    <x:col min="12" max="12" width="17" hidden="0" customWidth="1"/>
    <x:col min="13" max="13" width="16" hidden="0" customWidth="1"/>
    <x:col min="14" max="14" width="21" hidden="0" customWidth="1"/>
    <x:col min="15" max="15" width="17" hidden="0" customWidth="1"/>
    <x:col min="16" max="16" width="19" hidden="0" customWidth="1"/>
    <x:col min="17" max="17" width="17" hidden="0" customWidth="1"/>
  </x:cols>
  <x:sheetData>
    <x:row r="2">
      <x:c r="B2" s="69" t="str">
        <x:v>Traction, power and mission-energy closure</x:v>
      </x:c>
      <x:c r="C2" s="69" t="str">
        <x:v>Traction, power and mission-energy closure</x:v>
      </x:c>
      <x:c r="D2" s="69" t="str">
        <x:v>Traction, power and mission-energy closure</x:v>
      </x:c>
      <x:c r="E2" s="69" t="str">
        <x:v>Traction, power and mission-energy closure</x:v>
      </x:c>
      <x:c r="F2" s="69" t="str">
        <x:v>Traction, power and mission-energy closure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3">
      <x:c r="B3" s="71" t="str">
        <x:v>Installed power is not traction: the ground interface must first produce force with reserve</x:v>
      </x:c>
      <x:c r="C3" s="71" t="str">
        <x:v>Installed power is not traction: the ground interface must first produce force with reserve</x:v>
      </x:c>
      <x:c r="D3" s="71" t="str">
        <x:v>Installed power is not traction: the ground interface must first produce force with reserve</x:v>
      </x:c>
      <x:c r="E3" s="71" t="str">
        <x:v>Installed power is not traction: the ground interface must first produce force with reserve</x:v>
      </x:c>
      <x:c r="F3" s="71" t="str">
        <x:v>Installed power is not traction: the ground interface must first produce force with reserve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</x:row>
    <x:row r="6">
      <x:c r="B6" s="29" t="str">
        <x:v>ID</x:v>
      </x:c>
      <x:c r="C6" s="30" t="str">
        <x:v>Architecture</x:v>
      </x:c>
      <x:c r="D6" s="30" t="str">
        <x:v>Design gross t</x:v>
      </x:c>
      <x:c r="E6" s="30" t="str">
        <x:v>Available force kN</x:v>
      </x:c>
      <x:c r="F6" s="30" t="str">
        <x:v>Demand force kN</x:v>
      </x:c>
      <x:c r="G6" s="30" t="str">
        <x:v>Tractive reserve</x:v>
      </x:c>
      <x:c r="H6" s="30" t="str">
        <x:v>Broken speed km/h</x:v>
      </x:c>
      <x:c r="I6" s="30" t="str">
        <x:v>Mechanical MW</x:v>
      </x:c>
      <x:c r="J6" s="30" t="str">
        <x:v>Hotel MW</x:v>
      </x:c>
      <x:c r="K6" s="30" t="str">
        <x:v>Maximum demand MW</x:v>
      </x:c>
      <x:c r="L6" s="30" t="str">
        <x:v>Installed MW</x:v>
      </x:c>
      <x:c r="M6" s="30" t="str">
        <x:v>Drive modules</x:v>
      </x:c>
      <x:c r="N6" s="30" t="str">
        <x:v>One-module-out MW</x:v>
      </x:c>
      <x:c r="O6" s="30" t="str">
        <x:v>Traction result</x:v>
      </x:c>
      <x:c r="P6" s="30" t="str">
        <x:v>N-1 power result</x:v>
      </x:c>
      <x:c r="Q6" s="30" t="str">
        <x:v>Combined 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'Mass and Payload'!F7</x:f>
        <x:v>485</x:v>
      </x:c>
      <x:c r="E7" s="76" t="n">
        <x:f>D7*9.81*Architectures!U7*Architectures!V7</x:f>
        <x:v>3092.6025000000004</x:v>
      </x:c>
      <x:c r="F7" s="76" t="n">
        <x:f>D7*9.81*(Assumptions!C27+Architectures!W7)</x:f>
        <x:v>1379.7765000000002</x:v>
      </x:c>
      <x:c r="G7" s="81" t="n">
        <x:f>E7/F7-1</x:f>
        <x:v>1.2413793103448274</x:v>
      </x:c>
      <x:c r="H7" s="76" t="n">
        <x:f>Architectures!AE7</x:f>
        <x:v>20</x:v>
      </x:c>
      <x:c r="I7" s="76" t="n">
        <x:f>F7*(H7/3.6)/Assumptions!C37/1000</x:f>
        <x:v>9.348079268292684</x:v>
      </x:c>
      <x:c r="J7" s="76" t="n">
        <x:f>Assumptions!C38</x:f>
        <x:v>2.5</x:v>
      </x:c>
      <x:c r="K7" s="76" t="n">
        <x:f>I7+J7</x:f>
        <x:v>11.848079268292684</x:v>
      </x:c>
      <x:c r="L7" s="76" t="n">
        <x:f>Architectures!AK7</x:f>
        <x:v>24</x:v>
      </x:c>
      <x:c r="M7" s="76" t="n">
        <x:f>Architectures!AL7</x:f>
        <x:v>12</x:v>
      </x:c>
      <x:c r="N7" s="76" t="n">
        <x:f>L7*(M7-1)/M7</x:f>
        <x:v>22</x:v>
      </x:c>
      <x:c r="O7" s="76" t="str">
        <x:f>IF(G7&gt;=Assumptions!C35,"PASS","FAIL")</x:f>
        <x:v>PASS</x:v>
      </x:c>
      <x:c r="P7" s="76" t="str">
        <x:f>IF(N7&gt;=K7,"PASS","FAIL")</x:f>
        <x:v>PASS</x:v>
      </x:c>
      <x:c r="Q7" s="77" t="str">
        <x:f>IF(AND(O7="PASS",P7="PASS"),"PASS","FAIL")</x:f>
        <x:v>PASS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'Mass and Payload'!F8</x:f>
        <x:v>555</x:v>
      </x:c>
      <x:c r="E8" s="76" t="n">
        <x:f>D8*9.81*Architectures!U8*Architectures!V8</x:f>
        <x:v>4355.64</x:v>
      </x:c>
      <x:c r="F8" s="76" t="n">
        <x:f>D8*9.81*(Assumptions!C27+Architectures!W8)</x:f>
        <x:v>1742.256</x:v>
      </x:c>
      <x:c r="G8" s="81" t="n">
        <x:f>E8/F8-1</x:f>
        <x:v>1.5</x:v>
      </x:c>
      <x:c r="H8" s="76" t="n">
        <x:f>Architectures!AE8</x:f>
        <x:v>10</x:v>
      </x:c>
      <x:c r="I8" s="76" t="n">
        <x:f>F8*(H8/3.6)/Assumptions!C37/1000</x:f>
        <x:v>5.901951219512196</x:v>
      </x:c>
      <x:c r="J8" s="76" t="n">
        <x:f>Assumptions!C38</x:f>
        <x:v>2.5</x:v>
      </x:c>
      <x:c r="K8" s="76" t="n">
        <x:f>I8+J8</x:f>
        <x:v>8.401951219512195</x:v>
      </x:c>
      <x:c r="L8" s="76" t="n">
        <x:f>Architectures!AK8</x:f>
        <x:v>28</x:v>
      </x:c>
      <x:c r="M8" s="76" t="n">
        <x:f>Architectures!AL8</x:f>
        <x:v>16</x:v>
      </x:c>
      <x:c r="N8" s="76" t="n">
        <x:f>L8*(M8-1)/M8</x:f>
        <x:v>26.25</x:v>
      </x:c>
      <x:c r="O8" s="76" t="str">
        <x:f>IF(G8&gt;=Assumptions!C35,"PASS","FAIL")</x:f>
        <x:v>PASS</x:v>
      </x:c>
      <x:c r="P8" s="76" t="str">
        <x:f>IF(N8&gt;=K8,"PASS","FAIL")</x:f>
        <x:v>PASS</x:v>
      </x:c>
      <x:c r="Q8" s="77" t="str">
        <x:f>IF(AND(O8="PASS",P8="PASS"),"PASS","FAIL")</x:f>
        <x:v>PASS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'Mass and Payload'!F9</x:f>
        <x:v>520</x:v>
      </x:c>
      <x:c r="E9" s="76" t="n">
        <x:f>D9*9.81*Architectures!U9*Architectures!V9</x:f>
        <x:v>214.25039999999998</x:v>
      </x:c>
      <x:c r="F9" s="76" t="n">
        <x:f>D9*9.81*(Assumptions!C27+Architectures!W9)</x:f>
        <x:v>1428.336</x:v>
      </x:c>
      <x:c r="G9" s="81" t="n">
        <x:f>E9/F9-1</x:f>
        <x:v>-0.85</x:v>
      </x:c>
      <x:c r="H9" s="76" t="n">
        <x:f>Architectures!AE9</x:f>
        <x:v>40</x:v>
      </x:c>
      <x:c r="I9" s="76" t="n">
        <x:f>F9*(H9/3.6)/Assumptions!C37/1000</x:f>
        <x:v>19.354146341463416</x:v>
      </x:c>
      <x:c r="J9" s="76" t="n">
        <x:f>Assumptions!C38</x:f>
        <x:v>2.5</x:v>
      </x:c>
      <x:c r="K9" s="76" t="n">
        <x:f>I9+J9</x:f>
        <x:v>21.854146341463416</x:v>
      </x:c>
      <x:c r="L9" s="76" t="n">
        <x:f>Architectures!AK9</x:f>
        <x:v>42</x:v>
      </x:c>
      <x:c r="M9" s="76" t="n">
        <x:f>Architectures!AL9</x:f>
        <x:v>10</x:v>
      </x:c>
      <x:c r="N9" s="76" t="n">
        <x:f>L9*(M9-1)/M9</x:f>
        <x:v>37.8</x:v>
      </x:c>
      <x:c r="O9" s="76" t="str">
        <x:f>IF(G9&gt;=Assumptions!C35,"PASS","FAIL")</x:f>
        <x:v>FAIL</x:v>
      </x:c>
      <x:c r="P9" s="76" t="str">
        <x:f>IF(N9&gt;=K9,"PASS","FAIL")</x:f>
        <x:v>PASS</x:v>
      </x:c>
      <x:c r="Q9" s="77" t="str">
        <x:f>IF(AND(O9="PASS",P9="PASS"),"PASS","FAIL")</x:f>
        <x:v>FAIL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'Mass and Payload'!F10</x:f>
        <x:v>502</x:v>
      </x:c>
      <x:c r="E10" s="78" t="n">
        <x:f>D10*9.81*Architectures!U10*Architectures!V10</x:f>
        <x:v>3053.2644</x:v>
      </x:c>
      <x:c r="F10" s="78" t="n">
        <x:f>D10*9.81*(Assumptions!C27+Architectures!W10)</x:f>
        <x:v>1378.8936</x:v>
      </x:c>
      <x:c r="G10" s="91" t="n">
        <x:f>E10/F10-1</x:f>
        <x:v>1.214285714285714</x:v>
      </x:c>
      <x:c r="H10" s="78" t="n">
        <x:f>Architectures!AE10</x:f>
        <x:v>35</x:v>
      </x:c>
      <x:c r="I10" s="78" t="n">
        <x:f>F10*(H10/3.6)/Assumptions!C37/1000</x:f>
        <x:v>16.34867073170732</x:v>
      </x:c>
      <x:c r="J10" s="78" t="n">
        <x:f>Assumptions!C38</x:f>
        <x:v>2.5</x:v>
      </x:c>
      <x:c r="K10" s="78" t="n">
        <x:f>I10+J10</x:f>
        <x:v>18.84867073170732</x:v>
      </x:c>
      <x:c r="L10" s="78" t="n">
        <x:f>Architectures!AK10</x:f>
        <x:v>32</x:v>
      </x:c>
      <x:c r="M10" s="78" t="n">
        <x:f>Architectures!AL10</x:f>
        <x:v>12</x:v>
      </x:c>
      <x:c r="N10" s="78" t="n">
        <x:f>L10*(M10-1)/M10</x:f>
        <x:v>29.333333333333332</x:v>
      </x:c>
      <x:c r="O10" s="78" t="str">
        <x:f>IF(G10&gt;=Assumptions!C35,"PASS","FAIL")</x:f>
        <x:v>PASS</x:v>
      </x:c>
      <x:c r="P10" s="78" t="str">
        <x:f>IF(N10&gt;=K10,"PASS","FAIL")</x:f>
        <x:v>PASS</x:v>
      </x:c>
      <x:c r="Q10" s="79" t="str">
        <x:f>IF(AND(O10="PASS",P10="PASS"),"PASS","FAIL")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</x:row>
    <x:row r="13">
      <x:c r="B13" s="73" t="str">
        <x:v>Eight-hundred-kilometre mission energy</x:v>
      </x:c>
      <x:c r="C13" s="74" t="str">
        <x:v>Eight-hundred-kilometre mission energy</x:v>
      </x:c>
      <x:c r="D13" s="74" t="str">
        <x:v>Eight-hundred-kilometre mission energy</x:v>
      </x:c>
      <x:c r="E13" s="74" t="str">
        <x:v>Eight-hundred-kilometre mission energy</x:v>
      </x:c>
      <x:c r="F13" s="74" t="str">
        <x:v>Eight-hundred-kilometre mission energy</x:v>
      </x:c>
      <x:c r="G13" s="75" t="str">
        <x:v>Eight-hundred-kilometre mission energy</x:v>
      </x:c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</x:row>
    <x:row r="14">
      <x:c r="B14" s="29" t="str">
        <x:v>ID</x:v>
      </x:c>
      <x:c r="C14" s="30" t="str">
        <x:v>Architecture</x:v>
      </x:c>
      <x:c r="D14" s="30" t="str">
        <x:v>Mission energy MWh</x:v>
      </x:c>
      <x:c r="E14" s="30" t="str">
        <x:v>Onboard energy MWh</x:v>
      </x:c>
      <x:c r="F14" s="30" t="str">
        <x:v>Energy reserve</x:v>
      </x:c>
      <x:c r="G14" s="30" t="str">
        <x:v>Result</x:v>
      </x:c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</x:row>
    <x:row r="15">
      <x:c r="B15" s="76" t="str">
        <x:f>Architectures!B7</x:f>
        <x:v>T1</x:v>
      </x:c>
      <x:c r="C15" s="76" t="str">
        <x:f>Architectures!C7</x:f>
        <x:v>DTC-170 distributed tracked carrier</x:v>
      </x:c>
      <x:c r="D15" s="76" t="n">
        <x:f>Architectures!AH7*'Mass and Payload'!F7*Assumptions!C14/1000+Architectures!AI7</x:f>
        <x:v>418</x:v>
      </x:c>
      <x:c r="E15" s="76" t="n">
        <x:f>Architectures!AJ7</x:f>
        <x:v>520</x:v>
      </x:c>
      <x:c r="F15" s="81" t="n">
        <x:f>E15/D15-1</x:f>
        <x:v>0.2440191387559809</x:v>
      </x:c>
      <x:c r="G15" s="77" t="str">
        <x:f>IF(F15&gt;=Assumptions!C36,"PASS","FAIL")</x:f>
        <x:v>PASS</x:v>
      </x:c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</x:row>
    <x:row r="16">
      <x:c r="B16" s="76" t="str">
        <x:f>Architectures!B8</x:f>
        <x:v>T2</x:v>
      </x:c>
      <x:c r="C16" s="76" t="str">
        <x:f>Architectures!C8</x:f>
        <x:v>LWS-170 load-walking transporter</x:v>
      </x:c>
      <x:c r="D16" s="76" t="n">
        <x:f>Architectures!AH8*'Mass and Payload'!F8*Assumptions!C14/1000+Architectures!AI8</x:f>
        <x:v>849.2</x:v>
      </x:c>
      <x:c r="E16" s="76" t="n">
        <x:f>Architectures!AJ8</x:f>
        <x:v>1100</x:v>
      </x:c>
      <x:c r="F16" s="81" t="n">
        <x:f>E16/D16-1</x:f>
        <x:v>0.2953367875647668</x:v>
      </x:c>
      <x:c r="G16" s="77" t="str">
        <x:f>IF(F16&gt;=Assumptions!C36,"PASS","FAIL")</x:f>
        <x:v>PASS</x:v>
      </x:c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</x:row>
    <x:row r="17">
      <x:c r="B17" s="76" t="str">
        <x:f>Architectures!B9</x:f>
        <x:v>T3</x:v>
      </x:c>
      <x:c r="C17" s="76" t="str">
        <x:f>Architectures!C9</x:f>
        <x:v>ACC-170 amphibious cushion crawler</x:v>
      </x:c>
      <x:c r="D17" s="76" t="n">
        <x:f>Architectures!AH9*'Mass and Payload'!F9*Assumptions!C14/1000+Architectures!AI9</x:f>
        <x:v>1015.2</x:v>
      </x:c>
      <x:c r="E17" s="76" t="n">
        <x:f>Architectures!AJ9</x:f>
        <x:v>1250</x:v>
      </x:c>
      <x:c r="F17" s="81" t="n">
        <x:f>E17/D17-1</x:f>
        <x:v>0.23128447596532697</x:v>
      </x:c>
      <x:c r="G17" s="77" t="str">
        <x:f>IF(F17&gt;=Assumptions!C36,"PASS","FAIL")</x:f>
        <x:v>PASS</x:v>
      </x:c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</x:row>
    <x:row r="18">
      <x:c r="B18" s="78" t="str">
        <x:f>Architectures!B10</x:f>
        <x:v>T4</x:v>
      </x:c>
      <x:c r="C18" s="78" t="str">
        <x:f>Architectures!C10</x:f>
        <x:v>SAT-170 segmented adaptive terrain carrier</x:v>
      </x:c>
      <x:c r="D18" s="78" t="n">
        <x:f>Architectures!AH10*'Mass and Payload'!F10*Assumptions!C14/1000+Architectures!AI10</x:f>
        <x:v>421.36</x:v>
      </x:c>
      <x:c r="E18" s="78" t="n">
        <x:f>Architectures!AJ10</x:f>
        <x:v>600</x:v>
      </x:c>
      <x:c r="F18" s="91" t="n">
        <x:f>E18/D18-1</x:f>
        <x:v>0.4239605088285552</x:v>
      </x:c>
      <x:c r="G18" s="79" t="str">
        <x:f>IF(F18&gt;=Assumptions!C36,"PASS","FAIL")</x:f>
        <x:v>PASS</x:v>
      </x:c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</x:row>
    <x:row r="19">
      <x:c r="B19" s="70"/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0"/>
      <x:c r="N19" s="70"/>
      <x:c r="O19" s="70"/>
      <x:c r="P19" s="70"/>
      <x:c r="Q19" s="70"/>
    </x:row>
    <x:row r="20">
      <x:c r="B20" s="70"/>
      <x:c r="C20" s="70"/>
      <x:c r="D20" s="70"/>
      <x:c r="E20" s="70"/>
      <x:c r="F20" s="70"/>
      <x:c r="G20" s="70"/>
      <x:c r="H20" s="70"/>
      <x:c r="I20" s="70"/>
      <x:c r="J20" s="70"/>
      <x:c r="K20" s="70"/>
      <x:c r="L20" s="70"/>
      <x:c r="M20" s="70"/>
      <x:c r="N20" s="70"/>
      <x:c r="O20" s="70"/>
      <x:c r="P20" s="70"/>
      <x:c r="Q20" s="70"/>
    </x:row>
    <x:row r="21">
      <x:c r="B21" s="70"/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  <x:c r="M21" s="70"/>
      <x:c r="N21" s="70"/>
      <x:c r="O21" s="70"/>
      <x:c r="P21" s="70"/>
      <x:c r="Q21" s="70"/>
    </x:row>
    <x:row r="22">
      <x:c r="B22" s="70"/>
      <x:c r="C22" s="70"/>
      <x:c r="D22" s="70"/>
      <x:c r="E22" s="70"/>
      <x:c r="F22" s="70"/>
      <x:c r="G22" s="70"/>
      <x:c r="H22" s="70"/>
      <x:c r="I22" s="70"/>
      <x:c r="J22" s="70"/>
      <x:c r="K22" s="70"/>
      <x:c r="L22" s="70"/>
      <x:c r="M22" s="70"/>
      <x:c r="N22" s="70"/>
      <x:c r="O22" s="70"/>
      <x:c r="P22" s="70"/>
      <x:c r="Q22" s="70"/>
    </x:row>
    <x:row r="23"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  <x:c r="M23" s="70"/>
      <x:c r="N23" s="70"/>
      <x:c r="O23" s="70"/>
      <x:c r="P23" s="70"/>
      <x:c r="Q23" s="70"/>
    </x:row>
    <x:row r="24"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70"/>
      <x:c r="M24" s="70"/>
      <x:c r="N24" s="70"/>
      <x:c r="O24" s="70"/>
      <x:c r="P24" s="70"/>
      <x:c r="Q24" s="70"/>
    </x:row>
  </x:sheetData>
  <x:mergeCells>
    <x:mergeCell ref="B2:F2"/>
    <x:mergeCell ref="B3:F3"/>
    <x:mergeCell ref="B13:G13"/>
  </x:mergeCells>
  <x:conditionalFormatting sqref="O7:Q10">
    <x:cfRule type="containsText" dxfId="10" priority="1" operator="containsText" text="FAIL"/>
    <x:cfRule type="containsText" dxfId="11" priority="2" operator="containsText" text="PASS"/>
  </x:conditionalFormatting>
  <x:conditionalFormatting sqref="G15:G18">
    <x:cfRule type="containsText" dxfId="12" priority="3" operator="containsText" text="FAIL"/>
    <x:cfRule type="containsText" dxfId="13" priority="4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4" hidden="0" customWidth="1"/>
    <x:col min="5" max="5" width="15" hidden="0" customWidth="1"/>
    <x:col min="6" max="6" width="16" hidden="0" customWidth="1"/>
    <x:col min="7" max="7" width="17" hidden="0" customWidth="1"/>
    <x:col min="8" max="8" width="18" hidden="0" customWidth="1"/>
    <x:col min="9" max="9" width="18" hidden="0" customWidth="1"/>
    <x:col min="10" max="10" width="17" hidden="0" customWidth="1"/>
    <x:col min="11" max="11" width="14" hidden="0" customWidth="1"/>
    <x:col min="12" max="12" width="15" hidden="0" customWidth="1"/>
    <x:col min="13" max="13" width="20" hidden="0" customWidth="1"/>
    <x:col min="14" max="14" width="18" hidden="0" customWidth="1"/>
    <x:col min="15" max="15" width="20" hidden="0" customWidth="1"/>
    <x:col min="16" max="16" width="18" hidden="0" customWidth="1"/>
    <x:col min="17" max="17" width="14" hidden="0" customWidth="1"/>
  </x:cols>
  <x:sheetData>
    <x:row r="2">
      <x:c r="B2" s="69" t="str">
        <x:v>Route physics and public-service clock</x:v>
      </x:c>
      <x:c r="C2" s="69" t="str">
        <x:v>Route physics and public-service clock</x:v>
      </x:c>
      <x:c r="D2" s="69" t="str">
        <x:v>Route physics and public-service clock</x:v>
      </x:c>
      <x:c r="E2" s="69" t="str">
        <x:v>Route physics and public-service clock</x:v>
      </x:c>
      <x:c r="F2" s="69" t="str">
        <x:v>Route physics and public-service clock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</x:row>
    <x:row r="3">
      <x:c r="B3" s="71" t="str">
        <x:v>The clock includes load, terrain work and service build; speed alone cannot buy back route engineering</x:v>
      </x:c>
      <x:c r="C3" s="71" t="str">
        <x:v>The clock includes load, terrain work and service build; speed alone cannot buy back route engineering</x:v>
      </x:c>
      <x:c r="D3" s="71" t="str">
        <x:v>The clock includes load, terrain work and service build; speed alone cannot buy back route engineering</x:v>
      </x:c>
      <x:c r="E3" s="71" t="str">
        <x:v>The clock includes load, terrain work and service build; speed alone cannot buy back route engineering</x:v>
      </x:c>
      <x:c r="F3" s="71" t="str">
        <x:v>The clock includes load, terrain work and service build; speed alone cannot buy back route engineering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</x:row>
    <x:row r="6">
      <x:c r="B6" s="29" t="str">
        <x:v>ID</x:v>
      </x:c>
      <x:c r="C6" s="30" t="str">
        <x:v>Architecture</x:v>
      </x:c>
      <x:c r="D6" s="30" t="str">
        <x:v>Hard h</x:v>
      </x:c>
      <x:c r="E6" s="30" t="str">
        <x:v>Broken h</x:v>
      </x:c>
      <x:c r="F6" s="30" t="str">
        <x:v>Off-road h</x:v>
      </x:c>
      <x:c r="G6" s="30" t="str">
        <x:v>Route work h</x:v>
      </x:c>
      <x:c r="H6" s="30" t="str">
        <x:v>Terrain travel h</x:v>
      </x:c>
      <x:c r="I6" s="30" t="str">
        <x:v>Travel ceiling h</x:v>
      </x:c>
      <x:c r="J6" s="30" t="str">
        <x:v>Travel margin h</x:v>
      </x:c>
      <x:c r="K6" s="30" t="str">
        <x:v>Origin h</x:v>
      </x:c>
      <x:c r="L6" s="30" t="str">
        <x:v>Receiver h</x:v>
      </x:c>
      <x:c r="M6" s="30" t="str">
        <x:v>Relative service h</x:v>
      </x:c>
      <x:c r="N6" s="30" t="str">
        <x:v>Relative margin h</x:v>
      </x:c>
      <x:c r="O6" s="30" t="str">
        <x:v>Absolute service h</x:v>
      </x:c>
      <x:c r="P6" s="30" t="str">
        <x:v>Absolute margin h</x:v>
      </x:c>
      <x:c r="Q6" s="30" t="str">
        <x:v>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Assumptions!C15/Architectures!AD7</x:f>
        <x:v>14.285714285714286</x:v>
      </x:c>
      <x:c r="E7" s="76" t="n">
        <x:f>Assumptions!C16/Architectures!AE7</x:f>
        <x:v>11</x:v>
      </x:c>
      <x:c r="F7" s="76" t="n">
        <x:f>Assumptions!C17/Architectures!AF7</x:f>
        <x:v>8</x:v>
      </x:c>
      <x:c r="G7" s="76" t="n">
        <x:f>Architectures!AG7</x:f>
        <x:v>8</x:v>
      </x:c>
      <x:c r="H7" s="76" t="n">
        <x:f>SUM(D7:G7)</x:f>
        <x:v>41.285714285714285</x:v>
      </x:c>
      <x:c r="I7" s="76" t="n">
        <x:f>Assumptions!C20-Assumptions!C18-Assumptions!C19</x:f>
        <x:v>29</x:v>
      </x:c>
      <x:c r="J7" s="76" t="n">
        <x:f>I7-H7</x:f>
        <x:v>-12.285714285714285</x:v>
      </x:c>
      <x:c r="K7" s="76" t="n">
        <x:f>Assumptions!C18</x:f>
        <x:v>8</x:v>
      </x:c>
      <x:c r="L7" s="76" t="n">
        <x:f>Assumptions!C19</x:f>
        <x:v>8</x:v>
      </x:c>
      <x:c r="M7" s="76" t="n">
        <x:f>K7+H7+L7</x:f>
        <x:v>57.285714285714285</x:v>
      </x:c>
      <x:c r="N7" s="76" t="n">
        <x:f>Assumptions!C20-M7</x:f>
        <x:v>-12.285714285714285</x:v>
      </x:c>
      <x:c r="O7" s="76" t="n">
        <x:f>Assumptions!C21+M7</x:f>
        <x:v>63.285714285714285</x:v>
      </x:c>
      <x:c r="P7" s="76" t="n">
        <x:f>Assumptions!C22-O7</x:f>
        <x:v>-9.285714285714285</x:v>
      </x:c>
      <x:c r="Q7" s="77" t="str">
        <x:f>IF(AND(M7&lt;=Assumptions!C20,O7&lt;=Assumptions!C22),"PASS","FAIL")</x:f>
        <x:v>FAIL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Assumptions!C15/Architectures!AD8</x:f>
        <x:v>27.77777777777778</x:v>
      </x:c>
      <x:c r="E8" s="76" t="n">
        <x:f>Assumptions!C16/Architectures!AE8</x:f>
        <x:v>22</x:v>
      </x:c>
      <x:c r="F8" s="76" t="n">
        <x:f>Assumptions!C17/Architectures!AF8</x:f>
        <x:v>13.333333333333334</x:v>
      </x:c>
      <x:c r="G8" s="76" t="n">
        <x:f>Architectures!AG8</x:f>
        <x:v>4</x:v>
      </x:c>
      <x:c r="H8" s="76" t="n">
        <x:f>SUM(D8:G8)</x:f>
        <x:v>67.11111111111111</x:v>
      </x:c>
      <x:c r="I8" s="76" t="n">
        <x:f>Assumptions!C20-Assumptions!C18-Assumptions!C19</x:f>
        <x:v>29</x:v>
      </x:c>
      <x:c r="J8" s="76" t="n">
        <x:f>I8-H8</x:f>
        <x:v>-38.111111111111114</x:v>
      </x:c>
      <x:c r="K8" s="76" t="n">
        <x:f>Assumptions!C18</x:f>
        <x:v>8</x:v>
      </x:c>
      <x:c r="L8" s="76" t="n">
        <x:f>Assumptions!C19</x:f>
        <x:v>8</x:v>
      </x:c>
      <x:c r="M8" s="76" t="n">
        <x:f>K8+H8+L8</x:f>
        <x:v>83.11111111111111</x:v>
      </x:c>
      <x:c r="N8" s="76" t="n">
        <x:f>Assumptions!C20-M8</x:f>
        <x:v>-38.111111111111114</x:v>
      </x:c>
      <x:c r="O8" s="76" t="n">
        <x:f>Assumptions!C21+M8</x:f>
        <x:v>89.11111111111111</x:v>
      </x:c>
      <x:c r="P8" s="76" t="n">
        <x:f>Assumptions!C22-O8</x:f>
        <x:v>-35.111111111111114</x:v>
      </x:c>
      <x:c r="Q8" s="77" t="str">
        <x:f>IF(AND(M8&lt;=Assumptions!C20,O8&lt;=Assumptions!C22),"PASS","FAIL")</x:f>
        <x:v>FAIL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Assumptions!C15/Architectures!AD9</x:f>
        <x:v>11.11111111111111</x:v>
      </x:c>
      <x:c r="E9" s="76" t="n">
        <x:f>Assumptions!C16/Architectures!AE9</x:f>
        <x:v>5.5</x:v>
      </x:c>
      <x:c r="F9" s="76" t="n">
        <x:f>Assumptions!C17/Architectures!AF9</x:f>
        <x:v>2.2857142857142856</x:v>
      </x:c>
      <x:c r="G9" s="76" t="n">
        <x:f>Architectures!AG9</x:f>
        <x:v>10</x:v>
      </x:c>
      <x:c r="H9" s="76" t="n">
        <x:f>SUM(D9:G9)</x:f>
        <x:v>28.896825396825395</x:v>
      </x:c>
      <x:c r="I9" s="76" t="n">
        <x:f>Assumptions!C20-Assumptions!C18-Assumptions!C19</x:f>
        <x:v>29</x:v>
      </x:c>
      <x:c r="J9" s="76" t="n">
        <x:f>I9-H9</x:f>
        <x:v>0.10317460317460458</x:v>
      </x:c>
      <x:c r="K9" s="76" t="n">
        <x:f>Assumptions!C18</x:f>
        <x:v>8</x:v>
      </x:c>
      <x:c r="L9" s="76" t="n">
        <x:f>Assumptions!C19</x:f>
        <x:v>8</x:v>
      </x:c>
      <x:c r="M9" s="76" t="n">
        <x:f>K9+H9+L9</x:f>
        <x:v>44.89682539682539</x:v>
      </x:c>
      <x:c r="N9" s="76" t="n">
        <x:f>Assumptions!C20-M9</x:f>
        <x:v>0.10317460317460814</x:v>
      </x:c>
      <x:c r="O9" s="76" t="n">
        <x:f>Assumptions!C21+M9</x:f>
        <x:v>50.89682539682539</x:v>
      </x:c>
      <x:c r="P9" s="76" t="n">
        <x:f>Assumptions!C22-O9</x:f>
        <x:v>3.103174603174608</x:v>
      </x:c>
      <x:c r="Q9" s="77" t="str">
        <x:f>IF(AND(M9&lt;=Assumptions!C20,O9&lt;=Assumptions!C22),"PASS","FAIL")</x:f>
        <x:v>PASS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Assumptions!C15/Architectures!AD10</x:f>
        <x:v>9.090909090909092</x:v>
      </x:c>
      <x:c r="E10" s="78" t="n">
        <x:f>Assumptions!C16/Architectures!AE10</x:f>
        <x:v>6.285714285714286</x:v>
      </x:c>
      <x:c r="F10" s="78" t="n">
        <x:f>Assumptions!C17/Architectures!AF10</x:f>
        <x:v>4</x:v>
      </x:c>
      <x:c r="G10" s="78" t="n">
        <x:f>Architectures!AG10</x:f>
        <x:v>4</x:v>
      </x:c>
      <x:c r="H10" s="78" t="n">
        <x:f>SUM(D10:G10)</x:f>
        <x:v>23.376623376623378</x:v>
      </x:c>
      <x:c r="I10" s="78" t="n">
        <x:f>Assumptions!C20-Assumptions!C18-Assumptions!C19</x:f>
        <x:v>29</x:v>
      </x:c>
      <x:c r="J10" s="78" t="n">
        <x:f>I10-H10</x:f>
        <x:v>5.623376623376622</x:v>
      </x:c>
      <x:c r="K10" s="78" t="n">
        <x:f>Assumptions!C18</x:f>
        <x:v>8</x:v>
      </x:c>
      <x:c r="L10" s="78" t="n">
        <x:f>Assumptions!C19</x:f>
        <x:v>8</x:v>
      </x:c>
      <x:c r="M10" s="78" t="n">
        <x:f>K10+H10+L10</x:f>
        <x:v>39.37662337662338</x:v>
      </x:c>
      <x:c r="N10" s="78" t="n">
        <x:f>Assumptions!C20-M10</x:f>
        <x:v>5.623376623376622</x:v>
      </x:c>
      <x:c r="O10" s="78" t="n">
        <x:f>Assumptions!C21+M10</x:f>
        <x:v>45.37662337662338</x:v>
      </x:c>
      <x:c r="P10" s="78" t="n">
        <x:f>Assumptions!C22-O10</x:f>
        <x:v>8.623376623376622</x:v>
      </x:c>
      <x:c r="Q10" s="79" t="str">
        <x:f>IF(AND(M10&lt;=Assumptions!C20,O10&lt;=Assumptions!C22),"PASS","FAIL")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</x:row>
    <x:row r="17"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</x:row>
  </x:sheetData>
  <x:mergeCells>
    <x:mergeCell ref="B2:F2"/>
    <x:mergeCell ref="B3:F3"/>
  </x:mergeCells>
  <x:conditionalFormatting sqref="Q7:Q10">
    <x:cfRule type="containsText" dxfId="14" priority="1" operator="containsText" text="FAIL"/>
    <x:cfRule type="containsText" dxfId="15" priority="2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4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4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4" hidden="0" customWidth="1"/>
    <x:col min="26" max="26" width="14" hidden="0" customWidth="1"/>
  </x:cols>
  <x:sheetData>
    <x:row r="2">
      <x:c r="B2" s="69" t="str">
        <x:v>Compound obstacle and water admission</x:v>
      </x:c>
      <x:c r="C2" s="69" t="str">
        <x:v>Compound obstacle and water admission</x:v>
      </x:c>
      <x:c r="D2" s="69" t="str">
        <x:v>Compound obstacle and water admission</x:v>
      </x:c>
      <x:c r="E2" s="69" t="str">
        <x:v>Compound obstacle and water admission</x:v>
      </x:c>
      <x:c r="F2" s="69" t="str">
        <x:v>Compound obstacle and water admission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  <x:c r="S2" s="70"/>
      <x:c r="T2" s="70"/>
      <x:c r="U2" s="70"/>
      <x:c r="V2" s="70"/>
      <x:c r="W2" s="70"/>
      <x:c r="X2" s="70"/>
      <x:c r="Y2" s="70"/>
      <x:c r="Z2" s="70"/>
    </x:row>
    <x:row r="3">
      <x:c r="B3" s="71" t="str">
        <x:v>A universal terrain carrier must pass every obstacle class without prepared civil infrastructure</x:v>
      </x:c>
      <x:c r="C3" s="71" t="str">
        <x:v>A universal terrain carrier must pass every obstacle class without prepared civil infrastructure</x:v>
      </x:c>
      <x:c r="D3" s="71" t="str">
        <x:v>A universal terrain carrier must pass every obstacle class without prepared civil infrastructure</x:v>
      </x:c>
      <x:c r="E3" s="71" t="str">
        <x:v>A universal terrain carrier must pass every obstacle class without prepared civil infrastructure</x:v>
      </x:c>
      <x:c r="F3" s="71" t="str">
        <x:v>A universal terrain carrier must pass every obstacle class without prepared civil infrastructure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  <x:c r="S3" s="70"/>
      <x:c r="T3" s="70"/>
      <x:c r="U3" s="70"/>
      <x:c r="V3" s="70"/>
      <x:c r="W3" s="70"/>
      <x:c r="X3" s="70"/>
      <x:c r="Y3" s="70"/>
      <x:c r="Z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  <x:c r="S4" s="72"/>
      <x:c r="T4" s="72"/>
      <x:c r="U4" s="72"/>
      <x:c r="V4" s="72"/>
      <x:c r="W4" s="72"/>
      <x:c r="X4" s="72"/>
      <x:c r="Y4" s="72"/>
      <x:c r="Z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  <x:c r="R5" s="70"/>
      <x:c r="S5" s="70"/>
      <x:c r="T5" s="70"/>
      <x:c r="U5" s="70"/>
      <x:c r="V5" s="70"/>
      <x:c r="W5" s="70"/>
      <x:c r="X5" s="70"/>
      <x:c r="Y5" s="70"/>
      <x:c r="Z5" s="70"/>
    </x:row>
    <x:row r="6">
      <x:c r="B6" s="29" t="str">
        <x:v>ID</x:v>
      </x:c>
      <x:c r="C6" s="30" t="str">
        <x:v>Architecture</x:v>
      </x:c>
      <x:c r="D6" s="30" t="str">
        <x:v>Grade cap</x:v>
      </x:c>
      <x:c r="E6" s="30" t="str">
        <x:v>Required</x:v>
      </x:c>
      <x:c r="F6" s="30" t="str">
        <x:v>Grade</x:v>
      </x:c>
      <x:c r="G6" s="30" t="str">
        <x:v>Side cap</x:v>
      </x:c>
      <x:c r="H6" s="30" t="str">
        <x:v>Required</x:v>
      </x:c>
      <x:c r="I6" s="30" t="str">
        <x:v>Side</x:v>
      </x:c>
      <x:c r="J6" s="30" t="str">
        <x:v>Step m</x:v>
      </x:c>
      <x:c r="K6" s="30" t="str">
        <x:v>Required</x:v>
      </x:c>
      <x:c r="L6" s="30" t="str">
        <x:v>Step</x:v>
      </x:c>
      <x:c r="M6" s="30" t="str">
        <x:v>Gap m</x:v>
      </x:c>
      <x:c r="N6" s="30" t="str">
        <x:v>Required</x:v>
      </x:c>
      <x:c r="O6" s="30" t="str">
        <x:v>Gap</x:v>
      </x:c>
      <x:c r="P6" s="30" t="str">
        <x:v>Water m</x:v>
      </x:c>
      <x:c r="Q6" s="30" t="str">
        <x:v>Required</x:v>
      </x:c>
      <x:c r="R6" s="30" t="str">
        <x:v>Water</x:v>
      </x:c>
      <x:c r="S6" s="30" t="str">
        <x:v>Width m</x:v>
      </x:c>
      <x:c r="T6" s="30" t="str">
        <x:v>Maximum</x:v>
      </x:c>
      <x:c r="U6" s="30" t="str">
        <x:v>Width</x:v>
      </x:c>
      <x:c r="V6" s="30" t="str">
        <x:v>Turn m</x:v>
      </x:c>
      <x:c r="W6" s="30" t="str">
        <x:v>Maximum</x:v>
      </x:c>
      <x:c r="X6" s="30" t="str">
        <x:v>Turn</x:v>
      </x:c>
      <x:c r="Y6" s="30" t="str">
        <x:v>Pass count</x:v>
      </x:c>
      <x:c r="Z6" s="30" t="str">
        <x:v>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81" t="n">
        <x:f>Architectures!X7</x:f>
        <x:v>0.22</x:v>
      </x:c>
      <x:c r="E7" s="81" t="n">
        <x:f>Assumptions!C27</x:f>
        <x:v>0.2</x:v>
      </x:c>
      <x:c r="F7" s="76" t="str">
        <x:f>IF(D7&gt;=E7,"PASS","FAIL")</x:f>
        <x:v>PASS</x:v>
      </x:c>
      <x:c r="G7" s="81" t="n">
        <x:f>Architectures!Y7</x:f>
        <x:v>0.14</x:v>
      </x:c>
      <x:c r="H7" s="81" t="n">
        <x:f>Assumptions!C28</x:f>
        <x:v>0.12</x:v>
      </x:c>
      <x:c r="I7" s="76" t="str">
        <x:f>IF(G7&gt;=H7,"PASS","FAIL")</x:f>
        <x:v>PASS</x:v>
      </x:c>
      <x:c r="J7" s="76" t="n">
        <x:f>Architectures!Z7</x:f>
        <x:v>1.2</x:v>
      </x:c>
      <x:c r="K7" s="76" t="n">
        <x:f>Assumptions!C29</x:f>
        <x:v>1.5</x:v>
      </x:c>
      <x:c r="L7" s="76" t="str">
        <x:f>IF(J7&gt;=K7,"PASS","FAIL")</x:f>
        <x:v>FAIL</x:v>
      </x:c>
      <x:c r="M7" s="76" t="n">
        <x:f>Architectures!AA7</x:f>
        <x:v>8</x:v>
      </x:c>
      <x:c r="N7" s="76" t="n">
        <x:f>Assumptions!C30</x:f>
        <x:v>20</x:v>
      </x:c>
      <x:c r="O7" s="76" t="str">
        <x:f>IF(M7&gt;=N7,"PASS","FAIL")</x:f>
        <x:v>FAIL</x:v>
      </x:c>
      <x:c r="P7" s="76" t="n">
        <x:f>Architectures!AB7</x:f>
        <x:v>1.8</x:v>
      </x:c>
      <x:c r="Q7" s="76" t="n">
        <x:f>Assumptions!C31</x:f>
        <x:v>2</x:v>
      </x:c>
      <x:c r="R7" s="76" t="str">
        <x:f>IF(P7&gt;=Q7,"PASS","FAIL")</x:f>
        <x:v>FAIL</x:v>
      </x:c>
      <x:c r="S7" s="76" t="n">
        <x:f>Architectures!Q7</x:f>
        <x:v>8.2</x:v>
      </x:c>
      <x:c r="T7" s="76" t="n">
        <x:f>Assumptions!C25</x:f>
        <x:v>12</x:v>
      </x:c>
      <x:c r="U7" s="76" t="str">
        <x:f>IF(S7&lt;=T7,"PASS","FAIL")</x:f>
        <x:v>PASS</x:v>
      </x:c>
      <x:c r="V7" s="76" t="n">
        <x:f>Architectures!AC7</x:f>
        <x:v>32</x:v>
      </x:c>
      <x:c r="W7" s="76" t="n">
        <x:f>Assumptions!C26</x:f>
        <x:v>25</x:v>
      </x:c>
      <x:c r="X7" s="76" t="str">
        <x:f>IF(V7&lt;=W7,"PASS","FAIL")</x:f>
        <x:v>FAIL</x:v>
      </x:c>
      <x:c r="Y7" s="76" t="n">
        <x:f>COUNTIFS(F7:X7,"PASS")</x:f>
        <x:v>3</x:v>
      </x:c>
      <x:c r="Z7" s="77" t="str">
        <x:f>IF(Y7=7,"PASS","FAIL")</x:f>
        <x:v>FAIL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81" t="n">
        <x:f>Architectures!X8</x:f>
        <x:v>0.25</x:v>
      </x:c>
      <x:c r="E8" s="81" t="n">
        <x:f>Assumptions!C27</x:f>
        <x:v>0.2</x:v>
      </x:c>
      <x:c r="F8" s="76" t="str">
        <x:f>IF(D8&gt;=E8,"PASS","FAIL")</x:f>
        <x:v>PASS</x:v>
      </x:c>
      <x:c r="G8" s="81" t="n">
        <x:f>Architectures!Y8</x:f>
        <x:v>0.18</x:v>
      </x:c>
      <x:c r="H8" s="81" t="n">
        <x:f>Assumptions!C28</x:f>
        <x:v>0.12</x:v>
      </x:c>
      <x:c r="I8" s="76" t="str">
        <x:f>IF(G8&gt;=H8,"PASS","FAIL")</x:f>
        <x:v>PASS</x:v>
      </x:c>
      <x:c r="J8" s="76" t="n">
        <x:f>Architectures!Z8</x:f>
        <x:v>2.5</x:v>
      </x:c>
      <x:c r="K8" s="76" t="n">
        <x:f>Assumptions!C29</x:f>
        <x:v>1.5</x:v>
      </x:c>
      <x:c r="L8" s="76" t="str">
        <x:f>IF(J8&gt;=K8,"PASS","FAIL")</x:f>
        <x:v>PASS</x:v>
      </x:c>
      <x:c r="M8" s="76" t="n">
        <x:f>Architectures!AA8</x:f>
        <x:v>12</x:v>
      </x:c>
      <x:c r="N8" s="76" t="n">
        <x:f>Assumptions!C30</x:f>
        <x:v>20</x:v>
      </x:c>
      <x:c r="O8" s="76" t="str">
        <x:f>IF(M8&gt;=N8,"PASS","FAIL")</x:f>
        <x:v>FAIL</x:v>
      </x:c>
      <x:c r="P8" s="76" t="n">
        <x:f>Architectures!AB8</x:f>
        <x:v>1.5</x:v>
      </x:c>
      <x:c r="Q8" s="76" t="n">
        <x:f>Assumptions!C31</x:f>
        <x:v>2</x:v>
      </x:c>
      <x:c r="R8" s="76" t="str">
        <x:f>IF(P8&gt;=Q8,"PASS","FAIL")</x:f>
        <x:v>FAIL</x:v>
      </x:c>
      <x:c r="S8" s="76" t="n">
        <x:f>Architectures!Q8</x:f>
        <x:v>9.5</x:v>
      </x:c>
      <x:c r="T8" s="76" t="n">
        <x:f>Assumptions!C25</x:f>
        <x:v>12</x:v>
      </x:c>
      <x:c r="U8" s="76" t="str">
        <x:f>IF(S8&lt;=T8,"PASS","FAIL")</x:f>
        <x:v>PASS</x:v>
      </x:c>
      <x:c r="V8" s="76" t="n">
        <x:f>Architectures!AC8</x:f>
        <x:v>14</x:v>
      </x:c>
      <x:c r="W8" s="76" t="n">
        <x:f>Assumptions!C26</x:f>
        <x:v>25</x:v>
      </x:c>
      <x:c r="X8" s="76" t="str">
        <x:f>IF(V8&lt;=W8,"PASS","FAIL")</x:f>
        <x:v>PASS</x:v>
      </x:c>
      <x:c r="Y8" s="76" t="n">
        <x:f>COUNTIFS(F8:X8,"PASS")</x:f>
        <x:v>5</x:v>
      </x:c>
      <x:c r="Z8" s="77" t="str">
        <x:f>IF(Y8=7,"PASS","FAIL")</x:f>
        <x:v>FAIL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81" t="n">
        <x:f>Architectures!X9</x:f>
        <x:v>0.08</x:v>
      </x:c>
      <x:c r="E9" s="81" t="n">
        <x:f>Assumptions!C27</x:f>
        <x:v>0.2</x:v>
      </x:c>
      <x:c r="F9" s="76" t="str">
        <x:f>IF(D9&gt;=E9,"PASS","FAIL")</x:f>
        <x:v>FAIL</x:v>
      </x:c>
      <x:c r="G9" s="81" t="n">
        <x:f>Architectures!Y9</x:f>
        <x:v>0.06</x:v>
      </x:c>
      <x:c r="H9" s="81" t="n">
        <x:f>Assumptions!C28</x:f>
        <x:v>0.12</x:v>
      </x:c>
      <x:c r="I9" s="76" t="str">
        <x:f>IF(G9&gt;=H9,"PASS","FAIL")</x:f>
        <x:v>FAIL</x:v>
      </x:c>
      <x:c r="J9" s="76" t="n">
        <x:f>Architectures!Z9</x:f>
        <x:v>0.5</x:v>
      </x:c>
      <x:c r="K9" s="76" t="n">
        <x:f>Assumptions!C29</x:f>
        <x:v>1.5</x:v>
      </x:c>
      <x:c r="L9" s="76" t="str">
        <x:f>IF(J9&gt;=K9,"PASS","FAIL")</x:f>
        <x:v>FAIL</x:v>
      </x:c>
      <x:c r="M9" s="76" t="n">
        <x:f>Architectures!AA9</x:f>
        <x:v>0</x:v>
      </x:c>
      <x:c r="N9" s="76" t="n">
        <x:f>Assumptions!C30</x:f>
        <x:v>20</x:v>
      </x:c>
      <x:c r="O9" s="76" t="str">
        <x:f>IF(M9&gt;=N9,"PASS","FAIL")</x:f>
        <x:v>FAIL</x:v>
      </x:c>
      <x:c r="P9" s="76" t="n">
        <x:f>Architectures!AB9</x:f>
        <x:v>5</x:v>
      </x:c>
      <x:c r="Q9" s="76" t="n">
        <x:f>Assumptions!C31</x:f>
        <x:v>2</x:v>
      </x:c>
      <x:c r="R9" s="76" t="str">
        <x:f>IF(P9&gt;=Q9,"PASS","FAIL")</x:f>
        <x:v>PASS</x:v>
      </x:c>
      <x:c r="S9" s="76" t="n">
        <x:f>Architectures!Q9</x:f>
        <x:v>16</x:v>
      </x:c>
      <x:c r="T9" s="76" t="n">
        <x:f>Assumptions!C25</x:f>
        <x:v>12</x:v>
      </x:c>
      <x:c r="U9" s="76" t="str">
        <x:f>IF(S9&lt;=T9,"PASS","FAIL")</x:f>
        <x:v>FAIL</x:v>
      </x:c>
      <x:c r="V9" s="76" t="n">
        <x:f>Architectures!AC9</x:f>
        <x:v>40</x:v>
      </x:c>
      <x:c r="W9" s="76" t="n">
        <x:f>Assumptions!C26</x:f>
        <x:v>25</x:v>
      </x:c>
      <x:c r="X9" s="76" t="str">
        <x:f>IF(V9&lt;=W9,"PASS","FAIL")</x:f>
        <x:v>FAIL</x:v>
      </x:c>
      <x:c r="Y9" s="76" t="n">
        <x:f>COUNTIFS(F9:X9,"PASS")</x:f>
        <x:v>1</x:v>
      </x:c>
      <x:c r="Z9" s="77" t="str">
        <x:f>IF(Y9=7,"PASS","FAIL")</x:f>
        <x:v>FAIL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91" t="n">
        <x:f>Architectures!X10</x:f>
        <x:v>0.25</x:v>
      </x:c>
      <x:c r="E10" s="91" t="n">
        <x:f>Assumptions!C27</x:f>
        <x:v>0.2</x:v>
      </x:c>
      <x:c r="F10" s="78" t="str">
        <x:f>IF(D10&gt;=E10,"PASS","FAIL")</x:f>
        <x:v>PASS</x:v>
      </x:c>
      <x:c r="G10" s="91" t="n">
        <x:f>Architectures!Y10</x:f>
        <x:v>0.16</x:v>
      </x:c>
      <x:c r="H10" s="91" t="n">
        <x:f>Assumptions!C28</x:f>
        <x:v>0.12</x:v>
      </x:c>
      <x:c r="I10" s="78" t="str">
        <x:f>IF(G10&gt;=H10,"PASS","FAIL")</x:f>
        <x:v>PASS</x:v>
      </x:c>
      <x:c r="J10" s="78" t="n">
        <x:f>Architectures!Z10</x:f>
        <x:v>1.8</x:v>
      </x:c>
      <x:c r="K10" s="78" t="n">
        <x:f>Assumptions!C29</x:f>
        <x:v>1.5</x:v>
      </x:c>
      <x:c r="L10" s="78" t="str">
        <x:f>IF(J10&gt;=K10,"PASS","FAIL")</x:f>
        <x:v>PASS</x:v>
      </x:c>
      <x:c r="M10" s="78" t="n">
        <x:f>Architectures!AA10</x:f>
        <x:v>25</x:v>
      </x:c>
      <x:c r="N10" s="78" t="n">
        <x:f>Assumptions!C30</x:f>
        <x:v>20</x:v>
      </x:c>
      <x:c r="O10" s="78" t="str">
        <x:f>IF(M10&gt;=N10,"PASS","FAIL")</x:f>
        <x:v>PASS</x:v>
      </x:c>
      <x:c r="P10" s="78" t="n">
        <x:f>Architectures!AB10</x:f>
        <x:v>2.5</x:v>
      </x:c>
      <x:c r="Q10" s="78" t="n">
        <x:f>Assumptions!C31</x:f>
        <x:v>2</x:v>
      </x:c>
      <x:c r="R10" s="78" t="str">
        <x:f>IF(P10&gt;=Q10,"PASS","FAIL")</x:f>
        <x:v>PASS</x:v>
      </x:c>
      <x:c r="S10" s="78" t="n">
        <x:f>Architectures!Q10</x:f>
        <x:v>8.6</x:v>
      </x:c>
      <x:c r="T10" s="78" t="n">
        <x:f>Assumptions!C25</x:f>
        <x:v>12</x:v>
      </x:c>
      <x:c r="U10" s="78" t="str">
        <x:f>IF(S10&lt;=T10,"PASS","FAIL")</x:f>
        <x:v>PASS</x:v>
      </x:c>
      <x:c r="V10" s="78" t="n">
        <x:f>Architectures!AC10</x:f>
        <x:v>18</x:v>
      </x:c>
      <x:c r="W10" s="78" t="n">
        <x:f>Assumptions!C26</x:f>
        <x:v>25</x:v>
      </x:c>
      <x:c r="X10" s="78" t="str">
        <x:f>IF(V10&lt;=W10,"PASS","FAIL")</x:f>
        <x:v>PASS</x:v>
      </x:c>
      <x:c r="Y10" s="78" t="n">
        <x:f>COUNTIFS(F10:X10,"PASS")</x:f>
        <x:v>7</x:v>
      </x:c>
      <x:c r="Z10" s="79" t="str">
        <x:f>IF(Y10=7,"PASS","FAIL")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  <x:c r="S11" s="70"/>
      <x:c r="T11" s="70"/>
      <x:c r="U11" s="70"/>
      <x:c r="V11" s="70"/>
      <x:c r="W11" s="70"/>
      <x:c r="X11" s="70"/>
      <x:c r="Y11" s="70"/>
      <x:c r="Z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  <x:c r="S12" s="70"/>
      <x:c r="T12" s="70"/>
      <x:c r="U12" s="70"/>
      <x:c r="V12" s="70"/>
      <x:c r="W12" s="70"/>
      <x:c r="X12" s="70"/>
      <x:c r="Y12" s="70"/>
      <x:c r="Z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  <x:c r="S13" s="70"/>
      <x:c r="T13" s="70"/>
      <x:c r="U13" s="70"/>
      <x:c r="V13" s="70"/>
      <x:c r="W13" s="70"/>
      <x:c r="X13" s="70"/>
      <x:c r="Y13" s="70"/>
      <x:c r="Z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  <x:c r="S14" s="70"/>
      <x:c r="T14" s="70"/>
      <x:c r="U14" s="70"/>
      <x:c r="V14" s="70"/>
      <x:c r="W14" s="70"/>
      <x:c r="X14" s="70"/>
      <x:c r="Y14" s="70"/>
      <x:c r="Z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  <x:c r="S15" s="70"/>
      <x:c r="T15" s="70"/>
      <x:c r="U15" s="70"/>
      <x:c r="V15" s="70"/>
      <x:c r="W15" s="70"/>
      <x:c r="X15" s="70"/>
      <x:c r="Y15" s="70"/>
      <x:c r="Z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  <x:c r="S16" s="70"/>
      <x:c r="T16" s="70"/>
      <x:c r="U16" s="70"/>
      <x:c r="V16" s="70"/>
      <x:c r="W16" s="70"/>
      <x:c r="X16" s="70"/>
      <x:c r="Y16" s="70"/>
      <x:c r="Z16" s="70"/>
    </x:row>
    <x:row r="17"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  <x:c r="S17" s="70"/>
      <x:c r="T17" s="70"/>
      <x:c r="U17" s="70"/>
      <x:c r="V17" s="70"/>
      <x:c r="W17" s="70"/>
      <x:c r="X17" s="70"/>
      <x:c r="Y17" s="70"/>
      <x:c r="Z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  <x:c r="S18" s="70"/>
      <x:c r="T18" s="70"/>
      <x:c r="U18" s="70"/>
      <x:c r="V18" s="70"/>
      <x:c r="W18" s="70"/>
      <x:c r="X18" s="70"/>
      <x:c r="Y18" s="70"/>
      <x:c r="Z18" s="70"/>
    </x:row>
  </x:sheetData>
  <x:mergeCells>
    <x:mergeCell ref="B2:F2"/>
    <x:mergeCell ref="B3:F3"/>
  </x:mergeCells>
  <x:conditionalFormatting sqref="F7:Z10">
    <x:cfRule type="containsText" dxfId="16" priority="1" operator="containsText" text="FAIL"/>
    <x:cfRule type="containsText" dxfId="17" priority="2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  <x:col min="8" max="8" width="17" hidden="0" customWidth="1"/>
    <x:col min="9" max="9" width="19" hidden="0" customWidth="1"/>
    <x:col min="10" max="10" width="16" hidden="0" customWidth="1"/>
    <x:col min="11" max="11" width="14" hidden="0" customWidth="1"/>
    <x:col min="12" max="12" width="15" hidden="0" customWidth="1"/>
    <x:col min="13" max="13" width="17" hidden="0" customWidth="1"/>
    <x:col min="14" max="14" width="17" hidden="0" customWidth="1"/>
    <x:col min="15" max="15" width="17" hidden="0" customWidth="1"/>
    <x:col min="16" max="16" width="20" hidden="0" customWidth="1"/>
  </x:cols>
  <x:sheetData>
    <x:row r="2">
      <x:c r="B2" s="69" t="str">
        <x:v>Recovery, damage tolerance and route-kit residual</x:v>
      </x:c>
      <x:c r="C2" s="69" t="str">
        <x:v>Recovery, damage tolerance and route-kit residual</x:v>
      </x:c>
      <x:c r="D2" s="69" t="str">
        <x:v>Recovery, damage tolerance and route-kit residual</x:v>
      </x:c>
      <x:c r="E2" s="69" t="str">
        <x:v>Recovery, damage tolerance and route-kit residual</x:v>
      </x:c>
      <x:c r="F2" s="69" t="str">
        <x:v>Recovery, damage tolerance and route-kit residual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>
      <x:c r="B3" s="71" t="str">
        <x:v>A mobility system is admitted only if it can restore itself and retain the required bridge after one panel loss</x:v>
      </x:c>
      <x:c r="C3" s="71" t="str">
        <x:v>A mobility system is admitted only if it can restore itself and retain the required bridge after one panel loss</x:v>
      </x:c>
      <x:c r="D3" s="71" t="str">
        <x:v>A mobility system is admitted only if it can restore itself and retain the required bridge after one panel loss</x:v>
      </x:c>
      <x:c r="E3" s="71" t="str">
        <x:v>A mobility system is admitted only if it can restore itself and retain the required bridge after one panel loss</x:v>
      </x:c>
      <x:c r="F3" s="71" t="str">
        <x:v>A mobility system is admitted only if it can restore itself and retain the required bridge after one panel loss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</x:row>
    <x:row r="6">
      <x:c r="B6" s="29" t="str">
        <x:v>ID</x:v>
      </x:c>
      <x:c r="C6" s="30" t="str">
        <x:v>Architecture</x:v>
      </x:c>
      <x:c r="D6" s="30" t="str">
        <x:v>Pull ratio</x:v>
      </x:c>
      <x:c r="E6" s="30" t="str">
        <x:v>Required</x:v>
      </x:c>
      <x:c r="F6" s="30" t="str">
        <x:v>Pull result</x:v>
      </x:c>
      <x:c r="G6" s="30" t="str">
        <x:v>Drive modules</x:v>
      </x:c>
      <x:c r="H6" s="30" t="str">
        <x:v>One module lost</x:v>
      </x:c>
      <x:c r="I6" s="30" t="str">
        <x:v>Remaining modules</x:v>
      </x:c>
      <x:c r="J6" s="30" t="str">
        <x:v>Module result</x:v>
      </x:c>
      <x:c r="K6" s="30" t="str">
        <x:v>Gap kit m</x:v>
      </x:c>
      <x:c r="L6" s="30" t="str">
        <x:v>Panel loss m</x:v>
      </x:c>
      <x:c r="M6" s="30" t="str">
        <x:v>Residual gap m</x:v>
      </x:c>
      <x:c r="N6" s="30" t="str">
        <x:v>Required gap m</x:v>
      </x:c>
      <x:c r="O6" s="30" t="str">
        <x:v>Bridge result</x:v>
      </x:c>
      <x:c r="P6" s="30" t="str">
        <x:v>Combined recovery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Architectures!AM7</x:f>
        <x:v>1.1</x:v>
      </x:c>
      <x:c r="E7" s="76" t="n">
        <x:f>Assumptions!C39</x:f>
        <x:v>1.2</x:v>
      </x:c>
      <x:c r="F7" s="76" t="str">
        <x:f>IF(D7&gt;=E7,"PASS","FAIL")</x:f>
        <x:v>FAIL</x:v>
      </x:c>
      <x:c r="G7" s="76" t="n">
        <x:f>Architectures!AL7</x:f>
        <x:v>12</x:v>
      </x:c>
      <x:c r="H7" s="76" t="n">
        <x:v>1</x:v>
      </x:c>
      <x:c r="I7" s="76" t="n">
        <x:f>G7-H7</x:f>
        <x:v>11</x:v>
      </x:c>
      <x:c r="J7" s="76" t="str">
        <x:f>IF(I7&gt;=8,"PASS","FAIL")</x:f>
        <x:v>PASS</x:v>
      </x:c>
      <x:c r="K7" s="76" t="n">
        <x:f>Architectures!AA7</x:f>
        <x:v>8</x:v>
      </x:c>
      <x:c r="L7" s="76" t="n">
        <x:v>5</x:v>
      </x:c>
      <x:c r="M7" s="76" t="n">
        <x:f>MAX(0,K7-L7)</x:f>
        <x:v>3</x:v>
      </x:c>
      <x:c r="N7" s="76" t="n">
        <x:f>Assumptions!C30</x:f>
        <x:v>20</x:v>
      </x:c>
      <x:c r="O7" s="76" t="str">
        <x:f>IF(M7&gt;=N7,"PASS","FAIL")</x:f>
        <x:v>FAIL</x:v>
      </x:c>
      <x:c r="P7" s="77" t="str">
        <x:f>IF(AND(F7="PASS",J7="PASS",O7="PASS"),"PASS","FAIL")</x:f>
        <x:v>FAIL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Architectures!AM8</x:f>
        <x:v>1.5</x:v>
      </x:c>
      <x:c r="E8" s="76" t="n">
        <x:f>Assumptions!C39</x:f>
        <x:v>1.2</x:v>
      </x:c>
      <x:c r="F8" s="76" t="str">
        <x:f>IF(D8&gt;=E8,"PASS","FAIL")</x:f>
        <x:v>PASS</x:v>
      </x:c>
      <x:c r="G8" s="76" t="n">
        <x:f>Architectures!AL8</x:f>
        <x:v>16</x:v>
      </x:c>
      <x:c r="H8" s="76" t="n">
        <x:v>1</x:v>
      </x:c>
      <x:c r="I8" s="76" t="n">
        <x:f>G8-H8</x:f>
        <x:v>15</x:v>
      </x:c>
      <x:c r="J8" s="76" t="str">
        <x:f>IF(I8&gt;=8,"PASS","FAIL")</x:f>
        <x:v>PASS</x:v>
      </x:c>
      <x:c r="K8" s="76" t="n">
        <x:f>Architectures!AA8</x:f>
        <x:v>12</x:v>
      </x:c>
      <x:c r="L8" s="76" t="n">
        <x:v>5</x:v>
      </x:c>
      <x:c r="M8" s="76" t="n">
        <x:f>MAX(0,K8-L8)</x:f>
        <x:v>7</x:v>
      </x:c>
      <x:c r="N8" s="76" t="n">
        <x:f>Assumptions!C30</x:f>
        <x:v>20</x:v>
      </x:c>
      <x:c r="O8" s="76" t="str">
        <x:f>IF(M8&gt;=N8,"PASS","FAIL")</x:f>
        <x:v>FAIL</x:v>
      </x:c>
      <x:c r="P8" s="77" t="str">
        <x:f>IF(AND(F8="PASS",J8="PASS",O8="PASS"),"PASS","FAIL")</x:f>
        <x:v>FAIL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Architectures!AM9</x:f>
        <x:v>0.8</x:v>
      </x:c>
      <x:c r="E9" s="76" t="n">
        <x:f>Assumptions!C39</x:f>
        <x:v>1.2</x:v>
      </x:c>
      <x:c r="F9" s="76" t="str">
        <x:f>IF(D9&gt;=E9,"PASS","FAIL")</x:f>
        <x:v>FAIL</x:v>
      </x:c>
      <x:c r="G9" s="76" t="n">
        <x:f>Architectures!AL9</x:f>
        <x:v>10</x:v>
      </x:c>
      <x:c r="H9" s="76" t="n">
        <x:v>1</x:v>
      </x:c>
      <x:c r="I9" s="76" t="n">
        <x:f>G9-H9</x:f>
        <x:v>9</x:v>
      </x:c>
      <x:c r="J9" s="76" t="str">
        <x:f>IF(I9&gt;=8,"PASS","FAIL")</x:f>
        <x:v>PASS</x:v>
      </x:c>
      <x:c r="K9" s="76" t="n">
        <x:f>Architectures!AA9</x:f>
        <x:v>0</x:v>
      </x:c>
      <x:c r="L9" s="76" t="n">
        <x:v>5</x:v>
      </x:c>
      <x:c r="M9" s="76" t="n">
        <x:f>MAX(0,K9-L9)</x:f>
        <x:v>0</x:v>
      </x:c>
      <x:c r="N9" s="76" t="n">
        <x:f>Assumptions!C30</x:f>
        <x:v>20</x:v>
      </x:c>
      <x:c r="O9" s="76" t="str">
        <x:f>IF(M9&gt;=N9,"PASS","FAIL")</x:f>
        <x:v>FAIL</x:v>
      </x:c>
      <x:c r="P9" s="77" t="str">
        <x:f>IF(AND(F9="PASS",J9="PASS",O9="PASS"),"PASS","FAIL")</x:f>
        <x:v>FAIL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Architectures!AM10</x:f>
        <x:v>1.4</x:v>
      </x:c>
      <x:c r="E10" s="78" t="n">
        <x:f>Assumptions!C39</x:f>
        <x:v>1.2</x:v>
      </x:c>
      <x:c r="F10" s="78" t="str">
        <x:f>IF(D10&gt;=E10,"PASS","FAIL")</x:f>
        <x:v>PASS</x:v>
      </x:c>
      <x:c r="G10" s="78" t="n">
        <x:f>Architectures!AL10</x:f>
        <x:v>12</x:v>
      </x:c>
      <x:c r="H10" s="78" t="n">
        <x:v>1</x:v>
      </x:c>
      <x:c r="I10" s="78" t="n">
        <x:f>G10-H10</x:f>
        <x:v>11</x:v>
      </x:c>
      <x:c r="J10" s="78" t="str">
        <x:f>IF(I10&gt;=8,"PASS","FAIL")</x:f>
        <x:v>PASS</x:v>
      </x:c>
      <x:c r="K10" s="78" t="n">
        <x:f>Architectures!AA10</x:f>
        <x:v>25</x:v>
      </x:c>
      <x:c r="L10" s="78" t="n">
        <x:v>5</x:v>
      </x:c>
      <x:c r="M10" s="78" t="n">
        <x:f>MAX(0,K10-L10)</x:f>
        <x:v>20</x:v>
      </x:c>
      <x:c r="N10" s="78" t="n">
        <x:f>Assumptions!C30</x:f>
        <x:v>20</x:v>
      </x:c>
      <x:c r="O10" s="78" t="str">
        <x:f>IF(M10&gt;=N10,"PASS","FAIL")</x:f>
        <x:v>PASS</x:v>
      </x:c>
      <x:c r="P10" s="79" t="str">
        <x:f>IF(AND(F10="PASS",J10="PASS",O10="PASS"),"PASS","FAIL")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</x:row>
    <x:row r="17"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</x:row>
  </x:sheetData>
  <x:mergeCells>
    <x:mergeCell ref="B2:F2"/>
    <x:mergeCell ref="B3:F3"/>
  </x:mergeCells>
  <x:conditionalFormatting sqref="F7:P10">
    <x:cfRule type="containsText" dxfId="18" priority="1" operator="containsText" text="FAIL"/>
    <x:cfRule type="containsText" dxfId="19" priority="2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9" hidden="0" customWidth="1"/>
    <x:col min="3" max="3" width="37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4" hidden="0" customWidth="1"/>
    <x:col min="9" max="9" width="13" hidden="0" customWidth="1"/>
    <x:col min="10" max="10" width="15" hidden="0" customWidth="1"/>
    <x:col min="11" max="11" width="14" hidden="0" customWidth="1"/>
    <x:col min="12" max="12" width="13" hidden="0" customWidth="1"/>
    <x:col min="13" max="13" width="15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14" hidden="0" customWidth="1"/>
  </x:cols>
  <x:sheetData>
    <x:row r="2">
      <x:c r="B2" s="69" t="str">
        <x:v>Receiver admission and payload availability</x:v>
      </x:c>
      <x:c r="C2" s="69" t="str">
        <x:v>Receiver admission and payload availability</x:v>
      </x:c>
      <x:c r="D2" s="69" t="str">
        <x:v>Receiver admission and payload availability</x:v>
      </x:c>
      <x:c r="E2" s="69" t="str">
        <x:v>Receiver admission and payload availability</x:v>
      </x:c>
      <x:c r="F2" s="69" t="str">
        <x:v>Receiver admission and payload availability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  <x:c r="Q2" s="70"/>
      <x:c r="R2" s="70"/>
    </x:row>
    <x:row r="3">
      <x:c r="B3" s="71" t="str">
        <x:v>The vehicle must enter the weak pad, turn, unload without external cranes and leave public access usable</x:v>
      </x:c>
      <x:c r="C3" s="71" t="str">
        <x:v>The vehicle must enter the weak pad, turn, unload without external cranes and leave public access usable</x:v>
      </x:c>
      <x:c r="D3" s="71" t="str">
        <x:v>The vehicle must enter the weak pad, turn, unload without external cranes and leave public access usable</x:v>
      </x:c>
      <x:c r="E3" s="71" t="str">
        <x:v>The vehicle must enter the weak pad, turn, unload without external cranes and leave public access usable</x:v>
      </x:c>
      <x:c r="F3" s="71" t="str">
        <x:v>The vehicle must enter the weak pad, turn, unload without external cranes and leave public access usable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  <x:c r="Q3" s="70"/>
      <x:c r="R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  <x:c r="Q4" s="72"/>
      <x:c r="R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  <x:c r="Q5" s="70"/>
      <x:c r="R5" s="70"/>
    </x:row>
    <x:row r="6">
      <x:c r="B6" s="29" t="str">
        <x:v>ID</x:v>
      </x:c>
      <x:c r="C6" s="30" t="str">
        <x:v>Architecture</x:v>
      </x:c>
      <x:c r="D6" s="30" t="str">
        <x:v>Mission gross t</x:v>
      </x:c>
      <x:c r="E6" s="30" t="str">
        <x:v>Contact area m2</x:v>
      </x:c>
      <x:c r="F6" s="30" t="str">
        <x:v>Pressure kPa</x:v>
      </x:c>
      <x:c r="G6" s="30" t="str">
        <x:v>Bearing floor kPa</x:v>
      </x:c>
      <x:c r="H6" s="30" t="str">
        <x:v>Bearing</x:v>
      </x:c>
      <x:c r="I6" s="30" t="str">
        <x:v>Width m</x:v>
      </x:c>
      <x:c r="J6" s="30" t="str">
        <x:v>Maximum m</x:v>
      </x:c>
      <x:c r="K6" s="30" t="str">
        <x:v>Width</x:v>
      </x:c>
      <x:c r="L6" s="30" t="str">
        <x:v>Turn m</x:v>
      </x:c>
      <x:c r="M6" s="30" t="str">
        <x:v>Maximum m</x:v>
      </x:c>
      <x:c r="N6" s="30" t="str">
        <x:v>Turn</x:v>
      </x:c>
      <x:c r="O6" s="30" t="str">
        <x:v>Unload h</x:v>
      </x:c>
      <x:c r="P6" s="30" t="str">
        <x:v>Maximum h</x:v>
      </x:c>
      <x:c r="Q6" s="30" t="str">
        <x:v>Onboard handling</x:v>
      </x:c>
      <x:c r="R6" s="30" t="str">
        <x:v>Result</x:v>
      </x:c>
    </x:row>
    <x:row r="7">
      <x:c r="B7" s="76" t="str">
        <x:f>Architectures!B7</x:f>
        <x:v>T1</x:v>
      </x:c>
      <x:c r="C7" s="76" t="str">
        <x:f>Architectures!C7</x:f>
        <x:v>DTC-170 distributed tracked carrier</x:v>
      </x:c>
      <x:c r="D7" s="76" t="n">
        <x:f>'Mass and Payload'!H7</x:f>
        <x:v>473.75</x:v>
      </x:c>
      <x:c r="E7" s="76" t="n">
        <x:f>Architectures!T7</x:f>
        <x:v>110</x:v>
      </x:c>
      <x:c r="F7" s="76" t="n">
        <x:f>D7*9.81/E7</x:f>
        <x:v>42.249886363636364</x:v>
      </x:c>
      <x:c r="G7" s="76" t="n">
        <x:f>Assumptions!C24</x:f>
        <x:v>60</x:v>
      </x:c>
      <x:c r="H7" s="76" t="str">
        <x:f>IF(F7&lt;=G7,"PASS","FAIL")</x:f>
        <x:v>PASS</x:v>
      </x:c>
      <x:c r="I7" s="76" t="n">
        <x:f>Architectures!Q7</x:f>
        <x:v>8.2</x:v>
      </x:c>
      <x:c r="J7" s="76" t="n">
        <x:f>Assumptions!C25</x:f>
        <x:v>12</x:v>
      </x:c>
      <x:c r="K7" s="76" t="str">
        <x:f>IF(I7&lt;=J7,"PASS","FAIL")</x:f>
        <x:v>PASS</x:v>
      </x:c>
      <x:c r="L7" s="76" t="n">
        <x:f>Architectures!AC7</x:f>
        <x:v>32</x:v>
      </x:c>
      <x:c r="M7" s="76" t="n">
        <x:f>Assumptions!C26</x:f>
        <x:v>25</x:v>
      </x:c>
      <x:c r="N7" s="76" t="str">
        <x:f>IF(L7&lt;=M7,"PASS","FAIL")</x:f>
        <x:v>FAIL</x:v>
      </x:c>
      <x:c r="O7" s="76" t="n">
        <x:v>3.5</x:v>
      </x:c>
      <x:c r="P7" s="76" t="n">
        <x:f>Assumptions!C32</x:f>
        <x:v>4</x:v>
      </x:c>
      <x:c r="Q7" s="76" t="n">
        <x:v>1</x:v>
      </x:c>
      <x:c r="R7" s="77" t="str">
        <x:f>IF(AND(H7="PASS",K7="PASS",N7="PASS",O7&lt;=P7,Q7=1),"PASS","FAIL")</x:f>
        <x:v>FAIL</x:v>
      </x:c>
    </x:row>
    <x:row r="8">
      <x:c r="B8" s="76" t="str">
        <x:f>Architectures!B8</x:f>
        <x:v>T2</x:v>
      </x:c>
      <x:c r="C8" s="76" t="str">
        <x:f>Architectures!C8</x:f>
        <x:v>LWS-170 load-walking transporter</x:v>
      </x:c>
      <x:c r="D8" s="76" t="n">
        <x:f>'Mass and Payload'!H8</x:f>
        <x:v>543.75</x:v>
      </x:c>
      <x:c r="E8" s="76" t="n">
        <x:f>Architectures!T8</x:f>
        <x:v>190</x:v>
      </x:c>
      <x:c r="F8" s="76" t="n">
        <x:f>D8*9.81/E8</x:f>
        <x:v>28.07467105263158</x:v>
      </x:c>
      <x:c r="G8" s="76" t="n">
        <x:f>Assumptions!C24</x:f>
        <x:v>60</x:v>
      </x:c>
      <x:c r="H8" s="76" t="str">
        <x:f>IF(F8&lt;=G8,"PASS","FAIL")</x:f>
        <x:v>PASS</x:v>
      </x:c>
      <x:c r="I8" s="76" t="n">
        <x:f>Architectures!Q8</x:f>
        <x:v>9.5</x:v>
      </x:c>
      <x:c r="J8" s="76" t="n">
        <x:f>Assumptions!C25</x:f>
        <x:v>12</x:v>
      </x:c>
      <x:c r="K8" s="76" t="str">
        <x:f>IF(I8&lt;=J8,"PASS","FAIL")</x:f>
        <x:v>PASS</x:v>
      </x:c>
      <x:c r="L8" s="76" t="n">
        <x:f>Architectures!AC8</x:f>
        <x:v>14</x:v>
      </x:c>
      <x:c r="M8" s="76" t="n">
        <x:f>Assumptions!C26</x:f>
        <x:v>25</x:v>
      </x:c>
      <x:c r="N8" s="76" t="str">
        <x:f>IF(L8&lt;=M8,"PASS","FAIL")</x:f>
        <x:v>PASS</x:v>
      </x:c>
      <x:c r="O8" s="76" t="n">
        <x:v>4</x:v>
      </x:c>
      <x:c r="P8" s="76" t="n">
        <x:f>Assumptions!C32</x:f>
        <x:v>4</x:v>
      </x:c>
      <x:c r="Q8" s="76" t="n">
        <x:v>1</x:v>
      </x:c>
      <x:c r="R8" s="77" t="str">
        <x:f>IF(AND(H8="PASS",K8="PASS",N8="PASS",O8&lt;=P8,Q8=1),"PASS","FAIL")</x:f>
        <x:v>PASS</x:v>
      </x:c>
    </x:row>
    <x:row r="9">
      <x:c r="B9" s="76" t="str">
        <x:f>Architectures!B9</x:f>
        <x:v>T3</x:v>
      </x:c>
      <x:c r="C9" s="76" t="str">
        <x:f>Architectures!C9</x:f>
        <x:v>ACC-170 amphibious cushion crawler</x:v>
      </x:c>
      <x:c r="D9" s="76" t="n">
        <x:f>'Mass and Payload'!H9</x:f>
        <x:v>508.75</x:v>
      </x:c>
      <x:c r="E9" s="76" t="n">
        <x:f>Architectures!T9</x:f>
        <x:v>300</x:v>
      </x:c>
      <x:c r="F9" s="76" t="n">
        <x:f>D9*9.81/E9</x:f>
        <x:v>16.636125000000003</x:v>
      </x:c>
      <x:c r="G9" s="76" t="n">
        <x:f>Assumptions!C24</x:f>
        <x:v>60</x:v>
      </x:c>
      <x:c r="H9" s="76" t="str">
        <x:f>IF(F9&lt;=G9,"PASS","FAIL")</x:f>
        <x:v>PASS</x:v>
      </x:c>
      <x:c r="I9" s="76" t="n">
        <x:f>Architectures!Q9</x:f>
        <x:v>16</x:v>
      </x:c>
      <x:c r="J9" s="76" t="n">
        <x:f>Assumptions!C25</x:f>
        <x:v>12</x:v>
      </x:c>
      <x:c r="K9" s="76" t="str">
        <x:f>IF(I9&lt;=J9,"PASS","FAIL")</x:f>
        <x:v>FAIL</x:v>
      </x:c>
      <x:c r="L9" s="76" t="n">
        <x:f>Architectures!AC9</x:f>
        <x:v>40</x:v>
      </x:c>
      <x:c r="M9" s="76" t="n">
        <x:f>Assumptions!C26</x:f>
        <x:v>25</x:v>
      </x:c>
      <x:c r="N9" s="76" t="str">
        <x:f>IF(L9&lt;=M9,"PASS","FAIL")</x:f>
        <x:v>FAIL</x:v>
      </x:c>
      <x:c r="O9" s="76" t="n">
        <x:v>3</x:v>
      </x:c>
      <x:c r="P9" s="76" t="n">
        <x:f>Assumptions!C32</x:f>
        <x:v>4</x:v>
      </x:c>
      <x:c r="Q9" s="76" t="n">
        <x:v>1</x:v>
      </x:c>
      <x:c r="R9" s="77" t="str">
        <x:f>IF(AND(H9="PASS",K9="PASS",N9="PASS",O9&lt;=P9,Q9=1),"PASS","FAIL")</x:f>
        <x:v>FAIL</x:v>
      </x:c>
    </x:row>
    <x:row r="10">
      <x:c r="B10" s="78" t="str">
        <x:f>Architectures!B10</x:f>
        <x:v>T4</x:v>
      </x:c>
      <x:c r="C10" s="78" t="str">
        <x:f>Architectures!C10</x:f>
        <x:v>SAT-170 segmented adaptive terrain carrier</x:v>
      </x:c>
      <x:c r="D10" s="78" t="n">
        <x:f>'Mass and Payload'!H10</x:f>
        <x:v>490.75</x:v>
      </x:c>
      <x:c r="E10" s="78" t="n">
        <x:f>Architectures!T10</x:f>
        <x:v>155</x:v>
      </x:c>
      <x:c r="F10" s="78" t="n">
        <x:f>D10*9.81/E10</x:f>
        <x:v>31.059725806451617</x:v>
      </x:c>
      <x:c r="G10" s="78" t="n">
        <x:f>Assumptions!C24</x:f>
        <x:v>60</x:v>
      </x:c>
      <x:c r="H10" s="78" t="str">
        <x:f>IF(F10&lt;=G10,"PASS","FAIL")</x:f>
        <x:v>PASS</x:v>
      </x:c>
      <x:c r="I10" s="78" t="n">
        <x:f>Architectures!Q10</x:f>
        <x:v>8.6</x:v>
      </x:c>
      <x:c r="J10" s="78" t="n">
        <x:f>Assumptions!C25</x:f>
        <x:v>12</x:v>
      </x:c>
      <x:c r="K10" s="78" t="str">
        <x:f>IF(I10&lt;=J10,"PASS","FAIL")</x:f>
        <x:v>PASS</x:v>
      </x:c>
      <x:c r="L10" s="78" t="n">
        <x:f>Architectures!AC10</x:f>
        <x:v>18</x:v>
      </x:c>
      <x:c r="M10" s="78" t="n">
        <x:f>Assumptions!C26</x:f>
        <x:v>25</x:v>
      </x:c>
      <x:c r="N10" s="78" t="str">
        <x:f>IF(L10&lt;=M10,"PASS","FAIL")</x:f>
        <x:v>PASS</x:v>
      </x:c>
      <x:c r="O10" s="78" t="n">
        <x:v>3.25</x:v>
      </x:c>
      <x:c r="P10" s="78" t="n">
        <x:f>Assumptions!C32</x:f>
        <x:v>4</x:v>
      </x:c>
      <x:c r="Q10" s="78" t="n">
        <x:v>1</x:v>
      </x:c>
      <x:c r="R10" s="79" t="str">
        <x:f>IF(AND(H10="PASS",K10="PASS",N10="PASS",O10&lt;=P10,Q10=1),"PASS","FAIL")</x:f>
        <x:v>PASS</x:v>
      </x:c>
    </x:row>
    <x:row r="11">
      <x:c r="B11" s="70"/>
      <x:c r="C11" s="70"/>
      <x:c r="D11" s="70"/>
      <x:c r="E11" s="70"/>
      <x:c r="F11" s="70"/>
      <x:c r="G11" s="70"/>
      <x:c r="H11" s="70"/>
      <x:c r="I11" s="70"/>
      <x:c r="J11" s="70"/>
      <x:c r="K11" s="70"/>
      <x:c r="L11" s="70"/>
      <x:c r="M11" s="70"/>
      <x:c r="N11" s="70"/>
      <x:c r="O11" s="70"/>
      <x:c r="P11" s="70"/>
      <x:c r="Q11" s="70"/>
      <x:c r="R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  <x:c r="L12" s="70"/>
      <x:c r="M12" s="70"/>
      <x:c r="N12" s="70"/>
      <x:c r="O12" s="70"/>
      <x:c r="P12" s="70"/>
      <x:c r="Q12" s="70"/>
      <x:c r="R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  <x:c r="N13" s="70"/>
      <x:c r="O13" s="70"/>
      <x:c r="P13" s="70"/>
      <x:c r="Q13" s="70"/>
      <x:c r="R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  <x:c r="N14" s="70"/>
      <x:c r="O14" s="70"/>
      <x:c r="P14" s="70"/>
      <x:c r="Q14" s="70"/>
      <x:c r="R14" s="70"/>
    </x:row>
    <x:row r="15">
      <x:c r="B15" s="70"/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0"/>
      <x:c r="O15" s="70"/>
      <x:c r="P15" s="70"/>
      <x:c r="Q15" s="70"/>
      <x:c r="R15" s="70"/>
    </x:row>
    <x:row r="16">
      <x:c r="B16" s="70"/>
      <x:c r="C16" s="70"/>
      <x:c r="D16" s="70"/>
      <x:c r="E16" s="70"/>
      <x:c r="F16" s="70"/>
      <x:c r="G16" s="70"/>
      <x:c r="H16" s="70"/>
      <x:c r="I16" s="70"/>
      <x:c r="J16" s="70"/>
      <x:c r="K16" s="70"/>
      <x:c r="L16" s="70"/>
      <x:c r="M16" s="70"/>
      <x:c r="N16" s="70"/>
      <x:c r="O16" s="70"/>
      <x:c r="P16" s="70"/>
      <x:c r="Q16" s="70"/>
      <x:c r="R16" s="70"/>
    </x:row>
    <x:row r="17">
      <x:c r="B17" s="70"/>
      <x:c r="C17" s="70"/>
      <x:c r="D17" s="70"/>
      <x:c r="E17" s="70"/>
      <x:c r="F17" s="70"/>
      <x:c r="G17" s="70"/>
      <x:c r="H17" s="70"/>
      <x:c r="I17" s="70"/>
      <x:c r="J17" s="70"/>
      <x:c r="K17" s="70"/>
      <x:c r="L17" s="70"/>
      <x:c r="M17" s="70"/>
      <x:c r="N17" s="70"/>
      <x:c r="O17" s="70"/>
      <x:c r="P17" s="70"/>
      <x:c r="Q17" s="70"/>
      <x:c r="R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  <x:c r="N18" s="70"/>
      <x:c r="O18" s="70"/>
      <x:c r="P18" s="70"/>
      <x:c r="Q18" s="70"/>
      <x:c r="R18" s="70"/>
    </x:row>
  </x:sheetData>
  <x:mergeCells>
    <x:mergeCell ref="B2:F2"/>
    <x:mergeCell ref="B3:F3"/>
  </x:mergeCells>
  <x:conditionalFormatting sqref="H7:R10">
    <x:cfRule type="containsText" dxfId="20" priority="1" operator="containsText" text="FAIL"/>
    <x:cfRule type="containsText" dxfId="21" priority="2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" hidden="0" customWidth="1"/>
    <x:col min="3" max="3" width="34" hidden="0" customWidth="1"/>
    <x:col min="4" max="4" width="22" hidden="0" customWidth="1"/>
    <x:col min="5" max="5" width="23" hidden="0" customWidth="1"/>
    <x:col min="6" max="6" width="19" hidden="0" customWidth="1"/>
    <x:col min="7" max="7" width="16" hidden="0" customWidth="1"/>
    <x:col min="8" max="8" width="15" hidden="0" customWidth="1"/>
    <x:col min="9" max="9" width="14" hidden="0" customWidth="1"/>
    <x:col min="10" max="10" width="14" hidden="0" customWidth="1"/>
    <x:col min="11" max="11" width="18" hidden="0" customWidth="1"/>
    <x:col min="12" max="12" width="15" hidden="0" customWidth="1"/>
    <x:col min="13" max="13" width="14" hidden="0" customWidth="1"/>
    <x:col min="14" max="14" width="18" hidden="0" customWidth="1"/>
    <x:col min="15" max="15" width="36" hidden="0" customWidth="1"/>
    <x:col min="16" max="16" width="32" hidden="0" customWidth="1"/>
  </x:cols>
  <x:sheetData>
    <x:row r="2">
      <x:c r="B2" s="69" t="str">
        <x:v>T4 SAT-170 resilience worlds</x:v>
      </x:c>
      <x:c r="C2" s="69" t="str">
        <x:v>T4 SAT-170 resilience worlds</x:v>
      </x:c>
      <x:c r="D2" s="69" t="str">
        <x:v>T4 SAT-170 resilience worlds</x:v>
      </x:c>
      <x:c r="E2" s="69" t="str">
        <x:v>T4 SAT-170 resilience worlds</x:v>
      </x:c>
      <x:c r="F2" s="69" t="str">
        <x:v>T4 SAT-170 resilience worlds</x:v>
      </x:c>
      <x:c r="G2" s="70"/>
      <x:c r="H2" s="70"/>
      <x:c r="I2" s="70"/>
      <x:c r="J2" s="70"/>
      <x:c r="K2" s="70"/>
      <x:c r="L2" s="70"/>
      <x:c r="M2" s="70"/>
      <x:c r="N2" s="70"/>
      <x:c r="O2" s="70"/>
      <x:c r="P2" s="70"/>
    </x:row>
    <x:row r="3">
      <x:c r="B3" s="71" t="str">
        <x:v>Behavior credit asks whether the architecture preserves service; current credit remains zero until representative evidence exists</x:v>
      </x:c>
      <x:c r="C3" s="71" t="str">
        <x:v>Behavior credit asks whether the architecture preserves service; current credit remains zero until representative evidence exists</x:v>
      </x:c>
      <x:c r="D3" s="71" t="str">
        <x:v>Behavior credit asks whether the architecture preserves service; current credit remains zero until representative evidence exists</x:v>
      </x:c>
      <x:c r="E3" s="71" t="str">
        <x:v>Behavior credit asks whether the architecture preserves service; current credit remains zero until representative evidence exists</x:v>
      </x:c>
      <x:c r="F3" s="71" t="str">
        <x:v>Behavior credit asks whether the architecture preserves service; current credit remains zero until representative evidence exists</x:v>
      </x:c>
      <x:c r="G3" s="70"/>
      <x:c r="H3" s="70"/>
      <x:c r="I3" s="70"/>
      <x:c r="J3" s="70"/>
      <x:c r="K3" s="70"/>
      <x:c r="L3" s="70"/>
      <x:c r="M3" s="70"/>
      <x:c r="N3" s="70"/>
      <x:c r="O3" s="70"/>
      <x:c r="P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  <x:c r="N4" s="72"/>
      <x:c r="O4" s="72"/>
      <x:c r="P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  <x:c r="N5" s="70"/>
      <x:c r="O5" s="70"/>
      <x:c r="P5" s="70"/>
    </x:row>
    <x:row r="6">
      <x:c r="B6" s="29" t="str">
        <x:v>World</x:v>
      </x:c>
      <x:c r="C6" s="30" t="str">
        <x:v>Failure or condition</x:v>
      </x:c>
      <x:c r="D6" s="30" t="str">
        <x:v>Available drive modules</x:v>
      </x:c>
      <x:c r="E6" s="30" t="str">
        <x:v>Available energy sectors</x:v>
      </x:c>
      <x:c r="F6" s="30" t="str">
        <x:v>Bridge capacity m</x:v>
      </x:c>
      <x:c r="G6" s="30" t="str">
        <x:v>Network</x:v>
      </x:c>
      <x:c r="H6" s="30" t="str">
        <x:v>Terrain path</x:v>
      </x:c>
      <x:c r="I6" s="30" t="str">
        <x:v>HBL path</x:v>
      </x:c>
      <x:c r="J6" s="30" t="str">
        <x:v>Receiver</x:v>
      </x:c>
      <x:c r="K6" s="30" t="str">
        <x:v>Payload delivered</x:v>
      </x:c>
      <x:c r="L6" s="30" t="str">
        <x:v>DCP effect</x:v>
      </x:c>
      <x:c r="M6" s="30" t="str">
        <x:v>Behavior</x:v>
      </x:c>
      <x:c r="N6" s="30" t="str">
        <x:v>Current evidence</x:v>
      </x:c>
      <x:c r="O6" s="30" t="str">
        <x:v>Recovery action</x:v>
      </x:c>
      <x:c r="P6" s="30" t="str">
        <x:v>Owner</x:v>
      </x:c>
    </x:row>
    <x:row r="7">
      <x:c r="B7" s="76" t="str">
        <x:v>W01</x:v>
      </x:c>
      <x:c r="C7" s="76" t="str">
        <x:v>nominal</x:v>
      </x:c>
      <x:c r="D7" s="76" t="n">
        <x:v>12</x:v>
      </x:c>
      <x:c r="E7" s="76" t="n">
        <x:v>6</x:v>
      </x:c>
      <x:c r="F7" s="76" t="n">
        <x:v>25</x:v>
      </x:c>
      <x:c r="G7" s="76" t="str">
        <x:v>available</x:v>
      </x:c>
      <x:c r="H7" s="76" t="n">
        <x:v>1</x:v>
      </x:c>
      <x:c r="I7" s="76" t="n">
        <x:v>1</x:v>
      </x:c>
      <x:c r="J7" s="76" t="n">
        <x:v>1</x:v>
      </x:c>
      <x:c r="K7" s="76" t="n">
        <x:v>1</x:v>
      </x:c>
      <x:c r="L7" s="76" t="n">
        <x:v>1</x:v>
      </x:c>
      <x:c r="M7" s="76" t="str">
        <x:v>PASS</x:v>
      </x:c>
      <x:c r="N7" s="76" t="str">
        <x:v>FAIL</x:v>
      </x:c>
      <x:c r="O7" s="76" t="str">
        <x:v>nominal release</x:v>
      </x:c>
      <x:c r="P7" s="77" t="str">
        <x:v>Access Test Directorate</x:v>
      </x:c>
    </x:row>
    <x:row r="8">
      <x:c r="B8" s="76" t="str">
        <x:v>W02</x:v>
      </x:c>
      <x:c r="C8" s="76" t="str">
        <x:v>one drive module unavailable</x:v>
      </x:c>
      <x:c r="D8" s="76" t="n">
        <x:v>11</x:v>
      </x:c>
      <x:c r="E8" s="76" t="n">
        <x:v>6</x:v>
      </x:c>
      <x:c r="F8" s="76" t="n">
        <x:v>25</x:v>
      </x:c>
      <x:c r="G8" s="76" t="str">
        <x:v>available</x:v>
      </x:c>
      <x:c r="H8" s="76" t="n">
        <x:v>1</x:v>
      </x:c>
      <x:c r="I8" s="76" t="n">
        <x:v>1</x:v>
      </x:c>
      <x:c r="J8" s="76" t="n">
        <x:v>1</x:v>
      </x:c>
      <x:c r="K8" s="76" t="n">
        <x:v>1</x:v>
      </x:c>
      <x:c r="L8" s="76" t="n">
        <x:v>1</x:v>
      </x:c>
      <x:c r="M8" s="76" t="str">
        <x:v>PASS</x:v>
      </x:c>
      <x:c r="N8" s="76" t="str">
        <x:v>FAIL</x:v>
      </x:c>
      <x:c r="O8" s="76" t="str">
        <x:v>isolate pod and continue</x:v>
      </x:c>
      <x:c r="P8" s="77" t="str">
        <x:v>Fourth Access Systems Command</x:v>
      </x:c>
    </x:row>
    <x:row r="9">
      <x:c r="B9" s="76" t="str">
        <x:v>W03</x:v>
      </x:c>
      <x:c r="C9" s="76" t="str">
        <x:v>one energy bus unavailable</x:v>
      </x:c>
      <x:c r="D9" s="76" t="n">
        <x:v>12</x:v>
      </x:c>
      <x:c r="E9" s="76" t="n">
        <x:v>5</x:v>
      </x:c>
      <x:c r="F9" s="76" t="n">
        <x:v>25</x:v>
      </x:c>
      <x:c r="G9" s="76" t="str">
        <x:v>available</x:v>
      </x:c>
      <x:c r="H9" s="76" t="n">
        <x:v>1</x:v>
      </x:c>
      <x:c r="I9" s="76" t="n">
        <x:v>1</x:v>
      </x:c>
      <x:c r="J9" s="76" t="n">
        <x:v>1</x:v>
      </x:c>
      <x:c r="K9" s="76" t="n">
        <x:v>1</x:v>
      </x:c>
      <x:c r="L9" s="76" t="n">
        <x:v>1</x:v>
      </x:c>
      <x:c r="M9" s="76" t="str">
        <x:v>PASS</x:v>
      </x:c>
      <x:c r="N9" s="76" t="str">
        <x:v>FAIL</x:v>
      </x:c>
      <x:c r="O9" s="76" t="str">
        <x:v>cross-tie isolated bus</x:v>
      </x:c>
      <x:c r="P9" s="77" t="str">
        <x:v>Access Test Directorate</x:v>
      </x:c>
    </x:row>
    <x:row r="10">
      <x:c r="B10" s="76" t="str">
        <x:v>W04</x:v>
      </x:c>
      <x:c r="C10" s="76" t="str">
        <x:v>one mobility pod unavailable</x:v>
      </x:c>
      <x:c r="D10" s="76" t="n">
        <x:v>11</x:v>
      </x:c>
      <x:c r="E10" s="76" t="n">
        <x:v>6</x:v>
      </x:c>
      <x:c r="F10" s="76" t="n">
        <x:v>25</x:v>
      </x:c>
      <x:c r="G10" s="76" t="str">
        <x:v>available</x:v>
      </x:c>
      <x:c r="H10" s="76" t="n">
        <x:v>1</x:v>
      </x:c>
      <x:c r="I10" s="76" t="n">
        <x:v>1</x:v>
      </x:c>
      <x:c r="J10" s="76" t="n">
        <x:v>1</x:v>
      </x:c>
      <x:c r="K10" s="76" t="n">
        <x:v>1</x:v>
      </x:c>
      <x:c r="L10" s="76" t="n">
        <x:v>1</x:v>
      </x:c>
      <x:c r="M10" s="76" t="str">
        <x:v>PASS</x:v>
      </x:c>
      <x:c r="N10" s="76" t="str">
        <x:v>FAIL</x:v>
      </x:c>
      <x:c r="O10" s="76" t="str">
        <x:v>load-level remaining pods</x:v>
      </x:c>
      <x:c r="P10" s="77" t="str">
        <x:v>Fourth Access Systems Command</x:v>
      </x:c>
    </x:row>
    <x:row r="11">
      <x:c r="B11" s="76" t="str">
        <x:v>W05</x:v>
      </x:c>
      <x:c r="C11" s="76" t="str">
        <x:v>one control lane unavailable</x:v>
      </x:c>
      <x:c r="D11" s="76" t="n">
        <x:v>12</x:v>
      </x:c>
      <x:c r="E11" s="76" t="n">
        <x:v>6</x:v>
      </x:c>
      <x:c r="F11" s="76" t="n">
        <x:v>25</x:v>
      </x:c>
      <x:c r="G11" s="76" t="str">
        <x:v>available</x:v>
      </x:c>
      <x:c r="H11" s="76" t="n">
        <x:v>1</x:v>
      </x:c>
      <x:c r="I11" s="76" t="n">
        <x:v>1</x:v>
      </x:c>
      <x:c r="J11" s="76" t="n">
        <x:v>1</x:v>
      </x:c>
      <x:c r="K11" s="76" t="n">
        <x:v>1</x:v>
      </x:c>
      <x:c r="L11" s="76" t="n">
        <x:v>1</x:v>
      </x:c>
      <x:c r="M11" s="76" t="str">
        <x:v>PASS</x:v>
      </x:c>
      <x:c r="N11" s="76" t="str">
        <x:v>FAIL</x:v>
      </x:c>
      <x:c r="O11" s="76" t="str">
        <x:v>vote to independent lane</x:v>
      </x:c>
      <x:c r="P11" s="77" t="str">
        <x:v>Access Test Directorate</x:v>
      </x:c>
    </x:row>
    <x:row r="12">
      <x:c r="B12" s="76" t="str">
        <x:v>W06</x:v>
      </x:c>
      <x:c r="C12" s="76" t="str">
        <x:v>route drone package lost</x:v>
      </x:c>
      <x:c r="D12" s="76" t="n">
        <x:v>12</x:v>
      </x:c>
      <x:c r="E12" s="76" t="n">
        <x:v>6</x:v>
      </x:c>
      <x:c r="F12" s="76" t="n">
        <x:v>25</x:v>
      </x:c>
      <x:c r="G12" s="76" t="str">
        <x:v>available</x:v>
      </x:c>
      <x:c r="H12" s="76" t="n">
        <x:v>1</x:v>
      </x:c>
      <x:c r="I12" s="76" t="n">
        <x:v>1</x:v>
      </x:c>
      <x:c r="J12" s="76" t="n">
        <x:v>1</x:v>
      </x:c>
      <x:c r="K12" s="76" t="n">
        <x:v>1</x:v>
      </x:c>
      <x:c r="L12" s="76" t="n">
        <x:v>1</x:v>
      </x:c>
      <x:c r="M12" s="76" t="str">
        <x:v>PASS</x:v>
      </x:c>
      <x:c r="N12" s="76" t="str">
        <x:v>FAIL</x:v>
      </x:c>
      <x:c r="O12" s="76" t="str">
        <x:v>mast lidar and crew survey</x:v>
      </x:c>
      <x:c r="P12" s="77" t="str">
        <x:v>Fourth Access Systems Command</x:v>
      </x:c>
    </x:row>
    <x:row r="13">
      <x:c r="B13" s="76" t="str">
        <x:v>W07</x:v>
      </x:c>
      <x:c r="C13" s="76" t="str">
        <x:v>network and GNSS denied</x:v>
      </x:c>
      <x:c r="D13" s="76" t="n">
        <x:v>12</x:v>
      </x:c>
      <x:c r="E13" s="76" t="n">
        <x:v>6</x:v>
      </x:c>
      <x:c r="F13" s="76" t="n">
        <x:v>25</x:v>
      </x:c>
      <x:c r="G13" s="76" t="str">
        <x:v>denied</x:v>
      </x:c>
      <x:c r="H13" s="76" t="n">
        <x:v>1</x:v>
      </x:c>
      <x:c r="I13" s="76" t="n">
        <x:v>1</x:v>
      </x:c>
      <x:c r="J13" s="76" t="n">
        <x:v>1</x:v>
      </x:c>
      <x:c r="K13" s="76" t="n">
        <x:v>1</x:v>
      </x:c>
      <x:c r="L13" s="76" t="n">
        <x:v>1</x:v>
      </x:c>
      <x:c r="M13" s="76" t="str">
        <x:v>PASS</x:v>
      </x:c>
      <x:c r="N13" s="76" t="str">
        <x:v>FAIL</x:v>
      </x:c>
      <x:c r="O13" s="76" t="str">
        <x:v>offline map and relative navigation</x:v>
      </x:c>
      <x:c r="P13" s="77" t="str">
        <x:v>Access Test Directorate</x:v>
      </x:c>
    </x:row>
    <x:row r="14">
      <x:c r="B14" s="76" t="str">
        <x:v>W08</x:v>
      </x:c>
      <x:c r="C14" s="76" t="str">
        <x:v>dense smoke and dust</x:v>
      </x:c>
      <x:c r="D14" s="76" t="n">
        <x:v>12</x:v>
      </x:c>
      <x:c r="E14" s="76" t="n">
        <x:v>6</x:v>
      </x:c>
      <x:c r="F14" s="76" t="n">
        <x:v>25</x:v>
      </x:c>
      <x:c r="G14" s="76" t="str">
        <x:v>degraded</x:v>
      </x:c>
      <x:c r="H14" s="76" t="n">
        <x:v>1</x:v>
      </x:c>
      <x:c r="I14" s="76" t="n">
        <x:v>1</x:v>
      </x:c>
      <x:c r="J14" s="76" t="n">
        <x:v>1</x:v>
      </x:c>
      <x:c r="K14" s="76" t="n">
        <x:v>1</x:v>
      </x:c>
      <x:c r="L14" s="76" t="n">
        <x:v>1</x:v>
      </x:c>
      <x:c r="M14" s="76" t="str">
        <x:v>PASS</x:v>
      </x:c>
      <x:c r="N14" s="76" t="str">
        <x:v>FAIL</x:v>
      </x:c>
      <x:c r="O14" s="76" t="str">
        <x:v>radar-lidar fused crawl</x:v>
      </x:c>
      <x:c r="P14" s="77" t="str">
        <x:v>Fourth Access Systems Command</x:v>
      </x:c>
    </x:row>
    <x:row r="15">
      <x:c r="B15" s="76" t="str">
        <x:v>W09</x:v>
      </x:c>
      <x:c r="C15" s="76" t="str">
        <x:v>one bridge panel lost</x:v>
      </x:c>
      <x:c r="D15" s="76" t="n">
        <x:v>12</x:v>
      </x:c>
      <x:c r="E15" s="76" t="n">
        <x:v>6</x:v>
      </x:c>
      <x:c r="F15" s="76" t="n">
        <x:v>20</x:v>
      </x:c>
      <x:c r="G15" s="76" t="str">
        <x:v>available</x:v>
      </x:c>
      <x:c r="H15" s="76" t="n">
        <x:v>1</x:v>
      </x:c>
      <x:c r="I15" s="76" t="n">
        <x:v>1</x:v>
      </x:c>
      <x:c r="J15" s="76" t="n">
        <x:v>1</x:v>
      </x:c>
      <x:c r="K15" s="76" t="n">
        <x:v>1</x:v>
      </x:c>
      <x:c r="L15" s="76" t="n">
        <x:v>1</x:v>
      </x:c>
      <x:c r="M15" s="76" t="str">
        <x:v>PASS</x:v>
      </x:c>
      <x:c r="N15" s="76" t="str">
        <x:v>FAIL</x:v>
      </x:c>
      <x:c r="O15" s="76" t="str">
        <x:v>use residual twenty-metre span</x:v>
      </x:c>
      <x:c r="P15" s="77" t="str">
        <x:v>Access Test Directorate</x:v>
      </x:c>
    </x:row>
    <x:row r="16">
      <x:c r="B16" s="76" t="str">
        <x:v>W10</x:v>
      </x:c>
      <x:c r="C16" s="76" t="str">
        <x:v>35 kPa saturated ground</x:v>
      </x:c>
      <x:c r="D16" s="76" t="n">
        <x:v>12</x:v>
      </x:c>
      <x:c r="E16" s="76" t="n">
        <x:v>6</x:v>
      </x:c>
      <x:c r="F16" s="76" t="n">
        <x:v>25</x:v>
      </x:c>
      <x:c r="G16" s="76" t="str">
        <x:v>available</x:v>
      </x:c>
      <x:c r="H16" s="76" t="n">
        <x:v>1</x:v>
      </x:c>
      <x:c r="I16" s="76" t="n">
        <x:v>1</x:v>
      </x:c>
      <x:c r="J16" s="76" t="n">
        <x:v>1</x:v>
      </x:c>
      <x:c r="K16" s="76" t="n">
        <x:v>1</x:v>
      </x:c>
      <x:c r="L16" s="76" t="n">
        <x:v>1</x:v>
      </x:c>
      <x:c r="M16" s="76" t="str">
        <x:v>PASS</x:v>
      </x:c>
      <x:c r="N16" s="76" t="str">
        <x:v>FAIL</x:v>
      </x:c>
      <x:c r="O16" s="76" t="str">
        <x:v>maximum footprint mode</x:v>
      </x:c>
      <x:c r="P16" s="77" t="str">
        <x:v>Fourth Access Systems Command</x:v>
      </x:c>
    </x:row>
    <x:row r="17">
      <x:c r="B17" s="76" t="str">
        <x:v>W11</x:v>
      </x:c>
      <x:c r="C17" s="76" t="str">
        <x:v>twenty-percent grade</x:v>
      </x:c>
      <x:c r="D17" s="76" t="n">
        <x:v>12</x:v>
      </x:c>
      <x:c r="E17" s="76" t="n">
        <x:v>6</x:v>
      </x:c>
      <x:c r="F17" s="76" t="n">
        <x:v>25</x:v>
      </x:c>
      <x:c r="G17" s="76" t="str">
        <x:v>available</x:v>
      </x:c>
      <x:c r="H17" s="76" t="n">
        <x:v>1</x:v>
      </x:c>
      <x:c r="I17" s="76" t="n">
        <x:v>1</x:v>
      </x:c>
      <x:c r="J17" s="76" t="n">
        <x:v>1</x:v>
      </x:c>
      <x:c r="K17" s="76" t="n">
        <x:v>1</x:v>
      </x:c>
      <x:c r="L17" s="76" t="n">
        <x:v>1</x:v>
      </x:c>
      <x:c r="M17" s="76" t="str">
        <x:v>PASS</x:v>
      </x:c>
      <x:c r="N17" s="76" t="str">
        <x:v>FAIL</x:v>
      </x:c>
      <x:c r="O17" s="76" t="str">
        <x:v>distributed torque and grade hold</x:v>
      </x:c>
      <x:c r="P17" s="77" t="str">
        <x:v>Access Test Directorate</x:v>
      </x:c>
    </x:row>
    <x:row r="18">
      <x:c r="B18" s="76" t="str">
        <x:v>W12</x:v>
      </x:c>
      <x:c r="C18" s="76" t="str">
        <x:v>twelve-percent side slope</x:v>
      </x:c>
      <x:c r="D18" s="76" t="n">
        <x:v>12</x:v>
      </x:c>
      <x:c r="E18" s="76" t="n">
        <x:v>6</x:v>
      </x:c>
      <x:c r="F18" s="76" t="n">
        <x:v>25</x:v>
      </x:c>
      <x:c r="G18" s="76" t="str">
        <x:v>available</x:v>
      </x:c>
      <x:c r="H18" s="76" t="n">
        <x:v>1</x:v>
      </x:c>
      <x:c r="I18" s="76" t="n">
        <x:v>1</x:v>
      </x:c>
      <x:c r="J18" s="76" t="n">
        <x:v>1</x:v>
      </x:c>
      <x:c r="K18" s="76" t="n">
        <x:v>1</x:v>
      </x:c>
      <x:c r="L18" s="76" t="n">
        <x:v>1</x:v>
      </x:c>
      <x:c r="M18" s="76" t="str">
        <x:v>PASS</x:v>
      </x:c>
      <x:c r="N18" s="76" t="str">
        <x:v>FAIL</x:v>
      </x:c>
      <x:c r="O18" s="76" t="str">
        <x:v>active load leveling</x:v>
      </x:c>
      <x:c r="P18" s="77" t="str">
        <x:v>Fourth Access Systems Command</x:v>
      </x:c>
    </x:row>
    <x:row r="19">
      <x:c r="B19" s="76" t="str">
        <x:v>W13</x:v>
      </x:c>
      <x:c r="C19" s="76" t="str">
        <x:v>1.5 m debris step</x:v>
      </x:c>
      <x:c r="D19" s="76" t="n">
        <x:v>12</x:v>
      </x:c>
      <x:c r="E19" s="76" t="n">
        <x:v>6</x:v>
      </x:c>
      <x:c r="F19" s="76" t="n">
        <x:v>25</x:v>
      </x:c>
      <x:c r="G19" s="76" t="str">
        <x:v>available</x:v>
      </x:c>
      <x:c r="H19" s="76" t="n">
        <x:v>1</x:v>
      </x:c>
      <x:c r="I19" s="76" t="n">
        <x:v>1</x:v>
      </x:c>
      <x:c r="J19" s="76" t="n">
        <x:v>1</x:v>
      </x:c>
      <x:c r="K19" s="76" t="n">
        <x:v>1</x:v>
      </x:c>
      <x:c r="L19" s="76" t="n">
        <x:v>1</x:v>
      </x:c>
      <x:c r="M19" s="76" t="str">
        <x:v>PASS</x:v>
      </x:c>
      <x:c r="N19" s="76" t="str">
        <x:v>FAIL</x:v>
      </x:c>
      <x:c r="O19" s="76" t="str">
        <x:v>articulated pod climb</x:v>
      </x:c>
      <x:c r="P19" s="77" t="str">
        <x:v>Access Test Directorate</x:v>
      </x:c>
    </x:row>
    <x:row r="20">
      <x:c r="B20" s="76" t="str">
        <x:v>W14</x:v>
      </x:c>
      <x:c r="C20" s="76" t="str">
        <x:v>twenty-metre gap</x:v>
      </x:c>
      <x:c r="D20" s="76" t="n">
        <x:v>12</x:v>
      </x:c>
      <x:c r="E20" s="76" t="n">
        <x:v>6</x:v>
      </x:c>
      <x:c r="F20" s="76" t="n">
        <x:v>25</x:v>
      </x:c>
      <x:c r="G20" s="76" t="str">
        <x:v>available</x:v>
      </x:c>
      <x:c r="H20" s="76" t="n">
        <x:v>1</x:v>
      </x:c>
      <x:c r="I20" s="76" t="n">
        <x:v>1</x:v>
      </x:c>
      <x:c r="J20" s="76" t="n">
        <x:v>1</x:v>
      </x:c>
      <x:c r="K20" s="76" t="n">
        <x:v>1</x:v>
      </x:c>
      <x:c r="L20" s="76" t="n">
        <x:v>1</x:v>
      </x:c>
      <x:c r="M20" s="76" t="str">
        <x:v>PASS</x:v>
      </x:c>
      <x:c r="N20" s="76" t="str">
        <x:v>FAIL</x:v>
      </x:c>
      <x:c r="O20" s="76" t="str">
        <x:v>deploy organic bridge</x:v>
      </x:c>
      <x:c r="P20" s="77" t="str">
        <x:v>Fourth Access Systems Command</x:v>
      </x:c>
    </x:row>
    <x:row r="21">
      <x:c r="B21" s="76" t="str">
        <x:v>W15</x:v>
      </x:c>
      <x:c r="C21" s="76" t="str">
        <x:v>two-metre water crossing</x:v>
      </x:c>
      <x:c r="D21" s="76" t="n">
        <x:v>12</x:v>
      </x:c>
      <x:c r="E21" s="76" t="n">
        <x:v>6</x:v>
      </x:c>
      <x:c r="F21" s="76" t="n">
        <x:v>25</x:v>
      </x:c>
      <x:c r="G21" s="76" t="str">
        <x:v>available</x:v>
      </x:c>
      <x:c r="H21" s="76" t="n">
        <x:v>1</x:v>
      </x:c>
      <x:c r="I21" s="76" t="n">
        <x:v>1</x:v>
      </x:c>
      <x:c r="J21" s="76" t="n">
        <x:v>1</x:v>
      </x:c>
      <x:c r="K21" s="76" t="n">
        <x:v>1</x:v>
      </x:c>
      <x:c r="L21" s="76" t="n">
        <x:v>1</x:v>
      </x:c>
      <x:c r="M21" s="76" t="str">
        <x:v>PASS</x:v>
      </x:c>
      <x:c r="N21" s="76" t="str">
        <x:v>FAIL</x:v>
      </x:c>
      <x:c r="O21" s="76" t="str">
        <x:v>sealed wade and scout</x:v>
      </x:c>
      <x:c r="P21" s="77" t="str">
        <x:v>Access Test Directorate</x:v>
      </x:c>
    </x:row>
    <x:row r="22">
      <x:c r="B22" s="76" t="str">
        <x:v>W16</x:v>
      </x:c>
      <x:c r="C22" s="76" t="str">
        <x:v>crew casualty</x:v>
      </x:c>
      <x:c r="D22" s="76" t="n">
        <x:v>12</x:v>
      </x:c>
      <x:c r="E22" s="76" t="n">
        <x:v>6</x:v>
      </x:c>
      <x:c r="F22" s="76" t="n">
        <x:v>25</x:v>
      </x:c>
      <x:c r="G22" s="76" t="str">
        <x:v>available</x:v>
      </x:c>
      <x:c r="H22" s="76" t="n">
        <x:v>1</x:v>
      </x:c>
      <x:c r="I22" s="76" t="n">
        <x:v>1</x:v>
      </x:c>
      <x:c r="J22" s="76" t="n">
        <x:v>1</x:v>
      </x:c>
      <x:c r="K22" s="76" t="n">
        <x:v>1</x:v>
      </x:c>
      <x:c r="L22" s="76" t="n">
        <x:v>1</x:v>
      </x:c>
      <x:c r="M22" s="76" t="str">
        <x:v>PASS</x:v>
      </x:c>
      <x:c r="N22" s="76" t="str">
        <x:v>FAIL</x:v>
      </x:c>
      <x:c r="O22" s="76" t="str">
        <x:v>cross-qualified relief team</x:v>
      </x:c>
      <x:c r="P22" s="77" t="str">
        <x:v>Fourth Access Systems Command</x:v>
      </x:c>
    </x:row>
    <x:row r="23">
      <x:c r="B23" s="76" t="str">
        <x:v>W17</x:v>
      </x:c>
      <x:c r="C23" s="76" t="str">
        <x:v>one ATUT vehicle unavailable</x:v>
      </x:c>
      <x:c r="D23" s="76" t="n">
        <x:v>0</x:v>
      </x:c>
      <x:c r="E23" s="76" t="n">
        <x:v>0</x:v>
      </x:c>
      <x:c r="F23" s="76" t="n">
        <x:v>0</x:v>
      </x:c>
      <x:c r="G23" s="76" t="str">
        <x:v>available</x:v>
      </x:c>
      <x:c r="H23" s="76" t="n">
        <x:v>0</x:v>
      </x:c>
      <x:c r="I23" s="76" t="n">
        <x:v>1</x:v>
      </x:c>
      <x:c r="J23" s="76" t="n">
        <x:v>1</x:v>
      </x:c>
      <x:c r="K23" s="76" t="n">
        <x:v>1</x:v>
      </x:c>
      <x:c r="L23" s="76" t="n">
        <x:v>1</x:v>
      </x:c>
      <x:c r="M23" s="76" t="str">
        <x:v>PASS</x:v>
      </x:c>
      <x:c r="N23" s="76" t="str">
        <x:v>FAIL</x:v>
      </x:c>
      <x:c r="O23" s="76" t="str">
        <x:v>HBL preserves effect</x:v>
      </x:c>
      <x:c r="P23" s="77" t="str">
        <x:v>Access Test Directorate</x:v>
      </x:c>
    </x:row>
    <x:row r="24">
      <x:c r="B24" s="76" t="str">
        <x:v>W18</x:v>
      </x:c>
      <x:c r="C24" s="76" t="str">
        <x:v>terrain receiver denied</x:v>
      </x:c>
      <x:c r="D24" s="76" t="n">
        <x:v>12</x:v>
      </x:c>
      <x:c r="E24" s="76" t="n">
        <x:v>6</x:v>
      </x:c>
      <x:c r="F24" s="76" t="n">
        <x:v>25</x:v>
      </x:c>
      <x:c r="G24" s="76" t="str">
        <x:v>available</x:v>
      </x:c>
      <x:c r="H24" s="76" t="n">
        <x:v>0</x:v>
      </x:c>
      <x:c r="I24" s="76" t="n">
        <x:v>1</x:v>
      </x:c>
      <x:c r="J24" s="76" t="n">
        <x:v>0</x:v>
      </x:c>
      <x:c r="K24" s="76" t="n">
        <x:v>1</x:v>
      </x:c>
      <x:c r="L24" s="76" t="n">
        <x:v>1</x:v>
      </x:c>
      <x:c r="M24" s="76" t="str">
        <x:v>PASS</x:v>
      </x:c>
      <x:c r="N24" s="76" t="str">
        <x:v>FAIL</x:v>
      </x:c>
      <x:c r="O24" s="76" t="str">
        <x:v>divert payload to HBL receiver</x:v>
      </x:c>
      <x:c r="P24" s="77" t="str">
        <x:v>Fourth Access Systems Command</x:v>
      </x:c>
    </x:row>
    <x:row r="25">
      <x:c r="B25" s="76" t="str">
        <x:v>W19</x:v>
      </x:c>
      <x:c r="C25" s="76" t="str">
        <x:v>whole terrain mode denied</x:v>
      </x:c>
      <x:c r="D25" s="76" t="n">
        <x:v>0</x:v>
      </x:c>
      <x:c r="E25" s="76" t="n">
        <x:v>0</x:v>
      </x:c>
      <x:c r="F25" s="76" t="n">
        <x:v>0</x:v>
      </x:c>
      <x:c r="G25" s="76" t="str">
        <x:v>available</x:v>
      </x:c>
      <x:c r="H25" s="76" t="n">
        <x:v>0</x:v>
      </x:c>
      <x:c r="I25" s="76" t="n">
        <x:v>1</x:v>
      </x:c>
      <x:c r="J25" s="76" t="n">
        <x:v>0</x:v>
      </x:c>
      <x:c r="K25" s="76" t="n">
        <x:v>1</x:v>
      </x:c>
      <x:c r="L25" s="76" t="n">
        <x:v>1</x:v>
      </x:c>
      <x:c r="M25" s="76" t="str">
        <x:v>PASS</x:v>
      </x:c>
      <x:c r="N25" s="76" t="str">
        <x:v>FAIL</x:v>
      </x:c>
      <x:c r="O25" s="76" t="str">
        <x:v>air path preserves DCP effect</x:v>
      </x:c>
      <x:c r="P25" s="77" t="str">
        <x:v>Access Test Directorate</x:v>
      </x:c>
    </x:row>
    <x:row r="26">
      <x:c r="B26" s="76" t="str">
        <x:v>W20</x:v>
      </x:c>
      <x:c r="C26" s="76" t="str">
        <x:v>whole HBL mode denied</x:v>
      </x:c>
      <x:c r="D26" s="76" t="n">
        <x:v>12</x:v>
      </x:c>
      <x:c r="E26" s="76" t="n">
        <x:v>6</x:v>
      </x:c>
      <x:c r="F26" s="76" t="n">
        <x:v>25</x:v>
      </x:c>
      <x:c r="G26" s="76" t="str">
        <x:v>available</x:v>
      </x:c>
      <x:c r="H26" s="76" t="n">
        <x:v>1</x:v>
      </x:c>
      <x:c r="I26" s="76" t="n">
        <x:v>0</x:v>
      </x:c>
      <x:c r="J26" s="76" t="n">
        <x:v>1</x:v>
      </x:c>
      <x:c r="K26" s="76" t="n">
        <x:v>1</x:v>
      </x:c>
      <x:c r="L26" s="76" t="n">
        <x:v>1</x:v>
      </x:c>
      <x:c r="M26" s="76" t="str">
        <x:v>PASS</x:v>
      </x:c>
      <x:c r="N26" s="76" t="str">
        <x:v>FAIL</x:v>
      </x:c>
      <x:c r="O26" s="76" t="str">
        <x:v>terrain path preserves DCP effect</x:v>
      </x:c>
      <x:c r="P26" s="77" t="str">
        <x:v>Fourth Access Systems Command</x:v>
      </x:c>
    </x:row>
    <x:row r="27">
      <x:c r="B27" s="76" t="str">
        <x:v>W21</x:v>
      </x:c>
      <x:c r="C27" s="76" t="str">
        <x:v>terrain and HBL denied</x:v>
      </x:c>
      <x:c r="D27" s="76" t="n">
        <x:v>0</x:v>
      </x:c>
      <x:c r="E27" s="76" t="n">
        <x:v>0</x:v>
      </x:c>
      <x:c r="F27" s="76" t="n">
        <x:v>0</x:v>
      </x:c>
      <x:c r="G27" s="76" t="str">
        <x:v>denied</x:v>
      </x:c>
      <x:c r="H27" s="76" t="n">
        <x:v>0</x:v>
      </x:c>
      <x:c r="I27" s="76" t="n">
        <x:v>0</x:v>
      </x:c>
      <x:c r="J27" s="76" t="n">
        <x:v>0</x:v>
      </x:c>
      <x:c r="K27" s="76" t="n">
        <x:v>0</x:v>
      </x:c>
      <x:c r="L27" s="76" t="n">
        <x:v>0</x:v>
      </x:c>
      <x:c r="M27" s="76" t="str">
        <x:v>FAIL</x:v>
      </x:c>
      <x:c r="N27" s="76" t="str">
        <x:v>FAIL</x:v>
      </x:c>
      <x:c r="O27" s="76" t="str">
        <x:v>no declared substitute</x:v>
      </x:c>
      <x:c r="P27" s="77" t="str">
        <x:v>Access Test Directorate</x:v>
      </x:c>
    </x:row>
    <x:row r="28">
      <x:c r="B28" s="78" t="str">
        <x:v>W22</x:v>
      </x:c>
      <x:c r="C28" s="78" t="str">
        <x:v>representative evidence withheld</x:v>
      </x:c>
      <x:c r="D28" s="78" t="n">
        <x:v>12</x:v>
      </x:c>
      <x:c r="E28" s="78" t="n">
        <x:v>6</x:v>
      </x:c>
      <x:c r="F28" s="78" t="n">
        <x:v>25</x:v>
      </x:c>
      <x:c r="G28" s="78" t="str">
        <x:v>available</x:v>
      </x:c>
      <x:c r="H28" s="78" t="n">
        <x:v>1</x:v>
      </x:c>
      <x:c r="I28" s="78" t="n">
        <x:v>1</x:v>
      </x:c>
      <x:c r="J28" s="78" t="n">
        <x:v>1</x:v>
      </x:c>
      <x:c r="K28" s="78" t="n">
        <x:v>1</x:v>
      </x:c>
      <x:c r="L28" s="78" t="n">
        <x:v>1</x:v>
      </x:c>
      <x:c r="M28" s="78" t="str">
        <x:v>PASS</x:v>
      </x:c>
      <x:c r="N28" s="78" t="str">
        <x:v>FAIL</x:v>
      </x:c>
      <x:c r="O28" s="78" t="str">
        <x:v>behavior survives; current credit denied</x:v>
      </x:c>
      <x:c r="P28" s="79" t="str">
        <x:v>Fourth Access Systems Command</x:v>
      </x:c>
    </x:row>
    <x:row r="29">
      <x:c r="B29" s="70"/>
      <x:c r="C29" s="70"/>
      <x:c r="D29" s="70"/>
      <x:c r="E29" s="70"/>
      <x:c r="F29" s="70"/>
      <x:c r="G29" s="70"/>
      <x:c r="H29" s="70"/>
      <x:c r="I29" s="70"/>
      <x:c r="J29" s="70"/>
      <x:c r="K29" s="70"/>
      <x:c r="L29" s="70"/>
      <x:c r="M29" s="70"/>
      <x:c r="N29" s="70"/>
      <x:c r="O29" s="70"/>
      <x:c r="P29" s="70"/>
    </x:row>
    <x:row r="30"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  <x:c r="M30" s="70"/>
      <x:c r="N30" s="70"/>
      <x:c r="O30" s="70"/>
      <x:c r="P30" s="70"/>
    </x:row>
    <x:row r="31">
      <x:c r="B31" s="70"/>
      <x:c r="C31" s="70"/>
      <x:c r="D31" s="70"/>
      <x:c r="E31" s="70"/>
      <x:c r="F31" s="70"/>
      <x:c r="G31" s="70"/>
      <x:c r="H31" s="70"/>
      <x:c r="I31" s="70"/>
      <x:c r="J31" s="70"/>
      <x:c r="K31" s="70"/>
      <x:c r="L31" s="70"/>
      <x:c r="M31" s="70"/>
      <x:c r="N31" s="70"/>
      <x:c r="O31" s="70"/>
      <x:c r="P31" s="70"/>
    </x:row>
    <x:row r="32">
      <x:c r="B32" s="70"/>
      <x:c r="C32" s="70"/>
      <x:c r="D32" s="70"/>
      <x:c r="E32" s="70"/>
      <x:c r="F32" s="70"/>
      <x:c r="G32" s="70"/>
      <x:c r="H32" s="70"/>
      <x:c r="I32" s="70"/>
      <x:c r="J32" s="70"/>
      <x:c r="K32" s="70"/>
      <x:c r="L32" s="70"/>
      <x:c r="M32" s="70"/>
      <x:c r="N32" s="70"/>
      <x:c r="O32" s="70"/>
      <x:c r="P32" s="70"/>
    </x:row>
    <x:row r="33">
      <x:c r="B33" s="70"/>
      <x:c r="C33" s="70"/>
      <x:c r="D33" s="70"/>
      <x:c r="E33" s="70"/>
      <x:c r="F33" s="70"/>
      <x:c r="G33" s="70"/>
      <x:c r="H33" s="70"/>
      <x:c r="I33" s="70"/>
      <x:c r="J33" s="70"/>
      <x:c r="K33" s="70"/>
      <x:c r="L33" s="70"/>
      <x:c r="M33" s="70"/>
      <x:c r="N33" s="70"/>
      <x:c r="O33" s="70"/>
      <x:c r="P33" s="70"/>
    </x:row>
    <x:row r="34">
      <x:c r="B34" s="70"/>
      <x:c r="C34" s="70"/>
      <x:c r="D34" s="70"/>
      <x:c r="E34" s="70"/>
      <x:c r="F34" s="70"/>
      <x:c r="G34" s="70"/>
      <x:c r="H34" s="70"/>
      <x:c r="I34" s="70"/>
      <x:c r="J34" s="70"/>
      <x:c r="K34" s="70"/>
      <x:c r="L34" s="70"/>
      <x:c r="M34" s="70"/>
      <x:c r="N34" s="70"/>
      <x:c r="O34" s="70"/>
      <x:c r="P34" s="70"/>
    </x:row>
    <x:row r="35">
      <x:c r="B35" s="70"/>
      <x:c r="C35" s="70"/>
      <x:c r="D35" s="70"/>
      <x:c r="E35" s="70"/>
      <x:c r="F35" s="70"/>
      <x:c r="G35" s="70"/>
      <x:c r="H35" s="70"/>
      <x:c r="I35" s="70"/>
      <x:c r="J35" s="70"/>
      <x:c r="K35" s="70"/>
      <x:c r="L35" s="70"/>
      <x:c r="M35" s="70"/>
      <x:c r="N35" s="70"/>
      <x:c r="O35" s="70"/>
      <x:c r="P35" s="70"/>
    </x:row>
    <x:row r="36"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</x:row>
  </x:sheetData>
  <x:mergeCells>
    <x:mergeCell ref="B2:F2"/>
    <x:mergeCell ref="B3:F3"/>
  </x:mergeCells>
  <x:conditionalFormatting sqref="M7:N28">
    <x:cfRule type="containsText" dxfId="24" priority="1" operator="containsText" text="FAIL"/>
    <x:cfRule type="containsText" dxfId="25" priority="2" operator="containsText" text="PASS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5" hidden="0" customWidth="1"/>
    <x:col min="3" max="3" width="16" hidden="0" customWidth="1"/>
    <x:col min="4" max="4" width="15" hidden="0" customWidth="1"/>
    <x:col min="5" max="5" width="20" hidden="0" customWidth="1"/>
    <x:col min="6" max="6" width="14" hidden="0" customWidth="1"/>
    <x:col min="7" max="7" width="22" hidden="0" customWidth="1"/>
    <x:col min="8" max="8" width="23" hidden="0" customWidth="1"/>
    <x:col min="9" max="9" width="17" hidden="0" customWidth="1"/>
    <x:col min="10" max="10" width="15" hidden="0" customWidth="1"/>
    <x:col min="11" max="11" width="15" hidden="0" customWidth="1"/>
    <x:col min="12" max="12" width="31" hidden="0" customWidth="1"/>
    <x:col min="13" max="13" width="14" hidden="0" customWidth="1"/>
  </x:cols>
  <x:sheetData>
    <x:row r="2">
      <x:c r="B2" s="69" t="str">
        <x:v>T4 concurrent reset and return-to-service boundary</x:v>
      </x:c>
      <x:c r="C2" s="69" t="str">
        <x:v>T4 concurrent reset and return-to-service boundary</x:v>
      </x:c>
      <x:c r="D2" s="69" t="str">
        <x:v>T4 concurrent reset and return-to-service boundary</x:v>
      </x:c>
      <x:c r="E2" s="69" t="str">
        <x:v>T4 concurrent reset and return-to-service boundary</x:v>
      </x:c>
      <x:c r="F2" s="69" t="str">
        <x:v>T4 concurrent reset and return-to-service boundary</x:v>
      </x:c>
      <x:c r="G2" s="70"/>
      <x:c r="H2" s="70"/>
      <x:c r="I2" s="70"/>
      <x:c r="J2" s="70"/>
      <x:c r="K2" s="70"/>
      <x:c r="L2" s="70"/>
      <x:c r="M2" s="70"/>
    </x:row>
    <x:row r="3">
      <x:c r="B3" s="71" t="str">
        <x:v>The longest independent workstream—not the sum of parallel labor—governs reuse</x:v>
      </x:c>
      <x:c r="C3" s="71" t="str">
        <x:v>The longest independent workstream—not the sum of parallel labor—governs reuse</x:v>
      </x:c>
      <x:c r="D3" s="71" t="str">
        <x:v>The longest independent workstream—not the sum of parallel labor—governs reuse</x:v>
      </x:c>
      <x:c r="E3" s="71" t="str">
        <x:v>The longest independent workstream—not the sum of parallel labor—governs reuse</x:v>
      </x:c>
      <x:c r="F3" s="71" t="str">
        <x:v>The longest independent workstream—not the sum of parallel labor—governs reuse</x:v>
      </x:c>
      <x:c r="G3" s="70"/>
      <x:c r="H3" s="70"/>
      <x:c r="I3" s="70"/>
      <x:c r="J3" s="70"/>
      <x:c r="K3" s="70"/>
      <x:c r="L3" s="70"/>
      <x:c r="M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  <x:c r="M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  <x:c r="M5" s="70"/>
    </x:row>
    <x:row r="6">
      <x:c r="B6" s="29" t="str">
        <x:v>Workstream</x:v>
      </x:c>
      <x:c r="C6" s="30" t="str">
        <x:v>Shutdown h</x:v>
      </x:c>
      <x:c r="D6" s="30" t="str">
        <x:v>Recover h</x:v>
      </x:c>
      <x:c r="E6" s="30" t="str">
        <x:v>Decontaminate h</x:v>
      </x:c>
      <x:c r="F6" s="30" t="str">
        <x:v>Inspect h</x:v>
      </x:c>
      <x:c r="G6" s="30" t="str">
        <x:v>Repair allowance h</x:v>
      </x:c>
      <x:c r="H6" s="30" t="str">
        <x:v>Recertify and reload h</x:v>
      </x:c>
      <x:c r="I6" s="30" t="str">
        <x:v>Path total h</x:v>
      </x:c>
      <x:c r="J6" s="30" t="str">
        <x:v>Ceiling h</x:v>
      </x:c>
      <x:c r="K6" s="30" t="str">
        <x:v>Margin h</x:v>
      </x:c>
      <x:c r="L6" s="30" t="str">
        <x:v>Owner</x:v>
      </x:c>
      <x:c r="M6" s="30" t="str">
        <x:v>Result</x:v>
      </x:c>
    </x:row>
    <x:row r="7">
      <x:c r="B7" s="76" t="str">
        <x:v>mobility pods, track modules and brakes</x:v>
      </x:c>
      <x:c r="C7" s="76" t="n">
        <x:v>4</x:v>
      </x:c>
      <x:c r="D7" s="76" t="n">
        <x:v>16</x:v>
      </x:c>
      <x:c r="E7" s="76" t="n">
        <x:v>16</x:v>
      </x:c>
      <x:c r="F7" s="76" t="n">
        <x:v>42</x:v>
      </x:c>
      <x:c r="G7" s="76" t="n">
        <x:v>54</x:v>
      </x:c>
      <x:c r="H7" s="76" t="n">
        <x:v>16</x:v>
      </x:c>
      <x:c r="I7" s="76" t="n">
        <x:f>SUM(C7:H7)</x:f>
        <x:v>148</x:v>
      </x:c>
      <x:c r="J7" s="76" t="n">
        <x:f>Assumptions!C62</x:f>
        <x:v>168</x:v>
      </x:c>
      <x:c r="K7" s="76" t="n">
        <x:f>J7-I7</x:f>
        <x:v>20</x:v>
      </x:c>
      <x:c r="L7" s="76" t="str">
        <x:v>terrain systems depot</x:v>
      </x:c>
      <x:c r="M7" s="77" t="str">
        <x:f>IF(K7&gt;=0,"PASS","FAIL")</x:f>
        <x:v>PASS</x:v>
      </x:c>
    </x:row>
    <x:row r="8">
      <x:c r="B8" s="76" t="str">
        <x:v>propulsion, energy and thermal system</x:v>
      </x:c>
      <x:c r="C8" s="76" t="n">
        <x:v>4</x:v>
      </x:c>
      <x:c r="D8" s="76" t="n">
        <x:v>12</x:v>
      </x:c>
      <x:c r="E8" s="76" t="n">
        <x:v>12</x:v>
      </x:c>
      <x:c r="F8" s="76" t="n">
        <x:v>38</x:v>
      </x:c>
      <x:c r="G8" s="76" t="n">
        <x:v>42</x:v>
      </x:c>
      <x:c r="H8" s="76" t="n">
        <x:v>16</x:v>
      </x:c>
      <x:c r="I8" s="76" t="n">
        <x:f>SUM(C8:H8)</x:f>
        <x:v>124</x:v>
      </x:c>
      <x:c r="J8" s="76" t="n">
        <x:f>Assumptions!C62</x:f>
        <x:v>168</x:v>
      </x:c>
      <x:c r="K8" s="76" t="n">
        <x:f>J8-I8</x:f>
        <x:v>44</x:v>
      </x:c>
      <x:c r="L8" s="76" t="str">
        <x:v>energy systems depot</x:v>
      </x:c>
      <x:c r="M8" s="77" t="str">
        <x:f>IF(K8&gt;=0,"PASS","FAIL")</x:f>
        <x:v>PASS</x:v>
      </x:c>
    </x:row>
    <x:row r="9">
      <x:c r="B9" s="76" t="str">
        <x:v>articulation spine, deck and restraints</x:v>
      </x:c>
      <x:c r="C9" s="76" t="n">
        <x:v>4</x:v>
      </x:c>
      <x:c r="D9" s="76" t="n">
        <x:v>12</x:v>
      </x:c>
      <x:c r="E9" s="76" t="n">
        <x:v>12</x:v>
      </x:c>
      <x:c r="F9" s="76" t="n">
        <x:v>34</x:v>
      </x:c>
      <x:c r="G9" s="76" t="n">
        <x:v>40</x:v>
      </x:c>
      <x:c r="H9" s="76" t="n">
        <x:v>16</x:v>
      </x:c>
      <x:c r="I9" s="76" t="n">
        <x:f>SUM(C9:H9)</x:f>
        <x:v>118</x:v>
      </x:c>
      <x:c r="J9" s="76" t="n">
        <x:f>Assumptions!C62</x:f>
        <x:v>168</x:v>
      </x:c>
      <x:c r="K9" s="76" t="n">
        <x:f>J9-I9</x:f>
        <x:v>50</x:v>
      </x:c>
      <x:c r="L9" s="76" t="str">
        <x:v>heavy structures depot</x:v>
      </x:c>
      <x:c r="M9" s="77" t="str">
        <x:f>IF(K9&gt;=0,"PASS","FAIL")</x:f>
        <x:v>PASS</x:v>
      </x:c>
    </x:row>
    <x:row r="10">
      <x:c r="B10" s="76" t="str">
        <x:v>bridge, mat and route-drone kit</x:v>
      </x:c>
      <x:c r="C10" s="76" t="n">
        <x:v>4</x:v>
      </x:c>
      <x:c r="D10" s="76" t="n">
        <x:v>18</x:v>
      </x:c>
      <x:c r="E10" s="76" t="n">
        <x:v>18</x:v>
      </x:c>
      <x:c r="F10" s="76" t="n">
        <x:v>34</x:v>
      </x:c>
      <x:c r="G10" s="76" t="n">
        <x:v>46</x:v>
      </x:c>
      <x:c r="H10" s="76" t="n">
        <x:v>16</x:v>
      </x:c>
      <x:c r="I10" s="76" t="n">
        <x:f>SUM(C10:H10)</x:f>
        <x:v>136</x:v>
      </x:c>
      <x:c r="J10" s="76" t="n">
        <x:f>Assumptions!C62</x:f>
        <x:v>168</x:v>
      </x:c>
      <x:c r="K10" s="76" t="n">
        <x:f>J10-I10</x:f>
        <x:v>32</x:v>
      </x:c>
      <x:c r="L10" s="76" t="str">
        <x:v>route systems depot</x:v>
      </x:c>
      <x:c r="M10" s="77" t="str">
        <x:f>IF(K10&gt;=0,"PASS","FAIL")</x:f>
        <x:v>PASS</x:v>
      </x:c>
    </x:row>
    <x:row r="11">
      <x:c r="B11" s="76" t="str">
        <x:v>crew, autonomy and mission-state reconstruction</x:v>
      </x:c>
      <x:c r="C11" s="76" t="n">
        <x:v>4</x:v>
      </x:c>
      <x:c r="D11" s="76" t="n">
        <x:v>4</x:v>
      </x:c>
      <x:c r="E11" s="76" t="n">
        <x:v>0</x:v>
      </x:c>
      <x:c r="F11" s="76" t="n">
        <x:v>20</x:v>
      </x:c>
      <x:c r="G11" s="76" t="n">
        <x:v>0</x:v>
      </x:c>
      <x:c r="H11" s="76" t="n">
        <x:v>16</x:v>
      </x:c>
      <x:c r="I11" s="76" t="n">
        <x:f>SUM(C11:H11)</x:f>
        <x:v>44</x:v>
      </x:c>
      <x:c r="J11" s="76" t="n">
        <x:f>Assumptions!C62</x:f>
        <x:v>168</x:v>
      </x:c>
      <x:c r="K11" s="76" t="n">
        <x:f>J11-I11</x:f>
        <x:v>124</x:v>
      </x:c>
      <x:c r="L11" s="76" t="str">
        <x:v>terrain operations school</x:v>
      </x:c>
      <x:c r="M11" s="77" t="str">
        <x:f>IF(K11&gt;=0,"PASS","FAIL")</x:f>
        <x:v>PASS</x:v>
      </x:c>
    </x:row>
    <x:row r="12">
      <x:c r="B12" s="78" t="str">
        <x:v>base, receiver and route handback</x:v>
      </x:c>
      <x:c r="C12" s="78" t="n">
        <x:v>4</x:v>
      </x:c>
      <x:c r="D12" s="78" t="n">
        <x:v>18</x:v>
      </x:c>
      <x:c r="E12" s="78" t="n">
        <x:v>14</x:v>
      </x:c>
      <x:c r="F12" s="78" t="n">
        <x:v>26</x:v>
      </x:c>
      <x:c r="G12" s="78" t="n">
        <x:v>18</x:v>
      </x:c>
      <x:c r="H12" s="78" t="n">
        <x:v>16</x:v>
      </x:c>
      <x:c r="I12" s="78" t="n">
        <x:f>SUM(C12:H12)</x:f>
        <x:v>96</x:v>
      </x:c>
      <x:c r="J12" s="78" t="n">
        <x:f>Assumptions!C62</x:f>
        <x:v>168</x:v>
      </x:c>
      <x:c r="K12" s="78" t="n">
        <x:f>J12-I12</x:f>
        <x:v>72</x:v>
      </x:c>
      <x:c r="L12" s="78" t="str">
        <x:v>Fourth Access Systems Command</x:v>
      </x:c>
      <x:c r="M12" s="79" t="str">
        <x:f>IF(K12&gt;=0,"PASS","FAIL")</x:f>
        <x:v>PASS</x:v>
      </x:c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  <x:c r="M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  <x:c r="M14" s="70"/>
    </x:row>
    <x:row r="15">
      <x:c r="B15" s="73" t="str">
        <x:v>Architecture reset judgment</x:v>
      </x:c>
      <x:c r="C15" s="74" t="str">
        <x:v>Architecture reset judgment</x:v>
      </x:c>
      <x:c r="D15" s="74" t="str">
        <x:v>Architecture reset judgment</x:v>
      </x:c>
      <x:c r="E15" s="74" t="str">
        <x:v>Architecture reset judgment</x:v>
      </x:c>
      <x:c r="F15" s="74" t="str">
        <x:v>Architecture reset judgment</x:v>
      </x:c>
      <x:c r="G15" s="74" t="str">
        <x:v>Architecture reset judgment</x:v>
      </x:c>
      <x:c r="H15" s="74" t="str">
        <x:v>Architecture reset judgment</x:v>
      </x:c>
      <x:c r="I15" s="74" t="str">
        <x:v>Architecture reset judgment</x:v>
      </x:c>
      <x:c r="J15" s="74" t="str">
        <x:v>Architecture reset judgment</x:v>
      </x:c>
      <x:c r="K15" s="74" t="str">
        <x:v>Architecture reset judgment</x:v>
      </x:c>
      <x:c r="L15" s="74" t="str">
        <x:v>Architecture reset judgment</x:v>
      </x:c>
      <x:c r="M15" s="75" t="str">
        <x:v>Architecture reset judgment</x:v>
      </x:c>
    </x:row>
    <x:row r="16">
      <x:c r="B16" s="19" t="str">
        <x:v>Selected architecture</x:v>
      </x:c>
      <x:c r="C16" s="20" t="str">
        <x:v>Critical workstream</x:v>
      </x:c>
      <x:c r="D16" s="20" t="str">
        <x:v>Concurrent critical path h</x:v>
      </x:c>
      <x:c r="E16" s="20" t="str">
        <x:v>Ceiling h</x:v>
      </x:c>
      <x:c r="F16" s="20" t="str">
        <x:v>Margin h</x:v>
      </x:c>
      <x:c r="G16" s="20" t="str">
        <x:v>Boundary</x:v>
      </x:c>
      <x:c r="H16" s="21" t="str">
        <x:v>Evidence</x:v>
      </x:c>
      <x:c r="I16" s="70"/>
      <x:c r="J16" s="70"/>
      <x:c r="K16" s="70"/>
      <x:c r="L16" s="70"/>
      <x:c r="M16" s="70"/>
    </x:row>
    <x:row r="17">
      <x:c r="B17" s="70" t="str">
        <x:v>T4 SAT-170</x:v>
      </x:c>
      <x:c r="C17" s="70" t="str">
        <x:f>INDEX(B7:B12,MATCH(MAX(I7:I12),I7:I12,0))</x:f>
        <x:v>mobility pods, track modules and brakes</x:v>
      </x:c>
      <x:c r="D17" s="70" t="n">
        <x:f>MAX(I7:I12)</x:f>
        <x:v>148</x:v>
      </x:c>
      <x:c r="E17" s="70" t="n">
        <x:f>Assumptions!C62</x:f>
        <x:v>168</x:v>
      </x:c>
      <x:c r="F17" s="70" t="n">
        <x:f>E17-D17</x:f>
        <x:v>20</x:v>
      </x:c>
      <x:c r="G17" s="70" t="str">
        <x:f>IF(F17&gt;=0,"PASS","FAIL")</x:f>
        <x:v>PASS</x:v>
      </x:c>
      <x:c r="H17" s="70" t="str">
        <x:v>OPEN</x:v>
      </x:c>
      <x:c r="I17" s="70"/>
      <x:c r="J17" s="70"/>
      <x:c r="K17" s="70"/>
      <x:c r="L17" s="70"/>
      <x:c r="M17" s="70"/>
    </x:row>
    <x:row r="18">
      <x:c r="B18" s="70"/>
      <x:c r="C18" s="70"/>
      <x:c r="D18" s="70"/>
      <x:c r="E18" s="70"/>
      <x:c r="F18" s="70"/>
      <x:c r="G18" s="70"/>
      <x:c r="H18" s="70"/>
      <x:c r="I18" s="70"/>
      <x:c r="J18" s="70"/>
      <x:c r="K18" s="70"/>
      <x:c r="L18" s="70"/>
      <x:c r="M18" s="70"/>
    </x:row>
    <x:row r="19">
      <x:c r="B19" s="70"/>
      <x:c r="C19" s="70"/>
      <x:c r="D19" s="70"/>
      <x:c r="E19" s="70"/>
      <x:c r="F19" s="70"/>
      <x:c r="G19" s="70"/>
      <x:c r="H19" s="70"/>
      <x:c r="I19" s="70"/>
      <x:c r="J19" s="70"/>
      <x:c r="K19" s="70"/>
      <x:c r="L19" s="70"/>
      <x:c r="M19" s="70"/>
    </x:row>
    <x:row r="20">
      <x:c r="B20" s="70"/>
      <x:c r="C20" s="70"/>
      <x:c r="D20" s="70"/>
      <x:c r="E20" s="70"/>
      <x:c r="F20" s="70"/>
      <x:c r="G20" s="70"/>
      <x:c r="H20" s="70"/>
      <x:c r="I20" s="70"/>
      <x:c r="J20" s="70"/>
      <x:c r="K20" s="70"/>
      <x:c r="L20" s="70"/>
      <x:c r="M20" s="70"/>
    </x:row>
    <x:row r="21">
      <x:c r="B21" s="70"/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  <x:c r="M21" s="70"/>
    </x:row>
    <x:row r="22">
      <x:c r="B22" s="70"/>
      <x:c r="C22" s="70"/>
      <x:c r="D22" s="70"/>
      <x:c r="E22" s="70"/>
      <x:c r="F22" s="70"/>
      <x:c r="G22" s="70"/>
      <x:c r="H22" s="70"/>
      <x:c r="I22" s="70"/>
      <x:c r="J22" s="70"/>
      <x:c r="K22" s="70"/>
      <x:c r="L22" s="70"/>
      <x:c r="M22" s="70"/>
    </x:row>
    <x:row r="23"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  <x:c r="M23" s="70"/>
    </x:row>
    <x:row r="24"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70"/>
      <x:c r="M24" s="70"/>
    </x:row>
    <x:row r="25"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  <x:c r="L25" s="70"/>
      <x:c r="M25" s="70"/>
    </x:row>
    <x:row r="26">
      <x:c r="B26" s="70"/>
      <x:c r="C26" s="70"/>
      <x:c r="D26" s="70"/>
      <x:c r="E26" s="70"/>
      <x:c r="F26" s="70"/>
      <x:c r="G26" s="70"/>
      <x:c r="H26" s="70"/>
      <x:c r="I26" s="70"/>
      <x:c r="J26" s="70"/>
      <x:c r="K26" s="70"/>
      <x:c r="L26" s="70"/>
      <x:c r="M26" s="70"/>
    </x:row>
    <x:row r="27">
      <x:c r="B27" s="70"/>
      <x:c r="C27" s="70"/>
      <x:c r="D27" s="70"/>
      <x:c r="E27" s="70"/>
      <x:c r="F27" s="70"/>
      <x:c r="G27" s="70"/>
      <x:c r="H27" s="70"/>
      <x:c r="I27" s="70"/>
      <x:c r="J27" s="70"/>
      <x:c r="K27" s="70"/>
      <x:c r="L27" s="70"/>
      <x:c r="M27" s="70"/>
    </x:row>
    <x:row r="28">
      <x:c r="B28" s="70"/>
      <x:c r="C28" s="70"/>
      <x:c r="D28" s="70"/>
      <x:c r="E28" s="70"/>
      <x:c r="F28" s="70"/>
      <x:c r="G28" s="70"/>
      <x:c r="H28" s="70"/>
      <x:c r="I28" s="70"/>
      <x:c r="J28" s="70"/>
      <x:c r="K28" s="70"/>
      <x:c r="L28" s="70"/>
      <x:c r="M28" s="70"/>
    </x:row>
  </x:sheetData>
  <x:mergeCells>
    <x:mergeCell ref="B2:F2"/>
    <x:mergeCell ref="B3:F3"/>
    <x:mergeCell ref="B15:M15"/>
  </x:mergeCells>
  <x:conditionalFormatting sqref="M7:M12">
    <x:cfRule type="containsText" dxfId="26" priority="1" operator="containsText" text="FAIL"/>
    <x:cfRule type="containsText" dxfId="27" priority="2" operator="containsText" text="PASS"/>
  </x:conditionalFormatting>
  <x:conditionalFormatting sqref="G17:G17">
    <x:cfRule type="containsText" dxfId="28" priority="3" operator="containsText" text="FAIL"/>
    <x:cfRule type="containsText" dxfId="29" priority="4" operator="containsText" text="PASS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3" max="3" width="20" hidden="0" customWidth="1"/>
    <x:col min="4" max="4" width="20" hidden="0" customWidth="1"/>
    <x:col min="5" max="5" width="24" hidden="0" customWidth="1"/>
    <x:col min="6" max="6" width="24" hidden="0" customWidth="1"/>
    <x:col min="7" max="7" width="27" hidden="0" customWidth="1"/>
    <x:col min="8" max="8" width="25" hidden="0" customWidth="1"/>
    <x:col min="9" max="9" width="22" hidden="0" customWidth="1"/>
    <x:col min="10" max="10" width="14" hidden="0" customWidth="1"/>
    <x:col min="11" max="11" width="22" hidden="0" customWidth="1"/>
    <x:col min="12" max="12" width="43" hidden="0" customWidth="1"/>
  </x:cols>
  <x:sheetData>
    <x:row r="2">
      <x:c r="B2" s="69" t="str">
        <x:v>T4 architecture-specific workforce correction</x:v>
      </x:c>
      <x:c r="C2" s="69" t="str">
        <x:v>T4 architecture-specific workforce correction</x:v>
      </x:c>
      <x:c r="D2" s="69" t="str">
        <x:v>T4 architecture-specific workforce correction</x:v>
      </x:c>
      <x:c r="E2" s="69" t="str">
        <x:v>T4 architecture-specific workforce correction</x:v>
      </x:c>
      <x:c r="F2" s="69" t="str">
        <x:v>T4 architecture-specific workforce correction</x:v>
      </x:c>
      <x:c r="G2" s="70"/>
      <x:c r="H2" s="70"/>
      <x:c r="I2" s="70"/>
      <x:c r="J2" s="70"/>
      <x:c r="K2" s="70"/>
      <x:c r="L2" s="70"/>
    </x:row>
    <x:row r="3">
      <x:c r="B3" s="71" t="str">
        <x:v>Route engineering, soil mechanics, segmented energy and heavy recovery become permanent force specialties</x:v>
      </x:c>
      <x:c r="C3" s="71" t="str">
        <x:v>Route engineering, soil mechanics, segmented energy and heavy recovery become permanent force specialties</x:v>
      </x:c>
      <x:c r="D3" s="71" t="str">
        <x:v>Route engineering, soil mechanics, segmented energy and heavy recovery become permanent force specialties</x:v>
      </x:c>
      <x:c r="E3" s="71" t="str">
        <x:v>Route engineering, soil mechanics, segmented energy and heavy recovery become permanent force specialties</x:v>
      </x:c>
      <x:c r="F3" s="71" t="str">
        <x:v>Route engineering, soil mechanics, segmented energy and heavy recovery become permanent force specialties</x:v>
      </x:c>
      <x:c r="G3" s="70"/>
      <x:c r="H3" s="70"/>
      <x:c r="I3" s="70"/>
      <x:c r="J3" s="70"/>
      <x:c r="K3" s="70"/>
      <x:c r="L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  <x:c r="L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</x:row>
    <x:row r="6">
      <x:c r="B6" s="29" t="str">
        <x:v>Role</x:v>
      </x:c>
      <x:c r="C6" s="30" t="str">
        <x:v>Deployed addition</x:v>
      </x:c>
      <x:c r="D6" s="30" t="str">
        <x:v>Affiliated addition</x:v>
      </x:c>
      <x:c r="E6" s="30" t="str">
        <x:v>Minimum-watch addition</x:v>
      </x:c>
      <x:c r="F6" s="30" t="str">
        <x:v>Primary phase</x:v>
      </x:c>
      <x:c r="G6" s="30" t="str">
        <x:v>Qualification</x:v>
      </x:c>
      <x:c r="H6" s="30" t="str">
        <x:v>Casualty substitute</x:v>
      </x:c>
      <x:c r="I6" s="30" t="str">
        <x:v>Independent lineage</x:v>
      </x:c>
      <x:c r="J6" s="30" t="str">
        <x:v>Evidence</x:v>
      </x:c>
      <x:c r="K6" s="30" t="str">
        <x:v>Included in operations</x:v>
      </x:c>
      <x:c r="L6" s="30" t="str">
        <x:v>Comment</x:v>
      </x:c>
    </x:row>
    <x:row r="7">
      <x:c r="B7" s="76" t="str">
        <x:v>mobility-pod operators and maintainers</x:v>
      </x:c>
      <x:c r="C7" s="76" t="n">
        <x:v>16</x:v>
      </x:c>
      <x:c r="D7" s="76" t="n">
        <x:v>36</x:v>
      </x:c>
      <x:c r="E7" s="76" t="n">
        <x:v>6</x:v>
      </x:c>
      <x:c r="F7" s="76" t="str">
        <x:v>route and reset</x:v>
      </x:c>
      <x:c r="G7" s="76" t="str">
        <x:v>distributed heavy traction</x:v>
      </x:c>
      <x:c r="H7" s="76" t="str">
        <x:v>second vehicle team</x:v>
      </x:c>
      <x:c r="I7" s="76" t="str">
        <x:v>terrain systems A</x:v>
      </x:c>
      <x:c r="J7" s="76" t="str">
        <x:v>OPEN</x:v>
      </x:c>
      <x:c r="K7" s="76" t="str">
        <x:v>yes</x:v>
      </x:c>
      <x:c r="L7" s="77" t="str">
        <x:v>pod isolation and replacement</x:v>
      </x:c>
    </x:row>
    <x:row r="8">
      <x:c r="B8" s="76" t="str">
        <x:v>route robotics and bridge crew</x:v>
      </x:c>
      <x:c r="C8" s="76" t="n">
        <x:v>20</x:v>
      </x:c>
      <x:c r="D8" s="76" t="n">
        <x:v>44</x:v>
      </x:c>
      <x:c r="E8" s="76" t="n">
        <x:v>6</x:v>
      </x:c>
      <x:c r="F8" s="76" t="str">
        <x:v>survey through crossing</x:v>
      </x:c>
      <x:c r="G8" s="76" t="str">
        <x:v>robotic route works</x:v>
      </x:c>
      <x:c r="H8" s="76" t="str">
        <x:v>manual survey section</x:v>
      </x:c>
      <x:c r="I8" s="76" t="str">
        <x:v>route systems A</x:v>
      </x:c>
      <x:c r="J8" s="76" t="str">
        <x:v>OPEN</x:v>
      </x:c>
      <x:c r="K8" s="76" t="str">
        <x:v>yes</x:v>
      </x:c>
      <x:c r="L8" s="77" t="str">
        <x:v>bridge mat and route drones</x:v>
      </x:c>
    </x:row>
    <x:row r="9">
      <x:c r="B9" s="76" t="str">
        <x:v>terrain release and soil mechanics</x:v>
      </x:c>
      <x:c r="C9" s="76" t="n">
        <x:v>8</x:v>
      </x:c>
      <x:c r="D9" s="76" t="n">
        <x:v>18</x:v>
      </x:c>
      <x:c r="E9" s="76" t="n">
        <x:v>2</x:v>
      </x:c>
      <x:c r="F9" s="76" t="str">
        <x:v>release and route</x:v>
      </x:c>
      <x:c r="G9" s="76" t="str">
        <x:v>rapid bearing assessment</x:v>
      </x:c>
      <x:c r="H9" s="76" t="str">
        <x:v>receiver ground cell</x:v>
      </x:c>
      <x:c r="I9" s="76" t="str">
        <x:v>terrain science A</x:v>
      </x:c>
      <x:c r="J9" s="76" t="str">
        <x:v>OPEN</x:v>
      </x:c>
      <x:c r="K9" s="76" t="str">
        <x:v>yes</x:v>
      </x:c>
      <x:c r="L9" s="77" t="str">
        <x:v>owns 35 kPa release</x:v>
      </x:c>
    </x:row>
    <x:row r="10">
      <x:c r="B10" s="76" t="str">
        <x:v>energy and traction specialists</x:v>
      </x:c>
      <x:c r="C10" s="76" t="n">
        <x:v>8</x:v>
      </x:c>
      <x:c r="D10" s="76" t="n">
        <x:v>18</x:v>
      </x:c>
      <x:c r="E10" s="76" t="n">
        <x:v>2</x:v>
      </x:c>
      <x:c r="F10" s="76" t="str">
        <x:v>route and reset</x:v>
      </x:c>
      <x:c r="G10" s="76" t="str">
        <x:v>segmented fuel-electric system</x:v>
      </x:c>
      <x:c r="H10" s="76" t="str">
        <x:v>alternate energy team</x:v>
      </x:c>
      <x:c r="I10" s="76" t="str">
        <x:v>energy systems A</x:v>
      </x:c>
      <x:c r="J10" s="76" t="str">
        <x:v>OPEN</x:v>
      </x:c>
      <x:c r="K10" s="76" t="str">
        <x:v>yes</x:v>
      </x:c>
      <x:c r="L10" s="77" t="str">
        <x:v>bus isolation and torque control</x:v>
      </x:c>
    </x:row>
    <x:row r="11">
      <x:c r="B11" s="76" t="str">
        <x:v>heavy recovery and cooperative tow</x:v>
      </x:c>
      <x:c r="C11" s="76" t="n">
        <x:v>12</x:v>
      </x:c>
      <x:c r="D11" s="76" t="n">
        <x:v>28</x:v>
      </x:c>
      <x:c r="E11" s="76" t="n">
        <x:v>4</x:v>
      </x:c>
      <x:c r="F11" s="76" t="str">
        <x:v>route and recovery</x:v>
      </x:c>
      <x:c r="G11" s="76" t="str">
        <x:v>five-hundred-tonne recovery</x:v>
      </x:c>
      <x:c r="H11" s="76" t="str">
        <x:v>second ATUT vehicle</x:v>
      </x:c>
      <x:c r="I11" s="76" t="str">
        <x:v>recovery systems A</x:v>
      </x:c>
      <x:c r="J11" s="76" t="str">
        <x:v>OPEN</x:v>
      </x:c>
      <x:c r="K11" s="76" t="str">
        <x:v>yes</x:v>
      </x:c>
      <x:c r="L11" s="77" t="str">
        <x:v>self and cross-vehicle extraction</x:v>
      </x:c>
    </x:row>
    <x:row r="12">
      <x:c r="B12" s="94" t="str">
        <x:v>Total</x:v>
      </x:c>
      <x:c r="C12" s="94" t="n">
        <x:f>SUM(C7:C11)</x:f>
        <x:v>64</x:v>
      </x:c>
      <x:c r="D12" s="94" t="n">
        <x:f>SUM(D7:D11)</x:f>
        <x:v>144</x:v>
      </x:c>
      <x:c r="E12" s="94" t="n">
        <x:f>SUM(E7:E11)</x:f>
        <x:v>20</x:v>
      </x:c>
      <x:c r="F12" s="94" t="str"/>
      <x:c r="G12" s="94" t="str"/>
      <x:c r="H12" s="94" t="str"/>
      <x:c r="I12" s="94" t="str"/>
      <x:c r="J12" s="94" t="str"/>
      <x:c r="K12" s="94" t="str"/>
      <x:c r="L12" s="95" t="str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</x:row>
    <x:row r="14">
      <x:c r="B14" s="70"/>
      <x:c r="C14" s="70"/>
      <x:c r="D14" s="70"/>
      <x:c r="E14" s="70"/>
      <x:c r="F14" s="70"/>
      <x:c r="G14" s="70"/>
      <x:c r="H14" s="70"/>
      <x:c r="I14" s="70"/>
      <x:c r="J14" s="70"/>
      <x:c r="K14" s="70"/>
      <x:c r="L14" s="70"/>
    </x:row>
    <x:row r="15">
      <x:c r="B15" s="73" t="str">
        <x:v>Revised DCP-2 workforce boundary</x:v>
      </x:c>
      <x:c r="C15" s="74" t="str">
        <x:v>Revised DCP-2 workforce boundary</x:v>
      </x:c>
      <x:c r="D15" s="74" t="str">
        <x:v>Revised DCP-2 workforce boundary</x:v>
      </x:c>
      <x:c r="E15" s="74" t="str">
        <x:v>Revised DCP-2 workforce boundary</x:v>
      </x:c>
      <x:c r="F15" s="74" t="str">
        <x:v>Revised DCP-2 workforce boundary</x:v>
      </x:c>
      <x:c r="G15" s="74" t="str">
        <x:v>Revised DCP-2 workforce boundary</x:v>
      </x:c>
      <x:c r="H15" s="74" t="str">
        <x:v>Revised DCP-2 workforce boundary</x:v>
      </x:c>
      <x:c r="I15" s="74" t="str">
        <x:v>Revised DCP-2 workforce boundary</x:v>
      </x:c>
      <x:c r="J15" s="74" t="str">
        <x:v>Revised DCP-2 workforce boundary</x:v>
      </x:c>
      <x:c r="K15" s="74" t="str">
        <x:v>Revised DCP-2 workforce boundary</x:v>
      </x:c>
      <x:c r="L15" s="75" t="str">
        <x:v>Revised DCP-2 workforce boundary</x:v>
      </x:c>
    </x:row>
    <x:row r="16">
      <x:c r="B16" s="29" t="str">
        <x:v>Measure</x:v>
      </x:c>
      <x:c r="C16" s="30" t="str">
        <x:v>Pass 83</x:v>
      </x:c>
      <x:c r="D16" s="30" t="str">
        <x:v>T4 addition</x:v>
      </x:c>
      <x:c r="E16" s="30" t="str">
        <x:v>Revised</x:v>
      </x:c>
      <x:c r="F16" s="30" t="str">
        <x:v>Unit</x:v>
      </x:c>
      <x:c r="G16" s="70"/>
      <x:c r="H16" s="70"/>
      <x:c r="I16" s="70"/>
      <x:c r="J16" s="70"/>
      <x:c r="K16" s="70"/>
      <x:c r="L16" s="70"/>
    </x:row>
    <x:row r="17">
      <x:c r="B17" s="76" t="str">
        <x:v>Deployed</x:v>
      </x:c>
      <x:c r="C17" s="76" t="n">
        <x:v>528</x:v>
      </x:c>
      <x:c r="D17" s="76" t="n">
        <x:f>C12</x:f>
        <x:v>64</x:v>
      </x:c>
      <x:c r="E17" s="76" t="n">
        <x:f>C17+D17</x:f>
        <x:v>592</x:v>
      </x:c>
      <x:c r="F17" s="77" t="str">
        <x:v>people</x:v>
      </x:c>
      <x:c r="G17" s="70"/>
      <x:c r="H17" s="70"/>
      <x:c r="I17" s="70"/>
      <x:c r="J17" s="70"/>
      <x:c r="K17" s="70"/>
      <x:c r="L17" s="70"/>
    </x:row>
    <x:row r="18">
      <x:c r="B18" s="76" t="str">
        <x:v>Affiliated</x:v>
      </x:c>
      <x:c r="C18" s="76" t="n">
        <x:v>1157</x:v>
      </x:c>
      <x:c r="D18" s="76" t="n">
        <x:f>D12</x:f>
        <x:v>144</x:v>
      </x:c>
      <x:c r="E18" s="76" t="n">
        <x:f>C18+D18</x:f>
        <x:v>1301</x:v>
      </x:c>
      <x:c r="F18" s="77" t="str">
        <x:v>positions</x:v>
      </x:c>
      <x:c r="G18" s="70"/>
      <x:c r="H18" s="70"/>
      <x:c r="I18" s="70"/>
      <x:c r="J18" s="70"/>
      <x:c r="K18" s="70"/>
      <x:c r="L18" s="70"/>
    </x:row>
    <x:row r="19">
      <x:c r="B19" s="78" t="str">
        <x:v>Minimum watch</x:v>
      </x:c>
      <x:c r="C19" s="78" t="n">
        <x:v>174</x:v>
      </x:c>
      <x:c r="D19" s="78" t="n">
        <x:f>E12</x:f>
        <x:v>20</x:v>
      </x:c>
      <x:c r="E19" s="78" t="n">
        <x:f>C19+D19</x:f>
        <x:v>194</x:v>
      </x:c>
      <x:c r="F19" s="79" t="str">
        <x:v>people</x:v>
      </x:c>
      <x:c r="G19" s="70"/>
      <x:c r="H19" s="70"/>
      <x:c r="I19" s="70"/>
      <x:c r="J19" s="70"/>
      <x:c r="K19" s="70"/>
      <x:c r="L19" s="70"/>
    </x:row>
    <x:row r="20">
      <x:c r="B20" s="70"/>
      <x:c r="C20" s="70"/>
      <x:c r="D20" s="70"/>
      <x:c r="E20" s="70"/>
      <x:c r="F20" s="70"/>
      <x:c r="G20" s="70"/>
      <x:c r="H20" s="70"/>
      <x:c r="I20" s="70"/>
      <x:c r="J20" s="70"/>
      <x:c r="K20" s="70"/>
      <x:c r="L20" s="70"/>
    </x:row>
    <x:row r="21">
      <x:c r="B21" s="70"/>
      <x:c r="C21" s="70"/>
      <x:c r="D21" s="70"/>
      <x:c r="E21" s="70"/>
      <x:c r="F21" s="70"/>
      <x:c r="G21" s="70"/>
      <x:c r="H21" s="70"/>
      <x:c r="I21" s="70"/>
      <x:c r="J21" s="70"/>
      <x:c r="K21" s="70"/>
      <x:c r="L21" s="70"/>
    </x:row>
    <x:row r="22">
      <x:c r="B22" s="70"/>
      <x:c r="C22" s="70"/>
      <x:c r="D22" s="70"/>
      <x:c r="E22" s="70"/>
      <x:c r="F22" s="70"/>
      <x:c r="G22" s="70"/>
      <x:c r="H22" s="70"/>
      <x:c r="I22" s="70"/>
      <x:c r="J22" s="70"/>
      <x:c r="K22" s="70"/>
      <x:c r="L22" s="70"/>
    </x:row>
    <x:row r="23"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  <x:c r="L23" s="70"/>
    </x:row>
    <x:row r="24"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  <x:c r="L24" s="70"/>
    </x:row>
    <x:row r="25"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  <x:c r="L25" s="70"/>
    </x:row>
    <x:row r="26">
      <x:c r="B26" s="70"/>
      <x:c r="C26" s="70"/>
      <x:c r="D26" s="70"/>
      <x:c r="E26" s="70"/>
      <x:c r="F26" s="70"/>
      <x:c r="G26" s="70"/>
      <x:c r="H26" s="70"/>
      <x:c r="I26" s="70"/>
      <x:c r="J26" s="70"/>
      <x:c r="K26" s="70"/>
      <x:c r="L26" s="70"/>
    </x:row>
    <x:row r="27">
      <x:c r="B27" s="70"/>
      <x:c r="C27" s="70"/>
      <x:c r="D27" s="70"/>
      <x:c r="E27" s="70"/>
      <x:c r="F27" s="70"/>
      <x:c r="G27" s="70"/>
      <x:c r="H27" s="70"/>
      <x:c r="I27" s="70"/>
      <x:c r="J27" s="70"/>
      <x:c r="K27" s="70"/>
      <x:c r="L27" s="70"/>
    </x:row>
    <x:row r="28">
      <x:c r="B28" s="70"/>
      <x:c r="C28" s="70"/>
      <x:c r="D28" s="70"/>
      <x:c r="E28" s="70"/>
      <x:c r="F28" s="70"/>
      <x:c r="G28" s="70"/>
      <x:c r="H28" s="70"/>
      <x:c r="I28" s="70"/>
      <x:c r="J28" s="70"/>
      <x:c r="K28" s="70"/>
      <x:c r="L28" s="70"/>
    </x:row>
    <x:row r="29">
      <x:c r="B29" s="70"/>
      <x:c r="C29" s="70"/>
      <x:c r="D29" s="70"/>
      <x:c r="E29" s="70"/>
      <x:c r="F29" s="70"/>
      <x:c r="G29" s="70"/>
      <x:c r="H29" s="70"/>
      <x:c r="I29" s="70"/>
      <x:c r="J29" s="70"/>
      <x:c r="K29" s="70"/>
      <x:c r="L29" s="70"/>
    </x:row>
    <x:row r="30"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  <x:c r="L30" s="70"/>
    </x:row>
  </x:sheetData>
  <x:mergeCells>
    <x:mergeCell ref="B2:F2"/>
    <x:mergeCell ref="B3:F3"/>
    <x:mergeCell ref="B15:L15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9" hidden="0" customWidth="1"/>
    <x:col min="3" max="3" width="14" hidden="0" customWidth="1"/>
    <x:col min="4" max="4" width="26" hidden="0" customWidth="1"/>
    <x:col min="5" max="5" width="23" hidden="0" customWidth="1"/>
    <x:col min="6" max="6" width="20" hidden="0" customWidth="1"/>
    <x:col min="7" max="7" width="18" hidden="0" customWidth="1"/>
    <x:col min="8" max="8" width="3" hidden="0" customWidth="1"/>
    <x:col min="9" max="9" width="34" hidden="0" customWidth="1"/>
    <x:col min="10" max="10" width="18" hidden="0" customWidth="1"/>
    <x:col min="11" max="11" width="14" hidden="0" customWidth="1"/>
  </x:cols>
  <x:sheetData>
    <x:row r="2">
      <x:c r="B2" s="69" t="str">
        <x:v>SAT-170 national production system</x:v>
      </x:c>
      <x:c r="C2" s="69" t="str">
        <x:v>SAT-170 national production system</x:v>
      </x:c>
      <x:c r="D2" s="69" t="str">
        <x:v>SAT-170 national production system</x:v>
      </x:c>
      <x:c r="E2" s="69" t="str">
        <x:v>SAT-170 national production system</x:v>
      </x:c>
      <x:c r="F2" s="69" t="str">
        <x:v>SAT-170 national production system</x:v>
      </x:c>
      <x:c r="G2" s="70"/>
      <x:c r="H2" s="70"/>
      <x:c r="I2" s="70"/>
      <x:c r="J2" s="70"/>
      <x:c r="K2" s="70"/>
    </x:row>
    <x:row r="3">
      <x:c r="B3" s="71" t="str">
        <x:v>The industrial object is 219 vehicles, three integration lines and plural critical-subsystem lineages</x:v>
      </x:c>
      <x:c r="C3" s="71" t="str">
        <x:v>The industrial object is 219 vehicles, three integration lines and plural critical-subsystem lineages</x:v>
      </x:c>
      <x:c r="D3" s="71" t="str">
        <x:v>The industrial object is 219 vehicles, three integration lines and plural critical-subsystem lineages</x:v>
      </x:c>
      <x:c r="E3" s="71" t="str">
        <x:v>The industrial object is 219 vehicles, three integration lines and plural critical-subsystem lineages</x:v>
      </x:c>
      <x:c r="F3" s="71" t="str">
        <x:v>The industrial object is 219 vehicles, three integration lines and plural critical-subsystem lineages</x:v>
      </x:c>
      <x:c r="G3" s="70"/>
      <x:c r="H3" s="70"/>
      <x:c r="I3" s="70"/>
      <x:c r="J3" s="70"/>
      <x:c r="K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</x:row>
    <x:row r="6">
      <x:c r="B6" s="73" t="str">
        <x:v>Article requirement</x:v>
      </x:c>
      <x:c r="C6" s="74" t="str">
        <x:v>Article requirement</x:v>
      </x:c>
      <x:c r="D6" s="74" t="str">
        <x:v>Article requirement</x:v>
      </x:c>
      <x:c r="E6" s="74" t="str">
        <x:v>Article requirement</x:v>
      </x:c>
      <x:c r="F6" s="74" t="str">
        <x:v>Article requirement</x:v>
      </x:c>
      <x:c r="G6" s="74" t="str">
        <x:v>Article requirement</x:v>
      </x:c>
      <x:c r="H6" s="74" t="str">
        <x:v>Article requirement</x:v>
      </x:c>
      <x:c r="I6" s="74" t="str">
        <x:v>Article requirement</x:v>
      </x:c>
      <x:c r="J6" s="74" t="str">
        <x:v>Article requirement</x:v>
      </x:c>
      <x:c r="K6" s="75" t="str">
        <x:v>Article requirement</x:v>
      </x:c>
    </x:row>
    <x:row r="7">
      <x:c r="B7" s="29" t="str">
        <x:v>Article class</x:v>
      </x:c>
      <x:c r="C7" s="30" t="str">
        <x:v>Quantity</x:v>
      </x:c>
      <x:c r="D7" s="30" t="str">
        <x:v>Basis</x:v>
      </x:c>
      <x:c r="E7" s="30" t="str">
        <x:v>Operational credit</x:v>
      </x:c>
      <x:c r="F7" s="30" t="str">
        <x:v>Evidence</x:v>
      </x:c>
      <x:c r="G7" s="70"/>
      <x:c r="H7" s="70"/>
      <x:c r="I7" s="70"/>
      <x:c r="J7" s="70"/>
      <x:c r="K7" s="70"/>
    </x:row>
    <x:row r="8">
      <x:c r="B8" s="76" t="str">
        <x:v>development and test</x:v>
      </x:c>
      <x:c r="C8" s="76" t="n">
        <x:v>12</x:v>
      </x:c>
      <x:c r="D8" s="76" t="str">
        <x:v>instrumented non-operational articles</x:v>
      </x:c>
      <x:c r="E8" s="76" t="n">
        <x:v>0</x:v>
      </x:c>
      <x:c r="F8" s="77" t="str">
        <x:v>OPEN</x:v>
      </x:c>
      <x:c r="G8" s="70"/>
      <x:c r="H8" s="70"/>
      <x:c r="I8" s="70"/>
      <x:c r="J8" s="70"/>
      <x:c r="K8" s="70"/>
    </x:row>
    <x:row r="9">
      <x:c r="B9" s="76" t="str">
        <x:v>operational fleet</x:v>
      </x:c>
      <x:c r="C9" s="76" t="n">
        <x:f>Assumptions!C45</x:f>
        <x:v>172</x:v>
      </x:c>
      <x:c r="D9" s="76" t="str">
        <x:v>four per ready package</x:v>
      </x:c>
      <x:c r="E9" s="76" t="n">
        <x:v>1</x:v>
      </x:c>
      <x:c r="F9" s="77" t="str">
        <x:v>OPEN</x:v>
      </x:c>
      <x:c r="G9" s="70"/>
      <x:c r="H9" s="70"/>
      <x:c r="I9" s="70"/>
      <x:c r="J9" s="70"/>
      <x:c r="K9" s="70"/>
    </x:row>
    <x:row r="10">
      <x:c r="B10" s="76" t="str">
        <x:v>attrition and overhaul reserve</x:v>
      </x:c>
      <x:c r="C10" s="76" t="n">
        <x:f>Assumptions!C47</x:f>
        <x:v>35</x:v>
      </x:c>
      <x:c r="D10" s="76" t="str">
        <x:v>twenty percent of operational fleet</x:v>
      </x:c>
      <x:c r="E10" s="76" t="n">
        <x:v>0</x:v>
      </x:c>
      <x:c r="F10" s="77" t="str">
        <x:v>OPEN</x:v>
      </x:c>
      <x:c r="G10" s="70"/>
      <x:c r="H10" s="70"/>
      <x:c r="I10" s="70"/>
      <x:c r="J10" s="70"/>
      <x:c r="K10" s="70"/>
    </x:row>
    <x:row r="11">
      <x:c r="B11" s="78" t="str">
        <x:v>Total</x:v>
      </x:c>
      <x:c r="C11" s="78" t="n">
        <x:f>SUM(C8:C10)</x:f>
        <x:v>219</x:v>
      </x:c>
      <x:c r="D11" s="78" t="str">
        <x:v>complete production objective</x:v>
      </x:c>
      <x:c r="E11" s="78" t="n">
        <x:v>0</x:v>
      </x:c>
      <x:c r="F11" s="79" t="str">
        <x:v>OPEN</x:v>
      </x:c>
      <x:c r="G11" s="70"/>
      <x:c r="H11" s="70"/>
      <x:c r="I11" s="70"/>
      <x:c r="J11" s="70"/>
      <x:c r="K11" s="70"/>
    </x:row>
    <x:row r="12">
      <x:c r="B12" s="70"/>
      <x:c r="C12" s="70"/>
      <x:c r="D12" s="70"/>
      <x:c r="E12" s="70"/>
      <x:c r="F12" s="70"/>
      <x:c r="G12" s="70"/>
      <x:c r="H12" s="70"/>
      <x:c r="I12" s="70"/>
      <x:c r="J12" s="70"/>
      <x:c r="K12" s="70"/>
    </x:row>
    <x:row r="13"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</x:row>
    <x:row r="14">
      <x:c r="B14" s="73" t="str">
        <x:v>Twenty-five-year production schedule</x:v>
      </x:c>
      <x:c r="C14" s="74" t="str">
        <x:v>Twenty-five-year production schedule</x:v>
      </x:c>
      <x:c r="D14" s="74" t="str">
        <x:v>Twenty-five-year production schedule</x:v>
      </x:c>
      <x:c r="E14" s="74" t="str">
        <x:v>Twenty-five-year production schedule</x:v>
      </x:c>
      <x:c r="F14" s="74" t="str">
        <x:v>Twenty-five-year production schedule</x:v>
      </x:c>
      <x:c r="G14" s="74" t="str">
        <x:v>Twenty-five-year production schedule</x:v>
      </x:c>
      <x:c r="H14" s="74" t="str">
        <x:v>Twenty-five-year production schedule</x:v>
      </x:c>
      <x:c r="I14" s="73" t="str">
        <x:v>Industrial system</x:v>
      </x:c>
      <x:c r="J14" s="74" t="str">
        <x:v>Industrial system</x:v>
      </x:c>
      <x:c r="K14" s="75" t="str">
        <x:v>Industrial system</x:v>
      </x:c>
    </x:row>
    <x:row r="15">
      <x:c r="B15" s="29" t="str">
        <x:v>Program year</x:v>
      </x:c>
      <x:c r="C15" s="30" t="str">
        <x:v>Articles</x:v>
      </x:c>
      <x:c r="D15" s="30" t="str">
        <x:v>Cumulative</x:v>
      </x:c>
      <x:c r="E15" s="30" t="str">
        <x:v>Phase</x:v>
      </x:c>
      <x:c r="F15" s="30" t="str">
        <x:v>Maximum annual rate</x:v>
      </x:c>
      <x:c r="G15" s="30" t="str">
        <x:v>Schedule result</x:v>
      </x:c>
      <x:c r="H15" s="70"/>
      <x:c r="I15" s="29" t="str">
        <x:v>Requirement</x:v>
      </x:c>
      <x:c r="J15" s="30" t="str">
        <x:v>Value</x:v>
      </x:c>
      <x:c r="K15" s="30" t="str">
        <x:v>Evidence</x:v>
      </x:c>
    </x:row>
    <x:row r="16">
      <x:c r="B16" s="76" t="n">
        <x:v>1</x:v>
      </x:c>
      <x:c r="C16" s="76" t="n">
        <x:v>0</x:v>
      </x:c>
      <x:c r="D16" s="76" t="n">
        <x:f>C16</x:f>
        <x:v>0</x:v>
      </x:c>
      <x:c r="E16" s="76" t="str">
        <x:v>technology maturation</x:v>
      </x:c>
      <x:c r="F16" s="76" t="n">
        <x:v>16</x:v>
      </x:c>
      <x:c r="G16" s="77" t="str">
        <x:f>IF(C16&lt;=F16,"PASS","FAIL")</x:f>
        <x:v>PASS</x:v>
      </x:c>
      <x:c r="H16" s="70"/>
      <x:c r="I16" s="76" t="str">
        <x:v>final integration lines</x:v>
      </x:c>
      <x:c r="J16" s="76" t="n">
        <x:v>3</x:v>
      </x:c>
      <x:c r="K16" s="77" t="str">
        <x:v>OPEN</x:v>
      </x:c>
    </x:row>
    <x:row r="17">
      <x:c r="B17" s="76" t="n">
        <x:v>2</x:v>
      </x:c>
      <x:c r="C17" s="76" t="n">
        <x:v>0</x:v>
      </x:c>
      <x:c r="D17" s="76" t="n">
        <x:f>D16+C17</x:f>
        <x:v>0</x:v>
      </x:c>
      <x:c r="E17" s="76" t="str">
        <x:v>technology maturation</x:v>
      </x:c>
      <x:c r="F17" s="76" t="n">
        <x:v>16</x:v>
      </x:c>
      <x:c r="G17" s="77" t="str">
        <x:f>IF(C17&lt;=F17,"PASS","FAIL")</x:f>
        <x:v>PASS</x:v>
      </x:c>
      <x:c r="H17" s="70"/>
      <x:c r="I17" s="76" t="str">
        <x:v>qualified mobility-pod lineages</x:v>
      </x:c>
      <x:c r="J17" s="76" t="n">
        <x:v>3</x:v>
      </x:c>
      <x:c r="K17" s="77" t="str">
        <x:v>OPEN</x:v>
      </x:c>
    </x:row>
    <x:row r="18">
      <x:c r="B18" s="76" t="n">
        <x:v>3</x:v>
      </x:c>
      <x:c r="C18" s="76" t="n">
        <x:v>0</x:v>
      </x:c>
      <x:c r="D18" s="76" t="n">
        <x:f>D17+C18</x:f>
        <x:v>0</x:v>
      </x:c>
      <x:c r="E18" s="76" t="str">
        <x:v>technology maturation</x:v>
      </x:c>
      <x:c r="F18" s="76" t="n">
        <x:v>16</x:v>
      </x:c>
      <x:c r="G18" s="77" t="str">
        <x:f>IF(C18&lt;=F18,"PASS","FAIL")</x:f>
        <x:v>PASS</x:v>
      </x:c>
      <x:c r="H18" s="70"/>
      <x:c r="I18" s="76" t="str">
        <x:v>traction-motor suppliers</x:v>
      </x:c>
      <x:c r="J18" s="76" t="n">
        <x:v>3</x:v>
      </x:c>
      <x:c r="K18" s="77" t="str">
        <x:v>OPEN</x:v>
      </x:c>
    </x:row>
    <x:row r="19">
      <x:c r="B19" s="76" t="n">
        <x:v>4</x:v>
      </x:c>
      <x:c r="C19" s="76" t="n">
        <x:v>0</x:v>
      </x:c>
      <x:c r="D19" s="76" t="n">
        <x:f>D18+C19</x:f>
        <x:v>0</x:v>
      </x:c>
      <x:c r="E19" s="76" t="str">
        <x:v>technology maturation</x:v>
      </x:c>
      <x:c r="F19" s="76" t="n">
        <x:v>16</x:v>
      </x:c>
      <x:c r="G19" s="77" t="str">
        <x:f>IF(C19&lt;=F19,"PASS","FAIL")</x:f>
        <x:v>PASS</x:v>
      </x:c>
      <x:c r="H19" s="70"/>
      <x:c r="I19" s="76" t="str">
        <x:v>energy-system lineages</x:v>
      </x:c>
      <x:c r="J19" s="76" t="n">
        <x:v>2</x:v>
      </x:c>
      <x:c r="K19" s="77" t="str">
        <x:v>OPEN</x:v>
      </x:c>
    </x:row>
    <x:row r="20">
      <x:c r="B20" s="76" t="n">
        <x:v>5</x:v>
      </x:c>
      <x:c r="C20" s="76" t="n">
        <x:v>2</x:v>
      </x:c>
      <x:c r="D20" s="76" t="n">
        <x:f>D19+C20</x:f>
        <x:v>2</x:v>
      </x:c>
      <x:c r="E20" s="76" t="str">
        <x:v>engineering and manufacturing development</x:v>
      </x:c>
      <x:c r="F20" s="76" t="n">
        <x:v>16</x:v>
      </x:c>
      <x:c r="G20" s="77" t="str">
        <x:f>IF(C20&lt;=F20,"PASS","FAIL")</x:f>
        <x:v>PASS</x:v>
      </x:c>
      <x:c r="H20" s="70"/>
      <x:c r="I20" s="76" t="str">
        <x:v>bridge and route-kit lineages</x:v>
      </x:c>
      <x:c r="J20" s="76" t="n">
        <x:v>2</x:v>
      </x:c>
      <x:c r="K20" s="77" t="str">
        <x:v>OPEN</x:v>
      </x:c>
    </x:row>
    <x:row r="21">
      <x:c r="B21" s="76" t="n">
        <x:v>6</x:v>
      </x:c>
      <x:c r="C21" s="76" t="n">
        <x:v>4</x:v>
      </x:c>
      <x:c r="D21" s="76" t="n">
        <x:f>D20+C21</x:f>
        <x:v>6</x:v>
      </x:c>
      <x:c r="E21" s="76" t="str">
        <x:v>engineering and manufacturing development</x:v>
      </x:c>
      <x:c r="F21" s="76" t="n">
        <x:v>16</x:v>
      </x:c>
      <x:c r="G21" s="77" t="str">
        <x:f>IF(C21&lt;=F21,"PASS","FAIL")</x:f>
        <x:v>PASS</x:v>
      </x:c>
      <x:c r="H21" s="70"/>
      <x:c r="I21" s="76" t="str">
        <x:v>compound test ranges</x:v>
      </x:c>
      <x:c r="J21" s="76" t="n">
        <x:v>4</x:v>
      </x:c>
      <x:c r="K21" s="77" t="str">
        <x:v>OPEN</x:v>
      </x:c>
    </x:row>
    <x:row r="22">
      <x:c r="B22" s="76" t="n">
        <x:v>7</x:v>
      </x:c>
      <x:c r="C22" s="76" t="n">
        <x:v>6</x:v>
      </x:c>
      <x:c r="D22" s="76" t="n">
        <x:f>D21+C22</x:f>
        <x:v>12</x:v>
      </x:c>
      <x:c r="E22" s="76" t="str">
        <x:v>engineering and manufacturing development</x:v>
      </x:c>
      <x:c r="F22" s="76" t="n">
        <x:v>16</x:v>
      </x:c>
      <x:c r="G22" s="77" t="str">
        <x:f>IF(C22&lt;=F22,"PASS","FAIL")</x:f>
        <x:v>PASS</x:v>
      </x:c>
      <x:c r="H22" s="70"/>
      <x:c r="I22" s="76" t="str">
        <x:v>peak direct workforce</x:v>
      </x:c>
      <x:c r="J22" s="76" t="n">
        <x:v>28000</x:v>
      </x:c>
      <x:c r="K22" s="77" t="str">
        <x:v>OPEN</x:v>
      </x:c>
    </x:row>
    <x:row r="23">
      <x:c r="B23" s="76" t="n">
        <x:v>8</x:v>
      </x:c>
      <x:c r="C23" s="76" t="n">
        <x:v>8</x:v>
      </x:c>
      <x:c r="D23" s="76" t="n">
        <x:f>D22+C23</x:f>
        <x:v>20</x:v>
      </x:c>
      <x:c r="E23" s="76" t="str">
        <x:v>engineering and manufacturing development</x:v>
      </x:c>
      <x:c r="F23" s="76" t="n">
        <x:v>16</x:v>
      </x:c>
      <x:c r="G23" s="77" t="str">
        <x:f>IF(C23&lt;=F23,"PASS","FAIL")</x:f>
        <x:v>PASS</x:v>
      </x:c>
      <x:c r="H23" s="70"/>
      <x:c r="I23" s="78" t="str">
        <x:v>peak industrial ecosystem</x:v>
      </x:c>
      <x:c r="J23" s="78" t="n">
        <x:v>80000</x:v>
      </x:c>
      <x:c r="K23" s="79" t="str">
        <x:v>OPEN</x:v>
      </x:c>
    </x:row>
    <x:row r="24">
      <x:c r="B24" s="76" t="n">
        <x:v>9</x:v>
      </x:c>
      <x:c r="C24" s="76" t="n">
        <x:v>16</x:v>
      </x:c>
      <x:c r="D24" s="76" t="n">
        <x:f>D23+C24</x:f>
        <x:v>36</x:v>
      </x:c>
      <x:c r="E24" s="76" t="str">
        <x:v>full-rate fleet production</x:v>
      </x:c>
      <x:c r="F24" s="76" t="n">
        <x:v>16</x:v>
      </x:c>
      <x:c r="G24" s="77" t="str">
        <x:f>IF(C24&lt;=F24,"PASS","FAIL")</x:f>
        <x:v>PASS</x:v>
      </x:c>
      <x:c r="H24" s="70"/>
      <x:c r="I24" s="70"/>
      <x:c r="J24" s="70"/>
      <x:c r="K24" s="70"/>
    </x:row>
    <x:row r="25">
      <x:c r="B25" s="76" t="n">
        <x:v>10</x:v>
      </x:c>
      <x:c r="C25" s="76" t="n">
        <x:v>16</x:v>
      </x:c>
      <x:c r="D25" s="76" t="n">
        <x:f>D24+C25</x:f>
        <x:v>52</x:v>
      </x:c>
      <x:c r="E25" s="76" t="str">
        <x:v>full-rate fleet production</x:v>
      </x:c>
      <x:c r="F25" s="76" t="n">
        <x:v>16</x:v>
      </x:c>
      <x:c r="G25" s="77" t="str">
        <x:f>IF(C25&lt;=F25,"PASS","FAIL")</x:f>
        <x:v>PASS</x:v>
      </x:c>
      <x:c r="H25" s="70"/>
      <x:c r="I25" s="70"/>
      <x:c r="J25" s="70"/>
      <x:c r="K25" s="70"/>
    </x:row>
    <x:row r="26">
      <x:c r="B26" s="76" t="n">
        <x:v>11</x:v>
      </x:c>
      <x:c r="C26" s="76" t="n">
        <x:v>16</x:v>
      </x:c>
      <x:c r="D26" s="76" t="n">
        <x:f>D25+C26</x:f>
        <x:v>68</x:v>
      </x:c>
      <x:c r="E26" s="76" t="str">
        <x:v>full-rate fleet production</x:v>
      </x:c>
      <x:c r="F26" s="76" t="n">
        <x:v>16</x:v>
      </x:c>
      <x:c r="G26" s="77" t="str">
        <x:f>IF(C26&lt;=F26,"PASS","FAIL")</x:f>
        <x:v>PASS</x:v>
      </x:c>
      <x:c r="H26" s="70"/>
      <x:c r="I26" s="70"/>
      <x:c r="J26" s="70"/>
      <x:c r="K26" s="70"/>
    </x:row>
    <x:row r="27">
      <x:c r="B27" s="76" t="n">
        <x:v>12</x:v>
      </x:c>
      <x:c r="C27" s="76" t="n">
        <x:v>16</x:v>
      </x:c>
      <x:c r="D27" s="76" t="n">
        <x:f>D26+C27</x:f>
        <x:v>84</x:v>
      </x:c>
      <x:c r="E27" s="76" t="str">
        <x:v>full-rate fleet production</x:v>
      </x:c>
      <x:c r="F27" s="76" t="n">
        <x:v>16</x:v>
      </x:c>
      <x:c r="G27" s="77" t="str">
        <x:f>IF(C27&lt;=F27,"PASS","FAIL")</x:f>
        <x:v>PASS</x:v>
      </x:c>
      <x:c r="H27" s="70"/>
      <x:c r="I27" s="70"/>
      <x:c r="J27" s="70"/>
      <x:c r="K27" s="70"/>
    </x:row>
    <x:row r="28">
      <x:c r="B28" s="76" t="n">
        <x:v>13</x:v>
      </x:c>
      <x:c r="C28" s="76" t="n">
        <x:v>16</x:v>
      </x:c>
      <x:c r="D28" s="76" t="n">
        <x:f>D27+C28</x:f>
        <x:v>100</x:v>
      </x:c>
      <x:c r="E28" s="76" t="str">
        <x:v>full-rate fleet production</x:v>
      </x:c>
      <x:c r="F28" s="76" t="n">
        <x:v>16</x:v>
      </x:c>
      <x:c r="G28" s="77" t="str">
        <x:f>IF(C28&lt;=F28,"PASS","FAIL")</x:f>
        <x:v>PASS</x:v>
      </x:c>
      <x:c r="H28" s="70"/>
      <x:c r="I28" s="70"/>
      <x:c r="J28" s="70"/>
      <x:c r="K28" s="70"/>
    </x:row>
    <x:row r="29">
      <x:c r="B29" s="76" t="n">
        <x:v>14</x:v>
      </x:c>
      <x:c r="C29" s="76" t="n">
        <x:v>16</x:v>
      </x:c>
      <x:c r="D29" s="76" t="n">
        <x:f>D28+C29</x:f>
        <x:v>116</x:v>
      </x:c>
      <x:c r="E29" s="76" t="str">
        <x:v>full-rate fleet production</x:v>
      </x:c>
      <x:c r="F29" s="76" t="n">
        <x:v>16</x:v>
      </x:c>
      <x:c r="G29" s="77" t="str">
        <x:f>IF(C29&lt;=F29,"PASS","FAIL")</x:f>
        <x:v>PASS</x:v>
      </x:c>
      <x:c r="H29" s="70"/>
      <x:c r="I29" s="70"/>
      <x:c r="J29" s="70"/>
      <x:c r="K29" s="70"/>
    </x:row>
    <x:row r="30">
      <x:c r="B30" s="76" t="n">
        <x:v>15</x:v>
      </x:c>
      <x:c r="C30" s="76" t="n">
        <x:v>16</x:v>
      </x:c>
      <x:c r="D30" s="76" t="n">
        <x:f>D29+C30</x:f>
        <x:v>132</x:v>
      </x:c>
      <x:c r="E30" s="76" t="str">
        <x:v>full-rate fleet production</x:v>
      </x:c>
      <x:c r="F30" s="76" t="n">
        <x:v>16</x:v>
      </x:c>
      <x:c r="G30" s="77" t="str">
        <x:f>IF(C30&lt;=F30,"PASS","FAIL")</x:f>
        <x:v>PASS</x:v>
      </x:c>
      <x:c r="H30" s="70"/>
      <x:c r="I30" s="70"/>
      <x:c r="J30" s="70"/>
      <x:c r="K30" s="70"/>
    </x:row>
    <x:row r="31">
      <x:c r="B31" s="76" t="n">
        <x:v>16</x:v>
      </x:c>
      <x:c r="C31" s="76" t="n">
        <x:v>16</x:v>
      </x:c>
      <x:c r="D31" s="76" t="n">
        <x:f>D30+C31</x:f>
        <x:v>148</x:v>
      </x:c>
      <x:c r="E31" s="76" t="str">
        <x:v>full-rate fleet production</x:v>
      </x:c>
      <x:c r="F31" s="76" t="n">
        <x:v>16</x:v>
      </x:c>
      <x:c r="G31" s="77" t="str">
        <x:f>IF(C31&lt;=F31,"PASS","FAIL")</x:f>
        <x:v>PASS</x:v>
      </x:c>
      <x:c r="H31" s="70"/>
      <x:c r="I31" s="70"/>
      <x:c r="J31" s="70"/>
      <x:c r="K31" s="70"/>
    </x:row>
    <x:row r="32">
      <x:c r="B32" s="76" t="n">
        <x:v>17</x:v>
      </x:c>
      <x:c r="C32" s="76" t="n">
        <x:v>16</x:v>
      </x:c>
      <x:c r="D32" s="76" t="n">
        <x:f>D31+C32</x:f>
        <x:v>164</x:v>
      </x:c>
      <x:c r="E32" s="76" t="str">
        <x:v>full-rate fleet production</x:v>
      </x:c>
      <x:c r="F32" s="76" t="n">
        <x:v>16</x:v>
      </x:c>
      <x:c r="G32" s="77" t="str">
        <x:f>IF(C32&lt;=F32,"PASS","FAIL")</x:f>
        <x:v>PASS</x:v>
      </x:c>
      <x:c r="H32" s="70"/>
      <x:c r="I32" s="70"/>
      <x:c r="J32" s="70"/>
      <x:c r="K32" s="70"/>
    </x:row>
    <x:row r="33">
      <x:c r="B33" s="76" t="n">
        <x:v>18</x:v>
      </x:c>
      <x:c r="C33" s="76" t="n">
        <x:v>16</x:v>
      </x:c>
      <x:c r="D33" s="76" t="n">
        <x:f>D32+C33</x:f>
        <x:v>180</x:v>
      </x:c>
      <x:c r="E33" s="76" t="str">
        <x:v>full-rate fleet production</x:v>
      </x:c>
      <x:c r="F33" s="76" t="n">
        <x:v>16</x:v>
      </x:c>
      <x:c r="G33" s="77" t="str">
        <x:f>IF(C33&lt;=F33,"PASS","FAIL")</x:f>
        <x:v>PASS</x:v>
      </x:c>
      <x:c r="H33" s="70"/>
      <x:c r="I33" s="70"/>
      <x:c r="J33" s="70"/>
      <x:c r="K33" s="70"/>
    </x:row>
    <x:row r="34">
      <x:c r="B34" s="76" t="n">
        <x:v>19</x:v>
      </x:c>
      <x:c r="C34" s="76" t="n">
        <x:v>8</x:v>
      </x:c>
      <x:c r="D34" s="76" t="n">
        <x:f>D33+C34</x:f>
        <x:v>188</x:v>
      </x:c>
      <x:c r="E34" s="76" t="str">
        <x:v>reserve completion</x:v>
      </x:c>
      <x:c r="F34" s="76" t="n">
        <x:v>16</x:v>
      </x:c>
      <x:c r="G34" s="77" t="str">
        <x:f>IF(C34&lt;=F34,"PASS","FAIL")</x:f>
        <x:v>PASS</x:v>
      </x:c>
      <x:c r="H34" s="70"/>
      <x:c r="I34" s="70"/>
      <x:c r="J34" s="70"/>
      <x:c r="K34" s="70"/>
    </x:row>
    <x:row r="35">
      <x:c r="B35" s="76" t="n">
        <x:v>20</x:v>
      </x:c>
      <x:c r="C35" s="76" t="n">
        <x:v>8</x:v>
      </x:c>
      <x:c r="D35" s="76" t="n">
        <x:f>D34+C35</x:f>
        <x:v>196</x:v>
      </x:c>
      <x:c r="E35" s="76" t="str">
        <x:v>reserve completion</x:v>
      </x:c>
      <x:c r="F35" s="76" t="n">
        <x:v>16</x:v>
      </x:c>
      <x:c r="G35" s="77" t="str">
        <x:f>IF(C35&lt;=F35,"PASS","FAIL")</x:f>
        <x:v>PASS</x:v>
      </x:c>
      <x:c r="H35" s="70"/>
      <x:c r="I35" s="70"/>
      <x:c r="J35" s="70"/>
      <x:c r="K35" s="70"/>
    </x:row>
    <x:row r="36">
      <x:c r="B36" s="76" t="n">
        <x:v>21</x:v>
      </x:c>
      <x:c r="C36" s="76" t="n">
        <x:v>8</x:v>
      </x:c>
      <x:c r="D36" s="76" t="n">
        <x:f>D35+C36</x:f>
        <x:v>204</x:v>
      </x:c>
      <x:c r="E36" s="76" t="str">
        <x:v>reserve completion</x:v>
      </x:c>
      <x:c r="F36" s="76" t="n">
        <x:v>16</x:v>
      </x:c>
      <x:c r="G36" s="77" t="str">
        <x:f>IF(C36&lt;=F36,"PASS","FAIL")</x:f>
        <x:v>PASS</x:v>
      </x:c>
      <x:c r="H36" s="70"/>
      <x:c r="I36" s="70"/>
      <x:c r="J36" s="70"/>
      <x:c r="K36" s="70"/>
    </x:row>
    <x:row r="37">
      <x:c r="B37" s="76" t="n">
        <x:v>22</x:v>
      </x:c>
      <x:c r="C37" s="76" t="n">
        <x:v>8</x:v>
      </x:c>
      <x:c r="D37" s="76" t="n">
        <x:f>D36+C37</x:f>
        <x:v>212</x:v>
      </x:c>
      <x:c r="E37" s="76" t="str">
        <x:v>reserve completion</x:v>
      </x:c>
      <x:c r="F37" s="76" t="n">
        <x:v>16</x:v>
      </x:c>
      <x:c r="G37" s="77" t="str">
        <x:f>IF(C37&lt;=F37,"PASS","FAIL")</x:f>
        <x:v>PASS</x:v>
      </x:c>
      <x:c r="H37" s="70"/>
      <x:c r="I37" s="70"/>
      <x:c r="J37" s="70"/>
      <x:c r="K37" s="70"/>
    </x:row>
    <x:row r="38">
      <x:c r="B38" s="76" t="n">
        <x:v>23</x:v>
      </x:c>
      <x:c r="C38" s="76" t="n">
        <x:v>4</x:v>
      </x:c>
      <x:c r="D38" s="76" t="n">
        <x:f>D37+C38</x:f>
        <x:v>216</x:v>
      </x:c>
      <x:c r="E38" s="76" t="str">
        <x:v>reserve completion</x:v>
      </x:c>
      <x:c r="F38" s="76" t="n">
        <x:v>16</x:v>
      </x:c>
      <x:c r="G38" s="77" t="str">
        <x:f>IF(C38&lt;=F38,"PASS","FAIL")</x:f>
        <x:v>PASS</x:v>
      </x:c>
      <x:c r="H38" s="70"/>
      <x:c r="I38" s="70"/>
      <x:c r="J38" s="70"/>
      <x:c r="K38" s="70"/>
    </x:row>
    <x:row r="39">
      <x:c r="B39" s="76" t="n">
        <x:v>24</x:v>
      </x:c>
      <x:c r="C39" s="76" t="n">
        <x:v>3</x:v>
      </x:c>
      <x:c r="D39" s="76" t="n">
        <x:f>D38+C39</x:f>
        <x:v>219</x:v>
      </x:c>
      <x:c r="E39" s="76" t="str">
        <x:v>reserve completion</x:v>
      </x:c>
      <x:c r="F39" s="76" t="n">
        <x:v>16</x:v>
      </x:c>
      <x:c r="G39" s="77" t="str">
        <x:f>IF(C39&lt;=F39,"PASS","FAIL")</x:f>
        <x:v>PASS</x:v>
      </x:c>
      <x:c r="H39" s="70"/>
      <x:c r="I39" s="70"/>
      <x:c r="J39" s="70"/>
      <x:c r="K39" s="70"/>
    </x:row>
    <x:row r="40">
      <x:c r="B40" s="78" t="n">
        <x:v>25</x:v>
      </x:c>
      <x:c r="C40" s="78" t="n">
        <x:v>0</x:v>
      </x:c>
      <x:c r="D40" s="78" t="n">
        <x:f>D39+C40</x:f>
        <x:v>219</x:v>
      </x:c>
      <x:c r="E40" s="78" t="str">
        <x:v>sustainment transition</x:v>
      </x:c>
      <x:c r="F40" s="78" t="n">
        <x:v>16</x:v>
      </x:c>
      <x:c r="G40" s="79" t="str">
        <x:f>IF(C40&lt;=F40,"PASS","FAIL")</x:f>
        <x:v>PASS</x:v>
      </x:c>
      <x:c r="H40" s="70"/>
      <x:c r="I40" s="70"/>
      <x:c r="J40" s="70"/>
      <x:c r="K40" s="70"/>
    </x:row>
    <x:row r="41">
      <x:c r="B41" s="70"/>
      <x:c r="C41" s="70"/>
      <x:c r="D41" s="70"/>
      <x:c r="E41" s="70"/>
      <x:c r="F41" s="70"/>
      <x:c r="G41" s="70"/>
      <x:c r="H41" s="70"/>
      <x:c r="I41" s="70"/>
      <x:c r="J41" s="70"/>
      <x:c r="K41" s="70"/>
    </x:row>
    <x:row r="42">
      <x:c r="B42" s="70"/>
      <x:c r="C42" s="70"/>
      <x:c r="D42" s="70"/>
      <x:c r="E42" s="70"/>
      <x:c r="F42" s="70"/>
      <x:c r="G42" s="70"/>
      <x:c r="H42" s="70"/>
      <x:c r="I42" s="70"/>
      <x:c r="J42" s="70"/>
      <x:c r="K42" s="70"/>
    </x:row>
    <x:row r="43">
      <x:c r="B43" s="70"/>
      <x:c r="C43" s="70"/>
      <x:c r="D43" s="70"/>
      <x:c r="E43" s="70"/>
      <x:c r="F43" s="70"/>
      <x:c r="G43" s="70"/>
      <x:c r="H43" s="70"/>
      <x:c r="I43" s="70"/>
      <x:c r="J43" s="70"/>
      <x:c r="K43" s="70"/>
    </x:row>
    <x:row r="44">
      <x:c r="B44" s="70"/>
      <x:c r="C44" s="70"/>
      <x:c r="D44" s="70"/>
      <x:c r="E44" s="70"/>
      <x:c r="F44" s="70"/>
      <x:c r="G44" s="70"/>
      <x:c r="H44" s="70"/>
      <x:c r="I44" s="70"/>
      <x:c r="J44" s="70"/>
      <x:c r="K44" s="70"/>
    </x:row>
    <x:row r="45">
      <x:c r="B45" s="70"/>
      <x:c r="C45" s="70"/>
      <x:c r="D45" s="70"/>
      <x:c r="E45" s="70"/>
      <x:c r="F45" s="70"/>
      <x:c r="G45" s="70"/>
      <x:c r="H45" s="70"/>
      <x:c r="I45" s="70"/>
      <x:c r="J45" s="70"/>
      <x:c r="K45" s="70"/>
    </x:row>
    <x:row r="46">
      <x:c r="B46" s="70"/>
      <x:c r="C46" s="70"/>
      <x:c r="D46" s="70"/>
      <x:c r="E46" s="70"/>
      <x:c r="F46" s="70"/>
      <x:c r="G46" s="70"/>
      <x:c r="H46" s="70"/>
      <x:c r="I46" s="70"/>
      <x:c r="J46" s="70"/>
      <x:c r="K46" s="70"/>
    </x:row>
    <x:row r="47">
      <x:c r="B47" s="70"/>
      <x:c r="C47" s="70"/>
      <x:c r="D47" s="70"/>
      <x:c r="E47" s="70"/>
      <x:c r="F47" s="70"/>
      <x:c r="G47" s="70"/>
      <x:c r="H47" s="70"/>
      <x:c r="I47" s="70"/>
      <x:c r="J47" s="70"/>
      <x:c r="K47" s="70"/>
    </x:row>
    <x:row r="48">
      <x:c r="B48" s="70"/>
      <x:c r="C48" s="70"/>
      <x:c r="D48" s="70"/>
      <x:c r="E48" s="70"/>
      <x:c r="F48" s="70"/>
      <x:c r="G48" s="70"/>
      <x:c r="H48" s="70"/>
      <x:c r="I48" s="70"/>
      <x:c r="J48" s="70"/>
      <x:c r="K48" s="70"/>
    </x:row>
  </x:sheetData>
  <x:mergeCells>
    <x:mergeCell ref="B2:F2"/>
    <x:mergeCell ref="B3:F3"/>
    <x:mergeCell ref="B6:K6"/>
    <x:mergeCell ref="B14:K14"/>
    <x:mergeCell ref="I14:K14"/>
  </x:mergeCells>
  <x:conditionalFormatting sqref="G16:G40">
    <x:cfRule type="containsText" dxfId="30" priority="1" operator="containsText" text="FAIL"/>
    <x:cfRule type="containsText" dxfId="31" priority="2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9" hidden="0" customWidth="1"/>
    <x:col min="8" max="8" width="20" hidden="0" customWidth="1"/>
  </x:cols>
  <x:sheetData>
    <x:row r="2">
      <x:c r="B2" s="69" t="str">
        <x:v>ATUT-170 architecture program and DCP-2 boundary</x:v>
      </x:c>
      <x:c r="C2" s="69" t="str">
        <x:v>ATUT-170 architecture program and DCP-2 boundary</x:v>
      </x:c>
      <x:c r="D2" s="69" t="str">
        <x:v>ATUT-170 architecture program and DCP-2 boundary</x:v>
      </x:c>
      <x:c r="E2" s="69" t="str">
        <x:v>ATUT-170 architecture program and DCP-2 boundary</x:v>
      </x:c>
      <x:c r="F2" s="69" t="str">
        <x:v>ATUT-170 architecture program and DCP-2 boundary</x:v>
      </x:c>
      <x:c r="G2" s="70"/>
      <x:c r="H2" s="70"/>
    </x:row>
    <x:row r="3">
      <x:c r="B3" s="71" t="str">
        <x:v>The selected T4 reference replaces the Pass 83 generic ATUT lifecycle with a full clean-sheet industrial program</x:v>
      </x:c>
      <x:c r="C3" s="71" t="str">
        <x:v>The selected T4 reference replaces the Pass 83 generic ATUT lifecycle with a full clean-sheet industrial program</x:v>
      </x:c>
      <x:c r="D3" s="71" t="str">
        <x:v>The selected T4 reference replaces the Pass 83 generic ATUT lifecycle with a full clean-sheet industrial program</x:v>
      </x:c>
      <x:c r="E3" s="71" t="str">
        <x:v>The selected T4 reference replaces the Pass 83 generic ATUT lifecycle with a full clean-sheet industrial program</x:v>
      </x:c>
      <x:c r="F3" s="71" t="str">
        <x:v>The selected T4 reference replaces the Pass 83 generic ATUT lifecycle with a full clean-sheet industrial program</x:v>
      </x:c>
      <x:c r="G3" s="70"/>
      <x:c r="H3" s="70"/>
    </x:row>
    <x:row r="4">
      <x:c r="B4" s="72"/>
      <x:c r="C4" s="72"/>
      <x:c r="D4" s="72"/>
      <x:c r="E4" s="72"/>
      <x:c r="F4" s="72"/>
      <x:c r="G4" s="72"/>
      <x:c r="H4" s="72"/>
    </x:row>
    <x:row r="5">
      <x:c r="B5" s="70"/>
      <x:c r="C5" s="70"/>
      <x:c r="D5" s="70"/>
      <x:c r="E5" s="70"/>
      <x:c r="F5" s="70"/>
      <x:c r="G5" s="70"/>
      <x:c r="H5" s="70"/>
    </x:row>
    <x:row r="6">
      <x:c r="B6" s="29" t="str">
        <x:v>Program line</x:v>
      </x:c>
      <x:c r="C6" s="30" t="str">
        <x:v>T1 $B</x:v>
      </x:c>
      <x:c r="D6" s="30" t="str">
        <x:v>T2 $B</x:v>
      </x:c>
      <x:c r="E6" s="30" t="str">
        <x:v>T3 $B</x:v>
      </x:c>
      <x:c r="F6" s="30" t="str">
        <x:v>T4 $B</x:v>
      </x:c>
      <x:c r="G6" s="30" t="str">
        <x:v>Selected basis</x:v>
      </x:c>
      <x:c r="H6" s="30" t="str">
        <x:v>Comparison state</x:v>
      </x:c>
    </x:row>
    <x:row r="7">
      <x:c r="B7" s="76" t="str">
        <x:v>Ready-set lifecycle</x:v>
      </x:c>
      <x:c r="C7" s="96" t="n">
        <x:f>Architectures!AP7*Assumptions!C43</x:f>
        <x:v>361.2</x:v>
      </x:c>
      <x:c r="D7" s="96" t="n">
        <x:f>Architectures!AP8*Assumptions!C43</x:f>
        <x:v>494.5</x:v>
      </x:c>
      <x:c r="E7" s="96" t="n">
        <x:f>Architectures!AP9*Assumptions!C43</x:f>
        <x:v>464.40000000000003</x:v>
      </x:c>
      <x:c r="F7" s="96" t="n">
        <x:f>Architectures!AP10*Assumptions!C43</x:f>
        <x:v>421.40000000000003</x:v>
      </x:c>
      <x:c r="G7" s="76" t="str">
        <x:v>set lifecycle × ready packages</x:v>
      </x:c>
      <x:c r="H7" s="77" t="str">
        <x:v>calculated</x:v>
      </x:c>
    </x:row>
    <x:row r="8">
      <x:c r="B8" s="76" t="str">
        <x:v>Development and test articles</x:v>
      </x:c>
      <x:c r="C8" s="96" t="n">
        <x:f>Architectures!AO7*Assumptions!C48+6</x:f>
        <x:v>20.4</x:v>
      </x:c>
      <x:c r="D8" s="96" t="n">
        <x:f>Architectures!AO8*Assumptions!C48+6</x:f>
        <x:v>25.200000000000003</x:v>
      </x:c>
      <x:c r="E8" s="96" t="n">
        <x:f>Architectures!AO9*Assumptions!C48+6</x:f>
        <x:v>24</x:v>
      </x:c>
      <x:c r="F8" s="96" t="n">
        <x:f>Architectures!AO10*Assumptions!C48+6</x:f>
        <x:v>23.4</x:v>
      </x:c>
      <x:c r="G8" s="76" t="str">
        <x:v>twelve articles plus instrumentation</x:v>
      </x:c>
      <x:c r="H8" s="77" t="str">
        <x:v>declared</x:v>
      </x:c>
    </x:row>
    <x:row r="9">
      <x:c r="B9" s="76" t="str">
        <x:v>Reserve vehicles</x:v>
      </x:c>
      <x:c r="C9" s="96" t="n">
        <x:f>Architectures!AO7*Assumptions!C47</x:f>
        <x:v>42</x:v>
      </x:c>
      <x:c r="D9" s="96" t="n">
        <x:f>Architectures!AO8*Assumptions!C47</x:f>
        <x:v>56</x:v>
      </x:c>
      <x:c r="E9" s="96" t="n">
        <x:f>Architectures!AO9*Assumptions!C47</x:f>
        <x:v>52.5</x:v>
      </x:c>
      <x:c r="F9" s="96" t="n">
        <x:f>Architectures!AO10*Assumptions!C47</x:f>
        <x:v>50.75</x:v>
      </x:c>
      <x:c r="G9" s="76" t="str">
        <x:v>twenty-percent attrition and overhaul pool</x:v>
      </x:c>
      <x:c r="H9" s="77" t="str">
        <x:v>calculated</x:v>
      </x:c>
    </x:row>
    <x:row r="10">
      <x:c r="B10" s="76" t="str">
        <x:v>Architecture R&amp;D</x:v>
      </x:c>
      <x:c r="C10" s="96" t="n">
        <x:f>Architectures!AQ7</x:f>
        <x:v>100</x:v>
      </x:c>
      <x:c r="D10" s="96" t="n">
        <x:f>Architectures!AQ8</x:f>
        <x:v>135</x:v>
      </x:c>
      <x:c r="E10" s="96" t="n">
        <x:f>Architectures!AQ9</x:f>
        <x:v>125</x:v>
      </x:c>
      <x:c r="F10" s="96" t="n">
        <x:f>Architectures!AQ10</x:f>
        <x:v>150</x:v>
      </x:c>
      <x:c r="G10" s="76" t="str">
        <x:v>architecture-specific maturation</x:v>
      </x:c>
      <x:c r="H10" s="77" t="str">
        <x:v>declared</x:v>
      </x:c>
    </x:row>
    <x:row r="11">
      <x:c r="B11" s="76" t="str">
        <x:v>Production tooling</x:v>
      </x:c>
      <x:c r="C11" s="96" t="n">
        <x:f>Architectures!AR7</x:f>
        <x:v>85</x:v>
      </x:c>
      <x:c r="D11" s="96" t="n">
        <x:f>Architectures!AR8</x:f>
        <x:v>110</x:v>
      </x:c>
      <x:c r="E11" s="96" t="n">
        <x:f>Architectures!AR9</x:f>
        <x:v>100</x:v>
      </x:c>
      <x:c r="F11" s="96" t="n">
        <x:f>Architectures!AR10</x:f>
        <x:v>105</x:v>
      </x:c>
      <x:c r="G11" s="76" t="str">
        <x:v>three-line production system</x:v>
      </x:c>
      <x:c r="H11" s="77" t="str">
        <x:v>declared</x:v>
      </x:c>
    </x:row>
    <x:row r="12">
      <x:c r="B12" s="76" t="str">
        <x:v>Base capital expansion</x:v>
      </x:c>
      <x:c r="C12" s="96" t="n">
        <x:f>Architectures!AS7*Assumptions!C43</x:f>
        <x:v>9.46</x:v>
      </x:c>
      <x:c r="D12" s="96" t="n">
        <x:f>Architectures!AS8*Assumptions!C43</x:f>
        <x:v>15.049999999999999</x:v>
      </x:c>
      <x:c r="E12" s="96" t="n">
        <x:f>Architectures!AS9*Assumptions!C43</x:f>
        <x:v>13.76</x:v>
      </x:c>
      <x:c r="F12" s="96" t="n">
        <x:f>Architectures!AS10*Assumptions!C43</x:f>
        <x:v>12.040000000000001</x:v>
      </x:c>
      <x:c r="G12" s="76" t="str">
        <x:v>increment above Pass 83 terrain base</x:v>
      </x:c>
      <x:c r="H12" s="77" t="str">
        <x:v>calculated</x:v>
      </x:c>
    </x:row>
    <x:row r="13">
      <x:c r="B13" s="76" t="str">
        <x:v>Base operating expansion</x:v>
      </x:c>
      <x:c r="C13" s="96" t="n">
        <x:f>Architectures!AT7*Assumptions!C50*Assumptions!C43</x:f>
        <x:v>9.51762</x:v>
      </x:c>
      <x:c r="D13" s="96" t="n">
        <x:f>Architectures!AT8*Assumptions!C50*Assumptions!C43</x:f>
        <x:v>14.95626</x:v>
      </x:c>
      <x:c r="E13" s="96" t="n">
        <x:f>Architectures!AT9*Assumptions!C50*Assumptions!C43</x:f>
        <x:v>16.99575</x:v>
      </x:c>
      <x:c r="F13" s="96" t="n">
        <x:f>Architectures!AT10*Assumptions!C50*Assumptions!C43</x:f>
        <x:v>12.23694</x:v>
      </x:c>
      <x:c r="G13" s="76" t="str">
        <x:v>ramp-weighted expanded-base operations</x:v>
      </x:c>
      <x:c r="H13" s="77" t="str">
        <x:v>calculated</x:v>
      </x:c>
    </x:row>
    <x:row r="14">
      <x:c r="B14" s="76" t="str">
        <x:v>Full-scale proving</x:v>
      </x:c>
      <x:c r="C14" s="96" t="n">
        <x:v>55</x:v>
      </x:c>
      <x:c r="D14" s="96" t="n">
        <x:v>65</x:v>
      </x:c>
      <x:c r="E14" s="96" t="n">
        <x:v>60</x:v>
      </x:c>
      <x:c r="F14" s="96" t="n">
        <x:v>70</x:v>
      </x:c>
      <x:c r="G14" s="76" t="str">
        <x:v>compound route, recovery and service proving</x:v>
      </x:c>
      <x:c r="H14" s="77" t="str">
        <x:v>declared</x:v>
      </x:c>
    </x:row>
    <x:row r="15">
      <x:c r="B15" s="76" t="str">
        <x:v>Certification and training</x:v>
      </x:c>
      <x:c r="C15" s="96" t="n">
        <x:v>30</x:v>
      </x:c>
      <x:c r="D15" s="96" t="n">
        <x:v>35</x:v>
      </x:c>
      <x:c r="E15" s="96" t="n">
        <x:v>35</x:v>
      </x:c>
      <x:c r="F15" s="96" t="n">
        <x:v>38</x:v>
      </x:c>
      <x:c r="G15" s="76" t="str">
        <x:v>independent vehicle and public-service release</x:v>
      </x:c>
      <x:c r="H15" s="77" t="str">
        <x:v>declared</x:v>
      </x:c>
    </x:row>
    <x:row r="16">
      <x:c r="B16" s="76" t="str">
        <x:v>ATUT architecture program</x:v>
      </x:c>
      <x:c r="C16" s="96" t="n">
        <x:f>SUM(C7:C15)</x:f>
        <x:v>712.5776199999999</x:v>
      </x:c>
      <x:c r="D16" s="96" t="n">
        <x:f>SUM(D7:D15)</x:f>
        <x:v>950.70626</x:v>
      </x:c>
      <x:c r="E16" s="96" t="n">
        <x:f>SUM(E7:E15)</x:f>
        <x:v>891.6557500000001</x:v>
      </x:c>
      <x:c r="F16" s="96" t="n">
        <x:f>SUM(F7:F15)</x:f>
        <x:v>882.8269399999999</x:v>
      </x:c>
      <x:c r="G16" s="76" t="str">
        <x:v>complete ATUT program</x:v>
      </x:c>
      <x:c r="H16" s="77" t="str">
        <x:v>calculated</x:v>
      </x:c>
    </x:row>
    <x:row r="17">
      <x:c r="B17" s="76" t="str">
        <x:v>Pass 83 non-ATUT remainder</x:v>
      </x:c>
      <x:c r="C17" s="96" t="n">
        <x:f>Assumptions!C58-6.75*Assumptions!C43</x:f>
        <x:v>1226.98385</x:v>
      </x:c>
      <x:c r="D17" s="96" t="n">
        <x:f>Assumptions!C58-6.75*Assumptions!C43</x:f>
        <x:v>1226.98385</x:v>
      </x:c>
      <x:c r="E17" s="96" t="n">
        <x:f>Assumptions!C58-6.75*Assumptions!C43</x:f>
        <x:v>1226.98385</x:v>
      </x:c>
      <x:c r="F17" s="96" t="n">
        <x:f>Assumptions!C58-6.75*Assumptions!C43</x:f>
        <x:v>1226.98385</x:v>
      </x:c>
      <x:c r="G17" s="76" t="str">
        <x:v>dynamic Pass 83 DCP less generic ATUT account</x:v>
      </x:c>
      <x:c r="H17" s="77" t="str">
        <x:v>calculated</x:v>
      </x:c>
    </x:row>
    <x:row r="18">
      <x:c r="B18" s="76" t="str">
        <x:v>Revised DCP-2 program</x:v>
      </x:c>
      <x:c r="C18" s="96" t="n">
        <x:f>C16+C17</x:f>
        <x:v>1939.56147</x:v>
      </x:c>
      <x:c r="D18" s="96" t="n">
        <x:f>D16+D17</x:f>
        <x:v>2177.69011</x:v>
      </x:c>
      <x:c r="E18" s="96" t="n">
        <x:f>E16+E17</x:f>
        <x:v>2118.6396000000004</x:v>
      </x:c>
      <x:c r="F18" s="96" t="n">
        <x:f>F16+F17</x:f>
        <x:v>2109.81079</x:v>
      </x:c>
      <x:c r="G18" s="76" t="str">
        <x:v>replacement DCP-2 program</x:v>
      </x:c>
      <x:c r="H18" s="77" t="str">
        <x:v>calculated</x:v>
      </x:c>
    </x:row>
    <x:row r="19">
      <x:c r="B19" s="76" t="str">
        <x:v>Dynamic F1-C1 base</x:v>
      </x:c>
      <x:c r="C19" s="96" t="n">
        <x:f>Assumptions!C57</x:f>
        <x:v>7383.14155</x:v>
      </x:c>
      <x:c r="D19" s="96" t="n">
        <x:f>Assumptions!C57</x:f>
        <x:v>7383.14155</x:v>
      </x:c>
      <x:c r="E19" s="96" t="n">
        <x:f>Assumptions!C57</x:f>
        <x:v>7383.14155</x:v>
      </x:c>
      <x:c r="F19" s="96" t="n">
        <x:f>Assumptions!C57</x:f>
        <x:v>7383.14155</x:v>
      </x:c>
      <x:c r="G19" s="76" t="str">
        <x:v>one-region force before reinforcement</x:v>
      </x:c>
      <x:c r="H19" s="77" t="str">
        <x:v>calculated</x:v>
      </x:c>
    </x:row>
    <x:row r="20">
      <x:c r="B20" s="76" t="str">
        <x:v>Revised national boundary</x:v>
      </x:c>
      <x:c r="C20" s="96" t="n">
        <x:f>C18+C19</x:f>
        <x:v>9322.70302</x:v>
      </x:c>
      <x:c r="D20" s="96" t="n">
        <x:f>D18+D19</x:f>
        <x:v>9560.83166</x:v>
      </x:c>
      <x:c r="E20" s="96" t="n">
        <x:f>E18+E19</x:f>
        <x:v>9501.78115</x:v>
      </x:c>
      <x:c r="F20" s="96" t="n">
        <x:f>F18+F19</x:f>
        <x:v>9492.95234</x:v>
      </x:c>
      <x:c r="G20" s="76" t="str">
        <x:v>national force plus ATUT architecture</x:v>
      </x:c>
      <x:c r="H20" s="77" t="str">
        <x:v>calculated</x:v>
      </x:c>
    </x:row>
    <x:row r="21">
      <x:c r="B21" s="76" t="str">
        <x:v>Increase over Pass 83 DCP</x:v>
      </x:c>
      <x:c r="C21" s="96" t="n">
        <x:f>C18-Assumptions!C58</x:f>
        <x:v>422.32762</x:v>
      </x:c>
      <x:c r="D21" s="96" t="n">
        <x:f>D18-Assumptions!C58</x:f>
        <x:v>660.4562599999999</x:v>
      </x:c>
      <x:c r="E21" s="96" t="n">
        <x:f>E18-Assumptions!C58</x:f>
        <x:v>601.4057500000004</x:v>
      </x:c>
      <x:c r="F21" s="96" t="n">
        <x:f>F18-Assumptions!C58</x:f>
        <x:v>592.5769399999999</x:v>
      </x:c>
      <x:c r="G21" s="76" t="str">
        <x:v>physical-architecture correction</x:v>
      </x:c>
      <x:c r="H21" s="77" t="str">
        <x:v>calculated</x:v>
      </x:c>
    </x:row>
    <x:row r="22">
      <x:c r="B22" s="78" t="str">
        <x:v>Selected architecture</x:v>
      </x:c>
      <x:c r="C22" s="78" t="str">
        <x:v>FAIL</x:v>
      </x:c>
      <x:c r="D22" s="78" t="str">
        <x:v>FAIL</x:v>
      </x:c>
      <x:c r="E22" s="78" t="str">
        <x:v>FAIL</x:v>
      </x:c>
      <x:c r="F22" s="78" t="str">
        <x:v>PASS</x:v>
      </x:c>
      <x:c r="G22" s="78" t="str">
        <x:v>universal decision screen</x:v>
      </x:c>
      <x:c r="H22" s="79" t="str">
        <x:v>behavior only</x:v>
      </x:c>
    </x:row>
    <x:row r="23">
      <x:c r="B23" s="70"/>
      <x:c r="C23" s="70"/>
      <x:c r="D23" s="70"/>
      <x:c r="E23" s="70"/>
      <x:c r="F23" s="70"/>
      <x:c r="G23" s="70"/>
      <x:c r="H23" s="70"/>
    </x:row>
    <x:row r="24">
      <x:c r="B24" s="70"/>
      <x:c r="C24" s="70"/>
      <x:c r="D24" s="70"/>
      <x:c r="E24" s="70"/>
      <x:c r="F24" s="70"/>
      <x:c r="G24" s="70"/>
      <x:c r="H24" s="70"/>
    </x:row>
    <x:row r="25">
      <x:c r="B25" s="73" t="str">
        <x:v>Twenty-two to thirty assigned groups sensitivity</x:v>
      </x:c>
      <x:c r="C25" s="74" t="str">
        <x:v>Twenty-two to thirty assigned groups sensitivity</x:v>
      </x:c>
      <x:c r="D25" s="74" t="str">
        <x:v>Twenty-two to thirty assigned groups sensitivity</x:v>
      </x:c>
      <x:c r="E25" s="74" t="str">
        <x:v>Twenty-two to thirty assigned groups sensitivity</x:v>
      </x:c>
      <x:c r="F25" s="74" t="str">
        <x:v>Twenty-two to thirty assigned groups sensitivity</x:v>
      </x:c>
      <x:c r="G25" s="74" t="str">
        <x:v>Twenty-two to thirty assigned groups sensitivity</x:v>
      </x:c>
      <x:c r="H25" s="75" t="str">
        <x:v>Twenty-two to thirty assigned groups sensitivity</x:v>
      </x:c>
    </x:row>
    <x:row r="26">
      <x:c r="B26" s="29" t="str">
        <x:v>Assigned groups</x:v>
      </x:c>
      <x:c r="C26" s="30" t="str">
        <x:v>Ready packages</x:v>
      </x:c>
      <x:c r="D26" s="30" t="str">
        <x:v>Operational vehicles</x:v>
      </x:c>
      <x:c r="E26" s="30" t="str">
        <x:v>Reserve vehicles</x:v>
      </x:c>
      <x:c r="F26" s="30" t="str">
        <x:v>Total articles</x:v>
      </x:c>
      <x:c r="G26" s="30" t="str">
        <x:v>Selected program $B</x:v>
      </x:c>
      <x:c r="H26" s="30" t="str">
        <x:v>National boundary $B</x:v>
      </x:c>
    </x:row>
    <x:row r="27">
      <x:c r="B27" s="76" t="n">
        <x:v>22</x:v>
      </x:c>
      <x:c r="C27" s="76" t="n">
        <x:f>CEILING(B27*Assumptions!C41*Assumptions!C42,1)</x:f>
        <x:v>43</x:v>
      </x:c>
      <x:c r="D27" s="76" t="n">
        <x:f>C27*Assumptions!C44</x:f>
        <x:v>172</x:v>
      </x:c>
      <x:c r="E27" s="76" t="n">
        <x:f>CEILING(D27*Assumptions!C46,1)</x:f>
        <x:v>35</x:v>
      </x:c>
      <x:c r="F27" s="76" t="n">
        <x:f>D27+E27+Assumptions!C48</x:f>
        <x:v>219</x:v>
      </x:c>
      <x:c r="G27" s="96" t="n">
        <x:f>Architectures!AP10*C27+Architectures!AO10*Assumptions!C48+6+Architectures!AO10*E27+Architectures!AQ10+Architectures!AR10+Architectures!AS10*C27+Architectures!AT10*Assumptions!C50*C27+70+38</x:f>
        <x:v>882.8269399999999</x:v>
      </x:c>
      <x:c r="H27" s="97" t="n">
        <x:f>(Assumptions!C54+(C27-43)*Assumptions!C55)+(Assumptions!C51+(C27-43)*Assumptions!C56-6.75*C27)+G27</x:f>
        <x:v>9492.95234</x:v>
      </x:c>
    </x:row>
    <x:row r="28">
      <x:c r="B28" s="76" t="n">
        <x:v>23</x:v>
      </x:c>
      <x:c r="C28" s="76" t="n">
        <x:f>CEILING(B28*Assumptions!C41*Assumptions!C42,1)</x:f>
        <x:v>45</x:v>
      </x:c>
      <x:c r="D28" s="76" t="n">
        <x:f>C28*Assumptions!C44</x:f>
        <x:v>180</x:v>
      </x:c>
      <x:c r="E28" s="76" t="n">
        <x:f>CEILING(D28*Assumptions!C46,1)</x:f>
        <x:v>36</x:v>
      </x:c>
      <x:c r="F28" s="76" t="n">
        <x:f>D28+E28+Assumptions!C48</x:f>
        <x:v>228</x:v>
      </x:c>
      <x:c r="G28" s="96" t="n">
        <x:f>Architectures!AP10*C28+Architectures!AO10*Assumptions!C48+6+Architectures!AO10*E28+Architectures!AQ10+Architectures!AR10+Architectures!AS10*C28+Architectures!AT10*Assumptions!C50*C28+70+38</x:f>
        <x:v>905.0061000000001</x:v>
      </x:c>
      <x:c r="H28" s="97" t="n">
        <x:f>(Assumptions!C54+(C28-43)*Assumptions!C55)+(Assumptions!C51+(C28-43)*Assumptions!C56-6.75*C28)+G28</x:f>
        <x:v>9569.2152</x:v>
      </x:c>
    </x:row>
    <x:row r="29">
      <x:c r="B29" s="76" t="n">
        <x:v>24</x:v>
      </x:c>
      <x:c r="C29" s="76" t="n">
        <x:f>CEILING(B29*Assumptions!C41*Assumptions!C42,1)</x:f>
        <x:v>47</x:v>
      </x:c>
      <x:c r="D29" s="76" t="n">
        <x:f>C29*Assumptions!C44</x:f>
        <x:v>188</x:v>
      </x:c>
      <x:c r="E29" s="76" t="n">
        <x:f>CEILING(D29*Assumptions!C46,1)</x:f>
        <x:v>38</x:v>
      </x:c>
      <x:c r="F29" s="76" t="n">
        <x:f>D29+E29+Assumptions!C48</x:f>
        <x:v>238</x:v>
      </x:c>
      <x:c r="G29" s="96" t="n">
        <x:f>Architectures!AP10*C29+Architectures!AO10*Assumptions!C48+6+Architectures!AO10*E29+Architectures!AQ10+Architectures!AR10+Architectures!AS10*C29+Architectures!AT10*Assumptions!C50*C29+70+38</x:f>
        <x:v>928.63526</x:v>
      </x:c>
      <x:c r="H29" s="97" t="n">
        <x:f>(Assumptions!C54+(C29-43)*Assumptions!C55)+(Assumptions!C51+(C29-43)*Assumptions!C56-6.75*C29)+G29</x:f>
        <x:v>9646.928059999998</x:v>
      </x:c>
    </x:row>
    <x:row r="30">
      <x:c r="B30" s="76" t="n">
        <x:v>25</x:v>
      </x:c>
      <x:c r="C30" s="76" t="n">
        <x:f>CEILING(B30*Assumptions!C41*Assumptions!C42,1)</x:f>
        <x:v>49</x:v>
      </x:c>
      <x:c r="D30" s="76" t="n">
        <x:f>C30*Assumptions!C44</x:f>
        <x:v>196</x:v>
      </x:c>
      <x:c r="E30" s="76" t="n">
        <x:f>CEILING(D30*Assumptions!C46,1)</x:f>
        <x:v>40</x:v>
      </x:c>
      <x:c r="F30" s="76" t="n">
        <x:f>D30+E30+Assumptions!C48</x:f>
        <x:v>248</x:v>
      </x:c>
      <x:c r="G30" s="96" t="n">
        <x:f>Architectures!AP10*C30+Architectures!AO10*Assumptions!C48+6+Architectures!AO10*E30+Architectures!AQ10+Architectures!AR10+Architectures!AS10*C30+Architectures!AT10*Assumptions!C50*C30+70+38</x:f>
        <x:v>952.2644200000001</x:v>
      </x:c>
      <x:c r="H30" s="97" t="n">
        <x:f>(Assumptions!C54+(C30-43)*Assumptions!C55)+(Assumptions!C51+(C30-43)*Assumptions!C56-6.75*C30)+G30</x:f>
        <x:v>9724.64092</x:v>
      </x:c>
    </x:row>
    <x:row r="31">
      <x:c r="B31" s="76" t="n">
        <x:v>26</x:v>
      </x:c>
      <x:c r="C31" s="76" t="n">
        <x:f>CEILING(B31*Assumptions!C41*Assumptions!C42,1)</x:f>
        <x:v>51</x:v>
      </x:c>
      <x:c r="D31" s="76" t="n">
        <x:f>C31*Assumptions!C44</x:f>
        <x:v>204</x:v>
      </x:c>
      <x:c r="E31" s="76" t="n">
        <x:f>CEILING(D31*Assumptions!C46,1)</x:f>
        <x:v>41</x:v>
      </x:c>
      <x:c r="F31" s="76" t="n">
        <x:f>D31+E31+Assumptions!C48</x:f>
        <x:v>257</x:v>
      </x:c>
      <x:c r="G31" s="96" t="n">
        <x:f>Architectures!AP10*C31+Architectures!AO10*Assumptions!C48+6+Architectures!AO10*E31+Architectures!AQ10+Architectures!AR10+Architectures!AS10*C31+Architectures!AT10*Assumptions!C50*C31+70+38</x:f>
        <x:v>974.4435800000001</x:v>
      </x:c>
      <x:c r="H31" s="97" t="n">
        <x:f>(Assumptions!C54+(C31-43)*Assumptions!C55)+(Assumptions!C51+(C31-43)*Assumptions!C56-6.75*C31)+G31</x:f>
        <x:v>9800.90378</x:v>
      </x:c>
    </x:row>
    <x:row r="32">
      <x:c r="B32" s="76" t="n">
        <x:v>27</x:v>
      </x:c>
      <x:c r="C32" s="76" t="n">
        <x:f>CEILING(B32*Assumptions!C41*Assumptions!C42,1)</x:f>
        <x:v>53</x:v>
      </x:c>
      <x:c r="D32" s="76" t="n">
        <x:f>C32*Assumptions!C44</x:f>
        <x:v>212</x:v>
      </x:c>
      <x:c r="E32" s="76" t="n">
        <x:f>CEILING(D32*Assumptions!C46,1)</x:f>
        <x:v>43</x:v>
      </x:c>
      <x:c r="F32" s="76" t="n">
        <x:f>D32+E32+Assumptions!C48</x:f>
        <x:v>267</x:v>
      </x:c>
      <x:c r="G32" s="96" t="n">
        <x:f>Architectures!AP10*C32+Architectures!AO10*Assumptions!C48+6+Architectures!AO10*E32+Architectures!AQ10+Architectures!AR10+Architectures!AS10*C32+Architectures!AT10*Assumptions!C50*C32+70+38</x:f>
        <x:v>998.0727400000001</x:v>
      </x:c>
      <x:c r="H32" s="97" t="n">
        <x:f>(Assumptions!C54+(C32-43)*Assumptions!C55)+(Assumptions!C51+(C32-43)*Assumptions!C56-6.75*C32)+G32</x:f>
        <x:v>9878.61664</x:v>
      </x:c>
    </x:row>
    <x:row r="33">
      <x:c r="B33" s="76" t="n">
        <x:v>28</x:v>
      </x:c>
      <x:c r="C33" s="76" t="n">
        <x:f>CEILING(B33*Assumptions!C41*Assumptions!C42,1)</x:f>
        <x:v>55</x:v>
      </x:c>
      <x:c r="D33" s="76" t="n">
        <x:f>C33*Assumptions!C44</x:f>
        <x:v>220</x:v>
      </x:c>
      <x:c r="E33" s="76" t="n">
        <x:f>CEILING(D33*Assumptions!C46,1)</x:f>
        <x:v>44</x:v>
      </x:c>
      <x:c r="F33" s="76" t="n">
        <x:f>D33+E33+Assumptions!C48</x:f>
        <x:v>276</x:v>
      </x:c>
      <x:c r="G33" s="96" t="n">
        <x:f>Architectures!AP10*C33+Architectures!AO10*Assumptions!C48+6+Architectures!AO10*E33+Architectures!AQ10+Architectures!AR10+Architectures!AS10*C33+Architectures!AT10*Assumptions!C50*C33+70+38</x:f>
        <x:v>1020.2518999999999</x:v>
      </x:c>
      <x:c r="H33" s="97" t="n">
        <x:f>(Assumptions!C54+(C33-43)*Assumptions!C55)+(Assumptions!C51+(C33-43)*Assumptions!C56-6.75*C33)+G33</x:f>
        <x:v>9954.8795</x:v>
      </x:c>
    </x:row>
    <x:row r="34">
      <x:c r="B34" s="76" t="n">
        <x:v>29</x:v>
      </x:c>
      <x:c r="C34" s="76" t="n">
        <x:f>CEILING(B34*Assumptions!C41*Assumptions!C42,1)</x:f>
        <x:v>57</x:v>
      </x:c>
      <x:c r="D34" s="76" t="n">
        <x:f>C34*Assumptions!C44</x:f>
        <x:v>228</x:v>
      </x:c>
      <x:c r="E34" s="76" t="n">
        <x:f>CEILING(D34*Assumptions!C46,1)</x:f>
        <x:v>46</x:v>
      </x:c>
      <x:c r="F34" s="76" t="n">
        <x:f>D34+E34+Assumptions!C48</x:f>
        <x:v>286</x:v>
      </x:c>
      <x:c r="G34" s="96" t="n">
        <x:f>Architectures!AP10*C34+Architectures!AO10*Assumptions!C48+6+Architectures!AO10*E34+Architectures!AQ10+Architectures!AR10+Architectures!AS10*C34+Architectures!AT10*Assumptions!C50*C34+70+38</x:f>
        <x:v>1043.8810600000002</x:v>
      </x:c>
      <x:c r="H34" s="97" t="n">
        <x:f>(Assumptions!C54+(C34-43)*Assumptions!C55)+(Assumptions!C51+(C34-43)*Assumptions!C56-6.75*C34)+G34</x:f>
        <x:v>10032.59236</x:v>
      </x:c>
    </x:row>
    <x:row r="35">
      <x:c r="B35" s="78" t="n">
        <x:v>30</x:v>
      </x:c>
      <x:c r="C35" s="78" t="n">
        <x:f>CEILING(B35*Assumptions!C41*Assumptions!C42,1)</x:f>
        <x:v>59</x:v>
      </x:c>
      <x:c r="D35" s="78" t="n">
        <x:f>C35*Assumptions!C44</x:f>
        <x:v>236</x:v>
      </x:c>
      <x:c r="E35" s="78" t="n">
        <x:f>CEILING(D35*Assumptions!C46,1)</x:f>
        <x:v>48</x:v>
      </x:c>
      <x:c r="F35" s="78" t="n">
        <x:f>D35+E35+Assumptions!C48</x:f>
        <x:v>296</x:v>
      </x:c>
      <x:c r="G35" s="98" t="n">
        <x:f>Architectures!AP10*C35+Architectures!AO10*Assumptions!C48+6+Architectures!AO10*E35+Architectures!AQ10+Architectures!AR10+Architectures!AS10*C35+Architectures!AT10*Assumptions!C50*C35+70+38</x:f>
        <x:v>1067.5102200000001</x:v>
      </x:c>
      <x:c r="H35" s="99" t="n">
        <x:f>(Assumptions!C54+(C35-43)*Assumptions!C55)+(Assumptions!C51+(C35-43)*Assumptions!C56-6.75*C35)+G35</x:f>
        <x:v>10110.30522</x:v>
      </x:c>
    </x:row>
    <x:row r="36">
      <x:c r="B36" s="70"/>
      <x:c r="C36" s="70"/>
      <x:c r="D36" s="70"/>
      <x:c r="E36" s="70"/>
      <x:c r="F36" s="70"/>
      <x:c r="G36" s="70"/>
      <x:c r="H36" s="70"/>
    </x:row>
  </x:sheetData>
  <x:mergeCells>
    <x:mergeCell ref="B2:F2"/>
    <x:mergeCell ref="B3:F3"/>
    <x:mergeCell ref="B25:H25"/>
  </x:mergeCells>
  <x:conditionalFormatting sqref="C22:F22">
    <x:cfRule type="containsText" dxfId="32" priority="1" operator="containsText" text="FAIL"/>
    <x:cfRule type="containsText" dxfId="33" priority="2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21" hidden="0" customWidth="1"/>
    <x:col min="4" max="4" width="48" hidden="0" customWidth="1"/>
    <x:col min="5" max="5" width="43" hidden="0" customWidth="1"/>
    <x:col min="6" max="6" width="28" hidden="0" customWidth="1"/>
    <x:col min="7" max="7" width="25" hidden="0" customWidth="1"/>
    <x:col min="8" max="8" width="22" hidden="0" customWidth="1"/>
    <x:col min="9" max="9" width="23" hidden="0" customWidth="1"/>
    <x:col min="10" max="10" width="31" hidden="0" customWidth="1"/>
    <x:col min="11" max="11" width="14" hidden="0" customWidth="1"/>
  </x:cols>
  <x:sheetData>
    <x:row r="2">
      <x:c r="B2" s="69" t="str">
        <x:v>SAT-170 technology and proving portfolio</x:v>
      </x:c>
      <x:c r="C2" s="69" t="str">
        <x:v>SAT-170 technology and proving portfolio</x:v>
      </x:c>
      <x:c r="D2" s="69" t="str">
        <x:v>SAT-170 technology and proving portfolio</x:v>
      </x:c>
      <x:c r="E2" s="69" t="str">
        <x:v>SAT-170 technology and proving portfolio</x:v>
      </x:c>
      <x:c r="F2" s="69" t="str">
        <x:v>SAT-170 technology and proving portfolio</x:v>
      </x:c>
      <x:c r="G2" s="70"/>
      <x:c r="H2" s="70"/>
      <x:c r="I2" s="70"/>
      <x:c r="J2" s="70"/>
      <x:c r="K2" s="70"/>
    </x:row>
    <x:row r="3">
      <x:c r="B3" s="71" t="str">
        <x:v>The selected reference is a demand signal for new civil mobility technologies, not an assertion that current products suffice</x:v>
      </x:c>
      <x:c r="C3" s="71" t="str">
        <x:v>The selected reference is a demand signal for new civil mobility technologies, not an assertion that current products suffice</x:v>
      </x:c>
      <x:c r="D3" s="71" t="str">
        <x:v>The selected reference is a demand signal for new civil mobility technologies, not an assertion that current products suffice</x:v>
      </x:c>
      <x:c r="E3" s="71" t="str">
        <x:v>The selected reference is a demand signal for new civil mobility technologies, not an assertion that current products suffice</x:v>
      </x:c>
      <x:c r="F3" s="71" t="str">
        <x:v>The selected reference is a demand signal for new civil mobility technologies, not an assertion that current products suffice</x:v>
      </x:c>
      <x:c r="G3" s="70"/>
      <x:c r="H3" s="70"/>
      <x:c r="I3" s="70"/>
      <x:c r="J3" s="70"/>
      <x:c r="K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  <x:c r="K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  <x:c r="K5" s="70"/>
    </x:row>
    <x:row r="6">
      <x:c r="B6" s="29" t="str">
        <x:v>Campaign</x:v>
      </x:c>
      <x:c r="C6" s="30" t="str">
        <x:v>Twenty-five-year $B</x:v>
      </x:c>
      <x:c r="D6" s="30" t="str">
        <x:v>Technical objective</x:v>
      </x:c>
      <x:c r="E6" s="30" t="str">
        <x:v>Representative proof</x:v>
      </x:c>
      <x:c r="F6" s="30" t="str">
        <x:v>Primary facility</x:v>
      </x:c>
      <x:c r="G6" s="30" t="str">
        <x:v>Spillover</x:v>
      </x:c>
      <x:c r="H6" s="30" t="str">
        <x:v>Dependency</x:v>
      </x:c>
      <x:c r="I6" s="30" t="str">
        <x:v>Admission effect</x:v>
      </x:c>
      <x:c r="J6" s="30" t="str">
        <x:v>Owner</x:v>
      </x:c>
      <x:c r="K6" s="30" t="str">
        <x:v>State</x:v>
      </x:c>
    </x:row>
    <x:row r="7">
      <x:c r="B7" s="76" t="str">
        <x:v>variable-footprint mobility and low-pressure contact</x:v>
      </x:c>
      <x:c r="C7" s="100" t="n">
        <x:v>28</x:v>
      </x:c>
      <x:c r="D7" s="76" t="str">
        <x:v>thirty-five-kPa mobility at five-hundred-tonne gross</x:v>
      </x:c>
      <x:c r="E7" s="76" t="str">
        <x:v>instrumented saturated-soil traverse</x:v>
      </x:c>
      <x:c r="F7" s="76" t="str">
        <x:v>terrain proving range</x:v>
      </x:c>
      <x:c r="G7" s="76" t="str">
        <x:v>agriculture and mining</x:v>
      </x:c>
      <x:c r="H7" s="76" t="str">
        <x:v>mobility pods</x:v>
      </x:c>
      <x:c r="I7" s="76" t="str">
        <x:v>ground admission</x:v>
      </x:c>
      <x:c r="J7" s="76" t="str">
        <x:v>Terrain Systems Directorate</x:v>
      </x:c>
      <x:c r="K7" s="77" t="str">
        <x:v>OPEN</x:v>
      </x:c>
    </x:row>
    <x:row r="8">
      <x:c r="B8" s="76" t="str">
        <x:v>high-torque distributed electric traction</x:v>
      </x:c>
      <x:c r="C8" s="100" t="n">
        <x:v>22</x:v>
      </x:c>
      <x:c r="D8" s="76" t="str">
        <x:v>traction reserve on twenty-percent grade</x:v>
      </x:c>
      <x:c r="E8" s="76" t="str">
        <x:v>full-gross grade and brake cycle</x:v>
      </x:c>
      <x:c r="F8" s="76" t="str">
        <x:v>grade proving range</x:v>
      </x:c>
      <x:c r="G8" s="76" t="str">
        <x:v>heavy industry</x:v>
      </x:c>
      <x:c r="H8" s="76" t="str">
        <x:v>energy system</x:v>
      </x:c>
      <x:c r="I8" s="76" t="str">
        <x:v>traction admission</x:v>
      </x:c>
      <x:c r="J8" s="76" t="str">
        <x:v>Energy Systems Directorate</x:v>
      </x:c>
      <x:c r="K8" s="77" t="str">
        <x:v>OPEN</x:v>
      </x:c>
    </x:row>
    <x:row r="9">
      <x:c r="B9" s="76" t="str">
        <x:v>active articulation and load leveling</x:v>
      </x:c>
      <x:c r="C9" s="100" t="n">
        <x:v>18</x:v>
      </x:c>
      <x:c r="D9" s="76" t="str">
        <x:v>twelve-percent side slope without payload shift</x:v>
      </x:c>
      <x:c r="E9" s="76" t="str">
        <x:v>compound cross-slope traverse</x:v>
      </x:c>
      <x:c r="F9" s="76" t="str">
        <x:v>terrain proving range</x:v>
      </x:c>
      <x:c r="G9" s="76" t="str">
        <x:v>construction</x:v>
      </x:c>
      <x:c r="H9" s="76" t="str">
        <x:v>mobility pods</x:v>
      </x:c>
      <x:c r="I9" s="76" t="str">
        <x:v>stability admission</x:v>
      </x:c>
      <x:c r="J9" s="76" t="str">
        <x:v>Terrain Systems Directorate</x:v>
      </x:c>
      <x:c r="K9" s="77" t="str">
        <x:v>OPEN</x:v>
      </x:c>
    </x:row>
    <x:row r="10">
      <x:c r="B10" s="76" t="str">
        <x:v>soft-soil state sensing</x:v>
      </x:c>
      <x:c r="C10" s="100" t="n">
        <x:v>16</x:v>
      </x:c>
      <x:c r="D10" s="76" t="str">
        <x:v>measure bearing and shear ahead of contact</x:v>
      </x:c>
      <x:c r="E10" s="76" t="str">
        <x:v>blind soil classification trial</x:v>
      </x:c>
      <x:c r="F10" s="76" t="str">
        <x:v>soil mechanics range</x:v>
      </x:c>
      <x:c r="G10" s="76" t="str">
        <x:v>agriculture</x:v>
      </x:c>
      <x:c r="H10" s="76" t="str">
        <x:v>route robotics</x:v>
      </x:c>
      <x:c r="I10" s="76" t="str">
        <x:v>release authority</x:v>
      </x:c>
      <x:c r="J10" s="76" t="str">
        <x:v>Terrain Science Directorate</x:v>
      </x:c>
      <x:c r="K10" s="77" t="str">
        <x:v>OPEN</x:v>
      </x:c>
    </x:row>
    <x:row r="11">
      <x:c r="B11" s="76" t="str">
        <x:v>modular bridge and mat deployment</x:v>
      </x:c>
      <x:c r="C11" s="100" t="n">
        <x:v>24</x:v>
      </x:c>
      <x:c r="D11" s="76" t="str">
        <x:v>twenty-five-metre organic span with five-metre loss</x:v>
      </x:c>
      <x:c r="E11" s="76" t="str">
        <x:v>autonomous deploy traverse recover</x:v>
      </x:c>
      <x:c r="F11" s="76" t="str">
        <x:v>route systems range</x:v>
      </x:c>
      <x:c r="G11" s="76" t="str">
        <x:v>civil works</x:v>
      </x:c>
      <x:c r="H11" s="76" t="str">
        <x:v>payload deck</x:v>
      </x:c>
      <x:c r="I11" s="76" t="str">
        <x:v>gap admission</x:v>
      </x:c>
      <x:c r="J11" s="76" t="str">
        <x:v>Route Systems Directorate</x:v>
      </x:c>
      <x:c r="K11" s="77" t="str">
        <x:v>OPEN</x:v>
      </x:c>
    </x:row>
    <x:row r="12">
      <x:c r="B12" s="76" t="str">
        <x:v>route robotics and scout drones</x:v>
      </x:c>
      <x:c r="C12" s="100" t="n">
        <x:v>18</x:v>
      </x:c>
      <x:c r="D12" s="76" t="str">
        <x:v>map bearing obstacles and bypasses under denial</x:v>
      </x:c>
      <x:c r="E12" s="76" t="str">
        <x:v>eight-hundred-kilometre offline route trial</x:v>
      </x:c>
      <x:c r="F12" s="76" t="str">
        <x:v>route systems range</x:v>
      </x:c>
      <x:c r="G12" s="76" t="str">
        <x:v>surveying</x:v>
      </x:c>
      <x:c r="H12" s="76" t="str">
        <x:v>offline autonomy</x:v>
      </x:c>
      <x:c r="I12" s="76" t="str">
        <x:v>clock admission</x:v>
      </x:c>
      <x:c r="J12" s="76" t="str">
        <x:v>Route Systems Directorate</x:v>
      </x:c>
      <x:c r="K12" s="77" t="str">
        <x:v>OPEN</x:v>
      </x:c>
    </x:row>
    <x:row r="13">
      <x:c r="B13" s="76" t="str">
        <x:v>amphibious wading and sealing</x:v>
      </x:c>
      <x:c r="C13" s="100" t="n">
        <x:v>12</x:v>
      </x:c>
      <x:c r="D13" s="76" t="str">
        <x:v>two-and-a-half-metre flooded approach</x:v>
      </x:c>
      <x:c r="E13" s="76" t="str">
        <x:v>salt mud and debris water trial</x:v>
      </x:c>
      <x:c r="F13" s="76" t="str">
        <x:v>flood proving basin</x:v>
      </x:c>
      <x:c r="G13" s="76" t="str">
        <x:v>port operations</x:v>
      </x:c>
      <x:c r="H13" s="76" t="str">
        <x:v>mobility pods</x:v>
      </x:c>
      <x:c r="I13" s="76" t="str">
        <x:v>water admission</x:v>
      </x:c>
      <x:c r="J13" s="76" t="str">
        <x:v>Terrain Systems Directorate</x:v>
      </x:c>
      <x:c r="K13" s="77" t="str">
        <x:v>OPEN</x:v>
      </x:c>
    </x:row>
    <x:row r="14">
      <x:c r="B14" s="76" t="str">
        <x:v>high-specific-energy fuel-electric plant</x:v>
      </x:c>
      <x:c r="C14" s="100" t="n">
        <x:v>20</x:v>
      </x:c>
      <x:c r="D14" s="76" t="str">
        <x:v>six hundred MWh inside sixty-tonne energy allocation</x:v>
      </x:c>
      <x:c r="E14" s="76" t="str">
        <x:v>representative full-route energy trial</x:v>
      </x:c>
      <x:c r="F14" s="76" t="str">
        <x:v>energy proving center</x:v>
      </x:c>
      <x:c r="G14" s="76" t="str">
        <x:v>grid resilience</x:v>
      </x:c>
      <x:c r="H14" s="76" t="str">
        <x:v>thermal system</x:v>
      </x:c>
      <x:c r="I14" s="76" t="str">
        <x:v>energy admission</x:v>
      </x:c>
      <x:c r="J14" s="76" t="str">
        <x:v>Energy Systems Directorate</x:v>
      </x:c>
      <x:c r="K14" s="77" t="str">
        <x:v>OPEN</x:v>
      </x:c>
    </x:row>
    <x:row r="15">
      <x:c r="B15" s="76" t="str">
        <x:v>self-recovery and cooperative tow</x:v>
      </x:c>
      <x:c r="C15" s="100" t="n">
        <x:v>18</x:v>
      </x:c>
      <x:c r="D15" s="76" t="str">
        <x:v>1.4 vehicle-weight pull with damaged pod</x:v>
      </x:c>
      <x:c r="E15" s="76" t="str">
        <x:v>bogging extraction and tow trial</x:v>
      </x:c>
      <x:c r="F15" s="76" t="str">
        <x:v>recovery range</x:v>
      </x:c>
      <x:c r="G15" s="76" t="str">
        <x:v>mining</x:v>
      </x:c>
      <x:c r="H15" s="76" t="str">
        <x:v>structure hardpoints</x:v>
      </x:c>
      <x:c r="I15" s="76" t="str">
        <x:v>recovery admission</x:v>
      </x:c>
      <x:c r="J15" s="76" t="str">
        <x:v>Recovery Systems Directorate</x:v>
      </x:c>
      <x:c r="K15" s="77" t="str">
        <x:v>OPEN</x:v>
      </x:c>
    </x:row>
    <x:row r="16">
      <x:c r="B16" s="76" t="str">
        <x:v>offline convoy autonomy</x:v>
      </x:c>
      <x:c r="C16" s="100" t="n">
        <x:v>12</x:v>
      </x:c>
      <x:c r="D16" s="76" t="str">
        <x:v>four-vehicle coordination without network or GNSS</x:v>
      </x:c>
      <x:c r="E16" s="76" t="str">
        <x:v>smoke and denial convoy trial</x:v>
      </x:c>
      <x:c r="F16" s="76" t="str">
        <x:v>autonomy range</x:v>
      </x:c>
      <x:c r="G16" s="76" t="str">
        <x:v>freight</x:v>
      </x:c>
      <x:c r="H16" s="76" t="str">
        <x:v>route sensing</x:v>
      </x:c>
      <x:c r="I16" s="76" t="str">
        <x:v>control admission</x:v>
      </x:c>
      <x:c r="J16" s="76" t="str">
        <x:v>Autonomy Directorate</x:v>
      </x:c>
      <x:c r="K16" s="77" t="str">
        <x:v>OPEN</x:v>
      </x:c>
    </x:row>
    <x:row r="17">
      <x:c r="B17" s="76" t="str">
        <x:v>payload deck variants and restraint</x:v>
      </x:c>
      <x:c r="C17" s="100" t="n">
        <x:v>14</x:v>
      </x:c>
      <x:c r="D17" s="76" t="str">
        <x:v>one deck supports dry block and wet pack variants</x:v>
      </x:c>
      <x:c r="E17" s="76" t="str">
        <x:v>dynamic restraint and unload trial</x:v>
      </x:c>
      <x:c r="F17" s="76" t="str">
        <x:v>payload integration lab</x:v>
      </x:c>
      <x:c r="G17" s="76" t="str">
        <x:v>modular logistics</x:v>
      </x:c>
      <x:c r="H17" s="76" t="str">
        <x:v>articulation</x:v>
      </x:c>
      <x:c r="I17" s="76" t="str">
        <x:v>payload admission</x:v>
      </x:c>
      <x:c r="J17" s="76" t="str">
        <x:v>Payload Systems Directorate</x:v>
      </x:c>
      <x:c r="K17" s="77" t="str">
        <x:v>OPEN</x:v>
      </x:c>
    </x:row>
    <x:row r="18">
      <x:c r="B18" s="76" t="str">
        <x:v>production and digital certification</x:v>
      </x:c>
      <x:c r="C18" s="100" t="n">
        <x:v>26</x:v>
      </x:c>
      <x:c r="D18" s="76" t="str">
        <x:v>three lines and plural supplier ancestry</x:v>
      </x:c>
      <x:c r="E18" s="76" t="str">
        <x:v>rate sixteen quality escape trial</x:v>
      </x:c>
      <x:c r="F18" s="76" t="str">
        <x:v>industrial pilot lines</x:v>
      </x:c>
      <x:c r="G18" s="76" t="str">
        <x:v>advanced manufacturing</x:v>
      </x:c>
      <x:c r="H18" s="76" t="str">
        <x:v>all campaigns</x:v>
      </x:c>
      <x:c r="I18" s="76" t="str">
        <x:v>production admission</x:v>
      </x:c>
      <x:c r="J18" s="76" t="str">
        <x:v>Industrial Base Directorate</x:v>
      </x:c>
      <x:c r="K18" s="77" t="str">
        <x:v>OPEN</x:v>
      </x:c>
    </x:row>
    <x:row r="19">
      <x:c r="B19" s="78" t="str">
        <x:v>compound terrain-to-service proving</x:v>
      </x:c>
      <x:c r="C19" s="101" t="n">
        <x:v>32</x:v>
      </x:c>
      <x:c r="D19" s="78" t="str">
        <x:v>close 800 km route, unload and reset as one service chain</x:v>
      </x:c>
      <x:c r="E19" s="78" t="str">
        <x:v>representative public-service mission</x:v>
      </x:c>
      <x:c r="F19" s="78" t="str">
        <x:v>four national ranges</x:v>
      </x:c>
      <x:c r="G19" s="78" t="str">
        <x:v>whole force</x:v>
      </x:c>
      <x:c r="H19" s="78" t="str">
        <x:v>all campaigns</x:v>
      </x:c>
      <x:c r="I19" s="78" t="str">
        <x:v>final admission</x:v>
      </x:c>
      <x:c r="J19" s="78" t="str">
        <x:v>Access Test Directorate</x:v>
      </x:c>
      <x:c r="K19" s="79" t="str">
        <x:v>OPEN</x:v>
      </x:c>
    </x:row>
    <x:row r="20">
      <x:c r="B20" s="70"/>
      <x:c r="C20" s="70"/>
      <x:c r="D20" s="70"/>
      <x:c r="E20" s="70"/>
      <x:c r="F20" s="70"/>
      <x:c r="G20" s="70"/>
      <x:c r="H20" s="70"/>
      <x:c r="I20" s="70"/>
      <x:c r="J20" s="70"/>
      <x:c r="K20" s="70"/>
    </x:row>
    <x:row r="21">
      <x:c r="B21" s="70"/>
      <x:c r="C21" s="70"/>
      <x:c r="D21" s="70"/>
      <x:c r="E21" s="70"/>
      <x:c r="F21" s="70"/>
      <x:c r="G21" s="70"/>
      <x:c r="H21" s="70"/>
      <x:c r="I21" s="70"/>
      <x:c r="J21" s="70"/>
      <x:c r="K21" s="70"/>
    </x:row>
    <x:row r="22">
      <x:c r="B22" s="70"/>
      <x:c r="C22" s="70"/>
      <x:c r="D22" s="70"/>
      <x:c r="E22" s="70"/>
      <x:c r="F22" s="70"/>
      <x:c r="G22" s="70"/>
      <x:c r="H22" s="70"/>
      <x:c r="I22" s="70"/>
      <x:c r="J22" s="70"/>
      <x:c r="K22" s="70"/>
    </x:row>
    <x:row r="23">
      <x:c r="B23" s="70"/>
      <x:c r="C23" s="70"/>
      <x:c r="D23" s="70"/>
      <x:c r="E23" s="70"/>
      <x:c r="F23" s="70"/>
      <x:c r="G23" s="70"/>
      <x:c r="H23" s="70"/>
      <x:c r="I23" s="70"/>
      <x:c r="J23" s="70"/>
      <x:c r="K23" s="70"/>
    </x:row>
    <x:row r="24">
      <x:c r="B24" s="70"/>
      <x:c r="C24" s="70"/>
      <x:c r="D24" s="70"/>
      <x:c r="E24" s="70"/>
      <x:c r="F24" s="70"/>
      <x:c r="G24" s="70"/>
      <x:c r="H24" s="70"/>
      <x:c r="I24" s="70"/>
      <x:c r="J24" s="70"/>
      <x:c r="K24" s="70"/>
    </x:row>
    <x:row r="25">
      <x:c r="B25" s="70"/>
      <x:c r="C25" s="70"/>
      <x:c r="D25" s="70"/>
      <x:c r="E25" s="70"/>
      <x:c r="F25" s="70"/>
      <x:c r="G25" s="70"/>
      <x:c r="H25" s="70"/>
      <x:c r="I25" s="70"/>
      <x:c r="J25" s="70"/>
      <x:c r="K25" s="70"/>
    </x:row>
    <x:row r="26">
      <x:c r="B26" s="70"/>
      <x:c r="C26" s="70"/>
      <x:c r="D26" s="70"/>
      <x:c r="E26" s="70"/>
      <x:c r="F26" s="70"/>
      <x:c r="G26" s="70"/>
      <x:c r="H26" s="70"/>
      <x:c r="I26" s="70"/>
      <x:c r="J26" s="70"/>
      <x:c r="K26" s="70"/>
    </x:row>
    <x:row r="27">
      <x:c r="B27" s="70"/>
      <x:c r="C27" s="70"/>
      <x:c r="D27" s="70"/>
      <x:c r="E27" s="70"/>
      <x:c r="F27" s="70"/>
      <x:c r="G27" s="70"/>
      <x:c r="H27" s="70"/>
      <x:c r="I27" s="70"/>
      <x:c r="J27" s="70"/>
      <x:c r="K27" s="70"/>
    </x:row>
    <x:row r="28">
      <x:c r="B28" s="70"/>
      <x:c r="C28" s="70"/>
      <x:c r="D28" s="70"/>
      <x:c r="E28" s="70"/>
      <x:c r="F28" s="70"/>
      <x:c r="G28" s="70"/>
      <x:c r="H28" s="70"/>
      <x:c r="I28" s="70"/>
      <x:c r="J28" s="70"/>
      <x:c r="K28" s="70"/>
    </x:row>
    <x:row r="29">
      <x:c r="B29" s="70"/>
      <x:c r="C29" s="70"/>
      <x:c r="D29" s="70"/>
      <x:c r="E29" s="70"/>
      <x:c r="F29" s="70"/>
      <x:c r="G29" s="70"/>
      <x:c r="H29" s="70"/>
      <x:c r="I29" s="70"/>
      <x:c r="J29" s="70"/>
      <x:c r="K29" s="70"/>
    </x:row>
    <x:row r="30">
      <x:c r="B30" s="70"/>
      <x:c r="C30" s="70"/>
      <x:c r="D30" s="70"/>
      <x:c r="E30" s="70"/>
      <x:c r="F30" s="70"/>
      <x:c r="G30" s="70"/>
      <x:c r="H30" s="70"/>
      <x:c r="I30" s="70"/>
      <x:c r="J30" s="70"/>
      <x:c r="K30" s="70"/>
    </x:row>
  </x:sheetData>
  <x:mergeCells>
    <x:mergeCell ref="B2:F2"/>
    <x:mergeCell ref="B3:F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6" hidden="0" customWidth="1"/>
    <x:col min="4" max="4" width="16" hidden="0" customWidth="1"/>
    <x:col min="5" max="5" width="46" hidden="0" customWidth="1"/>
    <x:col min="6" max="6" width="31" hidden="0" customWidth="1"/>
    <x:col min="7" max="7" width="32" hidden="0" customWidth="1"/>
    <x:col min="8" max="8" width="14" hidden="0" customWidth="1"/>
    <x:col min="9" max="9" width="30" hidden="0" customWidth="1"/>
  </x:cols>
  <x:sheetData>
    <x:row r="2">
      <x:c r="B2" s="69" t="str">
        <x:v>ATUT-170 architecture evidence gates</x:v>
      </x:c>
      <x:c r="C2" s="69" t="str">
        <x:v>ATUT-170 architecture evidence gates</x:v>
      </x:c>
      <x:c r="D2" s="69" t="str">
        <x:v>ATUT-170 architecture evidence gates</x:v>
      </x:c>
      <x:c r="E2" s="69" t="str">
        <x:v>ATUT-170 architecture evidence gates</x:v>
      </x:c>
      <x:c r="F2" s="69" t="str">
        <x:v>ATUT-170 architecture evidence gates</x:v>
      </x:c>
      <x:c r="G2" s="70"/>
      <x:c r="H2" s="70"/>
      <x:c r="I2" s="70"/>
    </x:row>
    <x:row r="3">
      <x:c r="B3" s="71" t="str">
        <x:v>Calculated feasibility selects a research reference; only representative physical evidence can admit a carrier</x:v>
      </x:c>
      <x:c r="C3" s="71" t="str">
        <x:v>Calculated feasibility selects a research reference; only representative physical evidence can admit a carrier</x:v>
      </x:c>
      <x:c r="D3" s="71" t="str">
        <x:v>Calculated feasibility selects a research reference; only representative physical evidence can admit a carrier</x:v>
      </x:c>
      <x:c r="E3" s="71" t="str">
        <x:v>Calculated feasibility selects a research reference; only representative physical evidence can admit a carrier</x:v>
      </x:c>
      <x:c r="F3" s="71" t="str">
        <x:v>Calculated feasibility selects a research reference; only representative physical evidence can admit a carrier</x:v>
      </x:c>
      <x:c r="G3" s="70"/>
      <x:c r="H3" s="70"/>
      <x:c r="I3" s="70"/>
    </x:row>
    <x:row r="4">
      <x:c r="B4" s="72"/>
      <x:c r="C4" s="72"/>
      <x:c r="D4" s="72"/>
      <x:c r="E4" s="72"/>
      <x:c r="F4" s="72"/>
      <x:c r="G4" s="72"/>
      <x:c r="H4" s="72"/>
      <x:c r="I4" s="72"/>
    </x:row>
    <x:row r="5">
      <x:c r="B5" s="70"/>
      <x:c r="C5" s="70"/>
      <x:c r="D5" s="70"/>
      <x:c r="E5" s="70"/>
      <x:c r="F5" s="70"/>
      <x:c r="G5" s="70"/>
      <x:c r="H5" s="70"/>
      <x:c r="I5" s="70"/>
    </x:row>
    <x:row r="6">
      <x:c r="B6" s="29" t="str">
        <x:v>Gate</x:v>
      </x:c>
      <x:c r="C6" s="30" t="str">
        <x:v>Evidence required</x:v>
      </x:c>
      <x:c r="D6" s="30" t="str">
        <x:v>Article</x:v>
      </x:c>
      <x:c r="E6" s="30" t="str">
        <x:v>Failure insertion</x:v>
      </x:c>
      <x:c r="F6" s="30" t="str">
        <x:v>Threshold</x:v>
      </x:c>
      <x:c r="G6" s="30" t="str">
        <x:v>Owner</x:v>
      </x:c>
      <x:c r="H6" s="30" t="str">
        <x:v>State</x:v>
      </x:c>
      <x:c r="I6" s="30" t="str">
        <x:v>Consequence</x:v>
      </x:c>
    </x:row>
    <x:row r="7">
      <x:c r="B7" s="76" t="str">
        <x:v>E001</x:v>
      </x:c>
      <x:c r="C7" s="76" t="str">
        <x:v>T1 mass reserve</x:v>
      </x:c>
      <x:c r="D7" s="76" t="str">
        <x:v>T1</x:v>
      </x:c>
      <x:c r="E7" s="76" t="str">
        <x:v>remove or measure the named article or condition</x:v>
      </x:c>
      <x:c r="F7" s="76" t="str">
        <x:v>representative measured pass</x:v>
      </x:c>
      <x:c r="G7" s="76" t="str">
        <x:v>Access Test Directorate</x:v>
      </x:c>
      <x:c r="H7" s="76" t="str">
        <x:v>OPEN</x:v>
      </x:c>
      <x:c r="I7" s="77" t="str">
        <x:v>no current or strict credit</x:v>
      </x:c>
    </x:row>
    <x:row r="8">
      <x:c r="B8" s="76" t="str">
        <x:v>E002</x:v>
      </x:c>
      <x:c r="C8" s="76" t="str">
        <x:v>T1 cube and deck</x:v>
      </x:c>
      <x:c r="D8" s="76" t="str">
        <x:v>T1</x:v>
      </x:c>
      <x:c r="E8" s="76" t="str">
        <x:v>remove or measure the named article or condition</x:v>
      </x:c>
      <x:c r="F8" s="76" t="str">
        <x:v>representative measured pass</x:v>
      </x:c>
      <x:c r="G8" s="76" t="str">
        <x:v>Fourth Access Systems Command</x:v>
      </x:c>
      <x:c r="H8" s="76" t="str">
        <x:v>OPEN</x:v>
      </x:c>
      <x:c r="I8" s="77" t="str">
        <x:v>no current or strict credit</x:v>
      </x:c>
    </x:row>
    <x:row r="9">
      <x:c r="B9" s="76" t="str">
        <x:v>E003</x:v>
      </x:c>
      <x:c r="C9" s="76" t="str">
        <x:v>T1 ground pressure</x:v>
      </x:c>
      <x:c r="D9" s="76" t="str">
        <x:v>T1</x:v>
      </x:c>
      <x:c r="E9" s="76" t="str">
        <x:v>remove or measure the named article or condition</x:v>
      </x:c>
      <x:c r="F9" s="76" t="str">
        <x:v>representative measured pass</x:v>
      </x:c>
      <x:c r="G9" s="76" t="str">
        <x:v>Access Test Directorate</x:v>
      </x:c>
      <x:c r="H9" s="76" t="str">
        <x:v>OPEN</x:v>
      </x:c>
      <x:c r="I9" s="77" t="str">
        <x:v>no current or strict credit</x:v>
      </x:c>
    </x:row>
    <x:row r="10">
      <x:c r="B10" s="76" t="str">
        <x:v>E004</x:v>
      </x:c>
      <x:c r="C10" s="76" t="str">
        <x:v>T1 tractive reserve</x:v>
      </x:c>
      <x:c r="D10" s="76" t="str">
        <x:v>T1</x:v>
      </x:c>
      <x:c r="E10" s="76" t="str">
        <x:v>remove or measure the named article or condition</x:v>
      </x:c>
      <x:c r="F10" s="76" t="str">
        <x:v>representative measured pass</x:v>
      </x:c>
      <x:c r="G10" s="76" t="str">
        <x:v>Fourth Access Systems Command</x:v>
      </x:c>
      <x:c r="H10" s="76" t="str">
        <x:v>OPEN</x:v>
      </x:c>
      <x:c r="I10" s="77" t="str">
        <x:v>no current or strict credit</x:v>
      </x:c>
    </x:row>
    <x:row r="11">
      <x:c r="B11" s="76" t="str">
        <x:v>E005</x:v>
      </x:c>
      <x:c r="C11" s="76" t="str">
        <x:v>T1 800 km clock</x:v>
      </x:c>
      <x:c r="D11" s="76" t="str">
        <x:v>T1</x:v>
      </x:c>
      <x:c r="E11" s="76" t="str">
        <x:v>remove or measure the named article or condition</x:v>
      </x:c>
      <x:c r="F11" s="76" t="str">
        <x:v>representative measured pass</x:v>
      </x:c>
      <x:c r="G11" s="76" t="str">
        <x:v>Access Test Directorate</x:v>
      </x:c>
      <x:c r="H11" s="76" t="str">
        <x:v>OPEN</x:v>
      </x:c>
      <x:c r="I11" s="77" t="str">
        <x:v>no current or strict credit</x:v>
      </x:c>
    </x:row>
    <x:row r="12">
      <x:c r="B12" s="76" t="str">
        <x:v>E006</x:v>
      </x:c>
      <x:c r="C12" s="76" t="str">
        <x:v>T1 twenty-percent grade</x:v>
      </x:c>
      <x:c r="D12" s="76" t="str">
        <x:v>T1</x:v>
      </x:c>
      <x:c r="E12" s="76" t="str">
        <x:v>remove or measure the named article or condition</x:v>
      </x:c>
      <x:c r="F12" s="76" t="str">
        <x:v>representative measured pass</x:v>
      </x:c>
      <x:c r="G12" s="76" t="str">
        <x:v>Fourth Access Systems Command</x:v>
      </x:c>
      <x:c r="H12" s="76" t="str">
        <x:v>OPEN</x:v>
      </x:c>
      <x:c r="I12" s="77" t="str">
        <x:v>no current or strict credit</x:v>
      </x:c>
    </x:row>
    <x:row r="13">
      <x:c r="B13" s="76" t="str">
        <x:v>E007</x:v>
      </x:c>
      <x:c r="C13" s="76" t="str">
        <x:v>T1 twelve-percent side slope</x:v>
      </x:c>
      <x:c r="D13" s="76" t="str">
        <x:v>T1</x:v>
      </x:c>
      <x:c r="E13" s="76" t="str">
        <x:v>remove or measure the named article or condition</x:v>
      </x:c>
      <x:c r="F13" s="76" t="str">
        <x:v>representative measured pass</x:v>
      </x:c>
      <x:c r="G13" s="76" t="str">
        <x:v>Access Test Directorate</x:v>
      </x:c>
      <x:c r="H13" s="76" t="str">
        <x:v>OPEN</x:v>
      </x:c>
      <x:c r="I13" s="77" t="str">
        <x:v>no current or strict credit</x:v>
      </x:c>
    </x:row>
    <x:row r="14">
      <x:c r="B14" s="76" t="str">
        <x:v>E008</x:v>
      </x:c>
      <x:c r="C14" s="76" t="str">
        <x:v>T1 1.5 m step</x:v>
      </x:c>
      <x:c r="D14" s="76" t="str">
        <x:v>T1</x:v>
      </x:c>
      <x:c r="E14" s="76" t="str">
        <x:v>remove or measure the named article or condition</x:v>
      </x:c>
      <x:c r="F14" s="76" t="str">
        <x:v>representative measured pass</x:v>
      </x:c>
      <x:c r="G14" s="76" t="str">
        <x:v>Fourth Access Systems Command</x:v>
      </x:c>
      <x:c r="H14" s="76" t="str">
        <x:v>OPEN</x:v>
      </x:c>
      <x:c r="I14" s="77" t="str">
        <x:v>no current or strict credit</x:v>
      </x:c>
    </x:row>
    <x:row r="15">
      <x:c r="B15" s="76" t="str">
        <x:v>E009</x:v>
      </x:c>
      <x:c r="C15" s="76" t="str">
        <x:v>T1 twenty-metre gap</x:v>
      </x:c>
      <x:c r="D15" s="76" t="str">
        <x:v>T1</x:v>
      </x:c>
      <x:c r="E15" s="76" t="str">
        <x:v>remove or measure the named article or condition</x:v>
      </x:c>
      <x:c r="F15" s="76" t="str">
        <x:v>representative measured pass</x:v>
      </x:c>
      <x:c r="G15" s="76" t="str">
        <x:v>Access Test Directorate</x:v>
      </x:c>
      <x:c r="H15" s="76" t="str">
        <x:v>OPEN</x:v>
      </x:c>
      <x:c r="I15" s="77" t="str">
        <x:v>no current or strict credit</x:v>
      </x:c>
    </x:row>
    <x:row r="16">
      <x:c r="B16" s="76" t="str">
        <x:v>E010</x:v>
      </x:c>
      <x:c r="C16" s="76" t="str">
        <x:v>T1 two-metre water</x:v>
      </x:c>
      <x:c r="D16" s="76" t="str">
        <x:v>T1</x:v>
      </x:c>
      <x:c r="E16" s="76" t="str">
        <x:v>remove or measure the named article or condition</x:v>
      </x:c>
      <x:c r="F16" s="76" t="str">
        <x:v>representative measured pass</x:v>
      </x:c>
      <x:c r="G16" s="76" t="str">
        <x:v>Fourth Access Systems Command</x:v>
      </x:c>
      <x:c r="H16" s="76" t="str">
        <x:v>OPEN</x:v>
      </x:c>
      <x:c r="I16" s="77" t="str">
        <x:v>no current or strict credit</x:v>
      </x:c>
    </x:row>
    <x:row r="17">
      <x:c r="B17" s="76" t="str">
        <x:v>E011</x:v>
      </x:c>
      <x:c r="C17" s="76" t="str">
        <x:v>T1 twenty-five-metre turn</x:v>
      </x:c>
      <x:c r="D17" s="76" t="str">
        <x:v>T1</x:v>
      </x:c>
      <x:c r="E17" s="76" t="str">
        <x:v>remove or measure the named article or condition</x:v>
      </x:c>
      <x:c r="F17" s="76" t="str">
        <x:v>representative measured pass</x:v>
      </x:c>
      <x:c r="G17" s="76" t="str">
        <x:v>Access Test Directorate</x:v>
      </x:c>
      <x:c r="H17" s="76" t="str">
        <x:v>OPEN</x:v>
      </x:c>
      <x:c r="I17" s="77" t="str">
        <x:v>no current or strict credit</x:v>
      </x:c>
    </x:row>
    <x:row r="18">
      <x:c r="B18" s="76" t="str">
        <x:v>E012</x:v>
      </x:c>
      <x:c r="C18" s="76" t="str">
        <x:v>T1 self-recovery</x:v>
      </x:c>
      <x:c r="D18" s="76" t="str">
        <x:v>T1</x:v>
      </x:c>
      <x:c r="E18" s="76" t="str">
        <x:v>remove or measure the named article or condition</x:v>
      </x:c>
      <x:c r="F18" s="76" t="str">
        <x:v>representative measured pass</x:v>
      </x:c>
      <x:c r="G18" s="76" t="str">
        <x:v>Fourth Access Systems Command</x:v>
      </x:c>
      <x:c r="H18" s="76" t="str">
        <x:v>OPEN</x:v>
      </x:c>
      <x:c r="I18" s="77" t="str">
        <x:v>no current or strict credit</x:v>
      </x:c>
    </x:row>
    <x:row r="19">
      <x:c r="B19" s="76" t="str">
        <x:v>E013</x:v>
      </x:c>
      <x:c r="C19" s="76" t="str">
        <x:v>T2 mass reserve</x:v>
      </x:c>
      <x:c r="D19" s="76" t="str">
        <x:v>T2</x:v>
      </x:c>
      <x:c r="E19" s="76" t="str">
        <x:v>remove or measure the named article or condition</x:v>
      </x:c>
      <x:c r="F19" s="76" t="str">
        <x:v>representative measured pass</x:v>
      </x:c>
      <x:c r="G19" s="76" t="str">
        <x:v>Access Test Directorate</x:v>
      </x:c>
      <x:c r="H19" s="76" t="str">
        <x:v>OPEN</x:v>
      </x:c>
      <x:c r="I19" s="77" t="str">
        <x:v>no current or strict credit</x:v>
      </x:c>
    </x:row>
    <x:row r="20">
      <x:c r="B20" s="76" t="str">
        <x:v>E014</x:v>
      </x:c>
      <x:c r="C20" s="76" t="str">
        <x:v>T2 cube and deck</x:v>
      </x:c>
      <x:c r="D20" s="76" t="str">
        <x:v>T2</x:v>
      </x:c>
      <x:c r="E20" s="76" t="str">
        <x:v>remove or measure the named article or condition</x:v>
      </x:c>
      <x:c r="F20" s="76" t="str">
        <x:v>representative measured pass</x:v>
      </x:c>
      <x:c r="G20" s="76" t="str">
        <x:v>Fourth Access Systems Command</x:v>
      </x:c>
      <x:c r="H20" s="76" t="str">
        <x:v>OPEN</x:v>
      </x:c>
      <x:c r="I20" s="77" t="str">
        <x:v>no current or strict credit</x:v>
      </x:c>
    </x:row>
    <x:row r="21">
      <x:c r="B21" s="76" t="str">
        <x:v>E015</x:v>
      </x:c>
      <x:c r="C21" s="76" t="str">
        <x:v>T2 ground pressure</x:v>
      </x:c>
      <x:c r="D21" s="76" t="str">
        <x:v>T2</x:v>
      </x:c>
      <x:c r="E21" s="76" t="str">
        <x:v>remove or measure the named article or condition</x:v>
      </x:c>
      <x:c r="F21" s="76" t="str">
        <x:v>representative measured pass</x:v>
      </x:c>
      <x:c r="G21" s="76" t="str">
        <x:v>Access Test Directorate</x:v>
      </x:c>
      <x:c r="H21" s="76" t="str">
        <x:v>OPEN</x:v>
      </x:c>
      <x:c r="I21" s="77" t="str">
        <x:v>no current or strict credit</x:v>
      </x:c>
    </x:row>
    <x:row r="22">
      <x:c r="B22" s="76" t="str">
        <x:v>E016</x:v>
      </x:c>
      <x:c r="C22" s="76" t="str">
        <x:v>T2 tractive reserve</x:v>
      </x:c>
      <x:c r="D22" s="76" t="str">
        <x:v>T2</x:v>
      </x:c>
      <x:c r="E22" s="76" t="str">
        <x:v>remove or measure the named article or condition</x:v>
      </x:c>
      <x:c r="F22" s="76" t="str">
        <x:v>representative measured pass</x:v>
      </x:c>
      <x:c r="G22" s="76" t="str">
        <x:v>Fourth Access Systems Command</x:v>
      </x:c>
      <x:c r="H22" s="76" t="str">
        <x:v>OPEN</x:v>
      </x:c>
      <x:c r="I22" s="77" t="str">
        <x:v>no current or strict credit</x:v>
      </x:c>
    </x:row>
    <x:row r="23">
      <x:c r="B23" s="76" t="str">
        <x:v>E017</x:v>
      </x:c>
      <x:c r="C23" s="76" t="str">
        <x:v>T2 800 km clock</x:v>
      </x:c>
      <x:c r="D23" s="76" t="str">
        <x:v>T2</x:v>
      </x:c>
      <x:c r="E23" s="76" t="str">
        <x:v>remove or measure the named article or condition</x:v>
      </x:c>
      <x:c r="F23" s="76" t="str">
        <x:v>representative measured pass</x:v>
      </x:c>
      <x:c r="G23" s="76" t="str">
        <x:v>Access Test Directorate</x:v>
      </x:c>
      <x:c r="H23" s="76" t="str">
        <x:v>OPEN</x:v>
      </x:c>
      <x:c r="I23" s="77" t="str">
        <x:v>no current or strict credit</x:v>
      </x:c>
    </x:row>
    <x:row r="24">
      <x:c r="B24" s="76" t="str">
        <x:v>E018</x:v>
      </x:c>
      <x:c r="C24" s="76" t="str">
        <x:v>T2 twenty-percent grade</x:v>
      </x:c>
      <x:c r="D24" s="76" t="str">
        <x:v>T2</x:v>
      </x:c>
      <x:c r="E24" s="76" t="str">
        <x:v>remove or measure the named article or condition</x:v>
      </x:c>
      <x:c r="F24" s="76" t="str">
        <x:v>representative measured pass</x:v>
      </x:c>
      <x:c r="G24" s="76" t="str">
        <x:v>Fourth Access Systems Command</x:v>
      </x:c>
      <x:c r="H24" s="76" t="str">
        <x:v>OPEN</x:v>
      </x:c>
      <x:c r="I24" s="77" t="str">
        <x:v>no current or strict credit</x:v>
      </x:c>
    </x:row>
    <x:row r="25">
      <x:c r="B25" s="76" t="str">
        <x:v>E019</x:v>
      </x:c>
      <x:c r="C25" s="76" t="str">
        <x:v>T2 twelve-percent side slope</x:v>
      </x:c>
      <x:c r="D25" s="76" t="str">
        <x:v>T2</x:v>
      </x:c>
      <x:c r="E25" s="76" t="str">
        <x:v>remove or measure the named article or condition</x:v>
      </x:c>
      <x:c r="F25" s="76" t="str">
        <x:v>representative measured pass</x:v>
      </x:c>
      <x:c r="G25" s="76" t="str">
        <x:v>Access Test Directorate</x:v>
      </x:c>
      <x:c r="H25" s="76" t="str">
        <x:v>OPEN</x:v>
      </x:c>
      <x:c r="I25" s="77" t="str">
        <x:v>no current or strict credit</x:v>
      </x:c>
    </x:row>
    <x:row r="26">
      <x:c r="B26" s="76" t="str">
        <x:v>E020</x:v>
      </x:c>
      <x:c r="C26" s="76" t="str">
        <x:v>T2 1.5 m step</x:v>
      </x:c>
      <x:c r="D26" s="76" t="str">
        <x:v>T2</x:v>
      </x:c>
      <x:c r="E26" s="76" t="str">
        <x:v>remove or measure the named article or condition</x:v>
      </x:c>
      <x:c r="F26" s="76" t="str">
        <x:v>representative measured pass</x:v>
      </x:c>
      <x:c r="G26" s="76" t="str">
        <x:v>Fourth Access Systems Command</x:v>
      </x:c>
      <x:c r="H26" s="76" t="str">
        <x:v>OPEN</x:v>
      </x:c>
      <x:c r="I26" s="77" t="str">
        <x:v>no current or strict credit</x:v>
      </x:c>
    </x:row>
    <x:row r="27">
      <x:c r="B27" s="76" t="str">
        <x:v>E021</x:v>
      </x:c>
      <x:c r="C27" s="76" t="str">
        <x:v>T2 twenty-metre gap</x:v>
      </x:c>
      <x:c r="D27" s="76" t="str">
        <x:v>T2</x:v>
      </x:c>
      <x:c r="E27" s="76" t="str">
        <x:v>remove or measure the named article or condition</x:v>
      </x:c>
      <x:c r="F27" s="76" t="str">
        <x:v>representative measured pass</x:v>
      </x:c>
      <x:c r="G27" s="76" t="str">
        <x:v>Access Test Directorate</x:v>
      </x:c>
      <x:c r="H27" s="76" t="str">
        <x:v>OPEN</x:v>
      </x:c>
      <x:c r="I27" s="77" t="str">
        <x:v>no current or strict credit</x:v>
      </x:c>
    </x:row>
    <x:row r="28">
      <x:c r="B28" s="76" t="str">
        <x:v>E022</x:v>
      </x:c>
      <x:c r="C28" s="76" t="str">
        <x:v>T2 two-metre water</x:v>
      </x:c>
      <x:c r="D28" s="76" t="str">
        <x:v>T2</x:v>
      </x:c>
      <x:c r="E28" s="76" t="str">
        <x:v>remove or measure the named article or condition</x:v>
      </x:c>
      <x:c r="F28" s="76" t="str">
        <x:v>representative measured pass</x:v>
      </x:c>
      <x:c r="G28" s="76" t="str">
        <x:v>Fourth Access Systems Command</x:v>
      </x:c>
      <x:c r="H28" s="76" t="str">
        <x:v>OPEN</x:v>
      </x:c>
      <x:c r="I28" s="77" t="str">
        <x:v>no current or strict credit</x:v>
      </x:c>
    </x:row>
    <x:row r="29">
      <x:c r="B29" s="76" t="str">
        <x:v>E023</x:v>
      </x:c>
      <x:c r="C29" s="76" t="str">
        <x:v>T2 twenty-five-metre turn</x:v>
      </x:c>
      <x:c r="D29" s="76" t="str">
        <x:v>T2</x:v>
      </x:c>
      <x:c r="E29" s="76" t="str">
        <x:v>remove or measure the named article or condition</x:v>
      </x:c>
      <x:c r="F29" s="76" t="str">
        <x:v>representative measured pass</x:v>
      </x:c>
      <x:c r="G29" s="76" t="str">
        <x:v>Access Test Directorate</x:v>
      </x:c>
      <x:c r="H29" s="76" t="str">
        <x:v>OPEN</x:v>
      </x:c>
      <x:c r="I29" s="77" t="str">
        <x:v>no current or strict credit</x:v>
      </x:c>
    </x:row>
    <x:row r="30">
      <x:c r="B30" s="76" t="str">
        <x:v>E024</x:v>
      </x:c>
      <x:c r="C30" s="76" t="str">
        <x:v>T2 self-recovery</x:v>
      </x:c>
      <x:c r="D30" s="76" t="str">
        <x:v>T2</x:v>
      </x:c>
      <x:c r="E30" s="76" t="str">
        <x:v>remove or measure the named article or condition</x:v>
      </x:c>
      <x:c r="F30" s="76" t="str">
        <x:v>representative measured pass</x:v>
      </x:c>
      <x:c r="G30" s="76" t="str">
        <x:v>Fourth Access Systems Command</x:v>
      </x:c>
      <x:c r="H30" s="76" t="str">
        <x:v>OPEN</x:v>
      </x:c>
      <x:c r="I30" s="77" t="str">
        <x:v>no current or strict credit</x:v>
      </x:c>
    </x:row>
    <x:row r="31">
      <x:c r="B31" s="76" t="str">
        <x:v>E025</x:v>
      </x:c>
      <x:c r="C31" s="76" t="str">
        <x:v>T3 mass reserve</x:v>
      </x:c>
      <x:c r="D31" s="76" t="str">
        <x:v>T3</x:v>
      </x:c>
      <x:c r="E31" s="76" t="str">
        <x:v>remove or measure the named article or condition</x:v>
      </x:c>
      <x:c r="F31" s="76" t="str">
        <x:v>representative measured pass</x:v>
      </x:c>
      <x:c r="G31" s="76" t="str">
        <x:v>Access Test Directorate</x:v>
      </x:c>
      <x:c r="H31" s="76" t="str">
        <x:v>OPEN</x:v>
      </x:c>
      <x:c r="I31" s="77" t="str">
        <x:v>no current or strict credit</x:v>
      </x:c>
    </x:row>
    <x:row r="32">
      <x:c r="B32" s="76" t="str">
        <x:v>E026</x:v>
      </x:c>
      <x:c r="C32" s="76" t="str">
        <x:v>T3 cube and deck</x:v>
      </x:c>
      <x:c r="D32" s="76" t="str">
        <x:v>T3</x:v>
      </x:c>
      <x:c r="E32" s="76" t="str">
        <x:v>remove or measure the named article or condition</x:v>
      </x:c>
      <x:c r="F32" s="76" t="str">
        <x:v>representative measured pass</x:v>
      </x:c>
      <x:c r="G32" s="76" t="str">
        <x:v>Fourth Access Systems Command</x:v>
      </x:c>
      <x:c r="H32" s="76" t="str">
        <x:v>OPEN</x:v>
      </x:c>
      <x:c r="I32" s="77" t="str">
        <x:v>no current or strict credit</x:v>
      </x:c>
    </x:row>
    <x:row r="33">
      <x:c r="B33" s="76" t="str">
        <x:v>E027</x:v>
      </x:c>
      <x:c r="C33" s="76" t="str">
        <x:v>T3 ground pressure</x:v>
      </x:c>
      <x:c r="D33" s="76" t="str">
        <x:v>T3</x:v>
      </x:c>
      <x:c r="E33" s="76" t="str">
        <x:v>remove or measure the named article or condition</x:v>
      </x:c>
      <x:c r="F33" s="76" t="str">
        <x:v>representative measured pass</x:v>
      </x:c>
      <x:c r="G33" s="76" t="str">
        <x:v>Access Test Directorate</x:v>
      </x:c>
      <x:c r="H33" s="76" t="str">
        <x:v>OPEN</x:v>
      </x:c>
      <x:c r="I33" s="77" t="str">
        <x:v>no current or strict credit</x:v>
      </x:c>
    </x:row>
    <x:row r="34">
      <x:c r="B34" s="76" t="str">
        <x:v>E028</x:v>
      </x:c>
      <x:c r="C34" s="76" t="str">
        <x:v>T3 tractive reserve</x:v>
      </x:c>
      <x:c r="D34" s="76" t="str">
        <x:v>T3</x:v>
      </x:c>
      <x:c r="E34" s="76" t="str">
        <x:v>remove or measure the named article or condition</x:v>
      </x:c>
      <x:c r="F34" s="76" t="str">
        <x:v>representative measured pass</x:v>
      </x:c>
      <x:c r="G34" s="76" t="str">
        <x:v>Fourth Access Systems Command</x:v>
      </x:c>
      <x:c r="H34" s="76" t="str">
        <x:v>OPEN</x:v>
      </x:c>
      <x:c r="I34" s="77" t="str">
        <x:v>no current or strict credit</x:v>
      </x:c>
    </x:row>
    <x:row r="35">
      <x:c r="B35" s="76" t="str">
        <x:v>E029</x:v>
      </x:c>
      <x:c r="C35" s="76" t="str">
        <x:v>T3 800 km clock</x:v>
      </x:c>
      <x:c r="D35" s="76" t="str">
        <x:v>T3</x:v>
      </x:c>
      <x:c r="E35" s="76" t="str">
        <x:v>remove or measure the named article or condition</x:v>
      </x:c>
      <x:c r="F35" s="76" t="str">
        <x:v>representative measured pass</x:v>
      </x:c>
      <x:c r="G35" s="76" t="str">
        <x:v>Access Test Directorate</x:v>
      </x:c>
      <x:c r="H35" s="76" t="str">
        <x:v>OPEN</x:v>
      </x:c>
      <x:c r="I35" s="77" t="str">
        <x:v>no current or strict credit</x:v>
      </x:c>
    </x:row>
    <x:row r="36">
      <x:c r="B36" s="76" t="str">
        <x:v>E030</x:v>
      </x:c>
      <x:c r="C36" s="76" t="str">
        <x:v>T3 twenty-percent grade</x:v>
      </x:c>
      <x:c r="D36" s="76" t="str">
        <x:v>T3</x:v>
      </x:c>
      <x:c r="E36" s="76" t="str">
        <x:v>remove or measure the named article or condition</x:v>
      </x:c>
      <x:c r="F36" s="76" t="str">
        <x:v>representative measured pass</x:v>
      </x:c>
      <x:c r="G36" s="76" t="str">
        <x:v>Fourth Access Systems Command</x:v>
      </x:c>
      <x:c r="H36" s="76" t="str">
        <x:v>OPEN</x:v>
      </x:c>
      <x:c r="I36" s="77" t="str">
        <x:v>no current or strict credit</x:v>
      </x:c>
    </x:row>
    <x:row r="37">
      <x:c r="B37" s="76" t="str">
        <x:v>E031</x:v>
      </x:c>
      <x:c r="C37" s="76" t="str">
        <x:v>T3 twelve-percent side slope</x:v>
      </x:c>
      <x:c r="D37" s="76" t="str">
        <x:v>T3</x:v>
      </x:c>
      <x:c r="E37" s="76" t="str">
        <x:v>remove or measure the named article or condition</x:v>
      </x:c>
      <x:c r="F37" s="76" t="str">
        <x:v>representative measured pass</x:v>
      </x:c>
      <x:c r="G37" s="76" t="str">
        <x:v>Access Test Directorate</x:v>
      </x:c>
      <x:c r="H37" s="76" t="str">
        <x:v>OPEN</x:v>
      </x:c>
      <x:c r="I37" s="77" t="str">
        <x:v>no current or strict credit</x:v>
      </x:c>
    </x:row>
    <x:row r="38">
      <x:c r="B38" s="76" t="str">
        <x:v>E032</x:v>
      </x:c>
      <x:c r="C38" s="76" t="str">
        <x:v>T3 1.5 m step</x:v>
      </x:c>
      <x:c r="D38" s="76" t="str">
        <x:v>T3</x:v>
      </x:c>
      <x:c r="E38" s="76" t="str">
        <x:v>remove or measure the named article or condition</x:v>
      </x:c>
      <x:c r="F38" s="76" t="str">
        <x:v>representative measured pass</x:v>
      </x:c>
      <x:c r="G38" s="76" t="str">
        <x:v>Fourth Access Systems Command</x:v>
      </x:c>
      <x:c r="H38" s="76" t="str">
        <x:v>OPEN</x:v>
      </x:c>
      <x:c r="I38" s="77" t="str">
        <x:v>no current or strict credit</x:v>
      </x:c>
    </x:row>
    <x:row r="39">
      <x:c r="B39" s="76" t="str">
        <x:v>E033</x:v>
      </x:c>
      <x:c r="C39" s="76" t="str">
        <x:v>T3 twenty-metre gap</x:v>
      </x:c>
      <x:c r="D39" s="76" t="str">
        <x:v>T3</x:v>
      </x:c>
      <x:c r="E39" s="76" t="str">
        <x:v>remove or measure the named article or condition</x:v>
      </x:c>
      <x:c r="F39" s="76" t="str">
        <x:v>representative measured pass</x:v>
      </x:c>
      <x:c r="G39" s="76" t="str">
        <x:v>Access Test Directorate</x:v>
      </x:c>
      <x:c r="H39" s="76" t="str">
        <x:v>OPEN</x:v>
      </x:c>
      <x:c r="I39" s="77" t="str">
        <x:v>no current or strict credit</x:v>
      </x:c>
    </x:row>
    <x:row r="40">
      <x:c r="B40" s="76" t="str">
        <x:v>E034</x:v>
      </x:c>
      <x:c r="C40" s="76" t="str">
        <x:v>T3 two-metre water</x:v>
      </x:c>
      <x:c r="D40" s="76" t="str">
        <x:v>T3</x:v>
      </x:c>
      <x:c r="E40" s="76" t="str">
        <x:v>remove or measure the named article or condition</x:v>
      </x:c>
      <x:c r="F40" s="76" t="str">
        <x:v>representative measured pass</x:v>
      </x:c>
      <x:c r="G40" s="76" t="str">
        <x:v>Fourth Access Systems Command</x:v>
      </x:c>
      <x:c r="H40" s="76" t="str">
        <x:v>OPEN</x:v>
      </x:c>
      <x:c r="I40" s="77" t="str">
        <x:v>no current or strict credit</x:v>
      </x:c>
    </x:row>
    <x:row r="41">
      <x:c r="B41" s="76" t="str">
        <x:v>E035</x:v>
      </x:c>
      <x:c r="C41" s="76" t="str">
        <x:v>T3 twenty-five-metre turn</x:v>
      </x:c>
      <x:c r="D41" s="76" t="str">
        <x:v>T3</x:v>
      </x:c>
      <x:c r="E41" s="76" t="str">
        <x:v>remove or measure the named article or condition</x:v>
      </x:c>
      <x:c r="F41" s="76" t="str">
        <x:v>representative measured pass</x:v>
      </x:c>
      <x:c r="G41" s="76" t="str">
        <x:v>Access Test Directorate</x:v>
      </x:c>
      <x:c r="H41" s="76" t="str">
        <x:v>OPEN</x:v>
      </x:c>
      <x:c r="I41" s="77" t="str">
        <x:v>no current or strict credit</x:v>
      </x:c>
    </x:row>
    <x:row r="42">
      <x:c r="B42" s="76" t="str">
        <x:v>E036</x:v>
      </x:c>
      <x:c r="C42" s="76" t="str">
        <x:v>T3 self-recovery</x:v>
      </x:c>
      <x:c r="D42" s="76" t="str">
        <x:v>T3</x:v>
      </x:c>
      <x:c r="E42" s="76" t="str">
        <x:v>remove or measure the named article or condition</x:v>
      </x:c>
      <x:c r="F42" s="76" t="str">
        <x:v>representative measured pass</x:v>
      </x:c>
      <x:c r="G42" s="76" t="str">
        <x:v>Fourth Access Systems Command</x:v>
      </x:c>
      <x:c r="H42" s="76" t="str">
        <x:v>OPEN</x:v>
      </x:c>
      <x:c r="I42" s="77" t="str">
        <x:v>no current or strict credit</x:v>
      </x:c>
    </x:row>
    <x:row r="43">
      <x:c r="B43" s="76" t="str">
        <x:v>E037</x:v>
      </x:c>
      <x:c r="C43" s="76" t="str">
        <x:v>T4 mass reserve</x:v>
      </x:c>
      <x:c r="D43" s="76" t="str">
        <x:v>T4</x:v>
      </x:c>
      <x:c r="E43" s="76" t="str">
        <x:v>remove or measure the named article or condition</x:v>
      </x:c>
      <x:c r="F43" s="76" t="str">
        <x:v>representative measured pass</x:v>
      </x:c>
      <x:c r="G43" s="76" t="str">
        <x:v>Access Test Directorate</x:v>
      </x:c>
      <x:c r="H43" s="76" t="str">
        <x:v>OPEN</x:v>
      </x:c>
      <x:c r="I43" s="77" t="str">
        <x:v>no current or strict credit</x:v>
      </x:c>
    </x:row>
    <x:row r="44">
      <x:c r="B44" s="76" t="str">
        <x:v>E038</x:v>
      </x:c>
      <x:c r="C44" s="76" t="str">
        <x:v>T4 cube and deck</x:v>
      </x:c>
      <x:c r="D44" s="76" t="str">
        <x:v>T4</x:v>
      </x:c>
      <x:c r="E44" s="76" t="str">
        <x:v>remove or measure the named article or condition</x:v>
      </x:c>
      <x:c r="F44" s="76" t="str">
        <x:v>representative measured pass</x:v>
      </x:c>
      <x:c r="G44" s="76" t="str">
        <x:v>Fourth Access Systems Command</x:v>
      </x:c>
      <x:c r="H44" s="76" t="str">
        <x:v>OPEN</x:v>
      </x:c>
      <x:c r="I44" s="77" t="str">
        <x:v>no current or strict credit</x:v>
      </x:c>
    </x:row>
    <x:row r="45">
      <x:c r="B45" s="76" t="str">
        <x:v>E039</x:v>
      </x:c>
      <x:c r="C45" s="76" t="str">
        <x:v>T4 ground pressure</x:v>
      </x:c>
      <x:c r="D45" s="76" t="str">
        <x:v>T4</x:v>
      </x:c>
      <x:c r="E45" s="76" t="str">
        <x:v>remove or measure the named article or condition</x:v>
      </x:c>
      <x:c r="F45" s="76" t="str">
        <x:v>representative measured pass</x:v>
      </x:c>
      <x:c r="G45" s="76" t="str">
        <x:v>Access Test Directorate</x:v>
      </x:c>
      <x:c r="H45" s="76" t="str">
        <x:v>OPEN</x:v>
      </x:c>
      <x:c r="I45" s="77" t="str">
        <x:v>no current or strict credit</x:v>
      </x:c>
    </x:row>
    <x:row r="46">
      <x:c r="B46" s="76" t="str">
        <x:v>E040</x:v>
      </x:c>
      <x:c r="C46" s="76" t="str">
        <x:v>T4 tractive reserve</x:v>
      </x:c>
      <x:c r="D46" s="76" t="str">
        <x:v>T4</x:v>
      </x:c>
      <x:c r="E46" s="76" t="str">
        <x:v>remove or measure the named article or condition</x:v>
      </x:c>
      <x:c r="F46" s="76" t="str">
        <x:v>representative measured pass</x:v>
      </x:c>
      <x:c r="G46" s="76" t="str">
        <x:v>Fourth Access Systems Command</x:v>
      </x:c>
      <x:c r="H46" s="76" t="str">
        <x:v>OPEN</x:v>
      </x:c>
      <x:c r="I46" s="77" t="str">
        <x:v>no current or strict credit</x:v>
      </x:c>
    </x:row>
    <x:row r="47">
      <x:c r="B47" s="76" t="str">
        <x:v>E041</x:v>
      </x:c>
      <x:c r="C47" s="76" t="str">
        <x:v>T4 800 km clock</x:v>
      </x:c>
      <x:c r="D47" s="76" t="str">
        <x:v>T4</x:v>
      </x:c>
      <x:c r="E47" s="76" t="str">
        <x:v>remove or measure the named article or condition</x:v>
      </x:c>
      <x:c r="F47" s="76" t="str">
        <x:v>representative measured pass</x:v>
      </x:c>
      <x:c r="G47" s="76" t="str">
        <x:v>Access Test Directorate</x:v>
      </x:c>
      <x:c r="H47" s="76" t="str">
        <x:v>OPEN</x:v>
      </x:c>
      <x:c r="I47" s="77" t="str">
        <x:v>no current or strict credit</x:v>
      </x:c>
    </x:row>
    <x:row r="48">
      <x:c r="B48" s="76" t="str">
        <x:v>E042</x:v>
      </x:c>
      <x:c r="C48" s="76" t="str">
        <x:v>T4 twenty-percent grade</x:v>
      </x:c>
      <x:c r="D48" s="76" t="str">
        <x:v>T4</x:v>
      </x:c>
      <x:c r="E48" s="76" t="str">
        <x:v>remove or measure the named article or condition</x:v>
      </x:c>
      <x:c r="F48" s="76" t="str">
        <x:v>representative measured pass</x:v>
      </x:c>
      <x:c r="G48" s="76" t="str">
        <x:v>Fourth Access Systems Command</x:v>
      </x:c>
      <x:c r="H48" s="76" t="str">
        <x:v>OPEN</x:v>
      </x:c>
      <x:c r="I48" s="77" t="str">
        <x:v>no current or strict credit</x:v>
      </x:c>
    </x:row>
    <x:row r="49">
      <x:c r="B49" s="76" t="str">
        <x:v>E043</x:v>
      </x:c>
      <x:c r="C49" s="76" t="str">
        <x:v>T4 twelve-percent side slope</x:v>
      </x:c>
      <x:c r="D49" s="76" t="str">
        <x:v>T4</x:v>
      </x:c>
      <x:c r="E49" s="76" t="str">
        <x:v>remove or measure the named article or condition</x:v>
      </x:c>
      <x:c r="F49" s="76" t="str">
        <x:v>representative measured pass</x:v>
      </x:c>
      <x:c r="G49" s="76" t="str">
        <x:v>Access Test Directorate</x:v>
      </x:c>
      <x:c r="H49" s="76" t="str">
        <x:v>OPEN</x:v>
      </x:c>
      <x:c r="I49" s="77" t="str">
        <x:v>no current or strict credit</x:v>
      </x:c>
    </x:row>
    <x:row r="50">
      <x:c r="B50" s="76" t="str">
        <x:v>E044</x:v>
      </x:c>
      <x:c r="C50" s="76" t="str">
        <x:v>T4 1.5 m step</x:v>
      </x:c>
      <x:c r="D50" s="76" t="str">
        <x:v>T4</x:v>
      </x:c>
      <x:c r="E50" s="76" t="str">
        <x:v>remove or measure the named article or condition</x:v>
      </x:c>
      <x:c r="F50" s="76" t="str">
        <x:v>representative measured pass</x:v>
      </x:c>
      <x:c r="G50" s="76" t="str">
        <x:v>Fourth Access Systems Command</x:v>
      </x:c>
      <x:c r="H50" s="76" t="str">
        <x:v>OPEN</x:v>
      </x:c>
      <x:c r="I50" s="77" t="str">
        <x:v>no current or strict credit</x:v>
      </x:c>
    </x:row>
    <x:row r="51">
      <x:c r="B51" s="76" t="str">
        <x:v>E045</x:v>
      </x:c>
      <x:c r="C51" s="76" t="str">
        <x:v>T4 twenty-metre gap</x:v>
      </x:c>
      <x:c r="D51" s="76" t="str">
        <x:v>T4</x:v>
      </x:c>
      <x:c r="E51" s="76" t="str">
        <x:v>remove or measure the named article or condition</x:v>
      </x:c>
      <x:c r="F51" s="76" t="str">
        <x:v>representative measured pass</x:v>
      </x:c>
      <x:c r="G51" s="76" t="str">
        <x:v>Access Test Directorate</x:v>
      </x:c>
      <x:c r="H51" s="76" t="str">
        <x:v>OPEN</x:v>
      </x:c>
      <x:c r="I51" s="77" t="str">
        <x:v>no current or strict credit</x:v>
      </x:c>
    </x:row>
    <x:row r="52">
      <x:c r="B52" s="76" t="str">
        <x:v>E046</x:v>
      </x:c>
      <x:c r="C52" s="76" t="str">
        <x:v>T4 two-metre water</x:v>
      </x:c>
      <x:c r="D52" s="76" t="str">
        <x:v>T4</x:v>
      </x:c>
      <x:c r="E52" s="76" t="str">
        <x:v>remove or measure the named article or condition</x:v>
      </x:c>
      <x:c r="F52" s="76" t="str">
        <x:v>representative measured pass</x:v>
      </x:c>
      <x:c r="G52" s="76" t="str">
        <x:v>Fourth Access Systems Command</x:v>
      </x:c>
      <x:c r="H52" s="76" t="str">
        <x:v>OPEN</x:v>
      </x:c>
      <x:c r="I52" s="77" t="str">
        <x:v>no current or strict credit</x:v>
      </x:c>
    </x:row>
    <x:row r="53">
      <x:c r="B53" s="76" t="str">
        <x:v>E047</x:v>
      </x:c>
      <x:c r="C53" s="76" t="str">
        <x:v>T4 twenty-five-metre turn</x:v>
      </x:c>
      <x:c r="D53" s="76" t="str">
        <x:v>T4</x:v>
      </x:c>
      <x:c r="E53" s="76" t="str">
        <x:v>remove or measure the named article or condition</x:v>
      </x:c>
      <x:c r="F53" s="76" t="str">
        <x:v>representative measured pass</x:v>
      </x:c>
      <x:c r="G53" s="76" t="str">
        <x:v>Access Test Directorate</x:v>
      </x:c>
      <x:c r="H53" s="76" t="str">
        <x:v>OPEN</x:v>
      </x:c>
      <x:c r="I53" s="77" t="str">
        <x:v>no current or strict credit</x:v>
      </x:c>
    </x:row>
    <x:row r="54">
      <x:c r="B54" s="76" t="str">
        <x:v>E048</x:v>
      </x:c>
      <x:c r="C54" s="76" t="str">
        <x:v>T4 self-recovery</x:v>
      </x:c>
      <x:c r="D54" s="76" t="str">
        <x:v>T4</x:v>
      </x:c>
      <x:c r="E54" s="76" t="str">
        <x:v>remove or measure the named article or condition</x:v>
      </x:c>
      <x:c r="F54" s="76" t="str">
        <x:v>representative measured pass</x:v>
      </x:c>
      <x:c r="G54" s="76" t="str">
        <x:v>Fourth Access Systems Command</x:v>
      </x:c>
      <x:c r="H54" s="76" t="str">
        <x:v>OPEN</x:v>
      </x:c>
      <x:c r="I54" s="77" t="str">
        <x:v>no current or strict credit</x:v>
      </x:c>
    </x:row>
    <x:row r="55">
      <x:c r="B55" s="76" t="str">
        <x:v>E049</x:v>
      </x:c>
      <x:c r="C55" s="76" t="str">
        <x:v>T4 tare mass</x:v>
      </x:c>
      <x:c r="D55" s="76" t="str">
        <x:v>T4</x:v>
      </x:c>
      <x:c r="E55" s="76" t="str">
        <x:v>remove or measure the named article or condition</x:v>
      </x:c>
      <x:c r="F55" s="76" t="str">
        <x:v>representative measured pass</x:v>
      </x:c>
      <x:c r="G55" s="76" t="str">
        <x:v>Access Test Directorate</x:v>
      </x:c>
      <x:c r="H55" s="76" t="str">
        <x:v>OPEN</x:v>
      </x:c>
      <x:c r="I55" s="77" t="str">
        <x:v>no current or strict credit</x:v>
      </x:c>
    </x:row>
    <x:row r="56">
      <x:c r="B56" s="76" t="str">
        <x:v>E050</x:v>
      </x:c>
      <x:c r="C56" s="76" t="str">
        <x:v>T4 primary structure</x:v>
      </x:c>
      <x:c r="D56" s="76" t="str">
        <x:v>T4</x:v>
      </x:c>
      <x:c r="E56" s="76" t="str">
        <x:v>remove or measure the named article or condition</x:v>
      </x:c>
      <x:c r="F56" s="76" t="str">
        <x:v>representative measured pass</x:v>
      </x:c>
      <x:c r="G56" s="76" t="str">
        <x:v>Fourth Access Systems Command</x:v>
      </x:c>
      <x:c r="H56" s="76" t="str">
        <x:v>OPEN</x:v>
      </x:c>
      <x:c r="I56" s="77" t="str">
        <x:v>no current or strict credit</x:v>
      </x:c>
    </x:row>
    <x:row r="57">
      <x:c r="B57" s="76" t="str">
        <x:v>E051</x:v>
      </x:c>
      <x:c r="C57" s="76" t="str">
        <x:v>T4 twelve mobility pods</x:v>
      </x:c>
      <x:c r="D57" s="76" t="str">
        <x:v>T4</x:v>
      </x:c>
      <x:c r="E57" s="76" t="str">
        <x:v>remove or measure the named article or condition</x:v>
      </x:c>
      <x:c r="F57" s="76" t="str">
        <x:v>representative measured pass</x:v>
      </x:c>
      <x:c r="G57" s="76" t="str">
        <x:v>Access Test Directorate</x:v>
      </x:c>
      <x:c r="H57" s="76" t="str">
        <x:v>OPEN</x:v>
      </x:c>
      <x:c r="I57" s="77" t="str">
        <x:v>no current or strict credit</x:v>
      </x:c>
    </x:row>
    <x:row r="58">
      <x:c r="B58" s="76" t="str">
        <x:v>E052</x:v>
      </x:c>
      <x:c r="C58" s="76" t="str">
        <x:v>T4 six energy buses</x:v>
      </x:c>
      <x:c r="D58" s="76" t="str">
        <x:v>T4</x:v>
      </x:c>
      <x:c r="E58" s="76" t="str">
        <x:v>remove or measure the named article or condition</x:v>
      </x:c>
      <x:c r="F58" s="76" t="str">
        <x:v>representative measured pass</x:v>
      </x:c>
      <x:c r="G58" s="76" t="str">
        <x:v>Fourth Access Systems Command</x:v>
      </x:c>
      <x:c r="H58" s="76" t="str">
        <x:v>OPEN</x:v>
      </x:c>
      <x:c r="I58" s="77" t="str">
        <x:v>no current or strict credit</x:v>
      </x:c>
    </x:row>
    <x:row r="59">
      <x:c r="B59" s="76" t="str">
        <x:v>E053</x:v>
      </x:c>
      <x:c r="C59" s="76" t="str">
        <x:v>T4 route width</x:v>
      </x:c>
      <x:c r="D59" s="76" t="str">
        <x:v>T4</x:v>
      </x:c>
      <x:c r="E59" s="76" t="str">
        <x:v>remove or measure the named article or condition</x:v>
      </x:c>
      <x:c r="F59" s="76" t="str">
        <x:v>representative measured pass</x:v>
      </x:c>
      <x:c r="G59" s="76" t="str">
        <x:v>Access Test Directorate</x:v>
      </x:c>
      <x:c r="H59" s="76" t="str">
        <x:v>OPEN</x:v>
      </x:c>
      <x:c r="I59" s="77" t="str">
        <x:v>no current or strict credit</x:v>
      </x:c>
    </x:row>
    <x:row r="60">
      <x:c r="B60" s="76" t="str">
        <x:v>E054</x:v>
      </x:c>
      <x:c r="C60" s="76" t="str">
        <x:v>T4 assigned load</x:v>
      </x:c>
      <x:c r="D60" s="76" t="str">
        <x:v>T4</x:v>
      </x:c>
      <x:c r="E60" s="76" t="str">
        <x:v>remove or measure the named article or condition</x:v>
      </x:c>
      <x:c r="F60" s="76" t="str">
        <x:v>representative measured pass</x:v>
      </x:c>
      <x:c r="G60" s="76" t="str">
        <x:v>Fourth Access Systems Command</x:v>
      </x:c>
      <x:c r="H60" s="76" t="str">
        <x:v>OPEN</x:v>
      </x:c>
      <x:c r="I60" s="77" t="str">
        <x:v>no current or strict credit</x:v>
      </x:c>
    </x:row>
    <x:row r="61">
      <x:c r="B61" s="76" t="str">
        <x:v>E055</x:v>
      </x:c>
      <x:c r="C61" s="76" t="str">
        <x:v>T4 cargo height</x:v>
      </x:c>
      <x:c r="D61" s="76" t="str">
        <x:v>T4</x:v>
      </x:c>
      <x:c r="E61" s="76" t="str">
        <x:v>remove or measure the named article or condition</x:v>
      </x:c>
      <x:c r="F61" s="76" t="str">
        <x:v>representative measured pass</x:v>
      </x:c>
      <x:c r="G61" s="76" t="str">
        <x:v>Access Test Directorate</x:v>
      </x:c>
      <x:c r="H61" s="76" t="str">
        <x:v>OPEN</x:v>
      </x:c>
      <x:c r="I61" s="77" t="str">
        <x:v>no current or strict credit</x:v>
      </x:c>
    </x:row>
    <x:row r="62">
      <x:c r="B62" s="76" t="str">
        <x:v>E056</x:v>
      </x:c>
      <x:c r="C62" s="76" t="str">
        <x:v>T4 dynamic balance</x:v>
      </x:c>
      <x:c r="D62" s="76" t="str">
        <x:v>T4</x:v>
      </x:c>
      <x:c r="E62" s="76" t="str">
        <x:v>remove or measure the named article or condition</x:v>
      </x:c>
      <x:c r="F62" s="76" t="str">
        <x:v>representative measured pass</x:v>
      </x:c>
      <x:c r="G62" s="76" t="str">
        <x:v>Fourth Access Systems Command</x:v>
      </x:c>
      <x:c r="H62" s="76" t="str">
        <x:v>OPEN</x:v>
      </x:c>
      <x:c r="I62" s="77" t="str">
        <x:v>no current or strict credit</x:v>
      </x:c>
    </x:row>
    <x:row r="63">
      <x:c r="B63" s="76" t="str">
        <x:v>E057</x:v>
      </x:c>
      <x:c r="C63" s="76" t="str">
        <x:v>T4 brake and grade hold</x:v>
      </x:c>
      <x:c r="D63" s="76" t="str">
        <x:v>T4</x:v>
      </x:c>
      <x:c r="E63" s="76" t="str">
        <x:v>remove or measure the named article or condition</x:v>
      </x:c>
      <x:c r="F63" s="76" t="str">
        <x:v>representative measured pass</x:v>
      </x:c>
      <x:c r="G63" s="76" t="str">
        <x:v>Access Test Directorate</x:v>
      </x:c>
      <x:c r="H63" s="76" t="str">
        <x:v>OPEN</x:v>
      </x:c>
      <x:c r="I63" s="77" t="str">
        <x:v>no current or strict credit</x:v>
      </x:c>
    </x:row>
    <x:row r="64">
      <x:c r="B64" s="76" t="str">
        <x:v>E058</x:v>
      </x:c>
      <x:c r="C64" s="76" t="str">
        <x:v>T4 drive-module-out</x:v>
      </x:c>
      <x:c r="D64" s="76" t="str">
        <x:v>T4</x:v>
      </x:c>
      <x:c r="E64" s="76" t="str">
        <x:v>remove or measure the named article or condition</x:v>
      </x:c>
      <x:c r="F64" s="76" t="str">
        <x:v>representative measured pass</x:v>
      </x:c>
      <x:c r="G64" s="76" t="str">
        <x:v>Fourth Access Systems Command</x:v>
      </x:c>
      <x:c r="H64" s="76" t="str">
        <x:v>OPEN</x:v>
      </x:c>
      <x:c r="I64" s="77" t="str">
        <x:v>no current or strict credit</x:v>
      </x:c>
    </x:row>
    <x:row r="65">
      <x:c r="B65" s="76" t="str">
        <x:v>E059</x:v>
      </x:c>
      <x:c r="C65" s="76" t="str">
        <x:v>T4 energy-sector-out</x:v>
      </x:c>
      <x:c r="D65" s="76" t="str">
        <x:v>T4</x:v>
      </x:c>
      <x:c r="E65" s="76" t="str">
        <x:v>remove or measure the named article or condition</x:v>
      </x:c>
      <x:c r="F65" s="76" t="str">
        <x:v>representative measured pass</x:v>
      </x:c>
      <x:c r="G65" s="76" t="str">
        <x:v>Access Test Directorate</x:v>
      </x:c>
      <x:c r="H65" s="76" t="str">
        <x:v>OPEN</x:v>
      </x:c>
      <x:c r="I65" s="77" t="str">
        <x:v>no current or strict credit</x:v>
      </x:c>
    </x:row>
    <x:row r="66">
      <x:c r="B66" s="76" t="str">
        <x:v>E060</x:v>
      </x:c>
      <x:c r="C66" s="76" t="str">
        <x:v>T4 mobility-pod-out</x:v>
      </x:c>
      <x:c r="D66" s="76" t="str">
        <x:v>T4</x:v>
      </x:c>
      <x:c r="E66" s="76" t="str">
        <x:v>remove or measure the named article or condition</x:v>
      </x:c>
      <x:c r="F66" s="76" t="str">
        <x:v>representative measured pass</x:v>
      </x:c>
      <x:c r="G66" s="76" t="str">
        <x:v>Fourth Access Systems Command</x:v>
      </x:c>
      <x:c r="H66" s="76" t="str">
        <x:v>OPEN</x:v>
      </x:c>
      <x:c r="I66" s="77" t="str">
        <x:v>no current or strict credit</x:v>
      </x:c>
    </x:row>
    <x:row r="67">
      <x:c r="B67" s="76" t="str">
        <x:v>E061</x:v>
      </x:c>
      <x:c r="C67" s="76" t="str">
        <x:v>T4 active articulation</x:v>
      </x:c>
      <x:c r="D67" s="76" t="str">
        <x:v>T4</x:v>
      </x:c>
      <x:c r="E67" s="76" t="str">
        <x:v>remove or measure the named article or condition</x:v>
      </x:c>
      <x:c r="F67" s="76" t="str">
        <x:v>representative measured pass</x:v>
      </x:c>
      <x:c r="G67" s="76" t="str">
        <x:v>Access Test Directorate</x:v>
      </x:c>
      <x:c r="H67" s="76" t="str">
        <x:v>OPEN</x:v>
      </x:c>
      <x:c r="I67" s="77" t="str">
        <x:v>no current or strict credit</x:v>
      </x:c>
    </x:row>
    <x:row r="68">
      <x:c r="B68" s="76" t="str">
        <x:v>E062</x:v>
      </x:c>
      <x:c r="C68" s="76" t="str">
        <x:v>T4 variable footprint</x:v>
      </x:c>
      <x:c r="D68" s="76" t="str">
        <x:v>T4</x:v>
      </x:c>
      <x:c r="E68" s="76" t="str">
        <x:v>remove or measure the named article or condition</x:v>
      </x:c>
      <x:c r="F68" s="76" t="str">
        <x:v>representative measured pass</x:v>
      </x:c>
      <x:c r="G68" s="76" t="str">
        <x:v>Fourth Access Systems Command</x:v>
      </x:c>
      <x:c r="H68" s="76" t="str">
        <x:v>OPEN</x:v>
      </x:c>
      <x:c r="I68" s="77" t="str">
        <x:v>no current or strict credit</x:v>
      </x:c>
    </x:row>
    <x:row r="69">
      <x:c r="B69" s="76" t="str">
        <x:v>E063</x:v>
      </x:c>
      <x:c r="C69" s="76" t="str">
        <x:v>T4 debris shedding</x:v>
      </x:c>
      <x:c r="D69" s="76" t="str">
        <x:v>T4</x:v>
      </x:c>
      <x:c r="E69" s="76" t="str">
        <x:v>remove or measure the named article or condition</x:v>
      </x:c>
      <x:c r="F69" s="76" t="str">
        <x:v>representative measured pass</x:v>
      </x:c>
      <x:c r="G69" s="76" t="str">
        <x:v>Access Test Directorate</x:v>
      </x:c>
      <x:c r="H69" s="76" t="str">
        <x:v>OPEN</x:v>
      </x:c>
      <x:c r="I69" s="77" t="str">
        <x:v>no current or strict credit</x:v>
      </x:c>
    </x:row>
    <x:row r="70">
      <x:c r="B70" s="76" t="str">
        <x:v>E064</x:v>
      </x:c>
      <x:c r="C70" s="76" t="str">
        <x:v>T4 terrain sensing</x:v>
      </x:c>
      <x:c r="D70" s="76" t="str">
        <x:v>T4</x:v>
      </x:c>
      <x:c r="E70" s="76" t="str">
        <x:v>remove or measure the named article or condition</x:v>
      </x:c>
      <x:c r="F70" s="76" t="str">
        <x:v>representative measured pass</x:v>
      </x:c>
      <x:c r="G70" s="76" t="str">
        <x:v>Fourth Access Systems Command</x:v>
      </x:c>
      <x:c r="H70" s="76" t="str">
        <x:v>OPEN</x:v>
      </x:c>
      <x:c r="I70" s="77" t="str">
        <x:v>no current or strict credit</x:v>
      </x:c>
    </x:row>
    <x:row r="71">
      <x:c r="B71" s="76" t="str">
        <x:v>E065</x:v>
      </x:c>
      <x:c r="C71" s="76" t="str">
        <x:v>T4 bridge deploy and recover</x:v>
      </x:c>
      <x:c r="D71" s="76" t="str">
        <x:v>T4</x:v>
      </x:c>
      <x:c r="E71" s="76" t="str">
        <x:v>remove or measure the named article or condition</x:v>
      </x:c>
      <x:c r="F71" s="76" t="str">
        <x:v>representative measured pass</x:v>
      </x:c>
      <x:c r="G71" s="76" t="str">
        <x:v>Access Test Directorate</x:v>
      </x:c>
      <x:c r="H71" s="76" t="str">
        <x:v>OPEN</x:v>
      </x:c>
      <x:c r="I71" s="77" t="str">
        <x:v>no current or strict credit</x:v>
      </x:c>
    </x:row>
    <x:row r="72">
      <x:c r="B72" s="76" t="str">
        <x:v>E066</x:v>
      </x:c>
      <x:c r="C72" s="76" t="str">
        <x:v>T4 route-drone loss</x:v>
      </x:c>
      <x:c r="D72" s="76" t="str">
        <x:v>T4</x:v>
      </x:c>
      <x:c r="E72" s="76" t="str">
        <x:v>remove or measure the named article or condition</x:v>
      </x:c>
      <x:c r="F72" s="76" t="str">
        <x:v>representative measured pass</x:v>
      </x:c>
      <x:c r="G72" s="76" t="str">
        <x:v>Fourth Access Systems Command</x:v>
      </x:c>
      <x:c r="H72" s="76" t="str">
        <x:v>OPEN</x:v>
      </x:c>
      <x:c r="I72" s="77" t="str">
        <x:v>no current or strict credit</x:v>
      </x:c>
    </x:row>
    <x:row r="73">
      <x:c r="B73" s="76" t="str">
        <x:v>E067</x:v>
      </x:c>
      <x:c r="C73" s="76" t="str">
        <x:v>T4 network denial</x:v>
      </x:c>
      <x:c r="D73" s="76" t="str">
        <x:v>T4</x:v>
      </x:c>
      <x:c r="E73" s="76" t="str">
        <x:v>remove or measure the named article or condition</x:v>
      </x:c>
      <x:c r="F73" s="76" t="str">
        <x:v>representative measured pass</x:v>
      </x:c>
      <x:c r="G73" s="76" t="str">
        <x:v>Access Test Directorate</x:v>
      </x:c>
      <x:c r="H73" s="76" t="str">
        <x:v>OPEN</x:v>
      </x:c>
      <x:c r="I73" s="77" t="str">
        <x:v>no current or strict credit</x:v>
      </x:c>
    </x:row>
    <x:row r="74">
      <x:c r="B74" s="76" t="str">
        <x:v>E068</x:v>
      </x:c>
      <x:c r="C74" s="76" t="str">
        <x:v>T4 smoke navigation</x:v>
      </x:c>
      <x:c r="D74" s="76" t="str">
        <x:v>T4</x:v>
      </x:c>
      <x:c r="E74" s="76" t="str">
        <x:v>remove or measure the named article or condition</x:v>
      </x:c>
      <x:c r="F74" s="76" t="str">
        <x:v>representative measured pass</x:v>
      </x:c>
      <x:c r="G74" s="76" t="str">
        <x:v>Fourth Access Systems Command</x:v>
      </x:c>
      <x:c r="H74" s="76" t="str">
        <x:v>OPEN</x:v>
      </x:c>
      <x:c r="I74" s="77" t="str">
        <x:v>no current or strict credit</x:v>
      </x:c>
    </x:row>
    <x:row r="75">
      <x:c r="B75" s="76" t="str">
        <x:v>E069</x:v>
      </x:c>
      <x:c r="C75" s="76" t="str">
        <x:v>T4 water sealing</x:v>
      </x:c>
      <x:c r="D75" s="76" t="str">
        <x:v>T4</x:v>
      </x:c>
      <x:c r="E75" s="76" t="str">
        <x:v>remove or measure the named article or condition</x:v>
      </x:c>
      <x:c r="F75" s="76" t="str">
        <x:v>representative measured pass</x:v>
      </x:c>
      <x:c r="G75" s="76" t="str">
        <x:v>Access Test Directorate</x:v>
      </x:c>
      <x:c r="H75" s="76" t="str">
        <x:v>OPEN</x:v>
      </x:c>
      <x:c r="I75" s="77" t="str">
        <x:v>no current or strict credit</x:v>
      </x:c>
    </x:row>
    <x:row r="76">
      <x:c r="B76" s="76" t="str">
        <x:v>E070</x:v>
      </x:c>
      <x:c r="C76" s="76" t="str">
        <x:v>T4 recovery pull</x:v>
      </x:c>
      <x:c r="D76" s="76" t="str">
        <x:v>T4</x:v>
      </x:c>
      <x:c r="E76" s="76" t="str">
        <x:v>remove or measure the named article or condition</x:v>
      </x:c>
      <x:c r="F76" s="76" t="str">
        <x:v>representative measured pass</x:v>
      </x:c>
      <x:c r="G76" s="76" t="str">
        <x:v>Fourth Access Systems Command</x:v>
      </x:c>
      <x:c r="H76" s="76" t="str">
        <x:v>OPEN</x:v>
      </x:c>
      <x:c r="I76" s="77" t="str">
        <x:v>no current or strict credit</x:v>
      </x:c>
    </x:row>
    <x:row r="77">
      <x:c r="B77" s="76" t="str">
        <x:v>E071</x:v>
      </x:c>
      <x:c r="C77" s="76" t="str">
        <x:v>T4 cooperative tow</x:v>
      </x:c>
      <x:c r="D77" s="76" t="str">
        <x:v>T4</x:v>
      </x:c>
      <x:c r="E77" s="76" t="str">
        <x:v>remove or measure the named article or condition</x:v>
      </x:c>
      <x:c r="F77" s="76" t="str">
        <x:v>representative measured pass</x:v>
      </x:c>
      <x:c r="G77" s="76" t="str">
        <x:v>Access Test Directorate</x:v>
      </x:c>
      <x:c r="H77" s="76" t="str">
        <x:v>OPEN</x:v>
      </x:c>
      <x:c r="I77" s="77" t="str">
        <x:v>no current or strict credit</x:v>
      </x:c>
    </x:row>
    <x:row r="78">
      <x:c r="B78" s="76" t="str">
        <x:v>E072</x:v>
      </x:c>
      <x:c r="C78" s="76" t="str">
        <x:v>T4 four-vehicle convoy</x:v>
      </x:c>
      <x:c r="D78" s="76" t="str">
        <x:v>T4</x:v>
      </x:c>
      <x:c r="E78" s="76" t="str">
        <x:v>remove or measure the named article or condition</x:v>
      </x:c>
      <x:c r="F78" s="76" t="str">
        <x:v>representative measured pass</x:v>
      </x:c>
      <x:c r="G78" s="76" t="str">
        <x:v>Fourth Access Systems Command</x:v>
      </x:c>
      <x:c r="H78" s="76" t="str">
        <x:v>OPEN</x:v>
      </x:c>
      <x:c r="I78" s="77" t="str">
        <x:v>no current or strict credit</x:v>
      </x:c>
    </x:row>
    <x:row r="79">
      <x:c r="B79" s="76" t="str">
        <x:v>E073</x:v>
      </x:c>
      <x:c r="C79" s="76" t="str">
        <x:v>T4 unload order</x:v>
      </x:c>
      <x:c r="D79" s="76" t="str">
        <x:v>T4</x:v>
      </x:c>
      <x:c r="E79" s="76" t="str">
        <x:v>remove or measure the named article or condition</x:v>
      </x:c>
      <x:c r="F79" s="76" t="str">
        <x:v>representative measured pass</x:v>
      </x:c>
      <x:c r="G79" s="76" t="str">
        <x:v>Access Test Directorate</x:v>
      </x:c>
      <x:c r="H79" s="76" t="str">
        <x:v>OPEN</x:v>
      </x:c>
      <x:c r="I79" s="77" t="str">
        <x:v>no current or strict credit</x:v>
      </x:c>
    </x:row>
    <x:row r="80">
      <x:c r="B80" s="76" t="str">
        <x:v>E074</x:v>
      </x:c>
      <x:c r="C80" s="76" t="str">
        <x:v>T4 four-hour unload</x:v>
      </x:c>
      <x:c r="D80" s="76" t="str">
        <x:v>T4</x:v>
      </x:c>
      <x:c r="E80" s="76" t="str">
        <x:v>remove or measure the named article or condition</x:v>
      </x:c>
      <x:c r="F80" s="76" t="str">
        <x:v>representative measured pass</x:v>
      </x:c>
      <x:c r="G80" s="76" t="str">
        <x:v>Fourth Access Systems Command</x:v>
      </x:c>
      <x:c r="H80" s="76" t="str">
        <x:v>OPEN</x:v>
      </x:c>
      <x:c r="I80" s="77" t="str">
        <x:v>no current or strict credit</x:v>
      </x:c>
    </x:row>
    <x:row r="81">
      <x:c r="B81" s="76" t="str">
        <x:v>E075</x:v>
      </x:c>
      <x:c r="C81" s="76" t="str">
        <x:v>T4 receiver surface</x:v>
      </x:c>
      <x:c r="D81" s="76" t="str">
        <x:v>T4</x:v>
      </x:c>
      <x:c r="E81" s="76" t="str">
        <x:v>remove or measure the named article or condition</x:v>
      </x:c>
      <x:c r="F81" s="76" t="str">
        <x:v>representative measured pass</x:v>
      </x:c>
      <x:c r="G81" s="76" t="str">
        <x:v>Access Test Directorate</x:v>
      </x:c>
      <x:c r="H81" s="76" t="str">
        <x:v>OPEN</x:v>
      </x:c>
      <x:c r="I81" s="77" t="str">
        <x:v>no current or strict credit</x:v>
      </x:c>
    </x:row>
    <x:row r="82">
      <x:c r="B82" s="76" t="str">
        <x:v>E076</x:v>
      </x:c>
      <x:c r="C82" s="76" t="str">
        <x:v>T4 148-hour reset</x:v>
      </x:c>
      <x:c r="D82" s="76" t="str">
        <x:v>T4</x:v>
      </x:c>
      <x:c r="E82" s="76" t="str">
        <x:v>remove or measure the named article or condition</x:v>
      </x:c>
      <x:c r="F82" s="76" t="str">
        <x:v>representative measured pass</x:v>
      </x:c>
      <x:c r="G82" s="76" t="str">
        <x:v>Fourth Access Systems Command</x:v>
      </x:c>
      <x:c r="H82" s="76" t="str">
        <x:v>OPEN</x:v>
      </x:c>
      <x:c r="I82" s="77" t="str">
        <x:v>no current or strict credit</x:v>
      </x:c>
    </x:row>
    <x:row r="83">
      <x:c r="B83" s="76" t="str">
        <x:v>E077</x:v>
      </x:c>
      <x:c r="C83" s="76" t="str">
        <x:v>T4 crew casualty</x:v>
      </x:c>
      <x:c r="D83" s="76" t="str">
        <x:v>T4</x:v>
      </x:c>
      <x:c r="E83" s="76" t="str">
        <x:v>remove or measure the named article or condition</x:v>
      </x:c>
      <x:c r="F83" s="76" t="str">
        <x:v>representative measured pass</x:v>
      </x:c>
      <x:c r="G83" s="76" t="str">
        <x:v>Access Test Directorate</x:v>
      </x:c>
      <x:c r="H83" s="76" t="str">
        <x:v>OPEN</x:v>
      </x:c>
      <x:c r="I83" s="77" t="str">
        <x:v>no current or strict credit</x:v>
      </x:c>
    </x:row>
    <x:row r="84">
      <x:c r="B84" s="76" t="str">
        <x:v>E078</x:v>
      </x:c>
      <x:c r="C84" s="76" t="str">
        <x:v>T4 field maintenance</x:v>
      </x:c>
      <x:c r="D84" s="76" t="str">
        <x:v>T4</x:v>
      </x:c>
      <x:c r="E84" s="76" t="str">
        <x:v>remove or measure the named article or condition</x:v>
      </x:c>
      <x:c r="F84" s="76" t="str">
        <x:v>representative measured pass</x:v>
      </x:c>
      <x:c r="G84" s="76" t="str">
        <x:v>Fourth Access Systems Command</x:v>
      </x:c>
      <x:c r="H84" s="76" t="str">
        <x:v>OPEN</x:v>
      </x:c>
      <x:c r="I84" s="77" t="str">
        <x:v>no current or strict credit</x:v>
      </x:c>
    </x:row>
    <x:row r="85">
      <x:c r="B85" s="76" t="str">
        <x:v>E079</x:v>
      </x:c>
      <x:c r="C85" s="76" t="str">
        <x:v>T4 compound public-service mission</x:v>
      </x:c>
      <x:c r="D85" s="76" t="str">
        <x:v>T4</x:v>
      </x:c>
      <x:c r="E85" s="76" t="str">
        <x:v>remove or measure the named article or condition</x:v>
      </x:c>
      <x:c r="F85" s="76" t="str">
        <x:v>representative measured pass</x:v>
      </x:c>
      <x:c r="G85" s="76" t="str">
        <x:v>Access Test Directorate</x:v>
      </x:c>
      <x:c r="H85" s="76" t="str">
        <x:v>OPEN</x:v>
      </x:c>
      <x:c r="I85" s="77" t="str">
        <x:v>no current or strict credit</x:v>
      </x:c>
    </x:row>
    <x:row r="86">
      <x:c r="B86" s="76" t="str">
        <x:v>E080</x:v>
      </x:c>
      <x:c r="C86" s="76" t="str">
        <x:v>T4 high-specific-energy plant</x:v>
      </x:c>
      <x:c r="D86" s="76" t="str">
        <x:v>T4</x:v>
      </x:c>
      <x:c r="E86" s="76" t="str">
        <x:v>remove or measure the named article or condition</x:v>
      </x:c>
      <x:c r="F86" s="76" t="str">
        <x:v>representative measured pass</x:v>
      </x:c>
      <x:c r="G86" s="76" t="str">
        <x:v>Fourth Access Systems Command</x:v>
      </x:c>
      <x:c r="H86" s="76" t="str">
        <x:v>OPEN</x:v>
      </x:c>
      <x:c r="I86" s="77" t="str">
        <x:v>no current or strict credit</x:v>
      </x:c>
    </x:row>
    <x:row r="87">
      <x:c r="B87" s="76" t="str">
        <x:v>E081</x:v>
      </x:c>
      <x:c r="C87" s="76" t="str">
        <x:v>program three integration lines</x:v>
      </x:c>
      <x:c r="D87" s="76" t="str">
        <x:v>PROGRAM</x:v>
      </x:c>
      <x:c r="E87" s="76" t="str">
        <x:v>remove or measure the named article or condition</x:v>
      </x:c>
      <x:c r="F87" s="76" t="str">
        <x:v>representative measured pass</x:v>
      </x:c>
      <x:c r="G87" s="76" t="str">
        <x:v>Access Test Directorate</x:v>
      </x:c>
      <x:c r="H87" s="76" t="str">
        <x:v>OPEN</x:v>
      </x:c>
      <x:c r="I87" s="77" t="str">
        <x:v>no current or strict credit</x:v>
      </x:c>
    </x:row>
    <x:row r="88">
      <x:c r="B88" s="76" t="str">
        <x:v>E082</x:v>
      </x:c>
      <x:c r="C88" s="76" t="str">
        <x:v>program three mobility lineages</x:v>
      </x:c>
      <x:c r="D88" s="76" t="str">
        <x:v>PROGRAM</x:v>
      </x:c>
      <x:c r="E88" s="76" t="str">
        <x:v>remove or measure the named article or condition</x:v>
      </x:c>
      <x:c r="F88" s="76" t="str">
        <x:v>representative measured pass</x:v>
      </x:c>
      <x:c r="G88" s="76" t="str">
        <x:v>Fourth Access Systems Command</x:v>
      </x:c>
      <x:c r="H88" s="76" t="str">
        <x:v>OPEN</x:v>
      </x:c>
      <x:c r="I88" s="77" t="str">
        <x:v>no current or strict credit</x:v>
      </x:c>
    </x:row>
    <x:row r="89">
      <x:c r="B89" s="76" t="str">
        <x:v>E083</x:v>
      </x:c>
      <x:c r="C89" s="76" t="str">
        <x:v>program three traction suppliers</x:v>
      </x:c>
      <x:c r="D89" s="76" t="str">
        <x:v>PROGRAM</x:v>
      </x:c>
      <x:c r="E89" s="76" t="str">
        <x:v>remove or measure the named article or condition</x:v>
      </x:c>
      <x:c r="F89" s="76" t="str">
        <x:v>representative measured pass</x:v>
      </x:c>
      <x:c r="G89" s="76" t="str">
        <x:v>Access Test Directorate</x:v>
      </x:c>
      <x:c r="H89" s="76" t="str">
        <x:v>OPEN</x:v>
      </x:c>
      <x:c r="I89" s="77" t="str">
        <x:v>no current or strict credit</x:v>
      </x:c>
    </x:row>
    <x:row r="90">
      <x:c r="B90" s="76" t="str">
        <x:v>E084</x:v>
      </x:c>
      <x:c r="C90" s="76" t="str">
        <x:v>program two energy lineages</x:v>
      </x:c>
      <x:c r="D90" s="76" t="str">
        <x:v>PROGRAM</x:v>
      </x:c>
      <x:c r="E90" s="76" t="str">
        <x:v>remove or measure the named article or condition</x:v>
      </x:c>
      <x:c r="F90" s="76" t="str">
        <x:v>representative measured pass</x:v>
      </x:c>
      <x:c r="G90" s="76" t="str">
        <x:v>Fourth Access Systems Command</x:v>
      </x:c>
      <x:c r="H90" s="76" t="str">
        <x:v>OPEN</x:v>
      </x:c>
      <x:c r="I90" s="77" t="str">
        <x:v>no current or strict credit</x:v>
      </x:c>
    </x:row>
    <x:row r="91">
      <x:c r="B91" s="76" t="str">
        <x:v>E085</x:v>
      </x:c>
      <x:c r="C91" s="76" t="str">
        <x:v>program two bridge lineages</x:v>
      </x:c>
      <x:c r="D91" s="76" t="str">
        <x:v>PROGRAM</x:v>
      </x:c>
      <x:c r="E91" s="76" t="str">
        <x:v>remove or measure the named article or condition</x:v>
      </x:c>
      <x:c r="F91" s="76" t="str">
        <x:v>representative measured pass</x:v>
      </x:c>
      <x:c r="G91" s="76" t="str">
        <x:v>Access Test Directorate</x:v>
      </x:c>
      <x:c r="H91" s="76" t="str">
        <x:v>OPEN</x:v>
      </x:c>
      <x:c r="I91" s="77" t="str">
        <x:v>no current or strict credit</x:v>
      </x:c>
    </x:row>
    <x:row r="92">
      <x:c r="B92" s="76" t="str">
        <x:v>E086</x:v>
      </x:c>
      <x:c r="C92" s="76" t="str">
        <x:v>program sixteen-per-year rate</x:v>
      </x:c>
      <x:c r="D92" s="76" t="str">
        <x:v>PROGRAM</x:v>
      </x:c>
      <x:c r="E92" s="76" t="str">
        <x:v>remove or measure the named article or condition</x:v>
      </x:c>
      <x:c r="F92" s="76" t="str">
        <x:v>representative measured pass</x:v>
      </x:c>
      <x:c r="G92" s="76" t="str">
        <x:v>Fourth Access Systems Command</x:v>
      </x:c>
      <x:c r="H92" s="76" t="str">
        <x:v>OPEN</x:v>
      </x:c>
      <x:c r="I92" s="77" t="str">
        <x:v>no current or strict credit</x:v>
      </x:c>
    </x:row>
    <x:row r="93">
      <x:c r="B93" s="76" t="str">
        <x:v>E087</x:v>
      </x:c>
      <x:c r="C93" s="76" t="str">
        <x:v>program production learning</x:v>
      </x:c>
      <x:c r="D93" s="76" t="str">
        <x:v>PROGRAM</x:v>
      </x:c>
      <x:c r="E93" s="76" t="str">
        <x:v>remove or measure the named article or condition</x:v>
      </x:c>
      <x:c r="F93" s="76" t="str">
        <x:v>representative measured pass</x:v>
      </x:c>
      <x:c r="G93" s="76" t="str">
        <x:v>Access Test Directorate</x:v>
      </x:c>
      <x:c r="H93" s="76" t="str">
        <x:v>OPEN</x:v>
      </x:c>
      <x:c r="I93" s="77" t="str">
        <x:v>no current or strict credit</x:v>
      </x:c>
    </x:row>
    <x:row r="94">
      <x:c r="B94" s="76" t="str">
        <x:v>E088</x:v>
      </x:c>
      <x:c r="C94" s="76" t="str">
        <x:v>program base footprint</x:v>
      </x:c>
      <x:c r="D94" s="76" t="str">
        <x:v>PROGRAM</x:v>
      </x:c>
      <x:c r="E94" s="76" t="str">
        <x:v>remove or measure the named article or condition</x:v>
      </x:c>
      <x:c r="F94" s="76" t="str">
        <x:v>representative measured pass</x:v>
      </x:c>
      <x:c r="G94" s="76" t="str">
        <x:v>Fourth Access Systems Command</x:v>
      </x:c>
      <x:c r="H94" s="76" t="str">
        <x:v>OPEN</x:v>
      </x:c>
      <x:c r="I94" s="77" t="str">
        <x:v>no current or strict credit</x:v>
      </x:c>
    </x:row>
    <x:row r="95">
      <x:c r="B95" s="76" t="str">
        <x:v>E089</x:v>
      </x:c>
      <x:c r="C95" s="76" t="str">
        <x:v>program base firm energy</x:v>
      </x:c>
      <x:c r="D95" s="76" t="str">
        <x:v>PROGRAM</x:v>
      </x:c>
      <x:c r="E95" s="76" t="str">
        <x:v>remove or measure the named article or condition</x:v>
      </x:c>
      <x:c r="F95" s="76" t="str">
        <x:v>representative measured pass</x:v>
      </x:c>
      <x:c r="G95" s="76" t="str">
        <x:v>Access Test Directorate</x:v>
      </x:c>
      <x:c r="H95" s="76" t="str">
        <x:v>OPEN</x:v>
      </x:c>
      <x:c r="I95" s="77" t="str">
        <x:v>no current or strict credit</x:v>
      </x:c>
    </x:row>
    <x:row r="96">
      <x:c r="B96" s="76" t="str">
        <x:v>E090</x:v>
      </x:c>
      <x:c r="C96" s="76" t="str">
        <x:v>program proving network</x:v>
      </x:c>
      <x:c r="D96" s="76" t="str">
        <x:v>PROGRAM</x:v>
      </x:c>
      <x:c r="E96" s="76" t="str">
        <x:v>remove or measure the named article or condition</x:v>
      </x:c>
      <x:c r="F96" s="76" t="str">
        <x:v>representative measured pass</x:v>
      </x:c>
      <x:c r="G96" s="76" t="str">
        <x:v>Fourth Access Systems Command</x:v>
      </x:c>
      <x:c r="H96" s="76" t="str">
        <x:v>OPEN</x:v>
      </x:c>
      <x:c r="I96" s="77" t="str">
        <x:v>no current or strict credit</x:v>
      </x:c>
    </x:row>
    <x:row r="97">
      <x:c r="B97" s="76" t="str">
        <x:v>E091</x:v>
      </x:c>
      <x:c r="C97" s="76" t="str">
        <x:v>program land and route release</x:v>
      </x:c>
      <x:c r="D97" s="76" t="str">
        <x:v>PROGRAM</x:v>
      </x:c>
      <x:c r="E97" s="76" t="str">
        <x:v>remove or measure the named article or condition</x:v>
      </x:c>
      <x:c r="F97" s="76" t="str">
        <x:v>representative measured pass</x:v>
      </x:c>
      <x:c r="G97" s="76" t="str">
        <x:v>Access Test Directorate</x:v>
      </x:c>
      <x:c r="H97" s="76" t="str">
        <x:v>OPEN</x:v>
      </x:c>
      <x:c r="I97" s="77" t="str">
        <x:v>no current or strict credit</x:v>
      </x:c>
    </x:row>
    <x:row r="98">
      <x:c r="B98" s="76" t="str">
        <x:v>E092</x:v>
      </x:c>
      <x:c r="C98" s="76" t="str">
        <x:v>program vehicle safety</x:v>
      </x:c>
      <x:c r="D98" s="76" t="str">
        <x:v>PROGRAM</x:v>
      </x:c>
      <x:c r="E98" s="76" t="str">
        <x:v>remove or measure the named article or condition</x:v>
      </x:c>
      <x:c r="F98" s="76" t="str">
        <x:v>representative measured pass</x:v>
      </x:c>
      <x:c r="G98" s="76" t="str">
        <x:v>Fourth Access Systems Command</x:v>
      </x:c>
      <x:c r="H98" s="76" t="str">
        <x:v>OPEN</x:v>
      </x:c>
      <x:c r="I98" s="77" t="str">
        <x:v>no current or strict credit</x:v>
      </x:c>
    </x:row>
    <x:row r="99">
      <x:c r="B99" s="76" t="str">
        <x:v>E093</x:v>
      </x:c>
      <x:c r="C99" s="76" t="str">
        <x:v>program public-service release</x:v>
      </x:c>
      <x:c r="D99" s="76" t="str">
        <x:v>PROGRAM</x:v>
      </x:c>
      <x:c r="E99" s="76" t="str">
        <x:v>remove or measure the named article or condition</x:v>
      </x:c>
      <x:c r="F99" s="76" t="str">
        <x:v>representative measured pass</x:v>
      </x:c>
      <x:c r="G99" s="76" t="str">
        <x:v>Access Test Directorate</x:v>
      </x:c>
      <x:c r="H99" s="76" t="str">
        <x:v>OPEN</x:v>
      </x:c>
      <x:c r="I99" s="77" t="str">
        <x:v>no current or strict credit</x:v>
      </x:c>
    </x:row>
    <x:row r="100">
      <x:c r="B100" s="76" t="str">
        <x:v>E094</x:v>
      </x:c>
      <x:c r="C100" s="76" t="str">
        <x:v>program program cost</x:v>
      </x:c>
      <x:c r="D100" s="76" t="str">
        <x:v>PROGRAM</x:v>
      </x:c>
      <x:c r="E100" s="76" t="str">
        <x:v>remove or measure the named article or condition</x:v>
      </x:c>
      <x:c r="F100" s="76" t="str">
        <x:v>representative measured pass</x:v>
      </x:c>
      <x:c r="G100" s="76" t="str">
        <x:v>Fourth Access Systems Command</x:v>
      </x:c>
      <x:c r="H100" s="76" t="str">
        <x:v>OPEN</x:v>
      </x:c>
      <x:c r="I100" s="77" t="str">
        <x:v>no current or strict credit</x:v>
      </x:c>
    </x:row>
    <x:row r="101">
      <x:c r="B101" s="76" t="str">
        <x:v>E095</x:v>
      </x:c>
      <x:c r="C101" s="76" t="str">
        <x:v>program workforce</x:v>
      </x:c>
      <x:c r="D101" s="76" t="str">
        <x:v>PROGRAM</x:v>
      </x:c>
      <x:c r="E101" s="76" t="str">
        <x:v>remove or measure the named article or condition</x:v>
      </x:c>
      <x:c r="F101" s="76" t="str">
        <x:v>representative measured pass</x:v>
      </x:c>
      <x:c r="G101" s="76" t="str">
        <x:v>Access Test Directorate</x:v>
      </x:c>
      <x:c r="H101" s="76" t="str">
        <x:v>OPEN</x:v>
      </x:c>
      <x:c r="I101" s="77" t="str">
        <x:v>no current or strict credit</x:v>
      </x:c>
    </x:row>
    <x:row r="102">
      <x:c r="B102" s="76" t="str">
        <x:v>E096</x:v>
      </x:c>
      <x:c r="C102" s="76" t="str">
        <x:v>program operational fleet</x:v>
      </x:c>
      <x:c r="D102" s="76" t="str">
        <x:v>PROGRAM</x:v>
      </x:c>
      <x:c r="E102" s="76" t="str">
        <x:v>remove or measure the named article or condition</x:v>
      </x:c>
      <x:c r="F102" s="76" t="str">
        <x:v>representative measured pass</x:v>
      </x:c>
      <x:c r="G102" s="76" t="str">
        <x:v>Fourth Access Systems Command</x:v>
      </x:c>
      <x:c r="H102" s="76" t="str">
        <x:v>OPEN</x:v>
      </x:c>
      <x:c r="I102" s="77" t="str">
        <x:v>no current or strict credit</x:v>
      </x:c>
    </x:row>
    <x:row r="103">
      <x:c r="B103" s="76" t="str">
        <x:v>E097</x:v>
      </x:c>
      <x:c r="C103" s="76" t="str">
        <x:v>program reserve fleet</x:v>
      </x:c>
      <x:c r="D103" s="76" t="str">
        <x:v>PROGRAM</x:v>
      </x:c>
      <x:c r="E103" s="76" t="str">
        <x:v>remove or measure the named article or condition</x:v>
      </x:c>
      <x:c r="F103" s="76" t="str">
        <x:v>representative measured pass</x:v>
      </x:c>
      <x:c r="G103" s="76" t="str">
        <x:v>Access Test Directorate</x:v>
      </x:c>
      <x:c r="H103" s="76" t="str">
        <x:v>OPEN</x:v>
      </x:c>
      <x:c r="I103" s="77" t="str">
        <x:v>no current or strict credit</x:v>
      </x:c>
    </x:row>
    <x:row r="104">
      <x:c r="B104" s="76" t="str">
        <x:v>E098</x:v>
      </x:c>
      <x:c r="C104" s="76" t="str">
        <x:v>program partner and export controls</x:v>
      </x:c>
      <x:c r="D104" s="76" t="str">
        <x:v>PROGRAM</x:v>
      </x:c>
      <x:c r="E104" s="76" t="str">
        <x:v>remove or measure the named article or condition</x:v>
      </x:c>
      <x:c r="F104" s="76" t="str">
        <x:v>representative measured pass</x:v>
      </x:c>
      <x:c r="G104" s="76" t="str">
        <x:v>Fourth Access Systems Command</x:v>
      </x:c>
      <x:c r="H104" s="76" t="str">
        <x:v>OPEN</x:v>
      </x:c>
      <x:c r="I104" s="77" t="str">
        <x:v>no current or strict credit</x:v>
      </x:c>
    </x:row>
    <x:row r="105">
      <x:c r="B105" s="76" t="str">
        <x:v>E099</x:v>
      </x:c>
      <x:c r="C105" s="76" t="str">
        <x:v>program rendering authorization</x:v>
      </x:c>
      <x:c r="D105" s="76" t="str">
        <x:v>PROGRAM</x:v>
      </x:c>
      <x:c r="E105" s="76" t="str">
        <x:v>remove or measure the named article or condition</x:v>
      </x:c>
      <x:c r="F105" s="76" t="str">
        <x:v>representative measured pass</x:v>
      </x:c>
      <x:c r="G105" s="76" t="str">
        <x:v>Access Test Directorate</x:v>
      </x:c>
      <x:c r="H105" s="76" t="str">
        <x:v>OPEN</x:v>
      </x:c>
      <x:c r="I105" s="77" t="str">
        <x:v>no current or strict credit</x:v>
      </x:c>
    </x:row>
    <x:row r="106">
      <x:c r="B106" s="78" t="str">
        <x:v>E100</x:v>
      </x:c>
      <x:c r="C106" s="78" t="str">
        <x:v>program lifecycle material and recycling</x:v>
      </x:c>
      <x:c r="D106" s="78" t="str">
        <x:v>PROGRAM</x:v>
      </x:c>
      <x:c r="E106" s="78" t="str">
        <x:v>remove or measure the named article or condition</x:v>
      </x:c>
      <x:c r="F106" s="78" t="str">
        <x:v>representative measured pass</x:v>
      </x:c>
      <x:c r="G106" s="78" t="str">
        <x:v>Fourth Access Systems Command</x:v>
      </x:c>
      <x:c r="H106" s="78" t="str">
        <x:v>OPEN</x:v>
      </x:c>
      <x:c r="I106" s="79" t="str">
        <x:v>no current or strict credit</x:v>
      </x:c>
    </x:row>
    <x:row r="107">
      <x:c r="B107" s="70"/>
      <x:c r="C107" s="70"/>
      <x:c r="D107" s="70"/>
      <x:c r="E107" s="70"/>
      <x:c r="F107" s="70"/>
      <x:c r="G107" s="70"/>
      <x:c r="H107" s="70"/>
      <x:c r="I107" s="70"/>
    </x:row>
    <x:row r="108">
      <x:c r="B108" s="70"/>
      <x:c r="C108" s="70"/>
      <x:c r="D108" s="70"/>
      <x:c r="E108" s="70"/>
      <x:c r="F108" s="70"/>
      <x:c r="G108" s="70"/>
      <x:c r="H108" s="70"/>
      <x:c r="I108" s="70"/>
    </x:row>
    <x:row r="109">
      <x:c r="B109" s="70"/>
      <x:c r="C109" s="70"/>
      <x:c r="D109" s="70"/>
      <x:c r="E109" s="70"/>
      <x:c r="F109" s="70"/>
      <x:c r="G109" s="70"/>
      <x:c r="H109" s="70"/>
      <x:c r="I109" s="70"/>
    </x:row>
    <x:row r="110">
      <x:c r="B110" s="70"/>
      <x:c r="C110" s="70"/>
      <x:c r="D110" s="70"/>
      <x:c r="E110" s="70"/>
      <x:c r="F110" s="70"/>
      <x:c r="G110" s="70"/>
      <x:c r="H110" s="70"/>
      <x:c r="I110" s="70"/>
    </x:row>
    <x:row r="111">
      <x:c r="B111" s="70"/>
      <x:c r="C111" s="70"/>
      <x:c r="D111" s="70"/>
      <x:c r="E111" s="70"/>
      <x:c r="F111" s="70"/>
      <x:c r="G111" s="70"/>
      <x:c r="H111" s="70"/>
      <x:c r="I111" s="70"/>
    </x:row>
    <x:row r="112">
      <x:c r="B112" s="70"/>
      <x:c r="C112" s="70"/>
      <x:c r="D112" s="70"/>
      <x:c r="E112" s="70"/>
      <x:c r="F112" s="70"/>
      <x:c r="G112" s="70"/>
      <x:c r="H112" s="70"/>
      <x:c r="I112" s="70"/>
    </x:row>
  </x:sheetData>
  <x:mergeCells>
    <x:mergeCell ref="B2:F2"/>
    <x:mergeCell ref="B3:F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3" hidden="0" customWidth="1"/>
    <x:col min="3" max="3" width="24" hidden="0" customWidth="1"/>
    <x:col min="4" max="4" width="23" hidden="0" customWidth="1"/>
    <x:col min="5" max="5" width="22" hidden="0" customWidth="1"/>
    <x:col min="6" max="6" width="15" hidden="0" customWidth="1"/>
    <x:col min="7" max="7" width="46" hidden="0" customWidth="1"/>
  </x:cols>
  <x:sheetData>
    <x:row r="2">
      <x:c r="B2" s="69" t="str">
        <x:v>Model checks</x:v>
      </x:c>
      <x:c r="C2" s="69" t="str">
        <x:v>Model checks</x:v>
      </x:c>
      <x:c r="D2" s="69" t="str">
        <x:v>Model checks</x:v>
      </x:c>
      <x:c r="E2" s="69" t="str">
        <x:v>Model checks</x:v>
      </x:c>
      <x:c r="F2" s="69" t="str">
        <x:v>Model checks</x:v>
      </x:c>
      <x:c r="G2" s="70"/>
    </x:row>
    <x:row r="3">
      <x:c r="B3" s="71" t="str">
        <x:v>Independent controls for mass, terrain physics, clock, resilience, workforce, production and cost</x:v>
      </x:c>
      <x:c r="C3" s="71" t="str">
        <x:v>Independent controls for mass, terrain physics, clock, resilience, workforce, production and cost</x:v>
      </x:c>
      <x:c r="D3" s="71" t="str">
        <x:v>Independent controls for mass, terrain physics, clock, resilience, workforce, production and cost</x:v>
      </x:c>
      <x:c r="E3" s="71" t="str">
        <x:v>Independent controls for mass, terrain physics, clock, resilience, workforce, production and cost</x:v>
      </x:c>
      <x:c r="F3" s="71" t="str">
        <x:v>Independent controls for mass, terrain physics, clock, resilience, workforce, production and cost</x:v>
      </x:c>
      <x:c r="G3" s="70"/>
    </x:row>
    <x:row r="4">
      <x:c r="B4" s="72"/>
      <x:c r="C4" s="72"/>
      <x:c r="D4" s="72"/>
      <x:c r="E4" s="72"/>
      <x:c r="F4" s="72"/>
      <x:c r="G4" s="72"/>
    </x:row>
    <x:row r="5">
      <x:c r="B5" s="70"/>
      <x:c r="C5" s="70"/>
      <x:c r="D5" s="70"/>
      <x:c r="E5" s="70"/>
      <x:c r="F5" s="70"/>
      <x:c r="G5" s="70"/>
    </x:row>
    <x:row r="6">
      <x:c r="B6" s="29" t="str">
        <x:v>Check</x:v>
      </x:c>
      <x:c r="C6" s="30" t="str">
        <x:v>Observed</x:v>
      </x:c>
      <x:c r="D6" s="30" t="str">
        <x:v>Expected</x:v>
      </x:c>
      <x:c r="E6" s="30" t="str">
        <x:v>Difference</x:v>
      </x:c>
      <x:c r="F6" s="30" t="str">
        <x:v>Status</x:v>
      </x:c>
      <x:c r="G6" s="30" t="str">
        <x:v>Meaning</x:v>
      </x:c>
    </x:row>
    <x:row r="7">
      <x:c r="B7" s="76" t="str">
        <x:v>C001 candidate architectures</x:v>
      </x:c>
      <x:c r="C7" s="76" t="n">
        <x:f>COUNTA(Architectures!B7:B10)</x:f>
        <x:v>4</x:v>
      </x:c>
      <x:c r="D7" s="76" t="n">
        <x:v>4</x:v>
      </x:c>
      <x:c r="E7" s="76" t="n">
        <x:f>C7-D7</x:f>
        <x:v>0</x:v>
      </x:c>
      <x:c r="F7" s="76" t="str">
        <x:f>IF(ABS(E7)&lt;0.0001,"PASS","FAIL")</x:f>
        <x:v>PASS</x:v>
      </x:c>
      <x:c r="G7" s="77" t="str">
        <x:v>four clean-sheet rivals</x:v>
      </x:c>
    </x:row>
    <x:row r="8">
      <x:c r="B8" s="76" t="str">
        <x:v>C002 architecture identities</x:v>
      </x:c>
      <x:c r="C8" s="76" t="n">
        <x:f>COUNTA(Architectures!C7:C10)</x:f>
        <x:v>4</x:v>
      </x:c>
      <x:c r="D8" s="76" t="n">
        <x:v>4</x:v>
      </x:c>
      <x:c r="E8" s="76" t="n">
        <x:f>C8-D8</x:f>
        <x:v>0</x:v>
      </x:c>
      <x:c r="F8" s="76" t="str">
        <x:f>IF(ABS(E8)&lt;0.0001,"PASS","FAIL")</x:f>
        <x:v>PASS</x:v>
      </x:c>
      <x:c r="G8" s="77" t="str">
        <x:v>one identity per rival</x:v>
      </x:c>
    </x:row>
    <x:row r="9">
      <x:c r="B9" s="76" t="str">
        <x:v>C003 design payload</x:v>
      </x:c>
      <x:c r="C9" s="76" t="n">
        <x:f>Assumptions!C8</x:f>
        <x:v>170</x:v>
      </x:c>
      <x:c r="D9" s="76" t="n">
        <x:v>170</x:v>
      </x:c>
      <x:c r="E9" s="76" t="n">
        <x:f>C9-D9</x:f>
        <x:v>0</x:v>
      </x:c>
      <x:c r="F9" s="76" t="str">
        <x:f>IF(ABS(E9)&lt;0.0001,"PASS","FAIL")</x:f>
        <x:v>PASS</x:v>
      </x:c>
      <x:c r="G9" s="77" t="str">
        <x:v>payload rating</x:v>
      </x:c>
    </x:row>
    <x:row r="10">
      <x:c r="B10" s="76" t="str">
        <x:v>C004 assigned payload</x:v>
      </x:c>
      <x:c r="C10" s="76" t="n">
        <x:f>Assumptions!C9</x:f>
        <x:v>158.75</x:v>
      </x:c>
      <x:c r="D10" s="76" t="n">
        <x:v>158.75</x:v>
      </x:c>
      <x:c r="E10" s="76" t="n">
        <x:f>C10-D10</x:f>
        <x:v>0</x:v>
      </x:c>
      <x:c r="F10" s="76" t="str">
        <x:f>IF(ABS(E10)&lt;0.0001,"PASS","FAIL")</x:f>
        <x:v>PASS</x:v>
      </x:c>
      <x:c r="G10" s="77" t="str">
        <x:v>working mission load</x:v>
      </x:c>
    </x:row>
    <x:row r="11">
      <x:c r="B11" s="76" t="str">
        <x:v>C005 assigned cargo cube</x:v>
      </x:c>
      <x:c r="C11" s="76" t="n">
        <x:f>Assumptions!C10</x:f>
        <x:v>772</x:v>
      </x:c>
      <x:c r="D11" s="76" t="n">
        <x:v>772</x:v>
      </x:c>
      <x:c r="E11" s="76" t="n">
        <x:f>C11-D11</x:f>
        <x:v>0</x:v>
      </x:c>
      <x:c r="F11" s="76" t="str">
        <x:f>IF(ABS(E11)&lt;0.0001,"PASS","FAIL")</x:f>
        <x:v>PASS</x:v>
      </x:c>
      <x:c r="G11" s="77" t="str">
        <x:v>governing manifest</x:v>
      </x:c>
    </x:row>
    <x:row r="12">
      <x:c r="B12" s="76" t="str">
        <x:v>C006 assigned deck</x:v>
      </x:c>
      <x:c r="C12" s="76" t="n">
        <x:f>Assumptions!C11</x:f>
        <x:v>176</x:v>
      </x:c>
      <x:c r="D12" s="76" t="n">
        <x:v>176</x:v>
      </x:c>
      <x:c r="E12" s="76" t="n">
        <x:f>C12-D12</x:f>
        <x:v>0</x:v>
      </x:c>
      <x:c r="F12" s="76" t="str">
        <x:f>IF(ABS(E12)&lt;0.0001,"PASS","FAIL")</x:f>
        <x:v>PASS</x:v>
      </x:c>
      <x:c r="G12" s="77" t="str">
        <x:v>governing manifest</x:v>
      </x:c>
    </x:row>
    <x:row r="13">
      <x:c r="B13" s="76" t="str">
        <x:v>C007 ready packages</x:v>
      </x:c>
      <x:c r="C13" s="76" t="n">
        <x:f>Assumptions!C43</x:f>
        <x:v>43</x:v>
      </x:c>
      <x:c r="D13" s="76" t="n">
        <x:v>43</x:v>
      </x:c>
      <x:c r="E13" s="76" t="n">
        <x:f>C13-D13</x:f>
        <x:v>0</x:v>
      </x:c>
      <x:c r="F13" s="76" t="str">
        <x:f>IF(ABS(E13)&lt;0.0001,"PASS","FAIL")</x:f>
        <x:v>PASS</x:v>
      </x:c>
      <x:c r="G13" s="77" t="str">
        <x:v>national basis</x:v>
      </x:c>
    </x:row>
    <x:row r="14">
      <x:c r="B14" s="76" t="str">
        <x:v>C008 operational vehicles</x:v>
      </x:c>
      <x:c r="C14" s="76" t="n">
        <x:f>Assumptions!C45</x:f>
        <x:v>172</x:v>
      </x:c>
      <x:c r="D14" s="76" t="n">
        <x:v>172</x:v>
      </x:c>
      <x:c r="E14" s="76" t="n">
        <x:f>C14-D14</x:f>
        <x:v>0</x:v>
      </x:c>
      <x:c r="F14" s="76" t="str">
        <x:f>IF(ABS(E14)&lt;0.0001,"PASS","FAIL")</x:f>
        <x:v>PASS</x:v>
      </x:c>
      <x:c r="G14" s="77" t="str">
        <x:v>four per package</x:v>
      </x:c>
    </x:row>
    <x:row r="15">
      <x:c r="B15" s="76" t="str">
        <x:v>C009 reserve vehicles</x:v>
      </x:c>
      <x:c r="C15" s="76" t="n">
        <x:f>Assumptions!C47</x:f>
        <x:v>35</x:v>
      </x:c>
      <x:c r="D15" s="76" t="n">
        <x:v>35</x:v>
      </x:c>
      <x:c r="E15" s="76" t="n">
        <x:f>C15-D15</x:f>
        <x:v>0</x:v>
      </x:c>
      <x:c r="F15" s="76" t="str">
        <x:f>IF(ABS(E15)&lt;0.0001,"PASS","FAIL")</x:f>
        <x:v>PASS</x:v>
      </x:c>
      <x:c r="G15" s="77" t="str">
        <x:v>twenty-percent pool</x:v>
      </x:c>
    </x:row>
    <x:row r="16">
      <x:c r="B16" s="76" t="str">
        <x:v>C010 production articles</x:v>
      </x:c>
      <x:c r="C16" s="76" t="n">
        <x:f>Assumptions!C49</x:f>
        <x:v>219</x:v>
      </x:c>
      <x:c r="D16" s="76" t="n">
        <x:v>219</x:v>
      </x:c>
      <x:c r="E16" s="76" t="n">
        <x:f>C16-D16</x:f>
        <x:v>0</x:v>
      </x:c>
      <x:c r="F16" s="76" t="str">
        <x:f>IF(ABS(E16)&lt;0.0001,"PASS","FAIL")</x:f>
        <x:v>PASS</x:v>
      </x:c>
      <x:c r="G16" s="77" t="str">
        <x:v>operational reserve and test</x:v>
      </x:c>
    </x:row>
    <x:row r="17">
      <x:c r="B17" s="76" t="str">
        <x:v>C011 T1 tare</x:v>
      </x:c>
      <x:c r="C17" s="76" t="n">
        <x:f>'Mass and Payload'!D7</x:f>
        <x:v>315</x:v>
      </x:c>
      <x:c r="D17" s="76" t="n">
        <x:v>315</x:v>
      </x:c>
      <x:c r="E17" s="76" t="n">
        <x:f>C17-D17</x:f>
        <x:v>0</x:v>
      </x:c>
      <x:c r="F17" s="76" t="str">
        <x:f>IF(ABS(E17)&lt;0.0001,"PASS","FAIL")</x:f>
        <x:v>PASS</x:v>
      </x:c>
      <x:c r="G17" s="77" t="str">
        <x:v>component sum</x:v>
      </x:c>
    </x:row>
    <x:row r="18">
      <x:c r="B18" s="76" t="str">
        <x:v>C012 T2 tare</x:v>
      </x:c>
      <x:c r="C18" s="76" t="n">
        <x:f>'Mass and Payload'!D8</x:f>
        <x:v>385</x:v>
      </x:c>
      <x:c r="D18" s="76" t="n">
        <x:v>385</x:v>
      </x:c>
      <x:c r="E18" s="76" t="n">
        <x:f>C18-D18</x:f>
        <x:v>0</x:v>
      </x:c>
      <x:c r="F18" s="76" t="str">
        <x:f>IF(ABS(E18)&lt;0.0001,"PASS","FAIL")</x:f>
        <x:v>PASS</x:v>
      </x:c>
      <x:c r="G18" s="77" t="str">
        <x:v>component sum</x:v>
      </x:c>
    </x:row>
    <x:row r="19">
      <x:c r="B19" s="76" t="str">
        <x:v>C013 T3 tare</x:v>
      </x:c>
      <x:c r="C19" s="76" t="n">
        <x:f>'Mass and Payload'!D9</x:f>
        <x:v>350</x:v>
      </x:c>
      <x:c r="D19" s="76" t="n">
        <x:v>350</x:v>
      </x:c>
      <x:c r="E19" s="76" t="n">
        <x:f>C19-D19</x:f>
        <x:v>0</x:v>
      </x:c>
      <x:c r="F19" s="76" t="str">
        <x:f>IF(ABS(E19)&lt;0.0001,"PASS","FAIL")</x:f>
        <x:v>PASS</x:v>
      </x:c>
      <x:c r="G19" s="77" t="str">
        <x:v>component sum</x:v>
      </x:c>
    </x:row>
    <x:row r="20">
      <x:c r="B20" s="76" t="str">
        <x:v>C014 T4 tare</x:v>
      </x:c>
      <x:c r="C20" s="76" t="n">
        <x:f>'Mass and Payload'!D10</x:f>
        <x:v>332</x:v>
      </x:c>
      <x:c r="D20" s="76" t="n">
        <x:v>332</x:v>
      </x:c>
      <x:c r="E20" s="76" t="n">
        <x:f>C20-D20</x:f>
        <x:v>0</x:v>
      </x:c>
      <x:c r="F20" s="76" t="str">
        <x:f>IF(ABS(E20)&lt;0.0001,"PASS","FAIL")</x:f>
        <x:v>PASS</x:v>
      </x:c>
      <x:c r="G20" s="77" t="str">
        <x:v>component sum</x:v>
      </x:c>
    </x:row>
    <x:row r="21">
      <x:c r="B21" s="76" t="str">
        <x:v>C015 T1 design gross</x:v>
      </x:c>
      <x:c r="C21" s="76" t="n">
        <x:f>'Mass and Payload'!F7</x:f>
        <x:v>485</x:v>
      </x:c>
      <x:c r="D21" s="76" t="n">
        <x:v>485</x:v>
      </x:c>
      <x:c r="E21" s="76" t="n">
        <x:f>C21-D21</x:f>
        <x:v>0</x:v>
      </x:c>
      <x:c r="F21" s="76" t="str">
        <x:f>IF(ABS(E21)&lt;0.0001,"PASS","FAIL")</x:f>
        <x:v>PASS</x:v>
      </x:c>
      <x:c r="G21" s="77" t="str">
        <x:v>tare plus rated payload</x:v>
      </x:c>
    </x:row>
    <x:row r="22">
      <x:c r="B22" s="76" t="str">
        <x:v>C016 T2 design gross</x:v>
      </x:c>
      <x:c r="C22" s="76" t="n">
        <x:f>'Mass and Payload'!F8</x:f>
        <x:v>555</x:v>
      </x:c>
      <x:c r="D22" s="76" t="n">
        <x:v>555</x:v>
      </x:c>
      <x:c r="E22" s="76" t="n">
        <x:f>C22-D22</x:f>
        <x:v>0</x:v>
      </x:c>
      <x:c r="F22" s="76" t="str">
        <x:f>IF(ABS(E22)&lt;0.0001,"PASS","FAIL")</x:f>
        <x:v>PASS</x:v>
      </x:c>
      <x:c r="G22" s="77" t="str">
        <x:v>tare plus rated payload</x:v>
      </x:c>
    </x:row>
    <x:row r="23">
      <x:c r="B23" s="76" t="str">
        <x:v>C017 T3 design gross</x:v>
      </x:c>
      <x:c r="C23" s="76" t="n">
        <x:f>'Mass and Payload'!F9</x:f>
        <x:v>520</x:v>
      </x:c>
      <x:c r="D23" s="76" t="n">
        <x:v>520</x:v>
      </x:c>
      <x:c r="E23" s="76" t="n">
        <x:f>C23-D23</x:f>
        <x:v>0</x:v>
      </x:c>
      <x:c r="F23" s="76" t="str">
        <x:f>IF(ABS(E23)&lt;0.0001,"PASS","FAIL")</x:f>
        <x:v>PASS</x:v>
      </x:c>
      <x:c r="G23" s="77" t="str">
        <x:v>tare plus rated payload</x:v>
      </x:c>
    </x:row>
    <x:row r="24">
      <x:c r="B24" s="76" t="str">
        <x:v>C018 T4 design gross</x:v>
      </x:c>
      <x:c r="C24" s="76" t="n">
        <x:f>'Mass and Payload'!F10</x:f>
        <x:v>502</x:v>
      </x:c>
      <x:c r="D24" s="76" t="n">
        <x:v>502</x:v>
      </x:c>
      <x:c r="E24" s="76" t="n">
        <x:f>C24-D24</x:f>
        <x:v>0</x:v>
      </x:c>
      <x:c r="F24" s="76" t="str">
        <x:f>IF(ABS(E24)&lt;0.0001,"PASS","FAIL")</x:f>
        <x:v>PASS</x:v>
      </x:c>
      <x:c r="G24" s="77" t="str">
        <x:v>tare plus rated payload</x:v>
      </x:c>
    </x:row>
    <x:row r="25">
      <x:c r="B25" s="76" t="str">
        <x:v>C019 T4 mission gross</x:v>
      </x:c>
      <x:c r="C25" s="76" t="n">
        <x:f>'Mass and Payload'!H10</x:f>
        <x:v>490.75</x:v>
      </x:c>
      <x:c r="D25" s="76" t="n">
        <x:v>490.75</x:v>
      </x:c>
      <x:c r="E25" s="76" t="n">
        <x:f>C25-D25</x:f>
        <x:v>0</x:v>
      </x:c>
      <x:c r="F25" s="76" t="str">
        <x:f>IF(ABS(E25)&lt;0.0001,"PASS","FAIL")</x:f>
        <x:v>PASS</x:v>
      </x:c>
      <x:c r="G25" s="77" t="str">
        <x:v>tare plus assigned payload</x:v>
      </x:c>
    </x:row>
    <x:row r="26">
      <x:c r="B26" s="76" t="str">
        <x:v>C020 payload mass reserve</x:v>
      </x:c>
      <x:c r="C26" s="76" t="n">
        <x:f>'Mass and Payload'!I10</x:f>
        <x:v>0.07086614173228356</x:v>
      </x:c>
      <x:c r="D26" s="76" t="n">
        <x:v>0.070866142</x:v>
      </x:c>
      <x:c r="E26" s="76" t="n">
        <x:f>C26-D26</x:f>
        <x:v>-2.677164323561243e-10</x:v>
      </x:c>
      <x:c r="F26" s="76" t="str">
        <x:f>IF(ABS(E26)&lt;0.0001,"PASS","FAIL")</x:f>
        <x:v>PASS</x:v>
      </x:c>
      <x:c r="G26" s="77" t="str">
        <x:v>above five-percent floor</x:v>
      </x:c>
    </x:row>
    <x:row r="27">
      <x:c r="B27" s="76" t="str">
        <x:v>C021 mass and payload passes</x:v>
      </x:c>
      <x:c r="C27" s="76" t="n">
        <x:f>COUNTIFS('Mass and Payload'!P7:P10,"PASS")</x:f>
        <x:v>4</x:v>
      </x:c>
      <x:c r="D27" s="76" t="n">
        <x:v>4</x:v>
      </x:c>
      <x:c r="E27" s="76" t="n">
        <x:f>C27-D27</x:f>
        <x:v>0</x:v>
      </x:c>
      <x:c r="F27" s="76" t="str">
        <x:f>IF(ABS(E27)&lt;0.0001,"PASS","FAIL")</x:f>
        <x:v>PASS</x:v>
      </x:c>
      <x:c r="G27" s="77" t="str">
        <x:v>all candidate payload statements close</x:v>
      </x:c>
    </x:row>
    <x:row r="28">
      <x:c r="B28" s="76" t="str">
        <x:v>C022 geometry passes</x:v>
      </x:c>
      <x:c r="C28" s="76" t="n">
        <x:f>COUNTIFS('Geometry and Stability'!O7:O10,"PASS")</x:f>
        <x:v>2</x:v>
      </x:c>
      <x:c r="D28" s="76" t="n">
        <x:v>2</x:v>
      </x:c>
      <x:c r="E28" s="76" t="n">
        <x:f>C28-D28</x:f>
        <x:v>0</x:v>
      </x:c>
      <x:c r="F28" s="76" t="str">
        <x:f>IF(ABS(E28)&lt;0.0001,"PASS","FAIL")</x:f>
        <x:v>PASS</x:v>
      </x:c>
      <x:c r="G28" s="77" t="str">
        <x:v>T2 and T4</x:v>
      </x:c>
    </x:row>
    <x:row r="29">
      <x:c r="B29" s="76" t="str">
        <x:v>C023 T4 loaded CG</x:v>
      </x:c>
      <x:c r="C29" s="76" t="n">
        <x:f>'Geometry and Stability'!K10</x:f>
        <x:v>2.061698930208864</x:v>
      </x:c>
      <x:c r="D29" s="76" t="n">
        <x:v>2.061689251</x:v>
      </x:c>
      <x:c r="E29" s="76" t="n">
        <x:f>C29-D29</x:f>
        <x:v>0.000009679208864188382</x:v>
      </x:c>
      <x:c r="F29" s="76" t="str">
        <x:f>IF(ABS(E29)&lt;0.0001,"PASS","FAIL")</x:f>
        <x:v>PASS</x:v>
      </x:c>
      <x:c r="G29" s="77" t="str">
        <x:v>declared mass geometry</x:v>
      </x:c>
    </x:row>
    <x:row r="30">
      <x:c r="B30" s="76" t="str">
        <x:v>C024 T4 deck area</x:v>
      </x:c>
      <x:c r="C30" s="76" t="n">
        <x:f>'Geometry and Stability'!D10</x:f>
        <x:v>184</x:v>
      </x:c>
      <x:c r="D30" s="76" t="n">
        <x:v>184</x:v>
      </x:c>
      <x:c r="E30" s="76" t="n">
        <x:f>C30-D30</x:f>
        <x:v>0</x:v>
      </x:c>
      <x:c r="F30" s="76" t="str">
        <x:f>IF(ABS(E30)&lt;0.0001,"PASS","FAIL")</x:f>
        <x:v>PASS</x:v>
      </x:c>
      <x:c r="G30" s="77" t="str">
        <x:v>usable deck</x:v>
      </x:c>
    </x:row>
    <x:row r="31">
      <x:c r="B31" s="76" t="str">
        <x:v>C025 T4 cargo envelope</x:v>
      </x:c>
      <x:c r="C31" s="76" t="n">
        <x:f>'Geometry and Stability'!F10</x:f>
        <x:v>1140.8</x:v>
      </x:c>
      <x:c r="D31" s="76" t="n">
        <x:v>1140.8</x:v>
      </x:c>
      <x:c r="E31" s="76" t="n">
        <x:f>C31-D31</x:f>
        <x:v>0</x:v>
      </x:c>
      <x:c r="F31" s="76" t="str">
        <x:f>IF(ABS(E31)&lt;0.0001,"PASS","FAIL")</x:f>
        <x:v>PASS</x:v>
      </x:c>
      <x:c r="G31" s="77" t="str">
        <x:v>deck times clearance</x:v>
      </x:c>
    </x:row>
    <x:row r="32">
      <x:c r="B32" s="76" t="str">
        <x:v>C026 T4 width</x:v>
      </x:c>
      <x:c r="C32" s="76" t="n">
        <x:f>'Geometry and Stability'!H10</x:f>
        <x:v>8.6</x:v>
      </x:c>
      <x:c r="D32" s="76" t="n">
        <x:v>8.6</x:v>
      </x:c>
      <x:c r="E32" s="76" t="n">
        <x:f>C32-D32</x:f>
        <x:v>0</x:v>
      </x:c>
      <x:c r="F32" s="76" t="str">
        <x:f>IF(ABS(E32)&lt;0.0001,"PASS","FAIL")</x:f>
        <x:v>PASS</x:v>
      </x:c>
      <x:c r="G32" s="77" t="str">
        <x:v>inside route envelope</x:v>
      </x:c>
    </x:row>
    <x:row r="33">
      <x:c r="B33" s="76" t="str">
        <x:v>C027 T4 turn radius</x:v>
      </x:c>
      <x:c r="C33" s="76" t="n">
        <x:f>'Geometry and Stability'!N10</x:f>
        <x:v>18</x:v>
      </x:c>
      <x:c r="D33" s="76" t="n">
        <x:v>18</x:v>
      </x:c>
      <x:c r="E33" s="76" t="n">
        <x:f>C33-D33</x:f>
        <x:v>0</x:v>
      </x:c>
      <x:c r="F33" s="76" t="str">
        <x:f>IF(ABS(E33)&lt;0.0001,"PASS","FAIL")</x:f>
        <x:v>PASS</x:v>
      </x:c>
      <x:c r="G33" s="77" t="str">
        <x:v>inside route envelope</x:v>
      </x:c>
    </x:row>
    <x:row r="34">
      <x:c r="B34" s="76" t="str">
        <x:v>C028 T1 terrain pressure</x:v>
      </x:c>
      <x:c r="C34" s="76" t="n">
        <x:f>'Ground Pressure'!F7</x:f>
        <x:v>43.25318181818182</x:v>
      </x:c>
      <x:c r="D34" s="76" t="n">
        <x:v>43.253181818</x:v>
      </x:c>
      <x:c r="E34" s="76" t="n">
        <x:f>C34-D34</x:f>
        <x:v>1.8182078065365204e-10</x:v>
      </x:c>
      <x:c r="F34" s="76" t="str">
        <x:f>IF(ABS(E34)&lt;0.0001,"PASS","FAIL")</x:f>
        <x:v>PASS</x:v>
      </x:c>
      <x:c r="G34" s="77" t="str">
        <x:v>fails weak soil</x:v>
      </x:c>
    </x:row>
    <x:row r="35">
      <x:c r="B35" s="76" t="str">
        <x:v>C029 T2 terrain pressure</x:v>
      </x:c>
      <x:c r="C35" s="76" t="n">
        <x:f>'Ground Pressure'!F8</x:f>
        <x:v>28.655526315789476</x:v>
      </x:c>
      <x:c r="D35" s="76" t="n">
        <x:v>28.655526316</x:v>
      </x:c>
      <x:c r="E35" s="76" t="n">
        <x:f>C35-D35</x:f>
        <x:v>-2.1052315446468128e-10</x:v>
      </x:c>
      <x:c r="F35" s="76" t="str">
        <x:f>IF(ABS(E35)&lt;0.0001,"PASS","FAIL")</x:f>
        <x:v>PASS</x:v>
      </x:c>
      <x:c r="G35" s="77" t="str">
        <x:v>passes weak soil</x:v>
      </x:c>
    </x:row>
    <x:row r="36">
      <x:c r="B36" s="76" t="str">
        <x:v>C030 T3 terrain pressure</x:v>
      </x:c>
      <x:c r="C36" s="76" t="n">
        <x:f>'Ground Pressure'!F9</x:f>
        <x:v>17.003999999999998</x:v>
      </x:c>
      <x:c r="D36" s="76" t="n">
        <x:v>17.004</x:v>
      </x:c>
      <x:c r="E36" s="76" t="n">
        <x:f>C36-D36</x:f>
        <x:v>-3.552713678800501e-15</x:v>
      </x:c>
      <x:c r="F36" s="76" t="str">
        <x:f>IF(ABS(E36)&lt;0.0001,"PASS","FAIL")</x:f>
        <x:v>PASS</x:v>
      </x:c>
      <x:c r="G36" s="77" t="str">
        <x:v>passes weak soil</x:v>
      </x:c>
    </x:row>
    <x:row r="37">
      <x:c r="B37" s="76" t="str">
        <x:v>C031 T4 terrain pressure</x:v>
      </x:c>
      <x:c r="C37" s="76" t="n">
        <x:f>'Ground Pressure'!F10</x:f>
        <x:v>31.77174193548387</x:v>
      </x:c>
      <x:c r="D37" s="76" t="n">
        <x:v>31.771741935</x:v>
      </x:c>
      <x:c r="E37" s="76" t="n">
        <x:f>C37-D37</x:f>
        <x:v>4.838689449115918e-10</x:v>
      </x:c>
      <x:c r="F37" s="76" t="str">
        <x:f>IF(ABS(E37)&lt;0.0001,"PASS","FAIL")</x:f>
        <x:v>PASS</x:v>
      </x:c>
      <x:c r="G37" s="77" t="str">
        <x:v>passes weak soil</x:v>
      </x:c>
    </x:row>
    <x:row r="38">
      <x:c r="B38" s="76" t="str">
        <x:v>C032 terrain-pressure passes</x:v>
      </x:c>
      <x:c r="C38" s="76" t="n">
        <x:f>COUNTIFS('Ground Pressure'!H7:H10,"PASS")</x:f>
        <x:v>3</x:v>
      </x:c>
      <x:c r="D38" s="76" t="n">
        <x:v>3</x:v>
      </x:c>
      <x:c r="E38" s="76" t="n">
        <x:f>C38-D38</x:f>
        <x:v>0</x:v>
      </x:c>
      <x:c r="F38" s="76" t="str">
        <x:f>IF(ABS(E38)&lt;0.0001,"PASS","FAIL")</x:f>
        <x:v>PASS</x:v>
      </x:c>
      <x:c r="G38" s="77" t="str">
        <x:v>T2 T3 T4</x:v>
      </x:c>
    </x:row>
    <x:row r="39">
      <x:c r="B39" s="76" t="str">
        <x:v>C033 receiver-pressure passes</x:v>
      </x:c>
      <x:c r="C39" s="76" t="n">
        <x:f>COUNTIFS('Ground Pressure'!L7:L10,"PASS")</x:f>
        <x:v>4</x:v>
      </x:c>
      <x:c r="D39" s="76" t="n">
        <x:v>4</x:v>
      </x:c>
      <x:c r="E39" s="76" t="n">
        <x:f>C39-D39</x:f>
        <x:v>0</x:v>
      </x:c>
      <x:c r="F39" s="76" t="str">
        <x:f>IF(ABS(E39)&lt;0.0001,"PASS","FAIL")</x:f>
        <x:v>PASS</x:v>
      </x:c>
      <x:c r="G39" s="77" t="str">
        <x:v>all mission masses below sixty kPa</x:v>
      </x:c>
    </x:row>
    <x:row r="40">
      <x:c r="B40" s="76" t="str">
        <x:v>C034 T4 traction demand</x:v>
      </x:c>
      <x:c r="C40" s="76" t="n">
        <x:f>'Traction and Power'!F10</x:f>
        <x:v>1378.8936</x:v>
      </x:c>
      <x:c r="D40" s="76" t="n">
        <x:v>1378.8936</x:v>
      </x:c>
      <x:c r="E40" s="76" t="n">
        <x:f>C40-D40</x:f>
        <x:v>0</x:v>
      </x:c>
      <x:c r="F40" s="76" t="str">
        <x:f>IF(ABS(E40)&lt;0.0001,"PASS","FAIL")</x:f>
        <x:v>PASS</x:v>
      </x:c>
      <x:c r="G40" s="77" t="str">
        <x:v>grade plus rolling force</x:v>
      </x:c>
    </x:row>
    <x:row r="41">
      <x:c r="B41" s="76" t="str">
        <x:v>C035 T4 traction available</x:v>
      </x:c>
      <x:c r="C41" s="76" t="n">
        <x:f>'Traction and Power'!E10</x:f>
        <x:v>3053.2644</x:v>
      </x:c>
      <x:c r="D41" s="76" t="n">
        <x:v>3053.2644</x:v>
      </x:c>
      <x:c r="E41" s="76" t="n">
        <x:f>C41-D41</x:f>
        <x:v>0</x:v>
      </x:c>
      <x:c r="F41" s="76" t="str">
        <x:f>IF(ABS(E41)&lt;0.0001,"PASS","FAIL")</x:f>
        <x:v>PASS</x:v>
      </x:c>
      <x:c r="G41" s="77" t="str">
        <x:v>distributed pod force</x:v>
      </x:c>
    </x:row>
    <x:row r="42">
      <x:c r="B42" s="76" t="str">
        <x:v>C036 T4 tractive reserve</x:v>
      </x:c>
      <x:c r="C42" s="76" t="n">
        <x:f>'Traction and Power'!G10</x:f>
        <x:v>1.214285714285714</x:v>
      </x:c>
      <x:c r="D42" s="76" t="n">
        <x:v>1.214285714</x:v>
      </x:c>
      <x:c r="E42" s="76" t="n">
        <x:f>C42-D42</x:f>
        <x:v>2.857138969858397e-10</x:v>
      </x:c>
      <x:c r="F42" s="76" t="str">
        <x:f>IF(ABS(E42)&lt;0.0001,"PASS","FAIL")</x:f>
        <x:v>PASS</x:v>
      </x:c>
      <x:c r="G42" s="77" t="str">
        <x:v>above requirement</x:v>
      </x:c>
    </x:row>
    <x:row r="43">
      <x:c r="B43" s="76" t="str">
        <x:v>C037 traction passes</x:v>
      </x:c>
      <x:c r="C43" s="76" t="n">
        <x:f>COUNTIFS('Traction and Power'!O7:O10,"PASS")</x:f>
        <x:v>3</x:v>
      </x:c>
      <x:c r="D43" s="76" t="n">
        <x:v>3</x:v>
      </x:c>
      <x:c r="E43" s="76" t="n">
        <x:f>C43-D43</x:f>
        <x:v>0</x:v>
      </x:c>
      <x:c r="F43" s="76" t="str">
        <x:f>IF(ABS(E43)&lt;0.0001,"PASS","FAIL")</x:f>
        <x:v>PASS</x:v>
      </x:c>
      <x:c r="G43" s="77" t="str">
        <x:v>T1 T2 T4</x:v>
      </x:c>
    </x:row>
    <x:row r="44">
      <x:c r="B44" s="76" t="str">
        <x:v>C038 T4 maximum power</x:v>
      </x:c>
      <x:c r="C44" s="76" t="n">
        <x:f>'Traction and Power'!K10</x:f>
        <x:v>18.84867073170732</x:v>
      </x:c>
      <x:c r="D44" s="76" t="n">
        <x:v>18.848670732</x:v>
      </x:c>
      <x:c r="E44" s="76" t="n">
        <x:f>C44-D44</x:f>
        <x:v>-2.9267965828694287e-10</x:v>
      </x:c>
      <x:c r="F44" s="76" t="str">
        <x:f>IF(ABS(E44)&lt;0.0001,"PASS","FAIL")</x:f>
        <x:v>PASS</x:v>
      </x:c>
      <x:c r="G44" s="77" t="str">
        <x:v>governing broken-route demand</x:v>
      </x:c>
    </x:row>
    <x:row r="45">
      <x:c r="B45" s="76" t="str">
        <x:v>C039 T4 one-module-out power</x:v>
      </x:c>
      <x:c r="C45" s="76" t="n">
        <x:f>'Traction and Power'!N10</x:f>
        <x:v>29.333333333333332</x:v>
      </x:c>
      <x:c r="D45" s="76" t="n">
        <x:v>29.333333333</x:v>
      </x:c>
      <x:c r="E45" s="76" t="n">
        <x:f>C45-D45</x:f>
        <x:v>3.33333360913457e-10</x:v>
      </x:c>
      <x:c r="F45" s="76" t="str">
        <x:f>IF(ABS(E45)&lt;0.0001,"PASS","FAIL")</x:f>
        <x:v>PASS</x:v>
      </x:c>
      <x:c r="G45" s="77" t="str">
        <x:v>eleven of twelve modules</x:v>
      </x:c>
    </x:row>
    <x:row r="46">
      <x:c r="B46" s="76" t="str">
        <x:v>C040 N-1 power passes</x:v>
      </x:c>
      <x:c r="C46" s="76" t="n">
        <x:f>COUNTIFS('Traction and Power'!P7:P10,"PASS")</x:f>
        <x:v>4</x:v>
      </x:c>
      <x:c r="D46" s="76" t="n">
        <x:v>4</x:v>
      </x:c>
      <x:c r="E46" s="76" t="n">
        <x:f>C46-D46</x:f>
        <x:v>0</x:v>
      </x:c>
      <x:c r="F46" s="76" t="str">
        <x:f>IF(ABS(E46)&lt;0.0001,"PASS","FAIL")</x:f>
        <x:v>PASS</x:v>
      </x:c>
      <x:c r="G46" s="77" t="str">
        <x:v>all installed systems</x:v>
      </x:c>
    </x:row>
    <x:row r="47">
      <x:c r="B47" s="76" t="str">
        <x:v>C041 T4 mission energy</x:v>
      </x:c>
      <x:c r="C47" s="76" t="n">
        <x:f>'Traction and Power'!D18</x:f>
        <x:v>421.36</x:v>
      </x:c>
      <x:c r="D47" s="76" t="n">
        <x:v>421.36</x:v>
      </x:c>
      <x:c r="E47" s="76" t="n">
        <x:f>C47-D47</x:f>
        <x:v>0</x:v>
      </x:c>
      <x:c r="F47" s="76" t="str">
        <x:f>IF(ABS(E47)&lt;0.0001,"PASS","FAIL")</x:f>
        <x:v>PASS</x:v>
      </x:c>
      <x:c r="G47" s="77" t="str">
        <x:v>route plus route work</x:v>
      </x:c>
    </x:row>
    <x:row r="48">
      <x:c r="B48" s="76" t="str">
        <x:v>C042 T4 energy reserve</x:v>
      </x:c>
      <x:c r="C48" s="76" t="n">
        <x:f>'Traction and Power'!F18</x:f>
        <x:v>0.4239605088285552</x:v>
      </x:c>
      <x:c r="D48" s="76" t="n">
        <x:v>0.423960509</x:v>
      </x:c>
      <x:c r="E48" s="76" t="n">
        <x:f>C48-D48</x:f>
        <x:v>-1.7144480279895902e-10</x:v>
      </x:c>
      <x:c r="F48" s="76" t="str">
        <x:f>IF(ABS(E48)&lt;0.0001,"PASS","FAIL")</x:f>
        <x:v>PASS</x:v>
      </x:c>
      <x:c r="G48" s="77" t="str">
        <x:v>technology target reserve</x:v>
      </x:c>
    </x:row>
    <x:row r="49">
      <x:c r="B49" s="76" t="str">
        <x:v>C043 energy passes</x:v>
      </x:c>
      <x:c r="C49" s="76" t="n">
        <x:f>COUNTIFS('Traction and Power'!G15:G18,"PASS")</x:f>
        <x:v>4</x:v>
      </x:c>
      <x:c r="D49" s="76" t="n">
        <x:v>4</x:v>
      </x:c>
      <x:c r="E49" s="76" t="n">
        <x:f>C49-D49</x:f>
        <x:v>0</x:v>
      </x:c>
      <x:c r="F49" s="76" t="str">
        <x:f>IF(ABS(E49)&lt;0.0001,"PASS","FAIL")</x:f>
        <x:v>PASS</x:v>
      </x:c>
      <x:c r="G49" s="77" t="str">
        <x:v>declared onboard energy</x:v>
      </x:c>
    </x:row>
    <x:row r="50">
      <x:c r="B50" s="76" t="str">
        <x:v>C044 T1 terrain travel</x:v>
      </x:c>
      <x:c r="C50" s="76" t="n">
        <x:f>'Route and Clock'!H7</x:f>
        <x:v>41.285714285714285</x:v>
      </x:c>
      <x:c r="D50" s="76" t="n">
        <x:v>41.285714286</x:v>
      </x:c>
      <x:c r="E50" s="76" t="n">
        <x:f>C50-D50</x:f>
        <x:v>-2.857163394764939e-10</x:v>
      </x:c>
      <x:c r="F50" s="76" t="str">
        <x:f>IF(ABS(E50)&lt;0.0001,"PASS","FAIL")</x:f>
        <x:v>PASS</x:v>
      </x:c>
      <x:c r="G50" s="77" t="str">
        <x:v>speed and route work</x:v>
      </x:c>
    </x:row>
    <x:row r="51">
      <x:c r="B51" s="76" t="str">
        <x:v>C045 T2 terrain travel</x:v>
      </x:c>
      <x:c r="C51" s="76" t="n">
        <x:f>'Route and Clock'!H8</x:f>
        <x:v>67.11111111111111</x:v>
      </x:c>
      <x:c r="D51" s="76" t="n">
        <x:v>67.111111111</x:v>
      </x:c>
      <x:c r="E51" s="76" t="n">
        <x:f>C51-D51</x:f>
        <x:v>1.1111467301816447e-10</x:v>
      </x:c>
      <x:c r="F51" s="76" t="str">
        <x:f>IF(ABS(E51)&lt;0.0001,"PASS","FAIL")</x:f>
        <x:v>PASS</x:v>
      </x:c>
      <x:c r="G51" s="77" t="str">
        <x:v>speed and route work</x:v>
      </x:c>
    </x:row>
    <x:row r="52">
      <x:c r="B52" s="76" t="str">
        <x:v>C046 T3 terrain travel</x:v>
      </x:c>
      <x:c r="C52" s="76" t="n">
        <x:f>'Route and Clock'!H9</x:f>
        <x:v>28.896825396825395</x:v>
      </x:c>
      <x:c r="D52" s="76" t="n">
        <x:v>28.896825397</x:v>
      </x:c>
      <x:c r="E52" s="76" t="n">
        <x:f>C52-D52</x:f>
        <x:v>-1.7460521917200822e-10</x:v>
      </x:c>
      <x:c r="F52" s="76" t="str">
        <x:f>IF(ABS(E52)&lt;0.0001,"PASS","FAIL")</x:f>
        <x:v>PASS</x:v>
      </x:c>
      <x:c r="G52" s="77" t="str">
        <x:v>speed and route work</x:v>
      </x:c>
    </x:row>
    <x:row r="53">
      <x:c r="B53" s="76" t="str">
        <x:v>C047 T4 terrain travel</x:v>
      </x:c>
      <x:c r="C53" s="76" t="n">
        <x:f>'Route and Clock'!H10</x:f>
        <x:v>23.376623376623378</x:v>
      </x:c>
      <x:c r="D53" s="76" t="n">
        <x:v>23.376623377</x:v>
      </x:c>
      <x:c r="E53" s="76" t="n">
        <x:f>C53-D53</x:f>
        <x:v>-3.766231770896411e-10</x:v>
      </x:c>
      <x:c r="F53" s="76" t="str">
        <x:f>IF(ABS(E53)&lt;0.0001,"PASS","FAIL")</x:f>
        <x:v>PASS</x:v>
      </x:c>
      <x:c r="G53" s="77" t="str">
        <x:v>speed and route work</x:v>
      </x:c>
    </x:row>
    <x:row r="54">
      <x:c r="B54" s="76" t="str">
        <x:v>C048 clock passes</x:v>
      </x:c>
      <x:c r="C54" s="76" t="n">
        <x:f>COUNTIFS('Route and Clock'!Q7:Q10,"PASS")</x:f>
        <x:v>2</x:v>
      </x:c>
      <x:c r="D54" s="76" t="n">
        <x:v>2</x:v>
      </x:c>
      <x:c r="E54" s="76" t="n">
        <x:f>C54-D54</x:f>
        <x:v>0</x:v>
      </x:c>
      <x:c r="F54" s="76" t="str">
        <x:f>IF(ABS(E54)&lt;0.0001,"PASS","FAIL")</x:f>
        <x:v>PASS</x:v>
      </x:c>
      <x:c r="G54" s="77" t="str">
        <x:v>T3 and T4</x:v>
      </x:c>
    </x:row>
    <x:row r="55">
      <x:c r="B55" s="76" t="str">
        <x:v>C049 T4 relative service</x:v>
      </x:c>
      <x:c r="C55" s="76" t="n">
        <x:f>'Route and Clock'!M10</x:f>
        <x:v>39.37662337662338</x:v>
      </x:c>
      <x:c r="D55" s="76" t="n">
        <x:v>39.376623377</x:v>
      </x:c>
      <x:c r="E55" s="76" t="n">
        <x:f>C55-D55</x:f>
        <x:v>-3.766231770896411e-10</x:v>
      </x:c>
      <x:c r="F55" s="76" t="str">
        <x:f>IF(ABS(E55)&lt;0.0001,"PASS","FAIL")</x:f>
        <x:v>PASS</x:v>
      </x:c>
      <x:c r="G55" s="77" t="str">
        <x:v>inside hour forty-five</x:v>
      </x:c>
    </x:row>
    <x:row r="56">
      <x:c r="B56" s="76" t="str">
        <x:v>C050 T4 clock margin</x:v>
      </x:c>
      <x:c r="C56" s="76" t="n">
        <x:f>'Route and Clock'!N10</x:f>
        <x:v>5.623376623376622</x:v>
      </x:c>
      <x:c r="D56" s="76" t="n">
        <x:v>5.623376623</x:v>
      </x:c>
      <x:c r="E56" s="76" t="n">
        <x:f>C56-D56</x:f>
        <x:v>3.766214007328017e-10</x:v>
      </x:c>
      <x:c r="F56" s="76" t="str">
        <x:f>IF(ABS(E56)&lt;0.0001,"PASS","FAIL")</x:f>
        <x:v>PASS</x:v>
      </x:c>
      <x:c r="G56" s="77" t="str">
        <x:v>route reserve</x:v>
      </x:c>
    </x:row>
    <x:row r="57">
      <x:c r="B57" s="76" t="str">
        <x:v>C051 grade passes</x:v>
      </x:c>
      <x:c r="C57" s="76" t="n">
        <x:f>COUNTIFS('Obstacles and Water'!F7:F10,"PASS")</x:f>
        <x:v>3</x:v>
      </x:c>
      <x:c r="D57" s="76" t="n">
        <x:v>3</x:v>
      </x:c>
      <x:c r="E57" s="76" t="n">
        <x:f>C57-D57</x:f>
        <x:v>0</x:v>
      </x:c>
      <x:c r="F57" s="76" t="str">
        <x:f>IF(ABS(E57)&lt;0.0001,"PASS","FAIL")</x:f>
        <x:v>PASS</x:v>
      </x:c>
      <x:c r="G57" s="77" t="str">
        <x:v>T1 T2 T4</x:v>
      </x:c>
    </x:row>
    <x:row r="58">
      <x:c r="B58" s="76" t="str">
        <x:v>C052 side-slope passes</x:v>
      </x:c>
      <x:c r="C58" s="76" t="n">
        <x:f>COUNTIFS('Obstacles and Water'!I7:I10,"PASS")</x:f>
        <x:v>3</x:v>
      </x:c>
      <x:c r="D58" s="76" t="n">
        <x:v>3</x:v>
      </x:c>
      <x:c r="E58" s="76" t="n">
        <x:f>C58-D58</x:f>
        <x:v>0</x:v>
      </x:c>
      <x:c r="F58" s="76" t="str">
        <x:f>IF(ABS(E58)&lt;0.0001,"PASS","FAIL")</x:f>
        <x:v>PASS</x:v>
      </x:c>
      <x:c r="G58" s="77" t="str">
        <x:v>T1 T2 T4</x:v>
      </x:c>
    </x:row>
    <x:row r="59">
      <x:c r="B59" s="76" t="str">
        <x:v>C053 step passes</x:v>
      </x:c>
      <x:c r="C59" s="76" t="n">
        <x:f>COUNTIFS('Obstacles and Water'!L7:L10,"PASS")</x:f>
        <x:v>2</x:v>
      </x:c>
      <x:c r="D59" s="76" t="n">
        <x:v>2</x:v>
      </x:c>
      <x:c r="E59" s="76" t="n">
        <x:f>C59-D59</x:f>
        <x:v>0</x:v>
      </x:c>
      <x:c r="F59" s="76" t="str">
        <x:f>IF(ABS(E59)&lt;0.0001,"PASS","FAIL")</x:f>
        <x:v>PASS</x:v>
      </x:c>
      <x:c r="G59" s="77" t="str">
        <x:v>T2 and T4</x:v>
      </x:c>
    </x:row>
    <x:row r="60">
      <x:c r="B60" s="76" t="str">
        <x:v>C054 gap passes</x:v>
      </x:c>
      <x:c r="C60" s="76" t="n">
        <x:f>COUNTIFS('Obstacles and Water'!O7:O10,"PASS")</x:f>
        <x:v>1</x:v>
      </x:c>
      <x:c r="D60" s="76" t="n">
        <x:v>1</x:v>
      </x:c>
      <x:c r="E60" s="76" t="n">
        <x:f>C60-D60</x:f>
        <x:v>0</x:v>
      </x:c>
      <x:c r="F60" s="76" t="str">
        <x:f>IF(ABS(E60)&lt;0.0001,"PASS","FAIL")</x:f>
        <x:v>PASS</x:v>
      </x:c>
      <x:c r="G60" s="77" t="str">
        <x:v>only T4</x:v>
      </x:c>
    </x:row>
    <x:row r="61">
      <x:c r="B61" s="76" t="str">
        <x:v>C055 water passes</x:v>
      </x:c>
      <x:c r="C61" s="76" t="n">
        <x:f>COUNTIFS('Obstacles and Water'!R7:R10,"PASS")</x:f>
        <x:v>2</x:v>
      </x:c>
      <x:c r="D61" s="76" t="n">
        <x:v>2</x:v>
      </x:c>
      <x:c r="E61" s="76" t="n">
        <x:f>C61-D61</x:f>
        <x:v>0</x:v>
      </x:c>
      <x:c r="F61" s="76" t="str">
        <x:f>IF(ABS(E61)&lt;0.0001,"PASS","FAIL")</x:f>
        <x:v>PASS</x:v>
      </x:c>
      <x:c r="G61" s="77" t="str">
        <x:v>T3 and T4</x:v>
      </x:c>
    </x:row>
    <x:row r="62">
      <x:c r="B62" s="76" t="str">
        <x:v>C056 width passes</x:v>
      </x:c>
      <x:c r="C62" s="76" t="n">
        <x:f>COUNTIFS('Obstacles and Water'!U7:U10,"PASS")</x:f>
        <x:v>3</x:v>
      </x:c>
      <x:c r="D62" s="76" t="n">
        <x:v>3</x:v>
      </x:c>
      <x:c r="E62" s="76" t="n">
        <x:f>C62-D62</x:f>
        <x:v>0</x:v>
      </x:c>
      <x:c r="F62" s="76" t="str">
        <x:f>IF(ABS(E62)&lt;0.0001,"PASS","FAIL")</x:f>
        <x:v>PASS</x:v>
      </x:c>
      <x:c r="G62" s="77" t="str">
        <x:v>T1 T2 T4</x:v>
      </x:c>
    </x:row>
    <x:row r="63">
      <x:c r="B63" s="76" t="str">
        <x:v>C057 turn passes</x:v>
      </x:c>
      <x:c r="C63" s="76" t="n">
        <x:f>COUNTIFS('Obstacles and Water'!X7:X10,"PASS")</x:f>
        <x:v>2</x:v>
      </x:c>
      <x:c r="D63" s="76" t="n">
        <x:v>2</x:v>
      </x:c>
      <x:c r="E63" s="76" t="n">
        <x:f>C63-D63</x:f>
        <x:v>0</x:v>
      </x:c>
      <x:c r="F63" s="76" t="str">
        <x:f>IF(ABS(E63)&lt;0.0001,"PASS","FAIL")</x:f>
        <x:v>PASS</x:v>
      </x:c>
      <x:c r="G63" s="77" t="str">
        <x:v>T2 and T4</x:v>
      </x:c>
    </x:row>
    <x:row r="64">
      <x:c r="B64" s="76" t="str">
        <x:v>C058 compound obstacle passes</x:v>
      </x:c>
      <x:c r="C64" s="76" t="n">
        <x:f>COUNTIFS('Obstacles and Water'!Z7:Z10,"PASS")</x:f>
        <x:v>1</x:v>
      </x:c>
      <x:c r="D64" s="76" t="n">
        <x:v>1</x:v>
      </x:c>
      <x:c r="E64" s="76" t="n">
        <x:f>C64-D64</x:f>
        <x:v>0</x:v>
      </x:c>
      <x:c r="F64" s="76" t="str">
        <x:f>IF(ABS(E64)&lt;0.0001,"PASS","FAIL")</x:f>
        <x:v>PASS</x:v>
      </x:c>
      <x:c r="G64" s="77" t="str">
        <x:v>only T4</x:v>
      </x:c>
    </x:row>
    <x:row r="65">
      <x:c r="B65" s="76" t="str">
        <x:v>C059 recovery pull-ratio passes</x:v>
      </x:c>
      <x:c r="C65" s="76" t="n">
        <x:f>COUNTIFS(Recovery!F7:F10,"PASS")</x:f>
        <x:v>2</x:v>
      </x:c>
      <x:c r="D65" s="76" t="n">
        <x:v>2</x:v>
      </x:c>
      <x:c r="E65" s="76" t="n">
        <x:f>C65-D65</x:f>
        <x:v>0</x:v>
      </x:c>
      <x:c r="F65" s="76" t="str">
        <x:f>IF(ABS(E65)&lt;0.0001,"PASS","FAIL")</x:f>
        <x:v>PASS</x:v>
      </x:c>
      <x:c r="G65" s="77" t="str">
        <x:v>T2 and T4</x:v>
      </x:c>
    </x:row>
    <x:row r="66">
      <x:c r="B66" s="76" t="str">
        <x:v>C060 compound recovery passes</x:v>
      </x:c>
      <x:c r="C66" s="76" t="n">
        <x:f>COUNTIFS(Recovery!P7:P10,"PASS")</x:f>
        <x:v>1</x:v>
      </x:c>
      <x:c r="D66" s="76" t="n">
        <x:v>1</x:v>
      </x:c>
      <x:c r="E66" s="76" t="n">
        <x:f>C66-D66</x:f>
        <x:v>0</x:v>
      </x:c>
      <x:c r="F66" s="76" t="str">
        <x:f>IF(ABS(E66)&lt;0.0001,"PASS","FAIL")</x:f>
        <x:v>PASS</x:v>
      </x:c>
      <x:c r="G66" s="77" t="str">
        <x:v>only T4 retains gap capacity</x:v>
      </x:c>
    </x:row>
    <x:row r="67">
      <x:c r="B67" s="76" t="str">
        <x:v>C061 T4 bridge residual</x:v>
      </x:c>
      <x:c r="C67" s="76" t="n">
        <x:f>Recovery!M10</x:f>
        <x:v>20</x:v>
      </x:c>
      <x:c r="D67" s="76" t="n">
        <x:v>20</x:v>
      </x:c>
      <x:c r="E67" s="76" t="n">
        <x:f>C67-D67</x:f>
        <x:v>0</x:v>
      </x:c>
      <x:c r="F67" s="76" t="str">
        <x:f>IF(ABS(E67)&lt;0.0001,"PASS","FAIL")</x:f>
        <x:v>PASS</x:v>
      </x:c>
      <x:c r="G67" s="77" t="str">
        <x:v>twenty metres after panel loss</x:v>
      </x:c>
    </x:row>
    <x:row r="68">
      <x:c r="B68" s="76" t="str">
        <x:v>C062 T4 drive modules</x:v>
      </x:c>
      <x:c r="C68" s="76" t="n">
        <x:f>Recovery!G10</x:f>
        <x:v>12</x:v>
      </x:c>
      <x:c r="D68" s="76" t="n">
        <x:v>12</x:v>
      </x:c>
      <x:c r="E68" s="76" t="n">
        <x:f>C68-D68</x:f>
        <x:v>0</x:v>
      </x:c>
      <x:c r="F68" s="76" t="str">
        <x:f>IF(ABS(E68)&lt;0.0001,"PASS","FAIL")</x:f>
        <x:v>PASS</x:v>
      </x:c>
      <x:c r="G68" s="77" t="str">
        <x:v>distributed mobility</x:v>
      </x:c>
    </x:row>
    <x:row r="69">
      <x:c r="B69" s="76" t="str">
        <x:v>C063 T4 one-module remainder</x:v>
      </x:c>
      <x:c r="C69" s="76" t="n">
        <x:f>Recovery!I10</x:f>
        <x:v>11</x:v>
      </x:c>
      <x:c r="D69" s="76" t="n">
        <x:v>11</x:v>
      </x:c>
      <x:c r="E69" s="76" t="n">
        <x:f>C69-D69</x:f>
        <x:v>0</x:v>
      </x:c>
      <x:c r="F69" s="76" t="str">
        <x:f>IF(ABS(E69)&lt;0.0001,"PASS","FAIL")</x:f>
        <x:v>PASS</x:v>
      </x:c>
      <x:c r="G69" s="77" t="str">
        <x:v>degraded continuation</x:v>
      </x:c>
    </x:row>
    <x:row r="70">
      <x:c r="B70" s="76" t="str">
        <x:v>C064 T4 unload</x:v>
      </x:c>
      <x:c r="C70" s="76" t="n">
        <x:f>'Receiver and Unload'!O10</x:f>
        <x:v>3.25</x:v>
      </x:c>
      <x:c r="D70" s="76" t="n">
        <x:v>3.25</x:v>
      </x:c>
      <x:c r="E70" s="76" t="n">
        <x:f>C70-D70</x:f>
        <x:v>0</x:v>
      </x:c>
      <x:c r="F70" s="76" t="str">
        <x:f>IF(ABS(E70)&lt;0.0001,"PASS","FAIL")</x:f>
        <x:v>PASS</x:v>
      </x:c>
      <x:c r="G70" s="77" t="str">
        <x:v>inside four hours</x:v>
      </x:c>
    </x:row>
    <x:row r="71">
      <x:c r="B71" s="76" t="str">
        <x:v>C065 receiver passes</x:v>
      </x:c>
      <x:c r="C71" s="76" t="n">
        <x:f>COUNTIFS('Receiver and Unload'!R7:R10,"PASS")</x:f>
        <x:v>2</x:v>
      </x:c>
      <x:c r="D71" s="76" t="n">
        <x:v>2</x:v>
      </x:c>
      <x:c r="E71" s="76" t="n">
        <x:f>C71-D71</x:f>
        <x:v>0</x:v>
      </x:c>
      <x:c r="F71" s="76" t="str">
        <x:f>IF(ABS(E71)&lt;0.0001,"PASS","FAIL")</x:f>
        <x:v>PASS</x:v>
      </x:c>
      <x:c r="G71" s="77" t="str">
        <x:v>T2 and T4</x:v>
      </x:c>
    </x:row>
    <x:row r="72">
      <x:c r="B72" s="76" t="str">
        <x:v>C066 T4 decision</x:v>
      </x:c>
      <x:c r="C72" s="76" t="str">
        <x:f>Summary!P11</x:f>
        <x:v>PASS</x:v>
      </x:c>
      <x:c r="D72" s="76" t="str">
        <x:v>PASS</x:v>
      </x:c>
      <x:c r="E72" s="76" t="str"/>
      <x:c r="F72" s="76" t="str">
        <x:f>IF(C72=D72,"PASS","FAIL")</x:f>
        <x:v>PASS</x:v>
      </x:c>
      <x:c r="G72" s="77" t="str">
        <x:v>provisional universal reference</x:v>
      </x:c>
    </x:row>
    <x:row r="73">
      <x:c r="B73" s="76" t="str">
        <x:v>C067 universal architecture passes</x:v>
      </x:c>
      <x:c r="C73" s="76" t="n">
        <x:f>COUNTIFS(Summary!P8:P11,"PASS")</x:f>
        <x:v>1</x:v>
      </x:c>
      <x:c r="D73" s="76" t="n">
        <x:v>1</x:v>
      </x:c>
      <x:c r="E73" s="76" t="n">
        <x:f>C73-D73</x:f>
        <x:v>0</x:v>
      </x:c>
      <x:c r="F73" s="76" t="str">
        <x:f>IF(ABS(E73)&lt;0.0001,"PASS","FAIL")</x:f>
        <x:v>PASS</x:v>
      </x:c>
      <x:c r="G73" s="77" t="str">
        <x:v>one research reference</x:v>
      </x:c>
    </x:row>
    <x:row r="74">
      <x:c r="B74" s="76" t="str">
        <x:v>C068 resilience worlds</x:v>
      </x:c>
      <x:c r="C74" s="76" t="n">
        <x:f>COUNTA(Resilience!B7:B28)</x:f>
        <x:v>22</x:v>
      </x:c>
      <x:c r="D74" s="76" t="n">
        <x:v>22</x:v>
      </x:c>
      <x:c r="E74" s="76" t="n">
        <x:f>C74-D74</x:f>
        <x:v>0</x:v>
      </x:c>
      <x:c r="F74" s="76" t="str">
        <x:f>IF(ABS(E74)&lt;0.0001,"PASS","FAIL")</x:f>
        <x:v>PASS</x:v>
      </x:c>
      <x:c r="G74" s="77" t="str">
        <x:v>selected-reference worlds</x:v>
      </x:c>
    </x:row>
    <x:row r="75">
      <x:c r="B75" s="76" t="str">
        <x:v>C069 behavior passes</x:v>
      </x:c>
      <x:c r="C75" s="76" t="n">
        <x:f>COUNTIFS(Resilience!M7:M28,"PASS")</x:f>
        <x:v>21</x:v>
      </x:c>
      <x:c r="D75" s="76" t="n">
        <x:v>21</x:v>
      </x:c>
      <x:c r="E75" s="76" t="n">
        <x:f>C75-D75</x:f>
        <x:v>0</x:v>
      </x:c>
      <x:c r="F75" s="76" t="str">
        <x:f>IF(ABS(E75)&lt;0.0001,"PASS","FAIL")</x:f>
        <x:v>PASS</x:v>
      </x:c>
      <x:c r="G75" s="77" t="str">
        <x:v>all except both-mode denial</x:v>
      </x:c>
    </x:row>
    <x:row r="76">
      <x:c r="B76" s="76" t="str">
        <x:v>C070 current evidence passes</x:v>
      </x:c>
      <x:c r="C76" s="76" t="n">
        <x:f>COUNTIFS(Resilience!N7:N28,"PASS")</x:f>
        <x:v>0</x:v>
      </x:c>
      <x:c r="D76" s="76" t="n">
        <x:v>0</x:v>
      </x:c>
      <x:c r="E76" s="76" t="n">
        <x:f>C76-D76</x:f>
        <x:v>0</x:v>
      </x:c>
      <x:c r="F76" s="76" t="str">
        <x:f>IF(ABS(E76)&lt;0.0001,"PASS","FAIL")</x:f>
        <x:v>PASS</x:v>
      </x:c>
      <x:c r="G76" s="77" t="str">
        <x:v>behavior is not evidence</x:v>
      </x:c>
    </x:row>
    <x:row r="77">
      <x:c r="B77" s="76" t="str">
        <x:v>C071 terrain path unavailable worlds</x:v>
      </x:c>
      <x:c r="C77" s="76" t="n">
        <x:f>COUNTIFS(Resilience!H7:H28,0)</x:f>
        <x:v>4</x:v>
      </x:c>
      <x:c r="D77" s="76" t="n">
        <x:v>4</x:v>
      </x:c>
      <x:c r="E77" s="76" t="n">
        <x:f>C77-D77</x:f>
        <x:v>0</x:v>
      </x:c>
      <x:c r="F77" s="76" t="str">
        <x:f>IF(ABS(E77)&lt;0.0001,"PASS","FAIL")</x:f>
        <x:v>PASS</x:v>
      </x:c>
      <x:c r="G77" s="77" t="str">
        <x:v>vehicle receiver whole-mode and both-mode loss</x:v>
      </x:c>
    </x:row>
    <x:row r="78">
      <x:c r="B78" s="76" t="str">
        <x:v>C072 DCP effect passes</x:v>
      </x:c>
      <x:c r="C78" s="76" t="n">
        <x:f>SUM(Resilience!L7:L28)</x:f>
        <x:v>21</x:v>
      </x:c>
      <x:c r="D78" s="76" t="n">
        <x:v>21</x:v>
      </x:c>
      <x:c r="E78" s="76" t="n">
        <x:f>C78-D78</x:f>
        <x:v>0</x:v>
      </x:c>
      <x:c r="F78" s="76" t="str">
        <x:f>IF(ABS(E78)&lt;0.0001,"PASS","FAIL")</x:f>
        <x:v>PASS</x:v>
      </x:c>
      <x:c r="G78" s="77" t="str">
        <x:v>HBL preserves terrain cuts</x:v>
      </x:c>
    </x:row>
    <x:row r="79">
      <x:c r="B79" s="76" t="str">
        <x:v>C073 reset workstreams</x:v>
      </x:c>
      <x:c r="C79" s="76" t="n">
        <x:f>COUNTA(Reset!B7:B12)</x:f>
        <x:v>6</x:v>
      </x:c>
      <x:c r="D79" s="76" t="n">
        <x:v>6</x:v>
      </x:c>
      <x:c r="E79" s="76" t="n">
        <x:f>C79-D79</x:f>
        <x:v>0</x:v>
      </x:c>
      <x:c r="F79" s="76" t="str">
        <x:f>IF(ABS(E79)&lt;0.0001,"PASS","FAIL")</x:f>
        <x:v>PASS</x:v>
      </x:c>
      <x:c r="G79" s="77" t="str">
        <x:v>independent return-to-service clocks</x:v>
      </x:c>
    </x:row>
    <x:row r="80">
      <x:c r="B80" s="76" t="str">
        <x:v>C074 reset critical path</x:v>
      </x:c>
      <x:c r="C80" s="76" t="n">
        <x:f>Reset!D17</x:f>
        <x:v>148</x:v>
      </x:c>
      <x:c r="D80" s="76" t="n">
        <x:v>148</x:v>
      </x:c>
      <x:c r="E80" s="76" t="n">
        <x:f>C80-D80</x:f>
        <x:v>0</x:v>
      </x:c>
      <x:c r="F80" s="76" t="str">
        <x:f>IF(ABS(E80)&lt;0.0001,"PASS","FAIL")</x:f>
        <x:v>PASS</x:v>
      </x:c>
      <x:c r="G80" s="77" t="str">
        <x:v>longest declared concurrent path</x:v>
      </x:c>
    </x:row>
    <x:row r="81">
      <x:c r="B81" s="76" t="str">
        <x:v>C075 reset passes</x:v>
      </x:c>
      <x:c r="C81" s="76" t="n">
        <x:f>COUNTIFS(Reset!M7:M12,"PASS")</x:f>
        <x:v>6</x:v>
      </x:c>
      <x:c r="D81" s="76" t="n">
        <x:v>6</x:v>
      </x:c>
      <x:c r="E81" s="76" t="n">
        <x:f>C81-D81</x:f>
        <x:v>0</x:v>
      </x:c>
      <x:c r="F81" s="76" t="str">
        <x:f>IF(ABS(E81)&lt;0.0001,"PASS","FAIL")</x:f>
        <x:v>PASS</x:v>
      </x:c>
      <x:c r="G81" s="77" t="str">
        <x:v>all workstreams inside ceiling</x:v>
      </x:c>
    </x:row>
    <x:row r="82">
      <x:c r="B82" s="76" t="str">
        <x:v>C076 reset boundary</x:v>
      </x:c>
      <x:c r="C82" s="76" t="str">
        <x:f>Reset!G17</x:f>
        <x:v>PASS</x:v>
      </x:c>
      <x:c r="D82" s="76" t="str">
        <x:v>PASS</x:v>
      </x:c>
      <x:c r="E82" s="76" t="str"/>
      <x:c r="F82" s="76" t="str">
        <x:f>IF(C82=D82,"PASS","FAIL")</x:f>
        <x:v>PASS</x:v>
      </x:c>
      <x:c r="G82" s="77" t="str">
        <x:v>selected vehicle inside 168 hours</x:v>
      </x:c>
    </x:row>
    <x:row r="83">
      <x:c r="B83" s="76" t="str">
        <x:v>C077 deployed addition</x:v>
      </x:c>
      <x:c r="C83" s="76" t="n">
        <x:f>Workforce!C12</x:f>
        <x:v>64</x:v>
      </x:c>
      <x:c r="D83" s="76" t="n">
        <x:v>64</x:v>
      </x:c>
      <x:c r="E83" s="76" t="n">
        <x:f>C83-D83</x:f>
        <x:v>0</x:v>
      </x:c>
      <x:c r="F83" s="76" t="str">
        <x:f>IF(ABS(E83)&lt;0.0001,"PASS","FAIL")</x:f>
        <x:v>PASS</x:v>
      </x:c>
      <x:c r="G83" s="77" t="str">
        <x:v>architecture labor</x:v>
      </x:c>
    </x:row>
    <x:row r="84">
      <x:c r="B84" s="76" t="str">
        <x:v>C078 affiliated addition</x:v>
      </x:c>
      <x:c r="C84" s="76" t="n">
        <x:f>Workforce!D12</x:f>
        <x:v>144</x:v>
      </x:c>
      <x:c r="D84" s="76" t="n">
        <x:v>144</x:v>
      </x:c>
      <x:c r="E84" s="76" t="n">
        <x:f>C84-D84</x:f>
        <x:v>0</x:v>
      </x:c>
      <x:c r="F84" s="76" t="str">
        <x:f>IF(ABS(E84)&lt;0.0001,"PASS","FAIL")</x:f>
        <x:v>PASS</x:v>
      </x:c>
      <x:c r="G84" s="77" t="str">
        <x:v>school depot and reserve depth</x:v>
      </x:c>
    </x:row>
    <x:row r="85">
      <x:c r="B85" s="76" t="str">
        <x:v>C079 watch addition</x:v>
      </x:c>
      <x:c r="C85" s="76" t="n">
        <x:f>Workforce!E12</x:f>
        <x:v>20</x:v>
      </x:c>
      <x:c r="D85" s="76" t="n">
        <x:v>20</x:v>
      </x:c>
      <x:c r="E85" s="76" t="n">
        <x:f>C85-D85</x:f>
        <x:v>0</x:v>
      </x:c>
      <x:c r="F85" s="76" t="str">
        <x:f>IF(ABS(E85)&lt;0.0001,"PASS","FAIL")</x:f>
        <x:v>PASS</x:v>
      </x:c>
      <x:c r="G85" s="77" t="str">
        <x:v>launch route and recovery posture</x:v>
      </x:c>
    </x:row>
    <x:row r="86">
      <x:c r="B86" s="76" t="str">
        <x:v>C080 revised deployed</x:v>
      </x:c>
      <x:c r="C86" s="76" t="n">
        <x:f>Workforce!E17</x:f>
        <x:v>592</x:v>
      </x:c>
      <x:c r="D86" s="76" t="n">
        <x:v>592</x:v>
      </x:c>
      <x:c r="E86" s="76" t="n">
        <x:f>C86-D86</x:f>
        <x:v>0</x:v>
      </x:c>
      <x:c r="F86" s="76" t="str">
        <x:f>IF(ABS(E86)&lt;0.0001,"PASS","FAIL")</x:f>
        <x:v>PASS</x:v>
      </x:c>
      <x:c r="G86" s="77" t="str">
        <x:v>Pass 83 plus T4</x:v>
      </x:c>
    </x:row>
    <x:row r="87">
      <x:c r="B87" s="76" t="str">
        <x:v>C081 revised affiliated</x:v>
      </x:c>
      <x:c r="C87" s="76" t="n">
        <x:f>Workforce!E18</x:f>
        <x:v>1301</x:v>
      </x:c>
      <x:c r="D87" s="76" t="n">
        <x:v>1301</x:v>
      </x:c>
      <x:c r="E87" s="76" t="n">
        <x:f>C87-D87</x:f>
        <x:v>0</x:v>
      </x:c>
      <x:c r="F87" s="76" t="str">
        <x:f>IF(ABS(E87)&lt;0.0001,"PASS","FAIL")</x:f>
        <x:v>PASS</x:v>
      </x:c>
      <x:c r="G87" s="77" t="str">
        <x:v>Pass 83 plus T4</x:v>
      </x:c>
    </x:row>
    <x:row r="88">
      <x:c r="B88" s="76" t="str">
        <x:v>C082 revised watch</x:v>
      </x:c>
      <x:c r="C88" s="76" t="n">
        <x:f>Workforce!E19</x:f>
        <x:v>194</x:v>
      </x:c>
      <x:c r="D88" s="76" t="n">
        <x:v>194</x:v>
      </x:c>
      <x:c r="E88" s="76" t="n">
        <x:f>C88-D88</x:f>
        <x:v>0</x:v>
      </x:c>
      <x:c r="F88" s="76" t="str">
        <x:f>IF(ABS(E88)&lt;0.0001,"PASS","FAIL")</x:f>
        <x:v>PASS</x:v>
      </x:c>
      <x:c r="G88" s="77" t="str">
        <x:v>Pass 83 plus T4</x:v>
      </x:c>
    </x:row>
    <x:row r="89">
      <x:c r="B89" s="76" t="str">
        <x:v>C083 production operational fleet</x:v>
      </x:c>
      <x:c r="C89" s="76" t="n">
        <x:f>Production!C9</x:f>
        <x:v>172</x:v>
      </x:c>
      <x:c r="D89" s="76" t="n">
        <x:v>172</x:v>
      </x:c>
      <x:c r="E89" s="76" t="n">
        <x:f>C89-D89</x:f>
        <x:v>0</x:v>
      </x:c>
      <x:c r="F89" s="76" t="str">
        <x:f>IF(ABS(E89)&lt;0.0001,"PASS","FAIL")</x:f>
        <x:v>PASS</x:v>
      </x:c>
      <x:c r="G89" s="77" t="str">
        <x:v>four per ready package</x:v>
      </x:c>
    </x:row>
    <x:row r="90">
      <x:c r="B90" s="76" t="str">
        <x:v>C084 production reserve fleet</x:v>
      </x:c>
      <x:c r="C90" s="76" t="n">
        <x:f>Production!C10</x:f>
        <x:v>35</x:v>
      </x:c>
      <x:c r="D90" s="76" t="n">
        <x:v>35</x:v>
      </x:c>
      <x:c r="E90" s="76" t="n">
        <x:f>C90-D90</x:f>
        <x:v>0</x:v>
      </x:c>
      <x:c r="F90" s="76" t="str">
        <x:f>IF(ABS(E90)&lt;0.0001,"PASS","FAIL")</x:f>
        <x:v>PASS</x:v>
      </x:c>
      <x:c r="G90" s="77" t="str">
        <x:v>twenty-percent pool</x:v>
      </x:c>
    </x:row>
    <x:row r="91">
      <x:c r="B91" s="76" t="str">
        <x:v>C085 production total articles</x:v>
      </x:c>
      <x:c r="C91" s="76" t="n">
        <x:f>Production!C11</x:f>
        <x:v>219</x:v>
      </x:c>
      <x:c r="D91" s="76" t="n">
        <x:v>219</x:v>
      </x:c>
      <x:c r="E91" s="76" t="n">
        <x:f>C91-D91</x:f>
        <x:v>0</x:v>
      </x:c>
      <x:c r="F91" s="76" t="str">
        <x:f>IF(ABS(E91)&lt;0.0001,"PASS","FAIL")</x:f>
        <x:v>PASS</x:v>
      </x:c>
      <x:c r="G91" s="77" t="str">
        <x:v>national program</x:v>
      </x:c>
    </x:row>
    <x:row r="92">
      <x:c r="B92" s="76" t="str">
        <x:v>C086 scheduled production</x:v>
      </x:c>
      <x:c r="C92" s="76" t="n">
        <x:f>SUM(Production!C16:C40)</x:f>
        <x:v>219</x:v>
      </x:c>
      <x:c r="D92" s="76" t="n">
        <x:v>219</x:v>
      </x:c>
      <x:c r="E92" s="76" t="n">
        <x:f>C92-D92</x:f>
        <x:v>0</x:v>
      </x:c>
      <x:c r="F92" s="76" t="str">
        <x:f>IF(ABS(E92)&lt;0.0001,"PASS","FAIL")</x:f>
        <x:v>PASS</x:v>
      </x:c>
      <x:c r="G92" s="77" t="str">
        <x:v>twenty-five-year output</x:v>
      </x:c>
    </x:row>
    <x:row r="93">
      <x:c r="B93" s="76" t="str">
        <x:v>C087 peak annual rate</x:v>
      </x:c>
      <x:c r="C93" s="76" t="n">
        <x:f>MAX(Production!C16:C40)</x:f>
        <x:v>16</x:v>
      </x:c>
      <x:c r="D93" s="76" t="n">
        <x:v>16</x:v>
      </x:c>
      <x:c r="E93" s="76" t="n">
        <x:f>C93-D93</x:f>
        <x:v>0</x:v>
      </x:c>
      <x:c r="F93" s="76" t="str">
        <x:f>IF(ABS(E93)&lt;0.0001,"PASS","FAIL")</x:f>
        <x:v>PASS</x:v>
      </x:c>
      <x:c r="G93" s="77" t="str">
        <x:v>three integration lines</x:v>
      </x:c>
    </x:row>
    <x:row r="94">
      <x:c r="B94" s="76" t="str">
        <x:v>C088 integration lines</x:v>
      </x:c>
      <x:c r="C94" s="76" t="n">
        <x:f>Production!J16</x:f>
        <x:v>3</x:v>
      </x:c>
      <x:c r="D94" s="76" t="n">
        <x:v>3</x:v>
      </x:c>
      <x:c r="E94" s="76" t="n">
        <x:f>C94-D94</x:f>
        <x:v>0</x:v>
      </x:c>
      <x:c r="F94" s="76" t="str">
        <x:f>IF(ABS(E94)&lt;0.0001,"PASS","FAIL")</x:f>
        <x:v>PASS</x:v>
      </x:c>
      <x:c r="G94" s="77" t="str">
        <x:v>plural final assembly</x:v>
      </x:c>
    </x:row>
    <x:row r="95">
      <x:c r="B95" s="76" t="str">
        <x:v>C089 mobility lineages</x:v>
      </x:c>
      <x:c r="C95" s="76" t="n">
        <x:f>Production!J17</x:f>
        <x:v>3</x:v>
      </x:c>
      <x:c r="D95" s="76" t="n">
        <x:v>3</x:v>
      </x:c>
      <x:c r="E95" s="76" t="n">
        <x:f>C95-D95</x:f>
        <x:v>0</x:v>
      </x:c>
      <x:c r="F95" s="76" t="str">
        <x:f>IF(ABS(E95)&lt;0.0001,"PASS","FAIL")</x:f>
        <x:v>PASS</x:v>
      </x:c>
      <x:c r="G95" s="77" t="str">
        <x:v>supplier independence</x:v>
      </x:c>
    </x:row>
    <x:row r="96">
      <x:c r="B96" s="76" t="str">
        <x:v>C090 peak direct workforce</x:v>
      </x:c>
      <x:c r="C96" s="76" t="n">
        <x:f>Production!J22</x:f>
        <x:v>28000</x:v>
      </x:c>
      <x:c r="D96" s="76" t="n">
        <x:v>28000</x:v>
      </x:c>
      <x:c r="E96" s="76" t="n">
        <x:f>C96-D96</x:f>
        <x:v>0</x:v>
      </x:c>
      <x:c r="F96" s="76" t="str">
        <x:f>IF(ABS(E96)&lt;0.0001,"PASS","FAIL")</x:f>
        <x:v>PASS</x:v>
      </x:c>
      <x:c r="G96" s="77" t="str">
        <x:v>industrial boundary</x:v>
      </x:c>
    </x:row>
    <x:row r="97">
      <x:c r="B97" s="76" t="str">
        <x:v>C091 T4 architecture program</x:v>
      </x:c>
      <x:c r="C97" s="76" t="n">
        <x:f>'Program Cost'!F16</x:f>
        <x:v>882.8269399999999</x:v>
      </x:c>
      <x:c r="D97" s="76" t="n">
        <x:v>882.82694</x:v>
      </x:c>
      <x:c r="E97" s="76" t="n">
        <x:f>C97-D97</x:f>
        <x:v>-1.1368683772161603e-13</x:v>
      </x:c>
      <x:c r="F97" s="76" t="str">
        <x:f>IF(ABS(E97)&lt;0.0001,"PASS","FAIL")</x:f>
        <x:v>PASS</x:v>
      </x:c>
      <x:c r="G97" s="77" t="str">
        <x:v>complete ATUT account</x:v>
      </x:c>
    </x:row>
    <x:row r="98">
      <x:c r="B98" s="76" t="str">
        <x:v>C092 non-ATUT remainder</x:v>
      </x:c>
      <x:c r="C98" s="76" t="n">
        <x:f>'Program Cost'!F17</x:f>
        <x:v>1226.98385</x:v>
      </x:c>
      <x:c r="D98" s="76" t="n">
        <x:v>1226.98385</x:v>
      </x:c>
      <x:c r="E98" s="76" t="n">
        <x:f>C98-D98</x:f>
        <x:v>0</x:v>
      </x:c>
      <x:c r="F98" s="76" t="str">
        <x:f>IF(ABS(E98)&lt;0.0001,"PASS","FAIL")</x:f>
        <x:v>PASS</x:v>
      </x:c>
      <x:c r="G98" s="77" t="str">
        <x:v>Pass 83 less generic ATUT</x:v>
      </x:c>
    </x:row>
    <x:row r="99">
      <x:c r="B99" s="76" t="str">
        <x:v>C093 revised DCP-2</x:v>
      </x:c>
      <x:c r="C99" s="76" t="n">
        <x:f>'Program Cost'!F18</x:f>
        <x:v>2109.81079</x:v>
      </x:c>
      <x:c r="D99" s="76" t="n">
        <x:v>2109.81079</x:v>
      </x:c>
      <x:c r="E99" s="76" t="n">
        <x:f>C99-D99</x:f>
        <x:v>0</x:v>
      </x:c>
      <x:c r="F99" s="76" t="str">
        <x:f>IF(ABS(E99)&lt;0.0001,"PASS","FAIL")</x:f>
        <x:v>PASS</x:v>
      </x:c>
      <x:c r="G99" s="77" t="str">
        <x:v>selected architecture</x:v>
      </x:c>
    </x:row>
    <x:row r="100">
      <x:c r="B100" s="76" t="str">
        <x:v>C094 dynamic F1-C1 base</x:v>
      </x:c>
      <x:c r="C100" s="76" t="n">
        <x:f>'Program Cost'!F19</x:f>
        <x:v>7383.14155</x:v>
      </x:c>
      <x:c r="D100" s="76" t="n">
        <x:v>7383.14155</x:v>
      </x:c>
      <x:c r="E100" s="76" t="n">
        <x:f>C100-D100</x:f>
        <x:v>0</x:v>
      </x:c>
      <x:c r="F100" s="76" t="str">
        <x:f>IF(ABS(E100)&lt;0.0001,"PASS","FAIL")</x:f>
        <x:v>PASS</x:v>
      </x:c>
      <x:c r="G100" s="77" t="str">
        <x:v>one-region force</x:v>
      </x:c>
    </x:row>
    <x:row r="101">
      <x:c r="B101" s="76" t="str">
        <x:v>C095 national boundary</x:v>
      </x:c>
      <x:c r="C101" s="76" t="n">
        <x:f>'Program Cost'!F20</x:f>
        <x:v>9492.95234</x:v>
      </x:c>
      <x:c r="D101" s="76" t="n">
        <x:v>9492.95234</x:v>
      </x:c>
      <x:c r="E101" s="76" t="n">
        <x:f>C101-D101</x:f>
        <x:v>0</x:v>
      </x:c>
      <x:c r="F101" s="76" t="str">
        <x:f>IF(ABS(E101)&lt;0.0001,"PASS","FAIL")</x:f>
        <x:v>PASS</x:v>
      </x:c>
      <x:c r="G101" s="77" t="str">
        <x:v>base plus revised DCP</x:v>
      </x:c>
    </x:row>
    <x:row r="102">
      <x:c r="B102" s="76" t="str">
        <x:v>C096 increase over Pass 83</x:v>
      </x:c>
      <x:c r="C102" s="76" t="n">
        <x:f>'Program Cost'!F21</x:f>
        <x:v>592.5769399999999</x:v>
      </x:c>
      <x:c r="D102" s="76" t="n">
        <x:v>592.57694</x:v>
      </x:c>
      <x:c r="E102" s="76" t="n">
        <x:f>C102-D102</x:f>
        <x:v>-1.1368683772161603e-13</x:v>
      </x:c>
      <x:c r="F102" s="76" t="str">
        <x:f>IF(ABS(E102)&lt;0.0001,"PASS","FAIL")</x:f>
        <x:v>PASS</x:v>
      </x:c>
      <x:c r="G102" s="77" t="str">
        <x:v>physical-architecture correction</x:v>
      </x:c>
    </x:row>
    <x:row r="103">
      <x:c r="B103" s="76" t="str">
        <x:v>C097 technology campaigns</x:v>
      </x:c>
      <x:c r="C103" s="76" t="n">
        <x:f>SUM(Technology!C7:C19)</x:f>
        <x:v>260</x:v>
      </x:c>
      <x:c r="D103" s="76" t="n">
        <x:v>260</x:v>
      </x:c>
      <x:c r="E103" s="76" t="n">
        <x:f>C103-D103</x:f>
        <x:v>0</x:v>
      </x:c>
      <x:c r="F103" s="76" t="str">
        <x:f>IF(ABS(E103)&lt;0.0001,"PASS","FAIL")</x:f>
        <x:v>PASS</x:v>
      </x:c>
      <x:c r="G103" s="77" t="str">
        <x:v>research and proving</x:v>
      </x:c>
    </x:row>
    <x:row r="104">
      <x:c r="B104" s="76" t="str">
        <x:v>C098 evidence gates</x:v>
      </x:c>
      <x:c r="C104" s="76" t="n">
        <x:f>COUNTA('Evidence Gates'!B7:B106)</x:f>
        <x:v>100</x:v>
      </x:c>
      <x:c r="D104" s="76" t="n">
        <x:v>100</x:v>
      </x:c>
      <x:c r="E104" s="76" t="n">
        <x:f>C104-D104</x:f>
        <x:v>0</x:v>
      </x:c>
      <x:c r="F104" s="76" t="str">
        <x:f>IF(ABS(E104)&lt;0.0001,"PASS","FAIL")</x:f>
        <x:v>PASS</x:v>
      </x:c>
      <x:c r="G104" s="77" t="str">
        <x:v>architecture proof register</x:v>
      </x:c>
    </x:row>
    <x:row r="105">
      <x:c r="B105" s="76" t="str">
        <x:v>C099 open evidence gates</x:v>
      </x:c>
      <x:c r="C105" s="76" t="n">
        <x:f>COUNTIFS('Evidence Gates'!H7:H106,"OPEN")</x:f>
        <x:v>100</x:v>
      </x:c>
      <x:c r="D105" s="76" t="n">
        <x:v>100</x:v>
      </x:c>
      <x:c r="E105" s="76" t="n">
        <x:f>C105-D105</x:f>
        <x:v>0</x:v>
      </x:c>
      <x:c r="F105" s="76" t="str">
        <x:f>IF(ABS(E105)&lt;0.0001,"PASS","FAIL")</x:f>
        <x:v>PASS</x:v>
      </x:c>
      <x:c r="G105" s="77" t="str">
        <x:v>no admission</x:v>
      </x:c>
    </x:row>
    <x:row r="106">
      <x:c r="B106" s="78" t="str">
        <x:v>C100 rendering authorization</x:v>
      </x:c>
      <x:c r="C106" s="78" t="n">
        <x:f>Assumptions!C63</x:f>
        <x:v>0</x:v>
      </x:c>
      <x:c r="D106" s="78" t="n">
        <x:v>0</x:v>
      </x:c>
      <x:c r="E106" s="78" t="n">
        <x:f>C106-D106</x:f>
        <x:v>0</x:v>
      </x:c>
      <x:c r="F106" s="78" t="str">
        <x:f>IF(ABS(E106)&lt;0.0001,"PASS","FAIL")</x:f>
        <x:v>PASS</x:v>
      </x:c>
      <x:c r="G106" s="79" t="str">
        <x:v>blocked</x:v>
      </x:c>
    </x:row>
    <x:row r="107">
      <x:c r="B107" s="70"/>
      <x:c r="C107" s="70"/>
      <x:c r="D107" s="70"/>
      <x:c r="E107" s="70"/>
      <x:c r="F107" s="70"/>
      <x:c r="G107" s="70"/>
    </x:row>
    <x:row r="108">
      <x:c r="B108" s="70"/>
      <x:c r="C108" s="70"/>
      <x:c r="D108" s="70"/>
      <x:c r="E108" s="70"/>
      <x:c r="F108" s="70"/>
      <x:c r="G108" s="70"/>
    </x:row>
    <x:row r="109">
      <x:c r="B109" s="70"/>
      <x:c r="C109" s="70"/>
      <x:c r="D109" s="70"/>
      <x:c r="E109" s="70"/>
      <x:c r="F109" s="70"/>
      <x:c r="G109" s="70"/>
    </x:row>
    <x:row r="110">
      <x:c r="B110" s="70"/>
      <x:c r="C110" s="70"/>
      <x:c r="D110" s="70"/>
      <x:c r="E110" s="70"/>
      <x:c r="F110" s="70"/>
      <x:c r="G110" s="70"/>
    </x:row>
    <x:row r="111">
      <x:c r="B111" s="70"/>
      <x:c r="C111" s="70"/>
      <x:c r="D111" s="70"/>
      <x:c r="E111" s="70"/>
      <x:c r="F111" s="70"/>
      <x:c r="G111" s="70"/>
    </x:row>
    <x:row r="112">
      <x:c r="B112" s="70"/>
      <x:c r="C112" s="70"/>
      <x:c r="D112" s="70"/>
      <x:c r="E112" s="70"/>
      <x:c r="F112" s="70"/>
      <x:c r="G112" s="70"/>
    </x:row>
  </x:sheetData>
  <x:mergeCells>
    <x:mergeCell ref="B2:F2"/>
    <x:mergeCell ref="B3:F3"/>
  </x:mergeCells>
  <x:conditionalFormatting sqref="F7:F106">
    <x:cfRule type="containsText" dxfId="34" priority="1" operator="containsText" text="FAIL"/>
    <x:cfRule type="containsText" dxfId="35" priority="2" operator="containsText" text="PASS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25" hidden="0" customWidth="1"/>
    <x:col min="3" max="3" width="124" hidden="0" customWidth="1"/>
    <x:col min="4" max="4" width="2" hidden="0" customWidth="1"/>
    <x:col min="5" max="5" width="2" hidden="0" customWidth="1"/>
    <x:col min="6" max="6" width="2" hidden="0" customWidth="1"/>
    <x:col min="7" max="7" width="2" hidden="0" customWidth="1"/>
    <x:col min="8" max="8" width="2" hidden="0" customWidth="1"/>
    <x:col min="9" max="9" width="2" hidden="0" customWidth="1"/>
    <x:col min="10" max="10" width="2" hidden="0" customWidth="1"/>
  </x:cols>
  <x:sheetData>
    <x:row r="2">
      <x:c r="B2" s="69" t="str">
        <x:v>How to read the ATUT-170 competition</x:v>
      </x:c>
      <x:c r="C2" s="69" t="str">
        <x:v>How to read the ATUT-170 competition</x:v>
      </x:c>
      <x:c r="D2" s="69" t="str">
        <x:v>How to read the ATUT-170 competition</x:v>
      </x:c>
      <x:c r="E2" s="69" t="str">
        <x:v>How to read the ATUT-170 competition</x:v>
      </x:c>
      <x:c r="F2" s="69" t="str">
        <x:v>How to read the ATUT-170 competition</x:v>
      </x:c>
      <x:c r="G2" s="70"/>
      <x:c r="H2" s="70"/>
      <x:c r="I2" s="70"/>
      <x:c r="J2" s="70"/>
    </x:row>
    <x:row r="3">
      <x:c r="B3" s="71" t="str">
        <x:v>The workbook selects a behavior reference; it does not certify a vehicle, authorize procurement or permit rendering</x:v>
      </x:c>
      <x:c r="C3" s="71" t="str">
        <x:v>The workbook selects a behavior reference; it does not certify a vehicle, authorize procurement or permit rendering</x:v>
      </x:c>
      <x:c r="D3" s="71" t="str">
        <x:v>The workbook selects a behavior reference; it does not certify a vehicle, authorize procurement or permit rendering</x:v>
      </x:c>
      <x:c r="E3" s="71" t="str">
        <x:v>The workbook selects a behavior reference; it does not certify a vehicle, authorize procurement or permit rendering</x:v>
      </x:c>
      <x:c r="F3" s="71" t="str">
        <x:v>The workbook selects a behavior reference; it does not certify a vehicle, authorize procurement or permit rendering</x:v>
      </x:c>
      <x:c r="G3" s="70"/>
      <x:c r="H3" s="70"/>
      <x:c r="I3" s="70"/>
      <x:c r="J3" s="70"/>
    </x:row>
    <x:row r="4">
      <x:c r="B4" s="72"/>
      <x:c r="C4" s="72"/>
      <x:c r="D4" s="72"/>
      <x:c r="E4" s="72"/>
      <x:c r="F4" s="72"/>
      <x:c r="G4" s="72"/>
      <x:c r="H4" s="72"/>
      <x:c r="I4" s="72"/>
      <x:c r="J4" s="72"/>
    </x:row>
    <x:row r="5">
      <x:c r="B5" s="70"/>
      <x:c r="C5" s="70"/>
      <x:c r="D5" s="70"/>
      <x:c r="E5" s="70"/>
      <x:c r="F5" s="70"/>
      <x:c r="G5" s="70"/>
      <x:c r="H5" s="70"/>
      <x:c r="I5" s="70"/>
      <x:c r="J5" s="70"/>
    </x:row>
    <x:row r="6">
      <x:c r="B6" s="73" t="str">
        <x:v>Decision boundary</x:v>
      </x:c>
      <x:c r="C6" s="74" t="str">
        <x:v>Decision boundary</x:v>
      </x:c>
      <x:c r="D6" s="74" t="str">
        <x:v>Decision boundary</x:v>
      </x:c>
      <x:c r="E6" s="74" t="str">
        <x:v>Decision boundary</x:v>
      </x:c>
      <x:c r="F6" s="74" t="str">
        <x:v>Decision boundary</x:v>
      </x:c>
      <x:c r="G6" s="74" t="str">
        <x:v>Decision boundary</x:v>
      </x:c>
      <x:c r="H6" s="74" t="str">
        <x:v>Decision boundary</x:v>
      </x:c>
      <x:c r="I6" s="74" t="str">
        <x:v>Decision boundary</x:v>
      </x:c>
      <x:c r="J6" s="75" t="str">
        <x:v>Decision boundary</x:v>
      </x:c>
    </x:row>
    <x:row r="7">
      <x:c r="B7" s="102" t="str">
        <x:v>Question</x:v>
      </x:c>
      <x:c r="C7" s="103" t="str">
        <x:v>Which physical architecture can carry 170 t across an 800 km damaged-land route, preserve the hour-45 public-service path and recover without prepared civil infrastructure?</x:v>
      </x:c>
      <x:c r="D7" s="70"/>
      <x:c r="E7" s="70"/>
      <x:c r="F7" s="70"/>
      <x:c r="G7" s="70"/>
      <x:c r="H7" s="70"/>
      <x:c r="I7" s="70"/>
      <x:c r="J7" s="70"/>
    </x:row>
    <x:row r="8">
      <x:c r="B8" s="104" t="str">
        <x:v>T1</x:v>
      </x:c>
      <x:c r="C8" s="76" t="str">
        <x:v>A distributed tracked carrier is fast and tractive but exceeds weak-soil pressure, turn, step, gap, water and clock boundaries.</x:v>
      </x:c>
      <x:c r="D8" s="70"/>
      <x:c r="E8" s="70"/>
      <x:c r="F8" s="70"/>
      <x:c r="G8" s="70"/>
      <x:c r="H8" s="70"/>
      <x:c r="I8" s="70"/>
      <x:c r="J8" s="70"/>
    </x:row>
    <x:row r="9">
      <x:c r="B9" s="104" t="str">
        <x:v>T2</x:v>
      </x:c>
      <x:c r="C9" s="76" t="str">
        <x:v>A load-walking system is soil-gentle and stable but is too slow and cannot close the required gap or flooded approach.</x:v>
      </x:c>
      <x:c r="D9" s="70"/>
      <x:c r="E9" s="70"/>
      <x:c r="F9" s="70"/>
      <x:c r="G9" s="70"/>
      <x:c r="H9" s="70"/>
      <x:c r="I9" s="70"/>
      <x:c r="J9" s="70"/>
    </x:row>
    <x:row r="10">
      <x:c r="B10" s="104" t="str">
        <x:v>T3</x:v>
      </x:c>
      <x:c r="C10" s="76" t="str">
        <x:v>An amphibious cushion crawler closes pressure, water and clock but cannot generate grade traction, fit the route or negotiate debris.</x:v>
      </x:c>
      <x:c r="D10" s="70"/>
      <x:c r="E10" s="70"/>
      <x:c r="F10" s="70"/>
      <x:c r="G10" s="70"/>
      <x:c r="H10" s="70"/>
      <x:c r="I10" s="70"/>
      <x:c r="J10" s="70"/>
    </x:row>
    <x:row r="11">
      <x:c r="B11" s="104" t="str">
        <x:v>T4</x:v>
      </x:c>
      <x:c r="C11" s="76" t="str">
        <x:v>A segmented adaptive terrain carrier combines twelve driven pods, active articulation, variable contact, an organic 25 m bridge and route robotics.</x:v>
      </x:c>
      <x:c r="D11" s="70"/>
      <x:c r="E11" s="70"/>
      <x:c r="F11" s="70"/>
      <x:c r="G11" s="70"/>
      <x:c r="H11" s="70"/>
      <x:c r="I11" s="70"/>
      <x:c r="J11" s="70"/>
    </x:row>
    <x:row r="12">
      <x:c r="B12" s="104" t="str">
        <x:v>Reference</x:v>
      </x:c>
      <x:c r="C12" s="76" t="str">
        <x:v>T4 SAT-170 is the sole behavior-level universal reference under declared assumptions.</x:v>
      </x:c>
      <x:c r="D12" s="70"/>
      <x:c r="E12" s="70"/>
      <x:c r="F12" s="70"/>
      <x:c r="G12" s="70"/>
      <x:c r="H12" s="70"/>
      <x:c r="I12" s="70"/>
      <x:c r="J12" s="70"/>
    </x:row>
    <x:row r="13">
      <x:c r="B13" s="104" t="str">
        <x:v>Scale</x:v>
      </x:c>
      <x:c r="C13" s="76" t="str">
        <x:v>The reference is 42 m long, 8.6 m wide, 502 t at rated gross and 490.75 t at assigned mission load.</x:v>
      </x:c>
      <x:c r="D13" s="70"/>
      <x:c r="E13" s="70"/>
      <x:c r="F13" s="70"/>
      <x:c r="G13" s="70"/>
      <x:c r="H13" s="70"/>
      <x:c r="I13" s="70"/>
      <x:c r="J13" s="70"/>
    </x:row>
    <x:row r="14">
      <x:c r="B14" s="104" t="str">
        <x:v>Ground</x:v>
      </x:c>
      <x:c r="C14" s="76" t="str">
        <x:v>A 155 m2 contact system holds rated pressure to 31.77 kPa, below the 35 kPa saturated-ground threshold.</x:v>
      </x:c>
      <x:c r="D14" s="70"/>
      <x:c r="E14" s="70"/>
      <x:c r="F14" s="70"/>
      <x:c r="G14" s="70"/>
      <x:c r="H14" s="70"/>
      <x:c r="I14" s="70"/>
      <x:c r="J14" s="70"/>
    </x:row>
    <x:row r="15">
      <x:c r="B15" s="104" t="str">
        <x:v>Clock</x:v>
      </x:c>
      <x:c r="C15" s="76" t="str">
        <x:v>The declared route takes 23.38 h; load and service build bring public service to relative hour 39.38 with 5.62 h margin.</x:v>
      </x:c>
      <x:c r="D15" s="70"/>
      <x:c r="E15" s="70"/>
      <x:c r="F15" s="70"/>
      <x:c r="G15" s="70"/>
      <x:c r="H15" s="70"/>
      <x:c r="I15" s="70"/>
      <x:c r="J15" s="70"/>
    </x:row>
    <x:row r="16">
      <x:c r="B16" s="104" t="str">
        <x:v>Energy</x:v>
      </x:c>
      <x:c r="C16" s="76" t="str">
        <x:v>The route requires 421.36 MWh before reserve. Six hundred MWh inside 60 t is a technology target; conventional battery-only interpretation fails.</x:v>
      </x:c>
      <x:c r="D16" s="70"/>
      <x:c r="E16" s="70"/>
      <x:c r="F16" s="70"/>
      <x:c r="G16" s="70"/>
      <x:c r="H16" s="70"/>
      <x:c r="I16" s="70"/>
      <x:c r="J16" s="70"/>
    </x:row>
    <x:row r="17">
      <x:c r="B17" s="104" t="str">
        <x:v>Obstacle</x:v>
      </x:c>
      <x:c r="C17" s="76" t="str">
        <x:v>The vehicle must pass a twenty-percent grade, twelve-percent side slope, 1.5 m step, 20 m gap and two-metre water crossing in one route.</x:v>
      </x:c>
      <x:c r="D17" s="70"/>
      <x:c r="E17" s="70"/>
      <x:c r="F17" s="70"/>
      <x:c r="G17" s="70"/>
      <x:c r="H17" s="70"/>
      <x:c r="I17" s="70"/>
      <x:c r="J17" s="70"/>
    </x:row>
    <x:row r="18">
      <x:c r="B18" s="104" t="str">
        <x:v>Recovery</x:v>
      </x:c>
      <x:c r="C18" s="76" t="str">
        <x:v>A 1.4 pull ratio, eleven-of-twelve drive continuation and 20 m residual bridge after one panel loss define the degraded requirement.</x:v>
      </x:c>
      <x:c r="D18" s="70"/>
      <x:c r="E18" s="70"/>
      <x:c r="F18" s="70"/>
      <x:c r="G18" s="70"/>
      <x:c r="H18" s="70"/>
      <x:c r="I18" s="70"/>
      <x:c r="J18" s="70"/>
    </x:row>
    <x:row r="19">
      <x:c r="B19" s="104" t="str">
        <x:v>Reset</x:v>
      </x:c>
      <x:c r="C19" s="76" t="str">
        <x:v>Six concurrent workstreams produce a 148-hour critical path, twenty hours below the inherited 168-hour ceiling.</x:v>
      </x:c>
      <x:c r="D19" s="70"/>
      <x:c r="E19" s="70"/>
      <x:c r="F19" s="70"/>
      <x:c r="G19" s="70"/>
      <x:c r="H19" s="70"/>
      <x:c r="I19" s="70"/>
      <x:c r="J19" s="70"/>
    </x:row>
    <x:row r="20">
      <x:c r="B20" s="104" t="str">
        <x:v>Program</x:v>
      </x:c>
      <x:c r="C20" s="76" t="str">
        <x:v>Forty-three ready packages, reserve and test articles require 219 vehicles and an $882.83B architecture program.</x:v>
      </x:c>
      <x:c r="D20" s="70"/>
      <x:c r="E20" s="70"/>
      <x:c r="F20" s="70"/>
      <x:c r="G20" s="70"/>
      <x:c r="H20" s="70"/>
      <x:c r="I20" s="70"/>
      <x:c r="J20" s="70"/>
    </x:row>
    <x:row r="21">
      <x:c r="B21" s="104" t="str">
        <x:v>National boundary</x:v>
      </x:c>
      <x:c r="C21" s="76" t="str">
        <x:v>Replacing the generic ATUT account raises DCP-2 to $2.110T and the one-region national boundary to $9.493T.</x:v>
      </x:c>
      <x:c r="D21" s="70"/>
      <x:c r="E21" s="70"/>
      <x:c r="F21" s="70"/>
      <x:c r="G21" s="70"/>
      <x:c r="H21" s="70"/>
      <x:c r="I21" s="70"/>
      <x:c r="J21" s="70"/>
    </x:row>
    <x:row r="22">
      <x:c r="B22" s="104" t="str">
        <x:v>Evidence</x:v>
      </x:c>
      <x:c r="C22" s="76" t="str">
        <x:v>All one hundred gates remain open. Behavior calculations produce no current or strict readiness credit.</x:v>
      </x:c>
      <x:c r="D22" s="70"/>
      <x:c r="E22" s="70"/>
      <x:c r="F22" s="70"/>
      <x:c r="G22" s="70"/>
      <x:c r="H22" s="70"/>
      <x:c r="I22" s="70"/>
      <x:c r="J22" s="70"/>
    </x:row>
    <x:row r="23">
      <x:c r="B23" s="104" t="str">
        <x:v>Sources</x:v>
      </x:c>
      <x:c r="C23" s="76" t="str">
        <x:v>Only repository requirements and declared first-principles design hypotheses are used. No external-site research is introduced.</x:v>
      </x:c>
      <x:c r="D23" s="70"/>
      <x:c r="E23" s="70"/>
      <x:c r="F23" s="70"/>
      <x:c r="G23" s="70"/>
      <x:c r="H23" s="70"/>
      <x:c r="I23" s="70"/>
      <x:c r="J23" s="70"/>
    </x:row>
    <x:row r="24">
      <x:c r="B24" s="104" t="str">
        <x:v>Rendering</x:v>
      </x:c>
      <x:c r="C24" s="76" t="str">
        <x:v>Blocked. Representative suspension geometry, articulation, bridge packaging, energy plant and compound mission evidence remain open.</x:v>
      </x:c>
      <x:c r="D24" s="70"/>
      <x:c r="E24" s="70"/>
      <x:c r="F24" s="70"/>
      <x:c r="G24" s="70"/>
      <x:c r="H24" s="70"/>
      <x:c r="I24" s="70"/>
      <x:c r="J24" s="70"/>
    </x:row>
    <x:row r="25">
      <x:c r="B25" s="104" t="str">
        <x:v>Sensitivity</x:v>
      </x:c>
      <x:c r="C25" s="76" t="str">
        <x:v>At thirty assigned groups the force needs 296 articles, exposing a 77-vehicle gap against the fixed 219-article baseline schedule.</x:v>
      </x:c>
      <x:c r="D25" s="70"/>
      <x:c r="E25" s="70"/>
      <x:c r="F25" s="70"/>
      <x:c r="G25" s="70"/>
      <x:c r="H25" s="70"/>
      <x:c r="I25" s="70"/>
      <x:c r="J25" s="70"/>
    </x:row>
    <x:row r="26">
      <x:c r="B26" s="105" t="str">
        <x:v>Next use</x:v>
      </x:c>
      <x:c r="C26" s="106" t="str">
        <x:v>Reconcile the selected HBL and ATUT carriers into terrain-air interface doctrine, then test whether the vehicle requirement set is stable enough for controlled renderings.</x:v>
      </x:c>
      <x:c r="D26" s="70"/>
      <x:c r="E26" s="70"/>
      <x:c r="F26" s="70"/>
      <x:c r="G26" s="70"/>
      <x:c r="H26" s="70"/>
      <x:c r="I26" s="70"/>
      <x:c r="J26" s="70"/>
    </x:row>
    <x:row r="27">
      <x:c r="B27" s="70"/>
      <x:c r="C27" s="70"/>
      <x:c r="D27" s="70"/>
      <x:c r="E27" s="70"/>
      <x:c r="F27" s="70"/>
      <x:c r="G27" s="70"/>
      <x:c r="H27" s="70"/>
      <x:c r="I27" s="70"/>
      <x:c r="J27" s="70"/>
    </x:row>
    <x:row r="28">
      <x:c r="B28" s="70"/>
      <x:c r="C28" s="70"/>
      <x:c r="D28" s="70"/>
      <x:c r="E28" s="70"/>
      <x:c r="F28" s="70"/>
      <x:c r="G28" s="70"/>
      <x:c r="H28" s="70"/>
      <x:c r="I28" s="70"/>
      <x:c r="J28" s="70"/>
    </x:row>
    <x:row r="29">
      <x:c r="B29" s="70"/>
      <x:c r="C29" s="70"/>
      <x:c r="D29" s="70"/>
      <x:c r="E29" s="70"/>
      <x:c r="F29" s="70"/>
      <x:c r="G29" s="70"/>
      <x:c r="H29" s="70"/>
      <x:c r="I29" s="70"/>
      <x:c r="J29" s="70"/>
    </x:row>
    <x:row r="30">
      <x:c r="B30" s="70"/>
      <x:c r="C30" s="70"/>
      <x:c r="D30" s="70"/>
      <x:c r="E30" s="70"/>
      <x:c r="F30" s="70"/>
      <x:c r="G30" s="70"/>
      <x:c r="H30" s="70"/>
      <x:c r="I30" s="70"/>
      <x:c r="J30" s="70"/>
    </x:row>
    <x:row r="31">
      <x:c r="B31" s="70"/>
      <x:c r="C31" s="70"/>
      <x:c r="D31" s="70"/>
      <x:c r="E31" s="70"/>
      <x:c r="F31" s="70"/>
      <x:c r="G31" s="70"/>
      <x:c r="H31" s="70"/>
      <x:c r="I31" s="70"/>
      <x:c r="J31" s="70"/>
    </x:row>
    <x:row r="32">
      <x:c r="B32" s="70"/>
      <x:c r="C32" s="70"/>
      <x:c r="D32" s="70"/>
      <x:c r="E32" s="70"/>
      <x:c r="F32" s="70"/>
      <x:c r="G32" s="70"/>
      <x:c r="H32" s="70"/>
      <x:c r="I32" s="70"/>
      <x:c r="J32" s="70"/>
    </x:row>
    <x:row r="33">
      <x:c r="B33" s="70"/>
      <x:c r="C33" s="70"/>
      <x:c r="D33" s="70"/>
      <x:c r="E33" s="70"/>
      <x:c r="F33" s="70"/>
      <x:c r="G33" s="70"/>
      <x:c r="H33" s="70"/>
      <x:c r="I33" s="70"/>
      <x:c r="J33" s="70"/>
    </x:row>
    <x:row r="34">
      <x:c r="B34" s="70"/>
      <x:c r="C34" s="70"/>
      <x:c r="D34" s="70"/>
      <x:c r="E34" s="70"/>
      <x:c r="F34" s="70"/>
      <x:c r="G34" s="70"/>
      <x:c r="H34" s="70"/>
      <x:c r="I34" s="70"/>
      <x:c r="J34" s="70"/>
    </x:row>
  </x:sheetData>
  <x:mergeCells>
    <x:mergeCell ref="B2:F2"/>
    <x:mergeCell ref="B3:F3"/>
    <x:mergeCell ref="B6:J6"/>
  </x:mergeCells>
  <x:pageMargins left="0.7" right="0.7" top="0.75" bottom="0.75" header="0.3" footer="0.3"/>
</x:worksheet>
</file>