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3cb5ce19ef4b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 Decision" sheetId="1" r:id="R14bd3b7d3e4645c9"/>
    <x:sheet xmlns:r="http://schemas.openxmlformats.org/officeDocument/2006/relationships" name="01 Controls" sheetId="2" r:id="Rec2f1085dc274cc6"/>
    <x:sheet xmlns:r="http://schemas.openxmlformats.org/officeDocument/2006/relationships" name="02 Architectures" sheetId="3" r:id="Rabb36c4fef2a4ea9"/>
    <x:sheet xmlns:r="http://schemas.openxmlformats.org/officeDocument/2006/relationships" name="03 Hydraulics" sheetId="4" r:id="R754a12b705ae44d0"/>
    <x:sheet xmlns:r="http://schemas.openxmlformats.org/officeDocument/2006/relationships" name="04 Storage State" sheetId="5" r:id="Rc430fac7334e4ccc"/>
    <x:sheet xmlns:r="http://schemas.openxmlformats.org/officeDocument/2006/relationships" name="05 Failure Worlds" sheetId="6" r:id="R731a277851b847c9"/>
    <x:sheet xmlns:r="http://schemas.openxmlformats.org/officeDocument/2006/relationships" name="06 Cost" sheetId="7" r:id="Ra2df7d676dc44d0b"/>
    <x:sheet xmlns:r="http://schemas.openxmlformats.org/officeDocument/2006/relationships" name="07 Test Contract" sheetId="8" r:id="Rc13d5aa16909431d"/>
    <x:sheet xmlns:r="http://schemas.openxmlformats.org/officeDocument/2006/relationships" name="08 Evidence" sheetId="9" r:id="R6d2fe2e70b20456e"/>
    <x:sheet xmlns:r="http://schemas.openxmlformats.org/officeDocument/2006/relationships" name="09 Integrity" sheetId="10" r:id="Ra62ae666f44846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%"/>
    <x:numFmt numFmtId="201" formatCode="0.000"/>
    <x:numFmt numFmtId="202" formatCode="#,##0.0"/>
    <x:numFmt numFmtId="203" formatCode="0%"/>
    <x:numFmt numFmtId="204" formatCode="#,##0.000"/>
    <x:numFmt numFmtId="205" formatCode="$#,##0.0"/>
    <x:numFmt numFmtId="206" formatCode="#,##0.000000"/>
  </x:numFmts>
  <x:fonts count="6">
    <x:font>
      <x:sz val="11"/>
      <x:name val="Carlito"/>
    </x:font>
    <x:font>
      <x:b/>
      <x:sz val="15"/>
      <x:color rgb="FF17212B"/>
      <x:name val="Arial"/>
    </x:font>
    <x:font>
      <x:i/>
      <x:sz val="10"/>
      <x:color rgb="FF5C6873"/>
      <x:name val="Arial"/>
    </x:font>
    <x:font>
      <x:b/>
      <x:sz val="10"/>
      <x:color rgb="FFFFFFFF"/>
      <x:name val="Arial"/>
    </x:font>
    <x:font>
      <x:sz val="10"/>
      <x:color rgb="FF17212B"/>
      <x:name val="Arial"/>
    </x:font>
    <x:font>
      <x:sz val="10"/>
      <x:color rgb="FF0000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1CC"/>
      </x:patternFill>
    </x:fill>
  </x:fills>
  <x:borders count="3">
    <x:border/>
    <x:border>
      <x:bottom style="medium">
        <x:color rgb="FF17324D"/>
      </x:bottom>
    </x:border>
    <x:border>
      <x:bottom style="medium">
        <x:color rgb="FFFFFFFF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top"/>
    </x:xf>
    <x:xf numFmtId="0" fontId="4" fillId="3" borderId="0" xfId="0" applyNumberFormat="1" applyFont="1" applyFill="1" applyBorder="1" applyAlignment="1">
      <x:alignment vertical="top"/>
    </x:xf>
    <x:xf numFmtId="0" fontId="5" fillId="3" borderId="0" xfId="0" applyNumberFormat="1" applyFont="1" applyFill="1" applyBorder="1" applyAlignment="1">
      <x:alignment vertical="top"/>
    </x:xf>
    <x:xf numFmtId="200" fontId="5" fillId="3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 wrapText="1"/>
    </x:xf>
    <x:xf numFmtId="201" fontId="5" fillId="3" borderId="0" xfId="0" applyNumberFormat="1" applyFont="1" applyFill="1" applyBorder="1" applyAlignment="1">
      <x:alignment vertical="top"/>
    </x:xf>
    <x:xf numFmtId="202" fontId="4" fillId="0" borderId="0" xfId="0" applyNumberFormat="1" applyFont="1" applyFill="1" applyBorder="1" applyAlignment="1">
      <x:alignment vertical="top"/>
    </x:xf>
    <x:xf numFmtId="203" fontId="4" fillId="0" borderId="0" xfId="0" applyNumberFormat="1" applyFont="1" applyFill="1" applyBorder="1" applyAlignment="1">
      <x:alignment vertical="top"/>
    </x:xf>
    <x:xf numFmtId="204" fontId="4" fillId="0" borderId="0" xfId="0" applyNumberFormat="1" applyFont="1" applyFill="1" applyBorder="1" applyAlignment="1">
      <x:alignment vertical="top"/>
    </x:xf>
    <x:xf numFmtId="203" fontId="4" fillId="0" borderId="0" xfId="0" applyNumberFormat="1" applyFont="1" applyFill="1" applyBorder="1" applyAlignment="1">
      <x:alignment vertical="top" wrapText="1"/>
    </x:xf>
    <x:xf numFmtId="202" fontId="4" fillId="0" borderId="0" xfId="0" applyNumberFormat="1" applyFont="1" applyFill="1" applyBorder="1" applyAlignment="1">
      <x:alignment vertical="top" wrapText="1"/>
    </x:xf>
    <x:xf numFmtId="205" fontId="4" fillId="0" borderId="0" xfId="0" applyNumberFormat="1" applyFont="1" applyFill="1" applyBorder="1" applyAlignment="1">
      <x:alignment vertical="top"/>
    </x:xf>
    <x:xf numFmtId="206" fontId="4" fillId="0" borderId="0" xfId="0" applyNumberFormat="1" applyFont="1" applyFill="1" applyBorder="1" applyAlignment="1">
      <x:alignment vertical="top"/>
    </x:xf>
  </x:cellXfs>
  <x:cellStyles count="1">
    <x:cellStyle name="Normal" xfId="0"/>
  </x:cellStyles>
  <x:dxfs count="112"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84db735de4446c" /><Relationship Type="http://schemas.openxmlformats.org/officeDocument/2006/relationships/theme" Target="/xl/theme/theme1.xml" Id="R351811ab28eb47fb" /><Relationship Type="http://schemas.openxmlformats.org/officeDocument/2006/relationships/sharedStrings" Target="/xl/sharedStrings.xml" Id="R05a299842ee9473f" /><Relationship Type="http://schemas.openxmlformats.org/officeDocument/2006/relationships/worksheet" Target="/xl/worksheets/sheet1.xml" Id="R14bd3b7d3e4645c9" /><Relationship Type="http://schemas.openxmlformats.org/officeDocument/2006/relationships/worksheet" Target="/xl/worksheets/sheet2.xml" Id="Rec2f1085dc274cc6" /><Relationship Type="http://schemas.openxmlformats.org/officeDocument/2006/relationships/worksheet" Target="/xl/worksheets/sheet3.xml" Id="Rabb36c4fef2a4ea9" /><Relationship Type="http://schemas.openxmlformats.org/officeDocument/2006/relationships/worksheet" Target="/xl/worksheets/sheet4.xml" Id="R754a12b705ae44d0" /><Relationship Type="http://schemas.openxmlformats.org/officeDocument/2006/relationships/worksheet" Target="/xl/worksheets/sheet5.xml" Id="Rc430fac7334e4ccc" /><Relationship Type="http://schemas.openxmlformats.org/officeDocument/2006/relationships/worksheet" Target="/xl/worksheets/sheet6.xml" Id="R731a277851b847c9" /><Relationship Type="http://schemas.openxmlformats.org/officeDocument/2006/relationships/worksheet" Target="/xl/worksheets/sheet7.xml" Id="Ra2df7d676dc44d0b" /><Relationship Type="http://schemas.openxmlformats.org/officeDocument/2006/relationships/worksheet" Target="/xl/worksheets/sheet8.xml" Id="Rc13d5aa16909431d" /><Relationship Type="http://schemas.openxmlformats.org/officeDocument/2006/relationships/worksheet" Target="/xl/worksheets/sheet9.xml" Id="R6d2fe2e70b20456e" /><Relationship Type="http://schemas.openxmlformats.org/officeDocument/2006/relationships/worksheet" Target="/xl/worksheets/sheet10.xml" Id="Ra62ae666f4484615" /></Relationships>
</file>

<file path=xl/tables/table1.xml><?xml version="1.0" encoding="utf-8"?>
<x:table xmlns:x="http://schemas.openxmlformats.org/spreadsheetml/2006/main" id="1" name="DegradedServiceControlTable" displayName="DegradedServiceControlTable" ref="C5:G39" headerRowCount="1" totalsRowCount="0" totalsRowShown="0">
  <x:tableColumns count="5">
    <x:tableColumn id="1" name="Control"/>
    <x:tableColumn id="2" name="Value"/>
    <x:tableColumn id="3" name="Unit"/>
    <x:tableColumn id="4" name="Use"/>
    <x:tableColumn id="5" name="Sta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gradedServiceArchitectureTable" displayName="DegradedServiceArchitectureTable" ref="C5:AP9" headerRowCount="1" totalsRowCount="0" totalsRowShown="0">
  <x:tableColumns count="40">
    <x:tableColumn id="1" name="ID"/>
    <x:tableColumn id="2" name="Architecture"/>
    <x:tableColumn id="3" name="Main lines"/>
    <x:tableColumn id="4" name="Main ID m"/>
    <x:tableColumn id="5" name="Route factor"/>
    <x:tableColumn id="6" name="Bypass kit km"/>
    <x:tableColumn id="7" name="Bypass ID m"/>
    <x:tableColumn id="8" name="Storage h"/>
    <x:tableColumn id="9" name="Storage sectors"/>
    <x:tableColumn id="10" name="Corridor relation"/>
    <x:tableColumn id="11" name="Fixed handling t"/>
    <x:tableColumn id="12" name="Fixed cube m³"/>
    <x:tableColumn id="13" name="Fittings share"/>
    <x:tableColumn id="14" name="Workfronts"/>
    <x:tableColumn id="15" name="Rate km/front-day"/>
    <x:tableColumn id="16" name="Commissioning days"/>
    <x:tableColumn id="17" name="Equipment $B/set"/>
    <x:tableColumn id="18" name="Receiver $B/node"/>
    <x:tableColumn id="19" name="Main route-km transported"/>
    <x:tableColumn id="20" name="Bypass km"/>
    <x:tableColumn id="21" name="Pipe material t"/>
    <x:tableColumn id="22" name="Material volume m³"/>
    <x:tableColumn id="23" name="Pipe transport mass t"/>
    <x:tableColumn id="24" name="Pipe packed cube m³"/>
    <x:tableColumn id="25" name="Conveyance chargeable t"/>
    <x:tableColumn id="26" name="Fittings t"/>
    <x:tableColumn id="27" name="Gross storage m³"/>
    <x:tableColumn id="28" name="Usable storage m³"/>
    <x:tableColumn id="29" name="Storage hardware t"/>
    <x:tableColumn id="30" name="Storage hardware cube m³"/>
    <x:tableColumn id="31" name="System dry mass t"/>
    <x:tableColumn id="32" name="System chargeable t"/>
    <x:tableColumn id="33" name="Surface positions"/>
    <x:tableColumn id="34" name="Installed route-km"/>
    <x:tableColumn id="35" name="Construction h"/>
    <x:tableColumn id="36" name="Immediate share after one-line rupture"/>
    <x:tableColumn id="37" name="Half-service storage h"/>
    <x:tableColumn id="38" name="Revised 25-year program $B"/>
    <x:tableColumn id="39" name="Evidence"/>
    <x:tableColumn id="40" name="Rendering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egradedServiceHydraulicTable" displayName="DegradedServiceHydraulicTable" ref="C5:N9" headerRowCount="1" totalsRowCount="0" totalsRowShown="0">
  <x:tableColumns count="12">
    <x:tableColumn id="1" name="ID"/>
    <x:tableColumn id="2" name="Main lines"/>
    <x:tableColumn id="3" name="Line ID m"/>
    <x:tableColumn id="4" name="Flow per line m³/day"/>
    <x:tableColumn id="5" name="Velocity m/s"/>
    <x:tableColumn id="6" name="Route length per line km"/>
    <x:tableColumn id="7" name="Friction head m"/>
    <x:tableColumn id="8" name="Total head m"/>
    <x:tableColumn id="9" name="Total shaft power kW"/>
    <x:tableColumn id="10" name="Immediate rupture share"/>
    <x:tableColumn id="11" name="Bypass share after deployment"/>
    <x:tableColumn id="12" name="Sta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torageInitializationTable" displayName="StorageInitializationTable" ref="C5:Q9" headerRowCount="1" totalsRowCount="0" totalsRowShown="0">
  <x:tableColumns count="15">
    <x:tableColumn id="1" name="ID"/>
    <x:tableColumn id="2" name="Gross storage m³"/>
    <x:tableColumn id="3" name="Usable storage m³"/>
    <x:tableColumn id="4" name="Half-service coverage h"/>
    <x:tableColumn id="5" name="Full-service coverage h"/>
    <x:tableColumn id="6" name="Current treatment m³/day"/>
    <x:tableColumn id="7" name="Surplus at full service m³/day"/>
    <x:tableColumn id="8" name="Concurrent fill at current capacity h"/>
    <x:tableColumn id="9" name="Fill while service withheld h"/>
    <x:tableColumn id="10" name="Concurrent fill at 25% headroom h"/>
    <x:tableColumn id="11" name="Construction h"/>
    <x:tableColumn id="12" name="First water h"/>
    <x:tableColumn id="13" name="Resilient ready if service withheld h"/>
    <x:tableColumn id="14" name="Resilient ready with headroom h"/>
    <x:tableColumn id="15" name="Sta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egradedServiceWorldTable" displayName="DegradedServiceWorldTable" ref="C5:K12" headerRowCount="1" totalsRowCount="0" totalsRowShown="0">
  <x:tableColumns count="9">
    <x:tableColumn id="1" name="World"/>
    <x:tableColumn id="2" name="Failure"/>
    <x:tableColumn id="3" name="Initial buffer share"/>
    <x:tableColumn id="4" name="Restore h"/>
    <x:tableColumn id="5" name="Damage class"/>
    <x:tableColumn id="6" name="Lost storage sectors"/>
    <x:tableColumn id="7" name="Receiver share"/>
    <x:tableColumn id="8" name="Timing"/>
    <x:tableColumn id="9" name="Required floor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egradedServiceResultTable" displayName="DegradedServiceResultTable" ref="C16:P44" headerRowCount="1" totalsRowCount="0" totalsRowShown="0">
  <x:tableColumns count="14">
    <x:tableColumn id="1" name="Architecture"/>
    <x:tableColumn id="2" name="World"/>
    <x:tableColumn id="3" name="Damage"/>
    <x:tableColumn id="4" name="Buffer share"/>
    <x:tableColumn id="5" name="Immediate line share"/>
    <x:tableColumn id="6" name="Post-bypass share"/>
    <x:tableColumn id="7" name="Clean storage share"/>
    <x:tableColumn id="8" name="Bridge h"/>
    <x:tableColumn id="9" name="Available buffer m³"/>
    <x:tableColumn id="10" name="Required buffer m³"/>
    <x:tableColumn id="11" name="Achieved floor"/>
    <x:tableColumn id="12" name="Required floor"/>
    <x:tableColumn id="13" name="Declared screen"/>
    <x:tableColumn id="14" name="Evidenc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egradedServiceCostTable" displayName="DegradedServiceCostTable" ref="C5:L9" headerRowCount="1" totalsRowCount="0" totalsRowShown="0">
  <x:tableColumns count="10">
    <x:tableColumn id="1" name="ID"/>
    <x:tableColumn id="2" name="Pass 64 base $B"/>
    <x:tableColumn id="3" name="Removed baseline fielding $B"/>
    <x:tableColumn id="4" name="Equipment fielding $B"/>
    <x:tableColumn id="5" name="Receiver preparation $B"/>
    <x:tableColumn id="6" name="Revised program $B"/>
    <x:tableColumn id="7" name="Delta $B"/>
    <x:tableColumn id="8" name="Dry mass t/set"/>
    <x:tableColumn id="9" name="Chargeable t/set"/>
    <x:tableColumn id="10" name="Cost stat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DegradedServiceGateTable" displayName="DegradedServiceGateTable" ref="C5:J19" headerRowCount="1" totalsRowCount="0" totalsRowShown="0">
  <x:tableColumns count="8">
    <x:tableColumn id="1" name="Gate"/>
    <x:tableColumn id="2" name="Required demonstration"/>
    <x:tableColumn id="3" name="Measure"/>
    <x:tableColumn id="4" name="Threshold"/>
    <x:tableColumn id="5" name="Applies"/>
    <x:tableColumn id="6" name="Authority"/>
    <x:tableColumn id="7" name="Evidence"/>
    <x:tableColumn id="8" name="Stat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DegradedServiceIntegrityTable" displayName="DegradedServiceIntegrityTable" ref="C5:H33" headerRowCount="1" totalsRowCount="0" totalsRowShown="0">
  <x:tableColumns count="6">
    <x:tableColumn id="1" name="Check"/>
    <x:tableColumn id="2" name="Observed"/>
    <x:tableColumn id="3" name="Expected"/>
    <x:tableColumn id="4" name="Difference"/>
    <x:tableColumn id="5" name="Tolerance"/>
    <x:tableColumn id="6" name="Resul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c5d0a774e9148c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5936b597e6a43a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d6d57dabbb64f4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9a4da674a23421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893a8f75bd04a00" /><Relationship Type="http://schemas.openxmlformats.org/officeDocument/2006/relationships/table" Target="/xl/tables/table6.xml" Id="Rd971cfda060a4c3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a472ac1e7576489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9cb0c31353c34c0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76bca6e01cfa43bc" /></Relationships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3" max="3" width="38" hidden="0" customWidth="1"/>
    <x:col min="4" max="4" width="21" hidden="0" customWidth="1"/>
    <x:col min="5" max="5" width="18" hidden="0" customWidth="1"/>
    <x:col min="6" max="6" width="57" hidden="0" customWidth="1"/>
    <x:col min="7" max="7" width="4" hidden="0" customWidth="1"/>
    <x:col min="8" max="8" width="39" hidden="0" customWidth="1"/>
    <x:col min="9" max="9" width="39" hidden="0" customWidth="1"/>
    <x:col min="10" max="10" width="41" hidden="0" customWidth="1"/>
    <x:col min="11" max="11" width="40" hidden="0" customWidth="1"/>
    <x:col min="12" max="12" width="39" hidden="0" customWidth="1"/>
    <x:col min="13" max="13" width="39" hidden="0" customWidth="1"/>
    <x:col min="14" max="14" width="34" hidden="0" customWidth="1"/>
    <x:col min="15" max="15" width="18" hidden="0" customWidth="1"/>
    <x:col min="16" max="16" width="42" hidden="0" customWidth="1"/>
    <x:col min="17" max="17" width="18" hidden="0" customWidth="1"/>
  </x:cols>
  <x:sheetData>
    <x:row r="2">
      <x:c r="C2" s="2" t="str">
        <x:v>First-reach degraded-service architecture</x:v>
      </x:c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>
      <x:c r="C3" s="3" t="str">
        <x:v>Pass 65 separates bulk inflow, stored inventory and accessible service, then tests four line-and-storage topologies in seven registered failure worlds.</x:v>
      </x:c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</x:row>
    <x:row r="5">
      <x:c r="C5" s="9" t="str">
        <x:v>Measure</x:v>
      </x:c>
      <x:c r="D5" s="9" t="str">
        <x:v>Result</x:v>
      </x:c>
      <x:c r="E5" s="9" t="str">
        <x:v>Unit</x:v>
      </x:c>
      <x:c r="F5" s="9" t="str">
        <x:v>Decision meaning</x:v>
      </x:c>
      <x:c r="H5" s="9" t="str">
        <x:v>Judgment</x:v>
      </x:c>
      <x:c r="I5" s="9" t="str">
        <x:v>Evidence</x:v>
      </x:c>
      <x:c r="J5" s="9" t="str">
        <x:v>Correction</x:v>
      </x:c>
      <x:c r="K5" s="9" t="str">
        <x:v>Force consequence</x:v>
      </x:c>
      <x:c r="L5" s="9" t="str">
        <x:v>Technology consequence</x:v>
      </x:c>
      <x:c r="M5" s="9" t="str">
        <x:v>Receiver consequence</x:v>
      </x:c>
      <x:c r="N5" s="9" t="str">
        <x:v>Authority</x:v>
      </x:c>
      <x:c r="O5" s="9" t="str">
        <x:v>State</x:v>
      </x:c>
      <x:c r="P5" s="9" t="str">
        <x:v>Next proof</x:v>
      </x:c>
      <x:c r="Q5" s="9" t="str">
        <x:v>Rendering</x:v>
      </x:c>
    </x:row>
    <x:row r="6" ht="110" customHeight="1">
      <x:c r="C6" s="11" t="str">
        <x:v>Architectures</x:v>
      </x:c>
      <x:c r="D6" s="17" t="n">
        <x:f>ROWS('02 Architectures'!C6:C9)</x:f>
        <x:v>4</x:v>
      </x:c>
      <x:c r="E6" s="11" t="str">
        <x:v>rivals</x:v>
      </x:c>
      <x:c r="F6" s="15" t="str">
        <x:v>One line-and-storage topology per row</x:v>
      </x:c>
      <x:c r="H6" s="15" t="str">
        <x:v>Storage can preserve service after loss of inflow.</x:v>
      </x:c>
      <x:c r="I6" s="15" t="str">
        <x:v>A1 holds 4,250 usable m³, enough for 20.4 h at half demand.</x:v>
      </x:c>
      <x:c r="J6" s="15" t="str">
        <x:v>Pass 64's zero-service rupture statement applied to bulk inflow, not point-of-use service.</x:v>
      </x:c>
      <x:c r="K6" s="15" t="str">
        <x:v>Storage charge state becomes readiness data.</x:v>
      </x:c>
      <x:c r="L6" s="15" t="str">
        <x:v>Metering, isolation and protected distribution matter as much as tank volume.</x:v>
      </x:c>
      <x:c r="M6" s="15" t="str">
        <x:v>The buffer must be downstream, clean and powered.</x:v>
      </x:c>
      <x:c r="N6" s="15" t="str">
        <x:v>Water quality and mission assurance</x:v>
      </x:c>
      <x:c r="O6" s="15" t="str">
        <x:v>OPEN</x:v>
      </x:c>
      <x:c r="P6" s="15" t="str">
        <x:v>Instrument a full-buffer rupture</x:v>
      </x:c>
      <x:c r="Q6" s="15" t="str">
        <x:v>BLOCKED</x:v>
      </x:c>
    </x:row>
    <x:row r="7" ht="110" customHeight="1">
      <x:c r="C7" s="11" t="str">
        <x:v>Failure worlds</x:v>
      </x:c>
      <x:c r="D7" s="17" t="n">
        <x:f>ROWS('05 Failure Worlds'!C6:C12)</x:f>
        <x:v>7</x:v>
      </x:c>
      <x:c r="E7" s="11" t="str">
        <x:v>worlds</x:v>
      </x:c>
      <x:c r="F7" s="15" t="str">
        <x:v>No probabilities assigned</x:v>
      </x:c>
      <x:c r="H7" s="15" t="str">
        <x:v>First water is not resilient-service readiness.</x:v>
      </x:c>
      <x:c r="I7" s="15" t="str">
        <x:v>The current treatment train has zero surplus at full demand.</x:v>
      </x:c>
      <x:c r="J7" s="15" t="str">
        <x:v>A 5,000 m³ store needs 12 h with service withheld or 48 h at 25% headroom.</x:v>
      </x:c>
      <x:c r="K7" s="15" t="str">
        <x:v>Readiness reporting needs two milestones.</x:v>
      </x:c>
      <x:c r="L7" s="15" t="str">
        <x:v>Treatment headroom, precharge or staged public issue becomes a design variable.</x:v>
      </x:c>
      <x:c r="M7" s="15" t="str">
        <x:v>Receivers must maintain and attest inventory before activation.</x:v>
      </x:c>
      <x:c r="N7" s="15" t="str">
        <x:v>WRG generating service</x:v>
      </x:c>
      <x:c r="O7" s="15" t="str">
        <x:v>FAIL</x:v>
      </x:c>
      <x:c r="P7" s="15" t="str">
        <x:v>Compete cold-start and precharge policies</x:v>
      </x:c>
      <x:c r="Q7" s="15" t="str">
        <x:v>BLOCKED</x:v>
      </x:c>
    </x:row>
    <x:row r="8" ht="110" customHeight="1">
      <x:c r="C8" s="11" t="str">
        <x:v>Degraded-service floor</x:v>
      </x:c>
      <x:c r="D8" s="18" t="n">
        <x:f>'01 Controls'!D7</x:f>
        <x:v>0.5</x:v>
      </x:c>
      <x:c r="E8" s="11" t="str">
        <x:v>share</x:v>
      </x:c>
      <x:c r="F8" s="15" t="str">
        <x:v>Minimum accessible service over 24 h</x:v>
      </x:c>
      <x:c r="H8" s="15" t="str">
        <x:v>Parallel lines do not guarantee independent service.</x:v>
      </x:c>
      <x:c r="I8" s="15" t="str">
        <x:v>A2 preserves 50% after one-line rupture but fails common-corridor severance.</x:v>
      </x:c>
      <x:c r="J8" s="15" t="str">
        <x:v>Route topology enters the configuration baseline.</x:v>
      </x:c>
      <x:c r="K8" s="15" t="str">
        <x:v>Two lines in one trench are capacity redundancy, not route redundancy.</x:v>
      </x:c>
      <x:c r="L8" s="15" t="str">
        <x:v>Autonomous route survey must optimize correlated loss, not distance alone.</x:v>
      </x:c>
      <x:c r="M8" s="15" t="str">
        <x:v>Separate easements, power and controls increase receiver demand.</x:v>
      </x:c>
      <x:c r="N8" s="15" t="str">
        <x:v>Configuration and receiving authorities</x:v>
      </x:c>
      <x:c r="O8" s="15" t="str">
        <x:v>OPEN</x:v>
      </x:c>
      <x:c r="P8" s="15" t="str">
        <x:v>Build paired same- and split-corridor trials</x:v>
      </x:c>
      <x:c r="Q8" s="15" t="str">
        <x:v>BLOCKED</x:v>
      </x:c>
    </x:row>
    <x:row r="9" ht="110" customHeight="1">
      <x:c r="C9" s="11" t="str">
        <x:v>A1 usable storage</x:v>
      </x:c>
      <x:c r="D9" s="17" t="n">
        <x:f>'02 Architectures'!AD6</x:f>
        <x:v>4250</x:v>
      </x:c>
      <x:c r="E9" s="11" t="str">
        <x:v>m³</x:v>
      </x:c>
      <x:c r="F9" s="15" t="str">
        <x:v>85% of gross 12-hour buffer</x:v>
      </x:c>
      <x:c r="H9" s="15" t="str">
        <x:v>A bypass can be more efficient than full duplication.</x:v>
      </x:c>
      <x:c r="I9" s="15" t="str">
        <x:v>A3 uses storage to bridge a six-hour half-flow bypass and passes four declared worlds.</x:v>
      </x:c>
      <x:c r="J9" s="15" t="str">
        <x:v>Reserve mass becomes a timed service mechanism.</x:v>
      </x:c>
      <x:c r="K9" s="15" t="str">
        <x:v>Isolation blocks, crews and access must be generated with the line.</x:v>
      </x:c>
      <x:c r="L9" s="15" t="str">
        <x:v>Robotic placement and sanitary rapid connections are decisive targets.</x:v>
      </x:c>
      <x:c r="M9" s="15" t="str">
        <x:v>The receiver needs prepared bypass paths and connection points.</x:v>
      </x:c>
      <x:c r="N9" s="15" t="str">
        <x:v>Water systems authority</x:v>
      </x:c>
      <x:c r="O9" s="15" t="str">
        <x:v>OPEN</x:v>
      </x:c>
      <x:c r="P9" s="15" t="str">
        <x:v>Seed rupture before and after buffer charge</x:v>
      </x:c>
      <x:c r="Q9" s="15" t="str">
        <x:v>BLOCKED</x:v>
      </x:c>
    </x:row>
    <x:row r="10" ht="110" customHeight="1">
      <x:c r="C10" s="11" t="str">
        <x:v>A1 half-service coverage</x:v>
      </x:c>
      <x:c r="D10" s="17" t="n">
        <x:f>'02 Architectures'!AM6</x:f>
        <x:v>20.4</x:v>
      </x:c>
      <x:c r="E10" s="11" t="str">
        <x:v>hours</x:v>
      </x:c>
      <x:c r="F10" s="15" t="str">
        <x:v>20.4 h if full, clean and connected</x:v>
      </x:c>
      <x:c r="H10" s="15" t="str">
        <x:v>A4 leads the declared matrix but is not selected.</x:v>
      </x:c>
      <x:c r="I10" s="15" t="str">
        <x:v>Separated twins and distributed 24 h storage pass six worlds; receiver-wide contamination defeats all four.</x:v>
      </x:c>
      <x:c r="J10" s="15" t="str">
        <x:v>The remaining common mode lies outside the pipe topology.</x:v>
      </x:c>
      <x:c r="K10" s="15" t="str">
        <x:v>A force needs alternate receivers or isolated public-service islands.</x:v>
      </x:c>
      <x:c r="L10" s="15" t="str">
        <x:v>More pipe and storage cannot solve a shared quality authority or receiving system.</x:v>
      </x:c>
      <x:c r="M10" s="15" t="str">
        <x:v>Receiver federation becomes the next architectural layer.</x:v>
      </x:c>
      <x:c r="N10" s="15" t="str">
        <x:v>Independent RTE authority</x:v>
      </x:c>
      <x:c r="O10" s="15" t="str">
        <x:v>DENIED</x:v>
      </x:c>
      <x:c r="P10" s="15" t="str">
        <x:v>Commission alternate-receiver switching</x:v>
      </x:c>
      <x:c r="Q10" s="15" t="str">
        <x:v>BLOCKED</x:v>
      </x:c>
    </x:row>
    <x:row r="11" ht="110" customHeight="1">
      <x:c r="C11" s="11" t="str">
        <x:v>Current treatment surplus</x:v>
      </x:c>
      <x:c r="D11" s="17" t="n">
        <x:f>'04 Storage State'!I6</x:f>
        <x:v>0</x:v>
      </x:c>
      <x:c r="E11" s="11" t="str">
        <x:v>m³/day</x:v>
      </x:c>
      <x:c r="F11" s="15" t="str">
        <x:v>No concurrent storage charge while meeting full demand</x:v>
      </x:c>
      <x:c r="H11" s="15" t="str">
        <x:v>Resilience has a visible program price.</x:v>
      </x:c>
      <x:c r="I11" s="15" t="str">
        <x:v>Architecture-specific fielding revises the $110.4B base to $110.4–127.2B.</x:v>
      </x:c>
      <x:c r="J11" s="15" t="str">
        <x:v>Cost follows named protection mechanisms rather than an undifferentiated contingency.</x:v>
      </x:c>
      <x:c r="K11" s="15" t="str">
        <x:v>Mobile and prepared capital must be budgeted together.</x:v>
      </x:c>
      <x:c r="L11" s="15" t="str">
        <x:v>The program can terminate mechanisms that do not survive representative trials.</x:v>
      </x:c>
      <x:c r="M11" s="15" t="str">
        <x:v>A4's extra fixed geography is part of force capacity.</x:v>
      </x:c>
      <x:c r="N11" s="15" t="str">
        <x:v>Resilience Acquisition Executive</x:v>
      </x:c>
      <x:c r="O11" s="15" t="str">
        <x:v>OPEN</x:v>
      </x:c>
      <x:c r="P11" s="15" t="str">
        <x:v>Cost released configurations and receiver sites</x:v>
      </x:c>
      <x:c r="Q11" s="15" t="str">
        <x:v>BLOCKED</x:v>
      </x:c>
    </x:row>
    <x:row r="12" ht="35" customHeight="1">
      <x:c r="C12" s="11" t="str">
        <x:v>A1 declared world passes</x:v>
      </x:c>
      <x:c r="D12" s="17" t="n">
        <x:f>'05 Failure Worlds'!E49</x:f>
        <x:v>1</x:v>
      </x:c>
      <x:c r="E12" s="11" t="str">
        <x:v>of 7</x:v>
      </x:c>
      <x:c r="F12" s="15" t="str">
        <x:v>Full-buffer normal repair only</x:v>
      </x:c>
    </x:row>
    <x:row r="13" ht="35" customHeight="1">
      <x:c r="C13" s="11" t="str">
        <x:v>A2 declared world passes</x:v>
      </x:c>
      <x:c r="D13" s="17" t="n">
        <x:f>'05 Failure Worlds'!E50</x:f>
        <x:v>4</x:v>
      </x:c>
      <x:c r="E13" s="11" t="str">
        <x:v>of 7</x:v>
      </x:c>
      <x:c r="F13" s="15" t="str">
        <x:v>One line preserves half flow; split storage preserves half service after one-sector loss</x:v>
      </x:c>
    </x:row>
    <x:row r="14" ht="35" customHeight="1">
      <x:c r="C14" s="11" t="str">
        <x:v>A3 declared world passes</x:v>
      </x:c>
      <x:c r="D14" s="17" t="n">
        <x:f>'05 Failure Worlds'!E51</x:f>
        <x:v>4</x:v>
      </x:c>
      <x:c r="E14" s="11" t="str">
        <x:v>of 7</x:v>
      </x:c>
      <x:c r="F14" s="15" t="str">
        <x:v>Storage can bridge six-hour bypass placement</x:v>
      </x:c>
    </x:row>
    <x:row r="15" ht="35" customHeight="1">
      <x:c r="C15" s="11" t="str">
        <x:v>A4 declared world passes</x:v>
      </x:c>
      <x:c r="D15" s="17" t="n">
        <x:f>'05 Failure Worlds'!E52</x:f>
        <x:v>6</x:v>
      </x:c>
      <x:c r="E15" s="11" t="str">
        <x:v>of 7</x:v>
      </x:c>
      <x:c r="F15" s="15" t="str">
        <x:v>Separated lines and distributed storage fail receiver-wide hold</x:v>
      </x:c>
    </x:row>
    <x:row r="16" ht="35" customHeight="1">
      <x:c r="C16" s="11" t="str">
        <x:v>Minimum system dry mass</x:v>
      </x:c>
      <x:c r="D16" s="17" t="n">
        <x:f>MIN('02 Architectures'!AG6:AG9)</x:f>
        <x:v>3994.265722240284</x:v>
      </x:c>
      <x:c r="E16" s="11" t="str">
        <x:v>t</x:v>
      </x:c>
      <x:c r="F16" s="15" t="str">
        <x:v>Architecture-specific complete-chain planning mass</x:v>
      </x:c>
    </x:row>
    <x:row r="17" ht="35" customHeight="1">
      <x:c r="C17" s="11" t="str">
        <x:v>Maximum system dry mass</x:v>
      </x:c>
      <x:c r="D17" s="17" t="n">
        <x:f>MAX('02 Architectures'!AG6:AG9)</x:f>
        <x:v>4324.242428308064</x:v>
      </x:c>
      <x:c r="E17" s="11" t="str">
        <x:v>t</x:v>
      </x:c>
      <x:c r="F17" s="15" t="str">
        <x:v>Route and storage resilience add material and site hardware</x:v>
      </x:c>
    </x:row>
    <x:row r="18" ht="35" customHeight="1">
      <x:c r="C18" s="11" t="str">
        <x:v>Minimum revised program</x:v>
      </x:c>
      <x:c r="D18" s="17" t="n">
        <x:f>MIN('06 Cost'!H6:H9)</x:f>
        <x:v>110.4</x:v>
      </x:c>
      <x:c r="E18" s="11" t="str">
        <x:v>$B/25 years</x:v>
      </x:c>
      <x:c r="F18" s="15" t="str">
        <x:v>Pass 64 base with architecture-specific fielding</x:v>
      </x:c>
    </x:row>
    <x:row r="19" ht="35" customHeight="1">
      <x:c r="C19" s="11" t="str">
        <x:v>Maximum revised program</x:v>
      </x:c>
      <x:c r="D19" s="17" t="n">
        <x:f>MAX('06 Cost'!H6:H9)</x:f>
        <x:v>127.2</x:v>
      </x:c>
      <x:c r="E19" s="11" t="str">
        <x:v>$B/25 years</x:v>
      </x:c>
      <x:c r="F19" s="15" t="str">
        <x:v>Does not include real site acquisition or carrier redesign</x:v>
      </x:c>
    </x:row>
    <x:row r="20" ht="35" customHeight="1">
      <x:c r="C20" s="11" t="str">
        <x:v>Strict admissions</x:v>
      </x:c>
      <x:c r="D20" s="17" t="n">
        <x:f>COUNTIFS('05 Failure Worlds'!K49:K52,"ADMITTED")</x:f>
        <x:v>0</x:v>
      </x:c>
      <x:c r="E20" s="11" t="str">
        <x:v>of 4</x:v>
      </x:c>
      <x:c r="F20" s="15" t="str">
        <x:v>Declared screens do not substitute for evidence</x:v>
      </x:c>
    </x:row>
    <x:row r="21" ht="35" customHeight="1">
      <x:c r="C21" s="11" t="str">
        <x:v>Selected architecture</x:v>
      </x:c>
      <x:c r="D21" s="11" t="str">
        <x:v>NONE</x:v>
      </x:c>
      <x:c r="E21" s="11" t="str">
        <x:v>state</x:v>
      </x:c>
      <x:c r="F21" s="15" t="str">
        <x:v>A4 advances as test leader only</x:v>
      </x:c>
    </x:row>
    <x:row r="22" ht="35" customHeight="1">
      <x:c r="C22" s="11" t="str">
        <x:v>Rendering</x:v>
      </x:c>
      <x:c r="D22" s="11" t="str">
        <x:v>BLOCKED</x:v>
      </x:c>
      <x:c r="E22" s="11" t="str">
        <x:v>state</x:v>
      </x:c>
      <x:c r="F22" s="15" t="str">
        <x:v>No architecture has R3 evidence</x:v>
      </x:c>
    </x:row>
  </x:sheetData>
  <x:conditionalFormatting sqref="D6:D22">
    <x:cfRule type="containsText" dxfId="80" priority="1" operator="containsText" text="FAIL"/>
    <x:cfRule type="containsText" dxfId="81" priority="2" operator="containsText" text="DENIED"/>
    <x:cfRule type="containsText" dxfId="82" priority="3" operator="containsText" text="BLOCKED"/>
    <x:cfRule type="containsText" dxfId="83" priority="4" operator="containsText" text="OPEN"/>
    <x:cfRule type="containsText" dxfId="84" priority="5" operator="containsText" text="UNTESTED"/>
    <x:cfRule type="containsText" dxfId="85" priority="6" operator="containsText" text="DECLARED"/>
    <x:cfRule type="containsText" dxfId="86" priority="7" operator="containsText" text="PASS"/>
    <x:cfRule type="containsText" dxfId="87" priority="8" operator="containsText" text="MET"/>
  </x:conditionalFormatting>
  <x:conditionalFormatting sqref="O6:O11">
    <x:cfRule type="containsText" dxfId="88" priority="9" operator="containsText" text="FAIL"/>
    <x:cfRule type="containsText" dxfId="89" priority="10" operator="containsText" text="DENIED"/>
    <x:cfRule type="containsText" dxfId="90" priority="11" operator="containsText" text="BLOCKED"/>
    <x:cfRule type="containsText" dxfId="91" priority="12" operator="containsText" text="OPEN"/>
    <x:cfRule type="containsText" dxfId="92" priority="13" operator="containsText" text="UNTESTED"/>
    <x:cfRule type="containsText" dxfId="93" priority="14" operator="containsText" text="DECLARED"/>
    <x:cfRule type="containsText" dxfId="94" priority="15" operator="containsText" text="PASS"/>
    <x:cfRule type="containsText" dxfId="95" priority="16" operator="containsText" text="MET"/>
  </x:conditionalFormatting>
  <x:conditionalFormatting sqref="Q6:Q11">
    <x:cfRule type="containsText" dxfId="96" priority="17" operator="containsText" text="FAIL"/>
    <x:cfRule type="containsText" dxfId="97" priority="18" operator="containsText" text="DENIED"/>
    <x:cfRule type="containsText" dxfId="98" priority="19" operator="containsText" text="BLOCKED"/>
    <x:cfRule type="containsText" dxfId="99" priority="20" operator="containsText" text="OPEN"/>
    <x:cfRule type="containsText" dxfId="100" priority="21" operator="containsText" text="UNTESTED"/>
    <x:cfRule type="containsText" dxfId="101" priority="22" operator="containsText" text="DECLARED"/>
    <x:cfRule type="containsText" dxfId="102" priority="23" operator="containsText" text="PASS"/>
    <x:cfRule type="containsText" dxfId="103" priority="24" operator="containsText" text="MET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D5F8B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3" max="3" width="42" hidden="0" customWidth="1"/>
    <x:col min="4" max="4" width="20" hidden="0" customWidth="1"/>
    <x:col min="5" max="5" width="20" hidden="0" customWidth="1"/>
    <x:col min="6" max="6" width="55" hidden="0" customWidth="1"/>
    <x:col min="7" max="7" width="20" hidden="0" customWidth="1"/>
  </x:cols>
  <x:sheetData>
    <x:row r="2">
      <x:c r="C2" s="2" t="str">
        <x:v>Degraded-service architecture controls</x:v>
      </x:c>
      <x:c r="D2" s="1"/>
      <x:c r="E2" s="1"/>
      <x:c r="F2" s="1"/>
      <x:c r="G2" s="1"/>
      <x:c r="H2" s="1"/>
      <x:c r="I2" s="1"/>
      <x:c r="J2" s="1"/>
    </x:row>
    <x:row r="3">
      <x:c r="C3" s="3" t="str">
        <x:v>Blue cells are declared research inputs. Storage receives credit only when its charge state, location and surviving distribution path are explicit.</x:v>
      </x:c>
      <x:c r="D3" s="3"/>
      <x:c r="E3" s="3"/>
      <x:c r="F3" s="3"/>
      <x:c r="G3" s="3"/>
      <x:c r="H3" s="3"/>
      <x:c r="I3" s="3"/>
      <x:c r="J3" s="3"/>
    </x:row>
    <x:row r="5">
      <x:c r="C5" s="9" t="str">
        <x:v>Control</x:v>
      </x:c>
      <x:c r="D5" s="9" t="str">
        <x:v>Value</x:v>
      </x:c>
      <x:c r="E5" s="9" t="str">
        <x:v>Unit</x:v>
      </x:c>
      <x:c r="F5" s="9" t="str">
        <x:v>Use</x:v>
      </x:c>
      <x:c r="G5" s="9" t="str">
        <x:v>State</x:v>
      </x:c>
    </x:row>
    <x:row r="6" ht="31" customHeight="1">
      <x:c r="C6" s="11" t="str">
        <x:v>Product-water demand</x:v>
      </x:c>
      <x:c r="D6" s="13" t="n">
        <x:v>10000</x:v>
      </x:c>
      <x:c r="E6" s="15" t="str">
        <x:v>m³/day</x:v>
      </x:c>
      <x:c r="F6" s="15" t="str">
        <x:v>Normal accessible service</x:v>
      </x:c>
      <x:c r="G6" s="15" t="str">
        <x:v>DECLARED</x:v>
      </x:c>
    </x:row>
    <x:row r="7" ht="31" customHeight="1">
      <x:c r="C7" s="11" t="str">
        <x:v>Degraded-service floor</x:v>
      </x:c>
      <x:c r="D7" s="14" t="n">
        <x:v>0.5</x:v>
      </x:c>
      <x:c r="E7" s="15" t="str">
        <x:v>share</x:v>
      </x:c>
      <x:c r="F7" s="15" t="str">
        <x:v>Minimum service after registered failure</x:v>
      </x:c>
      <x:c r="G7" s="15" t="str">
        <x:v>DECLARED</x:v>
      </x:c>
    </x:row>
    <x:row r="8" ht="31" customHeight="1">
      <x:c r="C8" s="11" t="str">
        <x:v>Failure evaluation horizon</x:v>
      </x:c>
      <x:c r="D8" s="13" t="n">
        <x:v>24</x:v>
      </x:c>
      <x:c r="E8" s="15" t="str">
        <x:v>hours</x:v>
      </x:c>
      <x:c r="F8" s="15" t="str">
        <x:v>Continuous minimum-service test</x:v>
      </x:c>
      <x:c r="G8" s="15" t="str">
        <x:v>DECLARED</x:v>
      </x:c>
    </x:row>
    <x:row r="9" ht="31" customHeight="1">
      <x:c r="C9" s="11" t="str">
        <x:v>Endpoint distance</x:v>
      </x:c>
      <x:c r="D9" s="13" t="n">
        <x:v>10</x:v>
      </x:c>
      <x:c r="E9" s="15" t="str">
        <x:v>km</x:v>
      </x:c>
      <x:c r="F9" s="15" t="str">
        <x:v>First-reach mission</x:v>
      </x:c>
      <x:c r="G9" s="15" t="str">
        <x:v>DECLARED</x:v>
      </x:c>
    </x:row>
    <x:row r="10" ht="31" customHeight="1">
      <x:c r="C10" s="11" t="str">
        <x:v>Pipe repair reserve</x:v>
      </x:c>
      <x:c r="D10" s="14" t="n">
        <x:v>0.1</x:v>
      </x:c>
      <x:c r="E10" s="15" t="str">
        <x:v>share</x:v>
      </x:c>
      <x:c r="F10" s="15" t="str">
        <x:v>Transported material beyond installed routes</x:v>
      </x:c>
      <x:c r="G10" s="15" t="str">
        <x:v>DECLARED</x:v>
      </x:c>
    </x:row>
    <x:row r="11" ht="31" customHeight="1">
      <x:c r="C11" s="11" t="str">
        <x:v>Usable storage share</x:v>
      </x:c>
      <x:c r="D11" s="14" t="n">
        <x:v>0.85</x:v>
      </x:c>
      <x:c r="E11" s="15" t="str">
        <x:v>share</x:v>
      </x:c>
      <x:c r="F11" s="15" t="str">
        <x:v>Sanitary and operational drawdown</x:v>
      </x:c>
      <x:c r="G11" s="15" t="str">
        <x:v>DECLARED</x:v>
      </x:c>
    </x:row>
    <x:row r="12" ht="31" customHeight="1">
      <x:c r="C12" s="11" t="str">
        <x:v>Reference rupture repair</x:v>
      </x:c>
      <x:c r="D12" s="13" t="n">
        <x:v>18</x:v>
      </x:c>
      <x:c r="E12" s="15" t="str">
        <x:v>hours</x:v>
      </x:c>
      <x:c r="F12" s="15" t="str">
        <x:v>Normal seeded repair</x:v>
      </x:c>
      <x:c r="G12" s="15" t="str">
        <x:v>DECLARED</x:v>
      </x:c>
    </x:row>
    <x:row r="13" ht="31" customHeight="1">
      <x:c r="C13" s="11" t="str">
        <x:v>Delayed repair</x:v>
      </x:c>
      <x:c r="D13" s="13" t="n">
        <x:v>36</x:v>
      </x:c>
      <x:c r="E13" s="15" t="str">
        <x:v>hours</x:v>
      </x:c>
      <x:c r="F13" s="15" t="str">
        <x:v>Adverse seeded repair</x:v>
      </x:c>
      <x:c r="G13" s="15" t="str">
        <x:v>DECLARED</x:v>
      </x:c>
    </x:row>
    <x:row r="14" ht="31" customHeight="1">
      <x:c r="C14" s="11" t="str">
        <x:v>Bypass deployment</x:v>
      </x:c>
      <x:c r="D14" s="13" t="n">
        <x:v>6</x:v>
      </x:c>
      <x:c r="E14" s="15" t="str">
        <x:v>hours</x:v>
      </x:c>
      <x:c r="F14" s="15" t="str">
        <x:v>Time to half-flow around isolated block</x:v>
      </x:c>
      <x:c r="G14" s="15" t="str">
        <x:v>TARGET</x:v>
      </x:c>
    </x:row>
    <x:row r="15" ht="31" customHeight="1">
      <x:c r="C15" s="11" t="str">
        <x:v>Reference internal diameter</x:v>
      </x:c>
      <x:c r="D15" s="13" t="n">
        <x:v>0.5</x:v>
      </x:c>
      <x:c r="E15" s="15" t="str">
        <x:v>m</x:v>
      </x:c>
      <x:c r="F15" s="15" t="str">
        <x:v>Single-line geometry</x:v>
      </x:c>
      <x:c r="G15" s="15" t="str">
        <x:v>SOURCE VALUE</x:v>
      </x:c>
    </x:row>
    <x:row r="16" ht="31" customHeight="1">
      <x:c r="C16" s="11" t="str">
        <x:v>Dimension ratio</x:v>
      </x:c>
      <x:c r="D16" s="13" t="n">
        <x:v>17</x:v>
      </x:c>
      <x:c r="E16" s="15" t="str">
        <x:v>OD/wall</x:v>
      </x:c>
      <x:c r="F16" s="15" t="str">
        <x:v>Illustrative thermoplastic geometry</x:v>
      </x:c>
      <x:c r="G16" s="15" t="str">
        <x:v>SOURCE VALUE</x:v>
      </x:c>
    </x:row>
    <x:row r="17" ht="31" customHeight="1">
      <x:c r="C17" s="11" t="str">
        <x:v>Material density</x:v>
      </x:c>
      <x:c r="D17" s="13" t="n">
        <x:v>0.95</x:v>
      </x:c>
      <x:c r="E17" s="15" t="str">
        <x:v>t/m³</x:v>
      </x:c>
      <x:c r="F17" s="15" t="str">
        <x:v>Pipe material</x:v>
      </x:c>
      <x:c r="G17" s="15" t="str">
        <x:v>SOURCE VALUE</x:v>
      </x:c>
    </x:row>
    <x:row r="18" ht="31" customHeight="1">
      <x:c r="C18" s="11" t="str">
        <x:v>Sectional packing efficiency</x:v>
      </x:c>
      <x:c r="D18" s="14" t="n">
        <x:v>0.174</x:v>
      </x:c>
      <x:c r="E18" s="15" t="str">
        <x:v>share</x:v>
      </x:c>
      <x:c r="F18" s="15" t="str">
        <x:v>Material volume divided by transport cube</x:v>
      </x:c>
      <x:c r="G18" s="15" t="str">
        <x:v>SOURCE VALUE</x:v>
      </x:c>
    </x:row>
    <x:row r="19" ht="31" customHeight="1">
      <x:c r="C19" s="11" t="str">
        <x:v>Packaging mass share</x:v>
      </x:c>
      <x:c r="D19" s="14" t="n">
        <x:v>0.12</x:v>
      </x:c>
      <x:c r="E19" s="15" t="str">
        <x:v>share</x:v>
      </x:c>
      <x:c r="F19" s="15" t="str">
        <x:v>Transport mass above pipe material</x:v>
      </x:c>
      <x:c r="G19" s="15" t="str">
        <x:v>DECLARED</x:v>
      </x:c>
    </x:row>
    <x:row r="20" ht="31" customHeight="1">
      <x:c r="C20" s="11" t="str">
        <x:v>Darcy friction factor</x:v>
      </x:c>
      <x:c r="D20" s="13" t="n">
        <x:v>0.015</x:v>
      </x:c>
      <x:c r="E20" s="15" t="str">
        <x:v>factor</x:v>
      </x:c>
      <x:c r="F20" s="15" t="str">
        <x:v>Hydraulic screen</x:v>
      </x:c>
      <x:c r="G20" s="15" t="str">
        <x:v>DECLARED</x:v>
      </x:c>
    </x:row>
    <x:row r="21" ht="31" customHeight="1">
      <x:c r="C21" s="11" t="str">
        <x:v>Static head</x:v>
      </x:c>
      <x:c r="D21" s="13" t="n">
        <x:v>20</x:v>
      </x:c>
      <x:c r="E21" s="15" t="str">
        <x:v>m</x:v>
      </x:c>
      <x:c r="F21" s="15" t="str">
        <x:v>Representative endpoint rise</x:v>
      </x:c>
      <x:c r="G21" s="15" t="str">
        <x:v>DECLARED</x:v>
      </x:c>
    </x:row>
    <x:row r="22" ht="31" customHeight="1">
      <x:c r="C22" s="11" t="str">
        <x:v>Pump efficiency</x:v>
      </x:c>
      <x:c r="D22" s="14" t="n">
        <x:v>0.75</x:v>
      </x:c>
      <x:c r="E22" s="15" t="str">
        <x:v>share</x:v>
      </x:c>
      <x:c r="F22" s="15" t="str">
        <x:v>Hydraulic shaft power</x:v>
      </x:c>
      <x:c r="G22" s="15" t="str">
        <x:v>DECLARED</x:v>
      </x:c>
    </x:row>
    <x:row r="23" ht="31" customHeight="1">
      <x:c r="C23" s="11" t="str">
        <x:v>Water density</x:v>
      </x:c>
      <x:c r="D23" s="13" t="n">
        <x:v>1000</x:v>
      </x:c>
      <x:c r="E23" s="15" t="str">
        <x:v>kg/m³</x:v>
      </x:c>
      <x:c r="F23" s="15" t="str">
        <x:v>Hydraulics</x:v>
      </x:c>
      <x:c r="G23" s="15" t="str">
        <x:v>PHYSICAL CONSTANT</x:v>
      </x:c>
    </x:row>
    <x:row r="24" ht="31" customHeight="1">
      <x:c r="C24" s="11" t="str">
        <x:v>Gravity</x:v>
      </x:c>
      <x:c r="D24" s="13" t="n">
        <x:v>9.81</x:v>
      </x:c>
      <x:c r="E24" s="15" t="str">
        <x:v>m/s²</x:v>
      </x:c>
      <x:c r="F24" s="15" t="str">
        <x:v>Hydraulics</x:v>
      </x:c>
      <x:c r="G24" s="15" t="str">
        <x:v>PHYSICAL CONSTANT</x:v>
      </x:c>
    </x:row>
    <x:row r="25" ht="31" customHeight="1">
      <x:c r="C25" s="11" t="str">
        <x:v>Surface density floor</x:v>
      </x:c>
      <x:c r="D25" s="13" t="n">
        <x:v>0.2</x:v>
      </x:c>
      <x:c r="E25" s="15" t="str">
        <x:v>t/m³</x:v>
      </x:c>
      <x:c r="F25" s="15" t="str">
        <x:v>Chargeable burden</x:v>
      </x:c>
      <x:c r="G25" s="15" t="str">
        <x:v>DECLARED</x:v>
      </x:c>
    </x:row>
    <x:row r="26" ht="31" customHeight="1">
      <x:c r="C26" s="11" t="str">
        <x:v>Surface position</x:v>
      </x:c>
      <x:c r="D26" s="13" t="n">
        <x:v>40</x:v>
      </x:c>
      <x:c r="E26" s="15" t="str">
        <x:v>t</x:v>
      </x:c>
      <x:c r="F26" s="15" t="str">
        <x:v>Position-equivalent screen</x:v>
      </x:c>
      <x:c r="G26" s="15" t="str">
        <x:v>DECLARED</x:v>
      </x:c>
    </x:row>
    <x:row r="27" ht="31" customHeight="1">
      <x:c r="C27" s="11" t="str">
        <x:v>Base storage</x:v>
      </x:c>
      <x:c r="D27" s="13" t="n">
        <x:v>12</x:v>
      </x:c>
      <x:c r="E27" s="15" t="str">
        <x:v>hours of demand</x:v>
      </x:c>
      <x:c r="F27" s="15" t="str">
        <x:v>Pass 64 gross product-water buffer</x:v>
      </x:c>
      <x:c r="G27" s="15" t="str">
        <x:v>DECLARED</x:v>
      </x:c>
    </x:row>
    <x:row r="28" ht="31" customHeight="1">
      <x:c r="C28" s="11" t="str">
        <x:v>Expanded storage</x:v>
      </x:c>
      <x:c r="D28" s="13" t="n">
        <x:v>24</x:v>
      </x:c>
      <x:c r="E28" s="15" t="str">
        <x:v>hours of demand</x:v>
      </x:c>
      <x:c r="F28" s="15" t="str">
        <x:v>Distributed-storage rival</x:v>
      </x:c>
      <x:c r="G28" s="15" t="str">
        <x:v>TARGET</x:v>
      </x:c>
    </x:row>
    <x:row r="29" ht="31" customHeight="1">
      <x:c r="C29" s="11" t="str">
        <x:v>Storage hardware mass</x:v>
      </x:c>
      <x:c r="D29" s="13" t="n">
        <x:v>36</x:v>
      </x:c>
      <x:c r="E29" s="15" t="str">
        <x:v>t/1,000 m³</x:v>
      </x:c>
      <x:c r="F29" s="15" t="str">
        <x:v>Inherited first-order coefficient</x:v>
      </x:c>
      <x:c r="G29" s="15" t="str">
        <x:v>DECLARED</x:v>
      </x:c>
    </x:row>
    <x:row r="30" ht="31" customHeight="1">
      <x:c r="C30" s="11" t="str">
        <x:v>Storage hardware cube</x:v>
      </x:c>
      <x:c r="D30" s="13" t="n">
        <x:v>200</x:v>
      </x:c>
      <x:c r="E30" s="15" t="str">
        <x:v>m³/1,000 m³</x:v>
      </x:c>
      <x:c r="F30" s="15" t="str">
        <x:v>Inherited first-order coefficient</x:v>
      </x:c>
      <x:c r="G30" s="15" t="str">
        <x:v>DECLARED</x:v>
      </x:c>
    </x:row>
    <x:row r="31" ht="31" customHeight="1">
      <x:c r="C31" s="11" t="str">
        <x:v>Non-pipe, non-storage dry core</x:v>
      </x:c>
      <x:c r="D31" s="13" t="n">
        <x:v>3078.9</x:v>
      </x:c>
      <x:c r="E31" s="15" t="str">
        <x:v>t</x:v>
      </x:c>
      <x:c r="F31" s="15" t="str">
        <x:v>Pass 64 system mass excluding pipe, fittings and storage</x:v>
      </x:c>
      <x:c r="G31" s="15" t="str">
        <x:v>SOURCE VALUE</x:v>
      </x:c>
    </x:row>
    <x:row r="32" ht="31" customHeight="1">
      <x:c r="C32" s="11" t="str">
        <x:v>Non-pipe, non-storage chargeable core</x:v>
      </x:c>
      <x:c r="D32" s="13" t="n">
        <x:v>3152.7</x:v>
      </x:c>
      <x:c r="E32" s="15" t="str">
        <x:v>t</x:v>
      </x:c>
      <x:c r="F32" s="15" t="str">
        <x:v>Pass 64 burden excluding pipe, fittings and storage</x:v>
      </x:c>
      <x:c r="G32" s="15" t="str">
        <x:v>SOURCE VALUE</x:v>
      </x:c>
    </x:row>
    <x:row r="33" ht="31" customHeight="1">
      <x:c r="C33" s="11" t="str">
        <x:v>Current treatment capacity</x:v>
      </x:c>
      <x:c r="D33" s="13" t="n">
        <x:v>10000</x:v>
      </x:c>
      <x:c r="E33" s="15" t="str">
        <x:v>m³/day</x:v>
      </x:c>
      <x:c r="F33" s="15" t="str">
        <x:v>One-train first-reach baseline</x:v>
      </x:c>
      <x:c r="G33" s="15" t="str">
        <x:v>SOURCE VALUE</x:v>
      </x:c>
    </x:row>
    <x:row r="34" ht="31" customHeight="1">
      <x:c r="C34" s="11" t="str">
        <x:v>Treatment headroom target</x:v>
      </x:c>
      <x:c r="D34" s="14" t="n">
        <x:v>0.25</x:v>
      </x:c>
      <x:c r="E34" s="15" t="str">
        <x:v>share of demand</x:v>
      </x:c>
      <x:c r="F34" s="15" t="str">
        <x:v>Concurrent storage charging comparator</x:v>
      </x:c>
      <x:c r="G34" s="15" t="str">
        <x:v>TARGET</x:v>
      </x:c>
    </x:row>
    <x:row r="35" ht="31" customHeight="1">
      <x:c r="C35" s="11" t="str">
        <x:v>Pass 64 program base</x:v>
      </x:c>
      <x:c r="D35" s="13" t="n">
        <x:v>110.4</x:v>
      </x:c>
      <x:c r="E35" s="15" t="str">
        <x:v>$B/25 years</x:v>
      </x:c>
      <x:c r="F35" s="15" t="str">
        <x:v>Common technology program</x:v>
      </x:c>
      <x:c r="G35" s="15" t="str">
        <x:v>SOURCE VALUE</x:v>
      </x:c>
    </x:row>
    <x:row r="36" ht="31" customHeight="1">
      <x:c r="C36" s="11" t="str">
        <x:v>Initial operational sets</x:v>
      </x:c>
      <x:c r="D36" s="13" t="n">
        <x:v>24</x:v>
      </x:c>
      <x:c r="E36" s="15" t="str">
        <x:v>sets</x:v>
      </x:c>
      <x:c r="F36" s="15" t="str">
        <x:v>Pass 64 fielding placeholder</x:v>
      </x:c>
      <x:c r="G36" s="15" t="str">
        <x:v>SOURCE VALUE</x:v>
      </x:c>
    </x:row>
    <x:row r="37" ht="31" customHeight="1">
      <x:c r="C37" s="11" t="str">
        <x:v>Prepared development receivers</x:v>
      </x:c>
      <x:c r="D37" s="13" t="n">
        <x:v>12</x:v>
      </x:c>
      <x:c r="E37" s="15" t="str">
        <x:v>nodes</x:v>
      </x:c>
      <x:c r="F37" s="15" t="str">
        <x:v>Pass 64 receiver placeholder</x:v>
      </x:c>
      <x:c r="G37" s="15" t="str">
        <x:v>SOURCE VALUE</x:v>
      </x:c>
    </x:row>
    <x:row r="38" ht="31" customHeight="1">
      <x:c r="C38" s="11" t="str">
        <x:v>Baseline equipment unit</x:v>
      </x:c>
      <x:c r="D38" s="13" t="n">
        <x:v>1.2</x:v>
      </x:c>
      <x:c r="E38" s="15" t="str">
        <x:v>$B/set</x:v>
      </x:c>
      <x:c r="F38" s="15" t="str">
        <x:v>Pass 64 first-reach set allowance</x:v>
      </x:c>
      <x:c r="G38" s="15" t="str">
        <x:v>SOURCE VALUE</x:v>
      </x:c>
    </x:row>
    <x:row r="39" ht="31" customHeight="1">
      <x:c r="C39" s="11" t="str">
        <x:v>Baseline receiver unit</x:v>
      </x:c>
      <x:c r="D39" s="13" t="n">
        <x:v>0.6</x:v>
      </x:c>
      <x:c r="E39" s="15" t="str">
        <x:v>$B/node</x:v>
      </x:c>
      <x:c r="F39" s="15" t="str">
        <x:v>Pass 64 prepared receiver allowance</x:v>
      </x:c>
      <x:c r="G39" s="15" t="str">
        <x:v>SOURCE VALUE</x:v>
      </x:c>
    </x:row>
  </x:sheetData>
  <x:conditionalFormatting sqref="G6:G39">
    <x:cfRule type="containsText" dxfId="0" priority="1" operator="containsText" text="FAIL"/>
    <x:cfRule type="containsText" dxfId="1" priority="2" operator="containsText" text="DENIED"/>
    <x:cfRule type="containsText" dxfId="2" priority="3" operator="containsText" text="BLOCKED"/>
    <x:cfRule type="containsText" dxfId="3" priority="4" operator="containsText" text="OPEN"/>
    <x:cfRule type="containsText" dxfId="4" priority="5" operator="containsText" text="UNTESTED"/>
    <x:cfRule type="containsText" dxfId="5" priority="6" operator="containsText" text="DECLARED"/>
    <x:cfRule type="containsText" dxfId="6" priority="7" operator="containsText" text="PASS"/>
    <x:cfRule type="containsText" dxfId="7" priority="8" operator="containsText" text="MET"/>
  </x:conditionalFormatting>
  <x:pageMargins left="0.7" right="0.7" top="0.75" bottom="0.75" header="0.3" footer="0.3"/>
  <x:tableParts count="1">
    <x:tablePart xmlns:r="http://schemas.openxmlformats.org/officeDocument/2006/relationships" r:id="R3c5d0a774e9148c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4" ySplit="5" topLeftCell="E6" activePane="bottomRight" state="frozen"/>
    </x:sheetView>
  </x:sheetViews>
  <x:sheetFormatPr defaultRowHeight="15"/>
  <x:cols>
    <x:col min="3" max="3" width="10" hidden="0" customWidth="1"/>
    <x:col min="4" max="4" width="42" hidden="0" customWidth="1"/>
    <x:col min="5" max="5" width="13" hidden="0" customWidth="1"/>
    <x:col min="6" max="6" width="15" hidden="0" customWidth="1"/>
    <x:col min="7" max="7" width="15" hidden="0" customWidth="1"/>
    <x:col min="8" max="8" width="18" hidden="0" customWidth="1"/>
    <x:col min="9" max="9" width="17" hidden="0" customWidth="1"/>
    <x:col min="10" max="10" width="15" hidden="0" customWidth="1"/>
    <x:col min="11" max="11" width="18" hidden="0" customWidth="1"/>
    <x:col min="12" max="12" width="25" hidden="0" customWidth="1"/>
    <x:col min="13" max="13" width="19" hidden="0" customWidth="1"/>
    <x:col min="14" max="14" width="18" hidden="0" customWidth="1"/>
    <x:col min="15" max="15" width="18" hidden="0" customWidth="1"/>
    <x:col min="16" max="16" width="15" hidden="0" customWidth="1"/>
    <x:col min="17" max="17" width="21" hidden="0" customWidth="1"/>
    <x:col min="18" max="18" width="20" hidden="0" customWidth="1"/>
    <x:col min="19" max="19" width="20" hidden="0" customWidth="1"/>
    <x:col min="20" max="20" width="20" hidden="0" customWidth="1"/>
    <x:col min="21" max="21" width="23" hidden="0" customWidth="1"/>
    <x:col min="22" max="22" width="15" hidden="0" customWidth="1"/>
    <x:col min="23" max="23" width="20" hidden="0" customWidth="1"/>
    <x:col min="24" max="24" width="21" hidden="0" customWidth="1"/>
    <x:col min="25" max="25" width="23" hidden="0" customWidth="1"/>
    <x:col min="26" max="26" width="22" hidden="0" customWidth="1"/>
    <x:col min="27" max="27" width="24" hidden="0" customWidth="1"/>
    <x:col min="28" max="28" width="17" hidden="0" customWidth="1"/>
    <x:col min="29" max="29" width="20" hidden="0" customWidth="1"/>
    <x:col min="30" max="30" width="21" hidden="0" customWidth="1"/>
    <x:col min="31" max="31" width="20" hidden="0" customWidth="1"/>
    <x:col min="32" max="32" width="25" hidden="0" customWidth="1"/>
    <x:col min="33" max="33" width="20" hidden="0" customWidth="1"/>
    <x:col min="34" max="34" width="22" hidden="0" customWidth="1"/>
    <x:col min="35" max="35" width="18" hidden="0" customWidth="1"/>
    <x:col min="36" max="36" width="21" hidden="0" customWidth="1"/>
    <x:col min="37" max="37" width="19" hidden="0" customWidth="1"/>
    <x:col min="38" max="38" width="30" hidden="0" customWidth="1"/>
    <x:col min="39" max="39" width="23" hidden="0" customWidth="1"/>
    <x:col min="40" max="40" width="26" hidden="0" customWidth="1"/>
    <x:col min="41" max="41" width="18" hidden="0" customWidth="1"/>
    <x:col min="42" max="42" width="17" hidden="0" customWidth="1"/>
  </x:cols>
  <x:sheetData>
    <x:row r="2">
      <x:c r="C2" s="2" t="str">
        <x:v>First-reach degraded-service architectures</x:v>
      </x:c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</x:row>
    <x:row r="3">
      <x:c r="C3" s="3" t="str">
        <x:v>All four alternatives use the sectional reference material so line topology, storage and receiver design can be compared before pipe technology is reintroduced.</x:v>
      </x:c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  <x:c r="AA3" s="3"/>
      <x:c r="AB3" s="3"/>
      <x:c r="AC3" s="3"/>
      <x:c r="AD3" s="3"/>
      <x:c r="AE3" s="3"/>
      <x:c r="AF3" s="3"/>
      <x:c r="AG3" s="3"/>
      <x:c r="AH3" s="3"/>
      <x:c r="AI3" s="3"/>
      <x:c r="AJ3" s="3"/>
      <x:c r="AK3" s="3"/>
      <x:c r="AL3" s="3"/>
      <x:c r="AM3" s="3"/>
      <x:c r="AN3" s="3"/>
      <x:c r="AO3" s="3"/>
      <x:c r="AP3" s="3"/>
      <x:c r="AQ3" s="3"/>
      <x:c r="AR3" s="3"/>
      <x:c r="AS3" s="3"/>
      <x:c r="AT3" s="3"/>
    </x:row>
    <x:row r="5">
      <x:c r="C5" s="9" t="str">
        <x:v>ID</x:v>
      </x:c>
      <x:c r="D5" s="9" t="str">
        <x:v>Architecture</x:v>
      </x:c>
      <x:c r="E5" s="9" t="str">
        <x:v>Main lines</x:v>
      </x:c>
      <x:c r="F5" s="9" t="str">
        <x:v>Main ID m</x:v>
      </x:c>
      <x:c r="G5" s="9" t="str">
        <x:v>Route factor</x:v>
      </x:c>
      <x:c r="H5" s="9" t="str">
        <x:v>Bypass kit km</x:v>
      </x:c>
      <x:c r="I5" s="9" t="str">
        <x:v>Bypass ID m</x:v>
      </x:c>
      <x:c r="J5" s="9" t="str">
        <x:v>Storage h</x:v>
      </x:c>
      <x:c r="K5" s="9" t="str">
        <x:v>Storage sectors</x:v>
      </x:c>
      <x:c r="L5" s="9" t="str">
        <x:v>Corridor relation</x:v>
      </x:c>
      <x:c r="M5" s="9" t="str">
        <x:v>Fixed handling t</x:v>
      </x:c>
      <x:c r="N5" s="9" t="str">
        <x:v>Fixed cube m³</x:v>
      </x:c>
      <x:c r="O5" s="9" t="str">
        <x:v>Fittings share</x:v>
      </x:c>
      <x:c r="P5" s="9" t="str">
        <x:v>Workfronts</x:v>
      </x:c>
      <x:c r="Q5" s="9" t="str">
        <x:v>Rate km/front-day</x:v>
      </x:c>
      <x:c r="R5" s="9" t="str">
        <x:v>Commissioning days</x:v>
      </x:c>
      <x:c r="S5" s="9" t="str">
        <x:v>Equipment $B/set</x:v>
      </x:c>
      <x:c r="T5" s="9" t="str">
        <x:v>Receiver $B/node</x:v>
      </x:c>
      <x:c r="U5" s="9" t="str">
        <x:v>Main route-km transported</x:v>
      </x:c>
      <x:c r="V5" s="9" t="str">
        <x:v>Bypass km</x:v>
      </x:c>
      <x:c r="W5" s="9" t="str">
        <x:v>Pipe material t</x:v>
      </x:c>
      <x:c r="X5" s="9" t="str">
        <x:v>Material volume m³</x:v>
      </x:c>
      <x:c r="Y5" s="9" t="str">
        <x:v>Pipe transport mass t</x:v>
      </x:c>
      <x:c r="Z5" s="9" t="str">
        <x:v>Pipe packed cube m³</x:v>
      </x:c>
      <x:c r="AA5" s="9" t="str">
        <x:v>Conveyance chargeable t</x:v>
      </x:c>
      <x:c r="AB5" s="9" t="str">
        <x:v>Fittings t</x:v>
      </x:c>
      <x:c r="AC5" s="9" t="str">
        <x:v>Gross storage m³</x:v>
      </x:c>
      <x:c r="AD5" s="9" t="str">
        <x:v>Usable storage m³</x:v>
      </x:c>
      <x:c r="AE5" s="9" t="str">
        <x:v>Storage hardware t</x:v>
      </x:c>
      <x:c r="AF5" s="9" t="str">
        <x:v>Storage hardware cube m³</x:v>
      </x:c>
      <x:c r="AG5" s="9" t="str">
        <x:v>System dry mass t</x:v>
      </x:c>
      <x:c r="AH5" s="9" t="str">
        <x:v>System chargeable t</x:v>
      </x:c>
      <x:c r="AI5" s="9" t="str">
        <x:v>Surface positions</x:v>
      </x:c>
      <x:c r="AJ5" s="9" t="str">
        <x:v>Installed route-km</x:v>
      </x:c>
      <x:c r="AK5" s="9" t="str">
        <x:v>Construction h</x:v>
      </x:c>
      <x:c r="AL5" s="9" t="str">
        <x:v>Immediate share after one-line rupture</x:v>
      </x:c>
      <x:c r="AM5" s="9" t="str">
        <x:v>Half-service storage h</x:v>
      </x:c>
      <x:c r="AN5" s="9" t="str">
        <x:v>Revised 25-year program $B</x:v>
      </x:c>
      <x:c r="AO5" s="9" t="str">
        <x:v>Evidence</x:v>
      </x:c>
      <x:c r="AP5" s="9" t="str">
        <x:v>Rendering</x:v>
      </x:c>
    </x:row>
    <x:row r="6" ht="54" customHeight="1">
      <x:c r="C6" s="11" t="str">
        <x:v>A1</x:v>
      </x:c>
      <x:c r="D6" s="15" t="str">
        <x:v>Single trunk with centralized 12 h buffer</x:v>
      </x:c>
      <x:c r="E6" s="13" t="n">
        <x:v>1</x:v>
      </x:c>
      <x:c r="F6" s="13" t="n">
        <x:v>0.5</x:v>
      </x:c>
      <x:c r="G6" s="16" t="n">
        <x:v>1</x:v>
      </x:c>
      <x:c r="H6" s="16" t="n">
        <x:v>0</x:v>
      </x:c>
      <x:c r="I6" s="16" t="n">
        <x:v>0</x:v>
      </x:c>
      <x:c r="J6" s="16" t="n">
        <x:v>12</x:v>
      </x:c>
      <x:c r="K6" s="13" t="n">
        <x:v>1</x:v>
      </x:c>
      <x:c r="L6" s="13" t="str">
        <x:v>single corridor</x:v>
      </x:c>
      <x:c r="M6" s="13" t="n">
        <x:v>35</x:v>
      </x:c>
      <x:c r="N6" s="13" t="n">
        <x:v>180</x:v>
      </x:c>
      <x:c r="O6" s="14" t="n">
        <x:v>0.08</x:v>
      </x:c>
      <x:c r="P6" s="13" t="n">
        <x:v>5</x:v>
      </x:c>
      <x:c r="Q6" s="13" t="n">
        <x:v>0.6</x:v>
      </x:c>
      <x:c r="R6" s="13" t="n">
        <x:v>3</x:v>
      </x:c>
      <x:c r="S6" s="13" t="n">
        <x:v>1.2</x:v>
      </x:c>
      <x:c r="T6" s="13" t="n">
        <x:v>0.6</x:v>
      </x:c>
      <x:c r="U6" s="17" t="n">
        <x:f>E6*'01 Controls'!$D$9*G6*(1+'01 Controls'!$D$10)</x:f>
        <x:v>11</x:v>
      </x:c>
      <x:c r="V6" s="17" t="n">
        <x:f>H6</x:f>
        <x:v>0</x:v>
      </x:c>
      <x:c r="W6" s="17" t="n">
        <x:f>PI()/4*(F6^2*U6+I6^2*V6)*((1/(1-2/'01 Controls'!$D$16))^2-1)*1000*'01 Controls'!$D$17</x:f>
        <x:v>583.6381018669033</x:v>
      </x:c>
      <x:c r="X6" s="17" t="n">
        <x:f>W6/'01 Controls'!$D$17</x:f>
        <x:v>614.3558967020035</x:v>
      </x:c>
      <x:c r="Y6" s="17" t="n">
        <x:f>W6*(1+'01 Controls'!$D$19)+M6</x:f>
        <x:v>688.6746740909317</x:v>
      </x:c>
      <x:c r="Z6" s="17" t="n">
        <x:f>X6/'01 Controls'!$D$18+N6</x:f>
        <x:v>3710.781015528756</x:v>
      </x:c>
      <x:c r="AA6" s="17" t="n">
        <x:f>MAX(Y6,Z6*'01 Controls'!$D$25)</x:f>
        <x:v>742.1562031057513</x:v>
      </x:c>
      <x:c r="AB6" s="17" t="n">
        <x:f>W6*O6</x:f>
        <x:v>46.69104814935226</x:v>
      </x:c>
      <x:c r="AC6" s="17" t="n">
        <x:f>'01 Controls'!$D$6*J6/24</x:f>
        <x:v>5000</x:v>
      </x:c>
      <x:c r="AD6" s="17" t="n">
        <x:f>AC6*'01 Controls'!$D$11</x:f>
        <x:v>4250</x:v>
      </x:c>
      <x:c r="AE6" s="17" t="n">
        <x:f>AC6/1000*'01 Controls'!$D$29</x:f>
        <x:v>180</x:v>
      </x:c>
      <x:c r="AF6" s="17" t="n">
        <x:f>AC6/1000*'01 Controls'!$D$30</x:f>
        <x:v>1000</x:v>
      </x:c>
      <x:c r="AG6" s="17" t="n">
        <x:f>'01 Controls'!$D$31+Y6+AB6+AE6</x:f>
        <x:v>3994.265722240284</x:v>
      </x:c>
      <x:c r="AH6" s="17" t="n">
        <x:f>'01 Controls'!$D$32+AA6+AB6+MAX(AE6,AF6*'01 Controls'!$D$25)</x:f>
        <x:v>4141.547251255103</x:v>
      </x:c>
      <x:c r="AI6" s="17" t="n">
        <x:f>ROUNDUP(AH6/'01 Controls'!$D$26,0)</x:f>
        <x:v>104</x:v>
      </x:c>
      <x:c r="AJ6" s="17" t="n">
        <x:f>E6*'01 Controls'!$D$9*G6</x:f>
        <x:v>10</x:v>
      </x:c>
      <x:c r="AK6" s="17" t="n">
        <x:f>IF(AND(ISNUMBER(P6),P6&gt;0,ISNUMBER(Q6),Q6&gt;0),(AJ6/(P6*Q6)+R6)*24,"n.a.")</x:f>
        <x:v>152</x:v>
      </x:c>
      <x:c r="AL6" s="18" t="n">
        <x:f>IF(E6&gt;1,(E6-1)/E6,0)</x:f>
        <x:v>0</x:v>
      </x:c>
      <x:c r="AM6" s="17" t="n">
        <x:f>AD6/('01 Controls'!$D$6*'01 Controls'!$D$7)*24</x:f>
        <x:v>20.4</x:v>
      </x:c>
      <x:c r="AN6" s="17" t="n">
        <x:f>'01 Controls'!$D$35-'01 Controls'!$D$36*'01 Controls'!$D$38-'01 Controls'!$D$37*'01 Controls'!$D$39+'01 Controls'!$D$36*S6+'01 Controls'!$D$37*T6</x:f>
        <x:v>110.4</x:v>
      </x:c>
      <x:c r="AO6" s="11" t="str">
        <x:v>UNTESTED</x:v>
      </x:c>
      <x:c r="AP6" s="11" t="str">
        <x:v>BLOCKED</x:v>
      </x:c>
    </x:row>
    <x:row r="7" ht="54" customHeight="1">
      <x:c r="C7" s="11" t="str">
        <x:v>A2</x:v>
      </x:c>
      <x:c r="D7" s="15" t="str">
        <x:v>Twin half-flow trunks in one corridor</x:v>
      </x:c>
      <x:c r="E7" s="13" t="n">
        <x:v>2</x:v>
      </x:c>
      <x:c r="F7" s="13" t="n">
        <x:v>0.35355339059327373</x:v>
      </x:c>
      <x:c r="G7" s="16" t="n">
        <x:v>1</x:v>
      </x:c>
      <x:c r="H7" s="16" t="n">
        <x:v>0</x:v>
      </x:c>
      <x:c r="I7" s="16" t="n">
        <x:v>0</x:v>
      </x:c>
      <x:c r="J7" s="16" t="n">
        <x:v>12</x:v>
      </x:c>
      <x:c r="K7" s="13" t="n">
        <x:v>2</x:v>
      </x:c>
      <x:c r="L7" s="13" t="str">
        <x:v>shared corridor</x:v>
      </x:c>
      <x:c r="M7" s="13" t="n">
        <x:v>70</x:v>
      </x:c>
      <x:c r="N7" s="13" t="n">
        <x:v>300</x:v>
      </x:c>
      <x:c r="O7" s="14" t="n">
        <x:v>0.12</x:v>
      </x:c>
      <x:c r="P7" s="13" t="n">
        <x:v>8</x:v>
      </x:c>
      <x:c r="Q7" s="13" t="n">
        <x:v>0.6</x:v>
      </x:c>
      <x:c r="R7" s="13" t="n">
        <x:v>3.5</x:v>
      </x:c>
      <x:c r="S7" s="13" t="n">
        <x:v>1.35</x:v>
      </x:c>
      <x:c r="T7" s="13" t="n">
        <x:v>0.75</x:v>
      </x:c>
      <x:c r="U7" s="17" t="n">
        <x:f>E7*'01 Controls'!$D$9*G7*(1+'01 Controls'!$D$10)</x:f>
        <x:v>22</x:v>
      </x:c>
      <x:c r="V7" s="17" t="n">
        <x:f>H7</x:f>
        <x:v>0</x:v>
      </x:c>
      <x:c r="W7" s="17" t="n">
        <x:f>PI()/4*(F7^2*U7+I7^2*V7)*((1/(1-2/'01 Controls'!$D$16))^2-1)*1000*'01 Controls'!$D$17</x:f>
        <x:v>583.6381018669033</x:v>
      </x:c>
      <x:c r="X7" s="17" t="n">
        <x:f>W7/'01 Controls'!$D$17</x:f>
        <x:v>614.3558967020035</x:v>
      </x:c>
      <x:c r="Y7" s="17" t="n">
        <x:f>W7*(1+'01 Controls'!$D$19)+M7</x:f>
        <x:v>723.6746740909317</x:v>
      </x:c>
      <x:c r="Z7" s="17" t="n">
        <x:f>X7/'01 Controls'!$D$18+N7</x:f>
        <x:v>3830.781015528756</x:v>
      </x:c>
      <x:c r="AA7" s="17" t="n">
        <x:f>MAX(Y7,Z7*'01 Controls'!$D$25)</x:f>
        <x:v>766.1562031057513</x:v>
      </x:c>
      <x:c r="AB7" s="17" t="n">
        <x:f>W7*O7</x:f>
        <x:v>70.03657222402839</x:v>
      </x:c>
      <x:c r="AC7" s="17" t="n">
        <x:f>'01 Controls'!$D$6*J7/24</x:f>
        <x:v>5000</x:v>
      </x:c>
      <x:c r="AD7" s="17" t="n">
        <x:f>AC7*'01 Controls'!$D$11</x:f>
        <x:v>4250</x:v>
      </x:c>
      <x:c r="AE7" s="17" t="n">
        <x:f>AC7/1000*'01 Controls'!$D$29</x:f>
        <x:v>180</x:v>
      </x:c>
      <x:c r="AF7" s="17" t="n">
        <x:f>AC7/1000*'01 Controls'!$D$30</x:f>
        <x:v>1000</x:v>
      </x:c>
      <x:c r="AG7" s="17" t="n">
        <x:f>'01 Controls'!$D$31+Y7+AB7+AE7</x:f>
        <x:v>4052.61124631496</x:v>
      </x:c>
      <x:c r="AH7" s="17" t="n">
        <x:f>'01 Controls'!$D$32+AA7+AB7+MAX(AE7,AF7*'01 Controls'!$D$25)</x:f>
        <x:v>4188.892775329779</x:v>
      </x:c>
      <x:c r="AI7" s="17" t="n">
        <x:f>ROUNDUP(AH7/'01 Controls'!$D$26,0)</x:f>
        <x:v>105</x:v>
      </x:c>
      <x:c r="AJ7" s="17" t="n">
        <x:f>E7*'01 Controls'!$D$9*G7</x:f>
        <x:v>20</x:v>
      </x:c>
      <x:c r="AK7" s="17" t="n">
        <x:f>IF(AND(ISNUMBER(P7),P7&gt;0,ISNUMBER(Q7),Q7&gt;0),(AJ7/(P7*Q7)+R7)*24,"n.a.")</x:f>
        <x:v>184</x:v>
      </x:c>
      <x:c r="AL7" s="18" t="n">
        <x:f>IF(E7&gt;1,(E7-1)/E7,0)</x:f>
        <x:v>0.5</x:v>
      </x:c>
      <x:c r="AM7" s="17" t="n">
        <x:f>AD7/('01 Controls'!$D$6*'01 Controls'!$D$7)*24</x:f>
        <x:v>20.4</x:v>
      </x:c>
      <x:c r="AN7" s="17" t="n">
        <x:f>'01 Controls'!$D$35-'01 Controls'!$D$36*'01 Controls'!$D$38-'01 Controls'!$D$37*'01 Controls'!$D$39+'01 Controls'!$D$36*S7+'01 Controls'!$D$37*T7</x:f>
        <x:v>115.80000000000001</x:v>
      </x:c>
      <x:c r="AO7" s="11" t="str">
        <x:v>UNTESTED</x:v>
      </x:c>
      <x:c r="AP7" s="11" t="str">
        <x:v>BLOCKED</x:v>
      </x:c>
    </x:row>
    <x:row r="8" ht="54" customHeight="1">
      <x:c r="C8" s="11" t="str">
        <x:v>A3</x:v>
      </x:c>
      <x:c r="D8" s="15" t="str">
        <x:v>Single trunk with staged half-flow bypass</x:v>
      </x:c>
      <x:c r="E8" s="13" t="n">
        <x:v>1</x:v>
      </x:c>
      <x:c r="F8" s="13" t="n">
        <x:v>0.5</x:v>
      </x:c>
      <x:c r="G8" s="16" t="n">
        <x:v>1</x:v>
      </x:c>
      <x:c r="H8" s="16" t="n">
        <x:v>1.2</x:v>
      </x:c>
      <x:c r="I8" s="16" t="n">
        <x:v>0.35355339059327373</x:v>
      </x:c>
      <x:c r="J8" s="16" t="n">
        <x:v>12</x:v>
      </x:c>
      <x:c r="K8" s="13" t="n">
        <x:v>2</x:v>
      </x:c>
      <x:c r="L8" s="13" t="str">
        <x:v>alternate local bypass</x:v>
      </x:c>
      <x:c r="M8" s="13" t="n">
        <x:v>45</x:v>
      </x:c>
      <x:c r="N8" s="13" t="n">
        <x:v>220</x:v>
      </x:c>
      <x:c r="O8" s="14" t="n">
        <x:v>0.14</x:v>
      </x:c>
      <x:c r="P8" s="13" t="n">
        <x:v>5</x:v>
      </x:c>
      <x:c r="Q8" s="13" t="n">
        <x:v>0.6</x:v>
      </x:c>
      <x:c r="R8" s="13" t="n">
        <x:v>3</x:v>
      </x:c>
      <x:c r="S8" s="13" t="n">
        <x:v>1.4</x:v>
      </x:c>
      <x:c r="T8" s="13" t="n">
        <x:v>0.8</x:v>
      </x:c>
      <x:c r="U8" s="17" t="n">
        <x:f>E8*'01 Controls'!$D$9*G8*(1+'01 Controls'!$D$10)</x:f>
        <x:v>11</x:v>
      </x:c>
      <x:c r="V8" s="17" t="n">
        <x:f>H8</x:f>
        <x:v>1.2</x:v>
      </x:c>
      <x:c r="W8" s="17" t="n">
        <x:f>PI()/4*(F8^2*U8+I8^2*V8)*((1/(1-2/'01 Controls'!$D$16))^2-1)*1000*'01 Controls'!$D$17</x:f>
        <x:v>615.47290742328</x:v>
      </x:c>
      <x:c r="X8" s="17" t="n">
        <x:f>W8/'01 Controls'!$D$17</x:f>
        <x:v>647.8662183402948</x:v>
      </x:c>
      <x:c r="Y8" s="17" t="n">
        <x:f>W8*(1+'01 Controls'!$D$19)+M8</x:f>
        <x:v>734.3296563140738</x:v>
      </x:c>
      <x:c r="Z8" s="17" t="n">
        <x:f>X8/'01 Controls'!$D$18+N8</x:f>
        <x:v>3943.369070921235</x:v>
      </x:c>
      <x:c r="AA8" s="17" t="n">
        <x:f>MAX(Y8,Z8*'01 Controls'!$D$25)</x:f>
        <x:v>788.673814184247</x:v>
      </x:c>
      <x:c r="AB8" s="17" t="n">
        <x:f>W8*O8</x:f>
        <x:v>86.16620703925922</x:v>
      </x:c>
      <x:c r="AC8" s="17" t="n">
        <x:f>'01 Controls'!$D$6*J8/24</x:f>
        <x:v>5000</x:v>
      </x:c>
      <x:c r="AD8" s="17" t="n">
        <x:f>AC8*'01 Controls'!$D$11</x:f>
        <x:v>4250</x:v>
      </x:c>
      <x:c r="AE8" s="17" t="n">
        <x:f>AC8/1000*'01 Controls'!$D$29</x:f>
        <x:v>180</x:v>
      </x:c>
      <x:c r="AF8" s="17" t="n">
        <x:f>AC8/1000*'01 Controls'!$D$30</x:f>
        <x:v>1000</x:v>
      </x:c>
      <x:c r="AG8" s="17" t="n">
        <x:f>'01 Controls'!$D$31+Y8+AB8+AE8</x:f>
        <x:v>4079.395863353333</x:v>
      </x:c>
      <x:c r="AH8" s="17" t="n">
        <x:f>'01 Controls'!$D$32+AA8+AB8+MAX(AE8,AF8*'01 Controls'!$D$25)</x:f>
        <x:v>4227.540021223505</x:v>
      </x:c>
      <x:c r="AI8" s="17" t="n">
        <x:f>ROUNDUP(AH8/'01 Controls'!$D$26,0)</x:f>
        <x:v>106</x:v>
      </x:c>
      <x:c r="AJ8" s="17" t="n">
        <x:f>E8*'01 Controls'!$D$9*G8</x:f>
        <x:v>10</x:v>
      </x:c>
      <x:c r="AK8" s="17" t="n">
        <x:f>IF(AND(ISNUMBER(P8),P8&gt;0,ISNUMBER(Q8),Q8&gt;0),(AJ8/(P8*Q8)+R8)*24,"n.a.")</x:f>
        <x:v>152</x:v>
      </x:c>
      <x:c r="AL8" s="18" t="n">
        <x:f>IF(E8&gt;1,(E8-1)/E8,0)</x:f>
        <x:v>0</x:v>
      </x:c>
      <x:c r="AM8" s="17" t="n">
        <x:f>AD8/('01 Controls'!$D$6*'01 Controls'!$D$7)*24</x:f>
        <x:v>20.4</x:v>
      </x:c>
      <x:c r="AN8" s="17" t="n">
        <x:f>'01 Controls'!$D$35-'01 Controls'!$D$36*'01 Controls'!$D$38-'01 Controls'!$D$37*'01 Controls'!$D$39+'01 Controls'!$D$36*S8+'01 Controls'!$D$37*T8</x:f>
        <x:v>117.6</x:v>
      </x:c>
      <x:c r="AO8" s="11" t="str">
        <x:v>UNTESTED</x:v>
      </x:c>
      <x:c r="AP8" s="11" t="str">
        <x:v>BLOCKED</x:v>
      </x:c>
    </x:row>
    <x:row r="9" ht="54" customHeight="1">
      <x:c r="C9" s="11" t="str">
        <x:v>A4</x:v>
      </x:c>
      <x:c r="D9" s="15" t="str">
        <x:v>Separated twin trunks with distributed 24 h storage</x:v>
      </x:c>
      <x:c r="E9" s="13" t="n">
        <x:v>2</x:v>
      </x:c>
      <x:c r="F9" s="13" t="n">
        <x:v>0.35355339059327373</x:v>
      </x:c>
      <x:c r="G9" s="16" t="n">
        <x:v>1.1</x:v>
      </x:c>
      <x:c r="H9" s="16" t="n">
        <x:v>0</x:v>
      </x:c>
      <x:c r="I9" s="16" t="n">
        <x:v>0</x:v>
      </x:c>
      <x:c r="J9" s="16" t="n">
        <x:v>24</x:v>
      </x:c>
      <x:c r="K9" s="13" t="n">
        <x:v>4</x:v>
      </x:c>
      <x:c r="L9" s="13" t="str">
        <x:v>separated corridors</x:v>
      </x:c>
      <x:c r="M9" s="13" t="n">
        <x:v>70</x:v>
      </x:c>
      <x:c r="N9" s="13" t="n">
        <x:v>350</x:v>
      </x:c>
      <x:c r="O9" s="14" t="n">
        <x:v>0.15</x:v>
      </x:c>
      <x:c r="P9" s="13" t="n">
        <x:v>10</x:v>
      </x:c>
      <x:c r="Q9" s="13" t="n">
        <x:v>0.6</x:v>
      </x:c>
      <x:c r="R9" s="13" t="n">
        <x:v>4</x:v>
      </x:c>
      <x:c r="S9" s="13" t="n">
        <x:v>1.65</x:v>
      </x:c>
      <x:c r="T9" s="13" t="n">
        <x:v>1.1</x:v>
      </x:c>
      <x:c r="U9" s="17" t="n">
        <x:f>E9*'01 Controls'!$D$9*G9*(1+'01 Controls'!$D$10)</x:f>
        <x:v>24.200000000000003</x:v>
      </x:c>
      <x:c r="V9" s="17" t="n">
        <x:f>H9</x:f>
        <x:v>0</x:v>
      </x:c>
      <x:c r="W9" s="17" t="n">
        <x:f>PI()/4*(F9^2*U9+I9^2*V9)*((1/(1-2/'01 Controls'!$D$16))^2-1)*1000*'01 Controls'!$D$17</x:f>
        <x:v>642.0019120535936</x:v>
      </x:c>
      <x:c r="X9" s="17" t="n">
        <x:f>W9/'01 Controls'!$D$17</x:f>
        <x:v>675.7914863722038</x:v>
      </x:c>
      <x:c r="Y9" s="17" t="n">
        <x:f>W9*(1+'01 Controls'!$D$19)+M9</x:f>
        <x:v>789.042141500025</x:v>
      </x:c>
      <x:c r="Z9" s="17" t="n">
        <x:f>X9/'01 Controls'!$D$18+N9</x:f>
        <x:v>4233.859117081632</x:v>
      </x:c>
      <x:c r="AA9" s="17" t="n">
        <x:f>MAX(Y9,Z9*'01 Controls'!$D$25)</x:f>
        <x:v>846.7718234163264</x:v>
      </x:c>
      <x:c r="AB9" s="17" t="n">
        <x:f>W9*O9</x:f>
        <x:v>96.30028680803905</x:v>
      </x:c>
      <x:c r="AC9" s="17" t="n">
        <x:f>'01 Controls'!$D$6*J9/24</x:f>
        <x:v>10000</x:v>
      </x:c>
      <x:c r="AD9" s="17" t="n">
        <x:f>AC9*'01 Controls'!$D$11</x:f>
        <x:v>8500</x:v>
      </x:c>
      <x:c r="AE9" s="17" t="n">
        <x:f>AC9/1000*'01 Controls'!$D$29</x:f>
        <x:v>360</x:v>
      </x:c>
      <x:c r="AF9" s="17" t="n">
        <x:f>AC9/1000*'01 Controls'!$D$30</x:f>
        <x:v>2000</x:v>
      </x:c>
      <x:c r="AG9" s="17" t="n">
        <x:f>'01 Controls'!$D$31+Y9+AB9+AE9</x:f>
        <x:v>4324.242428308064</x:v>
      </x:c>
      <x:c r="AH9" s="17" t="n">
        <x:f>'01 Controls'!$D$32+AA9+AB9+MAX(AE9,AF9*'01 Controls'!$D$25)</x:f>
        <x:v>4495.772110224365</x:v>
      </x:c>
      <x:c r="AI9" s="17" t="n">
        <x:f>ROUNDUP(AH9/'01 Controls'!$D$26,0)</x:f>
        <x:v>113</x:v>
      </x:c>
      <x:c r="AJ9" s="17" t="n">
        <x:f>E9*'01 Controls'!$D$9*G9</x:f>
        <x:v>22</x:v>
      </x:c>
      <x:c r="AK9" s="17" t="n">
        <x:f>IF(AND(ISNUMBER(P9),P9&gt;0,ISNUMBER(Q9),Q9&gt;0),(AJ9/(P9*Q9)+R9)*24,"n.a.")</x:f>
        <x:v>184</x:v>
      </x:c>
      <x:c r="AL9" s="18" t="n">
        <x:f>IF(E9&gt;1,(E9-1)/E9,0)</x:f>
        <x:v>0.5</x:v>
      </x:c>
      <x:c r="AM9" s="17" t="n">
        <x:f>AD9/('01 Controls'!$D$6*'01 Controls'!$D$7)*24</x:f>
        <x:v>40.8</x:v>
      </x:c>
      <x:c r="AN9" s="17" t="n">
        <x:f>'01 Controls'!$D$35-'01 Controls'!$D$36*'01 Controls'!$D$38-'01 Controls'!$D$37*'01 Controls'!$D$39+'01 Controls'!$D$36*S9+'01 Controls'!$D$37*T9</x:f>
        <x:v>127.2</x:v>
      </x:c>
      <x:c r="AO9" s="11" t="str">
        <x:v>UNTESTED</x:v>
      </x:c>
      <x:c r="AP9" s="11" t="str">
        <x:v>BLOCKED</x:v>
      </x:c>
    </x:row>
    <x:row r="14">
      <x:c r="C14" s="9" t="str">
        <x:v>ID</x:v>
      </x:c>
      <x:c r="D14" s="9" t="str">
        <x:v>Topology</x:v>
      </x:c>
      <x:c r="E14" s="9" t="str">
        <x:v>Protection mechanism</x:v>
      </x:c>
      <x:c r="F14" s="9" t="str">
        <x:v>New common mode</x:v>
      </x:c>
      <x:c r="G14" s="9" t="str">
        <x:v>Receiver demand</x:v>
      </x:c>
      <x:c r="H14" s="9" t="str">
        <x:v>Current decision</x:v>
      </x:c>
    </x:row>
    <x:row r="15" ht="76" customHeight="1">
      <x:c r="C15" s="11" t="str">
        <x:v>A1</x:v>
      </x:c>
      <x:c r="D15" s="15" t="str">
        <x:v>One trunk and one storage sector</x:v>
      </x:c>
      <x:c r="E15" s="15" t="str">
        <x:v>Stored water bridges a bounded repair</x:v>
      </x:c>
      <x:c r="F15" s="15" t="str">
        <x:v>Empty, uncharged or contaminated buffer</x:v>
      </x:c>
      <x:c r="G15" s="15" t="str">
        <x:v>One large sanitary store with protected distribution</x:v>
      </x:c>
      <x:c r="H15" s="15" t="str">
        <x:v>REFERENCE ONLY</x:v>
      </x:c>
    </x:row>
    <x:row r="16" ht="76" customHeight="1">
      <x:c r="C16" s="11" t="str">
        <x:v>A2</x:v>
      </x:c>
      <x:c r="D16" s="15" t="str">
        <x:v>Two half-flow lines in one corridor</x:v>
      </x:c>
      <x:c r="E16" s="15" t="str">
        <x:v>One line preserves 50% service</x:v>
      </x:c>
      <x:c r="F16" s="15" t="str">
        <x:v>One corridor event can sever both lines</x:v>
      </x:c>
      <x:c r="G16" s="15" t="str">
        <x:v>Two isolated storage sectors and cross-connections</x:v>
      </x:c>
      <x:c r="H16" s="15" t="str">
        <x:v>RETAIN</x:v>
      </x:c>
    </x:row>
    <x:row r="17" ht="76" customHeight="1">
      <x:c r="C17" s="11" t="str">
        <x:v>A3</x:v>
      </x:c>
      <x:c r="D17" s="15" t="str">
        <x:v>One trunk plus local bypass kit</x:v>
      </x:c>
      <x:c r="E17" s="15" t="str">
        <x:v>Storage bridges six-hour bypass placement</x:v>
      </x:c>
      <x:c r="F17" s="15" t="str">
        <x:v>Bypass access, handling and connection delay</x:v>
      </x:c>
      <x:c r="G17" s="15" t="str">
        <x:v>Two sectors and prepared isolation blocks</x:v>
      </x:c>
      <x:c r="H17" s="15" t="str">
        <x:v>RETAIN</x:v>
      </x:c>
    </x:row>
    <x:row r="18" ht="76" customHeight="1">
      <x:c r="C18" s="11" t="str">
        <x:v>A4</x:v>
      </x:c>
      <x:c r="D18" s="15" t="str">
        <x:v>Two half-flow lines on separated routes</x:v>
      </x:c>
      <x:c r="E18" s="15" t="str">
        <x:v>One corridor preserves 50%; expanded distributed storage covers broader loss</x:v>
      </x:c>
      <x:c r="F18" s="15" t="str">
        <x:v>Receiver, treatment and quality systems remain shared</x:v>
      </x:c>
      <x:c r="G18" s="15" t="str">
        <x:v>Four sectors, two corridors and larger prepared footprint</x:v>
      </x:c>
      <x:c r="H18" s="15" t="str">
        <x:v>RETAIN</x:v>
      </x:c>
    </x:row>
  </x:sheetData>
  <x:conditionalFormatting sqref="AO6:AP9">
    <x:cfRule type="containsText" dxfId="8" priority="1" operator="containsText" text="FAIL"/>
    <x:cfRule type="containsText" dxfId="9" priority="2" operator="containsText" text="DENIED"/>
    <x:cfRule type="containsText" dxfId="10" priority="3" operator="containsText" text="BLOCKED"/>
    <x:cfRule type="containsText" dxfId="11" priority="4" operator="containsText" text="OPEN"/>
    <x:cfRule type="containsText" dxfId="12" priority="5" operator="containsText" text="UNTESTED"/>
    <x:cfRule type="containsText" dxfId="13" priority="6" operator="containsText" text="DECLARED"/>
    <x:cfRule type="containsText" dxfId="14" priority="7" operator="containsText" text="PASS"/>
    <x:cfRule type="containsText" dxfId="15" priority="8" operator="containsText" text="MET"/>
  </x:conditionalFormatting>
  <x:pageMargins left="0.7" right="0.7" top="0.75" bottom="0.75" header="0.3" footer="0.3"/>
  <x:tableParts count="1">
    <x:tablePart xmlns:r="http://schemas.openxmlformats.org/officeDocument/2006/relationships" r:id="R25936b597e6a43a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3" max="3" width="21" hidden="0" customWidth="1"/>
    <x:col min="4" max="4" width="16" hidden="0" customWidth="1"/>
    <x:col min="5" max="5" width="17" hidden="0" customWidth="1"/>
    <x:col min="6" max="6" width="24" hidden="0" customWidth="1"/>
    <x:col min="7" max="7" width="19" hidden="0" customWidth="1"/>
    <x:col min="8" max="8" width="24" hidden="0" customWidth="1"/>
    <x:col min="9" max="9" width="20" hidden="0" customWidth="1"/>
    <x:col min="10" max="10" width="18" hidden="0" customWidth="1"/>
    <x:col min="11" max="11" width="23" hidden="0" customWidth="1"/>
    <x:col min="12" max="12" width="24" hidden="0" customWidth="1"/>
    <x:col min="13" max="13" width="28" hidden="0" customWidth="1"/>
    <x:col min="14" max="14" width="18" hidden="0" customWidth="1"/>
  </x:cols>
  <x:sheetData>
    <x:row r="2">
      <x:c r="C2" s="2" t="str">
        <x:v>Topology-specific hydraulic screen</x:v>
      </x:c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C3" s="3" t="str">
        <x:v>Twin half-flow lines preserve the reference velocity and material area but increase friction because each line has a smaller diameter.</x:v>
      </x:c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</x:row>
    <x:row r="5">
      <x:c r="C5" s="9" t="str">
        <x:v>ID</x:v>
      </x:c>
      <x:c r="D5" s="9" t="str">
        <x:v>Main lines</x:v>
      </x:c>
      <x:c r="E5" s="9" t="str">
        <x:v>Line ID m</x:v>
      </x:c>
      <x:c r="F5" s="9" t="str">
        <x:v>Flow per line m³/day</x:v>
      </x:c>
      <x:c r="G5" s="9" t="str">
        <x:v>Velocity m/s</x:v>
      </x:c>
      <x:c r="H5" s="9" t="str">
        <x:v>Route length per line km</x:v>
      </x:c>
      <x:c r="I5" s="9" t="str">
        <x:v>Friction head m</x:v>
      </x:c>
      <x:c r="J5" s="9" t="str">
        <x:v>Total head m</x:v>
      </x:c>
      <x:c r="K5" s="9" t="str">
        <x:v>Total shaft power kW</x:v>
      </x:c>
      <x:c r="L5" s="9" t="str">
        <x:v>Immediate rupture share</x:v>
      </x:c>
      <x:c r="M5" s="9" t="str">
        <x:v>Bypass share after deployment</x:v>
      </x:c>
      <x:c r="N5" s="9" t="str">
        <x:v>State</x:v>
      </x:c>
    </x:row>
    <x:row r="6" ht="44" customHeight="1">
      <x:c r="C6" s="11" t="str">
        <x:f>'02 Architectures'!C6</x:f>
        <x:v>A1</x:v>
      </x:c>
      <x:c r="D6" s="19" t="n">
        <x:f>'02 Architectures'!E6</x:f>
        <x:v>1</x:v>
      </x:c>
      <x:c r="E6" s="19" t="n">
        <x:f>'02 Architectures'!F6</x:f>
        <x:v>0.5</x:v>
      </x:c>
      <x:c r="F6" s="19" t="n">
        <x:f>'01 Controls'!$D$6/D6</x:f>
        <x:v>10000</x:v>
      </x:c>
      <x:c r="G6" s="19" t="n">
        <x:f>(F6/86400)/(PI()*E6^2/4)</x:f>
        <x:v>0.589462752192205</x:v>
      </x:c>
      <x:c r="H6" s="19" t="n">
        <x:f>'01 Controls'!$D$9*'02 Architectures'!G6</x:f>
        <x:v>10</x:v>
      </x:c>
      <x:c r="I6" s="19" t="n">
        <x:f>'01 Controls'!$D$20*(H6*1000/E6)*(G6^2/(2*'01 Controls'!$D$24))</x:f>
        <x:v>5.312940920825825</x:v>
      </x:c>
      <x:c r="J6" s="19" t="n">
        <x:f>I6+'01 Controls'!$D$21</x:f>
        <x:v>25.312940920825824</x:v>
      </x:c>
      <x:c r="K6" s="19" t="n">
        <x:f>'01 Controls'!$D$23*'01 Controls'!$D$24*('01 Controls'!$D$6/86400)*J6/'01 Controls'!$D$22/1000</x:f>
        <x:v>38.3209800051391</x:v>
      </x:c>
      <x:c r="L6" s="18" t="n">
        <x:f>'02 Architectures'!AL6</x:f>
        <x:v>0</x:v>
      </x:c>
      <x:c r="M6" s="18" t="n">
        <x:v>0</x:v>
      </x:c>
      <x:c r="N6" s="11" t="str">
        <x:v>OPEN</x:v>
      </x:c>
    </x:row>
    <x:row r="7" ht="44" customHeight="1">
      <x:c r="C7" s="11" t="str">
        <x:f>'02 Architectures'!C7</x:f>
        <x:v>A2</x:v>
      </x:c>
      <x:c r="D7" s="19" t="n">
        <x:f>'02 Architectures'!E7</x:f>
        <x:v>2</x:v>
      </x:c>
      <x:c r="E7" s="19" t="n">
        <x:f>'02 Architectures'!F7</x:f>
        <x:v>0.35355339059327373</x:v>
      </x:c>
      <x:c r="F7" s="19" t="n">
        <x:f>'01 Controls'!$D$6/D7</x:f>
        <x:v>5000</x:v>
      </x:c>
      <x:c r="G7" s="19" t="n">
        <x:f>(F7/86400)/(PI()*E7^2/4)</x:f>
        <x:v>0.5894627521922051</x:v>
      </x:c>
      <x:c r="H7" s="19" t="n">
        <x:f>'01 Controls'!$D$9*'02 Architectures'!G7</x:f>
        <x:v>10</x:v>
      </x:c>
      <x:c r="I7" s="19" t="n">
        <x:f>'01 Controls'!$D$20*(H7*1000/E7)*(G7^2/(2*'01 Controls'!$D$24))</x:f>
        <x:v>7.513633106318883</x:v>
      </x:c>
      <x:c r="J7" s="19" t="n">
        <x:f>I7+'01 Controls'!$D$21</x:f>
        <x:v>27.513633106318885</x:v>
      </x:c>
      <x:c r="K7" s="19" t="n">
        <x:f>'01 Controls'!$D$23*'01 Controls'!$D$24*('01 Controls'!$D$6/86400)*J7/'01 Controls'!$D$22/1000</x:f>
        <x:v>41.65258345262165</x:v>
      </x:c>
      <x:c r="L7" s="18" t="n">
        <x:f>'02 Architectures'!AL7</x:f>
        <x:v>0.5</x:v>
      </x:c>
      <x:c r="M7" s="18" t="n">
        <x:v>0.5</x:v>
      </x:c>
      <x:c r="N7" s="11" t="str">
        <x:v>OPEN</x:v>
      </x:c>
    </x:row>
    <x:row r="8" ht="44" customHeight="1">
      <x:c r="C8" s="11" t="str">
        <x:f>'02 Architectures'!C8</x:f>
        <x:v>A3</x:v>
      </x:c>
      <x:c r="D8" s="19" t="n">
        <x:f>'02 Architectures'!E8</x:f>
        <x:v>1</x:v>
      </x:c>
      <x:c r="E8" s="19" t="n">
        <x:f>'02 Architectures'!F8</x:f>
        <x:v>0.5</x:v>
      </x:c>
      <x:c r="F8" s="19" t="n">
        <x:f>'01 Controls'!$D$6/D8</x:f>
        <x:v>10000</x:v>
      </x:c>
      <x:c r="G8" s="19" t="n">
        <x:f>(F8/86400)/(PI()*E8^2/4)</x:f>
        <x:v>0.589462752192205</x:v>
      </x:c>
      <x:c r="H8" s="19" t="n">
        <x:f>'01 Controls'!$D$9*'02 Architectures'!G8</x:f>
        <x:v>10</x:v>
      </x:c>
      <x:c r="I8" s="19" t="n">
        <x:f>'01 Controls'!$D$20*(H8*1000/E8)*(G8^2/(2*'01 Controls'!$D$24))</x:f>
        <x:v>5.312940920825825</x:v>
      </x:c>
      <x:c r="J8" s="19" t="n">
        <x:f>I8+'01 Controls'!$D$21</x:f>
        <x:v>25.312940920825824</x:v>
      </x:c>
      <x:c r="K8" s="19" t="n">
        <x:f>'01 Controls'!$D$23*'01 Controls'!$D$24*('01 Controls'!$D$6/86400)*J8/'01 Controls'!$D$22/1000</x:f>
        <x:v>38.3209800051391</x:v>
      </x:c>
      <x:c r="L8" s="18" t="n">
        <x:f>'02 Architectures'!AL8</x:f>
        <x:v>0</x:v>
      </x:c>
      <x:c r="M8" s="18" t="n">
        <x:v>0.5</x:v>
      </x:c>
      <x:c r="N8" s="11" t="str">
        <x:v>OPEN</x:v>
      </x:c>
    </x:row>
    <x:row r="9" ht="44" customHeight="1">
      <x:c r="C9" s="11" t="str">
        <x:f>'02 Architectures'!C9</x:f>
        <x:v>A4</x:v>
      </x:c>
      <x:c r="D9" s="19" t="n">
        <x:f>'02 Architectures'!E9</x:f>
        <x:v>2</x:v>
      </x:c>
      <x:c r="E9" s="19" t="n">
        <x:f>'02 Architectures'!F9</x:f>
        <x:v>0.35355339059327373</x:v>
      </x:c>
      <x:c r="F9" s="19" t="n">
        <x:f>'01 Controls'!$D$6/D9</x:f>
        <x:v>5000</x:v>
      </x:c>
      <x:c r="G9" s="19" t="n">
        <x:f>(F9/86400)/(PI()*E9^2/4)</x:f>
        <x:v>0.5894627521922051</x:v>
      </x:c>
      <x:c r="H9" s="19" t="n">
        <x:f>'01 Controls'!$D$9*'02 Architectures'!G9</x:f>
        <x:v>11</x:v>
      </x:c>
      <x:c r="I9" s="19" t="n">
        <x:f>'01 Controls'!$D$20*(H9*1000/E9)*(G9^2/(2*'01 Controls'!$D$24))</x:f>
        <x:v>8.26499641695077</x:v>
      </x:c>
      <x:c r="J9" s="19" t="n">
        <x:f>I9+'01 Controls'!$D$21</x:f>
        <x:v>28.264996416950773</x:v>
      </x:c>
      <x:c r="K9" s="19" t="n">
        <x:f>'01 Controls'!$D$23*'01 Controls'!$D$24*('01 Controls'!$D$6/86400)*J9/'01 Controls'!$D$22/1000</x:f>
        <x:v>42.79006402010604</x:v>
      </x:c>
      <x:c r="L9" s="18" t="n">
        <x:f>'02 Architectures'!AL9</x:f>
        <x:v>0.5</x:v>
      </x:c>
      <x:c r="M9" s="18" t="n">
        <x:v>0.5</x:v>
      </x:c>
      <x:c r="N9" s="11" t="str">
        <x:v>OPEN</x:v>
      </x:c>
    </x:row>
    <x:row r="14">
      <x:c r="C14" s="9" t="str">
        <x:v>Finding</x:v>
      </x:c>
      <x:c r="D14" s="9" t="str">
        <x:v>A1</x:v>
      </x:c>
      <x:c r="E14" s="9" t="str">
        <x:v>A2</x:v>
      </x:c>
      <x:c r="F14" s="9" t="str">
        <x:v>A3</x:v>
      </x:c>
      <x:c r="G14" s="9" t="str">
        <x:v>A4</x:v>
      </x:c>
      <x:c r="H14" s="9" t="str">
        <x:v>Consequence</x:v>
      </x:c>
    </x:row>
    <x:row r="15" ht="68" customHeight="1">
      <x:c r="C15" s="11" t="str">
        <x:v>Normal velocity</x:v>
      </x:c>
      <x:c r="D15" s="15" t="str">
        <x:v>0.589 m/s</x:v>
      </x:c>
      <x:c r="E15" s="15" t="str">
        <x:v>0.589 m/s in each line</x:v>
      </x:c>
      <x:c r="F15" s="15" t="str">
        <x:v>0.589 m/s in main line</x:v>
      </x:c>
      <x:c r="G15" s="15" t="str">
        <x:v>0.589 m/s in each line</x:v>
      </x:c>
      <x:c r="H15" s="15" t="str">
        <x:v>Diameter partition preserves velocity</x:v>
      </x:c>
    </x:row>
    <x:row r="16" ht="68" customHeight="1">
      <x:c r="C16" s="11" t="str">
        <x:v>Single rupture</x:v>
      </x:c>
      <x:c r="D16" s="15" t="str">
        <x:v>Zero inflow</x:v>
      </x:c>
      <x:c r="E16" s="15" t="str">
        <x:v>50% inflow</x:v>
      </x:c>
      <x:c r="F16" s="15" t="str">
        <x:v>Zero until bypass; then 50%</x:v>
      </x:c>
      <x:c r="G16" s="15" t="str">
        <x:v>50% inflow on surviving corridor</x:v>
      </x:c>
      <x:c r="H16" s="15" t="str">
        <x:v>Topology, not repair rate, determines immediate flow</x:v>
      </x:c>
    </x:row>
    <x:row r="17" ht="68" customHeight="1">
      <x:c r="C17" s="11" t="str">
        <x:v>Common corridor loss</x:v>
      </x:c>
      <x:c r="D17" s="15" t="str">
        <x:v>Zero inflow</x:v>
      </x:c>
      <x:c r="E17" s="15" t="str">
        <x:v>Zero inflow</x:v>
      </x:c>
      <x:c r="F17" s="15" t="str">
        <x:v>Bypass may route around isolated block</x:v>
      </x:c>
      <x:c r="G17" s="15" t="str">
        <x:v>50% if one separated corridor survives</x:v>
      </x:c>
      <x:c r="H17" s="15" t="str">
        <x:v>Parallel hardware without route separation shares one failure</x:v>
      </x:c>
    </x:row>
    <x:row r="18" ht="68" customHeight="1">
      <x:c r="C18" s="11" t="str">
        <x:v>Evidence limit</x:v>
      </x:c>
      <x:c r="D18" s="15" t="str">
        <x:v>Steady-state screen</x:v>
      </x:c>
      <x:c r="E18" s="15" t="str">
        <x:v>Steady-state screen</x:v>
      </x:c>
      <x:c r="F18" s="15" t="str">
        <x:v>Bypass target</x:v>
      </x:c>
      <x:c r="G18" s="15" t="str">
        <x:v>Route-separation target</x:v>
      </x:c>
      <x:c r="H18" s="15" t="str">
        <x:v>Transient, valve, anchor and cross-connection designs remain open</x:v>
      </x:c>
    </x:row>
  </x:sheetData>
  <x:conditionalFormatting sqref="N6:N9">
    <x:cfRule type="containsText" dxfId="16" priority="1" operator="containsText" text="FAIL"/>
    <x:cfRule type="containsText" dxfId="17" priority="2" operator="containsText" text="DENIED"/>
    <x:cfRule type="containsText" dxfId="18" priority="3" operator="containsText" text="BLOCKED"/>
    <x:cfRule type="containsText" dxfId="19" priority="4" operator="containsText" text="OPEN"/>
    <x:cfRule type="containsText" dxfId="20" priority="5" operator="containsText" text="UNTESTED"/>
    <x:cfRule type="containsText" dxfId="21" priority="6" operator="containsText" text="DECLARED"/>
    <x:cfRule type="containsText" dxfId="22" priority="7" operator="containsText" text="PASS"/>
    <x:cfRule type="containsText" dxfId="23" priority="8" operator="containsText" text="MET"/>
  </x:conditionalFormatting>
  <x:pageMargins left="0.7" right="0.7" top="0.75" bottom="0.75" header="0.3" footer="0.3"/>
  <x:tableParts count="1">
    <x:tablePart xmlns:r="http://schemas.openxmlformats.org/officeDocument/2006/relationships" r:id="R6d6d57dabbb64f4f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3" max="3" width="18" hidden="0" customWidth="1"/>
    <x:col min="4" max="4" width="20" hidden="0" customWidth="1"/>
    <x:col min="5" max="5" width="21" hidden="0" customWidth="1"/>
    <x:col min="6" max="6" width="24" hidden="0" customWidth="1"/>
    <x:col min="7" max="7" width="23" hidden="0" customWidth="1"/>
    <x:col min="8" max="8" width="24" hidden="0" customWidth="1"/>
    <x:col min="9" max="9" width="29" hidden="0" customWidth="1"/>
    <x:col min="10" max="10" width="31" hidden="0" customWidth="1"/>
    <x:col min="11" max="11" width="26" hidden="0" customWidth="1"/>
    <x:col min="12" max="12" width="31" hidden="0" customWidth="1"/>
    <x:col min="13" max="13" width="19" hidden="0" customWidth="1"/>
    <x:col min="14" max="14" width="18" hidden="0" customWidth="1"/>
    <x:col min="15" max="15" width="31" hidden="0" customWidth="1"/>
    <x:col min="16" max="16" width="31" hidden="0" customWidth="1"/>
    <x:col min="17" max="17" width="18" hidden="0" customWidth="1"/>
  </x:cols>
  <x:sheetData>
    <x:row r="2">
      <x:c r="C2" s="2" t="str">
        <x:v>Storage initialization and resilient-service readiness</x:v>
      </x:c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>
      <x:c r="C3" s="3" t="str">
        <x:v>Installed storage hardware is not a charged reserve. The current treatment train has no surplus while meeting full public demand.</x:v>
      </x:c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</x:row>
    <x:row r="5">
      <x:c r="C5" s="9" t="str">
        <x:v>ID</x:v>
      </x:c>
      <x:c r="D5" s="9" t="str">
        <x:v>Gross storage m³</x:v>
      </x:c>
      <x:c r="E5" s="9" t="str">
        <x:v>Usable storage m³</x:v>
      </x:c>
      <x:c r="F5" s="9" t="str">
        <x:v>Half-service coverage h</x:v>
      </x:c>
      <x:c r="G5" s="9" t="str">
        <x:v>Full-service coverage h</x:v>
      </x:c>
      <x:c r="H5" s="9" t="str">
        <x:v>Current treatment m³/day</x:v>
      </x:c>
      <x:c r="I5" s="9" t="str">
        <x:v>Surplus at full service m³/day</x:v>
      </x:c>
      <x:c r="J5" s="9" t="str">
        <x:v>Concurrent fill at current capacity h</x:v>
      </x:c>
      <x:c r="K5" s="9" t="str">
        <x:v>Fill while service withheld h</x:v>
      </x:c>
      <x:c r="L5" s="9" t="str">
        <x:v>Concurrent fill at 25% headroom h</x:v>
      </x:c>
      <x:c r="M5" s="9" t="str">
        <x:v>Construction h</x:v>
      </x:c>
      <x:c r="N5" s="9" t="str">
        <x:v>First water h</x:v>
      </x:c>
      <x:c r="O5" s="9" t="str">
        <x:v>Resilient ready if service withheld h</x:v>
      </x:c>
      <x:c r="P5" s="9" t="str">
        <x:v>Resilient ready with headroom h</x:v>
      </x:c>
      <x:c r="Q5" s="9" t="str">
        <x:v>State</x:v>
      </x:c>
    </x:row>
    <x:row r="6" ht="46" customHeight="1">
      <x:c r="C6" s="11" t="str">
        <x:f>'02 Architectures'!C6</x:f>
        <x:v>A1</x:v>
      </x:c>
      <x:c r="D6" s="17" t="n">
        <x:f>'02 Architectures'!AC6</x:f>
        <x:v>5000</x:v>
      </x:c>
      <x:c r="E6" s="17" t="n">
        <x:f>'02 Architectures'!AD6</x:f>
        <x:v>4250</x:v>
      </x:c>
      <x:c r="F6" s="17" t="n">
        <x:f>'02 Architectures'!AM6</x:f>
        <x:v>20.4</x:v>
      </x:c>
      <x:c r="G6" s="17" t="n">
        <x:f>E6/'01 Controls'!$D$6*24</x:f>
        <x:v>10.2</x:v>
      </x:c>
      <x:c r="H6" s="17" t="n">
        <x:f>'01 Controls'!$D$33</x:f>
        <x:v>10000</x:v>
      </x:c>
      <x:c r="I6" s="17" t="n">
        <x:f>MAX(H6-'01 Controls'!$D$6,0)</x:f>
        <x:v>0</x:v>
      </x:c>
      <x:c r="J6" s="17" t="str">
        <x:f>IF(I6&gt;0,D6/I6*24,"n.a.")</x:f>
        <x:v>n.a.</x:v>
      </x:c>
      <x:c r="K6" s="17" t="n">
        <x:f>D6/'01 Controls'!$D$6*24</x:f>
        <x:v>12</x:v>
      </x:c>
      <x:c r="L6" s="17" t="n">
        <x:f>D6/('01 Controls'!$D$6*'01 Controls'!$D$34)*24</x:f>
        <x:v>48</x:v>
      </x:c>
      <x:c r="M6" s="17" t="n">
        <x:f>'02 Architectures'!AK6</x:f>
        <x:v>152</x:v>
      </x:c>
      <x:c r="N6" s="17" t="n">
        <x:f>MAX(M6,96)</x:f>
        <x:v>152</x:v>
      </x:c>
      <x:c r="O6" s="17" t="n">
        <x:f>N6+K6</x:f>
        <x:v>164</x:v>
      </x:c>
      <x:c r="P6" s="17" t="n">
        <x:f>N6+L6</x:f>
        <x:v>200</x:v>
      </x:c>
      <x:c r="Q6" s="11" t="str">
        <x:v>OPEN</x:v>
      </x:c>
    </x:row>
    <x:row r="7" ht="46" customHeight="1">
      <x:c r="C7" s="11" t="str">
        <x:f>'02 Architectures'!C7</x:f>
        <x:v>A2</x:v>
      </x:c>
      <x:c r="D7" s="17" t="n">
        <x:f>'02 Architectures'!AC7</x:f>
        <x:v>5000</x:v>
      </x:c>
      <x:c r="E7" s="17" t="n">
        <x:f>'02 Architectures'!AD7</x:f>
        <x:v>4250</x:v>
      </x:c>
      <x:c r="F7" s="17" t="n">
        <x:f>'02 Architectures'!AM7</x:f>
        <x:v>20.4</x:v>
      </x:c>
      <x:c r="G7" s="17" t="n">
        <x:f>E7/'01 Controls'!$D$6*24</x:f>
        <x:v>10.2</x:v>
      </x:c>
      <x:c r="H7" s="17" t="n">
        <x:f>'01 Controls'!$D$33</x:f>
        <x:v>10000</x:v>
      </x:c>
      <x:c r="I7" s="17" t="n">
        <x:f>MAX(H7-'01 Controls'!$D$6,0)</x:f>
        <x:v>0</x:v>
      </x:c>
      <x:c r="J7" s="17" t="str">
        <x:f>IF(I7&gt;0,D7/I7*24,"n.a.")</x:f>
        <x:v>n.a.</x:v>
      </x:c>
      <x:c r="K7" s="17" t="n">
        <x:f>D7/'01 Controls'!$D$6*24</x:f>
        <x:v>12</x:v>
      </x:c>
      <x:c r="L7" s="17" t="n">
        <x:f>D7/('01 Controls'!$D$6*'01 Controls'!$D$34)*24</x:f>
        <x:v>48</x:v>
      </x:c>
      <x:c r="M7" s="17" t="n">
        <x:f>'02 Architectures'!AK7</x:f>
        <x:v>184</x:v>
      </x:c>
      <x:c r="N7" s="17" t="n">
        <x:f>MAX(M7,96)</x:f>
        <x:v>184</x:v>
      </x:c>
      <x:c r="O7" s="17" t="n">
        <x:f>N7+K7</x:f>
        <x:v>196</x:v>
      </x:c>
      <x:c r="P7" s="17" t="n">
        <x:f>N7+L7</x:f>
        <x:v>232</x:v>
      </x:c>
      <x:c r="Q7" s="11" t="str">
        <x:v>OPEN</x:v>
      </x:c>
    </x:row>
    <x:row r="8" ht="46" customHeight="1">
      <x:c r="C8" s="11" t="str">
        <x:f>'02 Architectures'!C8</x:f>
        <x:v>A3</x:v>
      </x:c>
      <x:c r="D8" s="17" t="n">
        <x:f>'02 Architectures'!AC8</x:f>
        <x:v>5000</x:v>
      </x:c>
      <x:c r="E8" s="17" t="n">
        <x:f>'02 Architectures'!AD8</x:f>
        <x:v>4250</x:v>
      </x:c>
      <x:c r="F8" s="17" t="n">
        <x:f>'02 Architectures'!AM8</x:f>
        <x:v>20.4</x:v>
      </x:c>
      <x:c r="G8" s="17" t="n">
        <x:f>E8/'01 Controls'!$D$6*24</x:f>
        <x:v>10.2</x:v>
      </x:c>
      <x:c r="H8" s="17" t="n">
        <x:f>'01 Controls'!$D$33</x:f>
        <x:v>10000</x:v>
      </x:c>
      <x:c r="I8" s="17" t="n">
        <x:f>MAX(H8-'01 Controls'!$D$6,0)</x:f>
        <x:v>0</x:v>
      </x:c>
      <x:c r="J8" s="17" t="str">
        <x:f>IF(I8&gt;0,D8/I8*24,"n.a.")</x:f>
        <x:v>n.a.</x:v>
      </x:c>
      <x:c r="K8" s="17" t="n">
        <x:f>D8/'01 Controls'!$D$6*24</x:f>
        <x:v>12</x:v>
      </x:c>
      <x:c r="L8" s="17" t="n">
        <x:f>D8/('01 Controls'!$D$6*'01 Controls'!$D$34)*24</x:f>
        <x:v>48</x:v>
      </x:c>
      <x:c r="M8" s="17" t="n">
        <x:f>'02 Architectures'!AK8</x:f>
        <x:v>152</x:v>
      </x:c>
      <x:c r="N8" s="17" t="n">
        <x:f>MAX(M8,96)</x:f>
        <x:v>152</x:v>
      </x:c>
      <x:c r="O8" s="17" t="n">
        <x:f>N8+K8</x:f>
        <x:v>164</x:v>
      </x:c>
      <x:c r="P8" s="17" t="n">
        <x:f>N8+L8</x:f>
        <x:v>200</x:v>
      </x:c>
      <x:c r="Q8" s="11" t="str">
        <x:v>OPEN</x:v>
      </x:c>
    </x:row>
    <x:row r="9" ht="46" customHeight="1">
      <x:c r="C9" s="11" t="str">
        <x:f>'02 Architectures'!C9</x:f>
        <x:v>A4</x:v>
      </x:c>
      <x:c r="D9" s="17" t="n">
        <x:f>'02 Architectures'!AC9</x:f>
        <x:v>10000</x:v>
      </x:c>
      <x:c r="E9" s="17" t="n">
        <x:f>'02 Architectures'!AD9</x:f>
        <x:v>8500</x:v>
      </x:c>
      <x:c r="F9" s="17" t="n">
        <x:f>'02 Architectures'!AM9</x:f>
        <x:v>40.8</x:v>
      </x:c>
      <x:c r="G9" s="17" t="n">
        <x:f>E9/'01 Controls'!$D$6*24</x:f>
        <x:v>20.4</x:v>
      </x:c>
      <x:c r="H9" s="17" t="n">
        <x:f>'01 Controls'!$D$33</x:f>
        <x:v>10000</x:v>
      </x:c>
      <x:c r="I9" s="17" t="n">
        <x:f>MAX(H9-'01 Controls'!$D$6,0)</x:f>
        <x:v>0</x:v>
      </x:c>
      <x:c r="J9" s="17" t="str">
        <x:f>IF(I9&gt;0,D9/I9*24,"n.a.")</x:f>
        <x:v>n.a.</x:v>
      </x:c>
      <x:c r="K9" s="17" t="n">
        <x:f>D9/'01 Controls'!$D$6*24</x:f>
        <x:v>24</x:v>
      </x:c>
      <x:c r="L9" s="17" t="n">
        <x:f>D9/('01 Controls'!$D$6*'01 Controls'!$D$34)*24</x:f>
        <x:v>96</x:v>
      </x:c>
      <x:c r="M9" s="17" t="n">
        <x:f>'02 Architectures'!AK9</x:f>
        <x:v>184</x:v>
      </x:c>
      <x:c r="N9" s="17" t="n">
        <x:f>MAX(M9,96)</x:f>
        <x:v>184</x:v>
      </x:c>
      <x:c r="O9" s="17" t="n">
        <x:f>N9+K9</x:f>
        <x:v>208</x:v>
      </x:c>
      <x:c r="P9" s="17" t="n">
        <x:f>N9+L9</x:f>
        <x:v>280</x:v>
      </x:c>
      <x:c r="Q9" s="11" t="str">
        <x:v>OPEN</x:v>
      </x:c>
    </x:row>
    <x:row r="14">
      <x:c r="C14" s="9" t="str">
        <x:v>State</x:v>
      </x:c>
      <x:c r="D14" s="9" t="str">
        <x:v>What is true</x:v>
      </x:c>
      <x:c r="E14" s="9" t="str">
        <x:v>What may be claimed</x:v>
      </x:c>
      <x:c r="F14" s="9" t="str">
        <x:v>What may not be claimed</x:v>
      </x:c>
      <x:c r="G14" s="9" t="str">
        <x:v>Required control</x:v>
      </x:c>
      <x:c r="H14" s="9" t="str">
        <x:v>Current status</x:v>
      </x:c>
    </x:row>
    <x:row r="15" ht="72" customHeight="1">
      <x:c r="C15" s="11" t="str">
        <x:v>Hardware delivered</x:v>
      </x:c>
      <x:c r="D15" s="15" t="str">
        <x:v>Tank, liner, valves and pumps are at receiver</x:v>
      </x:c>
      <x:c r="E15" s="15" t="str">
        <x:v>Storage construction can begin</x:v>
      </x:c>
      <x:c r="F15" s="15" t="str">
        <x:v>Any stored-water continuity</x:v>
      </x:c>
      <x:c r="G15" s="15" t="str">
        <x:v>As-packed and site-release evidence</x:v>
      </x:c>
      <x:c r="H15" s="15" t="str">
        <x:v>OPEN</x:v>
      </x:c>
    </x:row>
    <x:row r="16" ht="72" customHeight="1">
      <x:c r="C16" s="11" t="str">
        <x:v>Sanitary store commissioned</x:v>
      </x:c>
      <x:c r="D16" s="15" t="str">
        <x:v>Structure passes cleaning, disinfection and quality release</x:v>
      </x:c>
      <x:c r="E16" s="15" t="str">
        <x:v>Product water may enter</x:v>
      </x:c>
      <x:c r="F16" s="15" t="str">
        <x:v>Reserve duration before filling</x:v>
      </x:c>
      <x:c r="G16" s="15" t="str">
        <x:v>Independent sanitary release</x:v>
      </x:c>
      <x:c r="H16" s="15" t="str">
        <x:v>OPEN</x:v>
      </x:c>
    </x:row>
    <x:row r="17" ht="72" customHeight="1">
      <x:c r="C17" s="11" t="str">
        <x:v>Partially charged</x:v>
      </x:c>
      <x:c r="D17" s="15" t="str">
        <x:v>Measured usable volume is below target</x:v>
      </x:c>
      <x:c r="E17" s="15" t="str">
        <x:v>Only measured coverage duration</x:v>
      </x:c>
      <x:c r="F17" s="15" t="str">
        <x:v>Full degraded-service claim</x:v>
      </x:c>
      <x:c r="G17" s="15" t="str">
        <x:v>Metered inventory and sector state</x:v>
      </x:c>
      <x:c r="H17" s="15" t="str">
        <x:v>OPEN</x:v>
      </x:c>
    </x:row>
    <x:row r="18" ht="72" customHeight="1">
      <x:c r="C18" s="11" t="str">
        <x:v>Resilient-service ready</x:v>
      </x:c>
      <x:c r="D18" s="15" t="str">
        <x:v>Usable target volume, isolation, power and clean distribution are live</x:v>
      </x:c>
      <x:c r="E18" s="15" t="str">
        <x:v>Registered buffer coverage</x:v>
      </x:c>
      <x:c r="F18" s="15" t="str">
        <x:v>Protection against treatment or receiver common modes beyond test</x:v>
      </x:c>
      <x:c r="G18" s="15" t="str">
        <x:v>Continuous state telemetry and release</x:v>
      </x:c>
      <x:c r="H18" s="15" t="str">
        <x:v>OPEN</x:v>
      </x:c>
    </x:row>
    <x:row r="19" ht="72" customHeight="1">
      <x:c r="C19" s="11" t="str">
        <x:v>Contaminated or isolated</x:v>
      </x:c>
      <x:c r="D19" s="15" t="str">
        <x:v>One or more sectors unavailable</x:v>
      </x:c>
      <x:c r="E19" s="15" t="str">
        <x:v>Only surviving clean-sector capacity</x:v>
      </x:c>
      <x:c r="F19" s="15" t="str">
        <x:v>Gross nameplate storage</x:v>
      </x:c>
      <x:c r="G19" s="15" t="str">
        <x:v>Quality authority and hydraulic isolation</x:v>
      </x:c>
      <x:c r="H19" s="15" t="str">
        <x:v>OPEN</x:v>
      </x:c>
    </x:row>
  </x:sheetData>
  <x:conditionalFormatting sqref="Q6:Q9">
    <x:cfRule type="containsText" dxfId="24" priority="1" operator="containsText" text="FAIL"/>
    <x:cfRule type="containsText" dxfId="25" priority="2" operator="containsText" text="DENIED"/>
    <x:cfRule type="containsText" dxfId="26" priority="3" operator="containsText" text="BLOCKED"/>
    <x:cfRule type="containsText" dxfId="27" priority="4" operator="containsText" text="OPEN"/>
    <x:cfRule type="containsText" dxfId="28" priority="5" operator="containsText" text="UNTESTED"/>
    <x:cfRule type="containsText" dxfId="29" priority="6" operator="containsText" text="DECLARED"/>
    <x:cfRule type="containsText" dxfId="30" priority="7" operator="containsText" text="PASS"/>
    <x:cfRule type="containsText" dxfId="31" priority="8" operator="containsText" text="MET"/>
  </x:conditionalFormatting>
  <x:conditionalFormatting sqref="H15:H19">
    <x:cfRule type="containsText" dxfId="32" priority="9" operator="containsText" text="FAIL"/>
    <x:cfRule type="containsText" dxfId="33" priority="10" operator="containsText" text="DENIED"/>
    <x:cfRule type="containsText" dxfId="34" priority="11" operator="containsText" text="BLOCKED"/>
    <x:cfRule type="containsText" dxfId="35" priority="12" operator="containsText" text="OPEN"/>
    <x:cfRule type="containsText" dxfId="36" priority="13" operator="containsText" text="UNTESTED"/>
    <x:cfRule type="containsText" dxfId="37" priority="14" operator="containsText" text="DECLARED"/>
    <x:cfRule type="containsText" dxfId="38" priority="15" operator="containsText" text="PASS"/>
    <x:cfRule type="containsText" dxfId="39" priority="16" operator="containsText" text="MET"/>
  </x:conditionalFormatting>
  <x:pageMargins left="0.7" right="0.7" top="0.75" bottom="0.75" header="0.3" footer="0.3"/>
  <x:tableParts count="1">
    <x:tablePart xmlns:r="http://schemas.openxmlformats.org/officeDocument/2006/relationships" r:id="Rb9a4da674a23421e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6" topLeftCell="A17" activePane="bottomLeft" state="frozen"/>
    </x:sheetView>
  </x:sheetViews>
  <x:sheetFormatPr defaultRowHeight="15"/>
  <x:cols>
    <x:col min="3" max="3" width="11" hidden="0" customWidth="1"/>
    <x:col min="4" max="4" width="42" hidden="0" customWidth="1"/>
    <x:col min="5" max="5" width="18" hidden="0" customWidth="1"/>
    <x:col min="6" max="6" width="14" hidden="0" customWidth="1"/>
    <x:col min="7" max="7" width="18" hidden="0" customWidth="1"/>
    <x:col min="8" max="8" width="20" hidden="0" customWidth="1"/>
    <x:col min="9" max="9" width="17" hidden="0" customWidth="1"/>
    <x:col min="10" max="10" width="20" hidden="0" customWidth="1"/>
    <x:col min="11" max="11" width="17" hidden="0" customWidth="1"/>
    <x:col min="12" max="12" width="20" hidden="0" customWidth="1"/>
    <x:col min="13" max="13" width="22" hidden="0" customWidth="1"/>
    <x:col min="14" max="14" width="22" hidden="0" customWidth="1"/>
    <x:col min="15" max="15" width="18" hidden="0" customWidth="1"/>
    <x:col min="16" max="16" width="18" hidden="0" customWidth="1"/>
  </x:cols>
  <x:sheetData>
    <x:row r="2">
      <x:c r="C2" s="2" t="str">
        <x:v>Registered degraded-service worlds</x:v>
      </x:c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</x:row>
    <x:row r="3">
      <x:c r="C3" s="3" t="str">
        <x:v>Service credit depends on failure timing, charged inventory, surviving route, storage isolation and receiver state. No probability is assigned.</x:v>
      </x:c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</x:row>
    <x:row r="5">
      <x:c r="C5" s="9" t="str">
        <x:v>World</x:v>
      </x:c>
      <x:c r="D5" s="9" t="str">
        <x:v>Failure</x:v>
      </x:c>
      <x:c r="E5" s="9" t="str">
        <x:v>Initial buffer share</x:v>
      </x:c>
      <x:c r="F5" s="9" t="str">
        <x:v>Restore h</x:v>
      </x:c>
      <x:c r="G5" s="9" t="str">
        <x:v>Damage class</x:v>
      </x:c>
      <x:c r="H5" s="9" t="str">
        <x:v>Lost storage sectors</x:v>
      </x:c>
      <x:c r="I5" s="9" t="str">
        <x:v>Receiver share</x:v>
      </x:c>
      <x:c r="J5" s="9" t="str">
        <x:v>Timing</x:v>
      </x:c>
      <x:c r="K5" s="9" t="str">
        <x:v>Required floor</x:v>
      </x:c>
    </x:row>
    <x:row r="6" ht="46" customHeight="1">
      <x:c r="C6" s="11" t="str">
        <x:v>W1</x:v>
      </x:c>
      <x:c r="D6" s="15" t="str">
        <x:v>One-line rupture after full charge</x:v>
      </x:c>
      <x:c r="E6" s="20" t="n">
        <x:v>1</x:v>
      </x:c>
      <x:c r="F6" s="15" t="n">
        <x:v>18</x:v>
      </x:c>
      <x:c r="G6" s="15" t="str">
        <x:v>ONE_LINE</x:v>
      </x:c>
      <x:c r="H6" s="15" t="n">
        <x:v>0</x:v>
      </x:c>
      <x:c r="I6" s="20" t="n">
        <x:v>1</x:v>
      </x:c>
      <x:c r="J6" s="15" t="str">
        <x:v>steady service</x:v>
      </x:c>
      <x:c r="K6" s="20" t="n">
        <x:v>0.5</x:v>
      </x:c>
    </x:row>
    <x:row r="7" ht="46" customHeight="1">
      <x:c r="C7" s="11" t="str">
        <x:v>W2</x:v>
      </x:c>
      <x:c r="D7" s="15" t="str">
        <x:v>One-line rupture at first water</x:v>
      </x:c>
      <x:c r="E7" s="20" t="n">
        <x:v>0</x:v>
      </x:c>
      <x:c r="F7" s="15" t="n">
        <x:v>18</x:v>
      </x:c>
      <x:c r="G7" s="15" t="str">
        <x:v>ONE_LINE</x:v>
      </x:c>
      <x:c r="H7" s="15" t="n">
        <x:v>0</x:v>
      </x:c>
      <x:c r="I7" s="20" t="n">
        <x:v>1</x:v>
      </x:c>
      <x:c r="J7" s="15" t="str">
        <x:v>uncharged</x:v>
      </x:c>
      <x:c r="K7" s="20" t="n">
        <x:v>0.5</x:v>
      </x:c>
    </x:row>
    <x:row r="8" ht="46" customHeight="1">
      <x:c r="C8" s="11" t="str">
        <x:v>W3</x:v>
      </x:c>
      <x:c r="D8" s="15" t="str">
        <x:v>One-line rupture at half charge and delayed repair</x:v>
      </x:c>
      <x:c r="E8" s="20" t="n">
        <x:v>0.5</x:v>
      </x:c>
      <x:c r="F8" s="15" t="n">
        <x:v>36</x:v>
      </x:c>
      <x:c r="G8" s="15" t="str">
        <x:v>ONE_LINE</x:v>
      </x:c>
      <x:c r="H8" s="15" t="n">
        <x:v>0</x:v>
      </x:c>
      <x:c r="I8" s="20" t="n">
        <x:v>1</x:v>
      </x:c>
      <x:c r="J8" s="15" t="str">
        <x:v>partial charge</x:v>
      </x:c>
      <x:c r="K8" s="20" t="n">
        <x:v>0.5</x:v>
      </x:c>
    </x:row>
    <x:row r="9" ht="46" customHeight="1">
      <x:c r="C9" s="11" t="str">
        <x:v>W4</x:v>
      </x:c>
      <x:c r="D9" s="15" t="str">
        <x:v>Common-corridor severance</x:v>
      </x:c>
      <x:c r="E9" s="20" t="n">
        <x:v>1</x:v>
      </x:c>
      <x:c r="F9" s="15" t="n">
        <x:v>36</x:v>
      </x:c>
      <x:c r="G9" s="15" t="str">
        <x:v>CORRIDOR</x:v>
      </x:c>
      <x:c r="H9" s="15" t="n">
        <x:v>0</x:v>
      </x:c>
      <x:c r="I9" s="20" t="n">
        <x:v>1</x:v>
      </x:c>
      <x:c r="J9" s="15" t="str">
        <x:v>steady service</x:v>
      </x:c>
      <x:c r="K9" s="20" t="n">
        <x:v>0.5</x:v>
      </x:c>
    </x:row>
    <x:row r="10" ht="46" customHeight="1">
      <x:c r="C10" s="11" t="str">
        <x:v>W5</x:v>
      </x:c>
      <x:c r="D10" s="15" t="str">
        <x:v>One storage sector contaminated during treatment loss</x:v>
      </x:c>
      <x:c r="E10" s="20" t="n">
        <x:v>1</x:v>
      </x:c>
      <x:c r="F10" s="15" t="n">
        <x:v>24</x:v>
      </x:c>
      <x:c r="G10" s="15" t="str">
        <x:v>STORAGE</x:v>
      </x:c>
      <x:c r="H10" s="15" t="n">
        <x:v>1</x:v>
      </x:c>
      <x:c r="I10" s="20" t="n">
        <x:v>1</x:v>
      </x:c>
      <x:c r="J10" s="15" t="str">
        <x:v>compound source loss</x:v>
      </x:c>
      <x:c r="K10" s="20" t="n">
        <x:v>0.5</x:v>
      </x:c>
    </x:row>
    <x:row r="11" ht="46" customHeight="1">
      <x:c r="C11" s="11" t="str">
        <x:v>W6</x:v>
      </x:c>
      <x:c r="D11" s="15" t="str">
        <x:v>Treatment train unavailable</x:v>
      </x:c>
      <x:c r="E11" s="20" t="n">
        <x:v>1</x:v>
      </x:c>
      <x:c r="F11" s="15" t="n">
        <x:v>36</x:v>
      </x:c>
      <x:c r="G11" s="15" t="str">
        <x:v>ALL_INFLOW</x:v>
      </x:c>
      <x:c r="H11" s="15" t="n">
        <x:v>0</x:v>
      </x:c>
      <x:c r="I11" s="20" t="n">
        <x:v>1</x:v>
      </x:c>
      <x:c r="J11" s="15" t="str">
        <x:v>steady service</x:v>
      </x:c>
      <x:c r="K11" s="20" t="n">
        <x:v>0.5</x:v>
      </x:c>
    </x:row>
    <x:row r="12" ht="46" customHeight="1">
      <x:c r="C12" s="11" t="str">
        <x:v>W7</x:v>
      </x:c>
      <x:c r="D12" s="15" t="str">
        <x:v>Receiver-wide contamination hold</x:v>
      </x:c>
      <x:c r="E12" s="20" t="n">
        <x:v>1</x:v>
      </x:c>
      <x:c r="F12" s="15" t="n">
        <x:v>24</x:v>
      </x:c>
      <x:c r="G12" s="15" t="str">
        <x:v>RECEIVER</x:v>
      </x:c>
      <x:c r="H12" s="15" t="n">
        <x:v>0</x:v>
      </x:c>
      <x:c r="I12" s="20" t="n">
        <x:v>0</x:v>
      </x:c>
      <x:c r="J12" s="15" t="str">
        <x:v>steady service</x:v>
      </x:c>
      <x:c r="K12" s="20" t="n">
        <x:v>0.5</x:v>
      </x:c>
    </x:row>
    <x:row r="16">
      <x:c r="C16" s="9" t="str">
        <x:v>Architecture</x:v>
      </x:c>
      <x:c r="D16" s="9" t="str">
        <x:v>World</x:v>
      </x:c>
      <x:c r="E16" s="9" t="str">
        <x:v>Damage</x:v>
      </x:c>
      <x:c r="F16" s="9" t="str">
        <x:v>Buffer share</x:v>
      </x:c>
      <x:c r="G16" s="9" t="str">
        <x:v>Immediate line share</x:v>
      </x:c>
      <x:c r="H16" s="9" t="str">
        <x:v>Post-bypass share</x:v>
      </x:c>
      <x:c r="I16" s="9" t="str">
        <x:v>Clean storage share</x:v>
      </x:c>
      <x:c r="J16" s="9" t="str">
        <x:v>Bridge h</x:v>
      </x:c>
      <x:c r="K16" s="9" t="str">
        <x:v>Available buffer m³</x:v>
      </x:c>
      <x:c r="L16" s="9" t="str">
        <x:v>Required buffer m³</x:v>
      </x:c>
      <x:c r="M16" s="9" t="str">
        <x:v>Achieved floor</x:v>
      </x:c>
      <x:c r="N16" s="9" t="str">
        <x:v>Required floor</x:v>
      </x:c>
      <x:c r="O16" s="9" t="str">
        <x:v>Declared screen</x:v>
      </x:c>
      <x:c r="P16" s="9" t="str">
        <x:v>Evidence</x:v>
      </x:c>
    </x:row>
    <x:row r="17" ht="44" customHeight="1">
      <x:c r="C17" s="11" t="str">
        <x:f>'02 Architectures'!C6</x:f>
        <x:v>A1</x:v>
      </x:c>
      <x:c r="D17" s="15" t="str">
        <x:f>C6</x:f>
        <x:v>W1</x:v>
      </x:c>
      <x:c r="E17" s="15" t="str">
        <x:f>D6</x:f>
        <x:v>One-line rupture after full charge</x:v>
      </x:c>
      <x:c r="F17" s="20" t="n">
        <x:f>E6</x:f>
        <x:v>1</x:v>
      </x:c>
      <x:c r="G17" s="20" t="n">
        <x:f>IF(G6="ONE_LINE",'02 Architectures'!AL6,IF(G6="CORRIDOR",IF('02 Architectures'!C6="A4",0.5,0),IF(OR(G6="STORAGE",G6="ALL_INFLOW",G6="RECEIVER"),0,1)))</x:f>
        <x:v>0</x:v>
      </x:c>
      <x:c r="H17" s="20" t="n">
        <x:f>IF(AND('02 Architectures'!C6="A3",OR(G6="ONE_LINE",G6="CORRIDOR")),0.5,G17)</x:f>
        <x:v>0</x:v>
      </x:c>
      <x:c r="I17" s="20" t="n">
        <x:f>IF(G6="STORAGE",MAX(('02 Architectures'!K6-H6)/'02 Architectures'!K6,0),1)</x:f>
        <x:v>1</x:v>
      </x:c>
      <x:c r="J17" s="21" t="n">
        <x:f>IF(G6="STORAGE",0,IF(AND('02 Architectures'!C6="A3",OR(G6="ONE_LINE",G6="CORRIDOR")),MIN('01 Controls'!$D$14,F6,'01 Controls'!$D$8),MIN(F6,'01 Controls'!$D$8)))</x:f>
        <x:v>18</x:v>
      </x:c>
      <x:c r="K17" s="21" t="n">
        <x:f>'02 Architectures'!AD6*E6*I17</x:f>
        <x:v>4250</x:v>
      </x:c>
      <x:c r="L17" s="21" t="n">
        <x:f>MAX(K6-G17,0)*'01 Controls'!$D$6*J17/24</x:f>
        <x:v>3750</x:v>
      </x:c>
      <x:c r="M17" s="20" t="n">
        <x:f>IF(I6=0,0,IF(G6="STORAGE",I17,IF(G17&gt;=K6,G17,IF(K17&gt;=L17,K6,G17))))</x:f>
        <x:v>0.5</x:v>
      </x:c>
      <x:c r="N17" s="20" t="n">
        <x:f>K6</x:f>
        <x:v>0.5</x:v>
      </x:c>
      <x:c r="O17" s="15" t="str">
        <x:f>IF(M17&gt;=N17,"PASS","FAIL")</x:f>
        <x:v>PASS</x:v>
      </x:c>
      <x:c r="P17" s="15" t="str">
        <x:v>UNTESTED</x:v>
      </x:c>
    </x:row>
    <x:row r="18" ht="44" customHeight="1">
      <x:c r="C18" s="11" t="str">
        <x:f>'02 Architectures'!C6</x:f>
        <x:v>A1</x:v>
      </x:c>
      <x:c r="D18" s="15" t="str">
        <x:f>C7</x:f>
        <x:v>W2</x:v>
      </x:c>
      <x:c r="E18" s="15" t="str">
        <x:f>D7</x:f>
        <x:v>One-line rupture at first water</x:v>
      </x:c>
      <x:c r="F18" s="20" t="n">
        <x:f>E7</x:f>
        <x:v>0</x:v>
      </x:c>
      <x:c r="G18" s="20" t="n">
        <x:f>IF(G7="ONE_LINE",'02 Architectures'!AL6,IF(G7="CORRIDOR",IF('02 Architectures'!C6="A4",0.5,0),IF(OR(G7="STORAGE",G7="ALL_INFLOW",G7="RECEIVER"),0,1)))</x:f>
        <x:v>0</x:v>
      </x:c>
      <x:c r="H18" s="20" t="n">
        <x:f>IF(AND('02 Architectures'!C6="A3",OR(G7="ONE_LINE",G7="CORRIDOR")),0.5,G18)</x:f>
        <x:v>0</x:v>
      </x:c>
      <x:c r="I18" s="20" t="n">
        <x:f>IF(G7="STORAGE",MAX(('02 Architectures'!K6-H7)/'02 Architectures'!K6,0),1)</x:f>
        <x:v>1</x:v>
      </x:c>
      <x:c r="J18" s="21" t="n">
        <x:f>IF(G7="STORAGE",0,IF(AND('02 Architectures'!C6="A3",OR(G7="ONE_LINE",G7="CORRIDOR")),MIN('01 Controls'!$D$14,F7,'01 Controls'!$D$8),MIN(F7,'01 Controls'!$D$8)))</x:f>
        <x:v>18</x:v>
      </x:c>
      <x:c r="K18" s="21" t="n">
        <x:f>'02 Architectures'!AD6*E7*I18</x:f>
        <x:v>0</x:v>
      </x:c>
      <x:c r="L18" s="21" t="n">
        <x:f>MAX(K7-G18,0)*'01 Controls'!$D$6*J18/24</x:f>
        <x:v>3750</x:v>
      </x:c>
      <x:c r="M18" s="20" t="n">
        <x:f>IF(I7=0,0,IF(G7="STORAGE",I18,IF(G18&gt;=K7,G18,IF(K18&gt;=L18,K7,G18))))</x:f>
        <x:v>0</x:v>
      </x:c>
      <x:c r="N18" s="20" t="n">
        <x:f>K7</x:f>
        <x:v>0.5</x:v>
      </x:c>
      <x:c r="O18" s="15" t="str">
        <x:f>IF(M18&gt;=N18,"PASS","FAIL")</x:f>
        <x:v>FAIL</x:v>
      </x:c>
      <x:c r="P18" s="15" t="str">
        <x:v>UNTESTED</x:v>
      </x:c>
    </x:row>
    <x:row r="19" ht="44" customHeight="1">
      <x:c r="C19" s="11" t="str">
        <x:f>'02 Architectures'!C6</x:f>
        <x:v>A1</x:v>
      </x:c>
      <x:c r="D19" s="15" t="str">
        <x:f>C8</x:f>
        <x:v>W3</x:v>
      </x:c>
      <x:c r="E19" s="15" t="str">
        <x:f>D8</x:f>
        <x:v>One-line rupture at half charge and delayed repair</x:v>
      </x:c>
      <x:c r="F19" s="20" t="n">
        <x:f>E8</x:f>
        <x:v>0.5</x:v>
      </x:c>
      <x:c r="G19" s="20" t="n">
        <x:f>IF(G8="ONE_LINE",'02 Architectures'!AL6,IF(G8="CORRIDOR",IF('02 Architectures'!C6="A4",0.5,0),IF(OR(G8="STORAGE",G8="ALL_INFLOW",G8="RECEIVER"),0,1)))</x:f>
        <x:v>0</x:v>
      </x:c>
      <x:c r="H19" s="20" t="n">
        <x:f>IF(AND('02 Architectures'!C6="A3",OR(G8="ONE_LINE",G8="CORRIDOR")),0.5,G19)</x:f>
        <x:v>0</x:v>
      </x:c>
      <x:c r="I19" s="20" t="n">
        <x:f>IF(G8="STORAGE",MAX(('02 Architectures'!K6-H8)/'02 Architectures'!K6,0),1)</x:f>
        <x:v>1</x:v>
      </x:c>
      <x:c r="J19" s="21" t="n">
        <x:f>IF(G8="STORAGE",0,IF(AND('02 Architectures'!C6="A3",OR(G8="ONE_LINE",G8="CORRIDOR")),MIN('01 Controls'!$D$14,F8,'01 Controls'!$D$8),MIN(F8,'01 Controls'!$D$8)))</x:f>
        <x:v>24</x:v>
      </x:c>
      <x:c r="K19" s="21" t="n">
        <x:f>'02 Architectures'!AD6*E8*I19</x:f>
        <x:v>2125</x:v>
      </x:c>
      <x:c r="L19" s="21" t="n">
        <x:f>MAX(K8-G19,0)*'01 Controls'!$D$6*J19/24</x:f>
        <x:v>5000</x:v>
      </x:c>
      <x:c r="M19" s="20" t="n">
        <x:f>IF(I8=0,0,IF(G8="STORAGE",I19,IF(G19&gt;=K8,G19,IF(K19&gt;=L19,K8,G19))))</x:f>
        <x:v>0</x:v>
      </x:c>
      <x:c r="N19" s="20" t="n">
        <x:f>K8</x:f>
        <x:v>0.5</x:v>
      </x:c>
      <x:c r="O19" s="15" t="str">
        <x:f>IF(M19&gt;=N19,"PASS","FAIL")</x:f>
        <x:v>FAIL</x:v>
      </x:c>
      <x:c r="P19" s="15" t="str">
        <x:v>UNTESTED</x:v>
      </x:c>
    </x:row>
    <x:row r="20" ht="44" customHeight="1">
      <x:c r="C20" s="11" t="str">
        <x:f>'02 Architectures'!C6</x:f>
        <x:v>A1</x:v>
      </x:c>
      <x:c r="D20" s="15" t="str">
        <x:f>C9</x:f>
        <x:v>W4</x:v>
      </x:c>
      <x:c r="E20" s="15" t="str">
        <x:f>D9</x:f>
        <x:v>Common-corridor severance</x:v>
      </x:c>
      <x:c r="F20" s="20" t="n">
        <x:f>E9</x:f>
        <x:v>1</x:v>
      </x:c>
      <x:c r="G20" s="20" t="n">
        <x:f>IF(G9="ONE_LINE",'02 Architectures'!AL6,IF(G9="CORRIDOR",IF('02 Architectures'!C6="A4",0.5,0),IF(OR(G9="STORAGE",G9="ALL_INFLOW",G9="RECEIVER"),0,1)))</x:f>
        <x:v>0</x:v>
      </x:c>
      <x:c r="H20" s="20" t="n">
        <x:f>IF(AND('02 Architectures'!C6="A3",OR(G9="ONE_LINE",G9="CORRIDOR")),0.5,G20)</x:f>
        <x:v>0</x:v>
      </x:c>
      <x:c r="I20" s="20" t="n">
        <x:f>IF(G9="STORAGE",MAX(('02 Architectures'!K6-H9)/'02 Architectures'!K6,0),1)</x:f>
        <x:v>1</x:v>
      </x:c>
      <x:c r="J20" s="21" t="n">
        <x:f>IF(G9="STORAGE",0,IF(AND('02 Architectures'!C6="A3",OR(G9="ONE_LINE",G9="CORRIDOR")),MIN('01 Controls'!$D$14,F9,'01 Controls'!$D$8),MIN(F9,'01 Controls'!$D$8)))</x:f>
        <x:v>24</x:v>
      </x:c>
      <x:c r="K20" s="21" t="n">
        <x:f>'02 Architectures'!AD6*E9*I20</x:f>
        <x:v>4250</x:v>
      </x:c>
      <x:c r="L20" s="21" t="n">
        <x:f>MAX(K9-G20,0)*'01 Controls'!$D$6*J20/24</x:f>
        <x:v>5000</x:v>
      </x:c>
      <x:c r="M20" s="20" t="n">
        <x:f>IF(I9=0,0,IF(G9="STORAGE",I20,IF(G20&gt;=K9,G20,IF(K20&gt;=L20,K9,G20))))</x:f>
        <x:v>0</x:v>
      </x:c>
      <x:c r="N20" s="20" t="n">
        <x:f>K9</x:f>
        <x:v>0.5</x:v>
      </x:c>
      <x:c r="O20" s="15" t="str">
        <x:f>IF(M20&gt;=N20,"PASS","FAIL")</x:f>
        <x:v>FAIL</x:v>
      </x:c>
      <x:c r="P20" s="15" t="str">
        <x:v>UNTESTED</x:v>
      </x:c>
    </x:row>
    <x:row r="21" ht="44" customHeight="1">
      <x:c r="C21" s="11" t="str">
        <x:f>'02 Architectures'!C6</x:f>
        <x:v>A1</x:v>
      </x:c>
      <x:c r="D21" s="15" t="str">
        <x:f>C10</x:f>
        <x:v>W5</x:v>
      </x:c>
      <x:c r="E21" s="15" t="str">
        <x:f>D10</x:f>
        <x:v>One storage sector contaminated during treatment loss</x:v>
      </x:c>
      <x:c r="F21" s="20" t="n">
        <x:f>E10</x:f>
        <x:v>1</x:v>
      </x:c>
      <x:c r="G21" s="20" t="n">
        <x:f>IF(G10="ONE_LINE",'02 Architectures'!AL6,IF(G10="CORRIDOR",IF('02 Architectures'!C6="A4",0.5,0),IF(OR(G10="STORAGE",G10="ALL_INFLOW",G10="RECEIVER"),0,1)))</x:f>
        <x:v>0</x:v>
      </x:c>
      <x:c r="H21" s="20" t="n">
        <x:f>IF(AND('02 Architectures'!C6="A3",OR(G10="ONE_LINE",G10="CORRIDOR")),0.5,G21)</x:f>
        <x:v>0</x:v>
      </x:c>
      <x:c r="I21" s="20" t="n">
        <x:f>IF(G10="STORAGE",MAX(('02 Architectures'!K6-H10)/'02 Architectures'!K6,0),1)</x:f>
        <x:v>0</x:v>
      </x:c>
      <x:c r="J21" s="21" t="n">
        <x:f>IF(G10="STORAGE",0,IF(AND('02 Architectures'!C6="A3",OR(G10="ONE_LINE",G10="CORRIDOR")),MIN('01 Controls'!$D$14,F10,'01 Controls'!$D$8),MIN(F10,'01 Controls'!$D$8)))</x:f>
        <x:v>0</x:v>
      </x:c>
      <x:c r="K21" s="21" t="n">
        <x:f>'02 Architectures'!AD6*E10*I21</x:f>
        <x:v>0</x:v>
      </x:c>
      <x:c r="L21" s="21" t="n">
        <x:f>MAX(K10-G21,0)*'01 Controls'!$D$6*J21/24</x:f>
        <x:v>0</x:v>
      </x:c>
      <x:c r="M21" s="20" t="n">
        <x:f>IF(I10=0,0,IF(G10="STORAGE",I21,IF(G21&gt;=K10,G21,IF(K21&gt;=L21,K10,G21))))</x:f>
        <x:v>0</x:v>
      </x:c>
      <x:c r="N21" s="20" t="n">
        <x:f>K10</x:f>
        <x:v>0.5</x:v>
      </x:c>
      <x:c r="O21" s="15" t="str">
        <x:f>IF(M21&gt;=N21,"PASS","FAIL")</x:f>
        <x:v>FAIL</x:v>
      </x:c>
      <x:c r="P21" s="15" t="str">
        <x:v>UNTESTED</x:v>
      </x:c>
    </x:row>
    <x:row r="22" ht="44" customHeight="1">
      <x:c r="C22" s="11" t="str">
        <x:f>'02 Architectures'!C6</x:f>
        <x:v>A1</x:v>
      </x:c>
      <x:c r="D22" s="15" t="str">
        <x:f>C11</x:f>
        <x:v>W6</x:v>
      </x:c>
      <x:c r="E22" s="15" t="str">
        <x:f>D11</x:f>
        <x:v>Treatment train unavailable</x:v>
      </x:c>
      <x:c r="F22" s="20" t="n">
        <x:f>E11</x:f>
        <x:v>1</x:v>
      </x:c>
      <x:c r="G22" s="20" t="n">
        <x:f>IF(G11="ONE_LINE",'02 Architectures'!AL6,IF(G11="CORRIDOR",IF('02 Architectures'!C6="A4",0.5,0),IF(OR(G11="STORAGE",G11="ALL_INFLOW",G11="RECEIVER"),0,1)))</x:f>
        <x:v>0</x:v>
      </x:c>
      <x:c r="H22" s="20" t="n">
        <x:f>IF(AND('02 Architectures'!C6="A3",OR(G11="ONE_LINE",G11="CORRIDOR")),0.5,G22)</x:f>
        <x:v>0</x:v>
      </x:c>
      <x:c r="I22" s="20" t="n">
        <x:f>IF(G11="STORAGE",MAX(('02 Architectures'!K6-H11)/'02 Architectures'!K6,0),1)</x:f>
        <x:v>1</x:v>
      </x:c>
      <x:c r="J22" s="21" t="n">
        <x:f>IF(G11="STORAGE",0,IF(AND('02 Architectures'!C6="A3",OR(G11="ONE_LINE",G11="CORRIDOR")),MIN('01 Controls'!$D$14,F11,'01 Controls'!$D$8),MIN(F11,'01 Controls'!$D$8)))</x:f>
        <x:v>24</x:v>
      </x:c>
      <x:c r="K22" s="21" t="n">
        <x:f>'02 Architectures'!AD6*E11*I22</x:f>
        <x:v>4250</x:v>
      </x:c>
      <x:c r="L22" s="21" t="n">
        <x:f>MAX(K11-G22,0)*'01 Controls'!$D$6*J22/24</x:f>
        <x:v>5000</x:v>
      </x:c>
      <x:c r="M22" s="20" t="n">
        <x:f>IF(I11=0,0,IF(G11="STORAGE",I22,IF(G22&gt;=K11,G22,IF(K22&gt;=L22,K11,G22))))</x:f>
        <x:v>0</x:v>
      </x:c>
      <x:c r="N22" s="20" t="n">
        <x:f>K11</x:f>
        <x:v>0.5</x:v>
      </x:c>
      <x:c r="O22" s="15" t="str">
        <x:f>IF(M22&gt;=N22,"PASS","FAIL")</x:f>
        <x:v>FAIL</x:v>
      </x:c>
      <x:c r="P22" s="15" t="str">
        <x:v>UNTESTED</x:v>
      </x:c>
    </x:row>
    <x:row r="23" ht="44" customHeight="1">
      <x:c r="C23" s="11" t="str">
        <x:f>'02 Architectures'!C6</x:f>
        <x:v>A1</x:v>
      </x:c>
      <x:c r="D23" s="15" t="str">
        <x:f>C12</x:f>
        <x:v>W7</x:v>
      </x:c>
      <x:c r="E23" s="15" t="str">
        <x:f>D12</x:f>
        <x:v>Receiver-wide contamination hold</x:v>
      </x:c>
      <x:c r="F23" s="20" t="n">
        <x:f>E12</x:f>
        <x:v>1</x:v>
      </x:c>
      <x:c r="G23" s="20" t="n">
        <x:f>IF(G12="ONE_LINE",'02 Architectures'!AL6,IF(G12="CORRIDOR",IF('02 Architectures'!C6="A4",0.5,0),IF(OR(G12="STORAGE",G12="ALL_INFLOW",G12="RECEIVER"),0,1)))</x:f>
        <x:v>0</x:v>
      </x:c>
      <x:c r="H23" s="20" t="n">
        <x:f>IF(AND('02 Architectures'!C6="A3",OR(G12="ONE_LINE",G12="CORRIDOR")),0.5,G23)</x:f>
        <x:v>0</x:v>
      </x:c>
      <x:c r="I23" s="20" t="n">
        <x:f>IF(G12="STORAGE",MAX(('02 Architectures'!K6-H12)/'02 Architectures'!K6,0),1)</x:f>
        <x:v>1</x:v>
      </x:c>
      <x:c r="J23" s="21" t="n">
        <x:f>IF(G12="STORAGE",0,IF(AND('02 Architectures'!C6="A3",OR(G12="ONE_LINE",G12="CORRIDOR")),MIN('01 Controls'!$D$14,F12,'01 Controls'!$D$8),MIN(F12,'01 Controls'!$D$8)))</x:f>
        <x:v>24</x:v>
      </x:c>
      <x:c r="K23" s="21" t="n">
        <x:f>'02 Architectures'!AD6*E12*I23</x:f>
        <x:v>4250</x:v>
      </x:c>
      <x:c r="L23" s="21" t="n">
        <x:f>MAX(K12-G23,0)*'01 Controls'!$D$6*J23/24</x:f>
        <x:v>5000</x:v>
      </x:c>
      <x:c r="M23" s="20" t="n">
        <x:f>IF(I12=0,0,IF(G12="STORAGE",I23,IF(G23&gt;=K12,G23,IF(K23&gt;=L23,K12,G23))))</x:f>
        <x:v>0</x:v>
      </x:c>
      <x:c r="N23" s="20" t="n">
        <x:f>K12</x:f>
        <x:v>0.5</x:v>
      </x:c>
      <x:c r="O23" s="15" t="str">
        <x:f>IF(M23&gt;=N23,"PASS","FAIL")</x:f>
        <x:v>FAIL</x:v>
      </x:c>
      <x:c r="P23" s="15" t="str">
        <x:v>UNTESTED</x:v>
      </x:c>
    </x:row>
    <x:row r="24" ht="44" customHeight="1">
      <x:c r="C24" s="11" t="str">
        <x:f>'02 Architectures'!C7</x:f>
        <x:v>A2</x:v>
      </x:c>
      <x:c r="D24" s="15" t="str">
        <x:f>C6</x:f>
        <x:v>W1</x:v>
      </x:c>
      <x:c r="E24" s="15" t="str">
        <x:f>D6</x:f>
        <x:v>One-line rupture after full charge</x:v>
      </x:c>
      <x:c r="F24" s="20" t="n">
        <x:f>E6</x:f>
        <x:v>1</x:v>
      </x:c>
      <x:c r="G24" s="20" t="n">
        <x:f>IF(G6="ONE_LINE",'02 Architectures'!AL7,IF(G6="CORRIDOR",IF('02 Architectures'!C7="A4",0.5,0),IF(OR(G6="STORAGE",G6="ALL_INFLOW",G6="RECEIVER"),0,1)))</x:f>
        <x:v>0.5</x:v>
      </x:c>
      <x:c r="H24" s="20" t="n">
        <x:f>IF(AND('02 Architectures'!C7="A3",OR(G6="ONE_LINE",G6="CORRIDOR")),0.5,G24)</x:f>
        <x:v>0.5</x:v>
      </x:c>
      <x:c r="I24" s="20" t="n">
        <x:f>IF(G6="STORAGE",MAX(('02 Architectures'!K7-H6)/'02 Architectures'!K7,0),1)</x:f>
        <x:v>1</x:v>
      </x:c>
      <x:c r="J24" s="21" t="n">
        <x:f>IF(G6="STORAGE",0,IF(AND('02 Architectures'!C7="A3",OR(G6="ONE_LINE",G6="CORRIDOR")),MIN('01 Controls'!$D$14,F6,'01 Controls'!$D$8),MIN(F6,'01 Controls'!$D$8)))</x:f>
        <x:v>18</x:v>
      </x:c>
      <x:c r="K24" s="21" t="n">
        <x:f>'02 Architectures'!AD7*E6*I24</x:f>
        <x:v>4250</x:v>
      </x:c>
      <x:c r="L24" s="21" t="n">
        <x:f>MAX(K6-G24,0)*'01 Controls'!$D$6*J24/24</x:f>
        <x:v>0</x:v>
      </x:c>
      <x:c r="M24" s="20" t="n">
        <x:f>IF(I6=0,0,IF(G6="STORAGE",I24,IF(G24&gt;=K6,G24,IF(K24&gt;=L24,K6,G24))))</x:f>
        <x:v>0.5</x:v>
      </x:c>
      <x:c r="N24" s="20" t="n">
        <x:f>K6</x:f>
        <x:v>0.5</x:v>
      </x:c>
      <x:c r="O24" s="15" t="str">
        <x:f>IF(M24&gt;=N24,"PASS","FAIL")</x:f>
        <x:v>PASS</x:v>
      </x:c>
      <x:c r="P24" s="15" t="str">
        <x:v>UNTESTED</x:v>
      </x:c>
    </x:row>
    <x:row r="25" ht="44" customHeight="1">
      <x:c r="C25" s="11" t="str">
        <x:f>'02 Architectures'!C7</x:f>
        <x:v>A2</x:v>
      </x:c>
      <x:c r="D25" s="15" t="str">
        <x:f>C7</x:f>
        <x:v>W2</x:v>
      </x:c>
      <x:c r="E25" s="15" t="str">
        <x:f>D7</x:f>
        <x:v>One-line rupture at first water</x:v>
      </x:c>
      <x:c r="F25" s="20" t="n">
        <x:f>E7</x:f>
        <x:v>0</x:v>
      </x:c>
      <x:c r="G25" s="20" t="n">
        <x:f>IF(G7="ONE_LINE",'02 Architectures'!AL7,IF(G7="CORRIDOR",IF('02 Architectures'!C7="A4",0.5,0),IF(OR(G7="STORAGE",G7="ALL_INFLOW",G7="RECEIVER"),0,1)))</x:f>
        <x:v>0.5</x:v>
      </x:c>
      <x:c r="H25" s="20" t="n">
        <x:f>IF(AND('02 Architectures'!C7="A3",OR(G7="ONE_LINE",G7="CORRIDOR")),0.5,G25)</x:f>
        <x:v>0.5</x:v>
      </x:c>
      <x:c r="I25" s="20" t="n">
        <x:f>IF(G7="STORAGE",MAX(('02 Architectures'!K7-H7)/'02 Architectures'!K7,0),1)</x:f>
        <x:v>1</x:v>
      </x:c>
      <x:c r="J25" s="21" t="n">
        <x:f>IF(G7="STORAGE",0,IF(AND('02 Architectures'!C7="A3",OR(G7="ONE_LINE",G7="CORRIDOR")),MIN('01 Controls'!$D$14,F7,'01 Controls'!$D$8),MIN(F7,'01 Controls'!$D$8)))</x:f>
        <x:v>18</x:v>
      </x:c>
      <x:c r="K25" s="21" t="n">
        <x:f>'02 Architectures'!AD7*E7*I25</x:f>
        <x:v>0</x:v>
      </x:c>
      <x:c r="L25" s="21" t="n">
        <x:f>MAX(K7-G25,0)*'01 Controls'!$D$6*J25/24</x:f>
        <x:v>0</x:v>
      </x:c>
      <x:c r="M25" s="20" t="n">
        <x:f>IF(I7=0,0,IF(G7="STORAGE",I25,IF(G25&gt;=K7,G25,IF(K25&gt;=L25,K7,G25))))</x:f>
        <x:v>0.5</x:v>
      </x:c>
      <x:c r="N25" s="20" t="n">
        <x:f>K7</x:f>
        <x:v>0.5</x:v>
      </x:c>
      <x:c r="O25" s="15" t="str">
        <x:f>IF(M25&gt;=N25,"PASS","FAIL")</x:f>
        <x:v>PASS</x:v>
      </x:c>
      <x:c r="P25" s="15" t="str">
        <x:v>UNTESTED</x:v>
      </x:c>
    </x:row>
    <x:row r="26" ht="44" customHeight="1">
      <x:c r="C26" s="11" t="str">
        <x:f>'02 Architectures'!C7</x:f>
        <x:v>A2</x:v>
      </x:c>
      <x:c r="D26" s="15" t="str">
        <x:f>C8</x:f>
        <x:v>W3</x:v>
      </x:c>
      <x:c r="E26" s="15" t="str">
        <x:f>D8</x:f>
        <x:v>One-line rupture at half charge and delayed repair</x:v>
      </x:c>
      <x:c r="F26" s="20" t="n">
        <x:f>E8</x:f>
        <x:v>0.5</x:v>
      </x:c>
      <x:c r="G26" s="20" t="n">
        <x:f>IF(G8="ONE_LINE",'02 Architectures'!AL7,IF(G8="CORRIDOR",IF('02 Architectures'!C7="A4",0.5,0),IF(OR(G8="STORAGE",G8="ALL_INFLOW",G8="RECEIVER"),0,1)))</x:f>
        <x:v>0.5</x:v>
      </x:c>
      <x:c r="H26" s="20" t="n">
        <x:f>IF(AND('02 Architectures'!C7="A3",OR(G8="ONE_LINE",G8="CORRIDOR")),0.5,G26)</x:f>
        <x:v>0.5</x:v>
      </x:c>
      <x:c r="I26" s="20" t="n">
        <x:f>IF(G8="STORAGE",MAX(('02 Architectures'!K7-H8)/'02 Architectures'!K7,0),1)</x:f>
        <x:v>1</x:v>
      </x:c>
      <x:c r="J26" s="21" t="n">
        <x:f>IF(G8="STORAGE",0,IF(AND('02 Architectures'!C7="A3",OR(G8="ONE_LINE",G8="CORRIDOR")),MIN('01 Controls'!$D$14,F8,'01 Controls'!$D$8),MIN(F8,'01 Controls'!$D$8)))</x:f>
        <x:v>24</x:v>
      </x:c>
      <x:c r="K26" s="21" t="n">
        <x:f>'02 Architectures'!AD7*E8*I26</x:f>
        <x:v>2125</x:v>
      </x:c>
      <x:c r="L26" s="21" t="n">
        <x:f>MAX(K8-G26,0)*'01 Controls'!$D$6*J26/24</x:f>
        <x:v>0</x:v>
      </x:c>
      <x:c r="M26" s="20" t="n">
        <x:f>IF(I8=0,0,IF(G8="STORAGE",I26,IF(G26&gt;=K8,G26,IF(K26&gt;=L26,K8,G26))))</x:f>
        <x:v>0.5</x:v>
      </x:c>
      <x:c r="N26" s="20" t="n">
        <x:f>K8</x:f>
        <x:v>0.5</x:v>
      </x:c>
      <x:c r="O26" s="15" t="str">
        <x:f>IF(M26&gt;=N26,"PASS","FAIL")</x:f>
        <x:v>PASS</x:v>
      </x:c>
      <x:c r="P26" s="15" t="str">
        <x:v>UNTESTED</x:v>
      </x:c>
    </x:row>
    <x:row r="27" ht="44" customHeight="1">
      <x:c r="C27" s="11" t="str">
        <x:f>'02 Architectures'!C7</x:f>
        <x:v>A2</x:v>
      </x:c>
      <x:c r="D27" s="15" t="str">
        <x:f>C9</x:f>
        <x:v>W4</x:v>
      </x:c>
      <x:c r="E27" s="15" t="str">
        <x:f>D9</x:f>
        <x:v>Common-corridor severance</x:v>
      </x:c>
      <x:c r="F27" s="20" t="n">
        <x:f>E9</x:f>
        <x:v>1</x:v>
      </x:c>
      <x:c r="G27" s="20" t="n">
        <x:f>IF(G9="ONE_LINE",'02 Architectures'!AL7,IF(G9="CORRIDOR",IF('02 Architectures'!C7="A4",0.5,0),IF(OR(G9="STORAGE",G9="ALL_INFLOW",G9="RECEIVER"),0,1)))</x:f>
        <x:v>0</x:v>
      </x:c>
      <x:c r="H27" s="20" t="n">
        <x:f>IF(AND('02 Architectures'!C7="A3",OR(G9="ONE_LINE",G9="CORRIDOR")),0.5,G27)</x:f>
        <x:v>0</x:v>
      </x:c>
      <x:c r="I27" s="20" t="n">
        <x:f>IF(G9="STORAGE",MAX(('02 Architectures'!K7-H9)/'02 Architectures'!K7,0),1)</x:f>
        <x:v>1</x:v>
      </x:c>
      <x:c r="J27" s="21" t="n">
        <x:f>IF(G9="STORAGE",0,IF(AND('02 Architectures'!C7="A3",OR(G9="ONE_LINE",G9="CORRIDOR")),MIN('01 Controls'!$D$14,F9,'01 Controls'!$D$8),MIN(F9,'01 Controls'!$D$8)))</x:f>
        <x:v>24</x:v>
      </x:c>
      <x:c r="K27" s="21" t="n">
        <x:f>'02 Architectures'!AD7*E9*I27</x:f>
        <x:v>4250</x:v>
      </x:c>
      <x:c r="L27" s="21" t="n">
        <x:f>MAX(K9-G27,0)*'01 Controls'!$D$6*J27/24</x:f>
        <x:v>5000</x:v>
      </x:c>
      <x:c r="M27" s="20" t="n">
        <x:f>IF(I9=0,0,IF(G9="STORAGE",I27,IF(G27&gt;=K9,G27,IF(K27&gt;=L27,K9,G27))))</x:f>
        <x:v>0</x:v>
      </x:c>
      <x:c r="N27" s="20" t="n">
        <x:f>K9</x:f>
        <x:v>0.5</x:v>
      </x:c>
      <x:c r="O27" s="15" t="str">
        <x:f>IF(M27&gt;=N27,"PASS","FAIL")</x:f>
        <x:v>FAIL</x:v>
      </x:c>
      <x:c r="P27" s="15" t="str">
        <x:v>UNTESTED</x:v>
      </x:c>
    </x:row>
    <x:row r="28" ht="44" customHeight="1">
      <x:c r="C28" s="11" t="str">
        <x:f>'02 Architectures'!C7</x:f>
        <x:v>A2</x:v>
      </x:c>
      <x:c r="D28" s="15" t="str">
        <x:f>C10</x:f>
        <x:v>W5</x:v>
      </x:c>
      <x:c r="E28" s="15" t="str">
        <x:f>D10</x:f>
        <x:v>One storage sector contaminated during treatment loss</x:v>
      </x:c>
      <x:c r="F28" s="20" t="n">
        <x:f>E10</x:f>
        <x:v>1</x:v>
      </x:c>
      <x:c r="G28" s="20" t="n">
        <x:f>IF(G10="ONE_LINE",'02 Architectures'!AL7,IF(G10="CORRIDOR",IF('02 Architectures'!C7="A4",0.5,0),IF(OR(G10="STORAGE",G10="ALL_INFLOW",G10="RECEIVER"),0,1)))</x:f>
        <x:v>0</x:v>
      </x:c>
      <x:c r="H28" s="20" t="n">
        <x:f>IF(AND('02 Architectures'!C7="A3",OR(G10="ONE_LINE",G10="CORRIDOR")),0.5,G28)</x:f>
        <x:v>0</x:v>
      </x:c>
      <x:c r="I28" s="20" t="n">
        <x:f>IF(G10="STORAGE",MAX(('02 Architectures'!K7-H10)/'02 Architectures'!K7,0),1)</x:f>
        <x:v>0.5</x:v>
      </x:c>
      <x:c r="J28" s="21" t="n">
        <x:f>IF(G10="STORAGE",0,IF(AND('02 Architectures'!C7="A3",OR(G10="ONE_LINE",G10="CORRIDOR")),MIN('01 Controls'!$D$14,F10,'01 Controls'!$D$8),MIN(F10,'01 Controls'!$D$8)))</x:f>
        <x:v>0</x:v>
      </x:c>
      <x:c r="K28" s="21" t="n">
        <x:f>'02 Architectures'!AD7*E10*I28</x:f>
        <x:v>2125</x:v>
      </x:c>
      <x:c r="L28" s="21" t="n">
        <x:f>MAX(K10-G28,0)*'01 Controls'!$D$6*J28/24</x:f>
        <x:v>0</x:v>
      </x:c>
      <x:c r="M28" s="20" t="n">
        <x:f>IF(I10=0,0,IF(G10="STORAGE",I28,IF(G28&gt;=K10,G28,IF(K28&gt;=L28,K10,G28))))</x:f>
        <x:v>0.5</x:v>
      </x:c>
      <x:c r="N28" s="20" t="n">
        <x:f>K10</x:f>
        <x:v>0.5</x:v>
      </x:c>
      <x:c r="O28" s="15" t="str">
        <x:f>IF(M28&gt;=N28,"PASS","FAIL")</x:f>
        <x:v>PASS</x:v>
      </x:c>
      <x:c r="P28" s="15" t="str">
        <x:v>UNTESTED</x:v>
      </x:c>
    </x:row>
    <x:row r="29" ht="44" customHeight="1">
      <x:c r="C29" s="11" t="str">
        <x:f>'02 Architectures'!C7</x:f>
        <x:v>A2</x:v>
      </x:c>
      <x:c r="D29" s="15" t="str">
        <x:f>C11</x:f>
        <x:v>W6</x:v>
      </x:c>
      <x:c r="E29" s="15" t="str">
        <x:f>D11</x:f>
        <x:v>Treatment train unavailable</x:v>
      </x:c>
      <x:c r="F29" s="20" t="n">
        <x:f>E11</x:f>
        <x:v>1</x:v>
      </x:c>
      <x:c r="G29" s="20" t="n">
        <x:f>IF(G11="ONE_LINE",'02 Architectures'!AL7,IF(G11="CORRIDOR",IF('02 Architectures'!C7="A4",0.5,0),IF(OR(G11="STORAGE",G11="ALL_INFLOW",G11="RECEIVER"),0,1)))</x:f>
        <x:v>0</x:v>
      </x:c>
      <x:c r="H29" s="20" t="n">
        <x:f>IF(AND('02 Architectures'!C7="A3",OR(G11="ONE_LINE",G11="CORRIDOR")),0.5,G29)</x:f>
        <x:v>0</x:v>
      </x:c>
      <x:c r="I29" s="20" t="n">
        <x:f>IF(G11="STORAGE",MAX(('02 Architectures'!K7-H11)/'02 Architectures'!K7,0),1)</x:f>
        <x:v>1</x:v>
      </x:c>
      <x:c r="J29" s="21" t="n">
        <x:f>IF(G11="STORAGE",0,IF(AND('02 Architectures'!C7="A3",OR(G11="ONE_LINE",G11="CORRIDOR")),MIN('01 Controls'!$D$14,F11,'01 Controls'!$D$8),MIN(F11,'01 Controls'!$D$8)))</x:f>
        <x:v>24</x:v>
      </x:c>
      <x:c r="K29" s="21" t="n">
        <x:f>'02 Architectures'!AD7*E11*I29</x:f>
        <x:v>4250</x:v>
      </x:c>
      <x:c r="L29" s="21" t="n">
        <x:f>MAX(K11-G29,0)*'01 Controls'!$D$6*J29/24</x:f>
        <x:v>5000</x:v>
      </x:c>
      <x:c r="M29" s="20" t="n">
        <x:f>IF(I11=0,0,IF(G11="STORAGE",I29,IF(G29&gt;=K11,G29,IF(K29&gt;=L29,K11,G29))))</x:f>
        <x:v>0</x:v>
      </x:c>
      <x:c r="N29" s="20" t="n">
        <x:f>K11</x:f>
        <x:v>0.5</x:v>
      </x:c>
      <x:c r="O29" s="15" t="str">
        <x:f>IF(M29&gt;=N29,"PASS","FAIL")</x:f>
        <x:v>FAIL</x:v>
      </x:c>
      <x:c r="P29" s="15" t="str">
        <x:v>UNTESTED</x:v>
      </x:c>
    </x:row>
    <x:row r="30" ht="44" customHeight="1">
      <x:c r="C30" s="11" t="str">
        <x:f>'02 Architectures'!C7</x:f>
        <x:v>A2</x:v>
      </x:c>
      <x:c r="D30" s="15" t="str">
        <x:f>C12</x:f>
        <x:v>W7</x:v>
      </x:c>
      <x:c r="E30" s="15" t="str">
        <x:f>D12</x:f>
        <x:v>Receiver-wide contamination hold</x:v>
      </x:c>
      <x:c r="F30" s="20" t="n">
        <x:f>E12</x:f>
        <x:v>1</x:v>
      </x:c>
      <x:c r="G30" s="20" t="n">
        <x:f>IF(G12="ONE_LINE",'02 Architectures'!AL7,IF(G12="CORRIDOR",IF('02 Architectures'!C7="A4",0.5,0),IF(OR(G12="STORAGE",G12="ALL_INFLOW",G12="RECEIVER"),0,1)))</x:f>
        <x:v>0</x:v>
      </x:c>
      <x:c r="H30" s="20" t="n">
        <x:f>IF(AND('02 Architectures'!C7="A3",OR(G12="ONE_LINE",G12="CORRIDOR")),0.5,G30)</x:f>
        <x:v>0</x:v>
      </x:c>
      <x:c r="I30" s="20" t="n">
        <x:f>IF(G12="STORAGE",MAX(('02 Architectures'!K7-H12)/'02 Architectures'!K7,0),1)</x:f>
        <x:v>1</x:v>
      </x:c>
      <x:c r="J30" s="21" t="n">
        <x:f>IF(G12="STORAGE",0,IF(AND('02 Architectures'!C7="A3",OR(G12="ONE_LINE",G12="CORRIDOR")),MIN('01 Controls'!$D$14,F12,'01 Controls'!$D$8),MIN(F12,'01 Controls'!$D$8)))</x:f>
        <x:v>24</x:v>
      </x:c>
      <x:c r="K30" s="21" t="n">
        <x:f>'02 Architectures'!AD7*E12*I30</x:f>
        <x:v>4250</x:v>
      </x:c>
      <x:c r="L30" s="21" t="n">
        <x:f>MAX(K12-G30,0)*'01 Controls'!$D$6*J30/24</x:f>
        <x:v>5000</x:v>
      </x:c>
      <x:c r="M30" s="20" t="n">
        <x:f>IF(I12=0,0,IF(G12="STORAGE",I30,IF(G30&gt;=K12,G30,IF(K30&gt;=L30,K12,G30))))</x:f>
        <x:v>0</x:v>
      </x:c>
      <x:c r="N30" s="20" t="n">
        <x:f>K12</x:f>
        <x:v>0.5</x:v>
      </x:c>
      <x:c r="O30" s="15" t="str">
        <x:f>IF(M30&gt;=N30,"PASS","FAIL")</x:f>
        <x:v>FAIL</x:v>
      </x:c>
      <x:c r="P30" s="15" t="str">
        <x:v>UNTESTED</x:v>
      </x:c>
    </x:row>
    <x:row r="31" ht="44" customHeight="1">
      <x:c r="C31" s="11" t="str">
        <x:f>'02 Architectures'!C8</x:f>
        <x:v>A3</x:v>
      </x:c>
      <x:c r="D31" s="15" t="str">
        <x:f>C6</x:f>
        <x:v>W1</x:v>
      </x:c>
      <x:c r="E31" s="15" t="str">
        <x:f>D6</x:f>
        <x:v>One-line rupture after full charge</x:v>
      </x:c>
      <x:c r="F31" s="20" t="n">
        <x:f>E6</x:f>
        <x:v>1</x:v>
      </x:c>
      <x:c r="G31" s="20" t="n">
        <x:f>IF(G6="ONE_LINE",'02 Architectures'!AL8,IF(G6="CORRIDOR",IF('02 Architectures'!C8="A4",0.5,0),IF(OR(G6="STORAGE",G6="ALL_INFLOW",G6="RECEIVER"),0,1)))</x:f>
        <x:v>0</x:v>
      </x:c>
      <x:c r="H31" s="20" t="n">
        <x:f>IF(AND('02 Architectures'!C8="A3",OR(G6="ONE_LINE",G6="CORRIDOR")),0.5,G31)</x:f>
        <x:v>0.5</x:v>
      </x:c>
      <x:c r="I31" s="20" t="n">
        <x:f>IF(G6="STORAGE",MAX(('02 Architectures'!K8-H6)/'02 Architectures'!K8,0),1)</x:f>
        <x:v>1</x:v>
      </x:c>
      <x:c r="J31" s="21" t="n">
        <x:f>IF(G6="STORAGE",0,IF(AND('02 Architectures'!C8="A3",OR(G6="ONE_LINE",G6="CORRIDOR")),MIN('01 Controls'!$D$14,F6,'01 Controls'!$D$8),MIN(F6,'01 Controls'!$D$8)))</x:f>
        <x:v>6</x:v>
      </x:c>
      <x:c r="K31" s="21" t="n">
        <x:f>'02 Architectures'!AD8*E6*I31</x:f>
        <x:v>4250</x:v>
      </x:c>
      <x:c r="L31" s="21" t="n">
        <x:f>MAX(K6-G31,0)*'01 Controls'!$D$6*J31/24</x:f>
        <x:v>1250</x:v>
      </x:c>
      <x:c r="M31" s="20" t="n">
        <x:f>IF(I6=0,0,IF(G6="STORAGE",I31,IF(G31&gt;=K6,G31,IF(K31&gt;=L31,K6,G31))))</x:f>
        <x:v>0.5</x:v>
      </x:c>
      <x:c r="N31" s="20" t="n">
        <x:f>K6</x:f>
        <x:v>0.5</x:v>
      </x:c>
      <x:c r="O31" s="15" t="str">
        <x:f>IF(M31&gt;=N31,"PASS","FAIL")</x:f>
        <x:v>PASS</x:v>
      </x:c>
      <x:c r="P31" s="15" t="str">
        <x:v>UNTESTED</x:v>
      </x:c>
    </x:row>
    <x:row r="32" ht="44" customHeight="1">
      <x:c r="C32" s="11" t="str">
        <x:f>'02 Architectures'!C8</x:f>
        <x:v>A3</x:v>
      </x:c>
      <x:c r="D32" s="15" t="str">
        <x:f>C7</x:f>
        <x:v>W2</x:v>
      </x:c>
      <x:c r="E32" s="15" t="str">
        <x:f>D7</x:f>
        <x:v>One-line rupture at first water</x:v>
      </x:c>
      <x:c r="F32" s="20" t="n">
        <x:f>E7</x:f>
        <x:v>0</x:v>
      </x:c>
      <x:c r="G32" s="20" t="n">
        <x:f>IF(G7="ONE_LINE",'02 Architectures'!AL8,IF(G7="CORRIDOR",IF('02 Architectures'!C8="A4",0.5,0),IF(OR(G7="STORAGE",G7="ALL_INFLOW",G7="RECEIVER"),0,1)))</x:f>
        <x:v>0</x:v>
      </x:c>
      <x:c r="H32" s="20" t="n">
        <x:f>IF(AND('02 Architectures'!C8="A3",OR(G7="ONE_LINE",G7="CORRIDOR")),0.5,G32)</x:f>
        <x:v>0.5</x:v>
      </x:c>
      <x:c r="I32" s="20" t="n">
        <x:f>IF(G7="STORAGE",MAX(('02 Architectures'!K8-H7)/'02 Architectures'!K8,0),1)</x:f>
        <x:v>1</x:v>
      </x:c>
      <x:c r="J32" s="21" t="n">
        <x:f>IF(G7="STORAGE",0,IF(AND('02 Architectures'!C8="A3",OR(G7="ONE_LINE",G7="CORRIDOR")),MIN('01 Controls'!$D$14,F7,'01 Controls'!$D$8),MIN(F7,'01 Controls'!$D$8)))</x:f>
        <x:v>6</x:v>
      </x:c>
      <x:c r="K32" s="21" t="n">
        <x:f>'02 Architectures'!AD8*E7*I32</x:f>
        <x:v>0</x:v>
      </x:c>
      <x:c r="L32" s="21" t="n">
        <x:f>MAX(K7-G32,0)*'01 Controls'!$D$6*J32/24</x:f>
        <x:v>1250</x:v>
      </x:c>
      <x:c r="M32" s="20" t="n">
        <x:f>IF(I7=0,0,IF(G7="STORAGE",I32,IF(G32&gt;=K7,G32,IF(K32&gt;=L32,K7,G32))))</x:f>
        <x:v>0</x:v>
      </x:c>
      <x:c r="N32" s="20" t="n">
        <x:f>K7</x:f>
        <x:v>0.5</x:v>
      </x:c>
      <x:c r="O32" s="15" t="str">
        <x:f>IF(M32&gt;=N32,"PASS","FAIL")</x:f>
        <x:v>FAIL</x:v>
      </x:c>
      <x:c r="P32" s="15" t="str">
        <x:v>UNTESTED</x:v>
      </x:c>
    </x:row>
    <x:row r="33" ht="44" customHeight="1">
      <x:c r="C33" s="11" t="str">
        <x:f>'02 Architectures'!C8</x:f>
        <x:v>A3</x:v>
      </x:c>
      <x:c r="D33" s="15" t="str">
        <x:f>C8</x:f>
        <x:v>W3</x:v>
      </x:c>
      <x:c r="E33" s="15" t="str">
        <x:f>D8</x:f>
        <x:v>One-line rupture at half charge and delayed repair</x:v>
      </x:c>
      <x:c r="F33" s="20" t="n">
        <x:f>E8</x:f>
        <x:v>0.5</x:v>
      </x:c>
      <x:c r="G33" s="20" t="n">
        <x:f>IF(G8="ONE_LINE",'02 Architectures'!AL8,IF(G8="CORRIDOR",IF('02 Architectures'!C8="A4",0.5,0),IF(OR(G8="STORAGE",G8="ALL_INFLOW",G8="RECEIVER"),0,1)))</x:f>
        <x:v>0</x:v>
      </x:c>
      <x:c r="H33" s="20" t="n">
        <x:f>IF(AND('02 Architectures'!C8="A3",OR(G8="ONE_LINE",G8="CORRIDOR")),0.5,G33)</x:f>
        <x:v>0.5</x:v>
      </x:c>
      <x:c r="I33" s="20" t="n">
        <x:f>IF(G8="STORAGE",MAX(('02 Architectures'!K8-H8)/'02 Architectures'!K8,0),1)</x:f>
        <x:v>1</x:v>
      </x:c>
      <x:c r="J33" s="21" t="n">
        <x:f>IF(G8="STORAGE",0,IF(AND('02 Architectures'!C8="A3",OR(G8="ONE_LINE",G8="CORRIDOR")),MIN('01 Controls'!$D$14,F8,'01 Controls'!$D$8),MIN(F8,'01 Controls'!$D$8)))</x:f>
        <x:v>6</x:v>
      </x:c>
      <x:c r="K33" s="21" t="n">
        <x:f>'02 Architectures'!AD8*E8*I33</x:f>
        <x:v>2125</x:v>
      </x:c>
      <x:c r="L33" s="21" t="n">
        <x:f>MAX(K8-G33,0)*'01 Controls'!$D$6*J33/24</x:f>
        <x:v>1250</x:v>
      </x:c>
      <x:c r="M33" s="20" t="n">
        <x:f>IF(I8=0,0,IF(G8="STORAGE",I33,IF(G33&gt;=K8,G33,IF(K33&gt;=L33,K8,G33))))</x:f>
        <x:v>0.5</x:v>
      </x:c>
      <x:c r="N33" s="20" t="n">
        <x:f>K8</x:f>
        <x:v>0.5</x:v>
      </x:c>
      <x:c r="O33" s="15" t="str">
        <x:f>IF(M33&gt;=N33,"PASS","FAIL")</x:f>
        <x:v>PASS</x:v>
      </x:c>
      <x:c r="P33" s="15" t="str">
        <x:v>UNTESTED</x:v>
      </x:c>
    </x:row>
    <x:row r="34" ht="44" customHeight="1">
      <x:c r="C34" s="11" t="str">
        <x:f>'02 Architectures'!C8</x:f>
        <x:v>A3</x:v>
      </x:c>
      <x:c r="D34" s="15" t="str">
        <x:f>C9</x:f>
        <x:v>W4</x:v>
      </x:c>
      <x:c r="E34" s="15" t="str">
        <x:f>D9</x:f>
        <x:v>Common-corridor severance</x:v>
      </x:c>
      <x:c r="F34" s="20" t="n">
        <x:f>E9</x:f>
        <x:v>1</x:v>
      </x:c>
      <x:c r="G34" s="20" t="n">
        <x:f>IF(G9="ONE_LINE",'02 Architectures'!AL8,IF(G9="CORRIDOR",IF('02 Architectures'!C8="A4",0.5,0),IF(OR(G9="STORAGE",G9="ALL_INFLOW",G9="RECEIVER"),0,1)))</x:f>
        <x:v>0</x:v>
      </x:c>
      <x:c r="H34" s="20" t="n">
        <x:f>IF(AND('02 Architectures'!C8="A3",OR(G9="ONE_LINE",G9="CORRIDOR")),0.5,G34)</x:f>
        <x:v>0.5</x:v>
      </x:c>
      <x:c r="I34" s="20" t="n">
        <x:f>IF(G9="STORAGE",MAX(('02 Architectures'!K8-H9)/'02 Architectures'!K8,0),1)</x:f>
        <x:v>1</x:v>
      </x:c>
      <x:c r="J34" s="21" t="n">
        <x:f>IF(G9="STORAGE",0,IF(AND('02 Architectures'!C8="A3",OR(G9="ONE_LINE",G9="CORRIDOR")),MIN('01 Controls'!$D$14,F9,'01 Controls'!$D$8),MIN(F9,'01 Controls'!$D$8)))</x:f>
        <x:v>6</x:v>
      </x:c>
      <x:c r="K34" s="21" t="n">
        <x:f>'02 Architectures'!AD8*E9*I34</x:f>
        <x:v>4250</x:v>
      </x:c>
      <x:c r="L34" s="21" t="n">
        <x:f>MAX(K9-G34,0)*'01 Controls'!$D$6*J34/24</x:f>
        <x:v>1250</x:v>
      </x:c>
      <x:c r="M34" s="20" t="n">
        <x:f>IF(I9=0,0,IF(G9="STORAGE",I34,IF(G34&gt;=K9,G34,IF(K34&gt;=L34,K9,G34))))</x:f>
        <x:v>0.5</x:v>
      </x:c>
      <x:c r="N34" s="20" t="n">
        <x:f>K9</x:f>
        <x:v>0.5</x:v>
      </x:c>
      <x:c r="O34" s="15" t="str">
        <x:f>IF(M34&gt;=N34,"PASS","FAIL")</x:f>
        <x:v>PASS</x:v>
      </x:c>
      <x:c r="P34" s="15" t="str">
        <x:v>UNTESTED</x:v>
      </x:c>
    </x:row>
    <x:row r="35" ht="44" customHeight="1">
      <x:c r="C35" s="11" t="str">
        <x:f>'02 Architectures'!C8</x:f>
        <x:v>A3</x:v>
      </x:c>
      <x:c r="D35" s="15" t="str">
        <x:f>C10</x:f>
        <x:v>W5</x:v>
      </x:c>
      <x:c r="E35" s="15" t="str">
        <x:f>D10</x:f>
        <x:v>One storage sector contaminated during treatment loss</x:v>
      </x:c>
      <x:c r="F35" s="20" t="n">
        <x:f>E10</x:f>
        <x:v>1</x:v>
      </x:c>
      <x:c r="G35" s="20" t="n">
        <x:f>IF(G10="ONE_LINE",'02 Architectures'!AL8,IF(G10="CORRIDOR",IF('02 Architectures'!C8="A4",0.5,0),IF(OR(G10="STORAGE",G10="ALL_INFLOW",G10="RECEIVER"),0,1)))</x:f>
        <x:v>0</x:v>
      </x:c>
      <x:c r="H35" s="20" t="n">
        <x:f>IF(AND('02 Architectures'!C8="A3",OR(G10="ONE_LINE",G10="CORRIDOR")),0.5,G35)</x:f>
        <x:v>0</x:v>
      </x:c>
      <x:c r="I35" s="20" t="n">
        <x:f>IF(G10="STORAGE",MAX(('02 Architectures'!K8-H10)/'02 Architectures'!K8,0),1)</x:f>
        <x:v>0.5</x:v>
      </x:c>
      <x:c r="J35" s="21" t="n">
        <x:f>IF(G10="STORAGE",0,IF(AND('02 Architectures'!C8="A3",OR(G10="ONE_LINE",G10="CORRIDOR")),MIN('01 Controls'!$D$14,F10,'01 Controls'!$D$8),MIN(F10,'01 Controls'!$D$8)))</x:f>
        <x:v>0</x:v>
      </x:c>
      <x:c r="K35" s="21" t="n">
        <x:f>'02 Architectures'!AD8*E10*I35</x:f>
        <x:v>2125</x:v>
      </x:c>
      <x:c r="L35" s="21" t="n">
        <x:f>MAX(K10-G35,0)*'01 Controls'!$D$6*J35/24</x:f>
        <x:v>0</x:v>
      </x:c>
      <x:c r="M35" s="20" t="n">
        <x:f>IF(I10=0,0,IF(G10="STORAGE",I35,IF(G35&gt;=K10,G35,IF(K35&gt;=L35,K10,G35))))</x:f>
        <x:v>0.5</x:v>
      </x:c>
      <x:c r="N35" s="20" t="n">
        <x:f>K10</x:f>
        <x:v>0.5</x:v>
      </x:c>
      <x:c r="O35" s="15" t="str">
        <x:f>IF(M35&gt;=N35,"PASS","FAIL")</x:f>
        <x:v>PASS</x:v>
      </x:c>
      <x:c r="P35" s="15" t="str">
        <x:v>UNTESTED</x:v>
      </x:c>
    </x:row>
    <x:row r="36" ht="44" customHeight="1">
      <x:c r="C36" s="11" t="str">
        <x:f>'02 Architectures'!C8</x:f>
        <x:v>A3</x:v>
      </x:c>
      <x:c r="D36" s="15" t="str">
        <x:f>C11</x:f>
        <x:v>W6</x:v>
      </x:c>
      <x:c r="E36" s="15" t="str">
        <x:f>D11</x:f>
        <x:v>Treatment train unavailable</x:v>
      </x:c>
      <x:c r="F36" s="20" t="n">
        <x:f>E11</x:f>
        <x:v>1</x:v>
      </x:c>
      <x:c r="G36" s="20" t="n">
        <x:f>IF(G11="ONE_LINE",'02 Architectures'!AL8,IF(G11="CORRIDOR",IF('02 Architectures'!C8="A4",0.5,0),IF(OR(G11="STORAGE",G11="ALL_INFLOW",G11="RECEIVER"),0,1)))</x:f>
        <x:v>0</x:v>
      </x:c>
      <x:c r="H36" s="20" t="n">
        <x:f>IF(AND('02 Architectures'!C8="A3",OR(G11="ONE_LINE",G11="CORRIDOR")),0.5,G36)</x:f>
        <x:v>0</x:v>
      </x:c>
      <x:c r="I36" s="20" t="n">
        <x:f>IF(G11="STORAGE",MAX(('02 Architectures'!K8-H11)/'02 Architectures'!K8,0),1)</x:f>
        <x:v>1</x:v>
      </x:c>
      <x:c r="J36" s="21" t="n">
        <x:f>IF(G11="STORAGE",0,IF(AND('02 Architectures'!C8="A3",OR(G11="ONE_LINE",G11="CORRIDOR")),MIN('01 Controls'!$D$14,F11,'01 Controls'!$D$8),MIN(F11,'01 Controls'!$D$8)))</x:f>
        <x:v>24</x:v>
      </x:c>
      <x:c r="K36" s="21" t="n">
        <x:f>'02 Architectures'!AD8*E11*I36</x:f>
        <x:v>4250</x:v>
      </x:c>
      <x:c r="L36" s="21" t="n">
        <x:f>MAX(K11-G36,0)*'01 Controls'!$D$6*J36/24</x:f>
        <x:v>5000</x:v>
      </x:c>
      <x:c r="M36" s="20" t="n">
        <x:f>IF(I11=0,0,IF(G11="STORAGE",I36,IF(G36&gt;=K11,G36,IF(K36&gt;=L36,K11,G36))))</x:f>
        <x:v>0</x:v>
      </x:c>
      <x:c r="N36" s="20" t="n">
        <x:f>K11</x:f>
        <x:v>0.5</x:v>
      </x:c>
      <x:c r="O36" s="15" t="str">
        <x:f>IF(M36&gt;=N36,"PASS","FAIL")</x:f>
        <x:v>FAIL</x:v>
      </x:c>
      <x:c r="P36" s="15" t="str">
        <x:v>UNTESTED</x:v>
      </x:c>
    </x:row>
    <x:row r="37" ht="44" customHeight="1">
      <x:c r="C37" s="11" t="str">
        <x:f>'02 Architectures'!C8</x:f>
        <x:v>A3</x:v>
      </x:c>
      <x:c r="D37" s="15" t="str">
        <x:f>C12</x:f>
        <x:v>W7</x:v>
      </x:c>
      <x:c r="E37" s="15" t="str">
        <x:f>D12</x:f>
        <x:v>Receiver-wide contamination hold</x:v>
      </x:c>
      <x:c r="F37" s="20" t="n">
        <x:f>E12</x:f>
        <x:v>1</x:v>
      </x:c>
      <x:c r="G37" s="20" t="n">
        <x:f>IF(G12="ONE_LINE",'02 Architectures'!AL8,IF(G12="CORRIDOR",IF('02 Architectures'!C8="A4",0.5,0),IF(OR(G12="STORAGE",G12="ALL_INFLOW",G12="RECEIVER"),0,1)))</x:f>
        <x:v>0</x:v>
      </x:c>
      <x:c r="H37" s="20" t="n">
        <x:f>IF(AND('02 Architectures'!C8="A3",OR(G12="ONE_LINE",G12="CORRIDOR")),0.5,G37)</x:f>
        <x:v>0</x:v>
      </x:c>
      <x:c r="I37" s="20" t="n">
        <x:f>IF(G12="STORAGE",MAX(('02 Architectures'!K8-H12)/'02 Architectures'!K8,0),1)</x:f>
        <x:v>1</x:v>
      </x:c>
      <x:c r="J37" s="21" t="n">
        <x:f>IF(G12="STORAGE",0,IF(AND('02 Architectures'!C8="A3",OR(G12="ONE_LINE",G12="CORRIDOR")),MIN('01 Controls'!$D$14,F12,'01 Controls'!$D$8),MIN(F12,'01 Controls'!$D$8)))</x:f>
        <x:v>24</x:v>
      </x:c>
      <x:c r="K37" s="21" t="n">
        <x:f>'02 Architectures'!AD8*E12*I37</x:f>
        <x:v>4250</x:v>
      </x:c>
      <x:c r="L37" s="21" t="n">
        <x:f>MAX(K12-G37,0)*'01 Controls'!$D$6*J37/24</x:f>
        <x:v>5000</x:v>
      </x:c>
      <x:c r="M37" s="20" t="n">
        <x:f>IF(I12=0,0,IF(G12="STORAGE",I37,IF(G37&gt;=K12,G37,IF(K37&gt;=L37,K12,G37))))</x:f>
        <x:v>0</x:v>
      </x:c>
      <x:c r="N37" s="20" t="n">
        <x:f>K12</x:f>
        <x:v>0.5</x:v>
      </x:c>
      <x:c r="O37" s="15" t="str">
        <x:f>IF(M37&gt;=N37,"PASS","FAIL")</x:f>
        <x:v>FAIL</x:v>
      </x:c>
      <x:c r="P37" s="15" t="str">
        <x:v>UNTESTED</x:v>
      </x:c>
    </x:row>
    <x:row r="38" ht="44" customHeight="1">
      <x:c r="C38" s="11" t="str">
        <x:f>'02 Architectures'!C9</x:f>
        <x:v>A4</x:v>
      </x:c>
      <x:c r="D38" s="15" t="str">
        <x:f>C6</x:f>
        <x:v>W1</x:v>
      </x:c>
      <x:c r="E38" s="15" t="str">
        <x:f>D6</x:f>
        <x:v>One-line rupture after full charge</x:v>
      </x:c>
      <x:c r="F38" s="20" t="n">
        <x:f>E6</x:f>
        <x:v>1</x:v>
      </x:c>
      <x:c r="G38" s="20" t="n">
        <x:f>IF(G6="ONE_LINE",'02 Architectures'!AL9,IF(G6="CORRIDOR",IF('02 Architectures'!C9="A4",0.5,0),IF(OR(G6="STORAGE",G6="ALL_INFLOW",G6="RECEIVER"),0,1)))</x:f>
        <x:v>0.5</x:v>
      </x:c>
      <x:c r="H38" s="20" t="n">
        <x:f>IF(AND('02 Architectures'!C9="A3",OR(G6="ONE_LINE",G6="CORRIDOR")),0.5,G38)</x:f>
        <x:v>0.5</x:v>
      </x:c>
      <x:c r="I38" s="20" t="n">
        <x:f>IF(G6="STORAGE",MAX(('02 Architectures'!K9-H6)/'02 Architectures'!K9,0),1)</x:f>
        <x:v>1</x:v>
      </x:c>
      <x:c r="J38" s="21" t="n">
        <x:f>IF(G6="STORAGE",0,IF(AND('02 Architectures'!C9="A3",OR(G6="ONE_LINE",G6="CORRIDOR")),MIN('01 Controls'!$D$14,F6,'01 Controls'!$D$8),MIN(F6,'01 Controls'!$D$8)))</x:f>
        <x:v>18</x:v>
      </x:c>
      <x:c r="K38" s="21" t="n">
        <x:f>'02 Architectures'!AD9*E6*I38</x:f>
        <x:v>8500</x:v>
      </x:c>
      <x:c r="L38" s="21" t="n">
        <x:f>MAX(K6-G38,0)*'01 Controls'!$D$6*J38/24</x:f>
        <x:v>0</x:v>
      </x:c>
      <x:c r="M38" s="20" t="n">
        <x:f>IF(I6=0,0,IF(G6="STORAGE",I38,IF(G38&gt;=K6,G38,IF(K38&gt;=L38,K6,G38))))</x:f>
        <x:v>0.5</x:v>
      </x:c>
      <x:c r="N38" s="20" t="n">
        <x:f>K6</x:f>
        <x:v>0.5</x:v>
      </x:c>
      <x:c r="O38" s="15" t="str">
        <x:f>IF(M38&gt;=N38,"PASS","FAIL")</x:f>
        <x:v>PASS</x:v>
      </x:c>
      <x:c r="P38" s="15" t="str">
        <x:v>UNTESTED</x:v>
      </x:c>
    </x:row>
    <x:row r="39" ht="44" customHeight="1">
      <x:c r="C39" s="11" t="str">
        <x:f>'02 Architectures'!C9</x:f>
        <x:v>A4</x:v>
      </x:c>
      <x:c r="D39" s="15" t="str">
        <x:f>C7</x:f>
        <x:v>W2</x:v>
      </x:c>
      <x:c r="E39" s="15" t="str">
        <x:f>D7</x:f>
        <x:v>One-line rupture at first water</x:v>
      </x:c>
      <x:c r="F39" s="20" t="n">
        <x:f>E7</x:f>
        <x:v>0</x:v>
      </x:c>
      <x:c r="G39" s="20" t="n">
        <x:f>IF(G7="ONE_LINE",'02 Architectures'!AL9,IF(G7="CORRIDOR",IF('02 Architectures'!C9="A4",0.5,0),IF(OR(G7="STORAGE",G7="ALL_INFLOW",G7="RECEIVER"),0,1)))</x:f>
        <x:v>0.5</x:v>
      </x:c>
      <x:c r="H39" s="20" t="n">
        <x:f>IF(AND('02 Architectures'!C9="A3",OR(G7="ONE_LINE",G7="CORRIDOR")),0.5,G39)</x:f>
        <x:v>0.5</x:v>
      </x:c>
      <x:c r="I39" s="20" t="n">
        <x:f>IF(G7="STORAGE",MAX(('02 Architectures'!K9-H7)/'02 Architectures'!K9,0),1)</x:f>
        <x:v>1</x:v>
      </x:c>
      <x:c r="J39" s="21" t="n">
        <x:f>IF(G7="STORAGE",0,IF(AND('02 Architectures'!C9="A3",OR(G7="ONE_LINE",G7="CORRIDOR")),MIN('01 Controls'!$D$14,F7,'01 Controls'!$D$8),MIN(F7,'01 Controls'!$D$8)))</x:f>
        <x:v>18</x:v>
      </x:c>
      <x:c r="K39" s="21" t="n">
        <x:f>'02 Architectures'!AD9*E7*I39</x:f>
        <x:v>0</x:v>
      </x:c>
      <x:c r="L39" s="21" t="n">
        <x:f>MAX(K7-G39,0)*'01 Controls'!$D$6*J39/24</x:f>
        <x:v>0</x:v>
      </x:c>
      <x:c r="M39" s="20" t="n">
        <x:f>IF(I7=0,0,IF(G7="STORAGE",I39,IF(G39&gt;=K7,G39,IF(K39&gt;=L39,K7,G39))))</x:f>
        <x:v>0.5</x:v>
      </x:c>
      <x:c r="N39" s="20" t="n">
        <x:f>K7</x:f>
        <x:v>0.5</x:v>
      </x:c>
      <x:c r="O39" s="15" t="str">
        <x:f>IF(M39&gt;=N39,"PASS","FAIL")</x:f>
        <x:v>PASS</x:v>
      </x:c>
      <x:c r="P39" s="15" t="str">
        <x:v>UNTESTED</x:v>
      </x:c>
    </x:row>
    <x:row r="40" ht="44" customHeight="1">
      <x:c r="C40" s="11" t="str">
        <x:f>'02 Architectures'!C9</x:f>
        <x:v>A4</x:v>
      </x:c>
      <x:c r="D40" s="15" t="str">
        <x:f>C8</x:f>
        <x:v>W3</x:v>
      </x:c>
      <x:c r="E40" s="15" t="str">
        <x:f>D8</x:f>
        <x:v>One-line rupture at half charge and delayed repair</x:v>
      </x:c>
      <x:c r="F40" s="20" t="n">
        <x:f>E8</x:f>
        <x:v>0.5</x:v>
      </x:c>
      <x:c r="G40" s="20" t="n">
        <x:f>IF(G8="ONE_LINE",'02 Architectures'!AL9,IF(G8="CORRIDOR",IF('02 Architectures'!C9="A4",0.5,0),IF(OR(G8="STORAGE",G8="ALL_INFLOW",G8="RECEIVER"),0,1)))</x:f>
        <x:v>0.5</x:v>
      </x:c>
      <x:c r="H40" s="20" t="n">
        <x:f>IF(AND('02 Architectures'!C9="A3",OR(G8="ONE_LINE",G8="CORRIDOR")),0.5,G40)</x:f>
        <x:v>0.5</x:v>
      </x:c>
      <x:c r="I40" s="20" t="n">
        <x:f>IF(G8="STORAGE",MAX(('02 Architectures'!K9-H8)/'02 Architectures'!K9,0),1)</x:f>
        <x:v>1</x:v>
      </x:c>
      <x:c r="J40" s="21" t="n">
        <x:f>IF(G8="STORAGE",0,IF(AND('02 Architectures'!C9="A3",OR(G8="ONE_LINE",G8="CORRIDOR")),MIN('01 Controls'!$D$14,F8,'01 Controls'!$D$8),MIN(F8,'01 Controls'!$D$8)))</x:f>
        <x:v>24</x:v>
      </x:c>
      <x:c r="K40" s="21" t="n">
        <x:f>'02 Architectures'!AD9*E8*I40</x:f>
        <x:v>4250</x:v>
      </x:c>
      <x:c r="L40" s="21" t="n">
        <x:f>MAX(K8-G40,0)*'01 Controls'!$D$6*J40/24</x:f>
        <x:v>0</x:v>
      </x:c>
      <x:c r="M40" s="20" t="n">
        <x:f>IF(I8=0,0,IF(G8="STORAGE",I40,IF(G40&gt;=K8,G40,IF(K40&gt;=L40,K8,G40))))</x:f>
        <x:v>0.5</x:v>
      </x:c>
      <x:c r="N40" s="20" t="n">
        <x:f>K8</x:f>
        <x:v>0.5</x:v>
      </x:c>
      <x:c r="O40" s="15" t="str">
        <x:f>IF(M40&gt;=N40,"PASS","FAIL")</x:f>
        <x:v>PASS</x:v>
      </x:c>
      <x:c r="P40" s="15" t="str">
        <x:v>UNTESTED</x:v>
      </x:c>
    </x:row>
    <x:row r="41" ht="44" customHeight="1">
      <x:c r="C41" s="11" t="str">
        <x:f>'02 Architectures'!C9</x:f>
        <x:v>A4</x:v>
      </x:c>
      <x:c r="D41" s="15" t="str">
        <x:f>C9</x:f>
        <x:v>W4</x:v>
      </x:c>
      <x:c r="E41" s="15" t="str">
        <x:f>D9</x:f>
        <x:v>Common-corridor severance</x:v>
      </x:c>
      <x:c r="F41" s="20" t="n">
        <x:f>E9</x:f>
        <x:v>1</x:v>
      </x:c>
      <x:c r="G41" s="20" t="n">
        <x:f>IF(G9="ONE_LINE",'02 Architectures'!AL9,IF(G9="CORRIDOR",IF('02 Architectures'!C9="A4",0.5,0),IF(OR(G9="STORAGE",G9="ALL_INFLOW",G9="RECEIVER"),0,1)))</x:f>
        <x:v>0.5</x:v>
      </x:c>
      <x:c r="H41" s="20" t="n">
        <x:f>IF(AND('02 Architectures'!C9="A3",OR(G9="ONE_LINE",G9="CORRIDOR")),0.5,G41)</x:f>
        <x:v>0.5</x:v>
      </x:c>
      <x:c r="I41" s="20" t="n">
        <x:f>IF(G9="STORAGE",MAX(('02 Architectures'!K9-H9)/'02 Architectures'!K9,0),1)</x:f>
        <x:v>1</x:v>
      </x:c>
      <x:c r="J41" s="21" t="n">
        <x:f>IF(G9="STORAGE",0,IF(AND('02 Architectures'!C9="A3",OR(G9="ONE_LINE",G9="CORRIDOR")),MIN('01 Controls'!$D$14,F9,'01 Controls'!$D$8),MIN(F9,'01 Controls'!$D$8)))</x:f>
        <x:v>24</x:v>
      </x:c>
      <x:c r="K41" s="21" t="n">
        <x:f>'02 Architectures'!AD9*E9*I41</x:f>
        <x:v>8500</x:v>
      </x:c>
      <x:c r="L41" s="21" t="n">
        <x:f>MAX(K9-G41,0)*'01 Controls'!$D$6*J41/24</x:f>
        <x:v>0</x:v>
      </x:c>
      <x:c r="M41" s="20" t="n">
        <x:f>IF(I9=0,0,IF(G9="STORAGE",I41,IF(G41&gt;=K9,G41,IF(K41&gt;=L41,K9,G41))))</x:f>
        <x:v>0.5</x:v>
      </x:c>
      <x:c r="N41" s="20" t="n">
        <x:f>K9</x:f>
        <x:v>0.5</x:v>
      </x:c>
      <x:c r="O41" s="15" t="str">
        <x:f>IF(M41&gt;=N41,"PASS","FAIL")</x:f>
        <x:v>PASS</x:v>
      </x:c>
      <x:c r="P41" s="15" t="str">
        <x:v>UNTESTED</x:v>
      </x:c>
    </x:row>
    <x:row r="42" ht="44" customHeight="1">
      <x:c r="C42" s="11" t="str">
        <x:f>'02 Architectures'!C9</x:f>
        <x:v>A4</x:v>
      </x:c>
      <x:c r="D42" s="15" t="str">
        <x:f>C10</x:f>
        <x:v>W5</x:v>
      </x:c>
      <x:c r="E42" s="15" t="str">
        <x:f>D10</x:f>
        <x:v>One storage sector contaminated during treatment loss</x:v>
      </x:c>
      <x:c r="F42" s="20" t="n">
        <x:f>E10</x:f>
        <x:v>1</x:v>
      </x:c>
      <x:c r="G42" s="20" t="n">
        <x:f>IF(G10="ONE_LINE",'02 Architectures'!AL9,IF(G10="CORRIDOR",IF('02 Architectures'!C9="A4",0.5,0),IF(OR(G10="STORAGE",G10="ALL_INFLOW",G10="RECEIVER"),0,1)))</x:f>
        <x:v>0</x:v>
      </x:c>
      <x:c r="H42" s="20" t="n">
        <x:f>IF(AND('02 Architectures'!C9="A3",OR(G10="ONE_LINE",G10="CORRIDOR")),0.5,G42)</x:f>
        <x:v>0</x:v>
      </x:c>
      <x:c r="I42" s="20" t="n">
        <x:f>IF(G10="STORAGE",MAX(('02 Architectures'!K9-H10)/'02 Architectures'!K9,0),1)</x:f>
        <x:v>0.75</x:v>
      </x:c>
      <x:c r="J42" s="21" t="n">
        <x:f>IF(G10="STORAGE",0,IF(AND('02 Architectures'!C9="A3",OR(G10="ONE_LINE",G10="CORRIDOR")),MIN('01 Controls'!$D$14,F10,'01 Controls'!$D$8),MIN(F10,'01 Controls'!$D$8)))</x:f>
        <x:v>0</x:v>
      </x:c>
      <x:c r="K42" s="21" t="n">
        <x:f>'02 Architectures'!AD9*E10*I42</x:f>
        <x:v>6375</x:v>
      </x:c>
      <x:c r="L42" s="21" t="n">
        <x:f>MAX(K10-G42,0)*'01 Controls'!$D$6*J42/24</x:f>
        <x:v>0</x:v>
      </x:c>
      <x:c r="M42" s="20" t="n">
        <x:f>IF(I10=0,0,IF(G10="STORAGE",I42,IF(G42&gt;=K10,G42,IF(K42&gt;=L42,K10,G42))))</x:f>
        <x:v>0.75</x:v>
      </x:c>
      <x:c r="N42" s="20" t="n">
        <x:f>K10</x:f>
        <x:v>0.5</x:v>
      </x:c>
      <x:c r="O42" s="15" t="str">
        <x:f>IF(M42&gt;=N42,"PASS","FAIL")</x:f>
        <x:v>PASS</x:v>
      </x:c>
      <x:c r="P42" s="15" t="str">
        <x:v>UNTESTED</x:v>
      </x:c>
    </x:row>
    <x:row r="43" ht="44" customHeight="1">
      <x:c r="C43" s="11" t="str">
        <x:f>'02 Architectures'!C9</x:f>
        <x:v>A4</x:v>
      </x:c>
      <x:c r="D43" s="15" t="str">
        <x:f>C11</x:f>
        <x:v>W6</x:v>
      </x:c>
      <x:c r="E43" s="15" t="str">
        <x:f>D11</x:f>
        <x:v>Treatment train unavailable</x:v>
      </x:c>
      <x:c r="F43" s="20" t="n">
        <x:f>E11</x:f>
        <x:v>1</x:v>
      </x:c>
      <x:c r="G43" s="20" t="n">
        <x:f>IF(G11="ONE_LINE",'02 Architectures'!AL9,IF(G11="CORRIDOR",IF('02 Architectures'!C9="A4",0.5,0),IF(OR(G11="STORAGE",G11="ALL_INFLOW",G11="RECEIVER"),0,1)))</x:f>
        <x:v>0</x:v>
      </x:c>
      <x:c r="H43" s="20" t="n">
        <x:f>IF(AND('02 Architectures'!C9="A3",OR(G11="ONE_LINE",G11="CORRIDOR")),0.5,G43)</x:f>
        <x:v>0</x:v>
      </x:c>
      <x:c r="I43" s="20" t="n">
        <x:f>IF(G11="STORAGE",MAX(('02 Architectures'!K9-H11)/'02 Architectures'!K9,0),1)</x:f>
        <x:v>1</x:v>
      </x:c>
      <x:c r="J43" s="21" t="n">
        <x:f>IF(G11="STORAGE",0,IF(AND('02 Architectures'!C9="A3",OR(G11="ONE_LINE",G11="CORRIDOR")),MIN('01 Controls'!$D$14,F11,'01 Controls'!$D$8),MIN(F11,'01 Controls'!$D$8)))</x:f>
        <x:v>24</x:v>
      </x:c>
      <x:c r="K43" s="21" t="n">
        <x:f>'02 Architectures'!AD9*E11*I43</x:f>
        <x:v>8500</x:v>
      </x:c>
      <x:c r="L43" s="21" t="n">
        <x:f>MAX(K11-G43,0)*'01 Controls'!$D$6*J43/24</x:f>
        <x:v>5000</x:v>
      </x:c>
      <x:c r="M43" s="20" t="n">
        <x:f>IF(I11=0,0,IF(G11="STORAGE",I43,IF(G43&gt;=K11,G43,IF(K43&gt;=L43,K11,G43))))</x:f>
        <x:v>0.5</x:v>
      </x:c>
      <x:c r="N43" s="20" t="n">
        <x:f>K11</x:f>
        <x:v>0.5</x:v>
      </x:c>
      <x:c r="O43" s="15" t="str">
        <x:f>IF(M43&gt;=N43,"PASS","FAIL")</x:f>
        <x:v>PASS</x:v>
      </x:c>
      <x:c r="P43" s="15" t="str">
        <x:v>UNTESTED</x:v>
      </x:c>
    </x:row>
    <x:row r="44" ht="44" customHeight="1">
      <x:c r="C44" s="11" t="str">
        <x:f>'02 Architectures'!C9</x:f>
        <x:v>A4</x:v>
      </x:c>
      <x:c r="D44" s="15" t="str">
        <x:f>C12</x:f>
        <x:v>W7</x:v>
      </x:c>
      <x:c r="E44" s="15" t="str">
        <x:f>D12</x:f>
        <x:v>Receiver-wide contamination hold</x:v>
      </x:c>
      <x:c r="F44" s="20" t="n">
        <x:f>E12</x:f>
        <x:v>1</x:v>
      </x:c>
      <x:c r="G44" s="20" t="n">
        <x:f>IF(G12="ONE_LINE",'02 Architectures'!AL9,IF(G12="CORRIDOR",IF('02 Architectures'!C9="A4",0.5,0),IF(OR(G12="STORAGE",G12="ALL_INFLOW",G12="RECEIVER"),0,1)))</x:f>
        <x:v>0</x:v>
      </x:c>
      <x:c r="H44" s="20" t="n">
        <x:f>IF(AND('02 Architectures'!C9="A3",OR(G12="ONE_LINE",G12="CORRIDOR")),0.5,G44)</x:f>
        <x:v>0</x:v>
      </x:c>
      <x:c r="I44" s="20" t="n">
        <x:f>IF(G12="STORAGE",MAX(('02 Architectures'!K9-H12)/'02 Architectures'!K9,0),1)</x:f>
        <x:v>1</x:v>
      </x:c>
      <x:c r="J44" s="21" t="n">
        <x:f>IF(G12="STORAGE",0,IF(AND('02 Architectures'!C9="A3",OR(G12="ONE_LINE",G12="CORRIDOR")),MIN('01 Controls'!$D$14,F12,'01 Controls'!$D$8),MIN(F12,'01 Controls'!$D$8)))</x:f>
        <x:v>24</x:v>
      </x:c>
      <x:c r="K44" s="21" t="n">
        <x:f>'02 Architectures'!AD9*E12*I44</x:f>
        <x:v>8500</x:v>
      </x:c>
      <x:c r="L44" s="21" t="n">
        <x:f>MAX(K12-G44,0)*'01 Controls'!$D$6*J44/24</x:f>
        <x:v>5000</x:v>
      </x:c>
      <x:c r="M44" s="20" t="n">
        <x:f>IF(I12=0,0,IF(G12="STORAGE",I44,IF(G44&gt;=K12,G44,IF(K44&gt;=L44,K12,G44))))</x:f>
        <x:v>0</x:v>
      </x:c>
      <x:c r="N44" s="20" t="n">
        <x:f>K12</x:f>
        <x:v>0.5</x:v>
      </x:c>
      <x:c r="O44" s="15" t="str">
        <x:f>IF(M44&gt;=N44,"PASS","FAIL")</x:f>
        <x:v>FAIL</x:v>
      </x:c>
      <x:c r="P44" s="15" t="str">
        <x:v>UNTESTED</x:v>
      </x:c>
    </x:row>
    <x:row r="48">
      <x:c r="C48" s="9" t="str">
        <x:v>Architecture</x:v>
      </x:c>
      <x:c r="D48" s="9" t="str">
        <x:v>Worlds</x:v>
      </x:c>
      <x:c r="E48" s="9" t="str">
        <x:v>Declared passes</x:v>
      </x:c>
      <x:c r="F48" s="9" t="str">
        <x:v>Declared failures</x:v>
      </x:c>
      <x:c r="G48" s="9" t="str">
        <x:v>Receiver-hold result</x:v>
      </x:c>
      <x:c r="H48" s="9" t="str">
        <x:v>Uncharged-rupture result</x:v>
      </x:c>
      <x:c r="I48" s="9" t="str">
        <x:v>Treatment-loss result</x:v>
      </x:c>
      <x:c r="J48" s="9" t="str">
        <x:v>Evidence-passing worlds</x:v>
      </x:c>
      <x:c r="K48" s="9" t="str">
        <x:v>Strict admission</x:v>
      </x:c>
    </x:row>
    <x:row r="49" ht="40" customHeight="1">
      <x:c r="C49" s="11" t="str">
        <x:f>'02 Architectures'!C6</x:f>
        <x:v>A1</x:v>
      </x:c>
      <x:c r="D49" s="11" t="n">
        <x:f>COUNTIFS($C$17:$C$44,C49)</x:f>
        <x:v>7</x:v>
      </x:c>
      <x:c r="E49" s="11" t="n">
        <x:f>COUNTIFS($C$17:$C$44,C49,$O$17:$O$44,"PASS")</x:f>
        <x:v>1</x:v>
      </x:c>
      <x:c r="F49" s="11" t="n">
        <x:f>D49-E49</x:f>
        <x:v>6</x:v>
      </x:c>
      <x:c r="G49" s="11" t="str">
        <x:f>O23</x:f>
        <x:v>FAIL</x:v>
      </x:c>
      <x:c r="H49" s="11" t="str">
        <x:f>O18</x:f>
        <x:v>FAIL</x:v>
      </x:c>
      <x:c r="I49" s="11" t="str">
        <x:f>O22</x:f>
        <x:v>FAIL</x:v>
      </x:c>
      <x:c r="J49" s="11" t="n">
        <x:f>COUNTIFS($C$17:$C$44,C49,$O$17:$O$44,"PASS",$P$17:$P$44,"PASS")</x:f>
        <x:v>0</x:v>
      </x:c>
      <x:c r="K49" s="11" t="str">
        <x:v>DENIED</x:v>
      </x:c>
    </x:row>
    <x:row r="50" ht="40" customHeight="1">
      <x:c r="C50" s="11" t="str">
        <x:f>'02 Architectures'!C7</x:f>
        <x:v>A2</x:v>
      </x:c>
      <x:c r="D50" s="11" t="n">
        <x:f>COUNTIFS($C$17:$C$44,C50)</x:f>
        <x:v>7</x:v>
      </x:c>
      <x:c r="E50" s="11" t="n">
        <x:f>COUNTIFS($C$17:$C$44,C50,$O$17:$O$44,"PASS")</x:f>
        <x:v>4</x:v>
      </x:c>
      <x:c r="F50" s="11" t="n">
        <x:f>D50-E50</x:f>
        <x:v>3</x:v>
      </x:c>
      <x:c r="G50" s="11" t="str">
        <x:f>O30</x:f>
        <x:v>FAIL</x:v>
      </x:c>
      <x:c r="H50" s="11" t="str">
        <x:f>O25</x:f>
        <x:v>PASS</x:v>
      </x:c>
      <x:c r="I50" s="11" t="str">
        <x:f>O29</x:f>
        <x:v>FAIL</x:v>
      </x:c>
      <x:c r="J50" s="11" t="n">
        <x:f>COUNTIFS($C$17:$C$44,C50,$O$17:$O$44,"PASS",$P$17:$P$44,"PASS")</x:f>
        <x:v>0</x:v>
      </x:c>
      <x:c r="K50" s="11" t="str">
        <x:v>DENIED</x:v>
      </x:c>
    </x:row>
    <x:row r="51" ht="40" customHeight="1">
      <x:c r="C51" s="11" t="str">
        <x:f>'02 Architectures'!C8</x:f>
        <x:v>A3</x:v>
      </x:c>
      <x:c r="D51" s="11" t="n">
        <x:f>COUNTIFS($C$17:$C$44,C51)</x:f>
        <x:v>7</x:v>
      </x:c>
      <x:c r="E51" s="11" t="n">
        <x:f>COUNTIFS($C$17:$C$44,C51,$O$17:$O$44,"PASS")</x:f>
        <x:v>4</x:v>
      </x:c>
      <x:c r="F51" s="11" t="n">
        <x:f>D51-E51</x:f>
        <x:v>3</x:v>
      </x:c>
      <x:c r="G51" s="11" t="str">
        <x:f>O37</x:f>
        <x:v>FAIL</x:v>
      </x:c>
      <x:c r="H51" s="11" t="str">
        <x:f>O32</x:f>
        <x:v>FAIL</x:v>
      </x:c>
      <x:c r="I51" s="11" t="str">
        <x:f>O36</x:f>
        <x:v>FAIL</x:v>
      </x:c>
      <x:c r="J51" s="11" t="n">
        <x:f>COUNTIFS($C$17:$C$44,C51,$O$17:$O$44,"PASS",$P$17:$P$44,"PASS")</x:f>
        <x:v>0</x:v>
      </x:c>
      <x:c r="K51" s="11" t="str">
        <x:v>DENIED</x:v>
      </x:c>
    </x:row>
    <x:row r="52" ht="40" customHeight="1">
      <x:c r="C52" s="11" t="str">
        <x:f>'02 Architectures'!C9</x:f>
        <x:v>A4</x:v>
      </x:c>
      <x:c r="D52" s="11" t="n">
        <x:f>COUNTIFS($C$17:$C$44,C52)</x:f>
        <x:v>7</x:v>
      </x:c>
      <x:c r="E52" s="11" t="n">
        <x:f>COUNTIFS($C$17:$C$44,C52,$O$17:$O$44,"PASS")</x:f>
        <x:v>6</x:v>
      </x:c>
      <x:c r="F52" s="11" t="n">
        <x:f>D52-E52</x:f>
        <x:v>1</x:v>
      </x:c>
      <x:c r="G52" s="11" t="str">
        <x:f>O44</x:f>
        <x:v>FAIL</x:v>
      </x:c>
      <x:c r="H52" s="11" t="str">
        <x:f>O39</x:f>
        <x:v>PASS</x:v>
      </x:c>
      <x:c r="I52" s="11" t="str">
        <x:f>O43</x:f>
        <x:v>PASS</x:v>
      </x:c>
      <x:c r="J52" s="11" t="n">
        <x:f>COUNTIFS($C$17:$C$44,C52,$O$17:$O$44,"PASS",$P$17:$P$44,"PASS")</x:f>
        <x:v>0</x:v>
      </x:c>
      <x:c r="K52" s="11" t="str">
        <x:v>DENIED</x:v>
      </x:c>
    </x:row>
  </x:sheetData>
  <x:conditionalFormatting sqref="O17:P44">
    <x:cfRule type="containsText" dxfId="40" priority="1" operator="containsText" text="FAIL"/>
    <x:cfRule type="containsText" dxfId="41" priority="2" operator="containsText" text="DENIED"/>
    <x:cfRule type="containsText" dxfId="42" priority="3" operator="containsText" text="BLOCKED"/>
    <x:cfRule type="containsText" dxfId="43" priority="4" operator="containsText" text="OPEN"/>
    <x:cfRule type="containsText" dxfId="44" priority="5" operator="containsText" text="UNTESTED"/>
    <x:cfRule type="containsText" dxfId="45" priority="6" operator="containsText" text="DECLARED"/>
    <x:cfRule type="containsText" dxfId="46" priority="7" operator="containsText" text="PASS"/>
    <x:cfRule type="containsText" dxfId="47" priority="8" operator="containsText" text="MET"/>
  </x:conditionalFormatting>
  <x:conditionalFormatting sqref="G49:K52">
    <x:cfRule type="containsText" dxfId="48" priority="9" operator="containsText" text="FAIL"/>
    <x:cfRule type="containsText" dxfId="49" priority="10" operator="containsText" text="DENIED"/>
    <x:cfRule type="containsText" dxfId="50" priority="11" operator="containsText" text="BLOCKED"/>
    <x:cfRule type="containsText" dxfId="51" priority="12" operator="containsText" text="OPEN"/>
    <x:cfRule type="containsText" dxfId="52" priority="13" operator="containsText" text="UNTESTED"/>
    <x:cfRule type="containsText" dxfId="53" priority="14" operator="containsText" text="DECLARED"/>
    <x:cfRule type="containsText" dxfId="54" priority="15" operator="containsText" text="PASS"/>
    <x:cfRule type="containsText" dxfId="55" priority="16" operator="containsText" text="MET"/>
  </x:conditionalFormatting>
  <x:pageMargins left="0.7" right="0.7" top="0.75" bottom="0.75" header="0.3" footer="0.3"/>
  <x:tableParts count="2">
    <x:tablePart xmlns:r="http://schemas.openxmlformats.org/officeDocument/2006/relationships" r:id="Rf893a8f75bd04a00"/>
    <x:tablePart xmlns:r="http://schemas.openxmlformats.org/officeDocument/2006/relationships" r:id="Rd971cfda060a4c3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3" max="3" width="29" hidden="0" customWidth="1"/>
    <x:col min="4" max="4" width="21" hidden="0" customWidth="1"/>
    <x:col min="5" max="5" width="31" hidden="0" customWidth="1"/>
    <x:col min="6" max="6" width="23" hidden="0" customWidth="1"/>
    <x:col min="7" max="7" width="25" hidden="0" customWidth="1"/>
    <x:col min="8" max="8" width="23" hidden="0" customWidth="1"/>
    <x:col min="9" max="9" width="18" hidden="0" customWidth="1"/>
    <x:col min="10" max="10" width="21" hidden="0" customWidth="1"/>
    <x:col min="11" max="11" width="22" hidden="0" customWidth="1"/>
    <x:col min="12" max="12" width="18" hidden="0" customWidth="1"/>
  </x:cols>
  <x:sheetData>
    <x:row r="2">
      <x:c r="C2" s="2" t="str">
        <x:v>Architecture-specific program consequence</x:v>
      </x:c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>
      <x:c r="C3" s="3" t="str">
        <x:v>The Pass 64 program is revised only for the twenty-four initial sets and twelve prepared receiver nodes. All values remain declared planning cases.</x:v>
      </x:c>
      <x:c r="D3" s="3"/>
      <x:c r="E3" s="3"/>
      <x:c r="F3" s="3"/>
      <x:c r="G3" s="3"/>
      <x:c r="H3" s="3"/>
      <x:c r="I3" s="3"/>
      <x:c r="J3" s="3"/>
      <x:c r="K3" s="3"/>
      <x:c r="L3" s="3"/>
      <x:c r="M3" s="3"/>
    </x:row>
    <x:row r="5">
      <x:c r="C5" s="9" t="str">
        <x:v>ID</x:v>
      </x:c>
      <x:c r="D5" s="9" t="str">
        <x:v>Pass 64 base $B</x:v>
      </x:c>
      <x:c r="E5" s="9" t="str">
        <x:v>Removed baseline fielding $B</x:v>
      </x:c>
      <x:c r="F5" s="9" t="str">
        <x:v>Equipment fielding $B</x:v>
      </x:c>
      <x:c r="G5" s="9" t="str">
        <x:v>Receiver preparation $B</x:v>
      </x:c>
      <x:c r="H5" s="9" t="str">
        <x:v>Revised program $B</x:v>
      </x:c>
      <x:c r="I5" s="9" t="str">
        <x:v>Delta $B</x:v>
      </x:c>
      <x:c r="J5" s="9" t="str">
        <x:v>Dry mass t/set</x:v>
      </x:c>
      <x:c r="K5" s="9" t="str">
        <x:v>Chargeable t/set</x:v>
      </x:c>
      <x:c r="L5" s="9" t="str">
        <x:v>Cost state</x:v>
      </x:c>
    </x:row>
    <x:row r="6" ht="44" customHeight="1">
      <x:c r="C6" s="11" t="str">
        <x:f>'02 Architectures'!C6</x:f>
        <x:v>A1</x:v>
      </x:c>
      <x:c r="D6" s="22" t="n">
        <x:f>'01 Controls'!$D$35</x:f>
        <x:v>110.4</x:v>
      </x:c>
      <x:c r="E6" s="22" t="n">
        <x:f>'01 Controls'!$D$36*'01 Controls'!$D$38+'01 Controls'!$D$37*'01 Controls'!$D$39</x:f>
        <x:v>36</x:v>
      </x:c>
      <x:c r="F6" s="22" t="n">
        <x:f>'01 Controls'!$D$36*'02 Architectures'!S6</x:f>
        <x:v>28.799999999999997</x:v>
      </x:c>
      <x:c r="G6" s="22" t="n">
        <x:f>'01 Controls'!$D$37*'02 Architectures'!T6</x:f>
        <x:v>7.199999999999999</x:v>
      </x:c>
      <x:c r="H6" s="22" t="n">
        <x:f>D6-E6+F6+G6</x:f>
        <x:v>110.4</x:v>
      </x:c>
      <x:c r="I6" s="22" t="n">
        <x:f>H6-D6</x:f>
        <x:v>0</x:v>
      </x:c>
      <x:c r="J6" s="17" t="n">
        <x:f>'02 Architectures'!AG6</x:f>
        <x:v>3994.265722240284</x:v>
      </x:c>
      <x:c r="K6" s="17" t="n">
        <x:f>'02 Architectures'!AH6</x:f>
        <x:v>4141.547251255103</x:v>
      </x:c>
      <x:c r="L6" s="11" t="str">
        <x:v>DECLARED</x:v>
      </x:c>
    </x:row>
    <x:row r="7" ht="44" customHeight="1">
      <x:c r="C7" s="11" t="str">
        <x:f>'02 Architectures'!C7</x:f>
        <x:v>A2</x:v>
      </x:c>
      <x:c r="D7" s="22" t="n">
        <x:f>'01 Controls'!$D$35</x:f>
        <x:v>110.4</x:v>
      </x:c>
      <x:c r="E7" s="22" t="n">
        <x:f>'01 Controls'!$D$36*'01 Controls'!$D$38+'01 Controls'!$D$37*'01 Controls'!$D$39</x:f>
        <x:v>36</x:v>
      </x:c>
      <x:c r="F7" s="22" t="n">
        <x:f>'01 Controls'!$D$36*'02 Architectures'!S7</x:f>
        <x:v>32.400000000000006</x:v>
      </x:c>
      <x:c r="G7" s="22" t="n">
        <x:f>'01 Controls'!$D$37*'02 Architectures'!T7</x:f>
        <x:v>9</x:v>
      </x:c>
      <x:c r="H7" s="22" t="n">
        <x:f>D7-E7+F7+G7</x:f>
        <x:v>115.80000000000001</x:v>
      </x:c>
      <x:c r="I7" s="22" t="n">
        <x:f>H7-D7</x:f>
        <x:v>5.400000000000006</x:v>
      </x:c>
      <x:c r="J7" s="17" t="n">
        <x:f>'02 Architectures'!AG7</x:f>
        <x:v>4052.61124631496</x:v>
      </x:c>
      <x:c r="K7" s="17" t="n">
        <x:f>'02 Architectures'!AH7</x:f>
        <x:v>4188.892775329779</x:v>
      </x:c>
      <x:c r="L7" s="11" t="str">
        <x:v>DECLARED</x:v>
      </x:c>
    </x:row>
    <x:row r="8" ht="44" customHeight="1">
      <x:c r="C8" s="11" t="str">
        <x:f>'02 Architectures'!C8</x:f>
        <x:v>A3</x:v>
      </x:c>
      <x:c r="D8" s="22" t="n">
        <x:f>'01 Controls'!$D$35</x:f>
        <x:v>110.4</x:v>
      </x:c>
      <x:c r="E8" s="22" t="n">
        <x:f>'01 Controls'!$D$36*'01 Controls'!$D$38+'01 Controls'!$D$37*'01 Controls'!$D$39</x:f>
        <x:v>36</x:v>
      </x:c>
      <x:c r="F8" s="22" t="n">
        <x:f>'01 Controls'!$D$36*'02 Architectures'!S8</x:f>
        <x:v>33.599999999999994</x:v>
      </x:c>
      <x:c r="G8" s="22" t="n">
        <x:f>'01 Controls'!$D$37*'02 Architectures'!T8</x:f>
        <x:v>9.600000000000001</x:v>
      </x:c>
      <x:c r="H8" s="22" t="n">
        <x:f>D8-E8+F8+G8</x:f>
        <x:v>117.6</x:v>
      </x:c>
      <x:c r="I8" s="22" t="n">
        <x:f>H8-D8</x:f>
        <x:v>7.199999999999989</x:v>
      </x:c>
      <x:c r="J8" s="17" t="n">
        <x:f>'02 Architectures'!AG8</x:f>
        <x:v>4079.395863353333</x:v>
      </x:c>
      <x:c r="K8" s="17" t="n">
        <x:f>'02 Architectures'!AH8</x:f>
        <x:v>4227.540021223505</x:v>
      </x:c>
      <x:c r="L8" s="11" t="str">
        <x:v>DECLARED</x:v>
      </x:c>
    </x:row>
    <x:row r="9" ht="44" customHeight="1">
      <x:c r="C9" s="11" t="str">
        <x:f>'02 Architectures'!C9</x:f>
        <x:v>A4</x:v>
      </x:c>
      <x:c r="D9" s="22" t="n">
        <x:f>'01 Controls'!$D$35</x:f>
        <x:v>110.4</x:v>
      </x:c>
      <x:c r="E9" s="22" t="n">
        <x:f>'01 Controls'!$D$36*'01 Controls'!$D$38+'01 Controls'!$D$37*'01 Controls'!$D$39</x:f>
        <x:v>36</x:v>
      </x:c>
      <x:c r="F9" s="22" t="n">
        <x:f>'01 Controls'!$D$36*'02 Architectures'!S9</x:f>
        <x:v>39.599999999999994</x:v>
      </x:c>
      <x:c r="G9" s="22" t="n">
        <x:f>'01 Controls'!$D$37*'02 Architectures'!T9</x:f>
        <x:v>13.200000000000001</x:v>
      </x:c>
      <x:c r="H9" s="22" t="n">
        <x:f>D9-E9+F9+G9</x:f>
        <x:v>127.2</x:v>
      </x:c>
      <x:c r="I9" s="22" t="n">
        <x:f>H9-D9</x:f>
        <x:v>16.799999999999997</x:v>
      </x:c>
      <x:c r="J9" s="17" t="n">
        <x:f>'02 Architectures'!AG9</x:f>
        <x:v>4324.242428308064</x:v>
      </x:c>
      <x:c r="K9" s="17" t="n">
        <x:f>'02 Architectures'!AH9</x:f>
        <x:v>4495.772110224365</x:v>
      </x:c>
      <x:c r="L9" s="11" t="str">
        <x:v>DECLARED</x:v>
      </x:c>
    </x:row>
    <x:row r="14">
      <x:c r="C14" s="9" t="str">
        <x:v>Cost question</x:v>
      </x:c>
      <x:c r="D14" s="9" t="str">
        <x:v>A1</x:v>
      </x:c>
      <x:c r="E14" s="9" t="str">
        <x:v>A2</x:v>
      </x:c>
      <x:c r="F14" s="9" t="str">
        <x:v>A3</x:v>
      </x:c>
      <x:c r="G14" s="9" t="str">
        <x:v>A4</x:v>
      </x:c>
      <x:c r="H14" s="9" t="str">
        <x:v>Interpretation</x:v>
      </x:c>
    </x:row>
    <x:row r="15" ht="66" customHeight="1">
      <x:c r="C15" s="11" t="str">
        <x:v>What costs more?</x:v>
      </x:c>
      <x:c r="D15" s="15" t="str">
        <x:v>Baseline</x:v>
      </x:c>
      <x:c r="E15" s="15" t="str">
        <x:v>Two lines and split receiver</x:v>
      </x:c>
      <x:c r="F15" s="15" t="str">
        <x:v>Bypass kit and prepared isolation</x:v>
      </x:c>
      <x:c r="G15" s="15" t="str">
        <x:v>Route separation and twice the storage</x:v>
      </x:c>
      <x:c r="H15" s="15" t="str">
        <x:v>The resilience mechanism is visible in both mobile and fixed capital</x:v>
      </x:c>
    </x:row>
    <x:row r="16" ht="66" customHeight="1">
      <x:c r="C16" s="11" t="str">
        <x:v>What is excluded?</x:v>
      </x:c>
      <x:c r="D16" s="15" t="str">
        <x:v>Carrier and actual site cost</x:v>
      </x:c>
      <x:c r="E16" s="15" t="str">
        <x:v>Same</x:v>
      </x:c>
      <x:c r="F16" s="15" t="str">
        <x:v>Same</x:v>
      </x:c>
      <x:c r="G16" s="15" t="str">
        <x:v>Same</x:v>
      </x:c>
      <x:c r="H16" s="15" t="str">
        <x:v>Architecture values are program comparators, not independent estimates</x:v>
      </x:c>
    </x:row>
    <x:row r="17" ht="66" customHeight="1">
      <x:c r="C17" s="11" t="str">
        <x:v>Can the least expensive case be selected?</x:v>
      </x:c>
      <x:c r="D17" s="15" t="str">
        <x:v>No</x:v>
      </x:c>
      <x:c r="E17" s="15" t="str">
        <x:v>No</x:v>
      </x:c>
      <x:c r="F17" s="15" t="str">
        <x:v>No</x:v>
      </x:c>
      <x:c r="G17" s="15" t="str">
        <x:v>No</x:v>
      </x:c>
      <x:c r="H17" s="15" t="str">
        <x:v>Failure coverage and evidence govern selection before price</x:v>
      </x:c>
    </x:row>
  </x:sheetData>
  <x:conditionalFormatting sqref="L6:L9">
    <x:cfRule type="containsText" dxfId="56" priority="1" operator="containsText" text="FAIL"/>
    <x:cfRule type="containsText" dxfId="57" priority="2" operator="containsText" text="DENIED"/>
    <x:cfRule type="containsText" dxfId="58" priority="3" operator="containsText" text="BLOCKED"/>
    <x:cfRule type="containsText" dxfId="59" priority="4" operator="containsText" text="OPEN"/>
    <x:cfRule type="containsText" dxfId="60" priority="5" operator="containsText" text="UNTESTED"/>
    <x:cfRule type="containsText" dxfId="61" priority="6" operator="containsText" text="DECLARED"/>
    <x:cfRule type="containsText" dxfId="62" priority="7" operator="containsText" text="PASS"/>
    <x:cfRule type="containsText" dxfId="63" priority="8" operator="containsText" text="MET"/>
  </x:conditionalFormatting>
  <x:pageMargins left="0.7" right="0.7" top="0.75" bottom="0.75" header="0.3" footer="0.3"/>
  <x:tableParts count="1">
    <x:tablePart xmlns:r="http://schemas.openxmlformats.org/officeDocument/2006/relationships" r:id="Ra472ac1e75764897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3" max="3" width="11" hidden="0" customWidth="1"/>
    <x:col min="4" max="4" width="42" hidden="0" customWidth="1"/>
    <x:col min="5" max="5" width="38" hidden="0" customWidth="1"/>
    <x:col min="6" max="6" width="38" hidden="0" customWidth="1"/>
    <x:col min="7" max="7" width="19" hidden="0" customWidth="1"/>
    <x:col min="8" max="8" width="32" hidden="0" customWidth="1"/>
    <x:col min="9" max="9" width="31" hidden="0" customWidth="1"/>
    <x:col min="10" max="10" width="18" hidden="0" customWidth="1"/>
  </x:cols>
  <x:sheetData>
    <x:row r="2">
      <x:c r="C2" s="2" t="str">
        <x:v>Degraded-service evidence contract</x:v>
      </x:c>
      <x:c r="D2" s="1"/>
      <x:c r="E2" s="1"/>
      <x:c r="F2" s="1"/>
      <x:c r="G2" s="1"/>
      <x:c r="H2" s="1"/>
      <x:c r="I2" s="1"/>
      <x:c r="J2" s="1"/>
      <x:c r="K2" s="1"/>
    </x:row>
    <x:row r="3">
      <x:c r="C3" s="3" t="str">
        <x:v>A declared pass in the failure matrix defines a test target. It does not admit an architecture until representative observation and independent release.</x:v>
      </x:c>
      <x:c r="D3" s="3"/>
      <x:c r="E3" s="3"/>
      <x:c r="F3" s="3"/>
      <x:c r="G3" s="3"/>
      <x:c r="H3" s="3"/>
      <x:c r="I3" s="3"/>
      <x:c r="J3" s="3"/>
      <x:c r="K3" s="3"/>
    </x:row>
    <x:row r="5">
      <x:c r="C5" s="9" t="str">
        <x:v>Gate</x:v>
      </x:c>
      <x:c r="D5" s="9" t="str">
        <x:v>Required demonstration</x:v>
      </x:c>
      <x:c r="E5" s="9" t="str">
        <x:v>Measure</x:v>
      </x:c>
      <x:c r="F5" s="9" t="str">
        <x:v>Threshold</x:v>
      </x:c>
      <x:c r="G5" s="9" t="str">
        <x:v>Applies</x:v>
      </x:c>
      <x:c r="H5" s="9" t="str">
        <x:v>Authority</x:v>
      </x:c>
      <x:c r="I5" s="9" t="str">
        <x:v>Evidence</x:v>
      </x:c>
      <x:c r="J5" s="9" t="str">
        <x:v>State</x:v>
      </x:c>
    </x:row>
    <x:row r="6" ht="62" customHeight="1">
      <x:c r="C6" s="11" t="str">
        <x:v>G01</x:v>
      </x:c>
      <x:c r="D6" s="15" t="str">
        <x:v>Storage charge-state control</x:v>
      </x:c>
      <x:c r="E6" s="15" t="str">
        <x:v>Usable clean inventory and sector state</x:v>
      </x:c>
      <x:c r="F6" s="15" t="str">
        <x:v>Continuous verified telemetry</x:v>
      </x:c>
      <x:c r="G6" s="15" t="str">
        <x:v>All</x:v>
      </x:c>
      <x:c r="H6" s="15" t="str">
        <x:v>Water quality and operations</x:v>
      </x:c>
      <x:c r="I6" s="15" t="str">
        <x:v>None</x:v>
      </x:c>
      <x:c r="J6" s="15" t="str">
        <x:v>OPEN</x:v>
      </x:c>
    </x:row>
    <x:row r="7" ht="62" customHeight="1">
      <x:c r="C7" s="11" t="str">
        <x:v>G02</x:v>
      </x:c>
      <x:c r="D7" s="15" t="str">
        <x:v>Cold-start sequence</x:v>
      </x:c>
      <x:c r="E7" s="15" t="str">
        <x:v>First water and resilient-ready milestones</x:v>
      </x:c>
      <x:c r="F7" s="15" t="str">
        <x:v>Both reported without hidden precharge</x:v>
      </x:c>
      <x:c r="G7" s="15" t="str">
        <x:v>All</x:v>
      </x:c>
      <x:c r="H7" s="15" t="str">
        <x:v>Mission assurance</x:v>
      </x:c>
      <x:c r="I7" s="15" t="str">
        <x:v>None</x:v>
      </x:c>
      <x:c r="J7" s="15" t="str">
        <x:v>OPEN</x:v>
      </x:c>
    </x:row>
    <x:row r="8" ht="62" customHeight="1">
      <x:c r="C8" s="11" t="str">
        <x:v>G03</x:v>
      </x:c>
      <x:c r="D8" s="15" t="str">
        <x:v>Single-line rupture</x:v>
      </x:c>
      <x:c r="E8" s="15" t="str">
        <x:v>Minimum accessible service over 24 h</x:v>
      </x:c>
      <x:c r="F8" s="15" t="str">
        <x:v>At least 50%</x:v>
      </x:c>
      <x:c r="G8" s="15" t="str">
        <x:v>All</x:v>
      </x:c>
      <x:c r="H8" s="15" t="str">
        <x:v>Independent RTE authority</x:v>
      </x:c>
      <x:c r="I8" s="15" t="str">
        <x:v>Calculated target only</x:v>
      </x:c>
      <x:c r="J8" s="15" t="str">
        <x:v>OPEN</x:v>
      </x:c>
    </x:row>
    <x:row r="9" ht="62" customHeight="1">
      <x:c r="C9" s="11" t="str">
        <x:v>G04</x:v>
      </x:c>
      <x:c r="D9" s="15" t="str">
        <x:v>Uncharged-buffer rupture</x:v>
      </x:c>
      <x:c r="E9" s="15" t="str">
        <x:v>Minimum accessible service over 24 h</x:v>
      </x:c>
      <x:c r="F9" s="15" t="str">
        <x:v>At least 50%</x:v>
      </x:c>
      <x:c r="G9" s="15" t="str">
        <x:v>All</x:v>
      </x:c>
      <x:c r="H9" s="15" t="str">
        <x:v>Independent RTE authority</x:v>
      </x:c>
      <x:c r="I9" s="15" t="str">
        <x:v>Calculated target only</x:v>
      </x:c>
      <x:c r="J9" s="15" t="str">
        <x:v>OPEN</x:v>
      </x:c>
    </x:row>
    <x:row r="10" ht="62" customHeight="1">
      <x:c r="C10" s="11" t="str">
        <x:v>G05</x:v>
      </x:c>
      <x:c r="D10" s="15" t="str">
        <x:v>Delayed repair</x:v>
      </x:c>
      <x:c r="E10" s="15" t="str">
        <x:v>Minimum accessible service over 24 h</x:v>
      </x:c>
      <x:c r="F10" s="15" t="str">
        <x:v>At least 50%</x:v>
      </x:c>
      <x:c r="G10" s="15" t="str">
        <x:v>All</x:v>
      </x:c>
      <x:c r="H10" s="15" t="str">
        <x:v>Independent RTE authority</x:v>
      </x:c>
      <x:c r="I10" s="15" t="str">
        <x:v>Calculated target only</x:v>
      </x:c>
      <x:c r="J10" s="15" t="str">
        <x:v>OPEN</x:v>
      </x:c>
    </x:row>
    <x:row r="11" ht="62" customHeight="1">
      <x:c r="C11" s="11" t="str">
        <x:v>G06</x:v>
      </x:c>
      <x:c r="D11" s="15" t="str">
        <x:v>Common-corridor severance</x:v>
      </x:c>
      <x:c r="E11" s="15" t="str">
        <x:v>Surviving accessible service</x:v>
      </x:c>
      <x:c r="F11" s="15" t="str">
        <x:v>At least 50%</x:v>
      </x:c>
      <x:c r="G11" s="15" t="str">
        <x:v>All</x:v>
      </x:c>
      <x:c r="H11" s="15" t="str">
        <x:v>Mission assurance</x:v>
      </x:c>
      <x:c r="I11" s="15" t="str">
        <x:v>No representative route</x:v>
      </x:c>
      <x:c r="J11" s="15" t="str">
        <x:v>OPEN</x:v>
      </x:c>
    </x:row>
    <x:row r="12" ht="62" customHeight="1">
      <x:c r="C12" s="11" t="str">
        <x:v>G07</x:v>
      </x:c>
      <x:c r="D12" s="15" t="str">
        <x:v>Storage-sector contamination during source loss</x:v>
      </x:c>
      <x:c r="E12" s="15" t="str">
        <x:v>Clean isolated service</x:v>
      </x:c>
      <x:c r="F12" s="15" t="str">
        <x:v>At least 50%</x:v>
      </x:c>
      <x:c r="G12" s="15" t="str">
        <x:v>All</x:v>
      </x:c>
      <x:c r="H12" s="15" t="str">
        <x:v>Water quality authority</x:v>
      </x:c>
      <x:c r="I12" s="15" t="str">
        <x:v>No compound sector trial</x:v>
      </x:c>
      <x:c r="J12" s="15" t="str">
        <x:v>OPEN</x:v>
      </x:c>
    </x:row>
    <x:row r="13" ht="62" customHeight="1">
      <x:c r="C13" s="11" t="str">
        <x:v>G08</x:v>
      </x:c>
      <x:c r="D13" s="15" t="str">
        <x:v>Treatment-train outage</x:v>
      </x:c>
      <x:c r="E13" s="15" t="str">
        <x:v>Storage-supported service for 24 h</x:v>
      </x:c>
      <x:c r="F13" s="15" t="str">
        <x:v>At least 50%</x:v>
      </x:c>
      <x:c r="G13" s="15" t="str">
        <x:v>All</x:v>
      </x:c>
      <x:c r="H13" s="15" t="str">
        <x:v>Water systems authority</x:v>
      </x:c>
      <x:c r="I13" s="15" t="str">
        <x:v>No full-chain trial</x:v>
      </x:c>
      <x:c r="J13" s="15" t="str">
        <x:v>OPEN</x:v>
      </x:c>
    </x:row>
    <x:row r="14" ht="62" customHeight="1">
      <x:c r="C14" s="11" t="str">
        <x:v>G09</x:v>
      </x:c>
      <x:c r="D14" s="15" t="str">
        <x:v>Receiver contamination hold</x:v>
      </x:c>
      <x:c r="E14" s="15" t="str">
        <x:v>Safe alternate service</x:v>
      </x:c>
      <x:c r="F14" s="15" t="str">
        <x:v>At least 50% or declared no-service safety state</x:v>
      </x:c>
      <x:c r="G14" s="15" t="str">
        <x:v>All</x:v>
      </x:c>
      <x:c r="H14" s="15" t="str">
        <x:v>Receiving command</x:v>
      </x:c>
      <x:c r="I14" s="15" t="str">
        <x:v>No alternate receiver</x:v>
      </x:c>
      <x:c r="J14" s="15" t="str">
        <x:v>OPEN</x:v>
      </x:c>
    </x:row>
    <x:row r="15" ht="62" customHeight="1">
      <x:c r="C15" s="11" t="str">
        <x:v>G10</x:v>
      </x:c>
      <x:c r="D15" s="15" t="str">
        <x:v>Hydraulic transient</x:v>
      </x:c>
      <x:c r="E15" s="15" t="str">
        <x:v>Startup, trip, isolation, cross-connect and bypass pressure</x:v>
      </x:c>
      <x:c r="F15" s="15" t="str">
        <x:v>Within released class</x:v>
      </x:c>
      <x:c r="G15" s="15" t="str">
        <x:v>All</x:v>
      </x:c>
      <x:c r="H15" s="15" t="str">
        <x:v>Pressure safety authority</x:v>
      </x:c>
      <x:c r="I15" s="15" t="str">
        <x:v>Steady state only</x:v>
      </x:c>
      <x:c r="J15" s="15" t="str">
        <x:v>OPEN</x:v>
      </x:c>
    </x:row>
    <x:row r="16" ht="62" customHeight="1">
      <x:c r="C16" s="11" t="str">
        <x:v>G11</x:v>
      </x:c>
      <x:c r="D16" s="15" t="str">
        <x:v>Route separation</x:v>
      </x:c>
      <x:c r="E16" s="15" t="str">
        <x:v>Independence of access, power, control and damage</x:v>
      </x:c>
      <x:c r="F16" s="15" t="str">
        <x:v>No unregistered common cause</x:v>
      </x:c>
      <x:c r="G16" s="15" t="str">
        <x:v>A4</x:v>
      </x:c>
      <x:c r="H16" s="15" t="str">
        <x:v>Mission assurance</x:v>
      </x:c>
      <x:c r="I16" s="15" t="str">
        <x:v>Target only</x:v>
      </x:c>
      <x:c r="J16" s="15" t="str">
        <x:v>OPEN</x:v>
      </x:c>
    </x:row>
    <x:row r="17" ht="62" customHeight="1">
      <x:c r="C17" s="11" t="str">
        <x:v>G12</x:v>
      </x:c>
      <x:c r="D17" s="15" t="str">
        <x:v>Bypass placement</x:v>
      </x:c>
      <x:c r="E17" s="15" t="str">
        <x:v>Time to certified half-flow</x:v>
      </x:c>
      <x:c r="F17" s="15" t="str">
        <x:v>At or before 6 h</x:v>
      </x:c>
      <x:c r="G17" s="15" t="str">
        <x:v>A3</x:v>
      </x:c>
      <x:c r="H17" s="15" t="str">
        <x:v>Independent RTE authority</x:v>
      </x:c>
      <x:c r="I17" s="15" t="str">
        <x:v>Target only</x:v>
      </x:c>
      <x:c r="J17" s="15" t="str">
        <x:v>OPEN</x:v>
      </x:c>
    </x:row>
    <x:row r="18" ht="62" customHeight="1">
      <x:c r="C18" s="11" t="str">
        <x:v>G13</x:v>
      </x:c>
      <x:c r="D18" s="15" t="str">
        <x:v>Recovery and second event</x:v>
      </x:c>
      <x:c r="E18" s="15" t="str">
        <x:v>Storage sanitation, pipe repair and configuration reset</x:v>
      </x:c>
      <x:c r="F18" s="15" t="str">
        <x:v>Repeat mission passes</x:v>
      </x:c>
      <x:c r="G18" s="15" t="str">
        <x:v>All</x:v>
      </x:c>
      <x:c r="H18" s="15" t="str">
        <x:v>Generating service</x:v>
      </x:c>
      <x:c r="I18" s="15" t="str">
        <x:v>None</x:v>
      </x:c>
      <x:c r="J18" s="15" t="str">
        <x:v>OPEN</x:v>
      </x:c>
    </x:row>
    <x:row r="19" ht="62" customHeight="1">
      <x:c r="C19" s="11" t="str">
        <x:v>G14</x:v>
      </x:c>
      <x:c r="D19" s="15" t="str">
        <x:v>Rendering release</x:v>
      </x:c>
      <x:c r="E19" s="15" t="str">
        <x:v>R3 physics and representative degraded-service evidence</x:v>
      </x:c>
      <x:c r="F19" s="15" t="str">
        <x:v>All core gates pass</x:v>
      </x:c>
      <x:c r="G19" s="15" t="str">
        <x:v>Selected architecture</x:v>
      </x:c>
      <x:c r="H19" s="15" t="str">
        <x:v>Independent RTE authority</x:v>
      </x:c>
      <x:c r="I19" s="15" t="str">
        <x:v>Zero gates passed</x:v>
      </x:c>
      <x:c r="J19" s="15" t="str">
        <x:v>BLOCKED</x:v>
      </x:c>
    </x:row>
  </x:sheetData>
  <x:conditionalFormatting sqref="J6:J19">
    <x:cfRule type="containsText" dxfId="64" priority="1" operator="containsText" text="FAIL"/>
    <x:cfRule type="containsText" dxfId="65" priority="2" operator="containsText" text="DENIED"/>
    <x:cfRule type="containsText" dxfId="66" priority="3" operator="containsText" text="BLOCKED"/>
    <x:cfRule type="containsText" dxfId="67" priority="4" operator="containsText" text="OPEN"/>
    <x:cfRule type="containsText" dxfId="68" priority="5" operator="containsText" text="UNTESTED"/>
    <x:cfRule type="containsText" dxfId="69" priority="6" operator="containsText" text="DECLARED"/>
    <x:cfRule type="containsText" dxfId="70" priority="7" operator="containsText" text="PASS"/>
    <x:cfRule type="containsText" dxfId="71" priority="8" operator="containsText" text="MET"/>
  </x:conditionalFormatting>
  <x:pageMargins left="0.7" right="0.7" top="0.75" bottom="0.75" header="0.3" footer="0.3"/>
  <x:tableParts count="1">
    <x:tablePart xmlns:r="http://schemas.openxmlformats.org/officeDocument/2006/relationships" r:id="R9cb0c31353c34c07"/>
  </x:tableParts>
</x:worksheet>
</file>

<file path=xl/worksheets/sheet9.xml><?xml version="1.0" encoding="utf-8"?>
<x:worksheet xmlns:x="http://schemas.openxmlformats.org/spreadsheetml/2006/main">
  <x:sheetPr>
    <x:tabColor rgb="FF5C6873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3" max="3" width="16" hidden="0" customWidth="1"/>
    <x:col min="4" max="4" width="56" hidden="0" customWidth="1"/>
    <x:col min="5" max="5" width="46" hidden="0" customWidth="1"/>
    <x:col min="6" max="6" width="43" hidden="0" customWidth="1"/>
    <x:col min="7" max="7" width="48" hidden="0" customWidth="1"/>
    <x:col min="8" max="8" width="18" hidden="0" customWidth="1"/>
  </x:cols>
  <x:sheetData>
    <x:row r="2">
      <x:c r="C2" s="2" t="str">
        <x:v>Repository authorities and claim boundaries</x:v>
      </x:c>
      <x:c r="D2" s="1"/>
      <x:c r="E2" s="1"/>
      <x:c r="F2" s="1"/>
      <x:c r="G2" s="1"/>
      <x:c r="H2" s="1"/>
      <x:c r="I2" s="1"/>
      <x:c r="J2" s="1"/>
    </x:row>
    <x:row r="3">
      <x:c r="C3" s="3" t="str">
        <x:v>Pass 65 uses committed internal research only. It corrects a service-state inference without claiming new empirical performance.</x:v>
      </x:c>
      <x:c r="D3" s="3"/>
      <x:c r="E3" s="3"/>
      <x:c r="F3" s="3"/>
      <x:c r="G3" s="3"/>
      <x:c r="H3" s="3"/>
      <x:c r="I3" s="3"/>
      <x:c r="J3" s="3"/>
    </x:row>
    <x:row r="5">
      <x:c r="C5" s="9" t="str">
        <x:v>Source</x:v>
      </x:c>
      <x:c r="D5" s="9" t="str">
        <x:v>Repository authority</x:v>
      </x:c>
      <x:c r="E5" s="9" t="str">
        <x:v>Use</x:v>
      </x:c>
      <x:c r="F5" s="9" t="str">
        <x:v>Treatment</x:v>
      </x:c>
      <x:c r="G5" s="9" t="str">
        <x:v>Boundary</x:v>
      </x:c>
    </x:row>
    <x:row r="6" ht="62" customHeight="1">
      <x:c r="C6" s="11" t="str">
        <x:v>S01</x:v>
      </x:c>
      <x:c r="D6" s="15" t="str">
        <x:v>research/force/projection/wrg-fr10-first-reach-water-system-and-technology-competition.md</x:v>
      </x:c>
      <x:c r="E6" s="15" t="str">
        <x:v>Pass 64 mission, manifest, pipe rivals and program</x:v>
      </x:c>
      <x:c r="F6" s="15" t="str">
        <x:v>Immediate predecessor</x:v>
      </x:c>
      <x:c r="G6" s="15" t="str">
        <x:v>Single-line rupture result omitted buffer state</x:v>
      </x:c>
    </x:row>
    <x:row r="7" ht="62" customHeight="1">
      <x:c r="C7" s="11" t="str">
        <x:v>S02</x:v>
      </x:c>
      <x:c r="D7" s="15" t="str">
        <x:v>models/force/projection/wrg-fr10-first-reach-technology-competition.xlsx</x:v>
      </x:c>
      <x:c r="E7" s="15" t="str">
        <x:v>Hydraulic geometry, service chain and cost controls</x:v>
      </x:c>
      <x:c r="F7" s="15" t="str">
        <x:v>Committed source workbook</x:v>
      </x:c>
      <x:c r="G7" s="15" t="str">
        <x:v>All values remain planning hypotheses</x:v>
      </x:c>
    </x:row>
    <x:row r="8" ht="62" customHeight="1">
      <x:c r="C8" s="11" t="str">
        <x:v>S03</x:v>
      </x:c>
      <x:c r="D8" s="15" t="str">
        <x:v>research/systems/water/force-engineering.md</x:v>
      </x:c>
      <x:c r="E8" s="15" t="str">
        <x:v>Production, storage, distribution, pressure, quality and residual chain</x:v>
      </x:c>
      <x:c r="F8" s="15" t="str">
        <x:v>Mission-system authority</x:v>
      </x:c>
      <x:c r="G8" s="15" t="str">
        <x:v>R2+; no representative line architecture</x:v>
      </x:c>
    </x:row>
    <x:row r="9" ht="62" customHeight="1">
      <x:c r="C9" s="11" t="str">
        <x:v>S04</x:v>
      </x:c>
      <x:c r="D9" s="15" t="str">
        <x:v>research/systems/water/configuration-model.md</x:v>
      </x:c>
      <x:c r="E9" s="15" t="str">
        <x:v>WRG-50 source configuration and degraded-operation doctrine</x:v>
      </x:c>
      <x:c r="F9" s="15" t="str">
        <x:v>Internal quantitative authority</x:v>
      </x:c>
      <x:c r="G9" s="15" t="str">
        <x:v>Formation quantities are not field evidence</x:v>
      </x:c>
    </x:row>
    <x:row r="10" ht="62" customHeight="1">
      <x:c r="C10" s="11" t="str">
        <x:v>S05</x:v>
      </x:c>
      <x:c r="D10" s="15" t="str">
        <x:v>research/force/projection/wrg50-serial-manifest-and-configuration-admission.md</x:v>
      </x:c>
      <x:c r="E10" s="15" t="str">
        <x:v>Configuration, complement and receiver admission</x:v>
      </x:c>
      <x:c r="F10" s="15" t="str">
        <x:v>Pass 63 authority</x:v>
      </x:c>
      <x:c r="G10" s="15" t="str">
        <x:v>Zero released objects and receivers</x:v>
      </x:c>
    </x:row>
    <x:row r="11" ht="62" customHeight="1">
      <x:c r="C11" s="11" t="str">
        <x:v>S06</x:v>
      </x:c>
      <x:c r="D11" s="15" t="str">
        <x:v>research/systems/common-technical-architecture.md</x:v>
      </x:c>
      <x:c r="E11" s="15" t="str">
        <x:v>Interface and common-mode doctrine</x:v>
      </x:c>
      <x:c r="F11" s="15" t="str">
        <x:v>Common technical authority</x:v>
      </x:c>
      <x:c r="G11" s="15" t="str">
        <x:v>No water interface release</x:v>
      </x:c>
    </x:row>
    <x:row r="12" ht="62" customHeight="1">
      <x:c r="C12" s="11" t="str">
        <x:v>S07</x:v>
      </x:c>
      <x:c r="D12" s="15" t="str">
        <x:v>research/force/force-architecture.md</x:v>
      </x:c>
      <x:c r="E12" s="15" t="str">
        <x:v>Generating, receiving and assurance authorities</x:v>
      </x:c>
      <x:c r="F12" s="15" t="str">
        <x:v>Institutional authority</x:v>
      </x:c>
      <x:c r="G12" s="15" t="str">
        <x:v>Organization cannot establish technical performance</x:v>
      </x:c>
    </x:row>
    <x:row r="17">
      <x:c r="C17" s="9" t="str">
        <x:v>Claim</x:v>
      </x:c>
      <x:c r="D17" s="9" t="str">
        <x:v>Prior treatment</x:v>
      </x:c>
      <x:c r="E17" s="9" t="str">
        <x:v>Pass 65 correction</x:v>
      </x:c>
      <x:c r="F17" s="9" t="str">
        <x:v>Admitted use</x:v>
      </x:c>
      <x:c r="G17" s="9" t="str">
        <x:v>Still prohibited</x:v>
      </x:c>
      <x:c r="H17" s="9" t="str">
        <x:v>State</x:v>
      </x:c>
    </x:row>
    <x:row r="18" ht="68" customHeight="1">
      <x:c r="C18" s="11" t="str">
        <x:v>Single trunk after rupture</x:v>
      </x:c>
      <x:c r="D18" s="15" t="str">
        <x:v>Zero bulk inflow treated as zero public service</x:v>
      </x:c>
      <x:c r="E18" s="15" t="str">
        <x:v>Charged downstream storage can bridge a bounded repair</x:v>
      </x:c>
      <x:c r="F18" s="15" t="str">
        <x:v>Design the storage-state trial</x:v>
      </x:c>
      <x:c r="G18" s="15" t="str">
        <x:v>Claim verified continuity</x:v>
      </x:c>
      <x:c r="H18" s="15" t="str">
        <x:v>OPEN</x:v>
      </x:c>
    </x:row>
    <x:row r="19" ht="68" customHeight="1">
      <x:c r="C19" s="11" t="str">
        <x:v>Installed storage</x:v>
      </x:c>
      <x:c r="D19" s="15" t="str">
        <x:v>Hardware quantity implied reserve</x:v>
      </x:c>
      <x:c r="E19" s="15" t="str">
        <x:v>Only clean measured usable inventory receives time credit</x:v>
      </x:c>
      <x:c r="F19" s="15" t="str">
        <x:v>Calculate state-specific coverage</x:v>
      </x:c>
      <x:c r="G19" s="15" t="str">
        <x:v>Credit gross capacity before charge</x:v>
      </x:c>
      <x:c r="H19" s="15" t="str">
        <x:v>OPEN</x:v>
      </x:c>
    </x:row>
    <x:row r="20" ht="68" customHeight="1">
      <x:c r="C20" s="11" t="str">
        <x:v>First water</x:v>
      </x:c>
      <x:c r="D20" s="15" t="str">
        <x:v>Shared with service readiness</x:v>
      </x:c>
      <x:c r="E20" s="15" t="str">
        <x:v>First water may precede full reserve charge by 12–96 h</x:v>
      </x:c>
      <x:c r="F20" s="15" t="str">
        <x:v>Publish separate milestones</x:v>
      </x:c>
      <x:c r="G20" s="15" t="str">
        <x:v>Claim resilient readiness at first flow</x:v>
      </x:c>
      <x:c r="H20" s="15" t="str">
        <x:v>OPEN</x:v>
      </x:c>
    </x:row>
    <x:row r="21" ht="68" customHeight="1">
      <x:c r="C21" s="11" t="str">
        <x:v>Parallel lines</x:v>
      </x:c>
      <x:c r="D21" s="15" t="str">
        <x:v>Counted as redundancy</x:v>
      </x:c>
      <x:c r="E21" s="15" t="str">
        <x:v>Same-corridor lines share route loss</x:v>
      </x:c>
      <x:c r="F21" s="15" t="str">
        <x:v>Compete corridor topology</x:v>
      </x:c>
      <x:c r="G21" s="15" t="str">
        <x:v>Claim independent paths</x:v>
      </x:c>
      <x:c r="H21" s="15" t="str">
        <x:v>OPEN</x:v>
      </x:c>
    </x:row>
    <x:row r="22" ht="68" customHeight="1">
      <x:c r="C22" s="11" t="str">
        <x:v>A4 declared dominance</x:v>
      </x:c>
      <x:c r="D22" s="15" t="str">
        <x:v>Not previously modeled</x:v>
      </x:c>
      <x:c r="E22" s="15" t="str">
        <x:v>Passes six of seven declared worlds</x:v>
      </x:c>
      <x:c r="F22" s="15" t="str">
        <x:v>Advance to representative test</x:v>
      </x:c>
      <x:c r="G22" s="15" t="str">
        <x:v>Select or render the architecture</x:v>
      </x:c>
      <x:c r="H22" s="15" t="str">
        <x:v>DENIED</x:v>
      </x:c>
    </x:row>
  </x:sheetData>
  <x:conditionalFormatting sqref="H18:H22">
    <x:cfRule type="containsText" dxfId="72" priority="1" operator="containsText" text="FAIL"/>
    <x:cfRule type="containsText" dxfId="73" priority="2" operator="containsText" text="DENIED"/>
    <x:cfRule type="containsText" dxfId="74" priority="3" operator="containsText" text="BLOCKED"/>
    <x:cfRule type="containsText" dxfId="75" priority="4" operator="containsText" text="OPEN"/>
    <x:cfRule type="containsText" dxfId="76" priority="5" operator="containsText" text="UNTESTED"/>
    <x:cfRule type="containsText" dxfId="77" priority="6" operator="containsText" text="DECLARED"/>
    <x:cfRule type="containsText" dxfId="78" priority="7" operator="containsText" text="PASS"/>
    <x:cfRule type="containsText" dxfId="79" priority="8" operator="containsText" text="MET"/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65507C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3" max="3" width="44" hidden="0" customWidth="1"/>
    <x:col min="4" max="4" width="23" hidden="0" customWidth="1"/>
    <x:col min="5" max="5" width="23" hidden="0" customWidth="1"/>
    <x:col min="6" max="6" width="21" hidden="0" customWidth="1"/>
    <x:col min="7" max="7" width="18" hidden="0" customWidth="1"/>
    <x:col min="8" max="8" width="16" hidden="0" customWidth="1"/>
  </x:cols>
  <x:sheetData>
    <x:row r="2">
      <x:c r="C2" s="2" t="str">
        <x:v>Model integrity</x:v>
      </x:c>
      <x:c r="D2" s="1"/>
      <x:c r="E2" s="1"/>
      <x:c r="F2" s="1"/>
      <x:c r="G2" s="1"/>
      <x:c r="H2" s="1"/>
      <x:c r="I2" s="1"/>
      <x:c r="J2" s="1"/>
    </x:row>
    <x:row r="3">
      <x:c r="C3" s="3" t="str">
        <x:v>Terminal checks observe source reconciliation, architecture calculations, failure results and cost replacement. No upstream result depends on this sheet.</x:v>
      </x:c>
      <x:c r="D3" s="3"/>
      <x:c r="E3" s="3"/>
      <x:c r="F3" s="3"/>
      <x:c r="G3" s="3"/>
      <x:c r="H3" s="3"/>
      <x:c r="I3" s="3"/>
      <x:c r="J3" s="3"/>
    </x:row>
    <x:row r="5">
      <x:c r="C5" s="9" t="str">
        <x:v>Check</x:v>
      </x:c>
      <x:c r="D5" s="9" t="str">
        <x:v>Observed</x:v>
      </x:c>
      <x:c r="E5" s="9" t="str">
        <x:v>Expected</x:v>
      </x:c>
      <x:c r="F5" s="9" t="str">
        <x:v>Difference</x:v>
      </x:c>
      <x:c r="G5" s="9" t="str">
        <x:v>Tolerance</x:v>
      </x:c>
      <x:c r="H5" s="9" t="str">
        <x:v>Result</x:v>
      </x:c>
    </x:row>
    <x:row r="6" ht="30" customHeight="1">
      <x:c r="C6" s="11" t="str">
        <x:v>Architecture rows</x:v>
      </x:c>
      <x:c r="D6" s="23" t="n">
        <x:f>ROWS('02 Architectures'!C6:C9)</x:f>
        <x:v>4</x:v>
      </x:c>
      <x:c r="E6" s="23" t="n">
        <x:v>4</x:v>
      </x:c>
      <x:c r="F6" s="23" t="n">
        <x:f>IF(AND(ISNUMBER(D6),ISNUMBER(E6)),D6-E6,"n.a.")</x:f>
        <x:v>0</x:v>
      </x:c>
      <x:c r="G6" s="23" t="n">
        <x:v>0</x:v>
      </x:c>
      <x:c r="H6" s="11" t="str">
        <x:f>IF(AND(ISNUMBER(D6),ISNUMBER(E6),ABS(D6-E6)&lt;=G6),"PASS","FAIL")</x:f>
        <x:v>PASS</x:v>
      </x:c>
    </x:row>
    <x:row r="7" ht="30" customHeight="1">
      <x:c r="C7" s="11" t="str">
        <x:v>Failure worlds</x:v>
      </x:c>
      <x:c r="D7" s="23" t="n">
        <x:f>ROWS('05 Failure Worlds'!C6:C12)</x:f>
        <x:v>7</x:v>
      </x:c>
      <x:c r="E7" s="23" t="n">
        <x:v>7</x:v>
      </x:c>
      <x:c r="F7" s="23" t="n">
        <x:f>IF(AND(ISNUMBER(D7),ISNUMBER(E7)),D7-E7,"n.a.")</x:f>
        <x:v>0</x:v>
      </x:c>
      <x:c r="G7" s="23" t="n">
        <x:v>0</x:v>
      </x:c>
      <x:c r="H7" s="11" t="str">
        <x:f>IF(AND(ISNUMBER(D7),ISNUMBER(E7),ABS(D7-E7)&lt;=G7),"PASS","FAIL")</x:f>
        <x:v>PASS</x:v>
      </x:c>
    </x:row>
    <x:row r="8" ht="30" customHeight="1">
      <x:c r="C8" s="11" t="str">
        <x:v>Failure result rows</x:v>
      </x:c>
      <x:c r="D8" s="23" t="n">
        <x:f>ROWS('05 Failure Worlds'!C17:C44)</x:f>
        <x:v>28</x:v>
      </x:c>
      <x:c r="E8" s="23" t="n">
        <x:v>28</x:v>
      </x:c>
      <x:c r="F8" s="23" t="n">
        <x:f>IF(AND(ISNUMBER(D8),ISNUMBER(E8)),D8-E8,"n.a.")</x:f>
        <x:v>0</x:v>
      </x:c>
      <x:c r="G8" s="23" t="n">
        <x:v>0</x:v>
      </x:c>
      <x:c r="H8" s="11" t="str">
        <x:f>IF(AND(ISNUMBER(D8),ISNUMBER(E8),ABS(D8-E8)&lt;=G8),"PASS","FAIL")</x:f>
        <x:v>PASS</x:v>
      </x:c>
    </x:row>
    <x:row r="9" ht="30" customHeight="1">
      <x:c r="C9" s="11" t="str">
        <x:v>Half-flow diameter area</x:v>
      </x:c>
      <x:c r="D9" s="23" t="n">
        <x:f>2*PI()*'02 Architectures'!F7^2/4</x:f>
        <x:v>0.19634954084936201</x:v>
      </x:c>
      <x:c r="E9" s="23" t="n">
        <x:f>PI()*'01 Controls'!D15^2/4</x:f>
        <x:v>0.19634954084936207</x:v>
      </x:c>
      <x:c r="F9" s="23" t="n">
        <x:f>IF(AND(ISNUMBER(D9),ISNUMBER(E9)),D9-E9,"n.a.")</x:f>
        <x:v>-5.551115123125783e-17</x:v>
      </x:c>
      <x:c r="G9" s="23" t="n">
        <x:v>0.000001</x:v>
      </x:c>
      <x:c r="H9" s="11" t="str">
        <x:f>IF(AND(ISNUMBER(D9),ISNUMBER(E9),ABS(D9-E9)&lt;=G9),"PASS","FAIL")</x:f>
        <x:v>PASS</x:v>
      </x:c>
    </x:row>
    <x:row r="10" ht="30" customHeight="1">
      <x:c r="C10" s="11" t="str">
        <x:v>A1 material mass</x:v>
      </x:c>
      <x:c r="D10" s="23" t="n">
        <x:f>'02 Architectures'!W6</x:f>
        <x:v>583.6381018669033</x:v>
      </x:c>
      <x:c r="E10" s="23" t="n">
        <x:f>583.6381018669034</x:f>
        <x:v>583.6381018669034</x:v>
      </x:c>
      <x:c r="F10" s="23" t="n">
        <x:f>IF(AND(ISNUMBER(D10),ISNUMBER(E10)),D10-E10,"n.a.")</x:f>
        <x:v>-1.1368683772161603e-13</x:v>
      </x:c>
      <x:c r="G10" s="23" t="n">
        <x:v>0.000001</x:v>
      </x:c>
      <x:c r="H10" s="11" t="str">
        <x:f>IF(AND(ISNUMBER(D10),ISNUMBER(E10),ABS(D10-E10)&lt;=G10),"PASS","FAIL")</x:f>
        <x:v>PASS</x:v>
      </x:c>
    </x:row>
    <x:row r="11" ht="30" customHeight="1">
      <x:c r="C11" s="11" t="str">
        <x:v>A2 material mass equivalence</x:v>
      </x:c>
      <x:c r="D11" s="23" t="n">
        <x:f>'02 Architectures'!W7</x:f>
        <x:v>583.6381018669033</x:v>
      </x:c>
      <x:c r="E11" s="23" t="n">
        <x:f>'02 Architectures'!W6</x:f>
        <x:v>583.6381018669033</x:v>
      </x:c>
      <x:c r="F11" s="23" t="n">
        <x:f>IF(AND(ISNUMBER(D11),ISNUMBER(E11)),D11-E11,"n.a.")</x:f>
        <x:v>0</x:v>
      </x:c>
      <x:c r="G11" s="23" t="n">
        <x:v>0.000001</x:v>
      </x:c>
      <x:c r="H11" s="11" t="str">
        <x:f>IF(AND(ISNUMBER(D11),ISNUMBER(E11),ABS(D11-E11)&lt;=G11),"PASS","FAIL")</x:f>
        <x:v>PASS</x:v>
      </x:c>
    </x:row>
    <x:row r="12" ht="30" customHeight="1">
      <x:c r="C12" s="11" t="str">
        <x:v>A1 gross storage</x:v>
      </x:c>
      <x:c r="D12" s="23" t="n">
        <x:f>'02 Architectures'!AC6</x:f>
        <x:v>5000</x:v>
      </x:c>
      <x:c r="E12" s="23" t="n">
        <x:v>5000</x:v>
      </x:c>
      <x:c r="F12" s="23" t="n">
        <x:f>IF(AND(ISNUMBER(D12),ISNUMBER(E12)),D12-E12,"n.a.")</x:f>
        <x:v>0</x:v>
      </x:c>
      <x:c r="G12" s="23" t="n">
        <x:v>0.000001</x:v>
      </x:c>
      <x:c r="H12" s="11" t="str">
        <x:f>IF(AND(ISNUMBER(D12),ISNUMBER(E12),ABS(D12-E12)&lt;=G12),"PASS","FAIL")</x:f>
        <x:v>PASS</x:v>
      </x:c>
    </x:row>
    <x:row r="13" ht="30" customHeight="1">
      <x:c r="C13" s="11" t="str">
        <x:v>A4 gross storage</x:v>
      </x:c>
      <x:c r="D13" s="23" t="n">
        <x:f>'02 Architectures'!AC9</x:f>
        <x:v>10000</x:v>
      </x:c>
      <x:c r="E13" s="23" t="n">
        <x:v>10000</x:v>
      </x:c>
      <x:c r="F13" s="23" t="n">
        <x:f>IF(AND(ISNUMBER(D13),ISNUMBER(E13)),D13-E13,"n.a.")</x:f>
        <x:v>0</x:v>
      </x:c>
      <x:c r="G13" s="23" t="n">
        <x:v>0.000001</x:v>
      </x:c>
      <x:c r="H13" s="11" t="str">
        <x:f>IF(AND(ISNUMBER(D13),ISNUMBER(E13),ABS(D13-E13)&lt;=G13),"PASS","FAIL")</x:f>
        <x:v>PASS</x:v>
      </x:c>
    </x:row>
    <x:row r="14" ht="30" customHeight="1">
      <x:c r="C14" s="11" t="str">
        <x:v>A1 usable storage</x:v>
      </x:c>
      <x:c r="D14" s="23" t="n">
        <x:f>'02 Architectures'!AD6</x:f>
        <x:v>4250</x:v>
      </x:c>
      <x:c r="E14" s="23" t="n">
        <x:v>4250</x:v>
      </x:c>
      <x:c r="F14" s="23" t="n">
        <x:f>IF(AND(ISNUMBER(D14),ISNUMBER(E14)),D14-E14,"n.a.")</x:f>
        <x:v>0</x:v>
      </x:c>
      <x:c r="G14" s="23" t="n">
        <x:v>0.000001</x:v>
      </x:c>
      <x:c r="H14" s="11" t="str">
        <x:f>IF(AND(ISNUMBER(D14),ISNUMBER(E14),ABS(D14-E14)&lt;=G14),"PASS","FAIL")</x:f>
        <x:v>PASS</x:v>
      </x:c>
    </x:row>
    <x:row r="15" ht="30" customHeight="1">
      <x:c r="C15" s="11" t="str">
        <x:v>A1 half-service coverage</x:v>
      </x:c>
      <x:c r="D15" s="23" t="n">
        <x:f>'02 Architectures'!AM6</x:f>
        <x:v>20.4</x:v>
      </x:c>
      <x:c r="E15" s="23" t="n">
        <x:v>20.4</x:v>
      </x:c>
      <x:c r="F15" s="23" t="n">
        <x:f>IF(AND(ISNUMBER(D15),ISNUMBER(E15)),D15-E15,"n.a.")</x:f>
        <x:v>0</x:v>
      </x:c>
      <x:c r="G15" s="23" t="n">
        <x:v>0.000001</x:v>
      </x:c>
      <x:c r="H15" s="11" t="str">
        <x:f>IF(AND(ISNUMBER(D15),ISNUMBER(E15),ABS(D15-E15)&lt;=G15),"PASS","FAIL")</x:f>
        <x:v>PASS</x:v>
      </x:c>
    </x:row>
    <x:row r="16" ht="30" customHeight="1">
      <x:c r="C16" s="11" t="str">
        <x:v>Current treatment surplus</x:v>
      </x:c>
      <x:c r="D16" s="23" t="n">
        <x:f>'04 Storage State'!I6</x:f>
        <x:v>0</x:v>
      </x:c>
      <x:c r="E16" s="23" t="n">
        <x:v>0</x:v>
      </x:c>
      <x:c r="F16" s="23" t="n">
        <x:f>IF(AND(ISNUMBER(D16),ISNUMBER(E16)),D16-E16,"n.a.")</x:f>
        <x:v>0</x:v>
      </x:c>
      <x:c r="G16" s="23" t="n">
        <x:v>0.000001</x:v>
      </x:c>
      <x:c r="H16" s="11" t="str">
        <x:f>IF(AND(ISNUMBER(D16),ISNUMBER(E16),ABS(D16-E16)&lt;=G16),"PASS","FAIL")</x:f>
        <x:v>PASS</x:v>
      </x:c>
    </x:row>
    <x:row r="17" ht="30" customHeight="1">
      <x:c r="C17" s="11" t="str">
        <x:v>Current concurrent fill unavailable</x:v>
      </x:c>
      <x:c r="D17" s="23" t="n">
        <x:f>IF('04 Storage State'!J6="n.a.",1,0)</x:f>
        <x:v>1</x:v>
      </x:c>
      <x:c r="E17" s="23" t="n">
        <x:v>1</x:v>
      </x:c>
      <x:c r="F17" s="23" t="n">
        <x:f>IF(AND(ISNUMBER(D17),ISNUMBER(E17)),D17-E17,"n.a.")</x:f>
        <x:v>0</x:v>
      </x:c>
      <x:c r="G17" s="23" t="n">
        <x:v>0</x:v>
      </x:c>
      <x:c r="H17" s="11" t="str">
        <x:f>IF(AND(ISNUMBER(D17),ISNUMBER(E17),ABS(D17-E17)&lt;=G17),"PASS","FAIL")</x:f>
        <x:v>PASS</x:v>
      </x:c>
    </x:row>
    <x:row r="18" ht="30" customHeight="1">
      <x:c r="C18" s="11" t="str">
        <x:v>A1 withheld fill</x:v>
      </x:c>
      <x:c r="D18" s="23" t="n">
        <x:f>'04 Storage State'!K6</x:f>
        <x:v>12</x:v>
      </x:c>
      <x:c r="E18" s="23" t="n">
        <x:v>12</x:v>
      </x:c>
      <x:c r="F18" s="23" t="n">
        <x:f>IF(AND(ISNUMBER(D18),ISNUMBER(E18)),D18-E18,"n.a.")</x:f>
        <x:v>0</x:v>
      </x:c>
      <x:c r="G18" s="23" t="n">
        <x:v>0.000001</x:v>
      </x:c>
      <x:c r="H18" s="11" t="str">
        <x:f>IF(AND(ISNUMBER(D18),ISNUMBER(E18),ABS(D18-E18)&lt;=G18),"PASS","FAIL")</x:f>
        <x:v>PASS</x:v>
      </x:c>
    </x:row>
    <x:row r="19" ht="30" customHeight="1">
      <x:c r="C19" s="11" t="str">
        <x:v>A1 headroom fill</x:v>
      </x:c>
      <x:c r="D19" s="23" t="n">
        <x:f>'04 Storage State'!L6</x:f>
        <x:v>48</x:v>
      </x:c>
      <x:c r="E19" s="23" t="n">
        <x:v>48</x:v>
      </x:c>
      <x:c r="F19" s="23" t="n">
        <x:f>IF(AND(ISNUMBER(D19),ISNUMBER(E19)),D19-E19,"n.a.")</x:f>
        <x:v>0</x:v>
      </x:c>
      <x:c r="G19" s="23" t="n">
        <x:v>0.000001</x:v>
      </x:c>
      <x:c r="H19" s="11" t="str">
        <x:f>IF(AND(ISNUMBER(D19),ISNUMBER(E19),ABS(D19-E19)&lt;=G19),"PASS","FAIL")</x:f>
        <x:v>PASS</x:v>
      </x:c>
    </x:row>
    <x:row r="20" ht="30" customHeight="1">
      <x:c r="C20" s="11" t="str">
        <x:v>A4 headroom fill</x:v>
      </x:c>
      <x:c r="D20" s="23" t="n">
        <x:f>'04 Storage State'!L9</x:f>
        <x:v>96</x:v>
      </x:c>
      <x:c r="E20" s="23" t="n">
        <x:v>96</x:v>
      </x:c>
      <x:c r="F20" s="23" t="n">
        <x:f>IF(AND(ISNUMBER(D20),ISNUMBER(E20)),D20-E20,"n.a.")</x:f>
        <x:v>0</x:v>
      </x:c>
      <x:c r="G20" s="23" t="n">
        <x:v>0.000001</x:v>
      </x:c>
      <x:c r="H20" s="11" t="str">
        <x:f>IF(AND(ISNUMBER(D20),ISNUMBER(E20),ABS(D20-E20)&lt;=G20),"PASS","FAIL")</x:f>
        <x:v>PASS</x:v>
      </x:c>
    </x:row>
    <x:row r="21" ht="30" customHeight="1">
      <x:c r="C21" s="11" t="str">
        <x:v>A1 declared passes</x:v>
      </x:c>
      <x:c r="D21" s="23" t="n">
        <x:f>'05 Failure Worlds'!E49</x:f>
        <x:v>1</x:v>
      </x:c>
      <x:c r="E21" s="23" t="n">
        <x:v>1</x:v>
      </x:c>
      <x:c r="F21" s="23" t="n">
        <x:f>IF(AND(ISNUMBER(D21),ISNUMBER(E21)),D21-E21,"n.a.")</x:f>
        <x:v>0</x:v>
      </x:c>
      <x:c r="G21" s="23" t="n">
        <x:v>0</x:v>
      </x:c>
      <x:c r="H21" s="11" t="str">
        <x:f>IF(AND(ISNUMBER(D21),ISNUMBER(E21),ABS(D21-E21)&lt;=G21),"PASS","FAIL")</x:f>
        <x:v>PASS</x:v>
      </x:c>
    </x:row>
    <x:row r="22" ht="30" customHeight="1">
      <x:c r="C22" s="11" t="str">
        <x:v>A2 declared passes</x:v>
      </x:c>
      <x:c r="D22" s="23" t="n">
        <x:f>'05 Failure Worlds'!E50</x:f>
        <x:v>4</x:v>
      </x:c>
      <x:c r="E22" s="23" t="n">
        <x:v>4</x:v>
      </x:c>
      <x:c r="F22" s="23" t="n">
        <x:f>IF(AND(ISNUMBER(D22),ISNUMBER(E22)),D22-E22,"n.a.")</x:f>
        <x:v>0</x:v>
      </x:c>
      <x:c r="G22" s="23" t="n">
        <x:v>0</x:v>
      </x:c>
      <x:c r="H22" s="11" t="str">
        <x:f>IF(AND(ISNUMBER(D22),ISNUMBER(E22),ABS(D22-E22)&lt;=G22),"PASS","FAIL")</x:f>
        <x:v>PASS</x:v>
      </x:c>
    </x:row>
    <x:row r="23" ht="30" customHeight="1">
      <x:c r="C23" s="11" t="str">
        <x:v>A3 declared passes</x:v>
      </x:c>
      <x:c r="D23" s="23" t="n">
        <x:f>'05 Failure Worlds'!E51</x:f>
        <x:v>4</x:v>
      </x:c>
      <x:c r="E23" s="23" t="n">
        <x:v>4</x:v>
      </x:c>
      <x:c r="F23" s="23" t="n">
        <x:f>IF(AND(ISNUMBER(D23),ISNUMBER(E23)),D23-E23,"n.a.")</x:f>
        <x:v>0</x:v>
      </x:c>
      <x:c r="G23" s="23" t="n">
        <x:v>0</x:v>
      </x:c>
      <x:c r="H23" s="11" t="str">
        <x:f>IF(AND(ISNUMBER(D23),ISNUMBER(E23),ABS(D23-E23)&lt;=G23),"PASS","FAIL")</x:f>
        <x:v>PASS</x:v>
      </x:c>
    </x:row>
    <x:row r="24" ht="30" customHeight="1">
      <x:c r="C24" s="11" t="str">
        <x:v>A4 declared passes</x:v>
      </x:c>
      <x:c r="D24" s="23" t="n">
        <x:f>'05 Failure Worlds'!E52</x:f>
        <x:v>6</x:v>
      </x:c>
      <x:c r="E24" s="23" t="n">
        <x:v>6</x:v>
      </x:c>
      <x:c r="F24" s="23" t="n">
        <x:f>IF(AND(ISNUMBER(D24),ISNUMBER(E24)),D24-E24,"n.a.")</x:f>
        <x:v>0</x:v>
      </x:c>
      <x:c r="G24" s="23" t="n">
        <x:v>0</x:v>
      </x:c>
      <x:c r="H24" s="11" t="str">
        <x:f>IF(AND(ISNUMBER(D24),ISNUMBER(E24),ABS(D24-E24)&lt;=G24),"PASS","FAIL")</x:f>
        <x:v>PASS</x:v>
      </x:c>
    </x:row>
    <x:row r="25" ht="30" customHeight="1">
      <x:c r="C25" s="11" t="str">
        <x:v>Receiver hold failures</x:v>
      </x:c>
      <x:c r="D25" s="23" t="n">
        <x:f>COUNTIFS('05 Failure Worlds'!G49:G52,"FAIL")</x:f>
        <x:v>4</x:v>
      </x:c>
      <x:c r="E25" s="23" t="n">
        <x:v>4</x:v>
      </x:c>
      <x:c r="F25" s="23" t="n">
        <x:f>IF(AND(ISNUMBER(D25),ISNUMBER(E25)),D25-E25,"n.a.")</x:f>
        <x:v>0</x:v>
      </x:c>
      <x:c r="G25" s="23" t="n">
        <x:v>0</x:v>
      </x:c>
      <x:c r="H25" s="11" t="str">
        <x:f>IF(AND(ISNUMBER(D25),ISNUMBER(E25),ABS(D25-E25)&lt;=G25),"PASS","FAIL")</x:f>
        <x:v>PASS</x:v>
      </x:c>
    </x:row>
    <x:row r="26" ht="30" customHeight="1">
      <x:c r="C26" s="11" t="str">
        <x:v>Strict admissions</x:v>
      </x:c>
      <x:c r="D26" s="23" t="n">
        <x:f>COUNTIFS('05 Failure Worlds'!K49:K52,"ADMITTED")</x:f>
        <x:v>0</x:v>
      </x:c>
      <x:c r="E26" s="23" t="n">
        <x:v>0</x:v>
      </x:c>
      <x:c r="F26" s="23" t="n">
        <x:f>IF(AND(ISNUMBER(D26),ISNUMBER(E26)),D26-E26,"n.a.")</x:f>
        <x:v>0</x:v>
      </x:c>
      <x:c r="G26" s="23" t="n">
        <x:v>0</x:v>
      </x:c>
      <x:c r="H26" s="11" t="str">
        <x:f>IF(AND(ISNUMBER(D26),ISNUMBER(E26),ABS(D26-E26)&lt;=G26),"PASS","FAIL")</x:f>
        <x:v>PASS</x:v>
      </x:c>
    </x:row>
    <x:row r="27" ht="30" customHeight="1">
      <x:c r="C27" s="11" t="str">
        <x:v>A1 revised program</x:v>
      </x:c>
      <x:c r="D27" s="23" t="n">
        <x:f>'06 Cost'!H6</x:f>
        <x:v>110.4</x:v>
      </x:c>
      <x:c r="E27" s="23" t="n">
        <x:v>110.4</x:v>
      </x:c>
      <x:c r="F27" s="23" t="n">
        <x:f>IF(AND(ISNUMBER(D27),ISNUMBER(E27)),D27-E27,"n.a.")</x:f>
        <x:v>0</x:v>
      </x:c>
      <x:c r="G27" s="23" t="n">
        <x:v>0.000001</x:v>
      </x:c>
      <x:c r="H27" s="11" t="str">
        <x:f>IF(AND(ISNUMBER(D27),ISNUMBER(E27),ABS(D27-E27)&lt;=G27),"PASS","FAIL")</x:f>
        <x:v>PASS</x:v>
      </x:c>
    </x:row>
    <x:row r="28" ht="30" customHeight="1">
      <x:c r="C28" s="11" t="str">
        <x:v>A4 revised program</x:v>
      </x:c>
      <x:c r="D28" s="23" t="n">
        <x:f>'06 Cost'!H9</x:f>
        <x:v>127.2</x:v>
      </x:c>
      <x:c r="E28" s="23" t="n">
        <x:v>127.2</x:v>
      </x:c>
      <x:c r="F28" s="23" t="n">
        <x:f>IF(AND(ISNUMBER(D28),ISNUMBER(E28)),D28-E28,"n.a.")</x:f>
        <x:v>0</x:v>
      </x:c>
      <x:c r="G28" s="23" t="n">
        <x:v>0.000001</x:v>
      </x:c>
      <x:c r="H28" s="11" t="str">
        <x:f>IF(AND(ISNUMBER(D28),ISNUMBER(E28),ABS(D28-E28)&lt;=G28),"PASS","FAIL")</x:f>
        <x:v>PASS</x:v>
      </x:c>
    </x:row>
    <x:row r="29" ht="30" customHeight="1">
      <x:c r="C29" s="11" t="str">
        <x:v>Program calculation A2</x:v>
      </x:c>
      <x:c r="D29" s="23" t="n">
        <x:f>'01 Controls'!D35-'06 Cost'!E7+'06 Cost'!F7+'06 Cost'!G7</x:f>
        <x:v>115.80000000000001</x:v>
      </x:c>
      <x:c r="E29" s="23" t="n">
        <x:f>'06 Cost'!H7</x:f>
        <x:v>115.80000000000001</x:v>
      </x:c>
      <x:c r="F29" s="23" t="n">
        <x:f>IF(AND(ISNUMBER(D29),ISNUMBER(E29)),D29-E29,"n.a.")</x:f>
        <x:v>0</x:v>
      </x:c>
      <x:c r="G29" s="23" t="n">
        <x:v>0.000001</x:v>
      </x:c>
      <x:c r="H29" s="11" t="str">
        <x:f>IF(AND(ISNUMBER(D29),ISNUMBER(E29),ABS(D29-E29)&lt;=G29),"PASS","FAIL")</x:f>
        <x:v>PASS</x:v>
      </x:c>
    </x:row>
    <x:row r="30" ht="30" customHeight="1">
      <x:c r="C30" s="11" t="str">
        <x:v>Evidence gates</x:v>
      </x:c>
      <x:c r="D30" s="23" t="n">
        <x:f>ROWS('07 Test Contract'!C6:C19)</x:f>
        <x:v>14</x:v>
      </x:c>
      <x:c r="E30" s="23" t="n">
        <x:v>14</x:v>
      </x:c>
      <x:c r="F30" s="23" t="n">
        <x:f>IF(AND(ISNUMBER(D30),ISNUMBER(E30)),D30-E30,"n.a.")</x:f>
        <x:v>0</x:v>
      </x:c>
      <x:c r="G30" s="23" t="n">
        <x:v>0</x:v>
      </x:c>
      <x:c r="H30" s="11" t="str">
        <x:f>IF(AND(ISNUMBER(D30),ISNUMBER(E30),ABS(D30-E30)&lt;=G30),"PASS","FAIL")</x:f>
        <x:v>PASS</x:v>
      </x:c>
    </x:row>
    <x:row r="31" ht="30" customHeight="1">
      <x:c r="C31" s="11" t="str">
        <x:v>Open gates</x:v>
      </x:c>
      <x:c r="D31" s="23" t="n">
        <x:f>COUNTIFS('07 Test Contract'!J6:J19,"OPEN")</x:f>
        <x:v>13</x:v>
      </x:c>
      <x:c r="E31" s="23" t="n">
        <x:v>13</x:v>
      </x:c>
      <x:c r="F31" s="23" t="n">
        <x:f>IF(AND(ISNUMBER(D31),ISNUMBER(E31)),D31-E31,"n.a.")</x:f>
        <x:v>0</x:v>
      </x:c>
      <x:c r="G31" s="23" t="n">
        <x:v>0</x:v>
      </x:c>
      <x:c r="H31" s="11" t="str">
        <x:f>IF(AND(ISNUMBER(D31),ISNUMBER(E31),ABS(D31-E31)&lt;=G31),"PASS","FAIL")</x:f>
        <x:v>PASS</x:v>
      </x:c>
    </x:row>
    <x:row r="32" ht="30" customHeight="1">
      <x:c r="C32" s="11" t="str">
        <x:v>Rendering blocked</x:v>
      </x:c>
      <x:c r="D32" s="23" t="n">
        <x:f>COUNTIFS('07 Test Contract'!J19,"BLOCKED")</x:f>
        <x:v>1</x:v>
      </x:c>
      <x:c r="E32" s="23" t="n">
        <x:v>1</x:v>
      </x:c>
      <x:c r="F32" s="23" t="n">
        <x:f>IF(AND(ISNUMBER(D32),ISNUMBER(E32)),D32-E32,"n.a.")</x:f>
        <x:v>0</x:v>
      </x:c>
      <x:c r="G32" s="23" t="n">
        <x:v>0</x:v>
      </x:c>
      <x:c r="H32" s="11" t="str">
        <x:f>IF(AND(ISNUMBER(D32),ISNUMBER(E32),ABS(D32-E32)&lt;=G32),"PASS","FAIL")</x:f>
        <x:v>PASS</x:v>
      </x:c>
    </x:row>
    <x:row r="33" ht="30" customHeight="1">
      <x:c r="C33" s="11" t="str">
        <x:v>No evidence-passing worlds</x:v>
      </x:c>
      <x:c r="D33" s="23" t="n">
        <x:f>SUM('05 Failure Worlds'!J49:J52)</x:f>
        <x:v>0</x:v>
      </x:c>
      <x:c r="E33" s="23" t="n">
        <x:v>0</x:v>
      </x:c>
      <x:c r="F33" s="23" t="n">
        <x:f>IF(AND(ISNUMBER(D33),ISNUMBER(E33)),D33-E33,"n.a.")</x:f>
        <x:v>0</x:v>
      </x:c>
      <x:c r="G33" s="23" t="n">
        <x:v>0</x:v>
      </x:c>
      <x:c r="H33" s="11" t="str">
        <x:f>IF(AND(ISNUMBER(D33),ISNUMBER(E33),ABS(D33-E33)&lt;=G33),"PASS","FAIL")</x:f>
        <x:v>PASS</x:v>
      </x:c>
    </x:row>
  </x:sheetData>
  <x:conditionalFormatting sqref="H6:H33">
    <x:cfRule type="containsText" dxfId="104" priority="1" operator="containsText" text="FAIL"/>
    <x:cfRule type="containsText" dxfId="105" priority="2" operator="containsText" text="DENIED"/>
    <x:cfRule type="containsText" dxfId="106" priority="3" operator="containsText" text="BLOCKED"/>
    <x:cfRule type="containsText" dxfId="107" priority="4" operator="containsText" text="OPEN"/>
    <x:cfRule type="containsText" dxfId="108" priority="5" operator="containsText" text="UNTESTED"/>
    <x:cfRule type="containsText" dxfId="109" priority="6" operator="containsText" text="DECLARED"/>
    <x:cfRule type="containsText" dxfId="110" priority="7" operator="containsText" text="PASS"/>
    <x:cfRule type="containsText" dxfId="111" priority="8" operator="containsText" text="MET"/>
  </x:conditionalFormatting>
  <x:pageMargins left="0.7" right="0.7" top="0.75" bottom="0.75" header="0.3" footer="0.3"/>
  <x:tableParts count="1">
    <x:tablePart xmlns:r="http://schemas.openxmlformats.org/officeDocument/2006/relationships" r:id="R76bca6e01cfa43bc"/>
  </x:tableParts>
</x:worksheet>
</file>