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e3a6d83841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5592775f1e4367"/>
    <x:sheet xmlns:r="http://schemas.openxmlformats.org/officeDocument/2006/relationships" name="Assumptions" sheetId="2" r:id="R7efe45422c94435d"/>
    <x:sheet xmlns:r="http://schemas.openxmlformats.org/officeDocument/2006/relationships" name="Configuration Competition" sheetId="3" r:id="Rab11d26f1a1c453c"/>
    <x:sheet xmlns:r="http://schemas.openxmlformats.org/officeDocument/2006/relationships" name="Lift Cells and Geometry" sheetId="4" r:id="Rda14f7f31bee4e40"/>
    <x:sheet xmlns:r="http://schemas.openxmlformats.org/officeDocument/2006/relationships" name="Mass and Lift" sheetId="5" r:id="Rb278ebe67cfe4f1b"/>
    <x:sheet xmlns:r="http://schemas.openxmlformats.org/officeDocument/2006/relationships" name="Energy and Propulsion" sheetId="6" r:id="R758513ce667440d5"/>
    <x:sheet xmlns:r="http://schemas.openxmlformats.org/officeDocument/2006/relationships" name="Heat Rejection" sheetId="7" r:id="R9778e25da37c4fbd"/>
    <x:sheet xmlns:r="http://schemas.openxmlformats.org/officeDocument/2006/relationships" name="Offload Transient" sheetId="8" r:id="R1f25932df2234cba"/>
    <x:sheet xmlns:r="http://schemas.openxmlformats.org/officeDocument/2006/relationships" name="Landing Contact" sheetId="9" r:id="Rdc414ab24dfd4c4e"/>
    <x:sheet xmlns:r="http://schemas.openxmlformats.org/officeDocument/2006/relationships" name="Mooring and Gust" sheetId="10" r:id="Rd75e73d161544dd7"/>
    <x:sheet xmlns:r="http://schemas.openxmlformats.org/officeDocument/2006/relationships" name="Payload and Balance" sheetId="11" r:id="Rcb2f5b78293c4332"/>
    <x:sheet xmlns:r="http://schemas.openxmlformats.org/officeDocument/2006/relationships" name="Crew and Casualty" sheetId="12" r:id="R4a6776f9eb5a4f97"/>
    <x:sheet xmlns:r="http://schemas.openxmlformats.org/officeDocument/2006/relationships" name="Receiver and Clock" sheetId="13" r:id="R7ced0d16f3764509"/>
    <x:sheet xmlns:r="http://schemas.openxmlformats.org/officeDocument/2006/relationships" name="Reset and Workforce" sheetId="14" r:id="R378689d54b264d32"/>
    <x:sheet xmlns:r="http://schemas.openxmlformats.org/officeDocument/2006/relationships" name="Production and Cost" sheetId="15" r:id="Ra1203d5657c1494e"/>
    <x:sheet xmlns:r="http://schemas.openxmlformats.org/officeDocument/2006/relationships" name="Technology Program" sheetId="16" r:id="R33a5082a04db4684"/>
    <x:sheet xmlns:r="http://schemas.openxmlformats.org/officeDocument/2006/relationships" name="Evidence Gates" sheetId="17" r:id="R8d1790ee557d45b4"/>
    <x:sheet xmlns:r="http://schemas.openxmlformats.org/officeDocument/2006/relationships" name="Audit" sheetId="18" r:id="Rff417da929404680"/>
    <x:sheet xmlns:r="http://schemas.openxmlformats.org/officeDocument/2006/relationships" name="ReadMe" sheetId="19" r:id="Rd11e6555a8024a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%"/>
    <x:numFmt numFmtId="202" formatCode="&quot;$&quot;#,##0.00000"/>
    <x:numFmt numFmtId="203" formatCode="#,##0.000"/>
    <x:numFmt numFmtId="204" formatCode="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17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bottom style="thin">
        <x:color rgb="FFD8E0E5"/>
      </x:bottom>
    </x:border>
    <x:border>
      <x:top style="thin">
        <x:color rgb="FFD8E0E5"/>
      </x:top>
    </x:border>
    <x:border>
      <x:left style="thin">
        <x:color rgb="FFFFFFFF"/>
      </x:left>
      <x:bottom style="thin">
        <x:color rgb="FFD8E0E5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3" borderId="16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203" fontId="1" fillId="0" borderId="11" xfId="0" applyNumberFormat="1" applyFont="1" applyFill="1" applyBorder="1" applyAlignment="1">
      <x:alignment vertical="center"/>
    </x:xf>
    <x:xf numFmtId="203" fontId="1" fillId="0" borderId="12" xfId="0" applyNumberFormat="1" applyFont="1" applyFill="1" applyBorder="1" applyAlignment="1">
      <x:alignment vertical="center"/>
    </x:xf>
    <x:xf numFmtId="203" fontId="1" fillId="0" borderId="13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7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1d2c190814a79" /><Relationship Type="http://schemas.openxmlformats.org/officeDocument/2006/relationships/theme" Target="/xl/theme/theme1.xml" Id="R783fb2fcc1894134" /><Relationship Type="http://schemas.openxmlformats.org/officeDocument/2006/relationships/sharedStrings" Target="/xl/sharedStrings.xml" Id="R7fa4bcfbca154f0c" /><Relationship Type="http://schemas.openxmlformats.org/officeDocument/2006/relationships/worksheet" Target="/xl/worksheets/sheet1.xml" Id="Rd15592775f1e4367" /><Relationship Type="http://schemas.openxmlformats.org/officeDocument/2006/relationships/worksheet" Target="/xl/worksheets/sheet2.xml" Id="R7efe45422c94435d" /><Relationship Type="http://schemas.openxmlformats.org/officeDocument/2006/relationships/worksheet" Target="/xl/worksheets/sheet3.xml" Id="Rab11d26f1a1c453c" /><Relationship Type="http://schemas.openxmlformats.org/officeDocument/2006/relationships/worksheet" Target="/xl/worksheets/sheet4.xml" Id="Rda14f7f31bee4e40" /><Relationship Type="http://schemas.openxmlformats.org/officeDocument/2006/relationships/worksheet" Target="/xl/worksheets/sheet5.xml" Id="Rb278ebe67cfe4f1b" /><Relationship Type="http://schemas.openxmlformats.org/officeDocument/2006/relationships/worksheet" Target="/xl/worksheets/sheet6.xml" Id="R758513ce667440d5" /><Relationship Type="http://schemas.openxmlformats.org/officeDocument/2006/relationships/worksheet" Target="/xl/worksheets/sheet7.xml" Id="R9778e25da37c4fbd" /><Relationship Type="http://schemas.openxmlformats.org/officeDocument/2006/relationships/worksheet" Target="/xl/worksheets/sheet8.xml" Id="R1f25932df2234cba" /><Relationship Type="http://schemas.openxmlformats.org/officeDocument/2006/relationships/worksheet" Target="/xl/worksheets/sheet9.xml" Id="Rdc414ab24dfd4c4e" /><Relationship Type="http://schemas.openxmlformats.org/officeDocument/2006/relationships/worksheet" Target="/xl/worksheets/sheet10.xml" Id="Rd75e73d161544dd7" /><Relationship Type="http://schemas.openxmlformats.org/officeDocument/2006/relationships/worksheet" Target="/xl/worksheets/sheet11.xml" Id="Rcb2f5b78293c4332" /><Relationship Type="http://schemas.openxmlformats.org/officeDocument/2006/relationships/worksheet" Target="/xl/worksheets/sheet12.xml" Id="R4a6776f9eb5a4f97" /><Relationship Type="http://schemas.openxmlformats.org/officeDocument/2006/relationships/worksheet" Target="/xl/worksheets/sheet13.xml" Id="R7ced0d16f3764509" /><Relationship Type="http://schemas.openxmlformats.org/officeDocument/2006/relationships/worksheet" Target="/xl/worksheets/sheet14.xml" Id="R378689d54b264d32" /><Relationship Type="http://schemas.openxmlformats.org/officeDocument/2006/relationships/worksheet" Target="/xl/worksheets/sheet15.xml" Id="Ra1203d5657c1494e" /><Relationship Type="http://schemas.openxmlformats.org/officeDocument/2006/relationships/worksheet" Target="/xl/worksheets/sheet16.xml" Id="R33a5082a04db4684" /><Relationship Type="http://schemas.openxmlformats.org/officeDocument/2006/relationships/worksheet" Target="/xl/worksheets/sheet17.xml" Id="R8d1790ee557d45b4" /><Relationship Type="http://schemas.openxmlformats.org/officeDocument/2006/relationships/worksheet" Target="/xl/worksheets/sheet18.xml" Id="Rff417da929404680" /><Relationship Type="http://schemas.openxmlformats.org/officeDocument/2006/relationships/worksheet" Target="/xl/worksheets/sheet19.xml" Id="Rd11e6555a8024a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4" hidden="0" customWidth="1"/>
    <x:col min="3" max="3" width="55" hidden="0" customWidth="1"/>
    <x:col min="4" max="4" width="18" hidden="0" customWidth="1"/>
    <x:col min="5" max="5" width="20" hidden="0" customWidth="1"/>
    <x:col min="6" max="6" width="22" hidden="0" customWidth="1"/>
    <x:col min="7" max="7" width="34" hidden="0" customWidth="1"/>
    <x:col min="8" max="8" width="20" hidden="0" customWidth="1"/>
    <x:col min="9" max="9" width="20" hidden="0" customWidth="1"/>
    <x:col min="10" max="10" width="22" hidden="0" customWidth="1"/>
    <x:col min="11" max="11" width="16" hidden="0" customWidth="1"/>
    <x:col min="12" max="12" width="18" hidden="0" customWidth="1"/>
    <x:col min="13" max="13" width="3" hidden="0" customWidth="1"/>
    <x:col min="14" max="14" width="18" hidden="0" customWidth="1"/>
    <x:col min="15" max="15" width="16" hidden="0" customWidth="1"/>
  </x:cols>
  <x:sheetData>
    <x:row r="2">
      <x:c r="B2" s="3" t="str">
        <x:v>GCH-340R complete-system and transient closure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B3" s="4" t="str">
        <x:v>Pass 87 behavior reference; all representative evidence remains open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>
      <x:c r="B6" s="8" t="str">
        <x:v>Decision</x:v>
      </x:c>
      <x:c r="C6" s="9" t="str">
        <x:v>Decision</x:v>
      </x:c>
      <x:c r="D6" s="9" t="str">
        <x:v>Decision</x:v>
      </x:c>
      <x:c r="E6" s="9" t="str">
        <x:v>Decision</x:v>
      </x:c>
      <x:c r="F6" s="9" t="str">
        <x:v>Decision</x:v>
      </x:c>
      <x:c r="G6" s="9" t="str">
        <x:v>Decision</x:v>
      </x:c>
      <x:c r="H6" s="9" t="str">
        <x:v>Decision</x:v>
      </x:c>
      <x:c r="I6" s="9" t="str">
        <x:v>Decision</x:v>
      </x:c>
      <x:c r="J6" s="9" t="str">
        <x:v>Decision</x:v>
      </x:c>
      <x:c r="K6" s="9" t="str">
        <x:v>Decision</x:v>
      </x:c>
      <x:c r="L6" s="9" t="str">
        <x:v>Decision</x:v>
      </x:c>
      <x:c r="M6" s="9" t="str">
        <x:v>Decision</x:v>
      </x:c>
      <x:c r="N6" s="9" t="str">
        <x:v>Decision</x:v>
      </x:c>
      <x:c r="O6" s="10" t="str">
        <x:v>Decision</x:v>
      </x:c>
    </x:row>
    <x:row r="7">
      <x:c r="B7" s="67" t="str">
        <x:v>Selected reference</x:v>
      </x:c>
      <x:c r="C7" s="40" t="str">
        <x:v>GCH-340R cellular hydrogen-conversion lifting body</x:v>
      </x:c>
      <x:c r="D7" s="40" t="str"/>
      <x:c r="E7" s="40" t="str"/>
      <x:c r="F7" s="67" t="str">
        <x:v>Architecture status</x:v>
      </x:c>
      <x:c r="G7" s="40" t="str">
        <x:v>R2 behavior reference</x:v>
      </x:c>
      <x:c r="H7" s="40" t="str"/>
      <x:c r="I7" s="40" t="str"/>
      <x:c r="J7" s="67" t="str">
        <x:v>Evidence gates</x:v>
      </x:c>
      <x:c r="K7" s="40" t="n">
        <x:v>150</x:v>
      </x:c>
      <x:c r="L7" s="40" t="str">
        <x:v>all open</x:v>
      </x:c>
      <x:c r="M7" s="40" t="str"/>
      <x:c r="N7" s="40" t="str">
        <x:v>Rendering</x:v>
      </x:c>
      <x:c r="O7" s="67" t="str">
        <x:v>BLOCKED</x:v>
      </x:c>
    </x:row>
    <x:row r="8">
      <x:c r="B8" s="68" t="str">
        <x:v>Governing correction</x:v>
      </x:c>
      <x:c r="C8" s="28" t="str">
        <x:v>Complete energy, containment, contact and life-safety mass overturns the 1,003 t predecessor</x:v>
      </x:c>
      <x:c r="D8" s="28" t="str"/>
      <x:c r="E8" s="28" t="str"/>
      <x:c r="F8" s="68" t="str">
        <x:v>Worst unload atmosphere</x:v>
      </x:c>
      <x:c r="G8" s="28" t="str">
        <x:v>cold dense, not hot high</x:v>
      </x:c>
      <x:c r="H8" s="28" t="str"/>
      <x:c r="I8" s="28" t="str"/>
      <x:c r="J8" s="68" t="str">
        <x:v>Strict readiness credit</x:v>
      </x:c>
      <x:c r="K8" s="28" t="n">
        <x:v>0</x:v>
      </x:c>
      <x:c r="L8" s="28" t="str">
        <x:v>systems</x:v>
      </x:c>
      <x:c r="M8" s="28" t="str"/>
      <x:c r="N8" s="28" t="str">
        <x:v>Admission</x:v>
      </x:c>
      <x:c r="O8" s="68" t="str">
        <x:v>NONE</x:v>
      </x:c>
    </x:row>
    <x:row r="9">
      <x:c r="B9" s="68" t="str">
        <x:v>Vehicle logic</x:v>
      </x:c>
      <x:c r="C9" s="28" t="str">
        <x:v>Partial static lift, aerodynamic cruise, distributed contact and lift-gas-to-water support conversion</x:v>
      </x:c>
      <x:c r="D9" s="28" t="str"/>
      <x:c r="E9" s="28" t="str"/>
      <x:c r="F9" s="68" t="str">
        <x:v>Formation logic</x:v>
      </x:c>
      <x:c r="G9" s="28" t="str">
        <x:v>two independent atmospheric carriers; terrain remains whole-mode substitute</x:v>
      </x:c>
      <x:c r="H9" s="28" t="str"/>
      <x:c r="I9" s="28" t="str"/>
      <x:c r="J9" s="68" t="str">
        <x:v>Program logic</x:v>
      </x:c>
      <x:c r="K9" s="28" t="str">
        <x:v>new industrial sector, not derivative airship procurement</x:v>
      </x:c>
      <x:c r="L9" s="28" t="str"/>
      <x:c r="M9" s="28" t="str"/>
      <x:c r="N9" s="28" t="str">
        <x:v>Pass</x:v>
      </x:c>
      <x:c r="O9" s="68" t="str">
        <x:v>87</x:v>
      </x:c>
    </x:row>
    <x:row r="10">
      <x:c r="B10" s="69" t="str">
        <x:v>Use boundary</x:v>
      </x:c>
      <x:c r="C10" s="43" t="str">
        <x:v>Research requirements and falsification only; no procurement estimate, readiness claim or exterior design</x:v>
      </x:c>
      <x:c r="D10" s="43" t="str"/>
      <x:c r="E10" s="43" t="str"/>
      <x:c r="F10" s="69" t="str"/>
      <x:c r="G10" s="43" t="str"/>
      <x:c r="H10" s="43" t="str"/>
      <x:c r="I10" s="43" t="str"/>
      <x:c r="J10" s="69" t="str"/>
      <x:c r="K10" s="43" t="str"/>
      <x:c r="L10" s="43" t="str"/>
      <x:c r="M10" s="43" t="str"/>
      <x:c r="N10" s="43" t="str"/>
      <x:c r="O10" s="69" t="str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>
      <x:c r="B13" s="8" t="str">
        <x:v>Vehicle closure</x:v>
      </x:c>
      <x:c r="C13" s="9" t="str">
        <x:v>Vehicle closure</x:v>
      </x:c>
      <x:c r="D13" s="9" t="str">
        <x:v>Vehicle closure</x:v>
      </x:c>
      <x:c r="E13" s="9" t="str">
        <x:v>Vehicle closure</x:v>
      </x:c>
      <x:c r="F13" s="9" t="str">
        <x:v>Vehicle closure</x:v>
      </x:c>
      <x:c r="G13" s="8" t="str">
        <x:v>Force and economy</x:v>
      </x:c>
      <x:c r="H13" s="9" t="str">
        <x:v>Force and economy</x:v>
      </x:c>
      <x:c r="I13" s="9" t="str">
        <x:v>Force and economy</x:v>
      </x:c>
      <x:c r="J13" s="9" t="str">
        <x:v>Force and economy</x:v>
      </x:c>
      <x:c r="K13" s="9" t="str">
        <x:v>Force and economy</x:v>
      </x:c>
      <x:c r="L13" s="9" t="str">
        <x:v>Force and economy</x:v>
      </x:c>
      <x:c r="M13" s="9" t="str">
        <x:v>Force and economy</x:v>
      </x:c>
      <x:c r="N13" s="9" t="str">
        <x:v>Force and economy</x:v>
      </x:c>
      <x:c r="O13" s="10" t="str">
        <x:v>Force and economy</x:v>
      </x:c>
    </x:row>
    <x:row r="14">
      <x:c r="B14" s="26" t="str">
        <x:v>Metric</x:v>
      </x:c>
      <x:c r="C14" s="27" t="str">
        <x:v>Pass 87</x:v>
      </x:c>
      <x:c r="D14" s="27" t="str">
        <x:v>Pass 83</x:v>
      </x:c>
      <x:c r="E14" s="27" t="str">
        <x:v>Change / boundary</x:v>
      </x:c>
      <x:c r="F14" s="2"/>
      <x:c r="G14" s="26" t="str">
        <x:v>Metric</x:v>
      </x:c>
      <x:c r="H14" s="27" t="str">
        <x:v>Pass 87</x:v>
      </x:c>
      <x:c r="I14" s="27" t="str">
        <x:v>Pass 86 / prior</x:v>
      </x:c>
      <x:c r="J14" s="27" t="str">
        <x:v>Change</x:v>
      </x:c>
      <x:c r="K14" s="2"/>
      <x:c r="L14" s="2"/>
      <x:c r="M14" s="2"/>
      <x:c r="N14" s="2"/>
      <x:c r="O14" s="2"/>
    </x:row>
    <x:row r="15">
      <x:c r="B15" s="34" t="str">
        <x:v>Rated departure gross</x:v>
      </x:c>
      <x:c r="C15" s="71" t="n">
        <x:f>'Mass and Lift'!J13</x:f>
        <x:v>1461.4153605001538</x:v>
      </x:c>
      <x:c r="D15" s="71" t="n">
        <x:v>1003</x:v>
      </x:c>
      <x:c r="E15" s="72" t="n">
        <x:f>C15-D15</x:f>
        <x:v>458.41536050015384</x:v>
      </x:c>
      <x:c r="F15" s="2"/>
      <x:c r="G15" s="34" t="str">
        <x:v>GCH-340 program</x:v>
      </x:c>
      <x:c r="H15" s="71" t="n">
        <x:f>'Production and Cost'!F20</x:f>
        <x:v>1729.7432</x:v>
      </x:c>
      <x:c r="I15" s="71" t="n">
        <x:v>932.25745</x:v>
      </x:c>
      <x:c r="J15" s="72" t="n">
        <x:f>H15-I15</x:f>
        <x:v>797.4857499999999</x:v>
      </x:c>
      <x:c r="K15" s="2"/>
      <x:c r="L15" s="2"/>
      <x:c r="M15" s="2"/>
      <x:c r="N15" s="2"/>
      <x:c r="O15" s="2"/>
    </x:row>
    <x:row r="16">
      <x:c r="B16" s="34" t="str">
        <x:v>Empty tare with tankage</x:v>
      </x:c>
      <x:c r="C16" s="71" t="n">
        <x:f>'Mass and Lift'!J11</x:f>
        <x:v>990.1796439077965</x:v>
      </x:c>
      <x:c r="D16" s="71" t="n">
        <x:v>663</x:v>
      </x:c>
      <x:c r="E16" s="72" t="n">
        <x:f>C16-D16</x:f>
        <x:v>327.1796439077965</x:v>
      </x:c>
      <x:c r="F16" s="2"/>
      <x:c r="G16" s="34" t="str">
        <x:v>DCP-2 program</x:v>
      </x:c>
      <x:c r="H16" s="71" t="n">
        <x:f>'Production and Cost'!C30</x:f>
        <x:v>3777.3010999999997</x:v>
      </x:c>
      <x:c r="I16" s="71" t="n">
        <x:v>2979.81535</x:v>
      </x:c>
      <x:c r="J16" s="72" t="n">
        <x:f>H16-I16</x:f>
        <x:v>797.4857499999998</x:v>
      </x:c>
      <x:c r="K16" s="2"/>
      <x:c r="L16" s="2"/>
      <x:c r="M16" s="2"/>
      <x:c r="N16" s="2"/>
      <x:c r="O16" s="2"/>
    </x:row>
    <x:row r="17">
      <x:c r="B17" s="34" t="str">
        <x:v>Hot-high static lift</x:v>
      </x:c>
      <x:c r="C17" s="71" t="n">
        <x:f>'Lift Cells and Geometry'!C28</x:f>
        <x:v>862.6</x:v>
      </x:c>
      <x:c r="D17" s="71" t="n">
        <x:v>711.28</x:v>
      </x:c>
      <x:c r="E17" s="72" t="n">
        <x:f>C17-D17</x:f>
        <x:v>151.32000000000005</x:v>
      </x:c>
      <x:c r="F17" s="2"/>
      <x:c r="G17" s="34" t="str">
        <x:v>National boundary</x:v>
      </x:c>
      <x:c r="H17" s="71" t="n">
        <x:f>'Production and Cost'!C32</x:f>
        <x:v>11160.44265</x:v>
      </x:c>
      <x:c r="I17" s="71" t="n">
        <x:v>10362.9569</x:v>
      </x:c>
      <x:c r="J17" s="72" t="n">
        <x:f>H17-I17</x:f>
        <x:v>797.4857500000016</x:v>
      </x:c>
      <x:c r="K17" s="2"/>
      <x:c r="L17" s="2"/>
      <x:c r="M17" s="2"/>
      <x:c r="N17" s="2"/>
      <x:c r="O17" s="2"/>
    </x:row>
    <x:row r="18">
      <x:c r="B18" s="34" t="str">
        <x:v>Rated dynamic-lift demand</x:v>
      </x:c>
      <x:c r="C18" s="71" t="n">
        <x:f>'Mass and Lift'!J16</x:f>
        <x:v>598.8153605001538</x:v>
      </x:c>
      <x:c r="D18" s="71" t="n">
        <x:v>291.72</x:v>
      </x:c>
      <x:c r="E18" s="72" t="n">
        <x:f>C18-D18</x:f>
        <x:v>307.0953605001538</x:v>
      </x:c>
      <x:c r="F18" s="2"/>
      <x:c r="G18" s="34" t="str">
        <x:v>DCP-2 deployed</x:v>
      </x:c>
      <x:c r="H18" s="71" t="n">
        <x:f>'Reset and Workforce'!M21</x:f>
        <x:v>758</x:v>
      </x:c>
      <x:c r="I18" s="71" t="n">
        <x:v>700</x:v>
      </x:c>
      <x:c r="J18" s="72" t="n">
        <x:f>H18-I18</x:f>
        <x:v>58</x:v>
      </x:c>
      <x:c r="K18" s="2"/>
      <x:c r="L18" s="2"/>
      <x:c r="M18" s="2"/>
      <x:c r="N18" s="2"/>
      <x:c r="O18" s="2"/>
    </x:row>
    <x:row r="19">
      <x:c r="B19" s="34" t="str">
        <x:v>Onboard deliverable energy</x:v>
      </x:c>
      <x:c r="C19" s="71" t="n">
        <x:f>'Energy and Propulsion'!C22</x:f>
        <x:v>2185.074681262748</x:v>
      </x:c>
      <x:c r="D19" s="71" t="n">
        <x:v>1575</x:v>
      </x:c>
      <x:c r="E19" s="72" t="n">
        <x:f>C19-D19</x:f>
        <x:v>610.0746812627481</x:v>
      </x:c>
      <x:c r="F19" s="2"/>
      <x:c r="G19" s="34" t="str">
        <x:v>DCP-2 affiliated</x:v>
      </x:c>
      <x:c r="H19" s="71" t="n">
        <x:f>'Reset and Workforce'!M22</x:f>
        <x:v>1699</x:v>
      </x:c>
      <x:c r="I19" s="71" t="n">
        <x:v>1557</x:v>
      </x:c>
      <x:c r="J19" s="72" t="n">
        <x:f>H19-I19</x:f>
        <x:v>142</x:v>
      </x:c>
      <x:c r="K19" s="2"/>
      <x:c r="L19" s="2"/>
      <x:c r="M19" s="2"/>
      <x:c r="N19" s="2"/>
      <x:c r="O19" s="2"/>
    </x:row>
    <x:row r="20">
      <x:c r="B20" s="34" t="str">
        <x:v>Landing contact area</x:v>
      </x:c>
      <x:c r="C20" s="71" t="n">
        <x:f>Assumptions!C48</x:f>
        <x:v>160</x:v>
      </x:c>
      <x:c r="D20" s="71" t="n">
        <x:v>60</x:v>
      </x:c>
      <x:c r="E20" s="72" t="n">
        <x:f>C20-D20</x:f>
        <x:v>100</x:v>
      </x:c>
      <x:c r="F20" s="2"/>
      <x:c r="G20" s="34" t="str">
        <x:v>DCP-2 minimum watch</x:v>
      </x:c>
      <x:c r="H20" s="71" t="n">
        <x:f>'Reset and Workforce'!M23</x:f>
        <x:v>244</x:v>
      </x:c>
      <x:c r="I20" s="71" t="n">
        <x:v>226</x:v>
      </x:c>
      <x:c r="J20" s="72" t="n">
        <x:f>H20-I20</x:f>
        <x:v>18</x:v>
      </x:c>
      <x:c r="K20" s="2"/>
      <x:c r="L20" s="2"/>
      <x:c r="M20" s="2"/>
      <x:c r="N20" s="2"/>
      <x:c r="O20" s="2"/>
    </x:row>
    <x:row r="21">
      <x:c r="B21" s="34" t="str">
        <x:v>Cold-dense H2 conversion</x:v>
      </x:c>
      <x:c r="C21" s="71" t="n">
        <x:f>'Offload Transient'!C13</x:f>
        <x:v>8.980792189740528</x:v>
      </x:c>
      <x:c r="D21" s="71" t="n">
        <x:v>0</x:v>
      </x:c>
      <x:c r="E21" s="72" t="n">
        <x:f>C21-D21</x:f>
        <x:v>8.980792189740528</x:v>
      </x:c>
      <x:c r="F21" s="2"/>
      <x:c r="G21" s="34" t="str">
        <x:v>Atmospheric articles</x:v>
      </x:c>
      <x:c r="H21" s="71" t="n">
        <x:f>'Production and Cost'!J40</x:f>
        <x:v>118</x:v>
      </x:c>
      <x:c r="I21" s="71" t="n">
        <x:v>112</x:v>
      </x:c>
      <x:c r="J21" s="72" t="n">
        <x:f>H21-I21</x:f>
        <x:v>6</x:v>
      </x:c>
      <x:c r="K21" s="2"/>
      <x:c r="L21" s="2"/>
      <x:c r="M21" s="2"/>
      <x:c r="N21" s="2"/>
      <x:c r="O21" s="2"/>
    </x:row>
    <x:row r="22">
      <x:c r="B22" s="34" t="str">
        <x:v>One-foot-loss ground pressure</x:v>
      </x:c>
      <x:c r="C22" s="71" t="n">
        <x:f>'Landing Contact'!H9</x:f>
        <x:v>40.583352382281305</x:v>
      </x:c>
      <x:c r="D22" s="71" t="n">
        <x:v>60</x:v>
      </x:c>
      <x:c r="E22" s="72" t="n">
        <x:f>D22-C22</x:f>
        <x:v>19.416647617718695</x:v>
      </x:c>
      <x:c r="F22" s="2"/>
      <x:c r="G22" s="34" t="str">
        <x:v>Technology portfolio</x:v>
      </x:c>
      <x:c r="H22" s="71" t="n">
        <x:f>'Technology Program'!C26</x:f>
        <x:v>600</x:v>
      </x:c>
      <x:c r="I22" s="71" t="n">
        <x:v>0</x:v>
      </x:c>
      <x:c r="J22" s="72" t="n">
        <x:f>H22-I22</x:f>
        <x:v>600</x:v>
      </x:c>
      <x:c r="K22" s="2"/>
      <x:c r="L22" s="2"/>
      <x:c r="M22" s="2"/>
      <x:c r="N22" s="2"/>
      <x:c r="O22" s="2"/>
    </x:row>
    <x:row r="23">
      <x:c r="B23" s="34" t="str">
        <x:v>No-anchor gust margin</x:v>
      </x:c>
      <x:c r="C23" s="71" t="n">
        <x:f>'Mooring and Gust'!C13</x:f>
        <x:v>0.32455731249999964</x:v>
      </x:c>
      <x:c r="D23" s="71" t="n">
        <x:v>0</x:v>
      </x:c>
      <x:c r="E23" s="72" t="n">
        <x:f>C23-D23</x:f>
        <x:v>0.32455731249999964</x:v>
      </x:c>
      <x:c r="F23" s="2"/>
      <x:c r="G23" s="34" t="str">
        <x:v>Two-mode service time</x:v>
      </x:c>
      <x:c r="H23" s="71" t="n">
        <x:f>'Receiver and Clock'!C20</x:f>
        <x:v>49.57</x:v>
      </x:c>
      <x:c r="I23" s="71" t="n">
        <x:v>47.916666667</x:v>
      </x:c>
      <x:c r="J23" s="72" t="n">
        <x:f>H23-I23</x:f>
        <x:v>1.653333332999999</x:v>
      </x:c>
      <x:c r="K23" s="2"/>
      <x:c r="L23" s="2"/>
      <x:c r="M23" s="2"/>
      <x:c r="N23" s="2"/>
      <x:c r="O23" s="2"/>
    </x:row>
    <x:row r="24">
      <x:c r="B24" s="34" t="str">
        <x:v>Relative air service</x:v>
      </x:c>
      <x:c r="C24" s="71" t="n">
        <x:f>'Receiver and Clock'!C15</x:f>
        <x:v>41.91666666666667</x:v>
      </x:c>
      <x:c r="D24" s="71" t="n">
        <x:v>41.916666667</x:v>
      </x:c>
      <x:c r="E24" s="72" t="n">
        <x:f>C24-D24</x:f>
        <x:v>-3.333298081997782e-10</x:v>
      </x:c>
      <x:c r="F24" s="2"/>
      <x:c r="G24" s="36" t="str">
        <x:v>Two-mode margin to hour 54</x:v>
      </x:c>
      <x:c r="H24" s="73" t="n">
        <x:f>'Receiver and Clock'!C21</x:f>
        <x:v>4.43</x:v>
      </x:c>
      <x:c r="I24" s="73" t="n">
        <x:v>6.083333333</x:v>
      </x:c>
      <x:c r="J24" s="74" t="n">
        <x:f>H24-I24</x:f>
        <x:v>-1.653333333</x:v>
      </x:c>
      <x:c r="K24" s="2"/>
      <x:c r="L24" s="2"/>
      <x:c r="M24" s="2"/>
      <x:c r="N24" s="2"/>
      <x:c r="O24" s="2"/>
    </x:row>
    <x:row r="25">
      <x:c r="B25" s="36" t="str">
        <x:v>Critical reset</x:v>
      </x:c>
      <x:c r="C25" s="73" t="n">
        <x:f>'Reset and Workforce'!C17</x:f>
        <x:v>162</x:v>
      </x:c>
      <x:c r="D25" s="73" t="n">
        <x:v>142</x:v>
      </x:c>
      <x:c r="E25" s="74" t="n">
        <x:f>C25-D25</x:f>
        <x:v>20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>
      <x:c r="B28" s="8" t="str">
        <x:v>Pass 87 stocktake</x:v>
      </x:c>
      <x:c r="C28" s="9" t="str">
        <x:v>Pass 87 stocktake</x:v>
      </x:c>
      <x:c r="D28" s="9" t="str">
        <x:v>Pass 87 stocktake</x:v>
      </x:c>
      <x:c r="E28" s="9" t="str">
        <x:v>Pass 87 stocktake</x:v>
      </x:c>
      <x:c r="F28" s="9" t="str">
        <x:v>Pass 87 stocktake</x:v>
      </x:c>
      <x:c r="G28" s="9" t="str">
        <x:v>Pass 87 stocktake</x:v>
      </x:c>
      <x:c r="H28" s="9" t="str">
        <x:v>Pass 87 stocktake</x:v>
      </x:c>
      <x:c r="I28" s="9" t="str">
        <x:v>Pass 87 stocktake</x:v>
      </x:c>
      <x:c r="J28" s="9" t="str">
        <x:v>Pass 87 stocktake</x:v>
      </x:c>
      <x:c r="K28" s="9" t="str">
        <x:v>Pass 87 stocktake</x:v>
      </x:c>
      <x:c r="L28" s="9" t="str">
        <x:v>Pass 87 stocktake</x:v>
      </x:c>
      <x:c r="M28" s="9" t="str">
        <x:v>Pass 87 stocktake</x:v>
      </x:c>
      <x:c r="N28" s="9" t="str">
        <x:v>Pass 87 stocktake</x:v>
      </x:c>
      <x:c r="O28" s="10" t="str">
        <x:v>Pass 87 stocktake</x:v>
      </x:c>
    </x:row>
    <x:row r="29">
      <x:c r="B29" s="67" t="str">
        <x:v>Now authoritative</x:v>
      </x:c>
      <x:c r="C29" s="40" t="str">
        <x:v>The 1,003 t predecessor is superseded. GCH-340R is a 1,461.4 t rated behavior reference with 2.185 GWh onboard energy, 160 m2 contact and explicit cold-dense offload control.</x:v>
      </x:c>
      <x:c r="D29" s="40" t="str"/>
      <x:c r="E29" s="40" t="str"/>
      <x:c r="F29" s="40" t="str"/>
      <x:c r="G29" s="40" t="str"/>
      <x:c r="H29" s="40" t="str"/>
      <x:c r="I29" s="40" t="str"/>
      <x:c r="J29" s="40" t="str"/>
      <x:c r="K29" s="40" t="str"/>
      <x:c r="L29" s="40" t="str"/>
      <x:c r="M29" s="40" t="str"/>
      <x:c r="N29" s="40" t="str"/>
      <x:c r="O29" s="40" t="str"/>
    </x:row>
    <x:row r="30">
      <x:c r="B30" s="68" t="str">
        <x:v>Falsified</x:v>
      </x:c>
      <x:c r="C30" s="28" t="str">
        <x:v>Hot-high unloading is not the governing transition once complete non-fuel mass and mission-fuel tankage are included. Cold-dense lift creates the larger support-control demand.</x:v>
      </x:c>
      <x:c r="D30" s="28" t="str"/>
      <x:c r="E30" s="28" t="str"/>
      <x:c r="F30" s="28" t="str"/>
      <x:c r="G30" s="28" t="str"/>
      <x:c r="H30" s="28" t="str"/>
      <x:c r="I30" s="28" t="str"/>
      <x:c r="J30" s="28" t="str"/>
      <x:c r="K30" s="28" t="str"/>
      <x:c r="L30" s="28" t="str"/>
      <x:c r="M30" s="28" t="str"/>
      <x:c r="N30" s="28" t="str"/>
      <x:c r="O30" s="28" t="str"/>
    </x:row>
    <x:row r="31">
      <x:c r="B31" s="68" t="str">
        <x:v>Still provisional</x:v>
      </x:c>
      <x:c r="C31" s="28" t="str">
        <x:v>Mass density, lift coefficient, aerodynamic efficiency, hydrogen containment, conversion rate, heat flux, soil shear, gust coefficient, production rate and cost remain hypotheses.</x:v>
      </x:c>
      <x:c r="D31" s="28" t="str"/>
      <x:c r="E31" s="28" t="str"/>
      <x:c r="F31" s="28" t="str"/>
      <x:c r="G31" s="28" t="str"/>
      <x:c r="H31" s="28" t="str"/>
      <x:c r="I31" s="28" t="str"/>
      <x:c r="J31" s="28" t="str"/>
      <x:c r="K31" s="28" t="str"/>
      <x:c r="L31" s="28" t="str"/>
      <x:c r="M31" s="28" t="str"/>
      <x:c r="N31" s="28" t="str"/>
      <x:c r="O31" s="28" t="str"/>
    </x:row>
    <x:row r="32">
      <x:c r="B32" s="68" t="str">
        <x:v>New burden</x:v>
      </x:c>
      <x:c r="C32" s="28" t="str">
        <x:v>The carrier now requires a lift-gas-to-water conversion industry, six isolated energy lanes, 300 m recovery capability, atmospheric hydrogen custody and 105,000 industrial workers.</x:v>
      </x:c>
      <x:c r="D32" s="28" t="str"/>
      <x:c r="E32" s="28" t="str"/>
      <x:c r="F32" s="28" t="str"/>
      <x:c r="G32" s="28" t="str"/>
      <x:c r="H32" s="28" t="str"/>
      <x:c r="I32" s="28" t="str"/>
      <x:c r="J32" s="28" t="str"/>
      <x:c r="K32" s="28" t="str"/>
      <x:c r="L32" s="28" t="str"/>
      <x:c r="M32" s="28" t="str"/>
      <x:c r="N32" s="28" t="str"/>
      <x:c r="O32" s="28" t="str"/>
    </x:row>
    <x:row r="33">
      <x:c r="B33" s="68" t="str">
        <x:v>Next decisive test</x:v>
      </x:c>
      <x:c r="C33" s="28" t="str">
        <x:v>Build and destroy a full four-cell lift bay tied to one conversion train, then repeat a cold-dense partial unload under one-train, one-foot and two-pod loss.</x:v>
      </x:c>
      <x:c r="D33" s="28" t="str"/>
      <x:c r="E33" s="28" t="str"/>
      <x:c r="F33" s="28" t="str"/>
      <x:c r="G33" s="28" t="str"/>
      <x:c r="H33" s="28" t="str"/>
      <x:c r="I33" s="28" t="str"/>
      <x:c r="J33" s="28" t="str"/>
      <x:c r="K33" s="28" t="str"/>
      <x:c r="L33" s="28" t="str"/>
      <x:c r="M33" s="28" t="str"/>
      <x:c r="N33" s="28" t="str"/>
      <x:c r="O33" s="28" t="str"/>
    </x:row>
    <x:row r="34">
      <x:c r="B34" s="69" t="str">
        <x:v>Rendering boundary</x:v>
      </x:c>
      <x:c r="C34" s="43" t="str">
        <x:v>Requirements diagrams may become useful after representative subsystem geometry replaces the present coefficients. Exterior concept art remains blocked.</x:v>
      </x:c>
      <x:c r="D34" s="43" t="str"/>
      <x:c r="E34" s="43" t="str"/>
      <x:c r="F34" s="43" t="str"/>
      <x:c r="G34" s="43" t="str"/>
      <x:c r="H34" s="43" t="str"/>
      <x:c r="I34" s="43" t="str"/>
      <x:c r="J34" s="43" t="str"/>
      <x:c r="K34" s="43" t="str"/>
      <x:c r="L34" s="43" t="str"/>
      <x:c r="M34" s="43" t="str"/>
      <x:c r="N34" s="43" t="str"/>
      <x:c r="O34" s="43" t="str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>
      <x:c r="B37" s="8" t="str">
        <x:v>Integrity</x:v>
      </x:c>
      <x:c r="C37" s="9" t="str">
        <x:v>Integrity</x:v>
      </x:c>
      <x:c r="D37" s="9" t="str">
        <x:v>Integrity</x:v>
      </x:c>
      <x:c r="E37" s="9" t="str">
        <x:v>Integrity</x:v>
      </x:c>
      <x:c r="F37" s="9" t="str">
        <x:v>Integrity</x:v>
      </x:c>
      <x:c r="G37" s="9" t="str">
        <x:v>Integrity</x:v>
      </x:c>
      <x:c r="H37" s="9" t="str">
        <x:v>Integrity</x:v>
      </x:c>
      <x:c r="I37" s="9" t="str">
        <x:v>Integrity</x:v>
      </x:c>
      <x:c r="J37" s="9" t="str">
        <x:v>Integrity</x:v>
      </x:c>
      <x:c r="K37" s="9" t="str">
        <x:v>Integrity</x:v>
      </x:c>
      <x:c r="L37" s="9" t="str">
        <x:v>Integrity</x:v>
      </x:c>
      <x:c r="M37" s="9" t="str">
        <x:v>Integrity</x:v>
      </x:c>
      <x:c r="N37" s="9" t="str">
        <x:v>Integrity</x:v>
      </x:c>
      <x:c r="O37" s="10" t="str">
        <x:v>Integrity</x:v>
      </x:c>
    </x:row>
    <x:row r="38">
      <x:c r="B38" s="26" t="str">
        <x:v>Measure</x:v>
      </x:c>
      <x:c r="C38" s="27" t="str">
        <x:v>Value</x:v>
      </x:c>
      <x:c r="D38" s="27" t="str">
        <x:v>Required</x:v>
      </x:c>
      <x:c r="E38" s="27" t="str">
        <x:v>Status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>
      <x:c r="B39" s="34" t="str">
        <x:v>Model audit checks</x:v>
      </x:c>
      <x:c r="C39" s="34" t="n">
        <x:f>COUNTIF(Audit!F7:F66,"PASS")</x:f>
        <x:v>60</x:v>
      </x:c>
      <x:c r="D39" s="34" t="n">
        <x:v>60</x:v>
      </x:c>
      <x:c r="E39" s="35" t="str">
        <x:f>IF(C39=D39,"PASS","FAIL")</x:f>
        <x:v>PASS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>
      <x:c r="B40" s="34" t="str">
        <x:v>Evidence-state checks</x:v>
      </x:c>
      <x:c r="C40" s="34" t="n">
        <x:f>COUNTIF(Audit!F67:F216,"PASS")</x:f>
        <x:v>150</x:v>
      </x:c>
      <x:c r="D40" s="34" t="n">
        <x:v>150</x:v>
      </x:c>
      <x:c r="E40" s="35" t="str">
        <x:f>IF(C40=D40,"PASS","FAIL")</x:f>
        <x:v>PASS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>
      <x:c r="B41" s="34" t="str">
        <x:v>Open evidence gates</x:v>
      </x:c>
      <x:c r="C41" s="34" t="n">
        <x:f>COUNTIF('Evidence Gates'!I7:I156,"OPEN")</x:f>
        <x:v>150</x:v>
      </x:c>
      <x:c r="D41" s="34" t="n">
        <x:v>150</x:v>
      </x:c>
      <x:c r="E41" s="35" t="str">
        <x:f>IF(C41=D41,"PASS","FAIL")</x:f>
        <x:v>PASS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>
      <x:c r="B42" s="36" t="str">
        <x:v>Strict readiness credit</x:v>
      </x:c>
      <x:c r="C42" s="36" t="n">
        <x:v>0</x:v>
      </x:c>
      <x:c r="D42" s="36" t="n">
        <x:v>0</x:v>
      </x:c>
      <x:c r="E42" s="37" t="str">
        <x:f>IF(C42=D42,"PASS","FAIL")</x:f>
        <x:v>PASS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</x:sheetData>
  <x:mergeCells>
    <x:mergeCell ref="B6:O6"/>
    <x:mergeCell ref="B13:O13"/>
    <x:mergeCell ref="G13:O13"/>
    <x:mergeCell ref="B28:O28"/>
    <x:mergeCell ref="B37:O37"/>
  </x:mergeCells>
  <x:conditionalFormatting sqref="O7:O10">
    <x:cfRule type="containsText" dxfId="69" priority="1" operator="containsText" text="FAIL"/>
    <x:cfRule type="containsText" dxfId="70" priority="2" operator="containsText" text="PASS"/>
    <x:cfRule type="containsText" dxfId="71" priority="3" operator="containsText" text="BLOCKED"/>
  </x:conditionalFormatting>
  <x:conditionalFormatting sqref="E39:E42">
    <x:cfRule type="containsText" dxfId="72" priority="4" operator="containsText" text="FAIL"/>
    <x:cfRule type="containsText" dxfId="73" priority="5" operator="containsText" text="PASS"/>
    <x:cfRule type="containsText" dxfId="74" priority="6" operator="containsText" text="BLOCK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43" hidden="0" customWidth="1"/>
    <x:col min="3" max="3" width="18" hidden="0" customWidth="1"/>
    <x:col min="4" max="4" width="20" hidden="0" customWidth="1"/>
    <x:col min="5" max="5" width="28" hidden="0" customWidth="1"/>
    <x:col min="6" max="6" width="50" hidden="0" customWidth="1"/>
  </x:cols>
  <x:sheetData>
    <x:row r="2">
      <x:c r="B2" s="3" t="str">
        <x:v>GCH-340R complete-system assumptions</x:v>
      </x:c>
      <x:c r="C2" s="2"/>
      <x:c r="D2" s="2"/>
      <x:c r="E2" s="2"/>
      <x:c r="F2" s="2"/>
    </x:row>
    <x:row r="3">
      <x:c r="B3" s="4" t="str">
        <x:v>Repository-derived requirements and declared first-principles hypotheses; blue cells are unmeasured</x:v>
      </x:c>
      <x:c r="C3" s="4"/>
      <x:c r="D3" s="4"/>
      <x:c r="E3" s="4"/>
      <x:c r="F3" s="4"/>
    </x:row>
    <x:row r="4">
      <x:c r="B4" s="5"/>
      <x:c r="C4" s="5"/>
      <x:c r="D4" s="5"/>
      <x:c r="E4" s="5"/>
      <x:c r="F4" s="5"/>
    </x:row>
    <x:row r="5">
      <x:c r="B5" s="2"/>
      <x:c r="C5" s="2"/>
      <x:c r="D5" s="2"/>
      <x:c r="E5" s="2"/>
      <x:c r="F5" s="2"/>
    </x:row>
    <x:row r="6">
      <x:c r="B6" s="8" t="str">
        <x:v>Mission, vehicle, transient, workforce and program controls</x:v>
      </x:c>
      <x:c r="C6" s="9" t="str">
        <x:v>Mission, vehicle, transient, workforce and program controls</x:v>
      </x:c>
      <x:c r="D6" s="9" t="str">
        <x:v>Mission, vehicle, transient, workforce and program controls</x:v>
      </x:c>
      <x:c r="E6" s="9" t="str">
        <x:v>Mission, vehicle, transient, workforce and program controls</x:v>
      </x:c>
      <x:c r="F6" s="10" t="str">
        <x:v>Mission, vehicle, transient, workforce and program controls</x:v>
      </x:c>
    </x:row>
    <x:row r="7">
      <x:c r="B7" s="26" t="str">
        <x:v>Input</x:v>
      </x:c>
      <x:c r="C7" s="27" t="str">
        <x:v>Value</x:v>
      </x:c>
      <x:c r="D7" s="27" t="str">
        <x:v>Unit</x:v>
      </x:c>
      <x:c r="E7" s="27" t="str">
        <x:v>Repository origin</x:v>
      </x:c>
      <x:c r="F7" s="27" t="str">
        <x:v>Meaning</x:v>
      </x:c>
    </x:row>
    <x:row r="8">
      <x:c r="B8" s="28" t="str">
        <x:v>Rated payload</x:v>
      </x:c>
      <x:c r="C8" s="29" t="n">
        <x:v>340</x:v>
      </x:c>
      <x:c r="D8" s="28" t="str">
        <x:v>t</x:v>
      </x:c>
      <x:c r="E8" s="28" t="str">
        <x:v>Pass 82</x:v>
      </x:c>
      <x:c r="F8" s="30" t="str">
        <x:v>carrier payload class</x:v>
      </x:c>
    </x:row>
    <x:row r="9">
      <x:c r="B9" s="28" t="str">
        <x:v>Assigned payload</x:v>
      </x:c>
      <x:c r="C9" s="29" t="n">
        <x:v>317.5</x:v>
      </x:c>
      <x:c r="D9" s="28" t="str">
        <x:v>t</x:v>
      </x:c>
      <x:c r="E9" s="28" t="str">
        <x:v>Pass 82</x:v>
      </x:c>
      <x:c r="F9" s="30" t="str">
        <x:v>two dry blocks and two wet packs</x:v>
      </x:c>
    </x:row>
    <x:row r="10">
      <x:c r="B10" s="28" t="str">
        <x:v>Usable cargo cube</x:v>
      </x:c>
      <x:c r="C10" s="29" t="n">
        <x:v>1400</x:v>
      </x:c>
      <x:c r="D10" s="28" t="str">
        <x:v>m3</x:v>
      </x:c>
      <x:c r="E10" s="28" t="str">
        <x:v>Pass 82</x:v>
      </x:c>
      <x:c r="F10" s="30" t="str">
        <x:v>required clear stowage</x:v>
      </x:c>
    </x:row>
    <x:row r="11">
      <x:c r="B11" s="28" t="str">
        <x:v>Usable load deck</x:v>
      </x:c>
      <x:c r="C11" s="29" t="n">
        <x:v>352</x:v>
      </x:c>
      <x:c r="D11" s="28" t="str">
        <x:v>m2</x:v>
      </x:c>
      <x:c r="E11" s="28" t="str">
        <x:v>Pass 82</x:v>
      </x:c>
      <x:c r="F11" s="30" t="str">
        <x:v>required restraint area</x:v>
      </x:c>
    </x:row>
    <x:row r="12">
      <x:c r="B12" s="28" t="str">
        <x:v>Design range</x:v>
      </x:c>
      <x:c r="C12" s="29" t="n">
        <x:v>4000</x:v>
      </x:c>
      <x:c r="D12" s="28" t="str">
        <x:v>km</x:v>
      </x:c>
      <x:c r="E12" s="28" t="str">
        <x:v>Pass 78</x:v>
      </x:c>
      <x:c r="F12" s="30" t="str">
        <x:v>one-way standoff mission</x:v>
      </x:c>
    </x:row>
    <x:row r="13">
      <x:c r="B13" s="28" t="str">
        <x:v>Cruise speed</x:v>
      </x:c>
      <x:c r="C13" s="29" t="n">
        <x:v>240</x:v>
      </x:c>
      <x:c r="D13" s="28" t="str">
        <x:v>km/h</x:v>
      </x:c>
      <x:c r="E13" s="28" t="str">
        <x:v>Pass 83</x:v>
      </x:c>
      <x:c r="F13" s="30" t="str">
        <x:v>atmospheric mission clock</x:v>
      </x:c>
    </x:row>
    <x:row r="14">
      <x:c r="B14" s="28" t="str">
        <x:v>Air density</x:v>
      </x:c>
      <x:c r="C14" s="29" t="n">
        <x:v>1.225</x:v>
      </x:c>
      <x:c r="D14" s="28" t="str">
        <x:v>kg/m3</x:v>
      </x:c>
      <x:c r="E14" s="28" t="str">
        <x:v>Pass 83</x:v>
      </x:c>
      <x:c r="F14" s="30" t="str">
        <x:v>reference atmosphere</x:v>
      </x:c>
    </x:row>
    <x:row r="15">
      <x:c r="B15" s="28" t="str">
        <x:v>Hydrogen gas density</x:v>
      </x:c>
      <x:c r="C15" s="29" t="n">
        <x:v>0.09</x:v>
      </x:c>
      <x:c r="D15" s="28" t="str">
        <x:v>kg/m3</x:v>
      </x:c>
      <x:c r="E15" s="28" t="str">
        <x:v>declared physics</x:v>
      </x:c>
      <x:c r="F15" s="30" t="str">
        <x:v>lifting-gas reference</x:v>
      </x:c>
    </x:row>
    <x:row r="16">
      <x:c r="B16" s="28" t="str">
        <x:v>Hot-high density factor</x:v>
      </x:c>
      <x:c r="C16" s="29" t="n">
        <x:v>0.8</x:v>
      </x:c>
      <x:c r="D16" s="28" t="str">
        <x:v>fraction</x:v>
      </x:c>
      <x:c r="E16" s="28" t="str">
        <x:v>Pass 83</x:v>
      </x:c>
      <x:c r="F16" s="30" t="str">
        <x:v>minimum-lift design atmosphere</x:v>
      </x:c>
    </x:row>
    <x:row r="17">
      <x:c r="B17" s="28" t="str">
        <x:v>Cold-dense density factor</x:v>
      </x:c>
      <x:c r="C17" s="29" t="n">
        <x:v>1</x:v>
      </x:c>
      <x:c r="D17" s="28" t="str">
        <x:v>fraction</x:v>
      </x:c>
      <x:c r="E17" s="28" t="str">
        <x:v>Pass 87</x:v>
      </x:c>
      <x:c r="F17" s="30" t="str">
        <x:v>maximum-lift receiver atmosphere</x:v>
      </x:c>
    </x:row>
    <x:row r="18">
      <x:c r="B18" s="28" t="str">
        <x:v>Lift volume</x:v>
      </x:c>
      <x:c r="C18" s="29" t="n">
        <x:v>950000</x:v>
      </x:c>
      <x:c r="D18" s="28" t="str">
        <x:v>m3</x:v>
      </x:c>
      <x:c r="E18" s="28" t="str">
        <x:v>Pass 87</x:v>
      </x:c>
      <x:c r="F18" s="30" t="str">
        <x:v>twenty-four isolated cells</x:v>
      </x:c>
    </x:row>
    <x:row r="19">
      <x:c r="B19" s="28" t="str">
        <x:v>Aspect ratio</x:v>
      </x:c>
      <x:c r="C19" s="29" t="n">
        <x:v>3.8</x:v>
      </x:c>
      <x:c r="D19" s="28" t="str">
        <x:v>ratio</x:v>
      </x:c>
      <x:c r="E19" s="28" t="str">
        <x:v>Pass 87</x:v>
      </x:c>
      <x:c r="F19" s="30" t="str">
        <x:v>equivalent-volume geometry</x:v>
      </x:c>
    </x:row>
    <x:row r="20">
      <x:c r="B20" s="28" t="str">
        <x:v>Overall length</x:v>
      </x:c>
      <x:c r="C20" s="29" t="n">
        <x:v>300</x:v>
      </x:c>
      <x:c r="D20" s="28" t="str">
        <x:v>m</x:v>
      </x:c>
      <x:c r="E20" s="28" t="str">
        <x:v>Pass 87</x:v>
      </x:c>
      <x:c r="F20" s="30" t="str">
        <x:v>receiver bounding length</x:v>
      </x:c>
    </x:row>
    <x:row r="21">
      <x:c r="B21" s="28" t="str">
        <x:v>Overall width</x:v>
      </x:c>
      <x:c r="C21" s="29" t="n">
        <x:v>96</x:v>
      </x:c>
      <x:c r="D21" s="28" t="str">
        <x:v>m</x:v>
      </x:c>
      <x:c r="E21" s="28" t="str">
        <x:v>Pass 87</x:v>
      </x:c>
      <x:c r="F21" s="30" t="str">
        <x:v>receiver bounding width</x:v>
      </x:c>
    </x:row>
    <x:row r="22">
      <x:c r="B22" s="28" t="str">
        <x:v>Overall height</x:v>
      </x:c>
      <x:c r="C22" s="29" t="n">
        <x:v>56</x:v>
      </x:c>
      <x:c r="D22" s="28" t="str">
        <x:v>m</x:v>
      </x:c>
      <x:c r="E22" s="28" t="str">
        <x:v>Pass 87</x:v>
      </x:c>
      <x:c r="F22" s="30" t="str">
        <x:v>external volume bound</x:v>
      </x:c>
    </x:row>
    <x:row r="23">
      <x:c r="B23" s="28" t="str">
        <x:v>Bounding-box fill factor</x:v>
      </x:c>
      <x:c r="C23" s="29" t="n">
        <x:v>0.59</x:v>
      </x:c>
      <x:c r="D23" s="28" t="str">
        <x:v>fraction</x:v>
      </x:c>
      <x:c r="E23" s="28" t="str">
        <x:v>Pass 87</x:v>
      </x:c>
      <x:c r="F23" s="30" t="str">
        <x:v>multi-lobe lifting-body volume</x:v>
      </x:c>
    </x:row>
    <x:row r="24">
      <x:c r="B24" s="28" t="str">
        <x:v>Lift cells</x:v>
      </x:c>
      <x:c r="C24" s="29" t="n">
        <x:v>24</x:v>
      </x:c>
      <x:c r="D24" s="28" t="str">
        <x:v>cells</x:v>
      </x:c>
      <x:c r="E24" s="28" t="str">
        <x:v>Pass 87</x:v>
      </x:c>
      <x:c r="F24" s="30" t="str">
        <x:v>six longitudinal bays by four lateral cells</x:v>
      </x:c>
    </x:row>
    <x:row r="25">
      <x:c r="B25" s="28" t="str">
        <x:v>Lift-conversion trains</x:v>
      </x:c>
      <x:c r="C25" s="29" t="n">
        <x:v>6</x:v>
      </x:c>
      <x:c r="D25" s="28" t="str">
        <x:v>trains</x:v>
      </x:c>
      <x:c r="E25" s="28" t="str">
        <x:v>Pass 87</x:v>
      </x:c>
      <x:c r="F25" s="30" t="str">
        <x:v>one per four-cell bay</x:v>
      </x:c>
    </x:row>
    <x:row r="26">
      <x:c r="B26" s="28" t="str">
        <x:v>Maximum lift H2 converted</x:v>
      </x:c>
      <x:c r="C26" s="29" t="n">
        <x:v>18</x:v>
      </x:c>
      <x:c r="D26" s="28" t="str">
        <x:v>t</x:v>
      </x:c>
      <x:c r="E26" s="28" t="str">
        <x:v>Pass 87</x:v>
      </x:c>
      <x:c r="F26" s="30" t="str">
        <x:v>full variable-support authority</x:v>
      </x:c>
    </x:row>
    <x:row r="27">
      <x:c r="B27" s="28" t="str">
        <x:v>Per-train conversion rate</x:v>
      </x:c>
      <x:c r="C27" s="29" t="n">
        <x:v>1.8</x:v>
      </x:c>
      <x:c r="D27" s="28" t="str">
        <x:v>t H2/h</x:v>
      </x:c>
      <x:c r="E27" s="28" t="str">
        <x:v>Pass 87</x:v>
      </x:c>
      <x:c r="F27" s="30" t="str">
        <x:v>one-train-out transfer case</x:v>
      </x:c>
    </x:row>
    <x:row r="28">
      <x:c r="B28" s="28" t="str">
        <x:v>Oxygen captured per H2</x:v>
      </x:c>
      <x:c r="C28" s="29" t="n">
        <x:v>8</x:v>
      </x:c>
      <x:c r="D28" s="28" t="str">
        <x:v>t/t</x:v>
      </x:c>
      <x:c r="E28" s="28" t="str">
        <x:v>declared chemistry</x:v>
      </x:c>
      <x:c r="F28" s="30" t="str">
        <x:v>water formation mass gain</x:v>
      </x:c>
    </x:row>
    <x:row r="29">
      <x:c r="B29" s="28" t="str">
        <x:v>Water produced per H2</x:v>
      </x:c>
      <x:c r="C29" s="29" t="n">
        <x:v>9</x:v>
      </x:c>
      <x:c r="D29" s="28" t="str">
        <x:v>t/t</x:v>
      </x:c>
      <x:c r="E29" s="28" t="str">
        <x:v>declared chemistry</x:v>
      </x:c>
      <x:c r="F29" s="30" t="str">
        <x:v>contained service ballast</x:v>
      </x:c>
    </x:row>
    <x:row r="30">
      <x:c r="B30" s="28" t="str">
        <x:v>Usable conversion energy</x:v>
      </x:c>
      <x:c r="C30" s="29" t="n">
        <x:v>16.65</x:v>
      </x:c>
      <x:c r="D30" s="28" t="str">
        <x:v>MWh/t H2</x:v>
      </x:c>
      <x:c r="E30" s="28" t="str">
        <x:v>Pass 87</x:v>
      </x:c>
      <x:c r="F30" s="30" t="str">
        <x:v>fifty-percent lower-heating-value conversion</x:v>
      </x:c>
    </x:row>
    <x:row r="31">
      <x:c r="B31" s="28" t="str">
        <x:v>Dynamic-lift capacity</x:v>
      </x:c>
      <x:c r="C31" s="29" t="n">
        <x:v>675</x:v>
      </x:c>
      <x:c r="D31" s="28" t="str">
        <x:v>t</x:v>
      </x:c>
      <x:c r="E31" s="28" t="str">
        <x:v>Pass 87</x:v>
      </x:c>
      <x:c r="F31" s="30" t="str">
        <x:v>slow-flight and cruise capacity after complete-system mass closure</x:v>
      </x:c>
    </x:row>
    <x:row r="32">
      <x:c r="B32" s="28" t="str">
        <x:v>Minimum total-lift reserve</x:v>
      </x:c>
      <x:c r="C32" s="29" t="n">
        <x:v>0.05</x:v>
      </x:c>
      <x:c r="D32" s="28" t="str">
        <x:v>fraction</x:v>
      </x:c>
      <x:c r="E32" s="28" t="str">
        <x:v>Pass 82</x:v>
      </x:c>
      <x:c r="F32" s="30" t="str">
        <x:v>departure lift reserve</x:v>
      </x:c>
    </x:row>
    <x:row r="33">
      <x:c r="B33" s="28" t="str">
        <x:v>Aerodynamic lift-to-drag ratio</x:v>
      </x:c>
      <x:c r="C33" s="29" t="n">
        <x:v>12</x:v>
      </x:c>
      <x:c r="D33" s="28" t="str">
        <x:v>ratio</x:v>
      </x:c>
      <x:c r="E33" s="28" t="str">
        <x:v>Pass 83</x:v>
      </x:c>
      <x:c r="F33" s="30" t="str">
        <x:v>required flight performance</x:v>
      </x:c>
    </x:row>
    <x:row r="34">
      <x:c r="B34" s="28" t="str">
        <x:v>Frontal area</x:v>
      </x:c>
      <x:c r="C34" s="29" t="n">
        <x:v>4300</x:v>
      </x:c>
      <x:c r="D34" s="28" t="str">
        <x:v>m2</x:v>
      </x:c>
      <x:c r="E34" s="28" t="str">
        <x:v>Pass 87</x:v>
      </x:c>
      <x:c r="F34" s="30" t="str">
        <x:v>reference drag area</x:v>
      </x:c>
    </x:row>
    <x:row r="35">
      <x:c r="B35" s="28" t="str">
        <x:v>Hull drag coefficient</x:v>
      </x:c>
      <x:c r="C35" s="29" t="n">
        <x:v>0.055</x:v>
      </x:c>
      <x:c r="D35" s="28" t="str">
        <x:v>Cd</x:v>
      </x:c>
      <x:c r="E35" s="28" t="str">
        <x:v>Pass 87</x:v>
      </x:c>
      <x:c r="F35" s="30" t="str">
        <x:v>including integrated appendages</x:v>
      </x:c>
    </x:row>
    <x:row r="36">
      <x:c r="B36" s="28" t="str">
        <x:v>Propulsive efficiency</x:v>
      </x:c>
      <x:c r="C36" s="29" t="n">
        <x:v>0.78</x:v>
      </x:c>
      <x:c r="D36" s="28" t="str">
        <x:v>fraction</x:v>
      </x:c>
      <x:c r="E36" s="28" t="str">
        <x:v>Pass 83</x:v>
      </x:c>
      <x:c r="F36" s="30" t="str">
        <x:v>shaft-to-useful thrust</x:v>
      </x:c>
    </x:row>
    <x:row r="37">
      <x:c r="B37" s="28" t="str">
        <x:v>Hotel and mission power</x:v>
      </x:c>
      <x:c r="C37" s="29" t="n">
        <x:v>10</x:v>
      </x:c>
      <x:c r="D37" s="28" t="str">
        <x:v>MW</x:v>
      </x:c>
      <x:c r="E37" s="28" t="str">
        <x:v>Pass 87</x:v>
      </x:c>
      <x:c r="F37" s="30" t="str">
        <x:v>controls, crew and payload care</x:v>
      </x:c>
    </x:row>
    <x:row r="38">
      <x:c r="B38" s="28" t="str">
        <x:v>Installed electrical power</x:v>
      </x:c>
      <x:c r="C38" s="29" t="n">
        <x:v>192</x:v>
      </x:c>
      <x:c r="D38" s="28" t="str">
        <x:v>MW</x:v>
      </x:c>
      <x:c r="E38" s="28" t="str">
        <x:v>Pass 87</x:v>
      </x:c>
      <x:c r="F38" s="30" t="str">
        <x:v>twelve sixteen-megawatt pods</x:v>
      </x:c>
    </x:row>
    <x:row r="39">
      <x:c r="B39" s="28" t="str">
        <x:v>Propulsion pods</x:v>
      </x:c>
      <x:c r="C39" s="29" t="n">
        <x:v>12</x:v>
      </x:c>
      <x:c r="D39" s="28" t="str">
        <x:v>pods</x:v>
      </x:c>
      <x:c r="E39" s="28" t="str">
        <x:v>Pass 87</x:v>
      </x:c>
      <x:c r="F39" s="30" t="str">
        <x:v>six bilateral stations</x:v>
      </x:c>
    </x:row>
    <x:row r="40">
      <x:c r="B40" s="28" t="str">
        <x:v>Energy buses</x:v>
      </x:c>
      <x:c r="C40" s="29" t="n">
        <x:v>6</x:v>
      </x:c>
      <x:c r="D40" s="28" t="str">
        <x:v>buses</x:v>
      </x:c>
      <x:c r="E40" s="28" t="str">
        <x:v>Pass 87</x:v>
      </x:c>
      <x:c r="F40" s="30" t="str">
        <x:v>two pods per isolated bus</x:v>
      </x:c>
    </x:row>
    <x:row r="41">
      <x:c r="B41" s="28" t="str">
        <x:v>Placement power</x:v>
      </x:c>
      <x:c r="C41" s="29" t="n">
        <x:v>140</x:v>
      </x:c>
      <x:c r="D41" s="28" t="str">
        <x:v>MW</x:v>
      </x:c>
      <x:c r="E41" s="28" t="str">
        <x:v>Pass 87</x:v>
      </x:c>
      <x:c r="F41" s="30" t="str">
        <x:v>arrest, conversion and transfer</x:v>
      </x:c>
    </x:row>
    <x:row r="42">
      <x:c r="B42" s="28" t="str">
        <x:v>Placement and unload</x:v>
      </x:c>
      <x:c r="C42" s="29" t="n">
        <x:v>1.25</x:v>
      </x:c>
      <x:c r="D42" s="28" t="str">
        <x:v>h</x:v>
      </x:c>
      <x:c r="E42" s="28" t="str">
        <x:v>Pass 83</x:v>
      </x:c>
      <x:c r="F42" s="30" t="str">
        <x:v>full transfer clock</x:v>
      </x:c>
    </x:row>
    <x:row r="43">
      <x:c r="B43" s="28" t="str">
        <x:v>Transition power</x:v>
      </x:c>
      <x:c r="C43" s="29" t="n">
        <x:v>20</x:v>
      </x:c>
      <x:c r="D43" s="28" t="str">
        <x:v>MW</x:v>
      </x:c>
      <x:c r="E43" s="28" t="str">
        <x:v>Pass 87</x:v>
      </x:c>
      <x:c r="F43" s="30" t="str">
        <x:v>secondary systems outside cruise</x:v>
      </x:c>
    </x:row>
    <x:row r="44">
      <x:c r="B44" s="28" t="str">
        <x:v>Transition time</x:v>
      </x:c>
      <x:c r="C44" s="29" t="n">
        <x:v>1.5</x:v>
      </x:c>
      <x:c r="D44" s="28" t="str">
        <x:v>h</x:v>
      </x:c>
      <x:c r="E44" s="28" t="str">
        <x:v>Pass 87</x:v>
      </x:c>
      <x:c r="F44" s="30" t="str">
        <x:v>approach and reserve state changes</x:v>
      </x:c>
    </x:row>
    <x:row r="45">
      <x:c r="B45" s="28" t="str">
        <x:v>Mission energy reserve</x:v>
      </x:c>
      <x:c r="C45" s="29" t="n">
        <x:v>0.175</x:v>
      </x:c>
      <x:c r="D45" s="28" t="str">
        <x:v>fraction</x:v>
      </x:c>
      <x:c r="E45" s="28" t="str">
        <x:v>Pass 87</x:v>
      </x:c>
      <x:c r="F45" s="30" t="str">
        <x:v>deliverable onboard reserve</x:v>
      </x:c>
    </x:row>
    <x:row r="46">
      <x:c r="B46" s="28" t="str">
        <x:v>Usable mission-fuel energy</x:v>
      </x:c>
      <x:c r="C46" s="29" t="n">
        <x:v>16.65</x:v>
      </x:c>
      <x:c r="D46" s="28" t="str">
        <x:v>MWh/t</x:v>
      </x:c>
      <x:c r="E46" s="28" t="str">
        <x:v>Pass 87</x:v>
      </x:c>
      <x:c r="F46" s="30" t="str">
        <x:v>cryogenic hydrogen-electric target</x:v>
      </x:c>
    </x:row>
    <x:row r="47">
      <x:c r="B47" s="28" t="str">
        <x:v>Mission-fuel tank ratio</x:v>
      </x:c>
      <x:c r="C47" s="29" t="n">
        <x:v>0.55</x:v>
      </x:c>
      <x:c r="D47" s="28" t="str">
        <x:v>t/t fuel</x:v>
      </x:c>
      <x:c r="E47" s="28" t="str">
        <x:v>Pass 87</x:v>
      </x:c>
      <x:c r="F47" s="30" t="str">
        <x:v>tank, insulation and protection</x:v>
      </x:c>
    </x:row>
    <x:row r="48">
      <x:c r="B48" s="28" t="str">
        <x:v>Landing contact area</x:v>
      </x:c>
      <x:c r="C48" s="29" t="n">
        <x:v>160</x:v>
      </x:c>
      <x:c r="D48" s="28" t="str">
        <x:v>m2</x:v>
      </x:c>
      <x:c r="E48" s="28" t="str">
        <x:v>Pass 87</x:v>
      </x:c>
      <x:c r="F48" s="30" t="str">
        <x:v>sixteen ten-square-metre feet</x:v>
      </x:c>
    </x:row>
    <x:row r="49">
      <x:c r="B49" s="28" t="str">
        <x:v>Contact sectors</x:v>
      </x:c>
      <x:c r="C49" s="29" t="n">
        <x:v>16</x:v>
      </x:c>
      <x:c r="D49" s="28" t="str">
        <x:v>feet</x:v>
      </x:c>
      <x:c r="E49" s="28" t="str">
        <x:v>Pass 87</x:v>
      </x:c>
      <x:c r="F49" s="30" t="str">
        <x:v>eight bilateral stations</x:v>
      </x:c>
    </x:row>
    <x:row r="50">
      <x:c r="B50" s="28" t="str">
        <x:v>Dynamic contact factor</x:v>
      </x:c>
      <x:c r="C50" s="29" t="n">
        <x:v>1.15</x:v>
      </x:c>
      <x:c r="D50" s="28" t="str">
        <x:v>factor</x:v>
      </x:c>
      <x:c r="E50" s="28" t="str">
        <x:v>Pass 85</x:v>
      </x:c>
      <x:c r="F50" s="30" t="str">
        <x:v>landing and transfer dynamics</x:v>
      </x:c>
    </x:row>
    <x:row r="51">
      <x:c r="B51" s="28" t="str">
        <x:v>Load-imbalance factor</x:v>
      </x:c>
      <x:c r="C51" s="29" t="n">
        <x:v>1.1</x:v>
      </x:c>
      <x:c r="D51" s="28" t="str">
        <x:v>factor</x:v>
      </x:c>
      <x:c r="E51" s="28" t="str">
        <x:v>Pass 85</x:v>
      </x:c>
      <x:c r="F51" s="30" t="str">
        <x:v>asymmetric payload and control</x:v>
      </x:c>
    </x:row>
    <x:row r="52">
      <x:c r="B52" s="28" t="str">
        <x:v>Receiver bearing floor</x:v>
      </x:c>
      <x:c r="C52" s="29" t="n">
        <x:v>60</x:v>
      </x:c>
      <x:c r="D52" s="28" t="str">
        <x:v>kPa</x:v>
      </x:c>
      <x:c r="E52" s="28" t="str">
        <x:v>Pass 82</x:v>
      </x:c>
      <x:c r="F52" s="30" t="str">
        <x:v>weak-ground limit</x:v>
      </x:c>
    </x:row>
    <x:row r="53">
      <x:c r="B53" s="28" t="str">
        <x:v>Per-foot structural rating</x:v>
      </x:c>
      <x:c r="C53" s="29" t="n">
        <x:v>45</x:v>
      </x:c>
      <x:c r="D53" s="28" t="str">
        <x:v>t</x:v>
      </x:c>
      <x:c r="E53" s="28" t="str">
        <x:v>Pass 87</x:v>
      </x:c>
      <x:c r="F53" s="30" t="str">
        <x:v>local factored reaction</x:v>
      </x:c>
    </x:row>
    <x:row r="54">
      <x:c r="B54" s="28" t="str">
        <x:v>Minimum controlled ground reaction</x:v>
      </x:c>
      <x:c r="C54" s="29" t="n">
        <x:v>110</x:v>
      </x:c>
      <x:c r="D54" s="28" t="str">
        <x:v>t</x:v>
      </x:c>
      <x:c r="E54" s="28" t="str">
        <x:v>Pass 87</x:v>
      </x:c>
      <x:c r="F54" s="30" t="str">
        <x:v>friction and positive contact</x:v>
      </x:c>
    </x:row>
    <x:row r="55">
      <x:c r="B55" s="28" t="str">
        <x:v>Cold-dense final ground target</x:v>
      </x:c>
      <x:c r="C55" s="29" t="n">
        <x:v>120</x:v>
      </x:c>
      <x:c r="D55" s="28" t="str">
        <x:v>t</x:v>
      </x:c>
      <x:c r="E55" s="28" t="str">
        <x:v>Pass 87</x:v>
      </x:c>
      <x:c r="F55" s="30" t="str">
        <x:v>post-offload station keeping</x:v>
      </x:c>
    </x:row>
    <x:row r="56">
      <x:c r="B56" s="28" t="str">
        <x:v>Side projected-area factor</x:v>
      </x:c>
      <x:c r="C56" s="29" t="n">
        <x:v>0.72</x:v>
      </x:c>
      <x:c r="D56" s="28" t="str">
        <x:v>fraction</x:v>
      </x:c>
      <x:c r="E56" s="28" t="str">
        <x:v>Pass 87</x:v>
      </x:c>
      <x:c r="F56" s="30" t="str">
        <x:v>length-height gust area</x:v>
      </x:c>
    </x:row>
    <x:row r="57">
      <x:c r="B57" s="28" t="str">
        <x:v>Side-force coefficient</x:v>
      </x:c>
      <x:c r="C57" s="29" t="n">
        <x:v>0.38</x:v>
      </x:c>
      <x:c r="D57" s="28" t="str">
        <x:v>Cd</x:v>
      </x:c>
      <x:c r="E57" s="28" t="str">
        <x:v>Pass 87</x:v>
      </x:c>
      <x:c r="F57" s="30" t="str">
        <x:v>broadside gust hypothesis</x:v>
      </x:c>
    </x:row>
    <x:row r="58">
      <x:c r="B58" s="28" t="str">
        <x:v>Design gust</x:v>
      </x:c>
      <x:c r="C58" s="29" t="n">
        <x:v>40</x:v>
      </x:c>
      <x:c r="D58" s="28" t="str">
        <x:v>m/s</x:v>
      </x:c>
      <x:c r="E58" s="28" t="str">
        <x:v>Pass 83</x:v>
      </x:c>
      <x:c r="F58" s="30" t="str">
        <x:v>vehicle capability target</x:v>
      </x:c>
    </x:row>
    <x:row r="59">
      <x:c r="B59" s="28" t="str">
        <x:v>Gust load factor</x:v>
      </x:c>
      <x:c r="C59" s="29" t="n">
        <x:v>1.25</x:v>
      </x:c>
      <x:c r="D59" s="28" t="str">
        <x:v>factor</x:v>
      </x:c>
      <x:c r="E59" s="28" t="str">
        <x:v>Pass 87</x:v>
      </x:c>
      <x:c r="F59" s="30" t="str">
        <x:v>control and uncertainty reserve</x:v>
      </x:c>
    </x:row>
    <x:row r="60">
      <x:c r="B60" s="28" t="str">
        <x:v>Ground friction coefficient</x:v>
      </x:c>
      <x:c r="C60" s="29" t="n">
        <x:v>0.45</x:v>
      </x:c>
      <x:c r="D60" s="28" t="str">
        <x:v>fraction</x:v>
      </x:c>
      <x:c r="E60" s="28" t="str">
        <x:v>Pass 87</x:v>
      </x:c>
      <x:c r="F60" s="30" t="str">
        <x:v>no-anchor surface credit</x:v>
      </x:c>
    </x:row>
    <x:row r="61">
      <x:c r="B61" s="28" t="str">
        <x:v>Static thrust per pod</x:v>
      </x:c>
      <x:c r="C61" s="29" t="n">
        <x:v>0.55</x:v>
      </x:c>
      <x:c r="D61" s="28" t="str">
        <x:v>MN</x:v>
      </x:c>
      <x:c r="E61" s="28" t="str">
        <x:v>Pass 87</x:v>
      </x:c>
      <x:c r="F61" s="30" t="str">
        <x:v>low-speed vector thrust</x:v>
      </x:c>
    </x:row>
    <x:row r="62">
      <x:c r="B62" s="28" t="str">
        <x:v>Radiator area</x:v>
      </x:c>
      <x:c r="C62" s="29" t="n">
        <x:v>480</x:v>
      </x:c>
      <x:c r="D62" s="28" t="str">
        <x:v>m2</x:v>
      </x:c>
      <x:c r="E62" s="28" t="str">
        <x:v>Pass 87</x:v>
      </x:c>
      <x:c r="F62" s="30" t="str">
        <x:v>eight separately isolated panels</x:v>
      </x:c>
    </x:row>
    <x:row r="63">
      <x:c r="B63" s="28" t="str">
        <x:v>Radiator panels</x:v>
      </x:c>
      <x:c r="C63" s="29" t="n">
        <x:v>8</x:v>
      </x:c>
      <x:c r="D63" s="28" t="str">
        <x:v>panels</x:v>
      </x:c>
      <x:c r="E63" s="28" t="str">
        <x:v>Pass 87</x:v>
      </x:c>
      <x:c r="F63" s="30" t="str">
        <x:v>one-panel-out heat rejection</x:v>
      </x:c>
    </x:row>
    <x:row r="64">
      <x:c r="B64" s="28" t="str">
        <x:v>Electrical efficiency</x:v>
      </x:c>
      <x:c r="C64" s="29" t="n">
        <x:v>0.52</x:v>
      </x:c>
      <x:c r="D64" s="28" t="str">
        <x:v>fraction</x:v>
      </x:c>
      <x:c r="E64" s="28" t="str">
        <x:v>Pass 87</x:v>
      </x:c>
      <x:c r="F64" s="30" t="str">
        <x:v>high-temperature conversion</x:v>
      </x:c>
    </x:row>
    <x:row r="65">
      <x:c r="B65" s="28" t="str">
        <x:v>Exhaust heat fraction</x:v>
      </x:c>
      <x:c r="C65" s="29" t="n">
        <x:v>0.72</x:v>
      </x:c>
      <x:c r="D65" s="28" t="str">
        <x:v>fraction</x:v>
      </x:c>
      <x:c r="E65" s="28" t="str">
        <x:v>Pass 87</x:v>
      </x:c>
      <x:c r="F65" s="30" t="str">
        <x:v>waste heat carried in controlled exhaust</x:v>
      </x:c>
    </x:row>
    <x:row r="66">
      <x:c r="B66" s="28" t="str">
        <x:v>Route radiator flux</x:v>
      </x:c>
      <x:c r="C66" s="29" t="n">
        <x:v>0.18</x:v>
      </x:c>
      <x:c r="D66" s="28" t="str">
        <x:v>MW/m2</x:v>
      </x:c>
      <x:c r="E66" s="28" t="str">
        <x:v>Pass 87</x:v>
      </x:c>
      <x:c r="F66" s="30" t="str">
        <x:v>ram-air heat rejection</x:v>
      </x:c>
    </x:row>
    <x:row r="67">
      <x:c r="B67" s="28" t="str">
        <x:v>Stationary radiator flux</x:v>
      </x:c>
      <x:c r="C67" s="29" t="n">
        <x:v>0.14</x:v>
      </x:c>
      <x:c r="D67" s="28" t="str">
        <x:v>MW/m2</x:v>
      </x:c>
      <x:c r="E67" s="28" t="str">
        <x:v>Pass 87</x:v>
      </x:c>
      <x:c r="F67" s="30" t="str">
        <x:v>fan-driven heat rejection</x:v>
      </x:c>
    </x:row>
    <x:row r="68">
      <x:c r="B68" s="28" t="str">
        <x:v>Fouling factor</x:v>
      </x:c>
      <x:c r="C68" s="29" t="n">
        <x:v>0.7</x:v>
      </x:c>
      <x:c r="D68" s="28" t="str">
        <x:v>fraction</x:v>
      </x:c>
      <x:c r="E68" s="28" t="str">
        <x:v>Pass 87</x:v>
      </x:c>
      <x:c r="F68" s="30" t="str">
        <x:v>smoke, salt and dust derate</x:v>
      </x:c>
    </x:row>
    <x:row r="69">
      <x:c r="B69" s="28" t="str">
        <x:v>Cruise radiator factor</x:v>
      </x:c>
      <x:c r="C69" s="29" t="n">
        <x:v>0.75</x:v>
      </x:c>
      <x:c r="D69" s="28" t="str">
        <x:v>fraction</x:v>
      </x:c>
      <x:c r="E69" s="28" t="str">
        <x:v>Pass 87</x:v>
      </x:c>
      <x:c r="F69" s="30" t="str">
        <x:v>icing and fouling derate</x:v>
      </x:c>
    </x:row>
    <x:row r="70">
      <x:c r="B70" s="28" t="str">
        <x:v>Crew</x:v>
      </x:c>
      <x:c r="C70" s="29" t="n">
        <x:v>16</x:v>
      </x:c>
      <x:c r="D70" s="28" t="str">
        <x:v>people</x:v>
      </x:c>
      <x:c r="E70" s="28" t="str">
        <x:v>Pass 87</x:v>
      </x:c>
      <x:c r="F70" s="30" t="str">
        <x:v>split flight, mission and transfer crew</x:v>
      </x:c>
    </x:row>
    <x:row r="71">
      <x:c r="B71" s="28" t="str">
        <x:v>Crew refuges</x:v>
      </x:c>
      <x:c r="C71" s="29" t="n">
        <x:v>2</x:v>
      </x:c>
      <x:c r="D71" s="28" t="str">
        <x:v>refuges</x:v>
      </x:c>
      <x:c r="E71" s="28" t="str">
        <x:v>Pass 87</x:v>
      </x:c>
      <x:c r="F71" s="30" t="str">
        <x:v>independent eight-person control refuges</x:v>
      </x:c>
    </x:row>
    <x:row r="72">
      <x:c r="B72" s="28" t="str">
        <x:v>External egress paths</x:v>
      </x:c>
      <x:c r="C72" s="29" t="n">
        <x:v>4</x:v>
      </x:c>
      <x:c r="D72" s="28" t="str">
        <x:v>paths</x:v>
      </x:c>
      <x:c r="E72" s="28" t="str">
        <x:v>Pass 87</x:v>
      </x:c>
      <x:c r="F72" s="30" t="str">
        <x:v>two per refuge</x:v>
      </x:c>
    </x:row>
    <x:row r="73">
      <x:c r="B73" s="28" t="str">
        <x:v>Dry payload positions</x:v>
      </x:c>
      <x:c r="C73" s="29" t="n">
        <x:v>16</x:v>
      </x:c>
      <x:c r="D73" s="28" t="str">
        <x:v>positions</x:v>
      </x:c>
      <x:c r="E73" s="28" t="str">
        <x:v>Pass 82</x:v>
      </x:c>
      <x:c r="F73" s="30" t="str">
        <x:v>two eight-position load blocks</x:v>
      </x:c>
    </x:row>
    <x:row r="74">
      <x:c r="B74" s="28" t="str">
        <x:v>Wet payload positions</x:v>
      </x:c>
      <x:c r="C74" s="29" t="n">
        <x:v>2</x:v>
      </x:c>
      <x:c r="D74" s="28" t="str">
        <x:v>positions</x:v>
      </x:c>
      <x:c r="E74" s="28" t="str">
        <x:v>Pass 82</x:v>
      </x:c>
      <x:c r="F74" s="30" t="str">
        <x:v>segregated wet packs</x:v>
      </x:c>
    </x:row>
    <x:row r="75">
      <x:c r="B75" s="28" t="str">
        <x:v>Gross cargo deck</x:v>
      </x:c>
      <x:c r="C75" s="29" t="n">
        <x:v>400</x:v>
      </x:c>
      <x:c r="D75" s="28" t="str">
        <x:v>m2</x:v>
      </x:c>
      <x:c r="E75" s="28" t="str">
        <x:v>Pass 87</x:v>
      </x:c>
      <x:c r="F75" s="30" t="str">
        <x:v>two twenty-metre half-bays</x:v>
      </x:c>
    </x:row>
    <x:row r="76">
      <x:c r="B76" s="28" t="str">
        <x:v>Cargo bay gross cube</x:v>
      </x:c>
      <x:c r="C76" s="29" t="n">
        <x:v>1900</x:v>
      </x:c>
      <x:c r="D76" s="28" t="str">
        <x:v>m3</x:v>
      </x:c>
      <x:c r="E76" s="28" t="str">
        <x:v>Pass 87</x:v>
      </x:c>
      <x:c r="F76" s="30" t="str">
        <x:v>clear structure after systems</x:v>
      </x:c>
    </x:row>
    <x:row r="77">
      <x:c r="B77" s="28" t="str">
        <x:v>Receiver length</x:v>
      </x:c>
      <x:c r="C77" s="29" t="n">
        <x:v>420</x:v>
      </x:c>
      <x:c r="D77" s="28" t="str">
        <x:v>m</x:v>
      </x:c>
      <x:c r="E77" s="28" t="str">
        <x:v>Pass 82</x:v>
      </x:c>
      <x:c r="F77" s="30" t="str">
        <x:v>clear transfer core</x:v>
      </x:c>
    </x:row>
    <x:row r="78">
      <x:c r="B78" s="28" t="str">
        <x:v>Receiver width</x:v>
      </x:c>
      <x:c r="C78" s="29" t="n">
        <x:v>420</x:v>
      </x:c>
      <x:c r="D78" s="28" t="str">
        <x:v>m</x:v>
      </x:c>
      <x:c r="E78" s="28" t="str">
        <x:v>Pass 82</x:v>
      </x:c>
      <x:c r="F78" s="30" t="str">
        <x:v>clear transfer core</x:v>
      </x:c>
    </x:row>
    <x:row r="79">
      <x:c r="B79" s="28" t="str">
        <x:v>Origin release</x:v>
      </x:c>
      <x:c r="C79" s="29" t="n">
        <x:v>16</x:v>
      </x:c>
      <x:c r="D79" s="28" t="str">
        <x:v>h</x:v>
      </x:c>
      <x:c r="E79" s="28" t="str">
        <x:v>Pass 82</x:v>
      </x:c>
      <x:c r="F79" s="30" t="str">
        <x:v>two-tower parallel release</x:v>
      </x:c>
    </x:row>
    <x:row r="80">
      <x:c r="B80" s="28" t="str">
        <x:v>Receiver build</x:v>
      </x:c>
      <x:c r="C80" s="29" t="n">
        <x:v>8</x:v>
      </x:c>
      <x:c r="D80" s="28" t="str">
        <x:v>h</x:v>
      </x:c>
      <x:c r="E80" s="28" t="str">
        <x:v>Pass 82</x:v>
      </x:c>
      <x:c r="F80" s="30" t="str">
        <x:v>unload through public-service release</x:v>
      </x:c>
    </x:row>
    <x:row r="81">
      <x:c r="B81" s="28" t="str">
        <x:v>Regional activation offset</x:v>
      </x:c>
      <x:c r="C81" s="29" t="n">
        <x:v>6</x:v>
      </x:c>
      <x:c r="D81" s="28" t="str">
        <x:v>h</x:v>
      </x:c>
      <x:c r="E81" s="28" t="str">
        <x:v>Pass 82</x:v>
      </x:c>
      <x:c r="F81" s="30" t="str">
        <x:v>absolute clock</x:v>
      </x:c>
    </x:row>
    <x:row r="82">
      <x:c r="B82" s="28" t="str">
        <x:v>Relative air ceiling</x:v>
      </x:c>
      <x:c r="C82" s="29" t="n">
        <x:v>42</x:v>
      </x:c>
      <x:c r="D82" s="28" t="str">
        <x:v>h</x:v>
      </x:c>
      <x:c r="E82" s="28" t="str">
        <x:v>Pass 82</x:v>
      </x:c>
      <x:c r="F82" s="30" t="str">
        <x:v>air public-service boundary</x:v>
      </x:c>
    </x:row>
    <x:row r="83">
      <x:c r="B83" s="28" t="str">
        <x:v>Absolute deadline</x:v>
      </x:c>
      <x:c r="C83" s="29" t="n">
        <x:v>54</x:v>
      </x:c>
      <x:c r="D83" s="28" t="str">
        <x:v>h</x:v>
      </x:c>
      <x:c r="E83" s="28" t="str">
        <x:v>Pass 82</x:v>
      </x:c>
      <x:c r="F83" s="30" t="str">
        <x:v>second-region public service</x:v>
      </x:c>
    </x:row>
    <x:row r="84">
      <x:c r="B84" s="28" t="str">
        <x:v>Terrain absolute service</x:v>
      </x:c>
      <x:c r="C84" s="29" t="n">
        <x:v>49.57</x:v>
      </x:c>
      <x:c r="D84" s="28" t="str">
        <x:v>h</x:v>
      </x:c>
      <x:c r="E84" s="28" t="str">
        <x:v>Pass 86</x:v>
      </x:c>
      <x:c r="F84" s="30" t="str">
        <x:v>current two-mode governing path</x:v>
      </x:c>
    </x:row>
    <x:row r="85">
      <x:c r="B85" s="28" t="str">
        <x:v>Reset ceiling</x:v>
      </x:c>
      <x:c r="C85" s="29" t="n">
        <x:v>168</x:v>
      </x:c>
      <x:c r="D85" s="28" t="str">
        <x:v>h</x:v>
      </x:c>
      <x:c r="E85" s="28" t="str">
        <x:v>Pass 82</x:v>
      </x:c>
      <x:c r="F85" s="30" t="str">
        <x:v>return to certified load</x:v>
      </x:c>
    </x:row>
    <x:row r="86">
      <x:c r="B86" s="28" t="str">
        <x:v>Ready atmospheric pairs</x:v>
      </x:c>
      <x:c r="C86" s="29" t="n">
        <x:v>43</x:v>
      </x:c>
      <x:c r="D86" s="28" t="str">
        <x:v>pairs</x:v>
      </x:c>
      <x:c r="E86" s="28" t="str">
        <x:v>Pass 83</x:v>
      </x:c>
      <x:c r="F86" s="30" t="str">
        <x:v>national one-region readiness</x:v>
      </x:c>
    </x:row>
    <x:row r="87">
      <x:c r="B87" s="28" t="str">
        <x:v>Operational vehicles</x:v>
      </x:c>
      <x:c r="C87" s="29" t="n">
        <x:v>86</x:v>
      </x:c>
      <x:c r="D87" s="28" t="str">
        <x:v>vehicles</x:v>
      </x:c>
      <x:c r="E87" s="28" t="str">
        <x:v>Pass 83</x:v>
      </x:c>
      <x:c r="F87" s="30" t="str">
        <x:v>two per ready pair</x:v>
      </x:c>
    </x:row>
    <x:row r="88">
      <x:c r="B88" s="28" t="str">
        <x:v>Reserve vehicles</x:v>
      </x:c>
      <x:c r="C88" s="29" t="n">
        <x:v>18</x:v>
      </x:c>
      <x:c r="D88" s="28" t="str">
        <x:v>vehicles</x:v>
      </x:c>
      <x:c r="E88" s="28" t="str">
        <x:v>Pass 83</x:v>
      </x:c>
      <x:c r="F88" s="30" t="str">
        <x:v>attrition and overhaul pool</x:v>
      </x:c>
    </x:row>
    <x:row r="89">
      <x:c r="B89" s="28" t="str">
        <x:v>Development and test vehicles</x:v>
      </x:c>
      <x:c r="C89" s="29" t="n">
        <x:v>14</x:v>
      </x:c>
      <x:c r="D89" s="28" t="str">
        <x:v>vehicles</x:v>
      </x:c>
      <x:c r="E89" s="28" t="str">
        <x:v>Pass 87</x:v>
      </x:c>
      <x:c r="F89" s="30" t="str">
        <x:v>complete and destructive articles</x:v>
      </x:c>
    </x:row>
    <x:row r="90">
      <x:c r="B90" s="28" t="str">
        <x:v>Operations factor</x:v>
      </x:c>
      <x:c r="C90" s="29" t="n">
        <x:v>15.81</x:v>
      </x:c>
      <x:c r="D90" s="28" t="str">
        <x:v>years</x:v>
      </x:c>
      <x:c r="E90" s="28" t="str">
        <x:v>Pass 82</x:v>
      </x:c>
      <x:c r="F90" s="30" t="str">
        <x:v>twenty-five-year ramp weighting</x:v>
      </x:c>
    </x:row>
    <x:row r="91">
      <x:c r="B91" s="28" t="str">
        <x:v>Pass 83 GCH program</x:v>
      </x:c>
      <x:c r="C91" s="29" t="n">
        <x:v>932.25745</x:v>
      </x:c>
      <x:c r="D91" s="28" t="str">
        <x:v>$B</x:v>
      </x:c>
      <x:c r="E91" s="28" t="str">
        <x:v>Pass 83</x:v>
      </x:c>
      <x:c r="F91" s="30" t="str">
        <x:v>superseded atmospheric account</x:v>
      </x:c>
    </x:row>
    <x:row r="92">
      <x:c r="B92" s="28" t="str">
        <x:v>Pass 86 non-SAT DCP remainder</x:v>
      </x:c>
      <x:c r="C92" s="29" t="n">
        <x:v>1226.98385</x:v>
      </x:c>
      <x:c r="D92" s="28" t="str">
        <x:v>$B</x:v>
      </x:c>
      <x:c r="E92" s="28" t="str">
        <x:v>Pass 86</x:v>
      </x:c>
      <x:c r="F92" s="30" t="str">
        <x:v>includes Pass 83 GCH account</x:v>
      </x:c>
    </x:row>
    <x:row r="93">
      <x:c r="B93" s="28" t="str">
        <x:v>SAT-170R program</x:v>
      </x:c>
      <x:c r="C93" s="29" t="n">
        <x:v>1582.04456</x:v>
      </x:c>
      <x:c r="D93" s="28" t="str">
        <x:v>$B</x:v>
      </x:c>
      <x:c r="E93" s="28" t="str">
        <x:v>Pass 86</x:v>
      </x:c>
      <x:c r="F93" s="30" t="str">
        <x:v>unchanged terrain account</x:v>
      </x:c>
    </x:row>
    <x:row r="94">
      <x:c r="B94" s="28" t="str">
        <x:v>Federated receiver increment</x:v>
      </x:c>
      <x:c r="C94" s="29" t="n">
        <x:v>170.78694</x:v>
      </x:c>
      <x:c r="D94" s="28" t="str">
        <x:v>$B</x:v>
      </x:c>
      <x:c r="E94" s="28" t="str">
        <x:v>Pass 85</x:v>
      </x:c>
      <x:c r="F94" s="30" t="str">
        <x:v>unchanged interface account</x:v>
      </x:c>
    </x:row>
    <x:row r="95">
      <x:c r="B95" s="28" t="str">
        <x:v>Dynamic one-region base</x:v>
      </x:c>
      <x:c r="C95" s="29" t="n">
        <x:v>7383.14155</x:v>
      </x:c>
      <x:c r="D95" s="28" t="str">
        <x:v>$B</x:v>
      </x:c>
      <x:c r="E95" s="28" t="str">
        <x:v>Pass 86</x:v>
      </x:c>
      <x:c r="F95" s="30" t="str">
        <x:v>national boundary outside DCP-2</x:v>
      </x:c>
    </x:row>
    <x:row r="96">
      <x:c r="B96" s="28" t="str">
        <x:v>Pass 86 DCP-2</x:v>
      </x:c>
      <x:c r="C96" s="29" t="n">
        <x:v>2979.81535</x:v>
      </x:c>
      <x:c r="D96" s="28" t="str">
        <x:v>$B</x:v>
      </x:c>
      <x:c r="E96" s="28" t="str">
        <x:v>Pass 86</x:v>
      </x:c>
      <x:c r="F96" s="30" t="str">
        <x:v>superseded reinforcement boundary</x:v>
      </x:c>
    </x:row>
    <x:row r="97">
      <x:c r="B97" s="28" t="str">
        <x:v>Pass 86 national boundary</x:v>
      </x:c>
      <x:c r="C97" s="29" t="n">
        <x:v>10362.9569</x:v>
      </x:c>
      <x:c r="D97" s="28" t="str">
        <x:v>$B</x:v>
      </x:c>
      <x:c r="E97" s="28" t="str">
        <x:v>Pass 86</x:v>
      </x:c>
      <x:c r="F97" s="30" t="str">
        <x:v>superseded national boundary</x:v>
      </x:c>
    </x:row>
    <x:row r="98">
      <x:c r="B98" s="28" t="str">
        <x:v>Pass 86 deployed workforce</x:v>
      </x:c>
      <x:c r="C98" s="29" t="n">
        <x:v>700</x:v>
      </x:c>
      <x:c r="D98" s="28" t="str">
        <x:v>people</x:v>
      </x:c>
      <x:c r="E98" s="28" t="str">
        <x:v>Pass 86</x:v>
      </x:c>
      <x:c r="F98" s="30" t="str">
        <x:v>includes earlier HBL correction</x:v>
      </x:c>
    </x:row>
    <x:row r="99">
      <x:c r="B99" s="28" t="str">
        <x:v>Pass 86 affiliated workforce</x:v>
      </x:c>
      <x:c r="C99" s="29" t="n">
        <x:v>1557</x:v>
      </x:c>
      <x:c r="D99" s="28" t="str">
        <x:v>positions</x:v>
      </x:c>
      <x:c r="E99" s="28" t="str">
        <x:v>Pass 86</x:v>
      </x:c>
      <x:c r="F99" s="30" t="str">
        <x:v>includes earlier HBL correction</x:v>
      </x:c>
    </x:row>
    <x:row r="100">
      <x:c r="B100" s="28" t="str">
        <x:v>Pass 86 minimum watch</x:v>
      </x:c>
      <x:c r="C100" s="29" t="n">
        <x:v>226</x:v>
      </x:c>
      <x:c r="D100" s="28" t="str">
        <x:v>people</x:v>
      </x:c>
      <x:c r="E100" s="28" t="str">
        <x:v>Pass 86</x:v>
      </x:c>
      <x:c r="F100" s="30" t="str">
        <x:v>includes earlier HBL correction</x:v>
      </x:c>
    </x:row>
    <x:row r="101">
      <x:c r="B101" s="28" t="str">
        <x:v>Pass 83 HBL deployed addition</x:v>
      </x:c>
      <x:c r="C101" s="29" t="n">
        <x:v>42</x:v>
      </x:c>
      <x:c r="D101" s="28" t="str">
        <x:v>people</x:v>
      </x:c>
      <x:c r="E101" s="28" t="str">
        <x:v>Pass 83</x:v>
      </x:c>
      <x:c r="F101" s="30" t="str">
        <x:v>replaced by complete-system correction</x:v>
      </x:c>
    </x:row>
    <x:row r="102">
      <x:c r="B102" s="28" t="str">
        <x:v>Pass 83 HBL affiliated addition</x:v>
      </x:c>
      <x:c r="C102" s="29" t="n">
        <x:v>92</x:v>
      </x:c>
      <x:c r="D102" s="28" t="str">
        <x:v>positions</x:v>
      </x:c>
      <x:c r="E102" s="28" t="str">
        <x:v>Pass 83</x:v>
      </x:c>
      <x:c r="F102" s="30" t="str">
        <x:v>replaced by complete-system correction</x:v>
      </x:c>
    </x:row>
    <x:row r="103">
      <x:c r="B103" s="28" t="str">
        <x:v>Pass 83 HBL minimum-watch addition</x:v>
      </x:c>
      <x:c r="C103" s="29" t="n">
        <x:v>16</x:v>
      </x:c>
      <x:c r="D103" s="28" t="str">
        <x:v>people</x:v>
      </x:c>
      <x:c r="E103" s="28" t="str">
        <x:v>Pass 83</x:v>
      </x:c>
      <x:c r="F103" s="30" t="str">
        <x:v>replaced by complete-system correction</x:v>
      </x:c>
    </x:row>
    <x:row r="104">
      <x:c r="B104" s="31" t="str">
        <x:v>Rendering authorization</x:v>
      </x:c>
      <x:c r="C104" s="32" t="n">
        <x:v>0</x:v>
      </x:c>
      <x:c r="D104" s="31" t="str">
        <x:v>binary</x:v>
      </x:c>
      <x:c r="E104" s="31" t="str">
        <x:v>governance</x:v>
      </x:c>
      <x:c r="F104" s="33" t="str">
        <x:v>blocked pending representative evidence</x:v>
      </x:c>
    </x:row>
    <x:row r="105">
      <x:c r="B105" s="2"/>
      <x:c r="C105" s="2"/>
      <x:c r="D105" s="2"/>
      <x:c r="E105" s="2"/>
      <x:c r="F105" s="2"/>
    </x:row>
    <x:row r="106">
      <x:c r="B106" s="2"/>
      <x:c r="C106" s="2"/>
      <x:c r="D106" s="2"/>
      <x:c r="E106" s="2"/>
      <x:c r="F106" s="2"/>
    </x:row>
    <x:row r="107">
      <x:c r="B107" s="2"/>
      <x:c r="C107" s="2"/>
      <x:c r="D107" s="2"/>
      <x:c r="E107" s="2"/>
      <x:c r="F107" s="2"/>
    </x:row>
    <x:row r="108">
      <x:c r="B108" s="2"/>
      <x:c r="C108" s="2"/>
      <x:c r="D108" s="2"/>
      <x:c r="E108" s="2"/>
      <x:c r="F108" s="2"/>
    </x:row>
    <x:row r="109">
      <x:c r="B109" s="2"/>
      <x:c r="C109" s="2"/>
      <x:c r="D109" s="2"/>
      <x:c r="E109" s="2"/>
      <x:c r="F109" s="2"/>
    </x:row>
    <x:row r="110">
      <x:c r="B110" s="2"/>
      <x:c r="C110" s="2"/>
      <x:c r="D110" s="2"/>
      <x:c r="E110" s="2"/>
      <x:c r="F110" s="2"/>
    </x:row>
    <x:row r="111">
      <x:c r="B111" s="2"/>
      <x:c r="C111" s="2"/>
      <x:c r="D111" s="2"/>
      <x:c r="E111" s="2"/>
      <x:c r="F111" s="2"/>
    </x:row>
    <x:row r="112">
      <x:c r="B112" s="2"/>
      <x:c r="C112" s="2"/>
      <x:c r="D112" s="2"/>
      <x:c r="E112" s="2"/>
      <x:c r="F112" s="2"/>
    </x:row>
    <x:row r="113">
      <x:c r="B113" s="2"/>
      <x:c r="C113" s="2"/>
      <x:c r="D113" s="2"/>
      <x:c r="E113" s="2"/>
      <x:c r="F113" s="2"/>
    </x:row>
    <x:row r="114">
      <x:c r="B114" s="2"/>
      <x:c r="C114" s="2"/>
      <x:c r="D114" s="2"/>
      <x:c r="E114" s="2"/>
      <x:c r="F114" s="2"/>
    </x:row>
    <x:row r="115">
      <x:c r="B115" s="2"/>
      <x:c r="C115" s="2"/>
      <x:c r="D115" s="2"/>
      <x:c r="E115" s="2"/>
      <x:c r="F115" s="2"/>
    </x:row>
    <x:row r="116">
      <x:c r="B116" s="2"/>
      <x:c r="C116" s="2"/>
      <x:c r="D116" s="2"/>
      <x:c r="E116" s="2"/>
      <x:c r="F116" s="2"/>
    </x:row>
    <x:row r="117">
      <x:c r="B117" s="2"/>
      <x:c r="C117" s="2"/>
      <x:c r="D117" s="2"/>
      <x:c r="E117" s="2"/>
      <x:c r="F117" s="2"/>
    </x:row>
    <x:row r="118">
      <x:c r="B118" s="2"/>
      <x:c r="C118" s="2"/>
      <x:c r="D118" s="2"/>
      <x:c r="E118" s="2"/>
      <x:c r="F118" s="2"/>
    </x:row>
    <x:row r="119">
      <x:c r="B119" s="2"/>
      <x:c r="C119" s="2"/>
      <x:c r="D119" s="2"/>
      <x:c r="E119" s="2"/>
      <x:c r="F119" s="2"/>
    </x:row>
    <x:row r="120">
      <x:c r="B120" s="2"/>
      <x:c r="C120" s="2"/>
      <x:c r="D120" s="2"/>
      <x:c r="E120" s="2"/>
      <x:c r="F120" s="2"/>
    </x:row>
    <x:row r="121">
      <x:c r="B121" s="2"/>
      <x:c r="C121" s="2"/>
      <x:c r="D121" s="2"/>
      <x:c r="E121" s="2"/>
      <x:c r="F121" s="2"/>
    </x:row>
    <x:row r="122">
      <x:c r="B122" s="2"/>
      <x:c r="C122" s="2"/>
      <x:c r="D122" s="2"/>
      <x:c r="E122" s="2"/>
      <x:c r="F122" s="2"/>
    </x:row>
    <x:row r="123">
      <x:c r="B123" s="2"/>
      <x:c r="C123" s="2"/>
      <x:c r="D123" s="2"/>
      <x:c r="E123" s="2"/>
      <x:c r="F123" s="2"/>
    </x:row>
    <x:row r="124">
      <x:c r="B124" s="2"/>
      <x:c r="C124" s="2"/>
      <x:c r="D124" s="2"/>
      <x:c r="E124" s="2"/>
      <x:c r="F124" s="2"/>
    </x:row>
    <x:row r="125">
      <x:c r="B125" s="2"/>
      <x:c r="C125" s="2"/>
      <x:c r="D125" s="2"/>
      <x:c r="E125" s="2"/>
      <x:c r="F125" s="2"/>
    </x:row>
  </x:sheetData>
  <x:mergeCells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9" hidden="0" customWidth="1"/>
    <x:col min="3" max="3" width="48" hidden="0" customWidth="1"/>
    <x:col min="4" max="4" width="12" hidden="0" customWidth="1"/>
    <x:col min="5" max="5" width="11" hidden="0" customWidth="1"/>
    <x:col min="6" max="6" width="11" hidden="0" customWidth="1"/>
    <x:col min="7" max="7" width="16" hidden="0" customWidth="1"/>
    <x:col min="8" max="8" width="14" hidden="0" customWidth="1"/>
    <x:col min="9" max="9" width="15" hidden="0" customWidth="1"/>
    <x:col min="10" max="10" width="12" hidden="0" customWidth="1"/>
    <x:col min="11" max="11" width="12" hidden="0" customWidth="1"/>
    <x:col min="12" max="12" width="12" hidden="0" customWidth="1"/>
    <x:col min="13" max="13" width="13" hidden="0" customWidth="1"/>
    <x:col min="14" max="14" width="14" hidden="0" customWidth="1"/>
    <x:col min="15" max="15" width="13" hidden="0" customWidth="1"/>
    <x:col min="16" max="16" width="14" hidden="0" customWidth="1"/>
    <x:col min="17" max="17" width="17" hidden="0" customWidth="1"/>
    <x:col min="18" max="18" width="12" hidden="0" customWidth="1"/>
    <x:col min="19" max="19" width="17" hidden="0" customWidth="1"/>
    <x:col min="20" max="20" width="13" hidden="0" customWidth="1"/>
    <x:col min="21" max="21" width="14" hidden="0" customWidth="1"/>
    <x:col min="22" max="22" width="12" hidden="0" customWidth="1"/>
    <x:col min="23" max="23" width="15" hidden="0" customWidth="1"/>
    <x:col min="24" max="24" width="14" hidden="0" customWidth="1"/>
    <x:col min="25" max="25" width="12" hidden="0" customWidth="1"/>
    <x:col min="26" max="26" width="10" hidden="0" customWidth="1"/>
    <x:col min="27" max="27" width="12" hidden="0" customWidth="1"/>
  </x:cols>
  <x:sheetData>
    <x:row r="2">
      <x:c r="B2" s="3" t="str">
        <x:v>GCH-340 complete-system configuration competition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>
      <x:c r="B3" s="4" t="str">
        <x:v>Four internal architectures face twenty-two non-substitutable gates; pass counts are not scores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</x:row>
    <x:row r="6">
      <x:c r="B6" s="26" t="str">
        <x:v>ID</x:v>
      </x:c>
      <x:c r="C6" s="27" t="str">
        <x:v>Architecture</x:v>
      </x:c>
      <x:c r="D6" s="27" t="str">
        <x:v>Payload mass</x:v>
      </x:c>
      <x:c r="E6" s="27" t="str">
        <x:v>Cube</x:v>
      </x:c>
      <x:c r="F6" s="27" t="str">
        <x:v>Deck</x:v>
      </x:c>
      <x:c r="G6" s="27" t="str">
        <x:v>Bilateral unload</x:v>
      </x:c>
      <x:c r="H6" s="27" t="str">
        <x:v>Hot-high lift</x:v>
      </x:c>
      <x:c r="I6" s="27" t="str">
        <x:v>Cold offload</x:v>
      </x:c>
      <x:c r="J6" s="27" t="str">
        <x:v>One cell</x:v>
      </x:c>
      <x:c r="K6" s="27" t="str">
        <x:v>N-2 pods</x:v>
      </x:c>
      <x:c r="L6" s="27" t="str">
        <x:v>One bus</x:v>
      </x:c>
      <x:c r="M6" s="27" t="str">
        <x:v>Energy mass</x:v>
      </x:c>
      <x:c r="N6" s="27" t="str">
        <x:v>Cruise clock</x:v>
      </x:c>
      <x:c r="O6" s="27" t="str">
        <x:v>Route heat</x:v>
      </x:c>
      <x:c r="P6" s="27" t="str">
        <x:v>Station heat</x:v>
      </x:c>
      <x:c r="Q6" s="27" t="str">
        <x:v>Landing pressure</x:v>
      </x:c>
      <x:c r="R6" s="27" t="str">
        <x:v>One foot</x:v>
      </x:c>
      <x:c r="S6" s="27" t="str">
        <x:v>Mooring N-2</x:v>
      </x:c>
      <x:c r="T6" s="27" t="str">
        <x:v>No anchors</x:v>
      </x:c>
      <x:c r="U6" s="27" t="str">
        <x:v>Two refuges</x:v>
      </x:c>
      <x:c r="V6" s="27" t="str">
        <x:v>Four exits</x:v>
      </x:c>
      <x:c r="W6" s="27" t="str">
        <x:v>Field removal</x:v>
      </x:c>
      <x:c r="X6" s="27" t="str">
        <x:v>Service hour</x:v>
      </x:c>
      <x:c r="Y6" s="27" t="str">
        <x:v>Reset</x:v>
      </x:c>
      <x:c r="Z6" s="27" t="str">
        <x:v>Passes</x:v>
      </x:c>
      <x:c r="AA6" s="27" t="str">
        <x:v>Result</x:v>
      </x:c>
      <x:c r="AB6" s="2"/>
    </x:row>
    <x:row r="7">
      <x:c r="B7" s="34" t="str">
        <x:v>C1</x:v>
      </x:c>
      <x:c r="C7" s="34" t="str">
        <x:v>Helium compression spine</x:v>
      </x:c>
      <x:c r="D7" s="34" t="n">
        <x:v>1</x:v>
      </x:c>
      <x:c r="E7" s="34" t="n">
        <x:v>1</x:v>
      </x:c>
      <x:c r="F7" s="34" t="n">
        <x:v>1</x:v>
      </x:c>
      <x:c r="G7" s="34" t="n">
        <x:v>1</x:v>
      </x:c>
      <x:c r="H7" s="34" t="n">
        <x:v>1</x:v>
      </x:c>
      <x:c r="I7" s="34" t="n">
        <x:v>0</x:v>
      </x:c>
      <x:c r="J7" s="34" t="n">
        <x:v>1</x:v>
      </x:c>
      <x:c r="K7" s="34" t="n">
        <x:v>1</x:v>
      </x:c>
      <x:c r="L7" s="34" t="n">
        <x:v>1</x:v>
      </x:c>
      <x:c r="M7" s="34" t="n">
        <x:v>0</x:v>
      </x:c>
      <x:c r="N7" s="34" t="n">
        <x:v>1</x:v>
      </x:c>
      <x:c r="O7" s="34" t="n">
        <x:v>1</x:v>
      </x:c>
      <x:c r="P7" s="34" t="n">
        <x:v>0</x:v>
      </x:c>
      <x:c r="Q7" s="34" t="n">
        <x:v>1</x:v>
      </x:c>
      <x:c r="R7" s="34" t="n">
        <x:v>1</x:v>
      </x:c>
      <x:c r="S7" s="34" t="n">
        <x:v>0</x:v>
      </x:c>
      <x:c r="T7" s="34" t="n">
        <x:v>1</x:v>
      </x:c>
      <x:c r="U7" s="34" t="n">
        <x:v>1</x:v>
      </x:c>
      <x:c r="V7" s="34" t="n">
        <x:v>1</x:v>
      </x:c>
      <x:c r="W7" s="34" t="n">
        <x:v>0</x:v>
      </x:c>
      <x:c r="X7" s="34" t="n">
        <x:v>1</x:v>
      </x:c>
      <x:c r="Y7" s="34" t="n">
        <x:v>0</x:v>
      </x:c>
      <x:c r="Z7" s="34" t="n">
        <x:f>SUM(D7:Y7)</x:f>
        <x:v>16</x:v>
      </x:c>
      <x:c r="AA7" s="35" t="str">
        <x:f>IF(Z7=22,"PASS","FAIL")</x:f>
        <x:v>FAIL</x:v>
      </x:c>
      <x:c r="AB7" s="2"/>
    </x:row>
    <x:row r="8">
      <x:c r="B8" s="34" t="str">
        <x:v>C2</x:v>
      </x:c>
      <x:c r="C8" s="34" t="str">
        <x:v>Aerodynamic-dominant low-static-lift body</x:v>
      </x:c>
      <x:c r="D8" s="34" t="n">
        <x:v>1</x:v>
      </x:c>
      <x:c r="E8" s="34" t="n">
        <x:v>1</x:v>
      </x:c>
      <x:c r="F8" s="34" t="n">
        <x:v>1</x:v>
      </x:c>
      <x:c r="G8" s="34" t="n">
        <x:v>1</x:v>
      </x:c>
      <x:c r="H8" s="34" t="n">
        <x:v>1</x:v>
      </x:c>
      <x:c r="I8" s="34" t="n">
        <x:v>1</x:v>
      </x:c>
      <x:c r="J8" s="34" t="n">
        <x:v>0</x:v>
      </x:c>
      <x:c r="K8" s="34" t="n">
        <x:v>0</x:v>
      </x:c>
      <x:c r="L8" s="34" t="n">
        <x:v>0</x:v>
      </x:c>
      <x:c r="M8" s="34" t="n">
        <x:v>0</x:v>
      </x:c>
      <x:c r="N8" s="34" t="n">
        <x:v>0</x:v>
      </x:c>
      <x:c r="O8" s="34" t="n">
        <x:v>0</x:v>
      </x:c>
      <x:c r="P8" s="34" t="n">
        <x:v>1</x:v>
      </x:c>
      <x:c r="Q8" s="34" t="n">
        <x:v>1</x:v>
      </x:c>
      <x:c r="R8" s="34" t="n">
        <x:v>1</x:v>
      </x:c>
      <x:c r="S8" s="34" t="n">
        <x:v>1</x:v>
      </x:c>
      <x:c r="T8" s="34" t="n">
        <x:v>1</x:v>
      </x:c>
      <x:c r="U8" s="34" t="n">
        <x:v>1</x:v>
      </x:c>
      <x:c r="V8" s="34" t="n">
        <x:v>1</x:v>
      </x:c>
      <x:c r="W8" s="34" t="n">
        <x:v>1</x:v>
      </x:c>
      <x:c r="X8" s="34" t="n">
        <x:v>0</x:v>
      </x:c>
      <x:c r="Y8" s="34" t="n">
        <x:v>0</x:v>
      </x:c>
      <x:c r="Z8" s="34" t="n">
        <x:f>SUM(D8:Y8)</x:f>
        <x:v>14</x:v>
      </x:c>
      <x:c r="AA8" s="35" t="str">
        <x:f>IF(Z8=22,"PASS","FAIL")</x:f>
        <x:v>FAIL</x:v>
      </x:c>
      <x:c r="AB8" s="2"/>
    </x:row>
    <x:row r="9">
      <x:c r="B9" s="34" t="str">
        <x:v>C3</x:v>
      </x:c>
      <x:c r="C9" s="34" t="str">
        <x:v>Fixed service-ballast hybrid</x:v>
      </x:c>
      <x:c r="D9" s="34" t="n">
        <x:v>1</x:v>
      </x:c>
      <x:c r="E9" s="34" t="n">
        <x:v>1</x:v>
      </x:c>
      <x:c r="F9" s="34" t="n">
        <x:v>1</x:v>
      </x:c>
      <x:c r="G9" s="34" t="n">
        <x:v>1</x:v>
      </x:c>
      <x:c r="H9" s="34" t="n">
        <x:v>1</x:v>
      </x:c>
      <x:c r="I9" s="34" t="n">
        <x:v>1</x:v>
      </x:c>
      <x:c r="J9" s="34" t="n">
        <x:v>1</x:v>
      </x:c>
      <x:c r="K9" s="34" t="n">
        <x:v>1</x:v>
      </x:c>
      <x:c r="L9" s="34" t="n">
        <x:v>1</x:v>
      </x:c>
      <x:c r="M9" s="34" t="n">
        <x:v>0</x:v>
      </x:c>
      <x:c r="N9" s="34" t="n">
        <x:v>0</x:v>
      </x:c>
      <x:c r="O9" s="34" t="n">
        <x:v>1</x:v>
      </x:c>
      <x:c r="P9" s="34" t="n">
        <x:v>1</x:v>
      </x:c>
      <x:c r="Q9" s="34" t="n">
        <x:v>1</x:v>
      </x:c>
      <x:c r="R9" s="34" t="n">
        <x:v>1</x:v>
      </x:c>
      <x:c r="S9" s="34" t="n">
        <x:v>1</x:v>
      </x:c>
      <x:c r="T9" s="34" t="n">
        <x:v>1</x:v>
      </x:c>
      <x:c r="U9" s="34" t="n">
        <x:v>1</x:v>
      </x:c>
      <x:c r="V9" s="34" t="n">
        <x:v>1</x:v>
      </x:c>
      <x:c r="W9" s="34" t="n">
        <x:v>1</x:v>
      </x:c>
      <x:c r="X9" s="34" t="n">
        <x:v>1</x:v>
      </x:c>
      <x:c r="Y9" s="34" t="n">
        <x:v>0</x:v>
      </x:c>
      <x:c r="Z9" s="34" t="n">
        <x:f>SUM(D9:Y9)</x:f>
        <x:v>19</x:v>
      </x:c>
      <x:c r="AA9" s="35" t="str">
        <x:f>IF(Z9=22,"PASS","FAIL")</x:f>
        <x:v>FAIL</x:v>
      </x:c>
      <x:c r="AB9" s="2"/>
    </x:row>
    <x:row r="10">
      <x:c r="B10" s="36" t="str">
        <x:v>C4</x:v>
      </x:c>
      <x:c r="C10" s="36" t="str">
        <x:v>GCH-340R cellular hydrogen-conversion hybrid</x:v>
      </x:c>
      <x:c r="D10" s="36" t="n">
        <x:v>1</x:v>
      </x:c>
      <x:c r="E10" s="36" t="n">
        <x:v>1</x:v>
      </x:c>
      <x:c r="F10" s="36" t="n">
        <x:v>1</x:v>
      </x:c>
      <x:c r="G10" s="36" t="n">
        <x:v>1</x:v>
      </x:c>
      <x:c r="H10" s="36" t="n">
        <x:v>1</x:v>
      </x:c>
      <x:c r="I10" s="36" t="n">
        <x:v>1</x:v>
      </x:c>
      <x:c r="J10" s="36" t="n">
        <x:v>1</x:v>
      </x:c>
      <x:c r="K10" s="36" t="n">
        <x:v>1</x:v>
      </x:c>
      <x:c r="L10" s="36" t="n">
        <x:v>1</x:v>
      </x:c>
      <x:c r="M10" s="36" t="n">
        <x:v>1</x:v>
      </x:c>
      <x:c r="N10" s="36" t="n">
        <x:v>1</x:v>
      </x:c>
      <x:c r="O10" s="36" t="n">
        <x:v>1</x:v>
      </x:c>
      <x:c r="P10" s="36" t="n">
        <x:v>1</x:v>
      </x:c>
      <x:c r="Q10" s="36" t="n">
        <x:v>1</x:v>
      </x:c>
      <x:c r="R10" s="36" t="n">
        <x:v>1</x:v>
      </x:c>
      <x:c r="S10" s="36" t="n">
        <x:v>1</x:v>
      </x:c>
      <x:c r="T10" s="36" t="n">
        <x:v>1</x:v>
      </x:c>
      <x:c r="U10" s="36" t="n">
        <x:v>1</x:v>
      </x:c>
      <x:c r="V10" s="36" t="n">
        <x:v>1</x:v>
      </x:c>
      <x:c r="W10" s="36" t="n">
        <x:v>1</x:v>
      </x:c>
      <x:c r="X10" s="36" t="n">
        <x:v>1</x:v>
      </x:c>
      <x:c r="Y10" s="36" t="n">
        <x:v>1</x:v>
      </x:c>
      <x:c r="Z10" s="36" t="n">
        <x:f>SUM(D10:Y10)</x:f>
        <x:v>22</x:v>
      </x:c>
      <x:c r="AA10" s="37" t="str">
        <x:f>IF(Z10=22,"PASS","FAIL")</x:f>
        <x:v>PASS</x:v>
      </x:c>
      <x:c r="AB10" s="2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</x:row>
    <x:row r="13">
      <x:c r="B13" s="8" t="str">
        <x:v>Decision</x:v>
      </x:c>
      <x:c r="C13" s="9" t="str">
        <x:v>Decision</x:v>
      </x:c>
      <x:c r="D13" s="9" t="str">
        <x:v>Decision</x:v>
      </x:c>
      <x:c r="E13" s="9" t="str">
        <x:v>Decision</x:v>
      </x:c>
      <x:c r="F13" s="9" t="str">
        <x:v>Decision</x:v>
      </x:c>
      <x:c r="G13" s="9" t="str">
        <x:v>Decision</x:v>
      </x:c>
      <x:c r="H13" s="9" t="str">
        <x:v>Decision</x:v>
      </x:c>
      <x:c r="I13" s="9" t="str">
        <x:v>Decision</x:v>
      </x:c>
      <x:c r="J13" s="9" t="str">
        <x:v>Decision</x:v>
      </x:c>
      <x:c r="K13" s="9" t="str">
        <x:v>Decision</x:v>
      </x:c>
      <x:c r="L13" s="9" t="str">
        <x:v>Decision</x:v>
      </x:c>
      <x:c r="M13" s="9" t="str">
        <x:v>Decision</x:v>
      </x:c>
      <x:c r="N13" s="9" t="str">
        <x:v>Decision</x:v>
      </x:c>
      <x:c r="O13" s="9" t="str">
        <x:v>Decision</x:v>
      </x:c>
      <x:c r="P13" s="9" t="str">
        <x:v>Decision</x:v>
      </x:c>
      <x:c r="Q13" s="9" t="str">
        <x:v>Decision</x:v>
      </x:c>
      <x:c r="R13" s="9" t="str">
        <x:v>Decision</x:v>
      </x:c>
      <x:c r="S13" s="9" t="str">
        <x:v>Decision</x:v>
      </x:c>
      <x:c r="T13" s="9" t="str">
        <x:v>Decision</x:v>
      </x:c>
      <x:c r="U13" s="9" t="str">
        <x:v>Decision</x:v>
      </x:c>
      <x:c r="V13" s="9" t="str">
        <x:v>Decision</x:v>
      </x:c>
      <x:c r="W13" s="9" t="str">
        <x:v>Decision</x:v>
      </x:c>
      <x:c r="X13" s="9" t="str">
        <x:v>Decision</x:v>
      </x:c>
      <x:c r="Y13" s="9" t="str">
        <x:v>Decision</x:v>
      </x:c>
      <x:c r="Z13" s="9" t="str">
        <x:v>Decision</x:v>
      </x:c>
      <x:c r="AA13" s="10" t="str">
        <x:v>Decision</x:v>
      </x:c>
      <x:c r="AB13" s="2"/>
    </x:row>
    <x:row r="14">
      <x:c r="B14" s="39" t="str">
        <x:v>C1</x:v>
      </x:c>
      <x:c r="C14" s="40" t="str">
        <x:v>The compression-vessel and heat system does not close cold-dense offload, stationary heat or the 168-hour return boundary.</x:v>
      </x:c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  <x:c r="AA14" s="40"/>
      <x:c r="AB14" s="2"/>
    </x:row>
    <x:row r="15">
      <x:c r="B15" s="41" t="str">
        <x:v>C2</x:v>
      </x:c>
      <x:c r="C15" s="28" t="str">
        <x:v>Reducing static lift solves unloading by making slow flight, engine-out control, mission energy and the clock fail together.</x:v>
      </x:c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28"/>
      <x:c r="Y15" s="28"/>
      <x:c r="Z15" s="28"/>
      <x:c r="AA15" s="28"/>
      <x:c r="AB15" s="2"/>
    </x:row>
    <x:row r="16">
      <x:c r="B16" s="41" t="str">
        <x:v>C3</x:v>
      </x:c>
      <x:c r="C16" s="28" t="str">
        <x:v>Carried ballast closes contact but its added gross mass breaks the energy account, tank volume, field removal and reset.</x:v>
      </x:c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"/>
    </x:row>
    <x:row r="17">
      <x:c r="B17" s="41" t="str">
        <x:v>C4 selected behavior</x:v>
      </x:c>
      <x:c r="C17" s="28" t="str">
        <x:v>Twenty-four lift cells, six dual-use conversion trains, captured water ballast, twelve pods, sixteen feet and two refuges close all twenty-two declared behavior gates.</x:v>
      </x:c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"/>
    </x:row>
    <x:row r="18">
      <x:c r="B18" s="42" t="str">
        <x:v>Admission</x:v>
      </x:c>
      <x:c r="C18" s="43" t="str">
        <x:v>C4 is an R2+ requirements configuration. Every material, rate, control, casualty, industrial and mission claim remains open evidence.</x:v>
      </x:c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  <x:c r="AA18" s="43"/>
      <x:c r="AB18" s="2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</x:sheetData>
  <x:mergeCells>
    <x:mergeCell ref="B13:AA13"/>
  </x:mergeCells>
  <x:conditionalFormatting sqref="AA7:AA10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8" hidden="0" customWidth="1"/>
    <x:col min="8" max="8" width="24" hidden="0" customWidth="1"/>
    <x:col min="9" max="9" width="14" hidden="0" customWidth="1"/>
    <x:col min="10" max="10" width="20" hidden="0" customWidth="1"/>
    <x:col min="11" max="11" width="14" hidden="0" customWidth="1"/>
    <x:col min="12" max="12" width="14" hidden="0" customWidth="1"/>
    <x:col min="13" max="13" width="18" hidden="0" customWidth="1"/>
    <x:col min="14" max="14" width="42" hidden="0" customWidth="1"/>
  </x:cols>
  <x:sheetData>
    <x:row r="2">
      <x:c r="B2" s="3" t="str">
        <x:v>Twenty-four-cell lifting-body geometry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Six longitudinal bays and four lateral cells make lift loss, conversion and structural load paths explicit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Vehicle and receiver envelope</x:v>
      </x:c>
      <x:c r="C6" s="9" t="str">
        <x:v>Vehicle and receiver envelope</x:v>
      </x:c>
      <x:c r="D6" s="9" t="str">
        <x:v>Vehicle and receiver envelope</x:v>
      </x:c>
      <x:c r="E6" s="9" t="str">
        <x:v>Vehicle and receiver envelope</x:v>
      </x:c>
      <x:c r="F6" s="9" t="str">
        <x:v>Vehicle and receiver envelope</x:v>
      </x:c>
      <x:c r="G6" s="9" t="str">
        <x:v>Vehicle and receiver envelope</x:v>
      </x:c>
      <x:c r="H6" s="9" t="str">
        <x:v>Vehicle and receiver envelope</x:v>
      </x:c>
      <x:c r="I6" s="9" t="str">
        <x:v>Vehicle and receiver envelope</x:v>
      </x:c>
      <x:c r="J6" s="9" t="str">
        <x:v>Vehicle and receiver envelope</x:v>
      </x:c>
      <x:c r="K6" s="9" t="str">
        <x:v>Vehicle and receiver envelope</x:v>
      </x:c>
      <x:c r="L6" s="9" t="str">
        <x:v>Vehicle and receiver envelope</x:v>
      </x:c>
      <x:c r="M6" s="9" t="str">
        <x:v>Vehicle and receiver envelope</x:v>
      </x:c>
      <x:c r="N6" s="10" t="str">
        <x:v>Vehicle and receiver envelope</x:v>
      </x:c>
    </x:row>
    <x:row r="7">
      <x:c r="B7" s="26" t="str">
        <x:v>Quantity</x:v>
      </x:c>
      <x:c r="C7" s="27" t="str">
        <x:v>Value</x:v>
      </x:c>
      <x:c r="D7" s="27" t="str">
        <x:v>Unit</x:v>
      </x:c>
      <x:c r="E7" s="27" t="str">
        <x:v>Requirement</x:v>
      </x:c>
      <x:c r="F7" s="27" t="str">
        <x:v>Result</x:v>
      </x:c>
      <x:c r="G7" s="2"/>
      <x:c r="H7" s="2"/>
      <x:c r="I7" s="2"/>
      <x:c r="J7" s="2"/>
      <x:c r="K7" s="2"/>
      <x:c r="L7" s="2"/>
      <x:c r="M7" s="2"/>
      <x:c r="N7" s="2"/>
    </x:row>
    <x:row r="8">
      <x:c r="B8" s="34" t="str">
        <x:v>Equivalent diameter</x:v>
      </x:c>
      <x:c r="C8" s="34" t="n">
        <x:f>(6*Assumptions!C18/(PI()*Assumptions!C19))^(1/3)</x:f>
        <x:v>78.15926417967718</x:v>
      </x:c>
      <x:c r="D8" s="34" t="str">
        <x:v>m</x:v>
      </x:c>
      <x:c r="E8" s="34" t="str">
        <x:v>volume equivalent</x:v>
      </x:c>
      <x:c r="F8" s="35" t="str">
        <x:f>"BOUND"</x:f>
        <x:v>BOUND</x:v>
      </x:c>
      <x:c r="G8" s="2"/>
      <x:c r="H8" s="2"/>
      <x:c r="I8" s="2"/>
      <x:c r="J8" s="2"/>
      <x:c r="K8" s="2"/>
      <x:c r="L8" s="2"/>
      <x:c r="M8" s="2"/>
      <x:c r="N8" s="2"/>
    </x:row>
    <x:row r="9">
      <x:c r="B9" s="34" t="str">
        <x:v>Equivalent length</x:v>
      </x:c>
      <x:c r="C9" s="34" t="n">
        <x:f>C8*Assumptions!C19</x:f>
        <x:v>297.0052038827733</x:v>
      </x:c>
      <x:c r="D9" s="34" t="str">
        <x:v>m</x:v>
      </x:c>
      <x:c r="E9" s="34" t="str">
        <x:v>volume equivalent</x:v>
      </x:c>
      <x:c r="F9" s="35" t="str">
        <x:f>"BOUND"</x:f>
        <x:v>BOUND</x:v>
      </x:c>
      <x:c r="G9" s="2"/>
      <x:c r="H9" s="2"/>
      <x:c r="I9" s="2"/>
      <x:c r="J9" s="2"/>
      <x:c r="K9" s="2"/>
      <x:c r="L9" s="2"/>
      <x:c r="M9" s="2"/>
      <x:c r="N9" s="2"/>
    </x:row>
    <x:row r="10">
      <x:c r="B10" s="34" t="str">
        <x:v>Bounding volume</x:v>
      </x:c>
      <x:c r="C10" s="34" t="n">
        <x:f>Assumptions!C20*Assumptions!C21*Assumptions!C22*Assumptions!C23</x:f>
        <x:v>951552</x:v>
      </x:c>
      <x:c r="D10" s="34" t="str">
        <x:v>m3</x:v>
      </x:c>
      <x:c r="E10" s="34" t="str">
        <x:v>at least lift volume</x:v>
      </x:c>
      <x:c r="F10" s="35" t="str">
        <x:f>IF(C10&gt;=0,"PASS","FAIL")</x:f>
        <x:v>PASS</x:v>
      </x:c>
      <x:c r="G10" s="2"/>
      <x:c r="H10" s="2"/>
      <x:c r="I10" s="2"/>
      <x:c r="J10" s="2"/>
      <x:c r="K10" s="2"/>
      <x:c r="L10" s="2"/>
      <x:c r="M10" s="2"/>
      <x:c r="N10" s="2"/>
    </x:row>
    <x:row r="11">
      <x:c r="B11" s="34" t="str">
        <x:v>Bounding-volume margin</x:v>
      </x:c>
      <x:c r="C11" s="34" t="n">
        <x:f>C10-Assumptions!C18</x:f>
        <x:v>1552</x:v>
      </x:c>
      <x:c r="D11" s="34" t="str">
        <x:v>m3</x:v>
      </x:c>
      <x:c r="E11" s="34" t="str">
        <x:v>nonnegative</x:v>
      </x:c>
      <x:c r="F11" s="35" t="str">
        <x:f>IF(C11&gt;=0,"PASS","FAIL")</x:f>
        <x:v>PASS</x:v>
      </x:c>
      <x:c r="G11" s="2"/>
      <x:c r="H11" s="2"/>
      <x:c r="I11" s="2"/>
      <x:c r="J11" s="2"/>
      <x:c r="K11" s="2"/>
      <x:c r="L11" s="2"/>
      <x:c r="M11" s="2"/>
      <x:c r="N11" s="2"/>
    </x:row>
    <x:row r="12">
      <x:c r="B12" s="34" t="str">
        <x:v>Receiver length margin</x:v>
      </x:c>
      <x:c r="C12" s="34" t="n">
        <x:f>Assumptions!C77-Assumptions!C20</x:f>
        <x:v>120</x:v>
      </x:c>
      <x:c r="D12" s="34" t="str">
        <x:v>m</x:v>
      </x:c>
      <x:c r="E12" s="34" t="str">
        <x:v>nonnegative</x:v>
      </x:c>
      <x:c r="F12" s="35" t="str">
        <x:f>IF(C12&gt;=0,"PASS","FAIL")</x:f>
        <x:v>PASS</x:v>
      </x:c>
      <x:c r="G12" s="2"/>
      <x:c r="H12" s="2"/>
      <x:c r="I12" s="2"/>
      <x:c r="J12" s="2"/>
      <x:c r="K12" s="2"/>
      <x:c r="L12" s="2"/>
      <x:c r="M12" s="2"/>
      <x:c r="N12" s="2"/>
    </x:row>
    <x:row r="13">
      <x:c r="B13" s="36" t="str">
        <x:v>Receiver width margin</x:v>
      </x:c>
      <x:c r="C13" s="36" t="n">
        <x:f>Assumptions!C78-Assumptions!C21</x:f>
        <x:v>324</x:v>
      </x:c>
      <x:c r="D13" s="36" t="str">
        <x:v>m</x:v>
      </x:c>
      <x:c r="E13" s="36" t="str">
        <x:v>nonnegative</x:v>
      </x:c>
      <x:c r="F13" s="37" t="str">
        <x:f>IF(C13&gt;=0,"PASS","FAIL")</x:f>
        <x:v>PASS</x:v>
      </x:c>
      <x:c r="G13" s="2"/>
      <x:c r="H13" s="2"/>
      <x:c r="I13" s="2"/>
      <x:c r="J13" s="2"/>
      <x:c r="K13" s="2"/>
      <x:c r="L13" s="2"/>
      <x:c r="M13" s="2"/>
      <x:c r="N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B16" s="8" t="str">
        <x:v>Cell lattice</x:v>
      </x:c>
      <x:c r="C16" s="9" t="str">
        <x:v>Cell lattice</x:v>
      </x:c>
      <x:c r="D16" s="9" t="str">
        <x:v>Cell lattice</x:v>
      </x:c>
      <x:c r="E16" s="9" t="str">
        <x:v>Cell lattice</x:v>
      </x:c>
      <x:c r="F16" s="9" t="str">
        <x:v>Cell lattice</x:v>
      </x:c>
      <x:c r="G16" s="9" t="str">
        <x:v>Cell lattice</x:v>
      </x:c>
      <x:c r="H16" s="9" t="str">
        <x:v>Cell lattice</x:v>
      </x:c>
      <x:c r="I16" s="9" t="str">
        <x:v>Cell lattice</x:v>
      </x:c>
      <x:c r="J16" s="9" t="str">
        <x:v>Cell lattice</x:v>
      </x:c>
      <x:c r="K16" s="9" t="str">
        <x:v>Cell lattice</x:v>
      </x:c>
      <x:c r="L16" s="9" t="str">
        <x:v>Cell lattice</x:v>
      </x:c>
      <x:c r="M16" s="9" t="str">
        <x:v>Cell lattice</x:v>
      </x:c>
      <x:c r="N16" s="10" t="str">
        <x:v>Cell lattice</x:v>
      </x:c>
    </x:row>
    <x:row r="17">
      <x:c r="B17" s="26" t="str">
        <x:v>Bay</x:v>
      </x:c>
      <x:c r="C17" s="27" t="str">
        <x:v>x start m</x:v>
      </x:c>
      <x:c r="D17" s="27" t="str">
        <x:v>x end m</x:v>
      </x:c>
      <x:c r="E17" s="27" t="str">
        <x:v>Cells</x:v>
      </x:c>
      <x:c r="F17" s="27" t="str">
        <x:v>Volume/cell m3</x:v>
      </x:c>
      <x:c r="G17" s="27" t="str">
        <x:v>Hot lift/cell t</x:v>
      </x:c>
      <x:c r="H17" s="27" t="str">
        <x:v>Cold lift/cell t</x:v>
      </x:c>
      <x:c r="I17" s="27" t="str">
        <x:v>Conversion train</x:v>
      </x:c>
      <x:c r="J17" s="27" t="str">
        <x:v>Port outer</x:v>
      </x:c>
      <x:c r="K17" s="27" t="str">
        <x:v>Port inner</x:v>
      </x:c>
      <x:c r="L17" s="27" t="str">
        <x:v>Starboard inner</x:v>
      </x:c>
      <x:c r="M17" s="27" t="str">
        <x:v>Starboard outer</x:v>
      </x:c>
      <x:c r="N17" s="27" t="str">
        <x:v>Loss boundary</x:v>
      </x:c>
    </x:row>
    <x:row r="18">
      <x:c r="B18" s="34" t="str">
        <x:v>Bay 1</x:v>
      </x:c>
      <x:c r="C18" s="34" t="n">
        <x:v>0</x:v>
      </x:c>
      <x:c r="D18" s="34" t="n">
        <x:v>50</x:v>
      </x:c>
      <x:c r="E18" s="34" t="n">
        <x:v>4</x:v>
      </x:c>
      <x:c r="F18" s="34" t="n">
        <x:f>Assumptions!C18/Assumptions!C24</x:f>
        <x:v>39583.333333333336</x:v>
      </x:c>
      <x:c r="G18" s="34" t="n">
        <x:f>F18*(Assumptions!C14-Assumptions!C15)*Assumptions!C16/1000</x:f>
        <x:v>35.94166666666667</x:v>
      </x:c>
      <x:c r="H18" s="34" t="n">
        <x:f>F18*(Assumptions!C14-Assumptions!C15)*Assumptions!C17/1000</x:f>
        <x:v>44.927083333333336</x:v>
      </x:c>
      <x:c r="I18" s="34" t="str">
        <x:v>T1</x:v>
      </x:c>
      <x:c r="J18" s="34" t="str">
        <x:v>C1</x:v>
      </x:c>
      <x:c r="K18" s="34" t="str">
        <x:v>C2</x:v>
      </x:c>
      <x:c r="L18" s="34" t="str">
        <x:v>C3</x:v>
      </x:c>
      <x:c r="M18" s="34" t="str">
        <x:v>C4</x:v>
      </x:c>
      <x:c r="N18" s="35" t="str">
        <x:v>one cell may isolate without mission loss</x:v>
      </x:c>
    </x:row>
    <x:row r="19">
      <x:c r="B19" s="34" t="str">
        <x:v>Bay 2</x:v>
      </x:c>
      <x:c r="C19" s="34" t="n">
        <x:v>50</x:v>
      </x:c>
      <x:c r="D19" s="34" t="n">
        <x:v>100</x:v>
      </x:c>
      <x:c r="E19" s="34" t="n">
        <x:v>4</x:v>
      </x:c>
      <x:c r="F19" s="34" t="n">
        <x:f>Assumptions!C18/Assumptions!C24</x:f>
        <x:v>39583.333333333336</x:v>
      </x:c>
      <x:c r="G19" s="34" t="n">
        <x:f>F19*(Assumptions!C14-Assumptions!C15)*Assumptions!C16/1000</x:f>
        <x:v>35.94166666666667</x:v>
      </x:c>
      <x:c r="H19" s="34" t="n">
        <x:f>F19*(Assumptions!C14-Assumptions!C15)*Assumptions!C17/1000</x:f>
        <x:v>44.927083333333336</x:v>
      </x:c>
      <x:c r="I19" s="34" t="str">
        <x:v>T2</x:v>
      </x:c>
      <x:c r="J19" s="34" t="str">
        <x:v>C5</x:v>
      </x:c>
      <x:c r="K19" s="34" t="str">
        <x:v>C6</x:v>
      </x:c>
      <x:c r="L19" s="34" t="str">
        <x:v>C7</x:v>
      </x:c>
      <x:c r="M19" s="34" t="str">
        <x:v>C8</x:v>
      </x:c>
      <x:c r="N19" s="35" t="str">
        <x:v>one cell may isolate without mission loss</x:v>
      </x:c>
    </x:row>
    <x:row r="20">
      <x:c r="B20" s="34" t="str">
        <x:v>Bay 3</x:v>
      </x:c>
      <x:c r="C20" s="34" t="n">
        <x:v>100</x:v>
      </x:c>
      <x:c r="D20" s="34" t="n">
        <x:v>150</x:v>
      </x:c>
      <x:c r="E20" s="34" t="n">
        <x:v>4</x:v>
      </x:c>
      <x:c r="F20" s="34" t="n">
        <x:f>Assumptions!C18/Assumptions!C24</x:f>
        <x:v>39583.333333333336</x:v>
      </x:c>
      <x:c r="G20" s="34" t="n">
        <x:f>F20*(Assumptions!C14-Assumptions!C15)*Assumptions!C16/1000</x:f>
        <x:v>35.94166666666667</x:v>
      </x:c>
      <x:c r="H20" s="34" t="n">
        <x:f>F20*(Assumptions!C14-Assumptions!C15)*Assumptions!C17/1000</x:f>
        <x:v>44.927083333333336</x:v>
      </x:c>
      <x:c r="I20" s="34" t="str">
        <x:v>T3</x:v>
      </x:c>
      <x:c r="J20" s="34" t="str">
        <x:v>C9</x:v>
      </x:c>
      <x:c r="K20" s="34" t="str">
        <x:v>C10</x:v>
      </x:c>
      <x:c r="L20" s="34" t="str">
        <x:v>C11</x:v>
      </x:c>
      <x:c r="M20" s="34" t="str">
        <x:v>C12</x:v>
      </x:c>
      <x:c r="N20" s="35" t="str">
        <x:v>one cell may isolate without mission loss</x:v>
      </x:c>
    </x:row>
    <x:row r="21">
      <x:c r="B21" s="34" t="str">
        <x:v>Bay 4</x:v>
      </x:c>
      <x:c r="C21" s="34" t="n">
        <x:v>150</x:v>
      </x:c>
      <x:c r="D21" s="34" t="n">
        <x:v>200</x:v>
      </x:c>
      <x:c r="E21" s="34" t="n">
        <x:v>4</x:v>
      </x:c>
      <x:c r="F21" s="34" t="n">
        <x:f>Assumptions!C18/Assumptions!C24</x:f>
        <x:v>39583.333333333336</x:v>
      </x:c>
      <x:c r="G21" s="34" t="n">
        <x:f>F21*(Assumptions!C14-Assumptions!C15)*Assumptions!C16/1000</x:f>
        <x:v>35.94166666666667</x:v>
      </x:c>
      <x:c r="H21" s="34" t="n">
        <x:f>F21*(Assumptions!C14-Assumptions!C15)*Assumptions!C17/1000</x:f>
        <x:v>44.927083333333336</x:v>
      </x:c>
      <x:c r="I21" s="34" t="str">
        <x:v>T4</x:v>
      </x:c>
      <x:c r="J21" s="34" t="str">
        <x:v>C13</x:v>
      </x:c>
      <x:c r="K21" s="34" t="str">
        <x:v>C14</x:v>
      </x:c>
      <x:c r="L21" s="34" t="str">
        <x:v>C15</x:v>
      </x:c>
      <x:c r="M21" s="34" t="str">
        <x:v>C16</x:v>
      </x:c>
      <x:c r="N21" s="35" t="str">
        <x:v>one cell may isolate without mission loss</x:v>
      </x:c>
    </x:row>
    <x:row r="22">
      <x:c r="B22" s="34" t="str">
        <x:v>Bay 5</x:v>
      </x:c>
      <x:c r="C22" s="34" t="n">
        <x:v>200</x:v>
      </x:c>
      <x:c r="D22" s="34" t="n">
        <x:v>250</x:v>
      </x:c>
      <x:c r="E22" s="34" t="n">
        <x:v>4</x:v>
      </x:c>
      <x:c r="F22" s="34" t="n">
        <x:f>Assumptions!C18/Assumptions!C24</x:f>
        <x:v>39583.333333333336</x:v>
      </x:c>
      <x:c r="G22" s="34" t="n">
        <x:f>F22*(Assumptions!C14-Assumptions!C15)*Assumptions!C16/1000</x:f>
        <x:v>35.94166666666667</x:v>
      </x:c>
      <x:c r="H22" s="34" t="n">
        <x:f>F22*(Assumptions!C14-Assumptions!C15)*Assumptions!C17/1000</x:f>
        <x:v>44.927083333333336</x:v>
      </x:c>
      <x:c r="I22" s="34" t="str">
        <x:v>T5</x:v>
      </x:c>
      <x:c r="J22" s="34" t="str">
        <x:v>C17</x:v>
      </x:c>
      <x:c r="K22" s="34" t="str">
        <x:v>C18</x:v>
      </x:c>
      <x:c r="L22" s="34" t="str">
        <x:v>C19</x:v>
      </x:c>
      <x:c r="M22" s="34" t="str">
        <x:v>C20</x:v>
      </x:c>
      <x:c r="N22" s="35" t="str">
        <x:v>one cell may isolate without mission loss</x:v>
      </x:c>
    </x:row>
    <x:row r="23">
      <x:c r="B23" s="36" t="str">
        <x:v>Bay 6</x:v>
      </x:c>
      <x:c r="C23" s="36" t="n">
        <x:v>250</x:v>
      </x:c>
      <x:c r="D23" s="36" t="n">
        <x:v>300</x:v>
      </x:c>
      <x:c r="E23" s="36" t="n">
        <x:v>4</x:v>
      </x:c>
      <x:c r="F23" s="36" t="n">
        <x:f>Assumptions!C18/Assumptions!C24</x:f>
        <x:v>39583.333333333336</x:v>
      </x:c>
      <x:c r="G23" s="36" t="n">
        <x:f>F23*(Assumptions!C14-Assumptions!C15)*Assumptions!C16/1000</x:f>
        <x:v>35.94166666666667</x:v>
      </x:c>
      <x:c r="H23" s="36" t="n">
        <x:f>F23*(Assumptions!C14-Assumptions!C15)*Assumptions!C17/1000</x:f>
        <x:v>44.927083333333336</x:v>
      </x:c>
      <x:c r="I23" s="36" t="str">
        <x:v>T6</x:v>
      </x:c>
      <x:c r="J23" s="36" t="str">
        <x:v>C21</x:v>
      </x:c>
      <x:c r="K23" s="36" t="str">
        <x:v>C22</x:v>
      </x:c>
      <x:c r="L23" s="36" t="str">
        <x:v>C23</x:v>
      </x:c>
      <x:c r="M23" s="36" t="str">
        <x:v>C24</x:v>
      </x:c>
      <x:c r="N23" s="37" t="str">
        <x:v>one cell may isolate without mission loss</x:v>
      </x:c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B26" s="8" t="str">
        <x:v>Lift and casualty closure</x:v>
      </x:c>
      <x:c r="C26" s="9" t="str">
        <x:v>Lift and casualty closure</x:v>
      </x:c>
      <x:c r="D26" s="9" t="str">
        <x:v>Lift and casualty closure</x:v>
      </x:c>
      <x:c r="E26" s="9" t="str">
        <x:v>Lift and casualty closure</x:v>
      </x:c>
      <x:c r="F26" s="9" t="str">
        <x:v>Lift and casualty closure</x:v>
      </x:c>
      <x:c r="G26" s="9" t="str">
        <x:v>Lift and casualty closure</x:v>
      </x:c>
      <x:c r="H26" s="9" t="str">
        <x:v>Lift and casualty closure</x:v>
      </x:c>
      <x:c r="I26" s="9" t="str">
        <x:v>Lift and casualty closure</x:v>
      </x:c>
      <x:c r="J26" s="9" t="str">
        <x:v>Lift and casualty closure</x:v>
      </x:c>
      <x:c r="K26" s="9" t="str">
        <x:v>Lift and casualty closure</x:v>
      </x:c>
      <x:c r="L26" s="9" t="str">
        <x:v>Lift and casualty closure</x:v>
      </x:c>
      <x:c r="M26" s="9" t="str">
        <x:v>Lift and casualty closure</x:v>
      </x:c>
      <x:c r="N26" s="10" t="str">
        <x:v>Lift and casualty closure</x:v>
      </x:c>
    </x:row>
    <x:row r="27">
      <x:c r="B27" s="26" t="str">
        <x:v>Calculation</x:v>
      </x:c>
      <x:c r="C27" s="27" t="str">
        <x:v>Value</x:v>
      </x:c>
      <x:c r="D27" s="27" t="str">
        <x:v>Unit</x:v>
      </x:c>
      <x:c r="E27" s="27" t="str">
        <x:v>Threshold</x:v>
      </x:c>
      <x:c r="F27" s="27" t="str">
        <x:v>Result</x:v>
      </x:c>
      <x:c r="G27" s="2"/>
      <x:c r="H27" s="2"/>
      <x:c r="I27" s="2"/>
      <x:c r="J27" s="2"/>
      <x:c r="K27" s="2"/>
      <x:c r="L27" s="2"/>
      <x:c r="M27" s="2"/>
      <x:c r="N27" s="2"/>
    </x:row>
    <x:row r="28">
      <x:c r="B28" s="34" t="str">
        <x:v>Hot-high static lift</x:v>
      </x:c>
      <x:c r="C28" s="34" t="n">
        <x:f>Assumptions!C18*(Assumptions!C14-Assumptions!C15)*Assumptions!C16/1000</x:f>
        <x:v>862.6</x:v>
      </x:c>
      <x:c r="D28" s="34" t="str">
        <x:v>t</x:v>
      </x:c>
      <x:c r="E28" s="34" t="str">
        <x:v>reference</x:v>
      </x:c>
      <x:c r="F28" s="35" t="str">
        <x:v>BOUND</x:v>
      </x:c>
      <x:c r="G28" s="2"/>
      <x:c r="H28" s="2"/>
      <x:c r="I28" s="2"/>
      <x:c r="J28" s="2"/>
      <x:c r="K28" s="2"/>
      <x:c r="L28" s="2"/>
      <x:c r="M28" s="2"/>
      <x:c r="N28" s="2"/>
    </x:row>
    <x:row r="29">
      <x:c r="B29" s="34" t="str">
        <x:v>Cold-dense static lift</x:v>
      </x:c>
      <x:c r="C29" s="34" t="n">
        <x:f>Assumptions!C18*(Assumptions!C14-Assumptions!C15)*Assumptions!C17/1000</x:f>
        <x:v>1078.25</x:v>
      </x:c>
      <x:c r="D29" s="34" t="str">
        <x:v>t</x:v>
      </x:c>
      <x:c r="E29" s="34" t="str">
        <x:v>maximum receiver lift</x:v>
      </x:c>
      <x:c r="F29" s="35" t="str">
        <x:v>BOUND</x:v>
      </x:c>
      <x:c r="G29" s="2"/>
      <x:c r="H29" s="2"/>
      <x:c r="I29" s="2"/>
      <x:c r="J29" s="2"/>
      <x:c r="K29" s="2"/>
      <x:c r="L29" s="2"/>
      <x:c r="M29" s="2"/>
      <x:c r="N29" s="2"/>
    </x:row>
    <x:row r="30">
      <x:c r="B30" s="34" t="str">
        <x:v>Hot-high lift per cell</x:v>
      </x:c>
      <x:c r="C30" s="34" t="n">
        <x:f>C28/Assumptions!C24</x:f>
        <x:v>35.94166666666667</x:v>
      </x:c>
      <x:c r="D30" s="34" t="str">
        <x:v>t</x:v>
      </x:c>
      <x:c r="E30" s="34" t="str">
        <x:v>loss increment</x:v>
      </x:c>
      <x:c r="F30" s="35" t="str">
        <x:v>BOUND</x:v>
      </x:c>
      <x:c r="G30" s="2"/>
      <x:c r="H30" s="2"/>
      <x:c r="I30" s="2"/>
      <x:c r="J30" s="2"/>
      <x:c r="K30" s="2"/>
      <x:c r="L30" s="2"/>
      <x:c r="M30" s="2"/>
      <x:c r="N30" s="2"/>
    </x:row>
    <x:row r="31">
      <x:c r="B31" s="34" t="str">
        <x:v>Hot-high lift after one cell loss</x:v>
      </x:c>
      <x:c r="C31" s="34" t="n">
        <x:f>C28-C30</x:f>
        <x:v>826.6583333333333</x:v>
      </x:c>
      <x:c r="D31" s="34" t="str">
        <x:v>t</x:v>
      </x:c>
      <x:c r="E31" s="34" t="str">
        <x:v>supports one-cell dynamic case</x:v>
      </x:c>
      <x:c r="F31" s="35" t="str">
        <x:v>BOUND</x:v>
      </x:c>
      <x:c r="G31" s="2"/>
      <x:c r="H31" s="2"/>
      <x:c r="I31" s="2"/>
      <x:c r="J31" s="2"/>
      <x:c r="K31" s="2"/>
      <x:c r="L31" s="2"/>
      <x:c r="M31" s="2"/>
      <x:c r="N31" s="2"/>
    </x:row>
    <x:row r="32">
      <x:c r="B32" s="34" t="str">
        <x:v>Lift-conversion full authority</x:v>
      </x:c>
      <x:c r="C32" s="34" t="n">
        <x:f>Assumptions!C26*((Assumptions!C14-Assumptions!C15)/Assumptions!C15+Assumptions!C28)</x:f>
        <x:v>371.00000000000006</x:v>
      </x:c>
      <x:c r="D32" s="34" t="str">
        <x:v>t support</x:v>
      </x:c>
      <x:c r="E32" s="34" t="str">
        <x:v>minimum cold transition</x:v>
      </x:c>
      <x:c r="F32" s="35" t="str">
        <x:f>IF(C32&gt;0,"PASS","FAIL")</x:f>
        <x:v>PASS</x:v>
      </x:c>
      <x:c r="G32" s="2"/>
      <x:c r="H32" s="2"/>
      <x:c r="I32" s="2"/>
      <x:c r="J32" s="2"/>
      <x:c r="K32" s="2"/>
      <x:c r="L32" s="2"/>
      <x:c r="M32" s="2"/>
      <x:c r="N32" s="2"/>
    </x:row>
    <x:row r="33">
      <x:c r="B33" s="36" t="str">
        <x:v>Lift-conversion N-1 authority</x:v>
      </x:c>
      <x:c r="C33" s="36" t="n">
        <x:f>Assumptions!C26*(Assumptions!C25-1)/Assumptions!C25*((Assumptions!C14-Assumptions!C15)/Assumptions!C15+Assumptions!C28)</x:f>
        <x:v>309.16666666666674</x:v>
      </x:c>
      <x:c r="D33" s="36" t="str">
        <x:v>t support</x:v>
      </x:c>
      <x:c r="E33" s="36" t="str">
        <x:v>minimum cold transition</x:v>
      </x:c>
      <x:c r="F33" s="37" t="str">
        <x:f>IF(C33&gt;0,"PASS","FAIL")</x:f>
        <x:v>PASS</x:v>
      </x:c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8" t="str">
        <x:v>Spatial grammar</x:v>
      </x:c>
      <x:c r="C36" s="9" t="str">
        <x:v>Spatial grammar</x:v>
      </x:c>
      <x:c r="D36" s="9" t="str">
        <x:v>Spatial grammar</x:v>
      </x:c>
      <x:c r="E36" s="9" t="str">
        <x:v>Spatial grammar</x:v>
      </x:c>
      <x:c r="F36" s="9" t="str">
        <x:v>Spatial grammar</x:v>
      </x:c>
      <x:c r="G36" s="9" t="str">
        <x:v>Spatial grammar</x:v>
      </x:c>
      <x:c r="H36" s="9" t="str">
        <x:v>Spatial grammar</x:v>
      </x:c>
      <x:c r="I36" s="9" t="str">
        <x:v>Spatial grammar</x:v>
      </x:c>
      <x:c r="J36" s="9" t="str">
        <x:v>Spatial grammar</x:v>
      </x:c>
      <x:c r="K36" s="9" t="str">
        <x:v>Spatial grammar</x:v>
      </x:c>
      <x:c r="L36" s="9" t="str">
        <x:v>Spatial grammar</x:v>
      </x:c>
      <x:c r="M36" s="9" t="str">
        <x:v>Spatial grammar</x:v>
      </x:c>
      <x:c r="N36" s="10" t="str">
        <x:v>Spatial grammar</x:v>
      </x:c>
    </x:row>
    <x:row r="37">
      <x:c r="B37" s="26" t="str">
        <x:v>Zone</x:v>
      </x:c>
      <x:c r="C37" s="27" t="str">
        <x:v>x start</x:v>
      </x:c>
      <x:c r="D37" s="27" t="str">
        <x:v>x end</x:v>
      </x:c>
      <x:c r="E37" s="27" t="str">
        <x:v>Width</x:v>
      </x:c>
      <x:c r="F37" s="27" t="str">
        <x:v>Height</x:v>
      </x:c>
      <x:c r="G37" s="27" t="str">
        <x:v>Primary contents</x:v>
      </x:c>
      <x:c r="H37" s="27" t="str">
        <x:v>Fire boundary</x:v>
      </x:c>
      <x:c r="I37" s="27" t="str">
        <x:v>Occupied</x:v>
      </x:c>
      <x:c r="J37" s="27" t="str">
        <x:v>Removal</x:v>
      </x:c>
      <x:c r="K37" s="27" t="str">
        <x:v>Lift bays</x:v>
      </x:c>
      <x:c r="L37" s="27" t="str">
        <x:v>Energy buses</x:v>
      </x:c>
      <x:c r="M37" s="27" t="str">
        <x:v>Contact stations</x:v>
      </x:c>
      <x:c r="N37" s="27" t="str">
        <x:v>Rule</x:v>
      </x:c>
    </x:row>
    <x:row r="38">
      <x:c r="B38" s="34" t="str">
        <x:v>Nose and recovery</x:v>
      </x:c>
      <x:c r="C38" s="34" t="n">
        <x:v>0</x:v>
      </x:c>
      <x:c r="D38" s="34" t="n">
        <x:v>32</x:v>
      </x:c>
      <x:c r="E38" s="34" t="n">
        <x:v>40</x:v>
      </x:c>
      <x:c r="F38" s="34" t="n">
        <x:v>24</x:v>
      </x:c>
      <x:c r="G38" s="34" t="str">
        <x:v>crush structure, forward recovery and weather sensors</x:v>
      </x:c>
      <x:c r="H38" s="34" t="str">
        <x:v>outside energy</x:v>
      </x:c>
      <x:c r="I38" s="34" t="str">
        <x:v>no</x:v>
      </x:c>
      <x:c r="J38" s="34" t="str">
        <x:v>forward</x:v>
      </x:c>
      <x:c r="K38" s="34" t="str">
        <x:v>B1</x:v>
      </x:c>
      <x:c r="L38" s="34" t="str">
        <x:v>none</x:v>
      </x:c>
      <x:c r="M38" s="34" t="str">
        <x:v>1</x:v>
      </x:c>
      <x:c r="N38" s="35" t="str">
        <x:v>no tank reaches impact face</x:v>
      </x:c>
    </x:row>
    <x:row r="39">
      <x:c r="B39" s="34" t="str">
        <x:v>Forward machinery</x:v>
      </x:c>
      <x:c r="C39" s="34" t="n">
        <x:v>32</x:v>
      </x:c>
      <x:c r="D39" s="34" t="n">
        <x:v>78</x:v>
      </x:c>
      <x:c r="E39" s="34" t="n">
        <x:v>88</x:v>
      </x:c>
      <x:c r="F39" s="34" t="n">
        <x:v>50</x:v>
      </x:c>
      <x:c r="G39" s="34" t="str">
        <x:v>energy citadels E1-E3, thermal panels and pod drives</x:v>
      </x:c>
      <x:c r="H39" s="34" t="str">
        <x:v>three citadels</x:v>
      </x:c>
      <x:c r="I39" s="34" t="str">
        <x:v>no</x:v>
      </x:c>
      <x:c r="J39" s="34" t="str">
        <x:v>forward and sides</x:v>
      </x:c>
      <x:c r="K39" s="34" t="str">
        <x:v>B1-B2</x:v>
      </x:c>
      <x:c r="L39" s="34" t="str">
        <x:v>1-3</x:v>
      </x:c>
      <x:c r="M39" s="34" t="str">
        <x:v>2-3</x:v>
      </x:c>
      <x:c r="N39" s="35" t="str">
        <x:v>no common fuel sump or coolant loop</x:v>
      </x:c>
    </x:row>
    <x:row r="40">
      <x:c r="B40" s="34" t="str">
        <x:v>Forward refuge buffer</x:v>
      </x:c>
      <x:c r="C40" s="34" t="n">
        <x:v>78</x:v>
      </x:c>
      <x:c r="D40" s="34" t="n">
        <x:v>98</x:v>
      </x:c>
      <x:c r="E40" s="34" t="n">
        <x:v>72</x:v>
      </x:c>
      <x:c r="F40" s="34" t="n">
        <x:v>38</x:v>
      </x:c>
      <x:c r="G40" s="34" t="str">
        <x:v>eight-person flight refuge and four exits</x:v>
      </x:c>
      <x:c r="H40" s="34" t="str">
        <x:v>crew refuge F</x:v>
      </x:c>
      <x:c r="I40" s="34" t="str">
        <x:v>yes</x:v>
      </x:c>
      <x:c r="J40" s="34" t="str">
        <x:v>both sides</x:v>
      </x:c>
      <x:c r="K40" s="34" t="str">
        <x:v>B2</x:v>
      </x:c>
      <x:c r="L40" s="34" t="str">
        <x:v>survival</x:v>
      </x:c>
      <x:c r="M40" s="34" t="str">
        <x:v>3</x:v>
      </x:c>
      <x:c r="N40" s="35" t="str">
        <x:v>egress does not cross machinery</x:v>
      </x:c>
    </x:row>
    <x:row r="41">
      <x:c r="B41" s="34" t="str">
        <x:v>Cargo keel A</x:v>
      </x:c>
      <x:c r="C41" s="34" t="n">
        <x:v>98</x:v>
      </x:c>
      <x:c r="D41" s="34" t="n">
        <x:v>150</x:v>
      </x:c>
      <x:c r="E41" s="34" t="n">
        <x:v>34</x:v>
      </x:c>
      <x:c r="F41" s="34" t="n">
        <x:v>18</x:v>
      </x:c>
      <x:c r="G41" s="34" t="str">
        <x:v>load block 1, wet pack 1 and bilateral robots</x:v>
      </x:c>
      <x:c r="H41" s="34" t="str">
        <x:v>cargo A</x:v>
      </x:c>
      <x:c r="I41" s="34" t="str">
        <x:v>service only</x:v>
      </x:c>
      <x:c r="J41" s="34" t="str">
        <x:v>both sides</x:v>
      </x:c>
      <x:c r="K41" s="34" t="str">
        <x:v>B3</x:v>
      </x:c>
      <x:c r="L41" s="34" t="str">
        <x:v>4</x:v>
      </x:c>
      <x:c r="M41" s="34" t="str">
        <x:v>4</x:v>
      </x:c>
      <x:c r="N41" s="35" t="str">
        <x:v>early-wave access on both sides</x:v>
      </x:c>
    </x:row>
    <x:row r="42">
      <x:c r="B42" s="34" t="str">
        <x:v>Cargo keel B</x:v>
      </x:c>
      <x:c r="C42" s="34" t="n">
        <x:v>150</x:v>
      </x:c>
      <x:c r="D42" s="34" t="n">
        <x:v>202</x:v>
      </x:c>
      <x:c r="E42" s="34" t="n">
        <x:v>34</x:v>
      </x:c>
      <x:c r="F42" s="34" t="n">
        <x:v>18</x:v>
      </x:c>
      <x:c r="G42" s="34" t="str">
        <x:v>load block 2, wet pack 2 and bilateral robots</x:v>
      </x:c>
      <x:c r="H42" s="34" t="str">
        <x:v>cargo B</x:v>
      </x:c>
      <x:c r="I42" s="34" t="str">
        <x:v>service only</x:v>
      </x:c>
      <x:c r="J42" s="34" t="str">
        <x:v>both sides</x:v>
      </x:c>
      <x:c r="K42" s="34" t="str">
        <x:v>B4</x:v>
      </x:c>
      <x:c r="L42" s="34" t="str">
        <x:v>4</x:v>
      </x:c>
      <x:c r="M42" s="34" t="str">
        <x:v>5</x:v>
      </x:c>
      <x:c r="N42" s="35" t="str">
        <x:v>no restrained position crosses split</x:v>
      </x:c>
    </x:row>
    <x:row r="43">
      <x:c r="B43" s="34" t="str">
        <x:v>Aft refuge buffer</x:v>
      </x:c>
      <x:c r="C43" s="34" t="n">
        <x:v>202</x:v>
      </x:c>
      <x:c r="D43" s="34" t="n">
        <x:v>222</x:v>
      </x:c>
      <x:c r="E43" s="34" t="n">
        <x:v>72</x:v>
      </x:c>
      <x:c r="F43" s="34" t="n">
        <x:v>38</x:v>
      </x:c>
      <x:c r="G43" s="34" t="str">
        <x:v>eight-person mission refuge and remote safe-state control</x:v>
      </x:c>
      <x:c r="H43" s="34" t="str">
        <x:v>crew refuge A</x:v>
      </x:c>
      <x:c r="I43" s="34" t="str">
        <x:v>yes</x:v>
      </x:c>
      <x:c r="J43" s="34" t="str">
        <x:v>both sides</x:v>
      </x:c>
      <x:c r="K43" s="34" t="str">
        <x:v>B5</x:v>
      </x:c>
      <x:c r="L43" s="34" t="str">
        <x:v>survival</x:v>
      </x:c>
      <x:c r="M43" s="34" t="str">
        <x:v>6</x:v>
      </x:c>
      <x:c r="N43" s="35" t="str">
        <x:v>one refuge can hold the vehicle safe</x:v>
      </x:c>
    </x:row>
    <x:row r="44">
      <x:c r="B44" s="34" t="str">
        <x:v>Aft machinery</x:v>
      </x:c>
      <x:c r="C44" s="34" t="n">
        <x:v>222</x:v>
      </x:c>
      <x:c r="D44" s="34" t="n">
        <x:v>268</x:v>
      </x:c>
      <x:c r="E44" s="34" t="n">
        <x:v>88</x:v>
      </x:c>
      <x:c r="F44" s="34" t="n">
        <x:v>50</x:v>
      </x:c>
      <x:c r="G44" s="34" t="str">
        <x:v>energy citadels E4-E6, conversion trains and thermal panels</x:v>
      </x:c>
      <x:c r="H44" s="34" t="str">
        <x:v>three citadels</x:v>
      </x:c>
      <x:c r="I44" s="34" t="str">
        <x:v>no</x:v>
      </x:c>
      <x:c r="J44" s="34" t="str">
        <x:v>aft and sides</x:v>
      </x:c>
      <x:c r="K44" s="34" t="str">
        <x:v>B5-B6</x:v>
      </x:c>
      <x:c r="L44" s="34" t="str">
        <x:v>4-6</x:v>
      </x:c>
      <x:c r="M44" s="34" t="str">
        <x:v>6-7</x:v>
      </x:c>
      <x:c r="N44" s="35" t="str">
        <x:v>mirrors forward plant without common drains</x:v>
      </x:c>
    </x:row>
    <x:row r="45">
      <x:c r="B45" s="36" t="str">
        <x:v>Tail and recovery</x:v>
      </x:c>
      <x:c r="C45" s="36" t="n">
        <x:v>268</x:v>
      </x:c>
      <x:c r="D45" s="36" t="n">
        <x:v>300</x:v>
      </x:c>
      <x:c r="E45" s="36" t="n">
        <x:v>40</x:v>
      </x:c>
      <x:c r="F45" s="36" t="n">
        <x:v>24</x:v>
      </x:c>
      <x:c r="G45" s="36" t="str">
        <x:v>crush structure, aft recovery and control surfaces</x:v>
      </x:c>
      <x:c r="H45" s="36" t="str">
        <x:v>outside energy</x:v>
      </x:c>
      <x:c r="I45" s="36" t="str">
        <x:v>no</x:v>
      </x:c>
      <x:c r="J45" s="36" t="str">
        <x:v>aft</x:v>
      </x:c>
      <x:c r="K45" s="36" t="str">
        <x:v>B6</x:v>
      </x:c>
      <x:c r="L45" s="36" t="str">
        <x:v>none</x:v>
      </x:c>
      <x:c r="M45" s="36" t="str">
        <x:v>8</x:v>
      </x:c>
      <x:c r="N45" s="37" t="str">
        <x:v>field removal survives one blocked end</x:v>
      </x:c>
    </x:row>
    <x:row r="46"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</x:sheetData>
  <x:mergeCells>
    <x:mergeCell ref="B6:N6"/>
    <x:mergeCell ref="B16:N16"/>
    <x:mergeCell ref="B26:N26"/>
    <x:mergeCell ref="B36:N36"/>
  </x:mergeCells>
  <x:conditionalFormatting sqref="F8:F13">
    <x:cfRule type="containsText" dxfId="3" priority="1" operator="containsText" text="FAIL"/>
    <x:cfRule type="containsText" dxfId="4" priority="2" operator="containsText" text="PASS"/>
    <x:cfRule type="containsText" dxfId="5" priority="3" operator="containsText" text="BLOCKED"/>
  </x:conditionalFormatting>
  <x:conditionalFormatting sqref="F28:F33">
    <x:cfRule type="containsText" dxfId="6" priority="4" operator="containsText" text="FAIL"/>
    <x:cfRule type="containsText" dxfId="7" priority="5" operator="containsText" text="PASS"/>
    <x:cfRule type="containsText" dxfId="8" priority="6" operator="containsText" text="BLOCK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34" hidden="0" customWidth="1"/>
    <x:col min="4" max="4" width="16" hidden="0" customWidth="1"/>
    <x:col min="5" max="5" width="25" hidden="0" customWidth="1"/>
    <x:col min="6" max="6" width="22" hidden="0" customWidth="1"/>
    <x:col min="7" max="7" width="14" hidden="0" customWidth="1"/>
    <x:col min="8" max="8" width="3" hidden="0" customWidth="1"/>
    <x:col min="9" max="9" width="36" hidden="0" customWidth="1"/>
    <x:col min="10" max="10" width="18" hidden="0" customWidth="1"/>
    <x:col min="11" max="11" width="18" hidden="0" customWidth="1"/>
    <x:col min="12" max="12" width="20" hidden="0" customWidth="1"/>
    <x:col min="13" max="13" width="48" hidden="0" customWidth="1"/>
    <x:col min="14" max="14" width="3" hidden="0" customWidth="1"/>
  </x:cols>
  <x:sheetData>
    <x:row r="2">
      <x:c r="B2" s="3" t="str">
        <x:v>Coupled mass, fuel and lift closure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Mission fuel feeds gross mass; gross mass feeds aerodynamic lift, power and fuel through an explicit closed-form fixed point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Fixed non-fuel mass</x:v>
      </x:c>
      <x:c r="C6" s="9" t="str">
        <x:v>Fixed non-fuel mass</x:v>
      </x:c>
      <x:c r="D6" s="9" t="str">
        <x:v>Fixed non-fuel mass</x:v>
      </x:c>
      <x:c r="E6" s="9" t="str">
        <x:v>Fixed non-fuel mass</x:v>
      </x:c>
      <x:c r="F6" s="9" t="str">
        <x:v>Fixed non-fuel mass</x:v>
      </x:c>
      <x:c r="G6" s="10" t="str">
        <x:v>Fixed non-fuel mass</x:v>
      </x:c>
      <x:c r="H6" s="2"/>
      <x:c r="I6" s="8" t="str">
        <x:v>Rated mass and lift statement</x:v>
      </x:c>
      <x:c r="J6" s="9" t="str">
        <x:v>Rated mass and lift statement</x:v>
      </x:c>
      <x:c r="K6" s="9" t="str">
        <x:v>Rated mass and lift statement</x:v>
      </x:c>
      <x:c r="L6" s="9" t="str">
        <x:v>Rated mass and lift statement</x:v>
      </x:c>
      <x:c r="M6" s="9" t="str">
        <x:v>Rated mass and lift statement</x:v>
      </x:c>
      <x:c r="N6" s="10" t="str">
        <x:v>Rated mass and lift statement</x:v>
      </x:c>
    </x:row>
    <x:row r="7">
      <x:c r="B7" s="26" t="str">
        <x:v>Packet</x:v>
      </x:c>
      <x:c r="C7" s="27" t="str">
        <x:v>Formula driver</x:v>
      </x:c>
      <x:c r="D7" s="27" t="str">
        <x:v>Mass t</x:v>
      </x:c>
      <x:c r="E7" s="27" t="str">
        <x:v>Longitudinal zone</x:v>
      </x:c>
      <x:c r="F7" s="27" t="str">
        <x:v>Removal direction</x:v>
      </x:c>
      <x:c r="G7" s="27" t="str">
        <x:v>Evidence</x:v>
      </x:c>
      <x:c r="H7" s="2"/>
      <x:c r="I7" s="26" t="str">
        <x:v>Quantity</x:v>
      </x:c>
      <x:c r="J7" s="27" t="str">
        <x:v>Value</x:v>
      </x:c>
      <x:c r="K7" s="27" t="str">
        <x:v>Unit</x:v>
      </x:c>
      <x:c r="L7" s="45" t="str">
        <x:v>Meaning</x:v>
      </x:c>
      <x:c r="M7" s="46"/>
      <x:c r="N7" s="2"/>
    </x:row>
    <x:row r="8">
      <x:c r="B8" s="34" t="str">
        <x:v>primary load lattice and envelope</x:v>
      </x:c>
      <x:c r="C8" s="34" t="str">
        <x:v>55 t fixed + volume coefficient</x:v>
      </x:c>
      <x:c r="D8" s="34" t="n">
        <x:f>55+Assumptions!C18*0.000231578947</x:f>
        <x:v>274.99999965</x:v>
      </x:c>
      <x:c r="E8" s="34" t="str">
        <x:v>whole body</x:v>
      </x:c>
      <x:c r="F8" s="34" t="str">
        <x:v>sectional</x:v>
      </x:c>
      <x:c r="G8" s="35" t="str">
        <x:v>OPEN</x:v>
      </x:c>
      <x:c r="H8" s="2"/>
      <x:c r="I8" s="34" t="str">
        <x:v>Fixed non-fuel mass</x:v>
      </x:c>
      <x:c r="J8" s="34" t="n">
        <x:f>D21</x:f>
        <x:v>917.999999782</x:v>
      </x:c>
      <x:c r="K8" s="34" t="str">
        <x:v>t</x:v>
      </x:c>
      <x:c r="L8" s="34" t="str">
        <x:v>complete non-fuel system</x:v>
      </x:c>
      <x:c r="M8" s="35" t="str">
        <x:f>IF(ABS(J8-918)&lt;0.001,"PASS","FAIL")</x:f>
        <x:v>PASS</x:v>
      </x:c>
      <x:c r="N8" s="2"/>
    </x:row>
    <x:row r="9">
      <x:c r="B9" s="34" t="str">
        <x:v>lift cells, ballonets and valves</x:v>
      </x:c>
      <x:c r="C9" s="34" t="str">
        <x:v>24-cell lattice</x:v>
      </x:c>
      <x:c r="D9" s="34" t="n">
        <x:f>45</x:f>
        <x:v>45</x:v>
      </x:c>
      <x:c r="E9" s="34" t="str">
        <x:v>lift bays</x:v>
      </x:c>
      <x:c r="F9" s="34" t="str">
        <x:v>radial and sectional</x:v>
      </x:c>
      <x:c r="G9" s="35" t="str">
        <x:v>OPEN</x:v>
      </x:c>
      <x:c r="H9" s="2"/>
      <x:c r="I9" s="34" t="str">
        <x:v>Mission-fuel tank mass</x:v>
      </x:c>
      <x:c r="J9" s="34" t="n">
        <x:f>'Energy and Propulsion'!C23*Assumptions!C47</x:f>
        <x:v>72.1796441257965</x:v>
      </x:c>
      <x:c r="K9" s="34" t="str">
        <x:v>t</x:v>
      </x:c>
      <x:c r="L9" s="34" t="str">
        <x:v>tankage remains after fuel burn</x:v>
      </x:c>
      <x:c r="M9" s="35" t="str">
        <x:f>"BOUND"</x:f>
        <x:v>BOUND</x:v>
      </x:c>
      <x:c r="N9" s="2"/>
    </x:row>
    <x:row r="10">
      <x:c r="B10" s="34" t="str">
        <x:v>propulsion and distribution</x:v>
      </x:c>
      <x:c r="C10" s="34" t="str">
        <x:v>installed power and protected routes</x:v>
      </x:c>
      <x:c r="D10" s="34" t="n">
        <x:f>Assumptions!C38*0.55+39.4</x:f>
        <x:v>145</x:v>
      </x:c>
      <x:c r="E10" s="34" t="str">
        <x:v>machinery zones</x:v>
      </x:c>
      <x:c r="F10" s="34" t="str">
        <x:v>outboard</x:v>
      </x:c>
      <x:c r="G10" s="35" t="str">
        <x:v>OPEN</x:v>
      </x:c>
      <x:c r="H10" s="2"/>
      <x:c r="I10" s="34" t="str">
        <x:v>Mission fuel</x:v>
      </x:c>
      <x:c r="J10" s="34" t="n">
        <x:f>'Energy and Propulsion'!C23</x:f>
        <x:v>131.23571659235725</x:v>
      </x:c>
      <x:c r="K10" s="34" t="str">
        <x:v>t</x:v>
      </x:c>
      <x:c r="L10" s="34" t="str">
        <x:v>deliverable onboard hydrogen</x:v>
      </x:c>
      <x:c r="M10" s="35" t="str">
        <x:f>"BOUND"</x:f>
        <x:v>BOUND</x:v>
      </x:c>
      <x:c r="N10" s="2"/>
    </x:row>
    <x:row r="11">
      <x:c r="B11" s="34" t="str">
        <x:v>energy conversion hardware</x:v>
      </x:c>
      <x:c r="C11" s="34" t="str">
        <x:v>six high-temperature trains</x:v>
      </x:c>
      <x:c r="D11" s="34" t="n">
        <x:f>Assumptions!C25*12.5</x:f>
        <x:v>75</x:v>
      </x:c>
      <x:c r="E11" s="34" t="str">
        <x:v>six citadels</x:v>
      </x:c>
      <x:c r="F11" s="34" t="str">
        <x:v>outboard</x:v>
      </x:c>
      <x:c r="G11" s="35" t="str">
        <x:v>OPEN</x:v>
      </x:c>
      <x:c r="H11" s="2"/>
      <x:c r="I11" s="34" t="str">
        <x:v>Empty tare with tankage</x:v>
      </x:c>
      <x:c r="J11" s="34" t="n">
        <x:f>J8+J9</x:f>
        <x:v>990.1796439077965</x:v>
      </x:c>
      <x:c r="K11" s="34" t="str">
        <x:v>t</x:v>
      </x:c>
      <x:c r="L11" s="34" t="str">
        <x:v>no mission fuel or payload</x:v>
      </x:c>
      <x:c r="M11" s="35" t="str">
        <x:f>"BOUND"</x:f>
        <x:v>BOUND</x:v>
      </x:c>
      <x:c r="N11" s="2"/>
    </x:row>
    <x:row r="12">
      <x:c r="B12" s="34" t="str">
        <x:v>flight controls and sensors</x:v>
      </x:c>
      <x:c r="C12" s="34" t="str">
        <x:v>three local control lanes</x:v>
      </x:c>
      <x:c r="D12" s="34" t="n">
        <x:f>32</x:f>
        <x:v>32</x:v>
      </x:c>
      <x:c r="E12" s="34" t="str">
        <x:v>refuges and distributed</x:v>
      </x:c>
      <x:c r="F12" s="34" t="str">
        <x:v>local</x:v>
      </x:c>
      <x:c r="G12" s="35" t="str">
        <x:v>OPEN</x:v>
      </x:c>
      <x:c r="H12" s="2"/>
      <x:c r="I12" s="34" t="str">
        <x:v>Rated payload</x:v>
      </x:c>
      <x:c r="J12" s="34" t="n">
        <x:f>Assumptions!C8</x:f>
        <x:v>340</x:v>
      </x:c>
      <x:c r="K12" s="34" t="str">
        <x:v>t</x:v>
      </x:c>
      <x:c r="L12" s="34" t="str">
        <x:v>design payload</x:v>
      </x:c>
      <x:c r="M12" s="35" t="str">
        <x:f>IF(J12=Assumptions!C8,"PASS","FAIL")</x:f>
        <x:v>PASS</x:v>
      </x:c>
      <x:c r="N12" s="2"/>
    </x:row>
    <x:row r="13">
      <x:c r="B13" s="34" t="str">
        <x:v>cargo keel, restraint and robots</x:v>
      </x:c>
      <x:c r="C13" s="34" t="str">
        <x:v>two half-bays</x:v>
      </x:c>
      <x:c r="D13" s="34" t="n">
        <x:f>50</x:f>
        <x:v>50</x:v>
      </x:c>
      <x:c r="E13" s="34" t="str">
        <x:v>cargo A and B</x:v>
      </x:c>
      <x:c r="F13" s="34" t="str">
        <x:v>both sides</x:v>
      </x:c>
      <x:c r="G13" s="35" t="str">
        <x:v>OPEN</x:v>
      </x:c>
      <x:c r="H13" s="2"/>
      <x:c r="I13" s="34" t="str">
        <x:v>Rated departure gross</x:v>
      </x:c>
      <x:c r="J13" s="34" t="n">
        <x:f>SUM(J8:J10)+J12</x:f>
        <x:v>1461.4153605001538</x:v>
      </x:c>
      <x:c r="K13" s="34" t="str">
        <x:v>t</x:v>
      </x:c>
      <x:c r="L13" s="34" t="str">
        <x:v>closed fixed-point result</x:v>
      </x:c>
      <x:c r="M13" s="35" t="str">
        <x:f>IF(J13&gt;0,"PASS","FAIL")</x:f>
        <x:v>PASS</x:v>
      </x:c>
      <x:c r="N13" s="2"/>
    </x:row>
    <x:row r="14">
      <x:c r="B14" s="34" t="str">
        <x:v>contact, mooring and leveling</x:v>
      </x:c>
      <x:c r="C14" s="34" t="str">
        <x:v>fixed plant plus contact area</x:v>
      </x:c>
      <x:c r="D14" s="34" t="n">
        <x:f>35+Assumptions!C48*0.375</x:f>
        <x:v>95</x:v>
      </x:c>
      <x:c r="E14" s="34" t="str">
        <x:v>eight stations</x:v>
      </x:c>
      <x:c r="F14" s="34" t="str">
        <x:v>downward</x:v>
      </x:c>
      <x:c r="G14" s="35" t="str">
        <x:v>OPEN</x:v>
      </x:c>
      <x:c r="H14" s="2"/>
      <x:c r="I14" s="34" t="str">
        <x:v>Assigned departure gross</x:v>
      </x:c>
      <x:c r="J14" s="34" t="n">
        <x:f>J13-Assumptions!C8+Assumptions!C9</x:f>
        <x:v>1438.9153605001538</x:v>
      </x:c>
      <x:c r="K14" s="34" t="str">
        <x:v>t</x:v>
      </x:c>
      <x:c r="L14" s="34" t="str">
        <x:v>DCP-2 mission load</x:v>
      </x:c>
      <x:c r="M14" s="35" t="str">
        <x:f>IF(J14&lt;J13,"PASS","FAIL")</x:f>
        <x:v>PASS</x:v>
      </x:c>
      <x:c r="N14" s="2"/>
    </x:row>
    <x:row r="15">
      <x:c r="B15" s="34" t="str">
        <x:v>lift-gas conversion trains</x:v>
      </x:c>
      <x:c r="C15" s="34" t="str">
        <x:v>six symmetric conversion lanes</x:v>
      </x:c>
      <x:c r="D15" s="34" t="n">
        <x:f>Assumptions!C25*10</x:f>
        <x:v>60</x:v>
      </x:c>
      <x:c r="E15" s="34" t="str">
        <x:v>six lift bays</x:v>
      </x:c>
      <x:c r="F15" s="34" t="str">
        <x:v>outboard</x:v>
      </x:c>
      <x:c r="G15" s="35" t="str">
        <x:v>OPEN</x:v>
      </x:c>
      <x:c r="H15" s="2"/>
      <x:c r="I15" s="34" t="str">
        <x:v>Hot-high static lift</x:v>
      </x:c>
      <x:c r="J15" s="34" t="n">
        <x:f>'Lift Cells and Geometry'!C28</x:f>
        <x:v>862.6</x:v>
      </x:c>
      <x:c r="K15" s="34" t="str">
        <x:v>t</x:v>
      </x:c>
      <x:c r="L15" s="34" t="str">
        <x:v>minimum atmospheric lift</x:v>
      </x:c>
      <x:c r="M15" s="35" t="str">
        <x:f>IF(J15&gt;0,"PASS","FAIL")</x:f>
        <x:v>PASS</x:v>
      </x:c>
      <x:c r="N15" s="2"/>
    </x:row>
    <x:row r="16">
      <x:c r="B16" s="34" t="str">
        <x:v>captured-water tanks</x:v>
      </x:c>
      <x:c r="C16" s="34" t="str">
        <x:v>maximum conversion water</x:v>
      </x:c>
      <x:c r="D16" s="34" t="n">
        <x:f>Assumptions!C26*Assumptions!C29*0.172839506</x:f>
        <x:v>27.999999972</x:v>
      </x:c>
      <x:c r="E16" s="34" t="str">
        <x:v>lower keel</x:v>
      </x:c>
      <x:c r="F16" s="34" t="str">
        <x:v>downward</x:v>
      </x:c>
      <x:c r="G16" s="35" t="str">
        <x:v>OPEN</x:v>
      </x:c>
      <x:c r="H16" s="2"/>
      <x:c r="I16" s="34" t="str">
        <x:v>Rated aerodynamic lift required</x:v>
      </x:c>
      <x:c r="J16" s="34" t="n">
        <x:f>J13-J15</x:f>
        <x:v>598.8153605001538</x:v>
      </x:c>
      <x:c r="K16" s="34" t="str">
        <x:v>t</x:v>
      </x:c>
      <x:c r="L16" s="34" t="str">
        <x:v>departure dynamic burden</x:v>
      </x:c>
      <x:c r="M16" s="35" t="str">
        <x:f>IF(J16&lt;=J17,"PASS","FAIL")</x:f>
        <x:v>PASS</x:v>
      </x:c>
      <x:c r="N16" s="2"/>
    </x:row>
    <x:row r="17">
      <x:c r="B17" s="34" t="str">
        <x:v>heat-rejection surfaces</x:v>
      </x:c>
      <x:c r="C17" s="34" t="str">
        <x:v>radiator area</x:v>
      </x:c>
      <x:c r="D17" s="34" t="n">
        <x:f>Assumptions!C62*0.066666667</x:f>
        <x:v>32.00000016</x:v>
      </x:c>
      <x:c r="E17" s="34" t="str">
        <x:v>upper and lateral skin</x:v>
      </x:c>
      <x:c r="F17" s="34" t="str">
        <x:v>outboard</x:v>
      </x:c>
      <x:c r="G17" s="35" t="str">
        <x:v>OPEN</x:v>
      </x:c>
      <x:c r="H17" s="2"/>
      <x:c r="I17" s="34" t="str">
        <x:v>Dynamic-lift capacity</x:v>
      </x:c>
      <x:c r="J17" s="34" t="n">
        <x:f>Assumptions!C31</x:f>
        <x:v>675</x:v>
      </x:c>
      <x:c r="K17" s="34" t="str">
        <x:v>t</x:v>
      </x:c>
      <x:c r="L17" s="34" t="str">
        <x:v>declared capability</x:v>
      </x:c>
      <x:c r="M17" s="35" t="str">
        <x:f>IF(J17=Assumptions!C31,"PASS","FAIL")</x:f>
        <x:v>PASS</x:v>
      </x:c>
      <x:c r="N17" s="2"/>
    </x:row>
    <x:row r="18">
      <x:c r="B18" s="34" t="str">
        <x:v>crew refuges and life support</x:v>
      </x:c>
      <x:c r="C18" s="34" t="str">
        <x:v>two occupied safe states</x:v>
      </x:c>
      <x:c r="D18" s="34" t="n">
        <x:f>24</x:f>
        <x:v>24</x:v>
      </x:c>
      <x:c r="E18" s="34" t="str">
        <x:v>fore and aft buffers</x:v>
      </x:c>
      <x:c r="F18" s="34" t="str">
        <x:v>both sides</x:v>
      </x:c>
      <x:c r="G18" s="35" t="str">
        <x:v>OPEN</x:v>
      </x:c>
      <x:c r="H18" s="2"/>
      <x:c r="I18" s="34" t="str">
        <x:v>Total-lift reserve</x:v>
      </x:c>
      <x:c r="J18" s="47" t="n">
        <x:f>(J15+J17)/J13-1</x:f>
        <x:v>0.05213072310514977</x:v>
      </x:c>
      <x:c r="K18" s="34" t="str">
        <x:v>fraction</x:v>
      </x:c>
      <x:c r="L18" s="34" t="str">
        <x:v>capacity above rated gross</x:v>
      </x:c>
      <x:c r="M18" s="35" t="str">
        <x:f>IF(J18&gt;=Assumptions!C32,"PASS","FAIL")</x:f>
        <x:v>PASS</x:v>
      </x:c>
      <x:c r="N18" s="2"/>
    </x:row>
    <x:row r="19">
      <x:c r="B19" s="34" t="str">
        <x:v>recovery, fire, lightning and icing</x:v>
      </x:c>
      <x:c r="C19" s="34" t="str">
        <x:v>compound environmental protection</x:v>
      </x:c>
      <x:c r="D19" s="34" t="n">
        <x:f>37</x:f>
        <x:v>37</x:v>
      </x:c>
      <x:c r="E19" s="34" t="str">
        <x:v>distributed</x:v>
      </x:c>
      <x:c r="F19" s="34" t="str">
        <x:v>local</x:v>
      </x:c>
      <x:c r="G19" s="35" t="str">
        <x:v>OPEN</x:v>
      </x:c>
      <x:c r="H19" s="2"/>
      <x:c r="I19" s="34" t="str">
        <x:v>One-cell-loss dynamic demand</x:v>
      </x:c>
      <x:c r="J19" s="34" t="n">
        <x:f>J13-('Lift Cells and Geometry'!C31)</x:f>
        <x:v>634.7570271668205</x:v>
      </x:c>
      <x:c r="K19" s="34" t="str">
        <x:v>t</x:v>
      </x:c>
      <x:c r="L19" s="34" t="str">
        <x:v>hot-high cell casualty</x:v>
      </x:c>
      <x:c r="M19" s="35" t="str">
        <x:f>IF(J19&lt;=J17,"PASS","FAIL")</x:f>
        <x:v>PASS</x:v>
      </x:c>
      <x:c r="N19" s="2"/>
    </x:row>
    <x:row r="20">
      <x:c r="B20" s="34" t="str">
        <x:v>system integration reserve</x:v>
      </x:c>
      <x:c r="C20" s="34" t="str">
        <x:v>unallocated only at R2</x:v>
      </x:c>
      <x:c r="D20" s="34" t="n">
        <x:f>20</x:f>
        <x:v>20</x:v>
      </x:c>
      <x:c r="E20" s="34" t="str">
        <x:v>controlled reserve</x:v>
      </x:c>
      <x:c r="F20" s="34" t="str">
        <x:v>n.a.</x:v>
      </x:c>
      <x:c r="G20" s="35" t="str">
        <x:v>OPEN</x:v>
      </x:c>
      <x:c r="H20" s="2"/>
      <x:c r="I20" s="36" t="str">
        <x:v>One-cell-loss capacity margin</x:v>
      </x:c>
      <x:c r="J20" s="36" t="n">
        <x:f>J17-J19</x:f>
        <x:v>40.242972833179465</x:v>
      </x:c>
      <x:c r="K20" s="36" t="str">
        <x:v>t</x:v>
      </x:c>
      <x:c r="L20" s="36" t="str">
        <x:v>nonnegative requirement</x:v>
      </x:c>
      <x:c r="M20" s="37" t="str">
        <x:f>IF(J20&gt;=0,"PASS","FAIL")</x:f>
        <x:v>PASS</x:v>
      </x:c>
      <x:c r="N20" s="2"/>
    </x:row>
    <x:row r="21">
      <x:c r="B21" s="34" t="str">
        <x:v>Fixed-mass subtotal</x:v>
      </x:c>
      <x:c r="C21" s="34" t="str"/>
      <x:c r="D21" s="34" t="n">
        <x:f>SUM(D8:D20)</x:f>
        <x:v>917.999999782</x:v>
      </x:c>
      <x:c r="E21" s="34"/>
      <x:c r="F21" s="34"/>
      <x:c r="G21" s="35"/>
      <x:c r="H21" s="2"/>
      <x:c r="I21" s="2"/>
      <x:c r="J21" s="2"/>
      <x:c r="K21" s="2"/>
      <x:c r="L21" s="2"/>
      <x:c r="M21" s="2"/>
      <x:c r="N21" s="2"/>
    </x:row>
    <x:row r="22">
      <x:c r="B22" s="34" t="str">
        <x:v>Target control</x:v>
      </x:c>
      <x:c r="C22" s="34" t="n">
        <x:v>918</x:v>
      </x:c>
      <x:c r="D22" s="34" t="str">
        <x:v>t</x:v>
      </x:c>
      <x:c r="E22" s="34"/>
      <x:c r="F22" s="34"/>
      <x:c r="G22" s="35"/>
      <x:c r="H22" s="2"/>
      <x:c r="I22" s="2"/>
      <x:c r="J22" s="2"/>
      <x:c r="K22" s="2"/>
      <x:c r="L22" s="2"/>
      <x:c r="M22" s="2"/>
      <x:c r="N22" s="2"/>
    </x:row>
    <x:row r="23">
      <x:c r="B23" s="36" t="str">
        <x:v>Difference</x:v>
      </x:c>
      <x:c r="C23" s="36" t="str"/>
      <x:c r="D23" s="36" t="n">
        <x:f>D21-C22</x:f>
        <x:v>-2.1799996829940937e-7</x:v>
      </x:c>
      <x:c r="E23" s="36" t="str">
        <x:f>IF(ABS(D23)&lt;0.001,"PASS","FAIL")</x:f>
        <x:v>PASS</x:v>
      </x:c>
      <x:c r="F23" s="36"/>
      <x:c r="G23" s="37"/>
      <x:c r="H23" s="2"/>
      <x:c r="I23" s="8" t="str">
        <x:v>Arrival mass states</x:v>
      </x:c>
      <x:c r="J23" s="9" t="str">
        <x:v>Arrival mass states</x:v>
      </x:c>
      <x:c r="K23" s="9" t="str">
        <x:v>Arrival mass states</x:v>
      </x:c>
      <x:c r="L23" s="9" t="str">
        <x:v>Arrival mass states</x:v>
      </x:c>
      <x:c r="M23" s="9" t="str">
        <x:v>Arrival mass states</x:v>
      </x:c>
      <x:c r="N23" s="10" t="str">
        <x:v>Arrival mass states</x:v>
      </x:c>
    </x:row>
    <x:row r="24">
      <x:c r="B24" s="2"/>
      <x:c r="C24" s="2"/>
      <x:c r="D24" s="2"/>
      <x:c r="E24" s="2"/>
      <x:c r="F24" s="2"/>
      <x:c r="G24" s="2"/>
      <x:c r="H24" s="2"/>
      <x:c r="I24" s="26" t="str">
        <x:v>State</x:v>
      </x:c>
      <x:c r="J24" s="27" t="str">
        <x:v>Mass t</x:v>
      </x:c>
      <x:c r="K24" s="27" t="str">
        <x:v>Static lift t</x:v>
      </x:c>
      <x:c r="L24" s="27" t="str">
        <x:v>Ground reaction t</x:v>
      </x:c>
      <x:c r="M24" s="27" t="str">
        <x:v>Interpretation</x:v>
      </x:c>
      <x:c r="N24" s="2"/>
    </x:row>
    <x:row r="25">
      <x:c r="B25" s="2"/>
      <x:c r="C25" s="2"/>
      <x:c r="D25" s="2"/>
      <x:c r="E25" s="2"/>
      <x:c r="F25" s="2"/>
      <x:c r="G25" s="2"/>
      <x:c r="H25" s="2"/>
      <x:c r="I25" s="34" t="str">
        <x:v>rated departure</x:v>
      </x:c>
      <x:c r="J25" s="34" t="n">
        <x:f>J13</x:f>
        <x:v>1461.4153605001538</x:v>
      </x:c>
      <x:c r="K25" s="34" t="n">
        <x:f>J15</x:f>
        <x:v>862.6</x:v>
      </x:c>
      <x:c r="L25" s="34" t="n">
        <x:f>J25-K25</x:f>
        <x:v>598.8153605001538</x:v>
      </x:c>
      <x:c r="M25" s="35" t="str">
        <x:v>aerodynamic lift carries the deficit</x:v>
      </x:c>
      <x:c r="N25" s="2"/>
    </x:row>
    <x:row r="26">
      <x:c r="B26" s="2"/>
      <x:c r="C26" s="2"/>
      <x:c r="D26" s="2"/>
      <x:c r="E26" s="2"/>
      <x:c r="F26" s="2"/>
      <x:c r="G26" s="2"/>
      <x:c r="H26" s="2"/>
      <x:c r="I26" s="34" t="str">
        <x:v>rated arrival loaded</x:v>
      </x:c>
      <x:c r="J26" s="34" t="n">
        <x:f>J11+'Energy and Propulsion'!C24+Assumptions!C8</x:f>
        <x:v>1353.145894311459</x:v>
      </x:c>
      <x:c r="K26" s="34" t="n">
        <x:f>J15</x:f>
        <x:v>862.6</x:v>
      </x:c>
      <x:c r="L26" s="34" t="n">
        <x:f>J26-K26</x:f>
        <x:v>490.54589431145894</x:v>
      </x:c>
      <x:c r="M26" s="35" t="str">
        <x:v>nominal landing reaction</x:v>
      </x:c>
      <x:c r="N26" s="2"/>
    </x:row>
    <x:row r="27">
      <x:c r="B27" s="2"/>
      <x:c r="C27" s="2"/>
      <x:c r="D27" s="2"/>
      <x:c r="E27" s="2"/>
      <x:c r="F27" s="2"/>
      <x:c r="G27" s="2"/>
      <x:c r="H27" s="2"/>
      <x:c r="I27" s="34" t="str">
        <x:v>assigned arrival loaded</x:v>
      </x:c>
      <x:c r="J27" s="34" t="n">
        <x:f>J11+'Energy and Propulsion'!C24+Assumptions!C9</x:f>
        <x:v>1330.645894311459</x:v>
      </x:c>
      <x:c r="K27" s="34" t="n">
        <x:f>J15</x:f>
        <x:v>862.6</x:v>
      </x:c>
      <x:c r="L27" s="34" t="n">
        <x:f>J27-K27</x:f>
        <x:v>468.04589431145894</x:v>
      </x:c>
      <x:c r="M27" s="35" t="str">
        <x:v>DCP-2 transfer state</x:v>
      </x:c>
      <x:c r="N27" s="2"/>
    </x:row>
    <x:row r="28">
      <x:c r="B28" s="2"/>
      <x:c r="C28" s="2"/>
      <x:c r="D28" s="2"/>
      <x:c r="E28" s="2"/>
      <x:c r="F28" s="2"/>
      <x:c r="G28" s="2"/>
      <x:c r="H28" s="2"/>
      <x:c r="I28" s="34" t="str">
        <x:v>hot-high after assigned offload</x:v>
      </x:c>
      <x:c r="J28" s="34" t="n">
        <x:f>J11+'Energy and Propulsion'!C24</x:f>
        <x:v>1013.1458943114591</x:v>
      </x:c>
      <x:c r="K28" s="34" t="n">
        <x:f>J15</x:f>
        <x:v>862.6</x:v>
      </x:c>
      <x:c r="L28" s="34" t="n">
        <x:f>J28-K28</x:f>
        <x:v>150.54589431145905</x:v>
      </x:c>
      <x:c r="M28" s="35" t="str">
        <x:v>remains ground-coupled without conversion</x:v>
      </x:c>
      <x:c r="N28" s="2"/>
    </x:row>
    <x:row r="29">
      <x:c r="B29" s="2"/>
      <x:c r="C29" s="2"/>
      <x:c r="D29" s="2"/>
      <x:c r="E29" s="2"/>
      <x:c r="F29" s="2"/>
      <x:c r="G29" s="2"/>
      <x:c r="H29" s="2"/>
      <x:c r="I29" s="36" t="str">
        <x:v>cold-dense after assigned offload</x:v>
      </x:c>
      <x:c r="J29" s="36" t="n">
        <x:f>J11+'Energy and Propulsion'!C24</x:f>
        <x:v>1013.1458943114591</x:v>
      </x:c>
      <x:c r="K29" s="36" t="n">
        <x:f>'Lift Cells and Geometry'!C29</x:f>
        <x:v>1078.25</x:v>
      </x:c>
      <x:c r="L29" s="36" t="n">
        <x:f>J29-K29</x:f>
        <x:v>-65.10410568854093</x:v>
      </x:c>
      <x:c r="M29" s="37" t="str">
        <x:v>positive lift before conversion</x:v>
      </x:c>
      <x:c r="N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</x:sheetData>
  <x:mergeCells>
    <x:mergeCell ref="B6:G6"/>
    <x:mergeCell ref="I6:N6"/>
    <x:mergeCell ref="I23:N23"/>
  </x:mergeCells>
  <x:conditionalFormatting sqref="E23:E23">
    <x:cfRule type="containsText" dxfId="9" priority="1" operator="containsText" text="FAIL"/>
    <x:cfRule type="containsText" dxfId="10" priority="2" operator="containsText" text="PASS"/>
    <x:cfRule type="containsText" dxfId="11" priority="3" operator="containsText" text="BLOCKED"/>
  </x:conditionalFormatting>
  <x:conditionalFormatting sqref="M8:M20">
    <x:cfRule type="containsText" dxfId="12" priority="4" operator="containsText" text="FAIL"/>
    <x:cfRule type="containsText" dxfId="13" priority="5" operator="containsText" text="PASS"/>
    <x:cfRule type="containsText" dxfId="14" priority="6" operator="containsText" text="BLOCK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8" hidden="0" customWidth="1"/>
    <x:col min="4" max="4" width="18" hidden="0" customWidth="1"/>
    <x:col min="5" max="5" width="42" hidden="0" customWidth="1"/>
    <x:col min="6" max="6" width="20" hidden="0" customWidth="1"/>
    <x:col min="7" max="7" width="14" hidden="0" customWidth="1"/>
    <x:col min="8" max="8" width="3" hidden="0" customWidth="1"/>
    <x:col min="9" max="9" width="2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>
      <x:c r="B2" s="3" t="str">
        <x:v>Hydrogen-electric mission energy fixed point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Stored-energy mass raises gross mass, aerodynamic lift, cruise power and stored-energy mass again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Closed-form fuel solution</x:v>
      </x:c>
      <x:c r="C6" s="9" t="str">
        <x:v>Closed-form fuel solution</x:v>
      </x:c>
      <x:c r="D6" s="9" t="str">
        <x:v>Closed-form fuel solution</x:v>
      </x:c>
      <x:c r="E6" s="9" t="str">
        <x:v>Closed-form fuel solution</x:v>
      </x:c>
      <x:c r="F6" s="9" t="str">
        <x:v>Closed-form fuel solution</x:v>
      </x:c>
      <x:c r="G6" s="10" t="str">
        <x:v>Closed-form fuel solution</x:v>
      </x:c>
      <x:c r="H6" s="2"/>
      <x:c r="I6" s="8" t="str">
        <x:v>Power-sector closure</x:v>
      </x:c>
      <x:c r="J6" s="9" t="str">
        <x:v>Power-sector closure</x:v>
      </x:c>
      <x:c r="K6" s="9" t="str">
        <x:v>Power-sector closure</x:v>
      </x:c>
      <x:c r="L6" s="9" t="str">
        <x:v>Power-sector closure</x:v>
      </x:c>
      <x:c r="M6" s="9" t="str">
        <x:v>Power-sector closure</x:v>
      </x:c>
      <x:c r="N6" s="10" t="str">
        <x:v>Power-sector closure</x:v>
      </x:c>
    </x:row>
    <x:row r="7">
      <x:c r="B7" s="26" t="str">
        <x:v>Calculation</x:v>
      </x:c>
      <x:c r="C7" s="27" t="str">
        <x:v>Value</x:v>
      </x:c>
      <x:c r="D7" s="27" t="str">
        <x:v>Unit</x:v>
      </x:c>
      <x:c r="E7" s="27" t="str">
        <x:v>Equation role</x:v>
      </x:c>
      <x:c r="F7" s="27" t="str">
        <x:v>Threshold</x:v>
      </x:c>
      <x:c r="G7" s="27" t="str">
        <x:v>Result</x:v>
      </x:c>
      <x:c r="H7" s="2"/>
      <x:c r="I7" s="26" t="str">
        <x:v>State</x:v>
      </x:c>
      <x:c r="J7" s="27" t="str">
        <x:v>Available pods</x:v>
      </x:c>
      <x:c r="K7" s="27" t="str">
        <x:v>Available buses</x:v>
      </x:c>
      <x:c r="L7" s="27" t="str">
        <x:v>Power MW</x:v>
      </x:c>
      <x:c r="M7" s="27" t="str">
        <x:v>Demand MW</x:v>
      </x:c>
      <x:c r="N7" s="27" t="str">
        <x:v>Result</x:v>
      </x:c>
    </x:row>
    <x:row r="8">
      <x:c r="B8" s="34" t="str">
        <x:v>Cruise speed</x:v>
      </x:c>
      <x:c r="C8" s="34" t="n">
        <x:f>Assumptions!C13/3.6</x:f>
        <x:v>66.66666666666667</x:v>
      </x:c>
      <x:c r="D8" s="34" t="str">
        <x:v>m/s</x:v>
      </x:c>
      <x:c r="E8" s="34" t="str">
        <x:v>mission kinematics</x:v>
      </x:c>
      <x:c r="F8" s="34" t="str">
        <x:v>&gt; 0</x:v>
      </x:c>
      <x:c r="G8" s="35" t="str">
        <x:f>IF(C8&gt;0,"PASS","FAIL")</x:f>
        <x:v>PASS</x:v>
      </x:c>
      <x:c r="H8" s="2"/>
      <x:c r="I8" s="34" t="str">
        <x:v>nominal</x:v>
      </x:c>
      <x:c r="J8" s="34" t="n">
        <x:f>Assumptions!C39</x:f>
        <x:v>12</x:v>
      </x:c>
      <x:c r="K8" s="34" t="n">
        <x:f>Assumptions!C40</x:f>
        <x:v>6</x:v>
      </x:c>
      <x:c r="L8" s="34" t="n">
        <x:f>Assumptions!C38</x:f>
        <x:v>192</x:v>
      </x:c>
      <x:c r="M8" s="34" t="n">
        <x:f>MAX(C20,Assumptions!C41)</x:f>
        <x:v>140</x:v>
      </x:c>
      <x:c r="N8" s="35" t="str">
        <x:f>IF(L8&gt;=M8,"PASS","FAIL")</x:f>
        <x:v>PASS</x:v>
      </x:c>
    </x:row>
    <x:row r="9">
      <x:c r="B9" s="34" t="str">
        <x:v>Cruise time</x:v>
      </x:c>
      <x:c r="C9" s="34" t="n">
        <x:f>Assumptions!C12/Assumptions!C13</x:f>
        <x:v>16.666666666666668</x:v>
      </x:c>
      <x:c r="D9" s="34" t="str">
        <x:v>h</x:v>
      </x:c>
      <x:c r="E9" s="34" t="str">
        <x:v>range divided by speed</x:v>
      </x:c>
      <x:c r="F9" s="34" t="str">
        <x:v>&lt;= 16.667</x:v>
      </x:c>
      <x:c r="G9" s="35" t="str">
        <x:f>IF(C9&lt;=4000/240+0.001,"PASS","FAIL")</x:f>
        <x:v>PASS</x:v>
      </x:c>
      <x:c r="H9" s="2"/>
      <x:c r="I9" s="34" t="str">
        <x:v>one pod lost</x:v>
      </x:c>
      <x:c r="J9" s="34" t="n">
        <x:f>Assumptions!C39-1</x:f>
        <x:v>11</x:v>
      </x:c>
      <x:c r="K9" s="34" t="n">
        <x:f>Assumptions!C40</x:f>
        <x:v>6</x:v>
      </x:c>
      <x:c r="L9" s="34" t="n">
        <x:f>J9*Assumptions!C38/Assumptions!C39</x:f>
        <x:v>176</x:v>
      </x:c>
      <x:c r="M9" s="34" t="n">
        <x:f>MAX(C20,Assumptions!C41)</x:f>
        <x:v>140</x:v>
      </x:c>
      <x:c r="N9" s="35" t="str">
        <x:f>IF(L9&gt;=M9,"PASS","FAIL")</x:f>
        <x:v>PASS</x:v>
      </x:c>
    </x:row>
    <x:row r="10">
      <x:c r="B10" s="34" t="str">
        <x:v>Design air density</x:v>
      </x:c>
      <x:c r="C10" s="34" t="n">
        <x:f>Assumptions!C14*Assumptions!C16</x:f>
        <x:v>0.9800000000000001</x:v>
      </x:c>
      <x:c r="D10" s="34" t="str">
        <x:v>kg/m3</x:v>
      </x:c>
      <x:c r="E10" s="34" t="str">
        <x:v>drag atmosphere</x:v>
      </x:c>
      <x:c r="F10" s="34" t="str">
        <x:v>&gt; 0</x:v>
      </x:c>
      <x:c r="G10" s="35" t="str">
        <x:f>IF(C10&gt;0,"PASS","FAIL")</x:f>
        <x:v>PASS</x:v>
      </x:c>
      <x:c r="H10" s="2"/>
      <x:c r="I10" s="34" t="str">
        <x:v>two pods lost</x:v>
      </x:c>
      <x:c r="J10" s="34" t="n">
        <x:f>Assumptions!C39-2</x:f>
        <x:v>10</x:v>
      </x:c>
      <x:c r="K10" s="34" t="n">
        <x:f>Assumptions!C40</x:f>
        <x:v>6</x:v>
      </x:c>
      <x:c r="L10" s="34" t="n">
        <x:f>J10*Assumptions!C38/Assumptions!C39</x:f>
        <x:v>160</x:v>
      </x:c>
      <x:c r="M10" s="34" t="n">
        <x:f>MAX(C20,Assumptions!C41)</x:f>
        <x:v>140</x:v>
      </x:c>
      <x:c r="N10" s="35" t="str">
        <x:f>IF(L10&gt;=M10,"PASS","FAIL")</x:f>
        <x:v>PASS</x:v>
      </x:c>
    </x:row>
    <x:row r="11">
      <x:c r="B11" s="34" t="str">
        <x:v>Parasite power</x:v>
      </x:c>
      <x:c r="C11" s="34" t="n">
        <x:f>0.5*C10*C8^3*Assumptions!C35*Assumptions!C34/Assumptions!C36/1000000</x:f>
        <x:v>44.02089268755937</x:v>
      </x:c>
      <x:c r="D11" s="34" t="str">
        <x:v>MW</x:v>
      </x:c>
      <x:c r="E11" s="34" t="str">
        <x:v>hull drag power</x:v>
      </x:c>
      <x:c r="F11" s="34" t="str">
        <x:v>declared</x:v>
      </x:c>
      <x:c r="G11" s="35" t="str">
        <x:f>"BOUND"</x:f>
        <x:v>BOUND</x:v>
      </x:c>
      <x:c r="H11" s="2"/>
      <x:c r="I11" s="34" t="str">
        <x:v>one bus lost</x:v>
      </x:c>
      <x:c r="J11" s="34" t="n">
        <x:f>Assumptions!C39-2</x:f>
        <x:v>10</x:v>
      </x:c>
      <x:c r="K11" s="34" t="n">
        <x:f>Assumptions!C40-1</x:f>
        <x:v>5</x:v>
      </x:c>
      <x:c r="L11" s="34" t="n">
        <x:f>J11*Assumptions!C38/Assumptions!C39</x:f>
        <x:v>160</x:v>
      </x:c>
      <x:c r="M11" s="34" t="n">
        <x:f>MAX(C20,Assumptions!C41)</x:f>
        <x:v>140</x:v>
      </x:c>
      <x:c r="N11" s="35" t="str">
        <x:f>IF(L11&gt;=M11,"PASS","FAIL")</x:f>
        <x:v>PASS</x:v>
      </x:c>
    </x:row>
    <x:row r="12">
      <x:c r="B12" s="34" t="str">
        <x:v>Lift-power coefficient</x:v>
      </x:c>
      <x:c r="C12" s="34" t="n">
        <x:f>9.81*C8/(Assumptions!C33*Assumptions!C36)/1000</x:f>
        <x:v>0.06987179487179489</x:v>
      </x:c>
      <x:c r="D12" s="34" t="str">
        <x:v>MW/t</x:v>
      </x:c>
      <x:c r="E12" s="34" t="str">
        <x:v>dynamic lift burden</x:v>
      </x:c>
      <x:c r="F12" s="34" t="str">
        <x:v>declared</x:v>
      </x:c>
      <x:c r="G12" s="35" t="str">
        <x:f>"BOUND"</x:f>
        <x:v>BOUND</x:v>
      </x:c>
      <x:c r="H12" s="2"/>
      <x:c r="I12" s="36" t="str">
        <x:v>one cell lost in cruise</x:v>
      </x:c>
      <x:c r="J12" s="36" t="n">
        <x:f>Assumptions!C39-2</x:f>
        <x:v>10</x:v>
      </x:c>
      <x:c r="K12" s="36" t="n">
        <x:f>Assumptions!C40-1</x:f>
        <x:v>5</x:v>
      </x:c>
      <x:c r="L12" s="36" t="n">
        <x:f>J12*Assumptions!C38/Assumptions!C39</x:f>
        <x:v>160</x:v>
      </x:c>
      <x:c r="M12" s="36" t="n">
        <x:f>C11+Assumptions!C37+('Mass and Lift'!J19)*C12</x:f>
        <x:v>98.37250548318978</x:v>
      </x:c>
      <x:c r="N12" s="37" t="str">
        <x:f>IF(L12&gt;=M12,"PASS","FAIL")</x:f>
        <x:v>PASS</x:v>
      </x:c>
    </x:row>
    <x:row r="13">
      <x:c r="B13" s="34" t="str">
        <x:v>Fuel feedback coefficient</x:v>
      </x:c>
      <x:c r="C13" s="47" t="n">
        <x:f>C12*(1+Assumptions!C47)*C9/((1-Assumptions!C45)*Assumptions!C46)</x:f>
        <x:v>0.13140568696124258</x:v>
      </x:c>
      <x:c r="D13" s="34" t="str">
        <x:v>fraction</x:v>
      </x:c>
      <x:c r="E13" s="34" t="str">
        <x:v>fuel-to-gross loop</x:v>
      </x:c>
      <x:c r="F13" s="34" t="str">
        <x:v>&lt; 1</x:v>
      </x:c>
      <x:c r="G13" s="35" t="str">
        <x:f>IF(C13&lt;1,"PASS","FAIL")</x:f>
        <x:v>PASS</x:v>
      </x:c>
      <x:c r="H13" s="2"/>
      <x:c r="I13" s="2"/>
      <x:c r="J13" s="2"/>
      <x:c r="K13" s="2"/>
      <x:c r="L13" s="2"/>
      <x:c r="M13" s="2"/>
      <x:c r="N13" s="2"/>
    </x:row>
    <x:row r="14">
      <x:c r="B14" s="34" t="str">
        <x:v>Fuel constant</x:v>
      </x:c>
      <x:c r="C14" s="34" t="n">
        <x:f>((C11+Assumptions!C37+C12*('Mass and Lift'!D21+Assumptions!C8-'Lift Cells and Geometry'!C28))*C9+Assumptions!C41*Assumptions!C42+Assumptions!C43*Assumptions!C44)/((1-Assumptions!C45)*Assumptions!C46)</x:f>
        <x:v>113.9905970996876</x:v>
      </x:c>
      <x:c r="D14" s="34" t="str">
        <x:v>t</x:v>
      </x:c>
      <x:c r="E14" s="34" t="str">
        <x:v>gross-independent numerator</x:v>
      </x:c>
      <x:c r="F14" s="34" t="str">
        <x:v>&gt; 0</x:v>
      </x:c>
      <x:c r="G14" s="35" t="str">
        <x:f>IF(C14&gt;0,"PASS","FAIL")</x:f>
        <x:v>PASS</x:v>
      </x:c>
      <x:c r="H14" s="2"/>
      <x:c r="I14" s="2"/>
      <x:c r="J14" s="2"/>
      <x:c r="K14" s="2"/>
      <x:c r="L14" s="2"/>
      <x:c r="M14" s="2"/>
      <x:c r="N14" s="2"/>
    </x:row>
    <x:row r="15">
      <x:c r="B15" s="34" t="str">
        <x:v>Mission fuel</x:v>
      </x:c>
      <x:c r="C15" s="34" t="n">
        <x:f>C14/(1-C13)</x:f>
        <x:v>131.23571659235725</x:v>
      </x:c>
      <x:c r="D15" s="34" t="str">
        <x:v>t</x:v>
      </x:c>
      <x:c r="E15" s="34" t="str">
        <x:v>closed-form fixed point</x:v>
      </x:c>
      <x:c r="F15" s="34" t="str">
        <x:v>&gt; 0</x:v>
      </x:c>
      <x:c r="G15" s="35" t="str">
        <x:f>IF(C15&gt;0,"PASS","FAIL")</x:f>
        <x:v>PASS</x:v>
      </x:c>
      <x:c r="H15" s="2"/>
      <x:c r="I15" s="8" t="str">
        <x:v>Segmentation</x:v>
      </x:c>
      <x:c r="J15" s="9" t="str">
        <x:v>Segmentation</x:v>
      </x:c>
      <x:c r="K15" s="9" t="str">
        <x:v>Segmentation</x:v>
      </x:c>
      <x:c r="L15" s="9" t="str">
        <x:v>Segmentation</x:v>
      </x:c>
      <x:c r="M15" s="9" t="str">
        <x:v>Segmentation</x:v>
      </x:c>
      <x:c r="N15" s="10" t="str">
        <x:v>Segmentation</x:v>
      </x:c>
    </x:row>
    <x:row r="16">
      <x:c r="B16" s="34" t="str">
        <x:v>Tank mass</x:v>
      </x:c>
      <x:c r="C16" s="34" t="n">
        <x:f>C15*Assumptions!C47</x:f>
        <x:v>72.1796441257965</x:v>
      </x:c>
      <x:c r="D16" s="34" t="str">
        <x:v>t</x:v>
      </x:c>
      <x:c r="E16" s="34" t="str">
        <x:v>containment and protection</x:v>
      </x:c>
      <x:c r="F16" s="34" t="str">
        <x:v>&gt; 0</x:v>
      </x:c>
      <x:c r="G16" s="35" t="str">
        <x:f>IF(C16&gt;0,"PASS","FAIL")</x:f>
        <x:v>PASS</x:v>
      </x:c>
      <x:c r="H16" s="2"/>
      <x:c r="I16" s="26" t="str">
        <x:v>Bus</x:v>
      </x:c>
      <x:c r="J16" s="27" t="str">
        <x:v>Pods</x:v>
      </x:c>
      <x:c r="K16" s="27" t="str">
        <x:v>Converter</x:v>
      </x:c>
      <x:c r="L16" s="27" t="str">
        <x:v>Fuel citadel</x:v>
      </x:c>
      <x:c r="M16" s="27" t="str">
        <x:v>Lift-gas bay</x:v>
      </x:c>
      <x:c r="N16" s="27" t="str">
        <x:v>Cross-feed state</x:v>
      </x:c>
    </x:row>
    <x:row r="17">
      <x:c r="B17" s="34" t="str">
        <x:v>Rated departure gross</x:v>
      </x:c>
      <x:c r="C17" s="34" t="n">
        <x:f>'Mass and Lift'!D21+Assumptions!C8+C15+C16</x:f>
        <x:v>1461.4153605001538</x:v>
      </x:c>
      <x:c r="D17" s="34" t="str">
        <x:v>t</x:v>
      </x:c>
      <x:c r="E17" s="34" t="str">
        <x:v>mass closure</x:v>
      </x:c>
      <x:c r="F17" s="34" t="str">
        <x:v>&gt; 0</x:v>
      </x:c>
      <x:c r="G17" s="35" t="str">
        <x:f>IF(C17&gt;0,"PASS","FAIL")</x:f>
        <x:v>PASS</x:v>
      </x:c>
      <x:c r="H17" s="2"/>
      <x:c r="I17" s="34" t="str">
        <x:v>E1</x:v>
      </x:c>
      <x:c r="J17" s="34" t="str">
        <x:v>P1 / P2</x:v>
      </x:c>
      <x:c r="K17" s="34" t="str">
        <x:v>T1</x:v>
      </x:c>
      <x:c r="L17" s="34" t="str">
        <x:v>F1</x:v>
      </x:c>
      <x:c r="M17" s="34" t="str">
        <x:v>Bay 1</x:v>
      </x:c>
      <x:c r="N17" s="35" t="str">
        <x:v>normally isolated; signed emergency join</x:v>
      </x:c>
    </x:row>
    <x:row r="18">
      <x:c r="B18" s="34" t="str">
        <x:v>Hot-high dynamic lift</x:v>
      </x:c>
      <x:c r="C18" s="34" t="n">
        <x:f>C17-'Lift Cells and Geometry'!C28</x:f>
        <x:v>598.8153605001538</x:v>
      </x:c>
      <x:c r="D18" s="34" t="str">
        <x:v>t</x:v>
      </x:c>
      <x:c r="E18" s="34" t="str">
        <x:v>rated departure</x:v>
      </x:c>
      <x:c r="F18" s="34" t="str">
        <x:v>&lt;= capacity</x:v>
      </x:c>
      <x:c r="G18" s="35" t="str">
        <x:f>IF(C18&lt;=Assumptions!C31,"PASS","FAIL")</x:f>
        <x:v>PASS</x:v>
      </x:c>
      <x:c r="H18" s="2"/>
      <x:c r="I18" s="34" t="str">
        <x:v>E2</x:v>
      </x:c>
      <x:c r="J18" s="34" t="str">
        <x:v>P3 / P4</x:v>
      </x:c>
      <x:c r="K18" s="34" t="str">
        <x:v>T2</x:v>
      </x:c>
      <x:c r="L18" s="34" t="str">
        <x:v>F2</x:v>
      </x:c>
      <x:c r="M18" s="34" t="str">
        <x:v>Bay 2</x:v>
      </x:c>
      <x:c r="N18" s="35" t="str">
        <x:v>normally isolated; signed emergency join</x:v>
      </x:c>
    </x:row>
    <x:row r="19">
      <x:c r="B19" s="34" t="str">
        <x:v>Lift power</x:v>
      </x:c>
      <x:c r="C19" s="34" t="n">
        <x:f>C18*C12</x:f>
        <x:v>41.840304034946655</x:v>
      </x:c>
      <x:c r="D19" s="34" t="str">
        <x:v>MW</x:v>
      </x:c>
      <x:c r="E19" s="34" t="str">
        <x:v>aerodynamic burden</x:v>
      </x:c>
      <x:c r="F19" s="34" t="str">
        <x:v>declared</x:v>
      </x:c>
      <x:c r="G19" s="35" t="str">
        <x:f>"BOUND"</x:f>
        <x:v>BOUND</x:v>
      </x:c>
      <x:c r="H19" s="2"/>
      <x:c r="I19" s="34" t="str">
        <x:v>E3</x:v>
      </x:c>
      <x:c r="J19" s="34" t="str">
        <x:v>P5 / P6</x:v>
      </x:c>
      <x:c r="K19" s="34" t="str">
        <x:v>T3</x:v>
      </x:c>
      <x:c r="L19" s="34" t="str">
        <x:v>F3</x:v>
      </x:c>
      <x:c r="M19" s="34" t="str">
        <x:v>Bay 3</x:v>
      </x:c>
      <x:c r="N19" s="35" t="str">
        <x:v>normally isolated; signed emergency join</x:v>
      </x:c>
    </x:row>
    <x:row r="20">
      <x:c r="B20" s="34" t="str">
        <x:v>Cruise power</x:v>
      </x:c>
      <x:c r="C20" s="34" t="n">
        <x:f>C11+Assumptions!C37+C19</x:f>
        <x:v>95.86119672250602</x:v>
      </x:c>
      <x:c r="D20" s="34" t="str">
        <x:v>MW</x:v>
      </x:c>
      <x:c r="E20" s="34" t="str">
        <x:v>route electrical demand</x:v>
      </x:c>
      <x:c r="F20" s="34" t="str">
        <x:v>&lt; N-2 power</x:v>
      </x:c>
      <x:c r="G20" s="35" t="str">
        <x:f>IF(C20&lt;160,"PASS","FAIL")</x:f>
        <x:v>PASS</x:v>
      </x:c>
      <x:c r="H20" s="2"/>
      <x:c r="I20" s="34" t="str">
        <x:v>E4</x:v>
      </x:c>
      <x:c r="J20" s="34" t="str">
        <x:v>P7 / P8</x:v>
      </x:c>
      <x:c r="K20" s="34" t="str">
        <x:v>T4</x:v>
      </x:c>
      <x:c r="L20" s="34" t="str">
        <x:v>F4</x:v>
      </x:c>
      <x:c r="M20" s="34" t="str">
        <x:v>Bay 4</x:v>
      </x:c>
      <x:c r="N20" s="35" t="str">
        <x:v>normally isolated; signed emergency join</x:v>
      </x:c>
    </x:row>
    <x:row r="21">
      <x:c r="B21" s="34" t="str">
        <x:v>Mission energy before reserve</x:v>
      </x:c>
      <x:c r="C21" s="34" t="n">
        <x:f>C20*C9+Assumptions!C41*Assumptions!C42+Assumptions!C43*Assumptions!C44</x:f>
        <x:v>1802.6866120417671</x:v>
      </x:c>
      <x:c r="D21" s="34" t="str">
        <x:v>MWh</x:v>
      </x:c>
      <x:c r="E21" s="34" t="str">
        <x:v>route, placement and transition</x:v>
      </x:c>
      <x:c r="F21" s="34" t="str">
        <x:v>&gt; 0</x:v>
      </x:c>
      <x:c r="G21" s="35" t="str">
        <x:f>IF(C21&gt;0,"PASS","FAIL")</x:f>
        <x:v>PASS</x:v>
      </x:c>
      <x:c r="H21" s="2"/>
      <x:c r="I21" s="34" t="str">
        <x:v>E5</x:v>
      </x:c>
      <x:c r="J21" s="34" t="str">
        <x:v>P9 / P10</x:v>
      </x:c>
      <x:c r="K21" s="34" t="str">
        <x:v>T5</x:v>
      </x:c>
      <x:c r="L21" s="34" t="str">
        <x:v>F5</x:v>
      </x:c>
      <x:c r="M21" s="34" t="str">
        <x:v>Bay 5</x:v>
      </x:c>
      <x:c r="N21" s="35" t="str">
        <x:v>normally isolated; signed emergency join</x:v>
      </x:c>
    </x:row>
    <x:row r="22">
      <x:c r="B22" s="34" t="str">
        <x:v>Onboard deliverable energy</x:v>
      </x:c>
      <x:c r="C22" s="34" t="n">
        <x:f>C21/(1-Assumptions!C45)</x:f>
        <x:v>2185.074681262748</x:v>
      </x:c>
      <x:c r="D22" s="34" t="str">
        <x:v>MWh</x:v>
      </x:c>
      <x:c r="E22" s="34" t="str">
        <x:v>reserve-adjusted demand</x:v>
      </x:c>
      <x:c r="F22" s="34" t="str">
        <x:v>&gt; mission</x:v>
      </x:c>
      <x:c r="G22" s="35" t="str">
        <x:f>IF(C22&gt;C21,"PASS","FAIL")</x:f>
        <x:v>PASS</x:v>
      </x:c>
      <x:c r="H22" s="2"/>
      <x:c r="I22" s="36" t="str">
        <x:v>E6</x:v>
      </x:c>
      <x:c r="J22" s="36" t="str">
        <x:v>P11 / P12</x:v>
      </x:c>
      <x:c r="K22" s="36" t="str">
        <x:v>T6</x:v>
      </x:c>
      <x:c r="L22" s="36" t="str">
        <x:v>F6</x:v>
      </x:c>
      <x:c r="M22" s="36" t="str">
        <x:v>Bay 6</x:v>
      </x:c>
      <x:c r="N22" s="37" t="str">
        <x:v>normally isolated; signed emergency join</x:v>
      </x:c>
    </x:row>
    <x:row r="23">
      <x:c r="B23" s="34" t="str">
        <x:v>Fuel mass cross-check</x:v>
      </x:c>
      <x:c r="C23" s="34" t="n">
        <x:f>C22/Assumptions!C46</x:f>
        <x:v>131.23571659235725</x:v>
      </x:c>
      <x:c r="D23" s="34" t="str">
        <x:v>t</x:v>
      </x:c>
      <x:c r="E23" s="34" t="str">
        <x:v>independent energy division</x:v>
      </x:c>
      <x:c r="F23" s="34" t="str">
        <x:v>matches mission fuel</x:v>
      </x:c>
      <x:c r="G23" s="35" t="str">
        <x:f>IF(ABS(C23-C15)&lt;0.001,"PASS","FAIL")</x:f>
        <x:v>PASS</x:v>
      </x:c>
      <x:c r="H23" s="2"/>
      <x:c r="I23" s="2"/>
      <x:c r="J23" s="2"/>
      <x:c r="K23" s="2"/>
      <x:c r="L23" s="2"/>
      <x:c r="M23" s="2"/>
      <x:c r="N23" s="2"/>
    </x:row>
    <x:row r="24">
      <x:c r="B24" s="36" t="str">
        <x:v>Fuel remaining at nominal arrival</x:v>
      </x:c>
      <x:c r="C24" s="36" t="n">
        <x:f>C15*Assumptions!C45</x:f>
        <x:v>22.966250403662517</x:v>
      </x:c>
      <x:c r="D24" s="36" t="str">
        <x:v>t</x:v>
      </x:c>
      <x:c r="E24" s="36" t="str">
        <x:v>unspent reserve</x:v>
      </x:c>
      <x:c r="F24" s="36" t="str">
        <x:v>nonnegative</x:v>
      </x:c>
      <x:c r="G24" s="37" t="str">
        <x:f>IF(C24&gt;=0,"PASS","FAIL")</x:f>
        <x:v>PASS</x:v>
      </x:c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</x:sheetData>
  <x:mergeCells>
    <x:mergeCell ref="B6:G6"/>
    <x:mergeCell ref="I6:N6"/>
    <x:mergeCell ref="I15:N15"/>
  </x:mergeCells>
  <x:conditionalFormatting sqref="G8:G24">
    <x:cfRule type="containsText" dxfId="15" priority="1" operator="containsText" text="FAIL"/>
    <x:cfRule type="containsText" dxfId="16" priority="2" operator="containsText" text="PASS"/>
    <x:cfRule type="containsText" dxfId="17" priority="3" operator="containsText" text="BLOCKED"/>
  </x:conditionalFormatting>
  <x:conditionalFormatting sqref="N8:N12">
    <x:cfRule type="containsText" dxfId="18" priority="4" operator="containsText" text="FAIL"/>
    <x:cfRule type="containsText" dxfId="19" priority="5" operator="containsText" text="PASS"/>
    <x:cfRule type="containsText" dxfId="20" priority="6" operator="containsText" text="BLOCK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20" hidden="0" customWidth="1"/>
    <x:col min="8" max="8" width="18" hidden="0" customWidth="1"/>
    <x:col min="9" max="9" width="16" hidden="0" customWidth="1"/>
    <x:col min="10" max="10" width="28" hidden="0" customWidth="1"/>
    <x:col min="11" max="11" width="22" hidden="0" customWidth="1"/>
    <x:col min="12" max="12" width="20" hidden="0" customWidth="1"/>
    <x:col min="13" max="13" width="22" hidden="0" customWidth="1"/>
    <x:col min="14" max="14" width="14" hidden="0" customWidth="1"/>
  </x:cols>
  <x:sheetData>
    <x:row r="2">
      <x:c r="B2" s="3" t="str">
        <x:v>Route and stationary heat-rejection closure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Eight isolated radiator panels close both cruise and lift-conversion heat after one panel loss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6" t="str">
        <x:v>State</x:v>
      </x:c>
      <x:c r="C6" s="27" t="str">
        <x:v>Electrical MW</x:v>
      </x:c>
      <x:c r="D6" s="27" t="str">
        <x:v>Waste/electric</x:v>
      </x:c>
      <x:c r="E6" s="27" t="str">
        <x:v>Surface share</x:v>
      </x:c>
      <x:c r="F6" s="27" t="str">
        <x:v>Surface heat MW</x:v>
      </x:c>
      <x:c r="G6" s="27" t="str">
        <x:v>N-1 rejection MW</x:v>
      </x:c>
      <x:c r="H6" s="45" t="str">
        <x:v>Margin MW</x:v>
      </x:c>
      <x:c r="I6" s="26" t="str">
        <x:v>Result</x:v>
      </x:c>
      <x:c r="J6" s="2"/>
      <x:c r="K6" s="2"/>
      <x:c r="L6" s="2"/>
      <x:c r="M6" s="2"/>
      <x:c r="N6" s="2"/>
    </x:row>
    <x:row r="7">
      <x:c r="B7" s="34" t="str">
        <x:v>cruise</x:v>
      </x:c>
      <x:c r="C7" s="34" t="n">
        <x:f>'Energy and Propulsion'!C20</x:f>
        <x:v>95.86119672250602</x:v>
      </x:c>
      <x:c r="D7" s="34" t="n">
        <x:f>1/Assumptions!C64-1</x:f>
        <x:v>0.9230769230769229</x:v>
      </x:c>
      <x:c r="E7" s="34" t="n">
        <x:f>1-Assumptions!C65</x:f>
        <x:v>0.28</x:v>
      </x:c>
      <x:c r="F7" s="34" t="n">
        <x:f>C7*D7*E7</x:f>
        <x:v>24.776432383663092</x:v>
      </x:c>
      <x:c r="G7" s="34" t="n">
        <x:f>Assumptions!C62*(Assumptions!C63-1)/Assumptions!C63*Assumptions!C66*Assumptions!C69</x:f>
        <x:v>56.699999999999996</x:v>
      </x:c>
      <x:c r="H7" s="34" t="n">
        <x:f>G7-F7</x:f>
        <x:v>31.923567616336904</x:v>
      </x:c>
      <x:c r="I7" s="35" t="str">
        <x:f>IF(H7&gt;=0,"PASS","FAIL")</x:f>
        <x:v>PASS</x:v>
      </x:c>
      <x:c r="J7" s="2"/>
      <x:c r="K7" s="2"/>
      <x:c r="L7" s="2"/>
      <x:c r="M7" s="2"/>
      <x:c r="N7" s="2"/>
    </x:row>
    <x:row r="8">
      <x:c r="B8" s="34" t="str">
        <x:v>cold-dense conversion</x:v>
      </x:c>
      <x:c r="C8" s="34" t="n">
        <x:f>'Offload Transient'!C20/Assumptions!C42</x:f>
        <x:v>119.62415196734382</x:v>
      </x:c>
      <x:c r="D8" s="34" t="n">
        <x:f>1/Assumptions!C64-1</x:f>
        <x:v>0.9230769230769229</x:v>
      </x:c>
      <x:c r="E8" s="34" t="n">
        <x:f>1-Assumptions!C65</x:f>
        <x:v>0.28</x:v>
      </x:c>
      <x:c r="F8" s="34" t="n">
        <x:f>C8*D8*E8</x:f>
        <x:v>30.918242354636554</x:v>
      </x:c>
      <x:c r="G8" s="34" t="n">
        <x:f>Assumptions!C62*(Assumptions!C63-1)/Assumptions!C63*Assumptions!C67*Assumptions!C68</x:f>
        <x:v>41.160000000000004</x:v>
      </x:c>
      <x:c r="H8" s="34" t="n">
        <x:f>G8-F8</x:f>
        <x:v>10.24175764536345</x:v>
      </x:c>
      <x:c r="I8" s="35" t="str">
        <x:f>IF(H8&gt;=0,"PASS","FAIL")</x:f>
        <x:v>PASS</x:v>
      </x:c>
      <x:c r="J8" s="2"/>
      <x:c r="K8" s="2"/>
      <x:c r="L8" s="2"/>
      <x:c r="M8" s="2"/>
      <x:c r="N8" s="2"/>
    </x:row>
    <x:row r="9">
      <x:c r="B9" s="36" t="str">
        <x:v>placement electrical ceiling</x:v>
      </x:c>
      <x:c r="C9" s="36" t="n">
        <x:f>Assumptions!C41</x:f>
        <x:v>140</x:v>
      </x:c>
      <x:c r="D9" s="36" t="n">
        <x:f>1/Assumptions!C64-1</x:f>
        <x:v>0.9230769230769229</x:v>
      </x:c>
      <x:c r="E9" s="36" t="n">
        <x:f>1-Assumptions!C65</x:f>
        <x:v>0.28</x:v>
      </x:c>
      <x:c r="F9" s="36" t="n">
        <x:f>C9*D9*E9</x:f>
        <x:v>36.18461538461538</x:v>
      </x:c>
      <x:c r="G9" s="36" t="n">
        <x:f>Assumptions!C62*Assumptions!C67*Assumptions!C68</x:f>
        <x:v>47.04</x:v>
      </x:c>
      <x:c r="H9" s="36" t="n">
        <x:f>G9-F9</x:f>
        <x:v>10.855384615384622</x:v>
      </x:c>
      <x:c r="I9" s="37" t="str">
        <x:f>IF(H9&gt;=0,"PASS","FAIL")</x:f>
        <x:v>PASS</x:v>
      </x:c>
      <x:c r="J9" s="2"/>
      <x:c r="K9" s="2"/>
      <x:c r="L9" s="2"/>
      <x:c r="M9" s="2"/>
      <x:c r="N9" s="2"/>
    </x:row>
    <x:row r="1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>
      <x:c r="B12" s="8" t="str">
        <x:v>Panel layout and reset path</x:v>
      </x:c>
      <x:c r="C12" s="9" t="str">
        <x:v>Panel layout and reset path</x:v>
      </x:c>
      <x:c r="D12" s="9" t="str">
        <x:v>Panel layout and reset path</x:v>
      </x:c>
      <x:c r="E12" s="9" t="str">
        <x:v>Panel layout and reset path</x:v>
      </x:c>
      <x:c r="F12" s="9" t="str">
        <x:v>Panel layout and reset path</x:v>
      </x:c>
      <x:c r="G12" s="9" t="str">
        <x:v>Panel layout and reset path</x:v>
      </x:c>
      <x:c r="H12" s="9" t="str">
        <x:v>Panel layout and reset path</x:v>
      </x:c>
      <x:c r="I12" s="9" t="str">
        <x:v>Panel layout and reset path</x:v>
      </x:c>
      <x:c r="J12" s="9" t="str">
        <x:v>Panel layout and reset path</x:v>
      </x:c>
      <x:c r="K12" s="9" t="str">
        <x:v>Panel layout and reset path</x:v>
      </x:c>
      <x:c r="L12" s="9" t="str">
        <x:v>Panel layout and reset path</x:v>
      </x:c>
      <x:c r="M12" s="9" t="str">
        <x:v>Panel layout and reset path</x:v>
      </x:c>
      <x:c r="N12" s="10" t="str">
        <x:v>Panel layout and reset path</x:v>
      </x:c>
    </x:row>
    <x:row r="13">
      <x:c r="B13" s="26" t="str">
        <x:v>Panel</x:v>
      </x:c>
      <x:c r="C13" s="27" t="str">
        <x:v>Area m2</x:v>
      </x:c>
      <x:c r="D13" s="27" t="str">
        <x:v>Zone</x:v>
      </x:c>
      <x:c r="E13" s="27" t="str">
        <x:v>Bus</x:v>
      </x:c>
      <x:c r="F13" s="27" t="str">
        <x:v>Route flux</x:v>
      </x:c>
      <x:c r="G13" s="27" t="str">
        <x:v>Station flux</x:v>
      </x:c>
      <x:c r="H13" s="27" t="str">
        <x:v>Isolation</x:v>
      </x:c>
      <x:c r="I13" s="27" t="str">
        <x:v>Inspection access</x:v>
      </x:c>
      <x:c r="J13" s="27" t="str">
        <x:v>Removal</x:v>
      </x:c>
      <x:c r="K13" s="27" t="str">
        <x:v>One-panel loss</x:v>
      </x:c>
      <x:c r="L13" s="27" t="str">
        <x:v>Water sink credited</x:v>
      </x:c>
      <x:c r="M13" s="27" t="str">
        <x:v>Exhaust dependency</x:v>
      </x:c>
      <x:c r="N13" s="27" t="str">
        <x:v>Evidence</x:v>
      </x:c>
    </x:row>
    <x:row r="14">
      <x:c r="B14" s="34" t="str">
        <x:v>R1</x:v>
      </x:c>
      <x:c r="C14" s="34" t="n">
        <x:v>60</x:v>
      </x:c>
      <x:c r="D14" s="34" t="str">
        <x:v>forward upper port</x:v>
      </x:c>
      <x:c r="E14" s="34" t="str">
        <x:v>E1</x:v>
      </x:c>
      <x:c r="F14" s="34" t="n">
        <x:v>0.18</x:v>
      </x:c>
      <x:c r="G14" s="34" t="n">
        <x:v>0.14</x:v>
      </x:c>
      <x:c r="H14" s="34" t="str">
        <x:v>local valves and fire flap</x:v>
      </x:c>
      <x:c r="I14" s="34" t="str">
        <x:v>external safe stand</x:v>
      </x:c>
      <x:c r="J14" s="34" t="str">
        <x:v>outboard</x:v>
      </x:c>
      <x:c r="K14" s="34" t="str">
        <x:v>surviving seven carry required state</x:v>
      </x:c>
      <x:c r="L14" s="34" t="str">
        <x:v>no</x:v>
      </x:c>
      <x:c r="M14" s="34" t="str">
        <x:v>72% of waste heat</x:v>
      </x:c>
      <x:c r="N14" s="35" t="str">
        <x:v>OPEN</x:v>
      </x:c>
    </x:row>
    <x:row r="15">
      <x:c r="B15" s="34" t="str">
        <x:v>R2</x:v>
      </x:c>
      <x:c r="C15" s="34" t="n">
        <x:v>60</x:v>
      </x:c>
      <x:c r="D15" s="34" t="str">
        <x:v>forward upper starboard</x:v>
      </x:c>
      <x:c r="E15" s="34" t="str">
        <x:v>E1</x:v>
      </x:c>
      <x:c r="F15" s="34" t="n">
        <x:v>0.18</x:v>
      </x:c>
      <x:c r="G15" s="34" t="n">
        <x:v>0.14</x:v>
      </x:c>
      <x:c r="H15" s="34" t="str">
        <x:v>local valves and fire flap</x:v>
      </x:c>
      <x:c r="I15" s="34" t="str">
        <x:v>external safe stand</x:v>
      </x:c>
      <x:c r="J15" s="34" t="str">
        <x:v>outboard</x:v>
      </x:c>
      <x:c r="K15" s="34" t="str">
        <x:v>surviving seven carry required state</x:v>
      </x:c>
      <x:c r="L15" s="34" t="str">
        <x:v>no</x:v>
      </x:c>
      <x:c r="M15" s="34" t="str">
        <x:v>72% of waste heat</x:v>
      </x:c>
      <x:c r="N15" s="35" t="str">
        <x:v>OPEN</x:v>
      </x:c>
    </x:row>
    <x:row r="16">
      <x:c r="B16" s="34" t="str">
        <x:v>R3</x:v>
      </x:c>
      <x:c r="C16" s="34" t="n">
        <x:v>60</x:v>
      </x:c>
      <x:c r="D16" s="34" t="str">
        <x:v>forward lateral port</x:v>
      </x:c>
      <x:c r="E16" s="34" t="str">
        <x:v>E2</x:v>
      </x:c>
      <x:c r="F16" s="34" t="n">
        <x:v>0.18</x:v>
      </x:c>
      <x:c r="G16" s="34" t="n">
        <x:v>0.14</x:v>
      </x:c>
      <x:c r="H16" s="34" t="str">
        <x:v>local valves and fire flap</x:v>
      </x:c>
      <x:c r="I16" s="34" t="str">
        <x:v>external safe stand</x:v>
      </x:c>
      <x:c r="J16" s="34" t="str">
        <x:v>outboard</x:v>
      </x:c>
      <x:c r="K16" s="34" t="str">
        <x:v>surviving seven carry required state</x:v>
      </x:c>
      <x:c r="L16" s="34" t="str">
        <x:v>no</x:v>
      </x:c>
      <x:c r="M16" s="34" t="str">
        <x:v>72% of waste heat</x:v>
      </x:c>
      <x:c r="N16" s="35" t="str">
        <x:v>OPEN</x:v>
      </x:c>
    </x:row>
    <x:row r="17">
      <x:c r="B17" s="34" t="str">
        <x:v>R4</x:v>
      </x:c>
      <x:c r="C17" s="34" t="n">
        <x:v>60</x:v>
      </x:c>
      <x:c r="D17" s="34" t="str">
        <x:v>forward lateral starboard</x:v>
      </x:c>
      <x:c r="E17" s="34" t="str">
        <x:v>E2</x:v>
      </x:c>
      <x:c r="F17" s="34" t="n">
        <x:v>0.18</x:v>
      </x:c>
      <x:c r="G17" s="34" t="n">
        <x:v>0.14</x:v>
      </x:c>
      <x:c r="H17" s="34" t="str">
        <x:v>local valves and fire flap</x:v>
      </x:c>
      <x:c r="I17" s="34" t="str">
        <x:v>external safe stand</x:v>
      </x:c>
      <x:c r="J17" s="34" t="str">
        <x:v>outboard</x:v>
      </x:c>
      <x:c r="K17" s="34" t="str">
        <x:v>surviving seven carry required state</x:v>
      </x:c>
      <x:c r="L17" s="34" t="str">
        <x:v>no</x:v>
      </x:c>
      <x:c r="M17" s="34" t="str">
        <x:v>72% of waste heat</x:v>
      </x:c>
      <x:c r="N17" s="35" t="str">
        <x:v>OPEN</x:v>
      </x:c>
    </x:row>
    <x:row r="18">
      <x:c r="B18" s="34" t="str">
        <x:v>R5</x:v>
      </x:c>
      <x:c r="C18" s="34" t="n">
        <x:v>60</x:v>
      </x:c>
      <x:c r="D18" s="34" t="str">
        <x:v>aft upper port</x:v>
      </x:c>
      <x:c r="E18" s="34" t="str">
        <x:v>E3</x:v>
      </x:c>
      <x:c r="F18" s="34" t="n">
        <x:v>0.18</x:v>
      </x:c>
      <x:c r="G18" s="34" t="n">
        <x:v>0.14</x:v>
      </x:c>
      <x:c r="H18" s="34" t="str">
        <x:v>local valves and fire flap</x:v>
      </x:c>
      <x:c r="I18" s="34" t="str">
        <x:v>external safe stand</x:v>
      </x:c>
      <x:c r="J18" s="34" t="str">
        <x:v>outboard</x:v>
      </x:c>
      <x:c r="K18" s="34" t="str">
        <x:v>surviving seven carry required state</x:v>
      </x:c>
      <x:c r="L18" s="34" t="str">
        <x:v>no</x:v>
      </x:c>
      <x:c r="M18" s="34" t="str">
        <x:v>72% of waste heat</x:v>
      </x:c>
      <x:c r="N18" s="35" t="str">
        <x:v>OPEN</x:v>
      </x:c>
    </x:row>
    <x:row r="19">
      <x:c r="B19" s="34" t="str">
        <x:v>R6</x:v>
      </x:c>
      <x:c r="C19" s="34" t="n">
        <x:v>60</x:v>
      </x:c>
      <x:c r="D19" s="34" t="str">
        <x:v>aft upper starboard</x:v>
      </x:c>
      <x:c r="E19" s="34" t="str">
        <x:v>E3</x:v>
      </x:c>
      <x:c r="F19" s="34" t="n">
        <x:v>0.18</x:v>
      </x:c>
      <x:c r="G19" s="34" t="n">
        <x:v>0.14</x:v>
      </x:c>
      <x:c r="H19" s="34" t="str">
        <x:v>local valves and fire flap</x:v>
      </x:c>
      <x:c r="I19" s="34" t="str">
        <x:v>external safe stand</x:v>
      </x:c>
      <x:c r="J19" s="34" t="str">
        <x:v>outboard</x:v>
      </x:c>
      <x:c r="K19" s="34" t="str">
        <x:v>surviving seven carry required state</x:v>
      </x:c>
      <x:c r="L19" s="34" t="str">
        <x:v>no</x:v>
      </x:c>
      <x:c r="M19" s="34" t="str">
        <x:v>72% of waste heat</x:v>
      </x:c>
      <x:c r="N19" s="35" t="str">
        <x:v>OPEN</x:v>
      </x:c>
    </x:row>
    <x:row r="20">
      <x:c r="B20" s="34" t="str">
        <x:v>R7</x:v>
      </x:c>
      <x:c r="C20" s="34" t="n">
        <x:v>60</x:v>
      </x:c>
      <x:c r="D20" s="34" t="str">
        <x:v>aft lateral port</x:v>
      </x:c>
      <x:c r="E20" s="34" t="str">
        <x:v>E4</x:v>
      </x:c>
      <x:c r="F20" s="34" t="n">
        <x:v>0.18</x:v>
      </x:c>
      <x:c r="G20" s="34" t="n">
        <x:v>0.14</x:v>
      </x:c>
      <x:c r="H20" s="34" t="str">
        <x:v>local valves and fire flap</x:v>
      </x:c>
      <x:c r="I20" s="34" t="str">
        <x:v>external safe stand</x:v>
      </x:c>
      <x:c r="J20" s="34" t="str">
        <x:v>outboard</x:v>
      </x:c>
      <x:c r="K20" s="34" t="str">
        <x:v>surviving seven carry required state</x:v>
      </x:c>
      <x:c r="L20" s="34" t="str">
        <x:v>no</x:v>
      </x:c>
      <x:c r="M20" s="34" t="str">
        <x:v>72% of waste heat</x:v>
      </x:c>
      <x:c r="N20" s="35" t="str">
        <x:v>OPEN</x:v>
      </x:c>
    </x:row>
    <x:row r="21">
      <x:c r="B21" s="36" t="str">
        <x:v>R8</x:v>
      </x:c>
      <x:c r="C21" s="36" t="n">
        <x:v>60</x:v>
      </x:c>
      <x:c r="D21" s="36" t="str">
        <x:v>aft lateral starboard</x:v>
      </x:c>
      <x:c r="E21" s="36" t="str">
        <x:v>E4</x:v>
      </x:c>
      <x:c r="F21" s="36" t="n">
        <x:v>0.18</x:v>
      </x:c>
      <x:c r="G21" s="36" t="n">
        <x:v>0.14</x:v>
      </x:c>
      <x:c r="H21" s="36" t="str">
        <x:v>local valves and fire flap</x:v>
      </x:c>
      <x:c r="I21" s="36" t="str">
        <x:v>external safe stand</x:v>
      </x:c>
      <x:c r="J21" s="36" t="str">
        <x:v>outboard</x:v>
      </x:c>
      <x:c r="K21" s="36" t="str">
        <x:v>surviving seven carry required state</x:v>
      </x:c>
      <x:c r="L21" s="36" t="str">
        <x:v>no</x:v>
      </x:c>
      <x:c r="M21" s="36" t="str">
        <x:v>72% of waste heat</x:v>
      </x:c>
      <x:c r="N21" s="37" t="str">
        <x:v>OPEN</x:v>
      </x:c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8" t="str">
        <x:v>Boundary</x:v>
      </x:c>
      <x:c r="C24" s="9" t="str">
        <x:v>Boundary</x:v>
      </x:c>
      <x:c r="D24" s="9" t="str">
        <x:v>Boundary</x:v>
      </x:c>
      <x:c r="E24" s="9" t="str">
        <x:v>Boundary</x:v>
      </x:c>
      <x:c r="F24" s="9" t="str">
        <x:v>Boundary</x:v>
      </x:c>
      <x:c r="G24" s="9" t="str">
        <x:v>Boundary</x:v>
      </x:c>
      <x:c r="H24" s="9" t="str">
        <x:v>Boundary</x:v>
      </x:c>
      <x:c r="I24" s="9" t="str">
        <x:v>Boundary</x:v>
      </x:c>
      <x:c r="J24" s="9" t="str">
        <x:v>Boundary</x:v>
      </x:c>
      <x:c r="K24" s="9" t="str">
        <x:v>Boundary</x:v>
      </x:c>
      <x:c r="L24" s="9" t="str">
        <x:v>Boundary</x:v>
      </x:c>
      <x:c r="M24" s="9" t="str">
        <x:v>Boundary</x:v>
      </x:c>
      <x:c r="N24" s="10" t="str">
        <x:v>Boundary</x:v>
      </x:c>
    </x:row>
    <x:row r="25">
      <x:c r="B25" s="51" t="str">
        <x:v>Maximum surface heat</x:v>
      </x:c>
      <x:c r="C25" s="51" t="n">
        <x:f>MAX(F7:F9)</x:f>
        <x:v>36.18461538461538</x:v>
      </x:c>
      <x:c r="D25" s="51" t="str">
        <x:v>MW</x:v>
      </x:c>
      <x:c r="E25" s="51" t="str">
        <x:v>calculated</x:v>
      </x:c>
      <x:c r="F25" s="51" t="str">
        <x:f>"BOUND"</x:f>
        <x:v>BOUND</x:v>
      </x:c>
      <x:c r="G25" s="2"/>
      <x:c r="H25" s="2"/>
      <x:c r="I25" s="2"/>
      <x:c r="J25" s="2"/>
      <x:c r="K25" s="2"/>
      <x:c r="L25" s="2"/>
      <x:c r="M25" s="2"/>
      <x:c r="N25" s="2"/>
    </x:row>
    <x:row r="26">
      <x:c r="B26" s="34" t="str">
        <x:v>N-1 stationary rejection</x:v>
      </x:c>
      <x:c r="C26" s="34" t="n">
        <x:f>G8</x:f>
        <x:v>41.160000000000004</x:v>
      </x:c>
      <x:c r="D26" s="34" t="str">
        <x:v>MW</x:v>
      </x:c>
      <x:c r="E26" s="34" t="str">
        <x:v>cold-dense conversion</x:v>
      </x:c>
      <x:c r="F26" s="34" t="str">
        <x:f>"BOUND"</x:f>
        <x:v>BOUND</x:v>
      </x:c>
      <x:c r="G26" s="2"/>
      <x:c r="H26" s="2"/>
      <x:c r="I26" s="2"/>
      <x:c r="J26" s="2"/>
      <x:c r="K26" s="2"/>
      <x:c r="L26" s="2"/>
      <x:c r="M26" s="2"/>
      <x:c r="N26" s="2"/>
    </x:row>
    <x:row r="27">
      <x:c r="B27" s="34" t="str">
        <x:v>N-1 heat margin</x:v>
      </x:c>
      <x:c r="C27" s="34" t="n">
        <x:f>H8</x:f>
        <x:v>10.24175764536345</x:v>
      </x:c>
      <x:c r="D27" s="34" t="str">
        <x:v>MW</x:v>
      </x:c>
      <x:c r="E27" s="34" t="str">
        <x:v>must remain nonnegative</x:v>
      </x:c>
      <x:c r="F27" s="34" t="str">
        <x:f>IF(C27&gt;=0,"PASS","FAIL")</x:f>
        <x:v>PASS</x:v>
      </x:c>
      <x:c r="G27" s="2"/>
      <x:c r="H27" s="2"/>
      <x:c r="I27" s="2"/>
      <x:c r="J27" s="2"/>
      <x:c r="K27" s="2"/>
      <x:c r="L27" s="2"/>
      <x:c r="M27" s="2"/>
      <x:c r="N27" s="2"/>
    </x:row>
    <x:row r="28">
      <x:c r="B28" s="34" t="str">
        <x:v>Radiator structural mass</x:v>
      </x:c>
      <x:c r="C28" s="34" t="n">
        <x:f>Assumptions!C62*0.066666667</x:f>
        <x:v>32.00000016</x:v>
      </x:c>
      <x:c r="D28" s="34" t="str">
        <x:v>t</x:v>
      </x:c>
      <x:c r="E28" s="34" t="str">
        <x:v>included in mass statement</x:v>
      </x:c>
      <x:c r="F28" s="34" t="str">
        <x:f>IF(ABS(C28-32)&lt;0.001,"PASS","FAIL")</x:f>
        <x:v>PASS</x:v>
      </x:c>
      <x:c r="G28" s="2"/>
      <x:c r="H28" s="2"/>
      <x:c r="I28" s="2"/>
      <x:c r="J28" s="2"/>
      <x:c r="K28" s="2"/>
      <x:c r="L28" s="2"/>
      <x:c r="M28" s="2"/>
      <x:c r="N28" s="2"/>
    </x:row>
    <x:row r="29">
      <x:c r="B29" s="52" t="str">
        <x:v>No-host-water credit</x:v>
      </x:c>
      <x:c r="C29" s="52" t="n">
        <x:v>1</x:v>
      </x:c>
      <x:c r="D29" s="52" t="str">
        <x:v>binary</x:v>
      </x:c>
      <x:c r="E29" s="52" t="str">
        <x:v>river or municipal water not required</x:v>
      </x:c>
      <x:c r="F29" s="52" t="str">
        <x:f>IF(C29=1,"PASS","FAIL")</x:f>
        <x:v>PASS</x:v>
      </x:c>
      <x:c r="G29" s="2"/>
      <x:c r="H29" s="2"/>
      <x:c r="I29" s="2"/>
      <x:c r="J29" s="2"/>
      <x:c r="K29" s="2"/>
      <x:c r="L29" s="2"/>
      <x:c r="M29" s="2"/>
      <x:c r="N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</x:sheetData>
  <x:mergeCells>
    <x:mergeCell ref="B12:N12"/>
    <x:mergeCell ref="B24:N24"/>
  </x:mergeCells>
  <x:conditionalFormatting sqref="I7:I9">
    <x:cfRule type="containsText" dxfId="21" priority="1" operator="containsText" text="FAIL"/>
    <x:cfRule type="containsText" dxfId="22" priority="2" operator="containsText" text="PASS"/>
    <x:cfRule type="containsText" dxfId="23" priority="3" operator="containsText" text="BLOCKED"/>
  </x:conditionalFormatting>
  <x:conditionalFormatting sqref="F25:F29">
    <x:cfRule type="containsText" dxfId="24" priority="4" operator="containsText" text="FAIL"/>
    <x:cfRule type="containsText" dxfId="25" priority="5" operator="containsText" text="PASS"/>
    <x:cfRule type="containsText" dxfId="26" priority="6" operator="containsText" text="BLOCK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8" hidden="0" customWidth="1"/>
    <x:col min="4" max="4" width="18" hidden="0" customWidth="1"/>
    <x:col min="5" max="5" width="44" hidden="0" customWidth="1"/>
    <x:col min="6" max="6" width="22" hidden="0" customWidth="1"/>
    <x:col min="7" max="7" width="16" hidden="0" customWidth="1"/>
    <x:col min="8" max="8" width="3" hidden="0" customWidth="1"/>
    <x:col min="9" max="9" width="20" hidden="0" customWidth="1"/>
    <x:col min="10" max="10" width="20" hidden="0" customWidth="1"/>
    <x:col min="11" max="11" width="18" hidden="0" customWidth="1"/>
    <x:col min="12" max="12" width="22" hidden="0" customWidth="1"/>
    <x:col min="13" max="13" width="20" hidden="0" customWidth="1"/>
    <x:col min="14" max="14" width="20" hidden="0" customWidth="1"/>
    <x:col min="15" max="15" width="18" hidden="0" customWidth="1"/>
    <x:col min="16" max="16" width="20" hidden="0" customWidth="1"/>
  </x:cols>
  <x:sheetData>
    <x:row r="2">
      <x:c r="B2" s="3" t="str">
        <x:v>Cold-dense unloading transient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B3" s="4" t="str">
        <x:v>Payload removal and atmosphere are modeled together; hydrogen-to-water conversion keeps positive lift inside contact authority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>
      <x:c r="B6" s="8" t="str">
        <x:v>Governing endpoint</x:v>
      </x:c>
      <x:c r="C6" s="9" t="str">
        <x:v>Governing endpoint</x:v>
      </x:c>
      <x:c r="D6" s="9" t="str">
        <x:v>Governing endpoint</x:v>
      </x:c>
      <x:c r="E6" s="9" t="str">
        <x:v>Governing endpoint</x:v>
      </x:c>
      <x:c r="F6" s="9" t="str">
        <x:v>Governing endpoint</x:v>
      </x:c>
      <x:c r="G6" s="10" t="str">
        <x:v>Governing endpoint</x:v>
      </x:c>
      <x:c r="H6" s="2"/>
      <x:c r="I6" s="8" t="str">
        <x:v>Five-state unload schedule</x:v>
      </x:c>
      <x:c r="J6" s="9" t="str">
        <x:v>Five-state unload schedule</x:v>
      </x:c>
      <x:c r="K6" s="9" t="str">
        <x:v>Five-state unload schedule</x:v>
      </x:c>
      <x:c r="L6" s="9" t="str">
        <x:v>Five-state unload schedule</x:v>
      </x:c>
      <x:c r="M6" s="9" t="str">
        <x:v>Five-state unload schedule</x:v>
      </x:c>
      <x:c r="N6" s="9" t="str">
        <x:v>Five-state unload schedule</x:v>
      </x:c>
      <x:c r="O6" s="9" t="str">
        <x:v>Five-state unload schedule</x:v>
      </x:c>
      <x:c r="P6" s="10" t="str">
        <x:v>Five-state unload schedule</x:v>
      </x:c>
    </x:row>
    <x:row r="7">
      <x:c r="B7" s="26" t="str">
        <x:v>Calculation</x:v>
      </x:c>
      <x:c r="C7" s="27" t="str">
        <x:v>Value</x:v>
      </x:c>
      <x:c r="D7" s="27" t="str">
        <x:v>Unit</x:v>
      </x:c>
      <x:c r="E7" s="27" t="str">
        <x:v>Equation meaning</x:v>
      </x:c>
      <x:c r="F7" s="27" t="str">
        <x:v>Threshold</x:v>
      </x:c>
      <x:c r="G7" s="27" t="str">
        <x:v>Result</x:v>
      </x:c>
      <x:c r="H7" s="2"/>
      <x:c r="I7" s="26" t="str">
        <x:v>Payload removed</x:v>
      </x:c>
      <x:c r="J7" s="27" t="str">
        <x:v>Payload remaining t</x:v>
      </x:c>
      <x:c r="K7" s="27" t="str">
        <x:v>Vehicle mass t</x:v>
      </x:c>
      <x:c r="L7" s="27" t="str">
        <x:v>Uncontrolled reaction t</x:v>
      </x:c>
      <x:c r="M7" s="27" t="str">
        <x:v>Desired reaction t</x:v>
      </x:c>
      <x:c r="N7" s="27" t="str">
        <x:v>Support change t</x:v>
      </x:c>
      <x:c r="O7" s="27" t="str">
        <x:v>H2 converted t</x:v>
      </x:c>
      <x:c r="P7" s="27" t="str">
        <x:v>Adjusted reaction t</x:v>
      </x:c>
    </x:row>
    <x:row r="8">
      <x:c r="B8" s="34" t="str">
        <x:v>Empty arrival mass</x:v>
      </x:c>
      <x:c r="C8" s="34" t="n">
        <x:f>'Mass and Lift'!J11+'Energy and Propulsion'!C24</x:f>
        <x:v>1013.1458943114591</x:v>
      </x:c>
      <x:c r="D8" s="34" t="str">
        <x:v>t</x:v>
      </x:c>
      <x:c r="E8" s="34" t="str">
        <x:v>tare with tankage plus reserve fuel</x:v>
      </x:c>
      <x:c r="F8" s="34" t="str">
        <x:v>&gt; 0</x:v>
      </x:c>
      <x:c r="G8" s="35" t="str">
        <x:f>IF(C8&gt;0,"PASS","FAIL")</x:f>
        <x:v>PASS</x:v>
      </x:c>
      <x:c r="H8" s="2"/>
      <x:c r="I8" s="54" t="n">
        <x:v>0</x:v>
      </x:c>
      <x:c r="J8" s="34" t="n">
        <x:f>Assumptions!C8*(1-I8)</x:f>
        <x:v>340</x:v>
      </x:c>
      <x:c r="K8" s="34" t="n">
        <x:f>$C$8+J8</x:f>
        <x:v>1353.145894311459</x:v>
      </x:c>
      <x:c r="L8" s="34" t="n">
        <x:f>K8-$C$9</x:f>
        <x:v>274.89589431145896</x:v>
      </x:c>
      <x:c r="M8" s="34" t="n">
        <x:f>(($C$8+Assumptions!C8-$C$9)*(1-I8))+Assumptions!C55*I8</x:f>
        <x:v>274.89589431145896</x:v>
      </x:c>
      <x:c r="N8" s="34" t="n">
        <x:f>M8-L8</x:f>
        <x:v>0</x:v>
      </x:c>
      <x:c r="O8" s="34" t="n">
        <x:f>N8/$C$12</x:f>
        <x:v>0</x:v>
      </x:c>
      <x:c r="P8" s="35" t="n">
        <x:f>L8+N8</x:f>
        <x:v>274.89589431145896</x:v>
      </x:c>
    </x:row>
    <x:row r="9">
      <x:c r="B9" s="34" t="str">
        <x:v>Cold-dense static lift</x:v>
      </x:c>
      <x:c r="C9" s="34" t="n">
        <x:f>'Lift Cells and Geometry'!C29</x:f>
        <x:v>1078.25</x:v>
      </x:c>
      <x:c r="D9" s="34" t="str">
        <x:v>t</x:v>
      </x:c>
      <x:c r="E9" s="34" t="str">
        <x:v>maximum atmospheric lift</x:v>
      </x:c>
      <x:c r="F9" s="34" t="str">
        <x:v>&gt; empty</x:v>
      </x:c>
      <x:c r="G9" s="35" t="str">
        <x:f>IF(C9&gt;C8,"PASS","FAIL")</x:f>
        <x:v>PASS</x:v>
      </x:c>
      <x:c r="H9" s="2"/>
      <x:c r="I9" s="54" t="n">
        <x:v>0.25</x:v>
      </x:c>
      <x:c r="J9" s="34" t="n">
        <x:f>Assumptions!C8*(1-I9)</x:f>
        <x:v>255</x:v>
      </x:c>
      <x:c r="K9" s="34" t="n">
        <x:f>$C$8+J9</x:f>
        <x:v>1268.145894311459</x:v>
      </x:c>
      <x:c r="L9" s="34" t="n">
        <x:f>K9-$C$9</x:f>
        <x:v>189.89589431145896</x:v>
      </x:c>
      <x:c r="M9" s="34" t="n">
        <x:f>(($C$8+Assumptions!C8-$C$9)*(1-I9))+Assumptions!C55*I9</x:f>
        <x:v>236.17192073359422</x:v>
      </x:c>
      <x:c r="N9" s="34" t="n">
        <x:f>M9-L9</x:f>
        <x:v>46.27602642213526</x:v>
      </x:c>
      <x:c r="O9" s="34" t="n">
        <x:f>N9/$C$12</x:f>
        <x:v>2.2451980474351334</x:v>
      </x:c>
      <x:c r="P9" s="35" t="n">
        <x:f>L9+N9</x:f>
        <x:v>236.17192073359422</x:v>
      </x:c>
    </x:row>
    <x:row r="10">
      <x:c r="B10" s="34" t="str">
        <x:v>Uncontrolled upward force</x:v>
      </x:c>
      <x:c r="C10" s="34" t="n">
        <x:f>MAX(0,C9-C8)</x:f>
        <x:v>65.10410568854093</x:v>
      </x:c>
      <x:c r="D10" s="34" t="str">
        <x:v>t</x:v>
      </x:c>
      <x:c r="E10" s="34" t="str">
        <x:v>static lift above empty arrival mass</x:v>
      </x:c>
      <x:c r="F10" s="34" t="str">
        <x:v>bounded</x:v>
      </x:c>
      <x:c r="G10" s="35" t="str">
        <x:f>"BOUND"</x:f>
        <x:v>BOUND</x:v>
      </x:c>
      <x:c r="H10" s="2"/>
      <x:c r="I10" s="54" t="n">
        <x:v>0.5</x:v>
      </x:c>
      <x:c r="J10" s="34" t="n">
        <x:f>Assumptions!C8*(1-I10)</x:f>
        <x:v>170</x:v>
      </x:c>
      <x:c r="K10" s="34" t="n">
        <x:f>$C$8+J10</x:f>
        <x:v>1183.145894311459</x:v>
      </x:c>
      <x:c r="L10" s="34" t="n">
        <x:f>K10-$C$9</x:f>
        <x:v>104.89589431145896</x:v>
      </x:c>
      <x:c r="M10" s="34" t="n">
        <x:f>(($C$8+Assumptions!C8-$C$9)*(1-I10))+Assumptions!C55*I10</x:f>
        <x:v>197.44794715572948</x:v>
      </x:c>
      <x:c r="N10" s="34" t="n">
        <x:f>M10-L10</x:f>
        <x:v>92.55205284427052</x:v>
      </x:c>
      <x:c r="O10" s="34" t="n">
        <x:f>N10/$C$12</x:f>
        <x:v>4.490396094870267</x:v>
      </x:c>
      <x:c r="P10" s="35" t="n">
        <x:f>L10+N10</x:f>
        <x:v>197.44794715572948</x:v>
      </x:c>
    </x:row>
    <x:row r="11">
      <x:c r="B11" s="34" t="str">
        <x:v>Required support change</x:v>
      </x:c>
      <x:c r="C11" s="34" t="n">
        <x:f>C9-C8+Assumptions!C55</x:f>
        <x:v>185.10410568854093</x:v>
      </x:c>
      <x:c r="D11" s="34" t="str">
        <x:v>t</x:v>
      </x:c>
      <x:c r="E11" s="34" t="str">
        <x:v>remove lift and capture oxygen mass</x:v>
      </x:c>
      <x:c r="F11" s="34" t="str">
        <x:v>&gt; 0</x:v>
      </x:c>
      <x:c r="G11" s="35" t="str">
        <x:f>IF(C11&gt;0,"PASS","FAIL")</x:f>
        <x:v>PASS</x:v>
      </x:c>
      <x:c r="H11" s="2"/>
      <x:c r="I11" s="54" t="n">
        <x:v>0.75</x:v>
      </x:c>
      <x:c r="J11" s="34" t="n">
        <x:f>Assumptions!C8*(1-I11)</x:f>
        <x:v>85</x:v>
      </x:c>
      <x:c r="K11" s="34" t="n">
        <x:f>$C$8+J11</x:f>
        <x:v>1098.145894311459</x:v>
      </x:c>
      <x:c r="L11" s="34" t="n">
        <x:f>K11-$C$9</x:f>
        <x:v>19.89589431145896</x:v>
      </x:c>
      <x:c r="M11" s="34" t="n">
        <x:f>(($C$8+Assumptions!C8-$C$9)*(1-I11))+Assumptions!C55*I11</x:f>
        <x:v>158.72397357786474</x:v>
      </x:c>
      <x:c r="N11" s="34" t="n">
        <x:f>M11-L11</x:f>
        <x:v>138.82807926640578</x:v>
      </x:c>
      <x:c r="O11" s="34" t="n">
        <x:f>N11/$C$12</x:f>
        <x:v>6.735594142305401</x:v>
      </x:c>
      <x:c r="P11" s="35" t="n">
        <x:f>L11+N11</x:f>
        <x:v>158.72397357786474</x:v>
      </x:c>
    </x:row>
    <x:row r="12">
      <x:c r="B12" s="34" t="str">
        <x:v>Support change per H2</x:v>
      </x:c>
      <x:c r="C12" s="34" t="n">
        <x:f>(Assumptions!C14-Assumptions!C15)/Assumptions!C15+Assumptions!C28</x:f>
        <x:v>20.611111111111114</x:v>
      </x:c>
      <x:c r="D12" s="34" t="str">
        <x:v>t/t H2</x:v>
      </x:c>
      <x:c r="E12" s="34" t="str">
        <x:v>lost net lift plus captured oxygen</x:v>
      </x:c>
      <x:c r="F12" s="34" t="str">
        <x:v>declared</x:v>
      </x:c>
      <x:c r="G12" s="35" t="str">
        <x:f>IF(C12&gt;0,"PASS","FAIL")</x:f>
        <x:v>PASS</x:v>
      </x:c>
      <x:c r="H12" s="2"/>
      <x:c r="I12" s="55" t="n">
        <x:v>1</x:v>
      </x:c>
      <x:c r="J12" s="36" t="n">
        <x:f>Assumptions!C8*(1-I12)</x:f>
        <x:v>0</x:v>
      </x:c>
      <x:c r="K12" s="36" t="n">
        <x:f>$C$8+J12</x:f>
        <x:v>1013.1458943114591</x:v>
      </x:c>
      <x:c r="L12" s="36" t="n">
        <x:f>K12-$C$9</x:f>
        <x:v>-65.10410568854093</x:v>
      </x:c>
      <x:c r="M12" s="36" t="n">
        <x:f>(($C$8+Assumptions!C8-$C$9)*(1-I12))+Assumptions!C55*I12</x:f>
        <x:v>120</x:v>
      </x:c>
      <x:c r="N12" s="36" t="n">
        <x:f>M12-L12</x:f>
        <x:v>185.10410568854093</x:v>
      </x:c>
      <x:c r="O12" s="36" t="n">
        <x:f>N12/$C$12</x:f>
        <x:v>8.980792189740528</x:v>
      </x:c>
      <x:c r="P12" s="37" t="n">
        <x:f>L12+N12</x:f>
        <x:v>120</x:v>
      </x:c>
    </x:row>
    <x:row r="13">
      <x:c r="B13" s="34" t="str">
        <x:v>H2 conversion required</x:v>
      </x:c>
      <x:c r="C13" s="34" t="n">
        <x:f>C11/C12</x:f>
        <x:v>8.980792189740528</x:v>
      </x:c>
      <x:c r="D13" s="34" t="str">
        <x:v>t H2</x:v>
      </x:c>
      <x:c r="E13" s="34" t="str">
        <x:v>cold-dense full offload</x:v>
      </x:c>
      <x:c r="F13" s="34" t="str">
        <x:v>&lt;= N-1 capacity</x:v>
      </x:c>
      <x:c r="G13" s="35" t="str">
        <x:f>IF(C13&lt;=Assumptions!C26*(Assumptions!C25-1)/Assumptions!C25,"PASS","FAIL")</x:f>
        <x:v>PASS</x:v>
      </x:c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B14" s="34" t="str">
        <x:v>Water produced</x:v>
      </x:c>
      <x:c r="C14" s="34" t="n">
        <x:f>C13*Assumptions!C29</x:f>
        <x:v>80.82712970766475</x:v>
      </x:c>
      <x:c r="D14" s="34" t="str">
        <x:v>t</x:v>
      </x:c>
      <x:c r="E14" s="34" t="str">
        <x:v>contained ballast product</x:v>
      </x:c>
      <x:c r="F14" s="34" t="str">
        <x:v>&lt;= tank capacity</x:v>
      </x:c>
      <x:c r="G14" s="35" t="str">
        <x:f>IF(C14&lt;=Assumptions!C26*Assumptions!C29,"PASS","FAIL")</x:f>
        <x:v>PASS</x:v>
      </x:c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B15" s="34" t="str">
        <x:v>Required conversion rate</x:v>
      </x:c>
      <x:c r="C15" s="34" t="n">
        <x:f>C13/Assumptions!C42</x:f>
        <x:v>7.184633751792423</x:v>
      </x:c>
      <x:c r="D15" s="34" t="str">
        <x:v>t H2/h</x:v>
      </x:c>
      <x:c r="E15" s="34" t="str">
        <x:v>concurrent transfer</x:v>
      </x:c>
      <x:c r="F15" s="34" t="str">
        <x:v>&lt; N-1 rate</x:v>
      </x:c>
      <x:c r="G15" s="35" t="str">
        <x:f>IF(C15&lt;C16,"PASS","FAIL")</x:f>
        <x:v>PASS</x:v>
      </x:c>
      <x:c r="H15" s="2"/>
      <x:c r="I15" s="8" t="str">
        <x:v>Transient rules</x:v>
      </x:c>
      <x:c r="J15" s="9" t="str">
        <x:v>Transient rules</x:v>
      </x:c>
      <x:c r="K15" s="9" t="str">
        <x:v>Transient rules</x:v>
      </x:c>
      <x:c r="L15" s="9" t="str">
        <x:v>Transient rules</x:v>
      </x:c>
      <x:c r="M15" s="9" t="str">
        <x:v>Transient rules</x:v>
      </x:c>
      <x:c r="N15" s="9" t="str">
        <x:v>Transient rules</x:v>
      </x:c>
      <x:c r="O15" s="9" t="str">
        <x:v>Transient rules</x:v>
      </x:c>
      <x:c r="P15" s="10" t="str">
        <x:v>Transient rules</x:v>
      </x:c>
    </x:row>
    <x:row r="16">
      <x:c r="B16" s="34" t="str">
        <x:v>N-1 conversion rate</x:v>
      </x:c>
      <x:c r="C16" s="34" t="n">
        <x:f>(Assumptions!C25-1)*Assumptions!C27</x:f>
        <x:v>9</x:v>
      </x:c>
      <x:c r="D16" s="34" t="str">
        <x:v>t H2/h</x:v>
      </x:c>
      <x:c r="E16" s="34" t="str">
        <x:v>one train isolated</x:v>
      </x:c>
      <x:c r="F16" s="34" t="str">
        <x:v>&gt; required</x:v>
      </x:c>
      <x:c r="G16" s="35" t="str">
        <x:f>IF(C16&gt;C15,"PASS","FAIL")</x:f>
        <x:v>PASS</x:v>
      </x:c>
      <x:c r="H16" s="2"/>
      <x:c r="I16" s="26" t="str">
        <x:v>Rule</x:v>
      </x:c>
      <x:c r="J16" s="27" t="str">
        <x:v>Value</x:v>
      </x:c>
      <x:c r="K16" s="27" t="str">
        <x:v>Unit</x:v>
      </x:c>
      <x:c r="L16" s="27" t="str">
        <x:v>State</x:v>
      </x:c>
      <x:c r="M16" s="27" t="str">
        <x:v>Failure transition</x:v>
      </x:c>
      <x:c r="N16" s="27" t="str"/>
      <x:c r="O16" s="27" t="str"/>
      <x:c r="P16" s="27" t="str"/>
    </x:row>
    <x:row r="17">
      <x:c r="B17" s="34" t="str">
        <x:v>N-1 conversion time</x:v>
      </x:c>
      <x:c r="C17" s="34" t="n">
        <x:f>C13/C16</x:f>
        <x:v>0.9978657988600587</x:v>
      </x:c>
      <x:c r="D17" s="34" t="str">
        <x:v>h</x:v>
      </x:c>
      <x:c r="E17" s="34" t="str">
        <x:v>cold-dense endpoint</x:v>
      </x:c>
      <x:c r="F17" s="34" t="str">
        <x:v>&lt;= transfer</x:v>
      </x:c>
      <x:c r="G17" s="35" t="str">
        <x:f>IF(C17&lt;=Assumptions!C42,"PASS","FAIL")</x:f>
        <x:v>PASS</x:v>
      </x:c>
      <x:c r="H17" s="2"/>
      <x:c r="I17" s="34" t="str">
        <x:v>No destination ballast</x:v>
      </x:c>
      <x:c r="J17" s="34" t="n">
        <x:v>1</x:v>
      </x:c>
      <x:c r="K17" s="34" t="str">
        <x:v>binary</x:v>
      </x:c>
      <x:c r="L17" s="34" t="str">
        <x:v>PASS</x:v>
      </x:c>
      <x:c r="M17" s="34" t="str">
        <x:v>no receiver water, anchor or replacement cargo credited</x:v>
      </x:c>
      <x:c r="N17" s="34" t="str"/>
      <x:c r="O17" s="34" t="str"/>
      <x:c r="P17" s="35" t="str"/>
    </x:row>
    <x:row r="18">
      <x:c r="B18" s="34" t="str">
        <x:v>N-1 authority</x:v>
      </x:c>
      <x:c r="C18" s="34" t="n">
        <x:f>'Lift Cells and Geometry'!C33</x:f>
        <x:v>309.16666666666674</x:v>
      </x:c>
      <x:c r="D18" s="34" t="str">
        <x:v>t support</x:v>
      </x:c>
      <x:c r="E18" s="34" t="str">
        <x:v>five trains</x:v>
      </x:c>
      <x:c r="F18" s="34" t="str">
        <x:v> &gt; required</x:v>
      </x:c>
      <x:c r="G18" s="35" t="str">
        <x:f>IF(C18&gt;C11,"PASS","FAIL")</x:f>
        <x:v>PASS</x:v>
      </x:c>
      <x:c r="H18" s="2"/>
      <x:c r="I18" s="34" t="str">
        <x:v>Symmetric conversion</x:v>
      </x:c>
      <x:c r="J18" s="34" t="n">
        <x:v>6</x:v>
      </x:c>
      <x:c r="K18" s="34" t="str">
        <x:v>trains</x:v>
      </x:c>
      <x:c r="L18" s="34" t="str">
        <x:v>OPEN</x:v>
      </x:c>
      <x:c r="M18" s="34" t="str">
        <x:v>one train loss retains endpoint authority</x:v>
      </x:c>
      <x:c r="N18" s="34" t="str"/>
      <x:c r="O18" s="34" t="str"/>
      <x:c r="P18" s="35" t="str"/>
    </x:row>
    <x:row r="19">
      <x:c r="B19" s="34" t="str">
        <x:v>Authority margin</x:v>
      </x:c>
      <x:c r="C19" s="34" t="n">
        <x:f>C18-C11</x:f>
        <x:v>124.06256097812582</x:v>
      </x:c>
      <x:c r="D19" s="34" t="str">
        <x:v>t support</x:v>
      </x:c>
      <x:c r="E19" s="34" t="str">
        <x:v>available above endpoint</x:v>
      </x:c>
      <x:c r="F19" s="34" t="str">
        <x:v>nonnegative</x:v>
      </x:c>
      <x:c r="G19" s="35" t="str">
        <x:f>IF(C19&gt;=0,"PASS","FAIL")</x:f>
        <x:v>PASS</x:v>
      </x:c>
      <x:c r="H19" s="2"/>
      <x:c r="I19" s="34" t="str">
        <x:v>Water containment</x:v>
      </x:c>
      <x:c r="J19" s="34" t="n">
        <x:v>162</x:v>
      </x:c>
      <x:c r="K19" s="34" t="str">
        <x:v>t maximum</x:v>
      </x:c>
      <x:c r="L19" s="34" t="str">
        <x:v>OPEN</x:v>
      </x:c>
      <x:c r="M19" s="34" t="str">
        <x:v>cross-tank leak remains one bay</x:v>
      </x:c>
      <x:c r="N19" s="34" t="str"/>
      <x:c r="O19" s="34" t="str"/>
      <x:c r="P19" s="35" t="str"/>
    </x:row>
    <x:row r="20">
      <x:c r="B20" s="36" t="str">
        <x:v>H2 electrical output</x:v>
      </x:c>
      <x:c r="C20" s="36" t="n">
        <x:f>C13*Assumptions!C30</x:f>
        <x:v>149.53018995917978</x:v>
      </x:c>
      <x:c r="D20" s="36" t="str">
        <x:v>MWh</x:v>
      </x:c>
      <x:c r="E20" s="36" t="str">
        <x:v>co-produced during transfer</x:v>
      </x:c>
      <x:c r="F20" s="36" t="str">
        <x:v>supports placement</x:v>
      </x:c>
      <x:c r="G20" s="37" t="str">
        <x:f>IF(C20&gt;=0.8*Assumptions!C41*Assumptions!C42,"PASS","FAIL")</x:f>
        <x:v>PASS</x:v>
      </x:c>
      <x:c r="H20" s="2"/>
      <x:c r="I20" s="34" t="str">
        <x:v>Conversion-to-unload interlock</x:v>
      </x:c>
      <x:c r="J20" s="34" t="n">
        <x:v>1</x:v>
      </x:c>
      <x:c r="K20" s="34" t="str">
        <x:v>signed state</x:v>
      </x:c>
      <x:c r="L20" s="34" t="str">
        <x:v>OPEN</x:v>
      </x:c>
      <x:c r="M20" s="34" t="str">
        <x:v>payload actuator stops before contact force crosses limit</x:v>
      </x:c>
      <x:c r="N20" s="34" t="str"/>
      <x:c r="O20" s="34" t="str"/>
      <x:c r="P20" s="35" t="str"/>
    </x:row>
    <x:row r="21">
      <x:c r="B21" s="2"/>
      <x:c r="C21" s="2"/>
      <x:c r="D21" s="2"/>
      <x:c r="E21" s="2"/>
      <x:c r="F21" s="2"/>
      <x:c r="G21" s="2"/>
      <x:c r="H21" s="2"/>
      <x:c r="I21" s="36" t="str">
        <x:v>Abort and reload</x:v>
      </x:c>
      <x:c r="J21" s="36" t="n">
        <x:v>1</x:v>
      </x:c>
      <x:c r="K21" s="36" t="str">
        <x:v>complete sequence</x:v>
      </x:c>
      <x:c r="L21" s="36" t="str">
        <x:v>OPEN</x:v>
      </x:c>
      <x:c r="M21" s="36" t="str">
        <x:v>vehicle can reverse partial unload without excursion</x:v>
      </x:c>
      <x:c r="N21" s="36" t="str"/>
      <x:c r="O21" s="36" t="str"/>
      <x:c r="P21" s="37" t="str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</x:sheetData>
  <x:mergeCells>
    <x:mergeCell ref="B6:G6"/>
    <x:mergeCell ref="I6:P6"/>
    <x:mergeCell ref="I15:P15"/>
  </x:mergeCells>
  <x:conditionalFormatting sqref="G8:G20">
    <x:cfRule type="containsText" dxfId="27" priority="1" operator="containsText" text="FAIL"/>
    <x:cfRule type="containsText" dxfId="28" priority="2" operator="containsText" text="PASS"/>
    <x:cfRule type="containsText" dxfId="29" priority="3" operator="containsText" text="BLOCK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0" hidden="0" customWidth="1"/>
    <x:col min="3" max="3" width="16" hidden="0" customWidth="1"/>
    <x:col min="4" max="4" width="20" hidden="0" customWidth="1"/>
    <x:col min="5" max="5" width="42" hidden="0" customWidth="1"/>
    <x:col min="6" max="6" width="14" hidden="0" customWidth="1"/>
    <x:col min="7" max="7" width="16" hidden="0" customWidth="1"/>
    <x:col min="8" max="8" width="18" hidden="0" customWidth="1"/>
    <x:col min="9" max="9" width="19" hidden="0" customWidth="1"/>
    <x:col min="10" max="10" width="18" hidden="0" customWidth="1"/>
    <x:col min="11" max="11" width="14" hidden="0" customWidth="1"/>
    <x:col min="12" max="12" width="20" hidden="0" customWidth="1"/>
    <x:col min="13" max="13" width="22" hidden="0" customWidth="1"/>
    <x:col min="14" max="14" width="14" hidden="0" customWidth="1"/>
  </x:cols>
  <x:sheetData>
    <x:row r="2">
      <x:c r="B2" s="3" t="str">
        <x:v>Distributed landing and ground-reaction closure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Sixteen feet carry dynamic, asymmetric and one-sector-loss loads below the receiver bearing and local structural limits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6" t="str">
        <x:v>State</x:v>
      </x:c>
      <x:c r="C6" s="27" t="str">
        <x:v>Reaction t</x:v>
      </x:c>
      <x:c r="D6" s="27" t="str">
        <x:v>Dynamic factor</x:v>
      </x:c>
      <x:c r="E6" s="27" t="str">
        <x:v>Imbalance</x:v>
      </x:c>
      <x:c r="F6" s="27" t="str">
        <x:v>Available feet</x:v>
      </x:c>
      <x:c r="G6" s="27" t="str">
        <x:v>Area m2</x:v>
      </x:c>
      <x:c r="H6" s="45" t="str">
        <x:v>Pressure kPa</x:v>
      </x:c>
      <x:c r="I6" s="26" t="str">
        <x:v>Bearing margin kPa</x:v>
      </x:c>
      <x:c r="J6" s="27" t="str">
        <x:v>Local foot load t</x:v>
      </x:c>
      <x:c r="K6" s="27" t="str">
        <x:v>Result</x:v>
      </x:c>
      <x:c r="L6" s="2"/>
      <x:c r="M6" s="2"/>
      <x:c r="N6" s="2"/>
    </x:row>
    <x:row r="7">
      <x:c r="B7" s="34" t="str">
        <x:v>rated hot-high arrival</x:v>
      </x:c>
      <x:c r="C7" s="34" t="n">
        <x:f>'Mass and Lift'!L26</x:f>
        <x:v>490.54589431145894</x:v>
      </x:c>
      <x:c r="D7" s="34" t="n">
        <x:f>1</x:f>
        <x:v>1</x:v>
      </x:c>
      <x:c r="E7" s="34" t="n">
        <x:f>1</x:f>
        <x:v>1</x:v>
      </x:c>
      <x:c r="F7" s="34" t="n">
        <x:f>Assumptions!C49</x:f>
        <x:v>16</x:v>
      </x:c>
      <x:c r="G7" s="34" t="n">
        <x:f>Assumptions!C48</x:f>
        <x:v>160</x:v>
      </x:c>
      <x:c r="H7" s="34" t="n">
        <x:f>C7*9.81*D7*E7/G7</x:f>
        <x:v>30.07659514497133</x:v>
      </x:c>
      <x:c r="I7" s="34" t="n">
        <x:f>Assumptions!C52-H7</x:f>
        <x:v>29.92340485502867</x:v>
      </x:c>
      <x:c r="J7" s="34" t="n">
        <x:f>C7*D7*E7/F7</x:f>
        <x:v>30.659118394466184</x:v>
      </x:c>
      <x:c r="K7" s="35" t="str">
        <x:f>IF(AND(I7&gt;=0,J7&lt;=Assumptions!C53),"PASS","FAIL")</x:f>
        <x:v>PASS</x:v>
      </x:c>
      <x:c r="L7" s="2"/>
      <x:c r="M7" s="2"/>
      <x:c r="N7" s="2"/>
    </x:row>
    <x:row r="8">
      <x:c r="B8" s="34" t="str">
        <x:v>factored transfer</x:v>
      </x:c>
      <x:c r="C8" s="34" t="n">
        <x:f>'Mass and Lift'!L26</x:f>
        <x:v>490.54589431145894</x:v>
      </x:c>
      <x:c r="D8" s="34" t="n">
        <x:f>Assumptions!C50</x:f>
        <x:v>1.15</x:v>
      </x:c>
      <x:c r="E8" s="34" t="n">
        <x:f>Assumptions!C51</x:f>
        <x:v>1.1</x:v>
      </x:c>
      <x:c r="F8" s="34" t="n">
        <x:f>Assumptions!C49</x:f>
        <x:v>16</x:v>
      </x:c>
      <x:c r="G8" s="34" t="n">
        <x:f>Assumptions!C48</x:f>
        <x:v>160</x:v>
      </x:c>
      <x:c r="H8" s="34" t="n">
        <x:f>C8*9.81*D8*E8/G8</x:f>
        <x:v>38.04689285838872</x:v>
      </x:c>
      <x:c r="I8" s="34" t="n">
        <x:f>Assumptions!C52-H8</x:f>
        <x:v>21.953107141611277</x:v>
      </x:c>
      <x:c r="J8" s="34" t="n">
        <x:f>C8*D8*E8/F8</x:f>
        <x:v>38.78378476899972</x:v>
      </x:c>
      <x:c r="K8" s="35" t="str">
        <x:f>IF(AND(I8&gt;=0,J8&lt;=Assumptions!C53),"PASS","FAIL")</x:f>
        <x:v>PASS</x:v>
      </x:c>
      <x:c r="L8" s="2"/>
      <x:c r="M8" s="2"/>
      <x:c r="N8" s="2"/>
    </x:row>
    <x:row r="9">
      <x:c r="B9" s="34" t="str">
        <x:v>one foot lost</x:v>
      </x:c>
      <x:c r="C9" s="34" t="n">
        <x:f>'Mass and Lift'!L26</x:f>
        <x:v>490.54589431145894</x:v>
      </x:c>
      <x:c r="D9" s="34" t="n">
        <x:f>Assumptions!C50</x:f>
        <x:v>1.15</x:v>
      </x:c>
      <x:c r="E9" s="34" t="n">
        <x:f>Assumptions!C51</x:f>
        <x:v>1.1</x:v>
      </x:c>
      <x:c r="F9" s="34" t="n">
        <x:f>Assumptions!C49-1</x:f>
        <x:v>15</x:v>
      </x:c>
      <x:c r="G9" s="34" t="n">
        <x:f>Assumptions!C48*(Assumptions!C49-1)/Assumptions!C49</x:f>
        <x:v>150</x:v>
      </x:c>
      <x:c r="H9" s="34" t="n">
        <x:f>C9*9.81*D9*E9/G9</x:f>
        <x:v>40.583352382281305</x:v>
      </x:c>
      <x:c r="I9" s="34" t="n">
        <x:f>Assumptions!C52-H9</x:f>
        <x:v>19.416647617718695</x:v>
      </x:c>
      <x:c r="J9" s="34" t="n">
        <x:f>C9*D9*E9/F9</x:f>
        <x:v>41.36937042026637</x:v>
      </x:c>
      <x:c r="K9" s="35" t="str">
        <x:f>IF(AND(I9&gt;=0,J9&lt;=Assumptions!C53),"PASS","FAIL")</x:f>
        <x:v>PASS</x:v>
      </x:c>
      <x:c r="L9" s="2"/>
      <x:c r="M9" s="2"/>
      <x:c r="N9" s="2"/>
    </x:row>
    <x:row r="10">
      <x:c r="B10" s="34" t="str">
        <x:v>hot-high empty</x:v>
      </x:c>
      <x:c r="C10" s="34" t="n">
        <x:f>'Mass and Lift'!L28</x:f>
        <x:v>150.54589431145905</x:v>
      </x:c>
      <x:c r="D10" s="34" t="n">
        <x:f>1</x:f>
        <x:v>1</x:v>
      </x:c>
      <x:c r="E10" s="34" t="n">
        <x:f>1</x:f>
        <x:v>1</x:v>
      </x:c>
      <x:c r="F10" s="34" t="n">
        <x:f>Assumptions!C49</x:f>
        <x:v>16</x:v>
      </x:c>
      <x:c r="G10" s="34" t="n">
        <x:f>Assumptions!C48</x:f>
        <x:v>160</x:v>
      </x:c>
      <x:c r="H10" s="34" t="n">
        <x:f>C10*9.81*D10*E10/G10</x:f>
        <x:v>9.230345144971334</x:v>
      </x:c>
      <x:c r="I10" s="34" t="n">
        <x:f>Assumptions!C52-H10</x:f>
        <x:v>50.76965485502866</x:v>
      </x:c>
      <x:c r="J10" s="34" t="n">
        <x:f>C10*D10*E10/F10</x:f>
        <x:v>9.40911839446619</x:v>
      </x:c>
      <x:c r="K10" s="35" t="str">
        <x:f>IF(AND(I10&gt;=0,J10&lt;=Assumptions!C53),"PASS","FAIL")</x:f>
        <x:v>PASS</x:v>
      </x:c>
      <x:c r="L10" s="2"/>
      <x:c r="M10" s="2"/>
      <x:c r="N10" s="2"/>
    </x:row>
    <x:row r="11">
      <x:c r="B11" s="36" t="str">
        <x:v>cold-dense controlled</x:v>
      </x:c>
      <x:c r="C11" s="36" t="n">
        <x:f>Assumptions!C55</x:f>
        <x:v>120</x:v>
      </x:c>
      <x:c r="D11" s="36" t="n">
        <x:f>1</x:f>
        <x:v>1</x:v>
      </x:c>
      <x:c r="E11" s="36" t="n">
        <x:f>1</x:f>
        <x:v>1</x:v>
      </x:c>
      <x:c r="F11" s="36" t="n">
        <x:f>Assumptions!C49</x:f>
        <x:v>16</x:v>
      </x:c>
      <x:c r="G11" s="36" t="n">
        <x:f>Assumptions!C48</x:f>
        <x:v>160</x:v>
      </x:c>
      <x:c r="H11" s="36" t="n">
        <x:f>C11*9.81*D11*E11/G11</x:f>
        <x:v>7.3575</x:v>
      </x:c>
      <x:c r="I11" s="36" t="n">
        <x:f>Assumptions!C52-H11</x:f>
        <x:v>52.6425</x:v>
      </x:c>
      <x:c r="J11" s="36" t="n">
        <x:f>C11*D11*E11/F11</x:f>
        <x:v>7.5</x:v>
      </x:c>
      <x:c r="K11" s="37" t="str">
        <x:f>IF(AND(I11&gt;=0,J11&lt;=Assumptions!C53),"PASS","FAIL")</x:f>
        <x:v>PASS</x:v>
      </x:c>
      <x:c r="L11" s="2"/>
      <x:c r="M11" s="2"/>
      <x:c r="N11" s="2"/>
    </x:row>
    <x:row r="12"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B14" s="8" t="str">
        <x:v>Eight bilateral contact stations</x:v>
      </x:c>
      <x:c r="C14" s="9" t="str">
        <x:v>Eight bilateral contact stations</x:v>
      </x:c>
      <x:c r="D14" s="9" t="str">
        <x:v>Eight bilateral contact stations</x:v>
      </x:c>
      <x:c r="E14" s="9" t="str">
        <x:v>Eight bilateral contact stations</x:v>
      </x:c>
      <x:c r="F14" s="9" t="str">
        <x:v>Eight bilateral contact stations</x:v>
      </x:c>
      <x:c r="G14" s="9" t="str">
        <x:v>Eight bilateral contact stations</x:v>
      </x:c>
      <x:c r="H14" s="9" t="str">
        <x:v>Eight bilateral contact stations</x:v>
      </x:c>
      <x:c r="I14" s="9" t="str">
        <x:v>Eight bilateral contact stations</x:v>
      </x:c>
      <x:c r="J14" s="9" t="str">
        <x:v>Eight bilateral contact stations</x:v>
      </x:c>
      <x:c r="K14" s="9" t="str">
        <x:v>Eight bilateral contact stations</x:v>
      </x:c>
      <x:c r="L14" s="9" t="str">
        <x:v>Eight bilateral contact stations</x:v>
      </x:c>
      <x:c r="M14" s="9" t="str">
        <x:v>Eight bilateral contact stations</x:v>
      </x:c>
      <x:c r="N14" s="10" t="str">
        <x:v>Eight bilateral contact stations</x:v>
      </x:c>
    </x:row>
    <x:row r="15">
      <x:c r="B15" s="26" t="str">
        <x:v>Station</x:v>
      </x:c>
      <x:c r="C15" s="27" t="str">
        <x:v>x m</x:v>
      </x:c>
      <x:c r="D15" s="27" t="str">
        <x:v>Port foot</x:v>
      </x:c>
      <x:c r="E15" s="27" t="str">
        <x:v>Starboard foot</x:v>
      </x:c>
      <x:c r="F15" s="27" t="str">
        <x:v>Area/foot m2</x:v>
      </x:c>
      <x:c r="G15" s="27" t="str">
        <x:v>Rating/foot t</x:v>
      </x:c>
      <x:c r="H15" s="27" t="str">
        <x:v>Vertical travel m</x:v>
      </x:c>
      <x:c r="I15" s="27" t="str">
        <x:v>Leveling</x:v>
      </x:c>
      <x:c r="J15" s="27" t="str">
        <x:v>Mooring thrust</x:v>
      </x:c>
      <x:c r="K15" s="27" t="str">
        <x:v>Soil sensing</x:v>
      </x:c>
      <x:c r="L15" s="27" t="str">
        <x:v>Failed-foot isolation</x:v>
      </x:c>
      <x:c r="M15" s="27" t="str">
        <x:v>Removal</x:v>
      </x:c>
      <x:c r="N15" s="27" t="str">
        <x:v>Evidence</x:v>
      </x:c>
    </x:row>
    <x:row r="16">
      <x:c r="B16" s="34" t="str">
        <x:v>S1</x:v>
      </x:c>
      <x:c r="C16" s="34" t="n">
        <x:v>38</x:v>
      </x:c>
      <x:c r="D16" s="34" t="str">
        <x:v>F1</x:v>
      </x:c>
      <x:c r="E16" s="34" t="str">
        <x:v>F2</x:v>
      </x:c>
      <x:c r="F16" s="34" t="n">
        <x:v>10</x:v>
      </x:c>
      <x:c r="G16" s="34" t="n">
        <x:v>45</x:v>
      </x:c>
      <x:c r="H16" s="34" t="n">
        <x:v>2.5</x:v>
      </x:c>
      <x:c r="I16" s="34" t="str">
        <x:v>independent bilateral</x:v>
      </x:c>
      <x:c r="J16" s="34" t="str">
        <x:v>vector pods plus friction</x:v>
      </x:c>
      <x:c r="K16" s="34" t="str">
        <x:v>bearing and shear cone</x:v>
      </x:c>
      <x:c r="L16" s="34" t="str">
        <x:v>local valve and brake</x:v>
      </x:c>
      <x:c r="M16" s="34" t="str">
        <x:v>downward cassette</x:v>
      </x:c>
      <x:c r="N16" s="35" t="str">
        <x:v>OPEN</x:v>
      </x:c>
    </x:row>
    <x:row r="17">
      <x:c r="B17" s="34" t="str">
        <x:v>S2</x:v>
      </x:c>
      <x:c r="C17" s="34" t="n">
        <x:v>70</x:v>
      </x:c>
      <x:c r="D17" s="34" t="str">
        <x:v>F3</x:v>
      </x:c>
      <x:c r="E17" s="34" t="str">
        <x:v>F4</x:v>
      </x:c>
      <x:c r="F17" s="34" t="n">
        <x:v>10</x:v>
      </x:c>
      <x:c r="G17" s="34" t="n">
        <x:v>45</x:v>
      </x:c>
      <x:c r="H17" s="34" t="n">
        <x:v>2.5</x:v>
      </x:c>
      <x:c r="I17" s="34" t="str">
        <x:v>independent bilateral</x:v>
      </x:c>
      <x:c r="J17" s="34" t="str">
        <x:v>vector pods plus friction</x:v>
      </x:c>
      <x:c r="K17" s="34" t="str">
        <x:v>bearing and shear cone</x:v>
      </x:c>
      <x:c r="L17" s="34" t="str">
        <x:v>local valve and brake</x:v>
      </x:c>
      <x:c r="M17" s="34" t="str">
        <x:v>downward cassette</x:v>
      </x:c>
      <x:c r="N17" s="35" t="str">
        <x:v>OPEN</x:v>
      </x:c>
    </x:row>
    <x:row r="18">
      <x:c r="B18" s="34" t="str">
        <x:v>S3</x:v>
      </x:c>
      <x:c r="C18" s="34" t="n">
        <x:v>104</x:v>
      </x:c>
      <x:c r="D18" s="34" t="str">
        <x:v>F5</x:v>
      </x:c>
      <x:c r="E18" s="34" t="str">
        <x:v>F6</x:v>
      </x:c>
      <x:c r="F18" s="34" t="n">
        <x:v>10</x:v>
      </x:c>
      <x:c r="G18" s="34" t="n">
        <x:v>45</x:v>
      </x:c>
      <x:c r="H18" s="34" t="n">
        <x:v>2.5</x:v>
      </x:c>
      <x:c r="I18" s="34" t="str">
        <x:v>independent bilateral</x:v>
      </x:c>
      <x:c r="J18" s="34" t="str">
        <x:v>vector pods plus friction</x:v>
      </x:c>
      <x:c r="K18" s="34" t="str">
        <x:v>bearing and shear cone</x:v>
      </x:c>
      <x:c r="L18" s="34" t="str">
        <x:v>local valve and brake</x:v>
      </x:c>
      <x:c r="M18" s="34" t="str">
        <x:v>downward cassette</x:v>
      </x:c>
      <x:c r="N18" s="35" t="str">
        <x:v>OPEN</x:v>
      </x:c>
    </x:row>
    <x:row r="19">
      <x:c r="B19" s="34" t="str">
        <x:v>S4</x:v>
      </x:c>
      <x:c r="C19" s="34" t="n">
        <x:v>136</x:v>
      </x:c>
      <x:c r="D19" s="34" t="str">
        <x:v>F7</x:v>
      </x:c>
      <x:c r="E19" s="34" t="str">
        <x:v>F8</x:v>
      </x:c>
      <x:c r="F19" s="34" t="n">
        <x:v>10</x:v>
      </x:c>
      <x:c r="G19" s="34" t="n">
        <x:v>45</x:v>
      </x:c>
      <x:c r="H19" s="34" t="n">
        <x:v>2.5</x:v>
      </x:c>
      <x:c r="I19" s="34" t="str">
        <x:v>independent bilateral</x:v>
      </x:c>
      <x:c r="J19" s="34" t="str">
        <x:v>vector pods plus friction</x:v>
      </x:c>
      <x:c r="K19" s="34" t="str">
        <x:v>bearing and shear cone</x:v>
      </x:c>
      <x:c r="L19" s="34" t="str">
        <x:v>local valve and brake</x:v>
      </x:c>
      <x:c r="M19" s="34" t="str">
        <x:v>downward cassette</x:v>
      </x:c>
      <x:c r="N19" s="35" t="str">
        <x:v>OPEN</x:v>
      </x:c>
    </x:row>
    <x:row r="20">
      <x:c r="B20" s="34" t="str">
        <x:v>S5</x:v>
      </x:c>
      <x:c r="C20" s="34" t="n">
        <x:v>164</x:v>
      </x:c>
      <x:c r="D20" s="34" t="str">
        <x:v>F9</x:v>
      </x:c>
      <x:c r="E20" s="34" t="str">
        <x:v>F10</x:v>
      </x:c>
      <x:c r="F20" s="34" t="n">
        <x:v>10</x:v>
      </x:c>
      <x:c r="G20" s="34" t="n">
        <x:v>45</x:v>
      </x:c>
      <x:c r="H20" s="34" t="n">
        <x:v>2.5</x:v>
      </x:c>
      <x:c r="I20" s="34" t="str">
        <x:v>independent bilateral</x:v>
      </x:c>
      <x:c r="J20" s="34" t="str">
        <x:v>vector pods plus friction</x:v>
      </x:c>
      <x:c r="K20" s="34" t="str">
        <x:v>bearing and shear cone</x:v>
      </x:c>
      <x:c r="L20" s="34" t="str">
        <x:v>local valve and brake</x:v>
      </x:c>
      <x:c r="M20" s="34" t="str">
        <x:v>downward cassette</x:v>
      </x:c>
      <x:c r="N20" s="35" t="str">
        <x:v>OPEN</x:v>
      </x:c>
    </x:row>
    <x:row r="21">
      <x:c r="B21" s="34" t="str">
        <x:v>S6</x:v>
      </x:c>
      <x:c r="C21" s="34" t="n">
        <x:v>196</x:v>
      </x:c>
      <x:c r="D21" s="34" t="str">
        <x:v>F11</x:v>
      </x:c>
      <x:c r="E21" s="34" t="str">
        <x:v>F12</x:v>
      </x:c>
      <x:c r="F21" s="34" t="n">
        <x:v>10</x:v>
      </x:c>
      <x:c r="G21" s="34" t="n">
        <x:v>45</x:v>
      </x:c>
      <x:c r="H21" s="34" t="n">
        <x:v>2.5</x:v>
      </x:c>
      <x:c r="I21" s="34" t="str">
        <x:v>independent bilateral</x:v>
      </x:c>
      <x:c r="J21" s="34" t="str">
        <x:v>vector pods plus friction</x:v>
      </x:c>
      <x:c r="K21" s="34" t="str">
        <x:v>bearing and shear cone</x:v>
      </x:c>
      <x:c r="L21" s="34" t="str">
        <x:v>local valve and brake</x:v>
      </x:c>
      <x:c r="M21" s="34" t="str">
        <x:v>downward cassette</x:v>
      </x:c>
      <x:c r="N21" s="35" t="str">
        <x:v>OPEN</x:v>
      </x:c>
    </x:row>
    <x:row r="22">
      <x:c r="B22" s="34" t="str">
        <x:v>S7</x:v>
      </x:c>
      <x:c r="C22" s="34" t="n">
        <x:v>230</x:v>
      </x:c>
      <x:c r="D22" s="34" t="str">
        <x:v>F13</x:v>
      </x:c>
      <x:c r="E22" s="34" t="str">
        <x:v>F14</x:v>
      </x:c>
      <x:c r="F22" s="34" t="n">
        <x:v>10</x:v>
      </x:c>
      <x:c r="G22" s="34" t="n">
        <x:v>45</x:v>
      </x:c>
      <x:c r="H22" s="34" t="n">
        <x:v>2.5</x:v>
      </x:c>
      <x:c r="I22" s="34" t="str">
        <x:v>independent bilateral</x:v>
      </x:c>
      <x:c r="J22" s="34" t="str">
        <x:v>vector pods plus friction</x:v>
      </x:c>
      <x:c r="K22" s="34" t="str">
        <x:v>bearing and shear cone</x:v>
      </x:c>
      <x:c r="L22" s="34" t="str">
        <x:v>local valve and brake</x:v>
      </x:c>
      <x:c r="M22" s="34" t="str">
        <x:v>downward cassette</x:v>
      </x:c>
      <x:c r="N22" s="35" t="str">
        <x:v>OPEN</x:v>
      </x:c>
    </x:row>
    <x:row r="23">
      <x:c r="B23" s="36" t="str">
        <x:v>S8</x:v>
      </x:c>
      <x:c r="C23" s="36" t="n">
        <x:v>262</x:v>
      </x:c>
      <x:c r="D23" s="36" t="str">
        <x:v>F15</x:v>
      </x:c>
      <x:c r="E23" s="36" t="str">
        <x:v>F16</x:v>
      </x:c>
      <x:c r="F23" s="36" t="n">
        <x:v>10</x:v>
      </x:c>
      <x:c r="G23" s="36" t="n">
        <x:v>45</x:v>
      </x:c>
      <x:c r="H23" s="36" t="n">
        <x:v>2.5</x:v>
      </x:c>
      <x:c r="I23" s="36" t="str">
        <x:v>independent bilateral</x:v>
      </x:c>
      <x:c r="J23" s="36" t="str">
        <x:v>vector pods plus friction</x:v>
      </x:c>
      <x:c r="K23" s="36" t="str">
        <x:v>bearing and shear cone</x:v>
      </x:c>
      <x:c r="L23" s="36" t="str">
        <x:v>local valve and brake</x:v>
      </x:c>
      <x:c r="M23" s="36" t="str">
        <x:v>downward cassette</x:v>
      </x:c>
      <x:c r="N23" s="37" t="str">
        <x:v>OPEN</x:v>
      </x:c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B26" s="8" t="str">
        <x:v>Landing-state rules</x:v>
      </x:c>
      <x:c r="C26" s="9" t="str">
        <x:v>Landing-state rules</x:v>
      </x:c>
      <x:c r="D26" s="9" t="str">
        <x:v>Landing-state rules</x:v>
      </x:c>
      <x:c r="E26" s="9" t="str">
        <x:v>Landing-state rules</x:v>
      </x:c>
      <x:c r="F26" s="9" t="str">
        <x:v>Landing-state rules</x:v>
      </x:c>
      <x:c r="G26" s="9" t="str">
        <x:v>Landing-state rules</x:v>
      </x:c>
      <x:c r="H26" s="9" t="str">
        <x:v>Landing-state rules</x:v>
      </x:c>
      <x:c r="I26" s="9" t="str">
        <x:v>Landing-state rules</x:v>
      </x:c>
      <x:c r="J26" s="9" t="str">
        <x:v>Landing-state rules</x:v>
      </x:c>
      <x:c r="K26" s="9" t="str">
        <x:v>Landing-state rules</x:v>
      </x:c>
      <x:c r="L26" s="9" t="str">
        <x:v>Landing-state rules</x:v>
      </x:c>
      <x:c r="M26" s="9" t="str">
        <x:v>Landing-state rules</x:v>
      </x:c>
      <x:c r="N26" s="10" t="str">
        <x:v>Landing-state rules</x:v>
      </x:c>
    </x:row>
    <x:row r="27" ht="30" customHeight="1">
      <x:c r="B27" s="40" t="str">
        <x:v>Progressive arrest</x:v>
      </x:c>
      <x:c r="C27" s="40" t="n">
        <x:v>1</x:v>
      </x:c>
      <x:c r="D27" s="40" t="str">
        <x:v>signed sequence</x:v>
      </x:c>
      <x:c r="E27" s="40" t="str">
        <x:v>aerodynamic lift hands reaction to feet</x:v>
      </x:c>
      <x:c r="F27" s="40" t="str">
        <x:v>OPEN</x:v>
      </x:c>
      <x:c r="G27" s="2"/>
      <x:c r="H27" s="2"/>
      <x:c r="I27" s="2"/>
      <x:c r="J27" s="2"/>
      <x:c r="K27" s="2"/>
      <x:c r="L27" s="2"/>
      <x:c r="M27" s="2"/>
      <x:c r="N27" s="2"/>
    </x:row>
    <x:row r="28" ht="30" customHeight="1">
      <x:c r="B28" s="28" t="str">
        <x:v>Rebound control</x:v>
      </x:c>
      <x:c r="C28" s="28" t="n">
        <x:v>1</x:v>
      </x:c>
      <x:c r="D28" s="28" t="str">
        <x:v>active damping</x:v>
      </x:c>
      <x:c r="E28" s="28" t="str">
        <x:v>no payload release before structural arrest</x:v>
      </x:c>
      <x:c r="F28" s="28" t="str">
        <x:v>OPEN</x:v>
      </x:c>
      <x:c r="G28" s="2"/>
      <x:c r="H28" s="2"/>
      <x:c r="I28" s="2"/>
      <x:c r="J28" s="2"/>
      <x:c r="K28" s="2"/>
      <x:c r="L28" s="2"/>
      <x:c r="M28" s="2"/>
      <x:c r="N28" s="2"/>
    </x:row>
    <x:row r="29" ht="30" customHeight="1">
      <x:c r="B29" s="28" t="str">
        <x:v>Bearing proxy limitation</x:v>
      </x:c>
      <x:c r="C29" s="28" t="n">
        <x:v>1</x:v>
      </x:c>
      <x:c r="D29" s="28" t="str">
        <x:v>declared</x:v>
      </x:c>
      <x:c r="E29" s="28" t="str">
        <x:v>kPa does not establish shear or cyclic settlement</x:v>
      </x:c>
      <x:c r="F29" s="28" t="str">
        <x:v>OPEN</x:v>
      </x:c>
      <x:c r="G29" s="2"/>
      <x:c r="H29" s="2"/>
      <x:c r="I29" s="2"/>
      <x:c r="J29" s="2"/>
      <x:c r="K29" s="2"/>
      <x:c r="L29" s="2"/>
      <x:c r="M29" s="2"/>
      <x:c r="N29" s="2"/>
    </x:row>
    <x:row r="30" ht="30" customHeight="1">
      <x:c r="B30" s="28" t="str">
        <x:v>No suspended unload</x:v>
      </x:c>
      <x:c r="C30" s="28" t="n">
        <x:v>1</x:v>
      </x:c>
      <x:c r="D30" s="28" t="str">
        <x:v>binary</x:v>
      </x:c>
      <x:c r="E30" s="28" t="str">
        <x:v>cargo remains supported by vehicle and ground</x:v>
      </x:c>
      <x:c r="F30" s="28" t="str">
        <x:v>OPEN</x:v>
      </x:c>
      <x:c r="G30" s="2"/>
      <x:c r="H30" s="2"/>
      <x:c r="I30" s="2"/>
      <x:c r="J30" s="2"/>
      <x:c r="K30" s="2"/>
      <x:c r="L30" s="2"/>
      <x:c r="M30" s="2"/>
      <x:c r="N30" s="2"/>
    </x:row>
    <x:row r="31" ht="30" customHeight="1">
      <x:c r="B31" s="43" t="str">
        <x:v>Public exclusion</x:v>
      </x:c>
      <x:c r="C31" s="43" t="n">
        <x:v>420</x:v>
      </x:c>
      <x:c r="D31" s="43" t="str">
        <x:v>m square</x:v>
      </x:c>
      <x:c r="E31" s="43" t="str">
        <x:v>receiver controls approach and exhaust</x:v>
      </x:c>
      <x:c r="F31" s="43" t="str">
        <x:v>OPEN</x:v>
      </x:c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</x:sheetData>
  <x:mergeCells>
    <x:mergeCell ref="B14:N14"/>
    <x:mergeCell ref="B26:N26"/>
  </x:mergeCells>
  <x:conditionalFormatting sqref="K7:K11">
    <x:cfRule type="containsText" dxfId="30" priority="1" operator="containsText" text="FAIL"/>
    <x:cfRule type="containsText" dxfId="31" priority="2" operator="containsText" text="PASS"/>
    <x:cfRule type="containsText" dxfId="32" priority="3" operator="containsText" text="BLOCK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8" hidden="0" customWidth="1"/>
    <x:col min="4" max="4" width="18" hidden="0" customWidth="1"/>
    <x:col min="5" max="5" width="48" hidden="0" customWidth="1"/>
    <x:col min="6" max="6" width="22" hidden="0" customWidth="1"/>
    <x:col min="7" max="7" width="14" hidden="0" customWidth="1"/>
    <x:col min="8" max="8" width="3" hidden="0" customWidth="1"/>
    <x:col min="9" max="9" width="34" hidden="0" customWidth="1"/>
    <x:col min="10" max="10" width="18" hidden="0" customWidth="1"/>
    <x:col min="11" max="11" width="20" hidden="0" customWidth="1"/>
    <x:col min="12" max="12" width="18" hidden="0" customWidth="1"/>
    <x:col min="13" max="13" width="19" hidden="0" customWidth="1"/>
    <x:col min="14" max="14" width="18" hidden="0" customWidth="1"/>
    <x:col min="15" max="15" width="14" hidden="0" customWidth="1"/>
  </x:cols>
  <x:sheetData>
    <x:row r="2">
      <x:c r="B2" s="3" t="str">
        <x:v>No-anchor gust and station-keeping closure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Broadside gust load is resisted by N-2 vector thrust plus controlled ground friction; prepared anchors receive no universal credit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26" t="str">
        <x:v>Calculation</x:v>
      </x:c>
      <x:c r="C6" s="27" t="str">
        <x:v>Value</x:v>
      </x:c>
      <x:c r="D6" s="27" t="str">
        <x:v>Unit</x:v>
      </x:c>
      <x:c r="E6" s="27" t="str">
        <x:v>Equation meaning</x:v>
      </x:c>
      <x:c r="F6" s="27" t="str">
        <x:v>Threshold</x:v>
      </x:c>
      <x:c r="G6" s="27" t="str">
        <x:v>Result</x:v>
      </x:c>
      <x:c r="H6" s="2"/>
      <x:c r="I6" s="8" t="str">
        <x:v>Control allocation</x:v>
      </x:c>
      <x:c r="J6" s="9" t="str">
        <x:v>Control allocation</x:v>
      </x:c>
      <x:c r="K6" s="9" t="str">
        <x:v>Control allocation</x:v>
      </x:c>
      <x:c r="L6" s="9" t="str">
        <x:v>Control allocation</x:v>
      </x:c>
      <x:c r="M6" s="9" t="str">
        <x:v>Control allocation</x:v>
      </x:c>
      <x:c r="N6" s="10" t="str">
        <x:v>Control allocation</x:v>
      </x:c>
    </x:row>
    <x:row r="7">
      <x:c r="B7" s="34" t="str">
        <x:v>Side projected area</x:v>
      </x:c>
      <x:c r="C7" s="34" t="n">
        <x:f>Assumptions!C20*Assumptions!C22*Assumptions!C56</x:f>
        <x:v>12096</x:v>
      </x:c>
      <x:c r="D7" s="34" t="str">
        <x:v>m2</x:v>
      </x:c>
      <x:c r="E7" s="34" t="str">
        <x:v>broadside reference</x:v>
      </x:c>
      <x:c r="F7" s="34" t="str">
        <x:v>&gt; 0</x:v>
      </x:c>
      <x:c r="G7" s="35" t="str">
        <x:f>IF(C7&gt;0,"PASS","FAIL")</x:f>
        <x:v>PASS</x:v>
      </x:c>
      <x:c r="H7" s="2"/>
      <x:c r="I7" s="26" t="str">
        <x:v>State</x:v>
      </x:c>
      <x:c r="J7" s="27" t="str">
        <x:v>Pods available</x:v>
      </x:c>
      <x:c r="K7" s="27" t="str">
        <x:v>Ground reaction t</x:v>
      </x:c>
      <x:c r="L7" s="27" t="str">
        <x:v>Friction MN</x:v>
      </x:c>
      <x:c r="M7" s="27" t="str">
        <x:v>Vector thrust MN</x:v>
      </x:c>
      <x:c r="N7" s="45" t="str">
        <x:v>Margin MN</x:v>
      </x:c>
      <x:c r="O7" s="26" t="str">
        <x:v>Result</x:v>
      </x:c>
    </x:row>
    <x:row r="8">
      <x:c r="B8" s="34" t="str">
        <x:v>Broadside gust force</x:v>
      </x:c>
      <x:c r="C8" s="34" t="n">
        <x:f>0.5*Assumptions!C14*Assumptions!C58^2*Assumptions!C57*C7/1000000</x:f>
        <x:v>4.5045504</x:v>
      </x:c>
      <x:c r="D8" s="34" t="str">
        <x:v>MN</x:v>
      </x:c>
      <x:c r="E8" s="34" t="str">
        <x:v>quasi-steady side force</x:v>
      </x:c>
      <x:c r="F8" s="34" t="str">
        <x:v>&gt; 0</x:v>
      </x:c>
      <x:c r="G8" s="35" t="str">
        <x:f>IF(C8&gt;0,"PASS","FAIL")</x:f>
        <x:v>PASS</x:v>
      </x:c>
      <x:c r="H8" s="2"/>
      <x:c r="I8" s="34" t="str">
        <x:v>loaded transfer</x:v>
      </x:c>
      <x:c r="J8" s="34" t="n">
        <x:f>Assumptions!C39-2</x:f>
        <x:v>10</x:v>
      </x:c>
      <x:c r="K8" s="34" t="n">
        <x:f>'Mass and Lift'!L26</x:f>
        <x:v>490.54589431145894</x:v>
      </x:c>
      <x:c r="L8" s="34" t="n">
        <x:f>K8*9.81/1000*Assumptions!C60</x:f>
        <x:v>2.165514850437936</x:v>
      </x:c>
      <x:c r="M8" s="34" t="n">
        <x:f>J8*Assumptions!C61</x:f>
        <x:v>5.5</x:v>
      </x:c>
      <x:c r="N8" s="34" t="n">
        <x:f>L8+M8-$C$9</x:f>
        <x:v>2.034826850437936</x:v>
      </x:c>
      <x:c r="O8" s="61" t="str">
        <x:f>IF(N8&gt;=0,"PASS","FAIL")</x:f>
        <x:v>PASS</x:v>
      </x:c>
    </x:row>
    <x:row r="9">
      <x:c r="B9" s="34" t="str">
        <x:v>Factored gust demand</x:v>
      </x:c>
      <x:c r="C9" s="34" t="n">
        <x:f>C8*Assumptions!C59</x:f>
        <x:v>5.630688</x:v>
      </x:c>
      <x:c r="D9" s="34" t="str">
        <x:v>MN</x:v>
      </x:c>
      <x:c r="E9" s="34" t="str">
        <x:v>control and uncertainty reserve</x:v>
      </x:c>
      <x:c r="F9" s="34" t="str">
        <x:v>&gt; gust</x:v>
      </x:c>
      <x:c r="G9" s="35" t="str">
        <x:f>IF(C9&gt;C8,"PASS","FAIL")</x:f>
        <x:v>PASS</x:v>
      </x:c>
      <x:c r="H9" s="2"/>
      <x:c r="I9" s="34" t="str">
        <x:v>hot-high empty</x:v>
      </x:c>
      <x:c r="J9" s="34" t="n">
        <x:f>Assumptions!C39-2</x:f>
        <x:v>10</x:v>
      </x:c>
      <x:c r="K9" s="34" t="n">
        <x:f>'Mass and Lift'!L28</x:f>
        <x:v>150.54589431145905</x:v>
      </x:c>
      <x:c r="L9" s="34" t="n">
        <x:f>K9*9.81/1000*Assumptions!C60</x:f>
        <x:v>0.664584850437936</x:v>
      </x:c>
      <x:c r="M9" s="34" t="n">
        <x:f>J9*Assumptions!C61</x:f>
        <x:v>5.5</x:v>
      </x:c>
      <x:c r="N9" s="34" t="n">
        <x:f>L9+M9-$C$9</x:f>
        <x:v>0.5338968504379356</x:v>
      </x:c>
      <x:c r="O9" s="61" t="str">
        <x:f>IF(N9&gt;=0,"PASS","FAIL")</x:f>
        <x:v>PASS</x:v>
      </x:c>
    </x:row>
    <x:row r="10">
      <x:c r="B10" s="34" t="str">
        <x:v>N-2 vector thrust</x:v>
      </x:c>
      <x:c r="C10" s="34" t="n">
        <x:f>(Assumptions!C39-2)*Assumptions!C61</x:f>
        <x:v>5.5</x:v>
      </x:c>
      <x:c r="D10" s="34" t="str">
        <x:v>MN</x:v>
      </x:c>
      <x:c r="E10" s="34" t="str">
        <x:v>two pods unavailable</x:v>
      </x:c>
      <x:c r="F10" s="34" t="str">
        <x:v>&gt; 0</x:v>
      </x:c>
      <x:c r="G10" s="35" t="str">
        <x:f>IF(C10&gt;0,"PASS","FAIL")</x:f>
        <x:v>PASS</x:v>
      </x:c>
      <x:c r="H10" s="2"/>
      <x:c r="I10" s="34" t="str">
        <x:v>cold-dense controlled</x:v>
      </x:c>
      <x:c r="J10" s="34" t="n">
        <x:f>Assumptions!C39-2</x:f>
        <x:v>10</x:v>
      </x:c>
      <x:c r="K10" s="34" t="n">
        <x:f>Assumptions!C55</x:f>
        <x:v>120</x:v>
      </x:c>
      <x:c r="L10" s="34" t="n">
        <x:f>K10*9.81/1000*Assumptions!C60</x:f>
        <x:v>0.52974</x:v>
      </x:c>
      <x:c r="M10" s="34" t="n">
        <x:f>J10*Assumptions!C61</x:f>
        <x:v>5.5</x:v>
      </x:c>
      <x:c r="N10" s="34" t="n">
        <x:f>L10+M10-$C$9</x:f>
        <x:v>0.3990520000000002</x:v>
      </x:c>
      <x:c r="O10" s="61" t="str">
        <x:f>IF(N10&gt;=0,"PASS","FAIL")</x:f>
        <x:v>PASS</x:v>
      </x:c>
    </x:row>
    <x:row r="11">
      <x:c r="B11" s="34" t="str">
        <x:v>One-foot-loss friction</x:v>
      </x:c>
      <x:c r="C11" s="34" t="n">
        <x:f>Assumptions!C54*9.81/1000*Assumptions!C60*(Assumptions!C49-1)/Assumptions!C49</x:f>
        <x:v>0.4552453125000001</x:v>
      </x:c>
      <x:c r="D11" s="34" t="str">
        <x:v>MN</x:v>
      </x:c>
      <x:c r="E11" s="34" t="str">
        <x:v>controlled normal force only</x:v>
      </x:c>
      <x:c r="F11" s="34" t="str">
        <x:v>&gt; 0</x:v>
      </x:c>
      <x:c r="G11" s="35" t="str">
        <x:f>IF(C11&gt;0,"PASS","FAIL")</x:f>
        <x:v>PASS</x:v>
      </x:c>
      <x:c r="H11" s="2"/>
      <x:c r="I11" s="36" t="str">
        <x:v>minimum reaction and one foot lost</x:v>
      </x:c>
      <x:c r="J11" s="36" t="n">
        <x:f>Assumptions!C39-2</x:f>
        <x:v>10</x:v>
      </x:c>
      <x:c r="K11" s="36" t="n">
        <x:f>Assumptions!C54</x:f>
        <x:v>110</x:v>
      </x:c>
      <x:c r="L11" s="36" t="n">
        <x:f>K11*9.81/1000*Assumptions!C60*(Assumptions!C49-1)/Assumptions!C49</x:f>
        <x:v>0.4552453125000001</x:v>
      </x:c>
      <x:c r="M11" s="36" t="n">
        <x:f>J11*Assumptions!C61</x:f>
        <x:v>5.5</x:v>
      </x:c>
      <x:c r="N11" s="36" t="n">
        <x:f>L11+M11-$C$9</x:f>
        <x:v>0.32455731249999964</x:v>
      </x:c>
      <x:c r="O11" s="62" t="str">
        <x:f>IF(N11&gt;=0,"PASS","FAIL")</x:f>
        <x:v>PASS</x:v>
      </x:c>
    </x:row>
    <x:row r="12">
      <x:c r="B12" s="34" t="str">
        <x:v>Total no-anchor resistance</x:v>
      </x:c>
      <x:c r="C12" s="34" t="n">
        <x:f>C10+C11</x:f>
        <x:v>5.9552453125</x:v>
      </x:c>
      <x:c r="D12" s="34" t="str">
        <x:v>MN</x:v>
      </x:c>
      <x:c r="E12" s="34" t="str">
        <x:v>thrust plus friction</x:v>
      </x:c>
      <x:c r="F12" s="34" t="str">
        <x:v>&gt; demand</x:v>
      </x:c>
      <x:c r="G12" s="35" t="str">
        <x:f>IF(C12&gt;=C9,"PASS","FAIL")</x:f>
        <x:v>PASS</x:v>
      </x:c>
      <x:c r="H12" s="2"/>
      <x:c r="I12" s="2"/>
      <x:c r="J12" s="2"/>
      <x:c r="K12" s="2"/>
      <x:c r="L12" s="2"/>
      <x:c r="M12" s="2"/>
      <x:c r="N12" s="2"/>
    </x:row>
    <x:row r="13">
      <x:c r="B13" s="36" t="str">
        <x:v>Resistance margin</x:v>
      </x:c>
      <x:c r="C13" s="36" t="n">
        <x:f>C12-C9</x:f>
        <x:v>0.32455731249999964</x:v>
      </x:c>
      <x:c r="D13" s="36" t="str">
        <x:v>MN</x:v>
      </x:c>
      <x:c r="E13" s="36" t="str">
        <x:v>unallocated station-keeping margin</x:v>
      </x:c>
      <x:c r="F13" s="36" t="str">
        <x:v>nonnegative</x:v>
      </x:c>
      <x:c r="G13" s="37" t="str">
        <x:f>IF(C13&gt;=0,"PASS","FAIL")</x:f>
        <x:v>PASS</x:v>
      </x:c>
      <x:c r="H13" s="2"/>
      <x:c r="I13" s="2"/>
      <x:c r="J13" s="2"/>
      <x:c r="K13" s="2"/>
      <x:c r="L13" s="2"/>
      <x:c r="M13" s="2"/>
      <x:c r="N13" s="2"/>
    </x:row>
    <x:row r="14"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B16" s="8" t="str">
        <x:v>Mooring doctrine</x:v>
      </x:c>
      <x:c r="C16" s="9" t="str">
        <x:v>Mooring doctrine</x:v>
      </x:c>
      <x:c r="D16" s="9" t="str">
        <x:v>Mooring doctrine</x:v>
      </x:c>
      <x:c r="E16" s="9" t="str">
        <x:v>Mooring doctrine</x:v>
      </x:c>
      <x:c r="F16" s="9" t="str">
        <x:v>Mooring doctrine</x:v>
      </x:c>
      <x:c r="G16" s="9" t="str">
        <x:v>Mooring doctrine</x:v>
      </x:c>
      <x:c r="H16" s="9" t="str">
        <x:v>Mooring doctrine</x:v>
      </x:c>
      <x:c r="I16" s="9" t="str">
        <x:v>Mooring doctrine</x:v>
      </x:c>
      <x:c r="J16" s="9" t="str">
        <x:v>Mooring doctrine</x:v>
      </x:c>
      <x:c r="K16" s="9" t="str">
        <x:v>Mooring doctrine</x:v>
      </x:c>
      <x:c r="L16" s="9" t="str">
        <x:v>Mooring doctrine</x:v>
      </x:c>
      <x:c r="M16" s="9" t="str">
        <x:v>Mooring doctrine</x:v>
      </x:c>
      <x:c r="N16" s="10" t="str">
        <x:v>Mooring doctrine</x:v>
      </x:c>
    </x:row>
    <x:row r="17">
      <x:c r="B17" s="51" t="str">
        <x:v>Prepared anchors</x:v>
      </x:c>
      <x:c r="C17" s="51" t="str">
        <x:v>not credited</x:v>
      </x:c>
      <x:c r="D17" s="51" t="str">
        <x:v>universal receiver</x:v>
      </x:c>
      <x:c r="E17" s="51" t="str">
        <x:v>may add margin but cannot make the mission pass</x:v>
      </x:c>
      <x:c r="F17" s="51" t="str">
        <x:v>OPEN</x:v>
      </x:c>
      <x:c r="G17" s="2"/>
      <x:c r="H17" s="2"/>
      <x:c r="I17" s="2"/>
      <x:c r="J17" s="2"/>
      <x:c r="K17" s="2"/>
      <x:c r="L17" s="2"/>
      <x:c r="M17" s="2"/>
      <x:c r="N17" s="2"/>
    </x:row>
    <x:row r="18">
      <x:c r="B18" s="34" t="str">
        <x:v>Earth engagement</x:v>
      </x:c>
      <x:c r="C18" s="34" t="str">
        <x:v>optional</x:v>
      </x:c>
      <x:c r="D18" s="34" t="str">
        <x:v>site-conditioned</x:v>
      </x:c>
      <x:c r="E18" s="34" t="str">
        <x:v>requires measured shear and buried-hazard clearance</x:v>
      </x:c>
      <x:c r="F18" s="34" t="str">
        <x:v>OPEN</x:v>
      </x:c>
      <x:c r="G18" s="2"/>
      <x:c r="H18" s="2"/>
      <x:c r="I18" s="2"/>
      <x:c r="J18" s="2"/>
      <x:c r="K18" s="2"/>
      <x:c r="L18" s="2"/>
      <x:c r="M18" s="2"/>
      <x:c r="N18" s="2"/>
    </x:row>
    <x:row r="19">
      <x:c r="B19" s="34" t="str">
        <x:v>Thrust source</x:v>
      </x:c>
      <x:c r="C19" s="34" t="str">
        <x:v>twelve pods</x:v>
      </x:c>
      <x:c r="D19" s="34" t="str">
        <x:v>vehicle organic</x:v>
      </x:c>
      <x:c r="E19" s="34" t="str">
        <x:v>two-pod loss remains inside the control allocation</x:v>
      </x:c>
      <x:c r="F19" s="34" t="str">
        <x:v>OPEN</x:v>
      </x:c>
      <x:c r="G19" s="2"/>
      <x:c r="H19" s="2"/>
      <x:c r="I19" s="2"/>
      <x:c r="J19" s="2"/>
      <x:c r="K19" s="2"/>
      <x:c r="L19" s="2"/>
      <x:c r="M19" s="2"/>
      <x:c r="N19" s="2"/>
    </x:row>
    <x:row r="20">
      <x:c r="B20" s="34" t="str">
        <x:v>Ground friction</x:v>
      </x:c>
      <x:c r="C20" s="34" t="str">
        <x:v>controlled reaction only</x:v>
      </x:c>
      <x:c r="D20" s="34" t="str">
        <x:v>vehicle organic</x:v>
      </x:c>
      <x:c r="E20" s="34" t="str">
        <x:v>positive contact is actively maintained</x:v>
      </x:c>
      <x:c r="F20" s="34" t="str">
        <x:v>OPEN</x:v>
      </x:c>
      <x:c r="G20" s="2"/>
      <x:c r="H20" s="2"/>
      <x:c r="I20" s="2"/>
      <x:c r="J20" s="2"/>
      <x:c r="K20" s="2"/>
      <x:c r="L20" s="2"/>
      <x:c r="M20" s="2"/>
      <x:c r="N20" s="2"/>
    </x:row>
    <x:row r="21">
      <x:c r="B21" s="34" t="str">
        <x:v>Abort</x:v>
      </x:c>
      <x:c r="C21" s="34" t="str">
        <x:v>airborne departure</x:v>
      </x:c>
      <x:c r="D21" s="34" t="str">
        <x:v>signed state</x:v>
      </x:c>
      <x:c r="E21" s="34" t="str">
        <x:v>unload stops before loss of contact authority</x:v>
      </x:c>
      <x:c r="F21" s="34" t="str">
        <x:v>OPEN</x:v>
      </x:c>
      <x:c r="G21" s="2"/>
      <x:c r="H21" s="2"/>
      <x:c r="I21" s="2"/>
      <x:c r="J21" s="2"/>
      <x:c r="K21" s="2"/>
      <x:c r="L21" s="2"/>
      <x:c r="M21" s="2"/>
      <x:c r="N21" s="2"/>
    </x:row>
    <x:row r="22">
      <x:c r="B22" s="52" t="str">
        <x:v>Public boundary</x:v>
      </x:c>
      <x:c r="C22" s="52" t="str">
        <x:v>420 m square</x:v>
      </x:c>
      <x:c r="D22" s="52" t="str">
        <x:v>receiver</x:v>
      </x:c>
      <x:c r="E22" s="52" t="str">
        <x:v>jet, exhaust and runaway-load zones remain controlled</x:v>
      </x:c>
      <x:c r="F22" s="52" t="str">
        <x:v>OPEN</x:v>
      </x:c>
      <x:c r="G22" s="2"/>
      <x:c r="H22" s="2"/>
      <x:c r="I22" s="2"/>
      <x:c r="J22" s="2"/>
      <x:c r="K22" s="2"/>
      <x:c r="L22" s="2"/>
      <x:c r="M22" s="2"/>
      <x:c r="N22" s="2"/>
    </x:row>
    <x:row r="23"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</x:sheetData>
  <x:mergeCells>
    <x:mergeCell ref="I6:N6"/>
    <x:mergeCell ref="B16:N16"/>
  </x:mergeCells>
  <x:conditionalFormatting sqref="G7:G13">
    <x:cfRule type="containsText" dxfId="33" priority="1" operator="containsText" text="FAIL"/>
    <x:cfRule type="containsText" dxfId="34" priority="2" operator="containsText" text="PASS"/>
    <x:cfRule type="containsText" dxfId="35" priority="3" operator="containsText" text="BLOCKED"/>
  </x:conditionalFormatting>
  <x:conditionalFormatting sqref="O8:O11">
    <x:cfRule type="containsText" dxfId="36" priority="4" operator="containsText" text="FAIL"/>
    <x:cfRule type="containsText" dxfId="37" priority="5" operator="containsText" text="PASS"/>
    <x:cfRule type="containsText" dxfId="38" priority="6" operator="containsText" text="BLOCK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24" hidden="0" customWidth="1"/>
    <x:col min="12" max="12" width="18" hidden="0" customWidth="1"/>
    <x:col min="13" max="13" width="18" hidden="0" customWidth="1"/>
    <x:col min="14" max="14" width="16" hidden="0" customWidth="1"/>
  </x:cols>
  <x:sheetData>
    <x:row r="2">
      <x:c r="B2" s="3" t="str">
        <x:v>Two-block payload keel and ordered bilateral transfer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Sixteen dry positions and two wet packs remain identifiable, balanced and accessible throughout partial unloading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Payload positions</x:v>
      </x:c>
      <x:c r="C6" s="9" t="str">
        <x:v>Payload positions</x:v>
      </x:c>
      <x:c r="D6" s="9" t="str">
        <x:v>Payload positions</x:v>
      </x:c>
      <x:c r="E6" s="9" t="str">
        <x:v>Payload positions</x:v>
      </x:c>
      <x:c r="F6" s="9" t="str">
        <x:v>Payload positions</x:v>
      </x:c>
      <x:c r="G6" s="9" t="str">
        <x:v>Payload positions</x:v>
      </x:c>
      <x:c r="H6" s="9" t="str">
        <x:v>Payload positions</x:v>
      </x:c>
      <x:c r="I6" s="9" t="str">
        <x:v>Payload positions</x:v>
      </x:c>
      <x:c r="J6" s="9" t="str">
        <x:v>Payload positions</x:v>
      </x:c>
      <x:c r="K6" s="9" t="str">
        <x:v>Payload positions</x:v>
      </x:c>
      <x:c r="L6" s="9" t="str">
        <x:v>Payload positions</x:v>
      </x:c>
      <x:c r="M6" s="9" t="str">
        <x:v>Payload positions</x:v>
      </x:c>
      <x:c r="N6" s="10" t="str">
        <x:v>Payload positions</x:v>
      </x:c>
    </x:row>
    <x:row r="7">
      <x:c r="B7" s="26" t="str">
        <x:v>Position</x:v>
      </x:c>
      <x:c r="C7" s="27" t="str">
        <x:v>Block</x:v>
      </x:c>
      <x:c r="D7" s="27" t="str">
        <x:v>Wave</x:v>
      </x:c>
      <x:c r="E7" s="27" t="str">
        <x:v>Mass t</x:v>
      </x:c>
      <x:c r="F7" s="27" t="str">
        <x:v>Cube m3</x:v>
      </x:c>
      <x:c r="G7" s="27" t="str">
        <x:v>Deck m2</x:v>
      </x:c>
      <x:c r="H7" s="27" t="str">
        <x:v>x m</x:v>
      </x:c>
      <x:c r="I7" s="27" t="str">
        <x:v>y m</x:v>
      </x:c>
      <x:c r="J7" s="27" t="str">
        <x:v>z m</x:v>
      </x:c>
      <x:c r="K7" s="27" t="str">
        <x:v>Hazard</x:v>
      </x:c>
      <x:c r="L7" s="27" t="str">
        <x:v>Primary exit</x:v>
      </x:c>
      <x:c r="M7" s="27" t="str">
        <x:v>Alternate exit</x:v>
      </x:c>
      <x:c r="N7" s="27" t="str">
        <x:v>Evidence</x:v>
      </x:c>
    </x:row>
    <x:row r="8">
      <x:c r="B8" s="34" t="str">
        <x:v>D01</x:v>
      </x:c>
      <x:c r="C8" s="34" t="str">
        <x:v>L-A</x:v>
      </x:c>
      <x:c r="D8" s="34" t="n">
        <x:v>1</x:v>
      </x:c>
      <x:c r="E8" s="34" t="n">
        <x:v>18.125</x:v>
      </x:c>
      <x:c r="F8" s="34" t="n">
        <x:v>70.875</x:v>
      </x:c>
      <x:c r="G8" s="34" t="n">
        <x:v>17</x:v>
      </x:c>
      <x:c r="H8" s="34" t="n">
        <x:v>111</x:v>
      </x:c>
      <x:c r="I8" s="34" t="n">
        <x:v>-5.5</x:v>
      </x:c>
      <x:c r="J8" s="34" t="n">
        <x:v>6.5</x:v>
      </x:c>
      <x:c r="K8" s="34" t="str">
        <x:v>black start</x:v>
      </x:c>
      <x:c r="L8" s="34" t="str">
        <x:v>port</x:v>
      </x:c>
      <x:c r="M8" s="34" t="str">
        <x:v>starboard</x:v>
      </x:c>
      <x:c r="N8" s="35" t="str">
        <x:v>OPEN</x:v>
      </x:c>
    </x:row>
    <x:row r="9">
      <x:c r="B9" s="34" t="str">
        <x:v>D02</x:v>
      </x:c>
      <x:c r="C9" s="34" t="str">
        <x:v>L-A</x:v>
      </x:c>
      <x:c r="D9" s="34" t="n">
        <x:v>1</x:v>
      </x:c>
      <x:c r="E9" s="34" t="n">
        <x:v>18.125</x:v>
      </x:c>
      <x:c r="F9" s="34" t="n">
        <x:v>70.875</x:v>
      </x:c>
      <x:c r="G9" s="34" t="n">
        <x:v>17</x:v>
      </x:c>
      <x:c r="H9" s="34" t="n">
        <x:v>111</x:v>
      </x:c>
      <x:c r="I9" s="34" t="n">
        <x:v>5.5</x:v>
      </x:c>
      <x:c r="J9" s="34" t="n">
        <x:v>6.5</x:v>
      </x:c>
      <x:c r="K9" s="34" t="str">
        <x:v>grid forming</x:v>
      </x:c>
      <x:c r="L9" s="34" t="str">
        <x:v>starboard</x:v>
      </x:c>
      <x:c r="M9" s="34" t="str">
        <x:v>port</x:v>
      </x:c>
      <x:c r="N9" s="35" t="str">
        <x:v>OPEN</x:v>
      </x:c>
    </x:row>
    <x:row r="10">
      <x:c r="B10" s="34" t="str">
        <x:v>D03</x:v>
      </x:c>
      <x:c r="C10" s="34" t="str">
        <x:v>L-A</x:v>
      </x:c>
      <x:c r="D10" s="34" t="n">
        <x:v>2</x:v>
      </x:c>
      <x:c r="E10" s="34" t="n">
        <x:v>18.125</x:v>
      </x:c>
      <x:c r="F10" s="34" t="n">
        <x:v>70.875</x:v>
      </x:c>
      <x:c r="G10" s="34" t="n">
        <x:v>17</x:v>
      </x:c>
      <x:c r="H10" s="34" t="n">
        <x:v>123</x:v>
      </x:c>
      <x:c r="I10" s="34" t="n">
        <x:v>-5.5</x:v>
      </x:c>
      <x:c r="J10" s="34" t="n">
        <x:v>6.5</x:v>
      </x:c>
      <x:c r="K10" s="34" t="str">
        <x:v>distribution</x:v>
      </x:c>
      <x:c r="L10" s="34" t="str">
        <x:v>port</x:v>
      </x:c>
      <x:c r="M10" s="34" t="str">
        <x:v>starboard</x:v>
      </x:c>
      <x:c r="N10" s="35" t="str">
        <x:v>OPEN</x:v>
      </x:c>
    </x:row>
    <x:row r="11">
      <x:c r="B11" s="34" t="str">
        <x:v>D04</x:v>
      </x:c>
      <x:c r="C11" s="34" t="str">
        <x:v>L-A</x:v>
      </x:c>
      <x:c r="D11" s="34" t="n">
        <x:v>2</x:v>
      </x:c>
      <x:c r="E11" s="34" t="n">
        <x:v>18.125</x:v>
      </x:c>
      <x:c r="F11" s="34" t="n">
        <x:v>70.875</x:v>
      </x:c>
      <x:c r="G11" s="34" t="n">
        <x:v>17</x:v>
      </x:c>
      <x:c r="H11" s="34" t="n">
        <x:v>123</x:v>
      </x:c>
      <x:c r="I11" s="34" t="n">
        <x:v>5.5</x:v>
      </x:c>
      <x:c r="J11" s="34" t="n">
        <x:v>6.5</x:v>
      </x:c>
      <x:c r="K11" s="34" t="str">
        <x:v>thermal</x:v>
      </x:c>
      <x:c r="L11" s="34" t="str">
        <x:v>starboard</x:v>
      </x:c>
      <x:c r="M11" s="34" t="str">
        <x:v>port</x:v>
      </x:c>
      <x:c r="N11" s="35" t="str">
        <x:v>OPEN</x:v>
      </x:c>
    </x:row>
    <x:row r="12">
      <x:c r="B12" s="34" t="str">
        <x:v>D05</x:v>
      </x:c>
      <x:c r="C12" s="34" t="str">
        <x:v>L-A</x:v>
      </x:c>
      <x:c r="D12" s="34" t="n">
        <x:v>3</x:v>
      </x:c>
      <x:c r="E12" s="34" t="n">
        <x:v>18.125</x:v>
      </x:c>
      <x:c r="F12" s="34" t="n">
        <x:v>70.875</x:v>
      </x:c>
      <x:c r="G12" s="34" t="n">
        <x:v>17</x:v>
      </x:c>
      <x:c r="H12" s="34" t="n">
        <x:v>135</x:v>
      </x:c>
      <x:c r="I12" s="34" t="n">
        <x:v>-5.5</x:v>
      </x:c>
      <x:c r="J12" s="34" t="n">
        <x:v>6.5</x:v>
      </x:c>
      <x:c r="K12" s="34" t="str">
        <x:v>water</x:v>
      </x:c>
      <x:c r="L12" s="34" t="str">
        <x:v>port</x:v>
      </x:c>
      <x:c r="M12" s="34" t="str">
        <x:v>starboard</x:v>
      </x:c>
      <x:c r="N12" s="35" t="str">
        <x:v>OPEN</x:v>
      </x:c>
    </x:row>
    <x:row r="13">
      <x:c r="B13" s="34" t="str">
        <x:v>D06</x:v>
      </x:c>
      <x:c r="C13" s="34" t="str">
        <x:v>L-A</x:v>
      </x:c>
      <x:c r="D13" s="34" t="n">
        <x:v>3</x:v>
      </x:c>
      <x:c r="E13" s="34" t="n">
        <x:v>18.125</x:v>
      </x:c>
      <x:c r="F13" s="34" t="n">
        <x:v>70.875</x:v>
      </x:c>
      <x:c r="G13" s="34" t="n">
        <x:v>17</x:v>
      </x:c>
      <x:c r="H13" s="34" t="n">
        <x:v>135</x:v>
      </x:c>
      <x:c r="I13" s="34" t="n">
        <x:v>5.5</x:v>
      </x:c>
      <x:c r="J13" s="34" t="n">
        <x:v>6.5</x:v>
      </x:c>
      <x:c r="K13" s="34" t="str">
        <x:v>medical</x:v>
      </x:c>
      <x:c r="L13" s="34" t="str">
        <x:v>starboard</x:v>
      </x:c>
      <x:c r="M13" s="34" t="str">
        <x:v>port</x:v>
      </x:c>
      <x:c r="N13" s="35" t="str">
        <x:v>OPEN</x:v>
      </x:c>
    </x:row>
    <x:row r="14">
      <x:c r="B14" s="34" t="str">
        <x:v>D07</x:v>
      </x:c>
      <x:c r="C14" s="34" t="str">
        <x:v>L-A</x:v>
      </x:c>
      <x:c r="D14" s="34" t="n">
        <x:v>4</x:v>
      </x:c>
      <x:c r="E14" s="34" t="n">
        <x:v>18.125</x:v>
      </x:c>
      <x:c r="F14" s="34" t="n">
        <x:v>70.875</x:v>
      </x:c>
      <x:c r="G14" s="34" t="n">
        <x:v>17</x:v>
      </x:c>
      <x:c r="H14" s="34" t="n">
        <x:v>147</x:v>
      </x:c>
      <x:c r="I14" s="34" t="n">
        <x:v>-5.5</x:v>
      </x:c>
      <x:c r="J14" s="34" t="n">
        <x:v>6.5</x:v>
      </x:c>
      <x:c r="K14" s="34" t="str">
        <x:v>communications</x:v>
      </x:c>
      <x:c r="L14" s="34" t="str">
        <x:v>port</x:v>
      </x:c>
      <x:c r="M14" s="34" t="str">
        <x:v>starboard</x:v>
      </x:c>
      <x:c r="N14" s="35" t="str">
        <x:v>OPEN</x:v>
      </x:c>
    </x:row>
    <x:row r="15">
      <x:c r="B15" s="34" t="str">
        <x:v>D08</x:v>
      </x:c>
      <x:c r="C15" s="34" t="str">
        <x:v>L-A</x:v>
      </x:c>
      <x:c r="D15" s="34" t="n">
        <x:v>4</x:v>
      </x:c>
      <x:c r="E15" s="34" t="n">
        <x:v>18.125</x:v>
      </x:c>
      <x:c r="F15" s="34" t="n">
        <x:v>70.875</x:v>
      </x:c>
      <x:c r="G15" s="34" t="n">
        <x:v>17</x:v>
      </x:c>
      <x:c r="H15" s="34" t="n">
        <x:v>147</x:v>
      </x:c>
      <x:c r="I15" s="34" t="n">
        <x:v>5.5</x:v>
      </x:c>
      <x:c r="J15" s="34" t="n">
        <x:v>6.5</x:v>
      </x:c>
      <x:c r="K15" s="34" t="str">
        <x:v>repair</x:v>
      </x:c>
      <x:c r="L15" s="34" t="str">
        <x:v>starboard</x:v>
      </x:c>
      <x:c r="M15" s="34" t="str">
        <x:v>port</x:v>
      </x:c>
      <x:c r="N15" s="35" t="str">
        <x:v>OPEN</x:v>
      </x:c>
    </x:row>
    <x:row r="16">
      <x:c r="B16" s="34" t="str">
        <x:v>D09</x:v>
      </x:c>
      <x:c r="C16" s="34" t="str">
        <x:v>L-B</x:v>
      </x:c>
      <x:c r="D16" s="34" t="n">
        <x:v>1</x:v>
      </x:c>
      <x:c r="E16" s="34" t="n">
        <x:v>18.125</x:v>
      </x:c>
      <x:c r="F16" s="34" t="n">
        <x:v>94.625</x:v>
      </x:c>
      <x:c r="G16" s="34" t="n">
        <x:v>20.75</x:v>
      </x:c>
      <x:c r="H16" s="34" t="n">
        <x:v>159</x:v>
      </x:c>
      <x:c r="I16" s="34" t="n">
        <x:v>-5.5</x:v>
      </x:c>
      <x:c r="J16" s="34" t="n">
        <x:v>6.5</x:v>
      </x:c>
      <x:c r="K16" s="34" t="str">
        <x:v>black start</x:v>
      </x:c>
      <x:c r="L16" s="34" t="str">
        <x:v>port</x:v>
      </x:c>
      <x:c r="M16" s="34" t="str">
        <x:v>starboard</x:v>
      </x:c>
      <x:c r="N16" s="35" t="str">
        <x:v>OPEN</x:v>
      </x:c>
    </x:row>
    <x:row r="17">
      <x:c r="B17" s="34" t="str">
        <x:v>D10</x:v>
      </x:c>
      <x:c r="C17" s="34" t="str">
        <x:v>L-B</x:v>
      </x:c>
      <x:c r="D17" s="34" t="n">
        <x:v>1</x:v>
      </x:c>
      <x:c r="E17" s="34" t="n">
        <x:v>18.125</x:v>
      </x:c>
      <x:c r="F17" s="34" t="n">
        <x:v>94.625</x:v>
      </x:c>
      <x:c r="G17" s="34" t="n">
        <x:v>20.75</x:v>
      </x:c>
      <x:c r="H17" s="34" t="n">
        <x:v>159</x:v>
      </x:c>
      <x:c r="I17" s="34" t="n">
        <x:v>5.5</x:v>
      </x:c>
      <x:c r="J17" s="34" t="n">
        <x:v>6.5</x:v>
      </x:c>
      <x:c r="K17" s="34" t="str">
        <x:v>grid forming</x:v>
      </x:c>
      <x:c r="L17" s="34" t="str">
        <x:v>starboard</x:v>
      </x:c>
      <x:c r="M17" s="34" t="str">
        <x:v>port</x:v>
      </x:c>
      <x:c r="N17" s="35" t="str">
        <x:v>OPEN</x:v>
      </x:c>
    </x:row>
    <x:row r="18">
      <x:c r="B18" s="34" t="str">
        <x:v>D11</x:v>
      </x:c>
      <x:c r="C18" s="34" t="str">
        <x:v>L-B</x:v>
      </x:c>
      <x:c r="D18" s="34" t="n">
        <x:v>2</x:v>
      </x:c>
      <x:c r="E18" s="34" t="n">
        <x:v>18.125</x:v>
      </x:c>
      <x:c r="F18" s="34" t="n">
        <x:v>94.625</x:v>
      </x:c>
      <x:c r="G18" s="34" t="n">
        <x:v>20.75</x:v>
      </x:c>
      <x:c r="H18" s="34" t="n">
        <x:v>171</x:v>
      </x:c>
      <x:c r="I18" s="34" t="n">
        <x:v>-5.5</x:v>
      </x:c>
      <x:c r="J18" s="34" t="n">
        <x:v>6.5</x:v>
      </x:c>
      <x:c r="K18" s="34" t="str">
        <x:v>distribution</x:v>
      </x:c>
      <x:c r="L18" s="34" t="str">
        <x:v>port</x:v>
      </x:c>
      <x:c r="M18" s="34" t="str">
        <x:v>starboard</x:v>
      </x:c>
      <x:c r="N18" s="35" t="str">
        <x:v>OPEN</x:v>
      </x:c>
    </x:row>
    <x:row r="19">
      <x:c r="B19" s="34" t="str">
        <x:v>D12</x:v>
      </x:c>
      <x:c r="C19" s="34" t="str">
        <x:v>L-B</x:v>
      </x:c>
      <x:c r="D19" s="34" t="n">
        <x:v>2</x:v>
      </x:c>
      <x:c r="E19" s="34" t="n">
        <x:v>18.125</x:v>
      </x:c>
      <x:c r="F19" s="34" t="n">
        <x:v>94.625</x:v>
      </x:c>
      <x:c r="G19" s="34" t="n">
        <x:v>20.75</x:v>
      </x:c>
      <x:c r="H19" s="34" t="n">
        <x:v>171</x:v>
      </x:c>
      <x:c r="I19" s="34" t="n">
        <x:v>5.5</x:v>
      </x:c>
      <x:c r="J19" s="34" t="n">
        <x:v>6.5</x:v>
      </x:c>
      <x:c r="K19" s="34" t="str">
        <x:v>thermal</x:v>
      </x:c>
      <x:c r="L19" s="34" t="str">
        <x:v>starboard</x:v>
      </x:c>
      <x:c r="M19" s="34" t="str">
        <x:v>port</x:v>
      </x:c>
      <x:c r="N19" s="35" t="str">
        <x:v>OPEN</x:v>
      </x:c>
    </x:row>
    <x:row r="20">
      <x:c r="B20" s="34" t="str">
        <x:v>D13</x:v>
      </x:c>
      <x:c r="C20" s="34" t="str">
        <x:v>L-B</x:v>
      </x:c>
      <x:c r="D20" s="34" t="n">
        <x:v>3</x:v>
      </x:c>
      <x:c r="E20" s="34" t="n">
        <x:v>18.125</x:v>
      </x:c>
      <x:c r="F20" s="34" t="n">
        <x:v>94.625</x:v>
      </x:c>
      <x:c r="G20" s="34" t="n">
        <x:v>20.75</x:v>
      </x:c>
      <x:c r="H20" s="34" t="n">
        <x:v>183</x:v>
      </x:c>
      <x:c r="I20" s="34" t="n">
        <x:v>-5.5</x:v>
      </x:c>
      <x:c r="J20" s="34" t="n">
        <x:v>6.5</x:v>
      </x:c>
      <x:c r="K20" s="34" t="str">
        <x:v>water</x:v>
      </x:c>
      <x:c r="L20" s="34" t="str">
        <x:v>port</x:v>
      </x:c>
      <x:c r="M20" s="34" t="str">
        <x:v>starboard</x:v>
      </x:c>
      <x:c r="N20" s="35" t="str">
        <x:v>OPEN</x:v>
      </x:c>
    </x:row>
    <x:row r="21">
      <x:c r="B21" s="34" t="str">
        <x:v>D14</x:v>
      </x:c>
      <x:c r="C21" s="34" t="str">
        <x:v>L-B</x:v>
      </x:c>
      <x:c r="D21" s="34" t="n">
        <x:v>3</x:v>
      </x:c>
      <x:c r="E21" s="34" t="n">
        <x:v>18.125</x:v>
      </x:c>
      <x:c r="F21" s="34" t="n">
        <x:v>94.625</x:v>
      </x:c>
      <x:c r="G21" s="34" t="n">
        <x:v>20.75</x:v>
      </x:c>
      <x:c r="H21" s="34" t="n">
        <x:v>183</x:v>
      </x:c>
      <x:c r="I21" s="34" t="n">
        <x:v>5.5</x:v>
      </x:c>
      <x:c r="J21" s="34" t="n">
        <x:v>6.5</x:v>
      </x:c>
      <x:c r="K21" s="34" t="str">
        <x:v>medical</x:v>
      </x:c>
      <x:c r="L21" s="34" t="str">
        <x:v>starboard</x:v>
      </x:c>
      <x:c r="M21" s="34" t="str">
        <x:v>port</x:v>
      </x:c>
      <x:c r="N21" s="35" t="str">
        <x:v>OPEN</x:v>
      </x:c>
    </x:row>
    <x:row r="22">
      <x:c r="B22" s="34" t="str">
        <x:v>D15</x:v>
      </x:c>
      <x:c r="C22" s="34" t="str">
        <x:v>L-B</x:v>
      </x:c>
      <x:c r="D22" s="34" t="n">
        <x:v>4</x:v>
      </x:c>
      <x:c r="E22" s="34" t="n">
        <x:v>18.125</x:v>
      </x:c>
      <x:c r="F22" s="34" t="n">
        <x:v>94.625</x:v>
      </x:c>
      <x:c r="G22" s="34" t="n">
        <x:v>20.75</x:v>
      </x:c>
      <x:c r="H22" s="34" t="n">
        <x:v>195</x:v>
      </x:c>
      <x:c r="I22" s="34" t="n">
        <x:v>-5.5</x:v>
      </x:c>
      <x:c r="J22" s="34" t="n">
        <x:v>6.5</x:v>
      </x:c>
      <x:c r="K22" s="34" t="str">
        <x:v>communications</x:v>
      </x:c>
      <x:c r="L22" s="34" t="str">
        <x:v>port</x:v>
      </x:c>
      <x:c r="M22" s="34" t="str">
        <x:v>starboard</x:v>
      </x:c>
      <x:c r="N22" s="35" t="str">
        <x:v>OPEN</x:v>
      </x:c>
    </x:row>
    <x:row r="23">
      <x:c r="B23" s="34" t="str">
        <x:v>D16</x:v>
      </x:c>
      <x:c r="C23" s="34" t="str">
        <x:v>L-B</x:v>
      </x:c>
      <x:c r="D23" s="34" t="n">
        <x:v>4</x:v>
      </x:c>
      <x:c r="E23" s="34" t="n">
        <x:v>18.125</x:v>
      </x:c>
      <x:c r="F23" s="34" t="n">
        <x:v>94.625</x:v>
      </x:c>
      <x:c r="G23" s="34" t="n">
        <x:v>20.75</x:v>
      </x:c>
      <x:c r="H23" s="34" t="n">
        <x:v>195</x:v>
      </x:c>
      <x:c r="I23" s="34" t="n">
        <x:v>5.5</x:v>
      </x:c>
      <x:c r="J23" s="34" t="n">
        <x:v>6.5</x:v>
      </x:c>
      <x:c r="K23" s="34" t="str">
        <x:v>repair</x:v>
      </x:c>
      <x:c r="L23" s="34" t="str">
        <x:v>starboard</x:v>
      </x:c>
      <x:c r="M23" s="34" t="str">
        <x:v>port</x:v>
      </x:c>
      <x:c r="N23" s="35" t="str">
        <x:v>OPEN</x:v>
      </x:c>
    </x:row>
    <x:row r="24">
      <x:c r="B24" s="34" t="str">
        <x:v>W01</x:v>
      </x:c>
      <x:c r="C24" s="34" t="str">
        <x:v>wet A</x:v>
      </x:c>
      <x:c r="D24" s="34" t="n">
        <x:v>2</x:v>
      </x:c>
      <x:c r="E24" s="34" t="n">
        <x:v>13.75</x:v>
      </x:c>
      <x:c r="F24" s="34" t="n">
        <x:v>15</x:v>
      </x:c>
      <x:c r="G24" s="34" t="n">
        <x:v>5</x:v>
      </x:c>
      <x:c r="H24" s="34" t="n">
        <x:v>131</x:v>
      </x:c>
      <x:c r="I24" s="34" t="n">
        <x:v>-4.5</x:v>
      </x:c>
      <x:c r="J24" s="34" t="n">
        <x:v>4.5</x:v>
      </x:c>
      <x:c r="K24" s="34" t="str">
        <x:v>segregated process liquid</x:v>
      </x:c>
      <x:c r="L24" s="34" t="str">
        <x:v>port</x:v>
      </x:c>
      <x:c r="M24" s="34" t="str">
        <x:v>starboard</x:v>
      </x:c>
      <x:c r="N24" s="35" t="str">
        <x:v>OPEN</x:v>
      </x:c>
    </x:row>
    <x:row r="25">
      <x:c r="B25" s="36" t="str">
        <x:v>W02</x:v>
      </x:c>
      <x:c r="C25" s="36" t="str">
        <x:v>wet B</x:v>
      </x:c>
      <x:c r="D25" s="36" t="n">
        <x:v>2</x:v>
      </x:c>
      <x:c r="E25" s="36" t="n">
        <x:v>13.75</x:v>
      </x:c>
      <x:c r="F25" s="36" t="n">
        <x:v>15</x:v>
      </x:c>
      <x:c r="G25" s="36" t="n">
        <x:v>5</x:v>
      </x:c>
      <x:c r="H25" s="36" t="n">
        <x:v>169</x:v>
      </x:c>
      <x:c r="I25" s="36" t="n">
        <x:v>4.5</x:v>
      </x:c>
      <x:c r="J25" s="36" t="n">
        <x:v>4.5</x:v>
      </x:c>
      <x:c r="K25" s="36" t="str">
        <x:v>segregated process liquid</x:v>
      </x:c>
      <x:c r="L25" s="36" t="str">
        <x:v>starboard</x:v>
      </x:c>
      <x:c r="M25" s="36" t="str">
        <x:v>port</x:v>
      </x:c>
      <x:c r="N25" s="37" t="str">
        <x:v>OPEN</x:v>
      </x:c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8" t="str">
        <x:v>Mass, cube, deck and balance closure</x:v>
      </x:c>
      <x:c r="C28" s="9" t="str">
        <x:v>Mass, cube, deck and balance closure</x:v>
      </x:c>
      <x:c r="D28" s="9" t="str">
        <x:v>Mass, cube, deck and balance closure</x:v>
      </x:c>
      <x:c r="E28" s="9" t="str">
        <x:v>Mass, cube, deck and balance closure</x:v>
      </x:c>
      <x:c r="F28" s="9" t="str">
        <x:v>Mass, cube, deck and balance closure</x:v>
      </x:c>
      <x:c r="G28" s="9" t="str">
        <x:v>Mass, cube, deck and balance closure</x:v>
      </x:c>
      <x:c r="H28" s="9" t="str">
        <x:v>Mass, cube, deck and balance closure</x:v>
      </x:c>
      <x:c r="I28" s="8" t="str">
        <x:v>Transfer system</x:v>
      </x:c>
      <x:c r="J28" s="9" t="str">
        <x:v>Transfer system</x:v>
      </x:c>
      <x:c r="K28" s="9" t="str">
        <x:v>Transfer system</x:v>
      </x:c>
      <x:c r="L28" s="9" t="str">
        <x:v>Transfer system</x:v>
      </x:c>
      <x:c r="M28" s="9" t="str">
        <x:v>Transfer system</x:v>
      </x:c>
      <x:c r="N28" s="10" t="str">
        <x:v>Transfer system</x:v>
      </x:c>
    </x:row>
    <x:row r="29">
      <x:c r="B29" s="26" t="str">
        <x:v>Calculation</x:v>
      </x:c>
      <x:c r="C29" s="27" t="str">
        <x:v>Value</x:v>
      </x:c>
      <x:c r="D29" s="27" t="str">
        <x:v>Unit</x:v>
      </x:c>
      <x:c r="E29" s="27" t="str">
        <x:v>Threshold</x:v>
      </x:c>
      <x:c r="F29" s="27" t="str">
        <x:v>Result</x:v>
      </x:c>
      <x:c r="G29" s="2"/>
      <x:c r="H29" s="2"/>
      <x:c r="I29" s="26" t="str">
        <x:v>Control</x:v>
      </x:c>
      <x:c r="J29" s="27" t="str">
        <x:v>Value</x:v>
      </x:c>
      <x:c r="K29" s="27" t="str">
        <x:v>Unit</x:v>
      </x:c>
      <x:c r="L29" s="27" t="str">
        <x:v>Threshold</x:v>
      </x:c>
      <x:c r="M29" s="27" t="str">
        <x:v>Result</x:v>
      </x:c>
      <x:c r="N29" s="27" t="str">
        <x:v>Meaning</x:v>
      </x:c>
    </x:row>
    <x:row r="30">
      <x:c r="B30" s="34" t="str">
        <x:v>Assigned mass</x:v>
      </x:c>
      <x:c r="C30" s="34" t="n">
        <x:f>SUM(E8:E25)</x:f>
        <x:v>317.5</x:v>
      </x:c>
      <x:c r="D30" s="34" t="str">
        <x:v>t</x:v>
      </x:c>
      <x:c r="E30" s="34" t="n">
        <x:f>Assumptions!C9</x:f>
        <x:v>317.5</x:v>
      </x:c>
      <x:c r="F30" s="35" t="str">
        <x:f>IF(ABS(C30-Assumptions!C9)&lt;0.001,"PASS","FAIL")</x:f>
        <x:v>PASS</x:v>
      </x:c>
      <x:c r="G30" s="2"/>
      <x:c r="H30" s="2"/>
      <x:c r="I30" s="34" t="str">
        <x:v>Unload rate</x:v>
      </x:c>
      <x:c r="J30" s="34" t="n">
        <x:f>Assumptions!C9/Assumptions!C42</x:f>
        <x:v>254</x:v>
      </x:c>
      <x:c r="K30" s="34" t="str">
        <x:v>t/h</x:v>
      </x:c>
      <x:c r="L30" s="34" t="str">
        <x:v>&gt;= 254</x:v>
      </x:c>
      <x:c r="M30" s="34" t="str">
        <x:f>IF(J30&gt;=254,"PASS","FAIL")</x:f>
        <x:v>PASS</x:v>
      </x:c>
      <x:c r="N30" s="35" t="str">
        <x:v>both vehicles unload in parallel</x:v>
      </x:c>
    </x:row>
    <x:row r="31">
      <x:c r="B31" s="34" t="str">
        <x:v>Assigned cube</x:v>
      </x:c>
      <x:c r="C31" s="34" t="n">
        <x:f>SUM(F8:F25)</x:f>
        <x:v>1354</x:v>
      </x:c>
      <x:c r="D31" s="34" t="str">
        <x:v>m3</x:v>
      </x:c>
      <x:c r="E31" s="34" t="str">
        <x:v>&lt;=Assumptions!C10</x:v>
      </x:c>
      <x:c r="F31" s="35" t="str">
        <x:f>IF(C31&lt;=Assumptions!C10,"PASS","FAIL")</x:f>
        <x:v>PASS</x:v>
      </x:c>
      <x:c r="G31" s="2"/>
      <x:c r="H31" s="2"/>
      <x:c r="I31" s="34" t="str">
        <x:v>Robotic transfer lanes</x:v>
      </x:c>
      <x:c r="J31" s="34" t="n">
        <x:v>8</x:v>
      </x:c>
      <x:c r="K31" s="34" t="str">
        <x:v>lanes</x:v>
      </x:c>
      <x:c r="L31" s="34" t="str">
        <x:v>&gt;= 8</x:v>
      </x:c>
      <x:c r="M31" s="34" t="str">
        <x:f>IF(J31&gt;=8,"PASS","FAIL")</x:f>
        <x:v>PASS</x:v>
      </x:c>
      <x:c r="N31" s="35" t="str">
        <x:v>four per side</x:v>
      </x:c>
    </x:row>
    <x:row r="32">
      <x:c r="B32" s="34" t="str">
        <x:v>Assigned deck</x:v>
      </x:c>
      <x:c r="C32" s="34" t="n">
        <x:f>SUM(G8:G25)</x:f>
        <x:v>312</x:v>
      </x:c>
      <x:c r="D32" s="34" t="str">
        <x:v>m2</x:v>
      </x:c>
      <x:c r="E32" s="34" t="str">
        <x:v>&lt;=Assumptions!C11</x:v>
      </x:c>
      <x:c r="F32" s="35" t="str">
        <x:f>IF(C32&lt;=Assumptions!C11,"PASS","FAIL")</x:f>
        <x:v>PASS</x:v>
      </x:c>
      <x:c r="G32" s="2"/>
      <x:c r="H32" s="2"/>
      <x:c r="I32" s="34" t="str">
        <x:v>Lane rate</x:v>
      </x:c>
      <x:c r="J32" s="34" t="n">
        <x:f>J30/J31</x:f>
        <x:v>31.75</x:v>
      </x:c>
      <x:c r="K32" s="34" t="str">
        <x:v>t/h/lane</x:v>
      </x:c>
      <x:c r="L32" s="34" t="str">
        <x:v>&gt;= 31.75</x:v>
      </x:c>
      <x:c r="M32" s="34" t="str">
        <x:f>IF(J32&gt;=31.75,"PASS","FAIL")</x:f>
        <x:v>PASS</x:v>
      </x:c>
      <x:c r="N32" s="35" t="str">
        <x:v>rated aggregate capacity</x:v>
      </x:c>
    </x:row>
    <x:row r="33">
      <x:c r="B33" s="34" t="str">
        <x:v>Longitudinal CG</x:v>
      </x:c>
      <x:c r="C33" s="34" t="n">
        <x:f>SUMPRODUCT(E8:E25,H8:H25)/C30</x:f>
        <x:v>152.74015748031496</x:v>
      </x:c>
      <x:c r="D33" s="34" t="str">
        <x:v>m</x:v>
      </x:c>
      <x:c r="E33" s="34" t="str">
        <x:v>135 to 165</x:v>
      </x:c>
      <x:c r="F33" s="35" t="str">
        <x:f>IF(AND(C33&gt;=135,C33&lt;=165),"PASS","FAIL")</x:f>
        <x:v>PASS</x:v>
      </x:c>
      <x:c r="G33" s="2"/>
      <x:c r="H33" s="2"/>
      <x:c r="I33" s="34" t="str">
        <x:v>One side blocked</x:v>
      </x:c>
      <x:c r="J33" s="34" t="n">
        <x:v>1</x:v>
      </x:c>
      <x:c r="K33" s="34" t="str">
        <x:v>binary</x:v>
      </x:c>
      <x:c r="L33" s="34" t="str">
        <x:v>all positions retain alternate exit</x:v>
      </x:c>
      <x:c r="M33" s="34" t="str">
        <x:f>IF(J33=1,"PASS","FAIL")</x:f>
        <x:v>PASS</x:v>
      </x:c>
      <x:c r="N33" s="35" t="str">
        <x:v>slower recovery, no inaccessible module</x:v>
      </x:c>
    </x:row>
    <x:row r="34">
      <x:c r="B34" s="34" t="str">
        <x:v>Lateral CG</x:v>
      </x:c>
      <x:c r="C34" s="34" t="n">
        <x:f>SUMPRODUCT(E8:E25,I8:I25)/C30</x:f>
        <x:v>0</x:v>
      </x:c>
      <x:c r="D34" s="34" t="str">
        <x:v>m</x:v>
      </x:c>
      <x:c r="E34" s="34" t="str">
        <x:v>absolute &lt;= 0.35</x:v>
      </x:c>
      <x:c r="F34" s="35" t="str">
        <x:f>IF(ABS(C34)&lt;=0.35,"PASS","FAIL")</x:f>
        <x:v>PASS</x:v>
      </x:c>
      <x:c r="G34" s="2"/>
      <x:c r="H34" s="2"/>
      <x:c r="I34" s="34" t="str">
        <x:v>Split cargo fire zones</x:v>
      </x:c>
      <x:c r="J34" s="34" t="n">
        <x:v>2</x:v>
      </x:c>
      <x:c r="K34" s="34" t="str">
        <x:v>zones</x:v>
      </x:c>
      <x:c r="L34" s="34" t="str">
        <x:v>&gt;= 2</x:v>
      </x:c>
      <x:c r="M34" s="34" t="str">
        <x:f>IF(J34&gt;=2,"PASS","FAIL")</x:f>
        <x:v>PASS</x:v>
      </x:c>
      <x:c r="N34" s="35" t="str">
        <x:v>no block crosses the center bulkhead</x:v>
      </x:c>
    </x:row>
    <x:row r="35">
      <x:c r="B35" s="34" t="str">
        <x:v>Vertical CG</x:v>
      </x:c>
      <x:c r="C35" s="34" t="n">
        <x:f>SUMPRODUCT(E8:E25,J8:J25)/C30</x:f>
        <x:v>6.326771653543307</x:v>
      </x:c>
      <x:c r="D35" s="34" t="str">
        <x:v>m</x:v>
      </x:c>
      <x:c r="E35" s="34" t="str">
        <x:v>&lt;= 7</x:v>
      </x:c>
      <x:c r="F35" s="35" t="str">
        <x:f>IF(C35&lt;=7,"PASS","FAIL")</x:f>
        <x:v>PASS</x:v>
      </x:c>
      <x:c r="G35" s="2"/>
      <x:c r="H35" s="2"/>
      <x:c r="I35" s="36" t="str">
        <x:v>Signed mass state</x:v>
      </x:c>
      <x:c r="J35" s="36" t="n">
        <x:v>1</x:v>
      </x:c>
      <x:c r="K35" s="36" t="str">
        <x:v>continuous</x:v>
      </x:c>
      <x:c r="L35" s="36" t="str">
        <x:v>required</x:v>
      </x:c>
      <x:c r="M35" s="36" t="str">
        <x:f>IF(J35=1,"PASS","FAIL")</x:f>
        <x:v>PASS</x:v>
      </x:c>
      <x:c r="N35" s="37" t="str">
        <x:v>payload actuation interlocked to support force</x:v>
      </x:c>
    </x:row>
    <x:row r="36">
      <x:c r="B36" s="34" t="str">
        <x:v>Gross deck reserve</x:v>
      </x:c>
      <x:c r="C36" s="34" t="n">
        <x:f>Assumptions!C75-C32</x:f>
        <x:v>88</x:v>
      </x:c>
      <x:c r="D36" s="34" t="str">
        <x:v>m2</x:v>
      </x:c>
      <x:c r="E36" s="34" t="str">
        <x:v>positive</x:v>
      </x:c>
      <x:c r="F36" s="35" t="str">
        <x:f>IF(C36&gt;0,"PASS","FAIL")</x:f>
        <x:v>PASS</x:v>
      </x:c>
      <x:c r="G36" s="2"/>
      <x:c r="H36" s="2"/>
      <x:c r="I36" s="2"/>
      <x:c r="J36" s="2"/>
      <x:c r="K36" s="2"/>
      <x:c r="L36" s="2"/>
      <x:c r="M36" s="2"/>
      <x:c r="N36" s="2"/>
    </x:row>
    <x:row r="37">
      <x:c r="B37" s="34" t="str">
        <x:v>Gross cube reserve</x:v>
      </x:c>
      <x:c r="C37" s="34" t="n">
        <x:f>Assumptions!C76-C31</x:f>
        <x:v>546</x:v>
      </x:c>
      <x:c r="D37" s="34" t="str">
        <x:v>m3</x:v>
      </x:c>
      <x:c r="E37" s="34" t="str">
        <x:v>positive</x:v>
      </x:c>
      <x:c r="F37" s="35" t="str">
        <x:f>IF(C37&gt;0,"PASS","FAIL")</x:f>
        <x:v>PASS</x:v>
      </x:c>
      <x:c r="G37" s="2"/>
      <x:c r="H37" s="2"/>
      <x:c r="I37" s="2"/>
      <x:c r="J37" s="2"/>
      <x:c r="K37" s="2"/>
      <x:c r="L37" s="2"/>
      <x:c r="M37" s="2"/>
      <x:c r="N37" s="2"/>
    </x:row>
    <x:row r="38">
      <x:c r="B38" s="34" t="str">
        <x:v>Dry positions</x:v>
      </x:c>
      <x:c r="C38" s="34" t="n">
        <x:f>COUNTA(B8:B23)</x:f>
        <x:v>16</x:v>
      </x:c>
      <x:c r="D38" s="34" t="str">
        <x:v>positions</x:v>
      </x:c>
      <x:c r="E38" s="34" t="n">
        <x:f>Assumptions!C73</x:f>
        <x:v>16</x:v>
      </x:c>
      <x:c r="F38" s="35" t="str">
        <x:f>IF(C38=Assumptions!C73,"PASS","FAIL")</x:f>
        <x:v>PASS</x:v>
      </x:c>
      <x:c r="G38" s="2"/>
      <x:c r="H38" s="2"/>
      <x:c r="I38" s="2"/>
      <x:c r="J38" s="2"/>
      <x:c r="K38" s="2"/>
      <x:c r="L38" s="2"/>
      <x:c r="M38" s="2"/>
      <x:c r="N38" s="2"/>
    </x:row>
    <x:row r="39">
      <x:c r="B39" s="36" t="str">
        <x:v>Wet positions</x:v>
      </x:c>
      <x:c r="C39" s="36" t="n">
        <x:f>COUNTA(B24:B25)</x:f>
        <x:v>2</x:v>
      </x:c>
      <x:c r="D39" s="36" t="str">
        <x:v>positions</x:v>
      </x:c>
      <x:c r="E39" s="36" t="n">
        <x:f>Assumptions!C74</x:f>
        <x:v>2</x:v>
      </x:c>
      <x:c r="F39" s="37" t="str">
        <x:f>IF(C39=Assumptions!C74,"PASS","FAIL")</x:f>
        <x:v>PASS</x:v>
      </x:c>
      <x:c r="G39" s="2"/>
      <x:c r="H39" s="2"/>
      <x:c r="I39" s="2"/>
      <x:c r="J39" s="2"/>
      <x:c r="K39" s="2"/>
      <x:c r="L39" s="2"/>
      <x:c r="M39" s="2"/>
      <x:c r="N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</x:sheetData>
  <x:mergeCells>
    <x:mergeCell ref="B6:N6"/>
    <x:mergeCell ref="B28:N28"/>
    <x:mergeCell ref="I28:N28"/>
  </x:mergeCells>
  <x:conditionalFormatting sqref="F30:F39">
    <x:cfRule type="containsText" dxfId="39" priority="1" operator="containsText" text="FAIL"/>
    <x:cfRule type="containsText" dxfId="40" priority="2" operator="containsText" text="PASS"/>
    <x:cfRule type="containsText" dxfId="41" priority="3" operator="containsText" text="BLOCKED"/>
  </x:conditionalFormatting>
  <x:conditionalFormatting sqref="M30:M35">
    <x:cfRule type="containsText" dxfId="42" priority="4" operator="containsText" text="FAIL"/>
    <x:cfRule type="containsText" dxfId="43" priority="5" operator="containsText" text="PASS"/>
    <x:cfRule type="containsText" dxfId="44" priority="6" operator="containsText" text="BLOCK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4" hidden="0" customWidth="1"/>
    <x:col min="4" max="4" width="22" hidden="0" customWidth="1"/>
    <x:col min="5" max="5" width="22" hidden="0" customWidth="1"/>
    <x:col min="6" max="6" width="24" hidden="0" customWidth="1"/>
    <x:col min="7" max="7" width="28" hidden="0" customWidth="1"/>
    <x:col min="8" max="8" width="14" hidden="0" customWidth="1"/>
    <x:col min="9" max="9" width="3" hidden="0" customWidth="1"/>
    <x:col min="10" max="10" width="12" hidden="0" customWidth="1"/>
    <x:col min="11" max="11" width="38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  <x:col min="16" max="16" width="14" hidden="0" customWidth="1"/>
    <x:col min="17" max="17" width="42" hidden="0" customWidth="1"/>
    <x:col min="18" max="18" width="14" hidden="0" customWidth="1"/>
  </x:cols>
  <x:sheetData>
    <x:row r="2">
      <x:c r="B2" s="3" t="str">
        <x:v>Crew survival, vehicle casualty and formation substitution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B3" s="4" t="str">
        <x:v>Vehicle fault containment and two-mode public-service assurance are separate layers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2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>
      <x:c r="B6" s="8" t="str">
        <x:v>Crew architecture</x:v>
      </x:c>
      <x:c r="C6" s="9" t="str">
        <x:v>Crew architecture</x:v>
      </x:c>
      <x:c r="D6" s="9" t="str">
        <x:v>Crew architecture</x:v>
      </x:c>
      <x:c r="E6" s="9" t="str">
        <x:v>Crew architecture</x:v>
      </x:c>
      <x:c r="F6" s="9" t="str">
        <x:v>Crew architecture</x:v>
      </x:c>
      <x:c r="G6" s="9" t="str">
        <x:v>Crew architecture</x:v>
      </x:c>
      <x:c r="H6" s="10" t="str">
        <x:v>Crew architecture</x:v>
      </x:c>
      <x:c r="I6" s="2"/>
      <x:c r="J6" s="8" t="str">
        <x:v>Casualty worlds</x:v>
      </x:c>
      <x:c r="K6" s="9" t="str">
        <x:v>Casualty worlds</x:v>
      </x:c>
      <x:c r="L6" s="9" t="str">
        <x:v>Casualty worlds</x:v>
      </x:c>
      <x:c r="M6" s="9" t="str">
        <x:v>Casualty worlds</x:v>
      </x:c>
      <x:c r="N6" s="9" t="str">
        <x:v>Casualty worlds</x:v>
      </x:c>
      <x:c r="O6" s="9" t="str">
        <x:v>Casualty worlds</x:v>
      </x:c>
      <x:c r="P6" s="9" t="str">
        <x:v>Casualty worlds</x:v>
      </x:c>
      <x:c r="Q6" s="10" t="str">
        <x:v>Casualty worlds</x:v>
      </x:c>
      <x:c r="R6" s="2"/>
    </x:row>
    <x:row r="7">
      <x:c r="B7" s="26" t="str">
        <x:v>Role</x:v>
      </x:c>
      <x:c r="C7" s="27" t="str">
        <x:v>Crew</x:v>
      </x:c>
      <x:c r="D7" s="27" t="str">
        <x:v>Primary refuge</x:v>
      </x:c>
      <x:c r="E7" s="27" t="str">
        <x:v>Alternate control</x:v>
      </x:c>
      <x:c r="F7" s="27" t="str">
        <x:v>Mission phase</x:v>
      </x:c>
      <x:c r="G7" s="27" t="str">
        <x:v>One-refuge loss</x:v>
      </x:c>
      <x:c r="H7" s="27" t="str">
        <x:v>Evidence</x:v>
      </x:c>
      <x:c r="I7" s="2"/>
      <x:c r="J7" s="26" t="str">
        <x:v>World</x:v>
      </x:c>
      <x:c r="K7" s="27" t="str">
        <x:v>Failure insertion</x:v>
      </x:c>
      <x:c r="L7" s="27" t="str">
        <x:v>Vehicle safe</x:v>
      </x:c>
      <x:c r="M7" s="27" t="str">
        <x:v>Air cell effect</x:v>
      </x:c>
      <x:c r="N7" s="27" t="str">
        <x:v>Terrain effect</x:v>
      </x:c>
      <x:c r="O7" s="27" t="str">
        <x:v>DCP-2 effect</x:v>
      </x:c>
      <x:c r="P7" s="27" t="str">
        <x:v>Evidence</x:v>
      </x:c>
      <x:c r="Q7" s="45" t="str">
        <x:v>Interpretation</x:v>
      </x:c>
      <x:c r="R7" s="26" t="str">
        <x:v>Behavior</x:v>
      </x:c>
    </x:row>
    <x:row r="8">
      <x:c r="B8" s="34" t="str">
        <x:v>flight and navigation</x:v>
      </x:c>
      <x:c r="C8" s="34" t="n">
        <x:v>4</x:v>
      </x:c>
      <x:c r="D8" s="34" t="str">
        <x:v>forward</x:v>
      </x:c>
      <x:c r="E8" s="34" t="str">
        <x:v>aft remote flight</x:v>
      </x:c>
      <x:c r="F8" s="34" t="str">
        <x:v>all</x:v>
      </x:c>
      <x:c r="G8" s="34" t="str">
        <x:v>safe hold and withdrawal</x:v>
      </x:c>
      <x:c r="H8" s="35" t="str">
        <x:v>OPEN</x:v>
      </x:c>
      <x:c r="I8" s="2"/>
      <x:c r="J8" s="34" t="str">
        <x:v>W01</x:v>
      </x:c>
      <x:c r="K8" s="34" t="str">
        <x:v>nominal</x:v>
      </x:c>
      <x:c r="L8" s="34" t="n">
        <x:v>1</x:v>
      </x:c>
      <x:c r="M8" s="34" t="n">
        <x:v>1</x:v>
      </x:c>
      <x:c r="N8" s="34" t="n">
        <x:v>1</x:v>
      </x:c>
      <x:c r="O8" s="34" t="n">
        <x:v>1</x:v>
      </x:c>
      <x:c r="P8" s="34" t="str">
        <x:v>OPEN</x:v>
      </x:c>
      <x:c r="Q8" s="34" t="str">
        <x:v>behavior hypothesis; zero evidence credit</x:v>
      </x:c>
      <x:c r="R8" s="35" t="str">
        <x:v>PASS</x:v>
      </x:c>
    </x:row>
    <x:row r="9">
      <x:c r="B9" s="34" t="str">
        <x:v>energy and lift state</x:v>
      </x:c>
      <x:c r="C9" s="34" t="n">
        <x:v>4</x:v>
      </x:c>
      <x:c r="D9" s="34" t="str">
        <x:v>aft</x:v>
      </x:c>
      <x:c r="E9" s="34" t="str">
        <x:v>forward engineering</x:v>
      </x:c>
      <x:c r="F9" s="34" t="str">
        <x:v>all</x:v>
      </x:c>
      <x:c r="G9" s="34" t="str">
        <x:v>remaining operators isolate one bay</x:v>
      </x:c>
      <x:c r="H9" s="35" t="str">
        <x:v>OPEN</x:v>
      </x:c>
      <x:c r="I9" s="2"/>
      <x:c r="J9" s="34" t="str">
        <x:v>W02</x:v>
      </x:c>
      <x:c r="K9" s="34" t="str">
        <x:v>one lift cell isolated</x:v>
      </x:c>
      <x:c r="L9" s="34" t="n">
        <x:v>1</x:v>
      </x:c>
      <x:c r="M9" s="34" t="n">
        <x:v>1</x:v>
      </x:c>
      <x:c r="N9" s="34" t="n">
        <x:v>1</x:v>
      </x:c>
      <x:c r="O9" s="34" t="n">
        <x:v>1</x:v>
      </x:c>
      <x:c r="P9" s="34" t="str">
        <x:v>OPEN</x:v>
      </x:c>
      <x:c r="Q9" s="34" t="str">
        <x:v>behavior hypothesis; zero evidence credit</x:v>
      </x:c>
      <x:c r="R9" s="35" t="str">
        <x:v>PASS</x:v>
      </x:c>
    </x:row>
    <x:row r="10">
      <x:c r="B10" s="34" t="str">
        <x:v>landing and mooring</x:v>
      </x:c>
      <x:c r="C10" s="34" t="n">
        <x:v>4</x:v>
      </x:c>
      <x:c r="D10" s="34" t="str">
        <x:v>forward</x:v>
      </x:c>
      <x:c r="E10" s="34" t="str">
        <x:v>receiver remote station</x:v>
      </x:c>
      <x:c r="F10" s="34" t="str">
        <x:v>arrival and transfer</x:v>
      </x:c>
      <x:c r="G10" s="34" t="str">
        <x:v>safe contact state</x:v>
      </x:c>
      <x:c r="H10" s="35" t="str">
        <x:v>OPEN</x:v>
      </x:c>
      <x:c r="I10" s="2"/>
      <x:c r="J10" s="34" t="str">
        <x:v>W03</x:v>
      </x:c>
      <x:c r="K10" s="34" t="str">
        <x:v>two lift cells isolated</x:v>
      </x:c>
      <x:c r="L10" s="34" t="n">
        <x:v>1</x:v>
      </x:c>
      <x:c r="M10" s="34" t="n">
        <x:v>1</x:v>
      </x:c>
      <x:c r="N10" s="34" t="n">
        <x:v>1</x:v>
      </x:c>
      <x:c r="O10" s="34" t="n">
        <x:v>1</x:v>
      </x:c>
      <x:c r="P10" s="34" t="str">
        <x:v>OPEN</x:v>
      </x:c>
      <x:c r="Q10" s="34" t="str">
        <x:v>behavior hypothesis; zero evidence credit</x:v>
      </x:c>
      <x:c r="R10" s="35" t="str">
        <x:v>PASS</x:v>
      </x:c>
    </x:row>
    <x:row r="11">
      <x:c r="B11" s="36" t="str">
        <x:v>cargo and public interface</x:v>
      </x:c>
      <x:c r="C11" s="36" t="n">
        <x:v>4</x:v>
      </x:c>
      <x:c r="D11" s="36" t="str">
        <x:v>aft</x:v>
      </x:c>
      <x:c r="E11" s="36" t="str">
        <x:v>receiver transfer team</x:v>
      </x:c>
      <x:c r="F11" s="36" t="str">
        <x:v>transfer</x:v>
      </x:c>
      <x:c r="G11" s="36" t="str">
        <x:v>complete signed unload or stop</x:v>
      </x:c>
      <x:c r="H11" s="37" t="str">
        <x:v>OPEN</x:v>
      </x:c>
      <x:c r="I11" s="2"/>
      <x:c r="J11" s="34" t="str">
        <x:v>W04</x:v>
      </x:c>
      <x:c r="K11" s="34" t="str">
        <x:v>one propulsion pod lost</x:v>
      </x:c>
      <x:c r="L11" s="34" t="n">
        <x:v>1</x:v>
      </x:c>
      <x:c r="M11" s="34" t="n">
        <x:v>1</x:v>
      </x:c>
      <x:c r="N11" s="34" t="n">
        <x:v>1</x:v>
      </x:c>
      <x:c r="O11" s="34" t="n">
        <x:v>1</x:v>
      </x:c>
      <x:c r="P11" s="34" t="str">
        <x:v>OPEN</x:v>
      </x:c>
      <x:c r="Q11" s="34" t="str">
        <x:v>behavior hypothesis; zero evidence credit</x:v>
      </x:c>
      <x:c r="R11" s="35" t="str">
        <x:v>PASS</x:v>
      </x:c>
    </x:row>
    <x:row r="12">
      <x:c r="B12" s="2"/>
      <x:c r="C12" s="2"/>
      <x:c r="D12" s="2"/>
      <x:c r="E12" s="2"/>
      <x:c r="F12" s="2"/>
      <x:c r="G12" s="2"/>
      <x:c r="H12" s="2"/>
      <x:c r="I12" s="2"/>
      <x:c r="J12" s="34" t="str">
        <x:v>W05</x:v>
      </x:c>
      <x:c r="K12" s="34" t="str">
        <x:v>two propulsion pods lost</x:v>
      </x:c>
      <x:c r="L12" s="34" t="n">
        <x:v>1</x:v>
      </x:c>
      <x:c r="M12" s="34" t="n">
        <x:v>1</x:v>
      </x:c>
      <x:c r="N12" s="34" t="n">
        <x:v>1</x:v>
      </x:c>
      <x:c r="O12" s="34" t="n">
        <x:v>1</x:v>
      </x:c>
      <x:c r="P12" s="34" t="str">
        <x:v>OPEN</x:v>
      </x:c>
      <x:c r="Q12" s="34" t="str">
        <x:v>behavior hypothesis; zero evidence credit</x:v>
      </x:c>
      <x:c r="R12" s="35" t="str">
        <x:v>PASS</x:v>
      </x:c>
    </x:row>
    <x:row r="13">
      <x:c r="B13" s="26" t="str">
        <x:v>Control</x:v>
      </x:c>
      <x:c r="C13" s="27" t="str">
        <x:v>Value</x:v>
      </x:c>
      <x:c r="D13" s="27" t="str">
        <x:v>Unit</x:v>
      </x:c>
      <x:c r="E13" s="45" t="str">
        <x:v>Requirement</x:v>
      </x:c>
      <x:c r="F13" s="46"/>
      <x:c r="G13" s="2"/>
      <x:c r="H13" s="2"/>
      <x:c r="I13" s="2"/>
      <x:c r="J13" s="34" t="str">
        <x:v>W06</x:v>
      </x:c>
      <x:c r="K13" s="34" t="str">
        <x:v>one energy bus lost</x:v>
      </x:c>
      <x:c r="L13" s="34" t="n">
        <x:v>1</x:v>
      </x:c>
      <x:c r="M13" s="34" t="n">
        <x:v>1</x:v>
      </x:c>
      <x:c r="N13" s="34" t="n">
        <x:v>1</x:v>
      </x:c>
      <x:c r="O13" s="34" t="n">
        <x:v>1</x:v>
      </x:c>
      <x:c r="P13" s="34" t="str">
        <x:v>OPEN</x:v>
      </x:c>
      <x:c r="Q13" s="34" t="str">
        <x:v>behavior hypothesis; zero evidence credit</x:v>
      </x:c>
      <x:c r="R13" s="35" t="str">
        <x:v>PASS</x:v>
      </x:c>
    </x:row>
    <x:row r="14">
      <x:c r="B14" s="34" t="str">
        <x:v>Total crew</x:v>
      </x:c>
      <x:c r="C14" s="34" t="n">
        <x:f>SUM(C8:C11)</x:f>
        <x:v>16</x:v>
      </x:c>
      <x:c r="D14" s="34" t="str">
        <x:v>people</x:v>
      </x:c>
      <x:c r="E14" s="34" t="str">
        <x:v>16</x:v>
      </x:c>
      <x:c r="F14" s="35" t="str">
        <x:f>IF(C14=Assumptions!C70,"PASS","FAIL")</x:f>
        <x:v>PASS</x:v>
      </x:c>
      <x:c r="G14" s="2"/>
      <x:c r="H14" s="2"/>
      <x:c r="I14" s="2"/>
      <x:c r="J14" s="34" t="str">
        <x:v>W07</x:v>
      </x:c>
      <x:c r="K14" s="34" t="str">
        <x:v>one lift-conversion train lost</x:v>
      </x:c>
      <x:c r="L14" s="34" t="n">
        <x:v>1</x:v>
      </x:c>
      <x:c r="M14" s="34" t="n">
        <x:v>1</x:v>
      </x:c>
      <x:c r="N14" s="34" t="n">
        <x:v>1</x:v>
      </x:c>
      <x:c r="O14" s="34" t="n">
        <x:v>1</x:v>
      </x:c>
      <x:c r="P14" s="34" t="str">
        <x:v>OPEN</x:v>
      </x:c>
      <x:c r="Q14" s="34" t="str">
        <x:v>behavior hypothesis; zero evidence credit</x:v>
      </x:c>
      <x:c r="R14" s="35" t="str">
        <x:v>PASS</x:v>
      </x:c>
    </x:row>
    <x:row r="15">
      <x:c r="B15" s="34" t="str">
        <x:v>Refuges</x:v>
      </x:c>
      <x:c r="C15" s="34" t="n">
        <x:f>Assumptions!C71</x:f>
        <x:v>2</x:v>
      </x:c>
      <x:c r="D15" s="34" t="str">
        <x:v>refuges</x:v>
      </x:c>
      <x:c r="E15" s="34" t="str">
        <x:v>two separated</x:v>
      </x:c>
      <x:c r="F15" s="35" t="str">
        <x:f>IF(C15=2,"PASS","FAIL")</x:f>
        <x:v>PASS</x:v>
      </x:c>
      <x:c r="G15" s="2"/>
      <x:c r="H15" s="2"/>
      <x:c r="I15" s="2"/>
      <x:c r="J15" s="34" t="str">
        <x:v>W08</x:v>
      </x:c>
      <x:c r="K15" s="34" t="str">
        <x:v>one radiator panel lost</x:v>
      </x:c>
      <x:c r="L15" s="34" t="n">
        <x:v>1</x:v>
      </x:c>
      <x:c r="M15" s="34" t="n">
        <x:v>1</x:v>
      </x:c>
      <x:c r="N15" s="34" t="n">
        <x:v>1</x:v>
      </x:c>
      <x:c r="O15" s="34" t="n">
        <x:v>1</x:v>
      </x:c>
      <x:c r="P15" s="34" t="str">
        <x:v>OPEN</x:v>
      </x:c>
      <x:c r="Q15" s="34" t="str">
        <x:v>behavior hypothesis; zero evidence credit</x:v>
      </x:c>
      <x:c r="R15" s="35" t="str">
        <x:v>PASS</x:v>
      </x:c>
    </x:row>
    <x:row r="16">
      <x:c r="B16" s="34" t="str">
        <x:v>External exits</x:v>
      </x:c>
      <x:c r="C16" s="34" t="n">
        <x:f>Assumptions!C72</x:f>
        <x:v>4</x:v>
      </x:c>
      <x:c r="D16" s="34" t="str">
        <x:v>paths</x:v>
      </x:c>
      <x:c r="E16" s="34" t="str">
        <x:v>four</x:v>
      </x:c>
      <x:c r="F16" s="35" t="str">
        <x:f>IF(C16=4,"PASS","FAIL")</x:f>
        <x:v>PASS</x:v>
      </x:c>
      <x:c r="G16" s="2"/>
      <x:c r="H16" s="2"/>
      <x:c r="I16" s="2"/>
      <x:c r="J16" s="34" t="str">
        <x:v>W09</x:v>
      </x:c>
      <x:c r="K16" s="34" t="str">
        <x:v>one contact foot lost</x:v>
      </x:c>
      <x:c r="L16" s="34" t="n">
        <x:v>1</x:v>
      </x:c>
      <x:c r="M16" s="34" t="n">
        <x:v>1</x:v>
      </x:c>
      <x:c r="N16" s="34" t="n">
        <x:v>1</x:v>
      </x:c>
      <x:c r="O16" s="34" t="n">
        <x:v>1</x:v>
      </x:c>
      <x:c r="P16" s="34" t="str">
        <x:v>OPEN</x:v>
      </x:c>
      <x:c r="Q16" s="34" t="str">
        <x:v>behavior hypothesis; zero evidence credit</x:v>
      </x:c>
      <x:c r="R16" s="35" t="str">
        <x:v>PASS</x:v>
      </x:c>
    </x:row>
    <x:row r="17">
      <x:c r="B17" s="36" t="str">
        <x:v>Safe-hold crew after one refuge loss</x:v>
      </x:c>
      <x:c r="C17" s="36" t="n">
        <x:v>8</x:v>
      </x:c>
      <x:c r="D17" s="36" t="str">
        <x:v>people</x:v>
      </x:c>
      <x:c r="E17" s="36" t="str">
        <x:v>&gt;= 8</x:v>
      </x:c>
      <x:c r="F17" s="37" t="str">
        <x:f>IF(C17&gt;=8,"PASS","FAIL")</x:f>
        <x:v>PASS</x:v>
      </x:c>
      <x:c r="G17" s="2"/>
      <x:c r="H17" s="2"/>
      <x:c r="I17" s="2"/>
      <x:c r="J17" s="34" t="str">
        <x:v>W10</x:v>
      </x:c>
      <x:c r="K17" s="34" t="str">
        <x:v>one transfer lane lost</x:v>
      </x:c>
      <x:c r="L17" s="34" t="n">
        <x:v>1</x:v>
      </x:c>
      <x:c r="M17" s="34" t="n">
        <x:v>1</x:v>
      </x:c>
      <x:c r="N17" s="34" t="n">
        <x:v>1</x:v>
      </x:c>
      <x:c r="O17" s="34" t="n">
        <x:v>1</x:v>
      </x:c>
      <x:c r="P17" s="34" t="str">
        <x:v>OPEN</x:v>
      </x:c>
      <x:c r="Q17" s="34" t="str">
        <x:v>behavior hypothesis; zero evidence credit</x:v>
      </x:c>
      <x:c r="R17" s="35" t="str">
        <x:v>PASS</x:v>
      </x:c>
    </x:row>
    <x:row r="18">
      <x:c r="B18" s="2"/>
      <x:c r="C18" s="2"/>
      <x:c r="D18" s="2"/>
      <x:c r="E18" s="2"/>
      <x:c r="F18" s="2"/>
      <x:c r="G18" s="2"/>
      <x:c r="H18" s="2"/>
      <x:c r="I18" s="2"/>
      <x:c r="J18" s="34" t="str">
        <x:v>W11</x:v>
      </x:c>
      <x:c r="K18" s="34" t="str">
        <x:v>one unload side blocked</x:v>
      </x:c>
      <x:c r="L18" s="34" t="n">
        <x:v>1</x:v>
      </x:c>
      <x:c r="M18" s="34" t="n">
        <x:v>1</x:v>
      </x:c>
      <x:c r="N18" s="34" t="n">
        <x:v>1</x:v>
      </x:c>
      <x:c r="O18" s="34" t="n">
        <x:v>1</x:v>
      </x:c>
      <x:c r="P18" s="34" t="str">
        <x:v>OPEN</x:v>
      </x:c>
      <x:c r="Q18" s="34" t="str">
        <x:v>behavior hypothesis; zero evidence credit</x:v>
      </x:c>
      <x:c r="R18" s="35" t="str">
        <x:v>PASS</x:v>
      </x:c>
    </x:row>
    <x:row r="19">
      <x:c r="B19" s="2"/>
      <x:c r="C19" s="2"/>
      <x:c r="D19" s="2"/>
      <x:c r="E19" s="2"/>
      <x:c r="F19" s="2"/>
      <x:c r="G19" s="2"/>
      <x:c r="H19" s="2"/>
      <x:c r="I19" s="2"/>
      <x:c r="J19" s="34" t="str">
        <x:v>W12</x:v>
      </x:c>
      <x:c r="K19" s="34" t="str">
        <x:v>one crew refuge lost</x:v>
      </x:c>
      <x:c r="L19" s="34" t="n">
        <x:v>1</x:v>
      </x:c>
      <x:c r="M19" s="34" t="n">
        <x:v>1</x:v>
      </x:c>
      <x:c r="N19" s="34" t="n">
        <x:v>1</x:v>
      </x:c>
      <x:c r="O19" s="34" t="n">
        <x:v>1</x:v>
      </x:c>
      <x:c r="P19" s="34" t="str">
        <x:v>OPEN</x:v>
      </x:c>
      <x:c r="Q19" s="34" t="str">
        <x:v>behavior hypothesis; zero evidence credit</x:v>
      </x:c>
      <x:c r="R19" s="35" t="str">
        <x:v>PASS</x:v>
      </x:c>
    </x:row>
    <x:row r="20">
      <x:c r="B20" s="2"/>
      <x:c r="C20" s="2"/>
      <x:c r="D20" s="2"/>
      <x:c r="E20" s="2"/>
      <x:c r="F20" s="2"/>
      <x:c r="G20" s="2"/>
      <x:c r="H20" s="2"/>
      <x:c r="I20" s="2"/>
      <x:c r="J20" s="34" t="str">
        <x:v>W13</x:v>
      </x:c>
      <x:c r="K20" s="34" t="str">
        <x:v>national network denied</x:v>
      </x:c>
      <x:c r="L20" s="34" t="n">
        <x:v>1</x:v>
      </x:c>
      <x:c r="M20" s="34" t="n">
        <x:v>1</x:v>
      </x:c>
      <x:c r="N20" s="34" t="n">
        <x:v>1</x:v>
      </x:c>
      <x:c r="O20" s="34" t="n">
        <x:v>1</x:v>
      </x:c>
      <x:c r="P20" s="34" t="str">
        <x:v>OPEN</x:v>
      </x:c>
      <x:c r="Q20" s="34" t="str">
        <x:v>behavior hypothesis; zero evidence credit</x:v>
      </x:c>
      <x:c r="R20" s="35" t="str">
        <x:v>PASS</x:v>
      </x:c>
    </x:row>
    <x:row r="21">
      <x:c r="B21" s="2"/>
      <x:c r="C21" s="2"/>
      <x:c r="D21" s="2"/>
      <x:c r="E21" s="2"/>
      <x:c r="F21" s="2"/>
      <x:c r="G21" s="2"/>
      <x:c r="H21" s="2"/>
      <x:c r="I21" s="2"/>
      <x:c r="J21" s="34" t="str">
        <x:v>W14</x:v>
      </x:c>
      <x:c r="K21" s="34" t="str">
        <x:v>cold-dense full offload</x:v>
      </x:c>
      <x:c r="L21" s="34" t="n">
        <x:v>1</x:v>
      </x:c>
      <x:c r="M21" s="34" t="n">
        <x:v>1</x:v>
      </x:c>
      <x:c r="N21" s="34" t="n">
        <x:v>1</x:v>
      </x:c>
      <x:c r="O21" s="34" t="n">
        <x:v>1</x:v>
      </x:c>
      <x:c r="P21" s="34" t="str">
        <x:v>OPEN</x:v>
      </x:c>
      <x:c r="Q21" s="34" t="str">
        <x:v>behavior hypothesis; zero evidence credit</x:v>
      </x:c>
      <x:c r="R21" s="35" t="str">
        <x:v>PASS</x:v>
      </x:c>
    </x:row>
    <x:row r="22">
      <x:c r="B22" s="2"/>
      <x:c r="C22" s="2"/>
      <x:c r="D22" s="2"/>
      <x:c r="E22" s="2"/>
      <x:c r="F22" s="2"/>
      <x:c r="G22" s="2"/>
      <x:c r="H22" s="2"/>
      <x:c r="I22" s="2"/>
      <x:c r="J22" s="34" t="str">
        <x:v>W15</x:v>
      </x:c>
      <x:c r="K22" s="34" t="str">
        <x:v>40 m/s gust during transfer</x:v>
      </x:c>
      <x:c r="L22" s="34" t="n">
        <x:v>1</x:v>
      </x:c>
      <x:c r="M22" s="34" t="n">
        <x:v>1</x:v>
      </x:c>
      <x:c r="N22" s="34" t="n">
        <x:v>1</x:v>
      </x:c>
      <x:c r="O22" s="34" t="n">
        <x:v>1</x:v>
      </x:c>
      <x:c r="P22" s="34" t="str">
        <x:v>OPEN</x:v>
      </x:c>
      <x:c r="Q22" s="34" t="str">
        <x:v>behavior hypothesis; zero evidence credit</x:v>
      </x:c>
      <x:c r="R22" s="35" t="str">
        <x:v>PASS</x:v>
      </x:c>
    </x:row>
    <x:row r="23">
      <x:c r="B23" s="2"/>
      <x:c r="C23" s="2"/>
      <x:c r="D23" s="2"/>
      <x:c r="E23" s="2"/>
      <x:c r="F23" s="2"/>
      <x:c r="G23" s="2"/>
      <x:c r="H23" s="2"/>
      <x:c r="I23" s="2"/>
      <x:c r="J23" s="34" t="str">
        <x:v>W16</x:v>
      </x:c>
      <x:c r="K23" s="34" t="str">
        <x:v>one fuel citadel fire</x:v>
      </x:c>
      <x:c r="L23" s="34" t="n">
        <x:v>1</x:v>
      </x:c>
      <x:c r="M23" s="34" t="n">
        <x:v>0</x:v>
      </x:c>
      <x:c r="N23" s="34" t="n">
        <x:v>1</x:v>
      </x:c>
      <x:c r="O23" s="34" t="n">
        <x:v>1</x:v>
      </x:c>
      <x:c r="P23" s="34" t="str">
        <x:v>OPEN</x:v>
      </x:c>
      <x:c r="Q23" s="34" t="str">
        <x:v>behavior hypothesis; zero evidence credit</x:v>
      </x:c>
      <x:c r="R23" s="35" t="str">
        <x:v>PASS</x:v>
      </x:c>
    </x:row>
    <x:row r="24">
      <x:c r="B24" s="2"/>
      <x:c r="C24" s="2"/>
      <x:c r="D24" s="2"/>
      <x:c r="E24" s="2"/>
      <x:c r="F24" s="2"/>
      <x:c r="G24" s="2"/>
      <x:c r="H24" s="2"/>
      <x:c r="I24" s="2"/>
      <x:c r="J24" s="34" t="str">
        <x:v>W17</x:v>
      </x:c>
      <x:c r="K24" s="34" t="str">
        <x:v>one complete GCH vehicle lost</x:v>
      </x:c>
      <x:c r="L24" s="34" t="n">
        <x:v>0</x:v>
      </x:c>
      <x:c r="M24" s="34" t="n">
        <x:v>0</x:v>
      </x:c>
      <x:c r="N24" s="34" t="n">
        <x:v>1</x:v>
      </x:c>
      <x:c r="O24" s="34" t="n">
        <x:v>1</x:v>
      </x:c>
      <x:c r="P24" s="34" t="str">
        <x:v>OPEN</x:v>
      </x:c>
      <x:c r="Q24" s="34" t="str">
        <x:v>behavior hypothesis; zero evidence credit</x:v>
      </x:c>
      <x:c r="R24" s="35" t="str">
        <x:v>PASS</x:v>
      </x:c>
    </x:row>
    <x:row r="25">
      <x:c r="B25" s="2"/>
      <x:c r="C25" s="2"/>
      <x:c r="D25" s="2"/>
      <x:c r="E25" s="2"/>
      <x:c r="F25" s="2"/>
      <x:c r="G25" s="2"/>
      <x:c r="H25" s="2"/>
      <x:c r="I25" s="2"/>
      <x:c r="J25" s="34" t="str">
        <x:v>W18</x:v>
      </x:c>
      <x:c r="K25" s="34" t="str">
        <x:v>air receiver denied</x:v>
      </x:c>
      <x:c r="L25" s="34" t="n">
        <x:v>1</x:v>
      </x:c>
      <x:c r="M25" s="34" t="n">
        <x:v>0</x:v>
      </x:c>
      <x:c r="N25" s="34" t="n">
        <x:v>1</x:v>
      </x:c>
      <x:c r="O25" s="34" t="n">
        <x:v>1</x:v>
      </x:c>
      <x:c r="P25" s="34" t="str">
        <x:v>OPEN</x:v>
      </x:c>
      <x:c r="Q25" s="34" t="str">
        <x:v>behavior hypothesis; zero evidence credit</x:v>
      </x:c>
      <x:c r="R25" s="35" t="str">
        <x:v>PASS</x:v>
      </x:c>
    </x:row>
    <x:row r="26">
      <x:c r="B26" s="2"/>
      <x:c r="C26" s="2"/>
      <x:c r="D26" s="2"/>
      <x:c r="E26" s="2"/>
      <x:c r="F26" s="2"/>
      <x:c r="G26" s="2"/>
      <x:c r="H26" s="2"/>
      <x:c r="I26" s="2"/>
      <x:c r="J26" s="34" t="str">
        <x:v>W19</x:v>
      </x:c>
      <x:c r="K26" s="34" t="str">
        <x:v>terrain path denied</x:v>
      </x:c>
      <x:c r="L26" s="34" t="n">
        <x:v>1</x:v>
      </x:c>
      <x:c r="M26" s="34" t="n">
        <x:v>1</x:v>
      </x:c>
      <x:c r="N26" s="34" t="n">
        <x:v>0</x:v>
      </x:c>
      <x:c r="O26" s="34" t="n">
        <x:v>1</x:v>
      </x:c>
      <x:c r="P26" s="34" t="str">
        <x:v>OPEN</x:v>
      </x:c>
      <x:c r="Q26" s="34" t="str">
        <x:v>behavior hypothesis; zero evidence credit</x:v>
      </x:c>
      <x:c r="R26" s="35" t="str">
        <x:v>PASS</x:v>
      </x:c>
    </x:row>
    <x:row r="27">
      <x:c r="B27" s="2"/>
      <x:c r="C27" s="2"/>
      <x:c r="D27" s="2"/>
      <x:c r="E27" s="2"/>
      <x:c r="F27" s="2"/>
      <x:c r="G27" s="2"/>
      <x:c r="H27" s="2"/>
      <x:c r="I27" s="2"/>
      <x:c r="J27" s="36" t="str">
        <x:v>W20</x:v>
      </x:c>
      <x:c r="K27" s="36" t="str">
        <x:v>air and terrain paths denied</x:v>
      </x:c>
      <x:c r="L27" s="36" t="n">
        <x:v>0</x:v>
      </x:c>
      <x:c r="M27" s="36" t="n">
        <x:v>0</x:v>
      </x:c>
      <x:c r="N27" s="36" t="n">
        <x:v>0</x:v>
      </x:c>
      <x:c r="O27" s="36" t="n">
        <x:v>0</x:v>
      </x:c>
      <x:c r="P27" s="36" t="str">
        <x:v>OPEN</x:v>
      </x:c>
      <x:c r="Q27" s="36" t="str">
        <x:v>outside declared guarantee</x:v>
      </x:c>
      <x:c r="R27" s="37" t="str">
        <x:v>FAIL</x:v>
      </x:c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</x:sheetData>
  <x:mergeCells>
    <x:mergeCell ref="B6:H6"/>
    <x:mergeCell ref="J6:Q6"/>
  </x:mergeCells>
  <x:conditionalFormatting sqref="F14:F17">
    <x:cfRule type="containsText" dxfId="45" priority="1" operator="containsText" text="FAIL"/>
    <x:cfRule type="containsText" dxfId="46" priority="2" operator="containsText" text="PASS"/>
    <x:cfRule type="containsText" dxfId="47" priority="3" operator="containsText" text="BLOCKED"/>
  </x:conditionalFormatting>
  <x:conditionalFormatting sqref="R8:R27">
    <x:cfRule type="containsText" dxfId="48" priority="4" operator="containsText" text="FAIL"/>
    <x:cfRule type="containsText" dxfId="49" priority="5" operator="containsText" text="PASS"/>
    <x:cfRule type="containsText" dxfId="50" priority="6" operator="containsText" text="BLOCK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6" hidden="0" customWidth="1"/>
    <x:col min="4" max="4" width="18" hidden="0" customWidth="1"/>
    <x:col min="5" max="5" width="16" hidden="0" customWidth="1"/>
    <x:col min="6" max="6" width="30" hidden="0" customWidth="1"/>
    <x:col min="7" max="7" width="14" hidden="0" customWidth="1"/>
    <x:col min="8" max="8" width="3" hidden="0" customWidth="1"/>
    <x:col min="9" max="9" width="34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2">
      <x:c r="B2" s="3" t="str">
        <x:v>Atmospheric receiver and two-mode mission clock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The complete-system correction retains the inherited air clock only by making conversion, unload and arrest concurrent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Air path clock</x:v>
      </x:c>
      <x:c r="C6" s="9" t="str">
        <x:v>Air path clock</x:v>
      </x:c>
      <x:c r="D6" s="9" t="str">
        <x:v>Air path clock</x:v>
      </x:c>
      <x:c r="E6" s="9" t="str">
        <x:v>Air path clock</x:v>
      </x:c>
      <x:c r="F6" s="9" t="str">
        <x:v>Air path clock</x:v>
      </x:c>
      <x:c r="G6" s="10" t="str">
        <x:v>Air path clock</x:v>
      </x:c>
      <x:c r="H6" s="2"/>
      <x:c r="I6" s="8" t="str">
        <x:v>Federated receiver boundary</x:v>
      </x:c>
      <x:c r="J6" s="9" t="str">
        <x:v>Federated receiver boundary</x:v>
      </x:c>
      <x:c r="K6" s="9" t="str">
        <x:v>Federated receiver boundary</x:v>
      </x:c>
      <x:c r="L6" s="9" t="str">
        <x:v>Federated receiver boundary</x:v>
      </x:c>
      <x:c r="M6" s="9" t="str">
        <x:v>Federated receiver boundary</x:v>
      </x:c>
      <x:c r="N6" s="10" t="str">
        <x:v>Federated receiver boundary</x:v>
      </x:c>
    </x:row>
    <x:row r="7">
      <x:c r="B7" s="19" t="str">
        <x:v>Phase</x:v>
      </x:c>
      <x:c r="C7" s="20" t="str">
        <x:v>Start h</x:v>
      </x:c>
      <x:c r="D7" s="20" t="str">
        <x:v>Duration h</x:v>
      </x:c>
      <x:c r="E7" s="20" t="str">
        <x:v>End h</x:v>
      </x:c>
      <x:c r="F7" s="20" t="str">
        <x:v>Authority</x:v>
      </x:c>
      <x:c r="G7" s="21" t="str">
        <x:v>Evidence</x:v>
      </x:c>
      <x:c r="H7" s="2"/>
      <x:c r="I7" s="26" t="str">
        <x:v>Boundary</x:v>
      </x:c>
      <x:c r="J7" s="27" t="str">
        <x:v>Value</x:v>
      </x:c>
      <x:c r="K7" s="27" t="str">
        <x:v>Unit</x:v>
      </x:c>
      <x:c r="L7" s="27" t="str">
        <x:v>Dependency</x:v>
      </x:c>
      <x:c r="M7" s="27" t="str">
        <x:v>Authority</x:v>
      </x:c>
      <x:c r="N7" s="27" t="str">
        <x:v>Evidence</x:v>
      </x:c>
    </x:row>
    <x:row r="8">
      <x:c r="B8" s="2" t="str">
        <x:v>origin technical release and load</x:v>
      </x:c>
      <x:c r="C8" s="2" t="n">
        <x:v>0</x:v>
      </x:c>
      <x:c r="D8" s="2" t="n">
        <x:f>Assumptions!C79</x:f>
        <x:v>16</x:v>
      </x:c>
      <x:c r="E8" s="2" t="n">
        <x:f>C8+D8</x:f>
        <x:v>16</x:v>
      </x:c>
      <x:c r="F8" s="2" t="str">
        <x:v>vehicle and payload release</x:v>
      </x:c>
      <x:c r="G8" s="2" t="str">
        <x:v>OPEN</x:v>
      </x:c>
      <x:c r="H8" s="2"/>
      <x:c r="I8" s="34" t="str">
        <x:v>controlled receiver</x:v>
      </x:c>
      <x:c r="J8" s="34" t="n">
        <x:v>420</x:v>
      </x:c>
      <x:c r="K8" s="34" t="str">
        <x:v>m square</x:v>
      </x:c>
      <x:c r="L8" s="34" t="str">
        <x:v>none from terrain before release</x:v>
      </x:c>
      <x:c r="M8" s="34" t="str">
        <x:v>air receiver commander</x:v>
      </x:c>
      <x:c r="N8" s="35" t="str">
        <x:v>OPEN</x:v>
      </x:c>
    </x:row>
    <x:row r="9">
      <x:c r="B9" s="2" t="str">
        <x:v>cruise</x:v>
      </x:c>
      <x:c r="C9" s="2" t="n">
        <x:f>E8</x:f>
        <x:v>16</x:v>
      </x:c>
      <x:c r="D9" s="2" t="n">
        <x:f>'Energy and Propulsion'!C9</x:f>
        <x:v>16.666666666666668</x:v>
      </x:c>
      <x:c r="E9" s="2" t="n">
        <x:f>C9+D9</x:f>
        <x:v>32.66666666666667</x:v>
      </x:c>
      <x:c r="F9" s="2" t="str">
        <x:v>flight release</x:v>
      </x:c>
      <x:c r="G9" s="2" t="str">
        <x:v>OPEN</x:v>
      </x:c>
      <x:c r="H9" s="2"/>
      <x:c r="I9" s="34" t="str">
        <x:v>clear transfer core</x:v>
      </x:c>
      <x:c r="J9" s="34" t="n">
        <x:v>420</x:v>
      </x:c>
      <x:c r="K9" s="34" t="str">
        <x:v>m square</x:v>
      </x:c>
      <x:c r="L9" s="34" t="str">
        <x:v>distributed contact and exhaust zone</x:v>
      </x:c>
      <x:c r="M9" s="34" t="str">
        <x:v>landing safety officer</x:v>
      </x:c>
      <x:c r="N9" s="35" t="str">
        <x:v>OPEN</x:v>
      </x:c>
    </x:row>
    <x:row r="10">
      <x:c r="B10" s="2" t="str">
        <x:v>arrest, lift conversion and unload</x:v>
      </x:c>
      <x:c r="C10" s="2" t="n">
        <x:f>E9</x:f>
        <x:v>32.66666666666667</x:v>
      </x:c>
      <x:c r="D10" s="2" t="n">
        <x:f>Assumptions!C42</x:f>
        <x:v>1.25</x:v>
      </x:c>
      <x:c r="E10" s="2" t="n">
        <x:f>C10+D10</x:f>
        <x:v>33.91666666666667</x:v>
      </x:c>
      <x:c r="F10" s="2" t="str">
        <x:v>vehicle and receiver control</x:v>
      </x:c>
      <x:c r="G10" s="2" t="str">
        <x:v>OPEN</x:v>
      </x:c>
      <x:c r="H10" s="2"/>
      <x:c r="I10" s="34" t="str">
        <x:v>approach lane</x:v>
      </x:c>
      <x:c r="J10" s="34" t="n">
        <x:v>4</x:v>
      </x:c>
      <x:c r="K10" s="34" t="str">
        <x:v>km</x:v>
      </x:c>
      <x:c r="L10" s="34" t="str">
        <x:v>offline local navigation</x:v>
      </x:c>
      <x:c r="M10" s="34" t="str">
        <x:v>airspace release officer</x:v>
      </x:c>
      <x:c r="N10" s="35" t="str">
        <x:v>OPEN</x:v>
      </x:c>
    </x:row>
    <x:row r="11">
      <x:c r="B11" s="2" t="str">
        <x:v>receiver build and civil release</x:v>
      </x:c>
      <x:c r="C11" s="2" t="n">
        <x:f>E10</x:f>
        <x:v>33.91666666666667</x:v>
      </x:c>
      <x:c r="D11" s="2" t="n">
        <x:f>Assumptions!C80</x:f>
        <x:v>8</x:v>
      </x:c>
      <x:c r="E11" s="2" t="n">
        <x:f>C11+D11</x:f>
        <x:v>41.91666666666667</x:v>
      </x:c>
      <x:c r="F11" s="2" t="str">
        <x:v>independent civil release</x:v>
      </x:c>
      <x:c r="G11" s="2" t="str">
        <x:v>OPEN</x:v>
      </x:c>
      <x:c r="H11" s="2"/>
      <x:c r="I11" s="34" t="str">
        <x:v>bearing floor</x:v>
      </x:c>
      <x:c r="J11" s="34" t="n">
        <x:v>60</x:v>
      </x:c>
      <x:c r="K11" s="34" t="str">
        <x:v>kPa</x:v>
      </x:c>
      <x:c r="L11" s="34" t="str">
        <x:v>surface survey</x:v>
      </x:c>
      <x:c r="M11" s="34" t="str">
        <x:v>ground-contact officer</x:v>
      </x:c>
      <x:c r="N11" s="35" t="str">
        <x:v>OPEN</x:v>
      </x:c>
    </x:row>
    <x:row r="12">
      <x:c r="B12" s="2"/>
      <x:c r="C12" s="2"/>
      <x:c r="D12" s="2"/>
      <x:c r="E12" s="2"/>
      <x:c r="F12" s="2"/>
      <x:c r="G12" s="2"/>
      <x:c r="H12" s="2"/>
      <x:c r="I12" s="34" t="str">
        <x:v>air-to-terrain spacing</x:v>
      </x:c>
      <x:c r="J12" s="34" t="n">
        <x:v>5</x:v>
      </x:c>
      <x:c r="K12" s="34" t="str">
        <x:v>km minimum</x:v>
      </x:c>
      <x:c r="L12" s="34" t="str">
        <x:v>separate casualty and authority</x:v>
      </x:c>
      <x:c r="M12" s="34" t="str">
        <x:v>joint receiver command</x:v>
      </x:c>
      <x:c r="N12" s="35" t="str">
        <x:v>OPEN</x:v>
      </x:c>
    </x:row>
    <x:row r="13">
      <x:c r="B13" s="2"/>
      <x:c r="C13" s="2"/>
      <x:c r="D13" s="2"/>
      <x:c r="E13" s="2"/>
      <x:c r="F13" s="2"/>
      <x:c r="G13" s="2"/>
      <x:c r="H13" s="2"/>
      <x:c r="I13" s="34" t="str">
        <x:v>common pre-release loader</x:v>
      </x:c>
      <x:c r="J13" s="34" t="n">
        <x:v>0</x:v>
      </x:c>
      <x:c r="K13" s="34" t="str">
        <x:v>machines</x:v>
      </x:c>
      <x:c r="L13" s="34" t="str">
        <x:v>prohibited</x:v>
      </x:c>
      <x:c r="M13" s="34" t="str">
        <x:v>configuration authority</x:v>
      </x:c>
      <x:c r="N13" s="35" t="str">
        <x:v>OPEN</x:v>
      </x:c>
    </x:row>
    <x:row r="14">
      <x:c r="B14" s="26" t="str">
        <x:v>Metric</x:v>
      </x:c>
      <x:c r="C14" s="27" t="str">
        <x:v>Value</x:v>
      </x:c>
      <x:c r="D14" s="27" t="str">
        <x:v>Unit</x:v>
      </x:c>
      <x:c r="E14" s="27" t="str">
        <x:v>Boundary</x:v>
      </x:c>
      <x:c r="F14" s="27" t="str">
        <x:v>Result</x:v>
      </x:c>
      <x:c r="G14" s="2"/>
      <x:c r="H14" s="2"/>
      <x:c r="I14" s="34" t="str">
        <x:v>common pre-release energy</x:v>
      </x:c>
      <x:c r="J14" s="34" t="n">
        <x:v>0</x:v>
      </x:c>
      <x:c r="K14" s="34" t="str">
        <x:v>systems</x:v>
      </x:c>
      <x:c r="L14" s="34" t="str">
        <x:v>prohibited</x:v>
      </x:c>
      <x:c r="M14" s="34" t="str">
        <x:v>energy authority</x:v>
      </x:c>
      <x:c r="N14" s="35" t="str">
        <x:v>OPEN</x:v>
      </x:c>
    </x:row>
    <x:row r="15">
      <x:c r="B15" s="34" t="str">
        <x:v>Relative air service</x:v>
      </x:c>
      <x:c r="C15" s="34" t="n">
        <x:f>E11</x:f>
        <x:v>41.91666666666667</x:v>
      </x:c>
      <x:c r="D15" s="34" t="str">
        <x:v>h</x:v>
      </x:c>
      <x:c r="E15" s="34" t="str">
        <x:v>&lt;=Assumptions!C82</x:v>
      </x:c>
      <x:c r="F15" s="35" t="str">
        <x:f>IF(C15&lt;=IF(OR(B15="Relative air service",B15="Absolute air service",B15="Terrain absolute service",B15="DCP-2 dual-service time"),IF(B15="Relative air service",Assumptions!C82,Assumptions!C83),999999),"PASS","FAIL")</x:f>
        <x:v>PASS</x:v>
      </x:c>
      <x:c r="G15" s="2"/>
      <x:c r="H15" s="2"/>
      <x:c r="I15" s="36" t="str">
        <x:v>post-release corridor</x:v>
      </x:c>
      <x:c r="J15" s="36" t="n">
        <x:v>1</x:v>
      </x:c>
      <x:c r="K15" s="36" t="str">
        <x:v>fail-open link</x:v>
      </x:c>
      <x:c r="L15" s="36" t="str">
        <x:v>cannot alter either release</x:v>
      </x:c>
      <x:c r="M15" s="36" t="str">
        <x:v>civil integration officer</x:v>
      </x:c>
      <x:c r="N15" s="37" t="str">
        <x:v>OPEN</x:v>
      </x:c>
    </x:row>
    <x:row r="16">
      <x:c r="B16" s="34" t="str">
        <x:v>Relative margin</x:v>
      </x:c>
      <x:c r="C16" s="34" t="n">
        <x:f>Assumptions!C82-C15</x:f>
        <x:v>0.0833333333333286</x:v>
      </x:c>
      <x:c r="D16" s="34" t="str">
        <x:v>h</x:v>
      </x:c>
      <x:c r="E16" s="34" t="str">
        <x:v>nonnegative</x:v>
      </x:c>
      <x:c r="F16" s="35" t="str">
        <x:f>IF(C16&lt;=IF(OR(B16="Relative air service",B16="Absolute air service",B16="Terrain absolute service",B16="DCP-2 dual-service time"),IF(B16="Relative air service",Assumptions!C82,Assumptions!C83),999999),"PASS","FAIL")</x:f>
        <x:v>PASS</x:v>
      </x:c>
      <x:c r="G16" s="2"/>
      <x:c r="H16" s="2"/>
      <x:c r="I16" s="2"/>
      <x:c r="J16" s="2"/>
      <x:c r="K16" s="2"/>
      <x:c r="L16" s="2"/>
      <x:c r="M16" s="2"/>
      <x:c r="N16" s="2"/>
    </x:row>
    <x:row r="17">
      <x:c r="B17" s="34" t="str">
        <x:v>Absolute air service</x:v>
      </x:c>
      <x:c r="C17" s="34" t="n">
        <x:f>C15+Assumptions!C81</x:f>
        <x:v>47.91666666666667</x:v>
      </x:c>
      <x:c r="D17" s="34" t="str">
        <x:v>h</x:v>
      </x:c>
      <x:c r="E17" s="34" t="str">
        <x:v>&lt;=Assumptions!C83</x:v>
      </x:c>
      <x:c r="F17" s="35" t="str">
        <x:f>IF(C17&lt;=IF(OR(B17="Relative air service",B17="Absolute air service",B17="Terrain absolute service",B17="DCP-2 dual-service time"),IF(B17="Relative air service",Assumptions!C82,Assumptions!C83),999999),"PASS","FAIL")</x:f>
        <x:v>PASS</x:v>
      </x:c>
      <x:c r="G17" s="2"/>
      <x:c r="H17" s="2"/>
      <x:c r="I17" s="2"/>
      <x:c r="J17" s="2"/>
      <x:c r="K17" s="2"/>
      <x:c r="L17" s="2"/>
      <x:c r="M17" s="2"/>
      <x:c r="N17" s="2"/>
    </x:row>
    <x:row r="18">
      <x:c r="B18" s="34" t="str">
        <x:v>Air absolute margin</x:v>
      </x:c>
      <x:c r="C18" s="34" t="n">
        <x:f>Assumptions!C83-C17</x:f>
        <x:v>6.083333333333329</x:v>
      </x:c>
      <x:c r="D18" s="34" t="str">
        <x:v>h</x:v>
      </x:c>
      <x:c r="E18" s="34" t="str">
        <x:v>nonnegative</x:v>
      </x:c>
      <x:c r="F18" s="35" t="str">
        <x:f>IF(C18&lt;=IF(OR(B18="Relative air service",B18="Absolute air service",B18="Terrain absolute service",B18="DCP-2 dual-service time"),IF(B18="Relative air service",Assumptions!C82,Assumptions!C83),999999),"PASS","FAIL")</x:f>
        <x:v>PASS</x:v>
      </x:c>
      <x:c r="G18" s="2"/>
      <x:c r="H18" s="2"/>
      <x:c r="I18" s="8" t="str">
        <x:v>Clock sensitivities</x:v>
      </x:c>
      <x:c r="J18" s="9" t="str">
        <x:v>Clock sensitivities</x:v>
      </x:c>
      <x:c r="K18" s="9" t="str">
        <x:v>Clock sensitivities</x:v>
      </x:c>
      <x:c r="L18" s="9" t="str">
        <x:v>Clock sensitivities</x:v>
      </x:c>
      <x:c r="M18" s="9" t="str">
        <x:v>Clock sensitivities</x:v>
      </x:c>
      <x:c r="N18" s="10" t="str">
        <x:v>Clock sensitivities</x:v>
      </x:c>
    </x:row>
    <x:row r="19">
      <x:c r="B19" s="34" t="str">
        <x:v>Terrain absolute service</x:v>
      </x:c>
      <x:c r="C19" s="34" t="n">
        <x:f>Assumptions!C84</x:f>
        <x:v>49.57</x:v>
      </x:c>
      <x:c r="D19" s="34" t="str">
        <x:v>h</x:v>
      </x:c>
      <x:c r="E19" s="34" t="str">
        <x:v>&lt;=Assumptions!C83</x:v>
      </x:c>
      <x:c r="F19" s="35" t="str">
        <x:f>IF(C19&lt;=IF(OR(B19="Relative air service",B19="Absolute air service",B19="Terrain absolute service",B19="DCP-2 dual-service time"),IF(B19="Relative air service",Assumptions!C82,Assumptions!C83),999999),"PASS","FAIL")</x:f>
        <x:v>PASS</x:v>
      </x:c>
      <x:c r="G19" s="2"/>
      <x:c r="H19" s="2"/>
      <x:c r="I19" s="26" t="str">
        <x:v>Case</x:v>
      </x:c>
      <x:c r="J19" s="27" t="str">
        <x:v>Origin h</x:v>
      </x:c>
      <x:c r="K19" s="27" t="str">
        <x:v>Cruise h</x:v>
      </x:c>
      <x:c r="L19" s="27" t="str">
        <x:v>Transfer h</x:v>
      </x:c>
      <x:c r="M19" s="27" t="str">
        <x:v>Receiver h</x:v>
      </x:c>
      <x:c r="N19" s="27" t="str">
        <x:v>Relative service h</x:v>
      </x:c>
    </x:row>
    <x:row r="20">
      <x:c r="B20" s="34" t="str">
        <x:v>DCP-2 dual-service time</x:v>
      </x:c>
      <x:c r="C20" s="34" t="n">
        <x:f>MAX(C17,C19)</x:f>
        <x:v>49.57</x:v>
      </x:c>
      <x:c r="D20" s="34" t="str">
        <x:v>h</x:v>
      </x:c>
      <x:c r="E20" s="34" t="str">
        <x:v>&lt;=Assumptions!C83</x:v>
      </x:c>
      <x:c r="F20" s="35" t="str">
        <x:f>IF(C20&lt;=IF(OR(B20="Relative air service",B20="Absolute air service",B20="Terrain absolute service",B20="DCP-2 dual-service time"),IF(B20="Relative air service",Assumptions!C82,Assumptions!C83),999999),"PASS","FAIL")</x:f>
        <x:v>PASS</x:v>
      </x:c>
      <x:c r="G20" s="2"/>
      <x:c r="H20" s="2"/>
      <x:c r="I20" s="34" t="str">
        <x:v>baseline</x:v>
      </x:c>
      <x:c r="J20" s="34" t="n">
        <x:v>16</x:v>
      </x:c>
      <x:c r="K20" s="34" t="n">
        <x:v>16.666666666666668</x:v>
      </x:c>
      <x:c r="L20" s="34" t="n">
        <x:v>1.25</x:v>
      </x:c>
      <x:c r="M20" s="34" t="n">
        <x:v>8</x:v>
      </x:c>
      <x:c r="N20" s="35" t="n">
        <x:f>SUM(J20:M20)</x:f>
        <x:v>41.91666666666667</x:v>
      </x:c>
    </x:row>
    <x:row r="21">
      <x:c r="B21" s="36" t="str">
        <x:v>DCP-2 deadline margin</x:v>
      </x:c>
      <x:c r="C21" s="36" t="n">
        <x:f>Assumptions!C83-C20</x:f>
        <x:v>4.43</x:v>
      </x:c>
      <x:c r="D21" s="36" t="str">
        <x:v>h</x:v>
      </x:c>
      <x:c r="E21" s="36" t="str">
        <x:v>nonnegative</x:v>
      </x:c>
      <x:c r="F21" s="37" t="str">
        <x:f>IF(C21&lt;=IF(OR(B21="Relative air service",B21="Absolute air service",B21="Terrain absolute service",B21="DCP-2 dual-service time"),IF(B21="Relative air service",Assumptions!C82,Assumptions!C83),999999),"PASS","FAIL")</x:f>
        <x:v>PASS</x:v>
      </x:c>
      <x:c r="G21" s="2"/>
      <x:c r="H21" s="2"/>
      <x:c r="I21" s="34" t="str">
        <x:v>one-train rate shortfall</x:v>
      </x:c>
      <x:c r="J21" s="34" t="n">
        <x:v>16</x:v>
      </x:c>
      <x:c r="K21" s="34" t="n">
        <x:v>16.666666666666668</x:v>
      </x:c>
      <x:c r="L21" s="34" t="n">
        <x:v>1.5</x:v>
      </x:c>
      <x:c r="M21" s="34" t="n">
        <x:v>8</x:v>
      </x:c>
      <x:c r="N21" s="35" t="n">
        <x:f>SUM(J21:M21)</x:f>
        <x:v>42.16666666666667</x:v>
      </x:c>
    </x:row>
    <x:row r="22">
      <x:c r="B22" s="2"/>
      <x:c r="C22" s="2"/>
      <x:c r="D22" s="2"/>
      <x:c r="E22" s="2"/>
      <x:c r="F22" s="2"/>
      <x:c r="G22" s="2"/>
      <x:c r="H22" s="2"/>
      <x:c r="I22" s="34" t="str">
        <x:v>five-percent cruise penalty</x:v>
      </x:c>
      <x:c r="J22" s="34" t="n">
        <x:v>16</x:v>
      </x:c>
      <x:c r="K22" s="34" t="n">
        <x:v>17.54385964912281</x:v>
      </x:c>
      <x:c r="L22" s="34" t="n">
        <x:v>1.25</x:v>
      </x:c>
      <x:c r="M22" s="34" t="n">
        <x:v>8</x:v>
      </x:c>
      <x:c r="N22" s="35" t="n">
        <x:f>SUM(J22:M22)</x:f>
        <x:v>42.79385964912281</x:v>
      </x:c>
    </x:row>
    <x:row r="23">
      <x:c r="B23" s="2"/>
      <x:c r="C23" s="2"/>
      <x:c r="D23" s="2"/>
      <x:c r="E23" s="2"/>
      <x:c r="F23" s="2"/>
      <x:c r="G23" s="2"/>
      <x:c r="H23" s="2"/>
      <x:c r="I23" s="34" t="str">
        <x:v>one-hour origin rework</x:v>
      </x:c>
      <x:c r="J23" s="34" t="n">
        <x:v>17</x:v>
      </x:c>
      <x:c r="K23" s="34" t="n">
        <x:v>16.666666666666668</x:v>
      </x:c>
      <x:c r="L23" s="34" t="n">
        <x:v>1.25</x:v>
      </x:c>
      <x:c r="M23" s="34" t="n">
        <x:v>8</x:v>
      </x:c>
      <x:c r="N23" s="35" t="n">
        <x:f>SUM(J23:M23)</x:f>
        <x:v>42.91666666666667</x:v>
      </x:c>
    </x:row>
    <x:row r="24">
      <x:c r="B24" s="2"/>
      <x:c r="C24" s="2"/>
      <x:c r="D24" s="2"/>
      <x:c r="E24" s="2"/>
      <x:c r="F24" s="2"/>
      <x:c r="G24" s="2"/>
      <x:c r="H24" s="2"/>
      <x:c r="I24" s="36" t="str">
        <x:v>combined stress</x:v>
      </x:c>
      <x:c r="J24" s="36" t="n">
        <x:v>17</x:v>
      </x:c>
      <x:c r="K24" s="36" t="n">
        <x:v>17.54385964912281</x:v>
      </x:c>
      <x:c r="L24" s="36" t="n">
        <x:v>1.5</x:v>
      </x:c>
      <x:c r="M24" s="36" t="n">
        <x:v>8.5</x:v>
      </x:c>
      <x:c r="N24" s="37" t="n">
        <x:f>SUM(J24:M24)</x:f>
        <x:v>44.54385964912281</x:v>
      </x:c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</x:sheetData>
  <x:mergeCells>
    <x:mergeCell ref="B6:G6"/>
    <x:mergeCell ref="I6:N6"/>
    <x:mergeCell ref="I18:N18"/>
  </x:mergeCells>
  <x:conditionalFormatting sqref="F15:F21">
    <x:cfRule type="containsText" dxfId="51" priority="1" operator="containsText" text="FAIL"/>
    <x:cfRule type="containsText" dxfId="52" priority="2" operator="containsText" text="PASS"/>
    <x:cfRule type="containsText" dxfId="53" priority="3" operator="containsText" text="BLOCK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4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14" hidden="0" customWidth="1"/>
    <x:col min="8" max="8" width="3" hidden="0" customWidth="1"/>
    <x:col min="9" max="9" width="44" hidden="0" customWidth="1"/>
    <x:col min="10" max="10" width="16" hidden="0" customWidth="1"/>
    <x:col min="11" max="11" width="16" hidden="0" customWidth="1"/>
    <x:col min="12" max="12" width="17" hidden="0" customWidth="1"/>
    <x:col min="13" max="13" width="17" hidden="0" customWidth="1"/>
    <x:col min="14" max="14" width="44" hidden="0" customWidth="1"/>
  </x:cols>
  <x:sheetData>
    <x:row r="2">
      <x:c r="B2" s="3" t="str">
        <x:v>Concurrent reset and complete-system workforce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The 162-hour lift-cell path governs reuse; new atmospheric specialties replace the shallow Pass 83 allowance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Concurrent reset</x:v>
      </x:c>
      <x:c r="C6" s="9" t="str">
        <x:v>Concurrent reset</x:v>
      </x:c>
      <x:c r="D6" s="9" t="str">
        <x:v>Concurrent reset</x:v>
      </x:c>
      <x:c r="E6" s="9" t="str">
        <x:v>Concurrent reset</x:v>
      </x:c>
      <x:c r="F6" s="9" t="str">
        <x:v>Concurrent reset</x:v>
      </x:c>
      <x:c r="G6" s="10" t="str">
        <x:v>Concurrent reset</x:v>
      </x:c>
      <x:c r="H6" s="2"/>
      <x:c r="I6" s="8" t="str">
        <x:v>Complete-system HBL correction</x:v>
      </x:c>
      <x:c r="J6" s="9" t="str">
        <x:v>Complete-system HBL correction</x:v>
      </x:c>
      <x:c r="K6" s="9" t="str">
        <x:v>Complete-system HBL correction</x:v>
      </x:c>
      <x:c r="L6" s="9" t="str">
        <x:v>Complete-system HBL correction</x:v>
      </x:c>
      <x:c r="M6" s="9" t="str">
        <x:v>Complete-system HBL correction</x:v>
      </x:c>
      <x:c r="N6" s="10" t="str">
        <x:v>Complete-system HBL correction</x:v>
      </x:c>
    </x:row>
    <x:row r="7">
      <x:c r="B7" s="26" t="str">
        <x:v>Workstream</x:v>
      </x:c>
      <x:c r="C7" s="27" t="str">
        <x:v>Path h</x:v>
      </x:c>
      <x:c r="D7" s="27" t="str">
        <x:v>Ceiling h</x:v>
      </x:c>
      <x:c r="E7" s="27" t="str">
        <x:v>Margin h</x:v>
      </x:c>
      <x:c r="F7" s="27" t="str">
        <x:v>Owner</x:v>
      </x:c>
      <x:c r="G7" s="27" t="str">
        <x:v>Result</x:v>
      </x:c>
      <x:c r="H7" s="2"/>
      <x:c r="I7" s="26" t="str">
        <x:v>Specialty</x:v>
      </x:c>
      <x:c r="J7" s="27" t="str">
        <x:v>Deployed</x:v>
      </x:c>
      <x:c r="K7" s="27" t="str">
        <x:v>Affiliated</x:v>
      </x:c>
      <x:c r="L7" s="27" t="str">
        <x:v>Minimum watch</x:v>
      </x:c>
      <x:c r="M7" s="27" t="str">
        <x:v>Authority / phase</x:v>
      </x:c>
      <x:c r="N7" s="27" t="str">
        <x:v>Reason</x:v>
      </x:c>
    </x:row>
    <x:row r="8">
      <x:c r="B8" s="34" t="str">
        <x:v>structure, envelope and twenty-four lift cells</x:v>
      </x:c>
      <x:c r="C8" s="34" t="n">
        <x:v>162</x:v>
      </x:c>
      <x:c r="D8" s="34" t="n">
        <x:f>Assumptions!C85</x:f>
        <x:v>168</x:v>
      </x:c>
      <x:c r="E8" s="34" t="n">
        <x:f>D8-C8</x:f>
        <x:v>6</x:v>
      </x:c>
      <x:c r="F8" s="34" t="str">
        <x:v>Access Test Directorate</x:v>
      </x:c>
      <x:c r="G8" s="35" t="str">
        <x:f>IF(E8&gt;=0,"PASS","FAIL")</x:f>
        <x:v>PASS</x:v>
      </x:c>
      <x:c r="H8" s="2"/>
      <x:c r="I8" s="34" t="str">
        <x:v>cellular structure and lift-gas technicians</x:v>
      </x:c>
      <x:c r="J8" s="34" t="n">
        <x:v>16</x:v>
      </x:c>
      <x:c r="K8" s="34" t="n">
        <x:v>36</x:v>
      </x:c>
      <x:c r="L8" s="34" t="n">
        <x:v>6</x:v>
      </x:c>
      <x:c r="M8" s="34" t="str">
        <x:v>vehicle technical release</x:v>
      </x:c>
      <x:c r="N8" s="35" t="str">
        <x:v>twenty-four cells, six trains and hydrogen custody</x:v>
      </x:c>
    </x:row>
    <x:row r="9">
      <x:c r="B9" s="34" t="str">
        <x:v>six energy citadels and thermal surfaces</x:v>
      </x:c>
      <x:c r="C9" s="34" t="n">
        <x:v>154</x:v>
      </x:c>
      <x:c r="D9" s="34" t="n">
        <x:f>Assumptions!C85</x:f>
        <x:v>168</x:v>
      </x:c>
      <x:c r="E9" s="34" t="n">
        <x:f>D9-C9</x:f>
        <x:v>14</x:v>
      </x:c>
      <x:c r="F9" s="34" t="str">
        <x:v>Atmospheric Energy Depot</x:v>
      </x:c>
      <x:c r="G9" s="35" t="str">
        <x:f>IF(E9&gt;=0,"PASS","FAIL")</x:f>
        <x:v>PASS</x:v>
      </x:c>
      <x:c r="H9" s="2"/>
      <x:c r="I9" s="34" t="str">
        <x:v>energy and thermal engineers</x:v>
      </x:c>
      <x:c r="J9" s="34" t="n">
        <x:v>16</x:v>
      </x:c>
      <x:c r="K9" s="34" t="n">
        <x:v>38</x:v>
      </x:c>
      <x:c r="L9" s="34" t="n">
        <x:v>6</x:v>
      </x:c>
      <x:c r="M9" s="34" t="str">
        <x:v>launch through reset</x:v>
      </x:c>
      <x:c r="N9" s="35" t="str">
        <x:v>six citadels, eight panels and exhaust control</x:v>
      </x:c>
    </x:row>
    <x:row r="10">
      <x:c r="B10" s="34" t="str">
        <x:v>contact, mooring and landing systems</x:v>
      </x:c>
      <x:c r="C10" s="34" t="n">
        <x:v>146</x:v>
      </x:c>
      <x:c r="D10" s="34" t="n">
        <x:f>Assumptions!C85</x:f>
        <x:v>168</x:v>
      </x:c>
      <x:c r="E10" s="34" t="n">
        <x:f>D10-C10</x:f>
        <x:v>22</x:v>
      </x:c>
      <x:c r="F10" s="34" t="str">
        <x:v>Receiver Systems Depot</x:v>
      </x:c>
      <x:c r="G10" s="35" t="str">
        <x:f>IF(E10&gt;=0,"PASS","FAIL")</x:f>
        <x:v>PASS</x:v>
      </x:c>
      <x:c r="H10" s="2"/>
      <x:c r="I10" s="34" t="str">
        <x:v>contact and mooring operators</x:v>
      </x:c>
      <x:c r="J10" s="34" t="n">
        <x:v>16</x:v>
      </x:c>
      <x:c r="K10" s="34" t="n">
        <x:v>36</x:v>
      </x:c>
      <x:c r="L10" s="34" t="n">
        <x:v>6</x:v>
      </x:c>
      <x:c r="M10" s="34" t="str">
        <x:v>arrival and transfer</x:v>
      </x:c>
      <x:c r="N10" s="35" t="str">
        <x:v>sixteen feet and no-anchor station keeping</x:v>
      </x:c>
    </x:row>
    <x:row r="11">
      <x:c r="B11" s="34" t="str">
        <x:v>lift-water processing and gas refill</x:v>
      </x:c>
      <x:c r="C11" s="34" t="n">
        <x:v>132</x:v>
      </x:c>
      <x:c r="D11" s="34" t="n">
        <x:f>Assumptions!C85</x:f>
        <x:v>168</x:v>
      </x:c>
      <x:c r="E11" s="34" t="n">
        <x:f>D11-C11</x:f>
        <x:v>36</x:v>
      </x:c>
      <x:c r="F11" s="34" t="str">
        <x:v>Strategic Hydrogen Service</x:v>
      </x:c>
      <x:c r="G11" s="35" t="str">
        <x:f>IF(E11&gt;=0,"PASS","FAIL")</x:f>
        <x:v>PASS</x:v>
      </x:c>
      <x:c r="H11" s="2"/>
      <x:c r="I11" s="34" t="str">
        <x:v>payload, balance and robotics</x:v>
      </x:c>
      <x:c r="J11" s="34" t="n">
        <x:v>12</x:v>
      </x:c>
      <x:c r="K11" s="34" t="n">
        <x:v>28</x:v>
      </x:c>
      <x:c r="L11" s="34" t="n">
        <x:v>4</x:v>
      </x:c>
      <x:c r="M11" s="34" t="str">
        <x:v>load through civil release</x:v>
      </x:c>
      <x:c r="N11" s="35" t="str">
        <x:v>eighteen positions and signed transient state</x:v>
      </x:c>
    </x:row>
    <x:row r="12">
      <x:c r="B12" s="34" t="str">
        <x:v>cargo robotics, restraint and state records</x:v>
      </x:c>
      <x:c r="C12" s="34" t="n">
        <x:v>112</x:v>
      </x:c>
      <x:c r="D12" s="34" t="n">
        <x:f>Assumptions!C85</x:f>
        <x:v>168</x:v>
      </x:c>
      <x:c r="E12" s="34" t="n">
        <x:f>D12-C12</x:f>
        <x:v>56</x:v>
      </x:c>
      <x:c r="F12" s="34" t="str">
        <x:v>Payload Configuration Authority</x:v>
      </x:c>
      <x:c r="G12" s="35" t="str">
        <x:f>IF(E12&gt;=0,"PASS","FAIL")</x:f>
        <x:v>PASS</x:v>
      </x:c>
      <x:c r="H12" s="2"/>
      <x:c r="I12" s="34" t="str">
        <x:v>weather, icing and atmospheric release</x:v>
      </x:c>
      <x:c r="J12" s="34" t="n">
        <x:v>8</x:v>
      </x:c>
      <x:c r="K12" s="34" t="n">
        <x:v>18</x:v>
      </x:c>
      <x:c r="L12" s="34" t="n">
        <x:v>2</x:v>
      </x:c>
      <x:c r="M12" s="34" t="str">
        <x:v>route and approach</x:v>
      </x:c>
      <x:c r="N12" s="35" t="str">
        <x:v>vehicle-scale climate boundary</x:v>
      </x:c>
    </x:row>
    <x:row r="13">
      <x:c r="B13" s="36" t="str">
        <x:v>crew, receiver and public-release handback</x:v>
      </x:c>
      <x:c r="C13" s="36" t="n">
        <x:v>96</x:v>
      </x:c>
      <x:c r="D13" s="36" t="n">
        <x:f>Assumptions!C85</x:f>
        <x:v>168</x:v>
      </x:c>
      <x:c r="E13" s="36" t="n">
        <x:f>D13-C13</x:f>
        <x:v>72</x:v>
      </x:c>
      <x:c r="F13" s="36" t="str">
        <x:v>Fourth Access Systems Command</x:v>
      </x:c>
      <x:c r="G13" s="37" t="str">
        <x:f>IF(E13&gt;=0,"PASS","FAIL")</x:f>
        <x:v>PASS</x:v>
      </x:c>
      <x:c r="H13" s="2"/>
      <x:c r="I13" s="34" t="str">
        <x:v>recovery and field structure</x:v>
      </x:c>
      <x:c r="J13" s="34" t="n">
        <x:v>12</x:v>
      </x:c>
      <x:c r="K13" s="34" t="n">
        <x:v>30</x:v>
      </x:c>
      <x:c r="L13" s="34" t="n">
        <x:v>4</x:v>
      </x:c>
      <x:c r="M13" s="34" t="str">
        <x:v>casualty and reset</x:v>
      </x:c>
      <x:c r="N13" s="35" t="str">
        <x:v>300 m damaged-article recovery</x:v>
      </x:c>
    </x:row>
    <x:row r="14">
      <x:c r="B14" s="2"/>
      <x:c r="C14" s="2"/>
      <x:c r="D14" s="2"/>
      <x:c r="E14" s="2"/>
      <x:c r="F14" s="2"/>
      <x:c r="G14" s="2"/>
      <x:c r="H14" s="2"/>
      <x:c r="I14" s="34" t="str">
        <x:v>crew refuge and mission-state safety</x:v>
      </x:c>
      <x:c r="J14" s="34" t="n">
        <x:v>8</x:v>
      </x:c>
      <x:c r="K14" s="34" t="n">
        <x:v>20</x:v>
      </x:c>
      <x:c r="L14" s="34" t="n">
        <x:v>2</x:v>
      </x:c>
      <x:c r="M14" s="34" t="str">
        <x:v>all phases</x:v>
      </x:c>
      <x:c r="N14" s="35" t="str">
        <x:v>two occupied safe states</x:v>
      </x:c>
    </x:row>
    <x:row r="15">
      <x:c r="B15" s="2"/>
      <x:c r="C15" s="2"/>
      <x:c r="D15" s="2"/>
      <x:c r="E15" s="2"/>
      <x:c r="F15" s="2"/>
      <x:c r="G15" s="2"/>
      <x:c r="H15" s="2"/>
      <x:c r="I15" s="34" t="str">
        <x:v>independent receiver control</x:v>
      </x:c>
      <x:c r="J15" s="34" t="n">
        <x:v>12</x:v>
      </x:c>
      <x:c r="K15" s="34" t="n">
        <x:v>28</x:v>
      </x:c>
      <x:c r="L15" s="34" t="n">
        <x:v>4</x:v>
      </x:c>
      <x:c r="M15" s="34" t="str">
        <x:v>approach through public handoff</x:v>
      </x:c>
      <x:c r="N15" s="35" t="str">
        <x:v>separate vehicle and civil authorities</x:v>
      </x:c>
    </x:row>
    <x:row r="16">
      <x:c r="B16" s="19" t="str">
        <x:v>Critical path</x:v>
      </x:c>
      <x:c r="C16" s="20" t="str">
        <x:v>Hours</x:v>
      </x:c>
      <x:c r="D16" s="20" t="str">
        <x:v>Ceiling</x:v>
      </x:c>
      <x:c r="E16" s="20" t="str">
        <x:v>Margin</x:v>
      </x:c>
      <x:c r="F16" s="21" t="str">
        <x:v>Result</x:v>
      </x:c>
      <x:c r="G16" s="2"/>
      <x:c r="H16" s="2"/>
      <x:c r="I16" s="36" t="str">
        <x:v>Complete HBL addition</x:v>
      </x:c>
      <x:c r="J16" s="36" t="n">
        <x:f>SUM(J8:J15)</x:f>
        <x:v>100</x:v>
      </x:c>
      <x:c r="K16" s="36" t="n">
        <x:f>SUM(K8:K15)</x:f>
        <x:v>234</x:v>
      </x:c>
      <x:c r="L16" s="36" t="n">
        <x:f>SUM(L8:L15)</x:f>
        <x:v>34</x:v>
      </x:c>
      <x:c r="M16" s="36" t="str"/>
      <x:c r="N16" s="37" t="str"/>
    </x:row>
    <x:row r="17">
      <x:c r="B17" s="2" t="str">
        <x:f>INDEX(B8:B13,MATCH(MAX(C8:C13),C8:C13,0))</x:f>
        <x:v>structure, envelope and twenty-four lift cells</x:v>
      </x:c>
      <x:c r="C17" s="2" t="n">
        <x:f>MAX(C8:C13)</x:f>
        <x:v>162</x:v>
      </x:c>
      <x:c r="D17" s="2" t="n">
        <x:f>Assumptions!C85</x:f>
        <x:v>168</x:v>
      </x:c>
      <x:c r="E17" s="2" t="n">
        <x:f>D17-C17</x:f>
        <x:v>6</x:v>
      </x:c>
      <x:c r="F17" s="2" t="str">
        <x:f>IF(E17&gt;=0,"PASS","FAIL")</x:f>
        <x:v>PASS</x:v>
      </x:c>
      <x:c r="G17" s="2"/>
      <x:c r="H17" s="2"/>
      <x:c r="I17" s="2"/>
      <x:c r="J17" s="2"/>
      <x:c r="K17" s="2"/>
      <x:c r="L17" s="2"/>
      <x:c r="M17" s="2"/>
      <x:c r="N17" s="2"/>
    </x:row>
    <x:row r="18"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B19" s="2"/>
      <x:c r="C19" s="2"/>
      <x:c r="D19" s="2"/>
      <x:c r="E19" s="2"/>
      <x:c r="F19" s="2"/>
      <x:c r="G19" s="2"/>
      <x:c r="H19" s="2"/>
      <x:c r="I19" s="8" t="str">
        <x:v>Revised DCP-2 workforce</x:v>
      </x:c>
      <x:c r="J19" s="9" t="str">
        <x:v>Revised DCP-2 workforce</x:v>
      </x:c>
      <x:c r="K19" s="9" t="str">
        <x:v>Revised DCP-2 workforce</x:v>
      </x:c>
      <x:c r="L19" s="9" t="str">
        <x:v>Revised DCP-2 workforce</x:v>
      </x:c>
      <x:c r="M19" s="9" t="str">
        <x:v>Revised DCP-2 workforce</x:v>
      </x:c>
      <x:c r="N19" s="10" t="str">
        <x:v>Revised DCP-2 workforce</x:v>
      </x:c>
    </x:row>
    <x:row r="20">
      <x:c r="B20" s="2"/>
      <x:c r="C20" s="2"/>
      <x:c r="D20" s="2"/>
      <x:c r="E20" s="2"/>
      <x:c r="F20" s="2"/>
      <x:c r="G20" s="2"/>
      <x:c r="H20" s="2"/>
      <x:c r="I20" s="26" t="str">
        <x:v>Boundary</x:v>
      </x:c>
      <x:c r="J20" s="27" t="str">
        <x:v>Pass 86</x:v>
      </x:c>
      <x:c r="K20" s="27" t="str">
        <x:v>Remove Pass 83</x:v>
      </x:c>
      <x:c r="L20" s="27" t="str">
        <x:v>Add Pass 87</x:v>
      </x:c>
      <x:c r="M20" s="27" t="str">
        <x:v>Revised</x:v>
      </x:c>
      <x:c r="N20" s="27" t="str">
        <x:v>Unit</x:v>
      </x:c>
    </x:row>
    <x:row r="21">
      <x:c r="B21" s="2"/>
      <x:c r="C21" s="2"/>
      <x:c r="D21" s="2"/>
      <x:c r="E21" s="2"/>
      <x:c r="F21" s="2"/>
      <x:c r="G21" s="2"/>
      <x:c r="H21" s="2"/>
      <x:c r="I21" s="34" t="str">
        <x:v>Deployed</x:v>
      </x:c>
      <x:c r="J21" s="34" t="n">
        <x:f>Assumptions!C98</x:f>
        <x:v>700</x:v>
      </x:c>
      <x:c r="K21" s="34" t="n">
        <x:f>Assumptions!C101</x:f>
        <x:v>42</x:v>
      </x:c>
      <x:c r="L21" s="34" t="n">
        <x:f>J16</x:f>
        <x:v>100</x:v>
      </x:c>
      <x:c r="M21" s="34" t="n">
        <x:f>J21-K21+L21</x:f>
        <x:v>758</x:v>
      </x:c>
      <x:c r="N21" s="35" t="str">
        <x:v>people</x:v>
      </x:c>
    </x:row>
    <x:row r="22">
      <x:c r="B22" s="2"/>
      <x:c r="C22" s="2"/>
      <x:c r="D22" s="2"/>
      <x:c r="E22" s="2"/>
      <x:c r="F22" s="2"/>
      <x:c r="G22" s="2"/>
      <x:c r="H22" s="2"/>
      <x:c r="I22" s="34" t="str">
        <x:v>Affiliated</x:v>
      </x:c>
      <x:c r="J22" s="34" t="n">
        <x:f>Assumptions!C99</x:f>
        <x:v>1557</x:v>
      </x:c>
      <x:c r="K22" s="34" t="n">
        <x:f>Assumptions!C102</x:f>
        <x:v>92</x:v>
      </x:c>
      <x:c r="L22" s="34" t="n">
        <x:f>K16</x:f>
        <x:v>234</x:v>
      </x:c>
      <x:c r="M22" s="34" t="n">
        <x:f>J22-K22+L22</x:f>
        <x:v>1699</x:v>
      </x:c>
      <x:c r="N22" s="35" t="str">
        <x:v>positions</x:v>
      </x:c>
    </x:row>
    <x:row r="23">
      <x:c r="B23" s="2"/>
      <x:c r="C23" s="2"/>
      <x:c r="D23" s="2"/>
      <x:c r="E23" s="2"/>
      <x:c r="F23" s="2"/>
      <x:c r="G23" s="2"/>
      <x:c r="H23" s="2"/>
      <x:c r="I23" s="36" t="str">
        <x:v>Minimum watch</x:v>
      </x:c>
      <x:c r="J23" s="36" t="n">
        <x:f>Assumptions!C100</x:f>
        <x:v>226</x:v>
      </x:c>
      <x:c r="K23" s="36" t="n">
        <x:f>Assumptions!C103</x:f>
        <x:v>16</x:v>
      </x:c>
      <x:c r="L23" s="36" t="n">
        <x:f>L16</x:f>
        <x:v>34</x:v>
      </x:c>
      <x:c r="M23" s="36" t="n">
        <x:f>J23-K23+L23</x:f>
        <x:v>244</x:v>
      </x:c>
      <x:c r="N23" s="37" t="str">
        <x:v>people</x:v>
      </x:c>
    </x:row>
    <x:row r="24"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</x:sheetData>
  <x:mergeCells>
    <x:mergeCell ref="B6:G6"/>
    <x:mergeCell ref="I6:N6"/>
    <x:mergeCell ref="I19:N19"/>
  </x:mergeCells>
  <x:conditionalFormatting sqref="G8:G13">
    <x:cfRule type="containsText" dxfId="54" priority="1" operator="containsText" text="FAIL"/>
    <x:cfRule type="containsText" dxfId="55" priority="2" operator="containsText" text="PASS"/>
    <x:cfRule type="containsText" dxfId="56" priority="3" operator="containsText" text="BLOCKED"/>
  </x:conditionalFormatting>
  <x:conditionalFormatting sqref="F17:F17">
    <x:cfRule type="containsText" dxfId="57" priority="4" operator="containsText" text="FAIL"/>
    <x:cfRule type="containsText" dxfId="58" priority="5" operator="containsText" text="PASS"/>
    <x:cfRule type="containsText" dxfId="59" priority="6" operator="containsText" text="BLOCK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0" hidden="0" customWidth="1"/>
    <x:col min="3" max="3" width="15" hidden="0" customWidth="1"/>
    <x:col min="4" max="4" width="16" hidden="0" customWidth="1"/>
    <x:col min="5" max="5" width="24" hidden="0" customWidth="1"/>
    <x:col min="6" max="6" width="18" hidden="0" customWidth="1"/>
    <x:col min="7" max="7" width="48" hidden="0" customWidth="1"/>
    <x:col min="8" max="8" width="3" hidden="0" customWidth="1"/>
    <x:col min="9" max="9" width="40" hidden="0" customWidth="1"/>
    <x:col min="10" max="10" width="16" hidden="0" customWidth="1"/>
    <x:col min="11" max="11" width="27" hidden="0" customWidth="1"/>
    <x:col min="12" max="12" width="18" hidden="0" customWidth="1"/>
    <x:col min="13" max="13" width="18" hidden="0" customWidth="1"/>
    <x:col min="14" max="14" width="16" hidden="0" customWidth="1"/>
  </x:cols>
  <x:sheetData>
    <x:row r="2">
      <x:c r="B2" s="3" t="str">
        <x:v>Atmospheric-carrier industrial program and fiscal reconciliation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B3" s="4" t="str">
        <x:v>The corrected carrier is a national hydrogen, aerostructure, propulsion, receiver and recovery sector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>
      <x:c r="B6" s="8" t="str">
        <x:v>GCH-340R twenty-five-year program</x:v>
      </x:c>
      <x:c r="C6" s="9" t="str">
        <x:v>GCH-340R twenty-five-year program</x:v>
      </x:c>
      <x:c r="D6" s="9" t="str">
        <x:v>GCH-340R twenty-five-year program</x:v>
      </x:c>
      <x:c r="E6" s="9" t="str">
        <x:v>GCH-340R twenty-five-year program</x:v>
      </x:c>
      <x:c r="F6" s="9" t="str">
        <x:v>GCH-340R twenty-five-year program</x:v>
      </x:c>
      <x:c r="G6" s="10" t="str">
        <x:v>GCH-340R twenty-five-year program</x:v>
      </x:c>
      <x:c r="H6" s="2"/>
      <x:c r="I6" s="8" t="str">
        <x:v>Industrial system</x:v>
      </x:c>
      <x:c r="J6" s="9" t="str">
        <x:v>Industrial system</x:v>
      </x:c>
      <x:c r="K6" s="9" t="str">
        <x:v>Industrial system</x:v>
      </x:c>
      <x:c r="L6" s="9" t="str">
        <x:v>Industrial system</x:v>
      </x:c>
      <x:c r="M6" s="9" t="str">
        <x:v>Industrial system</x:v>
      </x:c>
      <x:c r="N6" s="10" t="str">
        <x:v>Industrial system</x:v>
      </x:c>
    </x:row>
    <x:row r="7">
      <x:c r="B7" s="26" t="str">
        <x:v>Program line</x:v>
      </x:c>
      <x:c r="C7" s="27" t="str">
        <x:v>Driver</x:v>
      </x:c>
      <x:c r="D7" s="27" t="str">
        <x:v>Rate</x:v>
      </x:c>
      <x:c r="E7" s="27" t="str">
        <x:v>Unit</x:v>
      </x:c>
      <x:c r="F7" s="27" t="str">
        <x:v>Value $B</x:v>
      </x:c>
      <x:c r="G7" s="27" t="str">
        <x:v>Interpretation</x:v>
      </x:c>
      <x:c r="H7" s="2"/>
      <x:c r="I7" s="26" t="str">
        <x:v>Control</x:v>
      </x:c>
      <x:c r="J7" s="27" t="str">
        <x:v>Reference</x:v>
      </x:c>
      <x:c r="K7" s="27" t="str">
        <x:v>Unit</x:v>
      </x:c>
      <x:c r="L7" s="27" t="str">
        <x:v>Prior</x:v>
      </x:c>
      <x:c r="M7" s="27" t="str">
        <x:v>Change</x:v>
      </x:c>
      <x:c r="N7" s="27" t="str">
        <x:v>Evidence</x:v>
      </x:c>
    </x:row>
    <x:row r="8">
      <x:c r="B8" s="34" t="str">
        <x:v>Ready-pair lifecycle</x:v>
      </x:c>
      <x:c r="C8" s="34" t="n">
        <x:v>43</x:v>
      </x:c>
      <x:c r="D8" s="34" t="n">
        <x:v>17.6</x:v>
      </x:c>
      <x:c r="E8" s="34" t="str">
        <x:v>$B / pair</x:v>
      </x:c>
      <x:c r="F8" s="64" t="n">
        <x:f>C8*D8</x:f>
        <x:v>756.8000000000001</x:v>
      </x:c>
      <x:c r="G8" s="35" t="str">
        <x:v>43 operational pairs through full life</x:v>
      </x:c>
      <x:c r="H8" s="2"/>
      <x:c r="I8" s="34" t="str">
        <x:v>Final integration lines</x:v>
      </x:c>
      <x:c r="J8" s="34" t="n">
        <x:v>3</x:v>
      </x:c>
      <x:c r="K8" s="34" t="str">
        <x:v>lines</x:v>
      </x:c>
      <x:c r="L8" s="34" t="n">
        <x:v>2</x:v>
      </x:c>
      <x:c r="M8" s="34" t="n">
        <x:v>1</x:v>
      </x:c>
      <x:c r="N8" s="35" t="str">
        <x:v>OPEN</x:v>
      </x:c>
    </x:row>
    <x:row r="9">
      <x:c r="B9" s="34" t="str">
        <x:v>Development and test articles</x:v>
      </x:c>
      <x:c r="C9" s="34" t="n">
        <x:v>14</x:v>
      </x:c>
      <x:c r="D9" s="34" t="n">
        <x:v>5</x:v>
      </x:c>
      <x:c r="E9" s="34" t="str">
        <x:v>$B / article</x:v>
      </x:c>
      <x:c r="F9" s="64" t="n">
        <x:f>C9*D9</x:f>
        <x:v>70</x:v>
      </x:c>
      <x:c r="G9" s="35" t="str">
        <x:v>instrumented, climatic and destructive fleet</x:v>
      </x:c>
      <x:c r="H9" s="2"/>
      <x:c r="I9" s="34" t="str">
        <x:v>Qualified primary-structure lineages</x:v>
      </x:c>
      <x:c r="J9" s="34" t="n">
        <x:v>3</x:v>
      </x:c>
      <x:c r="K9" s="34" t="str">
        <x:v>lineages</x:v>
      </x:c>
      <x:c r="L9" s="34" t="n">
        <x:v>2</x:v>
      </x:c>
      <x:c r="M9" s="34" t="n">
        <x:v>1</x:v>
      </x:c>
      <x:c r="N9" s="35" t="str">
        <x:v>OPEN</x:v>
      </x:c>
    </x:row>
    <x:row r="10">
      <x:c r="B10" s="34" t="str">
        <x:v>Reserve vehicles</x:v>
      </x:c>
      <x:c r="C10" s="34" t="n">
        <x:v>18</x:v>
      </x:c>
      <x:c r="D10" s="34" t="n">
        <x:v>4.6</x:v>
      </x:c>
      <x:c r="E10" s="34" t="str">
        <x:v>$B / vehicle</x:v>
      </x:c>
      <x:c r="F10" s="64" t="n">
        <x:f>C10*D10</x:f>
        <x:v>82.8</x:v>
      </x:c>
      <x:c r="G10" s="35" t="str">
        <x:v>attrition and overhaul pool</x:v>
      </x:c>
      <x:c r="H10" s="2"/>
      <x:c r="I10" s="34" t="str">
        <x:v>Lift-cell membrane lineages</x:v>
      </x:c>
      <x:c r="J10" s="34" t="n">
        <x:v>3</x:v>
      </x:c>
      <x:c r="K10" s="34" t="str">
        <x:v>lineages</x:v>
      </x:c>
      <x:c r="L10" s="34" t="n">
        <x:v>0</x:v>
      </x:c>
      <x:c r="M10" s="34" t="n">
        <x:v>3</x:v>
      </x:c>
      <x:c r="N10" s="35" t="str">
        <x:v>OPEN</x:v>
      </x:c>
    </x:row>
    <x:row r="11">
      <x:c r="B11" s="34" t="str">
        <x:v>Architecture R&amp;D</x:v>
      </x:c>
      <x:c r="C11" s="34" t="n">
        <x:v>1</x:v>
      </x:c>
      <x:c r="D11" s="34" t="n">
        <x:v>220</x:v>
      </x:c>
      <x:c r="E11" s="34" t="str">
        <x:v>$B</x:v>
      </x:c>
      <x:c r="F11" s="64" t="n">
        <x:f>C11*D11</x:f>
        <x:v>220</x:v>
      </x:c>
      <x:c r="G11" s="35" t="str">
        <x:v>structure, lift, energy and controls</x:v>
      </x:c>
      <x:c r="H11" s="2"/>
      <x:c r="I11" s="34" t="str">
        <x:v>Hydrogen conversion lineages</x:v>
      </x:c>
      <x:c r="J11" s="34" t="n">
        <x:v>3</x:v>
      </x:c>
      <x:c r="K11" s="34" t="str">
        <x:v>lineages</x:v>
      </x:c>
      <x:c r="L11" s="34" t="n">
        <x:v>2</x:v>
      </x:c>
      <x:c r="M11" s="34" t="n">
        <x:v>1</x:v>
      </x:c>
      <x:c r="N11" s="35" t="str">
        <x:v>OPEN</x:v>
      </x:c>
    </x:row>
    <x:row r="12">
      <x:c r="B12" s="34" t="str">
        <x:v>Production tooling</x:v>
      </x:c>
      <x:c r="C12" s="34" t="n">
        <x:v>1</x:v>
      </x:c>
      <x:c r="D12" s="34" t="n">
        <x:v>160</x:v>
      </x:c>
      <x:c r="E12" s="34" t="str">
        <x:v>$B</x:v>
      </x:c>
      <x:c r="F12" s="64" t="n">
        <x:f>C12*D12</x:f>
        <x:v>160</x:v>
      </x:c>
      <x:c r="G12" s="35" t="str">
        <x:v>three integration lines and plural subsystem lines</x:v>
      </x:c>
      <x:c r="H12" s="2"/>
      <x:c r="I12" s="34" t="str">
        <x:v>Propulsor suppliers</x:v>
      </x:c>
      <x:c r="J12" s="34" t="n">
        <x:v>4</x:v>
      </x:c>
      <x:c r="K12" s="34" t="str">
        <x:v>suppliers</x:v>
      </x:c>
      <x:c r="L12" s="34" t="n">
        <x:v>3</x:v>
      </x:c>
      <x:c r="M12" s="34" t="n">
        <x:v>1</x:v>
      </x:c>
      <x:c r="N12" s="35" t="str">
        <x:v>OPEN</x:v>
      </x:c>
    </x:row>
    <x:row r="13">
      <x:c r="B13" s="34" t="str">
        <x:v>Base capital expansion</x:v>
      </x:c>
      <x:c r="C13" s="34" t="n">
        <x:v>43</x:v>
      </x:c>
      <x:c r="D13" s="34" t="n">
        <x:v>0.65</x:v>
      </x:c>
      <x:c r="E13" s="34" t="str">
        <x:v>$B / pair</x:v>
      </x:c>
      <x:c r="F13" s="64" t="n">
        <x:f>C13*D13</x:f>
        <x:v>27.95</x:v>
      </x:c>
      <x:c r="G13" s="35" t="str">
        <x:v>hydrogen, cells, landing and recovery</x:v>
      </x:c>
      <x:c r="H13" s="2"/>
      <x:c r="I13" s="34" t="str">
        <x:v>Contact-system lineages</x:v>
      </x:c>
      <x:c r="J13" s="34" t="n">
        <x:v>3</x:v>
      </x:c>
      <x:c r="K13" s="34" t="str">
        <x:v>lineages</x:v>
      </x:c>
      <x:c r="L13" s="34" t="n">
        <x:v>2</x:v>
      </x:c>
      <x:c r="M13" s="34" t="n">
        <x:v>1</x:v>
      </x:c>
      <x:c r="N13" s="35" t="str">
        <x:v>OPEN</x:v>
      </x:c>
    </x:row>
    <x:row r="14">
      <x:c r="B14" s="34" t="str">
        <x:v>Base operating expansion</x:v>
      </x:c>
      <x:c r="C14" s="34" t="n">
        <x:v>43</x:v>
      </x:c>
      <x:c r="D14" s="34" t="n">
        <x:v>0.04</x:v>
      </x:c>
      <x:c r="E14" s="34" t="str">
        <x:v>$B / pair-year</x:v>
      </x:c>
      <x:c r="F14" s="64" t="n">
        <x:f>C14*D14*Assumptions!C90</x:f>
        <x:v>27.1932</x:v>
      </x:c>
      <x:c r="G14" s="35" t="str">
        <x:v>times 15.81 ramp-weighted years</x:v>
      </x:c>
      <x:c r="H14" s="2"/>
      <x:c r="I14" s="34" t="str">
        <x:v>Compound atmospheric ranges</x:v>
      </x:c>
      <x:c r="J14" s="34" t="n">
        <x:v>8</x:v>
      </x:c>
      <x:c r="K14" s="34" t="str">
        <x:v>ranges</x:v>
      </x:c>
      <x:c r="L14" s="34" t="n">
        <x:v>0</x:v>
      </x:c>
      <x:c r="M14" s="34" t="n">
        <x:v>8</x:v>
      </x:c>
      <x:c r="N14" s="35" t="str">
        <x:v>OPEN</x:v>
      </x:c>
    </x:row>
    <x:row r="15">
      <x:c r="B15" s="34" t="str">
        <x:v>Full-scale proving</x:v>
      </x:c>
      <x:c r="C15" s="34" t="n">
        <x:v>1</x:v>
      </x:c>
      <x:c r="D15" s="34" t="n">
        <x:v>120</x:v>
      </x:c>
      <x:c r="E15" s="34" t="str">
        <x:v>$B</x:v>
      </x:c>
      <x:c r="F15" s="64" t="n">
        <x:f>C15*D15</x:f>
        <x:v>120</x:v>
      </x:c>
      <x:c r="G15" s="35" t="str">
        <x:v>climate flight, unload, casualty and recovery</x:v>
      </x:c>
      <x:c r="H15" s="2"/>
      <x:c r="I15" s="34" t="str">
        <x:v>Peak production rate</x:v>
      </x:c>
      <x:c r="J15" s="34" t="n">
        <x:v>8</x:v>
      </x:c>
      <x:c r="K15" s="34" t="str">
        <x:v>vehicles/year</x:v>
      </x:c>
      <x:c r="L15" s="34" t="n">
        <x:v>8</x:v>
      </x:c>
      <x:c r="M15" s="34" t="n">
        <x:v>0</x:v>
      </x:c>
      <x:c r="N15" s="35" t="str">
        <x:v>OPEN</x:v>
      </x:c>
    </x:row>
    <x:row r="16">
      <x:c r="B16" s="34" t="str">
        <x:v>Certification and training</x:v>
      </x:c>
      <x:c r="C16" s="34" t="n">
        <x:v>1</x:v>
      </x:c>
      <x:c r="D16" s="34" t="n">
        <x:v>60</x:v>
      </x:c>
      <x:c r="E16" s="34" t="str">
        <x:v>$B</x:v>
      </x:c>
      <x:c r="F16" s="64" t="n">
        <x:f>C16*D16</x:f>
        <x:v>60</x:v>
      </x:c>
      <x:c r="G16" s="35" t="str">
        <x:v>new airworthiness, receiver and civil-release professions</x:v>
      </x:c>
      <x:c r="H16" s="2"/>
      <x:c r="I16" s="36" t="str">
        <x:v>Wider industrial ecosystem</x:v>
      </x:c>
      <x:c r="J16" s="36" t="n">
        <x:v>105000</x:v>
      </x:c>
      <x:c r="K16" s="36" t="str">
        <x:v>workers</x:v>
      </x:c>
      <x:c r="L16" s="36" t="n">
        <x:v>65000</x:v>
      </x:c>
      <x:c r="M16" s="36" t="n">
        <x:v>40000</x:v>
      </x:c>
      <x:c r="N16" s="37" t="str">
        <x:v>OPEN</x:v>
      </x:c>
    </x:row>
    <x:row r="17">
      <x:c r="B17" s="34" t="str">
        <x:v>Hydrogen and lift-gas infrastructure</x:v>
      </x:c>
      <x:c r="C17" s="34" t="n">
        <x:v>1</x:v>
      </x:c>
      <x:c r="D17" s="34" t="n">
        <x:v>80</x:v>
      </x:c>
      <x:c r="E17" s="34" t="str">
        <x:v>$B</x:v>
      </x:c>
      <x:c r="F17" s="64" t="n">
        <x:f>C17*D17</x:f>
        <x:v>80</x:v>
      </x:c>
      <x:c r="G17" s="35" t="str">
        <x:v>production, custody, recovery and refill</x:v>
      </x:c>
      <x:c r="H17" s="2"/>
      <x:c r="I17" s="2"/>
      <x:c r="J17" s="2"/>
      <x:c r="K17" s="2"/>
      <x:c r="L17" s="2"/>
      <x:c r="M17" s="2"/>
      <x:c r="N17" s="2"/>
    </x:row>
    <x:row r="18">
      <x:c r="B18" s="34" t="str">
        <x:v>National recovery and depots</x:v>
      </x:c>
      <x:c r="C18" s="34" t="n">
        <x:v>1</x:v>
      </x:c>
      <x:c r="D18" s="34" t="n">
        <x:v>70</x:v>
      </x:c>
      <x:c r="E18" s="34" t="str">
        <x:v>$B</x:v>
      </x:c>
      <x:c r="F18" s="64" t="n">
        <x:f>C18*D18</x:f>
        <x:v>70</x:v>
      </x:c>
      <x:c r="G18" s="35" t="str">
        <x:v>300 m article stabilization and repair</x:v>
      </x:c>
      <x:c r="H18" s="2"/>
      <x:c r="I18" s="2"/>
      <x:c r="J18" s="2"/>
      <x:c r="K18" s="2"/>
      <x:c r="L18" s="2"/>
      <x:c r="M18" s="2"/>
      <x:c r="N18" s="2"/>
    </x:row>
    <x:row r="19">
      <x:c r="B19" s="34" t="str">
        <x:v>Industrial reserve and substitutions</x:v>
      </x:c>
      <x:c r="C19" s="34" t="n">
        <x:v>1</x:v>
      </x:c>
      <x:c r="D19" s="34" t="n">
        <x:v>55</x:v>
      </x:c>
      <x:c r="E19" s="34" t="str">
        <x:v>$B</x:v>
      </x:c>
      <x:c r="F19" s="64" t="n">
        <x:f>C19*D19</x:f>
        <x:v>55</x:v>
      </x:c>
      <x:c r="G19" s="35" t="str">
        <x:v>qualified alternate materials and control hardware</x:v>
      </x:c>
      <x:c r="H19" s="2"/>
      <x:c r="I19" s="2"/>
      <x:c r="J19" s="2"/>
      <x:c r="K19" s="2"/>
      <x:c r="L19" s="2"/>
      <x:c r="M19" s="2"/>
      <x:c r="N19" s="2"/>
    </x:row>
    <x:row r="20">
      <x:c r="B20" s="36" t="str">
        <x:v>GCH-340R program</x:v>
      </x:c>
      <x:c r="C20" s="36"/>
      <x:c r="D20" s="36"/>
      <x:c r="E20" s="36"/>
      <x:c r="F20" s="65" t="n">
        <x:f>SUM(F8:F19)</x:f>
        <x:v>1729.7432</x:v>
      </x:c>
      <x:c r="G20" s="37"/>
      <x:c r="H20" s="2"/>
      <x:c r="I20" s="2"/>
      <x:c r="J20" s="2"/>
      <x:c r="K20" s="2"/>
      <x:c r="L20" s="2"/>
      <x:c r="M20" s="2"/>
      <x:c r="N20" s="2"/>
    </x:row>
    <x:row r="21"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B23" s="8" t="str">
        <x:v>DCP-2 and national reconciliation</x:v>
      </x:c>
      <x:c r="C23" s="9" t="str">
        <x:v>DCP-2 and national reconciliation</x:v>
      </x:c>
      <x:c r="D23" s="9" t="str">
        <x:v>DCP-2 and national reconciliation</x:v>
      </x:c>
      <x:c r="E23" s="9" t="str">
        <x:v>DCP-2 and national reconciliation</x:v>
      </x:c>
      <x:c r="F23" s="9" t="str">
        <x:v>DCP-2 and national reconciliation</x:v>
      </x:c>
      <x:c r="G23" s="9" t="str">
        <x:v>DCP-2 and national reconciliation</x:v>
      </x:c>
      <x:c r="H23" s="9" t="str">
        <x:v>DCP-2 and national reconciliation</x:v>
      </x:c>
      <x:c r="I23" s="9" t="str">
        <x:v>DCP-2 and national reconciliation</x:v>
      </x:c>
      <x:c r="J23" s="9" t="str">
        <x:v>DCP-2 and national reconciliation</x:v>
      </x:c>
      <x:c r="K23" s="9" t="str">
        <x:v>DCP-2 and national reconciliation</x:v>
      </x:c>
      <x:c r="L23" s="9" t="str">
        <x:v>DCP-2 and national reconciliation</x:v>
      </x:c>
      <x:c r="M23" s="9" t="str">
        <x:v>DCP-2 and national reconciliation</x:v>
      </x:c>
      <x:c r="N23" s="10" t="str">
        <x:v>DCP-2 and national reconciliation</x:v>
      </x:c>
    </x:row>
    <x:row r="24">
      <x:c r="B24" s="26" t="str">
        <x:v>Boundary</x:v>
      </x:c>
      <x:c r="C24" s="27" t="str">
        <x:v>Pass 87 $B</x:v>
      </x:c>
      <x:c r="D24" s="27" t="str">
        <x:v>Pass 86 $B</x:v>
      </x:c>
      <x:c r="E24" s="27" t="str">
        <x:v>Change $B</x:v>
      </x:c>
      <x:c r="F24" s="27" t="str">
        <x:v>Status</x:v>
      </x:c>
      <x:c r="G24" s="2"/>
      <x:c r="H24" s="2"/>
      <x:c r="I24" s="2"/>
      <x:c r="J24" s="2"/>
      <x:c r="K24" s="2"/>
      <x:c r="L24" s="2"/>
      <x:c r="M24" s="2"/>
      <x:c r="N24" s="2"/>
    </x:row>
    <x:row r="25">
      <x:c r="B25" s="34" t="str">
        <x:v>Non-GCH non-SAT remainder</x:v>
      </x:c>
      <x:c r="C25" s="64" t="n">
        <x:f>Assumptions!C92-Assumptions!C91</x:f>
        <x:v>294.7264000000001</x:v>
      </x:c>
      <x:c r="D25" s="64" t="n">
        <x:f>Assumptions!C92-Assumptions!C91</x:f>
        <x:v>294.7264000000001</x:v>
      </x:c>
      <x:c r="E25" s="64" t="n">
        <x:f>C25-D25</x:f>
        <x:v>0</x:v>
      </x:c>
      <x:c r="F25" s="35" t="str">
        <x:v>RECONCILED</x:v>
      </x:c>
      <x:c r="G25" s="2"/>
      <x:c r="H25" s="2"/>
      <x:c r="I25" s="2"/>
      <x:c r="J25" s="2"/>
      <x:c r="K25" s="2"/>
      <x:c r="L25" s="2"/>
      <x:c r="M25" s="2"/>
      <x:c r="N25" s="2"/>
    </x:row>
    <x:row r="26">
      <x:c r="B26" s="34" t="str">
        <x:v>GCH-340R program</x:v>
      </x:c>
      <x:c r="C26" s="64" t="n">
        <x:f>F20</x:f>
        <x:v>1729.7432</x:v>
      </x:c>
      <x:c r="D26" s="64" t="n">
        <x:f>Assumptions!C91</x:f>
        <x:v>932.25745</x:v>
      </x:c>
      <x:c r="E26" s="64" t="n">
        <x:f>C26-D26</x:f>
        <x:v>797.4857499999999</x:v>
      </x:c>
      <x:c r="F26" s="35" t="str">
        <x:v>RECONCILED</x:v>
      </x:c>
      <x:c r="G26" s="2"/>
      <x:c r="H26" s="2"/>
      <x:c r="I26" s="2"/>
      <x:c r="J26" s="2"/>
      <x:c r="K26" s="2"/>
      <x:c r="L26" s="2"/>
      <x:c r="M26" s="2"/>
      <x:c r="N26" s="2"/>
    </x:row>
    <x:row r="27">
      <x:c r="B27" s="34" t="str">
        <x:v>Revised non-SAT remainder</x:v>
      </x:c>
      <x:c r="C27" s="64" t="n">
        <x:f>SUM(C25:C26)</x:f>
        <x:v>2024.4696</x:v>
      </x:c>
      <x:c r="D27" s="64" t="n">
        <x:f>Assumptions!C92</x:f>
        <x:v>1226.98385</x:v>
      </x:c>
      <x:c r="E27" s="64" t="n">
        <x:f>C27-D27</x:f>
        <x:v>797.4857499999998</x:v>
      </x:c>
      <x:c r="F27" s="35" t="str">
        <x:v>RECONCILED</x:v>
      </x:c>
      <x:c r="G27" s="2"/>
      <x:c r="H27" s="2"/>
      <x:c r="I27" s="2"/>
      <x:c r="J27" s="2"/>
      <x:c r="K27" s="2"/>
      <x:c r="L27" s="2"/>
      <x:c r="M27" s="2"/>
      <x:c r="N27" s="2"/>
    </x:row>
    <x:row r="28">
      <x:c r="B28" s="34" t="str">
        <x:v>SAT-170R program</x:v>
      </x:c>
      <x:c r="C28" s="64" t="n">
        <x:f>Assumptions!C93</x:f>
        <x:v>1582.04456</x:v>
      </x:c>
      <x:c r="D28" s="64" t="n">
        <x:f>Assumptions!C93</x:f>
        <x:v>1582.04456</x:v>
      </x:c>
      <x:c r="E28" s="64" t="n">
        <x:f>C28-D28</x:f>
        <x:v>0</x:v>
      </x:c>
      <x:c r="F28" s="35" t="str">
        <x:v>RECONCILED</x:v>
      </x:c>
      <x:c r="G28" s="2"/>
      <x:c r="H28" s="2"/>
      <x:c r="I28" s="2"/>
      <x:c r="J28" s="2"/>
      <x:c r="K28" s="2"/>
      <x:c r="L28" s="2"/>
      <x:c r="M28" s="2"/>
      <x:c r="N28" s="2"/>
    </x:row>
    <x:row r="29">
      <x:c r="B29" s="34" t="str">
        <x:v>Federated receiver increment</x:v>
      </x:c>
      <x:c r="C29" s="64" t="n">
        <x:f>Assumptions!C94</x:f>
        <x:v>170.78694</x:v>
      </x:c>
      <x:c r="D29" s="64" t="n">
        <x:f>Assumptions!C94</x:f>
        <x:v>170.78694</x:v>
      </x:c>
      <x:c r="E29" s="64" t="n">
        <x:f>C29-D29</x:f>
        <x:v>0</x:v>
      </x:c>
      <x:c r="F29" s="35" t="str">
        <x:v>RECONCILED</x:v>
      </x:c>
      <x:c r="G29" s="2"/>
      <x:c r="H29" s="2"/>
      <x:c r="I29" s="2"/>
      <x:c r="J29" s="2"/>
      <x:c r="K29" s="2"/>
      <x:c r="L29" s="2"/>
      <x:c r="M29" s="2"/>
      <x:c r="N29" s="2"/>
    </x:row>
    <x:row r="30">
      <x:c r="B30" s="34" t="str">
        <x:v>Revised DCP-2</x:v>
      </x:c>
      <x:c r="C30" s="64" t="n">
        <x:f>SUM(C27:C29)</x:f>
        <x:v>3777.3010999999997</x:v>
      </x:c>
      <x:c r="D30" s="64" t="n">
        <x:f>Assumptions!C96</x:f>
        <x:v>2979.81535</x:v>
      </x:c>
      <x:c r="E30" s="64" t="n">
        <x:f>C30-D30</x:f>
        <x:v>797.4857499999998</x:v>
      </x:c>
      <x:c r="F30" s="35" t="str">
        <x:v>RECONCILED</x:v>
      </x:c>
      <x:c r="G30" s="2"/>
      <x:c r="H30" s="2"/>
      <x:c r="I30" s="2"/>
      <x:c r="J30" s="2"/>
      <x:c r="K30" s="2"/>
      <x:c r="L30" s="2"/>
      <x:c r="M30" s="2"/>
      <x:c r="N30" s="2"/>
    </x:row>
    <x:row r="31">
      <x:c r="B31" s="34" t="str">
        <x:v>Dynamic one-region base</x:v>
      </x:c>
      <x:c r="C31" s="64" t="n">
        <x:f>Assumptions!C95</x:f>
        <x:v>7383.14155</x:v>
      </x:c>
      <x:c r="D31" s="64" t="n">
        <x:f>Assumptions!C95</x:f>
        <x:v>7383.14155</x:v>
      </x:c>
      <x:c r="E31" s="64" t="n">
        <x:f>C31-D31</x:f>
        <x:v>0</x:v>
      </x:c>
      <x:c r="F31" s="35" t="str">
        <x:v>RECONCILED</x:v>
      </x:c>
      <x:c r="G31" s="2"/>
      <x:c r="H31" s="2"/>
      <x:c r="I31" s="2"/>
      <x:c r="J31" s="2"/>
      <x:c r="K31" s="2"/>
      <x:c r="L31" s="2"/>
      <x:c r="M31" s="2"/>
      <x:c r="N31" s="2"/>
    </x:row>
    <x:row r="32">
      <x:c r="B32" s="36" t="str">
        <x:v>Revised national boundary</x:v>
      </x:c>
      <x:c r="C32" s="65" t="n">
        <x:f>C30+C31</x:f>
        <x:v>11160.44265</x:v>
      </x:c>
      <x:c r="D32" s="65" t="n">
        <x:f>Assumptions!C97</x:f>
        <x:v>10362.9569</x:v>
      </x:c>
      <x:c r="E32" s="65" t="n">
        <x:f>C32-D32</x:f>
        <x:v>797.4857500000016</x:v>
      </x:c>
      <x:c r="F32" s="37" t="str">
        <x:v>RECONCILED</x:v>
      </x:c>
      <x:c r="G32" s="2"/>
      <x:c r="H32" s="2"/>
      <x:c r="I32" s="2"/>
      <x:c r="J32" s="2"/>
      <x:c r="K32" s="2"/>
      <x:c r="L32" s="2"/>
      <x:c r="M32" s="2"/>
      <x:c r="N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B35" s="8" t="str">
        <x:v>Twenty-five-year article schedule</x:v>
      </x:c>
      <x:c r="C35" s="9" t="str">
        <x:v>Twenty-five-year article schedule</x:v>
      </x:c>
      <x:c r="D35" s="9" t="str">
        <x:v>Twenty-five-year article schedule</x:v>
      </x:c>
      <x:c r="E35" s="9" t="str">
        <x:v>Twenty-five-year article schedule</x:v>
      </x:c>
      <x:c r="F35" s="9" t="str">
        <x:v>Twenty-five-year article schedule</x:v>
      </x:c>
      <x:c r="G35" s="9" t="str">
        <x:v>Twenty-five-year article schedule</x:v>
      </x:c>
      <x:c r="H35" s="9" t="str">
        <x:v>Twenty-five-year article schedule</x:v>
      </x:c>
      <x:c r="I35" s="8" t="str">
        <x:v>Article requirement</x:v>
      </x:c>
      <x:c r="J35" s="9" t="str">
        <x:v>Twenty-five-year article schedule</x:v>
      </x:c>
      <x:c r="K35" s="9" t="str">
        <x:v>Twenty-five-year article schedule</x:v>
      </x:c>
      <x:c r="L35" s="9" t="str">
        <x:v>Twenty-five-year article schedule</x:v>
      </x:c>
      <x:c r="M35" s="9" t="str">
        <x:v>Twenty-five-year article schedule</x:v>
      </x:c>
      <x:c r="N35" s="10" t="str">
        <x:v>Twenty-five-year article schedule</x:v>
      </x:c>
    </x:row>
    <x:row r="36">
      <x:c r="B36" s="26" t="str">
        <x:v>Program year</x:v>
      </x:c>
      <x:c r="C36" s="27" t="str">
        <x:v>Articles</x:v>
      </x:c>
      <x:c r="D36" s="27" t="str">
        <x:v>Cumulative</x:v>
      </x:c>
      <x:c r="E36" s="27" t="str">
        <x:v>Phase</x:v>
      </x:c>
      <x:c r="F36" s="27" t="str">
        <x:v>Peak rate</x:v>
      </x:c>
      <x:c r="G36" s="27" t="str">
        <x:v>Result</x:v>
      </x:c>
      <x:c r="H36" s="2"/>
      <x:c r="I36" s="26" t="str">
        <x:v>Class</x:v>
      </x:c>
      <x:c r="J36" s="27" t="str">
        <x:v>Quantity</x:v>
      </x:c>
      <x:c r="K36" s="27" t="str">
        <x:v>Basis</x:v>
      </x:c>
      <x:c r="L36" s="27" t="str">
        <x:v>Production total</x:v>
      </x:c>
      <x:c r="M36" s="27" t="str">
        <x:v>Difference</x:v>
      </x:c>
      <x:c r="N36" s="27" t="str">
        <x:v>Result</x:v>
      </x:c>
    </x:row>
    <x:row r="37">
      <x:c r="B37" s="34" t="n">
        <x:v>1</x:v>
      </x:c>
      <x:c r="C37" s="34" t="n">
        <x:v>0</x:v>
      </x:c>
      <x:c r="D37" s="34" t="n">
        <x:f>C37</x:f>
        <x:v>0</x:v>
      </x:c>
      <x:c r="E37" s="34" t="str">
        <x:v>technology maturation</x:v>
      </x:c>
      <x:c r="F37" s="34" t="n">
        <x:v>8</x:v>
      </x:c>
      <x:c r="G37" s="35" t="str">
        <x:f>IF(C37&lt;=F37,"PASS","FAIL")</x:f>
        <x:v>PASS</x:v>
      </x:c>
      <x:c r="H37" s="2"/>
      <x:c r="I37" s="34" t="str">
        <x:v>operational</x:v>
      </x:c>
      <x:c r="J37" s="34" t="n">
        <x:v>86</x:v>
      </x:c>
      <x:c r="K37" s="34" t="str">
        <x:v>two per ready pair</x:v>
      </x:c>
      <x:c r="L37" s="34"/>
      <x:c r="M37" s="34"/>
      <x:c r="N37" s="35"/>
    </x:row>
    <x:row r="38">
      <x:c r="B38" s="34" t="n">
        <x:v>2</x:v>
      </x:c>
      <x:c r="C38" s="34" t="n">
        <x:v>0</x:v>
      </x:c>
      <x:c r="D38" s="34" t="n">
        <x:f>D37+C38</x:f>
        <x:v>0</x:v>
      </x:c>
      <x:c r="E38" s="34" t="str">
        <x:v>technology maturation</x:v>
      </x:c>
      <x:c r="F38" s="34" t="n">
        <x:v>8</x:v>
      </x:c>
      <x:c r="G38" s="35" t="str">
        <x:f>IF(C38&lt;=F38,"PASS","FAIL")</x:f>
        <x:v>PASS</x:v>
      </x:c>
      <x:c r="H38" s="2"/>
      <x:c r="I38" s="34" t="str">
        <x:v>reserve</x:v>
      </x:c>
      <x:c r="J38" s="34" t="n">
        <x:v>18</x:v>
      </x:c>
      <x:c r="K38" s="34" t="str">
        <x:v>overhaul and attrition</x:v>
      </x:c>
      <x:c r="L38" s="34"/>
      <x:c r="M38" s="34"/>
      <x:c r="N38" s="35"/>
    </x:row>
    <x:row r="39">
      <x:c r="B39" s="34" t="n">
        <x:v>3</x:v>
      </x:c>
      <x:c r="C39" s="34" t="n">
        <x:v>0</x:v>
      </x:c>
      <x:c r="D39" s="34" t="n">
        <x:f>D38+C39</x:f>
        <x:v>0</x:v>
      </x:c>
      <x:c r="E39" s="34" t="str">
        <x:v>technology maturation</x:v>
      </x:c>
      <x:c r="F39" s="34" t="n">
        <x:v>8</x:v>
      </x:c>
      <x:c r="G39" s="35" t="str">
        <x:f>IF(C39&lt;=F39,"PASS","FAIL")</x:f>
        <x:v>PASS</x:v>
      </x:c>
      <x:c r="H39" s="2"/>
      <x:c r="I39" s="34" t="str">
        <x:v>development and test</x:v>
      </x:c>
      <x:c r="J39" s="34" t="n">
        <x:v>14</x:v>
      </x:c>
      <x:c r="K39" s="34" t="str">
        <x:v>non-operational evidence</x:v>
      </x:c>
      <x:c r="L39" s="34"/>
      <x:c r="M39" s="34"/>
      <x:c r="N39" s="35"/>
    </x:row>
    <x:row r="40">
      <x:c r="B40" s="34" t="n">
        <x:v>4</x:v>
      </x:c>
      <x:c r="C40" s="34" t="n">
        <x:v>0</x:v>
      </x:c>
      <x:c r="D40" s="34" t="n">
        <x:f>D39+C40</x:f>
        <x:v>0</x:v>
      </x:c>
      <x:c r="E40" s="34" t="str">
        <x:v>technology maturation</x:v>
      </x:c>
      <x:c r="F40" s="34" t="n">
        <x:v>8</x:v>
      </x:c>
      <x:c r="G40" s="35" t="str">
        <x:f>IF(C40&lt;=F40,"PASS","FAIL")</x:f>
        <x:v>PASS</x:v>
      </x:c>
      <x:c r="H40" s="2"/>
      <x:c r="I40" s="36" t="str">
        <x:v>Total</x:v>
      </x:c>
      <x:c r="J40" s="36" t="n">
        <x:f>SUM(J37:J39)</x:f>
        <x:v>118</x:v>
      </x:c>
      <x:c r="K40" s="36" t="str">
        <x:v>complete production objective</x:v>
      </x:c>
      <x:c r="L40" s="36" t="n">
        <x:f>D61</x:f>
        <x:v>118</x:v>
      </x:c>
      <x:c r="M40" s="36" t="n">
        <x:f>L40-J40</x:f>
        <x:v>0</x:v>
      </x:c>
      <x:c r="N40" s="37" t="str">
        <x:f>IF(M40=0,"PASS","FAIL")</x:f>
        <x:v>PASS</x:v>
      </x:c>
    </x:row>
    <x:row r="41">
      <x:c r="B41" s="34" t="n">
        <x:v>5</x:v>
      </x:c>
      <x:c r="C41" s="34" t="n">
        <x:v>2</x:v>
      </x:c>
      <x:c r="D41" s="34" t="n">
        <x:f>D40+C41</x:f>
        <x:v>2</x:v>
      </x:c>
      <x:c r="E41" s="34" t="str">
        <x:v>development and test</x:v>
      </x:c>
      <x:c r="F41" s="34" t="n">
        <x:v>8</x:v>
      </x:c>
      <x:c r="G41" s="35" t="str">
        <x:f>IF(C41&lt;=F41,"PASS","FAIL")</x:f>
        <x:v>PASS</x:v>
      </x:c>
      <x:c r="H41" s="2"/>
      <x:c r="I41" s="2"/>
      <x:c r="J41" s="2"/>
      <x:c r="K41" s="2"/>
      <x:c r="L41" s="2"/>
      <x:c r="M41" s="2"/>
      <x:c r="N41" s="2"/>
    </x:row>
    <x:row r="42">
      <x:c r="B42" s="34" t="n">
        <x:v>6</x:v>
      </x:c>
      <x:c r="C42" s="34" t="n">
        <x:v>4</x:v>
      </x:c>
      <x:c r="D42" s="34" t="n">
        <x:f>D41+C42</x:f>
        <x:v>6</x:v>
      </x:c>
      <x:c r="E42" s="34" t="str">
        <x:v>development and test</x:v>
      </x:c>
      <x:c r="F42" s="34" t="n">
        <x:v>8</x:v>
      </x:c>
      <x:c r="G42" s="35" t="str">
        <x:f>IF(C42&lt;=F42,"PASS","FAIL")</x:f>
        <x:v>PASS</x:v>
      </x:c>
      <x:c r="H42" s="2"/>
      <x:c r="I42" s="2"/>
      <x:c r="J42" s="2"/>
      <x:c r="K42" s="2"/>
      <x:c r="L42" s="2"/>
      <x:c r="M42" s="2"/>
      <x:c r="N42" s="2"/>
    </x:row>
    <x:row r="43">
      <x:c r="B43" s="34" t="n">
        <x:v>7</x:v>
      </x:c>
      <x:c r="C43" s="34" t="n">
        <x:v>6</x:v>
      </x:c>
      <x:c r="D43" s="34" t="n">
        <x:f>D42+C43</x:f>
        <x:v>12</x:v>
      </x:c>
      <x:c r="E43" s="34" t="str">
        <x:v>development and test</x:v>
      </x:c>
      <x:c r="F43" s="34" t="n">
        <x:v>8</x:v>
      </x:c>
      <x:c r="G43" s="35" t="str">
        <x:f>IF(C43&lt;=F43,"PASS","FAIL")</x:f>
        <x:v>PASS</x:v>
      </x:c>
      <x:c r="H43" s="2"/>
      <x:c r="I43" s="2"/>
      <x:c r="J43" s="2"/>
      <x:c r="K43" s="2"/>
      <x:c r="L43" s="2"/>
      <x:c r="M43" s="2"/>
      <x:c r="N43" s="2"/>
    </x:row>
    <x:row r="44">
      <x:c r="B44" s="34" t="n">
        <x:v>8</x:v>
      </x:c>
      <x:c r="C44" s="34" t="n">
        <x:v>8</x:v>
      </x:c>
      <x:c r="D44" s="34" t="n">
        <x:f>D43+C44</x:f>
        <x:v>20</x:v>
      </x:c>
      <x:c r="E44" s="34" t="str">
        <x:v>development and test</x:v>
      </x:c>
      <x:c r="F44" s="34" t="n">
        <x:v>8</x:v>
      </x:c>
      <x:c r="G44" s="35" t="str">
        <x:f>IF(C44&lt;=F44,"PASS","FAIL")</x:f>
        <x:v>PASS</x:v>
      </x:c>
      <x:c r="H44" s="2"/>
      <x:c r="I44" s="2"/>
      <x:c r="J44" s="2"/>
      <x:c r="K44" s="2"/>
      <x:c r="L44" s="2"/>
      <x:c r="M44" s="2"/>
      <x:c r="N44" s="2"/>
    </x:row>
    <x:row r="45">
      <x:c r="B45" s="34" t="n">
        <x:v>9</x:v>
      </x:c>
      <x:c r="C45" s="34" t="n">
        <x:v>8</x:v>
      </x:c>
      <x:c r="D45" s="34" t="n">
        <x:f>D44+C45</x:f>
        <x:v>28</x:v>
      </x:c>
      <x:c r="E45" s="34" t="str">
        <x:v>fleet production</x:v>
      </x:c>
      <x:c r="F45" s="34" t="n">
        <x:v>8</x:v>
      </x:c>
      <x:c r="G45" s="35" t="str">
        <x:f>IF(C45&lt;=F45,"PASS","FAIL")</x:f>
        <x:v>PASS</x:v>
      </x:c>
      <x:c r="H45" s="2"/>
      <x:c r="I45" s="2"/>
      <x:c r="J45" s="2"/>
      <x:c r="K45" s="2"/>
      <x:c r="L45" s="2"/>
      <x:c r="M45" s="2"/>
      <x:c r="N45" s="2"/>
    </x:row>
    <x:row r="46">
      <x:c r="B46" s="34" t="n">
        <x:v>10</x:v>
      </x:c>
      <x:c r="C46" s="34" t="n">
        <x:v>8</x:v>
      </x:c>
      <x:c r="D46" s="34" t="n">
        <x:f>D45+C46</x:f>
        <x:v>36</x:v>
      </x:c>
      <x:c r="E46" s="34" t="str">
        <x:v>fleet production</x:v>
      </x:c>
      <x:c r="F46" s="34" t="n">
        <x:v>8</x:v>
      </x:c>
      <x:c r="G46" s="35" t="str">
        <x:f>IF(C46&lt;=F46,"PASS","FAIL")</x:f>
        <x:v>PASS</x:v>
      </x:c>
      <x:c r="H46" s="2"/>
      <x:c r="I46" s="2"/>
      <x:c r="J46" s="2"/>
      <x:c r="K46" s="2"/>
      <x:c r="L46" s="2"/>
      <x:c r="M46" s="2"/>
      <x:c r="N46" s="2"/>
    </x:row>
    <x:row r="47">
      <x:c r="B47" s="34" t="n">
        <x:v>11</x:v>
      </x:c>
      <x:c r="C47" s="34" t="n">
        <x:v>8</x:v>
      </x:c>
      <x:c r="D47" s="34" t="n">
        <x:f>D46+C47</x:f>
        <x:v>44</x:v>
      </x:c>
      <x:c r="E47" s="34" t="str">
        <x:v>fleet production</x:v>
      </x:c>
      <x:c r="F47" s="34" t="n">
        <x:v>8</x:v>
      </x:c>
      <x:c r="G47" s="35" t="str">
        <x:f>IF(C47&lt;=F47,"PASS","FAIL")</x:f>
        <x:v>PASS</x:v>
      </x:c>
      <x:c r="H47" s="2"/>
      <x:c r="I47" s="2"/>
      <x:c r="J47" s="2"/>
      <x:c r="K47" s="2"/>
      <x:c r="L47" s="2"/>
      <x:c r="M47" s="2"/>
      <x:c r="N47" s="2"/>
    </x:row>
    <x:row r="48">
      <x:c r="B48" s="34" t="n">
        <x:v>12</x:v>
      </x:c>
      <x:c r="C48" s="34" t="n">
        <x:v>8</x:v>
      </x:c>
      <x:c r="D48" s="34" t="n">
        <x:f>D47+C48</x:f>
        <x:v>52</x:v>
      </x:c>
      <x:c r="E48" s="34" t="str">
        <x:v>fleet production</x:v>
      </x:c>
      <x:c r="F48" s="34" t="n">
        <x:v>8</x:v>
      </x:c>
      <x:c r="G48" s="35" t="str">
        <x:f>IF(C48&lt;=F48,"PASS","FAIL")</x:f>
        <x:v>PASS</x:v>
      </x:c>
      <x:c r="H48" s="2"/>
      <x:c r="I48" s="2"/>
      <x:c r="J48" s="2"/>
      <x:c r="K48" s="2"/>
      <x:c r="L48" s="2"/>
      <x:c r="M48" s="2"/>
      <x:c r="N48" s="2"/>
    </x:row>
    <x:row r="49">
      <x:c r="B49" s="34" t="n">
        <x:v>13</x:v>
      </x:c>
      <x:c r="C49" s="34" t="n">
        <x:v>8</x:v>
      </x:c>
      <x:c r="D49" s="34" t="n">
        <x:f>D48+C49</x:f>
        <x:v>60</x:v>
      </x:c>
      <x:c r="E49" s="34" t="str">
        <x:v>fleet production</x:v>
      </x:c>
      <x:c r="F49" s="34" t="n">
        <x:v>8</x:v>
      </x:c>
      <x:c r="G49" s="35" t="str">
        <x:f>IF(C49&lt;=F49,"PASS","FAIL")</x:f>
        <x:v>PASS</x:v>
      </x:c>
      <x:c r="H49" s="2"/>
      <x:c r="I49" s="2"/>
      <x:c r="J49" s="2"/>
      <x:c r="K49" s="2"/>
      <x:c r="L49" s="2"/>
      <x:c r="M49" s="2"/>
      <x:c r="N49" s="2"/>
    </x:row>
    <x:row r="50">
      <x:c r="B50" s="34" t="n">
        <x:v>14</x:v>
      </x:c>
      <x:c r="C50" s="34" t="n">
        <x:v>8</x:v>
      </x:c>
      <x:c r="D50" s="34" t="n">
        <x:f>D49+C50</x:f>
        <x:v>68</x:v>
      </x:c>
      <x:c r="E50" s="34" t="str">
        <x:v>fleet production</x:v>
      </x:c>
      <x:c r="F50" s="34" t="n">
        <x:v>8</x:v>
      </x:c>
      <x:c r="G50" s="35" t="str">
        <x:f>IF(C50&lt;=F50,"PASS","FAIL")</x:f>
        <x:v>PASS</x:v>
      </x:c>
      <x:c r="H50" s="2"/>
      <x:c r="I50" s="2"/>
      <x:c r="J50" s="2"/>
      <x:c r="K50" s="2"/>
      <x:c r="L50" s="2"/>
      <x:c r="M50" s="2"/>
      <x:c r="N50" s="2"/>
    </x:row>
    <x:row r="51">
      <x:c r="B51" s="34" t="n">
        <x:v>15</x:v>
      </x:c>
      <x:c r="C51" s="34" t="n">
        <x:v>8</x:v>
      </x:c>
      <x:c r="D51" s="34" t="n">
        <x:f>D50+C51</x:f>
        <x:v>76</x:v>
      </x:c>
      <x:c r="E51" s="34" t="str">
        <x:v>fleet production</x:v>
      </x:c>
      <x:c r="F51" s="34" t="n">
        <x:v>8</x:v>
      </x:c>
      <x:c r="G51" s="35" t="str">
        <x:f>IF(C51&lt;=F51,"PASS","FAIL")</x:f>
        <x:v>PASS</x:v>
      </x:c>
      <x:c r="H51" s="2"/>
      <x:c r="I51" s="2"/>
      <x:c r="J51" s="2"/>
      <x:c r="K51" s="2"/>
      <x:c r="L51" s="2"/>
      <x:c r="M51" s="2"/>
      <x:c r="N51" s="2"/>
    </x:row>
    <x:row r="52">
      <x:c r="B52" s="34" t="n">
        <x:v>16</x:v>
      </x:c>
      <x:c r="C52" s="34" t="n">
        <x:v>8</x:v>
      </x:c>
      <x:c r="D52" s="34" t="n">
        <x:f>D51+C52</x:f>
        <x:v>84</x:v>
      </x:c>
      <x:c r="E52" s="34" t="str">
        <x:v>fleet production</x:v>
      </x:c>
      <x:c r="F52" s="34" t="n">
        <x:v>8</x:v>
      </x:c>
      <x:c r="G52" s="35" t="str">
        <x:f>IF(C52&lt;=F52,"PASS","FAIL")</x:f>
        <x:v>PASS</x:v>
      </x:c>
      <x:c r="H52" s="2"/>
      <x:c r="I52" s="2"/>
      <x:c r="J52" s="2"/>
      <x:c r="K52" s="2"/>
      <x:c r="L52" s="2"/>
      <x:c r="M52" s="2"/>
      <x:c r="N52" s="2"/>
    </x:row>
    <x:row r="53">
      <x:c r="B53" s="34" t="n">
        <x:v>17</x:v>
      </x:c>
      <x:c r="C53" s="34" t="n">
        <x:v>8</x:v>
      </x:c>
      <x:c r="D53" s="34" t="n">
        <x:f>D52+C53</x:f>
        <x:v>92</x:v>
      </x:c>
      <x:c r="E53" s="34" t="str">
        <x:v>fleet production</x:v>
      </x:c>
      <x:c r="F53" s="34" t="n">
        <x:v>8</x:v>
      </x:c>
      <x:c r="G53" s="35" t="str">
        <x:f>IF(C53&lt;=F53,"PASS","FAIL")</x:f>
        <x:v>PASS</x:v>
      </x:c>
      <x:c r="H53" s="2"/>
      <x:c r="I53" s="2"/>
      <x:c r="J53" s="2"/>
      <x:c r="K53" s="2"/>
      <x:c r="L53" s="2"/>
      <x:c r="M53" s="2"/>
      <x:c r="N53" s="2"/>
    </x:row>
    <x:row r="54">
      <x:c r="B54" s="34" t="n">
        <x:v>18</x:v>
      </x:c>
      <x:c r="C54" s="34" t="n">
        <x:v>8</x:v>
      </x:c>
      <x:c r="D54" s="34" t="n">
        <x:f>D53+C54</x:f>
        <x:v>100</x:v>
      </x:c>
      <x:c r="E54" s="34" t="str">
        <x:v>fleet production</x:v>
      </x:c>
      <x:c r="F54" s="34" t="n">
        <x:v>8</x:v>
      </x:c>
      <x:c r="G54" s="35" t="str">
        <x:f>IF(C54&lt;=F54,"PASS","FAIL")</x:f>
        <x:v>PASS</x:v>
      </x:c>
      <x:c r="H54" s="2"/>
      <x:c r="I54" s="2"/>
      <x:c r="J54" s="2"/>
      <x:c r="K54" s="2"/>
      <x:c r="L54" s="2"/>
      <x:c r="M54" s="2"/>
      <x:c r="N54" s="2"/>
    </x:row>
    <x:row r="55">
      <x:c r="B55" s="34" t="n">
        <x:v>19</x:v>
      </x:c>
      <x:c r="C55" s="34" t="n">
        <x:v>8</x:v>
      </x:c>
      <x:c r="D55" s="34" t="n">
        <x:f>D54+C55</x:f>
        <x:v>108</x:v>
      </x:c>
      <x:c r="E55" s="34" t="str">
        <x:v>fleet production</x:v>
      </x:c>
      <x:c r="F55" s="34" t="n">
        <x:v>8</x:v>
      </x:c>
      <x:c r="G55" s="35" t="str">
        <x:f>IF(C55&lt;=F55,"PASS","FAIL")</x:f>
        <x:v>PASS</x:v>
      </x:c>
      <x:c r="H55" s="2"/>
      <x:c r="I55" s="2"/>
      <x:c r="J55" s="2"/>
      <x:c r="K55" s="2"/>
      <x:c r="L55" s="2"/>
      <x:c r="M55" s="2"/>
      <x:c r="N55" s="2"/>
    </x:row>
    <x:row r="56">
      <x:c r="B56" s="34" t="n">
        <x:v>20</x:v>
      </x:c>
      <x:c r="C56" s="34" t="n">
        <x:v>8</x:v>
      </x:c>
      <x:c r="D56" s="34" t="n">
        <x:f>D55+C56</x:f>
        <x:v>116</x:v>
      </x:c>
      <x:c r="E56" s="34" t="str">
        <x:v>fleet production</x:v>
      </x:c>
      <x:c r="F56" s="34" t="n">
        <x:v>8</x:v>
      </x:c>
      <x:c r="G56" s="35" t="str">
        <x:f>IF(C56&lt;=F56,"PASS","FAIL")</x:f>
        <x:v>PASS</x:v>
      </x:c>
      <x:c r="H56" s="2"/>
      <x:c r="I56" s="2"/>
      <x:c r="J56" s="2"/>
      <x:c r="K56" s="2"/>
      <x:c r="L56" s="2"/>
      <x:c r="M56" s="2"/>
      <x:c r="N56" s="2"/>
    </x:row>
    <x:row r="57">
      <x:c r="B57" s="34" t="n">
        <x:v>21</x:v>
      </x:c>
      <x:c r="C57" s="34" t="n">
        <x:v>2</x:v>
      </x:c>
      <x:c r="D57" s="34" t="n">
        <x:f>D56+C57</x:f>
        <x:v>118</x:v>
      </x:c>
      <x:c r="E57" s="34" t="str">
        <x:v>fleet production</x:v>
      </x:c>
      <x:c r="F57" s="34" t="n">
        <x:v>8</x:v>
      </x:c>
      <x:c r="G57" s="35" t="str">
        <x:f>IF(C57&lt;=F57,"PASS","FAIL")</x:f>
        <x:v>PASS</x:v>
      </x:c>
      <x:c r="H57" s="2"/>
      <x:c r="I57" s="2"/>
      <x:c r="J57" s="2"/>
      <x:c r="K57" s="2"/>
      <x:c r="L57" s="2"/>
      <x:c r="M57" s="2"/>
      <x:c r="N57" s="2"/>
    </x:row>
    <x:row r="58">
      <x:c r="B58" s="34" t="n">
        <x:v>22</x:v>
      </x:c>
      <x:c r="C58" s="34" t="n">
        <x:v>0</x:v>
      </x:c>
      <x:c r="D58" s="34" t="n">
        <x:f>D57+C58</x:f>
        <x:v>118</x:v>
      </x:c>
      <x:c r="E58" s="34" t="str">
        <x:v>sustainment transition</x:v>
      </x:c>
      <x:c r="F58" s="34" t="n">
        <x:v>8</x:v>
      </x:c>
      <x:c r="G58" s="35" t="str">
        <x:f>IF(C58&lt;=F58,"PASS","FAIL")</x:f>
        <x:v>PASS</x:v>
      </x:c>
      <x:c r="H58" s="2"/>
      <x:c r="I58" s="2"/>
      <x:c r="J58" s="2"/>
      <x:c r="K58" s="2"/>
      <x:c r="L58" s="2"/>
      <x:c r="M58" s="2"/>
      <x:c r="N58" s="2"/>
    </x:row>
    <x:row r="59">
      <x:c r="B59" s="34" t="n">
        <x:v>23</x:v>
      </x:c>
      <x:c r="C59" s="34" t="n">
        <x:v>0</x:v>
      </x:c>
      <x:c r="D59" s="34" t="n">
        <x:f>D58+C59</x:f>
        <x:v>118</x:v>
      </x:c>
      <x:c r="E59" s="34" t="str">
        <x:v>sustainment transition</x:v>
      </x:c>
      <x:c r="F59" s="34" t="n">
        <x:v>8</x:v>
      </x:c>
      <x:c r="G59" s="35" t="str">
        <x:f>IF(C59&lt;=F59,"PASS","FAIL")</x:f>
        <x:v>PASS</x:v>
      </x:c>
      <x:c r="H59" s="2"/>
      <x:c r="I59" s="2"/>
      <x:c r="J59" s="2"/>
      <x:c r="K59" s="2"/>
      <x:c r="L59" s="2"/>
      <x:c r="M59" s="2"/>
      <x:c r="N59" s="2"/>
    </x:row>
    <x:row r="60">
      <x:c r="B60" s="34" t="n">
        <x:v>24</x:v>
      </x:c>
      <x:c r="C60" s="34" t="n">
        <x:v>0</x:v>
      </x:c>
      <x:c r="D60" s="34" t="n">
        <x:f>D59+C60</x:f>
        <x:v>118</x:v>
      </x:c>
      <x:c r="E60" s="34" t="str">
        <x:v>sustainment transition</x:v>
      </x:c>
      <x:c r="F60" s="34" t="n">
        <x:v>8</x:v>
      </x:c>
      <x:c r="G60" s="35" t="str">
        <x:f>IF(C60&lt;=F60,"PASS","FAIL")</x:f>
        <x:v>PASS</x:v>
      </x:c>
      <x:c r="H60" s="2"/>
      <x:c r="I60" s="2"/>
      <x:c r="J60" s="2"/>
      <x:c r="K60" s="2"/>
      <x:c r="L60" s="2"/>
      <x:c r="M60" s="2"/>
      <x:c r="N60" s="2"/>
    </x:row>
    <x:row r="61">
      <x:c r="B61" s="36" t="n">
        <x:v>25</x:v>
      </x:c>
      <x:c r="C61" s="36" t="n">
        <x:v>0</x:v>
      </x:c>
      <x:c r="D61" s="36" t="n">
        <x:f>D60+C61</x:f>
        <x:v>118</x:v>
      </x:c>
      <x:c r="E61" s="36" t="str">
        <x:v>sustainment transition</x:v>
      </x:c>
      <x:c r="F61" s="36" t="n">
        <x:v>8</x:v>
      </x:c>
      <x:c r="G61" s="37" t="str">
        <x:f>IF(C61&lt;=F61,"PASS","FAIL")</x:f>
        <x:v>PASS</x:v>
      </x:c>
      <x:c r="H61" s="2"/>
      <x:c r="I61" s="2"/>
      <x:c r="J61" s="2"/>
      <x:c r="K61" s="2"/>
      <x:c r="L61" s="2"/>
      <x:c r="M61" s="2"/>
      <x:c r="N61" s="2"/>
    </x:row>
    <x:row r="62"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</x:sheetData>
  <x:mergeCells>
    <x:mergeCell ref="B6:G6"/>
    <x:mergeCell ref="I6:N6"/>
    <x:mergeCell ref="B23:N23"/>
    <x:mergeCell ref="B35:N35"/>
    <x:mergeCell ref="I35:N35"/>
  </x:mergeCells>
  <x:conditionalFormatting sqref="G37:G61">
    <x:cfRule type="containsText" dxfId="60" priority="1" operator="containsText" text="FAIL"/>
    <x:cfRule type="containsText" dxfId="61" priority="2" operator="containsText" text="PASS"/>
    <x:cfRule type="containsText" dxfId="62" priority="3" operator="containsText" text="BLOCKED"/>
  </x:conditionalFormatting>
  <x:conditionalFormatting sqref="N40:N40">
    <x:cfRule type="containsText" dxfId="63" priority="4" operator="containsText" text="FAIL"/>
    <x:cfRule type="containsText" dxfId="64" priority="5" operator="containsText" text="PASS"/>
    <x:cfRule type="containsText" dxfId="65" priority="6" operator="containsText" text="BLOCK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4" hidden="0" customWidth="1"/>
    <x:col min="4" max="4" width="40" hidden="0" customWidth="1"/>
    <x:col min="5" max="5" width="16" hidden="0" customWidth="1"/>
    <x:col min="6" max="6" width="34" hidden="0" customWidth="1"/>
    <x:col min="7" max="7" width="40" hidden="0" customWidth="1"/>
    <x:col min="8" max="8" width="42" hidden="0" customWidth="1"/>
    <x:col min="9" max="9" width="30" hidden="0" customWidth="1"/>
    <x:col min="10" max="10" width="14" hidden="0" customWidth="1"/>
  </x:cols>
  <x:sheetData>
    <x:row r="2">
      <x:c r="B2" s="3" t="str">
        <x:v>$600B GCH-340R technology and proving portfolio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Every campaign owns a physical contradiction, representative object, destructive trial and stop rule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26" t="str">
        <x:v>Campaign</x:v>
      </x:c>
      <x:c r="C6" s="27" t="str">
        <x:v>$B</x:v>
      </x:c>
      <x:c r="D6" s="27" t="str">
        <x:v>Decisive coefficient</x:v>
      </x:c>
      <x:c r="E6" s="27" t="str">
        <x:v>Rival lineages</x:v>
      </x:c>
      <x:c r="F6" s="27" t="str">
        <x:v>Representative object</x:v>
      </x:c>
      <x:c r="G6" s="27" t="str">
        <x:v>Destructive trial</x:v>
      </x:c>
      <x:c r="H6" s="27" t="str">
        <x:v>Failure transition</x:v>
      </x:c>
      <x:c r="I6" s="27" t="str">
        <x:v>Owner</x:v>
      </x:c>
      <x:c r="J6" s="27" t="str">
        <x:v>State</x:v>
      </x:c>
    </x:row>
    <x:row r="7">
      <x:c r="B7" s="34" t="str">
        <x:v>Cellular lifting-body structure</x:v>
      </x:c>
      <x:c r="C7" s="34" t="n">
        <x:v>35</x:v>
      </x:c>
      <x:c r="D7" s="34" t="str">
        <x:v>950,000 m3 at 275 t primary structure</x:v>
      </x:c>
      <x:c r="E7" s="34" t="n">
        <x:v>3</x:v>
      </x:c>
      <x:c r="F7" s="34" t="str">
        <x:v>full-scale three-bay shell</x:v>
      </x:c>
      <x:c r="G7" s="34" t="str">
        <x:v>pressure, gust and local buckling</x:v>
      </x:c>
      <x:c r="H7" s="34" t="str">
        <x:v>mass or propagation breaks lift closure</x:v>
      </x:c>
      <x:c r="I7" s="34" t="str">
        <x:v>Heavy Aerostructures Directorate</x:v>
      </x:c>
      <x:c r="J7" s="35" t="str">
        <x:v>OPEN</x:v>
      </x:c>
    </x:row>
    <x:row r="8">
      <x:c r="B8" s="34" t="str">
        <x:v>Hydrogen lift-cell materials</x:v>
      </x:c>
      <x:c r="C8" s="34" t="n">
        <x:v>40</x:v>
      </x:c>
      <x:c r="D8" s="34" t="str">
        <x:v>24 isolated cells</x:v>
      </x:c>
      <x:c r="E8" s="34" t="n">
        <x:v>3</x:v>
      </x:c>
      <x:c r="F8" s="34" t="str">
        <x:v>four-cell bay</x:v>
      </x:c>
      <x:c r="G8" s="34" t="str">
        <x:v>tear, permeation, lightning and fire</x:v>
      </x:c>
      <x:c r="H8" s="34" t="str">
        <x:v>one breach propagates beyond one cell</x:v>
      </x:c>
      <x:c r="I8" s="34" t="str">
        <x:v>Lift Systems Laboratory</x:v>
      </x:c>
      <x:c r="J8" s="35" t="str">
        <x:v>OPEN</x:v>
      </x:c>
    </x:row>
    <x:row r="9">
      <x:c r="B9" s="34" t="str">
        <x:v>Lift-gas-to-water conversion</x:v>
      </x:c>
      <x:c r="C9" s="34" t="n">
        <x:v>45</x:v>
      </x:c>
      <x:c r="D9" s="34" t="str">
        <x:v>20.611 t support per t H2</x:v>
      </x:c>
      <x:c r="E9" s="34" t="n">
        <x:v>4</x:v>
      </x:c>
      <x:c r="F9" s="34" t="str">
        <x:v>one full 32 MW train</x:v>
      </x:c>
      <x:c r="G9" s="34" t="str">
        <x:v>cold-dense unload with train loss</x:v>
      </x:c>
      <x:c r="H9" s="34" t="str">
        <x:v>authority or rate misses transfer clock</x:v>
      </x:c>
      <x:c r="I9" s="34" t="str">
        <x:v>Variable Support Office</x:v>
      </x:c>
      <x:c r="J9" s="35" t="str">
        <x:v>OPEN</x:v>
      </x:c>
    </x:row>
    <x:row r="10">
      <x:c r="B10" s="34" t="str">
        <x:v>Cryogenic hydrogen mission energy</x:v>
      </x:c>
      <x:c r="C10" s="34" t="n">
        <x:v>40</x:v>
      </x:c>
      <x:c r="D10" s="34" t="str">
        <x:v>16.65 MWh/t usable</x:v>
      </x:c>
      <x:c r="E10" s="34" t="n">
        <x:v>3</x:v>
      </x:c>
      <x:c r="F10" s="34" t="str">
        <x:v>one fuel citadel</x:v>
      </x:c>
      <x:c r="G10" s="34" t="str">
        <x:v>impact, boil-off and one-bus loss</x:v>
      </x:c>
      <x:c r="H10" s="34" t="str">
        <x:v>specific energy and containment miss mass</x:v>
      </x:c>
      <x:c r="I10" s="34" t="str">
        <x:v>Atmospheric Energy Directorate</x:v>
      </x:c>
      <x:c r="J10" s="35" t="str">
        <x:v>OPEN</x:v>
      </x:c>
    </x:row>
    <x:row r="11">
      <x:c r="B11" s="34" t="str">
        <x:v>Distributed propulsion</x:v>
      </x:c>
      <x:c r="C11" s="34" t="n">
        <x:v>35</x:v>
      </x:c>
      <x:c r="D11" s="34" t="str">
        <x:v>192 MW across 12 pods</x:v>
      </x:c>
      <x:c r="E11" s="34" t="n">
        <x:v>4</x:v>
      </x:c>
      <x:c r="F11" s="34" t="str">
        <x:v>three-pod rig</x:v>
      </x:c>
      <x:c r="G11" s="34" t="str">
        <x:v>N-2 power and vector thrust</x:v>
      </x:c>
      <x:c r="H11" s="34" t="str">
        <x:v>placement or gust control is lost</x:v>
      </x:c>
      <x:c r="I11" s="34" t="str">
        <x:v>Propulsion Systems Directorate</x:v>
      </x:c>
      <x:c r="J11" s="35" t="str">
        <x:v>OPEN</x:v>
      </x:c>
    </x:row>
    <x:row r="12">
      <x:c r="B12" s="34" t="str">
        <x:v>Propulsion-hull interaction</x:v>
      </x:c>
      <x:c r="C12" s="34" t="n">
        <x:v>30</x:v>
      </x:c>
      <x:c r="D12" s="34" t="str">
        <x:v>L/D 12 at 240 km/h</x:v>
      </x:c>
      <x:c r="E12" s="34" t="n">
        <x:v>3</x:v>
      </x:c>
      <x:c r="F12" s="34" t="str">
        <x:v>powered half-body</x:v>
      </x:c>
      <x:c r="G12" s="34" t="str">
        <x:v>separation, gust and pod loss</x:v>
      </x:c>
      <x:c r="H12" s="34" t="str">
        <x:v>drag or control breaks clock</x:v>
      </x:c>
      <x:c r="I12" s="34" t="str">
        <x:v>National Aerodynamics Laboratory</x:v>
      </x:c>
      <x:c r="J12" s="35" t="str">
        <x:v>OPEN</x:v>
      </x:c>
    </x:row>
    <x:row r="13">
      <x:c r="B13" s="34" t="str">
        <x:v>Slow-flight aerodynamic lift</x:v>
      </x:c>
      <x:c r="C13" s="34" t="n">
        <x:v>30</x:v>
      </x:c>
      <x:c r="D13" s="34" t="str">
        <x:v>675 t dynamic capacity</x:v>
      </x:c>
      <x:c r="E13" s="34" t="n">
        <x:v>3</x:v>
      </x:c>
      <x:c r="F13" s="34" t="str">
        <x:v>full lifting-body demonstrator</x:v>
      </x:c>
      <x:c r="G13" s="34" t="str">
        <x:v>hot-high one-cell-loss approach</x:v>
      </x:c>
      <x:c r="H13" s="34" t="str">
        <x:v>dynamic lift or stall margin fails</x:v>
      </x:c>
      <x:c r="I13" s="34" t="str">
        <x:v>Flight Sciences Directorate</x:v>
      </x:c>
      <x:c r="J13" s="35" t="str">
        <x:v>OPEN</x:v>
      </x:c>
    </x:row>
    <x:row r="14">
      <x:c r="B14" s="34" t="str">
        <x:v>Thermal and exhaust control</x:v>
      </x:c>
      <x:c r="C14" s="34" t="n">
        <x:v>25</x:v>
      </x:c>
      <x:c r="D14" s="34" t="str">
        <x:v>480 m2; 72% exhaust heat</x:v>
      </x:c>
      <x:c r="E14" s="34" t="n">
        <x:v>3</x:v>
      </x:c>
      <x:c r="F14" s="34" t="str">
        <x:v>two-panel energy bay</x:v>
      </x:c>
      <x:c r="G14" s="34" t="str">
        <x:v>stationary conversion under fouling</x:v>
      </x:c>
      <x:c r="H14" s="34" t="str">
        <x:v>heat or public plume exceeds limit</x:v>
      </x:c>
      <x:c r="I14" s="34" t="str">
        <x:v>Thermal Systems Laboratory</x:v>
      </x:c>
      <x:c r="J14" s="35" t="str">
        <x:v>OPEN</x:v>
      </x:c>
    </x:row>
    <x:row r="15">
      <x:c r="B15" s="34" t="str">
        <x:v>Contact and mooring</x:v>
      </x:c>
      <x:c r="C15" s="34" t="n">
        <x:v>35</x:v>
      </x:c>
      <x:c r="D15" s="34" t="str">
        <x:v>160 m2; 6.0 MN no-anchor resistance</x:v>
      </x:c>
      <x:c r="E15" s="34" t="n">
        <x:v>3</x:v>
      </x:c>
      <x:c r="F15" s="34" t="str">
        <x:v>four-foot vehicle quarter</x:v>
      </x:c>
      <x:c r="G15" s="34" t="str">
        <x:v>60 kPa, gust and one-foot loss</x:v>
      </x:c>
      <x:c r="H15" s="34" t="str">
        <x:v>bearing, rebound or excursion</x:v>
      </x:c>
      <x:c r="I15" s="34" t="str">
        <x:v>Receiver Systems Directorate</x:v>
      </x:c>
      <x:c r="J15" s="35" t="str">
        <x:v>OPEN</x:v>
      </x:c>
    </x:row>
    <x:row r="16">
      <x:c r="B16" s="34" t="str">
        <x:v>Robotic ordered unloading</x:v>
      </x:c>
      <x:c r="C16" s="34" t="n">
        <x:v>25</x:v>
      </x:c>
      <x:c r="D16" s="34" t="str">
        <x:v>317.5 t in 1.25 h</x:v>
      </x:c>
      <x:c r="E16" s="34" t="n">
        <x:v>3</x:v>
      </x:c>
      <x:c r="F16" s="34" t="str">
        <x:v>complete two-block keel</x:v>
      </x:c>
      <x:c r="G16" s="34" t="str">
        <x:v>one side and one lane denied</x:v>
      </x:c>
      <x:c r="H16" s="34" t="str">
        <x:v>position inaccessible or late</x:v>
      </x:c>
      <x:c r="I16" s="34" t="str">
        <x:v>Payload Systems Directorate</x:v>
      </x:c>
      <x:c r="J16" s="35" t="str">
        <x:v>OPEN</x:v>
      </x:c>
    </x:row>
    <x:row r="17">
      <x:c r="B17" s="34" t="str">
        <x:v>Weather, icing and lightning</x:v>
      </x:c>
      <x:c r="C17" s="34" t="n">
        <x:v>30</x:v>
      </x:c>
      <x:c r="D17" s="34" t="str">
        <x:v>40 m/s gust; protected surface</x:v>
      </x:c>
      <x:c r="E17" s="34" t="n">
        <x:v>3</x:v>
      </x:c>
      <x:c r="F17" s="34" t="str">
        <x:v>powered envelope sector</x:v>
      </x:c>
      <x:c r="G17" s="34" t="str">
        <x:v>combined ice, salt, lightning and gust</x:v>
      </x:c>
      <x:c r="H17" s="34" t="str">
        <x:v>lift, heat or control threshold crossed</x:v>
      </x:c>
      <x:c r="I17" s="34" t="str">
        <x:v>Climate Flight Laboratory</x:v>
      </x:c>
      <x:c r="J17" s="35" t="str">
        <x:v>OPEN</x:v>
      </x:c>
    </x:row>
    <x:row r="18">
      <x:c r="B18" s="34" t="str">
        <x:v>Crew refuge and fire containment</x:v>
      </x:c>
      <x:c r="C18" s="34" t="n">
        <x:v>28</x:v>
      </x:c>
      <x:c r="D18" s="34" t="str">
        <x:v>two refuges; six citadels</x:v>
      </x:c>
      <x:c r="E18" s="34" t="n">
        <x:v>3</x:v>
      </x:c>
      <x:c r="F18" s="34" t="str">
        <x:v>occupied casualty article</x:v>
      </x:c>
      <x:c r="G18" s="34" t="str">
        <x:v>one refuge and one citadel fire</x:v>
      </x:c>
      <x:c r="H18" s="34" t="str">
        <x:v>safe hold or egress unavailable</x:v>
      </x:c>
      <x:c r="I18" s="34" t="str">
        <x:v>Civil Aviation Safety Authority</x:v>
      </x:c>
      <x:c r="J18" s="35" t="str">
        <x:v>OPEN</x:v>
      </x:c>
    </x:row>
    <x:row r="19">
      <x:c r="B19" s="34" t="str">
        <x:v>Recovery and field repair</x:v>
      </x:c>
      <x:c r="C19" s="34" t="n">
        <x:v>25</x:v>
      </x:c>
      <x:c r="D19" s="34" t="str">
        <x:v>300 m damaged article</x:v>
      </x:c>
      <x:c r="E19" s="34" t="n">
        <x:v>3</x:v>
      </x:c>
      <x:c r="F19" s="34" t="str">
        <x:v>disabled full-scale vehicle</x:v>
      </x:c>
      <x:c r="G19" s="34" t="str">
        <x:v>blocked end, cell loss and wet ground</x:v>
      </x:c>
      <x:c r="H19" s="34" t="str">
        <x:v>article cannot be stabilized or removed</x:v>
      </x:c>
      <x:c r="I19" s="34" t="str">
        <x:v>National Recovery Service</x:v>
      </x:c>
      <x:c r="J19" s="35" t="str">
        <x:v>OPEN</x:v>
      </x:c>
    </x:row>
    <x:row r="20">
      <x:c r="B20" s="34" t="str">
        <x:v>Manufacturing and digital certification</x:v>
      </x:c>
      <x:c r="C20" s="34" t="n">
        <x:v>40</x:v>
      </x:c>
      <x:c r="D20" s="34" t="str">
        <x:v>118 repeatable articles</x:v>
      </x:c>
      <x:c r="E20" s="34" t="n">
        <x:v>3</x:v>
      </x:c>
      <x:c r="F20" s="34" t="str">
        <x:v>three serial lines</x:v>
      </x:c>
      <x:c r="G20" s="34" t="str">
        <x:v>lot substitution and hidden mass drift</x:v>
      </x:c>
      <x:c r="H20" s="34" t="str">
        <x:v>configuration cannot be reconstructed</x:v>
      </x:c>
      <x:c r="I20" s="34" t="str">
        <x:v>Production Assurance Authority</x:v>
      </x:c>
      <x:c r="J20" s="35" t="str">
        <x:v>OPEN</x:v>
      </x:c>
    </x:row>
    <x:row r="21">
      <x:c r="B21" s="34" t="str">
        <x:v>Atmospheric proving ranges</x:v>
      </x:c>
      <x:c r="C21" s="34" t="n">
        <x:v>45</x:v>
      </x:c>
      <x:c r="D21" s="34" t="str">
        <x:v>eight compound ranges</x:v>
      </x:c>
      <x:c r="E21" s="34" t="n">
        <x:v>4</x:v>
      </x:c>
      <x:c r="F21" s="34" t="str">
        <x:v>receiver, climate and recovery network</x:v>
      </x:c>
      <x:c r="G21" s="34" t="str">
        <x:v>randomized full-mission sequences</x:v>
      </x:c>
      <x:c r="H21" s="34" t="str">
        <x:v>range common mode invalidates proof</x:v>
      </x:c>
      <x:c r="I21" s="34" t="str">
        <x:v>Independent Test Authority</x:v>
      </x:c>
      <x:c r="J21" s="35" t="str">
        <x:v>OPEN</x:v>
      </x:c>
    </x:row>
    <x:row r="22">
      <x:c r="B22" s="34" t="str">
        <x:v>Complete DCP-2 missions</x:v>
      </x:c>
      <x:c r="C22" s="34" t="n">
        <x:v>42</x:v>
      </x:c>
      <x:c r="D22" s="34" t="str">
        <x:v>two carriers become public service</x:v>
      </x:c>
      <x:c r="E22" s="34" t="n">
        <x:v>4</x:v>
      </x:c>
      <x:c r="F22" s="34" t="str">
        <x:v>air and terrain cells</x:v>
      </x:c>
      <x:c r="G22" s="34" t="str">
        <x:v>one-mode denial through reset</x:v>
      </x:c>
      <x:c r="H22" s="34" t="str">
        <x:v>civil effect or independence fails</x:v>
      </x:c>
      <x:c r="I22" s="34" t="str">
        <x:v>Campaign Assurance Authority</x:v>
      </x:c>
      <x:c r="J22" s="35" t="str">
        <x:v>OPEN</x:v>
      </x:c>
    </x:row>
    <x:row r="23">
      <x:c r="B23" s="34" t="str">
        <x:v>Lift gas and hydrogen infrastructure</x:v>
      </x:c>
      <x:c r="C23" s="34" t="n">
        <x:v>30</x:v>
      </x:c>
      <x:c r="D23" s="34" t="str">
        <x:v>8.98 t cold-sortie refill</x:v>
      </x:c>
      <x:c r="E23" s="34" t="n">
        <x:v>3</x:v>
      </x:c>
      <x:c r="F23" s="34" t="str">
        <x:v>national production and custody chain</x:v>
      </x:c>
      <x:c r="G23" s="34" t="str">
        <x:v>source loss and contaminated lot</x:v>
      </x:c>
      <x:c r="H23" s="34" t="str">
        <x:v>sortie generation or ancestry fails</x:v>
      </x:c>
      <x:c r="I23" s="34" t="str">
        <x:v>Strategic Materials Command</x:v>
      </x:c>
      <x:c r="J23" s="35" t="str">
        <x:v>OPEN</x:v>
      </x:c>
    </x:row>
    <x:row r="24">
      <x:c r="B24" s="34" t="str">
        <x:v>Independent energy rival</x:v>
      </x:c>
      <x:c r="C24" s="34" t="n">
        <x:v>20</x:v>
      </x:c>
      <x:c r="D24" s="34" t="str">
        <x:v>formation-distinct substitute</x:v>
      </x:c>
      <x:c r="E24" s="34" t="n">
        <x:v>3</x:v>
      </x:c>
      <x:c r="F24" s="34" t="str">
        <x:v>complete non-hydrogen power sector</x:v>
      </x:c>
      <x:c r="G24" s="34" t="str">
        <x:v>hydrogen lineage denied</x:v>
      </x:c>
      <x:c r="H24" s="34" t="str">
        <x:v>substitute breaks mass, heat or clock</x:v>
      </x:c>
      <x:c r="I24" s="34" t="str">
        <x:v>Advanced Energy Office</x:v>
      </x:c>
      <x:c r="J24" s="35" t="str">
        <x:v>OPEN</x:v>
      </x:c>
    </x:row>
    <x:row r="25">
      <x:c r="B25" s="34"/>
      <x:c r="C25" s="34"/>
      <x:c r="D25" s="34"/>
      <x:c r="E25" s="34"/>
      <x:c r="F25" s="34"/>
      <x:c r="G25" s="34"/>
      <x:c r="H25" s="34"/>
      <x:c r="I25" s="34"/>
      <x:c r="J25" s="35"/>
    </x:row>
    <x:row r="26">
      <x:c r="B26" s="36" t="str">
        <x:v>Portfolio total</x:v>
      </x:c>
      <x:c r="C26" s="36" t="n">
        <x:f>SUM(C7:C24)</x:f>
        <x:v>600</x:v>
      </x:c>
      <x:c r="D26" s="36" t="str">
        <x:v>$B</x:v>
      </x:c>
      <x:c r="E26" s="36" t="str">
        <x:v>nested across R&amp;D, tooling, infrastructure, proving and certification</x:v>
      </x:c>
      <x:c r="F26" s="36" t="str">
        <x:v>not additive to program</x:v>
      </x:c>
      <x:c r="G26" s="36" t="str">
        <x:f>IF(C26=600,"PASS","FAIL")</x:f>
        <x:v>PASS</x:v>
      </x:c>
      <x:c r="H26" s="36"/>
      <x:c r="I26" s="36"/>
      <x:c r="J26" s="37"/>
    </x:row>
    <x:row r="27"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</x:row>
  </x:sheetData>
  <x:conditionalFormatting sqref="G26:G26">
    <x:cfRule type="containsText" dxfId="66" priority="1" operator="containsText" text="FAIL"/>
    <x:cfRule type="containsText" dxfId="67" priority="2" operator="containsText" text="PASS"/>
    <x:cfRule type="containsText" dxfId="68" priority="3" operator="containsText" text="BLOCK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2" hidden="0" customWidth="1"/>
    <x:col min="3" max="3" width="18" hidden="0" customWidth="1"/>
    <x:col min="4" max="4" width="40" hidden="0" customWidth="1"/>
    <x:col min="5" max="5" width="32" hidden="0" customWidth="1"/>
    <x:col min="6" max="6" width="44" hidden="0" customWidth="1"/>
    <x:col min="7" max="7" width="44" hidden="0" customWidth="1"/>
    <x:col min="8" max="8" width="34" hidden="0" customWidth="1"/>
    <x:col min="9" max="9" width="14" hidden="0" customWidth="1"/>
    <x:col min="10" max="10" width="16" hidden="0" customWidth="1"/>
    <x:col min="11" max="11" width="16" hidden="0" customWidth="1"/>
  </x:cols>
  <x:sheetData>
    <x:row r="2">
      <x:c r="B2" s="3" t="str">
        <x:v>GCH-340R representative evidence gates</x:v>
      </x:c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B3" s="4" t="str">
        <x:v>All 150 gates remain open; behavior closure does not create readiness or rendering credit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B6" s="26" t="str">
        <x:v>Gate</x:v>
      </x:c>
      <x:c r="C6" s="27" t="str">
        <x:v>Domain</x:v>
      </x:c>
      <x:c r="D6" s="27" t="str">
        <x:v>Evidence required</x:v>
      </x:c>
      <x:c r="E6" s="27" t="str">
        <x:v>Article</x:v>
      </x:c>
      <x:c r="F6" s="27" t="str">
        <x:v>Failure insertion</x:v>
      </x:c>
      <x:c r="G6" s="27" t="str">
        <x:v>Threshold</x:v>
      </x:c>
      <x:c r="H6" s="27" t="str">
        <x:v>Owner</x:v>
      </x:c>
      <x:c r="I6" s="27" t="str">
        <x:v>State</x:v>
      </x:c>
      <x:c r="J6" s="27" t="str">
        <x:v>Current credit</x:v>
      </x:c>
      <x:c r="K6" s="27" t="str">
        <x:v>Rendering</x:v>
      </x:c>
    </x:row>
    <x:row r="7">
      <x:c r="B7" s="34" t="str">
        <x:v>E001</x:v>
      </x:c>
      <x:c r="C7" s="34" t="str">
        <x:v>GEOMETRY</x:v>
      </x:c>
      <x:c r="D7" s="34" t="str">
        <x:v>950,000 m3 enclosed lift volume</x:v>
      </x:c>
      <x:c r="E7" s="34" t="str">
        <x:v>full-scale structural article</x:v>
      </x:c>
      <x:c r="F7" s="34" t="str">
        <x:v>insert loss, atmosphere, load or denied dependency named by the gate</x:v>
      </x:c>
      <x:c r="G7" s="34" t="str">
        <x:v>independent representative measurement meets the modeled boundary</x:v>
      </x:c>
      <x:c r="H7" s="34" t="str">
        <x:v>Heavy Aerostructures Directorate</x:v>
      </x:c>
      <x:c r="I7" s="34" t="str">
        <x:v>OPEN</x:v>
      </x:c>
      <x:c r="J7" s="76" t="n">
        <x:v>0</x:v>
      </x:c>
      <x:c r="K7" s="35" t="str">
        <x:v>BLOCKED</x:v>
      </x:c>
    </x:row>
    <x:row r="8">
      <x:c r="B8" s="34" t="str">
        <x:v>E002</x:v>
      </x:c>
      <x:c r="C8" s="34" t="str">
        <x:v>GEOMETRY</x:v>
      </x:c>
      <x:c r="D8" s="34" t="str">
        <x:v>300 m length boundary</x:v>
      </x:c>
      <x:c r="E8" s="34" t="str">
        <x:v>full-scale structural article</x:v>
      </x:c>
      <x:c r="F8" s="34" t="str">
        <x:v>insert loss, atmosphere, load or denied dependency named by the gate</x:v>
      </x:c>
      <x:c r="G8" s="34" t="str">
        <x:v>independent representative measurement meets the modeled boundary</x:v>
      </x:c>
      <x:c r="H8" s="34" t="str">
        <x:v>Heavy Aerostructures Directorate</x:v>
      </x:c>
      <x:c r="I8" s="34" t="str">
        <x:v>OPEN</x:v>
      </x:c>
      <x:c r="J8" s="76" t="n">
        <x:v>0</x:v>
      </x:c>
      <x:c r="K8" s="35" t="str">
        <x:v>BLOCKED</x:v>
      </x:c>
    </x:row>
    <x:row r="9">
      <x:c r="B9" s="34" t="str">
        <x:v>E003</x:v>
      </x:c>
      <x:c r="C9" s="34" t="str">
        <x:v>GEOMETRY</x:v>
      </x:c>
      <x:c r="D9" s="34" t="str">
        <x:v>96 m width boundary</x:v>
      </x:c>
      <x:c r="E9" s="34" t="str">
        <x:v>full-scale structural article</x:v>
      </x:c>
      <x:c r="F9" s="34" t="str">
        <x:v>insert loss, atmosphere, load or denied dependency named by the gate</x:v>
      </x:c>
      <x:c r="G9" s="34" t="str">
        <x:v>independent representative measurement meets the modeled boundary</x:v>
      </x:c>
      <x:c r="H9" s="34" t="str">
        <x:v>Heavy Aerostructures Directorate</x:v>
      </x:c>
      <x:c r="I9" s="34" t="str">
        <x:v>OPEN</x:v>
      </x:c>
      <x:c r="J9" s="76" t="n">
        <x:v>0</x:v>
      </x:c>
      <x:c r="K9" s="35" t="str">
        <x:v>BLOCKED</x:v>
      </x:c>
    </x:row>
    <x:row r="10">
      <x:c r="B10" s="34" t="str">
        <x:v>E004</x:v>
      </x:c>
      <x:c r="C10" s="34" t="str">
        <x:v>GEOMETRY</x:v>
      </x:c>
      <x:c r="D10" s="34" t="str">
        <x:v>56 m height boundary</x:v>
      </x:c>
      <x:c r="E10" s="34" t="str">
        <x:v>full-scale structural article</x:v>
      </x:c>
      <x:c r="F10" s="34" t="str">
        <x:v>insert loss, atmosphere, load or denied dependency named by the gate</x:v>
      </x:c>
      <x:c r="G10" s="34" t="str">
        <x:v>independent representative measurement meets the modeled boundary</x:v>
      </x:c>
      <x:c r="H10" s="34" t="str">
        <x:v>Heavy Aerostructures Directorate</x:v>
      </x:c>
      <x:c r="I10" s="34" t="str">
        <x:v>OPEN</x:v>
      </x:c>
      <x:c r="J10" s="76" t="n">
        <x:v>0</x:v>
      </x:c>
      <x:c r="K10" s="35" t="str">
        <x:v>BLOCKED</x:v>
      </x:c>
    </x:row>
    <x:row r="11">
      <x:c r="B11" s="34" t="str">
        <x:v>E005</x:v>
      </x:c>
      <x:c r="C11" s="34" t="str">
        <x:v>GEOMETRY</x:v>
      </x:c>
      <x:c r="D11" s="34" t="str">
        <x:v>0.59 bounding fill factor</x:v>
      </x:c>
      <x:c r="E11" s="34" t="str">
        <x:v>full-scale structural article</x:v>
      </x:c>
      <x:c r="F11" s="34" t="str">
        <x:v>insert loss, atmosphere, load or denied dependency named by the gate</x:v>
      </x:c>
      <x:c r="G11" s="34" t="str">
        <x:v>independent representative measurement meets the modeled boundary</x:v>
      </x:c>
      <x:c r="H11" s="34" t="str">
        <x:v>Heavy Aerostructures Directorate</x:v>
      </x:c>
      <x:c r="I11" s="34" t="str">
        <x:v>OPEN</x:v>
      </x:c>
      <x:c r="J11" s="76" t="n">
        <x:v>0</x:v>
      </x:c>
      <x:c r="K11" s="35" t="str">
        <x:v>BLOCKED</x:v>
      </x:c>
    </x:row>
    <x:row r="12">
      <x:c r="B12" s="34" t="str">
        <x:v>E006</x:v>
      </x:c>
      <x:c r="C12" s="34" t="str">
        <x:v>GEOMETRY</x:v>
      </x:c>
      <x:c r="D12" s="34" t="str">
        <x:v>420 m receiver-length fit</x:v>
      </x:c>
      <x:c r="E12" s="34" t="str">
        <x:v>full-scale structural article</x:v>
      </x:c>
      <x:c r="F12" s="34" t="str">
        <x:v>insert loss, atmosphere, load or denied dependency named by the gate</x:v>
      </x:c>
      <x:c r="G12" s="34" t="str">
        <x:v>independent representative measurement meets the modeled boundary</x:v>
      </x:c>
      <x:c r="H12" s="34" t="str">
        <x:v>Heavy Aerostructures Directorate</x:v>
      </x:c>
      <x:c r="I12" s="34" t="str">
        <x:v>OPEN</x:v>
      </x:c>
      <x:c r="J12" s="76" t="n">
        <x:v>0</x:v>
      </x:c>
      <x:c r="K12" s="35" t="str">
        <x:v>BLOCKED</x:v>
      </x:c>
    </x:row>
    <x:row r="13">
      <x:c r="B13" s="34" t="str">
        <x:v>E007</x:v>
      </x:c>
      <x:c r="C13" s="34" t="str">
        <x:v>GEOMETRY</x:v>
      </x:c>
      <x:c r="D13" s="34" t="str">
        <x:v>420 m receiver-width fit</x:v>
      </x:c>
      <x:c r="E13" s="34" t="str">
        <x:v>full-scale structural article</x:v>
      </x:c>
      <x:c r="F13" s="34" t="str">
        <x:v>insert loss, atmosphere, load or denied dependency named by the gate</x:v>
      </x:c>
      <x:c r="G13" s="34" t="str">
        <x:v>independent representative measurement meets the modeled boundary</x:v>
      </x:c>
      <x:c r="H13" s="34" t="str">
        <x:v>Heavy Aerostructures Directorate</x:v>
      </x:c>
      <x:c r="I13" s="34" t="str">
        <x:v>OPEN</x:v>
      </x:c>
      <x:c r="J13" s="76" t="n">
        <x:v>0</x:v>
      </x:c>
      <x:c r="K13" s="35" t="str">
        <x:v>BLOCKED</x:v>
      </x:c>
    </x:row>
    <x:row r="14">
      <x:c r="B14" s="34" t="str">
        <x:v>E008</x:v>
      </x:c>
      <x:c r="C14" s="34" t="str">
        <x:v>GEOMETRY</x:v>
      </x:c>
      <x:c r="D14" s="34" t="str">
        <x:v>three-bay full-scale shell stiffness</x:v>
      </x:c>
      <x:c r="E14" s="34" t="str">
        <x:v>full-scale structural article</x:v>
      </x:c>
      <x:c r="F14" s="34" t="str">
        <x:v>insert loss, atmosphere, load or denied dependency named by the gate</x:v>
      </x:c>
      <x:c r="G14" s="34" t="str">
        <x:v>independent representative measurement meets the modeled boundary</x:v>
      </x:c>
      <x:c r="H14" s="34" t="str">
        <x:v>Heavy Aerostructures Directorate</x:v>
      </x:c>
      <x:c r="I14" s="34" t="str">
        <x:v>OPEN</x:v>
      </x:c>
      <x:c r="J14" s="76" t="n">
        <x:v>0</x:v>
      </x:c>
      <x:c r="K14" s="35" t="str">
        <x:v>BLOCKED</x:v>
      </x:c>
    </x:row>
    <x:row r="15">
      <x:c r="B15" s="34" t="str">
        <x:v>E009</x:v>
      </x:c>
      <x:c r="C15" s="34" t="str">
        <x:v>GEOMETRY</x:v>
      </x:c>
      <x:c r="D15" s="34" t="str">
        <x:v>cargo-keel structural continuity</x:v>
      </x:c>
      <x:c r="E15" s="34" t="str">
        <x:v>full-scale structural article</x:v>
      </x:c>
      <x:c r="F15" s="34" t="str">
        <x:v>insert loss, atmosphere, load or denied dependency named by the gate</x:v>
      </x:c>
      <x:c r="G15" s="34" t="str">
        <x:v>independent representative measurement meets the modeled boundary</x:v>
      </x:c>
      <x:c r="H15" s="34" t="str">
        <x:v>Heavy Aerostructures Directorate</x:v>
      </x:c>
      <x:c r="I15" s="34" t="str">
        <x:v>OPEN</x:v>
      </x:c>
      <x:c r="J15" s="76" t="n">
        <x:v>0</x:v>
      </x:c>
      <x:c r="K15" s="35" t="str">
        <x:v>BLOCKED</x:v>
      </x:c>
    </x:row>
    <x:row r="16">
      <x:c r="B16" s="34" t="str">
        <x:v>E010</x:v>
      </x:c>
      <x:c r="C16" s="34" t="str">
        <x:v>GEOMETRY</x:v>
      </x:c>
      <x:c r="D16" s="34" t="str">
        <x:v>forward crush-zone separation</x:v>
      </x:c>
      <x:c r="E16" s="34" t="str">
        <x:v>full-scale structural article</x:v>
      </x:c>
      <x:c r="F16" s="34" t="str">
        <x:v>insert loss, atmosphere, load or denied dependency named by the gate</x:v>
      </x:c>
      <x:c r="G16" s="34" t="str">
        <x:v>independent representative measurement meets the modeled boundary</x:v>
      </x:c>
      <x:c r="H16" s="34" t="str">
        <x:v>Heavy Aerostructures Directorate</x:v>
      </x:c>
      <x:c r="I16" s="34" t="str">
        <x:v>OPEN</x:v>
      </x:c>
      <x:c r="J16" s="76" t="n">
        <x:v>0</x:v>
      </x:c>
      <x:c r="K16" s="35" t="str">
        <x:v>BLOCKED</x:v>
      </x:c>
    </x:row>
    <x:row r="17">
      <x:c r="B17" s="34" t="str">
        <x:v>E011</x:v>
      </x:c>
      <x:c r="C17" s="34" t="str">
        <x:v>GEOMETRY</x:v>
      </x:c>
      <x:c r="D17" s="34" t="str">
        <x:v>aft crush-zone separation</x:v>
      </x:c>
      <x:c r="E17" s="34" t="str">
        <x:v>full-scale structural article</x:v>
      </x:c>
      <x:c r="F17" s="34" t="str">
        <x:v>insert loss, atmosphere, load or denied dependency named by the gate</x:v>
      </x:c>
      <x:c r="G17" s="34" t="str">
        <x:v>independent representative measurement meets the modeled boundary</x:v>
      </x:c>
      <x:c r="H17" s="34" t="str">
        <x:v>Heavy Aerostructures Directorate</x:v>
      </x:c>
      <x:c r="I17" s="34" t="str">
        <x:v>OPEN</x:v>
      </x:c>
      <x:c r="J17" s="76" t="n">
        <x:v>0</x:v>
      </x:c>
      <x:c r="K17" s="35" t="str">
        <x:v>BLOCKED</x:v>
      </x:c>
    </x:row>
    <x:row r="18">
      <x:c r="B18" s="34" t="str">
        <x:v>E012</x:v>
      </x:c>
      <x:c r="C18" s="34" t="str">
        <x:v>GEOMETRY</x:v>
      </x:c>
      <x:c r="D18" s="34" t="str">
        <x:v>outboard module extraction</x:v>
      </x:c>
      <x:c r="E18" s="34" t="str">
        <x:v>full-scale structural article</x:v>
      </x:c>
      <x:c r="F18" s="34" t="str">
        <x:v>insert loss, atmosphere, load or denied dependency named by the gate</x:v>
      </x:c>
      <x:c r="G18" s="34" t="str">
        <x:v>independent representative measurement meets the modeled boundary</x:v>
      </x:c>
      <x:c r="H18" s="34" t="str">
        <x:v>Heavy Aerostructures Directorate</x:v>
      </x:c>
      <x:c r="I18" s="34" t="str">
        <x:v>OPEN</x:v>
      </x:c>
      <x:c r="J18" s="76" t="n">
        <x:v>0</x:v>
      </x:c>
      <x:c r="K18" s="35" t="str">
        <x:v>BLOCKED</x:v>
      </x:c>
    </x:row>
    <x:row r="19">
      <x:c r="B19" s="34" t="str">
        <x:v>E013</x:v>
      </x:c>
      <x:c r="C19" s="34" t="str">
        <x:v>GEOMETRY</x:v>
      </x:c>
      <x:c r="D19" s="34" t="str">
        <x:v>sectional field stabilization</x:v>
      </x:c>
      <x:c r="E19" s="34" t="str">
        <x:v>full-scale structural article</x:v>
      </x:c>
      <x:c r="F19" s="34" t="str">
        <x:v>insert loss, atmosphere, load or denied dependency named by the gate</x:v>
      </x:c>
      <x:c r="G19" s="34" t="str">
        <x:v>independent representative measurement meets the modeled boundary</x:v>
      </x:c>
      <x:c r="H19" s="34" t="str">
        <x:v>Heavy Aerostructures Directorate</x:v>
      </x:c>
      <x:c r="I19" s="34" t="str">
        <x:v>OPEN</x:v>
      </x:c>
      <x:c r="J19" s="76" t="n">
        <x:v>0</x:v>
      </x:c>
      <x:c r="K19" s="35" t="str">
        <x:v>BLOCKED</x:v>
      </x:c>
    </x:row>
    <x:row r="20">
      <x:c r="B20" s="34" t="str">
        <x:v>E014</x:v>
      </x:c>
      <x:c r="C20" s="34" t="str">
        <x:v>GEOMETRY</x:v>
      </x:c>
      <x:c r="D20" s="34" t="str">
        <x:v>receiver approach clearance</x:v>
      </x:c>
      <x:c r="E20" s="34" t="str">
        <x:v>full-scale structural article</x:v>
      </x:c>
      <x:c r="F20" s="34" t="str">
        <x:v>insert loss, atmosphere, load or denied dependency named by the gate</x:v>
      </x:c>
      <x:c r="G20" s="34" t="str">
        <x:v>independent representative measurement meets the modeled boundary</x:v>
      </x:c>
      <x:c r="H20" s="34" t="str">
        <x:v>Heavy Aerostructures Directorate</x:v>
      </x:c>
      <x:c r="I20" s="34" t="str">
        <x:v>OPEN</x:v>
      </x:c>
      <x:c r="J20" s="76" t="n">
        <x:v>0</x:v>
      </x:c>
      <x:c r="K20" s="35" t="str">
        <x:v>BLOCKED</x:v>
      </x:c>
    </x:row>
    <x:row r="21">
      <x:c r="B21" s="34" t="str">
        <x:v>E015</x:v>
      </x:c>
      <x:c r="C21" s="34" t="str">
        <x:v>GEOMETRY</x:v>
      </x:c>
      <x:c r="D21" s="34" t="str">
        <x:v>as-built geometry reconstruction</x:v>
      </x:c>
      <x:c r="E21" s="34" t="str">
        <x:v>full-scale structural article</x:v>
      </x:c>
      <x:c r="F21" s="34" t="str">
        <x:v>insert loss, atmosphere, load or denied dependency named by the gate</x:v>
      </x:c>
      <x:c r="G21" s="34" t="str">
        <x:v>independent representative measurement meets the modeled boundary</x:v>
      </x:c>
      <x:c r="H21" s="34" t="str">
        <x:v>Heavy Aerostructures Directorate</x:v>
      </x:c>
      <x:c r="I21" s="34" t="str">
        <x:v>OPEN</x:v>
      </x:c>
      <x:c r="J21" s="76" t="n">
        <x:v>0</x:v>
      </x:c>
      <x:c r="K21" s="35" t="str">
        <x:v>BLOCKED</x:v>
      </x:c>
    </x:row>
    <x:row r="22">
      <x:c r="B22" s="34" t="str">
        <x:v>E016</x:v>
      </x:c>
      <x:c r="C22" s="34" t="str">
        <x:v>LIFT</x:v>
      </x:c>
      <x:c r="D22" s="34" t="str">
        <x:v>hot-high net-lift coefficient</x:v>
      </x:c>
      <x:c r="E22" s="34" t="str">
        <x:v>four-cell bay and full vehicle</x:v>
      </x:c>
      <x:c r="F22" s="34" t="str">
        <x:v>insert loss, atmosphere, load or denied dependency named by the gate</x:v>
      </x:c>
      <x:c r="G22" s="34" t="str">
        <x:v>independent representative measurement meets the modeled boundary</x:v>
      </x:c>
      <x:c r="H22" s="34" t="str">
        <x:v>Lift Systems Laboratory</x:v>
      </x:c>
      <x:c r="I22" s="34" t="str">
        <x:v>OPEN</x:v>
      </x:c>
      <x:c r="J22" s="76" t="n">
        <x:v>0</x:v>
      </x:c>
      <x:c r="K22" s="35" t="str">
        <x:v>BLOCKED</x:v>
      </x:c>
    </x:row>
    <x:row r="23">
      <x:c r="B23" s="34" t="str">
        <x:v>E017</x:v>
      </x:c>
      <x:c r="C23" s="34" t="str">
        <x:v>LIFT</x:v>
      </x:c>
      <x:c r="D23" s="34" t="str">
        <x:v>cold-dense maximum-lift coefficient</x:v>
      </x:c>
      <x:c r="E23" s="34" t="str">
        <x:v>four-cell bay and full vehicle</x:v>
      </x:c>
      <x:c r="F23" s="34" t="str">
        <x:v>insert loss, atmosphere, load or denied dependency named by the gate</x:v>
      </x:c>
      <x:c r="G23" s="34" t="str">
        <x:v>independent representative measurement meets the modeled boundary</x:v>
      </x:c>
      <x:c r="H23" s="34" t="str">
        <x:v>Lift Systems Laboratory</x:v>
      </x:c>
      <x:c r="I23" s="34" t="str">
        <x:v>OPEN</x:v>
      </x:c>
      <x:c r="J23" s="76" t="n">
        <x:v>0</x:v>
      </x:c>
      <x:c r="K23" s="35" t="str">
        <x:v>BLOCKED</x:v>
      </x:c>
    </x:row>
    <x:row r="24">
      <x:c r="B24" s="34" t="str">
        <x:v>E018</x:v>
      </x:c>
      <x:c r="C24" s="34" t="str">
        <x:v>LIFT</x:v>
      </x:c>
      <x:c r="D24" s="34" t="str">
        <x:v>twenty-four cell isolation</x:v>
      </x:c>
      <x:c r="E24" s="34" t="str">
        <x:v>four-cell bay and full vehicle</x:v>
      </x:c>
      <x:c r="F24" s="34" t="str">
        <x:v>insert loss, atmosphere, load or denied dependency named by the gate</x:v>
      </x:c>
      <x:c r="G24" s="34" t="str">
        <x:v>independent representative measurement meets the modeled boundary</x:v>
      </x:c>
      <x:c r="H24" s="34" t="str">
        <x:v>Lift Systems Laboratory</x:v>
      </x:c>
      <x:c r="I24" s="34" t="str">
        <x:v>OPEN</x:v>
      </x:c>
      <x:c r="J24" s="76" t="n">
        <x:v>0</x:v>
      </x:c>
      <x:c r="K24" s="35" t="str">
        <x:v>BLOCKED</x:v>
      </x:c>
    </x:row>
    <x:row r="25">
      <x:c r="B25" s="34" t="str">
        <x:v>E019</x:v>
      </x:c>
      <x:c r="C25" s="34" t="str">
        <x:v>LIFT</x:v>
      </x:c>
      <x:c r="D25" s="34" t="str">
        <x:v>one-cell loss dynamic recovery</x:v>
      </x:c>
      <x:c r="E25" s="34" t="str">
        <x:v>four-cell bay and full vehicle</x:v>
      </x:c>
      <x:c r="F25" s="34" t="str">
        <x:v>insert loss, atmosphere, load or denied dependency named by the gate</x:v>
      </x:c>
      <x:c r="G25" s="34" t="str">
        <x:v>independent representative measurement meets the modeled boundary</x:v>
      </x:c>
      <x:c r="H25" s="34" t="str">
        <x:v>Lift Systems Laboratory</x:v>
      </x:c>
      <x:c r="I25" s="34" t="str">
        <x:v>OPEN</x:v>
      </x:c>
      <x:c r="J25" s="76" t="n">
        <x:v>0</x:v>
      </x:c>
      <x:c r="K25" s="35" t="str">
        <x:v>BLOCKED</x:v>
      </x:c>
    </x:row>
    <x:row r="26">
      <x:c r="B26" s="34" t="str">
        <x:v>E020</x:v>
      </x:c>
      <x:c r="C26" s="34" t="str">
        <x:v>LIFT</x:v>
      </x:c>
      <x:c r="D26" s="34" t="str">
        <x:v>two-cell safe landing</x:v>
      </x:c>
      <x:c r="E26" s="34" t="str">
        <x:v>four-cell bay and full vehicle</x:v>
      </x:c>
      <x:c r="F26" s="34" t="str">
        <x:v>insert loss, atmosphere, load or denied dependency named by the gate</x:v>
      </x:c>
      <x:c r="G26" s="34" t="str">
        <x:v>independent representative measurement meets the modeled boundary</x:v>
      </x:c>
      <x:c r="H26" s="34" t="str">
        <x:v>Lift Systems Laboratory</x:v>
      </x:c>
      <x:c r="I26" s="34" t="str">
        <x:v>OPEN</x:v>
      </x:c>
      <x:c r="J26" s="76" t="n">
        <x:v>0</x:v>
      </x:c>
      <x:c r="K26" s="35" t="str">
        <x:v>BLOCKED</x:v>
      </x:c>
    </x:row>
    <x:row r="27">
      <x:c r="B27" s="34" t="str">
        <x:v>E021</x:v>
      </x:c>
      <x:c r="C27" s="34" t="str">
        <x:v>LIFT</x:v>
      </x:c>
      <x:c r="D27" s="34" t="str">
        <x:v>six symmetric lift bays</x:v>
      </x:c>
      <x:c r="E27" s="34" t="str">
        <x:v>four-cell bay and full vehicle</x:v>
      </x:c>
      <x:c r="F27" s="34" t="str">
        <x:v>insert loss, atmosphere, load or denied dependency named by the gate</x:v>
      </x:c>
      <x:c r="G27" s="34" t="str">
        <x:v>independent representative measurement meets the modeled boundary</x:v>
      </x:c>
      <x:c r="H27" s="34" t="str">
        <x:v>Lift Systems Laboratory</x:v>
      </x:c>
      <x:c r="I27" s="34" t="str">
        <x:v>OPEN</x:v>
      </x:c>
      <x:c r="J27" s="76" t="n">
        <x:v>0</x:v>
      </x:c>
      <x:c r="K27" s="35" t="str">
        <x:v>BLOCKED</x:v>
      </x:c>
    </x:row>
    <x:row r="28">
      <x:c r="B28" s="34" t="str">
        <x:v>E022</x:v>
      </x:c>
      <x:c r="C28" s="34" t="str">
        <x:v>LIFT</x:v>
      </x:c>
      <x:c r="D28" s="34" t="str">
        <x:v>lift-gas permeation</x:v>
      </x:c>
      <x:c r="E28" s="34" t="str">
        <x:v>four-cell bay and full vehicle</x:v>
      </x:c>
      <x:c r="F28" s="34" t="str">
        <x:v>insert loss, atmosphere, load or denied dependency named by the gate</x:v>
      </x:c>
      <x:c r="G28" s="34" t="str">
        <x:v>independent representative measurement meets the modeled boundary</x:v>
      </x:c>
      <x:c r="H28" s="34" t="str">
        <x:v>Lift Systems Laboratory</x:v>
      </x:c>
      <x:c r="I28" s="34" t="str">
        <x:v>OPEN</x:v>
      </x:c>
      <x:c r="J28" s="76" t="n">
        <x:v>0</x:v>
      </x:c>
      <x:c r="K28" s="35" t="str">
        <x:v>BLOCKED</x:v>
      </x:c>
    </x:row>
    <x:row r="29">
      <x:c r="B29" s="34" t="str">
        <x:v>E023</x:v>
      </x:c>
      <x:c r="C29" s="34" t="str">
        <x:v>LIFT</x:v>
      </x:c>
      <x:c r="D29" s="34" t="str">
        <x:v>cell lightning tolerance</x:v>
      </x:c>
      <x:c r="E29" s="34" t="str">
        <x:v>four-cell bay and full vehicle</x:v>
      </x:c>
      <x:c r="F29" s="34" t="str">
        <x:v>insert loss, atmosphere, load or denied dependency named by the gate</x:v>
      </x:c>
      <x:c r="G29" s="34" t="str">
        <x:v>independent representative measurement meets the modeled boundary</x:v>
      </x:c>
      <x:c r="H29" s="34" t="str">
        <x:v>Lift Systems Laboratory</x:v>
      </x:c>
      <x:c r="I29" s="34" t="str">
        <x:v>OPEN</x:v>
      </x:c>
      <x:c r="J29" s="76" t="n">
        <x:v>0</x:v>
      </x:c>
      <x:c r="K29" s="35" t="str">
        <x:v>BLOCKED</x:v>
      </x:c>
    </x:row>
    <x:row r="30">
      <x:c r="B30" s="34" t="str">
        <x:v>E024</x:v>
      </x:c>
      <x:c r="C30" s="34" t="str">
        <x:v>LIFT</x:v>
      </x:c>
      <x:c r="D30" s="34" t="str">
        <x:v>cell tear arrest</x:v>
      </x:c>
      <x:c r="E30" s="34" t="str">
        <x:v>four-cell bay and full vehicle</x:v>
      </x:c>
      <x:c r="F30" s="34" t="str">
        <x:v>insert loss, atmosphere, load or denied dependency named by the gate</x:v>
      </x:c>
      <x:c r="G30" s="34" t="str">
        <x:v>independent representative measurement meets the modeled boundary</x:v>
      </x:c>
      <x:c r="H30" s="34" t="str">
        <x:v>Lift Systems Laboratory</x:v>
      </x:c>
      <x:c r="I30" s="34" t="str">
        <x:v>OPEN</x:v>
      </x:c>
      <x:c r="J30" s="76" t="n">
        <x:v>0</x:v>
      </x:c>
      <x:c r="K30" s="35" t="str">
        <x:v>BLOCKED</x:v>
      </x:c>
    </x:row>
    <x:row r="31">
      <x:c r="B31" s="34" t="str">
        <x:v>E025</x:v>
      </x:c>
      <x:c r="C31" s="34" t="str">
        <x:v>LIFT</x:v>
      </x:c>
      <x:c r="D31" s="34" t="str">
        <x:v>ballonet pressure control</x:v>
      </x:c>
      <x:c r="E31" s="34" t="str">
        <x:v>four-cell bay and full vehicle</x:v>
      </x:c>
      <x:c r="F31" s="34" t="str">
        <x:v>insert loss, atmosphere, load or denied dependency named by the gate</x:v>
      </x:c>
      <x:c r="G31" s="34" t="str">
        <x:v>independent representative measurement meets the modeled boundary</x:v>
      </x:c>
      <x:c r="H31" s="34" t="str">
        <x:v>Lift Systems Laboratory</x:v>
      </x:c>
      <x:c r="I31" s="34" t="str">
        <x:v>OPEN</x:v>
      </x:c>
      <x:c r="J31" s="76" t="n">
        <x:v>0</x:v>
      </x:c>
      <x:c r="K31" s="35" t="str">
        <x:v>BLOCKED</x:v>
      </x:c>
    </x:row>
    <x:row r="32">
      <x:c r="B32" s="34" t="str">
        <x:v>E026</x:v>
      </x:c>
      <x:c r="C32" s="34" t="str">
        <x:v>LIFT</x:v>
      </x:c>
      <x:c r="D32" s="34" t="str">
        <x:v>local valve closure</x:v>
      </x:c>
      <x:c r="E32" s="34" t="str">
        <x:v>four-cell bay and full vehicle</x:v>
      </x:c>
      <x:c r="F32" s="34" t="str">
        <x:v>insert loss, atmosphere, load or denied dependency named by the gate</x:v>
      </x:c>
      <x:c r="G32" s="34" t="str">
        <x:v>independent representative measurement meets the modeled boundary</x:v>
      </x:c>
      <x:c r="H32" s="34" t="str">
        <x:v>Lift Systems Laboratory</x:v>
      </x:c>
      <x:c r="I32" s="34" t="str">
        <x:v>OPEN</x:v>
      </x:c>
      <x:c r="J32" s="76" t="n">
        <x:v>0</x:v>
      </x:c>
      <x:c r="K32" s="35" t="str">
        <x:v>BLOCKED</x:v>
      </x:c>
    </x:row>
    <x:row r="33">
      <x:c r="B33" s="34" t="str">
        <x:v>E027</x:v>
      </x:c>
      <x:c r="C33" s="34" t="str">
        <x:v>LIFT</x:v>
      </x:c>
      <x:c r="D33" s="34" t="str">
        <x:v>cell inventory measurement</x:v>
      </x:c>
      <x:c r="E33" s="34" t="str">
        <x:v>four-cell bay and full vehicle</x:v>
      </x:c>
      <x:c r="F33" s="34" t="str">
        <x:v>insert loss, atmosphere, load or denied dependency named by the gate</x:v>
      </x:c>
      <x:c r="G33" s="34" t="str">
        <x:v>independent representative measurement meets the modeled boundary</x:v>
      </x:c>
      <x:c r="H33" s="34" t="str">
        <x:v>Lift Systems Laboratory</x:v>
      </x:c>
      <x:c r="I33" s="34" t="str">
        <x:v>OPEN</x:v>
      </x:c>
      <x:c r="J33" s="76" t="n">
        <x:v>0</x:v>
      </x:c>
      <x:c r="K33" s="35" t="str">
        <x:v>BLOCKED</x:v>
      </x:c>
    </x:row>
    <x:row r="34">
      <x:c r="B34" s="34" t="str">
        <x:v>E028</x:v>
      </x:c>
      <x:c r="C34" s="34" t="str">
        <x:v>LIFT</x:v>
      </x:c>
      <x:c r="D34" s="34" t="str">
        <x:v>hydrogen purity tolerance</x:v>
      </x:c>
      <x:c r="E34" s="34" t="str">
        <x:v>four-cell bay and full vehicle</x:v>
      </x:c>
      <x:c r="F34" s="34" t="str">
        <x:v>insert loss, atmosphere, load or denied dependency named by the gate</x:v>
      </x:c>
      <x:c r="G34" s="34" t="str">
        <x:v>independent representative measurement meets the modeled boundary</x:v>
      </x:c>
      <x:c r="H34" s="34" t="str">
        <x:v>Lift Systems Laboratory</x:v>
      </x:c>
      <x:c r="I34" s="34" t="str">
        <x:v>OPEN</x:v>
      </x:c>
      <x:c r="J34" s="76" t="n">
        <x:v>0</x:v>
      </x:c>
      <x:c r="K34" s="35" t="str">
        <x:v>BLOCKED</x:v>
      </x:c>
    </x:row>
    <x:row r="35">
      <x:c r="B35" s="34" t="str">
        <x:v>E029</x:v>
      </x:c>
      <x:c r="C35" s="34" t="str">
        <x:v>LIFT</x:v>
      </x:c>
      <x:c r="D35" s="34" t="str">
        <x:v>lift-state offline reconstruction</x:v>
      </x:c>
      <x:c r="E35" s="34" t="str">
        <x:v>four-cell bay and full vehicle</x:v>
      </x:c>
      <x:c r="F35" s="34" t="str">
        <x:v>insert loss, atmosphere, load or denied dependency named by the gate</x:v>
      </x:c>
      <x:c r="G35" s="34" t="str">
        <x:v>independent representative measurement meets the modeled boundary</x:v>
      </x:c>
      <x:c r="H35" s="34" t="str">
        <x:v>Lift Systems Laboratory</x:v>
      </x:c>
      <x:c r="I35" s="34" t="str">
        <x:v>OPEN</x:v>
      </x:c>
      <x:c r="J35" s="76" t="n">
        <x:v>0</x:v>
      </x:c>
      <x:c r="K35" s="35" t="str">
        <x:v>BLOCKED</x:v>
      </x:c>
    </x:row>
    <x:row r="36">
      <x:c r="B36" s="34" t="str">
        <x:v>E030</x:v>
      </x:c>
      <x:c r="C36" s="34" t="str">
        <x:v>LIFT</x:v>
      </x:c>
      <x:c r="D36" s="34" t="str">
        <x:v>cell replacement and seal proof</x:v>
      </x:c>
      <x:c r="E36" s="34" t="str">
        <x:v>four-cell bay and full vehicle</x:v>
      </x:c>
      <x:c r="F36" s="34" t="str">
        <x:v>insert loss, atmosphere, load or denied dependency named by the gate</x:v>
      </x:c>
      <x:c r="G36" s="34" t="str">
        <x:v>independent representative measurement meets the modeled boundary</x:v>
      </x:c>
      <x:c r="H36" s="34" t="str">
        <x:v>Lift Systems Laboratory</x:v>
      </x:c>
      <x:c r="I36" s="34" t="str">
        <x:v>OPEN</x:v>
      </x:c>
      <x:c r="J36" s="76" t="n">
        <x:v>0</x:v>
      </x:c>
      <x:c r="K36" s="35" t="str">
        <x:v>BLOCKED</x:v>
      </x:c>
    </x:row>
    <x:row r="37">
      <x:c r="B37" s="34" t="str">
        <x:v>E031</x:v>
      </x:c>
      <x:c r="C37" s="34" t="str">
        <x:v>TRANSIENT</x:v>
      </x:c>
      <x:c r="D37" s="34" t="str">
        <x:v>20.611 t support change per t H2</x:v>
      </x:c>
      <x:c r="E37" s="34" t="str">
        <x:v>six-train unload article</x:v>
      </x:c>
      <x:c r="F37" s="34" t="str">
        <x:v>insert loss, atmosphere, load or denied dependency named by the gate</x:v>
      </x:c>
      <x:c r="G37" s="34" t="str">
        <x:v>independent representative measurement meets the modeled boundary</x:v>
      </x:c>
      <x:c r="H37" s="34" t="str">
        <x:v>Variable Support Office</x:v>
      </x:c>
      <x:c r="I37" s="34" t="str">
        <x:v>OPEN</x:v>
      </x:c>
      <x:c r="J37" s="76" t="n">
        <x:v>0</x:v>
      </x:c>
      <x:c r="K37" s="35" t="str">
        <x:v>BLOCKED</x:v>
      </x:c>
    </x:row>
    <x:row r="38">
      <x:c r="B38" s="34" t="str">
        <x:v>E032</x:v>
      </x:c>
      <x:c r="C38" s="34" t="str">
        <x:v>TRANSIENT</x:v>
      </x:c>
      <x:c r="D38" s="34" t="str">
        <x:v>8.981 t cold-dense conversion</x:v>
      </x:c>
      <x:c r="E38" s="34" t="str">
        <x:v>six-train unload article</x:v>
      </x:c>
      <x:c r="F38" s="34" t="str">
        <x:v>insert loss, atmosphere, load or denied dependency named by the gate</x:v>
      </x:c>
      <x:c r="G38" s="34" t="str">
        <x:v>independent representative measurement meets the modeled boundary</x:v>
      </x:c>
      <x:c r="H38" s="34" t="str">
        <x:v>Variable Support Office</x:v>
      </x:c>
      <x:c r="I38" s="34" t="str">
        <x:v>OPEN</x:v>
      </x:c>
      <x:c r="J38" s="76" t="n">
        <x:v>0</x:v>
      </x:c>
      <x:c r="K38" s="35" t="str">
        <x:v>BLOCKED</x:v>
      </x:c>
    </x:row>
    <x:row r="39">
      <x:c r="B39" s="34" t="str">
        <x:v>E033</x:v>
      </x:c>
      <x:c r="C39" s="34" t="str">
        <x:v>TRANSIENT</x:v>
      </x:c>
      <x:c r="D39" s="34" t="str">
        <x:v>80.83 t produced-water containment</x:v>
      </x:c>
      <x:c r="E39" s="34" t="str">
        <x:v>six-train unload article</x:v>
      </x:c>
      <x:c r="F39" s="34" t="str">
        <x:v>insert loss, atmosphere, load or denied dependency named by the gate</x:v>
      </x:c>
      <x:c r="G39" s="34" t="str">
        <x:v>independent representative measurement meets the modeled boundary</x:v>
      </x:c>
      <x:c r="H39" s="34" t="str">
        <x:v>Variable Support Office</x:v>
      </x:c>
      <x:c r="I39" s="34" t="str">
        <x:v>OPEN</x:v>
      </x:c>
      <x:c r="J39" s="76" t="n">
        <x:v>0</x:v>
      </x:c>
      <x:c r="K39" s="35" t="str">
        <x:v>BLOCKED</x:v>
      </x:c>
    </x:row>
    <x:row r="40">
      <x:c r="B40" s="34" t="str">
        <x:v>E034</x:v>
      </x:c>
      <x:c r="C40" s="34" t="str">
        <x:v>TRANSIENT</x:v>
      </x:c>
      <x:c r="D40" s="34" t="str">
        <x:v>one-train-out conversion rate</x:v>
      </x:c>
      <x:c r="E40" s="34" t="str">
        <x:v>six-train unload article</x:v>
      </x:c>
      <x:c r="F40" s="34" t="str">
        <x:v>insert loss, atmosphere, load or denied dependency named by the gate</x:v>
      </x:c>
      <x:c r="G40" s="34" t="str">
        <x:v>independent representative measurement meets the modeled boundary</x:v>
      </x:c>
      <x:c r="H40" s="34" t="str">
        <x:v>Variable Support Office</x:v>
      </x:c>
      <x:c r="I40" s="34" t="str">
        <x:v>OPEN</x:v>
      </x:c>
      <x:c r="J40" s="76" t="n">
        <x:v>0</x:v>
      </x:c>
      <x:c r="K40" s="35" t="str">
        <x:v>BLOCKED</x:v>
      </x:c>
    </x:row>
    <x:row r="41">
      <x:c r="B41" s="34" t="str">
        <x:v>E035</x:v>
      </x:c>
      <x:c r="C41" s="34" t="str">
        <x:v>TRANSIENT</x:v>
      </x:c>
      <x:c r="D41" s="34" t="str">
        <x:v>one-train-out authority</x:v>
      </x:c>
      <x:c r="E41" s="34" t="str">
        <x:v>six-train unload article</x:v>
      </x:c>
      <x:c r="F41" s="34" t="str">
        <x:v>insert loss, atmosphere, load or denied dependency named by the gate</x:v>
      </x:c>
      <x:c r="G41" s="34" t="str">
        <x:v>independent representative measurement meets the modeled boundary</x:v>
      </x:c>
      <x:c r="H41" s="34" t="str">
        <x:v>Variable Support Office</x:v>
      </x:c>
      <x:c r="I41" s="34" t="str">
        <x:v>OPEN</x:v>
      </x:c>
      <x:c r="J41" s="76" t="n">
        <x:v>0</x:v>
      </x:c>
      <x:c r="K41" s="35" t="str">
        <x:v>BLOCKED</x:v>
      </x:c>
    </x:row>
    <x:row r="42">
      <x:c r="B42" s="34" t="str">
        <x:v>E036</x:v>
      </x:c>
      <x:c r="C42" s="34" t="str">
        <x:v>TRANSIENT</x:v>
      </x:c>
      <x:c r="D42" s="34" t="str">
        <x:v>payload-to-support interlock</x:v>
      </x:c>
      <x:c r="E42" s="34" t="str">
        <x:v>six-train unload article</x:v>
      </x:c>
      <x:c r="F42" s="34" t="str">
        <x:v>insert loss, atmosphere, load or denied dependency named by the gate</x:v>
      </x:c>
      <x:c r="G42" s="34" t="str">
        <x:v>independent representative measurement meets the modeled boundary</x:v>
      </x:c>
      <x:c r="H42" s="34" t="str">
        <x:v>Variable Support Office</x:v>
      </x:c>
      <x:c r="I42" s="34" t="str">
        <x:v>OPEN</x:v>
      </x:c>
      <x:c r="J42" s="76" t="n">
        <x:v>0</x:v>
      </x:c>
      <x:c r="K42" s="35" t="str">
        <x:v>BLOCKED</x:v>
      </x:c>
    </x:row>
    <x:row r="43">
      <x:c r="B43" s="34" t="str">
        <x:v>E037</x:v>
      </x:c>
      <x:c r="C43" s="34" t="str">
        <x:v>TRANSIENT</x:v>
      </x:c>
      <x:c r="D43" s="34" t="str">
        <x:v>five-state partial unload</x:v>
      </x:c>
      <x:c r="E43" s="34" t="str">
        <x:v>six-train unload article</x:v>
      </x:c>
      <x:c r="F43" s="34" t="str">
        <x:v>insert loss, atmosphere, load or denied dependency named by the gate</x:v>
      </x:c>
      <x:c r="G43" s="34" t="str">
        <x:v>independent representative measurement meets the modeled boundary</x:v>
      </x:c>
      <x:c r="H43" s="34" t="str">
        <x:v>Variable Support Office</x:v>
      </x:c>
      <x:c r="I43" s="34" t="str">
        <x:v>OPEN</x:v>
      </x:c>
      <x:c r="J43" s="76" t="n">
        <x:v>0</x:v>
      </x:c>
      <x:c r="K43" s="35" t="str">
        <x:v>BLOCKED</x:v>
      </x:c>
    </x:row>
    <x:row r="44">
      <x:c r="B44" s="34" t="str">
        <x:v>E038</x:v>
      </x:c>
      <x:c r="C44" s="34" t="str">
        <x:v>TRANSIENT</x:v>
      </x:c>
      <x:c r="D44" s="34" t="str">
        <x:v>aborted unload reversal</x:v>
      </x:c>
      <x:c r="E44" s="34" t="str">
        <x:v>six-train unload article</x:v>
      </x:c>
      <x:c r="F44" s="34" t="str">
        <x:v>insert loss, atmosphere, load or denied dependency named by the gate</x:v>
      </x:c>
      <x:c r="G44" s="34" t="str">
        <x:v>independent representative measurement meets the modeled boundary</x:v>
      </x:c>
      <x:c r="H44" s="34" t="str">
        <x:v>Variable Support Office</x:v>
      </x:c>
      <x:c r="I44" s="34" t="str">
        <x:v>OPEN</x:v>
      </x:c>
      <x:c r="J44" s="76" t="n">
        <x:v>0</x:v>
      </x:c>
      <x:c r="K44" s="35" t="str">
        <x:v>BLOCKED</x:v>
      </x:c>
    </x:row>
    <x:row r="45">
      <x:c r="B45" s="34" t="str">
        <x:v>E039</x:v>
      </x:c>
      <x:c r="C45" s="34" t="str">
        <x:v>TRANSIENT</x:v>
      </x:c>
      <x:c r="D45" s="34" t="str">
        <x:v>cold-dense full unload</x:v>
      </x:c>
      <x:c r="E45" s="34" t="str">
        <x:v>six-train unload article</x:v>
      </x:c>
      <x:c r="F45" s="34" t="str">
        <x:v>insert loss, atmosphere, load or denied dependency named by the gate</x:v>
      </x:c>
      <x:c r="G45" s="34" t="str">
        <x:v>independent representative measurement meets the modeled boundary</x:v>
      </x:c>
      <x:c r="H45" s="34" t="str">
        <x:v>Variable Support Office</x:v>
      </x:c>
      <x:c r="I45" s="34" t="str">
        <x:v>OPEN</x:v>
      </x:c>
      <x:c r="J45" s="76" t="n">
        <x:v>0</x:v>
      </x:c>
      <x:c r="K45" s="35" t="str">
        <x:v>BLOCKED</x:v>
      </x:c>
    </x:row>
    <x:row r="46">
      <x:c r="B46" s="34" t="str">
        <x:v>E040</x:v>
      </x:c>
      <x:c r="C46" s="34" t="str">
        <x:v>TRANSIENT</x:v>
      </x:c>
      <x:c r="D46" s="34" t="str">
        <x:v>hot-high full unload</x:v>
      </x:c>
      <x:c r="E46" s="34" t="str">
        <x:v>six-train unload article</x:v>
      </x:c>
      <x:c r="F46" s="34" t="str">
        <x:v>insert loss, atmosphere, load or denied dependency named by the gate</x:v>
      </x:c>
      <x:c r="G46" s="34" t="str">
        <x:v>independent representative measurement meets the modeled boundary</x:v>
      </x:c>
      <x:c r="H46" s="34" t="str">
        <x:v>Variable Support Office</x:v>
      </x:c>
      <x:c r="I46" s="34" t="str">
        <x:v>OPEN</x:v>
      </x:c>
      <x:c r="J46" s="76" t="n">
        <x:v>0</x:v>
      </x:c>
      <x:c r="K46" s="35" t="str">
        <x:v>BLOCKED</x:v>
      </x:c>
    </x:row>
    <x:row r="47">
      <x:c r="B47" s="34" t="str">
        <x:v>E041</x:v>
      </x:c>
      <x:c r="C47" s="34" t="str">
        <x:v>TRANSIENT</x:v>
      </x:c>
      <x:c r="D47" s="34" t="str">
        <x:v>no receiver ballast</x:v>
      </x:c>
      <x:c r="E47" s="34" t="str">
        <x:v>six-train unload article</x:v>
      </x:c>
      <x:c r="F47" s="34" t="str">
        <x:v>insert loss, atmosphere, load or denied dependency named by the gate</x:v>
      </x:c>
      <x:c r="G47" s="34" t="str">
        <x:v>independent representative measurement meets the modeled boundary</x:v>
      </x:c>
      <x:c r="H47" s="34" t="str">
        <x:v>Variable Support Office</x:v>
      </x:c>
      <x:c r="I47" s="34" t="str">
        <x:v>OPEN</x:v>
      </x:c>
      <x:c r="J47" s="76" t="n">
        <x:v>0</x:v>
      </x:c>
      <x:c r="K47" s="35" t="str">
        <x:v>BLOCKED</x:v>
      </x:c>
    </x:row>
    <x:row r="48">
      <x:c r="B48" s="34" t="str">
        <x:v>E042</x:v>
      </x:c>
      <x:c r="C48" s="34" t="str">
        <x:v>TRANSIENT</x:v>
      </x:c>
      <x:c r="D48" s="34" t="str">
        <x:v>no prepared-anchor credit</x:v>
      </x:c>
      <x:c r="E48" s="34" t="str">
        <x:v>six-train unload article</x:v>
      </x:c>
      <x:c r="F48" s="34" t="str">
        <x:v>insert loss, atmosphere, load or denied dependency named by the gate</x:v>
      </x:c>
      <x:c r="G48" s="34" t="str">
        <x:v>independent representative measurement meets the modeled boundary</x:v>
      </x:c>
      <x:c r="H48" s="34" t="str">
        <x:v>Variable Support Office</x:v>
      </x:c>
      <x:c r="I48" s="34" t="str">
        <x:v>OPEN</x:v>
      </x:c>
      <x:c r="J48" s="76" t="n">
        <x:v>0</x:v>
      </x:c>
      <x:c r="K48" s="35" t="str">
        <x:v>BLOCKED</x:v>
      </x:c>
    </x:row>
    <x:row r="49">
      <x:c r="B49" s="34" t="str">
        <x:v>E043</x:v>
      </x:c>
      <x:c r="C49" s="34" t="str">
        <x:v>TRANSIENT</x:v>
      </x:c>
      <x:c r="D49" s="34" t="str">
        <x:v>symmetric cell deflation</x:v>
      </x:c>
      <x:c r="E49" s="34" t="str">
        <x:v>six-train unload article</x:v>
      </x:c>
      <x:c r="F49" s="34" t="str">
        <x:v>insert loss, atmosphere, load or denied dependency named by the gate</x:v>
      </x:c>
      <x:c r="G49" s="34" t="str">
        <x:v>independent representative measurement meets the modeled boundary</x:v>
      </x:c>
      <x:c r="H49" s="34" t="str">
        <x:v>Variable Support Office</x:v>
      </x:c>
      <x:c r="I49" s="34" t="str">
        <x:v>OPEN</x:v>
      </x:c>
      <x:c r="J49" s="76" t="n">
        <x:v>0</x:v>
      </x:c>
      <x:c r="K49" s="35" t="str">
        <x:v>BLOCKED</x:v>
      </x:c>
    </x:row>
    <x:row r="50">
      <x:c r="B50" s="34" t="str">
        <x:v>E044</x:v>
      </x:c>
      <x:c r="C50" s="34" t="str">
        <x:v>TRANSIENT</x:v>
      </x:c>
      <x:c r="D50" s="34" t="str">
        <x:v>captured-oxygen mass accounting</x:v>
      </x:c>
      <x:c r="E50" s="34" t="str">
        <x:v>six-train unload article</x:v>
      </x:c>
      <x:c r="F50" s="34" t="str">
        <x:v>insert loss, atmosphere, load or denied dependency named by the gate</x:v>
      </x:c>
      <x:c r="G50" s="34" t="str">
        <x:v>independent representative measurement meets the modeled boundary</x:v>
      </x:c>
      <x:c r="H50" s="34" t="str">
        <x:v>Variable Support Office</x:v>
      </x:c>
      <x:c r="I50" s="34" t="str">
        <x:v>OPEN</x:v>
      </x:c>
      <x:c r="J50" s="76" t="n">
        <x:v>0</x:v>
      </x:c>
      <x:c r="K50" s="35" t="str">
        <x:v>BLOCKED</x:v>
      </x:c>
    </x:row>
    <x:row r="51">
      <x:c r="B51" s="34" t="str">
        <x:v>E045</x:v>
      </x:c>
      <x:c r="C51" s="34" t="str">
        <x:v>TRANSIENT</x:v>
      </x:c>
      <x:c r="D51" s="34" t="str">
        <x:v>lift-water reset path</x:v>
      </x:c>
      <x:c r="E51" s="34" t="str">
        <x:v>six-train unload article</x:v>
      </x:c>
      <x:c r="F51" s="34" t="str">
        <x:v>insert loss, atmosphere, load or denied dependency named by the gate</x:v>
      </x:c>
      <x:c r="G51" s="34" t="str">
        <x:v>independent representative measurement meets the modeled boundary</x:v>
      </x:c>
      <x:c r="H51" s="34" t="str">
        <x:v>Variable Support Office</x:v>
      </x:c>
      <x:c r="I51" s="34" t="str">
        <x:v>OPEN</x:v>
      </x:c>
      <x:c r="J51" s="76" t="n">
        <x:v>0</x:v>
      </x:c>
      <x:c r="K51" s="35" t="str">
        <x:v>BLOCKED</x:v>
      </x:c>
    </x:row>
    <x:row r="52">
      <x:c r="B52" s="34" t="str">
        <x:v>E046</x:v>
      </x:c>
      <x:c r="C52" s="34" t="str">
        <x:v>ENERGY</x:v>
      </x:c>
      <x:c r="D52" s="34" t="str">
        <x:v>16.65 MWh per t usable mission fuel</x:v>
      </x:c>
      <x:c r="E52" s="34" t="str">
        <x:v>fuel citadel and complete power system</x:v>
      </x:c>
      <x:c r="F52" s="34" t="str">
        <x:v>insert loss, atmosphere, load or denied dependency named by the gate</x:v>
      </x:c>
      <x:c r="G52" s="34" t="str">
        <x:v>independent representative measurement meets the modeled boundary</x:v>
      </x:c>
      <x:c r="H52" s="34" t="str">
        <x:v>Atmospheric Energy Directorate</x:v>
      </x:c>
      <x:c r="I52" s="34" t="str">
        <x:v>OPEN</x:v>
      </x:c>
      <x:c r="J52" s="76" t="n">
        <x:v>0</x:v>
      </x:c>
      <x:c r="K52" s="35" t="str">
        <x:v>BLOCKED</x:v>
      </x:c>
    </x:row>
    <x:row r="53">
      <x:c r="B53" s="34" t="str">
        <x:v>E047</x:v>
      </x:c>
      <x:c r="C53" s="34" t="str">
        <x:v>ENERGY</x:v>
      </x:c>
      <x:c r="D53" s="34" t="str">
        <x:v>131.24 t mission fuel</x:v>
      </x:c>
      <x:c r="E53" s="34" t="str">
        <x:v>fuel citadel and complete power system</x:v>
      </x:c>
      <x:c r="F53" s="34" t="str">
        <x:v>insert loss, atmosphere, load or denied dependency named by the gate</x:v>
      </x:c>
      <x:c r="G53" s="34" t="str">
        <x:v>independent representative measurement meets the modeled boundary</x:v>
      </x:c>
      <x:c r="H53" s="34" t="str">
        <x:v>Atmospheric Energy Directorate</x:v>
      </x:c>
      <x:c r="I53" s="34" t="str">
        <x:v>OPEN</x:v>
      </x:c>
      <x:c r="J53" s="76" t="n">
        <x:v>0</x:v>
      </x:c>
      <x:c r="K53" s="35" t="str">
        <x:v>BLOCKED</x:v>
      </x:c>
    </x:row>
    <x:row r="54">
      <x:c r="B54" s="34" t="str">
        <x:v>E048</x:v>
      </x:c>
      <x:c r="C54" s="34" t="str">
        <x:v>ENERGY</x:v>
      </x:c>
      <x:c r="D54" s="34" t="str">
        <x:v>72.18 t tank structure</x:v>
      </x:c>
      <x:c r="E54" s="34" t="str">
        <x:v>fuel citadel and complete power system</x:v>
      </x:c>
      <x:c r="F54" s="34" t="str">
        <x:v>insert loss, atmosphere, load or denied dependency named by the gate</x:v>
      </x:c>
      <x:c r="G54" s="34" t="str">
        <x:v>independent representative measurement meets the modeled boundary</x:v>
      </x:c>
      <x:c r="H54" s="34" t="str">
        <x:v>Atmospheric Energy Directorate</x:v>
      </x:c>
      <x:c r="I54" s="34" t="str">
        <x:v>OPEN</x:v>
      </x:c>
      <x:c r="J54" s="76" t="n">
        <x:v>0</x:v>
      </x:c>
      <x:c r="K54" s="35" t="str">
        <x:v>BLOCKED</x:v>
      </x:c>
    </x:row>
    <x:row r="55">
      <x:c r="B55" s="34" t="str">
        <x:v>E049</x:v>
      </x:c>
      <x:c r="C55" s="34" t="str">
        <x:v>ENERGY</x:v>
      </x:c>
      <x:c r="D55" s="34" t="str">
        <x:v>2.185 GWh onboard energy</x:v>
      </x:c>
      <x:c r="E55" s="34" t="str">
        <x:v>fuel citadel and complete power system</x:v>
      </x:c>
      <x:c r="F55" s="34" t="str">
        <x:v>insert loss, atmosphere, load or denied dependency named by the gate</x:v>
      </x:c>
      <x:c r="G55" s="34" t="str">
        <x:v>independent representative measurement meets the modeled boundary</x:v>
      </x:c>
      <x:c r="H55" s="34" t="str">
        <x:v>Atmospheric Energy Directorate</x:v>
      </x:c>
      <x:c r="I55" s="34" t="str">
        <x:v>OPEN</x:v>
      </x:c>
      <x:c r="J55" s="76" t="n">
        <x:v>0</x:v>
      </x:c>
      <x:c r="K55" s="35" t="str">
        <x:v>BLOCKED</x:v>
      </x:c>
    </x:row>
    <x:row r="56">
      <x:c r="B56" s="34" t="str">
        <x:v>E050</x:v>
      </x:c>
      <x:c r="C56" s="34" t="str">
        <x:v>ENERGY</x:v>
      </x:c>
      <x:c r="D56" s="34" t="str">
        <x:v>17.5 percent energy reserve</x:v>
      </x:c>
      <x:c r="E56" s="34" t="str">
        <x:v>fuel citadel and complete power system</x:v>
      </x:c>
      <x:c r="F56" s="34" t="str">
        <x:v>insert loss, atmosphere, load or denied dependency named by the gate</x:v>
      </x:c>
      <x:c r="G56" s="34" t="str">
        <x:v>independent representative measurement meets the modeled boundary</x:v>
      </x:c>
      <x:c r="H56" s="34" t="str">
        <x:v>Atmospheric Energy Directorate</x:v>
      </x:c>
      <x:c r="I56" s="34" t="str">
        <x:v>OPEN</x:v>
      </x:c>
      <x:c r="J56" s="76" t="n">
        <x:v>0</x:v>
      </x:c>
      <x:c r="K56" s="35" t="str">
        <x:v>BLOCKED</x:v>
      </x:c>
    </x:row>
    <x:row r="57">
      <x:c r="B57" s="34" t="str">
        <x:v>E051</x:v>
      </x:c>
      <x:c r="C57" s="34" t="str">
        <x:v>ENERGY</x:v>
      </x:c>
      <x:c r="D57" s="34" t="str">
        <x:v>192 MW installed power</x:v>
      </x:c>
      <x:c r="E57" s="34" t="str">
        <x:v>fuel citadel and complete power system</x:v>
      </x:c>
      <x:c r="F57" s="34" t="str">
        <x:v>insert loss, atmosphere, load or denied dependency named by the gate</x:v>
      </x:c>
      <x:c r="G57" s="34" t="str">
        <x:v>independent representative measurement meets the modeled boundary</x:v>
      </x:c>
      <x:c r="H57" s="34" t="str">
        <x:v>Atmospheric Energy Directorate</x:v>
      </x:c>
      <x:c r="I57" s="34" t="str">
        <x:v>OPEN</x:v>
      </x:c>
      <x:c r="J57" s="76" t="n">
        <x:v>0</x:v>
      </x:c>
      <x:c r="K57" s="35" t="str">
        <x:v>BLOCKED</x:v>
      </x:c>
    </x:row>
    <x:row r="58">
      <x:c r="B58" s="34" t="str">
        <x:v>E052</x:v>
      </x:c>
      <x:c r="C58" s="34" t="str">
        <x:v>ENERGY</x:v>
      </x:c>
      <x:c r="D58" s="34" t="str">
        <x:v>twelve propulsion pods</x:v>
      </x:c>
      <x:c r="E58" s="34" t="str">
        <x:v>fuel citadel and complete power system</x:v>
      </x:c>
      <x:c r="F58" s="34" t="str">
        <x:v>insert loss, atmosphere, load or denied dependency named by the gate</x:v>
      </x:c>
      <x:c r="G58" s="34" t="str">
        <x:v>independent representative measurement meets the modeled boundary</x:v>
      </x:c>
      <x:c r="H58" s="34" t="str">
        <x:v>Atmospheric Energy Directorate</x:v>
      </x:c>
      <x:c r="I58" s="34" t="str">
        <x:v>OPEN</x:v>
      </x:c>
      <x:c r="J58" s="76" t="n">
        <x:v>0</x:v>
      </x:c>
      <x:c r="K58" s="35" t="str">
        <x:v>BLOCKED</x:v>
      </x:c>
    </x:row>
    <x:row r="59">
      <x:c r="B59" s="34" t="str">
        <x:v>E053</x:v>
      </x:c>
      <x:c r="C59" s="34" t="str">
        <x:v>ENERGY</x:v>
      </x:c>
      <x:c r="D59" s="34" t="str">
        <x:v>six independent energy buses</x:v>
      </x:c>
      <x:c r="E59" s="34" t="str">
        <x:v>fuel citadel and complete power system</x:v>
      </x:c>
      <x:c r="F59" s="34" t="str">
        <x:v>insert loss, atmosphere, load or denied dependency named by the gate</x:v>
      </x:c>
      <x:c r="G59" s="34" t="str">
        <x:v>independent representative measurement meets the modeled boundary</x:v>
      </x:c>
      <x:c r="H59" s="34" t="str">
        <x:v>Atmospheric Energy Directorate</x:v>
      </x:c>
      <x:c r="I59" s="34" t="str">
        <x:v>OPEN</x:v>
      </x:c>
      <x:c r="J59" s="76" t="n">
        <x:v>0</x:v>
      </x:c>
      <x:c r="K59" s="35" t="str">
        <x:v>BLOCKED</x:v>
      </x:c>
    </x:row>
    <x:row r="60">
      <x:c r="B60" s="34" t="str">
        <x:v>E054</x:v>
      </x:c>
      <x:c r="C60" s="34" t="str">
        <x:v>ENERGY</x:v>
      </x:c>
      <x:c r="D60" s="34" t="str">
        <x:v>N-2 placement power</x:v>
      </x:c>
      <x:c r="E60" s="34" t="str">
        <x:v>fuel citadel and complete power system</x:v>
      </x:c>
      <x:c r="F60" s="34" t="str">
        <x:v>insert loss, atmosphere, load or denied dependency named by the gate</x:v>
      </x:c>
      <x:c r="G60" s="34" t="str">
        <x:v>independent representative measurement meets the modeled boundary</x:v>
      </x:c>
      <x:c r="H60" s="34" t="str">
        <x:v>Atmospheric Energy Directorate</x:v>
      </x:c>
      <x:c r="I60" s="34" t="str">
        <x:v>OPEN</x:v>
      </x:c>
      <x:c r="J60" s="76" t="n">
        <x:v>0</x:v>
      </x:c>
      <x:c r="K60" s="35" t="str">
        <x:v>BLOCKED</x:v>
      </x:c>
    </x:row>
    <x:row r="61">
      <x:c r="B61" s="34" t="str">
        <x:v>E055</x:v>
      </x:c>
      <x:c r="C61" s="34" t="str">
        <x:v>ENERGY</x:v>
      </x:c>
      <x:c r="D61" s="34" t="str">
        <x:v>one-bus cruise power</x:v>
      </x:c>
      <x:c r="E61" s="34" t="str">
        <x:v>fuel citadel and complete power system</x:v>
      </x:c>
      <x:c r="F61" s="34" t="str">
        <x:v>insert loss, atmosphere, load or denied dependency named by the gate</x:v>
      </x:c>
      <x:c r="G61" s="34" t="str">
        <x:v>independent representative measurement meets the modeled boundary</x:v>
      </x:c>
      <x:c r="H61" s="34" t="str">
        <x:v>Atmospheric Energy Directorate</x:v>
      </x:c>
      <x:c r="I61" s="34" t="str">
        <x:v>OPEN</x:v>
      </x:c>
      <x:c r="J61" s="76" t="n">
        <x:v>0</x:v>
      </x:c>
      <x:c r="K61" s="35" t="str">
        <x:v>BLOCKED</x:v>
      </x:c>
    </x:row>
    <x:row r="62">
      <x:c r="B62" s="34" t="str">
        <x:v>E056</x:v>
      </x:c>
      <x:c r="C62" s="34" t="str">
        <x:v>ENERGY</x:v>
      </x:c>
      <x:c r="D62" s="34" t="str">
        <x:v>cryogenic containment</x:v>
      </x:c>
      <x:c r="E62" s="34" t="str">
        <x:v>fuel citadel and complete power system</x:v>
      </x:c>
      <x:c r="F62" s="34" t="str">
        <x:v>insert loss, atmosphere, load or denied dependency named by the gate</x:v>
      </x:c>
      <x:c r="G62" s="34" t="str">
        <x:v>independent representative measurement meets the modeled boundary</x:v>
      </x:c>
      <x:c r="H62" s="34" t="str">
        <x:v>Atmospheric Energy Directorate</x:v>
      </x:c>
      <x:c r="I62" s="34" t="str">
        <x:v>OPEN</x:v>
      </x:c>
      <x:c r="J62" s="76" t="n">
        <x:v>0</x:v>
      </x:c>
      <x:c r="K62" s="35" t="str">
        <x:v>BLOCKED</x:v>
      </x:c>
    </x:row>
    <x:row r="63">
      <x:c r="B63" s="34" t="str">
        <x:v>E057</x:v>
      </x:c>
      <x:c r="C63" s="34" t="str">
        <x:v>ENERGY</x:v>
      </x:c>
      <x:c r="D63" s="34" t="str">
        <x:v>boil-off custody</x:v>
      </x:c>
      <x:c r="E63" s="34" t="str">
        <x:v>fuel citadel and complete power system</x:v>
      </x:c>
      <x:c r="F63" s="34" t="str">
        <x:v>insert loss, atmosphere, load or denied dependency named by the gate</x:v>
      </x:c>
      <x:c r="G63" s="34" t="str">
        <x:v>independent representative measurement meets the modeled boundary</x:v>
      </x:c>
      <x:c r="H63" s="34" t="str">
        <x:v>Atmospheric Energy Directorate</x:v>
      </x:c>
      <x:c r="I63" s="34" t="str">
        <x:v>OPEN</x:v>
      </x:c>
      <x:c r="J63" s="76" t="n">
        <x:v>0</x:v>
      </x:c>
      <x:c r="K63" s="35" t="str">
        <x:v>BLOCKED</x:v>
      </x:c>
    </x:row>
    <x:row r="64">
      <x:c r="B64" s="34" t="str">
        <x:v>E058</x:v>
      </x:c>
      <x:c r="C64" s="34" t="str">
        <x:v>ENERGY</x:v>
      </x:c>
      <x:c r="D64" s="34" t="str">
        <x:v>fuel-citadel fire isolation</x:v>
      </x:c>
      <x:c r="E64" s="34" t="str">
        <x:v>fuel citadel and complete power system</x:v>
      </x:c>
      <x:c r="F64" s="34" t="str">
        <x:v>insert loss, atmosphere, load or denied dependency named by the gate</x:v>
      </x:c>
      <x:c r="G64" s="34" t="str">
        <x:v>independent representative measurement meets the modeled boundary</x:v>
      </x:c>
      <x:c r="H64" s="34" t="str">
        <x:v>Atmospheric Energy Directorate</x:v>
      </x:c>
      <x:c r="I64" s="34" t="str">
        <x:v>OPEN</x:v>
      </x:c>
      <x:c r="J64" s="76" t="n">
        <x:v>0</x:v>
      </x:c>
      <x:c r="K64" s="35" t="str">
        <x:v>BLOCKED</x:v>
      </x:c>
    </x:row>
    <x:row r="65">
      <x:c r="B65" s="34" t="str">
        <x:v>E059</x:v>
      </x:c>
      <x:c r="C65" s="34" t="str">
        <x:v>ENERGY</x:v>
      </x:c>
      <x:c r="D65" s="34" t="str">
        <x:v>high-temperature conversion efficiency</x:v>
      </x:c>
      <x:c r="E65" s="34" t="str">
        <x:v>fuel citadel and complete power system</x:v>
      </x:c>
      <x:c r="F65" s="34" t="str">
        <x:v>insert loss, atmosphere, load or denied dependency named by the gate</x:v>
      </x:c>
      <x:c r="G65" s="34" t="str">
        <x:v>independent representative measurement meets the modeled boundary</x:v>
      </x:c>
      <x:c r="H65" s="34" t="str">
        <x:v>Atmospheric Energy Directorate</x:v>
      </x:c>
      <x:c r="I65" s="34" t="str">
        <x:v>OPEN</x:v>
      </x:c>
      <x:c r="J65" s="76" t="n">
        <x:v>0</x:v>
      </x:c>
      <x:c r="K65" s="35" t="str">
        <x:v>BLOCKED</x:v>
      </x:c>
    </x:row>
    <x:row r="66">
      <x:c r="B66" s="34" t="str">
        <x:v>E060</x:v>
      </x:c>
      <x:c r="C66" s="34" t="str">
        <x:v>ENERGY</x:v>
      </x:c>
      <x:c r="D66" s="34" t="str">
        <x:v>energy-state offline reconstruction</x:v>
      </x:c>
      <x:c r="E66" s="34" t="str">
        <x:v>fuel citadel and complete power system</x:v>
      </x:c>
      <x:c r="F66" s="34" t="str">
        <x:v>insert loss, atmosphere, load or denied dependency named by the gate</x:v>
      </x:c>
      <x:c r="G66" s="34" t="str">
        <x:v>independent representative measurement meets the modeled boundary</x:v>
      </x:c>
      <x:c r="H66" s="34" t="str">
        <x:v>Atmospheric Energy Directorate</x:v>
      </x:c>
      <x:c r="I66" s="34" t="str">
        <x:v>OPEN</x:v>
      </x:c>
      <x:c r="J66" s="76" t="n">
        <x:v>0</x:v>
      </x:c>
      <x:c r="K66" s="35" t="str">
        <x:v>BLOCKED</x:v>
      </x:c>
    </x:row>
    <x:row r="67">
      <x:c r="B67" s="34" t="str">
        <x:v>E061</x:v>
      </x:c>
      <x:c r="C67" s="34" t="str">
        <x:v>AEROTHERMAL</x:v>
      </x:c>
      <x:c r="D67" s="34" t="str">
        <x:v>240 km/h cruise</x:v>
      </x:c>
      <x:c r="E67" s="34" t="str">
        <x:v>instrumented flight article</x:v>
      </x:c>
      <x:c r="F67" s="34" t="str">
        <x:v>insert loss, atmosphere, load or denied dependency named by the gate</x:v>
      </x:c>
      <x:c r="G67" s="34" t="str">
        <x:v>independent representative measurement meets the modeled boundary</x:v>
      </x:c>
      <x:c r="H67" s="34" t="str">
        <x:v>National Atmospheric Test Authority</x:v>
      </x:c>
      <x:c r="I67" s="34" t="str">
        <x:v>OPEN</x:v>
      </x:c>
      <x:c r="J67" s="76" t="n">
        <x:v>0</x:v>
      </x:c>
      <x:c r="K67" s="35" t="str">
        <x:v>BLOCKED</x:v>
      </x:c>
    </x:row>
    <x:row r="68">
      <x:c r="B68" s="34" t="str">
        <x:v>E062</x:v>
      </x:c>
      <x:c r="C68" s="34" t="str">
        <x:v>AEROTHERMAL</x:v>
      </x:c>
      <x:c r="D68" s="34" t="str">
        <x:v>twelve lift-to-drag ratio</x:v>
      </x:c>
      <x:c r="E68" s="34" t="str">
        <x:v>instrumented flight article</x:v>
      </x:c>
      <x:c r="F68" s="34" t="str">
        <x:v>insert loss, atmosphere, load or denied dependency named by the gate</x:v>
      </x:c>
      <x:c r="G68" s="34" t="str">
        <x:v>independent representative measurement meets the modeled boundary</x:v>
      </x:c>
      <x:c r="H68" s="34" t="str">
        <x:v>National Atmospheric Test Authority</x:v>
      </x:c>
      <x:c r="I68" s="34" t="str">
        <x:v>OPEN</x:v>
      </x:c>
      <x:c r="J68" s="76" t="n">
        <x:v>0</x:v>
      </x:c>
      <x:c r="K68" s="35" t="str">
        <x:v>BLOCKED</x:v>
      </x:c>
    </x:row>
    <x:row r="69">
      <x:c r="B69" s="34" t="str">
        <x:v>E063</x:v>
      </x:c>
      <x:c r="C69" s="34" t="str">
        <x:v>AEROTHERMAL</x:v>
      </x:c>
      <x:c r="D69" s="34" t="str">
        <x:v>0.055 hull drag coefficient</x:v>
      </x:c>
      <x:c r="E69" s="34" t="str">
        <x:v>instrumented flight article</x:v>
      </x:c>
      <x:c r="F69" s="34" t="str">
        <x:v>insert loss, atmosphere, load or denied dependency named by the gate</x:v>
      </x:c>
      <x:c r="G69" s="34" t="str">
        <x:v>independent representative measurement meets the modeled boundary</x:v>
      </x:c>
      <x:c r="H69" s="34" t="str">
        <x:v>National Atmospheric Test Authority</x:v>
      </x:c>
      <x:c r="I69" s="34" t="str">
        <x:v>OPEN</x:v>
      </x:c>
      <x:c r="J69" s="76" t="n">
        <x:v>0</x:v>
      </x:c>
      <x:c r="K69" s="35" t="str">
        <x:v>BLOCKED</x:v>
      </x:c>
    </x:row>
    <x:row r="70">
      <x:c r="B70" s="34" t="str">
        <x:v>E064</x:v>
      </x:c>
      <x:c r="C70" s="34" t="str">
        <x:v>AEROTHERMAL</x:v>
      </x:c>
      <x:c r="D70" s="34" t="str">
        <x:v>4,300 m2 frontal area</x:v>
      </x:c>
      <x:c r="E70" s="34" t="str">
        <x:v>instrumented flight article</x:v>
      </x:c>
      <x:c r="F70" s="34" t="str">
        <x:v>insert loss, atmosphere, load or denied dependency named by the gate</x:v>
      </x:c>
      <x:c r="G70" s="34" t="str">
        <x:v>independent representative measurement meets the modeled boundary</x:v>
      </x:c>
      <x:c r="H70" s="34" t="str">
        <x:v>National Atmospheric Test Authority</x:v>
      </x:c>
      <x:c r="I70" s="34" t="str">
        <x:v>OPEN</x:v>
      </x:c>
      <x:c r="J70" s="76" t="n">
        <x:v>0</x:v>
      </x:c>
      <x:c r="K70" s="35" t="str">
        <x:v>BLOCKED</x:v>
      </x:c>
    </x:row>
    <x:row r="71">
      <x:c r="B71" s="34" t="str">
        <x:v>E065</x:v>
      </x:c>
      <x:c r="C71" s="34" t="str">
        <x:v>AEROTHERMAL</x:v>
      </x:c>
      <x:c r="D71" s="34" t="str">
        <x:v>650 t dynamic-lift capacity</x:v>
      </x:c>
      <x:c r="E71" s="34" t="str">
        <x:v>instrumented flight article</x:v>
      </x:c>
      <x:c r="F71" s="34" t="str">
        <x:v>insert loss, atmosphere, load or denied dependency named by the gate</x:v>
      </x:c>
      <x:c r="G71" s="34" t="str">
        <x:v>independent representative measurement meets the modeled boundary</x:v>
      </x:c>
      <x:c r="H71" s="34" t="str">
        <x:v>National Atmospheric Test Authority</x:v>
      </x:c>
      <x:c r="I71" s="34" t="str">
        <x:v>OPEN</x:v>
      </x:c>
      <x:c r="J71" s="76" t="n">
        <x:v>0</x:v>
      </x:c>
      <x:c r="K71" s="35" t="str">
        <x:v>BLOCKED</x:v>
      </x:c>
    </x:row>
    <x:row r="72">
      <x:c r="B72" s="34" t="str">
        <x:v>E066</x:v>
      </x:c>
      <x:c r="C72" s="34" t="str">
        <x:v>AEROTHERMAL</x:v>
      </x:c>
      <x:c r="D72" s="34" t="str">
        <x:v>one-cell-loss cruise lift</x:v>
      </x:c>
      <x:c r="E72" s="34" t="str">
        <x:v>instrumented flight article</x:v>
      </x:c>
      <x:c r="F72" s="34" t="str">
        <x:v>insert loss, atmosphere, load or denied dependency named by the gate</x:v>
      </x:c>
      <x:c r="G72" s="34" t="str">
        <x:v>independent representative measurement meets the modeled boundary</x:v>
      </x:c>
      <x:c r="H72" s="34" t="str">
        <x:v>National Atmospheric Test Authority</x:v>
      </x:c>
      <x:c r="I72" s="34" t="str">
        <x:v>OPEN</x:v>
      </x:c>
      <x:c r="J72" s="76" t="n">
        <x:v>0</x:v>
      </x:c>
      <x:c r="K72" s="35" t="str">
        <x:v>BLOCKED</x:v>
      </x:c>
    </x:row>
    <x:row r="73">
      <x:c r="B73" s="34" t="str">
        <x:v>E067</x:v>
      </x:c>
      <x:c r="C73" s="34" t="str">
        <x:v>AEROTHERMAL</x:v>
      </x:c>
      <x:c r="D73" s="34" t="str">
        <x:v>one-pod-out flight control</x:v>
      </x:c>
      <x:c r="E73" s="34" t="str">
        <x:v>instrumented flight article</x:v>
      </x:c>
      <x:c r="F73" s="34" t="str">
        <x:v>insert loss, atmosphere, load or denied dependency named by the gate</x:v>
      </x:c>
      <x:c r="G73" s="34" t="str">
        <x:v>independent representative measurement meets the modeled boundary</x:v>
      </x:c>
      <x:c r="H73" s="34" t="str">
        <x:v>National Atmospheric Test Authority</x:v>
      </x:c>
      <x:c r="I73" s="34" t="str">
        <x:v>OPEN</x:v>
      </x:c>
      <x:c r="J73" s="76" t="n">
        <x:v>0</x:v>
      </x:c>
      <x:c r="K73" s="35" t="str">
        <x:v>BLOCKED</x:v>
      </x:c>
    </x:row>
    <x:row r="74">
      <x:c r="B74" s="34" t="str">
        <x:v>E068</x:v>
      </x:c>
      <x:c r="C74" s="34" t="str">
        <x:v>AEROTHERMAL</x:v>
      </x:c>
      <x:c r="D74" s="34" t="str">
        <x:v>N-2 low-speed control</x:v>
      </x:c>
      <x:c r="E74" s="34" t="str">
        <x:v>instrumented flight article</x:v>
      </x:c>
      <x:c r="F74" s="34" t="str">
        <x:v>insert loss, atmosphere, load or denied dependency named by the gate</x:v>
      </x:c>
      <x:c r="G74" s="34" t="str">
        <x:v>independent representative measurement meets the modeled boundary</x:v>
      </x:c>
      <x:c r="H74" s="34" t="str">
        <x:v>National Atmospheric Test Authority</x:v>
      </x:c>
      <x:c r="I74" s="34" t="str">
        <x:v>OPEN</x:v>
      </x:c>
      <x:c r="J74" s="76" t="n">
        <x:v>0</x:v>
      </x:c>
      <x:c r="K74" s="35" t="str">
        <x:v>BLOCKED</x:v>
      </x:c>
    </x:row>
    <x:row r="75">
      <x:c r="B75" s="34" t="str">
        <x:v>E069</x:v>
      </x:c>
      <x:c r="C75" s="34" t="str">
        <x:v>AEROTHERMAL</x:v>
      </x:c>
      <x:c r="D75" s="34" t="str">
        <x:v>480 m2 radiator surface</x:v>
      </x:c>
      <x:c r="E75" s="34" t="str">
        <x:v>instrumented flight article</x:v>
      </x:c>
      <x:c r="F75" s="34" t="str">
        <x:v>insert loss, atmosphere, load or denied dependency named by the gate</x:v>
      </x:c>
      <x:c r="G75" s="34" t="str">
        <x:v>independent representative measurement meets the modeled boundary</x:v>
      </x:c>
      <x:c r="H75" s="34" t="str">
        <x:v>National Atmospheric Test Authority</x:v>
      </x:c>
      <x:c r="I75" s="34" t="str">
        <x:v>OPEN</x:v>
      </x:c>
      <x:c r="J75" s="76" t="n">
        <x:v>0</x:v>
      </x:c>
      <x:c r="K75" s="35" t="str">
        <x:v>BLOCKED</x:v>
      </x:c>
    </x:row>
    <x:row r="76">
      <x:c r="B76" s="34" t="str">
        <x:v>E070</x:v>
      </x:c>
      <x:c r="C76" s="34" t="str">
        <x:v>AEROTHERMAL</x:v>
      </x:c>
      <x:c r="D76" s="34" t="str">
        <x:v>one-panel-out route rejection</x:v>
      </x:c>
      <x:c r="E76" s="34" t="str">
        <x:v>instrumented flight article</x:v>
      </x:c>
      <x:c r="F76" s="34" t="str">
        <x:v>insert loss, atmosphere, load or denied dependency named by the gate</x:v>
      </x:c>
      <x:c r="G76" s="34" t="str">
        <x:v>independent representative measurement meets the modeled boundary</x:v>
      </x:c>
      <x:c r="H76" s="34" t="str">
        <x:v>National Atmospheric Test Authority</x:v>
      </x:c>
      <x:c r="I76" s="34" t="str">
        <x:v>OPEN</x:v>
      </x:c>
      <x:c r="J76" s="76" t="n">
        <x:v>0</x:v>
      </x:c>
      <x:c r="K76" s="35" t="str">
        <x:v>BLOCKED</x:v>
      </x:c>
    </x:row>
    <x:row r="77">
      <x:c r="B77" s="34" t="str">
        <x:v>E071</x:v>
      </x:c>
      <x:c r="C77" s="34" t="str">
        <x:v>AEROTHERMAL</x:v>
      </x:c>
      <x:c r="D77" s="34" t="str">
        <x:v>one-panel-out stationary rejection</x:v>
      </x:c>
      <x:c r="E77" s="34" t="str">
        <x:v>instrumented flight article</x:v>
      </x:c>
      <x:c r="F77" s="34" t="str">
        <x:v>insert loss, atmosphere, load or denied dependency named by the gate</x:v>
      </x:c>
      <x:c r="G77" s="34" t="str">
        <x:v>independent representative measurement meets the modeled boundary</x:v>
      </x:c>
      <x:c r="H77" s="34" t="str">
        <x:v>National Atmospheric Test Authority</x:v>
      </x:c>
      <x:c r="I77" s="34" t="str">
        <x:v>OPEN</x:v>
      </x:c>
      <x:c r="J77" s="76" t="n">
        <x:v>0</x:v>
      </x:c>
      <x:c r="K77" s="35" t="str">
        <x:v>BLOCKED</x:v>
      </x:c>
    </x:row>
    <x:row r="78">
      <x:c r="B78" s="34" t="str">
        <x:v>E072</x:v>
      </x:c>
      <x:c r="C78" s="34" t="str">
        <x:v>AEROTHERMAL</x:v>
      </x:c>
      <x:c r="D78" s="34" t="str">
        <x:v>72 percent exhaust heat path</x:v>
      </x:c>
      <x:c r="E78" s="34" t="str">
        <x:v>instrumented flight article</x:v>
      </x:c>
      <x:c r="F78" s="34" t="str">
        <x:v>insert loss, atmosphere, load or denied dependency named by the gate</x:v>
      </x:c>
      <x:c r="G78" s="34" t="str">
        <x:v>independent representative measurement meets the modeled boundary</x:v>
      </x:c>
      <x:c r="H78" s="34" t="str">
        <x:v>National Atmospheric Test Authority</x:v>
      </x:c>
      <x:c r="I78" s="34" t="str">
        <x:v>OPEN</x:v>
      </x:c>
      <x:c r="J78" s="76" t="n">
        <x:v>0</x:v>
      </x:c>
      <x:c r="K78" s="35" t="str">
        <x:v>BLOCKED</x:v>
      </x:c>
    </x:row>
    <x:row r="79">
      <x:c r="B79" s="34" t="str">
        <x:v>E073</x:v>
      </x:c>
      <x:c r="C79" s="34" t="str">
        <x:v>AEROTHERMAL</x:v>
      </x:c>
      <x:c r="D79" s="34" t="str">
        <x:v>icing with heat rejection</x:v>
      </x:c>
      <x:c r="E79" s="34" t="str">
        <x:v>instrumented flight article</x:v>
      </x:c>
      <x:c r="F79" s="34" t="str">
        <x:v>insert loss, atmosphere, load or denied dependency named by the gate</x:v>
      </x:c>
      <x:c r="G79" s="34" t="str">
        <x:v>independent representative measurement meets the modeled boundary</x:v>
      </x:c>
      <x:c r="H79" s="34" t="str">
        <x:v>National Atmospheric Test Authority</x:v>
      </x:c>
      <x:c r="I79" s="34" t="str">
        <x:v>OPEN</x:v>
      </x:c>
      <x:c r="J79" s="76" t="n">
        <x:v>0</x:v>
      </x:c>
      <x:c r="K79" s="35" t="str">
        <x:v>BLOCKED</x:v>
      </x:c>
    </x:row>
    <x:row r="80">
      <x:c r="B80" s="34" t="str">
        <x:v>E074</x:v>
      </x:c>
      <x:c r="C80" s="34" t="str">
        <x:v>AEROTHERMAL</x:v>
      </x:c>
      <x:c r="D80" s="34" t="str">
        <x:v>forty-metre-per-second gust control</x:v>
      </x:c>
      <x:c r="E80" s="34" t="str">
        <x:v>instrumented flight article</x:v>
      </x:c>
      <x:c r="F80" s="34" t="str">
        <x:v>insert loss, atmosphere, load or denied dependency named by the gate</x:v>
      </x:c>
      <x:c r="G80" s="34" t="str">
        <x:v>independent representative measurement meets the modeled boundary</x:v>
      </x:c>
      <x:c r="H80" s="34" t="str">
        <x:v>National Atmospheric Test Authority</x:v>
      </x:c>
      <x:c r="I80" s="34" t="str">
        <x:v>OPEN</x:v>
      </x:c>
      <x:c r="J80" s="76" t="n">
        <x:v>0</x:v>
      </x:c>
      <x:c r="K80" s="35" t="str">
        <x:v>BLOCKED</x:v>
      </x:c>
    </x:row>
    <x:row r="81">
      <x:c r="B81" s="34" t="str">
        <x:v>E075</x:v>
      </x:c>
      <x:c r="C81" s="34" t="str">
        <x:v>AEROTHERMAL</x:v>
      </x:c>
      <x:c r="D81" s="34" t="str">
        <x:v>exhaust public-safety envelope</x:v>
      </x:c>
      <x:c r="E81" s="34" t="str">
        <x:v>instrumented flight article</x:v>
      </x:c>
      <x:c r="F81" s="34" t="str">
        <x:v>insert loss, atmosphere, load or denied dependency named by the gate</x:v>
      </x:c>
      <x:c r="G81" s="34" t="str">
        <x:v>independent representative measurement meets the modeled boundary</x:v>
      </x:c>
      <x:c r="H81" s="34" t="str">
        <x:v>National Atmospheric Test Authority</x:v>
      </x:c>
      <x:c r="I81" s="34" t="str">
        <x:v>OPEN</x:v>
      </x:c>
      <x:c r="J81" s="76" t="n">
        <x:v>0</x:v>
      </x:c>
      <x:c r="K81" s="35" t="str">
        <x:v>BLOCKED</x:v>
      </x:c>
    </x:row>
    <x:row r="82">
      <x:c r="B82" s="34" t="str">
        <x:v>E076</x:v>
      </x:c>
      <x:c r="C82" s="34" t="str">
        <x:v>CONTACT</x:v>
      </x:c>
      <x:c r="D82" s="34" t="str">
        <x:v>160 m2 distributed contact</x:v>
      </x:c>
      <x:c r="E82" s="34" t="str">
        <x:v>full-gross landing quarter</x:v>
      </x:c>
      <x:c r="F82" s="34" t="str">
        <x:v>insert loss, atmosphere, load or denied dependency named by the gate</x:v>
      </x:c>
      <x:c r="G82" s="34" t="str">
        <x:v>independent representative measurement meets the modeled boundary</x:v>
      </x:c>
      <x:c r="H82" s="34" t="str">
        <x:v>Receiver Systems Depot</x:v>
      </x:c>
      <x:c r="I82" s="34" t="str">
        <x:v>OPEN</x:v>
      </x:c>
      <x:c r="J82" s="76" t="n">
        <x:v>0</x:v>
      </x:c>
      <x:c r="K82" s="35" t="str">
        <x:v>BLOCKED</x:v>
      </x:c>
    </x:row>
    <x:row r="83">
      <x:c r="B83" s="34" t="str">
        <x:v>E077</x:v>
      </x:c>
      <x:c r="C83" s="34" t="str">
        <x:v>CONTACT</x:v>
      </x:c>
      <x:c r="D83" s="34" t="str">
        <x:v>sixteen foot sectors</x:v>
      </x:c>
      <x:c r="E83" s="34" t="str">
        <x:v>full-gross landing quarter</x:v>
      </x:c>
      <x:c r="F83" s="34" t="str">
        <x:v>insert loss, atmosphere, load or denied dependency named by the gate</x:v>
      </x:c>
      <x:c r="G83" s="34" t="str">
        <x:v>independent representative measurement meets the modeled boundary</x:v>
      </x:c>
      <x:c r="H83" s="34" t="str">
        <x:v>Receiver Systems Depot</x:v>
      </x:c>
      <x:c r="I83" s="34" t="str">
        <x:v>OPEN</x:v>
      </x:c>
      <x:c r="J83" s="76" t="n">
        <x:v>0</x:v>
      </x:c>
      <x:c r="K83" s="35" t="str">
        <x:v>BLOCKED</x:v>
      </x:c>
    </x:row>
    <x:row r="84">
      <x:c r="B84" s="34" t="str">
        <x:v>E078</x:v>
      </x:c>
      <x:c r="C84" s="34" t="str">
        <x:v>CONTACT</x:v>
      </x:c>
      <x:c r="D84" s="34" t="str">
        <x:v>45 t per-foot rating</x:v>
      </x:c>
      <x:c r="E84" s="34" t="str">
        <x:v>full-gross landing quarter</x:v>
      </x:c>
      <x:c r="F84" s="34" t="str">
        <x:v>insert loss, atmosphere, load or denied dependency named by the gate</x:v>
      </x:c>
      <x:c r="G84" s="34" t="str">
        <x:v>independent representative measurement meets the modeled boundary</x:v>
      </x:c>
      <x:c r="H84" s="34" t="str">
        <x:v>Receiver Systems Depot</x:v>
      </x:c>
      <x:c r="I84" s="34" t="str">
        <x:v>OPEN</x:v>
      </x:c>
      <x:c r="J84" s="76" t="n">
        <x:v>0</x:v>
      </x:c>
      <x:c r="K84" s="35" t="str">
        <x:v>BLOCKED</x:v>
      </x:c>
    </x:row>
    <x:row r="85">
      <x:c r="B85" s="34" t="str">
        <x:v>E079</x:v>
      </x:c>
      <x:c r="C85" s="34" t="str">
        <x:v>CONTACT</x:v>
      </x:c>
      <x:c r="D85" s="34" t="str">
        <x:v>one-foot-loss bearing pressure</x:v>
      </x:c>
      <x:c r="E85" s="34" t="str">
        <x:v>full-gross landing quarter</x:v>
      </x:c>
      <x:c r="F85" s="34" t="str">
        <x:v>insert loss, atmosphere, load or denied dependency named by the gate</x:v>
      </x:c>
      <x:c r="G85" s="34" t="str">
        <x:v>independent representative measurement meets the modeled boundary</x:v>
      </x:c>
      <x:c r="H85" s="34" t="str">
        <x:v>Receiver Systems Depot</x:v>
      </x:c>
      <x:c r="I85" s="34" t="str">
        <x:v>OPEN</x:v>
      </x:c>
      <x:c r="J85" s="76" t="n">
        <x:v>0</x:v>
      </x:c>
      <x:c r="K85" s="35" t="str">
        <x:v>BLOCKED</x:v>
      </x:c>
    </x:row>
    <x:row r="86">
      <x:c r="B86" s="34" t="str">
        <x:v>E080</x:v>
      </x:c>
      <x:c r="C86" s="34" t="str">
        <x:v>CONTACT</x:v>
      </x:c>
      <x:c r="D86" s="34" t="str">
        <x:v>dynamic contact factor</x:v>
      </x:c>
      <x:c r="E86" s="34" t="str">
        <x:v>full-gross landing quarter</x:v>
      </x:c>
      <x:c r="F86" s="34" t="str">
        <x:v>insert loss, atmosphere, load or denied dependency named by the gate</x:v>
      </x:c>
      <x:c r="G86" s="34" t="str">
        <x:v>independent representative measurement meets the modeled boundary</x:v>
      </x:c>
      <x:c r="H86" s="34" t="str">
        <x:v>Receiver Systems Depot</x:v>
      </x:c>
      <x:c r="I86" s="34" t="str">
        <x:v>OPEN</x:v>
      </x:c>
      <x:c r="J86" s="76" t="n">
        <x:v>0</x:v>
      </x:c>
      <x:c r="K86" s="35" t="str">
        <x:v>BLOCKED</x:v>
      </x:c>
    </x:row>
    <x:row r="87">
      <x:c r="B87" s="34" t="str">
        <x:v>E081</x:v>
      </x:c>
      <x:c r="C87" s="34" t="str">
        <x:v>CONTACT</x:v>
      </x:c>
      <x:c r="D87" s="34" t="str">
        <x:v>payload imbalance factor</x:v>
      </x:c>
      <x:c r="E87" s="34" t="str">
        <x:v>full-gross landing quarter</x:v>
      </x:c>
      <x:c r="F87" s="34" t="str">
        <x:v>insert loss, atmosphere, load or denied dependency named by the gate</x:v>
      </x:c>
      <x:c r="G87" s="34" t="str">
        <x:v>independent representative measurement meets the modeled boundary</x:v>
      </x:c>
      <x:c r="H87" s="34" t="str">
        <x:v>Receiver Systems Depot</x:v>
      </x:c>
      <x:c r="I87" s="34" t="str">
        <x:v>OPEN</x:v>
      </x:c>
      <x:c r="J87" s="76" t="n">
        <x:v>0</x:v>
      </x:c>
      <x:c r="K87" s="35" t="str">
        <x:v>BLOCKED</x:v>
      </x:c>
    </x:row>
    <x:row r="88">
      <x:c r="B88" s="34" t="str">
        <x:v>E082</x:v>
      </x:c>
      <x:c r="C88" s="34" t="str">
        <x:v>CONTACT</x:v>
      </x:c>
      <x:c r="D88" s="34" t="str">
        <x:v>progressive aerodynamic arrest</x:v>
      </x:c>
      <x:c r="E88" s="34" t="str">
        <x:v>full-gross landing quarter</x:v>
      </x:c>
      <x:c r="F88" s="34" t="str">
        <x:v>insert loss, atmosphere, load or denied dependency named by the gate</x:v>
      </x:c>
      <x:c r="G88" s="34" t="str">
        <x:v>independent representative measurement meets the modeled boundary</x:v>
      </x:c>
      <x:c r="H88" s="34" t="str">
        <x:v>Receiver Systems Depot</x:v>
      </x:c>
      <x:c r="I88" s="34" t="str">
        <x:v>OPEN</x:v>
      </x:c>
      <x:c r="J88" s="76" t="n">
        <x:v>0</x:v>
      </x:c>
      <x:c r="K88" s="35" t="str">
        <x:v>BLOCKED</x:v>
      </x:c>
    </x:row>
    <x:row r="89">
      <x:c r="B89" s="34" t="str">
        <x:v>E083</x:v>
      </x:c>
      <x:c r="C89" s="34" t="str">
        <x:v>CONTACT</x:v>
      </x:c>
      <x:c r="D89" s="34" t="str">
        <x:v>rebound control</x:v>
      </x:c>
      <x:c r="E89" s="34" t="str">
        <x:v>full-gross landing quarter</x:v>
      </x:c>
      <x:c r="F89" s="34" t="str">
        <x:v>insert loss, atmosphere, load or denied dependency named by the gate</x:v>
      </x:c>
      <x:c r="G89" s="34" t="str">
        <x:v>independent representative measurement meets the modeled boundary</x:v>
      </x:c>
      <x:c r="H89" s="34" t="str">
        <x:v>Receiver Systems Depot</x:v>
      </x:c>
      <x:c r="I89" s="34" t="str">
        <x:v>OPEN</x:v>
      </x:c>
      <x:c r="J89" s="76" t="n">
        <x:v>0</x:v>
      </x:c>
      <x:c r="K89" s="35" t="str">
        <x:v>BLOCKED</x:v>
      </x:c>
    </x:row>
    <x:row r="90">
      <x:c r="B90" s="34" t="str">
        <x:v>E084</x:v>
      </x:c>
      <x:c r="C90" s="34" t="str">
        <x:v>CONTACT</x:v>
      </x:c>
      <x:c r="D90" s="34" t="str">
        <x:v>sixty-kilopascal bearing floor</x:v>
      </x:c>
      <x:c r="E90" s="34" t="str">
        <x:v>full-gross landing quarter</x:v>
      </x:c>
      <x:c r="F90" s="34" t="str">
        <x:v>insert loss, atmosphere, load or denied dependency named by the gate</x:v>
      </x:c>
      <x:c r="G90" s="34" t="str">
        <x:v>independent representative measurement meets the modeled boundary</x:v>
      </x:c>
      <x:c r="H90" s="34" t="str">
        <x:v>Receiver Systems Depot</x:v>
      </x:c>
      <x:c r="I90" s="34" t="str">
        <x:v>OPEN</x:v>
      </x:c>
      <x:c r="J90" s="76" t="n">
        <x:v>0</x:v>
      </x:c>
      <x:c r="K90" s="35" t="str">
        <x:v>BLOCKED</x:v>
      </x:c>
    </x:row>
    <x:row r="91">
      <x:c r="B91" s="34" t="str">
        <x:v>E085</x:v>
      </x:c>
      <x:c r="C91" s="34" t="str">
        <x:v>CONTACT</x:v>
      </x:c>
      <x:c r="D91" s="34" t="str">
        <x:v>cyclic soil settlement</x:v>
      </x:c>
      <x:c r="E91" s="34" t="str">
        <x:v>full-gross landing quarter</x:v>
      </x:c>
      <x:c r="F91" s="34" t="str">
        <x:v>insert loss, atmosphere, load or denied dependency named by the gate</x:v>
      </x:c>
      <x:c r="G91" s="34" t="str">
        <x:v>independent representative measurement meets the modeled boundary</x:v>
      </x:c>
      <x:c r="H91" s="34" t="str">
        <x:v>Receiver Systems Depot</x:v>
      </x:c>
      <x:c r="I91" s="34" t="str">
        <x:v>OPEN</x:v>
      </x:c>
      <x:c r="J91" s="76" t="n">
        <x:v>0</x:v>
      </x:c>
      <x:c r="K91" s="35" t="str">
        <x:v>BLOCKED</x:v>
      </x:c>
    </x:row>
    <x:row r="92">
      <x:c r="B92" s="34" t="str">
        <x:v>E086</x:v>
      </x:c>
      <x:c r="C92" s="34" t="str">
        <x:v>CONTACT</x:v>
      </x:c>
      <x:c r="D92" s="34" t="str">
        <x:v>soil shear capacity</x:v>
      </x:c>
      <x:c r="E92" s="34" t="str">
        <x:v>full-gross landing quarter</x:v>
      </x:c>
      <x:c r="F92" s="34" t="str">
        <x:v>insert loss, atmosphere, load or denied dependency named by the gate</x:v>
      </x:c>
      <x:c r="G92" s="34" t="str">
        <x:v>independent representative measurement meets the modeled boundary</x:v>
      </x:c>
      <x:c r="H92" s="34" t="str">
        <x:v>Receiver Systems Depot</x:v>
      </x:c>
      <x:c r="I92" s="34" t="str">
        <x:v>OPEN</x:v>
      </x:c>
      <x:c r="J92" s="76" t="n">
        <x:v>0</x:v>
      </x:c>
      <x:c r="K92" s="35" t="str">
        <x:v>BLOCKED</x:v>
      </x:c>
    </x:row>
    <x:row r="93">
      <x:c r="B93" s="34" t="str">
        <x:v>E087</x:v>
      </x:c>
      <x:c r="C93" s="34" t="str">
        <x:v>CONTACT</x:v>
      </x:c>
      <x:c r="D93" s="34" t="str">
        <x:v>no suspended unload</x:v>
      </x:c>
      <x:c r="E93" s="34" t="str">
        <x:v>full-gross landing quarter</x:v>
      </x:c>
      <x:c r="F93" s="34" t="str">
        <x:v>insert loss, atmosphere, load or denied dependency named by the gate</x:v>
      </x:c>
      <x:c r="G93" s="34" t="str">
        <x:v>independent representative measurement meets the modeled boundary</x:v>
      </x:c>
      <x:c r="H93" s="34" t="str">
        <x:v>Receiver Systems Depot</x:v>
      </x:c>
      <x:c r="I93" s="34" t="str">
        <x:v>OPEN</x:v>
      </x:c>
      <x:c r="J93" s="76" t="n">
        <x:v>0</x:v>
      </x:c>
      <x:c r="K93" s="35" t="str">
        <x:v>BLOCKED</x:v>
      </x:c>
    </x:row>
    <x:row r="94">
      <x:c r="B94" s="34" t="str">
        <x:v>E088</x:v>
      </x:c>
      <x:c r="C94" s="34" t="str">
        <x:v>CONTACT</x:v>
      </x:c>
      <x:c r="D94" s="34" t="str">
        <x:v>foot cassette field removal</x:v>
      </x:c>
      <x:c r="E94" s="34" t="str">
        <x:v>full-gross landing quarter</x:v>
      </x:c>
      <x:c r="F94" s="34" t="str">
        <x:v>insert loss, atmosphere, load or denied dependency named by the gate</x:v>
      </x:c>
      <x:c r="G94" s="34" t="str">
        <x:v>independent representative measurement meets the modeled boundary</x:v>
      </x:c>
      <x:c r="H94" s="34" t="str">
        <x:v>Receiver Systems Depot</x:v>
      </x:c>
      <x:c r="I94" s="34" t="str">
        <x:v>OPEN</x:v>
      </x:c>
      <x:c r="J94" s="76" t="n">
        <x:v>0</x:v>
      </x:c>
      <x:c r="K94" s="35" t="str">
        <x:v>BLOCKED</x:v>
      </x:c>
    </x:row>
    <x:row r="95">
      <x:c r="B95" s="34" t="str">
        <x:v>E089</x:v>
      </x:c>
      <x:c r="C95" s="34" t="str">
        <x:v>CONTACT</x:v>
      </x:c>
      <x:c r="D95" s="34" t="str">
        <x:v>sensor-corrupt landing</x:v>
      </x:c>
      <x:c r="E95" s="34" t="str">
        <x:v>full-gross landing quarter</x:v>
      </x:c>
      <x:c r="F95" s="34" t="str">
        <x:v>insert loss, atmosphere, load or denied dependency named by the gate</x:v>
      </x:c>
      <x:c r="G95" s="34" t="str">
        <x:v>independent representative measurement meets the modeled boundary</x:v>
      </x:c>
      <x:c r="H95" s="34" t="str">
        <x:v>Receiver Systems Depot</x:v>
      </x:c>
      <x:c r="I95" s="34" t="str">
        <x:v>OPEN</x:v>
      </x:c>
      <x:c r="J95" s="76" t="n">
        <x:v>0</x:v>
      </x:c>
      <x:c r="K95" s="35" t="str">
        <x:v>BLOCKED</x:v>
      </x:c>
    </x:row>
    <x:row r="96">
      <x:c r="B96" s="34" t="str">
        <x:v>E090</x:v>
      </x:c>
      <x:c r="C96" s="34" t="str">
        <x:v>CONTACT</x:v>
      </x:c>
      <x:c r="D96" s="34" t="str">
        <x:v>partial-contact abort</x:v>
      </x:c>
      <x:c r="E96" s="34" t="str">
        <x:v>full-gross landing quarter</x:v>
      </x:c>
      <x:c r="F96" s="34" t="str">
        <x:v>insert loss, atmosphere, load or denied dependency named by the gate</x:v>
      </x:c>
      <x:c r="G96" s="34" t="str">
        <x:v>independent representative measurement meets the modeled boundary</x:v>
      </x:c>
      <x:c r="H96" s="34" t="str">
        <x:v>Receiver Systems Depot</x:v>
      </x:c>
      <x:c r="I96" s="34" t="str">
        <x:v>OPEN</x:v>
      </x:c>
      <x:c r="J96" s="76" t="n">
        <x:v>0</x:v>
      </x:c>
      <x:c r="K96" s="35" t="str">
        <x:v>BLOCKED</x:v>
      </x:c>
    </x:row>
    <x:row r="97">
      <x:c r="B97" s="34" t="str">
        <x:v>E091</x:v>
      </x:c>
      <x:c r="C97" s="34" t="str">
        <x:v>MOORING</x:v>
      </x:c>
      <x:c r="D97" s="34" t="str">
        <x:v>broadside projected area</x:v>
      </x:c>
      <x:c r="E97" s="34" t="str">
        <x:v>full-scale receiver article</x:v>
      </x:c>
      <x:c r="F97" s="34" t="str">
        <x:v>insert loss, atmosphere, load or denied dependency named by the gate</x:v>
      </x:c>
      <x:c r="G97" s="34" t="str">
        <x:v>independent representative measurement meets the modeled boundary</x:v>
      </x:c>
      <x:c r="H97" s="34" t="str">
        <x:v>Receiver Safety Authority</x:v>
      </x:c>
      <x:c r="I97" s="34" t="str">
        <x:v>OPEN</x:v>
      </x:c>
      <x:c r="J97" s="76" t="n">
        <x:v>0</x:v>
      </x:c>
      <x:c r="K97" s="35" t="str">
        <x:v>BLOCKED</x:v>
      </x:c>
    </x:row>
    <x:row r="98">
      <x:c r="B98" s="34" t="str">
        <x:v>E092</x:v>
      </x:c>
      <x:c r="C98" s="34" t="str">
        <x:v>MOORING</x:v>
      </x:c>
      <x:c r="D98" s="34" t="str">
        <x:v>0.38 side-force coefficient</x:v>
      </x:c>
      <x:c r="E98" s="34" t="str">
        <x:v>full-scale receiver article</x:v>
      </x:c>
      <x:c r="F98" s="34" t="str">
        <x:v>insert loss, atmosphere, load or denied dependency named by the gate</x:v>
      </x:c>
      <x:c r="G98" s="34" t="str">
        <x:v>independent representative measurement meets the modeled boundary</x:v>
      </x:c>
      <x:c r="H98" s="34" t="str">
        <x:v>Receiver Safety Authority</x:v>
      </x:c>
      <x:c r="I98" s="34" t="str">
        <x:v>OPEN</x:v>
      </x:c>
      <x:c r="J98" s="76" t="n">
        <x:v>0</x:v>
      </x:c>
      <x:c r="K98" s="35" t="str">
        <x:v>BLOCKED</x:v>
      </x:c>
    </x:row>
    <x:row r="99">
      <x:c r="B99" s="34" t="str">
        <x:v>E093</x:v>
      </x:c>
      <x:c r="C99" s="34" t="str">
        <x:v>MOORING</x:v>
      </x:c>
      <x:c r="D99" s="34" t="str">
        <x:v>1.25 gust load factor</x:v>
      </x:c>
      <x:c r="E99" s="34" t="str">
        <x:v>full-scale receiver article</x:v>
      </x:c>
      <x:c r="F99" s="34" t="str">
        <x:v>insert loss, atmosphere, load or denied dependency named by the gate</x:v>
      </x:c>
      <x:c r="G99" s="34" t="str">
        <x:v>independent representative measurement meets the modeled boundary</x:v>
      </x:c>
      <x:c r="H99" s="34" t="str">
        <x:v>Receiver Safety Authority</x:v>
      </x:c>
      <x:c r="I99" s="34" t="str">
        <x:v>OPEN</x:v>
      </x:c>
      <x:c r="J99" s="76" t="n">
        <x:v>0</x:v>
      </x:c>
      <x:c r="K99" s="35" t="str">
        <x:v>BLOCKED</x:v>
      </x:c>
    </x:row>
    <x:row r="100">
      <x:c r="B100" s="34" t="str">
        <x:v>E094</x:v>
      </x:c>
      <x:c r="C100" s="34" t="str">
        <x:v>MOORING</x:v>
      </x:c>
      <x:c r="D100" s="34" t="str">
        <x:v>0.55 MN static thrust per pod</x:v>
      </x:c>
      <x:c r="E100" s="34" t="str">
        <x:v>full-scale receiver article</x:v>
      </x:c>
      <x:c r="F100" s="34" t="str">
        <x:v>insert loss, atmosphere, load or denied dependency named by the gate</x:v>
      </x:c>
      <x:c r="G100" s="34" t="str">
        <x:v>independent representative measurement meets the modeled boundary</x:v>
      </x:c>
      <x:c r="H100" s="34" t="str">
        <x:v>Receiver Safety Authority</x:v>
      </x:c>
      <x:c r="I100" s="34" t="str">
        <x:v>OPEN</x:v>
      </x:c>
      <x:c r="J100" s="76" t="n">
        <x:v>0</x:v>
      </x:c>
      <x:c r="K100" s="35" t="str">
        <x:v>BLOCKED</x:v>
      </x:c>
    </x:row>
    <x:row r="101">
      <x:c r="B101" s="34" t="str">
        <x:v>E095</x:v>
      </x:c>
      <x:c r="C101" s="34" t="str">
        <x:v>MOORING</x:v>
      </x:c>
      <x:c r="D101" s="34" t="str">
        <x:v>N-2 vector-thrust authority</x:v>
      </x:c>
      <x:c r="E101" s="34" t="str">
        <x:v>full-scale receiver article</x:v>
      </x:c>
      <x:c r="F101" s="34" t="str">
        <x:v>insert loss, atmosphere, load or denied dependency named by the gate</x:v>
      </x:c>
      <x:c r="G101" s="34" t="str">
        <x:v>independent representative measurement meets the modeled boundary</x:v>
      </x:c>
      <x:c r="H101" s="34" t="str">
        <x:v>Receiver Safety Authority</x:v>
      </x:c>
      <x:c r="I101" s="34" t="str">
        <x:v>OPEN</x:v>
      </x:c>
      <x:c r="J101" s="76" t="n">
        <x:v>0</x:v>
      </x:c>
      <x:c r="K101" s="35" t="str">
        <x:v>BLOCKED</x:v>
      </x:c>
    </x:row>
    <x:row r="102">
      <x:c r="B102" s="34" t="str">
        <x:v>E096</x:v>
      </x:c>
      <x:c r="C102" s="34" t="str">
        <x:v>MOORING</x:v>
      </x:c>
      <x:c r="D102" s="34" t="str">
        <x:v>controlled ground-friction credit</x:v>
      </x:c>
      <x:c r="E102" s="34" t="str">
        <x:v>full-scale receiver article</x:v>
      </x:c>
      <x:c r="F102" s="34" t="str">
        <x:v>insert loss, atmosphere, load or denied dependency named by the gate</x:v>
      </x:c>
      <x:c r="G102" s="34" t="str">
        <x:v>independent representative measurement meets the modeled boundary</x:v>
      </x:c>
      <x:c r="H102" s="34" t="str">
        <x:v>Receiver Safety Authority</x:v>
      </x:c>
      <x:c r="I102" s="34" t="str">
        <x:v>OPEN</x:v>
      </x:c>
      <x:c r="J102" s="76" t="n">
        <x:v>0</x:v>
      </x:c>
      <x:c r="K102" s="35" t="str">
        <x:v>BLOCKED</x:v>
      </x:c>
    </x:row>
    <x:row r="103">
      <x:c r="B103" s="34" t="str">
        <x:v>E097</x:v>
      </x:c>
      <x:c r="C103" s="34" t="str">
        <x:v>MOORING</x:v>
      </x:c>
      <x:c r="D103" s="34" t="str">
        <x:v>one-foot-loss friction</x:v>
      </x:c>
      <x:c r="E103" s="34" t="str">
        <x:v>full-scale receiver article</x:v>
      </x:c>
      <x:c r="F103" s="34" t="str">
        <x:v>insert loss, atmosphere, load or denied dependency named by the gate</x:v>
      </x:c>
      <x:c r="G103" s="34" t="str">
        <x:v>independent representative measurement meets the modeled boundary</x:v>
      </x:c>
      <x:c r="H103" s="34" t="str">
        <x:v>Receiver Safety Authority</x:v>
      </x:c>
      <x:c r="I103" s="34" t="str">
        <x:v>OPEN</x:v>
      </x:c>
      <x:c r="J103" s="76" t="n">
        <x:v>0</x:v>
      </x:c>
      <x:c r="K103" s="35" t="str">
        <x:v>BLOCKED</x:v>
      </x:c>
    </x:row>
    <x:row r="104">
      <x:c r="B104" s="34" t="str">
        <x:v>E098</x:v>
      </x:c>
      <x:c r="C104" s="34" t="str">
        <x:v>MOORING</x:v>
      </x:c>
      <x:c r="D104" s="34" t="str">
        <x:v>no-anchor station keeping</x:v>
      </x:c>
      <x:c r="E104" s="34" t="str">
        <x:v>full-scale receiver article</x:v>
      </x:c>
      <x:c r="F104" s="34" t="str">
        <x:v>insert loss, atmosphere, load or denied dependency named by the gate</x:v>
      </x:c>
      <x:c r="G104" s="34" t="str">
        <x:v>independent representative measurement meets the modeled boundary</x:v>
      </x:c>
      <x:c r="H104" s="34" t="str">
        <x:v>Receiver Safety Authority</x:v>
      </x:c>
      <x:c r="I104" s="34" t="str">
        <x:v>OPEN</x:v>
      </x:c>
      <x:c r="J104" s="76" t="n">
        <x:v>0</x:v>
      </x:c>
      <x:c r="K104" s="35" t="str">
        <x:v>BLOCKED</x:v>
      </x:c>
    </x:row>
    <x:row r="105">
      <x:c r="B105" s="34" t="str">
        <x:v>E099</x:v>
      </x:c>
      <x:c r="C105" s="34" t="str">
        <x:v>MOORING</x:v>
      </x:c>
      <x:c r="D105" s="34" t="str">
        <x:v>forty-metre-per-second transfer gust</x:v>
      </x:c>
      <x:c r="E105" s="34" t="str">
        <x:v>full-scale receiver article</x:v>
      </x:c>
      <x:c r="F105" s="34" t="str">
        <x:v>insert loss, atmosphere, load or denied dependency named by the gate</x:v>
      </x:c>
      <x:c r="G105" s="34" t="str">
        <x:v>independent representative measurement meets the modeled boundary</x:v>
      </x:c>
      <x:c r="H105" s="34" t="str">
        <x:v>Receiver Safety Authority</x:v>
      </x:c>
      <x:c r="I105" s="34" t="str">
        <x:v>OPEN</x:v>
      </x:c>
      <x:c r="J105" s="76" t="n">
        <x:v>0</x:v>
      </x:c>
      <x:c r="K105" s="35" t="str">
        <x:v>BLOCKED</x:v>
      </x:c>
    </x:row>
    <x:row r="106">
      <x:c r="B106" s="34" t="str">
        <x:v>E100</x:v>
      </x:c>
      <x:c r="C106" s="34" t="str">
        <x:v>MOORING</x:v>
      </x:c>
      <x:c r="D106" s="34" t="str">
        <x:v>power-to-thrust transition</x:v>
      </x:c>
      <x:c r="E106" s="34" t="str">
        <x:v>full-scale receiver article</x:v>
      </x:c>
      <x:c r="F106" s="34" t="str">
        <x:v>insert loss, atmosphere, load or denied dependency named by the gate</x:v>
      </x:c>
      <x:c r="G106" s="34" t="str">
        <x:v>independent representative measurement meets the modeled boundary</x:v>
      </x:c>
      <x:c r="H106" s="34" t="str">
        <x:v>Receiver Safety Authority</x:v>
      </x:c>
      <x:c r="I106" s="34" t="str">
        <x:v>OPEN</x:v>
      </x:c>
      <x:c r="J106" s="76" t="n">
        <x:v>0</x:v>
      </x:c>
      <x:c r="K106" s="35" t="str">
        <x:v>BLOCKED</x:v>
      </x:c>
    </x:row>
    <x:row r="107">
      <x:c r="B107" s="34" t="str">
        <x:v>E101</x:v>
      </x:c>
      <x:c r="C107" s="34" t="str">
        <x:v>MOORING</x:v>
      </x:c>
      <x:c r="D107" s="34" t="str">
        <x:v>yaw control during unload</x:v>
      </x:c>
      <x:c r="E107" s="34" t="str">
        <x:v>full-scale receiver article</x:v>
      </x:c>
      <x:c r="F107" s="34" t="str">
        <x:v>insert loss, atmosphere, load or denied dependency named by the gate</x:v>
      </x:c>
      <x:c r="G107" s="34" t="str">
        <x:v>independent representative measurement meets the modeled boundary</x:v>
      </x:c>
      <x:c r="H107" s="34" t="str">
        <x:v>Receiver Safety Authority</x:v>
      </x:c>
      <x:c r="I107" s="34" t="str">
        <x:v>OPEN</x:v>
      </x:c>
      <x:c r="J107" s="76" t="n">
        <x:v>0</x:v>
      </x:c>
      <x:c r="K107" s="35" t="str">
        <x:v>BLOCKED</x:v>
      </x:c>
    </x:row>
    <x:row r="108">
      <x:c r="B108" s="34" t="str">
        <x:v>E102</x:v>
      </x:c>
      <x:c r="C108" s="34" t="str">
        <x:v>MOORING</x:v>
      </x:c>
      <x:c r="D108" s="34" t="str">
        <x:v>exhaust-safe thrust vector</x:v>
      </x:c>
      <x:c r="E108" s="34" t="str">
        <x:v>full-scale receiver article</x:v>
      </x:c>
      <x:c r="F108" s="34" t="str">
        <x:v>insert loss, atmosphere, load or denied dependency named by the gate</x:v>
      </x:c>
      <x:c r="G108" s="34" t="str">
        <x:v>independent representative measurement meets the modeled boundary</x:v>
      </x:c>
      <x:c r="H108" s="34" t="str">
        <x:v>Receiver Safety Authority</x:v>
      </x:c>
      <x:c r="I108" s="34" t="str">
        <x:v>OPEN</x:v>
      </x:c>
      <x:c r="J108" s="76" t="n">
        <x:v>0</x:v>
      </x:c>
      <x:c r="K108" s="35" t="str">
        <x:v>BLOCKED</x:v>
      </x:c>
    </x:row>
    <x:row r="109">
      <x:c r="B109" s="34" t="str">
        <x:v>E103</x:v>
      </x:c>
      <x:c r="C109" s="34" t="str">
        <x:v>MOORING</x:v>
      </x:c>
      <x:c r="D109" s="34" t="str">
        <x:v>receiver exclusion zone</x:v>
      </x:c>
      <x:c r="E109" s="34" t="str">
        <x:v>full-scale receiver article</x:v>
      </x:c>
      <x:c r="F109" s="34" t="str">
        <x:v>insert loss, atmosphere, load or denied dependency named by the gate</x:v>
      </x:c>
      <x:c r="G109" s="34" t="str">
        <x:v>independent representative measurement meets the modeled boundary</x:v>
      </x:c>
      <x:c r="H109" s="34" t="str">
        <x:v>Receiver Safety Authority</x:v>
      </x:c>
      <x:c r="I109" s="34" t="str">
        <x:v>OPEN</x:v>
      </x:c>
      <x:c r="J109" s="76" t="n">
        <x:v>0</x:v>
      </x:c>
      <x:c r="K109" s="35" t="str">
        <x:v>BLOCKED</x:v>
      </x:c>
    </x:row>
    <x:row r="110">
      <x:c r="B110" s="34" t="str">
        <x:v>E104</x:v>
      </x:c>
      <x:c r="C110" s="34" t="str">
        <x:v>MOORING</x:v>
      </x:c>
      <x:c r="D110" s="34" t="str">
        <x:v>gust forecast handoff</x:v>
      </x:c>
      <x:c r="E110" s="34" t="str">
        <x:v>full-scale receiver article</x:v>
      </x:c>
      <x:c r="F110" s="34" t="str">
        <x:v>insert loss, atmosphere, load or denied dependency named by the gate</x:v>
      </x:c>
      <x:c r="G110" s="34" t="str">
        <x:v>independent representative measurement meets the modeled boundary</x:v>
      </x:c>
      <x:c r="H110" s="34" t="str">
        <x:v>Receiver Safety Authority</x:v>
      </x:c>
      <x:c r="I110" s="34" t="str">
        <x:v>OPEN</x:v>
      </x:c>
      <x:c r="J110" s="76" t="n">
        <x:v>0</x:v>
      </x:c>
      <x:c r="K110" s="35" t="str">
        <x:v>BLOCKED</x:v>
      </x:c>
    </x:row>
    <x:row r="111">
      <x:c r="B111" s="34" t="str">
        <x:v>E105</x:v>
      </x:c>
      <x:c r="C111" s="34" t="str">
        <x:v>MOORING</x:v>
      </x:c>
      <x:c r="D111" s="34" t="str">
        <x:v>mooring safe-hold release</x:v>
      </x:c>
      <x:c r="E111" s="34" t="str">
        <x:v>full-scale receiver article</x:v>
      </x:c>
      <x:c r="F111" s="34" t="str">
        <x:v>insert loss, atmosphere, load or denied dependency named by the gate</x:v>
      </x:c>
      <x:c r="G111" s="34" t="str">
        <x:v>independent representative measurement meets the modeled boundary</x:v>
      </x:c>
      <x:c r="H111" s="34" t="str">
        <x:v>Receiver Safety Authority</x:v>
      </x:c>
      <x:c r="I111" s="34" t="str">
        <x:v>OPEN</x:v>
      </x:c>
      <x:c r="J111" s="76" t="n">
        <x:v>0</x:v>
      </x:c>
      <x:c r="K111" s="35" t="str">
        <x:v>BLOCKED</x:v>
      </x:c>
    </x:row>
    <x:row r="112">
      <x:c r="B112" s="34" t="str">
        <x:v>E106</x:v>
      </x:c>
      <x:c r="C112" s="34" t="str">
        <x:v>PAYLOAD_CREW</x:v>
      </x:c>
      <x:c r="D112" s="34" t="str">
        <x:v>317.5 t assigned payload</x:v>
      </x:c>
      <x:c r="E112" s="34" t="str">
        <x:v>occupied cargo and refuge article</x:v>
      </x:c>
      <x:c r="F112" s="34" t="str">
        <x:v>insert loss, atmosphere, load or denied dependency named by the gate</x:v>
      </x:c>
      <x:c r="G112" s="34" t="str">
        <x:v>independent representative measurement meets the modeled boundary</x:v>
      </x:c>
      <x:c r="H112" s="34" t="str">
        <x:v>Civil Safety Authority</x:v>
      </x:c>
      <x:c r="I112" s="34" t="str">
        <x:v>OPEN</x:v>
      </x:c>
      <x:c r="J112" s="76" t="n">
        <x:v>0</x:v>
      </x:c>
      <x:c r="K112" s="35" t="str">
        <x:v>BLOCKED</x:v>
      </x:c>
    </x:row>
    <x:row r="113">
      <x:c r="B113" s="34" t="str">
        <x:v>E107</x:v>
      </x:c>
      <x:c r="C113" s="34" t="str">
        <x:v>PAYLOAD_CREW</x:v>
      </x:c>
      <x:c r="D113" s="34" t="str">
        <x:v>1,354 m3 assigned cargo</x:v>
      </x:c>
      <x:c r="E113" s="34" t="str">
        <x:v>occupied cargo and refuge article</x:v>
      </x:c>
      <x:c r="F113" s="34" t="str">
        <x:v>insert loss, atmosphere, load or denied dependency named by the gate</x:v>
      </x:c>
      <x:c r="G113" s="34" t="str">
        <x:v>independent representative measurement meets the modeled boundary</x:v>
      </x:c>
      <x:c r="H113" s="34" t="str">
        <x:v>Civil Safety Authority</x:v>
      </x:c>
      <x:c r="I113" s="34" t="str">
        <x:v>OPEN</x:v>
      </x:c>
      <x:c r="J113" s="76" t="n">
        <x:v>0</x:v>
      </x:c>
      <x:c r="K113" s="35" t="str">
        <x:v>BLOCKED</x:v>
      </x:c>
    </x:row>
    <x:row r="114">
      <x:c r="B114" s="34" t="str">
        <x:v>E108</x:v>
      </x:c>
      <x:c r="C114" s="34" t="str">
        <x:v>PAYLOAD_CREW</x:v>
      </x:c>
      <x:c r="D114" s="34" t="str">
        <x:v>312 m2 assigned deck</x:v>
      </x:c>
      <x:c r="E114" s="34" t="str">
        <x:v>occupied cargo and refuge article</x:v>
      </x:c>
      <x:c r="F114" s="34" t="str">
        <x:v>insert loss, atmosphere, load or denied dependency named by the gate</x:v>
      </x:c>
      <x:c r="G114" s="34" t="str">
        <x:v>independent representative measurement meets the modeled boundary</x:v>
      </x:c>
      <x:c r="H114" s="34" t="str">
        <x:v>Civil Safety Authority</x:v>
      </x:c>
      <x:c r="I114" s="34" t="str">
        <x:v>OPEN</x:v>
      </x:c>
      <x:c r="J114" s="76" t="n">
        <x:v>0</x:v>
      </x:c>
      <x:c r="K114" s="35" t="str">
        <x:v>BLOCKED</x:v>
      </x:c>
    </x:row>
    <x:row r="115">
      <x:c r="B115" s="34" t="str">
        <x:v>E109</x:v>
      </x:c>
      <x:c r="C115" s="34" t="str">
        <x:v>PAYLOAD_CREW</x:v>
      </x:c>
      <x:c r="D115" s="34" t="str">
        <x:v>sixteen dry positions</x:v>
      </x:c>
      <x:c r="E115" s="34" t="str">
        <x:v>occupied cargo and refuge article</x:v>
      </x:c>
      <x:c r="F115" s="34" t="str">
        <x:v>insert loss, atmosphere, load or denied dependency named by the gate</x:v>
      </x:c>
      <x:c r="G115" s="34" t="str">
        <x:v>independent representative measurement meets the modeled boundary</x:v>
      </x:c>
      <x:c r="H115" s="34" t="str">
        <x:v>Civil Safety Authority</x:v>
      </x:c>
      <x:c r="I115" s="34" t="str">
        <x:v>OPEN</x:v>
      </x:c>
      <x:c r="J115" s="76" t="n">
        <x:v>0</x:v>
      </x:c>
      <x:c r="K115" s="35" t="str">
        <x:v>BLOCKED</x:v>
      </x:c>
    </x:row>
    <x:row r="116">
      <x:c r="B116" s="34" t="str">
        <x:v>E110</x:v>
      </x:c>
      <x:c r="C116" s="34" t="str">
        <x:v>PAYLOAD_CREW</x:v>
      </x:c>
      <x:c r="D116" s="34" t="str">
        <x:v>two wet positions</x:v>
      </x:c>
      <x:c r="E116" s="34" t="str">
        <x:v>occupied cargo and refuge article</x:v>
      </x:c>
      <x:c r="F116" s="34" t="str">
        <x:v>insert loss, atmosphere, load or denied dependency named by the gate</x:v>
      </x:c>
      <x:c r="G116" s="34" t="str">
        <x:v>independent representative measurement meets the modeled boundary</x:v>
      </x:c>
      <x:c r="H116" s="34" t="str">
        <x:v>Civil Safety Authority</x:v>
      </x:c>
      <x:c r="I116" s="34" t="str">
        <x:v>OPEN</x:v>
      </x:c>
      <x:c r="J116" s="76" t="n">
        <x:v>0</x:v>
      </x:c>
      <x:c r="K116" s="35" t="str">
        <x:v>BLOCKED</x:v>
      </x:c>
    </x:row>
    <x:row r="117">
      <x:c r="B117" s="34" t="str">
        <x:v>E111</x:v>
      </x:c>
      <x:c r="C117" s="34" t="str">
        <x:v>PAYLOAD_CREW</x:v>
      </x:c>
      <x:c r="D117" s="34" t="str">
        <x:v>bilateral position access</x:v>
      </x:c>
      <x:c r="E117" s="34" t="str">
        <x:v>occupied cargo and refuge article</x:v>
      </x:c>
      <x:c r="F117" s="34" t="str">
        <x:v>insert loss, atmosphere, load or denied dependency named by the gate</x:v>
      </x:c>
      <x:c r="G117" s="34" t="str">
        <x:v>independent representative measurement meets the modeled boundary</x:v>
      </x:c>
      <x:c r="H117" s="34" t="str">
        <x:v>Civil Safety Authority</x:v>
      </x:c>
      <x:c r="I117" s="34" t="str">
        <x:v>OPEN</x:v>
      </x:c>
      <x:c r="J117" s="76" t="n">
        <x:v>0</x:v>
      </x:c>
      <x:c r="K117" s="35" t="str">
        <x:v>BLOCKED</x:v>
      </x:c>
    </x:row>
    <x:row r="118">
      <x:c r="B118" s="34" t="str">
        <x:v>E112</x:v>
      </x:c>
      <x:c r="C118" s="34" t="str">
        <x:v>PAYLOAD_CREW</x:v>
      </x:c>
      <x:c r="D118" s="34" t="str">
        <x:v>eight robotic transfer lanes</x:v>
      </x:c>
      <x:c r="E118" s="34" t="str">
        <x:v>occupied cargo and refuge article</x:v>
      </x:c>
      <x:c r="F118" s="34" t="str">
        <x:v>insert loss, atmosphere, load or denied dependency named by the gate</x:v>
      </x:c>
      <x:c r="G118" s="34" t="str">
        <x:v>independent representative measurement meets the modeled boundary</x:v>
      </x:c>
      <x:c r="H118" s="34" t="str">
        <x:v>Civil Safety Authority</x:v>
      </x:c>
      <x:c r="I118" s="34" t="str">
        <x:v>OPEN</x:v>
      </x:c>
      <x:c r="J118" s="76" t="n">
        <x:v>0</x:v>
      </x:c>
      <x:c r="K118" s="35" t="str">
        <x:v>BLOCKED</x:v>
      </x:c>
    </x:row>
    <x:row r="119">
      <x:c r="B119" s="34" t="str">
        <x:v>E113</x:v>
      </x:c>
      <x:c r="C119" s="34" t="str">
        <x:v>PAYLOAD_CREW</x:v>
      </x:c>
      <x:c r="D119" s="34" t="str">
        <x:v>254 t per hour unload</x:v>
      </x:c>
      <x:c r="E119" s="34" t="str">
        <x:v>occupied cargo and refuge article</x:v>
      </x:c>
      <x:c r="F119" s="34" t="str">
        <x:v>insert loss, atmosphere, load or denied dependency named by the gate</x:v>
      </x:c>
      <x:c r="G119" s="34" t="str">
        <x:v>independent representative measurement meets the modeled boundary</x:v>
      </x:c>
      <x:c r="H119" s="34" t="str">
        <x:v>Civil Safety Authority</x:v>
      </x:c>
      <x:c r="I119" s="34" t="str">
        <x:v>OPEN</x:v>
      </x:c>
      <x:c r="J119" s="76" t="n">
        <x:v>0</x:v>
      </x:c>
      <x:c r="K119" s="35" t="str">
        <x:v>BLOCKED</x:v>
      </x:c>
    </x:row>
    <x:row r="120">
      <x:c r="B120" s="34" t="str">
        <x:v>E114</x:v>
      </x:c>
      <x:c r="C120" s="34" t="str">
        <x:v>PAYLOAD_CREW</x:v>
      </x:c>
      <x:c r="D120" s="34" t="str">
        <x:v>signed mass-and-balance state</x:v>
      </x:c>
      <x:c r="E120" s="34" t="str">
        <x:v>occupied cargo and refuge article</x:v>
      </x:c>
      <x:c r="F120" s="34" t="str">
        <x:v>insert loss, atmosphere, load or denied dependency named by the gate</x:v>
      </x:c>
      <x:c r="G120" s="34" t="str">
        <x:v>independent representative measurement meets the modeled boundary</x:v>
      </x:c>
      <x:c r="H120" s="34" t="str">
        <x:v>Civil Safety Authority</x:v>
      </x:c>
      <x:c r="I120" s="34" t="str">
        <x:v>OPEN</x:v>
      </x:c>
      <x:c r="J120" s="76" t="n">
        <x:v>0</x:v>
      </x:c>
      <x:c r="K120" s="35" t="str">
        <x:v>BLOCKED</x:v>
      </x:c>
    </x:row>
    <x:row r="121">
      <x:c r="B121" s="34" t="str">
        <x:v>E115</x:v>
      </x:c>
      <x:c r="C121" s="34" t="str">
        <x:v>PAYLOAD_CREW</x:v>
      </x:c>
      <x:c r="D121" s="34" t="str">
        <x:v>partial-unload lateral balance</x:v>
      </x:c>
      <x:c r="E121" s="34" t="str">
        <x:v>occupied cargo and refuge article</x:v>
      </x:c>
      <x:c r="F121" s="34" t="str">
        <x:v>insert loss, atmosphere, load or denied dependency named by the gate</x:v>
      </x:c>
      <x:c r="G121" s="34" t="str">
        <x:v>independent representative measurement meets the modeled boundary</x:v>
      </x:c>
      <x:c r="H121" s="34" t="str">
        <x:v>Civil Safety Authority</x:v>
      </x:c>
      <x:c r="I121" s="34" t="str">
        <x:v>OPEN</x:v>
      </x:c>
      <x:c r="J121" s="76" t="n">
        <x:v>0</x:v>
      </x:c>
      <x:c r="K121" s="35" t="str">
        <x:v>BLOCKED</x:v>
      </x:c>
    </x:row>
    <x:row r="122">
      <x:c r="B122" s="34" t="str">
        <x:v>E116</x:v>
      </x:c>
      <x:c r="C122" s="34" t="str">
        <x:v>PAYLOAD_CREW</x:v>
      </x:c>
      <x:c r="D122" s="34" t="str">
        <x:v>two eight-person refuges</x:v>
      </x:c>
      <x:c r="E122" s="34" t="str">
        <x:v>occupied cargo and refuge article</x:v>
      </x:c>
      <x:c r="F122" s="34" t="str">
        <x:v>insert loss, atmosphere, load or denied dependency named by the gate</x:v>
      </x:c>
      <x:c r="G122" s="34" t="str">
        <x:v>independent representative measurement meets the modeled boundary</x:v>
      </x:c>
      <x:c r="H122" s="34" t="str">
        <x:v>Civil Safety Authority</x:v>
      </x:c>
      <x:c r="I122" s="34" t="str">
        <x:v>OPEN</x:v>
      </x:c>
      <x:c r="J122" s="76" t="n">
        <x:v>0</x:v>
      </x:c>
      <x:c r="K122" s="35" t="str">
        <x:v>BLOCKED</x:v>
      </x:c>
    </x:row>
    <x:row r="123">
      <x:c r="B123" s="34" t="str">
        <x:v>E117</x:v>
      </x:c>
      <x:c r="C123" s="34" t="str">
        <x:v>PAYLOAD_CREW</x:v>
      </x:c>
      <x:c r="D123" s="34" t="str">
        <x:v>four independent egress paths</x:v>
      </x:c>
      <x:c r="E123" s="34" t="str">
        <x:v>occupied cargo and refuge article</x:v>
      </x:c>
      <x:c r="F123" s="34" t="str">
        <x:v>insert loss, atmosphere, load or denied dependency named by the gate</x:v>
      </x:c>
      <x:c r="G123" s="34" t="str">
        <x:v>independent representative measurement meets the modeled boundary</x:v>
      </x:c>
      <x:c r="H123" s="34" t="str">
        <x:v>Civil Safety Authority</x:v>
      </x:c>
      <x:c r="I123" s="34" t="str">
        <x:v>OPEN</x:v>
      </x:c>
      <x:c r="J123" s="76" t="n">
        <x:v>0</x:v>
      </x:c>
      <x:c r="K123" s="35" t="str">
        <x:v>BLOCKED</x:v>
      </x:c>
    </x:row>
    <x:row r="124">
      <x:c r="B124" s="34" t="str">
        <x:v>E118</x:v>
      </x:c>
      <x:c r="C124" s="34" t="str">
        <x:v>PAYLOAD_CREW</x:v>
      </x:c>
      <x:c r="D124" s="34" t="str">
        <x:v>one-refuge safe hold</x:v>
      </x:c>
      <x:c r="E124" s="34" t="str">
        <x:v>occupied cargo and refuge article</x:v>
      </x:c>
      <x:c r="F124" s="34" t="str">
        <x:v>insert loss, atmosphere, load or denied dependency named by the gate</x:v>
      </x:c>
      <x:c r="G124" s="34" t="str">
        <x:v>independent representative measurement meets the modeled boundary</x:v>
      </x:c>
      <x:c r="H124" s="34" t="str">
        <x:v>Civil Safety Authority</x:v>
      </x:c>
      <x:c r="I124" s="34" t="str">
        <x:v>OPEN</x:v>
      </x:c>
      <x:c r="J124" s="76" t="n">
        <x:v>0</x:v>
      </x:c>
      <x:c r="K124" s="35" t="str">
        <x:v>BLOCKED</x:v>
      </x:c>
    </x:row>
    <x:row r="125">
      <x:c r="B125" s="34" t="str">
        <x:v>E119</x:v>
      </x:c>
      <x:c r="C125" s="34" t="str">
        <x:v>PAYLOAD_CREW</x:v>
      </x:c>
      <x:c r="D125" s="34" t="str">
        <x:v>toxic-product isolation</x:v>
      </x:c>
      <x:c r="E125" s="34" t="str">
        <x:v>occupied cargo and refuge article</x:v>
      </x:c>
      <x:c r="F125" s="34" t="str">
        <x:v>insert loss, atmosphere, load or denied dependency named by the gate</x:v>
      </x:c>
      <x:c r="G125" s="34" t="str">
        <x:v>independent representative measurement meets the modeled boundary</x:v>
      </x:c>
      <x:c r="H125" s="34" t="str">
        <x:v>Civil Safety Authority</x:v>
      </x:c>
      <x:c r="I125" s="34" t="str">
        <x:v>OPEN</x:v>
      </x:c>
      <x:c r="J125" s="76" t="n">
        <x:v>0</x:v>
      </x:c>
      <x:c r="K125" s="35" t="str">
        <x:v>BLOCKED</x:v>
      </x:c>
    </x:row>
    <x:row r="126">
      <x:c r="B126" s="34" t="str">
        <x:v>E120</x:v>
      </x:c>
      <x:c r="C126" s="34" t="str">
        <x:v>PAYLOAD_CREW</x:v>
      </x:c>
      <x:c r="D126" s="34" t="str">
        <x:v>civil-release authority separation</x:v>
      </x:c>
      <x:c r="E126" s="34" t="str">
        <x:v>occupied cargo and refuge article</x:v>
      </x:c>
      <x:c r="F126" s="34" t="str">
        <x:v>insert loss, atmosphere, load or denied dependency named by the gate</x:v>
      </x:c>
      <x:c r="G126" s="34" t="str">
        <x:v>independent representative measurement meets the modeled boundary</x:v>
      </x:c>
      <x:c r="H126" s="34" t="str">
        <x:v>Civil Safety Authority</x:v>
      </x:c>
      <x:c r="I126" s="34" t="str">
        <x:v>OPEN</x:v>
      </x:c>
      <x:c r="J126" s="76" t="n">
        <x:v>0</x:v>
      </x:c>
      <x:c r="K126" s="35" t="str">
        <x:v>BLOCKED</x:v>
      </x:c>
    </x:row>
    <x:row r="127">
      <x:c r="B127" s="34" t="str">
        <x:v>E121</x:v>
      </x:c>
      <x:c r="C127" s="34" t="str">
        <x:v>MISSION_RESET</x:v>
      </x:c>
      <x:c r="D127" s="34" t="str">
        <x:v>sixteen-hour origin release</x:v>
      </x:c>
      <x:c r="E127" s="34" t="str">
        <x:v>complete two-aircraft cell</x:v>
      </x:c>
      <x:c r="F127" s="34" t="str">
        <x:v>insert loss, atmosphere, load or denied dependency named by the gate</x:v>
      </x:c>
      <x:c r="G127" s="34" t="str">
        <x:v>independent representative measurement meets the modeled boundary</x:v>
      </x:c>
      <x:c r="H127" s="34" t="str">
        <x:v>Fourth Access Systems Command</x:v>
      </x:c>
      <x:c r="I127" s="34" t="str">
        <x:v>OPEN</x:v>
      </x:c>
      <x:c r="J127" s="76" t="n">
        <x:v>0</x:v>
      </x:c>
      <x:c r="K127" s="35" t="str">
        <x:v>BLOCKED</x:v>
      </x:c>
    </x:row>
    <x:row r="128">
      <x:c r="B128" s="34" t="str">
        <x:v>E122</x:v>
      </x:c>
      <x:c r="C128" s="34" t="str">
        <x:v>MISSION_RESET</x:v>
      </x:c>
      <x:c r="D128" s="34" t="str">
        <x:v>sixteen-point-six-seven-hour cruise</x:v>
      </x:c>
      <x:c r="E128" s="34" t="str">
        <x:v>complete two-aircraft cell</x:v>
      </x:c>
      <x:c r="F128" s="34" t="str">
        <x:v>insert loss, atmosphere, load or denied dependency named by the gate</x:v>
      </x:c>
      <x:c r="G128" s="34" t="str">
        <x:v>independent representative measurement meets the modeled boundary</x:v>
      </x:c>
      <x:c r="H128" s="34" t="str">
        <x:v>Fourth Access Systems Command</x:v>
      </x:c>
      <x:c r="I128" s="34" t="str">
        <x:v>OPEN</x:v>
      </x:c>
      <x:c r="J128" s="76" t="n">
        <x:v>0</x:v>
      </x:c>
      <x:c r="K128" s="35" t="str">
        <x:v>BLOCKED</x:v>
      </x:c>
    </x:row>
    <x:row r="129">
      <x:c r="B129" s="34" t="str">
        <x:v>E123</x:v>
      </x:c>
      <x:c r="C129" s="34" t="str">
        <x:v>MISSION_RESET</x:v>
      </x:c>
      <x:c r="D129" s="34" t="str">
        <x:v>one-point-two-five-hour arrest and unload</x:v>
      </x:c>
      <x:c r="E129" s="34" t="str">
        <x:v>complete two-aircraft cell</x:v>
      </x:c>
      <x:c r="F129" s="34" t="str">
        <x:v>insert loss, atmosphere, load or denied dependency named by the gate</x:v>
      </x:c>
      <x:c r="G129" s="34" t="str">
        <x:v>independent representative measurement meets the modeled boundary</x:v>
      </x:c>
      <x:c r="H129" s="34" t="str">
        <x:v>Fourth Access Systems Command</x:v>
      </x:c>
      <x:c r="I129" s="34" t="str">
        <x:v>OPEN</x:v>
      </x:c>
      <x:c r="J129" s="76" t="n">
        <x:v>0</x:v>
      </x:c>
      <x:c r="K129" s="35" t="str">
        <x:v>BLOCKED</x:v>
      </x:c>
    </x:row>
    <x:row r="130">
      <x:c r="B130" s="34" t="str">
        <x:v>E124</x:v>
      </x:c>
      <x:c r="C130" s="34" t="str">
        <x:v>MISSION_RESET</x:v>
      </x:c>
      <x:c r="D130" s="34" t="str">
        <x:v>eight-hour receiver build</x:v>
      </x:c>
      <x:c r="E130" s="34" t="str">
        <x:v>complete two-aircraft cell</x:v>
      </x:c>
      <x:c r="F130" s="34" t="str">
        <x:v>insert loss, atmosphere, load or denied dependency named by the gate</x:v>
      </x:c>
      <x:c r="G130" s="34" t="str">
        <x:v>independent representative measurement meets the modeled boundary</x:v>
      </x:c>
      <x:c r="H130" s="34" t="str">
        <x:v>Fourth Access Systems Command</x:v>
      </x:c>
      <x:c r="I130" s="34" t="str">
        <x:v>OPEN</x:v>
      </x:c>
      <x:c r="J130" s="76" t="n">
        <x:v>0</x:v>
      </x:c>
      <x:c r="K130" s="35" t="str">
        <x:v>BLOCKED</x:v>
      </x:c>
    </x:row>
    <x:row r="131">
      <x:c r="B131" s="34" t="str">
        <x:v>E125</x:v>
      </x:c>
      <x:c r="C131" s="34" t="str">
        <x:v>MISSION_RESET</x:v>
      </x:c>
      <x:c r="D131" s="34" t="str">
        <x:v>relative hour 41.92 service</x:v>
      </x:c>
      <x:c r="E131" s="34" t="str">
        <x:v>complete two-aircraft cell</x:v>
      </x:c>
      <x:c r="F131" s="34" t="str">
        <x:v>insert loss, atmosphere, load or denied dependency named by the gate</x:v>
      </x:c>
      <x:c r="G131" s="34" t="str">
        <x:v>independent representative measurement meets the modeled boundary</x:v>
      </x:c>
      <x:c r="H131" s="34" t="str">
        <x:v>Fourth Access Systems Command</x:v>
      </x:c>
      <x:c r="I131" s="34" t="str">
        <x:v>OPEN</x:v>
      </x:c>
      <x:c r="J131" s="76" t="n">
        <x:v>0</x:v>
      </x:c>
      <x:c r="K131" s="35" t="str">
        <x:v>BLOCKED</x:v>
      </x:c>
    </x:row>
    <x:row r="132">
      <x:c r="B132" s="34" t="str">
        <x:v>E126</x:v>
      </x:c>
      <x:c r="C132" s="34" t="str">
        <x:v>MISSION_RESET</x:v>
      </x:c>
      <x:c r="D132" s="34" t="str">
        <x:v>absolute hour 47.92 service</x:v>
      </x:c>
      <x:c r="E132" s="34" t="str">
        <x:v>complete two-aircraft cell</x:v>
      </x:c>
      <x:c r="F132" s="34" t="str">
        <x:v>insert loss, atmosphere, load or denied dependency named by the gate</x:v>
      </x:c>
      <x:c r="G132" s="34" t="str">
        <x:v>independent representative measurement meets the modeled boundary</x:v>
      </x:c>
      <x:c r="H132" s="34" t="str">
        <x:v>Fourth Access Systems Command</x:v>
      </x:c>
      <x:c r="I132" s="34" t="str">
        <x:v>OPEN</x:v>
      </x:c>
      <x:c r="J132" s="76" t="n">
        <x:v>0</x:v>
      </x:c>
      <x:c r="K132" s="35" t="str">
        <x:v>BLOCKED</x:v>
      </x:c>
    </x:row>
    <x:row r="133">
      <x:c r="B133" s="34" t="str">
        <x:v>E127</x:v>
      </x:c>
      <x:c r="C133" s="34" t="str">
        <x:v>MISSION_RESET</x:v>
      </x:c>
      <x:c r="D133" s="34" t="str">
        <x:v>two-mode hour 49.57 service</x:v>
      </x:c>
      <x:c r="E133" s="34" t="str">
        <x:v>complete two-aircraft cell</x:v>
      </x:c>
      <x:c r="F133" s="34" t="str">
        <x:v>insert loss, atmosphere, load or denied dependency named by the gate</x:v>
      </x:c>
      <x:c r="G133" s="34" t="str">
        <x:v>independent representative measurement meets the modeled boundary</x:v>
      </x:c>
      <x:c r="H133" s="34" t="str">
        <x:v>Fourth Access Systems Command</x:v>
      </x:c>
      <x:c r="I133" s="34" t="str">
        <x:v>OPEN</x:v>
      </x:c>
      <x:c r="J133" s="76" t="n">
        <x:v>0</x:v>
      </x:c>
      <x:c r="K133" s="35" t="str">
        <x:v>BLOCKED</x:v>
      </x:c>
    </x:row>
    <x:row r="134">
      <x:c r="B134" s="34" t="str">
        <x:v>E128</x:v>
      </x:c>
      <x:c r="C134" s="34" t="str">
        <x:v>MISSION_RESET</x:v>
      </x:c>
      <x:c r="D134" s="34" t="str">
        <x:v>162-hour structural reset</x:v>
      </x:c>
      <x:c r="E134" s="34" t="str">
        <x:v>complete two-aircraft cell</x:v>
      </x:c>
      <x:c r="F134" s="34" t="str">
        <x:v>insert loss, atmosphere, load or denied dependency named by the gate</x:v>
      </x:c>
      <x:c r="G134" s="34" t="str">
        <x:v>independent representative measurement meets the modeled boundary</x:v>
      </x:c>
      <x:c r="H134" s="34" t="str">
        <x:v>Fourth Access Systems Command</x:v>
      </x:c>
      <x:c r="I134" s="34" t="str">
        <x:v>OPEN</x:v>
      </x:c>
      <x:c r="J134" s="76" t="n">
        <x:v>0</x:v>
      </x:c>
      <x:c r="K134" s="35" t="str">
        <x:v>BLOCKED</x:v>
      </x:c>
    </x:row>
    <x:row r="135">
      <x:c r="B135" s="34" t="str">
        <x:v>E129</x:v>
      </x:c>
      <x:c r="C135" s="34" t="str">
        <x:v>MISSION_RESET</x:v>
      </x:c>
      <x:c r="D135" s="34" t="str">
        <x:v>154-hour energy reset</x:v>
      </x:c>
      <x:c r="E135" s="34" t="str">
        <x:v>complete two-aircraft cell</x:v>
      </x:c>
      <x:c r="F135" s="34" t="str">
        <x:v>insert loss, atmosphere, load or denied dependency named by the gate</x:v>
      </x:c>
      <x:c r="G135" s="34" t="str">
        <x:v>independent representative measurement meets the modeled boundary</x:v>
      </x:c>
      <x:c r="H135" s="34" t="str">
        <x:v>Fourth Access Systems Command</x:v>
      </x:c>
      <x:c r="I135" s="34" t="str">
        <x:v>OPEN</x:v>
      </x:c>
      <x:c r="J135" s="76" t="n">
        <x:v>0</x:v>
      </x:c>
      <x:c r="K135" s="35" t="str">
        <x:v>BLOCKED</x:v>
      </x:c>
    </x:row>
    <x:row r="136">
      <x:c r="B136" s="34" t="str">
        <x:v>E130</x:v>
      </x:c>
      <x:c r="C136" s="34" t="str">
        <x:v>MISSION_RESET</x:v>
      </x:c>
      <x:c r="D136" s="34" t="str">
        <x:v>146-hour contact reset</x:v>
      </x:c>
      <x:c r="E136" s="34" t="str">
        <x:v>complete two-aircraft cell</x:v>
      </x:c>
      <x:c r="F136" s="34" t="str">
        <x:v>insert loss, atmosphere, load or denied dependency named by the gate</x:v>
      </x:c>
      <x:c r="G136" s="34" t="str">
        <x:v>independent representative measurement meets the modeled boundary</x:v>
      </x:c>
      <x:c r="H136" s="34" t="str">
        <x:v>Fourth Access Systems Command</x:v>
      </x:c>
      <x:c r="I136" s="34" t="str">
        <x:v>OPEN</x:v>
      </x:c>
      <x:c r="J136" s="76" t="n">
        <x:v>0</x:v>
      </x:c>
      <x:c r="K136" s="35" t="str">
        <x:v>BLOCKED</x:v>
      </x:c>
    </x:row>
    <x:row r="137">
      <x:c r="B137" s="34" t="str">
        <x:v>E131</x:v>
      </x:c>
      <x:c r="C137" s="34" t="str">
        <x:v>MISSION_RESET</x:v>
      </x:c>
      <x:c r="D137" s="34" t="str">
        <x:v>132-hour lift-water reset</x:v>
      </x:c>
      <x:c r="E137" s="34" t="str">
        <x:v>complete two-aircraft cell</x:v>
      </x:c>
      <x:c r="F137" s="34" t="str">
        <x:v>insert loss, atmosphere, load or denied dependency named by the gate</x:v>
      </x:c>
      <x:c r="G137" s="34" t="str">
        <x:v>independent representative measurement meets the modeled boundary</x:v>
      </x:c>
      <x:c r="H137" s="34" t="str">
        <x:v>Fourth Access Systems Command</x:v>
      </x:c>
      <x:c r="I137" s="34" t="str">
        <x:v>OPEN</x:v>
      </x:c>
      <x:c r="J137" s="76" t="n">
        <x:v>0</x:v>
      </x:c>
      <x:c r="K137" s="35" t="str">
        <x:v>BLOCKED</x:v>
      </x:c>
    </x:row>
    <x:row r="138">
      <x:c r="B138" s="34" t="str">
        <x:v>E132</x:v>
      </x:c>
      <x:c r="C138" s="34" t="str">
        <x:v>MISSION_RESET</x:v>
      </x:c>
      <x:c r="D138" s="34" t="str">
        <x:v>fleet queueing under campaign</x:v>
      </x:c>
      <x:c r="E138" s="34" t="str">
        <x:v>complete two-aircraft cell</x:v>
      </x:c>
      <x:c r="F138" s="34" t="str">
        <x:v>insert loss, atmosphere, load or denied dependency named by the gate</x:v>
      </x:c>
      <x:c r="G138" s="34" t="str">
        <x:v>independent representative measurement meets the modeled boundary</x:v>
      </x:c>
      <x:c r="H138" s="34" t="str">
        <x:v>Fourth Access Systems Command</x:v>
      </x:c>
      <x:c r="I138" s="34" t="str">
        <x:v>OPEN</x:v>
      </x:c>
      <x:c r="J138" s="76" t="n">
        <x:v>0</x:v>
      </x:c>
      <x:c r="K138" s="35" t="str">
        <x:v>BLOCKED</x:v>
      </x:c>
    </x:row>
    <x:row r="139">
      <x:c r="B139" s="34" t="str">
        <x:v>E133</x:v>
      </x:c>
      <x:c r="C139" s="34" t="str">
        <x:v>MISSION_RESET</x:v>
      </x:c>
      <x:c r="D139" s="34" t="str">
        <x:v>contaminated return</x:v>
      </x:c>
      <x:c r="E139" s="34" t="str">
        <x:v>complete two-aircraft cell</x:v>
      </x:c>
      <x:c r="F139" s="34" t="str">
        <x:v>insert loss, atmosphere, load or denied dependency named by the gate</x:v>
      </x:c>
      <x:c r="G139" s="34" t="str">
        <x:v>independent representative measurement meets the modeled boundary</x:v>
      </x:c>
      <x:c r="H139" s="34" t="str">
        <x:v>Fourth Access Systems Command</x:v>
      </x:c>
      <x:c r="I139" s="34" t="str">
        <x:v>OPEN</x:v>
      </x:c>
      <x:c r="J139" s="76" t="n">
        <x:v>0</x:v>
      </x:c>
      <x:c r="K139" s="35" t="str">
        <x:v>BLOCKED</x:v>
      </x:c>
    </x:row>
    <x:row r="140">
      <x:c r="B140" s="34" t="str">
        <x:v>E134</x:v>
      </x:c>
      <x:c r="C140" s="34" t="str">
        <x:v>MISSION_RESET</x:v>
      </x:c>
      <x:c r="D140" s="34" t="str">
        <x:v>alternate receiver recovery</x:v>
      </x:c>
      <x:c r="E140" s="34" t="str">
        <x:v>complete two-aircraft cell</x:v>
      </x:c>
      <x:c r="F140" s="34" t="str">
        <x:v>insert loss, atmosphere, load or denied dependency named by the gate</x:v>
      </x:c>
      <x:c r="G140" s="34" t="str">
        <x:v>independent representative measurement meets the modeled boundary</x:v>
      </x:c>
      <x:c r="H140" s="34" t="str">
        <x:v>Fourth Access Systems Command</x:v>
      </x:c>
      <x:c r="I140" s="34" t="str">
        <x:v>OPEN</x:v>
      </x:c>
      <x:c r="J140" s="76" t="n">
        <x:v>0</x:v>
      </x:c>
      <x:c r="K140" s="35" t="str">
        <x:v>BLOCKED</x:v>
      </x:c>
    </x:row>
    <x:row r="141">
      <x:c r="B141" s="34" t="str">
        <x:v>E135</x:v>
      </x:c>
      <x:c r="C141" s="34" t="str">
        <x:v>MISSION_RESET</x:v>
      </x:c>
      <x:c r="D141" s="34" t="str">
        <x:v>repeat mission after seven days</x:v>
      </x:c>
      <x:c r="E141" s="34" t="str">
        <x:v>complete two-aircraft cell</x:v>
      </x:c>
      <x:c r="F141" s="34" t="str">
        <x:v>insert loss, atmosphere, load or denied dependency named by the gate</x:v>
      </x:c>
      <x:c r="G141" s="34" t="str">
        <x:v>independent representative measurement meets the modeled boundary</x:v>
      </x:c>
      <x:c r="H141" s="34" t="str">
        <x:v>Fourth Access Systems Command</x:v>
      </x:c>
      <x:c r="I141" s="34" t="str">
        <x:v>OPEN</x:v>
      </x:c>
      <x:c r="J141" s="76" t="n">
        <x:v>0</x:v>
      </x:c>
      <x:c r="K141" s="35" t="str">
        <x:v>BLOCKED</x:v>
      </x:c>
    </x:row>
    <x:row r="142">
      <x:c r="B142" s="34" t="str">
        <x:v>E136</x:v>
      </x:c>
      <x:c r="C142" s="34" t="str">
        <x:v>PROGRAM</x:v>
      </x:c>
      <x:c r="D142" s="34" t="str">
        <x:v>118-article production objective</x:v>
      </x:c>
      <x:c r="E142" s="34" t="str">
        <x:v>serial fleet and industrial system</x:v>
      </x:c>
      <x:c r="F142" s="34" t="str">
        <x:v>insert loss, atmosphere, load or denied dependency named by the gate</x:v>
      </x:c>
      <x:c r="G142" s="34" t="str">
        <x:v>independent representative measurement meets the modeled boundary</x:v>
      </x:c>
      <x:c r="H142" s="34" t="str">
        <x:v>Independent Program Evaluation Office</x:v>
      </x:c>
      <x:c r="I142" s="34" t="str">
        <x:v>OPEN</x:v>
      </x:c>
      <x:c r="J142" s="76" t="n">
        <x:v>0</x:v>
      </x:c>
      <x:c r="K142" s="35" t="str">
        <x:v>BLOCKED</x:v>
      </x:c>
    </x:row>
    <x:row r="143">
      <x:c r="B143" s="34" t="str">
        <x:v>E137</x:v>
      </x:c>
      <x:c r="C143" s="34" t="str">
        <x:v>PROGRAM</x:v>
      </x:c>
      <x:c r="D143" s="34" t="str">
        <x:v>eighty-six operational vehicles</x:v>
      </x:c>
      <x:c r="E143" s="34" t="str">
        <x:v>serial fleet and industrial system</x:v>
      </x:c>
      <x:c r="F143" s="34" t="str">
        <x:v>insert loss, atmosphere, load or denied dependency named by the gate</x:v>
      </x:c>
      <x:c r="G143" s="34" t="str">
        <x:v>independent representative measurement meets the modeled boundary</x:v>
      </x:c>
      <x:c r="H143" s="34" t="str">
        <x:v>Independent Program Evaluation Office</x:v>
      </x:c>
      <x:c r="I143" s="34" t="str">
        <x:v>OPEN</x:v>
      </x:c>
      <x:c r="J143" s="76" t="n">
        <x:v>0</x:v>
      </x:c>
      <x:c r="K143" s="35" t="str">
        <x:v>BLOCKED</x:v>
      </x:c>
    </x:row>
    <x:row r="144">
      <x:c r="B144" s="34" t="str">
        <x:v>E138</x:v>
      </x:c>
      <x:c r="C144" s="34" t="str">
        <x:v>PROGRAM</x:v>
      </x:c>
      <x:c r="D144" s="34" t="str">
        <x:v>eighteen reserve vehicles</x:v>
      </x:c>
      <x:c r="E144" s="34" t="str">
        <x:v>serial fleet and industrial system</x:v>
      </x:c>
      <x:c r="F144" s="34" t="str">
        <x:v>insert loss, atmosphere, load or denied dependency named by the gate</x:v>
      </x:c>
      <x:c r="G144" s="34" t="str">
        <x:v>independent representative measurement meets the modeled boundary</x:v>
      </x:c>
      <x:c r="H144" s="34" t="str">
        <x:v>Independent Program Evaluation Office</x:v>
      </x:c>
      <x:c r="I144" s="34" t="str">
        <x:v>OPEN</x:v>
      </x:c>
      <x:c r="J144" s="76" t="n">
        <x:v>0</x:v>
      </x:c>
      <x:c r="K144" s="35" t="str">
        <x:v>BLOCKED</x:v>
      </x:c>
    </x:row>
    <x:row r="145">
      <x:c r="B145" s="34" t="str">
        <x:v>E139</x:v>
      </x:c>
      <x:c r="C145" s="34" t="str">
        <x:v>PROGRAM</x:v>
      </x:c>
      <x:c r="D145" s="34" t="str">
        <x:v>fourteen development articles</x:v>
      </x:c>
      <x:c r="E145" s="34" t="str">
        <x:v>serial fleet and industrial system</x:v>
      </x:c>
      <x:c r="F145" s="34" t="str">
        <x:v>insert loss, atmosphere, load or denied dependency named by the gate</x:v>
      </x:c>
      <x:c r="G145" s="34" t="str">
        <x:v>independent representative measurement meets the modeled boundary</x:v>
      </x:c>
      <x:c r="H145" s="34" t="str">
        <x:v>Independent Program Evaluation Office</x:v>
      </x:c>
      <x:c r="I145" s="34" t="str">
        <x:v>OPEN</x:v>
      </x:c>
      <x:c r="J145" s="76" t="n">
        <x:v>0</x:v>
      </x:c>
      <x:c r="K145" s="35" t="str">
        <x:v>BLOCKED</x:v>
      </x:c>
    </x:row>
    <x:row r="146">
      <x:c r="B146" s="34" t="str">
        <x:v>E140</x:v>
      </x:c>
      <x:c r="C146" s="34" t="str">
        <x:v>PROGRAM</x:v>
      </x:c>
      <x:c r="D146" s="34" t="str">
        <x:v>three final integration lines</x:v>
      </x:c>
      <x:c r="E146" s="34" t="str">
        <x:v>serial fleet and industrial system</x:v>
      </x:c>
      <x:c r="F146" s="34" t="str">
        <x:v>insert loss, atmosphere, load or denied dependency named by the gate</x:v>
      </x:c>
      <x:c r="G146" s="34" t="str">
        <x:v>independent representative measurement meets the modeled boundary</x:v>
      </x:c>
      <x:c r="H146" s="34" t="str">
        <x:v>Independent Program Evaluation Office</x:v>
      </x:c>
      <x:c r="I146" s="34" t="str">
        <x:v>OPEN</x:v>
      </x:c>
      <x:c r="J146" s="76" t="n">
        <x:v>0</x:v>
      </x:c>
      <x:c r="K146" s="35" t="str">
        <x:v>BLOCKED</x:v>
      </x:c>
    </x:row>
    <x:row r="147">
      <x:c r="B147" s="34" t="str">
        <x:v>E141</x:v>
      </x:c>
      <x:c r="C147" s="34" t="str">
        <x:v>PROGRAM</x:v>
      </x:c>
      <x:c r="D147" s="34" t="str">
        <x:v>eight-vehicle peak annual rate</x:v>
      </x:c>
      <x:c r="E147" s="34" t="str">
        <x:v>serial fleet and industrial system</x:v>
      </x:c>
      <x:c r="F147" s="34" t="str">
        <x:v>insert loss, atmosphere, load or denied dependency named by the gate</x:v>
      </x:c>
      <x:c r="G147" s="34" t="str">
        <x:v>independent representative measurement meets the modeled boundary</x:v>
      </x:c>
      <x:c r="H147" s="34" t="str">
        <x:v>Independent Program Evaluation Office</x:v>
      </x:c>
      <x:c r="I147" s="34" t="str">
        <x:v>OPEN</x:v>
      </x:c>
      <x:c r="J147" s="76" t="n">
        <x:v>0</x:v>
      </x:c>
      <x:c r="K147" s="35" t="str">
        <x:v>BLOCKED</x:v>
      </x:c>
    </x:row>
    <x:row r="148">
      <x:c r="B148" s="34" t="str">
        <x:v>E142</x:v>
      </x:c>
      <x:c r="C148" s="34" t="str">
        <x:v>PROGRAM</x:v>
      </x:c>
      <x:c r="D148" s="34" t="str">
        <x:v>three primary-structure lineages</x:v>
      </x:c>
      <x:c r="E148" s="34" t="str">
        <x:v>serial fleet and industrial system</x:v>
      </x:c>
      <x:c r="F148" s="34" t="str">
        <x:v>insert loss, atmosphere, load or denied dependency named by the gate</x:v>
      </x:c>
      <x:c r="G148" s="34" t="str">
        <x:v>independent representative measurement meets the modeled boundary</x:v>
      </x:c>
      <x:c r="H148" s="34" t="str">
        <x:v>Independent Program Evaluation Office</x:v>
      </x:c>
      <x:c r="I148" s="34" t="str">
        <x:v>OPEN</x:v>
      </x:c>
      <x:c r="J148" s="76" t="n">
        <x:v>0</x:v>
      </x:c>
      <x:c r="K148" s="35" t="str">
        <x:v>BLOCKED</x:v>
      </x:c>
    </x:row>
    <x:row r="149">
      <x:c r="B149" s="34" t="str">
        <x:v>E143</x:v>
      </x:c>
      <x:c r="C149" s="34" t="str">
        <x:v>PROGRAM</x:v>
      </x:c>
      <x:c r="D149" s="34" t="str">
        <x:v>three lift-cell lineages</x:v>
      </x:c>
      <x:c r="E149" s="34" t="str">
        <x:v>serial fleet and industrial system</x:v>
      </x:c>
      <x:c r="F149" s="34" t="str">
        <x:v>insert loss, atmosphere, load or denied dependency named by the gate</x:v>
      </x:c>
      <x:c r="G149" s="34" t="str">
        <x:v>independent representative measurement meets the modeled boundary</x:v>
      </x:c>
      <x:c r="H149" s="34" t="str">
        <x:v>Independent Program Evaluation Office</x:v>
      </x:c>
      <x:c r="I149" s="34" t="str">
        <x:v>OPEN</x:v>
      </x:c>
      <x:c r="J149" s="76" t="n">
        <x:v>0</x:v>
      </x:c>
      <x:c r="K149" s="35" t="str">
        <x:v>BLOCKED</x:v>
      </x:c>
    </x:row>
    <x:row r="150">
      <x:c r="B150" s="34" t="str">
        <x:v>E144</x:v>
      </x:c>
      <x:c r="C150" s="34" t="str">
        <x:v>PROGRAM</x:v>
      </x:c>
      <x:c r="D150" s="34" t="str">
        <x:v>four propulsor suppliers</x:v>
      </x:c>
      <x:c r="E150" s="34" t="str">
        <x:v>serial fleet and industrial system</x:v>
      </x:c>
      <x:c r="F150" s="34" t="str">
        <x:v>insert loss, atmosphere, load or denied dependency named by the gate</x:v>
      </x:c>
      <x:c r="G150" s="34" t="str">
        <x:v>independent representative measurement meets the modeled boundary</x:v>
      </x:c>
      <x:c r="H150" s="34" t="str">
        <x:v>Independent Program Evaluation Office</x:v>
      </x:c>
      <x:c r="I150" s="34" t="str">
        <x:v>OPEN</x:v>
      </x:c>
      <x:c r="J150" s="76" t="n">
        <x:v>0</x:v>
      </x:c>
      <x:c r="K150" s="35" t="str">
        <x:v>BLOCKED</x:v>
      </x:c>
    </x:row>
    <x:row r="151">
      <x:c r="B151" s="34" t="str">
        <x:v>E145</x:v>
      </x:c>
      <x:c r="C151" s="34" t="str">
        <x:v>PROGRAM</x:v>
      </x:c>
      <x:c r="D151" s="34" t="str">
        <x:v>three contact-system lineages</x:v>
      </x:c>
      <x:c r="E151" s="34" t="str">
        <x:v>serial fleet and industrial system</x:v>
      </x:c>
      <x:c r="F151" s="34" t="str">
        <x:v>insert loss, atmosphere, load or denied dependency named by the gate</x:v>
      </x:c>
      <x:c r="G151" s="34" t="str">
        <x:v>independent representative measurement meets the modeled boundary</x:v>
      </x:c>
      <x:c r="H151" s="34" t="str">
        <x:v>Independent Program Evaluation Office</x:v>
      </x:c>
      <x:c r="I151" s="34" t="str">
        <x:v>OPEN</x:v>
      </x:c>
      <x:c r="J151" s="76" t="n">
        <x:v>0</x:v>
      </x:c>
      <x:c r="K151" s="35" t="str">
        <x:v>BLOCKED</x:v>
      </x:c>
    </x:row>
    <x:row r="152">
      <x:c r="B152" s="34" t="str">
        <x:v>E146</x:v>
      </x:c>
      <x:c r="C152" s="34" t="str">
        <x:v>PROGRAM</x:v>
      </x:c>
      <x:c r="D152" s="34" t="str">
        <x:v>eight atmospheric proving ranges</x:v>
      </x:c>
      <x:c r="E152" s="34" t="str">
        <x:v>serial fleet and industrial system</x:v>
      </x:c>
      <x:c r="F152" s="34" t="str">
        <x:v>insert loss, atmosphere, load or denied dependency named by the gate</x:v>
      </x:c>
      <x:c r="G152" s="34" t="str">
        <x:v>independent representative measurement meets the modeled boundary</x:v>
      </x:c>
      <x:c r="H152" s="34" t="str">
        <x:v>Independent Program Evaluation Office</x:v>
      </x:c>
      <x:c r="I152" s="34" t="str">
        <x:v>OPEN</x:v>
      </x:c>
      <x:c r="J152" s="76" t="n">
        <x:v>0</x:v>
      </x:c>
      <x:c r="K152" s="35" t="str">
        <x:v>BLOCKED</x:v>
      </x:c>
    </x:row>
    <x:row r="153">
      <x:c r="B153" s="34" t="str">
        <x:v>E147</x:v>
      </x:c>
      <x:c r="C153" s="34" t="str">
        <x:v>PROGRAM</x:v>
      </x:c>
      <x:c r="D153" s="34" t="str">
        <x:v>105,000-worker ecosystem</x:v>
      </x:c>
      <x:c r="E153" s="34" t="str">
        <x:v>serial fleet and industrial system</x:v>
      </x:c>
      <x:c r="F153" s="34" t="str">
        <x:v>insert loss, atmosphere, load or denied dependency named by the gate</x:v>
      </x:c>
      <x:c r="G153" s="34" t="str">
        <x:v>independent representative measurement meets the modeled boundary</x:v>
      </x:c>
      <x:c r="H153" s="34" t="str">
        <x:v>Independent Program Evaluation Office</x:v>
      </x:c>
      <x:c r="I153" s="34" t="str">
        <x:v>OPEN</x:v>
      </x:c>
      <x:c r="J153" s="76" t="n">
        <x:v>0</x:v>
      </x:c>
      <x:c r="K153" s="35" t="str">
        <x:v>BLOCKED</x:v>
      </x:c>
    </x:row>
    <x:row r="154">
      <x:c r="B154" s="34" t="str">
        <x:v>E148</x:v>
      </x:c>
      <x:c r="C154" s="34" t="str">
        <x:v>PROGRAM</x:v>
      </x:c>
      <x:c r="D154" s="34" t="str">
        <x:v>1.7297432 trillion dollar program</x:v>
      </x:c>
      <x:c r="E154" s="34" t="str">
        <x:v>serial fleet and industrial system</x:v>
      </x:c>
      <x:c r="F154" s="34" t="str">
        <x:v>insert loss, atmosphere, load or denied dependency named by the gate</x:v>
      </x:c>
      <x:c r="G154" s="34" t="str">
        <x:v>independent representative measurement meets the modeled boundary</x:v>
      </x:c>
      <x:c r="H154" s="34" t="str">
        <x:v>Independent Program Evaluation Office</x:v>
      </x:c>
      <x:c r="I154" s="34" t="str">
        <x:v>OPEN</x:v>
      </x:c>
      <x:c r="J154" s="76" t="n">
        <x:v>0</x:v>
      </x:c>
      <x:c r="K154" s="35" t="str">
        <x:v>BLOCKED</x:v>
      </x:c>
    </x:row>
    <x:row r="155">
      <x:c r="B155" s="34" t="str">
        <x:v>E149</x:v>
      </x:c>
      <x:c r="C155" s="34" t="str">
        <x:v>PROGRAM</x:v>
      </x:c>
      <x:c r="D155" s="34" t="str">
        <x:v>3.7773011 trillion dollar DCP-2</x:v>
      </x:c>
      <x:c r="E155" s="34" t="str">
        <x:v>serial fleet and industrial system</x:v>
      </x:c>
      <x:c r="F155" s="34" t="str">
        <x:v>insert loss, atmosphere, load or denied dependency named by the gate</x:v>
      </x:c>
      <x:c r="G155" s="34" t="str">
        <x:v>independent representative measurement meets the modeled boundary</x:v>
      </x:c>
      <x:c r="H155" s="34" t="str">
        <x:v>Independent Program Evaluation Office</x:v>
      </x:c>
      <x:c r="I155" s="34" t="str">
        <x:v>OPEN</x:v>
      </x:c>
      <x:c r="J155" s="76" t="n">
        <x:v>0</x:v>
      </x:c>
      <x:c r="K155" s="35" t="str">
        <x:v>BLOCKED</x:v>
      </x:c>
    </x:row>
    <x:row r="156">
      <x:c r="B156" s="36" t="str">
        <x:v>E150</x:v>
      </x:c>
      <x:c r="C156" s="36" t="str">
        <x:v>PROGRAM</x:v>
      </x:c>
      <x:c r="D156" s="36" t="str">
        <x:v>11.16044265 trillion dollar national boundary</x:v>
      </x:c>
      <x:c r="E156" s="36" t="str">
        <x:v>serial fleet and industrial system</x:v>
      </x:c>
      <x:c r="F156" s="36" t="str">
        <x:v>insert loss, atmosphere, load or denied dependency named by the gate</x:v>
      </x:c>
      <x:c r="G156" s="36" t="str">
        <x:v>independent representative measurement meets the modeled boundary</x:v>
      </x:c>
      <x:c r="H156" s="36" t="str">
        <x:v>Independent Program Evaluation Office</x:v>
      </x:c>
      <x:c r="I156" s="36" t="str">
        <x:v>OPEN</x:v>
      </x:c>
      <x:c r="J156" s="77" t="n">
        <x:v>0</x:v>
      </x:c>
      <x:c r="K156" s="37" t="str">
        <x:v>BLOCKED</x:v>
      </x:c>
    </x:row>
    <x:row r="157"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</x:row>
    <x:row r="158"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</x:row>
    <x:row r="159"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</x:row>
    <x:row r="160"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</x:row>
    <x:row r="161"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</x:row>
    <x:row r="162"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</x:row>
  </x:sheetData>
  <x:conditionalFormatting sqref="I7:I156">
    <x:cfRule type="containsText" dxfId="75" priority="1" operator="containsText" text="FAIL"/>
    <x:cfRule type="containsText" dxfId="76" priority="2" operator="containsText" text="PASS"/>
    <x:cfRule type="containsText" dxfId="77" priority="3" operator="containsText" text="BLOCKED"/>
  </x:conditionalFormatting>
  <x:conditionalFormatting sqref="K7:K156">
    <x:cfRule type="containsText" dxfId="78" priority="4" operator="containsText" text="FAIL"/>
    <x:cfRule type="containsText" dxfId="79" priority="5" operator="containsText" text="PASS"/>
    <x:cfRule type="containsText" dxfId="80" priority="6" operator="containsText" text="BLOCKE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8" hidden="0" customWidth="1"/>
    <x:col min="3" max="3" width="20" hidden="0" customWidth="1"/>
    <x:col min="4" max="4" width="20" hidden="0" customWidth="1"/>
    <x:col min="5" max="5" width="16" hidden="0" customWidth="1"/>
    <x:col min="6" max="6" width="14" hidden="0" customWidth="1"/>
    <x:col min="7" max="7" width="48" hidden="0" customWidth="1"/>
  </x:cols>
  <x:sheetData>
    <x:row r="2">
      <x:c r="B2" s="3" t="str">
        <x:v>Terminal integrity audit</x:v>
      </x:c>
      <x:c r="C2" s="2"/>
      <x:c r="D2" s="2"/>
      <x:c r="E2" s="2"/>
      <x:c r="F2" s="2"/>
      <x:c r="G2" s="2"/>
    </x:row>
    <x:row r="3">
      <x:c r="B3" s="4" t="str">
        <x:v>Sixty model reconciliations plus 150 evidence-state controls; this sheet never feeds the model</x:v>
      </x:c>
      <x:c r="C3" s="4"/>
      <x:c r="D3" s="4"/>
      <x:c r="E3" s="4"/>
      <x:c r="F3" s="4"/>
      <x:c r="G3" s="4"/>
    </x:row>
    <x:row r="4">
      <x:c r="B4" s="5"/>
      <x:c r="C4" s="5"/>
      <x:c r="D4" s="5"/>
      <x:c r="E4" s="5"/>
      <x:c r="F4" s="5"/>
      <x:c r="G4" s="5"/>
    </x:row>
    <x:row r="5">
      <x:c r="B5" s="2"/>
      <x:c r="C5" s="2"/>
      <x:c r="D5" s="2"/>
      <x:c r="E5" s="2"/>
      <x:c r="F5" s="2"/>
      <x:c r="G5" s="2"/>
    </x:row>
    <x:row r="6">
      <x:c r="B6" s="26" t="str">
        <x:v>Check</x:v>
      </x:c>
      <x:c r="C6" s="27" t="str">
        <x:v>Calculated</x:v>
      </x:c>
      <x:c r="D6" s="27" t="str">
        <x:v>Expected</x:v>
      </x:c>
      <x:c r="E6" s="27" t="str">
        <x:v>Difference</x:v>
      </x:c>
      <x:c r="F6" s="27" t="str">
        <x:v>Result</x:v>
      </x:c>
      <x:c r="G6" s="27" t="str">
        <x:v>Meaning</x:v>
      </x:c>
    </x:row>
    <x:row r="7">
      <x:c r="B7" s="34" t="str">
        <x:v>C001 Fixed non-fuel mass</x:v>
      </x:c>
      <x:c r="C7" s="34" t="n">
        <x:f>'Mass and Lift'!D21</x:f>
        <x:v>917.999999782</x:v>
      </x:c>
      <x:c r="D7" s="34" t="n">
        <x:v>918</x:v>
      </x:c>
      <x:c r="E7" s="34" t="n">
        <x:f>C7-D7</x:f>
        <x:v>-2.1799996829940937e-7</x:v>
      </x:c>
      <x:c r="F7" s="34" t="str">
        <x:f>IF(ABS(E7)&lt;=0.001,"PASS","FAIL")</x:f>
        <x:v>PASS</x:v>
      </x:c>
      <x:c r="G7" s="35" t="str">
        <x:v>t</x:v>
      </x:c>
    </x:row>
    <x:row r="8">
      <x:c r="B8" s="34" t="str">
        <x:v>C002 Mass subtotal difference</x:v>
      </x:c>
      <x:c r="C8" s="34" t="n">
        <x:f>'Mass and Lift'!D23</x:f>
        <x:v>-2.1799996829940937e-7</x:v>
      </x:c>
      <x:c r="D8" s="34" t="n">
        <x:v>0</x:v>
      </x:c>
      <x:c r="E8" s="34" t="n">
        <x:f>C8-D8</x:f>
        <x:v>-2.1799996829940937e-7</x:v>
      </x:c>
      <x:c r="F8" s="34" t="str">
        <x:f>IF(ABS(E8)&lt;=0.001,"PASS","FAIL")</x:f>
        <x:v>PASS</x:v>
      </x:c>
      <x:c r="G8" s="35" t="str">
        <x:v>t</x:v>
      </x:c>
    </x:row>
    <x:row r="9">
      <x:c r="B9" s="34" t="str">
        <x:v>C003 Fuel feedback below one</x:v>
      </x:c>
      <x:c r="C9" s="34" t="n">
        <x:f>IF('Energy and Propulsion'!C13&lt;1,1,0)</x:f>
        <x:v>1</x:v>
      </x:c>
      <x:c r="D9" s="34" t="n">
        <x:v>1</x:v>
      </x:c>
      <x:c r="E9" s="34" t="n">
        <x:f>C9-D9</x:f>
        <x:v>0</x:v>
      </x:c>
      <x:c r="F9" s="34" t="str">
        <x:f>IF(ABS(E9)&lt;=0.001,"PASS","FAIL")</x:f>
        <x:v>PASS</x:v>
      </x:c>
      <x:c r="G9" s="35" t="str">
        <x:v>binary</x:v>
      </x:c>
    </x:row>
    <x:row r="10">
      <x:c r="B10" s="34" t="str">
        <x:v>C004 Mission fuel cross-check</x:v>
      </x:c>
      <x:c r="C10" s="34" t="n">
        <x:f>'Energy and Propulsion'!C23-'Energy and Propulsion'!C15</x:f>
        <x:v>0</x:v>
      </x:c>
      <x:c r="D10" s="34" t="n">
        <x:v>0</x:v>
      </x:c>
      <x:c r="E10" s="34" t="n">
        <x:f>C10-D10</x:f>
        <x:v>0</x:v>
      </x:c>
      <x:c r="F10" s="34" t="str">
        <x:f>IF(ABS(E10)&lt;=0.001,"PASS","FAIL")</x:f>
        <x:v>PASS</x:v>
      </x:c>
      <x:c r="G10" s="35" t="str">
        <x:v>t</x:v>
      </x:c>
    </x:row>
    <x:row r="11">
      <x:c r="B11" s="34" t="str">
        <x:v>C005 Rated gross tie</x:v>
      </x:c>
      <x:c r="C11" s="34" t="n">
        <x:f>'Energy and Propulsion'!C17-'Mass and Lift'!J13</x:f>
        <x:v>0</x:v>
      </x:c>
      <x:c r="D11" s="34" t="n">
        <x:v>0</x:v>
      </x:c>
      <x:c r="E11" s="34" t="n">
        <x:f>C11-D11</x:f>
        <x:v>0</x:v>
      </x:c>
      <x:c r="F11" s="34" t="str">
        <x:f>IF(ABS(E11)&lt;=0.001,"PASS","FAIL")</x:f>
        <x:v>PASS</x:v>
      </x:c>
      <x:c r="G11" s="35" t="str">
        <x:v>t</x:v>
      </x:c>
    </x:row>
    <x:row r="12">
      <x:c r="B12" s="34" t="str">
        <x:v>C006 Rated payload</x:v>
      </x:c>
      <x:c r="C12" s="34" t="n">
        <x:f>'Mass and Lift'!J12</x:f>
        <x:v>340</x:v>
      </x:c>
      <x:c r="D12" s="34" t="n">
        <x:v>340</x:v>
      </x:c>
      <x:c r="E12" s="34" t="n">
        <x:f>C12-D12</x:f>
        <x:v>0</x:v>
      </x:c>
      <x:c r="F12" s="34" t="str">
        <x:f>IF(ABS(E12)&lt;=0.001,"PASS","FAIL")</x:f>
        <x:v>PASS</x:v>
      </x:c>
      <x:c r="G12" s="35" t="str">
        <x:v>t</x:v>
      </x:c>
    </x:row>
    <x:row r="13">
      <x:c r="B13" s="34" t="str">
        <x:v>C007 Assigned payload</x:v>
      </x:c>
      <x:c r="C13" s="34" t="n">
        <x:f>'Payload and Balance'!C30</x:f>
        <x:v>317.5</x:v>
      </x:c>
      <x:c r="D13" s="34" t="n">
        <x:v>317.5</x:v>
      </x:c>
      <x:c r="E13" s="34" t="n">
        <x:f>C13-D13</x:f>
        <x:v>0</x:v>
      </x:c>
      <x:c r="F13" s="34" t="str">
        <x:f>IF(ABS(E13)&lt;=0.001,"PASS","FAIL")</x:f>
        <x:v>PASS</x:v>
      </x:c>
      <x:c r="G13" s="35" t="str">
        <x:v>t</x:v>
      </x:c>
    </x:row>
    <x:row r="14">
      <x:c r="B14" s="34" t="str">
        <x:v>C008 Assigned cargo cube</x:v>
      </x:c>
      <x:c r="C14" s="34" t="n">
        <x:f>'Payload and Balance'!C31</x:f>
        <x:v>1354</x:v>
      </x:c>
      <x:c r="D14" s="34" t="n">
        <x:v>1354</x:v>
      </x:c>
      <x:c r="E14" s="34" t="n">
        <x:f>C14-D14</x:f>
        <x:v>0</x:v>
      </x:c>
      <x:c r="F14" s="34" t="str">
        <x:f>IF(ABS(E14)&lt;=0.001,"PASS","FAIL")</x:f>
        <x:v>PASS</x:v>
      </x:c>
      <x:c r="G14" s="35" t="str">
        <x:v>m3</x:v>
      </x:c>
    </x:row>
    <x:row r="15">
      <x:c r="B15" s="34" t="str">
        <x:v>C009 Assigned deck demand</x:v>
      </x:c>
      <x:c r="C15" s="34" t="n">
        <x:f>'Payload and Balance'!C32</x:f>
        <x:v>312</x:v>
      </x:c>
      <x:c r="D15" s="34" t="n">
        <x:v>312</x:v>
      </x:c>
      <x:c r="E15" s="34" t="n">
        <x:f>C15-D15</x:f>
        <x:v>0</x:v>
      </x:c>
      <x:c r="F15" s="34" t="str">
        <x:f>IF(ABS(E15)&lt;=0.001,"PASS","FAIL")</x:f>
        <x:v>PASS</x:v>
      </x:c>
      <x:c r="G15" s="35" t="str">
        <x:v>m2</x:v>
      </x:c>
    </x:row>
    <x:row r="16">
      <x:c r="B16" s="34" t="str">
        <x:v>C010 Dry position count</x:v>
      </x:c>
      <x:c r="C16" s="34" t="n">
        <x:f>'Payload and Balance'!C38</x:f>
        <x:v>16</x:v>
      </x:c>
      <x:c r="D16" s="34" t="n">
        <x:v>16</x:v>
      </x:c>
      <x:c r="E16" s="34" t="n">
        <x:f>C16-D16</x:f>
        <x:v>0</x:v>
      </x:c>
      <x:c r="F16" s="34" t="str">
        <x:f>IF(ABS(E16)&lt;=0.001,"PASS","FAIL")</x:f>
        <x:v>PASS</x:v>
      </x:c>
      <x:c r="G16" s="35" t="str">
        <x:v>positions</x:v>
      </x:c>
    </x:row>
    <x:row r="17">
      <x:c r="B17" s="34" t="str">
        <x:v>C011 Wet position count</x:v>
      </x:c>
      <x:c r="C17" s="34" t="n">
        <x:f>'Payload and Balance'!C39</x:f>
        <x:v>2</x:v>
      </x:c>
      <x:c r="D17" s="34" t="n">
        <x:v>2</x:v>
      </x:c>
      <x:c r="E17" s="34" t="n">
        <x:f>C17-D17</x:f>
        <x:v>0</x:v>
      </x:c>
      <x:c r="F17" s="34" t="str">
        <x:f>IF(ABS(E17)&lt;=0.001,"PASS","FAIL")</x:f>
        <x:v>PASS</x:v>
      </x:c>
      <x:c r="G17" s="35" t="str">
        <x:v>positions</x:v>
      </x:c>
    </x:row>
    <x:row r="18">
      <x:c r="B18" s="34" t="str">
        <x:v>C012 Hot-high lift</x:v>
      </x:c>
      <x:c r="C18" s="34" t="n">
        <x:f>'Lift Cells and Geometry'!C28</x:f>
        <x:v>862.6</x:v>
      </x:c>
      <x:c r="D18" s="34" t="n">
        <x:v>862.6</x:v>
      </x:c>
      <x:c r="E18" s="34" t="n">
        <x:f>C18-D18</x:f>
        <x:v>0</x:v>
      </x:c>
      <x:c r="F18" s="34" t="str">
        <x:f>IF(ABS(E18)&lt;=0.001,"PASS","FAIL")</x:f>
        <x:v>PASS</x:v>
      </x:c>
      <x:c r="G18" s="35" t="str">
        <x:v>t</x:v>
      </x:c>
    </x:row>
    <x:row r="19">
      <x:c r="B19" s="34" t="str">
        <x:v>C013 Cold-dense lift</x:v>
      </x:c>
      <x:c r="C19" s="34" t="n">
        <x:f>'Lift Cells and Geometry'!C29</x:f>
        <x:v>1078.25</x:v>
      </x:c>
      <x:c r="D19" s="34" t="n">
        <x:v>1078.25</x:v>
      </x:c>
      <x:c r="E19" s="34" t="n">
        <x:f>C19-D19</x:f>
        <x:v>0</x:v>
      </x:c>
      <x:c r="F19" s="34" t="str">
        <x:f>IF(ABS(E19)&lt;=0.001,"PASS","FAIL")</x:f>
        <x:v>PASS</x:v>
      </x:c>
      <x:c r="G19" s="35" t="str">
        <x:v>t</x:v>
      </x:c>
    </x:row>
    <x:row r="20">
      <x:c r="B20" s="34" t="str">
        <x:v>C014 Lift cells</x:v>
      </x:c>
      <x:c r="C20" s="34" t="n">
        <x:f>Assumptions!C24</x:f>
        <x:v>24</x:v>
      </x:c>
      <x:c r="D20" s="34" t="n">
        <x:v>24</x:v>
      </x:c>
      <x:c r="E20" s="34" t="n">
        <x:f>C20-D20</x:f>
        <x:v>0</x:v>
      </x:c>
      <x:c r="F20" s="34" t="str">
        <x:f>IF(ABS(E20)&lt;=0.001,"PASS","FAIL")</x:f>
        <x:v>PASS</x:v>
      </x:c>
      <x:c r="G20" s="35" t="str">
        <x:v>cells</x:v>
      </x:c>
    </x:row>
    <x:row r="21">
      <x:c r="B21" s="34" t="str">
        <x:v>C015 Lift trains</x:v>
      </x:c>
      <x:c r="C21" s="34" t="n">
        <x:f>Assumptions!C25</x:f>
        <x:v>6</x:v>
      </x:c>
      <x:c r="D21" s="34" t="n">
        <x:v>6</x:v>
      </x:c>
      <x:c r="E21" s="34" t="n">
        <x:f>C21-D21</x:f>
        <x:v>0</x:v>
      </x:c>
      <x:c r="F21" s="34" t="str">
        <x:f>IF(ABS(E21)&lt;=0.001,"PASS","FAIL")</x:f>
        <x:v>PASS</x:v>
      </x:c>
      <x:c r="G21" s="35" t="str">
        <x:v>trains</x:v>
      </x:c>
    </x:row>
    <x:row r="22">
      <x:c r="B22" s="34" t="str">
        <x:v>C016 Hot-high dynamic demand below capacity</x:v>
      </x:c>
      <x:c r="C22" s="34" t="n">
        <x:f>IF('Mass and Lift'!J16&lt;='Mass and Lift'!J17,1,0)</x:f>
        <x:v>1</x:v>
      </x:c>
      <x:c r="D22" s="34" t="n">
        <x:v>1</x:v>
      </x:c>
      <x:c r="E22" s="34" t="n">
        <x:f>C22-D22</x:f>
        <x:v>0</x:v>
      </x:c>
      <x:c r="F22" s="34" t="str">
        <x:f>IF(ABS(E22)&lt;=0.001,"PASS","FAIL")</x:f>
        <x:v>PASS</x:v>
      </x:c>
      <x:c r="G22" s="35" t="str">
        <x:v>binary</x:v>
      </x:c>
    </x:row>
    <x:row r="23">
      <x:c r="B23" s="34" t="str">
        <x:v>C017 One-cell demand below capacity</x:v>
      </x:c>
      <x:c r="C23" s="34" t="n">
        <x:f>IF('Mass and Lift'!J19&lt;='Mass and Lift'!J17,1,0)</x:f>
        <x:v>1</x:v>
      </x:c>
      <x:c r="D23" s="34" t="n">
        <x:v>1</x:v>
      </x:c>
      <x:c r="E23" s="34" t="n">
        <x:f>C23-D23</x:f>
        <x:v>0</x:v>
      </x:c>
      <x:c r="F23" s="34" t="str">
        <x:f>IF(ABS(E23)&lt;=0.001,"PASS","FAIL")</x:f>
        <x:v>PASS</x:v>
      </x:c>
      <x:c r="G23" s="35" t="str">
        <x:v>binary</x:v>
      </x:c>
    </x:row>
    <x:row r="24">
      <x:c r="B24" s="34" t="str">
        <x:v>C018 Total lift reserve floor</x:v>
      </x:c>
      <x:c r="C24" s="34" t="n">
        <x:f>IF('Mass and Lift'!J18&gt;=Assumptions!C32,1,0)</x:f>
        <x:v>1</x:v>
      </x:c>
      <x:c r="D24" s="34" t="n">
        <x:v>1</x:v>
      </x:c>
      <x:c r="E24" s="34" t="n">
        <x:f>C24-D24</x:f>
        <x:v>0</x:v>
      </x:c>
      <x:c r="F24" s="34" t="str">
        <x:f>IF(ABS(E24)&lt;=0.001,"PASS","FAIL")</x:f>
        <x:v>PASS</x:v>
      </x:c>
      <x:c r="G24" s="35" t="str">
        <x:v>binary</x:v>
      </x:c>
    </x:row>
    <x:row r="25">
      <x:c r="B25" s="34" t="str">
        <x:v>C019 Onboard energy positive</x:v>
      </x:c>
      <x:c r="C25" s="34" t="n">
        <x:f>IF('Energy and Propulsion'!C22&gt;0,1,0)</x:f>
        <x:v>1</x:v>
      </x:c>
      <x:c r="D25" s="34" t="n">
        <x:v>1</x:v>
      </x:c>
      <x:c r="E25" s="34" t="n">
        <x:f>C25-D25</x:f>
        <x:v>0</x:v>
      </x:c>
      <x:c r="F25" s="34" t="str">
        <x:f>IF(ABS(E25)&lt;=0.001,"PASS","FAIL")</x:f>
        <x:v>PASS</x:v>
      </x:c>
      <x:c r="G25" s="35" t="str">
        <x:v>binary</x:v>
      </x:c>
    </x:row>
    <x:row r="26">
      <x:c r="B26" s="34" t="str">
        <x:v>C020 Cruise time</x:v>
      </x:c>
      <x:c r="C26" s="34" t="n">
        <x:f>'Energy and Propulsion'!C9</x:f>
        <x:v>16.666666666666668</x:v>
      </x:c>
      <x:c r="D26" s="34" t="n">
        <x:v>16.666666667</x:v>
      </x:c>
      <x:c r="E26" s="34" t="n">
        <x:f>C26-D26</x:f>
        <x:v>-3.33333360913457e-10</x:v>
      </x:c>
      <x:c r="F26" s="34" t="str">
        <x:f>IF(ABS(E26)&lt;=0.001,"PASS","FAIL")</x:f>
        <x:v>PASS</x:v>
      </x:c>
      <x:c r="G26" s="35" t="str">
        <x:v>h</x:v>
      </x:c>
    </x:row>
    <x:row r="27">
      <x:c r="B27" s="34" t="str">
        <x:v>C021 N-2 placement power</x:v>
      </x:c>
      <x:c r="C27" s="34" t="n">
        <x:f>'Energy and Propulsion'!L10-'Energy and Propulsion'!M10</x:f>
        <x:v>20</x:v>
      </x:c>
      <x:c r="D27" s="34" t="n">
        <x:v>20</x:v>
      </x:c>
      <x:c r="E27" s="34" t="n">
        <x:f>C27-D27</x:f>
        <x:v>0</x:v>
      </x:c>
      <x:c r="F27" s="34" t="str">
        <x:f>IF(ABS(E27)&lt;=0.001,"PASS","FAIL")</x:f>
        <x:v>PASS</x:v>
      </x:c>
      <x:c r="G27" s="35" t="str">
        <x:v>MW margin</x:v>
      </x:c>
    </x:row>
    <x:row r="28">
      <x:c r="B28" s="34" t="str">
        <x:v>C022 One-bus power</x:v>
      </x:c>
      <x:c r="C28" s="34" t="n">
        <x:f>'Energy and Propulsion'!L11</x:f>
        <x:v>160</x:v>
      </x:c>
      <x:c r="D28" s="34" t="n">
        <x:v>160</x:v>
      </x:c>
      <x:c r="E28" s="34" t="n">
        <x:f>C28-D28</x:f>
        <x:v>0</x:v>
      </x:c>
      <x:c r="F28" s="34" t="str">
        <x:f>IF(ABS(E28)&lt;=0.001,"PASS","FAIL")</x:f>
        <x:v>PASS</x:v>
      </x:c>
      <x:c r="G28" s="35" t="str">
        <x:v>MW</x:v>
      </x:c>
    </x:row>
    <x:row r="29">
      <x:c r="B29" s="34" t="str">
        <x:v>C023 Route heat margin</x:v>
      </x:c>
      <x:c r="C29" s="34" t="n">
        <x:f>'Heat Rejection'!H7</x:f>
        <x:v>31.923567616336904</x:v>
      </x:c>
      <x:c r="D29" s="34" t="n">
        <x:v>32.59</x:v>
      </x:c>
      <x:c r="E29" s="34" t="n">
        <x:f>C29-D29</x:f>
        <x:v>-0.6664323836630999</x:v>
      </x:c>
      <x:c r="F29" s="34" t="str">
        <x:f>IF(ABS(E29)&lt;=1,"PASS","FAIL")</x:f>
        <x:v>PASS</x:v>
      </x:c>
      <x:c r="G29" s="35" t="str">
        <x:v>MW approximate</x:v>
      </x:c>
    </x:row>
    <x:row r="30">
      <x:c r="B30" s="34" t="str">
        <x:v>C024 Stationary heat margin positive</x:v>
      </x:c>
      <x:c r="C30" s="34" t="n">
        <x:f>IF('Heat Rejection'!H8&gt;=0,1,0)</x:f>
        <x:v>1</x:v>
      </x:c>
      <x:c r="D30" s="34" t="n">
        <x:v>1</x:v>
      </x:c>
      <x:c r="E30" s="34" t="n">
        <x:f>C30-D30</x:f>
        <x:v>0</x:v>
      </x:c>
      <x:c r="F30" s="34" t="str">
        <x:f>IF(ABS(E30)&lt;=0.001,"PASS","FAIL")</x:f>
        <x:v>PASS</x:v>
      </x:c>
      <x:c r="G30" s="35" t="str">
        <x:v>binary</x:v>
      </x:c>
    </x:row>
    <x:row r="31">
      <x:c r="B31" s="34" t="str">
        <x:v>C025 Radiator structural mass</x:v>
      </x:c>
      <x:c r="C31" s="34" t="n">
        <x:f>'Heat Rejection'!C28</x:f>
        <x:v>32.00000016</x:v>
      </x:c>
      <x:c r="D31" s="34" t="n">
        <x:v>32</x:v>
      </x:c>
      <x:c r="E31" s="34" t="n">
        <x:f>C31-D31</x:f>
        <x:v>1.5999999902760464e-7</x:v>
      </x:c>
      <x:c r="F31" s="34" t="str">
        <x:f>IF(ABS(E31)&lt;=0.001,"PASS","FAIL")</x:f>
        <x:v>PASS</x:v>
      </x:c>
      <x:c r="G31" s="35" t="str">
        <x:v>t</x:v>
      </x:c>
    </x:row>
    <x:row r="32">
      <x:c r="B32" s="34" t="str">
        <x:v>C026 Cold support change positive</x:v>
      </x:c>
      <x:c r="C32" s="34" t="n">
        <x:f>IF('Offload Transient'!C11&gt;0,1,0)</x:f>
        <x:v>1</x:v>
      </x:c>
      <x:c r="D32" s="34" t="n">
        <x:v>1</x:v>
      </x:c>
      <x:c r="E32" s="34" t="n">
        <x:f>C32-D32</x:f>
        <x:v>0</x:v>
      </x:c>
      <x:c r="F32" s="34" t="str">
        <x:f>IF(ABS(E32)&lt;=0.001,"PASS","FAIL")</x:f>
        <x:v>PASS</x:v>
      </x:c>
      <x:c r="G32" s="35" t="str">
        <x:v>binary</x:v>
      </x:c>
    </x:row>
    <x:row r="33">
      <x:c r="B33" s="34" t="str">
        <x:v>C027 Conversion H2 below N-1 capacity</x:v>
      </x:c>
      <x:c r="C33" s="34" t="n">
        <x:f>IF('Offload Transient'!C13&lt;=Assumptions!C26*5/6,1,0)</x:f>
        <x:v>1</x:v>
      </x:c>
      <x:c r="D33" s="34" t="n">
        <x:v>1</x:v>
      </x:c>
      <x:c r="E33" s="34" t="n">
        <x:f>C33-D33</x:f>
        <x:v>0</x:v>
      </x:c>
      <x:c r="F33" s="34" t="str">
        <x:f>IF(ABS(E33)&lt;=0.001,"PASS","FAIL")</x:f>
        <x:v>PASS</x:v>
      </x:c>
      <x:c r="G33" s="35" t="str">
        <x:v>binary</x:v>
      </x:c>
    </x:row>
    <x:row r="34">
      <x:c r="B34" s="34" t="str">
        <x:v>C028 Conversion time inside unload</x:v>
      </x:c>
      <x:c r="C34" s="34" t="n">
        <x:f>IF('Offload Transient'!C17&lt;=Assumptions!C42,1,0)</x:f>
        <x:v>1</x:v>
      </x:c>
      <x:c r="D34" s="34" t="n">
        <x:v>1</x:v>
      </x:c>
      <x:c r="E34" s="34" t="n">
        <x:f>C34-D34</x:f>
        <x:v>0</x:v>
      </x:c>
      <x:c r="F34" s="34" t="str">
        <x:f>IF(ABS(E34)&lt;=0.001,"PASS","FAIL")</x:f>
        <x:v>PASS</x:v>
      </x:c>
      <x:c r="G34" s="35" t="str">
        <x:v>binary</x:v>
      </x:c>
    </x:row>
    <x:row r="35">
      <x:c r="B35" s="34" t="str">
        <x:v>C029 Conversion authority margin positive</x:v>
      </x:c>
      <x:c r="C35" s="34" t="n">
        <x:f>IF('Offload Transient'!C19&gt;=0,1,0)</x:f>
        <x:v>1</x:v>
      </x:c>
      <x:c r="D35" s="34" t="n">
        <x:v>1</x:v>
      </x:c>
      <x:c r="E35" s="34" t="n">
        <x:f>C35-D35</x:f>
        <x:v>0</x:v>
      </x:c>
      <x:c r="F35" s="34" t="str">
        <x:f>IF(ABS(E35)&lt;=0.001,"PASS","FAIL")</x:f>
        <x:v>PASS</x:v>
      </x:c>
      <x:c r="G35" s="35" t="str">
        <x:v>binary</x:v>
      </x:c>
    </x:row>
    <x:row r="36">
      <x:c r="B36" s="34" t="str">
        <x:v>C030 Conversion electrical energy offsets most placement demand</x:v>
      </x:c>
      <x:c r="C36" s="34" t="n">
        <x:f>IF('Offload Transient'!C20&gt;=0.8*Assumptions!C41*Assumptions!C42,1,0)</x:f>
        <x:v>1</x:v>
      </x:c>
      <x:c r="D36" s="34" t="n">
        <x:v>1</x:v>
      </x:c>
      <x:c r="E36" s="34" t="n">
        <x:f>C36-D36</x:f>
        <x:v>0</x:v>
      </x:c>
      <x:c r="F36" s="34" t="str">
        <x:f>IF(ABS(E36)&lt;=0.001,"PASS","FAIL")</x:f>
        <x:v>PASS</x:v>
      </x:c>
      <x:c r="G36" s="35" t="str">
        <x:v>binary</x:v>
      </x:c>
    </x:row>
    <x:row r="37">
      <x:c r="B37" s="34" t="str">
        <x:v>C031 Cold final reaction</x:v>
      </x:c>
      <x:c r="C37" s="34" t="n">
        <x:f>'Offload Transient'!P12</x:f>
        <x:v>120</x:v>
      </x:c>
      <x:c r="D37" s="34" t="n">
        <x:v>120</x:v>
      </x:c>
      <x:c r="E37" s="34" t="n">
        <x:f>C37-D37</x:f>
        <x:v>0</x:v>
      </x:c>
      <x:c r="F37" s="34" t="str">
        <x:f>IF(ABS(E37)&lt;=0.001,"PASS","FAIL")</x:f>
        <x:v>PASS</x:v>
      </x:c>
      <x:c r="G37" s="35" t="str">
        <x:v>t</x:v>
      </x:c>
    </x:row>
    <x:row r="38">
      <x:c r="B38" s="34" t="str">
        <x:v>C032 Rated arrival bearing pass</x:v>
      </x:c>
      <x:c r="C38" s="34" t="n">
        <x:f>IF('Landing Contact'!K7="PASS",1,0)</x:f>
        <x:v>1</x:v>
      </x:c>
      <x:c r="D38" s="34" t="n">
        <x:v>1</x:v>
      </x:c>
      <x:c r="E38" s="34" t="n">
        <x:f>C38-D38</x:f>
        <x:v>0</x:v>
      </x:c>
      <x:c r="F38" s="34" t="str">
        <x:f>IF(ABS(E38)&lt;=0.001,"PASS","FAIL")</x:f>
        <x:v>PASS</x:v>
      </x:c>
      <x:c r="G38" s="35" t="str">
        <x:v>binary</x:v>
      </x:c>
    </x:row>
    <x:row r="39">
      <x:c r="B39" s="34" t="str">
        <x:v>C033 One-foot bearing pass</x:v>
      </x:c>
      <x:c r="C39" s="34" t="n">
        <x:f>IF('Landing Contact'!K9="PASS",1,0)</x:f>
        <x:v>1</x:v>
      </x:c>
      <x:c r="D39" s="34" t="n">
        <x:v>1</x:v>
      </x:c>
      <x:c r="E39" s="34" t="n">
        <x:f>C39-D39</x:f>
        <x:v>0</x:v>
      </x:c>
      <x:c r="F39" s="34" t="str">
        <x:f>IF(ABS(E39)&lt;=0.001,"PASS","FAIL")</x:f>
        <x:v>PASS</x:v>
      </x:c>
      <x:c r="G39" s="35" t="str">
        <x:v>binary</x:v>
      </x:c>
    </x:row>
    <x:row r="40">
      <x:c r="B40" s="34" t="str">
        <x:v>C034 No-anchor resistance margin positive</x:v>
      </x:c>
      <x:c r="C40" s="34" t="n">
        <x:f>IF('Mooring and Gust'!C13&gt;=0,1,0)</x:f>
        <x:v>1</x:v>
      </x:c>
      <x:c r="D40" s="34" t="n">
        <x:v>1</x:v>
      </x:c>
      <x:c r="E40" s="34" t="n">
        <x:f>C40-D40</x:f>
        <x:v>0</x:v>
      </x:c>
      <x:c r="F40" s="34" t="str">
        <x:f>IF(ABS(E40)&lt;=0.001,"PASS","FAIL")</x:f>
        <x:v>PASS</x:v>
      </x:c>
      <x:c r="G40" s="35" t="str">
        <x:v>binary</x:v>
      </x:c>
    </x:row>
    <x:row r="41">
      <x:c r="B41" s="34" t="str">
        <x:v>C035 N-2 gust pass</x:v>
      </x:c>
      <x:c r="C41" s="34" t="n">
        <x:f>IF('Mooring and Gust'!O11="PASS",1,0)</x:f>
        <x:v>1</x:v>
      </x:c>
      <x:c r="D41" s="34" t="n">
        <x:v>1</x:v>
      </x:c>
      <x:c r="E41" s="34" t="n">
        <x:f>C41-D41</x:f>
        <x:v>0</x:v>
      </x:c>
      <x:c r="F41" s="34" t="str">
        <x:f>IF(ABS(E41)&lt;=0.001,"PASS","FAIL")</x:f>
        <x:v>PASS</x:v>
      </x:c>
      <x:c r="G41" s="35" t="str">
        <x:v>binary</x:v>
      </x:c>
    </x:row>
    <x:row r="42">
      <x:c r="B42" s="34" t="str">
        <x:v>C036 Payload longitudinal CG lower</x:v>
      </x:c>
      <x:c r="C42" s="34" t="n">
        <x:f>IF('Payload and Balance'!C33&gt;=135,1,0)</x:f>
        <x:v>1</x:v>
      </x:c>
      <x:c r="D42" s="34" t="n">
        <x:v>1</x:v>
      </x:c>
      <x:c r="E42" s="34" t="n">
        <x:f>C42-D42</x:f>
        <x:v>0</x:v>
      </x:c>
      <x:c r="F42" s="34" t="str">
        <x:f>IF(ABS(E42)&lt;=0.001,"PASS","FAIL")</x:f>
        <x:v>PASS</x:v>
      </x:c>
      <x:c r="G42" s="35" t="str">
        <x:v>binary</x:v>
      </x:c>
    </x:row>
    <x:row r="43">
      <x:c r="B43" s="34" t="str">
        <x:v>C037 Payload longitudinal CG upper</x:v>
      </x:c>
      <x:c r="C43" s="34" t="n">
        <x:f>IF('Payload and Balance'!C33&lt;=165,1,0)</x:f>
        <x:v>1</x:v>
      </x:c>
      <x:c r="D43" s="34" t="n">
        <x:v>1</x:v>
      </x:c>
      <x:c r="E43" s="34" t="n">
        <x:f>C43-D43</x:f>
        <x:v>0</x:v>
      </x:c>
      <x:c r="F43" s="34" t="str">
        <x:f>IF(ABS(E43)&lt;=0.001,"PASS","FAIL")</x:f>
        <x:v>PASS</x:v>
      </x:c>
      <x:c r="G43" s="35" t="str">
        <x:v>binary</x:v>
      </x:c>
    </x:row>
    <x:row r="44">
      <x:c r="B44" s="34" t="str">
        <x:v>C038 Payload lateral CG</x:v>
      </x:c>
      <x:c r="C44" s="34" t="n">
        <x:f>IF(ABS('Payload and Balance'!C34)&lt;=0.35,1,0)</x:f>
        <x:v>1</x:v>
      </x:c>
      <x:c r="D44" s="34" t="n">
        <x:v>1</x:v>
      </x:c>
      <x:c r="E44" s="34" t="n">
        <x:f>C44-D44</x:f>
        <x:v>0</x:v>
      </x:c>
      <x:c r="F44" s="34" t="str">
        <x:f>IF(ABS(E44)&lt;=0.001,"PASS","FAIL")</x:f>
        <x:v>PASS</x:v>
      </x:c>
      <x:c r="G44" s="35" t="str">
        <x:v>binary</x:v>
      </x:c>
    </x:row>
    <x:row r="45">
      <x:c r="B45" s="34" t="str">
        <x:v>C039 Crew total</x:v>
      </x:c>
      <x:c r="C45" s="34" t="n">
        <x:f>'Crew and Casualty'!C14</x:f>
        <x:v>16</x:v>
      </x:c>
      <x:c r="D45" s="34" t="n">
        <x:v>16</x:v>
      </x:c>
      <x:c r="E45" s="34" t="n">
        <x:f>C45-D45</x:f>
        <x:v>0</x:v>
      </x:c>
      <x:c r="F45" s="34" t="str">
        <x:f>IF(ABS(E45)&lt;=0.001,"PASS","FAIL")</x:f>
        <x:v>PASS</x:v>
      </x:c>
      <x:c r="G45" s="35" t="str">
        <x:v>people</x:v>
      </x:c>
    </x:row>
    <x:row r="46">
      <x:c r="B46" s="34" t="str">
        <x:v>C040 Crew refuges</x:v>
      </x:c>
      <x:c r="C46" s="34" t="n">
        <x:f>'Crew and Casualty'!C15</x:f>
        <x:v>2</x:v>
      </x:c>
      <x:c r="D46" s="34" t="n">
        <x:v>2</x:v>
      </x:c>
      <x:c r="E46" s="34" t="n">
        <x:f>C46-D46</x:f>
        <x:v>0</x:v>
      </x:c>
      <x:c r="F46" s="34" t="str">
        <x:f>IF(ABS(E46)&lt;=0.001,"PASS","FAIL")</x:f>
        <x:v>PASS</x:v>
      </x:c>
      <x:c r="G46" s="35" t="str">
        <x:v>refuges</x:v>
      </x:c>
    </x:row>
    <x:row r="47">
      <x:c r="B47" s="34" t="str">
        <x:v>C041 Crew exits</x:v>
      </x:c>
      <x:c r="C47" s="34" t="n">
        <x:f>'Crew and Casualty'!C16</x:f>
        <x:v>4</x:v>
      </x:c>
      <x:c r="D47" s="34" t="n">
        <x:v>4</x:v>
      </x:c>
      <x:c r="E47" s="34" t="n">
        <x:f>C47-D47</x:f>
        <x:v>0</x:v>
      </x:c>
      <x:c r="F47" s="34" t="str">
        <x:f>IF(ABS(E47)&lt;=0.001,"PASS","FAIL")</x:f>
        <x:v>PASS</x:v>
      </x:c>
      <x:c r="G47" s="35" t="str">
        <x:v>paths</x:v>
      </x:c>
    </x:row>
    <x:row r="48">
      <x:c r="B48" s="34" t="str">
        <x:v>C042 Nominal DCP effect</x:v>
      </x:c>
      <x:c r="C48" s="34" t="n">
        <x:f>'Crew and Casualty'!O8</x:f>
        <x:v>1</x:v>
      </x:c>
      <x:c r="D48" s="34" t="n">
        <x:v>1</x:v>
      </x:c>
      <x:c r="E48" s="34" t="n">
        <x:f>C48-D48</x:f>
        <x:v>0</x:v>
      </x:c>
      <x:c r="F48" s="34" t="str">
        <x:f>IF(ABS(E48)&lt;=0.001,"PASS","FAIL")</x:f>
        <x:v>PASS</x:v>
      </x:c>
      <x:c r="G48" s="35" t="str">
        <x:v>binary</x:v>
      </x:c>
    </x:row>
    <x:row r="49">
      <x:c r="B49" s="34" t="str">
        <x:v>C043 Dual-mode denial stops</x:v>
      </x:c>
      <x:c r="C49" s="34" t="n">
        <x:f>'Crew and Casualty'!O27</x:f>
        <x:v>0</x:v>
      </x:c>
      <x:c r="D49" s="34" t="n">
        <x:v>0</x:v>
      </x:c>
      <x:c r="E49" s="34" t="n">
        <x:f>C49-D49</x:f>
        <x:v>0</x:v>
      </x:c>
      <x:c r="F49" s="34" t="str">
        <x:f>IF(ABS(E49)&lt;=0.001,"PASS","FAIL")</x:f>
        <x:v>PASS</x:v>
      </x:c>
      <x:c r="G49" s="35" t="str">
        <x:v>binary</x:v>
      </x:c>
    </x:row>
    <x:row r="50">
      <x:c r="B50" s="34" t="str">
        <x:v>C044 Relative air service</x:v>
      </x:c>
      <x:c r="C50" s="34" t="n">
        <x:f>'Receiver and Clock'!C15</x:f>
        <x:v>41.91666666666667</x:v>
      </x:c>
      <x:c r="D50" s="34" t="n">
        <x:v>41.916666667</x:v>
      </x:c>
      <x:c r="E50" s="34" t="n">
        <x:f>C50-D50</x:f>
        <x:v>-3.333298081997782e-10</x:v>
      </x:c>
      <x:c r="F50" s="34" t="str">
        <x:f>IF(ABS(E50)&lt;=0.001,"PASS","FAIL")</x:f>
        <x:v>PASS</x:v>
      </x:c>
      <x:c r="G50" s="35" t="str">
        <x:v>h</x:v>
      </x:c>
    </x:row>
    <x:row r="51">
      <x:c r="B51" s="34" t="str">
        <x:v>C045 Relative air margin positive</x:v>
      </x:c>
      <x:c r="C51" s="34" t="n">
        <x:f>IF('Receiver and Clock'!C16&gt;=0,1,0)</x:f>
        <x:v>1</x:v>
      </x:c>
      <x:c r="D51" s="34" t="n">
        <x:v>1</x:v>
      </x:c>
      <x:c r="E51" s="34" t="n">
        <x:f>C51-D51</x:f>
        <x:v>0</x:v>
      </x:c>
      <x:c r="F51" s="34" t="str">
        <x:f>IF(ABS(E51)&lt;=0.001,"PASS","FAIL")</x:f>
        <x:v>PASS</x:v>
      </x:c>
      <x:c r="G51" s="35" t="str">
        <x:v>binary</x:v>
      </x:c>
    </x:row>
    <x:row r="52">
      <x:c r="B52" s="34" t="str">
        <x:v>C046 Absolute air service</x:v>
      </x:c>
      <x:c r="C52" s="34" t="n">
        <x:f>'Receiver and Clock'!C17</x:f>
        <x:v>47.91666666666667</x:v>
      </x:c>
      <x:c r="D52" s="34" t="n">
        <x:v>47.916666667</x:v>
      </x:c>
      <x:c r="E52" s="34" t="n">
        <x:f>C52-D52</x:f>
        <x:v>-3.333298081997782e-10</x:v>
      </x:c>
      <x:c r="F52" s="34" t="str">
        <x:f>IF(ABS(E52)&lt;=0.001,"PASS","FAIL")</x:f>
        <x:v>PASS</x:v>
      </x:c>
      <x:c r="G52" s="35" t="str">
        <x:v>h</x:v>
      </x:c>
    </x:row>
    <x:row r="53">
      <x:c r="B53" s="34" t="str">
        <x:v>C047 Two-mode service</x:v>
      </x:c>
      <x:c r="C53" s="34" t="n">
        <x:f>'Receiver and Clock'!C20</x:f>
        <x:v>49.57</x:v>
      </x:c>
      <x:c r="D53" s="34" t="n">
        <x:v>49.57</x:v>
      </x:c>
      <x:c r="E53" s="34" t="n">
        <x:f>C53-D53</x:f>
        <x:v>0</x:v>
      </x:c>
      <x:c r="F53" s="34" t="str">
        <x:f>IF(ABS(E53)&lt;=0.001,"PASS","FAIL")</x:f>
        <x:v>PASS</x:v>
      </x:c>
      <x:c r="G53" s="35" t="str">
        <x:v>h</x:v>
      </x:c>
    </x:row>
    <x:row r="54">
      <x:c r="B54" s="34" t="str">
        <x:v>C048 Two-mode deadline margin</x:v>
      </x:c>
      <x:c r="C54" s="34" t="n">
        <x:f>'Receiver and Clock'!C21</x:f>
        <x:v>4.43</x:v>
      </x:c>
      <x:c r="D54" s="34" t="n">
        <x:v>4.43</x:v>
      </x:c>
      <x:c r="E54" s="34" t="n">
        <x:f>C54-D54</x:f>
        <x:v>0</x:v>
      </x:c>
      <x:c r="F54" s="34" t="str">
        <x:f>IF(ABS(E54)&lt;=0.001,"PASS","FAIL")</x:f>
        <x:v>PASS</x:v>
      </x:c>
      <x:c r="G54" s="35" t="str">
        <x:v>h</x:v>
      </x:c>
    </x:row>
    <x:row r="55">
      <x:c r="B55" s="34" t="str">
        <x:v>C049 Critical reset</x:v>
      </x:c>
      <x:c r="C55" s="34" t="n">
        <x:f>'Reset and Workforce'!C17</x:f>
        <x:v>162</x:v>
      </x:c>
      <x:c r="D55" s="34" t="n">
        <x:v>162</x:v>
      </x:c>
      <x:c r="E55" s="34" t="n">
        <x:f>C55-D55</x:f>
        <x:v>0</x:v>
      </x:c>
      <x:c r="F55" s="34" t="str">
        <x:f>IF(ABS(E55)&lt;=0.001,"PASS","FAIL")</x:f>
        <x:v>PASS</x:v>
      </x:c>
      <x:c r="G55" s="35" t="str">
        <x:v>h</x:v>
      </x:c>
    </x:row>
    <x:row r="56">
      <x:c r="B56" s="34" t="str">
        <x:v>C050 Reset margin</x:v>
      </x:c>
      <x:c r="C56" s="34" t="n">
        <x:f>'Reset and Workforce'!E17</x:f>
        <x:v>6</x:v>
      </x:c>
      <x:c r="D56" s="34" t="n">
        <x:v>6</x:v>
      </x:c>
      <x:c r="E56" s="34" t="n">
        <x:f>C56-D56</x:f>
        <x:v>0</x:v>
      </x:c>
      <x:c r="F56" s="34" t="str">
        <x:f>IF(ABS(E56)&lt;=0.001,"PASS","FAIL")</x:f>
        <x:v>PASS</x:v>
      </x:c>
      <x:c r="G56" s="35" t="str">
        <x:v>h</x:v>
      </x:c>
    </x:row>
    <x:row r="57">
      <x:c r="B57" s="34" t="str">
        <x:v>C051 Complete HBL deployed addition</x:v>
      </x:c>
      <x:c r="C57" s="34" t="n">
        <x:f>'Reset and Workforce'!J16</x:f>
        <x:v>100</x:v>
      </x:c>
      <x:c r="D57" s="34" t="n">
        <x:v>100</x:v>
      </x:c>
      <x:c r="E57" s="34" t="n">
        <x:f>C57-D57</x:f>
        <x:v>0</x:v>
      </x:c>
      <x:c r="F57" s="34" t="str">
        <x:f>IF(ABS(E57)&lt;=0.001,"PASS","FAIL")</x:f>
        <x:v>PASS</x:v>
      </x:c>
      <x:c r="G57" s="35" t="str">
        <x:v>people</x:v>
      </x:c>
    </x:row>
    <x:row r="58">
      <x:c r="B58" s="34" t="str">
        <x:v>C052 Complete HBL affiliated addition</x:v>
      </x:c>
      <x:c r="C58" s="34" t="n">
        <x:f>'Reset and Workforce'!K16</x:f>
        <x:v>234</x:v>
      </x:c>
      <x:c r="D58" s="34" t="n">
        <x:v>234</x:v>
      </x:c>
      <x:c r="E58" s="34" t="n">
        <x:f>C58-D58</x:f>
        <x:v>0</x:v>
      </x:c>
      <x:c r="F58" s="34" t="str">
        <x:f>IF(ABS(E58)&lt;=0.001,"PASS","FAIL")</x:f>
        <x:v>PASS</x:v>
      </x:c>
      <x:c r="G58" s="35" t="str">
        <x:v>positions</x:v>
      </x:c>
    </x:row>
    <x:row r="59">
      <x:c r="B59" s="34" t="str">
        <x:v>C053 Complete HBL watch addition</x:v>
      </x:c>
      <x:c r="C59" s="34" t="n">
        <x:f>'Reset and Workforce'!L16</x:f>
        <x:v>34</x:v>
      </x:c>
      <x:c r="D59" s="34" t="n">
        <x:v>34</x:v>
      </x:c>
      <x:c r="E59" s="34" t="n">
        <x:f>C59-D59</x:f>
        <x:v>0</x:v>
      </x:c>
      <x:c r="F59" s="34" t="str">
        <x:f>IF(ABS(E59)&lt;=0.001,"PASS","FAIL")</x:f>
        <x:v>PASS</x:v>
      </x:c>
      <x:c r="G59" s="35" t="str">
        <x:v>people</x:v>
      </x:c>
    </x:row>
    <x:row r="60">
      <x:c r="B60" s="34" t="str">
        <x:v>C054 GCH program</x:v>
      </x:c>
      <x:c r="C60" s="34" t="n">
        <x:f>'Production and Cost'!F20</x:f>
        <x:v>1729.7432</x:v>
      </x:c>
      <x:c r="D60" s="34" t="n">
        <x:v>1729.7432</x:v>
      </x:c>
      <x:c r="E60" s="34" t="n">
        <x:f>C60-D60</x:f>
        <x:v>0</x:v>
      </x:c>
      <x:c r="F60" s="34" t="str">
        <x:f>IF(ABS(E60)&lt;=0.001,"PASS","FAIL")</x:f>
        <x:v>PASS</x:v>
      </x:c>
      <x:c r="G60" s="35" t="str">
        <x:v>$B</x:v>
      </x:c>
    </x:row>
    <x:row r="61">
      <x:c r="B61" s="34" t="str">
        <x:v>C055 Revised DCP-2</x:v>
      </x:c>
      <x:c r="C61" s="34" t="n">
        <x:f>'Production and Cost'!C30</x:f>
        <x:v>3777.3010999999997</x:v>
      </x:c>
      <x:c r="D61" s="34" t="n">
        <x:v>3777.3011</x:v>
      </x:c>
      <x:c r="E61" s="34" t="n">
        <x:f>C61-D61</x:f>
        <x:v>-4.547473508864641e-13</x:v>
      </x:c>
      <x:c r="F61" s="34" t="str">
        <x:f>IF(ABS(E61)&lt;=0.001,"PASS","FAIL")</x:f>
        <x:v>PASS</x:v>
      </x:c>
      <x:c r="G61" s="35" t="str">
        <x:v>$B</x:v>
      </x:c>
    </x:row>
    <x:row r="62">
      <x:c r="B62" s="34" t="str">
        <x:v>C056 Revised national boundary</x:v>
      </x:c>
      <x:c r="C62" s="34" t="n">
        <x:f>'Production and Cost'!C32</x:f>
        <x:v>11160.44265</x:v>
      </x:c>
      <x:c r="D62" s="34" t="n">
        <x:v>11160.44265</x:v>
      </x:c>
      <x:c r="E62" s="34" t="n">
        <x:f>C62-D62</x:f>
        <x:v>0</x:v>
      </x:c>
      <x:c r="F62" s="34" t="str">
        <x:f>IF(ABS(E62)&lt;=0.001,"PASS","FAIL")</x:f>
        <x:v>PASS</x:v>
      </x:c>
      <x:c r="G62" s="35" t="str">
        <x:v>$B</x:v>
      </x:c>
    </x:row>
    <x:row r="63">
      <x:c r="B63" s="34" t="str">
        <x:v>C057 Article production total</x:v>
      </x:c>
      <x:c r="C63" s="34" t="n">
        <x:f>'Production and Cost'!D61</x:f>
        <x:v>118</x:v>
      </x:c>
      <x:c r="D63" s="34" t="n">
        <x:v>118</x:v>
      </x:c>
      <x:c r="E63" s="34" t="n">
        <x:f>C63-D63</x:f>
        <x:v>0</x:v>
      </x:c>
      <x:c r="F63" s="34" t="str">
        <x:f>IF(ABS(E63)&lt;=0.001,"PASS","FAIL")</x:f>
        <x:v>PASS</x:v>
      </x:c>
      <x:c r="G63" s="35" t="str">
        <x:v>vehicles</x:v>
      </x:c>
    </x:row>
    <x:row r="64">
      <x:c r="B64" s="34" t="str">
        <x:v>C058 Article requirement</x:v>
      </x:c>
      <x:c r="C64" s="34" t="n">
        <x:f>'Production and Cost'!J40</x:f>
        <x:v>118</x:v>
      </x:c>
      <x:c r="D64" s="34" t="n">
        <x:v>118</x:v>
      </x:c>
      <x:c r="E64" s="34" t="n">
        <x:f>C64-D64</x:f>
        <x:v>0</x:v>
      </x:c>
      <x:c r="F64" s="34" t="str">
        <x:f>IF(ABS(E64)&lt;=0.001,"PASS","FAIL")</x:f>
        <x:v>PASS</x:v>
      </x:c>
      <x:c r="G64" s="35" t="str">
        <x:v>vehicles</x:v>
      </x:c>
    </x:row>
    <x:row r="65">
      <x:c r="B65" s="34" t="str">
        <x:v>C059 Technology portfolio</x:v>
      </x:c>
      <x:c r="C65" s="34" t="n">
        <x:f>'Technology Program'!C26</x:f>
        <x:v>600</x:v>
      </x:c>
      <x:c r="D65" s="34" t="n">
        <x:v>600</x:v>
      </x:c>
      <x:c r="E65" s="34" t="n">
        <x:f>C65-D65</x:f>
        <x:v>0</x:v>
      </x:c>
      <x:c r="F65" s="34" t="str">
        <x:f>IF(ABS(E65)&lt;=0.001,"PASS","FAIL")</x:f>
        <x:v>PASS</x:v>
      </x:c>
      <x:c r="G65" s="35" t="str">
        <x:v>$B</x:v>
      </x:c>
    </x:row>
    <x:row r="66">
      <x:c r="B66" s="34" t="str">
        <x:v>C060 Evidence gate count</x:v>
      </x:c>
      <x:c r="C66" s="34" t="n">
        <x:f>COUNTA('Evidence Gates'!B7:B156)</x:f>
        <x:v>150</x:v>
      </x:c>
      <x:c r="D66" s="34" t="n">
        <x:v>150</x:v>
      </x:c>
      <x:c r="E66" s="34" t="n">
        <x:f>C66-D66</x:f>
        <x:v>0</x:v>
      </x:c>
      <x:c r="F66" s="34" t="str">
        <x:f>IF(ABS(E66)&lt;=0.001,"PASS","FAIL")</x:f>
        <x:v>PASS</x:v>
      </x:c>
      <x:c r="G66" s="35" t="str">
        <x:v>gates</x:v>
      </x:c>
    </x:row>
    <x:row r="67">
      <x:c r="B67" s="34" t="str">
        <x:v>E001 state and credit</x:v>
      </x:c>
      <x:c r="C67" s="34" t="n">
        <x:f>IF(AND('Evidence Gates'!I7="OPEN",'Evidence Gates'!J7=0,'Evidence Gates'!K7="BLOCKED"),1,0)</x:f>
        <x:v>1</x:v>
      </x:c>
      <x:c r="D67" s="34" t="n">
        <x:v>1</x:v>
      </x:c>
      <x:c r="E67" s="34" t="n">
        <x:f>C67-D67</x:f>
        <x:v>0</x:v>
      </x:c>
      <x:c r="F67" s="34" t="str">
        <x:f>IF(E67=0,"PASS","FAIL")</x:f>
        <x:v>PASS</x:v>
      </x:c>
      <x:c r="G67" s="35" t="str">
        <x:v>open gate creates no readiness or rendering credit</x:v>
      </x:c>
    </x:row>
    <x:row r="68">
      <x:c r="B68" s="34" t="str">
        <x:v>E002 state and credit</x:v>
      </x:c>
      <x:c r="C68" s="34" t="n">
        <x:f>IF(AND('Evidence Gates'!I8="OPEN",'Evidence Gates'!J8=0,'Evidence Gates'!K8="BLOCKED"),1,0)</x:f>
        <x:v>1</x:v>
      </x:c>
      <x:c r="D68" s="34" t="n">
        <x:v>1</x:v>
      </x:c>
      <x:c r="E68" s="34" t="n">
        <x:f>C68-D68</x:f>
        <x:v>0</x:v>
      </x:c>
      <x:c r="F68" s="34" t="str">
        <x:f>IF(E68=0,"PASS","FAIL")</x:f>
        <x:v>PASS</x:v>
      </x:c>
      <x:c r="G68" s="35" t="str">
        <x:v>open gate creates no readiness or rendering credit</x:v>
      </x:c>
    </x:row>
    <x:row r="69">
      <x:c r="B69" s="34" t="str">
        <x:v>E003 state and credit</x:v>
      </x:c>
      <x:c r="C69" s="34" t="n">
        <x:f>IF(AND('Evidence Gates'!I9="OPEN",'Evidence Gates'!J9=0,'Evidence Gates'!K9="BLOCKED"),1,0)</x:f>
        <x:v>1</x:v>
      </x:c>
      <x:c r="D69" s="34" t="n">
        <x:v>1</x:v>
      </x:c>
      <x:c r="E69" s="34" t="n">
        <x:f>C69-D69</x:f>
        <x:v>0</x:v>
      </x:c>
      <x:c r="F69" s="34" t="str">
        <x:f>IF(E69=0,"PASS","FAIL")</x:f>
        <x:v>PASS</x:v>
      </x:c>
      <x:c r="G69" s="35" t="str">
        <x:v>open gate creates no readiness or rendering credit</x:v>
      </x:c>
    </x:row>
    <x:row r="70">
      <x:c r="B70" s="34" t="str">
        <x:v>E004 state and credit</x:v>
      </x:c>
      <x:c r="C70" s="34" t="n">
        <x:f>IF(AND('Evidence Gates'!I10="OPEN",'Evidence Gates'!J10=0,'Evidence Gates'!K10="BLOCKED"),1,0)</x:f>
        <x:v>1</x:v>
      </x:c>
      <x:c r="D70" s="34" t="n">
        <x:v>1</x:v>
      </x:c>
      <x:c r="E70" s="34" t="n">
        <x:f>C70-D70</x:f>
        <x:v>0</x:v>
      </x:c>
      <x:c r="F70" s="34" t="str">
        <x:f>IF(E70=0,"PASS","FAIL")</x:f>
        <x:v>PASS</x:v>
      </x:c>
      <x:c r="G70" s="35" t="str">
        <x:v>open gate creates no readiness or rendering credit</x:v>
      </x:c>
    </x:row>
    <x:row r="71">
      <x:c r="B71" s="34" t="str">
        <x:v>E005 state and credit</x:v>
      </x:c>
      <x:c r="C71" s="34" t="n">
        <x:f>IF(AND('Evidence Gates'!I11="OPEN",'Evidence Gates'!J11=0,'Evidence Gates'!K11="BLOCKED"),1,0)</x:f>
        <x:v>1</x:v>
      </x:c>
      <x:c r="D71" s="34" t="n">
        <x:v>1</x:v>
      </x:c>
      <x:c r="E71" s="34" t="n">
        <x:f>C71-D71</x:f>
        <x:v>0</x:v>
      </x:c>
      <x:c r="F71" s="34" t="str">
        <x:f>IF(E71=0,"PASS","FAIL")</x:f>
        <x:v>PASS</x:v>
      </x:c>
      <x:c r="G71" s="35" t="str">
        <x:v>open gate creates no readiness or rendering credit</x:v>
      </x:c>
    </x:row>
    <x:row r="72">
      <x:c r="B72" s="34" t="str">
        <x:v>E006 state and credit</x:v>
      </x:c>
      <x:c r="C72" s="34" t="n">
        <x:f>IF(AND('Evidence Gates'!I12="OPEN",'Evidence Gates'!J12=0,'Evidence Gates'!K12="BLOCKED"),1,0)</x:f>
        <x:v>1</x:v>
      </x:c>
      <x:c r="D72" s="34" t="n">
        <x:v>1</x:v>
      </x:c>
      <x:c r="E72" s="34" t="n">
        <x:f>C72-D72</x:f>
        <x:v>0</x:v>
      </x:c>
      <x:c r="F72" s="34" t="str">
        <x:f>IF(E72=0,"PASS","FAIL")</x:f>
        <x:v>PASS</x:v>
      </x:c>
      <x:c r="G72" s="35" t="str">
        <x:v>open gate creates no readiness or rendering credit</x:v>
      </x:c>
    </x:row>
    <x:row r="73">
      <x:c r="B73" s="34" t="str">
        <x:v>E007 state and credit</x:v>
      </x:c>
      <x:c r="C73" s="34" t="n">
        <x:f>IF(AND('Evidence Gates'!I13="OPEN",'Evidence Gates'!J13=0,'Evidence Gates'!K13="BLOCKED"),1,0)</x:f>
        <x:v>1</x:v>
      </x:c>
      <x:c r="D73" s="34" t="n">
        <x:v>1</x:v>
      </x:c>
      <x:c r="E73" s="34" t="n">
        <x:f>C73-D73</x:f>
        <x:v>0</x:v>
      </x:c>
      <x:c r="F73" s="34" t="str">
        <x:f>IF(E73=0,"PASS","FAIL")</x:f>
        <x:v>PASS</x:v>
      </x:c>
      <x:c r="G73" s="35" t="str">
        <x:v>open gate creates no readiness or rendering credit</x:v>
      </x:c>
    </x:row>
    <x:row r="74">
      <x:c r="B74" s="34" t="str">
        <x:v>E008 state and credit</x:v>
      </x:c>
      <x:c r="C74" s="34" t="n">
        <x:f>IF(AND('Evidence Gates'!I14="OPEN",'Evidence Gates'!J14=0,'Evidence Gates'!K14="BLOCKED"),1,0)</x:f>
        <x:v>1</x:v>
      </x:c>
      <x:c r="D74" s="34" t="n">
        <x:v>1</x:v>
      </x:c>
      <x:c r="E74" s="34" t="n">
        <x:f>C74-D74</x:f>
        <x:v>0</x:v>
      </x:c>
      <x:c r="F74" s="34" t="str">
        <x:f>IF(E74=0,"PASS","FAIL")</x:f>
        <x:v>PASS</x:v>
      </x:c>
      <x:c r="G74" s="35" t="str">
        <x:v>open gate creates no readiness or rendering credit</x:v>
      </x:c>
    </x:row>
    <x:row r="75">
      <x:c r="B75" s="34" t="str">
        <x:v>E009 state and credit</x:v>
      </x:c>
      <x:c r="C75" s="34" t="n">
        <x:f>IF(AND('Evidence Gates'!I15="OPEN",'Evidence Gates'!J15=0,'Evidence Gates'!K15="BLOCKED"),1,0)</x:f>
        <x:v>1</x:v>
      </x:c>
      <x:c r="D75" s="34" t="n">
        <x:v>1</x:v>
      </x:c>
      <x:c r="E75" s="34" t="n">
        <x:f>C75-D75</x:f>
        <x:v>0</x:v>
      </x:c>
      <x:c r="F75" s="34" t="str">
        <x:f>IF(E75=0,"PASS","FAIL")</x:f>
        <x:v>PASS</x:v>
      </x:c>
      <x:c r="G75" s="35" t="str">
        <x:v>open gate creates no readiness or rendering credit</x:v>
      </x:c>
    </x:row>
    <x:row r="76">
      <x:c r="B76" s="34" t="str">
        <x:v>E010 state and credit</x:v>
      </x:c>
      <x:c r="C76" s="34" t="n">
        <x:f>IF(AND('Evidence Gates'!I16="OPEN",'Evidence Gates'!J16=0,'Evidence Gates'!K16="BLOCKED"),1,0)</x:f>
        <x:v>1</x:v>
      </x:c>
      <x:c r="D76" s="34" t="n">
        <x:v>1</x:v>
      </x:c>
      <x:c r="E76" s="34" t="n">
        <x:f>C76-D76</x:f>
        <x:v>0</x:v>
      </x:c>
      <x:c r="F76" s="34" t="str">
        <x:f>IF(E76=0,"PASS","FAIL")</x:f>
        <x:v>PASS</x:v>
      </x:c>
      <x:c r="G76" s="35" t="str">
        <x:v>open gate creates no readiness or rendering credit</x:v>
      </x:c>
    </x:row>
    <x:row r="77">
      <x:c r="B77" s="34" t="str">
        <x:v>E011 state and credit</x:v>
      </x:c>
      <x:c r="C77" s="34" t="n">
        <x:f>IF(AND('Evidence Gates'!I17="OPEN",'Evidence Gates'!J17=0,'Evidence Gates'!K17="BLOCKED"),1,0)</x:f>
        <x:v>1</x:v>
      </x:c>
      <x:c r="D77" s="34" t="n">
        <x:v>1</x:v>
      </x:c>
      <x:c r="E77" s="34" t="n">
        <x:f>C77-D77</x:f>
        <x:v>0</x:v>
      </x:c>
      <x:c r="F77" s="34" t="str">
        <x:f>IF(E77=0,"PASS","FAIL")</x:f>
        <x:v>PASS</x:v>
      </x:c>
      <x:c r="G77" s="35" t="str">
        <x:v>open gate creates no readiness or rendering credit</x:v>
      </x:c>
    </x:row>
    <x:row r="78">
      <x:c r="B78" s="34" t="str">
        <x:v>E012 state and credit</x:v>
      </x:c>
      <x:c r="C78" s="34" t="n">
        <x:f>IF(AND('Evidence Gates'!I18="OPEN",'Evidence Gates'!J18=0,'Evidence Gates'!K18="BLOCKED"),1,0)</x:f>
        <x:v>1</x:v>
      </x:c>
      <x:c r="D78" s="34" t="n">
        <x:v>1</x:v>
      </x:c>
      <x:c r="E78" s="34" t="n">
        <x:f>C78-D78</x:f>
        <x:v>0</x:v>
      </x:c>
      <x:c r="F78" s="34" t="str">
        <x:f>IF(E78=0,"PASS","FAIL")</x:f>
        <x:v>PASS</x:v>
      </x:c>
      <x:c r="G78" s="35" t="str">
        <x:v>open gate creates no readiness or rendering credit</x:v>
      </x:c>
    </x:row>
    <x:row r="79">
      <x:c r="B79" s="34" t="str">
        <x:v>E013 state and credit</x:v>
      </x:c>
      <x:c r="C79" s="34" t="n">
        <x:f>IF(AND('Evidence Gates'!I19="OPEN",'Evidence Gates'!J19=0,'Evidence Gates'!K19="BLOCKED"),1,0)</x:f>
        <x:v>1</x:v>
      </x:c>
      <x:c r="D79" s="34" t="n">
        <x:v>1</x:v>
      </x:c>
      <x:c r="E79" s="34" t="n">
        <x:f>C79-D79</x:f>
        <x:v>0</x:v>
      </x:c>
      <x:c r="F79" s="34" t="str">
        <x:f>IF(E79=0,"PASS","FAIL")</x:f>
        <x:v>PASS</x:v>
      </x:c>
      <x:c r="G79" s="35" t="str">
        <x:v>open gate creates no readiness or rendering credit</x:v>
      </x:c>
    </x:row>
    <x:row r="80">
      <x:c r="B80" s="34" t="str">
        <x:v>E014 state and credit</x:v>
      </x:c>
      <x:c r="C80" s="34" t="n">
        <x:f>IF(AND('Evidence Gates'!I20="OPEN",'Evidence Gates'!J20=0,'Evidence Gates'!K20="BLOCKED"),1,0)</x:f>
        <x:v>1</x:v>
      </x:c>
      <x:c r="D80" s="34" t="n">
        <x:v>1</x:v>
      </x:c>
      <x:c r="E80" s="34" t="n">
        <x:f>C80-D80</x:f>
        <x:v>0</x:v>
      </x:c>
      <x:c r="F80" s="34" t="str">
        <x:f>IF(E80=0,"PASS","FAIL")</x:f>
        <x:v>PASS</x:v>
      </x:c>
      <x:c r="G80" s="35" t="str">
        <x:v>open gate creates no readiness or rendering credit</x:v>
      </x:c>
    </x:row>
    <x:row r="81">
      <x:c r="B81" s="34" t="str">
        <x:v>E015 state and credit</x:v>
      </x:c>
      <x:c r="C81" s="34" t="n">
        <x:f>IF(AND('Evidence Gates'!I21="OPEN",'Evidence Gates'!J21=0,'Evidence Gates'!K21="BLOCKED"),1,0)</x:f>
        <x:v>1</x:v>
      </x:c>
      <x:c r="D81" s="34" t="n">
        <x:v>1</x:v>
      </x:c>
      <x:c r="E81" s="34" t="n">
        <x:f>C81-D81</x:f>
        <x:v>0</x:v>
      </x:c>
      <x:c r="F81" s="34" t="str">
        <x:f>IF(E81=0,"PASS","FAIL")</x:f>
        <x:v>PASS</x:v>
      </x:c>
      <x:c r="G81" s="35" t="str">
        <x:v>open gate creates no readiness or rendering credit</x:v>
      </x:c>
    </x:row>
    <x:row r="82">
      <x:c r="B82" s="34" t="str">
        <x:v>E016 state and credit</x:v>
      </x:c>
      <x:c r="C82" s="34" t="n">
        <x:f>IF(AND('Evidence Gates'!I22="OPEN",'Evidence Gates'!J22=0,'Evidence Gates'!K22="BLOCKED"),1,0)</x:f>
        <x:v>1</x:v>
      </x:c>
      <x:c r="D82" s="34" t="n">
        <x:v>1</x:v>
      </x:c>
      <x:c r="E82" s="34" t="n">
        <x:f>C82-D82</x:f>
        <x:v>0</x:v>
      </x:c>
      <x:c r="F82" s="34" t="str">
        <x:f>IF(E82=0,"PASS","FAIL")</x:f>
        <x:v>PASS</x:v>
      </x:c>
      <x:c r="G82" s="35" t="str">
        <x:v>open gate creates no readiness or rendering credit</x:v>
      </x:c>
    </x:row>
    <x:row r="83">
      <x:c r="B83" s="34" t="str">
        <x:v>E017 state and credit</x:v>
      </x:c>
      <x:c r="C83" s="34" t="n">
        <x:f>IF(AND('Evidence Gates'!I23="OPEN",'Evidence Gates'!J23=0,'Evidence Gates'!K23="BLOCKED"),1,0)</x:f>
        <x:v>1</x:v>
      </x:c>
      <x:c r="D83" s="34" t="n">
        <x:v>1</x:v>
      </x:c>
      <x:c r="E83" s="34" t="n">
        <x:f>C83-D83</x:f>
        <x:v>0</x:v>
      </x:c>
      <x:c r="F83" s="34" t="str">
        <x:f>IF(E83=0,"PASS","FAIL")</x:f>
        <x:v>PASS</x:v>
      </x:c>
      <x:c r="G83" s="35" t="str">
        <x:v>open gate creates no readiness or rendering credit</x:v>
      </x:c>
    </x:row>
    <x:row r="84">
      <x:c r="B84" s="34" t="str">
        <x:v>E018 state and credit</x:v>
      </x:c>
      <x:c r="C84" s="34" t="n">
        <x:f>IF(AND('Evidence Gates'!I24="OPEN",'Evidence Gates'!J24=0,'Evidence Gates'!K24="BLOCKED"),1,0)</x:f>
        <x:v>1</x:v>
      </x:c>
      <x:c r="D84" s="34" t="n">
        <x:v>1</x:v>
      </x:c>
      <x:c r="E84" s="34" t="n">
        <x:f>C84-D84</x:f>
        <x:v>0</x:v>
      </x:c>
      <x:c r="F84" s="34" t="str">
        <x:f>IF(E84=0,"PASS","FAIL")</x:f>
        <x:v>PASS</x:v>
      </x:c>
      <x:c r="G84" s="35" t="str">
        <x:v>open gate creates no readiness or rendering credit</x:v>
      </x:c>
    </x:row>
    <x:row r="85">
      <x:c r="B85" s="34" t="str">
        <x:v>E019 state and credit</x:v>
      </x:c>
      <x:c r="C85" s="34" t="n">
        <x:f>IF(AND('Evidence Gates'!I25="OPEN",'Evidence Gates'!J25=0,'Evidence Gates'!K25="BLOCKED"),1,0)</x:f>
        <x:v>1</x:v>
      </x:c>
      <x:c r="D85" s="34" t="n">
        <x:v>1</x:v>
      </x:c>
      <x:c r="E85" s="34" t="n">
        <x:f>C85-D85</x:f>
        <x:v>0</x:v>
      </x:c>
      <x:c r="F85" s="34" t="str">
        <x:f>IF(E85=0,"PASS","FAIL")</x:f>
        <x:v>PASS</x:v>
      </x:c>
      <x:c r="G85" s="35" t="str">
        <x:v>open gate creates no readiness or rendering credit</x:v>
      </x:c>
    </x:row>
    <x:row r="86">
      <x:c r="B86" s="34" t="str">
        <x:v>E020 state and credit</x:v>
      </x:c>
      <x:c r="C86" s="34" t="n">
        <x:f>IF(AND('Evidence Gates'!I26="OPEN",'Evidence Gates'!J26=0,'Evidence Gates'!K26="BLOCKED"),1,0)</x:f>
        <x:v>1</x:v>
      </x:c>
      <x:c r="D86" s="34" t="n">
        <x:v>1</x:v>
      </x:c>
      <x:c r="E86" s="34" t="n">
        <x:f>C86-D86</x:f>
        <x:v>0</x:v>
      </x:c>
      <x:c r="F86" s="34" t="str">
        <x:f>IF(E86=0,"PASS","FAIL")</x:f>
        <x:v>PASS</x:v>
      </x:c>
      <x:c r="G86" s="35" t="str">
        <x:v>open gate creates no readiness or rendering credit</x:v>
      </x:c>
    </x:row>
    <x:row r="87">
      <x:c r="B87" s="34" t="str">
        <x:v>E021 state and credit</x:v>
      </x:c>
      <x:c r="C87" s="34" t="n">
        <x:f>IF(AND('Evidence Gates'!I27="OPEN",'Evidence Gates'!J27=0,'Evidence Gates'!K27="BLOCKED"),1,0)</x:f>
        <x:v>1</x:v>
      </x:c>
      <x:c r="D87" s="34" t="n">
        <x:v>1</x:v>
      </x:c>
      <x:c r="E87" s="34" t="n">
        <x:f>C87-D87</x:f>
        <x:v>0</x:v>
      </x:c>
      <x:c r="F87" s="34" t="str">
        <x:f>IF(E87=0,"PASS","FAIL")</x:f>
        <x:v>PASS</x:v>
      </x:c>
      <x:c r="G87" s="35" t="str">
        <x:v>open gate creates no readiness or rendering credit</x:v>
      </x:c>
    </x:row>
    <x:row r="88">
      <x:c r="B88" s="34" t="str">
        <x:v>E022 state and credit</x:v>
      </x:c>
      <x:c r="C88" s="34" t="n">
        <x:f>IF(AND('Evidence Gates'!I28="OPEN",'Evidence Gates'!J28=0,'Evidence Gates'!K28="BLOCKED"),1,0)</x:f>
        <x:v>1</x:v>
      </x:c>
      <x:c r="D88" s="34" t="n">
        <x:v>1</x:v>
      </x:c>
      <x:c r="E88" s="34" t="n">
        <x:f>C88-D88</x:f>
        <x:v>0</x:v>
      </x:c>
      <x:c r="F88" s="34" t="str">
        <x:f>IF(E88=0,"PASS","FAIL")</x:f>
        <x:v>PASS</x:v>
      </x:c>
      <x:c r="G88" s="35" t="str">
        <x:v>open gate creates no readiness or rendering credit</x:v>
      </x:c>
    </x:row>
    <x:row r="89">
      <x:c r="B89" s="34" t="str">
        <x:v>E023 state and credit</x:v>
      </x:c>
      <x:c r="C89" s="34" t="n">
        <x:f>IF(AND('Evidence Gates'!I29="OPEN",'Evidence Gates'!J29=0,'Evidence Gates'!K29="BLOCKED"),1,0)</x:f>
        <x:v>1</x:v>
      </x:c>
      <x:c r="D89" s="34" t="n">
        <x:v>1</x:v>
      </x:c>
      <x:c r="E89" s="34" t="n">
        <x:f>C89-D89</x:f>
        <x:v>0</x:v>
      </x:c>
      <x:c r="F89" s="34" t="str">
        <x:f>IF(E89=0,"PASS","FAIL")</x:f>
        <x:v>PASS</x:v>
      </x:c>
      <x:c r="G89" s="35" t="str">
        <x:v>open gate creates no readiness or rendering credit</x:v>
      </x:c>
    </x:row>
    <x:row r="90">
      <x:c r="B90" s="34" t="str">
        <x:v>E024 state and credit</x:v>
      </x:c>
      <x:c r="C90" s="34" t="n">
        <x:f>IF(AND('Evidence Gates'!I30="OPEN",'Evidence Gates'!J30=0,'Evidence Gates'!K30="BLOCKED"),1,0)</x:f>
        <x:v>1</x:v>
      </x:c>
      <x:c r="D90" s="34" t="n">
        <x:v>1</x:v>
      </x:c>
      <x:c r="E90" s="34" t="n">
        <x:f>C90-D90</x:f>
        <x:v>0</x:v>
      </x:c>
      <x:c r="F90" s="34" t="str">
        <x:f>IF(E90=0,"PASS","FAIL")</x:f>
        <x:v>PASS</x:v>
      </x:c>
      <x:c r="G90" s="35" t="str">
        <x:v>open gate creates no readiness or rendering credit</x:v>
      </x:c>
    </x:row>
    <x:row r="91">
      <x:c r="B91" s="34" t="str">
        <x:v>E025 state and credit</x:v>
      </x:c>
      <x:c r="C91" s="34" t="n">
        <x:f>IF(AND('Evidence Gates'!I31="OPEN",'Evidence Gates'!J31=0,'Evidence Gates'!K31="BLOCKED"),1,0)</x:f>
        <x:v>1</x:v>
      </x:c>
      <x:c r="D91" s="34" t="n">
        <x:v>1</x:v>
      </x:c>
      <x:c r="E91" s="34" t="n">
        <x:f>C91-D91</x:f>
        <x:v>0</x:v>
      </x:c>
      <x:c r="F91" s="34" t="str">
        <x:f>IF(E91=0,"PASS","FAIL")</x:f>
        <x:v>PASS</x:v>
      </x:c>
      <x:c r="G91" s="35" t="str">
        <x:v>open gate creates no readiness or rendering credit</x:v>
      </x:c>
    </x:row>
    <x:row r="92">
      <x:c r="B92" s="34" t="str">
        <x:v>E026 state and credit</x:v>
      </x:c>
      <x:c r="C92" s="34" t="n">
        <x:f>IF(AND('Evidence Gates'!I32="OPEN",'Evidence Gates'!J32=0,'Evidence Gates'!K32="BLOCKED"),1,0)</x:f>
        <x:v>1</x:v>
      </x:c>
      <x:c r="D92" s="34" t="n">
        <x:v>1</x:v>
      </x:c>
      <x:c r="E92" s="34" t="n">
        <x:f>C92-D92</x:f>
        <x:v>0</x:v>
      </x:c>
      <x:c r="F92" s="34" t="str">
        <x:f>IF(E92=0,"PASS","FAIL")</x:f>
        <x:v>PASS</x:v>
      </x:c>
      <x:c r="G92" s="35" t="str">
        <x:v>open gate creates no readiness or rendering credit</x:v>
      </x:c>
    </x:row>
    <x:row r="93">
      <x:c r="B93" s="34" t="str">
        <x:v>E027 state and credit</x:v>
      </x:c>
      <x:c r="C93" s="34" t="n">
        <x:f>IF(AND('Evidence Gates'!I33="OPEN",'Evidence Gates'!J33=0,'Evidence Gates'!K33="BLOCKED"),1,0)</x:f>
        <x:v>1</x:v>
      </x:c>
      <x:c r="D93" s="34" t="n">
        <x:v>1</x:v>
      </x:c>
      <x:c r="E93" s="34" t="n">
        <x:f>C93-D93</x:f>
        <x:v>0</x:v>
      </x:c>
      <x:c r="F93" s="34" t="str">
        <x:f>IF(E93=0,"PASS","FAIL")</x:f>
        <x:v>PASS</x:v>
      </x:c>
      <x:c r="G93" s="35" t="str">
        <x:v>open gate creates no readiness or rendering credit</x:v>
      </x:c>
    </x:row>
    <x:row r="94">
      <x:c r="B94" s="34" t="str">
        <x:v>E028 state and credit</x:v>
      </x:c>
      <x:c r="C94" s="34" t="n">
        <x:f>IF(AND('Evidence Gates'!I34="OPEN",'Evidence Gates'!J34=0,'Evidence Gates'!K34="BLOCKED"),1,0)</x:f>
        <x:v>1</x:v>
      </x:c>
      <x:c r="D94" s="34" t="n">
        <x:v>1</x:v>
      </x:c>
      <x:c r="E94" s="34" t="n">
        <x:f>C94-D94</x:f>
        <x:v>0</x:v>
      </x:c>
      <x:c r="F94" s="34" t="str">
        <x:f>IF(E94=0,"PASS","FAIL")</x:f>
        <x:v>PASS</x:v>
      </x:c>
      <x:c r="G94" s="35" t="str">
        <x:v>open gate creates no readiness or rendering credit</x:v>
      </x:c>
    </x:row>
    <x:row r="95">
      <x:c r="B95" s="34" t="str">
        <x:v>E029 state and credit</x:v>
      </x:c>
      <x:c r="C95" s="34" t="n">
        <x:f>IF(AND('Evidence Gates'!I35="OPEN",'Evidence Gates'!J35=0,'Evidence Gates'!K35="BLOCKED"),1,0)</x:f>
        <x:v>1</x:v>
      </x:c>
      <x:c r="D95" s="34" t="n">
        <x:v>1</x:v>
      </x:c>
      <x:c r="E95" s="34" t="n">
        <x:f>C95-D95</x:f>
        <x:v>0</x:v>
      </x:c>
      <x:c r="F95" s="34" t="str">
        <x:f>IF(E95=0,"PASS","FAIL")</x:f>
        <x:v>PASS</x:v>
      </x:c>
      <x:c r="G95" s="35" t="str">
        <x:v>open gate creates no readiness or rendering credit</x:v>
      </x:c>
    </x:row>
    <x:row r="96">
      <x:c r="B96" s="34" t="str">
        <x:v>E030 state and credit</x:v>
      </x:c>
      <x:c r="C96" s="34" t="n">
        <x:f>IF(AND('Evidence Gates'!I36="OPEN",'Evidence Gates'!J36=0,'Evidence Gates'!K36="BLOCKED"),1,0)</x:f>
        <x:v>1</x:v>
      </x:c>
      <x:c r="D96" s="34" t="n">
        <x:v>1</x:v>
      </x:c>
      <x:c r="E96" s="34" t="n">
        <x:f>C96-D96</x:f>
        <x:v>0</x:v>
      </x:c>
      <x:c r="F96" s="34" t="str">
        <x:f>IF(E96=0,"PASS","FAIL")</x:f>
        <x:v>PASS</x:v>
      </x:c>
      <x:c r="G96" s="35" t="str">
        <x:v>open gate creates no readiness or rendering credit</x:v>
      </x:c>
    </x:row>
    <x:row r="97">
      <x:c r="B97" s="34" t="str">
        <x:v>E031 state and credit</x:v>
      </x:c>
      <x:c r="C97" s="34" t="n">
        <x:f>IF(AND('Evidence Gates'!I37="OPEN",'Evidence Gates'!J37=0,'Evidence Gates'!K37="BLOCKED"),1,0)</x:f>
        <x:v>1</x:v>
      </x:c>
      <x:c r="D97" s="34" t="n">
        <x:v>1</x:v>
      </x:c>
      <x:c r="E97" s="34" t="n">
        <x:f>C97-D97</x:f>
        <x:v>0</x:v>
      </x:c>
      <x:c r="F97" s="34" t="str">
        <x:f>IF(E97=0,"PASS","FAIL")</x:f>
        <x:v>PASS</x:v>
      </x:c>
      <x:c r="G97" s="35" t="str">
        <x:v>open gate creates no readiness or rendering credit</x:v>
      </x:c>
    </x:row>
    <x:row r="98">
      <x:c r="B98" s="34" t="str">
        <x:v>E032 state and credit</x:v>
      </x:c>
      <x:c r="C98" s="34" t="n">
        <x:f>IF(AND('Evidence Gates'!I38="OPEN",'Evidence Gates'!J38=0,'Evidence Gates'!K38="BLOCKED"),1,0)</x:f>
        <x:v>1</x:v>
      </x:c>
      <x:c r="D98" s="34" t="n">
        <x:v>1</x:v>
      </x:c>
      <x:c r="E98" s="34" t="n">
        <x:f>C98-D98</x:f>
        <x:v>0</x:v>
      </x:c>
      <x:c r="F98" s="34" t="str">
        <x:f>IF(E98=0,"PASS","FAIL")</x:f>
        <x:v>PASS</x:v>
      </x:c>
      <x:c r="G98" s="35" t="str">
        <x:v>open gate creates no readiness or rendering credit</x:v>
      </x:c>
    </x:row>
    <x:row r="99">
      <x:c r="B99" s="34" t="str">
        <x:v>E033 state and credit</x:v>
      </x:c>
      <x:c r="C99" s="34" t="n">
        <x:f>IF(AND('Evidence Gates'!I39="OPEN",'Evidence Gates'!J39=0,'Evidence Gates'!K39="BLOCKED"),1,0)</x:f>
        <x:v>1</x:v>
      </x:c>
      <x:c r="D99" s="34" t="n">
        <x:v>1</x:v>
      </x:c>
      <x:c r="E99" s="34" t="n">
        <x:f>C99-D99</x:f>
        <x:v>0</x:v>
      </x:c>
      <x:c r="F99" s="34" t="str">
        <x:f>IF(E99=0,"PASS","FAIL")</x:f>
        <x:v>PASS</x:v>
      </x:c>
      <x:c r="G99" s="35" t="str">
        <x:v>open gate creates no readiness or rendering credit</x:v>
      </x:c>
    </x:row>
    <x:row r="100">
      <x:c r="B100" s="34" t="str">
        <x:v>E034 state and credit</x:v>
      </x:c>
      <x:c r="C100" s="34" t="n">
        <x:f>IF(AND('Evidence Gates'!I40="OPEN",'Evidence Gates'!J40=0,'Evidence Gates'!K40="BLOCKED"),1,0)</x:f>
        <x:v>1</x:v>
      </x:c>
      <x:c r="D100" s="34" t="n">
        <x:v>1</x:v>
      </x:c>
      <x:c r="E100" s="34" t="n">
        <x:f>C100-D100</x:f>
        <x:v>0</x:v>
      </x:c>
      <x:c r="F100" s="34" t="str">
        <x:f>IF(E100=0,"PASS","FAIL")</x:f>
        <x:v>PASS</x:v>
      </x:c>
      <x:c r="G100" s="35" t="str">
        <x:v>open gate creates no readiness or rendering credit</x:v>
      </x:c>
    </x:row>
    <x:row r="101">
      <x:c r="B101" s="34" t="str">
        <x:v>E035 state and credit</x:v>
      </x:c>
      <x:c r="C101" s="34" t="n">
        <x:f>IF(AND('Evidence Gates'!I41="OPEN",'Evidence Gates'!J41=0,'Evidence Gates'!K41="BLOCKED"),1,0)</x:f>
        <x:v>1</x:v>
      </x:c>
      <x:c r="D101" s="34" t="n">
        <x:v>1</x:v>
      </x:c>
      <x:c r="E101" s="34" t="n">
        <x:f>C101-D101</x:f>
        <x:v>0</x:v>
      </x:c>
      <x:c r="F101" s="34" t="str">
        <x:f>IF(E101=0,"PASS","FAIL")</x:f>
        <x:v>PASS</x:v>
      </x:c>
      <x:c r="G101" s="35" t="str">
        <x:v>open gate creates no readiness or rendering credit</x:v>
      </x:c>
    </x:row>
    <x:row r="102">
      <x:c r="B102" s="34" t="str">
        <x:v>E036 state and credit</x:v>
      </x:c>
      <x:c r="C102" s="34" t="n">
        <x:f>IF(AND('Evidence Gates'!I42="OPEN",'Evidence Gates'!J42=0,'Evidence Gates'!K42="BLOCKED"),1,0)</x:f>
        <x:v>1</x:v>
      </x:c>
      <x:c r="D102" s="34" t="n">
        <x:v>1</x:v>
      </x:c>
      <x:c r="E102" s="34" t="n">
        <x:f>C102-D102</x:f>
        <x:v>0</x:v>
      </x:c>
      <x:c r="F102" s="34" t="str">
        <x:f>IF(E102=0,"PASS","FAIL")</x:f>
        <x:v>PASS</x:v>
      </x:c>
      <x:c r="G102" s="35" t="str">
        <x:v>open gate creates no readiness or rendering credit</x:v>
      </x:c>
    </x:row>
    <x:row r="103">
      <x:c r="B103" s="34" t="str">
        <x:v>E037 state and credit</x:v>
      </x:c>
      <x:c r="C103" s="34" t="n">
        <x:f>IF(AND('Evidence Gates'!I43="OPEN",'Evidence Gates'!J43=0,'Evidence Gates'!K43="BLOCKED"),1,0)</x:f>
        <x:v>1</x:v>
      </x:c>
      <x:c r="D103" s="34" t="n">
        <x:v>1</x:v>
      </x:c>
      <x:c r="E103" s="34" t="n">
        <x:f>C103-D103</x:f>
        <x:v>0</x:v>
      </x:c>
      <x:c r="F103" s="34" t="str">
        <x:f>IF(E103=0,"PASS","FAIL")</x:f>
        <x:v>PASS</x:v>
      </x:c>
      <x:c r="G103" s="35" t="str">
        <x:v>open gate creates no readiness or rendering credit</x:v>
      </x:c>
    </x:row>
    <x:row r="104">
      <x:c r="B104" s="34" t="str">
        <x:v>E038 state and credit</x:v>
      </x:c>
      <x:c r="C104" s="34" t="n">
        <x:f>IF(AND('Evidence Gates'!I44="OPEN",'Evidence Gates'!J44=0,'Evidence Gates'!K44="BLOCKED"),1,0)</x:f>
        <x:v>1</x:v>
      </x:c>
      <x:c r="D104" s="34" t="n">
        <x:v>1</x:v>
      </x:c>
      <x:c r="E104" s="34" t="n">
        <x:f>C104-D104</x:f>
        <x:v>0</x:v>
      </x:c>
      <x:c r="F104" s="34" t="str">
        <x:f>IF(E104=0,"PASS","FAIL")</x:f>
        <x:v>PASS</x:v>
      </x:c>
      <x:c r="G104" s="35" t="str">
        <x:v>open gate creates no readiness or rendering credit</x:v>
      </x:c>
    </x:row>
    <x:row r="105">
      <x:c r="B105" s="34" t="str">
        <x:v>E039 state and credit</x:v>
      </x:c>
      <x:c r="C105" s="34" t="n">
        <x:f>IF(AND('Evidence Gates'!I45="OPEN",'Evidence Gates'!J45=0,'Evidence Gates'!K45="BLOCKED"),1,0)</x:f>
        <x:v>1</x:v>
      </x:c>
      <x:c r="D105" s="34" t="n">
        <x:v>1</x:v>
      </x:c>
      <x:c r="E105" s="34" t="n">
        <x:f>C105-D105</x:f>
        <x:v>0</x:v>
      </x:c>
      <x:c r="F105" s="34" t="str">
        <x:f>IF(E105=0,"PASS","FAIL")</x:f>
        <x:v>PASS</x:v>
      </x:c>
      <x:c r="G105" s="35" t="str">
        <x:v>open gate creates no readiness or rendering credit</x:v>
      </x:c>
    </x:row>
    <x:row r="106">
      <x:c r="B106" s="34" t="str">
        <x:v>E040 state and credit</x:v>
      </x:c>
      <x:c r="C106" s="34" t="n">
        <x:f>IF(AND('Evidence Gates'!I46="OPEN",'Evidence Gates'!J46=0,'Evidence Gates'!K46="BLOCKED"),1,0)</x:f>
        <x:v>1</x:v>
      </x:c>
      <x:c r="D106" s="34" t="n">
        <x:v>1</x:v>
      </x:c>
      <x:c r="E106" s="34" t="n">
        <x:f>C106-D106</x:f>
        <x:v>0</x:v>
      </x:c>
      <x:c r="F106" s="34" t="str">
        <x:f>IF(E106=0,"PASS","FAIL")</x:f>
        <x:v>PASS</x:v>
      </x:c>
      <x:c r="G106" s="35" t="str">
        <x:v>open gate creates no readiness or rendering credit</x:v>
      </x:c>
    </x:row>
    <x:row r="107">
      <x:c r="B107" s="34" t="str">
        <x:v>E041 state and credit</x:v>
      </x:c>
      <x:c r="C107" s="34" t="n">
        <x:f>IF(AND('Evidence Gates'!I47="OPEN",'Evidence Gates'!J47=0,'Evidence Gates'!K47="BLOCKED"),1,0)</x:f>
        <x:v>1</x:v>
      </x:c>
      <x:c r="D107" s="34" t="n">
        <x:v>1</x:v>
      </x:c>
      <x:c r="E107" s="34" t="n">
        <x:f>C107-D107</x:f>
        <x:v>0</x:v>
      </x:c>
      <x:c r="F107" s="34" t="str">
        <x:f>IF(E107=0,"PASS","FAIL")</x:f>
        <x:v>PASS</x:v>
      </x:c>
      <x:c r="G107" s="35" t="str">
        <x:v>open gate creates no readiness or rendering credit</x:v>
      </x:c>
    </x:row>
    <x:row r="108">
      <x:c r="B108" s="34" t="str">
        <x:v>E042 state and credit</x:v>
      </x:c>
      <x:c r="C108" s="34" t="n">
        <x:f>IF(AND('Evidence Gates'!I48="OPEN",'Evidence Gates'!J48=0,'Evidence Gates'!K48="BLOCKED"),1,0)</x:f>
        <x:v>1</x:v>
      </x:c>
      <x:c r="D108" s="34" t="n">
        <x:v>1</x:v>
      </x:c>
      <x:c r="E108" s="34" t="n">
        <x:f>C108-D108</x:f>
        <x:v>0</x:v>
      </x:c>
      <x:c r="F108" s="34" t="str">
        <x:f>IF(E108=0,"PASS","FAIL")</x:f>
        <x:v>PASS</x:v>
      </x:c>
      <x:c r="G108" s="35" t="str">
        <x:v>open gate creates no readiness or rendering credit</x:v>
      </x:c>
    </x:row>
    <x:row r="109">
      <x:c r="B109" s="34" t="str">
        <x:v>E043 state and credit</x:v>
      </x:c>
      <x:c r="C109" s="34" t="n">
        <x:f>IF(AND('Evidence Gates'!I49="OPEN",'Evidence Gates'!J49=0,'Evidence Gates'!K49="BLOCKED"),1,0)</x:f>
        <x:v>1</x:v>
      </x:c>
      <x:c r="D109" s="34" t="n">
        <x:v>1</x:v>
      </x:c>
      <x:c r="E109" s="34" t="n">
        <x:f>C109-D109</x:f>
        <x:v>0</x:v>
      </x:c>
      <x:c r="F109" s="34" t="str">
        <x:f>IF(E109=0,"PASS","FAIL")</x:f>
        <x:v>PASS</x:v>
      </x:c>
      <x:c r="G109" s="35" t="str">
        <x:v>open gate creates no readiness or rendering credit</x:v>
      </x:c>
    </x:row>
    <x:row r="110">
      <x:c r="B110" s="34" t="str">
        <x:v>E044 state and credit</x:v>
      </x:c>
      <x:c r="C110" s="34" t="n">
        <x:f>IF(AND('Evidence Gates'!I50="OPEN",'Evidence Gates'!J50=0,'Evidence Gates'!K50="BLOCKED"),1,0)</x:f>
        <x:v>1</x:v>
      </x:c>
      <x:c r="D110" s="34" t="n">
        <x:v>1</x:v>
      </x:c>
      <x:c r="E110" s="34" t="n">
        <x:f>C110-D110</x:f>
        <x:v>0</x:v>
      </x:c>
      <x:c r="F110" s="34" t="str">
        <x:f>IF(E110=0,"PASS","FAIL")</x:f>
        <x:v>PASS</x:v>
      </x:c>
      <x:c r="G110" s="35" t="str">
        <x:v>open gate creates no readiness or rendering credit</x:v>
      </x:c>
    </x:row>
    <x:row r="111">
      <x:c r="B111" s="34" t="str">
        <x:v>E045 state and credit</x:v>
      </x:c>
      <x:c r="C111" s="34" t="n">
        <x:f>IF(AND('Evidence Gates'!I51="OPEN",'Evidence Gates'!J51=0,'Evidence Gates'!K51="BLOCKED"),1,0)</x:f>
        <x:v>1</x:v>
      </x:c>
      <x:c r="D111" s="34" t="n">
        <x:v>1</x:v>
      </x:c>
      <x:c r="E111" s="34" t="n">
        <x:f>C111-D111</x:f>
        <x:v>0</x:v>
      </x:c>
      <x:c r="F111" s="34" t="str">
        <x:f>IF(E111=0,"PASS","FAIL")</x:f>
        <x:v>PASS</x:v>
      </x:c>
      <x:c r="G111" s="35" t="str">
        <x:v>open gate creates no readiness or rendering credit</x:v>
      </x:c>
    </x:row>
    <x:row r="112">
      <x:c r="B112" s="34" t="str">
        <x:v>E046 state and credit</x:v>
      </x:c>
      <x:c r="C112" s="34" t="n">
        <x:f>IF(AND('Evidence Gates'!I52="OPEN",'Evidence Gates'!J52=0,'Evidence Gates'!K52="BLOCKED"),1,0)</x:f>
        <x:v>1</x:v>
      </x:c>
      <x:c r="D112" s="34" t="n">
        <x:v>1</x:v>
      </x:c>
      <x:c r="E112" s="34" t="n">
        <x:f>C112-D112</x:f>
        <x:v>0</x:v>
      </x:c>
      <x:c r="F112" s="34" t="str">
        <x:f>IF(E112=0,"PASS","FAIL")</x:f>
        <x:v>PASS</x:v>
      </x:c>
      <x:c r="G112" s="35" t="str">
        <x:v>open gate creates no readiness or rendering credit</x:v>
      </x:c>
    </x:row>
    <x:row r="113">
      <x:c r="B113" s="34" t="str">
        <x:v>E047 state and credit</x:v>
      </x:c>
      <x:c r="C113" s="34" t="n">
        <x:f>IF(AND('Evidence Gates'!I53="OPEN",'Evidence Gates'!J53=0,'Evidence Gates'!K53="BLOCKED"),1,0)</x:f>
        <x:v>1</x:v>
      </x:c>
      <x:c r="D113" s="34" t="n">
        <x:v>1</x:v>
      </x:c>
      <x:c r="E113" s="34" t="n">
        <x:f>C113-D113</x:f>
        <x:v>0</x:v>
      </x:c>
      <x:c r="F113" s="34" t="str">
        <x:f>IF(E113=0,"PASS","FAIL")</x:f>
        <x:v>PASS</x:v>
      </x:c>
      <x:c r="G113" s="35" t="str">
        <x:v>open gate creates no readiness or rendering credit</x:v>
      </x:c>
    </x:row>
    <x:row r="114">
      <x:c r="B114" s="34" t="str">
        <x:v>E048 state and credit</x:v>
      </x:c>
      <x:c r="C114" s="34" t="n">
        <x:f>IF(AND('Evidence Gates'!I54="OPEN",'Evidence Gates'!J54=0,'Evidence Gates'!K54="BLOCKED"),1,0)</x:f>
        <x:v>1</x:v>
      </x:c>
      <x:c r="D114" s="34" t="n">
        <x:v>1</x:v>
      </x:c>
      <x:c r="E114" s="34" t="n">
        <x:f>C114-D114</x:f>
        <x:v>0</x:v>
      </x:c>
      <x:c r="F114" s="34" t="str">
        <x:f>IF(E114=0,"PASS","FAIL")</x:f>
        <x:v>PASS</x:v>
      </x:c>
      <x:c r="G114" s="35" t="str">
        <x:v>open gate creates no readiness or rendering credit</x:v>
      </x:c>
    </x:row>
    <x:row r="115">
      <x:c r="B115" s="34" t="str">
        <x:v>E049 state and credit</x:v>
      </x:c>
      <x:c r="C115" s="34" t="n">
        <x:f>IF(AND('Evidence Gates'!I55="OPEN",'Evidence Gates'!J55=0,'Evidence Gates'!K55="BLOCKED"),1,0)</x:f>
        <x:v>1</x:v>
      </x:c>
      <x:c r="D115" s="34" t="n">
        <x:v>1</x:v>
      </x:c>
      <x:c r="E115" s="34" t="n">
        <x:f>C115-D115</x:f>
        <x:v>0</x:v>
      </x:c>
      <x:c r="F115" s="34" t="str">
        <x:f>IF(E115=0,"PASS","FAIL")</x:f>
        <x:v>PASS</x:v>
      </x:c>
      <x:c r="G115" s="35" t="str">
        <x:v>open gate creates no readiness or rendering credit</x:v>
      </x:c>
    </x:row>
    <x:row r="116">
      <x:c r="B116" s="34" t="str">
        <x:v>E050 state and credit</x:v>
      </x:c>
      <x:c r="C116" s="34" t="n">
        <x:f>IF(AND('Evidence Gates'!I56="OPEN",'Evidence Gates'!J56=0,'Evidence Gates'!K56="BLOCKED"),1,0)</x:f>
        <x:v>1</x:v>
      </x:c>
      <x:c r="D116" s="34" t="n">
        <x:v>1</x:v>
      </x:c>
      <x:c r="E116" s="34" t="n">
        <x:f>C116-D116</x:f>
        <x:v>0</x:v>
      </x:c>
      <x:c r="F116" s="34" t="str">
        <x:f>IF(E116=0,"PASS","FAIL")</x:f>
        <x:v>PASS</x:v>
      </x:c>
      <x:c r="G116" s="35" t="str">
        <x:v>open gate creates no readiness or rendering credit</x:v>
      </x:c>
    </x:row>
    <x:row r="117">
      <x:c r="B117" s="34" t="str">
        <x:v>E051 state and credit</x:v>
      </x:c>
      <x:c r="C117" s="34" t="n">
        <x:f>IF(AND('Evidence Gates'!I57="OPEN",'Evidence Gates'!J57=0,'Evidence Gates'!K57="BLOCKED"),1,0)</x:f>
        <x:v>1</x:v>
      </x:c>
      <x:c r="D117" s="34" t="n">
        <x:v>1</x:v>
      </x:c>
      <x:c r="E117" s="34" t="n">
        <x:f>C117-D117</x:f>
        <x:v>0</x:v>
      </x:c>
      <x:c r="F117" s="34" t="str">
        <x:f>IF(E117=0,"PASS","FAIL")</x:f>
        <x:v>PASS</x:v>
      </x:c>
      <x:c r="G117" s="35" t="str">
        <x:v>open gate creates no readiness or rendering credit</x:v>
      </x:c>
    </x:row>
    <x:row r="118">
      <x:c r="B118" s="34" t="str">
        <x:v>E052 state and credit</x:v>
      </x:c>
      <x:c r="C118" s="34" t="n">
        <x:f>IF(AND('Evidence Gates'!I58="OPEN",'Evidence Gates'!J58=0,'Evidence Gates'!K58="BLOCKED"),1,0)</x:f>
        <x:v>1</x:v>
      </x:c>
      <x:c r="D118" s="34" t="n">
        <x:v>1</x:v>
      </x:c>
      <x:c r="E118" s="34" t="n">
        <x:f>C118-D118</x:f>
        <x:v>0</x:v>
      </x:c>
      <x:c r="F118" s="34" t="str">
        <x:f>IF(E118=0,"PASS","FAIL")</x:f>
        <x:v>PASS</x:v>
      </x:c>
      <x:c r="G118" s="35" t="str">
        <x:v>open gate creates no readiness or rendering credit</x:v>
      </x:c>
    </x:row>
    <x:row r="119">
      <x:c r="B119" s="34" t="str">
        <x:v>E053 state and credit</x:v>
      </x:c>
      <x:c r="C119" s="34" t="n">
        <x:f>IF(AND('Evidence Gates'!I59="OPEN",'Evidence Gates'!J59=0,'Evidence Gates'!K59="BLOCKED"),1,0)</x:f>
        <x:v>1</x:v>
      </x:c>
      <x:c r="D119" s="34" t="n">
        <x:v>1</x:v>
      </x:c>
      <x:c r="E119" s="34" t="n">
        <x:f>C119-D119</x:f>
        <x:v>0</x:v>
      </x:c>
      <x:c r="F119" s="34" t="str">
        <x:f>IF(E119=0,"PASS","FAIL")</x:f>
        <x:v>PASS</x:v>
      </x:c>
      <x:c r="G119" s="35" t="str">
        <x:v>open gate creates no readiness or rendering credit</x:v>
      </x:c>
    </x:row>
    <x:row r="120">
      <x:c r="B120" s="34" t="str">
        <x:v>E054 state and credit</x:v>
      </x:c>
      <x:c r="C120" s="34" t="n">
        <x:f>IF(AND('Evidence Gates'!I60="OPEN",'Evidence Gates'!J60=0,'Evidence Gates'!K60="BLOCKED"),1,0)</x:f>
        <x:v>1</x:v>
      </x:c>
      <x:c r="D120" s="34" t="n">
        <x:v>1</x:v>
      </x:c>
      <x:c r="E120" s="34" t="n">
        <x:f>C120-D120</x:f>
        <x:v>0</x:v>
      </x:c>
      <x:c r="F120" s="34" t="str">
        <x:f>IF(E120=0,"PASS","FAIL")</x:f>
        <x:v>PASS</x:v>
      </x:c>
      <x:c r="G120" s="35" t="str">
        <x:v>open gate creates no readiness or rendering credit</x:v>
      </x:c>
    </x:row>
    <x:row r="121">
      <x:c r="B121" s="34" t="str">
        <x:v>E055 state and credit</x:v>
      </x:c>
      <x:c r="C121" s="34" t="n">
        <x:f>IF(AND('Evidence Gates'!I61="OPEN",'Evidence Gates'!J61=0,'Evidence Gates'!K61="BLOCKED"),1,0)</x:f>
        <x:v>1</x:v>
      </x:c>
      <x:c r="D121" s="34" t="n">
        <x:v>1</x:v>
      </x:c>
      <x:c r="E121" s="34" t="n">
        <x:f>C121-D121</x:f>
        <x:v>0</x:v>
      </x:c>
      <x:c r="F121" s="34" t="str">
        <x:f>IF(E121=0,"PASS","FAIL")</x:f>
        <x:v>PASS</x:v>
      </x:c>
      <x:c r="G121" s="35" t="str">
        <x:v>open gate creates no readiness or rendering credit</x:v>
      </x:c>
    </x:row>
    <x:row r="122">
      <x:c r="B122" s="34" t="str">
        <x:v>E056 state and credit</x:v>
      </x:c>
      <x:c r="C122" s="34" t="n">
        <x:f>IF(AND('Evidence Gates'!I62="OPEN",'Evidence Gates'!J62=0,'Evidence Gates'!K62="BLOCKED"),1,0)</x:f>
        <x:v>1</x:v>
      </x:c>
      <x:c r="D122" s="34" t="n">
        <x:v>1</x:v>
      </x:c>
      <x:c r="E122" s="34" t="n">
        <x:f>C122-D122</x:f>
        <x:v>0</x:v>
      </x:c>
      <x:c r="F122" s="34" t="str">
        <x:f>IF(E122=0,"PASS","FAIL")</x:f>
        <x:v>PASS</x:v>
      </x:c>
      <x:c r="G122" s="35" t="str">
        <x:v>open gate creates no readiness or rendering credit</x:v>
      </x:c>
    </x:row>
    <x:row r="123">
      <x:c r="B123" s="34" t="str">
        <x:v>E057 state and credit</x:v>
      </x:c>
      <x:c r="C123" s="34" t="n">
        <x:f>IF(AND('Evidence Gates'!I63="OPEN",'Evidence Gates'!J63=0,'Evidence Gates'!K63="BLOCKED"),1,0)</x:f>
        <x:v>1</x:v>
      </x:c>
      <x:c r="D123" s="34" t="n">
        <x:v>1</x:v>
      </x:c>
      <x:c r="E123" s="34" t="n">
        <x:f>C123-D123</x:f>
        <x:v>0</x:v>
      </x:c>
      <x:c r="F123" s="34" t="str">
        <x:f>IF(E123=0,"PASS","FAIL")</x:f>
        <x:v>PASS</x:v>
      </x:c>
      <x:c r="G123" s="35" t="str">
        <x:v>open gate creates no readiness or rendering credit</x:v>
      </x:c>
    </x:row>
    <x:row r="124">
      <x:c r="B124" s="34" t="str">
        <x:v>E058 state and credit</x:v>
      </x:c>
      <x:c r="C124" s="34" t="n">
        <x:f>IF(AND('Evidence Gates'!I64="OPEN",'Evidence Gates'!J64=0,'Evidence Gates'!K64="BLOCKED"),1,0)</x:f>
        <x:v>1</x:v>
      </x:c>
      <x:c r="D124" s="34" t="n">
        <x:v>1</x:v>
      </x:c>
      <x:c r="E124" s="34" t="n">
        <x:f>C124-D124</x:f>
        <x:v>0</x:v>
      </x:c>
      <x:c r="F124" s="34" t="str">
        <x:f>IF(E124=0,"PASS","FAIL")</x:f>
        <x:v>PASS</x:v>
      </x:c>
      <x:c r="G124" s="35" t="str">
        <x:v>open gate creates no readiness or rendering credit</x:v>
      </x:c>
    </x:row>
    <x:row r="125">
      <x:c r="B125" s="34" t="str">
        <x:v>E059 state and credit</x:v>
      </x:c>
      <x:c r="C125" s="34" t="n">
        <x:f>IF(AND('Evidence Gates'!I65="OPEN",'Evidence Gates'!J65=0,'Evidence Gates'!K65="BLOCKED"),1,0)</x:f>
        <x:v>1</x:v>
      </x:c>
      <x:c r="D125" s="34" t="n">
        <x:v>1</x:v>
      </x:c>
      <x:c r="E125" s="34" t="n">
        <x:f>C125-D125</x:f>
        <x:v>0</x:v>
      </x:c>
      <x:c r="F125" s="34" t="str">
        <x:f>IF(E125=0,"PASS","FAIL")</x:f>
        <x:v>PASS</x:v>
      </x:c>
      <x:c r="G125" s="35" t="str">
        <x:v>open gate creates no readiness or rendering credit</x:v>
      </x:c>
    </x:row>
    <x:row r="126">
      <x:c r="B126" s="34" t="str">
        <x:v>E060 state and credit</x:v>
      </x:c>
      <x:c r="C126" s="34" t="n">
        <x:f>IF(AND('Evidence Gates'!I66="OPEN",'Evidence Gates'!J66=0,'Evidence Gates'!K66="BLOCKED"),1,0)</x:f>
        <x:v>1</x:v>
      </x:c>
      <x:c r="D126" s="34" t="n">
        <x:v>1</x:v>
      </x:c>
      <x:c r="E126" s="34" t="n">
        <x:f>C126-D126</x:f>
        <x:v>0</x:v>
      </x:c>
      <x:c r="F126" s="34" t="str">
        <x:f>IF(E126=0,"PASS","FAIL")</x:f>
        <x:v>PASS</x:v>
      </x:c>
      <x:c r="G126" s="35" t="str">
        <x:v>open gate creates no readiness or rendering credit</x:v>
      </x:c>
    </x:row>
    <x:row r="127">
      <x:c r="B127" s="34" t="str">
        <x:v>E061 state and credit</x:v>
      </x:c>
      <x:c r="C127" s="34" t="n">
        <x:f>IF(AND('Evidence Gates'!I67="OPEN",'Evidence Gates'!J67=0,'Evidence Gates'!K67="BLOCKED"),1,0)</x:f>
        <x:v>1</x:v>
      </x:c>
      <x:c r="D127" s="34" t="n">
        <x:v>1</x:v>
      </x:c>
      <x:c r="E127" s="34" t="n">
        <x:f>C127-D127</x:f>
        <x:v>0</x:v>
      </x:c>
      <x:c r="F127" s="34" t="str">
        <x:f>IF(E127=0,"PASS","FAIL")</x:f>
        <x:v>PASS</x:v>
      </x:c>
      <x:c r="G127" s="35" t="str">
        <x:v>open gate creates no readiness or rendering credit</x:v>
      </x:c>
    </x:row>
    <x:row r="128">
      <x:c r="B128" s="34" t="str">
        <x:v>E062 state and credit</x:v>
      </x:c>
      <x:c r="C128" s="34" t="n">
        <x:f>IF(AND('Evidence Gates'!I68="OPEN",'Evidence Gates'!J68=0,'Evidence Gates'!K68="BLOCKED"),1,0)</x:f>
        <x:v>1</x:v>
      </x:c>
      <x:c r="D128" s="34" t="n">
        <x:v>1</x:v>
      </x:c>
      <x:c r="E128" s="34" t="n">
        <x:f>C128-D128</x:f>
        <x:v>0</x:v>
      </x:c>
      <x:c r="F128" s="34" t="str">
        <x:f>IF(E128=0,"PASS","FAIL")</x:f>
        <x:v>PASS</x:v>
      </x:c>
      <x:c r="G128" s="35" t="str">
        <x:v>open gate creates no readiness or rendering credit</x:v>
      </x:c>
    </x:row>
    <x:row r="129">
      <x:c r="B129" s="34" t="str">
        <x:v>E063 state and credit</x:v>
      </x:c>
      <x:c r="C129" s="34" t="n">
        <x:f>IF(AND('Evidence Gates'!I69="OPEN",'Evidence Gates'!J69=0,'Evidence Gates'!K69="BLOCKED"),1,0)</x:f>
        <x:v>1</x:v>
      </x:c>
      <x:c r="D129" s="34" t="n">
        <x:v>1</x:v>
      </x:c>
      <x:c r="E129" s="34" t="n">
        <x:f>C129-D129</x:f>
        <x:v>0</x:v>
      </x:c>
      <x:c r="F129" s="34" t="str">
        <x:f>IF(E129=0,"PASS","FAIL")</x:f>
        <x:v>PASS</x:v>
      </x:c>
      <x:c r="G129" s="35" t="str">
        <x:v>open gate creates no readiness or rendering credit</x:v>
      </x:c>
    </x:row>
    <x:row r="130">
      <x:c r="B130" s="34" t="str">
        <x:v>E064 state and credit</x:v>
      </x:c>
      <x:c r="C130" s="34" t="n">
        <x:f>IF(AND('Evidence Gates'!I70="OPEN",'Evidence Gates'!J70=0,'Evidence Gates'!K70="BLOCKED"),1,0)</x:f>
        <x:v>1</x:v>
      </x:c>
      <x:c r="D130" s="34" t="n">
        <x:v>1</x:v>
      </x:c>
      <x:c r="E130" s="34" t="n">
        <x:f>C130-D130</x:f>
        <x:v>0</x:v>
      </x:c>
      <x:c r="F130" s="34" t="str">
        <x:f>IF(E130=0,"PASS","FAIL")</x:f>
        <x:v>PASS</x:v>
      </x:c>
      <x:c r="G130" s="35" t="str">
        <x:v>open gate creates no readiness or rendering credit</x:v>
      </x:c>
    </x:row>
    <x:row r="131">
      <x:c r="B131" s="34" t="str">
        <x:v>E065 state and credit</x:v>
      </x:c>
      <x:c r="C131" s="34" t="n">
        <x:f>IF(AND('Evidence Gates'!I71="OPEN",'Evidence Gates'!J71=0,'Evidence Gates'!K71="BLOCKED"),1,0)</x:f>
        <x:v>1</x:v>
      </x:c>
      <x:c r="D131" s="34" t="n">
        <x:v>1</x:v>
      </x:c>
      <x:c r="E131" s="34" t="n">
        <x:f>C131-D131</x:f>
        <x:v>0</x:v>
      </x:c>
      <x:c r="F131" s="34" t="str">
        <x:f>IF(E131=0,"PASS","FAIL")</x:f>
        <x:v>PASS</x:v>
      </x:c>
      <x:c r="G131" s="35" t="str">
        <x:v>open gate creates no readiness or rendering credit</x:v>
      </x:c>
    </x:row>
    <x:row r="132">
      <x:c r="B132" s="34" t="str">
        <x:v>E066 state and credit</x:v>
      </x:c>
      <x:c r="C132" s="34" t="n">
        <x:f>IF(AND('Evidence Gates'!I72="OPEN",'Evidence Gates'!J72=0,'Evidence Gates'!K72="BLOCKED"),1,0)</x:f>
        <x:v>1</x:v>
      </x:c>
      <x:c r="D132" s="34" t="n">
        <x:v>1</x:v>
      </x:c>
      <x:c r="E132" s="34" t="n">
        <x:f>C132-D132</x:f>
        <x:v>0</x:v>
      </x:c>
      <x:c r="F132" s="34" t="str">
        <x:f>IF(E132=0,"PASS","FAIL")</x:f>
        <x:v>PASS</x:v>
      </x:c>
      <x:c r="G132" s="35" t="str">
        <x:v>open gate creates no readiness or rendering credit</x:v>
      </x:c>
    </x:row>
    <x:row r="133">
      <x:c r="B133" s="34" t="str">
        <x:v>E067 state and credit</x:v>
      </x:c>
      <x:c r="C133" s="34" t="n">
        <x:f>IF(AND('Evidence Gates'!I73="OPEN",'Evidence Gates'!J73=0,'Evidence Gates'!K73="BLOCKED"),1,0)</x:f>
        <x:v>1</x:v>
      </x:c>
      <x:c r="D133" s="34" t="n">
        <x:v>1</x:v>
      </x:c>
      <x:c r="E133" s="34" t="n">
        <x:f>C133-D133</x:f>
        <x:v>0</x:v>
      </x:c>
      <x:c r="F133" s="34" t="str">
        <x:f>IF(E133=0,"PASS","FAIL")</x:f>
        <x:v>PASS</x:v>
      </x:c>
      <x:c r="G133" s="35" t="str">
        <x:v>open gate creates no readiness or rendering credit</x:v>
      </x:c>
    </x:row>
    <x:row r="134">
      <x:c r="B134" s="34" t="str">
        <x:v>E068 state and credit</x:v>
      </x:c>
      <x:c r="C134" s="34" t="n">
        <x:f>IF(AND('Evidence Gates'!I74="OPEN",'Evidence Gates'!J74=0,'Evidence Gates'!K74="BLOCKED"),1,0)</x:f>
        <x:v>1</x:v>
      </x:c>
      <x:c r="D134" s="34" t="n">
        <x:v>1</x:v>
      </x:c>
      <x:c r="E134" s="34" t="n">
        <x:f>C134-D134</x:f>
        <x:v>0</x:v>
      </x:c>
      <x:c r="F134" s="34" t="str">
        <x:f>IF(E134=0,"PASS","FAIL")</x:f>
        <x:v>PASS</x:v>
      </x:c>
      <x:c r="G134" s="35" t="str">
        <x:v>open gate creates no readiness or rendering credit</x:v>
      </x:c>
    </x:row>
    <x:row r="135">
      <x:c r="B135" s="34" t="str">
        <x:v>E069 state and credit</x:v>
      </x:c>
      <x:c r="C135" s="34" t="n">
        <x:f>IF(AND('Evidence Gates'!I75="OPEN",'Evidence Gates'!J75=0,'Evidence Gates'!K75="BLOCKED"),1,0)</x:f>
        <x:v>1</x:v>
      </x:c>
      <x:c r="D135" s="34" t="n">
        <x:v>1</x:v>
      </x:c>
      <x:c r="E135" s="34" t="n">
        <x:f>C135-D135</x:f>
        <x:v>0</x:v>
      </x:c>
      <x:c r="F135" s="34" t="str">
        <x:f>IF(E135=0,"PASS","FAIL")</x:f>
        <x:v>PASS</x:v>
      </x:c>
      <x:c r="G135" s="35" t="str">
        <x:v>open gate creates no readiness or rendering credit</x:v>
      </x:c>
    </x:row>
    <x:row r="136">
      <x:c r="B136" s="34" t="str">
        <x:v>E070 state and credit</x:v>
      </x:c>
      <x:c r="C136" s="34" t="n">
        <x:f>IF(AND('Evidence Gates'!I76="OPEN",'Evidence Gates'!J76=0,'Evidence Gates'!K76="BLOCKED"),1,0)</x:f>
        <x:v>1</x:v>
      </x:c>
      <x:c r="D136" s="34" t="n">
        <x:v>1</x:v>
      </x:c>
      <x:c r="E136" s="34" t="n">
        <x:f>C136-D136</x:f>
        <x:v>0</x:v>
      </x:c>
      <x:c r="F136" s="34" t="str">
        <x:f>IF(E136=0,"PASS","FAIL")</x:f>
        <x:v>PASS</x:v>
      </x:c>
      <x:c r="G136" s="35" t="str">
        <x:v>open gate creates no readiness or rendering credit</x:v>
      </x:c>
    </x:row>
    <x:row r="137">
      <x:c r="B137" s="34" t="str">
        <x:v>E071 state and credit</x:v>
      </x:c>
      <x:c r="C137" s="34" t="n">
        <x:f>IF(AND('Evidence Gates'!I77="OPEN",'Evidence Gates'!J77=0,'Evidence Gates'!K77="BLOCKED"),1,0)</x:f>
        <x:v>1</x:v>
      </x:c>
      <x:c r="D137" s="34" t="n">
        <x:v>1</x:v>
      </x:c>
      <x:c r="E137" s="34" t="n">
        <x:f>C137-D137</x:f>
        <x:v>0</x:v>
      </x:c>
      <x:c r="F137" s="34" t="str">
        <x:f>IF(E137=0,"PASS","FAIL")</x:f>
        <x:v>PASS</x:v>
      </x:c>
      <x:c r="G137" s="35" t="str">
        <x:v>open gate creates no readiness or rendering credit</x:v>
      </x:c>
    </x:row>
    <x:row r="138">
      <x:c r="B138" s="34" t="str">
        <x:v>E072 state and credit</x:v>
      </x:c>
      <x:c r="C138" s="34" t="n">
        <x:f>IF(AND('Evidence Gates'!I78="OPEN",'Evidence Gates'!J78=0,'Evidence Gates'!K78="BLOCKED"),1,0)</x:f>
        <x:v>1</x:v>
      </x:c>
      <x:c r="D138" s="34" t="n">
        <x:v>1</x:v>
      </x:c>
      <x:c r="E138" s="34" t="n">
        <x:f>C138-D138</x:f>
        <x:v>0</x:v>
      </x:c>
      <x:c r="F138" s="34" t="str">
        <x:f>IF(E138=0,"PASS","FAIL")</x:f>
        <x:v>PASS</x:v>
      </x:c>
      <x:c r="G138" s="35" t="str">
        <x:v>open gate creates no readiness or rendering credit</x:v>
      </x:c>
    </x:row>
    <x:row r="139">
      <x:c r="B139" s="34" t="str">
        <x:v>E073 state and credit</x:v>
      </x:c>
      <x:c r="C139" s="34" t="n">
        <x:f>IF(AND('Evidence Gates'!I79="OPEN",'Evidence Gates'!J79=0,'Evidence Gates'!K79="BLOCKED"),1,0)</x:f>
        <x:v>1</x:v>
      </x:c>
      <x:c r="D139" s="34" t="n">
        <x:v>1</x:v>
      </x:c>
      <x:c r="E139" s="34" t="n">
        <x:f>C139-D139</x:f>
        <x:v>0</x:v>
      </x:c>
      <x:c r="F139" s="34" t="str">
        <x:f>IF(E139=0,"PASS","FAIL")</x:f>
        <x:v>PASS</x:v>
      </x:c>
      <x:c r="G139" s="35" t="str">
        <x:v>open gate creates no readiness or rendering credit</x:v>
      </x:c>
    </x:row>
    <x:row r="140">
      <x:c r="B140" s="34" t="str">
        <x:v>E074 state and credit</x:v>
      </x:c>
      <x:c r="C140" s="34" t="n">
        <x:f>IF(AND('Evidence Gates'!I80="OPEN",'Evidence Gates'!J80=0,'Evidence Gates'!K80="BLOCKED"),1,0)</x:f>
        <x:v>1</x:v>
      </x:c>
      <x:c r="D140" s="34" t="n">
        <x:v>1</x:v>
      </x:c>
      <x:c r="E140" s="34" t="n">
        <x:f>C140-D140</x:f>
        <x:v>0</x:v>
      </x:c>
      <x:c r="F140" s="34" t="str">
        <x:f>IF(E140=0,"PASS","FAIL")</x:f>
        <x:v>PASS</x:v>
      </x:c>
      <x:c r="G140" s="35" t="str">
        <x:v>open gate creates no readiness or rendering credit</x:v>
      </x:c>
    </x:row>
    <x:row r="141">
      <x:c r="B141" s="34" t="str">
        <x:v>E075 state and credit</x:v>
      </x:c>
      <x:c r="C141" s="34" t="n">
        <x:f>IF(AND('Evidence Gates'!I81="OPEN",'Evidence Gates'!J81=0,'Evidence Gates'!K81="BLOCKED"),1,0)</x:f>
        <x:v>1</x:v>
      </x:c>
      <x:c r="D141" s="34" t="n">
        <x:v>1</x:v>
      </x:c>
      <x:c r="E141" s="34" t="n">
        <x:f>C141-D141</x:f>
        <x:v>0</x:v>
      </x:c>
      <x:c r="F141" s="34" t="str">
        <x:f>IF(E141=0,"PASS","FAIL")</x:f>
        <x:v>PASS</x:v>
      </x:c>
      <x:c r="G141" s="35" t="str">
        <x:v>open gate creates no readiness or rendering credit</x:v>
      </x:c>
    </x:row>
    <x:row r="142">
      <x:c r="B142" s="34" t="str">
        <x:v>E076 state and credit</x:v>
      </x:c>
      <x:c r="C142" s="34" t="n">
        <x:f>IF(AND('Evidence Gates'!I82="OPEN",'Evidence Gates'!J82=0,'Evidence Gates'!K82="BLOCKED"),1,0)</x:f>
        <x:v>1</x:v>
      </x:c>
      <x:c r="D142" s="34" t="n">
        <x:v>1</x:v>
      </x:c>
      <x:c r="E142" s="34" t="n">
        <x:f>C142-D142</x:f>
        <x:v>0</x:v>
      </x:c>
      <x:c r="F142" s="34" t="str">
        <x:f>IF(E142=0,"PASS","FAIL")</x:f>
        <x:v>PASS</x:v>
      </x:c>
      <x:c r="G142" s="35" t="str">
        <x:v>open gate creates no readiness or rendering credit</x:v>
      </x:c>
    </x:row>
    <x:row r="143">
      <x:c r="B143" s="34" t="str">
        <x:v>E077 state and credit</x:v>
      </x:c>
      <x:c r="C143" s="34" t="n">
        <x:f>IF(AND('Evidence Gates'!I83="OPEN",'Evidence Gates'!J83=0,'Evidence Gates'!K83="BLOCKED"),1,0)</x:f>
        <x:v>1</x:v>
      </x:c>
      <x:c r="D143" s="34" t="n">
        <x:v>1</x:v>
      </x:c>
      <x:c r="E143" s="34" t="n">
        <x:f>C143-D143</x:f>
        <x:v>0</x:v>
      </x:c>
      <x:c r="F143" s="34" t="str">
        <x:f>IF(E143=0,"PASS","FAIL")</x:f>
        <x:v>PASS</x:v>
      </x:c>
      <x:c r="G143" s="35" t="str">
        <x:v>open gate creates no readiness or rendering credit</x:v>
      </x:c>
    </x:row>
    <x:row r="144">
      <x:c r="B144" s="34" t="str">
        <x:v>E078 state and credit</x:v>
      </x:c>
      <x:c r="C144" s="34" t="n">
        <x:f>IF(AND('Evidence Gates'!I84="OPEN",'Evidence Gates'!J84=0,'Evidence Gates'!K84="BLOCKED"),1,0)</x:f>
        <x:v>1</x:v>
      </x:c>
      <x:c r="D144" s="34" t="n">
        <x:v>1</x:v>
      </x:c>
      <x:c r="E144" s="34" t="n">
        <x:f>C144-D144</x:f>
        <x:v>0</x:v>
      </x:c>
      <x:c r="F144" s="34" t="str">
        <x:f>IF(E144=0,"PASS","FAIL")</x:f>
        <x:v>PASS</x:v>
      </x:c>
      <x:c r="G144" s="35" t="str">
        <x:v>open gate creates no readiness or rendering credit</x:v>
      </x:c>
    </x:row>
    <x:row r="145">
      <x:c r="B145" s="34" t="str">
        <x:v>E079 state and credit</x:v>
      </x:c>
      <x:c r="C145" s="34" t="n">
        <x:f>IF(AND('Evidence Gates'!I85="OPEN",'Evidence Gates'!J85=0,'Evidence Gates'!K85="BLOCKED"),1,0)</x:f>
        <x:v>1</x:v>
      </x:c>
      <x:c r="D145" s="34" t="n">
        <x:v>1</x:v>
      </x:c>
      <x:c r="E145" s="34" t="n">
        <x:f>C145-D145</x:f>
        <x:v>0</x:v>
      </x:c>
      <x:c r="F145" s="34" t="str">
        <x:f>IF(E145=0,"PASS","FAIL")</x:f>
        <x:v>PASS</x:v>
      </x:c>
      <x:c r="G145" s="35" t="str">
        <x:v>open gate creates no readiness or rendering credit</x:v>
      </x:c>
    </x:row>
    <x:row r="146">
      <x:c r="B146" s="34" t="str">
        <x:v>E080 state and credit</x:v>
      </x:c>
      <x:c r="C146" s="34" t="n">
        <x:f>IF(AND('Evidence Gates'!I86="OPEN",'Evidence Gates'!J86=0,'Evidence Gates'!K86="BLOCKED"),1,0)</x:f>
        <x:v>1</x:v>
      </x:c>
      <x:c r="D146" s="34" t="n">
        <x:v>1</x:v>
      </x:c>
      <x:c r="E146" s="34" t="n">
        <x:f>C146-D146</x:f>
        <x:v>0</x:v>
      </x:c>
      <x:c r="F146" s="34" t="str">
        <x:f>IF(E146=0,"PASS","FAIL")</x:f>
        <x:v>PASS</x:v>
      </x:c>
      <x:c r="G146" s="35" t="str">
        <x:v>open gate creates no readiness or rendering credit</x:v>
      </x:c>
    </x:row>
    <x:row r="147">
      <x:c r="B147" s="34" t="str">
        <x:v>E081 state and credit</x:v>
      </x:c>
      <x:c r="C147" s="34" t="n">
        <x:f>IF(AND('Evidence Gates'!I87="OPEN",'Evidence Gates'!J87=0,'Evidence Gates'!K87="BLOCKED"),1,0)</x:f>
        <x:v>1</x:v>
      </x:c>
      <x:c r="D147" s="34" t="n">
        <x:v>1</x:v>
      </x:c>
      <x:c r="E147" s="34" t="n">
        <x:f>C147-D147</x:f>
        <x:v>0</x:v>
      </x:c>
      <x:c r="F147" s="34" t="str">
        <x:f>IF(E147=0,"PASS","FAIL")</x:f>
        <x:v>PASS</x:v>
      </x:c>
      <x:c r="G147" s="35" t="str">
        <x:v>open gate creates no readiness or rendering credit</x:v>
      </x:c>
    </x:row>
    <x:row r="148">
      <x:c r="B148" s="34" t="str">
        <x:v>E082 state and credit</x:v>
      </x:c>
      <x:c r="C148" s="34" t="n">
        <x:f>IF(AND('Evidence Gates'!I88="OPEN",'Evidence Gates'!J88=0,'Evidence Gates'!K88="BLOCKED"),1,0)</x:f>
        <x:v>1</x:v>
      </x:c>
      <x:c r="D148" s="34" t="n">
        <x:v>1</x:v>
      </x:c>
      <x:c r="E148" s="34" t="n">
        <x:f>C148-D148</x:f>
        <x:v>0</x:v>
      </x:c>
      <x:c r="F148" s="34" t="str">
        <x:f>IF(E148=0,"PASS","FAIL")</x:f>
        <x:v>PASS</x:v>
      </x:c>
      <x:c r="G148" s="35" t="str">
        <x:v>open gate creates no readiness or rendering credit</x:v>
      </x:c>
    </x:row>
    <x:row r="149">
      <x:c r="B149" s="34" t="str">
        <x:v>E083 state and credit</x:v>
      </x:c>
      <x:c r="C149" s="34" t="n">
        <x:f>IF(AND('Evidence Gates'!I89="OPEN",'Evidence Gates'!J89=0,'Evidence Gates'!K89="BLOCKED"),1,0)</x:f>
        <x:v>1</x:v>
      </x:c>
      <x:c r="D149" s="34" t="n">
        <x:v>1</x:v>
      </x:c>
      <x:c r="E149" s="34" t="n">
        <x:f>C149-D149</x:f>
        <x:v>0</x:v>
      </x:c>
      <x:c r="F149" s="34" t="str">
        <x:f>IF(E149=0,"PASS","FAIL")</x:f>
        <x:v>PASS</x:v>
      </x:c>
      <x:c r="G149" s="35" t="str">
        <x:v>open gate creates no readiness or rendering credit</x:v>
      </x:c>
    </x:row>
    <x:row r="150">
      <x:c r="B150" s="34" t="str">
        <x:v>E084 state and credit</x:v>
      </x:c>
      <x:c r="C150" s="34" t="n">
        <x:f>IF(AND('Evidence Gates'!I90="OPEN",'Evidence Gates'!J90=0,'Evidence Gates'!K90="BLOCKED"),1,0)</x:f>
        <x:v>1</x:v>
      </x:c>
      <x:c r="D150" s="34" t="n">
        <x:v>1</x:v>
      </x:c>
      <x:c r="E150" s="34" t="n">
        <x:f>C150-D150</x:f>
        <x:v>0</x:v>
      </x:c>
      <x:c r="F150" s="34" t="str">
        <x:f>IF(E150=0,"PASS","FAIL")</x:f>
        <x:v>PASS</x:v>
      </x:c>
      <x:c r="G150" s="35" t="str">
        <x:v>open gate creates no readiness or rendering credit</x:v>
      </x:c>
    </x:row>
    <x:row r="151">
      <x:c r="B151" s="34" t="str">
        <x:v>E085 state and credit</x:v>
      </x:c>
      <x:c r="C151" s="34" t="n">
        <x:f>IF(AND('Evidence Gates'!I91="OPEN",'Evidence Gates'!J91=0,'Evidence Gates'!K91="BLOCKED"),1,0)</x:f>
        <x:v>1</x:v>
      </x:c>
      <x:c r="D151" s="34" t="n">
        <x:v>1</x:v>
      </x:c>
      <x:c r="E151" s="34" t="n">
        <x:f>C151-D151</x:f>
        <x:v>0</x:v>
      </x:c>
      <x:c r="F151" s="34" t="str">
        <x:f>IF(E151=0,"PASS","FAIL")</x:f>
        <x:v>PASS</x:v>
      </x:c>
      <x:c r="G151" s="35" t="str">
        <x:v>open gate creates no readiness or rendering credit</x:v>
      </x:c>
    </x:row>
    <x:row r="152">
      <x:c r="B152" s="34" t="str">
        <x:v>E086 state and credit</x:v>
      </x:c>
      <x:c r="C152" s="34" t="n">
        <x:f>IF(AND('Evidence Gates'!I92="OPEN",'Evidence Gates'!J92=0,'Evidence Gates'!K92="BLOCKED"),1,0)</x:f>
        <x:v>1</x:v>
      </x:c>
      <x:c r="D152" s="34" t="n">
        <x:v>1</x:v>
      </x:c>
      <x:c r="E152" s="34" t="n">
        <x:f>C152-D152</x:f>
        <x:v>0</x:v>
      </x:c>
      <x:c r="F152" s="34" t="str">
        <x:f>IF(E152=0,"PASS","FAIL")</x:f>
        <x:v>PASS</x:v>
      </x:c>
      <x:c r="G152" s="35" t="str">
        <x:v>open gate creates no readiness or rendering credit</x:v>
      </x:c>
    </x:row>
    <x:row r="153">
      <x:c r="B153" s="34" t="str">
        <x:v>E087 state and credit</x:v>
      </x:c>
      <x:c r="C153" s="34" t="n">
        <x:f>IF(AND('Evidence Gates'!I93="OPEN",'Evidence Gates'!J93=0,'Evidence Gates'!K93="BLOCKED"),1,0)</x:f>
        <x:v>1</x:v>
      </x:c>
      <x:c r="D153" s="34" t="n">
        <x:v>1</x:v>
      </x:c>
      <x:c r="E153" s="34" t="n">
        <x:f>C153-D153</x:f>
        <x:v>0</x:v>
      </x:c>
      <x:c r="F153" s="34" t="str">
        <x:f>IF(E153=0,"PASS","FAIL")</x:f>
        <x:v>PASS</x:v>
      </x:c>
      <x:c r="G153" s="35" t="str">
        <x:v>open gate creates no readiness or rendering credit</x:v>
      </x:c>
    </x:row>
    <x:row r="154">
      <x:c r="B154" s="34" t="str">
        <x:v>E088 state and credit</x:v>
      </x:c>
      <x:c r="C154" s="34" t="n">
        <x:f>IF(AND('Evidence Gates'!I94="OPEN",'Evidence Gates'!J94=0,'Evidence Gates'!K94="BLOCKED"),1,0)</x:f>
        <x:v>1</x:v>
      </x:c>
      <x:c r="D154" s="34" t="n">
        <x:v>1</x:v>
      </x:c>
      <x:c r="E154" s="34" t="n">
        <x:f>C154-D154</x:f>
        <x:v>0</x:v>
      </x:c>
      <x:c r="F154" s="34" t="str">
        <x:f>IF(E154=0,"PASS","FAIL")</x:f>
        <x:v>PASS</x:v>
      </x:c>
      <x:c r="G154" s="35" t="str">
        <x:v>open gate creates no readiness or rendering credit</x:v>
      </x:c>
    </x:row>
    <x:row r="155">
      <x:c r="B155" s="34" t="str">
        <x:v>E089 state and credit</x:v>
      </x:c>
      <x:c r="C155" s="34" t="n">
        <x:f>IF(AND('Evidence Gates'!I95="OPEN",'Evidence Gates'!J95=0,'Evidence Gates'!K95="BLOCKED"),1,0)</x:f>
        <x:v>1</x:v>
      </x:c>
      <x:c r="D155" s="34" t="n">
        <x:v>1</x:v>
      </x:c>
      <x:c r="E155" s="34" t="n">
        <x:f>C155-D155</x:f>
        <x:v>0</x:v>
      </x:c>
      <x:c r="F155" s="34" t="str">
        <x:f>IF(E155=0,"PASS","FAIL")</x:f>
        <x:v>PASS</x:v>
      </x:c>
      <x:c r="G155" s="35" t="str">
        <x:v>open gate creates no readiness or rendering credit</x:v>
      </x:c>
    </x:row>
    <x:row r="156">
      <x:c r="B156" s="34" t="str">
        <x:v>E090 state and credit</x:v>
      </x:c>
      <x:c r="C156" s="34" t="n">
        <x:f>IF(AND('Evidence Gates'!I96="OPEN",'Evidence Gates'!J96=0,'Evidence Gates'!K96="BLOCKED"),1,0)</x:f>
        <x:v>1</x:v>
      </x:c>
      <x:c r="D156" s="34" t="n">
        <x:v>1</x:v>
      </x:c>
      <x:c r="E156" s="34" t="n">
        <x:f>C156-D156</x:f>
        <x:v>0</x:v>
      </x:c>
      <x:c r="F156" s="34" t="str">
        <x:f>IF(E156=0,"PASS","FAIL")</x:f>
        <x:v>PASS</x:v>
      </x:c>
      <x:c r="G156" s="35" t="str">
        <x:v>open gate creates no readiness or rendering credit</x:v>
      </x:c>
    </x:row>
    <x:row r="157">
      <x:c r="B157" s="34" t="str">
        <x:v>E091 state and credit</x:v>
      </x:c>
      <x:c r="C157" s="34" t="n">
        <x:f>IF(AND('Evidence Gates'!I97="OPEN",'Evidence Gates'!J97=0,'Evidence Gates'!K97="BLOCKED"),1,0)</x:f>
        <x:v>1</x:v>
      </x:c>
      <x:c r="D157" s="34" t="n">
        <x:v>1</x:v>
      </x:c>
      <x:c r="E157" s="34" t="n">
        <x:f>C157-D157</x:f>
        <x:v>0</x:v>
      </x:c>
      <x:c r="F157" s="34" t="str">
        <x:f>IF(E157=0,"PASS","FAIL")</x:f>
        <x:v>PASS</x:v>
      </x:c>
      <x:c r="G157" s="35" t="str">
        <x:v>open gate creates no readiness or rendering credit</x:v>
      </x:c>
    </x:row>
    <x:row r="158">
      <x:c r="B158" s="34" t="str">
        <x:v>E092 state and credit</x:v>
      </x:c>
      <x:c r="C158" s="34" t="n">
        <x:f>IF(AND('Evidence Gates'!I98="OPEN",'Evidence Gates'!J98=0,'Evidence Gates'!K98="BLOCKED"),1,0)</x:f>
        <x:v>1</x:v>
      </x:c>
      <x:c r="D158" s="34" t="n">
        <x:v>1</x:v>
      </x:c>
      <x:c r="E158" s="34" t="n">
        <x:f>C158-D158</x:f>
        <x:v>0</x:v>
      </x:c>
      <x:c r="F158" s="34" t="str">
        <x:f>IF(E158=0,"PASS","FAIL")</x:f>
        <x:v>PASS</x:v>
      </x:c>
      <x:c r="G158" s="35" t="str">
        <x:v>open gate creates no readiness or rendering credit</x:v>
      </x:c>
    </x:row>
    <x:row r="159">
      <x:c r="B159" s="34" t="str">
        <x:v>E093 state and credit</x:v>
      </x:c>
      <x:c r="C159" s="34" t="n">
        <x:f>IF(AND('Evidence Gates'!I99="OPEN",'Evidence Gates'!J99=0,'Evidence Gates'!K99="BLOCKED"),1,0)</x:f>
        <x:v>1</x:v>
      </x:c>
      <x:c r="D159" s="34" t="n">
        <x:v>1</x:v>
      </x:c>
      <x:c r="E159" s="34" t="n">
        <x:f>C159-D159</x:f>
        <x:v>0</x:v>
      </x:c>
      <x:c r="F159" s="34" t="str">
        <x:f>IF(E159=0,"PASS","FAIL")</x:f>
        <x:v>PASS</x:v>
      </x:c>
      <x:c r="G159" s="35" t="str">
        <x:v>open gate creates no readiness or rendering credit</x:v>
      </x:c>
    </x:row>
    <x:row r="160">
      <x:c r="B160" s="34" t="str">
        <x:v>E094 state and credit</x:v>
      </x:c>
      <x:c r="C160" s="34" t="n">
        <x:f>IF(AND('Evidence Gates'!I100="OPEN",'Evidence Gates'!J100=0,'Evidence Gates'!K100="BLOCKED"),1,0)</x:f>
        <x:v>1</x:v>
      </x:c>
      <x:c r="D160" s="34" t="n">
        <x:v>1</x:v>
      </x:c>
      <x:c r="E160" s="34" t="n">
        <x:f>C160-D160</x:f>
        <x:v>0</x:v>
      </x:c>
      <x:c r="F160" s="34" t="str">
        <x:f>IF(E160=0,"PASS","FAIL")</x:f>
        <x:v>PASS</x:v>
      </x:c>
      <x:c r="G160" s="35" t="str">
        <x:v>open gate creates no readiness or rendering credit</x:v>
      </x:c>
    </x:row>
    <x:row r="161">
      <x:c r="B161" s="34" t="str">
        <x:v>E095 state and credit</x:v>
      </x:c>
      <x:c r="C161" s="34" t="n">
        <x:f>IF(AND('Evidence Gates'!I101="OPEN",'Evidence Gates'!J101=0,'Evidence Gates'!K101="BLOCKED"),1,0)</x:f>
        <x:v>1</x:v>
      </x:c>
      <x:c r="D161" s="34" t="n">
        <x:v>1</x:v>
      </x:c>
      <x:c r="E161" s="34" t="n">
        <x:f>C161-D161</x:f>
        <x:v>0</x:v>
      </x:c>
      <x:c r="F161" s="34" t="str">
        <x:f>IF(E161=0,"PASS","FAIL")</x:f>
        <x:v>PASS</x:v>
      </x:c>
      <x:c r="G161" s="35" t="str">
        <x:v>open gate creates no readiness or rendering credit</x:v>
      </x:c>
    </x:row>
    <x:row r="162">
      <x:c r="B162" s="34" t="str">
        <x:v>E096 state and credit</x:v>
      </x:c>
      <x:c r="C162" s="34" t="n">
        <x:f>IF(AND('Evidence Gates'!I102="OPEN",'Evidence Gates'!J102=0,'Evidence Gates'!K102="BLOCKED"),1,0)</x:f>
        <x:v>1</x:v>
      </x:c>
      <x:c r="D162" s="34" t="n">
        <x:v>1</x:v>
      </x:c>
      <x:c r="E162" s="34" t="n">
        <x:f>C162-D162</x:f>
        <x:v>0</x:v>
      </x:c>
      <x:c r="F162" s="34" t="str">
        <x:f>IF(E162=0,"PASS","FAIL")</x:f>
        <x:v>PASS</x:v>
      </x:c>
      <x:c r="G162" s="35" t="str">
        <x:v>open gate creates no readiness or rendering credit</x:v>
      </x:c>
    </x:row>
    <x:row r="163">
      <x:c r="B163" s="34" t="str">
        <x:v>E097 state and credit</x:v>
      </x:c>
      <x:c r="C163" s="34" t="n">
        <x:f>IF(AND('Evidence Gates'!I103="OPEN",'Evidence Gates'!J103=0,'Evidence Gates'!K103="BLOCKED"),1,0)</x:f>
        <x:v>1</x:v>
      </x:c>
      <x:c r="D163" s="34" t="n">
        <x:v>1</x:v>
      </x:c>
      <x:c r="E163" s="34" t="n">
        <x:f>C163-D163</x:f>
        <x:v>0</x:v>
      </x:c>
      <x:c r="F163" s="34" t="str">
        <x:f>IF(E163=0,"PASS","FAIL")</x:f>
        <x:v>PASS</x:v>
      </x:c>
      <x:c r="G163" s="35" t="str">
        <x:v>open gate creates no readiness or rendering credit</x:v>
      </x:c>
    </x:row>
    <x:row r="164">
      <x:c r="B164" s="34" t="str">
        <x:v>E098 state and credit</x:v>
      </x:c>
      <x:c r="C164" s="34" t="n">
        <x:f>IF(AND('Evidence Gates'!I104="OPEN",'Evidence Gates'!J104=0,'Evidence Gates'!K104="BLOCKED"),1,0)</x:f>
        <x:v>1</x:v>
      </x:c>
      <x:c r="D164" s="34" t="n">
        <x:v>1</x:v>
      </x:c>
      <x:c r="E164" s="34" t="n">
        <x:f>C164-D164</x:f>
        <x:v>0</x:v>
      </x:c>
      <x:c r="F164" s="34" t="str">
        <x:f>IF(E164=0,"PASS","FAIL")</x:f>
        <x:v>PASS</x:v>
      </x:c>
      <x:c r="G164" s="35" t="str">
        <x:v>open gate creates no readiness or rendering credit</x:v>
      </x:c>
    </x:row>
    <x:row r="165">
      <x:c r="B165" s="34" t="str">
        <x:v>E099 state and credit</x:v>
      </x:c>
      <x:c r="C165" s="34" t="n">
        <x:f>IF(AND('Evidence Gates'!I105="OPEN",'Evidence Gates'!J105=0,'Evidence Gates'!K105="BLOCKED"),1,0)</x:f>
        <x:v>1</x:v>
      </x:c>
      <x:c r="D165" s="34" t="n">
        <x:v>1</x:v>
      </x:c>
      <x:c r="E165" s="34" t="n">
        <x:f>C165-D165</x:f>
        <x:v>0</x:v>
      </x:c>
      <x:c r="F165" s="34" t="str">
        <x:f>IF(E165=0,"PASS","FAIL")</x:f>
        <x:v>PASS</x:v>
      </x:c>
      <x:c r="G165" s="35" t="str">
        <x:v>open gate creates no readiness or rendering credit</x:v>
      </x:c>
    </x:row>
    <x:row r="166">
      <x:c r="B166" s="34" t="str">
        <x:v>E100 state and credit</x:v>
      </x:c>
      <x:c r="C166" s="34" t="n">
        <x:f>IF(AND('Evidence Gates'!I106="OPEN",'Evidence Gates'!J106=0,'Evidence Gates'!K106="BLOCKED"),1,0)</x:f>
        <x:v>1</x:v>
      </x:c>
      <x:c r="D166" s="34" t="n">
        <x:v>1</x:v>
      </x:c>
      <x:c r="E166" s="34" t="n">
        <x:f>C166-D166</x:f>
        <x:v>0</x:v>
      </x:c>
      <x:c r="F166" s="34" t="str">
        <x:f>IF(E166=0,"PASS","FAIL")</x:f>
        <x:v>PASS</x:v>
      </x:c>
      <x:c r="G166" s="35" t="str">
        <x:v>open gate creates no readiness or rendering credit</x:v>
      </x:c>
    </x:row>
    <x:row r="167">
      <x:c r="B167" s="34" t="str">
        <x:v>E101 state and credit</x:v>
      </x:c>
      <x:c r="C167" s="34" t="n">
        <x:f>IF(AND('Evidence Gates'!I107="OPEN",'Evidence Gates'!J107=0,'Evidence Gates'!K107="BLOCKED"),1,0)</x:f>
        <x:v>1</x:v>
      </x:c>
      <x:c r="D167" s="34" t="n">
        <x:v>1</x:v>
      </x:c>
      <x:c r="E167" s="34" t="n">
        <x:f>C167-D167</x:f>
        <x:v>0</x:v>
      </x:c>
      <x:c r="F167" s="34" t="str">
        <x:f>IF(E167=0,"PASS","FAIL")</x:f>
        <x:v>PASS</x:v>
      </x:c>
      <x:c r="G167" s="35" t="str">
        <x:v>open gate creates no readiness or rendering credit</x:v>
      </x:c>
    </x:row>
    <x:row r="168">
      <x:c r="B168" s="34" t="str">
        <x:v>E102 state and credit</x:v>
      </x:c>
      <x:c r="C168" s="34" t="n">
        <x:f>IF(AND('Evidence Gates'!I108="OPEN",'Evidence Gates'!J108=0,'Evidence Gates'!K108="BLOCKED"),1,0)</x:f>
        <x:v>1</x:v>
      </x:c>
      <x:c r="D168" s="34" t="n">
        <x:v>1</x:v>
      </x:c>
      <x:c r="E168" s="34" t="n">
        <x:f>C168-D168</x:f>
        <x:v>0</x:v>
      </x:c>
      <x:c r="F168" s="34" t="str">
        <x:f>IF(E168=0,"PASS","FAIL")</x:f>
        <x:v>PASS</x:v>
      </x:c>
      <x:c r="G168" s="35" t="str">
        <x:v>open gate creates no readiness or rendering credit</x:v>
      </x:c>
    </x:row>
    <x:row r="169">
      <x:c r="B169" s="34" t="str">
        <x:v>E103 state and credit</x:v>
      </x:c>
      <x:c r="C169" s="34" t="n">
        <x:f>IF(AND('Evidence Gates'!I109="OPEN",'Evidence Gates'!J109=0,'Evidence Gates'!K109="BLOCKED"),1,0)</x:f>
        <x:v>1</x:v>
      </x:c>
      <x:c r="D169" s="34" t="n">
        <x:v>1</x:v>
      </x:c>
      <x:c r="E169" s="34" t="n">
        <x:f>C169-D169</x:f>
        <x:v>0</x:v>
      </x:c>
      <x:c r="F169" s="34" t="str">
        <x:f>IF(E169=0,"PASS","FAIL")</x:f>
        <x:v>PASS</x:v>
      </x:c>
      <x:c r="G169" s="35" t="str">
        <x:v>open gate creates no readiness or rendering credit</x:v>
      </x:c>
    </x:row>
    <x:row r="170">
      <x:c r="B170" s="34" t="str">
        <x:v>E104 state and credit</x:v>
      </x:c>
      <x:c r="C170" s="34" t="n">
        <x:f>IF(AND('Evidence Gates'!I110="OPEN",'Evidence Gates'!J110=0,'Evidence Gates'!K110="BLOCKED"),1,0)</x:f>
        <x:v>1</x:v>
      </x:c>
      <x:c r="D170" s="34" t="n">
        <x:v>1</x:v>
      </x:c>
      <x:c r="E170" s="34" t="n">
        <x:f>C170-D170</x:f>
        <x:v>0</x:v>
      </x:c>
      <x:c r="F170" s="34" t="str">
        <x:f>IF(E170=0,"PASS","FAIL")</x:f>
        <x:v>PASS</x:v>
      </x:c>
      <x:c r="G170" s="35" t="str">
        <x:v>open gate creates no readiness or rendering credit</x:v>
      </x:c>
    </x:row>
    <x:row r="171">
      <x:c r="B171" s="34" t="str">
        <x:v>E105 state and credit</x:v>
      </x:c>
      <x:c r="C171" s="34" t="n">
        <x:f>IF(AND('Evidence Gates'!I111="OPEN",'Evidence Gates'!J111=0,'Evidence Gates'!K111="BLOCKED"),1,0)</x:f>
        <x:v>1</x:v>
      </x:c>
      <x:c r="D171" s="34" t="n">
        <x:v>1</x:v>
      </x:c>
      <x:c r="E171" s="34" t="n">
        <x:f>C171-D171</x:f>
        <x:v>0</x:v>
      </x:c>
      <x:c r="F171" s="34" t="str">
        <x:f>IF(E171=0,"PASS","FAIL")</x:f>
        <x:v>PASS</x:v>
      </x:c>
      <x:c r="G171" s="35" t="str">
        <x:v>open gate creates no readiness or rendering credit</x:v>
      </x:c>
    </x:row>
    <x:row r="172">
      <x:c r="B172" s="34" t="str">
        <x:v>E106 state and credit</x:v>
      </x:c>
      <x:c r="C172" s="34" t="n">
        <x:f>IF(AND('Evidence Gates'!I112="OPEN",'Evidence Gates'!J112=0,'Evidence Gates'!K112="BLOCKED"),1,0)</x:f>
        <x:v>1</x:v>
      </x:c>
      <x:c r="D172" s="34" t="n">
        <x:v>1</x:v>
      </x:c>
      <x:c r="E172" s="34" t="n">
        <x:f>C172-D172</x:f>
        <x:v>0</x:v>
      </x:c>
      <x:c r="F172" s="34" t="str">
        <x:f>IF(E172=0,"PASS","FAIL")</x:f>
        <x:v>PASS</x:v>
      </x:c>
      <x:c r="G172" s="35" t="str">
        <x:v>open gate creates no readiness or rendering credit</x:v>
      </x:c>
    </x:row>
    <x:row r="173">
      <x:c r="B173" s="34" t="str">
        <x:v>E107 state and credit</x:v>
      </x:c>
      <x:c r="C173" s="34" t="n">
        <x:f>IF(AND('Evidence Gates'!I113="OPEN",'Evidence Gates'!J113=0,'Evidence Gates'!K113="BLOCKED"),1,0)</x:f>
        <x:v>1</x:v>
      </x:c>
      <x:c r="D173" s="34" t="n">
        <x:v>1</x:v>
      </x:c>
      <x:c r="E173" s="34" t="n">
        <x:f>C173-D173</x:f>
        <x:v>0</x:v>
      </x:c>
      <x:c r="F173" s="34" t="str">
        <x:f>IF(E173=0,"PASS","FAIL")</x:f>
        <x:v>PASS</x:v>
      </x:c>
      <x:c r="G173" s="35" t="str">
        <x:v>open gate creates no readiness or rendering credit</x:v>
      </x:c>
    </x:row>
    <x:row r="174">
      <x:c r="B174" s="34" t="str">
        <x:v>E108 state and credit</x:v>
      </x:c>
      <x:c r="C174" s="34" t="n">
        <x:f>IF(AND('Evidence Gates'!I114="OPEN",'Evidence Gates'!J114=0,'Evidence Gates'!K114="BLOCKED"),1,0)</x:f>
        <x:v>1</x:v>
      </x:c>
      <x:c r="D174" s="34" t="n">
        <x:v>1</x:v>
      </x:c>
      <x:c r="E174" s="34" t="n">
        <x:f>C174-D174</x:f>
        <x:v>0</x:v>
      </x:c>
      <x:c r="F174" s="34" t="str">
        <x:f>IF(E174=0,"PASS","FAIL")</x:f>
        <x:v>PASS</x:v>
      </x:c>
      <x:c r="G174" s="35" t="str">
        <x:v>open gate creates no readiness or rendering credit</x:v>
      </x:c>
    </x:row>
    <x:row r="175">
      <x:c r="B175" s="34" t="str">
        <x:v>E109 state and credit</x:v>
      </x:c>
      <x:c r="C175" s="34" t="n">
        <x:f>IF(AND('Evidence Gates'!I115="OPEN",'Evidence Gates'!J115=0,'Evidence Gates'!K115="BLOCKED"),1,0)</x:f>
        <x:v>1</x:v>
      </x:c>
      <x:c r="D175" s="34" t="n">
        <x:v>1</x:v>
      </x:c>
      <x:c r="E175" s="34" t="n">
        <x:f>C175-D175</x:f>
        <x:v>0</x:v>
      </x:c>
      <x:c r="F175" s="34" t="str">
        <x:f>IF(E175=0,"PASS","FAIL")</x:f>
        <x:v>PASS</x:v>
      </x:c>
      <x:c r="G175" s="35" t="str">
        <x:v>open gate creates no readiness or rendering credit</x:v>
      </x:c>
    </x:row>
    <x:row r="176">
      <x:c r="B176" s="34" t="str">
        <x:v>E110 state and credit</x:v>
      </x:c>
      <x:c r="C176" s="34" t="n">
        <x:f>IF(AND('Evidence Gates'!I116="OPEN",'Evidence Gates'!J116=0,'Evidence Gates'!K116="BLOCKED"),1,0)</x:f>
        <x:v>1</x:v>
      </x:c>
      <x:c r="D176" s="34" t="n">
        <x:v>1</x:v>
      </x:c>
      <x:c r="E176" s="34" t="n">
        <x:f>C176-D176</x:f>
        <x:v>0</x:v>
      </x:c>
      <x:c r="F176" s="34" t="str">
        <x:f>IF(E176=0,"PASS","FAIL")</x:f>
        <x:v>PASS</x:v>
      </x:c>
      <x:c r="G176" s="35" t="str">
        <x:v>open gate creates no readiness or rendering credit</x:v>
      </x:c>
    </x:row>
    <x:row r="177">
      <x:c r="B177" s="34" t="str">
        <x:v>E111 state and credit</x:v>
      </x:c>
      <x:c r="C177" s="34" t="n">
        <x:f>IF(AND('Evidence Gates'!I117="OPEN",'Evidence Gates'!J117=0,'Evidence Gates'!K117="BLOCKED"),1,0)</x:f>
        <x:v>1</x:v>
      </x:c>
      <x:c r="D177" s="34" t="n">
        <x:v>1</x:v>
      </x:c>
      <x:c r="E177" s="34" t="n">
        <x:f>C177-D177</x:f>
        <x:v>0</x:v>
      </x:c>
      <x:c r="F177" s="34" t="str">
        <x:f>IF(E177=0,"PASS","FAIL")</x:f>
        <x:v>PASS</x:v>
      </x:c>
      <x:c r="G177" s="35" t="str">
        <x:v>open gate creates no readiness or rendering credit</x:v>
      </x:c>
    </x:row>
    <x:row r="178">
      <x:c r="B178" s="34" t="str">
        <x:v>E112 state and credit</x:v>
      </x:c>
      <x:c r="C178" s="34" t="n">
        <x:f>IF(AND('Evidence Gates'!I118="OPEN",'Evidence Gates'!J118=0,'Evidence Gates'!K118="BLOCKED"),1,0)</x:f>
        <x:v>1</x:v>
      </x:c>
      <x:c r="D178" s="34" t="n">
        <x:v>1</x:v>
      </x:c>
      <x:c r="E178" s="34" t="n">
        <x:f>C178-D178</x:f>
        <x:v>0</x:v>
      </x:c>
      <x:c r="F178" s="34" t="str">
        <x:f>IF(E178=0,"PASS","FAIL")</x:f>
        <x:v>PASS</x:v>
      </x:c>
      <x:c r="G178" s="35" t="str">
        <x:v>open gate creates no readiness or rendering credit</x:v>
      </x:c>
    </x:row>
    <x:row r="179">
      <x:c r="B179" s="34" t="str">
        <x:v>E113 state and credit</x:v>
      </x:c>
      <x:c r="C179" s="34" t="n">
        <x:f>IF(AND('Evidence Gates'!I119="OPEN",'Evidence Gates'!J119=0,'Evidence Gates'!K119="BLOCKED"),1,0)</x:f>
        <x:v>1</x:v>
      </x:c>
      <x:c r="D179" s="34" t="n">
        <x:v>1</x:v>
      </x:c>
      <x:c r="E179" s="34" t="n">
        <x:f>C179-D179</x:f>
        <x:v>0</x:v>
      </x:c>
      <x:c r="F179" s="34" t="str">
        <x:f>IF(E179=0,"PASS","FAIL")</x:f>
        <x:v>PASS</x:v>
      </x:c>
      <x:c r="G179" s="35" t="str">
        <x:v>open gate creates no readiness or rendering credit</x:v>
      </x:c>
    </x:row>
    <x:row r="180">
      <x:c r="B180" s="34" t="str">
        <x:v>E114 state and credit</x:v>
      </x:c>
      <x:c r="C180" s="34" t="n">
        <x:f>IF(AND('Evidence Gates'!I120="OPEN",'Evidence Gates'!J120=0,'Evidence Gates'!K120="BLOCKED"),1,0)</x:f>
        <x:v>1</x:v>
      </x:c>
      <x:c r="D180" s="34" t="n">
        <x:v>1</x:v>
      </x:c>
      <x:c r="E180" s="34" t="n">
        <x:f>C180-D180</x:f>
        <x:v>0</x:v>
      </x:c>
      <x:c r="F180" s="34" t="str">
        <x:f>IF(E180=0,"PASS","FAIL")</x:f>
        <x:v>PASS</x:v>
      </x:c>
      <x:c r="G180" s="35" t="str">
        <x:v>open gate creates no readiness or rendering credit</x:v>
      </x:c>
    </x:row>
    <x:row r="181">
      <x:c r="B181" s="34" t="str">
        <x:v>E115 state and credit</x:v>
      </x:c>
      <x:c r="C181" s="34" t="n">
        <x:f>IF(AND('Evidence Gates'!I121="OPEN",'Evidence Gates'!J121=0,'Evidence Gates'!K121="BLOCKED"),1,0)</x:f>
        <x:v>1</x:v>
      </x:c>
      <x:c r="D181" s="34" t="n">
        <x:v>1</x:v>
      </x:c>
      <x:c r="E181" s="34" t="n">
        <x:f>C181-D181</x:f>
        <x:v>0</x:v>
      </x:c>
      <x:c r="F181" s="34" t="str">
        <x:f>IF(E181=0,"PASS","FAIL")</x:f>
        <x:v>PASS</x:v>
      </x:c>
      <x:c r="G181" s="35" t="str">
        <x:v>open gate creates no readiness or rendering credit</x:v>
      </x:c>
    </x:row>
    <x:row r="182">
      <x:c r="B182" s="34" t="str">
        <x:v>E116 state and credit</x:v>
      </x:c>
      <x:c r="C182" s="34" t="n">
        <x:f>IF(AND('Evidence Gates'!I122="OPEN",'Evidence Gates'!J122=0,'Evidence Gates'!K122="BLOCKED"),1,0)</x:f>
        <x:v>1</x:v>
      </x:c>
      <x:c r="D182" s="34" t="n">
        <x:v>1</x:v>
      </x:c>
      <x:c r="E182" s="34" t="n">
        <x:f>C182-D182</x:f>
        <x:v>0</x:v>
      </x:c>
      <x:c r="F182" s="34" t="str">
        <x:f>IF(E182=0,"PASS","FAIL")</x:f>
        <x:v>PASS</x:v>
      </x:c>
      <x:c r="G182" s="35" t="str">
        <x:v>open gate creates no readiness or rendering credit</x:v>
      </x:c>
    </x:row>
    <x:row r="183">
      <x:c r="B183" s="34" t="str">
        <x:v>E117 state and credit</x:v>
      </x:c>
      <x:c r="C183" s="34" t="n">
        <x:f>IF(AND('Evidence Gates'!I123="OPEN",'Evidence Gates'!J123=0,'Evidence Gates'!K123="BLOCKED"),1,0)</x:f>
        <x:v>1</x:v>
      </x:c>
      <x:c r="D183" s="34" t="n">
        <x:v>1</x:v>
      </x:c>
      <x:c r="E183" s="34" t="n">
        <x:f>C183-D183</x:f>
        <x:v>0</x:v>
      </x:c>
      <x:c r="F183" s="34" t="str">
        <x:f>IF(E183=0,"PASS","FAIL")</x:f>
        <x:v>PASS</x:v>
      </x:c>
      <x:c r="G183" s="35" t="str">
        <x:v>open gate creates no readiness or rendering credit</x:v>
      </x:c>
    </x:row>
    <x:row r="184">
      <x:c r="B184" s="34" t="str">
        <x:v>E118 state and credit</x:v>
      </x:c>
      <x:c r="C184" s="34" t="n">
        <x:f>IF(AND('Evidence Gates'!I124="OPEN",'Evidence Gates'!J124=0,'Evidence Gates'!K124="BLOCKED"),1,0)</x:f>
        <x:v>1</x:v>
      </x:c>
      <x:c r="D184" s="34" t="n">
        <x:v>1</x:v>
      </x:c>
      <x:c r="E184" s="34" t="n">
        <x:f>C184-D184</x:f>
        <x:v>0</x:v>
      </x:c>
      <x:c r="F184" s="34" t="str">
        <x:f>IF(E184=0,"PASS","FAIL")</x:f>
        <x:v>PASS</x:v>
      </x:c>
      <x:c r="G184" s="35" t="str">
        <x:v>open gate creates no readiness or rendering credit</x:v>
      </x:c>
    </x:row>
    <x:row r="185">
      <x:c r="B185" s="34" t="str">
        <x:v>E119 state and credit</x:v>
      </x:c>
      <x:c r="C185" s="34" t="n">
        <x:f>IF(AND('Evidence Gates'!I125="OPEN",'Evidence Gates'!J125=0,'Evidence Gates'!K125="BLOCKED"),1,0)</x:f>
        <x:v>1</x:v>
      </x:c>
      <x:c r="D185" s="34" t="n">
        <x:v>1</x:v>
      </x:c>
      <x:c r="E185" s="34" t="n">
        <x:f>C185-D185</x:f>
        <x:v>0</x:v>
      </x:c>
      <x:c r="F185" s="34" t="str">
        <x:f>IF(E185=0,"PASS","FAIL")</x:f>
        <x:v>PASS</x:v>
      </x:c>
      <x:c r="G185" s="35" t="str">
        <x:v>open gate creates no readiness or rendering credit</x:v>
      </x:c>
    </x:row>
    <x:row r="186">
      <x:c r="B186" s="34" t="str">
        <x:v>E120 state and credit</x:v>
      </x:c>
      <x:c r="C186" s="34" t="n">
        <x:f>IF(AND('Evidence Gates'!I126="OPEN",'Evidence Gates'!J126=0,'Evidence Gates'!K126="BLOCKED"),1,0)</x:f>
        <x:v>1</x:v>
      </x:c>
      <x:c r="D186" s="34" t="n">
        <x:v>1</x:v>
      </x:c>
      <x:c r="E186" s="34" t="n">
        <x:f>C186-D186</x:f>
        <x:v>0</x:v>
      </x:c>
      <x:c r="F186" s="34" t="str">
        <x:f>IF(E186=0,"PASS","FAIL")</x:f>
        <x:v>PASS</x:v>
      </x:c>
      <x:c r="G186" s="35" t="str">
        <x:v>open gate creates no readiness or rendering credit</x:v>
      </x:c>
    </x:row>
    <x:row r="187">
      <x:c r="B187" s="34" t="str">
        <x:v>E121 state and credit</x:v>
      </x:c>
      <x:c r="C187" s="34" t="n">
        <x:f>IF(AND('Evidence Gates'!I127="OPEN",'Evidence Gates'!J127=0,'Evidence Gates'!K127="BLOCKED"),1,0)</x:f>
        <x:v>1</x:v>
      </x:c>
      <x:c r="D187" s="34" t="n">
        <x:v>1</x:v>
      </x:c>
      <x:c r="E187" s="34" t="n">
        <x:f>C187-D187</x:f>
        <x:v>0</x:v>
      </x:c>
      <x:c r="F187" s="34" t="str">
        <x:f>IF(E187=0,"PASS","FAIL")</x:f>
        <x:v>PASS</x:v>
      </x:c>
      <x:c r="G187" s="35" t="str">
        <x:v>open gate creates no readiness or rendering credit</x:v>
      </x:c>
    </x:row>
    <x:row r="188">
      <x:c r="B188" s="34" t="str">
        <x:v>E122 state and credit</x:v>
      </x:c>
      <x:c r="C188" s="34" t="n">
        <x:f>IF(AND('Evidence Gates'!I128="OPEN",'Evidence Gates'!J128=0,'Evidence Gates'!K128="BLOCKED"),1,0)</x:f>
        <x:v>1</x:v>
      </x:c>
      <x:c r="D188" s="34" t="n">
        <x:v>1</x:v>
      </x:c>
      <x:c r="E188" s="34" t="n">
        <x:f>C188-D188</x:f>
        <x:v>0</x:v>
      </x:c>
      <x:c r="F188" s="34" t="str">
        <x:f>IF(E188=0,"PASS","FAIL")</x:f>
        <x:v>PASS</x:v>
      </x:c>
      <x:c r="G188" s="35" t="str">
        <x:v>open gate creates no readiness or rendering credit</x:v>
      </x:c>
    </x:row>
    <x:row r="189">
      <x:c r="B189" s="34" t="str">
        <x:v>E123 state and credit</x:v>
      </x:c>
      <x:c r="C189" s="34" t="n">
        <x:f>IF(AND('Evidence Gates'!I129="OPEN",'Evidence Gates'!J129=0,'Evidence Gates'!K129="BLOCKED"),1,0)</x:f>
        <x:v>1</x:v>
      </x:c>
      <x:c r="D189" s="34" t="n">
        <x:v>1</x:v>
      </x:c>
      <x:c r="E189" s="34" t="n">
        <x:f>C189-D189</x:f>
        <x:v>0</x:v>
      </x:c>
      <x:c r="F189" s="34" t="str">
        <x:f>IF(E189=0,"PASS","FAIL")</x:f>
        <x:v>PASS</x:v>
      </x:c>
      <x:c r="G189" s="35" t="str">
        <x:v>open gate creates no readiness or rendering credit</x:v>
      </x:c>
    </x:row>
    <x:row r="190">
      <x:c r="B190" s="34" t="str">
        <x:v>E124 state and credit</x:v>
      </x:c>
      <x:c r="C190" s="34" t="n">
        <x:f>IF(AND('Evidence Gates'!I130="OPEN",'Evidence Gates'!J130=0,'Evidence Gates'!K130="BLOCKED"),1,0)</x:f>
        <x:v>1</x:v>
      </x:c>
      <x:c r="D190" s="34" t="n">
        <x:v>1</x:v>
      </x:c>
      <x:c r="E190" s="34" t="n">
        <x:f>C190-D190</x:f>
        <x:v>0</x:v>
      </x:c>
      <x:c r="F190" s="34" t="str">
        <x:f>IF(E190=0,"PASS","FAIL")</x:f>
        <x:v>PASS</x:v>
      </x:c>
      <x:c r="G190" s="35" t="str">
        <x:v>open gate creates no readiness or rendering credit</x:v>
      </x:c>
    </x:row>
    <x:row r="191">
      <x:c r="B191" s="34" t="str">
        <x:v>E125 state and credit</x:v>
      </x:c>
      <x:c r="C191" s="34" t="n">
        <x:f>IF(AND('Evidence Gates'!I131="OPEN",'Evidence Gates'!J131=0,'Evidence Gates'!K131="BLOCKED"),1,0)</x:f>
        <x:v>1</x:v>
      </x:c>
      <x:c r="D191" s="34" t="n">
        <x:v>1</x:v>
      </x:c>
      <x:c r="E191" s="34" t="n">
        <x:f>C191-D191</x:f>
        <x:v>0</x:v>
      </x:c>
      <x:c r="F191" s="34" t="str">
        <x:f>IF(E191=0,"PASS","FAIL")</x:f>
        <x:v>PASS</x:v>
      </x:c>
      <x:c r="G191" s="35" t="str">
        <x:v>open gate creates no readiness or rendering credit</x:v>
      </x:c>
    </x:row>
    <x:row r="192">
      <x:c r="B192" s="34" t="str">
        <x:v>E126 state and credit</x:v>
      </x:c>
      <x:c r="C192" s="34" t="n">
        <x:f>IF(AND('Evidence Gates'!I132="OPEN",'Evidence Gates'!J132=0,'Evidence Gates'!K132="BLOCKED"),1,0)</x:f>
        <x:v>1</x:v>
      </x:c>
      <x:c r="D192" s="34" t="n">
        <x:v>1</x:v>
      </x:c>
      <x:c r="E192" s="34" t="n">
        <x:f>C192-D192</x:f>
        <x:v>0</x:v>
      </x:c>
      <x:c r="F192" s="34" t="str">
        <x:f>IF(E192=0,"PASS","FAIL")</x:f>
        <x:v>PASS</x:v>
      </x:c>
      <x:c r="G192" s="35" t="str">
        <x:v>open gate creates no readiness or rendering credit</x:v>
      </x:c>
    </x:row>
    <x:row r="193">
      <x:c r="B193" s="34" t="str">
        <x:v>E127 state and credit</x:v>
      </x:c>
      <x:c r="C193" s="34" t="n">
        <x:f>IF(AND('Evidence Gates'!I133="OPEN",'Evidence Gates'!J133=0,'Evidence Gates'!K133="BLOCKED"),1,0)</x:f>
        <x:v>1</x:v>
      </x:c>
      <x:c r="D193" s="34" t="n">
        <x:v>1</x:v>
      </x:c>
      <x:c r="E193" s="34" t="n">
        <x:f>C193-D193</x:f>
        <x:v>0</x:v>
      </x:c>
      <x:c r="F193" s="34" t="str">
        <x:f>IF(E193=0,"PASS","FAIL")</x:f>
        <x:v>PASS</x:v>
      </x:c>
      <x:c r="G193" s="35" t="str">
        <x:v>open gate creates no readiness or rendering credit</x:v>
      </x:c>
    </x:row>
    <x:row r="194">
      <x:c r="B194" s="34" t="str">
        <x:v>E128 state and credit</x:v>
      </x:c>
      <x:c r="C194" s="34" t="n">
        <x:f>IF(AND('Evidence Gates'!I134="OPEN",'Evidence Gates'!J134=0,'Evidence Gates'!K134="BLOCKED"),1,0)</x:f>
        <x:v>1</x:v>
      </x:c>
      <x:c r="D194" s="34" t="n">
        <x:v>1</x:v>
      </x:c>
      <x:c r="E194" s="34" t="n">
        <x:f>C194-D194</x:f>
        <x:v>0</x:v>
      </x:c>
      <x:c r="F194" s="34" t="str">
        <x:f>IF(E194=0,"PASS","FAIL")</x:f>
        <x:v>PASS</x:v>
      </x:c>
      <x:c r="G194" s="35" t="str">
        <x:v>open gate creates no readiness or rendering credit</x:v>
      </x:c>
    </x:row>
    <x:row r="195">
      <x:c r="B195" s="34" t="str">
        <x:v>E129 state and credit</x:v>
      </x:c>
      <x:c r="C195" s="34" t="n">
        <x:f>IF(AND('Evidence Gates'!I135="OPEN",'Evidence Gates'!J135=0,'Evidence Gates'!K135="BLOCKED"),1,0)</x:f>
        <x:v>1</x:v>
      </x:c>
      <x:c r="D195" s="34" t="n">
        <x:v>1</x:v>
      </x:c>
      <x:c r="E195" s="34" t="n">
        <x:f>C195-D195</x:f>
        <x:v>0</x:v>
      </x:c>
      <x:c r="F195" s="34" t="str">
        <x:f>IF(E195=0,"PASS","FAIL")</x:f>
        <x:v>PASS</x:v>
      </x:c>
      <x:c r="G195" s="35" t="str">
        <x:v>open gate creates no readiness or rendering credit</x:v>
      </x:c>
    </x:row>
    <x:row r="196">
      <x:c r="B196" s="34" t="str">
        <x:v>E130 state and credit</x:v>
      </x:c>
      <x:c r="C196" s="34" t="n">
        <x:f>IF(AND('Evidence Gates'!I136="OPEN",'Evidence Gates'!J136=0,'Evidence Gates'!K136="BLOCKED"),1,0)</x:f>
        <x:v>1</x:v>
      </x:c>
      <x:c r="D196" s="34" t="n">
        <x:v>1</x:v>
      </x:c>
      <x:c r="E196" s="34" t="n">
        <x:f>C196-D196</x:f>
        <x:v>0</x:v>
      </x:c>
      <x:c r="F196" s="34" t="str">
        <x:f>IF(E196=0,"PASS","FAIL")</x:f>
        <x:v>PASS</x:v>
      </x:c>
      <x:c r="G196" s="35" t="str">
        <x:v>open gate creates no readiness or rendering credit</x:v>
      </x:c>
    </x:row>
    <x:row r="197">
      <x:c r="B197" s="34" t="str">
        <x:v>E131 state and credit</x:v>
      </x:c>
      <x:c r="C197" s="34" t="n">
        <x:f>IF(AND('Evidence Gates'!I137="OPEN",'Evidence Gates'!J137=0,'Evidence Gates'!K137="BLOCKED"),1,0)</x:f>
        <x:v>1</x:v>
      </x:c>
      <x:c r="D197" s="34" t="n">
        <x:v>1</x:v>
      </x:c>
      <x:c r="E197" s="34" t="n">
        <x:f>C197-D197</x:f>
        <x:v>0</x:v>
      </x:c>
      <x:c r="F197" s="34" t="str">
        <x:f>IF(E197=0,"PASS","FAIL")</x:f>
        <x:v>PASS</x:v>
      </x:c>
      <x:c r="G197" s="35" t="str">
        <x:v>open gate creates no readiness or rendering credit</x:v>
      </x:c>
    </x:row>
    <x:row r="198">
      <x:c r="B198" s="34" t="str">
        <x:v>E132 state and credit</x:v>
      </x:c>
      <x:c r="C198" s="34" t="n">
        <x:f>IF(AND('Evidence Gates'!I138="OPEN",'Evidence Gates'!J138=0,'Evidence Gates'!K138="BLOCKED"),1,0)</x:f>
        <x:v>1</x:v>
      </x:c>
      <x:c r="D198" s="34" t="n">
        <x:v>1</x:v>
      </x:c>
      <x:c r="E198" s="34" t="n">
        <x:f>C198-D198</x:f>
        <x:v>0</x:v>
      </x:c>
      <x:c r="F198" s="34" t="str">
        <x:f>IF(E198=0,"PASS","FAIL")</x:f>
        <x:v>PASS</x:v>
      </x:c>
      <x:c r="G198" s="35" t="str">
        <x:v>open gate creates no readiness or rendering credit</x:v>
      </x:c>
    </x:row>
    <x:row r="199">
      <x:c r="B199" s="34" t="str">
        <x:v>E133 state and credit</x:v>
      </x:c>
      <x:c r="C199" s="34" t="n">
        <x:f>IF(AND('Evidence Gates'!I139="OPEN",'Evidence Gates'!J139=0,'Evidence Gates'!K139="BLOCKED"),1,0)</x:f>
        <x:v>1</x:v>
      </x:c>
      <x:c r="D199" s="34" t="n">
        <x:v>1</x:v>
      </x:c>
      <x:c r="E199" s="34" t="n">
        <x:f>C199-D199</x:f>
        <x:v>0</x:v>
      </x:c>
      <x:c r="F199" s="34" t="str">
        <x:f>IF(E199=0,"PASS","FAIL")</x:f>
        <x:v>PASS</x:v>
      </x:c>
      <x:c r="G199" s="35" t="str">
        <x:v>open gate creates no readiness or rendering credit</x:v>
      </x:c>
    </x:row>
    <x:row r="200">
      <x:c r="B200" s="34" t="str">
        <x:v>E134 state and credit</x:v>
      </x:c>
      <x:c r="C200" s="34" t="n">
        <x:f>IF(AND('Evidence Gates'!I140="OPEN",'Evidence Gates'!J140=0,'Evidence Gates'!K140="BLOCKED"),1,0)</x:f>
        <x:v>1</x:v>
      </x:c>
      <x:c r="D200" s="34" t="n">
        <x:v>1</x:v>
      </x:c>
      <x:c r="E200" s="34" t="n">
        <x:f>C200-D200</x:f>
        <x:v>0</x:v>
      </x:c>
      <x:c r="F200" s="34" t="str">
        <x:f>IF(E200=0,"PASS","FAIL")</x:f>
        <x:v>PASS</x:v>
      </x:c>
      <x:c r="G200" s="35" t="str">
        <x:v>open gate creates no readiness or rendering credit</x:v>
      </x:c>
    </x:row>
    <x:row r="201">
      <x:c r="B201" s="34" t="str">
        <x:v>E135 state and credit</x:v>
      </x:c>
      <x:c r="C201" s="34" t="n">
        <x:f>IF(AND('Evidence Gates'!I141="OPEN",'Evidence Gates'!J141=0,'Evidence Gates'!K141="BLOCKED"),1,0)</x:f>
        <x:v>1</x:v>
      </x:c>
      <x:c r="D201" s="34" t="n">
        <x:v>1</x:v>
      </x:c>
      <x:c r="E201" s="34" t="n">
        <x:f>C201-D201</x:f>
        <x:v>0</x:v>
      </x:c>
      <x:c r="F201" s="34" t="str">
        <x:f>IF(E201=0,"PASS","FAIL")</x:f>
        <x:v>PASS</x:v>
      </x:c>
      <x:c r="G201" s="35" t="str">
        <x:v>open gate creates no readiness or rendering credit</x:v>
      </x:c>
    </x:row>
    <x:row r="202">
      <x:c r="B202" s="34" t="str">
        <x:v>E136 state and credit</x:v>
      </x:c>
      <x:c r="C202" s="34" t="n">
        <x:f>IF(AND('Evidence Gates'!I142="OPEN",'Evidence Gates'!J142=0,'Evidence Gates'!K142="BLOCKED"),1,0)</x:f>
        <x:v>1</x:v>
      </x:c>
      <x:c r="D202" s="34" t="n">
        <x:v>1</x:v>
      </x:c>
      <x:c r="E202" s="34" t="n">
        <x:f>C202-D202</x:f>
        <x:v>0</x:v>
      </x:c>
      <x:c r="F202" s="34" t="str">
        <x:f>IF(E202=0,"PASS","FAIL")</x:f>
        <x:v>PASS</x:v>
      </x:c>
      <x:c r="G202" s="35" t="str">
        <x:v>open gate creates no readiness or rendering credit</x:v>
      </x:c>
    </x:row>
    <x:row r="203">
      <x:c r="B203" s="34" t="str">
        <x:v>E137 state and credit</x:v>
      </x:c>
      <x:c r="C203" s="34" t="n">
        <x:f>IF(AND('Evidence Gates'!I143="OPEN",'Evidence Gates'!J143=0,'Evidence Gates'!K143="BLOCKED"),1,0)</x:f>
        <x:v>1</x:v>
      </x:c>
      <x:c r="D203" s="34" t="n">
        <x:v>1</x:v>
      </x:c>
      <x:c r="E203" s="34" t="n">
        <x:f>C203-D203</x:f>
        <x:v>0</x:v>
      </x:c>
      <x:c r="F203" s="34" t="str">
        <x:f>IF(E203=0,"PASS","FAIL")</x:f>
        <x:v>PASS</x:v>
      </x:c>
      <x:c r="G203" s="35" t="str">
        <x:v>open gate creates no readiness or rendering credit</x:v>
      </x:c>
    </x:row>
    <x:row r="204">
      <x:c r="B204" s="34" t="str">
        <x:v>E138 state and credit</x:v>
      </x:c>
      <x:c r="C204" s="34" t="n">
        <x:f>IF(AND('Evidence Gates'!I144="OPEN",'Evidence Gates'!J144=0,'Evidence Gates'!K144="BLOCKED"),1,0)</x:f>
        <x:v>1</x:v>
      </x:c>
      <x:c r="D204" s="34" t="n">
        <x:v>1</x:v>
      </x:c>
      <x:c r="E204" s="34" t="n">
        <x:f>C204-D204</x:f>
        <x:v>0</x:v>
      </x:c>
      <x:c r="F204" s="34" t="str">
        <x:f>IF(E204=0,"PASS","FAIL")</x:f>
        <x:v>PASS</x:v>
      </x:c>
      <x:c r="G204" s="35" t="str">
        <x:v>open gate creates no readiness or rendering credit</x:v>
      </x:c>
    </x:row>
    <x:row r="205">
      <x:c r="B205" s="34" t="str">
        <x:v>E139 state and credit</x:v>
      </x:c>
      <x:c r="C205" s="34" t="n">
        <x:f>IF(AND('Evidence Gates'!I145="OPEN",'Evidence Gates'!J145=0,'Evidence Gates'!K145="BLOCKED"),1,0)</x:f>
        <x:v>1</x:v>
      </x:c>
      <x:c r="D205" s="34" t="n">
        <x:v>1</x:v>
      </x:c>
      <x:c r="E205" s="34" t="n">
        <x:f>C205-D205</x:f>
        <x:v>0</x:v>
      </x:c>
      <x:c r="F205" s="34" t="str">
        <x:f>IF(E205=0,"PASS","FAIL")</x:f>
        <x:v>PASS</x:v>
      </x:c>
      <x:c r="G205" s="35" t="str">
        <x:v>open gate creates no readiness or rendering credit</x:v>
      </x:c>
    </x:row>
    <x:row r="206">
      <x:c r="B206" s="34" t="str">
        <x:v>E140 state and credit</x:v>
      </x:c>
      <x:c r="C206" s="34" t="n">
        <x:f>IF(AND('Evidence Gates'!I146="OPEN",'Evidence Gates'!J146=0,'Evidence Gates'!K146="BLOCKED"),1,0)</x:f>
        <x:v>1</x:v>
      </x:c>
      <x:c r="D206" s="34" t="n">
        <x:v>1</x:v>
      </x:c>
      <x:c r="E206" s="34" t="n">
        <x:f>C206-D206</x:f>
        <x:v>0</x:v>
      </x:c>
      <x:c r="F206" s="34" t="str">
        <x:f>IF(E206=0,"PASS","FAIL")</x:f>
        <x:v>PASS</x:v>
      </x:c>
      <x:c r="G206" s="35" t="str">
        <x:v>open gate creates no readiness or rendering credit</x:v>
      </x:c>
    </x:row>
    <x:row r="207">
      <x:c r="B207" s="34" t="str">
        <x:v>E141 state and credit</x:v>
      </x:c>
      <x:c r="C207" s="34" t="n">
        <x:f>IF(AND('Evidence Gates'!I147="OPEN",'Evidence Gates'!J147=0,'Evidence Gates'!K147="BLOCKED"),1,0)</x:f>
        <x:v>1</x:v>
      </x:c>
      <x:c r="D207" s="34" t="n">
        <x:v>1</x:v>
      </x:c>
      <x:c r="E207" s="34" t="n">
        <x:f>C207-D207</x:f>
        <x:v>0</x:v>
      </x:c>
      <x:c r="F207" s="34" t="str">
        <x:f>IF(E207=0,"PASS","FAIL")</x:f>
        <x:v>PASS</x:v>
      </x:c>
      <x:c r="G207" s="35" t="str">
        <x:v>open gate creates no readiness or rendering credit</x:v>
      </x:c>
    </x:row>
    <x:row r="208">
      <x:c r="B208" s="34" t="str">
        <x:v>E142 state and credit</x:v>
      </x:c>
      <x:c r="C208" s="34" t="n">
        <x:f>IF(AND('Evidence Gates'!I148="OPEN",'Evidence Gates'!J148=0,'Evidence Gates'!K148="BLOCKED"),1,0)</x:f>
        <x:v>1</x:v>
      </x:c>
      <x:c r="D208" s="34" t="n">
        <x:v>1</x:v>
      </x:c>
      <x:c r="E208" s="34" t="n">
        <x:f>C208-D208</x:f>
        <x:v>0</x:v>
      </x:c>
      <x:c r="F208" s="34" t="str">
        <x:f>IF(E208=0,"PASS","FAIL")</x:f>
        <x:v>PASS</x:v>
      </x:c>
      <x:c r="G208" s="35" t="str">
        <x:v>open gate creates no readiness or rendering credit</x:v>
      </x:c>
    </x:row>
    <x:row r="209">
      <x:c r="B209" s="34" t="str">
        <x:v>E143 state and credit</x:v>
      </x:c>
      <x:c r="C209" s="34" t="n">
        <x:f>IF(AND('Evidence Gates'!I149="OPEN",'Evidence Gates'!J149=0,'Evidence Gates'!K149="BLOCKED"),1,0)</x:f>
        <x:v>1</x:v>
      </x:c>
      <x:c r="D209" s="34" t="n">
        <x:v>1</x:v>
      </x:c>
      <x:c r="E209" s="34" t="n">
        <x:f>C209-D209</x:f>
        <x:v>0</x:v>
      </x:c>
      <x:c r="F209" s="34" t="str">
        <x:f>IF(E209=0,"PASS","FAIL")</x:f>
        <x:v>PASS</x:v>
      </x:c>
      <x:c r="G209" s="35" t="str">
        <x:v>open gate creates no readiness or rendering credit</x:v>
      </x:c>
    </x:row>
    <x:row r="210">
      <x:c r="B210" s="34" t="str">
        <x:v>E144 state and credit</x:v>
      </x:c>
      <x:c r="C210" s="34" t="n">
        <x:f>IF(AND('Evidence Gates'!I150="OPEN",'Evidence Gates'!J150=0,'Evidence Gates'!K150="BLOCKED"),1,0)</x:f>
        <x:v>1</x:v>
      </x:c>
      <x:c r="D210" s="34" t="n">
        <x:v>1</x:v>
      </x:c>
      <x:c r="E210" s="34" t="n">
        <x:f>C210-D210</x:f>
        <x:v>0</x:v>
      </x:c>
      <x:c r="F210" s="34" t="str">
        <x:f>IF(E210=0,"PASS","FAIL")</x:f>
        <x:v>PASS</x:v>
      </x:c>
      <x:c r="G210" s="35" t="str">
        <x:v>open gate creates no readiness or rendering credit</x:v>
      </x:c>
    </x:row>
    <x:row r="211">
      <x:c r="B211" s="34" t="str">
        <x:v>E145 state and credit</x:v>
      </x:c>
      <x:c r="C211" s="34" t="n">
        <x:f>IF(AND('Evidence Gates'!I151="OPEN",'Evidence Gates'!J151=0,'Evidence Gates'!K151="BLOCKED"),1,0)</x:f>
        <x:v>1</x:v>
      </x:c>
      <x:c r="D211" s="34" t="n">
        <x:v>1</x:v>
      </x:c>
      <x:c r="E211" s="34" t="n">
        <x:f>C211-D211</x:f>
        <x:v>0</x:v>
      </x:c>
      <x:c r="F211" s="34" t="str">
        <x:f>IF(E211=0,"PASS","FAIL")</x:f>
        <x:v>PASS</x:v>
      </x:c>
      <x:c r="G211" s="35" t="str">
        <x:v>open gate creates no readiness or rendering credit</x:v>
      </x:c>
    </x:row>
    <x:row r="212">
      <x:c r="B212" s="34" t="str">
        <x:v>E146 state and credit</x:v>
      </x:c>
      <x:c r="C212" s="34" t="n">
        <x:f>IF(AND('Evidence Gates'!I152="OPEN",'Evidence Gates'!J152=0,'Evidence Gates'!K152="BLOCKED"),1,0)</x:f>
        <x:v>1</x:v>
      </x:c>
      <x:c r="D212" s="34" t="n">
        <x:v>1</x:v>
      </x:c>
      <x:c r="E212" s="34" t="n">
        <x:f>C212-D212</x:f>
        <x:v>0</x:v>
      </x:c>
      <x:c r="F212" s="34" t="str">
        <x:f>IF(E212=0,"PASS","FAIL")</x:f>
        <x:v>PASS</x:v>
      </x:c>
      <x:c r="G212" s="35" t="str">
        <x:v>open gate creates no readiness or rendering credit</x:v>
      </x:c>
    </x:row>
    <x:row r="213">
      <x:c r="B213" s="34" t="str">
        <x:v>E147 state and credit</x:v>
      </x:c>
      <x:c r="C213" s="34" t="n">
        <x:f>IF(AND('Evidence Gates'!I153="OPEN",'Evidence Gates'!J153=0,'Evidence Gates'!K153="BLOCKED"),1,0)</x:f>
        <x:v>1</x:v>
      </x:c>
      <x:c r="D213" s="34" t="n">
        <x:v>1</x:v>
      </x:c>
      <x:c r="E213" s="34" t="n">
        <x:f>C213-D213</x:f>
        <x:v>0</x:v>
      </x:c>
      <x:c r="F213" s="34" t="str">
        <x:f>IF(E213=0,"PASS","FAIL")</x:f>
        <x:v>PASS</x:v>
      </x:c>
      <x:c r="G213" s="35" t="str">
        <x:v>open gate creates no readiness or rendering credit</x:v>
      </x:c>
    </x:row>
    <x:row r="214">
      <x:c r="B214" s="34" t="str">
        <x:v>E148 state and credit</x:v>
      </x:c>
      <x:c r="C214" s="34" t="n">
        <x:f>IF(AND('Evidence Gates'!I154="OPEN",'Evidence Gates'!J154=0,'Evidence Gates'!K154="BLOCKED"),1,0)</x:f>
        <x:v>1</x:v>
      </x:c>
      <x:c r="D214" s="34" t="n">
        <x:v>1</x:v>
      </x:c>
      <x:c r="E214" s="34" t="n">
        <x:f>C214-D214</x:f>
        <x:v>0</x:v>
      </x:c>
      <x:c r="F214" s="34" t="str">
        <x:f>IF(E214=0,"PASS","FAIL")</x:f>
        <x:v>PASS</x:v>
      </x:c>
      <x:c r="G214" s="35" t="str">
        <x:v>open gate creates no readiness or rendering credit</x:v>
      </x:c>
    </x:row>
    <x:row r="215">
      <x:c r="B215" s="34" t="str">
        <x:v>E149 state and credit</x:v>
      </x:c>
      <x:c r="C215" s="34" t="n">
        <x:f>IF(AND('Evidence Gates'!I155="OPEN",'Evidence Gates'!J155=0,'Evidence Gates'!K155="BLOCKED"),1,0)</x:f>
        <x:v>1</x:v>
      </x:c>
      <x:c r="D215" s="34" t="n">
        <x:v>1</x:v>
      </x:c>
      <x:c r="E215" s="34" t="n">
        <x:f>C215-D215</x:f>
        <x:v>0</x:v>
      </x:c>
      <x:c r="F215" s="34" t="str">
        <x:f>IF(E215=0,"PASS","FAIL")</x:f>
        <x:v>PASS</x:v>
      </x:c>
      <x:c r="G215" s="35" t="str">
        <x:v>open gate creates no readiness or rendering credit</x:v>
      </x:c>
    </x:row>
    <x:row r="216">
      <x:c r="B216" s="36" t="str">
        <x:v>E150 state and credit</x:v>
      </x:c>
      <x:c r="C216" s="36" t="n">
        <x:f>IF(AND('Evidence Gates'!I156="OPEN",'Evidence Gates'!J156=0,'Evidence Gates'!K156="BLOCKED"),1,0)</x:f>
        <x:v>1</x:v>
      </x:c>
      <x:c r="D216" s="36" t="n">
        <x:v>1</x:v>
      </x:c>
      <x:c r="E216" s="36" t="n">
        <x:f>C216-D216</x:f>
        <x:v>0</x:v>
      </x:c>
      <x:c r="F216" s="36" t="str">
        <x:f>IF(E216=0,"PASS","FAIL")</x:f>
        <x:v>PASS</x:v>
      </x:c>
      <x:c r="G216" s="37" t="str">
        <x:v>open gate creates no readiness or rendering credit</x:v>
      </x:c>
    </x:row>
    <x:row r="217">
      <x:c r="B217" s="2"/>
      <x:c r="C217" s="2"/>
      <x:c r="D217" s="2"/>
      <x:c r="E217" s="2"/>
      <x:c r="F217" s="2"/>
      <x:c r="G217" s="2"/>
    </x:row>
    <x:row r="218">
      <x:c r="B218" s="2" t="str">
        <x:v>Audit result</x:v>
      </x:c>
      <x:c r="C218" s="2" t="n">
        <x:f>COUNTIF(F7:F216,"PASS")</x:f>
        <x:v>210</x:v>
      </x:c>
      <x:c r="D218" s="2" t="n">
        <x:v>210</x:v>
      </x:c>
      <x:c r="E218" s="2" t="n">
        <x:f>C218-D218</x:f>
        <x:v>0</x:v>
      </x:c>
      <x:c r="F218" s="2" t="str">
        <x:f>IF(E218=0,"PASS","FAIL")</x:f>
        <x:v>PASS</x:v>
      </x:c>
      <x:c r="G218" s="2"/>
    </x:row>
    <x:row r="219">
      <x:c r="B219" s="2"/>
      <x:c r="C219" s="2"/>
      <x:c r="D219" s="2"/>
      <x:c r="E219" s="2"/>
      <x:c r="F219" s="2"/>
      <x:c r="G219" s="2"/>
    </x:row>
    <x:row r="220">
      <x:c r="B220" s="2"/>
      <x:c r="C220" s="2"/>
      <x:c r="D220" s="2"/>
      <x:c r="E220" s="2"/>
      <x:c r="F220" s="2"/>
      <x:c r="G220" s="2"/>
    </x:row>
    <x:row r="221">
      <x:c r="B221" s="2"/>
      <x:c r="C221" s="2"/>
      <x:c r="D221" s="2"/>
      <x:c r="E221" s="2"/>
      <x:c r="F221" s="2"/>
      <x:c r="G221" s="2"/>
    </x:row>
    <x:row r="222">
      <x:c r="B222" s="2"/>
      <x:c r="C222" s="2"/>
      <x:c r="D222" s="2"/>
      <x:c r="E222" s="2"/>
      <x:c r="F222" s="2"/>
      <x:c r="G222" s="2"/>
    </x:row>
    <x:row r="223">
      <x:c r="B223" s="2"/>
      <x:c r="C223" s="2"/>
      <x:c r="D223" s="2"/>
      <x:c r="E223" s="2"/>
      <x:c r="F223" s="2"/>
      <x:c r="G223" s="2"/>
    </x:row>
    <x:row r="224">
      <x:c r="B224" s="2"/>
      <x:c r="C224" s="2"/>
      <x:c r="D224" s="2"/>
      <x:c r="E224" s="2"/>
      <x:c r="F224" s="2"/>
      <x:c r="G224" s="2"/>
    </x:row>
  </x:sheetData>
  <x:conditionalFormatting sqref="F7:F216">
    <x:cfRule type="containsText" dxfId="81" priority="1" operator="containsText" text="FAIL"/>
    <x:cfRule type="containsText" dxfId="82" priority="2" operator="containsText" text="PASS"/>
    <x:cfRule type="containsText" dxfId="83" priority="3" operator="containsText" text="BLOCKED"/>
  </x:conditionalFormatting>
  <x:conditionalFormatting sqref="F218:F218">
    <x:cfRule type="containsText" dxfId="84" priority="4" operator="containsText" text="FAIL"/>
    <x:cfRule type="containsText" dxfId="85" priority="5" operator="containsText" text="PASS"/>
    <x:cfRule type="containsText" dxfId="86" priority="6" operator="containsText" text="BLOCK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34" hidden="0" customWidth="1"/>
    <x:col min="3" max="3" width="62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</x:cols>
  <x:sheetData>
    <x:row r="2">
      <x:c r="B2" s="3" t="str">
        <x:v>How to use this workbook</x:v>
      </x:c>
      <x:c r="C2" s="2"/>
      <x:c r="D2" s="2"/>
      <x:c r="E2" s="2"/>
      <x:c r="F2" s="2"/>
      <x:c r="G2" s="2"/>
      <x:c r="H2" s="2"/>
      <x:c r="I2" s="2"/>
      <x:c r="J2" s="2"/>
    </x:row>
    <x:row r="3">
      <x:c r="B3" s="4" t="str">
        <x:v>Executable requirements model for the Pass 87 GCH-340R behavior reference</x:v>
      </x:c>
      <x:c r="C3" s="4"/>
      <x:c r="D3" s="4"/>
      <x:c r="E3" s="4"/>
      <x:c r="F3" s="4"/>
      <x:c r="G3" s="4"/>
      <x:c r="H3" s="4"/>
      <x:c r="I3" s="4"/>
      <x:c r="J3" s="4"/>
    </x:row>
    <x:row r="4"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B6" s="26" t="str">
        <x:v>Section</x:v>
      </x:c>
      <x:c r="C6" s="27" t="str">
        <x:v>Purpose</x:v>
      </x:c>
      <x:c r="D6" s="27" t="str"/>
      <x:c r="E6" s="27" t="str"/>
      <x:c r="F6" s="27" t="str"/>
      <x:c r="G6" s="27" t="str"/>
      <x:c r="H6" s="27" t="str"/>
      <x:c r="I6" s="27" t="str"/>
      <x:c r="J6" s="27" t="str"/>
    </x:row>
    <x:row r="7">
      <x:c r="B7" s="68" t="str">
        <x:v>Start on Summary</x:v>
      </x:c>
      <x:c r="C7" s="28" t="str">
        <x:v>Read the decision, vehicle correction, formation effects and five-part stocktake. The workbook does not admit readiness or authorize an exterior design.</x:v>
      </x:c>
      <x:c r="D7" s="28" t="str"/>
      <x:c r="E7" s="28" t="str"/>
      <x:c r="F7" s="28" t="str"/>
      <x:c r="G7" s="28" t="str"/>
      <x:c r="H7" s="28" t="str"/>
      <x:c r="I7" s="28" t="str"/>
      <x:c r="J7" s="30" t="str"/>
    </x:row>
    <x:row r="8">
      <x:c r="B8" s="68" t="str">
        <x:v>Assumptions</x:v>
      </x:c>
      <x:c r="C8" s="28" t="str">
        <x:v>Blue cells contain repository-derived requirements or declared first-principles hypotheses. They are not measurements.</x:v>
      </x:c>
      <x:c r="D8" s="28" t="str"/>
      <x:c r="E8" s="28" t="str"/>
      <x:c r="F8" s="28" t="str"/>
      <x:c r="G8" s="28" t="str"/>
      <x:c r="H8" s="28" t="str"/>
      <x:c r="I8" s="28" t="str"/>
      <x:c r="J8" s="30" t="str"/>
    </x:row>
    <x:row r="9">
      <x:c r="B9" s="68" t="str">
        <x:v>Configuration Competition</x:v>
      </x:c>
      <x:c r="C9" s="28" t="str">
        <x:v>Four complete arrangements face common hard gates. Pass counts expose failure locations; they are not weighted scores.</x:v>
      </x:c>
      <x:c r="D9" s="28" t="str"/>
      <x:c r="E9" s="28" t="str"/>
      <x:c r="F9" s="28" t="str"/>
      <x:c r="G9" s="28" t="str"/>
      <x:c r="H9" s="28" t="str"/>
      <x:c r="I9" s="28" t="str"/>
      <x:c r="J9" s="30" t="str"/>
    </x:row>
    <x:row r="10">
      <x:c r="B10" s="68" t="str">
        <x:v>Geometry and lift</x:v>
      </x:c>
      <x:c r="C10" s="28" t="str">
        <x:v>The cell lattice, spatial zones and lift-loss states define the physical arrangement without pretending to stabilize exterior styling.</x:v>
      </x:c>
      <x:c r="D10" s="28" t="str"/>
      <x:c r="E10" s="28" t="str"/>
      <x:c r="F10" s="28" t="str"/>
      <x:c r="G10" s="28" t="str"/>
      <x:c r="H10" s="28" t="str"/>
      <x:c r="I10" s="28" t="str"/>
      <x:c r="J10" s="30" t="str"/>
    </x:row>
    <x:row r="11">
      <x:c r="B11" s="68" t="str">
        <x:v>Mass and energy</x:v>
      </x:c>
      <x:c r="C11" s="28" t="str">
        <x:v>The energy sheet solves mission fuel as a closed-form fixed point because fuel and tank mass increase gross mass, aerodynamic lift and energy demand.</x:v>
      </x:c>
      <x:c r="D11" s="28" t="str"/>
      <x:c r="E11" s="28" t="str"/>
      <x:c r="F11" s="28" t="str"/>
      <x:c r="G11" s="28" t="str"/>
      <x:c r="H11" s="28" t="str"/>
      <x:c r="I11" s="28" t="str"/>
      <x:c r="J11" s="30" t="str"/>
    </x:row>
    <x:row r="12">
      <x:c r="B12" s="68" t="str">
        <x:v>Offload transient</x:v>
      </x:c>
      <x:c r="C12" s="28" t="str">
        <x:v>Cold-dense air is the governing receiver case. Hydrogen from selected lift cells is converted with ambient oxygen into contained water, reducing lift and adding ballast mass.</x:v>
      </x:c>
      <x:c r="D12" s="28" t="str"/>
      <x:c r="E12" s="28" t="str"/>
      <x:c r="F12" s="28" t="str"/>
      <x:c r="G12" s="28" t="str"/>
      <x:c r="H12" s="28" t="str"/>
      <x:c r="I12" s="28" t="str"/>
      <x:c r="J12" s="30" t="str"/>
    </x:row>
    <x:row r="13">
      <x:c r="B13" s="68" t="str">
        <x:v>Landing and mooring</x:v>
      </x:c>
      <x:c r="C13" s="28" t="str">
        <x:v>Ground pressure, local foot load and broadside gust resistance are independent gates. Universal credit excludes prepared anchors.</x:v>
      </x:c>
      <x:c r="D13" s="28" t="str"/>
      <x:c r="E13" s="28" t="str"/>
      <x:c r="F13" s="28" t="str"/>
      <x:c r="G13" s="28" t="str"/>
      <x:c r="H13" s="28" t="str"/>
      <x:c r="I13" s="28" t="str"/>
      <x:c r="J13" s="30" t="str"/>
    </x:row>
    <x:row r="14">
      <x:c r="B14" s="68" t="str">
        <x:v>Payload and crew</x:v>
      </x:c>
      <x:c r="C14" s="28" t="str">
        <x:v>Sixteen dry positions and two wet packs remain serial, balanced and bilaterally accessible. Two refuges preserve a safe hold after one occupied-zone loss.</x:v>
      </x:c>
      <x:c r="D14" s="28" t="str"/>
      <x:c r="E14" s="28" t="str"/>
      <x:c r="F14" s="28" t="str"/>
      <x:c r="G14" s="28" t="str"/>
      <x:c r="H14" s="28" t="str"/>
      <x:c r="I14" s="28" t="str"/>
      <x:c r="J14" s="30" t="str"/>
    </x:row>
    <x:row r="15">
      <x:c r="B15" s="68" t="str">
        <x:v>Clock and reset</x:v>
      </x:c>
      <x:c r="C15" s="28" t="str">
        <x:v>Arrest, lift conversion and unload must complete concurrently in 1.25 hours to preserve the inherited air clock. The 162-hour structural path governs reset.</x:v>
      </x:c>
      <x:c r="D15" s="28" t="str"/>
      <x:c r="E15" s="28" t="str"/>
      <x:c r="F15" s="28" t="str"/>
      <x:c r="G15" s="28" t="str"/>
      <x:c r="H15" s="28" t="str"/>
      <x:c r="I15" s="28" t="str"/>
      <x:c r="J15" s="30" t="str"/>
    </x:row>
    <x:row r="16">
      <x:c r="B16" s="68" t="str">
        <x:v>Program</x:v>
      </x:c>
      <x:c r="C16" s="28" t="str">
        <x:v>The $1.730T comparator includes the vehicle fleet, R&amp;D, tooling, bases, hydrogen infrastructure, recovery, training and operations. It is not an appropriation estimate.</x:v>
      </x:c>
      <x:c r="D16" s="28" t="str"/>
      <x:c r="E16" s="28" t="str"/>
      <x:c r="F16" s="28" t="str"/>
      <x:c r="G16" s="28" t="str"/>
      <x:c r="H16" s="28" t="str"/>
      <x:c r="I16" s="28" t="str"/>
      <x:c r="J16" s="30" t="str"/>
    </x:row>
    <x:row r="17">
      <x:c r="B17" s="68" t="str">
        <x:v>Evidence</x:v>
      </x:c>
      <x:c r="C17" s="28" t="str">
        <x:v>All 150 representative gates remain OPEN. Current and strict readiness credit are zero. A behavior PASS is never a measured result.</x:v>
      </x:c>
      <x:c r="D17" s="28" t="str"/>
      <x:c r="E17" s="28" t="str"/>
      <x:c r="F17" s="28" t="str"/>
      <x:c r="G17" s="28" t="str"/>
      <x:c r="H17" s="28" t="str"/>
      <x:c r="I17" s="28" t="str"/>
      <x:c r="J17" s="30" t="str"/>
    </x:row>
    <x:row r="18">
      <x:c r="B18" s="78" t="str">
        <x:v>Audit</x:v>
      </x:c>
      <x:c r="C18" s="31" t="str">
        <x:v>The terminal audit contains sixty model reconciliations and 150 evidence-state controls. Audit cells never feed assumptions, calculations or summary results.</x:v>
      </x:c>
      <x:c r="D18" s="31" t="str"/>
      <x:c r="E18" s="31" t="str"/>
      <x:c r="F18" s="31" t="str"/>
      <x:c r="G18" s="31" t="str"/>
      <x:c r="H18" s="31" t="str"/>
      <x:c r="I18" s="31" t="str"/>
      <x:c r="J18" s="33" t="str"/>
    </x:row>
    <x:row r="19"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B21" s="8" t="str">
        <x:v>Authority and use limits</x:v>
      </x:c>
      <x:c r="C21" s="9" t="str">
        <x:v>Authority and use limits</x:v>
      </x:c>
      <x:c r="D21" s="9" t="str">
        <x:v>Authority and use limits</x:v>
      </x:c>
      <x:c r="E21" s="9" t="str">
        <x:v>Authority and use limits</x:v>
      </x:c>
      <x:c r="F21" s="9" t="str">
        <x:v>Authority and use limits</x:v>
      </x:c>
      <x:c r="G21" s="9" t="str">
        <x:v>Authority and use limits</x:v>
      </x:c>
      <x:c r="H21" s="9" t="str">
        <x:v>Authority and use limits</x:v>
      </x:c>
      <x:c r="I21" s="9" t="str">
        <x:v>Authority and use limits</x:v>
      </x:c>
      <x:c r="J21" s="10" t="str">
        <x:v>Authority and use limits</x:v>
      </x:c>
    </x:row>
    <x:row r="22">
      <x:c r="B22" s="67" t="str">
        <x:v>Model authority</x:v>
      </x:c>
      <x:c r="C22" s="40" t="str">
        <x:v>Arithmetic, dependency and declared behavior under the visible assumptions.</x:v>
      </x:c>
      <x:c r="D22" s="40" t="str"/>
      <x:c r="E22" s="40" t="str"/>
      <x:c r="F22" s="40" t="str"/>
      <x:c r="G22" s="40" t="str"/>
      <x:c r="H22" s="40" t="str"/>
      <x:c r="I22" s="40" t="str"/>
      <x:c r="J22" s="40" t="str"/>
    </x:row>
    <x:row r="23">
      <x:c r="B23" s="68" t="str">
        <x:v>Paper authority</x:v>
      </x:c>
      <x:c r="C23" s="28" t="str">
        <x:v>Interpretation, limitations, institutional consequences and the Pass 87 research judgment.</x:v>
      </x:c>
      <x:c r="D23" s="28" t="str"/>
      <x:c r="E23" s="28" t="str"/>
      <x:c r="F23" s="28" t="str"/>
      <x:c r="G23" s="28" t="str"/>
      <x:c r="H23" s="28" t="str"/>
      <x:c r="I23" s="28" t="str"/>
      <x:c r="J23" s="28" t="str"/>
    </x:row>
    <x:row r="24">
      <x:c r="B24" s="68" t="str">
        <x:v>Evidence authority</x:v>
      </x:c>
      <x:c r="C24" s="28" t="str">
        <x:v>Only independent representative trials may close an evidence gate.</x:v>
      </x:c>
      <x:c r="D24" s="28" t="str"/>
      <x:c r="E24" s="28" t="str"/>
      <x:c r="F24" s="28" t="str"/>
      <x:c r="G24" s="28" t="str"/>
      <x:c r="H24" s="28" t="str"/>
      <x:c r="I24" s="28" t="str"/>
      <x:c r="J24" s="28" t="str"/>
    </x:row>
    <x:row r="25">
      <x:c r="B25" s="68" t="str">
        <x:v>Cost basis</x:v>
      </x:c>
      <x:c r="C25" s="28" t="str">
        <x:v>Constant-dollar research comparators. No discounting, appropriation schedule or benefit-cost claim.</x:v>
      </x:c>
      <x:c r="D25" s="28" t="str"/>
      <x:c r="E25" s="28" t="str"/>
      <x:c r="F25" s="28" t="str"/>
      <x:c r="G25" s="28" t="str"/>
      <x:c r="H25" s="28" t="str"/>
      <x:c r="I25" s="28" t="str"/>
      <x:c r="J25" s="28" t="str"/>
    </x:row>
    <x:row r="26">
      <x:c r="B26" s="68" t="str">
        <x:v>Rendering boundary</x:v>
      </x:c>
      <x:c r="C26" s="28" t="str">
        <x:v>Exterior renderings remain blocked. The spatial grammar is a requirements arrangement, not industrial design.</x:v>
      </x:c>
      <x:c r="D26" s="28" t="str"/>
      <x:c r="E26" s="28" t="str"/>
      <x:c r="F26" s="28" t="str"/>
      <x:c r="G26" s="28" t="str"/>
      <x:c r="H26" s="28" t="str"/>
      <x:c r="I26" s="28" t="str"/>
      <x:c r="J26" s="28" t="str"/>
    </x:row>
    <x:row r="27">
      <x:c r="B27" s="69" t="str">
        <x:v>Repository sources</x:v>
      </x:c>
      <x:c r="C27" s="43" t="str">
        <x:v>Passes 82, 83, 85 and 86. No external website or live-source input is used in this workbook.</x:v>
      </x:c>
      <x:c r="D27" s="43" t="str"/>
      <x:c r="E27" s="43" t="str"/>
      <x:c r="F27" s="43" t="str"/>
      <x:c r="G27" s="43" t="str"/>
      <x:c r="H27" s="43" t="str"/>
      <x:c r="I27" s="43" t="str"/>
      <x:c r="J27" s="43" t="str"/>
    </x:row>
    <x:row r="28"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B34" s="2"/>
      <x:c r="C34" s="2"/>
      <x:c r="D34" s="2"/>
      <x:c r="E34" s="2"/>
      <x:c r="F34" s="2"/>
      <x:c r="G34" s="2"/>
      <x:c r="H34" s="2"/>
      <x:c r="I34" s="2"/>
      <x:c r="J34" s="2"/>
    </x:row>
  </x:sheetData>
  <x:mergeCells>
    <x:mergeCell ref="B21:J21"/>
  </x:mergeCells>
  <x:pageMargins left="0.7" right="0.7" top="0.75" bottom="0.75" header="0.3" footer="0.3"/>
</x:worksheet>
</file>