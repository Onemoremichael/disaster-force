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dd70476a5e40d6" /></Relationships>
</file>

<file path=xl/workbook.xml><?xml version="1.0" encoding="utf-8"?>
<x:workbook xmlns:x="http://schemas.openxmlformats.org/spreadsheetml/2006/main">
  <x:sheets>
    <x:sheet xmlns:r="http://schemas.openxmlformats.org/officeDocument/2006/relationships" name="Summary" sheetId="1" r:id="R5725a202a60d46c3"/>
    <x:sheet xmlns:r="http://schemas.openxmlformats.org/officeDocument/2006/relationships" name="Assumptions" sheetId="2" r:id="Rb97e14fbafca4c22"/>
    <x:sheet xmlns:r="http://schemas.openxmlformats.org/officeDocument/2006/relationships" name="Module Stack" sheetId="3" r:id="R329690feb7944e65"/>
    <x:sheet xmlns:r="http://schemas.openxmlformats.org/officeDocument/2006/relationships" name="Geometry" sheetId="4" r:id="R9501a70ebc36473e"/>
    <x:sheet xmlns:r="http://schemas.openxmlformats.org/officeDocument/2006/relationships" name="Thermal Site" sheetId="5" r:id="Rfcc21debd3ca40d0"/>
    <x:sheet xmlns:r="http://schemas.openxmlformats.org/officeDocument/2006/relationships" name="Deployment Work" sheetId="6" r:id="Rb7a9f5b506e3434f"/>
    <x:sheet xmlns:r="http://schemas.openxmlformats.org/officeDocument/2006/relationships" name="Worlds" sheetId="7" r:id="Rb8f8e6e695b14036"/>
    <x:sheet xmlns:r="http://schemas.openxmlformats.org/officeDocument/2006/relationships" name="Force Program" sheetId="8" r:id="R5d695a9669724a37"/>
    <x:sheet xmlns:r="http://schemas.openxmlformats.org/officeDocument/2006/relationships" name="Technology" sheetId="9" r:id="R86035091722a4c1c"/>
    <x:sheet xmlns:r="http://schemas.openxmlformats.org/officeDocument/2006/relationships" name="Evidence Gates" sheetId="10" r:id="Rf57068311ba9468e"/>
    <x:sheet xmlns:r="http://schemas.openxmlformats.org/officeDocument/2006/relationships" name="Checks" sheetId="11" r:id="Rf5d22a8ed2c04512"/>
    <x:sheet xmlns:r="http://schemas.openxmlformats.org/officeDocument/2006/relationships" name="ReadMe" sheetId="12" r:id="Radabb9a193aa4309"/>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
    <x:numFmt numFmtId="201" formatCode="$#,##0.0"/>
    <x:numFmt numFmtId="202" formatCode="#,##0.0"/>
    <x:numFmt numFmtId="203" formatCode="#,##0"/>
    <x:numFmt numFmtId="204" formatCode="#,##0.000"/>
    <x:numFmt numFmtId="205" formatCode="0%"/>
    <x:numFmt numFmtId="206" formatCode="0.000"/>
    <x:numFmt numFmtId="207" formatCode="0.00"/>
    <x:numFmt numFmtId="208" formatCode="0.0"/>
    <x:numFmt numFmtId="209" formatCode="0.000000"/>
  </x:numFmts>
  <x:fonts count="11">
    <x:font>
      <x:sz val="11"/>
      <x:name val="Carlito"/>
    </x:font>
    <x:font>
      <x:sz val="10"/>
      <x:color rgb="FF1F2937"/>
      <x:name val="Arial"/>
    </x:font>
    <x:font>
      <x:b/>
      <x:sz val="16"/>
      <x:color rgb="FF17365D"/>
      <x:name val="Arial"/>
    </x:font>
    <x:font>
      <x:i/>
      <x:sz val="10"/>
      <x:color rgb="FF5B6573"/>
      <x:name val="Arial"/>
    </x:font>
    <x:font>
      <x:b/>
      <x:sz val="10"/>
      <x:color rgb="FFFFFFFF"/>
      <x:name val="Arial"/>
    </x:font>
    <x:font>
      <x:sz val="10"/>
      <x:color rgb="FF0000FF"/>
      <x:name val="Arial"/>
    </x:font>
    <x:font>
      <x:b/>
      <x:sz val="10"/>
      <x:color rgb="FF1F2937"/>
      <x:name val="Arial"/>
    </x:font>
    <x:font>
      <x:b/>
      <x:sz val="10"/>
      <x:color rgb="FF9C6500"/>
      <x:name val="Arial"/>
    </x:font>
    <x:font>
      <x:sz val="10"/>
      <x:color rgb="FF000000"/>
      <x:name val="Arial"/>
    </x:font>
    <x:font>
      <x:b/>
      <x:sz val="10"/>
      <x:color rgb="FF000000"/>
      <x:name val="Arial"/>
    </x:font>
    <x:font>
      <x:sz val="10"/>
      <x:color rgb="FF008000"/>
      <x:name val="Arial"/>
    </x:font>
  </x:fonts>
  <x:fills count="7">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FFF2CC"/>
      </x:patternFill>
    </x:fill>
    <x:fill>
      <x:patternFill patternType="solid">
        <x:fgColor rgb="FFE2F0D9"/>
      </x:patternFill>
    </x:fill>
    <x:fill>
      <x:patternFill patternType="solid">
        <x:fgColor rgb="FFEAF2F8"/>
      </x:patternFill>
    </x:fill>
  </x:fills>
  <x:borders count="9">
    <x:border/>
    <x:border>
      <x:bottom style="thin">
        <x:color rgb="FF1F4E78"/>
      </x:bottom>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right style="thin">
        <x:color rgb="FFFFFFFF"/>
      </x:right>
      <x:bottom style="thin">
        <x:color rgb="FFFFFFFF"/>
      </x:bottom>
    </x:border>
    <x:border>
      <x:left style="thin">
        <x:color rgb="FFFFFFFF"/>
      </x:left>
      <x:right style="thin">
        <x:color rgb="FFFFFFFF"/>
      </x:right>
      <x:bottom style="thin">
        <x:color rgb="FFFFFFFF"/>
      </x:bottom>
    </x:border>
    <x:border>
      <x:left style="thin">
        <x:color rgb="FFFFFFFF"/>
      </x:left>
      <x:bottom style="thin">
        <x:color rgb="FFFFFFFF"/>
      </x:bottom>
    </x:border>
    <x:border>
      <x:top style="double">
        <x:color rgb="FF1F4E78"/>
      </x:top>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x:xf>
    <x:xf numFmtId="0" fontId="4" fillId="3" borderId="0" xfId="0" applyNumberFormat="1" applyFont="1" applyFill="1" applyBorder="1" applyAlignment="1">
      <x:alignment horizontal="center" vertical="center" wrapText="1"/>
    </x:xf>
    <x:xf numFmtId="0" fontId="4" fillId="3"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4" fillId="3" borderId="7"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1" fontId="5" fillId="4"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6" fillId="0"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8" xfId="0" applyNumberFormat="1" applyFont="1" applyFill="1" applyBorder="1" applyAlignment="1">
      <x:alignment vertical="center"/>
    </x:xf>
    <x:xf numFmtId="202" fontId="1" fillId="0" borderId="0" xfId="0" applyNumberFormat="1" applyFont="1" applyFill="1" applyBorder="1" applyAlignment="1">
      <x:alignment vertical="center"/>
    </x:xf>
    <x:xf numFmtId="202" fontId="6" fillId="5" borderId="8"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6" fillId="5" borderId="8" xfId="0" applyNumberFormat="1" applyFont="1" applyFill="1" applyBorder="1" applyAlignment="1">
      <x:alignment vertical="center"/>
    </x:xf>
    <x:xf numFmtId="209" fontId="1" fillId="0"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1" fontId="5"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1" fontId="9" fillId="5" borderId="8" xfId="0" applyNumberFormat="1" applyFont="1" applyFill="1" applyBorder="1" applyAlignment="1">
      <x:alignment vertical="center"/>
    </x:xf>
    <x:xf numFmtId="201" fontId="10" fillId="0" borderId="0" xfId="0" applyNumberFormat="1" applyFont="1" applyFill="1" applyBorder="1" applyAlignment="1">
      <x:alignment vertical="center"/>
    </x:xf>
    <x:xf numFmtId="0" fontId="8" fillId="0" borderId="0" xfId="0" applyNumberFormat="1" applyFont="1" applyFill="1" applyBorder="1" applyAlignment="1">
      <x:alignment vertical="center"/>
    </x:xf>
  </x:cellXfs>
  <x:cellStyles count="1">
    <x:cellStyle name="Normal" xfId="0"/>
  </x:cellStyles>
  <x:dxfs count="4">
    <x:dxf>
      <x:font>
        <x:b/>
        <x:color rgb="FF9C0006"/>
      </x:font>
      <x:fill>
        <x:patternFill patternType="solid">
          <x:bgColor rgb="FFFCE4D6"/>
        </x:patternFill>
      </x:fill>
    </x:dxf>
    <x:dxf>
      <x:font>
        <x:b/>
        <x:color rgb="FF9C0006"/>
      </x:font>
      <x:fill>
        <x:patternFill patternType="solid">
          <x:bgColor rgb="FFFCE4D6"/>
        </x:patternFill>
      </x:fill>
    </x:dxf>
    <x:dxf>
      <x:font>
        <x:b/>
        <x:color rgb="FF9C65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b7d9bc8b6f494a" /><Relationship Type="http://schemas.openxmlformats.org/officeDocument/2006/relationships/theme" Target="/xl/theme/theme1.xml" Id="Rf4f6c6b0d0b2402b" /><Relationship Type="http://schemas.openxmlformats.org/officeDocument/2006/relationships/sharedStrings" Target="/xl/sharedStrings.xml" Id="R1980f0e7cb444bcf" /><Relationship Type="http://schemas.openxmlformats.org/officeDocument/2006/relationships/worksheet" Target="/xl/worksheets/sheet1.xml" Id="R5725a202a60d46c3" /><Relationship Type="http://schemas.openxmlformats.org/officeDocument/2006/relationships/worksheet" Target="/xl/worksheets/sheet2.xml" Id="Rb97e14fbafca4c22" /><Relationship Type="http://schemas.openxmlformats.org/officeDocument/2006/relationships/worksheet" Target="/xl/worksheets/sheet3.xml" Id="R329690feb7944e65" /><Relationship Type="http://schemas.openxmlformats.org/officeDocument/2006/relationships/worksheet" Target="/xl/worksheets/sheet4.xml" Id="R9501a70ebc36473e" /><Relationship Type="http://schemas.openxmlformats.org/officeDocument/2006/relationships/worksheet" Target="/xl/worksheets/sheet5.xml" Id="Rfcc21debd3ca40d0" /><Relationship Type="http://schemas.openxmlformats.org/officeDocument/2006/relationships/worksheet" Target="/xl/worksheets/sheet6.xml" Id="Rb7a9f5b506e3434f" /><Relationship Type="http://schemas.openxmlformats.org/officeDocument/2006/relationships/worksheet" Target="/xl/worksheets/sheet7.xml" Id="Rb8f8e6e695b14036" /><Relationship Type="http://schemas.openxmlformats.org/officeDocument/2006/relationships/worksheet" Target="/xl/worksheets/sheet8.xml" Id="R5d695a9669724a37" /><Relationship Type="http://schemas.openxmlformats.org/officeDocument/2006/relationships/worksheet" Target="/xl/worksheets/sheet9.xml" Id="R86035091722a4c1c" /><Relationship Type="http://schemas.openxmlformats.org/officeDocument/2006/relationships/worksheet" Target="/xl/worksheets/sheet10.xml" Id="Rf57068311ba9468e" /><Relationship Type="http://schemas.openxmlformats.org/officeDocument/2006/relationships/worksheet" Target="/xl/worksheets/sheet11.xml" Id="Rf5d22a8ed2c04512" /><Relationship Type="http://schemas.openxmlformats.org/officeDocument/2006/relationships/worksheet" Target="/xl/worksheets/sheet12.xml" Id="Radabb9a193aa43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2" max="2" width="34" hidden="0" customWidth="1"/>
    <x:col min="3" max="3" width="18" hidden="0" customWidth="1"/>
    <x:col min="4" max="4" width="15" hidden="0" customWidth="1"/>
    <x:col min="5" max="5" width="50" hidden="0" customWidth="1"/>
    <x:col min="6" max="6" width="3" hidden="0" customWidth="1"/>
    <x:col min="7" max="7" width="9" hidden="0" customWidth="1"/>
    <x:col min="8" max="8" width="32" hidden="0" customWidth="1"/>
    <x:col min="9" max="9" width="18" hidden="0" customWidth="1"/>
    <x:col min="10" max="10" width="18" hidden="0" customWidth="1"/>
    <x:col min="11" max="11" width="18" hidden="0" customWidth="1"/>
    <x:col min="12" max="12" width="16" hidden="0" customWidth="1"/>
    <x:col min="13" max="13" width="1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PTS-5 deployment geometry competition</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2"/>
      <x:c r="O3" s="2"/>
      <x:c r="P3" s="2"/>
      <x:c r="Q3" s="2"/>
      <x:c r="R3" s="2"/>
      <x:c r="S3" s="2"/>
      <x:c r="T3" s="2"/>
      <x:c r="U3" s="2"/>
      <x:c r="V3" s="2"/>
      <x:c r="W3" s="2"/>
      <x:c r="X3" s="2"/>
      <x:c r="Y3" s="2"/>
      <x:c r="Z3" s="2"/>
    </x:row>
    <x:row r="4">
      <x:c r="A4" s="2"/>
      <x:c r="B4" s="5" t="str">
        <x:v>One service payload, five physical forms, twenty-three worlds and no admitted architecture.</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Governed service payload</x:v>
      </x:c>
      <x:c r="C6" s="9"/>
      <x:c r="D6" s="9"/>
      <x:c r="E6" s="10"/>
      <x:c r="F6" s="2"/>
      <x:c r="G6" s="8" t="str">
        <x:v>Geometry result</x:v>
      </x:c>
      <x:c r="H6" s="9"/>
      <x:c r="I6" s="9"/>
      <x:c r="J6" s="9"/>
      <x:c r="K6" s="9"/>
      <x:c r="L6" s="9"/>
      <x:c r="M6" s="10"/>
      <x:c r="N6" s="2"/>
      <x:c r="O6" s="2"/>
      <x:c r="P6" s="2"/>
      <x:c r="Q6" s="2"/>
      <x:c r="R6" s="2"/>
      <x:c r="S6" s="2"/>
      <x:c r="T6" s="2"/>
      <x:c r="U6" s="2"/>
      <x:c r="V6" s="2"/>
      <x:c r="W6" s="2"/>
      <x:c r="X6" s="2"/>
      <x:c r="Y6" s="2"/>
      <x:c r="Z6" s="2"/>
    </x:row>
    <x:row r="7">
      <x:c r="A7" s="2"/>
      <x:c r="B7" s="15" t="str">
        <x:v>Measure</x:v>
      </x:c>
      <x:c r="C7" s="16" t="str">
        <x:v>Result</x:v>
      </x:c>
      <x:c r="D7" s="16" t="str">
        <x:v>Unit</x:v>
      </x:c>
      <x:c r="E7" s="17" t="str">
        <x:v>Meaning</x:v>
      </x:c>
      <x:c r="F7" s="2"/>
      <x:c r="G7" s="15" t="str">
        <x:v>Code</x:v>
      </x:c>
      <x:c r="H7" s="16" t="str">
        <x:v>Geometry</x:v>
      </x:c>
      <x:c r="I7" s="16" t="str">
        <x:v>Mobile payload t</x:v>
      </x:c>
      <x:c r="J7" s="16" t="str">
        <x:v>Transported system t</x:v>
      </x:c>
      <x:c r="K7" s="16" t="str">
        <x:v>Site m²</x:v>
      </x:c>
      <x:c r="L7" s="16" t="str">
        <x:v>Worlds passed</x:v>
      </x:c>
      <x:c r="M7" s="17" t="str">
        <x:v>Independent count</x:v>
      </x:c>
      <x:c r="N7" s="2"/>
      <x:c r="O7" s="2"/>
      <x:c r="P7" s="2"/>
      <x:c r="Q7" s="2"/>
      <x:c r="R7" s="2"/>
      <x:c r="S7" s="2"/>
      <x:c r="T7" s="2"/>
      <x:c r="U7" s="2"/>
      <x:c r="V7" s="2"/>
      <x:c r="W7" s="2"/>
      <x:c r="X7" s="2"/>
      <x:c r="Y7" s="2"/>
      <x:c r="Z7" s="2"/>
    </x:row>
    <x:row r="8">
      <x:c r="A8" s="2"/>
      <x:c r="B8" s="2" t="str">
        <x:v>Dry service payload</x:v>
      </x:c>
      <x:c r="C8" s="27" t="n">
        <x:f>'Module Stack'!F15</x:f>
        <x:v>580</x:v>
      </x:c>
      <x:c r="D8" s="2" t="str">
        <x:v>t</x:v>
      </x:c>
      <x:c r="E8" s="2" t="str">
        <x:v>before geometry duplication and carriers</x:v>
      </x:c>
      <x:c r="F8" s="2"/>
      <x:c r="G8" s="2" t="str">
        <x:v>G1</x:v>
      </x:c>
      <x:c r="H8" s="2" t="str">
        <x:v>Road-distributed lattice</x:v>
      </x:c>
      <x:c r="I8" s="27" t="n">
        <x:f>Geometry!M8</x:f>
        <x:v>674.7900837520938</x:v>
      </x:c>
      <x:c r="J8" s="27" t="n">
        <x:f>Geometry!T8</x:f>
        <x:v>1124.7900837520938</x:v>
      </x:c>
      <x:c r="K8" s="27" t="n">
        <x:f>'Thermal Site'!F17</x:f>
        <x:v>4754.122044857547</x:v>
      </x:c>
      <x:c r="L8" s="2" t="n">
        <x:f>COUNTIFS(Worlds!$D$35:$D$149,G8,Worlds!$L$35:$L$149,"PASS")</x:f>
        <x:v>17</x:v>
      </x:c>
      <x:c r="M8" s="2" t="n">
        <x:f>IF(Worlds!L35="PASS",1,0)+IF(Worlds!L40="PASS",1,0)+IF(Worlds!L45="PASS",1,0)+IF(Worlds!L50="PASS",1,0)+IF(Worlds!L55="PASS",1,0)+IF(Worlds!L60="PASS",1,0)+IF(Worlds!L65="PASS",1,0)+IF(Worlds!L70="PASS",1,0)+IF(Worlds!L75="PASS",1,0)+IF(Worlds!L80="PASS",1,0)+IF(Worlds!L85="PASS",1,0)+IF(Worlds!L90="PASS",1,0)+IF(Worlds!L95="PASS",1,0)+IF(Worlds!L100="PASS",1,0)+IF(Worlds!L105="PASS",1,0)+IF(Worlds!L110="PASS",1,0)+IF(Worlds!L115="PASS",1,0)+IF(Worlds!L120="PASS",1,0)+IF(Worlds!L125="PASS",1,0)+IF(Worlds!L130="PASS",1,0)+IF(Worlds!L135="PASS",1,0)+IF(Worlds!L140="PASS",1,0)+IF(Worlds!L145="PASS",1,0)</x:f>
        <x:v>17</x:v>
      </x:c>
      <x:c r="N8" s="2"/>
      <x:c r="O8" s="2"/>
      <x:c r="P8" s="2"/>
      <x:c r="Q8" s="2"/>
      <x:c r="R8" s="2"/>
      <x:c r="S8" s="2"/>
      <x:c r="T8" s="2"/>
      <x:c r="U8" s="2"/>
      <x:c r="V8" s="2"/>
      <x:c r="W8" s="2"/>
      <x:c r="X8" s="2"/>
      <x:c r="Y8" s="2"/>
      <x:c r="Z8" s="2"/>
    </x:row>
    <x:row r="9">
      <x:c r="A9" s="2"/>
      <x:c r="B9" s="2" t="str">
        <x:v>Seven-day liquid inventory</x:v>
      </x:c>
      <x:c r="C9" s="27" t="n">
        <x:f>'Module Stack'!H15</x:f>
        <x:v>54.7900837520938</x:v>
      </x:c>
      <x:c r="D9" s="2" t="str">
        <x:v>t</x:v>
      </x:c>
      <x:c r="E9" s="2" t="str">
        <x:v>two segregated positions</x:v>
      </x:c>
      <x:c r="F9" s="2"/>
      <x:c r="G9" s="2" t="str">
        <x:v>G2</x:v>
      </x:c>
      <x:c r="H9" s="2" t="str">
        <x:v>Rail utility consist</x:v>
      </x:c>
      <x:c r="I9" s="27" t="n">
        <x:f>Geometry!M9</x:f>
        <x:v>659.7900837520938</x:v>
      </x:c>
      <x:c r="J9" s="27" t="n">
        <x:f>Geometry!T9</x:f>
        <x:v>1199.7900837520938</x:v>
      </x:c>
      <x:c r="K9" s="27" t="n">
        <x:f>'Thermal Site'!F18</x:f>
        <x:v>6113.102534743271</x:v>
      </x:c>
      <x:c r="L9" s="2" t="n">
        <x:f>COUNTIFS(Worlds!$D$35:$D$149,G9,Worlds!$L$35:$L$149,"PASS")</x:f>
        <x:v>14</x:v>
      </x:c>
      <x:c r="M9" s="2" t="n">
        <x:f>IF(Worlds!L36="PASS",1,0)+IF(Worlds!L41="PASS",1,0)+IF(Worlds!L46="PASS",1,0)+IF(Worlds!L51="PASS",1,0)+IF(Worlds!L56="PASS",1,0)+IF(Worlds!L61="PASS",1,0)+IF(Worlds!L66="PASS",1,0)+IF(Worlds!L71="PASS",1,0)+IF(Worlds!L76="PASS",1,0)+IF(Worlds!L81="PASS",1,0)+IF(Worlds!L86="PASS",1,0)+IF(Worlds!L91="PASS",1,0)+IF(Worlds!L96="PASS",1,0)+IF(Worlds!L101="PASS",1,0)+IF(Worlds!L106="PASS",1,0)+IF(Worlds!L111="PASS",1,0)+IF(Worlds!L116="PASS",1,0)+IF(Worlds!L121="PASS",1,0)+IF(Worlds!L126="PASS",1,0)+IF(Worlds!L131="PASS",1,0)+IF(Worlds!L136="PASS",1,0)+IF(Worlds!L141="PASS",1,0)+IF(Worlds!L146="PASS",1,0)</x:f>
        <x:v>14</x:v>
      </x:c>
      <x:c r="N9" s="2"/>
      <x:c r="O9" s="2"/>
      <x:c r="P9" s="2"/>
      <x:c r="Q9" s="2"/>
      <x:c r="R9" s="2"/>
      <x:c r="S9" s="2"/>
      <x:c r="T9" s="2"/>
      <x:c r="U9" s="2"/>
      <x:c r="V9" s="2"/>
      <x:c r="W9" s="2"/>
      <x:c r="X9" s="2"/>
      <x:c r="Y9" s="2"/>
      <x:c r="Z9" s="2"/>
    </x:row>
    <x:row r="10">
      <x:c r="A10" s="2"/>
      <x:c r="B10" s="2" t="str">
        <x:v>Governed module positions</x:v>
      </x:c>
      <x:c r="C10" s="27" t="n">
        <x:f>SUM('Module Stack'!D8:D14)</x:f>
        <x:v>32</x:v>
      </x:c>
      <x:c r="D10" s="2" t="str">
        <x:v>positions</x:v>
      </x:c>
      <x:c r="E10" s="2" t="str">
        <x:v>thirty dry plus two liquid</x:v>
      </x:c>
      <x:c r="F10" s="2"/>
      <x:c r="G10" s="2" t="str">
        <x:v>G3</x:v>
      </x:c>
      <x:c r="H10" s="2" t="str">
        <x:v>Shallow-draft utility barge</x:v>
      </x:c>
      <x:c r="I10" s="27" t="n">
        <x:f>Geometry!M10</x:f>
        <x:v>669.7900837520938</x:v>
      </x:c>
      <x:c r="J10" s="27" t="n">
        <x:f>Geometry!T10</x:f>
        <x:v>1289.7900837520938</x:v>
      </x:c>
      <x:c r="K10" s="27" t="n">
        <x:f>'Thermal Site'!F19</x:f>
        <x:v>4145.141554971824</x:v>
      </x:c>
      <x:c r="L10" s="2" t="n">
        <x:f>COUNTIFS(Worlds!$D$35:$D$149,G10,Worlds!$L$35:$L$149,"PASS")</x:f>
        <x:v>18</x:v>
      </x:c>
      <x:c r="M10" s="2" t="n">
        <x:f>IF(Worlds!L37="PASS",1,0)+IF(Worlds!L42="PASS",1,0)+IF(Worlds!L47="PASS",1,0)+IF(Worlds!L52="PASS",1,0)+IF(Worlds!L57="PASS",1,0)+IF(Worlds!L62="PASS",1,0)+IF(Worlds!L67="PASS",1,0)+IF(Worlds!L72="PASS",1,0)+IF(Worlds!L77="PASS",1,0)+IF(Worlds!L82="PASS",1,0)+IF(Worlds!L87="PASS",1,0)+IF(Worlds!L92="PASS",1,0)+IF(Worlds!L97="PASS",1,0)+IF(Worlds!L102="PASS",1,0)+IF(Worlds!L107="PASS",1,0)+IF(Worlds!L112="PASS",1,0)+IF(Worlds!L117="PASS",1,0)+IF(Worlds!L122="PASS",1,0)+IF(Worlds!L127="PASS",1,0)+IF(Worlds!L132="PASS",1,0)+IF(Worlds!L137="PASS",1,0)+IF(Worlds!L142="PASS",1,0)+IF(Worlds!L147="PASS",1,0)</x:f>
        <x:v>18</x:v>
      </x:c>
      <x:c r="N10" s="2"/>
      <x:c r="O10" s="2"/>
      <x:c r="P10" s="2"/>
      <x:c r="Q10" s="2"/>
      <x:c r="R10" s="2"/>
      <x:c r="S10" s="2"/>
      <x:c r="T10" s="2"/>
      <x:c r="U10" s="2"/>
      <x:c r="V10" s="2"/>
      <x:c r="W10" s="2"/>
      <x:c r="X10" s="2"/>
      <x:c r="Y10" s="2"/>
      <x:c r="Z10" s="2"/>
    </x:row>
    <x:row r="11">
      <x:c r="A11" s="2"/>
      <x:c r="B11" s="2" t="str">
        <x:v>Module cube</x:v>
      </x:c>
      <x:c r="C11" s="27" t="n">
        <x:f>'Module Stack'!J15</x:f>
        <x:v>2630</x:v>
      </x:c>
      <x:c r="D11" s="2" t="str">
        <x:v>m³</x:v>
      </x:c>
      <x:c r="E11" s="2" t="str">
        <x:v>equipment and liquid inventory</x:v>
      </x:c>
      <x:c r="F11" s="2"/>
      <x:c r="G11" s="2" t="str">
        <x:v>G4</x:v>
      </x:c>
      <x:c r="H11" s="2" t="str">
        <x:v>Prepared metropolitan anchor</x:v>
      </x:c>
      <x:c r="I11" s="27" t="n">
        <x:f>Geometry!M11</x:f>
        <x:v>291.35801675041876</x:v>
      </x:c>
      <x:c r="J11" s="27" t="n">
        <x:f>Geometry!T11</x:f>
        <x:v>471.35801675041876</x:v>
      </x:c>
      <x:c r="K11" s="27" t="n">
        <x:f>'Thermal Site'!F20</x:f>
        <x:v>2631.670820143239</x:v>
      </x:c>
      <x:c r="L11" s="2" t="n">
        <x:f>COUNTIFS(Worlds!$D$35:$D$149,G11,Worlds!$L$35:$L$149,"PASS")</x:f>
        <x:v>20</x:v>
      </x:c>
      <x:c r="M11" s="2" t="n">
        <x:f>IF(Worlds!L38="PASS",1,0)+IF(Worlds!L43="PASS",1,0)+IF(Worlds!L48="PASS",1,0)+IF(Worlds!L53="PASS",1,0)+IF(Worlds!L58="PASS",1,0)+IF(Worlds!L63="PASS",1,0)+IF(Worlds!L68="PASS",1,0)+IF(Worlds!L73="PASS",1,0)+IF(Worlds!L78="PASS",1,0)+IF(Worlds!L83="PASS",1,0)+IF(Worlds!L88="PASS",1,0)+IF(Worlds!L93="PASS",1,0)+IF(Worlds!L98="PASS",1,0)+IF(Worlds!L103="PASS",1,0)+IF(Worlds!L108="PASS",1,0)+IF(Worlds!L113="PASS",1,0)+IF(Worlds!L118="PASS",1,0)+IF(Worlds!L123="PASS",1,0)+IF(Worlds!L128="PASS",1,0)+IF(Worlds!L133="PASS",1,0)+IF(Worlds!L138="PASS",1,0)+IF(Worlds!L143="PASS",1,0)+IF(Worlds!L148="PASS",1,0)</x:f>
        <x:v>20</x:v>
      </x:c>
      <x:c r="N11" s="2"/>
      <x:c r="O11" s="2"/>
      <x:c r="P11" s="2"/>
      <x:c r="Q11" s="2"/>
      <x:c r="R11" s="2"/>
      <x:c r="S11" s="2"/>
      <x:c r="T11" s="2"/>
      <x:c r="U11" s="2"/>
      <x:c r="V11" s="2"/>
      <x:c r="W11" s="2"/>
      <x:c r="X11" s="2"/>
      <x:c r="Y11" s="2"/>
      <x:c r="Z11" s="2"/>
    </x:row>
    <x:row r="12">
      <x:c r="A12" s="2"/>
      <x:c r="B12" s="2" t="str">
        <x:v>Occupied-site rejection</x:v>
      </x:c>
      <x:c r="C12" s="27" t="n">
        <x:f>Assumptions!D16</x:f>
        <x:v>4.765105238095238</x:v>
      </x:c>
      <x:c r="D12" s="2" t="str">
        <x:v>MWth</x:v>
      </x:c>
      <x:c r="E12" s="2" t="str">
        <x:v>cooling plus L1 source waste</x:v>
      </x:c>
      <x:c r="F12" s="2"/>
      <x:c r="G12" s="2" t="str">
        <x:v>G5</x:v>
      </x:c>
      <x:c r="H12" s="2" t="str">
        <x:v>Tri-modal split lattice</x:v>
      </x:c>
      <x:c r="I12" s="27" t="n">
        <x:f>Geometry!M12</x:f>
        <x:v>784.7900837520938</x:v>
      </x:c>
      <x:c r="J12" s="27" t="n">
        <x:f>Geometry!T12</x:f>
        <x:v>1504.7900837520938</x:v>
      </x:c>
      <x:c r="K12" s="27" t="n">
        <x:f>'Thermal Site'!F21</x:f>
        <x:v>4549.024494286164</x:v>
      </x:c>
      <x:c r="L12" s="2" t="n">
        <x:f>COUNTIFS(Worlds!$D$35:$D$149,G12,Worlds!$L$35:$L$149,"PASS")</x:f>
        <x:v>17</x:v>
      </x:c>
      <x:c r="M12" s="2" t="n">
        <x:f>IF(Worlds!L39="PASS",1,0)+IF(Worlds!L44="PASS",1,0)+IF(Worlds!L49="PASS",1,0)+IF(Worlds!L54="PASS",1,0)+IF(Worlds!L59="PASS",1,0)+IF(Worlds!L64="PASS",1,0)+IF(Worlds!L69="PASS",1,0)+IF(Worlds!L74="PASS",1,0)+IF(Worlds!L79="PASS",1,0)+IF(Worlds!L84="PASS",1,0)+IF(Worlds!L89="PASS",1,0)+IF(Worlds!L94="PASS",1,0)+IF(Worlds!L99="PASS",1,0)+IF(Worlds!L104="PASS",1,0)+IF(Worlds!L109="PASS",1,0)+IF(Worlds!L114="PASS",1,0)+IF(Worlds!L119="PASS",1,0)+IF(Worlds!L124="PASS",1,0)+IF(Worlds!L129="PASS",1,0)+IF(Worlds!L134="PASS",1,0)+IF(Worlds!L139="PASS",1,0)+IF(Worlds!L144="PASS",1,0)+IF(Worlds!L149="PASS",1,0)</x:f>
        <x:v>17</x:v>
      </x:c>
      <x:c r="N12" s="2"/>
      <x:c r="O12" s="2"/>
      <x:c r="P12" s="2"/>
      <x:c r="Q12" s="2"/>
      <x:c r="R12" s="2"/>
      <x:c r="S12" s="2"/>
      <x:c r="T12" s="2"/>
      <x:c r="U12" s="2"/>
      <x:c r="V12" s="2"/>
      <x:c r="W12" s="2"/>
      <x:c r="X12" s="2"/>
      <x:c r="Y12" s="2"/>
      <x:c r="Z12" s="2"/>
    </x:row>
    <x:row r="13">
      <x:c r="A13" s="2"/>
      <x:c r="B13" s="2" t="str">
        <x:v>Baseline installed rejection</x:v>
      </x:c>
      <x:c r="C13" s="27" t="n">
        <x:f>'Thermal Site'!D8</x:f>
        <x:v>9</x:v>
      </x:c>
      <x:c r="D13" s="2" t="str">
        <x:v>MWth</x:v>
      </x:c>
      <x:c r="E13" s="2" t="str">
        <x:v>four-train clean-sheet target</x:v>
      </x:c>
      <x:c r="F13" s="2"/>
      <x:c r="G13" s="2"/>
      <x:c r="H13" s="2"/>
      <x:c r="I13" s="2"/>
      <x:c r="J13" s="2"/>
      <x:c r="K13" s="2"/>
      <x:c r="L13" s="2"/>
      <x:c r="M13" s="2"/>
      <x:c r="N13" s="2"/>
      <x:c r="O13" s="2"/>
      <x:c r="P13" s="2"/>
      <x:c r="Q13" s="2"/>
      <x:c r="R13" s="2"/>
      <x:c r="S13" s="2"/>
      <x:c r="T13" s="2"/>
      <x:c r="U13" s="2"/>
      <x:c r="V13" s="2"/>
      <x:c r="W13" s="2"/>
      <x:c r="X13" s="2"/>
      <x:c r="Y13" s="2"/>
      <x:c r="Z13" s="2"/>
    </x:row>
    <x:row r="14">
      <x:c r="A14" s="2"/>
      <x:c r="B14" s="2" t="str">
        <x:v>Baseline exchanger face</x:v>
      </x:c>
      <x:c r="C14" s="27" t="n">
        <x:f>'Thermal Site'!K8</x:f>
        <x:v>105.88235294117646</x:v>
      </x:c>
      <x:c r="D14" s="2" t="str">
        <x:v>m²</x:v>
      </x:c>
      <x:c r="E14" s="2" t="str">
        <x:v>at declared nominal face flux</x:v>
      </x:c>
      <x:c r="F14" s="2"/>
      <x:c r="G14" s="2"/>
      <x:c r="H14" s="2"/>
      <x:c r="I14" s="2"/>
      <x:c r="J14" s="2"/>
      <x:c r="K14" s="2"/>
      <x:c r="L14" s="2"/>
      <x:c r="M14" s="2"/>
      <x:c r="N14" s="2"/>
      <x:c r="O14" s="2"/>
      <x:c r="P14" s="2"/>
      <x:c r="Q14" s="2"/>
      <x:c r="R14" s="2"/>
      <x:c r="S14" s="2"/>
      <x:c r="T14" s="2"/>
      <x:c r="U14" s="2"/>
      <x:c r="V14" s="2"/>
      <x:c r="W14" s="2"/>
      <x:c r="X14" s="2"/>
      <x:c r="Y14" s="2"/>
      <x:c r="Z14" s="2"/>
    </x:row>
    <x:row r="15">
      <x:c r="A15" s="2"/>
      <x:c r="B15" s="2" t="str">
        <x:v>Baseline free intake</x:v>
      </x:c>
      <x:c r="C15" s="27" t="n">
        <x:f>'Thermal Site'!M8</x:f>
        <x:v>404.12204485754705</x:v>
      </x:c>
      <x:c r="D15" s="2" t="str">
        <x:v>m²</x:v>
      </x:c>
      <x:c r="E15" s="2" t="str">
        <x:v>after velocity and obstruction factors</x:v>
      </x:c>
      <x:c r="F15" s="2"/>
      <x:c r="G15" s="8" t="str">
        <x:v>Decision</x:v>
      </x:c>
      <x:c r="H15" s="9"/>
      <x:c r="I15" s="9"/>
      <x:c r="J15" s="9"/>
      <x:c r="K15" s="9"/>
      <x:c r="L15" s="9"/>
      <x:c r="M15" s="10"/>
      <x:c r="N15" s="2"/>
      <x:c r="O15" s="2"/>
      <x:c r="P15" s="2"/>
      <x:c r="Q15" s="2"/>
      <x:c r="R15" s="2"/>
      <x:c r="S15" s="2"/>
      <x:c r="T15" s="2"/>
      <x:c r="U15" s="2"/>
      <x:c r="V15" s="2"/>
      <x:c r="W15" s="2"/>
      <x:c r="X15" s="2"/>
      <x:c r="Y15" s="2"/>
      <x:c r="Z15" s="2"/>
    </x:row>
    <x:row r="16" ht="24" customHeight="1">
      <x:c r="A16" s="2"/>
      <x:c r="B16" s="2"/>
      <x:c r="C16" s="2"/>
      <x:c r="D16" s="2"/>
      <x:c r="E16" s="2"/>
      <x:c r="F16" s="2"/>
      <x:c r="G16" s="42" t="str">
        <x:v>No geometry is universal. G1 is the severe unprepared road bridge but carries a roughly one-kilometre road column and misses stand-off, noise, exhaust, degraded-crew and reset boundaries. G2 makes a remote linear utility plant but requires a released rail and transfer path. G3 places the whole payload on one shallow host and excels on wet terrain, but geography is binding. G4 is fastest and most compact because readiness is stored at the receiver. G5 retains useful service after one transport-mode loss, but only where all three modes can assemble. Advance a common module grammar and a portfolio of hosts. Do not select or render a vehicle.</x:v>
      </x:c>
      <x:c r="H16" s="42"/>
      <x:c r="I16" s="42"/>
      <x:c r="J16" s="42"/>
      <x:c r="K16" s="42"/>
      <x:c r="L16" s="42"/>
      <x:c r="M16" s="42"/>
      <x:c r="N16" s="2"/>
      <x:c r="O16" s="2"/>
      <x:c r="P16" s="2"/>
      <x:c r="Q16" s="2"/>
      <x:c r="R16" s="2"/>
      <x:c r="S16" s="2"/>
      <x:c r="T16" s="2"/>
      <x:c r="U16" s="2"/>
      <x:c r="V16" s="2"/>
      <x:c r="W16" s="2"/>
      <x:c r="X16" s="2"/>
      <x:c r="Y16" s="2"/>
      <x:c r="Z16" s="2"/>
    </x:row>
    <x:row r="17" ht="24" customHeight="1">
      <x:c r="A17" s="2"/>
      <x:c r="B17" s="2"/>
      <x:c r="C17" s="2"/>
      <x:c r="D17" s="2"/>
      <x:c r="E17" s="2"/>
      <x:c r="F17" s="2"/>
      <x:c r="G17" s="42"/>
      <x:c r="H17" s="42"/>
      <x:c r="I17" s="42"/>
      <x:c r="J17" s="42"/>
      <x:c r="K17" s="42"/>
      <x:c r="L17" s="42"/>
      <x:c r="M17" s="42"/>
      <x:c r="N17" s="2"/>
      <x:c r="O17" s="2"/>
      <x:c r="P17" s="2"/>
      <x:c r="Q17" s="2"/>
      <x:c r="R17" s="2"/>
      <x:c r="S17" s="2"/>
      <x:c r="T17" s="2"/>
      <x:c r="U17" s="2"/>
      <x:c r="V17" s="2"/>
      <x:c r="W17" s="2"/>
      <x:c r="X17" s="2"/>
      <x:c r="Y17" s="2"/>
      <x:c r="Z17" s="2"/>
    </x:row>
    <x:row r="18" ht="24" customHeight="1">
      <x:c r="A18" s="2"/>
      <x:c r="B18" s="8" t="str">
        <x:v>Force and program consequence</x:v>
      </x:c>
      <x:c r="C18" s="9"/>
      <x:c r="D18" s="9"/>
      <x:c r="E18" s="10"/>
      <x:c r="F18" s="2"/>
      <x:c r="G18" s="42"/>
      <x:c r="H18" s="42"/>
      <x:c r="I18" s="42"/>
      <x:c r="J18" s="42"/>
      <x:c r="K18" s="42"/>
      <x:c r="L18" s="42"/>
      <x:c r="M18" s="42"/>
      <x:c r="N18" s="2"/>
      <x:c r="O18" s="2"/>
      <x:c r="P18" s="2"/>
      <x:c r="Q18" s="2"/>
      <x:c r="R18" s="2"/>
      <x:c r="S18" s="2"/>
      <x:c r="T18" s="2"/>
      <x:c r="U18" s="2"/>
      <x:c r="V18" s="2"/>
      <x:c r="W18" s="2"/>
      <x:c r="X18" s="2"/>
      <x:c r="Y18" s="2"/>
      <x:c r="Z18" s="2"/>
    </x:row>
    <x:row r="19" ht="24" customHeight="1">
      <x:c r="A19" s="2"/>
      <x:c r="B19" s="15" t="str">
        <x:v>Measure</x:v>
      </x:c>
      <x:c r="C19" s="16" t="str">
        <x:v>Result</x:v>
      </x:c>
      <x:c r="D19" s="16" t="str">
        <x:v>Unit</x:v>
      </x:c>
      <x:c r="E19" s="17" t="str">
        <x:v>Interpretation</x:v>
      </x:c>
      <x:c r="F19" s="2"/>
      <x:c r="G19" s="42"/>
      <x:c r="H19" s="42"/>
      <x:c r="I19" s="42"/>
      <x:c r="J19" s="42"/>
      <x:c r="K19" s="42"/>
      <x:c r="L19" s="42"/>
      <x:c r="M19" s="42"/>
      <x:c r="N19" s="2"/>
      <x:c r="O19" s="2"/>
      <x:c r="P19" s="2"/>
      <x:c r="Q19" s="2"/>
      <x:c r="R19" s="2"/>
      <x:c r="S19" s="2"/>
      <x:c r="T19" s="2"/>
      <x:c r="U19" s="2"/>
      <x:c r="V19" s="2"/>
      <x:c r="W19" s="2"/>
      <x:c r="X19" s="2"/>
      <x:c r="Y19" s="2"/>
      <x:c r="Z19" s="2"/>
    </x:row>
    <x:row r="20" ht="24" customHeight="1">
      <x:c r="A20" s="2"/>
      <x:c r="B20" s="2" t="str">
        <x:v>Organic geometry hosts</x:v>
      </x:c>
      <x:c r="C20" s="2" t="n">
        <x:f>'Force Program'!D13</x:f>
        <x:v>864</x:v>
      </x:c>
      <x:c r="D20" s="2" t="str">
        <x:v>hosts</x:v>
      </x:c>
      <x:c r="E20" s="2" t="str">
        <x:v>twelve across each of seventy-two groups</x:v>
      </x:c>
      <x:c r="F20" s="2"/>
      <x:c r="G20" s="42"/>
      <x:c r="H20" s="42"/>
      <x:c r="I20" s="42"/>
      <x:c r="J20" s="42"/>
      <x:c r="K20" s="42"/>
      <x:c r="L20" s="42"/>
      <x:c r="M20" s="42"/>
      <x:c r="N20" s="2"/>
      <x:c r="O20" s="2"/>
      <x:c r="P20" s="2"/>
      <x:c r="Q20" s="2"/>
      <x:c r="R20" s="2"/>
      <x:c r="S20" s="2"/>
      <x:c r="T20" s="2"/>
      <x:c r="U20" s="2"/>
      <x:c r="V20" s="2"/>
      <x:c r="W20" s="2"/>
      <x:c r="X20" s="2"/>
      <x:c r="Y20" s="2"/>
      <x:c r="Z20" s="2"/>
    </x:row>
    <x:row r="21" ht="24" customHeight="1">
      <x:c r="A21" s="2"/>
      <x:c r="B21" s="2" t="str">
        <x:v>Pooled barge hosts</x:v>
      </x:c>
      <x:c r="C21" s="2" t="n">
        <x:f>'Force Program'!E13</x:f>
        <x:v>96</x:v>
      </x:c>
      <x:c r="D21" s="2" t="str">
        <x:v>hosts</x:v>
      </x:c>
      <x:c r="E21" s="2" t="str">
        <x:v>route-specific re-hosting capacity</x:v>
      </x:c>
      <x:c r="F21" s="2"/>
      <x:c r="G21" s="42"/>
      <x:c r="H21" s="42"/>
      <x:c r="I21" s="42"/>
      <x:c r="J21" s="42"/>
      <x:c r="K21" s="42"/>
      <x:c r="L21" s="42"/>
      <x:c r="M21" s="42"/>
      <x:c r="N21" s="2"/>
      <x:c r="O21" s="2"/>
      <x:c r="P21" s="2"/>
      <x:c r="Q21" s="2"/>
      <x:c r="R21" s="2"/>
      <x:c r="S21" s="2"/>
      <x:c r="T21" s="2"/>
      <x:c r="U21" s="2"/>
      <x:c r="V21" s="2"/>
      <x:c r="W21" s="2"/>
      <x:c r="X21" s="2"/>
      <x:c r="Y21" s="2"/>
      <x:c r="Z21" s="2"/>
    </x:row>
    <x:row r="22" ht="24" customHeight="1">
      <x:c r="A22" s="2"/>
      <x:c r="B22" s="2" t="str">
        <x:v>Incremental geometry capital</x:v>
      </x:c>
      <x:c r="C22" s="37" t="n">
        <x:f>'Force Program'!G13</x:f>
        <x:v>441600</x:v>
      </x:c>
      <x:c r="D22" s="2" t="str">
        <x:v>$M</x:v>
      </x:c>
      <x:c r="E22" s="2" t="str">
        <x:v>host layer before O&amp;S and national commons</x:v>
      </x:c>
      <x:c r="F22" s="2"/>
      <x:c r="G22" s="42"/>
      <x:c r="H22" s="42"/>
      <x:c r="I22" s="42"/>
      <x:c r="J22" s="42"/>
      <x:c r="K22" s="42"/>
      <x:c r="L22" s="42"/>
      <x:c r="M22" s="42"/>
      <x:c r="N22" s="2"/>
      <x:c r="O22" s="2"/>
      <x:c r="P22" s="2"/>
      <x:c r="Q22" s="2"/>
      <x:c r="R22" s="2"/>
      <x:c r="S22" s="2"/>
      <x:c r="T22" s="2"/>
      <x:c r="U22" s="2"/>
      <x:c r="V22" s="2"/>
      <x:c r="W22" s="2"/>
      <x:c r="X22" s="2"/>
      <x:c r="Y22" s="2"/>
      <x:c r="Z22" s="2"/>
    </x:row>
    <x:row r="23" ht="24" customHeight="1">
      <x:c r="A23" s="2"/>
      <x:c r="B23" s="2" t="str">
        <x:v>Geometry twenty-five-year subtotal</x:v>
      </x:c>
      <x:c r="C23" s="37" t="n">
        <x:f>'Force Program'!J13</x:f>
        <x:v>976800</x:v>
      </x:c>
      <x:c r="D23" s="2" t="str">
        <x:v>$M</x:v>
      </x:c>
      <x:c r="E23" s="2" t="str">
        <x:v>host capital plus incremental O&amp;S</x:v>
      </x:c>
      <x:c r="F23" s="2"/>
      <x:c r="G23" s="42"/>
      <x:c r="H23" s="42"/>
      <x:c r="I23" s="42"/>
      <x:c r="J23" s="42"/>
      <x:c r="K23" s="42"/>
      <x:c r="L23" s="42"/>
      <x:c r="M23" s="42"/>
      <x:c r="N23" s="2"/>
      <x:c r="O23" s="2"/>
      <x:c r="P23" s="2"/>
      <x:c r="Q23" s="2"/>
      <x:c r="R23" s="2"/>
      <x:c r="S23" s="2"/>
      <x:c r="T23" s="2"/>
      <x:c r="U23" s="2"/>
      <x:c r="V23" s="2"/>
      <x:c r="W23" s="2"/>
      <x:c r="X23" s="2"/>
      <x:c r="Y23" s="2"/>
      <x:c r="Z23" s="2"/>
    </x:row>
    <x:row r="24">
      <x:c r="A24" s="2"/>
      <x:c r="B24" s="2" t="str">
        <x:v>Revised national comparator</x:v>
      </x:c>
      <x:c r="C24" s="37" t="n">
        <x:f>'Force Program'!C25</x:f>
        <x:v>4693395.2</x:v>
      </x:c>
      <x:c r="D24" s="2" t="str">
        <x:v>$M</x:v>
      </x:c>
      <x:c r="E24" s="2" t="str">
        <x:v>constant 2026 dollars</x:v>
      </x:c>
      <x:c r="F24" s="2"/>
      <x:c r="G24" s="2"/>
      <x:c r="H24" s="2"/>
      <x:c r="I24" s="2"/>
      <x:c r="J24" s="2"/>
      <x:c r="K24" s="2"/>
      <x:c r="L24" s="2"/>
      <x:c r="M24" s="2"/>
      <x:c r="N24" s="2"/>
      <x:c r="O24" s="2"/>
      <x:c r="P24" s="2"/>
      <x:c r="Q24" s="2"/>
      <x:c r="R24" s="2"/>
      <x:c r="S24" s="2"/>
      <x:c r="T24" s="2"/>
      <x:c r="U24" s="2"/>
      <x:c r="V24" s="2"/>
      <x:c r="W24" s="2"/>
      <x:c r="X24" s="2"/>
      <x:c r="Y24" s="2"/>
      <x:c r="Z24" s="2"/>
    </x:row>
    <x:row r="25">
      <x:c r="A25" s="2"/>
      <x:c r="B25" s="2" t="str">
        <x:v>Strict admissions</x:v>
      </x:c>
      <x:c r="C25" s="2" t="n">
        <x:v>0</x:v>
      </x:c>
      <x:c r="D25" s="2" t="str">
        <x:v>architectures</x:v>
      </x:c>
      <x:c r="E25" s="2" t="str">
        <x:v>all evidence gates remain open</x:v>
      </x:c>
      <x:c r="F25" s="2"/>
      <x:c r="G25" s="2"/>
      <x:c r="H25" s="2"/>
      <x:c r="I25" s="2"/>
      <x:c r="J25" s="2"/>
      <x:c r="K25" s="2"/>
      <x:c r="L25" s="2"/>
      <x:c r="M25" s="2"/>
      <x:c r="N25" s="2"/>
      <x:c r="O25" s="2"/>
      <x:c r="P25" s="2"/>
      <x:c r="Q25" s="2"/>
      <x:c r="R25" s="2"/>
      <x:c r="S25" s="2"/>
      <x:c r="T25" s="2"/>
      <x:c r="U25" s="2"/>
      <x:c r="V25" s="2"/>
      <x:c r="W25" s="2"/>
      <x:c r="X25" s="2"/>
      <x:c r="Y25" s="2"/>
      <x:c r="Z25" s="2"/>
    </x:row>
    <x:row r="26">
      <x:c r="A26" s="2"/>
      <x:c r="B26" s="2" t="str">
        <x:v>Rendering state</x:v>
      </x:c>
      <x:c r="C26" s="40" t="str">
        <x:v>BLOCKED</x:v>
      </x:c>
      <x:c r="D26" s="2" t="str">
        <x:v>state</x:v>
      </x:c>
      <x:c r="E26" s="2" t="str">
        <x:v>form remains downstream of measured geometry</x:v>
      </x:c>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mergeCells>
    <x:mergeCell ref="G16:M23"/>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7" topLeftCell="A8" activePane="bottomLeft" state="frozen"/>
    </x:sheetView>
  </x:sheetViews>
  <x:sheetFormatPr defaultRowHeight="15"/>
  <x:cols>
    <x:col min="2" max="2" width="14" hidden="0" customWidth="1"/>
    <x:col min="3" max="3" width="35" hidden="0" customWidth="1"/>
    <x:col min="4" max="4" width="16" hidden="0" customWidth="1"/>
    <x:col min="5" max="5" width="14" hidden="0" customWidth="1"/>
    <x:col min="6" max="6" width="5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PTS-5 deployment geometry assumptions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2"/>
      <x:c r="H3" s="2"/>
      <x:c r="I3" s="2"/>
      <x:c r="J3" s="2"/>
      <x:c r="K3" s="2"/>
      <x:c r="L3" s="2"/>
      <x:c r="M3" s="2"/>
      <x:c r="N3" s="2"/>
      <x:c r="O3" s="2"/>
      <x:c r="P3" s="2"/>
      <x:c r="Q3" s="2"/>
      <x:c r="R3" s="2"/>
      <x:c r="S3" s="2"/>
      <x:c r="T3" s="2"/>
      <x:c r="U3" s="2"/>
      <x:c r="V3" s="2"/>
      <x:c r="W3" s="2"/>
      <x:c r="X3" s="2"/>
      <x:c r="Y3" s="2"/>
      <x:c r="Z3" s="2"/>
    </x:row>
    <x:row r="4">
      <x:c r="A4" s="2"/>
      <x:c r="B4" s="22" t="str">
        <x:v>Editable design hypotheses; no external empirical source is claimed.</x:v>
      </x:c>
      <x:c r="C4" s="23"/>
      <x:c r="D4" s="23"/>
      <x:c r="E4" s="23"/>
      <x:c r="F4" s="23"/>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Mission, module, transport and program controls</x:v>
      </x:c>
      <x:c r="C6" s="9"/>
      <x:c r="D6" s="9"/>
      <x:c r="E6" s="9"/>
      <x:c r="F6" s="10"/>
      <x:c r="G6" s="2"/>
      <x:c r="H6" s="2"/>
      <x:c r="I6" s="2"/>
      <x:c r="J6" s="2"/>
      <x:c r="K6" s="2"/>
      <x:c r="L6" s="2"/>
      <x:c r="M6" s="2"/>
      <x:c r="N6" s="2"/>
      <x:c r="O6" s="2"/>
      <x:c r="P6" s="2"/>
      <x:c r="Q6" s="2"/>
      <x:c r="R6" s="2"/>
      <x:c r="S6" s="2"/>
      <x:c r="T6" s="2"/>
      <x:c r="U6" s="2"/>
      <x:c r="V6" s="2"/>
      <x:c r="W6" s="2"/>
      <x:c r="X6" s="2"/>
      <x:c r="Y6" s="2"/>
      <x:c r="Z6" s="2"/>
    </x:row>
    <x:row r="7">
      <x:c r="A7" s="2"/>
      <x:c r="B7" s="15" t="str">
        <x:v>Category</x:v>
      </x:c>
      <x:c r="C7" s="16" t="str">
        <x:v>Driver</x:v>
      </x:c>
      <x:c r="D7" s="16" t="str">
        <x:v>Value</x:v>
      </x:c>
      <x:c r="E7" s="16" t="str">
        <x:v>Unit</x:v>
      </x:c>
      <x:c r="F7" s="17" t="str">
        <x:v>Interpretation</x:v>
      </x:c>
      <x:c r="G7" s="2"/>
      <x:c r="H7" s="2"/>
      <x:c r="I7" s="2"/>
      <x:c r="J7" s="2"/>
      <x:c r="K7" s="2"/>
      <x:c r="L7" s="2"/>
      <x:c r="M7" s="2"/>
      <x:c r="N7" s="2"/>
      <x:c r="O7" s="2"/>
      <x:c r="P7" s="2"/>
      <x:c r="Q7" s="2"/>
      <x:c r="R7" s="2"/>
      <x:c r="S7" s="2"/>
      <x:c r="T7" s="2"/>
      <x:c r="U7" s="2"/>
      <x:c r="V7" s="2"/>
      <x:c r="W7" s="2"/>
      <x:c r="X7" s="2"/>
      <x:c r="Y7" s="2"/>
      <x:c r="Z7" s="2"/>
    </x:row>
    <x:row r="8" ht="20" customHeight="1">
      <x:c r="A8" s="2"/>
      <x:c r="B8" s="2" t="str">
        <x:v>Mission</x:v>
      </x:c>
      <x:c r="C8" s="2" t="str">
        <x:v>Accountable population</x:v>
      </x:c>
      <x:c r="D8" s="19" t="n">
        <x:v>5000</x:v>
      </x:c>
      <x:c r="E8" s="2" t="str">
        <x:v>people</x:v>
      </x:c>
      <x:c r="F8" s="2" t="str">
        <x:v>one occupied-building service cell</x:v>
      </x:c>
      <x:c r="G8" s="2"/>
      <x:c r="H8" s="2"/>
      <x:c r="I8" s="2"/>
      <x:c r="J8" s="2"/>
      <x:c r="K8" s="2"/>
      <x:c r="L8" s="2"/>
      <x:c r="M8" s="2"/>
      <x:c r="N8" s="2"/>
      <x:c r="O8" s="2"/>
      <x:c r="P8" s="2"/>
      <x:c r="Q8" s="2"/>
      <x:c r="R8" s="2"/>
      <x:c r="S8" s="2"/>
      <x:c r="T8" s="2"/>
      <x:c r="U8" s="2"/>
      <x:c r="V8" s="2"/>
      <x:c r="W8" s="2"/>
      <x:c r="X8" s="2"/>
      <x:c r="Y8" s="2"/>
      <x:c r="Z8" s="2"/>
    </x:row>
    <x:row r="9" ht="20" customHeight="1">
      <x:c r="A9" s="2"/>
      <x:c r="B9" s="2" t="str">
        <x:v>Mission</x:v>
      </x:c>
      <x:c r="C9" s="2" t="str">
        <x:v>Mission duration</x:v>
      </x:c>
      <x:c r="D9" s="19" t="n">
        <x:v>168</x:v>
      </x:c>
      <x:c r="E9" s="2" t="str">
        <x:v>h</x:v>
      </x:c>
      <x:c r="F9" s="2" t="str">
        <x:v>seven-day comparison</x:v>
      </x:c>
      <x:c r="G9" s="2"/>
      <x:c r="H9" s="2"/>
      <x:c r="I9" s="2"/>
      <x:c r="J9" s="2"/>
      <x:c r="K9" s="2"/>
      <x:c r="L9" s="2"/>
      <x:c r="M9" s="2"/>
      <x:c r="N9" s="2"/>
      <x:c r="O9" s="2"/>
      <x:c r="P9" s="2"/>
      <x:c r="Q9" s="2"/>
      <x:c r="R9" s="2"/>
      <x:c r="S9" s="2"/>
      <x:c r="T9" s="2"/>
      <x:c r="U9" s="2"/>
      <x:c r="V9" s="2"/>
      <x:c r="W9" s="2"/>
      <x:c r="X9" s="2"/>
      <x:c r="Y9" s="2"/>
      <x:c r="Z9" s="2"/>
    </x:row>
    <x:row r="10" ht="20" customHeight="1">
      <x:c r="A10" s="2"/>
      <x:c r="B10" s="2" t="str">
        <x:v>Mission</x:v>
      </x:c>
      <x:c r="C10" s="2" t="str">
        <x:v>Protected-service deadline</x:v>
      </x:c>
      <x:c r="D10" s="19" t="n">
        <x:v>24</x:v>
      </x:c>
      <x:c r="E10" s="2" t="str">
        <x:v>h</x:v>
      </x:c>
      <x:c r="F10" s="2" t="str">
        <x:v>at least the declared protected fraction</x:v>
      </x:c>
      <x:c r="G10" s="2"/>
      <x:c r="H10" s="2"/>
      <x:c r="I10" s="2"/>
      <x:c r="J10" s="2"/>
      <x:c r="K10" s="2"/>
      <x:c r="L10" s="2"/>
      <x:c r="M10" s="2"/>
      <x:c r="N10" s="2"/>
      <x:c r="O10" s="2"/>
      <x:c r="P10" s="2"/>
      <x:c r="Q10" s="2"/>
      <x:c r="R10" s="2"/>
      <x:c r="S10" s="2"/>
      <x:c r="T10" s="2"/>
      <x:c r="U10" s="2"/>
      <x:c r="V10" s="2"/>
      <x:c r="W10" s="2"/>
      <x:c r="X10" s="2"/>
      <x:c r="Y10" s="2"/>
      <x:c r="Z10" s="2"/>
    </x:row>
    <x:row r="11" ht="20" customHeight="1">
      <x:c r="A11" s="2"/>
      <x:c r="B11" s="2" t="str">
        <x:v>Mission</x:v>
      </x:c>
      <x:c r="C11" s="2" t="str">
        <x:v>Full-service deadline</x:v>
      </x:c>
      <x:c r="D11" s="19" t="n">
        <x:v>48</x:v>
      </x:c>
      <x:c r="E11" s="2" t="str">
        <x:v>h</x:v>
      </x:c>
      <x:c r="F11" s="2" t="str">
        <x:v>complete service at the cell boundary</x:v>
      </x:c>
      <x:c r="G11" s="2"/>
      <x:c r="H11" s="2"/>
      <x:c r="I11" s="2"/>
      <x:c r="J11" s="2"/>
      <x:c r="K11" s="2"/>
      <x:c r="L11" s="2"/>
      <x:c r="M11" s="2"/>
      <x:c r="N11" s="2"/>
      <x:c r="O11" s="2"/>
      <x:c r="P11" s="2"/>
      <x:c r="Q11" s="2"/>
      <x:c r="R11" s="2"/>
      <x:c r="S11" s="2"/>
      <x:c r="T11" s="2"/>
      <x:c r="U11" s="2"/>
      <x:c r="V11" s="2"/>
      <x:c r="W11" s="2"/>
      <x:c r="X11" s="2"/>
      <x:c r="Y11" s="2"/>
      <x:c r="Z11" s="2"/>
    </x:row>
    <x:row r="12" ht="20" customHeight="1">
      <x:c r="A12" s="2"/>
      <x:c r="B12" s="2" t="str">
        <x:v>Mission</x:v>
      </x:c>
      <x:c r="C12" s="2" t="str">
        <x:v>Protected-service fraction</x:v>
      </x:c>
      <x:c r="D12" s="20" t="n">
        <x:v>0.4</x:v>
      </x:c>
      <x:c r="E12" s="2" t="str">
        <x:v>share</x:v>
      </x:c>
      <x:c r="F12" s="2" t="str">
        <x:v>minimum useful service after a route or asset loss</x:v>
      </x:c>
      <x:c r="G12" s="2"/>
      <x:c r="H12" s="2"/>
      <x:c r="I12" s="2"/>
      <x:c r="J12" s="2"/>
      <x:c r="K12" s="2"/>
      <x:c r="L12" s="2"/>
      <x:c r="M12" s="2"/>
      <x:c r="N12" s="2"/>
      <x:c r="O12" s="2"/>
      <x:c r="P12" s="2"/>
      <x:c r="Q12" s="2"/>
      <x:c r="R12" s="2"/>
      <x:c r="S12" s="2"/>
      <x:c r="T12" s="2"/>
      <x:c r="U12" s="2"/>
      <x:c r="V12" s="2"/>
      <x:c r="W12" s="2"/>
      <x:c r="X12" s="2"/>
      <x:c r="Y12" s="2"/>
      <x:c r="Z12" s="2"/>
    </x:row>
    <x:row r="13" ht="20" customHeight="1">
      <x:c r="A13" s="2"/>
      <x:c r="B13" s="2" t="str">
        <x:v>Mission</x:v>
      </x:c>
      <x:c r="C13" s="2" t="str">
        <x:v>Continuous net electricity</x:v>
      </x:c>
      <x:c r="D13" s="19" t="n">
        <x:v>1.42216</x:v>
      </x:c>
      <x:c r="E13" s="2" t="str">
        <x:v>MWe</x:v>
      </x:c>
      <x:c r="F13" s="2" t="str">
        <x:v>inherited from Pass 73</x:v>
      </x:c>
      <x:c r="G13" s="2"/>
      <x:c r="H13" s="2"/>
      <x:c r="I13" s="2"/>
      <x:c r="J13" s="2"/>
      <x:c r="K13" s="2"/>
      <x:c r="L13" s="2"/>
      <x:c r="M13" s="2"/>
      <x:c r="N13" s="2"/>
      <x:c r="O13" s="2"/>
      <x:c r="P13" s="2"/>
      <x:c r="Q13" s="2"/>
      <x:c r="R13" s="2"/>
      <x:c r="S13" s="2"/>
      <x:c r="T13" s="2"/>
      <x:c r="U13" s="2"/>
      <x:c r="V13" s="2"/>
      <x:c r="W13" s="2"/>
      <x:c r="X13" s="2"/>
      <x:c r="Y13" s="2"/>
      <x:c r="Z13" s="2"/>
    </x:row>
    <x:row r="14" ht="20" customHeight="1">
      <x:c r="A14" s="2"/>
      <x:c r="B14" s="2" t="str">
        <x:v>Mission</x:v>
      </x:c>
      <x:c r="C14" s="2" t="str">
        <x:v>Peak net electricity</x:v>
      </x:c>
      <x:c r="D14" s="19" t="n">
        <x:v>1.91992</x:v>
      </x:c>
      <x:c r="E14" s="2" t="str">
        <x:v>MWe</x:v>
      </x:c>
      <x:c r="F14" s="2" t="str">
        <x:v>starting and coincident demand</x:v>
      </x:c>
      <x:c r="G14" s="2"/>
      <x:c r="H14" s="2"/>
      <x:c r="I14" s="2"/>
      <x:c r="J14" s="2"/>
      <x:c r="K14" s="2"/>
      <x:c r="L14" s="2"/>
      <x:c r="M14" s="2"/>
      <x:c r="N14" s="2"/>
      <x:c r="O14" s="2"/>
      <x:c r="P14" s="2"/>
      <x:c r="Q14" s="2"/>
      <x:c r="R14" s="2"/>
      <x:c r="S14" s="2"/>
      <x:c r="T14" s="2"/>
      <x:c r="U14" s="2"/>
      <x:c r="V14" s="2"/>
      <x:c r="W14" s="2"/>
      <x:c r="X14" s="2"/>
      <x:c r="Y14" s="2"/>
      <x:c r="Z14" s="2"/>
    </x:row>
    <x:row r="15" ht="20" customHeight="1">
      <x:c r="A15" s="2"/>
      <x:c r="B15" s="2" t="str">
        <x:v>Mission</x:v>
      </x:c>
      <x:c r="C15" s="2" t="str">
        <x:v>Useful cooling</x:v>
      </x:c>
      <x:c r="D15" s="19" t="n">
        <x:v>1.965</x:v>
      </x:c>
      <x:c r="E15" s="2" t="str">
        <x:v>MWth</x:v>
      </x:c>
      <x:c r="F15" s="2" t="str">
        <x:v>occupied rooms and refuges</x:v>
      </x:c>
      <x:c r="G15" s="2"/>
      <x:c r="H15" s="2"/>
      <x:c r="I15" s="2"/>
      <x:c r="J15" s="2"/>
      <x:c r="K15" s="2"/>
      <x:c r="L15" s="2"/>
      <x:c r="M15" s="2"/>
      <x:c r="N15" s="2"/>
      <x:c r="O15" s="2"/>
      <x:c r="P15" s="2"/>
      <x:c r="Q15" s="2"/>
      <x:c r="R15" s="2"/>
      <x:c r="S15" s="2"/>
      <x:c r="T15" s="2"/>
      <x:c r="U15" s="2"/>
      <x:c r="V15" s="2"/>
      <x:c r="W15" s="2"/>
      <x:c r="X15" s="2"/>
      <x:c r="Y15" s="2"/>
      <x:c r="Z15" s="2"/>
    </x:row>
    <x:row r="16" ht="20" customHeight="1">
      <x:c r="A16" s="2"/>
      <x:c r="B16" s="2" t="str">
        <x:v>Mission</x:v>
      </x:c>
      <x:c r="C16" s="2" t="str">
        <x:v>Occupied-site rejection</x:v>
      </x:c>
      <x:c r="D16" s="19" t="n">
        <x:v>4.765105238095238</x:v>
      </x:c>
      <x:c r="E16" s="2" t="str">
        <x:v>MWth</x:v>
      </x:c>
      <x:c r="F16" s="2" t="str">
        <x:v>L1 cooling-cycle plus source-conversion heat</x:v>
      </x:c>
      <x:c r="G16" s="2"/>
      <x:c r="H16" s="2"/>
      <x:c r="I16" s="2"/>
      <x:c r="J16" s="2"/>
      <x:c r="K16" s="2"/>
      <x:c r="L16" s="2"/>
      <x:c r="M16" s="2"/>
      <x:c r="N16" s="2"/>
      <x:c r="O16" s="2"/>
      <x:c r="P16" s="2"/>
      <x:c r="Q16" s="2"/>
      <x:c r="R16" s="2"/>
      <x:c r="S16" s="2"/>
      <x:c r="T16" s="2"/>
      <x:c r="U16" s="2"/>
      <x:c r="V16" s="2"/>
      <x:c r="W16" s="2"/>
      <x:c r="X16" s="2"/>
      <x:c r="Y16" s="2"/>
      <x:c r="Z16" s="2"/>
    </x:row>
    <x:row r="17" ht="20" customHeight="1">
      <x:c r="A17" s="2"/>
      <x:c r="B17" s="2" t="str">
        <x:v>Module</x:v>
      </x:c>
      <x:c r="C17" s="2" t="str">
        <x:v>L1 service payload dry mass</x:v>
      </x:c>
      <x:c r="D17" s="19" t="n">
        <x:v>580</x:v>
      </x:c>
      <x:c r="E17" s="2" t="str">
        <x:v>t</x:v>
      </x:c>
      <x:c r="F17" s="2" t="str">
        <x:v>before geometry-specific duplication and carriers</x:v>
      </x:c>
      <x:c r="G17" s="2"/>
      <x:c r="H17" s="2"/>
      <x:c r="I17" s="2"/>
      <x:c r="J17" s="2"/>
      <x:c r="K17" s="2"/>
      <x:c r="L17" s="2"/>
      <x:c r="M17" s="2"/>
      <x:c r="N17" s="2"/>
      <x:c r="O17" s="2"/>
      <x:c r="P17" s="2"/>
      <x:c r="Q17" s="2"/>
      <x:c r="R17" s="2"/>
      <x:c r="S17" s="2"/>
      <x:c r="T17" s="2"/>
      <x:c r="U17" s="2"/>
      <x:c r="V17" s="2"/>
      <x:c r="W17" s="2"/>
      <x:c r="X17" s="2"/>
      <x:c r="Y17" s="2"/>
      <x:c r="Z17" s="2"/>
    </x:row>
    <x:row r="18" ht="20" customHeight="1">
      <x:c r="A18" s="2"/>
      <x:c r="B18" s="2" t="str">
        <x:v>Module</x:v>
      </x:c>
      <x:c r="C18" s="2" t="str">
        <x:v>Seven-day liquid inventory</x:v>
      </x:c>
      <x:c r="D18" s="19" t="n">
        <x:v>54.7900837520938</x:v>
      </x:c>
      <x:c r="E18" s="2" t="str">
        <x:v>t</x:v>
      </x:c>
      <x:c r="F18" s="2" t="str">
        <x:v>includes fifteen-percent energy reserve</x:v>
      </x:c>
      <x:c r="G18" s="2"/>
      <x:c r="H18" s="2"/>
      <x:c r="I18" s="2"/>
      <x:c r="J18" s="2"/>
      <x:c r="K18" s="2"/>
      <x:c r="L18" s="2"/>
      <x:c r="M18" s="2"/>
      <x:c r="N18" s="2"/>
      <x:c r="O18" s="2"/>
      <x:c r="P18" s="2"/>
      <x:c r="Q18" s="2"/>
      <x:c r="R18" s="2"/>
      <x:c r="S18" s="2"/>
      <x:c r="T18" s="2"/>
      <x:c r="U18" s="2"/>
      <x:c r="V18" s="2"/>
      <x:c r="W18" s="2"/>
      <x:c r="X18" s="2"/>
      <x:c r="Y18" s="2"/>
      <x:c r="Z18" s="2"/>
    </x:row>
    <x:row r="19" ht="20" customHeight="1">
      <x:c r="A19" s="2"/>
      <x:c r="B19" s="2" t="str">
        <x:v>Module</x:v>
      </x:c>
      <x:c r="C19" s="2" t="str">
        <x:v>Equipment cube</x:v>
      </x:c>
      <x:c r="D19" s="19" t="n">
        <x:v>2560</x:v>
      </x:c>
      <x:c r="E19" s="2" t="str">
        <x:v>m³</x:v>
      </x:c>
      <x:c r="F19" s="2" t="str">
        <x:v>excludes liquid inventory</x:v>
      </x:c>
      <x:c r="G19" s="2"/>
      <x:c r="H19" s="2"/>
      <x:c r="I19" s="2"/>
      <x:c r="J19" s="2"/>
      <x:c r="K19" s="2"/>
      <x:c r="L19" s="2"/>
      <x:c r="M19" s="2"/>
      <x:c r="N19" s="2"/>
      <x:c r="O19" s="2"/>
      <x:c r="P19" s="2"/>
      <x:c r="Q19" s="2"/>
      <x:c r="R19" s="2"/>
      <x:c r="S19" s="2"/>
      <x:c r="T19" s="2"/>
      <x:c r="U19" s="2"/>
      <x:c r="V19" s="2"/>
      <x:c r="W19" s="2"/>
      <x:c r="X19" s="2"/>
      <x:c r="Y19" s="2"/>
      <x:c r="Z19" s="2"/>
    </x:row>
    <x:row r="20" ht="20" customHeight="1">
      <x:c r="A20" s="2"/>
      <x:c r="B20" s="2" t="str">
        <x:v>Module</x:v>
      </x:c>
      <x:c r="C20" s="2" t="str">
        <x:v>Liquid inventory cube</x:v>
      </x:c>
      <x:c r="D20" s="19" t="n">
        <x:v>70</x:v>
      </x:c>
      <x:c r="E20" s="2" t="str">
        <x:v>m³</x:v>
      </x:c>
      <x:c r="F20" s="2" t="str">
        <x:v>two segregated tank positions</x:v>
      </x:c>
      <x:c r="G20" s="2"/>
      <x:c r="H20" s="2"/>
      <x:c r="I20" s="2"/>
      <x:c r="J20" s="2"/>
      <x:c r="K20" s="2"/>
      <x:c r="L20" s="2"/>
      <x:c r="M20" s="2"/>
      <x:c r="N20" s="2"/>
      <x:c r="O20" s="2"/>
      <x:c r="P20" s="2"/>
      <x:c r="Q20" s="2"/>
      <x:c r="R20" s="2"/>
      <x:c r="S20" s="2"/>
      <x:c r="T20" s="2"/>
      <x:c r="U20" s="2"/>
      <x:c r="V20" s="2"/>
      <x:c r="W20" s="2"/>
      <x:c r="X20" s="2"/>
      <x:c r="Y20" s="2"/>
      <x:c r="Z20" s="2"/>
    </x:row>
    <x:row r="21" ht="20" customHeight="1">
      <x:c r="A21" s="2"/>
      <x:c r="B21" s="2" t="str">
        <x:v>Module</x:v>
      </x:c>
      <x:c r="C21" s="2" t="str">
        <x:v>Source net nameplate</x:v>
      </x:c>
      <x:c r="D21" s="19" t="n">
        <x:v>2.4</x:v>
      </x:c>
      <x:c r="E21" s="2" t="str">
        <x:v>MWe</x:v>
      </x:c>
      <x:c r="F21" s="2" t="str">
        <x:v>two independently isolable source islands</x:v>
      </x:c>
      <x:c r="G21" s="2"/>
      <x:c r="H21" s="2"/>
      <x:c r="I21" s="2"/>
      <x:c r="J21" s="2"/>
      <x:c r="K21" s="2"/>
      <x:c r="L21" s="2"/>
      <x:c r="M21" s="2"/>
      <x:c r="N21" s="2"/>
      <x:c r="O21" s="2"/>
      <x:c r="P21" s="2"/>
      <x:c r="Q21" s="2"/>
      <x:c r="R21" s="2"/>
      <x:c r="S21" s="2"/>
      <x:c r="T21" s="2"/>
      <x:c r="U21" s="2"/>
      <x:c r="V21" s="2"/>
      <x:c r="W21" s="2"/>
      <x:c r="X21" s="2"/>
      <x:c r="Y21" s="2"/>
      <x:c r="Z21" s="2"/>
    </x:row>
    <x:row r="22" ht="20" customHeight="1">
      <x:c r="A22" s="2"/>
      <x:c r="B22" s="2" t="str">
        <x:v>Module</x:v>
      </x:c>
      <x:c r="C22" s="2" t="str">
        <x:v>Source N-1 net capacity</x:v>
      </x:c>
      <x:c r="D22" s="19" t="n">
        <x:v>1.8</x:v>
      </x:c>
      <x:c r="E22" s="2" t="str">
        <x:v>MWe</x:v>
      </x:c>
      <x:c r="F22" s="2" t="str">
        <x:v>largest source train unavailable</x:v>
      </x:c>
      <x:c r="G22" s="2"/>
      <x:c r="H22" s="2"/>
      <x:c r="I22" s="2"/>
      <x:c r="J22" s="2"/>
      <x:c r="K22" s="2"/>
      <x:c r="L22" s="2"/>
      <x:c r="M22" s="2"/>
      <x:c r="N22" s="2"/>
      <x:c r="O22" s="2"/>
      <x:c r="P22" s="2"/>
      <x:c r="Q22" s="2"/>
      <x:c r="R22" s="2"/>
      <x:c r="S22" s="2"/>
      <x:c r="T22" s="2"/>
      <x:c r="U22" s="2"/>
      <x:c r="V22" s="2"/>
      <x:c r="W22" s="2"/>
      <x:c r="X22" s="2"/>
      <x:c r="Y22" s="2"/>
      <x:c r="Z22" s="2"/>
    </x:row>
    <x:row r="23" ht="20" customHeight="1">
      <x:c r="A23" s="2"/>
      <x:c r="B23" s="2" t="str">
        <x:v>Thermal</x:v>
      </x:c>
      <x:c r="C23" s="2" t="str">
        <x:v>Installed rejection target</x:v>
      </x:c>
      <x:c r="D23" s="19" t="n">
        <x:v>9</x:v>
      </x:c>
      <x:c r="E23" s="2" t="str">
        <x:v>MWth</x:v>
      </x:c>
      <x:c r="F23" s="2" t="str">
        <x:v>clean-sheet geometry baseline</x:v>
      </x:c>
      <x:c r="G23" s="2"/>
      <x:c r="H23" s="2"/>
      <x:c r="I23" s="2"/>
      <x:c r="J23" s="2"/>
      <x:c r="K23" s="2"/>
      <x:c r="L23" s="2"/>
      <x:c r="M23" s="2"/>
      <x:c r="N23" s="2"/>
      <x:c r="O23" s="2"/>
      <x:c r="P23" s="2"/>
      <x:c r="Q23" s="2"/>
      <x:c r="R23" s="2"/>
      <x:c r="S23" s="2"/>
      <x:c r="T23" s="2"/>
      <x:c r="U23" s="2"/>
      <x:c r="V23" s="2"/>
      <x:c r="W23" s="2"/>
      <x:c r="X23" s="2"/>
      <x:c r="Y23" s="2"/>
      <x:c r="Z23" s="2"/>
    </x:row>
    <x:row r="24" ht="20" customHeight="1">
      <x:c r="A24" s="2"/>
      <x:c r="B24" s="2" t="str">
        <x:v>Thermal</x:v>
      </x:c>
      <x:c r="C24" s="2" t="str">
        <x:v>Rejection train count</x:v>
      </x:c>
      <x:c r="D24" s="19" t="n">
        <x:v>4</x:v>
      </x:c>
      <x:c r="E24" s="2" t="str">
        <x:v>trains</x:v>
      </x:c>
      <x:c r="F24" s="2" t="str">
        <x:v>equal independently isolable trains</x:v>
      </x:c>
      <x:c r="G24" s="2"/>
      <x:c r="H24" s="2"/>
      <x:c r="I24" s="2"/>
      <x:c r="J24" s="2"/>
      <x:c r="K24" s="2"/>
      <x:c r="L24" s="2"/>
      <x:c r="M24" s="2"/>
      <x:c r="N24" s="2"/>
      <x:c r="O24" s="2"/>
      <x:c r="P24" s="2"/>
      <x:c r="Q24" s="2"/>
      <x:c r="R24" s="2"/>
      <x:c r="S24" s="2"/>
      <x:c r="T24" s="2"/>
      <x:c r="U24" s="2"/>
      <x:c r="V24" s="2"/>
      <x:c r="W24" s="2"/>
      <x:c r="X24" s="2"/>
      <x:c r="Y24" s="2"/>
      <x:c r="Z24" s="2"/>
    </x:row>
    <x:row r="25" ht="20" customHeight="1">
      <x:c r="A25" s="2"/>
      <x:c r="B25" s="2" t="str">
        <x:v>Thermal</x:v>
      </x:c>
      <x:c r="C25" s="2" t="str">
        <x:v>Nominal face flux</x:v>
      </x:c>
      <x:c r="D25" s="19" t="n">
        <x:v>0.085</x:v>
      </x:c>
      <x:c r="E25" s="2" t="str">
        <x:v>MWth/m²</x:v>
      </x:c>
      <x:c r="F25" s="2" t="str">
        <x:v>complete exchanger face, not site area</x:v>
      </x:c>
      <x:c r="G25" s="2"/>
      <x:c r="H25" s="2"/>
      <x:c r="I25" s="2"/>
      <x:c r="J25" s="2"/>
      <x:c r="K25" s="2"/>
      <x:c r="L25" s="2"/>
      <x:c r="M25" s="2"/>
      <x:c r="N25" s="2"/>
      <x:c r="O25" s="2"/>
      <x:c r="P25" s="2"/>
      <x:c r="Q25" s="2"/>
      <x:c r="R25" s="2"/>
      <x:c r="S25" s="2"/>
      <x:c r="T25" s="2"/>
      <x:c r="U25" s="2"/>
      <x:c r="V25" s="2"/>
      <x:c r="W25" s="2"/>
      <x:c r="X25" s="2"/>
      <x:c r="Y25" s="2"/>
      <x:c r="Z25" s="2"/>
    </x:row>
    <x:row r="26" ht="20" customHeight="1">
      <x:c r="A26" s="2"/>
      <x:c r="B26" s="2" t="str">
        <x:v>Thermal</x:v>
      </x:c>
      <x:c r="C26" s="2" t="str">
        <x:v>50°C capacity factor</x:v>
      </x:c>
      <x:c r="D26" s="20" t="n">
        <x:v>0.88</x:v>
      </x:c>
      <x:c r="E26" s="2" t="str">
        <x:v>factor</x:v>
      </x:c>
      <x:c r="F26" s="2" t="str">
        <x:v>clean-sheet high-ambient target</x:v>
      </x:c>
      <x:c r="G26" s="2"/>
      <x:c r="H26" s="2"/>
      <x:c r="I26" s="2"/>
      <x:c r="J26" s="2"/>
      <x:c r="K26" s="2"/>
      <x:c r="L26" s="2"/>
      <x:c r="M26" s="2"/>
      <x:c r="N26" s="2"/>
      <x:c r="O26" s="2"/>
      <x:c r="P26" s="2"/>
      <x:c r="Q26" s="2"/>
      <x:c r="R26" s="2"/>
      <x:c r="S26" s="2"/>
      <x:c r="T26" s="2"/>
      <x:c r="U26" s="2"/>
      <x:c r="V26" s="2"/>
      <x:c r="W26" s="2"/>
      <x:c r="X26" s="2"/>
      <x:c r="Y26" s="2"/>
      <x:c r="Z26" s="2"/>
    </x:row>
    <x:row r="27" ht="20" customHeight="1">
      <x:c r="A27" s="2"/>
      <x:c r="B27" s="2" t="str">
        <x:v>Thermal</x:v>
      </x:c>
      <x:c r="C27" s="2" t="str">
        <x:v>Smoke capacity factor</x:v>
      </x:c>
      <x:c r="D27" s="20" t="n">
        <x:v>0.9</x:v>
      </x:c>
      <x:c r="E27" s="2" t="str">
        <x:v>factor</x:v>
      </x:c>
      <x:c r="F27" s="2" t="str">
        <x:v>after filtration and self-cleaning</x:v>
      </x:c>
      <x:c r="G27" s="2"/>
      <x:c r="H27" s="2"/>
      <x:c r="I27" s="2"/>
      <x:c r="J27" s="2"/>
      <x:c r="K27" s="2"/>
      <x:c r="L27" s="2"/>
      <x:c r="M27" s="2"/>
      <x:c r="N27" s="2"/>
      <x:c r="O27" s="2"/>
      <x:c r="P27" s="2"/>
      <x:c r="Q27" s="2"/>
      <x:c r="R27" s="2"/>
      <x:c r="S27" s="2"/>
      <x:c r="T27" s="2"/>
      <x:c r="U27" s="2"/>
      <x:c r="V27" s="2"/>
      <x:c r="W27" s="2"/>
      <x:c r="X27" s="2"/>
      <x:c r="Y27" s="2"/>
      <x:c r="Z27" s="2"/>
    </x:row>
    <x:row r="28" ht="20" customHeight="1">
      <x:c r="A28" s="2"/>
      <x:c r="B28" s="2" t="str">
        <x:v>Thermal</x:v>
      </x:c>
      <x:c r="C28" s="2" t="str">
        <x:v>Air temperature rise</x:v>
      </x:c>
      <x:c r="D28" s="19" t="n">
        <x:v>12</x:v>
      </x:c>
      <x:c r="E28" s="2" t="str">
        <x:v>°C</x:v>
      </x:c>
      <x:c r="F28" s="2" t="str">
        <x:v>design air-side heat pickup</x:v>
      </x:c>
      <x:c r="G28" s="2"/>
      <x:c r="H28" s="2"/>
      <x:c r="I28" s="2"/>
      <x:c r="J28" s="2"/>
      <x:c r="K28" s="2"/>
      <x:c r="L28" s="2"/>
      <x:c r="M28" s="2"/>
      <x:c r="N28" s="2"/>
      <x:c r="O28" s="2"/>
      <x:c r="P28" s="2"/>
      <x:c r="Q28" s="2"/>
      <x:c r="R28" s="2"/>
      <x:c r="S28" s="2"/>
      <x:c r="T28" s="2"/>
      <x:c r="U28" s="2"/>
      <x:c r="V28" s="2"/>
      <x:c r="W28" s="2"/>
      <x:c r="X28" s="2"/>
      <x:c r="Y28" s="2"/>
      <x:c r="Z28" s="2"/>
    </x:row>
    <x:row r="29" ht="20" customHeight="1">
      <x:c r="A29" s="2"/>
      <x:c r="B29" s="2" t="str">
        <x:v>Thermal</x:v>
      </x:c>
      <x:c r="C29" s="2" t="str">
        <x:v>Hot-air density</x:v>
      </x:c>
      <x:c r="D29" s="19" t="n">
        <x:v>1.05</x:v>
      </x:c>
      <x:c r="E29" s="2" t="str">
        <x:v>kg/m³</x:v>
      </x:c>
      <x:c r="F29" s="2" t="str">
        <x:v>declared hot-condition value</x:v>
      </x:c>
      <x:c r="G29" s="2"/>
      <x:c r="H29" s="2"/>
      <x:c r="I29" s="2"/>
      <x:c r="J29" s="2"/>
      <x:c r="K29" s="2"/>
      <x:c r="L29" s="2"/>
      <x:c r="M29" s="2"/>
      <x:c r="N29" s="2"/>
      <x:c r="O29" s="2"/>
      <x:c r="P29" s="2"/>
      <x:c r="Q29" s="2"/>
      <x:c r="R29" s="2"/>
      <x:c r="S29" s="2"/>
      <x:c r="T29" s="2"/>
      <x:c r="U29" s="2"/>
      <x:c r="V29" s="2"/>
      <x:c r="W29" s="2"/>
      <x:c r="X29" s="2"/>
      <x:c r="Y29" s="2"/>
      <x:c r="Z29" s="2"/>
    </x:row>
    <x:row r="30" ht="20" customHeight="1">
      <x:c r="A30" s="2"/>
      <x:c r="B30" s="2" t="str">
        <x:v>Thermal</x:v>
      </x:c>
      <x:c r="C30" s="2" t="str">
        <x:v>Air specific heat</x:v>
      </x:c>
      <x:c r="D30" s="19" t="n">
        <x:v>1.01</x:v>
      </x:c>
      <x:c r="E30" s="2" t="str">
        <x:v>kJ/kg-K</x:v>
      </x:c>
      <x:c r="F30" s="2" t="str">
        <x:v>declared constant-pressure value</x:v>
      </x:c>
      <x:c r="G30" s="2"/>
      <x:c r="H30" s="2"/>
      <x:c r="I30" s="2"/>
      <x:c r="J30" s="2"/>
      <x:c r="K30" s="2"/>
      <x:c r="L30" s="2"/>
      <x:c r="M30" s="2"/>
      <x:c r="N30" s="2"/>
      <x:c r="O30" s="2"/>
      <x:c r="P30" s="2"/>
      <x:c r="Q30" s="2"/>
      <x:c r="R30" s="2"/>
      <x:c r="S30" s="2"/>
      <x:c r="T30" s="2"/>
      <x:c r="U30" s="2"/>
      <x:c r="V30" s="2"/>
      <x:c r="W30" s="2"/>
      <x:c r="X30" s="2"/>
      <x:c r="Y30" s="2"/>
      <x:c r="Z30" s="2"/>
    </x:row>
    <x:row r="31" ht="20" customHeight="1">
      <x:c r="A31" s="2"/>
      <x:c r="B31" s="2" t="str">
        <x:v>Thermal</x:v>
      </x:c>
      <x:c r="C31" s="2" t="str">
        <x:v>Maximum free-area velocity</x:v>
      </x:c>
      <x:c r="D31" s="19" t="n">
        <x:v>2.5</x:v>
      </x:c>
      <x:c r="E31" s="2" t="str">
        <x:v>m/s</x:v>
      </x:c>
      <x:c r="F31" s="2" t="str">
        <x:v>occupied-site intake boundary</x:v>
      </x:c>
      <x:c r="G31" s="2"/>
      <x:c r="H31" s="2"/>
      <x:c r="I31" s="2"/>
      <x:c r="J31" s="2"/>
      <x:c r="K31" s="2"/>
      <x:c r="L31" s="2"/>
      <x:c r="M31" s="2"/>
      <x:c r="N31" s="2"/>
      <x:c r="O31" s="2"/>
      <x:c r="P31" s="2"/>
      <x:c r="Q31" s="2"/>
      <x:c r="R31" s="2"/>
      <x:c r="S31" s="2"/>
      <x:c r="T31" s="2"/>
      <x:c r="U31" s="2"/>
      <x:c r="V31" s="2"/>
      <x:c r="W31" s="2"/>
      <x:c r="X31" s="2"/>
      <x:c r="Y31" s="2"/>
      <x:c r="Z31" s="2"/>
    </x:row>
    <x:row r="32" ht="20" customHeight="1">
      <x:c r="A32" s="2"/>
      <x:c r="B32" s="2" t="str">
        <x:v>Thermal</x:v>
      </x:c>
      <x:c r="C32" s="2" t="str">
        <x:v>Usable intake free-area factor</x:v>
      </x:c>
      <x:c r="D32" s="20" t="n">
        <x:v>0.7</x:v>
      </x:c>
      <x:c r="E32" s="2" t="str">
        <x:v>factor</x:v>
      </x:c>
      <x:c r="F32" s="2" t="str">
        <x:v>allows screens, blockage and structure</x:v>
      </x:c>
      <x:c r="G32" s="2"/>
      <x:c r="H32" s="2"/>
      <x:c r="I32" s="2"/>
      <x:c r="J32" s="2"/>
      <x:c r="K32" s="2"/>
      <x:c r="L32" s="2"/>
      <x:c r="M32" s="2"/>
      <x:c r="N32" s="2"/>
      <x:c r="O32" s="2"/>
      <x:c r="P32" s="2"/>
      <x:c r="Q32" s="2"/>
      <x:c r="R32" s="2"/>
      <x:c r="S32" s="2"/>
      <x:c r="T32" s="2"/>
      <x:c r="U32" s="2"/>
      <x:c r="V32" s="2"/>
      <x:c r="W32" s="2"/>
      <x:c r="X32" s="2"/>
      <x:c r="Y32" s="2"/>
      <x:c r="Z32" s="2"/>
    </x:row>
    <x:row r="33" ht="20" customHeight="1">
      <x:c r="A33" s="2"/>
      <x:c r="B33" s="2" t="str">
        <x:v>Site</x:v>
      </x:c>
      <x:c r="C33" s="2" t="str">
        <x:v>Occupied-site area boundary</x:v>
      </x:c>
      <x:c r="D33" s="19" t="n">
        <x:v>5000</x:v>
      </x:c>
      <x:c r="E33" s="2" t="str">
        <x:v>m²</x:v>
      </x:c>
      <x:c r="F33" s="2" t="str">
        <x:v>excludes remote corridor land</x:v>
      </x:c>
      <x:c r="G33" s="2"/>
      <x:c r="H33" s="2"/>
      <x:c r="I33" s="2"/>
      <x:c r="J33" s="2"/>
      <x:c r="K33" s="2"/>
      <x:c r="L33" s="2"/>
      <x:c r="M33" s="2"/>
      <x:c r="N33" s="2"/>
      <x:c r="O33" s="2"/>
      <x:c r="P33" s="2"/>
      <x:c r="Q33" s="2"/>
      <x:c r="R33" s="2"/>
      <x:c r="S33" s="2"/>
      <x:c r="T33" s="2"/>
      <x:c r="U33" s="2"/>
      <x:c r="V33" s="2"/>
      <x:c r="W33" s="2"/>
      <x:c r="X33" s="2"/>
      <x:c r="Y33" s="2"/>
      <x:c r="Z33" s="2"/>
    </x:row>
    <x:row r="34" ht="20" customHeight="1">
      <x:c r="A34" s="2"/>
      <x:c r="B34" s="2" t="str">
        <x:v>Site</x:v>
      </x:c>
      <x:c r="C34" s="2" t="str">
        <x:v>Stand-off reach requirement</x:v>
      </x:c>
      <x:c r="D34" s="19" t="n">
        <x:v>600</x:v>
      </x:c>
      <x:c r="E34" s="2" t="str">
        <x:v>m</x:v>
      </x:c>
      <x:c r="F34" s="2" t="str">
        <x:v>damaged-building separation world</x:v>
      </x:c>
      <x:c r="G34" s="2"/>
      <x:c r="H34" s="2"/>
      <x:c r="I34" s="2"/>
      <x:c r="J34" s="2"/>
      <x:c r="K34" s="2"/>
      <x:c r="L34" s="2"/>
      <x:c r="M34" s="2"/>
      <x:c r="N34" s="2"/>
      <x:c r="O34" s="2"/>
      <x:c r="P34" s="2"/>
      <x:c r="Q34" s="2"/>
      <x:c r="R34" s="2"/>
      <x:c r="S34" s="2"/>
      <x:c r="T34" s="2"/>
      <x:c r="U34" s="2"/>
      <x:c r="V34" s="2"/>
      <x:c r="W34" s="2"/>
      <x:c r="X34" s="2"/>
      <x:c r="Y34" s="2"/>
      <x:c r="Z34" s="2"/>
    </x:row>
    <x:row r="35" ht="20" customHeight="1">
      <x:c r="A35" s="2"/>
      <x:c r="B35" s="2" t="str">
        <x:v>Site</x:v>
      </x:c>
      <x:c r="C35" s="2" t="str">
        <x:v>Night acoustic boundary</x:v>
      </x:c>
      <x:c r="D35" s="19" t="n">
        <x:v>55</x:v>
      </x:c>
      <x:c r="E35" s="2" t="str">
        <x:v>dBA</x:v>
      </x:c>
      <x:c r="F35" s="2" t="str">
        <x:v>public boundary comparator</x:v>
      </x:c>
      <x:c r="G35" s="2"/>
      <x:c r="H35" s="2"/>
      <x:c r="I35" s="2"/>
      <x:c r="J35" s="2"/>
      <x:c r="K35" s="2"/>
      <x:c r="L35" s="2"/>
      <x:c r="M35" s="2"/>
      <x:c r="N35" s="2"/>
      <x:c r="O35" s="2"/>
      <x:c r="P35" s="2"/>
      <x:c r="Q35" s="2"/>
      <x:c r="R35" s="2"/>
      <x:c r="S35" s="2"/>
      <x:c r="T35" s="2"/>
      <x:c r="U35" s="2"/>
      <x:c r="V35" s="2"/>
      <x:c r="W35" s="2"/>
      <x:c r="X35" s="2"/>
      <x:c r="Y35" s="2"/>
      <x:c r="Z35" s="2"/>
    </x:row>
    <x:row r="36" ht="20" customHeight="1">
      <x:c r="A36" s="2"/>
      <x:c r="B36" s="2" t="str">
        <x:v>Transport</x:v>
      </x:c>
      <x:c r="C36" s="2" t="str">
        <x:v>Mobile payload boundary</x:v>
      </x:c>
      <x:c r="D36" s="19" t="n">
        <x:v>1000</x:v>
      </x:c>
      <x:c r="E36" s="2" t="str">
        <x:v>t</x:v>
      </x:c>
      <x:c r="F36" s="2" t="str">
        <x:v>excludes carrier tare but includes wet inventory</x:v>
      </x:c>
      <x:c r="G36" s="2"/>
      <x:c r="H36" s="2"/>
      <x:c r="I36" s="2"/>
      <x:c r="J36" s="2"/>
      <x:c r="K36" s="2"/>
      <x:c r="L36" s="2"/>
      <x:c r="M36" s="2"/>
      <x:c r="N36" s="2"/>
      <x:c r="O36" s="2"/>
      <x:c r="P36" s="2"/>
      <x:c r="Q36" s="2"/>
      <x:c r="R36" s="2"/>
      <x:c r="S36" s="2"/>
      <x:c r="T36" s="2"/>
      <x:c r="U36" s="2"/>
      <x:c r="V36" s="2"/>
      <x:c r="W36" s="2"/>
      <x:c r="X36" s="2"/>
      <x:c r="Y36" s="2"/>
      <x:c r="Z36" s="2"/>
    </x:row>
    <x:row r="37" ht="20" customHeight="1">
      <x:c r="A37" s="2"/>
      <x:c r="B37" s="2" t="str">
        <x:v>Transport</x:v>
      </x:c>
      <x:c r="C37" s="2" t="str">
        <x:v>Road position payload</x:v>
      </x:c>
      <x:c r="D37" s="19" t="n">
        <x:v>30</x:v>
      </x:c>
      <x:c r="E37" s="2" t="str">
        <x:v>t</x:v>
      </x:c>
      <x:c r="F37" s="2" t="str">
        <x:v>clean-sheet governed cargo position</x:v>
      </x:c>
      <x:c r="G37" s="2"/>
      <x:c r="H37" s="2"/>
      <x:c r="I37" s="2"/>
      <x:c r="J37" s="2"/>
      <x:c r="K37" s="2"/>
      <x:c r="L37" s="2"/>
      <x:c r="M37" s="2"/>
      <x:c r="N37" s="2"/>
      <x:c r="O37" s="2"/>
      <x:c r="P37" s="2"/>
      <x:c r="Q37" s="2"/>
      <x:c r="R37" s="2"/>
      <x:c r="S37" s="2"/>
      <x:c r="T37" s="2"/>
      <x:c r="U37" s="2"/>
      <x:c r="V37" s="2"/>
      <x:c r="W37" s="2"/>
      <x:c r="X37" s="2"/>
      <x:c r="Y37" s="2"/>
      <x:c r="Z37" s="2"/>
    </x:row>
    <x:row r="38" ht="20" customHeight="1">
      <x:c r="A38" s="2"/>
      <x:c r="B38" s="2" t="str">
        <x:v>Transport</x:v>
      </x:c>
      <x:c r="C38" s="2" t="str">
        <x:v>Road position cube</x:v>
      </x:c>
      <x:c r="D38" s="19" t="n">
        <x:v>110</x:v>
      </x:c>
      <x:c r="E38" s="2" t="str">
        <x:v>m³</x:v>
      </x:c>
      <x:c r="F38" s="2" t="str">
        <x:v>usable bounded envelope</x:v>
      </x:c>
      <x:c r="G38" s="2"/>
      <x:c r="H38" s="2"/>
      <x:c r="I38" s="2"/>
      <x:c r="J38" s="2"/>
      <x:c r="K38" s="2"/>
      <x:c r="L38" s="2"/>
      <x:c r="M38" s="2"/>
      <x:c r="N38" s="2"/>
      <x:c r="O38" s="2"/>
      <x:c r="P38" s="2"/>
      <x:c r="Q38" s="2"/>
      <x:c r="R38" s="2"/>
      <x:c r="S38" s="2"/>
      <x:c r="T38" s="2"/>
      <x:c r="U38" s="2"/>
      <x:c r="V38" s="2"/>
      <x:c r="W38" s="2"/>
      <x:c r="X38" s="2"/>
      <x:c r="Y38" s="2"/>
      <x:c r="Z38" s="2"/>
    </x:row>
    <x:row r="39" ht="20" customHeight="1">
      <x:c r="A39" s="2"/>
      <x:c r="B39" s="2" t="str">
        <x:v>Transport</x:v>
      </x:c>
      <x:c r="C39" s="2" t="str">
        <x:v>Rail position payload</x:v>
      </x:c>
      <x:c r="D39" s="19" t="n">
        <x:v>80</x:v>
      </x:c>
      <x:c r="E39" s="2" t="str">
        <x:v>t</x:v>
      </x:c>
      <x:c r="F39" s="2" t="str">
        <x:v>flat, well or tank-car equivalent</x:v>
      </x:c>
      <x:c r="G39" s="2"/>
      <x:c r="H39" s="2"/>
      <x:c r="I39" s="2"/>
      <x:c r="J39" s="2"/>
      <x:c r="K39" s="2"/>
      <x:c r="L39" s="2"/>
      <x:c r="M39" s="2"/>
      <x:c r="N39" s="2"/>
      <x:c r="O39" s="2"/>
      <x:c r="P39" s="2"/>
      <x:c r="Q39" s="2"/>
      <x:c r="R39" s="2"/>
      <x:c r="S39" s="2"/>
      <x:c r="T39" s="2"/>
      <x:c r="U39" s="2"/>
      <x:c r="V39" s="2"/>
      <x:c r="W39" s="2"/>
      <x:c r="X39" s="2"/>
      <x:c r="Y39" s="2"/>
      <x:c r="Z39" s="2"/>
    </x:row>
    <x:row r="40" ht="20" customHeight="1">
      <x:c r="A40" s="2"/>
      <x:c r="B40" s="2" t="str">
        <x:v>Transport</x:v>
      </x:c>
      <x:c r="C40" s="2" t="str">
        <x:v>Rail position cube</x:v>
      </x:c>
      <x:c r="D40" s="19" t="n">
        <x:v>250</x:v>
      </x:c>
      <x:c r="E40" s="2" t="str">
        <x:v>m³</x:v>
      </x:c>
      <x:c r="F40" s="2" t="str">
        <x:v>usable bounded envelope</x:v>
      </x:c>
      <x:c r="G40" s="2"/>
      <x:c r="H40" s="2"/>
      <x:c r="I40" s="2"/>
      <x:c r="J40" s="2"/>
      <x:c r="K40" s="2"/>
      <x:c r="L40" s="2"/>
      <x:c r="M40" s="2"/>
      <x:c r="N40" s="2"/>
      <x:c r="O40" s="2"/>
      <x:c r="P40" s="2"/>
      <x:c r="Q40" s="2"/>
      <x:c r="R40" s="2"/>
      <x:c r="S40" s="2"/>
      <x:c r="T40" s="2"/>
      <x:c r="U40" s="2"/>
      <x:c r="V40" s="2"/>
      <x:c r="W40" s="2"/>
      <x:c r="X40" s="2"/>
      <x:c r="Y40" s="2"/>
      <x:c r="Z40" s="2"/>
    </x:row>
    <x:row r="41" ht="20" customHeight="1">
      <x:c r="A41" s="2"/>
      <x:c r="B41" s="2" t="str">
        <x:v>Transport</x:v>
      </x:c>
      <x:c r="C41" s="2" t="str">
        <x:v>Barge payload</x:v>
      </x:c>
      <x:c r="D41" s="19" t="n">
        <x:v>800</x:v>
      </x:c>
      <x:c r="E41" s="2" t="str">
        <x:v>t</x:v>
      </x:c>
      <x:c r="F41" s="2" t="str">
        <x:v>one shallow-draft host</x:v>
      </x:c>
      <x:c r="G41" s="2"/>
      <x:c r="H41" s="2"/>
      <x:c r="I41" s="2"/>
      <x:c r="J41" s="2"/>
      <x:c r="K41" s="2"/>
      <x:c r="L41" s="2"/>
      <x:c r="M41" s="2"/>
      <x:c r="N41" s="2"/>
      <x:c r="O41" s="2"/>
      <x:c r="P41" s="2"/>
      <x:c r="Q41" s="2"/>
      <x:c r="R41" s="2"/>
      <x:c r="S41" s="2"/>
      <x:c r="T41" s="2"/>
      <x:c r="U41" s="2"/>
      <x:c r="V41" s="2"/>
      <x:c r="W41" s="2"/>
      <x:c r="X41" s="2"/>
      <x:c r="Y41" s="2"/>
      <x:c r="Z41" s="2"/>
    </x:row>
    <x:row r="42" ht="20" customHeight="1">
      <x:c r="A42" s="2"/>
      <x:c r="B42" s="2" t="str">
        <x:v>Transport</x:v>
      </x:c>
      <x:c r="C42" s="2" t="str">
        <x:v>Barge length</x:v>
      </x:c>
      <x:c r="D42" s="19" t="n">
        <x:v>72</x:v>
      </x:c>
      <x:c r="E42" s="2" t="str">
        <x:v>m</x:v>
      </x:c>
      <x:c r="F42" s="2" t="str">
        <x:v>hydrostatic comparator</x:v>
      </x:c>
      <x:c r="G42" s="2"/>
      <x:c r="H42" s="2"/>
      <x:c r="I42" s="2"/>
      <x:c r="J42" s="2"/>
      <x:c r="K42" s="2"/>
      <x:c r="L42" s="2"/>
      <x:c r="M42" s="2"/>
      <x:c r="N42" s="2"/>
      <x:c r="O42" s="2"/>
      <x:c r="P42" s="2"/>
      <x:c r="Q42" s="2"/>
      <x:c r="R42" s="2"/>
      <x:c r="S42" s="2"/>
      <x:c r="T42" s="2"/>
      <x:c r="U42" s="2"/>
      <x:c r="V42" s="2"/>
      <x:c r="W42" s="2"/>
      <x:c r="X42" s="2"/>
      <x:c r="Y42" s="2"/>
      <x:c r="Z42" s="2"/>
    </x:row>
    <x:row r="43" ht="20" customHeight="1">
      <x:c r="A43" s="2"/>
      <x:c r="B43" s="2" t="str">
        <x:v>Transport</x:v>
      </x:c>
      <x:c r="C43" s="2" t="str">
        <x:v>Barge beam</x:v>
      </x:c>
      <x:c r="D43" s="19" t="n">
        <x:v>18</x:v>
      </x:c>
      <x:c r="E43" s="2" t="str">
        <x:v>m</x:v>
      </x:c>
      <x:c r="F43" s="2" t="str">
        <x:v>hydrostatic comparator</x:v>
      </x:c>
      <x:c r="G43" s="2"/>
      <x:c r="H43" s="2"/>
      <x:c r="I43" s="2"/>
      <x:c r="J43" s="2"/>
      <x:c r="K43" s="2"/>
      <x:c r="L43" s="2"/>
      <x:c r="M43" s="2"/>
      <x:c r="N43" s="2"/>
      <x:c r="O43" s="2"/>
      <x:c r="P43" s="2"/>
      <x:c r="Q43" s="2"/>
      <x:c r="R43" s="2"/>
      <x:c r="S43" s="2"/>
      <x:c r="T43" s="2"/>
      <x:c r="U43" s="2"/>
      <x:c r="V43" s="2"/>
      <x:c r="W43" s="2"/>
      <x:c r="X43" s="2"/>
      <x:c r="Y43" s="2"/>
      <x:c r="Z43" s="2"/>
    </x:row>
    <x:row r="44" ht="20" customHeight="1">
      <x:c r="A44" s="2"/>
      <x:c r="B44" s="2" t="str">
        <x:v>Transport</x:v>
      </x:c>
      <x:c r="C44" s="2" t="str">
        <x:v>Barge block coefficient</x:v>
      </x:c>
      <x:c r="D44" s="19" t="n">
        <x:v>0.62</x:v>
      </x:c>
      <x:c r="E44" s="2" t="str">
        <x:v>factor</x:v>
      </x:c>
      <x:c r="F44" s="2" t="str">
        <x:v>displacement approximation</x:v>
      </x:c>
      <x:c r="G44" s="2"/>
      <x:c r="H44" s="2"/>
      <x:c r="I44" s="2"/>
      <x:c r="J44" s="2"/>
      <x:c r="K44" s="2"/>
      <x:c r="L44" s="2"/>
      <x:c r="M44" s="2"/>
      <x:c r="N44" s="2"/>
      <x:c r="O44" s="2"/>
      <x:c r="P44" s="2"/>
      <x:c r="Q44" s="2"/>
      <x:c r="R44" s="2"/>
      <x:c r="S44" s="2"/>
      <x:c r="T44" s="2"/>
      <x:c r="U44" s="2"/>
      <x:c r="V44" s="2"/>
      <x:c r="W44" s="2"/>
      <x:c r="X44" s="2"/>
      <x:c r="Y44" s="2"/>
      <x:c r="Z44" s="2"/>
    </x:row>
    <x:row r="45" ht="20" customHeight="1">
      <x:c r="A45" s="2"/>
      <x:c r="B45" s="2" t="str">
        <x:v>Transport</x:v>
      </x:c>
      <x:c r="C45" s="2" t="str">
        <x:v>Barge lightship</x:v>
      </x:c>
      <x:c r="D45" s="19" t="n">
        <x:v>480</x:v>
      </x:c>
      <x:c r="E45" s="2" t="str">
        <x:v>t</x:v>
      </x:c>
      <x:c r="F45" s="2" t="str">
        <x:v>host without service payload</x:v>
      </x:c>
      <x:c r="G45" s="2"/>
      <x:c r="H45" s="2"/>
      <x:c r="I45" s="2"/>
      <x:c r="J45" s="2"/>
      <x:c r="K45" s="2"/>
      <x:c r="L45" s="2"/>
      <x:c r="M45" s="2"/>
      <x:c r="N45" s="2"/>
      <x:c r="O45" s="2"/>
      <x:c r="P45" s="2"/>
      <x:c r="Q45" s="2"/>
      <x:c r="R45" s="2"/>
      <x:c r="S45" s="2"/>
      <x:c r="T45" s="2"/>
      <x:c r="U45" s="2"/>
      <x:c r="V45" s="2"/>
      <x:c r="W45" s="2"/>
      <x:c r="X45" s="2"/>
      <x:c r="Y45" s="2"/>
      <x:c r="Z45" s="2"/>
    </x:row>
    <x:row r="46" ht="20" customHeight="1">
      <x:c r="A46" s="2"/>
      <x:c r="B46" s="2" t="str">
        <x:v>Transport</x:v>
      </x:c>
      <x:c r="C46" s="2" t="str">
        <x:v>Barge draft boundary</x:v>
      </x:c>
      <x:c r="D46" s="19" t="n">
        <x:v>1.8</x:v>
      </x:c>
      <x:c r="E46" s="2" t="str">
        <x:v>m</x:v>
      </x:c>
      <x:c r="F46" s="2" t="str">
        <x:v>declared shallow-access screen</x:v>
      </x:c>
      <x:c r="G46" s="2"/>
      <x:c r="H46" s="2"/>
      <x:c r="I46" s="2"/>
      <x:c r="J46" s="2"/>
      <x:c r="K46" s="2"/>
      <x:c r="L46" s="2"/>
      <x:c r="M46" s="2"/>
      <x:c r="N46" s="2"/>
      <x:c r="O46" s="2"/>
      <x:c r="P46" s="2"/>
      <x:c r="Q46" s="2"/>
      <x:c r="R46" s="2"/>
      <x:c r="S46" s="2"/>
      <x:c r="T46" s="2"/>
      <x:c r="U46" s="2"/>
      <x:c r="V46" s="2"/>
      <x:c r="W46" s="2"/>
      <x:c r="X46" s="2"/>
      <x:c r="Y46" s="2"/>
      <x:c r="Z46" s="2"/>
    </x:row>
    <x:row r="47" ht="20" customHeight="1">
      <x:c r="A47" s="2"/>
      <x:c r="B47" s="2" t="str">
        <x:v>Work</x:v>
      </x:c>
      <x:c r="C47" s="2" t="str">
        <x:v>Setup-qualified crew fraction</x:v>
      </x:c>
      <x:c r="D47" s="20" t="n">
        <x:v>0.75</x:v>
      </x:c>
      <x:c r="E47" s="2" t="str">
        <x:v>share</x:v>
      </x:c>
      <x:c r="F47" s="2" t="str">
        <x:v>deployed people qualified for setup tasks</x:v>
      </x:c>
      <x:c r="G47" s="2"/>
      <x:c r="H47" s="2"/>
      <x:c r="I47" s="2"/>
      <x:c r="J47" s="2"/>
      <x:c r="K47" s="2"/>
      <x:c r="L47" s="2"/>
      <x:c r="M47" s="2"/>
      <x:c r="N47" s="2"/>
      <x:c r="O47" s="2"/>
      <x:c r="P47" s="2"/>
      <x:c r="Q47" s="2"/>
      <x:c r="R47" s="2"/>
      <x:c r="S47" s="2"/>
      <x:c r="T47" s="2"/>
      <x:c r="U47" s="2"/>
      <x:c r="V47" s="2"/>
      <x:c r="W47" s="2"/>
      <x:c r="X47" s="2"/>
      <x:c r="Y47" s="2"/>
      <x:c r="Z47" s="2"/>
    </x:row>
    <x:row r="48" ht="20" customHeight="1">
      <x:c r="A48" s="2"/>
      <x:c r="B48" s="2" t="str">
        <x:v>Work</x:v>
      </x:c>
      <x:c r="C48" s="2" t="str">
        <x:v>Productive setup hours per qualified person</x:v>
      </x:c>
      <x:c r="D48" s="19" t="n">
        <x:v>16</x:v>
      </x:c>
      <x:c r="E48" s="2" t="str">
        <x:v>h</x:v>
      </x:c>
      <x:c r="F48" s="2" t="str">
        <x:v>within the forty-eight-hour window</x:v>
      </x:c>
      <x:c r="G48" s="2"/>
      <x:c r="H48" s="2"/>
      <x:c r="I48" s="2"/>
      <x:c r="J48" s="2"/>
      <x:c r="K48" s="2"/>
      <x:c r="L48" s="2"/>
      <x:c r="M48" s="2"/>
      <x:c r="N48" s="2"/>
      <x:c r="O48" s="2"/>
      <x:c r="P48" s="2"/>
      <x:c r="Q48" s="2"/>
      <x:c r="R48" s="2"/>
      <x:c r="S48" s="2"/>
      <x:c r="T48" s="2"/>
      <x:c r="U48" s="2"/>
      <x:c r="V48" s="2"/>
      <x:c r="W48" s="2"/>
      <x:c r="X48" s="2"/>
      <x:c r="Y48" s="2"/>
      <x:c r="Z48" s="2"/>
    </x:row>
    <x:row r="49" ht="20" customHeight="1">
      <x:c r="A49" s="2"/>
      <x:c r="B49" s="2" t="str">
        <x:v>Work</x:v>
      </x:c>
      <x:c r="C49" s="2" t="str">
        <x:v>Degraded setup crew factor</x:v>
      </x:c>
      <x:c r="D49" s="20" t="n">
        <x:v>0.75</x:v>
      </x:c>
      <x:c r="E49" s="2" t="str">
        <x:v>factor</x:v>
      </x:c>
      <x:c r="F49" s="2" t="str">
        <x:v>one-quarter of setup capacity unavailable</x:v>
      </x:c>
      <x:c r="G49" s="2"/>
      <x:c r="H49" s="2"/>
      <x:c r="I49" s="2"/>
      <x:c r="J49" s="2"/>
      <x:c r="K49" s="2"/>
      <x:c r="L49" s="2"/>
      <x:c r="M49" s="2"/>
      <x:c r="N49" s="2"/>
      <x:c r="O49" s="2"/>
      <x:c r="P49" s="2"/>
      <x:c r="Q49" s="2"/>
      <x:c r="R49" s="2"/>
      <x:c r="S49" s="2"/>
      <x:c r="T49" s="2"/>
      <x:c r="U49" s="2"/>
      <x:c r="V49" s="2"/>
      <x:c r="W49" s="2"/>
      <x:c r="X49" s="2"/>
      <x:c r="Y49" s="2"/>
      <x:c r="Z49" s="2"/>
    </x:row>
    <x:row r="50" ht="20" customHeight="1">
      <x:c r="A50" s="2"/>
      <x:c r="B50" s="2" t="str">
        <x:v>Work</x:v>
      </x:c>
      <x:c r="C50" s="2" t="str">
        <x:v>Reset boundary</x:v>
      </x:c>
      <x:c r="D50" s="19" t="n">
        <x:v>3</x:v>
      </x:c>
      <x:c r="E50" s="2" t="str">
        <x:v>days</x:v>
      </x:c>
      <x:c r="F50" s="2" t="str">
        <x:v>second-mission readiness target</x:v>
      </x:c>
      <x:c r="G50" s="2"/>
      <x:c r="H50" s="2"/>
      <x:c r="I50" s="2"/>
      <x:c r="J50" s="2"/>
      <x:c r="K50" s="2"/>
      <x:c r="L50" s="2"/>
      <x:c r="M50" s="2"/>
      <x:c r="N50" s="2"/>
      <x:c r="O50" s="2"/>
      <x:c r="P50" s="2"/>
      <x:c r="Q50" s="2"/>
      <x:c r="R50" s="2"/>
      <x:c r="S50" s="2"/>
      <x:c r="T50" s="2"/>
      <x:c r="U50" s="2"/>
      <x:c r="V50" s="2"/>
      <x:c r="W50" s="2"/>
      <x:c r="X50" s="2"/>
      <x:c r="Y50" s="2"/>
      <x:c r="Z50" s="2"/>
    </x:row>
    <x:row r="51" ht="20" customHeight="1">
      <x:c r="A51" s="2"/>
      <x:c r="B51" s="2" t="str">
        <x:v>Program</x:v>
      </x:c>
      <x:c r="C51" s="2" t="str">
        <x:v>PTS-50 groups</x:v>
      </x:c>
      <x:c r="D51" s="19" t="n">
        <x:v>72</x:v>
      </x:c>
      <x:c r="E51" s="2" t="str">
        <x:v>groups</x:v>
      </x:c>
      <x:c r="F51" s="2" t="str">
        <x:v>retained Pass 73 comparator</x:v>
      </x:c>
      <x:c r="G51" s="2"/>
      <x:c r="H51" s="2"/>
      <x:c r="I51" s="2"/>
      <x:c r="J51" s="2"/>
      <x:c r="K51" s="2"/>
      <x:c r="L51" s="2"/>
      <x:c r="M51" s="2"/>
      <x:c r="N51" s="2"/>
      <x:c r="O51" s="2"/>
      <x:c r="P51" s="2"/>
      <x:c r="Q51" s="2"/>
      <x:c r="R51" s="2"/>
      <x:c r="S51" s="2"/>
      <x:c r="T51" s="2"/>
      <x:c r="U51" s="2"/>
      <x:c r="V51" s="2"/>
      <x:c r="W51" s="2"/>
      <x:c r="X51" s="2"/>
      <x:c r="Y51" s="2"/>
      <x:c r="Z51" s="2"/>
    </x:row>
    <x:row r="52" ht="20" customHeight="1">
      <x:c r="A52" s="2"/>
      <x:c r="B52" s="2" t="str">
        <x:v>Program</x:v>
      </x:c>
      <x:c r="C52" s="2" t="str">
        <x:v>Organic geometry hosts per group</x:v>
      </x:c>
      <x:c r="D52" s="19" t="n">
        <x:v>12</x:v>
      </x:c>
      <x:c r="E52" s="2" t="str">
        <x:v>hosts</x:v>
      </x:c>
      <x:c r="F52" s="2" t="str">
        <x:v>one per organic cell position</x:v>
      </x:c>
      <x:c r="G52" s="2"/>
      <x:c r="H52" s="2"/>
      <x:c r="I52" s="2"/>
      <x:c r="J52" s="2"/>
      <x:c r="K52" s="2"/>
      <x:c r="L52" s="2"/>
      <x:c r="M52" s="2"/>
      <x:c r="N52" s="2"/>
      <x:c r="O52" s="2"/>
      <x:c r="P52" s="2"/>
      <x:c r="Q52" s="2"/>
      <x:c r="R52" s="2"/>
      <x:c r="S52" s="2"/>
      <x:c r="T52" s="2"/>
      <x:c r="U52" s="2"/>
      <x:c r="V52" s="2"/>
      <x:c r="W52" s="2"/>
      <x:c r="X52" s="2"/>
      <x:c r="Y52" s="2"/>
      <x:c r="Z52" s="2"/>
    </x:row>
    <x:row r="53" ht="20" customHeight="1">
      <x:c r="A53" s="2"/>
      <x:c r="B53" s="2" t="str">
        <x:v>Program</x:v>
      </x:c>
      <x:c r="C53" s="2" t="str">
        <x:v>Pooled barge hosts</x:v>
      </x:c>
      <x:c r="D53" s="19" t="n">
        <x:v>96</x:v>
      </x:c>
      <x:c r="E53" s="2" t="str">
        <x:v>hosts</x:v>
      </x:c>
      <x:c r="F53" s="2" t="str">
        <x:v>route-specific national re-hosting pool</x:v>
      </x:c>
      <x:c r="G53" s="2"/>
      <x:c r="H53" s="2"/>
      <x:c r="I53" s="2"/>
      <x:c r="J53" s="2"/>
      <x:c r="K53" s="2"/>
      <x:c r="L53" s="2"/>
      <x:c r="M53" s="2"/>
      <x:c r="N53" s="2"/>
      <x:c r="O53" s="2"/>
      <x:c r="P53" s="2"/>
      <x:c r="Q53" s="2"/>
      <x:c r="R53" s="2"/>
      <x:c r="S53" s="2"/>
      <x:c r="T53" s="2"/>
      <x:c r="U53" s="2"/>
      <x:c r="V53" s="2"/>
      <x:c r="W53" s="2"/>
      <x:c r="X53" s="2"/>
      <x:c r="Y53" s="2"/>
      <x:c r="Z53" s="2"/>
    </x:row>
    <x:row r="54" ht="20" customHeight="1">
      <x:c r="A54" s="2"/>
      <x:c r="B54" s="2" t="str">
        <x:v>Program</x:v>
      </x:c>
      <x:c r="C54" s="2" t="str">
        <x:v>Program duration</x:v>
      </x:c>
      <x:c r="D54" s="19" t="n">
        <x:v>25</x:v>
      </x:c>
      <x:c r="E54" s="2" t="str">
        <x:v>years</x:v>
      </x:c>
      <x:c r="F54" s="2" t="str">
        <x:v>constant 2026-dollar comparison</x:v>
      </x:c>
      <x:c r="G54" s="2"/>
      <x:c r="H54" s="2"/>
      <x:c r="I54" s="2"/>
      <x:c r="J54" s="2"/>
      <x:c r="K54" s="2"/>
      <x:c r="L54" s="2"/>
      <x:c r="M54" s="2"/>
      <x:c r="N54" s="2"/>
      <x:c r="O54" s="2"/>
      <x:c r="P54" s="2"/>
      <x:c r="Q54" s="2"/>
      <x:c r="R54" s="2"/>
      <x:c r="S54" s="2"/>
      <x:c r="T54" s="2"/>
      <x:c r="U54" s="2"/>
      <x:c r="V54" s="2"/>
      <x:c r="W54" s="2"/>
      <x:c r="X54" s="2"/>
      <x:c r="Y54" s="2"/>
      <x:c r="Z54" s="2"/>
    </x:row>
    <x:row r="55" ht="20" customHeight="1">
      <x:c r="A55" s="2"/>
      <x:c r="B55" s="2" t="str">
        <x:v>Program</x:v>
      </x:c>
      <x:c r="C55" s="2" t="str">
        <x:v>Pass 73 national comparator</x:v>
      </x:c>
      <x:c r="D55" s="21" t="n">
        <x:v>3542595.2</x:v>
      </x:c>
      <x:c r="E55" s="2" t="str">
        <x:v>$M</x:v>
      </x:c>
      <x:c r="F55" s="2" t="str">
        <x:v>starting point before geometry closure</x:v>
      </x:c>
      <x:c r="G55" s="2"/>
      <x:c r="H55" s="2"/>
      <x:c r="I55" s="2"/>
      <x:c r="J55" s="2"/>
      <x:c r="K55" s="2"/>
      <x:c r="L55" s="2"/>
      <x:c r="M55" s="2"/>
      <x:c r="N55" s="2"/>
      <x:c r="O55" s="2"/>
      <x:c r="P55" s="2"/>
      <x:c r="Q55" s="2"/>
      <x:c r="R55" s="2"/>
      <x:c r="S55" s="2"/>
      <x:c r="T55" s="2"/>
      <x:c r="U55" s="2"/>
      <x:c r="V55" s="2"/>
      <x:c r="W55" s="2"/>
      <x:c r="X55" s="2"/>
      <x:c r="Y55" s="2"/>
      <x:c r="Z55" s="2"/>
    </x:row>
    <x:row r="56" ht="20" customHeight="1">
      <x:c r="A56" s="2"/>
      <x:c r="B56" s="2" t="str">
        <x:v>Program</x:v>
      </x:c>
      <x:c r="C56" s="2" t="str">
        <x:v>Pass 73 provisional metro works</x:v>
      </x:c>
      <x:c r="D56" s="21" t="n">
        <x:v>216000</x:v>
      </x:c>
      <x:c r="E56" s="2" t="str">
        <x:v>$M</x:v>
      </x:c>
      <x:c r="F56" s="2" t="str">
        <x:v>removed before inserting geometry-specific anchors</x:v>
      </x:c>
      <x:c r="G56" s="2"/>
      <x:c r="H56" s="2"/>
      <x:c r="I56" s="2"/>
      <x:c r="J56" s="2"/>
      <x:c r="K56" s="2"/>
      <x:c r="L56" s="2"/>
      <x:c r="M56" s="2"/>
      <x:c r="N56" s="2"/>
      <x:c r="O56" s="2"/>
      <x:c r="P56" s="2"/>
      <x:c r="Q56" s="2"/>
      <x:c r="R56" s="2"/>
      <x:c r="S56" s="2"/>
      <x:c r="T56" s="2"/>
      <x:c r="U56" s="2"/>
      <x:c r="V56" s="2"/>
      <x:c r="W56" s="2"/>
      <x:c r="X56" s="2"/>
      <x:c r="Y56" s="2"/>
      <x:c r="Z56" s="2"/>
    </x:row>
    <x:row r="57" ht="20" customHeight="1">
      <x:c r="A57" s="2"/>
      <x:c r="B57" s="2" t="str">
        <x:v>Program</x:v>
      </x:c>
      <x:c r="C57" s="2" t="str">
        <x:v>Shared route-node capital</x:v>
      </x:c>
      <x:c r="D57" s="21" t="n">
        <x:v>120000</x:v>
      </x:c>
      <x:c r="E57" s="2" t="str">
        <x:v>$M</x:v>
      </x:c>
      <x:c r="F57" s="2" t="str">
        <x:v>road, rail and bank transfer commons</x:v>
      </x:c>
      <x:c r="G57" s="2"/>
      <x:c r="H57" s="2"/>
      <x:c r="I57" s="2"/>
      <x:c r="J57" s="2"/>
      <x:c r="K57" s="2"/>
      <x:c r="L57" s="2"/>
      <x:c r="M57" s="2"/>
      <x:c r="N57" s="2"/>
      <x:c r="O57" s="2"/>
      <x:c r="P57" s="2"/>
      <x:c r="Q57" s="2"/>
      <x:c r="R57" s="2"/>
      <x:c r="S57" s="2"/>
      <x:c r="T57" s="2"/>
      <x:c r="U57" s="2"/>
      <x:c r="V57" s="2"/>
      <x:c r="W57" s="2"/>
      <x:c r="X57" s="2"/>
      <x:c r="Y57" s="2"/>
      <x:c r="Z57" s="2"/>
    </x:row>
    <x:row r="58" ht="20" customHeight="1">
      <x:c r="A58" s="2"/>
      <x:c r="B58" s="2" t="str">
        <x:v>Program</x:v>
      </x:c>
      <x:c r="C58" s="2" t="str">
        <x:v>Geometry technology and proving</x:v>
      </x:c>
      <x:c r="D58" s="21" t="n">
        <x:v>180000</x:v>
      </x:c>
      <x:c r="E58" s="2" t="str">
        <x:v>$M</x:v>
      </x:c>
      <x:c r="F58" s="2" t="str">
        <x:v>competitive development and trials</x:v>
      </x:c>
      <x:c r="G58" s="2"/>
      <x:c r="H58" s="2"/>
      <x:c r="I58" s="2"/>
      <x:c r="J58" s="2"/>
      <x:c r="K58" s="2"/>
      <x:c r="L58" s="2"/>
      <x:c r="M58" s="2"/>
      <x:c r="N58" s="2"/>
      <x:c r="O58" s="2"/>
      <x:c r="P58" s="2"/>
      <x:c r="Q58" s="2"/>
      <x:c r="R58" s="2"/>
      <x:c r="S58" s="2"/>
      <x:c r="T58" s="2"/>
      <x:c r="U58" s="2"/>
      <x:c r="V58" s="2"/>
      <x:c r="W58" s="2"/>
      <x:c r="X58" s="2"/>
      <x:c r="Y58" s="2"/>
      <x:c r="Z58" s="2"/>
    </x:row>
    <x:row r="59" ht="20" customHeight="1">
      <x:c r="A59" s="2"/>
      <x:c r="B59" s="2" t="str">
        <x:v>Program</x:v>
      </x:c>
      <x:c r="C59" s="2" t="str">
        <x:v>Geometry workforce and bases</x:v>
      </x:c>
      <x:c r="D59" s="21" t="n">
        <x:v>90000</x:v>
      </x:c>
      <x:c r="E59" s="2" t="str">
        <x:v>$M</x:v>
      </x:c>
      <x:c r="F59" s="2" t="str">
        <x:v>training, depots and regional readiness</x:v>
      </x:c>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2" max="2" width="10" hidden="0" customWidth="1"/>
    <x:col min="3" max="3" width="46"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Governed PTS-5 service module stack</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2"/>
      <x:c r="O3" s="2"/>
      <x:c r="P3" s="2"/>
      <x:c r="Q3" s="2"/>
      <x:c r="R3" s="2"/>
      <x:c r="S3" s="2"/>
      <x:c r="T3" s="2"/>
      <x:c r="U3" s="2"/>
      <x:c r="V3" s="2"/>
      <x:c r="W3" s="2"/>
      <x:c r="X3" s="2"/>
      <x:c r="Y3" s="2"/>
      <x:c r="Z3" s="2"/>
    </x:row>
    <x:row r="4">
      <x:c r="A4" s="2"/>
      <x:c r="B4" s="5" t="str">
        <x:v>The same service payload is packed into every rival geometry.</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Module and setup register</x:v>
      </x:c>
      <x:c r="C6" s="9"/>
      <x:c r="D6" s="9"/>
      <x:c r="E6" s="9"/>
      <x:c r="F6" s="9"/>
      <x:c r="G6" s="9"/>
      <x:c r="H6" s="9"/>
      <x:c r="I6" s="9"/>
      <x:c r="J6" s="9"/>
      <x:c r="K6" s="9"/>
      <x:c r="L6" s="9"/>
      <x:c r="M6" s="10"/>
      <x:c r="N6" s="2"/>
      <x:c r="O6" s="2"/>
      <x:c r="P6" s="2"/>
      <x:c r="Q6" s="2"/>
      <x:c r="R6" s="2"/>
      <x:c r="S6" s="2"/>
      <x:c r="T6" s="2"/>
      <x:c r="U6" s="2"/>
      <x:c r="V6" s="2"/>
      <x:c r="W6" s="2"/>
      <x:c r="X6" s="2"/>
      <x:c r="Y6" s="2"/>
      <x:c r="Z6" s="2"/>
    </x:row>
    <x:row r="7">
      <x:c r="A7" s="2"/>
      <x:c r="B7" s="15" t="str">
        <x:v>Code</x:v>
      </x:c>
      <x:c r="C7" s="16" t="str">
        <x:v>Module family</x:v>
      </x:c>
      <x:c r="D7" s="16" t="str">
        <x:v>Qty</x:v>
      </x:c>
      <x:c r="E7" s="16" t="str">
        <x:v>Dry t each</x:v>
      </x:c>
      <x:c r="F7" s="16" t="str">
        <x:v>Dry t total</x:v>
      </x:c>
      <x:c r="G7" s="16" t="str">
        <x:v>Wet t each</x:v>
      </x:c>
      <x:c r="H7" s="16" t="str">
        <x:v>Wet t total</x:v>
      </x:c>
      <x:c r="I7" s="16" t="str">
        <x:v>Cube m³ each</x:v>
      </x:c>
      <x:c r="J7" s="16" t="str">
        <x:v>Cube m³ total</x:v>
      </x:c>
      <x:c r="K7" s="16" t="str">
        <x:v>Max article t</x:v>
      </x:c>
      <x:c r="L7" s="16" t="str">
        <x:v>Setup h each</x:v>
      </x:c>
      <x:c r="M7" s="17" t="str">
        <x:v>Setup h total</x:v>
      </x:c>
      <x:c r="N7" s="2"/>
      <x:c r="O7" s="2"/>
      <x:c r="P7" s="2"/>
      <x:c r="Q7" s="2"/>
      <x:c r="R7" s="2"/>
      <x:c r="S7" s="2"/>
      <x:c r="T7" s="2"/>
      <x:c r="U7" s="2"/>
      <x:c r="V7" s="2"/>
      <x:c r="W7" s="2"/>
      <x:c r="X7" s="2"/>
      <x:c r="Y7" s="2"/>
      <x:c r="Z7" s="2"/>
    </x:row>
    <x:row r="8" ht="34" customHeight="1">
      <x:c r="A8" s="2"/>
      <x:c r="B8" s="2" t="str">
        <x:v>M01</x:v>
      </x:c>
      <x:c r="C8" s="29" t="str">
        <x:v>Grid-forming source submodules</x:v>
      </x:c>
      <x:c r="D8" s="27" t="n">
        <x:v>8</x:v>
      </x:c>
      <x:c r="E8" s="27" t="n">
        <x:v>21.25</x:v>
      </x:c>
      <x:c r="F8" s="27" t="n">
        <x:f>D8*E8</x:f>
        <x:v>170</x:v>
      </x:c>
      <x:c r="G8" s="27" t="n">
        <x:v>0</x:v>
      </x:c>
      <x:c r="H8" s="27" t="n">
        <x:f>D8*G8</x:f>
        <x:v>0</x:v>
      </x:c>
      <x:c r="I8" s="27" t="n">
        <x:v>85</x:v>
      </x:c>
      <x:c r="J8" s="27" t="n">
        <x:f>D8*I8</x:f>
        <x:v>680</x:v>
      </x:c>
      <x:c r="K8" s="27" t="n">
        <x:v>21.25</x:v>
      </x:c>
      <x:c r="L8" s="27" t="n">
        <x:v>32</x:v>
      </x:c>
      <x:c r="M8" s="27" t="n">
        <x:f>D8*L8</x:f>
        <x:v>256</x:v>
      </x:c>
      <x:c r="N8" s="2"/>
      <x:c r="O8" s="2"/>
      <x:c r="P8" s="2"/>
      <x:c r="Q8" s="2"/>
      <x:c r="R8" s="2"/>
      <x:c r="S8" s="2"/>
      <x:c r="T8" s="2"/>
      <x:c r="U8" s="2"/>
      <x:c r="V8" s="2"/>
      <x:c r="W8" s="2"/>
      <x:c r="X8" s="2"/>
      <x:c r="Y8" s="2"/>
      <x:c r="Z8" s="2"/>
    </x:row>
    <x:row r="9" ht="34" customHeight="1">
      <x:c r="A9" s="2"/>
      <x:c r="B9" s="2" t="str">
        <x:v>M02</x:v>
      </x:c>
      <x:c r="C9" s="29" t="str">
        <x:v>T0 storage and inverter submodules</x:v>
      </x:c>
      <x:c r="D9" s="27" t="n">
        <x:v>4</x:v>
      </x:c>
      <x:c r="E9" s="27" t="n">
        <x:v>17.5</x:v>
      </x:c>
      <x:c r="F9" s="27" t="n">
        <x:f>D9*E9</x:f>
        <x:v>70</x:v>
      </x:c>
      <x:c r="G9" s="27" t="n">
        <x:v>0</x:v>
      </x:c>
      <x:c r="H9" s="27" t="n">
        <x:f>D9*G9</x:f>
        <x:v>0</x:v>
      </x:c>
      <x:c r="I9" s="27" t="n">
        <x:v>70</x:v>
      </x:c>
      <x:c r="J9" s="27" t="n">
        <x:f>D9*I9</x:f>
        <x:v>280</x:v>
      </x:c>
      <x:c r="K9" s="27" t="n">
        <x:v>17.5</x:v>
      </x:c>
      <x:c r="L9" s="27" t="n">
        <x:v>24</x:v>
      </x:c>
      <x:c r="M9" s="27" t="n">
        <x:f>D9*L9</x:f>
        <x:v>96</x:v>
      </x:c>
      <x:c r="N9" s="2"/>
      <x:c r="O9" s="2"/>
      <x:c r="P9" s="2"/>
      <x:c r="Q9" s="2"/>
      <x:c r="R9" s="2"/>
      <x:c r="S9" s="2"/>
      <x:c r="T9" s="2"/>
      <x:c r="U9" s="2"/>
      <x:c r="V9" s="2"/>
      <x:c r="W9" s="2"/>
      <x:c r="X9" s="2"/>
      <x:c r="Y9" s="2"/>
      <x:c r="Z9" s="2"/>
    </x:row>
    <x:row r="10" ht="34" customHeight="1">
      <x:c r="A10" s="2"/>
      <x:c r="B10" s="2" t="str">
        <x:v>M03</x:v>
      </x:c>
      <x:c r="C10" s="29" t="str">
        <x:v>Four heat-rejection trains in paired modules</x:v>
      </x:c>
      <x:c r="D10" s="27" t="n">
        <x:v>8</x:v>
      </x:c>
      <x:c r="E10" s="27" t="n">
        <x:v>18.75</x:v>
      </x:c>
      <x:c r="F10" s="27" t="n">
        <x:f>D10*E10</x:f>
        <x:v>150</x:v>
      </x:c>
      <x:c r="G10" s="27" t="n">
        <x:v>0</x:v>
      </x:c>
      <x:c r="H10" s="27" t="n">
        <x:f>D10*G10</x:f>
        <x:v>0</x:v>
      </x:c>
      <x:c r="I10" s="27" t="n">
        <x:v>80</x:v>
      </x:c>
      <x:c r="J10" s="27" t="n">
        <x:f>D10*I10</x:f>
        <x:v>640</x:v>
      </x:c>
      <x:c r="K10" s="27" t="n">
        <x:v>18.75</x:v>
      </x:c>
      <x:c r="L10" s="27" t="n">
        <x:v>50</x:v>
      </x:c>
      <x:c r="M10" s="27" t="n">
        <x:f>D10*L10</x:f>
        <x:v>400</x:v>
      </x:c>
      <x:c r="N10" s="2"/>
      <x:c r="O10" s="2"/>
      <x:c r="P10" s="2"/>
      <x:c r="Q10" s="2"/>
      <x:c r="R10" s="2"/>
      <x:c r="S10" s="2"/>
      <x:c r="T10" s="2"/>
      <x:c r="U10" s="2"/>
      <x:c r="V10" s="2"/>
      <x:c r="W10" s="2"/>
      <x:c r="X10" s="2"/>
      <x:c r="Y10" s="2"/>
      <x:c r="Z10" s="2"/>
    </x:row>
    <x:row r="11" ht="34" customHeight="1">
      <x:c r="A11" s="2"/>
      <x:c r="B11" s="2" t="str">
        <x:v>M04</x:v>
      </x:c>
      <x:c r="C11" s="29" t="str">
        <x:v>Switching, transformation and protection</x:v>
      </x:c>
      <x:c r="D11" s="27" t="n">
        <x:v>3</x:v>
      </x:c>
      <x:c r="E11" s="27" t="n">
        <x:v>20</x:v>
      </x:c>
      <x:c r="F11" s="27" t="n">
        <x:f>D11*E11</x:f>
        <x:v>60</x:v>
      </x:c>
      <x:c r="G11" s="27" t="n">
        <x:v>0</x:v>
      </x:c>
      <x:c r="H11" s="27" t="n">
        <x:f>D11*G11</x:f>
        <x:v>0</x:v>
      </x:c>
      <x:c r="I11" s="27" t="n">
        <x:v>80</x:v>
      </x:c>
      <x:c r="J11" s="27" t="n">
        <x:f>D11*I11</x:f>
        <x:v>240</x:v>
      </x:c>
      <x:c r="K11" s="27" t="n">
        <x:v>20</x:v>
      </x:c>
      <x:c r="L11" s="27" t="n">
        <x:v>36</x:v>
      </x:c>
      <x:c r="M11" s="27" t="n">
        <x:f>D11*L11</x:f>
        <x:v>108</x:v>
      </x:c>
      <x:c r="N11" s="2"/>
      <x:c r="O11" s="2"/>
      <x:c r="P11" s="2"/>
      <x:c r="Q11" s="2"/>
      <x:c r="R11" s="2"/>
      <x:c r="S11" s="2"/>
      <x:c r="T11" s="2"/>
      <x:c r="U11" s="2"/>
      <x:c r="V11" s="2"/>
      <x:c r="W11" s="2"/>
      <x:c r="X11" s="2"/>
      <x:c r="Y11" s="2"/>
      <x:c r="Z11" s="2"/>
    </x:row>
    <x:row r="12" ht="34" customHeight="1">
      <x:c r="A12" s="2"/>
      <x:c r="B12" s="2" t="str">
        <x:v>M05</x:v>
      </x:c>
      <x:c r="C12" s="29" t="str">
        <x:v>Thermal production, pumps and storage interface</x:v>
      </x:c>
      <x:c r="D12" s="27" t="n">
        <x:v>4</x:v>
      </x:c>
      <x:c r="E12" s="27" t="n">
        <x:v>17.5</x:v>
      </x:c>
      <x:c r="F12" s="27" t="n">
        <x:f>D12*E12</x:f>
        <x:v>70</x:v>
      </x:c>
      <x:c r="G12" s="27" t="n">
        <x:v>0</x:v>
      </x:c>
      <x:c r="H12" s="27" t="n">
        <x:f>D12*G12</x:f>
        <x:v>0</x:v>
      </x:c>
      <x:c r="I12" s="27" t="n">
        <x:v>75</x:v>
      </x:c>
      <x:c r="J12" s="27" t="n">
        <x:f>D12*I12</x:f>
        <x:v>300</x:v>
      </x:c>
      <x:c r="K12" s="27" t="n">
        <x:v>17.5</x:v>
      </x:c>
      <x:c r="L12" s="27" t="n">
        <x:v>40</x:v>
      </x:c>
      <x:c r="M12" s="27" t="n">
        <x:f>D12*L12</x:f>
        <x:v>160</x:v>
      </x:c>
      <x:c r="N12" s="2"/>
      <x:c r="O12" s="2"/>
      <x:c r="P12" s="2"/>
      <x:c r="Q12" s="2"/>
      <x:c r="R12" s="2"/>
      <x:c r="S12" s="2"/>
      <x:c r="T12" s="2"/>
      <x:c r="U12" s="2"/>
      <x:c r="V12" s="2"/>
      <x:c r="W12" s="2"/>
      <x:c r="X12" s="2"/>
      <x:c r="Y12" s="2"/>
      <x:c r="Z12" s="2"/>
    </x:row>
    <x:row r="13" ht="34" customHeight="1">
      <x:c r="A13" s="2"/>
      <x:c r="B13" s="2" t="str">
        <x:v>M06</x:v>
      </x:c>
      <x:c r="C13" s="29" t="str">
        <x:v>Distribution, control and occupied-building interface</x:v>
      </x:c>
      <x:c r="D13" s="27" t="n">
        <x:v>3</x:v>
      </x:c>
      <x:c r="E13" s="27" t="n">
        <x:v>20</x:v>
      </x:c>
      <x:c r="F13" s="27" t="n">
        <x:f>D13*E13</x:f>
        <x:v>60</x:v>
      </x:c>
      <x:c r="G13" s="27" t="n">
        <x:v>0</x:v>
      </x:c>
      <x:c r="H13" s="27" t="n">
        <x:f>D13*G13</x:f>
        <x:v>0</x:v>
      </x:c>
      <x:c r="I13" s="27" t="n">
        <x:v>140</x:v>
      </x:c>
      <x:c r="J13" s="27" t="n">
        <x:f>D13*I13</x:f>
        <x:v>420</x:v>
      </x:c>
      <x:c r="K13" s="27" t="n">
        <x:v>20</x:v>
      </x:c>
      <x:c r="L13" s="27" t="n">
        <x:v>60</x:v>
      </x:c>
      <x:c r="M13" s="27" t="n">
        <x:f>D13*L13</x:f>
        <x:v>180</x:v>
      </x:c>
      <x:c r="N13" s="2"/>
      <x:c r="O13" s="2"/>
      <x:c r="P13" s="2"/>
      <x:c r="Q13" s="2"/>
      <x:c r="R13" s="2"/>
      <x:c r="S13" s="2"/>
      <x:c r="T13" s="2"/>
      <x:c r="U13" s="2"/>
      <x:c r="V13" s="2"/>
      <x:c r="W13" s="2"/>
      <x:c r="X13" s="2"/>
      <x:c r="Y13" s="2"/>
      <x:c r="Z13" s="2"/>
    </x:row>
    <x:row r="14" ht="34" customHeight="1">
      <x:c r="A14" s="2"/>
      <x:c r="B14" s="2" t="str">
        <x:v>M07</x:v>
      </x:c>
      <x:c r="C14" s="29" t="str">
        <x:v>Segregated seven-day liquid inventory</x:v>
      </x:c>
      <x:c r="D14" s="27" t="n">
        <x:v>2</x:v>
      </x:c>
      <x:c r="E14" s="27" t="n">
        <x:v>0</x:v>
      </x:c>
      <x:c r="F14" s="27" t="n">
        <x:f>D14*E14</x:f>
        <x:v>0</x:v>
      </x:c>
      <x:c r="G14" s="27" t="n">
        <x:v>27.3950418760469</x:v>
      </x:c>
      <x:c r="H14" s="27" t="n">
        <x:f>D14*G14</x:f>
        <x:v>54.7900837520938</x:v>
      </x:c>
      <x:c r="I14" s="27" t="n">
        <x:v>35</x:v>
      </x:c>
      <x:c r="J14" s="27" t="n">
        <x:f>D14*I14</x:f>
        <x:v>70</x:v>
      </x:c>
      <x:c r="K14" s="27" t="n">
        <x:v>27.3950418760469</x:v>
      </x:c>
      <x:c r="L14" s="27" t="n">
        <x:v>50</x:v>
      </x:c>
      <x:c r="M14" s="27" t="n">
        <x:f>D14*L14</x:f>
        <x:v>100</x:v>
      </x:c>
      <x:c r="N14" s="2"/>
      <x:c r="O14" s="2"/>
      <x:c r="P14" s="2"/>
      <x:c r="Q14" s="2"/>
      <x:c r="R14" s="2"/>
      <x:c r="S14" s="2"/>
      <x:c r="T14" s="2"/>
      <x:c r="U14" s="2"/>
      <x:c r="V14" s="2"/>
      <x:c r="W14" s="2"/>
      <x:c r="X14" s="2"/>
      <x:c r="Y14" s="2"/>
      <x:c r="Z14" s="2"/>
    </x:row>
    <x:row r="15">
      <x:c r="A15" s="2"/>
      <x:c r="B15" s="26" t="str">
        <x:v>Total governed service payload</x:v>
      </x:c>
      <x:c r="C15" s="26"/>
      <x:c r="D15" s="28"/>
      <x:c r="E15" s="28"/>
      <x:c r="F15" s="28" t="n">
        <x:f>SUM(F8:F14)</x:f>
        <x:v>580</x:v>
      </x:c>
      <x:c r="G15" s="28"/>
      <x:c r="H15" s="28" t="n">
        <x:f>SUM(H8:H14)</x:f>
        <x:v>54.7900837520938</x:v>
      </x:c>
      <x:c r="I15" s="28"/>
      <x:c r="J15" s="28" t="n">
        <x:f>SUM(J8:J14)</x:f>
        <x:v>2630</x:v>
      </x:c>
      <x:c r="K15" s="28" t="n">
        <x:f>MAX(K8:K14)</x:f>
        <x:v>27.3950418760469</x:v>
      </x:c>
      <x:c r="L15" s="28"/>
      <x:c r="M15" s="28" t="n">
        <x:f>SUM(M8:M14)</x:f>
        <x:v>1300</x:v>
      </x:c>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2" max="2" width="9" hidden="0" customWidth="1"/>
    <x:col min="3" max="3" width="29" hidden="0" customWidth="1"/>
    <x:col min="4" max="4" width="54" hidden="0" customWidth="1"/>
    <x:col min="5" max="5" width="14" hidden="0" customWidth="1"/>
    <x:col min="6" max="6" width="14" hidden="0" customWidth="1"/>
    <x:col min="7" max="7" width="14" hidden="0" customWidth="1"/>
    <x:col min="8" max="8" width="14" hidden="0" customWidth="1"/>
    <x:col min="9" max="9" width="14"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Five deployment geometries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4"/>
      <x:c r="O3" s="4"/>
      <x:c r="P3" s="4"/>
      <x:c r="Q3" s="4"/>
      <x:c r="R3" s="4"/>
      <x:c r="S3" s="4"/>
      <x:c r="T3" s="4"/>
      <x:c r="U3" s="4"/>
      <x:c r="V3" s="2"/>
      <x:c r="W3" s="2"/>
      <x:c r="X3" s="2"/>
      <x:c r="Y3" s="2"/>
      <x:c r="Z3" s="2"/>
    </x:row>
    <x:row r="4">
      <x:c r="A4" s="2"/>
      <x:c r="B4" s="5" t="str">
        <x:v>Service capacity is held constant; geometry adds duplication, fixed works and carrier tare.</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Complete geometry accounts</x:v>
      </x:c>
      <x:c r="C6" s="9"/>
      <x:c r="D6" s="9"/>
      <x:c r="E6" s="9"/>
      <x:c r="F6" s="9"/>
      <x:c r="G6" s="9"/>
      <x:c r="H6" s="9"/>
      <x:c r="I6" s="9"/>
      <x:c r="J6" s="9"/>
      <x:c r="K6" s="9"/>
      <x:c r="L6" s="9"/>
      <x:c r="M6" s="9"/>
      <x:c r="N6" s="9"/>
      <x:c r="O6" s="9"/>
      <x:c r="P6" s="9"/>
      <x:c r="Q6" s="9"/>
      <x:c r="R6" s="9"/>
      <x:c r="S6" s="9"/>
      <x:c r="T6" s="9"/>
      <x:c r="U6" s="10"/>
      <x:c r="V6" s="2"/>
      <x:c r="W6" s="2"/>
      <x:c r="X6" s="2"/>
      <x:c r="Y6" s="2"/>
      <x:c r="Z6" s="2"/>
    </x:row>
    <x:row r="7">
      <x:c r="A7" s="2"/>
      <x:c r="B7" s="15" t="str">
        <x:v>Code</x:v>
      </x:c>
      <x:c r="C7" s="16" t="str">
        <x:v>Geometry</x:v>
      </x:c>
      <x:c r="D7" s="16" t="str">
        <x:v>Operating logic</x:v>
      </x:c>
      <x:c r="E7" s="16" t="str">
        <x:v>Fixed service share</x:v>
      </x:c>
      <x:c r="F7" s="16" t="str">
        <x:v>Fixed dry share</x:v>
      </x:c>
      <x:c r="G7" s="16" t="str">
        <x:v>Duplicate dry t</x:v>
      </x:c>
      <x:c r="H7" s="16" t="str">
        <x:v>Duplicate cube m³</x:v>
      </x:c>
      <x:c r="I7" s="16" t="str">
        <x:v>Mobile wet share</x:v>
      </x:c>
      <x:c r="J7" s="16" t="str">
        <x:v>Mobile dry t</x:v>
      </x:c>
      <x:c r="K7" s="16" t="str">
        <x:v>Fixed dry t</x:v>
      </x:c>
      <x:c r="L7" s="16" t="str">
        <x:v>Mobile wet t</x:v>
      </x:c>
      <x:c r="M7" s="16" t="str">
        <x:v>Mobile payload t</x:v>
      </x:c>
      <x:c r="N7" s="16" t="str">
        <x:v>Mobile cube m³</x:v>
      </x:c>
      <x:c r="O7" s="16" t="str">
        <x:v>Road share</x:v>
      </x:c>
      <x:c r="P7" s="16" t="str">
        <x:v>Rail share</x:v>
      </x:c>
      <x:c r="Q7" s="16" t="str">
        <x:v>Water share</x:v>
      </x:c>
      <x:c r="R7" s="16" t="str">
        <x:v>Terminal-independent</x:v>
      </x:c>
      <x:c r="S7" s="16" t="str">
        <x:v>Carrier tare t</x:v>
      </x:c>
      <x:c r="T7" s="16" t="str">
        <x:v>Transported system t</x:v>
      </x:c>
      <x:c r="U7" s="17" t="str">
        <x:v>Installed system t</x:v>
      </x:c>
      <x:c r="V7" s="2"/>
      <x:c r="W7" s="2"/>
      <x:c r="X7" s="2"/>
      <x:c r="Y7" s="2"/>
      <x:c r="Z7" s="2"/>
    </x:row>
    <x:row r="8" ht="48" customHeight="1">
      <x:c r="A8" s="2"/>
      <x:c r="B8" s="2" t="str">
        <x:v>G1</x:v>
      </x:c>
      <x:c r="C8" s="2" t="str">
        <x:v>Road-distributed lattice</x:v>
      </x:c>
      <x:c r="D8" s="29" t="str">
        <x:v>three separately routed road columns; source and rejection modules remain distributed</x:v>
      </x:c>
      <x:c r="E8" s="30" t="n">
        <x:v>0</x:v>
      </x:c>
      <x:c r="F8" s="30" t="n">
        <x:v>0</x:v>
      </x:c>
      <x:c r="G8" s="31" t="n">
        <x:v>40</x:v>
      </x:c>
      <x:c r="H8" s="31" t="n">
        <x:v>180</x:v>
      </x:c>
      <x:c r="I8" s="30" t="n">
        <x:v>1</x:v>
      </x:c>
      <x:c r="J8" s="27" t="n">
        <x:f>'Module Stack'!$F$15*(1-F8)+G8</x:f>
        <x:v>620</x:v>
      </x:c>
      <x:c r="K8" s="27" t="n">
        <x:f>'Module Stack'!$F$15*F8</x:f>
        <x:v>0</x:v>
      </x:c>
      <x:c r="L8" s="27" t="n">
        <x:f>'Module Stack'!$H$15*I8</x:f>
        <x:v>54.7900837520938</x:v>
      </x:c>
      <x:c r="M8" s="27" t="n">
        <x:f>J8+L8</x:f>
        <x:v>674.7900837520938</x:v>
      </x:c>
      <x:c r="N8" s="27" t="n">
        <x:f>('Module Stack'!$J$15-'Module Stack'!$J$14)*(1-F8)+H8+'Module Stack'!$J$14*I8</x:f>
        <x:v>2810</x:v>
      </x:c>
      <x:c r="O8" s="27" t="n">
        <x:v>1</x:v>
      </x:c>
      <x:c r="P8" s="27" t="n">
        <x:v>0</x:v>
      </x:c>
      <x:c r="Q8" s="27" t="n">
        <x:v>0</x:v>
      </x:c>
      <x:c r="R8" s="27" t="str">
        <x:v>YES</x:v>
      </x:c>
      <x:c r="S8" s="27" t="n">
        <x:v>450</x:v>
      </x:c>
      <x:c r="T8" s="27" t="n">
        <x:f>M8+S8</x:f>
        <x:v>1124.7900837520938</x:v>
      </x:c>
      <x:c r="U8" s="27" t="n">
        <x:f>T8+K8</x:f>
        <x:v>1124.7900837520938</x:v>
      </x:c>
      <x:c r="V8" s="2"/>
      <x:c r="W8" s="2"/>
      <x:c r="X8" s="2"/>
      <x:c r="Y8" s="2"/>
      <x:c r="Z8" s="2"/>
    </x:row>
    <x:row r="9" ht="48" customHeight="1">
      <x:c r="A9" s="2"/>
      <x:c r="B9" s="2" t="str">
        <x:v>G2</x:v>
      </x:c>
      <x:c r="C9" s="2" t="str">
        <x:v>Rail utility consist</x:v>
      </x:c>
      <x:c r="D9" s="29" t="str">
        <x:v>direct-siding consist with bounded road shuttle and expeditionary transload dependency</x:v>
      </x:c>
      <x:c r="E9" s="30" t="n">
        <x:v>0</x:v>
      </x:c>
      <x:c r="F9" s="30" t="n">
        <x:v>0</x:v>
      </x:c>
      <x:c r="G9" s="31" t="n">
        <x:v>25</x:v>
      </x:c>
      <x:c r="H9" s="31" t="n">
        <x:v>120</x:v>
      </x:c>
      <x:c r="I9" s="30" t="n">
        <x:v>1</x:v>
      </x:c>
      <x:c r="J9" s="27" t="n">
        <x:f>'Module Stack'!$F$15*(1-F9)+G9</x:f>
        <x:v>605</x:v>
      </x:c>
      <x:c r="K9" s="27" t="n">
        <x:f>'Module Stack'!$F$15*F9</x:f>
        <x:v>0</x:v>
      </x:c>
      <x:c r="L9" s="27" t="n">
        <x:f>'Module Stack'!$H$15*I9</x:f>
        <x:v>54.7900837520938</x:v>
      </x:c>
      <x:c r="M9" s="27" t="n">
        <x:f>J9+L9</x:f>
        <x:v>659.7900837520938</x:v>
      </x:c>
      <x:c r="N9" s="27" t="n">
        <x:f>('Module Stack'!$J$15-'Module Stack'!$J$14)*(1-F9)+H9+'Module Stack'!$J$14*I9</x:f>
        <x:v>2750</x:v>
      </x:c>
      <x:c r="O9" s="27" t="n">
        <x:v>0.1</x:v>
      </x:c>
      <x:c r="P9" s="27" t="n">
        <x:v>0.9</x:v>
      </x:c>
      <x:c r="Q9" s="27" t="n">
        <x:v>0</x:v>
      </x:c>
      <x:c r="R9" s="27" t="str">
        <x:v>NO</x:v>
      </x:c>
      <x:c r="S9" s="27" t="n">
        <x:v>540</x:v>
      </x:c>
      <x:c r="T9" s="27" t="n">
        <x:f>M9+S9</x:f>
        <x:v>1199.7900837520938</x:v>
      </x:c>
      <x:c r="U9" s="27" t="n">
        <x:f>T9+K9</x:f>
        <x:v>1199.7900837520938</x:v>
      </x:c>
      <x:c r="V9" s="2"/>
      <x:c r="W9" s="2"/>
      <x:c r="X9" s="2"/>
      <x:c r="Y9" s="2"/>
      <x:c r="Z9" s="2"/>
    </x:row>
    <x:row r="10" ht="48" customHeight="1">
      <x:c r="A10" s="2"/>
      <x:c r="B10" s="2" t="str">
        <x:v>G3</x:v>
      </x:c>
      <x:c r="C10" s="2" t="str">
        <x:v>Shallow-draft utility barge</x:v>
      </x:c>
      <x:c r="D10" s="29" t="str">
        <x:v>one 72 m host with two assist craft and no-pier bank interface</x:v>
      </x:c>
      <x:c r="E10" s="30" t="n">
        <x:v>0</x:v>
      </x:c>
      <x:c r="F10" s="30" t="n">
        <x:v>0</x:v>
      </x:c>
      <x:c r="G10" s="31" t="n">
        <x:v>35</x:v>
      </x:c>
      <x:c r="H10" s="31" t="n">
        <x:v>160</x:v>
      </x:c>
      <x:c r="I10" s="30" t="n">
        <x:v>1</x:v>
      </x:c>
      <x:c r="J10" s="27" t="n">
        <x:f>'Module Stack'!$F$15*(1-F10)+G10</x:f>
        <x:v>615</x:v>
      </x:c>
      <x:c r="K10" s="27" t="n">
        <x:f>'Module Stack'!$F$15*F10</x:f>
        <x:v>0</x:v>
      </x:c>
      <x:c r="L10" s="27" t="n">
        <x:f>'Module Stack'!$H$15*I10</x:f>
        <x:v>54.7900837520938</x:v>
      </x:c>
      <x:c r="M10" s="27" t="n">
        <x:f>J10+L10</x:f>
        <x:v>669.7900837520938</x:v>
      </x:c>
      <x:c r="N10" s="27" t="n">
        <x:f>('Module Stack'!$J$15-'Module Stack'!$J$14)*(1-F10)+H10+'Module Stack'!$J$14*I10</x:f>
        <x:v>2790</x:v>
      </x:c>
      <x:c r="O10" s="27" t="n">
        <x:v>0</x:v>
      </x:c>
      <x:c r="P10" s="27" t="n">
        <x:v>0</x:v>
      </x:c>
      <x:c r="Q10" s="27" t="n">
        <x:v>1</x:v>
      </x:c>
      <x:c r="R10" s="27" t="str">
        <x:v>YES</x:v>
      </x:c>
      <x:c r="S10" s="27" t="n">
        <x:v>620</x:v>
      </x:c>
      <x:c r="T10" s="27" t="n">
        <x:f>M10+S10</x:f>
        <x:v>1289.7900837520938</x:v>
      </x:c>
      <x:c r="U10" s="27" t="n">
        <x:f>T10+K10</x:f>
        <x:v>1289.7900837520938</x:v>
      </x:c>
      <x:c r="V10" s="2"/>
      <x:c r="W10" s="2"/>
      <x:c r="X10" s="2"/>
      <x:c r="Y10" s="2"/>
      <x:c r="Z10" s="2"/>
    </x:row>
    <x:row r="11" ht="48" customHeight="1">
      <x:c r="A11" s="2"/>
      <x:c r="B11" s="2" t="str">
        <x:v>G4</x:v>
      </x:c>
      <x:c r="C11" s="2" t="str">
        <x:v>Prepared metropolitan anchor</x:v>
      </x:c>
      <x:c r="D11" s="29" t="str">
        <x:v>fixed T0/T1 plant and rejection field with a twenty-percent mobile liquid bridge</x:v>
      </x:c>
      <x:c r="E11" s="30" t="n">
        <x:v>0.6</x:v>
      </x:c>
      <x:c r="F11" s="30" t="n">
        <x:v>0.62</x:v>
      </x:c>
      <x:c r="G11" s="31" t="n">
        <x:v>60</x:v>
      </x:c>
      <x:c r="H11" s="31" t="n">
        <x:v>220</x:v>
      </x:c>
      <x:c r="I11" s="30" t="n">
        <x:v>0.2</x:v>
      </x:c>
      <x:c r="J11" s="27" t="n">
        <x:f>'Module Stack'!$F$15*(1-F11)+G11</x:f>
        <x:v>280.4</x:v>
      </x:c>
      <x:c r="K11" s="27" t="n">
        <x:f>'Module Stack'!$F$15*F11</x:f>
        <x:v>359.6</x:v>
      </x:c>
      <x:c r="L11" s="27" t="n">
        <x:f>'Module Stack'!$H$15*I11</x:f>
        <x:v>10.95801675041876</x:v>
      </x:c>
      <x:c r="M11" s="27" t="n">
        <x:f>J11+L11</x:f>
        <x:v>291.35801675041876</x:v>
      </x:c>
      <x:c r="N11" s="27" t="n">
        <x:f>('Module Stack'!$J$15-'Module Stack'!$J$14)*(1-F11)+H11+'Module Stack'!$J$14*I11</x:f>
        <x:v>1206.8</x:v>
      </x:c>
      <x:c r="O11" s="27" t="n">
        <x:v>1</x:v>
      </x:c>
      <x:c r="P11" s="27" t="n">
        <x:v>0</x:v>
      </x:c>
      <x:c r="Q11" s="27" t="n">
        <x:v>0</x:v>
      </x:c>
      <x:c r="R11" s="27" t="str">
        <x:v>YES</x:v>
      </x:c>
      <x:c r="S11" s="27" t="n">
        <x:v>180</x:v>
      </x:c>
      <x:c r="T11" s="27" t="n">
        <x:f>M11+S11</x:f>
        <x:v>471.35801675041876</x:v>
      </x:c>
      <x:c r="U11" s="27" t="n">
        <x:f>T11+K11</x:f>
        <x:v>830.9580167504188</x:v>
      </x:c>
      <x:c r="V11" s="2"/>
      <x:c r="W11" s="2"/>
      <x:c r="X11" s="2"/>
      <x:c r="Y11" s="2"/>
      <x:c r="Z11" s="2"/>
    </x:row>
    <x:row r="12" ht="48" customHeight="1">
      <x:c r="A12" s="2"/>
      <x:c r="B12" s="2" t="str">
        <x:v>G5</x:v>
      </x:c>
      <x:c r="C12" s="2" t="str">
        <x:v>Tri-modal split lattice</x:v>
      </x:c>
      <x:c r="D12" s="29" t="str">
        <x:v>road, rail and shallow-water packets each preserve independently releasable service</x:v>
      </x:c>
      <x:c r="E12" s="30" t="n">
        <x:v>0</x:v>
      </x:c>
      <x:c r="F12" s="30" t="n">
        <x:v>0</x:v>
      </x:c>
      <x:c r="G12" s="31" t="n">
        <x:v>150</x:v>
      </x:c>
      <x:c r="H12" s="31" t="n">
        <x:v>420</x:v>
      </x:c>
      <x:c r="I12" s="30" t="n">
        <x:v>1</x:v>
      </x:c>
      <x:c r="J12" s="27" t="n">
        <x:f>'Module Stack'!$F$15*(1-F12)+G12</x:f>
        <x:v>730</x:v>
      </x:c>
      <x:c r="K12" s="27" t="n">
        <x:f>'Module Stack'!$F$15*F12</x:f>
        <x:v>0</x:v>
      </x:c>
      <x:c r="L12" s="27" t="n">
        <x:f>'Module Stack'!$H$15*I12</x:f>
        <x:v>54.7900837520938</x:v>
      </x:c>
      <x:c r="M12" s="27" t="n">
        <x:f>J12+L12</x:f>
        <x:v>784.7900837520938</x:v>
      </x:c>
      <x:c r="N12" s="27" t="n">
        <x:f>('Module Stack'!$J$15-'Module Stack'!$J$14)*(1-F12)+H12+'Module Stack'!$J$14*I12</x:f>
        <x:v>3050</x:v>
      </x:c>
      <x:c r="O12" s="27" t="n">
        <x:v>0.4</x:v>
      </x:c>
      <x:c r="P12" s="27" t="n">
        <x:v>0.3</x:v>
      </x:c>
      <x:c r="Q12" s="27" t="n">
        <x:v>0.3</x:v>
      </x:c>
      <x:c r="R12" s="27" t="str">
        <x:v>NO</x:v>
      </x:c>
      <x:c r="S12" s="27" t="n">
        <x:v>720</x:v>
      </x:c>
      <x:c r="T12" s="27" t="n">
        <x:f>M12+S12</x:f>
        <x:v>1504.7900837520938</x:v>
      </x:c>
      <x:c r="U12" s="27" t="n">
        <x:f>T12+K12</x:f>
        <x:v>1504.7900837520938</x:v>
      </x:c>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2" max="2" width="9" hidden="0" customWidth="1"/>
    <x:col min="3" max="3" width="31"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Thermal field and occupied-site geometry</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2"/>
      <x:c r="O3" s="2"/>
      <x:c r="P3" s="2"/>
      <x:c r="Q3" s="2"/>
      <x:c r="R3" s="2"/>
      <x:c r="S3" s="2"/>
      <x:c r="T3" s="2"/>
      <x:c r="U3" s="2"/>
      <x:c r="V3" s="2"/>
      <x:c r="W3" s="2"/>
      <x:c r="X3" s="2"/>
      <x:c r="Y3" s="2"/>
      <x:c r="Z3" s="2"/>
    </x:row>
    <x:row r="4">
      <x:c r="A4" s="2"/>
      <x:c r="B4" s="5" t="str">
        <x:v>The heat sink is sized before carrier form or rendering.</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High-ambient, smoke and largest-train-loss closure</x:v>
      </x:c>
      <x:c r="C6" s="9"/>
      <x:c r="D6" s="9"/>
      <x:c r="E6" s="9"/>
      <x:c r="F6" s="9"/>
      <x:c r="G6" s="9"/>
      <x:c r="H6" s="9"/>
      <x:c r="I6" s="9"/>
      <x:c r="J6" s="9"/>
      <x:c r="K6" s="9"/>
      <x:c r="L6" s="9"/>
      <x:c r="M6" s="10"/>
      <x:c r="N6" s="2"/>
      <x:c r="O6" s="2"/>
      <x:c r="P6" s="2"/>
      <x:c r="Q6" s="2"/>
      <x:c r="R6" s="2"/>
      <x:c r="S6" s="2"/>
      <x:c r="T6" s="2"/>
      <x:c r="U6" s="2"/>
      <x:c r="V6" s="2"/>
      <x:c r="W6" s="2"/>
      <x:c r="X6" s="2"/>
      <x:c r="Y6" s="2"/>
      <x:c r="Z6" s="2"/>
    </x:row>
    <x:row r="7">
      <x:c r="A7" s="2"/>
      <x:c r="B7" s="15" t="str">
        <x:v>Code</x:v>
      </x:c>
      <x:c r="C7" s="16" t="str">
        <x:v>Geometry</x:v>
      </x:c>
      <x:c r="D7" s="16" t="str">
        <x:v>Installed MWth</x:v>
      </x:c>
      <x:c r="E7" s="16" t="str">
        <x:v>Trains</x:v>
      </x:c>
      <x:c r="F7" s="16" t="str">
        <x:v>50°C factor</x:v>
      </x:c>
      <x:c r="G7" s="16" t="str">
        <x:v>Smoke factor</x:v>
      </x:c>
      <x:c r="H7" s="16" t="str">
        <x:v>N-1 remaining</x:v>
      </x:c>
      <x:c r="I7" s="16" t="str">
        <x:v>Compound MWth</x:v>
      </x:c>
      <x:c r="J7" s="16" t="str">
        <x:v>Compound ratio</x:v>
      </x:c>
      <x:c r="K7" s="16" t="str">
        <x:v>Face area m²</x:v>
      </x:c>
      <x:c r="L7" s="16" t="str">
        <x:v>Airflow m³/s</x:v>
      </x:c>
      <x:c r="M7" s="17" t="str">
        <x:v>Free intake m²</x:v>
      </x:c>
      <x:c r="N7" s="2"/>
      <x:c r="O7" s="2"/>
      <x:c r="P7" s="2"/>
      <x:c r="Q7" s="2"/>
      <x:c r="R7" s="2"/>
      <x:c r="S7" s="2"/>
      <x:c r="T7" s="2"/>
      <x:c r="U7" s="2"/>
      <x:c r="V7" s="2"/>
      <x:c r="W7" s="2"/>
      <x:c r="X7" s="2"/>
      <x:c r="Y7" s="2"/>
      <x:c r="Z7" s="2"/>
    </x:row>
    <x:row r="8">
      <x:c r="A8" s="2"/>
      <x:c r="B8" s="2" t="str">
        <x:v>G1</x:v>
      </x:c>
      <x:c r="C8" s="2" t="str">
        <x:v>Road-distributed lattice</x:v>
      </x:c>
      <x:c r="D8" s="27" t="n">
        <x:v>9</x:v>
      </x:c>
      <x:c r="E8" s="27" t="n">
        <x:v>4</x:v>
      </x:c>
      <x:c r="F8" s="30" t="n">
        <x:f>Assumptions!$D$26</x:f>
        <x:v>0.88</x:v>
      </x:c>
      <x:c r="G8" s="30" t="n">
        <x:f>Assumptions!$D$27</x:f>
        <x:v>0.9</x:v>
      </x:c>
      <x:c r="H8" s="30" t="n">
        <x:f>1-1/E8</x:f>
        <x:v>0.75</x:v>
      </x:c>
      <x:c r="I8" s="32" t="n">
        <x:f>D8*F8*G8*H8</x:f>
        <x:v>5.346</x:v>
      </x:c>
      <x:c r="J8" s="32" t="n">
        <x:f>I8/Assumptions!$D$16</x:f>
        <x:v>1.1219059669995797</x:v>
      </x:c>
      <x:c r="K8" s="32" t="n">
        <x:f>D8/Assumptions!$D$25</x:f>
        <x:v>105.88235294117646</x:v>
      </x:c>
      <x:c r="L8" s="32" t="n">
        <x:f>D8*1000/(Assumptions!$D$29*Assumptions!$D$30*Assumptions!$D$28)</x:f>
        <x:v>707.2135785007073</x:v>
      </x:c>
      <x:c r="M8" s="32" t="n">
        <x:f>L8/Assumptions!$D$31/Assumptions!$D$32</x:f>
        <x:v>404.12204485754705</x:v>
      </x:c>
      <x:c r="N8" s="2"/>
      <x:c r="O8" s="2"/>
      <x:c r="P8" s="2"/>
      <x:c r="Q8" s="2"/>
      <x:c r="R8" s="2"/>
      <x:c r="S8" s="2"/>
      <x:c r="T8" s="2"/>
      <x:c r="U8" s="2"/>
      <x:c r="V8" s="2"/>
      <x:c r="W8" s="2"/>
      <x:c r="X8" s="2"/>
      <x:c r="Y8" s="2"/>
      <x:c r="Z8" s="2"/>
    </x:row>
    <x:row r="9">
      <x:c r="A9" s="2"/>
      <x:c r="B9" s="2" t="str">
        <x:v>G2</x:v>
      </x:c>
      <x:c r="C9" s="2" t="str">
        <x:v>Rail utility consist</x:v>
      </x:c>
      <x:c r="D9" s="27" t="n">
        <x:v>9.2</x:v>
      </x:c>
      <x:c r="E9" s="27" t="n">
        <x:v>4</x:v>
      </x:c>
      <x:c r="F9" s="30" t="n">
        <x:f>Assumptions!$D$26-0.01</x:f>
        <x:v>0.87</x:v>
      </x:c>
      <x:c r="G9" s="30" t="n">
        <x:f>Assumptions!$D$27-0.02</x:f>
        <x:v>0.88</x:v>
      </x:c>
      <x:c r="H9" s="30" t="n">
        <x:f>1-1/E9</x:f>
        <x:v>0.75</x:v>
      </x:c>
      <x:c r="I9" s="32" t="n">
        <x:f>D9*F9*G9*H9</x:f>
        <x:v>5.28264</x:v>
      </x:c>
      <x:c r="J9" s="32" t="n">
        <x:f>I9/Assumptions!$D$16</x:f>
        <x:v>1.108609303686992</x:v>
      </x:c>
      <x:c r="K9" s="32" t="n">
        <x:f>D9/Assumptions!$D$25</x:f>
        <x:v>108.23529411764704</x:v>
      </x:c>
      <x:c r="L9" s="32" t="n">
        <x:f>D9*1000/(Assumptions!$D$29*Assumptions!$D$30*Assumptions!$D$28)</x:f>
        <x:v>722.929435800723</x:v>
      </x:c>
      <x:c r="M9" s="32" t="n">
        <x:f>L9/Assumptions!$D$31/Assumptions!$D$32</x:f>
        <x:v>413.1025347432703</x:v>
      </x:c>
      <x:c r="N9" s="2"/>
      <x:c r="O9" s="2"/>
      <x:c r="P9" s="2"/>
      <x:c r="Q9" s="2"/>
      <x:c r="R9" s="2"/>
      <x:c r="S9" s="2"/>
      <x:c r="T9" s="2"/>
      <x:c r="U9" s="2"/>
      <x:c r="V9" s="2"/>
      <x:c r="W9" s="2"/>
      <x:c r="X9" s="2"/>
      <x:c r="Y9" s="2"/>
      <x:c r="Z9" s="2"/>
    </x:row>
    <x:row r="10">
      <x:c r="A10" s="2"/>
      <x:c r="B10" s="2" t="str">
        <x:v>G3</x:v>
      </x:c>
      <x:c r="C10" s="2" t="str">
        <x:v>Shallow-draft utility barge</x:v>
      </x:c>
      <x:c r="D10" s="27" t="n">
        <x:v>8.8</x:v>
      </x:c>
      <x:c r="E10" s="27" t="n">
        <x:v>4</x:v>
      </x:c>
      <x:c r="F10" s="30" t="n">
        <x:f>Assumptions!$D$26-0.02</x:f>
        <x:v>0.86</x:v>
      </x:c>
      <x:c r="G10" s="30" t="n">
        <x:f>Assumptions!$D$27-0.02</x:f>
        <x:v>0.88</x:v>
      </x:c>
      <x:c r="H10" s="30" t="n">
        <x:f>1-1/E10</x:f>
        <x:v>0.75</x:v>
      </x:c>
      <x:c r="I10" s="32" t="n">
        <x:f>D10*F10*G10*H10</x:f>
        <x:v>4.99488</x:v>
      </x:c>
      <x:c r="J10" s="32" t="n">
        <x:f>I10/Assumptions!$D$16</x:f>
        <x:v>1.0482202911423233</x:v>
      </x:c>
      <x:c r="K10" s="32" t="n">
        <x:f>D10/Assumptions!$D$25</x:f>
        <x:v>103.52941176470588</x:v>
      </x:c>
      <x:c r="L10" s="32" t="n">
        <x:f>D10*1000/(Assumptions!$D$29*Assumptions!$D$30*Assumptions!$D$28)</x:f>
        <x:v>691.4977212006916</x:v>
      </x:c>
      <x:c r="M10" s="32" t="n">
        <x:f>L10/Assumptions!$D$31/Assumptions!$D$32</x:f>
        <x:v>395.1415549718238</x:v>
      </x:c>
      <x:c r="N10" s="2"/>
      <x:c r="O10" s="2"/>
      <x:c r="P10" s="2"/>
      <x:c r="Q10" s="2"/>
      <x:c r="R10" s="2"/>
      <x:c r="S10" s="2"/>
      <x:c r="T10" s="2"/>
      <x:c r="U10" s="2"/>
      <x:c r="V10" s="2"/>
      <x:c r="W10" s="2"/>
      <x:c r="X10" s="2"/>
      <x:c r="Y10" s="2"/>
      <x:c r="Z10" s="2"/>
    </x:row>
    <x:row r="11">
      <x:c r="A11" s="2"/>
      <x:c r="B11" s="2" t="str">
        <x:v>G4</x:v>
      </x:c>
      <x:c r="C11" s="2" t="str">
        <x:v>Prepared metropolitan anchor</x:v>
      </x:c>
      <x:c r="D11" s="27" t="n">
        <x:v>8.5</x:v>
      </x:c>
      <x:c r="E11" s="27" t="n">
        <x:v>4</x:v>
      </x:c>
      <x:c r="F11" s="30" t="n">
        <x:f>Assumptions!$D$26+0.02</x:f>
        <x:v>0.9</x:v>
      </x:c>
      <x:c r="G11" s="30" t="n">
        <x:f>Assumptions!$D$27+0.02</x:f>
        <x:v>0.92</x:v>
      </x:c>
      <x:c r="H11" s="30" t="n">
        <x:f>1-1/E11</x:f>
        <x:v>0.75</x:v>
      </x:c>
      <x:c r="I11" s="32" t="n">
        <x:f>D11*F11*G11*H11</x:f>
        <x:v>5.2785</x:v>
      </x:c>
      <x:c r="J11" s="32" t="n">
        <x:f>I11/Assumptions!$D$16</x:f>
        <x:v>1.107740487618272</x:v>
      </x:c>
      <x:c r="K11" s="32" t="n">
        <x:f>D11/Assumptions!$D$25</x:f>
        <x:v>99.99999999999999</x:v>
      </x:c>
      <x:c r="L11" s="32" t="n">
        <x:f>D11*1000/(Assumptions!$D$29*Assumptions!$D$30*Assumptions!$D$28)</x:f>
        <x:v>667.923935250668</x:v>
      </x:c>
      <x:c r="M11" s="32" t="n">
        <x:f>L11/Assumptions!$D$31/Assumptions!$D$32</x:f>
        <x:v>381.67082014323887</x:v>
      </x:c>
      <x:c r="N11" s="2"/>
      <x:c r="O11" s="2"/>
      <x:c r="P11" s="2"/>
      <x:c r="Q11" s="2"/>
      <x:c r="R11" s="2"/>
      <x:c r="S11" s="2"/>
      <x:c r="T11" s="2"/>
      <x:c r="U11" s="2"/>
      <x:c r="V11" s="2"/>
      <x:c r="W11" s="2"/>
      <x:c r="X11" s="2"/>
      <x:c r="Y11" s="2"/>
      <x:c r="Z11" s="2"/>
    </x:row>
    <x:row r="12">
      <x:c r="A12" s="2"/>
      <x:c r="B12" s="2" t="str">
        <x:v>G5</x:v>
      </x:c>
      <x:c r="C12" s="2" t="str">
        <x:v>Tri-modal split lattice</x:v>
      </x:c>
      <x:c r="D12" s="27" t="n">
        <x:v>10</x:v>
      </x:c>
      <x:c r="E12" s="27" t="n">
        <x:v>5</x:v>
      </x:c>
      <x:c r="F12" s="30" t="n">
        <x:f>Assumptions!$D$26</x:f>
        <x:v>0.88</x:v>
      </x:c>
      <x:c r="G12" s="30" t="n">
        <x:f>Assumptions!$D$27</x:f>
        <x:v>0.9</x:v>
      </x:c>
      <x:c r="H12" s="30" t="n">
        <x:f>1-1/E12</x:f>
        <x:v>0.8</x:v>
      </x:c>
      <x:c r="I12" s="32" t="n">
        <x:f>D12*F12*G12*H12</x:f>
        <x:v>6.336000000000001</x:v>
      </x:c>
      <x:c r="J12" s="32" t="n">
        <x:f>I12/Assumptions!$D$16</x:f>
        <x:v>1.3296663312587613</x:v>
      </x:c>
      <x:c r="K12" s="32" t="n">
        <x:f>D12/Assumptions!$D$25</x:f>
        <x:v>117.6470588235294</x:v>
      </x:c>
      <x:c r="L12" s="32" t="n">
        <x:f>D12*1000/(Assumptions!$D$29*Assumptions!$D$30*Assumptions!$D$28)</x:f>
        <x:v>785.7928650007858</x:v>
      </x:c>
      <x:c r="M12" s="32" t="n">
        <x:f>L12/Assumptions!$D$31/Assumptions!$D$32</x:f>
        <x:v>449.02449428616336</x:v>
      </x:c>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8" t="str">
        <x:v>Receiver compatibility</x:v>
      </x:c>
      <x:c r="C15" s="9"/>
      <x:c r="D15" s="9"/>
      <x:c r="E15" s="9"/>
      <x:c r="F15" s="9"/>
      <x:c r="G15" s="9"/>
      <x:c r="H15" s="9"/>
      <x:c r="I15" s="9"/>
      <x:c r="J15" s="9"/>
      <x:c r="K15" s="9"/>
      <x:c r="L15" s="9"/>
      <x:c r="M15" s="10"/>
      <x:c r="N15" s="2"/>
      <x:c r="O15" s="2"/>
      <x:c r="P15" s="2"/>
      <x:c r="Q15" s="2"/>
      <x:c r="R15" s="2"/>
      <x:c r="S15" s="2"/>
      <x:c r="T15" s="2"/>
      <x:c r="U15" s="2"/>
      <x:c r="V15" s="2"/>
      <x:c r="W15" s="2"/>
      <x:c r="X15" s="2"/>
      <x:c r="Y15" s="2"/>
      <x:c r="Z15" s="2"/>
    </x:row>
    <x:row r="16">
      <x:c r="A16" s="2"/>
      <x:c r="B16" s="15" t="str">
        <x:v>Code</x:v>
      </x:c>
      <x:c r="C16" s="16" t="str">
        <x:v>Geometry</x:v>
      </x:c>
      <x:c r="D16" s="16" t="str">
        <x:v>Nonthermal site m²</x:v>
      </x:c>
      <x:c r="E16" s="16" t="str">
        <x:v>Free intake m²</x:v>
      </x:c>
      <x:c r="F16" s="16" t="str">
        <x:v>Total site m²</x:v>
      </x:c>
      <x:c r="G16" s="16" t="str">
        <x:v>Utility reach m</x:v>
      </x:c>
      <x:c r="H16" s="16" t="str">
        <x:v>Noise dBA</x:v>
      </x:c>
      <x:c r="I16" s="16" t="str">
        <x:v>Exhaust separation m</x:v>
      </x:c>
      <x:c r="J16" s="16" t="str">
        <x:v>Wet/soft service</x:v>
      </x:c>
      <x:c r="K16" s="16" t="str">
        <x:v>Flood service</x:v>
      </x:c>
      <x:c r="L16" s="16" t="str">
        <x:v>Dry rejection</x:v>
      </x:c>
      <x:c r="M16" s="17" t="str">
        <x:v>Site result</x:v>
      </x:c>
      <x:c r="N16" s="2"/>
      <x:c r="O16" s="2"/>
      <x:c r="P16" s="2"/>
      <x:c r="Q16" s="2"/>
      <x:c r="R16" s="2"/>
      <x:c r="S16" s="2"/>
      <x:c r="T16" s="2"/>
      <x:c r="U16" s="2"/>
      <x:c r="V16" s="2"/>
      <x:c r="W16" s="2"/>
      <x:c r="X16" s="2"/>
      <x:c r="Y16" s="2"/>
      <x:c r="Z16" s="2"/>
    </x:row>
    <x:row r="17">
      <x:c r="A17" s="2"/>
      <x:c r="B17" s="2" t="str">
        <x:v>G1</x:v>
      </x:c>
      <x:c r="C17" s="2" t="str">
        <x:v>Road-distributed lattice</x:v>
      </x:c>
      <x:c r="D17" s="27" t="n">
        <x:v>4350</x:v>
      </x:c>
      <x:c r="E17" s="27" t="n">
        <x:f>M8</x:f>
        <x:v>404.12204485754705</x:v>
      </x:c>
      <x:c r="F17" s="27" t="n">
        <x:f>D17+E17</x:f>
        <x:v>4754.122044857547</x:v>
      </x:c>
      <x:c r="G17" s="27" t="n">
        <x:v>400</x:v>
      </x:c>
      <x:c r="H17" s="27" t="n">
        <x:v>62</x:v>
      </x:c>
      <x:c r="I17" s="27" t="n">
        <x:v>35</x:v>
      </x:c>
      <x:c r="J17" s="33" t="n">
        <x:v>0.6</x:v>
      </x:c>
      <x:c r="K17" s="33" t="n">
        <x:v>0.6</x:v>
      </x:c>
      <x:c r="L17" s="2" t="str">
        <x:v>YES</x:v>
      </x:c>
      <x:c r="M17" s="2" t="str">
        <x:f>IF(F17&lt;=Assumptions!$D$33,"PASS","FAIL")</x:f>
        <x:v>PASS</x:v>
      </x:c>
      <x:c r="N17" s="2"/>
      <x:c r="O17" s="2"/>
      <x:c r="P17" s="2"/>
      <x:c r="Q17" s="2"/>
      <x:c r="R17" s="2"/>
      <x:c r="S17" s="2"/>
      <x:c r="T17" s="2"/>
      <x:c r="U17" s="2"/>
      <x:c r="V17" s="2"/>
      <x:c r="W17" s="2"/>
      <x:c r="X17" s="2"/>
      <x:c r="Y17" s="2"/>
      <x:c r="Z17" s="2"/>
    </x:row>
    <x:row r="18">
      <x:c r="A18" s="2"/>
      <x:c r="B18" s="2" t="str">
        <x:v>G2</x:v>
      </x:c>
      <x:c r="C18" s="2" t="str">
        <x:v>Rail utility consist</x:v>
      </x:c>
      <x:c r="D18" s="27" t="n">
        <x:v>5700</x:v>
      </x:c>
      <x:c r="E18" s="27" t="n">
        <x:f>M9</x:f>
        <x:v>413.1025347432703</x:v>
      </x:c>
      <x:c r="F18" s="27" t="n">
        <x:f>D18+E18</x:f>
        <x:v>6113.102534743271</x:v>
      </x:c>
      <x:c r="G18" s="27" t="n">
        <x:v>900</x:v>
      </x:c>
      <x:c r="H18" s="27" t="n">
        <x:v>54</x:v>
      </x:c>
      <x:c r="I18" s="27" t="n">
        <x:v>600</x:v>
      </x:c>
      <x:c r="J18" s="33" t="n">
        <x:v>0.3</x:v>
      </x:c>
      <x:c r="K18" s="33" t="n">
        <x:v>0.2</x:v>
      </x:c>
      <x:c r="L18" s="2" t="str">
        <x:v>YES</x:v>
      </x:c>
      <x:c r="M18" s="2" t="str">
        <x:f>IF(F18&lt;=Assumptions!$D$33,"PASS","FAIL")</x:f>
        <x:v>FAIL</x:v>
      </x:c>
      <x:c r="N18" s="2"/>
      <x:c r="O18" s="2"/>
      <x:c r="P18" s="2"/>
      <x:c r="Q18" s="2"/>
      <x:c r="R18" s="2"/>
      <x:c r="S18" s="2"/>
      <x:c r="T18" s="2"/>
      <x:c r="U18" s="2"/>
      <x:c r="V18" s="2"/>
      <x:c r="W18" s="2"/>
      <x:c r="X18" s="2"/>
      <x:c r="Y18" s="2"/>
      <x:c r="Z18" s="2"/>
    </x:row>
    <x:row r="19">
      <x:c r="A19" s="2"/>
      <x:c r="B19" s="2" t="str">
        <x:v>G3</x:v>
      </x:c>
      <x:c r="C19" s="2" t="str">
        <x:v>Shallow-draft utility barge</x:v>
      </x:c>
      <x:c r="D19" s="27" t="n">
        <x:v>3750</x:v>
      </x:c>
      <x:c r="E19" s="27" t="n">
        <x:f>M10</x:f>
        <x:v>395.1415549718238</x:v>
      </x:c>
      <x:c r="F19" s="27" t="n">
        <x:f>D19+E19</x:f>
        <x:v>4145.141554971824</x:v>
      </x:c>
      <x:c r="G19" s="27" t="n">
        <x:v>800</x:v>
      </x:c>
      <x:c r="H19" s="27" t="n">
        <x:v>52</x:v>
      </x:c>
      <x:c r="I19" s="27" t="n">
        <x:v>300</x:v>
      </x:c>
      <x:c r="J19" s="33" t="n">
        <x:v>1</x:v>
      </x:c>
      <x:c r="K19" s="33" t="n">
        <x:v>1</x:v>
      </x:c>
      <x:c r="L19" s="2" t="str">
        <x:v>YES</x:v>
      </x:c>
      <x:c r="M19" s="2" t="str">
        <x:f>IF(F19&lt;=Assumptions!$D$33,"PASS","FAIL")</x:f>
        <x:v>PASS</x:v>
      </x:c>
      <x:c r="N19" s="2"/>
      <x:c r="O19" s="2"/>
      <x:c r="P19" s="2"/>
      <x:c r="Q19" s="2"/>
      <x:c r="R19" s="2"/>
      <x:c r="S19" s="2"/>
      <x:c r="T19" s="2"/>
      <x:c r="U19" s="2"/>
      <x:c r="V19" s="2"/>
      <x:c r="W19" s="2"/>
      <x:c r="X19" s="2"/>
      <x:c r="Y19" s="2"/>
      <x:c r="Z19" s="2"/>
    </x:row>
    <x:row r="20">
      <x:c r="A20" s="2"/>
      <x:c r="B20" s="2" t="str">
        <x:v>G4</x:v>
      </x:c>
      <x:c r="C20" s="2" t="str">
        <x:v>Prepared metropolitan anchor</x:v>
      </x:c>
      <x:c r="D20" s="27" t="n">
        <x:v>2250</x:v>
      </x:c>
      <x:c r="E20" s="27" t="n">
        <x:f>M11</x:f>
        <x:v>381.67082014323887</x:v>
      </x:c>
      <x:c r="F20" s="27" t="n">
        <x:f>D20+E20</x:f>
        <x:v>2631.670820143239</x:v>
      </x:c>
      <x:c r="G20" s="27" t="n">
        <x:v>300</x:v>
      </x:c>
      <x:c r="H20" s="27" t="n">
        <x:v>50</x:v>
      </x:c>
      <x:c r="I20" s="27" t="n">
        <x:v>75</x:v>
      </x:c>
      <x:c r="J20" s="33" t="n">
        <x:v>0.8</x:v>
      </x:c>
      <x:c r="K20" s="33" t="n">
        <x:v>0.8</x:v>
      </x:c>
      <x:c r="L20" s="2" t="str">
        <x:v>YES</x:v>
      </x:c>
      <x:c r="M20" s="2" t="str">
        <x:f>IF(F20&lt;=Assumptions!$D$33,"PASS","FAIL")</x:f>
        <x:v>PASS</x:v>
      </x:c>
      <x:c r="N20" s="2"/>
      <x:c r="O20" s="2"/>
      <x:c r="P20" s="2"/>
      <x:c r="Q20" s="2"/>
      <x:c r="R20" s="2"/>
      <x:c r="S20" s="2"/>
      <x:c r="T20" s="2"/>
      <x:c r="U20" s="2"/>
      <x:c r="V20" s="2"/>
      <x:c r="W20" s="2"/>
      <x:c r="X20" s="2"/>
      <x:c r="Y20" s="2"/>
      <x:c r="Z20" s="2"/>
    </x:row>
    <x:row r="21">
      <x:c r="A21" s="2"/>
      <x:c r="B21" s="2" t="str">
        <x:v>G5</x:v>
      </x:c>
      <x:c r="C21" s="2" t="str">
        <x:v>Tri-modal split lattice</x:v>
      </x:c>
      <x:c r="D21" s="27" t="n">
        <x:v>4100</x:v>
      </x:c>
      <x:c r="E21" s="27" t="n">
        <x:f>M12</x:f>
        <x:v>449.02449428616336</x:v>
      </x:c>
      <x:c r="F21" s="27" t="n">
        <x:f>D21+E21</x:f>
        <x:v>4549.024494286164</x:v>
      </x:c>
      <x:c r="G21" s="27" t="n">
        <x:v>750</x:v>
      </x:c>
      <x:c r="H21" s="27" t="n">
        <x:v>56</x:v>
      </x:c>
      <x:c r="I21" s="27" t="n">
        <x:v>80</x:v>
      </x:c>
      <x:c r="J21" s="33" t="n">
        <x:v>0.7</x:v>
      </x:c>
      <x:c r="K21" s="33" t="n">
        <x:v>0.7</x:v>
      </x:c>
      <x:c r="L21" s="2" t="str">
        <x:v>YES</x:v>
      </x:c>
      <x:c r="M21" s="2" t="str">
        <x:f>IF(F21&lt;=Assumptions!$D$33,"PASS","FAIL")</x:f>
        <x:v>PASS</x:v>
      </x:c>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conditionalFormatting sqref="M17:M21">
    <x:cfRule type="cellIs" dxfId="0" priority="1" operator="equal">
      <x:formula>"FAIL"</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2" max="2" width="9" hidden="0" customWidth="1"/>
    <x:col min="3" max="3" width="31"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Carrier count and setup work</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4"/>
      <x:c r="O3" s="4"/>
      <x:c r="P3" s="4"/>
      <x:c r="Q3" s="4"/>
      <x:c r="R3" s="4"/>
      <x:c r="S3" s="4"/>
      <x:c r="T3" s="4"/>
      <x:c r="U3" s="4"/>
      <x:c r="V3" s="4"/>
      <x:c r="W3" s="4"/>
      <x:c r="X3" s="4"/>
      <x:c r="Y3" s="4"/>
      <x:c r="Z3" s="2"/>
    </x:row>
    <x:row r="4">
      <x:c r="A4" s="2"/>
      <x:c r="B4" s="5" t="str">
        <x:v>Carrier tare, route length, human work and reset are part of the deployed system.</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Deployment account</x:v>
      </x:c>
      <x:c r="C6" s="9"/>
      <x:c r="D6" s="9"/>
      <x:c r="E6" s="9"/>
      <x:c r="F6" s="9"/>
      <x:c r="G6" s="9"/>
      <x:c r="H6" s="9"/>
      <x:c r="I6" s="9"/>
      <x:c r="J6" s="9"/>
      <x:c r="K6" s="9"/>
      <x:c r="L6" s="9"/>
      <x:c r="M6" s="9"/>
      <x:c r="N6" s="9"/>
      <x:c r="O6" s="9"/>
      <x:c r="P6" s="9"/>
      <x:c r="Q6" s="9"/>
      <x:c r="R6" s="9"/>
      <x:c r="S6" s="9"/>
      <x:c r="T6" s="9"/>
      <x:c r="U6" s="9"/>
      <x:c r="V6" s="9"/>
      <x:c r="W6" s="9"/>
      <x:c r="X6" s="9"/>
      <x:c r="Y6" s="10"/>
      <x:c r="Z6" s="2"/>
    </x:row>
    <x:row r="7">
      <x:c r="A7" s="2"/>
      <x:c r="B7" s="15" t="str">
        <x:v>Code</x:v>
      </x:c>
      <x:c r="C7" s="16" t="str">
        <x:v>Geometry</x:v>
      </x:c>
      <x:c r="D7" s="16" t="str">
        <x:v>Protected h</x:v>
      </x:c>
      <x:c r="E7" s="16" t="str">
        <x:v>Full h</x:v>
      </x:c>
      <x:c r="F7" s="16" t="str">
        <x:v>Crew</x:v>
      </x:c>
      <x:c r="G7" s="16" t="str">
        <x:v>Module work h</x:v>
      </x:c>
      <x:c r="H7" s="16" t="str">
        <x:v>Geometry work h</x:v>
      </x:c>
      <x:c r="I7" s="16" t="str">
        <x:v>Duplicate work h</x:v>
      </x:c>
      <x:c r="J7" s="16" t="str">
        <x:v>Total work h</x:v>
      </x:c>
      <x:c r="K7" s="16" t="str">
        <x:v>Crew capacity h</x:v>
      </x:c>
      <x:c r="L7" s="16" t="str">
        <x:v>Setup margin</x:v>
      </x:c>
      <x:c r="M7" s="16" t="str">
        <x:v>Degraded margin</x:v>
      </x:c>
      <x:c r="N7" s="16" t="str">
        <x:v>Road cargo</x:v>
      </x:c>
      <x:c r="O7" s="16" t="str">
        <x:v>Road support</x:v>
      </x:c>
      <x:c r="P7" s="16" t="str">
        <x:v>Rail cargo</x:v>
      </x:c>
      <x:c r="Q7" s="16" t="str">
        <x:v>Rail support</x:v>
      </x:c>
      <x:c r="R7" s="16" t="str">
        <x:v>Barge hosts</x:v>
      </x:c>
      <x:c r="S7" s="16" t="str">
        <x:v>Assist craft</x:v>
      </x:c>
      <x:c r="T7" s="16" t="str">
        <x:v>Road columns</x:v>
      </x:c>
      <x:c r="U7" s="16" t="str">
        <x:v>Rail length m</x:v>
      </x:c>
      <x:c r="V7" s="16" t="str">
        <x:v>Road train km</x:v>
      </x:c>
      <x:c r="W7" s="16" t="str">
        <x:v>Barge draft m</x:v>
      </x:c>
      <x:c r="X7" s="16" t="str">
        <x:v>Largest packet retained</x:v>
      </x:c>
      <x:c r="Y7" s="17" t="str">
        <x:v>Reset days</x:v>
      </x:c>
      <x:c r="Z7" s="2"/>
    </x:row>
    <x:row r="8">
      <x:c r="A8" s="2"/>
      <x:c r="B8" s="2" t="str">
        <x:v>G1</x:v>
      </x:c>
      <x:c r="C8" s="2" t="str">
        <x:v>Road-distributed lattice</x:v>
      </x:c>
      <x:c r="D8" s="2" t="n">
        <x:v>12</x:v>
      </x:c>
      <x:c r="E8" s="2" t="n">
        <x:v>36</x:v>
      </x:c>
      <x:c r="F8" s="2" t="n">
        <x:v>140</x:v>
      </x:c>
      <x:c r="G8" s="2" t="n">
        <x:f>'Module Stack'!$M$15*(1-Geometry!F8)</x:f>
        <x:v>1300</x:v>
      </x:c>
      <x:c r="H8" s="2" t="n">
        <x:v>300</x:v>
      </x:c>
      <x:c r="I8" s="2" t="n">
        <x:f>Geometry!G8*2</x:f>
        <x:v>80</x:v>
      </x:c>
      <x:c r="J8" s="2" t="n">
        <x:f>G8+H8+I8</x:f>
        <x:v>1680</x:v>
      </x:c>
      <x:c r="K8" s="2" t="n">
        <x:f>F8*Assumptions!$D$47*Assumptions!$D$48</x:f>
        <x:v>1680</x:v>
      </x:c>
      <x:c r="L8" s="34" t="n">
        <x:f>K8/J8</x:f>
        <x:v>1</x:v>
      </x:c>
      <x:c r="M8" s="34" t="n">
        <x:f>K8*Assumptions!$D$49/J8</x:f>
        <x:v>0.75</x:v>
      </x:c>
      <x:c r="N8" s="2" t="n">
        <x:f>IF(Geometry!O8=0,0,CEILING(MAX(Geometry!M8*Geometry!O8/Assumptions!$D$37,Geometry!N8*Geometry!O8/Assumptions!$D$38),1)+1)</x:f>
        <x:v>27</x:v>
      </x:c>
      <x:c r="O8" s="2" t="n">
        <x:v>6</x:v>
      </x:c>
      <x:c r="P8" s="2" t="n">
        <x:f>IF(Geometry!P8=0,0,CEILING(MAX(Geometry!M8*Geometry!P8/Assumptions!$D$39,Geometry!N8*Geometry!P8/Assumptions!$D$40),1)+1)</x:f>
        <x:v>0</x:v>
      </x:c>
      <x:c r="Q8" s="2" t="n">
        <x:v>0</x:v>
      </x:c>
      <x:c r="R8" s="2" t="n">
        <x:f>IF(Geometry!Q8=0,0,CEILING(Geometry!M8*Geometry!Q8/Assumptions!$D$41,1))</x:f>
        <x:v>0</x:v>
      </x:c>
      <x:c r="S8" s="2" t="n">
        <x:v>0</x:v>
      </x:c>
      <x:c r="T8" s="2" t="n">
        <x:v>3</x:v>
      </x:c>
      <x:c r="U8" s="2" t="n">
        <x:f>IF(P8=0,0,(P8+Q8)*20+44)</x:f>
        <x:v>0</x:v>
      </x:c>
      <x:c r="V8" s="35" t="n">
        <x:f>(N8+O8)*(13.6+15)/1000</x:f>
        <x:v>0.9438000000000001</x:v>
      </x:c>
      <x:c r="W8" s="34" t="n">
        <x:f>IF(R8=0,0,(Assumptions!$D$45+Geometry!M8*Geometry!Q8)/(Assumptions!$D$42*Assumptions!$D$43*Assumptions!$D$44))</x:f>
        <x:v>0</x:v>
      </x:c>
      <x:c r="X8" s="30" t="n">
        <x:v>0.667</x:v>
      </x:c>
      <x:c r="Y8" s="2" t="n">
        <x:v>4</x:v>
      </x:c>
      <x:c r="Z8" s="2"/>
    </x:row>
    <x:row r="9">
      <x:c r="A9" s="2"/>
      <x:c r="B9" s="2" t="str">
        <x:v>G2</x:v>
      </x:c>
      <x:c r="C9" s="2" t="str">
        <x:v>Rail utility consist</x:v>
      </x:c>
      <x:c r="D9" s="2" t="n">
        <x:v>18</x:v>
      </x:c>
      <x:c r="E9" s="2" t="n">
        <x:v>44</x:v>
      </x:c>
      <x:c r="F9" s="2" t="n">
        <x:v>150</x:v>
      </x:c>
      <x:c r="G9" s="2" t="n">
        <x:f>'Module Stack'!$M$15*(1-Geometry!F9)</x:f>
        <x:v>1300</x:v>
      </x:c>
      <x:c r="H9" s="2" t="n">
        <x:v>380</x:v>
      </x:c>
      <x:c r="I9" s="2" t="n">
        <x:f>Geometry!G9*2</x:f>
        <x:v>50</x:v>
      </x:c>
      <x:c r="J9" s="2" t="n">
        <x:f>G9+H9+I9</x:f>
        <x:v>1730</x:v>
      </x:c>
      <x:c r="K9" s="2" t="n">
        <x:f>F9*Assumptions!$D$47*Assumptions!$D$48</x:f>
        <x:v>1800</x:v>
      </x:c>
      <x:c r="L9" s="34" t="n">
        <x:f>K9/J9</x:f>
        <x:v>1.0404624277456647</x:v>
      </x:c>
      <x:c r="M9" s="34" t="n">
        <x:f>K9*Assumptions!$D$49/J9</x:f>
        <x:v>0.7803468208092486</x:v>
      </x:c>
      <x:c r="N9" s="2" t="n">
        <x:f>IF(Geometry!O9=0,0,CEILING(MAX(Geometry!M9*Geometry!O9/Assumptions!$D$37,Geometry!N9*Geometry!O9/Assumptions!$D$38),1)+1)</x:f>
        <x:v>4</x:v>
      </x:c>
      <x:c r="O9" s="2" t="n">
        <x:v>4</x:v>
      </x:c>
      <x:c r="P9" s="2" t="n">
        <x:f>IF(Geometry!P9=0,0,CEILING(MAX(Geometry!M9*Geometry!P9/Assumptions!$D$39,Geometry!N9*Geometry!P9/Assumptions!$D$40),1)+1)</x:f>
        <x:v>11</x:v>
      </x:c>
      <x:c r="Q9" s="2" t="n">
        <x:v>3</x:v>
      </x:c>
      <x:c r="R9" s="2" t="n">
        <x:f>IF(Geometry!Q9=0,0,CEILING(Geometry!M9*Geometry!Q9/Assumptions!$D$41,1))</x:f>
        <x:v>0</x:v>
      </x:c>
      <x:c r="S9" s="2" t="n">
        <x:v>0</x:v>
      </x:c>
      <x:c r="T9" s="2" t="n">
        <x:v>1</x:v>
      </x:c>
      <x:c r="U9" s="2" t="n">
        <x:f>IF(P9=0,0,(P9+Q9)*20+44)</x:f>
        <x:v>324</x:v>
      </x:c>
      <x:c r="V9" s="35" t="n">
        <x:f>(N9+O9)*(13.6+15)/1000</x:f>
        <x:v>0.2288</x:v>
      </x:c>
      <x:c r="W9" s="34" t="n">
        <x:f>IF(R9=0,0,(Assumptions!$D$45+Geometry!M9*Geometry!Q9)/(Assumptions!$D$42*Assumptions!$D$43*Assumptions!$D$44))</x:f>
        <x:v>0</x:v>
      </x:c>
      <x:c r="X9" s="30" t="n">
        <x:v>0.9</x:v>
      </x:c>
      <x:c r="Y9" s="2" t="n">
        <x:v>5</x:v>
      </x:c>
      <x:c r="Z9" s="2"/>
    </x:row>
    <x:row r="10">
      <x:c r="A10" s="2"/>
      <x:c r="B10" s="2" t="str">
        <x:v>G3</x:v>
      </x:c>
      <x:c r="C10" s="2" t="str">
        <x:v>Shallow-draft utility barge</x:v>
      </x:c>
      <x:c r="D10" s="2" t="n">
        <x:v>14</x:v>
      </x:c>
      <x:c r="E10" s="2" t="n">
        <x:v>30</x:v>
      </x:c>
      <x:c r="F10" s="2" t="n">
        <x:v>140</x:v>
      </x:c>
      <x:c r="G10" s="2" t="n">
        <x:f>'Module Stack'!$M$15*(1-Geometry!F10)</x:f>
        <x:v>1300</x:v>
      </x:c>
      <x:c r="H10" s="2" t="n">
        <x:v>300</x:v>
      </x:c>
      <x:c r="I10" s="2" t="n">
        <x:f>Geometry!G10*2</x:f>
        <x:v>70</x:v>
      </x:c>
      <x:c r="J10" s="2" t="n">
        <x:f>G10+H10+I10</x:f>
        <x:v>1670</x:v>
      </x:c>
      <x:c r="K10" s="2" t="n">
        <x:f>F10*Assumptions!$D$47*Assumptions!$D$48</x:f>
        <x:v>1680</x:v>
      </x:c>
      <x:c r="L10" s="34" t="n">
        <x:f>K10/J10</x:f>
        <x:v>1.0059880239520957</x:v>
      </x:c>
      <x:c r="M10" s="34" t="n">
        <x:f>K10*Assumptions!$D$49/J10</x:f>
        <x:v>0.7544910179640718</x:v>
      </x:c>
      <x:c r="N10" s="2" t="n">
        <x:f>IF(Geometry!O10=0,0,CEILING(MAX(Geometry!M10*Geometry!O10/Assumptions!$D$37,Geometry!N10*Geometry!O10/Assumptions!$D$38),1)+1)</x:f>
        <x:v>0</x:v>
      </x:c>
      <x:c r="O10" s="2" t="n">
        <x:v>3</x:v>
      </x:c>
      <x:c r="P10" s="2" t="n">
        <x:f>IF(Geometry!P10=0,0,CEILING(MAX(Geometry!M10*Geometry!P10/Assumptions!$D$39,Geometry!N10*Geometry!P10/Assumptions!$D$40),1)+1)</x:f>
        <x:v>0</x:v>
      </x:c>
      <x:c r="Q10" s="2" t="n">
        <x:v>0</x:v>
      </x:c>
      <x:c r="R10" s="2" t="n">
        <x:f>IF(Geometry!Q10=0,0,CEILING(Geometry!M10*Geometry!Q10/Assumptions!$D$41,1))</x:f>
        <x:v>1</x:v>
      </x:c>
      <x:c r="S10" s="2" t="n">
        <x:v>2</x:v>
      </x:c>
      <x:c r="T10" s="2" t="n">
        <x:v>0</x:v>
      </x:c>
      <x:c r="U10" s="2" t="n">
        <x:f>IF(P10=0,0,(P10+Q10)*20+44)</x:f>
        <x:v>0</x:v>
      </x:c>
      <x:c r="V10" s="35" t="n">
        <x:f>(N10+O10)*(13.6+15)/1000</x:f>
        <x:v>0.08580000000000002</x:v>
      </x:c>
      <x:c r="W10" s="34" t="n">
        <x:f>IF(R10=0,0,(Assumptions!$D$45+Geometry!M10*Geometry!Q10)/(Assumptions!$D$42*Assumptions!$D$43*Assumptions!$D$44))</x:f>
        <x:v>1.43094146225619</x:v>
      </x:c>
      <x:c r="X10" s="30" t="n">
        <x:v>0.7</x:v>
      </x:c>
      <x:c r="Y10" s="2" t="n">
        <x:v>4</x:v>
      </x:c>
      <x:c r="Z10" s="2"/>
    </x:row>
    <x:row r="11">
      <x:c r="A11" s="2"/>
      <x:c r="B11" s="2" t="str">
        <x:v>G4</x:v>
      </x:c>
      <x:c r="C11" s="2" t="str">
        <x:v>Prepared metropolitan anchor</x:v>
      </x:c>
      <x:c r="D11" s="2" t="n">
        <x:v>2</x:v>
      </x:c>
      <x:c r="E11" s="2" t="n">
        <x:v>12</x:v>
      </x:c>
      <x:c r="F11" s="2" t="n">
        <x:v>90</x:v>
      </x:c>
      <x:c r="G11" s="2" t="n">
        <x:f>'Module Stack'!$M$15*(1-Geometry!F11)</x:f>
        <x:v>494</x:v>
      </x:c>
      <x:c r="H11" s="2" t="n">
        <x:v>180</x:v>
      </x:c>
      <x:c r="I11" s="2" t="n">
        <x:f>Geometry!G11*2</x:f>
        <x:v>120</x:v>
      </x:c>
      <x:c r="J11" s="2" t="n">
        <x:f>G11+H11+I11</x:f>
        <x:v>794</x:v>
      </x:c>
      <x:c r="K11" s="2" t="n">
        <x:f>F11*Assumptions!$D$47*Assumptions!$D$48</x:f>
        <x:v>1080</x:v>
      </x:c>
      <x:c r="L11" s="34" t="n">
        <x:f>K11/J11</x:f>
        <x:v>1.3602015113350125</x:v>
      </x:c>
      <x:c r="M11" s="34" t="n">
        <x:f>K11*Assumptions!$D$49/J11</x:f>
        <x:v>1.0201511335012594</x:v>
      </x:c>
      <x:c r="N11" s="2" t="n">
        <x:f>IF(Geometry!O11=0,0,CEILING(MAX(Geometry!M11*Geometry!O11/Assumptions!$D$37,Geometry!N11*Geometry!O11/Assumptions!$D$38),1)+1)</x:f>
        <x:v>12</x:v>
      </x:c>
      <x:c r="O11" s="2" t="n">
        <x:v>4</x:v>
      </x:c>
      <x:c r="P11" s="2" t="n">
        <x:f>IF(Geometry!P11=0,0,CEILING(MAX(Geometry!M11*Geometry!P11/Assumptions!$D$39,Geometry!N11*Geometry!P11/Assumptions!$D$40),1)+1)</x:f>
        <x:v>0</x:v>
      </x:c>
      <x:c r="Q11" s="2" t="n">
        <x:v>0</x:v>
      </x:c>
      <x:c r="R11" s="2" t="n">
        <x:f>IF(Geometry!Q11=0,0,CEILING(Geometry!M11*Geometry!Q11/Assumptions!$D$41,1))</x:f>
        <x:v>0</x:v>
      </x:c>
      <x:c r="S11" s="2" t="n">
        <x:v>0</x:v>
      </x:c>
      <x:c r="T11" s="2" t="n">
        <x:v>2</x:v>
      </x:c>
      <x:c r="U11" s="2" t="n">
        <x:f>IF(P11=0,0,(P11+Q11)*20+44)</x:f>
        <x:v>0</x:v>
      </x:c>
      <x:c r="V11" s="35" t="n">
        <x:f>(N11+O11)*(13.6+15)/1000</x:f>
        <x:v>0.4576</x:v>
      </x:c>
      <x:c r="W11" s="34" t="n">
        <x:f>IF(R11=0,0,(Assumptions!$D$45+Geometry!M11*Geometry!Q11)/(Assumptions!$D$42*Assumptions!$D$43*Assumptions!$D$44))</x:f>
        <x:v>0</x:v>
      </x:c>
      <x:c r="X11" s="30" t="n">
        <x:v>0.88</x:v>
      </x:c>
      <x:c r="Y11" s="2" t="n">
        <x:v>2</x:v>
      </x:c>
      <x:c r="Z11" s="2"/>
    </x:row>
    <x:row r="12">
      <x:c r="A12" s="2"/>
      <x:c r="B12" s="2" t="str">
        <x:v>G5</x:v>
      </x:c>
      <x:c r="C12" s="2" t="str">
        <x:v>Tri-modal split lattice</x:v>
      </x:c>
      <x:c r="D12" s="2" t="n">
        <x:v>10</x:v>
      </x:c>
      <x:c r="E12" s="2" t="n">
        <x:v>46</x:v>
      </x:c>
      <x:c r="F12" s="2" t="n">
        <x:v>170</x:v>
      </x:c>
      <x:c r="G12" s="2" t="n">
        <x:f>'Module Stack'!$M$15*(1-Geometry!F12)</x:f>
        <x:v>1300</x:v>
      </x:c>
      <x:c r="H12" s="2" t="n">
        <x:v>420</x:v>
      </x:c>
      <x:c r="I12" s="2" t="n">
        <x:f>Geometry!G12*2</x:f>
        <x:v>300</x:v>
      </x:c>
      <x:c r="J12" s="2" t="n">
        <x:f>G12+H12+I12</x:f>
        <x:v>2020</x:v>
      </x:c>
      <x:c r="K12" s="2" t="n">
        <x:f>F12*Assumptions!$D$47*Assumptions!$D$48</x:f>
        <x:v>2040</x:v>
      </x:c>
      <x:c r="L12" s="34" t="n">
        <x:f>K12/J12</x:f>
        <x:v>1.00990099009901</x:v>
      </x:c>
      <x:c r="M12" s="34" t="n">
        <x:f>K12*Assumptions!$D$49/J12</x:f>
        <x:v>0.7574257425742574</x:v>
      </x:c>
      <x:c r="N12" s="2" t="n">
        <x:f>IF(Geometry!O12=0,0,CEILING(MAX(Geometry!M12*Geometry!O12/Assumptions!$D$37,Geometry!N12*Geometry!O12/Assumptions!$D$38),1)+1)</x:f>
        <x:v>13</x:v>
      </x:c>
      <x:c r="O12" s="2" t="n">
        <x:v>8</x:v>
      </x:c>
      <x:c r="P12" s="2" t="n">
        <x:f>IF(Geometry!P12=0,0,CEILING(MAX(Geometry!M12*Geometry!P12/Assumptions!$D$39,Geometry!N12*Geometry!P12/Assumptions!$D$40),1)+1)</x:f>
        <x:v>5</x:v>
      </x:c>
      <x:c r="Q12" s="2" t="n">
        <x:v>3</x:v>
      </x:c>
      <x:c r="R12" s="2" t="n">
        <x:f>IF(Geometry!Q12=0,0,CEILING(Geometry!M12*Geometry!Q12/Assumptions!$D$41,1))</x:f>
        <x:v>1</x:v>
      </x:c>
      <x:c r="S12" s="2" t="n">
        <x:v>2</x:v>
      </x:c>
      <x:c r="T12" s="2" t="n">
        <x:v>2</x:v>
      </x:c>
      <x:c r="U12" s="2" t="n">
        <x:f>IF(P12=0,0,(P12+Q12)*20+44)</x:f>
        <x:v>204</x:v>
      </x:c>
      <x:c r="V12" s="35" t="n">
        <x:f>(N12+O12)*(13.6+15)/1000</x:f>
        <x:v>0.6006</x:v>
      </x:c>
      <x:c r="W12" s="34" t="n">
        <x:f>IF(R12=0,0,(Assumptions!$D$45+Geometry!M12*Geometry!Q12)/(Assumptions!$D$42*Assumptions!$D$43*Assumptions!$D$44))</x:f>
        <x:v>0.8903786154988402</x:v>
      </x:c>
      <x:c r="X12" s="30" t="n">
        <x:v>0.6</x:v>
      </x:c>
      <x:c r="Y12" s="2" t="n">
        <x:v>5</x:v>
      </x:c>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2" max="2" width="10" hidden="0" customWidth="1"/>
    <x:col min="3" max="3" width="62"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Twenty-three deployment worlds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4"/>
      <x:c r="L3" s="4"/>
      <x:c r="M3" s="4"/>
      <x:c r="N3" s="4"/>
      <x:c r="O3" s="4"/>
      <x:c r="P3" s="4"/>
      <x:c r="Q3" s="4"/>
      <x:c r="R3" s="4"/>
      <x:c r="S3" s="4"/>
      <x:c r="T3" s="4"/>
      <x:c r="U3" s="4"/>
      <x:c r="V3" s="2"/>
      <x:c r="W3" s="2"/>
      <x:c r="X3" s="2"/>
      <x:c r="Y3" s="2"/>
      <x:c r="Z3" s="2"/>
    </x:row>
    <x:row r="4">
      <x:c r="A4" s="2"/>
      <x:c r="B4" s="5" t="str">
        <x:v>Counts are diagnostics, not weighted scores; the identity of failure governs.</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World inputs</x:v>
      </x:c>
      <x:c r="C6" s="9"/>
      <x:c r="D6" s="9"/>
      <x:c r="E6" s="9"/>
      <x:c r="F6" s="9"/>
      <x:c r="G6" s="9"/>
      <x:c r="H6" s="9"/>
      <x:c r="I6" s="9"/>
      <x:c r="J6" s="9"/>
      <x:c r="K6" s="9"/>
      <x:c r="L6" s="9"/>
      <x:c r="M6" s="9"/>
      <x:c r="N6" s="9"/>
      <x:c r="O6" s="9"/>
      <x:c r="P6" s="9"/>
      <x:c r="Q6" s="9"/>
      <x:c r="R6" s="9"/>
      <x:c r="S6" s="9"/>
      <x:c r="T6" s="9"/>
      <x:c r="U6" s="10"/>
      <x:c r="V6" s="2"/>
      <x:c r="W6" s="2"/>
      <x:c r="X6" s="2"/>
      <x:c r="Y6" s="2"/>
      <x:c r="Z6" s="2"/>
    </x:row>
    <x:row r="7">
      <x:c r="A7" s="2"/>
      <x:c r="B7" s="15" t="str">
        <x:v>World</x:v>
      </x:c>
      <x:c r="C7" s="16" t="str">
        <x:v>Stress</x:v>
      </x:c>
      <x:c r="D7" s="16" t="str">
        <x:v>Required service</x:v>
      </x:c>
      <x:c r="E7" s="16" t="str">
        <x:v>Deadline h</x:v>
      </x:c>
      <x:c r="F7" s="16" t="str">
        <x:v>Road</x:v>
      </x:c>
      <x:c r="G7" s="16" t="str">
        <x:v>Rail</x:v>
      </x:c>
      <x:c r="H7" s="16" t="str">
        <x:v>Water</x:v>
      </x:c>
      <x:c r="I7" s="16" t="str">
        <x:v>Anchor</x:v>
      </x:c>
      <x:c r="J7" s="16" t="str">
        <x:v>Terminal</x:v>
      </x:c>
      <x:c r="K7" s="16" t="str">
        <x:v>Site limit m²</x:v>
      </x:c>
      <x:c r="L7" s="16" t="str">
        <x:v>Stand-off m</x:v>
      </x:c>
      <x:c r="M7" s="16" t="str">
        <x:v>Wet/soft</x:v>
      </x:c>
      <x:c r="N7" s="16" t="str">
        <x:v>Flood</x:v>
      </x:c>
      <x:c r="O7" s="16" t="str">
        <x:v>Quiet dBA</x:v>
      </x:c>
      <x:c r="P7" s="16" t="str">
        <x:v>Exhaust m</x:v>
      </x:c>
      <x:c r="Q7" s="16" t="str">
        <x:v>Crew factor</x:v>
      </x:c>
      <x:c r="R7" s="16" t="str">
        <x:v>Reset days</x:v>
      </x:c>
      <x:c r="S7" s="16" t="str">
        <x:v>Thermal compound</x:v>
      </x:c>
      <x:c r="T7" s="16" t="str">
        <x:v>Dry rejection</x:v>
      </x:c>
      <x:c r="U7" s="17" t="str">
        <x:v>Largest packet loss</x:v>
      </x:c>
      <x:c r="V7" s="2"/>
      <x:c r="W7" s="2"/>
      <x:c r="X7" s="2"/>
      <x:c r="Y7" s="2"/>
      <x:c r="Z7" s="2"/>
    </x:row>
    <x:row r="8" ht="34" customHeight="1">
      <x:c r="A8" s="2"/>
      <x:c r="B8" s="2" t="str">
        <x:v>W0</x:v>
      </x:c>
      <x:c r="C8" s="29" t="str">
        <x:v>base seven-day configured cell</x:v>
      </x:c>
      <x:c r="D8" s="33" t="n">
        <x:v>1</x:v>
      </x:c>
      <x:c r="E8" s="2" t="n">
        <x:v>168</x:v>
      </x:c>
      <x:c r="F8" s="36" t="n">
        <x:v>1</x:v>
      </x:c>
      <x:c r="G8" s="36" t="n">
        <x:v>1</x:v>
      </x:c>
      <x:c r="H8" s="36" t="n">
        <x:v>1</x:v>
      </x:c>
      <x:c r="I8" s="36" t="n">
        <x:v>1</x:v>
      </x:c>
      <x:c r="J8" s="36" t="n">
        <x:v>1</x:v>
      </x:c>
      <x:c r="K8" s="2" t="n">
        <x:v>0</x:v>
      </x:c>
      <x:c r="L8" s="2" t="n">
        <x:v>0</x:v>
      </x:c>
      <x:c r="M8" s="2" t="n">
        <x:v>0</x:v>
      </x:c>
      <x:c r="N8" s="2" t="n">
        <x:v>0</x:v>
      </x:c>
      <x:c r="O8" s="2" t="n">
        <x:v>0</x:v>
      </x:c>
      <x:c r="P8" s="2" t="n">
        <x:v>0</x:v>
      </x:c>
      <x:c r="Q8" s="30" t="n">
        <x:v>1</x:v>
      </x:c>
      <x:c r="R8" s="2" t="n">
        <x:v>99</x:v>
      </x:c>
      <x:c r="S8" s="2" t="n">
        <x:v>0</x:v>
      </x:c>
      <x:c r="T8" s="2" t="n">
        <x:v>0</x:v>
      </x:c>
      <x:c r="U8" s="2" t="n">
        <x:v>0</x:v>
      </x:c>
      <x:c r="V8" s="2"/>
      <x:c r="W8" s="2"/>
      <x:c r="X8" s="2"/>
      <x:c r="Y8" s="2"/>
      <x:c r="Z8" s="2"/>
    </x:row>
    <x:row r="9" ht="34" customHeight="1">
      <x:c r="A9" s="2"/>
      <x:c r="B9" s="2" t="str">
        <x:v>W1</x:v>
      </x:c>
      <x:c r="C9" s="29" t="str">
        <x:v>protected service by hour 24</x:v>
      </x:c>
      <x:c r="D9" s="33" t="n">
        <x:v>0.4</x:v>
      </x:c>
      <x:c r="E9" s="2" t="n">
        <x:v>24</x:v>
      </x:c>
      <x:c r="F9" s="36" t="n">
        <x:v>1</x:v>
      </x:c>
      <x:c r="G9" s="36" t="n">
        <x:v>1</x:v>
      </x:c>
      <x:c r="H9" s="36" t="n">
        <x:v>1</x:v>
      </x:c>
      <x:c r="I9" s="36" t="n">
        <x:v>1</x:v>
      </x:c>
      <x:c r="J9" s="36" t="n">
        <x:v>1</x:v>
      </x:c>
      <x:c r="K9" s="2" t="n">
        <x:v>0</x:v>
      </x:c>
      <x:c r="L9" s="2" t="n">
        <x:v>0</x:v>
      </x:c>
      <x:c r="M9" s="2" t="n">
        <x:v>0</x:v>
      </x:c>
      <x:c r="N9" s="2" t="n">
        <x:v>0</x:v>
      </x:c>
      <x:c r="O9" s="2" t="n">
        <x:v>0</x:v>
      </x:c>
      <x:c r="P9" s="2" t="n">
        <x:v>0</x:v>
      </x:c>
      <x:c r="Q9" s="30" t="n">
        <x:v>1</x:v>
      </x:c>
      <x:c r="R9" s="2" t="n">
        <x:v>99</x:v>
      </x:c>
      <x:c r="S9" s="2" t="n">
        <x:v>0</x:v>
      </x:c>
      <x:c r="T9" s="2" t="n">
        <x:v>0</x:v>
      </x:c>
      <x:c r="U9" s="2" t="n">
        <x:v>0</x:v>
      </x:c>
      <x:c r="V9" s="2"/>
      <x:c r="W9" s="2"/>
      <x:c r="X9" s="2"/>
      <x:c r="Y9" s="2"/>
      <x:c r="Z9" s="2"/>
    </x:row>
    <x:row r="10" ht="34" customHeight="1">
      <x:c r="A10" s="2"/>
      <x:c r="B10" s="2" t="str">
        <x:v>W2</x:v>
      </x:c>
      <x:c r="C10" s="29" t="str">
        <x:v>complete service by hour 48</x:v>
      </x:c>
      <x:c r="D10" s="33" t="n">
        <x:v>1</x:v>
      </x:c>
      <x:c r="E10" s="2" t="n">
        <x:v>48</x:v>
      </x:c>
      <x:c r="F10" s="36" t="n">
        <x:v>1</x:v>
      </x:c>
      <x:c r="G10" s="36" t="n">
        <x:v>1</x:v>
      </x:c>
      <x:c r="H10" s="36" t="n">
        <x:v>1</x:v>
      </x:c>
      <x:c r="I10" s="36" t="n">
        <x:v>1</x:v>
      </x:c>
      <x:c r="J10" s="36" t="n">
        <x:v>1</x:v>
      </x:c>
      <x:c r="K10" s="2" t="n">
        <x:v>0</x:v>
      </x:c>
      <x:c r="L10" s="2" t="n">
        <x:v>0</x:v>
      </x:c>
      <x:c r="M10" s="2" t="n">
        <x:v>0</x:v>
      </x:c>
      <x:c r="N10" s="2" t="n">
        <x:v>0</x:v>
      </x:c>
      <x:c r="O10" s="2" t="n">
        <x:v>0</x:v>
      </x:c>
      <x:c r="P10" s="2" t="n">
        <x:v>0</x:v>
      </x:c>
      <x:c r="Q10" s="30" t="n">
        <x:v>1</x:v>
      </x:c>
      <x:c r="R10" s="2" t="n">
        <x:v>99</x:v>
      </x:c>
      <x:c r="S10" s="2" t="n">
        <x:v>0</x:v>
      </x:c>
      <x:c r="T10" s="2" t="n">
        <x:v>0</x:v>
      </x:c>
      <x:c r="U10" s="2" t="n">
        <x:v>0</x:v>
      </x:c>
      <x:c r="V10" s="2"/>
      <x:c r="W10" s="2"/>
      <x:c r="X10" s="2"/>
      <x:c r="Y10" s="2"/>
      <x:c r="Z10" s="2"/>
    </x:row>
    <x:row r="11" ht="34" customHeight="1">
      <x:c r="A11" s="2"/>
      <x:c r="B11" s="2" t="str">
        <x:v>W3</x:v>
      </x:c>
      <x:c r="C11" s="29" t="str">
        <x:v>road access denied</x:v>
      </x:c>
      <x:c r="D11" s="33" t="n">
        <x:v>0.4</x:v>
      </x:c>
      <x:c r="E11" s="2" t="n">
        <x:v>48</x:v>
      </x:c>
      <x:c r="F11" s="36" t="n">
        <x:v>0</x:v>
      </x:c>
      <x:c r="G11" s="36" t="n">
        <x:v>1</x:v>
      </x:c>
      <x:c r="H11" s="36" t="n">
        <x:v>1</x:v>
      </x:c>
      <x:c r="I11" s="36" t="n">
        <x:v>1</x:v>
      </x:c>
      <x:c r="J11" s="36" t="n">
        <x:v>1</x:v>
      </x:c>
      <x:c r="K11" s="2" t="n">
        <x:v>0</x:v>
      </x:c>
      <x:c r="L11" s="2" t="n">
        <x:v>0</x:v>
      </x:c>
      <x:c r="M11" s="2" t="n">
        <x:v>0</x:v>
      </x:c>
      <x:c r="N11" s="2" t="n">
        <x:v>0</x:v>
      </x:c>
      <x:c r="O11" s="2" t="n">
        <x:v>0</x:v>
      </x:c>
      <x:c r="P11" s="2" t="n">
        <x:v>0</x:v>
      </x:c>
      <x:c r="Q11" s="30" t="n">
        <x:v>1</x:v>
      </x:c>
      <x:c r="R11" s="2" t="n">
        <x:v>99</x:v>
      </x:c>
      <x:c r="S11" s="2" t="n">
        <x:v>0</x:v>
      </x:c>
      <x:c r="T11" s="2" t="n">
        <x:v>0</x:v>
      </x:c>
      <x:c r="U11" s="2" t="n">
        <x:v>0</x:v>
      </x:c>
      <x:c r="V11" s="2"/>
      <x:c r="W11" s="2"/>
      <x:c r="X11" s="2"/>
      <x:c r="Y11" s="2"/>
      <x:c r="Z11" s="2"/>
    </x:row>
    <x:row r="12" ht="34" customHeight="1">
      <x:c r="A12" s="2"/>
      <x:c r="B12" s="2" t="str">
        <x:v>W4</x:v>
      </x:c>
      <x:c r="C12" s="29" t="str">
        <x:v>rail access denied</x:v>
      </x:c>
      <x:c r="D12" s="33" t="n">
        <x:v>0.4</x:v>
      </x:c>
      <x:c r="E12" s="2" t="n">
        <x:v>48</x:v>
      </x:c>
      <x:c r="F12" s="36" t="n">
        <x:v>1</x:v>
      </x:c>
      <x:c r="G12" s="36" t="n">
        <x:v>0</x:v>
      </x:c>
      <x:c r="H12" s="36" t="n">
        <x:v>1</x:v>
      </x:c>
      <x:c r="I12" s="36" t="n">
        <x:v>1</x:v>
      </x:c>
      <x:c r="J12" s="36" t="n">
        <x:v>1</x:v>
      </x:c>
      <x:c r="K12" s="2" t="n">
        <x:v>0</x:v>
      </x:c>
      <x:c r="L12" s="2" t="n">
        <x:v>0</x:v>
      </x:c>
      <x:c r="M12" s="2" t="n">
        <x:v>0</x:v>
      </x:c>
      <x:c r="N12" s="2" t="n">
        <x:v>0</x:v>
      </x:c>
      <x:c r="O12" s="2" t="n">
        <x:v>0</x:v>
      </x:c>
      <x:c r="P12" s="2" t="n">
        <x:v>0</x:v>
      </x:c>
      <x:c r="Q12" s="30" t="n">
        <x:v>1</x:v>
      </x:c>
      <x:c r="R12" s="2" t="n">
        <x:v>99</x:v>
      </x:c>
      <x:c r="S12" s="2" t="n">
        <x:v>0</x:v>
      </x:c>
      <x:c r="T12" s="2" t="n">
        <x:v>0</x:v>
      </x:c>
      <x:c r="U12" s="2" t="n">
        <x:v>0</x:v>
      </x:c>
      <x:c r="V12" s="2"/>
      <x:c r="W12" s="2"/>
      <x:c r="X12" s="2"/>
      <x:c r="Y12" s="2"/>
      <x:c r="Z12" s="2"/>
    </x:row>
    <x:row r="13" ht="34" customHeight="1">
      <x:c r="A13" s="2"/>
      <x:c r="B13" s="2" t="str">
        <x:v>W5</x:v>
      </x:c>
      <x:c r="C13" s="29" t="str">
        <x:v>navigable water access denied</x:v>
      </x:c>
      <x:c r="D13" s="33" t="n">
        <x:v>0.4</x:v>
      </x:c>
      <x:c r="E13" s="2" t="n">
        <x:v>48</x:v>
      </x:c>
      <x:c r="F13" s="36" t="n">
        <x:v>1</x:v>
      </x:c>
      <x:c r="G13" s="36" t="n">
        <x:v>1</x:v>
      </x:c>
      <x:c r="H13" s="36" t="n">
        <x:v>0</x:v>
      </x:c>
      <x:c r="I13" s="36" t="n">
        <x:v>1</x:v>
      </x:c>
      <x:c r="J13" s="36" t="n">
        <x:v>1</x:v>
      </x:c>
      <x:c r="K13" s="2" t="n">
        <x:v>0</x:v>
      </x:c>
      <x:c r="L13" s="2" t="n">
        <x:v>0</x:v>
      </x:c>
      <x:c r="M13" s="2" t="n">
        <x:v>0</x:v>
      </x:c>
      <x:c r="N13" s="2" t="n">
        <x:v>0</x:v>
      </x:c>
      <x:c r="O13" s="2" t="n">
        <x:v>0</x:v>
      </x:c>
      <x:c r="P13" s="2" t="n">
        <x:v>0</x:v>
      </x:c>
      <x:c r="Q13" s="30" t="n">
        <x:v>1</x:v>
      </x:c>
      <x:c r="R13" s="2" t="n">
        <x:v>99</x:v>
      </x:c>
      <x:c r="S13" s="2" t="n">
        <x:v>0</x:v>
      </x:c>
      <x:c r="T13" s="2" t="n">
        <x:v>0</x:v>
      </x:c>
      <x:c r="U13" s="2" t="n">
        <x:v>0</x:v>
      </x:c>
      <x:c r="V13" s="2"/>
      <x:c r="W13" s="2"/>
      <x:c r="X13" s="2"/>
      <x:c r="Y13" s="2"/>
      <x:c r="Z13" s="2"/>
    </x:row>
    <x:row r="14" ht="34" customHeight="1">
      <x:c r="A14" s="2"/>
      <x:c r="B14" s="2" t="str">
        <x:v>W6</x:v>
      </x:c>
      <x:c r="C14" s="29" t="str">
        <x:v>prepared anchor lost</x:v>
      </x:c>
      <x:c r="D14" s="33" t="n">
        <x:v>0.4</x:v>
      </x:c>
      <x:c r="E14" s="2" t="n">
        <x:v>48</x:v>
      </x:c>
      <x:c r="F14" s="36" t="n">
        <x:v>1</x:v>
      </x:c>
      <x:c r="G14" s="36" t="n">
        <x:v>1</x:v>
      </x:c>
      <x:c r="H14" s="36" t="n">
        <x:v>1</x:v>
      </x:c>
      <x:c r="I14" s="36" t="n">
        <x:v>0</x:v>
      </x:c>
      <x:c r="J14" s="36" t="n">
        <x:v>1</x:v>
      </x:c>
      <x:c r="K14" s="2" t="n">
        <x:v>0</x:v>
      </x:c>
      <x:c r="L14" s="2" t="n">
        <x:v>0</x:v>
      </x:c>
      <x:c r="M14" s="2" t="n">
        <x:v>0</x:v>
      </x:c>
      <x:c r="N14" s="2" t="n">
        <x:v>0</x:v>
      </x:c>
      <x:c r="O14" s="2" t="n">
        <x:v>0</x:v>
      </x:c>
      <x:c r="P14" s="2" t="n">
        <x:v>0</x:v>
      </x:c>
      <x:c r="Q14" s="30" t="n">
        <x:v>1</x:v>
      </x:c>
      <x:c r="R14" s="2" t="n">
        <x:v>99</x:v>
      </x:c>
      <x:c r="S14" s="2" t="n">
        <x:v>0</x:v>
      </x:c>
      <x:c r="T14" s="2" t="n">
        <x:v>0</x:v>
      </x:c>
      <x:c r="U14" s="2" t="n">
        <x:v>0</x:v>
      </x:c>
      <x:c r="V14" s="2"/>
      <x:c r="W14" s="2"/>
      <x:c r="X14" s="2"/>
      <x:c r="Y14" s="2"/>
      <x:c r="Z14" s="2"/>
    </x:row>
    <x:row r="15" ht="34" customHeight="1">
      <x:c r="A15" s="2"/>
      <x:c r="B15" s="2" t="str">
        <x:v>W7</x:v>
      </x:c>
      <x:c r="C15" s="29" t="str">
        <x:v>siding, pier and terminal unavailable</x:v>
      </x:c>
      <x:c r="D15" s="33" t="n">
        <x:v>0.4</x:v>
      </x:c>
      <x:c r="E15" s="2" t="n">
        <x:v>48</x:v>
      </x:c>
      <x:c r="F15" s="36" t="n">
        <x:v>1</x:v>
      </x:c>
      <x:c r="G15" s="36" t="n">
        <x:v>1</x:v>
      </x:c>
      <x:c r="H15" s="36" t="n">
        <x:v>1</x:v>
      </x:c>
      <x:c r="I15" s="36" t="n">
        <x:v>1</x:v>
      </x:c>
      <x:c r="J15" s="36" t="n">
        <x:v>0</x:v>
      </x:c>
      <x:c r="K15" s="2" t="n">
        <x:v>0</x:v>
      </x:c>
      <x:c r="L15" s="2" t="n">
        <x:v>0</x:v>
      </x:c>
      <x:c r="M15" s="2" t="n">
        <x:v>0</x:v>
      </x:c>
      <x:c r="N15" s="2" t="n">
        <x:v>0</x:v>
      </x:c>
      <x:c r="O15" s="2" t="n">
        <x:v>0</x:v>
      </x:c>
      <x:c r="P15" s="2" t="n">
        <x:v>0</x:v>
      </x:c>
      <x:c r="Q15" s="30" t="n">
        <x:v>1</x:v>
      </x:c>
      <x:c r="R15" s="2" t="n">
        <x:v>99</x:v>
      </x:c>
      <x:c r="S15" s="2" t="n">
        <x:v>0</x:v>
      </x:c>
      <x:c r="T15" s="2" t="n">
        <x:v>0</x:v>
      </x:c>
      <x:c r="U15" s="2" t="n">
        <x:v>0</x:v>
      </x:c>
      <x:c r="V15" s="2"/>
      <x:c r="W15" s="2"/>
      <x:c r="X15" s="2"/>
      <x:c r="Y15" s="2"/>
      <x:c r="Z15" s="2"/>
    </x:row>
    <x:row r="16" ht="34" customHeight="1">
      <x:c r="A16" s="2"/>
      <x:c r="B16" s="2" t="str">
        <x:v>W8</x:v>
      </x:c>
      <x:c r="C16" s="29" t="str">
        <x:v>landlocked full-service receiver</x:v>
      </x:c>
      <x:c r="D16" s="33" t="n">
        <x:v>1</x:v>
      </x:c>
      <x:c r="E16" s="2" t="n">
        <x:v>48</x:v>
      </x:c>
      <x:c r="F16" s="36" t="n">
        <x:v>1</x:v>
      </x:c>
      <x:c r="G16" s="36" t="n">
        <x:v>1</x:v>
      </x:c>
      <x:c r="H16" s="36" t="n">
        <x:v>0</x:v>
      </x:c>
      <x:c r="I16" s="36" t="n">
        <x:v>1</x:v>
      </x:c>
      <x:c r="J16" s="36" t="n">
        <x:v>1</x:v>
      </x:c>
      <x:c r="K16" s="2" t="n">
        <x:v>0</x:v>
      </x:c>
      <x:c r="L16" s="2" t="n">
        <x:v>0</x:v>
      </x:c>
      <x:c r="M16" s="2" t="n">
        <x:v>0</x:v>
      </x:c>
      <x:c r="N16" s="2" t="n">
        <x:v>0</x:v>
      </x:c>
      <x:c r="O16" s="2" t="n">
        <x:v>0</x:v>
      </x:c>
      <x:c r="P16" s="2" t="n">
        <x:v>0</x:v>
      </x:c>
      <x:c r="Q16" s="30" t="n">
        <x:v>1</x:v>
      </x:c>
      <x:c r="R16" s="2" t="n">
        <x:v>99</x:v>
      </x:c>
      <x:c r="S16" s="2" t="n">
        <x:v>0</x:v>
      </x:c>
      <x:c r="T16" s="2" t="n">
        <x:v>0</x:v>
      </x:c>
      <x:c r="U16" s="2" t="n">
        <x:v>0</x:v>
      </x:c>
      <x:c r="V16" s="2"/>
      <x:c r="W16" s="2"/>
      <x:c r="X16" s="2"/>
      <x:c r="Y16" s="2"/>
      <x:c r="Z16" s="2"/>
    </x:row>
    <x:row r="17" ht="34" customHeight="1">
      <x:c r="A17" s="2"/>
      <x:c r="B17" s="2" t="str">
        <x:v>W9</x:v>
      </x:c>
      <x:c r="C17" s="29" t="str">
        <x:v>rail-free full-service receiver</x:v>
      </x:c>
      <x:c r="D17" s="33" t="n">
        <x:v>1</x:v>
      </x:c>
      <x:c r="E17" s="2" t="n">
        <x:v>48</x:v>
      </x:c>
      <x:c r="F17" s="36" t="n">
        <x:v>1</x:v>
      </x:c>
      <x:c r="G17" s="36" t="n">
        <x:v>0</x:v>
      </x:c>
      <x:c r="H17" s="36" t="n">
        <x:v>1</x:v>
      </x:c>
      <x:c r="I17" s="36" t="n">
        <x:v>1</x:v>
      </x:c>
      <x:c r="J17" s="36" t="n">
        <x:v>1</x:v>
      </x:c>
      <x:c r="K17" s="2" t="n">
        <x:v>0</x:v>
      </x:c>
      <x:c r="L17" s="2" t="n">
        <x:v>0</x:v>
      </x:c>
      <x:c r="M17" s="2" t="n">
        <x:v>0</x:v>
      </x:c>
      <x:c r="N17" s="2" t="n">
        <x:v>0</x:v>
      </x:c>
      <x:c r="O17" s="2" t="n">
        <x:v>0</x:v>
      </x:c>
      <x:c r="P17" s="2" t="n">
        <x:v>0</x:v>
      </x:c>
      <x:c r="Q17" s="30" t="n">
        <x:v>1</x:v>
      </x:c>
      <x:c r="R17" s="2" t="n">
        <x:v>99</x:v>
      </x:c>
      <x:c r="S17" s="2" t="n">
        <x:v>0</x:v>
      </x:c>
      <x:c r="T17" s="2" t="n">
        <x:v>0</x:v>
      </x:c>
      <x:c r="U17" s="2" t="n">
        <x:v>0</x:v>
      </x:c>
      <x:c r="V17" s="2"/>
      <x:c r="W17" s="2"/>
      <x:c r="X17" s="2"/>
      <x:c r="Y17" s="2"/>
      <x:c r="Z17" s="2"/>
    </x:row>
    <x:row r="18" ht="34" customHeight="1">
      <x:c r="A18" s="2"/>
      <x:c r="B18" s="2" t="str">
        <x:v>W10</x:v>
      </x:c>
      <x:c r="C18" s="29" t="str">
        <x:v>unprepared full-service receiver</x:v>
      </x:c>
      <x:c r="D18" s="33" t="n">
        <x:v>1</x:v>
      </x:c>
      <x:c r="E18" s="2" t="n">
        <x:v>48</x:v>
      </x:c>
      <x:c r="F18" s="36" t="n">
        <x:v>1</x:v>
      </x:c>
      <x:c r="G18" s="36" t="n">
        <x:v>1</x:v>
      </x:c>
      <x:c r="H18" s="36" t="n">
        <x:v>1</x:v>
      </x:c>
      <x:c r="I18" s="36" t="n">
        <x:v>0</x:v>
      </x:c>
      <x:c r="J18" s="36" t="n">
        <x:v>1</x:v>
      </x:c>
      <x:c r="K18" s="2" t="n">
        <x:v>0</x:v>
      </x:c>
      <x:c r="L18" s="2" t="n">
        <x:v>0</x:v>
      </x:c>
      <x:c r="M18" s="2" t="n">
        <x:v>0</x:v>
      </x:c>
      <x:c r="N18" s="2" t="n">
        <x:v>0</x:v>
      </x:c>
      <x:c r="O18" s="2" t="n">
        <x:v>0</x:v>
      </x:c>
      <x:c r="P18" s="2" t="n">
        <x:v>0</x:v>
      </x:c>
      <x:c r="Q18" s="30" t="n">
        <x:v>1</x:v>
      </x:c>
      <x:c r="R18" s="2" t="n">
        <x:v>99</x:v>
      </x:c>
      <x:c r="S18" s="2" t="n">
        <x:v>0</x:v>
      </x:c>
      <x:c r="T18" s="2" t="n">
        <x:v>0</x:v>
      </x:c>
      <x:c r="U18" s="2" t="n">
        <x:v>0</x:v>
      </x:c>
      <x:c r="V18" s="2"/>
      <x:c r="W18" s="2"/>
      <x:c r="X18" s="2"/>
      <x:c r="Y18" s="2"/>
      <x:c r="Z18" s="2"/>
    </x:row>
    <x:row r="19" ht="34" customHeight="1">
      <x:c r="A19" s="2"/>
      <x:c r="B19" s="2" t="str">
        <x:v>W11</x:v>
      </x:c>
      <x:c r="C19" s="29" t="str">
        <x:v>five-thousand-square-metre occupied site</x:v>
      </x:c>
      <x:c r="D19" s="33" t="n">
        <x:v>1</x:v>
      </x:c>
      <x:c r="E19" s="2" t="n">
        <x:v>48</x:v>
      </x:c>
      <x:c r="F19" s="36" t="n">
        <x:v>1</x:v>
      </x:c>
      <x:c r="G19" s="36" t="n">
        <x:v>1</x:v>
      </x:c>
      <x:c r="H19" s="36" t="n">
        <x:v>1</x:v>
      </x:c>
      <x:c r="I19" s="36" t="n">
        <x:v>1</x:v>
      </x:c>
      <x:c r="J19" s="36" t="n">
        <x:v>1</x:v>
      </x:c>
      <x:c r="K19" s="2" t="n">
        <x:v>5000</x:v>
      </x:c>
      <x:c r="L19" s="2" t="n">
        <x:v>0</x:v>
      </x:c>
      <x:c r="M19" s="2" t="n">
        <x:v>0</x:v>
      </x:c>
      <x:c r="N19" s="2" t="n">
        <x:v>0</x:v>
      </x:c>
      <x:c r="O19" s="2" t="n">
        <x:v>0</x:v>
      </x:c>
      <x:c r="P19" s="2" t="n">
        <x:v>0</x:v>
      </x:c>
      <x:c r="Q19" s="30" t="n">
        <x:v>1</x:v>
      </x:c>
      <x:c r="R19" s="2" t="n">
        <x:v>99</x:v>
      </x:c>
      <x:c r="S19" s="2" t="n">
        <x:v>0</x:v>
      </x:c>
      <x:c r="T19" s="2" t="n">
        <x:v>0</x:v>
      </x:c>
      <x:c r="U19" s="2" t="n">
        <x:v>0</x:v>
      </x:c>
      <x:c r="V19" s="2"/>
      <x:c r="W19" s="2"/>
      <x:c r="X19" s="2"/>
      <x:c r="Y19" s="2"/>
      <x:c r="Z19" s="2"/>
    </x:row>
    <x:row r="20" ht="34" customHeight="1">
      <x:c r="A20" s="2"/>
      <x:c r="B20" s="2" t="str">
        <x:v>W12</x:v>
      </x:c>
      <x:c r="C20" s="29" t="str">
        <x:v>six-hundred-metre damaged-building stand-off</x:v>
      </x:c>
      <x:c r="D20" s="33" t="n">
        <x:v>1</x:v>
      </x:c>
      <x:c r="E20" s="2" t="n">
        <x:v>48</x:v>
      </x:c>
      <x:c r="F20" s="36" t="n">
        <x:v>1</x:v>
      </x:c>
      <x:c r="G20" s="36" t="n">
        <x:v>1</x:v>
      </x:c>
      <x:c r="H20" s="36" t="n">
        <x:v>1</x:v>
      </x:c>
      <x:c r="I20" s="36" t="n">
        <x:v>1</x:v>
      </x:c>
      <x:c r="J20" s="36" t="n">
        <x:v>1</x:v>
      </x:c>
      <x:c r="K20" s="2" t="n">
        <x:v>0</x:v>
      </x:c>
      <x:c r="L20" s="2" t="n">
        <x:v>600</x:v>
      </x:c>
      <x:c r="M20" s="2" t="n">
        <x:v>0</x:v>
      </x:c>
      <x:c r="N20" s="2" t="n">
        <x:v>0</x:v>
      </x:c>
      <x:c r="O20" s="2" t="n">
        <x:v>0</x:v>
      </x:c>
      <x:c r="P20" s="2" t="n">
        <x:v>0</x:v>
      </x:c>
      <x:c r="Q20" s="30" t="n">
        <x:v>1</x:v>
      </x:c>
      <x:c r="R20" s="2" t="n">
        <x:v>99</x:v>
      </x:c>
      <x:c r="S20" s="2" t="n">
        <x:v>0</x:v>
      </x:c>
      <x:c r="T20" s="2" t="n">
        <x:v>0</x:v>
      </x:c>
      <x:c r="U20" s="2" t="n">
        <x:v>0</x:v>
      </x:c>
      <x:c r="V20" s="2"/>
      <x:c r="W20" s="2"/>
      <x:c r="X20" s="2"/>
      <x:c r="Y20" s="2"/>
      <x:c r="Z20" s="2"/>
    </x:row>
    <x:row r="21" ht="34" customHeight="1">
      <x:c r="A21" s="2"/>
      <x:c r="B21" s="2" t="str">
        <x:v>W13</x:v>
      </x:c>
      <x:c r="C21" s="29" t="str">
        <x:v>wet and soft ground</x:v>
      </x:c>
      <x:c r="D21" s="33" t="n">
        <x:v>0.4</x:v>
      </x:c>
      <x:c r="E21" s="2" t="n">
        <x:v>48</x:v>
      </x:c>
      <x:c r="F21" s="36" t="n">
        <x:v>1</x:v>
      </x:c>
      <x:c r="G21" s="36" t="n">
        <x:v>1</x:v>
      </x:c>
      <x:c r="H21" s="36" t="n">
        <x:v>1</x:v>
      </x:c>
      <x:c r="I21" s="36" t="n">
        <x:v>1</x:v>
      </x:c>
      <x:c r="J21" s="36" t="n">
        <x:v>1</x:v>
      </x:c>
      <x:c r="K21" s="2" t="n">
        <x:v>0</x:v>
      </x:c>
      <x:c r="L21" s="2" t="n">
        <x:v>0</x:v>
      </x:c>
      <x:c r="M21" s="2" t="n">
        <x:v>1</x:v>
      </x:c>
      <x:c r="N21" s="2" t="n">
        <x:v>0</x:v>
      </x:c>
      <x:c r="O21" s="2" t="n">
        <x:v>0</x:v>
      </x:c>
      <x:c r="P21" s="2" t="n">
        <x:v>0</x:v>
      </x:c>
      <x:c r="Q21" s="30" t="n">
        <x:v>1</x:v>
      </x:c>
      <x:c r="R21" s="2" t="n">
        <x:v>99</x:v>
      </x:c>
      <x:c r="S21" s="2" t="n">
        <x:v>0</x:v>
      </x:c>
      <x:c r="T21" s="2" t="n">
        <x:v>0</x:v>
      </x:c>
      <x:c r="U21" s="2" t="n">
        <x:v>0</x:v>
      </x:c>
      <x:c r="V21" s="2"/>
      <x:c r="W21" s="2"/>
      <x:c r="X21" s="2"/>
      <x:c r="Y21" s="2"/>
      <x:c r="Z21" s="2"/>
    </x:row>
    <x:row r="22" ht="34" customHeight="1">
      <x:c r="A22" s="2"/>
      <x:c r="B22" s="2" t="str">
        <x:v>W14</x:v>
      </x:c>
      <x:c r="C22" s="29" t="str">
        <x:v>0.6-metre flood at receiver</x:v>
      </x:c>
      <x:c r="D22" s="33" t="n">
        <x:v>0.4</x:v>
      </x:c>
      <x:c r="E22" s="2" t="n">
        <x:v>48</x:v>
      </x:c>
      <x:c r="F22" s="36" t="n">
        <x:v>1</x:v>
      </x:c>
      <x:c r="G22" s="36" t="n">
        <x:v>1</x:v>
      </x:c>
      <x:c r="H22" s="36" t="n">
        <x:v>1</x:v>
      </x:c>
      <x:c r="I22" s="36" t="n">
        <x:v>1</x:v>
      </x:c>
      <x:c r="J22" s="36" t="n">
        <x:v>1</x:v>
      </x:c>
      <x:c r="K22" s="2" t="n">
        <x:v>0</x:v>
      </x:c>
      <x:c r="L22" s="2" t="n">
        <x:v>0</x:v>
      </x:c>
      <x:c r="M22" s="2" t="n">
        <x:v>0</x:v>
      </x:c>
      <x:c r="N22" s="2" t="n">
        <x:v>1</x:v>
      </x:c>
      <x:c r="O22" s="2" t="n">
        <x:v>0</x:v>
      </x:c>
      <x:c r="P22" s="2" t="n">
        <x:v>0</x:v>
      </x:c>
      <x:c r="Q22" s="30" t="n">
        <x:v>1</x:v>
      </x:c>
      <x:c r="R22" s="2" t="n">
        <x:v>99</x:v>
      </x:c>
      <x:c r="S22" s="2" t="n">
        <x:v>0</x:v>
      </x:c>
      <x:c r="T22" s="2" t="n">
        <x:v>0</x:v>
      </x:c>
      <x:c r="U22" s="2" t="n">
        <x:v>0</x:v>
      </x:c>
      <x:c r="V22" s="2"/>
      <x:c r="W22" s="2"/>
      <x:c r="X22" s="2"/>
      <x:c r="Y22" s="2"/>
      <x:c r="Z22" s="2"/>
    </x:row>
    <x:row r="23" ht="34" customHeight="1">
      <x:c r="A23" s="2"/>
      <x:c r="B23" s="2" t="str">
        <x:v>W15</x:v>
      </x:c>
      <x:c r="C23" s="29" t="str">
        <x:v>50°C, smoke and largest rejection train lost</x:v>
      </x:c>
      <x:c r="D23" s="33" t="n">
        <x:v>1</x:v>
      </x:c>
      <x:c r="E23" s="2" t="n">
        <x:v>48</x:v>
      </x:c>
      <x:c r="F23" s="36" t="n">
        <x:v>1</x:v>
      </x:c>
      <x:c r="G23" s="36" t="n">
        <x:v>1</x:v>
      </x:c>
      <x:c r="H23" s="36" t="n">
        <x:v>1</x:v>
      </x:c>
      <x:c r="I23" s="36" t="n">
        <x:v>1</x:v>
      </x:c>
      <x:c r="J23" s="36" t="n">
        <x:v>1</x:v>
      </x:c>
      <x:c r="K23" s="2" t="n">
        <x:v>0</x:v>
      </x:c>
      <x:c r="L23" s="2" t="n">
        <x:v>0</x:v>
      </x:c>
      <x:c r="M23" s="2" t="n">
        <x:v>0</x:v>
      </x:c>
      <x:c r="N23" s="2" t="n">
        <x:v>0</x:v>
      </x:c>
      <x:c r="O23" s="2" t="n">
        <x:v>0</x:v>
      </x:c>
      <x:c r="P23" s="2" t="n">
        <x:v>0</x:v>
      </x:c>
      <x:c r="Q23" s="30" t="n">
        <x:v>1</x:v>
      </x:c>
      <x:c r="R23" s="2" t="n">
        <x:v>99</x:v>
      </x:c>
      <x:c r="S23" s="2" t="n">
        <x:v>1</x:v>
      </x:c>
      <x:c r="T23" s="2" t="n">
        <x:v>0</x:v>
      </x:c>
      <x:c r="U23" s="2" t="n">
        <x:v>0</x:v>
      </x:c>
      <x:c r="V23" s="2"/>
      <x:c r="W23" s="2"/>
      <x:c r="X23" s="2"/>
      <x:c r="Y23" s="2"/>
      <x:c r="Z23" s="2"/>
    </x:row>
    <x:row r="24" ht="34" customHeight="1">
      <x:c r="A24" s="2"/>
      <x:c r="B24" s="2" t="str">
        <x:v>W16</x:v>
      </x:c>
      <x:c r="C24" s="29" t="str">
        <x:v>heat-rejection water unavailable</x:v>
      </x:c>
      <x:c r="D24" s="33" t="n">
        <x:v>1</x:v>
      </x:c>
      <x:c r="E24" s="2" t="n">
        <x:v>48</x:v>
      </x:c>
      <x:c r="F24" s="36" t="n">
        <x:v>1</x:v>
      </x:c>
      <x:c r="G24" s="36" t="n">
        <x:v>1</x:v>
      </x:c>
      <x:c r="H24" s="36" t="n">
        <x:v>1</x:v>
      </x:c>
      <x:c r="I24" s="36" t="n">
        <x:v>1</x:v>
      </x:c>
      <x:c r="J24" s="36" t="n">
        <x:v>1</x:v>
      </x:c>
      <x:c r="K24" s="2" t="n">
        <x:v>0</x:v>
      </x:c>
      <x:c r="L24" s="2" t="n">
        <x:v>0</x:v>
      </x:c>
      <x:c r="M24" s="2" t="n">
        <x:v>0</x:v>
      </x:c>
      <x:c r="N24" s="2" t="n">
        <x:v>0</x:v>
      </x:c>
      <x:c r="O24" s="2" t="n">
        <x:v>0</x:v>
      </x:c>
      <x:c r="P24" s="2" t="n">
        <x:v>0</x:v>
      </x:c>
      <x:c r="Q24" s="30" t="n">
        <x:v>1</x:v>
      </x:c>
      <x:c r="R24" s="2" t="n">
        <x:v>99</x:v>
      </x:c>
      <x:c r="S24" s="2" t="n">
        <x:v>0</x:v>
      </x:c>
      <x:c r="T24" s="2" t="n">
        <x:v>1</x:v>
      </x:c>
      <x:c r="U24" s="2" t="n">
        <x:v>0</x:v>
      </x:c>
      <x:c r="V24" s="2"/>
      <x:c r="W24" s="2"/>
      <x:c r="X24" s="2"/>
      <x:c r="Y24" s="2"/>
      <x:c r="Z24" s="2"/>
    </x:row>
    <x:row r="25" ht="34" customHeight="1">
      <x:c r="A25" s="2"/>
      <x:c r="B25" s="2" t="str">
        <x:v>W17</x:v>
      </x:c>
      <x:c r="C25" s="29" t="str">
        <x:v>55 dBA public-boundary night operation</x:v>
      </x:c>
      <x:c r="D25" s="33" t="n">
        <x:v>1</x:v>
      </x:c>
      <x:c r="E25" s="2" t="n">
        <x:v>48</x:v>
      </x:c>
      <x:c r="F25" s="36" t="n">
        <x:v>1</x:v>
      </x:c>
      <x:c r="G25" s="36" t="n">
        <x:v>1</x:v>
      </x:c>
      <x:c r="H25" s="36" t="n">
        <x:v>1</x:v>
      </x:c>
      <x:c r="I25" s="36" t="n">
        <x:v>1</x:v>
      </x:c>
      <x:c r="J25" s="36" t="n">
        <x:v>1</x:v>
      </x:c>
      <x:c r="K25" s="2" t="n">
        <x:v>0</x:v>
      </x:c>
      <x:c r="L25" s="2" t="n">
        <x:v>0</x:v>
      </x:c>
      <x:c r="M25" s="2" t="n">
        <x:v>0</x:v>
      </x:c>
      <x:c r="N25" s="2" t="n">
        <x:v>0</x:v>
      </x:c>
      <x:c r="O25" s="2" t="n">
        <x:v>55</x:v>
      </x:c>
      <x:c r="P25" s="2" t="n">
        <x:v>0</x:v>
      </x:c>
      <x:c r="Q25" s="30" t="n">
        <x:v>1</x:v>
      </x:c>
      <x:c r="R25" s="2" t="n">
        <x:v>99</x:v>
      </x:c>
      <x:c r="S25" s="2" t="n">
        <x:v>0</x:v>
      </x:c>
      <x:c r="T25" s="2" t="n">
        <x:v>0</x:v>
      </x:c>
      <x:c r="U25" s="2" t="n">
        <x:v>0</x:v>
      </x:c>
      <x:c r="V25" s="2"/>
      <x:c r="W25" s="2"/>
      <x:c r="X25" s="2"/>
      <x:c r="Y25" s="2"/>
      <x:c r="Z25" s="2"/>
    </x:row>
    <x:row r="26" ht="34" customHeight="1">
      <x:c r="A26" s="2"/>
      <x:c r="B26" s="2" t="str">
        <x:v>W18</x:v>
      </x:c>
      <x:c r="C26" s="29" t="str">
        <x:v>occupied-site exhaust separation</x:v>
      </x:c>
      <x:c r="D26" s="33" t="n">
        <x:v>1</x:v>
      </x:c>
      <x:c r="E26" s="2" t="n">
        <x:v>48</x:v>
      </x:c>
      <x:c r="F26" s="36" t="n">
        <x:v>1</x:v>
      </x:c>
      <x:c r="G26" s="36" t="n">
        <x:v>1</x:v>
      </x:c>
      <x:c r="H26" s="36" t="n">
        <x:v>1</x:v>
      </x:c>
      <x:c r="I26" s="36" t="n">
        <x:v>1</x:v>
      </x:c>
      <x:c r="J26" s="36" t="n">
        <x:v>1</x:v>
      </x:c>
      <x:c r="K26" s="2" t="n">
        <x:v>0</x:v>
      </x:c>
      <x:c r="L26" s="2" t="n">
        <x:v>0</x:v>
      </x:c>
      <x:c r="M26" s="2" t="n">
        <x:v>0</x:v>
      </x:c>
      <x:c r="N26" s="2" t="n">
        <x:v>0</x:v>
      </x:c>
      <x:c r="O26" s="2" t="n">
        <x:v>0</x:v>
      </x:c>
      <x:c r="P26" s="2" t="n">
        <x:v>50</x:v>
      </x:c>
      <x:c r="Q26" s="30" t="n">
        <x:v>1</x:v>
      </x:c>
      <x:c r="R26" s="2" t="n">
        <x:v>99</x:v>
      </x:c>
      <x:c r="S26" s="2" t="n">
        <x:v>0</x:v>
      </x:c>
      <x:c r="T26" s="2" t="n">
        <x:v>0</x:v>
      </x:c>
      <x:c r="U26" s="2" t="n">
        <x:v>0</x:v>
      </x:c>
      <x:c r="V26" s="2"/>
      <x:c r="W26" s="2"/>
      <x:c r="X26" s="2"/>
      <x:c r="Y26" s="2"/>
      <x:c r="Z26" s="2"/>
    </x:row>
    <x:row r="27" ht="34" customHeight="1">
      <x:c r="A27" s="2"/>
      <x:c r="B27" s="2" t="str">
        <x:v>W19</x:v>
      </x:c>
      <x:c r="C27" s="29" t="str">
        <x:v>largest mobile packet unavailable</x:v>
      </x:c>
      <x:c r="D27" s="33" t="n">
        <x:v>0.4</x:v>
      </x:c>
      <x:c r="E27" s="2" t="n">
        <x:v>48</x:v>
      </x:c>
      <x:c r="F27" s="36" t="n">
        <x:v>1</x:v>
      </x:c>
      <x:c r="G27" s="36" t="n">
        <x:v>1</x:v>
      </x:c>
      <x:c r="H27" s="36" t="n">
        <x:v>1</x:v>
      </x:c>
      <x:c r="I27" s="36" t="n">
        <x:v>1</x:v>
      </x:c>
      <x:c r="J27" s="36" t="n">
        <x:v>1</x:v>
      </x:c>
      <x:c r="K27" s="2" t="n">
        <x:v>0</x:v>
      </x:c>
      <x:c r="L27" s="2" t="n">
        <x:v>0</x:v>
      </x:c>
      <x:c r="M27" s="2" t="n">
        <x:v>0</x:v>
      </x:c>
      <x:c r="N27" s="2" t="n">
        <x:v>0</x:v>
      </x:c>
      <x:c r="O27" s="2" t="n">
        <x:v>0</x:v>
      </x:c>
      <x:c r="P27" s="2" t="n">
        <x:v>0</x:v>
      </x:c>
      <x:c r="Q27" s="30" t="n">
        <x:v>1</x:v>
      </x:c>
      <x:c r="R27" s="2" t="n">
        <x:v>99</x:v>
      </x:c>
      <x:c r="S27" s="2" t="n">
        <x:v>0</x:v>
      </x:c>
      <x:c r="T27" s="2" t="n">
        <x:v>0</x:v>
      </x:c>
      <x:c r="U27" s="2" t="n">
        <x:v>1</x:v>
      </x:c>
      <x:c r="V27" s="2"/>
      <x:c r="W27" s="2"/>
      <x:c r="X27" s="2"/>
      <x:c r="Y27" s="2"/>
      <x:c r="Z27" s="2"/>
    </x:row>
    <x:row r="28" ht="34" customHeight="1">
      <x:c r="A28" s="2"/>
      <x:c r="B28" s="2" t="str">
        <x:v>W20</x:v>
      </x:c>
      <x:c r="C28" s="29" t="str">
        <x:v>twenty-five-percent setup-crew loss</x:v>
      </x:c>
      <x:c r="D28" s="33" t="n">
        <x:v>1</x:v>
      </x:c>
      <x:c r="E28" s="2" t="n">
        <x:v>48</x:v>
      </x:c>
      <x:c r="F28" s="36" t="n">
        <x:v>1</x:v>
      </x:c>
      <x:c r="G28" s="36" t="n">
        <x:v>1</x:v>
      </x:c>
      <x:c r="H28" s="36" t="n">
        <x:v>1</x:v>
      </x:c>
      <x:c r="I28" s="36" t="n">
        <x:v>1</x:v>
      </x:c>
      <x:c r="J28" s="36" t="n">
        <x:v>1</x:v>
      </x:c>
      <x:c r="K28" s="2" t="n">
        <x:v>0</x:v>
      </x:c>
      <x:c r="L28" s="2" t="n">
        <x:v>0</x:v>
      </x:c>
      <x:c r="M28" s="2" t="n">
        <x:v>0</x:v>
      </x:c>
      <x:c r="N28" s="2" t="n">
        <x:v>0</x:v>
      </x:c>
      <x:c r="O28" s="2" t="n">
        <x:v>0</x:v>
      </x:c>
      <x:c r="P28" s="2" t="n">
        <x:v>0</x:v>
      </x:c>
      <x:c r="Q28" s="30" t="n">
        <x:v>0.75</x:v>
      </x:c>
      <x:c r="R28" s="2" t="n">
        <x:v>99</x:v>
      </x:c>
      <x:c r="S28" s="2" t="n">
        <x:v>0</x:v>
      </x:c>
      <x:c r="T28" s="2" t="n">
        <x:v>0</x:v>
      </x:c>
      <x:c r="U28" s="2" t="n">
        <x:v>0</x:v>
      </x:c>
      <x:c r="V28" s="2"/>
      <x:c r="W28" s="2"/>
      <x:c r="X28" s="2"/>
      <x:c r="Y28" s="2"/>
      <x:c r="Z28" s="2"/>
    </x:row>
    <x:row r="29" ht="34" customHeight="1">
      <x:c r="A29" s="2"/>
      <x:c r="B29" s="2" t="str">
        <x:v>W21</x:v>
      </x:c>
      <x:c r="C29" s="29" t="str">
        <x:v>second mission after three-day reset</x:v>
      </x:c>
      <x:c r="D29" s="33" t="n">
        <x:v>1</x:v>
      </x:c>
      <x:c r="E29" s="2" t="n">
        <x:v>48</x:v>
      </x:c>
      <x:c r="F29" s="36" t="n">
        <x:v>1</x:v>
      </x:c>
      <x:c r="G29" s="36" t="n">
        <x:v>1</x:v>
      </x:c>
      <x:c r="H29" s="36" t="n">
        <x:v>1</x:v>
      </x:c>
      <x:c r="I29" s="36" t="n">
        <x:v>1</x:v>
      </x:c>
      <x:c r="J29" s="36" t="n">
        <x:v>1</x:v>
      </x:c>
      <x:c r="K29" s="2" t="n">
        <x:v>0</x:v>
      </x:c>
      <x:c r="L29" s="2" t="n">
        <x:v>0</x:v>
      </x:c>
      <x:c r="M29" s="2" t="n">
        <x:v>0</x:v>
      </x:c>
      <x:c r="N29" s="2" t="n">
        <x:v>0</x:v>
      </x:c>
      <x:c r="O29" s="2" t="n">
        <x:v>0</x:v>
      </x:c>
      <x:c r="P29" s="2" t="n">
        <x:v>0</x:v>
      </x:c>
      <x:c r="Q29" s="30" t="n">
        <x:v>1</x:v>
      </x:c>
      <x:c r="R29" s="2" t="n">
        <x:v>3</x:v>
      </x:c>
      <x:c r="S29" s="2" t="n">
        <x:v>0</x:v>
      </x:c>
      <x:c r="T29" s="2" t="n">
        <x:v>0</x:v>
      </x:c>
      <x:c r="U29" s="2" t="n">
        <x:v>0</x:v>
      </x:c>
      <x:c r="V29" s="2"/>
      <x:c r="W29" s="2"/>
      <x:c r="X29" s="2"/>
      <x:c r="Y29" s="2"/>
      <x:c r="Z29" s="2"/>
    </x:row>
    <x:row r="30" ht="34" customHeight="1">
      <x:c r="A30" s="2"/>
      <x:c r="B30" s="2" t="str">
        <x:v>W22</x:v>
      </x:c>
      <x:c r="C30" s="29" t="str">
        <x:v>unprepared, landlocked, terminal-denied, one road corridor lost and hot-smoke compound</x:v>
      </x:c>
      <x:c r="D30" s="33" t="n">
        <x:v>0.4</x:v>
      </x:c>
      <x:c r="E30" s="2" t="n">
        <x:v>48</x:v>
      </x:c>
      <x:c r="F30" s="36" t="n">
        <x:v>0.667</x:v>
      </x:c>
      <x:c r="G30" s="36" t="n">
        <x:v>1</x:v>
      </x:c>
      <x:c r="H30" s="36" t="n">
        <x:v>0</x:v>
      </x:c>
      <x:c r="I30" s="36" t="n">
        <x:v>0</x:v>
      </x:c>
      <x:c r="J30" s="36" t="n">
        <x:v>0</x:v>
      </x:c>
      <x:c r="K30" s="2" t="n">
        <x:v>5000</x:v>
      </x:c>
      <x:c r="L30" s="2" t="n">
        <x:v>0</x:v>
      </x:c>
      <x:c r="M30" s="2" t="n">
        <x:v>0</x:v>
      </x:c>
      <x:c r="N30" s="2" t="n">
        <x:v>0</x:v>
      </x:c>
      <x:c r="O30" s="2" t="n">
        <x:v>0</x:v>
      </x:c>
      <x:c r="P30" s="2" t="n">
        <x:v>0</x:v>
      </x:c>
      <x:c r="Q30" s="30" t="n">
        <x:v>1</x:v>
      </x:c>
      <x:c r="R30" s="2" t="n">
        <x:v>99</x:v>
      </x:c>
      <x:c r="S30" s="2" t="n">
        <x:v>1</x:v>
      </x:c>
      <x:c r="T30" s="2" t="n">
        <x:v>1</x:v>
      </x:c>
      <x:c r="U30" s="2" t="n">
        <x:v>0</x:v>
      </x:c>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8" t="str">
        <x:v>Architecture-world results</x:v>
      </x:c>
      <x:c r="C33" s="9"/>
      <x:c r="D33" s="9"/>
      <x:c r="E33" s="9"/>
      <x:c r="F33" s="9"/>
      <x:c r="G33" s="9"/>
      <x:c r="H33" s="9"/>
      <x:c r="I33" s="9"/>
      <x:c r="J33" s="9"/>
      <x:c r="K33" s="9"/>
      <x:c r="L33" s="10"/>
      <x:c r="M33" s="2"/>
      <x:c r="N33" s="2"/>
      <x:c r="O33" s="2"/>
      <x:c r="P33" s="2"/>
      <x:c r="Q33" s="2"/>
      <x:c r="R33" s="2"/>
      <x:c r="S33" s="2"/>
      <x:c r="T33" s="2"/>
      <x:c r="U33" s="2"/>
      <x:c r="V33" s="2"/>
      <x:c r="W33" s="2"/>
      <x:c r="X33" s="2"/>
      <x:c r="Y33" s="2"/>
      <x:c r="Z33" s="2"/>
    </x:row>
    <x:row r="34">
      <x:c r="A34" s="2"/>
      <x:c r="B34" s="15" t="str">
        <x:v>World</x:v>
      </x:c>
      <x:c r="C34" s="16" t="str">
        <x:v>Stress</x:v>
      </x:c>
      <x:c r="D34" s="16" t="str">
        <x:v>Architecture</x:v>
      </x:c>
      <x:c r="E34" s="16" t="str">
        <x:v>Required</x:v>
      </x:c>
      <x:c r="F34" s="16" t="str">
        <x:v>Delivered</x:v>
      </x:c>
      <x:c r="G34" s="16" t="str">
        <x:v>Ready h</x:v>
      </x:c>
      <x:c r="H34" s="16" t="str">
        <x:v>Mode</x:v>
      </x:c>
      <x:c r="I34" s="16" t="str">
        <x:v>Physical site</x:v>
      </x:c>
      <x:c r="J34" s="16" t="str">
        <x:v>Thermal and safety</x:v>
      </x:c>
      <x:c r="K34" s="16" t="str">
        <x:v>Work and reset</x:v>
      </x:c>
      <x:c r="L34" s="17" t="str">
        <x:v>Result</x:v>
      </x:c>
      <x:c r="M34" s="2"/>
      <x:c r="N34" s="2"/>
      <x:c r="O34" s="2"/>
      <x:c r="P34" s="2"/>
      <x:c r="Q34" s="2"/>
      <x:c r="R34" s="2"/>
      <x:c r="S34" s="2"/>
      <x:c r="T34" s="2"/>
      <x:c r="U34" s="2"/>
      <x:c r="V34" s="2"/>
      <x:c r="W34" s="2"/>
      <x:c r="X34" s="2"/>
      <x:c r="Y34" s="2"/>
      <x:c r="Z34" s="2"/>
    </x:row>
    <x:row r="35">
      <x:c r="A35" s="2"/>
      <x:c r="B35" s="2" t="str">
        <x:v>W0</x:v>
      </x:c>
      <x:c r="C35" s="2" t="str">
        <x:v>base seven-day configured cell</x:v>
      </x:c>
      <x:c r="D35" s="2" t="str">
        <x:v>G1</x:v>
      </x:c>
      <x:c r="E35" s="30" t="n">
        <x:f>$D$8</x:f>
        <x:v>1</x:v>
      </x:c>
      <x:c r="F35" s="30" t="n">
        <x:f>MIN(1,(Geometry!$E$8*$I$8+(1-Geometry!$E$8)*(Geometry!$O$8*$F$8+Geometry!$P$8*$G$8+Geometry!$Q$8*$H$8))*IF($U$8=1,'Deployment Work'!$X$8,1))</x:f>
        <x:v>1</x:v>
      </x:c>
      <x:c r="G35" s="36" t="n">
        <x:f>IF(AND(Geometry!$E$8&gt;0,$I$8=0),'Deployment Work'!$E$8,IF(E35&lt;=Assumptions!$D$12,'Deployment Work'!$D$8,'Deployment Work'!$E$8))</x:f>
        <x:v>36</x:v>
      </x:c>
      <x:c r="H35" s="2" t="str">
        <x:f>IF(AND(F35&gt;=E35,G35&lt;=$E$8),"PASS","FAIL")</x:f>
        <x:v>PASS</x:v>
      </x:c>
      <x:c r="I35" s="2" t="str">
        <x:f>IF(AND(IF($K$8=0,TRUE,'Thermal Site'!$F$17&lt;=$K$8),IF($L$8=0,TRUE,'Thermal Site'!$G$17&gt;=$L$8),IF($M$8=0,TRUE,'Thermal Site'!$J$17&gt;=E35),IF($N$8=0,TRUE,'Thermal Site'!$K$17&gt;=E35)),"PASS","FAIL")</x:f>
        <x:v>PASS</x:v>
      </x:c>
      <x:c r="J35" s="2" t="str">
        <x:f>IF(AND(IF($O$8=0,TRUE,'Thermal Site'!$H$17&lt;=$O$8),IF($P$8=0,TRUE,'Thermal Site'!$I$17&gt;=$P$8),IF($S$8=0,TRUE,'Thermal Site'!$J$8&gt;=1),IF($T$8=0,TRUE,'Thermal Site'!$L$17="YES")),"PASS","FAIL")</x:f>
        <x:v>PASS</x:v>
      </x:c>
      <x:c r="K35" s="2" t="str">
        <x:f>IF(AND(IF($Q$8&lt;1,'Deployment Work'!$M$8&gt;=1,'Deployment Work'!$L$8&gt;=1),'Deployment Work'!$Y$8&lt;=$R$8),"PASS","FAIL")</x:f>
        <x:v>PASS</x:v>
      </x:c>
      <x:c r="L35" s="2" t="str">
        <x:f>IF(AND(H35="PASS",I35="PASS",J35="PASS",K35="PASS"),"PASS","FAIL")</x:f>
        <x:v>PASS</x:v>
      </x:c>
      <x:c r="M35" s="2"/>
      <x:c r="N35" s="2"/>
      <x:c r="O35" s="2"/>
      <x:c r="P35" s="2"/>
      <x:c r="Q35" s="2"/>
      <x:c r="R35" s="2"/>
      <x:c r="S35" s="2"/>
      <x:c r="T35" s="2"/>
      <x:c r="U35" s="2"/>
      <x:c r="V35" s="2"/>
      <x:c r="W35" s="2"/>
      <x:c r="X35" s="2"/>
      <x:c r="Y35" s="2"/>
      <x:c r="Z35" s="2"/>
    </x:row>
    <x:row r="36">
      <x:c r="A36" s="2"/>
      <x:c r="B36" s="2" t="str">
        <x:v>W0</x:v>
      </x:c>
      <x:c r="C36" s="2" t="str">
        <x:v>base seven-day configured cell</x:v>
      </x:c>
      <x:c r="D36" s="2" t="str">
        <x:v>G2</x:v>
      </x:c>
      <x:c r="E36" s="30" t="n">
        <x:f>$D$8</x:f>
        <x:v>1</x:v>
      </x:c>
      <x:c r="F36" s="30" t="n">
        <x:f>MIN(1,(Geometry!$E$9*$I$8+(1-Geometry!$E$9)*(Geometry!$O$9*$F$8+Geometry!$P$9*$G$8*IF($J$8=0,0,1)+Geometry!$Q$9*$H$8))*IF($U$8=1,'Deployment Work'!$X$9,1))</x:f>
        <x:v>1</x:v>
      </x:c>
      <x:c r="G36" s="36" t="n">
        <x:f>IF(AND(Geometry!$E$9&gt;0,$I$8=0),'Deployment Work'!$E$9,IF(E36&lt;=Assumptions!$D$12,'Deployment Work'!$D$9,'Deployment Work'!$E$9))</x:f>
        <x:v>44</x:v>
      </x:c>
      <x:c r="H36" s="2" t="str">
        <x:f>IF(AND(F36&gt;=E36,G36&lt;=$E$8),"PASS","FAIL")</x:f>
        <x:v>PASS</x:v>
      </x:c>
      <x:c r="I36" s="2" t="str">
        <x:f>IF(AND(IF($K$8=0,TRUE,'Thermal Site'!$F$18&lt;=$K$8),IF($L$8=0,TRUE,'Thermal Site'!$G$18&gt;=$L$8),IF($M$8=0,TRUE,'Thermal Site'!$J$18&gt;=E36),IF($N$8=0,TRUE,'Thermal Site'!$K$18&gt;=E36)),"PASS","FAIL")</x:f>
        <x:v>PASS</x:v>
      </x:c>
      <x:c r="J36" s="2" t="str">
        <x:f>IF(AND(IF($O$8=0,TRUE,'Thermal Site'!$H$18&lt;=$O$8),IF($P$8=0,TRUE,'Thermal Site'!$I$18&gt;=$P$8),IF($S$8=0,TRUE,'Thermal Site'!$J$9&gt;=1),IF($T$8=0,TRUE,'Thermal Site'!$L$18="YES")),"PASS","FAIL")</x:f>
        <x:v>PASS</x:v>
      </x:c>
      <x:c r="K36" s="2" t="str">
        <x:f>IF(AND(IF($Q$8&lt;1,'Deployment Work'!$M$9&gt;=1,'Deployment Work'!$L$9&gt;=1),'Deployment Work'!$Y$9&lt;=$R$8),"PASS","FAIL")</x:f>
        <x:v>PASS</x:v>
      </x:c>
      <x:c r="L36" s="2" t="str">
        <x:f>IF(AND(H36="PASS",I36="PASS",J36="PASS",K36="PASS"),"PASS","FAIL")</x:f>
        <x:v>PASS</x:v>
      </x:c>
      <x:c r="M36" s="2"/>
      <x:c r="N36" s="2"/>
      <x:c r="O36" s="2"/>
      <x:c r="P36" s="2"/>
      <x:c r="Q36" s="2"/>
      <x:c r="R36" s="2"/>
      <x:c r="S36" s="2"/>
      <x:c r="T36" s="2"/>
      <x:c r="U36" s="2"/>
      <x:c r="V36" s="2"/>
      <x:c r="W36" s="2"/>
      <x:c r="X36" s="2"/>
      <x:c r="Y36" s="2"/>
      <x:c r="Z36" s="2"/>
    </x:row>
    <x:row r="37">
      <x:c r="A37" s="2"/>
      <x:c r="B37" s="2" t="str">
        <x:v>W0</x:v>
      </x:c>
      <x:c r="C37" s="2" t="str">
        <x:v>base seven-day configured cell</x:v>
      </x:c>
      <x:c r="D37" s="2" t="str">
        <x:v>G3</x:v>
      </x:c>
      <x:c r="E37" s="30" t="n">
        <x:f>$D$8</x:f>
        <x:v>1</x:v>
      </x:c>
      <x:c r="F37" s="30" t="n">
        <x:f>MIN(1,(Geometry!$E$10*$I$8+(1-Geometry!$E$10)*(Geometry!$O$10*$F$8+Geometry!$P$10*$G$8+Geometry!$Q$10*$H$8))*IF($U$8=1,'Deployment Work'!$X$10,1))</x:f>
        <x:v>1</x:v>
      </x:c>
      <x:c r="G37" s="36" t="n">
        <x:f>IF(AND(Geometry!$E$10&gt;0,$I$8=0),'Deployment Work'!$E$10,IF(E37&lt;=Assumptions!$D$12,'Deployment Work'!$D$10,'Deployment Work'!$E$10))</x:f>
        <x:v>30</x:v>
      </x:c>
      <x:c r="H37" s="2" t="str">
        <x:f>IF(AND(F37&gt;=E37,G37&lt;=$E$8),"PASS","FAIL")</x:f>
        <x:v>PASS</x:v>
      </x:c>
      <x:c r="I37" s="2" t="str">
        <x:f>IF(AND(IF($K$8=0,TRUE,'Thermal Site'!$F$19&lt;=$K$8),IF($L$8=0,TRUE,'Thermal Site'!$G$19&gt;=$L$8),IF($M$8=0,TRUE,'Thermal Site'!$J$19&gt;=E37),IF($N$8=0,TRUE,'Thermal Site'!$K$19&gt;=E37)),"PASS","FAIL")</x:f>
        <x:v>PASS</x:v>
      </x:c>
      <x:c r="J37" s="2" t="str">
        <x:f>IF(AND(IF($O$8=0,TRUE,'Thermal Site'!$H$19&lt;=$O$8),IF($P$8=0,TRUE,'Thermal Site'!$I$19&gt;=$P$8),IF($S$8=0,TRUE,'Thermal Site'!$J$10&gt;=1),IF($T$8=0,TRUE,'Thermal Site'!$L$19="YES")),"PASS","FAIL")</x:f>
        <x:v>PASS</x:v>
      </x:c>
      <x:c r="K37" s="2" t="str">
        <x:f>IF(AND(IF($Q$8&lt;1,'Deployment Work'!$M$10&gt;=1,'Deployment Work'!$L$10&gt;=1),'Deployment Work'!$Y$10&lt;=$R$8),"PASS","FAIL")</x:f>
        <x:v>PASS</x:v>
      </x:c>
      <x:c r="L37" s="2" t="str">
        <x:f>IF(AND(H37="PASS",I37="PASS",J37="PASS",K37="PASS"),"PASS","FAIL")</x:f>
        <x:v>PASS</x:v>
      </x:c>
      <x:c r="M37" s="2"/>
      <x:c r="N37" s="2"/>
      <x:c r="O37" s="2"/>
      <x:c r="P37" s="2"/>
      <x:c r="Q37" s="2"/>
      <x:c r="R37" s="2"/>
      <x:c r="S37" s="2"/>
      <x:c r="T37" s="2"/>
      <x:c r="U37" s="2"/>
      <x:c r="V37" s="2"/>
      <x:c r="W37" s="2"/>
      <x:c r="X37" s="2"/>
      <x:c r="Y37" s="2"/>
      <x:c r="Z37" s="2"/>
    </x:row>
    <x:row r="38">
      <x:c r="A38" s="2"/>
      <x:c r="B38" s="2" t="str">
        <x:v>W0</x:v>
      </x:c>
      <x:c r="C38" s="2" t="str">
        <x:v>base seven-day configured cell</x:v>
      </x:c>
      <x:c r="D38" s="2" t="str">
        <x:v>G4</x:v>
      </x:c>
      <x:c r="E38" s="30" t="n">
        <x:f>$D$8</x:f>
        <x:v>1</x:v>
      </x:c>
      <x:c r="F38" s="30" t="n">
        <x:f>MIN(1,(Geometry!$E$11*$I$8+(1-Geometry!$E$11)*(Geometry!$O$11*$F$8+Geometry!$P$11*$G$8+Geometry!$Q$11*$H$8))*IF($U$8=1,'Deployment Work'!$X$11,1))</x:f>
        <x:v>1</x:v>
      </x:c>
      <x:c r="G38" s="36" t="n">
        <x:f>IF(AND(Geometry!$E$11&gt;0,$I$8=0),'Deployment Work'!$E$11,IF(E38&lt;=Assumptions!$D$12,'Deployment Work'!$D$11,'Deployment Work'!$E$11))</x:f>
        <x:v>12</x:v>
      </x:c>
      <x:c r="H38" s="2" t="str">
        <x:f>IF(AND(F38&gt;=E38,G38&lt;=$E$8),"PASS","FAIL")</x:f>
        <x:v>PASS</x:v>
      </x:c>
      <x:c r="I38" s="2" t="str">
        <x:f>IF(AND(IF($K$8=0,TRUE,'Thermal Site'!$F$20&lt;=$K$8),IF($L$8=0,TRUE,'Thermal Site'!$G$20&gt;=$L$8),IF($M$8=0,TRUE,'Thermal Site'!$J$20&gt;=E38),IF($N$8=0,TRUE,'Thermal Site'!$K$20&gt;=E38)),"PASS","FAIL")</x:f>
        <x:v>PASS</x:v>
      </x:c>
      <x:c r="J38" s="2" t="str">
        <x:f>IF(AND(IF($O$8=0,TRUE,'Thermal Site'!$H$20&lt;=$O$8),IF($P$8=0,TRUE,'Thermal Site'!$I$20&gt;=$P$8),IF($S$8=0,TRUE,'Thermal Site'!$J$11&gt;=1),IF($T$8=0,TRUE,'Thermal Site'!$L$20="YES")),"PASS","FAIL")</x:f>
        <x:v>PASS</x:v>
      </x:c>
      <x:c r="K38" s="2" t="str">
        <x:f>IF(AND(IF($Q$8&lt;1,'Deployment Work'!$M$11&gt;=1,'Deployment Work'!$L$11&gt;=1),'Deployment Work'!$Y$11&lt;=$R$8),"PASS","FAIL")</x:f>
        <x:v>PASS</x:v>
      </x:c>
      <x:c r="L38" s="2" t="str">
        <x:f>IF(AND(H38="PASS",I38="PASS",J38="PASS",K38="PASS"),"PASS","FAIL")</x:f>
        <x:v>PASS</x:v>
      </x:c>
      <x:c r="M38" s="2"/>
      <x:c r="N38" s="2"/>
      <x:c r="O38" s="2"/>
      <x:c r="P38" s="2"/>
      <x:c r="Q38" s="2"/>
      <x:c r="R38" s="2"/>
      <x:c r="S38" s="2"/>
      <x:c r="T38" s="2"/>
      <x:c r="U38" s="2"/>
      <x:c r="V38" s="2"/>
      <x:c r="W38" s="2"/>
      <x:c r="X38" s="2"/>
      <x:c r="Y38" s="2"/>
      <x:c r="Z38" s="2"/>
    </x:row>
    <x:row r="39">
      <x:c r="A39" s="2"/>
      <x:c r="B39" s="2" t="str">
        <x:v>W0</x:v>
      </x:c>
      <x:c r="C39" s="2" t="str">
        <x:v>base seven-day configured cell</x:v>
      </x:c>
      <x:c r="D39" s="2" t="str">
        <x:v>G5</x:v>
      </x:c>
      <x:c r="E39" s="30" t="n">
        <x:f>$D$8</x:f>
        <x:v>1</x:v>
      </x:c>
      <x:c r="F39" s="30" t="n">
        <x:f>MIN(1,(Geometry!$E$12*$I$8+(1-Geometry!$E$12)*(Geometry!$O$12*$F$8+Geometry!$P$12*$G$8*IF($J$8=0,0,1)+Geometry!$Q$12*$H$8*IF($J$8=0,0,1)))*IF($U$8=1,'Deployment Work'!$X$12,1))</x:f>
        <x:v>1</x:v>
      </x:c>
      <x:c r="G39" s="36" t="n">
        <x:f>IF(AND(Geometry!$E$12&gt;0,$I$8=0),'Deployment Work'!$E$12,IF(E39&lt;=Assumptions!$D$12,'Deployment Work'!$D$12,'Deployment Work'!$E$12))</x:f>
        <x:v>46</x:v>
      </x:c>
      <x:c r="H39" s="2" t="str">
        <x:f>IF(AND(F39&gt;=E39,G39&lt;=$E$8),"PASS","FAIL")</x:f>
        <x:v>PASS</x:v>
      </x:c>
      <x:c r="I39" s="2" t="str">
        <x:f>IF(AND(IF($K$8=0,TRUE,'Thermal Site'!$F$21&lt;=$K$8),IF($L$8=0,TRUE,'Thermal Site'!$G$21&gt;=$L$8),IF($M$8=0,TRUE,'Thermal Site'!$J$21&gt;=E39),IF($N$8=0,TRUE,'Thermal Site'!$K$21&gt;=E39)),"PASS","FAIL")</x:f>
        <x:v>PASS</x:v>
      </x:c>
      <x:c r="J39" s="2" t="str">
        <x:f>IF(AND(IF($O$8=0,TRUE,'Thermal Site'!$H$21&lt;=$O$8),IF($P$8=0,TRUE,'Thermal Site'!$I$21&gt;=$P$8),IF($S$8=0,TRUE,'Thermal Site'!$J$12&gt;=1),IF($T$8=0,TRUE,'Thermal Site'!$L$21="YES")),"PASS","FAIL")</x:f>
        <x:v>PASS</x:v>
      </x:c>
      <x:c r="K39" s="2" t="str">
        <x:f>IF(AND(IF($Q$8&lt;1,'Deployment Work'!$M$12&gt;=1,'Deployment Work'!$L$12&gt;=1),'Deployment Work'!$Y$12&lt;=$R$8),"PASS","FAIL")</x:f>
        <x:v>PASS</x:v>
      </x:c>
      <x:c r="L39" s="2" t="str">
        <x:f>IF(AND(H39="PASS",I39="PASS",J39="PASS",K39="PASS"),"PASS","FAIL")</x:f>
        <x:v>PASS</x:v>
      </x:c>
      <x:c r="M39" s="2"/>
      <x:c r="N39" s="2"/>
      <x:c r="O39" s="2"/>
      <x:c r="P39" s="2"/>
      <x:c r="Q39" s="2"/>
      <x:c r="R39" s="2"/>
      <x:c r="S39" s="2"/>
      <x:c r="T39" s="2"/>
      <x:c r="U39" s="2"/>
      <x:c r="V39" s="2"/>
      <x:c r="W39" s="2"/>
      <x:c r="X39" s="2"/>
      <x:c r="Y39" s="2"/>
      <x:c r="Z39" s="2"/>
    </x:row>
    <x:row r="40">
      <x:c r="A40" s="2"/>
      <x:c r="B40" s="2" t="str">
        <x:v>W1</x:v>
      </x:c>
      <x:c r="C40" s="2" t="str">
        <x:v>protected service by hour 24</x:v>
      </x:c>
      <x:c r="D40" s="2" t="str">
        <x:v>G1</x:v>
      </x:c>
      <x:c r="E40" s="30" t="n">
        <x:f>$D$9</x:f>
        <x:v>0.4</x:v>
      </x:c>
      <x:c r="F40" s="30" t="n">
        <x:f>MIN(1,(Geometry!$E$8*$I$9+(1-Geometry!$E$8)*(Geometry!$O$8*$F$9+Geometry!$P$8*$G$9+Geometry!$Q$8*$H$9))*IF($U$9=1,'Deployment Work'!$X$8,1))</x:f>
        <x:v>1</x:v>
      </x:c>
      <x:c r="G40" s="36" t="n">
        <x:f>IF(AND(Geometry!$E$8&gt;0,$I$9=0),'Deployment Work'!$E$8,IF(E40&lt;=Assumptions!$D$12,'Deployment Work'!$D$8,'Deployment Work'!$E$8))</x:f>
        <x:v>12</x:v>
      </x:c>
      <x:c r="H40" s="2" t="str">
        <x:f>IF(AND(F40&gt;=E40,G40&lt;=$E$9),"PASS","FAIL")</x:f>
        <x:v>PASS</x:v>
      </x:c>
      <x:c r="I40" s="2" t="str">
        <x:f>IF(AND(IF($K$9=0,TRUE,'Thermal Site'!$F$17&lt;=$K$9),IF($L$9=0,TRUE,'Thermal Site'!$G$17&gt;=$L$9),IF($M$9=0,TRUE,'Thermal Site'!$J$17&gt;=E40),IF($N$9=0,TRUE,'Thermal Site'!$K$17&gt;=E40)),"PASS","FAIL")</x:f>
        <x:v>PASS</x:v>
      </x:c>
      <x:c r="J40" s="2" t="str">
        <x:f>IF(AND(IF($O$9=0,TRUE,'Thermal Site'!$H$17&lt;=$O$9),IF($P$9=0,TRUE,'Thermal Site'!$I$17&gt;=$P$9),IF($S$9=0,TRUE,'Thermal Site'!$J$8&gt;=1),IF($T$9=0,TRUE,'Thermal Site'!$L$17="YES")),"PASS","FAIL")</x:f>
        <x:v>PASS</x:v>
      </x:c>
      <x:c r="K40" s="2" t="str">
        <x:f>IF(AND(IF($Q$9&lt;1,'Deployment Work'!$M$8&gt;=1,'Deployment Work'!$L$8&gt;=1),'Deployment Work'!$Y$8&lt;=$R$9),"PASS","FAIL")</x:f>
        <x:v>PASS</x:v>
      </x:c>
      <x:c r="L40" s="2" t="str">
        <x:f>IF(AND(H40="PASS",I40="PASS",J40="PASS",K40="PASS"),"PASS","FAIL")</x:f>
        <x:v>PASS</x:v>
      </x:c>
      <x:c r="M40" s="2"/>
      <x:c r="N40" s="2"/>
      <x:c r="O40" s="2"/>
      <x:c r="P40" s="2"/>
      <x:c r="Q40" s="2"/>
      <x:c r="R40" s="2"/>
      <x:c r="S40" s="2"/>
      <x:c r="T40" s="2"/>
      <x:c r="U40" s="2"/>
      <x:c r="V40" s="2"/>
      <x:c r="W40" s="2"/>
      <x:c r="X40" s="2"/>
      <x:c r="Y40" s="2"/>
      <x:c r="Z40" s="2"/>
    </x:row>
    <x:row r="41">
      <x:c r="A41" s="2"/>
      <x:c r="B41" s="2" t="str">
        <x:v>W1</x:v>
      </x:c>
      <x:c r="C41" s="2" t="str">
        <x:v>protected service by hour 24</x:v>
      </x:c>
      <x:c r="D41" s="2" t="str">
        <x:v>G2</x:v>
      </x:c>
      <x:c r="E41" s="30" t="n">
        <x:f>$D$9</x:f>
        <x:v>0.4</x:v>
      </x:c>
      <x:c r="F41" s="30" t="n">
        <x:f>MIN(1,(Geometry!$E$9*$I$9+(1-Geometry!$E$9)*(Geometry!$O$9*$F$9+Geometry!$P$9*$G$9*IF($J$9=0,0,1)+Geometry!$Q$9*$H$9))*IF($U$9=1,'Deployment Work'!$X$9,1))</x:f>
        <x:v>1</x:v>
      </x:c>
      <x:c r="G41" s="36" t="n">
        <x:f>IF(AND(Geometry!$E$9&gt;0,$I$9=0),'Deployment Work'!$E$9,IF(E41&lt;=Assumptions!$D$12,'Deployment Work'!$D$9,'Deployment Work'!$E$9))</x:f>
        <x:v>18</x:v>
      </x:c>
      <x:c r="H41" s="2" t="str">
        <x:f>IF(AND(F41&gt;=E41,G41&lt;=$E$9),"PASS","FAIL")</x:f>
        <x:v>PASS</x:v>
      </x:c>
      <x:c r="I41" s="2" t="str">
        <x:f>IF(AND(IF($K$9=0,TRUE,'Thermal Site'!$F$18&lt;=$K$9),IF($L$9=0,TRUE,'Thermal Site'!$G$18&gt;=$L$9),IF($M$9=0,TRUE,'Thermal Site'!$J$18&gt;=E41),IF($N$9=0,TRUE,'Thermal Site'!$K$18&gt;=E41)),"PASS","FAIL")</x:f>
        <x:v>PASS</x:v>
      </x:c>
      <x:c r="J41" s="2" t="str">
        <x:f>IF(AND(IF($O$9=0,TRUE,'Thermal Site'!$H$18&lt;=$O$9),IF($P$9=0,TRUE,'Thermal Site'!$I$18&gt;=$P$9),IF($S$9=0,TRUE,'Thermal Site'!$J$9&gt;=1),IF($T$9=0,TRUE,'Thermal Site'!$L$18="YES")),"PASS","FAIL")</x:f>
        <x:v>PASS</x:v>
      </x:c>
      <x:c r="K41" s="2" t="str">
        <x:f>IF(AND(IF($Q$9&lt;1,'Deployment Work'!$M$9&gt;=1,'Deployment Work'!$L$9&gt;=1),'Deployment Work'!$Y$9&lt;=$R$9),"PASS","FAIL")</x:f>
        <x:v>PASS</x:v>
      </x:c>
      <x:c r="L41" s="2" t="str">
        <x:f>IF(AND(H41="PASS",I41="PASS",J41="PASS",K41="PASS"),"PASS","FAIL")</x:f>
        <x:v>PASS</x:v>
      </x:c>
      <x:c r="M41" s="2"/>
      <x:c r="N41" s="2"/>
      <x:c r="O41" s="2"/>
      <x:c r="P41" s="2"/>
      <x:c r="Q41" s="2"/>
      <x:c r="R41" s="2"/>
      <x:c r="S41" s="2"/>
      <x:c r="T41" s="2"/>
      <x:c r="U41" s="2"/>
      <x:c r="V41" s="2"/>
      <x:c r="W41" s="2"/>
      <x:c r="X41" s="2"/>
      <x:c r="Y41" s="2"/>
      <x:c r="Z41" s="2"/>
    </x:row>
    <x:row r="42">
      <x:c r="A42" s="2"/>
      <x:c r="B42" s="2" t="str">
        <x:v>W1</x:v>
      </x:c>
      <x:c r="C42" s="2" t="str">
        <x:v>protected service by hour 24</x:v>
      </x:c>
      <x:c r="D42" s="2" t="str">
        <x:v>G3</x:v>
      </x:c>
      <x:c r="E42" s="30" t="n">
        <x:f>$D$9</x:f>
        <x:v>0.4</x:v>
      </x:c>
      <x:c r="F42" s="30" t="n">
        <x:f>MIN(1,(Geometry!$E$10*$I$9+(1-Geometry!$E$10)*(Geometry!$O$10*$F$9+Geometry!$P$10*$G$9+Geometry!$Q$10*$H$9))*IF($U$9=1,'Deployment Work'!$X$10,1))</x:f>
        <x:v>1</x:v>
      </x:c>
      <x:c r="G42" s="36" t="n">
        <x:f>IF(AND(Geometry!$E$10&gt;0,$I$9=0),'Deployment Work'!$E$10,IF(E42&lt;=Assumptions!$D$12,'Deployment Work'!$D$10,'Deployment Work'!$E$10))</x:f>
        <x:v>14</x:v>
      </x:c>
      <x:c r="H42" s="2" t="str">
        <x:f>IF(AND(F42&gt;=E42,G42&lt;=$E$9),"PASS","FAIL")</x:f>
        <x:v>PASS</x:v>
      </x:c>
      <x:c r="I42" s="2" t="str">
        <x:f>IF(AND(IF($K$9=0,TRUE,'Thermal Site'!$F$19&lt;=$K$9),IF($L$9=0,TRUE,'Thermal Site'!$G$19&gt;=$L$9),IF($M$9=0,TRUE,'Thermal Site'!$J$19&gt;=E42),IF($N$9=0,TRUE,'Thermal Site'!$K$19&gt;=E42)),"PASS","FAIL")</x:f>
        <x:v>PASS</x:v>
      </x:c>
      <x:c r="J42" s="2" t="str">
        <x:f>IF(AND(IF($O$9=0,TRUE,'Thermal Site'!$H$19&lt;=$O$9),IF($P$9=0,TRUE,'Thermal Site'!$I$19&gt;=$P$9),IF($S$9=0,TRUE,'Thermal Site'!$J$10&gt;=1),IF($T$9=0,TRUE,'Thermal Site'!$L$19="YES")),"PASS","FAIL")</x:f>
        <x:v>PASS</x:v>
      </x:c>
      <x:c r="K42" s="2" t="str">
        <x:f>IF(AND(IF($Q$9&lt;1,'Deployment Work'!$M$10&gt;=1,'Deployment Work'!$L$10&gt;=1),'Deployment Work'!$Y$10&lt;=$R$9),"PASS","FAIL")</x:f>
        <x:v>PASS</x:v>
      </x:c>
      <x:c r="L42" s="2" t="str">
        <x:f>IF(AND(H42="PASS",I42="PASS",J42="PASS",K42="PASS"),"PASS","FAIL")</x:f>
        <x:v>PASS</x:v>
      </x:c>
      <x:c r="M42" s="2"/>
      <x:c r="N42" s="2"/>
      <x:c r="O42" s="2"/>
      <x:c r="P42" s="2"/>
      <x:c r="Q42" s="2"/>
      <x:c r="R42" s="2"/>
      <x:c r="S42" s="2"/>
      <x:c r="T42" s="2"/>
      <x:c r="U42" s="2"/>
      <x:c r="V42" s="2"/>
      <x:c r="W42" s="2"/>
      <x:c r="X42" s="2"/>
      <x:c r="Y42" s="2"/>
      <x:c r="Z42" s="2"/>
    </x:row>
    <x:row r="43">
      <x:c r="A43" s="2"/>
      <x:c r="B43" s="2" t="str">
        <x:v>W1</x:v>
      </x:c>
      <x:c r="C43" s="2" t="str">
        <x:v>protected service by hour 24</x:v>
      </x:c>
      <x:c r="D43" s="2" t="str">
        <x:v>G4</x:v>
      </x:c>
      <x:c r="E43" s="30" t="n">
        <x:f>$D$9</x:f>
        <x:v>0.4</x:v>
      </x:c>
      <x:c r="F43" s="30" t="n">
        <x:f>MIN(1,(Geometry!$E$11*$I$9+(1-Geometry!$E$11)*(Geometry!$O$11*$F$9+Geometry!$P$11*$G$9+Geometry!$Q$11*$H$9))*IF($U$9=1,'Deployment Work'!$X$11,1))</x:f>
        <x:v>1</x:v>
      </x:c>
      <x:c r="G43" s="36" t="n">
        <x:f>IF(AND(Geometry!$E$11&gt;0,$I$9=0),'Deployment Work'!$E$11,IF(E43&lt;=Assumptions!$D$12,'Deployment Work'!$D$11,'Deployment Work'!$E$11))</x:f>
        <x:v>2</x:v>
      </x:c>
      <x:c r="H43" s="2" t="str">
        <x:f>IF(AND(F43&gt;=E43,G43&lt;=$E$9),"PASS","FAIL")</x:f>
        <x:v>PASS</x:v>
      </x:c>
      <x:c r="I43" s="2" t="str">
        <x:f>IF(AND(IF($K$9=0,TRUE,'Thermal Site'!$F$20&lt;=$K$9),IF($L$9=0,TRUE,'Thermal Site'!$G$20&gt;=$L$9),IF($M$9=0,TRUE,'Thermal Site'!$J$20&gt;=E43),IF($N$9=0,TRUE,'Thermal Site'!$K$20&gt;=E43)),"PASS","FAIL")</x:f>
        <x:v>PASS</x:v>
      </x:c>
      <x:c r="J43" s="2" t="str">
        <x:f>IF(AND(IF($O$9=0,TRUE,'Thermal Site'!$H$20&lt;=$O$9),IF($P$9=0,TRUE,'Thermal Site'!$I$20&gt;=$P$9),IF($S$9=0,TRUE,'Thermal Site'!$J$11&gt;=1),IF($T$9=0,TRUE,'Thermal Site'!$L$20="YES")),"PASS","FAIL")</x:f>
        <x:v>PASS</x:v>
      </x:c>
      <x:c r="K43" s="2" t="str">
        <x:f>IF(AND(IF($Q$9&lt;1,'Deployment Work'!$M$11&gt;=1,'Deployment Work'!$L$11&gt;=1),'Deployment Work'!$Y$11&lt;=$R$9),"PASS","FAIL")</x:f>
        <x:v>PASS</x:v>
      </x:c>
      <x:c r="L43" s="2" t="str">
        <x:f>IF(AND(H43="PASS",I43="PASS",J43="PASS",K43="PASS"),"PASS","FAIL")</x:f>
        <x:v>PASS</x:v>
      </x:c>
      <x:c r="M43" s="2"/>
      <x:c r="N43" s="2"/>
      <x:c r="O43" s="2"/>
      <x:c r="P43" s="2"/>
      <x:c r="Q43" s="2"/>
      <x:c r="R43" s="2"/>
      <x:c r="S43" s="2"/>
      <x:c r="T43" s="2"/>
      <x:c r="U43" s="2"/>
      <x:c r="V43" s="2"/>
      <x:c r="W43" s="2"/>
      <x:c r="X43" s="2"/>
      <x:c r="Y43" s="2"/>
      <x:c r="Z43" s="2"/>
    </x:row>
    <x:row r="44">
      <x:c r="A44" s="2"/>
      <x:c r="B44" s="2" t="str">
        <x:v>W1</x:v>
      </x:c>
      <x:c r="C44" s="2" t="str">
        <x:v>protected service by hour 24</x:v>
      </x:c>
      <x:c r="D44" s="2" t="str">
        <x:v>G5</x:v>
      </x:c>
      <x:c r="E44" s="30" t="n">
        <x:f>$D$9</x:f>
        <x:v>0.4</x:v>
      </x:c>
      <x:c r="F44" s="30" t="n">
        <x:f>MIN(1,(Geometry!$E$12*$I$9+(1-Geometry!$E$12)*(Geometry!$O$12*$F$9+Geometry!$P$12*$G$9*IF($J$9=0,0,1)+Geometry!$Q$12*$H$9*IF($J$9=0,0,1)))*IF($U$9=1,'Deployment Work'!$X$12,1))</x:f>
        <x:v>1</x:v>
      </x:c>
      <x:c r="G44" s="36" t="n">
        <x:f>IF(AND(Geometry!$E$12&gt;0,$I$9=0),'Deployment Work'!$E$12,IF(E44&lt;=Assumptions!$D$12,'Deployment Work'!$D$12,'Deployment Work'!$E$12))</x:f>
        <x:v>10</x:v>
      </x:c>
      <x:c r="H44" s="2" t="str">
        <x:f>IF(AND(F44&gt;=E44,G44&lt;=$E$9),"PASS","FAIL")</x:f>
        <x:v>PASS</x:v>
      </x:c>
      <x:c r="I44" s="2" t="str">
        <x:f>IF(AND(IF($K$9=0,TRUE,'Thermal Site'!$F$21&lt;=$K$9),IF($L$9=0,TRUE,'Thermal Site'!$G$21&gt;=$L$9),IF($M$9=0,TRUE,'Thermal Site'!$J$21&gt;=E44),IF($N$9=0,TRUE,'Thermal Site'!$K$21&gt;=E44)),"PASS","FAIL")</x:f>
        <x:v>PASS</x:v>
      </x:c>
      <x:c r="J44" s="2" t="str">
        <x:f>IF(AND(IF($O$9=0,TRUE,'Thermal Site'!$H$21&lt;=$O$9),IF($P$9=0,TRUE,'Thermal Site'!$I$21&gt;=$P$9),IF($S$9=0,TRUE,'Thermal Site'!$J$12&gt;=1),IF($T$9=0,TRUE,'Thermal Site'!$L$21="YES")),"PASS","FAIL")</x:f>
        <x:v>PASS</x:v>
      </x:c>
      <x:c r="K44" s="2" t="str">
        <x:f>IF(AND(IF($Q$9&lt;1,'Deployment Work'!$M$12&gt;=1,'Deployment Work'!$L$12&gt;=1),'Deployment Work'!$Y$12&lt;=$R$9),"PASS","FAIL")</x:f>
        <x:v>PASS</x:v>
      </x:c>
      <x:c r="L44" s="2" t="str">
        <x:f>IF(AND(H44="PASS",I44="PASS",J44="PASS",K44="PASS"),"PASS","FAIL")</x:f>
        <x:v>PASS</x:v>
      </x:c>
      <x:c r="M44" s="2"/>
      <x:c r="N44" s="2"/>
      <x:c r="O44" s="2"/>
      <x:c r="P44" s="2"/>
      <x:c r="Q44" s="2"/>
      <x:c r="R44" s="2"/>
      <x:c r="S44" s="2"/>
      <x:c r="T44" s="2"/>
      <x:c r="U44" s="2"/>
      <x:c r="V44" s="2"/>
      <x:c r="W44" s="2"/>
      <x:c r="X44" s="2"/>
      <x:c r="Y44" s="2"/>
      <x:c r="Z44" s="2"/>
    </x:row>
    <x:row r="45">
      <x:c r="A45" s="2"/>
      <x:c r="B45" s="2" t="str">
        <x:v>W2</x:v>
      </x:c>
      <x:c r="C45" s="2" t="str">
        <x:v>complete service by hour 48</x:v>
      </x:c>
      <x:c r="D45" s="2" t="str">
        <x:v>G1</x:v>
      </x:c>
      <x:c r="E45" s="30" t="n">
        <x:f>$D$10</x:f>
        <x:v>1</x:v>
      </x:c>
      <x:c r="F45" s="30" t="n">
        <x:f>MIN(1,(Geometry!$E$8*$I$10+(1-Geometry!$E$8)*(Geometry!$O$8*$F$10+Geometry!$P$8*$G$10+Geometry!$Q$8*$H$10))*IF($U$10=1,'Deployment Work'!$X$8,1))</x:f>
        <x:v>1</x:v>
      </x:c>
      <x:c r="G45" s="36" t="n">
        <x:f>IF(AND(Geometry!$E$8&gt;0,$I$10=0),'Deployment Work'!$E$8,IF(E45&lt;=Assumptions!$D$12,'Deployment Work'!$D$8,'Deployment Work'!$E$8))</x:f>
        <x:v>36</x:v>
      </x:c>
      <x:c r="H45" s="2" t="str">
        <x:f>IF(AND(F45&gt;=E45,G45&lt;=$E$10),"PASS","FAIL")</x:f>
        <x:v>PASS</x:v>
      </x:c>
      <x:c r="I45" s="2" t="str">
        <x:f>IF(AND(IF($K$10=0,TRUE,'Thermal Site'!$F$17&lt;=$K$10),IF($L$10=0,TRUE,'Thermal Site'!$G$17&gt;=$L$10),IF($M$10=0,TRUE,'Thermal Site'!$J$17&gt;=E45),IF($N$10=0,TRUE,'Thermal Site'!$K$17&gt;=E45)),"PASS","FAIL")</x:f>
        <x:v>PASS</x:v>
      </x:c>
      <x:c r="J45" s="2" t="str">
        <x:f>IF(AND(IF($O$10=0,TRUE,'Thermal Site'!$H$17&lt;=$O$10),IF($P$10=0,TRUE,'Thermal Site'!$I$17&gt;=$P$10),IF($S$10=0,TRUE,'Thermal Site'!$J$8&gt;=1),IF($T$10=0,TRUE,'Thermal Site'!$L$17="YES")),"PASS","FAIL")</x:f>
        <x:v>PASS</x:v>
      </x:c>
      <x:c r="K45" s="2" t="str">
        <x:f>IF(AND(IF($Q$10&lt;1,'Deployment Work'!$M$8&gt;=1,'Deployment Work'!$L$8&gt;=1),'Deployment Work'!$Y$8&lt;=$R$10),"PASS","FAIL")</x:f>
        <x:v>PASS</x:v>
      </x:c>
      <x:c r="L45" s="2" t="str">
        <x:f>IF(AND(H45="PASS",I45="PASS",J45="PASS",K45="PASS"),"PASS","FAIL")</x:f>
        <x:v>PASS</x:v>
      </x:c>
      <x:c r="M45" s="2"/>
      <x:c r="N45" s="2"/>
      <x:c r="O45" s="2"/>
      <x:c r="P45" s="2"/>
      <x:c r="Q45" s="2"/>
      <x:c r="R45" s="2"/>
      <x:c r="S45" s="2"/>
      <x:c r="T45" s="2"/>
      <x:c r="U45" s="2"/>
      <x:c r="V45" s="2"/>
      <x:c r="W45" s="2"/>
      <x:c r="X45" s="2"/>
      <x:c r="Y45" s="2"/>
      <x:c r="Z45" s="2"/>
    </x:row>
    <x:row r="46">
      <x:c r="A46" s="2"/>
      <x:c r="B46" s="2" t="str">
        <x:v>W2</x:v>
      </x:c>
      <x:c r="C46" s="2" t="str">
        <x:v>complete service by hour 48</x:v>
      </x:c>
      <x:c r="D46" s="2" t="str">
        <x:v>G2</x:v>
      </x:c>
      <x:c r="E46" s="30" t="n">
        <x:f>$D$10</x:f>
        <x:v>1</x:v>
      </x:c>
      <x:c r="F46" s="30" t="n">
        <x:f>MIN(1,(Geometry!$E$9*$I$10+(1-Geometry!$E$9)*(Geometry!$O$9*$F$10+Geometry!$P$9*$G$10*IF($J$10=0,0,1)+Geometry!$Q$9*$H$10))*IF($U$10=1,'Deployment Work'!$X$9,1))</x:f>
        <x:v>1</x:v>
      </x:c>
      <x:c r="G46" s="36" t="n">
        <x:f>IF(AND(Geometry!$E$9&gt;0,$I$10=0),'Deployment Work'!$E$9,IF(E46&lt;=Assumptions!$D$12,'Deployment Work'!$D$9,'Deployment Work'!$E$9))</x:f>
        <x:v>44</x:v>
      </x:c>
      <x:c r="H46" s="2" t="str">
        <x:f>IF(AND(F46&gt;=E46,G46&lt;=$E$10),"PASS","FAIL")</x:f>
        <x:v>PASS</x:v>
      </x:c>
      <x:c r="I46" s="2" t="str">
        <x:f>IF(AND(IF($K$10=0,TRUE,'Thermal Site'!$F$18&lt;=$K$10),IF($L$10=0,TRUE,'Thermal Site'!$G$18&gt;=$L$10),IF($M$10=0,TRUE,'Thermal Site'!$J$18&gt;=E46),IF($N$10=0,TRUE,'Thermal Site'!$K$18&gt;=E46)),"PASS","FAIL")</x:f>
        <x:v>PASS</x:v>
      </x:c>
      <x:c r="J46" s="2" t="str">
        <x:f>IF(AND(IF($O$10=0,TRUE,'Thermal Site'!$H$18&lt;=$O$10),IF($P$10=0,TRUE,'Thermal Site'!$I$18&gt;=$P$10),IF($S$10=0,TRUE,'Thermal Site'!$J$9&gt;=1),IF($T$10=0,TRUE,'Thermal Site'!$L$18="YES")),"PASS","FAIL")</x:f>
        <x:v>PASS</x:v>
      </x:c>
      <x:c r="K46" s="2" t="str">
        <x:f>IF(AND(IF($Q$10&lt;1,'Deployment Work'!$M$9&gt;=1,'Deployment Work'!$L$9&gt;=1),'Deployment Work'!$Y$9&lt;=$R$10),"PASS","FAIL")</x:f>
        <x:v>PASS</x:v>
      </x:c>
      <x:c r="L46" s="2" t="str">
        <x:f>IF(AND(H46="PASS",I46="PASS",J46="PASS",K46="PASS"),"PASS","FAIL")</x:f>
        <x:v>PASS</x:v>
      </x:c>
      <x:c r="M46" s="2"/>
      <x:c r="N46" s="2"/>
      <x:c r="O46" s="2"/>
      <x:c r="P46" s="2"/>
      <x:c r="Q46" s="2"/>
      <x:c r="R46" s="2"/>
      <x:c r="S46" s="2"/>
      <x:c r="T46" s="2"/>
      <x:c r="U46" s="2"/>
      <x:c r="V46" s="2"/>
      <x:c r="W46" s="2"/>
      <x:c r="X46" s="2"/>
      <x:c r="Y46" s="2"/>
      <x:c r="Z46" s="2"/>
    </x:row>
    <x:row r="47">
      <x:c r="A47" s="2"/>
      <x:c r="B47" s="2" t="str">
        <x:v>W2</x:v>
      </x:c>
      <x:c r="C47" s="2" t="str">
        <x:v>complete service by hour 48</x:v>
      </x:c>
      <x:c r="D47" s="2" t="str">
        <x:v>G3</x:v>
      </x:c>
      <x:c r="E47" s="30" t="n">
        <x:f>$D$10</x:f>
        <x:v>1</x:v>
      </x:c>
      <x:c r="F47" s="30" t="n">
        <x:f>MIN(1,(Geometry!$E$10*$I$10+(1-Geometry!$E$10)*(Geometry!$O$10*$F$10+Geometry!$P$10*$G$10+Geometry!$Q$10*$H$10))*IF($U$10=1,'Deployment Work'!$X$10,1))</x:f>
        <x:v>1</x:v>
      </x:c>
      <x:c r="G47" s="36" t="n">
        <x:f>IF(AND(Geometry!$E$10&gt;0,$I$10=0),'Deployment Work'!$E$10,IF(E47&lt;=Assumptions!$D$12,'Deployment Work'!$D$10,'Deployment Work'!$E$10))</x:f>
        <x:v>30</x:v>
      </x:c>
      <x:c r="H47" s="2" t="str">
        <x:f>IF(AND(F47&gt;=E47,G47&lt;=$E$10),"PASS","FAIL")</x:f>
        <x:v>PASS</x:v>
      </x:c>
      <x:c r="I47" s="2" t="str">
        <x:f>IF(AND(IF($K$10=0,TRUE,'Thermal Site'!$F$19&lt;=$K$10),IF($L$10=0,TRUE,'Thermal Site'!$G$19&gt;=$L$10),IF($M$10=0,TRUE,'Thermal Site'!$J$19&gt;=E47),IF($N$10=0,TRUE,'Thermal Site'!$K$19&gt;=E47)),"PASS","FAIL")</x:f>
        <x:v>PASS</x:v>
      </x:c>
      <x:c r="J47" s="2" t="str">
        <x:f>IF(AND(IF($O$10=0,TRUE,'Thermal Site'!$H$19&lt;=$O$10),IF($P$10=0,TRUE,'Thermal Site'!$I$19&gt;=$P$10),IF($S$10=0,TRUE,'Thermal Site'!$J$10&gt;=1),IF($T$10=0,TRUE,'Thermal Site'!$L$19="YES")),"PASS","FAIL")</x:f>
        <x:v>PASS</x:v>
      </x:c>
      <x:c r="K47" s="2" t="str">
        <x:f>IF(AND(IF($Q$10&lt;1,'Deployment Work'!$M$10&gt;=1,'Deployment Work'!$L$10&gt;=1),'Deployment Work'!$Y$10&lt;=$R$10),"PASS","FAIL")</x:f>
        <x:v>PASS</x:v>
      </x:c>
      <x:c r="L47" s="2" t="str">
        <x:f>IF(AND(H47="PASS",I47="PASS",J47="PASS",K47="PASS"),"PASS","FAIL")</x:f>
        <x:v>PASS</x:v>
      </x:c>
      <x:c r="M47" s="2"/>
      <x:c r="N47" s="2"/>
      <x:c r="O47" s="2"/>
      <x:c r="P47" s="2"/>
      <x:c r="Q47" s="2"/>
      <x:c r="R47" s="2"/>
      <x:c r="S47" s="2"/>
      <x:c r="T47" s="2"/>
      <x:c r="U47" s="2"/>
      <x:c r="V47" s="2"/>
      <x:c r="W47" s="2"/>
      <x:c r="X47" s="2"/>
      <x:c r="Y47" s="2"/>
      <x:c r="Z47" s="2"/>
    </x:row>
    <x:row r="48">
      <x:c r="A48" s="2"/>
      <x:c r="B48" s="2" t="str">
        <x:v>W2</x:v>
      </x:c>
      <x:c r="C48" s="2" t="str">
        <x:v>complete service by hour 48</x:v>
      </x:c>
      <x:c r="D48" s="2" t="str">
        <x:v>G4</x:v>
      </x:c>
      <x:c r="E48" s="30" t="n">
        <x:f>$D$10</x:f>
        <x:v>1</x:v>
      </x:c>
      <x:c r="F48" s="30" t="n">
        <x:f>MIN(1,(Geometry!$E$11*$I$10+(1-Geometry!$E$11)*(Geometry!$O$11*$F$10+Geometry!$P$11*$G$10+Geometry!$Q$11*$H$10))*IF($U$10=1,'Deployment Work'!$X$11,1))</x:f>
        <x:v>1</x:v>
      </x:c>
      <x:c r="G48" s="36" t="n">
        <x:f>IF(AND(Geometry!$E$11&gt;0,$I$10=0),'Deployment Work'!$E$11,IF(E48&lt;=Assumptions!$D$12,'Deployment Work'!$D$11,'Deployment Work'!$E$11))</x:f>
        <x:v>12</x:v>
      </x:c>
      <x:c r="H48" s="2" t="str">
        <x:f>IF(AND(F48&gt;=E48,G48&lt;=$E$10),"PASS","FAIL")</x:f>
        <x:v>PASS</x:v>
      </x:c>
      <x:c r="I48" s="2" t="str">
        <x:f>IF(AND(IF($K$10=0,TRUE,'Thermal Site'!$F$20&lt;=$K$10),IF($L$10=0,TRUE,'Thermal Site'!$G$20&gt;=$L$10),IF($M$10=0,TRUE,'Thermal Site'!$J$20&gt;=E48),IF($N$10=0,TRUE,'Thermal Site'!$K$20&gt;=E48)),"PASS","FAIL")</x:f>
        <x:v>PASS</x:v>
      </x:c>
      <x:c r="J48" s="2" t="str">
        <x:f>IF(AND(IF($O$10=0,TRUE,'Thermal Site'!$H$20&lt;=$O$10),IF($P$10=0,TRUE,'Thermal Site'!$I$20&gt;=$P$10),IF($S$10=0,TRUE,'Thermal Site'!$J$11&gt;=1),IF($T$10=0,TRUE,'Thermal Site'!$L$20="YES")),"PASS","FAIL")</x:f>
        <x:v>PASS</x:v>
      </x:c>
      <x:c r="K48" s="2" t="str">
        <x:f>IF(AND(IF($Q$10&lt;1,'Deployment Work'!$M$11&gt;=1,'Deployment Work'!$L$11&gt;=1),'Deployment Work'!$Y$11&lt;=$R$10),"PASS","FAIL")</x:f>
        <x:v>PASS</x:v>
      </x:c>
      <x:c r="L48" s="2" t="str">
        <x:f>IF(AND(H48="PASS",I48="PASS",J48="PASS",K48="PASS"),"PASS","FAIL")</x:f>
        <x:v>PASS</x:v>
      </x:c>
      <x:c r="M48" s="2"/>
      <x:c r="N48" s="2"/>
      <x:c r="O48" s="2"/>
      <x:c r="P48" s="2"/>
      <x:c r="Q48" s="2"/>
      <x:c r="R48" s="2"/>
      <x:c r="S48" s="2"/>
      <x:c r="T48" s="2"/>
      <x:c r="U48" s="2"/>
      <x:c r="V48" s="2"/>
      <x:c r="W48" s="2"/>
      <x:c r="X48" s="2"/>
      <x:c r="Y48" s="2"/>
      <x:c r="Z48" s="2"/>
    </x:row>
    <x:row r="49">
      <x:c r="A49" s="2"/>
      <x:c r="B49" s="2" t="str">
        <x:v>W2</x:v>
      </x:c>
      <x:c r="C49" s="2" t="str">
        <x:v>complete service by hour 48</x:v>
      </x:c>
      <x:c r="D49" s="2" t="str">
        <x:v>G5</x:v>
      </x:c>
      <x:c r="E49" s="30" t="n">
        <x:f>$D$10</x:f>
        <x:v>1</x:v>
      </x:c>
      <x:c r="F49" s="30" t="n">
        <x:f>MIN(1,(Geometry!$E$12*$I$10+(1-Geometry!$E$12)*(Geometry!$O$12*$F$10+Geometry!$P$12*$G$10*IF($J$10=0,0,1)+Geometry!$Q$12*$H$10*IF($J$10=0,0,1)))*IF($U$10=1,'Deployment Work'!$X$12,1))</x:f>
        <x:v>1</x:v>
      </x:c>
      <x:c r="G49" s="36" t="n">
        <x:f>IF(AND(Geometry!$E$12&gt;0,$I$10=0),'Deployment Work'!$E$12,IF(E49&lt;=Assumptions!$D$12,'Deployment Work'!$D$12,'Deployment Work'!$E$12))</x:f>
        <x:v>46</x:v>
      </x:c>
      <x:c r="H49" s="2" t="str">
        <x:f>IF(AND(F49&gt;=E49,G49&lt;=$E$10),"PASS","FAIL")</x:f>
        <x:v>PASS</x:v>
      </x:c>
      <x:c r="I49" s="2" t="str">
        <x:f>IF(AND(IF($K$10=0,TRUE,'Thermal Site'!$F$21&lt;=$K$10),IF($L$10=0,TRUE,'Thermal Site'!$G$21&gt;=$L$10),IF($M$10=0,TRUE,'Thermal Site'!$J$21&gt;=E49),IF($N$10=0,TRUE,'Thermal Site'!$K$21&gt;=E49)),"PASS","FAIL")</x:f>
        <x:v>PASS</x:v>
      </x:c>
      <x:c r="J49" s="2" t="str">
        <x:f>IF(AND(IF($O$10=0,TRUE,'Thermal Site'!$H$21&lt;=$O$10),IF($P$10=0,TRUE,'Thermal Site'!$I$21&gt;=$P$10),IF($S$10=0,TRUE,'Thermal Site'!$J$12&gt;=1),IF($T$10=0,TRUE,'Thermal Site'!$L$21="YES")),"PASS","FAIL")</x:f>
        <x:v>PASS</x:v>
      </x:c>
      <x:c r="K49" s="2" t="str">
        <x:f>IF(AND(IF($Q$10&lt;1,'Deployment Work'!$M$12&gt;=1,'Deployment Work'!$L$12&gt;=1),'Deployment Work'!$Y$12&lt;=$R$10),"PASS","FAIL")</x:f>
        <x:v>PASS</x:v>
      </x:c>
      <x:c r="L49" s="2" t="str">
        <x:f>IF(AND(H49="PASS",I49="PASS",J49="PASS",K49="PASS"),"PASS","FAIL")</x:f>
        <x:v>PASS</x:v>
      </x:c>
      <x:c r="M49" s="2"/>
      <x:c r="N49" s="2"/>
      <x:c r="O49" s="2"/>
      <x:c r="P49" s="2"/>
      <x:c r="Q49" s="2"/>
      <x:c r="R49" s="2"/>
      <x:c r="S49" s="2"/>
      <x:c r="T49" s="2"/>
      <x:c r="U49" s="2"/>
      <x:c r="V49" s="2"/>
      <x:c r="W49" s="2"/>
      <x:c r="X49" s="2"/>
      <x:c r="Y49" s="2"/>
      <x:c r="Z49" s="2"/>
    </x:row>
    <x:row r="50">
      <x:c r="A50" s="2"/>
      <x:c r="B50" s="2" t="str">
        <x:v>W3</x:v>
      </x:c>
      <x:c r="C50" s="2" t="str">
        <x:v>road access denied</x:v>
      </x:c>
      <x:c r="D50" s="2" t="str">
        <x:v>G1</x:v>
      </x:c>
      <x:c r="E50" s="30" t="n">
        <x:f>$D$11</x:f>
        <x:v>0.4</x:v>
      </x:c>
      <x:c r="F50" s="30" t="n">
        <x:f>MIN(1,(Geometry!$E$8*$I$11+(1-Geometry!$E$8)*(Geometry!$O$8*$F$11+Geometry!$P$8*$G$11+Geometry!$Q$8*$H$11))*IF($U$11=1,'Deployment Work'!$X$8,1))</x:f>
        <x:v>0</x:v>
      </x:c>
      <x:c r="G50" s="36" t="n">
        <x:f>IF(AND(Geometry!$E$8&gt;0,$I$11=0),'Deployment Work'!$E$8,IF(E50&lt;=Assumptions!$D$12,'Deployment Work'!$D$8,'Deployment Work'!$E$8))</x:f>
        <x:v>12</x:v>
      </x:c>
      <x:c r="H50" s="2" t="str">
        <x:f>IF(AND(F50&gt;=E50,G50&lt;=$E$11),"PASS","FAIL")</x:f>
        <x:v>FAIL</x:v>
      </x:c>
      <x:c r="I50" s="2" t="str">
        <x:f>IF(AND(IF($K$11=0,TRUE,'Thermal Site'!$F$17&lt;=$K$11),IF($L$11=0,TRUE,'Thermal Site'!$G$17&gt;=$L$11),IF($M$11=0,TRUE,'Thermal Site'!$J$17&gt;=E50),IF($N$11=0,TRUE,'Thermal Site'!$K$17&gt;=E50)),"PASS","FAIL")</x:f>
        <x:v>PASS</x:v>
      </x:c>
      <x:c r="J50" s="2" t="str">
        <x:f>IF(AND(IF($O$11=0,TRUE,'Thermal Site'!$H$17&lt;=$O$11),IF($P$11=0,TRUE,'Thermal Site'!$I$17&gt;=$P$11),IF($S$11=0,TRUE,'Thermal Site'!$J$8&gt;=1),IF($T$11=0,TRUE,'Thermal Site'!$L$17="YES")),"PASS","FAIL")</x:f>
        <x:v>PASS</x:v>
      </x:c>
      <x:c r="K50" s="2" t="str">
        <x:f>IF(AND(IF($Q$11&lt;1,'Deployment Work'!$M$8&gt;=1,'Deployment Work'!$L$8&gt;=1),'Deployment Work'!$Y$8&lt;=$R$11),"PASS","FAIL")</x:f>
        <x:v>PASS</x:v>
      </x:c>
      <x:c r="L50" s="2" t="str">
        <x:f>IF(AND(H50="PASS",I50="PASS",J50="PASS",K50="PASS"),"PASS","FAIL")</x:f>
        <x:v>FAIL</x:v>
      </x:c>
      <x:c r="M50" s="2"/>
      <x:c r="N50" s="2"/>
      <x:c r="O50" s="2"/>
      <x:c r="P50" s="2"/>
      <x:c r="Q50" s="2"/>
      <x:c r="R50" s="2"/>
      <x:c r="S50" s="2"/>
      <x:c r="T50" s="2"/>
      <x:c r="U50" s="2"/>
      <x:c r="V50" s="2"/>
      <x:c r="W50" s="2"/>
      <x:c r="X50" s="2"/>
      <x:c r="Y50" s="2"/>
      <x:c r="Z50" s="2"/>
    </x:row>
    <x:row r="51">
      <x:c r="A51" s="2"/>
      <x:c r="B51" s="2" t="str">
        <x:v>W3</x:v>
      </x:c>
      <x:c r="C51" s="2" t="str">
        <x:v>road access denied</x:v>
      </x:c>
      <x:c r="D51" s="2" t="str">
        <x:v>G2</x:v>
      </x:c>
      <x:c r="E51" s="30" t="n">
        <x:f>$D$11</x:f>
        <x:v>0.4</x:v>
      </x:c>
      <x:c r="F51" s="30" t="n">
        <x:f>MIN(1,(Geometry!$E$9*$I$11+(1-Geometry!$E$9)*(Geometry!$O$9*$F$11+Geometry!$P$9*$G$11*IF($J$11=0,0,1)+Geometry!$Q$9*$H$11))*IF($U$11=1,'Deployment Work'!$X$9,1))</x:f>
        <x:v>0.9</x:v>
      </x:c>
      <x:c r="G51" s="36" t="n">
        <x:f>IF(AND(Geometry!$E$9&gt;0,$I$11=0),'Deployment Work'!$E$9,IF(E51&lt;=Assumptions!$D$12,'Deployment Work'!$D$9,'Deployment Work'!$E$9))</x:f>
        <x:v>18</x:v>
      </x:c>
      <x:c r="H51" s="2" t="str">
        <x:f>IF(AND(F51&gt;=E51,G51&lt;=$E$11),"PASS","FAIL")</x:f>
        <x:v>PASS</x:v>
      </x:c>
      <x:c r="I51" s="2" t="str">
        <x:f>IF(AND(IF($K$11=0,TRUE,'Thermal Site'!$F$18&lt;=$K$11),IF($L$11=0,TRUE,'Thermal Site'!$G$18&gt;=$L$11),IF($M$11=0,TRUE,'Thermal Site'!$J$18&gt;=E51),IF($N$11=0,TRUE,'Thermal Site'!$K$18&gt;=E51)),"PASS","FAIL")</x:f>
        <x:v>PASS</x:v>
      </x:c>
      <x:c r="J51" s="2" t="str">
        <x:f>IF(AND(IF($O$11=0,TRUE,'Thermal Site'!$H$18&lt;=$O$11),IF($P$11=0,TRUE,'Thermal Site'!$I$18&gt;=$P$11),IF($S$11=0,TRUE,'Thermal Site'!$J$9&gt;=1),IF($T$11=0,TRUE,'Thermal Site'!$L$18="YES")),"PASS","FAIL")</x:f>
        <x:v>PASS</x:v>
      </x:c>
      <x:c r="K51" s="2" t="str">
        <x:f>IF(AND(IF($Q$11&lt;1,'Deployment Work'!$M$9&gt;=1,'Deployment Work'!$L$9&gt;=1),'Deployment Work'!$Y$9&lt;=$R$11),"PASS","FAIL")</x:f>
        <x:v>PASS</x:v>
      </x:c>
      <x:c r="L51" s="2" t="str">
        <x:f>IF(AND(H51="PASS",I51="PASS",J51="PASS",K51="PASS"),"PASS","FAIL")</x:f>
        <x:v>PASS</x:v>
      </x:c>
      <x:c r="M51" s="2"/>
      <x:c r="N51" s="2"/>
      <x:c r="O51" s="2"/>
      <x:c r="P51" s="2"/>
      <x:c r="Q51" s="2"/>
      <x:c r="R51" s="2"/>
      <x:c r="S51" s="2"/>
      <x:c r="T51" s="2"/>
      <x:c r="U51" s="2"/>
      <x:c r="V51" s="2"/>
      <x:c r="W51" s="2"/>
      <x:c r="X51" s="2"/>
      <x:c r="Y51" s="2"/>
      <x:c r="Z51" s="2"/>
    </x:row>
    <x:row r="52">
      <x:c r="A52" s="2"/>
      <x:c r="B52" s="2" t="str">
        <x:v>W3</x:v>
      </x:c>
      <x:c r="C52" s="2" t="str">
        <x:v>road access denied</x:v>
      </x:c>
      <x:c r="D52" s="2" t="str">
        <x:v>G3</x:v>
      </x:c>
      <x:c r="E52" s="30" t="n">
        <x:f>$D$11</x:f>
        <x:v>0.4</x:v>
      </x:c>
      <x:c r="F52" s="30" t="n">
        <x:f>MIN(1,(Geometry!$E$10*$I$11+(1-Geometry!$E$10)*(Geometry!$O$10*$F$11+Geometry!$P$10*$G$11+Geometry!$Q$10*$H$11))*IF($U$11=1,'Deployment Work'!$X$10,1))</x:f>
        <x:v>1</x:v>
      </x:c>
      <x:c r="G52" s="36" t="n">
        <x:f>IF(AND(Geometry!$E$10&gt;0,$I$11=0),'Deployment Work'!$E$10,IF(E52&lt;=Assumptions!$D$12,'Deployment Work'!$D$10,'Deployment Work'!$E$10))</x:f>
        <x:v>14</x:v>
      </x:c>
      <x:c r="H52" s="2" t="str">
        <x:f>IF(AND(F52&gt;=E52,G52&lt;=$E$11),"PASS","FAIL")</x:f>
        <x:v>PASS</x:v>
      </x:c>
      <x:c r="I52" s="2" t="str">
        <x:f>IF(AND(IF($K$11=0,TRUE,'Thermal Site'!$F$19&lt;=$K$11),IF($L$11=0,TRUE,'Thermal Site'!$G$19&gt;=$L$11),IF($M$11=0,TRUE,'Thermal Site'!$J$19&gt;=E52),IF($N$11=0,TRUE,'Thermal Site'!$K$19&gt;=E52)),"PASS","FAIL")</x:f>
        <x:v>PASS</x:v>
      </x:c>
      <x:c r="J52" s="2" t="str">
        <x:f>IF(AND(IF($O$11=0,TRUE,'Thermal Site'!$H$19&lt;=$O$11),IF($P$11=0,TRUE,'Thermal Site'!$I$19&gt;=$P$11),IF($S$11=0,TRUE,'Thermal Site'!$J$10&gt;=1),IF($T$11=0,TRUE,'Thermal Site'!$L$19="YES")),"PASS","FAIL")</x:f>
        <x:v>PASS</x:v>
      </x:c>
      <x:c r="K52" s="2" t="str">
        <x:f>IF(AND(IF($Q$11&lt;1,'Deployment Work'!$M$10&gt;=1,'Deployment Work'!$L$10&gt;=1),'Deployment Work'!$Y$10&lt;=$R$11),"PASS","FAIL")</x:f>
        <x:v>PASS</x:v>
      </x:c>
      <x:c r="L52" s="2" t="str">
        <x:f>IF(AND(H52="PASS",I52="PASS",J52="PASS",K52="PASS"),"PASS","FAIL")</x:f>
        <x:v>PASS</x:v>
      </x:c>
      <x:c r="M52" s="2"/>
      <x:c r="N52" s="2"/>
      <x:c r="O52" s="2"/>
      <x:c r="P52" s="2"/>
      <x:c r="Q52" s="2"/>
      <x:c r="R52" s="2"/>
      <x:c r="S52" s="2"/>
      <x:c r="T52" s="2"/>
      <x:c r="U52" s="2"/>
      <x:c r="V52" s="2"/>
      <x:c r="W52" s="2"/>
      <x:c r="X52" s="2"/>
      <x:c r="Y52" s="2"/>
      <x:c r="Z52" s="2"/>
    </x:row>
    <x:row r="53">
      <x:c r="A53" s="2"/>
      <x:c r="B53" s="2" t="str">
        <x:v>W3</x:v>
      </x:c>
      <x:c r="C53" s="2" t="str">
        <x:v>road access denied</x:v>
      </x:c>
      <x:c r="D53" s="2" t="str">
        <x:v>G4</x:v>
      </x:c>
      <x:c r="E53" s="30" t="n">
        <x:f>$D$11</x:f>
        <x:v>0.4</x:v>
      </x:c>
      <x:c r="F53" s="30" t="n">
        <x:f>MIN(1,(Geometry!$E$11*$I$11+(1-Geometry!$E$11)*(Geometry!$O$11*$F$11+Geometry!$P$11*$G$11+Geometry!$Q$11*$H$11))*IF($U$11=1,'Deployment Work'!$X$11,1))</x:f>
        <x:v>0.6</x:v>
      </x:c>
      <x:c r="G53" s="36" t="n">
        <x:f>IF(AND(Geometry!$E$11&gt;0,$I$11=0),'Deployment Work'!$E$11,IF(E53&lt;=Assumptions!$D$12,'Deployment Work'!$D$11,'Deployment Work'!$E$11))</x:f>
        <x:v>2</x:v>
      </x:c>
      <x:c r="H53" s="2" t="str">
        <x:f>IF(AND(F53&gt;=E53,G53&lt;=$E$11),"PASS","FAIL")</x:f>
        <x:v>PASS</x:v>
      </x:c>
      <x:c r="I53" s="2" t="str">
        <x:f>IF(AND(IF($K$11=0,TRUE,'Thermal Site'!$F$20&lt;=$K$11),IF($L$11=0,TRUE,'Thermal Site'!$G$20&gt;=$L$11),IF($M$11=0,TRUE,'Thermal Site'!$J$20&gt;=E53),IF($N$11=0,TRUE,'Thermal Site'!$K$20&gt;=E53)),"PASS","FAIL")</x:f>
        <x:v>PASS</x:v>
      </x:c>
      <x:c r="J53" s="2" t="str">
        <x:f>IF(AND(IF($O$11=0,TRUE,'Thermal Site'!$H$20&lt;=$O$11),IF($P$11=0,TRUE,'Thermal Site'!$I$20&gt;=$P$11),IF($S$11=0,TRUE,'Thermal Site'!$J$11&gt;=1),IF($T$11=0,TRUE,'Thermal Site'!$L$20="YES")),"PASS","FAIL")</x:f>
        <x:v>PASS</x:v>
      </x:c>
      <x:c r="K53" s="2" t="str">
        <x:f>IF(AND(IF($Q$11&lt;1,'Deployment Work'!$M$11&gt;=1,'Deployment Work'!$L$11&gt;=1),'Deployment Work'!$Y$11&lt;=$R$11),"PASS","FAIL")</x:f>
        <x:v>PASS</x:v>
      </x:c>
      <x:c r="L53" s="2" t="str">
        <x:f>IF(AND(H53="PASS",I53="PASS",J53="PASS",K53="PASS"),"PASS","FAIL")</x:f>
        <x:v>PASS</x:v>
      </x:c>
      <x:c r="M53" s="2"/>
      <x:c r="N53" s="2"/>
      <x:c r="O53" s="2"/>
      <x:c r="P53" s="2"/>
      <x:c r="Q53" s="2"/>
      <x:c r="R53" s="2"/>
      <x:c r="S53" s="2"/>
      <x:c r="T53" s="2"/>
      <x:c r="U53" s="2"/>
      <x:c r="V53" s="2"/>
      <x:c r="W53" s="2"/>
      <x:c r="X53" s="2"/>
      <x:c r="Y53" s="2"/>
      <x:c r="Z53" s="2"/>
    </x:row>
    <x:row r="54">
      <x:c r="A54" s="2"/>
      <x:c r="B54" s="2" t="str">
        <x:v>W3</x:v>
      </x:c>
      <x:c r="C54" s="2" t="str">
        <x:v>road access denied</x:v>
      </x:c>
      <x:c r="D54" s="2" t="str">
        <x:v>G5</x:v>
      </x:c>
      <x:c r="E54" s="30" t="n">
        <x:f>$D$11</x:f>
        <x:v>0.4</x:v>
      </x:c>
      <x:c r="F54" s="30" t="n">
        <x:f>MIN(1,(Geometry!$E$12*$I$11+(1-Geometry!$E$12)*(Geometry!$O$12*$F$11+Geometry!$P$12*$G$11*IF($J$11=0,0,1)+Geometry!$Q$12*$H$11*IF($J$11=0,0,1)))*IF($U$11=1,'Deployment Work'!$X$12,1))</x:f>
        <x:v>0.6</x:v>
      </x:c>
      <x:c r="G54" s="36" t="n">
        <x:f>IF(AND(Geometry!$E$12&gt;0,$I$11=0),'Deployment Work'!$E$12,IF(E54&lt;=Assumptions!$D$12,'Deployment Work'!$D$12,'Deployment Work'!$E$12))</x:f>
        <x:v>10</x:v>
      </x:c>
      <x:c r="H54" s="2" t="str">
        <x:f>IF(AND(F54&gt;=E54,G54&lt;=$E$11),"PASS","FAIL")</x:f>
        <x:v>PASS</x:v>
      </x:c>
      <x:c r="I54" s="2" t="str">
        <x:f>IF(AND(IF($K$11=0,TRUE,'Thermal Site'!$F$21&lt;=$K$11),IF($L$11=0,TRUE,'Thermal Site'!$G$21&gt;=$L$11),IF($M$11=0,TRUE,'Thermal Site'!$J$21&gt;=E54),IF($N$11=0,TRUE,'Thermal Site'!$K$21&gt;=E54)),"PASS","FAIL")</x:f>
        <x:v>PASS</x:v>
      </x:c>
      <x:c r="J54" s="2" t="str">
        <x:f>IF(AND(IF($O$11=0,TRUE,'Thermal Site'!$H$21&lt;=$O$11),IF($P$11=0,TRUE,'Thermal Site'!$I$21&gt;=$P$11),IF($S$11=0,TRUE,'Thermal Site'!$J$12&gt;=1),IF($T$11=0,TRUE,'Thermal Site'!$L$21="YES")),"PASS","FAIL")</x:f>
        <x:v>PASS</x:v>
      </x:c>
      <x:c r="K54" s="2" t="str">
        <x:f>IF(AND(IF($Q$11&lt;1,'Deployment Work'!$M$12&gt;=1,'Deployment Work'!$L$12&gt;=1),'Deployment Work'!$Y$12&lt;=$R$11),"PASS","FAIL")</x:f>
        <x:v>PASS</x:v>
      </x:c>
      <x:c r="L54" s="2" t="str">
        <x:f>IF(AND(H54="PASS",I54="PASS",J54="PASS",K54="PASS"),"PASS","FAIL")</x:f>
        <x:v>PASS</x:v>
      </x:c>
      <x:c r="M54" s="2"/>
      <x:c r="N54" s="2"/>
      <x:c r="O54" s="2"/>
      <x:c r="P54" s="2"/>
      <x:c r="Q54" s="2"/>
      <x:c r="R54" s="2"/>
      <x:c r="S54" s="2"/>
      <x:c r="T54" s="2"/>
      <x:c r="U54" s="2"/>
      <x:c r="V54" s="2"/>
      <x:c r="W54" s="2"/>
      <x:c r="X54" s="2"/>
      <x:c r="Y54" s="2"/>
      <x:c r="Z54" s="2"/>
    </x:row>
    <x:row r="55">
      <x:c r="A55" s="2"/>
      <x:c r="B55" s="2" t="str">
        <x:v>W4</x:v>
      </x:c>
      <x:c r="C55" s="2" t="str">
        <x:v>rail access denied</x:v>
      </x:c>
      <x:c r="D55" s="2" t="str">
        <x:v>G1</x:v>
      </x:c>
      <x:c r="E55" s="30" t="n">
        <x:f>$D$12</x:f>
        <x:v>0.4</x:v>
      </x:c>
      <x:c r="F55" s="30" t="n">
        <x:f>MIN(1,(Geometry!$E$8*$I$12+(1-Geometry!$E$8)*(Geometry!$O$8*$F$12+Geometry!$P$8*$G$12+Geometry!$Q$8*$H$12))*IF($U$12=1,'Deployment Work'!$X$8,1))</x:f>
        <x:v>1</x:v>
      </x:c>
      <x:c r="G55" s="36" t="n">
        <x:f>IF(AND(Geometry!$E$8&gt;0,$I$12=0),'Deployment Work'!$E$8,IF(E55&lt;=Assumptions!$D$12,'Deployment Work'!$D$8,'Deployment Work'!$E$8))</x:f>
        <x:v>12</x:v>
      </x:c>
      <x:c r="H55" s="2" t="str">
        <x:f>IF(AND(F55&gt;=E55,G55&lt;=$E$12),"PASS","FAIL")</x:f>
        <x:v>PASS</x:v>
      </x:c>
      <x:c r="I55" s="2" t="str">
        <x:f>IF(AND(IF($K$12=0,TRUE,'Thermal Site'!$F$17&lt;=$K$12),IF($L$12=0,TRUE,'Thermal Site'!$G$17&gt;=$L$12),IF($M$12=0,TRUE,'Thermal Site'!$J$17&gt;=E55),IF($N$12=0,TRUE,'Thermal Site'!$K$17&gt;=E55)),"PASS","FAIL")</x:f>
        <x:v>PASS</x:v>
      </x:c>
      <x:c r="J55" s="2" t="str">
        <x:f>IF(AND(IF($O$12=0,TRUE,'Thermal Site'!$H$17&lt;=$O$12),IF($P$12=0,TRUE,'Thermal Site'!$I$17&gt;=$P$12),IF($S$12=0,TRUE,'Thermal Site'!$J$8&gt;=1),IF($T$12=0,TRUE,'Thermal Site'!$L$17="YES")),"PASS","FAIL")</x:f>
        <x:v>PASS</x:v>
      </x:c>
      <x:c r="K55" s="2" t="str">
        <x:f>IF(AND(IF($Q$12&lt;1,'Deployment Work'!$M$8&gt;=1,'Deployment Work'!$L$8&gt;=1),'Deployment Work'!$Y$8&lt;=$R$12),"PASS","FAIL")</x:f>
        <x:v>PASS</x:v>
      </x:c>
      <x:c r="L55" s="2" t="str">
        <x:f>IF(AND(H55="PASS",I55="PASS",J55="PASS",K55="PASS"),"PASS","FAIL")</x:f>
        <x:v>PASS</x:v>
      </x:c>
      <x:c r="M55" s="2"/>
      <x:c r="N55" s="2"/>
      <x:c r="O55" s="2"/>
      <x:c r="P55" s="2"/>
      <x:c r="Q55" s="2"/>
      <x:c r="R55" s="2"/>
      <x:c r="S55" s="2"/>
      <x:c r="T55" s="2"/>
      <x:c r="U55" s="2"/>
      <x:c r="V55" s="2"/>
      <x:c r="W55" s="2"/>
      <x:c r="X55" s="2"/>
      <x:c r="Y55" s="2"/>
      <x:c r="Z55" s="2"/>
    </x:row>
    <x:row r="56">
      <x:c r="A56" s="2"/>
      <x:c r="B56" s="2" t="str">
        <x:v>W4</x:v>
      </x:c>
      <x:c r="C56" s="2" t="str">
        <x:v>rail access denied</x:v>
      </x:c>
      <x:c r="D56" s="2" t="str">
        <x:v>G2</x:v>
      </x:c>
      <x:c r="E56" s="30" t="n">
        <x:f>$D$12</x:f>
        <x:v>0.4</x:v>
      </x:c>
      <x:c r="F56" s="30" t="n">
        <x:f>MIN(1,(Geometry!$E$9*$I$12+(1-Geometry!$E$9)*(Geometry!$O$9*$F$12+Geometry!$P$9*$G$12*IF($J$12=0,0,1)+Geometry!$Q$9*$H$12))*IF($U$12=1,'Deployment Work'!$X$9,1))</x:f>
        <x:v>0.1</x:v>
      </x:c>
      <x:c r="G56" s="36" t="n">
        <x:f>IF(AND(Geometry!$E$9&gt;0,$I$12=0),'Deployment Work'!$E$9,IF(E56&lt;=Assumptions!$D$12,'Deployment Work'!$D$9,'Deployment Work'!$E$9))</x:f>
        <x:v>18</x:v>
      </x:c>
      <x:c r="H56" s="2" t="str">
        <x:f>IF(AND(F56&gt;=E56,G56&lt;=$E$12),"PASS","FAIL")</x:f>
        <x:v>FAIL</x:v>
      </x:c>
      <x:c r="I56" s="2" t="str">
        <x:f>IF(AND(IF($K$12=0,TRUE,'Thermal Site'!$F$18&lt;=$K$12),IF($L$12=0,TRUE,'Thermal Site'!$G$18&gt;=$L$12),IF($M$12=0,TRUE,'Thermal Site'!$J$18&gt;=E56),IF($N$12=0,TRUE,'Thermal Site'!$K$18&gt;=E56)),"PASS","FAIL")</x:f>
        <x:v>PASS</x:v>
      </x:c>
      <x:c r="J56" s="2" t="str">
        <x:f>IF(AND(IF($O$12=0,TRUE,'Thermal Site'!$H$18&lt;=$O$12),IF($P$12=0,TRUE,'Thermal Site'!$I$18&gt;=$P$12),IF($S$12=0,TRUE,'Thermal Site'!$J$9&gt;=1),IF($T$12=0,TRUE,'Thermal Site'!$L$18="YES")),"PASS","FAIL")</x:f>
        <x:v>PASS</x:v>
      </x:c>
      <x:c r="K56" s="2" t="str">
        <x:f>IF(AND(IF($Q$12&lt;1,'Deployment Work'!$M$9&gt;=1,'Deployment Work'!$L$9&gt;=1),'Deployment Work'!$Y$9&lt;=$R$12),"PASS","FAIL")</x:f>
        <x:v>PASS</x:v>
      </x:c>
      <x:c r="L56" s="2" t="str">
        <x:f>IF(AND(H56="PASS",I56="PASS",J56="PASS",K56="PASS"),"PASS","FAIL")</x:f>
        <x:v>FAIL</x:v>
      </x:c>
      <x:c r="M56" s="2"/>
      <x:c r="N56" s="2"/>
      <x:c r="O56" s="2"/>
      <x:c r="P56" s="2"/>
      <x:c r="Q56" s="2"/>
      <x:c r="R56" s="2"/>
      <x:c r="S56" s="2"/>
      <x:c r="T56" s="2"/>
      <x:c r="U56" s="2"/>
      <x:c r="V56" s="2"/>
      <x:c r="W56" s="2"/>
      <x:c r="X56" s="2"/>
      <x:c r="Y56" s="2"/>
      <x:c r="Z56" s="2"/>
    </x:row>
    <x:row r="57">
      <x:c r="A57" s="2"/>
      <x:c r="B57" s="2" t="str">
        <x:v>W4</x:v>
      </x:c>
      <x:c r="C57" s="2" t="str">
        <x:v>rail access denied</x:v>
      </x:c>
      <x:c r="D57" s="2" t="str">
        <x:v>G3</x:v>
      </x:c>
      <x:c r="E57" s="30" t="n">
        <x:f>$D$12</x:f>
        <x:v>0.4</x:v>
      </x:c>
      <x:c r="F57" s="30" t="n">
        <x:f>MIN(1,(Geometry!$E$10*$I$12+(1-Geometry!$E$10)*(Geometry!$O$10*$F$12+Geometry!$P$10*$G$12+Geometry!$Q$10*$H$12))*IF($U$12=1,'Deployment Work'!$X$10,1))</x:f>
        <x:v>1</x:v>
      </x:c>
      <x:c r="G57" s="36" t="n">
        <x:f>IF(AND(Geometry!$E$10&gt;0,$I$12=0),'Deployment Work'!$E$10,IF(E57&lt;=Assumptions!$D$12,'Deployment Work'!$D$10,'Deployment Work'!$E$10))</x:f>
        <x:v>14</x:v>
      </x:c>
      <x:c r="H57" s="2" t="str">
        <x:f>IF(AND(F57&gt;=E57,G57&lt;=$E$12),"PASS","FAIL")</x:f>
        <x:v>PASS</x:v>
      </x:c>
      <x:c r="I57" s="2" t="str">
        <x:f>IF(AND(IF($K$12=0,TRUE,'Thermal Site'!$F$19&lt;=$K$12),IF($L$12=0,TRUE,'Thermal Site'!$G$19&gt;=$L$12),IF($M$12=0,TRUE,'Thermal Site'!$J$19&gt;=E57),IF($N$12=0,TRUE,'Thermal Site'!$K$19&gt;=E57)),"PASS","FAIL")</x:f>
        <x:v>PASS</x:v>
      </x:c>
      <x:c r="J57" s="2" t="str">
        <x:f>IF(AND(IF($O$12=0,TRUE,'Thermal Site'!$H$19&lt;=$O$12),IF($P$12=0,TRUE,'Thermal Site'!$I$19&gt;=$P$12),IF($S$12=0,TRUE,'Thermal Site'!$J$10&gt;=1),IF($T$12=0,TRUE,'Thermal Site'!$L$19="YES")),"PASS","FAIL")</x:f>
        <x:v>PASS</x:v>
      </x:c>
      <x:c r="K57" s="2" t="str">
        <x:f>IF(AND(IF($Q$12&lt;1,'Deployment Work'!$M$10&gt;=1,'Deployment Work'!$L$10&gt;=1),'Deployment Work'!$Y$10&lt;=$R$12),"PASS","FAIL")</x:f>
        <x:v>PASS</x:v>
      </x:c>
      <x:c r="L57" s="2" t="str">
        <x:f>IF(AND(H57="PASS",I57="PASS",J57="PASS",K57="PASS"),"PASS","FAIL")</x:f>
        <x:v>PASS</x:v>
      </x:c>
      <x:c r="M57" s="2"/>
      <x:c r="N57" s="2"/>
      <x:c r="O57" s="2"/>
      <x:c r="P57" s="2"/>
      <x:c r="Q57" s="2"/>
      <x:c r="R57" s="2"/>
      <x:c r="S57" s="2"/>
      <x:c r="T57" s="2"/>
      <x:c r="U57" s="2"/>
      <x:c r="V57" s="2"/>
      <x:c r="W57" s="2"/>
      <x:c r="X57" s="2"/>
      <x:c r="Y57" s="2"/>
      <x:c r="Z57" s="2"/>
    </x:row>
    <x:row r="58">
      <x:c r="A58" s="2"/>
      <x:c r="B58" s="2" t="str">
        <x:v>W4</x:v>
      </x:c>
      <x:c r="C58" s="2" t="str">
        <x:v>rail access denied</x:v>
      </x:c>
      <x:c r="D58" s="2" t="str">
        <x:v>G4</x:v>
      </x:c>
      <x:c r="E58" s="30" t="n">
        <x:f>$D$12</x:f>
        <x:v>0.4</x:v>
      </x:c>
      <x:c r="F58" s="30" t="n">
        <x:f>MIN(1,(Geometry!$E$11*$I$12+(1-Geometry!$E$11)*(Geometry!$O$11*$F$12+Geometry!$P$11*$G$12+Geometry!$Q$11*$H$12))*IF($U$12=1,'Deployment Work'!$X$11,1))</x:f>
        <x:v>1</x:v>
      </x:c>
      <x:c r="G58" s="36" t="n">
        <x:f>IF(AND(Geometry!$E$11&gt;0,$I$12=0),'Deployment Work'!$E$11,IF(E58&lt;=Assumptions!$D$12,'Deployment Work'!$D$11,'Deployment Work'!$E$11))</x:f>
        <x:v>2</x:v>
      </x:c>
      <x:c r="H58" s="2" t="str">
        <x:f>IF(AND(F58&gt;=E58,G58&lt;=$E$12),"PASS","FAIL")</x:f>
        <x:v>PASS</x:v>
      </x:c>
      <x:c r="I58" s="2" t="str">
        <x:f>IF(AND(IF($K$12=0,TRUE,'Thermal Site'!$F$20&lt;=$K$12),IF($L$12=0,TRUE,'Thermal Site'!$G$20&gt;=$L$12),IF($M$12=0,TRUE,'Thermal Site'!$J$20&gt;=E58),IF($N$12=0,TRUE,'Thermal Site'!$K$20&gt;=E58)),"PASS","FAIL")</x:f>
        <x:v>PASS</x:v>
      </x:c>
      <x:c r="J58" s="2" t="str">
        <x:f>IF(AND(IF($O$12=0,TRUE,'Thermal Site'!$H$20&lt;=$O$12),IF($P$12=0,TRUE,'Thermal Site'!$I$20&gt;=$P$12),IF($S$12=0,TRUE,'Thermal Site'!$J$11&gt;=1),IF($T$12=0,TRUE,'Thermal Site'!$L$20="YES")),"PASS","FAIL")</x:f>
        <x:v>PASS</x:v>
      </x:c>
      <x:c r="K58" s="2" t="str">
        <x:f>IF(AND(IF($Q$12&lt;1,'Deployment Work'!$M$11&gt;=1,'Deployment Work'!$L$11&gt;=1),'Deployment Work'!$Y$11&lt;=$R$12),"PASS","FAIL")</x:f>
        <x:v>PASS</x:v>
      </x:c>
      <x:c r="L58" s="2" t="str">
        <x:f>IF(AND(H58="PASS",I58="PASS",J58="PASS",K58="PASS"),"PASS","FAIL")</x:f>
        <x:v>PASS</x:v>
      </x:c>
      <x:c r="M58" s="2"/>
      <x:c r="N58" s="2"/>
      <x:c r="O58" s="2"/>
      <x:c r="P58" s="2"/>
      <x:c r="Q58" s="2"/>
      <x:c r="R58" s="2"/>
      <x:c r="S58" s="2"/>
      <x:c r="T58" s="2"/>
      <x:c r="U58" s="2"/>
      <x:c r="V58" s="2"/>
      <x:c r="W58" s="2"/>
      <x:c r="X58" s="2"/>
      <x:c r="Y58" s="2"/>
      <x:c r="Z58" s="2"/>
    </x:row>
    <x:row r="59">
      <x:c r="A59" s="2"/>
      <x:c r="B59" s="2" t="str">
        <x:v>W4</x:v>
      </x:c>
      <x:c r="C59" s="2" t="str">
        <x:v>rail access denied</x:v>
      </x:c>
      <x:c r="D59" s="2" t="str">
        <x:v>G5</x:v>
      </x:c>
      <x:c r="E59" s="30" t="n">
        <x:f>$D$12</x:f>
        <x:v>0.4</x:v>
      </x:c>
      <x:c r="F59" s="30" t="n">
        <x:f>MIN(1,(Geometry!$E$12*$I$12+(1-Geometry!$E$12)*(Geometry!$O$12*$F$12+Geometry!$P$12*$G$12*IF($J$12=0,0,1)+Geometry!$Q$12*$H$12*IF($J$12=0,0,1)))*IF($U$12=1,'Deployment Work'!$X$12,1))</x:f>
        <x:v>0.7</x:v>
      </x:c>
      <x:c r="G59" s="36" t="n">
        <x:f>IF(AND(Geometry!$E$12&gt;0,$I$12=0),'Deployment Work'!$E$12,IF(E59&lt;=Assumptions!$D$12,'Deployment Work'!$D$12,'Deployment Work'!$E$12))</x:f>
        <x:v>10</x:v>
      </x:c>
      <x:c r="H59" s="2" t="str">
        <x:f>IF(AND(F59&gt;=E59,G59&lt;=$E$12),"PASS","FAIL")</x:f>
        <x:v>PASS</x:v>
      </x:c>
      <x:c r="I59" s="2" t="str">
        <x:f>IF(AND(IF($K$12=0,TRUE,'Thermal Site'!$F$21&lt;=$K$12),IF($L$12=0,TRUE,'Thermal Site'!$G$21&gt;=$L$12),IF($M$12=0,TRUE,'Thermal Site'!$J$21&gt;=E59),IF($N$12=0,TRUE,'Thermal Site'!$K$21&gt;=E59)),"PASS","FAIL")</x:f>
        <x:v>PASS</x:v>
      </x:c>
      <x:c r="J59" s="2" t="str">
        <x:f>IF(AND(IF($O$12=0,TRUE,'Thermal Site'!$H$21&lt;=$O$12),IF($P$12=0,TRUE,'Thermal Site'!$I$21&gt;=$P$12),IF($S$12=0,TRUE,'Thermal Site'!$J$12&gt;=1),IF($T$12=0,TRUE,'Thermal Site'!$L$21="YES")),"PASS","FAIL")</x:f>
        <x:v>PASS</x:v>
      </x:c>
      <x:c r="K59" s="2" t="str">
        <x:f>IF(AND(IF($Q$12&lt;1,'Deployment Work'!$M$12&gt;=1,'Deployment Work'!$L$12&gt;=1),'Deployment Work'!$Y$12&lt;=$R$12),"PASS","FAIL")</x:f>
        <x:v>PASS</x:v>
      </x:c>
      <x:c r="L59" s="2" t="str">
        <x:f>IF(AND(H59="PASS",I59="PASS",J59="PASS",K59="PASS"),"PASS","FAIL")</x:f>
        <x:v>PASS</x:v>
      </x:c>
      <x:c r="M59" s="2"/>
      <x:c r="N59" s="2"/>
      <x:c r="O59" s="2"/>
      <x:c r="P59" s="2"/>
      <x:c r="Q59" s="2"/>
      <x:c r="R59" s="2"/>
      <x:c r="S59" s="2"/>
      <x:c r="T59" s="2"/>
      <x:c r="U59" s="2"/>
      <x:c r="V59" s="2"/>
      <x:c r="W59" s="2"/>
      <x:c r="X59" s="2"/>
      <x:c r="Y59" s="2"/>
      <x:c r="Z59" s="2"/>
    </x:row>
    <x:row r="60">
      <x:c r="A60" s="2"/>
      <x:c r="B60" s="2" t="str">
        <x:v>W5</x:v>
      </x:c>
      <x:c r="C60" s="2" t="str">
        <x:v>navigable water access denied</x:v>
      </x:c>
      <x:c r="D60" s="2" t="str">
        <x:v>G1</x:v>
      </x:c>
      <x:c r="E60" s="30" t="n">
        <x:f>$D$13</x:f>
        <x:v>0.4</x:v>
      </x:c>
      <x:c r="F60" s="30" t="n">
        <x:f>MIN(1,(Geometry!$E$8*$I$13+(1-Geometry!$E$8)*(Geometry!$O$8*$F$13+Geometry!$P$8*$G$13+Geometry!$Q$8*$H$13))*IF($U$13=1,'Deployment Work'!$X$8,1))</x:f>
        <x:v>1</x:v>
      </x:c>
      <x:c r="G60" s="36" t="n">
        <x:f>IF(AND(Geometry!$E$8&gt;0,$I$13=0),'Deployment Work'!$E$8,IF(E60&lt;=Assumptions!$D$12,'Deployment Work'!$D$8,'Deployment Work'!$E$8))</x:f>
        <x:v>12</x:v>
      </x:c>
      <x:c r="H60" s="2" t="str">
        <x:f>IF(AND(F60&gt;=E60,G60&lt;=$E$13),"PASS","FAIL")</x:f>
        <x:v>PASS</x:v>
      </x:c>
      <x:c r="I60" s="2" t="str">
        <x:f>IF(AND(IF($K$13=0,TRUE,'Thermal Site'!$F$17&lt;=$K$13),IF($L$13=0,TRUE,'Thermal Site'!$G$17&gt;=$L$13),IF($M$13=0,TRUE,'Thermal Site'!$J$17&gt;=E60),IF($N$13=0,TRUE,'Thermal Site'!$K$17&gt;=E60)),"PASS","FAIL")</x:f>
        <x:v>PASS</x:v>
      </x:c>
      <x:c r="J60" s="2" t="str">
        <x:f>IF(AND(IF($O$13=0,TRUE,'Thermal Site'!$H$17&lt;=$O$13),IF($P$13=0,TRUE,'Thermal Site'!$I$17&gt;=$P$13),IF($S$13=0,TRUE,'Thermal Site'!$J$8&gt;=1),IF($T$13=0,TRUE,'Thermal Site'!$L$17="YES")),"PASS","FAIL")</x:f>
        <x:v>PASS</x:v>
      </x:c>
      <x:c r="K60" s="2" t="str">
        <x:f>IF(AND(IF($Q$13&lt;1,'Deployment Work'!$M$8&gt;=1,'Deployment Work'!$L$8&gt;=1),'Deployment Work'!$Y$8&lt;=$R$13),"PASS","FAIL")</x:f>
        <x:v>PASS</x:v>
      </x:c>
      <x:c r="L60" s="2" t="str">
        <x:f>IF(AND(H60="PASS",I60="PASS",J60="PASS",K60="PASS"),"PASS","FAIL")</x:f>
        <x:v>PASS</x:v>
      </x:c>
      <x:c r="M60" s="2"/>
      <x:c r="N60" s="2"/>
      <x:c r="O60" s="2"/>
      <x:c r="P60" s="2"/>
      <x:c r="Q60" s="2"/>
      <x:c r="R60" s="2"/>
      <x:c r="S60" s="2"/>
      <x:c r="T60" s="2"/>
      <x:c r="U60" s="2"/>
      <x:c r="V60" s="2"/>
      <x:c r="W60" s="2"/>
      <x:c r="X60" s="2"/>
      <x:c r="Y60" s="2"/>
      <x:c r="Z60" s="2"/>
    </x:row>
    <x:row r="61">
      <x:c r="A61" s="2"/>
      <x:c r="B61" s="2" t="str">
        <x:v>W5</x:v>
      </x:c>
      <x:c r="C61" s="2" t="str">
        <x:v>navigable water access denied</x:v>
      </x:c>
      <x:c r="D61" s="2" t="str">
        <x:v>G2</x:v>
      </x:c>
      <x:c r="E61" s="30" t="n">
        <x:f>$D$13</x:f>
        <x:v>0.4</x:v>
      </x:c>
      <x:c r="F61" s="30" t="n">
        <x:f>MIN(1,(Geometry!$E$9*$I$13+(1-Geometry!$E$9)*(Geometry!$O$9*$F$13+Geometry!$P$9*$G$13*IF($J$13=0,0,1)+Geometry!$Q$9*$H$13))*IF($U$13=1,'Deployment Work'!$X$9,1))</x:f>
        <x:v>1</x:v>
      </x:c>
      <x:c r="G61" s="36" t="n">
        <x:f>IF(AND(Geometry!$E$9&gt;0,$I$13=0),'Deployment Work'!$E$9,IF(E61&lt;=Assumptions!$D$12,'Deployment Work'!$D$9,'Deployment Work'!$E$9))</x:f>
        <x:v>18</x:v>
      </x:c>
      <x:c r="H61" s="2" t="str">
        <x:f>IF(AND(F61&gt;=E61,G61&lt;=$E$13),"PASS","FAIL")</x:f>
        <x:v>PASS</x:v>
      </x:c>
      <x:c r="I61" s="2" t="str">
        <x:f>IF(AND(IF($K$13=0,TRUE,'Thermal Site'!$F$18&lt;=$K$13),IF($L$13=0,TRUE,'Thermal Site'!$G$18&gt;=$L$13),IF($M$13=0,TRUE,'Thermal Site'!$J$18&gt;=E61),IF($N$13=0,TRUE,'Thermal Site'!$K$18&gt;=E61)),"PASS","FAIL")</x:f>
        <x:v>PASS</x:v>
      </x:c>
      <x:c r="J61" s="2" t="str">
        <x:f>IF(AND(IF($O$13=0,TRUE,'Thermal Site'!$H$18&lt;=$O$13),IF($P$13=0,TRUE,'Thermal Site'!$I$18&gt;=$P$13),IF($S$13=0,TRUE,'Thermal Site'!$J$9&gt;=1),IF($T$13=0,TRUE,'Thermal Site'!$L$18="YES")),"PASS","FAIL")</x:f>
        <x:v>PASS</x:v>
      </x:c>
      <x:c r="K61" s="2" t="str">
        <x:f>IF(AND(IF($Q$13&lt;1,'Deployment Work'!$M$9&gt;=1,'Deployment Work'!$L$9&gt;=1),'Deployment Work'!$Y$9&lt;=$R$13),"PASS","FAIL")</x:f>
        <x:v>PASS</x:v>
      </x:c>
      <x:c r="L61" s="2" t="str">
        <x:f>IF(AND(H61="PASS",I61="PASS",J61="PASS",K61="PASS"),"PASS","FAIL")</x:f>
        <x:v>PASS</x:v>
      </x:c>
      <x:c r="M61" s="2"/>
      <x:c r="N61" s="2"/>
      <x:c r="O61" s="2"/>
      <x:c r="P61" s="2"/>
      <x:c r="Q61" s="2"/>
      <x:c r="R61" s="2"/>
      <x:c r="S61" s="2"/>
      <x:c r="T61" s="2"/>
      <x:c r="U61" s="2"/>
      <x:c r="V61" s="2"/>
      <x:c r="W61" s="2"/>
      <x:c r="X61" s="2"/>
      <x:c r="Y61" s="2"/>
      <x:c r="Z61" s="2"/>
    </x:row>
    <x:row r="62">
      <x:c r="A62" s="2"/>
      <x:c r="B62" s="2" t="str">
        <x:v>W5</x:v>
      </x:c>
      <x:c r="C62" s="2" t="str">
        <x:v>navigable water access denied</x:v>
      </x:c>
      <x:c r="D62" s="2" t="str">
        <x:v>G3</x:v>
      </x:c>
      <x:c r="E62" s="30" t="n">
        <x:f>$D$13</x:f>
        <x:v>0.4</x:v>
      </x:c>
      <x:c r="F62" s="30" t="n">
        <x:f>MIN(1,(Geometry!$E$10*$I$13+(1-Geometry!$E$10)*(Geometry!$O$10*$F$13+Geometry!$P$10*$G$13+Geometry!$Q$10*$H$13))*IF($U$13=1,'Deployment Work'!$X$10,1))</x:f>
        <x:v>0</x:v>
      </x:c>
      <x:c r="G62" s="36" t="n">
        <x:f>IF(AND(Geometry!$E$10&gt;0,$I$13=0),'Deployment Work'!$E$10,IF(E62&lt;=Assumptions!$D$12,'Deployment Work'!$D$10,'Deployment Work'!$E$10))</x:f>
        <x:v>14</x:v>
      </x:c>
      <x:c r="H62" s="2" t="str">
        <x:f>IF(AND(F62&gt;=E62,G62&lt;=$E$13),"PASS","FAIL")</x:f>
        <x:v>FAIL</x:v>
      </x:c>
      <x:c r="I62" s="2" t="str">
        <x:f>IF(AND(IF($K$13=0,TRUE,'Thermal Site'!$F$19&lt;=$K$13),IF($L$13=0,TRUE,'Thermal Site'!$G$19&gt;=$L$13),IF($M$13=0,TRUE,'Thermal Site'!$J$19&gt;=E62),IF($N$13=0,TRUE,'Thermal Site'!$K$19&gt;=E62)),"PASS","FAIL")</x:f>
        <x:v>PASS</x:v>
      </x:c>
      <x:c r="J62" s="2" t="str">
        <x:f>IF(AND(IF($O$13=0,TRUE,'Thermal Site'!$H$19&lt;=$O$13),IF($P$13=0,TRUE,'Thermal Site'!$I$19&gt;=$P$13),IF($S$13=0,TRUE,'Thermal Site'!$J$10&gt;=1),IF($T$13=0,TRUE,'Thermal Site'!$L$19="YES")),"PASS","FAIL")</x:f>
        <x:v>PASS</x:v>
      </x:c>
      <x:c r="K62" s="2" t="str">
        <x:f>IF(AND(IF($Q$13&lt;1,'Deployment Work'!$M$10&gt;=1,'Deployment Work'!$L$10&gt;=1),'Deployment Work'!$Y$10&lt;=$R$13),"PASS","FAIL")</x:f>
        <x:v>PASS</x:v>
      </x:c>
      <x:c r="L62" s="2" t="str">
        <x:f>IF(AND(H62="PASS",I62="PASS",J62="PASS",K62="PASS"),"PASS","FAIL")</x:f>
        <x:v>FAIL</x:v>
      </x:c>
      <x:c r="M62" s="2"/>
      <x:c r="N62" s="2"/>
      <x:c r="O62" s="2"/>
      <x:c r="P62" s="2"/>
      <x:c r="Q62" s="2"/>
      <x:c r="R62" s="2"/>
      <x:c r="S62" s="2"/>
      <x:c r="T62" s="2"/>
      <x:c r="U62" s="2"/>
      <x:c r="V62" s="2"/>
      <x:c r="W62" s="2"/>
      <x:c r="X62" s="2"/>
      <x:c r="Y62" s="2"/>
      <x:c r="Z62" s="2"/>
    </x:row>
    <x:row r="63">
      <x:c r="A63" s="2"/>
      <x:c r="B63" s="2" t="str">
        <x:v>W5</x:v>
      </x:c>
      <x:c r="C63" s="2" t="str">
        <x:v>navigable water access denied</x:v>
      </x:c>
      <x:c r="D63" s="2" t="str">
        <x:v>G4</x:v>
      </x:c>
      <x:c r="E63" s="30" t="n">
        <x:f>$D$13</x:f>
        <x:v>0.4</x:v>
      </x:c>
      <x:c r="F63" s="30" t="n">
        <x:f>MIN(1,(Geometry!$E$11*$I$13+(1-Geometry!$E$11)*(Geometry!$O$11*$F$13+Geometry!$P$11*$G$13+Geometry!$Q$11*$H$13))*IF($U$13=1,'Deployment Work'!$X$11,1))</x:f>
        <x:v>1</x:v>
      </x:c>
      <x:c r="G63" s="36" t="n">
        <x:f>IF(AND(Geometry!$E$11&gt;0,$I$13=0),'Deployment Work'!$E$11,IF(E63&lt;=Assumptions!$D$12,'Deployment Work'!$D$11,'Deployment Work'!$E$11))</x:f>
        <x:v>2</x:v>
      </x:c>
      <x:c r="H63" s="2" t="str">
        <x:f>IF(AND(F63&gt;=E63,G63&lt;=$E$13),"PASS","FAIL")</x:f>
        <x:v>PASS</x:v>
      </x:c>
      <x:c r="I63" s="2" t="str">
        <x:f>IF(AND(IF($K$13=0,TRUE,'Thermal Site'!$F$20&lt;=$K$13),IF($L$13=0,TRUE,'Thermal Site'!$G$20&gt;=$L$13),IF($M$13=0,TRUE,'Thermal Site'!$J$20&gt;=E63),IF($N$13=0,TRUE,'Thermal Site'!$K$20&gt;=E63)),"PASS","FAIL")</x:f>
        <x:v>PASS</x:v>
      </x:c>
      <x:c r="J63" s="2" t="str">
        <x:f>IF(AND(IF($O$13=0,TRUE,'Thermal Site'!$H$20&lt;=$O$13),IF($P$13=0,TRUE,'Thermal Site'!$I$20&gt;=$P$13),IF($S$13=0,TRUE,'Thermal Site'!$J$11&gt;=1),IF($T$13=0,TRUE,'Thermal Site'!$L$20="YES")),"PASS","FAIL")</x:f>
        <x:v>PASS</x:v>
      </x:c>
      <x:c r="K63" s="2" t="str">
        <x:f>IF(AND(IF($Q$13&lt;1,'Deployment Work'!$M$11&gt;=1,'Deployment Work'!$L$11&gt;=1),'Deployment Work'!$Y$11&lt;=$R$13),"PASS","FAIL")</x:f>
        <x:v>PASS</x:v>
      </x:c>
      <x:c r="L63" s="2" t="str">
        <x:f>IF(AND(H63="PASS",I63="PASS",J63="PASS",K63="PASS"),"PASS","FAIL")</x:f>
        <x:v>PASS</x:v>
      </x:c>
      <x:c r="M63" s="2"/>
      <x:c r="N63" s="2"/>
      <x:c r="O63" s="2"/>
      <x:c r="P63" s="2"/>
      <x:c r="Q63" s="2"/>
      <x:c r="R63" s="2"/>
      <x:c r="S63" s="2"/>
      <x:c r="T63" s="2"/>
      <x:c r="U63" s="2"/>
      <x:c r="V63" s="2"/>
      <x:c r="W63" s="2"/>
      <x:c r="X63" s="2"/>
      <x:c r="Y63" s="2"/>
      <x:c r="Z63" s="2"/>
    </x:row>
    <x:row r="64">
      <x:c r="A64" s="2"/>
      <x:c r="B64" s="2" t="str">
        <x:v>W5</x:v>
      </x:c>
      <x:c r="C64" s="2" t="str">
        <x:v>navigable water access denied</x:v>
      </x:c>
      <x:c r="D64" s="2" t="str">
        <x:v>G5</x:v>
      </x:c>
      <x:c r="E64" s="30" t="n">
        <x:f>$D$13</x:f>
        <x:v>0.4</x:v>
      </x:c>
      <x:c r="F64" s="30" t="n">
        <x:f>MIN(1,(Geometry!$E$12*$I$13+(1-Geometry!$E$12)*(Geometry!$O$12*$F$13+Geometry!$P$12*$G$13*IF($J$13=0,0,1)+Geometry!$Q$12*$H$13*IF($J$13=0,0,1)))*IF($U$13=1,'Deployment Work'!$X$12,1))</x:f>
        <x:v>0.7</x:v>
      </x:c>
      <x:c r="G64" s="36" t="n">
        <x:f>IF(AND(Geometry!$E$12&gt;0,$I$13=0),'Deployment Work'!$E$12,IF(E64&lt;=Assumptions!$D$12,'Deployment Work'!$D$12,'Deployment Work'!$E$12))</x:f>
        <x:v>10</x:v>
      </x:c>
      <x:c r="H64" s="2" t="str">
        <x:f>IF(AND(F64&gt;=E64,G64&lt;=$E$13),"PASS","FAIL")</x:f>
        <x:v>PASS</x:v>
      </x:c>
      <x:c r="I64" s="2" t="str">
        <x:f>IF(AND(IF($K$13=0,TRUE,'Thermal Site'!$F$21&lt;=$K$13),IF($L$13=0,TRUE,'Thermal Site'!$G$21&gt;=$L$13),IF($M$13=0,TRUE,'Thermal Site'!$J$21&gt;=E64),IF($N$13=0,TRUE,'Thermal Site'!$K$21&gt;=E64)),"PASS","FAIL")</x:f>
        <x:v>PASS</x:v>
      </x:c>
      <x:c r="J64" s="2" t="str">
        <x:f>IF(AND(IF($O$13=0,TRUE,'Thermal Site'!$H$21&lt;=$O$13),IF($P$13=0,TRUE,'Thermal Site'!$I$21&gt;=$P$13),IF($S$13=0,TRUE,'Thermal Site'!$J$12&gt;=1),IF($T$13=0,TRUE,'Thermal Site'!$L$21="YES")),"PASS","FAIL")</x:f>
        <x:v>PASS</x:v>
      </x:c>
      <x:c r="K64" s="2" t="str">
        <x:f>IF(AND(IF($Q$13&lt;1,'Deployment Work'!$M$12&gt;=1,'Deployment Work'!$L$12&gt;=1),'Deployment Work'!$Y$12&lt;=$R$13),"PASS","FAIL")</x:f>
        <x:v>PASS</x:v>
      </x:c>
      <x:c r="L64" s="2" t="str">
        <x:f>IF(AND(H64="PASS",I64="PASS",J64="PASS",K64="PASS"),"PASS","FAIL")</x:f>
        <x:v>PASS</x:v>
      </x:c>
      <x:c r="M64" s="2"/>
      <x:c r="N64" s="2"/>
      <x:c r="O64" s="2"/>
      <x:c r="P64" s="2"/>
      <x:c r="Q64" s="2"/>
      <x:c r="R64" s="2"/>
      <x:c r="S64" s="2"/>
      <x:c r="T64" s="2"/>
      <x:c r="U64" s="2"/>
      <x:c r="V64" s="2"/>
      <x:c r="W64" s="2"/>
      <x:c r="X64" s="2"/>
      <x:c r="Y64" s="2"/>
      <x:c r="Z64" s="2"/>
    </x:row>
    <x:row r="65">
      <x:c r="A65" s="2"/>
      <x:c r="B65" s="2" t="str">
        <x:v>W6</x:v>
      </x:c>
      <x:c r="C65" s="2" t="str">
        <x:v>prepared anchor lost</x:v>
      </x:c>
      <x:c r="D65" s="2" t="str">
        <x:v>G1</x:v>
      </x:c>
      <x:c r="E65" s="30" t="n">
        <x:f>$D$14</x:f>
        <x:v>0.4</x:v>
      </x:c>
      <x:c r="F65" s="30" t="n">
        <x:f>MIN(1,(Geometry!$E$8*$I$14+(1-Geometry!$E$8)*(Geometry!$O$8*$F$14+Geometry!$P$8*$G$14+Geometry!$Q$8*$H$14))*IF($U$14=1,'Deployment Work'!$X$8,1))</x:f>
        <x:v>1</x:v>
      </x:c>
      <x:c r="G65" s="36" t="n">
        <x:f>IF(AND(Geometry!$E$8&gt;0,$I$14=0),'Deployment Work'!$E$8,IF(E65&lt;=Assumptions!$D$12,'Deployment Work'!$D$8,'Deployment Work'!$E$8))</x:f>
        <x:v>12</x:v>
      </x:c>
      <x:c r="H65" s="2" t="str">
        <x:f>IF(AND(F65&gt;=E65,G65&lt;=$E$14),"PASS","FAIL")</x:f>
        <x:v>PASS</x:v>
      </x:c>
      <x:c r="I65" s="2" t="str">
        <x:f>IF(AND(IF($K$14=0,TRUE,'Thermal Site'!$F$17&lt;=$K$14),IF($L$14=0,TRUE,'Thermal Site'!$G$17&gt;=$L$14),IF($M$14=0,TRUE,'Thermal Site'!$J$17&gt;=E65),IF($N$14=0,TRUE,'Thermal Site'!$K$17&gt;=E65)),"PASS","FAIL")</x:f>
        <x:v>PASS</x:v>
      </x:c>
      <x:c r="J65" s="2" t="str">
        <x:f>IF(AND(IF($O$14=0,TRUE,'Thermal Site'!$H$17&lt;=$O$14),IF($P$14=0,TRUE,'Thermal Site'!$I$17&gt;=$P$14),IF($S$14=0,TRUE,'Thermal Site'!$J$8&gt;=1),IF($T$14=0,TRUE,'Thermal Site'!$L$17="YES")),"PASS","FAIL")</x:f>
        <x:v>PASS</x:v>
      </x:c>
      <x:c r="K65" s="2" t="str">
        <x:f>IF(AND(IF($Q$14&lt;1,'Deployment Work'!$M$8&gt;=1,'Deployment Work'!$L$8&gt;=1),'Deployment Work'!$Y$8&lt;=$R$14),"PASS","FAIL")</x:f>
        <x:v>PASS</x:v>
      </x:c>
      <x:c r="L65" s="2" t="str">
        <x:f>IF(AND(H65="PASS",I65="PASS",J65="PASS",K65="PASS"),"PASS","FAIL")</x:f>
        <x:v>PASS</x:v>
      </x:c>
      <x:c r="M65" s="2"/>
      <x:c r="N65" s="2"/>
      <x:c r="O65" s="2"/>
      <x:c r="P65" s="2"/>
      <x:c r="Q65" s="2"/>
      <x:c r="R65" s="2"/>
      <x:c r="S65" s="2"/>
      <x:c r="T65" s="2"/>
      <x:c r="U65" s="2"/>
      <x:c r="V65" s="2"/>
      <x:c r="W65" s="2"/>
      <x:c r="X65" s="2"/>
      <x:c r="Y65" s="2"/>
      <x:c r="Z65" s="2"/>
    </x:row>
    <x:row r="66">
      <x:c r="A66" s="2"/>
      <x:c r="B66" s="2" t="str">
        <x:v>W6</x:v>
      </x:c>
      <x:c r="C66" s="2" t="str">
        <x:v>prepared anchor lost</x:v>
      </x:c>
      <x:c r="D66" s="2" t="str">
        <x:v>G2</x:v>
      </x:c>
      <x:c r="E66" s="30" t="n">
        <x:f>$D$14</x:f>
        <x:v>0.4</x:v>
      </x:c>
      <x:c r="F66" s="30" t="n">
        <x:f>MIN(1,(Geometry!$E$9*$I$14+(1-Geometry!$E$9)*(Geometry!$O$9*$F$14+Geometry!$P$9*$G$14*IF($J$14=0,0,1)+Geometry!$Q$9*$H$14))*IF($U$14=1,'Deployment Work'!$X$9,1))</x:f>
        <x:v>1</x:v>
      </x:c>
      <x:c r="G66" s="36" t="n">
        <x:f>IF(AND(Geometry!$E$9&gt;0,$I$14=0),'Deployment Work'!$E$9,IF(E66&lt;=Assumptions!$D$12,'Deployment Work'!$D$9,'Deployment Work'!$E$9))</x:f>
        <x:v>18</x:v>
      </x:c>
      <x:c r="H66" s="2" t="str">
        <x:f>IF(AND(F66&gt;=E66,G66&lt;=$E$14),"PASS","FAIL")</x:f>
        <x:v>PASS</x:v>
      </x:c>
      <x:c r="I66" s="2" t="str">
        <x:f>IF(AND(IF($K$14=0,TRUE,'Thermal Site'!$F$18&lt;=$K$14),IF($L$14=0,TRUE,'Thermal Site'!$G$18&gt;=$L$14),IF($M$14=0,TRUE,'Thermal Site'!$J$18&gt;=E66),IF($N$14=0,TRUE,'Thermal Site'!$K$18&gt;=E66)),"PASS","FAIL")</x:f>
        <x:v>PASS</x:v>
      </x:c>
      <x:c r="J66" s="2" t="str">
        <x:f>IF(AND(IF($O$14=0,TRUE,'Thermal Site'!$H$18&lt;=$O$14),IF($P$14=0,TRUE,'Thermal Site'!$I$18&gt;=$P$14),IF($S$14=0,TRUE,'Thermal Site'!$J$9&gt;=1),IF($T$14=0,TRUE,'Thermal Site'!$L$18="YES")),"PASS","FAIL")</x:f>
        <x:v>PASS</x:v>
      </x:c>
      <x:c r="K66" s="2" t="str">
        <x:f>IF(AND(IF($Q$14&lt;1,'Deployment Work'!$M$9&gt;=1,'Deployment Work'!$L$9&gt;=1),'Deployment Work'!$Y$9&lt;=$R$14),"PASS","FAIL")</x:f>
        <x:v>PASS</x:v>
      </x:c>
      <x:c r="L66" s="2" t="str">
        <x:f>IF(AND(H66="PASS",I66="PASS",J66="PASS",K66="PASS"),"PASS","FAIL")</x:f>
        <x:v>PASS</x:v>
      </x:c>
      <x:c r="M66" s="2"/>
      <x:c r="N66" s="2"/>
      <x:c r="O66" s="2"/>
      <x:c r="P66" s="2"/>
      <x:c r="Q66" s="2"/>
      <x:c r="R66" s="2"/>
      <x:c r="S66" s="2"/>
      <x:c r="T66" s="2"/>
      <x:c r="U66" s="2"/>
      <x:c r="V66" s="2"/>
      <x:c r="W66" s="2"/>
      <x:c r="X66" s="2"/>
      <x:c r="Y66" s="2"/>
      <x:c r="Z66" s="2"/>
    </x:row>
    <x:row r="67">
      <x:c r="A67" s="2"/>
      <x:c r="B67" s="2" t="str">
        <x:v>W6</x:v>
      </x:c>
      <x:c r="C67" s="2" t="str">
        <x:v>prepared anchor lost</x:v>
      </x:c>
      <x:c r="D67" s="2" t="str">
        <x:v>G3</x:v>
      </x:c>
      <x:c r="E67" s="30" t="n">
        <x:f>$D$14</x:f>
        <x:v>0.4</x:v>
      </x:c>
      <x:c r="F67" s="30" t="n">
        <x:f>MIN(1,(Geometry!$E$10*$I$14+(1-Geometry!$E$10)*(Geometry!$O$10*$F$14+Geometry!$P$10*$G$14+Geometry!$Q$10*$H$14))*IF($U$14=1,'Deployment Work'!$X$10,1))</x:f>
        <x:v>1</x:v>
      </x:c>
      <x:c r="G67" s="36" t="n">
        <x:f>IF(AND(Geometry!$E$10&gt;0,$I$14=0),'Deployment Work'!$E$10,IF(E67&lt;=Assumptions!$D$12,'Deployment Work'!$D$10,'Deployment Work'!$E$10))</x:f>
        <x:v>14</x:v>
      </x:c>
      <x:c r="H67" s="2" t="str">
        <x:f>IF(AND(F67&gt;=E67,G67&lt;=$E$14),"PASS","FAIL")</x:f>
        <x:v>PASS</x:v>
      </x:c>
      <x:c r="I67" s="2" t="str">
        <x:f>IF(AND(IF($K$14=0,TRUE,'Thermal Site'!$F$19&lt;=$K$14),IF($L$14=0,TRUE,'Thermal Site'!$G$19&gt;=$L$14),IF($M$14=0,TRUE,'Thermal Site'!$J$19&gt;=E67),IF($N$14=0,TRUE,'Thermal Site'!$K$19&gt;=E67)),"PASS","FAIL")</x:f>
        <x:v>PASS</x:v>
      </x:c>
      <x:c r="J67" s="2" t="str">
        <x:f>IF(AND(IF($O$14=0,TRUE,'Thermal Site'!$H$19&lt;=$O$14),IF($P$14=0,TRUE,'Thermal Site'!$I$19&gt;=$P$14),IF($S$14=0,TRUE,'Thermal Site'!$J$10&gt;=1),IF($T$14=0,TRUE,'Thermal Site'!$L$19="YES")),"PASS","FAIL")</x:f>
        <x:v>PASS</x:v>
      </x:c>
      <x:c r="K67" s="2" t="str">
        <x:f>IF(AND(IF($Q$14&lt;1,'Deployment Work'!$M$10&gt;=1,'Deployment Work'!$L$10&gt;=1),'Deployment Work'!$Y$10&lt;=$R$14),"PASS","FAIL")</x:f>
        <x:v>PASS</x:v>
      </x:c>
      <x:c r="L67" s="2" t="str">
        <x:f>IF(AND(H67="PASS",I67="PASS",J67="PASS",K67="PASS"),"PASS","FAIL")</x:f>
        <x:v>PASS</x:v>
      </x:c>
      <x:c r="M67" s="2"/>
      <x:c r="N67" s="2"/>
      <x:c r="O67" s="2"/>
      <x:c r="P67" s="2"/>
      <x:c r="Q67" s="2"/>
      <x:c r="R67" s="2"/>
      <x:c r="S67" s="2"/>
      <x:c r="T67" s="2"/>
      <x:c r="U67" s="2"/>
      <x:c r="V67" s="2"/>
      <x:c r="W67" s="2"/>
      <x:c r="X67" s="2"/>
      <x:c r="Y67" s="2"/>
      <x:c r="Z67" s="2"/>
    </x:row>
    <x:row r="68">
      <x:c r="A68" s="2"/>
      <x:c r="B68" s="2" t="str">
        <x:v>W6</x:v>
      </x:c>
      <x:c r="C68" s="2" t="str">
        <x:v>prepared anchor lost</x:v>
      </x:c>
      <x:c r="D68" s="2" t="str">
        <x:v>G4</x:v>
      </x:c>
      <x:c r="E68" s="30" t="n">
        <x:f>$D$14</x:f>
        <x:v>0.4</x:v>
      </x:c>
      <x:c r="F68" s="30" t="n">
        <x:f>MIN(1,(Geometry!$E$11*$I$14+(1-Geometry!$E$11)*(Geometry!$O$11*$F$14+Geometry!$P$11*$G$14+Geometry!$Q$11*$H$14))*IF($U$14=1,'Deployment Work'!$X$11,1))</x:f>
        <x:v>0.4</x:v>
      </x:c>
      <x:c r="G68" s="36" t="n">
        <x:f>IF(AND(Geometry!$E$11&gt;0,$I$14=0),'Deployment Work'!$E$11,IF(E68&lt;=Assumptions!$D$12,'Deployment Work'!$D$11,'Deployment Work'!$E$11))</x:f>
        <x:v>12</x:v>
      </x:c>
      <x:c r="H68" s="2" t="str">
        <x:f>IF(AND(F68&gt;=E68,G68&lt;=$E$14),"PASS","FAIL")</x:f>
        <x:v>PASS</x:v>
      </x:c>
      <x:c r="I68" s="2" t="str">
        <x:f>IF(AND(IF($K$14=0,TRUE,'Thermal Site'!$F$20&lt;=$K$14),IF($L$14=0,TRUE,'Thermal Site'!$G$20&gt;=$L$14),IF($M$14=0,TRUE,'Thermal Site'!$J$20&gt;=E68),IF($N$14=0,TRUE,'Thermal Site'!$K$20&gt;=E68)),"PASS","FAIL")</x:f>
        <x:v>PASS</x:v>
      </x:c>
      <x:c r="J68" s="2" t="str">
        <x:f>IF(AND(IF($O$14=0,TRUE,'Thermal Site'!$H$20&lt;=$O$14),IF($P$14=0,TRUE,'Thermal Site'!$I$20&gt;=$P$14),IF($S$14=0,TRUE,'Thermal Site'!$J$11&gt;=1),IF($T$14=0,TRUE,'Thermal Site'!$L$20="YES")),"PASS","FAIL")</x:f>
        <x:v>PASS</x:v>
      </x:c>
      <x:c r="K68" s="2" t="str">
        <x:f>IF(AND(IF($Q$14&lt;1,'Deployment Work'!$M$11&gt;=1,'Deployment Work'!$L$11&gt;=1),'Deployment Work'!$Y$11&lt;=$R$14),"PASS","FAIL")</x:f>
        <x:v>PASS</x:v>
      </x:c>
      <x:c r="L68" s="2" t="str">
        <x:f>IF(AND(H68="PASS",I68="PASS",J68="PASS",K68="PASS"),"PASS","FAIL")</x:f>
        <x:v>PASS</x:v>
      </x:c>
      <x:c r="M68" s="2"/>
      <x:c r="N68" s="2"/>
      <x:c r="O68" s="2"/>
      <x:c r="P68" s="2"/>
      <x:c r="Q68" s="2"/>
      <x:c r="R68" s="2"/>
      <x:c r="S68" s="2"/>
      <x:c r="T68" s="2"/>
      <x:c r="U68" s="2"/>
      <x:c r="V68" s="2"/>
      <x:c r="W68" s="2"/>
      <x:c r="X68" s="2"/>
      <x:c r="Y68" s="2"/>
      <x:c r="Z68" s="2"/>
    </x:row>
    <x:row r="69">
      <x:c r="A69" s="2"/>
      <x:c r="B69" s="2" t="str">
        <x:v>W6</x:v>
      </x:c>
      <x:c r="C69" s="2" t="str">
        <x:v>prepared anchor lost</x:v>
      </x:c>
      <x:c r="D69" s="2" t="str">
        <x:v>G5</x:v>
      </x:c>
      <x:c r="E69" s="30" t="n">
        <x:f>$D$14</x:f>
        <x:v>0.4</x:v>
      </x:c>
      <x:c r="F69" s="30" t="n">
        <x:f>MIN(1,(Geometry!$E$12*$I$14+(1-Geometry!$E$12)*(Geometry!$O$12*$F$14+Geometry!$P$12*$G$14*IF($J$14=0,0,1)+Geometry!$Q$12*$H$14*IF($J$14=0,0,1)))*IF($U$14=1,'Deployment Work'!$X$12,1))</x:f>
        <x:v>1</x:v>
      </x:c>
      <x:c r="G69" s="36" t="n">
        <x:f>IF(AND(Geometry!$E$12&gt;0,$I$14=0),'Deployment Work'!$E$12,IF(E69&lt;=Assumptions!$D$12,'Deployment Work'!$D$12,'Deployment Work'!$E$12))</x:f>
        <x:v>10</x:v>
      </x:c>
      <x:c r="H69" s="2" t="str">
        <x:f>IF(AND(F69&gt;=E69,G69&lt;=$E$14),"PASS","FAIL")</x:f>
        <x:v>PASS</x:v>
      </x:c>
      <x:c r="I69" s="2" t="str">
        <x:f>IF(AND(IF($K$14=0,TRUE,'Thermal Site'!$F$21&lt;=$K$14),IF($L$14=0,TRUE,'Thermal Site'!$G$21&gt;=$L$14),IF($M$14=0,TRUE,'Thermal Site'!$J$21&gt;=E69),IF($N$14=0,TRUE,'Thermal Site'!$K$21&gt;=E69)),"PASS","FAIL")</x:f>
        <x:v>PASS</x:v>
      </x:c>
      <x:c r="J69" s="2" t="str">
        <x:f>IF(AND(IF($O$14=0,TRUE,'Thermal Site'!$H$21&lt;=$O$14),IF($P$14=0,TRUE,'Thermal Site'!$I$21&gt;=$P$14),IF($S$14=0,TRUE,'Thermal Site'!$J$12&gt;=1),IF($T$14=0,TRUE,'Thermal Site'!$L$21="YES")),"PASS","FAIL")</x:f>
        <x:v>PASS</x:v>
      </x:c>
      <x:c r="K69" s="2" t="str">
        <x:f>IF(AND(IF($Q$14&lt;1,'Deployment Work'!$M$12&gt;=1,'Deployment Work'!$L$12&gt;=1),'Deployment Work'!$Y$12&lt;=$R$14),"PASS","FAIL")</x:f>
        <x:v>PASS</x:v>
      </x:c>
      <x:c r="L69" s="2" t="str">
        <x:f>IF(AND(H69="PASS",I69="PASS",J69="PASS",K69="PASS"),"PASS","FAIL")</x:f>
        <x:v>PASS</x:v>
      </x:c>
      <x:c r="M69" s="2"/>
      <x:c r="N69" s="2"/>
      <x:c r="O69" s="2"/>
      <x:c r="P69" s="2"/>
      <x:c r="Q69" s="2"/>
      <x:c r="R69" s="2"/>
      <x:c r="S69" s="2"/>
      <x:c r="T69" s="2"/>
      <x:c r="U69" s="2"/>
      <x:c r="V69" s="2"/>
      <x:c r="W69" s="2"/>
      <x:c r="X69" s="2"/>
      <x:c r="Y69" s="2"/>
      <x:c r="Z69" s="2"/>
    </x:row>
    <x:row r="70">
      <x:c r="A70" s="2"/>
      <x:c r="B70" s="2" t="str">
        <x:v>W7</x:v>
      </x:c>
      <x:c r="C70" s="2" t="str">
        <x:v>siding, pier and terminal unavailable</x:v>
      </x:c>
      <x:c r="D70" s="2" t="str">
        <x:v>G1</x:v>
      </x:c>
      <x:c r="E70" s="30" t="n">
        <x:f>$D$15</x:f>
        <x:v>0.4</x:v>
      </x:c>
      <x:c r="F70" s="30" t="n">
        <x:f>MIN(1,(Geometry!$E$8*$I$15+(1-Geometry!$E$8)*(Geometry!$O$8*$F$15+Geometry!$P$8*$G$15+Geometry!$Q$8*$H$15))*IF($U$15=1,'Deployment Work'!$X$8,1))</x:f>
        <x:v>1</x:v>
      </x:c>
      <x:c r="G70" s="36" t="n">
        <x:f>IF(AND(Geometry!$E$8&gt;0,$I$15=0),'Deployment Work'!$E$8,IF(E70&lt;=Assumptions!$D$12,'Deployment Work'!$D$8,'Deployment Work'!$E$8))</x:f>
        <x:v>12</x:v>
      </x:c>
      <x:c r="H70" s="2" t="str">
        <x:f>IF(AND(F70&gt;=E70,G70&lt;=$E$15),"PASS","FAIL")</x:f>
        <x:v>PASS</x:v>
      </x:c>
      <x:c r="I70" s="2" t="str">
        <x:f>IF(AND(IF($K$15=0,TRUE,'Thermal Site'!$F$17&lt;=$K$15),IF($L$15=0,TRUE,'Thermal Site'!$G$17&gt;=$L$15),IF($M$15=0,TRUE,'Thermal Site'!$J$17&gt;=E70),IF($N$15=0,TRUE,'Thermal Site'!$K$17&gt;=E70)),"PASS","FAIL")</x:f>
        <x:v>PASS</x:v>
      </x:c>
      <x:c r="J70" s="2" t="str">
        <x:f>IF(AND(IF($O$15=0,TRUE,'Thermal Site'!$H$17&lt;=$O$15),IF($P$15=0,TRUE,'Thermal Site'!$I$17&gt;=$P$15),IF($S$15=0,TRUE,'Thermal Site'!$J$8&gt;=1),IF($T$15=0,TRUE,'Thermal Site'!$L$17="YES")),"PASS","FAIL")</x:f>
        <x:v>PASS</x:v>
      </x:c>
      <x:c r="K70" s="2" t="str">
        <x:f>IF(AND(IF($Q$15&lt;1,'Deployment Work'!$M$8&gt;=1,'Deployment Work'!$L$8&gt;=1),'Deployment Work'!$Y$8&lt;=$R$15),"PASS","FAIL")</x:f>
        <x:v>PASS</x:v>
      </x:c>
      <x:c r="L70" s="2" t="str">
        <x:f>IF(AND(H70="PASS",I70="PASS",J70="PASS",K70="PASS"),"PASS","FAIL")</x:f>
        <x:v>PASS</x:v>
      </x:c>
      <x:c r="M70" s="2"/>
      <x:c r="N70" s="2"/>
      <x:c r="O70" s="2"/>
      <x:c r="P70" s="2"/>
      <x:c r="Q70" s="2"/>
      <x:c r="R70" s="2"/>
      <x:c r="S70" s="2"/>
      <x:c r="T70" s="2"/>
      <x:c r="U70" s="2"/>
      <x:c r="V70" s="2"/>
      <x:c r="W70" s="2"/>
      <x:c r="X70" s="2"/>
      <x:c r="Y70" s="2"/>
      <x:c r="Z70" s="2"/>
    </x:row>
    <x:row r="71">
      <x:c r="A71" s="2"/>
      <x:c r="B71" s="2" t="str">
        <x:v>W7</x:v>
      </x:c>
      <x:c r="C71" s="2" t="str">
        <x:v>siding, pier and terminal unavailable</x:v>
      </x:c>
      <x:c r="D71" s="2" t="str">
        <x:v>G2</x:v>
      </x:c>
      <x:c r="E71" s="30" t="n">
        <x:f>$D$15</x:f>
        <x:v>0.4</x:v>
      </x:c>
      <x:c r="F71" s="30" t="n">
        <x:f>MIN(1,(Geometry!$E$9*$I$15+(1-Geometry!$E$9)*(Geometry!$O$9*$F$15+Geometry!$P$9*$G$15*IF($J$15=0,0,1)+Geometry!$Q$9*$H$15))*IF($U$15=1,'Deployment Work'!$X$9,1))</x:f>
        <x:v>0.1</x:v>
      </x:c>
      <x:c r="G71" s="36" t="n">
        <x:f>IF(AND(Geometry!$E$9&gt;0,$I$15=0),'Deployment Work'!$E$9,IF(E71&lt;=Assumptions!$D$12,'Deployment Work'!$D$9,'Deployment Work'!$E$9))</x:f>
        <x:v>18</x:v>
      </x:c>
      <x:c r="H71" s="2" t="str">
        <x:f>IF(AND(F71&gt;=E71,G71&lt;=$E$15),"PASS","FAIL")</x:f>
        <x:v>FAIL</x:v>
      </x:c>
      <x:c r="I71" s="2" t="str">
        <x:f>IF(AND(IF($K$15=0,TRUE,'Thermal Site'!$F$18&lt;=$K$15),IF($L$15=0,TRUE,'Thermal Site'!$G$18&gt;=$L$15),IF($M$15=0,TRUE,'Thermal Site'!$J$18&gt;=E71),IF($N$15=0,TRUE,'Thermal Site'!$K$18&gt;=E71)),"PASS","FAIL")</x:f>
        <x:v>PASS</x:v>
      </x:c>
      <x:c r="J71" s="2" t="str">
        <x:f>IF(AND(IF($O$15=0,TRUE,'Thermal Site'!$H$18&lt;=$O$15),IF($P$15=0,TRUE,'Thermal Site'!$I$18&gt;=$P$15),IF($S$15=0,TRUE,'Thermal Site'!$J$9&gt;=1),IF($T$15=0,TRUE,'Thermal Site'!$L$18="YES")),"PASS","FAIL")</x:f>
        <x:v>PASS</x:v>
      </x:c>
      <x:c r="K71" s="2" t="str">
        <x:f>IF(AND(IF($Q$15&lt;1,'Deployment Work'!$M$9&gt;=1,'Deployment Work'!$L$9&gt;=1),'Deployment Work'!$Y$9&lt;=$R$15),"PASS","FAIL")</x:f>
        <x:v>PASS</x:v>
      </x:c>
      <x:c r="L71" s="2" t="str">
        <x:f>IF(AND(H71="PASS",I71="PASS",J71="PASS",K71="PASS"),"PASS","FAIL")</x:f>
        <x:v>FAIL</x:v>
      </x:c>
      <x:c r="M71" s="2"/>
      <x:c r="N71" s="2"/>
      <x:c r="O71" s="2"/>
      <x:c r="P71" s="2"/>
      <x:c r="Q71" s="2"/>
      <x:c r="R71" s="2"/>
      <x:c r="S71" s="2"/>
      <x:c r="T71" s="2"/>
      <x:c r="U71" s="2"/>
      <x:c r="V71" s="2"/>
      <x:c r="W71" s="2"/>
      <x:c r="X71" s="2"/>
      <x:c r="Y71" s="2"/>
      <x:c r="Z71" s="2"/>
    </x:row>
    <x:row r="72">
      <x:c r="A72" s="2"/>
      <x:c r="B72" s="2" t="str">
        <x:v>W7</x:v>
      </x:c>
      <x:c r="C72" s="2" t="str">
        <x:v>siding, pier and terminal unavailable</x:v>
      </x:c>
      <x:c r="D72" s="2" t="str">
        <x:v>G3</x:v>
      </x:c>
      <x:c r="E72" s="30" t="n">
        <x:f>$D$15</x:f>
        <x:v>0.4</x:v>
      </x:c>
      <x:c r="F72" s="30" t="n">
        <x:f>MIN(1,(Geometry!$E$10*$I$15+(1-Geometry!$E$10)*(Geometry!$O$10*$F$15+Geometry!$P$10*$G$15+Geometry!$Q$10*$H$15))*IF($U$15=1,'Deployment Work'!$X$10,1))</x:f>
        <x:v>1</x:v>
      </x:c>
      <x:c r="G72" s="36" t="n">
        <x:f>IF(AND(Geometry!$E$10&gt;0,$I$15=0),'Deployment Work'!$E$10,IF(E72&lt;=Assumptions!$D$12,'Deployment Work'!$D$10,'Deployment Work'!$E$10))</x:f>
        <x:v>14</x:v>
      </x:c>
      <x:c r="H72" s="2" t="str">
        <x:f>IF(AND(F72&gt;=E72,G72&lt;=$E$15),"PASS","FAIL")</x:f>
        <x:v>PASS</x:v>
      </x:c>
      <x:c r="I72" s="2" t="str">
        <x:f>IF(AND(IF($K$15=0,TRUE,'Thermal Site'!$F$19&lt;=$K$15),IF($L$15=0,TRUE,'Thermal Site'!$G$19&gt;=$L$15),IF($M$15=0,TRUE,'Thermal Site'!$J$19&gt;=E72),IF($N$15=0,TRUE,'Thermal Site'!$K$19&gt;=E72)),"PASS","FAIL")</x:f>
        <x:v>PASS</x:v>
      </x:c>
      <x:c r="J72" s="2" t="str">
        <x:f>IF(AND(IF($O$15=0,TRUE,'Thermal Site'!$H$19&lt;=$O$15),IF($P$15=0,TRUE,'Thermal Site'!$I$19&gt;=$P$15),IF($S$15=0,TRUE,'Thermal Site'!$J$10&gt;=1),IF($T$15=0,TRUE,'Thermal Site'!$L$19="YES")),"PASS","FAIL")</x:f>
        <x:v>PASS</x:v>
      </x:c>
      <x:c r="K72" s="2" t="str">
        <x:f>IF(AND(IF($Q$15&lt;1,'Deployment Work'!$M$10&gt;=1,'Deployment Work'!$L$10&gt;=1),'Deployment Work'!$Y$10&lt;=$R$15),"PASS","FAIL")</x:f>
        <x:v>PASS</x:v>
      </x:c>
      <x:c r="L72" s="2" t="str">
        <x:f>IF(AND(H72="PASS",I72="PASS",J72="PASS",K72="PASS"),"PASS","FAIL")</x:f>
        <x:v>PASS</x:v>
      </x:c>
      <x:c r="M72" s="2"/>
      <x:c r="N72" s="2"/>
      <x:c r="O72" s="2"/>
      <x:c r="P72" s="2"/>
      <x:c r="Q72" s="2"/>
      <x:c r="R72" s="2"/>
      <x:c r="S72" s="2"/>
      <x:c r="T72" s="2"/>
      <x:c r="U72" s="2"/>
      <x:c r="V72" s="2"/>
      <x:c r="W72" s="2"/>
      <x:c r="X72" s="2"/>
      <x:c r="Y72" s="2"/>
      <x:c r="Z72" s="2"/>
    </x:row>
    <x:row r="73">
      <x:c r="A73" s="2"/>
      <x:c r="B73" s="2" t="str">
        <x:v>W7</x:v>
      </x:c>
      <x:c r="C73" s="2" t="str">
        <x:v>siding, pier and terminal unavailable</x:v>
      </x:c>
      <x:c r="D73" s="2" t="str">
        <x:v>G4</x:v>
      </x:c>
      <x:c r="E73" s="30" t="n">
        <x:f>$D$15</x:f>
        <x:v>0.4</x:v>
      </x:c>
      <x:c r="F73" s="30" t="n">
        <x:f>MIN(1,(Geometry!$E$11*$I$15+(1-Geometry!$E$11)*(Geometry!$O$11*$F$15+Geometry!$P$11*$G$15+Geometry!$Q$11*$H$15))*IF($U$15=1,'Deployment Work'!$X$11,1))</x:f>
        <x:v>1</x:v>
      </x:c>
      <x:c r="G73" s="36" t="n">
        <x:f>IF(AND(Geometry!$E$11&gt;0,$I$15=0),'Deployment Work'!$E$11,IF(E73&lt;=Assumptions!$D$12,'Deployment Work'!$D$11,'Deployment Work'!$E$11))</x:f>
        <x:v>2</x:v>
      </x:c>
      <x:c r="H73" s="2" t="str">
        <x:f>IF(AND(F73&gt;=E73,G73&lt;=$E$15),"PASS","FAIL")</x:f>
        <x:v>PASS</x:v>
      </x:c>
      <x:c r="I73" s="2" t="str">
        <x:f>IF(AND(IF($K$15=0,TRUE,'Thermal Site'!$F$20&lt;=$K$15),IF($L$15=0,TRUE,'Thermal Site'!$G$20&gt;=$L$15),IF($M$15=0,TRUE,'Thermal Site'!$J$20&gt;=E73),IF($N$15=0,TRUE,'Thermal Site'!$K$20&gt;=E73)),"PASS","FAIL")</x:f>
        <x:v>PASS</x:v>
      </x:c>
      <x:c r="J73" s="2" t="str">
        <x:f>IF(AND(IF($O$15=0,TRUE,'Thermal Site'!$H$20&lt;=$O$15),IF($P$15=0,TRUE,'Thermal Site'!$I$20&gt;=$P$15),IF($S$15=0,TRUE,'Thermal Site'!$J$11&gt;=1),IF($T$15=0,TRUE,'Thermal Site'!$L$20="YES")),"PASS","FAIL")</x:f>
        <x:v>PASS</x:v>
      </x:c>
      <x:c r="K73" s="2" t="str">
        <x:f>IF(AND(IF($Q$15&lt;1,'Deployment Work'!$M$11&gt;=1,'Deployment Work'!$L$11&gt;=1),'Deployment Work'!$Y$11&lt;=$R$15),"PASS","FAIL")</x:f>
        <x:v>PASS</x:v>
      </x:c>
      <x:c r="L73" s="2" t="str">
        <x:f>IF(AND(H73="PASS",I73="PASS",J73="PASS",K73="PASS"),"PASS","FAIL")</x:f>
        <x:v>PASS</x:v>
      </x:c>
      <x:c r="M73" s="2"/>
      <x:c r="N73" s="2"/>
      <x:c r="O73" s="2"/>
      <x:c r="P73" s="2"/>
      <x:c r="Q73" s="2"/>
      <x:c r="R73" s="2"/>
      <x:c r="S73" s="2"/>
      <x:c r="T73" s="2"/>
      <x:c r="U73" s="2"/>
      <x:c r="V73" s="2"/>
      <x:c r="W73" s="2"/>
      <x:c r="X73" s="2"/>
      <x:c r="Y73" s="2"/>
      <x:c r="Z73" s="2"/>
    </x:row>
    <x:row r="74">
      <x:c r="A74" s="2"/>
      <x:c r="B74" s="2" t="str">
        <x:v>W7</x:v>
      </x:c>
      <x:c r="C74" s="2" t="str">
        <x:v>siding, pier and terminal unavailable</x:v>
      </x:c>
      <x:c r="D74" s="2" t="str">
        <x:v>G5</x:v>
      </x:c>
      <x:c r="E74" s="30" t="n">
        <x:f>$D$15</x:f>
        <x:v>0.4</x:v>
      </x:c>
      <x:c r="F74" s="30" t="n">
        <x:f>MIN(1,(Geometry!$E$12*$I$15+(1-Geometry!$E$12)*(Geometry!$O$12*$F$15+Geometry!$P$12*$G$15*IF($J$15=0,0,1)+Geometry!$Q$12*$H$15*IF($J$15=0,0,1)))*IF($U$15=1,'Deployment Work'!$X$12,1))</x:f>
        <x:v>0.4</x:v>
      </x:c>
      <x:c r="G74" s="36" t="n">
        <x:f>IF(AND(Geometry!$E$12&gt;0,$I$15=0),'Deployment Work'!$E$12,IF(E74&lt;=Assumptions!$D$12,'Deployment Work'!$D$12,'Deployment Work'!$E$12))</x:f>
        <x:v>10</x:v>
      </x:c>
      <x:c r="H74" s="2" t="str">
        <x:f>IF(AND(F74&gt;=E74,G74&lt;=$E$15),"PASS","FAIL")</x:f>
        <x:v>PASS</x:v>
      </x:c>
      <x:c r="I74" s="2" t="str">
        <x:f>IF(AND(IF($K$15=0,TRUE,'Thermal Site'!$F$21&lt;=$K$15),IF($L$15=0,TRUE,'Thermal Site'!$G$21&gt;=$L$15),IF($M$15=0,TRUE,'Thermal Site'!$J$21&gt;=E74),IF($N$15=0,TRUE,'Thermal Site'!$K$21&gt;=E74)),"PASS","FAIL")</x:f>
        <x:v>PASS</x:v>
      </x:c>
      <x:c r="J74" s="2" t="str">
        <x:f>IF(AND(IF($O$15=0,TRUE,'Thermal Site'!$H$21&lt;=$O$15),IF($P$15=0,TRUE,'Thermal Site'!$I$21&gt;=$P$15),IF($S$15=0,TRUE,'Thermal Site'!$J$12&gt;=1),IF($T$15=0,TRUE,'Thermal Site'!$L$21="YES")),"PASS","FAIL")</x:f>
        <x:v>PASS</x:v>
      </x:c>
      <x:c r="K74" s="2" t="str">
        <x:f>IF(AND(IF($Q$15&lt;1,'Deployment Work'!$M$12&gt;=1,'Deployment Work'!$L$12&gt;=1),'Deployment Work'!$Y$12&lt;=$R$15),"PASS","FAIL")</x:f>
        <x:v>PASS</x:v>
      </x:c>
      <x:c r="L74" s="2" t="str">
        <x:f>IF(AND(H74="PASS",I74="PASS",J74="PASS",K74="PASS"),"PASS","FAIL")</x:f>
        <x:v>PASS</x:v>
      </x:c>
      <x:c r="M74" s="2"/>
      <x:c r="N74" s="2"/>
      <x:c r="O74" s="2"/>
      <x:c r="P74" s="2"/>
      <x:c r="Q74" s="2"/>
      <x:c r="R74" s="2"/>
      <x:c r="S74" s="2"/>
      <x:c r="T74" s="2"/>
      <x:c r="U74" s="2"/>
      <x:c r="V74" s="2"/>
      <x:c r="W74" s="2"/>
      <x:c r="X74" s="2"/>
      <x:c r="Y74" s="2"/>
      <x:c r="Z74" s="2"/>
    </x:row>
    <x:row r="75">
      <x:c r="A75" s="2"/>
      <x:c r="B75" s="2" t="str">
        <x:v>W8</x:v>
      </x:c>
      <x:c r="C75" s="2" t="str">
        <x:v>landlocked full-service receiver</x:v>
      </x:c>
      <x:c r="D75" s="2" t="str">
        <x:v>G1</x:v>
      </x:c>
      <x:c r="E75" s="30" t="n">
        <x:f>$D$16</x:f>
        <x:v>1</x:v>
      </x:c>
      <x:c r="F75" s="30" t="n">
        <x:f>MIN(1,(Geometry!$E$8*$I$16+(1-Geometry!$E$8)*(Geometry!$O$8*$F$16+Geometry!$P$8*$G$16+Geometry!$Q$8*$H$16))*IF($U$16=1,'Deployment Work'!$X$8,1))</x:f>
        <x:v>1</x:v>
      </x:c>
      <x:c r="G75" s="36" t="n">
        <x:f>IF(AND(Geometry!$E$8&gt;0,$I$16=0),'Deployment Work'!$E$8,IF(E75&lt;=Assumptions!$D$12,'Deployment Work'!$D$8,'Deployment Work'!$E$8))</x:f>
        <x:v>36</x:v>
      </x:c>
      <x:c r="H75" s="2" t="str">
        <x:f>IF(AND(F75&gt;=E75,G75&lt;=$E$16),"PASS","FAIL")</x:f>
        <x:v>PASS</x:v>
      </x:c>
      <x:c r="I75" s="2" t="str">
        <x:f>IF(AND(IF($K$16=0,TRUE,'Thermal Site'!$F$17&lt;=$K$16),IF($L$16=0,TRUE,'Thermal Site'!$G$17&gt;=$L$16),IF($M$16=0,TRUE,'Thermal Site'!$J$17&gt;=E75),IF($N$16=0,TRUE,'Thermal Site'!$K$17&gt;=E75)),"PASS","FAIL")</x:f>
        <x:v>PASS</x:v>
      </x:c>
      <x:c r="J75" s="2" t="str">
        <x:f>IF(AND(IF($O$16=0,TRUE,'Thermal Site'!$H$17&lt;=$O$16),IF($P$16=0,TRUE,'Thermal Site'!$I$17&gt;=$P$16),IF($S$16=0,TRUE,'Thermal Site'!$J$8&gt;=1),IF($T$16=0,TRUE,'Thermal Site'!$L$17="YES")),"PASS","FAIL")</x:f>
        <x:v>PASS</x:v>
      </x:c>
      <x:c r="K75" s="2" t="str">
        <x:f>IF(AND(IF($Q$16&lt;1,'Deployment Work'!$M$8&gt;=1,'Deployment Work'!$L$8&gt;=1),'Deployment Work'!$Y$8&lt;=$R$16),"PASS","FAIL")</x:f>
        <x:v>PASS</x:v>
      </x:c>
      <x:c r="L75" s="2" t="str">
        <x:f>IF(AND(H75="PASS",I75="PASS",J75="PASS",K75="PASS"),"PASS","FAIL")</x:f>
        <x:v>PASS</x:v>
      </x:c>
      <x:c r="M75" s="2"/>
      <x:c r="N75" s="2"/>
      <x:c r="O75" s="2"/>
      <x:c r="P75" s="2"/>
      <x:c r="Q75" s="2"/>
      <x:c r="R75" s="2"/>
      <x:c r="S75" s="2"/>
      <x:c r="T75" s="2"/>
      <x:c r="U75" s="2"/>
      <x:c r="V75" s="2"/>
      <x:c r="W75" s="2"/>
      <x:c r="X75" s="2"/>
      <x:c r="Y75" s="2"/>
      <x:c r="Z75" s="2"/>
    </x:row>
    <x:row r="76">
      <x:c r="A76" s="2"/>
      <x:c r="B76" s="2" t="str">
        <x:v>W8</x:v>
      </x:c>
      <x:c r="C76" s="2" t="str">
        <x:v>landlocked full-service receiver</x:v>
      </x:c>
      <x:c r="D76" s="2" t="str">
        <x:v>G2</x:v>
      </x:c>
      <x:c r="E76" s="30" t="n">
        <x:f>$D$16</x:f>
        <x:v>1</x:v>
      </x:c>
      <x:c r="F76" s="30" t="n">
        <x:f>MIN(1,(Geometry!$E$9*$I$16+(1-Geometry!$E$9)*(Geometry!$O$9*$F$16+Geometry!$P$9*$G$16*IF($J$16=0,0,1)+Geometry!$Q$9*$H$16))*IF($U$16=1,'Deployment Work'!$X$9,1))</x:f>
        <x:v>1</x:v>
      </x:c>
      <x:c r="G76" s="36" t="n">
        <x:f>IF(AND(Geometry!$E$9&gt;0,$I$16=0),'Deployment Work'!$E$9,IF(E76&lt;=Assumptions!$D$12,'Deployment Work'!$D$9,'Deployment Work'!$E$9))</x:f>
        <x:v>44</x:v>
      </x:c>
      <x:c r="H76" s="2" t="str">
        <x:f>IF(AND(F76&gt;=E76,G76&lt;=$E$16),"PASS","FAIL")</x:f>
        <x:v>PASS</x:v>
      </x:c>
      <x:c r="I76" s="2" t="str">
        <x:f>IF(AND(IF($K$16=0,TRUE,'Thermal Site'!$F$18&lt;=$K$16),IF($L$16=0,TRUE,'Thermal Site'!$G$18&gt;=$L$16),IF($M$16=0,TRUE,'Thermal Site'!$J$18&gt;=E76),IF($N$16=0,TRUE,'Thermal Site'!$K$18&gt;=E76)),"PASS","FAIL")</x:f>
        <x:v>PASS</x:v>
      </x:c>
      <x:c r="J76" s="2" t="str">
        <x:f>IF(AND(IF($O$16=0,TRUE,'Thermal Site'!$H$18&lt;=$O$16),IF($P$16=0,TRUE,'Thermal Site'!$I$18&gt;=$P$16),IF($S$16=0,TRUE,'Thermal Site'!$J$9&gt;=1),IF($T$16=0,TRUE,'Thermal Site'!$L$18="YES")),"PASS","FAIL")</x:f>
        <x:v>PASS</x:v>
      </x:c>
      <x:c r="K76" s="2" t="str">
        <x:f>IF(AND(IF($Q$16&lt;1,'Deployment Work'!$M$9&gt;=1,'Deployment Work'!$L$9&gt;=1),'Deployment Work'!$Y$9&lt;=$R$16),"PASS","FAIL")</x:f>
        <x:v>PASS</x:v>
      </x:c>
      <x:c r="L76" s="2" t="str">
        <x:f>IF(AND(H76="PASS",I76="PASS",J76="PASS",K76="PASS"),"PASS","FAIL")</x:f>
        <x:v>PASS</x:v>
      </x:c>
      <x:c r="M76" s="2"/>
      <x:c r="N76" s="2"/>
      <x:c r="O76" s="2"/>
      <x:c r="P76" s="2"/>
      <x:c r="Q76" s="2"/>
      <x:c r="R76" s="2"/>
      <x:c r="S76" s="2"/>
      <x:c r="T76" s="2"/>
      <x:c r="U76" s="2"/>
      <x:c r="V76" s="2"/>
      <x:c r="W76" s="2"/>
      <x:c r="X76" s="2"/>
      <x:c r="Y76" s="2"/>
      <x:c r="Z76" s="2"/>
    </x:row>
    <x:row r="77">
      <x:c r="A77" s="2"/>
      <x:c r="B77" s="2" t="str">
        <x:v>W8</x:v>
      </x:c>
      <x:c r="C77" s="2" t="str">
        <x:v>landlocked full-service receiver</x:v>
      </x:c>
      <x:c r="D77" s="2" t="str">
        <x:v>G3</x:v>
      </x:c>
      <x:c r="E77" s="30" t="n">
        <x:f>$D$16</x:f>
        <x:v>1</x:v>
      </x:c>
      <x:c r="F77" s="30" t="n">
        <x:f>MIN(1,(Geometry!$E$10*$I$16+(1-Geometry!$E$10)*(Geometry!$O$10*$F$16+Geometry!$P$10*$G$16+Geometry!$Q$10*$H$16))*IF($U$16=1,'Deployment Work'!$X$10,1))</x:f>
        <x:v>0</x:v>
      </x:c>
      <x:c r="G77" s="36" t="n">
        <x:f>IF(AND(Geometry!$E$10&gt;0,$I$16=0),'Deployment Work'!$E$10,IF(E77&lt;=Assumptions!$D$12,'Deployment Work'!$D$10,'Deployment Work'!$E$10))</x:f>
        <x:v>30</x:v>
      </x:c>
      <x:c r="H77" s="2" t="str">
        <x:f>IF(AND(F77&gt;=E77,G77&lt;=$E$16),"PASS","FAIL")</x:f>
        <x:v>FAIL</x:v>
      </x:c>
      <x:c r="I77" s="2" t="str">
        <x:f>IF(AND(IF($K$16=0,TRUE,'Thermal Site'!$F$19&lt;=$K$16),IF($L$16=0,TRUE,'Thermal Site'!$G$19&gt;=$L$16),IF($M$16=0,TRUE,'Thermal Site'!$J$19&gt;=E77),IF($N$16=0,TRUE,'Thermal Site'!$K$19&gt;=E77)),"PASS","FAIL")</x:f>
        <x:v>PASS</x:v>
      </x:c>
      <x:c r="J77" s="2" t="str">
        <x:f>IF(AND(IF($O$16=0,TRUE,'Thermal Site'!$H$19&lt;=$O$16),IF($P$16=0,TRUE,'Thermal Site'!$I$19&gt;=$P$16),IF($S$16=0,TRUE,'Thermal Site'!$J$10&gt;=1),IF($T$16=0,TRUE,'Thermal Site'!$L$19="YES")),"PASS","FAIL")</x:f>
        <x:v>PASS</x:v>
      </x:c>
      <x:c r="K77" s="2" t="str">
        <x:f>IF(AND(IF($Q$16&lt;1,'Deployment Work'!$M$10&gt;=1,'Deployment Work'!$L$10&gt;=1),'Deployment Work'!$Y$10&lt;=$R$16),"PASS","FAIL")</x:f>
        <x:v>PASS</x:v>
      </x:c>
      <x:c r="L77" s="2" t="str">
        <x:f>IF(AND(H77="PASS",I77="PASS",J77="PASS",K77="PASS"),"PASS","FAIL")</x:f>
        <x:v>FAIL</x:v>
      </x:c>
      <x:c r="M77" s="2"/>
      <x:c r="N77" s="2"/>
      <x:c r="O77" s="2"/>
      <x:c r="P77" s="2"/>
      <x:c r="Q77" s="2"/>
      <x:c r="R77" s="2"/>
      <x:c r="S77" s="2"/>
      <x:c r="T77" s="2"/>
      <x:c r="U77" s="2"/>
      <x:c r="V77" s="2"/>
      <x:c r="W77" s="2"/>
      <x:c r="X77" s="2"/>
      <x:c r="Y77" s="2"/>
      <x:c r="Z77" s="2"/>
    </x:row>
    <x:row r="78">
      <x:c r="A78" s="2"/>
      <x:c r="B78" s="2" t="str">
        <x:v>W8</x:v>
      </x:c>
      <x:c r="C78" s="2" t="str">
        <x:v>landlocked full-service receiver</x:v>
      </x:c>
      <x:c r="D78" s="2" t="str">
        <x:v>G4</x:v>
      </x:c>
      <x:c r="E78" s="30" t="n">
        <x:f>$D$16</x:f>
        <x:v>1</x:v>
      </x:c>
      <x:c r="F78" s="30" t="n">
        <x:f>MIN(1,(Geometry!$E$11*$I$16+(1-Geometry!$E$11)*(Geometry!$O$11*$F$16+Geometry!$P$11*$G$16+Geometry!$Q$11*$H$16))*IF($U$16=1,'Deployment Work'!$X$11,1))</x:f>
        <x:v>1</x:v>
      </x:c>
      <x:c r="G78" s="36" t="n">
        <x:f>IF(AND(Geometry!$E$11&gt;0,$I$16=0),'Deployment Work'!$E$11,IF(E78&lt;=Assumptions!$D$12,'Deployment Work'!$D$11,'Deployment Work'!$E$11))</x:f>
        <x:v>12</x:v>
      </x:c>
      <x:c r="H78" s="2" t="str">
        <x:f>IF(AND(F78&gt;=E78,G78&lt;=$E$16),"PASS","FAIL")</x:f>
        <x:v>PASS</x:v>
      </x:c>
      <x:c r="I78" s="2" t="str">
        <x:f>IF(AND(IF($K$16=0,TRUE,'Thermal Site'!$F$20&lt;=$K$16),IF($L$16=0,TRUE,'Thermal Site'!$G$20&gt;=$L$16),IF($M$16=0,TRUE,'Thermal Site'!$J$20&gt;=E78),IF($N$16=0,TRUE,'Thermal Site'!$K$20&gt;=E78)),"PASS","FAIL")</x:f>
        <x:v>PASS</x:v>
      </x:c>
      <x:c r="J78" s="2" t="str">
        <x:f>IF(AND(IF($O$16=0,TRUE,'Thermal Site'!$H$20&lt;=$O$16),IF($P$16=0,TRUE,'Thermal Site'!$I$20&gt;=$P$16),IF($S$16=0,TRUE,'Thermal Site'!$J$11&gt;=1),IF($T$16=0,TRUE,'Thermal Site'!$L$20="YES")),"PASS","FAIL")</x:f>
        <x:v>PASS</x:v>
      </x:c>
      <x:c r="K78" s="2" t="str">
        <x:f>IF(AND(IF($Q$16&lt;1,'Deployment Work'!$M$11&gt;=1,'Deployment Work'!$L$11&gt;=1),'Deployment Work'!$Y$11&lt;=$R$16),"PASS","FAIL")</x:f>
        <x:v>PASS</x:v>
      </x:c>
      <x:c r="L78" s="2" t="str">
        <x:f>IF(AND(H78="PASS",I78="PASS",J78="PASS",K78="PASS"),"PASS","FAIL")</x:f>
        <x:v>PASS</x:v>
      </x:c>
      <x:c r="M78" s="2"/>
      <x:c r="N78" s="2"/>
      <x:c r="O78" s="2"/>
      <x:c r="P78" s="2"/>
      <x:c r="Q78" s="2"/>
      <x:c r="R78" s="2"/>
      <x:c r="S78" s="2"/>
      <x:c r="T78" s="2"/>
      <x:c r="U78" s="2"/>
      <x:c r="V78" s="2"/>
      <x:c r="W78" s="2"/>
      <x:c r="X78" s="2"/>
      <x:c r="Y78" s="2"/>
      <x:c r="Z78" s="2"/>
    </x:row>
    <x:row r="79">
      <x:c r="A79" s="2"/>
      <x:c r="B79" s="2" t="str">
        <x:v>W8</x:v>
      </x:c>
      <x:c r="C79" s="2" t="str">
        <x:v>landlocked full-service receiver</x:v>
      </x:c>
      <x:c r="D79" s="2" t="str">
        <x:v>G5</x:v>
      </x:c>
      <x:c r="E79" s="30" t="n">
        <x:f>$D$16</x:f>
        <x:v>1</x:v>
      </x:c>
      <x:c r="F79" s="30" t="n">
        <x:f>MIN(1,(Geometry!$E$12*$I$16+(1-Geometry!$E$12)*(Geometry!$O$12*$F$16+Geometry!$P$12*$G$16*IF($J$16=0,0,1)+Geometry!$Q$12*$H$16*IF($J$16=0,0,1)))*IF($U$16=1,'Deployment Work'!$X$12,1))</x:f>
        <x:v>0.7</x:v>
      </x:c>
      <x:c r="G79" s="36" t="n">
        <x:f>IF(AND(Geometry!$E$12&gt;0,$I$16=0),'Deployment Work'!$E$12,IF(E79&lt;=Assumptions!$D$12,'Deployment Work'!$D$12,'Deployment Work'!$E$12))</x:f>
        <x:v>46</x:v>
      </x:c>
      <x:c r="H79" s="2" t="str">
        <x:f>IF(AND(F79&gt;=E79,G79&lt;=$E$16),"PASS","FAIL")</x:f>
        <x:v>FAIL</x:v>
      </x:c>
      <x:c r="I79" s="2" t="str">
        <x:f>IF(AND(IF($K$16=0,TRUE,'Thermal Site'!$F$21&lt;=$K$16),IF($L$16=0,TRUE,'Thermal Site'!$G$21&gt;=$L$16),IF($M$16=0,TRUE,'Thermal Site'!$J$21&gt;=E79),IF($N$16=0,TRUE,'Thermal Site'!$K$21&gt;=E79)),"PASS","FAIL")</x:f>
        <x:v>PASS</x:v>
      </x:c>
      <x:c r="J79" s="2" t="str">
        <x:f>IF(AND(IF($O$16=0,TRUE,'Thermal Site'!$H$21&lt;=$O$16),IF($P$16=0,TRUE,'Thermal Site'!$I$21&gt;=$P$16),IF($S$16=0,TRUE,'Thermal Site'!$J$12&gt;=1),IF($T$16=0,TRUE,'Thermal Site'!$L$21="YES")),"PASS","FAIL")</x:f>
        <x:v>PASS</x:v>
      </x:c>
      <x:c r="K79" s="2" t="str">
        <x:f>IF(AND(IF($Q$16&lt;1,'Deployment Work'!$M$12&gt;=1,'Deployment Work'!$L$12&gt;=1),'Deployment Work'!$Y$12&lt;=$R$16),"PASS","FAIL")</x:f>
        <x:v>PASS</x:v>
      </x:c>
      <x:c r="L79" s="2" t="str">
        <x:f>IF(AND(H79="PASS",I79="PASS",J79="PASS",K79="PASS"),"PASS","FAIL")</x:f>
        <x:v>FAIL</x:v>
      </x:c>
      <x:c r="M79" s="2"/>
      <x:c r="N79" s="2"/>
      <x:c r="O79" s="2"/>
      <x:c r="P79" s="2"/>
      <x:c r="Q79" s="2"/>
      <x:c r="R79" s="2"/>
      <x:c r="S79" s="2"/>
      <x:c r="T79" s="2"/>
      <x:c r="U79" s="2"/>
      <x:c r="V79" s="2"/>
      <x:c r="W79" s="2"/>
      <x:c r="X79" s="2"/>
      <x:c r="Y79" s="2"/>
      <x:c r="Z79" s="2"/>
    </x:row>
    <x:row r="80">
      <x:c r="A80" s="2"/>
      <x:c r="B80" s="2" t="str">
        <x:v>W9</x:v>
      </x:c>
      <x:c r="C80" s="2" t="str">
        <x:v>rail-free full-service receiver</x:v>
      </x:c>
      <x:c r="D80" s="2" t="str">
        <x:v>G1</x:v>
      </x:c>
      <x:c r="E80" s="30" t="n">
        <x:f>$D$17</x:f>
        <x:v>1</x:v>
      </x:c>
      <x:c r="F80" s="30" t="n">
        <x:f>MIN(1,(Geometry!$E$8*$I$17+(1-Geometry!$E$8)*(Geometry!$O$8*$F$17+Geometry!$P$8*$G$17+Geometry!$Q$8*$H$17))*IF($U$17=1,'Deployment Work'!$X$8,1))</x:f>
        <x:v>1</x:v>
      </x:c>
      <x:c r="G80" s="36" t="n">
        <x:f>IF(AND(Geometry!$E$8&gt;0,$I$17=0),'Deployment Work'!$E$8,IF(E80&lt;=Assumptions!$D$12,'Deployment Work'!$D$8,'Deployment Work'!$E$8))</x:f>
        <x:v>36</x:v>
      </x:c>
      <x:c r="H80" s="2" t="str">
        <x:f>IF(AND(F80&gt;=E80,G80&lt;=$E$17),"PASS","FAIL")</x:f>
        <x:v>PASS</x:v>
      </x:c>
      <x:c r="I80" s="2" t="str">
        <x:f>IF(AND(IF($K$17=0,TRUE,'Thermal Site'!$F$17&lt;=$K$17),IF($L$17=0,TRUE,'Thermal Site'!$G$17&gt;=$L$17),IF($M$17=0,TRUE,'Thermal Site'!$J$17&gt;=E80),IF($N$17=0,TRUE,'Thermal Site'!$K$17&gt;=E80)),"PASS","FAIL")</x:f>
        <x:v>PASS</x:v>
      </x:c>
      <x:c r="J80" s="2" t="str">
        <x:f>IF(AND(IF($O$17=0,TRUE,'Thermal Site'!$H$17&lt;=$O$17),IF($P$17=0,TRUE,'Thermal Site'!$I$17&gt;=$P$17),IF($S$17=0,TRUE,'Thermal Site'!$J$8&gt;=1),IF($T$17=0,TRUE,'Thermal Site'!$L$17="YES")),"PASS","FAIL")</x:f>
        <x:v>PASS</x:v>
      </x:c>
      <x:c r="K80" s="2" t="str">
        <x:f>IF(AND(IF($Q$17&lt;1,'Deployment Work'!$M$8&gt;=1,'Deployment Work'!$L$8&gt;=1),'Deployment Work'!$Y$8&lt;=$R$17),"PASS","FAIL")</x:f>
        <x:v>PASS</x:v>
      </x:c>
      <x:c r="L80" s="2" t="str">
        <x:f>IF(AND(H80="PASS",I80="PASS",J80="PASS",K80="PASS"),"PASS","FAIL")</x:f>
        <x:v>PASS</x:v>
      </x:c>
      <x:c r="M80" s="2"/>
      <x:c r="N80" s="2"/>
      <x:c r="O80" s="2"/>
      <x:c r="P80" s="2"/>
      <x:c r="Q80" s="2"/>
      <x:c r="R80" s="2"/>
      <x:c r="S80" s="2"/>
      <x:c r="T80" s="2"/>
      <x:c r="U80" s="2"/>
      <x:c r="V80" s="2"/>
      <x:c r="W80" s="2"/>
      <x:c r="X80" s="2"/>
      <x:c r="Y80" s="2"/>
      <x:c r="Z80" s="2"/>
    </x:row>
    <x:row r="81">
      <x:c r="A81" s="2"/>
      <x:c r="B81" s="2" t="str">
        <x:v>W9</x:v>
      </x:c>
      <x:c r="C81" s="2" t="str">
        <x:v>rail-free full-service receiver</x:v>
      </x:c>
      <x:c r="D81" s="2" t="str">
        <x:v>G2</x:v>
      </x:c>
      <x:c r="E81" s="30" t="n">
        <x:f>$D$17</x:f>
        <x:v>1</x:v>
      </x:c>
      <x:c r="F81" s="30" t="n">
        <x:f>MIN(1,(Geometry!$E$9*$I$17+(1-Geometry!$E$9)*(Geometry!$O$9*$F$17+Geometry!$P$9*$G$17*IF($J$17=0,0,1)+Geometry!$Q$9*$H$17))*IF($U$17=1,'Deployment Work'!$X$9,1))</x:f>
        <x:v>0.1</x:v>
      </x:c>
      <x:c r="G81" s="36" t="n">
        <x:f>IF(AND(Geometry!$E$9&gt;0,$I$17=0),'Deployment Work'!$E$9,IF(E81&lt;=Assumptions!$D$12,'Deployment Work'!$D$9,'Deployment Work'!$E$9))</x:f>
        <x:v>44</x:v>
      </x:c>
      <x:c r="H81" s="2" t="str">
        <x:f>IF(AND(F81&gt;=E81,G81&lt;=$E$17),"PASS","FAIL")</x:f>
        <x:v>FAIL</x:v>
      </x:c>
      <x:c r="I81" s="2" t="str">
        <x:f>IF(AND(IF($K$17=0,TRUE,'Thermal Site'!$F$18&lt;=$K$17),IF($L$17=0,TRUE,'Thermal Site'!$G$18&gt;=$L$17),IF($M$17=0,TRUE,'Thermal Site'!$J$18&gt;=E81),IF($N$17=0,TRUE,'Thermal Site'!$K$18&gt;=E81)),"PASS","FAIL")</x:f>
        <x:v>PASS</x:v>
      </x:c>
      <x:c r="J81" s="2" t="str">
        <x:f>IF(AND(IF($O$17=0,TRUE,'Thermal Site'!$H$18&lt;=$O$17),IF($P$17=0,TRUE,'Thermal Site'!$I$18&gt;=$P$17),IF($S$17=0,TRUE,'Thermal Site'!$J$9&gt;=1),IF($T$17=0,TRUE,'Thermal Site'!$L$18="YES")),"PASS","FAIL")</x:f>
        <x:v>PASS</x:v>
      </x:c>
      <x:c r="K81" s="2" t="str">
        <x:f>IF(AND(IF($Q$17&lt;1,'Deployment Work'!$M$9&gt;=1,'Deployment Work'!$L$9&gt;=1),'Deployment Work'!$Y$9&lt;=$R$17),"PASS","FAIL")</x:f>
        <x:v>PASS</x:v>
      </x:c>
      <x:c r="L81" s="2" t="str">
        <x:f>IF(AND(H81="PASS",I81="PASS",J81="PASS",K81="PASS"),"PASS","FAIL")</x:f>
        <x:v>FAIL</x:v>
      </x:c>
      <x:c r="M81" s="2"/>
      <x:c r="N81" s="2"/>
      <x:c r="O81" s="2"/>
      <x:c r="P81" s="2"/>
      <x:c r="Q81" s="2"/>
      <x:c r="R81" s="2"/>
      <x:c r="S81" s="2"/>
      <x:c r="T81" s="2"/>
      <x:c r="U81" s="2"/>
      <x:c r="V81" s="2"/>
      <x:c r="W81" s="2"/>
      <x:c r="X81" s="2"/>
      <x:c r="Y81" s="2"/>
      <x:c r="Z81" s="2"/>
    </x:row>
    <x:row r="82">
      <x:c r="A82" s="2"/>
      <x:c r="B82" s="2" t="str">
        <x:v>W9</x:v>
      </x:c>
      <x:c r="C82" s="2" t="str">
        <x:v>rail-free full-service receiver</x:v>
      </x:c>
      <x:c r="D82" s="2" t="str">
        <x:v>G3</x:v>
      </x:c>
      <x:c r="E82" s="30" t="n">
        <x:f>$D$17</x:f>
        <x:v>1</x:v>
      </x:c>
      <x:c r="F82" s="30" t="n">
        <x:f>MIN(1,(Geometry!$E$10*$I$17+(1-Geometry!$E$10)*(Geometry!$O$10*$F$17+Geometry!$P$10*$G$17+Geometry!$Q$10*$H$17))*IF($U$17=1,'Deployment Work'!$X$10,1))</x:f>
        <x:v>1</x:v>
      </x:c>
      <x:c r="G82" s="36" t="n">
        <x:f>IF(AND(Geometry!$E$10&gt;0,$I$17=0),'Deployment Work'!$E$10,IF(E82&lt;=Assumptions!$D$12,'Deployment Work'!$D$10,'Deployment Work'!$E$10))</x:f>
        <x:v>30</x:v>
      </x:c>
      <x:c r="H82" s="2" t="str">
        <x:f>IF(AND(F82&gt;=E82,G82&lt;=$E$17),"PASS","FAIL")</x:f>
        <x:v>PASS</x:v>
      </x:c>
      <x:c r="I82" s="2" t="str">
        <x:f>IF(AND(IF($K$17=0,TRUE,'Thermal Site'!$F$19&lt;=$K$17),IF($L$17=0,TRUE,'Thermal Site'!$G$19&gt;=$L$17),IF($M$17=0,TRUE,'Thermal Site'!$J$19&gt;=E82),IF($N$17=0,TRUE,'Thermal Site'!$K$19&gt;=E82)),"PASS","FAIL")</x:f>
        <x:v>PASS</x:v>
      </x:c>
      <x:c r="J82" s="2" t="str">
        <x:f>IF(AND(IF($O$17=0,TRUE,'Thermal Site'!$H$19&lt;=$O$17),IF($P$17=0,TRUE,'Thermal Site'!$I$19&gt;=$P$17),IF($S$17=0,TRUE,'Thermal Site'!$J$10&gt;=1),IF($T$17=0,TRUE,'Thermal Site'!$L$19="YES")),"PASS","FAIL")</x:f>
        <x:v>PASS</x:v>
      </x:c>
      <x:c r="K82" s="2" t="str">
        <x:f>IF(AND(IF($Q$17&lt;1,'Deployment Work'!$M$10&gt;=1,'Deployment Work'!$L$10&gt;=1),'Deployment Work'!$Y$10&lt;=$R$17),"PASS","FAIL")</x:f>
        <x:v>PASS</x:v>
      </x:c>
      <x:c r="L82" s="2" t="str">
        <x:f>IF(AND(H82="PASS",I82="PASS",J82="PASS",K82="PASS"),"PASS","FAIL")</x:f>
        <x:v>PASS</x:v>
      </x:c>
      <x:c r="M82" s="2"/>
      <x:c r="N82" s="2"/>
      <x:c r="O82" s="2"/>
      <x:c r="P82" s="2"/>
      <x:c r="Q82" s="2"/>
      <x:c r="R82" s="2"/>
      <x:c r="S82" s="2"/>
      <x:c r="T82" s="2"/>
      <x:c r="U82" s="2"/>
      <x:c r="V82" s="2"/>
      <x:c r="W82" s="2"/>
      <x:c r="X82" s="2"/>
      <x:c r="Y82" s="2"/>
      <x:c r="Z82" s="2"/>
    </x:row>
    <x:row r="83">
      <x:c r="A83" s="2"/>
      <x:c r="B83" s="2" t="str">
        <x:v>W9</x:v>
      </x:c>
      <x:c r="C83" s="2" t="str">
        <x:v>rail-free full-service receiver</x:v>
      </x:c>
      <x:c r="D83" s="2" t="str">
        <x:v>G4</x:v>
      </x:c>
      <x:c r="E83" s="30" t="n">
        <x:f>$D$17</x:f>
        <x:v>1</x:v>
      </x:c>
      <x:c r="F83" s="30" t="n">
        <x:f>MIN(1,(Geometry!$E$11*$I$17+(1-Geometry!$E$11)*(Geometry!$O$11*$F$17+Geometry!$P$11*$G$17+Geometry!$Q$11*$H$17))*IF($U$17=1,'Deployment Work'!$X$11,1))</x:f>
        <x:v>1</x:v>
      </x:c>
      <x:c r="G83" s="36" t="n">
        <x:f>IF(AND(Geometry!$E$11&gt;0,$I$17=0),'Deployment Work'!$E$11,IF(E83&lt;=Assumptions!$D$12,'Deployment Work'!$D$11,'Deployment Work'!$E$11))</x:f>
        <x:v>12</x:v>
      </x:c>
      <x:c r="H83" s="2" t="str">
        <x:f>IF(AND(F83&gt;=E83,G83&lt;=$E$17),"PASS","FAIL")</x:f>
        <x:v>PASS</x:v>
      </x:c>
      <x:c r="I83" s="2" t="str">
        <x:f>IF(AND(IF($K$17=0,TRUE,'Thermal Site'!$F$20&lt;=$K$17),IF($L$17=0,TRUE,'Thermal Site'!$G$20&gt;=$L$17),IF($M$17=0,TRUE,'Thermal Site'!$J$20&gt;=E83),IF($N$17=0,TRUE,'Thermal Site'!$K$20&gt;=E83)),"PASS","FAIL")</x:f>
        <x:v>PASS</x:v>
      </x:c>
      <x:c r="J83" s="2" t="str">
        <x:f>IF(AND(IF($O$17=0,TRUE,'Thermal Site'!$H$20&lt;=$O$17),IF($P$17=0,TRUE,'Thermal Site'!$I$20&gt;=$P$17),IF($S$17=0,TRUE,'Thermal Site'!$J$11&gt;=1),IF($T$17=0,TRUE,'Thermal Site'!$L$20="YES")),"PASS","FAIL")</x:f>
        <x:v>PASS</x:v>
      </x:c>
      <x:c r="K83" s="2" t="str">
        <x:f>IF(AND(IF($Q$17&lt;1,'Deployment Work'!$M$11&gt;=1,'Deployment Work'!$L$11&gt;=1),'Deployment Work'!$Y$11&lt;=$R$17),"PASS","FAIL")</x:f>
        <x:v>PASS</x:v>
      </x:c>
      <x:c r="L83" s="2" t="str">
        <x:f>IF(AND(H83="PASS",I83="PASS",J83="PASS",K83="PASS"),"PASS","FAIL")</x:f>
        <x:v>PASS</x:v>
      </x:c>
      <x:c r="M83" s="2"/>
      <x:c r="N83" s="2"/>
      <x:c r="O83" s="2"/>
      <x:c r="P83" s="2"/>
      <x:c r="Q83" s="2"/>
      <x:c r="R83" s="2"/>
      <x:c r="S83" s="2"/>
      <x:c r="T83" s="2"/>
      <x:c r="U83" s="2"/>
      <x:c r="V83" s="2"/>
      <x:c r="W83" s="2"/>
      <x:c r="X83" s="2"/>
      <x:c r="Y83" s="2"/>
      <x:c r="Z83" s="2"/>
    </x:row>
    <x:row r="84">
      <x:c r="A84" s="2"/>
      <x:c r="B84" s="2" t="str">
        <x:v>W9</x:v>
      </x:c>
      <x:c r="C84" s="2" t="str">
        <x:v>rail-free full-service receiver</x:v>
      </x:c>
      <x:c r="D84" s="2" t="str">
        <x:v>G5</x:v>
      </x:c>
      <x:c r="E84" s="30" t="n">
        <x:f>$D$17</x:f>
        <x:v>1</x:v>
      </x:c>
      <x:c r="F84" s="30" t="n">
        <x:f>MIN(1,(Geometry!$E$12*$I$17+(1-Geometry!$E$12)*(Geometry!$O$12*$F$17+Geometry!$P$12*$G$17*IF($J$17=0,0,1)+Geometry!$Q$12*$H$17*IF($J$17=0,0,1)))*IF($U$17=1,'Deployment Work'!$X$12,1))</x:f>
        <x:v>0.7</x:v>
      </x:c>
      <x:c r="G84" s="36" t="n">
        <x:f>IF(AND(Geometry!$E$12&gt;0,$I$17=0),'Deployment Work'!$E$12,IF(E84&lt;=Assumptions!$D$12,'Deployment Work'!$D$12,'Deployment Work'!$E$12))</x:f>
        <x:v>46</x:v>
      </x:c>
      <x:c r="H84" s="2" t="str">
        <x:f>IF(AND(F84&gt;=E84,G84&lt;=$E$17),"PASS","FAIL")</x:f>
        <x:v>FAIL</x:v>
      </x:c>
      <x:c r="I84" s="2" t="str">
        <x:f>IF(AND(IF($K$17=0,TRUE,'Thermal Site'!$F$21&lt;=$K$17),IF($L$17=0,TRUE,'Thermal Site'!$G$21&gt;=$L$17),IF($M$17=0,TRUE,'Thermal Site'!$J$21&gt;=E84),IF($N$17=0,TRUE,'Thermal Site'!$K$21&gt;=E84)),"PASS","FAIL")</x:f>
        <x:v>PASS</x:v>
      </x:c>
      <x:c r="J84" s="2" t="str">
        <x:f>IF(AND(IF($O$17=0,TRUE,'Thermal Site'!$H$21&lt;=$O$17),IF($P$17=0,TRUE,'Thermal Site'!$I$21&gt;=$P$17),IF($S$17=0,TRUE,'Thermal Site'!$J$12&gt;=1),IF($T$17=0,TRUE,'Thermal Site'!$L$21="YES")),"PASS","FAIL")</x:f>
        <x:v>PASS</x:v>
      </x:c>
      <x:c r="K84" s="2" t="str">
        <x:f>IF(AND(IF($Q$17&lt;1,'Deployment Work'!$M$12&gt;=1,'Deployment Work'!$L$12&gt;=1),'Deployment Work'!$Y$12&lt;=$R$17),"PASS","FAIL")</x:f>
        <x:v>PASS</x:v>
      </x:c>
      <x:c r="L84" s="2" t="str">
        <x:f>IF(AND(H84="PASS",I84="PASS",J84="PASS",K84="PASS"),"PASS","FAIL")</x:f>
        <x:v>FAIL</x:v>
      </x:c>
      <x:c r="M84" s="2"/>
      <x:c r="N84" s="2"/>
      <x:c r="O84" s="2"/>
      <x:c r="P84" s="2"/>
      <x:c r="Q84" s="2"/>
      <x:c r="R84" s="2"/>
      <x:c r="S84" s="2"/>
      <x:c r="T84" s="2"/>
      <x:c r="U84" s="2"/>
      <x:c r="V84" s="2"/>
      <x:c r="W84" s="2"/>
      <x:c r="X84" s="2"/>
      <x:c r="Y84" s="2"/>
      <x:c r="Z84" s="2"/>
    </x:row>
    <x:row r="85">
      <x:c r="A85" s="2"/>
      <x:c r="B85" s="2" t="str">
        <x:v>W10</x:v>
      </x:c>
      <x:c r="C85" s="2" t="str">
        <x:v>unprepared full-service receiver</x:v>
      </x:c>
      <x:c r="D85" s="2" t="str">
        <x:v>G1</x:v>
      </x:c>
      <x:c r="E85" s="30" t="n">
        <x:f>$D$18</x:f>
        <x:v>1</x:v>
      </x:c>
      <x:c r="F85" s="30" t="n">
        <x:f>MIN(1,(Geometry!$E$8*$I$18+(1-Geometry!$E$8)*(Geometry!$O$8*$F$18+Geometry!$P$8*$G$18+Geometry!$Q$8*$H$18))*IF($U$18=1,'Deployment Work'!$X$8,1))</x:f>
        <x:v>1</x:v>
      </x:c>
      <x:c r="G85" s="36" t="n">
        <x:f>IF(AND(Geometry!$E$8&gt;0,$I$18=0),'Deployment Work'!$E$8,IF(E85&lt;=Assumptions!$D$12,'Deployment Work'!$D$8,'Deployment Work'!$E$8))</x:f>
        <x:v>36</x:v>
      </x:c>
      <x:c r="H85" s="2" t="str">
        <x:f>IF(AND(F85&gt;=E85,G85&lt;=$E$18),"PASS","FAIL")</x:f>
        <x:v>PASS</x:v>
      </x:c>
      <x:c r="I85" s="2" t="str">
        <x:f>IF(AND(IF($K$18=0,TRUE,'Thermal Site'!$F$17&lt;=$K$18),IF($L$18=0,TRUE,'Thermal Site'!$G$17&gt;=$L$18),IF($M$18=0,TRUE,'Thermal Site'!$J$17&gt;=E85),IF($N$18=0,TRUE,'Thermal Site'!$K$17&gt;=E85)),"PASS","FAIL")</x:f>
        <x:v>PASS</x:v>
      </x:c>
      <x:c r="J85" s="2" t="str">
        <x:f>IF(AND(IF($O$18=0,TRUE,'Thermal Site'!$H$17&lt;=$O$18),IF($P$18=0,TRUE,'Thermal Site'!$I$17&gt;=$P$18),IF($S$18=0,TRUE,'Thermal Site'!$J$8&gt;=1),IF($T$18=0,TRUE,'Thermal Site'!$L$17="YES")),"PASS","FAIL")</x:f>
        <x:v>PASS</x:v>
      </x:c>
      <x:c r="K85" s="2" t="str">
        <x:f>IF(AND(IF($Q$18&lt;1,'Deployment Work'!$M$8&gt;=1,'Deployment Work'!$L$8&gt;=1),'Deployment Work'!$Y$8&lt;=$R$18),"PASS","FAIL")</x:f>
        <x:v>PASS</x:v>
      </x:c>
      <x:c r="L85" s="2" t="str">
        <x:f>IF(AND(H85="PASS",I85="PASS",J85="PASS",K85="PASS"),"PASS","FAIL")</x:f>
        <x:v>PASS</x:v>
      </x:c>
      <x:c r="M85" s="2"/>
      <x:c r="N85" s="2"/>
      <x:c r="O85" s="2"/>
      <x:c r="P85" s="2"/>
      <x:c r="Q85" s="2"/>
      <x:c r="R85" s="2"/>
      <x:c r="S85" s="2"/>
      <x:c r="T85" s="2"/>
      <x:c r="U85" s="2"/>
      <x:c r="V85" s="2"/>
      <x:c r="W85" s="2"/>
      <x:c r="X85" s="2"/>
      <x:c r="Y85" s="2"/>
      <x:c r="Z85" s="2"/>
    </x:row>
    <x:row r="86">
      <x:c r="A86" s="2"/>
      <x:c r="B86" s="2" t="str">
        <x:v>W10</x:v>
      </x:c>
      <x:c r="C86" s="2" t="str">
        <x:v>unprepared full-service receiver</x:v>
      </x:c>
      <x:c r="D86" s="2" t="str">
        <x:v>G2</x:v>
      </x:c>
      <x:c r="E86" s="30" t="n">
        <x:f>$D$18</x:f>
        <x:v>1</x:v>
      </x:c>
      <x:c r="F86" s="30" t="n">
        <x:f>MIN(1,(Geometry!$E$9*$I$18+(1-Geometry!$E$9)*(Geometry!$O$9*$F$18+Geometry!$P$9*$G$18*IF($J$18=0,0,1)+Geometry!$Q$9*$H$18))*IF($U$18=1,'Deployment Work'!$X$9,1))</x:f>
        <x:v>1</x:v>
      </x:c>
      <x:c r="G86" s="36" t="n">
        <x:f>IF(AND(Geometry!$E$9&gt;0,$I$18=0),'Deployment Work'!$E$9,IF(E86&lt;=Assumptions!$D$12,'Deployment Work'!$D$9,'Deployment Work'!$E$9))</x:f>
        <x:v>44</x:v>
      </x:c>
      <x:c r="H86" s="2" t="str">
        <x:f>IF(AND(F86&gt;=E86,G86&lt;=$E$18),"PASS","FAIL")</x:f>
        <x:v>PASS</x:v>
      </x:c>
      <x:c r="I86" s="2" t="str">
        <x:f>IF(AND(IF($K$18=0,TRUE,'Thermal Site'!$F$18&lt;=$K$18),IF($L$18=0,TRUE,'Thermal Site'!$G$18&gt;=$L$18),IF($M$18=0,TRUE,'Thermal Site'!$J$18&gt;=E86),IF($N$18=0,TRUE,'Thermal Site'!$K$18&gt;=E86)),"PASS","FAIL")</x:f>
        <x:v>PASS</x:v>
      </x:c>
      <x:c r="J86" s="2" t="str">
        <x:f>IF(AND(IF($O$18=0,TRUE,'Thermal Site'!$H$18&lt;=$O$18),IF($P$18=0,TRUE,'Thermal Site'!$I$18&gt;=$P$18),IF($S$18=0,TRUE,'Thermal Site'!$J$9&gt;=1),IF($T$18=0,TRUE,'Thermal Site'!$L$18="YES")),"PASS","FAIL")</x:f>
        <x:v>PASS</x:v>
      </x:c>
      <x:c r="K86" s="2" t="str">
        <x:f>IF(AND(IF($Q$18&lt;1,'Deployment Work'!$M$9&gt;=1,'Deployment Work'!$L$9&gt;=1),'Deployment Work'!$Y$9&lt;=$R$18),"PASS","FAIL")</x:f>
        <x:v>PASS</x:v>
      </x:c>
      <x:c r="L86" s="2" t="str">
        <x:f>IF(AND(H86="PASS",I86="PASS",J86="PASS",K86="PASS"),"PASS","FAIL")</x:f>
        <x:v>PASS</x:v>
      </x:c>
      <x:c r="M86" s="2"/>
      <x:c r="N86" s="2"/>
      <x:c r="O86" s="2"/>
      <x:c r="P86" s="2"/>
      <x:c r="Q86" s="2"/>
      <x:c r="R86" s="2"/>
      <x:c r="S86" s="2"/>
      <x:c r="T86" s="2"/>
      <x:c r="U86" s="2"/>
      <x:c r="V86" s="2"/>
      <x:c r="W86" s="2"/>
      <x:c r="X86" s="2"/>
      <x:c r="Y86" s="2"/>
      <x:c r="Z86" s="2"/>
    </x:row>
    <x:row r="87">
      <x:c r="A87" s="2"/>
      <x:c r="B87" s="2" t="str">
        <x:v>W10</x:v>
      </x:c>
      <x:c r="C87" s="2" t="str">
        <x:v>unprepared full-service receiver</x:v>
      </x:c>
      <x:c r="D87" s="2" t="str">
        <x:v>G3</x:v>
      </x:c>
      <x:c r="E87" s="30" t="n">
        <x:f>$D$18</x:f>
        <x:v>1</x:v>
      </x:c>
      <x:c r="F87" s="30" t="n">
        <x:f>MIN(1,(Geometry!$E$10*$I$18+(1-Geometry!$E$10)*(Geometry!$O$10*$F$18+Geometry!$P$10*$G$18+Geometry!$Q$10*$H$18))*IF($U$18=1,'Deployment Work'!$X$10,1))</x:f>
        <x:v>1</x:v>
      </x:c>
      <x:c r="G87" s="36" t="n">
        <x:f>IF(AND(Geometry!$E$10&gt;0,$I$18=0),'Deployment Work'!$E$10,IF(E87&lt;=Assumptions!$D$12,'Deployment Work'!$D$10,'Deployment Work'!$E$10))</x:f>
        <x:v>30</x:v>
      </x:c>
      <x:c r="H87" s="2" t="str">
        <x:f>IF(AND(F87&gt;=E87,G87&lt;=$E$18),"PASS","FAIL")</x:f>
        <x:v>PASS</x:v>
      </x:c>
      <x:c r="I87" s="2" t="str">
        <x:f>IF(AND(IF($K$18=0,TRUE,'Thermal Site'!$F$19&lt;=$K$18),IF($L$18=0,TRUE,'Thermal Site'!$G$19&gt;=$L$18),IF($M$18=0,TRUE,'Thermal Site'!$J$19&gt;=E87),IF($N$18=0,TRUE,'Thermal Site'!$K$19&gt;=E87)),"PASS","FAIL")</x:f>
        <x:v>PASS</x:v>
      </x:c>
      <x:c r="J87" s="2" t="str">
        <x:f>IF(AND(IF($O$18=0,TRUE,'Thermal Site'!$H$19&lt;=$O$18),IF($P$18=0,TRUE,'Thermal Site'!$I$19&gt;=$P$18),IF($S$18=0,TRUE,'Thermal Site'!$J$10&gt;=1),IF($T$18=0,TRUE,'Thermal Site'!$L$19="YES")),"PASS","FAIL")</x:f>
        <x:v>PASS</x:v>
      </x:c>
      <x:c r="K87" s="2" t="str">
        <x:f>IF(AND(IF($Q$18&lt;1,'Deployment Work'!$M$10&gt;=1,'Deployment Work'!$L$10&gt;=1),'Deployment Work'!$Y$10&lt;=$R$18),"PASS","FAIL")</x:f>
        <x:v>PASS</x:v>
      </x:c>
      <x:c r="L87" s="2" t="str">
        <x:f>IF(AND(H87="PASS",I87="PASS",J87="PASS",K87="PASS"),"PASS","FAIL")</x:f>
        <x:v>PASS</x:v>
      </x:c>
      <x:c r="M87" s="2"/>
      <x:c r="N87" s="2"/>
      <x:c r="O87" s="2"/>
      <x:c r="P87" s="2"/>
      <x:c r="Q87" s="2"/>
      <x:c r="R87" s="2"/>
      <x:c r="S87" s="2"/>
      <x:c r="T87" s="2"/>
      <x:c r="U87" s="2"/>
      <x:c r="V87" s="2"/>
      <x:c r="W87" s="2"/>
      <x:c r="X87" s="2"/>
      <x:c r="Y87" s="2"/>
      <x:c r="Z87" s="2"/>
    </x:row>
    <x:row r="88">
      <x:c r="A88" s="2"/>
      <x:c r="B88" s="2" t="str">
        <x:v>W10</x:v>
      </x:c>
      <x:c r="C88" s="2" t="str">
        <x:v>unprepared full-service receiver</x:v>
      </x:c>
      <x:c r="D88" s="2" t="str">
        <x:v>G4</x:v>
      </x:c>
      <x:c r="E88" s="30" t="n">
        <x:f>$D$18</x:f>
        <x:v>1</x:v>
      </x:c>
      <x:c r="F88" s="30" t="n">
        <x:f>MIN(1,(Geometry!$E$11*$I$18+(1-Geometry!$E$11)*(Geometry!$O$11*$F$18+Geometry!$P$11*$G$18+Geometry!$Q$11*$H$18))*IF($U$18=1,'Deployment Work'!$X$11,1))</x:f>
        <x:v>0.4</x:v>
      </x:c>
      <x:c r="G88" s="36" t="n">
        <x:f>IF(AND(Geometry!$E$11&gt;0,$I$18=0),'Deployment Work'!$E$11,IF(E88&lt;=Assumptions!$D$12,'Deployment Work'!$D$11,'Deployment Work'!$E$11))</x:f>
        <x:v>12</x:v>
      </x:c>
      <x:c r="H88" s="2" t="str">
        <x:f>IF(AND(F88&gt;=E88,G88&lt;=$E$18),"PASS","FAIL")</x:f>
        <x:v>FAIL</x:v>
      </x:c>
      <x:c r="I88" s="2" t="str">
        <x:f>IF(AND(IF($K$18=0,TRUE,'Thermal Site'!$F$20&lt;=$K$18),IF($L$18=0,TRUE,'Thermal Site'!$G$20&gt;=$L$18),IF($M$18=0,TRUE,'Thermal Site'!$J$20&gt;=E88),IF($N$18=0,TRUE,'Thermal Site'!$K$20&gt;=E88)),"PASS","FAIL")</x:f>
        <x:v>PASS</x:v>
      </x:c>
      <x:c r="J88" s="2" t="str">
        <x:f>IF(AND(IF($O$18=0,TRUE,'Thermal Site'!$H$20&lt;=$O$18),IF($P$18=0,TRUE,'Thermal Site'!$I$20&gt;=$P$18),IF($S$18=0,TRUE,'Thermal Site'!$J$11&gt;=1),IF($T$18=0,TRUE,'Thermal Site'!$L$20="YES")),"PASS","FAIL")</x:f>
        <x:v>PASS</x:v>
      </x:c>
      <x:c r="K88" s="2" t="str">
        <x:f>IF(AND(IF($Q$18&lt;1,'Deployment Work'!$M$11&gt;=1,'Deployment Work'!$L$11&gt;=1),'Deployment Work'!$Y$11&lt;=$R$18),"PASS","FAIL")</x:f>
        <x:v>PASS</x:v>
      </x:c>
      <x:c r="L88" s="2" t="str">
        <x:f>IF(AND(H88="PASS",I88="PASS",J88="PASS",K88="PASS"),"PASS","FAIL")</x:f>
        <x:v>FAIL</x:v>
      </x:c>
      <x:c r="M88" s="2"/>
      <x:c r="N88" s="2"/>
      <x:c r="O88" s="2"/>
      <x:c r="P88" s="2"/>
      <x:c r="Q88" s="2"/>
      <x:c r="R88" s="2"/>
      <x:c r="S88" s="2"/>
      <x:c r="T88" s="2"/>
      <x:c r="U88" s="2"/>
      <x:c r="V88" s="2"/>
      <x:c r="W88" s="2"/>
      <x:c r="X88" s="2"/>
      <x:c r="Y88" s="2"/>
      <x:c r="Z88" s="2"/>
    </x:row>
    <x:row r="89">
      <x:c r="A89" s="2"/>
      <x:c r="B89" s="2" t="str">
        <x:v>W10</x:v>
      </x:c>
      <x:c r="C89" s="2" t="str">
        <x:v>unprepared full-service receiver</x:v>
      </x:c>
      <x:c r="D89" s="2" t="str">
        <x:v>G5</x:v>
      </x:c>
      <x:c r="E89" s="30" t="n">
        <x:f>$D$18</x:f>
        <x:v>1</x:v>
      </x:c>
      <x:c r="F89" s="30" t="n">
        <x:f>MIN(1,(Geometry!$E$12*$I$18+(1-Geometry!$E$12)*(Geometry!$O$12*$F$18+Geometry!$P$12*$G$18*IF($J$18=0,0,1)+Geometry!$Q$12*$H$18*IF($J$18=0,0,1)))*IF($U$18=1,'Deployment Work'!$X$12,1))</x:f>
        <x:v>1</x:v>
      </x:c>
      <x:c r="G89" s="36" t="n">
        <x:f>IF(AND(Geometry!$E$12&gt;0,$I$18=0),'Deployment Work'!$E$12,IF(E89&lt;=Assumptions!$D$12,'Deployment Work'!$D$12,'Deployment Work'!$E$12))</x:f>
        <x:v>46</x:v>
      </x:c>
      <x:c r="H89" s="2" t="str">
        <x:f>IF(AND(F89&gt;=E89,G89&lt;=$E$18),"PASS","FAIL")</x:f>
        <x:v>PASS</x:v>
      </x:c>
      <x:c r="I89" s="2" t="str">
        <x:f>IF(AND(IF($K$18=0,TRUE,'Thermal Site'!$F$21&lt;=$K$18),IF($L$18=0,TRUE,'Thermal Site'!$G$21&gt;=$L$18),IF($M$18=0,TRUE,'Thermal Site'!$J$21&gt;=E89),IF($N$18=0,TRUE,'Thermal Site'!$K$21&gt;=E89)),"PASS","FAIL")</x:f>
        <x:v>PASS</x:v>
      </x:c>
      <x:c r="J89" s="2" t="str">
        <x:f>IF(AND(IF($O$18=0,TRUE,'Thermal Site'!$H$21&lt;=$O$18),IF($P$18=0,TRUE,'Thermal Site'!$I$21&gt;=$P$18),IF($S$18=0,TRUE,'Thermal Site'!$J$12&gt;=1),IF($T$18=0,TRUE,'Thermal Site'!$L$21="YES")),"PASS","FAIL")</x:f>
        <x:v>PASS</x:v>
      </x:c>
      <x:c r="K89" s="2" t="str">
        <x:f>IF(AND(IF($Q$18&lt;1,'Deployment Work'!$M$12&gt;=1,'Deployment Work'!$L$12&gt;=1),'Deployment Work'!$Y$12&lt;=$R$18),"PASS","FAIL")</x:f>
        <x:v>PASS</x:v>
      </x:c>
      <x:c r="L89" s="2" t="str">
        <x:f>IF(AND(H89="PASS",I89="PASS",J89="PASS",K89="PASS"),"PASS","FAIL")</x:f>
        <x:v>PASS</x:v>
      </x:c>
      <x:c r="M89" s="2"/>
      <x:c r="N89" s="2"/>
      <x:c r="O89" s="2"/>
      <x:c r="P89" s="2"/>
      <x:c r="Q89" s="2"/>
      <x:c r="R89" s="2"/>
      <x:c r="S89" s="2"/>
      <x:c r="T89" s="2"/>
      <x:c r="U89" s="2"/>
      <x:c r="V89" s="2"/>
      <x:c r="W89" s="2"/>
      <x:c r="X89" s="2"/>
      <x:c r="Y89" s="2"/>
      <x:c r="Z89" s="2"/>
    </x:row>
    <x:row r="90">
      <x:c r="A90" s="2"/>
      <x:c r="B90" s="2" t="str">
        <x:v>W11</x:v>
      </x:c>
      <x:c r="C90" s="2" t="str">
        <x:v>five-thousand-square-metre occupied site</x:v>
      </x:c>
      <x:c r="D90" s="2" t="str">
        <x:v>G1</x:v>
      </x:c>
      <x:c r="E90" s="30" t="n">
        <x:f>$D$19</x:f>
        <x:v>1</x:v>
      </x:c>
      <x:c r="F90" s="30" t="n">
        <x:f>MIN(1,(Geometry!$E$8*$I$19+(1-Geometry!$E$8)*(Geometry!$O$8*$F$19+Geometry!$P$8*$G$19+Geometry!$Q$8*$H$19))*IF($U$19=1,'Deployment Work'!$X$8,1))</x:f>
        <x:v>1</x:v>
      </x:c>
      <x:c r="G90" s="36" t="n">
        <x:f>IF(AND(Geometry!$E$8&gt;0,$I$19=0),'Deployment Work'!$E$8,IF(E90&lt;=Assumptions!$D$12,'Deployment Work'!$D$8,'Deployment Work'!$E$8))</x:f>
        <x:v>36</x:v>
      </x:c>
      <x:c r="H90" s="2" t="str">
        <x:f>IF(AND(F90&gt;=E90,G90&lt;=$E$19),"PASS","FAIL")</x:f>
        <x:v>PASS</x:v>
      </x:c>
      <x:c r="I90" s="2" t="str">
        <x:f>IF(AND(IF($K$19=0,TRUE,'Thermal Site'!$F$17&lt;=$K$19),IF($L$19=0,TRUE,'Thermal Site'!$G$17&gt;=$L$19),IF($M$19=0,TRUE,'Thermal Site'!$J$17&gt;=E90),IF($N$19=0,TRUE,'Thermal Site'!$K$17&gt;=E90)),"PASS","FAIL")</x:f>
        <x:v>PASS</x:v>
      </x:c>
      <x:c r="J90" s="2" t="str">
        <x:f>IF(AND(IF($O$19=0,TRUE,'Thermal Site'!$H$17&lt;=$O$19),IF($P$19=0,TRUE,'Thermal Site'!$I$17&gt;=$P$19),IF($S$19=0,TRUE,'Thermal Site'!$J$8&gt;=1),IF($T$19=0,TRUE,'Thermal Site'!$L$17="YES")),"PASS","FAIL")</x:f>
        <x:v>PASS</x:v>
      </x:c>
      <x:c r="K90" s="2" t="str">
        <x:f>IF(AND(IF($Q$19&lt;1,'Deployment Work'!$M$8&gt;=1,'Deployment Work'!$L$8&gt;=1),'Deployment Work'!$Y$8&lt;=$R$19),"PASS","FAIL")</x:f>
        <x:v>PASS</x:v>
      </x:c>
      <x:c r="L90" s="2" t="str">
        <x:f>IF(AND(H90="PASS",I90="PASS",J90="PASS",K90="PASS"),"PASS","FAIL")</x:f>
        <x:v>PASS</x:v>
      </x:c>
      <x:c r="M90" s="2"/>
      <x:c r="N90" s="2"/>
      <x:c r="O90" s="2"/>
      <x:c r="P90" s="2"/>
      <x:c r="Q90" s="2"/>
      <x:c r="R90" s="2"/>
      <x:c r="S90" s="2"/>
      <x:c r="T90" s="2"/>
      <x:c r="U90" s="2"/>
      <x:c r="V90" s="2"/>
      <x:c r="W90" s="2"/>
      <x:c r="X90" s="2"/>
      <x:c r="Y90" s="2"/>
      <x:c r="Z90" s="2"/>
    </x:row>
    <x:row r="91">
      <x:c r="A91" s="2"/>
      <x:c r="B91" s="2" t="str">
        <x:v>W11</x:v>
      </x:c>
      <x:c r="C91" s="2" t="str">
        <x:v>five-thousand-square-metre occupied site</x:v>
      </x:c>
      <x:c r="D91" s="2" t="str">
        <x:v>G2</x:v>
      </x:c>
      <x:c r="E91" s="30" t="n">
        <x:f>$D$19</x:f>
        <x:v>1</x:v>
      </x:c>
      <x:c r="F91" s="30" t="n">
        <x:f>MIN(1,(Geometry!$E$9*$I$19+(1-Geometry!$E$9)*(Geometry!$O$9*$F$19+Geometry!$P$9*$G$19*IF($J$19=0,0,1)+Geometry!$Q$9*$H$19))*IF($U$19=1,'Deployment Work'!$X$9,1))</x:f>
        <x:v>1</x:v>
      </x:c>
      <x:c r="G91" s="36" t="n">
        <x:f>IF(AND(Geometry!$E$9&gt;0,$I$19=0),'Deployment Work'!$E$9,IF(E91&lt;=Assumptions!$D$12,'Deployment Work'!$D$9,'Deployment Work'!$E$9))</x:f>
        <x:v>44</x:v>
      </x:c>
      <x:c r="H91" s="2" t="str">
        <x:f>IF(AND(F91&gt;=E91,G91&lt;=$E$19),"PASS","FAIL")</x:f>
        <x:v>PASS</x:v>
      </x:c>
      <x:c r="I91" s="2" t="str">
        <x:f>IF(AND(IF($K$19=0,TRUE,'Thermal Site'!$F$18&lt;=$K$19),IF($L$19=0,TRUE,'Thermal Site'!$G$18&gt;=$L$19),IF($M$19=0,TRUE,'Thermal Site'!$J$18&gt;=E91),IF($N$19=0,TRUE,'Thermal Site'!$K$18&gt;=E91)),"PASS","FAIL")</x:f>
        <x:v>FAIL</x:v>
      </x:c>
      <x:c r="J91" s="2" t="str">
        <x:f>IF(AND(IF($O$19=0,TRUE,'Thermal Site'!$H$18&lt;=$O$19),IF($P$19=0,TRUE,'Thermal Site'!$I$18&gt;=$P$19),IF($S$19=0,TRUE,'Thermal Site'!$J$9&gt;=1),IF($T$19=0,TRUE,'Thermal Site'!$L$18="YES")),"PASS","FAIL")</x:f>
        <x:v>PASS</x:v>
      </x:c>
      <x:c r="K91" s="2" t="str">
        <x:f>IF(AND(IF($Q$19&lt;1,'Deployment Work'!$M$9&gt;=1,'Deployment Work'!$L$9&gt;=1),'Deployment Work'!$Y$9&lt;=$R$19),"PASS","FAIL")</x:f>
        <x:v>PASS</x:v>
      </x:c>
      <x:c r="L91" s="2" t="str">
        <x:f>IF(AND(H91="PASS",I91="PASS",J91="PASS",K91="PASS"),"PASS","FAIL")</x:f>
        <x:v>FAIL</x:v>
      </x:c>
      <x:c r="M91" s="2"/>
      <x:c r="N91" s="2"/>
      <x:c r="O91" s="2"/>
      <x:c r="P91" s="2"/>
      <x:c r="Q91" s="2"/>
      <x:c r="R91" s="2"/>
      <x:c r="S91" s="2"/>
      <x:c r="T91" s="2"/>
      <x:c r="U91" s="2"/>
      <x:c r="V91" s="2"/>
      <x:c r="W91" s="2"/>
      <x:c r="X91" s="2"/>
      <x:c r="Y91" s="2"/>
      <x:c r="Z91" s="2"/>
    </x:row>
    <x:row r="92">
      <x:c r="A92" s="2"/>
      <x:c r="B92" s="2" t="str">
        <x:v>W11</x:v>
      </x:c>
      <x:c r="C92" s="2" t="str">
        <x:v>five-thousand-square-metre occupied site</x:v>
      </x:c>
      <x:c r="D92" s="2" t="str">
        <x:v>G3</x:v>
      </x:c>
      <x:c r="E92" s="30" t="n">
        <x:f>$D$19</x:f>
        <x:v>1</x:v>
      </x:c>
      <x:c r="F92" s="30" t="n">
        <x:f>MIN(1,(Geometry!$E$10*$I$19+(1-Geometry!$E$10)*(Geometry!$O$10*$F$19+Geometry!$P$10*$G$19+Geometry!$Q$10*$H$19))*IF($U$19=1,'Deployment Work'!$X$10,1))</x:f>
        <x:v>1</x:v>
      </x:c>
      <x:c r="G92" s="36" t="n">
        <x:f>IF(AND(Geometry!$E$10&gt;0,$I$19=0),'Deployment Work'!$E$10,IF(E92&lt;=Assumptions!$D$12,'Deployment Work'!$D$10,'Deployment Work'!$E$10))</x:f>
        <x:v>30</x:v>
      </x:c>
      <x:c r="H92" s="2" t="str">
        <x:f>IF(AND(F92&gt;=E92,G92&lt;=$E$19),"PASS","FAIL")</x:f>
        <x:v>PASS</x:v>
      </x:c>
      <x:c r="I92" s="2" t="str">
        <x:f>IF(AND(IF($K$19=0,TRUE,'Thermal Site'!$F$19&lt;=$K$19),IF($L$19=0,TRUE,'Thermal Site'!$G$19&gt;=$L$19),IF($M$19=0,TRUE,'Thermal Site'!$J$19&gt;=E92),IF($N$19=0,TRUE,'Thermal Site'!$K$19&gt;=E92)),"PASS","FAIL")</x:f>
        <x:v>PASS</x:v>
      </x:c>
      <x:c r="J92" s="2" t="str">
        <x:f>IF(AND(IF($O$19=0,TRUE,'Thermal Site'!$H$19&lt;=$O$19),IF($P$19=0,TRUE,'Thermal Site'!$I$19&gt;=$P$19),IF($S$19=0,TRUE,'Thermal Site'!$J$10&gt;=1),IF($T$19=0,TRUE,'Thermal Site'!$L$19="YES")),"PASS","FAIL")</x:f>
        <x:v>PASS</x:v>
      </x:c>
      <x:c r="K92" s="2" t="str">
        <x:f>IF(AND(IF($Q$19&lt;1,'Deployment Work'!$M$10&gt;=1,'Deployment Work'!$L$10&gt;=1),'Deployment Work'!$Y$10&lt;=$R$19),"PASS","FAIL")</x:f>
        <x:v>PASS</x:v>
      </x:c>
      <x:c r="L92" s="2" t="str">
        <x:f>IF(AND(H92="PASS",I92="PASS",J92="PASS",K92="PASS"),"PASS","FAIL")</x:f>
        <x:v>PASS</x:v>
      </x:c>
      <x:c r="M92" s="2"/>
      <x:c r="N92" s="2"/>
      <x:c r="O92" s="2"/>
      <x:c r="P92" s="2"/>
      <x:c r="Q92" s="2"/>
      <x:c r="R92" s="2"/>
      <x:c r="S92" s="2"/>
      <x:c r="T92" s="2"/>
      <x:c r="U92" s="2"/>
      <x:c r="V92" s="2"/>
      <x:c r="W92" s="2"/>
      <x:c r="X92" s="2"/>
      <x:c r="Y92" s="2"/>
      <x:c r="Z92" s="2"/>
    </x:row>
    <x:row r="93">
      <x:c r="A93" s="2"/>
      <x:c r="B93" s="2" t="str">
        <x:v>W11</x:v>
      </x:c>
      <x:c r="C93" s="2" t="str">
        <x:v>five-thousand-square-metre occupied site</x:v>
      </x:c>
      <x:c r="D93" s="2" t="str">
        <x:v>G4</x:v>
      </x:c>
      <x:c r="E93" s="30" t="n">
        <x:f>$D$19</x:f>
        <x:v>1</x:v>
      </x:c>
      <x:c r="F93" s="30" t="n">
        <x:f>MIN(1,(Geometry!$E$11*$I$19+(1-Geometry!$E$11)*(Geometry!$O$11*$F$19+Geometry!$P$11*$G$19+Geometry!$Q$11*$H$19))*IF($U$19=1,'Deployment Work'!$X$11,1))</x:f>
        <x:v>1</x:v>
      </x:c>
      <x:c r="G93" s="36" t="n">
        <x:f>IF(AND(Geometry!$E$11&gt;0,$I$19=0),'Deployment Work'!$E$11,IF(E93&lt;=Assumptions!$D$12,'Deployment Work'!$D$11,'Deployment Work'!$E$11))</x:f>
        <x:v>12</x:v>
      </x:c>
      <x:c r="H93" s="2" t="str">
        <x:f>IF(AND(F93&gt;=E93,G93&lt;=$E$19),"PASS","FAIL")</x:f>
        <x:v>PASS</x:v>
      </x:c>
      <x:c r="I93" s="2" t="str">
        <x:f>IF(AND(IF($K$19=0,TRUE,'Thermal Site'!$F$20&lt;=$K$19),IF($L$19=0,TRUE,'Thermal Site'!$G$20&gt;=$L$19),IF($M$19=0,TRUE,'Thermal Site'!$J$20&gt;=E93),IF($N$19=0,TRUE,'Thermal Site'!$K$20&gt;=E93)),"PASS","FAIL")</x:f>
        <x:v>PASS</x:v>
      </x:c>
      <x:c r="J93" s="2" t="str">
        <x:f>IF(AND(IF($O$19=0,TRUE,'Thermal Site'!$H$20&lt;=$O$19),IF($P$19=0,TRUE,'Thermal Site'!$I$20&gt;=$P$19),IF($S$19=0,TRUE,'Thermal Site'!$J$11&gt;=1),IF($T$19=0,TRUE,'Thermal Site'!$L$20="YES")),"PASS","FAIL")</x:f>
        <x:v>PASS</x:v>
      </x:c>
      <x:c r="K93" s="2" t="str">
        <x:f>IF(AND(IF($Q$19&lt;1,'Deployment Work'!$M$11&gt;=1,'Deployment Work'!$L$11&gt;=1),'Deployment Work'!$Y$11&lt;=$R$19),"PASS","FAIL")</x:f>
        <x:v>PASS</x:v>
      </x:c>
      <x:c r="L93" s="2" t="str">
        <x:f>IF(AND(H93="PASS",I93="PASS",J93="PASS",K93="PASS"),"PASS","FAIL")</x:f>
        <x:v>PASS</x:v>
      </x:c>
      <x:c r="M93" s="2"/>
      <x:c r="N93" s="2"/>
      <x:c r="O93" s="2"/>
      <x:c r="P93" s="2"/>
      <x:c r="Q93" s="2"/>
      <x:c r="R93" s="2"/>
      <x:c r="S93" s="2"/>
      <x:c r="T93" s="2"/>
      <x:c r="U93" s="2"/>
      <x:c r="V93" s="2"/>
      <x:c r="W93" s="2"/>
      <x:c r="X93" s="2"/>
      <x:c r="Y93" s="2"/>
      <x:c r="Z93" s="2"/>
    </x:row>
    <x:row r="94">
      <x:c r="A94" s="2"/>
      <x:c r="B94" s="2" t="str">
        <x:v>W11</x:v>
      </x:c>
      <x:c r="C94" s="2" t="str">
        <x:v>five-thousand-square-metre occupied site</x:v>
      </x:c>
      <x:c r="D94" s="2" t="str">
        <x:v>G5</x:v>
      </x:c>
      <x:c r="E94" s="30" t="n">
        <x:f>$D$19</x:f>
        <x:v>1</x:v>
      </x:c>
      <x:c r="F94" s="30" t="n">
        <x:f>MIN(1,(Geometry!$E$12*$I$19+(1-Geometry!$E$12)*(Geometry!$O$12*$F$19+Geometry!$P$12*$G$19*IF($J$19=0,0,1)+Geometry!$Q$12*$H$19*IF($J$19=0,0,1)))*IF($U$19=1,'Deployment Work'!$X$12,1))</x:f>
        <x:v>1</x:v>
      </x:c>
      <x:c r="G94" s="36" t="n">
        <x:f>IF(AND(Geometry!$E$12&gt;0,$I$19=0),'Deployment Work'!$E$12,IF(E94&lt;=Assumptions!$D$12,'Deployment Work'!$D$12,'Deployment Work'!$E$12))</x:f>
        <x:v>46</x:v>
      </x:c>
      <x:c r="H94" s="2" t="str">
        <x:f>IF(AND(F94&gt;=E94,G94&lt;=$E$19),"PASS","FAIL")</x:f>
        <x:v>PASS</x:v>
      </x:c>
      <x:c r="I94" s="2" t="str">
        <x:f>IF(AND(IF($K$19=0,TRUE,'Thermal Site'!$F$21&lt;=$K$19),IF($L$19=0,TRUE,'Thermal Site'!$G$21&gt;=$L$19),IF($M$19=0,TRUE,'Thermal Site'!$J$21&gt;=E94),IF($N$19=0,TRUE,'Thermal Site'!$K$21&gt;=E94)),"PASS","FAIL")</x:f>
        <x:v>PASS</x:v>
      </x:c>
      <x:c r="J94" s="2" t="str">
        <x:f>IF(AND(IF($O$19=0,TRUE,'Thermal Site'!$H$21&lt;=$O$19),IF($P$19=0,TRUE,'Thermal Site'!$I$21&gt;=$P$19),IF($S$19=0,TRUE,'Thermal Site'!$J$12&gt;=1),IF($T$19=0,TRUE,'Thermal Site'!$L$21="YES")),"PASS","FAIL")</x:f>
        <x:v>PASS</x:v>
      </x:c>
      <x:c r="K94" s="2" t="str">
        <x:f>IF(AND(IF($Q$19&lt;1,'Deployment Work'!$M$12&gt;=1,'Deployment Work'!$L$12&gt;=1),'Deployment Work'!$Y$12&lt;=$R$19),"PASS","FAIL")</x:f>
        <x:v>PASS</x:v>
      </x:c>
      <x:c r="L94" s="2" t="str">
        <x:f>IF(AND(H94="PASS",I94="PASS",J94="PASS",K94="PASS"),"PASS","FAIL")</x:f>
        <x:v>PASS</x:v>
      </x:c>
      <x:c r="M94" s="2"/>
      <x:c r="N94" s="2"/>
      <x:c r="O94" s="2"/>
      <x:c r="P94" s="2"/>
      <x:c r="Q94" s="2"/>
      <x:c r="R94" s="2"/>
      <x:c r="S94" s="2"/>
      <x:c r="T94" s="2"/>
      <x:c r="U94" s="2"/>
      <x:c r="V94" s="2"/>
      <x:c r="W94" s="2"/>
      <x:c r="X94" s="2"/>
      <x:c r="Y94" s="2"/>
      <x:c r="Z94" s="2"/>
    </x:row>
    <x:row r="95">
      <x:c r="A95" s="2"/>
      <x:c r="B95" s="2" t="str">
        <x:v>W12</x:v>
      </x:c>
      <x:c r="C95" s="2" t="str">
        <x:v>six-hundred-metre damaged-building stand-off</x:v>
      </x:c>
      <x:c r="D95" s="2" t="str">
        <x:v>G1</x:v>
      </x:c>
      <x:c r="E95" s="30" t="n">
        <x:f>$D$20</x:f>
        <x:v>1</x:v>
      </x:c>
      <x:c r="F95" s="30" t="n">
        <x:f>MIN(1,(Geometry!$E$8*$I$20+(1-Geometry!$E$8)*(Geometry!$O$8*$F$20+Geometry!$P$8*$G$20+Geometry!$Q$8*$H$20))*IF($U$20=1,'Deployment Work'!$X$8,1))</x:f>
        <x:v>1</x:v>
      </x:c>
      <x:c r="G95" s="36" t="n">
        <x:f>IF(AND(Geometry!$E$8&gt;0,$I$20=0),'Deployment Work'!$E$8,IF(E95&lt;=Assumptions!$D$12,'Deployment Work'!$D$8,'Deployment Work'!$E$8))</x:f>
        <x:v>36</x:v>
      </x:c>
      <x:c r="H95" s="2" t="str">
        <x:f>IF(AND(F95&gt;=E95,G95&lt;=$E$20),"PASS","FAIL")</x:f>
        <x:v>PASS</x:v>
      </x:c>
      <x:c r="I95" s="2" t="str">
        <x:f>IF(AND(IF($K$20=0,TRUE,'Thermal Site'!$F$17&lt;=$K$20),IF($L$20=0,TRUE,'Thermal Site'!$G$17&gt;=$L$20),IF($M$20=0,TRUE,'Thermal Site'!$J$17&gt;=E95),IF($N$20=0,TRUE,'Thermal Site'!$K$17&gt;=E95)),"PASS","FAIL")</x:f>
        <x:v>FAIL</x:v>
      </x:c>
      <x:c r="J95" s="2" t="str">
        <x:f>IF(AND(IF($O$20=0,TRUE,'Thermal Site'!$H$17&lt;=$O$20),IF($P$20=0,TRUE,'Thermal Site'!$I$17&gt;=$P$20),IF($S$20=0,TRUE,'Thermal Site'!$J$8&gt;=1),IF($T$20=0,TRUE,'Thermal Site'!$L$17="YES")),"PASS","FAIL")</x:f>
        <x:v>PASS</x:v>
      </x:c>
      <x:c r="K95" s="2" t="str">
        <x:f>IF(AND(IF($Q$20&lt;1,'Deployment Work'!$M$8&gt;=1,'Deployment Work'!$L$8&gt;=1),'Deployment Work'!$Y$8&lt;=$R$20),"PASS","FAIL")</x:f>
        <x:v>PASS</x:v>
      </x:c>
      <x:c r="L95" s="2" t="str">
        <x:f>IF(AND(H95="PASS",I95="PASS",J95="PASS",K95="PASS"),"PASS","FAIL")</x:f>
        <x:v>FAIL</x:v>
      </x:c>
      <x:c r="M95" s="2"/>
      <x:c r="N95" s="2"/>
      <x:c r="O95" s="2"/>
      <x:c r="P95" s="2"/>
      <x:c r="Q95" s="2"/>
      <x:c r="R95" s="2"/>
      <x:c r="S95" s="2"/>
      <x:c r="T95" s="2"/>
      <x:c r="U95" s="2"/>
      <x:c r="V95" s="2"/>
      <x:c r="W95" s="2"/>
      <x:c r="X95" s="2"/>
      <x:c r="Y95" s="2"/>
      <x:c r="Z95" s="2"/>
    </x:row>
    <x:row r="96">
      <x:c r="A96" s="2"/>
      <x:c r="B96" s="2" t="str">
        <x:v>W12</x:v>
      </x:c>
      <x:c r="C96" s="2" t="str">
        <x:v>six-hundred-metre damaged-building stand-off</x:v>
      </x:c>
      <x:c r="D96" s="2" t="str">
        <x:v>G2</x:v>
      </x:c>
      <x:c r="E96" s="30" t="n">
        <x:f>$D$20</x:f>
        <x:v>1</x:v>
      </x:c>
      <x:c r="F96" s="30" t="n">
        <x:f>MIN(1,(Geometry!$E$9*$I$20+(1-Geometry!$E$9)*(Geometry!$O$9*$F$20+Geometry!$P$9*$G$20*IF($J$20=0,0,1)+Geometry!$Q$9*$H$20))*IF($U$20=1,'Deployment Work'!$X$9,1))</x:f>
        <x:v>1</x:v>
      </x:c>
      <x:c r="G96" s="36" t="n">
        <x:f>IF(AND(Geometry!$E$9&gt;0,$I$20=0),'Deployment Work'!$E$9,IF(E96&lt;=Assumptions!$D$12,'Deployment Work'!$D$9,'Deployment Work'!$E$9))</x:f>
        <x:v>44</x:v>
      </x:c>
      <x:c r="H96" s="2" t="str">
        <x:f>IF(AND(F96&gt;=E96,G96&lt;=$E$20),"PASS","FAIL")</x:f>
        <x:v>PASS</x:v>
      </x:c>
      <x:c r="I96" s="2" t="str">
        <x:f>IF(AND(IF($K$20=0,TRUE,'Thermal Site'!$F$18&lt;=$K$20),IF($L$20=0,TRUE,'Thermal Site'!$G$18&gt;=$L$20),IF($M$20=0,TRUE,'Thermal Site'!$J$18&gt;=E96),IF($N$20=0,TRUE,'Thermal Site'!$K$18&gt;=E96)),"PASS","FAIL")</x:f>
        <x:v>PASS</x:v>
      </x:c>
      <x:c r="J96" s="2" t="str">
        <x:f>IF(AND(IF($O$20=0,TRUE,'Thermal Site'!$H$18&lt;=$O$20),IF($P$20=0,TRUE,'Thermal Site'!$I$18&gt;=$P$20),IF($S$20=0,TRUE,'Thermal Site'!$J$9&gt;=1),IF($T$20=0,TRUE,'Thermal Site'!$L$18="YES")),"PASS","FAIL")</x:f>
        <x:v>PASS</x:v>
      </x:c>
      <x:c r="K96" s="2" t="str">
        <x:f>IF(AND(IF($Q$20&lt;1,'Deployment Work'!$M$9&gt;=1,'Deployment Work'!$L$9&gt;=1),'Deployment Work'!$Y$9&lt;=$R$20),"PASS","FAIL")</x:f>
        <x:v>PASS</x:v>
      </x:c>
      <x:c r="L96" s="2" t="str">
        <x:f>IF(AND(H96="PASS",I96="PASS",J96="PASS",K96="PASS"),"PASS","FAIL")</x:f>
        <x:v>PASS</x:v>
      </x:c>
      <x:c r="M96" s="2"/>
      <x:c r="N96" s="2"/>
      <x:c r="O96" s="2"/>
      <x:c r="P96" s="2"/>
      <x:c r="Q96" s="2"/>
      <x:c r="R96" s="2"/>
      <x:c r="S96" s="2"/>
      <x:c r="T96" s="2"/>
      <x:c r="U96" s="2"/>
      <x:c r="V96" s="2"/>
      <x:c r="W96" s="2"/>
      <x:c r="X96" s="2"/>
      <x:c r="Y96" s="2"/>
      <x:c r="Z96" s="2"/>
    </x:row>
    <x:row r="97">
      <x:c r="A97" s="2"/>
      <x:c r="B97" s="2" t="str">
        <x:v>W12</x:v>
      </x:c>
      <x:c r="C97" s="2" t="str">
        <x:v>six-hundred-metre damaged-building stand-off</x:v>
      </x:c>
      <x:c r="D97" s="2" t="str">
        <x:v>G3</x:v>
      </x:c>
      <x:c r="E97" s="30" t="n">
        <x:f>$D$20</x:f>
        <x:v>1</x:v>
      </x:c>
      <x:c r="F97" s="30" t="n">
        <x:f>MIN(1,(Geometry!$E$10*$I$20+(1-Geometry!$E$10)*(Geometry!$O$10*$F$20+Geometry!$P$10*$G$20+Geometry!$Q$10*$H$20))*IF($U$20=1,'Deployment Work'!$X$10,1))</x:f>
        <x:v>1</x:v>
      </x:c>
      <x:c r="G97" s="36" t="n">
        <x:f>IF(AND(Geometry!$E$10&gt;0,$I$20=0),'Deployment Work'!$E$10,IF(E97&lt;=Assumptions!$D$12,'Deployment Work'!$D$10,'Deployment Work'!$E$10))</x:f>
        <x:v>30</x:v>
      </x:c>
      <x:c r="H97" s="2" t="str">
        <x:f>IF(AND(F97&gt;=E97,G97&lt;=$E$20),"PASS","FAIL")</x:f>
        <x:v>PASS</x:v>
      </x:c>
      <x:c r="I97" s="2" t="str">
        <x:f>IF(AND(IF($K$20=0,TRUE,'Thermal Site'!$F$19&lt;=$K$20),IF($L$20=0,TRUE,'Thermal Site'!$G$19&gt;=$L$20),IF($M$20=0,TRUE,'Thermal Site'!$J$19&gt;=E97),IF($N$20=0,TRUE,'Thermal Site'!$K$19&gt;=E97)),"PASS","FAIL")</x:f>
        <x:v>PASS</x:v>
      </x:c>
      <x:c r="J97" s="2" t="str">
        <x:f>IF(AND(IF($O$20=0,TRUE,'Thermal Site'!$H$19&lt;=$O$20),IF($P$20=0,TRUE,'Thermal Site'!$I$19&gt;=$P$20),IF($S$20=0,TRUE,'Thermal Site'!$J$10&gt;=1),IF($T$20=0,TRUE,'Thermal Site'!$L$19="YES")),"PASS","FAIL")</x:f>
        <x:v>PASS</x:v>
      </x:c>
      <x:c r="K97" s="2" t="str">
        <x:f>IF(AND(IF($Q$20&lt;1,'Deployment Work'!$M$10&gt;=1,'Deployment Work'!$L$10&gt;=1),'Deployment Work'!$Y$10&lt;=$R$20),"PASS","FAIL")</x:f>
        <x:v>PASS</x:v>
      </x:c>
      <x:c r="L97" s="2" t="str">
        <x:f>IF(AND(H97="PASS",I97="PASS",J97="PASS",K97="PASS"),"PASS","FAIL")</x:f>
        <x:v>PASS</x:v>
      </x:c>
      <x:c r="M97" s="2"/>
      <x:c r="N97" s="2"/>
      <x:c r="O97" s="2"/>
      <x:c r="P97" s="2"/>
      <x:c r="Q97" s="2"/>
      <x:c r="R97" s="2"/>
      <x:c r="S97" s="2"/>
      <x:c r="T97" s="2"/>
      <x:c r="U97" s="2"/>
      <x:c r="V97" s="2"/>
      <x:c r="W97" s="2"/>
      <x:c r="X97" s="2"/>
      <x:c r="Y97" s="2"/>
      <x:c r="Z97" s="2"/>
    </x:row>
    <x:row r="98">
      <x:c r="A98" s="2"/>
      <x:c r="B98" s="2" t="str">
        <x:v>W12</x:v>
      </x:c>
      <x:c r="C98" s="2" t="str">
        <x:v>six-hundred-metre damaged-building stand-off</x:v>
      </x:c>
      <x:c r="D98" s="2" t="str">
        <x:v>G4</x:v>
      </x:c>
      <x:c r="E98" s="30" t="n">
        <x:f>$D$20</x:f>
        <x:v>1</x:v>
      </x:c>
      <x:c r="F98" s="30" t="n">
        <x:f>MIN(1,(Geometry!$E$11*$I$20+(1-Geometry!$E$11)*(Geometry!$O$11*$F$20+Geometry!$P$11*$G$20+Geometry!$Q$11*$H$20))*IF($U$20=1,'Deployment Work'!$X$11,1))</x:f>
        <x:v>1</x:v>
      </x:c>
      <x:c r="G98" s="36" t="n">
        <x:f>IF(AND(Geometry!$E$11&gt;0,$I$20=0),'Deployment Work'!$E$11,IF(E98&lt;=Assumptions!$D$12,'Deployment Work'!$D$11,'Deployment Work'!$E$11))</x:f>
        <x:v>12</x:v>
      </x:c>
      <x:c r="H98" s="2" t="str">
        <x:f>IF(AND(F98&gt;=E98,G98&lt;=$E$20),"PASS","FAIL")</x:f>
        <x:v>PASS</x:v>
      </x:c>
      <x:c r="I98" s="2" t="str">
        <x:f>IF(AND(IF($K$20=0,TRUE,'Thermal Site'!$F$20&lt;=$K$20),IF($L$20=0,TRUE,'Thermal Site'!$G$20&gt;=$L$20),IF($M$20=0,TRUE,'Thermal Site'!$J$20&gt;=E98),IF($N$20=0,TRUE,'Thermal Site'!$K$20&gt;=E98)),"PASS","FAIL")</x:f>
        <x:v>FAIL</x:v>
      </x:c>
      <x:c r="J98" s="2" t="str">
        <x:f>IF(AND(IF($O$20=0,TRUE,'Thermal Site'!$H$20&lt;=$O$20),IF($P$20=0,TRUE,'Thermal Site'!$I$20&gt;=$P$20),IF($S$20=0,TRUE,'Thermal Site'!$J$11&gt;=1),IF($T$20=0,TRUE,'Thermal Site'!$L$20="YES")),"PASS","FAIL")</x:f>
        <x:v>PASS</x:v>
      </x:c>
      <x:c r="K98" s="2" t="str">
        <x:f>IF(AND(IF($Q$20&lt;1,'Deployment Work'!$M$11&gt;=1,'Deployment Work'!$L$11&gt;=1),'Deployment Work'!$Y$11&lt;=$R$20),"PASS","FAIL")</x:f>
        <x:v>PASS</x:v>
      </x:c>
      <x:c r="L98" s="2" t="str">
        <x:f>IF(AND(H98="PASS",I98="PASS",J98="PASS",K98="PASS"),"PASS","FAIL")</x:f>
        <x:v>FAIL</x:v>
      </x:c>
      <x:c r="M98" s="2"/>
      <x:c r="N98" s="2"/>
      <x:c r="O98" s="2"/>
      <x:c r="P98" s="2"/>
      <x:c r="Q98" s="2"/>
      <x:c r="R98" s="2"/>
      <x:c r="S98" s="2"/>
      <x:c r="T98" s="2"/>
      <x:c r="U98" s="2"/>
      <x:c r="V98" s="2"/>
      <x:c r="W98" s="2"/>
      <x:c r="X98" s="2"/>
      <x:c r="Y98" s="2"/>
      <x:c r="Z98" s="2"/>
    </x:row>
    <x:row r="99">
      <x:c r="A99" s="2"/>
      <x:c r="B99" s="2" t="str">
        <x:v>W12</x:v>
      </x:c>
      <x:c r="C99" s="2" t="str">
        <x:v>six-hundred-metre damaged-building stand-off</x:v>
      </x:c>
      <x:c r="D99" s="2" t="str">
        <x:v>G5</x:v>
      </x:c>
      <x:c r="E99" s="30" t="n">
        <x:f>$D$20</x:f>
        <x:v>1</x:v>
      </x:c>
      <x:c r="F99" s="30" t="n">
        <x:f>MIN(1,(Geometry!$E$12*$I$20+(1-Geometry!$E$12)*(Geometry!$O$12*$F$20+Geometry!$P$12*$G$20*IF($J$20=0,0,1)+Geometry!$Q$12*$H$20*IF($J$20=0,0,1)))*IF($U$20=1,'Deployment Work'!$X$12,1))</x:f>
        <x:v>1</x:v>
      </x:c>
      <x:c r="G99" s="36" t="n">
        <x:f>IF(AND(Geometry!$E$12&gt;0,$I$20=0),'Deployment Work'!$E$12,IF(E99&lt;=Assumptions!$D$12,'Deployment Work'!$D$12,'Deployment Work'!$E$12))</x:f>
        <x:v>46</x:v>
      </x:c>
      <x:c r="H99" s="2" t="str">
        <x:f>IF(AND(F99&gt;=E99,G99&lt;=$E$20),"PASS","FAIL")</x:f>
        <x:v>PASS</x:v>
      </x:c>
      <x:c r="I99" s="2" t="str">
        <x:f>IF(AND(IF($K$20=0,TRUE,'Thermal Site'!$F$21&lt;=$K$20),IF($L$20=0,TRUE,'Thermal Site'!$G$21&gt;=$L$20),IF($M$20=0,TRUE,'Thermal Site'!$J$21&gt;=E99),IF($N$20=0,TRUE,'Thermal Site'!$K$21&gt;=E99)),"PASS","FAIL")</x:f>
        <x:v>PASS</x:v>
      </x:c>
      <x:c r="J99" s="2" t="str">
        <x:f>IF(AND(IF($O$20=0,TRUE,'Thermal Site'!$H$21&lt;=$O$20),IF($P$20=0,TRUE,'Thermal Site'!$I$21&gt;=$P$20),IF($S$20=0,TRUE,'Thermal Site'!$J$12&gt;=1),IF($T$20=0,TRUE,'Thermal Site'!$L$21="YES")),"PASS","FAIL")</x:f>
        <x:v>PASS</x:v>
      </x:c>
      <x:c r="K99" s="2" t="str">
        <x:f>IF(AND(IF($Q$20&lt;1,'Deployment Work'!$M$12&gt;=1,'Deployment Work'!$L$12&gt;=1),'Deployment Work'!$Y$12&lt;=$R$20),"PASS","FAIL")</x:f>
        <x:v>PASS</x:v>
      </x:c>
      <x:c r="L99" s="2" t="str">
        <x:f>IF(AND(H99="PASS",I99="PASS",J99="PASS",K99="PASS"),"PASS","FAIL")</x:f>
        <x:v>PASS</x:v>
      </x:c>
      <x:c r="M99" s="2"/>
      <x:c r="N99" s="2"/>
      <x:c r="O99" s="2"/>
      <x:c r="P99" s="2"/>
      <x:c r="Q99" s="2"/>
      <x:c r="R99" s="2"/>
      <x:c r="S99" s="2"/>
      <x:c r="T99" s="2"/>
      <x:c r="U99" s="2"/>
      <x:c r="V99" s="2"/>
      <x:c r="W99" s="2"/>
      <x:c r="X99" s="2"/>
      <x:c r="Y99" s="2"/>
      <x:c r="Z99" s="2"/>
    </x:row>
    <x:row r="100">
      <x:c r="A100" s="2"/>
      <x:c r="B100" s="2" t="str">
        <x:v>W13</x:v>
      </x:c>
      <x:c r="C100" s="2" t="str">
        <x:v>wet and soft ground</x:v>
      </x:c>
      <x:c r="D100" s="2" t="str">
        <x:v>G1</x:v>
      </x:c>
      <x:c r="E100" s="30" t="n">
        <x:f>$D$21</x:f>
        <x:v>0.4</x:v>
      </x:c>
      <x:c r="F100" s="30" t="n">
        <x:f>MIN(1,(Geometry!$E$8*$I$21+(1-Geometry!$E$8)*(Geometry!$O$8*$F$21+Geometry!$P$8*$G$21+Geometry!$Q$8*$H$21))*IF($U$21=1,'Deployment Work'!$X$8,1))</x:f>
        <x:v>1</x:v>
      </x:c>
      <x:c r="G100" s="36" t="n">
        <x:f>IF(AND(Geometry!$E$8&gt;0,$I$21=0),'Deployment Work'!$E$8,IF(E100&lt;=Assumptions!$D$12,'Deployment Work'!$D$8,'Deployment Work'!$E$8))</x:f>
        <x:v>12</x:v>
      </x:c>
      <x:c r="H100" s="2" t="str">
        <x:f>IF(AND(F100&gt;=E100,G100&lt;=$E$21),"PASS","FAIL")</x:f>
        <x:v>PASS</x:v>
      </x:c>
      <x:c r="I100" s="2" t="str">
        <x:f>IF(AND(IF($K$21=0,TRUE,'Thermal Site'!$F$17&lt;=$K$21),IF($L$21=0,TRUE,'Thermal Site'!$G$17&gt;=$L$21),IF($M$21=0,TRUE,'Thermal Site'!$J$17&gt;=E100),IF($N$21=0,TRUE,'Thermal Site'!$K$17&gt;=E100)),"PASS","FAIL")</x:f>
        <x:v>PASS</x:v>
      </x:c>
      <x:c r="J100" s="2" t="str">
        <x:f>IF(AND(IF($O$21=0,TRUE,'Thermal Site'!$H$17&lt;=$O$21),IF($P$21=0,TRUE,'Thermal Site'!$I$17&gt;=$P$21),IF($S$21=0,TRUE,'Thermal Site'!$J$8&gt;=1),IF($T$21=0,TRUE,'Thermal Site'!$L$17="YES")),"PASS","FAIL")</x:f>
        <x:v>PASS</x:v>
      </x:c>
      <x:c r="K100" s="2" t="str">
        <x:f>IF(AND(IF($Q$21&lt;1,'Deployment Work'!$M$8&gt;=1,'Deployment Work'!$L$8&gt;=1),'Deployment Work'!$Y$8&lt;=$R$21),"PASS","FAIL")</x:f>
        <x:v>PASS</x:v>
      </x:c>
      <x:c r="L100" s="2" t="str">
        <x:f>IF(AND(H100="PASS",I100="PASS",J100="PASS",K100="PASS"),"PASS","FAIL")</x:f>
        <x:v>PASS</x:v>
      </x:c>
      <x:c r="M100" s="2"/>
      <x:c r="N100" s="2"/>
      <x:c r="O100" s="2"/>
      <x:c r="P100" s="2"/>
      <x:c r="Q100" s="2"/>
      <x:c r="R100" s="2"/>
      <x:c r="S100" s="2"/>
      <x:c r="T100" s="2"/>
      <x:c r="U100" s="2"/>
      <x:c r="V100" s="2"/>
      <x:c r="W100" s="2"/>
      <x:c r="X100" s="2"/>
      <x:c r="Y100" s="2"/>
      <x:c r="Z100" s="2"/>
    </x:row>
    <x:row r="101">
      <x:c r="A101" s="2"/>
      <x:c r="B101" s="2" t="str">
        <x:v>W13</x:v>
      </x:c>
      <x:c r="C101" s="2" t="str">
        <x:v>wet and soft ground</x:v>
      </x:c>
      <x:c r="D101" s="2" t="str">
        <x:v>G2</x:v>
      </x:c>
      <x:c r="E101" s="30" t="n">
        <x:f>$D$21</x:f>
        <x:v>0.4</x:v>
      </x:c>
      <x:c r="F101" s="30" t="n">
        <x:f>MIN(1,(Geometry!$E$9*$I$21+(1-Geometry!$E$9)*(Geometry!$O$9*$F$21+Geometry!$P$9*$G$21*IF($J$21=0,0,1)+Geometry!$Q$9*$H$21))*IF($U$21=1,'Deployment Work'!$X$9,1))</x:f>
        <x:v>1</x:v>
      </x:c>
      <x:c r="G101" s="36" t="n">
        <x:f>IF(AND(Geometry!$E$9&gt;0,$I$21=0),'Deployment Work'!$E$9,IF(E101&lt;=Assumptions!$D$12,'Deployment Work'!$D$9,'Deployment Work'!$E$9))</x:f>
        <x:v>18</x:v>
      </x:c>
      <x:c r="H101" s="2" t="str">
        <x:f>IF(AND(F101&gt;=E101,G101&lt;=$E$21),"PASS","FAIL")</x:f>
        <x:v>PASS</x:v>
      </x:c>
      <x:c r="I101" s="2" t="str">
        <x:f>IF(AND(IF($K$21=0,TRUE,'Thermal Site'!$F$18&lt;=$K$21),IF($L$21=0,TRUE,'Thermal Site'!$G$18&gt;=$L$21),IF($M$21=0,TRUE,'Thermal Site'!$J$18&gt;=E101),IF($N$21=0,TRUE,'Thermal Site'!$K$18&gt;=E101)),"PASS","FAIL")</x:f>
        <x:v>FAIL</x:v>
      </x:c>
      <x:c r="J101" s="2" t="str">
        <x:f>IF(AND(IF($O$21=0,TRUE,'Thermal Site'!$H$18&lt;=$O$21),IF($P$21=0,TRUE,'Thermal Site'!$I$18&gt;=$P$21),IF($S$21=0,TRUE,'Thermal Site'!$J$9&gt;=1),IF($T$21=0,TRUE,'Thermal Site'!$L$18="YES")),"PASS","FAIL")</x:f>
        <x:v>PASS</x:v>
      </x:c>
      <x:c r="K101" s="2" t="str">
        <x:f>IF(AND(IF($Q$21&lt;1,'Deployment Work'!$M$9&gt;=1,'Deployment Work'!$L$9&gt;=1),'Deployment Work'!$Y$9&lt;=$R$21),"PASS","FAIL")</x:f>
        <x:v>PASS</x:v>
      </x:c>
      <x:c r="L101" s="2" t="str">
        <x:f>IF(AND(H101="PASS",I101="PASS",J101="PASS",K101="PASS"),"PASS","FAIL")</x:f>
        <x:v>FAIL</x:v>
      </x:c>
      <x:c r="M101" s="2"/>
      <x:c r="N101" s="2"/>
      <x:c r="O101" s="2"/>
      <x:c r="P101" s="2"/>
      <x:c r="Q101" s="2"/>
      <x:c r="R101" s="2"/>
      <x:c r="S101" s="2"/>
      <x:c r="T101" s="2"/>
      <x:c r="U101" s="2"/>
      <x:c r="V101" s="2"/>
      <x:c r="W101" s="2"/>
      <x:c r="X101" s="2"/>
      <x:c r="Y101" s="2"/>
      <x:c r="Z101" s="2"/>
    </x:row>
    <x:row r="102">
      <x:c r="A102" s="2"/>
      <x:c r="B102" s="2" t="str">
        <x:v>W13</x:v>
      </x:c>
      <x:c r="C102" s="2" t="str">
        <x:v>wet and soft ground</x:v>
      </x:c>
      <x:c r="D102" s="2" t="str">
        <x:v>G3</x:v>
      </x:c>
      <x:c r="E102" s="30" t="n">
        <x:f>$D$21</x:f>
        <x:v>0.4</x:v>
      </x:c>
      <x:c r="F102" s="30" t="n">
        <x:f>MIN(1,(Geometry!$E$10*$I$21+(1-Geometry!$E$10)*(Geometry!$O$10*$F$21+Geometry!$P$10*$G$21+Geometry!$Q$10*$H$21))*IF($U$21=1,'Deployment Work'!$X$10,1))</x:f>
        <x:v>1</x:v>
      </x:c>
      <x:c r="G102" s="36" t="n">
        <x:f>IF(AND(Geometry!$E$10&gt;0,$I$21=0),'Deployment Work'!$E$10,IF(E102&lt;=Assumptions!$D$12,'Deployment Work'!$D$10,'Deployment Work'!$E$10))</x:f>
        <x:v>14</x:v>
      </x:c>
      <x:c r="H102" s="2" t="str">
        <x:f>IF(AND(F102&gt;=E102,G102&lt;=$E$21),"PASS","FAIL")</x:f>
        <x:v>PASS</x:v>
      </x:c>
      <x:c r="I102" s="2" t="str">
        <x:f>IF(AND(IF($K$21=0,TRUE,'Thermal Site'!$F$19&lt;=$K$21),IF($L$21=0,TRUE,'Thermal Site'!$G$19&gt;=$L$21),IF($M$21=0,TRUE,'Thermal Site'!$J$19&gt;=E102),IF($N$21=0,TRUE,'Thermal Site'!$K$19&gt;=E102)),"PASS","FAIL")</x:f>
        <x:v>PASS</x:v>
      </x:c>
      <x:c r="J102" s="2" t="str">
        <x:f>IF(AND(IF($O$21=0,TRUE,'Thermal Site'!$H$19&lt;=$O$21),IF($P$21=0,TRUE,'Thermal Site'!$I$19&gt;=$P$21),IF($S$21=0,TRUE,'Thermal Site'!$J$10&gt;=1),IF($T$21=0,TRUE,'Thermal Site'!$L$19="YES")),"PASS","FAIL")</x:f>
        <x:v>PASS</x:v>
      </x:c>
      <x:c r="K102" s="2" t="str">
        <x:f>IF(AND(IF($Q$21&lt;1,'Deployment Work'!$M$10&gt;=1,'Deployment Work'!$L$10&gt;=1),'Deployment Work'!$Y$10&lt;=$R$21),"PASS","FAIL")</x:f>
        <x:v>PASS</x:v>
      </x:c>
      <x:c r="L102" s="2" t="str">
        <x:f>IF(AND(H102="PASS",I102="PASS",J102="PASS",K102="PASS"),"PASS","FAIL")</x:f>
        <x:v>PASS</x:v>
      </x:c>
      <x:c r="M102" s="2"/>
      <x:c r="N102" s="2"/>
      <x:c r="O102" s="2"/>
      <x:c r="P102" s="2"/>
      <x:c r="Q102" s="2"/>
      <x:c r="R102" s="2"/>
      <x:c r="S102" s="2"/>
      <x:c r="T102" s="2"/>
      <x:c r="U102" s="2"/>
      <x:c r="V102" s="2"/>
      <x:c r="W102" s="2"/>
      <x:c r="X102" s="2"/>
      <x:c r="Y102" s="2"/>
      <x:c r="Z102" s="2"/>
    </x:row>
    <x:row r="103">
      <x:c r="A103" s="2"/>
      <x:c r="B103" s="2" t="str">
        <x:v>W13</x:v>
      </x:c>
      <x:c r="C103" s="2" t="str">
        <x:v>wet and soft ground</x:v>
      </x:c>
      <x:c r="D103" s="2" t="str">
        <x:v>G4</x:v>
      </x:c>
      <x:c r="E103" s="30" t="n">
        <x:f>$D$21</x:f>
        <x:v>0.4</x:v>
      </x:c>
      <x:c r="F103" s="30" t="n">
        <x:f>MIN(1,(Geometry!$E$11*$I$21+(1-Geometry!$E$11)*(Geometry!$O$11*$F$21+Geometry!$P$11*$G$21+Geometry!$Q$11*$H$21))*IF($U$21=1,'Deployment Work'!$X$11,1))</x:f>
        <x:v>1</x:v>
      </x:c>
      <x:c r="G103" s="36" t="n">
        <x:f>IF(AND(Geometry!$E$11&gt;0,$I$21=0),'Deployment Work'!$E$11,IF(E103&lt;=Assumptions!$D$12,'Deployment Work'!$D$11,'Deployment Work'!$E$11))</x:f>
        <x:v>2</x:v>
      </x:c>
      <x:c r="H103" s="2" t="str">
        <x:f>IF(AND(F103&gt;=E103,G103&lt;=$E$21),"PASS","FAIL")</x:f>
        <x:v>PASS</x:v>
      </x:c>
      <x:c r="I103" s="2" t="str">
        <x:f>IF(AND(IF($K$21=0,TRUE,'Thermal Site'!$F$20&lt;=$K$21),IF($L$21=0,TRUE,'Thermal Site'!$G$20&gt;=$L$21),IF($M$21=0,TRUE,'Thermal Site'!$J$20&gt;=E103),IF($N$21=0,TRUE,'Thermal Site'!$K$20&gt;=E103)),"PASS","FAIL")</x:f>
        <x:v>PASS</x:v>
      </x:c>
      <x:c r="J103" s="2" t="str">
        <x:f>IF(AND(IF($O$21=0,TRUE,'Thermal Site'!$H$20&lt;=$O$21),IF($P$21=0,TRUE,'Thermal Site'!$I$20&gt;=$P$21),IF($S$21=0,TRUE,'Thermal Site'!$J$11&gt;=1),IF($T$21=0,TRUE,'Thermal Site'!$L$20="YES")),"PASS","FAIL")</x:f>
        <x:v>PASS</x:v>
      </x:c>
      <x:c r="K103" s="2" t="str">
        <x:f>IF(AND(IF($Q$21&lt;1,'Deployment Work'!$M$11&gt;=1,'Deployment Work'!$L$11&gt;=1),'Deployment Work'!$Y$11&lt;=$R$21),"PASS","FAIL")</x:f>
        <x:v>PASS</x:v>
      </x:c>
      <x:c r="L103" s="2" t="str">
        <x:f>IF(AND(H103="PASS",I103="PASS",J103="PASS",K103="PASS"),"PASS","FAIL")</x:f>
        <x:v>PASS</x:v>
      </x:c>
      <x:c r="M103" s="2"/>
      <x:c r="N103" s="2"/>
      <x:c r="O103" s="2"/>
      <x:c r="P103" s="2"/>
      <x:c r="Q103" s="2"/>
      <x:c r="R103" s="2"/>
      <x:c r="S103" s="2"/>
      <x:c r="T103" s="2"/>
      <x:c r="U103" s="2"/>
      <x:c r="V103" s="2"/>
      <x:c r="W103" s="2"/>
      <x:c r="X103" s="2"/>
      <x:c r="Y103" s="2"/>
      <x:c r="Z103" s="2"/>
    </x:row>
    <x:row r="104">
      <x:c r="A104" s="2"/>
      <x:c r="B104" s="2" t="str">
        <x:v>W13</x:v>
      </x:c>
      <x:c r="C104" s="2" t="str">
        <x:v>wet and soft ground</x:v>
      </x:c>
      <x:c r="D104" s="2" t="str">
        <x:v>G5</x:v>
      </x:c>
      <x:c r="E104" s="30" t="n">
        <x:f>$D$21</x:f>
        <x:v>0.4</x:v>
      </x:c>
      <x:c r="F104" s="30" t="n">
        <x:f>MIN(1,(Geometry!$E$12*$I$21+(1-Geometry!$E$12)*(Geometry!$O$12*$F$21+Geometry!$P$12*$G$21*IF($J$21=0,0,1)+Geometry!$Q$12*$H$21*IF($J$21=0,0,1)))*IF($U$21=1,'Deployment Work'!$X$12,1))</x:f>
        <x:v>1</x:v>
      </x:c>
      <x:c r="G104" s="36" t="n">
        <x:f>IF(AND(Geometry!$E$12&gt;0,$I$21=0),'Deployment Work'!$E$12,IF(E104&lt;=Assumptions!$D$12,'Deployment Work'!$D$12,'Deployment Work'!$E$12))</x:f>
        <x:v>10</x:v>
      </x:c>
      <x:c r="H104" s="2" t="str">
        <x:f>IF(AND(F104&gt;=E104,G104&lt;=$E$21),"PASS","FAIL")</x:f>
        <x:v>PASS</x:v>
      </x:c>
      <x:c r="I104" s="2" t="str">
        <x:f>IF(AND(IF($K$21=0,TRUE,'Thermal Site'!$F$21&lt;=$K$21),IF($L$21=0,TRUE,'Thermal Site'!$G$21&gt;=$L$21),IF($M$21=0,TRUE,'Thermal Site'!$J$21&gt;=E104),IF($N$21=0,TRUE,'Thermal Site'!$K$21&gt;=E104)),"PASS","FAIL")</x:f>
        <x:v>PASS</x:v>
      </x:c>
      <x:c r="J104" s="2" t="str">
        <x:f>IF(AND(IF($O$21=0,TRUE,'Thermal Site'!$H$21&lt;=$O$21),IF($P$21=0,TRUE,'Thermal Site'!$I$21&gt;=$P$21),IF($S$21=0,TRUE,'Thermal Site'!$J$12&gt;=1),IF($T$21=0,TRUE,'Thermal Site'!$L$21="YES")),"PASS","FAIL")</x:f>
        <x:v>PASS</x:v>
      </x:c>
      <x:c r="K104" s="2" t="str">
        <x:f>IF(AND(IF($Q$21&lt;1,'Deployment Work'!$M$12&gt;=1,'Deployment Work'!$L$12&gt;=1),'Deployment Work'!$Y$12&lt;=$R$21),"PASS","FAIL")</x:f>
        <x:v>PASS</x:v>
      </x:c>
      <x:c r="L104" s="2" t="str">
        <x:f>IF(AND(H104="PASS",I104="PASS",J104="PASS",K104="PASS"),"PASS","FAIL")</x:f>
        <x:v>PASS</x:v>
      </x:c>
      <x:c r="M104" s="2"/>
      <x:c r="N104" s="2"/>
      <x:c r="O104" s="2"/>
      <x:c r="P104" s="2"/>
      <x:c r="Q104" s="2"/>
      <x:c r="R104" s="2"/>
      <x:c r="S104" s="2"/>
      <x:c r="T104" s="2"/>
      <x:c r="U104" s="2"/>
      <x:c r="V104" s="2"/>
      <x:c r="W104" s="2"/>
      <x:c r="X104" s="2"/>
      <x:c r="Y104" s="2"/>
      <x:c r="Z104" s="2"/>
    </x:row>
    <x:row r="105">
      <x:c r="A105" s="2"/>
      <x:c r="B105" s="2" t="str">
        <x:v>W14</x:v>
      </x:c>
      <x:c r="C105" s="2" t="str">
        <x:v>0.6-metre flood at receiver</x:v>
      </x:c>
      <x:c r="D105" s="2" t="str">
        <x:v>G1</x:v>
      </x:c>
      <x:c r="E105" s="30" t="n">
        <x:f>$D$22</x:f>
        <x:v>0.4</x:v>
      </x:c>
      <x:c r="F105" s="30" t="n">
        <x:f>MIN(1,(Geometry!$E$8*$I$22+(1-Geometry!$E$8)*(Geometry!$O$8*$F$22+Geometry!$P$8*$G$22+Geometry!$Q$8*$H$22))*IF($U$22=1,'Deployment Work'!$X$8,1))</x:f>
        <x:v>1</x:v>
      </x:c>
      <x:c r="G105" s="36" t="n">
        <x:f>IF(AND(Geometry!$E$8&gt;0,$I$22=0),'Deployment Work'!$E$8,IF(E105&lt;=Assumptions!$D$12,'Deployment Work'!$D$8,'Deployment Work'!$E$8))</x:f>
        <x:v>12</x:v>
      </x:c>
      <x:c r="H105" s="2" t="str">
        <x:f>IF(AND(F105&gt;=E105,G105&lt;=$E$22),"PASS","FAIL")</x:f>
        <x:v>PASS</x:v>
      </x:c>
      <x:c r="I105" s="2" t="str">
        <x:f>IF(AND(IF($K$22=0,TRUE,'Thermal Site'!$F$17&lt;=$K$22),IF($L$22=0,TRUE,'Thermal Site'!$G$17&gt;=$L$22),IF($M$22=0,TRUE,'Thermal Site'!$J$17&gt;=E105),IF($N$22=0,TRUE,'Thermal Site'!$K$17&gt;=E105)),"PASS","FAIL")</x:f>
        <x:v>PASS</x:v>
      </x:c>
      <x:c r="J105" s="2" t="str">
        <x:f>IF(AND(IF($O$22=0,TRUE,'Thermal Site'!$H$17&lt;=$O$22),IF($P$22=0,TRUE,'Thermal Site'!$I$17&gt;=$P$22),IF($S$22=0,TRUE,'Thermal Site'!$J$8&gt;=1),IF($T$22=0,TRUE,'Thermal Site'!$L$17="YES")),"PASS","FAIL")</x:f>
        <x:v>PASS</x:v>
      </x:c>
      <x:c r="K105" s="2" t="str">
        <x:f>IF(AND(IF($Q$22&lt;1,'Deployment Work'!$M$8&gt;=1,'Deployment Work'!$L$8&gt;=1),'Deployment Work'!$Y$8&lt;=$R$22),"PASS","FAIL")</x:f>
        <x:v>PASS</x:v>
      </x:c>
      <x:c r="L105" s="2" t="str">
        <x:f>IF(AND(H105="PASS",I105="PASS",J105="PASS",K105="PASS"),"PASS","FAIL")</x:f>
        <x:v>PASS</x:v>
      </x:c>
      <x:c r="M105" s="2"/>
      <x:c r="N105" s="2"/>
      <x:c r="O105" s="2"/>
      <x:c r="P105" s="2"/>
      <x:c r="Q105" s="2"/>
      <x:c r="R105" s="2"/>
      <x:c r="S105" s="2"/>
      <x:c r="T105" s="2"/>
      <x:c r="U105" s="2"/>
      <x:c r="V105" s="2"/>
      <x:c r="W105" s="2"/>
      <x:c r="X105" s="2"/>
      <x:c r="Y105" s="2"/>
      <x:c r="Z105" s="2"/>
    </x:row>
    <x:row r="106">
      <x:c r="A106" s="2"/>
      <x:c r="B106" s="2" t="str">
        <x:v>W14</x:v>
      </x:c>
      <x:c r="C106" s="2" t="str">
        <x:v>0.6-metre flood at receiver</x:v>
      </x:c>
      <x:c r="D106" s="2" t="str">
        <x:v>G2</x:v>
      </x:c>
      <x:c r="E106" s="30" t="n">
        <x:f>$D$22</x:f>
        <x:v>0.4</x:v>
      </x:c>
      <x:c r="F106" s="30" t="n">
        <x:f>MIN(1,(Geometry!$E$9*$I$22+(1-Geometry!$E$9)*(Geometry!$O$9*$F$22+Geometry!$P$9*$G$22*IF($J$22=0,0,1)+Geometry!$Q$9*$H$22))*IF($U$22=1,'Deployment Work'!$X$9,1))</x:f>
        <x:v>1</x:v>
      </x:c>
      <x:c r="G106" s="36" t="n">
        <x:f>IF(AND(Geometry!$E$9&gt;0,$I$22=0),'Deployment Work'!$E$9,IF(E106&lt;=Assumptions!$D$12,'Deployment Work'!$D$9,'Deployment Work'!$E$9))</x:f>
        <x:v>18</x:v>
      </x:c>
      <x:c r="H106" s="2" t="str">
        <x:f>IF(AND(F106&gt;=E106,G106&lt;=$E$22),"PASS","FAIL")</x:f>
        <x:v>PASS</x:v>
      </x:c>
      <x:c r="I106" s="2" t="str">
        <x:f>IF(AND(IF($K$22=0,TRUE,'Thermal Site'!$F$18&lt;=$K$22),IF($L$22=0,TRUE,'Thermal Site'!$G$18&gt;=$L$22),IF($M$22=0,TRUE,'Thermal Site'!$J$18&gt;=E106),IF($N$22=0,TRUE,'Thermal Site'!$K$18&gt;=E106)),"PASS","FAIL")</x:f>
        <x:v>FAIL</x:v>
      </x:c>
      <x:c r="J106" s="2" t="str">
        <x:f>IF(AND(IF($O$22=0,TRUE,'Thermal Site'!$H$18&lt;=$O$22),IF($P$22=0,TRUE,'Thermal Site'!$I$18&gt;=$P$22),IF($S$22=0,TRUE,'Thermal Site'!$J$9&gt;=1),IF($T$22=0,TRUE,'Thermal Site'!$L$18="YES")),"PASS","FAIL")</x:f>
        <x:v>PASS</x:v>
      </x:c>
      <x:c r="K106" s="2" t="str">
        <x:f>IF(AND(IF($Q$22&lt;1,'Deployment Work'!$M$9&gt;=1,'Deployment Work'!$L$9&gt;=1),'Deployment Work'!$Y$9&lt;=$R$22),"PASS","FAIL")</x:f>
        <x:v>PASS</x:v>
      </x:c>
      <x:c r="L106" s="2" t="str">
        <x:f>IF(AND(H106="PASS",I106="PASS",J106="PASS",K106="PASS"),"PASS","FAIL")</x:f>
        <x:v>FAIL</x:v>
      </x:c>
      <x:c r="M106" s="2"/>
      <x:c r="N106" s="2"/>
      <x:c r="O106" s="2"/>
      <x:c r="P106" s="2"/>
      <x:c r="Q106" s="2"/>
      <x:c r="R106" s="2"/>
      <x:c r="S106" s="2"/>
      <x:c r="T106" s="2"/>
      <x:c r="U106" s="2"/>
      <x:c r="V106" s="2"/>
      <x:c r="W106" s="2"/>
      <x:c r="X106" s="2"/>
      <x:c r="Y106" s="2"/>
      <x:c r="Z106" s="2"/>
    </x:row>
    <x:row r="107">
      <x:c r="A107" s="2"/>
      <x:c r="B107" s="2" t="str">
        <x:v>W14</x:v>
      </x:c>
      <x:c r="C107" s="2" t="str">
        <x:v>0.6-metre flood at receiver</x:v>
      </x:c>
      <x:c r="D107" s="2" t="str">
        <x:v>G3</x:v>
      </x:c>
      <x:c r="E107" s="30" t="n">
        <x:f>$D$22</x:f>
        <x:v>0.4</x:v>
      </x:c>
      <x:c r="F107" s="30" t="n">
        <x:f>MIN(1,(Geometry!$E$10*$I$22+(1-Geometry!$E$10)*(Geometry!$O$10*$F$22+Geometry!$P$10*$G$22+Geometry!$Q$10*$H$22))*IF($U$22=1,'Deployment Work'!$X$10,1))</x:f>
        <x:v>1</x:v>
      </x:c>
      <x:c r="G107" s="36" t="n">
        <x:f>IF(AND(Geometry!$E$10&gt;0,$I$22=0),'Deployment Work'!$E$10,IF(E107&lt;=Assumptions!$D$12,'Deployment Work'!$D$10,'Deployment Work'!$E$10))</x:f>
        <x:v>14</x:v>
      </x:c>
      <x:c r="H107" s="2" t="str">
        <x:f>IF(AND(F107&gt;=E107,G107&lt;=$E$22),"PASS","FAIL")</x:f>
        <x:v>PASS</x:v>
      </x:c>
      <x:c r="I107" s="2" t="str">
        <x:f>IF(AND(IF($K$22=0,TRUE,'Thermal Site'!$F$19&lt;=$K$22),IF($L$22=0,TRUE,'Thermal Site'!$G$19&gt;=$L$22),IF($M$22=0,TRUE,'Thermal Site'!$J$19&gt;=E107),IF($N$22=0,TRUE,'Thermal Site'!$K$19&gt;=E107)),"PASS","FAIL")</x:f>
        <x:v>PASS</x:v>
      </x:c>
      <x:c r="J107" s="2" t="str">
        <x:f>IF(AND(IF($O$22=0,TRUE,'Thermal Site'!$H$19&lt;=$O$22),IF($P$22=0,TRUE,'Thermal Site'!$I$19&gt;=$P$22),IF($S$22=0,TRUE,'Thermal Site'!$J$10&gt;=1),IF($T$22=0,TRUE,'Thermal Site'!$L$19="YES")),"PASS","FAIL")</x:f>
        <x:v>PASS</x:v>
      </x:c>
      <x:c r="K107" s="2" t="str">
        <x:f>IF(AND(IF($Q$22&lt;1,'Deployment Work'!$M$10&gt;=1,'Deployment Work'!$L$10&gt;=1),'Deployment Work'!$Y$10&lt;=$R$22),"PASS","FAIL")</x:f>
        <x:v>PASS</x:v>
      </x:c>
      <x:c r="L107" s="2" t="str">
        <x:f>IF(AND(H107="PASS",I107="PASS",J107="PASS",K107="PASS"),"PASS","FAIL")</x:f>
        <x:v>PASS</x:v>
      </x:c>
      <x:c r="M107" s="2"/>
      <x:c r="N107" s="2"/>
      <x:c r="O107" s="2"/>
      <x:c r="P107" s="2"/>
      <x:c r="Q107" s="2"/>
      <x:c r="R107" s="2"/>
      <x:c r="S107" s="2"/>
      <x:c r="T107" s="2"/>
      <x:c r="U107" s="2"/>
      <x:c r="V107" s="2"/>
      <x:c r="W107" s="2"/>
      <x:c r="X107" s="2"/>
      <x:c r="Y107" s="2"/>
      <x:c r="Z107" s="2"/>
    </x:row>
    <x:row r="108">
      <x:c r="A108" s="2"/>
      <x:c r="B108" s="2" t="str">
        <x:v>W14</x:v>
      </x:c>
      <x:c r="C108" s="2" t="str">
        <x:v>0.6-metre flood at receiver</x:v>
      </x:c>
      <x:c r="D108" s="2" t="str">
        <x:v>G4</x:v>
      </x:c>
      <x:c r="E108" s="30" t="n">
        <x:f>$D$22</x:f>
        <x:v>0.4</x:v>
      </x:c>
      <x:c r="F108" s="30" t="n">
        <x:f>MIN(1,(Geometry!$E$11*$I$22+(1-Geometry!$E$11)*(Geometry!$O$11*$F$22+Geometry!$P$11*$G$22+Geometry!$Q$11*$H$22))*IF($U$22=1,'Deployment Work'!$X$11,1))</x:f>
        <x:v>1</x:v>
      </x:c>
      <x:c r="G108" s="36" t="n">
        <x:f>IF(AND(Geometry!$E$11&gt;0,$I$22=0),'Deployment Work'!$E$11,IF(E108&lt;=Assumptions!$D$12,'Deployment Work'!$D$11,'Deployment Work'!$E$11))</x:f>
        <x:v>2</x:v>
      </x:c>
      <x:c r="H108" s="2" t="str">
        <x:f>IF(AND(F108&gt;=E108,G108&lt;=$E$22),"PASS","FAIL")</x:f>
        <x:v>PASS</x:v>
      </x:c>
      <x:c r="I108" s="2" t="str">
        <x:f>IF(AND(IF($K$22=0,TRUE,'Thermal Site'!$F$20&lt;=$K$22),IF($L$22=0,TRUE,'Thermal Site'!$G$20&gt;=$L$22),IF($M$22=0,TRUE,'Thermal Site'!$J$20&gt;=E108),IF($N$22=0,TRUE,'Thermal Site'!$K$20&gt;=E108)),"PASS","FAIL")</x:f>
        <x:v>PASS</x:v>
      </x:c>
      <x:c r="J108" s="2" t="str">
        <x:f>IF(AND(IF($O$22=0,TRUE,'Thermal Site'!$H$20&lt;=$O$22),IF($P$22=0,TRUE,'Thermal Site'!$I$20&gt;=$P$22),IF($S$22=0,TRUE,'Thermal Site'!$J$11&gt;=1),IF($T$22=0,TRUE,'Thermal Site'!$L$20="YES")),"PASS","FAIL")</x:f>
        <x:v>PASS</x:v>
      </x:c>
      <x:c r="K108" s="2" t="str">
        <x:f>IF(AND(IF($Q$22&lt;1,'Deployment Work'!$M$11&gt;=1,'Deployment Work'!$L$11&gt;=1),'Deployment Work'!$Y$11&lt;=$R$22),"PASS","FAIL")</x:f>
        <x:v>PASS</x:v>
      </x:c>
      <x:c r="L108" s="2" t="str">
        <x:f>IF(AND(H108="PASS",I108="PASS",J108="PASS",K108="PASS"),"PASS","FAIL")</x:f>
        <x:v>PASS</x:v>
      </x:c>
      <x:c r="M108" s="2"/>
      <x:c r="N108" s="2"/>
      <x:c r="O108" s="2"/>
      <x:c r="P108" s="2"/>
      <x:c r="Q108" s="2"/>
      <x:c r="R108" s="2"/>
      <x:c r="S108" s="2"/>
      <x:c r="T108" s="2"/>
      <x:c r="U108" s="2"/>
      <x:c r="V108" s="2"/>
      <x:c r="W108" s="2"/>
      <x:c r="X108" s="2"/>
      <x:c r="Y108" s="2"/>
      <x:c r="Z108" s="2"/>
    </x:row>
    <x:row r="109">
      <x:c r="A109" s="2"/>
      <x:c r="B109" s="2" t="str">
        <x:v>W14</x:v>
      </x:c>
      <x:c r="C109" s="2" t="str">
        <x:v>0.6-metre flood at receiver</x:v>
      </x:c>
      <x:c r="D109" s="2" t="str">
        <x:v>G5</x:v>
      </x:c>
      <x:c r="E109" s="30" t="n">
        <x:f>$D$22</x:f>
        <x:v>0.4</x:v>
      </x:c>
      <x:c r="F109" s="30" t="n">
        <x:f>MIN(1,(Geometry!$E$12*$I$22+(1-Geometry!$E$12)*(Geometry!$O$12*$F$22+Geometry!$P$12*$G$22*IF($J$22=0,0,1)+Geometry!$Q$12*$H$22*IF($J$22=0,0,1)))*IF($U$22=1,'Deployment Work'!$X$12,1))</x:f>
        <x:v>1</x:v>
      </x:c>
      <x:c r="G109" s="36" t="n">
        <x:f>IF(AND(Geometry!$E$12&gt;0,$I$22=0),'Deployment Work'!$E$12,IF(E109&lt;=Assumptions!$D$12,'Deployment Work'!$D$12,'Deployment Work'!$E$12))</x:f>
        <x:v>10</x:v>
      </x:c>
      <x:c r="H109" s="2" t="str">
        <x:f>IF(AND(F109&gt;=E109,G109&lt;=$E$22),"PASS","FAIL")</x:f>
        <x:v>PASS</x:v>
      </x:c>
      <x:c r="I109" s="2" t="str">
        <x:f>IF(AND(IF($K$22=0,TRUE,'Thermal Site'!$F$21&lt;=$K$22),IF($L$22=0,TRUE,'Thermal Site'!$G$21&gt;=$L$22),IF($M$22=0,TRUE,'Thermal Site'!$J$21&gt;=E109),IF($N$22=0,TRUE,'Thermal Site'!$K$21&gt;=E109)),"PASS","FAIL")</x:f>
        <x:v>PASS</x:v>
      </x:c>
      <x:c r="J109" s="2" t="str">
        <x:f>IF(AND(IF($O$22=0,TRUE,'Thermal Site'!$H$21&lt;=$O$22),IF($P$22=0,TRUE,'Thermal Site'!$I$21&gt;=$P$22),IF($S$22=0,TRUE,'Thermal Site'!$J$12&gt;=1),IF($T$22=0,TRUE,'Thermal Site'!$L$21="YES")),"PASS","FAIL")</x:f>
        <x:v>PASS</x:v>
      </x:c>
      <x:c r="K109" s="2" t="str">
        <x:f>IF(AND(IF($Q$22&lt;1,'Deployment Work'!$M$12&gt;=1,'Deployment Work'!$L$12&gt;=1),'Deployment Work'!$Y$12&lt;=$R$22),"PASS","FAIL")</x:f>
        <x:v>PASS</x:v>
      </x:c>
      <x:c r="L109" s="2" t="str">
        <x:f>IF(AND(H109="PASS",I109="PASS",J109="PASS",K109="PASS"),"PASS","FAIL")</x:f>
        <x:v>PASS</x:v>
      </x:c>
      <x:c r="M109" s="2"/>
      <x:c r="N109" s="2"/>
      <x:c r="O109" s="2"/>
      <x:c r="P109" s="2"/>
      <x:c r="Q109" s="2"/>
      <x:c r="R109" s="2"/>
      <x:c r="S109" s="2"/>
      <x:c r="T109" s="2"/>
      <x:c r="U109" s="2"/>
      <x:c r="V109" s="2"/>
      <x:c r="W109" s="2"/>
      <x:c r="X109" s="2"/>
      <x:c r="Y109" s="2"/>
      <x:c r="Z109" s="2"/>
    </x:row>
    <x:row r="110">
      <x:c r="A110" s="2"/>
      <x:c r="B110" s="2" t="str">
        <x:v>W15</x:v>
      </x:c>
      <x:c r="C110" s="2" t="str">
        <x:v>50°C, smoke and largest rejection train lost</x:v>
      </x:c>
      <x:c r="D110" s="2" t="str">
        <x:v>G1</x:v>
      </x:c>
      <x:c r="E110" s="30" t="n">
        <x:f>$D$23</x:f>
        <x:v>1</x:v>
      </x:c>
      <x:c r="F110" s="30" t="n">
        <x:f>MIN(1,(Geometry!$E$8*$I$23+(1-Geometry!$E$8)*(Geometry!$O$8*$F$23+Geometry!$P$8*$G$23+Geometry!$Q$8*$H$23))*IF($U$23=1,'Deployment Work'!$X$8,1))</x:f>
        <x:v>1</x:v>
      </x:c>
      <x:c r="G110" s="36" t="n">
        <x:f>IF(AND(Geometry!$E$8&gt;0,$I$23=0),'Deployment Work'!$E$8,IF(E110&lt;=Assumptions!$D$12,'Deployment Work'!$D$8,'Deployment Work'!$E$8))</x:f>
        <x:v>36</x:v>
      </x:c>
      <x:c r="H110" s="2" t="str">
        <x:f>IF(AND(F110&gt;=E110,G110&lt;=$E$23),"PASS","FAIL")</x:f>
        <x:v>PASS</x:v>
      </x:c>
      <x:c r="I110" s="2" t="str">
        <x:f>IF(AND(IF($K$23=0,TRUE,'Thermal Site'!$F$17&lt;=$K$23),IF($L$23=0,TRUE,'Thermal Site'!$G$17&gt;=$L$23),IF($M$23=0,TRUE,'Thermal Site'!$J$17&gt;=E110),IF($N$23=0,TRUE,'Thermal Site'!$K$17&gt;=E110)),"PASS","FAIL")</x:f>
        <x:v>PASS</x:v>
      </x:c>
      <x:c r="J110" s="2" t="str">
        <x:f>IF(AND(IF($O$23=0,TRUE,'Thermal Site'!$H$17&lt;=$O$23),IF($P$23=0,TRUE,'Thermal Site'!$I$17&gt;=$P$23),IF($S$23=0,TRUE,'Thermal Site'!$J$8&gt;=1),IF($T$23=0,TRUE,'Thermal Site'!$L$17="YES")),"PASS","FAIL")</x:f>
        <x:v>PASS</x:v>
      </x:c>
      <x:c r="K110" s="2" t="str">
        <x:f>IF(AND(IF($Q$23&lt;1,'Deployment Work'!$M$8&gt;=1,'Deployment Work'!$L$8&gt;=1),'Deployment Work'!$Y$8&lt;=$R$23),"PASS","FAIL")</x:f>
        <x:v>PASS</x:v>
      </x:c>
      <x:c r="L110" s="2" t="str">
        <x:f>IF(AND(H110="PASS",I110="PASS",J110="PASS",K110="PASS"),"PASS","FAIL")</x:f>
        <x:v>PASS</x:v>
      </x:c>
      <x:c r="M110" s="2"/>
      <x:c r="N110" s="2"/>
      <x:c r="O110" s="2"/>
      <x:c r="P110" s="2"/>
      <x:c r="Q110" s="2"/>
      <x:c r="R110" s="2"/>
      <x:c r="S110" s="2"/>
      <x:c r="T110" s="2"/>
      <x:c r="U110" s="2"/>
      <x:c r="V110" s="2"/>
      <x:c r="W110" s="2"/>
      <x:c r="X110" s="2"/>
      <x:c r="Y110" s="2"/>
      <x:c r="Z110" s="2"/>
    </x:row>
    <x:row r="111">
      <x:c r="A111" s="2"/>
      <x:c r="B111" s="2" t="str">
        <x:v>W15</x:v>
      </x:c>
      <x:c r="C111" s="2" t="str">
        <x:v>50°C, smoke and largest rejection train lost</x:v>
      </x:c>
      <x:c r="D111" s="2" t="str">
        <x:v>G2</x:v>
      </x:c>
      <x:c r="E111" s="30" t="n">
        <x:f>$D$23</x:f>
        <x:v>1</x:v>
      </x:c>
      <x:c r="F111" s="30" t="n">
        <x:f>MIN(1,(Geometry!$E$9*$I$23+(1-Geometry!$E$9)*(Geometry!$O$9*$F$23+Geometry!$P$9*$G$23*IF($J$23=0,0,1)+Geometry!$Q$9*$H$23))*IF($U$23=1,'Deployment Work'!$X$9,1))</x:f>
        <x:v>1</x:v>
      </x:c>
      <x:c r="G111" s="36" t="n">
        <x:f>IF(AND(Geometry!$E$9&gt;0,$I$23=0),'Deployment Work'!$E$9,IF(E111&lt;=Assumptions!$D$12,'Deployment Work'!$D$9,'Deployment Work'!$E$9))</x:f>
        <x:v>44</x:v>
      </x:c>
      <x:c r="H111" s="2" t="str">
        <x:f>IF(AND(F111&gt;=E111,G111&lt;=$E$23),"PASS","FAIL")</x:f>
        <x:v>PASS</x:v>
      </x:c>
      <x:c r="I111" s="2" t="str">
        <x:f>IF(AND(IF($K$23=0,TRUE,'Thermal Site'!$F$18&lt;=$K$23),IF($L$23=0,TRUE,'Thermal Site'!$G$18&gt;=$L$23),IF($M$23=0,TRUE,'Thermal Site'!$J$18&gt;=E111),IF($N$23=0,TRUE,'Thermal Site'!$K$18&gt;=E111)),"PASS","FAIL")</x:f>
        <x:v>PASS</x:v>
      </x:c>
      <x:c r="J111" s="2" t="str">
        <x:f>IF(AND(IF($O$23=0,TRUE,'Thermal Site'!$H$18&lt;=$O$23),IF($P$23=0,TRUE,'Thermal Site'!$I$18&gt;=$P$23),IF($S$23=0,TRUE,'Thermal Site'!$J$9&gt;=1),IF($T$23=0,TRUE,'Thermal Site'!$L$18="YES")),"PASS","FAIL")</x:f>
        <x:v>PASS</x:v>
      </x:c>
      <x:c r="K111" s="2" t="str">
        <x:f>IF(AND(IF($Q$23&lt;1,'Deployment Work'!$M$9&gt;=1,'Deployment Work'!$L$9&gt;=1),'Deployment Work'!$Y$9&lt;=$R$23),"PASS","FAIL")</x:f>
        <x:v>PASS</x:v>
      </x:c>
      <x:c r="L111" s="2" t="str">
        <x:f>IF(AND(H111="PASS",I111="PASS",J111="PASS",K111="PASS"),"PASS","FAIL")</x:f>
        <x:v>PASS</x:v>
      </x:c>
      <x:c r="M111" s="2"/>
      <x:c r="N111" s="2"/>
      <x:c r="O111" s="2"/>
      <x:c r="P111" s="2"/>
      <x:c r="Q111" s="2"/>
      <x:c r="R111" s="2"/>
      <x:c r="S111" s="2"/>
      <x:c r="T111" s="2"/>
      <x:c r="U111" s="2"/>
      <x:c r="V111" s="2"/>
      <x:c r="W111" s="2"/>
      <x:c r="X111" s="2"/>
      <x:c r="Y111" s="2"/>
      <x:c r="Z111" s="2"/>
    </x:row>
    <x:row r="112">
      <x:c r="A112" s="2"/>
      <x:c r="B112" s="2" t="str">
        <x:v>W15</x:v>
      </x:c>
      <x:c r="C112" s="2" t="str">
        <x:v>50°C, smoke and largest rejection train lost</x:v>
      </x:c>
      <x:c r="D112" s="2" t="str">
        <x:v>G3</x:v>
      </x:c>
      <x:c r="E112" s="30" t="n">
        <x:f>$D$23</x:f>
        <x:v>1</x:v>
      </x:c>
      <x:c r="F112" s="30" t="n">
        <x:f>MIN(1,(Geometry!$E$10*$I$23+(1-Geometry!$E$10)*(Geometry!$O$10*$F$23+Geometry!$P$10*$G$23+Geometry!$Q$10*$H$23))*IF($U$23=1,'Deployment Work'!$X$10,1))</x:f>
        <x:v>1</x:v>
      </x:c>
      <x:c r="G112" s="36" t="n">
        <x:f>IF(AND(Geometry!$E$10&gt;0,$I$23=0),'Deployment Work'!$E$10,IF(E112&lt;=Assumptions!$D$12,'Deployment Work'!$D$10,'Deployment Work'!$E$10))</x:f>
        <x:v>30</x:v>
      </x:c>
      <x:c r="H112" s="2" t="str">
        <x:f>IF(AND(F112&gt;=E112,G112&lt;=$E$23),"PASS","FAIL")</x:f>
        <x:v>PASS</x:v>
      </x:c>
      <x:c r="I112" s="2" t="str">
        <x:f>IF(AND(IF($K$23=0,TRUE,'Thermal Site'!$F$19&lt;=$K$23),IF($L$23=0,TRUE,'Thermal Site'!$G$19&gt;=$L$23),IF($M$23=0,TRUE,'Thermal Site'!$J$19&gt;=E112),IF($N$23=0,TRUE,'Thermal Site'!$K$19&gt;=E112)),"PASS","FAIL")</x:f>
        <x:v>PASS</x:v>
      </x:c>
      <x:c r="J112" s="2" t="str">
        <x:f>IF(AND(IF($O$23=0,TRUE,'Thermal Site'!$H$19&lt;=$O$23),IF($P$23=0,TRUE,'Thermal Site'!$I$19&gt;=$P$23),IF($S$23=0,TRUE,'Thermal Site'!$J$10&gt;=1),IF($T$23=0,TRUE,'Thermal Site'!$L$19="YES")),"PASS","FAIL")</x:f>
        <x:v>PASS</x:v>
      </x:c>
      <x:c r="K112" s="2" t="str">
        <x:f>IF(AND(IF($Q$23&lt;1,'Deployment Work'!$M$10&gt;=1,'Deployment Work'!$L$10&gt;=1),'Deployment Work'!$Y$10&lt;=$R$23),"PASS","FAIL")</x:f>
        <x:v>PASS</x:v>
      </x:c>
      <x:c r="L112" s="2" t="str">
        <x:f>IF(AND(H112="PASS",I112="PASS",J112="PASS",K112="PASS"),"PASS","FAIL")</x:f>
        <x:v>PASS</x:v>
      </x:c>
      <x:c r="M112" s="2"/>
      <x:c r="N112" s="2"/>
      <x:c r="O112" s="2"/>
      <x:c r="P112" s="2"/>
      <x:c r="Q112" s="2"/>
      <x:c r="R112" s="2"/>
      <x:c r="S112" s="2"/>
      <x:c r="T112" s="2"/>
      <x:c r="U112" s="2"/>
      <x:c r="V112" s="2"/>
      <x:c r="W112" s="2"/>
      <x:c r="X112" s="2"/>
      <x:c r="Y112" s="2"/>
      <x:c r="Z112" s="2"/>
    </x:row>
    <x:row r="113">
      <x:c r="A113" s="2"/>
      <x:c r="B113" s="2" t="str">
        <x:v>W15</x:v>
      </x:c>
      <x:c r="C113" s="2" t="str">
        <x:v>50°C, smoke and largest rejection train lost</x:v>
      </x:c>
      <x:c r="D113" s="2" t="str">
        <x:v>G4</x:v>
      </x:c>
      <x:c r="E113" s="30" t="n">
        <x:f>$D$23</x:f>
        <x:v>1</x:v>
      </x:c>
      <x:c r="F113" s="30" t="n">
        <x:f>MIN(1,(Geometry!$E$11*$I$23+(1-Geometry!$E$11)*(Geometry!$O$11*$F$23+Geometry!$P$11*$G$23+Geometry!$Q$11*$H$23))*IF($U$23=1,'Deployment Work'!$X$11,1))</x:f>
        <x:v>1</x:v>
      </x:c>
      <x:c r="G113" s="36" t="n">
        <x:f>IF(AND(Geometry!$E$11&gt;0,$I$23=0),'Deployment Work'!$E$11,IF(E113&lt;=Assumptions!$D$12,'Deployment Work'!$D$11,'Deployment Work'!$E$11))</x:f>
        <x:v>12</x:v>
      </x:c>
      <x:c r="H113" s="2" t="str">
        <x:f>IF(AND(F113&gt;=E113,G113&lt;=$E$23),"PASS","FAIL")</x:f>
        <x:v>PASS</x:v>
      </x:c>
      <x:c r="I113" s="2" t="str">
        <x:f>IF(AND(IF($K$23=0,TRUE,'Thermal Site'!$F$20&lt;=$K$23),IF($L$23=0,TRUE,'Thermal Site'!$G$20&gt;=$L$23),IF($M$23=0,TRUE,'Thermal Site'!$J$20&gt;=E113),IF($N$23=0,TRUE,'Thermal Site'!$K$20&gt;=E113)),"PASS","FAIL")</x:f>
        <x:v>PASS</x:v>
      </x:c>
      <x:c r="J113" s="2" t="str">
        <x:f>IF(AND(IF($O$23=0,TRUE,'Thermal Site'!$H$20&lt;=$O$23),IF($P$23=0,TRUE,'Thermal Site'!$I$20&gt;=$P$23),IF($S$23=0,TRUE,'Thermal Site'!$J$11&gt;=1),IF($T$23=0,TRUE,'Thermal Site'!$L$20="YES")),"PASS","FAIL")</x:f>
        <x:v>PASS</x:v>
      </x:c>
      <x:c r="K113" s="2" t="str">
        <x:f>IF(AND(IF($Q$23&lt;1,'Deployment Work'!$M$11&gt;=1,'Deployment Work'!$L$11&gt;=1),'Deployment Work'!$Y$11&lt;=$R$23),"PASS","FAIL")</x:f>
        <x:v>PASS</x:v>
      </x:c>
      <x:c r="L113" s="2" t="str">
        <x:f>IF(AND(H113="PASS",I113="PASS",J113="PASS",K113="PASS"),"PASS","FAIL")</x:f>
        <x:v>PASS</x:v>
      </x:c>
      <x:c r="M113" s="2"/>
      <x:c r="N113" s="2"/>
      <x:c r="O113" s="2"/>
      <x:c r="P113" s="2"/>
      <x:c r="Q113" s="2"/>
      <x:c r="R113" s="2"/>
      <x:c r="S113" s="2"/>
      <x:c r="T113" s="2"/>
      <x:c r="U113" s="2"/>
      <x:c r="V113" s="2"/>
      <x:c r="W113" s="2"/>
      <x:c r="X113" s="2"/>
      <x:c r="Y113" s="2"/>
      <x:c r="Z113" s="2"/>
    </x:row>
    <x:row r="114">
      <x:c r="A114" s="2"/>
      <x:c r="B114" s="2" t="str">
        <x:v>W15</x:v>
      </x:c>
      <x:c r="C114" s="2" t="str">
        <x:v>50°C, smoke and largest rejection train lost</x:v>
      </x:c>
      <x:c r="D114" s="2" t="str">
        <x:v>G5</x:v>
      </x:c>
      <x:c r="E114" s="30" t="n">
        <x:f>$D$23</x:f>
        <x:v>1</x:v>
      </x:c>
      <x:c r="F114" s="30" t="n">
        <x:f>MIN(1,(Geometry!$E$12*$I$23+(1-Geometry!$E$12)*(Geometry!$O$12*$F$23+Geometry!$P$12*$G$23*IF($J$23=0,0,1)+Geometry!$Q$12*$H$23*IF($J$23=0,0,1)))*IF($U$23=1,'Deployment Work'!$X$12,1))</x:f>
        <x:v>1</x:v>
      </x:c>
      <x:c r="G114" s="36" t="n">
        <x:f>IF(AND(Geometry!$E$12&gt;0,$I$23=0),'Deployment Work'!$E$12,IF(E114&lt;=Assumptions!$D$12,'Deployment Work'!$D$12,'Deployment Work'!$E$12))</x:f>
        <x:v>46</x:v>
      </x:c>
      <x:c r="H114" s="2" t="str">
        <x:f>IF(AND(F114&gt;=E114,G114&lt;=$E$23),"PASS","FAIL")</x:f>
        <x:v>PASS</x:v>
      </x:c>
      <x:c r="I114" s="2" t="str">
        <x:f>IF(AND(IF($K$23=0,TRUE,'Thermal Site'!$F$21&lt;=$K$23),IF($L$23=0,TRUE,'Thermal Site'!$G$21&gt;=$L$23),IF($M$23=0,TRUE,'Thermal Site'!$J$21&gt;=E114),IF($N$23=0,TRUE,'Thermal Site'!$K$21&gt;=E114)),"PASS","FAIL")</x:f>
        <x:v>PASS</x:v>
      </x:c>
      <x:c r="J114" s="2" t="str">
        <x:f>IF(AND(IF($O$23=0,TRUE,'Thermal Site'!$H$21&lt;=$O$23),IF($P$23=0,TRUE,'Thermal Site'!$I$21&gt;=$P$23),IF($S$23=0,TRUE,'Thermal Site'!$J$12&gt;=1),IF($T$23=0,TRUE,'Thermal Site'!$L$21="YES")),"PASS","FAIL")</x:f>
        <x:v>PASS</x:v>
      </x:c>
      <x:c r="K114" s="2" t="str">
        <x:f>IF(AND(IF($Q$23&lt;1,'Deployment Work'!$M$12&gt;=1,'Deployment Work'!$L$12&gt;=1),'Deployment Work'!$Y$12&lt;=$R$23),"PASS","FAIL")</x:f>
        <x:v>PASS</x:v>
      </x:c>
      <x:c r="L114" s="2" t="str">
        <x:f>IF(AND(H114="PASS",I114="PASS",J114="PASS",K114="PASS"),"PASS","FAIL")</x:f>
        <x:v>PASS</x:v>
      </x:c>
      <x:c r="M114" s="2"/>
      <x:c r="N114" s="2"/>
      <x:c r="O114" s="2"/>
      <x:c r="P114" s="2"/>
      <x:c r="Q114" s="2"/>
      <x:c r="R114" s="2"/>
      <x:c r="S114" s="2"/>
      <x:c r="T114" s="2"/>
      <x:c r="U114" s="2"/>
      <x:c r="V114" s="2"/>
      <x:c r="W114" s="2"/>
      <x:c r="X114" s="2"/>
      <x:c r="Y114" s="2"/>
      <x:c r="Z114" s="2"/>
    </x:row>
    <x:row r="115">
      <x:c r="A115" s="2"/>
      <x:c r="B115" s="2" t="str">
        <x:v>W16</x:v>
      </x:c>
      <x:c r="C115" s="2" t="str">
        <x:v>heat-rejection water unavailable</x:v>
      </x:c>
      <x:c r="D115" s="2" t="str">
        <x:v>G1</x:v>
      </x:c>
      <x:c r="E115" s="30" t="n">
        <x:f>$D$24</x:f>
        <x:v>1</x:v>
      </x:c>
      <x:c r="F115" s="30" t="n">
        <x:f>MIN(1,(Geometry!$E$8*$I$24+(1-Geometry!$E$8)*(Geometry!$O$8*$F$24+Geometry!$P$8*$G$24+Geometry!$Q$8*$H$24))*IF($U$24=1,'Deployment Work'!$X$8,1))</x:f>
        <x:v>1</x:v>
      </x:c>
      <x:c r="G115" s="36" t="n">
        <x:f>IF(AND(Geometry!$E$8&gt;0,$I$24=0),'Deployment Work'!$E$8,IF(E115&lt;=Assumptions!$D$12,'Deployment Work'!$D$8,'Deployment Work'!$E$8))</x:f>
        <x:v>36</x:v>
      </x:c>
      <x:c r="H115" s="2" t="str">
        <x:f>IF(AND(F115&gt;=E115,G115&lt;=$E$24),"PASS","FAIL")</x:f>
        <x:v>PASS</x:v>
      </x:c>
      <x:c r="I115" s="2" t="str">
        <x:f>IF(AND(IF($K$24=0,TRUE,'Thermal Site'!$F$17&lt;=$K$24),IF($L$24=0,TRUE,'Thermal Site'!$G$17&gt;=$L$24),IF($M$24=0,TRUE,'Thermal Site'!$J$17&gt;=E115),IF($N$24=0,TRUE,'Thermal Site'!$K$17&gt;=E115)),"PASS","FAIL")</x:f>
        <x:v>PASS</x:v>
      </x:c>
      <x:c r="J115" s="2" t="str">
        <x:f>IF(AND(IF($O$24=0,TRUE,'Thermal Site'!$H$17&lt;=$O$24),IF($P$24=0,TRUE,'Thermal Site'!$I$17&gt;=$P$24),IF($S$24=0,TRUE,'Thermal Site'!$J$8&gt;=1),IF($T$24=0,TRUE,'Thermal Site'!$L$17="YES")),"PASS","FAIL")</x:f>
        <x:v>PASS</x:v>
      </x:c>
      <x:c r="K115" s="2" t="str">
        <x:f>IF(AND(IF($Q$24&lt;1,'Deployment Work'!$M$8&gt;=1,'Deployment Work'!$L$8&gt;=1),'Deployment Work'!$Y$8&lt;=$R$24),"PASS","FAIL")</x:f>
        <x:v>PASS</x:v>
      </x:c>
      <x:c r="L115" s="2" t="str">
        <x:f>IF(AND(H115="PASS",I115="PASS",J115="PASS",K115="PASS"),"PASS","FAIL")</x:f>
        <x:v>PASS</x:v>
      </x:c>
      <x:c r="M115" s="2"/>
      <x:c r="N115" s="2"/>
      <x:c r="O115" s="2"/>
      <x:c r="P115" s="2"/>
      <x:c r="Q115" s="2"/>
      <x:c r="R115" s="2"/>
      <x:c r="S115" s="2"/>
      <x:c r="T115" s="2"/>
      <x:c r="U115" s="2"/>
      <x:c r="V115" s="2"/>
      <x:c r="W115" s="2"/>
      <x:c r="X115" s="2"/>
      <x:c r="Y115" s="2"/>
      <x:c r="Z115" s="2"/>
    </x:row>
    <x:row r="116">
      <x:c r="A116" s="2"/>
      <x:c r="B116" s="2" t="str">
        <x:v>W16</x:v>
      </x:c>
      <x:c r="C116" s="2" t="str">
        <x:v>heat-rejection water unavailable</x:v>
      </x:c>
      <x:c r="D116" s="2" t="str">
        <x:v>G2</x:v>
      </x:c>
      <x:c r="E116" s="30" t="n">
        <x:f>$D$24</x:f>
        <x:v>1</x:v>
      </x:c>
      <x:c r="F116" s="30" t="n">
        <x:f>MIN(1,(Geometry!$E$9*$I$24+(1-Geometry!$E$9)*(Geometry!$O$9*$F$24+Geometry!$P$9*$G$24*IF($J$24=0,0,1)+Geometry!$Q$9*$H$24))*IF($U$24=1,'Deployment Work'!$X$9,1))</x:f>
        <x:v>1</x:v>
      </x:c>
      <x:c r="G116" s="36" t="n">
        <x:f>IF(AND(Geometry!$E$9&gt;0,$I$24=0),'Deployment Work'!$E$9,IF(E116&lt;=Assumptions!$D$12,'Deployment Work'!$D$9,'Deployment Work'!$E$9))</x:f>
        <x:v>44</x:v>
      </x:c>
      <x:c r="H116" s="2" t="str">
        <x:f>IF(AND(F116&gt;=E116,G116&lt;=$E$24),"PASS","FAIL")</x:f>
        <x:v>PASS</x:v>
      </x:c>
      <x:c r="I116" s="2" t="str">
        <x:f>IF(AND(IF($K$24=0,TRUE,'Thermal Site'!$F$18&lt;=$K$24),IF($L$24=0,TRUE,'Thermal Site'!$G$18&gt;=$L$24),IF($M$24=0,TRUE,'Thermal Site'!$J$18&gt;=E116),IF($N$24=0,TRUE,'Thermal Site'!$K$18&gt;=E116)),"PASS","FAIL")</x:f>
        <x:v>PASS</x:v>
      </x:c>
      <x:c r="J116" s="2" t="str">
        <x:f>IF(AND(IF($O$24=0,TRUE,'Thermal Site'!$H$18&lt;=$O$24),IF($P$24=0,TRUE,'Thermal Site'!$I$18&gt;=$P$24),IF($S$24=0,TRUE,'Thermal Site'!$J$9&gt;=1),IF($T$24=0,TRUE,'Thermal Site'!$L$18="YES")),"PASS","FAIL")</x:f>
        <x:v>PASS</x:v>
      </x:c>
      <x:c r="K116" s="2" t="str">
        <x:f>IF(AND(IF($Q$24&lt;1,'Deployment Work'!$M$9&gt;=1,'Deployment Work'!$L$9&gt;=1),'Deployment Work'!$Y$9&lt;=$R$24),"PASS","FAIL")</x:f>
        <x:v>PASS</x:v>
      </x:c>
      <x:c r="L116" s="2" t="str">
        <x:f>IF(AND(H116="PASS",I116="PASS",J116="PASS",K116="PASS"),"PASS","FAIL")</x:f>
        <x:v>PASS</x:v>
      </x:c>
      <x:c r="M116" s="2"/>
      <x:c r="N116" s="2"/>
      <x:c r="O116" s="2"/>
      <x:c r="P116" s="2"/>
      <x:c r="Q116" s="2"/>
      <x:c r="R116" s="2"/>
      <x:c r="S116" s="2"/>
      <x:c r="T116" s="2"/>
      <x:c r="U116" s="2"/>
      <x:c r="V116" s="2"/>
      <x:c r="W116" s="2"/>
      <x:c r="X116" s="2"/>
      <x:c r="Y116" s="2"/>
      <x:c r="Z116" s="2"/>
    </x:row>
    <x:row r="117">
      <x:c r="A117" s="2"/>
      <x:c r="B117" s="2" t="str">
        <x:v>W16</x:v>
      </x:c>
      <x:c r="C117" s="2" t="str">
        <x:v>heat-rejection water unavailable</x:v>
      </x:c>
      <x:c r="D117" s="2" t="str">
        <x:v>G3</x:v>
      </x:c>
      <x:c r="E117" s="30" t="n">
        <x:f>$D$24</x:f>
        <x:v>1</x:v>
      </x:c>
      <x:c r="F117" s="30" t="n">
        <x:f>MIN(1,(Geometry!$E$10*$I$24+(1-Geometry!$E$10)*(Geometry!$O$10*$F$24+Geometry!$P$10*$G$24+Geometry!$Q$10*$H$24))*IF($U$24=1,'Deployment Work'!$X$10,1))</x:f>
        <x:v>1</x:v>
      </x:c>
      <x:c r="G117" s="36" t="n">
        <x:f>IF(AND(Geometry!$E$10&gt;0,$I$24=0),'Deployment Work'!$E$10,IF(E117&lt;=Assumptions!$D$12,'Deployment Work'!$D$10,'Deployment Work'!$E$10))</x:f>
        <x:v>30</x:v>
      </x:c>
      <x:c r="H117" s="2" t="str">
        <x:f>IF(AND(F117&gt;=E117,G117&lt;=$E$24),"PASS","FAIL")</x:f>
        <x:v>PASS</x:v>
      </x:c>
      <x:c r="I117" s="2" t="str">
        <x:f>IF(AND(IF($K$24=0,TRUE,'Thermal Site'!$F$19&lt;=$K$24),IF($L$24=0,TRUE,'Thermal Site'!$G$19&gt;=$L$24),IF($M$24=0,TRUE,'Thermal Site'!$J$19&gt;=E117),IF($N$24=0,TRUE,'Thermal Site'!$K$19&gt;=E117)),"PASS","FAIL")</x:f>
        <x:v>PASS</x:v>
      </x:c>
      <x:c r="J117" s="2" t="str">
        <x:f>IF(AND(IF($O$24=0,TRUE,'Thermal Site'!$H$19&lt;=$O$24),IF($P$24=0,TRUE,'Thermal Site'!$I$19&gt;=$P$24),IF($S$24=0,TRUE,'Thermal Site'!$J$10&gt;=1),IF($T$24=0,TRUE,'Thermal Site'!$L$19="YES")),"PASS","FAIL")</x:f>
        <x:v>PASS</x:v>
      </x:c>
      <x:c r="K117" s="2" t="str">
        <x:f>IF(AND(IF($Q$24&lt;1,'Deployment Work'!$M$10&gt;=1,'Deployment Work'!$L$10&gt;=1),'Deployment Work'!$Y$10&lt;=$R$24),"PASS","FAIL")</x:f>
        <x:v>PASS</x:v>
      </x:c>
      <x:c r="L117" s="2" t="str">
        <x:f>IF(AND(H117="PASS",I117="PASS",J117="PASS",K117="PASS"),"PASS","FAIL")</x:f>
        <x:v>PASS</x:v>
      </x:c>
      <x:c r="M117" s="2"/>
      <x:c r="N117" s="2"/>
      <x:c r="O117" s="2"/>
      <x:c r="P117" s="2"/>
      <x:c r="Q117" s="2"/>
      <x:c r="R117" s="2"/>
      <x:c r="S117" s="2"/>
      <x:c r="T117" s="2"/>
      <x:c r="U117" s="2"/>
      <x:c r="V117" s="2"/>
      <x:c r="W117" s="2"/>
      <x:c r="X117" s="2"/>
      <x:c r="Y117" s="2"/>
      <x:c r="Z117" s="2"/>
    </x:row>
    <x:row r="118">
      <x:c r="A118" s="2"/>
      <x:c r="B118" s="2" t="str">
        <x:v>W16</x:v>
      </x:c>
      <x:c r="C118" s="2" t="str">
        <x:v>heat-rejection water unavailable</x:v>
      </x:c>
      <x:c r="D118" s="2" t="str">
        <x:v>G4</x:v>
      </x:c>
      <x:c r="E118" s="30" t="n">
        <x:f>$D$24</x:f>
        <x:v>1</x:v>
      </x:c>
      <x:c r="F118" s="30" t="n">
        <x:f>MIN(1,(Geometry!$E$11*$I$24+(1-Geometry!$E$11)*(Geometry!$O$11*$F$24+Geometry!$P$11*$G$24+Geometry!$Q$11*$H$24))*IF($U$24=1,'Deployment Work'!$X$11,1))</x:f>
        <x:v>1</x:v>
      </x:c>
      <x:c r="G118" s="36" t="n">
        <x:f>IF(AND(Geometry!$E$11&gt;0,$I$24=0),'Deployment Work'!$E$11,IF(E118&lt;=Assumptions!$D$12,'Deployment Work'!$D$11,'Deployment Work'!$E$11))</x:f>
        <x:v>12</x:v>
      </x:c>
      <x:c r="H118" s="2" t="str">
        <x:f>IF(AND(F118&gt;=E118,G118&lt;=$E$24),"PASS","FAIL")</x:f>
        <x:v>PASS</x:v>
      </x:c>
      <x:c r="I118" s="2" t="str">
        <x:f>IF(AND(IF($K$24=0,TRUE,'Thermal Site'!$F$20&lt;=$K$24),IF($L$24=0,TRUE,'Thermal Site'!$G$20&gt;=$L$24),IF($M$24=0,TRUE,'Thermal Site'!$J$20&gt;=E118),IF($N$24=0,TRUE,'Thermal Site'!$K$20&gt;=E118)),"PASS","FAIL")</x:f>
        <x:v>PASS</x:v>
      </x:c>
      <x:c r="J118" s="2" t="str">
        <x:f>IF(AND(IF($O$24=0,TRUE,'Thermal Site'!$H$20&lt;=$O$24),IF($P$24=0,TRUE,'Thermal Site'!$I$20&gt;=$P$24),IF($S$24=0,TRUE,'Thermal Site'!$J$11&gt;=1),IF($T$24=0,TRUE,'Thermal Site'!$L$20="YES")),"PASS","FAIL")</x:f>
        <x:v>PASS</x:v>
      </x:c>
      <x:c r="K118" s="2" t="str">
        <x:f>IF(AND(IF($Q$24&lt;1,'Deployment Work'!$M$11&gt;=1,'Deployment Work'!$L$11&gt;=1),'Deployment Work'!$Y$11&lt;=$R$24),"PASS","FAIL")</x:f>
        <x:v>PASS</x:v>
      </x:c>
      <x:c r="L118" s="2" t="str">
        <x:f>IF(AND(H118="PASS",I118="PASS",J118="PASS",K118="PASS"),"PASS","FAIL")</x:f>
        <x:v>PASS</x:v>
      </x:c>
      <x:c r="M118" s="2"/>
      <x:c r="N118" s="2"/>
      <x:c r="O118" s="2"/>
      <x:c r="P118" s="2"/>
      <x:c r="Q118" s="2"/>
      <x:c r="R118" s="2"/>
      <x:c r="S118" s="2"/>
      <x:c r="T118" s="2"/>
      <x:c r="U118" s="2"/>
      <x:c r="V118" s="2"/>
      <x:c r="W118" s="2"/>
      <x:c r="X118" s="2"/>
      <x:c r="Y118" s="2"/>
      <x:c r="Z118" s="2"/>
    </x:row>
    <x:row r="119">
      <x:c r="A119" s="2"/>
      <x:c r="B119" s="2" t="str">
        <x:v>W16</x:v>
      </x:c>
      <x:c r="C119" s="2" t="str">
        <x:v>heat-rejection water unavailable</x:v>
      </x:c>
      <x:c r="D119" s="2" t="str">
        <x:v>G5</x:v>
      </x:c>
      <x:c r="E119" s="30" t="n">
        <x:f>$D$24</x:f>
        <x:v>1</x:v>
      </x:c>
      <x:c r="F119" s="30" t="n">
        <x:f>MIN(1,(Geometry!$E$12*$I$24+(1-Geometry!$E$12)*(Geometry!$O$12*$F$24+Geometry!$P$12*$G$24*IF($J$24=0,0,1)+Geometry!$Q$12*$H$24*IF($J$24=0,0,1)))*IF($U$24=1,'Deployment Work'!$X$12,1))</x:f>
        <x:v>1</x:v>
      </x:c>
      <x:c r="G119" s="36" t="n">
        <x:f>IF(AND(Geometry!$E$12&gt;0,$I$24=0),'Deployment Work'!$E$12,IF(E119&lt;=Assumptions!$D$12,'Deployment Work'!$D$12,'Deployment Work'!$E$12))</x:f>
        <x:v>46</x:v>
      </x:c>
      <x:c r="H119" s="2" t="str">
        <x:f>IF(AND(F119&gt;=E119,G119&lt;=$E$24),"PASS","FAIL")</x:f>
        <x:v>PASS</x:v>
      </x:c>
      <x:c r="I119" s="2" t="str">
        <x:f>IF(AND(IF($K$24=0,TRUE,'Thermal Site'!$F$21&lt;=$K$24),IF($L$24=0,TRUE,'Thermal Site'!$G$21&gt;=$L$24),IF($M$24=0,TRUE,'Thermal Site'!$J$21&gt;=E119),IF($N$24=0,TRUE,'Thermal Site'!$K$21&gt;=E119)),"PASS","FAIL")</x:f>
        <x:v>PASS</x:v>
      </x:c>
      <x:c r="J119" s="2" t="str">
        <x:f>IF(AND(IF($O$24=0,TRUE,'Thermal Site'!$H$21&lt;=$O$24),IF($P$24=0,TRUE,'Thermal Site'!$I$21&gt;=$P$24),IF($S$24=0,TRUE,'Thermal Site'!$J$12&gt;=1),IF($T$24=0,TRUE,'Thermal Site'!$L$21="YES")),"PASS","FAIL")</x:f>
        <x:v>PASS</x:v>
      </x:c>
      <x:c r="K119" s="2" t="str">
        <x:f>IF(AND(IF($Q$24&lt;1,'Deployment Work'!$M$12&gt;=1,'Deployment Work'!$L$12&gt;=1),'Deployment Work'!$Y$12&lt;=$R$24),"PASS","FAIL")</x:f>
        <x:v>PASS</x:v>
      </x:c>
      <x:c r="L119" s="2" t="str">
        <x:f>IF(AND(H119="PASS",I119="PASS",J119="PASS",K119="PASS"),"PASS","FAIL")</x:f>
        <x:v>PASS</x:v>
      </x:c>
      <x:c r="M119" s="2"/>
      <x:c r="N119" s="2"/>
      <x:c r="O119" s="2"/>
      <x:c r="P119" s="2"/>
      <x:c r="Q119" s="2"/>
      <x:c r="R119" s="2"/>
      <x:c r="S119" s="2"/>
      <x:c r="T119" s="2"/>
      <x:c r="U119" s="2"/>
      <x:c r="V119" s="2"/>
      <x:c r="W119" s="2"/>
      <x:c r="X119" s="2"/>
      <x:c r="Y119" s="2"/>
      <x:c r="Z119" s="2"/>
    </x:row>
    <x:row r="120">
      <x:c r="A120" s="2"/>
      <x:c r="B120" s="2" t="str">
        <x:v>W17</x:v>
      </x:c>
      <x:c r="C120" s="2" t="str">
        <x:v>55 dBA public-boundary night operation</x:v>
      </x:c>
      <x:c r="D120" s="2" t="str">
        <x:v>G1</x:v>
      </x:c>
      <x:c r="E120" s="30" t="n">
        <x:f>$D$25</x:f>
        <x:v>1</x:v>
      </x:c>
      <x:c r="F120" s="30" t="n">
        <x:f>MIN(1,(Geometry!$E$8*$I$25+(1-Geometry!$E$8)*(Geometry!$O$8*$F$25+Geometry!$P$8*$G$25+Geometry!$Q$8*$H$25))*IF($U$25=1,'Deployment Work'!$X$8,1))</x:f>
        <x:v>1</x:v>
      </x:c>
      <x:c r="G120" s="36" t="n">
        <x:f>IF(AND(Geometry!$E$8&gt;0,$I$25=0),'Deployment Work'!$E$8,IF(E120&lt;=Assumptions!$D$12,'Deployment Work'!$D$8,'Deployment Work'!$E$8))</x:f>
        <x:v>36</x:v>
      </x:c>
      <x:c r="H120" s="2" t="str">
        <x:f>IF(AND(F120&gt;=E120,G120&lt;=$E$25),"PASS","FAIL")</x:f>
        <x:v>PASS</x:v>
      </x:c>
      <x:c r="I120" s="2" t="str">
        <x:f>IF(AND(IF($K$25=0,TRUE,'Thermal Site'!$F$17&lt;=$K$25),IF($L$25=0,TRUE,'Thermal Site'!$G$17&gt;=$L$25),IF($M$25=0,TRUE,'Thermal Site'!$J$17&gt;=E120),IF($N$25=0,TRUE,'Thermal Site'!$K$17&gt;=E120)),"PASS","FAIL")</x:f>
        <x:v>PASS</x:v>
      </x:c>
      <x:c r="J120" s="2" t="str">
        <x:f>IF(AND(IF($O$25=0,TRUE,'Thermal Site'!$H$17&lt;=$O$25),IF($P$25=0,TRUE,'Thermal Site'!$I$17&gt;=$P$25),IF($S$25=0,TRUE,'Thermal Site'!$J$8&gt;=1),IF($T$25=0,TRUE,'Thermal Site'!$L$17="YES")),"PASS","FAIL")</x:f>
        <x:v>FAIL</x:v>
      </x:c>
      <x:c r="K120" s="2" t="str">
        <x:f>IF(AND(IF($Q$25&lt;1,'Deployment Work'!$M$8&gt;=1,'Deployment Work'!$L$8&gt;=1),'Deployment Work'!$Y$8&lt;=$R$25),"PASS","FAIL")</x:f>
        <x:v>PASS</x:v>
      </x:c>
      <x:c r="L120" s="2" t="str">
        <x:f>IF(AND(H120="PASS",I120="PASS",J120="PASS",K120="PASS"),"PASS","FAIL")</x:f>
        <x:v>FAIL</x:v>
      </x:c>
      <x:c r="M120" s="2"/>
      <x:c r="N120" s="2"/>
      <x:c r="O120" s="2"/>
      <x:c r="P120" s="2"/>
      <x:c r="Q120" s="2"/>
      <x:c r="R120" s="2"/>
      <x:c r="S120" s="2"/>
      <x:c r="T120" s="2"/>
      <x:c r="U120" s="2"/>
      <x:c r="V120" s="2"/>
      <x:c r="W120" s="2"/>
      <x:c r="X120" s="2"/>
      <x:c r="Y120" s="2"/>
      <x:c r="Z120" s="2"/>
    </x:row>
    <x:row r="121">
      <x:c r="A121" s="2"/>
      <x:c r="B121" s="2" t="str">
        <x:v>W17</x:v>
      </x:c>
      <x:c r="C121" s="2" t="str">
        <x:v>55 dBA public-boundary night operation</x:v>
      </x:c>
      <x:c r="D121" s="2" t="str">
        <x:v>G2</x:v>
      </x:c>
      <x:c r="E121" s="30" t="n">
        <x:f>$D$25</x:f>
        <x:v>1</x:v>
      </x:c>
      <x:c r="F121" s="30" t="n">
        <x:f>MIN(1,(Geometry!$E$9*$I$25+(1-Geometry!$E$9)*(Geometry!$O$9*$F$25+Geometry!$P$9*$G$25*IF($J$25=0,0,1)+Geometry!$Q$9*$H$25))*IF($U$25=1,'Deployment Work'!$X$9,1))</x:f>
        <x:v>1</x:v>
      </x:c>
      <x:c r="G121" s="36" t="n">
        <x:f>IF(AND(Geometry!$E$9&gt;0,$I$25=0),'Deployment Work'!$E$9,IF(E121&lt;=Assumptions!$D$12,'Deployment Work'!$D$9,'Deployment Work'!$E$9))</x:f>
        <x:v>44</x:v>
      </x:c>
      <x:c r="H121" s="2" t="str">
        <x:f>IF(AND(F121&gt;=E121,G121&lt;=$E$25),"PASS","FAIL")</x:f>
        <x:v>PASS</x:v>
      </x:c>
      <x:c r="I121" s="2" t="str">
        <x:f>IF(AND(IF($K$25=0,TRUE,'Thermal Site'!$F$18&lt;=$K$25),IF($L$25=0,TRUE,'Thermal Site'!$G$18&gt;=$L$25),IF($M$25=0,TRUE,'Thermal Site'!$J$18&gt;=E121),IF($N$25=0,TRUE,'Thermal Site'!$K$18&gt;=E121)),"PASS","FAIL")</x:f>
        <x:v>PASS</x:v>
      </x:c>
      <x:c r="J121" s="2" t="str">
        <x:f>IF(AND(IF($O$25=0,TRUE,'Thermal Site'!$H$18&lt;=$O$25),IF($P$25=0,TRUE,'Thermal Site'!$I$18&gt;=$P$25),IF($S$25=0,TRUE,'Thermal Site'!$J$9&gt;=1),IF($T$25=0,TRUE,'Thermal Site'!$L$18="YES")),"PASS","FAIL")</x:f>
        <x:v>PASS</x:v>
      </x:c>
      <x:c r="K121" s="2" t="str">
        <x:f>IF(AND(IF($Q$25&lt;1,'Deployment Work'!$M$9&gt;=1,'Deployment Work'!$L$9&gt;=1),'Deployment Work'!$Y$9&lt;=$R$25),"PASS","FAIL")</x:f>
        <x:v>PASS</x:v>
      </x:c>
      <x:c r="L121" s="2" t="str">
        <x:f>IF(AND(H121="PASS",I121="PASS",J121="PASS",K121="PASS"),"PASS","FAIL")</x:f>
        <x:v>PASS</x:v>
      </x:c>
      <x:c r="M121" s="2"/>
      <x:c r="N121" s="2"/>
      <x:c r="O121" s="2"/>
      <x:c r="P121" s="2"/>
      <x:c r="Q121" s="2"/>
      <x:c r="R121" s="2"/>
      <x:c r="S121" s="2"/>
      <x:c r="T121" s="2"/>
      <x:c r="U121" s="2"/>
      <x:c r="V121" s="2"/>
      <x:c r="W121" s="2"/>
      <x:c r="X121" s="2"/>
      <x:c r="Y121" s="2"/>
      <x:c r="Z121" s="2"/>
    </x:row>
    <x:row r="122">
      <x:c r="A122" s="2"/>
      <x:c r="B122" s="2" t="str">
        <x:v>W17</x:v>
      </x:c>
      <x:c r="C122" s="2" t="str">
        <x:v>55 dBA public-boundary night operation</x:v>
      </x:c>
      <x:c r="D122" s="2" t="str">
        <x:v>G3</x:v>
      </x:c>
      <x:c r="E122" s="30" t="n">
        <x:f>$D$25</x:f>
        <x:v>1</x:v>
      </x:c>
      <x:c r="F122" s="30" t="n">
        <x:f>MIN(1,(Geometry!$E$10*$I$25+(1-Geometry!$E$10)*(Geometry!$O$10*$F$25+Geometry!$P$10*$G$25+Geometry!$Q$10*$H$25))*IF($U$25=1,'Deployment Work'!$X$10,1))</x:f>
        <x:v>1</x:v>
      </x:c>
      <x:c r="G122" s="36" t="n">
        <x:f>IF(AND(Geometry!$E$10&gt;0,$I$25=0),'Deployment Work'!$E$10,IF(E122&lt;=Assumptions!$D$12,'Deployment Work'!$D$10,'Deployment Work'!$E$10))</x:f>
        <x:v>30</x:v>
      </x:c>
      <x:c r="H122" s="2" t="str">
        <x:f>IF(AND(F122&gt;=E122,G122&lt;=$E$25),"PASS","FAIL")</x:f>
        <x:v>PASS</x:v>
      </x:c>
      <x:c r="I122" s="2" t="str">
        <x:f>IF(AND(IF($K$25=0,TRUE,'Thermal Site'!$F$19&lt;=$K$25),IF($L$25=0,TRUE,'Thermal Site'!$G$19&gt;=$L$25),IF($M$25=0,TRUE,'Thermal Site'!$J$19&gt;=E122),IF($N$25=0,TRUE,'Thermal Site'!$K$19&gt;=E122)),"PASS","FAIL")</x:f>
        <x:v>PASS</x:v>
      </x:c>
      <x:c r="J122" s="2" t="str">
        <x:f>IF(AND(IF($O$25=0,TRUE,'Thermal Site'!$H$19&lt;=$O$25),IF($P$25=0,TRUE,'Thermal Site'!$I$19&gt;=$P$25),IF($S$25=0,TRUE,'Thermal Site'!$J$10&gt;=1),IF($T$25=0,TRUE,'Thermal Site'!$L$19="YES")),"PASS","FAIL")</x:f>
        <x:v>PASS</x:v>
      </x:c>
      <x:c r="K122" s="2" t="str">
        <x:f>IF(AND(IF($Q$25&lt;1,'Deployment Work'!$M$10&gt;=1,'Deployment Work'!$L$10&gt;=1),'Deployment Work'!$Y$10&lt;=$R$25),"PASS","FAIL")</x:f>
        <x:v>PASS</x:v>
      </x:c>
      <x:c r="L122" s="2" t="str">
        <x:f>IF(AND(H122="PASS",I122="PASS",J122="PASS",K122="PASS"),"PASS","FAIL")</x:f>
        <x:v>PASS</x:v>
      </x:c>
      <x:c r="M122" s="2"/>
      <x:c r="N122" s="2"/>
      <x:c r="O122" s="2"/>
      <x:c r="P122" s="2"/>
      <x:c r="Q122" s="2"/>
      <x:c r="R122" s="2"/>
      <x:c r="S122" s="2"/>
      <x:c r="T122" s="2"/>
      <x:c r="U122" s="2"/>
      <x:c r="V122" s="2"/>
      <x:c r="W122" s="2"/>
      <x:c r="X122" s="2"/>
      <x:c r="Y122" s="2"/>
      <x:c r="Z122" s="2"/>
    </x:row>
    <x:row r="123">
      <x:c r="A123" s="2"/>
      <x:c r="B123" s="2" t="str">
        <x:v>W17</x:v>
      </x:c>
      <x:c r="C123" s="2" t="str">
        <x:v>55 dBA public-boundary night operation</x:v>
      </x:c>
      <x:c r="D123" s="2" t="str">
        <x:v>G4</x:v>
      </x:c>
      <x:c r="E123" s="30" t="n">
        <x:f>$D$25</x:f>
        <x:v>1</x:v>
      </x:c>
      <x:c r="F123" s="30" t="n">
        <x:f>MIN(1,(Geometry!$E$11*$I$25+(1-Geometry!$E$11)*(Geometry!$O$11*$F$25+Geometry!$P$11*$G$25+Geometry!$Q$11*$H$25))*IF($U$25=1,'Deployment Work'!$X$11,1))</x:f>
        <x:v>1</x:v>
      </x:c>
      <x:c r="G123" s="36" t="n">
        <x:f>IF(AND(Geometry!$E$11&gt;0,$I$25=0),'Deployment Work'!$E$11,IF(E123&lt;=Assumptions!$D$12,'Deployment Work'!$D$11,'Deployment Work'!$E$11))</x:f>
        <x:v>12</x:v>
      </x:c>
      <x:c r="H123" s="2" t="str">
        <x:f>IF(AND(F123&gt;=E123,G123&lt;=$E$25),"PASS","FAIL")</x:f>
        <x:v>PASS</x:v>
      </x:c>
      <x:c r="I123" s="2" t="str">
        <x:f>IF(AND(IF($K$25=0,TRUE,'Thermal Site'!$F$20&lt;=$K$25),IF($L$25=0,TRUE,'Thermal Site'!$G$20&gt;=$L$25),IF($M$25=0,TRUE,'Thermal Site'!$J$20&gt;=E123),IF($N$25=0,TRUE,'Thermal Site'!$K$20&gt;=E123)),"PASS","FAIL")</x:f>
        <x:v>PASS</x:v>
      </x:c>
      <x:c r="J123" s="2" t="str">
        <x:f>IF(AND(IF($O$25=0,TRUE,'Thermal Site'!$H$20&lt;=$O$25),IF($P$25=0,TRUE,'Thermal Site'!$I$20&gt;=$P$25),IF($S$25=0,TRUE,'Thermal Site'!$J$11&gt;=1),IF($T$25=0,TRUE,'Thermal Site'!$L$20="YES")),"PASS","FAIL")</x:f>
        <x:v>PASS</x:v>
      </x:c>
      <x:c r="K123" s="2" t="str">
        <x:f>IF(AND(IF($Q$25&lt;1,'Deployment Work'!$M$11&gt;=1,'Deployment Work'!$L$11&gt;=1),'Deployment Work'!$Y$11&lt;=$R$25),"PASS","FAIL")</x:f>
        <x:v>PASS</x:v>
      </x:c>
      <x:c r="L123" s="2" t="str">
        <x:f>IF(AND(H123="PASS",I123="PASS",J123="PASS",K123="PASS"),"PASS","FAIL")</x:f>
        <x:v>PASS</x:v>
      </x:c>
      <x:c r="M123" s="2"/>
      <x:c r="N123" s="2"/>
      <x:c r="O123" s="2"/>
      <x:c r="P123" s="2"/>
      <x:c r="Q123" s="2"/>
      <x:c r="R123" s="2"/>
      <x:c r="S123" s="2"/>
      <x:c r="T123" s="2"/>
      <x:c r="U123" s="2"/>
      <x:c r="V123" s="2"/>
      <x:c r="W123" s="2"/>
      <x:c r="X123" s="2"/>
      <x:c r="Y123" s="2"/>
      <x:c r="Z123" s="2"/>
    </x:row>
    <x:row r="124">
      <x:c r="A124" s="2"/>
      <x:c r="B124" s="2" t="str">
        <x:v>W17</x:v>
      </x:c>
      <x:c r="C124" s="2" t="str">
        <x:v>55 dBA public-boundary night operation</x:v>
      </x:c>
      <x:c r="D124" s="2" t="str">
        <x:v>G5</x:v>
      </x:c>
      <x:c r="E124" s="30" t="n">
        <x:f>$D$25</x:f>
        <x:v>1</x:v>
      </x:c>
      <x:c r="F124" s="30" t="n">
        <x:f>MIN(1,(Geometry!$E$12*$I$25+(1-Geometry!$E$12)*(Geometry!$O$12*$F$25+Geometry!$P$12*$G$25*IF($J$25=0,0,1)+Geometry!$Q$12*$H$25*IF($J$25=0,0,1)))*IF($U$25=1,'Deployment Work'!$X$12,1))</x:f>
        <x:v>1</x:v>
      </x:c>
      <x:c r="G124" s="36" t="n">
        <x:f>IF(AND(Geometry!$E$12&gt;0,$I$25=0),'Deployment Work'!$E$12,IF(E124&lt;=Assumptions!$D$12,'Deployment Work'!$D$12,'Deployment Work'!$E$12))</x:f>
        <x:v>46</x:v>
      </x:c>
      <x:c r="H124" s="2" t="str">
        <x:f>IF(AND(F124&gt;=E124,G124&lt;=$E$25),"PASS","FAIL")</x:f>
        <x:v>PASS</x:v>
      </x:c>
      <x:c r="I124" s="2" t="str">
        <x:f>IF(AND(IF($K$25=0,TRUE,'Thermal Site'!$F$21&lt;=$K$25),IF($L$25=0,TRUE,'Thermal Site'!$G$21&gt;=$L$25),IF($M$25=0,TRUE,'Thermal Site'!$J$21&gt;=E124),IF($N$25=0,TRUE,'Thermal Site'!$K$21&gt;=E124)),"PASS","FAIL")</x:f>
        <x:v>PASS</x:v>
      </x:c>
      <x:c r="J124" s="2" t="str">
        <x:f>IF(AND(IF($O$25=0,TRUE,'Thermal Site'!$H$21&lt;=$O$25),IF($P$25=0,TRUE,'Thermal Site'!$I$21&gt;=$P$25),IF($S$25=0,TRUE,'Thermal Site'!$J$12&gt;=1),IF($T$25=0,TRUE,'Thermal Site'!$L$21="YES")),"PASS","FAIL")</x:f>
        <x:v>FAIL</x:v>
      </x:c>
      <x:c r="K124" s="2" t="str">
        <x:f>IF(AND(IF($Q$25&lt;1,'Deployment Work'!$M$12&gt;=1,'Deployment Work'!$L$12&gt;=1),'Deployment Work'!$Y$12&lt;=$R$25),"PASS","FAIL")</x:f>
        <x:v>PASS</x:v>
      </x:c>
      <x:c r="L124" s="2" t="str">
        <x:f>IF(AND(H124="PASS",I124="PASS",J124="PASS",K124="PASS"),"PASS","FAIL")</x:f>
        <x:v>FAIL</x:v>
      </x:c>
      <x:c r="M124" s="2"/>
      <x:c r="N124" s="2"/>
      <x:c r="O124" s="2"/>
      <x:c r="P124" s="2"/>
      <x:c r="Q124" s="2"/>
      <x:c r="R124" s="2"/>
      <x:c r="S124" s="2"/>
      <x:c r="T124" s="2"/>
      <x:c r="U124" s="2"/>
      <x:c r="V124" s="2"/>
      <x:c r="W124" s="2"/>
      <x:c r="X124" s="2"/>
      <x:c r="Y124" s="2"/>
      <x:c r="Z124" s="2"/>
    </x:row>
    <x:row r="125">
      <x:c r="A125" s="2"/>
      <x:c r="B125" s="2" t="str">
        <x:v>W18</x:v>
      </x:c>
      <x:c r="C125" s="2" t="str">
        <x:v>occupied-site exhaust separation</x:v>
      </x:c>
      <x:c r="D125" s="2" t="str">
        <x:v>G1</x:v>
      </x:c>
      <x:c r="E125" s="30" t="n">
        <x:f>$D$26</x:f>
        <x:v>1</x:v>
      </x:c>
      <x:c r="F125" s="30" t="n">
        <x:f>MIN(1,(Geometry!$E$8*$I$26+(1-Geometry!$E$8)*(Geometry!$O$8*$F$26+Geometry!$P$8*$G$26+Geometry!$Q$8*$H$26))*IF($U$26=1,'Deployment Work'!$X$8,1))</x:f>
        <x:v>1</x:v>
      </x:c>
      <x:c r="G125" s="36" t="n">
        <x:f>IF(AND(Geometry!$E$8&gt;0,$I$26=0),'Deployment Work'!$E$8,IF(E125&lt;=Assumptions!$D$12,'Deployment Work'!$D$8,'Deployment Work'!$E$8))</x:f>
        <x:v>36</x:v>
      </x:c>
      <x:c r="H125" s="2" t="str">
        <x:f>IF(AND(F125&gt;=E125,G125&lt;=$E$26),"PASS","FAIL")</x:f>
        <x:v>PASS</x:v>
      </x:c>
      <x:c r="I125" s="2" t="str">
        <x:f>IF(AND(IF($K$26=0,TRUE,'Thermal Site'!$F$17&lt;=$K$26),IF($L$26=0,TRUE,'Thermal Site'!$G$17&gt;=$L$26),IF($M$26=0,TRUE,'Thermal Site'!$J$17&gt;=E125),IF($N$26=0,TRUE,'Thermal Site'!$K$17&gt;=E125)),"PASS","FAIL")</x:f>
        <x:v>PASS</x:v>
      </x:c>
      <x:c r="J125" s="2" t="str">
        <x:f>IF(AND(IF($O$26=0,TRUE,'Thermal Site'!$H$17&lt;=$O$26),IF($P$26=0,TRUE,'Thermal Site'!$I$17&gt;=$P$26),IF($S$26=0,TRUE,'Thermal Site'!$J$8&gt;=1),IF($T$26=0,TRUE,'Thermal Site'!$L$17="YES")),"PASS","FAIL")</x:f>
        <x:v>FAIL</x:v>
      </x:c>
      <x:c r="K125" s="2" t="str">
        <x:f>IF(AND(IF($Q$26&lt;1,'Deployment Work'!$M$8&gt;=1,'Deployment Work'!$L$8&gt;=1),'Deployment Work'!$Y$8&lt;=$R$26),"PASS","FAIL")</x:f>
        <x:v>PASS</x:v>
      </x:c>
      <x:c r="L125" s="2" t="str">
        <x:f>IF(AND(H125="PASS",I125="PASS",J125="PASS",K125="PASS"),"PASS","FAIL")</x:f>
        <x:v>FAIL</x:v>
      </x:c>
      <x:c r="M125" s="2"/>
      <x:c r="N125" s="2"/>
      <x:c r="O125" s="2"/>
      <x:c r="P125" s="2"/>
      <x:c r="Q125" s="2"/>
      <x:c r="R125" s="2"/>
      <x:c r="S125" s="2"/>
      <x:c r="T125" s="2"/>
      <x:c r="U125" s="2"/>
      <x:c r="V125" s="2"/>
      <x:c r="W125" s="2"/>
      <x:c r="X125" s="2"/>
      <x:c r="Y125" s="2"/>
      <x:c r="Z125" s="2"/>
    </x:row>
    <x:row r="126">
      <x:c r="A126" s="2"/>
      <x:c r="B126" s="2" t="str">
        <x:v>W18</x:v>
      </x:c>
      <x:c r="C126" s="2" t="str">
        <x:v>occupied-site exhaust separation</x:v>
      </x:c>
      <x:c r="D126" s="2" t="str">
        <x:v>G2</x:v>
      </x:c>
      <x:c r="E126" s="30" t="n">
        <x:f>$D$26</x:f>
        <x:v>1</x:v>
      </x:c>
      <x:c r="F126" s="30" t="n">
        <x:f>MIN(1,(Geometry!$E$9*$I$26+(1-Geometry!$E$9)*(Geometry!$O$9*$F$26+Geometry!$P$9*$G$26*IF($J$26=0,0,1)+Geometry!$Q$9*$H$26))*IF($U$26=1,'Deployment Work'!$X$9,1))</x:f>
        <x:v>1</x:v>
      </x:c>
      <x:c r="G126" s="36" t="n">
        <x:f>IF(AND(Geometry!$E$9&gt;0,$I$26=0),'Deployment Work'!$E$9,IF(E126&lt;=Assumptions!$D$12,'Deployment Work'!$D$9,'Deployment Work'!$E$9))</x:f>
        <x:v>44</x:v>
      </x:c>
      <x:c r="H126" s="2" t="str">
        <x:f>IF(AND(F126&gt;=E126,G126&lt;=$E$26),"PASS","FAIL")</x:f>
        <x:v>PASS</x:v>
      </x:c>
      <x:c r="I126" s="2" t="str">
        <x:f>IF(AND(IF($K$26=0,TRUE,'Thermal Site'!$F$18&lt;=$K$26),IF($L$26=0,TRUE,'Thermal Site'!$G$18&gt;=$L$26),IF($M$26=0,TRUE,'Thermal Site'!$J$18&gt;=E126),IF($N$26=0,TRUE,'Thermal Site'!$K$18&gt;=E126)),"PASS","FAIL")</x:f>
        <x:v>PASS</x:v>
      </x:c>
      <x:c r="J126" s="2" t="str">
        <x:f>IF(AND(IF($O$26=0,TRUE,'Thermal Site'!$H$18&lt;=$O$26),IF($P$26=0,TRUE,'Thermal Site'!$I$18&gt;=$P$26),IF($S$26=0,TRUE,'Thermal Site'!$J$9&gt;=1),IF($T$26=0,TRUE,'Thermal Site'!$L$18="YES")),"PASS","FAIL")</x:f>
        <x:v>PASS</x:v>
      </x:c>
      <x:c r="K126" s="2" t="str">
        <x:f>IF(AND(IF($Q$26&lt;1,'Deployment Work'!$M$9&gt;=1,'Deployment Work'!$L$9&gt;=1),'Deployment Work'!$Y$9&lt;=$R$26),"PASS","FAIL")</x:f>
        <x:v>PASS</x:v>
      </x:c>
      <x:c r="L126" s="2" t="str">
        <x:f>IF(AND(H126="PASS",I126="PASS",J126="PASS",K126="PASS"),"PASS","FAIL")</x:f>
        <x:v>PASS</x:v>
      </x:c>
      <x:c r="M126" s="2"/>
      <x:c r="N126" s="2"/>
      <x:c r="O126" s="2"/>
      <x:c r="P126" s="2"/>
      <x:c r="Q126" s="2"/>
      <x:c r="R126" s="2"/>
      <x:c r="S126" s="2"/>
      <x:c r="T126" s="2"/>
      <x:c r="U126" s="2"/>
      <x:c r="V126" s="2"/>
      <x:c r="W126" s="2"/>
      <x:c r="X126" s="2"/>
      <x:c r="Y126" s="2"/>
      <x:c r="Z126" s="2"/>
    </x:row>
    <x:row r="127">
      <x:c r="A127" s="2"/>
      <x:c r="B127" s="2" t="str">
        <x:v>W18</x:v>
      </x:c>
      <x:c r="C127" s="2" t="str">
        <x:v>occupied-site exhaust separation</x:v>
      </x:c>
      <x:c r="D127" s="2" t="str">
        <x:v>G3</x:v>
      </x:c>
      <x:c r="E127" s="30" t="n">
        <x:f>$D$26</x:f>
        <x:v>1</x:v>
      </x:c>
      <x:c r="F127" s="30" t="n">
        <x:f>MIN(1,(Geometry!$E$10*$I$26+(1-Geometry!$E$10)*(Geometry!$O$10*$F$26+Geometry!$P$10*$G$26+Geometry!$Q$10*$H$26))*IF($U$26=1,'Deployment Work'!$X$10,1))</x:f>
        <x:v>1</x:v>
      </x:c>
      <x:c r="G127" s="36" t="n">
        <x:f>IF(AND(Geometry!$E$10&gt;0,$I$26=0),'Deployment Work'!$E$10,IF(E127&lt;=Assumptions!$D$12,'Deployment Work'!$D$10,'Deployment Work'!$E$10))</x:f>
        <x:v>30</x:v>
      </x:c>
      <x:c r="H127" s="2" t="str">
        <x:f>IF(AND(F127&gt;=E127,G127&lt;=$E$26),"PASS","FAIL")</x:f>
        <x:v>PASS</x:v>
      </x:c>
      <x:c r="I127" s="2" t="str">
        <x:f>IF(AND(IF($K$26=0,TRUE,'Thermal Site'!$F$19&lt;=$K$26),IF($L$26=0,TRUE,'Thermal Site'!$G$19&gt;=$L$26),IF($M$26=0,TRUE,'Thermal Site'!$J$19&gt;=E127),IF($N$26=0,TRUE,'Thermal Site'!$K$19&gt;=E127)),"PASS","FAIL")</x:f>
        <x:v>PASS</x:v>
      </x:c>
      <x:c r="J127" s="2" t="str">
        <x:f>IF(AND(IF($O$26=0,TRUE,'Thermal Site'!$H$19&lt;=$O$26),IF($P$26=0,TRUE,'Thermal Site'!$I$19&gt;=$P$26),IF($S$26=0,TRUE,'Thermal Site'!$J$10&gt;=1),IF($T$26=0,TRUE,'Thermal Site'!$L$19="YES")),"PASS","FAIL")</x:f>
        <x:v>PASS</x:v>
      </x:c>
      <x:c r="K127" s="2" t="str">
        <x:f>IF(AND(IF($Q$26&lt;1,'Deployment Work'!$M$10&gt;=1,'Deployment Work'!$L$10&gt;=1),'Deployment Work'!$Y$10&lt;=$R$26),"PASS","FAIL")</x:f>
        <x:v>PASS</x:v>
      </x:c>
      <x:c r="L127" s="2" t="str">
        <x:f>IF(AND(H127="PASS",I127="PASS",J127="PASS",K127="PASS"),"PASS","FAIL")</x:f>
        <x:v>PASS</x:v>
      </x:c>
      <x:c r="M127" s="2"/>
      <x:c r="N127" s="2"/>
      <x:c r="O127" s="2"/>
      <x:c r="P127" s="2"/>
      <x:c r="Q127" s="2"/>
      <x:c r="R127" s="2"/>
      <x:c r="S127" s="2"/>
      <x:c r="T127" s="2"/>
      <x:c r="U127" s="2"/>
      <x:c r="V127" s="2"/>
      <x:c r="W127" s="2"/>
      <x:c r="X127" s="2"/>
      <x:c r="Y127" s="2"/>
      <x:c r="Z127" s="2"/>
    </x:row>
    <x:row r="128">
      <x:c r="A128" s="2"/>
      <x:c r="B128" s="2" t="str">
        <x:v>W18</x:v>
      </x:c>
      <x:c r="C128" s="2" t="str">
        <x:v>occupied-site exhaust separation</x:v>
      </x:c>
      <x:c r="D128" s="2" t="str">
        <x:v>G4</x:v>
      </x:c>
      <x:c r="E128" s="30" t="n">
        <x:f>$D$26</x:f>
        <x:v>1</x:v>
      </x:c>
      <x:c r="F128" s="30" t="n">
        <x:f>MIN(1,(Geometry!$E$11*$I$26+(1-Geometry!$E$11)*(Geometry!$O$11*$F$26+Geometry!$P$11*$G$26+Geometry!$Q$11*$H$26))*IF($U$26=1,'Deployment Work'!$X$11,1))</x:f>
        <x:v>1</x:v>
      </x:c>
      <x:c r="G128" s="36" t="n">
        <x:f>IF(AND(Geometry!$E$11&gt;0,$I$26=0),'Deployment Work'!$E$11,IF(E128&lt;=Assumptions!$D$12,'Deployment Work'!$D$11,'Deployment Work'!$E$11))</x:f>
        <x:v>12</x:v>
      </x:c>
      <x:c r="H128" s="2" t="str">
        <x:f>IF(AND(F128&gt;=E128,G128&lt;=$E$26),"PASS","FAIL")</x:f>
        <x:v>PASS</x:v>
      </x:c>
      <x:c r="I128" s="2" t="str">
        <x:f>IF(AND(IF($K$26=0,TRUE,'Thermal Site'!$F$20&lt;=$K$26),IF($L$26=0,TRUE,'Thermal Site'!$G$20&gt;=$L$26),IF($M$26=0,TRUE,'Thermal Site'!$J$20&gt;=E128),IF($N$26=0,TRUE,'Thermal Site'!$K$20&gt;=E128)),"PASS","FAIL")</x:f>
        <x:v>PASS</x:v>
      </x:c>
      <x:c r="J128" s="2" t="str">
        <x:f>IF(AND(IF($O$26=0,TRUE,'Thermal Site'!$H$20&lt;=$O$26),IF($P$26=0,TRUE,'Thermal Site'!$I$20&gt;=$P$26),IF($S$26=0,TRUE,'Thermal Site'!$J$11&gt;=1),IF($T$26=0,TRUE,'Thermal Site'!$L$20="YES")),"PASS","FAIL")</x:f>
        <x:v>PASS</x:v>
      </x:c>
      <x:c r="K128" s="2" t="str">
        <x:f>IF(AND(IF($Q$26&lt;1,'Deployment Work'!$M$11&gt;=1,'Deployment Work'!$L$11&gt;=1),'Deployment Work'!$Y$11&lt;=$R$26),"PASS","FAIL")</x:f>
        <x:v>PASS</x:v>
      </x:c>
      <x:c r="L128" s="2" t="str">
        <x:f>IF(AND(H128="PASS",I128="PASS",J128="PASS",K128="PASS"),"PASS","FAIL")</x:f>
        <x:v>PASS</x:v>
      </x:c>
      <x:c r="M128" s="2"/>
      <x:c r="N128" s="2"/>
      <x:c r="O128" s="2"/>
      <x:c r="P128" s="2"/>
      <x:c r="Q128" s="2"/>
      <x:c r="R128" s="2"/>
      <x:c r="S128" s="2"/>
      <x:c r="T128" s="2"/>
      <x:c r="U128" s="2"/>
      <x:c r="V128" s="2"/>
      <x:c r="W128" s="2"/>
      <x:c r="X128" s="2"/>
      <x:c r="Y128" s="2"/>
      <x:c r="Z128" s="2"/>
    </x:row>
    <x:row r="129">
      <x:c r="A129" s="2"/>
      <x:c r="B129" s="2" t="str">
        <x:v>W18</x:v>
      </x:c>
      <x:c r="C129" s="2" t="str">
        <x:v>occupied-site exhaust separation</x:v>
      </x:c>
      <x:c r="D129" s="2" t="str">
        <x:v>G5</x:v>
      </x:c>
      <x:c r="E129" s="30" t="n">
        <x:f>$D$26</x:f>
        <x:v>1</x:v>
      </x:c>
      <x:c r="F129" s="30" t="n">
        <x:f>MIN(1,(Geometry!$E$12*$I$26+(1-Geometry!$E$12)*(Geometry!$O$12*$F$26+Geometry!$P$12*$G$26*IF($J$26=0,0,1)+Geometry!$Q$12*$H$26*IF($J$26=0,0,1)))*IF($U$26=1,'Deployment Work'!$X$12,1))</x:f>
        <x:v>1</x:v>
      </x:c>
      <x:c r="G129" s="36" t="n">
        <x:f>IF(AND(Geometry!$E$12&gt;0,$I$26=0),'Deployment Work'!$E$12,IF(E129&lt;=Assumptions!$D$12,'Deployment Work'!$D$12,'Deployment Work'!$E$12))</x:f>
        <x:v>46</x:v>
      </x:c>
      <x:c r="H129" s="2" t="str">
        <x:f>IF(AND(F129&gt;=E129,G129&lt;=$E$26),"PASS","FAIL")</x:f>
        <x:v>PASS</x:v>
      </x:c>
      <x:c r="I129" s="2" t="str">
        <x:f>IF(AND(IF($K$26=0,TRUE,'Thermal Site'!$F$21&lt;=$K$26),IF($L$26=0,TRUE,'Thermal Site'!$G$21&gt;=$L$26),IF($M$26=0,TRUE,'Thermal Site'!$J$21&gt;=E129),IF($N$26=0,TRUE,'Thermal Site'!$K$21&gt;=E129)),"PASS","FAIL")</x:f>
        <x:v>PASS</x:v>
      </x:c>
      <x:c r="J129" s="2" t="str">
        <x:f>IF(AND(IF($O$26=0,TRUE,'Thermal Site'!$H$21&lt;=$O$26),IF($P$26=0,TRUE,'Thermal Site'!$I$21&gt;=$P$26),IF($S$26=0,TRUE,'Thermal Site'!$J$12&gt;=1),IF($T$26=0,TRUE,'Thermal Site'!$L$21="YES")),"PASS","FAIL")</x:f>
        <x:v>PASS</x:v>
      </x:c>
      <x:c r="K129" s="2" t="str">
        <x:f>IF(AND(IF($Q$26&lt;1,'Deployment Work'!$M$12&gt;=1,'Deployment Work'!$L$12&gt;=1),'Deployment Work'!$Y$12&lt;=$R$26),"PASS","FAIL")</x:f>
        <x:v>PASS</x:v>
      </x:c>
      <x:c r="L129" s="2" t="str">
        <x:f>IF(AND(H129="PASS",I129="PASS",J129="PASS",K129="PASS"),"PASS","FAIL")</x:f>
        <x:v>PASS</x:v>
      </x:c>
      <x:c r="M129" s="2"/>
      <x:c r="N129" s="2"/>
      <x:c r="O129" s="2"/>
      <x:c r="P129" s="2"/>
      <x:c r="Q129" s="2"/>
      <x:c r="R129" s="2"/>
      <x:c r="S129" s="2"/>
      <x:c r="T129" s="2"/>
      <x:c r="U129" s="2"/>
      <x:c r="V129" s="2"/>
      <x:c r="W129" s="2"/>
      <x:c r="X129" s="2"/>
      <x:c r="Y129" s="2"/>
      <x:c r="Z129" s="2"/>
    </x:row>
    <x:row r="130">
      <x:c r="A130" s="2"/>
      <x:c r="B130" s="2" t="str">
        <x:v>W19</x:v>
      </x:c>
      <x:c r="C130" s="2" t="str">
        <x:v>largest mobile packet unavailable</x:v>
      </x:c>
      <x:c r="D130" s="2" t="str">
        <x:v>G1</x:v>
      </x:c>
      <x:c r="E130" s="30" t="n">
        <x:f>$D$27</x:f>
        <x:v>0.4</x:v>
      </x:c>
      <x:c r="F130" s="30" t="n">
        <x:f>MIN(1,(Geometry!$E$8*$I$27+(1-Geometry!$E$8)*(Geometry!$O$8*$F$27+Geometry!$P$8*$G$27+Geometry!$Q$8*$H$27))*IF($U$27=1,'Deployment Work'!$X$8,1))</x:f>
        <x:v>0.667</x:v>
      </x:c>
      <x:c r="G130" s="36" t="n">
        <x:f>IF(AND(Geometry!$E$8&gt;0,$I$27=0),'Deployment Work'!$E$8,IF(E130&lt;=Assumptions!$D$12,'Deployment Work'!$D$8,'Deployment Work'!$E$8))</x:f>
        <x:v>12</x:v>
      </x:c>
      <x:c r="H130" s="2" t="str">
        <x:f>IF(AND(F130&gt;=E130,G130&lt;=$E$27),"PASS","FAIL")</x:f>
        <x:v>PASS</x:v>
      </x:c>
      <x:c r="I130" s="2" t="str">
        <x:f>IF(AND(IF($K$27=0,TRUE,'Thermal Site'!$F$17&lt;=$K$27),IF($L$27=0,TRUE,'Thermal Site'!$G$17&gt;=$L$27),IF($M$27=0,TRUE,'Thermal Site'!$J$17&gt;=E130),IF($N$27=0,TRUE,'Thermal Site'!$K$17&gt;=E130)),"PASS","FAIL")</x:f>
        <x:v>PASS</x:v>
      </x:c>
      <x:c r="J130" s="2" t="str">
        <x:f>IF(AND(IF($O$27=0,TRUE,'Thermal Site'!$H$17&lt;=$O$27),IF($P$27=0,TRUE,'Thermal Site'!$I$17&gt;=$P$27),IF($S$27=0,TRUE,'Thermal Site'!$J$8&gt;=1),IF($T$27=0,TRUE,'Thermal Site'!$L$17="YES")),"PASS","FAIL")</x:f>
        <x:v>PASS</x:v>
      </x:c>
      <x:c r="K130" s="2" t="str">
        <x:f>IF(AND(IF($Q$27&lt;1,'Deployment Work'!$M$8&gt;=1,'Deployment Work'!$L$8&gt;=1),'Deployment Work'!$Y$8&lt;=$R$27),"PASS","FAIL")</x:f>
        <x:v>PASS</x:v>
      </x:c>
      <x:c r="L130" s="2" t="str">
        <x:f>IF(AND(H130="PASS",I130="PASS",J130="PASS",K130="PASS"),"PASS","FAIL")</x:f>
        <x:v>PASS</x:v>
      </x:c>
      <x:c r="M130" s="2"/>
      <x:c r="N130" s="2"/>
      <x:c r="O130" s="2"/>
      <x:c r="P130" s="2"/>
      <x:c r="Q130" s="2"/>
      <x:c r="R130" s="2"/>
      <x:c r="S130" s="2"/>
      <x:c r="T130" s="2"/>
      <x:c r="U130" s="2"/>
      <x:c r="V130" s="2"/>
      <x:c r="W130" s="2"/>
      <x:c r="X130" s="2"/>
      <x:c r="Y130" s="2"/>
      <x:c r="Z130" s="2"/>
    </x:row>
    <x:row r="131">
      <x:c r="A131" s="2"/>
      <x:c r="B131" s="2" t="str">
        <x:v>W19</x:v>
      </x:c>
      <x:c r="C131" s="2" t="str">
        <x:v>largest mobile packet unavailable</x:v>
      </x:c>
      <x:c r="D131" s="2" t="str">
        <x:v>G2</x:v>
      </x:c>
      <x:c r="E131" s="30" t="n">
        <x:f>$D$27</x:f>
        <x:v>0.4</x:v>
      </x:c>
      <x:c r="F131" s="30" t="n">
        <x:f>MIN(1,(Geometry!$E$9*$I$27+(1-Geometry!$E$9)*(Geometry!$O$9*$F$27+Geometry!$P$9*$G$27*IF($J$27=0,0,1)+Geometry!$Q$9*$H$27))*IF($U$27=1,'Deployment Work'!$X$9,1))</x:f>
        <x:v>0.9</x:v>
      </x:c>
      <x:c r="G131" s="36" t="n">
        <x:f>IF(AND(Geometry!$E$9&gt;0,$I$27=0),'Deployment Work'!$E$9,IF(E131&lt;=Assumptions!$D$12,'Deployment Work'!$D$9,'Deployment Work'!$E$9))</x:f>
        <x:v>18</x:v>
      </x:c>
      <x:c r="H131" s="2" t="str">
        <x:f>IF(AND(F131&gt;=E131,G131&lt;=$E$27),"PASS","FAIL")</x:f>
        <x:v>PASS</x:v>
      </x:c>
      <x:c r="I131" s="2" t="str">
        <x:f>IF(AND(IF($K$27=0,TRUE,'Thermal Site'!$F$18&lt;=$K$27),IF($L$27=0,TRUE,'Thermal Site'!$G$18&gt;=$L$27),IF($M$27=0,TRUE,'Thermal Site'!$J$18&gt;=E131),IF($N$27=0,TRUE,'Thermal Site'!$K$18&gt;=E131)),"PASS","FAIL")</x:f>
        <x:v>PASS</x:v>
      </x:c>
      <x:c r="J131" s="2" t="str">
        <x:f>IF(AND(IF($O$27=0,TRUE,'Thermal Site'!$H$18&lt;=$O$27),IF($P$27=0,TRUE,'Thermal Site'!$I$18&gt;=$P$27),IF($S$27=0,TRUE,'Thermal Site'!$J$9&gt;=1),IF($T$27=0,TRUE,'Thermal Site'!$L$18="YES")),"PASS","FAIL")</x:f>
        <x:v>PASS</x:v>
      </x:c>
      <x:c r="K131" s="2" t="str">
        <x:f>IF(AND(IF($Q$27&lt;1,'Deployment Work'!$M$9&gt;=1,'Deployment Work'!$L$9&gt;=1),'Deployment Work'!$Y$9&lt;=$R$27),"PASS","FAIL")</x:f>
        <x:v>PASS</x:v>
      </x:c>
      <x:c r="L131" s="2" t="str">
        <x:f>IF(AND(H131="PASS",I131="PASS",J131="PASS",K131="PASS"),"PASS","FAIL")</x:f>
        <x:v>PASS</x:v>
      </x:c>
      <x:c r="M131" s="2"/>
      <x:c r="N131" s="2"/>
      <x:c r="O131" s="2"/>
      <x:c r="P131" s="2"/>
      <x:c r="Q131" s="2"/>
      <x:c r="R131" s="2"/>
      <x:c r="S131" s="2"/>
      <x:c r="T131" s="2"/>
      <x:c r="U131" s="2"/>
      <x:c r="V131" s="2"/>
      <x:c r="W131" s="2"/>
      <x:c r="X131" s="2"/>
      <x:c r="Y131" s="2"/>
      <x:c r="Z131" s="2"/>
    </x:row>
    <x:row r="132">
      <x:c r="A132" s="2"/>
      <x:c r="B132" s="2" t="str">
        <x:v>W19</x:v>
      </x:c>
      <x:c r="C132" s="2" t="str">
        <x:v>largest mobile packet unavailable</x:v>
      </x:c>
      <x:c r="D132" s="2" t="str">
        <x:v>G3</x:v>
      </x:c>
      <x:c r="E132" s="30" t="n">
        <x:f>$D$27</x:f>
        <x:v>0.4</x:v>
      </x:c>
      <x:c r="F132" s="30" t="n">
        <x:f>MIN(1,(Geometry!$E$10*$I$27+(1-Geometry!$E$10)*(Geometry!$O$10*$F$27+Geometry!$P$10*$G$27+Geometry!$Q$10*$H$27))*IF($U$27=1,'Deployment Work'!$X$10,1))</x:f>
        <x:v>0.7</x:v>
      </x:c>
      <x:c r="G132" s="36" t="n">
        <x:f>IF(AND(Geometry!$E$10&gt;0,$I$27=0),'Deployment Work'!$E$10,IF(E132&lt;=Assumptions!$D$12,'Deployment Work'!$D$10,'Deployment Work'!$E$10))</x:f>
        <x:v>14</x:v>
      </x:c>
      <x:c r="H132" s="2" t="str">
        <x:f>IF(AND(F132&gt;=E132,G132&lt;=$E$27),"PASS","FAIL")</x:f>
        <x:v>PASS</x:v>
      </x:c>
      <x:c r="I132" s="2" t="str">
        <x:f>IF(AND(IF($K$27=0,TRUE,'Thermal Site'!$F$19&lt;=$K$27),IF($L$27=0,TRUE,'Thermal Site'!$G$19&gt;=$L$27),IF($M$27=0,TRUE,'Thermal Site'!$J$19&gt;=E132),IF($N$27=0,TRUE,'Thermal Site'!$K$19&gt;=E132)),"PASS","FAIL")</x:f>
        <x:v>PASS</x:v>
      </x:c>
      <x:c r="J132" s="2" t="str">
        <x:f>IF(AND(IF($O$27=0,TRUE,'Thermal Site'!$H$19&lt;=$O$27),IF($P$27=0,TRUE,'Thermal Site'!$I$19&gt;=$P$27),IF($S$27=0,TRUE,'Thermal Site'!$J$10&gt;=1),IF($T$27=0,TRUE,'Thermal Site'!$L$19="YES")),"PASS","FAIL")</x:f>
        <x:v>PASS</x:v>
      </x:c>
      <x:c r="K132" s="2" t="str">
        <x:f>IF(AND(IF($Q$27&lt;1,'Deployment Work'!$M$10&gt;=1,'Deployment Work'!$L$10&gt;=1),'Deployment Work'!$Y$10&lt;=$R$27),"PASS","FAIL")</x:f>
        <x:v>PASS</x:v>
      </x:c>
      <x:c r="L132" s="2" t="str">
        <x:f>IF(AND(H132="PASS",I132="PASS",J132="PASS",K132="PASS"),"PASS","FAIL")</x:f>
        <x:v>PASS</x:v>
      </x:c>
      <x:c r="M132" s="2"/>
      <x:c r="N132" s="2"/>
      <x:c r="O132" s="2"/>
      <x:c r="P132" s="2"/>
      <x:c r="Q132" s="2"/>
      <x:c r="R132" s="2"/>
      <x:c r="S132" s="2"/>
      <x:c r="T132" s="2"/>
      <x:c r="U132" s="2"/>
      <x:c r="V132" s="2"/>
      <x:c r="W132" s="2"/>
      <x:c r="X132" s="2"/>
      <x:c r="Y132" s="2"/>
      <x:c r="Z132" s="2"/>
    </x:row>
    <x:row r="133">
      <x:c r="A133" s="2"/>
      <x:c r="B133" s="2" t="str">
        <x:v>W19</x:v>
      </x:c>
      <x:c r="C133" s="2" t="str">
        <x:v>largest mobile packet unavailable</x:v>
      </x:c>
      <x:c r="D133" s="2" t="str">
        <x:v>G4</x:v>
      </x:c>
      <x:c r="E133" s="30" t="n">
        <x:f>$D$27</x:f>
        <x:v>0.4</x:v>
      </x:c>
      <x:c r="F133" s="30" t="n">
        <x:f>MIN(1,(Geometry!$E$11*$I$27+(1-Geometry!$E$11)*(Geometry!$O$11*$F$27+Geometry!$P$11*$G$27+Geometry!$Q$11*$H$27))*IF($U$27=1,'Deployment Work'!$X$11,1))</x:f>
        <x:v>0.88</x:v>
      </x:c>
      <x:c r="G133" s="36" t="n">
        <x:f>IF(AND(Geometry!$E$11&gt;0,$I$27=0),'Deployment Work'!$E$11,IF(E133&lt;=Assumptions!$D$12,'Deployment Work'!$D$11,'Deployment Work'!$E$11))</x:f>
        <x:v>2</x:v>
      </x:c>
      <x:c r="H133" s="2" t="str">
        <x:f>IF(AND(F133&gt;=E133,G133&lt;=$E$27),"PASS","FAIL")</x:f>
        <x:v>PASS</x:v>
      </x:c>
      <x:c r="I133" s="2" t="str">
        <x:f>IF(AND(IF($K$27=0,TRUE,'Thermal Site'!$F$20&lt;=$K$27),IF($L$27=0,TRUE,'Thermal Site'!$G$20&gt;=$L$27),IF($M$27=0,TRUE,'Thermal Site'!$J$20&gt;=E133),IF($N$27=0,TRUE,'Thermal Site'!$K$20&gt;=E133)),"PASS","FAIL")</x:f>
        <x:v>PASS</x:v>
      </x:c>
      <x:c r="J133" s="2" t="str">
        <x:f>IF(AND(IF($O$27=0,TRUE,'Thermal Site'!$H$20&lt;=$O$27),IF($P$27=0,TRUE,'Thermal Site'!$I$20&gt;=$P$27),IF($S$27=0,TRUE,'Thermal Site'!$J$11&gt;=1),IF($T$27=0,TRUE,'Thermal Site'!$L$20="YES")),"PASS","FAIL")</x:f>
        <x:v>PASS</x:v>
      </x:c>
      <x:c r="K133" s="2" t="str">
        <x:f>IF(AND(IF($Q$27&lt;1,'Deployment Work'!$M$11&gt;=1,'Deployment Work'!$L$11&gt;=1),'Deployment Work'!$Y$11&lt;=$R$27),"PASS","FAIL")</x:f>
        <x:v>PASS</x:v>
      </x:c>
      <x:c r="L133" s="2" t="str">
        <x:f>IF(AND(H133="PASS",I133="PASS",J133="PASS",K133="PASS"),"PASS","FAIL")</x:f>
        <x:v>PASS</x:v>
      </x:c>
      <x:c r="M133" s="2"/>
      <x:c r="N133" s="2"/>
      <x:c r="O133" s="2"/>
      <x:c r="P133" s="2"/>
      <x:c r="Q133" s="2"/>
      <x:c r="R133" s="2"/>
      <x:c r="S133" s="2"/>
      <x:c r="T133" s="2"/>
      <x:c r="U133" s="2"/>
      <x:c r="V133" s="2"/>
      <x:c r="W133" s="2"/>
      <x:c r="X133" s="2"/>
      <x:c r="Y133" s="2"/>
      <x:c r="Z133" s="2"/>
    </x:row>
    <x:row r="134">
      <x:c r="A134" s="2"/>
      <x:c r="B134" s="2" t="str">
        <x:v>W19</x:v>
      </x:c>
      <x:c r="C134" s="2" t="str">
        <x:v>largest mobile packet unavailable</x:v>
      </x:c>
      <x:c r="D134" s="2" t="str">
        <x:v>G5</x:v>
      </x:c>
      <x:c r="E134" s="30" t="n">
        <x:f>$D$27</x:f>
        <x:v>0.4</x:v>
      </x:c>
      <x:c r="F134" s="30" t="n">
        <x:f>MIN(1,(Geometry!$E$12*$I$27+(1-Geometry!$E$12)*(Geometry!$O$12*$F$27+Geometry!$P$12*$G$27*IF($J$27=0,0,1)+Geometry!$Q$12*$H$27*IF($J$27=0,0,1)))*IF($U$27=1,'Deployment Work'!$X$12,1))</x:f>
        <x:v>0.6</x:v>
      </x:c>
      <x:c r="G134" s="36" t="n">
        <x:f>IF(AND(Geometry!$E$12&gt;0,$I$27=0),'Deployment Work'!$E$12,IF(E134&lt;=Assumptions!$D$12,'Deployment Work'!$D$12,'Deployment Work'!$E$12))</x:f>
        <x:v>10</x:v>
      </x:c>
      <x:c r="H134" s="2" t="str">
        <x:f>IF(AND(F134&gt;=E134,G134&lt;=$E$27),"PASS","FAIL")</x:f>
        <x:v>PASS</x:v>
      </x:c>
      <x:c r="I134" s="2" t="str">
        <x:f>IF(AND(IF($K$27=0,TRUE,'Thermal Site'!$F$21&lt;=$K$27),IF($L$27=0,TRUE,'Thermal Site'!$G$21&gt;=$L$27),IF($M$27=0,TRUE,'Thermal Site'!$J$21&gt;=E134),IF($N$27=0,TRUE,'Thermal Site'!$K$21&gt;=E134)),"PASS","FAIL")</x:f>
        <x:v>PASS</x:v>
      </x:c>
      <x:c r="J134" s="2" t="str">
        <x:f>IF(AND(IF($O$27=0,TRUE,'Thermal Site'!$H$21&lt;=$O$27),IF($P$27=0,TRUE,'Thermal Site'!$I$21&gt;=$P$27),IF($S$27=0,TRUE,'Thermal Site'!$J$12&gt;=1),IF($T$27=0,TRUE,'Thermal Site'!$L$21="YES")),"PASS","FAIL")</x:f>
        <x:v>PASS</x:v>
      </x:c>
      <x:c r="K134" s="2" t="str">
        <x:f>IF(AND(IF($Q$27&lt;1,'Deployment Work'!$M$12&gt;=1,'Deployment Work'!$L$12&gt;=1),'Deployment Work'!$Y$12&lt;=$R$27),"PASS","FAIL")</x:f>
        <x:v>PASS</x:v>
      </x:c>
      <x:c r="L134" s="2" t="str">
        <x:f>IF(AND(H134="PASS",I134="PASS",J134="PASS",K134="PASS"),"PASS","FAIL")</x:f>
        <x:v>PASS</x:v>
      </x:c>
      <x:c r="M134" s="2"/>
      <x:c r="N134" s="2"/>
      <x:c r="O134" s="2"/>
      <x:c r="P134" s="2"/>
      <x:c r="Q134" s="2"/>
      <x:c r="R134" s="2"/>
      <x:c r="S134" s="2"/>
      <x:c r="T134" s="2"/>
      <x:c r="U134" s="2"/>
      <x:c r="V134" s="2"/>
      <x:c r="W134" s="2"/>
      <x:c r="X134" s="2"/>
      <x:c r="Y134" s="2"/>
      <x:c r="Z134" s="2"/>
    </x:row>
    <x:row r="135">
      <x:c r="A135" s="2"/>
      <x:c r="B135" s="2" t="str">
        <x:v>W20</x:v>
      </x:c>
      <x:c r="C135" s="2" t="str">
        <x:v>twenty-five-percent setup-crew loss</x:v>
      </x:c>
      <x:c r="D135" s="2" t="str">
        <x:v>G1</x:v>
      </x:c>
      <x:c r="E135" s="30" t="n">
        <x:f>$D$28</x:f>
        <x:v>1</x:v>
      </x:c>
      <x:c r="F135" s="30" t="n">
        <x:f>MIN(1,(Geometry!$E$8*$I$28+(1-Geometry!$E$8)*(Geometry!$O$8*$F$28+Geometry!$P$8*$G$28+Geometry!$Q$8*$H$28))*IF($U$28=1,'Deployment Work'!$X$8,1))</x:f>
        <x:v>1</x:v>
      </x:c>
      <x:c r="G135" s="36" t="n">
        <x:f>IF(AND(Geometry!$E$8&gt;0,$I$28=0),'Deployment Work'!$E$8,IF(E135&lt;=Assumptions!$D$12,'Deployment Work'!$D$8,'Deployment Work'!$E$8))</x:f>
        <x:v>36</x:v>
      </x:c>
      <x:c r="H135" s="2" t="str">
        <x:f>IF(AND(F135&gt;=E135,G135&lt;=$E$28),"PASS","FAIL")</x:f>
        <x:v>PASS</x:v>
      </x:c>
      <x:c r="I135" s="2" t="str">
        <x:f>IF(AND(IF($K$28=0,TRUE,'Thermal Site'!$F$17&lt;=$K$28),IF($L$28=0,TRUE,'Thermal Site'!$G$17&gt;=$L$28),IF($M$28=0,TRUE,'Thermal Site'!$J$17&gt;=E135),IF($N$28=0,TRUE,'Thermal Site'!$K$17&gt;=E135)),"PASS","FAIL")</x:f>
        <x:v>PASS</x:v>
      </x:c>
      <x:c r="J135" s="2" t="str">
        <x:f>IF(AND(IF($O$28=0,TRUE,'Thermal Site'!$H$17&lt;=$O$28),IF($P$28=0,TRUE,'Thermal Site'!$I$17&gt;=$P$28),IF($S$28=0,TRUE,'Thermal Site'!$J$8&gt;=1),IF($T$28=0,TRUE,'Thermal Site'!$L$17="YES")),"PASS","FAIL")</x:f>
        <x:v>PASS</x:v>
      </x:c>
      <x:c r="K135" s="2" t="str">
        <x:f>IF(AND(IF($Q$28&lt;1,'Deployment Work'!$M$8&gt;=1,'Deployment Work'!$L$8&gt;=1),'Deployment Work'!$Y$8&lt;=$R$28),"PASS","FAIL")</x:f>
        <x:v>FAIL</x:v>
      </x:c>
      <x:c r="L135" s="2" t="str">
        <x:f>IF(AND(H135="PASS",I135="PASS",J135="PASS",K135="PASS"),"PASS","FAIL")</x:f>
        <x:v>FAIL</x:v>
      </x:c>
      <x:c r="M135" s="2"/>
      <x:c r="N135" s="2"/>
      <x:c r="O135" s="2"/>
      <x:c r="P135" s="2"/>
      <x:c r="Q135" s="2"/>
      <x:c r="R135" s="2"/>
      <x:c r="S135" s="2"/>
      <x:c r="T135" s="2"/>
      <x:c r="U135" s="2"/>
      <x:c r="V135" s="2"/>
      <x:c r="W135" s="2"/>
      <x:c r="X135" s="2"/>
      <x:c r="Y135" s="2"/>
      <x:c r="Z135" s="2"/>
    </x:row>
    <x:row r="136">
      <x:c r="A136" s="2"/>
      <x:c r="B136" s="2" t="str">
        <x:v>W20</x:v>
      </x:c>
      <x:c r="C136" s="2" t="str">
        <x:v>twenty-five-percent setup-crew loss</x:v>
      </x:c>
      <x:c r="D136" s="2" t="str">
        <x:v>G2</x:v>
      </x:c>
      <x:c r="E136" s="30" t="n">
        <x:f>$D$28</x:f>
        <x:v>1</x:v>
      </x:c>
      <x:c r="F136" s="30" t="n">
        <x:f>MIN(1,(Geometry!$E$9*$I$28+(1-Geometry!$E$9)*(Geometry!$O$9*$F$28+Geometry!$P$9*$G$28*IF($J$28=0,0,1)+Geometry!$Q$9*$H$28))*IF($U$28=1,'Deployment Work'!$X$9,1))</x:f>
        <x:v>1</x:v>
      </x:c>
      <x:c r="G136" s="36" t="n">
        <x:f>IF(AND(Geometry!$E$9&gt;0,$I$28=0),'Deployment Work'!$E$9,IF(E136&lt;=Assumptions!$D$12,'Deployment Work'!$D$9,'Deployment Work'!$E$9))</x:f>
        <x:v>44</x:v>
      </x:c>
      <x:c r="H136" s="2" t="str">
        <x:f>IF(AND(F136&gt;=E136,G136&lt;=$E$28),"PASS","FAIL")</x:f>
        <x:v>PASS</x:v>
      </x:c>
      <x:c r="I136" s="2" t="str">
        <x:f>IF(AND(IF($K$28=0,TRUE,'Thermal Site'!$F$18&lt;=$K$28),IF($L$28=0,TRUE,'Thermal Site'!$G$18&gt;=$L$28),IF($M$28=0,TRUE,'Thermal Site'!$J$18&gt;=E136),IF($N$28=0,TRUE,'Thermal Site'!$K$18&gt;=E136)),"PASS","FAIL")</x:f>
        <x:v>PASS</x:v>
      </x:c>
      <x:c r="J136" s="2" t="str">
        <x:f>IF(AND(IF($O$28=0,TRUE,'Thermal Site'!$H$18&lt;=$O$28),IF($P$28=0,TRUE,'Thermal Site'!$I$18&gt;=$P$28),IF($S$28=0,TRUE,'Thermal Site'!$J$9&gt;=1),IF($T$28=0,TRUE,'Thermal Site'!$L$18="YES")),"PASS","FAIL")</x:f>
        <x:v>PASS</x:v>
      </x:c>
      <x:c r="K136" s="2" t="str">
        <x:f>IF(AND(IF($Q$28&lt;1,'Deployment Work'!$M$9&gt;=1,'Deployment Work'!$L$9&gt;=1),'Deployment Work'!$Y$9&lt;=$R$28),"PASS","FAIL")</x:f>
        <x:v>FAIL</x:v>
      </x:c>
      <x:c r="L136" s="2" t="str">
        <x:f>IF(AND(H136="PASS",I136="PASS",J136="PASS",K136="PASS"),"PASS","FAIL")</x:f>
        <x:v>FAIL</x:v>
      </x:c>
      <x:c r="M136" s="2"/>
      <x:c r="N136" s="2"/>
      <x:c r="O136" s="2"/>
      <x:c r="P136" s="2"/>
      <x:c r="Q136" s="2"/>
      <x:c r="R136" s="2"/>
      <x:c r="S136" s="2"/>
      <x:c r="T136" s="2"/>
      <x:c r="U136" s="2"/>
      <x:c r="V136" s="2"/>
      <x:c r="W136" s="2"/>
      <x:c r="X136" s="2"/>
      <x:c r="Y136" s="2"/>
      <x:c r="Z136" s="2"/>
    </x:row>
    <x:row r="137">
      <x:c r="A137" s="2"/>
      <x:c r="B137" s="2" t="str">
        <x:v>W20</x:v>
      </x:c>
      <x:c r="C137" s="2" t="str">
        <x:v>twenty-five-percent setup-crew loss</x:v>
      </x:c>
      <x:c r="D137" s="2" t="str">
        <x:v>G3</x:v>
      </x:c>
      <x:c r="E137" s="30" t="n">
        <x:f>$D$28</x:f>
        <x:v>1</x:v>
      </x:c>
      <x:c r="F137" s="30" t="n">
        <x:f>MIN(1,(Geometry!$E$10*$I$28+(1-Geometry!$E$10)*(Geometry!$O$10*$F$28+Geometry!$P$10*$G$28+Geometry!$Q$10*$H$28))*IF($U$28=1,'Deployment Work'!$X$10,1))</x:f>
        <x:v>1</x:v>
      </x:c>
      <x:c r="G137" s="36" t="n">
        <x:f>IF(AND(Geometry!$E$10&gt;0,$I$28=0),'Deployment Work'!$E$10,IF(E137&lt;=Assumptions!$D$12,'Deployment Work'!$D$10,'Deployment Work'!$E$10))</x:f>
        <x:v>30</x:v>
      </x:c>
      <x:c r="H137" s="2" t="str">
        <x:f>IF(AND(F137&gt;=E137,G137&lt;=$E$28),"PASS","FAIL")</x:f>
        <x:v>PASS</x:v>
      </x:c>
      <x:c r="I137" s="2" t="str">
        <x:f>IF(AND(IF($K$28=0,TRUE,'Thermal Site'!$F$19&lt;=$K$28),IF($L$28=0,TRUE,'Thermal Site'!$G$19&gt;=$L$28),IF($M$28=0,TRUE,'Thermal Site'!$J$19&gt;=E137),IF($N$28=0,TRUE,'Thermal Site'!$K$19&gt;=E137)),"PASS","FAIL")</x:f>
        <x:v>PASS</x:v>
      </x:c>
      <x:c r="J137" s="2" t="str">
        <x:f>IF(AND(IF($O$28=0,TRUE,'Thermal Site'!$H$19&lt;=$O$28),IF($P$28=0,TRUE,'Thermal Site'!$I$19&gt;=$P$28),IF($S$28=0,TRUE,'Thermal Site'!$J$10&gt;=1),IF($T$28=0,TRUE,'Thermal Site'!$L$19="YES")),"PASS","FAIL")</x:f>
        <x:v>PASS</x:v>
      </x:c>
      <x:c r="K137" s="2" t="str">
        <x:f>IF(AND(IF($Q$28&lt;1,'Deployment Work'!$M$10&gt;=1,'Deployment Work'!$L$10&gt;=1),'Deployment Work'!$Y$10&lt;=$R$28),"PASS","FAIL")</x:f>
        <x:v>FAIL</x:v>
      </x:c>
      <x:c r="L137" s="2" t="str">
        <x:f>IF(AND(H137="PASS",I137="PASS",J137="PASS",K137="PASS"),"PASS","FAIL")</x:f>
        <x:v>FAIL</x:v>
      </x:c>
      <x:c r="M137" s="2"/>
      <x:c r="N137" s="2"/>
      <x:c r="O137" s="2"/>
      <x:c r="P137" s="2"/>
      <x:c r="Q137" s="2"/>
      <x:c r="R137" s="2"/>
      <x:c r="S137" s="2"/>
      <x:c r="T137" s="2"/>
      <x:c r="U137" s="2"/>
      <x:c r="V137" s="2"/>
      <x:c r="W137" s="2"/>
      <x:c r="X137" s="2"/>
      <x:c r="Y137" s="2"/>
      <x:c r="Z137" s="2"/>
    </x:row>
    <x:row r="138">
      <x:c r="A138" s="2"/>
      <x:c r="B138" s="2" t="str">
        <x:v>W20</x:v>
      </x:c>
      <x:c r="C138" s="2" t="str">
        <x:v>twenty-five-percent setup-crew loss</x:v>
      </x:c>
      <x:c r="D138" s="2" t="str">
        <x:v>G4</x:v>
      </x:c>
      <x:c r="E138" s="30" t="n">
        <x:f>$D$28</x:f>
        <x:v>1</x:v>
      </x:c>
      <x:c r="F138" s="30" t="n">
        <x:f>MIN(1,(Geometry!$E$11*$I$28+(1-Geometry!$E$11)*(Geometry!$O$11*$F$28+Geometry!$P$11*$G$28+Geometry!$Q$11*$H$28))*IF($U$28=1,'Deployment Work'!$X$11,1))</x:f>
        <x:v>1</x:v>
      </x:c>
      <x:c r="G138" s="36" t="n">
        <x:f>IF(AND(Geometry!$E$11&gt;0,$I$28=0),'Deployment Work'!$E$11,IF(E138&lt;=Assumptions!$D$12,'Deployment Work'!$D$11,'Deployment Work'!$E$11))</x:f>
        <x:v>12</x:v>
      </x:c>
      <x:c r="H138" s="2" t="str">
        <x:f>IF(AND(F138&gt;=E138,G138&lt;=$E$28),"PASS","FAIL")</x:f>
        <x:v>PASS</x:v>
      </x:c>
      <x:c r="I138" s="2" t="str">
        <x:f>IF(AND(IF($K$28=0,TRUE,'Thermal Site'!$F$20&lt;=$K$28),IF($L$28=0,TRUE,'Thermal Site'!$G$20&gt;=$L$28),IF($M$28=0,TRUE,'Thermal Site'!$J$20&gt;=E138),IF($N$28=0,TRUE,'Thermal Site'!$K$20&gt;=E138)),"PASS","FAIL")</x:f>
        <x:v>PASS</x:v>
      </x:c>
      <x:c r="J138" s="2" t="str">
        <x:f>IF(AND(IF($O$28=0,TRUE,'Thermal Site'!$H$20&lt;=$O$28),IF($P$28=0,TRUE,'Thermal Site'!$I$20&gt;=$P$28),IF($S$28=0,TRUE,'Thermal Site'!$J$11&gt;=1),IF($T$28=0,TRUE,'Thermal Site'!$L$20="YES")),"PASS","FAIL")</x:f>
        <x:v>PASS</x:v>
      </x:c>
      <x:c r="K138" s="2" t="str">
        <x:f>IF(AND(IF($Q$28&lt;1,'Deployment Work'!$M$11&gt;=1,'Deployment Work'!$L$11&gt;=1),'Deployment Work'!$Y$11&lt;=$R$28),"PASS","FAIL")</x:f>
        <x:v>PASS</x:v>
      </x:c>
      <x:c r="L138" s="2" t="str">
        <x:f>IF(AND(H138="PASS",I138="PASS",J138="PASS",K138="PASS"),"PASS","FAIL")</x:f>
        <x:v>PASS</x:v>
      </x:c>
      <x:c r="M138" s="2"/>
      <x:c r="N138" s="2"/>
      <x:c r="O138" s="2"/>
      <x:c r="P138" s="2"/>
      <x:c r="Q138" s="2"/>
      <x:c r="R138" s="2"/>
      <x:c r="S138" s="2"/>
      <x:c r="T138" s="2"/>
      <x:c r="U138" s="2"/>
      <x:c r="V138" s="2"/>
      <x:c r="W138" s="2"/>
      <x:c r="X138" s="2"/>
      <x:c r="Y138" s="2"/>
      <x:c r="Z138" s="2"/>
    </x:row>
    <x:row r="139">
      <x:c r="A139" s="2"/>
      <x:c r="B139" s="2" t="str">
        <x:v>W20</x:v>
      </x:c>
      <x:c r="C139" s="2" t="str">
        <x:v>twenty-five-percent setup-crew loss</x:v>
      </x:c>
      <x:c r="D139" s="2" t="str">
        <x:v>G5</x:v>
      </x:c>
      <x:c r="E139" s="30" t="n">
        <x:f>$D$28</x:f>
        <x:v>1</x:v>
      </x:c>
      <x:c r="F139" s="30" t="n">
        <x:f>MIN(1,(Geometry!$E$12*$I$28+(1-Geometry!$E$12)*(Geometry!$O$12*$F$28+Geometry!$P$12*$G$28*IF($J$28=0,0,1)+Geometry!$Q$12*$H$28*IF($J$28=0,0,1)))*IF($U$28=1,'Deployment Work'!$X$12,1))</x:f>
        <x:v>1</x:v>
      </x:c>
      <x:c r="G139" s="36" t="n">
        <x:f>IF(AND(Geometry!$E$12&gt;0,$I$28=0),'Deployment Work'!$E$12,IF(E139&lt;=Assumptions!$D$12,'Deployment Work'!$D$12,'Deployment Work'!$E$12))</x:f>
        <x:v>46</x:v>
      </x:c>
      <x:c r="H139" s="2" t="str">
        <x:f>IF(AND(F139&gt;=E139,G139&lt;=$E$28),"PASS","FAIL")</x:f>
        <x:v>PASS</x:v>
      </x:c>
      <x:c r="I139" s="2" t="str">
        <x:f>IF(AND(IF($K$28=0,TRUE,'Thermal Site'!$F$21&lt;=$K$28),IF($L$28=0,TRUE,'Thermal Site'!$G$21&gt;=$L$28),IF($M$28=0,TRUE,'Thermal Site'!$J$21&gt;=E139),IF($N$28=0,TRUE,'Thermal Site'!$K$21&gt;=E139)),"PASS","FAIL")</x:f>
        <x:v>PASS</x:v>
      </x:c>
      <x:c r="J139" s="2" t="str">
        <x:f>IF(AND(IF($O$28=0,TRUE,'Thermal Site'!$H$21&lt;=$O$28),IF($P$28=0,TRUE,'Thermal Site'!$I$21&gt;=$P$28),IF($S$28=0,TRUE,'Thermal Site'!$J$12&gt;=1),IF($T$28=0,TRUE,'Thermal Site'!$L$21="YES")),"PASS","FAIL")</x:f>
        <x:v>PASS</x:v>
      </x:c>
      <x:c r="K139" s="2" t="str">
        <x:f>IF(AND(IF($Q$28&lt;1,'Deployment Work'!$M$12&gt;=1,'Deployment Work'!$L$12&gt;=1),'Deployment Work'!$Y$12&lt;=$R$28),"PASS","FAIL")</x:f>
        <x:v>FAIL</x:v>
      </x:c>
      <x:c r="L139" s="2" t="str">
        <x:f>IF(AND(H139="PASS",I139="PASS",J139="PASS",K139="PASS"),"PASS","FAIL")</x:f>
        <x:v>FAIL</x:v>
      </x:c>
      <x:c r="M139" s="2"/>
      <x:c r="N139" s="2"/>
      <x:c r="O139" s="2"/>
      <x:c r="P139" s="2"/>
      <x:c r="Q139" s="2"/>
      <x:c r="R139" s="2"/>
      <x:c r="S139" s="2"/>
      <x:c r="T139" s="2"/>
      <x:c r="U139" s="2"/>
      <x:c r="V139" s="2"/>
      <x:c r="W139" s="2"/>
      <x:c r="X139" s="2"/>
      <x:c r="Y139" s="2"/>
      <x:c r="Z139" s="2"/>
    </x:row>
    <x:row r="140">
      <x:c r="A140" s="2"/>
      <x:c r="B140" s="2" t="str">
        <x:v>W21</x:v>
      </x:c>
      <x:c r="C140" s="2" t="str">
        <x:v>second mission after three-day reset</x:v>
      </x:c>
      <x:c r="D140" s="2" t="str">
        <x:v>G1</x:v>
      </x:c>
      <x:c r="E140" s="30" t="n">
        <x:f>$D$29</x:f>
        <x:v>1</x:v>
      </x:c>
      <x:c r="F140" s="30" t="n">
        <x:f>MIN(1,(Geometry!$E$8*$I$29+(1-Geometry!$E$8)*(Geometry!$O$8*$F$29+Geometry!$P$8*$G$29+Geometry!$Q$8*$H$29))*IF($U$29=1,'Deployment Work'!$X$8,1))</x:f>
        <x:v>1</x:v>
      </x:c>
      <x:c r="G140" s="36" t="n">
        <x:f>IF(AND(Geometry!$E$8&gt;0,$I$29=0),'Deployment Work'!$E$8,IF(E140&lt;=Assumptions!$D$12,'Deployment Work'!$D$8,'Deployment Work'!$E$8))</x:f>
        <x:v>36</x:v>
      </x:c>
      <x:c r="H140" s="2" t="str">
        <x:f>IF(AND(F140&gt;=E140,G140&lt;=$E$29),"PASS","FAIL")</x:f>
        <x:v>PASS</x:v>
      </x:c>
      <x:c r="I140" s="2" t="str">
        <x:f>IF(AND(IF($K$29=0,TRUE,'Thermal Site'!$F$17&lt;=$K$29),IF($L$29=0,TRUE,'Thermal Site'!$G$17&gt;=$L$29),IF($M$29=0,TRUE,'Thermal Site'!$J$17&gt;=E140),IF($N$29=0,TRUE,'Thermal Site'!$K$17&gt;=E140)),"PASS","FAIL")</x:f>
        <x:v>PASS</x:v>
      </x:c>
      <x:c r="J140" s="2" t="str">
        <x:f>IF(AND(IF($O$29=0,TRUE,'Thermal Site'!$H$17&lt;=$O$29),IF($P$29=0,TRUE,'Thermal Site'!$I$17&gt;=$P$29),IF($S$29=0,TRUE,'Thermal Site'!$J$8&gt;=1),IF($T$29=0,TRUE,'Thermal Site'!$L$17="YES")),"PASS","FAIL")</x:f>
        <x:v>PASS</x:v>
      </x:c>
      <x:c r="K140" s="2" t="str">
        <x:f>IF(AND(IF($Q$29&lt;1,'Deployment Work'!$M$8&gt;=1,'Deployment Work'!$L$8&gt;=1),'Deployment Work'!$Y$8&lt;=$R$29),"PASS","FAIL")</x:f>
        <x:v>FAIL</x:v>
      </x:c>
      <x:c r="L140" s="2" t="str">
        <x:f>IF(AND(H140="PASS",I140="PASS",J140="PASS",K140="PASS"),"PASS","FAIL")</x:f>
        <x:v>FAIL</x:v>
      </x:c>
      <x:c r="M140" s="2"/>
      <x:c r="N140" s="2"/>
      <x:c r="O140" s="2"/>
      <x:c r="P140" s="2"/>
      <x:c r="Q140" s="2"/>
      <x:c r="R140" s="2"/>
      <x:c r="S140" s="2"/>
      <x:c r="T140" s="2"/>
      <x:c r="U140" s="2"/>
      <x:c r="V140" s="2"/>
      <x:c r="W140" s="2"/>
      <x:c r="X140" s="2"/>
      <x:c r="Y140" s="2"/>
      <x:c r="Z140" s="2"/>
    </x:row>
    <x:row r="141">
      <x:c r="A141" s="2"/>
      <x:c r="B141" s="2" t="str">
        <x:v>W21</x:v>
      </x:c>
      <x:c r="C141" s="2" t="str">
        <x:v>second mission after three-day reset</x:v>
      </x:c>
      <x:c r="D141" s="2" t="str">
        <x:v>G2</x:v>
      </x:c>
      <x:c r="E141" s="30" t="n">
        <x:f>$D$29</x:f>
        <x:v>1</x:v>
      </x:c>
      <x:c r="F141" s="30" t="n">
        <x:f>MIN(1,(Geometry!$E$9*$I$29+(1-Geometry!$E$9)*(Geometry!$O$9*$F$29+Geometry!$P$9*$G$29*IF($J$29=0,0,1)+Geometry!$Q$9*$H$29))*IF($U$29=1,'Deployment Work'!$X$9,1))</x:f>
        <x:v>1</x:v>
      </x:c>
      <x:c r="G141" s="36" t="n">
        <x:f>IF(AND(Geometry!$E$9&gt;0,$I$29=0),'Deployment Work'!$E$9,IF(E141&lt;=Assumptions!$D$12,'Deployment Work'!$D$9,'Deployment Work'!$E$9))</x:f>
        <x:v>44</x:v>
      </x:c>
      <x:c r="H141" s="2" t="str">
        <x:f>IF(AND(F141&gt;=E141,G141&lt;=$E$29),"PASS","FAIL")</x:f>
        <x:v>PASS</x:v>
      </x:c>
      <x:c r="I141" s="2" t="str">
        <x:f>IF(AND(IF($K$29=0,TRUE,'Thermal Site'!$F$18&lt;=$K$29),IF($L$29=0,TRUE,'Thermal Site'!$G$18&gt;=$L$29),IF($M$29=0,TRUE,'Thermal Site'!$J$18&gt;=E141),IF($N$29=0,TRUE,'Thermal Site'!$K$18&gt;=E141)),"PASS","FAIL")</x:f>
        <x:v>PASS</x:v>
      </x:c>
      <x:c r="J141" s="2" t="str">
        <x:f>IF(AND(IF($O$29=0,TRUE,'Thermal Site'!$H$18&lt;=$O$29),IF($P$29=0,TRUE,'Thermal Site'!$I$18&gt;=$P$29),IF($S$29=0,TRUE,'Thermal Site'!$J$9&gt;=1),IF($T$29=0,TRUE,'Thermal Site'!$L$18="YES")),"PASS","FAIL")</x:f>
        <x:v>PASS</x:v>
      </x:c>
      <x:c r="K141" s="2" t="str">
        <x:f>IF(AND(IF($Q$29&lt;1,'Deployment Work'!$M$9&gt;=1,'Deployment Work'!$L$9&gt;=1),'Deployment Work'!$Y$9&lt;=$R$29),"PASS","FAIL")</x:f>
        <x:v>FAIL</x:v>
      </x:c>
      <x:c r="L141" s="2" t="str">
        <x:f>IF(AND(H141="PASS",I141="PASS",J141="PASS",K141="PASS"),"PASS","FAIL")</x:f>
        <x:v>FAIL</x:v>
      </x:c>
      <x:c r="M141" s="2"/>
      <x:c r="N141" s="2"/>
      <x:c r="O141" s="2"/>
      <x:c r="P141" s="2"/>
      <x:c r="Q141" s="2"/>
      <x:c r="R141" s="2"/>
      <x:c r="S141" s="2"/>
      <x:c r="T141" s="2"/>
      <x:c r="U141" s="2"/>
      <x:c r="V141" s="2"/>
      <x:c r="W141" s="2"/>
      <x:c r="X141" s="2"/>
      <x:c r="Y141" s="2"/>
      <x:c r="Z141" s="2"/>
    </x:row>
    <x:row r="142">
      <x:c r="A142" s="2"/>
      <x:c r="B142" s="2" t="str">
        <x:v>W21</x:v>
      </x:c>
      <x:c r="C142" s="2" t="str">
        <x:v>second mission after three-day reset</x:v>
      </x:c>
      <x:c r="D142" s="2" t="str">
        <x:v>G3</x:v>
      </x:c>
      <x:c r="E142" s="30" t="n">
        <x:f>$D$29</x:f>
        <x:v>1</x:v>
      </x:c>
      <x:c r="F142" s="30" t="n">
        <x:f>MIN(1,(Geometry!$E$10*$I$29+(1-Geometry!$E$10)*(Geometry!$O$10*$F$29+Geometry!$P$10*$G$29+Geometry!$Q$10*$H$29))*IF($U$29=1,'Deployment Work'!$X$10,1))</x:f>
        <x:v>1</x:v>
      </x:c>
      <x:c r="G142" s="36" t="n">
        <x:f>IF(AND(Geometry!$E$10&gt;0,$I$29=0),'Deployment Work'!$E$10,IF(E142&lt;=Assumptions!$D$12,'Deployment Work'!$D$10,'Deployment Work'!$E$10))</x:f>
        <x:v>30</x:v>
      </x:c>
      <x:c r="H142" s="2" t="str">
        <x:f>IF(AND(F142&gt;=E142,G142&lt;=$E$29),"PASS","FAIL")</x:f>
        <x:v>PASS</x:v>
      </x:c>
      <x:c r="I142" s="2" t="str">
        <x:f>IF(AND(IF($K$29=0,TRUE,'Thermal Site'!$F$19&lt;=$K$29),IF($L$29=0,TRUE,'Thermal Site'!$G$19&gt;=$L$29),IF($M$29=0,TRUE,'Thermal Site'!$J$19&gt;=E142),IF($N$29=0,TRUE,'Thermal Site'!$K$19&gt;=E142)),"PASS","FAIL")</x:f>
        <x:v>PASS</x:v>
      </x:c>
      <x:c r="J142" s="2" t="str">
        <x:f>IF(AND(IF($O$29=0,TRUE,'Thermal Site'!$H$19&lt;=$O$29),IF($P$29=0,TRUE,'Thermal Site'!$I$19&gt;=$P$29),IF($S$29=0,TRUE,'Thermal Site'!$J$10&gt;=1),IF($T$29=0,TRUE,'Thermal Site'!$L$19="YES")),"PASS","FAIL")</x:f>
        <x:v>PASS</x:v>
      </x:c>
      <x:c r="K142" s="2" t="str">
        <x:f>IF(AND(IF($Q$29&lt;1,'Deployment Work'!$M$10&gt;=1,'Deployment Work'!$L$10&gt;=1),'Deployment Work'!$Y$10&lt;=$R$29),"PASS","FAIL")</x:f>
        <x:v>FAIL</x:v>
      </x:c>
      <x:c r="L142" s="2" t="str">
        <x:f>IF(AND(H142="PASS",I142="PASS",J142="PASS",K142="PASS"),"PASS","FAIL")</x:f>
        <x:v>FAIL</x:v>
      </x:c>
      <x:c r="M142" s="2"/>
      <x:c r="N142" s="2"/>
      <x:c r="O142" s="2"/>
      <x:c r="P142" s="2"/>
      <x:c r="Q142" s="2"/>
      <x:c r="R142" s="2"/>
      <x:c r="S142" s="2"/>
      <x:c r="T142" s="2"/>
      <x:c r="U142" s="2"/>
      <x:c r="V142" s="2"/>
      <x:c r="W142" s="2"/>
      <x:c r="X142" s="2"/>
      <x:c r="Y142" s="2"/>
      <x:c r="Z142" s="2"/>
    </x:row>
    <x:row r="143">
      <x:c r="A143" s="2"/>
      <x:c r="B143" s="2" t="str">
        <x:v>W21</x:v>
      </x:c>
      <x:c r="C143" s="2" t="str">
        <x:v>second mission after three-day reset</x:v>
      </x:c>
      <x:c r="D143" s="2" t="str">
        <x:v>G4</x:v>
      </x:c>
      <x:c r="E143" s="30" t="n">
        <x:f>$D$29</x:f>
        <x:v>1</x:v>
      </x:c>
      <x:c r="F143" s="30" t="n">
        <x:f>MIN(1,(Geometry!$E$11*$I$29+(1-Geometry!$E$11)*(Geometry!$O$11*$F$29+Geometry!$P$11*$G$29+Geometry!$Q$11*$H$29))*IF($U$29=1,'Deployment Work'!$X$11,1))</x:f>
        <x:v>1</x:v>
      </x:c>
      <x:c r="G143" s="36" t="n">
        <x:f>IF(AND(Geometry!$E$11&gt;0,$I$29=0),'Deployment Work'!$E$11,IF(E143&lt;=Assumptions!$D$12,'Deployment Work'!$D$11,'Deployment Work'!$E$11))</x:f>
        <x:v>12</x:v>
      </x:c>
      <x:c r="H143" s="2" t="str">
        <x:f>IF(AND(F143&gt;=E143,G143&lt;=$E$29),"PASS","FAIL")</x:f>
        <x:v>PASS</x:v>
      </x:c>
      <x:c r="I143" s="2" t="str">
        <x:f>IF(AND(IF($K$29=0,TRUE,'Thermal Site'!$F$20&lt;=$K$29),IF($L$29=0,TRUE,'Thermal Site'!$G$20&gt;=$L$29),IF($M$29=0,TRUE,'Thermal Site'!$J$20&gt;=E143),IF($N$29=0,TRUE,'Thermal Site'!$K$20&gt;=E143)),"PASS","FAIL")</x:f>
        <x:v>PASS</x:v>
      </x:c>
      <x:c r="J143" s="2" t="str">
        <x:f>IF(AND(IF($O$29=0,TRUE,'Thermal Site'!$H$20&lt;=$O$29),IF($P$29=0,TRUE,'Thermal Site'!$I$20&gt;=$P$29),IF($S$29=0,TRUE,'Thermal Site'!$J$11&gt;=1),IF($T$29=0,TRUE,'Thermal Site'!$L$20="YES")),"PASS","FAIL")</x:f>
        <x:v>PASS</x:v>
      </x:c>
      <x:c r="K143" s="2" t="str">
        <x:f>IF(AND(IF($Q$29&lt;1,'Deployment Work'!$M$11&gt;=1,'Deployment Work'!$L$11&gt;=1),'Deployment Work'!$Y$11&lt;=$R$29),"PASS","FAIL")</x:f>
        <x:v>PASS</x:v>
      </x:c>
      <x:c r="L143" s="2" t="str">
        <x:f>IF(AND(H143="PASS",I143="PASS",J143="PASS",K143="PASS"),"PASS","FAIL")</x:f>
        <x:v>PASS</x:v>
      </x:c>
      <x:c r="M143" s="2"/>
      <x:c r="N143" s="2"/>
      <x:c r="O143" s="2"/>
      <x:c r="P143" s="2"/>
      <x:c r="Q143" s="2"/>
      <x:c r="R143" s="2"/>
      <x:c r="S143" s="2"/>
      <x:c r="T143" s="2"/>
      <x:c r="U143" s="2"/>
      <x:c r="V143" s="2"/>
      <x:c r="W143" s="2"/>
      <x:c r="X143" s="2"/>
      <x:c r="Y143" s="2"/>
      <x:c r="Z143" s="2"/>
    </x:row>
    <x:row r="144">
      <x:c r="A144" s="2"/>
      <x:c r="B144" s="2" t="str">
        <x:v>W21</x:v>
      </x:c>
      <x:c r="C144" s="2" t="str">
        <x:v>second mission after three-day reset</x:v>
      </x:c>
      <x:c r="D144" s="2" t="str">
        <x:v>G5</x:v>
      </x:c>
      <x:c r="E144" s="30" t="n">
        <x:f>$D$29</x:f>
        <x:v>1</x:v>
      </x:c>
      <x:c r="F144" s="30" t="n">
        <x:f>MIN(1,(Geometry!$E$12*$I$29+(1-Geometry!$E$12)*(Geometry!$O$12*$F$29+Geometry!$P$12*$G$29*IF($J$29=0,0,1)+Geometry!$Q$12*$H$29*IF($J$29=0,0,1)))*IF($U$29=1,'Deployment Work'!$X$12,1))</x:f>
        <x:v>1</x:v>
      </x:c>
      <x:c r="G144" s="36" t="n">
        <x:f>IF(AND(Geometry!$E$12&gt;0,$I$29=0),'Deployment Work'!$E$12,IF(E144&lt;=Assumptions!$D$12,'Deployment Work'!$D$12,'Deployment Work'!$E$12))</x:f>
        <x:v>46</x:v>
      </x:c>
      <x:c r="H144" s="2" t="str">
        <x:f>IF(AND(F144&gt;=E144,G144&lt;=$E$29),"PASS","FAIL")</x:f>
        <x:v>PASS</x:v>
      </x:c>
      <x:c r="I144" s="2" t="str">
        <x:f>IF(AND(IF($K$29=0,TRUE,'Thermal Site'!$F$21&lt;=$K$29),IF($L$29=0,TRUE,'Thermal Site'!$G$21&gt;=$L$29),IF($M$29=0,TRUE,'Thermal Site'!$J$21&gt;=E144),IF($N$29=0,TRUE,'Thermal Site'!$K$21&gt;=E144)),"PASS","FAIL")</x:f>
        <x:v>PASS</x:v>
      </x:c>
      <x:c r="J144" s="2" t="str">
        <x:f>IF(AND(IF($O$29=0,TRUE,'Thermal Site'!$H$21&lt;=$O$29),IF($P$29=0,TRUE,'Thermal Site'!$I$21&gt;=$P$29),IF($S$29=0,TRUE,'Thermal Site'!$J$12&gt;=1),IF($T$29=0,TRUE,'Thermal Site'!$L$21="YES")),"PASS","FAIL")</x:f>
        <x:v>PASS</x:v>
      </x:c>
      <x:c r="K144" s="2" t="str">
        <x:f>IF(AND(IF($Q$29&lt;1,'Deployment Work'!$M$12&gt;=1,'Deployment Work'!$L$12&gt;=1),'Deployment Work'!$Y$12&lt;=$R$29),"PASS","FAIL")</x:f>
        <x:v>FAIL</x:v>
      </x:c>
      <x:c r="L144" s="2" t="str">
        <x:f>IF(AND(H144="PASS",I144="PASS",J144="PASS",K144="PASS"),"PASS","FAIL")</x:f>
        <x:v>FAIL</x:v>
      </x:c>
      <x:c r="M144" s="2"/>
      <x:c r="N144" s="2"/>
      <x:c r="O144" s="2"/>
      <x:c r="P144" s="2"/>
      <x:c r="Q144" s="2"/>
      <x:c r="R144" s="2"/>
      <x:c r="S144" s="2"/>
      <x:c r="T144" s="2"/>
      <x:c r="U144" s="2"/>
      <x:c r="V144" s="2"/>
      <x:c r="W144" s="2"/>
      <x:c r="X144" s="2"/>
      <x:c r="Y144" s="2"/>
      <x:c r="Z144" s="2"/>
    </x:row>
    <x:row r="145">
      <x:c r="A145" s="2"/>
      <x:c r="B145" s="2" t="str">
        <x:v>W22</x:v>
      </x:c>
      <x:c r="C145" s="2" t="str">
        <x:v>unprepared, landlocked, terminal-denied, one road corridor lost and hot-smoke compound</x:v>
      </x:c>
      <x:c r="D145" s="2" t="str">
        <x:v>G1</x:v>
      </x:c>
      <x:c r="E145" s="30" t="n">
        <x:f>$D$30</x:f>
        <x:v>0.4</x:v>
      </x:c>
      <x:c r="F145" s="30" t="n">
        <x:f>MIN(1,(Geometry!$E$8*$I$30+(1-Geometry!$E$8)*(Geometry!$O$8*$F$30+Geometry!$P$8*$G$30+Geometry!$Q$8*$H$30))*IF($U$30=1,'Deployment Work'!$X$8,1))</x:f>
        <x:v>0.667</x:v>
      </x:c>
      <x:c r="G145" s="36" t="n">
        <x:f>IF(AND(Geometry!$E$8&gt;0,$I$30=0),'Deployment Work'!$E$8,IF(E145&lt;=Assumptions!$D$12,'Deployment Work'!$D$8,'Deployment Work'!$E$8))</x:f>
        <x:v>12</x:v>
      </x:c>
      <x:c r="H145" s="2" t="str">
        <x:f>IF(AND(F145&gt;=E145,G145&lt;=$E$30),"PASS","FAIL")</x:f>
        <x:v>PASS</x:v>
      </x:c>
      <x:c r="I145" s="2" t="str">
        <x:f>IF(AND(IF($K$30=0,TRUE,'Thermal Site'!$F$17&lt;=$K$30),IF($L$30=0,TRUE,'Thermal Site'!$G$17&gt;=$L$30),IF($M$30=0,TRUE,'Thermal Site'!$J$17&gt;=E145),IF($N$30=0,TRUE,'Thermal Site'!$K$17&gt;=E145)),"PASS","FAIL")</x:f>
        <x:v>PASS</x:v>
      </x:c>
      <x:c r="J145" s="2" t="str">
        <x:f>IF(AND(IF($O$30=0,TRUE,'Thermal Site'!$H$17&lt;=$O$30),IF($P$30=0,TRUE,'Thermal Site'!$I$17&gt;=$P$30),IF($S$30=0,TRUE,'Thermal Site'!$J$8&gt;=1),IF($T$30=0,TRUE,'Thermal Site'!$L$17="YES")),"PASS","FAIL")</x:f>
        <x:v>PASS</x:v>
      </x:c>
      <x:c r="K145" s="2" t="str">
        <x:f>IF(AND(IF($Q$30&lt;1,'Deployment Work'!$M$8&gt;=1,'Deployment Work'!$L$8&gt;=1),'Deployment Work'!$Y$8&lt;=$R$30),"PASS","FAIL")</x:f>
        <x:v>PASS</x:v>
      </x:c>
      <x:c r="L145" s="2" t="str">
        <x:f>IF(AND(H145="PASS",I145="PASS",J145="PASS",K145="PASS"),"PASS","FAIL")</x:f>
        <x:v>PASS</x:v>
      </x:c>
      <x:c r="M145" s="2"/>
      <x:c r="N145" s="2"/>
      <x:c r="O145" s="2"/>
      <x:c r="P145" s="2"/>
      <x:c r="Q145" s="2"/>
      <x:c r="R145" s="2"/>
      <x:c r="S145" s="2"/>
      <x:c r="T145" s="2"/>
      <x:c r="U145" s="2"/>
      <x:c r="V145" s="2"/>
      <x:c r="W145" s="2"/>
      <x:c r="X145" s="2"/>
      <x:c r="Y145" s="2"/>
      <x:c r="Z145" s="2"/>
    </x:row>
    <x:row r="146">
      <x:c r="A146" s="2"/>
      <x:c r="B146" s="2" t="str">
        <x:v>W22</x:v>
      </x:c>
      <x:c r="C146" s="2" t="str">
        <x:v>unprepared, landlocked, terminal-denied, one road corridor lost and hot-smoke compound</x:v>
      </x:c>
      <x:c r="D146" s="2" t="str">
        <x:v>G2</x:v>
      </x:c>
      <x:c r="E146" s="30" t="n">
        <x:f>$D$30</x:f>
        <x:v>0.4</x:v>
      </x:c>
      <x:c r="F146" s="30" t="n">
        <x:f>MIN(1,(Geometry!$E$9*$I$30+(1-Geometry!$E$9)*(Geometry!$O$9*$F$30+Geometry!$P$9*$G$30*IF($J$30=0,0,1)+Geometry!$Q$9*$H$30))*IF($U$30=1,'Deployment Work'!$X$9,1))</x:f>
        <x:v>0.06670000000000001</x:v>
      </x:c>
      <x:c r="G146" s="36" t="n">
        <x:f>IF(AND(Geometry!$E$9&gt;0,$I$30=0),'Deployment Work'!$E$9,IF(E146&lt;=Assumptions!$D$12,'Deployment Work'!$D$9,'Deployment Work'!$E$9))</x:f>
        <x:v>18</x:v>
      </x:c>
      <x:c r="H146" s="2" t="str">
        <x:f>IF(AND(F146&gt;=E146,G146&lt;=$E$30),"PASS","FAIL")</x:f>
        <x:v>FAIL</x:v>
      </x:c>
      <x:c r="I146" s="2" t="str">
        <x:f>IF(AND(IF($K$30=0,TRUE,'Thermal Site'!$F$18&lt;=$K$30),IF($L$30=0,TRUE,'Thermal Site'!$G$18&gt;=$L$30),IF($M$30=0,TRUE,'Thermal Site'!$J$18&gt;=E146),IF($N$30=0,TRUE,'Thermal Site'!$K$18&gt;=E146)),"PASS","FAIL")</x:f>
        <x:v>FAIL</x:v>
      </x:c>
      <x:c r="J146" s="2" t="str">
        <x:f>IF(AND(IF($O$30=0,TRUE,'Thermal Site'!$H$18&lt;=$O$30),IF($P$30=0,TRUE,'Thermal Site'!$I$18&gt;=$P$30),IF($S$30=0,TRUE,'Thermal Site'!$J$9&gt;=1),IF($T$30=0,TRUE,'Thermal Site'!$L$18="YES")),"PASS","FAIL")</x:f>
        <x:v>PASS</x:v>
      </x:c>
      <x:c r="K146" s="2" t="str">
        <x:f>IF(AND(IF($Q$30&lt;1,'Deployment Work'!$M$9&gt;=1,'Deployment Work'!$L$9&gt;=1),'Deployment Work'!$Y$9&lt;=$R$30),"PASS","FAIL")</x:f>
        <x:v>PASS</x:v>
      </x:c>
      <x:c r="L146" s="2" t="str">
        <x:f>IF(AND(H146="PASS",I146="PASS",J146="PASS",K146="PASS"),"PASS","FAIL")</x:f>
        <x:v>FAIL</x:v>
      </x:c>
      <x:c r="M146" s="2"/>
      <x:c r="N146" s="2"/>
      <x:c r="O146" s="2"/>
      <x:c r="P146" s="2"/>
      <x:c r="Q146" s="2"/>
      <x:c r="R146" s="2"/>
      <x:c r="S146" s="2"/>
      <x:c r="T146" s="2"/>
      <x:c r="U146" s="2"/>
      <x:c r="V146" s="2"/>
      <x:c r="W146" s="2"/>
      <x:c r="X146" s="2"/>
      <x:c r="Y146" s="2"/>
      <x:c r="Z146" s="2"/>
    </x:row>
    <x:row r="147">
      <x:c r="A147" s="2"/>
      <x:c r="B147" s="2" t="str">
        <x:v>W22</x:v>
      </x:c>
      <x:c r="C147" s="2" t="str">
        <x:v>unprepared, landlocked, terminal-denied, one road corridor lost and hot-smoke compound</x:v>
      </x:c>
      <x:c r="D147" s="2" t="str">
        <x:v>G3</x:v>
      </x:c>
      <x:c r="E147" s="30" t="n">
        <x:f>$D$30</x:f>
        <x:v>0.4</x:v>
      </x:c>
      <x:c r="F147" s="30" t="n">
        <x:f>MIN(1,(Geometry!$E$10*$I$30+(1-Geometry!$E$10)*(Geometry!$O$10*$F$30+Geometry!$P$10*$G$30+Geometry!$Q$10*$H$30))*IF($U$30=1,'Deployment Work'!$X$10,1))</x:f>
        <x:v>0</x:v>
      </x:c>
      <x:c r="G147" s="36" t="n">
        <x:f>IF(AND(Geometry!$E$10&gt;0,$I$30=0),'Deployment Work'!$E$10,IF(E147&lt;=Assumptions!$D$12,'Deployment Work'!$D$10,'Deployment Work'!$E$10))</x:f>
        <x:v>14</x:v>
      </x:c>
      <x:c r="H147" s="2" t="str">
        <x:f>IF(AND(F147&gt;=E147,G147&lt;=$E$30),"PASS","FAIL")</x:f>
        <x:v>FAIL</x:v>
      </x:c>
      <x:c r="I147" s="2" t="str">
        <x:f>IF(AND(IF($K$30=0,TRUE,'Thermal Site'!$F$19&lt;=$K$30),IF($L$30=0,TRUE,'Thermal Site'!$G$19&gt;=$L$30),IF($M$30=0,TRUE,'Thermal Site'!$J$19&gt;=E147),IF($N$30=0,TRUE,'Thermal Site'!$K$19&gt;=E147)),"PASS","FAIL")</x:f>
        <x:v>PASS</x:v>
      </x:c>
      <x:c r="J147" s="2" t="str">
        <x:f>IF(AND(IF($O$30=0,TRUE,'Thermal Site'!$H$19&lt;=$O$30),IF($P$30=0,TRUE,'Thermal Site'!$I$19&gt;=$P$30),IF($S$30=0,TRUE,'Thermal Site'!$J$10&gt;=1),IF($T$30=0,TRUE,'Thermal Site'!$L$19="YES")),"PASS","FAIL")</x:f>
        <x:v>PASS</x:v>
      </x:c>
      <x:c r="K147" s="2" t="str">
        <x:f>IF(AND(IF($Q$30&lt;1,'Deployment Work'!$M$10&gt;=1,'Deployment Work'!$L$10&gt;=1),'Deployment Work'!$Y$10&lt;=$R$30),"PASS","FAIL")</x:f>
        <x:v>PASS</x:v>
      </x:c>
      <x:c r="L147" s="2" t="str">
        <x:f>IF(AND(H147="PASS",I147="PASS",J147="PASS",K147="PASS"),"PASS","FAIL")</x:f>
        <x:v>FAIL</x:v>
      </x:c>
      <x:c r="M147" s="2"/>
      <x:c r="N147" s="2"/>
      <x:c r="O147" s="2"/>
      <x:c r="P147" s="2"/>
      <x:c r="Q147" s="2"/>
      <x:c r="R147" s="2"/>
      <x:c r="S147" s="2"/>
      <x:c r="T147" s="2"/>
      <x:c r="U147" s="2"/>
      <x:c r="V147" s="2"/>
      <x:c r="W147" s="2"/>
      <x:c r="X147" s="2"/>
      <x:c r="Y147" s="2"/>
      <x:c r="Z147" s="2"/>
    </x:row>
    <x:row r="148">
      <x:c r="A148" s="2"/>
      <x:c r="B148" s="2" t="str">
        <x:v>W22</x:v>
      </x:c>
      <x:c r="C148" s="2" t="str">
        <x:v>unprepared, landlocked, terminal-denied, one road corridor lost and hot-smoke compound</x:v>
      </x:c>
      <x:c r="D148" s="2" t="str">
        <x:v>G4</x:v>
      </x:c>
      <x:c r="E148" s="30" t="n">
        <x:f>$D$30</x:f>
        <x:v>0.4</x:v>
      </x:c>
      <x:c r="F148" s="30" t="n">
        <x:f>MIN(1,(Geometry!$E$11*$I$30+(1-Geometry!$E$11)*(Geometry!$O$11*$F$30+Geometry!$P$11*$G$30+Geometry!$Q$11*$H$30))*IF($U$30=1,'Deployment Work'!$X$11,1))</x:f>
        <x:v>0.26680000000000004</x:v>
      </x:c>
      <x:c r="G148" s="36" t="n">
        <x:f>IF(AND(Geometry!$E$11&gt;0,$I$30=0),'Deployment Work'!$E$11,IF(E148&lt;=Assumptions!$D$12,'Deployment Work'!$D$11,'Deployment Work'!$E$11))</x:f>
        <x:v>12</x:v>
      </x:c>
      <x:c r="H148" s="2" t="str">
        <x:f>IF(AND(F148&gt;=E148,G148&lt;=$E$30),"PASS","FAIL")</x:f>
        <x:v>FAIL</x:v>
      </x:c>
      <x:c r="I148" s="2" t="str">
        <x:f>IF(AND(IF($K$30=0,TRUE,'Thermal Site'!$F$20&lt;=$K$30),IF($L$30=0,TRUE,'Thermal Site'!$G$20&gt;=$L$30),IF($M$30=0,TRUE,'Thermal Site'!$J$20&gt;=E148),IF($N$30=0,TRUE,'Thermal Site'!$K$20&gt;=E148)),"PASS","FAIL")</x:f>
        <x:v>PASS</x:v>
      </x:c>
      <x:c r="J148" s="2" t="str">
        <x:f>IF(AND(IF($O$30=0,TRUE,'Thermal Site'!$H$20&lt;=$O$30),IF($P$30=0,TRUE,'Thermal Site'!$I$20&gt;=$P$30),IF($S$30=0,TRUE,'Thermal Site'!$J$11&gt;=1),IF($T$30=0,TRUE,'Thermal Site'!$L$20="YES")),"PASS","FAIL")</x:f>
        <x:v>PASS</x:v>
      </x:c>
      <x:c r="K148" s="2" t="str">
        <x:f>IF(AND(IF($Q$30&lt;1,'Deployment Work'!$M$11&gt;=1,'Deployment Work'!$L$11&gt;=1),'Deployment Work'!$Y$11&lt;=$R$30),"PASS","FAIL")</x:f>
        <x:v>PASS</x:v>
      </x:c>
      <x:c r="L148" s="2" t="str">
        <x:f>IF(AND(H148="PASS",I148="PASS",J148="PASS",K148="PASS"),"PASS","FAIL")</x:f>
        <x:v>FAIL</x:v>
      </x:c>
      <x:c r="M148" s="2"/>
      <x:c r="N148" s="2"/>
      <x:c r="O148" s="2"/>
      <x:c r="P148" s="2"/>
      <x:c r="Q148" s="2"/>
      <x:c r="R148" s="2"/>
      <x:c r="S148" s="2"/>
      <x:c r="T148" s="2"/>
      <x:c r="U148" s="2"/>
      <x:c r="V148" s="2"/>
      <x:c r="W148" s="2"/>
      <x:c r="X148" s="2"/>
      <x:c r="Y148" s="2"/>
      <x:c r="Z148" s="2"/>
    </x:row>
    <x:row r="149">
      <x:c r="A149" s="2"/>
      <x:c r="B149" s="2" t="str">
        <x:v>W22</x:v>
      </x:c>
      <x:c r="C149" s="2" t="str">
        <x:v>unprepared, landlocked, terminal-denied, one road corridor lost and hot-smoke compound</x:v>
      </x:c>
      <x:c r="D149" s="2" t="str">
        <x:v>G5</x:v>
      </x:c>
      <x:c r="E149" s="30" t="n">
        <x:f>$D$30</x:f>
        <x:v>0.4</x:v>
      </x:c>
      <x:c r="F149" s="30" t="n">
        <x:f>MIN(1,(Geometry!$E$12*$I$30+(1-Geometry!$E$12)*(Geometry!$O$12*$F$30+Geometry!$P$12*$G$30*IF($J$30=0,0,1)+Geometry!$Q$12*$H$30*IF($J$30=0,0,1)))*IF($U$30=1,'Deployment Work'!$X$12,1))</x:f>
        <x:v>0.26680000000000004</x:v>
      </x:c>
      <x:c r="G149" s="36" t="n">
        <x:f>IF(AND(Geometry!$E$12&gt;0,$I$30=0),'Deployment Work'!$E$12,IF(E149&lt;=Assumptions!$D$12,'Deployment Work'!$D$12,'Deployment Work'!$E$12))</x:f>
        <x:v>10</x:v>
      </x:c>
      <x:c r="H149" s="2" t="str">
        <x:f>IF(AND(F149&gt;=E149,G149&lt;=$E$30),"PASS","FAIL")</x:f>
        <x:v>FAIL</x:v>
      </x:c>
      <x:c r="I149" s="2" t="str">
        <x:f>IF(AND(IF($K$30=0,TRUE,'Thermal Site'!$F$21&lt;=$K$30),IF($L$30=0,TRUE,'Thermal Site'!$G$21&gt;=$L$30),IF($M$30=0,TRUE,'Thermal Site'!$J$21&gt;=E149),IF($N$30=0,TRUE,'Thermal Site'!$K$21&gt;=E149)),"PASS","FAIL")</x:f>
        <x:v>PASS</x:v>
      </x:c>
      <x:c r="J149" s="2" t="str">
        <x:f>IF(AND(IF($O$30=0,TRUE,'Thermal Site'!$H$21&lt;=$O$30),IF($P$30=0,TRUE,'Thermal Site'!$I$21&gt;=$P$30),IF($S$30=0,TRUE,'Thermal Site'!$J$12&gt;=1),IF($T$30=0,TRUE,'Thermal Site'!$L$21="YES")),"PASS","FAIL")</x:f>
        <x:v>PASS</x:v>
      </x:c>
      <x:c r="K149" s="2" t="str">
        <x:f>IF(AND(IF($Q$30&lt;1,'Deployment Work'!$M$12&gt;=1,'Deployment Work'!$L$12&gt;=1),'Deployment Work'!$Y$12&lt;=$R$30),"PASS","FAIL")</x:f>
        <x:v>PASS</x:v>
      </x:c>
      <x:c r="L149" s="2" t="str">
        <x:f>IF(AND(H149="PASS",I149="PASS",J149="PASS",K149="PASS"),"PASS","FAIL")</x:f>
        <x:v>FAIL</x:v>
      </x:c>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conditionalFormatting sqref="H35:L149">
    <x:cfRule type="cellIs" dxfId="1" priority="1" operator="equal">
      <x:formula>"FAIL"</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2" max="2" width="34" hidden="0" customWidth="1"/>
    <x:col min="3" max="3" width="38" hidden="0" customWidth="1"/>
    <x:col min="4" max="4" width="18" hidden="0" customWidth="1"/>
    <x:col min="5" max="5" width="58" hidden="0" customWidth="1"/>
    <x:col min="6" max="6" width="18" hidden="0" customWidth="1"/>
    <x:col min="7" max="7" width="18" hidden="0" customWidth="1"/>
    <x:col min="8" max="8" width="18" hidden="0" customWidth="1"/>
    <x:col min="9" max="9" width="18" hidden="0" customWidth="1"/>
    <x:col min="10" max="10" width="1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Geometry host force and program</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4"/>
      <x:c r="J3" s="4"/>
      <x:c r="K3" s="2"/>
      <x:c r="L3" s="2"/>
      <x:c r="M3" s="2"/>
      <x:c r="N3" s="2"/>
      <x:c r="O3" s="2"/>
      <x:c r="P3" s="2"/>
      <x:c r="Q3" s="2"/>
      <x:c r="R3" s="2"/>
      <x:c r="S3" s="2"/>
      <x:c r="T3" s="2"/>
      <x:c r="U3" s="2"/>
      <x:c r="V3" s="2"/>
      <x:c r="W3" s="2"/>
      <x:c r="X3" s="2"/>
      <x:c r="Y3" s="2"/>
      <x:c r="Z3" s="2"/>
    </x:row>
    <x:row r="4">
      <x:c r="A4" s="2"/>
      <x:c r="B4" s="5" t="str">
        <x:v>Costs are incremental to the Pass 73 service packages and remain declared comparators.</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Illustrative host inventory</x:v>
      </x:c>
      <x:c r="C6" s="9"/>
      <x:c r="D6" s="9"/>
      <x:c r="E6" s="9"/>
      <x:c r="F6" s="9"/>
      <x:c r="G6" s="9"/>
      <x:c r="H6" s="9"/>
      <x:c r="I6" s="9"/>
      <x:c r="J6" s="10"/>
      <x:c r="K6" s="2"/>
      <x:c r="L6" s="2"/>
      <x:c r="M6" s="2"/>
      <x:c r="N6" s="2"/>
      <x:c r="O6" s="2"/>
      <x:c r="P6" s="2"/>
      <x:c r="Q6" s="2"/>
      <x:c r="R6" s="2"/>
      <x:c r="S6" s="2"/>
      <x:c r="T6" s="2"/>
      <x:c r="U6" s="2"/>
      <x:c r="V6" s="2"/>
      <x:c r="W6" s="2"/>
      <x:c r="X6" s="2"/>
      <x:c r="Y6" s="2"/>
      <x:c r="Z6" s="2"/>
    </x:row>
    <x:row r="7">
      <x:c r="A7" s="2"/>
      <x:c r="B7" s="15" t="str">
        <x:v>Code</x:v>
      </x:c>
      <x:c r="C7" s="16" t="str">
        <x:v>Geometry host</x:v>
      </x:c>
      <x:c r="D7" s="16" t="str">
        <x:v>Organic hosts</x:v>
      </x:c>
      <x:c r="E7" s="16" t="str">
        <x:v>Pooled hosts</x:v>
      </x:c>
      <x:c r="F7" s="16" t="str">
        <x:v>Capital $M/host</x:v>
      </x:c>
      <x:c r="G7" s="16" t="str">
        <x:v>National capital $M</x:v>
      </x:c>
      <x:c r="H7" s="16" t="str">
        <x:v>Annual O&amp;S $M/host</x:v>
      </x:c>
      <x:c r="I7" s="16" t="str">
        <x:v>25-year O&amp;S $M</x:v>
      </x:c>
      <x:c r="J7" s="17" t="str">
        <x:v>25-year total $M</x:v>
      </x:c>
      <x:c r="K7" s="2"/>
      <x:c r="L7" s="2"/>
      <x:c r="M7" s="2"/>
      <x:c r="N7" s="2"/>
      <x:c r="O7" s="2"/>
      <x:c r="P7" s="2"/>
      <x:c r="Q7" s="2"/>
      <x:c r="R7" s="2"/>
      <x:c r="S7" s="2"/>
      <x:c r="T7" s="2"/>
      <x:c r="U7" s="2"/>
      <x:c r="V7" s="2"/>
      <x:c r="W7" s="2"/>
      <x:c r="X7" s="2"/>
      <x:c r="Y7" s="2"/>
      <x:c r="Z7" s="2"/>
    </x:row>
    <x:row r="8">
      <x:c r="A8" s="2"/>
      <x:c r="B8" s="2" t="str">
        <x:v>G1</x:v>
      </x:c>
      <x:c r="C8" s="2" t="str">
        <x:v>Road-distributed lattice</x:v>
      </x:c>
      <x:c r="D8" s="2" t="n">
        <x:f>6*Assumptions!$D$51</x:f>
        <x:v>432</x:v>
      </x:c>
      <x:c r="E8" s="2" t="n">
        <x:v>0</x:v>
      </x:c>
      <x:c r="F8" s="45" t="n">
        <x:v>280</x:v>
      </x:c>
      <x:c r="G8" s="46" t="n">
        <x:f>(D8+E8)*F8</x:f>
        <x:v>120960</x:v>
      </x:c>
      <x:c r="H8" s="46" t="n">
        <x:v>18</x:v>
      </x:c>
      <x:c r="I8" s="46" t="n">
        <x:f>(D8+E8)*H8*Assumptions!$D$54</x:f>
        <x:v>194400</x:v>
      </x:c>
      <x:c r="J8" s="46" t="n">
        <x:f>G8+I8</x:f>
        <x:v>315360</x:v>
      </x:c>
      <x:c r="K8" s="2"/>
      <x:c r="L8" s="2"/>
      <x:c r="M8" s="2"/>
      <x:c r="N8" s="2"/>
      <x:c r="O8" s="2"/>
      <x:c r="P8" s="2"/>
      <x:c r="Q8" s="2"/>
      <x:c r="R8" s="2"/>
      <x:c r="S8" s="2"/>
      <x:c r="T8" s="2"/>
      <x:c r="U8" s="2"/>
      <x:c r="V8" s="2"/>
      <x:c r="W8" s="2"/>
      <x:c r="X8" s="2"/>
      <x:c r="Y8" s="2"/>
      <x:c r="Z8" s="2"/>
    </x:row>
    <x:row r="9">
      <x:c r="A9" s="2"/>
      <x:c r="B9" s="2" t="str">
        <x:v>G2</x:v>
      </x:c>
      <x:c r="C9" s="2" t="str">
        <x:v>Rail utility consist</x:v>
      </x:c>
      <x:c r="D9" s="2" t="n">
        <x:f>2*Assumptions!$D$51</x:f>
        <x:v>144</x:v>
      </x:c>
      <x:c r="E9" s="2" t="n">
        <x:v>0</x:v>
      </x:c>
      <x:c r="F9" s="45" t="n">
        <x:v>450</x:v>
      </x:c>
      <x:c r="G9" s="46" t="n">
        <x:f>(D9+E9)*F9</x:f>
        <x:v>64800</x:v>
      </x:c>
      <x:c r="H9" s="46" t="n">
        <x:v>24</x:v>
      </x:c>
      <x:c r="I9" s="46" t="n">
        <x:f>(D9+E9)*H9*Assumptions!$D$54</x:f>
        <x:v>86400</x:v>
      </x:c>
      <x:c r="J9" s="46" t="n">
        <x:f>G9+I9</x:f>
        <x:v>151200</x:v>
      </x:c>
      <x:c r="K9" s="2"/>
      <x:c r="L9" s="2"/>
      <x:c r="M9" s="2"/>
      <x:c r="N9" s="2"/>
      <x:c r="O9" s="2"/>
      <x:c r="P9" s="2"/>
      <x:c r="Q9" s="2"/>
      <x:c r="R9" s="2"/>
      <x:c r="S9" s="2"/>
      <x:c r="T9" s="2"/>
      <x:c r="U9" s="2"/>
      <x:c r="V9" s="2"/>
      <x:c r="W9" s="2"/>
      <x:c r="X9" s="2"/>
      <x:c r="Y9" s="2"/>
      <x:c r="Z9" s="2"/>
    </x:row>
    <x:row r="10">
      <x:c r="A10" s="2"/>
      <x:c r="B10" s="2" t="str">
        <x:v>G3</x:v>
      </x:c>
      <x:c r="C10" s="2" t="str">
        <x:v>Shallow-draft utility barge host</x:v>
      </x:c>
      <x:c r="D10" s="2" t="n">
        <x:f>0</x:f>
        <x:v>0</x:v>
      </x:c>
      <x:c r="E10" s="2" t="n">
        <x:f>Assumptions!$D$53</x:f>
        <x:v>96</x:v>
      </x:c>
      <x:c r="F10" s="45" t="n">
        <x:v>640</x:v>
      </x:c>
      <x:c r="G10" s="46" t="n">
        <x:f>(D10+E10)*F10</x:f>
        <x:v>61440</x:v>
      </x:c>
      <x:c r="H10" s="46" t="n">
        <x:v>34</x:v>
      </x:c>
      <x:c r="I10" s="46" t="n">
        <x:f>(D10+E10)*H10*Assumptions!$D$54</x:f>
        <x:v>81600</x:v>
      </x:c>
      <x:c r="J10" s="46" t="n">
        <x:f>G10+I10</x:f>
        <x:v>143040</x:v>
      </x:c>
      <x:c r="K10" s="2"/>
      <x:c r="L10" s="2"/>
      <x:c r="M10" s="2"/>
      <x:c r="N10" s="2"/>
      <x:c r="O10" s="2"/>
      <x:c r="P10" s="2"/>
      <x:c r="Q10" s="2"/>
      <x:c r="R10" s="2"/>
      <x:c r="S10" s="2"/>
      <x:c r="T10" s="2"/>
      <x:c r="U10" s="2"/>
      <x:c r="V10" s="2"/>
      <x:c r="W10" s="2"/>
      <x:c r="X10" s="2"/>
      <x:c r="Y10" s="2"/>
      <x:c r="Z10" s="2"/>
    </x:row>
    <x:row r="11">
      <x:c r="A11" s="2"/>
      <x:c r="B11" s="2" t="str">
        <x:v>G4</x:v>
      </x:c>
      <x:c r="C11" s="2" t="str">
        <x:v>Prepared metropolitan anchor</x:v>
      </x:c>
      <x:c r="D11" s="2" t="n">
        <x:f>2*Assumptions!$D$51</x:f>
        <x:v>144</x:v>
      </x:c>
      <x:c r="E11" s="2" t="n">
        <x:v>0</x:v>
      </x:c>
      <x:c r="F11" s="45" t="n">
        <x:v>650</x:v>
      </x:c>
      <x:c r="G11" s="46" t="n">
        <x:f>(D11+E11)*F11</x:f>
        <x:v>93600</x:v>
      </x:c>
      <x:c r="H11" s="46" t="n">
        <x:v>16</x:v>
      </x:c>
      <x:c r="I11" s="46" t="n">
        <x:f>(D11+E11)*H11*Assumptions!$D$54</x:f>
        <x:v>57600</x:v>
      </x:c>
      <x:c r="J11" s="46" t="n">
        <x:f>G11+I11</x:f>
        <x:v>151200</x:v>
      </x:c>
      <x:c r="K11" s="2"/>
      <x:c r="L11" s="2"/>
      <x:c r="M11" s="2"/>
      <x:c r="N11" s="2"/>
      <x:c r="O11" s="2"/>
      <x:c r="P11" s="2"/>
      <x:c r="Q11" s="2"/>
      <x:c r="R11" s="2"/>
      <x:c r="S11" s="2"/>
      <x:c r="T11" s="2"/>
      <x:c r="U11" s="2"/>
      <x:c r="V11" s="2"/>
      <x:c r="W11" s="2"/>
      <x:c r="X11" s="2"/>
      <x:c r="Y11" s="2"/>
      <x:c r="Z11" s="2"/>
    </x:row>
    <x:row r="12">
      <x:c r="A12" s="2"/>
      <x:c r="B12" s="2" t="str">
        <x:v>G5</x:v>
      </x:c>
      <x:c r="C12" s="2" t="str">
        <x:v>Tri-modal split lattice</x:v>
      </x:c>
      <x:c r="D12" s="2" t="n">
        <x:f>2*Assumptions!$D$51</x:f>
        <x:v>144</x:v>
      </x:c>
      <x:c r="E12" s="2" t="n">
        <x:v>0</x:v>
      </x:c>
      <x:c r="F12" s="45" t="n">
        <x:v>700</x:v>
      </x:c>
      <x:c r="G12" s="46" t="n">
        <x:f>(D12+E12)*F12</x:f>
        <x:v>100800</x:v>
      </x:c>
      <x:c r="H12" s="46" t="n">
        <x:v>32</x:v>
      </x:c>
      <x:c r="I12" s="46" t="n">
        <x:f>(D12+E12)*H12*Assumptions!$D$54</x:f>
        <x:v>115200</x:v>
      </x:c>
      <x:c r="J12" s="46" t="n">
        <x:f>G12+I12</x:f>
        <x:v>216000</x:v>
      </x:c>
      <x:c r="K12" s="2"/>
      <x:c r="L12" s="2"/>
      <x:c r="M12" s="2"/>
      <x:c r="N12" s="2"/>
      <x:c r="O12" s="2"/>
      <x:c r="P12" s="2"/>
      <x:c r="Q12" s="2"/>
      <x:c r="R12" s="2"/>
      <x:c r="S12" s="2"/>
      <x:c r="T12" s="2"/>
      <x:c r="U12" s="2"/>
      <x:c r="V12" s="2"/>
      <x:c r="W12" s="2"/>
      <x:c r="X12" s="2"/>
      <x:c r="Y12" s="2"/>
      <x:c r="Z12" s="2"/>
    </x:row>
    <x:row r="13">
      <x:c r="A13" s="2"/>
      <x:c r="B13" s="26" t="str">
        <x:v>Total host layer</x:v>
      </x:c>
      <x:c r="C13" s="26"/>
      <x:c r="D13" s="26" t="n">
        <x:f>SUM(D8:D12)</x:f>
        <x:v>864</x:v>
      </x:c>
      <x:c r="E13" s="26" t="n">
        <x:f>SUM(E8:E12)</x:f>
        <x:v>96</x:v>
      </x:c>
      <x:c r="F13" s="38"/>
      <x:c r="G13" s="47" t="n">
        <x:f>SUM(G8:G12)</x:f>
        <x:v>441600</x:v>
      </x:c>
      <x:c r="H13" s="47"/>
      <x:c r="I13" s="47" t="n">
        <x:f>SUM(I8:I12)</x:f>
        <x:v>535200</x:v>
      </x:c>
      <x:c r="J13" s="47" t="n">
        <x:f>SUM(J8:J12)</x:f>
        <x:v>976800</x:v>
      </x:c>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8" t="str">
        <x:v>National comparator reconciliation</x:v>
      </x:c>
      <x:c r="C16" s="9"/>
      <x:c r="D16" s="9"/>
      <x:c r="E16" s="10"/>
      <x:c r="F16" s="2"/>
      <x:c r="G16" s="2"/>
      <x:c r="H16" s="2"/>
      <x:c r="I16" s="2"/>
      <x:c r="J16" s="2"/>
      <x:c r="K16" s="2"/>
      <x:c r="L16" s="2"/>
      <x:c r="M16" s="2"/>
      <x:c r="N16" s="2"/>
      <x:c r="O16" s="2"/>
      <x:c r="P16" s="2"/>
      <x:c r="Q16" s="2"/>
      <x:c r="R16" s="2"/>
      <x:c r="S16" s="2"/>
      <x:c r="T16" s="2"/>
      <x:c r="U16" s="2"/>
      <x:c r="V16" s="2"/>
      <x:c r="W16" s="2"/>
      <x:c r="X16" s="2"/>
      <x:c r="Y16" s="2"/>
      <x:c r="Z16" s="2"/>
    </x:row>
    <x:row r="17">
      <x:c r="A17" s="2"/>
      <x:c r="B17" s="15" t="str">
        <x:v>Account</x:v>
      </x:c>
      <x:c r="C17" s="16" t="str">
        <x:v>Value $M</x:v>
      </x:c>
      <x:c r="D17" s="16" t="str">
        <x:v>Treatment</x:v>
      </x:c>
      <x:c r="E17" s="17" t="str">
        <x:v>Meaning</x:v>
      </x:c>
      <x:c r="F17" s="2"/>
      <x:c r="G17" s="2"/>
      <x:c r="H17" s="2"/>
      <x:c r="I17" s="2"/>
      <x:c r="J17" s="2"/>
      <x:c r="K17" s="2"/>
      <x:c r="L17" s="2"/>
      <x:c r="M17" s="2"/>
      <x:c r="N17" s="2"/>
      <x:c r="O17" s="2"/>
      <x:c r="P17" s="2"/>
      <x:c r="Q17" s="2"/>
      <x:c r="R17" s="2"/>
      <x:c r="S17" s="2"/>
      <x:c r="T17" s="2"/>
      <x:c r="U17" s="2"/>
      <x:c r="V17" s="2"/>
      <x:c r="W17" s="2"/>
      <x:c r="X17" s="2"/>
      <x:c r="Y17" s="2"/>
      <x:c r="Z17" s="2"/>
    </x:row>
    <x:row r="18">
      <x:c r="A18" s="2"/>
      <x:c r="B18" s="2" t="str">
        <x:v>Pass 73 national comparator</x:v>
      </x:c>
      <x:c r="C18" s="48" t="n">
        <x:f>Assumptions!$D$55</x:f>
        <x:v>3542595.2</x:v>
      </x:c>
      <x:c r="D18" s="2" t="str">
        <x:v>retain</x:v>
      </x:c>
      <x:c r="E18" s="2" t="str">
        <x:v>service packages, operations, technology and bases before geometry</x:v>
      </x:c>
      <x:c r="F18" s="2"/>
      <x:c r="G18" s="2"/>
      <x:c r="H18" s="2"/>
      <x:c r="I18" s="2"/>
      <x:c r="J18" s="2"/>
      <x:c r="K18" s="2"/>
      <x:c r="L18" s="2"/>
      <x:c r="M18" s="2"/>
      <x:c r="N18" s="2"/>
      <x:c r="O18" s="2"/>
      <x:c r="P18" s="2"/>
      <x:c r="Q18" s="2"/>
      <x:c r="R18" s="2"/>
      <x:c r="S18" s="2"/>
      <x:c r="T18" s="2"/>
      <x:c r="U18" s="2"/>
      <x:c r="V18" s="2"/>
      <x:c r="W18" s="2"/>
      <x:c r="X18" s="2"/>
      <x:c r="Y18" s="2"/>
      <x:c r="Z18" s="2"/>
    </x:row>
    <x:row r="19">
      <x:c r="A19" s="2"/>
      <x:c r="B19" s="2" t="str">
        <x:v>Remove provisional metropolitan works</x:v>
      </x:c>
      <x:c r="C19" s="48" t="n">
        <x:f>-Assumptions!$D$56</x:f>
        <x:v>-216000</x:v>
      </x:c>
      <x:c r="D19" s="2" t="str">
        <x:v>remove</x:v>
      </x:c>
      <x:c r="E19" s="2" t="str">
        <x:v>replaced by geometry-specific anchor host capital</x:v>
      </x:c>
      <x:c r="F19" s="2"/>
      <x:c r="G19" s="2"/>
      <x:c r="H19" s="2"/>
      <x:c r="I19" s="2"/>
      <x:c r="J19" s="2"/>
      <x:c r="K19" s="2"/>
      <x:c r="L19" s="2"/>
      <x:c r="M19" s="2"/>
      <x:c r="N19" s="2"/>
      <x:c r="O19" s="2"/>
      <x:c r="P19" s="2"/>
      <x:c r="Q19" s="2"/>
      <x:c r="R19" s="2"/>
      <x:c r="S19" s="2"/>
      <x:c r="T19" s="2"/>
      <x:c r="U19" s="2"/>
      <x:c r="V19" s="2"/>
      <x:c r="W19" s="2"/>
      <x:c r="X19" s="2"/>
      <x:c r="Y19" s="2"/>
      <x:c r="Z19" s="2"/>
    </x:row>
    <x:row r="20">
      <x:c r="A20" s="2"/>
      <x:c r="B20" s="2" t="str">
        <x:v>Geometry host capital</x:v>
      </x:c>
      <x:c r="C20" s="48" t="n">
        <x:f>G13</x:f>
        <x:v>441600</x:v>
      </x:c>
      <x:c r="D20" s="2" t="str">
        <x:v>add</x:v>
      </x:c>
      <x:c r="E20" s="2" t="str">
        <x:v>road, rail, barge, anchor and tri-modal hosts</x:v>
      </x:c>
      <x:c r="F20" s="2"/>
      <x:c r="G20" s="2"/>
      <x:c r="H20" s="2"/>
      <x:c r="I20" s="2"/>
      <x:c r="J20" s="2"/>
      <x:c r="K20" s="2"/>
      <x:c r="L20" s="2"/>
      <x:c r="M20" s="2"/>
      <x:c r="N20" s="2"/>
      <x:c r="O20" s="2"/>
      <x:c r="P20" s="2"/>
      <x:c r="Q20" s="2"/>
      <x:c r="R20" s="2"/>
      <x:c r="S20" s="2"/>
      <x:c r="T20" s="2"/>
      <x:c r="U20" s="2"/>
      <x:c r="V20" s="2"/>
      <x:c r="W20" s="2"/>
      <x:c r="X20" s="2"/>
      <x:c r="Y20" s="2"/>
      <x:c r="Z20" s="2"/>
    </x:row>
    <x:row r="21">
      <x:c r="A21" s="2"/>
      <x:c r="B21" s="2" t="str">
        <x:v>Geometry host O&amp;S</x:v>
      </x:c>
      <x:c r="C21" s="48" t="n">
        <x:f>I13</x:f>
        <x:v>535200</x:v>
      </x:c>
      <x:c r="D21" s="2" t="str">
        <x:v>add</x:v>
      </x:c>
      <x:c r="E21" s="2" t="str">
        <x:v>twenty-five-year incremental operations</x:v>
      </x:c>
      <x:c r="F21" s="2"/>
      <x:c r="G21" s="2"/>
      <x:c r="H21" s="2"/>
      <x:c r="I21" s="2"/>
      <x:c r="J21" s="2"/>
      <x:c r="K21" s="2"/>
      <x:c r="L21" s="2"/>
      <x:c r="M21" s="2"/>
      <x:c r="N21" s="2"/>
      <x:c r="O21" s="2"/>
      <x:c r="P21" s="2"/>
      <x:c r="Q21" s="2"/>
      <x:c r="R21" s="2"/>
      <x:c r="S21" s="2"/>
      <x:c r="T21" s="2"/>
      <x:c r="U21" s="2"/>
      <x:c r="V21" s="2"/>
      <x:c r="W21" s="2"/>
      <x:c r="X21" s="2"/>
      <x:c r="Y21" s="2"/>
      <x:c r="Z21" s="2"/>
    </x:row>
    <x:row r="22">
      <x:c r="A22" s="2"/>
      <x:c r="B22" s="2" t="str">
        <x:v>Shared route-node capital</x:v>
      </x:c>
      <x:c r="C22" s="48" t="n">
        <x:f>Assumptions!$D$57</x:f>
        <x:v>120000</x:v>
      </x:c>
      <x:c r="D22" s="2" t="str">
        <x:v>add</x:v>
      </x:c>
      <x:c r="E22" s="2" t="str">
        <x:v>road release, rail transfer and bank interfaces</x:v>
      </x:c>
      <x:c r="F22" s="2"/>
      <x:c r="G22" s="2"/>
      <x:c r="H22" s="2"/>
      <x:c r="I22" s="2"/>
      <x:c r="J22" s="2"/>
      <x:c r="K22" s="2"/>
      <x:c r="L22" s="2"/>
      <x:c r="M22" s="2"/>
      <x:c r="N22" s="2"/>
      <x:c r="O22" s="2"/>
      <x:c r="P22" s="2"/>
      <x:c r="Q22" s="2"/>
      <x:c r="R22" s="2"/>
      <x:c r="S22" s="2"/>
      <x:c r="T22" s="2"/>
      <x:c r="U22" s="2"/>
      <x:c r="V22" s="2"/>
      <x:c r="W22" s="2"/>
      <x:c r="X22" s="2"/>
      <x:c r="Y22" s="2"/>
      <x:c r="Z22" s="2"/>
    </x:row>
    <x:row r="23">
      <x:c r="A23" s="2"/>
      <x:c r="B23" s="2" t="str">
        <x:v>Geometry technology and proving</x:v>
      </x:c>
      <x:c r="C23" s="48" t="n">
        <x:f>Assumptions!$D$58</x:f>
        <x:v>180000</x:v>
      </x:c>
      <x:c r="D23" s="2" t="str">
        <x:v>add</x:v>
      </x:c>
      <x:c r="E23" s="2" t="str">
        <x:v>fourteen competitive technology lines and trials</x:v>
      </x:c>
      <x:c r="F23" s="2"/>
      <x:c r="G23" s="2"/>
      <x:c r="H23" s="2"/>
      <x:c r="I23" s="2"/>
      <x:c r="J23" s="2"/>
      <x:c r="K23" s="2"/>
      <x:c r="L23" s="2"/>
      <x:c r="M23" s="2"/>
      <x:c r="N23" s="2"/>
      <x:c r="O23" s="2"/>
      <x:c r="P23" s="2"/>
      <x:c r="Q23" s="2"/>
      <x:c r="R23" s="2"/>
      <x:c r="S23" s="2"/>
      <x:c r="T23" s="2"/>
      <x:c r="U23" s="2"/>
      <x:c r="V23" s="2"/>
      <x:c r="W23" s="2"/>
      <x:c r="X23" s="2"/>
      <x:c r="Y23" s="2"/>
      <x:c r="Z23" s="2"/>
    </x:row>
    <x:row r="24">
      <x:c r="A24" s="2"/>
      <x:c r="B24" s="2" t="str">
        <x:v>Geometry workforce and bases</x:v>
      </x:c>
      <x:c r="C24" s="48" t="n">
        <x:f>Assumptions!$D$59</x:f>
        <x:v>90000</x:v>
      </x:c>
      <x:c r="D24" s="2" t="str">
        <x:v>add</x:v>
      </x:c>
      <x:c r="E24" s="2" t="str">
        <x:v>regional crews, depots and readiness sites</x:v>
      </x:c>
      <x:c r="F24" s="2"/>
      <x:c r="G24" s="2"/>
      <x:c r="H24" s="2"/>
      <x:c r="I24" s="2"/>
      <x:c r="J24" s="2"/>
      <x:c r="K24" s="2"/>
      <x:c r="L24" s="2"/>
      <x:c r="M24" s="2"/>
      <x:c r="N24" s="2"/>
      <x:c r="O24" s="2"/>
      <x:c r="P24" s="2"/>
      <x:c r="Q24" s="2"/>
      <x:c r="R24" s="2"/>
      <x:c r="S24" s="2"/>
      <x:c r="T24" s="2"/>
      <x:c r="U24" s="2"/>
      <x:c r="V24" s="2"/>
      <x:c r="W24" s="2"/>
      <x:c r="X24" s="2"/>
      <x:c r="Y24" s="2"/>
      <x:c r="Z24" s="2"/>
    </x:row>
    <x:row r="25">
      <x:c r="A25" s="2"/>
      <x:c r="B25" s="26" t="str">
        <x:v>Revised twenty-five-year comparator</x:v>
      </x:c>
      <x:c r="C25" s="47" t="n">
        <x:f>SUM(C18:C24)</x:f>
        <x:v>4693395.2</x:v>
      </x:c>
      <x:c r="D25" s="26" t="str">
        <x:v>calculated</x:v>
      </x:c>
      <x:c r="E25" s="26" t="str">
        <x:v>constant 2026 dollars; not a procurement recommendation</x:v>
      </x:c>
      <x:c r="F25" s="2"/>
      <x:c r="G25" s="2"/>
      <x:c r="H25" s="2"/>
      <x:c r="I25" s="2"/>
      <x:c r="J25" s="2"/>
      <x:c r="K25" s="2"/>
      <x:c r="L25" s="2"/>
      <x:c r="M25" s="2"/>
      <x:c r="N25" s="2"/>
      <x:c r="O25" s="2"/>
      <x:c r="P25" s="2"/>
      <x:c r="Q25" s="2"/>
      <x:c r="R25" s="2"/>
      <x:c r="S25" s="2"/>
      <x:c r="T25" s="2"/>
      <x:c r="U25" s="2"/>
      <x:c r="V25" s="2"/>
      <x:c r="W25" s="2"/>
      <x:c r="X25" s="2"/>
      <x:c r="Y25" s="2"/>
      <x:c r="Z25" s="2"/>
    </x:row>
    <x:row r="26">
      <x:c r="A26" s="2"/>
      <x:c r="B26" s="2"/>
      <x:c r="C26" s="49"/>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49"/>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t="str">
        <x:v>Organic geometry capital per PTS-50 group</x:v>
      </x:c>
      <x:c r="C28" s="46" t="n">
        <x:f>SUM(G8,G9,G11,G12)/Assumptions!$D$51</x:f>
        <x:v>5280</x:v>
      </x:c>
      <x:c r="D28" s="2" t="str">
        <x:v>$M/group</x:v>
      </x:c>
      <x:c r="E28" s="2" t="str">
        <x:v>excludes pooled barge hosts</x:v>
      </x:c>
      <x:c r="F28" s="2"/>
      <x:c r="G28" s="2"/>
      <x:c r="H28" s="2"/>
      <x:c r="I28" s="2"/>
      <x:c r="J28" s="2"/>
      <x:c r="K28" s="2"/>
      <x:c r="L28" s="2"/>
      <x:c r="M28" s="2"/>
      <x:c r="N28" s="2"/>
      <x:c r="O28" s="2"/>
      <x:c r="P28" s="2"/>
      <x:c r="Q28" s="2"/>
      <x:c r="R28" s="2"/>
      <x:c r="S28" s="2"/>
      <x:c r="T28" s="2"/>
      <x:c r="U28" s="2"/>
      <x:c r="V28" s="2"/>
      <x:c r="W28" s="2"/>
      <x:c r="X28" s="2"/>
      <x:c r="Y28" s="2"/>
      <x:c r="Z28" s="2"/>
    </x:row>
    <x:row r="29">
      <x:c r="A29" s="2"/>
      <x:c r="B29" s="2" t="str">
        <x:v>Configured PTS-50 plus geometry overlay</x:v>
      </x:c>
      <x:c r="C29" s="46" t="n">
        <x:f>14122+C28</x:f>
        <x:v>19402</x:v>
      </x:c>
      <x:c r="D29" s="2" t="str">
        <x:v>$M/group</x:v>
      </x:c>
      <x:c r="E29" s="2" t="str">
        <x:v>Pass 73 configured unit capital plus organic host layer</x:v>
      </x:c>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2" max="2" width="12" hidden="0" customWidth="1"/>
    <x:col min="3" max="3" width="38" hidden="0" customWidth="1"/>
    <x:col min="4" max="4" width="48" hidden="0" customWidth="1"/>
    <x:col min="5" max="5" width="34" hidden="0" customWidth="1"/>
    <x:col min="6" max="6" width="2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Clean-sheet deployment technology portfolio</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2"/>
      <x:c r="H3" s="2"/>
      <x:c r="I3" s="2"/>
      <x:c r="J3" s="2"/>
      <x:c r="K3" s="2"/>
      <x:c r="L3" s="2"/>
      <x:c r="M3" s="2"/>
      <x:c r="N3" s="2"/>
      <x:c r="O3" s="2"/>
      <x:c r="P3" s="2"/>
      <x:c r="Q3" s="2"/>
      <x:c r="R3" s="2"/>
      <x:c r="S3" s="2"/>
      <x:c r="T3" s="2"/>
      <x:c r="U3" s="2"/>
      <x:c r="V3" s="2"/>
      <x:c r="W3" s="2"/>
      <x:c r="X3" s="2"/>
      <x:c r="Y3" s="2"/>
      <x:c r="Z3" s="2"/>
    </x:row>
    <x:row r="4">
      <x:c r="A4" s="2"/>
      <x:c r="B4" s="5" t="str">
        <x:v>Programs attack measured geometry failures rather than selecting a vehicle silhouette.</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Fourteen competitive development lines</x:v>
      </x:c>
      <x:c r="C6" s="9"/>
      <x:c r="D6" s="9"/>
      <x:c r="E6" s="9"/>
      <x:c r="F6" s="10"/>
      <x:c r="G6" s="2"/>
      <x:c r="H6" s="2"/>
      <x:c r="I6" s="2"/>
      <x:c r="J6" s="2"/>
      <x:c r="K6" s="2"/>
      <x:c r="L6" s="2"/>
      <x:c r="M6" s="2"/>
      <x:c r="N6" s="2"/>
      <x:c r="O6" s="2"/>
      <x:c r="P6" s="2"/>
      <x:c r="Q6" s="2"/>
      <x:c r="R6" s="2"/>
      <x:c r="S6" s="2"/>
      <x:c r="T6" s="2"/>
      <x:c r="U6" s="2"/>
      <x:c r="V6" s="2"/>
      <x:c r="W6" s="2"/>
      <x:c r="X6" s="2"/>
      <x:c r="Y6" s="2"/>
      <x:c r="Z6" s="2"/>
    </x:row>
    <x:row r="7">
      <x:c r="A7" s="2"/>
      <x:c r="B7" s="15" t="str">
        <x:v>Program</x:v>
      </x:c>
      <x:c r="C7" s="16" t="str">
        <x:v>Capability</x:v>
      </x:c>
      <x:c r="D7" s="16" t="str">
        <x:v>Measured change</x:v>
      </x:c>
      <x:c r="E7" s="16" t="str">
        <x:v>Failure attacked</x:v>
      </x:c>
      <x:c r="F7" s="17" t="str">
        <x:v>Admission consequence</x:v>
      </x:c>
      <x:c r="G7" s="2"/>
      <x:c r="H7" s="2"/>
      <x:c r="I7" s="2"/>
      <x:c r="J7" s="2"/>
      <x:c r="K7" s="2"/>
      <x:c r="L7" s="2"/>
      <x:c r="M7" s="2"/>
      <x:c r="N7" s="2"/>
      <x:c r="O7" s="2"/>
      <x:c r="P7" s="2"/>
      <x:c r="Q7" s="2"/>
      <x:c r="R7" s="2"/>
      <x:c r="S7" s="2"/>
      <x:c r="T7" s="2"/>
      <x:c r="U7" s="2"/>
      <x:c r="V7" s="2"/>
      <x:c r="W7" s="2"/>
      <x:c r="X7" s="2"/>
      <x:c r="Y7" s="2"/>
      <x:c r="Z7" s="2"/>
    </x:row>
    <x:row r="8" ht="48" customHeight="1">
      <x:c r="A8" s="2"/>
      <x:c r="B8" s="2" t="str">
        <x:v>DG-01</x:v>
      </x:c>
      <x:c r="C8" s="29" t="str">
        <x:v>governed heavy intermodal module</x:v>
      </x:c>
      <x:c r="D8" s="29" t="str">
        <x:v>thirty-tonne road and eighty-tonne rail release without repacking</x:v>
      </x:c>
      <x:c r="E8" s="29" t="str">
        <x:v>repeated lift and interface delay</x:v>
      </x:c>
      <x:c r="F8" s="29" t="str">
        <x:v>module envelope</x:v>
      </x:c>
      <x:c r="G8" s="2"/>
      <x:c r="H8" s="2"/>
      <x:c r="I8" s="2"/>
      <x:c r="J8" s="2"/>
      <x:c r="K8" s="2"/>
      <x:c r="L8" s="2"/>
      <x:c r="M8" s="2"/>
      <x:c r="N8" s="2"/>
      <x:c r="O8" s="2"/>
      <x:c r="P8" s="2"/>
      <x:c r="Q8" s="2"/>
      <x:c r="R8" s="2"/>
      <x:c r="S8" s="2"/>
      <x:c r="T8" s="2"/>
      <x:c r="U8" s="2"/>
      <x:c r="V8" s="2"/>
      <x:c r="W8" s="2"/>
      <x:c r="X8" s="2"/>
      <x:c r="Y8" s="2"/>
      <x:c r="Z8" s="2"/>
    </x:row>
    <x:row r="9" ht="48" customHeight="1">
      <x:c r="A9" s="2"/>
      <x:c r="B9" s="2" t="str">
        <x:v>DG-02</x:v>
      </x:c>
      <x:c r="C9" s="29" t="str">
        <x:v>self-leveling wet-ground support</x:v>
      </x:c>
      <x:c r="D9" s="29" t="str">
        <x:v>released electrical and thermal plant on saturated ground</x:v>
      </x:c>
      <x:c r="E9" s="29" t="str">
        <x:v>bearing and grounding loss</x:v>
      </x:c>
      <x:c r="F9" s="29" t="str">
        <x:v>wet-site service</x:v>
      </x:c>
      <x:c r="G9" s="2"/>
      <x:c r="H9" s="2"/>
      <x:c r="I9" s="2"/>
      <x:c r="J9" s="2"/>
      <x:c r="K9" s="2"/>
      <x:c r="L9" s="2"/>
      <x:c r="M9" s="2"/>
      <x:c r="N9" s="2"/>
      <x:c r="O9" s="2"/>
      <x:c r="P9" s="2"/>
      <x:c r="Q9" s="2"/>
      <x:c r="R9" s="2"/>
      <x:c r="S9" s="2"/>
      <x:c r="T9" s="2"/>
      <x:c r="U9" s="2"/>
      <x:c r="V9" s="2"/>
      <x:c r="W9" s="2"/>
      <x:c r="X9" s="2"/>
      <x:c r="Y9" s="2"/>
      <x:c r="Z9" s="2"/>
    </x:row>
    <x:row r="10" ht="48" customHeight="1">
      <x:c r="A10" s="2"/>
      <x:c r="B10" s="2" t="str">
        <x:v>DG-03</x:v>
      </x:c>
      <x:c r="C10" s="29" t="str">
        <x:v>optionally crewed civil road column</x:v>
      </x:c>
      <x:c r="D10" s="29" t="str">
        <x:v>three independent routes with local disconnected control</x:v>
      </x:c>
      <x:c r="E10" s="29" t="str">
        <x:v>driver exposure and corridor loss</x:v>
      </x:c>
      <x:c r="F10" s="29" t="str">
        <x:v>road geometry</x:v>
      </x:c>
      <x:c r="G10" s="2"/>
      <x:c r="H10" s="2"/>
      <x:c r="I10" s="2"/>
      <x:c r="J10" s="2"/>
      <x:c r="K10" s="2"/>
      <x:c r="L10" s="2"/>
      <x:c r="M10" s="2"/>
      <x:c r="N10" s="2"/>
      <x:c r="O10" s="2"/>
      <x:c r="P10" s="2"/>
      <x:c r="Q10" s="2"/>
      <x:c r="R10" s="2"/>
      <x:c r="S10" s="2"/>
      <x:c r="T10" s="2"/>
      <x:c r="U10" s="2"/>
      <x:c r="V10" s="2"/>
      <x:c r="W10" s="2"/>
      <x:c r="X10" s="2"/>
      <x:c r="Y10" s="2"/>
      <x:c r="Z10" s="2"/>
    </x:row>
    <x:row r="11" ht="48" customHeight="1">
      <x:c r="A11" s="2"/>
      <x:c r="B11" s="2" t="str">
        <x:v>DG-04</x:v>
      </x:c>
      <x:c r="C11" s="29" t="str">
        <x:v>disaster rail utility consist</x:v>
      </x:c>
      <x:c r="D11" s="29" t="str">
        <x:v>direct service from siding plus bounded last-mile transfer</x:v>
      </x:c>
      <x:c r="E11" s="29" t="str">
        <x:v>rail-to-receiver gap</x:v>
      </x:c>
      <x:c r="F11" s="29" t="str">
        <x:v>rail geometry</x:v>
      </x:c>
      <x:c r="G11" s="2"/>
      <x:c r="H11" s="2"/>
      <x:c r="I11" s="2"/>
      <x:c r="J11" s="2"/>
      <x:c r="K11" s="2"/>
      <x:c r="L11" s="2"/>
      <x:c r="M11" s="2"/>
      <x:c r="N11" s="2"/>
      <x:c r="O11" s="2"/>
      <x:c r="P11" s="2"/>
      <x:c r="Q11" s="2"/>
      <x:c r="R11" s="2"/>
      <x:c r="S11" s="2"/>
      <x:c r="T11" s="2"/>
      <x:c r="U11" s="2"/>
      <x:c r="V11" s="2"/>
      <x:c r="W11" s="2"/>
      <x:c r="X11" s="2"/>
      <x:c r="Y11" s="2"/>
      <x:c r="Z11" s="2"/>
    </x:row>
    <x:row r="12" ht="48" customHeight="1">
      <x:c r="A12" s="2"/>
      <x:c r="B12" s="2" t="str">
        <x:v>DG-05</x:v>
      </x:c>
      <x:c r="C12" s="29" t="str">
        <x:v>autonomous heavy transloader</x:v>
      </x:c>
      <x:c r="D12" s="29" t="str">
        <x:v>whole-module transfer without surviving crane or terminal</x:v>
      </x:c>
      <x:c r="E12" s="29" t="str">
        <x:v>node dependence</x:v>
      </x:c>
      <x:c r="F12" s="29" t="str">
        <x:v>unprepared rail use</x:v>
      </x:c>
      <x:c r="G12" s="2"/>
      <x:c r="H12" s="2"/>
      <x:c r="I12" s="2"/>
      <x:c r="J12" s="2"/>
      <x:c r="K12" s="2"/>
      <x:c r="L12" s="2"/>
      <x:c r="M12" s="2"/>
      <x:c r="N12" s="2"/>
      <x:c r="O12" s="2"/>
      <x:c r="P12" s="2"/>
      <x:c r="Q12" s="2"/>
      <x:c r="R12" s="2"/>
      <x:c r="S12" s="2"/>
      <x:c r="T12" s="2"/>
      <x:c r="U12" s="2"/>
      <x:c r="V12" s="2"/>
      <x:c r="W12" s="2"/>
      <x:c r="X12" s="2"/>
      <x:c r="Y12" s="2"/>
      <x:c r="Z12" s="2"/>
    </x:row>
    <x:row r="13" ht="48" customHeight="1">
      <x:c r="A13" s="2"/>
      <x:c r="B13" s="2" t="str">
        <x:v>DG-06</x:v>
      </x:c>
      <x:c r="C13" s="29" t="str">
        <x:v>shallow-draft utility host</x:v>
      </x:c>
      <x:c r="D13" s="29" t="str">
        <x:v>eight-hundred-tonne payload below 1.8 m draft</x:v>
      </x:c>
      <x:c r="E13" s="29" t="str">
        <x:v>pier and deep-water dependence</x:v>
      </x:c>
      <x:c r="F13" s="29" t="str">
        <x:v>barge geometry</x:v>
      </x:c>
      <x:c r="G13" s="2"/>
      <x:c r="H13" s="2"/>
      <x:c r="I13" s="2"/>
      <x:c r="J13" s="2"/>
      <x:c r="K13" s="2"/>
      <x:c r="L13" s="2"/>
      <x:c r="M13" s="2"/>
      <x:c r="N13" s="2"/>
      <x:c r="O13" s="2"/>
      <x:c r="P13" s="2"/>
      <x:c r="Q13" s="2"/>
      <x:c r="R13" s="2"/>
      <x:c r="S13" s="2"/>
      <x:c r="T13" s="2"/>
      <x:c r="U13" s="2"/>
      <x:c r="V13" s="2"/>
      <x:c r="W13" s="2"/>
      <x:c r="X13" s="2"/>
      <x:c r="Y13" s="2"/>
      <x:c r="Z13" s="2"/>
    </x:row>
    <x:row r="14" ht="48" customHeight="1">
      <x:c r="A14" s="2"/>
      <x:c r="B14" s="2" t="str">
        <x:v>DG-07</x:v>
      </x:c>
      <x:c r="C14" s="29" t="str">
        <x:v>debris-current mooring and recovery</x:v>
      </x:c>
      <x:c r="D14" s="29" t="str">
        <x:v>stable service through current, debris and one assist-craft loss</x:v>
      </x:c>
      <x:c r="E14" s="29" t="str">
        <x:v>waterway interruption</x:v>
      </x:c>
      <x:c r="F14" s="29" t="str">
        <x:v>barge operating envelope</x:v>
      </x:c>
      <x:c r="G14" s="2"/>
      <x:c r="H14" s="2"/>
      <x:c r="I14" s="2"/>
      <x:c r="J14" s="2"/>
      <x:c r="K14" s="2"/>
      <x:c r="L14" s="2"/>
      <x:c r="M14" s="2"/>
      <x:c r="N14" s="2"/>
      <x:c r="O14" s="2"/>
      <x:c r="P14" s="2"/>
      <x:c r="Q14" s="2"/>
      <x:c r="R14" s="2"/>
      <x:c r="S14" s="2"/>
      <x:c r="T14" s="2"/>
      <x:c r="U14" s="2"/>
      <x:c r="V14" s="2"/>
      <x:c r="W14" s="2"/>
      <x:c r="X14" s="2"/>
      <x:c r="Y14" s="2"/>
      <x:c r="Z14" s="2"/>
    </x:row>
    <x:row r="15" ht="48" customHeight="1">
      <x:c r="A15" s="2"/>
      <x:c r="B15" s="2" t="str">
        <x:v>DG-08</x:v>
      </x:c>
      <x:c r="C15" s="29" t="str">
        <x:v>prepared civil utility anchor</x:v>
      </x:c>
      <x:c r="D15" s="29" t="str">
        <x:v>islandable T0/T1 service and mobile-module exchange</x:v>
      </x:c>
      <x:c r="E15" s="29" t="str">
        <x:v>slow site construction</x:v>
      </x:c>
      <x:c r="F15" s="29" t="str">
        <x:v>anchor geometry</x:v>
      </x:c>
      <x:c r="G15" s="2"/>
      <x:c r="H15" s="2"/>
      <x:c r="I15" s="2"/>
      <x:c r="J15" s="2"/>
      <x:c r="K15" s="2"/>
      <x:c r="L15" s="2"/>
      <x:c r="M15" s="2"/>
      <x:c r="N15" s="2"/>
      <x:c r="O15" s="2"/>
      <x:c r="P15" s="2"/>
      <x:c r="Q15" s="2"/>
      <x:c r="R15" s="2"/>
      <x:c r="S15" s="2"/>
      <x:c r="T15" s="2"/>
      <x:c r="U15" s="2"/>
      <x:c r="V15" s="2"/>
      <x:c r="W15" s="2"/>
      <x:c r="X15" s="2"/>
      <x:c r="Y15" s="2"/>
      <x:c r="Z15" s="2"/>
    </x:row>
    <x:row r="16" ht="48" customHeight="1">
      <x:c r="A16" s="2"/>
      <x:c r="B16" s="2" t="str">
        <x:v>DG-09</x:v>
      </x:c>
      <x:c r="C16" s="29" t="str">
        <x:v>six-hundred-metre utility corridor</x:v>
      </x:c>
      <x:c r="D16" s="29" t="str">
        <x:v>protected power, thermal fluid, sensing and return paths</x:v>
      </x:c>
      <x:c r="E16" s="29" t="str">
        <x:v>occupied-site incompatibility</x:v>
      </x:c>
      <x:c r="F16" s="29" t="str">
        <x:v>remote siting</x:v>
      </x:c>
      <x:c r="G16" s="2"/>
      <x:c r="H16" s="2"/>
      <x:c r="I16" s="2"/>
      <x:c r="J16" s="2"/>
      <x:c r="K16" s="2"/>
      <x:c r="L16" s="2"/>
      <x:c r="M16" s="2"/>
      <x:c r="N16" s="2"/>
      <x:c r="O16" s="2"/>
      <x:c r="P16" s="2"/>
      <x:c r="Q16" s="2"/>
      <x:c r="R16" s="2"/>
      <x:c r="S16" s="2"/>
      <x:c r="T16" s="2"/>
      <x:c r="U16" s="2"/>
      <x:c r="V16" s="2"/>
      <x:c r="W16" s="2"/>
      <x:c r="X16" s="2"/>
      <x:c r="Y16" s="2"/>
      <x:c r="Z16" s="2"/>
    </x:row>
    <x:row r="17" ht="48" customHeight="1">
      <x:c r="A17" s="2"/>
      <x:c r="B17" s="2" t="str">
        <x:v>DG-10</x:v>
      </x:c>
      <x:c r="C17" s="29" t="str">
        <x:v>fold-out high-ambient rejection field</x:v>
      </x:c>
      <x:c r="D17" s="29" t="str">
        <x:v>at least 4.765 MWth after heat, smoke and one-train loss</x:v>
      </x:c>
      <x:c r="E17" s="29" t="str">
        <x:v>thermal derating</x:v>
      </x:c>
      <x:c r="F17" s="29" t="str">
        <x:v>heat-sink geometry</x:v>
      </x:c>
      <x:c r="G17" s="2"/>
      <x:c r="H17" s="2"/>
      <x:c r="I17" s="2"/>
      <x:c r="J17" s="2"/>
      <x:c r="K17" s="2"/>
      <x:c r="L17" s="2"/>
      <x:c r="M17" s="2"/>
      <x:c r="N17" s="2"/>
      <x:c r="O17" s="2"/>
      <x:c r="P17" s="2"/>
      <x:c r="Q17" s="2"/>
      <x:c r="R17" s="2"/>
      <x:c r="S17" s="2"/>
      <x:c r="T17" s="2"/>
      <x:c r="U17" s="2"/>
      <x:c r="V17" s="2"/>
      <x:c r="W17" s="2"/>
      <x:c r="X17" s="2"/>
      <x:c r="Y17" s="2"/>
      <x:c r="Z17" s="2"/>
    </x:row>
    <x:row r="18" ht="48" customHeight="1">
      <x:c r="A18" s="2"/>
      <x:c r="B18" s="2" t="str">
        <x:v>DG-11</x:v>
      </x:c>
      <x:c r="C18" s="29" t="str">
        <x:v>occupied-site acoustic and exhaust boundary</x:v>
      </x:c>
      <x:c r="D18" s="29" t="str">
        <x:v>fifty-five-dBA boundary and verified intake separation</x:v>
      </x:c>
      <x:c r="E18" s="29" t="str">
        <x:v>resident exposure</x:v>
      </x:c>
      <x:c r="F18" s="29" t="str">
        <x:v>night and exhaust worlds</x:v>
      </x:c>
      <x:c r="G18" s="2"/>
      <x:c r="H18" s="2"/>
      <x:c r="I18" s="2"/>
      <x:c r="J18" s="2"/>
      <x:c r="K18" s="2"/>
      <x:c r="L18" s="2"/>
      <x:c r="M18" s="2"/>
      <x:c r="N18" s="2"/>
      <x:c r="O18" s="2"/>
      <x:c r="P18" s="2"/>
      <x:c r="Q18" s="2"/>
      <x:c r="R18" s="2"/>
      <x:c r="S18" s="2"/>
      <x:c r="T18" s="2"/>
      <x:c r="U18" s="2"/>
      <x:c r="V18" s="2"/>
      <x:c r="W18" s="2"/>
      <x:c r="X18" s="2"/>
      <x:c r="Y18" s="2"/>
      <x:c r="Z18" s="2"/>
    </x:row>
    <x:row r="19" ht="48" customHeight="1">
      <x:c r="A19" s="2"/>
      <x:c r="B19" s="2" t="str">
        <x:v>DG-12</x:v>
      </x:c>
      <x:c r="C19" s="29" t="str">
        <x:v>robotic site composer</x:v>
      </x:c>
      <x:c r="D19" s="29" t="str">
        <x:v>module placement, cable, duct, barrier and test work per crew-hour</x:v>
      </x:c>
      <x:c r="E19" s="29" t="str">
        <x:v>setup labor</x:v>
      </x:c>
      <x:c r="F19" s="29" t="str">
        <x:v>degraded-crew world</x:v>
      </x:c>
      <x:c r="G19" s="2"/>
      <x:c r="H19" s="2"/>
      <x:c r="I19" s="2"/>
      <x:c r="J19" s="2"/>
      <x:c r="K19" s="2"/>
      <x:c r="L19" s="2"/>
      <x:c r="M19" s="2"/>
      <x:c r="N19" s="2"/>
      <x:c r="O19" s="2"/>
      <x:c r="P19" s="2"/>
      <x:c r="Q19" s="2"/>
      <x:c r="R19" s="2"/>
      <x:c r="S19" s="2"/>
      <x:c r="T19" s="2"/>
      <x:c r="U19" s="2"/>
      <x:c r="V19" s="2"/>
      <x:c r="W19" s="2"/>
      <x:c r="X19" s="2"/>
      <x:c r="Y19" s="2"/>
      <x:c r="Z19" s="2"/>
    </x:row>
    <x:row r="20" ht="48" customHeight="1">
      <x:c r="A20" s="2"/>
      <x:c r="B20" s="2" t="str">
        <x:v>DG-13</x:v>
      </x:c>
      <x:c r="C20" s="29" t="str">
        <x:v>offline geometry compiler</x:v>
      </x:c>
      <x:c r="D20" s="29" t="str">
        <x:v>route, ground, clearance, heat and work plan without cloud access</x:v>
      </x:c>
      <x:c r="E20" s="29" t="str">
        <x:v>misconfigured arrival</x:v>
      </x:c>
      <x:c r="F20" s="29" t="str">
        <x:v>mission compilation</x:v>
      </x:c>
      <x:c r="G20" s="2"/>
      <x:c r="H20" s="2"/>
      <x:c r="I20" s="2"/>
      <x:c r="J20" s="2"/>
      <x:c r="K20" s="2"/>
      <x:c r="L20" s="2"/>
      <x:c r="M20" s="2"/>
      <x:c r="N20" s="2"/>
      <x:c r="O20" s="2"/>
      <x:c r="P20" s="2"/>
      <x:c r="Q20" s="2"/>
      <x:c r="R20" s="2"/>
      <x:c r="S20" s="2"/>
      <x:c r="T20" s="2"/>
      <x:c r="U20" s="2"/>
      <x:c r="V20" s="2"/>
      <x:c r="W20" s="2"/>
      <x:c r="X20" s="2"/>
      <x:c r="Y20" s="2"/>
      <x:c r="Z20" s="2"/>
    </x:row>
    <x:row r="21" ht="48" customHeight="1">
      <x:c r="A21" s="2"/>
      <x:c r="B21" s="2" t="str">
        <x:v>DG-14</x:v>
      </x:c>
      <x:c r="C21" s="29" t="str">
        <x:v>multi-prime host interchange</x:v>
      </x:c>
      <x:c r="D21" s="29" t="str">
        <x:v>source, rejection and spine modules re-host across two primes</x:v>
      </x:c>
      <x:c r="E21" s="29" t="str">
        <x:v>industrial common mode</x:v>
      </x:c>
      <x:c r="F21" s="29" t="str">
        <x:v>fleet plurality</x:v>
      </x:c>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2" max="2" width="10" hidden="0" customWidth="1"/>
    <x:col min="3" max="3" width="38" hidden="0" customWidth="1"/>
    <x:col min="4" max="4" width="48" hidden="0" customWidth="1"/>
    <x:col min="5" max="5" width="42" hidden="0" customWidth="1"/>
    <x:col min="6" max="6" width="13" hidden="0" customWidth="1"/>
    <x:col min="7" max="7" width="27"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Deployment-geometry evidence gates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2"/>
      <x:c r="I3" s="2"/>
      <x:c r="J3" s="2"/>
      <x:c r="K3" s="2"/>
      <x:c r="L3" s="2"/>
      <x:c r="M3" s="2"/>
      <x:c r="N3" s="2"/>
      <x:c r="O3" s="2"/>
      <x:c r="P3" s="2"/>
      <x:c r="Q3" s="2"/>
      <x:c r="R3" s="2"/>
      <x:c r="S3" s="2"/>
      <x:c r="T3" s="2"/>
      <x:c r="U3" s="2"/>
      <x:c r="V3" s="2"/>
      <x:c r="W3" s="2"/>
      <x:c r="X3" s="2"/>
      <x:c r="Y3" s="2"/>
      <x:c r="Z3" s="2"/>
    </x:row>
    <x:row r="4">
      <x:c r="A4" s="2"/>
      <x:c r="B4" s="5" t="str">
        <x:v>Every representative gate remains open; strict admission and rendering remain zero.</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Required articles and trials</x:v>
      </x:c>
      <x:c r="C6" s="9"/>
      <x:c r="D6" s="9"/>
      <x:c r="E6" s="9"/>
      <x:c r="F6" s="9"/>
      <x:c r="G6" s="10"/>
      <x:c r="H6" s="2"/>
      <x:c r="I6" s="2"/>
      <x:c r="J6" s="2"/>
      <x:c r="K6" s="2"/>
      <x:c r="L6" s="2"/>
      <x:c r="M6" s="2"/>
      <x:c r="N6" s="2"/>
      <x:c r="O6" s="2"/>
      <x:c r="P6" s="2"/>
      <x:c r="Q6" s="2"/>
      <x:c r="R6" s="2"/>
      <x:c r="S6" s="2"/>
      <x:c r="T6" s="2"/>
      <x:c r="U6" s="2"/>
      <x:c r="V6" s="2"/>
      <x:c r="W6" s="2"/>
      <x:c r="X6" s="2"/>
      <x:c r="Y6" s="2"/>
      <x:c r="Z6" s="2"/>
    </x:row>
    <x:row r="7">
      <x:c r="A7" s="2"/>
      <x:c r="B7" s="15" t="str">
        <x:v>Gate</x:v>
      </x:c>
      <x:c r="C7" s="16" t="str">
        <x:v>Article or trial</x:v>
      </x:c>
      <x:c r="D7" s="16" t="str">
        <x:v>Measurement</x:v>
      </x:c>
      <x:c r="E7" s="16" t="str">
        <x:v>Configuration lock</x:v>
      </x:c>
      <x:c r="F7" s="16" t="str">
        <x:v>State</x:v>
      </x:c>
      <x:c r="G7" s="17" t="str">
        <x:v>Unlocks</x:v>
      </x:c>
      <x:c r="H7" s="2"/>
      <x:c r="I7" s="2"/>
      <x:c r="J7" s="2"/>
      <x:c r="K7" s="2"/>
      <x:c r="L7" s="2"/>
      <x:c r="M7" s="2"/>
      <x:c r="N7" s="2"/>
      <x:c r="O7" s="2"/>
      <x:c r="P7" s="2"/>
      <x:c r="Q7" s="2"/>
      <x:c r="R7" s="2"/>
      <x:c r="S7" s="2"/>
      <x:c r="T7" s="2"/>
      <x:c r="U7" s="2"/>
      <x:c r="V7" s="2"/>
      <x:c r="W7" s="2"/>
      <x:c r="X7" s="2"/>
      <x:c r="Y7" s="2"/>
      <x:c r="Z7" s="2"/>
    </x:row>
    <x:row r="8" ht="40" customHeight="1">
      <x:c r="A8" s="2"/>
      <x:c r="B8" s="2" t="str">
        <x:v>G01</x:v>
      </x:c>
      <x:c r="C8" s="29" t="str">
        <x:v>governed module packing article</x:v>
      </x:c>
      <x:c r="D8" s="29" t="str">
        <x:v>mass, cube, restraint and connector access</x:v>
      </x:c>
      <x:c r="E8" s="2" t="str">
        <x:v>all thirty-two module positions</x:v>
      </x:c>
      <x:c r="F8" s="18" t="str">
        <x:v>OPEN</x:v>
      </x:c>
      <x:c r="G8" s="29" t="str">
        <x:v>module geometry</x:v>
      </x:c>
      <x:c r="H8" s="2"/>
      <x:c r="I8" s="2"/>
      <x:c r="J8" s="2"/>
      <x:c r="K8" s="2"/>
      <x:c r="L8" s="2"/>
      <x:c r="M8" s="2"/>
      <x:c r="N8" s="2"/>
      <x:c r="O8" s="2"/>
      <x:c r="P8" s="2"/>
      <x:c r="Q8" s="2"/>
      <x:c r="R8" s="2"/>
      <x:c r="S8" s="2"/>
      <x:c r="T8" s="2"/>
      <x:c r="U8" s="2"/>
      <x:c r="V8" s="2"/>
      <x:c r="W8" s="2"/>
      <x:c r="X8" s="2"/>
      <x:c r="Y8" s="2"/>
      <x:c r="Z8" s="2"/>
    </x:row>
    <x:row r="9" ht="40" customHeight="1">
      <x:c r="A9" s="2"/>
      <x:c r="B9" s="2" t="str">
        <x:v>G02</x:v>
      </x:c>
      <x:c r="C9" s="29" t="str">
        <x:v>cross-prime module exchange</x:v>
      </x:c>
      <x:c r="D9" s="29" t="str">
        <x:v>safe service after source and rejection substitution</x:v>
      </x:c>
      <x:c r="E9" s="2" t="str">
        <x:v>two independent primes</x:v>
      </x:c>
      <x:c r="F9" s="18" t="str">
        <x:v>OPEN</x:v>
      </x:c>
      <x:c r="G9" s="29" t="str">
        <x:v>interface commonity</x:v>
      </x:c>
      <x:c r="H9" s="2"/>
      <x:c r="I9" s="2"/>
      <x:c r="J9" s="2"/>
      <x:c r="K9" s="2"/>
      <x:c r="L9" s="2"/>
      <x:c r="M9" s="2"/>
      <x:c r="N9" s="2"/>
      <x:c r="O9" s="2"/>
      <x:c r="P9" s="2"/>
      <x:c r="Q9" s="2"/>
      <x:c r="R9" s="2"/>
      <x:c r="S9" s="2"/>
      <x:c r="T9" s="2"/>
      <x:c r="U9" s="2"/>
      <x:c r="V9" s="2"/>
      <x:c r="W9" s="2"/>
      <x:c r="X9" s="2"/>
      <x:c r="Y9" s="2"/>
      <x:c r="Z9" s="2"/>
    </x:row>
    <x:row r="10" ht="40" customHeight="1">
      <x:c r="A10" s="2"/>
      <x:c r="B10" s="2" t="str">
        <x:v>G03</x:v>
      </x:c>
      <x:c r="C10" s="29" t="str">
        <x:v>road article scale trial</x:v>
      </x:c>
      <x:c r="D10" s="29" t="str">
        <x:v>axle, height, width, braking and turn envelope</x:v>
      </x:c>
      <x:c r="E10" s="2" t="str">
        <x:v>loaded cargo position</x:v>
      </x:c>
      <x:c r="F10" s="18" t="str">
        <x:v>OPEN</x:v>
      </x:c>
      <x:c r="G10" s="29" t="str">
        <x:v>road position</x:v>
      </x:c>
      <x:c r="H10" s="2"/>
      <x:c r="I10" s="2"/>
      <x:c r="J10" s="2"/>
      <x:c r="K10" s="2"/>
      <x:c r="L10" s="2"/>
      <x:c r="M10" s="2"/>
      <x:c r="N10" s="2"/>
      <x:c r="O10" s="2"/>
      <x:c r="P10" s="2"/>
      <x:c r="Q10" s="2"/>
      <x:c r="R10" s="2"/>
      <x:c r="S10" s="2"/>
      <x:c r="T10" s="2"/>
      <x:c r="U10" s="2"/>
      <x:c r="V10" s="2"/>
      <x:c r="W10" s="2"/>
      <x:c r="X10" s="2"/>
      <x:c r="Y10" s="2"/>
      <x:c r="Z10" s="2"/>
    </x:row>
    <x:row r="11" ht="40" customHeight="1">
      <x:c r="A11" s="2"/>
      <x:c r="B11" s="2" t="str">
        <x:v>G04</x:v>
      </x:c>
      <x:c r="C11" s="29" t="str">
        <x:v>bridge and pavement route trial</x:v>
      </x:c>
      <x:c r="D11" s="29" t="str">
        <x:v>released path under weak-link limits</x:v>
      </x:c>
      <x:c r="E11" s="2" t="str">
        <x:v>complete road column</x:v>
      </x:c>
      <x:c r="F11" s="18" t="str">
        <x:v>OPEN</x:v>
      </x:c>
      <x:c r="G11" s="29" t="str">
        <x:v>road access</x:v>
      </x:c>
      <x:c r="H11" s="2"/>
      <x:c r="I11" s="2"/>
      <x:c r="J11" s="2"/>
      <x:c r="K11" s="2"/>
      <x:c r="L11" s="2"/>
      <x:c r="M11" s="2"/>
      <x:c r="N11" s="2"/>
      <x:c r="O11" s="2"/>
      <x:c r="P11" s="2"/>
      <x:c r="Q11" s="2"/>
      <x:c r="R11" s="2"/>
      <x:c r="S11" s="2"/>
      <x:c r="T11" s="2"/>
      <x:c r="U11" s="2"/>
      <x:c r="V11" s="2"/>
      <x:c r="W11" s="2"/>
      <x:c r="X11" s="2"/>
      <x:c r="Y11" s="2"/>
      <x:c r="Z11" s="2"/>
    </x:row>
    <x:row r="12" ht="40" customHeight="1">
      <x:c r="A12" s="2"/>
      <x:c r="B12" s="2" t="str">
        <x:v>G05</x:v>
      </x:c>
      <x:c r="C12" s="29" t="str">
        <x:v>three-column road mission</x:v>
      </x:c>
      <x:c r="D12" s="29" t="str">
        <x:v>service after one corridor loss</x:v>
      </x:c>
      <x:c r="E12" s="2" t="str">
        <x:v>separate origins and routes</x:v>
      </x:c>
      <x:c r="F12" s="18" t="str">
        <x:v>OPEN</x:v>
      </x:c>
      <x:c r="G12" s="29" t="str">
        <x:v>G1 route retention</x:v>
      </x:c>
      <x:c r="H12" s="2"/>
      <x:c r="I12" s="2"/>
      <x:c r="J12" s="2"/>
      <x:c r="K12" s="2"/>
      <x:c r="L12" s="2"/>
      <x:c r="M12" s="2"/>
      <x:c r="N12" s="2"/>
      <x:c r="O12" s="2"/>
      <x:c r="P12" s="2"/>
      <x:c r="Q12" s="2"/>
      <x:c r="R12" s="2"/>
      <x:c r="S12" s="2"/>
      <x:c r="T12" s="2"/>
      <x:c r="U12" s="2"/>
      <x:c r="V12" s="2"/>
      <x:c r="W12" s="2"/>
      <x:c r="X12" s="2"/>
      <x:c r="Y12" s="2"/>
      <x:c r="Z12" s="2"/>
    </x:row>
    <x:row r="13" ht="40" customHeight="1">
      <x:c r="A13" s="2"/>
      <x:c r="B13" s="2" t="str">
        <x:v>G06</x:v>
      </x:c>
      <x:c r="C13" s="29" t="str">
        <x:v>road convoy control denial</x:v>
      </x:c>
      <x:c r="D13" s="29" t="str">
        <x:v>safe movement without commercial network</x:v>
      </x:c>
      <x:c r="E13" s="2" t="str">
        <x:v>all road and support positions</x:v>
      </x:c>
      <x:c r="F13" s="18" t="str">
        <x:v>OPEN</x:v>
      </x:c>
      <x:c r="G13" s="29" t="str">
        <x:v>G1 command</x:v>
      </x:c>
      <x:c r="H13" s="2"/>
      <x:c r="I13" s="2"/>
      <x:c r="J13" s="2"/>
      <x:c r="K13" s="2"/>
      <x:c r="L13" s="2"/>
      <x:c r="M13" s="2"/>
      <x:c r="N13" s="2"/>
      <x:c r="O13" s="2"/>
      <x:c r="P13" s="2"/>
      <x:c r="Q13" s="2"/>
      <x:c r="R13" s="2"/>
      <x:c r="S13" s="2"/>
      <x:c r="T13" s="2"/>
      <x:c r="U13" s="2"/>
      <x:c r="V13" s="2"/>
      <x:c r="W13" s="2"/>
      <x:c r="X13" s="2"/>
      <x:c r="Y13" s="2"/>
      <x:c r="Z13" s="2"/>
    </x:row>
    <x:row r="14" ht="40" customHeight="1">
      <x:c r="A14" s="2"/>
      <x:c r="B14" s="2" t="str">
        <x:v>G07</x:v>
      </x:c>
      <x:c r="C14" s="29" t="str">
        <x:v>rail clearance and axle article</x:v>
      </x:c>
      <x:c r="D14" s="29" t="str">
        <x:v>dynamic envelope, axle and braking response</x:v>
      </x:c>
      <x:c r="E14" s="2" t="str">
        <x:v>loaded consist</x:v>
      </x:c>
      <x:c r="F14" s="18" t="str">
        <x:v>OPEN</x:v>
      </x:c>
      <x:c r="G14" s="29" t="str">
        <x:v>rail position</x:v>
      </x:c>
      <x:c r="H14" s="2"/>
      <x:c r="I14" s="2"/>
      <x:c r="J14" s="2"/>
      <x:c r="K14" s="2"/>
      <x:c r="L14" s="2"/>
      <x:c r="M14" s="2"/>
      <x:c r="N14" s="2"/>
      <x:c r="O14" s="2"/>
      <x:c r="P14" s="2"/>
      <x:c r="Q14" s="2"/>
      <x:c r="R14" s="2"/>
      <x:c r="S14" s="2"/>
      <x:c r="T14" s="2"/>
      <x:c r="U14" s="2"/>
      <x:c r="V14" s="2"/>
      <x:c r="W14" s="2"/>
      <x:c r="X14" s="2"/>
      <x:c r="Y14" s="2"/>
      <x:c r="Z14" s="2"/>
    </x:row>
    <x:row r="15" ht="40" customHeight="1">
      <x:c r="A15" s="2"/>
      <x:c r="B15" s="2" t="str">
        <x:v>G08</x:v>
      </x:c>
      <x:c r="C15" s="29" t="str">
        <x:v>direct-siding service trial</x:v>
      </x:c>
      <x:c r="D15" s="29" t="str">
        <x:v>time from arrival to released utility service</x:v>
      </x:c>
      <x:c r="E15" s="2" t="str">
        <x:v>complete rail consist and receiver</x:v>
      </x:c>
      <x:c r="F15" s="18" t="str">
        <x:v>OPEN</x:v>
      </x:c>
      <x:c r="G15" s="29" t="str">
        <x:v>G2 setup</x:v>
      </x:c>
      <x:c r="H15" s="2"/>
      <x:c r="I15" s="2"/>
      <x:c r="J15" s="2"/>
      <x:c r="K15" s="2"/>
      <x:c r="L15" s="2"/>
      <x:c r="M15" s="2"/>
      <x:c r="N15" s="2"/>
      <x:c r="O15" s="2"/>
      <x:c r="P15" s="2"/>
      <x:c r="Q15" s="2"/>
      <x:c r="R15" s="2"/>
      <x:c r="S15" s="2"/>
      <x:c r="T15" s="2"/>
      <x:c r="U15" s="2"/>
      <x:c r="V15" s="2"/>
      <x:c r="W15" s="2"/>
      <x:c r="X15" s="2"/>
      <x:c r="Y15" s="2"/>
      <x:c r="Z15" s="2"/>
    </x:row>
    <x:row r="16" ht="40" customHeight="1">
      <x:c r="A16" s="2"/>
      <x:c r="B16" s="2" t="str">
        <x:v>G09</x:v>
      </x:c>
      <x:c r="C16" s="29" t="str">
        <x:v>expeditionary rail transload</x:v>
      </x:c>
      <x:c r="D16" s="29" t="str">
        <x:v>modules per hour without surviving crane</x:v>
      </x:c>
      <x:c r="E16" s="2" t="str">
        <x:v>field node and road shuttle</x:v>
      </x:c>
      <x:c r="F16" s="18" t="str">
        <x:v>OPEN</x:v>
      </x:c>
      <x:c r="G16" s="29" t="str">
        <x:v>unprepared G2</x:v>
      </x:c>
      <x:c r="H16" s="2"/>
      <x:c r="I16" s="2"/>
      <x:c r="J16" s="2"/>
      <x:c r="K16" s="2"/>
      <x:c r="L16" s="2"/>
      <x:c r="M16" s="2"/>
      <x:c r="N16" s="2"/>
      <x:c r="O16" s="2"/>
      <x:c r="P16" s="2"/>
      <x:c r="Q16" s="2"/>
      <x:c r="R16" s="2"/>
      <x:c r="S16" s="2"/>
      <x:c r="T16" s="2"/>
      <x:c r="U16" s="2"/>
      <x:c r="V16" s="2"/>
      <x:c r="W16" s="2"/>
      <x:c r="X16" s="2"/>
      <x:c r="Y16" s="2"/>
      <x:c r="Z16" s="2"/>
    </x:row>
    <x:row r="17" ht="40" customHeight="1">
      <x:c r="A17" s="2"/>
      <x:c r="B17" s="2" t="str">
        <x:v>G10</x:v>
      </x:c>
      <x:c r="C17" s="29" t="str">
        <x:v>rail denial and offload trial</x:v>
      </x:c>
      <x:c r="D17" s="29" t="str">
        <x:v>protected service after rail-path loss</x:v>
      </x:c>
      <x:c r="E17" s="2" t="str">
        <x:v>alternate receiving path</x:v>
      </x:c>
      <x:c r="F17" s="18" t="str">
        <x:v>OPEN</x:v>
      </x:c>
      <x:c r="G17" s="29" t="str">
        <x:v>G2 degraded service</x:v>
      </x:c>
      <x:c r="H17" s="2"/>
      <x:c r="I17" s="2"/>
      <x:c r="J17" s="2"/>
      <x:c r="K17" s="2"/>
      <x:c r="L17" s="2"/>
      <x:c r="M17" s="2"/>
      <x:c r="N17" s="2"/>
      <x:c r="O17" s="2"/>
      <x:c r="P17" s="2"/>
      <x:c r="Q17" s="2"/>
      <x:c r="R17" s="2"/>
      <x:c r="S17" s="2"/>
      <x:c r="T17" s="2"/>
      <x:c r="U17" s="2"/>
      <x:c r="V17" s="2"/>
      <x:c r="W17" s="2"/>
      <x:c r="X17" s="2"/>
      <x:c r="Y17" s="2"/>
      <x:c r="Z17" s="2"/>
    </x:row>
    <x:row r="18" ht="40" customHeight="1">
      <x:c r="A18" s="2"/>
      <x:c r="B18" s="2" t="str">
        <x:v>G11</x:v>
      </x:c>
      <x:c r="C18" s="29" t="str">
        <x:v>full-load barge hydrostatic trial</x:v>
      </x:c>
      <x:c r="D18" s="29" t="str">
        <x:v>draft, trim, stability and freeboard</x:v>
      </x:c>
      <x:c r="E18" s="2" t="str">
        <x:v>complete 72 m host</x:v>
      </x:c>
      <x:c r="F18" s="18" t="str">
        <x:v>OPEN</x:v>
      </x:c>
      <x:c r="G18" s="29" t="str">
        <x:v>G3 payload</x:v>
      </x:c>
      <x:c r="H18" s="2"/>
      <x:c r="I18" s="2"/>
      <x:c r="J18" s="2"/>
      <x:c r="K18" s="2"/>
      <x:c r="L18" s="2"/>
      <x:c r="M18" s="2"/>
      <x:c r="N18" s="2"/>
      <x:c r="O18" s="2"/>
      <x:c r="P18" s="2"/>
      <x:c r="Q18" s="2"/>
      <x:c r="R18" s="2"/>
      <x:c r="S18" s="2"/>
      <x:c r="T18" s="2"/>
      <x:c r="U18" s="2"/>
      <x:c r="V18" s="2"/>
      <x:c r="W18" s="2"/>
      <x:c r="X18" s="2"/>
      <x:c r="Y18" s="2"/>
      <x:c r="Z18" s="2"/>
    </x:row>
    <x:row r="19" ht="40" customHeight="1">
      <x:c r="A19" s="2"/>
      <x:c r="B19" s="2" t="str">
        <x:v>G12</x:v>
      </x:c>
      <x:c r="C19" s="29" t="str">
        <x:v>current and debris challenge</x:v>
      </x:c>
      <x:c r="D19" s="29" t="str">
        <x:v>station keeping, intake protection and release</x:v>
      </x:c>
      <x:c r="E19" s="2" t="str">
        <x:v>loaded host and mooring</x:v>
      </x:c>
      <x:c r="F19" s="18" t="str">
        <x:v>OPEN</x:v>
      </x:c>
      <x:c r="G19" s="29" t="str">
        <x:v>G3 operating envelope</x:v>
      </x:c>
      <x:c r="H19" s="2"/>
      <x:c r="I19" s="2"/>
      <x:c r="J19" s="2"/>
      <x:c r="K19" s="2"/>
      <x:c r="L19" s="2"/>
      <x:c r="M19" s="2"/>
      <x:c r="N19" s="2"/>
      <x:c r="O19" s="2"/>
      <x:c r="P19" s="2"/>
      <x:c r="Q19" s="2"/>
      <x:c r="R19" s="2"/>
      <x:c r="S19" s="2"/>
      <x:c r="T19" s="2"/>
      <x:c r="U19" s="2"/>
      <x:c r="V19" s="2"/>
      <x:c r="W19" s="2"/>
      <x:c r="X19" s="2"/>
      <x:c r="Y19" s="2"/>
      <x:c r="Z19" s="2"/>
    </x:row>
    <x:row r="20" ht="40" customHeight="1">
      <x:c r="A20" s="2"/>
      <x:c r="B20" s="2" t="str">
        <x:v>G13</x:v>
      </x:c>
      <x:c r="C20" s="29" t="str">
        <x:v>lock and bridge route survey</x:v>
      </x:c>
      <x:c r="D20" s="29" t="str">
        <x:v>route release by draft, beam and air draft</x:v>
      </x:c>
      <x:c r="E20" s="2" t="str">
        <x:v>origin-destination corridor</x:v>
      </x:c>
      <x:c r="F20" s="18" t="str">
        <x:v>OPEN</x:v>
      </x:c>
      <x:c r="G20" s="29" t="str">
        <x:v>water access</x:v>
      </x:c>
      <x:c r="H20" s="2"/>
      <x:c r="I20" s="2"/>
      <x:c r="J20" s="2"/>
      <x:c r="K20" s="2"/>
      <x:c r="L20" s="2"/>
      <x:c r="M20" s="2"/>
      <x:c r="N20" s="2"/>
      <x:c r="O20" s="2"/>
      <x:c r="P20" s="2"/>
      <x:c r="Q20" s="2"/>
      <x:c r="R20" s="2"/>
      <x:c r="S20" s="2"/>
      <x:c r="T20" s="2"/>
      <x:c r="U20" s="2"/>
      <x:c r="V20" s="2"/>
      <x:c r="W20" s="2"/>
      <x:c r="X20" s="2"/>
      <x:c r="Y20" s="2"/>
      <x:c r="Z20" s="2"/>
    </x:row>
    <x:row r="21" ht="40" customHeight="1">
      <x:c r="A21" s="2"/>
      <x:c r="B21" s="2" t="str">
        <x:v>G14</x:v>
      </x:c>
      <x:c r="C21" s="29" t="str">
        <x:v>no-pier bank transfer</x:v>
      </x:c>
      <x:c r="D21" s="29" t="str">
        <x:v>setup time and ground reaction</x:v>
      </x:c>
      <x:c r="E21" s="2" t="str">
        <x:v>expeditionary bank interface</x:v>
      </x:c>
      <x:c r="F21" s="18" t="str">
        <x:v>OPEN</x:v>
      </x:c>
      <x:c r="G21" s="29" t="str">
        <x:v>terminal independence</x:v>
      </x:c>
      <x:c r="H21" s="2"/>
      <x:c r="I21" s="2"/>
      <x:c r="J21" s="2"/>
      <x:c r="K21" s="2"/>
      <x:c r="L21" s="2"/>
      <x:c r="M21" s="2"/>
      <x:c r="N21" s="2"/>
      <x:c r="O21" s="2"/>
      <x:c r="P21" s="2"/>
      <x:c r="Q21" s="2"/>
      <x:c r="R21" s="2"/>
      <x:c r="S21" s="2"/>
      <x:c r="T21" s="2"/>
      <x:c r="U21" s="2"/>
      <x:c r="V21" s="2"/>
      <x:c r="W21" s="2"/>
      <x:c r="X21" s="2"/>
      <x:c r="Y21" s="2"/>
      <x:c r="Z21" s="2"/>
    </x:row>
    <x:row r="22" ht="40" customHeight="1">
      <x:c r="A22" s="2"/>
      <x:c r="B22" s="2" t="str">
        <x:v>G15</x:v>
      </x:c>
      <x:c r="C22" s="29" t="str">
        <x:v>assist-craft loss trial</x:v>
      </x:c>
      <x:c r="D22" s="29" t="str">
        <x:v>continued safe service and recovery</x:v>
      </x:c>
      <x:c r="E22" s="2" t="str">
        <x:v>two-craft configuration</x:v>
      </x:c>
      <x:c r="F22" s="18" t="str">
        <x:v>OPEN</x:v>
      </x:c>
      <x:c r="G22" s="29" t="str">
        <x:v>G3 packet retention</x:v>
      </x:c>
      <x:c r="H22" s="2"/>
      <x:c r="I22" s="2"/>
      <x:c r="J22" s="2"/>
      <x:c r="K22" s="2"/>
      <x:c r="L22" s="2"/>
      <x:c r="M22" s="2"/>
      <x:c r="N22" s="2"/>
      <x:c r="O22" s="2"/>
      <x:c r="P22" s="2"/>
      <x:c r="Q22" s="2"/>
      <x:c r="R22" s="2"/>
      <x:c r="S22" s="2"/>
      <x:c r="T22" s="2"/>
      <x:c r="U22" s="2"/>
      <x:c r="V22" s="2"/>
      <x:c r="W22" s="2"/>
      <x:c r="X22" s="2"/>
      <x:c r="Y22" s="2"/>
      <x:c r="Z22" s="2"/>
    </x:row>
    <x:row r="23" ht="40" customHeight="1">
      <x:c r="A23" s="2"/>
      <x:c r="B23" s="2" t="str">
        <x:v>G16</x:v>
      </x:c>
      <x:c r="C23" s="29" t="str">
        <x:v>prepared-anchor structural article</x:v>
      </x:c>
      <x:c r="D23" s="29" t="str">
        <x:v>load, flood, fire and isolation behavior</x:v>
      </x:c>
      <x:c r="E23" s="2" t="str">
        <x:v>fixed civil works</x:v>
      </x:c>
      <x:c r="F23" s="18" t="str">
        <x:v>OPEN</x:v>
      </x:c>
      <x:c r="G23" s="29" t="str">
        <x:v>G4 site</x:v>
      </x:c>
      <x:c r="H23" s="2"/>
      <x:c r="I23" s="2"/>
      <x:c r="J23" s="2"/>
      <x:c r="K23" s="2"/>
      <x:c r="L23" s="2"/>
      <x:c r="M23" s="2"/>
      <x:c r="N23" s="2"/>
      <x:c r="O23" s="2"/>
      <x:c r="P23" s="2"/>
      <x:c r="Q23" s="2"/>
      <x:c r="R23" s="2"/>
      <x:c r="S23" s="2"/>
      <x:c r="T23" s="2"/>
      <x:c r="U23" s="2"/>
      <x:c r="V23" s="2"/>
      <x:c r="W23" s="2"/>
      <x:c r="X23" s="2"/>
      <x:c r="Y23" s="2"/>
      <x:c r="Z23" s="2"/>
    </x:row>
    <x:row r="24" ht="40" customHeight="1">
      <x:c r="A24" s="2"/>
      <x:c r="B24" s="2" t="str">
        <x:v>G17</x:v>
      </x:c>
      <x:c r="C24" s="29" t="str">
        <x:v>anchor T0/T1 endurance</x:v>
      </x:c>
      <x:c r="D24" s="29" t="str">
        <x:v>protected service before mobile arrival</x:v>
      </x:c>
      <x:c r="E24" s="2" t="str">
        <x:v>stored energy and controls</x:v>
      </x:c>
      <x:c r="F24" s="18" t="str">
        <x:v>OPEN</x:v>
      </x:c>
      <x:c r="G24" s="29" t="str">
        <x:v>G4 arrival</x:v>
      </x:c>
      <x:c r="H24" s="2"/>
      <x:c r="I24" s="2"/>
      <x:c r="J24" s="2"/>
      <x:c r="K24" s="2"/>
      <x:c r="L24" s="2"/>
      <x:c r="M24" s="2"/>
      <x:c r="N24" s="2"/>
      <x:c r="O24" s="2"/>
      <x:c r="P24" s="2"/>
      <x:c r="Q24" s="2"/>
      <x:c r="R24" s="2"/>
      <x:c r="S24" s="2"/>
      <x:c r="T24" s="2"/>
      <x:c r="U24" s="2"/>
      <x:c r="V24" s="2"/>
      <x:c r="W24" s="2"/>
      <x:c r="X24" s="2"/>
      <x:c r="Y24" s="2"/>
      <x:c r="Z24" s="2"/>
    </x:row>
    <x:row r="25" ht="40" customHeight="1">
      <x:c r="A25" s="2"/>
      <x:c r="B25" s="2" t="str">
        <x:v>G18</x:v>
      </x:c>
      <x:c r="C25" s="29" t="str">
        <x:v>anchor-loss transition</x:v>
      </x:c>
      <x:c r="D25" s="29" t="str">
        <x:v>mobile protected service without unsafe backfeed</x:v>
      </x:c>
      <x:c r="E25" s="2" t="str">
        <x:v>fixed and mobile boundaries</x:v>
      </x:c>
      <x:c r="F25" s="18" t="str">
        <x:v>OPEN</x:v>
      </x:c>
      <x:c r="G25" s="29" t="str">
        <x:v>G4 denial</x:v>
      </x:c>
      <x:c r="H25" s="2"/>
      <x:c r="I25" s="2"/>
      <x:c r="J25" s="2"/>
      <x:c r="K25" s="2"/>
      <x:c r="L25" s="2"/>
      <x:c r="M25" s="2"/>
      <x:c r="N25" s="2"/>
      <x:c r="O25" s="2"/>
      <x:c r="P25" s="2"/>
      <x:c r="Q25" s="2"/>
      <x:c r="R25" s="2"/>
      <x:c r="S25" s="2"/>
      <x:c r="T25" s="2"/>
      <x:c r="U25" s="2"/>
      <x:c r="V25" s="2"/>
      <x:c r="W25" s="2"/>
      <x:c r="X25" s="2"/>
      <x:c r="Y25" s="2"/>
      <x:c r="Z25" s="2"/>
    </x:row>
    <x:row r="26" ht="40" customHeight="1">
      <x:c r="A26" s="2"/>
      <x:c r="B26" s="2" t="str">
        <x:v>G19</x:v>
      </x:c>
      <x:c r="C26" s="29" t="str">
        <x:v>tri-modal split mission</x:v>
      </x:c>
      <x:c r="D26" s="29" t="str">
        <x:v>independent released service by each packet</x:v>
      </x:c>
      <x:c r="E26" s="2" t="str">
        <x:v>road, rail and water packets</x:v>
      </x:c>
      <x:c r="F26" s="18" t="str">
        <x:v>OPEN</x:v>
      </x:c>
      <x:c r="G26" s="29" t="str">
        <x:v>G5 route diversity</x:v>
      </x:c>
      <x:c r="H26" s="2"/>
      <x:c r="I26" s="2"/>
      <x:c r="J26" s="2"/>
      <x:c r="K26" s="2"/>
      <x:c r="L26" s="2"/>
      <x:c r="M26" s="2"/>
      <x:c r="N26" s="2"/>
      <x:c r="O26" s="2"/>
      <x:c r="P26" s="2"/>
      <x:c r="Q26" s="2"/>
      <x:c r="R26" s="2"/>
      <x:c r="S26" s="2"/>
      <x:c r="T26" s="2"/>
      <x:c r="U26" s="2"/>
      <x:c r="V26" s="2"/>
      <x:c r="W26" s="2"/>
      <x:c r="X26" s="2"/>
      <x:c r="Y26" s="2"/>
      <x:c r="Z26" s="2"/>
    </x:row>
    <x:row r="27" ht="40" customHeight="1">
      <x:c r="A27" s="2"/>
      <x:c r="B27" s="2" t="str">
        <x:v>G20</x:v>
      </x:c>
      <x:c r="C27" s="29" t="str">
        <x:v>split-service coordination denial</x:v>
      </x:c>
      <x:c r="D27" s="29" t="str">
        <x:v>local priority control after data-link loss</x:v>
      </x:c>
      <x:c r="E27" s="2" t="str">
        <x:v>three packet controllers</x:v>
      </x:c>
      <x:c r="F27" s="18" t="str">
        <x:v>OPEN</x:v>
      </x:c>
      <x:c r="G27" s="29" t="str">
        <x:v>G5 command</x:v>
      </x:c>
      <x:c r="H27" s="2"/>
      <x:c r="I27" s="2"/>
      <x:c r="J27" s="2"/>
      <x:c r="K27" s="2"/>
      <x:c r="L27" s="2"/>
      <x:c r="M27" s="2"/>
      <x:c r="N27" s="2"/>
      <x:c r="O27" s="2"/>
      <x:c r="P27" s="2"/>
      <x:c r="Q27" s="2"/>
      <x:c r="R27" s="2"/>
      <x:c r="S27" s="2"/>
      <x:c r="T27" s="2"/>
      <x:c r="U27" s="2"/>
      <x:c r="V27" s="2"/>
      <x:c r="W27" s="2"/>
      <x:c r="X27" s="2"/>
      <x:c r="Y27" s="2"/>
      <x:c r="Z27" s="2"/>
    </x:row>
    <x:row r="28" ht="40" customHeight="1">
      <x:c r="A28" s="2"/>
      <x:c r="B28" s="2" t="str">
        <x:v>G21</x:v>
      </x:c>
      <x:c r="C28" s="29" t="str">
        <x:v>hour-48 complete service trial</x:v>
      </x:c>
      <x:c r="D28" s="29" t="str">
        <x:v>released power, cooling and building interfaces</x:v>
      </x:c>
      <x:c r="E28" s="2" t="str">
        <x:v>complete geometry</x:v>
      </x:c>
      <x:c r="F28" s="18" t="str">
        <x:v>OPEN</x:v>
      </x:c>
      <x:c r="G28" s="29" t="str">
        <x:v>service deadline</x:v>
      </x:c>
      <x:c r="H28" s="2"/>
      <x:c r="I28" s="2"/>
      <x:c r="J28" s="2"/>
      <x:c r="K28" s="2"/>
      <x:c r="L28" s="2"/>
      <x:c r="M28" s="2"/>
      <x:c r="N28" s="2"/>
      <x:c r="O28" s="2"/>
      <x:c r="P28" s="2"/>
      <x:c r="Q28" s="2"/>
      <x:c r="R28" s="2"/>
      <x:c r="S28" s="2"/>
      <x:c r="T28" s="2"/>
      <x:c r="U28" s="2"/>
      <x:c r="V28" s="2"/>
      <x:c r="W28" s="2"/>
      <x:c r="X28" s="2"/>
      <x:c r="Y28" s="2"/>
      <x:c r="Z28" s="2"/>
    </x:row>
    <x:row r="29" ht="40" customHeight="1">
      <x:c r="A29" s="2"/>
      <x:c r="B29" s="2" t="str">
        <x:v>G22</x:v>
      </x:c>
      <x:c r="C29" s="29" t="str">
        <x:v>hour-24 protected service trial</x:v>
      </x:c>
      <x:c r="D29" s="29" t="str">
        <x:v>protected people-hours and exceptions</x:v>
      </x:c>
      <x:c r="E29" s="2" t="str">
        <x:v>complete geometry</x:v>
      </x:c>
      <x:c r="F29" s="18" t="str">
        <x:v>OPEN</x:v>
      </x:c>
      <x:c r="G29" s="29" t="str">
        <x:v>early service</x:v>
      </x:c>
      <x:c r="H29" s="2"/>
      <x:c r="I29" s="2"/>
      <x:c r="J29" s="2"/>
      <x:c r="K29" s="2"/>
      <x:c r="L29" s="2"/>
      <x:c r="M29" s="2"/>
      <x:c r="N29" s="2"/>
      <x:c r="O29" s="2"/>
      <x:c r="P29" s="2"/>
      <x:c r="Q29" s="2"/>
      <x:c r="R29" s="2"/>
      <x:c r="S29" s="2"/>
      <x:c r="T29" s="2"/>
      <x:c r="U29" s="2"/>
      <x:c r="V29" s="2"/>
      <x:c r="W29" s="2"/>
      <x:c r="X29" s="2"/>
      <x:c r="Y29" s="2"/>
      <x:c r="Z29" s="2"/>
    </x:row>
    <x:row r="30" ht="40" customHeight="1">
      <x:c r="A30" s="2"/>
      <x:c r="B30" s="2" t="str">
        <x:v>G23</x:v>
      </x:c>
      <x:c r="C30" s="29" t="str">
        <x:v>setup work measurement</x:v>
      </x:c>
      <x:c r="D30" s="29" t="str">
        <x:v>qualified person-hours by task and shift</x:v>
      </x:c>
      <x:c r="E30" s="2" t="str">
        <x:v>all handling and test work</x:v>
      </x:c>
      <x:c r="F30" s="18" t="str">
        <x:v>OPEN</x:v>
      </x:c>
      <x:c r="G30" s="29" t="str">
        <x:v>crew account</x:v>
      </x:c>
      <x:c r="H30" s="2"/>
      <x:c r="I30" s="2"/>
      <x:c r="J30" s="2"/>
      <x:c r="K30" s="2"/>
      <x:c r="L30" s="2"/>
      <x:c r="M30" s="2"/>
      <x:c r="N30" s="2"/>
      <x:c r="O30" s="2"/>
      <x:c r="P30" s="2"/>
      <x:c r="Q30" s="2"/>
      <x:c r="R30" s="2"/>
      <x:c r="S30" s="2"/>
      <x:c r="T30" s="2"/>
      <x:c r="U30" s="2"/>
      <x:c r="V30" s="2"/>
      <x:c r="W30" s="2"/>
      <x:c r="X30" s="2"/>
      <x:c r="Y30" s="2"/>
      <x:c r="Z30" s="2"/>
    </x:row>
    <x:row r="31" ht="40" customHeight="1">
      <x:c r="A31" s="2"/>
      <x:c r="B31" s="2" t="str">
        <x:v>G24</x:v>
      </x:c>
      <x:c r="C31" s="29" t="str">
        <x:v>robotic handling denial</x:v>
      </x:c>
      <x:c r="D31" s="29" t="str">
        <x:v>service with handling autonomy removed</x:v>
      </x:c>
      <x:c r="E31" s="2" t="str">
        <x:v>manual-safe configuration</x:v>
      </x:c>
      <x:c r="F31" s="18" t="str">
        <x:v>OPEN</x:v>
      </x:c>
      <x:c r="G31" s="29" t="str">
        <x:v>degraded setup</x:v>
      </x:c>
      <x:c r="H31" s="2"/>
      <x:c r="I31" s="2"/>
      <x:c r="J31" s="2"/>
      <x:c r="K31" s="2"/>
      <x:c r="L31" s="2"/>
      <x:c r="M31" s="2"/>
      <x:c r="N31" s="2"/>
      <x:c r="O31" s="2"/>
      <x:c r="P31" s="2"/>
      <x:c r="Q31" s="2"/>
      <x:c r="R31" s="2"/>
      <x:c r="S31" s="2"/>
      <x:c r="T31" s="2"/>
      <x:c r="U31" s="2"/>
      <x:c r="V31" s="2"/>
      <x:c r="W31" s="2"/>
      <x:c r="X31" s="2"/>
      <x:c r="Y31" s="2"/>
      <x:c r="Z31" s="2"/>
    </x:row>
    <x:row r="32" ht="40" customHeight="1">
      <x:c r="A32" s="2"/>
      <x:c r="B32" s="2" t="str">
        <x:v>G25</x:v>
      </x:c>
      <x:c r="C32" s="29" t="str">
        <x:v>50°C smoke N-1 rejection trial</x:v>
      </x:c>
      <x:c r="D32" s="29" t="str">
        <x:v>net MWth after auxiliaries and blockage</x:v>
      </x:c>
      <x:c r="E32" s="2" t="str">
        <x:v>complete four- or five-train field</x:v>
      </x:c>
      <x:c r="F32" s="18" t="str">
        <x:v>OPEN</x:v>
      </x:c>
      <x:c r="G32" s="29" t="str">
        <x:v>thermal geometry</x:v>
      </x:c>
      <x:c r="H32" s="2"/>
      <x:c r="I32" s="2"/>
      <x:c r="J32" s="2"/>
      <x:c r="K32" s="2"/>
      <x:c r="L32" s="2"/>
      <x:c r="M32" s="2"/>
      <x:c r="N32" s="2"/>
      <x:c r="O32" s="2"/>
      <x:c r="P32" s="2"/>
      <x:c r="Q32" s="2"/>
      <x:c r="R32" s="2"/>
      <x:c r="S32" s="2"/>
      <x:c r="T32" s="2"/>
      <x:c r="U32" s="2"/>
      <x:c r="V32" s="2"/>
      <x:c r="W32" s="2"/>
      <x:c r="X32" s="2"/>
      <x:c r="Y32" s="2"/>
      <x:c r="Z32" s="2"/>
    </x:row>
    <x:row r="33" ht="40" customHeight="1">
      <x:c r="A33" s="2"/>
      <x:c r="B33" s="2" t="str">
        <x:v>G26</x:v>
      </x:c>
      <x:c r="C33" s="29" t="str">
        <x:v>intake and acoustic field trial</x:v>
      </x:c>
      <x:c r="D33" s="29" t="str">
        <x:v>free area, recirculation and public-boundary dBA</x:v>
      </x:c>
      <x:c r="E33" s="2" t="str">
        <x:v>actual site layout</x:v>
      </x:c>
      <x:c r="F33" s="18" t="str">
        <x:v>OPEN</x:v>
      </x:c>
      <x:c r="G33" s="29" t="str">
        <x:v>site area and noise</x:v>
      </x:c>
      <x:c r="H33" s="2"/>
      <x:c r="I33" s="2"/>
      <x:c r="J33" s="2"/>
      <x:c r="K33" s="2"/>
      <x:c r="L33" s="2"/>
      <x:c r="M33" s="2"/>
      <x:c r="N33" s="2"/>
      <x:c r="O33" s="2"/>
      <x:c r="P33" s="2"/>
      <x:c r="Q33" s="2"/>
      <x:c r="R33" s="2"/>
      <x:c r="S33" s="2"/>
      <x:c r="T33" s="2"/>
      <x:c r="U33" s="2"/>
      <x:c r="V33" s="2"/>
      <x:c r="W33" s="2"/>
      <x:c r="X33" s="2"/>
      <x:c r="Y33" s="2"/>
      <x:c r="Z33" s="2"/>
    </x:row>
    <x:row r="34" ht="40" customHeight="1">
      <x:c r="A34" s="2"/>
      <x:c r="B34" s="2" t="str">
        <x:v>G27</x:v>
      </x:c>
      <x:c r="C34" s="29" t="str">
        <x:v>exhaust and plume trial</x:v>
      </x:c>
      <x:c r="D34" s="29" t="str">
        <x:v>occupied exposure and intake interaction</x:v>
      </x:c>
      <x:c r="E34" s="2" t="str">
        <x:v>source, stack and wind field</x:v>
      </x:c>
      <x:c r="F34" s="18" t="str">
        <x:v>OPEN</x:v>
      </x:c>
      <x:c r="G34" s="29" t="str">
        <x:v>combustion siting</x:v>
      </x:c>
      <x:c r="H34" s="2"/>
      <x:c r="I34" s="2"/>
      <x:c r="J34" s="2"/>
      <x:c r="K34" s="2"/>
      <x:c r="L34" s="2"/>
      <x:c r="M34" s="2"/>
      <x:c r="N34" s="2"/>
      <x:c r="O34" s="2"/>
      <x:c r="P34" s="2"/>
      <x:c r="Q34" s="2"/>
      <x:c r="R34" s="2"/>
      <x:c r="S34" s="2"/>
      <x:c r="T34" s="2"/>
      <x:c r="U34" s="2"/>
      <x:c r="V34" s="2"/>
      <x:c r="W34" s="2"/>
      <x:c r="X34" s="2"/>
      <x:c r="Y34" s="2"/>
      <x:c r="Z34" s="2"/>
    </x:row>
    <x:row r="35" ht="40" customHeight="1">
      <x:c r="A35" s="2"/>
      <x:c r="B35" s="2" t="str">
        <x:v>G28</x:v>
      </x:c>
      <x:c r="C35" s="29" t="str">
        <x:v>wet-ground and flood trial</x:v>
      </x:c>
      <x:c r="D35" s="29" t="str">
        <x:v>grounding, bearing, egress and restart</x:v>
      </x:c>
      <x:c r="E35" s="2" t="str">
        <x:v>complete geometry</x:v>
      </x:c>
      <x:c r="F35" s="18" t="str">
        <x:v>OPEN</x:v>
      </x:c>
      <x:c r="G35" s="29" t="str">
        <x:v>wet-site fractions</x:v>
      </x:c>
      <x:c r="H35" s="2"/>
      <x:c r="I35" s="2"/>
      <x:c r="J35" s="2"/>
      <x:c r="K35" s="2"/>
      <x:c r="L35" s="2"/>
      <x:c r="M35" s="2"/>
      <x:c r="N35" s="2"/>
      <x:c r="O35" s="2"/>
      <x:c r="P35" s="2"/>
      <x:c r="Q35" s="2"/>
      <x:c r="R35" s="2"/>
      <x:c r="S35" s="2"/>
      <x:c r="T35" s="2"/>
      <x:c r="U35" s="2"/>
      <x:c r="V35" s="2"/>
      <x:c r="W35" s="2"/>
      <x:c r="X35" s="2"/>
      <x:c r="Y35" s="2"/>
      <x:c r="Z35" s="2"/>
    </x:row>
    <x:row r="36" ht="40" customHeight="1">
      <x:c r="A36" s="2"/>
      <x:c r="B36" s="2" t="str">
        <x:v>G29</x:v>
      </x:c>
      <x:c r="C36" s="29" t="str">
        <x:v>six-hundred-metre corridor trial</x:v>
      </x:c>
      <x:c r="D36" s="29" t="str">
        <x:v>loss, pressure, fault and setup time</x:v>
      </x:c>
      <x:c r="E36" s="2" t="str">
        <x:v>power and thermal corridor</x:v>
      </x:c>
      <x:c r="F36" s="18" t="str">
        <x:v>OPEN</x:v>
      </x:c>
      <x:c r="G36" s="29" t="str">
        <x:v>remote siting</x:v>
      </x:c>
      <x:c r="H36" s="2"/>
      <x:c r="I36" s="2"/>
      <x:c r="J36" s="2"/>
      <x:c r="K36" s="2"/>
      <x:c r="L36" s="2"/>
      <x:c r="M36" s="2"/>
      <x:c r="N36" s="2"/>
      <x:c r="O36" s="2"/>
      <x:c r="P36" s="2"/>
      <x:c r="Q36" s="2"/>
      <x:c r="R36" s="2"/>
      <x:c r="S36" s="2"/>
      <x:c r="T36" s="2"/>
      <x:c r="U36" s="2"/>
      <x:c r="V36" s="2"/>
      <x:c r="W36" s="2"/>
      <x:c r="X36" s="2"/>
      <x:c r="Y36" s="2"/>
      <x:c r="Z36" s="2"/>
    </x:row>
    <x:row r="37" ht="40" customHeight="1">
      <x:c r="A37" s="2"/>
      <x:c r="B37" s="2" t="str">
        <x:v>G30</x:v>
      </x:c>
      <x:c r="C37" s="29" t="str">
        <x:v>bounded demobilization</x:v>
      </x:c>
      <x:c r="D37" s="29" t="str">
        <x:v>safe removal and civil handback within seventy-two hours</x:v>
      </x:c>
      <x:c r="E37" s="2" t="str">
        <x:v>complete used site</x:v>
      </x:c>
      <x:c r="F37" s="18" t="str">
        <x:v>OPEN</x:v>
      </x:c>
      <x:c r="G37" s="29" t="str">
        <x:v>reverse flow</x:v>
      </x:c>
      <x:c r="H37" s="2"/>
      <x:c r="I37" s="2"/>
      <x:c r="J37" s="2"/>
      <x:c r="K37" s="2"/>
      <x:c r="L37" s="2"/>
      <x:c r="M37" s="2"/>
      <x:c r="N37" s="2"/>
      <x:c r="O37" s="2"/>
      <x:c r="P37" s="2"/>
      <x:c r="Q37" s="2"/>
      <x:c r="R37" s="2"/>
      <x:c r="S37" s="2"/>
      <x:c r="T37" s="2"/>
      <x:c r="U37" s="2"/>
      <x:c r="V37" s="2"/>
      <x:c r="W37" s="2"/>
      <x:c r="X37" s="2"/>
      <x:c r="Y37" s="2"/>
      <x:c r="Z37" s="2"/>
    </x:row>
    <x:row r="38" ht="40" customHeight="1">
      <x:c r="A38" s="2"/>
      <x:c r="B38" s="2" t="str">
        <x:v>G31</x:v>
      </x:c>
      <x:c r="C38" s="29" t="str">
        <x:v>three-day reset trial</x:v>
      </x:c>
      <x:c r="D38" s="29" t="str">
        <x:v>inventory, maintenance, crew and configuration</x:v>
      </x:c>
      <x:c r="E38" s="2" t="str">
        <x:v>same host without donor borrowing</x:v>
      </x:c>
      <x:c r="F38" s="18" t="str">
        <x:v>OPEN</x:v>
      </x:c>
      <x:c r="G38" s="29" t="str">
        <x:v>second mission</x:v>
      </x:c>
      <x:c r="H38" s="2"/>
      <x:c r="I38" s="2"/>
      <x:c r="J38" s="2"/>
      <x:c r="K38" s="2"/>
      <x:c r="L38" s="2"/>
      <x:c r="M38" s="2"/>
      <x:c r="N38" s="2"/>
      <x:c r="O38" s="2"/>
      <x:c r="P38" s="2"/>
      <x:c r="Q38" s="2"/>
      <x:c r="R38" s="2"/>
      <x:c r="S38" s="2"/>
      <x:c r="T38" s="2"/>
      <x:c r="U38" s="2"/>
      <x:c r="V38" s="2"/>
      <x:c r="W38" s="2"/>
      <x:c r="X38" s="2"/>
      <x:c r="Y38" s="2"/>
      <x:c r="Z38" s="2"/>
    </x:row>
    <x:row r="39" ht="40" customHeight="1">
      <x:c r="A39" s="2"/>
      <x:c r="B39" s="2" t="str">
        <x:v>G32</x:v>
      </x:c>
      <x:c r="C39" s="29" t="str">
        <x:v>mixed-host PTS-50 trial</x:v>
      </x:c>
      <x:c r="D39" s="29" t="str">
        <x:v>ten-cell service after two geometry denials</x:v>
      </x:c>
      <x:c r="E39" s="2" t="str">
        <x:v>twelve cells and group control</x:v>
      </x:c>
      <x:c r="F39" s="18" t="str">
        <x:v>OPEN</x:v>
      </x:c>
      <x:c r="G39" s="29" t="str">
        <x:v>portfolio behavior</x:v>
      </x:c>
      <x:c r="H39" s="2"/>
      <x:c r="I39" s="2"/>
      <x:c r="J39" s="2"/>
      <x:c r="K39" s="2"/>
      <x:c r="L39" s="2"/>
      <x:c r="M39" s="2"/>
      <x:c r="N39" s="2"/>
      <x:c r="O39" s="2"/>
      <x:c r="P39" s="2"/>
      <x:c r="Q39" s="2"/>
      <x:c r="R39" s="2"/>
      <x:c r="S39" s="2"/>
      <x:c r="T39" s="2"/>
      <x:c r="U39" s="2"/>
      <x:c r="V39" s="2"/>
      <x:c r="W39" s="2"/>
      <x:c r="X39" s="2"/>
      <x:c r="Y39" s="2"/>
      <x:c r="Z39" s="2"/>
    </x:row>
    <x:row r="40" ht="40" customHeight="1">
      <x:c r="A40" s="2"/>
      <x:c r="B40" s="2" t="str">
        <x:v>G33</x:v>
      </x:c>
      <x:c r="C40" s="29" t="str">
        <x:v>carrier and component ancestry hold</x:v>
      </x:c>
      <x:c r="D40" s="29" t="str">
        <x:v>available hosts after supplier quarantine</x:v>
      </x:c>
      <x:c r="E40" s="2" t="str">
        <x:v>serialized carriers and modules</x:v>
      </x:c>
      <x:c r="F40" s="18" t="str">
        <x:v>OPEN</x:v>
      </x:c>
      <x:c r="G40" s="29" t="str">
        <x:v>national depth</x:v>
      </x:c>
      <x:c r="H40" s="2"/>
      <x:c r="I40" s="2"/>
      <x:c r="J40" s="2"/>
      <x:c r="K40" s="2"/>
      <x:c r="L40" s="2"/>
      <x:c r="M40" s="2"/>
      <x:c r="N40" s="2"/>
      <x:c r="O40" s="2"/>
      <x:c r="P40" s="2"/>
      <x:c r="Q40" s="2"/>
      <x:c r="R40" s="2"/>
      <x:c r="S40" s="2"/>
      <x:c r="T40" s="2"/>
      <x:c r="U40" s="2"/>
      <x:c r="V40" s="2"/>
      <x:c r="W40" s="2"/>
      <x:c r="X40" s="2"/>
      <x:c r="Y40" s="2"/>
      <x:c r="Z40" s="2"/>
    </x:row>
    <x:row r="41" ht="40" customHeight="1">
      <x:c r="A41" s="2"/>
      <x:c r="B41" s="2" t="str">
        <x:v>G34</x:v>
      </x:c>
      <x:c r="C41" s="29" t="str">
        <x:v>blinded occupied-district mission</x:v>
      </x:c>
      <x:c r="D41" s="29" t="str">
        <x:v>protected people-hours and final reset state</x:v>
      </x:c>
      <x:c r="E41" s="2" t="str">
        <x:v>complete group and receivers</x:v>
      </x:c>
      <x:c r="F41" s="18" t="str">
        <x:v>OPEN</x:v>
      </x:c>
      <x:c r="G41" s="29" t="str">
        <x:v>representative admission</x:v>
      </x:c>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conditionalFormatting sqref="F8:F41">
    <x:cfRule type="cellIs" dxfId="2" priority="1" operator="equal">
      <x:formula>"OPEN"</x:formula>
    </x:cfRule>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2" max="2" width="10" hidden="0" customWidth="1"/>
    <x:col min="3" max="3" width="64" hidden="0" customWidth="1"/>
    <x:col min="4" max="4" width="20" hidden="0" customWidth="1"/>
    <x:col min="5" max="5" width="1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Integrity checks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2"/>
      <x:c r="G3" s="2"/>
      <x:c r="H3" s="2"/>
      <x:c r="I3" s="2"/>
      <x:c r="J3" s="2"/>
      <x:c r="K3" s="2"/>
      <x:c r="L3" s="2"/>
      <x:c r="M3" s="2"/>
      <x:c r="N3" s="2"/>
      <x:c r="O3" s="2"/>
      <x:c r="P3" s="2"/>
      <x:c r="Q3" s="2"/>
      <x:c r="R3" s="2"/>
      <x:c r="S3" s="2"/>
      <x:c r="T3" s="2"/>
      <x:c r="U3" s="2"/>
      <x:c r="V3" s="2"/>
      <x:c r="W3" s="2"/>
      <x:c r="X3" s="2"/>
      <x:c r="Y3" s="2"/>
      <x:c r="Z3" s="2"/>
    </x:row>
    <x:row r="4">
      <x:c r="A4" s="2"/>
      <x:c r="B4" s="5" t="str">
        <x:v>Checks observe the model and do not feed assumptions, calculations or displayed results.</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Reconciliation and boundary checks</x:v>
      </x:c>
      <x:c r="C6" s="9"/>
      <x:c r="D6" s="9"/>
      <x:c r="E6" s="10"/>
      <x:c r="F6" s="2"/>
      <x:c r="G6" s="2"/>
      <x:c r="H6" s="2"/>
      <x:c r="I6" s="2"/>
      <x:c r="J6" s="2"/>
      <x:c r="K6" s="2"/>
      <x:c r="L6" s="2"/>
      <x:c r="M6" s="2"/>
      <x:c r="N6" s="2"/>
      <x:c r="O6" s="2"/>
      <x:c r="P6" s="2"/>
      <x:c r="Q6" s="2"/>
      <x:c r="R6" s="2"/>
      <x:c r="S6" s="2"/>
      <x:c r="T6" s="2"/>
      <x:c r="U6" s="2"/>
      <x:c r="V6" s="2"/>
      <x:c r="W6" s="2"/>
      <x:c r="X6" s="2"/>
      <x:c r="Y6" s="2"/>
      <x:c r="Z6" s="2"/>
    </x:row>
    <x:row r="7">
      <x:c r="A7" s="2"/>
      <x:c r="B7" s="15" t="str">
        <x:v>Check</x:v>
      </x:c>
      <x:c r="C7" s="16" t="str">
        <x:v>Test</x:v>
      </x:c>
      <x:c r="D7" s="16" t="str">
        <x:v>Difference / count</x:v>
      </x:c>
      <x:c r="E7" s="17" t="str">
        <x:v>Status</x:v>
      </x:c>
      <x:c r="F7" s="2"/>
      <x:c r="G7" s="2"/>
      <x:c r="H7" s="2"/>
      <x:c r="I7" s="2"/>
      <x:c r="J7" s="2"/>
      <x:c r="K7" s="2"/>
      <x:c r="L7" s="2"/>
      <x:c r="M7" s="2"/>
      <x:c r="N7" s="2"/>
      <x:c r="O7" s="2"/>
      <x:c r="P7" s="2"/>
      <x:c r="Q7" s="2"/>
      <x:c r="R7" s="2"/>
      <x:c r="S7" s="2"/>
      <x:c r="T7" s="2"/>
      <x:c r="U7" s="2"/>
      <x:c r="V7" s="2"/>
      <x:c r="W7" s="2"/>
      <x:c r="X7" s="2"/>
      <x:c r="Y7" s="2"/>
      <x:c r="Z7" s="2"/>
    </x:row>
    <x:row r="8">
      <x:c r="A8" s="2"/>
      <x:c r="B8" s="2" t="str">
        <x:v>C01</x:v>
      </x:c>
      <x:c r="C8" s="2" t="str">
        <x:v>module dry mass equals 580 t</x:v>
      </x:c>
      <x:c r="D8" s="39" t="n">
        <x:f>'Module Stack'!F15-Assumptions!D17</x:f>
        <x:v>0</x:v>
      </x:c>
      <x:c r="E8" s="2" t="str">
        <x:f>IF(ABS(D8)&lt;0.000001,"PASS","FAIL")</x:f>
        <x:v>PASS</x:v>
      </x:c>
      <x:c r="F8" s="2"/>
      <x:c r="G8" s="2"/>
      <x:c r="H8" s="2"/>
      <x:c r="I8" s="2"/>
      <x:c r="J8" s="2"/>
      <x:c r="K8" s="2"/>
      <x:c r="L8" s="2"/>
      <x:c r="M8" s="2"/>
      <x:c r="N8" s="2"/>
      <x:c r="O8" s="2"/>
      <x:c r="P8" s="2"/>
      <x:c r="Q8" s="2"/>
      <x:c r="R8" s="2"/>
      <x:c r="S8" s="2"/>
      <x:c r="T8" s="2"/>
      <x:c r="U8" s="2"/>
      <x:c r="V8" s="2"/>
      <x:c r="W8" s="2"/>
      <x:c r="X8" s="2"/>
      <x:c r="Y8" s="2"/>
      <x:c r="Z8" s="2"/>
    </x:row>
    <x:row r="9">
      <x:c r="A9" s="2"/>
      <x:c r="B9" s="2" t="str">
        <x:v>C02</x:v>
      </x:c>
      <x:c r="C9" s="2" t="str">
        <x:v>module wet mass equals declared liquid inventory</x:v>
      </x:c>
      <x:c r="D9" s="39" t="n">
        <x:f>'Module Stack'!H15-Assumptions!D18</x:f>
        <x:v>0</x:v>
      </x:c>
      <x:c r="E9" s="2" t="str">
        <x:f>IF(ABS(D9)&lt;0.000001,"PASS","FAIL")</x:f>
        <x:v>PASS</x:v>
      </x:c>
      <x:c r="F9" s="2"/>
      <x:c r="G9" s="2"/>
      <x:c r="H9" s="2"/>
      <x:c r="I9" s="2"/>
      <x:c r="J9" s="2"/>
      <x:c r="K9" s="2"/>
      <x:c r="L9" s="2"/>
      <x:c r="M9" s="2"/>
      <x:c r="N9" s="2"/>
      <x:c r="O9" s="2"/>
      <x:c r="P9" s="2"/>
      <x:c r="Q9" s="2"/>
      <x:c r="R9" s="2"/>
      <x:c r="S9" s="2"/>
      <x:c r="T9" s="2"/>
      <x:c r="U9" s="2"/>
      <x:c r="V9" s="2"/>
      <x:c r="W9" s="2"/>
      <x:c r="X9" s="2"/>
      <x:c r="Y9" s="2"/>
      <x:c r="Z9" s="2"/>
    </x:row>
    <x:row r="10">
      <x:c r="A10" s="2"/>
      <x:c r="B10" s="2" t="str">
        <x:v>C03</x:v>
      </x:c>
      <x:c r="C10" s="2" t="str">
        <x:v>module cube equals equipment plus liquid cube</x:v>
      </x:c>
      <x:c r="D10" s="39" t="n">
        <x:f>'Module Stack'!J15-Assumptions!D19-Assumptions!D20</x:f>
        <x:v>0</x:v>
      </x:c>
      <x:c r="E10" s="2" t="str">
        <x:f>IF(ABS(D10)&lt;0.000001,"PASS","FAIL")</x:f>
        <x:v>PASS</x:v>
      </x:c>
      <x:c r="F10" s="2"/>
      <x:c r="G10" s="2"/>
      <x:c r="H10" s="2"/>
      <x:c r="I10" s="2"/>
      <x:c r="J10" s="2"/>
      <x:c r="K10" s="2"/>
      <x:c r="L10" s="2"/>
      <x:c r="M10" s="2"/>
      <x:c r="N10" s="2"/>
      <x:c r="O10" s="2"/>
      <x:c r="P10" s="2"/>
      <x:c r="Q10" s="2"/>
      <x:c r="R10" s="2"/>
      <x:c r="S10" s="2"/>
      <x:c r="T10" s="2"/>
      <x:c r="U10" s="2"/>
      <x:c r="V10" s="2"/>
      <x:c r="W10" s="2"/>
      <x:c r="X10" s="2"/>
      <x:c r="Y10" s="2"/>
      <x:c r="Z10" s="2"/>
    </x:row>
    <x:row r="11">
      <x:c r="A11" s="2"/>
      <x:c r="B11" s="2" t="str">
        <x:v>C04</x:v>
      </x:c>
      <x:c r="C11" s="2" t="str">
        <x:v>module setup work totals all tasks</x:v>
      </x:c>
      <x:c r="D11" s="39" t="n">
        <x:f>'Module Stack'!M15-SUM('Module Stack'!M8:M14)</x:f>
        <x:v>0</x:v>
      </x:c>
      <x:c r="E11" s="2" t="str">
        <x:f>IF(ABS(D11)&lt;0.000001,"PASS","FAIL")</x:f>
        <x:v>PASS</x:v>
      </x:c>
      <x:c r="F11" s="2"/>
      <x:c r="G11" s="2"/>
      <x:c r="H11" s="2"/>
      <x:c r="I11" s="2"/>
      <x:c r="J11" s="2"/>
      <x:c r="K11" s="2"/>
      <x:c r="L11" s="2"/>
      <x:c r="M11" s="2"/>
      <x:c r="N11" s="2"/>
      <x:c r="O11" s="2"/>
      <x:c r="P11" s="2"/>
      <x:c r="Q11" s="2"/>
      <x:c r="R11" s="2"/>
      <x:c r="S11" s="2"/>
      <x:c r="T11" s="2"/>
      <x:c r="U11" s="2"/>
      <x:c r="V11" s="2"/>
      <x:c r="W11" s="2"/>
      <x:c r="X11" s="2"/>
      <x:c r="Y11" s="2"/>
      <x:c r="Z11" s="2"/>
    </x:row>
    <x:row r="12">
      <x:c r="A12" s="2"/>
      <x:c r="B12" s="2" t="str">
        <x:v>C05</x:v>
      </x:c>
      <x:c r="C12" s="2" t="str">
        <x:v>every mobile route share sums to one</x:v>
      </x:c>
      <x:c r="D12" s="39" t="n">
        <x:f>MAX(ABS(Geometry!O8+Geometry!P8+Geometry!Q8-1),ABS(Geometry!O9+Geometry!P9+Geometry!Q9-1),ABS(Geometry!O10+Geometry!P10+Geometry!Q10-1),ABS(Geometry!O11+Geometry!P11+Geometry!Q11-1),ABS(Geometry!O12+Geometry!P12+Geometry!Q12-1))</x:f>
        <x:v>0</x:v>
      </x:c>
      <x:c r="E12" s="2" t="str">
        <x:f>IF(ABS(D12)&lt;0.000001,"PASS","FAIL")</x:f>
        <x:v>PASS</x:v>
      </x:c>
      <x:c r="F12" s="2"/>
      <x:c r="G12" s="2"/>
      <x:c r="H12" s="2"/>
      <x:c r="I12" s="2"/>
      <x:c r="J12" s="2"/>
      <x:c r="K12" s="2"/>
      <x:c r="L12" s="2"/>
      <x:c r="M12" s="2"/>
      <x:c r="N12" s="2"/>
      <x:c r="O12" s="2"/>
      <x:c r="P12" s="2"/>
      <x:c r="Q12" s="2"/>
      <x:c r="R12" s="2"/>
      <x:c r="S12" s="2"/>
      <x:c r="T12" s="2"/>
      <x:c r="U12" s="2"/>
      <x:c r="V12" s="2"/>
      <x:c r="W12" s="2"/>
      <x:c r="X12" s="2"/>
      <x:c r="Y12" s="2"/>
      <x:c r="Z12" s="2"/>
    </x:row>
    <x:row r="13">
      <x:c r="A13" s="2"/>
      <x:c r="B13" s="2" t="str">
        <x:v>C06</x:v>
      </x:c>
      <x:c r="C13" s="2" t="str">
        <x:v>fixed service shares remain bounded</x:v>
      </x:c>
      <x:c r="D13" s="39" t="n">
        <x:f>COUNTIFS(Geometry!E8:E12,"&lt;0")+COUNTIFS(Geometry!E8:E12,"&gt;1")</x:f>
        <x:v>0</x:v>
      </x:c>
      <x:c r="E13" s="2" t="str">
        <x:f>IF(D13=0,"PASS","FAIL")</x:f>
        <x:v>PASS</x:v>
      </x:c>
      <x:c r="F13" s="2"/>
      <x:c r="G13" s="2"/>
      <x:c r="H13" s="2"/>
      <x:c r="I13" s="2"/>
      <x:c r="J13" s="2"/>
      <x:c r="K13" s="2"/>
      <x:c r="L13" s="2"/>
      <x:c r="M13" s="2"/>
      <x:c r="N13" s="2"/>
      <x:c r="O13" s="2"/>
      <x:c r="P13" s="2"/>
      <x:c r="Q13" s="2"/>
      <x:c r="R13" s="2"/>
      <x:c r="S13" s="2"/>
      <x:c r="T13" s="2"/>
      <x:c r="U13" s="2"/>
      <x:c r="V13" s="2"/>
      <x:c r="W13" s="2"/>
      <x:c r="X13" s="2"/>
      <x:c r="Y13" s="2"/>
      <x:c r="Z13" s="2"/>
    </x:row>
    <x:row r="14">
      <x:c r="A14" s="2"/>
      <x:c r="B14" s="2" t="str">
        <x:v>C07</x:v>
      </x:c>
      <x:c r="C14" s="2" t="str">
        <x:v>fixed dry shares remain bounded</x:v>
      </x:c>
      <x:c r="D14" s="39" t="n">
        <x:f>COUNTIFS(Geometry!F8:F12,"&lt;0")+COUNTIFS(Geometry!F8:F12,"&gt;1")</x:f>
        <x:v>0</x:v>
      </x:c>
      <x:c r="E14" s="2" t="str">
        <x:f>IF(D14=0,"PASS","FAIL")</x:f>
        <x:v>PASS</x:v>
      </x:c>
      <x:c r="F14" s="2"/>
      <x:c r="G14" s="2"/>
      <x:c r="H14" s="2"/>
      <x:c r="I14" s="2"/>
      <x:c r="J14" s="2"/>
      <x:c r="K14" s="2"/>
      <x:c r="L14" s="2"/>
      <x:c r="M14" s="2"/>
      <x:c r="N14" s="2"/>
      <x:c r="O14" s="2"/>
      <x:c r="P14" s="2"/>
      <x:c r="Q14" s="2"/>
      <x:c r="R14" s="2"/>
      <x:c r="S14" s="2"/>
      <x:c r="T14" s="2"/>
      <x:c r="U14" s="2"/>
      <x:c r="V14" s="2"/>
      <x:c r="W14" s="2"/>
      <x:c r="X14" s="2"/>
      <x:c r="Y14" s="2"/>
      <x:c r="Z14" s="2"/>
    </x:row>
    <x:row r="15">
      <x:c r="A15" s="2"/>
      <x:c r="B15" s="2" t="str">
        <x:v>C08</x:v>
      </x:c>
      <x:c r="C15" s="2" t="str">
        <x:v>mobile dry masses reconcile</x:v>
      </x:c>
      <x:c r="D15" s="39" t="n">
        <x:f>MAX(ABS(Geometry!J8-('Module Stack'!F15*(1-Geometry!F8)+Geometry!G8)),ABS(Geometry!J9-('Module Stack'!F15*(1-Geometry!F9)+Geometry!G9)),ABS(Geometry!J10-('Module Stack'!F15*(1-Geometry!F10)+Geometry!G10)),ABS(Geometry!J11-('Module Stack'!F15*(1-Geometry!F11)+Geometry!G11)),ABS(Geometry!J12-('Module Stack'!F15*(1-Geometry!F12)+Geometry!G12)))</x:f>
        <x:v>0</x:v>
      </x:c>
      <x:c r="E15" s="2" t="str">
        <x:f>IF(ABS(D15)&lt;0.000001,"PASS","FAIL")</x:f>
        <x:v>PASS</x:v>
      </x:c>
      <x:c r="F15" s="2"/>
      <x:c r="G15" s="2"/>
      <x:c r="H15" s="2"/>
      <x:c r="I15" s="2"/>
      <x:c r="J15" s="2"/>
      <x:c r="K15" s="2"/>
      <x:c r="L15" s="2"/>
      <x:c r="M15" s="2"/>
      <x:c r="N15" s="2"/>
      <x:c r="O15" s="2"/>
      <x:c r="P15" s="2"/>
      <x:c r="Q15" s="2"/>
      <x:c r="R15" s="2"/>
      <x:c r="S15" s="2"/>
      <x:c r="T15" s="2"/>
      <x:c r="U15" s="2"/>
      <x:c r="V15" s="2"/>
      <x:c r="W15" s="2"/>
      <x:c r="X15" s="2"/>
      <x:c r="Y15" s="2"/>
      <x:c r="Z15" s="2"/>
    </x:row>
    <x:row r="16">
      <x:c r="A16" s="2"/>
      <x:c r="B16" s="2" t="str">
        <x:v>C09</x:v>
      </x:c>
      <x:c r="C16" s="2" t="str">
        <x:v>fixed dry masses reconcile</x:v>
      </x:c>
      <x:c r="D16" s="39" t="n">
        <x:f>MAX(ABS(Geometry!K8-'Module Stack'!F15*Geometry!F8),ABS(Geometry!K9-'Module Stack'!F15*Geometry!F9),ABS(Geometry!K10-'Module Stack'!F15*Geometry!F10),ABS(Geometry!K11-'Module Stack'!F15*Geometry!F11),ABS(Geometry!K12-'Module Stack'!F15*Geometry!F12))</x:f>
        <x:v>0</x:v>
      </x:c>
      <x:c r="E16" s="2" t="str">
        <x:f>IF(ABS(D16)&lt;0.000001,"PASS","FAIL")</x:f>
        <x:v>PASS</x:v>
      </x:c>
      <x:c r="F16" s="2"/>
      <x:c r="G16" s="2"/>
      <x:c r="H16" s="2"/>
      <x:c r="I16" s="2"/>
      <x:c r="J16" s="2"/>
      <x:c r="K16" s="2"/>
      <x:c r="L16" s="2"/>
      <x:c r="M16" s="2"/>
      <x:c r="N16" s="2"/>
      <x:c r="O16" s="2"/>
      <x:c r="P16" s="2"/>
      <x:c r="Q16" s="2"/>
      <x:c r="R16" s="2"/>
      <x:c r="S16" s="2"/>
      <x:c r="T16" s="2"/>
      <x:c r="U16" s="2"/>
      <x:c r="V16" s="2"/>
      <x:c r="W16" s="2"/>
      <x:c r="X16" s="2"/>
      <x:c r="Y16" s="2"/>
      <x:c r="Z16" s="2"/>
    </x:row>
    <x:row r="17">
      <x:c r="A17" s="2"/>
      <x:c r="B17" s="2" t="str">
        <x:v>C10</x:v>
      </x:c>
      <x:c r="C17" s="2" t="str">
        <x:v>mobile wet inventories reconcile</x:v>
      </x:c>
      <x:c r="D17" s="39" t="n">
        <x:f>MAX(ABS(Geometry!L8-'Module Stack'!H15*Geometry!I8),ABS(Geometry!L9-'Module Stack'!H15*Geometry!I9),ABS(Geometry!L10-'Module Stack'!H15*Geometry!I10),ABS(Geometry!L11-'Module Stack'!H15*Geometry!I11),ABS(Geometry!L12-'Module Stack'!H15*Geometry!I12))</x:f>
        <x:v>0</x:v>
      </x:c>
      <x:c r="E17" s="2" t="str">
        <x:f>IF(ABS(D17)&lt;0.000001,"PASS","FAIL")</x:f>
        <x:v>PASS</x:v>
      </x:c>
      <x:c r="F17" s="2"/>
      <x:c r="G17" s="2"/>
      <x:c r="H17" s="2"/>
      <x:c r="I17" s="2"/>
      <x:c r="J17" s="2"/>
      <x:c r="K17" s="2"/>
      <x:c r="L17" s="2"/>
      <x:c r="M17" s="2"/>
      <x:c r="N17" s="2"/>
      <x:c r="O17" s="2"/>
      <x:c r="P17" s="2"/>
      <x:c r="Q17" s="2"/>
      <x:c r="R17" s="2"/>
      <x:c r="S17" s="2"/>
      <x:c r="T17" s="2"/>
      <x:c r="U17" s="2"/>
      <x:c r="V17" s="2"/>
      <x:c r="W17" s="2"/>
      <x:c r="X17" s="2"/>
      <x:c r="Y17" s="2"/>
      <x:c r="Z17" s="2"/>
    </x:row>
    <x:row r="18">
      <x:c r="A18" s="2"/>
      <x:c r="B18" s="2" t="str">
        <x:v>C11</x:v>
      </x:c>
      <x:c r="C18" s="2" t="str">
        <x:v>mobile payloads reconcile</x:v>
      </x:c>
      <x:c r="D18" s="39" t="n">
        <x:f>MAX(ABS(Geometry!M8-Geometry!J8-Geometry!L8),ABS(Geometry!M9-Geometry!J9-Geometry!L9),ABS(Geometry!M10-Geometry!J10-Geometry!L10),ABS(Geometry!M11-Geometry!J11-Geometry!L11),ABS(Geometry!M12-Geometry!J12-Geometry!L12))</x:f>
        <x:v>2.1316282072803006e-14</x:v>
      </x:c>
      <x:c r="E18" s="2" t="str">
        <x:f>IF(ABS(D18)&lt;0.000001,"PASS","FAIL")</x:f>
        <x:v>PASS</x:v>
      </x:c>
      <x:c r="F18" s="2"/>
      <x:c r="G18" s="2"/>
      <x:c r="H18" s="2"/>
      <x:c r="I18" s="2"/>
      <x:c r="J18" s="2"/>
      <x:c r="K18" s="2"/>
      <x:c r="L18" s="2"/>
      <x:c r="M18" s="2"/>
      <x:c r="N18" s="2"/>
      <x:c r="O18" s="2"/>
      <x:c r="P18" s="2"/>
      <x:c r="Q18" s="2"/>
      <x:c r="R18" s="2"/>
      <x:c r="S18" s="2"/>
      <x:c r="T18" s="2"/>
      <x:c r="U18" s="2"/>
      <x:c r="V18" s="2"/>
      <x:c r="W18" s="2"/>
      <x:c r="X18" s="2"/>
      <x:c r="Y18" s="2"/>
      <x:c r="Z18" s="2"/>
    </x:row>
    <x:row r="19">
      <x:c r="A19" s="2"/>
      <x:c r="B19" s="2" t="str">
        <x:v>C12</x:v>
      </x:c>
      <x:c r="C19" s="2" t="str">
        <x:v>mobile cube reconciles</x:v>
      </x:c>
      <x:c r="D19" s="39" t="n">
        <x:f>MAX(ABS(Geometry!N8-(('Module Stack'!J15-'Module Stack'!J14)*(1-Geometry!F8)+Geometry!H8+'Module Stack'!J14*Geometry!I8)),ABS(Geometry!N9-(('Module Stack'!J15-'Module Stack'!J14)*(1-Geometry!F9)+Geometry!H9+'Module Stack'!J14*Geometry!I9)),ABS(Geometry!N10-(('Module Stack'!J15-'Module Stack'!J14)*(1-Geometry!F10)+Geometry!H10+'Module Stack'!J14*Geometry!I10)),ABS(Geometry!N11-(('Module Stack'!J15-'Module Stack'!J14)*(1-Geometry!F11)+Geometry!H11+'Module Stack'!J14*Geometry!I11)),ABS(Geometry!N12-(('Module Stack'!J15-'Module Stack'!J14)*(1-Geometry!F12)+Geometry!H12+'Module Stack'!J14*Geometry!I12)))</x:f>
        <x:v>0</x:v>
      </x:c>
      <x:c r="E19" s="2" t="str">
        <x:f>IF(ABS(D19)&lt;0.000001,"PASS","FAIL")</x:f>
        <x:v>PASS</x:v>
      </x:c>
      <x:c r="F19" s="2"/>
      <x:c r="G19" s="2"/>
      <x:c r="H19" s="2"/>
      <x:c r="I19" s="2"/>
      <x:c r="J19" s="2"/>
      <x:c r="K19" s="2"/>
      <x:c r="L19" s="2"/>
      <x:c r="M19" s="2"/>
      <x:c r="N19" s="2"/>
      <x:c r="O19" s="2"/>
      <x:c r="P19" s="2"/>
      <x:c r="Q19" s="2"/>
      <x:c r="R19" s="2"/>
      <x:c r="S19" s="2"/>
      <x:c r="T19" s="2"/>
      <x:c r="U19" s="2"/>
      <x:c r="V19" s="2"/>
      <x:c r="W19" s="2"/>
      <x:c r="X19" s="2"/>
      <x:c r="Y19" s="2"/>
      <x:c r="Z19" s="2"/>
    </x:row>
    <x:row r="20">
      <x:c r="A20" s="2"/>
      <x:c r="B20" s="2" t="str">
        <x:v>C13</x:v>
      </x:c>
      <x:c r="C20" s="2" t="str">
        <x:v>transported system mass includes carrier tare</x:v>
      </x:c>
      <x:c r="D20" s="39" t="n">
        <x:f>MAX(ABS(Geometry!T8-Geometry!M8-Geometry!S8),ABS(Geometry!T9-Geometry!M9-Geometry!S9),ABS(Geometry!T10-Geometry!M10-Geometry!S10),ABS(Geometry!T11-Geometry!M11-Geometry!S11),ABS(Geometry!T12-Geometry!M12-Geometry!S12))</x:f>
        <x:v>0</x:v>
      </x:c>
      <x:c r="E20" s="2" t="str">
        <x:f>IF(ABS(D20)&lt;0.000001,"PASS","FAIL")</x:f>
        <x:v>PASS</x:v>
      </x:c>
      <x:c r="F20" s="2"/>
      <x:c r="G20" s="2"/>
      <x:c r="H20" s="2"/>
      <x:c r="I20" s="2"/>
      <x:c r="J20" s="2"/>
      <x:c r="K20" s="2"/>
      <x:c r="L20" s="2"/>
      <x:c r="M20" s="2"/>
      <x:c r="N20" s="2"/>
      <x:c r="O20" s="2"/>
      <x:c r="P20" s="2"/>
      <x:c r="Q20" s="2"/>
      <x:c r="R20" s="2"/>
      <x:c r="S20" s="2"/>
      <x:c r="T20" s="2"/>
      <x:c r="U20" s="2"/>
      <x:c r="V20" s="2"/>
      <x:c r="W20" s="2"/>
      <x:c r="X20" s="2"/>
      <x:c r="Y20" s="2"/>
      <x:c r="Z20" s="2"/>
    </x:row>
    <x:row r="21">
      <x:c r="A21" s="2"/>
      <x:c r="B21" s="2" t="str">
        <x:v>C14</x:v>
      </x:c>
      <x:c r="C21" s="2" t="str">
        <x:v>installed system mass includes fixed plant</x:v>
      </x:c>
      <x:c r="D21" s="39" t="n">
        <x:f>MAX(ABS(Geometry!U8-Geometry!T8-Geometry!K8),ABS(Geometry!U9-Geometry!T9-Geometry!K9),ABS(Geometry!U10-Geometry!T10-Geometry!K10),ABS(Geometry!U11-Geometry!T11-Geometry!K11),ABS(Geometry!U12-Geometry!T12-Geometry!K12))</x:f>
        <x:v>0</x:v>
      </x:c>
      <x:c r="E21" s="2" t="str">
        <x:f>IF(ABS(D21)&lt;0.000001,"PASS","FAIL")</x:f>
        <x:v>PASS</x:v>
      </x:c>
      <x:c r="F21" s="2"/>
      <x:c r="G21" s="2"/>
      <x:c r="H21" s="2"/>
      <x:c r="I21" s="2"/>
      <x:c r="J21" s="2"/>
      <x:c r="K21" s="2"/>
      <x:c r="L21" s="2"/>
      <x:c r="M21" s="2"/>
      <x:c r="N21" s="2"/>
      <x:c r="O21" s="2"/>
      <x:c r="P21" s="2"/>
      <x:c r="Q21" s="2"/>
      <x:c r="R21" s="2"/>
      <x:c r="S21" s="2"/>
      <x:c r="T21" s="2"/>
      <x:c r="U21" s="2"/>
      <x:c r="V21" s="2"/>
      <x:c r="W21" s="2"/>
      <x:c r="X21" s="2"/>
      <x:c r="Y21" s="2"/>
      <x:c r="Z21" s="2"/>
    </x:row>
    <x:row r="22">
      <x:c r="A22" s="2"/>
      <x:c r="B22" s="2" t="str">
        <x:v>C15</x:v>
      </x:c>
      <x:c r="C22" s="2" t="str">
        <x:v>all mobile payloads stay below 1,000 t</x:v>
      </x:c>
      <x:c r="D22" s="39" t="n">
        <x:f>COUNTIFS(Geometry!M8:M12,"&gt;"&amp;Assumptions!D36)</x:f>
        <x:v>0</x:v>
      </x:c>
      <x:c r="E22" s="2" t="str">
        <x:f>IF(D22=0,"PASS","FAIL")</x:f>
        <x:v>PASS</x:v>
      </x:c>
      <x:c r="F22" s="2"/>
      <x:c r="G22" s="2"/>
      <x:c r="H22" s="2"/>
      <x:c r="I22" s="2"/>
      <x:c r="J22" s="2"/>
      <x:c r="K22" s="2"/>
      <x:c r="L22" s="2"/>
      <x:c r="M22" s="2"/>
      <x:c r="N22" s="2"/>
      <x:c r="O22" s="2"/>
      <x:c r="P22" s="2"/>
      <x:c r="Q22" s="2"/>
      <x:c r="R22" s="2"/>
      <x:c r="S22" s="2"/>
      <x:c r="T22" s="2"/>
      <x:c r="U22" s="2"/>
      <x:c r="V22" s="2"/>
      <x:c r="W22" s="2"/>
      <x:c r="X22" s="2"/>
      <x:c r="Y22" s="2"/>
      <x:c r="Z22" s="2"/>
    </x:row>
    <x:row r="23">
      <x:c r="A23" s="2"/>
      <x:c r="B23" s="2" t="str">
        <x:v>C16</x:v>
      </x:c>
      <x:c r="C23" s="2" t="str">
        <x:v>road positions cover mass</x:v>
      </x:c>
      <x:c r="D23" s="39" t="n">
        <x:f>MAX(Geometry!M8*Geometry!O8-Assumptions!D37*'Deployment Work'!N8,Geometry!M9*Geometry!O9-Assumptions!D37*'Deployment Work'!N9,Geometry!M10*Geometry!O10-Assumptions!D37*'Deployment Work'!N10,Geometry!M11*Geometry!O11-Assumptions!D37*'Deployment Work'!N11,Geometry!M12*Geometry!O12-Assumptions!D37*'Deployment Work'!N12)</x:f>
        <x:v>0</x:v>
      </x:c>
      <x:c r="E23" s="2" t="str">
        <x:f>IF(D23&lt;=0,"PASS","FAIL")</x:f>
        <x:v>PASS</x:v>
      </x:c>
      <x:c r="F23" s="2"/>
      <x:c r="G23" s="2"/>
      <x:c r="H23" s="2"/>
      <x:c r="I23" s="2"/>
      <x:c r="J23" s="2"/>
      <x:c r="K23" s="2"/>
      <x:c r="L23" s="2"/>
      <x:c r="M23" s="2"/>
      <x:c r="N23" s="2"/>
      <x:c r="O23" s="2"/>
      <x:c r="P23" s="2"/>
      <x:c r="Q23" s="2"/>
      <x:c r="R23" s="2"/>
      <x:c r="S23" s="2"/>
      <x:c r="T23" s="2"/>
      <x:c r="U23" s="2"/>
      <x:c r="V23" s="2"/>
      <x:c r="W23" s="2"/>
      <x:c r="X23" s="2"/>
      <x:c r="Y23" s="2"/>
      <x:c r="Z23" s="2"/>
    </x:row>
    <x:row r="24">
      <x:c r="A24" s="2"/>
      <x:c r="B24" s="2" t="str">
        <x:v>C17</x:v>
      </x:c>
      <x:c r="C24" s="2" t="str">
        <x:v>road positions cover cube</x:v>
      </x:c>
      <x:c r="D24" s="39" t="n">
        <x:f>MAX(Geometry!N8*Geometry!O8-Assumptions!D38*'Deployment Work'!N8,Geometry!N9*Geometry!O9-Assumptions!D38*'Deployment Work'!N9,Geometry!N10*Geometry!O10-Assumptions!D38*'Deployment Work'!N10,Geometry!N11*Geometry!O11-Assumptions!D38*'Deployment Work'!N11,Geometry!N12*Geometry!O12-Assumptions!D38*'Deployment Work'!N12)</x:f>
        <x:v>0</x:v>
      </x:c>
      <x:c r="E24" s="2" t="str">
        <x:f>IF(D24&lt;=0,"PASS","FAIL")</x:f>
        <x:v>PASS</x:v>
      </x:c>
      <x:c r="F24" s="2"/>
      <x:c r="G24" s="2"/>
      <x:c r="H24" s="2"/>
      <x:c r="I24" s="2"/>
      <x:c r="J24" s="2"/>
      <x:c r="K24" s="2"/>
      <x:c r="L24" s="2"/>
      <x:c r="M24" s="2"/>
      <x:c r="N24" s="2"/>
      <x:c r="O24" s="2"/>
      <x:c r="P24" s="2"/>
      <x:c r="Q24" s="2"/>
      <x:c r="R24" s="2"/>
      <x:c r="S24" s="2"/>
      <x:c r="T24" s="2"/>
      <x:c r="U24" s="2"/>
      <x:c r="V24" s="2"/>
      <x:c r="W24" s="2"/>
      <x:c r="X24" s="2"/>
      <x:c r="Y24" s="2"/>
      <x:c r="Z24" s="2"/>
    </x:row>
    <x:row r="25">
      <x:c r="A25" s="2"/>
      <x:c r="B25" s="2" t="str">
        <x:v>C18</x:v>
      </x:c>
      <x:c r="C25" s="2" t="str">
        <x:v>rail positions cover mass</x:v>
      </x:c>
      <x:c r="D25" s="39" t="n">
        <x:f>MAX(Geometry!M8*Geometry!P8-Assumptions!D39*'Deployment Work'!P8,Geometry!M9*Geometry!P9-Assumptions!D39*'Deployment Work'!P9,Geometry!M10*Geometry!P10-Assumptions!D39*'Deployment Work'!P10,Geometry!M11*Geometry!P11-Assumptions!D39*'Deployment Work'!P11,Geometry!M12*Geometry!P12-Assumptions!D39*'Deployment Work'!P12)</x:f>
        <x:v>0</x:v>
      </x:c>
      <x:c r="E25" s="2" t="str">
        <x:f>IF(D25&lt;=0,"PASS","FAIL")</x:f>
        <x:v>PASS</x:v>
      </x:c>
      <x:c r="F25" s="2"/>
      <x:c r="G25" s="2"/>
      <x:c r="H25" s="2"/>
      <x:c r="I25" s="2"/>
      <x:c r="J25" s="2"/>
      <x:c r="K25" s="2"/>
      <x:c r="L25" s="2"/>
      <x:c r="M25" s="2"/>
      <x:c r="N25" s="2"/>
      <x:c r="O25" s="2"/>
      <x:c r="P25" s="2"/>
      <x:c r="Q25" s="2"/>
      <x:c r="R25" s="2"/>
      <x:c r="S25" s="2"/>
      <x:c r="T25" s="2"/>
      <x:c r="U25" s="2"/>
      <x:c r="V25" s="2"/>
      <x:c r="W25" s="2"/>
      <x:c r="X25" s="2"/>
      <x:c r="Y25" s="2"/>
      <x:c r="Z25" s="2"/>
    </x:row>
    <x:row r="26">
      <x:c r="A26" s="2"/>
      <x:c r="B26" s="2" t="str">
        <x:v>C19</x:v>
      </x:c>
      <x:c r="C26" s="2" t="str">
        <x:v>rail positions cover cube</x:v>
      </x:c>
      <x:c r="D26" s="39" t="n">
        <x:f>MAX(Geometry!N8*Geometry!P8-Assumptions!D40*'Deployment Work'!P8,Geometry!N9*Geometry!P9-Assumptions!D40*'Deployment Work'!P9,Geometry!N10*Geometry!P10-Assumptions!D40*'Deployment Work'!P10,Geometry!N11*Geometry!P11-Assumptions!D40*'Deployment Work'!P11,Geometry!N12*Geometry!P12-Assumptions!D40*'Deployment Work'!P12)</x:f>
        <x:v>0</x:v>
      </x:c>
      <x:c r="E26" s="2" t="str">
        <x:f>IF(D26&lt;=0,"PASS","FAIL")</x:f>
        <x:v>PASS</x:v>
      </x:c>
      <x:c r="F26" s="2"/>
      <x:c r="G26" s="2"/>
      <x:c r="H26" s="2"/>
      <x:c r="I26" s="2"/>
      <x:c r="J26" s="2"/>
      <x:c r="K26" s="2"/>
      <x:c r="L26" s="2"/>
      <x:c r="M26" s="2"/>
      <x:c r="N26" s="2"/>
      <x:c r="O26" s="2"/>
      <x:c r="P26" s="2"/>
      <x:c r="Q26" s="2"/>
      <x:c r="R26" s="2"/>
      <x:c r="S26" s="2"/>
      <x:c r="T26" s="2"/>
      <x:c r="U26" s="2"/>
      <x:c r="V26" s="2"/>
      <x:c r="W26" s="2"/>
      <x:c r="X26" s="2"/>
      <x:c r="Y26" s="2"/>
      <x:c r="Z26" s="2"/>
    </x:row>
    <x:row r="27">
      <x:c r="A27" s="2"/>
      <x:c r="B27" s="2" t="str">
        <x:v>C20</x:v>
      </x:c>
      <x:c r="C27" s="2" t="str">
        <x:v>water payloads fit declared barge capacity</x:v>
      </x:c>
      <x:c r="D27" s="39" t="n">
        <x:f>MAX(Geometry!M8*Geometry!Q8-Assumptions!D41*'Deployment Work'!R8,Geometry!M9*Geometry!Q9-Assumptions!D41*'Deployment Work'!R9,Geometry!M10*Geometry!Q10-Assumptions!D41*'Deployment Work'!R10,Geometry!M11*Geometry!Q11-Assumptions!D41*'Deployment Work'!R11,Geometry!M12*Geometry!Q12-Assumptions!D41*'Deployment Work'!R12)</x:f>
        <x:v>0</x:v>
      </x:c>
      <x:c r="E27" s="2" t="str">
        <x:f>IF(D27&lt;=0,"PASS","FAIL")</x:f>
        <x:v>PASS</x:v>
      </x:c>
      <x:c r="F27" s="2"/>
      <x:c r="G27" s="2"/>
      <x:c r="H27" s="2"/>
      <x:c r="I27" s="2"/>
      <x:c r="J27" s="2"/>
      <x:c r="K27" s="2"/>
      <x:c r="L27" s="2"/>
      <x:c r="M27" s="2"/>
      <x:c r="N27" s="2"/>
      <x:c r="O27" s="2"/>
      <x:c r="P27" s="2"/>
      <x:c r="Q27" s="2"/>
      <x:c r="R27" s="2"/>
      <x:c r="S27" s="2"/>
      <x:c r="T27" s="2"/>
      <x:c r="U27" s="2"/>
      <x:c r="V27" s="2"/>
      <x:c r="W27" s="2"/>
      <x:c r="X27" s="2"/>
      <x:c r="Y27" s="2"/>
      <x:c r="Z27" s="2"/>
    </x:row>
    <x:row r="28">
      <x:c r="A28" s="2"/>
      <x:c r="B28" s="2" t="str">
        <x:v>C21</x:v>
      </x:c>
      <x:c r="C28" s="2" t="str">
        <x:v>waterborne draft remains below boundary</x:v>
      </x:c>
      <x:c r="D28" s="39" t="n">
        <x:f>MAX('Deployment Work'!W8:W12-Assumptions!D46)</x:f>
        <x:v>-0.36905853774381003</x:v>
      </x:c>
      <x:c r="E28" s="2" t="str">
        <x:f>IF(D28&lt;=0,"PASS","FAIL")</x:f>
        <x:v>PASS</x:v>
      </x:c>
      <x:c r="F28" s="2"/>
      <x:c r="G28" s="2"/>
      <x:c r="H28" s="2"/>
      <x:c r="I28" s="2"/>
      <x:c r="J28" s="2"/>
      <x:c r="K28" s="2"/>
      <x:c r="L28" s="2"/>
      <x:c r="M28" s="2"/>
      <x:c r="N28" s="2"/>
      <x:c r="O28" s="2"/>
      <x:c r="P28" s="2"/>
      <x:c r="Q28" s="2"/>
      <x:c r="R28" s="2"/>
      <x:c r="S28" s="2"/>
      <x:c r="T28" s="2"/>
      <x:c r="U28" s="2"/>
      <x:c r="V28" s="2"/>
      <x:c r="W28" s="2"/>
      <x:c r="X28" s="2"/>
      <x:c r="Y28" s="2"/>
      <x:c r="Z28" s="2"/>
    </x:row>
    <x:row r="29">
      <x:c r="A29" s="2"/>
      <x:c r="B29" s="2" t="str">
        <x:v>C22</x:v>
      </x:c>
      <x:c r="C29" s="2" t="str">
        <x:v>every geometry closes hot-smoke N-1 rejection</x:v>
      </x:c>
      <x:c r="D29" s="39" t="n">
        <x:f>COUNTIFS('Thermal Site'!J8:J12,"&lt;1")</x:f>
        <x:v>0</x:v>
      </x:c>
      <x:c r="E29" s="2" t="str">
        <x:f>IF(D29=0,"PASS","FAIL")</x:f>
        <x:v>PASS</x:v>
      </x:c>
      <x:c r="F29" s="2"/>
      <x:c r="G29" s="2"/>
      <x:c r="H29" s="2"/>
      <x:c r="I29" s="2"/>
      <x:c r="J29" s="2"/>
      <x:c r="K29" s="2"/>
      <x:c r="L29" s="2"/>
      <x:c r="M29" s="2"/>
      <x:c r="N29" s="2"/>
      <x:c r="O29" s="2"/>
      <x:c r="P29" s="2"/>
      <x:c r="Q29" s="2"/>
      <x:c r="R29" s="2"/>
      <x:c r="S29" s="2"/>
      <x:c r="T29" s="2"/>
      <x:c r="U29" s="2"/>
      <x:c r="V29" s="2"/>
      <x:c r="W29" s="2"/>
      <x:c r="X29" s="2"/>
      <x:c r="Y29" s="2"/>
      <x:c r="Z29" s="2"/>
    </x:row>
    <x:row r="30">
      <x:c r="A30" s="2"/>
      <x:c r="B30" s="2" t="str">
        <x:v>C23</x:v>
      </x:c>
      <x:c r="C30" s="2" t="str">
        <x:v>face areas reconcile installed capacity and flux</x:v>
      </x:c>
      <x:c r="D30" s="39" t="n">
        <x:f>MAX(ABS('Thermal Site'!K8-'Thermal Site'!D8/Assumptions!D25),ABS('Thermal Site'!K9-'Thermal Site'!D9/Assumptions!D25),ABS('Thermal Site'!K10-'Thermal Site'!D10/Assumptions!D25),ABS('Thermal Site'!K11-'Thermal Site'!D11/Assumptions!D25),ABS('Thermal Site'!K12-'Thermal Site'!D12/Assumptions!D25))</x:f>
        <x:v>0</x:v>
      </x:c>
      <x:c r="E30" s="2" t="str">
        <x:f>IF(ABS(D30)&lt;0.000001,"PASS","FAIL")</x:f>
        <x:v>PASS</x:v>
      </x:c>
      <x:c r="F30" s="2"/>
      <x:c r="G30" s="2"/>
      <x:c r="H30" s="2"/>
      <x:c r="I30" s="2"/>
      <x:c r="J30" s="2"/>
      <x:c r="K30" s="2"/>
      <x:c r="L30" s="2"/>
      <x:c r="M30" s="2"/>
      <x:c r="N30" s="2"/>
      <x:c r="O30" s="2"/>
      <x:c r="P30" s="2"/>
      <x:c r="Q30" s="2"/>
      <x:c r="R30" s="2"/>
      <x:c r="S30" s="2"/>
      <x:c r="T30" s="2"/>
      <x:c r="U30" s="2"/>
      <x:c r="V30" s="2"/>
      <x:c r="W30" s="2"/>
      <x:c r="X30" s="2"/>
      <x:c r="Y30" s="2"/>
      <x:c r="Z30" s="2"/>
    </x:row>
    <x:row r="31">
      <x:c r="A31" s="2"/>
      <x:c r="B31" s="2" t="str">
        <x:v>C24</x:v>
      </x:c>
      <x:c r="C31" s="2" t="str">
        <x:v>airflows reconcile installed capacity and air properties</x:v>
      </x:c>
      <x:c r="D31" s="39" t="n">
        <x:f>MAX(ABS('Thermal Site'!L8-'Thermal Site'!D8*1000/(Assumptions!D29*Assumptions!D30*Assumptions!D28)),ABS('Thermal Site'!L9-'Thermal Site'!D9*1000/(Assumptions!D29*Assumptions!D30*Assumptions!D28)),ABS('Thermal Site'!L10-'Thermal Site'!D10*1000/(Assumptions!D29*Assumptions!D30*Assumptions!D28)),ABS('Thermal Site'!L11-'Thermal Site'!D11*1000/(Assumptions!D29*Assumptions!D30*Assumptions!D28)),ABS('Thermal Site'!L12-'Thermal Site'!D12*1000/(Assumptions!D29*Assumptions!D30*Assumptions!D28)))</x:f>
        <x:v>0</x:v>
      </x:c>
      <x:c r="E31" s="2" t="str">
        <x:f>IF(ABS(D31)&lt;0.000001,"PASS","FAIL")</x:f>
        <x:v>PASS</x:v>
      </x:c>
      <x:c r="F31" s="2"/>
      <x:c r="G31" s="2"/>
      <x:c r="H31" s="2"/>
      <x:c r="I31" s="2"/>
      <x:c r="J31" s="2"/>
      <x:c r="K31" s="2"/>
      <x:c r="L31" s="2"/>
      <x:c r="M31" s="2"/>
      <x:c r="N31" s="2"/>
      <x:c r="O31" s="2"/>
      <x:c r="P31" s="2"/>
      <x:c r="Q31" s="2"/>
      <x:c r="R31" s="2"/>
      <x:c r="S31" s="2"/>
      <x:c r="T31" s="2"/>
      <x:c r="U31" s="2"/>
      <x:c r="V31" s="2"/>
      <x:c r="W31" s="2"/>
      <x:c r="X31" s="2"/>
      <x:c r="Y31" s="2"/>
      <x:c r="Z31" s="2"/>
    </x:row>
    <x:row r="32">
      <x:c r="A32" s="2"/>
      <x:c r="B32" s="2" t="str">
        <x:v>C25</x:v>
      </x:c>
      <x:c r="C32" s="2" t="str">
        <x:v>intake areas reconcile airflow and free-area controls</x:v>
      </x:c>
      <x:c r="D32" s="39" t="n">
        <x:f>MAX(ABS('Thermal Site'!M8-'Thermal Site'!L8/Assumptions!D31/Assumptions!D32),ABS('Thermal Site'!M9-'Thermal Site'!L9/Assumptions!D31/Assumptions!D32),ABS('Thermal Site'!M10-'Thermal Site'!L10/Assumptions!D31/Assumptions!D32),ABS('Thermal Site'!M11-'Thermal Site'!L11/Assumptions!D31/Assumptions!D32),ABS('Thermal Site'!M12-'Thermal Site'!L12/Assumptions!D31/Assumptions!D32))</x:f>
        <x:v>0</x:v>
      </x:c>
      <x:c r="E32" s="2" t="str">
        <x:f>IF(ABS(D32)&lt;0.000001,"PASS","FAIL")</x:f>
        <x:v>PASS</x:v>
      </x:c>
      <x:c r="F32" s="2"/>
      <x:c r="G32" s="2"/>
      <x:c r="H32" s="2"/>
      <x:c r="I32" s="2"/>
      <x:c r="J32" s="2"/>
      <x:c r="K32" s="2"/>
      <x:c r="L32" s="2"/>
      <x:c r="M32" s="2"/>
      <x:c r="N32" s="2"/>
      <x:c r="O32" s="2"/>
      <x:c r="P32" s="2"/>
      <x:c r="Q32" s="2"/>
      <x:c r="R32" s="2"/>
      <x:c r="S32" s="2"/>
      <x:c r="T32" s="2"/>
      <x:c r="U32" s="2"/>
      <x:c r="V32" s="2"/>
      <x:c r="W32" s="2"/>
      <x:c r="X32" s="2"/>
      <x:c r="Y32" s="2"/>
      <x:c r="Z32" s="2"/>
    </x:row>
    <x:row r="33">
      <x:c r="A33" s="2"/>
      <x:c r="B33" s="2" t="str">
        <x:v>C26</x:v>
      </x:c>
      <x:c r="C33" s="2" t="str">
        <x:v>site totals include free intake area</x:v>
      </x:c>
      <x:c r="D33" s="39" t="n">
        <x:f>MAX(ABS('Thermal Site'!F17-'Thermal Site'!D17-'Thermal Site'!E17),ABS('Thermal Site'!F18-'Thermal Site'!D18-'Thermal Site'!E18),ABS('Thermal Site'!F19-'Thermal Site'!D19-'Thermal Site'!E19),ABS('Thermal Site'!F20-'Thermal Site'!D20-'Thermal Site'!E20),ABS('Thermal Site'!F21-'Thermal Site'!D21-'Thermal Site'!E21))</x:f>
        <x:v>2.8421709430404007e-13</x:v>
      </x:c>
      <x:c r="E33" s="2" t="str">
        <x:f>IF(ABS(D33)&lt;0.000001,"PASS","FAIL")</x:f>
        <x:v>PASS</x:v>
      </x:c>
      <x:c r="F33" s="2"/>
      <x:c r="G33" s="2"/>
      <x:c r="H33" s="2"/>
      <x:c r="I33" s="2"/>
      <x:c r="J33" s="2"/>
      <x:c r="K33" s="2"/>
      <x:c r="L33" s="2"/>
      <x:c r="M33" s="2"/>
      <x:c r="N33" s="2"/>
      <x:c r="O33" s="2"/>
      <x:c r="P33" s="2"/>
      <x:c r="Q33" s="2"/>
      <x:c r="R33" s="2"/>
      <x:c r="S33" s="2"/>
      <x:c r="T33" s="2"/>
      <x:c r="U33" s="2"/>
      <x:c r="V33" s="2"/>
      <x:c r="W33" s="2"/>
      <x:c r="X33" s="2"/>
      <x:c r="Y33" s="2"/>
      <x:c r="Z33" s="2"/>
    </x:row>
    <x:row r="34">
      <x:c r="A34" s="2"/>
      <x:c r="B34" s="2" t="str">
        <x:v>C27</x:v>
      </x:c>
      <x:c r="C34" s="2" t="str">
        <x:v>all normal setup labor margins exceed one</x:v>
      </x:c>
      <x:c r="D34" s="39" t="n">
        <x:f>COUNTIFS('Deployment Work'!L8:L12,"&lt;1")</x:f>
        <x:v>0</x:v>
      </x:c>
      <x:c r="E34" s="2" t="str">
        <x:f>IF(D34=0,"PASS","FAIL")</x:f>
        <x:v>PASS</x:v>
      </x:c>
      <x:c r="F34" s="2"/>
      <x:c r="G34" s="2"/>
      <x:c r="H34" s="2"/>
      <x:c r="I34" s="2"/>
      <x:c r="J34" s="2"/>
      <x:c r="K34" s="2"/>
      <x:c r="L34" s="2"/>
      <x:c r="M34" s="2"/>
      <x:c r="N34" s="2"/>
      <x:c r="O34" s="2"/>
      <x:c r="P34" s="2"/>
      <x:c r="Q34" s="2"/>
      <x:c r="R34" s="2"/>
      <x:c r="S34" s="2"/>
      <x:c r="T34" s="2"/>
      <x:c r="U34" s="2"/>
      <x:c r="V34" s="2"/>
      <x:c r="W34" s="2"/>
      <x:c r="X34" s="2"/>
      <x:c r="Y34" s="2"/>
      <x:c r="Z34" s="2"/>
    </x:row>
    <x:row r="35">
      <x:c r="A35" s="2"/>
      <x:c r="B35" s="2" t="str">
        <x:v>C28</x:v>
      </x:c>
      <x:c r="C35" s="2" t="str">
        <x:v>all protected-service times meet hour 24</x:v>
      </x:c>
      <x:c r="D35" s="39" t="n">
        <x:f>COUNTIFS('Deployment Work'!D8:D12,"&gt;"&amp;Assumptions!D10)</x:f>
        <x:v>0</x:v>
      </x:c>
      <x:c r="E35" s="2" t="str">
        <x:f>IF(D35=0,"PASS","FAIL")</x:f>
        <x:v>PASS</x:v>
      </x:c>
      <x:c r="F35" s="2"/>
      <x:c r="G35" s="2"/>
      <x:c r="H35" s="2"/>
      <x:c r="I35" s="2"/>
      <x:c r="J35" s="2"/>
      <x:c r="K35" s="2"/>
      <x:c r="L35" s="2"/>
      <x:c r="M35" s="2"/>
      <x:c r="N35" s="2"/>
      <x:c r="O35" s="2"/>
      <x:c r="P35" s="2"/>
      <x:c r="Q35" s="2"/>
      <x:c r="R35" s="2"/>
      <x:c r="S35" s="2"/>
      <x:c r="T35" s="2"/>
      <x:c r="U35" s="2"/>
      <x:c r="V35" s="2"/>
      <x:c r="W35" s="2"/>
      <x:c r="X35" s="2"/>
      <x:c r="Y35" s="2"/>
      <x:c r="Z35" s="2"/>
    </x:row>
    <x:row r="36">
      <x:c r="A36" s="2"/>
      <x:c r="B36" s="2" t="str">
        <x:v>C29</x:v>
      </x:c>
      <x:c r="C36" s="2" t="str">
        <x:v>all full-service times meet hour 48</x:v>
      </x:c>
      <x:c r="D36" s="39" t="n">
        <x:f>COUNTIFS('Deployment Work'!E8:E12,"&gt;"&amp;Assumptions!D11)</x:f>
        <x:v>0</x:v>
      </x:c>
      <x:c r="E36" s="2" t="str">
        <x:f>IF(D36=0,"PASS","FAIL")</x:f>
        <x:v>PASS</x:v>
      </x:c>
      <x:c r="F36" s="2"/>
      <x:c r="G36" s="2"/>
      <x:c r="H36" s="2"/>
      <x:c r="I36" s="2"/>
      <x:c r="J36" s="2"/>
      <x:c r="K36" s="2"/>
      <x:c r="L36" s="2"/>
      <x:c r="M36" s="2"/>
      <x:c r="N36" s="2"/>
      <x:c r="O36" s="2"/>
      <x:c r="P36" s="2"/>
      <x:c r="Q36" s="2"/>
      <x:c r="R36" s="2"/>
      <x:c r="S36" s="2"/>
      <x:c r="T36" s="2"/>
      <x:c r="U36" s="2"/>
      <x:c r="V36" s="2"/>
      <x:c r="W36" s="2"/>
      <x:c r="X36" s="2"/>
      <x:c r="Y36" s="2"/>
      <x:c r="Z36" s="2"/>
    </x:row>
    <x:row r="37">
      <x:c r="A37" s="2"/>
      <x:c r="B37" s="2" t="str">
        <x:v>C30</x:v>
      </x:c>
      <x:c r="C37" s="2" t="str">
        <x:v>world result table contains 115 records</x:v>
      </x:c>
      <x:c r="D37" s="39" t="n">
        <x:f>COUNTA(Worlds!B35:B149)-115</x:f>
        <x:v>0</x:v>
      </x:c>
      <x:c r="E37" s="2" t="str">
        <x:f>IF(D37=0,"PASS","FAIL")</x:f>
        <x:v>PASS</x:v>
      </x:c>
      <x:c r="F37" s="2"/>
      <x:c r="G37" s="2"/>
      <x:c r="H37" s="2"/>
      <x:c r="I37" s="2"/>
      <x:c r="J37" s="2"/>
      <x:c r="K37" s="2"/>
      <x:c r="L37" s="2"/>
      <x:c r="M37" s="2"/>
      <x:c r="N37" s="2"/>
      <x:c r="O37" s="2"/>
      <x:c r="P37" s="2"/>
      <x:c r="Q37" s="2"/>
      <x:c r="R37" s="2"/>
      <x:c r="S37" s="2"/>
      <x:c r="T37" s="2"/>
      <x:c r="U37" s="2"/>
      <x:c r="V37" s="2"/>
      <x:c r="W37" s="2"/>
      <x:c r="X37" s="2"/>
      <x:c r="Y37" s="2"/>
      <x:c r="Z37" s="2"/>
    </x:row>
    <x:row r="38">
      <x:c r="A38" s="2"/>
      <x:c r="B38" s="2" t="str">
        <x:v>C31</x:v>
      </x:c>
      <x:c r="C38" s="2" t="str">
        <x:v>every geometry passes base world</x:v>
      </x:c>
      <x:c r="D38" s="39" t="n">
        <x:f>COUNTIFS(Worlds!B35:B149,"W0",Worlds!L35:L149,"PASS")-5</x:f>
        <x:v>0</x:v>
      </x:c>
      <x:c r="E38" s="2" t="str">
        <x:f>IF(D38=0,"PASS","FAIL")</x:f>
        <x:v>PASS</x:v>
      </x:c>
      <x:c r="F38" s="2"/>
      <x:c r="G38" s="2"/>
      <x:c r="H38" s="2"/>
      <x:c r="I38" s="2"/>
      <x:c r="J38" s="2"/>
      <x:c r="K38" s="2"/>
      <x:c r="L38" s="2"/>
      <x:c r="M38" s="2"/>
      <x:c r="N38" s="2"/>
      <x:c r="O38" s="2"/>
      <x:c r="P38" s="2"/>
      <x:c r="Q38" s="2"/>
      <x:c r="R38" s="2"/>
      <x:c r="S38" s="2"/>
      <x:c r="T38" s="2"/>
      <x:c r="U38" s="2"/>
      <x:c r="V38" s="2"/>
      <x:c r="W38" s="2"/>
      <x:c r="X38" s="2"/>
      <x:c r="Y38" s="2"/>
      <x:c r="Z38" s="2"/>
    </x:row>
    <x:row r="39">
      <x:c r="A39" s="2"/>
      <x:c r="B39" s="2" t="str">
        <x:v>C32</x:v>
      </x:c>
      <x:c r="C39" s="2" t="str">
        <x:v>every geometry passes the hour-48 base deadline</x:v>
      </x:c>
      <x:c r="D39" s="39" t="n">
        <x:f>COUNTIFS(Worlds!B35:B149,"W2",Worlds!L35:L149,"PASS")-5</x:f>
        <x:v>0</x:v>
      </x:c>
      <x:c r="E39" s="2" t="str">
        <x:f>IF(D39=0,"PASS","FAIL")</x:f>
        <x:v>PASS</x:v>
      </x:c>
      <x:c r="F39" s="2"/>
      <x:c r="G39" s="2"/>
      <x:c r="H39" s="2"/>
      <x:c r="I39" s="2"/>
      <x:c r="J39" s="2"/>
      <x:c r="K39" s="2"/>
      <x:c r="L39" s="2"/>
      <x:c r="M39" s="2"/>
      <x:c r="N39" s="2"/>
      <x:c r="O39" s="2"/>
      <x:c r="P39" s="2"/>
      <x:c r="Q39" s="2"/>
      <x:c r="R39" s="2"/>
      <x:c r="S39" s="2"/>
      <x:c r="T39" s="2"/>
      <x:c r="U39" s="2"/>
      <x:c r="V39" s="2"/>
      <x:c r="W39" s="2"/>
      <x:c r="X39" s="2"/>
      <x:c r="Y39" s="2"/>
      <x:c r="Z39" s="2"/>
    </x:row>
    <x:row r="40">
      <x:c r="A40" s="2"/>
      <x:c r="B40" s="2" t="str">
        <x:v>C33</x:v>
      </x:c>
      <x:c r="C40" s="2" t="str">
        <x:v>every geometry fails at least one world</x:v>
      </x:c>
      <x:c r="D40" s="39" t="n">
        <x:f>COUNTIFS(Summary!K8:K12,23)</x:f>
        <x:v>0</x:v>
      </x:c>
      <x:c r="E40" s="2" t="str">
        <x:f>IF(D40=0,"PASS","FAIL")</x:f>
        <x:v>PASS</x:v>
      </x:c>
      <x:c r="F40" s="2"/>
      <x:c r="G40" s="2"/>
      <x:c r="H40" s="2"/>
      <x:c r="I40" s="2"/>
      <x:c r="J40" s="2"/>
      <x:c r="K40" s="2"/>
      <x:c r="L40" s="2"/>
      <x:c r="M40" s="2"/>
      <x:c r="N40" s="2"/>
      <x:c r="O40" s="2"/>
      <x:c r="P40" s="2"/>
      <x:c r="Q40" s="2"/>
      <x:c r="R40" s="2"/>
      <x:c r="S40" s="2"/>
      <x:c r="T40" s="2"/>
      <x:c r="U40" s="2"/>
      <x:c r="V40" s="2"/>
      <x:c r="W40" s="2"/>
      <x:c r="X40" s="2"/>
      <x:c r="Y40" s="2"/>
      <x:c r="Z40" s="2"/>
    </x:row>
    <x:row r="41">
      <x:c r="A41" s="2"/>
      <x:c r="B41" s="2" t="str">
        <x:v>C34</x:v>
      </x:c>
      <x:c r="C41" s="2" t="str">
        <x:v>no geometry is universally admitted</x:v>
      </x:c>
      <x:c r="D41" s="39" t="n">
        <x:f>COUNTIFS(Summary!K8:K12,23)</x:f>
        <x:v>0</x:v>
      </x:c>
      <x:c r="E41" s="2" t="str">
        <x:f>IF(D41=0,"PASS","FAIL")</x:f>
        <x:v>PASS</x:v>
      </x:c>
      <x:c r="F41" s="2"/>
      <x:c r="G41" s="2"/>
      <x:c r="H41" s="2"/>
      <x:c r="I41" s="2"/>
      <x:c r="J41" s="2"/>
      <x:c r="K41" s="2"/>
      <x:c r="L41" s="2"/>
      <x:c r="M41" s="2"/>
      <x:c r="N41" s="2"/>
      <x:c r="O41" s="2"/>
      <x:c r="P41" s="2"/>
      <x:c r="Q41" s="2"/>
      <x:c r="R41" s="2"/>
      <x:c r="S41" s="2"/>
      <x:c r="T41" s="2"/>
      <x:c r="U41" s="2"/>
      <x:c r="V41" s="2"/>
      <x:c r="W41" s="2"/>
      <x:c r="X41" s="2"/>
      <x:c r="Y41" s="2"/>
      <x:c r="Z41" s="2"/>
    </x:row>
    <x:row r="42">
      <x:c r="A42" s="2"/>
      <x:c r="B42" s="2" t="str">
        <x:v>C35</x:v>
      </x:c>
      <x:c r="C42" s="2" t="str">
        <x:v>summary pass counts reconcile independent recount</x:v>
      </x:c>
      <x:c r="D42" s="39" t="n">
        <x:f>MAX(ABS(Summary!L8-Summary!M8),ABS(Summary!L9-Summary!M9),ABS(Summary!L10-Summary!M10),ABS(Summary!L11-Summary!M11),ABS(Summary!L12-Summary!M12))</x:f>
        <x:v>0</x:v>
      </x:c>
      <x:c r="E42" s="2" t="str">
        <x:f>IF(ABS(D42)&lt;0.000001,"PASS","FAIL")</x:f>
        <x:v>PASS</x:v>
      </x:c>
      <x:c r="F42" s="2"/>
      <x:c r="G42" s="2"/>
      <x:c r="H42" s="2"/>
      <x:c r="I42" s="2"/>
      <x:c r="J42" s="2"/>
      <x:c r="K42" s="2"/>
      <x:c r="L42" s="2"/>
      <x:c r="M42" s="2"/>
      <x:c r="N42" s="2"/>
      <x:c r="O42" s="2"/>
      <x:c r="P42" s="2"/>
      <x:c r="Q42" s="2"/>
      <x:c r="R42" s="2"/>
      <x:c r="S42" s="2"/>
      <x:c r="T42" s="2"/>
      <x:c r="U42" s="2"/>
      <x:c r="V42" s="2"/>
      <x:c r="W42" s="2"/>
      <x:c r="X42" s="2"/>
      <x:c r="Y42" s="2"/>
      <x:c r="Z42" s="2"/>
    </x:row>
    <x:row r="43">
      <x:c r="A43" s="2"/>
      <x:c r="B43" s="2" t="str">
        <x:v>C36</x:v>
      </x:c>
      <x:c r="C43" s="2" t="str">
        <x:v>organic host count equals groups times twelve</x:v>
      </x:c>
      <x:c r="D43" s="39" t="n">
        <x:f>'Force Program'!D13-Assumptions!D51*Assumptions!D52</x:f>
        <x:v>0</x:v>
      </x:c>
      <x:c r="E43" s="2" t="str">
        <x:f>IF(D43=0,"PASS","FAIL")</x:f>
        <x:v>PASS</x:v>
      </x:c>
      <x:c r="F43" s="2"/>
      <x:c r="G43" s="2"/>
      <x:c r="H43" s="2"/>
      <x:c r="I43" s="2"/>
      <x:c r="J43" s="2"/>
      <x:c r="K43" s="2"/>
      <x:c r="L43" s="2"/>
      <x:c r="M43" s="2"/>
      <x:c r="N43" s="2"/>
      <x:c r="O43" s="2"/>
      <x:c r="P43" s="2"/>
      <x:c r="Q43" s="2"/>
      <x:c r="R43" s="2"/>
      <x:c r="S43" s="2"/>
      <x:c r="T43" s="2"/>
      <x:c r="U43" s="2"/>
      <x:c r="V43" s="2"/>
      <x:c r="W43" s="2"/>
      <x:c r="X43" s="2"/>
      <x:c r="Y43" s="2"/>
      <x:c r="Z43" s="2"/>
    </x:row>
    <x:row r="44">
      <x:c r="A44" s="2"/>
      <x:c r="B44" s="2" t="str">
        <x:v>C37</x:v>
      </x:c>
      <x:c r="C44" s="2" t="str">
        <x:v>pooled barge host count reconciles</x:v>
      </x:c>
      <x:c r="D44" s="39" t="n">
        <x:f>'Force Program'!E13-Assumptions!D53</x:f>
        <x:v>0</x:v>
      </x:c>
      <x:c r="E44" s="2" t="str">
        <x:f>IF(D44=0,"PASS","FAIL")</x:f>
        <x:v>PASS</x:v>
      </x:c>
      <x:c r="F44" s="2"/>
      <x:c r="G44" s="2"/>
      <x:c r="H44" s="2"/>
      <x:c r="I44" s="2"/>
      <x:c r="J44" s="2"/>
      <x:c r="K44" s="2"/>
      <x:c r="L44" s="2"/>
      <x:c r="M44" s="2"/>
      <x:c r="N44" s="2"/>
      <x:c r="O44" s="2"/>
      <x:c r="P44" s="2"/>
      <x:c r="Q44" s="2"/>
      <x:c r="R44" s="2"/>
      <x:c r="S44" s="2"/>
      <x:c r="T44" s="2"/>
      <x:c r="U44" s="2"/>
      <x:c r="V44" s="2"/>
      <x:c r="W44" s="2"/>
      <x:c r="X44" s="2"/>
      <x:c r="Y44" s="2"/>
      <x:c r="Z44" s="2"/>
    </x:row>
    <x:row r="45">
      <x:c r="A45" s="2"/>
      <x:c r="B45" s="2" t="str">
        <x:v>C38</x:v>
      </x:c>
      <x:c r="C45" s="2" t="str">
        <x:v>geometry host capital reconciles</x:v>
      </x:c>
      <x:c r="D45" s="39" t="n">
        <x:f>'Force Program'!G13-SUM('Force Program'!G8:G12)</x:f>
        <x:v>0</x:v>
      </x:c>
      <x:c r="E45" s="2" t="str">
        <x:f>IF(ABS(D45)&lt;0.000001,"PASS","FAIL")</x:f>
        <x:v>PASS</x:v>
      </x:c>
      <x:c r="F45" s="2"/>
      <x:c r="G45" s="2"/>
      <x:c r="H45" s="2"/>
      <x:c r="I45" s="2"/>
      <x:c r="J45" s="2"/>
      <x:c r="K45" s="2"/>
      <x:c r="L45" s="2"/>
      <x:c r="M45" s="2"/>
      <x:c r="N45" s="2"/>
      <x:c r="O45" s="2"/>
      <x:c r="P45" s="2"/>
      <x:c r="Q45" s="2"/>
      <x:c r="R45" s="2"/>
      <x:c r="S45" s="2"/>
      <x:c r="T45" s="2"/>
      <x:c r="U45" s="2"/>
      <x:c r="V45" s="2"/>
      <x:c r="W45" s="2"/>
      <x:c r="X45" s="2"/>
      <x:c r="Y45" s="2"/>
      <x:c r="Z45" s="2"/>
    </x:row>
    <x:row r="46">
      <x:c r="A46" s="2"/>
      <x:c r="B46" s="2" t="str">
        <x:v>C39</x:v>
      </x:c>
      <x:c r="C46" s="2" t="str">
        <x:v>geometry O&amp;S reconciles</x:v>
      </x:c>
      <x:c r="D46" s="39" t="n">
        <x:f>'Force Program'!I13-SUM('Force Program'!I8:I12)</x:f>
        <x:v>0</x:v>
      </x:c>
      <x:c r="E46" s="2" t="str">
        <x:f>IF(ABS(D46)&lt;0.000001,"PASS","FAIL")</x:f>
        <x:v>PASS</x:v>
      </x:c>
      <x:c r="F46" s="2"/>
      <x:c r="G46" s="2"/>
      <x:c r="H46" s="2"/>
      <x:c r="I46" s="2"/>
      <x:c r="J46" s="2"/>
      <x:c r="K46" s="2"/>
      <x:c r="L46" s="2"/>
      <x:c r="M46" s="2"/>
      <x:c r="N46" s="2"/>
      <x:c r="O46" s="2"/>
      <x:c r="P46" s="2"/>
      <x:c r="Q46" s="2"/>
      <x:c r="R46" s="2"/>
      <x:c r="S46" s="2"/>
      <x:c r="T46" s="2"/>
      <x:c r="U46" s="2"/>
      <x:c r="V46" s="2"/>
      <x:c r="W46" s="2"/>
      <x:c r="X46" s="2"/>
      <x:c r="Y46" s="2"/>
      <x:c r="Z46" s="2"/>
    </x:row>
    <x:row r="47">
      <x:c r="A47" s="2"/>
      <x:c r="B47" s="2" t="str">
        <x:v>C40</x:v>
      </x:c>
      <x:c r="C47" s="2" t="str">
        <x:v>geometry lifecycle subtotal reconciles</x:v>
      </x:c>
      <x:c r="D47" s="39" t="n">
        <x:f>'Force Program'!J13-'Force Program'!G13-'Force Program'!I13</x:f>
        <x:v>0</x:v>
      </x:c>
      <x:c r="E47" s="2" t="str">
        <x:f>IF(ABS(D47)&lt;0.000001,"PASS","FAIL")</x:f>
        <x:v>PASS</x:v>
      </x:c>
      <x:c r="F47" s="2"/>
      <x:c r="G47" s="2"/>
      <x:c r="H47" s="2"/>
      <x:c r="I47" s="2"/>
      <x:c r="J47" s="2"/>
      <x:c r="K47" s="2"/>
      <x:c r="L47" s="2"/>
      <x:c r="M47" s="2"/>
      <x:c r="N47" s="2"/>
      <x:c r="O47" s="2"/>
      <x:c r="P47" s="2"/>
      <x:c r="Q47" s="2"/>
      <x:c r="R47" s="2"/>
      <x:c r="S47" s="2"/>
      <x:c r="T47" s="2"/>
      <x:c r="U47" s="2"/>
      <x:c r="V47" s="2"/>
      <x:c r="W47" s="2"/>
      <x:c r="X47" s="2"/>
      <x:c r="Y47" s="2"/>
      <x:c r="Z47" s="2"/>
    </x:row>
    <x:row r="48">
      <x:c r="A48" s="2"/>
      <x:c r="B48" s="2" t="str">
        <x:v>C41</x:v>
      </x:c>
      <x:c r="C48" s="2" t="str">
        <x:v>revised program reconciles seven accounts</x:v>
      </x:c>
      <x:c r="D48" s="39" t="n">
        <x:f>'Force Program'!C25-SUM('Force Program'!C18:C24)</x:f>
        <x:v>0</x:v>
      </x:c>
      <x:c r="E48" s="2" t="str">
        <x:f>IF(ABS(D48)&lt;0.000001,"PASS","FAIL")</x:f>
        <x:v>PASS</x:v>
      </x:c>
      <x:c r="F48" s="2"/>
      <x:c r="G48" s="2"/>
      <x:c r="H48" s="2"/>
      <x:c r="I48" s="2"/>
      <x:c r="J48" s="2"/>
      <x:c r="K48" s="2"/>
      <x:c r="L48" s="2"/>
      <x:c r="M48" s="2"/>
      <x:c r="N48" s="2"/>
      <x:c r="O48" s="2"/>
      <x:c r="P48" s="2"/>
      <x:c r="Q48" s="2"/>
      <x:c r="R48" s="2"/>
      <x:c r="S48" s="2"/>
      <x:c r="T48" s="2"/>
      <x:c r="U48" s="2"/>
      <x:c r="V48" s="2"/>
      <x:c r="W48" s="2"/>
      <x:c r="X48" s="2"/>
      <x:c r="Y48" s="2"/>
      <x:c r="Z48" s="2"/>
    </x:row>
    <x:row r="49">
      <x:c r="A49" s="2"/>
      <x:c r="B49" s="2" t="str">
        <x:v>C42</x:v>
      </x:c>
      <x:c r="C49" s="2" t="str">
        <x:v>all thirty-four evidence gates are present</x:v>
      </x:c>
      <x:c r="D49" s="39" t="n">
        <x:f>COUNTA('Evidence Gates'!B8:B41)-34</x:f>
        <x:v>0</x:v>
      </x:c>
      <x:c r="E49" s="2" t="str">
        <x:f>IF(D49=0,"PASS","FAIL")</x:f>
        <x:v>PASS</x:v>
      </x:c>
      <x:c r="F49" s="2"/>
      <x:c r="G49" s="2"/>
      <x:c r="H49" s="2"/>
      <x:c r="I49" s="2"/>
      <x:c r="J49" s="2"/>
      <x:c r="K49" s="2"/>
      <x:c r="L49" s="2"/>
      <x:c r="M49" s="2"/>
      <x:c r="N49" s="2"/>
      <x:c r="O49" s="2"/>
      <x:c r="P49" s="2"/>
      <x:c r="Q49" s="2"/>
      <x:c r="R49" s="2"/>
      <x:c r="S49" s="2"/>
      <x:c r="T49" s="2"/>
      <x:c r="U49" s="2"/>
      <x:c r="V49" s="2"/>
      <x:c r="W49" s="2"/>
      <x:c r="X49" s="2"/>
      <x:c r="Y49" s="2"/>
      <x:c r="Z49" s="2"/>
    </x:row>
    <x:row r="50">
      <x:c r="A50" s="2"/>
      <x:c r="B50" s="2" t="str">
        <x:v>C43</x:v>
      </x:c>
      <x:c r="C50" s="2" t="str">
        <x:v>all evidence gates remain open</x:v>
      </x:c>
      <x:c r="D50" s="39" t="n">
        <x:f>COUNTIFS('Evidence Gates'!F8:F41,"OPEN")-34</x:f>
        <x:v>0</x:v>
      </x:c>
      <x:c r="E50" s="2" t="str">
        <x:f>IF(D50=0,"PASS","FAIL")</x:f>
        <x:v>PASS</x:v>
      </x:c>
      <x:c r="F50" s="2"/>
      <x:c r="G50" s="2"/>
      <x:c r="H50" s="2"/>
      <x:c r="I50" s="2"/>
      <x:c r="J50" s="2"/>
      <x:c r="K50" s="2"/>
      <x:c r="L50" s="2"/>
      <x:c r="M50" s="2"/>
      <x:c r="N50" s="2"/>
      <x:c r="O50" s="2"/>
      <x:c r="P50" s="2"/>
      <x:c r="Q50" s="2"/>
      <x:c r="R50" s="2"/>
      <x:c r="S50" s="2"/>
      <x:c r="T50" s="2"/>
      <x:c r="U50" s="2"/>
      <x:c r="V50" s="2"/>
      <x:c r="W50" s="2"/>
      <x:c r="X50" s="2"/>
      <x:c r="Y50" s="2"/>
      <x:c r="Z50" s="2"/>
    </x:row>
    <x:row r="51">
      <x:c r="A51" s="2"/>
      <x:c r="B51" s="2" t="str">
        <x:v>C44</x:v>
      </x:c>
      <x:c r="C51" s="2" t="str">
        <x:v>strict admissions remain zero</x:v>
      </x:c>
      <x:c r="D51" s="39" t="n">
        <x:f>Summary!C25</x:f>
        <x:v>0</x:v>
      </x:c>
      <x:c r="E51" s="2" t="str">
        <x:f>IF(D51=0,"PASS","FAIL")</x:f>
        <x:v>PASS</x:v>
      </x:c>
      <x:c r="F51" s="2"/>
      <x:c r="G51" s="2"/>
      <x:c r="H51" s="2"/>
      <x:c r="I51" s="2"/>
      <x:c r="J51" s="2"/>
      <x:c r="K51" s="2"/>
      <x:c r="L51" s="2"/>
      <x:c r="M51" s="2"/>
      <x:c r="N51" s="2"/>
      <x:c r="O51" s="2"/>
      <x:c r="P51" s="2"/>
      <x:c r="Q51" s="2"/>
      <x:c r="R51" s="2"/>
      <x:c r="S51" s="2"/>
      <x:c r="T51" s="2"/>
      <x:c r="U51" s="2"/>
      <x:c r="V51" s="2"/>
      <x:c r="W51" s="2"/>
      <x:c r="X51" s="2"/>
      <x:c r="Y51" s="2"/>
      <x:c r="Z51" s="2"/>
    </x:row>
    <x:row r="52">
      <x:c r="A52" s="2"/>
      <x:c r="B52" s="2" t="str">
        <x:v>C45</x:v>
      </x:c>
      <x:c r="C52" s="2" t="str">
        <x:v>rendering remains blocked</x:v>
      </x:c>
      <x:c r="D52" s="39" t="n">
        <x:f>IF(Summary!C26="BLOCKED",0,1)</x:f>
        <x:v>0</x:v>
      </x:c>
      <x:c r="E52" s="2" t="str">
        <x:f>IF(D52=0,"PASS","FAIL")</x:f>
        <x:v>PASS</x:v>
      </x:c>
      <x:c r="F52" s="2"/>
      <x:c r="G52" s="2"/>
      <x:c r="H52" s="2"/>
      <x:c r="I52" s="2"/>
      <x:c r="J52" s="2"/>
      <x:c r="K52" s="2"/>
      <x:c r="L52" s="2"/>
      <x:c r="M52" s="2"/>
      <x:c r="N52" s="2"/>
      <x:c r="O52" s="2"/>
      <x:c r="P52" s="2"/>
      <x:c r="Q52" s="2"/>
      <x:c r="R52" s="2"/>
      <x:c r="S52" s="2"/>
      <x:c r="T52" s="2"/>
      <x:c r="U52" s="2"/>
      <x:c r="V52" s="2"/>
      <x:c r="W52" s="2"/>
      <x:c r="X52" s="2"/>
      <x:c r="Y52" s="2"/>
      <x:c r="Z52" s="2"/>
    </x:row>
    <x:row r="53">
      <x:c r="A53" s="2"/>
      <x:c r="B53" s="2" t="str">
        <x:v>C46</x:v>
      </x:c>
      <x:c r="C53" s="2" t="str">
        <x:v>largest module fits road position payload</x:v>
      </x:c>
      <x:c r="D53" s="39" t="n">
        <x:f>'Module Stack'!K15-Assumptions!D37</x:f>
        <x:v>-2.6049581239531</x:v>
      </x:c>
      <x:c r="E53" s="2" t="str">
        <x:f>IF(D53&lt;=0,"PASS","FAIL")</x:f>
        <x:v>PASS</x:v>
      </x:c>
      <x:c r="F53" s="2"/>
      <x:c r="G53" s="2"/>
      <x:c r="H53" s="2"/>
      <x:c r="I53" s="2"/>
      <x:c r="J53" s="2"/>
      <x:c r="K53" s="2"/>
      <x:c r="L53" s="2"/>
      <x:c r="M53" s="2"/>
      <x:c r="N53" s="2"/>
      <x:c r="O53" s="2"/>
      <x:c r="P53" s="2"/>
      <x:c r="Q53" s="2"/>
      <x:c r="R53" s="2"/>
      <x:c r="S53" s="2"/>
      <x:c r="T53" s="2"/>
      <x:c r="U53" s="2"/>
      <x:c r="V53" s="2"/>
      <x:c r="W53" s="2"/>
      <x:c r="X53" s="2"/>
      <x:c r="Y53" s="2"/>
      <x:c r="Z53" s="2"/>
    </x:row>
    <x:row r="54">
      <x:c r="A54" s="2"/>
      <x:c r="B54" s="2" t="str">
        <x:v>C47</x:v>
      </x:c>
      <x:c r="C54" s="2" t="str">
        <x:v>source N-1 covers continuous electricity</x:v>
      </x:c>
      <x:c r="D54" s="39" t="n">
        <x:f>Assumptions!D22-Assumptions!D13</x:f>
        <x:v>0.37783999999999995</x:v>
      </x:c>
      <x:c r="E54" s="2" t="str">
        <x:f>IF(D54&gt;=0,"PASS","FAIL")</x:f>
        <x:v>PASS</x:v>
      </x:c>
      <x:c r="F54" s="2"/>
      <x:c r="G54" s="2"/>
      <x:c r="H54" s="2"/>
      <x:c r="I54" s="2"/>
      <x:c r="J54" s="2"/>
      <x:c r="K54" s="2"/>
      <x:c r="L54" s="2"/>
      <x:c r="M54" s="2"/>
      <x:c r="N54" s="2"/>
      <x:c r="O54" s="2"/>
      <x:c r="P54" s="2"/>
      <x:c r="Q54" s="2"/>
      <x:c r="R54" s="2"/>
      <x:c r="S54" s="2"/>
      <x:c r="T54" s="2"/>
      <x:c r="U54" s="2"/>
      <x:c r="V54" s="2"/>
      <x:c r="W54" s="2"/>
      <x:c r="X54" s="2"/>
      <x:c r="Y54" s="2"/>
      <x:c r="Z54" s="2"/>
    </x:row>
    <x:row r="55">
      <x:c r="A55" s="2"/>
      <x:c r="B55" s="2" t="str">
        <x:v>C48</x:v>
      </x:c>
      <x:c r="C55" s="2" t="str">
        <x:v>source nameplate covers peak electricity</x:v>
      </x:c>
      <x:c r="D55" s="39" t="n">
        <x:f>Assumptions!D21-Assumptions!D14</x:f>
        <x:v>0.48007999999999984</x:v>
      </x:c>
      <x:c r="E55" s="2" t="str">
        <x:f>IF(D55&gt;=0,"PASS","FAIL")</x:f>
        <x:v>PASS</x:v>
      </x:c>
      <x:c r="F55" s="2"/>
      <x:c r="G55" s="2"/>
      <x:c r="H55" s="2"/>
      <x:c r="I55" s="2"/>
      <x:c r="J55" s="2"/>
      <x:c r="K55" s="2"/>
      <x:c r="L55" s="2"/>
      <x:c r="M55" s="2"/>
      <x:c r="N55" s="2"/>
      <x:c r="O55" s="2"/>
      <x:c r="P55" s="2"/>
      <x:c r="Q55" s="2"/>
      <x:c r="R55" s="2"/>
      <x:c r="S55" s="2"/>
      <x:c r="T55" s="2"/>
      <x:c r="U55" s="2"/>
      <x:c r="V55" s="2"/>
      <x:c r="W55" s="2"/>
      <x:c r="X55" s="2"/>
      <x:c r="Y55" s="2"/>
      <x:c r="Z55" s="2"/>
    </x:row>
    <x:row r="56">
      <x:c r="A56" s="2"/>
      <x:c r="B56" s="2" t="str">
        <x:v>C49</x:v>
      </x:c>
      <x:c r="C56" s="2" t="str">
        <x:v>prepared anchor survives degraded setup labor</x:v>
      </x:c>
      <x:c r="D56" s="39" t="n">
        <x:f>'Deployment Work'!M11-1</x:f>
        <x:v>0.02015113350125941</x:v>
      </x:c>
      <x:c r="E56" s="2" t="str">
        <x:f>IF(D56&gt;=0,"PASS","FAIL")</x:f>
        <x:v>PASS</x:v>
      </x:c>
      <x:c r="F56" s="2"/>
      <x:c r="G56" s="2"/>
      <x:c r="H56" s="2"/>
      <x:c r="I56" s="2"/>
      <x:c r="J56" s="2"/>
      <x:c r="K56" s="2"/>
      <x:c r="L56" s="2"/>
      <x:c r="M56" s="2"/>
      <x:c r="N56" s="2"/>
      <x:c r="O56" s="2"/>
      <x:c r="P56" s="2"/>
      <x:c r="Q56" s="2"/>
      <x:c r="R56" s="2"/>
      <x:c r="S56" s="2"/>
      <x:c r="T56" s="2"/>
      <x:c r="U56" s="2"/>
      <x:c r="V56" s="2"/>
      <x:c r="W56" s="2"/>
      <x:c r="X56" s="2"/>
      <x:c r="Y56" s="2"/>
      <x:c r="Z56" s="2"/>
    </x:row>
    <x:row r="57">
      <x:c r="A57" s="2"/>
      <x:c r="B57" s="2" t="str">
        <x:v>C50</x:v>
      </x:c>
      <x:c r="C57" s="2" t="str">
        <x:v>Pass 73 metro works are removed once</x:v>
      </x:c>
      <x:c r="D57" s="39" t="n">
        <x:f>'Force Program'!C19+Assumptions!D56</x:f>
        <x:v>0</x:v>
      </x:c>
      <x:c r="E57" s="2" t="str">
        <x:f>IF(ABS(D57)&lt;0.000001,"PASS","FAIL")</x:f>
        <x:v>PASS</x:v>
      </x:c>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conditionalFormatting sqref="E8:E57">
    <x:cfRule type="cellIs" dxfId="3" priority="1" operator="equal">
      <x:formula>"FAIL"</x:formula>
    </x:cfRule>
  </x:conditionalFormatting>
  <x:pageMargins left="0.7" right="0.7" top="0.75" bottom="0.75" header="0.3" footer="0.3"/>
</x:worksheet>
</file>

<file path=xl/worksheets/sheet12.xml><?xml version="1.0" encoding="utf-8"?>
<x:worksheet xmlns:x="http://schemas.openxmlformats.org/spreadsheetml/2006/main">
  <x:sheetPr>
    <x:tabColor rgb="FFA5A5A5"/>
  </x:sheetPr>
  <x:sheetViews>
    <x:sheetView showGridLines="0" workbookViewId="0"/>
  </x:sheetViews>
  <x:sheetFormatPr defaultRowHeight="15"/>
  <x:cols>
    <x:col min="2" max="2" width="1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Model use and limits</x:v>
      </x:c>
      <x:c r="C2" s="2"/>
      <x:c r="D2" s="2"/>
      <x:c r="E2" s="2"/>
      <x:c r="F2" s="2"/>
      <x:c r="G2" s="2"/>
      <x:c r="H2" s="2"/>
      <x:c r="I2" s="2"/>
      <x:c r="J2" s="2"/>
      <x:c r="K2" s="2"/>
      <x:c r="L2" s="2"/>
      <x:c r="M2" s="2"/>
      <x:c r="N2" s="2"/>
      <x:c r="O2" s="2"/>
      <x:c r="P2" s="2"/>
      <x:c r="Q2" s="2"/>
      <x:c r="R2" s="2"/>
      <x:c r="S2" s="2"/>
      <x:c r="T2" s="2"/>
      <x:c r="U2" s="2"/>
      <x:c r="V2" s="2"/>
      <x:c r="W2" s="2"/>
      <x:c r="X2" s="2"/>
      <x:c r="Y2" s="2"/>
      <x:c r="Z2" s="2"/>
    </x:row>
    <x:row r="3">
      <x:c r="A3" s="2"/>
      <x:c r="B3" s="4"/>
      <x:c r="C3" s="4"/>
      <x:c r="D3" s="4"/>
      <x:c r="E3" s="4"/>
      <x:c r="F3" s="4"/>
      <x:c r="G3" s="4"/>
      <x:c r="H3" s="4"/>
      <x:c r="I3" s="2"/>
      <x:c r="J3" s="2"/>
      <x:c r="K3" s="2"/>
      <x:c r="L3" s="2"/>
      <x:c r="M3" s="2"/>
      <x:c r="N3" s="2"/>
      <x:c r="O3" s="2"/>
      <x:c r="P3" s="2"/>
      <x:c r="Q3" s="2"/>
      <x:c r="R3" s="2"/>
      <x:c r="S3" s="2"/>
      <x:c r="T3" s="2"/>
      <x:c r="U3" s="2"/>
      <x:c r="V3" s="2"/>
      <x:c r="W3" s="2"/>
      <x:c r="X3" s="2"/>
      <x:c r="Y3" s="2"/>
      <x:c r="Z3" s="2"/>
    </x:row>
    <x:row r="4">
      <x:c r="A4" s="2"/>
      <x:c r="B4" s="5" t="str">
        <x:v>Pass 74 first-principles deployment-geometry competition.</x:v>
      </x:c>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8" t="str">
        <x:v>Purpose</x:v>
      </x:c>
      <x:c r="C6" s="9"/>
      <x:c r="D6" s="9"/>
      <x:c r="E6" s="9"/>
      <x:c r="F6" s="9"/>
      <x:c r="G6" s="9"/>
      <x:c r="H6" s="10"/>
      <x:c r="I6" s="2"/>
      <x:c r="J6" s="2"/>
      <x:c r="K6" s="2"/>
      <x:c r="L6" s="2"/>
      <x:c r="M6" s="2"/>
      <x:c r="N6" s="2"/>
      <x:c r="O6" s="2"/>
      <x:c r="P6" s="2"/>
      <x:c r="Q6" s="2"/>
      <x:c r="R6" s="2"/>
      <x:c r="S6" s="2"/>
      <x:c r="T6" s="2"/>
      <x:c r="U6" s="2"/>
      <x:c r="V6" s="2"/>
      <x:c r="W6" s="2"/>
      <x:c r="X6" s="2"/>
      <x:c r="Y6" s="2"/>
      <x:c r="Z6" s="2"/>
    </x:row>
    <x:row r="7">
      <x:c r="A7" s="2"/>
      <x:c r="B7" s="29" t="str">
        <x:v>This workbook holds one PTS-5 public-service payload constant and asks how road, rail, shallow-water, prepared-anchor and tri-modal geometries change mass, cube, carrier count, site area, heat rejection, setup work, degraded service and program cost. It does not claim present-day vehicle performance, select a prime contractor or establish procurement quantities.</x:v>
      </x:c>
      <x:c r="C7" s="29"/>
      <x:c r="D7" s="29"/>
      <x:c r="E7" s="29"/>
      <x:c r="F7" s="29"/>
      <x:c r="G7" s="29"/>
      <x:c r="H7" s="29"/>
      <x:c r="I7" s="2"/>
      <x:c r="J7" s="2"/>
      <x:c r="K7" s="2"/>
      <x:c r="L7" s="2"/>
      <x:c r="M7" s="2"/>
      <x:c r="N7" s="2"/>
      <x:c r="O7" s="2"/>
      <x:c r="P7" s="2"/>
      <x:c r="Q7" s="2"/>
      <x:c r="R7" s="2"/>
      <x:c r="S7" s="2"/>
      <x:c r="T7" s="2"/>
      <x:c r="U7" s="2"/>
      <x:c r="V7" s="2"/>
      <x:c r="W7" s="2"/>
      <x:c r="X7" s="2"/>
      <x:c r="Y7" s="2"/>
      <x:c r="Z7" s="2"/>
    </x:row>
    <x:row r="8">
      <x:c r="A8" s="2"/>
      <x:c r="B8" s="29"/>
      <x:c r="C8" s="29"/>
      <x:c r="D8" s="29"/>
      <x:c r="E8" s="29"/>
      <x:c r="F8" s="29"/>
      <x:c r="G8" s="29"/>
      <x:c r="H8" s="29"/>
      <x:c r="I8" s="2"/>
      <x:c r="J8" s="2"/>
      <x:c r="K8" s="2"/>
      <x:c r="L8" s="2"/>
      <x:c r="M8" s="2"/>
      <x:c r="N8" s="2"/>
      <x:c r="O8" s="2"/>
      <x:c r="P8" s="2"/>
      <x:c r="Q8" s="2"/>
      <x:c r="R8" s="2"/>
      <x:c r="S8" s="2"/>
      <x:c r="T8" s="2"/>
      <x:c r="U8" s="2"/>
      <x:c r="V8" s="2"/>
      <x:c r="W8" s="2"/>
      <x:c r="X8" s="2"/>
      <x:c r="Y8" s="2"/>
      <x:c r="Z8" s="2"/>
    </x:row>
    <x:row r="9">
      <x:c r="A9" s="2"/>
      <x:c r="B9" s="29"/>
      <x:c r="C9" s="29"/>
      <x:c r="D9" s="29"/>
      <x:c r="E9" s="29"/>
      <x:c r="F9" s="29"/>
      <x:c r="G9" s="29"/>
      <x:c r="H9" s="29"/>
      <x:c r="I9" s="2"/>
      <x:c r="J9" s="2"/>
      <x:c r="K9" s="2"/>
      <x:c r="L9" s="2"/>
      <x:c r="M9" s="2"/>
      <x:c r="N9" s="2"/>
      <x:c r="O9" s="2"/>
      <x:c r="P9" s="2"/>
      <x:c r="Q9" s="2"/>
      <x:c r="R9" s="2"/>
      <x:c r="S9" s="2"/>
      <x:c r="T9" s="2"/>
      <x:c r="U9" s="2"/>
      <x:c r="V9" s="2"/>
      <x:c r="W9" s="2"/>
      <x:c r="X9" s="2"/>
      <x:c r="Y9" s="2"/>
      <x:c r="Z9" s="2"/>
    </x:row>
    <x:row r="10">
      <x:c r="A10" s="2"/>
      <x:c r="B10" s="29"/>
      <x:c r="C10" s="29"/>
      <x:c r="D10" s="29"/>
      <x:c r="E10" s="29"/>
      <x:c r="F10" s="29"/>
      <x:c r="G10" s="29"/>
      <x:c r="H10" s="29"/>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8" t="str">
        <x:v>Interpretation rules</x:v>
      </x:c>
      <x:c r="C12" s="9"/>
      <x:c r="D12" s="9"/>
      <x:c r="E12" s="9"/>
      <x:c r="F12" s="9"/>
      <x:c r="G12" s="9"/>
      <x:c r="H12" s="10"/>
      <x:c r="I12" s="2"/>
      <x:c r="J12" s="2"/>
      <x:c r="K12" s="2"/>
      <x:c r="L12" s="2"/>
      <x:c r="M12" s="2"/>
      <x:c r="N12" s="2"/>
      <x:c r="O12" s="2"/>
      <x:c r="P12" s="2"/>
      <x:c r="Q12" s="2"/>
      <x:c r="R12" s="2"/>
      <x:c r="S12" s="2"/>
      <x:c r="T12" s="2"/>
      <x:c r="U12" s="2"/>
      <x:c r="V12" s="2"/>
      <x:c r="W12" s="2"/>
      <x:c r="X12" s="2"/>
      <x:c r="Y12" s="2"/>
      <x:c r="Z12" s="2"/>
    </x:row>
    <x:row r="13" ht="42" customHeight="1">
      <x:c r="A13" s="2"/>
      <x:c r="B13" s="2" t="str">
        <x:v>1</x:v>
      </x:c>
      <x:c r="C13" s="29" t="str">
        <x:v>World pass counts are diagnostics. The identity and correlation of failures govern; counts are not weights or rankings.</x:v>
      </x:c>
      <x:c r="D13" s="44"/>
      <x:c r="E13" s="44"/>
      <x:c r="F13" s="44"/>
      <x:c r="G13" s="44"/>
      <x:c r="H13" s="44"/>
      <x:c r="I13" s="2"/>
      <x:c r="J13" s="2"/>
      <x:c r="K13" s="2"/>
      <x:c r="L13" s="2"/>
      <x:c r="M13" s="2"/>
      <x:c r="N13" s="2"/>
      <x:c r="O13" s="2"/>
      <x:c r="P13" s="2"/>
      <x:c r="Q13" s="2"/>
      <x:c r="R13" s="2"/>
      <x:c r="S13" s="2"/>
      <x:c r="T13" s="2"/>
      <x:c r="U13" s="2"/>
      <x:c r="V13" s="2"/>
      <x:c r="W13" s="2"/>
      <x:c r="X13" s="2"/>
      <x:c r="Y13" s="2"/>
      <x:c r="Z13" s="2"/>
    </x:row>
    <x:row r="14" ht="42" customHeight="1">
      <x:c r="A14" s="2"/>
      <x:c r="B14" s="2" t="str">
        <x:v>2</x:v>
      </x:c>
      <x:c r="C14" s="29" t="str">
        <x:v>Transported system mass includes carrier tare. Mobile payload mass excludes carrier tare and is the boundary comparable to the prior 1,000-tonne cell screen.</x:v>
      </x:c>
      <x:c r="D14" s="44"/>
      <x:c r="E14" s="44"/>
      <x:c r="F14" s="44"/>
      <x:c r="G14" s="44"/>
      <x:c r="H14" s="44"/>
      <x:c r="I14" s="2"/>
      <x:c r="J14" s="2"/>
      <x:c r="K14" s="2"/>
      <x:c r="L14" s="2"/>
      <x:c r="M14" s="2"/>
      <x:c r="N14" s="2"/>
      <x:c r="O14" s="2"/>
      <x:c r="P14" s="2"/>
      <x:c r="Q14" s="2"/>
      <x:c r="R14" s="2"/>
      <x:c r="S14" s="2"/>
      <x:c r="T14" s="2"/>
      <x:c r="U14" s="2"/>
      <x:c r="V14" s="2"/>
      <x:c r="W14" s="2"/>
      <x:c r="X14" s="2"/>
      <x:c r="Y14" s="2"/>
      <x:c r="Z14" s="2"/>
    </x:row>
    <x:row r="15" ht="42" customHeight="1">
      <x:c r="A15" s="2"/>
      <x:c r="B15" s="2" t="str">
        <x:v>3</x:v>
      </x:c>
      <x:c r="C15" s="29" t="str">
        <x:v>Prepared-anchor fixed plant is real force capital. Its lower mobile burden cannot be credited at an unprepared receiver.</x:v>
      </x:c>
      <x:c r="D15" s="44"/>
      <x:c r="E15" s="44"/>
      <x:c r="F15" s="44"/>
      <x:c r="G15" s="44"/>
      <x:c r="H15" s="44"/>
      <x:c r="I15" s="2"/>
      <x:c r="J15" s="2"/>
      <x:c r="K15" s="2"/>
      <x:c r="L15" s="2"/>
      <x:c r="M15" s="2"/>
      <x:c r="N15" s="2"/>
      <x:c r="O15" s="2"/>
      <x:c r="P15" s="2"/>
      <x:c r="Q15" s="2"/>
      <x:c r="R15" s="2"/>
      <x:c r="S15" s="2"/>
      <x:c r="T15" s="2"/>
      <x:c r="U15" s="2"/>
      <x:c r="V15" s="2"/>
      <x:c r="W15" s="2"/>
      <x:c r="X15" s="2"/>
      <x:c r="Y15" s="2"/>
      <x:c r="Z15" s="2"/>
    </x:row>
    <x:row r="16" ht="42" customHeight="1">
      <x:c r="A16" s="2"/>
      <x:c r="B16" s="2" t="str">
        <x:v>4</x:v>
      </x:c>
      <x:c r="C16" s="29" t="str">
        <x:v>The pooled barge hosts re-host governed modules. They are not ninety-six additional service cells until the service modules are also procured and assigned.</x:v>
      </x:c>
      <x:c r="D16" s="44"/>
      <x:c r="E16" s="44"/>
      <x:c r="F16" s="44"/>
      <x:c r="G16" s="44"/>
      <x:c r="H16" s="44"/>
      <x:c r="I16" s="2"/>
      <x:c r="J16" s="2"/>
      <x:c r="K16" s="2"/>
      <x:c r="L16" s="2"/>
      <x:c r="M16" s="2"/>
      <x:c r="N16" s="2"/>
      <x:c r="O16" s="2"/>
      <x:c r="P16" s="2"/>
      <x:c r="Q16" s="2"/>
      <x:c r="R16" s="2"/>
      <x:c r="S16" s="2"/>
      <x:c r="T16" s="2"/>
      <x:c r="U16" s="2"/>
      <x:c r="V16" s="2"/>
      <x:c r="W16" s="2"/>
      <x:c r="X16" s="2"/>
      <x:c r="Y16" s="2"/>
      <x:c r="Z16" s="2"/>
    </x:row>
    <x:row r="17" ht="42" customHeight="1">
      <x:c r="A17" s="2"/>
      <x:c r="B17" s="2" t="str">
        <x:v>5</x:v>
      </x:c>
      <x:c r="C17" s="29" t="str">
        <x:v>The program removes the earlier provisional metropolitan-works account before adding geometry-specific host capital to avoid direct double counting.</x:v>
      </x:c>
      <x:c r="D17" s="44"/>
      <x:c r="E17" s="44"/>
      <x:c r="F17" s="44"/>
      <x:c r="G17" s="44"/>
      <x:c r="H17" s="44"/>
      <x:c r="I17" s="2"/>
      <x:c r="J17" s="2"/>
      <x:c r="K17" s="2"/>
      <x:c r="L17" s="2"/>
      <x:c r="M17" s="2"/>
      <x:c r="N17" s="2"/>
      <x:c r="O17" s="2"/>
      <x:c r="P17" s="2"/>
      <x:c r="Q17" s="2"/>
      <x:c r="R17" s="2"/>
      <x:c r="S17" s="2"/>
      <x:c r="T17" s="2"/>
      <x:c r="U17" s="2"/>
      <x:c r="V17" s="2"/>
      <x:c r="W17" s="2"/>
      <x:c r="X17" s="2"/>
      <x:c r="Y17" s="2"/>
      <x:c r="Z17" s="2"/>
    </x:row>
    <x:row r="18" ht="42" customHeight="1">
      <x:c r="A18" s="2"/>
      <x:c r="B18" s="2" t="str">
        <x:v>6</x:v>
      </x:c>
      <x:c r="C18" s="29" t="str">
        <x:v>All values are declared design hypotheses in constant 2026 dollars. Evidence gates remain open and strict admission is zero.</x:v>
      </x:c>
      <x:c r="D18" s="44"/>
      <x:c r="E18" s="44"/>
      <x:c r="F18" s="44"/>
      <x:c r="G18" s="44"/>
      <x:c r="H18" s="44"/>
      <x:c r="I18" s="2"/>
      <x:c r="J18" s="2"/>
      <x:c r="K18" s="2"/>
      <x:c r="L18" s="2"/>
      <x:c r="M18" s="2"/>
      <x:c r="N18" s="2"/>
      <x:c r="O18" s="2"/>
      <x:c r="P18" s="2"/>
      <x:c r="Q18" s="2"/>
      <x:c r="R18" s="2"/>
      <x:c r="S18" s="2"/>
      <x:c r="T18" s="2"/>
      <x:c r="U18" s="2"/>
      <x:c r="V18" s="2"/>
      <x:c r="W18" s="2"/>
      <x:c r="X18" s="2"/>
      <x:c r="Y18" s="2"/>
      <x:c r="Z18" s="2"/>
    </x:row>
    <x:row r="19" ht="42" customHeight="1">
      <x:c r="A19" s="2"/>
      <x:c r="B19" s="2" t="str">
        <x:v>7</x:v>
      </x:c>
      <x:c r="C19" s="29" t="str">
        <x:v>Rendering remains blocked until a host passes module, route, thermal, acoustic, setup, reset and representative district trials.</x:v>
      </x:c>
      <x:c r="D19" s="44"/>
      <x:c r="E19" s="44"/>
      <x:c r="F19" s="44"/>
      <x:c r="G19" s="44"/>
      <x:c r="H19" s="44"/>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8" t="str">
        <x:v>Sensitivity protocol</x:v>
      </x:c>
      <x:c r="C21" s="9"/>
      <x:c r="D21" s="9"/>
      <x:c r="E21" s="9"/>
      <x:c r="F21" s="9"/>
      <x:c r="G21" s="9"/>
      <x:c r="H21" s="10"/>
      <x:c r="I21" s="2"/>
      <x:c r="J21" s="2"/>
      <x:c r="K21" s="2"/>
      <x:c r="L21" s="2"/>
      <x:c r="M21" s="2"/>
      <x:c r="N21" s="2"/>
      <x:c r="O21" s="2"/>
      <x:c r="P21" s="2"/>
      <x:c r="Q21" s="2"/>
      <x:c r="R21" s="2"/>
      <x:c r="S21" s="2"/>
      <x:c r="T21" s="2"/>
      <x:c r="U21" s="2"/>
      <x:c r="V21" s="2"/>
      <x:c r="W21" s="2"/>
      <x:c r="X21" s="2"/>
      <x:c r="Y21" s="2"/>
      <x:c r="Z21" s="2"/>
    </x:row>
    <x:row r="22" ht="34" customHeight="1">
      <x:c r="A22" s="2"/>
      <x:c r="B22" s="29" t="str">
        <x:v>Change one yellow assumption, recalculate, inspect Summary and Checks, record the changed result, then restore the baseline before saving.</x:v>
      </x:c>
      <x:c r="C22" s="29"/>
      <x:c r="D22" s="44"/>
      <x:c r="E22" s="44"/>
      <x:c r="F22" s="44"/>
      <x:c r="G22" s="44"/>
      <x:c r="H22" s="44"/>
      <x:c r="I22" s="2"/>
      <x:c r="J22" s="2"/>
      <x:c r="K22" s="2"/>
      <x:c r="L22" s="2"/>
      <x:c r="M22" s="2"/>
      <x:c r="N22" s="2"/>
      <x:c r="O22" s="2"/>
      <x:c r="P22" s="2"/>
      <x:c r="Q22" s="2"/>
      <x:c r="R22" s="2"/>
      <x:c r="S22" s="2"/>
      <x:c r="T22" s="2"/>
      <x:c r="U22" s="2"/>
      <x:c r="V22" s="2"/>
      <x:c r="W22" s="2"/>
      <x:c r="X22" s="2"/>
      <x:c r="Y22" s="2"/>
      <x:c r="Z22" s="2"/>
    </x:row>
    <x:row r="23" ht="34" customHeight="1">
      <x:c r="A23" s="2"/>
      <x:c r="B23" s="29" t="str">
        <x:v>Road payload</x:v>
      </x:c>
      <x:c r="C23" s="29" t="str">
        <x:v>Reduce thirty tonnes to twenty-four and observe cargo-position counts.</x:v>
      </x:c>
      <x:c r="D23" s="44"/>
      <x:c r="E23" s="44"/>
      <x:c r="F23" s="44"/>
      <x:c r="G23" s="44"/>
      <x:c r="H23" s="44"/>
      <x:c r="I23" s="2"/>
      <x:c r="J23" s="2"/>
      <x:c r="K23" s="2"/>
      <x:c r="L23" s="2"/>
      <x:c r="M23" s="2"/>
      <x:c r="N23" s="2"/>
      <x:c r="O23" s="2"/>
      <x:c r="P23" s="2"/>
      <x:c r="Q23" s="2"/>
      <x:c r="R23" s="2"/>
      <x:c r="S23" s="2"/>
      <x:c r="T23" s="2"/>
      <x:c r="U23" s="2"/>
      <x:c r="V23" s="2"/>
      <x:c r="W23" s="2"/>
      <x:c r="X23" s="2"/>
      <x:c r="Y23" s="2"/>
      <x:c r="Z23" s="2"/>
    </x:row>
    <x:row r="24" ht="34" customHeight="1">
      <x:c r="A24" s="2"/>
      <x:c r="B24" s="29" t="str">
        <x:v>Smoke factor</x:v>
      </x:c>
      <x:c r="C24" s="29" t="str">
        <x:v>Reduce ninety percent to seventy-five percent and observe compound rejection closure.</x:v>
      </x:c>
      <x:c r="D24" s="44"/>
      <x:c r="E24" s="44"/>
      <x:c r="F24" s="44"/>
      <x:c r="G24" s="44"/>
      <x:c r="H24" s="44"/>
      <x:c r="I24" s="2"/>
      <x:c r="J24" s="2"/>
      <x:c r="K24" s="2"/>
      <x:c r="L24" s="2"/>
      <x:c r="M24" s="2"/>
      <x:c r="N24" s="2"/>
      <x:c r="O24" s="2"/>
      <x:c r="P24" s="2"/>
      <x:c r="Q24" s="2"/>
      <x:c r="R24" s="2"/>
      <x:c r="S24" s="2"/>
      <x:c r="T24" s="2"/>
      <x:c r="U24" s="2"/>
      <x:c r="V24" s="2"/>
      <x:c r="W24" s="2"/>
      <x:c r="X24" s="2"/>
      <x:c r="Y24" s="2"/>
      <x:c r="Z24" s="2"/>
    </x:row>
    <x:row r="25" ht="34" customHeight="1">
      <x:c r="A25" s="2"/>
      <x:c r="B25" s="29" t="str">
        <x:v>Barge draft</x:v>
      </x:c>
      <x:c r="C25" s="29" t="str">
        <x:v>Reduce the 1.8 m boundary to 1.4 m and observe access checks.</x:v>
      </x:c>
      <x:c r="D25" s="44"/>
      <x:c r="E25" s="44"/>
      <x:c r="F25" s="44"/>
      <x:c r="G25" s="44"/>
      <x:c r="H25" s="44"/>
      <x:c r="I25" s="2"/>
      <x:c r="J25" s="2"/>
      <x:c r="K25" s="2"/>
      <x:c r="L25" s="2"/>
      <x:c r="M25" s="2"/>
      <x:c r="N25" s="2"/>
      <x:c r="O25" s="2"/>
      <x:c r="P25" s="2"/>
      <x:c r="Q25" s="2"/>
      <x:c r="R25" s="2"/>
      <x:c r="S25" s="2"/>
      <x:c r="T25" s="2"/>
      <x:c r="U25" s="2"/>
      <x:c r="V25" s="2"/>
      <x:c r="W25" s="2"/>
      <x:c r="X25" s="2"/>
      <x:c r="Y25" s="2"/>
      <x:c r="Z25" s="2"/>
    </x:row>
    <x:row r="26" ht="34" customHeight="1">
      <x:c r="A26" s="2"/>
      <x:c r="B26" s="29" t="str">
        <x:v>Setup crew</x:v>
      </x:c>
      <x:c r="C26" s="29" t="str">
        <x:v>Reduce the degraded factor and observe architecture-world failures.</x:v>
      </x:c>
      <x:c r="D26" s="44"/>
      <x:c r="E26" s="44"/>
      <x:c r="F26" s="44"/>
      <x:c r="G26" s="44"/>
      <x:c r="H26" s="44"/>
      <x:c r="I26" s="2"/>
      <x:c r="J26" s="2"/>
      <x:c r="K26" s="2"/>
      <x:c r="L26" s="2"/>
      <x:c r="M26" s="2"/>
      <x:c r="N26" s="2"/>
      <x:c r="O26" s="2"/>
      <x:c r="P26" s="2"/>
      <x:c r="Q26" s="2"/>
      <x:c r="R26" s="2"/>
      <x:c r="S26" s="2"/>
      <x:c r="T26" s="2"/>
      <x:c r="U26" s="2"/>
      <x:c r="V26" s="2"/>
      <x:c r="W26" s="2"/>
      <x:c r="X26" s="2"/>
      <x:c r="Y26" s="2"/>
      <x:c r="Z26" s="2"/>
    </x:row>
    <x:row r="27" ht="34" customHeight="1">
      <x:c r="A27" s="2"/>
      <x:c r="B27" s="29" t="str">
        <x:v>National groups</x:v>
      </x:c>
      <x:c r="C27" s="29" t="str">
        <x:v>Increase seventy-two to eighty and observe host inventory and the program reconciliation.</x:v>
      </x:c>
      <x:c r="D27" s="44"/>
      <x:c r="E27" s="44"/>
      <x:c r="F27" s="44"/>
      <x:c r="G27" s="44"/>
      <x:c r="H27" s="44"/>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sheetData>
  <x:mergeCells>
    <x:mergeCell ref="B7:H10"/>
    <x:mergeCell ref="C13:H13"/>
    <x:mergeCell ref="C14:H14"/>
    <x:mergeCell ref="C15:H15"/>
    <x:mergeCell ref="C16:H16"/>
    <x:mergeCell ref="C17:H17"/>
    <x:mergeCell ref="C18:H18"/>
    <x:mergeCell ref="C19:H19"/>
    <x:mergeCell ref="B22:H22"/>
    <x:mergeCell ref="C23:H23"/>
    <x:mergeCell ref="C24:H24"/>
    <x:mergeCell ref="C25:H25"/>
    <x:mergeCell ref="C26:H26"/>
    <x:mergeCell ref="C27:H27"/>
  </x:mergeCells>
  <x:pageMargins left="0.7" right="0.7" top="0.75" bottom="0.75" header="0.3" footer="0.3"/>
</x:worksheet>
</file>