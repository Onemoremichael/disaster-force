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597a26361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0783a6603749e6"/>
    <x:sheet xmlns:r="http://schemas.openxmlformats.org/officeDocument/2006/relationships" name="Assumptions" sheetId="2" r:id="Ra71cbca30da0442a"/>
    <x:sheet xmlns:r="http://schemas.openxmlformats.org/officeDocument/2006/relationships" name="Payload Register" sheetId="3" r:id="Ra06bb0172a4b4acb"/>
    <x:sheet xmlns:r="http://schemas.openxmlformats.org/officeDocument/2006/relationships" name="Custody Chains" sheetId="4" r:id="Rc6307d2e383a4dad"/>
    <x:sheet xmlns:r="http://schemas.openxmlformats.org/officeDocument/2006/relationships" name="Loading Resources" sheetId="5" r:id="R783ac9e91c074778"/>
    <x:sheet xmlns:r="http://schemas.openxmlformats.org/officeDocument/2006/relationships" name="Dispatch Schedule" sheetId="6" r:id="R2cbc36eb3bbe491f"/>
    <x:sheet xmlns:r="http://schemas.openxmlformats.org/officeDocument/2006/relationships" name="Loss Worlds" sheetId="7" r:id="Rbecda3b9201d4a96"/>
    <x:sheet xmlns:r="http://schemas.openxmlformats.org/officeDocument/2006/relationships" name="Concurrency" sheetId="8" r:id="R73e3fdb827114a0e"/>
    <x:sheet xmlns:r="http://schemas.openxmlformats.org/officeDocument/2006/relationships" name="Workforce" sheetId="9" r:id="R9279aa2662e84c43"/>
    <x:sheet xmlns:r="http://schemas.openxmlformats.org/officeDocument/2006/relationships" name="Custody Cost" sheetId="10" r:id="R800f4b1d859641b5"/>
    <x:sheet xmlns:r="http://schemas.openxmlformats.org/officeDocument/2006/relationships" name="Program Cost" sheetId="11" r:id="Rb255c379d0834e3f"/>
    <x:sheet xmlns:r="http://schemas.openxmlformats.org/officeDocument/2006/relationships" name="Evidence Gates" sheetId="12" r:id="R1c8d5c0320844a8a"/>
    <x:sheet xmlns:r="http://schemas.openxmlformats.org/officeDocument/2006/relationships" name="Checks" sheetId="13" r:id="Rcf085d823cba45b7"/>
    <x:sheet xmlns:r="http://schemas.openxmlformats.org/officeDocument/2006/relationships" name="ReadMe" sheetId="14" r:id="R135cc770df2c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&quot;$&quot;#,##0.00"/>
    <x:numFmt numFmtId="202" formatCode="0"/>
    <x:numFmt numFmtId="203" formatCode="&quot;$&quot;#,##0.0"/>
    <x:numFmt numFmtId="204" formatCode="#,##0.0"/>
    <x:numFmt numFmtId="205" formatCode="#,##0"/>
    <x:numFmt numFmtId="206" formatCode="0.00"/>
    <x:numFmt numFmtId="207" formatCode="0.000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205" fontId="1" fillId="0" borderId="12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1" fillId="0" borderId="12" xfId="0" applyNumberFormat="1" applyFont="1" applyFill="1" applyBorder="1" applyAlignment="1">
      <x:alignment vertical="center"/>
    </x:xf>
    <x:xf numFmtId="207" fontId="1" fillId="0" borderId="10" xfId="0" applyNumberFormat="1" applyFont="1" applyFill="1" applyBorder="1" applyAlignment="1">
      <x:alignment vertical="center"/>
    </x:xf>
    <x:xf numFmtId="207" fontId="1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4ea976cb841d3" /><Relationship Type="http://schemas.openxmlformats.org/officeDocument/2006/relationships/theme" Target="/xl/theme/theme1.xml" Id="R274504de4a534b93" /><Relationship Type="http://schemas.openxmlformats.org/officeDocument/2006/relationships/sharedStrings" Target="/xl/sharedStrings.xml" Id="Re2e7b58d6425406f" /><Relationship Type="http://schemas.openxmlformats.org/officeDocument/2006/relationships/worksheet" Target="/xl/worksheets/sheet1.xml" Id="R300783a6603749e6" /><Relationship Type="http://schemas.openxmlformats.org/officeDocument/2006/relationships/worksheet" Target="/xl/worksheets/sheet2.xml" Id="Ra71cbca30da0442a" /><Relationship Type="http://schemas.openxmlformats.org/officeDocument/2006/relationships/worksheet" Target="/xl/worksheets/sheet3.xml" Id="Ra06bb0172a4b4acb" /><Relationship Type="http://schemas.openxmlformats.org/officeDocument/2006/relationships/worksheet" Target="/xl/worksheets/sheet4.xml" Id="Rc6307d2e383a4dad" /><Relationship Type="http://schemas.openxmlformats.org/officeDocument/2006/relationships/worksheet" Target="/xl/worksheets/sheet5.xml" Id="R783ac9e91c074778" /><Relationship Type="http://schemas.openxmlformats.org/officeDocument/2006/relationships/worksheet" Target="/xl/worksheets/sheet6.xml" Id="R2cbc36eb3bbe491f" /><Relationship Type="http://schemas.openxmlformats.org/officeDocument/2006/relationships/worksheet" Target="/xl/worksheets/sheet7.xml" Id="Rbecda3b9201d4a96" /><Relationship Type="http://schemas.openxmlformats.org/officeDocument/2006/relationships/worksheet" Target="/xl/worksheets/sheet8.xml" Id="R73e3fdb827114a0e" /><Relationship Type="http://schemas.openxmlformats.org/officeDocument/2006/relationships/worksheet" Target="/xl/worksheets/sheet9.xml" Id="R9279aa2662e84c43" /><Relationship Type="http://schemas.openxmlformats.org/officeDocument/2006/relationships/worksheet" Target="/xl/worksheets/sheet10.xml" Id="R800f4b1d859641b5" /><Relationship Type="http://schemas.openxmlformats.org/officeDocument/2006/relationships/worksheet" Target="/xl/worksheets/sheet11.xml" Id="Rb255c379d0834e3f" /><Relationship Type="http://schemas.openxmlformats.org/officeDocument/2006/relationships/worksheet" Target="/xl/worksheets/sheet12.xml" Id="R1c8d5c0320844a8a" /><Relationship Type="http://schemas.openxmlformats.org/officeDocument/2006/relationships/worksheet" Target="/xl/worksheets/sheet13.xml" Id="Rcf085d823cba45b7" /><Relationship Type="http://schemas.openxmlformats.org/officeDocument/2006/relationships/worksheet" Target="/xl/worksheets/sheet14.xml" Id="R135cc770df2c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5" hidden="0" customWidth="1"/>
    <x:col min="3" max="3" width="35" hidden="0" customWidth="1"/>
    <x:col min="4" max="4" width="24" hidden="0" customWidth="1"/>
    <x:col min="5" max="5" width="57" hidden="0" customWidth="1"/>
    <x:col min="6" max="6" width="18" hidden="0" customWidth="1"/>
    <x:col min="7" max="7" width="20" hidden="0" customWidth="1"/>
    <x:col min="8" max="8" width="29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</x:cols>
  <x:sheetData>
    <x:row r="2">
      <x:c r="B2" s="3" t="str">
        <x:v>TAFG-1 payload and dispatch compiler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Tri-partition custody closes one-region cuts; assured two-region service requires two complete groups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Executive result</x:v>
      </x:c>
      <x:c r="C6" s="9" t="str">
        <x:v>Executive result</x:v>
      </x:c>
      <x:c r="D6" s="9" t="str">
        <x:v>Executive result</x:v>
      </x:c>
      <x:c r="E6" s="9" t="str">
        <x:v>Executive result</x:v>
      </x:c>
      <x:c r="F6" s="10" t="str">
        <x:v>Executive result</x:v>
      </x:c>
      <x:c r="G6" s="2"/>
      <x:c r="H6" s="2"/>
      <x:c r="I6" s="2"/>
      <x:c r="J6" s="2"/>
      <x:c r="K6" s="2"/>
      <x:c r="L6" s="2"/>
      <x:c r="M6" s="2"/>
      <x:c r="N6" s="2"/>
    </x:row>
    <x:row r="7">
      <x:c r="B7" s="25" t="str">
        <x:v>Decision</x:v>
      </x:c>
      <x:c r="C7" s="26" t="str">
        <x:v>Value</x:v>
      </x:c>
      <x:c r="D7" s="26" t="str">
        <x:v>Unit</x:v>
      </x:c>
      <x:c r="E7" s="26" t="str">
        <x:v>Interpretation</x:v>
      </x:c>
      <x:c r="F7" s="26" t="str">
        <x:v>State</x:v>
      </x:c>
      <x:c r="G7" s="2"/>
      <x:c r="H7" s="2"/>
      <x:c r="I7" s="2"/>
      <x:c r="J7" s="2"/>
      <x:c r="K7" s="2"/>
      <x:c r="L7" s="2"/>
      <x:c r="M7" s="2"/>
      <x:c r="N7" s="2"/>
    </x:row>
    <x:row r="8">
      <x:c r="B8" s="27" t="str">
        <x:v>Reference custody</x:v>
      </x:c>
      <x:c r="C8" s="27" t="str">
        <x:v>C1 tri-partition</x:v>
      </x:c>
      <x:c r="D8" s="27" t="str">
        <x:v>architecture</x:v>
      </x:c>
      <x:c r="E8" s="27" t="str">
        <x:v>three independent arsenals, loaders and releases</x:v>
      </x:c>
      <x:c r="F8" s="29" t="str">
        <x:v>research</x:v>
      </x:c>
      <x:c r="G8" s="2"/>
      <x:c r="H8" s="2"/>
      <x:c r="I8" s="2"/>
      <x:c r="J8" s="2"/>
      <x:c r="K8" s="2"/>
      <x:c r="L8" s="2"/>
      <x:c r="M8" s="2"/>
      <x:c r="N8" s="2"/>
    </x:row>
    <x:row r="9">
      <x:c r="B9" s="27" t="str">
        <x:v>One-region cut worlds</x:v>
      </x:c>
      <x:c r="C9" s="27" t="n">
        <x:v>13</x:v>
      </x:c>
      <x:c r="D9" s="27" t="str">
        <x:v>of 13</x:v>
      </x:c>
      <x:c r="E9" s="27" t="str">
        <x:v>all registered one-region cuts close</x:v>
      </x:c>
      <x:c r="F9" s="29" t="str">
        <x:v>calculated</x:v>
      </x:c>
      <x:c r="G9" s="2"/>
      <x:c r="H9" s="2"/>
      <x:c r="I9" s="2"/>
      <x:c r="J9" s="2"/>
      <x:c r="K9" s="2"/>
      <x:c r="L9" s="2"/>
      <x:c r="M9" s="2"/>
      <x:c r="N9" s="2"/>
    </x:row>
    <x:row r="10">
      <x:c r="B10" s="27" t="str">
        <x:v>M1 service entry</x:v>
      </x:c>
      <x:c r="C10" s="27" t="n">
        <x:v>42</x:v>
      </x:c>
      <x:c r="D10" s="27" t="str">
        <x:v>h</x:v>
      </x:c>
      <x:c r="E10" s="27" t="str">
        <x:v>atmospheric carriage</x:v>
      </x:c>
      <x:c r="F10" s="29" t="str">
        <x:v>declared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B11" s="27" t="str">
        <x:v>M3 service entry</x:v>
      </x:c>
      <x:c r="C11" s="27" t="n">
        <x:v>45</x:v>
      </x:c>
      <x:c r="D11" s="27" t="str">
        <x:v>h</x:v>
      </x:c>
      <x:c r="E11" s="27" t="str">
        <x:v>terrain carriage</x:v>
      </x:c>
      <x:c r="F11" s="29" t="str">
        <x:v>declared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B12" s="27" t="str">
        <x:v>M5 service entry</x:v>
      </x:c>
      <x:c r="C12" s="27" t="n">
        <x:v>46</x:v>
      </x:c>
      <x:c r="D12" s="27" t="str">
        <x:v>h</x:v>
      </x:c>
      <x:c r="E12" s="27" t="str">
        <x:v>utility bridge</x:v>
      </x:c>
      <x:c r="F12" s="29" t="str">
        <x:v>declared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B13" s="27" t="str">
        <x:v>F1-C1 deployed workforce</x:v>
      </x:c>
      <x:c r="C13" s="27" t="n">
        <x:v>590</x:v>
      </x:c>
      <x:c r="D13" s="27" t="str">
        <x:v>people</x:v>
      </x:c>
      <x:c r="E13" s="27" t="str">
        <x:v>formation plus custody layer</x:v>
      </x:c>
      <x:c r="F13" s="29" t="str">
        <x:v>calculated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27" t="str">
        <x:v>F1-C1 affiliation</x:v>
      </x:c>
      <x:c r="C14" s="27" t="n">
        <x:v>1312</x:v>
      </x:c>
      <x:c r="D14" s="27" t="str">
        <x:v>people</x:v>
      </x:c>
      <x:c r="E14" s="27" t="str">
        <x:v>relief, depot and school depth</x:v>
      </x:c>
      <x:c r="F14" s="29" t="str">
        <x:v>calculated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B15" s="27" t="str">
        <x:v>F1-C1 national comparator</x:v>
      </x:c>
      <x:c r="C15" s="45" t="n">
        <x:f>'Program Cost'!M7</x:f>
        <x:v>7383.141549999999</x:v>
      </x:c>
      <x:c r="D15" s="27" t="str">
        <x:v>$B</x:v>
      </x:c>
      <x:c r="E15" s="27" t="str">
        <x:v>embedded allowance replaced once</x:v>
      </x:c>
      <x:c r="F15" s="29" t="str">
        <x:v>calculated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B16" s="27" t="str">
        <x:v>Eight-VHL payload after loss</x:v>
      </x:c>
      <x:c r="C16" s="53" t="n">
        <x:f>'Loading Resources'!N10</x:f>
        <x:v>555.625</x:v>
      </x:c>
      <x:c r="D16" s="27" t="str">
        <x:v>t</x:v>
      </x:c>
      <x:c r="E16" s="27" t="str">
        <x:v>below 90% mass floor and loses function</x:v>
      </x:c>
      <x:c r="F16" s="29" t="str">
        <x:v>calculated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27" t="str">
        <x:v>Ten-VHL vehicle-loss state</x:v>
      </x:c>
      <x:c r="C17" s="27" t="str">
        <x:v>PASS</x:v>
      </x:c>
      <x:c r="D17" s="27" t="str">
        <x:v>behavior</x:v>
      </x:c>
      <x:c r="E17" s="27" t="str">
        <x:v>mode-loss assurance still fails</x:v>
      </x:c>
      <x:c r="F17" s="29" t="str">
        <x:v>hypothesis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27" t="str">
        <x:v>Assured two-region formation</x:v>
      </x:c>
      <x:c r="C18" s="27" t="str">
        <x:v>F3-C2</x:v>
      </x:c>
      <x:c r="D18" s="27" t="str">
        <x:v>formation</x:v>
      </x:c>
      <x:c r="E18" s="27" t="str">
        <x:v>two complete tri-vector groups</x:v>
      </x:c>
      <x:c r="F18" s="29" t="str">
        <x:v>calculated</x:v>
      </x:c>
      <x:c r="G18" s="2"/>
      <x:c r="H18" s="2"/>
      <x:c r="I18" s="2"/>
      <x:c r="J18" s="2"/>
      <x:c r="K18" s="2"/>
      <x:c r="L18" s="2"/>
      <x:c r="M18" s="2"/>
      <x:c r="N18" s="2"/>
    </x:row>
    <x:row r="19">
      <x:c r="B19" s="27" t="str">
        <x:v>F3-C2 national comparator</x:v>
      </x:c>
      <x:c r="C19" s="45" t="n">
        <x:f>'Program Cost'!M11</x:f>
        <x:v>8346.63795</x:v>
      </x:c>
      <x:c r="D19" s="27" t="str">
        <x:v>$B</x:v>
      </x:c>
      <x:c r="E19" s="27" t="str">
        <x:v>assured concurrency upper comparator</x:v>
      </x:c>
      <x:c r="F19" s="29" t="str">
        <x:v>calculated</x:v>
      </x:c>
      <x:c r="G19" s="2"/>
      <x:c r="H19" s="2"/>
      <x:c r="I19" s="2"/>
      <x:c r="J19" s="2"/>
      <x:c r="K19" s="2"/>
      <x:c r="L19" s="2"/>
      <x:c r="M19" s="2"/>
      <x:c r="N19" s="2"/>
    </x:row>
    <x:row r="20">
      <x:c r="B20" s="27" t="str">
        <x:v>Open evidence gates</x:v>
      </x:c>
      <x:c r="C20" s="27" t="n">
        <x:v>40</x:v>
      </x:c>
      <x:c r="D20" s="27" t="str">
        <x:v>gates</x:v>
      </x:c>
      <x:c r="E20" s="27" t="str">
        <x:v>current and strict credit remain zero</x:v>
      </x:c>
      <x:c r="F20" s="29" t="str">
        <x:v>calculated</x:v>
      </x:c>
      <x:c r="G20" s="2"/>
      <x:c r="H20" s="2"/>
      <x:c r="I20" s="2"/>
      <x:c r="J20" s="2"/>
      <x:c r="K20" s="2"/>
      <x:c r="L20" s="2"/>
      <x:c r="M20" s="2"/>
      <x:c r="N20" s="2"/>
    </x:row>
    <x:row r="21">
      <x:c r="B21" s="31" t="str">
        <x:v>Rendering state</x:v>
      </x:c>
      <x:c r="C21" s="31" t="str">
        <x:v>BLOCKED</x:v>
      </x:c>
      <x:c r="D21" s="31" t="str">
        <x:v>governance</x:v>
      </x:c>
      <x:c r="E21" s="31" t="str">
        <x:v>physical custody and loading remain unproved</x:v>
      </x:c>
      <x:c r="F21" s="33" t="str">
        <x:v>declared</x:v>
      </x:c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8" t="str">
        <x:v>Concurrency comparison</x:v>
      </x:c>
      <x:c r="C24" s="9" t="str">
        <x:v>Concurrency comparison</x:v>
      </x:c>
      <x:c r="D24" s="9" t="str">
        <x:v>Concurrency comparison</x:v>
      </x:c>
      <x:c r="E24" s="9" t="str">
        <x:v>Concurrency comparison</x:v>
      </x:c>
      <x:c r="F24" s="9" t="str">
        <x:v>Concurrency comparison</x:v>
      </x:c>
      <x:c r="G24" s="9" t="str">
        <x:v>Concurrency comparison</x:v>
      </x:c>
      <x:c r="H24" s="9" t="str">
        <x:v>Concurrency comparison</x:v>
      </x:c>
      <x:c r="I24" s="9" t="str">
        <x:v>Concurrency comparison</x:v>
      </x:c>
      <x:c r="J24" s="9" t="str">
        <x:v>Concurrency comparison</x:v>
      </x:c>
      <x:c r="K24" s="9" t="str">
        <x:v>Concurrency comparison</x:v>
      </x:c>
      <x:c r="L24" s="9" t="str">
        <x:v>Concurrency comparison</x:v>
      </x:c>
      <x:c r="M24" s="9" t="str">
        <x:v>Concurrency comparison</x:v>
      </x:c>
      <x:c r="N24" s="10" t="str">
        <x:v>Concurrency comparison</x:v>
      </x:c>
    </x:row>
    <x:row r="25">
      <x:c r="B25" s="25" t="str">
        <x:v>Code</x:v>
      </x:c>
      <x:c r="C25" s="26" t="str">
        <x:v>Nominal regions</x:v>
      </x:c>
      <x:c r="D25" s="26" t="str">
        <x:v>After one vehicle loss</x:v>
      </x:c>
      <x:c r="E25" s="26" t="str">
        <x:v>After one mode/site loss</x:v>
      </x:c>
      <x:c r="F25" s="26" t="str">
        <x:v>Assured result</x:v>
      </x:c>
      <x:c r="G25" s="26" t="str">
        <x:v>National $B</x:v>
      </x:c>
      <x:c r="H25" s="26" t="str">
        <x:v>Decision use</x:v>
      </x:c>
      <x:c r="I25" s="2"/>
      <x:c r="J25" s="2"/>
      <x:c r="K25" s="2"/>
      <x:c r="L25" s="2"/>
      <x:c r="M25" s="2"/>
      <x:c r="N25" s="2"/>
    </x:row>
    <x:row r="26">
      <x:c r="B26" s="27" t="str">
        <x:v>F1-C1</x:v>
      </x:c>
      <x:c r="C26" s="27" t="n">
        <x:v>1</x:v>
      </x:c>
      <x:c r="D26" s="27" t="n">
        <x:v>1</x:v>
      </x:c>
      <x:c r="E26" s="27" t="n">
        <x:v>1</x:v>
      </x:c>
      <x:c r="F26" s="27" t="str">
        <x:v>FAIL</x:v>
      </x:c>
      <x:c r="G26" s="45" t="n">
        <x:f>'Program Cost'!M7</x:f>
        <x:v>7383.141549999999</x:v>
      </x:c>
      <x:c r="H26" s="29" t="str">
        <x:v>failure comparator</x:v>
      </x:c>
      <x:c r="I26" s="2"/>
      <x:c r="J26" s="2"/>
      <x:c r="K26" s="2"/>
      <x:c r="L26" s="2"/>
      <x:c r="M26" s="2"/>
      <x:c r="N26" s="2"/>
    </x:row>
    <x:row r="27">
      <x:c r="B27" s="27" t="str">
        <x:v>F1-C2</x:v>
      </x:c>
      <x:c r="C27" s="27" t="n">
        <x:v>2</x:v>
      </x:c>
      <x:c r="D27" s="27" t="n">
        <x:v>1</x:v>
      </x:c>
      <x:c r="E27" s="27" t="n">
        <x:v>1</x:v>
      </x:c>
      <x:c r="F27" s="27" t="str">
        <x:v>FAIL</x:v>
      </x:c>
      <x:c r="G27" s="45" t="n">
        <x:f>'Program Cost'!M8</x:f>
        <x:v>7534.93795</x:v>
      </x:c>
      <x:c r="H27" s="29" t="str">
        <x:v>failure comparator</x:v>
      </x:c>
      <x:c r="I27" s="2"/>
      <x:c r="J27" s="2"/>
      <x:c r="K27" s="2"/>
      <x:c r="L27" s="2"/>
      <x:c r="M27" s="2"/>
      <x:c r="N27" s="2"/>
    </x:row>
    <x:row r="28">
      <x:c r="B28" s="27" t="str">
        <x:v>F2-C2</x:v>
      </x:c>
      <x:c r="C28" s="27" t="n">
        <x:v>2</x:v>
      </x:c>
      <x:c r="D28" s="27" t="n">
        <x:v>1</x:v>
      </x:c>
      <x:c r="E28" s="27" t="n">
        <x:v>1</x:v>
      </x:c>
      <x:c r="F28" s="27" t="str">
        <x:v>FAIL</x:v>
      </x:c>
      <x:c r="G28" s="45" t="n">
        <x:f>'Program Cost'!M9</x:f>
        <x:v>8115.46995</x:v>
      </x:c>
      <x:c r="H28" s="29" t="str">
        <x:v>failure comparator</x:v>
      </x:c>
      <x:c r="I28" s="2"/>
      <x:c r="J28" s="2"/>
      <x:c r="K28" s="2"/>
      <x:c r="L28" s="2"/>
      <x:c r="M28" s="2"/>
      <x:c r="N28" s="2"/>
    </x:row>
    <x:row r="29">
      <x:c r="B29" s="27" t="str">
        <x:v>F2R-C2</x:v>
      </x:c>
      <x:c r="C29" s="27" t="n">
        <x:v>2</x:v>
      </x:c>
      <x:c r="D29" s="27" t="n">
        <x:v>2</x:v>
      </x:c>
      <x:c r="E29" s="27" t="n">
        <x:v>1</x:v>
      </x:c>
      <x:c r="F29" s="27" t="str">
        <x:v>FAIL</x:v>
      </x:c>
      <x:c r="G29" s="45" t="n">
        <x:f>'Program Cost'!M10</x:f>
        <x:v>8208.56995</x:v>
      </x:c>
      <x:c r="H29" s="29" t="str">
        <x:v>aircraft-loss challenger</x:v>
      </x:c>
      <x:c r="I29" s="2"/>
      <x:c r="J29" s="2"/>
      <x:c r="K29" s="2"/>
      <x:c r="L29" s="2"/>
      <x:c r="M29" s="2"/>
      <x:c r="N29" s="2"/>
    </x:row>
    <x:row r="30">
      <x:c r="B30" s="31" t="str">
        <x:v>F3-C2</x:v>
      </x:c>
      <x:c r="C30" s="31" t="n">
        <x:v>2</x:v>
      </x:c>
      <x:c r="D30" s="31" t="n">
        <x:v>2</x:v>
      </x:c>
      <x:c r="E30" s="31" t="n">
        <x:v>2</x:v>
      </x:c>
      <x:c r="F30" s="31" t="str">
        <x:v>PASS</x:v>
      </x:c>
      <x:c r="G30" s="46" t="n">
        <x:f>'Program Cost'!M11</x:f>
        <x:v>8346.63795</x:v>
      </x:c>
      <x:c r="H30" s="33" t="str">
        <x:v>upper proving comparator</x:v>
      </x:c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8" t="str">
        <x:v>Governing judgments</x:v>
      </x:c>
      <x:c r="C33" s="9" t="str">
        <x:v>Governing judgments</x:v>
      </x:c>
      <x:c r="D33" s="9" t="str">
        <x:v>Governing judgments</x:v>
      </x:c>
      <x:c r="E33" s="9" t="str">
        <x:v>Governing judgments</x:v>
      </x:c>
      <x:c r="F33" s="9" t="str">
        <x:v>Governing judgments</x:v>
      </x:c>
      <x:c r="G33" s="9" t="str">
        <x:v>Governing judgments</x:v>
      </x:c>
      <x:c r="H33" s="9" t="str">
        <x:v>Governing judgments</x:v>
      </x:c>
      <x:c r="I33" s="9" t="str">
        <x:v>Governing judgments</x:v>
      </x:c>
      <x:c r="J33" s="9" t="str">
        <x:v>Governing judgments</x:v>
      </x:c>
      <x:c r="K33" s="9" t="str">
        <x:v>Governing judgments</x:v>
      </x:c>
      <x:c r="L33" s="9" t="str">
        <x:v>Governing judgments</x:v>
      </x:c>
      <x:c r="M33" s="9" t="str">
        <x:v>Governing judgments</x:v>
      </x:c>
      <x:c r="N33" s="10" t="str">
        <x:v>Governing judgments</x:v>
      </x:c>
    </x:row>
    <x:row r="34">
      <x:c r="B34" s="47" t="str">
        <x:v>1. Common specification requires plural custody.</x:v>
      </x:c>
      <x:c r="C34" s="2" t="str">
        <x:v>Cell A, cell B, bridge C and VHL D receive separate lot identities and release paths.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47" t="str">
        <x:v>2. The eight-aircraft VHL claim is nominal.</x:v>
      </x:c>
      <x:c r="C35" s="2" t="str">
        <x:v>One aircraft loss leaves 555.6 tonnes, below the 571.5-tonne service floor, before function loss.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47" t="str">
        <x:v>3. Ten VHL aircraft solve only vehicle loss.</x:v>
      </x:c>
      <x:c r="C36" s="2" t="str">
        <x:v>A distributed 720-tonne load can retain 648 tonnes; loss of the whole VHL mode still defeats region B.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47" t="str">
        <x:v>4. Assured concurrency requires two formations.</x:v>
      </x:c>
      <x:c r="C37" s="2" t="str">
        <x:v>Only F3-C2 retains two complete regions after one vehicle and one mode or site loss.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47" t="str">
        <x:v>5. Rendering remains blocked.</x:v>
      </x:c>
      <x:c r="C38" s="2" t="str">
        <x:v>Lot geometry, loading envelopes, cross-loading and representative timing still determine form.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</x:sheetData>
  <x:mergeCells>
    <x:mergeCell ref="B6:F6"/>
    <x:mergeCell ref="B24:N24"/>
    <x:mergeCell ref="B33:N33"/>
    <x:mergeCell ref="C34:N34"/>
    <x:mergeCell ref="C35:N35"/>
    <x:mergeCell ref="C36:N36"/>
    <x:mergeCell ref="C37:N37"/>
    <x:mergeCell ref="C38:N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38" hidden="0" customWidth="1"/>
    <x:col min="3" max="3" width="18" hidden="0" customWidth="1"/>
    <x:col min="4" max="4" width="15" hidden="0" customWidth="1"/>
    <x:col min="5" max="5" width="24" hidden="0" customWidth="1"/>
    <x:col min="6" max="6" width="43" hidden="0" customWidth="1"/>
  </x:cols>
  <x:sheetData>
    <x:row r="2">
      <x:c r="B2" s="3" t="str">
        <x:v>Payload, arsenal and dispatch assumptions</x:v>
      </x:c>
      <x:c r="C2" s="2"/>
      <x:c r="D2" s="2"/>
      <x:c r="E2" s="2"/>
      <x:c r="F2" s="2"/>
    </x:row>
    <x:row r="3">
      <x:c r="B3" s="4" t="str">
        <x:v>Pass 80 compiles custody and time before physical form</x:v>
      </x:c>
      <x:c r="C3" s="4"/>
      <x:c r="D3" s="4"/>
      <x:c r="E3" s="4"/>
      <x:c r="F3" s="4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8" t="str">
        <x:v>Service, force and fiscal controls</x:v>
      </x:c>
      <x:c r="C6" s="9" t="str">
        <x:v>Service, force and fiscal controls</x:v>
      </x:c>
      <x:c r="D6" s="9" t="str">
        <x:v>Service, force and fiscal controls</x:v>
      </x:c>
      <x:c r="E6" s="9" t="str">
        <x:v>Service, force and fiscal controls</x:v>
      </x:c>
      <x:c r="F6" s="10" t="str">
        <x:v>Service, force and fiscal controls</x:v>
      </x:c>
    </x:row>
    <x:row r="7">
      <x:c r="B7" s="25" t="str">
        <x:v>Input</x:v>
      </x:c>
      <x:c r="C7" s="26" t="str">
        <x:v>Value</x:v>
      </x:c>
      <x:c r="D7" s="26" t="str">
        <x:v>Unit</x:v>
      </x:c>
      <x:c r="E7" s="26" t="str">
        <x:v>Origin</x:v>
      </x:c>
      <x:c r="F7" s="26" t="str">
        <x:v>Meaning</x:v>
      </x:c>
    </x:row>
    <x:row r="8">
      <x:c r="B8" s="27" t="str">
        <x:v>Service-entry deadline</x:v>
      </x:c>
      <x:c r="C8" s="28" t="n">
        <x:v>48</x:v>
      </x:c>
      <x:c r="D8" s="27" t="str">
        <x:v>h</x:v>
      </x:c>
      <x:c r="E8" s="27" t="str">
        <x:v>Pass 79</x:v>
      </x:c>
      <x:c r="F8" s="29" t="str">
        <x:v>complete public service</x:v>
      </x:c>
    </x:row>
    <x:row r="9">
      <x:c r="B9" s="27" t="str">
        <x:v>Minimum service fraction</x:v>
      </x:c>
      <x:c r="C9" s="30" t="n">
        <x:v>0.9</x:v>
      </x:c>
      <x:c r="D9" s="27" t="str">
        <x:v>fraction</x:v>
      </x:c>
      <x:c r="E9" s="27" t="str">
        <x:v>Pass 78</x:v>
      </x:c>
      <x:c r="F9" s="29" t="str">
        <x:v>never substitutes for missing functions</x:v>
      </x:c>
    </x:row>
    <x:row r="10">
      <x:c r="B10" s="27" t="str">
        <x:v>Governed positions</x:v>
      </x:c>
      <x:c r="C10" s="28" t="n">
        <x:v>32</x:v>
      </x:c>
      <x:c r="D10" s="27" t="str">
        <x:v>positions</x:v>
      </x:c>
      <x:c r="E10" s="27" t="str">
        <x:v>Pass 79</x:v>
      </x:c>
      <x:c r="F10" s="29" t="str">
        <x:v>complete physical cell</x:v>
      </x:c>
    </x:row>
    <x:row r="11">
      <x:c r="B11" s="27" t="str">
        <x:v>Dry service mass</x:v>
      </x:c>
      <x:c r="C11" s="28" t="n">
        <x:v>580</x:v>
      </x:c>
      <x:c r="D11" s="27" t="str">
        <x:v>t</x:v>
      </x:c>
      <x:c r="E11" s="27" t="str">
        <x:v>Pass 79</x:v>
      </x:c>
      <x:c r="F11" s="29" t="str">
        <x:v>configured equipment</x:v>
      </x:c>
    </x:row>
    <x:row r="12">
      <x:c r="B12" s="27" t="str">
        <x:v>Wet launch load</x:v>
      </x:c>
      <x:c r="C12" s="28" t="n">
        <x:v>55</x:v>
      </x:c>
      <x:c r="D12" s="27" t="str">
        <x:v>t</x:v>
      </x:c>
      <x:c r="E12" s="27" t="str">
        <x:v>Pass 79</x:v>
      </x:c>
      <x:c r="F12" s="29" t="str">
        <x:v>initial liquids and consumables</x:v>
      </x:c>
    </x:row>
    <x:row r="13">
      <x:c r="B13" s="27" t="str">
        <x:v>Launch mass</x:v>
      </x:c>
      <x:c r="C13" s="27" t="n">
        <x:f>C11+C12</x:f>
        <x:v>635</x:v>
      </x:c>
      <x:c r="D13" s="27" t="str">
        <x:v>t</x:v>
      </x:c>
      <x:c r="E13" s="27" t="str">
        <x:v>calculated</x:v>
      </x:c>
      <x:c r="F13" s="29" t="str">
        <x:v>complete physical article</x:v>
      </x:c>
    </x:row>
    <x:row r="14">
      <x:c r="B14" s="27" t="str">
        <x:v>Assigned hard-access groups</x:v>
      </x:c>
      <x:c r="C14" s="28" t="n">
        <x:v>22</x:v>
      </x:c>
      <x:c r="D14" s="27" t="str">
        <x:v>groups</x:v>
      </x:c>
      <x:c r="E14" s="27" t="str">
        <x:v>Pass 79</x:v>
      </x:c>
      <x:c r="F14" s="29" t="str">
        <x:v>national mission assignment</x:v>
      </x:c>
    </x:row>
    <x:row r="15">
      <x:c r="B15" s="27" t="str">
        <x:v>Concurrency factor</x:v>
      </x:c>
      <x:c r="C15" s="28" t="n">
        <x:v>1.5</x:v>
      </x:c>
      <x:c r="D15" s="27" t="str">
        <x:v>factor</x:v>
      </x:c>
      <x:c r="E15" s="27" t="str">
        <x:v>Pass 79</x:v>
      </x:c>
      <x:c r="F15" s="29" t="str">
        <x:v>overlapping campaigns</x:v>
      </x:c>
    </x:row>
    <x:row r="16">
      <x:c r="B16" s="27" t="str">
        <x:v>Readiness factor</x:v>
      </x:c>
      <x:c r="C16" s="28" t="n">
        <x:v>1.3</x:v>
      </x:c>
      <x:c r="D16" s="27" t="str">
        <x:v>factor</x:v>
      </x:c>
      <x:c r="E16" s="27" t="str">
        <x:v>Pass 79</x:v>
      </x:c>
      <x:c r="F16" s="29" t="str">
        <x:v>training, overhaul and attrition</x:v>
      </x:c>
    </x:row>
    <x:row r="17">
      <x:c r="B17" s="27" t="str">
        <x:v>Ready groups</x:v>
      </x:c>
      <x:c r="C17" s="27" t="n">
        <x:f>CEILING(C14*C15*C16,1)</x:f>
        <x:v>43</x:v>
      </x:c>
      <x:c r="D17" s="27" t="str">
        <x:v>groups</x:v>
      </x:c>
      <x:c r="E17" s="27" t="str">
        <x:v>calculated</x:v>
      </x:c>
      <x:c r="F17" s="29" t="str">
        <x:v>ceiling of assigned demand</x:v>
      </x:c>
    </x:row>
    <x:row r="18">
      <x:c r="B18" s="27" t="str">
        <x:v>Operations factor</x:v>
      </x:c>
      <x:c r="C18" s="28" t="n">
        <x:v>15.81</x:v>
      </x:c>
      <x:c r="D18" s="27" t="str">
        <x:v>years</x:v>
      </x:c>
      <x:c r="E18" s="27" t="str">
        <x:v>Pass 79</x:v>
      </x:c>
      <x:c r="F18" s="29" t="str">
        <x:v>25-year ramp weighted</x:v>
      </x:c>
    </x:row>
    <x:row r="19">
      <x:c r="B19" s="27" t="str">
        <x:v>Other-force boundary</x:v>
      </x:c>
      <x:c r="C19" s="54" t="n">
        <x:v>5999.71195</x:v>
      </x:c>
      <x:c r="D19" s="27" t="str">
        <x:v>$B</x:v>
      </x:c>
      <x:c r="E19" s="27" t="str">
        <x:v>Pass 79</x:v>
      </x:c>
      <x:c r="F19" s="29" t="str">
        <x:v>after predecessor pair removed</x:v>
      </x:c>
    </x:row>
    <x:row r="20">
      <x:c r="B20" s="27" t="str">
        <x:v>Embedded dispatch allowance</x:v>
      </x:c>
      <x:c r="C20" s="54" t="n">
        <x:v>60</x:v>
      </x:c>
      <x:c r="D20" s="27" t="str">
        <x:v>$B</x:v>
      </x:c>
      <x:c r="E20" s="27" t="str">
        <x:v>declared allocation</x:v>
      </x:c>
      <x:c r="F20" s="29" t="str">
        <x:v>removed before detailed custody program</x:v>
      </x:c>
    </x:row>
    <x:row r="21">
      <x:c r="B21" s="27" t="str">
        <x:v>Shared formation enterprise</x:v>
      </x:c>
      <x:c r="C21" s="54" t="n">
        <x:v>160</x:v>
      </x:c>
      <x:c r="D21" s="27" t="str">
        <x:v>$B</x:v>
      </x:c>
      <x:c r="E21" s="27" t="str">
        <x:v>Pass 79</x:v>
      </x:c>
      <x:c r="F21" s="29" t="str">
        <x:v>command, bases and proving</x:v>
      </x:c>
    </x:row>
    <x:row r="22">
      <x:c r="B22" s="27" t="str">
        <x:v>Cross-cutting technology</x:v>
      </x:c>
      <x:c r="C22" s="54" t="n">
        <x:v>180</x:v>
      </x:c>
      <x:c r="D22" s="27" t="str">
        <x:v>$B</x:v>
      </x:c>
      <x:c r="E22" s="27" t="str">
        <x:v>Pass 79</x:v>
      </x:c>
      <x:c r="F22" s="29" t="str">
        <x:v>formation integration</x:v>
      </x:c>
    </x:row>
    <x:row r="23">
      <x:c r="B23" s="27" t="str">
        <x:v>Target concurrent regions</x:v>
      </x:c>
      <x:c r="C23" s="28" t="n">
        <x:v>2</x:v>
      </x:c>
      <x:c r="D23" s="27" t="str">
        <x:v>regions</x:v>
      </x:c>
      <x:c r="E23" s="27" t="str">
        <x:v>this pass</x:v>
      </x:c>
      <x:c r="F23" s="29" t="str">
        <x:v>each requires a complete effect</x:v>
      </x:c>
    </x:row>
    <x:row r="24">
      <x:c r="B24" s="27" t="str">
        <x:v>VHL payload per aircraft</x:v>
      </x:c>
      <x:c r="C24" s="28" t="n">
        <x:v>80</x:v>
      </x:c>
      <x:c r="D24" s="27" t="str">
        <x:v>t</x:v>
      </x:c>
      <x:c r="E24" s="27" t="str">
        <x:v>Pass 78</x:v>
      </x:c>
      <x:c r="F24" s="29" t="str">
        <x:v>gross payload ceiling</x:v>
      </x:c>
    </x:row>
    <x:row r="25">
      <x:c r="B25" s="31" t="str">
        <x:v>Rendering authorization</x:v>
      </x:c>
      <x:c r="C25" s="32" t="n">
        <x:v>0</x:v>
      </x:c>
      <x:c r="D25" s="31" t="str">
        <x:v>binary</x:v>
      </x:c>
      <x:c r="E25" s="31" t="str">
        <x:v>governance</x:v>
      </x:c>
      <x:c r="F25" s="33" t="str">
        <x:v>blocked pending physical evidence</x:v>
      </x:c>
    </x:row>
    <x:row r="26">
      <x:c r="B26" s="2"/>
      <x:c r="C26" s="2"/>
      <x:c r="D26" s="2"/>
      <x:c r="E26" s="2"/>
      <x:c r="F26" s="2"/>
    </x:row>
    <x:row r="27">
      <x:c r="B27" s="2"/>
      <x:c r="C27" s="2"/>
      <x:c r="D27" s="2"/>
      <x:c r="E27" s="2"/>
      <x:c r="F27" s="2"/>
    </x:row>
    <x:row r="28">
      <x:c r="B28" s="2"/>
      <x:c r="C28" s="2"/>
      <x:c r="D28" s="2"/>
      <x:c r="E28" s="2"/>
      <x:c r="F28" s="2"/>
    </x:row>
    <x:row r="29">
      <x:c r="B29" s="2"/>
      <x:c r="C29" s="2"/>
      <x:c r="D29" s="2"/>
      <x:c r="E29" s="2"/>
      <x:c r="F29" s="2"/>
    </x:row>
    <x:row r="30">
      <x:c r="B30" s="2"/>
      <x:c r="C30" s="2"/>
      <x:c r="D30" s="2"/>
      <x:c r="E30" s="2"/>
      <x:c r="F30" s="2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6" hidden="0" customWidth="1"/>
    <x:col min="4" max="4" width="13" hidden="0" customWidth="1"/>
    <x:col min="5" max="5" width="14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4" hidden="0" customWidth="1"/>
    <x:col min="13" max="13" width="29" hidden="0" customWidth="1"/>
    <x:col min="14" max="14" width="33" hidden="0" customWidth="1"/>
  </x:cols>
  <x:sheetData>
    <x:row r="2">
      <x:c r="B2" s="3" t="str">
        <x:v>Governed payload lot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Common interfaces do not permit common custody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5" t="str">
        <x:v>Package</x:v>
      </x:c>
      <x:c r="C6" s="26" t="str">
        <x:v>Function</x:v>
      </x:c>
      <x:c r="D6" s="26" t="str">
        <x:v>Positions</x:v>
      </x:c>
      <x:c r="E6" s="26" t="str">
        <x:v>Cell dry t</x:v>
      </x:c>
      <x:c r="F6" s="26" t="str">
        <x:v>Bridge t</x:v>
      </x:c>
      <x:c r="G6" s="26" t="str">
        <x:v>Domain</x:v>
      </x:c>
      <x:c r="H6" s="26" t="str">
        <x:v>Cell A lot</x:v>
      </x:c>
      <x:c r="I6" s="26" t="str">
        <x:v>Cell B lot</x:v>
      </x:c>
      <x:c r="J6" s="26" t="str">
        <x:v>Bridge C record</x:v>
      </x:c>
      <x:c r="K6" s="26" t="str">
        <x:v>VHL D lot</x:v>
      </x:c>
      <x:c r="L6" s="26" t="str">
        <x:v>Interface</x:v>
      </x:c>
      <x:c r="M6" s="26" t="str">
        <x:v>Supplier rule</x:v>
      </x:c>
      <x:c r="N6" s="26" t="str">
        <x:v>Release requirement</x:v>
      </x:c>
    </x:row>
    <x:row r="7">
      <x:c r="B7" s="27" t="str">
        <x:v>P01</x:v>
      </x:c>
      <x:c r="C7" s="27" t="str">
        <x:v>Firm power conversion</x:v>
      </x:c>
      <x:c r="D7" s="27" t="n">
        <x:v>4</x:v>
      </x:c>
      <x:c r="E7" s="27" t="n">
        <x:v>82</x:v>
      </x:c>
      <x:c r="F7" s="27" t="n">
        <x:v>40</x:v>
      </x:c>
      <x:c r="G7" s="27" t="str">
        <x:v>power</x:v>
      </x:c>
      <x:c r="H7" s="27" t="str">
        <x:v>A-P01</x:v>
      </x:c>
      <x:c r="I7" s="27" t="str">
        <x:v>B-P01</x:v>
      </x:c>
      <x:c r="J7" s="27" t="str">
        <x:v>C-P01</x:v>
      </x:c>
      <x:c r="K7" s="27" t="str">
        <x:v>D-P01</x:v>
      </x:c>
      <x:c r="L7" s="27" t="str">
        <x:v>IF-P01</x:v>
      </x:c>
      <x:c r="M7" s="27" t="str">
        <x:v>two source lineages</x:v>
      </x:c>
      <x:c r="N7" s="29" t="str">
        <x:v>source conversion or carried plant</x:v>
      </x:c>
    </x:row>
    <x:row r="8">
      <x:c r="B8" s="27" t="str">
        <x:v>P02</x:v>
      </x:c>
      <x:c r="C8" s="27" t="str">
        <x:v>Distributed black-start storage</x:v>
      </x:c>
      <x:c r="D8" s="27" t="n">
        <x:v>3</x:v>
      </x:c>
      <x:c r="E8" s="27" t="n">
        <x:v>42</x:v>
      </x:c>
      <x:c r="F8" s="27" t="n">
        <x:v>25</x:v>
      </x:c>
      <x:c r="G8" s="27" t="str">
        <x:v>power</x:v>
      </x:c>
      <x:c r="H8" s="27" t="str">
        <x:v>A-P02</x:v>
      </x:c>
      <x:c r="I8" s="27" t="str">
        <x:v>B-P02</x:v>
      </x:c>
      <x:c r="J8" s="27" t="str">
        <x:v>C-P02</x:v>
      </x:c>
      <x:c r="K8" s="27" t="str">
        <x:v>D-P02</x:v>
      </x:c>
      <x:c r="L8" s="27" t="str">
        <x:v>IF-P02</x:v>
      </x:c>
      <x:c r="M8" s="27" t="str">
        <x:v>three battery partitions</x:v>
      </x:c>
      <x:c r="N8" s="29" t="str">
        <x:v>local ride-through</x:v>
      </x:c>
    </x:row>
    <x:row r="9">
      <x:c r="B9" s="27" t="str">
        <x:v>P03</x:v>
      </x:c>
      <x:c r="C9" s="27" t="str">
        <x:v>Useful cooling trains</x:v>
      </x:c>
      <x:c r="D9" s="27" t="n">
        <x:v>3</x:v>
      </x:c>
      <x:c r="E9" s="27" t="n">
        <x:v>48</x:v>
      </x:c>
      <x:c r="F9" s="27" t="n">
        <x:v>20</x:v>
      </x:c>
      <x:c r="G9" s="27" t="str">
        <x:v>thermal</x:v>
      </x:c>
      <x:c r="H9" s="27" t="str">
        <x:v>A-P03</x:v>
      </x:c>
      <x:c r="I9" s="27" t="str">
        <x:v>B-P03</x:v>
      </x:c>
      <x:c r="J9" s="27" t="str">
        <x:v>C-P03</x:v>
      </x:c>
      <x:c r="K9" s="27" t="str">
        <x:v>D-P03</x:v>
      </x:c>
      <x:c r="L9" s="27" t="str">
        <x:v>IF-P03</x:v>
      </x:c>
      <x:c r="M9" s="27" t="str">
        <x:v>three thermal trains</x:v>
      </x:c>
      <x:c r="N9" s="29" t="str">
        <x:v>electrical service</x:v>
      </x:c>
    </x:row>
    <x:row r="10">
      <x:c r="B10" s="27" t="str">
        <x:v>P04</x:v>
      </x:c>
      <x:c r="C10" s="27" t="str">
        <x:v>Final heat-rejection field</x:v>
      </x:c>
      <x:c r="D10" s="27" t="n">
        <x:v>3</x:v>
      </x:c>
      <x:c r="E10" s="27" t="n">
        <x:v>62</x:v>
      </x:c>
      <x:c r="F10" s="27" t="n">
        <x:v>30</x:v>
      </x:c>
      <x:c r="G10" s="27" t="str">
        <x:v>thermal</x:v>
      </x:c>
      <x:c r="H10" s="27" t="str">
        <x:v>A-P04</x:v>
      </x:c>
      <x:c r="I10" s="27" t="str">
        <x:v>B-P04</x:v>
      </x:c>
      <x:c r="J10" s="27" t="str">
        <x:v>C-P04</x:v>
      </x:c>
      <x:c r="K10" s="27" t="str">
        <x:v>D-P04</x:v>
      </x:c>
      <x:c r="L10" s="27" t="str">
        <x:v>IF-P04</x:v>
      </x:c>
      <x:c r="M10" s="27" t="str">
        <x:v>three sink modules</x:v>
      </x:c>
      <x:c r="N10" s="29" t="str">
        <x:v>standoff sink</x:v>
      </x:c>
    </x:row>
    <x:row r="11">
      <x:c r="B11" s="27" t="str">
        <x:v>P05</x:v>
      </x:c>
      <x:c r="C11" s="27" t="str">
        <x:v>Water treatment and quality</x:v>
      </x:c>
      <x:c r="D11" s="27" t="n">
        <x:v>3</x:v>
      </x:c>
      <x:c r="E11" s="27" t="n">
        <x:v>43</x:v>
      </x:c>
      <x:c r="F11" s="27" t="n">
        <x:v>35</x:v>
      </x:c>
      <x:c r="G11" s="27" t="str">
        <x:v>water</x:v>
      </x:c>
      <x:c r="H11" s="27" t="str">
        <x:v>A-P05</x:v>
      </x:c>
      <x:c r="I11" s="27" t="str">
        <x:v>B-P05</x:v>
      </x:c>
      <x:c r="J11" s="27" t="str">
        <x:v>C-P05</x:v>
      </x:c>
      <x:c r="K11" s="27" t="str">
        <x:v>D-P05</x:v>
      </x:c>
      <x:c r="L11" s="27" t="str">
        <x:v>IF-P05</x:v>
      </x:c>
      <x:c r="M11" s="27" t="str">
        <x:v>three process trains</x:v>
      </x:c>
      <x:c r="N11" s="29" t="str">
        <x:v>qualified water bridge</x:v>
      </x:c>
    </x:row>
    <x:row r="12">
      <x:c r="B12" s="27" t="str">
        <x:v>P06</x:v>
      </x:c>
      <x:c r="C12" s="27" t="str">
        <x:v>Wastewater and residual custody</x:v>
      </x:c>
      <x:c r="D12" s="27" t="n">
        <x:v>2</x:v>
      </x:c>
      <x:c r="E12" s="27" t="n">
        <x:v>27</x:v>
      </x:c>
      <x:c r="F12" s="27" t="n">
        <x:v>20</x:v>
      </x:c>
      <x:c r="G12" s="27" t="str">
        <x:v>water</x:v>
      </x:c>
      <x:c r="H12" s="27" t="str">
        <x:v>A-P06</x:v>
      </x:c>
      <x:c r="I12" s="27" t="str">
        <x:v>B-P06</x:v>
      </x:c>
      <x:c r="J12" s="27" t="str">
        <x:v>C-P06</x:v>
      </x:c>
      <x:c r="K12" s="27" t="str">
        <x:v>D-P06</x:v>
      </x:c>
      <x:c r="L12" s="27" t="str">
        <x:v>IF-P06</x:v>
      </x:c>
      <x:c r="M12" s="27" t="str">
        <x:v>two isolated trains</x:v>
      </x:c>
      <x:c r="N12" s="29" t="str">
        <x:v>return path</x:v>
      </x:c>
    </x:row>
    <x:row r="13">
      <x:c r="B13" s="27" t="str">
        <x:v>P07</x:v>
      </x:c>
      <x:c r="C13" s="27" t="str">
        <x:v>Potable and fire-water storage</x:v>
      </x:c>
      <x:c r="D13" s="27" t="n">
        <x:v>2</x:v>
      </x:c>
      <x:c r="E13" s="27" t="n">
        <x:v>26</x:v>
      </x:c>
      <x:c r="F13" s="27" t="n">
        <x:v>25</x:v>
      </x:c>
      <x:c r="G13" s="27" t="str">
        <x:v>water</x:v>
      </x:c>
      <x:c r="H13" s="27" t="str">
        <x:v>A-P07</x:v>
      </x:c>
      <x:c r="I13" s="27" t="str">
        <x:v>B-P07</x:v>
      </x:c>
      <x:c r="J13" s="27" t="str">
        <x:v>C-P07</x:v>
      </x:c>
      <x:c r="K13" s="27" t="str">
        <x:v>D-P07</x:v>
      </x:c>
      <x:c r="L13" s="27" t="str">
        <x:v>IF-P07</x:v>
      </x:c>
      <x:c r="M13" s="27" t="str">
        <x:v>segmented tanks</x:v>
      </x:c>
      <x:c r="N13" s="29" t="str">
        <x:v>source inventory</x:v>
      </x:c>
    </x:row>
    <x:row r="14">
      <x:c r="B14" s="27" t="str">
        <x:v>P08</x:v>
      </x:c>
      <x:c r="C14" s="27" t="str">
        <x:v>Medium-voltage distribution</x:v>
      </x:c>
      <x:c r="D14" s="27" t="n">
        <x:v>2</x:v>
      </x:c>
      <x:c r="E14" s="27" t="n">
        <x:v>36</x:v>
      </x:c>
      <x:c r="F14" s="27" t="n">
        <x:v>50</x:v>
      </x:c>
      <x:c r="G14" s="27" t="str">
        <x:v>distribution</x:v>
      </x:c>
      <x:c r="H14" s="27" t="str">
        <x:v>A-P08</x:v>
      </x:c>
      <x:c r="I14" s="27" t="str">
        <x:v>B-P08</x:v>
      </x:c>
      <x:c r="J14" s="27" t="str">
        <x:v>C-P08</x:v>
      </x:c>
      <x:c r="K14" s="27" t="str">
        <x:v>D-P08</x:v>
      </x:c>
      <x:c r="L14" s="27" t="str">
        <x:v>IF-P08</x:v>
      </x:c>
      <x:c r="M14" s="27" t="str">
        <x:v>two protection lineages</x:v>
      </x:c>
      <x:c r="N14" s="29" t="str">
        <x:v>primary bridge function</x:v>
      </x:c>
    </x:row>
    <x:row r="15">
      <x:c r="B15" s="27" t="str">
        <x:v>P09</x:v>
      </x:c>
      <x:c r="C15" s="27" t="str">
        <x:v>Water and thermal distribution</x:v>
      </x:c>
      <x:c r="D15" s="27" t="n">
        <x:v>2</x:v>
      </x:c>
      <x:c r="E15" s="27" t="n">
        <x:v>34</x:v>
      </x:c>
      <x:c r="F15" s="27" t="n">
        <x:v>45</x:v>
      </x:c>
      <x:c r="G15" s="27" t="str">
        <x:v>distribution</x:v>
      </x:c>
      <x:c r="H15" s="27" t="str">
        <x:v>A-P09</x:v>
      </x:c>
      <x:c r="I15" s="27" t="str">
        <x:v>B-P09</x:v>
      </x:c>
      <x:c r="J15" s="27" t="str">
        <x:v>C-P09</x:v>
      </x:c>
      <x:c r="K15" s="27" t="str">
        <x:v>D-P09</x:v>
      </x:c>
      <x:c r="L15" s="27" t="str">
        <x:v>IF-P09</x:v>
      </x:c>
      <x:c r="M15" s="27" t="str">
        <x:v>separate product paths</x:v>
      </x:c>
      <x:c r="N15" s="29" t="str">
        <x:v>primary bridge function</x:v>
      </x:c>
    </x:row>
    <x:row r="16">
      <x:c r="B16" s="27" t="str">
        <x:v>P10</x:v>
      </x:c>
      <x:c r="C16" s="27" t="str">
        <x:v>Building interface kits</x:v>
      </x:c>
      <x:c r="D16" s="27" t="n">
        <x:v>2</x:v>
      </x:c>
      <x:c r="E16" s="27" t="n">
        <x:v>30</x:v>
      </x:c>
      <x:c r="F16" s="27" t="n">
        <x:v>30</x:v>
      </x:c>
      <x:c r="G16" s="27" t="str">
        <x:v>receiver</x:v>
      </x:c>
      <x:c r="H16" s="27" t="str">
        <x:v>A-P10</x:v>
      </x:c>
      <x:c r="I16" s="27" t="str">
        <x:v>B-P10</x:v>
      </x:c>
      <x:c r="J16" s="27" t="str">
        <x:v>C-P10</x:v>
      </x:c>
      <x:c r="K16" s="27" t="str">
        <x:v>D-P10</x:v>
      </x:c>
      <x:c r="L16" s="27" t="str">
        <x:v>IF-P10</x:v>
      </x:c>
      <x:c r="M16" s="27" t="str">
        <x:v>ten building sets</x:v>
      </x:c>
      <x:c r="N16" s="29" t="str">
        <x:v>terminators</x:v>
      </x:c>
    </x:row>
    <x:row r="17">
      <x:c r="B17" s="27" t="str">
        <x:v>P11</x:v>
      </x:c>
      <x:c r="C17" s="27" t="str">
        <x:v>Offline controls and communications</x:v>
      </x:c>
      <x:c r="D17" s="27" t="n">
        <x:v>1</x:v>
      </x:c>
      <x:c r="E17" s="27" t="n">
        <x:v>10</x:v>
      </x:c>
      <x:c r="F17" s="27" t="n">
        <x:v>10</x:v>
      </x:c>
      <x:c r="G17" s="27" t="str">
        <x:v>control</x:v>
      </x:c>
      <x:c r="H17" s="27" t="str">
        <x:v>A-P11</x:v>
      </x:c>
      <x:c r="I17" s="27" t="str">
        <x:v>B-P11</x:v>
      </x:c>
      <x:c r="J17" s="27" t="str">
        <x:v>C-P11</x:v>
      </x:c>
      <x:c r="K17" s="27" t="str">
        <x:v>D-P11</x:v>
      </x:c>
      <x:c r="L17" s="27" t="str">
        <x:v>IF-P11</x:v>
      </x:c>
      <x:c r="M17" s="27" t="str">
        <x:v>three control partitions</x:v>
      </x:c>
      <x:c r="N17" s="29" t="str">
        <x:v>repeaters and protection</x:v>
      </x:c>
    </x:row>
    <x:row r="18">
      <x:c r="B18" s="27" t="str">
        <x:v>P12</x:v>
      </x:c>
      <x:c r="C18" s="27" t="str">
        <x:v>Survey, robotics and civil works</x:v>
      </x:c>
      <x:c r="D18" s="27" t="n">
        <x:v>1</x:v>
      </x:c>
      <x:c r="E18" s="27" t="n">
        <x:v>24</x:v>
      </x:c>
      <x:c r="F18" s="27" t="n">
        <x:v>20</x:v>
      </x:c>
      <x:c r="G18" s="27" t="str">
        <x:v>receiver</x:v>
      </x:c>
      <x:c r="H18" s="27" t="str">
        <x:v>A-P12</x:v>
      </x:c>
      <x:c r="I18" s="27" t="str">
        <x:v>B-P12</x:v>
      </x:c>
      <x:c r="J18" s="27" t="str">
        <x:v>C-P12</x:v>
      </x:c>
      <x:c r="K18" s="27" t="str">
        <x:v>D-P12</x:v>
      </x:c>
      <x:c r="L18" s="27" t="str">
        <x:v>IF-P12</x:v>
      </x:c>
      <x:c r="M18" s="27" t="str">
        <x:v>air and ground lineages</x:v>
      </x:c>
      <x:c r="N18" s="29" t="str">
        <x:v>route robotics</x:v>
      </x:c>
    </x:row>
    <x:row r="19">
      <x:c r="B19" s="27" t="str">
        <x:v>P13</x:v>
      </x:c>
      <x:c r="C19" s="27" t="str">
        <x:v>Medical and vertical-service kits</x:v>
      </x:c>
      <x:c r="D19" s="27" t="n">
        <x:v>1</x:v>
      </x:c>
      <x:c r="E19" s="27" t="n">
        <x:v>22</x:v>
      </x:c>
      <x:c r="F19" s="27" t="n">
        <x:v>15</x:v>
      </x:c>
      <x:c r="G19" s="27" t="str">
        <x:v>service</x:v>
      </x:c>
      <x:c r="H19" s="27" t="str">
        <x:v>A-P13</x:v>
      </x:c>
      <x:c r="I19" s="27" t="str">
        <x:v>B-P13</x:v>
      </x:c>
      <x:c r="J19" s="27" t="str">
        <x:v>C-P13</x:v>
      </x:c>
      <x:c r="K19" s="27" t="str">
        <x:v>D-P13</x:v>
      </x:c>
      <x:c r="L19" s="27" t="str">
        <x:v>IF-P13</x:v>
      </x:c>
      <x:c r="M19" s="27" t="str">
        <x:v>two custody lots</x:v>
      </x:c>
      <x:c r="N19" s="29" t="str">
        <x:v>powered interfaces</x:v>
      </x:c>
    </x:row>
    <x:row r="20">
      <x:c r="B20" s="27" t="str">
        <x:v>P14</x:v>
      </x:c>
      <x:c r="C20" s="27" t="str">
        <x:v>Crew life support and safety</x:v>
      </x:c>
      <x:c r="D20" s="27" t="n">
        <x:v>1</x:v>
      </x:c>
      <x:c r="E20" s="27" t="n">
        <x:v>20</x:v>
      </x:c>
      <x:c r="F20" s="27" t="n">
        <x:v>10</x:v>
      </x:c>
      <x:c r="G20" s="27" t="str">
        <x:v>support</x:v>
      </x:c>
      <x:c r="H20" s="27" t="str">
        <x:v>A-P14</x:v>
      </x:c>
      <x:c r="I20" s="27" t="str">
        <x:v>B-P14</x:v>
      </x:c>
      <x:c r="J20" s="27" t="str">
        <x:v>C-P14</x:v>
      </x:c>
      <x:c r="K20" s="27" t="str">
        <x:v>D-P14</x:v>
      </x:c>
      <x:c r="L20" s="27" t="str">
        <x:v>IF-P14</x:v>
      </x:c>
      <x:c r="M20" s="27" t="str">
        <x:v>separate crew domains</x:v>
      </x:c>
      <x:c r="N20" s="29" t="str">
        <x:v>field shelters</x:v>
      </x:c>
    </x:row>
    <x:row r="21">
      <x:c r="B21" s="27" t="str">
        <x:v>P15</x:v>
      </x:c>
      <x:c r="C21" s="27" t="str">
        <x:v>Spares, tools and microrepair</x:v>
      </x:c>
      <x:c r="D21" s="27" t="n">
        <x:v>1</x:v>
      </x:c>
      <x:c r="E21" s="27" t="n">
        <x:v>26</x:v>
      </x:c>
      <x:c r="F21" s="27" t="n">
        <x:v>10</x:v>
      </x:c>
      <x:c r="G21" s="27" t="str">
        <x:v>reset</x:v>
      </x:c>
      <x:c r="H21" s="27" t="str">
        <x:v>A-P15</x:v>
      </x:c>
      <x:c r="I21" s="27" t="str">
        <x:v>B-P15</x:v>
      </x:c>
      <x:c r="J21" s="27" t="str">
        <x:v>C-P15</x:v>
      </x:c>
      <x:c r="K21" s="27" t="str">
        <x:v>D-P15</x:v>
      </x:c>
      <x:c r="L21" s="27" t="str">
        <x:v>IF-P15</x:v>
      </x:c>
      <x:c r="M21" s="27" t="str">
        <x:v>three supplier lots</x:v>
      </x:c>
      <x:c r="N21" s="29" t="str">
        <x:v>repair nodes</x:v>
      </x:c>
    </x:row>
    <x:row r="22">
      <x:c r="B22" s="31" t="str">
        <x:v>P16</x:v>
      </x:c>
      <x:c r="C22" s="31" t="str">
        <x:v>Dry process stocks and assay</x:v>
      </x:c>
      <x:c r="D22" s="31" t="n">
        <x:v>1</x:v>
      </x:c>
      <x:c r="E22" s="31" t="n">
        <x:v>48</x:v>
      </x:c>
      <x:c r="F22" s="31" t="n">
        <x:v>15</x:v>
      </x:c>
      <x:c r="G22" s="31" t="str">
        <x:v>supply</x:v>
      </x:c>
      <x:c r="H22" s="31" t="str">
        <x:v>A-P16</x:v>
      </x:c>
      <x:c r="I22" s="31" t="str">
        <x:v>B-P16</x:v>
      </x:c>
      <x:c r="J22" s="31" t="str">
        <x:v>C-P16</x:v>
      </x:c>
      <x:c r="K22" s="31" t="str">
        <x:v>D-P16</x:v>
      </x:c>
      <x:c r="L22" s="31" t="str">
        <x:v>IF-P16</x:v>
      </x:c>
      <x:c r="M22" s="31" t="str">
        <x:v>four sealed lots</x:v>
      </x:c>
      <x:c r="N22" s="33" t="str">
        <x:v>quality custody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8" t="str">
        <x:v>Payload reconciliation</x:v>
      </x:c>
      <x:c r="C25" s="9" t="str">
        <x:v>Payload reconciliation</x:v>
      </x:c>
      <x:c r="D25" s="9" t="str">
        <x:v>Payload reconciliation</x:v>
      </x:c>
      <x:c r="E25" s="9" t="str">
        <x:v>Payload reconciliation</x:v>
      </x:c>
      <x:c r="F25" s="9" t="str">
        <x:v>Payload reconciliation</x:v>
      </x:c>
      <x:c r="G25" s="9" t="str">
        <x:v>Payload reconciliation</x:v>
      </x:c>
      <x:c r="H25" s="9" t="str">
        <x:v>Payload reconciliation</x:v>
      </x:c>
      <x:c r="I25" s="9" t="str">
        <x:v>Payload reconciliation</x:v>
      </x:c>
      <x:c r="J25" s="9" t="str">
        <x:v>Payload reconciliation</x:v>
      </x:c>
      <x:c r="K25" s="9" t="str">
        <x:v>Payload reconciliation</x:v>
      </x:c>
      <x:c r="L25" s="9" t="str">
        <x:v>Payload reconciliation</x:v>
      </x:c>
      <x:c r="M25" s="9" t="str">
        <x:v>Payload reconciliation</x:v>
      </x:c>
      <x:c r="N25" s="10" t="str">
        <x:v>Payload reconciliation</x:v>
      </x:c>
    </x:row>
    <x:row r="26">
      <x:c r="B26" s="25" t="str">
        <x:v>Control</x:v>
      </x:c>
      <x:c r="C26" s="26" t="str">
        <x:v>Observed</x:v>
      </x:c>
      <x:c r="D26" s="26" t="str">
        <x:v>Expected</x:v>
      </x:c>
      <x:c r="E26" s="26" t="str">
        <x:v>Difference</x:v>
      </x:c>
      <x:c r="F26" s="26" t="str">
        <x:v>Status</x:v>
      </x:c>
      <x:c r="G26" s="2"/>
      <x:c r="H26" s="2"/>
      <x:c r="I26" s="2"/>
      <x:c r="J26" s="2"/>
      <x:c r="K26" s="2"/>
      <x:c r="L26" s="2"/>
      <x:c r="M26" s="2"/>
      <x:c r="N26" s="2"/>
    </x:row>
    <x:row r="27">
      <x:c r="B27" s="27" t="str">
        <x:v>Governed positions</x:v>
      </x:c>
      <x:c r="C27" s="27" t="n">
        <x:f>SUM(D7:D22)</x:f>
        <x:v>32</x:v>
      </x:c>
      <x:c r="D27" s="27" t="n">
        <x:v>32</x:v>
      </x:c>
      <x:c r="E27" s="27" t="n">
        <x:f>C27-D27</x:f>
        <x:v>0</x:v>
      </x:c>
      <x:c r="F27" s="29" t="str">
        <x:f>IF(ABS(E27)&lt;0.000001,"PASS","FAIL")</x:f>
        <x:v>PASS</x:v>
      </x:c>
      <x:c r="G27" s="2"/>
      <x:c r="H27" s="2"/>
      <x:c r="I27" s="2"/>
      <x:c r="J27" s="2"/>
      <x:c r="K27" s="2"/>
      <x:c r="L27" s="2"/>
      <x:c r="M27" s="2"/>
      <x:c r="N27" s="2"/>
    </x:row>
    <x:row r="28">
      <x:c r="B28" s="27" t="str">
        <x:v>Cell dry mass</x:v>
      </x:c>
      <x:c r="C28" s="27" t="n">
        <x:f>SUM(E7:E22)</x:f>
        <x:v>580</x:v>
      </x:c>
      <x:c r="D28" s="27" t="n">
        <x:v>580</x:v>
      </x:c>
      <x:c r="E28" s="27" t="n">
        <x:f>C28-D28</x:f>
        <x:v>0</x:v>
      </x:c>
      <x:c r="F28" s="29" t="str">
        <x:f>IF(ABS(E28)&lt;0.000001,"PASS","FAIL")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</x:row>
    <x:row r="29">
      <x:c r="B29" s="27" t="str">
        <x:v>Bridge payload</x:v>
      </x:c>
      <x:c r="C29" s="27" t="n">
        <x:f>SUM(F7:F22)</x:f>
        <x:v>400</x:v>
      </x:c>
      <x:c r="D29" s="27" t="n">
        <x:v>400</x:v>
      </x:c>
      <x:c r="E29" s="27" t="n">
        <x:f>C29-D29</x:f>
        <x:v>0</x:v>
      </x:c>
      <x:c r="F29" s="29" t="str">
        <x:f>IF(ABS(E29)&lt;0.000001,"PASS","FAIL")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</x:row>
    <x:row r="30">
      <x:c r="B30" s="31" t="str">
        <x:v>Launch mass</x:v>
      </x:c>
      <x:c r="C30" s="31" t="n">
        <x:f>C28+Assumptions!C12</x:f>
        <x:v>635</x:v>
      </x:c>
      <x:c r="D30" s="31" t="n">
        <x:v>635</x:v>
      </x:c>
      <x:c r="E30" s="31" t="n">
        <x:f>C30-D30</x:f>
        <x:v>0</x:v>
      </x:c>
      <x:c r="F30" s="33" t="str">
        <x:f>IF(ABS(E30)&lt;0.000001,"PASS","FAIL")</x:f>
        <x:v>PASS</x:v>
      </x:c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</x:sheetData>
  <x:mergeCells>
    <x:mergeCell ref="B25:N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34" hidden="0" customWidth="1"/>
    <x:col min="4" max="4" width="15" hidden="0" customWidth="1"/>
    <x:col min="5" max="5" width="19" hidden="0" customWidth="1"/>
    <x:col min="6" max="6" width="19" hidden="0" customWidth="1"/>
    <x:col min="7" max="7" width="20" hidden="0" customWidth="1"/>
    <x:col min="8" max="8" width="18" hidden="0" customWidth="1"/>
    <x:col min="9" max="9" width="22" hidden="0" customWidth="1"/>
    <x:col min="10" max="10" width="24" hidden="0" customWidth="1"/>
    <x:col min="11" max="11" width="23" hidden="0" customWidth="1"/>
    <x:col min="12" max="12" width="18" hidden="0" customWidth="1"/>
    <x:col min="13" max="13" width="20" hidden="0" customWidth="1"/>
    <x:col min="14" max="14" width="24" hidden="0" customWidth="1"/>
  </x:cols>
  <x:sheetData>
    <x:row r="2">
      <x:c r="B2" s="3" t="str">
        <x:v>Arsenal and custody architecture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Three vector names are not three chains until every dispatch dependency separates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5" t="str">
        <x:v>Node</x:v>
      </x:c>
      <x:c r="C6" s="26" t="str">
        <x:v>Function</x:v>
      </x:c>
      <x:c r="D6" s="26" t="str">
        <x:v>Vector</x:v>
      </x:c>
      <x:c r="E6" s="26" t="str">
        <x:v>Payload custody</x:v>
      </x:c>
      <x:c r="F6" s="26" t="str">
        <x:v>Loading resource</x:v>
      </x:c>
      <x:c r="G6" s="26" t="str">
        <x:v>Energy lineage</x:v>
      </x:c>
      <x:c r="H6" s="26" t="str">
        <x:v>Control partition</x:v>
      </x:c>
      <x:c r="I6" s="26" t="str">
        <x:v>Technical release</x:v>
      </x:c>
      <x:c r="J6" s="26" t="str">
        <x:v>Use</x:v>
      </x:c>
      <x:c r="K6" s="2"/>
      <x:c r="L6" s="2"/>
      <x:c r="M6" s="2"/>
      <x:c r="N6" s="2"/>
    </x:row>
    <x:row r="7">
      <x:c r="B7" s="27" t="str">
        <x:v>H0</x:v>
      </x:c>
      <x:c r="C7" s="27" t="str">
        <x:v>Integrated payload hub</x:v>
      </x:c>
      <x:c r="D7" s="27" t="str">
        <x:v>all</x:v>
      </x:c>
      <x:c r="E7" s="27" t="str">
        <x:v>A/B/C/D</x:v>
      </x:c>
      <x:c r="F7" s="27" t="str">
        <x:v>one shared bay</x:v>
      </x:c>
      <x:c r="G7" s="27" t="str">
        <x:v>common utility</x:v>
      </x:c>
      <x:c r="H7" s="27" t="str">
        <x:v>common network</x:v>
      </x:c>
      <x:c r="I7" s="27" t="str">
        <x:v>single joint release</x:v>
      </x:c>
      <x:c r="J7" s="29" t="str">
        <x:v>C0 only</x:v>
      </x:c>
      <x:c r="K7" s="2"/>
      <x:c r="L7" s="2"/>
      <x:c r="M7" s="2"/>
      <x:c r="N7" s="2"/>
    </x:row>
    <x:row r="8">
      <x:c r="B8" s="27" t="str">
        <x:v>A1</x:v>
      </x:c>
      <x:c r="C8" s="27" t="str">
        <x:v>Atmospheric arsenal</x:v>
      </x:c>
      <x:c r="D8" s="27" t="str">
        <x:v>M1</x:v>
      </x:c>
      <x:c r="E8" s="27" t="str">
        <x:v>A lots</x:v>
      </x:c>
      <x:c r="F8" s="27" t="str">
        <x:v>paired lift towers</x:v>
      </x:c>
      <x:c r="G8" s="27" t="str">
        <x:v>hydrogen/electric A</x:v>
      </x:c>
      <x:c r="H8" s="27" t="str">
        <x:v>air control A</x:v>
      </x:c>
      <x:c r="I8" s="27" t="str">
        <x:v>Air release 1</x:v>
      </x:c>
      <x:c r="J8" s="29" t="str">
        <x:v>C1/C2</x:v>
      </x:c>
      <x:c r="K8" s="2"/>
      <x:c r="L8" s="2"/>
      <x:c r="M8" s="2"/>
      <x:c r="N8" s="2"/>
    </x:row>
    <x:row r="9">
      <x:c r="B9" s="27" t="str">
        <x:v>B1</x:v>
      </x:c>
      <x:c r="C9" s="27" t="str">
        <x:v>Terrain arsenal</x:v>
      </x:c>
      <x:c r="D9" s="27" t="str">
        <x:v>M3</x:v>
      </x:c>
      <x:c r="E9" s="27" t="str">
        <x:v>B lots</x:v>
      </x:c>
      <x:c r="F9" s="27" t="str">
        <x:v>four platform loaders</x:v>
      </x:c>
      <x:c r="G9" s="27" t="str">
        <x:v>liquid/electric B</x:v>
      </x:c>
      <x:c r="H9" s="27" t="str">
        <x:v>terrain control B</x:v>
      </x:c>
      <x:c r="I9" s="27" t="str">
        <x:v>Land release 1</x:v>
      </x:c>
      <x:c r="J9" s="29" t="str">
        <x:v>C1/C2</x:v>
      </x:c>
      <x:c r="K9" s="2"/>
      <x:c r="L9" s="2"/>
      <x:c r="M9" s="2"/>
      <x:c r="N9" s="2"/>
    </x:row>
    <x:row r="10">
      <x:c r="B10" s="27" t="str">
        <x:v>C1</x:v>
      </x:c>
      <x:c r="C10" s="27" t="str">
        <x:v>Corridor arsenal</x:v>
      </x:c>
      <x:c r="D10" s="27" t="str">
        <x:v>M5</x:v>
      </x:c>
      <x:c r="E10" s="27" t="str">
        <x:v>C records</x:v>
      </x:c>
      <x:c r="F10" s="27" t="str">
        <x:v>four spool cells</x:v>
      </x:c>
      <x:c r="G10" s="27" t="str">
        <x:v>depot energy C</x:v>
      </x:c>
      <x:c r="H10" s="27" t="str">
        <x:v>utility control C</x:v>
      </x:c>
      <x:c r="I10" s="27" t="str">
        <x:v>Utility release 1</x:v>
      </x:c>
      <x:c r="J10" s="29" t="str">
        <x:v>C1/C2</x:v>
      </x:c>
      <x:c r="K10" s="2"/>
      <x:c r="L10" s="2"/>
      <x:c r="M10" s="2"/>
      <x:c r="N10" s="2"/>
    </x:row>
    <x:row r="11">
      <x:c r="B11" s="27" t="str">
        <x:v>D1</x:v>
      </x:c>
      <x:c r="C11" s="27" t="str">
        <x:v>VHL concurrency arsenal</x:v>
      </x:c>
      <x:c r="D11" s="27" t="str">
        <x:v>M4</x:v>
      </x:c>
      <x:c r="E11" s="27" t="str">
        <x:v>D lots</x:v>
      </x:c>
      <x:c r="F11" s="27" t="str">
        <x:v>distributed flight loaders</x:v>
      </x:c>
      <x:c r="G11" s="27" t="str">
        <x:v>electric D</x:v>
      </x:c>
      <x:c r="H11" s="27" t="str">
        <x:v>air control D</x:v>
      </x:c>
      <x:c r="I11" s="27" t="str">
        <x:v>Air release 2</x:v>
      </x:c>
      <x:c r="J11" s="29" t="str">
        <x:v>F2/F2R</x:v>
      </x:c>
      <x:c r="K11" s="2"/>
      <x:c r="L11" s="2"/>
      <x:c r="M11" s="2"/>
      <x:c r="N11" s="2"/>
    </x:row>
    <x:row r="12">
      <x:c r="B12" s="27" t="str">
        <x:v>A2</x:v>
      </x:c>
      <x:c r="C12" s="27" t="str">
        <x:v>Atmospheric alternate</x:v>
      </x:c>
      <x:c r="D12" s="27" t="str">
        <x:v>M1</x:v>
      </x:c>
      <x:c r="E12" s="27" t="str">
        <x:v>A2 lots</x:v>
      </x:c>
      <x:c r="F12" s="27" t="str">
        <x:v>alternate lift towers</x:v>
      </x:c>
      <x:c r="G12" s="27" t="str">
        <x:v>hydrogen/electric A2</x:v>
      </x:c>
      <x:c r="H12" s="27" t="str">
        <x:v>air control A2</x:v>
      </x:c>
      <x:c r="I12" s="27" t="str">
        <x:v>Air release 3</x:v>
      </x:c>
      <x:c r="J12" s="29" t="str">
        <x:v>C2</x:v>
      </x:c>
      <x:c r="K12" s="2"/>
      <x:c r="L12" s="2"/>
      <x:c r="M12" s="2"/>
      <x:c r="N12" s="2"/>
    </x:row>
    <x:row r="13">
      <x:c r="B13" s="27" t="str">
        <x:v>B2</x:v>
      </x:c>
      <x:c r="C13" s="27" t="str">
        <x:v>Terrain alternate</x:v>
      </x:c>
      <x:c r="D13" s="27" t="str">
        <x:v>M3</x:v>
      </x:c>
      <x:c r="E13" s="27" t="str">
        <x:v>B2 lots</x:v>
      </x:c>
      <x:c r="F13" s="27" t="str">
        <x:v>alternate platform loaders</x:v>
      </x:c>
      <x:c r="G13" s="27" t="str">
        <x:v>liquid/electric B2</x:v>
      </x:c>
      <x:c r="H13" s="27" t="str">
        <x:v>terrain control B2</x:v>
      </x:c>
      <x:c r="I13" s="27" t="str">
        <x:v>Land release 2</x:v>
      </x:c>
      <x:c r="J13" s="29" t="str">
        <x:v>C2</x:v>
      </x:c>
      <x:c r="K13" s="2"/>
      <x:c r="L13" s="2"/>
      <x:c r="M13" s="2"/>
      <x:c r="N13" s="2"/>
    </x:row>
    <x:row r="14">
      <x:c r="B14" s="31" t="str">
        <x:v>C2</x:v>
      </x:c>
      <x:c r="C14" s="31" t="str">
        <x:v>Corridor alternate</x:v>
      </x:c>
      <x:c r="D14" s="31" t="str">
        <x:v>M5</x:v>
      </x:c>
      <x:c r="E14" s="31" t="str">
        <x:v>C2 records</x:v>
      </x:c>
      <x:c r="F14" s="31" t="str">
        <x:v>alternate spool cells</x:v>
      </x:c>
      <x:c r="G14" s="31" t="str">
        <x:v>depot energy C2</x:v>
      </x:c>
      <x:c r="H14" s="31" t="str">
        <x:v>utility control C2</x:v>
      </x:c>
      <x:c r="I14" s="31" t="str">
        <x:v>Utility release 2</x:v>
      </x:c>
      <x:c r="J14" s="33" t="str">
        <x:v>C2</x:v>
      </x:c>
      <x:c r="K14" s="2"/>
      <x:c r="L14" s="2"/>
      <x:c r="M14" s="2"/>
      <x:c r="N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8" t="str">
        <x:v>Architecture comparison</x:v>
      </x:c>
      <x:c r="C17" s="9" t="str">
        <x:v>Architecture comparison</x:v>
      </x:c>
      <x:c r="D17" s="9" t="str">
        <x:v>Architecture comparison</x:v>
      </x:c>
      <x:c r="E17" s="9" t="str">
        <x:v>Architecture comparison</x:v>
      </x:c>
      <x:c r="F17" s="9" t="str">
        <x:v>Architecture comparison</x:v>
      </x:c>
      <x:c r="G17" s="9" t="str">
        <x:v>Architecture comparison</x:v>
      </x:c>
      <x:c r="H17" s="9" t="str">
        <x:v>Architecture comparison</x:v>
      </x:c>
      <x:c r="I17" s="9" t="str">
        <x:v>Architecture comparison</x:v>
      </x:c>
      <x:c r="J17" s="9" t="str">
        <x:v>Architecture comparison</x:v>
      </x:c>
      <x:c r="K17" s="9" t="str">
        <x:v>Architecture comparison</x:v>
      </x:c>
      <x:c r="L17" s="9" t="str">
        <x:v>Architecture comparison</x:v>
      </x:c>
      <x:c r="M17" s="9" t="str">
        <x:v>Architecture comparison</x:v>
      </x:c>
      <x:c r="N17" s="10" t="str">
        <x:v>Architecture comparison</x:v>
      </x:c>
    </x:row>
    <x:row r="18">
      <x:c r="B18" s="25" t="str">
        <x:v>Code</x:v>
      </x:c>
      <x:c r="C18" s="26" t="str">
        <x:v>Architecture</x:v>
      </x:c>
      <x:c r="D18" s="26" t="str">
        <x:v>Arsenals/group</x:v>
      </x:c>
      <x:c r="E18" s="26" t="str">
        <x:v>Load systems</x:v>
      </x:c>
      <x:c r="F18" s="26" t="str">
        <x:v>Technical releases</x:v>
      </x:c>
      <x:c r="G18" s="26" t="str">
        <x:v>Energy lineages</x:v>
      </x:c>
      <x:c r="H18" s="26" t="str">
        <x:v>Control partitions</x:v>
      </x:c>
      <x:c r="I18" s="26" t="str">
        <x:v>Receiver echelons</x:v>
      </x:c>
      <x:c r="J18" s="26" t="str">
        <x:v>Interface implementations</x:v>
      </x:c>
      <x:c r="K18" s="26" t="str">
        <x:v>One-region cut worlds</x:v>
      </x:c>
      <x:c r="L18" s="26" t="str">
        <x:v>Nominal regions</x:v>
      </x:c>
      <x:c r="M18" s="26" t="str">
        <x:v>Compound regions</x:v>
      </x:c>
      <x:c r="N18" s="26" t="str">
        <x:v>State</x:v>
      </x:c>
    </x:row>
    <x:row r="19">
      <x:c r="B19" s="27" t="str">
        <x:v>C0</x:v>
      </x:c>
      <x:c r="C19" s="27" t="str">
        <x:v>Common integrated hub</x:v>
      </x:c>
      <x:c r="D19" s="27" t="n">
        <x:v>1</x:v>
      </x:c>
      <x:c r="E19" s="27" t="n">
        <x:v>1</x:v>
      </x:c>
      <x:c r="F19" s="27" t="n">
        <x:v>1</x:v>
      </x:c>
      <x:c r="G19" s="27" t="n">
        <x:v>1</x:v>
      </x:c>
      <x:c r="H19" s="27" t="n">
        <x:v>1</x:v>
      </x:c>
      <x:c r="I19" s="27" t="n">
        <x:v>1</x:v>
      </x:c>
      <x:c r="J19" s="27" t="n">
        <x:v>1</x:v>
      </x:c>
      <x:c r="K19" s="27" t="n">
        <x:v>8</x:v>
      </x:c>
      <x:c r="L19" s="27" t="n">
        <x:v>1</x:v>
      </x:c>
      <x:c r="M19" s="27" t="n">
        <x:v>0</x:v>
      </x:c>
      <x:c r="N19" s="29" t="str">
        <x:v>rejected comparator</x:v>
      </x:c>
    </x:row>
    <x:row r="20">
      <x:c r="B20" s="27" t="str">
        <x:v>C1</x:v>
      </x:c>
      <x:c r="C20" s="27" t="str">
        <x:v>Tri-partition custody</x:v>
      </x:c>
      <x:c r="D20" s="27" t="n">
        <x:v>3</x:v>
      </x:c>
      <x:c r="E20" s="27" t="n">
        <x:v>3</x:v>
      </x:c>
      <x:c r="F20" s="27" t="n">
        <x:v>3</x:v>
      </x:c>
      <x:c r="G20" s="27" t="n">
        <x:v>3</x:v>
      </x:c>
      <x:c r="H20" s="27" t="n">
        <x:v>3</x:v>
      </x:c>
      <x:c r="I20" s="27" t="n">
        <x:v>1</x:v>
      </x:c>
      <x:c r="J20" s="27" t="n">
        <x:v>2</x:v>
      </x:c>
      <x:c r="K20" s="27" t="n">
        <x:v>13</x:v>
      </x:c>
      <x:c r="L20" s="27" t="n">
        <x:v>1</x:v>
      </x:c>
      <x:c r="M20" s="27" t="n">
        <x:v>1</x:v>
      </x:c>
      <x:c r="N20" s="29" t="str">
        <x:v>reference one-region</x:v>
      </x:c>
    </x:row>
    <x:row r="21">
      <x:c r="B21" s="31" t="str">
        <x:v>C2</x:v>
      </x:c>
      <x:c r="C21" s="31" t="str">
        <x:v>Dual federated custody</x:v>
      </x:c>
      <x:c r="D21" s="31" t="n">
        <x:v>6</x:v>
      </x:c>
      <x:c r="E21" s="31" t="n">
        <x:v>6</x:v>
      </x:c>
      <x:c r="F21" s="31" t="n">
        <x:v>6</x:v>
      </x:c>
      <x:c r="G21" s="31" t="n">
        <x:v>6</x:v>
      </x:c>
      <x:c r="H21" s="31" t="n">
        <x:v>6</x:v>
      </x:c>
      <x:c r="I21" s="31" t="n">
        <x:v>2</x:v>
      </x:c>
      <x:c r="J21" s="31" t="n">
        <x:v>2</x:v>
      </x:c>
      <x:c r="K21" s="31" t="n">
        <x:v>13</x:v>
      </x:c>
      <x:c r="L21" s="31" t="n">
        <x:v>2</x:v>
      </x:c>
      <x:c r="M21" s="31" t="n">
        <x:v>1</x:v>
      </x:c>
      <x:c r="N21" s="33" t="str">
        <x:v>concurrency substrate</x:v>
      </x:c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</x:sheetData>
  <x:mergeCells>
    <x:mergeCell ref="B17:N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35" hidden="0" customWidth="1"/>
    <x:col min="4" max="4" width="15" hidden="0" customWidth="1"/>
    <x:col min="5" max="5" width="20" hidden="0" customWidth="1"/>
    <x:col min="6" max="6" width="18" hidden="0" customWidth="1"/>
    <x:col min="7" max="7" width="19" hidden="0" customWidth="1"/>
    <x:col min="8" max="8" width="16" hidden="0" customWidth="1"/>
    <x:col min="9" max="9" width="15" hidden="0" customWidth="1"/>
    <x:col min="10" max="10" width="20" hidden="0" customWidth="1"/>
    <x:col min="11" max="11" width="14" hidden="0" customWidth="1"/>
    <x:col min="12" max="12" width="19" hidden="0" customWidth="1"/>
    <x:col min="13" max="13" width="21" hidden="0" customWidth="1"/>
    <x:col min="14" max="14" width="25" hidden="0" customWidth="1"/>
  </x:cols>
  <x:sheetData>
    <x:row r="2">
      <x:c r="B2" s="3" t="str">
        <x:v>Discrete vehicle and loading resources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Payload capacity, loading, people and loss margin must all close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5" t="str">
        <x:v>Code</x:v>
      </x:c>
      <x:c r="C6" s="26" t="str">
        <x:v>Vehicle set</x:v>
      </x:c>
      <x:c r="D6" s="26" t="str">
        <x:v>Vehicles</x:v>
      </x:c>
      <x:c r="E6" s="26" t="str">
        <x:v>Payload/vehicle t</x:v>
      </x:c>
      <x:c r="F6" s="26" t="str">
        <x:v>Loaded payload t</x:v>
      </x:c>
      <x:c r="G6" s="26" t="str">
        <x:v>Gross capacity t</x:v>
      </x:c>
      <x:c r="H6" s="26" t="str">
        <x:v>Utilization</x:v>
      </x:c>
      <x:c r="I6" s="26" t="str">
        <x:v>Load hours</x:v>
      </x:c>
      <x:c r="J6" s="26" t="str">
        <x:v>Independent loaders</x:v>
      </x:c>
      <x:c r="K6" s="26" t="str">
        <x:v>Load crew</x:v>
      </x:c>
      <x:c r="L6" s="26" t="str">
        <x:v>Arsenal</x:v>
      </x:c>
      <x:c r="M6" s="26" t="str">
        <x:v>Release</x:v>
      </x:c>
      <x:c r="N6" s="26" t="str">
        <x:v>Payload after one loss t</x:v>
      </x:c>
    </x:row>
    <x:row r="7">
      <x:c r="B7" s="27" t="str">
        <x:v>M1</x:v>
      </x:c>
      <x:c r="C7" s="27" t="str">
        <x:v>HBL-320 pair</x:v>
      </x:c>
      <x:c r="D7" s="27" t="n">
        <x:v>2</x:v>
      </x:c>
      <x:c r="E7" s="27" t="n">
        <x:v>320</x:v>
      </x:c>
      <x:c r="F7" s="27" t="n">
        <x:v>635</x:v>
      </x:c>
      <x:c r="G7" s="27" t="n">
        <x:f>D7*E7</x:f>
        <x:v>640</x:v>
      </x:c>
      <x:c r="H7" s="34" t="n">
        <x:f>F7/G7</x:f>
        <x:v>0.9921875</x:v>
      </x:c>
      <x:c r="I7" s="27" t="n">
        <x:v>8</x:v>
      </x:c>
      <x:c r="J7" s="27" t="n">
        <x:v>2</x:v>
      </x:c>
      <x:c r="K7" s="27" t="n">
        <x:v>48</x:v>
      </x:c>
      <x:c r="L7" s="27" t="str">
        <x:v>A1</x:v>
      </x:c>
      <x:c r="M7" s="27" t="str">
        <x:v>Air release 1</x:v>
      </x:c>
      <x:c r="N7" s="29" t="n">
        <x:f>F7-(F7/D7)</x:f>
        <x:v>317.5</x:v>
      </x:c>
    </x:row>
    <x:row r="8">
      <x:c r="B8" s="27" t="str">
        <x:v>M3</x:v>
      </x:c>
      <x:c r="C8" s="27" t="str">
        <x:v>ATUT-160 train</x:v>
      </x:c>
      <x:c r="D8" s="27" t="n">
        <x:v>4</x:v>
      </x:c>
      <x:c r="E8" s="27" t="n">
        <x:v>160</x:v>
      </x:c>
      <x:c r="F8" s="27" t="n">
        <x:v>635</x:v>
      </x:c>
      <x:c r="G8" s="27" t="n">
        <x:f>D8*E8</x:f>
        <x:v>640</x:v>
      </x:c>
      <x:c r="H8" s="34" t="n">
        <x:f>F8/G8</x:f>
        <x:v>0.9921875</x:v>
      </x:c>
      <x:c r="I8" s="27" t="n">
        <x:v>8</x:v>
      </x:c>
      <x:c r="J8" s="27" t="n">
        <x:v>4</x:v>
      </x:c>
      <x:c r="K8" s="27" t="n">
        <x:v>44</x:v>
      </x:c>
      <x:c r="L8" s="27" t="str">
        <x:v>B1</x:v>
      </x:c>
      <x:c r="M8" s="27" t="str">
        <x:v>Land release 1</x:v>
      </x:c>
      <x:c r="N8" s="29" t="n">
        <x:f>F8-(F8/D8)</x:f>
        <x:v>476.25</x:v>
      </x:c>
    </x:row>
    <x:row r="9">
      <x:c r="B9" s="27" t="str">
        <x:v>M5</x:v>
      </x:c>
      <x:c r="C9" s="27" t="str">
        <x:v>RUC-100 corridor set</x:v>
      </x:c>
      <x:c r="D9" s="27" t="n">
        <x:v>4</x:v>
      </x:c>
      <x:c r="E9" s="27" t="n">
        <x:v>100</x:v>
      </x:c>
      <x:c r="F9" s="27" t="n">
        <x:v>400</x:v>
      </x:c>
      <x:c r="G9" s="27" t="n">
        <x:f>D9*E9</x:f>
        <x:v>400</x:v>
      </x:c>
      <x:c r="H9" s="34" t="n">
        <x:f>F9/G9</x:f>
        <x:v>1</x:v>
      </x:c>
      <x:c r="I9" s="27" t="n">
        <x:v>6</x:v>
      </x:c>
      <x:c r="J9" s="27" t="n">
        <x:v>4</x:v>
      </x:c>
      <x:c r="K9" s="27" t="n">
        <x:v>38</x:v>
      </x:c>
      <x:c r="L9" s="27" t="str">
        <x:v>C1</x:v>
      </x:c>
      <x:c r="M9" s="27" t="str">
        <x:v>Utility release 1</x:v>
      </x:c>
      <x:c r="N9" s="29" t="n">
        <x:f>F9-(F9/D9)</x:f>
        <x:v>300</x:v>
      </x:c>
    </x:row>
    <x:row r="10">
      <x:c r="B10" s="27" t="str">
        <x:v>M4-8</x:v>
      </x:c>
      <x:c r="C10" s="27" t="str">
        <x:v>VHL eight-aircraft lattice</x:v>
      </x:c>
      <x:c r="D10" s="27" t="n">
        <x:v>8</x:v>
      </x:c>
      <x:c r="E10" s="27" t="n">
        <x:v>80</x:v>
      </x:c>
      <x:c r="F10" s="27" t="n">
        <x:v>635</x:v>
      </x:c>
      <x:c r="G10" s="27" t="n">
        <x:f>D10*E10</x:f>
        <x:v>640</x:v>
      </x:c>
      <x:c r="H10" s="34" t="n">
        <x:f>F10/G10</x:f>
        <x:v>0.9921875</x:v>
      </x:c>
      <x:c r="I10" s="27" t="n">
        <x:v>6</x:v>
      </x:c>
      <x:c r="J10" s="27" t="n">
        <x:v>8</x:v>
      </x:c>
      <x:c r="K10" s="27" t="n">
        <x:v>54</x:v>
      </x:c>
      <x:c r="L10" s="27" t="str">
        <x:v>D1</x:v>
      </x:c>
      <x:c r="M10" s="27" t="str">
        <x:v>Air release 2</x:v>
      </x:c>
      <x:c r="N10" s="29" t="n">
        <x:f>F10-(F10/D10)</x:f>
        <x:v>555.625</x:v>
      </x:c>
    </x:row>
    <x:row r="11">
      <x:c r="B11" s="31" t="str">
        <x:v>M4-10</x:v>
      </x:c>
      <x:c r="C11" s="31" t="str">
        <x:v>VHL ten-aircraft lattice</x:v>
      </x:c>
      <x:c r="D11" s="31" t="n">
        <x:v>10</x:v>
      </x:c>
      <x:c r="E11" s="31" t="n">
        <x:v>80</x:v>
      </x:c>
      <x:c r="F11" s="31" t="n">
        <x:v>720</x:v>
      </x:c>
      <x:c r="G11" s="31" t="n">
        <x:f>D11*E11</x:f>
        <x:v>800</x:v>
      </x:c>
      <x:c r="H11" s="35" t="n">
        <x:f>F11/G11</x:f>
        <x:v>0.9</x:v>
      </x:c>
      <x:c r="I11" s="31" t="n">
        <x:v>6.5</x:v>
      </x:c>
      <x:c r="J11" s="31" t="n">
        <x:v>10</x:v>
      </x:c>
      <x:c r="K11" s="31" t="n">
        <x:v>64</x:v>
      </x:c>
      <x:c r="L11" s="31" t="str">
        <x:v>D1</x:v>
      </x:c>
      <x:c r="M11" s="31" t="str">
        <x:v>Air release 2</x:v>
      </x:c>
      <x:c r="N11" s="33" t="n">
        <x:f>F11-(F11/D11)</x:f>
        <x:v>648</x:v>
      </x:c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B14" s="8" t="str">
        <x:v>Vehicle-loss interpretation</x:v>
      </x:c>
      <x:c r="C14" s="9" t="str">
        <x:v>Vehicle-loss interpretation</x:v>
      </x:c>
      <x:c r="D14" s="9" t="str">
        <x:v>Vehicle-loss interpretation</x:v>
      </x:c>
      <x:c r="E14" s="9" t="str">
        <x:v>Vehicle-loss interpretation</x:v>
      </x:c>
      <x:c r="F14" s="9" t="str">
        <x:v>Vehicle-loss interpretation</x:v>
      </x:c>
      <x:c r="G14" s="9" t="str">
        <x:v>Vehicle-loss interpretation</x:v>
      </x:c>
      <x:c r="H14" s="9" t="str">
        <x:v>Vehicle-loss interpretation</x:v>
      </x:c>
      <x:c r="I14" s="9" t="str">
        <x:v>Vehicle-loss interpretation</x:v>
      </x:c>
      <x:c r="J14" s="9" t="str">
        <x:v>Vehicle-loss interpretation</x:v>
      </x:c>
      <x:c r="K14" s="9" t="str">
        <x:v>Vehicle-loss interpretation</x:v>
      </x:c>
      <x:c r="L14" s="9" t="str">
        <x:v>Vehicle-loss interpretation</x:v>
      </x:c>
      <x:c r="M14" s="9" t="str">
        <x:v>Vehicle-loss interpretation</x:v>
      </x:c>
      <x:c r="N14" s="10" t="str">
        <x:v>Vehicle-loss interpretation</x:v>
      </x:c>
    </x:row>
    <x:row r="15">
      <x:c r="B15" s="25" t="str">
        <x:v>Set</x:v>
      </x:c>
      <x:c r="C15" s="26" t="str">
        <x:v>Payload after loss</x:v>
      </x:c>
      <x:c r="D15" s="26" t="str">
        <x:v>90% mass floor</x:v>
      </x:c>
      <x:c r="E15" s="26" t="str">
        <x:v>Mass status</x:v>
      </x:c>
      <x:c r="F15" s="26" t="str">
        <x:v>Function status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B16" s="27" t="str">
        <x:v>M4-8</x:v>
      </x:c>
      <x:c r="C16" s="27" t="n">
        <x:f>N10</x:f>
        <x:v>555.625</x:v>
      </x:c>
      <x:c r="D16" s="27" t="n">
        <x:f>Assumptions!C13*Assumptions!C9</x:f>
        <x:v>571.5</x:v>
      </x:c>
      <x:c r="E16" s="27" t="str">
        <x:f>IF(C16&gt;=D16,"PASS","FAIL")</x:f>
        <x:v>FAIL</x:v>
      </x:c>
      <x:c r="F16" s="29" t="str">
        <x:v>FAIL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31" t="str">
        <x:v>M4-10</x:v>
      </x:c>
      <x:c r="C17" s="31" t="n">
        <x:f>N11</x:f>
        <x:v>648</x:v>
      </x:c>
      <x:c r="D17" s="31" t="n">
        <x:f>Assumptions!C13*Assumptions!C9</x:f>
        <x:v>571.5</x:v>
      </x:c>
      <x:c r="E17" s="31" t="str">
        <x:f>IF(C17&gt;=D17,"PASS","FAIL")</x:f>
        <x:v>PASS</x:v>
      </x:c>
      <x:c r="F17" s="33" t="str">
        <x:v>HYPOTHESIS: PASS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</x:sheetData>
  <x:mergeCells>
    <x:mergeCell ref="B14:N14"/>
  </x:mergeCells>
  <x:conditionalFormatting sqref="E16:F17">
    <x:cfRule type="containsText" dxfId="0" priority="1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28" hidden="0" customWidth="1"/>
    <x:col min="4" max="4" width="13" hidden="0" customWidth="1"/>
    <x:col min="5" max="5" width="15" hidden="0" customWidth="1"/>
    <x:col min="6" max="6" width="13" hidden="0" customWidth="1"/>
    <x:col min="7" max="7" width="24" hidden="0" customWidth="1"/>
    <x:col min="8" max="8" width="30" hidden="0" customWidth="1"/>
    <x:col min="9" max="9" width="27" hidden="0" customWidth="1"/>
    <x:col min="10" max="10" width="2" hidden="0" customWidth="1"/>
  </x:cols>
  <x:sheetData>
    <x:row r="2">
      <x:c r="B2" s="3" t="str">
        <x:v>Hour-48 dispatch schedule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Each vector reaches public service through its own release, load, movement and receiver chain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25" t="str">
        <x:v>Vector</x:v>
      </x:c>
      <x:c r="C6" s="26" t="str">
        <x:v>Phase</x:v>
      </x:c>
      <x:c r="D6" s="26" t="str">
        <x:v>Start h</x:v>
      </x:c>
      <x:c r="E6" s="26" t="str">
        <x:v>Duration h</x:v>
      </x:c>
      <x:c r="F6" s="26" t="str">
        <x:v>End h</x:v>
      </x:c>
      <x:c r="G6" s="26" t="str">
        <x:v>Owner</x:v>
      </x:c>
      <x:c r="H6" s="26" t="str">
        <x:v>Prerequisite</x:v>
      </x:c>
      <x:c r="I6" s="26" t="str">
        <x:v>Failure action</x:v>
      </x:c>
      <x:c r="J6" s="2"/>
    </x:row>
    <x:row r="7">
      <x:c r="B7" s="27" t="str">
        <x:v>M1</x:v>
      </x:c>
      <x:c r="C7" s="27" t="str">
        <x:v>technical release</x:v>
      </x:c>
      <x:c r="D7" s="27" t="n">
        <x:f>0</x:f>
        <x:v>0</x:v>
      </x:c>
      <x:c r="E7" s="27" t="n">
        <x:v>2</x:v>
      </x:c>
      <x:c r="F7" s="27" t="n">
        <x:f>D7+E7</x:f>
        <x:v>2</x:v>
      </x:c>
      <x:c r="G7" s="27" t="str">
        <x:v>Air release 1</x:v>
      </x:c>
      <x:c r="H7" s="27" t="str">
        <x:v>signed configuration</x:v>
      </x:c>
      <x:c r="I7" s="29" t="str">
        <x:v>shift to M3 or M5</x:v>
      </x:c>
      <x:c r="J7" s="2"/>
    </x:row>
    <x:row r="8">
      <x:c r="B8" s="27" t="str">
        <x:v>M1</x:v>
      </x:c>
      <x:c r="C8" s="27" t="str">
        <x:v>crew muster</x:v>
      </x:c>
      <x:c r="D8" s="27" t="n">
        <x:f>F7</x:f>
        <x:v>2</x:v>
      </x:c>
      <x:c r="E8" s="27" t="n">
        <x:v>4</x:v>
      </x:c>
      <x:c r="F8" s="27" t="n">
        <x:f>D8+E8</x:f>
        <x:v>6</x:v>
      </x:c>
      <x:c r="G8" s="27" t="str">
        <x:v>Liftship operations</x:v>
      </x:c>
      <x:c r="H8" s="27" t="str">
        <x:v>watch roster</x:v>
      </x:c>
      <x:c r="I8" s="29" t="str">
        <x:v>hold launch</x:v>
      </x:c>
      <x:c r="J8" s="2"/>
    </x:row>
    <x:row r="9">
      <x:c r="B9" s="27" t="str">
        <x:v>M1</x:v>
      </x:c>
      <x:c r="C9" s="27" t="str">
        <x:v>payload load</x:v>
      </x:c>
      <x:c r="D9" s="27" t="n">
        <x:f>F8</x:f>
        <x:v>6</x:v>
      </x:c>
      <x:c r="E9" s="27" t="n">
        <x:v>8</x:v>
      </x:c>
      <x:c r="F9" s="27" t="n">
        <x:f>D9+E9</x:f>
        <x:v>14</x:v>
      </x:c>
      <x:c r="G9" s="27" t="str">
        <x:v>A1 arsenal</x:v>
      </x:c>
      <x:c r="H9" s="27" t="str">
        <x:v>32-position record</x:v>
      </x:c>
      <x:c r="I9" s="29" t="str">
        <x:v>transfer to A2</x:v>
      </x:c>
      <x:c r="J9" s="2"/>
    </x:row>
    <x:row r="10">
      <x:c r="B10" s="27" t="str">
        <x:v>M1</x:v>
      </x:c>
      <x:c r="C10" s="27" t="str">
        <x:v>flight preparation</x:v>
      </x:c>
      <x:c r="D10" s="27" t="n">
        <x:f>F9</x:f>
        <x:v>14</x:v>
      </x:c>
      <x:c r="E10" s="27" t="n">
        <x:v>2</x:v>
      </x:c>
      <x:c r="F10" s="27" t="n">
        <x:f>D10+E10</x:f>
        <x:v>16</x:v>
      </x:c>
      <x:c r="G10" s="27" t="str">
        <x:v>Air control A</x:v>
      </x:c>
      <x:c r="H10" s="27" t="str">
        <x:v>weather release</x:v>
      </x:c>
      <x:c r="I10" s="29" t="str">
        <x:v>abort on envelope</x:v>
      </x:c>
      <x:c r="J10" s="2"/>
    </x:row>
    <x:row r="11">
      <x:c r="B11" s="27" t="str">
        <x:v>M1</x:v>
      </x:c>
      <x:c r="C11" s="27" t="str">
        <x:v>transit and placement</x:v>
      </x:c>
      <x:c r="D11" s="27" t="n">
        <x:f>F10</x:f>
        <x:v>16</x:v>
      </x:c>
      <x:c r="E11" s="27" t="n">
        <x:v>18</x:v>
      </x:c>
      <x:c r="F11" s="27" t="n">
        <x:f>D11+E11</x:f>
        <x:v>34</x:v>
      </x:c>
      <x:c r="G11" s="27" t="str">
        <x:v>M1 commander</x:v>
      </x:c>
      <x:c r="H11" s="27" t="str">
        <x:v>receiver air zone</x:v>
      </x:c>
      <x:c r="I11" s="29" t="str">
        <x:v>divert or recover</x:v>
      </x:c>
      <x:c r="J11" s="2"/>
    </x:row>
    <x:row r="12">
      <x:c r="B12" s="27" t="str">
        <x:v>M1</x:v>
      </x:c>
      <x:c r="C12" s="27" t="str">
        <x:v>receiver connection</x:v>
      </x:c>
      <x:c r="D12" s="27" t="n">
        <x:f>F11</x:f>
        <x:v>34</x:v>
      </x:c>
      <x:c r="E12" s="27" t="n">
        <x:v>8</x:v>
      </x:c>
      <x:c r="F12" s="27" t="n">
        <x:f>D12+E12</x:f>
        <x:v>42</x:v>
      </x:c>
      <x:c r="G12" s="27" t="str">
        <x:v>Service echelon 1</x:v>
      </x:c>
      <x:c r="H12" s="27" t="str">
        <x:v>local acceptance</x:v>
      </x:c>
      <x:c r="I12" s="29" t="str">
        <x:v>isolate unsafe branch</x:v>
      </x:c>
      <x:c r="J12" s="2"/>
    </x:row>
    <x:row r="13">
      <x:c r="B13" s="27" t="str">
        <x:v>M3</x:v>
      </x:c>
      <x:c r="C13" s="27" t="str">
        <x:v>technical release</x:v>
      </x:c>
      <x:c r="D13" s="27" t="n">
        <x:f>0</x:f>
        <x:v>0</x:v>
      </x:c>
      <x:c r="E13" s="27" t="n">
        <x:v>2</x:v>
      </x:c>
      <x:c r="F13" s="27" t="n">
        <x:f>D13+E13</x:f>
        <x:v>2</x:v>
      </x:c>
      <x:c r="G13" s="27" t="str">
        <x:v>Land release 1</x:v>
      </x:c>
      <x:c r="H13" s="27" t="str">
        <x:v>signed configuration</x:v>
      </x:c>
      <x:c r="I13" s="29" t="str">
        <x:v>shift to M1 or M5</x:v>
      </x:c>
      <x:c r="J13" s="2"/>
    </x:row>
    <x:row r="14">
      <x:c r="B14" s="27" t="str">
        <x:v>M3</x:v>
      </x:c>
      <x:c r="C14" s="27" t="str">
        <x:v>crew muster</x:v>
      </x:c>
      <x:c r="D14" s="27" t="n">
        <x:f>F13</x:f>
        <x:v>2</x:v>
      </x:c>
      <x:c r="E14" s="27" t="n">
        <x:v>4</x:v>
      </x:c>
      <x:c r="F14" s="27" t="n">
        <x:f>D14+E14</x:f>
        <x:v>6</x:v>
      </x:c>
      <x:c r="G14" s="27" t="str">
        <x:v>Terrain operations</x:v>
      </x:c>
      <x:c r="H14" s="27" t="str">
        <x:v>watch roster</x:v>
      </x:c>
      <x:c r="I14" s="29" t="str">
        <x:v>hold route</x:v>
      </x:c>
      <x:c r="J14" s="2"/>
    </x:row>
    <x:row r="15">
      <x:c r="B15" s="27" t="str">
        <x:v>M3</x:v>
      </x:c>
      <x:c r="C15" s="27" t="str">
        <x:v>payload load</x:v>
      </x:c>
      <x:c r="D15" s="27" t="n">
        <x:f>F14</x:f>
        <x:v>6</x:v>
      </x:c>
      <x:c r="E15" s="27" t="n">
        <x:v>8</x:v>
      </x:c>
      <x:c r="F15" s="27" t="n">
        <x:f>D15+E15</x:f>
        <x:v>14</x:v>
      </x:c>
      <x:c r="G15" s="27" t="str">
        <x:v>B1 arsenal</x:v>
      </x:c>
      <x:c r="H15" s="27" t="str">
        <x:v>32-position record</x:v>
      </x:c>
      <x:c r="I15" s="29" t="str">
        <x:v>transfer to B2</x:v>
      </x:c>
      <x:c r="J15" s="2"/>
    </x:row>
    <x:row r="16">
      <x:c r="B16" s="27" t="str">
        <x:v>M3</x:v>
      </x:c>
      <x:c r="C16" s="27" t="str">
        <x:v>route confirmation</x:v>
      </x:c>
      <x:c r="D16" s="27" t="n">
        <x:f>F15</x:f>
        <x:v>14</x:v>
      </x:c>
      <x:c r="E16" s="27" t="n">
        <x:v>3</x:v>
      </x:c>
      <x:c r="F16" s="27" t="n">
        <x:f>D16+E16</x:f>
        <x:v>17</x:v>
      </x:c>
      <x:c r="G16" s="27" t="str">
        <x:v>Terrain control B</x:v>
      </x:c>
      <x:c r="H16" s="27" t="str">
        <x:v>ground-state survey</x:v>
      </x:c>
      <x:c r="I16" s="29" t="str">
        <x:v>re-route</x:v>
      </x:c>
      <x:c r="J16" s="2"/>
    </x:row>
    <x:row r="17">
      <x:c r="B17" s="27" t="str">
        <x:v>M3</x:v>
      </x:c>
      <x:c r="C17" s="27" t="str">
        <x:v>traverse and unload</x:v>
      </x:c>
      <x:c r="D17" s="27" t="n">
        <x:f>F16</x:f>
        <x:v>17</x:v>
      </x:c>
      <x:c r="E17" s="27" t="n">
        <x:v>20</x:v>
      </x:c>
      <x:c r="F17" s="27" t="n">
        <x:f>D17+E17</x:f>
        <x:v>37</x:v>
      </x:c>
      <x:c r="G17" s="27" t="str">
        <x:v>M3 commander</x:v>
      </x:c>
      <x:c r="H17" s="27" t="str">
        <x:v>receiver land zone</x:v>
      </x:c>
      <x:c r="I17" s="29" t="str">
        <x:v>recover or bypass</x:v>
      </x:c>
      <x:c r="J17" s="2"/>
    </x:row>
    <x:row r="18">
      <x:c r="B18" s="27" t="str">
        <x:v>M3</x:v>
      </x:c>
      <x:c r="C18" s="27" t="str">
        <x:v>receiver connection</x:v>
      </x:c>
      <x:c r="D18" s="27" t="n">
        <x:f>F17</x:f>
        <x:v>37</x:v>
      </x:c>
      <x:c r="E18" s="27" t="n">
        <x:v>8</x:v>
      </x:c>
      <x:c r="F18" s="27" t="n">
        <x:f>D18+E18</x:f>
        <x:v>45</x:v>
      </x:c>
      <x:c r="G18" s="27" t="str">
        <x:v>Service echelon 1</x:v>
      </x:c>
      <x:c r="H18" s="27" t="str">
        <x:v>local acceptance</x:v>
      </x:c>
      <x:c r="I18" s="29" t="str">
        <x:v>isolate unsafe branch</x:v>
      </x:c>
      <x:c r="J18" s="2"/>
    </x:row>
    <x:row r="19">
      <x:c r="B19" s="27" t="str">
        <x:v>M5</x:v>
      </x:c>
      <x:c r="C19" s="27" t="str">
        <x:v>technical release</x:v>
      </x:c>
      <x:c r="D19" s="27" t="n">
        <x:f>0</x:f>
        <x:v>0</x:v>
      </x:c>
      <x:c r="E19" s="27" t="n">
        <x:v>2</x:v>
      </x:c>
      <x:c r="F19" s="27" t="n">
        <x:f>D19+E19</x:f>
        <x:v>2</x:v>
      </x:c>
      <x:c r="G19" s="27" t="str">
        <x:v>Utility release 1</x:v>
      </x:c>
      <x:c r="H19" s="27" t="str">
        <x:v>signed configuration</x:v>
      </x:c>
      <x:c r="I19" s="29" t="str">
        <x:v>shift to carriage</x:v>
      </x:c>
      <x:c r="J19" s="2"/>
    </x:row>
    <x:row r="20">
      <x:c r="B20" s="27" t="str">
        <x:v>M5</x:v>
      </x:c>
      <x:c r="C20" s="27" t="str">
        <x:v>crew muster</x:v>
      </x:c>
      <x:c r="D20" s="27" t="n">
        <x:f>F19</x:f>
        <x:v>2</x:v>
      </x:c>
      <x:c r="E20" s="27" t="n">
        <x:v>4</x:v>
      </x:c>
      <x:c r="F20" s="27" t="n">
        <x:f>D20+E20</x:f>
        <x:v>6</x:v>
      </x:c>
      <x:c r="G20" s="27" t="str">
        <x:v>Corridor operations</x:v>
      </x:c>
      <x:c r="H20" s="27" t="str">
        <x:v>watch roster</x:v>
      </x:c>
      <x:c r="I20" s="29" t="str">
        <x:v>hold deployment</x:v>
      </x:c>
      <x:c r="J20" s="2"/>
    </x:row>
    <x:row r="21">
      <x:c r="B21" s="27" t="str">
        <x:v>M5</x:v>
      </x:c>
      <x:c r="C21" s="27" t="str">
        <x:v>payload load</x:v>
      </x:c>
      <x:c r="D21" s="27" t="n">
        <x:f>F20</x:f>
        <x:v>6</x:v>
      </x:c>
      <x:c r="E21" s="27" t="n">
        <x:v>6</x:v>
      </x:c>
      <x:c r="F21" s="27" t="n">
        <x:f>D21+E21</x:f>
        <x:v>12</x:v>
      </x:c>
      <x:c r="G21" s="27" t="str">
        <x:v>C1 arsenal</x:v>
      </x:c>
      <x:c r="H21" s="27" t="str">
        <x:v>bridge custody</x:v>
      </x:c>
      <x:c r="I21" s="29" t="str">
        <x:v>transfer to C2</x:v>
      </x:c>
      <x:c r="J21" s="2"/>
    </x:row>
    <x:row r="22">
      <x:c r="B22" s="27" t="str">
        <x:v>M5</x:v>
      </x:c>
      <x:c r="C22" s="27" t="str">
        <x:v>source assay</x:v>
      </x:c>
      <x:c r="D22" s="27" t="n">
        <x:f>F21</x:f>
        <x:v>12</x:v>
      </x:c>
      <x:c r="E22" s="27" t="n">
        <x:v>4</x:v>
      </x:c>
      <x:c r="F22" s="27" t="n">
        <x:f>D22+E22</x:f>
        <x:v>16</x:v>
      </x:c>
      <x:c r="G22" s="27" t="str">
        <x:v>Source team</x:v>
      </x:c>
      <x:c r="H22" s="27" t="str">
        <x:v>qualified standoff source</x:v>
      </x:c>
      <x:c r="I22" s="29" t="str">
        <x:v>deny source credit</x:v>
      </x:c>
      <x:c r="J22" s="2"/>
    </x:row>
    <x:row r="23">
      <x:c r="B23" s="27" t="str">
        <x:v>M5</x:v>
      </x:c>
      <x:c r="C23" s="27" t="str">
        <x:v>route survey</x:v>
      </x:c>
      <x:c r="D23" s="27" t="n">
        <x:f>F22</x:f>
        <x:v>16</x:v>
      </x:c>
      <x:c r="E23" s="27" t="n">
        <x:v>4</x:v>
      </x:c>
      <x:c r="F23" s="27" t="n">
        <x:f>D23+E23</x:f>
        <x:v>20</x:v>
      </x:c>
      <x:c r="G23" s="27" t="str">
        <x:v>Corridor control C</x:v>
      </x:c>
      <x:c r="H23" s="27" t="str">
        <x:v>rights and hazards</x:v>
      </x:c>
      <x:c r="I23" s="29" t="str">
        <x:v>change route</x:v>
      </x:c>
      <x:c r="J23" s="2"/>
    </x:row>
    <x:row r="24">
      <x:c r="B24" s="27" t="str">
        <x:v>M5</x:v>
      </x:c>
      <x:c r="C24" s="27" t="str">
        <x:v>deploy utility tissue</x:v>
      </x:c>
      <x:c r="D24" s="27" t="n">
        <x:f>F23</x:f>
        <x:v>20</x:v>
      </x:c>
      <x:c r="E24" s="27" t="n">
        <x:v>18</x:v>
      </x:c>
      <x:c r="F24" s="27" t="n">
        <x:f>D24+E24</x:f>
        <x:v>38</x:v>
      </x:c>
      <x:c r="G24" s="27" t="str">
        <x:v>M5 commander</x:v>
      </x:c>
      <x:c r="H24" s="27" t="str">
        <x:v>section acceptance</x:v>
      </x:c>
      <x:c r="I24" s="29" t="str">
        <x:v>isolate section</x:v>
      </x:c>
      <x:c r="J24" s="2"/>
    </x:row>
    <x:row r="25">
      <x:c r="B25" s="27" t="str">
        <x:v>M5</x:v>
      </x:c>
      <x:c r="C25" s="27" t="str">
        <x:v>test and energize</x:v>
      </x:c>
      <x:c r="D25" s="27" t="n">
        <x:f>F24</x:f>
        <x:v>38</x:v>
      </x:c>
      <x:c r="E25" s="27" t="n">
        <x:v>8</x:v>
      </x:c>
      <x:c r="F25" s="27" t="n">
        <x:f>D25+E25</x:f>
        <x:v>46</x:v>
      </x:c>
      <x:c r="G25" s="27" t="str">
        <x:v>Service echelon 1</x:v>
      </x:c>
      <x:c r="H25" s="27" t="str">
        <x:v>local acceptance</x:v>
      </x:c>
      <x:c r="I25" s="29" t="str">
        <x:v>remain de-energized</x:v>
      </x:c>
      <x:c r="J25" s="2"/>
    </x:row>
    <x:row r="26">
      <x:c r="B26" s="27" t="str">
        <x:v>VHL</x:v>
      </x:c>
      <x:c r="C26" s="27" t="str">
        <x:v>technical release</x:v>
      </x:c>
      <x:c r="D26" s="27" t="n">
        <x:f>0</x:f>
        <x:v>0</x:v>
      </x:c>
      <x:c r="E26" s="27" t="n">
        <x:v>2</x:v>
      </x:c>
      <x:c r="F26" s="27" t="n">
        <x:f>D26+E26</x:f>
        <x:v>2</x:v>
      </x:c>
      <x:c r="G26" s="27" t="str">
        <x:v>Air release 2</x:v>
      </x:c>
      <x:c r="H26" s="27" t="str">
        <x:v>signed configuration</x:v>
      </x:c>
      <x:c r="I26" s="29" t="str">
        <x:v>hold flight</x:v>
      </x:c>
      <x:c r="J26" s="2"/>
    </x:row>
    <x:row r="27">
      <x:c r="B27" s="27" t="str">
        <x:v>VHL</x:v>
      </x:c>
      <x:c r="C27" s="27" t="str">
        <x:v>crew muster</x:v>
      </x:c>
      <x:c r="D27" s="27" t="n">
        <x:f>F26</x:f>
        <x:v>2</x:v>
      </x:c>
      <x:c r="E27" s="27" t="n">
        <x:v>4</x:v>
      </x:c>
      <x:c r="F27" s="27" t="n">
        <x:f>D27+E27</x:f>
        <x:v>6</x:v>
      </x:c>
      <x:c r="G27" s="27" t="str">
        <x:v>VHL operations</x:v>
      </x:c>
      <x:c r="H27" s="27" t="str">
        <x:v>watch roster</x:v>
      </x:c>
      <x:c r="I27" s="29" t="str">
        <x:v>hold launch</x:v>
      </x:c>
      <x:c r="J27" s="2"/>
    </x:row>
    <x:row r="28">
      <x:c r="B28" s="27" t="str">
        <x:v>VHL</x:v>
      </x:c>
      <x:c r="C28" s="27" t="str">
        <x:v>distributed load</x:v>
      </x:c>
      <x:c r="D28" s="27" t="n">
        <x:f>F27</x:f>
        <x:v>6</x:v>
      </x:c>
      <x:c r="E28" s="27" t="n">
        <x:v>6</x:v>
      </x:c>
      <x:c r="F28" s="27" t="n">
        <x:f>D28+E28</x:f>
        <x:v>12</x:v>
      </x:c>
      <x:c r="G28" s="27" t="str">
        <x:v>D1 arsenal</x:v>
      </x:c>
      <x:c r="H28" s="27" t="str">
        <x:v>position allocation</x:v>
      </x:c>
      <x:c r="I28" s="29" t="str">
        <x:v>recompile loads</x:v>
      </x:c>
      <x:c r="J28" s="2"/>
    </x:row>
    <x:row r="29">
      <x:c r="B29" s="27" t="str">
        <x:v>VHL</x:v>
      </x:c>
      <x:c r="C29" s="27" t="str">
        <x:v>flight preparation</x:v>
      </x:c>
      <x:c r="D29" s="27" t="n">
        <x:f>F28</x:f>
        <x:v>12</x:v>
      </x:c>
      <x:c r="E29" s="27" t="n">
        <x:v>3</x:v>
      </x:c>
      <x:c r="F29" s="27" t="n">
        <x:f>D29+E29</x:f>
        <x:v>15</x:v>
      </x:c>
      <x:c r="G29" s="27" t="str">
        <x:v>Air control D</x:v>
      </x:c>
      <x:c r="H29" s="27" t="str">
        <x:v>weather release</x:v>
      </x:c>
      <x:c r="I29" s="29" t="str">
        <x:v>abort on envelope</x:v>
      </x:c>
      <x:c r="J29" s="2"/>
    </x:row>
    <x:row r="30">
      <x:c r="B30" s="27" t="str">
        <x:v>VHL</x:v>
      </x:c>
      <x:c r="C30" s="27" t="str">
        <x:v>transit and unload</x:v>
      </x:c>
      <x:c r="D30" s="27" t="n">
        <x:f>F29</x:f>
        <x:v>15</x:v>
      </x:c>
      <x:c r="E30" s="27" t="n">
        <x:v>20</x:v>
      </x:c>
      <x:c r="F30" s="27" t="n">
        <x:f>D30+E30</x:f>
        <x:v>35</x:v>
      </x:c>
      <x:c r="G30" s="27" t="str">
        <x:v>VHL commander</x:v>
      </x:c>
      <x:c r="H30" s="27" t="str">
        <x:v>receiver flight zones</x:v>
      </x:c>
      <x:c r="I30" s="29" t="str">
        <x:v>divert aircraft</x:v>
      </x:c>
      <x:c r="J30" s="2"/>
    </x:row>
    <x:row r="31">
      <x:c r="B31" s="31" t="str">
        <x:v>VHL</x:v>
      </x:c>
      <x:c r="C31" s="31" t="str">
        <x:v>receiver connection</x:v>
      </x:c>
      <x:c r="D31" s="31" t="n">
        <x:f>F30</x:f>
        <x:v>35</x:v>
      </x:c>
      <x:c r="E31" s="31" t="n">
        <x:v>12</x:v>
      </x:c>
      <x:c r="F31" s="31" t="n">
        <x:f>D31+E31</x:f>
        <x:v>47</x:v>
      </x:c>
      <x:c r="G31" s="31" t="str">
        <x:v>Service echelon 2</x:v>
      </x:c>
      <x:c r="H31" s="31" t="str">
        <x:v>local acceptance</x:v>
      </x:c>
      <x:c r="I31" s="33" t="str">
        <x:v>isolate unsafe branch</x:v>
      </x:c>
      <x:c r="J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B33" s="8" t="str">
        <x:v>Dispatch result</x:v>
      </x:c>
      <x:c r="C33" s="9" t="str">
        <x:v>Dispatch result</x:v>
      </x:c>
      <x:c r="D33" s="9" t="str">
        <x:v>Dispatch result</x:v>
      </x:c>
      <x:c r="E33" s="9" t="str">
        <x:v>Dispatch result</x:v>
      </x:c>
      <x:c r="F33" s="9" t="str">
        <x:v>Dispatch result</x:v>
      </x:c>
      <x:c r="G33" s="9" t="str">
        <x:v>Dispatch result</x:v>
      </x:c>
      <x:c r="H33" s="9" t="str">
        <x:v>Dispatch result</x:v>
      </x:c>
      <x:c r="I33" s="10" t="str">
        <x:v>Dispatch result</x:v>
      </x:c>
      <x:c r="J33" s="2"/>
    </x:row>
    <x:row r="34">
      <x:c r="B34" s="19" t="str">
        <x:v>Vector</x:v>
      </x:c>
      <x:c r="C34" s="20" t="str">
        <x:v>Service entry h</x:v>
      </x:c>
      <x:c r="D34" s="20" t="str">
        <x:v>Deadline h</x:v>
      </x:c>
      <x:c r="E34" s="21" t="str">
        <x:v>Status</x:v>
      </x:c>
      <x:c r="F34" s="2"/>
      <x:c r="G34" s="2"/>
      <x:c r="H34" s="2"/>
      <x:c r="I34" s="2"/>
      <x:c r="J34" s="2"/>
    </x:row>
    <x:row r="35">
      <x:c r="B35" s="2" t="str">
        <x:v>M1</x:v>
      </x:c>
      <x:c r="C35" s="2" t="n">
        <x:f>MAX(F7:F12)</x:f>
        <x:v>42</x:v>
      </x:c>
      <x:c r="D35" s="2" t="n">
        <x:f>Assumptions!C8</x:f>
        <x:v>48</x:v>
      </x:c>
      <x:c r="E35" s="2" t="str">
        <x:f>IF(C35&lt;=D35,"PASS","FAIL")</x:f>
        <x:v>PASS</x:v>
      </x:c>
      <x:c r="F35" s="2"/>
      <x:c r="G35" s="2"/>
      <x:c r="H35" s="2"/>
      <x:c r="I35" s="2"/>
      <x:c r="J35" s="2"/>
    </x:row>
    <x:row r="36">
      <x:c r="B36" s="2" t="str">
        <x:v>M3</x:v>
      </x:c>
      <x:c r="C36" s="2" t="n">
        <x:f>MAX(F13:F18)</x:f>
        <x:v>45</x:v>
      </x:c>
      <x:c r="D36" s="2" t="n">
        <x:f>Assumptions!C8</x:f>
        <x:v>48</x:v>
      </x:c>
      <x:c r="E36" s="2" t="str">
        <x:f>IF(C36&lt;=D36,"PASS","FAIL")</x:f>
        <x:v>PASS</x:v>
      </x:c>
      <x:c r="F36" s="2"/>
      <x:c r="G36" s="2"/>
      <x:c r="H36" s="2"/>
      <x:c r="I36" s="2"/>
      <x:c r="J36" s="2"/>
    </x:row>
    <x:row r="37">
      <x:c r="B37" s="2" t="str">
        <x:v>M5</x:v>
      </x:c>
      <x:c r="C37" s="2" t="n">
        <x:f>MAX(F19:F25)</x:f>
        <x:v>46</x:v>
      </x:c>
      <x:c r="D37" s="2" t="n">
        <x:f>Assumptions!C8</x:f>
        <x:v>48</x:v>
      </x:c>
      <x:c r="E37" s="2" t="str">
        <x:f>IF(C37&lt;=D37,"PASS","FAIL")</x:f>
        <x:v>PASS</x:v>
      </x:c>
      <x:c r="F37" s="2"/>
      <x:c r="G37" s="2"/>
      <x:c r="H37" s="2"/>
      <x:c r="I37" s="2"/>
      <x:c r="J37" s="2"/>
    </x:row>
    <x:row r="38">
      <x:c r="B38" s="2" t="str">
        <x:v>VHL</x:v>
      </x:c>
      <x:c r="C38" s="2" t="n">
        <x:f>MAX(F26:F31)</x:f>
        <x:v>47</x:v>
      </x:c>
      <x:c r="D38" s="2" t="n">
        <x:f>Assumptions!C8</x:f>
        <x:v>48</x:v>
      </x:c>
      <x:c r="E38" s="2" t="str">
        <x:f>IF(C38&lt;=D38,"PASS","FAIL")</x:f>
        <x:v>PASS</x:v>
      </x:c>
      <x:c r="F38" s="2"/>
      <x:c r="G38" s="2"/>
      <x:c r="H38" s="2"/>
      <x:c r="I38" s="2"/>
      <x:c r="J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</x:row>
  </x:sheetData>
  <x:mergeCells>
    <x:mergeCell ref="B33:I33"/>
  </x:mergeCells>
  <x:conditionalFormatting sqref="E35:E38">
    <x:cfRule type="containsText" dxfId="1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2" hidden="0" customWidth="1"/>
    <x:col min="4" max="4" width="17" hidden="0" customWidth="1"/>
    <x:col min="5" max="5" width="20" hidden="0" customWidth="1"/>
    <x:col min="6" max="6" width="20" hidden="0" customWidth="1"/>
    <x:col min="7" max="7" width="20" hidden="0" customWidth="1"/>
    <x:col min="8" max="8" width="23" hidden="0" customWidth="1"/>
    <x:col min="9" max="9" width="41" hidden="0" customWidth="1"/>
    <x:col min="10" max="10" width="18" hidden="0" customWidth="1"/>
    <x:col min="11" max="11" width="18" hidden="0" customWidth="1"/>
  </x:cols>
  <x:sheetData>
    <x:row r="2">
      <x:c r="B2" s="3" t="str">
        <x:v>Custody and dispatch loss worlds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Behavior survives only when a complete source-to-release chain remains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5" t="str">
        <x:v>World</x:v>
      </x:c>
      <x:c r="C6" s="26" t="str">
        <x:v>Failure</x:v>
      </x:c>
      <x:c r="D6" s="26" t="str">
        <x:v>Regions required</x:v>
      </x:c>
      <x:c r="E6" s="26" t="str">
        <x:v>Behavior control</x:v>
      </x:c>
      <x:c r="F6" s="26" t="str">
        <x:v>C0 common hub</x:v>
      </x:c>
      <x:c r="G6" s="26" t="str">
        <x:v>C1 tri-partition</x:v>
      </x:c>
      <x:c r="H6" s="26" t="str">
        <x:v>C2 dual federation</x:v>
      </x:c>
      <x:c r="I6" s="26" t="str">
        <x:v>Meaning</x:v>
      </x:c>
      <x:c r="J6" s="19" t="str">
        <x:v>Current credit</x:v>
      </x:c>
      <x:c r="K6" s="21" t="str">
        <x:v>Strict admission</x:v>
      </x:c>
    </x:row>
    <x:row r="7">
      <x:c r="B7" s="27" t="str">
        <x:v>L01</x:v>
      </x:c>
      <x:c r="C7" s="27" t="str">
        <x:v>Nominal dispatch</x:v>
      </x:c>
      <x:c r="D7" s="27" t="n">
        <x:v>1</x:v>
      </x:c>
      <x:c r="E7" s="27" t="str">
        <x:v>PASS</x:v>
      </x:c>
      <x:c r="F7" s="27" t="str">
        <x:v>PASS</x:v>
      </x:c>
      <x:c r="G7" s="27" t="str">
        <x:v>PASS</x:v>
      </x:c>
      <x:c r="H7" s="27" t="str">
        <x:v>PASS</x:v>
      </x:c>
      <x:c r="I7" s="29" t="str">
        <x:v>baseline does not confer evidence</x:v>
      </x:c>
      <x:c r="J7" s="2" t="str">
        <x:v>FAIL</x:v>
      </x:c>
      <x:c r="K7" s="2" t="str">
        <x:v>FAIL</x:v>
      </x:c>
    </x:row>
    <x:row r="8">
      <x:c r="B8" s="27" t="str">
        <x:v>L02</x:v>
      </x:c>
      <x:c r="C8" s="27" t="str">
        <x:v>Atmospheric arsenal unavailable</x:v>
      </x:c>
      <x:c r="D8" s="27" t="n">
        <x:v>1</x:v>
      </x:c>
      <x:c r="E8" s="27" t="str">
        <x:v>PASS</x:v>
      </x:c>
      <x:c r="F8" s="27" t="str">
        <x:v>PASS</x:v>
      </x:c>
      <x:c r="G8" s="27" t="str">
        <x:v>PASS</x:v>
      </x:c>
      <x:c r="H8" s="27" t="str">
        <x:v>PASS</x:v>
      </x:c>
      <x:c r="I8" s="29" t="str">
        <x:v>terrain or bridge remains</x:v>
      </x:c>
      <x:c r="J8" s="2" t="str">
        <x:v>FAIL</x:v>
      </x:c>
      <x:c r="K8" s="2" t="str">
        <x:v>FAIL</x:v>
      </x:c>
    </x:row>
    <x:row r="9">
      <x:c r="B9" s="27" t="str">
        <x:v>L03</x:v>
      </x:c>
      <x:c r="C9" s="27" t="str">
        <x:v>Terrain arsenal unavailable</x:v>
      </x:c>
      <x:c r="D9" s="27" t="n">
        <x:v>1</x:v>
      </x:c>
      <x:c r="E9" s="27" t="str">
        <x:v>PASS</x:v>
      </x:c>
      <x:c r="F9" s="27" t="str">
        <x:v>PASS</x:v>
      </x:c>
      <x:c r="G9" s="27" t="str">
        <x:v>PASS</x:v>
      </x:c>
      <x:c r="H9" s="27" t="str">
        <x:v>PASS</x:v>
      </x:c>
      <x:c r="I9" s="29" t="str">
        <x:v>air or bridge remains</x:v>
      </x:c>
      <x:c r="J9" s="2" t="str">
        <x:v>FAIL</x:v>
      </x:c>
      <x:c r="K9" s="2" t="str">
        <x:v>FAIL</x:v>
      </x:c>
    </x:row>
    <x:row r="10">
      <x:c r="B10" s="27" t="str">
        <x:v>L04</x:v>
      </x:c>
      <x:c r="C10" s="27" t="str">
        <x:v>Corridor arsenal unavailable</x:v>
      </x:c>
      <x:c r="D10" s="27" t="n">
        <x:v>1</x:v>
      </x:c>
      <x:c r="E10" s="27" t="str">
        <x:v>PASS</x:v>
      </x:c>
      <x:c r="F10" s="27" t="str">
        <x:v>PASS</x:v>
      </x:c>
      <x:c r="G10" s="27" t="str">
        <x:v>PASS</x:v>
      </x:c>
      <x:c r="H10" s="27" t="str">
        <x:v>PASS</x:v>
      </x:c>
      <x:c r="I10" s="29" t="str">
        <x:v>physical carriage remains</x:v>
      </x:c>
      <x:c r="J10" s="2" t="str">
        <x:v>FAIL</x:v>
      </x:c>
      <x:c r="K10" s="2" t="str">
        <x:v>FAIL</x:v>
      </x:c>
    </x:row>
    <x:row r="11">
      <x:c r="B11" s="27" t="str">
        <x:v>L05</x:v>
      </x:c>
      <x:c r="C11" s="27" t="str">
        <x:v>Primary loading bay unavailable</x:v>
      </x:c>
      <x:c r="D11" s="27" t="n">
        <x:v>1</x:v>
      </x:c>
      <x:c r="E11" s="27" t="str">
        <x:v>PASS</x:v>
      </x:c>
      <x:c r="F11" s="27" t="str">
        <x:v>FAIL</x:v>
      </x:c>
      <x:c r="G11" s="27" t="str">
        <x:v>PASS</x:v>
      </x:c>
      <x:c r="H11" s="27" t="str">
        <x:v>PASS</x:v>
      </x:c>
      <x:c r="I11" s="29" t="str">
        <x:v>partitioned loaders preserve a path</x:v>
      </x:c>
      <x:c r="J11" s="2" t="str">
        <x:v>FAIL</x:v>
      </x:c>
      <x:c r="K11" s="2" t="str">
        <x:v>FAIL</x:v>
      </x:c>
    </x:row>
    <x:row r="12">
      <x:c r="B12" s="27" t="str">
        <x:v>L06</x:v>
      </x:c>
      <x:c r="C12" s="27" t="str">
        <x:v>One vector technical release unavailable</x:v>
      </x:c>
      <x:c r="D12" s="27" t="n">
        <x:v>1</x:v>
      </x:c>
      <x:c r="E12" s="27" t="str">
        <x:v>PASS</x:v>
      </x:c>
      <x:c r="F12" s="27" t="str">
        <x:v>FAIL</x:v>
      </x:c>
      <x:c r="G12" s="27" t="str">
        <x:v>PASS</x:v>
      </x:c>
      <x:c r="H12" s="27" t="str">
        <x:v>PASS</x:v>
      </x:c>
      <x:c r="I12" s="29" t="str">
        <x:v>other technical authority remains</x:v>
      </x:c>
      <x:c r="J12" s="2" t="str">
        <x:v>FAIL</x:v>
      </x:c>
      <x:c r="K12" s="2" t="str">
        <x:v>FAIL</x:v>
      </x:c>
    </x:row>
    <x:row r="13">
      <x:c r="B13" s="27" t="str">
        <x:v>L07</x:v>
      </x:c>
      <x:c r="C13" s="27" t="str">
        <x:v>One base energy lineage unavailable</x:v>
      </x:c>
      <x:c r="D13" s="27" t="n">
        <x:v>1</x:v>
      </x:c>
      <x:c r="E13" s="27" t="str">
        <x:v>PASS</x:v>
      </x:c>
      <x:c r="F13" s="27" t="str">
        <x:v>FAIL</x:v>
      </x:c>
      <x:c r="G13" s="27" t="str">
        <x:v>PASS</x:v>
      </x:c>
      <x:c r="H13" s="27" t="str">
        <x:v>PASS</x:v>
      </x:c>
      <x:c r="I13" s="29" t="str">
        <x:v>other source lineage remains</x:v>
      </x:c>
      <x:c r="J13" s="2" t="str">
        <x:v>FAIL</x:v>
      </x:c>
      <x:c r="K13" s="2" t="str">
        <x:v>FAIL</x:v>
      </x:c>
    </x:row>
    <x:row r="14">
      <x:c r="B14" s="27" t="str">
        <x:v>L08</x:v>
      </x:c>
      <x:c r="C14" s="27" t="str">
        <x:v>National network denied</x:v>
      </x:c>
      <x:c r="D14" s="27" t="n">
        <x:v>1</x:v>
      </x:c>
      <x:c r="E14" s="27" t="str">
        <x:v>PASS</x:v>
      </x:c>
      <x:c r="F14" s="27" t="str">
        <x:v>FAIL</x:v>
      </x:c>
      <x:c r="G14" s="27" t="str">
        <x:v>PASS</x:v>
      </x:c>
      <x:c r="H14" s="27" t="str">
        <x:v>PASS</x:v>
      </x:c>
      <x:c r="I14" s="29" t="str">
        <x:v>offline partitions required</x:v>
      </x:c>
      <x:c r="J14" s="2" t="str">
        <x:v>FAIL</x:v>
      </x:c>
      <x:c r="K14" s="2" t="str">
        <x:v>FAIL</x:v>
      </x:c>
    </x:row>
    <x:row r="15">
      <x:c r="B15" s="27" t="str">
        <x:v>L09</x:v>
      </x:c>
      <x:c r="C15" s="27" t="str">
        <x:v>Receiver air zone lost</x:v>
      </x:c>
      <x:c r="D15" s="27" t="n">
        <x:v>1</x:v>
      </x:c>
      <x:c r="E15" s="27" t="str">
        <x:v>PASS</x:v>
      </x:c>
      <x:c r="F15" s="27" t="str">
        <x:v>PASS</x:v>
      </x:c>
      <x:c r="G15" s="27" t="str">
        <x:v>PASS</x:v>
      </x:c>
      <x:c r="H15" s="27" t="str">
        <x:v>PASS</x:v>
      </x:c>
      <x:c r="I15" s="29" t="str">
        <x:v>terrain or bridge remains</x:v>
      </x:c>
      <x:c r="J15" s="2" t="str">
        <x:v>FAIL</x:v>
      </x:c>
      <x:c r="K15" s="2" t="str">
        <x:v>FAIL</x:v>
      </x:c>
    </x:row>
    <x:row r="16">
      <x:c r="B16" s="27" t="str">
        <x:v>L10</x:v>
      </x:c>
      <x:c r="C16" s="27" t="str">
        <x:v>Receiver land zone lost</x:v>
      </x:c>
      <x:c r="D16" s="27" t="n">
        <x:v>1</x:v>
      </x:c>
      <x:c r="E16" s="27" t="str">
        <x:v>PASS</x:v>
      </x:c>
      <x:c r="F16" s="27" t="str">
        <x:v>PASS</x:v>
      </x:c>
      <x:c r="G16" s="27" t="str">
        <x:v>PASS</x:v>
      </x:c>
      <x:c r="H16" s="27" t="str">
        <x:v>PASS</x:v>
      </x:c>
      <x:c r="I16" s="29" t="str">
        <x:v>air or bridge remains</x:v>
      </x:c>
      <x:c r="J16" s="2" t="str">
        <x:v>FAIL</x:v>
      </x:c>
      <x:c r="K16" s="2" t="str">
        <x:v>FAIL</x:v>
      </x:c>
    </x:row>
    <x:row r="17">
      <x:c r="B17" s="27" t="str">
        <x:v>L11</x:v>
      </x:c>
      <x:c r="C17" s="27" t="str">
        <x:v>Standoff utility source lost</x:v>
      </x:c>
      <x:c r="D17" s="27" t="n">
        <x:v>1</x:v>
      </x:c>
      <x:c r="E17" s="27" t="str">
        <x:v>PASS</x:v>
      </x:c>
      <x:c r="F17" s="27" t="str">
        <x:v>PASS</x:v>
      </x:c>
      <x:c r="G17" s="27" t="str">
        <x:v>PASS</x:v>
      </x:c>
      <x:c r="H17" s="27" t="str">
        <x:v>PASS</x:v>
      </x:c>
      <x:c r="I17" s="29" t="str">
        <x:v>physical carriage remains</x:v>
      </x:c>
      <x:c r="J17" s="2" t="str">
        <x:v>FAIL</x:v>
      </x:c>
      <x:c r="K17" s="2" t="str">
        <x:v>FAIL</x:v>
      </x:c>
    </x:row>
    <x:row r="18">
      <x:c r="B18" s="27" t="str">
        <x:v>L12</x:v>
      </x:c>
      <x:c r="C18" s="27" t="str">
        <x:v>Two access modes lost</x:v>
      </x:c>
      <x:c r="D18" s="27" t="n">
        <x:v>1</x:v>
      </x:c>
      <x:c r="E18" s="27" t="str">
        <x:v>PASS</x:v>
      </x:c>
      <x:c r="F18" s="27" t="str">
        <x:v>PASS</x:v>
      </x:c>
      <x:c r="G18" s="27" t="str">
        <x:v>PASS</x:v>
      </x:c>
      <x:c r="H18" s="27" t="str">
        <x:v>PASS</x:v>
      </x:c>
      <x:c r="I18" s="29" t="str">
        <x:v>last complete vector survives</x:v>
      </x:c>
      <x:c r="J18" s="2" t="str">
        <x:v>FAIL</x:v>
      </x:c>
      <x:c r="K18" s="2" t="str">
        <x:v>FAIL</x:v>
      </x:c>
    </x:row>
    <x:row r="19">
      <x:c r="B19" s="27" t="str">
        <x:v>L13</x:v>
      </x:c>
      <x:c r="C19" s="27" t="str">
        <x:v>One interface implementation defect</x:v>
      </x:c>
      <x:c r="D19" s="27" t="n">
        <x:v>1</x:v>
      </x:c>
      <x:c r="E19" s="27" t="str">
        <x:v>PASS</x:v>
      </x:c>
      <x:c r="F19" s="27" t="str">
        <x:v>FAIL</x:v>
      </x:c>
      <x:c r="G19" s="27" t="str">
        <x:v>PASS</x:v>
      </x:c>
      <x:c r="H19" s="27" t="str">
        <x:v>PASS</x:v>
      </x:c>
      <x:c r="I19" s="29" t="str">
        <x:v>two implementations required</x:v>
      </x:c>
      <x:c r="J19" s="2" t="str">
        <x:v>FAIL</x:v>
      </x:c>
      <x:c r="K19" s="2" t="str">
        <x:v>FAIL</x:v>
      </x:c>
    </x:row>
    <x:row r="20">
      <x:c r="B20" s="27" t="str">
        <x:v>L14</x:v>
      </x:c>
      <x:c r="C20" s="27" t="str">
        <x:v>Second region activates at hour 6</x:v>
      </x:c>
      <x:c r="D20" s="27" t="n">
        <x:v>2</x:v>
      </x:c>
      <x:c r="E20" s="27" t="str">
        <x:v>PASS</x:v>
      </x:c>
      <x:c r="F20" s="27" t="str">
        <x:v>FAIL</x:v>
      </x:c>
      <x:c r="G20" s="27" t="str">
        <x:v>FAIL</x:v>
      </x:c>
      <x:c r="H20" s="27" t="str">
        <x:v>PASS</x:v>
      </x:c>
      <x:c r="I20" s="29" t="str">
        <x:v>second service echelon required</x:v>
      </x:c>
      <x:c r="J20" s="2" t="str">
        <x:v>FAIL</x:v>
      </x:c>
      <x:c r="K20" s="2" t="str">
        <x:v>FAIL</x:v>
      </x:c>
    </x:row>
    <x:row r="21">
      <x:c r="B21" s="27" t="str">
        <x:v>L15</x:v>
      </x:c>
      <x:c r="C21" s="27" t="str">
        <x:v>Second region plus one mode or site loss</x:v>
      </x:c>
      <x:c r="D21" s="27" t="n">
        <x:v>2</x:v>
      </x:c>
      <x:c r="E21" s="27" t="str">
        <x:v>PASS</x:v>
      </x:c>
      <x:c r="F21" s="27" t="str">
        <x:v>FAIL</x:v>
      </x:c>
      <x:c r="G21" s="27" t="str">
        <x:v>FAIL</x:v>
      </x:c>
      <x:c r="H21" s="27" t="str">
        <x:v>FAIL</x:v>
      </x:c>
      <x:c r="I21" s="29" t="str">
        <x:v>two complete tri-vector formations required</x:v>
      </x:c>
      <x:c r="J21" s="2" t="str">
        <x:v>FAIL</x:v>
      </x:c>
      <x:c r="K21" s="2" t="str">
        <x:v>FAIL</x:v>
      </x:c>
    </x:row>
    <x:row r="22">
      <x:c r="B22" s="31" t="str">
        <x:v>L16</x:v>
      </x:c>
      <x:c r="C22" s="31" t="str">
        <x:v>Representative evidence withheld</x:v>
      </x:c>
      <x:c r="D22" s="31" t="n">
        <x:v>0</x:v>
      </x:c>
      <x:c r="E22" s="31" t="str">
        <x:v>PASS</x:v>
      </x:c>
      <x:c r="F22" s="31" t="str">
        <x:v>PASS</x:v>
      </x:c>
      <x:c r="G22" s="31" t="str">
        <x:v>PASS</x:v>
      </x:c>
      <x:c r="H22" s="31" t="str">
        <x:v>PASS</x:v>
      </x:c>
      <x:c r="I22" s="33" t="str">
        <x:v>universal current-credit stop</x:v>
      </x:c>
      <x:c r="J22" s="2" t="str">
        <x:v>FAIL</x:v>
      </x:c>
      <x:c r="K22" s="2" t="str">
        <x:v>FAIL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B25" s="8" t="str">
        <x:v>Operational-world totals</x:v>
      </x:c>
      <x:c r="C25" s="9" t="str">
        <x:v>Operational-world totals</x:v>
      </x:c>
      <x:c r="D25" s="9" t="str">
        <x:v>Operational-world totals</x:v>
      </x:c>
      <x:c r="E25" s="9" t="str">
        <x:v>Operational-world totals</x:v>
      </x:c>
      <x:c r="F25" s="9" t="str">
        <x:v>Operational-world totals</x:v>
      </x:c>
      <x:c r="G25" s="9" t="str">
        <x:v>Operational-world totals</x:v>
      </x:c>
      <x:c r="H25" s="9" t="str">
        <x:v>Operational-world totals</x:v>
      </x:c>
      <x:c r="I25" s="10" t="str">
        <x:v>Operational-world totals</x:v>
      </x:c>
      <x:c r="J25" s="2"/>
      <x:c r="K25" s="2"/>
    </x:row>
    <x:row r="26">
      <x:c r="B26" s="25" t="str">
        <x:v>Architecture</x:v>
      </x:c>
      <x:c r="C26" s="26" t="str">
        <x:v>Operational passes</x:v>
      </x:c>
      <x:c r="D26" s="26" t="str">
        <x:v>Operational worlds</x:v>
      </x:c>
      <x:c r="E26" s="26" t="str">
        <x:v>Current evidence</x:v>
      </x:c>
      <x:c r="F26" s="26" t="str">
        <x:v>Strict admission</x:v>
      </x:c>
      <x:c r="G26" s="2"/>
      <x:c r="H26" s="2"/>
      <x:c r="I26" s="2"/>
      <x:c r="J26" s="2"/>
      <x:c r="K26" s="2"/>
    </x:row>
    <x:row r="27">
      <x:c r="B27" s="27" t="str">
        <x:v>C0</x:v>
      </x:c>
      <x:c r="C27" s="27" t="n">
        <x:f>COUNTIFS(F7:F21,"PASS")</x:f>
        <x:v>8</x:v>
      </x:c>
      <x:c r="D27" s="27" t="n">
        <x:v>15</x:v>
      </x:c>
      <x:c r="E27" s="27" t="n">
        <x:v>0</x:v>
      </x:c>
      <x:c r="F27" s="29" t="str">
        <x:v>FAIL</x:v>
      </x:c>
      <x:c r="G27" s="2"/>
      <x:c r="H27" s="2"/>
      <x:c r="I27" s="2"/>
      <x:c r="J27" s="2"/>
      <x:c r="K27" s="2"/>
    </x:row>
    <x:row r="28">
      <x:c r="B28" s="27" t="str">
        <x:v>C1</x:v>
      </x:c>
      <x:c r="C28" s="27" t="n">
        <x:f>COUNTIFS(G7:G21,"PASS")</x:f>
        <x:v>13</x:v>
      </x:c>
      <x:c r="D28" s="27" t="n">
        <x:v>15</x:v>
      </x:c>
      <x:c r="E28" s="27" t="n">
        <x:v>0</x:v>
      </x:c>
      <x:c r="F28" s="29" t="str">
        <x:v>FAIL</x:v>
      </x:c>
      <x:c r="G28" s="2"/>
      <x:c r="H28" s="2"/>
      <x:c r="I28" s="2"/>
      <x:c r="J28" s="2"/>
      <x:c r="K28" s="2"/>
    </x:row>
    <x:row r="29">
      <x:c r="B29" s="31" t="str">
        <x:v>C2</x:v>
      </x:c>
      <x:c r="C29" s="31" t="n">
        <x:f>COUNTIFS(H7:H21,"PASS")</x:f>
        <x:v>14</x:v>
      </x:c>
      <x:c r="D29" s="31" t="n">
        <x:v>15</x:v>
      </x:c>
      <x:c r="E29" s="31" t="n">
        <x:v>0</x:v>
      </x:c>
      <x:c r="F29" s="33" t="str">
        <x:v>FAIL</x:v>
      </x:c>
      <x:c r="G29" s="2"/>
      <x:c r="H29" s="2"/>
      <x:c r="I29" s="2"/>
      <x:c r="J29" s="2"/>
      <x:c r="K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mergeCells>
    <x:mergeCell ref="B25:I25"/>
  </x:mergeCells>
  <x:conditionalFormatting sqref="E7:H22">
    <x:cfRule type="containsText" dxfId="2" priority="1" operator="containsText" text="FAIL"/>
  </x:conditionalFormatting>
  <x:conditionalFormatting sqref="J7:K22"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9" hidden="0" customWidth="1"/>
    <x:col min="4" max="4" width="12" hidden="0" customWidth="1"/>
    <x:col min="5" max="5" width="25" hidden="0" customWidth="1"/>
    <x:col min="6" max="6" width="24" hidden="0" customWidth="1"/>
    <x:col min="7" max="7" width="19" hidden="0" customWidth="1"/>
    <x:col min="8" max="8" width="16" hidden="0" customWidth="1"/>
    <x:col min="9" max="9" width="17" hidden="0" customWidth="1"/>
    <x:col min="10" max="10" width="28" hidden="0" customWidth="1"/>
    <x:col min="11" max="11" width="23" hidden="0" customWidth="1"/>
    <x:col min="12" max="12" width="18" hidden="0" customWidth="1"/>
    <x:col min="13" max="13" width="24" hidden="0" customWidth="1"/>
    <x:col min="14" max="14" width="25" hidden="0" customWidth="1"/>
    <x:col min="15" max="15" width="18" hidden="0" customWidth="1"/>
    <x:col min="16" max="16" width="46" hidden="0" customWidth="1"/>
  </x:cols>
  <x:sheetData>
    <x:row r="2">
      <x:c r="B2" s="3" t="str">
        <x:v>Discrete two-region concurrency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Nominal delivery and assured delivery are different force claims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5" t="str">
        <x:v>Code</x:v>
      </x:c>
      <x:c r="C6" s="26" t="str">
        <x:v>Formation</x:v>
      </x:c>
      <x:c r="D6" s="26" t="str">
        <x:v>Custody</x:v>
      </x:c>
      <x:c r="E6" s="26" t="str">
        <x:v>Region A vectors</x:v>
      </x:c>
      <x:c r="F6" s="26" t="str">
        <x:v>Region B vectors</x:v>
      </x:c>
      <x:c r="G6" s="26" t="str">
        <x:v>Receiver echelons</x:v>
      </x:c>
      <x:c r="H6" s="26" t="str">
        <x:v>VHL aircraft</x:v>
      </x:c>
      <x:c r="I6" s="26" t="str">
        <x:v>VHL loaded t</x:v>
      </x:c>
      <x:c r="J6" s="26" t="str">
        <x:v>After one aircraft loss t</x:v>
      </x:c>
      <x:c r="K6" s="26" t="str">
        <x:v>VHL function closure</x:v>
      </x:c>
      <x:c r="L6" s="26" t="str">
        <x:v>Nominal regions</x:v>
      </x:c>
      <x:c r="M6" s="26" t="str">
        <x:v>After one vehicle loss</x:v>
      </x:c>
      <x:c r="N6" s="26" t="str">
        <x:v>After one mode/site loss</x:v>
      </x:c>
      <x:c r="O6" s="26" t="str">
        <x:v>Assured result</x:v>
      </x:c>
      <x:c r="P6" s="26" t="str">
        <x:v>Meaning</x:v>
      </x:c>
    </x:row>
    <x:row r="7">
      <x:c r="B7" s="27" t="str">
        <x:v>F1-C1</x:v>
      </x:c>
      <x:c r="C7" s="27" t="str">
        <x:v>TAFG-1 with tri-partition custody</x:v>
      </x:c>
      <x:c r="D7" s="27" t="str">
        <x:v>C1</x:v>
      </x:c>
      <x:c r="E7" s="27" t="str">
        <x:v>full TAFG</x:v>
      </x:c>
      <x:c r="F7" s="27" t="str">
        <x:v>none</x:v>
      </x:c>
      <x:c r="G7" s="27" t="n">
        <x:v>1</x:v>
      </x:c>
      <x:c r="H7" s="27" t="n">
        <x:v>0</x:v>
      </x:c>
      <x:c r="I7" s="53" t="n">
        <x:v>0</x:v>
      </x:c>
      <x:c r="J7" s="53" t="n">
        <x:v>0</x:v>
      </x:c>
      <x:c r="K7" s="27" t="str">
        <x:v>FAIL</x:v>
      </x:c>
      <x:c r="L7" s="27" t="n">
        <x:v>1</x:v>
      </x:c>
      <x:c r="M7" s="27" t="n">
        <x:v>1</x:v>
      </x:c>
      <x:c r="N7" s="27" t="n">
        <x:v>1</x:v>
      </x:c>
      <x:c r="O7" s="27" t="str">
        <x:v>FAIL</x:v>
      </x:c>
      <x:c r="P7" s="29" t="str">
        <x:v>second-region assurance absent</x:v>
      </x:c>
    </x:row>
    <x:row r="8">
      <x:c r="B8" s="27" t="str">
        <x:v>F1-C2</x:v>
      </x:c>
      <x:c r="C8" s="27" t="str">
        <x:v>TAFG-1 split across dual custody</x:v>
      </x:c>
      <x:c r="D8" s="27" t="str">
        <x:v>C2</x:v>
      </x:c>
      <x:c r="E8" s="27" t="str">
        <x:v>M1 + M5</x:v>
      </x:c>
      <x:c r="F8" s="27" t="str">
        <x:v>M3</x:v>
      </x:c>
      <x:c r="G8" s="27" t="n">
        <x:v>2</x:v>
      </x:c>
      <x:c r="H8" s="27" t="n">
        <x:v>0</x:v>
      </x:c>
      <x:c r="I8" s="53" t="n">
        <x:v>0</x:v>
      </x:c>
      <x:c r="J8" s="53" t="n">
        <x:v>0</x:v>
      </x:c>
      <x:c r="K8" s="27" t="str">
        <x:v>FAIL</x:v>
      </x:c>
      <x:c r="L8" s="27" t="n">
        <x:v>2</x:v>
      </x:c>
      <x:c r="M8" s="27" t="n">
        <x:v>1</x:v>
      </x:c>
      <x:c r="N8" s="27" t="n">
        <x:v>1</x:v>
      </x:c>
      <x:c r="O8" s="27" t="str">
        <x:v>FAIL</x:v>
      </x:c>
      <x:c r="P8" s="29" t="str">
        <x:v>second-region assurance absent</x:v>
      </x:c>
    </x:row>
    <x:row r="9">
      <x:c r="B9" s="27" t="str">
        <x:v>F2-C2</x:v>
      </x:c>
      <x:c r="C9" s="27" t="str">
        <x:v>TAFG-1 plus eight VHL</x:v>
      </x:c>
      <x:c r="D9" s="27" t="str">
        <x:v>C2</x:v>
      </x:c>
      <x:c r="E9" s="27" t="str">
        <x:v>full TAFG</x:v>
      </x:c>
      <x:c r="F9" s="27" t="str">
        <x:v>M4-8</x:v>
      </x:c>
      <x:c r="G9" s="27" t="n">
        <x:v>2</x:v>
      </x:c>
      <x:c r="H9" s="27" t="n">
        <x:v>8</x:v>
      </x:c>
      <x:c r="I9" s="53" t="n">
        <x:v>635</x:v>
      </x:c>
      <x:c r="J9" s="53" t="n">
        <x:f>I9-(I9/H9)</x:f>
        <x:v>555.625</x:v>
      </x:c>
      <x:c r="K9" s="27" t="str">
        <x:v>FAIL</x:v>
      </x:c>
      <x:c r="L9" s="27" t="n">
        <x:v>2</x:v>
      </x:c>
      <x:c r="M9" s="27" t="n">
        <x:v>1</x:v>
      </x:c>
      <x:c r="N9" s="27" t="n">
        <x:v>1</x:v>
      </x:c>
      <x:c r="O9" s="27" t="str">
        <x:v>FAIL</x:v>
      </x:c>
      <x:c r="P9" s="29" t="str">
        <x:v>eight aircraft lose mass and function closure</x:v>
      </x:c>
    </x:row>
    <x:row r="10">
      <x:c r="B10" s="27" t="str">
        <x:v>F2R-C2</x:v>
      </x:c>
      <x:c r="C10" s="27" t="str">
        <x:v>TAFG-1 plus ten VHL</x:v>
      </x:c>
      <x:c r="D10" s="27" t="str">
        <x:v>C2</x:v>
      </x:c>
      <x:c r="E10" s="27" t="str">
        <x:v>full TAFG</x:v>
      </x:c>
      <x:c r="F10" s="27" t="str">
        <x:v>M4-10</x:v>
      </x:c>
      <x:c r="G10" s="27" t="n">
        <x:v>2</x:v>
      </x:c>
      <x:c r="H10" s="27" t="n">
        <x:v>10</x:v>
      </x:c>
      <x:c r="I10" s="53" t="n">
        <x:v>720</x:v>
      </x:c>
      <x:c r="J10" s="53" t="n">
        <x:f>I10-(I10/H10)</x:f>
        <x:v>648</x:v>
      </x:c>
      <x:c r="K10" s="27" t="str">
        <x:v>PASS</x:v>
      </x:c>
      <x:c r="L10" s="27" t="n">
        <x:v>2</x:v>
      </x:c>
      <x:c r="M10" s="27" t="n">
        <x:v>2</x:v>
      </x:c>
      <x:c r="N10" s="27" t="n">
        <x:v>1</x:v>
      </x:c>
      <x:c r="O10" s="27" t="str">
        <x:v>FAIL</x:v>
      </x:c>
      <x:c r="P10" s="29" t="str">
        <x:v>vehicle-loss hypothesis passes; mode loss remains</x:v>
      </x:c>
    </x:row>
    <x:row r="11">
      <x:c r="B11" s="31" t="str">
        <x:v>F3-C2</x:v>
      </x:c>
      <x:c r="C11" s="31" t="str">
        <x:v>Two complete TAFG groups</x:v>
      </x:c>
      <x:c r="D11" s="31" t="str">
        <x:v>C2</x:v>
      </x:c>
      <x:c r="E11" s="31" t="str">
        <x:v>full TAFG 1</x:v>
      </x:c>
      <x:c r="F11" s="31" t="str">
        <x:v>full TAFG 2</x:v>
      </x:c>
      <x:c r="G11" s="31" t="n">
        <x:v>2</x:v>
      </x:c>
      <x:c r="H11" s="31" t="n">
        <x:v>0</x:v>
      </x:c>
      <x:c r="I11" s="55" t="n">
        <x:v>0</x:v>
      </x:c>
      <x:c r="J11" s="55" t="n">
        <x:v>0</x:v>
      </x:c>
      <x:c r="K11" s="31" t="str">
        <x:v>PASS</x:v>
      </x:c>
      <x:c r="L11" s="31" t="n">
        <x:v>2</x:v>
      </x:c>
      <x:c r="M11" s="31" t="n">
        <x:v>2</x:v>
      </x:c>
      <x:c r="N11" s="31" t="n">
        <x:v>2</x:v>
      </x:c>
      <x:c r="O11" s="31" t="str">
        <x:v>PASS</x:v>
      </x:c>
      <x:c r="P11" s="33" t="str">
        <x:v>two independent formations preserve both regions</x:v>
      </x:c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B14" s="8" t="str">
        <x:v>VHL loss threshold</x:v>
      </x:c>
      <x:c r="C14" s="9" t="str">
        <x:v>VHL loss threshold</x:v>
      </x:c>
      <x:c r="D14" s="9" t="str">
        <x:v>VHL loss threshold</x:v>
      </x:c>
      <x:c r="E14" s="9" t="str">
        <x:v>VHL loss threshold</x:v>
      </x:c>
      <x:c r="F14" s="9" t="str">
        <x:v>VHL loss threshold</x:v>
      </x:c>
      <x:c r="G14" s="9" t="str">
        <x:v>VHL loss threshold</x:v>
      </x:c>
      <x:c r="H14" s="9" t="str">
        <x:v>VHL loss threshold</x:v>
      </x:c>
      <x:c r="I14" s="9" t="str">
        <x:v>VHL loss threshold</x:v>
      </x:c>
      <x:c r="J14" s="9" t="str">
        <x:v>VHL loss threshold</x:v>
      </x:c>
      <x:c r="K14" s="9" t="str">
        <x:v>VHL loss threshold</x:v>
      </x:c>
      <x:c r="L14" s="9" t="str">
        <x:v>VHL loss threshold</x:v>
      </x:c>
      <x:c r="M14" s="9" t="str">
        <x:v>VHL loss threshold</x:v>
      </x:c>
      <x:c r="N14" s="9" t="str">
        <x:v>VHL loss threshold</x:v>
      </x:c>
      <x:c r="O14" s="9" t="str">
        <x:v>VHL loss threshold</x:v>
      </x:c>
      <x:c r="P14" s="10" t="str">
        <x:v>VHL loss threshold</x:v>
      </x:c>
    </x:row>
    <x:row r="15">
      <x:c r="B15" s="25" t="str">
        <x:v>Formation</x:v>
      </x:c>
      <x:c r="C15" s="26" t="str">
        <x:v>After one aircraft loss t</x:v>
      </x:c>
      <x:c r="D15" s="26" t="str">
        <x:v>90% mass floor t</x:v>
      </x:c>
      <x:c r="E15" s="26" t="str">
        <x:v>Mass status</x:v>
      </x:c>
      <x:c r="F15" s="26" t="str">
        <x:v>Function status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B16" s="27" t="str">
        <x:f>B9</x:f>
        <x:v>F2-C2</x:v>
      </x:c>
      <x:c r="C16" s="53" t="n">
        <x:f>J9</x:f>
        <x:v>555.625</x:v>
      </x:c>
      <x:c r="D16" s="53" t="n">
        <x:f>Assumptions!C13*Assumptions!C9</x:f>
        <x:v>571.5</x:v>
      </x:c>
      <x:c r="E16" s="27" t="str">
        <x:f>IF(C16&gt;=D16,"PASS","FAIL")</x:f>
        <x:v>FAIL</x:v>
      </x:c>
      <x:c r="F16" s="29" t="str">
        <x:f>K9</x:f>
        <x:v>FAIL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B17" s="31" t="str">
        <x:f>B10</x:f>
        <x:v>F2R-C2</x:v>
      </x:c>
      <x:c r="C17" s="55" t="n">
        <x:f>J10</x:f>
        <x:v>648</x:v>
      </x:c>
      <x:c r="D17" s="55" t="n">
        <x:f>Assumptions!C13*Assumptions!C9</x:f>
        <x:v>571.5</x:v>
      </x:c>
      <x:c r="E17" s="31" t="str">
        <x:f>IF(C17&gt;=D17,"PASS","FAIL")</x:f>
        <x:v>PASS</x:v>
      </x:c>
      <x:c r="F17" s="33" t="str">
        <x:f>K10</x:f>
        <x:v>PASS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</x:sheetData>
  <x:mergeCells>
    <x:mergeCell ref="B14:P14"/>
  </x:mergeCells>
  <x:conditionalFormatting sqref="K7:O11">
    <x:cfRule type="containsText" dxfId="4" priority="1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7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9" hidden="0" customWidth="1"/>
    <x:col min="8" max="8" width="19" hidden="0" customWidth="1"/>
    <x:col min="9" max="9" width="2" hidden="0" customWidth="1"/>
    <x:col min="10" max="10" width="2" hidden="0" customWidth="1"/>
    <x:col min="11" max="11" width="2" hidden="0" customWidth="1"/>
  </x:cols>
  <x:sheetData>
    <x:row r="2">
      <x:c r="B2" s="3" t="str">
        <x:v>Custody workforce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Arsenals, loaders and release chains are standing force elements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5" t="str">
        <x:v>Role</x:v>
      </x:c>
      <x:c r="C6" s="26" t="str">
        <x:v>C0 deployed</x:v>
      </x:c>
      <x:c r="D6" s="26" t="str">
        <x:v>C1 deployed</x:v>
      </x:c>
      <x:c r="E6" s="26" t="str">
        <x:v>C2 deployed</x:v>
      </x:c>
      <x:c r="F6" s="26" t="str">
        <x:v>C0 affiliated</x:v>
      </x:c>
      <x:c r="G6" s="26" t="str">
        <x:v>C1 affiliated</x:v>
      </x:c>
      <x:c r="H6" s="26" t="str">
        <x:v>C2 affiliated</x:v>
      </x:c>
      <x:c r="I6" s="2"/>
      <x:c r="J6" s="2"/>
      <x:c r="K6" s="2"/>
    </x:row>
    <x:row r="7">
      <x:c r="B7" s="27" t="str">
        <x:v>Arsenal command</x:v>
      </x:c>
      <x:c r="C7" s="27" t="n">
        <x:v>8</x:v>
      </x:c>
      <x:c r="D7" s="27" t="n">
        <x:v>12</x:v>
      </x:c>
      <x:c r="E7" s="27" t="n">
        <x:v>24</x:v>
      </x:c>
      <x:c r="F7" s="27" t="n">
        <x:v>20</x:v>
      </x:c>
      <x:c r="G7" s="27" t="n">
        <x:v>30</x:v>
      </x:c>
      <x:c r="H7" s="29" t="n">
        <x:v>60</x:v>
      </x:c>
      <x:c r="I7" s="2"/>
      <x:c r="J7" s="2"/>
      <x:c r="K7" s="2"/>
    </x:row>
    <x:row r="8">
      <x:c r="B8" s="27" t="str">
        <x:v>Payload custody</x:v>
      </x:c>
      <x:c r="C8" s="27" t="n">
        <x:v>10</x:v>
      </x:c>
      <x:c r="D8" s="27" t="n">
        <x:v>18</x:v>
      </x:c>
      <x:c r="E8" s="27" t="n">
        <x:v>36</x:v>
      </x:c>
      <x:c r="F8" s="27" t="n">
        <x:v>24</x:v>
      </x:c>
      <x:c r="G8" s="27" t="n">
        <x:v>48</x:v>
      </x:c>
      <x:c r="H8" s="29" t="n">
        <x:v>96</x:v>
      </x:c>
      <x:c r="I8" s="2"/>
      <x:c r="J8" s="2"/>
      <x:c r="K8" s="2"/>
    </x:row>
    <x:row r="9">
      <x:c r="B9" s="27" t="str">
        <x:v>Loading operations</x:v>
      </x:c>
      <x:c r="C9" s="27" t="n">
        <x:v>12</x:v>
      </x:c>
      <x:c r="D9" s="27" t="n">
        <x:v>30</x:v>
      </x:c>
      <x:c r="E9" s="27" t="n">
        <x:v>60</x:v>
      </x:c>
      <x:c r="F9" s="27" t="n">
        <x:v>30</x:v>
      </x:c>
      <x:c r="G9" s="27" t="n">
        <x:v>72</x:v>
      </x:c>
      <x:c r="H9" s="29" t="n">
        <x:v>144</x:v>
      </x:c>
      <x:c r="I9" s="2"/>
      <x:c r="J9" s="2"/>
      <x:c r="K9" s="2"/>
    </x:row>
    <x:row r="10">
      <x:c r="B10" s="27" t="str">
        <x:v>Energy and base utilities</x:v>
      </x:c>
      <x:c r="C10" s="27" t="n">
        <x:v>6</x:v>
      </x:c>
      <x:c r="D10" s="27" t="n">
        <x:v>12</x:v>
      </x:c>
      <x:c r="E10" s="27" t="n">
        <x:v>24</x:v>
      </x:c>
      <x:c r="F10" s="27" t="n">
        <x:v>16</x:v>
      </x:c>
      <x:c r="G10" s="27" t="n">
        <x:v>32</x:v>
      </x:c>
      <x:c r="H10" s="29" t="n">
        <x:v>64</x:v>
      </x:c>
      <x:c r="I10" s="2"/>
      <x:c r="J10" s="2"/>
      <x:c r="K10" s="2"/>
    </x:row>
    <x:row r="11">
      <x:c r="B11" s="27" t="str">
        <x:v>Release and configuration</x:v>
      </x:c>
      <x:c r="C11" s="27" t="n">
        <x:v>6</x:v>
      </x:c>
      <x:c r="D11" s="27" t="n">
        <x:v>14</x:v>
      </x:c>
      <x:c r="E11" s="27" t="n">
        <x:v>28</x:v>
      </x:c>
      <x:c r="F11" s="27" t="n">
        <x:v>14</x:v>
      </x:c>
      <x:c r="G11" s="27" t="n">
        <x:v>34</x:v>
      </x:c>
      <x:c r="H11" s="29" t="n">
        <x:v>68</x:v>
      </x:c>
      <x:c r="I11" s="2"/>
      <x:c r="J11" s="2"/>
      <x:c r="K11" s="2"/>
    </x:row>
    <x:row r="12">
      <x:c r="B12" s="31" t="str">
        <x:v>Recovery and site safety</x:v>
      </x:c>
      <x:c r="C12" s="31" t="n">
        <x:v>8</x:v>
      </x:c>
      <x:c r="D12" s="31" t="n">
        <x:v>16</x:v>
      </x:c>
      <x:c r="E12" s="31" t="n">
        <x:v>32</x:v>
      </x:c>
      <x:c r="F12" s="31" t="n">
        <x:v>20</x:v>
      </x:c>
      <x:c r="G12" s="31" t="n">
        <x:v>40</x:v>
      </x:c>
      <x:c r="H12" s="33" t="n">
        <x:v>80</x:v>
      </x:c>
      <x:c r="I12" s="2"/>
      <x:c r="J12" s="2"/>
      <x:c r="K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B15" s="8" t="str">
        <x:v>Custody workforce totals</x:v>
      </x:c>
      <x:c r="C15" s="9" t="str">
        <x:v>Custody workforce totals</x:v>
      </x:c>
      <x:c r="D15" s="9" t="str">
        <x:v>Custody workforce totals</x:v>
      </x:c>
      <x:c r="E15" s="9" t="str">
        <x:v>Custody workforce totals</x:v>
      </x:c>
      <x:c r="F15" s="9" t="str">
        <x:v>Custody workforce totals</x:v>
      </x:c>
      <x:c r="G15" s="9" t="str">
        <x:v>Custody workforce totals</x:v>
      </x:c>
      <x:c r="H15" s="10" t="str">
        <x:v>Custody workforce totals</x:v>
      </x:c>
      <x:c r="I15" s="2"/>
      <x:c r="J15" s="2"/>
      <x:c r="K15" s="2"/>
    </x:row>
    <x:row r="16">
      <x:c r="B16" s="19" t="str">
        <x:v>Custody architecture</x:v>
      </x:c>
      <x:c r="C16" s="20"/>
      <x:c r="D16" s="20" t="str">
        <x:v>Deployed</x:v>
      </x:c>
      <x:c r="E16" s="20"/>
      <x:c r="F16" s="20" t="str">
        <x:v>Affiliated</x:v>
      </x:c>
      <x:c r="G16" s="20"/>
      <x:c r="H16" s="21"/>
      <x:c r="I16" s="2"/>
      <x:c r="J16" s="2"/>
      <x:c r="K16" s="2"/>
    </x:row>
    <x:row r="17">
      <x:c r="B17" s="2" t="str">
        <x:v>C0</x:v>
      </x:c>
      <x:c r="C17" s="2"/>
      <x:c r="D17" s="2" t="n">
        <x:f>SUM(C7:C12)</x:f>
        <x:v>50</x:v>
      </x:c>
      <x:c r="E17" s="2"/>
      <x:c r="F17" s="2" t="n">
        <x:f>SUM(F7:F12)</x:f>
        <x:v>124</x:v>
      </x:c>
      <x:c r="G17" s="2"/>
      <x:c r="H17" s="2"/>
      <x:c r="I17" s="2"/>
      <x:c r="J17" s="2"/>
      <x:c r="K17" s="2"/>
    </x:row>
    <x:row r="18">
      <x:c r="B18" s="2" t="str">
        <x:v>C1</x:v>
      </x:c>
      <x:c r="C18" s="2"/>
      <x:c r="D18" s="2" t="n">
        <x:f>SUM(D7:D12)</x:f>
        <x:v>102</x:v>
      </x:c>
      <x:c r="E18" s="2"/>
      <x:c r="F18" s="2" t="n">
        <x:f>SUM(G7:G12)</x:f>
        <x:v>256</x:v>
      </x:c>
      <x:c r="G18" s="2"/>
      <x:c r="H18" s="2"/>
      <x:c r="I18" s="2"/>
      <x:c r="J18" s="2"/>
      <x:c r="K18" s="2"/>
    </x:row>
    <x:row r="19">
      <x:c r="B19" s="2" t="str">
        <x:v>C2</x:v>
      </x:c>
      <x:c r="C19" s="2"/>
      <x:c r="D19" s="2" t="n">
        <x:f>SUM(E7:E12)</x:f>
        <x:v>204</x:v>
      </x:c>
      <x:c r="E19" s="2"/>
      <x:c r="F19" s="2" t="n">
        <x:f>SUM(H7:H12)</x:f>
        <x:v>512</x:v>
      </x:c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8" t="str">
        <x:v>Formation workforce with custody</x:v>
      </x:c>
      <x:c r="C22" s="9" t="str">
        <x:v>Formation workforce with custody</x:v>
      </x:c>
      <x:c r="D22" s="9" t="str">
        <x:v>Formation workforce with custody</x:v>
      </x:c>
      <x:c r="E22" s="9" t="str">
        <x:v>Formation workforce with custody</x:v>
      </x:c>
      <x:c r="F22" s="9" t="str">
        <x:v>Formation workforce with custody</x:v>
      </x:c>
      <x:c r="G22" s="9" t="str">
        <x:v>Formation workforce with custody</x:v>
      </x:c>
      <x:c r="H22" s="9" t="str">
        <x:v>Formation workforce with custody</x:v>
      </x:c>
      <x:c r="I22" s="9" t="str">
        <x:v>Formation workforce with custody</x:v>
      </x:c>
      <x:c r="J22" s="9" t="str">
        <x:v>Formation workforce with custody</x:v>
      </x:c>
      <x:c r="K22" s="10" t="str">
        <x:v>Formation workforce with custody</x:v>
      </x:c>
    </x:row>
    <x:row r="23">
      <x:c r="B23" s="25" t="str">
        <x:v>Formation</x:v>
      </x:c>
      <x:c r="C23" s="26" t="str">
        <x:v>Prior deployed</x:v>
      </x:c>
      <x:c r="D23" s="26" t="str">
        <x:v>Custody deployed</x:v>
      </x:c>
      <x:c r="E23" s="26" t="str">
        <x:v>Total deployed</x:v>
      </x:c>
      <x:c r="F23" s="26" t="str">
        <x:v>Estimated affiliation</x:v>
      </x:c>
      <x:c r="G23" s="26" t="str">
        <x:v>Basis</x:v>
      </x:c>
      <x:c r="H23" s="2"/>
      <x:c r="I23" s="2"/>
      <x:c r="J23" s="2"/>
      <x:c r="K23" s="2"/>
    </x:row>
    <x:row r="24">
      <x:c r="B24" s="27" t="str">
        <x:v>F1-C1</x:v>
      </x:c>
      <x:c r="C24" s="27" t="n">
        <x:v>488</x:v>
      </x:c>
      <x:c r="D24" s="27" t="n">
        <x:v>102</x:v>
      </x:c>
      <x:c r="E24" s="27" t="n">
        <x:f>C24+D24</x:f>
        <x:v>590</x:v>
      </x:c>
      <x:c r="F24" s="56" t="n">
        <x:f>C24*(1056/488)+256</x:f>
        <x:v>1312</x:v>
      </x:c>
      <x:c r="G24" s="29" t="str">
        <x:v>Pass 79 affiliation ratio plus custody layer</x:v>
      </x:c>
      <x:c r="H24" s="2"/>
      <x:c r="I24" s="2"/>
      <x:c r="J24" s="2"/>
      <x:c r="K24" s="2"/>
    </x:row>
    <x:row r="25">
      <x:c r="B25" s="27" t="str">
        <x:v>F1-C2</x:v>
      </x:c>
      <x:c r="C25" s="27" t="n">
        <x:v>488</x:v>
      </x:c>
      <x:c r="D25" s="27" t="n">
        <x:v>204</x:v>
      </x:c>
      <x:c r="E25" s="27" t="n">
        <x:f>C25+D25</x:f>
        <x:v>692</x:v>
      </x:c>
      <x:c r="F25" s="56" t="n">
        <x:f>C25*(1056/488)+512</x:f>
        <x:v>1568</x:v>
      </x:c>
      <x:c r="G25" s="29" t="str">
        <x:v>Pass 79 affiliation ratio plus custody layer</x:v>
      </x:c>
      <x:c r="H25" s="2"/>
      <x:c r="I25" s="2"/>
      <x:c r="J25" s="2"/>
      <x:c r="K25" s="2"/>
    </x:row>
    <x:row r="26">
      <x:c r="B26" s="27" t="str">
        <x:v>F2-C2</x:v>
      </x:c>
      <x:c r="C26" s="27" t="n">
        <x:v>674</x:v>
      </x:c>
      <x:c r="D26" s="27" t="n">
        <x:v>204</x:v>
      </x:c>
      <x:c r="E26" s="27" t="n">
        <x:f>C26+D26</x:f>
        <x:v>878</x:v>
      </x:c>
      <x:c r="F26" s="56" t="n">
        <x:f>C26*(1056/488)+512</x:f>
        <x:v>1970.4918032786886</x:v>
      </x:c>
      <x:c r="G26" s="29" t="str">
        <x:v>Pass 79 affiliation ratio plus custody layer</x:v>
      </x:c>
      <x:c r="H26" s="2"/>
      <x:c r="I26" s="2"/>
      <x:c r="J26" s="2"/>
      <x:c r="K26" s="2"/>
    </x:row>
    <x:row r="27">
      <x:c r="B27" s="27" t="str">
        <x:v>F2R-C2</x:v>
      </x:c>
      <x:c r="C27" s="27" t="n">
        <x:v>730</x:v>
      </x:c>
      <x:c r="D27" s="27" t="n">
        <x:v>204</x:v>
      </x:c>
      <x:c r="E27" s="27" t="n">
        <x:f>C27+D27</x:f>
        <x:v>934</x:v>
      </x:c>
      <x:c r="F27" s="56" t="n">
        <x:f>C27*(1056/488)+512</x:f>
        <x:v>2091.672131147541</x:v>
      </x:c>
      <x:c r="G27" s="29" t="str">
        <x:v>Pass 79 affiliation ratio plus custody layer</x:v>
      </x:c>
      <x:c r="H27" s="2"/>
      <x:c r="I27" s="2"/>
      <x:c r="J27" s="2"/>
      <x:c r="K27" s="2"/>
    </x:row>
    <x:row r="28">
      <x:c r="B28" s="31" t="str">
        <x:v>F3-C2</x:v>
      </x:c>
      <x:c r="C28" s="31" t="n">
        <x:v>932</x:v>
      </x:c>
      <x:c r="D28" s="31" t="n">
        <x:v>204</x:v>
      </x:c>
      <x:c r="E28" s="31" t="n">
        <x:f>C28+D28</x:f>
        <x:v>1136</x:v>
      </x:c>
      <x:c r="F28" s="57" t="n">
        <x:f>C28*(1056/488)+512</x:f>
        <x:v>2528.786885245902</x:v>
      </x:c>
      <x:c r="G28" s="33" t="str">
        <x:v>Pass 79 affiliation ratio plus custody layer</x:v>
      </x:c>
      <x:c r="H28" s="2"/>
      <x:c r="I28" s="2"/>
      <x:c r="J28" s="2"/>
      <x:c r="K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</x:sheetData>
  <x:mergeCells>
    <x:mergeCell ref="B15:H15"/>
    <x:mergeCell ref="B22:K2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31" hidden="0" customWidth="1"/>
    <x:col min="4" max="4" width="16" hidden="0" customWidth="1"/>
    <x:col min="5" max="5" width="18" hidden="0" customWidth="1"/>
    <x:col min="6" max="6" width="24" hidden="0" customWidth="1"/>
    <x:col min="7" max="7" width="16" hidden="0" customWidth="1"/>
    <x:col min="8" max="8" width="16" hidden="0" customWidth="1"/>
    <x:col min="9" max="9" width="15" hidden="0" customWidth="1"/>
    <x:col min="10" max="10" width="17" hidden="0" customWidth="1"/>
    <x:col min="11" max="11" width="20" hidden="0" customWidth="1"/>
    <x:col min="12" max="12" width="21" hidden="0" customWidth="1"/>
    <x:col min="13" max="13" width="17" hidden="0" customWidth="1"/>
    <x:col min="14" max="14" width="20" hidden="0" customWidth="1"/>
  </x:cols>
  <x:sheetData>
    <x:row r="2">
      <x:c r="B2" s="3" t="str">
        <x:v>Arsenal and dispatch program cost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Detailed custody replaces an embedded $60B allowance once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5" t="str">
        <x:v>Code</x:v>
      </x:c>
      <x:c r="C6" s="26" t="str">
        <x:v>Architecture</x:v>
      </x:c>
      <x:c r="D6" s="26" t="str">
        <x:v>Nodes/group</x:v>
      </x:c>
      <x:c r="E6" s="26" t="str">
        <x:v>Node capex $B</x:v>
      </x:c>
      <x:c r="F6" s="26" t="str">
        <x:v>Annual ops/group $B</x:v>
      </x:c>
      <x:c r="G6" s="26" t="str">
        <x:v>Ops factor</x:v>
      </x:c>
      <x:c r="H6" s="26" t="str">
        <x:v>RDT&amp;E $B</x:v>
      </x:c>
      <x:c r="I6" s="26" t="str">
        <x:v>Shared $B</x:v>
      </x:c>
      <x:c r="J6" s="26" t="str">
        <x:v>Ready groups</x:v>
      </x:c>
      <x:c r="K6" s="26" t="str">
        <x:v>Node capital $B</x:v>
      </x:c>
      <x:c r="L6" s="26" t="str">
        <x:v>Lifecycle ops $B</x:v>
      </x:c>
      <x:c r="M6" s="26" t="str">
        <x:v>Program $B</x:v>
      </x:c>
      <x:c r="N6" s="26" t="str">
        <x:v>F1 national $B</x:v>
      </x:c>
    </x:row>
    <x:row r="7">
      <x:c r="B7" s="27" t="str">
        <x:v>C0</x:v>
      </x:c>
      <x:c r="C7" s="27" t="str">
        <x:v>Common integrated hub</x:v>
      </x:c>
      <x:c r="D7" s="38" t="n">
        <x:v>1</x:v>
      </x:c>
      <x:c r="E7" s="39" t="n">
        <x:v>0.5</x:v>
      </x:c>
      <x:c r="F7" s="39" t="n">
        <x:v>0.05</x:v>
      </x:c>
      <x:c r="G7" s="58" t="n">
        <x:f>Assumptions!C18</x:f>
        <x:v>15.81</x:v>
      </x:c>
      <x:c r="H7" s="39" t="n">
        <x:v>20</x:v>
      </x:c>
      <x:c r="I7" s="39" t="n">
        <x:v>8</x:v>
      </x:c>
      <x:c r="J7" s="38" t="n">
        <x:f>Assumptions!C17</x:f>
        <x:v>43</x:v>
      </x:c>
      <x:c r="K7" s="39" t="n">
        <x:f>D7*E7*J7</x:f>
        <x:v>21.5</x:v>
      </x:c>
      <x:c r="L7" s="39" t="n">
        <x:f>F7*G7*J7</x:f>
        <x:v>33.9915</x:v>
      </x:c>
      <x:c r="M7" s="39" t="n">
        <x:f>K7+L7+H7+I7</x:f>
        <x:v>83.4915</x:v>
      </x:c>
      <x:c r="N7" s="40" t="n">
        <x:f>Assumptions!C19+(16.9*Assumptions!C17)+165+Assumptions!C21+Assumptions!C22-Assumptions!C20+M7</x:f>
        <x:v>7254.90345</x:v>
      </x:c>
    </x:row>
    <x:row r="8">
      <x:c r="B8" s="27" t="str">
        <x:v>C1</x:v>
      </x:c>
      <x:c r="C8" s="27" t="str">
        <x:v>Tri-partition custody</x:v>
      </x:c>
      <x:c r="D8" s="38" t="n">
        <x:v>3</x:v>
      </x:c>
      <x:c r="E8" s="39" t="n">
        <x:v>0.35</x:v>
      </x:c>
      <x:c r="F8" s="39" t="n">
        <x:v>0.12</x:v>
      </x:c>
      <x:c r="G8" s="58" t="n">
        <x:f>Assumptions!C18</x:f>
        <x:v>15.81</x:v>
      </x:c>
      <x:c r="H8" s="39" t="n">
        <x:v>60</x:v>
      </x:c>
      <x:c r="I8" s="39" t="n">
        <x:v>25</x:v>
      </x:c>
      <x:c r="J8" s="38" t="n">
        <x:f>Assumptions!C17</x:f>
        <x:v>43</x:v>
      </x:c>
      <x:c r="K8" s="39" t="n">
        <x:f>D8*E8*J8</x:f>
        <x:v>45.14999999999999</x:v>
      </x:c>
      <x:c r="L8" s="39" t="n">
        <x:f>F8*G8*J8</x:f>
        <x:v>81.5796</x:v>
      </x:c>
      <x:c r="M8" s="39" t="n">
        <x:f>K8+L8+H8+I8</x:f>
        <x:v>211.7296</x:v>
      </x:c>
      <x:c r="N8" s="40" t="n">
        <x:f>Assumptions!C19+(16.9*Assumptions!C17)+165+Assumptions!C21+Assumptions!C22-Assumptions!C20+M8</x:f>
        <x:v>7383.141549999999</x:v>
      </x:c>
    </x:row>
    <x:row r="9">
      <x:c r="B9" s="31" t="str">
        <x:v>C2</x:v>
      </x:c>
      <x:c r="C9" s="31" t="str">
        <x:v>Dual federated custody</x:v>
      </x:c>
      <x:c r="D9" s="41" t="n">
        <x:v>6</x:v>
      </x:c>
      <x:c r="E9" s="42" t="n">
        <x:v>0.32</x:v>
      </x:c>
      <x:c r="F9" s="42" t="n">
        <x:v>0.2</x:v>
      </x:c>
      <x:c r="G9" s="59" t="n">
        <x:f>Assumptions!C18</x:f>
        <x:v>15.81</x:v>
      </x:c>
      <x:c r="H9" s="42" t="n">
        <x:v>95</x:v>
      </x:c>
      <x:c r="I9" s="42" t="n">
        <x:v>50</x:v>
      </x:c>
      <x:c r="J9" s="41" t="n">
        <x:f>Assumptions!C17</x:f>
        <x:v>43</x:v>
      </x:c>
      <x:c r="K9" s="42" t="n">
        <x:f>D9*E9*J9</x:f>
        <x:v>82.56</x:v>
      </x:c>
      <x:c r="L9" s="42" t="n">
        <x:f>F9*G9*J9</x:f>
        <x:v>135.966</x:v>
      </x:c>
      <x:c r="M9" s="42" t="n">
        <x:f>K9+L9+H9+I9</x:f>
        <x:v>363.526</x:v>
      </x:c>
      <x:c r="N9" s="43" t="n">
        <x:f>Assumptions!C19+(16.9*Assumptions!C17)+165+Assumptions!C21+Assumptions!C22-Assumptions!C20+M9</x:f>
        <x:v>7534.93795</x:v>
      </x:c>
    </x:row>
    <x:row r="1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9" hidden="0" customWidth="1"/>
    <x:col min="4" max="4" width="23" hidden="0" customWidth="1"/>
    <x:col min="5" max="5" width="16" hidden="0" customWidth="1"/>
    <x:col min="6" max="6" width="17" hidden="0" customWidth="1"/>
    <x:col min="7" max="7" width="24" hidden="0" customWidth="1"/>
    <x:col min="8" max="8" width="24" hidden="0" customWidth="1"/>
    <x:col min="9" max="9" width="18" hidden="0" customWidth="1"/>
    <x:col min="10" max="10" width="22" hidden="0" customWidth="1"/>
    <x:col min="11" max="11" width="29" hidden="0" customWidth="1"/>
    <x:col min="12" max="12" width="18" hidden="0" customWidth="1"/>
    <x:col min="13" max="13" width="19" hidden="0" customWidth="1"/>
    <x:col min="14" max="14" width="23" hidden="0" customWidth="1"/>
  </x:cols>
  <x:sheetData>
    <x:row r="2">
      <x:c r="B2" s="3" t="str">
        <x:v>Formation and concurrency cost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Cost follows the discrete assets and custody architecture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5" t="str">
        <x:v>Code</x:v>
      </x:c>
      <x:c r="C6" s="26" t="str">
        <x:v>Formation</x:v>
      </x:c>
      <x:c r="D6" s="26" t="str">
        <x:v>Lifecycle/group $B</x:v>
      </x:c>
      <x:c r="E6" s="26" t="str">
        <x:v>RDT&amp;E $B</x:v>
      </x:c>
      <x:c r="F6" s="26" t="str">
        <x:v>Ready groups</x:v>
      </x:c>
      <x:c r="G6" s="26" t="str">
        <x:v>Formation lifecycle $B</x:v>
      </x:c>
      <x:c r="H6" s="26" t="str">
        <x:v>Shared enterprise $B</x:v>
      </x:c>
      <x:c r="I6" s="26" t="str">
        <x:v>Technology $B</x:v>
      </x:c>
      <x:c r="J6" s="26" t="str">
        <x:v>Custody program $B</x:v>
      </x:c>
      <x:c r="K6" s="26" t="str">
        <x:v>Embedded allowance removed $B</x:v>
      </x:c>
      <x:c r="L6" s="26" t="str">
        <x:v>Other force $B</x:v>
      </x:c>
      <x:c r="M6" s="26" t="str">
        <x:v>National $B</x:v>
      </x:c>
      <x:c r="N6" s="26" t="str">
        <x:v>Assured two-region</x:v>
      </x:c>
    </x:row>
    <x:row r="7">
      <x:c r="B7" s="27" t="str">
        <x:v>F1-C1</x:v>
      </x:c>
      <x:c r="C7" s="27" t="str">
        <x:v>TAFG-1 with tri-partition custody</x:v>
      </x:c>
      <x:c r="D7" s="39" t="n">
        <x:v>16.9</x:v>
      </x:c>
      <x:c r="E7" s="39" t="n">
        <x:v>165</x:v>
      </x:c>
      <x:c r="F7" s="38" t="n">
        <x:f>Assumptions!C17</x:f>
        <x:v>43</x:v>
      </x:c>
      <x:c r="G7" s="39" t="n">
        <x:f>D7*F7</x:f>
        <x:v>726.6999999999999</x:v>
      </x:c>
      <x:c r="H7" s="39" t="n">
        <x:f>Assumptions!C21</x:f>
        <x:v>160</x:v>
      </x:c>
      <x:c r="I7" s="39" t="n">
        <x:f>Assumptions!C22</x:f>
        <x:v>180</x:v>
      </x:c>
      <x:c r="J7" s="39" t="n">
        <x:f>'Custody Cost'!M8</x:f>
        <x:v>211.7296</x:v>
      </x:c>
      <x:c r="K7" s="39" t="n">
        <x:f>Assumptions!C20</x:f>
        <x:v>60</x:v>
      </x:c>
      <x:c r="L7" s="39" t="n">
        <x:f>Assumptions!C19</x:f>
        <x:v>5999.71195</x:v>
      </x:c>
      <x:c r="M7" s="39" t="n">
        <x:f>L7+G7+E7+H7+I7+J7-K7</x:f>
        <x:v>7383.141549999999</x:v>
      </x:c>
      <x:c r="N7" s="29" t="str">
        <x:v>FAIL</x:v>
      </x:c>
    </x:row>
    <x:row r="8">
      <x:c r="B8" s="27" t="str">
        <x:v>F1-C2</x:v>
      </x:c>
      <x:c r="C8" s="27" t="str">
        <x:v>TAFG-1 split across dual custody</x:v>
      </x:c>
      <x:c r="D8" s="39" t="n">
        <x:v>16.9</x:v>
      </x:c>
      <x:c r="E8" s="39" t="n">
        <x:v>165</x:v>
      </x:c>
      <x:c r="F8" s="38" t="n">
        <x:f>Assumptions!C17</x:f>
        <x:v>43</x:v>
      </x:c>
      <x:c r="G8" s="39" t="n">
        <x:f>D8*F8</x:f>
        <x:v>726.6999999999999</x:v>
      </x:c>
      <x:c r="H8" s="39" t="n">
        <x:f>Assumptions!C21</x:f>
        <x:v>160</x:v>
      </x:c>
      <x:c r="I8" s="39" t="n">
        <x:f>Assumptions!C22</x:f>
        <x:v>180</x:v>
      </x:c>
      <x:c r="J8" s="39" t="n">
        <x:f>'Custody Cost'!M9</x:f>
        <x:v>363.526</x:v>
      </x:c>
      <x:c r="K8" s="39" t="n">
        <x:f>Assumptions!C20</x:f>
        <x:v>60</x:v>
      </x:c>
      <x:c r="L8" s="39" t="n">
        <x:f>Assumptions!C19</x:f>
        <x:v>5999.71195</x:v>
      </x:c>
      <x:c r="M8" s="39" t="n">
        <x:f>L8+G8+E8+H8+I8+J8-K8</x:f>
        <x:v>7534.93795</x:v>
      </x:c>
      <x:c r="N8" s="29" t="str">
        <x:v>FAIL</x:v>
      </x:c>
    </x:row>
    <x:row r="9">
      <x:c r="B9" s="27" t="str">
        <x:v>F2-C2</x:v>
      </x:c>
      <x:c r="C9" s="27" t="str">
        <x:v>TAFG-1 plus eight VHL</x:v>
      </x:c>
      <x:c r="D9" s="39" t="n">
        <x:v>28.424</x:v>
      </x:c>
      <x:c r="E9" s="39" t="n">
        <x:v>250</x:v>
      </x:c>
      <x:c r="F9" s="38" t="n">
        <x:f>Assumptions!C17</x:f>
        <x:v>43</x:v>
      </x:c>
      <x:c r="G9" s="39" t="n">
        <x:f>D9*F9</x:f>
        <x:v>1222.232</x:v>
      </x:c>
      <x:c r="H9" s="39" t="n">
        <x:f>Assumptions!C21</x:f>
        <x:v>160</x:v>
      </x:c>
      <x:c r="I9" s="39" t="n">
        <x:f>Assumptions!C22</x:f>
        <x:v>180</x:v>
      </x:c>
      <x:c r="J9" s="39" t="n">
        <x:f>'Custody Cost'!M9</x:f>
        <x:v>363.526</x:v>
      </x:c>
      <x:c r="K9" s="39" t="n">
        <x:f>Assumptions!C20</x:f>
        <x:v>60</x:v>
      </x:c>
      <x:c r="L9" s="39" t="n">
        <x:f>Assumptions!C19</x:f>
        <x:v>5999.71195</x:v>
      </x:c>
      <x:c r="M9" s="39" t="n">
        <x:f>L9+G9+E9+H9+I9+J9-K9</x:f>
        <x:v>8115.46995</x:v>
      </x:c>
      <x:c r="N9" s="29" t="str">
        <x:v>FAIL</x:v>
      </x:c>
    </x:row>
    <x:row r="10">
      <x:c r="B10" s="27" t="str">
        <x:v>F2R-C2</x:v>
      </x:c>
      <x:c r="C10" s="27" t="str">
        <x:v>TAFG-1 plus ten VHL</x:v>
      </x:c>
      <x:c r="D10" s="39" t="n">
        <x:v>30.124</x:v>
      </x:c>
      <x:c r="E10" s="39" t="n">
        <x:v>270</x:v>
      </x:c>
      <x:c r="F10" s="38" t="n">
        <x:f>Assumptions!C17</x:f>
        <x:v>43</x:v>
      </x:c>
      <x:c r="G10" s="39" t="n">
        <x:f>D10*F10</x:f>
        <x:v>1295.3319999999999</x:v>
      </x:c>
      <x:c r="H10" s="39" t="n">
        <x:f>Assumptions!C21</x:f>
        <x:v>160</x:v>
      </x:c>
      <x:c r="I10" s="39" t="n">
        <x:f>Assumptions!C22</x:f>
        <x:v>180</x:v>
      </x:c>
      <x:c r="J10" s="39" t="n">
        <x:f>'Custody Cost'!M9</x:f>
        <x:v>363.526</x:v>
      </x:c>
      <x:c r="K10" s="39" t="n">
        <x:f>Assumptions!C20</x:f>
        <x:v>60</x:v>
      </x:c>
      <x:c r="L10" s="39" t="n">
        <x:f>Assumptions!C19</x:f>
        <x:v>5999.71195</x:v>
      </x:c>
      <x:c r="M10" s="39" t="n">
        <x:f>L10+G10+E10+H10+I10+J10-K10</x:f>
        <x:v>8208.56995</x:v>
      </x:c>
      <x:c r="N10" s="29" t="str">
        <x:v>FAIL</x:v>
      </x:c>
    </x:row>
    <x:row r="11">
      <x:c r="B11" s="31" t="str">
        <x:v>F3-C2</x:v>
      </x:c>
      <x:c r="C11" s="31" t="str">
        <x:v>Two complete TAFG groups</x:v>
      </x:c>
      <x:c r="D11" s="42" t="n">
        <x:v>33.8</x:v>
      </x:c>
      <x:c r="E11" s="42" t="n">
        <x:v>250</x:v>
      </x:c>
      <x:c r="F11" s="41" t="n">
        <x:f>Assumptions!C17</x:f>
        <x:v>43</x:v>
      </x:c>
      <x:c r="G11" s="42" t="n">
        <x:f>D11*F11</x:f>
        <x:v>1453.3999999999999</x:v>
      </x:c>
      <x:c r="H11" s="42" t="n">
        <x:f>Assumptions!C21</x:f>
        <x:v>160</x:v>
      </x:c>
      <x:c r="I11" s="42" t="n">
        <x:f>Assumptions!C22</x:f>
        <x:v>180</x:v>
      </x:c>
      <x:c r="J11" s="42" t="n">
        <x:f>'Custody Cost'!M9</x:f>
        <x:v>363.526</x:v>
      </x:c>
      <x:c r="K11" s="42" t="n">
        <x:f>Assumptions!C20</x:f>
        <x:v>60</x:v>
      </x:c>
      <x:c r="L11" s="42" t="n">
        <x:f>Assumptions!C19</x:f>
        <x:v>5999.71195</x:v>
      </x:c>
      <x:c r="M11" s="42" t="n">
        <x:f>L11+G11+E11+H11+I11+J11-K11</x:f>
        <x:v>8346.63795</x:v>
      </x:c>
      <x:c r="N11" s="33" t="str">
        <x:v>PASS</x:v>
      </x:c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38" hidden="0" customWidth="1"/>
    <x:col min="4" max="4" width="14" hidden="0" customWidth="1"/>
    <x:col min="5" max="5" width="42" hidden="0" customWidth="1"/>
    <x:col min="6" max="6" width="31" hidden="0" customWidth="1"/>
    <x:col min="7" max="7" width="27" hidden="0" customWidth="1"/>
    <x:col min="8" max="8" width="14" hidden="0" customWidth="1"/>
    <x:col min="9" max="9" width="23" hidden="0" customWidth="1"/>
  </x:cols>
  <x:sheetData>
    <x:row r="2">
      <x:c r="B2" s="3" t="str">
        <x:v>Payload and dispatch evidence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Behavior arithmetic does not authorize operations or rendering</x:v>
      </x:c>
      <x:c r="C3" s="4"/>
      <x:c r="D3" s="4"/>
      <x:c r="E3" s="4"/>
      <x:c r="F3" s="4"/>
      <x:c r="G3" s="4"/>
      <x:c r="H3" s="4"/>
      <x:c r="I3" s="4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5" t="str">
        <x:v>Gate</x:v>
      </x:c>
      <x:c r="C6" s="26" t="str">
        <x:v>Evidence required</x:v>
      </x:c>
      <x:c r="D6" s="26" t="str">
        <x:v>Article</x:v>
      </x:c>
      <x:c r="E6" s="26" t="str">
        <x:v>Failure insertion</x:v>
      </x:c>
      <x:c r="F6" s="26" t="str">
        <x:v>Threshold</x:v>
      </x:c>
      <x:c r="G6" s="26" t="str">
        <x:v>Owner</x:v>
      </x:c>
      <x:c r="H6" s="26" t="str">
        <x:v>State</x:v>
      </x:c>
      <x:c r="I6" s="26" t="str">
        <x:v>Consequence</x:v>
      </x:c>
    </x:row>
    <x:row r="7">
      <x:c r="B7" s="27" t="str">
        <x:v>E01</x:v>
      </x:c>
      <x:c r="C7" s="27" t="str">
        <x:v>cell A 32-position lot</x:v>
      </x:c>
      <x:c r="D7" s="27" t="str">
        <x:v>A</x:v>
      </x:c>
      <x:c r="E7" s="27" t="str">
        <x:v>withhold named lot, node, path or authority</x:v>
      </x:c>
      <x:c r="F7" s="27" t="str">
        <x:v>representative measured pass</x:v>
      </x:c>
      <x:c r="G7" s="27" t="str">
        <x:v>Access Test Directorate</x:v>
      </x:c>
      <x:c r="H7" s="27" t="str">
        <x:v>OPEN</x:v>
      </x:c>
      <x:c r="I7" s="29" t="str">
        <x:v>no current credit</x:v>
      </x:c>
    </x:row>
    <x:row r="8">
      <x:c r="B8" s="27" t="str">
        <x:v>E02</x:v>
      </x:c>
      <x:c r="C8" s="27" t="str">
        <x:v>cell B 32-position lot</x:v>
      </x:c>
      <x:c r="D8" s="27" t="str">
        <x:v>B</x:v>
      </x:c>
      <x:c r="E8" s="27" t="str">
        <x:v>withhold named lot, node, path or authority</x:v>
      </x:c>
      <x:c r="F8" s="27" t="str">
        <x:v>representative measured pass</x:v>
      </x:c>
      <x:c r="G8" s="27" t="str">
        <x:v>Fourth Access Command</x:v>
      </x:c>
      <x:c r="H8" s="27" t="str">
        <x:v>OPEN</x:v>
      </x:c>
      <x:c r="I8" s="29" t="str">
        <x:v>no current credit</x:v>
      </x:c>
    </x:row>
    <x:row r="9">
      <x:c r="B9" s="27" t="str">
        <x:v>E03</x:v>
      </x:c>
      <x:c r="C9" s="27" t="str">
        <x:v>bridge C complete service</x:v>
      </x:c>
      <x:c r="D9" s="27" t="str">
        <x:v>C</x:v>
      </x:c>
      <x:c r="E9" s="27" t="str">
        <x:v>withhold named lot, node, path or authority</x:v>
      </x:c>
      <x:c r="F9" s="27" t="str">
        <x:v>representative measured pass</x:v>
      </x:c>
      <x:c r="G9" s="27" t="str">
        <x:v>Access Test Directorate</x:v>
      </x:c>
      <x:c r="H9" s="27" t="str">
        <x:v>OPEN</x:v>
      </x:c>
      <x:c r="I9" s="29" t="str">
        <x:v>no current credit</x:v>
      </x:c>
    </x:row>
    <x:row r="10">
      <x:c r="B10" s="27" t="str">
        <x:v>E04</x:v>
      </x:c>
      <x:c r="C10" s="27" t="str">
        <x:v>VHL D position allocation</x:v>
      </x:c>
      <x:c r="D10" s="27" t="str">
        <x:v>D</x:v>
      </x:c>
      <x:c r="E10" s="27" t="str">
        <x:v>withhold named lot, node, path or authority</x:v>
      </x:c>
      <x:c r="F10" s="27" t="str">
        <x:v>representative measured pass</x:v>
      </x:c>
      <x:c r="G10" s="27" t="str">
        <x:v>Fourth Access Command</x:v>
      </x:c>
      <x:c r="H10" s="27" t="str">
        <x:v>OPEN</x:v>
      </x:c>
      <x:c r="I10" s="29" t="str">
        <x:v>no current credit</x:v>
      </x:c>
    </x:row>
    <x:row r="11">
      <x:c r="B11" s="27" t="str">
        <x:v>E05</x:v>
      </x:c>
      <x:c r="C11" s="27" t="str">
        <x:v>A supplier ancestry</x:v>
      </x:c>
      <x:c r="D11" s="27" t="str">
        <x:v>JOINT</x:v>
      </x:c>
      <x:c r="E11" s="27" t="str">
        <x:v>withhold named lot, node, path or authority</x:v>
      </x:c>
      <x:c r="F11" s="27" t="str">
        <x:v>representative measured pass</x:v>
      </x:c>
      <x:c r="G11" s="27" t="str">
        <x:v>Access Test Directorate</x:v>
      </x:c>
      <x:c r="H11" s="27" t="str">
        <x:v>OPEN</x:v>
      </x:c>
      <x:c r="I11" s="29" t="str">
        <x:v>no current credit</x:v>
      </x:c>
    </x:row>
    <x:row r="12">
      <x:c r="B12" s="27" t="str">
        <x:v>E06</x:v>
      </x:c>
      <x:c r="C12" s="27" t="str">
        <x:v>B supplier ancestry</x:v>
      </x:c>
      <x:c r="D12" s="27" t="str">
        <x:v>JOINT</x:v>
      </x:c>
      <x:c r="E12" s="27" t="str">
        <x:v>withhold named lot, node, path or authority</x:v>
      </x:c>
      <x:c r="F12" s="27" t="str">
        <x:v>representative measured pass</x:v>
      </x:c>
      <x:c r="G12" s="27" t="str">
        <x:v>Fourth Access Command</x:v>
      </x:c>
      <x:c r="H12" s="27" t="str">
        <x:v>OPEN</x:v>
      </x:c>
      <x:c r="I12" s="29" t="str">
        <x:v>no current credit</x:v>
      </x:c>
    </x:row>
    <x:row r="13">
      <x:c r="B13" s="27" t="str">
        <x:v>E07</x:v>
      </x:c>
      <x:c r="C13" s="27" t="str">
        <x:v>C supplier ancestry</x:v>
      </x:c>
      <x:c r="D13" s="27" t="str">
        <x:v>JOINT</x:v>
      </x:c>
      <x:c r="E13" s="27" t="str">
        <x:v>withhold named lot, node, path or authority</x:v>
      </x:c>
      <x:c r="F13" s="27" t="str">
        <x:v>representative measured pass</x:v>
      </x:c>
      <x:c r="G13" s="27" t="str">
        <x:v>Access Test Directorate</x:v>
      </x:c>
      <x:c r="H13" s="27" t="str">
        <x:v>OPEN</x:v>
      </x:c>
      <x:c r="I13" s="29" t="str">
        <x:v>no current credit</x:v>
      </x:c>
    </x:row>
    <x:row r="14">
      <x:c r="B14" s="27" t="str">
        <x:v>E08</x:v>
      </x:c>
      <x:c r="C14" s="27" t="str">
        <x:v>D supplier ancestry</x:v>
      </x:c>
      <x:c r="D14" s="27" t="str">
        <x:v>JOINT</x:v>
      </x:c>
      <x:c r="E14" s="27" t="str">
        <x:v>withhold named lot, node, path or authority</x:v>
      </x:c>
      <x:c r="F14" s="27" t="str">
        <x:v>representative measured pass</x:v>
      </x:c>
      <x:c r="G14" s="27" t="str">
        <x:v>Fourth Access Command</x:v>
      </x:c>
      <x:c r="H14" s="27" t="str">
        <x:v>OPEN</x:v>
      </x:c>
      <x:c r="I14" s="29" t="str">
        <x:v>no current credit</x:v>
      </x:c>
    </x:row>
    <x:row r="15">
      <x:c r="B15" s="27" t="str">
        <x:v>E09</x:v>
      </x:c>
      <x:c r="C15" s="27" t="str">
        <x:v>A1 arsenal independence</x:v>
      </x:c>
      <x:c r="D15" s="27" t="str">
        <x:v>JOINT</x:v>
      </x:c>
      <x:c r="E15" s="27" t="str">
        <x:v>withhold named lot, node, path or authority</x:v>
      </x:c>
      <x:c r="F15" s="27" t="str">
        <x:v>representative measured pass</x:v>
      </x:c>
      <x:c r="G15" s="27" t="str">
        <x:v>Access Test Directorate</x:v>
      </x:c>
      <x:c r="H15" s="27" t="str">
        <x:v>OPEN</x:v>
      </x:c>
      <x:c r="I15" s="29" t="str">
        <x:v>no current credit</x:v>
      </x:c>
    </x:row>
    <x:row r="16">
      <x:c r="B16" s="27" t="str">
        <x:v>E10</x:v>
      </x:c>
      <x:c r="C16" s="27" t="str">
        <x:v>B1 arsenal independence</x:v>
      </x:c>
      <x:c r="D16" s="27" t="str">
        <x:v>JOINT</x:v>
      </x:c>
      <x:c r="E16" s="27" t="str">
        <x:v>withhold named lot, node, path or authority</x:v>
      </x:c>
      <x:c r="F16" s="27" t="str">
        <x:v>representative measured pass</x:v>
      </x:c>
      <x:c r="G16" s="27" t="str">
        <x:v>Fourth Access Command</x:v>
      </x:c>
      <x:c r="H16" s="27" t="str">
        <x:v>OPEN</x:v>
      </x:c>
      <x:c r="I16" s="29" t="str">
        <x:v>no current credit</x:v>
      </x:c>
    </x:row>
    <x:row r="17">
      <x:c r="B17" s="27" t="str">
        <x:v>E11</x:v>
      </x:c>
      <x:c r="C17" s="27" t="str">
        <x:v>C1 arsenal independence</x:v>
      </x:c>
      <x:c r="D17" s="27" t="str">
        <x:v>JOINT</x:v>
      </x:c>
      <x:c r="E17" s="27" t="str">
        <x:v>withhold named lot, node, path or authority</x:v>
      </x:c>
      <x:c r="F17" s="27" t="str">
        <x:v>representative measured pass</x:v>
      </x:c>
      <x:c r="G17" s="27" t="str">
        <x:v>Access Test Directorate</x:v>
      </x:c>
      <x:c r="H17" s="27" t="str">
        <x:v>OPEN</x:v>
      </x:c>
      <x:c r="I17" s="29" t="str">
        <x:v>no current credit</x:v>
      </x:c>
    </x:row>
    <x:row r="18">
      <x:c r="B18" s="27" t="str">
        <x:v>E12</x:v>
      </x:c>
      <x:c r="C18" s="27" t="str">
        <x:v>alternate arsenals</x:v>
      </x:c>
      <x:c r="D18" s="27" t="str">
        <x:v>JOINT</x:v>
      </x:c>
      <x:c r="E18" s="27" t="str">
        <x:v>withhold named lot, node, path or authority</x:v>
      </x:c>
      <x:c r="F18" s="27" t="str">
        <x:v>representative measured pass</x:v>
      </x:c>
      <x:c r="G18" s="27" t="str">
        <x:v>Fourth Access Command</x:v>
      </x:c>
      <x:c r="H18" s="27" t="str">
        <x:v>OPEN</x:v>
      </x:c>
      <x:c r="I18" s="29" t="str">
        <x:v>no current credit</x:v>
      </x:c>
    </x:row>
    <x:row r="19">
      <x:c r="B19" s="27" t="str">
        <x:v>E13</x:v>
      </x:c>
      <x:c r="C19" s="27" t="str">
        <x:v>lift loading towers</x:v>
      </x:c>
      <x:c r="D19" s="27" t="str">
        <x:v>JOINT</x:v>
      </x:c>
      <x:c r="E19" s="27" t="str">
        <x:v>withhold named lot, node, path or authority</x:v>
      </x:c>
      <x:c r="F19" s="27" t="str">
        <x:v>representative measured pass</x:v>
      </x:c>
      <x:c r="G19" s="27" t="str">
        <x:v>Access Test Directorate</x:v>
      </x:c>
      <x:c r="H19" s="27" t="str">
        <x:v>OPEN</x:v>
      </x:c>
      <x:c r="I19" s="29" t="str">
        <x:v>no current credit</x:v>
      </x:c>
    </x:row>
    <x:row r="20">
      <x:c r="B20" s="27" t="str">
        <x:v>E14</x:v>
      </x:c>
      <x:c r="C20" s="27" t="str">
        <x:v>terrain platform loaders</x:v>
      </x:c>
      <x:c r="D20" s="27" t="str">
        <x:v>JOINT</x:v>
      </x:c>
      <x:c r="E20" s="27" t="str">
        <x:v>withhold named lot, node, path or authority</x:v>
      </x:c>
      <x:c r="F20" s="27" t="str">
        <x:v>representative measured pass</x:v>
      </x:c>
      <x:c r="G20" s="27" t="str">
        <x:v>Fourth Access Command</x:v>
      </x:c>
      <x:c r="H20" s="27" t="str">
        <x:v>OPEN</x:v>
      </x:c>
      <x:c r="I20" s="29" t="str">
        <x:v>no current credit</x:v>
      </x:c>
    </x:row>
    <x:row r="21">
      <x:c r="B21" s="27" t="str">
        <x:v>E15</x:v>
      </x:c>
      <x:c r="C21" s="27" t="str">
        <x:v>corridor spool cells</x:v>
      </x:c>
      <x:c r="D21" s="27" t="str">
        <x:v>JOINT</x:v>
      </x:c>
      <x:c r="E21" s="27" t="str">
        <x:v>withhold named lot, node, path or authority</x:v>
      </x:c>
      <x:c r="F21" s="27" t="str">
        <x:v>representative measured pass</x:v>
      </x:c>
      <x:c r="G21" s="27" t="str">
        <x:v>Access Test Directorate</x:v>
      </x:c>
      <x:c r="H21" s="27" t="str">
        <x:v>OPEN</x:v>
      </x:c>
      <x:c r="I21" s="29" t="str">
        <x:v>no current credit</x:v>
      </x:c>
    </x:row>
    <x:row r="22">
      <x:c r="B22" s="27" t="str">
        <x:v>E16</x:v>
      </x:c>
      <x:c r="C22" s="27" t="str">
        <x:v>VHL distributed loading</x:v>
      </x:c>
      <x:c r="D22" s="27" t="str">
        <x:v>JOINT</x:v>
      </x:c>
      <x:c r="E22" s="27" t="str">
        <x:v>withhold named lot, node, path or authority</x:v>
      </x:c>
      <x:c r="F22" s="27" t="str">
        <x:v>representative measured pass</x:v>
      </x:c>
      <x:c r="G22" s="27" t="str">
        <x:v>Fourth Access Command</x:v>
      </x:c>
      <x:c r="H22" s="27" t="str">
        <x:v>OPEN</x:v>
      </x:c>
      <x:c r="I22" s="29" t="str">
        <x:v>no current credit</x:v>
      </x:c>
    </x:row>
    <x:row r="23">
      <x:c r="B23" s="27" t="str">
        <x:v>E17</x:v>
      </x:c>
      <x:c r="C23" s="27" t="str">
        <x:v>energy lineage separation</x:v>
      </x:c>
      <x:c r="D23" s="27" t="str">
        <x:v>JOINT</x:v>
      </x:c>
      <x:c r="E23" s="27" t="str">
        <x:v>withhold named lot, node, path or authority</x:v>
      </x:c>
      <x:c r="F23" s="27" t="str">
        <x:v>representative measured pass</x:v>
      </x:c>
      <x:c r="G23" s="27" t="str">
        <x:v>Access Test Directorate</x:v>
      </x:c>
      <x:c r="H23" s="27" t="str">
        <x:v>OPEN</x:v>
      </x:c>
      <x:c r="I23" s="29" t="str">
        <x:v>no current credit</x:v>
      </x:c>
    </x:row>
    <x:row r="24">
      <x:c r="B24" s="27" t="str">
        <x:v>E18</x:v>
      </x:c>
      <x:c r="C24" s="27" t="str">
        <x:v>control partition separation</x:v>
      </x:c>
      <x:c r="D24" s="27" t="str">
        <x:v>JOINT</x:v>
      </x:c>
      <x:c r="E24" s="27" t="str">
        <x:v>withhold named lot, node, path or authority</x:v>
      </x:c>
      <x:c r="F24" s="27" t="str">
        <x:v>representative measured pass</x:v>
      </x:c>
      <x:c r="G24" s="27" t="str">
        <x:v>Fourth Access Command</x:v>
      </x:c>
      <x:c r="H24" s="27" t="str">
        <x:v>OPEN</x:v>
      </x:c>
      <x:c r="I24" s="29" t="str">
        <x:v>no current credit</x:v>
      </x:c>
    </x:row>
    <x:row r="25">
      <x:c r="B25" s="27" t="str">
        <x:v>E19</x:v>
      </x:c>
      <x:c r="C25" s="27" t="str">
        <x:v>technical release separation</x:v>
      </x:c>
      <x:c r="D25" s="27" t="str">
        <x:v>JOINT</x:v>
      </x:c>
      <x:c r="E25" s="27" t="str">
        <x:v>withhold named lot, node, path or authority</x:v>
      </x:c>
      <x:c r="F25" s="27" t="str">
        <x:v>representative measured pass</x:v>
      </x:c>
      <x:c r="G25" s="27" t="str">
        <x:v>Access Test Directorate</x:v>
      </x:c>
      <x:c r="H25" s="27" t="str">
        <x:v>OPEN</x:v>
      </x:c>
      <x:c r="I25" s="29" t="str">
        <x:v>no current credit</x:v>
      </x:c>
    </x:row>
    <x:row r="26">
      <x:c r="B26" s="27" t="str">
        <x:v>E20</x:v>
      </x:c>
      <x:c r="C26" s="27" t="str">
        <x:v>civil authority continuity</x:v>
      </x:c>
      <x:c r="D26" s="27" t="str">
        <x:v>JOINT</x:v>
      </x:c>
      <x:c r="E26" s="27" t="str">
        <x:v>withhold named lot, node, path or authority</x:v>
      </x:c>
      <x:c r="F26" s="27" t="str">
        <x:v>representative measured pass</x:v>
      </x:c>
      <x:c r="G26" s="27" t="str">
        <x:v>Fourth Access Command</x:v>
      </x:c>
      <x:c r="H26" s="27" t="str">
        <x:v>OPEN</x:v>
      </x:c>
      <x:c r="I26" s="29" t="str">
        <x:v>no current credit</x:v>
      </x:c>
    </x:row>
    <x:row r="27">
      <x:c r="B27" s="27" t="str">
        <x:v>E21</x:v>
      </x:c>
      <x:c r="C27" s="27" t="str">
        <x:v>receiver echelon 1</x:v>
      </x:c>
      <x:c r="D27" s="27" t="str">
        <x:v>JOINT</x:v>
      </x:c>
      <x:c r="E27" s="27" t="str">
        <x:v>withhold named lot, node, path or authority</x:v>
      </x:c>
      <x:c r="F27" s="27" t="str">
        <x:v>representative measured pass</x:v>
      </x:c>
      <x:c r="G27" s="27" t="str">
        <x:v>Access Test Directorate</x:v>
      </x:c>
      <x:c r="H27" s="27" t="str">
        <x:v>OPEN</x:v>
      </x:c>
      <x:c r="I27" s="29" t="str">
        <x:v>no current credit</x:v>
      </x:c>
    </x:row>
    <x:row r="28">
      <x:c r="B28" s="27" t="str">
        <x:v>E22</x:v>
      </x:c>
      <x:c r="C28" s="27" t="str">
        <x:v>receiver echelon 2</x:v>
      </x:c>
      <x:c r="D28" s="27" t="str">
        <x:v>JOINT</x:v>
      </x:c>
      <x:c r="E28" s="27" t="str">
        <x:v>withhold named lot, node, path or authority</x:v>
      </x:c>
      <x:c r="F28" s="27" t="str">
        <x:v>representative measured pass</x:v>
      </x:c>
      <x:c r="G28" s="27" t="str">
        <x:v>Fourth Access Command</x:v>
      </x:c>
      <x:c r="H28" s="27" t="str">
        <x:v>OPEN</x:v>
      </x:c>
      <x:c r="I28" s="29" t="str">
        <x:v>no current credit</x:v>
      </x:c>
    </x:row>
    <x:row r="29">
      <x:c r="B29" s="27" t="str">
        <x:v>E23</x:v>
      </x:c>
      <x:c r="C29" s="27" t="str">
        <x:v>air receiver zone</x:v>
      </x:c>
      <x:c r="D29" s="27" t="str">
        <x:v>JOINT</x:v>
      </x:c>
      <x:c r="E29" s="27" t="str">
        <x:v>withhold named lot, node, path or authority</x:v>
      </x:c>
      <x:c r="F29" s="27" t="str">
        <x:v>representative measured pass</x:v>
      </x:c>
      <x:c r="G29" s="27" t="str">
        <x:v>Access Test Directorate</x:v>
      </x:c>
      <x:c r="H29" s="27" t="str">
        <x:v>OPEN</x:v>
      </x:c>
      <x:c r="I29" s="29" t="str">
        <x:v>no current credit</x:v>
      </x:c>
    </x:row>
    <x:row r="30">
      <x:c r="B30" s="27" t="str">
        <x:v>E24</x:v>
      </x:c>
      <x:c r="C30" s="27" t="str">
        <x:v>land receiver zone</x:v>
      </x:c>
      <x:c r="D30" s="27" t="str">
        <x:v>JOINT</x:v>
      </x:c>
      <x:c r="E30" s="27" t="str">
        <x:v>withhold named lot, node, path or authority</x:v>
      </x:c>
      <x:c r="F30" s="27" t="str">
        <x:v>representative measured pass</x:v>
      </x:c>
      <x:c r="G30" s="27" t="str">
        <x:v>Fourth Access Command</x:v>
      </x:c>
      <x:c r="H30" s="27" t="str">
        <x:v>OPEN</x:v>
      </x:c>
      <x:c r="I30" s="29" t="str">
        <x:v>no current credit</x:v>
      </x:c>
    </x:row>
    <x:row r="31">
      <x:c r="B31" s="27" t="str">
        <x:v>E25</x:v>
      </x:c>
      <x:c r="C31" s="27" t="str">
        <x:v>corridor terminus</x:v>
      </x:c>
      <x:c r="D31" s="27" t="str">
        <x:v>JOINT</x:v>
      </x:c>
      <x:c r="E31" s="27" t="str">
        <x:v>withhold named lot, node, path or authority</x:v>
      </x:c>
      <x:c r="F31" s="27" t="str">
        <x:v>representative measured pass</x:v>
      </x:c>
      <x:c r="G31" s="27" t="str">
        <x:v>Access Test Directorate</x:v>
      </x:c>
      <x:c r="H31" s="27" t="str">
        <x:v>OPEN</x:v>
      </x:c>
      <x:c r="I31" s="29" t="str">
        <x:v>no current credit</x:v>
      </x:c>
    </x:row>
    <x:row r="32">
      <x:c r="B32" s="27" t="str">
        <x:v>E26</x:v>
      </x:c>
      <x:c r="C32" s="27" t="str">
        <x:v>hour-42 M1 entry</x:v>
      </x:c>
      <x:c r="D32" s="27" t="str">
        <x:v>JOINT</x:v>
      </x:c>
      <x:c r="E32" s="27" t="str">
        <x:v>withhold named lot, node, path or authority</x:v>
      </x:c>
      <x:c r="F32" s="27" t="str">
        <x:v>representative measured pass</x:v>
      </x:c>
      <x:c r="G32" s="27" t="str">
        <x:v>Fourth Access Command</x:v>
      </x:c>
      <x:c r="H32" s="27" t="str">
        <x:v>OPEN</x:v>
      </x:c>
      <x:c r="I32" s="29" t="str">
        <x:v>no current credit</x:v>
      </x:c>
    </x:row>
    <x:row r="33">
      <x:c r="B33" s="27" t="str">
        <x:v>E27</x:v>
      </x:c>
      <x:c r="C33" s="27" t="str">
        <x:v>hour-45 M3 entry</x:v>
      </x:c>
      <x:c r="D33" s="27" t="str">
        <x:v>JOINT</x:v>
      </x:c>
      <x:c r="E33" s="27" t="str">
        <x:v>withhold named lot, node, path or authority</x:v>
      </x:c>
      <x:c r="F33" s="27" t="str">
        <x:v>representative measured pass</x:v>
      </x:c>
      <x:c r="G33" s="27" t="str">
        <x:v>Access Test Directorate</x:v>
      </x:c>
      <x:c r="H33" s="27" t="str">
        <x:v>OPEN</x:v>
      </x:c>
      <x:c r="I33" s="29" t="str">
        <x:v>no current credit</x:v>
      </x:c>
    </x:row>
    <x:row r="34">
      <x:c r="B34" s="27" t="str">
        <x:v>E28</x:v>
      </x:c>
      <x:c r="C34" s="27" t="str">
        <x:v>hour-46 M5 entry</x:v>
      </x:c>
      <x:c r="D34" s="27" t="str">
        <x:v>JOINT</x:v>
      </x:c>
      <x:c r="E34" s="27" t="str">
        <x:v>withhold named lot, node, path or authority</x:v>
      </x:c>
      <x:c r="F34" s="27" t="str">
        <x:v>representative measured pass</x:v>
      </x:c>
      <x:c r="G34" s="27" t="str">
        <x:v>Fourth Access Command</x:v>
      </x:c>
      <x:c r="H34" s="27" t="str">
        <x:v>OPEN</x:v>
      </x:c>
      <x:c r="I34" s="29" t="str">
        <x:v>no current credit</x:v>
      </x:c>
    </x:row>
    <x:row r="35">
      <x:c r="B35" s="27" t="str">
        <x:v>E29</x:v>
      </x:c>
      <x:c r="C35" s="27" t="str">
        <x:v>hour-47 VHL entry</x:v>
      </x:c>
      <x:c r="D35" s="27" t="str">
        <x:v>JOINT</x:v>
      </x:c>
      <x:c r="E35" s="27" t="str">
        <x:v>withhold named lot, node, path or authority</x:v>
      </x:c>
      <x:c r="F35" s="27" t="str">
        <x:v>representative measured pass</x:v>
      </x:c>
      <x:c r="G35" s="27" t="str">
        <x:v>Access Test Directorate</x:v>
      </x:c>
      <x:c r="H35" s="27" t="str">
        <x:v>OPEN</x:v>
      </x:c>
      <x:c r="I35" s="29" t="str">
        <x:v>no current credit</x:v>
      </x:c>
    </x:row>
    <x:row r="36">
      <x:c r="B36" s="27" t="str">
        <x:v>E30</x:v>
      </x:c>
      <x:c r="C36" s="27" t="str">
        <x:v>offline dispatch</x:v>
      </x:c>
      <x:c r="D36" s="27" t="str">
        <x:v>JOINT</x:v>
      </x:c>
      <x:c r="E36" s="27" t="str">
        <x:v>withhold named lot, node, path or authority</x:v>
      </x:c>
      <x:c r="F36" s="27" t="str">
        <x:v>representative measured pass</x:v>
      </x:c>
      <x:c r="G36" s="27" t="str">
        <x:v>Fourth Access Command</x:v>
      </x:c>
      <x:c r="H36" s="27" t="str">
        <x:v>OPEN</x:v>
      </x:c>
      <x:c r="I36" s="29" t="str">
        <x:v>no current credit</x:v>
      </x:c>
    </x:row>
    <x:row r="37">
      <x:c r="B37" s="27" t="str">
        <x:v>E31</x:v>
      </x:c>
      <x:c r="C37" s="27" t="str">
        <x:v>interface implementation defect</x:v>
      </x:c>
      <x:c r="D37" s="27" t="str">
        <x:v>JOINT</x:v>
      </x:c>
      <x:c r="E37" s="27" t="str">
        <x:v>withhold named lot, node, path or authority</x:v>
      </x:c>
      <x:c r="F37" s="27" t="str">
        <x:v>representative measured pass</x:v>
      </x:c>
      <x:c r="G37" s="27" t="str">
        <x:v>Access Test Directorate</x:v>
      </x:c>
      <x:c r="H37" s="27" t="str">
        <x:v>OPEN</x:v>
      </x:c>
      <x:c r="I37" s="29" t="str">
        <x:v>no current credit</x:v>
      </x:c>
    </x:row>
    <x:row r="38">
      <x:c r="B38" s="27" t="str">
        <x:v>E32</x:v>
      </x:c>
      <x:c r="C38" s="27" t="str">
        <x:v>payload cross-loading</x:v>
      </x:c>
      <x:c r="D38" s="27" t="str">
        <x:v>JOINT</x:v>
      </x:c>
      <x:c r="E38" s="27" t="str">
        <x:v>withhold named lot, node, path or authority</x:v>
      </x:c>
      <x:c r="F38" s="27" t="str">
        <x:v>representative measured pass</x:v>
      </x:c>
      <x:c r="G38" s="27" t="str">
        <x:v>Fourth Access Command</x:v>
      </x:c>
      <x:c r="H38" s="27" t="str">
        <x:v>OPEN</x:v>
      </x:c>
      <x:c r="I38" s="29" t="str">
        <x:v>no current credit</x:v>
      </x:c>
    </x:row>
    <x:row r="39">
      <x:c r="B39" s="27" t="str">
        <x:v>E33</x:v>
      </x:c>
      <x:c r="C39" s="27" t="str">
        <x:v>one-vehicle loss</x:v>
      </x:c>
      <x:c r="D39" s="27" t="str">
        <x:v>JOINT</x:v>
      </x:c>
      <x:c r="E39" s="27" t="str">
        <x:v>withhold named lot, node, path or authority</x:v>
      </x:c>
      <x:c r="F39" s="27" t="str">
        <x:v>representative measured pass</x:v>
      </x:c>
      <x:c r="G39" s="27" t="str">
        <x:v>Access Test Directorate</x:v>
      </x:c>
      <x:c r="H39" s="27" t="str">
        <x:v>OPEN</x:v>
      </x:c>
      <x:c r="I39" s="29" t="str">
        <x:v>no current credit</x:v>
      </x:c>
    </x:row>
    <x:row r="40">
      <x:c r="B40" s="27" t="str">
        <x:v>E34</x:v>
      </x:c>
      <x:c r="C40" s="27" t="str">
        <x:v>one-mode loss</x:v>
      </x:c>
      <x:c r="D40" s="27" t="str">
        <x:v>JOINT</x:v>
      </x:c>
      <x:c r="E40" s="27" t="str">
        <x:v>withhold named lot, node, path or authority</x:v>
      </x:c>
      <x:c r="F40" s="27" t="str">
        <x:v>representative measured pass</x:v>
      </x:c>
      <x:c r="G40" s="27" t="str">
        <x:v>Fourth Access Command</x:v>
      </x:c>
      <x:c r="H40" s="27" t="str">
        <x:v>OPEN</x:v>
      </x:c>
      <x:c r="I40" s="29" t="str">
        <x:v>no current credit</x:v>
      </x:c>
    </x:row>
    <x:row r="41">
      <x:c r="B41" s="27" t="str">
        <x:v>E35</x:v>
      </x:c>
      <x:c r="C41" s="27" t="str">
        <x:v>second-region activation</x:v>
      </x:c>
      <x:c r="D41" s="27" t="str">
        <x:v>JOINT</x:v>
      </x:c>
      <x:c r="E41" s="27" t="str">
        <x:v>withhold named lot, node, path or authority</x:v>
      </x:c>
      <x:c r="F41" s="27" t="str">
        <x:v>representative measured pass</x:v>
      </x:c>
      <x:c r="G41" s="27" t="str">
        <x:v>Access Test Directorate</x:v>
      </x:c>
      <x:c r="H41" s="27" t="str">
        <x:v>OPEN</x:v>
      </x:c>
      <x:c r="I41" s="29" t="str">
        <x:v>no current credit</x:v>
      </x:c>
    </x:row>
    <x:row r="42">
      <x:c r="B42" s="27" t="str">
        <x:v>E36</x:v>
      </x:c>
      <x:c r="C42" s="27" t="str">
        <x:v>compound region loss</x:v>
      </x:c>
      <x:c r="D42" s="27" t="str">
        <x:v>JOINT</x:v>
      </x:c>
      <x:c r="E42" s="27" t="str">
        <x:v>withhold named lot, node, path or authority</x:v>
      </x:c>
      <x:c r="F42" s="27" t="str">
        <x:v>representative measured pass</x:v>
      </x:c>
      <x:c r="G42" s="27" t="str">
        <x:v>Fourth Access Command</x:v>
      </x:c>
      <x:c r="H42" s="27" t="str">
        <x:v>OPEN</x:v>
      </x:c>
      <x:c r="I42" s="29" t="str">
        <x:v>no current credit</x:v>
      </x:c>
    </x:row>
    <x:row r="43">
      <x:c r="B43" s="27" t="str">
        <x:v>E37</x:v>
      </x:c>
      <x:c r="C43" s="27" t="str">
        <x:v>abort and casualty</x:v>
      </x:c>
      <x:c r="D43" s="27" t="str">
        <x:v>JOINT</x:v>
      </x:c>
      <x:c r="E43" s="27" t="str">
        <x:v>withhold named lot, node, path or authority</x:v>
      </x:c>
      <x:c r="F43" s="27" t="str">
        <x:v>representative measured pass</x:v>
      </x:c>
      <x:c r="G43" s="27" t="str">
        <x:v>Access Test Directorate</x:v>
      </x:c>
      <x:c r="H43" s="27" t="str">
        <x:v>OPEN</x:v>
      </x:c>
      <x:c r="I43" s="29" t="str">
        <x:v>no current credit</x:v>
      </x:c>
    </x:row>
    <x:row r="44">
      <x:c r="B44" s="27" t="str">
        <x:v>E38</x:v>
      </x:c>
      <x:c r="C44" s="27" t="str">
        <x:v>168-hour reset</x:v>
      </x:c>
      <x:c r="D44" s="27" t="str">
        <x:v>JOINT</x:v>
      </x:c>
      <x:c r="E44" s="27" t="str">
        <x:v>withhold named lot, node, path or authority</x:v>
      </x:c>
      <x:c r="F44" s="27" t="str">
        <x:v>representative measured pass</x:v>
      </x:c>
      <x:c r="G44" s="27" t="str">
        <x:v>Fourth Access Command</x:v>
      </x:c>
      <x:c r="H44" s="27" t="str">
        <x:v>OPEN</x:v>
      </x:c>
      <x:c r="I44" s="29" t="str">
        <x:v>no current credit</x:v>
      </x:c>
    </x:row>
    <x:row r="45">
      <x:c r="B45" s="27" t="str">
        <x:v>E39</x:v>
      </x:c>
      <x:c r="C45" s="27" t="str">
        <x:v>independent reconstruction</x:v>
      </x:c>
      <x:c r="D45" s="27" t="str">
        <x:v>JOINT</x:v>
      </x:c>
      <x:c r="E45" s="27" t="str">
        <x:v>withhold named lot, node, path or authority</x:v>
      </x:c>
      <x:c r="F45" s="27" t="str">
        <x:v>representative measured pass</x:v>
      </x:c>
      <x:c r="G45" s="27" t="str">
        <x:v>Access Test Directorate</x:v>
      </x:c>
      <x:c r="H45" s="27" t="str">
        <x:v>OPEN</x:v>
      </x:c>
      <x:c r="I45" s="29" t="str">
        <x:v>no current credit</x:v>
      </x:c>
    </x:row>
    <x:row r="46">
      <x:c r="B46" s="31" t="str">
        <x:v>E40</x:v>
      </x:c>
      <x:c r="C46" s="31" t="str">
        <x:v>rendering authorization</x:v>
      </x:c>
      <x:c r="D46" s="31" t="str">
        <x:v>JOINT</x:v>
      </x:c>
      <x:c r="E46" s="31" t="str">
        <x:v>withhold named lot, node, path or authority</x:v>
      </x:c>
      <x:c r="F46" s="31" t="str">
        <x:v>representative measured pass</x:v>
      </x:c>
      <x:c r="G46" s="31" t="str">
        <x:v>Fourth Access Command</x:v>
      </x:c>
      <x:c r="H46" s="31" t="str">
        <x:v>OPEN</x:v>
      </x:c>
      <x:c r="I46" s="33" t="str">
        <x:v>no current credit</x:v>
      </x:c>
    </x:row>
    <x:row r="47">
      <x:c r="B47" s="2"/>
      <x:c r="C47" s="2"/>
      <x:c r="D47" s="2"/>
      <x:c r="E47" s="2"/>
      <x:c r="F47" s="2"/>
      <x:c r="G47" s="2"/>
      <x:c r="H47" s="2"/>
      <x:c r="I47" s="2"/>
    </x:row>
    <x:row r="48">
      <x:c r="B48" s="2"/>
      <x:c r="C48" s="2"/>
      <x:c r="D48" s="2"/>
      <x:c r="E48" s="2"/>
      <x:c r="F48" s="2"/>
      <x:c r="G48" s="2"/>
      <x:c r="H48" s="2"/>
      <x:c r="I48" s="2"/>
    </x:row>
    <x:row r="49">
      <x:c r="B49" s="2"/>
      <x:c r="C49" s="2"/>
      <x:c r="D49" s="2"/>
      <x:c r="E49" s="2"/>
      <x:c r="F49" s="2"/>
      <x:c r="G49" s="2"/>
      <x:c r="H49" s="2"/>
      <x:c r="I49" s="2"/>
    </x:row>
    <x:row r="50">
      <x:c r="B50" s="2"/>
      <x:c r="C50" s="2"/>
      <x:c r="D50" s="2"/>
      <x:c r="E50" s="2"/>
      <x:c r="F50" s="2"/>
      <x:c r="G50" s="2"/>
      <x:c r="H50" s="2"/>
      <x:c r="I50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22" hidden="0" customWidth="1"/>
    <x:col min="4" max="4" width="20" hidden="0" customWidth="1"/>
    <x:col min="5" max="5" width="20" hidden="0" customWidth="1"/>
    <x:col min="6" max="6" width="15" hidden="0" customWidth="1"/>
    <x:col min="7" max="7" width="39" hidden="0" customWidth="1"/>
  </x:cols>
  <x:sheetData>
    <x:row r="2">
      <x:c r="B2" s="3" t="str">
        <x:v>Model checks</x:v>
      </x:c>
      <x:c r="C2" s="2"/>
      <x:c r="D2" s="2"/>
      <x:c r="E2" s="2"/>
      <x:c r="F2" s="2"/>
      <x:c r="G2" s="2"/>
    </x:row>
    <x:row r="3">
      <x:c r="B3" s="4" t="str">
        <x:v>Terminal controls do not feed research results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5" t="str">
        <x:v>Check</x:v>
      </x:c>
      <x:c r="C6" s="26" t="str">
        <x:v>Observed</x:v>
      </x:c>
      <x:c r="D6" s="26" t="str">
        <x:v>Expected</x:v>
      </x:c>
      <x:c r="E6" s="26" t="str">
        <x:v>Difference</x:v>
      </x:c>
      <x:c r="F6" s="26" t="str">
        <x:v>Status</x:v>
      </x:c>
      <x:c r="G6" s="26" t="str">
        <x:v>Meaning</x:v>
      </x:c>
    </x:row>
    <x:row r="7">
      <x:c r="B7" s="27" t="str">
        <x:v>C01 packages</x:v>
      </x:c>
      <x:c r="C7" s="27" t="n">
        <x:f>COUNTA('Payload Register'!B7:B22)</x:f>
        <x:v>16</x:v>
      </x:c>
      <x:c r="D7" s="27" t="n">
        <x:v>16</x:v>
      </x:c>
      <x:c r="E7" s="60" t="n">
        <x:f>C7-D7</x:f>
        <x:v>0</x:v>
      </x:c>
      <x:c r="F7" s="27" t="str">
        <x:f>IF(ABS(E7)&lt;0.000001,"PASS","FAIL")</x:f>
        <x:v>PASS</x:v>
      </x:c>
      <x:c r="G7" s="29" t="str">
        <x:v>sixteen functions</x:v>
      </x:c>
    </x:row>
    <x:row r="8">
      <x:c r="B8" s="27" t="str">
        <x:v>C02 positions</x:v>
      </x:c>
      <x:c r="C8" s="27" t="n">
        <x:f>SUM('Payload Register'!D7:D22)</x:f>
        <x:v>32</x:v>
      </x:c>
      <x:c r="D8" s="27" t="n">
        <x:v>32</x:v>
      </x:c>
      <x:c r="E8" s="60" t="n">
        <x:f>C8-D8</x:f>
        <x:v>0</x:v>
      </x:c>
      <x:c r="F8" s="27" t="str">
        <x:f>IF(ABS(E8)&lt;0.000001,"PASS","FAIL")</x:f>
        <x:v>PASS</x:v>
      </x:c>
      <x:c r="G8" s="29" t="str">
        <x:v>complete cell</x:v>
      </x:c>
    </x:row>
    <x:row r="9">
      <x:c r="B9" s="27" t="str">
        <x:v>C03 dry mass</x:v>
      </x:c>
      <x:c r="C9" s="27" t="n">
        <x:f>SUM('Payload Register'!E7:E22)</x:f>
        <x:v>580</x:v>
      </x:c>
      <x:c r="D9" s="27" t="n">
        <x:v>580</x:v>
      </x:c>
      <x:c r="E9" s="60" t="n">
        <x:f>C9-D9</x:f>
        <x:v>0</x:v>
      </x:c>
      <x:c r="F9" s="27" t="str">
        <x:f>IF(ABS(E9)&lt;0.000001,"PASS","FAIL")</x:f>
        <x:v>PASS</x:v>
      </x:c>
      <x:c r="G9" s="29" t="str">
        <x:v>configured dry burden</x:v>
      </x:c>
    </x:row>
    <x:row r="10">
      <x:c r="B10" s="27" t="str">
        <x:v>C04 bridge mass</x:v>
      </x:c>
      <x:c r="C10" s="27" t="n">
        <x:f>SUM('Payload Register'!F7:F22)</x:f>
        <x:v>400</x:v>
      </x:c>
      <x:c r="D10" s="27" t="n">
        <x:v>400</x:v>
      </x:c>
      <x:c r="E10" s="60" t="n">
        <x:f>C10-D10</x:f>
        <x:v>0</x:v>
      </x:c>
      <x:c r="F10" s="27" t="str">
        <x:f>IF(ABS(E10)&lt;0.000001,"PASS","FAIL")</x:f>
        <x:v>PASS</x:v>
      </x:c>
      <x:c r="G10" s="29" t="str">
        <x:v>complete bridge payload</x:v>
      </x:c>
    </x:row>
    <x:row r="11">
      <x:c r="B11" s="27" t="str">
        <x:v>C05 launch mass</x:v>
      </x:c>
      <x:c r="C11" s="27" t="n">
        <x:f>'Payload Register'!C30</x:f>
        <x:v>635</x:v>
      </x:c>
      <x:c r="D11" s="27" t="n">
        <x:v>635</x:v>
      </x:c>
      <x:c r="E11" s="60" t="n">
        <x:f>C11-D11</x:f>
        <x:v>0</x:v>
      </x:c>
      <x:c r="F11" s="27" t="str">
        <x:f>IF(ABS(E11)&lt;0.000001,"PASS","FAIL")</x:f>
        <x:v>PASS</x:v>
      </x:c>
      <x:c r="G11" s="29" t="str">
        <x:v>dry plus wet</x:v>
      </x:c>
    </x:row>
    <x:row r="12">
      <x:c r="B12" s="27" t="str">
        <x:v>C06 node records</x:v>
      </x:c>
      <x:c r="C12" s="27" t="n">
        <x:f>COUNTA('Custody Chains'!B7:B14)</x:f>
        <x:v>8</x:v>
      </x:c>
      <x:c r="D12" s="27" t="n">
        <x:v>8</x:v>
      </x:c>
      <x:c r="E12" s="60" t="n">
        <x:f>C12-D12</x:f>
        <x:v>0</x:v>
      </x:c>
      <x:c r="F12" s="27" t="str">
        <x:f>IF(ABS(E12)&lt;0.000001,"PASS","FAIL")</x:f>
        <x:v>PASS</x:v>
      </x:c>
      <x:c r="G12" s="29" t="str">
        <x:v>named custody nodes</x:v>
      </x:c>
    </x:row>
    <x:row r="13">
      <x:c r="B13" s="27" t="str">
        <x:v>C07 C1 arsenals</x:v>
      </x:c>
      <x:c r="C13" s="27" t="n">
        <x:f>'Custody Chains'!D20</x:f>
        <x:v>3</x:v>
      </x:c>
      <x:c r="D13" s="27" t="n">
        <x:v>3</x:v>
      </x:c>
      <x:c r="E13" s="60" t="n">
        <x:f>C13-D13</x:f>
        <x:v>0</x:v>
      </x:c>
      <x:c r="F13" s="27" t="str">
        <x:f>IF(ABS(E13)&lt;0.000001,"PASS","FAIL")</x:f>
        <x:v>PASS</x:v>
      </x:c>
      <x:c r="G13" s="29" t="str">
        <x:v>tri-partition</x:v>
      </x:c>
    </x:row>
    <x:row r="14">
      <x:c r="B14" s="27" t="str">
        <x:v>C08 C2 arsenals</x:v>
      </x:c>
      <x:c r="C14" s="27" t="n">
        <x:f>'Custody Chains'!D21</x:f>
        <x:v>6</x:v>
      </x:c>
      <x:c r="D14" s="27" t="n">
        <x:v>6</x:v>
      </x:c>
      <x:c r="E14" s="60" t="n">
        <x:f>C14-D14</x:f>
        <x:v>0</x:v>
      </x:c>
      <x:c r="F14" s="27" t="str">
        <x:f>IF(ABS(E14)&lt;0.000001,"PASS","FAIL")</x:f>
        <x:v>PASS</x:v>
      </x:c>
      <x:c r="G14" s="29" t="str">
        <x:v>dual federation</x:v>
      </x:c>
    </x:row>
    <x:row r="15">
      <x:c r="B15" s="27" t="str">
        <x:v>C09 M1 service entry</x:v>
      </x:c>
      <x:c r="C15" s="27" t="n">
        <x:f>'Dispatch Schedule'!C35</x:f>
        <x:v>42</x:v>
      </x:c>
      <x:c r="D15" s="27" t="n">
        <x:v>42</x:v>
      </x:c>
      <x:c r="E15" s="60" t="n">
        <x:f>C15-D15</x:f>
        <x:v>0</x:v>
      </x:c>
      <x:c r="F15" s="27" t="str">
        <x:f>IF(ABS(E15)&lt;0.000001,"PASS","FAIL")</x:f>
        <x:v>PASS</x:v>
      </x:c>
      <x:c r="G15" s="29" t="str">
        <x:v>hour-48 margin</x:v>
      </x:c>
    </x:row>
    <x:row r="16">
      <x:c r="B16" s="27" t="str">
        <x:v>C10 M3 service entry</x:v>
      </x:c>
      <x:c r="C16" s="27" t="n">
        <x:f>'Dispatch Schedule'!C36</x:f>
        <x:v>45</x:v>
      </x:c>
      <x:c r="D16" s="27" t="n">
        <x:v>45</x:v>
      </x:c>
      <x:c r="E16" s="60" t="n">
        <x:f>C16-D16</x:f>
        <x:v>0</x:v>
      </x:c>
      <x:c r="F16" s="27" t="str">
        <x:f>IF(ABS(E16)&lt;0.000001,"PASS","FAIL")</x:f>
        <x:v>PASS</x:v>
      </x:c>
      <x:c r="G16" s="29" t="str">
        <x:v>hour-48 margin</x:v>
      </x:c>
    </x:row>
    <x:row r="17">
      <x:c r="B17" s="27" t="str">
        <x:v>C11 M5 service entry</x:v>
      </x:c>
      <x:c r="C17" s="27" t="n">
        <x:f>'Dispatch Schedule'!C37</x:f>
        <x:v>46</x:v>
      </x:c>
      <x:c r="D17" s="27" t="n">
        <x:v>46</x:v>
      </x:c>
      <x:c r="E17" s="60" t="n">
        <x:f>C17-D17</x:f>
        <x:v>0</x:v>
      </x:c>
      <x:c r="F17" s="27" t="str">
        <x:f>IF(ABS(E17)&lt;0.000001,"PASS","FAIL")</x:f>
        <x:v>PASS</x:v>
      </x:c>
      <x:c r="G17" s="29" t="str">
        <x:v>hour-48 margin</x:v>
      </x:c>
    </x:row>
    <x:row r="18">
      <x:c r="B18" s="27" t="str">
        <x:v>C12 VHL service entry</x:v>
      </x:c>
      <x:c r="C18" s="27" t="n">
        <x:f>'Dispatch Schedule'!C38</x:f>
        <x:v>47</x:v>
      </x:c>
      <x:c r="D18" s="27" t="n">
        <x:v>47</x:v>
      </x:c>
      <x:c r="E18" s="60" t="n">
        <x:f>C18-D18</x:f>
        <x:v>0</x:v>
      </x:c>
      <x:c r="F18" s="27" t="str">
        <x:f>IF(ABS(E18)&lt;0.000001,"PASS","FAIL")</x:f>
        <x:v>PASS</x:v>
      </x:c>
      <x:c r="G18" s="29" t="str">
        <x:v>hour-48 margin</x:v>
      </x:c>
    </x:row>
    <x:row r="19">
      <x:c r="B19" s="27" t="str">
        <x:v>C13 C0 worlds</x:v>
      </x:c>
      <x:c r="C19" s="27" t="n">
        <x:f>'Loss Worlds'!C27</x:f>
        <x:v>8</x:v>
      </x:c>
      <x:c r="D19" s="27" t="n">
        <x:v>8</x:v>
      </x:c>
      <x:c r="E19" s="60" t="n">
        <x:f>C19-D19</x:f>
        <x:v>0</x:v>
      </x:c>
      <x:c r="F19" s="27" t="str">
        <x:f>IF(ABS(E19)&lt;0.000001,"PASS","FAIL")</x:f>
        <x:v>PASS</x:v>
      </x:c>
      <x:c r="G19" s="29" t="str">
        <x:v>common-hub comparator</x:v>
      </x:c>
    </x:row>
    <x:row r="20">
      <x:c r="B20" s="27" t="str">
        <x:v>C14 C1 worlds</x:v>
      </x:c>
      <x:c r="C20" s="27" t="n">
        <x:f>'Loss Worlds'!C28</x:f>
        <x:v>13</x:v>
      </x:c>
      <x:c r="D20" s="27" t="n">
        <x:v>13</x:v>
      </x:c>
      <x:c r="E20" s="60" t="n">
        <x:f>C20-D20</x:f>
        <x:v>0</x:v>
      </x:c>
      <x:c r="F20" s="27" t="str">
        <x:f>IF(ABS(E20)&lt;0.000001,"PASS","FAIL")</x:f>
        <x:v>PASS</x:v>
      </x:c>
      <x:c r="G20" s="29" t="str">
        <x:v>one-region cuts</x:v>
      </x:c>
    </x:row>
    <x:row r="21">
      <x:c r="B21" s="27" t="str">
        <x:v>C15 C2 worlds</x:v>
      </x:c>
      <x:c r="C21" s="27" t="n">
        <x:f>'Loss Worlds'!C29</x:f>
        <x:v>14</x:v>
      </x:c>
      <x:c r="D21" s="27" t="n">
        <x:v>14</x:v>
      </x:c>
      <x:c r="E21" s="60" t="n">
        <x:f>C21-D21</x:f>
        <x:v>0</x:v>
      </x:c>
      <x:c r="F21" s="27" t="str">
        <x:f>IF(ABS(E21)&lt;0.000001,"PASS","FAIL")</x:f>
        <x:v>PASS</x:v>
      </x:c>
      <x:c r="G21" s="29" t="str">
        <x:v>nominal second region</x:v>
      </x:c>
    </x:row>
    <x:row r="22">
      <x:c r="B22" s="27" t="str">
        <x:v>C16 evidence stop C2</x:v>
      </x:c>
      <x:c r="C22" s="27" t="n">
        <x:f>COUNTIFS('Loss Worlds'!B7:B22,"L16",'Loss Worlds'!K7:K22,"FAIL")</x:f>
        <x:v>1</x:v>
      </x:c>
      <x:c r="D22" s="27" t="n">
        <x:v>1</x:v>
      </x:c>
      <x:c r="E22" s="60" t="n">
        <x:f>C22-D22</x:f>
        <x:v>0</x:v>
      </x:c>
      <x:c r="F22" s="27" t="str">
        <x:f>IF(ABS(E22)&lt;0.000001,"PASS","FAIL")</x:f>
        <x:v>PASS</x:v>
      </x:c>
      <x:c r="G22" s="29" t="str">
        <x:v>universal stop</x:v>
      </x:c>
    </x:row>
    <x:row r="23">
      <x:c r="B23" s="27" t="str">
        <x:v>C17 C1 custody deployed</x:v>
      </x:c>
      <x:c r="C23" s="27" t="n">
        <x:f>Workforce!D18</x:f>
        <x:v>102</x:v>
      </x:c>
      <x:c r="D23" s="27" t="n">
        <x:v>102</x:v>
      </x:c>
      <x:c r="E23" s="60" t="n">
        <x:f>C23-D23</x:f>
        <x:v>0</x:v>
      </x:c>
      <x:c r="F23" s="27" t="str">
        <x:f>IF(ABS(E23)&lt;0.000001,"PASS","FAIL")</x:f>
        <x:v>PASS</x:v>
      </x:c>
      <x:c r="G23" s="29" t="str">
        <x:v>standing layer</x:v>
      </x:c>
    </x:row>
    <x:row r="24">
      <x:c r="B24" s="27" t="str">
        <x:v>C18 C2 custody deployed</x:v>
      </x:c>
      <x:c r="C24" s="27" t="n">
        <x:f>Workforce!D19</x:f>
        <x:v>204</x:v>
      </x:c>
      <x:c r="D24" s="27" t="n">
        <x:v>204</x:v>
      </x:c>
      <x:c r="E24" s="60" t="n">
        <x:f>C24-D24</x:f>
        <x:v>0</x:v>
      </x:c>
      <x:c r="F24" s="27" t="str">
        <x:f>IF(ABS(E24)&lt;0.000001,"PASS","FAIL")</x:f>
        <x:v>PASS</x:v>
      </x:c>
      <x:c r="G24" s="29" t="str">
        <x:v>dual layer</x:v>
      </x:c>
    </x:row>
    <x:row r="25">
      <x:c r="B25" s="27" t="str">
        <x:v>C19 F1-C1 deployed</x:v>
      </x:c>
      <x:c r="C25" s="27" t="n">
        <x:f>Workforce!E24</x:f>
        <x:v>590</x:v>
      </x:c>
      <x:c r="D25" s="27" t="n">
        <x:v>590</x:v>
      </x:c>
      <x:c r="E25" s="60" t="n">
        <x:f>C25-D25</x:f>
        <x:v>0</x:v>
      </x:c>
      <x:c r="F25" s="27" t="str">
        <x:f>IF(ABS(E25)&lt;0.000001,"PASS","FAIL")</x:f>
        <x:v>PASS</x:v>
      </x:c>
      <x:c r="G25" s="29" t="str">
        <x:v>formation plus custody</x:v>
      </x:c>
    </x:row>
    <x:row r="26">
      <x:c r="B26" s="27" t="str">
        <x:v>C20 F1-C1 affiliation</x:v>
      </x:c>
      <x:c r="C26" s="27" t="n">
        <x:f>ROUND(Workforce!F24,0)</x:f>
        <x:v>1312</x:v>
      </x:c>
      <x:c r="D26" s="27" t="n">
        <x:v>1312</x:v>
      </x:c>
      <x:c r="E26" s="60" t="n">
        <x:f>C26-D26</x:f>
        <x:v>0</x:v>
      </x:c>
      <x:c r="F26" s="27" t="str">
        <x:f>IF(ABS(E26)&lt;0.000001,"PASS","FAIL")</x:f>
        <x:v>PASS</x:v>
      </x:c>
      <x:c r="G26" s="29" t="str">
        <x:v>full system</x:v>
      </x:c>
    </x:row>
    <x:row r="27">
      <x:c r="B27" s="27" t="str">
        <x:v>C21 C0 custody program</x:v>
      </x:c>
      <x:c r="C27" s="27" t="n">
        <x:f>'Custody Cost'!M7</x:f>
        <x:v>83.4915</x:v>
      </x:c>
      <x:c r="D27" s="27" t="n">
        <x:v>83.4915</x:v>
      </x:c>
      <x:c r="E27" s="60" t="n">
        <x:f>C27-D27</x:f>
        <x:v>0</x:v>
      </x:c>
      <x:c r="F27" s="27" t="str">
        <x:f>IF(ABS(E27)&lt;0.000001,"PASS","FAIL")</x:f>
        <x:v>PASS</x:v>
      </x:c>
      <x:c r="G27" s="29" t="str">
        <x:v>declared lifecycle</x:v>
      </x:c>
    </x:row>
    <x:row r="28">
      <x:c r="B28" s="27" t="str">
        <x:v>C22 C1 custody program</x:v>
      </x:c>
      <x:c r="C28" s="27" t="n">
        <x:f>'Custody Cost'!M8</x:f>
        <x:v>211.7296</x:v>
      </x:c>
      <x:c r="D28" s="27" t="n">
        <x:v>211.7296</x:v>
      </x:c>
      <x:c r="E28" s="60" t="n">
        <x:f>C28-D28</x:f>
        <x:v>0</x:v>
      </x:c>
      <x:c r="F28" s="27" t="str">
        <x:f>IF(ABS(E28)&lt;0.000001,"PASS","FAIL")</x:f>
        <x:v>PASS</x:v>
      </x:c>
      <x:c r="G28" s="29" t="str">
        <x:v>declared lifecycle</x:v>
      </x:c>
    </x:row>
    <x:row r="29">
      <x:c r="B29" s="27" t="str">
        <x:v>C23 C2 custody program</x:v>
      </x:c>
      <x:c r="C29" s="27" t="n">
        <x:f>'Custody Cost'!M9</x:f>
        <x:v>363.526</x:v>
      </x:c>
      <x:c r="D29" s="27" t="n">
        <x:v>363.526</x:v>
      </x:c>
      <x:c r="E29" s="60" t="n">
        <x:f>C29-D29</x:f>
        <x:v>0</x:v>
      </x:c>
      <x:c r="F29" s="27" t="str">
        <x:f>IF(ABS(E29)&lt;0.000001,"PASS","FAIL")</x:f>
        <x:v>PASS</x:v>
      </x:c>
      <x:c r="G29" s="29" t="str">
        <x:v>declared lifecycle</x:v>
      </x:c>
    </x:row>
    <x:row r="30">
      <x:c r="B30" s="27" t="str">
        <x:v>C24 F1-C1 national</x:v>
      </x:c>
      <x:c r="C30" s="27" t="n">
        <x:f>'Program Cost'!M7</x:f>
        <x:v>7383.141549999999</x:v>
      </x:c>
      <x:c r="D30" s="27" t="n">
        <x:v>7383.14155</x:v>
      </x:c>
      <x:c r="E30" s="60" t="n">
        <x:f>C30-D30</x:f>
        <x:v>-9.094947017729282e-13</x:v>
      </x:c>
      <x:c r="F30" s="27" t="str">
        <x:f>IF(ABS(E30)&lt;0.000001,"PASS","FAIL")</x:f>
        <x:v>PASS</x:v>
      </x:c>
      <x:c r="G30" s="29" t="str">
        <x:v>reference one region</x:v>
      </x:c>
    </x:row>
    <x:row r="31">
      <x:c r="B31" s="27" t="str">
        <x:v>C25 F1-C2 national</x:v>
      </x:c>
      <x:c r="C31" s="27" t="n">
        <x:f>'Program Cost'!M8</x:f>
        <x:v>7534.93795</x:v>
      </x:c>
      <x:c r="D31" s="27" t="n">
        <x:v>7534.93795</x:v>
      </x:c>
      <x:c r="E31" s="60" t="n">
        <x:f>C31-D31</x:f>
        <x:v>0</x:v>
      </x:c>
      <x:c r="F31" s="27" t="str">
        <x:f>IF(ABS(E31)&lt;0.000001,"PASS","FAIL")</x:f>
        <x:v>PASS</x:v>
      </x:c>
      <x:c r="G31" s="29" t="str">
        <x:v>nominal split</x:v>
      </x:c>
    </x:row>
    <x:row r="32">
      <x:c r="B32" s="27" t="str">
        <x:v>C26 F2-C2 national</x:v>
      </x:c>
      <x:c r="C32" s="27" t="n">
        <x:f>'Program Cost'!M9</x:f>
        <x:v>8115.46995</x:v>
      </x:c>
      <x:c r="D32" s="27" t="n">
        <x:v>8115.46995</x:v>
      </x:c>
      <x:c r="E32" s="60" t="n">
        <x:f>C32-D32</x:f>
        <x:v>0</x:v>
      </x:c>
      <x:c r="F32" s="27" t="str">
        <x:f>IF(ABS(E32)&lt;0.000001,"PASS","FAIL")</x:f>
        <x:v>PASS</x:v>
      </x:c>
      <x:c r="G32" s="29" t="str">
        <x:v>eight-aircraft nominal</x:v>
      </x:c>
    </x:row>
    <x:row r="33">
      <x:c r="B33" s="27" t="str">
        <x:v>C27 F2R-C2 national</x:v>
      </x:c>
      <x:c r="C33" s="27" t="n">
        <x:f>'Program Cost'!M10</x:f>
        <x:v>8208.56995</x:v>
      </x:c>
      <x:c r="D33" s="27" t="n">
        <x:v>8208.56995</x:v>
      </x:c>
      <x:c r="E33" s="60" t="n">
        <x:f>C33-D33</x:f>
        <x:v>0</x:v>
      </x:c>
      <x:c r="F33" s="27" t="str">
        <x:f>IF(ABS(E33)&lt;0.000001,"PASS","FAIL")</x:f>
        <x:v>PASS</x:v>
      </x:c>
      <x:c r="G33" s="29" t="str">
        <x:v>ten-aircraft challenger</x:v>
      </x:c>
    </x:row>
    <x:row r="34">
      <x:c r="B34" s="27" t="str">
        <x:v>C28 F3-C2 national</x:v>
      </x:c>
      <x:c r="C34" s="27" t="n">
        <x:f>'Program Cost'!M11</x:f>
        <x:v>8346.63795</x:v>
      </x:c>
      <x:c r="D34" s="27" t="n">
        <x:v>8346.63795</x:v>
      </x:c>
      <x:c r="E34" s="60" t="n">
        <x:f>C34-D34</x:f>
        <x:v>0</x:v>
      </x:c>
      <x:c r="F34" s="27" t="str">
        <x:f>IF(ABS(E34)&lt;0.000001,"PASS","FAIL")</x:f>
        <x:v>PASS</x:v>
      </x:c>
      <x:c r="G34" s="29" t="str">
        <x:v>assured upper</x:v>
      </x:c>
    </x:row>
    <x:row r="35">
      <x:c r="B35" s="27" t="str">
        <x:v>C29 VHL8 after loss</x:v>
      </x:c>
      <x:c r="C35" s="27" t="n">
        <x:f>'Loading Resources'!N10</x:f>
        <x:v>555.625</x:v>
      </x:c>
      <x:c r="D35" s="27" t="n">
        <x:v>555.625</x:v>
      </x:c>
      <x:c r="E35" s="60" t="n">
        <x:f>C35-D35</x:f>
        <x:v>0</x:v>
      </x:c>
      <x:c r="F35" s="27" t="str">
        <x:f>IF(ABS(E35)&lt;0.000001,"PASS","FAIL")</x:f>
        <x:v>PASS</x:v>
      </x:c>
      <x:c r="G35" s="29" t="str">
        <x:v>even load loss</x:v>
      </x:c>
    </x:row>
    <x:row r="36">
      <x:c r="B36" s="27" t="str">
        <x:v>C30 VHL10 after loss</x:v>
      </x:c>
      <x:c r="C36" s="27" t="n">
        <x:f>'Loading Resources'!N11</x:f>
        <x:v>648</x:v>
      </x:c>
      <x:c r="D36" s="27" t="n">
        <x:v>648</x:v>
      </x:c>
      <x:c r="E36" s="60" t="n">
        <x:f>C36-D36</x:f>
        <x:v>0</x:v>
      </x:c>
      <x:c r="F36" s="27" t="str">
        <x:f>IF(ABS(E36)&lt;0.000001,"PASS","FAIL")</x:f>
        <x:v>PASS</x:v>
      </x:c>
      <x:c r="G36" s="29" t="str">
        <x:v>even load loss</x:v>
      </x:c>
    </x:row>
    <x:row r="37">
      <x:c r="B37" s="27" t="str">
        <x:v>C31 mass floor</x:v>
      </x:c>
      <x:c r="C37" s="27" t="n">
        <x:f>Assumptions!C13*Assumptions!C9</x:f>
        <x:v>571.5</x:v>
      </x:c>
      <x:c r="D37" s="27" t="n">
        <x:v>571.5</x:v>
      </x:c>
      <x:c r="E37" s="60" t="n">
        <x:f>C37-D37</x:f>
        <x:v>0</x:v>
      </x:c>
      <x:c r="F37" s="27" t="str">
        <x:f>IF(ABS(E37)&lt;0.000001,"PASS","FAIL")</x:f>
        <x:v>PASS</x:v>
      </x:c>
      <x:c r="G37" s="29" t="str">
        <x:v>90% of launch mass</x:v>
      </x:c>
    </x:row>
    <x:row r="38">
      <x:c r="B38" s="27" t="str">
        <x:v>C32 VHL8 mass status</x:v>
      </x:c>
      <x:c r="C38" s="27" t="n">
        <x:f>IF('Loading Resources'!E16="FAIL",1,0)</x:f>
        <x:v>1</x:v>
      </x:c>
      <x:c r="D38" s="27" t="n">
        <x:v>1</x:v>
      </x:c>
      <x:c r="E38" s="60" t="n">
        <x:f>C38-D38</x:f>
        <x:v>0</x:v>
      </x:c>
      <x:c r="F38" s="27" t="str">
        <x:f>IF(ABS(E38)&lt;0.000001,"PASS","FAIL")</x:f>
        <x:v>PASS</x:v>
      </x:c>
      <x:c r="G38" s="29" t="str">
        <x:v>fails after one aircraft</x:v>
      </x:c>
    </x:row>
    <x:row r="39">
      <x:c r="B39" s="27" t="str">
        <x:v>C33 VHL10 mass status</x:v>
      </x:c>
      <x:c r="C39" s="27" t="n">
        <x:f>IF('Loading Resources'!E17="PASS",1,0)</x:f>
        <x:v>1</x:v>
      </x:c>
      <x:c r="D39" s="27" t="n">
        <x:v>1</x:v>
      </x:c>
      <x:c r="E39" s="60" t="n">
        <x:f>C39-D39</x:f>
        <x:v>0</x:v>
      </x:c>
      <x:c r="F39" s="27" t="str">
        <x:f>IF(ABS(E39)&lt;0.000001,"PASS","FAIL")</x:f>
        <x:v>PASS</x:v>
      </x:c>
      <x:c r="G39" s="29" t="str">
        <x:v>passes mass hypothesis</x:v>
      </x:c>
    </x:row>
    <x:row r="40">
      <x:c r="B40" s="27" t="str">
        <x:v>C34 F2 assured result</x:v>
      </x:c>
      <x:c r="C40" s="27" t="n">
        <x:f>IF(Concurrency!O9="FAIL",1,0)</x:f>
        <x:v>1</x:v>
      </x:c>
      <x:c r="D40" s="27" t="n">
        <x:v>1</x:v>
      </x:c>
      <x:c r="E40" s="60" t="n">
        <x:f>C40-D40</x:f>
        <x:v>0</x:v>
      </x:c>
      <x:c r="F40" s="27" t="str">
        <x:f>IF(ABS(E40)&lt;0.000001,"PASS","FAIL")</x:f>
        <x:v>PASS</x:v>
      </x:c>
      <x:c r="G40" s="29" t="str">
        <x:v>nominal only</x:v>
      </x:c>
    </x:row>
    <x:row r="41">
      <x:c r="B41" s="27" t="str">
        <x:v>C35 F2R mode result</x:v>
      </x:c>
      <x:c r="C41" s="27" t="n">
        <x:f>Concurrency!N10</x:f>
        <x:v>1</x:v>
      </x:c>
      <x:c r="D41" s="27" t="n">
        <x:v>1</x:v>
      </x:c>
      <x:c r="E41" s="60" t="n">
        <x:f>C41-D41</x:f>
        <x:v>0</x:v>
      </x:c>
      <x:c r="F41" s="27" t="str">
        <x:f>IF(ABS(E41)&lt;0.000001,"PASS","FAIL")</x:f>
        <x:v>PASS</x:v>
      </x:c>
      <x:c r="G41" s="29" t="str">
        <x:v>one region after mode loss</x:v>
      </x:c>
    </x:row>
    <x:row r="42">
      <x:c r="B42" s="27" t="str">
        <x:v>C36 F3 assured result</x:v>
      </x:c>
      <x:c r="C42" s="27" t="n">
        <x:f>IF(Concurrency!O11="PASS",1,0)</x:f>
        <x:v>1</x:v>
      </x:c>
      <x:c r="D42" s="27" t="n">
        <x:v>1</x:v>
      </x:c>
      <x:c r="E42" s="60" t="n">
        <x:f>C42-D42</x:f>
        <x:v>0</x:v>
      </x:c>
      <x:c r="F42" s="27" t="str">
        <x:f>IF(ABS(E42)&lt;0.000001,"PASS","FAIL")</x:f>
        <x:v>PASS</x:v>
      </x:c>
      <x:c r="G42" s="29" t="str">
        <x:v>two complete groups</x:v>
      </x:c>
    </x:row>
    <x:row r="43">
      <x:c r="B43" s="27" t="str">
        <x:v>C37 ready groups</x:v>
      </x:c>
      <x:c r="C43" s="27" t="n">
        <x:f>Assumptions!C17</x:f>
        <x:v>43</x:v>
      </x:c>
      <x:c r="D43" s="27" t="n">
        <x:v>43</x:v>
      </x:c>
      <x:c r="E43" s="60" t="n">
        <x:f>C43-D43</x:f>
        <x:v>0</x:v>
      </x:c>
      <x:c r="F43" s="27" t="str">
        <x:f>IF(ABS(E43)&lt;0.000001,"PASS","FAIL")</x:f>
        <x:v>PASS</x:v>
      </x:c>
      <x:c r="G43" s="29" t="str">
        <x:v>national basis</x:v>
      </x:c>
    </x:row>
    <x:row r="44">
      <x:c r="B44" s="27" t="str">
        <x:v>C38 evidence gates</x:v>
      </x:c>
      <x:c r="C44" s="27" t="n">
        <x:f>COUNTA('Evidence Gates'!B7:B46)</x:f>
        <x:v>40</x:v>
      </x:c>
      <x:c r="D44" s="27" t="n">
        <x:v>40</x:v>
      </x:c>
      <x:c r="E44" s="60" t="n">
        <x:f>C44-D44</x:f>
        <x:v>0</x:v>
      </x:c>
      <x:c r="F44" s="27" t="str">
        <x:f>IF(ABS(E44)&lt;0.000001,"PASS","FAIL")</x:f>
        <x:v>PASS</x:v>
      </x:c>
      <x:c r="G44" s="29" t="str">
        <x:v>gate register</x:v>
      </x:c>
    </x:row>
    <x:row r="45">
      <x:c r="B45" s="27" t="str">
        <x:v>C39 open gates</x:v>
      </x:c>
      <x:c r="C45" s="27" t="n">
        <x:f>COUNTIFS('Evidence Gates'!H7:H46,"OPEN")</x:f>
        <x:v>40</x:v>
      </x:c>
      <x:c r="D45" s="27" t="n">
        <x:v>40</x:v>
      </x:c>
      <x:c r="E45" s="60" t="n">
        <x:f>C45-D45</x:f>
        <x:v>0</x:v>
      </x:c>
      <x:c r="F45" s="27" t="str">
        <x:f>IF(ABS(E45)&lt;0.000001,"PASS","FAIL")</x:f>
        <x:v>PASS</x:v>
      </x:c>
      <x:c r="G45" s="29" t="str">
        <x:v>all open</x:v>
      </x:c>
    </x:row>
    <x:row r="46">
      <x:c r="B46" s="27" t="str">
        <x:v>C40 rendering</x:v>
      </x:c>
      <x:c r="C46" s="27" t="n">
        <x:f>Assumptions!C25</x:f>
        <x:v>0</x:v>
      </x:c>
      <x:c r="D46" s="27" t="n">
        <x:v>0</x:v>
      </x:c>
      <x:c r="E46" s="60" t="n">
        <x:f>C46-D46</x:f>
        <x:v>0</x:v>
      </x:c>
      <x:c r="F46" s="27" t="str">
        <x:f>IF(ABS(E46)&lt;0.000001,"PASS","FAIL")</x:f>
        <x:v>PASS</x:v>
      </x:c>
      <x:c r="G46" s="29" t="str">
        <x:v>blocked</x:v>
      </x:c>
    </x:row>
    <x:row r="47">
      <x:c r="B47" s="27" t="str">
        <x:v>C41 no negative cost</x:v>
      </x:c>
      <x:c r="C47" s="27" t="n">
        <x:f>MIN('Program Cost'!M7:M11)</x:f>
        <x:v>7383.141549999999</x:v>
      </x:c>
      <x:c r="D47" s="27" t="str">
        <x:v>&gt;0</x:v>
      </x:c>
      <x:c r="E47" s="60" t="n">
        <x:f>C47</x:f>
        <x:v>7383.141549999999</x:v>
      </x:c>
      <x:c r="F47" s="27" t="str">
        <x:f>IF(C47&gt;0,"PASS","FAIL")</x:f>
        <x:v>PASS</x:v>
      </x:c>
      <x:c r="G47" s="29" t="str">
        <x:v>cost schedule active</x:v>
      </x:c>
    </x:row>
    <x:row r="48">
      <x:c r="B48" s="31" t="str">
        <x:v>C42 strict admission</x:v>
      </x:c>
      <x:c r="C48" s="31" t="n">
        <x:f>COUNTIFS('Loss Worlds'!J7:K22,"PASS")</x:f>
        <x:v>0</x:v>
      </x:c>
      <x:c r="D48" s="31" t="n">
        <x:v>0</x:v>
      </x:c>
      <x:c r="E48" s="61" t="n">
        <x:f>C48-D48</x:f>
        <x:v>0</x:v>
      </x:c>
      <x:c r="F48" s="31" t="str">
        <x:f>IF(ABS(E48)&lt;0.000001,"PASS","FAIL")</x:f>
        <x:v>PASS</x:v>
      </x:c>
      <x:c r="G48" s="33" t="str">
        <x:v>no evidence columns grant credit</x:v>
      </x:c>
    </x:row>
    <x:row r="49">
      <x:c r="B49" s="2"/>
      <x:c r="C49" s="2"/>
      <x:c r="D49" s="2"/>
      <x:c r="E49" s="2"/>
      <x:c r="F49" s="2"/>
      <x:c r="G49" s="2"/>
    </x:row>
    <x:row r="50">
      <x:c r="B50" s="2"/>
      <x:c r="C50" s="2"/>
      <x:c r="D50" s="2"/>
      <x:c r="E50" s="2"/>
      <x:c r="F50" s="2"/>
      <x:c r="G50" s="2"/>
    </x:row>
    <x:row r="51">
      <x:c r="B51" s="2"/>
      <x:c r="C51" s="2"/>
      <x:c r="D51" s="2"/>
      <x:c r="E51" s="2"/>
      <x:c r="F51" s="2"/>
      <x:c r="G51" s="2"/>
    </x:row>
    <x:row r="52">
      <x:c r="B52" s="2"/>
      <x:c r="C52" s="2"/>
      <x:c r="D52" s="2"/>
      <x:c r="E52" s="2"/>
      <x:c r="F52" s="2"/>
      <x:c r="G52" s="2"/>
    </x:row>
    <x:row r="53">
      <x:c r="B53" s="2"/>
      <x:c r="C53" s="2"/>
      <x:c r="D53" s="2"/>
      <x:c r="E53" s="2"/>
      <x:c r="F53" s="2"/>
      <x:c r="G53" s="2"/>
    </x:row>
    <x:row r="54">
      <x:c r="B54" s="2"/>
      <x:c r="C54" s="2"/>
      <x:c r="D54" s="2"/>
      <x:c r="E54" s="2"/>
      <x:c r="F54" s="2"/>
      <x:c r="G54" s="2"/>
    </x:row>
    <x:row r="55">
      <x:c r="B55" s="2"/>
      <x:c r="C55" s="2"/>
      <x:c r="D55" s="2"/>
      <x:c r="E55" s="2"/>
      <x:c r="F55" s="2"/>
      <x:c r="G55" s="2"/>
    </x:row>
  </x:sheetData>
  <x:conditionalFormatting sqref="F7:F48">
    <x:cfRule type="containsText" dxfId="5" priority="1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4" hidden="0" customWidth="1"/>
    <x:col min="3" max="3" width="116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3" t="str">
        <x:v>How to read this model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workbook tests discrete custody and dispatch; it does not admit a formation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8" t="str">
        <x:v>Decision boundary</x:v>
      </x:c>
      <x:c r="C6" s="9" t="str">
        <x:v>Decision boundary</x:v>
      </x:c>
      <x:c r="D6" s="9" t="str">
        <x:v>Decision boundary</x:v>
      </x:c>
      <x:c r="E6" s="9" t="str">
        <x:v>Decision boundary</x:v>
      </x:c>
      <x:c r="F6" s="9" t="str">
        <x:v>Decision boundary</x:v>
      </x:c>
      <x:c r="G6" s="9" t="str">
        <x:v>Decision boundary</x:v>
      </x:c>
      <x:c r="H6" s="9" t="str">
        <x:v>Decision boundary</x:v>
      </x:c>
      <x:c r="I6" s="9" t="str">
        <x:v>Decision boundary</x:v>
      </x:c>
      <x:c r="J6" s="10" t="str">
        <x:v>Decision boundary</x:v>
      </x:c>
    </x:row>
    <x:row r="7">
      <x:c r="B7" s="48" t="str">
        <x:v>Question</x:v>
      </x:c>
      <x:c r="C7" s="49" t="str">
        <x:v>Can TAFG-1 preserve a complete source-to-release chain after named arsenal, loading, energy, control, receiver and concurrency losses?</x:v>
      </x:c>
      <x:c r="D7" s="2"/>
      <x:c r="E7" s="2"/>
      <x:c r="F7" s="2"/>
      <x:c r="G7" s="2"/>
      <x:c r="H7" s="2"/>
      <x:c r="I7" s="2"/>
      <x:c r="J7" s="2"/>
    </x:row>
    <x:row r="8">
      <x:c r="B8" s="50" t="str">
        <x:v>Reference</x:v>
      </x:c>
      <x:c r="C8" s="27" t="str">
        <x:v>C1 separates the atmosphere, terrain and corridor payload chains while retaining one receiver echelon.</x:v>
      </x:c>
      <x:c r="D8" s="2"/>
      <x:c r="E8" s="2"/>
      <x:c r="F8" s="2"/>
      <x:c r="G8" s="2"/>
      <x:c r="H8" s="2"/>
      <x:c r="I8" s="2"/>
      <x:c r="J8" s="2"/>
    </x:row>
    <x:row r="9">
      <x:c r="B9" s="50" t="str">
        <x:v>One-region result</x:v>
      </x:c>
      <x:c r="C9" s="27" t="str">
        <x:v>C1 closes all thirteen registered one-region cut worlds and still has zero evidence credit.</x:v>
      </x:c>
      <x:c r="D9" s="2"/>
      <x:c r="E9" s="2"/>
      <x:c r="F9" s="2"/>
      <x:c r="G9" s="2"/>
      <x:c r="H9" s="2"/>
      <x:c r="I9" s="2"/>
      <x:c r="J9" s="2"/>
    </x:row>
    <x:row r="10">
      <x:c r="B10" s="50" t="str">
        <x:v>Concurrency result</x:v>
      </x:c>
      <x:c r="C10" s="27" t="str">
        <x:v>C2 enables nominal splitting. F2 and F2R remain single-mode region-B forces; only F3 preserves both regions after a mode or site loss.</x:v>
      </x:c>
      <x:c r="D10" s="2"/>
      <x:c r="E10" s="2"/>
      <x:c r="F10" s="2"/>
      <x:c r="G10" s="2"/>
      <x:c r="H10" s="2"/>
      <x:c r="I10" s="2"/>
      <x:c r="J10" s="2"/>
    </x:row>
    <x:row r="11">
      <x:c r="B11" s="50" t="str">
        <x:v>VHL correction</x:v>
      </x:c>
      <x:c r="C11" s="27" t="str">
        <x:v>Eight aircraft lose mass and functions after one aircraft loss. Ten aircraft close the mass hypothesis but not whole-mode loss.</x:v>
      </x:c>
      <x:c r="D11" s="2"/>
      <x:c r="E11" s="2"/>
      <x:c r="F11" s="2"/>
      <x:c r="G11" s="2"/>
      <x:c r="H11" s="2"/>
      <x:c r="I11" s="2"/>
      <x:c r="J11" s="2"/>
    </x:row>
    <x:row r="12">
      <x:c r="B12" s="50" t="str">
        <x:v>Cost rule</x:v>
      </x:c>
      <x:c r="C12" s="27" t="str">
        <x:v>The detailed custody program replaces the $60B embedded allowance once; it is not stacked on top of it.</x:v>
      </x:c>
      <x:c r="D12" s="2"/>
      <x:c r="E12" s="2"/>
      <x:c r="F12" s="2"/>
      <x:c r="G12" s="2"/>
      <x:c r="H12" s="2"/>
      <x:c r="I12" s="2"/>
      <x:c r="J12" s="2"/>
    </x:row>
    <x:row r="13">
      <x:c r="B13" s="50" t="str">
        <x:v>Source boundary</x:v>
      </x:c>
      <x:c r="C13" s="27" t="str">
        <x:v>Only repository requirements and declared Pass 80 hypotheses are used. No external-site research is introduced.</x:v>
      </x:c>
      <x:c r="D13" s="2"/>
      <x:c r="E13" s="2"/>
      <x:c r="F13" s="2"/>
      <x:c r="G13" s="2"/>
      <x:c r="H13" s="2"/>
      <x:c r="I13" s="2"/>
      <x:c r="J13" s="2"/>
    </x:row>
    <x:row r="14">
      <x:c r="B14" s="50" t="str">
        <x:v>Evidence rule</x:v>
      </x:c>
      <x:c r="C14" s="27" t="str">
        <x:v>All forty gates remain open. Behavior arithmetic gives no current or strict operating credit.</x:v>
      </x:c>
      <x:c r="D14" s="2"/>
      <x:c r="E14" s="2"/>
      <x:c r="F14" s="2"/>
      <x:c r="G14" s="2"/>
      <x:c r="H14" s="2"/>
      <x:c r="I14" s="2"/>
      <x:c r="J14" s="2"/>
    </x:row>
    <x:row r="15">
      <x:c r="B15" s="50" t="str">
        <x:v>Rendering</x:v>
      </x:c>
      <x:c r="C15" s="27" t="str">
        <x:v>Blocked until payload geometry, loading envelopes, cross-loading and representative schedules are measured.</x:v>
      </x:c>
      <x:c r="D15" s="2"/>
      <x:c r="E15" s="2"/>
      <x:c r="F15" s="2"/>
      <x:c r="G15" s="2"/>
      <x:c r="H15" s="2"/>
      <x:c r="I15" s="2"/>
      <x:c r="J15" s="2"/>
    </x:row>
    <x:row r="16">
      <x:c r="B16" s="51" t="str">
        <x:v>Next use</x:v>
      </x:c>
      <x:c r="C16" s="52" t="str">
        <x:v>Compile physical lot geometry and base-to-receiver schedules, then run F3 and a genuinely multi-mode second-region challenger.</x:v>
      </x:c>
      <x:c r="D16" s="2"/>
      <x:c r="E16" s="2"/>
      <x:c r="F16" s="2"/>
      <x:c r="G16" s="2"/>
      <x:c r="H16" s="2"/>
      <x:c r="I16" s="2"/>
      <x:c r="J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mergeCells>
    <x:mergeCell ref="B6:J6"/>
  </x:mergeCells>
  <x:pageMargins left="0.7" right="0.7" top="0.75" bottom="0.75" header="0.3" footer="0.3"/>
</x:worksheet>
</file>