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dcf23481b846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cf3de9e00294ec2"/>
    <x:sheet xmlns:r="http://schemas.openxmlformats.org/officeDocument/2006/relationships" name="Assumptions" sheetId="2" r:id="Rf315ea576ec2444f"/>
    <x:sheet xmlns:r="http://schemas.openxmlformats.org/officeDocument/2006/relationships" name="Service Constitution" sheetId="3" r:id="R00f84bd0220b4b73"/>
    <x:sheet xmlns:r="http://schemas.openxmlformats.org/officeDocument/2006/relationships" name="ESK-40 Tile Grammar" sheetId="4" r:id="R47a21f75302a45fb"/>
    <x:sheet xmlns:r="http://schemas.openxmlformats.org/officeDocument/2006/relationships" name="Air Quorum" sheetId="5" r:id="R0554e9d9e03f4f77"/>
    <x:sheet xmlns:r="http://schemas.openxmlformats.org/officeDocument/2006/relationships" name="Terrain Quorum" sheetId="6" r:id="Rf1d1d8c66b834af3"/>
    <x:sheet xmlns:r="http://schemas.openxmlformats.org/officeDocument/2006/relationships" name="Architecture Competition" sheetId="7" r:id="R3fe68c2538524820"/>
    <x:sheet xmlns:r="http://schemas.openxmlformats.org/officeDocument/2006/relationships" name="Mission State Machine" sheetId="8" r:id="R50573b39bf204643"/>
    <x:sheet xmlns:r="http://schemas.openxmlformats.org/officeDocument/2006/relationships" name="Delay Budget" sheetId="9" r:id="Rd59be9f6fe1b4d24"/>
    <x:sheet xmlns:r="http://schemas.openxmlformats.org/officeDocument/2006/relationships" name="Challenge Lattice" sheetId="10" r:id="R052ce28a27c14e59"/>
    <x:sheet xmlns:r="http://schemas.openxmlformats.org/officeDocument/2006/relationships" name="Receiver Geometry" sheetId="11" r:id="R59d6455da0114fff"/>
    <x:sheet xmlns:r="http://schemas.openxmlformats.org/officeDocument/2006/relationships" name="Ancestry Firewall" sheetId="12" r:id="Rd9d120f601c84a10"/>
    <x:sheet xmlns:r="http://schemas.openxmlformats.org/officeDocument/2006/relationships" name="Crew and Authority" sheetId="13" r:id="R4ca04a2254cc4906"/>
    <x:sheet xmlns:r="http://schemas.openxmlformats.org/officeDocument/2006/relationships" name="Reset and Fleet" sheetId="14" r:id="R7f502989e0414dce"/>
    <x:sheet xmlns:r="http://schemas.openxmlformats.org/officeDocument/2006/relationships" name="Workforce" sheetId="15" r:id="Rd9d5c1947d71432f"/>
    <x:sheet xmlns:r="http://schemas.openxmlformats.org/officeDocument/2006/relationships" name="Program Cost" sheetId="16" r:id="R6bae1e6eb11a44eb"/>
    <x:sheet xmlns:r="http://schemas.openxmlformats.org/officeDocument/2006/relationships" name="Technology Portfolio" sheetId="17" r:id="Rcf2077c1faf14cee"/>
    <x:sheet xmlns:r="http://schemas.openxmlformats.org/officeDocument/2006/relationships" name="Evidence Gates" sheetId="18" r:id="Rc1ad4d53b2c349e7"/>
    <x:sheet xmlns:r="http://schemas.openxmlformats.org/officeDocument/2006/relationships" name="Audit" sheetId="19" r:id="Rdd2330571e4248d8"/>
    <x:sheet xmlns:r="http://schemas.openxmlformats.org/officeDocument/2006/relationships" name="ReadMe" sheetId="20" r:id="R19e301eeeb0640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5"/>
      <x:color rgb="FF17324D"/>
      <x:name val="Arial"/>
    </x:font>
    <x:font>
      <x:i/>
      <x:sz val="10"/>
      <x:color rgb="FF52636F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  <x:font>
      <x:sz val="10"/>
      <x:color rgb="FF1F2933"/>
      <x:name val="Arial"/>
    </x:font>
    <x:font>
      <x:b/>
      <x:sz val="10"/>
      <x:color rgb="FF1F2933"/>
      <x:name val="Arial"/>
    </x:font>
    <x:font>
      <x:i/>
      <x:sz val="10"/>
      <x:color rgb="FF1F2933"/>
      <x:name val="Arial"/>
    </x:font>
    <x:font>
      <x:sz val="10"/>
      <x:color rgb="FF0070C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4"/>
      </x:patternFill>
    </x:fill>
    <x:fill>
      <x:patternFill patternType="solid">
        <x:fgColor rgb="FFFFF2CC"/>
      </x:patternFill>
    </x:fill>
  </x:fills>
  <x:borders count="17">
    <x:border/>
    <x:border>
      <x:bottom style="thin">
        <x:color rgb="FF17324D"/>
      </x:bottom>
    </x:border>
    <x:border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right style="thin">
        <x:color rgb="FFFFFFFF"/>
      </x:right>
      <x:bottom style="thin">
        <x:color rgb="FF17324D"/>
      </x:bottom>
    </x:border>
    <x:border>
      <x:left style="thin">
        <x:color rgb="FFFFFFFF"/>
      </x:left>
      <x:bottom style="thin">
        <x:color rgb="FF17324D"/>
      </x:bottom>
    </x:border>
    <x:border>
      <x:right style="thin">
        <x:color rgb="FFFFFFFF"/>
      </x:right>
      <x:bottom style="thin">
        <x:color rgb="FFD8E0E5"/>
      </x:bottom>
    </x:border>
    <x:border>
      <x:left style="thin">
        <x:color rgb="FFFFFFFF"/>
      </x:left>
      <x:right style="thin">
        <x:color rgb="FFFFFFFF"/>
      </x:right>
      <x:bottom style="thin">
        <x:color rgb="FFD8E0E5"/>
      </x:bottom>
    </x:border>
    <x:border>
      <x:top style="thin">
        <x:color rgb="FFD8E0E5"/>
      </x:top>
      <x:bottom style="thin">
        <x:color rgb="FFD8E0E5"/>
      </x:bottom>
    </x:border>
    <x:border>
      <x:right style="thin">
        <x:color rgb="FFFFFFFF"/>
      </x:right>
      <x:top style="thin">
        <x:color rgb="FFD8E0E5"/>
      </x:top>
      <x:bottom style="thin">
        <x:color rgb="FFD8E0E5"/>
      </x:bottom>
    </x:border>
    <x:border>
      <x:top style="thin">
        <x:color rgb="FFD8E0E5"/>
      </x:top>
      <x:bottom style="thin">
        <x:color rgb="FF17324D"/>
      </x:bottom>
    </x:border>
    <x:border>
      <x:right style="thin">
        <x:color rgb="FFFFFFFF"/>
      </x:right>
      <x:top style="thin">
        <x:color rgb="FFD8E0E5"/>
      </x:top>
      <x:bottom style="thin">
        <x:color rgb="FF17324D"/>
      </x:bottom>
    </x:border>
    <x:border>
      <x:left style="thin">
        <x:color rgb="FFAEBBC5"/>
      </x:left>
      <x:top style="thin">
        <x:color rgb="FFAEBBC5"/>
      </x:top>
      <x:bottom style="thin">
        <x:color rgb="FFAEBBC5"/>
      </x:bottom>
    </x:border>
    <x:border>
      <x:top style="thin">
        <x:color rgb="FFAEBBC5"/>
      </x:top>
      <x:bottom style="thin">
        <x:color rgb="FFAEBBC5"/>
      </x:bottom>
    </x:border>
    <x:border>
      <x:right style="thin">
        <x:color rgb="FFAEBBC5"/>
      </x:right>
      <x:top style="thin">
        <x:color rgb="FFAEBBC5"/>
      </x:top>
      <x:bottom style="thin">
        <x:color rgb="FFAEBBC5"/>
      </x:bottom>
    </x:border>
    <x:border>
      <x:bottom style="thin">
        <x:color rgb="FFD8E0E5"/>
      </x:bottom>
    </x:border>
    <x:border>
      <x:top style="thin">
        <x:color rgb="FFD8E0E5"/>
      </x:top>
    </x:border>
    <x:border>
      <x:left style="thin">
        <x:color rgb="FFFFFFFF"/>
      </x:left>
      <x:bottom style="thin">
        <x:color rgb="FFD8E0E5"/>
      </x:bottom>
    </x:border>
  </x:borders>
  <x:cellStyleXfs count="1">
    <x:xf numFmtId="0" fontId="0" fillId="0" borderId="0"/>
  </x:cellStyleXfs>
  <x:cellXfs count="10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4" fillId="3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2" borderId="5" xfId="0" applyNumberFormat="1" applyFont="1" applyFill="1" applyBorder="1" applyAlignment="1">
      <x:alignment horizontal="center" vertical="center" wrapText="1"/>
    </x:xf>
    <x:xf numFmtId="0" fontId="6" fillId="2" borderId="6" xfId="0" applyNumberFormat="1" applyFont="1" applyFill="1" applyBorder="1" applyAlignment="1">
      <x:alignment horizontal="center" vertical="center" wrapText="1"/>
    </x:xf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0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13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5" fillId="0" borderId="7" xfId="0" applyNumberFormat="1" applyFont="1" applyFill="1" applyBorder="1" applyAlignment="1">
      <x:alignment vertical="center"/>
    </x:xf>
    <x:xf numFmtId="0" fontId="5" fillId="0" borderId="8" xfId="0" applyNumberFormat="1" applyFont="1" applyFill="1" applyBorder="1" applyAlignment="1">
      <x:alignment vertical="center"/>
    </x:xf>
    <x:xf numFmtId="0" fontId="5" fillId="0" borderId="9" xfId="0" applyNumberFormat="1" applyFont="1" applyFill="1" applyBorder="1" applyAlignment="1">
      <x:alignment vertical="center"/>
    </x:xf>
    <x:xf numFmtId="0" fontId="5" fillId="0" borderId="10" xfId="0" applyNumberFormat="1" applyFont="1" applyFill="1" applyBorder="1" applyAlignment="1">
      <x:alignment vertical="center"/>
    </x:xf>
    <x:xf numFmtId="0" fontId="6" fillId="3" borderId="11" xfId="0" applyNumberFormat="1" applyFont="1" applyFill="1" applyBorder="1" applyAlignment="1">
      <x:alignment vertical="center"/>
    </x:xf>
    <x:xf numFmtId="0" fontId="6" fillId="3" borderId="12" xfId="0" applyNumberFormat="1" applyFont="1" applyFill="1" applyBorder="1" applyAlignment="1">
      <x:alignment vertical="center"/>
    </x:xf>
    <x:xf numFmtId="0" fontId="6" fillId="3" borderId="1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1" xfId="0" applyNumberFormat="1" applyFont="1" applyFill="1" applyBorder="1" applyAlignment="1">
      <x:alignment vertical="center"/>
    </x:xf>
    <x:xf numFmtId="0" fontId="4" fillId="3" borderId="12" xfId="0" applyNumberFormat="1" applyFont="1" applyFill="1" applyBorder="1" applyAlignment="1">
      <x:alignment vertical="center"/>
    </x:xf>
    <x:xf numFmtId="0" fontId="4" fillId="3" borderId="13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center" wrapText="1"/>
    </x:xf>
    <x:xf numFmtId="0" fontId="8" fillId="4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0" fontId="8" fillId="4" borderId="9" xfId="0" applyNumberFormat="1" applyFont="1" applyFill="1" applyBorder="1" applyAlignment="1">
      <x:alignment vertical="center" wrapText="1"/>
    </x:xf>
    <x:xf numFmtId="0" fontId="5" fillId="0" borderId="1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4" xfId="0" applyNumberFormat="1" applyFont="1" applyFill="1" applyBorder="1" applyAlignment="1">
      <x:alignment vertical="center" wrapText="1"/>
    </x:xf>
    <x:xf numFmtId="0" fontId="5" fillId="0" borderId="14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5" fillId="0" borderId="15" xfId="0" applyNumberFormat="1" applyFont="1" applyFill="1" applyBorder="1" applyAlignment="1">
      <x:alignment vertical="center" wrapText="1"/>
    </x:xf>
    <x:xf numFmtId="0" fontId="3" fillId="2" borderId="16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4" fillId="0" borderId="14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5" fillId="0" borderId="14" xfId="0" applyNumberFormat="1" applyFont="1" applyFill="1" applyBorder="1" applyAlignment="1">
      <x:alignment vertical="center"/>
    </x:xf>
    <x:xf numFmtId="0" fontId="5" fillId="0" borderId="1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4" fillId="3" borderId="11" xfId="0" applyNumberFormat="1" applyFont="1" applyFill="1" applyBorder="1" applyAlignment="1">
      <x:alignment vertical="center" wrapText="1"/>
    </x:xf>
    <x:xf numFmtId="0" fontId="4" fillId="3" borderId="12" xfId="0" applyNumberFormat="1" applyFont="1" applyFill="1" applyBorder="1" applyAlignment="1">
      <x:alignment vertical="center" wrapText="1"/>
    </x:xf>
    <x:xf numFmtId="0" fontId="4" fillId="3" borderId="1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6" fillId="3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00"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8E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136f0c3e5547ce" /><Relationship Type="http://schemas.openxmlformats.org/officeDocument/2006/relationships/theme" Target="/xl/theme/theme1.xml" Id="R2588b723f5324d1b" /><Relationship Type="http://schemas.openxmlformats.org/officeDocument/2006/relationships/sharedStrings" Target="/xl/sharedStrings.xml" Id="R5ddaf12ed2f342f6" /><Relationship Type="http://schemas.openxmlformats.org/officeDocument/2006/relationships/worksheet" Target="/xl/worksheets/sheet1.xml" Id="R1cf3de9e00294ec2" /><Relationship Type="http://schemas.openxmlformats.org/officeDocument/2006/relationships/worksheet" Target="/xl/worksheets/sheet2.xml" Id="Rf315ea576ec2444f" /><Relationship Type="http://schemas.openxmlformats.org/officeDocument/2006/relationships/worksheet" Target="/xl/worksheets/sheet3.xml" Id="R00f84bd0220b4b73" /><Relationship Type="http://schemas.openxmlformats.org/officeDocument/2006/relationships/worksheet" Target="/xl/worksheets/sheet4.xml" Id="R47a21f75302a45fb" /><Relationship Type="http://schemas.openxmlformats.org/officeDocument/2006/relationships/worksheet" Target="/xl/worksheets/sheet5.xml" Id="R0554e9d9e03f4f77" /><Relationship Type="http://schemas.openxmlformats.org/officeDocument/2006/relationships/worksheet" Target="/xl/worksheets/sheet6.xml" Id="Rf1d1d8c66b834af3" /><Relationship Type="http://schemas.openxmlformats.org/officeDocument/2006/relationships/worksheet" Target="/xl/worksheets/sheet7.xml" Id="R3fe68c2538524820" /><Relationship Type="http://schemas.openxmlformats.org/officeDocument/2006/relationships/worksheet" Target="/xl/worksheets/sheet8.xml" Id="R50573b39bf204643" /><Relationship Type="http://schemas.openxmlformats.org/officeDocument/2006/relationships/worksheet" Target="/xl/worksheets/sheet9.xml" Id="Rd59be9f6fe1b4d24" /><Relationship Type="http://schemas.openxmlformats.org/officeDocument/2006/relationships/worksheet" Target="/xl/worksheets/sheet10.xml" Id="R052ce28a27c14e59" /><Relationship Type="http://schemas.openxmlformats.org/officeDocument/2006/relationships/worksheet" Target="/xl/worksheets/sheet11.xml" Id="R59d6455da0114fff" /><Relationship Type="http://schemas.openxmlformats.org/officeDocument/2006/relationships/worksheet" Target="/xl/worksheets/sheet12.xml" Id="Rd9d120f601c84a10" /><Relationship Type="http://schemas.openxmlformats.org/officeDocument/2006/relationships/worksheet" Target="/xl/worksheets/sheet13.xml" Id="R4ca04a2254cc4906" /><Relationship Type="http://schemas.openxmlformats.org/officeDocument/2006/relationships/worksheet" Target="/xl/worksheets/sheet14.xml" Id="R7f502989e0414dce" /><Relationship Type="http://schemas.openxmlformats.org/officeDocument/2006/relationships/worksheet" Target="/xl/worksheets/sheet15.xml" Id="Rd9d5c1947d71432f" /><Relationship Type="http://schemas.openxmlformats.org/officeDocument/2006/relationships/worksheet" Target="/xl/worksheets/sheet16.xml" Id="R6bae1e6eb11a44eb" /><Relationship Type="http://schemas.openxmlformats.org/officeDocument/2006/relationships/worksheet" Target="/xl/worksheets/sheet17.xml" Id="Rcf2077c1faf14cee" /><Relationship Type="http://schemas.openxmlformats.org/officeDocument/2006/relationships/worksheet" Target="/xl/worksheets/sheet18.xml" Id="Rc1ad4d53b2c349e7" /><Relationship Type="http://schemas.openxmlformats.org/officeDocument/2006/relationships/worksheet" Target="/xl/worksheets/sheet19.xml" Id="Rdd2330571e4248d8" /><Relationship Type="http://schemas.openxmlformats.org/officeDocument/2006/relationships/worksheet" Target="/xl/worksheets/sheet20.xml" Id="R19e301eeeb0640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2" max="2" width="26" hidden="0" customWidth="1"/>
    <x:col min="3" max="3" width="20" hidden="0" customWidth="1"/>
    <x:col min="4" max="4" width="15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3" hidden="0" customWidth="1"/>
    <x:col min="10" max="10" width="24" hidden="0" customWidth="1"/>
    <x:col min="11" max="11" width="16" hidden="0" customWidth="1"/>
    <x:col min="12" max="12" width="16" hidden="0" customWidth="1"/>
    <x:col min="13" max="13" width="14" hidden="0" customWidth="1"/>
    <x:col min="14" max="14" width="17" hidden="0" customWidth="1"/>
    <x:col min="15" max="15" width="35" hidden="0" customWidth="1"/>
  </x:cols>
  <x:sheetData>
    <x:row r="2">
      <x:c r="B2" s="96" t="str">
        <x:v>DCP-2R common carrier and mission compiler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</x:row>
    <x:row r="3">
      <x:c r="B3" s="97" t="str">
        <x:v>A compound-assurance behavior reference: adaptive physical payloads, spare carriers, independent lineages and common civil release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</x:row>
    <x:row r="6">
      <x:c r="B6" s="99" t="str">
        <x:v>Executive decision</x:v>
      </x:c>
      <x:c r="C6" s="100" t="str">
        <x:v>Executive decision</x:v>
      </x:c>
      <x:c r="D6" s="100" t="str">
        <x:v>Executive decision</x:v>
      </x:c>
      <x:c r="E6" s="100" t="str">
        <x:v>Executive decision</x:v>
      </x:c>
      <x:c r="F6" s="100" t="str">
        <x:v>Executive decision</x:v>
      </x:c>
      <x:c r="G6" s="100" t="str">
        <x:v>Executive decision</x:v>
      </x:c>
      <x:c r="H6" s="101" t="str">
        <x:v>Executive decision</x:v>
      </x:c>
      <x:c r="I6" s="58"/>
      <x:c r="J6" s="99" t="str">
        <x:v>Assurance posture</x:v>
      </x:c>
      <x:c r="K6" s="100" t="str">
        <x:v>Assurance posture</x:v>
      </x:c>
      <x:c r="L6" s="100" t="str">
        <x:v>Assurance posture</x:v>
      </x:c>
      <x:c r="M6" s="100" t="str">
        <x:v>Assurance posture</x:v>
      </x:c>
      <x:c r="N6" s="100" t="str">
        <x:v>Assurance posture</x:v>
      </x:c>
      <x:c r="O6" s="101" t="str">
        <x:v>Assurance posture</x:v>
      </x:c>
    </x:row>
    <x:row r="7">
      <x:c r="B7" s="83" t="str">
        <x:v>Decision</x:v>
      </x:c>
      <x:c r="C7" s="58" t="str">
        <x:v>Advance P4 DCP-2R as the behavior reference for compound assurance; retain DCP-2 as the valid single-cut lower bound.</x:v>
      </x:c>
      <x:c r="D7" s="58" t="str"/>
      <x:c r="E7" s="58" t="str"/>
      <x:c r="F7" s="58" t="str"/>
      <x:c r="G7" s="58" t="str"/>
      <x:c r="H7" s="58" t="str"/>
      <x:c r="I7" s="58"/>
      <x:c r="J7" s="18" t="str">
        <x:v>Control</x:v>
      </x:c>
      <x:c r="K7" s="19" t="str">
        <x:v>Value</x:v>
      </x:c>
      <x:c r="L7" s="19" t="str">
        <x:v>Requirement</x:v>
      </x:c>
      <x:c r="M7" s="19" t="str">
        <x:v>State</x:v>
      </x:c>
      <x:c r="N7" s="19" t="str">
        <x:v>Meaning</x:v>
      </x:c>
      <x:c r="O7" s="58"/>
    </x:row>
    <x:row r="8">
      <x:c r="B8" s="83" t="str">
        <x:v>Decisive finding</x:v>
      </x:c>
      <x:c r="C8" s="58" t="str">
        <x:v>More vehicles do not create functional reserve when payload blocks remain exact and specialized. Surviving mass must contain every service family.</x:v>
      </x:c>
      <x:c r="D8" s="58" t="str"/>
      <x:c r="E8" s="58" t="str"/>
      <x:c r="F8" s="58" t="str"/>
      <x:c r="G8" s="58" t="str"/>
      <x:c r="H8" s="58" t="str"/>
      <x:c r="I8" s="58"/>
      <x:c r="J8" s="77" t="str">
        <x:v>Inside worlds</x:v>
      </x:c>
      <x:c r="K8" s="77" t="n">
        <x:f>COUNTIFS('Challenge Lattice'!R7:R34,"PASS")</x:f>
        <x:v>28</x:v>
      </x:c>
      <x:c r="L8" s="77" t="n">
        <x:v>28</x:v>
      </x:c>
      <x:c r="M8" s="77" t="str">
        <x:f>IF(K8=L8,"PASS","FAIL")</x:f>
        <x:v>PASS</x:v>
      </x:c>
      <x:c r="N8" s="79" t="str">
        <x:v>all declared compound worlds</x:v>
      </x:c>
      <x:c r="O8" s="58"/>
    </x:row>
    <x:row r="9">
      <x:c r="B9" s="83" t="str">
        <x:v>Technology hypothesis</x:v>
      </x:c>
      <x:c r="C9" s="58" t="str">
        <x:v>ESK-40 physically codes the effect across forty 15.875-tonne multifunction tiles in five separately implemented families.</x:v>
      </x:c>
      <x:c r="D9" s="58" t="str"/>
      <x:c r="E9" s="58" t="str"/>
      <x:c r="F9" s="58" t="str"/>
      <x:c r="G9" s="58" t="str"/>
      <x:c r="H9" s="58" t="str"/>
      <x:c r="I9" s="58"/>
      <x:c r="J9" s="77" t="str">
        <x:v>Boundary probes</x:v>
      </x:c>
      <x:c r="K9" s="77" t="n">
        <x:f>COUNTIFS('Challenge Lattice'!R35:R38,"BOUND")</x:f>
        <x:v>4</x:v>
      </x:c>
      <x:c r="L9" s="77" t="n">
        <x:v>4</x:v>
      </x:c>
      <x:c r="M9" s="77" t="str">
        <x:f>IF(K9=L9,"PASS","FAIL")</x:f>
        <x:v>PASS</x:v>
      </x:c>
      <x:c r="N9" s="79" t="str">
        <x:v>outside worlds labeled</x:v>
      </x:c>
      <x:c r="O9" s="58"/>
    </x:row>
    <x:row r="10">
      <x:c r="B10" s="83" t="str">
        <x:v>Air quorum</x:v>
      </x:c>
      <x:c r="C10" s="58" t="str">
        <x:v>Any two of three atmospheric carriers retain forty balanced tiles; one further tile loss leaves every family at its floor.</x:v>
      </x:c>
      <x:c r="D10" s="58" t="str"/>
      <x:c r="E10" s="58" t="str"/>
      <x:c r="F10" s="58" t="str"/>
      <x:c r="G10" s="58" t="str"/>
      <x:c r="H10" s="58" t="str"/>
      <x:c r="I10" s="58"/>
      <x:c r="J10" s="77" t="str">
        <x:v>Model controls</x:v>
      </x:c>
      <x:c r="K10" s="77" t="n">
        <x:v>70</x:v>
      </x:c>
      <x:c r="L10" s="77" t="n">
        <x:v>70</x:v>
      </x:c>
      <x:c r="M10" s="77" t="str">
        <x:f>IF(K10=L10,"PASS","FAIL")</x:f>
        <x:v>PASS</x:v>
      </x:c>
      <x:c r="N10" s="79" t="str">
        <x:v>deterministic reconciliations</x:v>
      </x:c>
      <x:c r="O10" s="58"/>
    </x:row>
    <x:row r="11">
      <x:c r="B11" s="83" t="str">
        <x:v>Terrain quorum</x:v>
      </x:c>
      <x:c r="C11" s="58" t="str">
        <x:v>Any four of five terrain carriers retain the same forty-tile effect under the same casualty rule.</x:v>
      </x:c>
      <x:c r="D11" s="58" t="str"/>
      <x:c r="E11" s="58" t="str"/>
      <x:c r="F11" s="58" t="str"/>
      <x:c r="G11" s="58" t="str"/>
      <x:c r="H11" s="58" t="str"/>
      <x:c r="I11" s="58"/>
      <x:c r="J11" s="77" t="str">
        <x:v>Evidence controls</x:v>
      </x:c>
      <x:c r="K11" s="77" t="n">
        <x:v>160</x:v>
      </x:c>
      <x:c r="L11" s="77" t="n">
        <x:v>160</x:v>
      </x:c>
      <x:c r="M11" s="77" t="str">
        <x:f>IF(K11=L11,"PASS","FAIL")</x:f>
        <x:v>PASS</x:v>
      </x:c>
      <x:c r="N11" s="79" t="str">
        <x:v>gate states recognized</x:v>
      </x:c>
      <x:c r="O11" s="58"/>
    </x:row>
    <x:row r="12">
      <x:c r="B12" s="83" t="str">
        <x:v>Evidence posture</x:v>
      </x:c>
      <x:c r="C12" s="58" t="str">
        <x:v>This is an internally reconciled hypothesis with 160 open gates, not a field-proven capability or probability claim.</x:v>
      </x:c>
      <x:c r="D12" s="58" t="str"/>
      <x:c r="E12" s="58" t="str"/>
      <x:c r="F12" s="58" t="str"/>
      <x:c r="G12" s="58" t="str"/>
      <x:c r="H12" s="58" t="str"/>
      <x:c r="I12" s="58"/>
      <x:c r="J12" s="77" t="str">
        <x:v>Evidence gates open</x:v>
      </x:c>
      <x:c r="K12" s="77" t="n">
        <x:f>COUNTIFS('Evidence Gates'!I7:I166,"OPEN")</x:f>
        <x:v>160</x:v>
      </x:c>
      <x:c r="L12" s="77" t="n">
        <x:v>160</x:v>
      </x:c>
      <x:c r="M12" s="77" t="str">
        <x:f>IF(K12=L12,"PASS","FAIL")</x:f>
        <x:v>PASS</x:v>
      </x:c>
      <x:c r="N12" s="79" t="str">
        <x:v>zero maturity credit</x:v>
      </x:c>
      <x:c r="O12" s="58"/>
    </x:row>
    <x:row r="13">
      <x:c r="B13" s="58"/>
      <x:c r="C13" s="58"/>
      <x:c r="D13" s="58"/>
      <x:c r="E13" s="58"/>
      <x:c r="F13" s="58"/>
      <x:c r="G13" s="58"/>
      <x:c r="H13" s="58"/>
      <x:c r="I13" s="58"/>
      <x:c r="J13" s="77" t="str">
        <x:v>Air receiver</x:v>
      </x:c>
      <x:c r="K13" s="77" t="n">
        <x:f>'Receiver Geometry'!J7</x:f>
        <x:v>239200</x:v>
      </x:c>
      <x:c r="L13" s="77" t="n">
        <x:v>239200</x:v>
      </x:c>
      <x:c r="M13" s="77" t="str">
        <x:f>IF(K13=L13,"PASS","FAIL")</x:f>
        <x:v>PASS</x:v>
      </x:c>
      <x:c r="N13" s="79" t="str">
        <x:v>three isolated zones</x:v>
      </x:c>
      <x:c r="O13" s="58"/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77" t="str">
        <x:v>Terrain receiver</x:v>
      </x:c>
      <x:c r="K14" s="77" t="n">
        <x:f>'Receiver Geometry'!J8</x:f>
        <x:v>30800</x:v>
      </x:c>
      <x:c r="L14" s="77" t="n">
        <x:v>30800</x:v>
      </x:c>
      <x:c r="M14" s="77" t="str">
        <x:f>IF(K14=L14,"PASS","FAIL")</x:f>
        <x:v>PASS</x:v>
      </x:c>
      <x:c r="N14" s="79" t="str">
        <x:v>five positions</x:v>
      </x:c>
      <x:c r="O14" s="58"/>
    </x:row>
    <x:row r="15">
      <x:c r="B15" s="99" t="str">
        <x:v>Formation, people and money</x:v>
      </x:c>
      <x:c r="C15" s="100" t="str">
        <x:v>Formation, people and money</x:v>
      </x:c>
      <x:c r="D15" s="100" t="str">
        <x:v>Formation, people and money</x:v>
      </x:c>
      <x:c r="E15" s="100" t="str">
        <x:v>Formation, people and money</x:v>
      </x:c>
      <x:c r="F15" s="100" t="str">
        <x:v>Formation, people and money</x:v>
      </x:c>
      <x:c r="G15" s="100" t="str">
        <x:v>Formation, people and money</x:v>
      </x:c>
      <x:c r="H15" s="101" t="str">
        <x:v>Formation, people and money</x:v>
      </x:c>
      <x:c r="I15" s="58"/>
      <x:c r="J15" s="80" t="str">
        <x:v>Rendering authorization</x:v>
      </x:c>
      <x:c r="K15" s="80" t="n">
        <x:v>0</x:v>
      </x:c>
      <x:c r="L15" s="80" t="n">
        <x:v>1</x:v>
      </x:c>
      <x:c r="M15" s="80" t="str">
        <x:v>BLOCKED</x:v>
      </x:c>
      <x:c r="N15" s="82" t="str">
        <x:v>physical evidence first</x:v>
      </x:c>
      <x:c r="O15" s="58"/>
    </x:row>
    <x:row r="16">
      <x:c r="B16" s="18" t="str">
        <x:v>Metric</x:v>
      </x:c>
      <x:c r="C16" s="19" t="str">
        <x:v>Value</x:v>
      </x:c>
      <x:c r="D16" s="19" t="str">
        <x:v>Unit</x:v>
      </x:c>
      <x:c r="E16" s="19" t="str">
        <x:v>Boundary</x:v>
      </x:c>
      <x:c r="F16" s="19" t="str">
        <x:v>Result</x:v>
      </x:c>
      <x:c r="G16" s="58"/>
      <x:c r="H16" s="58"/>
      <x:c r="I16" s="58"/>
      <x:c r="J16" s="58"/>
      <x:c r="K16" s="58"/>
      <x:c r="L16" s="58"/>
      <x:c r="M16" s="58"/>
      <x:c r="N16" s="58"/>
      <x:c r="O16" s="58"/>
    </x:row>
    <x:row r="17">
      <x:c r="B17" s="77" t="str">
        <x:v>Air carriers per formation</x:v>
      </x:c>
      <x:c r="C17" s="77" t="n">
        <x:v>3</x:v>
      </x:c>
      <x:c r="D17" s="77" t="str">
        <x:v>vehicles</x:v>
      </x:c>
      <x:c r="E17" s="77" t="n">
        <x:v>3</x:v>
      </x:c>
      <x:c r="F17" s="79" t="str">
        <x:f>IF(ABS(C17-E17)&lt;0.001,"PASS","FAIL")</x:f>
        <x:v>PASS</x:v>
      </x:c>
      <x:c r="G17" s="58"/>
      <x:c r="H17" s="58"/>
      <x:c r="I17" s="58"/>
      <x:c r="J17" s="58"/>
      <x:c r="K17" s="58"/>
      <x:c r="L17" s="58"/>
      <x:c r="M17" s="58"/>
      <x:c r="N17" s="58"/>
      <x:c r="O17" s="58"/>
    </x:row>
    <x:row r="18">
      <x:c r="B18" s="77" t="str">
        <x:v>Terrain carriers per formation</x:v>
      </x:c>
      <x:c r="C18" s="77" t="n">
        <x:v>5</x:v>
      </x:c>
      <x:c r="D18" s="77" t="str">
        <x:v>vehicles</x:v>
      </x:c>
      <x:c r="E18" s="77" t="n">
        <x:v>5</x:v>
      </x:c>
      <x:c r="F18" s="79" t="str">
        <x:f>IF(ABS(C18-E18)&lt;0.001,"PASS","FAIL")</x:f>
        <x:v>PASS</x:v>
      </x:c>
      <x:c r="G18" s="58"/>
      <x:c r="H18" s="58"/>
      <x:c r="I18" s="58"/>
      <x:c r="J18" s="58"/>
      <x:c r="K18" s="58"/>
      <x:c r="L18" s="58"/>
      <x:c r="M18" s="58"/>
      <x:c r="N18" s="58"/>
      <x:c r="O18" s="58"/>
    </x:row>
    <x:row r="19">
      <x:c r="B19" s="77" t="str">
        <x:v>Air surviving quorum</x:v>
      </x:c>
      <x:c r="C19" s="77" t="n">
        <x:v>2</x:v>
      </x:c>
      <x:c r="D19" s="77" t="str">
        <x:v>vehicles</x:v>
      </x:c>
      <x:c r="E19" s="77" t="n">
        <x:v>2</x:v>
      </x:c>
      <x:c r="F19" s="79" t="str">
        <x:f>IF(ABS(C19-E19)&lt;0.001,"PASS","FAIL")</x:f>
        <x:v>PASS</x:v>
      </x:c>
      <x:c r="G19" s="58"/>
      <x:c r="H19" s="58"/>
      <x:c r="I19" s="58"/>
      <x:c r="J19" s="58"/>
      <x:c r="K19" s="58"/>
      <x:c r="L19" s="58"/>
      <x:c r="M19" s="58"/>
      <x:c r="N19" s="58"/>
      <x:c r="O19" s="58"/>
    </x:row>
    <x:row r="20">
      <x:c r="B20" s="77" t="str">
        <x:v>Terrain surviving quorum</x:v>
      </x:c>
      <x:c r="C20" s="77" t="n">
        <x:v>4</x:v>
      </x:c>
      <x:c r="D20" s="77" t="str">
        <x:v>vehicles</x:v>
      </x:c>
      <x:c r="E20" s="77" t="n">
        <x:v>4</x:v>
      </x:c>
      <x:c r="F20" s="79" t="str">
        <x:f>IF(ABS(C20-E20)&lt;0.001,"PASS","FAIL")</x:f>
        <x:v>PASS</x:v>
      </x:c>
      <x:c r="G20" s="58"/>
      <x:c r="H20" s="58"/>
      <x:c r="I20" s="58"/>
      <x:c r="J20" s="58"/>
      <x:c r="K20" s="58"/>
      <x:c r="L20" s="58"/>
      <x:c r="M20" s="58"/>
      <x:c r="N20" s="58"/>
      <x:c r="O20" s="58"/>
    </x:row>
    <x:row r="21">
      <x:c r="B21" s="77" t="str">
        <x:v>Selected articles</x:v>
      </x:c>
      <x:c r="C21" s="77" t="n">
        <x:f>'Reset and Fleet'!D15</x:f>
        <x:v>439</x:v>
      </x:c>
      <x:c r="D21" s="77" t="str">
        <x:v>articles</x:v>
      </x:c>
      <x:c r="E21" s="77" t="n">
        <x:v>439</x:v>
      </x:c>
      <x:c r="F21" s="79" t="str">
        <x:f>IF(ABS(C21-E21)&lt;0.001,"PASS","FAIL")</x:f>
        <x:v>PASS</x:v>
      </x:c>
      <x:c r="G21" s="58"/>
      <x:c r="H21" s="58"/>
      <x:c r="I21" s="58"/>
      <x:c r="J21" s="58"/>
      <x:c r="K21" s="58"/>
      <x:c r="L21" s="58"/>
      <x:c r="M21" s="58"/>
      <x:c r="N21" s="58"/>
      <x:c r="O21" s="58"/>
    </x:row>
    <x:row r="22">
      <x:c r="B22" s="77" t="str">
        <x:v>Deployed workforce</x:v>
      </x:c>
      <x:c r="C22" s="77" t="n">
        <x:f>Workforce!C13</x:f>
        <x:v>906</x:v>
      </x:c>
      <x:c r="D22" s="77" t="str">
        <x:v>people</x:v>
      </x:c>
      <x:c r="E22" s="77" t="n">
        <x:v>906</x:v>
      </x:c>
      <x:c r="F22" s="79" t="str">
        <x:f>IF(ABS(C22-E22)&lt;0.001,"PASS","FAIL")</x:f>
        <x:v>PASS</x:v>
      </x:c>
      <x:c r="G22" s="58"/>
      <x:c r="H22" s="58"/>
      <x:c r="I22" s="58"/>
      <x:c r="J22" s="58"/>
      <x:c r="K22" s="58"/>
      <x:c r="L22" s="58"/>
      <x:c r="M22" s="58"/>
      <x:c r="N22" s="58"/>
      <x:c r="O22" s="58"/>
    </x:row>
    <x:row r="23">
      <x:c r="B23" s="77" t="str">
        <x:v>Affiliated workforce</x:v>
      </x:c>
      <x:c r="C23" s="77" t="n">
        <x:f>Workforce!D13</x:f>
        <x:v>2031</x:v>
      </x:c>
      <x:c r="D23" s="77" t="str">
        <x:v>positions</x:v>
      </x:c>
      <x:c r="E23" s="77" t="n">
        <x:v>2031</x:v>
      </x:c>
      <x:c r="F23" s="79" t="str">
        <x:f>IF(ABS(C23-E23)&lt;0.001,"PASS","FAIL")</x:f>
        <x:v>PASS</x:v>
      </x:c>
      <x:c r="G23" s="58"/>
      <x:c r="H23" s="58"/>
      <x:c r="I23" s="58"/>
      <x:c r="J23" s="58"/>
      <x:c r="K23" s="58"/>
      <x:c r="L23" s="58"/>
      <x:c r="M23" s="58"/>
      <x:c r="N23" s="58"/>
      <x:c r="O23" s="58"/>
    </x:row>
    <x:row r="24">
      <x:c r="B24" s="77" t="str">
        <x:v>Minimum watch</x:v>
      </x:c>
      <x:c r="C24" s="77" t="n">
        <x:f>Workforce!E13</x:f>
        <x:v>284</x:v>
      </x:c>
      <x:c r="D24" s="77" t="str">
        <x:v>people</x:v>
      </x:c>
      <x:c r="E24" s="77" t="n">
        <x:v>284</x:v>
      </x:c>
      <x:c r="F24" s="79" t="str">
        <x:f>IF(ABS(C24-E24)&lt;0.001,"PASS","FAIL")</x:f>
        <x:v>PASS</x:v>
      </x:c>
      <x:c r="G24" s="58"/>
      <x:c r="H24" s="58"/>
      <x:c r="I24" s="58"/>
      <x:c r="J24" s="58"/>
      <x:c r="K24" s="58"/>
      <x:c r="L24" s="58"/>
      <x:c r="M24" s="58"/>
      <x:c r="N24" s="58"/>
      <x:c r="O24" s="58"/>
    </x:row>
    <x:row r="25">
      <x:c r="B25" s="77" t="str">
        <x:v>DCP-2R program</x:v>
      </x:c>
      <x:c r="C25" s="77" t="n">
        <x:f>'Program Cost'!C18</x:f>
        <x:v>4940.79719</x:v>
      </x:c>
      <x:c r="D25" s="77" t="str">
        <x:v>$B</x:v>
      </x:c>
      <x:c r="E25" s="77" t="n">
        <x:v>4940.79719</x:v>
      </x:c>
      <x:c r="F25" s="79" t="str">
        <x:f>IF(ABS(C25-E25)&lt;0.001,"PASS","FAIL")</x:f>
        <x:v>PASS</x:v>
      </x:c>
      <x:c r="G25" s="58"/>
      <x:c r="H25" s="58"/>
      <x:c r="I25" s="58"/>
      <x:c r="J25" s="58"/>
      <x:c r="K25" s="58"/>
      <x:c r="L25" s="58"/>
      <x:c r="M25" s="58"/>
      <x:c r="N25" s="58"/>
      <x:c r="O25" s="58"/>
    </x:row>
    <x:row r="26">
      <x:c r="B26" s="77" t="str">
        <x:v>National boundary</x:v>
      </x:c>
      <x:c r="C26" s="77" t="n">
        <x:f>'Program Cost'!C21</x:f>
        <x:v>12323.938740000001</x:v>
      </x:c>
      <x:c r="D26" s="77" t="str">
        <x:v>$B</x:v>
      </x:c>
      <x:c r="E26" s="77" t="n">
        <x:v>12323.93874</x:v>
      </x:c>
      <x:c r="F26" s="79" t="str">
        <x:f>IF(ABS(C26-E26)&lt;0.001,"PASS","FAIL")</x:f>
        <x:v>PASS</x:v>
      </x:c>
      <x:c r="G26" s="58"/>
      <x:c r="H26" s="58"/>
      <x:c r="I26" s="58"/>
      <x:c r="J26" s="58"/>
      <x:c r="K26" s="58"/>
      <x:c r="L26" s="58"/>
      <x:c r="M26" s="58"/>
      <x:c r="N26" s="58"/>
      <x:c r="O26" s="58"/>
    </x:row>
    <x:row r="27">
      <x:c r="B27" s="80" t="str">
        <x:v>Technology portfolio</x:v>
      </x:c>
      <x:c r="C27" s="80" t="n">
        <x:f>'Technology Portfolio'!C28</x:f>
        <x:v>775</x:v>
      </x:c>
      <x:c r="D27" s="80" t="str">
        <x:v>$B nested</x:v>
      </x:c>
      <x:c r="E27" s="80" t="n">
        <x:v>775</x:v>
      </x:c>
      <x:c r="F27" s="82" t="str">
        <x:f>IF(ABS(C27-E27)&lt;0.001,"PASS","FAIL")</x:f>
        <x:v>PASS</x:v>
      </x:c>
      <x:c r="G27" s="58"/>
      <x:c r="H27" s="58"/>
      <x:c r="I27" s="58"/>
      <x:c r="J27" s="58"/>
      <x:c r="K27" s="58"/>
      <x:c r="L27" s="58"/>
      <x:c r="M27" s="58"/>
      <x:c r="N27" s="58"/>
      <x:c r="O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</x:row>
    <x:row r="30">
      <x:c r="B30" s="99" t="str">
        <x:v>Immediate proof sequence</x:v>
      </x:c>
      <x:c r="C30" s="100" t="str">
        <x:v>Immediate proof sequence</x:v>
      </x:c>
      <x:c r="D30" s="100" t="str">
        <x:v>Immediate proof sequence</x:v>
      </x:c>
      <x:c r="E30" s="100" t="str">
        <x:v>Immediate proof sequence</x:v>
      </x:c>
      <x:c r="F30" s="100" t="str">
        <x:v>Immediate proof sequence</x:v>
      </x:c>
      <x:c r="G30" s="100" t="str">
        <x:v>Immediate proof sequence</x:v>
      </x:c>
      <x:c r="H30" s="100" t="str">
        <x:v>Immediate proof sequence</x:v>
      </x:c>
      <x:c r="I30" s="100" t="str">
        <x:v>Immediate proof sequence</x:v>
      </x:c>
      <x:c r="J30" s="100" t="str">
        <x:v>Immediate proof sequence</x:v>
      </x:c>
      <x:c r="K30" s="100" t="str">
        <x:v>Immediate proof sequence</x:v>
      </x:c>
      <x:c r="L30" s="100" t="str">
        <x:v>Immediate proof sequence</x:v>
      </x:c>
      <x:c r="M30" s="100" t="str">
        <x:v>Immediate proof sequence</x:v>
      </x:c>
      <x:c r="N30" s="100" t="str">
        <x:v>Immediate proof sequence</x:v>
      </x:c>
      <x:c r="O30" s="101" t="str">
        <x:v>Immediate proof sequence</x:v>
      </x:c>
    </x:row>
    <x:row r="31">
      <x:c r="B31" s="83" t="str">
        <x:v>1</x:v>
      </x:c>
      <x:c r="C31" s="58" t="str">
        <x:v>Build one representative tile of each family in each lineage; close dry, wet, custody, connector and failure boundaries.</x:v>
      </x:c>
      <x:c r="D31" s="58" t="str"/>
      <x:c r="E31" s="58" t="str"/>
      <x:c r="F31" s="58" t="str"/>
      <x:c r="G31" s="58" t="str"/>
      <x:c r="H31" s="58" t="str"/>
      <x:c r="I31" s="58" t="str"/>
      <x:c r="J31" s="58" t="str"/>
      <x:c r="K31" s="58" t="str"/>
      <x:c r="L31" s="58" t="str"/>
      <x:c r="M31" s="58" t="str"/>
      <x:c r="N31" s="58" t="str"/>
      <x:c r="O31" s="58" t="str"/>
      <x:c r="P31"/>
    </x:row>
    <x:row r="32">
      <x:c r="B32" s="83" t="str">
        <x:v>2</x:v>
      </x:c>
      <x:c r="C32" s="58" t="str">
        <x:v>Assemble a ten-tile terrain load and a twenty-tile air load without changing service semantics.</x:v>
      </x:c>
      <x:c r="D32" s="58" t="str"/>
      <x:c r="E32" s="58" t="str"/>
      <x:c r="F32" s="58" t="str"/>
      <x:c r="G32" s="58" t="str"/>
      <x:c r="H32" s="58" t="str"/>
      <x:c r="I32" s="58" t="str"/>
      <x:c r="J32" s="58" t="str"/>
      <x:c r="K32" s="58" t="str"/>
      <x:c r="L32" s="58" t="str"/>
      <x:c r="M32" s="58" t="str"/>
      <x:c r="N32" s="58" t="str"/>
      <x:c r="O32" s="58" t="str"/>
      <x:c r="P32" t="str"/>
    </x:row>
    <x:row r="33">
      <x:c r="B33" s="83" t="str">
        <x:v>3</x:v>
      </x:c>
      <x:c r="C33" s="58" t="str">
        <x:v>Destroy or quarantine one carrier, then one further tile; compile and assay a complete surviving service effect.</x:v>
      </x:c>
      <x:c r="D33" s="58" t="str"/>
      <x:c r="E33" s="58" t="str"/>
      <x:c r="F33" s="58" t="str"/>
      <x:c r="G33" s="58" t="str"/>
      <x:c r="H33" s="58" t="str"/>
      <x:c r="I33" s="58" t="str"/>
      <x:c r="J33" s="58" t="str"/>
      <x:c r="K33" s="58" t="str"/>
      <x:c r="L33" s="58" t="str"/>
      <x:c r="M33" s="58" t="str"/>
      <x:c r="N33" s="58" t="str"/>
      <x:c r="O33" s="58" t="str"/>
      <x:c r="P33" t="str"/>
    </x:row>
    <x:row r="34">
      <x:c r="B34" s="83" t="str">
        <x:v>4</x:v>
      </x:c>
      <x:c r="C34" s="58" t="str">
        <x:v>Run the receiver, public-release and reset clocks under network and GNSS denial.</x:v>
      </x:c>
      <x:c r="D34" s="58" t="str"/>
      <x:c r="E34" s="58" t="str"/>
      <x:c r="F34" s="58" t="str"/>
      <x:c r="G34" s="58" t="str"/>
      <x:c r="H34" s="58" t="str"/>
      <x:c r="I34" s="58" t="str"/>
      <x:c r="J34" s="58" t="str"/>
      <x:c r="K34" s="58" t="str"/>
      <x:c r="L34" s="58" t="str"/>
      <x:c r="M34" s="58" t="str"/>
      <x:c r="N34" s="58" t="str"/>
      <x:c r="O34" s="58" t="str"/>
      <x:c r="P34" t="str"/>
    </x:row>
    <x:row r="35">
      <x:c r="B35" s="83" t="str">
        <x:v>Stop</x:v>
      </x:c>
      <x:c r="C35" s="58" t="str">
        <x:v>If the five-family coefficient cannot close at 15.875 tonnes per tile, reopen carrier count, payload grammar and duplication.</x:v>
      </x:c>
      <x:c r="D35" s="58" t="str"/>
      <x:c r="E35" s="58" t="str"/>
      <x:c r="F35" s="58" t="str"/>
      <x:c r="G35" s="58" t="str"/>
      <x:c r="H35" s="58" t="str"/>
      <x:c r="I35" s="58" t="str"/>
      <x:c r="J35" s="58" t="str"/>
      <x:c r="K35" s="58" t="str"/>
      <x:c r="L35" s="58" t="str"/>
      <x:c r="M35" s="58" t="str"/>
      <x:c r="N35" s="58" t="str"/>
      <x:c r="O35" s="58" t="str"/>
      <x:c r="P35" t="str"/>
    </x:row>
    <x:row r="36"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</x:row>
    <x:row r="37"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</x:row>
    <x:row r="38"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</x:row>
    <x:row r="39"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</x:row>
    <x:row r="40"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</x:row>
    <x:row r="41"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</x:row>
    <x:row r="42"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</x:row>
    <x:row r="43"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</x:row>
    <x:row r="44"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</x:row>
    <x:row r="45">
      <x:c r="B45" s="58"/>
      <x:c r="C45" s="58"/>
      <x:c r="D45" s="58"/>
      <x:c r="E45" s="58"/>
      <x:c r="F45" s="58"/>
      <x:c r="G45" s="58"/>
      <x:c r="H45" s="58"/>
      <x:c r="I45" s="58"/>
      <x:c r="J45" s="58"/>
      <x:c r="K45" s="58"/>
      <x:c r="L45" s="58"/>
      <x:c r="M45" s="58"/>
      <x:c r="N45" s="58"/>
      <x:c r="O45" s="58"/>
    </x:row>
    <x:row r="46">
      <x:c r="B46" s="58"/>
      <x:c r="C46" s="58"/>
      <x:c r="D46" s="58"/>
      <x:c r="E46" s="58"/>
      <x:c r="F46" s="58"/>
      <x:c r="G46" s="58"/>
      <x:c r="H46" s="58"/>
      <x:c r="I46" s="58"/>
      <x:c r="J46" s="58"/>
      <x:c r="K46" s="58"/>
      <x:c r="L46" s="58"/>
      <x:c r="M46" s="58"/>
      <x:c r="N46" s="58"/>
      <x:c r="O46" s="58"/>
    </x:row>
    <x:row r="47">
      <x:c r="B47" s="58"/>
      <x:c r="C47" s="58"/>
      <x:c r="D47" s="58"/>
      <x:c r="E47" s="58"/>
      <x:c r="F47" s="58"/>
      <x:c r="G47" s="58"/>
      <x:c r="H47" s="58"/>
      <x:c r="I47" s="58"/>
      <x:c r="J47" s="58"/>
      <x:c r="K47" s="58"/>
      <x:c r="L47" s="58"/>
      <x:c r="M47" s="58"/>
      <x:c r="N47" s="58"/>
      <x:c r="O47" s="58"/>
    </x:row>
    <x:row r="48">
      <x:c r="B48" s="58"/>
      <x:c r="C48" s="58"/>
      <x:c r="D48" s="58"/>
      <x:c r="E48" s="58"/>
      <x:c r="F48" s="58"/>
      <x:c r="G48" s="58"/>
      <x:c r="H48" s="58"/>
      <x:c r="I48" s="58"/>
      <x:c r="J48" s="58"/>
      <x:c r="K48" s="58"/>
      <x:c r="L48" s="58"/>
      <x:c r="M48" s="58"/>
      <x:c r="N48" s="58"/>
      <x:c r="O48" s="58"/>
    </x:row>
    <x:row r="49">
      <x:c r="B49" s="58"/>
      <x:c r="C49" s="58"/>
      <x:c r="D49" s="58"/>
      <x:c r="E49" s="58"/>
      <x:c r="F49" s="58"/>
      <x:c r="G49" s="58"/>
      <x:c r="H49" s="58"/>
      <x:c r="I49" s="58"/>
      <x:c r="J49" s="58"/>
      <x:c r="K49" s="58"/>
      <x:c r="L49" s="58"/>
      <x:c r="M49" s="58"/>
      <x:c r="N49" s="58"/>
      <x:c r="O49" s="58"/>
    </x:row>
    <x:row r="50">
      <x:c r="B50" s="58"/>
      <x:c r="C50" s="58"/>
      <x:c r="D50" s="58"/>
      <x:c r="E50" s="58"/>
      <x:c r="F50" s="58"/>
      <x:c r="G50" s="58"/>
      <x:c r="H50" s="58"/>
      <x:c r="I50" s="58"/>
      <x:c r="J50" s="58"/>
      <x:c r="K50" s="58"/>
      <x:c r="L50" s="58"/>
      <x:c r="M50" s="58"/>
      <x:c r="N50" s="58"/>
      <x:c r="O50" s="58"/>
    </x:row>
  </x:sheetData>
  <x:mergeCells>
    <x:mergeCell ref="B2:H2"/>
    <x:mergeCell ref="B3:H3"/>
    <x:mergeCell ref="B6:H6"/>
    <x:mergeCell ref="B15:H15"/>
    <x:mergeCell ref="J6:O6"/>
    <x:mergeCell ref="B30:O30"/>
  </x:mergeCells>
  <x:conditionalFormatting sqref="F17:F27">
    <x:cfRule type="containsText" dxfId="92" priority="1" operator="containsText" text="FAIL"/>
    <x:cfRule type="containsText" dxfId="93" priority="2" operator="containsText" text="PASS"/>
    <x:cfRule type="containsText" dxfId="94" priority="3" operator="containsText" text="BLOCKED"/>
    <x:cfRule type="containsText" dxfId="95" priority="4" operator="containsText" text="BOUND"/>
  </x:conditionalFormatting>
  <x:conditionalFormatting sqref="M8:M15">
    <x:cfRule type="containsText" dxfId="96" priority="5" operator="containsText" text="FAIL"/>
    <x:cfRule type="containsText" dxfId="97" priority="6" operator="containsText" text="PASS"/>
    <x:cfRule type="containsText" dxfId="98" priority="7" operator="containsText" text="BLOCKED"/>
    <x:cfRule type="containsText" dxfId="99" priority="8" operator="containsText" text="BOUND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5D7C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2" max="2" width="43" hidden="0" customWidth="1"/>
    <x:col min="3" max="3" width="18" hidden="0" customWidth="1"/>
    <x:col min="4" max="4" width="20" hidden="0" customWidth="1"/>
    <x:col min="5" max="5" width="28" hidden="0" customWidth="1"/>
    <x:col min="6" max="6" width="52" hidden="0" customWidth="1"/>
  </x:cols>
  <x:sheetData>
    <x:row r="2">
      <x:c r="B2" s="96" t="str">
        <x:v>DCP-2R common carrier and mission assumptions</x:v>
      </x:c>
      <x:c r="C2" s="58"/>
      <x:c r="D2" s="58"/>
      <x:c r="E2" s="58"/>
      <x:c r="F2" s="58"/>
    </x:row>
    <x:row r="3">
      <x:c r="B3" s="97" t="str">
        <x:v>Pass 86 and 87 references plus declared compound-assurance hypotheses; blue cells are unmeasured</x:v>
      </x:c>
      <x:c r="C3" s="97"/>
      <x:c r="D3" s="97"/>
      <x:c r="E3" s="97"/>
      <x:c r="F3" s="97"/>
    </x:row>
    <x:row r="4">
      <x:c r="B4" s="98"/>
      <x:c r="C4" s="98"/>
      <x:c r="D4" s="98"/>
      <x:c r="E4" s="98"/>
      <x:c r="F4" s="98"/>
    </x:row>
    <x:row r="5">
      <x:c r="B5" s="58"/>
      <x:c r="C5" s="58"/>
      <x:c r="D5" s="58"/>
      <x:c r="E5" s="58"/>
      <x:c r="F5" s="58"/>
    </x:row>
    <x:row r="6">
      <x:c r="B6" s="99" t="str">
        <x:v>Service, carrier, mission, workforce and fiscal controls</x:v>
      </x:c>
      <x:c r="C6" s="100" t="str">
        <x:v>Service, carrier, mission, workforce and fiscal controls</x:v>
      </x:c>
      <x:c r="D6" s="100" t="str">
        <x:v>Service, carrier, mission, workforce and fiscal controls</x:v>
      </x:c>
      <x:c r="E6" s="100" t="str">
        <x:v>Service, carrier, mission, workforce and fiscal controls</x:v>
      </x:c>
      <x:c r="F6" s="101" t="str">
        <x:v>Service, carrier, mission, workforce and fiscal controls</x:v>
      </x:c>
    </x:row>
    <x:row r="7">
      <x:c r="B7" s="18" t="str">
        <x:v>Input</x:v>
      </x:c>
      <x:c r="C7" s="19" t="str">
        <x:v>Value</x:v>
      </x:c>
      <x:c r="D7" s="19" t="str">
        <x:v>Unit</x:v>
      </x:c>
      <x:c r="E7" s="19" t="str">
        <x:v>Repository origin</x:v>
      </x:c>
      <x:c r="F7" s="19" t="str">
        <x:v>Meaning</x:v>
      </x:c>
    </x:row>
    <x:row r="8">
      <x:c r="B8" s="77" t="str">
        <x:v>Service cell mass</x:v>
      </x:c>
      <x:c r="C8" s="78" t="n">
        <x:v>635</x:v>
      </x:c>
      <x:c r="D8" s="77" t="str">
        <x:v>t</x:v>
      </x:c>
      <x:c r="E8" s="77" t="str">
        <x:v>Pass 82</x:v>
      </x:c>
      <x:c r="F8" s="79" t="str">
        <x:v>one complete source-to-public-service kernel</x:v>
      </x:c>
    </x:row>
    <x:row r="9">
      <x:c r="B9" s="77" t="str">
        <x:v>Service tile types</x:v>
      </x:c>
      <x:c r="C9" s="78" t="n">
        <x:v>5</x:v>
      </x:c>
      <x:c r="D9" s="77" t="str">
        <x:v>types</x:v>
      </x:c>
      <x:c r="E9" s="77" t="str">
        <x:v>Pass 88</x:v>
      </x:c>
      <x:c r="F9" s="79" t="str">
        <x:v>energy, water, thermal, distribution and civil-control</x:v>
      </x:c>
    </x:row>
    <x:row r="10">
      <x:c r="B10" s="77" t="str">
        <x:v>Tiles per type at service</x:v>
      </x:c>
      <x:c r="C10" s="78" t="n">
        <x:v>8</x:v>
      </x:c>
      <x:c r="D10" s="77" t="str">
        <x:v>tiles</x:v>
      </x:c>
      <x:c r="E10" s="77" t="str">
        <x:v>Pass 88</x:v>
      </x:c>
      <x:c r="F10" s="79" t="str">
        <x:v>forty-tile complete kernel</x:v>
      </x:c>
    </x:row>
    <x:row r="11">
      <x:c r="B11" s="77" t="str">
        <x:v>Tile mass</x:v>
      </x:c>
      <x:c r="C11" s="78" t="n">
        <x:v>15.875</x:v>
      </x:c>
      <x:c r="D11" s="77" t="str">
        <x:v>t</x:v>
      </x:c>
      <x:c r="E11" s="77" t="str">
        <x:v>Pass 88</x:v>
      </x:c>
      <x:c r="F11" s="79" t="str">
        <x:v>integrates dry and wet burden</x:v>
      </x:c>
    </x:row>
    <x:row r="12">
      <x:c r="B12" s="77" t="str">
        <x:v>Capacity per tile</x:v>
      </x:c>
      <x:c r="C12" s="78" t="n">
        <x:v>14.285714286</x:v>
      </x:c>
      <x:c r="D12" s="77" t="str">
        <x:v>service units</x:v>
      </x:c>
      <x:c r="E12" s="77" t="str">
        <x:v>Pass 88</x:v>
      </x:c>
      <x:c r="F12" s="79" t="str">
        <x:v>seven surviving tiles retain one hundred units</x:v>
      </x:c>
    </x:row>
    <x:row r="13">
      <x:c r="B13" s="77" t="str">
        <x:v>Service floor</x:v>
      </x:c>
      <x:c r="C13" s="78" t="n">
        <x:v>100</x:v>
      </x:c>
      <x:c r="D13" s="77" t="str">
        <x:v>service units</x:v>
      </x:c>
      <x:c r="E13" s="77" t="str">
        <x:v>Pass 88</x:v>
      </x:c>
      <x:c r="F13" s="79" t="str">
        <x:v>minimum for every functional family</x:v>
      </x:c>
    </x:row>
    <x:row r="14">
      <x:c r="B14" s="77" t="str">
        <x:v>Air baseline vehicles</x:v>
      </x:c>
      <x:c r="C14" s="78" t="n">
        <x:v>2</x:v>
      </x:c>
      <x:c r="D14" s="77" t="str">
        <x:v>vehicles</x:v>
      </x:c>
      <x:c r="E14" s="77" t="str">
        <x:v>Pass 87</x:v>
      </x:c>
      <x:c r="F14" s="79" t="str">
        <x:v>one exact atmospheric cell</x:v>
      </x:c>
    </x:row>
    <x:row r="15">
      <x:c r="B15" s="77" t="str">
        <x:v>Air reinforced vehicles</x:v>
      </x:c>
      <x:c r="C15" s="78" t="n">
        <x:v>3</x:v>
      </x:c>
      <x:c r="D15" s="77" t="str">
        <x:v>vehicles</x:v>
      </x:c>
      <x:c r="E15" s="77" t="str">
        <x:v>Pass 88</x:v>
      </x:c>
      <x:c r="F15" s="79" t="str">
        <x:v>one concurrent mission spare</x:v>
      </x:c>
    </x:row>
    <x:row r="16">
      <x:c r="B16" s="77" t="str">
        <x:v>Air payload per vehicle</x:v>
      </x:c>
      <x:c r="C16" s="78" t="n">
        <x:v>317.5</x:v>
      </x:c>
      <x:c r="D16" s="77" t="str">
        <x:v>t</x:v>
      </x:c>
      <x:c r="E16" s="77" t="str">
        <x:v>Pass 87</x:v>
      </x:c>
      <x:c r="F16" s="79" t="str">
        <x:v>twenty balanced tiles</x:v>
      </x:c>
    </x:row>
    <x:row r="17">
      <x:c r="B17" s="77" t="str">
        <x:v>Air assigned gross per vehicle</x:v>
      </x:c>
      <x:c r="C17" s="78" t="n">
        <x:v>1438.9153605</x:v>
      </x:c>
      <x:c r="D17" s="77" t="str">
        <x:v>t</x:v>
      </x:c>
      <x:c r="E17" s="77" t="str">
        <x:v>Pass 87</x:v>
      </x:c>
      <x:c r="F17" s="79" t="str">
        <x:v>complete departure state</x:v>
      </x:c>
    </x:row>
    <x:row r="18">
      <x:c r="B18" s="77" t="str">
        <x:v>Air onboard energy per vehicle</x:v>
      </x:c>
      <x:c r="C18" s="78" t="n">
        <x:v>2185.0746813</x:v>
      </x:c>
      <x:c r="D18" s="77" t="str">
        <x:v>MWh</x:v>
      </x:c>
      <x:c r="E18" s="77" t="str">
        <x:v>Pass 87</x:v>
      </x:c>
      <x:c r="F18" s="79" t="str">
        <x:v>deliverable energy</x:v>
      </x:c>
    </x:row>
    <x:row r="19">
      <x:c r="B19" s="77" t="str">
        <x:v>Air baseline relative service</x:v>
      </x:c>
      <x:c r="C19" s="78" t="n">
        <x:v>41.916666667</x:v>
      </x:c>
      <x:c r="D19" s="77" t="str">
        <x:v>h</x:v>
      </x:c>
      <x:c r="E19" s="77" t="str">
        <x:v>Pass 87</x:v>
      </x:c>
      <x:c r="F19" s="79" t="str">
        <x:v>origin through civil release</x:v>
      </x:c>
    </x:row>
    <x:row r="20">
      <x:c r="B20" s="77" t="str">
        <x:v>Air absolute service</x:v>
      </x:c>
      <x:c r="C20" s="78" t="n">
        <x:v>47.916666667</x:v>
      </x:c>
      <x:c r="D20" s="77" t="str">
        <x:v>h</x:v>
      </x:c>
      <x:c r="E20" s="77" t="str">
        <x:v>Pass 87</x:v>
      </x:c>
      <x:c r="F20" s="79" t="str">
        <x:v>includes regional activation</x:v>
      </x:c>
    </x:row>
    <x:row r="21">
      <x:c r="B21" s="77" t="str">
        <x:v>Air reset</x:v>
      </x:c>
      <x:c r="C21" s="78" t="n">
        <x:v>162</x:v>
      </x:c>
      <x:c r="D21" s="77" t="str">
        <x:v>h</x:v>
      </x:c>
      <x:c r="E21" s="77" t="str">
        <x:v>Pass 87</x:v>
      </x:c>
      <x:c r="F21" s="79" t="str">
        <x:v>structure and lift-cell path</x:v>
      </x:c>
    </x:row>
    <x:row r="22">
      <x:c r="B22" s="77" t="str">
        <x:v>Air operational baseline</x:v>
      </x:c>
      <x:c r="C22" s="78" t="n">
        <x:v>86</x:v>
      </x:c>
      <x:c r="D22" s="77" t="str">
        <x:v>vehicles</x:v>
      </x:c>
      <x:c r="E22" s="77" t="str">
        <x:v>Pass 87</x:v>
      </x:c>
      <x:c r="F22" s="79" t="str">
        <x:v>forty-three ready pairs</x:v>
      </x:c>
    </x:row>
    <x:row r="23">
      <x:c r="B23" s="77" t="str">
        <x:v>Air reserve baseline</x:v>
      </x:c>
      <x:c r="C23" s="78" t="n">
        <x:v>18</x:v>
      </x:c>
      <x:c r="D23" s="77" t="str">
        <x:v>vehicles</x:v>
      </x:c>
      <x:c r="E23" s="77" t="str">
        <x:v>Pass 87</x:v>
      </x:c>
      <x:c r="F23" s="79" t="str">
        <x:v>attrition and overhaul</x:v>
      </x:c>
    </x:row>
    <x:row r="24">
      <x:c r="B24" s="77" t="str">
        <x:v>Air development baseline</x:v>
      </x:c>
      <x:c r="C24" s="78" t="n">
        <x:v>14</x:v>
      </x:c>
      <x:c r="D24" s="77" t="str">
        <x:v>vehicles</x:v>
      </x:c>
      <x:c r="E24" s="77" t="str">
        <x:v>Pass 87</x:v>
      </x:c>
      <x:c r="F24" s="79" t="str">
        <x:v>test and destructive fleet</x:v>
      </x:c>
    </x:row>
    <x:row r="25">
      <x:c r="B25" s="77" t="str">
        <x:v>Terrain baseline vehicles</x:v>
      </x:c>
      <x:c r="C25" s="78" t="n">
        <x:v>4</x:v>
      </x:c>
      <x:c r="D25" s="77" t="str">
        <x:v>vehicles</x:v>
      </x:c>
      <x:c r="E25" s="77" t="str">
        <x:v>Pass 86</x:v>
      </x:c>
      <x:c r="F25" s="79" t="str">
        <x:v>one exact terrain cell</x:v>
      </x:c>
    </x:row>
    <x:row r="26">
      <x:c r="B26" s="77" t="str">
        <x:v>Terrain reinforced vehicles</x:v>
      </x:c>
      <x:c r="C26" s="78" t="n">
        <x:v>5</x:v>
      </x:c>
      <x:c r="D26" s="77" t="str">
        <x:v>vehicles</x:v>
      </x:c>
      <x:c r="E26" s="77" t="str">
        <x:v>Pass 88</x:v>
      </x:c>
      <x:c r="F26" s="79" t="str">
        <x:v>one concurrent mission spare</x:v>
      </x:c>
    </x:row>
    <x:row r="27">
      <x:c r="B27" s="77" t="str">
        <x:v>Terrain payload per vehicle</x:v>
      </x:c>
      <x:c r="C27" s="78" t="n">
        <x:v>158.75</x:v>
      </x:c>
      <x:c r="D27" s="77" t="str">
        <x:v>t</x:v>
      </x:c>
      <x:c r="E27" s="77" t="str">
        <x:v>Pass 86</x:v>
      </x:c>
      <x:c r="F27" s="79" t="str">
        <x:v>ten balanced tiles</x:v>
      </x:c>
    </x:row>
    <x:row r="28">
      <x:c r="B28" s="77" t="str">
        <x:v>Terrain assigned gross per vehicle</x:v>
      </x:c>
      <x:c r="C28" s="78" t="n">
        <x:v>705.935</x:v>
      </x:c>
      <x:c r="D28" s="77" t="str">
        <x:v>t</x:v>
      </x:c>
      <x:c r="E28" s="77" t="str">
        <x:v>Pass 86</x:v>
      </x:c>
      <x:c r="F28" s="79" t="str">
        <x:v>complete departure state</x:v>
      </x:c>
    </x:row>
    <x:row r="29">
      <x:c r="B29" s="77" t="str">
        <x:v>Terrain onboard energy per vehicle</x:v>
      </x:c>
      <x:c r="C29" s="78" t="n">
        <x:v>667.031</x:v>
      </x:c>
      <x:c r="D29" s="77" t="str">
        <x:v>MWh</x:v>
      </x:c>
      <x:c r="E29" s="77" t="str">
        <x:v>Pass 86</x:v>
      </x:c>
      <x:c r="F29" s="79" t="str">
        <x:v>deliverable energy</x:v>
      </x:c>
    </x:row>
    <x:row r="30">
      <x:c r="B30" s="77" t="str">
        <x:v>Terrain baseline relative service</x:v>
      </x:c>
      <x:c r="C30" s="78" t="n">
        <x:v>43.569444444</x:v>
      </x:c>
      <x:c r="D30" s="77" t="str">
        <x:v>h</x:v>
      </x:c>
      <x:c r="E30" s="77" t="str">
        <x:v>Pass 86</x:v>
      </x:c>
      <x:c r="F30" s="79" t="str">
        <x:v>origin through civil release</x:v>
      </x:c>
    </x:row>
    <x:row r="31">
      <x:c r="B31" s="77" t="str">
        <x:v>Terrain absolute service</x:v>
      </x:c>
      <x:c r="C31" s="78" t="n">
        <x:v>49.569444444</x:v>
      </x:c>
      <x:c r="D31" s="77" t="str">
        <x:v>h</x:v>
      </x:c>
      <x:c r="E31" s="77" t="str">
        <x:v>Pass 86</x:v>
      </x:c>
      <x:c r="F31" s="79" t="str">
        <x:v>includes regional activation</x:v>
      </x:c>
    </x:row>
    <x:row r="32">
      <x:c r="B32" s="77" t="str">
        <x:v>Terrain reset</x:v>
      </x:c>
      <x:c r="C32" s="78" t="n">
        <x:v>166</x:v>
      </x:c>
      <x:c r="D32" s="77" t="str">
        <x:v>h</x:v>
      </x:c>
      <x:c r="E32" s="77" t="str">
        <x:v>Pass 86</x:v>
      </x:c>
      <x:c r="F32" s="79" t="str">
        <x:v>bridge path</x:v>
      </x:c>
    </x:row>
    <x:row r="33">
      <x:c r="B33" s="77" t="str">
        <x:v>Terrain operational baseline</x:v>
      </x:c>
      <x:c r="C33" s="78" t="n">
        <x:v>172</x:v>
      </x:c>
      <x:c r="D33" s="77" t="str">
        <x:v>vehicles</x:v>
      </x:c>
      <x:c r="E33" s="77" t="str">
        <x:v>Pass 86</x:v>
      </x:c>
      <x:c r="F33" s="79" t="str">
        <x:v>forty-three ready sets</x:v>
      </x:c>
    </x:row>
    <x:row r="34">
      <x:c r="B34" s="77" t="str">
        <x:v>Terrain reserve baseline</x:v>
      </x:c>
      <x:c r="C34" s="78" t="n">
        <x:v>35</x:v>
      </x:c>
      <x:c r="D34" s="77" t="str">
        <x:v>vehicles</x:v>
      </x:c>
      <x:c r="E34" s="77" t="str">
        <x:v>Pass 86</x:v>
      </x:c>
      <x:c r="F34" s="79" t="str">
        <x:v>attrition and overhaul</x:v>
      </x:c>
    </x:row>
    <x:row r="35">
      <x:c r="B35" s="77" t="str">
        <x:v>Terrain development baseline</x:v>
      </x:c>
      <x:c r="C35" s="78" t="n">
        <x:v>12</x:v>
      </x:c>
      <x:c r="D35" s="77" t="str">
        <x:v>vehicles</x:v>
      </x:c>
      <x:c r="E35" s="77" t="str">
        <x:v>Pass 86</x:v>
      </x:c>
      <x:c r="F35" s="79" t="str">
        <x:v>test and destructive fleet</x:v>
      </x:c>
    </x:row>
    <x:row r="36">
      <x:c r="B36" s="77" t="str">
        <x:v>Ready formations</x:v>
      </x:c>
      <x:c r="C36" s="78" t="n">
        <x:v>43</x:v>
      </x:c>
      <x:c r="D36" s="77" t="str">
        <x:v>formations</x:v>
      </x:c>
      <x:c r="E36" s="77" t="str">
        <x:v>Pass 86</x:v>
      </x:c>
      <x:c r="F36" s="79" t="str">
        <x:v>national one-region readiness</x:v>
      </x:c>
    </x:row>
    <x:row r="37">
      <x:c r="B37" s="77" t="str">
        <x:v>Regional activation offset</x:v>
      </x:c>
      <x:c r="C37" s="78" t="n">
        <x:v>6</x:v>
      </x:c>
      <x:c r="D37" s="77" t="str">
        <x:v>h</x:v>
      </x:c>
      <x:c r="E37" s="77" t="str">
        <x:v>Pass 82</x:v>
      </x:c>
      <x:c r="F37" s="79" t="str">
        <x:v>absolute mission clock</x:v>
      </x:c>
    </x:row>
    <x:row r="38">
      <x:c r="B38" s="77" t="str">
        <x:v>Absolute public-service deadline</x:v>
      </x:c>
      <x:c r="C38" s="78" t="n">
        <x:v>54</x:v>
      </x:c>
      <x:c r="D38" s="77" t="str">
        <x:v>h</x:v>
      </x:c>
      <x:c r="E38" s="77" t="str">
        <x:v>Pass 82</x:v>
      </x:c>
      <x:c r="F38" s="79" t="str">
        <x:v>second-region effect</x:v>
      </x:c>
    </x:row>
    <x:row r="39">
      <x:c r="B39" s="77" t="str">
        <x:v>Reset ceiling</x:v>
      </x:c>
      <x:c r="C39" s="78" t="n">
        <x:v>168</x:v>
      </x:c>
      <x:c r="D39" s="77" t="str">
        <x:v>h</x:v>
      </x:c>
      <x:c r="E39" s="77" t="str">
        <x:v>Pass 82</x:v>
      </x:c>
      <x:c r="F39" s="79" t="str">
        <x:v>return to certified load</x:v>
      </x:c>
    </x:row>
    <x:row r="40">
      <x:c r="B40" s="77" t="str">
        <x:v>Air design-delay allowance</x:v>
      </x:c>
      <x:c r="C40" s="78" t="n">
        <x:v>4.5</x:v>
      </x:c>
      <x:c r="D40" s="77" t="str">
        <x:v>h</x:v>
      </x:c>
      <x:c r="E40" s="77" t="str">
        <x:v>Pass 88</x:v>
      </x:c>
      <x:c r="F40" s="79" t="str">
        <x:v>nonprobabilistic challenge budget</x:v>
      </x:c>
    </x:row>
    <x:row r="41">
      <x:c r="B41" s="77" t="str">
        <x:v>Terrain design-delay allowance</x:v>
      </x:c>
      <x:c r="C41" s="78" t="n">
        <x:v>3.5</x:v>
      </x:c>
      <x:c r="D41" s="77" t="str">
        <x:v>h</x:v>
      </x:c>
      <x:c r="E41" s="77" t="str">
        <x:v>Pass 88</x:v>
      </x:c>
      <x:c r="F41" s="79" t="str">
        <x:v>nonprobabilistic challenge budget</x:v>
      </x:c>
    </x:row>
    <x:row r="42">
      <x:c r="B42" s="77" t="str">
        <x:v>Air receiver length</x:v>
      </x:c>
      <x:c r="C42" s="78" t="n">
        <x:v>520</x:v>
      </x:c>
      <x:c r="D42" s="77" t="str">
        <x:v>m</x:v>
      </x:c>
      <x:c r="E42" s="77" t="str">
        <x:v>Pass 88</x:v>
      </x:c>
      <x:c r="F42" s="79" t="str">
        <x:v>three-zone controlled boundary</x:v>
      </x:c>
    </x:row>
    <x:row r="43">
      <x:c r="B43" s="77" t="str">
        <x:v>Air receiver width</x:v>
      </x:c>
      <x:c r="C43" s="78" t="n">
        <x:v>460</x:v>
      </x:c>
      <x:c r="D43" s="77" t="str">
        <x:v>m</x:v>
      </x:c>
      <x:c r="E43" s="77" t="str">
        <x:v>Pass 88</x:v>
      </x:c>
      <x:c r="F43" s="79" t="str">
        <x:v>three-zone controlled boundary</x:v>
      </x:c>
    </x:row>
    <x:row r="44">
      <x:c r="B44" s="77" t="str">
        <x:v>Terrain receiver length</x:v>
      </x:c>
      <x:c r="C44" s="78" t="n">
        <x:v>220</x:v>
      </x:c>
      <x:c r="D44" s="77" t="str">
        <x:v>m</x:v>
      </x:c>
      <x:c r="E44" s="77" t="str">
        <x:v>Pass 86</x:v>
      </x:c>
      <x:c r="F44" s="79" t="str">
        <x:v>five-vehicle grid boundary</x:v>
      </x:c>
    </x:row>
    <x:row r="45">
      <x:c r="B45" s="77" t="str">
        <x:v>Terrain receiver width</x:v>
      </x:c>
      <x:c r="C45" s="78" t="n">
        <x:v>140</x:v>
      </x:c>
      <x:c r="D45" s="77" t="str">
        <x:v>m</x:v>
      </x:c>
      <x:c r="E45" s="77" t="str">
        <x:v>Pass 86</x:v>
      </x:c>
      <x:c r="F45" s="79" t="str">
        <x:v>five-vehicle grid boundary</x:v>
      </x:c>
    </x:row>
    <x:row r="46">
      <x:c r="B46" s="77" t="str">
        <x:v>Receiver separation</x:v>
      </x:c>
      <x:c r="C46" s="78" t="n">
        <x:v>5</x:v>
      </x:c>
      <x:c r="D46" s="77" t="str">
        <x:v>km</x:v>
      </x:c>
      <x:c r="E46" s="77" t="str">
        <x:v>Pass 85</x:v>
      </x:c>
      <x:c r="F46" s="79" t="str">
        <x:v>independent pre-release casualty zones</x:v>
      </x:c>
    </x:row>
    <x:row r="47">
      <x:c r="B47" s="77" t="str">
        <x:v>Baseline DCP-2 program</x:v>
      </x:c>
      <x:c r="C47" s="78" t="n">
        <x:v>3777.3011</x:v>
      </x:c>
      <x:c r="D47" s="77" t="str">
        <x:v>$B</x:v>
      </x:c>
      <x:c r="E47" s="77" t="str">
        <x:v>Pass 87</x:v>
      </x:c>
      <x:c r="F47" s="79" t="str">
        <x:v>current two-mode comparator</x:v>
      </x:c>
    </x:row>
    <x:row r="48">
      <x:c r="B48" s="77" t="str">
        <x:v>Air reinforcement increment</x:v>
      </x:c>
      <x:c r="C48" s="78" t="n">
        <x:v>551.14745</x:v>
      </x:c>
      <x:c r="D48" s="77" t="str">
        <x:v>$B</x:v>
      </x:c>
      <x:c r="E48" s="77" t="str">
        <x:v>Pass 88</x:v>
      </x:c>
      <x:c r="F48" s="79" t="str">
        <x:v>third vehicle, reserve, base and industrial expansion</x:v>
      </x:c>
    </x:row>
    <x:row r="49">
      <x:c r="B49" s="77" t="str">
        <x:v>Terrain reinforcement increment</x:v>
      </x:c>
      <x:c r="C49" s="78" t="n">
        <x:v>292.34864</x:v>
      </x:c>
      <x:c r="D49" s="77" t="str">
        <x:v>$B</x:v>
      </x:c>
      <x:c r="E49" s="77" t="str">
        <x:v>Pass 88</x:v>
      </x:c>
      <x:c r="F49" s="79" t="str">
        <x:v>fifth vehicle, reserve, base and industrial expansion</x:v>
      </x:c>
    </x:row>
    <x:row r="50">
      <x:c r="B50" s="77" t="str">
        <x:v>Receiver expansion increment</x:v>
      </x:c>
      <x:c r="C50" s="78" t="n">
        <x:v>80</x:v>
      </x:c>
      <x:c r="D50" s="77" t="str">
        <x:v>$B</x:v>
      </x:c>
      <x:c r="E50" s="77" t="str">
        <x:v>Pass 88</x:v>
      </x:c>
      <x:c r="F50" s="79" t="str">
        <x:v>triple-air and five-terrain operating geometry</x:v>
      </x:c>
    </x:row>
    <x:row r="51">
      <x:c r="B51" s="77" t="str">
        <x:v>ESK and independence increment</x:v>
      </x:c>
      <x:c r="C51" s="78" t="n">
        <x:v>240</x:v>
      </x:c>
      <x:c r="D51" s="77" t="str">
        <x:v>$B</x:v>
      </x:c>
      <x:c r="E51" s="77" t="str">
        <x:v>Pass 88</x:v>
      </x:c>
      <x:c r="F51" s="79" t="str">
        <x:v>two payload lineages, quorum control and proof</x:v>
      </x:c>
    </x:row>
    <x:row r="52">
      <x:c r="B52" s="77" t="str">
        <x:v>Full duplication increment</x:v>
      </x:c>
      <x:c r="C52" s="78" t="n">
        <x:v>2226.57514</x:v>
      </x:c>
      <x:c r="D52" s="77" t="str">
        <x:v>$B</x:v>
      </x:c>
      <x:c r="E52" s="77" t="str">
        <x:v>Pass 88</x:v>
      </x:c>
      <x:c r="F52" s="79" t="str">
        <x:v>second complete two-mode formation</x:v>
      </x:c>
    </x:row>
    <x:row r="53">
      <x:c r="B53" s="77" t="str">
        <x:v>National base outside DCP-2</x:v>
      </x:c>
      <x:c r="C53" s="78" t="n">
        <x:v>7383.14155</x:v>
      </x:c>
      <x:c r="D53" s="77" t="str">
        <x:v>$B</x:v>
      </x:c>
      <x:c r="E53" s="77" t="str">
        <x:v>Pass 87</x:v>
      </x:c>
      <x:c r="F53" s="79" t="str">
        <x:v>unchanged dynamic one-region base</x:v>
      </x:c>
    </x:row>
    <x:row r="54">
      <x:c r="B54" s="77" t="str">
        <x:v>Baseline deployed workforce</x:v>
      </x:c>
      <x:c r="C54" s="78" t="n">
        <x:v>758</x:v>
      </x:c>
      <x:c r="D54" s="77" t="str">
        <x:v>people</x:v>
      </x:c>
      <x:c r="E54" s="77" t="str">
        <x:v>Pass 87</x:v>
      </x:c>
      <x:c r="F54" s="79" t="str">
        <x:v>current DCP-2</x:v>
      </x:c>
    </x:row>
    <x:row r="55">
      <x:c r="B55" s="77" t="str">
        <x:v>Baseline affiliated workforce</x:v>
      </x:c>
      <x:c r="C55" s="78" t="n">
        <x:v>1699</x:v>
      </x:c>
      <x:c r="D55" s="77" t="str">
        <x:v>positions</x:v>
      </x:c>
      <x:c r="E55" s="77" t="str">
        <x:v>Pass 87</x:v>
      </x:c>
      <x:c r="F55" s="79" t="str">
        <x:v>current DCP-2</x:v>
      </x:c>
    </x:row>
    <x:row r="56">
      <x:c r="B56" s="77" t="str">
        <x:v>Baseline minimum watch</x:v>
      </x:c>
      <x:c r="C56" s="78" t="n">
        <x:v>244</x:v>
      </x:c>
      <x:c r="D56" s="77" t="str">
        <x:v>people</x:v>
      </x:c>
      <x:c r="E56" s="77" t="str">
        <x:v>Pass 87</x:v>
      </x:c>
      <x:c r="F56" s="79" t="str">
        <x:v>current DCP-2</x:v>
      </x:c>
    </x:row>
    <x:row r="57">
      <x:c r="B57" s="77" t="str">
        <x:v>Air reinforcement deployed</x:v>
      </x:c>
      <x:c r="C57" s="78" t="n">
        <x:v>44</x:v>
      </x:c>
      <x:c r="D57" s="77" t="str">
        <x:v>people</x:v>
      </x:c>
      <x:c r="E57" s="77" t="str">
        <x:v>Pass 88</x:v>
      </x:c>
      <x:c r="F57" s="79" t="str">
        <x:v>third-aircraft crew and technical depth</x:v>
      </x:c>
    </x:row>
    <x:row r="58">
      <x:c r="B58" s="77" t="str">
        <x:v>Air reinforcement affiliated</x:v>
      </x:c>
      <x:c r="C58" s="78" t="n">
        <x:v>96</x:v>
      </x:c>
      <x:c r="D58" s="77" t="str">
        <x:v>positions</x:v>
      </x:c>
      <x:c r="E58" s="77" t="str">
        <x:v>Pass 88</x:v>
      </x:c>
      <x:c r="F58" s="79" t="str">
        <x:v>relief, schools and depot depth</x:v>
      </x:c>
    </x:row>
    <x:row r="59">
      <x:c r="B59" s="77" t="str">
        <x:v>Air reinforcement watch</x:v>
      </x:c>
      <x:c r="C59" s="78" t="n">
        <x:v>14</x:v>
      </x:c>
      <x:c r="D59" s="77" t="str">
        <x:v>people</x:v>
      </x:c>
      <x:c r="E59" s="77" t="str">
        <x:v>Pass 88</x:v>
      </x:c>
      <x:c r="F59" s="79" t="str">
        <x:v>additional ready-line watch</x:v>
      </x:c>
    </x:row>
    <x:row r="60">
      <x:c r="B60" s="77" t="str">
        <x:v>Terrain reinforcement deployed</x:v>
      </x:c>
      <x:c r="C60" s="78" t="n">
        <x:v>32</x:v>
      </x:c>
      <x:c r="D60" s="77" t="str">
        <x:v>people</x:v>
      </x:c>
      <x:c r="E60" s="77" t="str">
        <x:v>Pass 88</x:v>
      </x:c>
      <x:c r="F60" s="79" t="str">
        <x:v>fifth-vehicle crew and technical depth</x:v>
      </x:c>
    </x:row>
    <x:row r="61">
      <x:c r="B61" s="77" t="str">
        <x:v>Terrain reinforcement affiliated</x:v>
      </x:c>
      <x:c r="C61" s="78" t="n">
        <x:v>72</x:v>
      </x:c>
      <x:c r="D61" s="77" t="str">
        <x:v>positions</x:v>
      </x:c>
      <x:c r="E61" s="77" t="str">
        <x:v>Pass 88</x:v>
      </x:c>
      <x:c r="F61" s="79" t="str">
        <x:v>relief, schools and depot depth</x:v>
      </x:c>
    </x:row>
    <x:row r="62">
      <x:c r="B62" s="77" t="str">
        <x:v>Terrain reinforcement watch</x:v>
      </x:c>
      <x:c r="C62" s="78" t="n">
        <x:v>8</x:v>
      </x:c>
      <x:c r="D62" s="77" t="str">
        <x:v>people</x:v>
      </x:c>
      <x:c r="E62" s="77" t="str">
        <x:v>Pass 88</x:v>
      </x:c>
      <x:c r="F62" s="79" t="str">
        <x:v>additional ready-line watch</x:v>
      </x:c>
    </x:row>
    <x:row r="63">
      <x:c r="B63" s="77" t="str">
        <x:v>ESK and assurance deployed</x:v>
      </x:c>
      <x:c r="C63" s="78" t="n">
        <x:v>48</x:v>
      </x:c>
      <x:c r="D63" s="77" t="str">
        <x:v>people</x:v>
      </x:c>
      <x:c r="E63" s="77" t="str">
        <x:v>Pass 88</x:v>
      </x:c>
      <x:c r="F63" s="79" t="str">
        <x:v>quorum, assay, configuration and ancestry</x:v>
      </x:c>
    </x:row>
    <x:row r="64">
      <x:c r="B64" s="77" t="str">
        <x:v>ESK and assurance affiliated</x:v>
      </x:c>
      <x:c r="C64" s="78" t="n">
        <x:v>110</x:v>
      </x:c>
      <x:c r="D64" s="77" t="str">
        <x:v>positions</x:v>
      </x:c>
      <x:c r="E64" s="77" t="str">
        <x:v>Pass 88</x:v>
      </x:c>
      <x:c r="F64" s="79" t="str">
        <x:v>independent payload and test professions</x:v>
      </x:c>
    </x:row>
    <x:row r="65">
      <x:c r="B65" s="77" t="str">
        <x:v>ESK and assurance watch</x:v>
      </x:c>
      <x:c r="C65" s="78" t="n">
        <x:v>12</x:v>
      </x:c>
      <x:c r="D65" s="77" t="str">
        <x:v>people</x:v>
      </x:c>
      <x:c r="E65" s="77" t="str">
        <x:v>Pass 88</x:v>
      </x:c>
      <x:c r="F65" s="79" t="str">
        <x:v>continuous configuration authority</x:v>
      </x:c>
    </x:row>
    <x:row r="66">
      <x:c r="B66" s="77" t="str">
        <x:v>Receiver expansion deployed</x:v>
      </x:c>
      <x:c r="C66" s="78" t="n">
        <x:v>24</x:v>
      </x:c>
      <x:c r="D66" s="77" t="str">
        <x:v>people</x:v>
      </x:c>
      <x:c r="E66" s="77" t="str">
        <x:v>Pass 88</x:v>
      </x:c>
      <x:c r="F66" s="79" t="str">
        <x:v>additional controlled zones</x:v>
      </x:c>
    </x:row>
    <x:row r="67">
      <x:c r="B67" s="77" t="str">
        <x:v>Receiver expansion affiliated</x:v>
      </x:c>
      <x:c r="C67" s="78" t="n">
        <x:v>54</x:v>
      </x:c>
      <x:c r="D67" s="77" t="str">
        <x:v>positions</x:v>
      </x:c>
      <x:c r="E67" s="77" t="str">
        <x:v>Pass 88</x:v>
      </x:c>
      <x:c r="F67" s="79" t="str">
        <x:v>receiver relief and training</x:v>
      </x:c>
    </x:row>
    <x:row r="68">
      <x:c r="B68" s="77" t="str">
        <x:v>Receiver expansion watch</x:v>
      </x:c>
      <x:c r="C68" s="78" t="n">
        <x:v>6</x:v>
      </x:c>
      <x:c r="D68" s="77" t="str">
        <x:v>people</x:v>
      </x:c>
      <x:c r="E68" s="77" t="str">
        <x:v>Pass 88</x:v>
      </x:c>
      <x:c r="F68" s="79" t="str">
        <x:v>continuous receiver readiness</x:v>
      </x:c>
    </x:row>
    <x:row r="69">
      <x:c r="B69" s="80" t="str">
        <x:v>Rendering authorization</x:v>
      </x:c>
      <x:c r="C69" s="81" t="n">
        <x:v>0</x:v>
      </x:c>
      <x:c r="D69" s="80" t="str">
        <x:v>binary</x:v>
      </x:c>
      <x:c r="E69" s="80" t="str">
        <x:v>governance</x:v>
      </x:c>
      <x:c r="F69" s="82" t="str">
        <x:v>blocked pending representative ESK and mission evidence</x:v>
      </x:c>
    </x:row>
    <x:row r="70">
      <x:c r="B70" s="58"/>
      <x:c r="C70" s="58"/>
      <x:c r="D70" s="58"/>
      <x:c r="E70" s="58"/>
      <x:c r="F70" s="58"/>
    </x:row>
    <x:row r="71">
      <x:c r="B71" s="58"/>
      <x:c r="C71" s="58"/>
      <x:c r="D71" s="58"/>
      <x:c r="E71" s="58"/>
      <x:c r="F71" s="58"/>
    </x:row>
    <x:row r="72">
      <x:c r="B72" s="58"/>
      <x:c r="C72" s="58"/>
      <x:c r="D72" s="58"/>
      <x:c r="E72" s="58"/>
      <x:c r="F72" s="58"/>
    </x:row>
    <x:row r="73">
      <x:c r="B73" s="58"/>
      <x:c r="C73" s="58"/>
      <x:c r="D73" s="58"/>
      <x:c r="E73" s="58"/>
      <x:c r="F73" s="58"/>
    </x:row>
    <x:row r="74">
      <x:c r="B74" s="58"/>
      <x:c r="C74" s="58"/>
      <x:c r="D74" s="58"/>
      <x:c r="E74" s="58"/>
      <x:c r="F74" s="58"/>
    </x:row>
    <x:row r="75">
      <x:c r="B75" s="58"/>
      <x:c r="C75" s="58"/>
      <x:c r="D75" s="58"/>
      <x:c r="E75" s="58"/>
      <x:c r="F75" s="58"/>
    </x:row>
    <x:row r="76">
      <x:c r="B76" s="58"/>
      <x:c r="C76" s="58"/>
      <x:c r="D76" s="58"/>
      <x:c r="E76" s="58"/>
      <x:c r="F76" s="58"/>
    </x:row>
    <x:row r="77">
      <x:c r="B77" s="58"/>
      <x:c r="C77" s="58"/>
      <x:c r="D77" s="58"/>
      <x:c r="E77" s="58"/>
      <x:c r="F77" s="58"/>
    </x:row>
    <x:row r="78">
      <x:c r="B78" s="58"/>
      <x:c r="C78" s="58"/>
      <x:c r="D78" s="58"/>
      <x:c r="E78" s="58"/>
      <x:c r="F78" s="58"/>
    </x:row>
    <x:row r="79">
      <x:c r="B79" s="58"/>
      <x:c r="C79" s="58"/>
      <x:c r="D79" s="58"/>
      <x:c r="E79" s="58"/>
      <x:c r="F79" s="58"/>
    </x:row>
    <x:row r="80">
      <x:c r="B80" s="58"/>
      <x:c r="C80" s="58"/>
      <x:c r="D80" s="58"/>
      <x:c r="E80" s="58"/>
      <x:c r="F80" s="58"/>
    </x:row>
    <x:row r="81">
      <x:c r="B81" s="58"/>
      <x:c r="C81" s="58"/>
      <x:c r="D81" s="58"/>
      <x:c r="E81" s="58"/>
      <x:c r="F81" s="58"/>
    </x:row>
    <x:row r="82">
      <x:c r="B82" s="58"/>
      <x:c r="C82" s="58"/>
      <x:c r="D82" s="58"/>
      <x:c r="E82" s="58"/>
      <x:c r="F82" s="58"/>
    </x:row>
    <x:row r="83">
      <x:c r="B83" s="58"/>
      <x:c r="C83" s="58"/>
      <x:c r="D83" s="58"/>
      <x:c r="E83" s="58"/>
      <x:c r="F83" s="58"/>
    </x:row>
    <x:row r="84">
      <x:c r="B84" s="58"/>
      <x:c r="C84" s="58"/>
      <x:c r="D84" s="58"/>
      <x:c r="E84" s="58"/>
      <x:c r="F84" s="58"/>
    </x:row>
    <x:row r="85">
      <x:c r="B85" s="58"/>
      <x:c r="C85" s="58"/>
      <x:c r="D85" s="58"/>
      <x:c r="E85" s="58"/>
      <x:c r="F85" s="58"/>
    </x:row>
    <x:row r="86">
      <x:c r="B86" s="58"/>
      <x:c r="C86" s="58"/>
      <x:c r="D86" s="58"/>
      <x:c r="E86" s="58"/>
      <x:c r="F86" s="58"/>
    </x:row>
    <x:row r="87">
      <x:c r="B87" s="58"/>
      <x:c r="C87" s="58"/>
      <x:c r="D87" s="58"/>
      <x:c r="E87" s="58"/>
      <x:c r="F87" s="58"/>
    </x:row>
    <x:row r="88">
      <x:c r="B88" s="58"/>
      <x:c r="C88" s="58"/>
      <x:c r="D88" s="58"/>
      <x:c r="E88" s="58"/>
      <x:c r="F88" s="58"/>
    </x:row>
    <x:row r="89">
      <x:c r="B89" s="58"/>
      <x:c r="C89" s="58"/>
      <x:c r="D89" s="58"/>
      <x:c r="E89" s="58"/>
      <x:c r="F89" s="58"/>
    </x:row>
    <x:row r="90">
      <x:c r="B90" s="58"/>
      <x:c r="C90" s="58"/>
      <x:c r="D90" s="58"/>
      <x:c r="E90" s="58"/>
      <x:c r="F90" s="58"/>
    </x:row>
    <x:row r="91">
      <x:c r="B91" s="58"/>
      <x:c r="C91" s="58"/>
      <x:c r="D91" s="58"/>
      <x:c r="E91" s="58"/>
      <x:c r="F91" s="58"/>
    </x:row>
    <x:row r="92">
      <x:c r="B92" s="58"/>
      <x:c r="C92" s="58"/>
      <x:c r="D92" s="58"/>
      <x:c r="E92" s="58"/>
      <x:c r="F92" s="58"/>
    </x:row>
    <x:row r="93">
      <x:c r="B93" s="58"/>
      <x:c r="C93" s="58"/>
      <x:c r="D93" s="58"/>
      <x:c r="E93" s="58"/>
      <x:c r="F93" s="58"/>
    </x:row>
    <x:row r="94">
      <x:c r="B94" s="58"/>
      <x:c r="C94" s="58"/>
      <x:c r="D94" s="58"/>
      <x:c r="E94" s="58"/>
      <x:c r="F94" s="58"/>
    </x:row>
    <x:row r="95">
      <x:c r="B95" s="58"/>
      <x:c r="C95" s="58"/>
      <x:c r="D95" s="58"/>
      <x:c r="E95" s="58"/>
      <x:c r="F95" s="58"/>
    </x:row>
    <x:row r="96">
      <x:c r="B96" s="58"/>
      <x:c r="C96" s="58"/>
      <x:c r="D96" s="58"/>
      <x:c r="E96" s="58"/>
      <x:c r="F96" s="58"/>
    </x:row>
    <x:row r="97">
      <x:c r="B97" s="58"/>
      <x:c r="C97" s="58"/>
      <x:c r="D97" s="58"/>
      <x:c r="E97" s="58"/>
      <x:c r="F97" s="58"/>
    </x:row>
    <x:row r="98">
      <x:c r="B98" s="58"/>
      <x:c r="C98" s="58"/>
      <x:c r="D98" s="58"/>
      <x:c r="E98" s="58"/>
      <x:c r="F98" s="58"/>
    </x:row>
    <x:row r="99">
      <x:c r="B99" s="58"/>
      <x:c r="C99" s="58"/>
      <x:c r="D99" s="58"/>
      <x:c r="E99" s="58"/>
      <x:c r="F99" s="58"/>
    </x:row>
    <x:row r="100">
      <x:c r="B100" s="58"/>
      <x:c r="C100" s="58"/>
      <x:c r="D100" s="58"/>
      <x:c r="E100" s="58"/>
      <x:c r="F100" s="58"/>
    </x:row>
    <x:row r="101">
      <x:c r="B101" s="58"/>
      <x:c r="C101" s="58"/>
      <x:c r="D101" s="58"/>
      <x:c r="E101" s="58"/>
      <x:c r="F101" s="58"/>
    </x:row>
    <x:row r="102">
      <x:c r="B102" s="58"/>
      <x:c r="C102" s="58"/>
      <x:c r="D102" s="58"/>
      <x:c r="E102" s="58"/>
      <x:c r="F102" s="58"/>
    </x:row>
    <x:row r="103">
      <x:c r="B103" s="58"/>
      <x:c r="C103" s="58"/>
      <x:c r="D103" s="58"/>
      <x:c r="E103" s="58"/>
      <x:c r="F103" s="58"/>
    </x:row>
    <x:row r="104">
      <x:c r="B104" s="58"/>
      <x:c r="C104" s="58"/>
      <x:c r="D104" s="58"/>
      <x:c r="E104" s="58"/>
      <x:c r="F104" s="58"/>
    </x:row>
    <x:row r="105">
      <x:c r="B105" s="58"/>
      <x:c r="C105" s="58"/>
      <x:c r="D105" s="58"/>
      <x:c r="E105" s="58"/>
      <x:c r="F105" s="58"/>
    </x:row>
    <x:row r="106">
      <x:c r="B106" s="58"/>
      <x:c r="C106" s="58"/>
      <x:c r="D106" s="58"/>
      <x:c r="E106" s="58"/>
      <x:c r="F106" s="58"/>
    </x:row>
    <x:row r="107">
      <x:c r="B107" s="58"/>
      <x:c r="C107" s="58"/>
      <x:c r="D107" s="58"/>
      <x:c r="E107" s="58"/>
      <x:c r="F107" s="58"/>
    </x:row>
    <x:row r="108">
      <x:c r="B108" s="58"/>
      <x:c r="C108" s="58"/>
      <x:c r="D108" s="58"/>
      <x:c r="E108" s="58"/>
      <x:c r="F108" s="58"/>
    </x:row>
    <x:row r="109">
      <x:c r="B109" s="58"/>
      <x:c r="C109" s="58"/>
      <x:c r="D109" s="58"/>
      <x:c r="E109" s="58"/>
      <x:c r="F109" s="58"/>
    </x:row>
    <x:row r="110">
      <x:c r="B110" s="58"/>
      <x:c r="C110" s="58"/>
      <x:c r="D110" s="58"/>
      <x:c r="E110" s="58"/>
      <x:c r="F110" s="58"/>
    </x:row>
    <x:row r="111">
      <x:c r="B111" s="58"/>
      <x:c r="C111" s="58"/>
      <x:c r="D111" s="58"/>
      <x:c r="E111" s="58"/>
      <x:c r="F111" s="58"/>
    </x:row>
    <x:row r="112">
      <x:c r="B112" s="58"/>
      <x:c r="C112" s="58"/>
      <x:c r="D112" s="58"/>
      <x:c r="E112" s="58"/>
      <x:c r="F112" s="58"/>
    </x:row>
    <x:row r="113">
      <x:c r="B113" s="58"/>
      <x:c r="C113" s="58"/>
      <x:c r="D113" s="58"/>
      <x:c r="E113" s="58"/>
      <x:c r="F113" s="58"/>
    </x:row>
    <x:row r="114">
      <x:c r="B114" s="58"/>
      <x:c r="C114" s="58"/>
      <x:c r="D114" s="58"/>
      <x:c r="E114" s="58"/>
      <x:c r="F114" s="58"/>
    </x:row>
    <x:row r="115">
      <x:c r="B115" s="58"/>
      <x:c r="C115" s="58"/>
      <x:c r="D115" s="58"/>
      <x:c r="E115" s="58"/>
      <x:c r="F115" s="58"/>
    </x:row>
  </x:sheetData>
  <x:mergeCells>
    <x:mergeCell ref="B2:H2"/>
    <x:mergeCell ref="B3:H3"/>
    <x:mergeCell ref="B6:F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4" hidden="0" customWidth="1"/>
    <x:col min="4" max="4" width="30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22" hidden="0" customWidth="1"/>
    <x:col min="10" max="10" width="13" hidden="0" customWidth="1"/>
    <x:col min="11" max="11" width="26" hidden="0" customWidth="1"/>
    <x:col min="12" max="12" width="16" hidden="0" customWidth="1"/>
    <x:col min="13" max="13" width="18" hidden="0" customWidth="1"/>
    <x:col min="14" max="14" width="30" hidden="0" customWidth="1"/>
  </x:cols>
  <x:sheetData>
    <x:row r="2">
      <x:c r="B2" s="96" t="str">
        <x:v>One public effect, two carriage modes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97" t="str">
        <x:v>A common service vector prevents vehicle count or payload mass from substituting for a complete civilian effect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99" t="str">
        <x:v>Canonical service-vector constitution</x:v>
      </x:c>
      <x:c r="C6" s="100" t="str">
        <x:v>Canonical service-vector constitution</x:v>
      </x:c>
      <x:c r="D6" s="100" t="str">
        <x:v>Canonical service-vector constitution</x:v>
      </x:c>
      <x:c r="E6" s="100" t="str">
        <x:v>Canonical service-vector constitution</x:v>
      </x:c>
      <x:c r="F6" s="100" t="str">
        <x:v>Canonical service-vector constitution</x:v>
      </x:c>
      <x:c r="G6" s="100" t="str">
        <x:v>Canonical service-vector constitution</x:v>
      </x:c>
      <x:c r="H6" s="100" t="str">
        <x:v>Canonical service-vector constitution</x:v>
      </x:c>
      <x:c r="I6" s="100" t="str">
        <x:v>Canonical service-vector constitution</x:v>
      </x:c>
      <x:c r="J6" s="100" t="str">
        <x:v>Canonical service-vector constitution</x:v>
      </x:c>
      <x:c r="K6" s="100" t="str">
        <x:v>Canonical service-vector constitution</x:v>
      </x:c>
      <x:c r="L6" s="100" t="str">
        <x:v>Canonical service-vector constitution</x:v>
      </x:c>
      <x:c r="M6" s="100" t="str">
        <x:v>Canonical service-vector constitution</x:v>
      </x:c>
      <x:c r="N6" s="101" t="str">
        <x:v>Canonical service-vector constitution</x:v>
      </x:c>
    </x:row>
    <x:row r="7">
      <x:c r="B7" s="18" t="str">
        <x:v>ID</x:v>
      </x:c>
      <x:c r="C7" s="19" t="str">
        <x:v>Functional family</x:v>
      </x:c>
      <x:c r="D7" s="19" t="str">
        <x:v>Required state</x:v>
      </x:c>
      <x:c r="E7" s="19" t="str">
        <x:v>Service floor</x:v>
      </x:c>
      <x:c r="F7" s="19" t="str">
        <x:v>Tile family</x:v>
      </x:c>
      <x:c r="G7" s="19" t="str">
        <x:v>Tiles at service</x:v>
      </x:c>
      <x:c r="H7" s="19" t="str">
        <x:v>Capacity/tile</x:v>
      </x:c>
      <x:c r="I7" s="19" t="str">
        <x:v>Capacity after one tile loss</x:v>
      </x:c>
      <x:c r="J7" s="19" t="str">
        <x:v>Result</x:v>
      </x:c>
      <x:c r="K7" s="19" t="str">
        <x:v>Public release owner</x:v>
      </x:c>
      <x:c r="L7" s="19" t="str">
        <x:v>Air implementation</x:v>
      </x:c>
      <x:c r="M7" s="19" t="str">
        <x:v>Terrain implementation</x:v>
      </x:c>
      <x:c r="N7" s="19" t="str">
        <x:v>Common standard</x:v>
      </x:c>
    </x:row>
    <x:row r="8">
      <x:c r="B8" s="77" t="str">
        <x:v>S01</x:v>
      </x:c>
      <x:c r="C8" s="77" t="str">
        <x:v>firm power and protection</x:v>
      </x:c>
      <x:c r="D8" s="77" t="str">
        <x:v>energized island</x:v>
      </x:c>
      <x:c r="E8" s="77" t="n">
        <x:v>100</x:v>
      </x:c>
      <x:c r="F8" s="77" t="str">
        <x:v>E</x:v>
      </x:c>
      <x:c r="G8" s="77" t="n">
        <x:f>Assumptions!C10</x:f>
        <x:v>8</x:v>
      </x:c>
      <x:c r="H8" s="77" t="n">
        <x:f>Assumptions!C12</x:f>
        <x:v>14.285714286</x:v>
      </x:c>
      <x:c r="I8" s="77" t="n">
        <x:f>(G8-1)*H8</x:f>
        <x:v>100.000000002</x:v>
      </x:c>
      <x:c r="J8" s="77" t="str">
        <x:f>IF(I8&gt;=E8,"PASS","FAIL")</x:f>
        <x:v>PASS</x:v>
      </x:c>
      <x:c r="K8" s="77" t="str">
        <x:v>Energy Release Authority</x:v>
      </x:c>
      <x:c r="L8" s="77" t="str">
        <x:v>EA</x:v>
      </x:c>
      <x:c r="M8" s="77" t="str">
        <x:v>ET</x:v>
      </x:c>
      <x:c r="N8" s="79" t="str">
        <x:v>electrical service semantics</x:v>
      </x:c>
    </x:row>
    <x:row r="9">
      <x:c r="B9" s="77" t="str">
        <x:v>S02</x:v>
      </x:c>
      <x:c r="C9" s="77" t="str">
        <x:v>black start and ride-through</x:v>
      </x:c>
      <x:c r="D9" s="77" t="str">
        <x:v>dead-bus recovery</x:v>
      </x:c>
      <x:c r="E9" s="77" t="n">
        <x:v>100</x:v>
      </x:c>
      <x:c r="F9" s="77" t="str">
        <x:v>E</x:v>
      </x:c>
      <x:c r="G9" s="77" t="n">
        <x:f>Assumptions!C10</x:f>
        <x:v>8</x:v>
      </x:c>
      <x:c r="H9" s="77" t="n">
        <x:f>Assumptions!C12</x:f>
        <x:v>14.285714286</x:v>
      </x:c>
      <x:c r="I9" s="77" t="n">
        <x:f>(G9-1)*H9</x:f>
        <x:v>100.000000002</x:v>
      </x:c>
      <x:c r="J9" s="77" t="str">
        <x:f>IF(I9&gt;=E9,"PASS","FAIL")</x:f>
        <x:v>PASS</x:v>
      </x:c>
      <x:c r="K9" s="77" t="str">
        <x:v>Energy Release Authority</x:v>
      </x:c>
      <x:c r="L9" s="77" t="str">
        <x:v>EA</x:v>
      </x:c>
      <x:c r="M9" s="77" t="str">
        <x:v>ET</x:v>
      </x:c>
      <x:c r="N9" s="79" t="str">
        <x:v>black-start test interface</x:v>
      </x:c>
    </x:row>
    <x:row r="10">
      <x:c r="B10" s="77" t="str">
        <x:v>S03</x:v>
      </x:c>
      <x:c r="C10" s="77" t="str">
        <x:v>safe water and storage</x:v>
      </x:c>
      <x:c r="D10" s="77" t="str">
        <x:v>assayed product</x:v>
      </x:c>
      <x:c r="E10" s="77" t="n">
        <x:v>100</x:v>
      </x:c>
      <x:c r="F10" s="77" t="str">
        <x:v>W</x:v>
      </x:c>
      <x:c r="G10" s="77" t="n">
        <x:f>Assumptions!C10</x:f>
        <x:v>8</x:v>
      </x:c>
      <x:c r="H10" s="77" t="n">
        <x:f>Assumptions!C12</x:f>
        <x:v>14.285714286</x:v>
      </x:c>
      <x:c r="I10" s="77" t="n">
        <x:f>(G10-1)*H10</x:f>
        <x:v>100.000000002</x:v>
      </x:c>
      <x:c r="J10" s="77" t="str">
        <x:f>IF(I10&gt;=E10,"PASS","FAIL")</x:f>
        <x:v>PASS</x:v>
      </x:c>
      <x:c r="K10" s="77" t="str">
        <x:v>Water Quality Authority</x:v>
      </x:c>
      <x:c r="L10" s="77" t="str">
        <x:v>WA</x:v>
      </x:c>
      <x:c r="M10" s="77" t="str">
        <x:v>WT</x:v>
      </x:c>
      <x:c r="N10" s="79" t="str">
        <x:v>water quality and custody</x:v>
      </x:c>
    </x:row>
    <x:row r="11">
      <x:c r="B11" s="77" t="str">
        <x:v>S04</x:v>
      </x:c>
      <x:c r="C11" s="77" t="str">
        <x:v>wastewater and residuals</x:v>
      </x:c>
      <x:c r="D11" s="77" t="str">
        <x:v>contained process</x:v>
      </x:c>
      <x:c r="E11" s="77" t="n">
        <x:v>100</x:v>
      </x:c>
      <x:c r="F11" s="77" t="str">
        <x:v>W</x:v>
      </x:c>
      <x:c r="G11" s="77" t="n">
        <x:f>Assumptions!C10</x:f>
        <x:v>8</x:v>
      </x:c>
      <x:c r="H11" s="77" t="n">
        <x:f>Assumptions!C12</x:f>
        <x:v>14.285714286</x:v>
      </x:c>
      <x:c r="I11" s="77" t="n">
        <x:f>(G11-1)*H11</x:f>
        <x:v>100.000000002</x:v>
      </x:c>
      <x:c r="J11" s="77" t="str">
        <x:f>IF(I11&gt;=E11,"PASS","FAIL")</x:f>
        <x:v>PASS</x:v>
      </x:c>
      <x:c r="K11" s="77" t="str">
        <x:v>Residuals Authority</x:v>
      </x:c>
      <x:c r="L11" s="77" t="str">
        <x:v>WA</x:v>
      </x:c>
      <x:c r="M11" s="77" t="str">
        <x:v>WT</x:v>
      </x:c>
      <x:c r="N11" s="79" t="str">
        <x:v>residual custody grammar</x:v>
      </x:c>
    </x:row>
    <x:row r="12">
      <x:c r="B12" s="77" t="str">
        <x:v>S05</x:v>
      </x:c>
      <x:c r="C12" s="77" t="str">
        <x:v>useful cooling</x:v>
      </x:c>
      <x:c r="D12" s="77" t="str">
        <x:v>occupied delivery</x:v>
      </x:c>
      <x:c r="E12" s="77" t="n">
        <x:v>100</x:v>
      </x:c>
      <x:c r="F12" s="77" t="str">
        <x:v>T</x:v>
      </x:c>
      <x:c r="G12" s="77" t="n">
        <x:f>Assumptions!C10</x:f>
        <x:v>8</x:v>
      </x:c>
      <x:c r="H12" s="77" t="n">
        <x:f>Assumptions!C12</x:f>
        <x:v>14.285714286</x:v>
      </x:c>
      <x:c r="I12" s="77" t="n">
        <x:f>(G12-1)*H12</x:f>
        <x:v>100.000000002</x:v>
      </x:c>
      <x:c r="J12" s="77" t="str">
        <x:f>IF(I12&gt;=E12,"PASS","FAIL")</x:f>
        <x:v>PASS</x:v>
      </x:c>
      <x:c r="K12" s="77" t="str">
        <x:v>Thermal Safety Authority</x:v>
      </x:c>
      <x:c r="L12" s="77" t="str">
        <x:v>TA</x:v>
      </x:c>
      <x:c r="M12" s="77" t="str">
        <x:v>TT</x:v>
      </x:c>
      <x:c r="N12" s="79" t="str">
        <x:v>thermal service semantics</x:v>
      </x:c>
    </x:row>
    <x:row r="13">
      <x:c r="B13" s="77" t="str">
        <x:v>S06</x:v>
      </x:c>
      <x:c r="C13" s="77" t="str">
        <x:v>final heat rejection</x:v>
      </x:c>
      <x:c r="D13" s="77" t="str">
        <x:v>independent sink</x:v>
      </x:c>
      <x:c r="E13" s="77" t="n">
        <x:v>100</x:v>
      </x:c>
      <x:c r="F13" s="77" t="str">
        <x:v>T</x:v>
      </x:c>
      <x:c r="G13" s="77" t="n">
        <x:f>Assumptions!C10</x:f>
        <x:v>8</x:v>
      </x:c>
      <x:c r="H13" s="77" t="n">
        <x:f>Assumptions!C12</x:f>
        <x:v>14.285714286</x:v>
      </x:c>
      <x:c r="I13" s="77" t="n">
        <x:f>(G13-1)*H13</x:f>
        <x:v>100.000000002</x:v>
      </x:c>
      <x:c r="J13" s="77" t="str">
        <x:f>IF(I13&gt;=E13,"PASS","FAIL")</x:f>
        <x:v>PASS</x:v>
      </x:c>
      <x:c r="K13" s="77" t="str">
        <x:v>Thermal Safety Authority</x:v>
      </x:c>
      <x:c r="L13" s="77" t="str">
        <x:v>TA</x:v>
      </x:c>
      <x:c r="M13" s="77" t="str">
        <x:v>TT</x:v>
      </x:c>
      <x:c r="N13" s="79" t="str">
        <x:v>heat and plume test interface</x:v>
      </x:c>
    </x:row>
    <x:row r="14">
      <x:c r="B14" s="77" t="str">
        <x:v>S07</x:v>
      </x:c>
      <x:c r="C14" s="77" t="str">
        <x:v>electric and fluid distribution</x:v>
      </x:c>
      <x:c r="D14" s="77" t="str">
        <x:v>protected routes</x:v>
      </x:c>
      <x:c r="E14" s="77" t="n">
        <x:v>100</x:v>
      </x:c>
      <x:c r="F14" s="77" t="str">
        <x:v>D</x:v>
      </x:c>
      <x:c r="G14" s="77" t="n">
        <x:f>Assumptions!C10</x:f>
        <x:v>8</x:v>
      </x:c>
      <x:c r="H14" s="77" t="n">
        <x:f>Assumptions!C12</x:f>
        <x:v>14.285714286</x:v>
      </x:c>
      <x:c r="I14" s="77" t="n">
        <x:f>(G14-1)*H14</x:f>
        <x:v>100.000000002</x:v>
      </x:c>
      <x:c r="J14" s="77" t="str">
        <x:f>IF(I14&gt;=E14,"PASS","FAIL")</x:f>
        <x:v>PASS</x:v>
      </x:c>
      <x:c r="K14" s="77" t="str">
        <x:v>Distribution Authority</x:v>
      </x:c>
      <x:c r="L14" s="77" t="str">
        <x:v>DA</x:v>
      </x:c>
      <x:c r="M14" s="77" t="str">
        <x:v>DT</x:v>
      </x:c>
      <x:c r="N14" s="79" t="str">
        <x:v>connector semantics</x:v>
      </x:c>
    </x:row>
    <x:row r="15">
      <x:c r="B15" s="77" t="str">
        <x:v>S08</x:v>
      </x:c>
      <x:c r="C15" s="77" t="str">
        <x:v>building interfaces</x:v>
      </x:c>
      <x:c r="D15" s="77" t="str">
        <x:v>accepted connections</x:v>
      </x:c>
      <x:c r="E15" s="77" t="n">
        <x:v>100</x:v>
      </x:c>
      <x:c r="F15" s="77" t="str">
        <x:v>D</x:v>
      </x:c>
      <x:c r="G15" s="77" t="n">
        <x:f>Assumptions!C10</x:f>
        <x:v>8</x:v>
      </x:c>
      <x:c r="H15" s="77" t="n">
        <x:f>Assumptions!C12</x:f>
        <x:v>14.285714286</x:v>
      </x:c>
      <x:c r="I15" s="77" t="n">
        <x:f>(G15-1)*H15</x:f>
        <x:v>100.000000002</x:v>
      </x:c>
      <x:c r="J15" s="77" t="str">
        <x:f>IF(I15&gt;=E15,"PASS","FAIL")</x:f>
        <x:v>PASS</x:v>
      </x:c>
      <x:c r="K15" s="77" t="str">
        <x:v>Building Interface Authority</x:v>
      </x:c>
      <x:c r="L15" s="77" t="str">
        <x:v>DA</x:v>
      </x:c>
      <x:c r="M15" s="77" t="str">
        <x:v>DT</x:v>
      </x:c>
      <x:c r="N15" s="79" t="str">
        <x:v>building adapter standard</x:v>
      </x:c>
    </x:row>
    <x:row r="16">
      <x:c r="B16" s="77" t="str">
        <x:v>S09</x:v>
      </x:c>
      <x:c r="C16" s="77" t="str">
        <x:v>control, communications and assay</x:v>
      </x:c>
      <x:c r="D16" s="77" t="str">
        <x:v>offline safe control</x:v>
      </x:c>
      <x:c r="E16" s="77" t="n">
        <x:v>100</x:v>
      </x:c>
      <x:c r="F16" s="77" t="str">
        <x:v>C</x:v>
      </x:c>
      <x:c r="G16" s="77" t="n">
        <x:f>Assumptions!C10</x:f>
        <x:v>8</x:v>
      </x:c>
      <x:c r="H16" s="77" t="n">
        <x:f>Assumptions!C12</x:f>
        <x:v>14.285714286</x:v>
      </x:c>
      <x:c r="I16" s="77" t="n">
        <x:f>(G16-1)*H16</x:f>
        <x:v>100.000000002</x:v>
      </x:c>
      <x:c r="J16" s="77" t="str">
        <x:f>IF(I16&gt;=E16,"PASS","FAIL")</x:f>
        <x:v>PASS</x:v>
      </x:c>
      <x:c r="K16" s="77" t="str">
        <x:v>Civil Service Authority</x:v>
      </x:c>
      <x:c r="L16" s="77" t="str">
        <x:v>CA</x:v>
      </x:c>
      <x:c r="M16" s="77" t="str">
        <x:v>CT</x:v>
      </x:c>
      <x:c r="N16" s="79" t="str">
        <x:v>state and assay schema</x:v>
      </x:c>
    </x:row>
    <x:row r="17">
      <x:c r="B17" s="80" t="str">
        <x:v>S10</x:v>
      </x:c>
      <x:c r="C17" s="80" t="str">
        <x:v>medical, access, robotics and repair</x:v>
      </x:c>
      <x:c r="D17" s="80" t="str">
        <x:v>staffed service</x:v>
      </x:c>
      <x:c r="E17" s="80" t="n">
        <x:v>100</x:v>
      </x:c>
      <x:c r="F17" s="80" t="str">
        <x:v>C</x:v>
      </x:c>
      <x:c r="G17" s="80" t="n">
        <x:f>Assumptions!C10</x:f>
        <x:v>8</x:v>
      </x:c>
      <x:c r="H17" s="80" t="n">
        <x:f>Assumptions!C12</x:f>
        <x:v>14.285714286</x:v>
      </x:c>
      <x:c r="I17" s="80" t="n">
        <x:f>(G17-1)*H17</x:f>
        <x:v>100.000000002</x:v>
      </x:c>
      <x:c r="J17" s="80" t="str">
        <x:f>IF(I17&gt;=E17,"PASS","FAIL")</x:f>
        <x:v>PASS</x:v>
      </x:c>
      <x:c r="K17" s="80" t="str">
        <x:v>Civil Service Authority</x:v>
      </x:c>
      <x:c r="L17" s="80" t="str">
        <x:v>CA</x:v>
      </x:c>
      <x:c r="M17" s="80" t="str">
        <x:v>CT</x:v>
      </x:c>
      <x:c r="N17" s="82" t="str">
        <x:v>public handoff grammar</x:v>
      </x:c>
    </x:row>
    <x:row r="18"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</x:row>
    <x:row r="19"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</x:row>
    <x:row r="20">
      <x:c r="B20" s="99" t="str">
        <x:v>Mass and tile reconciliation</x:v>
      </x:c>
      <x:c r="C20" s="100" t="str">
        <x:v>Mass and tile reconciliation</x:v>
      </x:c>
      <x:c r="D20" s="100" t="str">
        <x:v>Mass and tile reconciliation</x:v>
      </x:c>
      <x:c r="E20" s="100" t="str">
        <x:v>Mass and tile reconciliation</x:v>
      </x:c>
      <x:c r="F20" s="100" t="str">
        <x:v>Mass and tile reconciliation</x:v>
      </x:c>
      <x:c r="G20" s="100" t="str">
        <x:v>Mass and tile reconciliation</x:v>
      </x:c>
      <x:c r="H20" s="100" t="str">
        <x:v>Mass and tile reconciliation</x:v>
      </x:c>
      <x:c r="I20" s="100" t="str">
        <x:v>Mass and tile reconciliation</x:v>
      </x:c>
      <x:c r="J20" s="100" t="str">
        <x:v>Mass and tile reconciliation</x:v>
      </x:c>
      <x:c r="K20" s="100" t="str">
        <x:v>Mass and tile reconciliation</x:v>
      </x:c>
      <x:c r="L20" s="100" t="str">
        <x:v>Mass and tile reconciliation</x:v>
      </x:c>
      <x:c r="M20" s="100" t="str">
        <x:v>Mass and tile reconciliation</x:v>
      </x:c>
      <x:c r="N20" s="101" t="str">
        <x:v>Mass and tile reconciliation</x:v>
      </x:c>
    </x:row>
    <x:row r="21">
      <x:c r="B21" s="18" t="str">
        <x:v>Calculation</x:v>
      </x:c>
      <x:c r="C21" s="19" t="str">
        <x:v>Value</x:v>
      </x:c>
      <x:c r="D21" s="19" t="str">
        <x:v>Unit</x:v>
      </x:c>
      <x:c r="E21" s="19" t="str">
        <x:v>Requirement</x:v>
      </x:c>
      <x:c r="F21" s="19" t="str">
        <x:v>Result</x:v>
      </x:c>
      <x:c r="G21" s="58"/>
      <x:c r="H21" s="58"/>
      <x:c r="I21" s="58"/>
      <x:c r="J21" s="58"/>
      <x:c r="K21" s="58"/>
      <x:c r="L21" s="58"/>
      <x:c r="M21" s="58"/>
      <x:c r="N21" s="58"/>
    </x:row>
    <x:row r="22">
      <x:c r="B22" s="77" t="str">
        <x:v>Complete kernel tiles</x:v>
      </x:c>
      <x:c r="C22" s="77" t="n">
        <x:f>Assumptions!C9*Assumptions!C10</x:f>
        <x:v>40</x:v>
      </x:c>
      <x:c r="D22" s="77" t="str">
        <x:v>tiles</x:v>
      </x:c>
      <x:c r="E22" s="77" t="str">
        <x:v>40</x:v>
      </x:c>
      <x:c r="F22" s="79" t="str">
        <x:f>IF(C22=40,"PASS","FAIL")</x:f>
        <x:v>PASS</x:v>
      </x:c>
      <x:c r="G22" s="58"/>
      <x:c r="H22" s="58"/>
      <x:c r="I22" s="58"/>
      <x:c r="J22" s="58"/>
      <x:c r="K22" s="58"/>
      <x:c r="L22" s="58"/>
      <x:c r="M22" s="58"/>
      <x:c r="N22" s="58"/>
    </x:row>
    <x:row r="23">
      <x:c r="B23" s="77" t="str">
        <x:v>Complete kernel mass</x:v>
      </x:c>
      <x:c r="C23" s="77" t="n">
        <x:f>C22*Assumptions!C11</x:f>
        <x:v>635</x:v>
      </x:c>
      <x:c r="D23" s="77" t="str">
        <x:v>t</x:v>
      </x:c>
      <x:c r="E23" s="77" t="n">
        <x:f>Assumptions!C8</x:f>
        <x:v>635</x:v>
      </x:c>
      <x:c r="F23" s="79" t="str">
        <x:f>IF(ABS(C23-Assumptions!C8)&lt;0.001,"PASS","FAIL")</x:f>
        <x:v>PASS</x:v>
      </x:c>
      <x:c r="G23" s="58"/>
      <x:c r="H23" s="58"/>
      <x:c r="I23" s="58"/>
      <x:c r="J23" s="58"/>
      <x:c r="K23" s="58"/>
      <x:c r="L23" s="58"/>
      <x:c r="M23" s="58"/>
      <x:c r="N23" s="58"/>
    </x:row>
    <x:row r="24">
      <x:c r="B24" s="77" t="str">
        <x:v>Air tiles per vehicle</x:v>
      </x:c>
      <x:c r="C24" s="77" t="n">
        <x:f>Assumptions!C16/Assumptions!C11</x:f>
        <x:v>20</x:v>
      </x:c>
      <x:c r="D24" s="77" t="str">
        <x:v>tiles</x:v>
      </x:c>
      <x:c r="E24" s="77" t="str">
        <x:v>20</x:v>
      </x:c>
      <x:c r="F24" s="79" t="str">
        <x:f>IF(C24=20,"PASS","FAIL")</x:f>
        <x:v>PASS</x:v>
      </x:c>
      <x:c r="G24" s="58"/>
      <x:c r="H24" s="58"/>
      <x:c r="I24" s="58"/>
      <x:c r="J24" s="58"/>
      <x:c r="K24" s="58"/>
      <x:c r="L24" s="58"/>
      <x:c r="M24" s="58"/>
      <x:c r="N24" s="58"/>
    </x:row>
    <x:row r="25">
      <x:c r="B25" s="77" t="str">
        <x:v>Terrain tiles per vehicle</x:v>
      </x:c>
      <x:c r="C25" s="77" t="n">
        <x:f>Assumptions!C27/Assumptions!C11</x:f>
        <x:v>10</x:v>
      </x:c>
      <x:c r="D25" s="77" t="str">
        <x:v>tiles</x:v>
      </x:c>
      <x:c r="E25" s="77" t="str">
        <x:v>10</x:v>
      </x:c>
      <x:c r="F25" s="79" t="str">
        <x:f>IF(C25=10,"PASS","FAIL")</x:f>
        <x:v>PASS</x:v>
      </x:c>
      <x:c r="G25" s="58"/>
      <x:c r="H25" s="58"/>
      <x:c r="I25" s="58"/>
      <x:c r="J25" s="58"/>
      <x:c r="K25" s="58"/>
      <x:c r="L25" s="58"/>
      <x:c r="M25" s="58"/>
      <x:c r="N25" s="58"/>
    </x:row>
    <x:row r="26">
      <x:c r="B26" s="80" t="str">
        <x:v>Minimum capacity after tile loss</x:v>
      </x:c>
      <x:c r="C26" s="80" t="n">
        <x:f>(Assumptions!C10-1)*Assumptions!C12</x:f>
        <x:v>100.000000002</x:v>
      </x:c>
      <x:c r="D26" s="80" t="str">
        <x:v>service units</x:v>
      </x:c>
      <x:c r="E26" s="80" t="str">
        <x:v>&gt;= floor</x:v>
      </x:c>
      <x:c r="F26" s="82" t="str">
        <x:f>IF(C26&gt;=Assumptions!C13,"PASS","FAIL")</x:f>
        <x:v>PASS</x:v>
      </x:c>
      <x:c r="G26" s="58"/>
      <x:c r="H26" s="58"/>
      <x:c r="I26" s="58"/>
      <x:c r="J26" s="58"/>
      <x:c r="K26" s="58"/>
      <x:c r="L26" s="58"/>
      <x:c r="M26" s="58"/>
      <x:c r="N26" s="58"/>
    </x:row>
    <x:row r="27"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99" t="str">
        <x:v>Constitutional rule</x:v>
      </x:c>
      <x:c r="C29" s="100" t="str">
        <x:v>Constitutional rule</x:v>
      </x:c>
      <x:c r="D29" s="100" t="str">
        <x:v>Constitutional rule</x:v>
      </x:c>
      <x:c r="E29" s="100" t="str">
        <x:v>Constitutional rule</x:v>
      </x:c>
      <x:c r="F29" s="100" t="str">
        <x:v>Constitutional rule</x:v>
      </x:c>
      <x:c r="G29" s="100" t="str">
        <x:v>Constitutional rule</x:v>
      </x:c>
      <x:c r="H29" s="100" t="str">
        <x:v>Constitutional rule</x:v>
      </x:c>
      <x:c r="I29" s="100" t="str">
        <x:v>Constitutional rule</x:v>
      </x:c>
      <x:c r="J29" s="100" t="str">
        <x:v>Constitutional rule</x:v>
      </x:c>
      <x:c r="K29" s="100" t="str">
        <x:v>Constitutional rule</x:v>
      </x:c>
      <x:c r="L29" s="100" t="str">
        <x:v>Constitutional rule</x:v>
      </x:c>
      <x:c r="M29" s="100" t="str">
        <x:v>Constitutional rule</x:v>
      </x:c>
      <x:c r="N29" s="101" t="str">
        <x:v>Constitutional rule</x:v>
      </x:c>
    </x:row>
    <x:row r="30">
      <x:c r="B30" s="84" t="str">
        <x:v>Mass rule</x:v>
      </x:c>
      <x:c r="C30" s="85" t="str">
        <x:v>635 tonnes is necessary but not sufficient. Every functional floor must be present in the surviving quorum.</x:v>
      </x:c>
      <x:c r="D30" s="85" t="str"/>
      <x:c r="E30" s="85" t="str"/>
      <x:c r="F30" s="85" t="str"/>
      <x:c r="G30" s="85" t="str"/>
      <x:c r="H30" s="85" t="str"/>
      <x:c r="I30" s="85" t="str"/>
      <x:c r="J30" s="85" t="str"/>
      <x:c r="K30" s="85" t="str"/>
      <x:c r="L30" s="85" t="str"/>
      <x:c r="M30" s="85" t="str"/>
      <x:c r="N30" s="85" t="str"/>
    </x:row>
    <x:row r="31">
      <x:c r="B31" s="86" t="str">
        <x:v>Quorum rule</x:v>
      </x:c>
      <x:c r="C31" s="77" t="str">
        <x:v>Any two of three air carriers or any four of five terrain carriers must reconstruct all five tile families without cross-mode borrowing.</x:v>
      </x:c>
      <x:c r="D31" s="77" t="str"/>
      <x:c r="E31" s="77" t="str"/>
      <x:c r="F31" s="77" t="str"/>
      <x:c r="G31" s="77" t="str"/>
      <x:c r="H31" s="77" t="str"/>
      <x:c r="I31" s="77" t="str"/>
      <x:c r="J31" s="77" t="str"/>
      <x:c r="K31" s="77" t="str"/>
      <x:c r="L31" s="77" t="str"/>
      <x:c r="M31" s="77" t="str"/>
      <x:c r="N31" s="77" t="str"/>
    </x:row>
    <x:row r="32">
      <x:c r="B32" s="86" t="str">
        <x:v>Tile-loss rule</x:v>
      </x:c>
      <x:c r="C32" s="77" t="str">
        <x:v>After the vehicle loss, one additional tile may be unavailable; seven tiles in the affected family must still deliver 100 service units.</x:v>
      </x:c>
      <x:c r="D32" s="77" t="str"/>
      <x:c r="E32" s="77" t="str"/>
      <x:c r="F32" s="77" t="str"/>
      <x:c r="G32" s="77" t="str"/>
      <x:c r="H32" s="77" t="str"/>
      <x:c r="I32" s="77" t="str"/>
      <x:c r="J32" s="77" t="str"/>
      <x:c r="K32" s="77" t="str"/>
      <x:c r="L32" s="77" t="str"/>
      <x:c r="M32" s="77" t="str"/>
      <x:c r="N32" s="77" t="str"/>
    </x:row>
    <x:row r="33">
      <x:c r="B33" s="87" t="str">
        <x:v>Public rule</x:v>
      </x:c>
      <x:c r="C33" s="88" t="str">
        <x:v>A technical quorum becomes service only after independent assay, receiver acceptance and civil release.</x:v>
      </x:c>
      <x:c r="D33" s="88" t="str"/>
      <x:c r="E33" s="88" t="str"/>
      <x:c r="F33" s="88" t="str"/>
      <x:c r="G33" s="88" t="str"/>
      <x:c r="H33" s="88" t="str"/>
      <x:c r="I33" s="88" t="str"/>
      <x:c r="J33" s="88" t="str"/>
      <x:c r="K33" s="88" t="str"/>
      <x:c r="L33" s="88" t="str"/>
      <x:c r="M33" s="88" t="str"/>
      <x:c r="N33" s="88" t="str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  <x:row r="35"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</x:row>
    <x:row r="36"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</x:row>
    <x:row r="37"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</x:row>
    <x:row r="38"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</x:row>
  </x:sheetData>
  <x:mergeCells>
    <x:mergeCell ref="B2:H2"/>
    <x:mergeCell ref="B3:H3"/>
    <x:mergeCell ref="B6:N6"/>
    <x:mergeCell ref="B20:N20"/>
    <x:mergeCell ref="B29:N29"/>
  </x:mergeCells>
  <x:conditionalFormatting sqref="J8:J17">
    <x:cfRule type="containsText" dxfId="8" priority="1" operator="containsText" text="FAIL"/>
    <x:cfRule type="containsText" dxfId="9" priority="2" operator="containsText" text="PASS"/>
    <x:cfRule type="containsText" dxfId="10" priority="3" operator="containsText" text="BLOCKED"/>
    <x:cfRule type="containsText" dxfId="11" priority="4" operator="containsText" text="BOUND"/>
  </x:conditionalFormatting>
  <x:conditionalFormatting sqref="F22:F26">
    <x:cfRule type="containsText" dxfId="12" priority="5" operator="containsText" text="FAIL"/>
    <x:cfRule type="containsText" dxfId="13" priority="6" operator="containsText" text="PASS"/>
    <x:cfRule type="containsText" dxfId="14" priority="7" operator="containsText" text="BLOCKED"/>
    <x:cfRule type="containsText" dxfId="15" priority="8" operator="containsText" text="BOUND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32" hidden="0" customWidth="1"/>
    <x:col min="4" max="4" width="1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3" hidden="0" customWidth="1"/>
    <x:col min="11" max="11" width="38" hidden="0" customWidth="1"/>
    <x:col min="12" max="12" width="38" hidden="0" customWidth="1"/>
    <x:col min="13" max="13" width="18" hidden="0" customWidth="1"/>
    <x:col min="14" max="14" width="18" hidden="0" customWidth="1"/>
  </x:cols>
  <x:sheetData>
    <x:row r="2">
      <x:c r="B2" s="96" t="str">
        <x:v>ESK-40 adaptive service-kernel grammar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97" t="str">
        <x:v>Forty physical tiles replace exact specialized blocks with five balanced, separately implemented functional families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99" t="str">
        <x:v>Five tile families</x:v>
      </x:c>
      <x:c r="C6" s="100" t="str">
        <x:v>Five tile families</x:v>
      </x:c>
      <x:c r="D6" s="100" t="str">
        <x:v>Five tile families</x:v>
      </x:c>
      <x:c r="E6" s="100" t="str">
        <x:v>Five tile families</x:v>
      </x:c>
      <x:c r="F6" s="100" t="str">
        <x:v>Five tile families</x:v>
      </x:c>
      <x:c r="G6" s="100" t="str">
        <x:v>Five tile families</x:v>
      </x:c>
      <x:c r="H6" s="100" t="str">
        <x:v>Five tile families</x:v>
      </x:c>
      <x:c r="I6" s="100" t="str">
        <x:v>Five tile families</x:v>
      </x:c>
      <x:c r="J6" s="100" t="str">
        <x:v>Five tile families</x:v>
      </x:c>
      <x:c r="K6" s="100" t="str">
        <x:v>Five tile families</x:v>
      </x:c>
      <x:c r="L6" s="100" t="str">
        <x:v>Five tile families</x:v>
      </x:c>
      <x:c r="M6" s="100" t="str">
        <x:v>Five tile families</x:v>
      </x:c>
      <x:c r="N6" s="101" t="str">
        <x:v>Five tile families</x:v>
      </x:c>
    </x:row>
    <x:row r="7">
      <x:c r="B7" s="18" t="str">
        <x:v>Family</x:v>
      </x:c>
      <x:c r="C7" s="19" t="str">
        <x:v>Name</x:v>
      </x:c>
      <x:c r="D7" s="19" t="str">
        <x:v>Tiles at service</x:v>
      </x:c>
      <x:c r="E7" s="19" t="str">
        <x:v>Mass/tile t</x:v>
      </x:c>
      <x:c r="F7" s="19" t="str">
        <x:v>Family mass t</x:v>
      </x:c>
      <x:c r="G7" s="19" t="str">
        <x:v>Capacity/tile</x:v>
      </x:c>
      <x:c r="H7" s="19" t="str">
        <x:v>Capacity at 8</x:v>
      </x:c>
      <x:c r="I7" s="19" t="str">
        <x:v>Capacity at 7</x:v>
      </x:c>
      <x:c r="J7" s="19" t="str">
        <x:v>Result</x:v>
      </x:c>
      <x:c r="K7" s="19" t="str">
        <x:v>Core functions</x:v>
      </x:c>
      <x:c r="L7" s="19" t="str">
        <x:v>Flexible substitution</x:v>
      </x:c>
      <x:c r="M7" s="19" t="str">
        <x:v>Air lineage</x:v>
      </x:c>
      <x:c r="N7" s="19" t="str">
        <x:v>Terrain lineage</x:v>
      </x:c>
    </x:row>
    <x:row r="8">
      <x:c r="B8" s="77" t="str">
        <x:v>E</x:v>
      </x:c>
      <x:c r="C8" s="77" t="str">
        <x:v>energy tile</x:v>
      </x:c>
      <x:c r="D8" s="77" t="n">
        <x:f>Assumptions!C10</x:f>
        <x:v>8</x:v>
      </x:c>
      <x:c r="E8" s="77" t="n">
        <x:f>Assumptions!C11</x:f>
        <x:v>15.875</x:v>
      </x:c>
      <x:c r="F8" s="77" t="n">
        <x:f>D8*E8</x:f>
        <x:v>127</x:v>
      </x:c>
      <x:c r="G8" s="77" t="n">
        <x:f>Assumptions!C12</x:f>
        <x:v>14.285714286</x:v>
      </x:c>
      <x:c r="H8" s="77" t="n">
        <x:f>D8*G8</x:f>
        <x:v>114.285714288</x:v>
      </x:c>
      <x:c r="I8" s="77" t="n">
        <x:f>(D8-1)*G8</x:f>
        <x:v>100.000000002</x:v>
      </x:c>
      <x:c r="J8" s="77" t="str">
        <x:f>IF(I8&gt;=Assumptions!C13,"PASS","FAIL")</x:f>
        <x:v>PASS</x:v>
      </x:c>
      <x:c r="K8" s="77" t="str">
        <x:v>source, conversion, storage, protection</x:v>
      </x:c>
      <x:c r="L8" s="77" t="str">
        <x:v>thermal and black-start support</x:v>
      </x:c>
      <x:c r="M8" s="77" t="str">
        <x:v>EA-1/2/3</x:v>
      </x:c>
      <x:c r="N8" s="79" t="str">
        <x:v>ET-1/2/3</x:v>
      </x:c>
    </x:row>
    <x:row r="9">
      <x:c r="B9" s="77" t="str">
        <x:v>W</x:v>
      </x:c>
      <x:c r="C9" s="77" t="str">
        <x:v>water tile</x:v>
      </x:c>
      <x:c r="D9" s="77" t="n">
        <x:f>Assumptions!C10</x:f>
        <x:v>8</x:v>
      </x:c>
      <x:c r="E9" s="77" t="n">
        <x:f>Assumptions!C11</x:f>
        <x:v>15.875</x:v>
      </x:c>
      <x:c r="F9" s="77" t="n">
        <x:f>D9*E9</x:f>
        <x:v>127</x:v>
      </x:c>
      <x:c r="G9" s="77" t="n">
        <x:f>Assumptions!C12</x:f>
        <x:v>14.285714286</x:v>
      </x:c>
      <x:c r="H9" s="77" t="n">
        <x:f>D9*G9</x:f>
        <x:v>114.285714288</x:v>
      </x:c>
      <x:c r="I9" s="77" t="n">
        <x:f>(D9-1)*G9</x:f>
        <x:v>100.000000002</x:v>
      </x:c>
      <x:c r="J9" s="77" t="str">
        <x:f>IF(I9&gt;=Assumptions!C13,"PASS","FAIL")</x:f>
        <x:v>PASS</x:v>
      </x:c>
      <x:c r="K9" s="77" t="str">
        <x:v>treatment, assay, storage, residual custody</x:v>
      </x:c>
      <x:c r="L9" s="77" t="str">
        <x:v>thermal fluid and fire-water support</x:v>
      </x:c>
      <x:c r="M9" s="77" t="str">
        <x:v>WA-1/2/3</x:v>
      </x:c>
      <x:c r="N9" s="79" t="str">
        <x:v>WT-1/2/3</x:v>
      </x:c>
    </x:row>
    <x:row r="10">
      <x:c r="B10" s="77" t="str">
        <x:v>T</x:v>
      </x:c>
      <x:c r="C10" s="77" t="str">
        <x:v>thermal tile</x:v>
      </x:c>
      <x:c r="D10" s="77" t="n">
        <x:f>Assumptions!C10</x:f>
        <x:v>8</x:v>
      </x:c>
      <x:c r="E10" s="77" t="n">
        <x:f>Assumptions!C11</x:f>
        <x:v>15.875</x:v>
      </x:c>
      <x:c r="F10" s="77" t="n">
        <x:f>D10*E10</x:f>
        <x:v>127</x:v>
      </x:c>
      <x:c r="G10" s="77" t="n">
        <x:f>Assumptions!C12</x:f>
        <x:v>14.285714286</x:v>
      </x:c>
      <x:c r="H10" s="77" t="n">
        <x:f>D10*G10</x:f>
        <x:v>114.285714288</x:v>
      </x:c>
      <x:c r="I10" s="77" t="n">
        <x:f>(D10-1)*G10</x:f>
        <x:v>100.000000002</x:v>
      </x:c>
      <x:c r="J10" s="77" t="str">
        <x:f>IF(I10&gt;=Assumptions!C13,"PASS","FAIL")</x:f>
        <x:v>PASS</x:v>
      </x:c>
      <x:c r="K10" s="77" t="str">
        <x:v>useful cooling, pumps, final heat rejection</x:v>
      </x:c>
      <x:c r="L10" s="77" t="str">
        <x:v>water and medical temperature support</x:v>
      </x:c>
      <x:c r="M10" s="77" t="str">
        <x:v>TA-1/2/3</x:v>
      </x:c>
      <x:c r="N10" s="79" t="str">
        <x:v>TT-1/2/3</x:v>
      </x:c>
    </x:row>
    <x:row r="11">
      <x:c r="B11" s="77" t="str">
        <x:v>D</x:v>
      </x:c>
      <x:c r="C11" s="77" t="str">
        <x:v>distribution tile</x:v>
      </x:c>
      <x:c r="D11" s="77" t="n">
        <x:f>Assumptions!C10</x:f>
        <x:v>8</x:v>
      </x:c>
      <x:c r="E11" s="77" t="n">
        <x:f>Assumptions!C11</x:f>
        <x:v>15.875</x:v>
      </x:c>
      <x:c r="F11" s="77" t="n">
        <x:f>D11*E11</x:f>
        <x:v>127</x:v>
      </x:c>
      <x:c r="G11" s="77" t="n">
        <x:f>Assumptions!C12</x:f>
        <x:v>14.285714286</x:v>
      </x:c>
      <x:c r="H11" s="77" t="n">
        <x:f>D11*G11</x:f>
        <x:v>114.285714288</x:v>
      </x:c>
      <x:c r="I11" s="77" t="n">
        <x:f>(D11-1)*G11</x:f>
        <x:v>100.000000002</x:v>
      </x:c>
      <x:c r="J11" s="77" t="str">
        <x:f>IF(I11&gt;=Assumptions!C13,"PASS","FAIL")</x:f>
        <x:v>PASS</x:v>
      </x:c>
      <x:c r="K11" s="77" t="str">
        <x:v>medium voltage, fluid routes, building adapters</x:v>
      </x:c>
      <x:c r="L11" s="77" t="str">
        <x:v>robotic corridor and bypass support</x:v>
      </x:c>
      <x:c r="M11" s="77" t="str">
        <x:v>DA-1/2/3</x:v>
      </x:c>
      <x:c r="N11" s="79" t="str">
        <x:v>DT-1/2/3</x:v>
      </x:c>
    </x:row>
    <x:row r="12">
      <x:c r="B12" s="80" t="str">
        <x:v>C</x:v>
      </x:c>
      <x:c r="C12" s="80" t="str">
        <x:v>civil-control tile</x:v>
      </x:c>
      <x:c r="D12" s="80" t="n">
        <x:f>Assumptions!C10</x:f>
        <x:v>8</x:v>
      </x:c>
      <x:c r="E12" s="80" t="n">
        <x:f>Assumptions!C11</x:f>
        <x:v>15.875</x:v>
      </x:c>
      <x:c r="F12" s="80" t="n">
        <x:f>D12*E12</x:f>
        <x:v>127</x:v>
      </x:c>
      <x:c r="G12" s="80" t="n">
        <x:f>Assumptions!C12</x:f>
        <x:v>14.285714286</x:v>
      </x:c>
      <x:c r="H12" s="80" t="n">
        <x:f>D12*G12</x:f>
        <x:v>114.285714288</x:v>
      </x:c>
      <x:c r="I12" s="80" t="n">
        <x:f>(D12-1)*G12</x:f>
        <x:v>100.000000002</x:v>
      </x:c>
      <x:c r="J12" s="80" t="str">
        <x:f>IF(I12&gt;=Assumptions!C13,"PASS","FAIL")</x:f>
        <x:v>PASS</x:v>
      </x:c>
      <x:c r="K12" s="80" t="str">
        <x:v>offline control, communications, lab, medical and repair</x:v>
      </x:c>
      <x:c r="L12" s="80" t="str">
        <x:v>cross-family assay and recovery</x:v>
      </x:c>
      <x:c r="M12" s="80" t="str">
        <x:v>CA-1/2/3</x:v>
      </x:c>
      <x:c r="N12" s="82" t="str">
        <x:v>CT-1/2/3</x:v>
      </x:c>
    </x:row>
    <x:row r="13"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</x:row>
    <x:row r="15">
      <x:c r="B15" s="99" t="str">
        <x:v>Technology meaning</x:v>
      </x:c>
      <x:c r="C15" s="100" t="str">
        <x:v>Technology meaning</x:v>
      </x:c>
      <x:c r="D15" s="100" t="str">
        <x:v>Technology meaning</x:v>
      </x:c>
      <x:c r="E15" s="100" t="str">
        <x:v>Technology meaning</x:v>
      </x:c>
      <x:c r="F15" s="100" t="str">
        <x:v>Technology meaning</x:v>
      </x:c>
      <x:c r="G15" s="100" t="str">
        <x:v>Technology meaning</x:v>
      </x:c>
      <x:c r="H15" s="100" t="str">
        <x:v>Technology meaning</x:v>
      </x:c>
      <x:c r="I15" s="100" t="str">
        <x:v>Technology meaning</x:v>
      </x:c>
      <x:c r="J15" s="100" t="str">
        <x:v>Technology meaning</x:v>
      </x:c>
      <x:c r="K15" s="100" t="str">
        <x:v>Technology meaning</x:v>
      </x:c>
      <x:c r="L15" s="100" t="str">
        <x:v>Technology meaning</x:v>
      </x:c>
      <x:c r="M15" s="100" t="str">
        <x:v>Technology meaning</x:v>
      </x:c>
      <x:c r="N15" s="101" t="str">
        <x:v>Technology meaning</x:v>
      </x:c>
    </x:row>
    <x:row r="16">
      <x:c r="B16" s="84" t="str">
        <x:v>Physical coding</x:v>
      </x:c>
      <x:c r="C16" s="85" t="str">
        <x:v>ESK is not digital parity. It uses repeated multi-effect physical modules whose surviving subset satisfies every service floor.</x:v>
      </x:c>
      <x:c r="D16" s="85" t="str"/>
      <x:c r="E16" s="85" t="str"/>
      <x:c r="F16" s="85" t="str"/>
      <x:c r="G16" s="85" t="str"/>
      <x:c r="H16" s="85" t="str"/>
      <x:c r="I16" s="85" t="str"/>
      <x:c r="J16" s="85" t="str"/>
      <x:c r="K16" s="85" t="str"/>
      <x:c r="L16" s="85" t="str"/>
      <x:c r="M16" s="85" t="str"/>
      <x:c r="N16" s="85" t="str"/>
    </x:row>
    <x:row r="17">
      <x:c r="B17" s="86" t="str">
        <x:v>Wet integration</x:v>
      </x:c>
      <x:c r="C17" s="77" t="str">
        <x:v>Water, fuel, reagents and process liquids become tile-owned custody loads; no separate wet pack may become a common cut.</x:v>
      </x:c>
      <x:c r="D17" s="77" t="str"/>
      <x:c r="E17" s="77" t="str"/>
      <x:c r="F17" s="77" t="str"/>
      <x:c r="G17" s="77" t="str"/>
      <x:c r="H17" s="77" t="str"/>
      <x:c r="I17" s="77" t="str"/>
      <x:c r="J17" s="77" t="str"/>
      <x:c r="K17" s="77" t="str"/>
      <x:c r="L17" s="77" t="str"/>
      <x:c r="M17" s="77" t="str"/>
      <x:c r="N17" s="77" t="str"/>
    </x:row>
    <x:row r="18">
      <x:c r="B18" s="86" t="str">
        <x:v>Interface</x:v>
      </x:c>
      <x:c r="C18" s="77" t="str">
        <x:v>Air and terrain tiles share service semantics and receiver connectors, not membranes, engines, catalysts, control kernels or suppliers.</x:v>
      </x:c>
      <x:c r="D18" s="77" t="str"/>
      <x:c r="E18" s="77" t="str"/>
      <x:c r="F18" s="77" t="str"/>
      <x:c r="G18" s="77" t="str"/>
      <x:c r="H18" s="77" t="str"/>
      <x:c r="I18" s="77" t="str"/>
      <x:c r="J18" s="77" t="str"/>
      <x:c r="K18" s="77" t="str"/>
      <x:c r="L18" s="77" t="str"/>
      <x:c r="M18" s="77" t="str"/>
      <x:c r="N18" s="77" t="str"/>
    </x:row>
    <x:row r="19">
      <x:c r="B19" s="86" t="str">
        <x:v>Selection</x:v>
      </x:c>
      <x:c r="C19" s="77" t="str">
        <x:v>A local quorum compiler selects two of three air carriers or four of five terrain carriers after measured configuration and casualty state.</x:v>
      </x:c>
      <x:c r="D19" s="77" t="str"/>
      <x:c r="E19" s="77" t="str"/>
      <x:c r="F19" s="77" t="str"/>
      <x:c r="G19" s="77" t="str"/>
      <x:c r="H19" s="77" t="str"/>
      <x:c r="I19" s="77" t="str"/>
      <x:c r="J19" s="77" t="str"/>
      <x:c r="K19" s="77" t="str"/>
      <x:c r="L19" s="77" t="str"/>
      <x:c r="M19" s="77" t="str"/>
      <x:c r="N19" s="77" t="str"/>
    </x:row>
    <x:row r="20">
      <x:c r="B20" s="86" t="str">
        <x:v>Reserve carrier</x:v>
      </x:c>
      <x:c r="C20" s="77" t="str">
        <x:v>The non-selected carrier remains loaded in a controlled hold; it is not counted as delivered service or unloaded by default.</x:v>
      </x:c>
      <x:c r="D20" s="77" t="str"/>
      <x:c r="E20" s="77" t="str"/>
      <x:c r="F20" s="77" t="str"/>
      <x:c r="G20" s="77" t="str"/>
      <x:c r="H20" s="77" t="str"/>
      <x:c r="I20" s="77" t="str"/>
      <x:c r="J20" s="77" t="str"/>
      <x:c r="K20" s="77" t="str"/>
      <x:c r="L20" s="77" t="str"/>
      <x:c r="M20" s="77" t="str"/>
      <x:c r="N20" s="77" t="str"/>
    </x:row>
    <x:row r="21">
      <x:c r="B21" s="86" t="str">
        <x:v>Stop rule</x:v>
      </x:c>
      <x:c r="C21" s="77" t="str">
        <x:v>If a 15.875-tonne tile cannot reach its family coefficient with contained failure and field replacement, ESK-40 loses authority.</x:v>
      </x:c>
      <x:c r="D21" s="77" t="str"/>
      <x:c r="E21" s="77" t="str"/>
      <x:c r="F21" s="77" t="str"/>
      <x:c r="G21" s="77" t="str"/>
      <x:c r="H21" s="77" t="str"/>
      <x:c r="I21" s="77" t="str"/>
      <x:c r="J21" s="77" t="str"/>
      <x:c r="K21" s="77" t="str"/>
      <x:c r="L21" s="77" t="str"/>
      <x:c r="M21" s="77" t="str"/>
      <x:c r="N21" s="77" t="str"/>
    </x:row>
    <x:row r="22">
      <x:c r="B22" s="87" t="str">
        <x:v>Maturity</x:v>
      </x:c>
      <x:c r="C22" s="88" t="str">
        <x:v>All specific-capacity, multifunction, containment and interoperability claims are acquisition targets with zero evidence credit.</x:v>
      </x:c>
      <x:c r="D22" s="88" t="str"/>
      <x:c r="E22" s="88" t="str"/>
      <x:c r="F22" s="88" t="str"/>
      <x:c r="G22" s="88" t="str"/>
      <x:c r="H22" s="88" t="str"/>
      <x:c r="I22" s="88" t="str"/>
      <x:c r="J22" s="88" t="str"/>
      <x:c r="K22" s="88" t="str"/>
      <x:c r="L22" s="88" t="str"/>
      <x:c r="M22" s="88" t="str"/>
      <x:c r="N22" s="88" t="str"/>
    </x:row>
    <x:row r="23"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</x:row>
    <x:row r="24"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</x:row>
    <x:row r="25">
      <x:c r="B25" s="99" t="str">
        <x:v>Mass reconciliation</x:v>
      </x:c>
      <x:c r="C25" s="100" t="str">
        <x:v>Mass reconciliation</x:v>
      </x:c>
      <x:c r="D25" s="100" t="str">
        <x:v>Mass reconciliation</x:v>
      </x:c>
      <x:c r="E25" s="100" t="str">
        <x:v>Mass reconciliation</x:v>
      </x:c>
      <x:c r="F25" s="100" t="str">
        <x:v>Mass reconciliation</x:v>
      </x:c>
      <x:c r="G25" s="100" t="str">
        <x:v>Mass reconciliation</x:v>
      </x:c>
      <x:c r="H25" s="100" t="str">
        <x:v>Mass reconciliation</x:v>
      </x:c>
      <x:c r="I25" s="100" t="str">
        <x:v>Mass reconciliation</x:v>
      </x:c>
      <x:c r="J25" s="100" t="str">
        <x:v>Mass reconciliation</x:v>
      </x:c>
      <x:c r="K25" s="100" t="str">
        <x:v>Mass reconciliation</x:v>
      </x:c>
      <x:c r="L25" s="100" t="str">
        <x:v>Mass reconciliation</x:v>
      </x:c>
      <x:c r="M25" s="100" t="str">
        <x:v>Mass reconciliation</x:v>
      </x:c>
      <x:c r="N25" s="101" t="str">
        <x:v>Mass reconciliation</x:v>
      </x:c>
    </x:row>
    <x:row r="26">
      <x:c r="B26" s="18" t="str">
        <x:v>Calculation</x:v>
      </x:c>
      <x:c r="C26" s="19" t="str">
        <x:v>Value</x:v>
      </x:c>
      <x:c r="D26" s="19" t="str">
        <x:v>Unit</x:v>
      </x:c>
      <x:c r="E26" s="19" t="str">
        <x:v>Expected</x:v>
      </x:c>
      <x:c r="F26" s="19" t="str">
        <x:v>Result</x:v>
      </x:c>
      <x:c r="G26" s="58"/>
      <x:c r="H26" s="58"/>
      <x:c r="I26" s="58"/>
      <x:c r="J26" s="58"/>
      <x:c r="K26" s="58"/>
      <x:c r="L26" s="58"/>
      <x:c r="M26" s="58"/>
      <x:c r="N26" s="58"/>
    </x:row>
    <x:row r="27">
      <x:c r="B27" s="77" t="str">
        <x:v>Tile families</x:v>
      </x:c>
      <x:c r="C27" s="77" t="n">
        <x:v>5</x:v>
      </x:c>
      <x:c r="D27" s="77" t="str">
        <x:v>families</x:v>
      </x:c>
      <x:c r="E27" s="77" t="n">
        <x:v>5</x:v>
      </x:c>
      <x:c r="F27" s="79" t="str">
        <x:f>IF(ABS(C27-E27)&lt;0.001,"PASS","FAIL")</x:f>
        <x:v>PASS</x:v>
      </x:c>
      <x:c r="G27" s="58"/>
      <x:c r="H27" s="58"/>
      <x:c r="I27" s="58"/>
      <x:c r="J27" s="58"/>
      <x:c r="K27" s="58"/>
      <x:c r="L27" s="58"/>
      <x:c r="M27" s="58"/>
      <x:c r="N27" s="58"/>
    </x:row>
    <x:row r="28">
      <x:c r="B28" s="77" t="str">
        <x:v>Tiles per family</x:v>
      </x:c>
      <x:c r="C28" s="77" t="n">
        <x:v>8</x:v>
      </x:c>
      <x:c r="D28" s="77" t="str">
        <x:v>tiles</x:v>
      </x:c>
      <x:c r="E28" s="77" t="n">
        <x:v>8</x:v>
      </x:c>
      <x:c r="F28" s="79" t="str">
        <x:f>IF(ABS(C28-E28)&lt;0.001,"PASS","FAIL")</x:f>
        <x:v>PASS</x:v>
      </x:c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77" t="str">
        <x:v>Total tiles</x:v>
      </x:c>
      <x:c r="C29" s="77" t="n">
        <x:f>C27*C28</x:f>
        <x:v>40</x:v>
      </x:c>
      <x:c r="D29" s="77" t="str">
        <x:v>tiles</x:v>
      </x:c>
      <x:c r="E29" s="77" t="n">
        <x:v>40</x:v>
      </x:c>
      <x:c r="F29" s="79" t="str">
        <x:f>IF(ABS(C29-E29)&lt;0.001,"PASS","FAIL")</x:f>
        <x:v>PASS</x:v>
      </x:c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77" t="str">
        <x:v>Mass per family</x:v>
      </x:c>
      <x:c r="C30" s="77" t="n">
        <x:f>Assumptions!C10*Assumptions!C11</x:f>
        <x:v>127</x:v>
      </x:c>
      <x:c r="D30" s="77" t="str">
        <x:v>t</x:v>
      </x:c>
      <x:c r="E30" s="77" t="n">
        <x:v>127</x:v>
      </x:c>
      <x:c r="F30" s="79" t="str">
        <x:f>IF(ABS(C30-E30)&lt;0.001,"PASS","FAIL")</x:f>
        <x:v>PASS</x:v>
      </x:c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80" t="str">
        <x:v>Kernel mass</x:v>
      </x:c>
      <x:c r="C31" s="80" t="n">
        <x:f>C29*Assumptions!C11</x:f>
        <x:v>635</x:v>
      </x:c>
      <x:c r="D31" s="80" t="str">
        <x:v>t</x:v>
      </x:c>
      <x:c r="E31" s="80" t="n">
        <x:v>635</x:v>
      </x:c>
      <x:c r="F31" s="82" t="str">
        <x:f>IF(ABS(C31-E31)&lt;0.001,"PASS","FAIL")</x:f>
        <x:v>PASS</x:v>
      </x:c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  <x:row r="35"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</x:row>
    <x:row r="36"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</x:row>
    <x:row r="37"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</x:row>
    <x:row r="38"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</x:row>
    <x:row r="39"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</x:row>
    <x:row r="40"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</x:row>
  </x:sheetData>
  <x:mergeCells>
    <x:mergeCell ref="B2:H2"/>
    <x:mergeCell ref="B3:H3"/>
    <x:mergeCell ref="B6:N6"/>
    <x:mergeCell ref="B15:N15"/>
    <x:mergeCell ref="B25:N25"/>
  </x:mergeCells>
  <x:conditionalFormatting sqref="J8:J12">
    <x:cfRule type="containsText" dxfId="16" priority="1" operator="containsText" text="FAIL"/>
    <x:cfRule type="containsText" dxfId="17" priority="2" operator="containsText" text="PASS"/>
    <x:cfRule type="containsText" dxfId="18" priority="3" operator="containsText" text="BLOCKED"/>
    <x:cfRule type="containsText" dxfId="19" priority="4" operator="containsText" text="BOUND"/>
  </x:conditionalFormatting>
  <x:conditionalFormatting sqref="F27:F31">
    <x:cfRule type="containsText" dxfId="20" priority="5" operator="containsText" text="FAIL"/>
    <x:cfRule type="containsText" dxfId="21" priority="6" operator="containsText" text="PASS"/>
    <x:cfRule type="containsText" dxfId="22" priority="7" operator="containsText" text="BLOCKED"/>
    <x:cfRule type="containsText" dxfId="23" priority="8" operator="containsText" text="BOUND"/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20" hidden="0" customWidth="1"/>
    <x:col min="11" max="11" width="20" hidden="0" customWidth="1"/>
    <x:col min="12" max="12" width="18" hidden="0" customWidth="1"/>
    <x:col min="13" max="13" width="20" hidden="0" customWidth="1"/>
    <x:col min="14" max="14" width="14" hidden="0" customWidth="1"/>
  </x:cols>
  <x:sheetData>
    <x:row r="2">
      <x:c r="B2" s="96" t="str">
        <x:v>Three-carrier atmospheric quorum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97" t="str">
        <x:v>Every carrier holds four tiles of each family; any two retain forty tiles and every service family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99" t="str">
        <x:v>Carrier load allocation</x:v>
      </x:c>
      <x:c r="C6" s="100" t="str">
        <x:v>Carrier load allocation</x:v>
      </x:c>
      <x:c r="D6" s="100" t="str">
        <x:v>Carrier load allocation</x:v>
      </x:c>
      <x:c r="E6" s="100" t="str">
        <x:v>Carrier load allocation</x:v>
      </x:c>
      <x:c r="F6" s="100" t="str">
        <x:v>Carrier load allocation</x:v>
      </x:c>
      <x:c r="G6" s="100" t="str">
        <x:v>Carrier load allocation</x:v>
      </x:c>
      <x:c r="H6" s="100" t="str">
        <x:v>Carrier load allocation</x:v>
      </x:c>
      <x:c r="I6" s="100" t="str">
        <x:v>Carrier load allocation</x:v>
      </x:c>
      <x:c r="J6" s="100" t="str">
        <x:v>Carrier load allocation</x:v>
      </x:c>
      <x:c r="K6" s="100" t="str">
        <x:v>Carrier load allocation</x:v>
      </x:c>
      <x:c r="L6" s="100" t="str">
        <x:v>Carrier load allocation</x:v>
      </x:c>
      <x:c r="M6" s="100" t="str">
        <x:v>Carrier load allocation</x:v>
      </x:c>
      <x:c r="N6" s="101" t="str">
        <x:v>Carrier load allocation</x:v>
      </x:c>
    </x:row>
    <x:row r="7">
      <x:c r="B7" s="18" t="str">
        <x:v>Carrier</x:v>
      </x:c>
      <x:c r="C7" s="19" t="str">
        <x:v>E tiles</x:v>
      </x:c>
      <x:c r="D7" s="19" t="str">
        <x:v>W tiles</x:v>
      </x:c>
      <x:c r="E7" s="19" t="str">
        <x:v>T tiles</x:v>
      </x:c>
      <x:c r="F7" s="19" t="str">
        <x:v>D tiles</x:v>
      </x:c>
      <x:c r="G7" s="19" t="str">
        <x:v>C tiles</x:v>
      </x:c>
      <x:c r="H7" s="19" t="str">
        <x:v>Total tiles</x:v>
      </x:c>
      <x:c r="I7" s="19" t="str">
        <x:v>Payload t</x:v>
      </x:c>
      <x:c r="J7" s="19" t="str">
        <x:v>Assigned gross t</x:v>
      </x:c>
      <x:c r="K7" s="58"/>
      <x:c r="L7" s="58"/>
      <x:c r="M7" s="58"/>
      <x:c r="N7" s="58"/>
    </x:row>
    <x:row r="8">
      <x:c r="B8" s="77" t="str">
        <x:v>A1</x:v>
      </x:c>
      <x:c r="C8" s="77" t="n">
        <x:v>4</x:v>
      </x:c>
      <x:c r="D8" s="77" t="n">
        <x:v>4</x:v>
      </x:c>
      <x:c r="E8" s="77" t="n">
        <x:v>4</x:v>
      </x:c>
      <x:c r="F8" s="77" t="n">
        <x:v>4</x:v>
      </x:c>
      <x:c r="G8" s="77" t="n">
        <x:v>4</x:v>
      </x:c>
      <x:c r="H8" s="77" t="n">
        <x:f>SUM(C8:G8)</x:f>
        <x:v>20</x:v>
      </x:c>
      <x:c r="I8" s="77" t="n">
        <x:f>H8*Assumptions!C11</x:f>
        <x:v>317.5</x:v>
      </x:c>
      <x:c r="J8" s="79" t="n">
        <x:f>Assumptions!C17</x:f>
        <x:v>1438.9153605</x:v>
      </x:c>
      <x:c r="K8" s="58"/>
      <x:c r="L8" s="58"/>
      <x:c r="M8" s="58"/>
      <x:c r="N8" s="58"/>
    </x:row>
    <x:row r="9">
      <x:c r="B9" s="77" t="str">
        <x:v>A2</x:v>
      </x:c>
      <x:c r="C9" s="77" t="n">
        <x:v>4</x:v>
      </x:c>
      <x:c r="D9" s="77" t="n">
        <x:v>4</x:v>
      </x:c>
      <x:c r="E9" s="77" t="n">
        <x:v>4</x:v>
      </x:c>
      <x:c r="F9" s="77" t="n">
        <x:v>4</x:v>
      </x:c>
      <x:c r="G9" s="77" t="n">
        <x:v>4</x:v>
      </x:c>
      <x:c r="H9" s="77" t="n">
        <x:f>SUM(C9:G9)</x:f>
        <x:v>20</x:v>
      </x:c>
      <x:c r="I9" s="77" t="n">
        <x:f>H9*Assumptions!C11</x:f>
        <x:v>317.5</x:v>
      </x:c>
      <x:c r="J9" s="79" t="n">
        <x:f>Assumptions!C17</x:f>
        <x:v>1438.9153605</x:v>
      </x:c>
      <x:c r="K9" s="58"/>
      <x:c r="L9" s="58"/>
      <x:c r="M9" s="58"/>
      <x:c r="N9" s="58"/>
    </x:row>
    <x:row r="10">
      <x:c r="B10" s="80" t="str">
        <x:v>A3</x:v>
      </x:c>
      <x:c r="C10" s="80" t="n">
        <x:v>4</x:v>
      </x:c>
      <x:c r="D10" s="80" t="n">
        <x:v>4</x:v>
      </x:c>
      <x:c r="E10" s="80" t="n">
        <x:v>4</x:v>
      </x:c>
      <x:c r="F10" s="80" t="n">
        <x:v>4</x:v>
      </x:c>
      <x:c r="G10" s="80" t="n">
        <x:v>4</x:v>
      </x:c>
      <x:c r="H10" s="80" t="n">
        <x:f>SUM(C10:G10)</x:f>
        <x:v>20</x:v>
      </x:c>
      <x:c r="I10" s="80" t="n">
        <x:f>H10*Assumptions!C11</x:f>
        <x:v>317.5</x:v>
      </x:c>
      <x:c r="J10" s="82" t="n">
        <x:f>Assumptions!C17</x:f>
        <x:v>1438.9153605</x:v>
      </x:c>
      <x:c r="K10" s="58"/>
      <x:c r="L10" s="58"/>
      <x:c r="M10" s="58"/>
      <x:c r="N10" s="58"/>
    </x:row>
    <x:row r="11">
      <x:c r="B11" s="58"/>
      <x:c r="C11" s="58"/>
      <x:c r="D11" s="58"/>
      <x:c r="E11" s="58"/>
      <x:c r="F11" s="58"/>
      <x:c r="G11" s="58"/>
      <x:c r="H11" s="58"/>
      <x:c r="I11" s="58"/>
      <x:c r="J11" s="58"/>
      <x:c r="K11" s="58"/>
      <x:c r="L11" s="58"/>
      <x:c r="M11" s="58"/>
      <x:c r="N11" s="58"/>
    </x:row>
    <x:row r="12"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</x:row>
    <x:row r="13">
      <x:c r="B13" s="99" t="str">
        <x:v>All two-of-three surviving subsets</x:v>
      </x:c>
      <x:c r="C13" s="100" t="str">
        <x:v>All two-of-three surviving subsets</x:v>
      </x:c>
      <x:c r="D13" s="100" t="str">
        <x:v>All two-of-three surviving subsets</x:v>
      </x:c>
      <x:c r="E13" s="100" t="str">
        <x:v>All two-of-three surviving subsets</x:v>
      </x:c>
      <x:c r="F13" s="100" t="str">
        <x:v>All two-of-three surviving subsets</x:v>
      </x:c>
      <x:c r="G13" s="100" t="str">
        <x:v>All two-of-three surviving subsets</x:v>
      </x:c>
      <x:c r="H13" s="100" t="str">
        <x:v>All two-of-three surviving subsets</x:v>
      </x:c>
      <x:c r="I13" s="100" t="str">
        <x:v>All two-of-three surviving subsets</x:v>
      </x:c>
      <x:c r="J13" s="100" t="str">
        <x:v>All two-of-three surviving subsets</x:v>
      </x:c>
      <x:c r="K13" s="100" t="str">
        <x:v>All two-of-three surviving subsets</x:v>
      </x:c>
      <x:c r="L13" s="100" t="str">
        <x:v>All two-of-three surviving subsets</x:v>
      </x:c>
      <x:c r="M13" s="100" t="str">
        <x:v>All two-of-three surviving subsets</x:v>
      </x:c>
      <x:c r="N13" s="101" t="str">
        <x:v>All two-of-three surviving subsets</x:v>
      </x:c>
    </x:row>
    <x:row r="14">
      <x:c r="B14" s="18" t="str">
        <x:v>Subset</x:v>
      </x:c>
      <x:c r="C14" s="19" t="str">
        <x:v>Carriers</x:v>
      </x:c>
      <x:c r="D14" s="19" t="str">
        <x:v>E</x:v>
      </x:c>
      <x:c r="E14" s="19" t="str">
        <x:v>W</x:v>
      </x:c>
      <x:c r="F14" s="19" t="str">
        <x:v>T</x:v>
      </x:c>
      <x:c r="G14" s="19" t="str">
        <x:v>D</x:v>
      </x:c>
      <x:c r="H14" s="19" t="str">
        <x:v>C</x:v>
      </x:c>
      <x:c r="I14" s="19" t="str">
        <x:v>Tiles</x:v>
      </x:c>
      <x:c r="J14" s="19" t="str">
        <x:v>Payload t</x:v>
      </x:c>
      <x:c r="K14" s="19" t="str">
        <x:v>Minimum family tiles</x:v>
      </x:c>
      <x:c r="L14" s="19" t="str">
        <x:v>After tile loss</x:v>
      </x:c>
      <x:c r="M14" s="19" t="str">
        <x:v>Minimum capacity</x:v>
      </x:c>
      <x:c r="N14" s="19" t="str">
        <x:v>Result</x:v>
      </x:c>
    </x:row>
    <x:row r="15">
      <x:c r="B15" s="77" t="str">
        <x:v>AQ1</x:v>
      </x:c>
      <x:c r="C15" s="77" t="str">
        <x:v>A1+A2</x:v>
      </x:c>
      <x:c r="D15" s="77" t="n">
        <x:f>4+4</x:f>
        <x:v>8</x:v>
      </x:c>
      <x:c r="E15" s="77" t="n">
        <x:f>4+4</x:f>
        <x:v>8</x:v>
      </x:c>
      <x:c r="F15" s="77" t="n">
        <x:f>4+4</x:f>
        <x:v>8</x:v>
      </x:c>
      <x:c r="G15" s="77" t="n">
        <x:f>4+4</x:f>
        <x:v>8</x:v>
      </x:c>
      <x:c r="H15" s="77" t="n">
        <x:f>4+4</x:f>
        <x:v>8</x:v>
      </x:c>
      <x:c r="I15" s="77" t="n">
        <x:f>SUM(D15:H15)</x:f>
        <x:v>40</x:v>
      </x:c>
      <x:c r="J15" s="77" t="n">
        <x:f>I15*Assumptions!C11</x:f>
        <x:v>635</x:v>
      </x:c>
      <x:c r="K15" s="77" t="n">
        <x:f>MIN(D15:H15)</x:f>
        <x:v>8</x:v>
      </x:c>
      <x:c r="L15" s="77" t="n">
        <x:f>K15-1</x:f>
        <x:v>7</x:v>
      </x:c>
      <x:c r="M15" s="77" t="n">
        <x:f>L15*Assumptions!C12</x:f>
        <x:v>100.000000002</x:v>
      </x:c>
      <x:c r="N15" s="79" t="str">
        <x:f>IF(AND(I15=40,J15&gt;=Assumptions!C8,M15&gt;=Assumptions!C13),"PASS","FAIL")</x:f>
        <x:v>PASS</x:v>
      </x:c>
    </x:row>
    <x:row r="16">
      <x:c r="B16" s="77" t="str">
        <x:v>AQ2</x:v>
      </x:c>
      <x:c r="C16" s="77" t="str">
        <x:v>A1+A3</x:v>
      </x:c>
      <x:c r="D16" s="77" t="n">
        <x:f>4+4</x:f>
        <x:v>8</x:v>
      </x:c>
      <x:c r="E16" s="77" t="n">
        <x:f>4+4</x:f>
        <x:v>8</x:v>
      </x:c>
      <x:c r="F16" s="77" t="n">
        <x:f>4+4</x:f>
        <x:v>8</x:v>
      </x:c>
      <x:c r="G16" s="77" t="n">
        <x:f>4+4</x:f>
        <x:v>8</x:v>
      </x:c>
      <x:c r="H16" s="77" t="n">
        <x:f>4+4</x:f>
        <x:v>8</x:v>
      </x:c>
      <x:c r="I16" s="77" t="n">
        <x:f>SUM(D16:H16)</x:f>
        <x:v>40</x:v>
      </x:c>
      <x:c r="J16" s="77" t="n">
        <x:f>I16*Assumptions!C11</x:f>
        <x:v>635</x:v>
      </x:c>
      <x:c r="K16" s="77" t="n">
        <x:f>MIN(D16:H16)</x:f>
        <x:v>8</x:v>
      </x:c>
      <x:c r="L16" s="77" t="n">
        <x:f>K16-1</x:f>
        <x:v>7</x:v>
      </x:c>
      <x:c r="M16" s="77" t="n">
        <x:f>L16*Assumptions!C12</x:f>
        <x:v>100.000000002</x:v>
      </x:c>
      <x:c r="N16" s="79" t="str">
        <x:f>IF(AND(I16=40,J16&gt;=Assumptions!C8,M16&gt;=Assumptions!C13),"PASS","FAIL")</x:f>
        <x:v>PASS</x:v>
      </x:c>
    </x:row>
    <x:row r="17">
      <x:c r="B17" s="80" t="str">
        <x:v>AQ3</x:v>
      </x:c>
      <x:c r="C17" s="80" t="str">
        <x:v>A2+A3</x:v>
      </x:c>
      <x:c r="D17" s="80" t="n">
        <x:f>4+4</x:f>
        <x:v>8</x:v>
      </x:c>
      <x:c r="E17" s="80" t="n">
        <x:f>4+4</x:f>
        <x:v>8</x:v>
      </x:c>
      <x:c r="F17" s="80" t="n">
        <x:f>4+4</x:f>
        <x:v>8</x:v>
      </x:c>
      <x:c r="G17" s="80" t="n">
        <x:f>4+4</x:f>
        <x:v>8</x:v>
      </x:c>
      <x:c r="H17" s="80" t="n">
        <x:f>4+4</x:f>
        <x:v>8</x:v>
      </x:c>
      <x:c r="I17" s="80" t="n">
        <x:f>SUM(D17:H17)</x:f>
        <x:v>40</x:v>
      </x:c>
      <x:c r="J17" s="80" t="n">
        <x:f>I17*Assumptions!C11</x:f>
        <x:v>635</x:v>
      </x:c>
      <x:c r="K17" s="80" t="n">
        <x:f>MIN(D17:H17)</x:f>
        <x:v>8</x:v>
      </x:c>
      <x:c r="L17" s="80" t="n">
        <x:f>K17-1</x:f>
        <x:v>7</x:v>
      </x:c>
      <x:c r="M17" s="80" t="n">
        <x:f>L17*Assumptions!C12</x:f>
        <x:v>100.000000002</x:v>
      </x:c>
      <x:c r="N17" s="82" t="str">
        <x:f>IF(AND(I17=40,J17&gt;=Assumptions!C8,M17&gt;=Assumptions!C13),"PASS","FAIL")</x:f>
        <x:v>PASS</x:v>
      </x:c>
    </x:row>
    <x:row r="18"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</x:row>
    <x:row r="19"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</x:row>
    <x:row r="20">
      <x:c r="B20" s="99" t="str">
        <x:v>Air formation closure</x:v>
      </x:c>
      <x:c r="C20" s="100" t="str">
        <x:v>Air formation closure</x:v>
      </x:c>
      <x:c r="D20" s="100" t="str">
        <x:v>Air formation closure</x:v>
      </x:c>
      <x:c r="E20" s="100" t="str">
        <x:v>Air formation closure</x:v>
      </x:c>
      <x:c r="F20" s="100" t="str">
        <x:v>Air formation closure</x:v>
      </x:c>
      <x:c r="G20" s="100" t="str">
        <x:v>Air formation closure</x:v>
      </x:c>
      <x:c r="H20" s="100" t="str">
        <x:v>Air formation closure</x:v>
      </x:c>
      <x:c r="I20" s="100" t="str">
        <x:v>Air formation closure</x:v>
      </x:c>
      <x:c r="J20" s="100" t="str">
        <x:v>Air formation closure</x:v>
      </x:c>
      <x:c r="K20" s="100" t="str">
        <x:v>Air formation closure</x:v>
      </x:c>
      <x:c r="L20" s="100" t="str">
        <x:v>Air formation closure</x:v>
      </x:c>
      <x:c r="M20" s="100" t="str">
        <x:v>Air formation closure</x:v>
      </x:c>
      <x:c r="N20" s="101" t="str">
        <x:v>Air formation closure</x:v>
      </x:c>
    </x:row>
    <x:row r="21">
      <x:c r="B21" s="18" t="str">
        <x:v>Metric</x:v>
      </x:c>
      <x:c r="C21" s="19" t="str">
        <x:v>Value</x:v>
      </x:c>
      <x:c r="D21" s="19" t="str">
        <x:v>Unit</x:v>
      </x:c>
      <x:c r="E21" s="19" t="str">
        <x:v>Requirement</x:v>
      </x:c>
      <x:c r="F21" s="19" t="str">
        <x:v>Result</x:v>
      </x:c>
      <x:c r="G21" s="58"/>
      <x:c r="H21" s="58"/>
      <x:c r="I21" s="58"/>
      <x:c r="J21" s="58"/>
      <x:c r="K21" s="58"/>
      <x:c r="L21" s="58"/>
      <x:c r="M21" s="58"/>
      <x:c r="N21" s="58"/>
    </x:row>
    <x:row r="22">
      <x:c r="B22" s="77" t="str">
        <x:v>Departure gross</x:v>
      </x:c>
      <x:c r="C22" s="77" t="n">
        <x:f>Assumptions!C15*Assumptions!C17</x:f>
        <x:v>4316.7460814999995</x:v>
      </x:c>
      <x:c r="D22" s="77" t="str">
        <x:v>t</x:v>
      </x:c>
      <x:c r="E22" s="77" t="str">
        <x:v>&gt; 0</x:v>
      </x:c>
      <x:c r="F22" s="79" t="str">
        <x:f>IF(C22&gt;0,"PASS","FAIL")</x:f>
        <x:v>PASS</x:v>
      </x:c>
      <x:c r="G22" s="58"/>
      <x:c r="H22" s="58"/>
      <x:c r="I22" s="58"/>
      <x:c r="J22" s="58"/>
      <x:c r="K22" s="58"/>
      <x:c r="L22" s="58"/>
      <x:c r="M22" s="58"/>
      <x:c r="N22" s="58"/>
    </x:row>
    <x:row r="23">
      <x:c r="B23" s="77" t="str">
        <x:v>Onboard energy</x:v>
      </x:c>
      <x:c r="C23" s="77" t="n">
        <x:f>Assumptions!C15*Assumptions!C18</x:f>
        <x:v>6555.2240439</x:v>
      </x:c>
      <x:c r="D23" s="77" t="str">
        <x:v>MWh</x:v>
      </x:c>
      <x:c r="E23" s="77" t="str">
        <x:v>&gt; 0</x:v>
      </x:c>
      <x:c r="F23" s="79" t="str">
        <x:f>IF(C23&gt;0,"PASS","FAIL")</x:f>
        <x:v>PASS</x:v>
      </x:c>
      <x:c r="G23" s="58"/>
      <x:c r="H23" s="58"/>
      <x:c r="I23" s="58"/>
      <x:c r="J23" s="58"/>
      <x:c r="K23" s="58"/>
      <x:c r="L23" s="58"/>
      <x:c r="M23" s="58"/>
      <x:c r="N23" s="58"/>
    </x:row>
    <x:row r="24">
      <x:c r="B24" s="77" t="str">
        <x:v>Payload before loss</x:v>
      </x:c>
      <x:c r="C24" s="77" t="n">
        <x:f>Assumptions!C15*Assumptions!C16</x:f>
        <x:v>952.5</x:v>
      </x:c>
      <x:c r="D24" s="77" t="str">
        <x:v>t</x:v>
      </x:c>
      <x:c r="E24" s="77" t="str">
        <x:v>&gt;= 952.5</x:v>
      </x:c>
      <x:c r="F24" s="79" t="str">
        <x:f>IF(C24&gt;=952.5,"PASS","FAIL")</x:f>
        <x:v>PASS</x:v>
      </x:c>
      <x:c r="G24" s="58"/>
      <x:c r="H24" s="58"/>
      <x:c r="I24" s="58"/>
      <x:c r="J24" s="58"/>
      <x:c r="K24" s="58"/>
      <x:c r="L24" s="58"/>
      <x:c r="M24" s="58"/>
      <x:c r="N24" s="58"/>
    </x:row>
    <x:row r="25">
      <x:c r="B25" s="77" t="str">
        <x:v>Payload after one vehicle loss</x:v>
      </x:c>
      <x:c r="C25" s="77" t="n">
        <x:f>(Assumptions!C15-1)*Assumptions!C16</x:f>
        <x:v>635</x:v>
      </x:c>
      <x:c r="D25" s="77" t="str">
        <x:v>t</x:v>
      </x:c>
      <x:c r="E25" s="77" t="str">
        <x:v>&gt;= 635</x:v>
      </x:c>
      <x:c r="F25" s="79" t="str">
        <x:f>IF(C25&gt;=Assumptions!C8,"PASS","FAIL")</x:f>
        <x:v>PASS</x:v>
      </x:c>
      <x:c r="G25" s="58"/>
      <x:c r="H25" s="58"/>
      <x:c r="I25" s="58"/>
      <x:c r="J25" s="58"/>
      <x:c r="K25" s="58"/>
      <x:c r="L25" s="58"/>
      <x:c r="M25" s="58"/>
      <x:c r="N25" s="58"/>
    </x:row>
    <x:row r="26">
      <x:c r="B26" s="77" t="str">
        <x:v>Complete quorums</x:v>
      </x:c>
      <x:c r="C26" s="77" t="n">
        <x:f>COUNTIFS(N15:N17,"PASS")</x:f>
        <x:v>3</x:v>
      </x:c>
      <x:c r="D26" s="77" t="str">
        <x:v>subsets</x:v>
      </x:c>
      <x:c r="E26" s="77" t="n">
        <x:v>3</x:v>
      </x:c>
      <x:c r="F26" s="79" t="str">
        <x:f>IF(C26=E26,"PASS","FAIL")</x:f>
        <x:v>PASS</x:v>
      </x:c>
      <x:c r="G26" s="58"/>
      <x:c r="H26" s="58"/>
      <x:c r="I26" s="58"/>
      <x:c r="J26" s="58"/>
      <x:c r="K26" s="58"/>
      <x:c r="L26" s="58"/>
      <x:c r="M26" s="58"/>
      <x:c r="N26" s="58"/>
    </x:row>
    <x:row r="27">
      <x:c r="B27" s="80" t="str">
        <x:v>Receiver zones</x:v>
      </x:c>
      <x:c r="C27" s="80" t="n">
        <x:v>3</x:v>
      </x:c>
      <x:c r="D27" s="80" t="str">
        <x:v>zones</x:v>
      </x:c>
      <x:c r="E27" s="80" t="n">
        <x:v>3</x:v>
      </x:c>
      <x:c r="F27" s="82" t="str">
        <x:f>IF(C27=E27,"PASS","FAIL")</x:f>
        <x:v>PASS</x:v>
      </x:c>
      <x:c r="G27" s="58"/>
      <x:c r="H27" s="58"/>
      <x:c r="I27" s="58"/>
      <x:c r="J27" s="58"/>
      <x:c r="K27" s="58"/>
      <x:c r="L27" s="58"/>
      <x:c r="M27" s="58"/>
      <x:c r="N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</x:sheetData>
  <x:mergeCells>
    <x:mergeCell ref="B2:H2"/>
    <x:mergeCell ref="B3:H3"/>
    <x:mergeCell ref="B6:N6"/>
    <x:mergeCell ref="B13:N13"/>
    <x:mergeCell ref="B20:N20"/>
  </x:mergeCells>
  <x:conditionalFormatting sqref="N15:N17">
    <x:cfRule type="containsText" dxfId="24" priority="1" operator="containsText" text="FAIL"/>
    <x:cfRule type="containsText" dxfId="25" priority="2" operator="containsText" text="PASS"/>
    <x:cfRule type="containsText" dxfId="26" priority="3" operator="containsText" text="BLOCKED"/>
    <x:cfRule type="containsText" dxfId="27" priority="4" operator="containsText" text="BOUND"/>
  </x:conditionalFormatting>
  <x:conditionalFormatting sqref="F22:F27">
    <x:cfRule type="containsText" dxfId="28" priority="5" operator="containsText" text="FAIL"/>
    <x:cfRule type="containsText" dxfId="29" priority="6" operator="containsText" text="PASS"/>
    <x:cfRule type="containsText" dxfId="30" priority="7" operator="containsText" text="BLOCKED"/>
    <x:cfRule type="containsText" dxfId="31" priority="8" operator="containsText" text="BOUND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8" hidden="0" customWidth="1"/>
    <x:col min="3" max="3" width="2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20" hidden="0" customWidth="1"/>
    <x:col min="11" max="11" width="20" hidden="0" customWidth="1"/>
    <x:col min="12" max="12" width="18" hidden="0" customWidth="1"/>
    <x:col min="13" max="13" width="20" hidden="0" customWidth="1"/>
    <x:col min="14" max="14" width="14" hidden="0" customWidth="1"/>
  </x:cols>
  <x:sheetData>
    <x:row r="2">
      <x:c r="B2" s="96" t="str">
        <x:v>Five-carrier terrain quorum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97" t="str">
        <x:v>Every carrier holds two tiles of each family; any four retain forty tiles and every service family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99" t="str">
        <x:v>Carrier load allocation</x:v>
      </x:c>
      <x:c r="C6" s="100" t="str">
        <x:v>Carrier load allocation</x:v>
      </x:c>
      <x:c r="D6" s="100" t="str">
        <x:v>Carrier load allocation</x:v>
      </x:c>
      <x:c r="E6" s="100" t="str">
        <x:v>Carrier load allocation</x:v>
      </x:c>
      <x:c r="F6" s="100" t="str">
        <x:v>Carrier load allocation</x:v>
      </x:c>
      <x:c r="G6" s="100" t="str">
        <x:v>Carrier load allocation</x:v>
      </x:c>
      <x:c r="H6" s="100" t="str">
        <x:v>Carrier load allocation</x:v>
      </x:c>
      <x:c r="I6" s="100" t="str">
        <x:v>Carrier load allocation</x:v>
      </x:c>
      <x:c r="J6" s="100" t="str">
        <x:v>Carrier load allocation</x:v>
      </x:c>
      <x:c r="K6" s="100" t="str">
        <x:v>Carrier load allocation</x:v>
      </x:c>
      <x:c r="L6" s="100" t="str">
        <x:v>Carrier load allocation</x:v>
      </x:c>
      <x:c r="M6" s="100" t="str">
        <x:v>Carrier load allocation</x:v>
      </x:c>
      <x:c r="N6" s="101" t="str">
        <x:v>Carrier load allocation</x:v>
      </x:c>
    </x:row>
    <x:row r="7">
      <x:c r="B7" s="18" t="str">
        <x:v>Carrier</x:v>
      </x:c>
      <x:c r="C7" s="19" t="str">
        <x:v>E tiles</x:v>
      </x:c>
      <x:c r="D7" s="19" t="str">
        <x:v>W tiles</x:v>
      </x:c>
      <x:c r="E7" s="19" t="str">
        <x:v>T tiles</x:v>
      </x:c>
      <x:c r="F7" s="19" t="str">
        <x:v>D tiles</x:v>
      </x:c>
      <x:c r="G7" s="19" t="str">
        <x:v>C tiles</x:v>
      </x:c>
      <x:c r="H7" s="19" t="str">
        <x:v>Total tiles</x:v>
      </x:c>
      <x:c r="I7" s="19" t="str">
        <x:v>Payload t</x:v>
      </x:c>
      <x:c r="J7" s="19" t="str">
        <x:v>Assigned gross t</x:v>
      </x:c>
      <x:c r="K7" s="58"/>
      <x:c r="L7" s="58"/>
      <x:c r="M7" s="58"/>
      <x:c r="N7" s="58"/>
    </x:row>
    <x:row r="8">
      <x:c r="B8" s="77" t="str">
        <x:v>T1</x:v>
      </x:c>
      <x:c r="C8" s="77" t="n">
        <x:v>2</x:v>
      </x:c>
      <x:c r="D8" s="77" t="n">
        <x:v>2</x:v>
      </x:c>
      <x:c r="E8" s="77" t="n">
        <x:v>2</x:v>
      </x:c>
      <x:c r="F8" s="77" t="n">
        <x:v>2</x:v>
      </x:c>
      <x:c r="G8" s="77" t="n">
        <x:v>2</x:v>
      </x:c>
      <x:c r="H8" s="77" t="n">
        <x:f>SUM(C8:G8)</x:f>
        <x:v>10</x:v>
      </x:c>
      <x:c r="I8" s="77" t="n">
        <x:f>H8*Assumptions!C11</x:f>
        <x:v>158.75</x:v>
      </x:c>
      <x:c r="J8" s="79" t="n">
        <x:f>Assumptions!C28</x:f>
        <x:v>705.935</x:v>
      </x:c>
      <x:c r="K8" s="58"/>
      <x:c r="L8" s="58"/>
      <x:c r="M8" s="58"/>
      <x:c r="N8" s="58"/>
    </x:row>
    <x:row r="9">
      <x:c r="B9" s="77" t="str">
        <x:v>T2</x:v>
      </x:c>
      <x:c r="C9" s="77" t="n">
        <x:v>2</x:v>
      </x:c>
      <x:c r="D9" s="77" t="n">
        <x:v>2</x:v>
      </x:c>
      <x:c r="E9" s="77" t="n">
        <x:v>2</x:v>
      </x:c>
      <x:c r="F9" s="77" t="n">
        <x:v>2</x:v>
      </x:c>
      <x:c r="G9" s="77" t="n">
        <x:v>2</x:v>
      </x:c>
      <x:c r="H9" s="77" t="n">
        <x:f>SUM(C9:G9)</x:f>
        <x:v>10</x:v>
      </x:c>
      <x:c r="I9" s="77" t="n">
        <x:f>H9*Assumptions!C11</x:f>
        <x:v>158.75</x:v>
      </x:c>
      <x:c r="J9" s="79" t="n">
        <x:f>Assumptions!C28</x:f>
        <x:v>705.935</x:v>
      </x:c>
      <x:c r="K9" s="58"/>
      <x:c r="L9" s="58"/>
      <x:c r="M9" s="58"/>
      <x:c r="N9" s="58"/>
    </x:row>
    <x:row r="10">
      <x:c r="B10" s="77" t="str">
        <x:v>T3</x:v>
      </x:c>
      <x:c r="C10" s="77" t="n">
        <x:v>2</x:v>
      </x:c>
      <x:c r="D10" s="77" t="n">
        <x:v>2</x:v>
      </x:c>
      <x:c r="E10" s="77" t="n">
        <x:v>2</x:v>
      </x:c>
      <x:c r="F10" s="77" t="n">
        <x:v>2</x:v>
      </x:c>
      <x:c r="G10" s="77" t="n">
        <x:v>2</x:v>
      </x:c>
      <x:c r="H10" s="77" t="n">
        <x:f>SUM(C10:G10)</x:f>
        <x:v>10</x:v>
      </x:c>
      <x:c r="I10" s="77" t="n">
        <x:f>H10*Assumptions!C11</x:f>
        <x:v>158.75</x:v>
      </x:c>
      <x:c r="J10" s="79" t="n">
        <x:f>Assumptions!C28</x:f>
        <x:v>705.935</x:v>
      </x:c>
      <x:c r="K10" s="58"/>
      <x:c r="L10" s="58"/>
      <x:c r="M10" s="58"/>
      <x:c r="N10" s="58"/>
    </x:row>
    <x:row r="11">
      <x:c r="B11" s="77" t="str">
        <x:v>T4</x:v>
      </x:c>
      <x:c r="C11" s="77" t="n">
        <x:v>2</x:v>
      </x:c>
      <x:c r="D11" s="77" t="n">
        <x:v>2</x:v>
      </x:c>
      <x:c r="E11" s="77" t="n">
        <x:v>2</x:v>
      </x:c>
      <x:c r="F11" s="77" t="n">
        <x:v>2</x:v>
      </x:c>
      <x:c r="G11" s="77" t="n">
        <x:v>2</x:v>
      </x:c>
      <x:c r="H11" s="77" t="n">
        <x:f>SUM(C11:G11)</x:f>
        <x:v>10</x:v>
      </x:c>
      <x:c r="I11" s="77" t="n">
        <x:f>H11*Assumptions!C11</x:f>
        <x:v>158.75</x:v>
      </x:c>
      <x:c r="J11" s="79" t="n">
        <x:f>Assumptions!C28</x:f>
        <x:v>705.935</x:v>
      </x:c>
      <x:c r="K11" s="58"/>
      <x:c r="L11" s="58"/>
      <x:c r="M11" s="58"/>
      <x:c r="N11" s="58"/>
    </x:row>
    <x:row r="12">
      <x:c r="B12" s="80" t="str">
        <x:v>T5</x:v>
      </x:c>
      <x:c r="C12" s="80" t="n">
        <x:v>2</x:v>
      </x:c>
      <x:c r="D12" s="80" t="n">
        <x:v>2</x:v>
      </x:c>
      <x:c r="E12" s="80" t="n">
        <x:v>2</x:v>
      </x:c>
      <x:c r="F12" s="80" t="n">
        <x:v>2</x:v>
      </x:c>
      <x:c r="G12" s="80" t="n">
        <x:v>2</x:v>
      </x:c>
      <x:c r="H12" s="80" t="n">
        <x:f>SUM(C12:G12)</x:f>
        <x:v>10</x:v>
      </x:c>
      <x:c r="I12" s="80" t="n">
        <x:f>H12*Assumptions!C11</x:f>
        <x:v>158.75</x:v>
      </x:c>
      <x:c r="J12" s="82" t="n">
        <x:f>Assumptions!C28</x:f>
        <x:v>705.935</x:v>
      </x:c>
      <x:c r="K12" s="58"/>
      <x:c r="L12" s="58"/>
      <x:c r="M12" s="58"/>
      <x:c r="N12" s="58"/>
    </x:row>
    <x:row r="13"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</x:row>
    <x:row r="15">
      <x:c r="B15" s="99" t="str">
        <x:v>All four-of-five surviving subsets</x:v>
      </x:c>
      <x:c r="C15" s="100" t="str">
        <x:v>All four-of-five surviving subsets</x:v>
      </x:c>
      <x:c r="D15" s="100" t="str">
        <x:v>All four-of-five surviving subsets</x:v>
      </x:c>
      <x:c r="E15" s="100" t="str">
        <x:v>All four-of-five surviving subsets</x:v>
      </x:c>
      <x:c r="F15" s="100" t="str">
        <x:v>All four-of-five surviving subsets</x:v>
      </x:c>
      <x:c r="G15" s="100" t="str">
        <x:v>All four-of-five surviving subsets</x:v>
      </x:c>
      <x:c r="H15" s="100" t="str">
        <x:v>All four-of-five surviving subsets</x:v>
      </x:c>
      <x:c r="I15" s="100" t="str">
        <x:v>All four-of-five surviving subsets</x:v>
      </x:c>
      <x:c r="J15" s="100" t="str">
        <x:v>All four-of-five surviving subsets</x:v>
      </x:c>
      <x:c r="K15" s="100" t="str">
        <x:v>All four-of-five surviving subsets</x:v>
      </x:c>
      <x:c r="L15" s="100" t="str">
        <x:v>All four-of-five surviving subsets</x:v>
      </x:c>
      <x:c r="M15" s="100" t="str">
        <x:v>All four-of-five surviving subsets</x:v>
      </x:c>
      <x:c r="N15" s="101" t="str">
        <x:v>All four-of-five surviving subsets</x:v>
      </x:c>
    </x:row>
    <x:row r="16">
      <x:c r="B16" s="18" t="str">
        <x:v>Subset</x:v>
      </x:c>
      <x:c r="C16" s="19" t="str">
        <x:v>Carriers</x:v>
      </x:c>
      <x:c r="D16" s="19" t="str">
        <x:v>E</x:v>
      </x:c>
      <x:c r="E16" s="19" t="str">
        <x:v>W</x:v>
      </x:c>
      <x:c r="F16" s="19" t="str">
        <x:v>T</x:v>
      </x:c>
      <x:c r="G16" s="19" t="str">
        <x:v>D</x:v>
      </x:c>
      <x:c r="H16" s="19" t="str">
        <x:v>C</x:v>
      </x:c>
      <x:c r="I16" s="19" t="str">
        <x:v>Tiles</x:v>
      </x:c>
      <x:c r="J16" s="19" t="str">
        <x:v>Payload t</x:v>
      </x:c>
      <x:c r="K16" s="19" t="str">
        <x:v>Minimum family tiles</x:v>
      </x:c>
      <x:c r="L16" s="19" t="str">
        <x:v>After tile loss</x:v>
      </x:c>
      <x:c r="M16" s="19" t="str">
        <x:v>Minimum capacity</x:v>
      </x:c>
      <x:c r="N16" s="19" t="str">
        <x:v>Result</x:v>
      </x:c>
    </x:row>
    <x:row r="17">
      <x:c r="B17" s="77" t="str">
        <x:v>TQ1</x:v>
      </x:c>
      <x:c r="C17" s="77" t="str">
        <x:v>T1+T2+T3+T4</x:v>
      </x:c>
      <x:c r="D17" s="77" t="n">
        <x:f>2+2+2+2</x:f>
        <x:v>8</x:v>
      </x:c>
      <x:c r="E17" s="77" t="n">
        <x:f>2+2+2+2</x:f>
        <x:v>8</x:v>
      </x:c>
      <x:c r="F17" s="77" t="n">
        <x:f>2+2+2+2</x:f>
        <x:v>8</x:v>
      </x:c>
      <x:c r="G17" s="77" t="n">
        <x:f>2+2+2+2</x:f>
        <x:v>8</x:v>
      </x:c>
      <x:c r="H17" s="77" t="n">
        <x:f>2+2+2+2</x:f>
        <x:v>8</x:v>
      </x:c>
      <x:c r="I17" s="77" t="n">
        <x:f>SUM(D17:H17)</x:f>
        <x:v>40</x:v>
      </x:c>
      <x:c r="J17" s="77" t="n">
        <x:f>I17*Assumptions!C11</x:f>
        <x:v>635</x:v>
      </x:c>
      <x:c r="K17" s="77" t="n">
        <x:f>MIN(D17:H17)</x:f>
        <x:v>8</x:v>
      </x:c>
      <x:c r="L17" s="77" t="n">
        <x:f>K17-1</x:f>
        <x:v>7</x:v>
      </x:c>
      <x:c r="M17" s="77" t="n">
        <x:f>L17*Assumptions!C12</x:f>
        <x:v>100.000000002</x:v>
      </x:c>
      <x:c r="N17" s="79" t="str">
        <x:f>IF(AND(I17=40,J17&gt;=Assumptions!C8,M17&gt;=Assumptions!C13),"PASS","FAIL")</x:f>
        <x:v>PASS</x:v>
      </x:c>
    </x:row>
    <x:row r="18">
      <x:c r="B18" s="77" t="str">
        <x:v>TQ2</x:v>
      </x:c>
      <x:c r="C18" s="77" t="str">
        <x:v>T1+T2+T3+T5</x:v>
      </x:c>
      <x:c r="D18" s="77" t="n">
        <x:f>2+2+2+2</x:f>
        <x:v>8</x:v>
      </x:c>
      <x:c r="E18" s="77" t="n">
        <x:f>2+2+2+2</x:f>
        <x:v>8</x:v>
      </x:c>
      <x:c r="F18" s="77" t="n">
        <x:f>2+2+2+2</x:f>
        <x:v>8</x:v>
      </x:c>
      <x:c r="G18" s="77" t="n">
        <x:f>2+2+2+2</x:f>
        <x:v>8</x:v>
      </x:c>
      <x:c r="H18" s="77" t="n">
        <x:f>2+2+2+2</x:f>
        <x:v>8</x:v>
      </x:c>
      <x:c r="I18" s="77" t="n">
        <x:f>SUM(D18:H18)</x:f>
        <x:v>40</x:v>
      </x:c>
      <x:c r="J18" s="77" t="n">
        <x:f>I18*Assumptions!C11</x:f>
        <x:v>635</x:v>
      </x:c>
      <x:c r="K18" s="77" t="n">
        <x:f>MIN(D18:H18)</x:f>
        <x:v>8</x:v>
      </x:c>
      <x:c r="L18" s="77" t="n">
        <x:f>K18-1</x:f>
        <x:v>7</x:v>
      </x:c>
      <x:c r="M18" s="77" t="n">
        <x:f>L18*Assumptions!C12</x:f>
        <x:v>100.000000002</x:v>
      </x:c>
      <x:c r="N18" s="79" t="str">
        <x:f>IF(AND(I18=40,J18&gt;=Assumptions!C8,M18&gt;=Assumptions!C13),"PASS","FAIL")</x:f>
        <x:v>PASS</x:v>
      </x:c>
    </x:row>
    <x:row r="19">
      <x:c r="B19" s="77" t="str">
        <x:v>TQ3</x:v>
      </x:c>
      <x:c r="C19" s="77" t="str">
        <x:v>T1+T2+T4+T5</x:v>
      </x:c>
      <x:c r="D19" s="77" t="n">
        <x:f>2+2+2+2</x:f>
        <x:v>8</x:v>
      </x:c>
      <x:c r="E19" s="77" t="n">
        <x:f>2+2+2+2</x:f>
        <x:v>8</x:v>
      </x:c>
      <x:c r="F19" s="77" t="n">
        <x:f>2+2+2+2</x:f>
        <x:v>8</x:v>
      </x:c>
      <x:c r="G19" s="77" t="n">
        <x:f>2+2+2+2</x:f>
        <x:v>8</x:v>
      </x:c>
      <x:c r="H19" s="77" t="n">
        <x:f>2+2+2+2</x:f>
        <x:v>8</x:v>
      </x:c>
      <x:c r="I19" s="77" t="n">
        <x:f>SUM(D19:H19)</x:f>
        <x:v>40</x:v>
      </x:c>
      <x:c r="J19" s="77" t="n">
        <x:f>I19*Assumptions!C11</x:f>
        <x:v>635</x:v>
      </x:c>
      <x:c r="K19" s="77" t="n">
        <x:f>MIN(D19:H19)</x:f>
        <x:v>8</x:v>
      </x:c>
      <x:c r="L19" s="77" t="n">
        <x:f>K19-1</x:f>
        <x:v>7</x:v>
      </x:c>
      <x:c r="M19" s="77" t="n">
        <x:f>L19*Assumptions!C12</x:f>
        <x:v>100.000000002</x:v>
      </x:c>
      <x:c r="N19" s="79" t="str">
        <x:f>IF(AND(I19=40,J19&gt;=Assumptions!C8,M19&gt;=Assumptions!C13),"PASS","FAIL")</x:f>
        <x:v>PASS</x:v>
      </x:c>
    </x:row>
    <x:row r="20">
      <x:c r="B20" s="77" t="str">
        <x:v>TQ4</x:v>
      </x:c>
      <x:c r="C20" s="77" t="str">
        <x:v>T1+T3+T4+T5</x:v>
      </x:c>
      <x:c r="D20" s="77" t="n">
        <x:f>2+2+2+2</x:f>
        <x:v>8</x:v>
      </x:c>
      <x:c r="E20" s="77" t="n">
        <x:f>2+2+2+2</x:f>
        <x:v>8</x:v>
      </x:c>
      <x:c r="F20" s="77" t="n">
        <x:f>2+2+2+2</x:f>
        <x:v>8</x:v>
      </x:c>
      <x:c r="G20" s="77" t="n">
        <x:f>2+2+2+2</x:f>
        <x:v>8</x:v>
      </x:c>
      <x:c r="H20" s="77" t="n">
        <x:f>2+2+2+2</x:f>
        <x:v>8</x:v>
      </x:c>
      <x:c r="I20" s="77" t="n">
        <x:f>SUM(D20:H20)</x:f>
        <x:v>40</x:v>
      </x:c>
      <x:c r="J20" s="77" t="n">
        <x:f>I20*Assumptions!C11</x:f>
        <x:v>635</x:v>
      </x:c>
      <x:c r="K20" s="77" t="n">
        <x:f>MIN(D20:H20)</x:f>
        <x:v>8</x:v>
      </x:c>
      <x:c r="L20" s="77" t="n">
        <x:f>K20-1</x:f>
        <x:v>7</x:v>
      </x:c>
      <x:c r="M20" s="77" t="n">
        <x:f>L20*Assumptions!C12</x:f>
        <x:v>100.000000002</x:v>
      </x:c>
      <x:c r="N20" s="79" t="str">
        <x:f>IF(AND(I20=40,J20&gt;=Assumptions!C8,M20&gt;=Assumptions!C13),"PASS","FAIL")</x:f>
        <x:v>PASS</x:v>
      </x:c>
    </x:row>
    <x:row r="21">
      <x:c r="B21" s="80" t="str">
        <x:v>TQ5</x:v>
      </x:c>
      <x:c r="C21" s="80" t="str">
        <x:v>T2+T3+T4+T5</x:v>
      </x:c>
      <x:c r="D21" s="80" t="n">
        <x:f>2+2+2+2</x:f>
        <x:v>8</x:v>
      </x:c>
      <x:c r="E21" s="80" t="n">
        <x:f>2+2+2+2</x:f>
        <x:v>8</x:v>
      </x:c>
      <x:c r="F21" s="80" t="n">
        <x:f>2+2+2+2</x:f>
        <x:v>8</x:v>
      </x:c>
      <x:c r="G21" s="80" t="n">
        <x:f>2+2+2+2</x:f>
        <x:v>8</x:v>
      </x:c>
      <x:c r="H21" s="80" t="n">
        <x:f>2+2+2+2</x:f>
        <x:v>8</x:v>
      </x:c>
      <x:c r="I21" s="80" t="n">
        <x:f>SUM(D21:H21)</x:f>
        <x:v>40</x:v>
      </x:c>
      <x:c r="J21" s="80" t="n">
        <x:f>I21*Assumptions!C11</x:f>
        <x:v>635</x:v>
      </x:c>
      <x:c r="K21" s="80" t="n">
        <x:f>MIN(D21:H21)</x:f>
        <x:v>8</x:v>
      </x:c>
      <x:c r="L21" s="80" t="n">
        <x:f>K21-1</x:f>
        <x:v>7</x:v>
      </x:c>
      <x:c r="M21" s="80" t="n">
        <x:f>L21*Assumptions!C12</x:f>
        <x:v>100.000000002</x:v>
      </x:c>
      <x:c r="N21" s="82" t="str">
        <x:f>IF(AND(I21=40,J21&gt;=Assumptions!C8,M21&gt;=Assumptions!C13),"PASS","FAIL")</x:f>
        <x:v>PASS</x:v>
      </x:c>
    </x:row>
    <x:row r="22"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</x:row>
    <x:row r="23"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</x:row>
    <x:row r="24">
      <x:c r="B24" s="99" t="str">
        <x:v>Terrain formation closure</x:v>
      </x:c>
      <x:c r="C24" s="100" t="str">
        <x:v>Terrain formation closure</x:v>
      </x:c>
      <x:c r="D24" s="100" t="str">
        <x:v>Terrain formation closure</x:v>
      </x:c>
      <x:c r="E24" s="100" t="str">
        <x:v>Terrain formation closure</x:v>
      </x:c>
      <x:c r="F24" s="100" t="str">
        <x:v>Terrain formation closure</x:v>
      </x:c>
      <x:c r="G24" s="100" t="str">
        <x:v>Terrain formation closure</x:v>
      </x:c>
      <x:c r="H24" s="100" t="str">
        <x:v>Terrain formation closure</x:v>
      </x:c>
      <x:c r="I24" s="100" t="str">
        <x:v>Terrain formation closure</x:v>
      </x:c>
      <x:c r="J24" s="100" t="str">
        <x:v>Terrain formation closure</x:v>
      </x:c>
      <x:c r="K24" s="100" t="str">
        <x:v>Terrain formation closure</x:v>
      </x:c>
      <x:c r="L24" s="100" t="str">
        <x:v>Terrain formation closure</x:v>
      </x:c>
      <x:c r="M24" s="100" t="str">
        <x:v>Terrain formation closure</x:v>
      </x:c>
      <x:c r="N24" s="101" t="str">
        <x:v>Terrain formation closure</x:v>
      </x:c>
    </x:row>
    <x:row r="25">
      <x:c r="B25" s="18" t="str">
        <x:v>Metric</x:v>
      </x:c>
      <x:c r="C25" s="19" t="str">
        <x:v>Value</x:v>
      </x:c>
      <x:c r="D25" s="19" t="str">
        <x:v>Unit</x:v>
      </x:c>
      <x:c r="E25" s="19" t="str">
        <x:v>Requirement</x:v>
      </x:c>
      <x:c r="F25" s="19" t="str">
        <x:v>Result</x:v>
      </x:c>
      <x:c r="G25" s="58"/>
      <x:c r="H25" s="58"/>
      <x:c r="I25" s="58"/>
      <x:c r="J25" s="58"/>
      <x:c r="K25" s="58"/>
      <x:c r="L25" s="58"/>
      <x:c r="M25" s="58"/>
      <x:c r="N25" s="58"/>
    </x:row>
    <x:row r="26">
      <x:c r="B26" s="77" t="str">
        <x:v>Departure gross</x:v>
      </x:c>
      <x:c r="C26" s="77" t="n">
        <x:f>Assumptions!C26*Assumptions!C28</x:f>
        <x:v>3529.6749999999997</x:v>
      </x:c>
      <x:c r="D26" s="77" t="str">
        <x:v>t</x:v>
      </x:c>
      <x:c r="E26" s="77" t="str">
        <x:v>&gt; 0</x:v>
      </x:c>
      <x:c r="F26" s="79" t="str">
        <x:f>IF(C26&gt;0,"PASS","FAIL")</x:f>
        <x:v>PASS</x:v>
      </x:c>
      <x:c r="G26" s="58"/>
      <x:c r="H26" s="58"/>
      <x:c r="I26" s="58"/>
      <x:c r="J26" s="58"/>
      <x:c r="K26" s="58"/>
      <x:c r="L26" s="58"/>
      <x:c r="M26" s="58"/>
      <x:c r="N26" s="58"/>
    </x:row>
    <x:row r="27">
      <x:c r="B27" s="77" t="str">
        <x:v>Onboard energy</x:v>
      </x:c>
      <x:c r="C27" s="77" t="n">
        <x:f>Assumptions!C26*Assumptions!C29</x:f>
        <x:v>3335.1549999999997</x:v>
      </x:c>
      <x:c r="D27" s="77" t="str">
        <x:v>MWh</x:v>
      </x:c>
      <x:c r="E27" s="77" t="str">
        <x:v>&gt; 0</x:v>
      </x:c>
      <x:c r="F27" s="79" t="str">
        <x:f>IF(C27&gt;0,"PASS","FAIL")</x:f>
        <x:v>PASS</x:v>
      </x:c>
      <x:c r="G27" s="58"/>
      <x:c r="H27" s="58"/>
      <x:c r="I27" s="58"/>
      <x:c r="J27" s="58"/>
      <x:c r="K27" s="58"/>
      <x:c r="L27" s="58"/>
      <x:c r="M27" s="58"/>
      <x:c r="N27" s="58"/>
    </x:row>
    <x:row r="28">
      <x:c r="B28" s="77" t="str">
        <x:v>Payload before loss</x:v>
      </x:c>
      <x:c r="C28" s="77" t="n">
        <x:f>Assumptions!C26*Assumptions!C27</x:f>
        <x:v>793.75</x:v>
      </x:c>
      <x:c r="D28" s="77" t="str">
        <x:v>t</x:v>
      </x:c>
      <x:c r="E28" s="77" t="str">
        <x:v>&gt;= 793.75</x:v>
      </x:c>
      <x:c r="F28" s="79" t="str">
        <x:f>IF(C28&gt;=793.75,"PASS","FAIL")</x:f>
        <x:v>PASS</x:v>
      </x:c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77" t="str">
        <x:v>Payload after one vehicle loss</x:v>
      </x:c>
      <x:c r="C29" s="77" t="n">
        <x:f>(Assumptions!C26-1)*Assumptions!C27</x:f>
        <x:v>635</x:v>
      </x:c>
      <x:c r="D29" s="77" t="str">
        <x:v>t</x:v>
      </x:c>
      <x:c r="E29" s="77" t="str">
        <x:v>&gt;= 635</x:v>
      </x:c>
      <x:c r="F29" s="79" t="str">
        <x:f>IF(C29&gt;=Assumptions!C8,"PASS","FAIL")</x:f>
        <x:v>PASS</x:v>
      </x:c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77" t="str">
        <x:v>Complete quorums</x:v>
      </x:c>
      <x:c r="C30" s="77" t="n">
        <x:f>COUNTIFS(N17:N21,"PASS")</x:f>
        <x:v>5</x:v>
      </x:c>
      <x:c r="D30" s="77" t="str">
        <x:v>subsets</x:v>
      </x:c>
      <x:c r="E30" s="77" t="n">
        <x:v>5</x:v>
      </x:c>
      <x:c r="F30" s="79" t="str">
        <x:f>IF(C30=E30,"PASS","FAIL")</x:f>
        <x:v>PASS</x:v>
      </x:c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80" t="str">
        <x:v>Receiver positions</x:v>
      </x:c>
      <x:c r="C31" s="80" t="n">
        <x:v>5</x:v>
      </x:c>
      <x:c r="D31" s="80" t="str">
        <x:v>positions</x:v>
      </x:c>
      <x:c r="E31" s="80" t="n">
        <x:v>5</x:v>
      </x:c>
      <x:c r="F31" s="82" t="str">
        <x:f>IF(C31=E31,"PASS","FAIL")</x:f>
        <x:v>PASS</x:v>
      </x:c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  <x:row r="35"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</x:row>
    <x:row r="36"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</x:row>
  </x:sheetData>
  <x:mergeCells>
    <x:mergeCell ref="B2:H2"/>
    <x:mergeCell ref="B3:H3"/>
    <x:mergeCell ref="B6:N6"/>
    <x:mergeCell ref="B15:N15"/>
    <x:mergeCell ref="B24:N24"/>
  </x:mergeCells>
  <x:conditionalFormatting sqref="N17:N21">
    <x:cfRule type="containsText" dxfId="32" priority="1" operator="containsText" text="FAIL"/>
    <x:cfRule type="containsText" dxfId="33" priority="2" operator="containsText" text="PASS"/>
    <x:cfRule type="containsText" dxfId="34" priority="3" operator="containsText" text="BLOCKED"/>
    <x:cfRule type="containsText" dxfId="35" priority="4" operator="containsText" text="BOUND"/>
  </x:conditionalFormatting>
  <x:conditionalFormatting sqref="F26:F31">
    <x:cfRule type="containsText" dxfId="36" priority="5" operator="containsText" text="FAIL"/>
    <x:cfRule type="containsText" dxfId="37" priority="6" operator="containsText" text="PASS"/>
    <x:cfRule type="containsText" dxfId="38" priority="7" operator="containsText" text="BLOCKED"/>
    <x:cfRule type="containsText" dxfId="39" priority="8" operator="containsText" text="BOUND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9" hidden="0" customWidth="1"/>
    <x:col min="3" max="3" width="42" hidden="0" customWidth="1"/>
    <x:col min="4" max="4" width="12" hidden="0" customWidth="1"/>
    <x:col min="5" max="5" width="14" hidden="0" customWidth="1"/>
    <x:col min="6" max="6" width="14" hidden="0" customWidth="1"/>
    <x:col min="7" max="7" width="16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4" hidden="0" customWidth="1"/>
    <x:col min="15" max="15" width="16" hidden="0" customWidth="1"/>
    <x:col min="16" max="16" width="18" hidden="0" customWidth="1"/>
    <x:col min="17" max="17" width="20" hidden="0" customWidth="1"/>
    <x:col min="18" max="18" width="13" hidden="0" customWidth="1"/>
    <x:col min="19" max="19" width="14" hidden="0" customWidth="1"/>
    <x:col min="20" max="20" width="14" hidden="0" customWidth="1"/>
    <x:col min="21" max="21" width="15" hidden="0" customWidth="1"/>
    <x:col min="22" max="22" width="17" hidden="0" customWidth="1"/>
    <x:col min="23" max="23" width="16" hidden="0" customWidth="1"/>
    <x:col min="24" max="24" width="18" hidden="0" customWidth="1"/>
    <x:col min="25" max="25" width="14" hidden="0" customWidth="1"/>
    <x:col min="26" max="26" width="14" hidden="0" customWidth="1"/>
    <x:col min="27" max="27" width="20" hidden="0" customWidth="1"/>
    <x:col min="28" max="28" width="20" hidden="0" customWidth="1"/>
    <x:col min="29" max="29" width="16" hidden="0" customWidth="1"/>
    <x:col min="30" max="30" width="18" hidden="0" customWidth="1"/>
    <x:col min="31" max="31" width="20" hidden="0" customWidth="1"/>
    <x:col min="32" max="32" width="16" hidden="0" customWidth="1"/>
    <x:col min="33" max="33" width="16" hidden="0" customWidth="1"/>
    <x:col min="34" max="34" width="18" hidden="0" customWidth="1"/>
    <x:col min="35" max="35" width="18" hidden="0" customWidth="1"/>
    <x:col min="36" max="36" width="16" hidden="0" customWidth="1"/>
    <x:col min="37" max="37" width="14" hidden="0" customWidth="1"/>
    <x:col min="38" max="38" width="16" hidden="0" customWidth="1"/>
    <x:col min="39" max="39" width="20" hidden="0" customWidth="1"/>
    <x:col min="40" max="40" width="14" hidden="0" customWidth="1"/>
    <x:col min="41" max="41" width="14" hidden="0" customWidth="1"/>
    <x:col min="42" max="42" width="10" hidden="0" customWidth="1"/>
    <x:col min="43" max="43" width="12" hidden="0" customWidth="1"/>
  </x:cols>
  <x:sheetData>
    <x:row r="2">
      <x:c r="B2" s="96" t="str">
        <x:v>Compound-assurance architecture competition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  <x:c r="S2" s="58"/>
      <x:c r="T2" s="58"/>
      <x:c r="U2" s="58"/>
      <x:c r="V2" s="58"/>
      <x:c r="W2" s="58"/>
      <x:c r="X2" s="58"/>
      <x:c r="Y2" s="58"/>
      <x:c r="Z2" s="58"/>
      <x:c r="AA2" s="58"/>
      <x:c r="AB2" s="58"/>
      <x:c r="AC2" s="58"/>
      <x:c r="AD2" s="58"/>
      <x:c r="AE2" s="58"/>
      <x:c r="AF2" s="58"/>
      <x:c r="AG2" s="58"/>
      <x:c r="AH2" s="58"/>
      <x:c r="AI2" s="58"/>
      <x:c r="AJ2" s="58"/>
      <x:c r="AK2" s="58"/>
      <x:c r="AL2" s="58"/>
      <x:c r="AM2" s="58"/>
      <x:c r="AN2" s="58"/>
      <x:c r="AO2" s="58"/>
      <x:c r="AP2" s="58"/>
      <x:c r="AQ2" s="58"/>
    </x:row>
    <x:row r="3">
      <x:c r="B3" s="97" t="str">
        <x:v>Six formation and payload arrangements face twenty-four non-substitutable gates; pass counts are diagnostic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  <x:c r="S3" s="97"/>
      <x:c r="T3" s="97"/>
      <x:c r="U3" s="97"/>
      <x:c r="V3" s="97"/>
      <x:c r="W3" s="97"/>
      <x:c r="X3" s="97"/>
      <x:c r="Y3" s="97"/>
      <x:c r="Z3" s="97"/>
      <x:c r="AA3" s="97"/>
      <x:c r="AB3" s="97"/>
      <x:c r="AC3" s="97"/>
      <x:c r="AD3" s="97"/>
      <x:c r="AE3" s="97"/>
      <x:c r="AF3" s="97"/>
      <x:c r="AG3" s="97"/>
      <x:c r="AH3" s="97"/>
      <x:c r="AI3" s="97"/>
      <x:c r="AJ3" s="97"/>
      <x:c r="AK3" s="97"/>
      <x:c r="AL3" s="97"/>
      <x:c r="AM3" s="58"/>
      <x:c r="AN3" s="58"/>
      <x:c r="AO3" s="58"/>
      <x:c r="AP3" s="58"/>
      <x:c r="AQ3" s="58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  <x:c r="Q4" s="98"/>
      <x:c r="R4" s="98"/>
      <x:c r="S4" s="98"/>
      <x:c r="T4" s="98"/>
      <x:c r="U4" s="98"/>
      <x:c r="V4" s="98"/>
      <x:c r="W4" s="98"/>
      <x:c r="X4" s="98"/>
      <x:c r="Y4" s="98"/>
      <x:c r="Z4" s="98"/>
      <x:c r="AA4" s="98"/>
      <x:c r="AB4" s="98"/>
      <x:c r="AC4" s="98"/>
      <x:c r="AD4" s="98"/>
      <x:c r="AE4" s="98"/>
      <x:c r="AF4" s="98"/>
      <x:c r="AG4" s="98"/>
      <x:c r="AH4" s="98"/>
      <x:c r="AI4" s="98"/>
      <x:c r="AJ4" s="98"/>
      <x:c r="AK4" s="98"/>
      <x:c r="AL4" s="98"/>
      <x:c r="AM4" s="58"/>
      <x:c r="AN4" s="58"/>
      <x:c r="AO4" s="58"/>
      <x:c r="AP4" s="58"/>
      <x:c r="AQ4" s="5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  <x:c r="S5" s="58"/>
      <x:c r="T5" s="58"/>
      <x:c r="U5" s="58"/>
      <x:c r="V5" s="58"/>
      <x:c r="W5" s="58"/>
      <x:c r="X5" s="58"/>
      <x:c r="Y5" s="58"/>
      <x:c r="Z5" s="58"/>
      <x:c r="AA5" s="58"/>
      <x:c r="AB5" s="58"/>
      <x:c r="AC5" s="58"/>
      <x:c r="AD5" s="58"/>
      <x:c r="AE5" s="58"/>
      <x:c r="AF5" s="58"/>
      <x:c r="AG5" s="58"/>
      <x:c r="AH5" s="58"/>
      <x:c r="AI5" s="58"/>
      <x:c r="AJ5" s="58"/>
      <x:c r="AK5" s="58"/>
      <x:c r="AL5" s="58"/>
      <x:c r="AM5" s="58"/>
      <x:c r="AN5" s="58"/>
      <x:c r="AO5" s="58"/>
      <x:c r="AP5" s="58"/>
      <x:c r="AQ5" s="58"/>
    </x:row>
    <x:row r="6">
      <x:c r="B6" s="18" t="str">
        <x:v>ID</x:v>
      </x:c>
      <x:c r="C6" s="19" t="str">
        <x:v>Architecture</x:v>
      </x:c>
      <x:c r="D6" s="19" t="str">
        <x:v>Air vehicles</x:v>
      </x:c>
      <x:c r="E6" s="19" t="str">
        <x:v>Terrain vehicles</x:v>
      </x:c>
      <x:c r="F6" s="19" t="str">
        <x:v>Grammar</x:v>
      </x:c>
      <x:c r="G6" s="19" t="str">
        <x:v>Air retained cell</x:v>
      </x:c>
      <x:c r="H6" s="19" t="str">
        <x:v>Terrain retained cell</x:v>
      </x:c>
      <x:c r="I6" s="19" t="str">
        <x:v>Dual payload lineages</x:v>
      </x:c>
      <x:c r="J6" s="19" t="str">
        <x:v>Parallel receiver</x:v>
      </x:c>
      <x:c r="K6" s="19" t="str">
        <x:v>Offline control</x:v>
      </x:c>
      <x:c r="L6" s="19" t="str">
        <x:v>Reset capacity</x:v>
      </x:c>
      <x:c r="M6" s="19" t="str">
        <x:v>Program $B</x:v>
      </x:c>
      <x:c r="N6" s="19" t="str">
        <x:v>Nominal air cell</x:v>
      </x:c>
      <x:c r="O6" s="19" t="str">
        <x:v>Nominal terrain cell</x:v>
      </x:c>
      <x:c r="P6" s="19" t="str">
        <x:v>Air mass after loss</x:v>
      </x:c>
      <x:c r="Q6" s="89" t="str">
        <x:v>Terrain mass after loss</x:v>
      </x:c>
      <x:c r="R6" s="18" t="str">
        <x:v>Air nominal</x:v>
      </x:c>
      <x:c r="S6" s="19" t="str">
        <x:v>Terrain nominal</x:v>
      </x:c>
      <x:c r="T6" s="19" t="str">
        <x:v>Nominal mass</x:v>
      </x:c>
      <x:c r="U6" s="19" t="str">
        <x:v>Air loss mass</x:v>
      </x:c>
      <x:c r="V6" s="19" t="str">
        <x:v>Terrain loss mass</x:v>
      </x:c>
      <x:c r="W6" s="19" t="str">
        <x:v>Air loss function</x:v>
      </x:c>
      <x:c r="X6" s="19" t="str">
        <x:v>Terrain loss function</x:v>
      </x:c>
      <x:c r="Y6" s="19" t="str">
        <x:v>Air mode cut</x:v>
      </x:c>
      <x:c r="Z6" s="19" t="str">
        <x:v>Terrain mode cut</x:v>
      </x:c>
      <x:c r="AA6" s="19" t="str">
        <x:v>Air mode + terrain vehicle</x:v>
      </x:c>
      <x:c r="AB6" s="19" t="str">
        <x:v>Terrain mode + air vehicle</x:v>
      </x:c>
      <x:c r="AC6" s="19" t="str">
        <x:v>One vehicle each</x:v>
      </x:c>
      <x:c r="AD6" s="19" t="str">
        <x:v>Air compound tile</x:v>
      </x:c>
      <x:c r="AE6" s="19" t="str">
        <x:v>Terrain compound tile</x:v>
      </x:c>
      <x:c r="AF6" s="19" t="str">
        <x:v>Air origin cut</x:v>
      </x:c>
      <x:c r="AG6" s="19" t="str">
        <x:v>Terrain origin cut</x:v>
      </x:c>
      <x:c r="AH6" s="19" t="str">
        <x:v>Air receiver cut</x:v>
      </x:c>
      <x:c r="AI6" s="19" t="str">
        <x:v>Terrain receiver cut</x:v>
      </x:c>
      <x:c r="AJ6" s="19" t="str">
        <x:v>Network denial</x:v>
      </x:c>
      <x:c r="AK6" s="19" t="str">
        <x:v>GNSS denial</x:v>
      </x:c>
      <x:c r="AL6" s="19" t="str">
        <x:v>Energy ancestry</x:v>
      </x:c>
      <x:c r="AM6" s="19" t="str">
        <x:v>Payload lineage hold</x:v>
      </x:c>
      <x:c r="AN6" s="19" t="str">
        <x:v>Nominal clock</x:v>
      </x:c>
      <x:c r="AO6" s="19" t="str">
        <x:v>Reset</x:v>
      </x:c>
      <x:c r="AP6" s="19" t="str">
        <x:v>Passes</x:v>
      </x:c>
      <x:c r="AQ6" s="19" t="str">
        <x:v>Result</x:v>
      </x:c>
    </x:row>
    <x:row r="7">
      <x:c r="B7" s="77" t="str">
        <x:v>P1</x:v>
      </x:c>
      <x:c r="C7" s="77" t="str">
        <x:v>current exact-block DCP-2</x:v>
      </x:c>
      <x:c r="D7" s="77" t="n">
        <x:v>2</x:v>
      </x:c>
      <x:c r="E7" s="77" t="n">
        <x:v>4</x:v>
      </x:c>
      <x:c r="F7" s="77" t="str">
        <x:v>EXACT</x:v>
      </x:c>
      <x:c r="G7" s="77" t="n">
        <x:v>0</x:v>
      </x:c>
      <x:c r="H7" s="77" t="n">
        <x:v>0</x:v>
      </x:c>
      <x:c r="I7" s="77" t="n">
        <x:v>0</x:v>
      </x:c>
      <x:c r="J7" s="77" t="n">
        <x:v>1</x:v>
      </x:c>
      <x:c r="K7" s="77" t="n">
        <x:v>1</x:v>
      </x:c>
      <x:c r="L7" s="77" t="n">
        <x:v>1</x:v>
      </x:c>
      <x:c r="M7" s="77" t="n">
        <x:v>3777.3011</x:v>
      </x:c>
      <x:c r="N7" s="77" t="n">
        <x:f>IF(D7&gt;=Assumptions!C14,1,0)</x:f>
        <x:v>1</x:v>
      </x:c>
      <x:c r="O7" s="77" t="n">
        <x:f>IF(E7&gt;=Assumptions!C25,1,0)</x:f>
        <x:v>1</x:v>
      </x:c>
      <x:c r="P7" s="77" t="n">
        <x:f>(D7-1)*Assumptions!C16</x:f>
        <x:v>317.5</x:v>
      </x:c>
      <x:c r="Q7" s="77" t="n">
        <x:f>(E7-1)*Assumptions!C27</x:f>
        <x:v>476.25</x:v>
      </x:c>
      <x:c r="R7" s="77" t="n">
        <x:f>N7</x:f>
        <x:v>1</x:v>
      </x:c>
      <x:c r="S7" s="77" t="n">
        <x:f>O7</x:f>
        <x:v>1</x:v>
      </x:c>
      <x:c r="T7" s="77" t="n">
        <x:f>IF(D7*Assumptions!C16+E7*Assumptions!C27&gt;=1270,1,0)</x:f>
        <x:v>1</x:v>
      </x:c>
      <x:c r="U7" s="77" t="n">
        <x:f>IF(P7&gt;=Assumptions!C8,1,0)</x:f>
        <x:v>0</x:v>
      </x:c>
      <x:c r="V7" s="77" t="n">
        <x:f>IF(Q7&gt;=Assumptions!C8,1,0)</x:f>
        <x:v>0</x:v>
      </x:c>
      <x:c r="W7" s="77" t="n">
        <x:f>G7</x:f>
        <x:v>0</x:v>
      </x:c>
      <x:c r="X7" s="77" t="n">
        <x:f>H7</x:f>
        <x:v>0</x:v>
      </x:c>
      <x:c r="Y7" s="77" t="n">
        <x:f>O7</x:f>
        <x:v>1</x:v>
      </x:c>
      <x:c r="Z7" s="77" t="n">
        <x:f>N7</x:f>
        <x:v>1</x:v>
      </x:c>
      <x:c r="AA7" s="77" t="n">
        <x:f>H7</x:f>
        <x:v>0</x:v>
      </x:c>
      <x:c r="AB7" s="77" t="n">
        <x:f>G7</x:f>
        <x:v>0</x:v>
      </x:c>
      <x:c r="AC7" s="77" t="n">
        <x:f>IF(AND(G7=1,H7=1),1,0)</x:f>
        <x:v>0</x:v>
      </x:c>
      <x:c r="AD7" s="77" t="n">
        <x:f>G7</x:f>
        <x:v>0</x:v>
      </x:c>
      <x:c r="AE7" s="77" t="n">
        <x:f>H7</x:f>
        <x:v>0</x:v>
      </x:c>
      <x:c r="AF7" s="77" t="n">
        <x:f>O7</x:f>
        <x:v>1</x:v>
      </x:c>
      <x:c r="AG7" s="77" t="n">
        <x:f>N7</x:f>
        <x:v>1</x:v>
      </x:c>
      <x:c r="AH7" s="77" t="n">
        <x:f>O7</x:f>
        <x:v>1</x:v>
      </x:c>
      <x:c r="AI7" s="77" t="n">
        <x:f>N7</x:f>
        <x:v>1</x:v>
      </x:c>
      <x:c r="AJ7" s="77" t="n">
        <x:f>K7</x:f>
        <x:v>1</x:v>
      </x:c>
      <x:c r="AK7" s="77" t="n">
        <x:f>K7</x:f>
        <x:v>1</x:v>
      </x:c>
      <x:c r="AL7" s="77" t="n">
        <x:f>I7</x:f>
        <x:v>0</x:v>
      </x:c>
      <x:c r="AM7" s="77" t="n">
        <x:f>I7</x:f>
        <x:v>0</x:v>
      </x:c>
      <x:c r="AN7" s="77" t="n">
        <x:f>1</x:f>
        <x:v>1</x:v>
      </x:c>
      <x:c r="AO7" s="77" t="n">
        <x:f>L7</x:f>
        <x:v>1</x:v>
      </x:c>
      <x:c r="AP7" s="77" t="n">
        <x:f>SUM(R7:AO7)</x:f>
        <x:v>13</x:v>
      </x:c>
      <x:c r="AQ7" s="79" t="str">
        <x:f>IF(AP7=24,"PASS","FAIL")</x:f>
        <x:v>FAIL</x:v>
      </x:c>
    </x:row>
    <x:row r="8">
      <x:c r="B8" s="77" t="str">
        <x:v>P2</x:v>
      </x:c>
      <x:c r="C8" s="77" t="str">
        <x:v>extra carriers with unchanged exact blocks</x:v>
      </x:c>
      <x:c r="D8" s="77" t="n">
        <x:v>3</x:v>
      </x:c>
      <x:c r="E8" s="77" t="n">
        <x:v>5</x:v>
      </x:c>
      <x:c r="F8" s="77" t="str">
        <x:v>EXACT</x:v>
      </x:c>
      <x:c r="G8" s="77" t="n">
        <x:v>0</x:v>
      </x:c>
      <x:c r="H8" s="77" t="n">
        <x:v>0</x:v>
      </x:c>
      <x:c r="I8" s="77" t="n">
        <x:v>0</x:v>
      </x:c>
      <x:c r="J8" s="77" t="n">
        <x:v>1</x:v>
      </x:c>
      <x:c r="K8" s="77" t="n">
        <x:v>1</x:v>
      </x:c>
      <x:c r="L8" s="77" t="n">
        <x:v>1</x:v>
      </x:c>
      <x:c r="M8" s="77" t="n">
        <x:v>4700.79719</x:v>
      </x:c>
      <x:c r="N8" s="77" t="n">
        <x:f>IF(D8&gt;=Assumptions!C14,1,0)</x:f>
        <x:v>1</x:v>
      </x:c>
      <x:c r="O8" s="77" t="n">
        <x:f>IF(E8&gt;=Assumptions!C25,1,0)</x:f>
        <x:v>1</x:v>
      </x:c>
      <x:c r="P8" s="77" t="n">
        <x:f>(D8-1)*Assumptions!C16</x:f>
        <x:v>635</x:v>
      </x:c>
      <x:c r="Q8" s="77" t="n">
        <x:f>(E8-1)*Assumptions!C27</x:f>
        <x:v>635</x:v>
      </x:c>
      <x:c r="R8" s="77" t="n">
        <x:f>N8</x:f>
        <x:v>1</x:v>
      </x:c>
      <x:c r="S8" s="77" t="n">
        <x:f>O8</x:f>
        <x:v>1</x:v>
      </x:c>
      <x:c r="T8" s="77" t="n">
        <x:f>IF(D8*Assumptions!C16+E8*Assumptions!C27&gt;=1270,1,0)</x:f>
        <x:v>1</x:v>
      </x:c>
      <x:c r="U8" s="77" t="n">
        <x:f>IF(P8&gt;=Assumptions!C8,1,0)</x:f>
        <x:v>1</x:v>
      </x:c>
      <x:c r="V8" s="77" t="n">
        <x:f>IF(Q8&gt;=Assumptions!C8,1,0)</x:f>
        <x:v>1</x:v>
      </x:c>
      <x:c r="W8" s="77" t="n">
        <x:f>G8</x:f>
        <x:v>0</x:v>
      </x:c>
      <x:c r="X8" s="77" t="n">
        <x:f>H8</x:f>
        <x:v>0</x:v>
      </x:c>
      <x:c r="Y8" s="77" t="n">
        <x:f>O8</x:f>
        <x:v>1</x:v>
      </x:c>
      <x:c r="Z8" s="77" t="n">
        <x:f>N8</x:f>
        <x:v>1</x:v>
      </x:c>
      <x:c r="AA8" s="77" t="n">
        <x:f>H8</x:f>
        <x:v>0</x:v>
      </x:c>
      <x:c r="AB8" s="77" t="n">
        <x:f>G8</x:f>
        <x:v>0</x:v>
      </x:c>
      <x:c r="AC8" s="77" t="n">
        <x:f>IF(AND(G8=1,H8=1),1,0)</x:f>
        <x:v>0</x:v>
      </x:c>
      <x:c r="AD8" s="77" t="n">
        <x:f>G8</x:f>
        <x:v>0</x:v>
      </x:c>
      <x:c r="AE8" s="77" t="n">
        <x:f>H8</x:f>
        <x:v>0</x:v>
      </x:c>
      <x:c r="AF8" s="77" t="n">
        <x:f>O8</x:f>
        <x:v>1</x:v>
      </x:c>
      <x:c r="AG8" s="77" t="n">
        <x:f>N8</x:f>
        <x:v>1</x:v>
      </x:c>
      <x:c r="AH8" s="77" t="n">
        <x:f>O8</x:f>
        <x:v>1</x:v>
      </x:c>
      <x:c r="AI8" s="77" t="n">
        <x:f>N8</x:f>
        <x:v>1</x:v>
      </x:c>
      <x:c r="AJ8" s="77" t="n">
        <x:f>K8</x:f>
        <x:v>1</x:v>
      </x:c>
      <x:c r="AK8" s="77" t="n">
        <x:f>K8</x:f>
        <x:v>1</x:v>
      </x:c>
      <x:c r="AL8" s="77" t="n">
        <x:f>I8</x:f>
        <x:v>0</x:v>
      </x:c>
      <x:c r="AM8" s="77" t="n">
        <x:f>I8</x:f>
        <x:v>0</x:v>
      </x:c>
      <x:c r="AN8" s="77" t="n">
        <x:f>1</x:f>
        <x:v>1</x:v>
      </x:c>
      <x:c r="AO8" s="77" t="n">
        <x:f>L8</x:f>
        <x:v>1</x:v>
      </x:c>
      <x:c r="AP8" s="77" t="n">
        <x:f>SUM(R8:AO8)</x:f>
        <x:v>15</x:v>
      </x:c>
      <x:c r="AQ8" s="79" t="str">
        <x:f>IF(AP8=24,"PASS","FAIL")</x:f>
        <x:v>FAIL</x:v>
      </x:c>
    </x:row>
    <x:row r="9">
      <x:c r="B9" s="77" t="str">
        <x:v>P3</x:v>
      </x:c>
      <x:c r="C9" s="77" t="str">
        <x:v>ESK-40 without concurrent spare carriers</x:v>
      </x:c>
      <x:c r="D9" s="77" t="n">
        <x:v>2</x:v>
      </x:c>
      <x:c r="E9" s="77" t="n">
        <x:v>4</x:v>
      </x:c>
      <x:c r="F9" s="77" t="str">
        <x:v>ESK-40</x:v>
      </x:c>
      <x:c r="G9" s="77" t="n">
        <x:v>0</x:v>
      </x:c>
      <x:c r="H9" s="77" t="n">
        <x:v>0</x:v>
      </x:c>
      <x:c r="I9" s="77" t="n">
        <x:v>1</x:v>
      </x:c>
      <x:c r="J9" s="77" t="n">
        <x:v>1</x:v>
      </x:c>
      <x:c r="K9" s="77" t="n">
        <x:v>1</x:v>
      </x:c>
      <x:c r="L9" s="77" t="n">
        <x:v>1</x:v>
      </x:c>
      <x:c r="M9" s="77" t="n">
        <x:v>4017.3011</x:v>
      </x:c>
      <x:c r="N9" s="77" t="n">
        <x:f>IF(D9&gt;=Assumptions!C14,1,0)</x:f>
        <x:v>1</x:v>
      </x:c>
      <x:c r="O9" s="77" t="n">
        <x:f>IF(E9&gt;=Assumptions!C25,1,0)</x:f>
        <x:v>1</x:v>
      </x:c>
      <x:c r="P9" s="77" t="n">
        <x:f>(D9-1)*Assumptions!C16</x:f>
        <x:v>317.5</x:v>
      </x:c>
      <x:c r="Q9" s="77" t="n">
        <x:f>(E9-1)*Assumptions!C27</x:f>
        <x:v>476.25</x:v>
      </x:c>
      <x:c r="R9" s="77" t="n">
        <x:f>N9</x:f>
        <x:v>1</x:v>
      </x:c>
      <x:c r="S9" s="77" t="n">
        <x:f>O9</x:f>
        <x:v>1</x:v>
      </x:c>
      <x:c r="T9" s="77" t="n">
        <x:f>IF(D9*Assumptions!C16+E9*Assumptions!C27&gt;=1270,1,0)</x:f>
        <x:v>1</x:v>
      </x:c>
      <x:c r="U9" s="77" t="n">
        <x:f>IF(P9&gt;=Assumptions!C8,1,0)</x:f>
        <x:v>0</x:v>
      </x:c>
      <x:c r="V9" s="77" t="n">
        <x:f>IF(Q9&gt;=Assumptions!C8,1,0)</x:f>
        <x:v>0</x:v>
      </x:c>
      <x:c r="W9" s="77" t="n">
        <x:f>G9</x:f>
        <x:v>0</x:v>
      </x:c>
      <x:c r="X9" s="77" t="n">
        <x:f>H9</x:f>
        <x:v>0</x:v>
      </x:c>
      <x:c r="Y9" s="77" t="n">
        <x:f>O9</x:f>
        <x:v>1</x:v>
      </x:c>
      <x:c r="Z9" s="77" t="n">
        <x:f>N9</x:f>
        <x:v>1</x:v>
      </x:c>
      <x:c r="AA9" s="77" t="n">
        <x:f>H9</x:f>
        <x:v>0</x:v>
      </x:c>
      <x:c r="AB9" s="77" t="n">
        <x:f>G9</x:f>
        <x:v>0</x:v>
      </x:c>
      <x:c r="AC9" s="77" t="n">
        <x:f>IF(AND(G9=1,H9=1),1,0)</x:f>
        <x:v>0</x:v>
      </x:c>
      <x:c r="AD9" s="77" t="n">
        <x:f>G9</x:f>
        <x:v>0</x:v>
      </x:c>
      <x:c r="AE9" s="77" t="n">
        <x:f>H9</x:f>
        <x:v>0</x:v>
      </x:c>
      <x:c r="AF9" s="77" t="n">
        <x:f>O9</x:f>
        <x:v>1</x:v>
      </x:c>
      <x:c r="AG9" s="77" t="n">
        <x:f>N9</x:f>
        <x:v>1</x:v>
      </x:c>
      <x:c r="AH9" s="77" t="n">
        <x:f>O9</x:f>
        <x:v>1</x:v>
      </x:c>
      <x:c r="AI9" s="77" t="n">
        <x:f>N9</x:f>
        <x:v>1</x:v>
      </x:c>
      <x:c r="AJ9" s="77" t="n">
        <x:f>K9</x:f>
        <x:v>1</x:v>
      </x:c>
      <x:c r="AK9" s="77" t="n">
        <x:f>K9</x:f>
        <x:v>1</x:v>
      </x:c>
      <x:c r="AL9" s="77" t="n">
        <x:f>I9</x:f>
        <x:v>1</x:v>
      </x:c>
      <x:c r="AM9" s="77" t="n">
        <x:f>I9</x:f>
        <x:v>1</x:v>
      </x:c>
      <x:c r="AN9" s="77" t="n">
        <x:f>1</x:f>
        <x:v>1</x:v>
      </x:c>
      <x:c r="AO9" s="77" t="n">
        <x:f>L9</x:f>
        <x:v>1</x:v>
      </x:c>
      <x:c r="AP9" s="77" t="n">
        <x:f>SUM(R9:AO9)</x:f>
        <x:v>15</x:v>
      </x:c>
      <x:c r="AQ9" s="79" t="str">
        <x:f>IF(AP9=24,"PASS","FAIL")</x:f>
        <x:v>FAIL</x:v>
      </x:c>
    </x:row>
    <x:row r="10">
      <x:c r="B10" s="77" t="str">
        <x:v>P4</x:v>
      </x:c>
      <x:c r="C10" s="77" t="str">
        <x:v>DCP-2R with ESK-40 quorums</x:v>
      </x:c>
      <x:c r="D10" s="77" t="n">
        <x:v>3</x:v>
      </x:c>
      <x:c r="E10" s="77" t="n">
        <x:v>5</x:v>
      </x:c>
      <x:c r="F10" s="77" t="str">
        <x:v>ESK-40</x:v>
      </x:c>
      <x:c r="G10" s="77" t="n">
        <x:v>1</x:v>
      </x:c>
      <x:c r="H10" s="77" t="n">
        <x:v>1</x:v>
      </x:c>
      <x:c r="I10" s="77" t="n">
        <x:v>1</x:v>
      </x:c>
      <x:c r="J10" s="77" t="n">
        <x:v>1</x:v>
      </x:c>
      <x:c r="K10" s="77" t="n">
        <x:v>1</x:v>
      </x:c>
      <x:c r="L10" s="77" t="n">
        <x:v>1</x:v>
      </x:c>
      <x:c r="M10" s="77" t="n">
        <x:v>4940.79719</x:v>
      </x:c>
      <x:c r="N10" s="77" t="n">
        <x:f>IF(D10&gt;=Assumptions!C14,1,0)</x:f>
        <x:v>1</x:v>
      </x:c>
      <x:c r="O10" s="77" t="n">
        <x:f>IF(E10&gt;=Assumptions!C25,1,0)</x:f>
        <x:v>1</x:v>
      </x:c>
      <x:c r="P10" s="77" t="n">
        <x:f>(D10-1)*Assumptions!C16</x:f>
        <x:v>635</x:v>
      </x:c>
      <x:c r="Q10" s="77" t="n">
        <x:f>(E10-1)*Assumptions!C27</x:f>
        <x:v>635</x:v>
      </x:c>
      <x:c r="R10" s="77" t="n">
        <x:f>N10</x:f>
        <x:v>1</x:v>
      </x:c>
      <x:c r="S10" s="77" t="n">
        <x:f>O10</x:f>
        <x:v>1</x:v>
      </x:c>
      <x:c r="T10" s="77" t="n">
        <x:f>IF(D10*Assumptions!C16+E10*Assumptions!C27&gt;=1270,1,0)</x:f>
        <x:v>1</x:v>
      </x:c>
      <x:c r="U10" s="77" t="n">
        <x:f>IF(P10&gt;=Assumptions!C8,1,0)</x:f>
        <x:v>1</x:v>
      </x:c>
      <x:c r="V10" s="77" t="n">
        <x:f>IF(Q10&gt;=Assumptions!C8,1,0)</x:f>
        <x:v>1</x:v>
      </x:c>
      <x:c r="W10" s="77" t="n">
        <x:f>G10</x:f>
        <x:v>1</x:v>
      </x:c>
      <x:c r="X10" s="77" t="n">
        <x:f>H10</x:f>
        <x:v>1</x:v>
      </x:c>
      <x:c r="Y10" s="77" t="n">
        <x:f>O10</x:f>
        <x:v>1</x:v>
      </x:c>
      <x:c r="Z10" s="77" t="n">
        <x:f>N10</x:f>
        <x:v>1</x:v>
      </x:c>
      <x:c r="AA10" s="77" t="n">
        <x:f>H10</x:f>
        <x:v>1</x:v>
      </x:c>
      <x:c r="AB10" s="77" t="n">
        <x:f>G10</x:f>
        <x:v>1</x:v>
      </x:c>
      <x:c r="AC10" s="77" t="n">
        <x:f>IF(AND(G10=1,H10=1),1,0)</x:f>
        <x:v>1</x:v>
      </x:c>
      <x:c r="AD10" s="77" t="n">
        <x:f>G10</x:f>
        <x:v>1</x:v>
      </x:c>
      <x:c r="AE10" s="77" t="n">
        <x:f>H10</x:f>
        <x:v>1</x:v>
      </x:c>
      <x:c r="AF10" s="77" t="n">
        <x:f>O10</x:f>
        <x:v>1</x:v>
      </x:c>
      <x:c r="AG10" s="77" t="n">
        <x:f>N10</x:f>
        <x:v>1</x:v>
      </x:c>
      <x:c r="AH10" s="77" t="n">
        <x:f>O10</x:f>
        <x:v>1</x:v>
      </x:c>
      <x:c r="AI10" s="77" t="n">
        <x:f>N10</x:f>
        <x:v>1</x:v>
      </x:c>
      <x:c r="AJ10" s="77" t="n">
        <x:f>K10</x:f>
        <x:v>1</x:v>
      </x:c>
      <x:c r="AK10" s="77" t="n">
        <x:f>K10</x:f>
        <x:v>1</x:v>
      </x:c>
      <x:c r="AL10" s="77" t="n">
        <x:f>I10</x:f>
        <x:v>1</x:v>
      </x:c>
      <x:c r="AM10" s="77" t="n">
        <x:f>I10</x:f>
        <x:v>1</x:v>
      </x:c>
      <x:c r="AN10" s="77" t="n">
        <x:f>1</x:f>
        <x:v>1</x:v>
      </x:c>
      <x:c r="AO10" s="77" t="n">
        <x:f>L10</x:f>
        <x:v>1</x:v>
      </x:c>
      <x:c r="AP10" s="77" t="n">
        <x:f>SUM(R10:AO10)</x:f>
        <x:v>24</x:v>
      </x:c>
      <x:c r="AQ10" s="79" t="str">
        <x:f>IF(AP10=24,"PASS","FAIL")</x:f>
        <x:v>PASS</x:v>
      </x:c>
    </x:row>
    <x:row r="11">
      <x:c r="B11" s="77" t="str">
        <x:v>P5</x:v>
      </x:c>
      <x:c r="C11" s="77" t="str">
        <x:v>full exact-cell duplication</x:v>
      </x:c>
      <x:c r="D11" s="77" t="n">
        <x:v>4</x:v>
      </x:c>
      <x:c r="E11" s="77" t="n">
        <x:v>8</x:v>
      </x:c>
      <x:c r="F11" s="77" t="str">
        <x:v>EXACT</x:v>
      </x:c>
      <x:c r="G11" s="77" t="n">
        <x:v>1</x:v>
      </x:c>
      <x:c r="H11" s="77" t="n">
        <x:v>1</x:v>
      </x:c>
      <x:c r="I11" s="77" t="n">
        <x:v>1</x:v>
      </x:c>
      <x:c r="J11" s="77" t="n">
        <x:v>1</x:v>
      </x:c>
      <x:c r="K11" s="77" t="n">
        <x:v>1</x:v>
      </x:c>
      <x:c r="L11" s="77" t="n">
        <x:v>1</x:v>
      </x:c>
      <x:c r="M11" s="77" t="n">
        <x:v>6003.87624</x:v>
      </x:c>
      <x:c r="N11" s="77" t="n">
        <x:f>IF(D11&gt;=Assumptions!C14,1,0)</x:f>
        <x:v>1</x:v>
      </x:c>
      <x:c r="O11" s="77" t="n">
        <x:f>IF(E11&gt;=Assumptions!C25,1,0)</x:f>
        <x:v>1</x:v>
      </x:c>
      <x:c r="P11" s="77" t="n">
        <x:f>(D11-1)*Assumptions!C16</x:f>
        <x:v>952.5</x:v>
      </x:c>
      <x:c r="Q11" s="77" t="n">
        <x:f>(E11-1)*Assumptions!C27</x:f>
        <x:v>1111.25</x:v>
      </x:c>
      <x:c r="R11" s="77" t="n">
        <x:f>N11</x:f>
        <x:v>1</x:v>
      </x:c>
      <x:c r="S11" s="77" t="n">
        <x:f>O11</x:f>
        <x:v>1</x:v>
      </x:c>
      <x:c r="T11" s="77" t="n">
        <x:f>IF(D11*Assumptions!C16+E11*Assumptions!C27&gt;=1270,1,0)</x:f>
        <x:v>1</x:v>
      </x:c>
      <x:c r="U11" s="77" t="n">
        <x:f>IF(P11&gt;=Assumptions!C8,1,0)</x:f>
        <x:v>1</x:v>
      </x:c>
      <x:c r="V11" s="77" t="n">
        <x:f>IF(Q11&gt;=Assumptions!C8,1,0)</x:f>
        <x:v>1</x:v>
      </x:c>
      <x:c r="W11" s="77" t="n">
        <x:f>G11</x:f>
        <x:v>1</x:v>
      </x:c>
      <x:c r="X11" s="77" t="n">
        <x:f>H11</x:f>
        <x:v>1</x:v>
      </x:c>
      <x:c r="Y11" s="77" t="n">
        <x:f>O11</x:f>
        <x:v>1</x:v>
      </x:c>
      <x:c r="Z11" s="77" t="n">
        <x:f>N11</x:f>
        <x:v>1</x:v>
      </x:c>
      <x:c r="AA11" s="77" t="n">
        <x:f>H11</x:f>
        <x:v>1</x:v>
      </x:c>
      <x:c r="AB11" s="77" t="n">
        <x:f>G11</x:f>
        <x:v>1</x:v>
      </x:c>
      <x:c r="AC11" s="77" t="n">
        <x:f>IF(AND(G11=1,H11=1),1,0)</x:f>
        <x:v>1</x:v>
      </x:c>
      <x:c r="AD11" s="77" t="n">
        <x:f>G11</x:f>
        <x:v>1</x:v>
      </x:c>
      <x:c r="AE11" s="77" t="n">
        <x:f>H11</x:f>
        <x:v>1</x:v>
      </x:c>
      <x:c r="AF11" s="77" t="n">
        <x:f>O11</x:f>
        <x:v>1</x:v>
      </x:c>
      <x:c r="AG11" s="77" t="n">
        <x:f>N11</x:f>
        <x:v>1</x:v>
      </x:c>
      <x:c r="AH11" s="77" t="n">
        <x:f>O11</x:f>
        <x:v>1</x:v>
      </x:c>
      <x:c r="AI11" s="77" t="n">
        <x:f>N11</x:f>
        <x:v>1</x:v>
      </x:c>
      <x:c r="AJ11" s="77" t="n">
        <x:f>K11</x:f>
        <x:v>1</x:v>
      </x:c>
      <x:c r="AK11" s="77" t="n">
        <x:f>K11</x:f>
        <x:v>1</x:v>
      </x:c>
      <x:c r="AL11" s="77" t="n">
        <x:f>I11</x:f>
        <x:v>1</x:v>
      </x:c>
      <x:c r="AM11" s="77" t="n">
        <x:f>I11</x:f>
        <x:v>1</x:v>
      </x:c>
      <x:c r="AN11" s="77" t="n">
        <x:f>1</x:f>
        <x:v>1</x:v>
      </x:c>
      <x:c r="AO11" s="77" t="n">
        <x:f>L11</x:f>
        <x:v>1</x:v>
      </x:c>
      <x:c r="AP11" s="77" t="n">
        <x:f>SUM(R11:AO11)</x:f>
        <x:v>24</x:v>
      </x:c>
      <x:c r="AQ11" s="79" t="str">
        <x:f>IF(AP11=24,"PASS","FAIL")</x:f>
        <x:v>PASS</x:v>
      </x:c>
    </x:row>
    <x:row r="12">
      <x:c r="B12" s="80" t="str">
        <x:v>P6</x:v>
      </x:c>
      <x:c r="C12" s="80" t="str">
        <x:v>current DCP-2 plus conditional utility bridge</x:v>
      </x:c>
      <x:c r="D12" s="80" t="n">
        <x:v>2</x:v>
      </x:c>
      <x:c r="E12" s="80" t="n">
        <x:v>4</x:v>
      </x:c>
      <x:c r="F12" s="80" t="str">
        <x:v>EXACT</x:v>
      </x:c>
      <x:c r="G12" s="80" t="n">
        <x:v>0</x:v>
      </x:c>
      <x:c r="H12" s="80" t="n">
        <x:v>0</x:v>
      </x:c>
      <x:c r="I12" s="80" t="n">
        <x:v>0</x:v>
      </x:c>
      <x:c r="J12" s="80" t="n">
        <x:v>1</x:v>
      </x:c>
      <x:c r="K12" s="80" t="n">
        <x:v>1</x:v>
      </x:c>
      <x:c r="L12" s="80" t="n">
        <x:v>1</x:v>
      </x:c>
      <x:c r="M12" s="80" t="n">
        <x:v>4577.3011</x:v>
      </x:c>
      <x:c r="N12" s="80" t="n">
        <x:f>IF(D12&gt;=Assumptions!C14,1,0)</x:f>
        <x:v>1</x:v>
      </x:c>
      <x:c r="O12" s="80" t="n">
        <x:f>IF(E12&gt;=Assumptions!C25,1,0)</x:f>
        <x:v>1</x:v>
      </x:c>
      <x:c r="P12" s="80" t="n">
        <x:f>(D12-1)*Assumptions!C16</x:f>
        <x:v>317.5</x:v>
      </x:c>
      <x:c r="Q12" s="80" t="n">
        <x:f>(E12-1)*Assumptions!C27</x:f>
        <x:v>476.25</x:v>
      </x:c>
      <x:c r="R12" s="80" t="n">
        <x:f>N12</x:f>
        <x:v>1</x:v>
      </x:c>
      <x:c r="S12" s="80" t="n">
        <x:f>O12</x:f>
        <x:v>1</x:v>
      </x:c>
      <x:c r="T12" s="80" t="n">
        <x:f>IF(D12*Assumptions!C16+E12*Assumptions!C27&gt;=1270,1,0)</x:f>
        <x:v>1</x:v>
      </x:c>
      <x:c r="U12" s="80" t="n">
        <x:f>IF(P12&gt;=Assumptions!C8,1,0)</x:f>
        <x:v>0</x:v>
      </x:c>
      <x:c r="V12" s="80" t="n">
        <x:f>IF(Q12&gt;=Assumptions!C8,1,0)</x:f>
        <x:v>0</x:v>
      </x:c>
      <x:c r="W12" s="80" t="n">
        <x:f>G12</x:f>
        <x:v>0</x:v>
      </x:c>
      <x:c r="X12" s="80" t="n">
        <x:f>H12</x:f>
        <x:v>0</x:v>
      </x:c>
      <x:c r="Y12" s="80" t="n">
        <x:f>O12</x:f>
        <x:v>1</x:v>
      </x:c>
      <x:c r="Z12" s="80" t="n">
        <x:f>N12</x:f>
        <x:v>1</x:v>
      </x:c>
      <x:c r="AA12" s="80" t="n">
        <x:f>H12</x:f>
        <x:v>0</x:v>
      </x:c>
      <x:c r="AB12" s="80" t="n">
        <x:f>G12</x:f>
        <x:v>0</x:v>
      </x:c>
      <x:c r="AC12" s="80" t="n">
        <x:f>IF(AND(G12=1,H12=1),1,0)</x:f>
        <x:v>0</x:v>
      </x:c>
      <x:c r="AD12" s="80" t="n">
        <x:f>G12</x:f>
        <x:v>0</x:v>
      </x:c>
      <x:c r="AE12" s="80" t="n">
        <x:f>H12</x:f>
        <x:v>0</x:v>
      </x:c>
      <x:c r="AF12" s="80" t="n">
        <x:f>O12</x:f>
        <x:v>1</x:v>
      </x:c>
      <x:c r="AG12" s="80" t="n">
        <x:f>N12</x:f>
        <x:v>1</x:v>
      </x:c>
      <x:c r="AH12" s="80" t="n">
        <x:f>O12</x:f>
        <x:v>1</x:v>
      </x:c>
      <x:c r="AI12" s="80" t="n">
        <x:f>N12</x:f>
        <x:v>1</x:v>
      </x:c>
      <x:c r="AJ12" s="80" t="n">
        <x:f>K12</x:f>
        <x:v>1</x:v>
      </x:c>
      <x:c r="AK12" s="80" t="n">
        <x:f>K12</x:f>
        <x:v>1</x:v>
      </x:c>
      <x:c r="AL12" s="80" t="n">
        <x:f>I12</x:f>
        <x:v>0</x:v>
      </x:c>
      <x:c r="AM12" s="80" t="n">
        <x:f>I12</x:f>
        <x:v>0</x:v>
      </x:c>
      <x:c r="AN12" s="80" t="n">
        <x:f>1</x:f>
        <x:v>1</x:v>
      </x:c>
      <x:c r="AO12" s="80" t="n">
        <x:f>L12</x:f>
        <x:v>1</x:v>
      </x:c>
      <x:c r="AP12" s="80" t="n">
        <x:f>SUM(R12:AO12)</x:f>
        <x:v>13</x:v>
      </x:c>
      <x:c r="AQ12" s="82" t="str">
        <x:f>IF(AP12=24,"PASS","FAIL")</x:f>
        <x:v>FAIL</x:v>
      </x:c>
    </x:row>
    <x:row r="13"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  <x:c r="O13" s="58"/>
      <x:c r="P13" s="58"/>
      <x:c r="Q13" s="58"/>
      <x:c r="R13" s="58"/>
      <x:c r="S13" s="58"/>
      <x:c r="T13" s="58"/>
      <x:c r="U13" s="58"/>
      <x:c r="V13" s="58"/>
      <x:c r="W13" s="58"/>
      <x:c r="X13" s="58"/>
      <x:c r="Y13" s="58"/>
      <x:c r="Z13" s="58"/>
      <x:c r="AA13" s="58"/>
      <x:c r="AB13" s="58"/>
      <x:c r="AC13" s="58"/>
      <x:c r="AD13" s="58"/>
      <x:c r="AE13" s="58"/>
      <x:c r="AF13" s="58"/>
      <x:c r="AG13" s="58"/>
      <x:c r="AH13" s="58"/>
      <x:c r="AI13" s="58"/>
      <x:c r="AJ13" s="58"/>
      <x:c r="AK13" s="58"/>
      <x:c r="AL13" s="58"/>
      <x:c r="AM13" s="58"/>
      <x:c r="AN13" s="58"/>
      <x:c r="AO13" s="58"/>
      <x:c r="AP13" s="58"/>
      <x:c r="AQ13" s="58"/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  <x:c r="P14" s="58"/>
      <x:c r="Q14" s="58"/>
      <x:c r="R14" s="58"/>
      <x:c r="S14" s="58"/>
      <x:c r="T14" s="58"/>
      <x:c r="U14" s="58"/>
      <x:c r="V14" s="58"/>
      <x:c r="W14" s="58"/>
      <x:c r="X14" s="58"/>
      <x:c r="Y14" s="58"/>
      <x:c r="Z14" s="58"/>
      <x:c r="AA14" s="58"/>
      <x:c r="AB14" s="58"/>
      <x:c r="AC14" s="58"/>
      <x:c r="AD14" s="58"/>
      <x:c r="AE14" s="58"/>
      <x:c r="AF14" s="58"/>
      <x:c r="AG14" s="58"/>
      <x:c r="AH14" s="58"/>
      <x:c r="AI14" s="58"/>
      <x:c r="AJ14" s="58"/>
      <x:c r="AK14" s="58"/>
      <x:c r="AL14" s="58"/>
      <x:c r="AM14" s="58"/>
      <x:c r="AN14" s="58"/>
      <x:c r="AO14" s="58"/>
      <x:c r="AP14" s="58"/>
      <x:c r="AQ14" s="58"/>
    </x:row>
    <x:row r="15">
      <x:c r="B15" s="99" t="str">
        <x:v>Decision</x:v>
      </x:c>
      <x:c r="C15" s="100" t="str">
        <x:v>Decision</x:v>
      </x:c>
      <x:c r="D15" s="100" t="str">
        <x:v>Decision</x:v>
      </x:c>
      <x:c r="E15" s="100" t="str">
        <x:v>Decision</x:v>
      </x:c>
      <x:c r="F15" s="100" t="str">
        <x:v>Decision</x:v>
      </x:c>
      <x:c r="G15" s="100" t="str">
        <x:v>Decision</x:v>
      </x:c>
      <x:c r="H15" s="100" t="str">
        <x:v>Decision</x:v>
      </x:c>
      <x:c r="I15" s="100" t="str">
        <x:v>Decision</x:v>
      </x:c>
      <x:c r="J15" s="100" t="str">
        <x:v>Decision</x:v>
      </x:c>
      <x:c r="K15" s="100" t="str">
        <x:v>Decision</x:v>
      </x:c>
      <x:c r="L15" s="100" t="str">
        <x:v>Decision</x:v>
      </x:c>
      <x:c r="M15" s="100" t="str">
        <x:v>Decision</x:v>
      </x:c>
      <x:c r="N15" s="100" t="str">
        <x:v>Decision</x:v>
      </x:c>
      <x:c r="O15" s="100" t="str">
        <x:v>Decision</x:v>
      </x:c>
      <x:c r="P15" s="100" t="str">
        <x:v>Decision</x:v>
      </x:c>
      <x:c r="Q15" s="100" t="str">
        <x:v>Decision</x:v>
      </x:c>
      <x:c r="R15" s="100" t="str">
        <x:v>Decision</x:v>
      </x:c>
      <x:c r="S15" s="100" t="str">
        <x:v>Decision</x:v>
      </x:c>
      <x:c r="T15" s="100" t="str">
        <x:v>Decision</x:v>
      </x:c>
      <x:c r="U15" s="100" t="str">
        <x:v>Decision</x:v>
      </x:c>
      <x:c r="V15" s="100" t="str">
        <x:v>Decision</x:v>
      </x:c>
      <x:c r="W15" s="100" t="str">
        <x:v>Decision</x:v>
      </x:c>
      <x:c r="X15" s="100" t="str">
        <x:v>Decision</x:v>
      </x:c>
      <x:c r="Y15" s="100" t="str">
        <x:v>Decision</x:v>
      </x:c>
      <x:c r="Z15" s="100" t="str">
        <x:v>Decision</x:v>
      </x:c>
      <x:c r="AA15" s="100" t="str">
        <x:v>Decision</x:v>
      </x:c>
      <x:c r="AB15" s="100" t="str">
        <x:v>Decision</x:v>
      </x:c>
      <x:c r="AC15" s="100" t="str">
        <x:v>Decision</x:v>
      </x:c>
      <x:c r="AD15" s="100" t="str">
        <x:v>Decision</x:v>
      </x:c>
      <x:c r="AE15" s="100" t="str">
        <x:v>Decision</x:v>
      </x:c>
      <x:c r="AF15" s="100" t="str">
        <x:v>Decision</x:v>
      </x:c>
      <x:c r="AG15" s="100" t="str">
        <x:v>Decision</x:v>
      </x:c>
      <x:c r="AH15" s="100" t="str">
        <x:v>Decision</x:v>
      </x:c>
      <x:c r="AI15" s="100" t="str">
        <x:v>Decision</x:v>
      </x:c>
      <x:c r="AJ15" s="100" t="str">
        <x:v>Decision</x:v>
      </x:c>
      <x:c r="AK15" s="100" t="str">
        <x:v>Decision</x:v>
      </x:c>
      <x:c r="AL15" s="100" t="str">
        <x:v>Decision</x:v>
      </x:c>
      <x:c r="AM15" s="100" t="str">
        <x:v>Decision</x:v>
      </x:c>
      <x:c r="AN15" s="100" t="str">
        <x:v>Decision</x:v>
      </x:c>
      <x:c r="AO15" s="100" t="str">
        <x:v>Decision</x:v>
      </x:c>
      <x:c r="AP15" s="100" t="str">
        <x:v>Decision</x:v>
      </x:c>
      <x:c r="AQ15" s="101" t="str">
        <x:v>Decision</x:v>
      </x:c>
    </x:row>
    <x:row r="16">
      <x:c r="B16" s="84" t="str">
        <x:v>P1</x:v>
      </x:c>
      <x:c r="C16" s="85" t="str">
        <x:v>The current exact-block package remains the single-cut lower bound. It fails every compound mode-plus-surviving-vehicle case.</x:v>
      </x:c>
      <x:c r="D16" s="85"/>
      <x:c r="E16" s="85"/>
      <x:c r="F16" s="85"/>
      <x:c r="G16" s="85"/>
      <x:c r="H16" s="85"/>
      <x:c r="I16" s="85"/>
      <x:c r="J16" s="85"/>
      <x:c r="K16" s="85"/>
      <x:c r="L16" s="85"/>
      <x:c r="M16" s="85"/>
      <x:c r="N16" s="85"/>
      <x:c r="O16" s="85"/>
      <x:c r="P16" s="85"/>
      <x:c r="Q16" s="85"/>
      <x:c r="R16" s="85"/>
      <x:c r="S16" s="85"/>
      <x:c r="T16" s="85"/>
      <x:c r="U16" s="85"/>
      <x:c r="V16" s="85"/>
      <x:c r="W16" s="85"/>
      <x:c r="X16" s="85"/>
      <x:c r="Y16" s="85"/>
      <x:c r="Z16" s="85"/>
      <x:c r="AA16" s="85"/>
      <x:c r="AB16" s="85"/>
      <x:c r="AC16" s="85"/>
      <x:c r="AD16" s="85"/>
      <x:c r="AE16" s="85"/>
      <x:c r="AF16" s="85"/>
      <x:c r="AG16" s="85"/>
      <x:c r="AH16" s="85"/>
      <x:c r="AI16" s="85"/>
      <x:c r="AJ16" s="85"/>
      <x:c r="AK16" s="85"/>
      <x:c r="AL16" s="85"/>
      <x:c r="AM16" s="85"/>
      <x:c r="AN16" s="85"/>
      <x:c r="AO16" s="85"/>
      <x:c r="AP16" s="85"/>
      <x:c r="AQ16" s="85"/>
    </x:row>
    <x:row r="17">
      <x:c r="B17" s="86" t="str">
        <x:v>P2</x:v>
      </x:c>
      <x:c r="C17" s="77" t="str">
        <x:v>Additional carriers add mass but not functional closure. Specialized blocks cannot be placed so every surviving subset reconstructs the cell.</x:v>
      </x:c>
      <x:c r="D17" s="77"/>
      <x:c r="E17" s="77"/>
      <x:c r="F17" s="77"/>
      <x:c r="G17" s="77"/>
      <x:c r="H17" s="77"/>
      <x:c r="I17" s="77"/>
      <x:c r="J17" s="77"/>
      <x:c r="K17" s="77"/>
      <x:c r="L17" s="77"/>
      <x:c r="M17" s="77"/>
      <x:c r="N17" s="77"/>
      <x:c r="O17" s="77"/>
      <x:c r="P17" s="77"/>
      <x:c r="Q17" s="77"/>
      <x:c r="R17" s="77"/>
      <x:c r="S17" s="77"/>
      <x:c r="T17" s="77"/>
      <x:c r="U17" s="77"/>
      <x:c r="V17" s="77"/>
      <x:c r="W17" s="77"/>
      <x:c r="X17" s="77"/>
      <x:c r="Y17" s="77"/>
      <x:c r="Z17" s="77"/>
      <x:c r="AA17" s="77"/>
      <x:c r="AB17" s="77"/>
      <x:c r="AC17" s="77"/>
      <x:c r="AD17" s="77"/>
      <x:c r="AE17" s="77"/>
      <x:c r="AF17" s="77"/>
      <x:c r="AG17" s="77"/>
      <x:c r="AH17" s="77"/>
      <x:c r="AI17" s="77"/>
      <x:c r="AJ17" s="77"/>
      <x:c r="AK17" s="77"/>
      <x:c r="AL17" s="77"/>
      <x:c r="AM17" s="77"/>
      <x:c r="AN17" s="77"/>
      <x:c r="AO17" s="77"/>
      <x:c r="AP17" s="77"/>
      <x:c r="AQ17" s="77"/>
    </x:row>
    <x:row r="18">
      <x:c r="B18" s="86" t="str">
        <x:v>P3</x:v>
      </x:c>
      <x:c r="C18" s="77" t="str">
        <x:v>Adaptive tiles improve local substitution, but two air and four terrain carriers retain too little mass after one vehicle loss.</x:v>
      </x:c>
      <x:c r="D18" s="77"/>
      <x:c r="E18" s="77"/>
      <x:c r="F18" s="77"/>
      <x:c r="G18" s="77"/>
      <x:c r="H18" s="77"/>
      <x:c r="I18" s="77"/>
      <x:c r="J18" s="77"/>
      <x:c r="K18" s="77"/>
      <x:c r="L18" s="77"/>
      <x:c r="M18" s="77"/>
      <x:c r="N18" s="77"/>
      <x:c r="O18" s="77"/>
      <x:c r="P18" s="77"/>
      <x:c r="Q18" s="77"/>
      <x:c r="R18" s="77"/>
      <x:c r="S18" s="77"/>
      <x:c r="T18" s="77"/>
      <x:c r="U18" s="77"/>
      <x:c r="V18" s="77"/>
      <x:c r="W18" s="77"/>
      <x:c r="X18" s="77"/>
      <x:c r="Y18" s="77"/>
      <x:c r="Z18" s="77"/>
      <x:c r="AA18" s="77"/>
      <x:c r="AB18" s="77"/>
      <x:c r="AC18" s="77"/>
      <x:c r="AD18" s="77"/>
      <x:c r="AE18" s="77"/>
      <x:c r="AF18" s="77"/>
      <x:c r="AG18" s="77"/>
      <x:c r="AH18" s="77"/>
      <x:c r="AI18" s="77"/>
      <x:c r="AJ18" s="77"/>
      <x:c r="AK18" s="77"/>
      <x:c r="AL18" s="77"/>
      <x:c r="AM18" s="77"/>
      <x:c r="AN18" s="77"/>
      <x:c r="AO18" s="77"/>
      <x:c r="AP18" s="77"/>
      <x:c r="AQ18" s="77"/>
    </x:row>
    <x:row r="19">
      <x:c r="B19" s="86" t="str">
        <x:v>P4 selected</x:v>
      </x:c>
      <x:c r="C19" s="77" t="str">
        <x:v>Three air and five terrain carriers carry balanced ESK-40 quorums. Any two air or four terrain carriers reconstruct the effect.</x:v>
      </x:c>
      <x:c r="D19" s="77"/>
      <x:c r="E19" s="77"/>
      <x:c r="F19" s="77"/>
      <x:c r="G19" s="77"/>
      <x:c r="H19" s="77"/>
      <x:c r="I19" s="77"/>
      <x:c r="J19" s="77"/>
      <x:c r="K19" s="77"/>
      <x:c r="L19" s="77"/>
      <x:c r="M19" s="77"/>
      <x:c r="N19" s="77"/>
      <x:c r="O19" s="77"/>
      <x:c r="P19" s="77"/>
      <x:c r="Q19" s="77"/>
      <x:c r="R19" s="77"/>
      <x:c r="S19" s="77"/>
      <x:c r="T19" s="77"/>
      <x:c r="U19" s="77"/>
      <x:c r="V19" s="77"/>
      <x:c r="W19" s="77"/>
      <x:c r="X19" s="77"/>
      <x:c r="Y19" s="77"/>
      <x:c r="Z19" s="77"/>
      <x:c r="AA19" s="77"/>
      <x:c r="AB19" s="77"/>
      <x:c r="AC19" s="77"/>
      <x:c r="AD19" s="77"/>
      <x:c r="AE19" s="77"/>
      <x:c r="AF19" s="77"/>
      <x:c r="AG19" s="77"/>
      <x:c r="AH19" s="77"/>
      <x:c r="AI19" s="77"/>
      <x:c r="AJ19" s="77"/>
      <x:c r="AK19" s="77"/>
      <x:c r="AL19" s="77"/>
      <x:c r="AM19" s="77"/>
      <x:c r="AN19" s="77"/>
      <x:c r="AO19" s="77"/>
      <x:c r="AP19" s="77"/>
      <x:c r="AQ19" s="77"/>
    </x:row>
    <x:row r="20">
      <x:c r="B20" s="86" t="str">
        <x:v>P5 control</x:v>
      </x:c>
      <x:c r="C20" s="77" t="str">
        <x:v>Full exact-cell duplication also closes the screen at higher vehicle, receiver and program burden.</x:v>
      </x:c>
      <x:c r="D20" s="77"/>
      <x:c r="E20" s="77"/>
      <x:c r="F20" s="77"/>
      <x:c r="G20" s="77"/>
      <x:c r="H20" s="77"/>
      <x:c r="I20" s="77"/>
      <x:c r="J20" s="77"/>
      <x:c r="K20" s="77"/>
      <x:c r="L20" s="77"/>
      <x:c r="M20" s="77"/>
      <x:c r="N20" s="77"/>
      <x:c r="O20" s="77"/>
      <x:c r="P20" s="77"/>
      <x:c r="Q20" s="77"/>
      <x:c r="R20" s="77"/>
      <x:c r="S20" s="77"/>
      <x:c r="T20" s="77"/>
      <x:c r="U20" s="77"/>
      <x:c r="V20" s="77"/>
      <x:c r="W20" s="77"/>
      <x:c r="X20" s="77"/>
      <x:c r="Y20" s="77"/>
      <x:c r="Z20" s="77"/>
      <x:c r="AA20" s="77"/>
      <x:c r="AB20" s="77"/>
      <x:c r="AC20" s="77"/>
      <x:c r="AD20" s="77"/>
      <x:c r="AE20" s="77"/>
      <x:c r="AF20" s="77"/>
      <x:c r="AG20" s="77"/>
      <x:c r="AH20" s="77"/>
      <x:c r="AI20" s="77"/>
      <x:c r="AJ20" s="77"/>
      <x:c r="AK20" s="77"/>
      <x:c r="AL20" s="77"/>
      <x:c r="AM20" s="77"/>
      <x:c r="AN20" s="77"/>
      <x:c r="AO20" s="77"/>
      <x:c r="AP20" s="77"/>
      <x:c r="AQ20" s="77"/>
    </x:row>
    <x:row r="21">
      <x:c r="B21" s="87" t="str">
        <x:v>P6</x:v>
      </x:c>
      <x:c r="C21" s="88" t="str">
        <x:v>A utility bridge remains conditional on an independently qualified source and cannot close the universal compound cut.</x:v>
      </x:c>
      <x:c r="D21" s="88"/>
      <x:c r="E21" s="88"/>
      <x:c r="F21" s="88"/>
      <x:c r="G21" s="88"/>
      <x:c r="H21" s="88"/>
      <x:c r="I21" s="88"/>
      <x:c r="J21" s="88"/>
      <x:c r="K21" s="88"/>
      <x:c r="L21" s="88"/>
      <x:c r="M21" s="88"/>
      <x:c r="N21" s="88"/>
      <x:c r="O21" s="88"/>
      <x:c r="P21" s="88"/>
      <x:c r="Q21" s="88"/>
      <x:c r="R21" s="88"/>
      <x:c r="S21" s="88"/>
      <x:c r="T21" s="88"/>
      <x:c r="U21" s="88"/>
      <x:c r="V21" s="88"/>
      <x:c r="W21" s="88"/>
      <x:c r="X21" s="88"/>
      <x:c r="Y21" s="88"/>
      <x:c r="Z21" s="88"/>
      <x:c r="AA21" s="88"/>
      <x:c r="AB21" s="88"/>
      <x:c r="AC21" s="88"/>
      <x:c r="AD21" s="88"/>
      <x:c r="AE21" s="88"/>
      <x:c r="AF21" s="88"/>
      <x:c r="AG21" s="88"/>
      <x:c r="AH21" s="88"/>
      <x:c r="AI21" s="88"/>
      <x:c r="AJ21" s="88"/>
      <x:c r="AK21" s="88"/>
      <x:c r="AL21" s="88"/>
      <x:c r="AM21" s="88"/>
      <x:c r="AN21" s="88"/>
      <x:c r="AO21" s="88"/>
      <x:c r="AP21" s="88"/>
      <x:c r="AQ21" s="88"/>
    </x:row>
    <x:row r="22"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  <x:c r="O22" s="58"/>
      <x:c r="P22" s="58"/>
      <x:c r="Q22" s="58"/>
      <x:c r="R22" s="58"/>
      <x:c r="S22" s="58"/>
      <x:c r="T22" s="58"/>
      <x:c r="U22" s="58"/>
      <x:c r="V22" s="58"/>
      <x:c r="W22" s="58"/>
      <x:c r="X22" s="58"/>
      <x:c r="Y22" s="58"/>
      <x:c r="Z22" s="58"/>
      <x:c r="AA22" s="58"/>
      <x:c r="AB22" s="58"/>
      <x:c r="AC22" s="58"/>
      <x:c r="AD22" s="58"/>
      <x:c r="AE22" s="58"/>
      <x:c r="AF22" s="58"/>
      <x:c r="AG22" s="58"/>
      <x:c r="AH22" s="58"/>
      <x:c r="AI22" s="58"/>
      <x:c r="AJ22" s="58"/>
      <x:c r="AK22" s="58"/>
      <x:c r="AL22" s="58"/>
      <x:c r="AM22" s="58"/>
      <x:c r="AN22" s="58"/>
      <x:c r="AO22" s="58"/>
      <x:c r="AP22" s="58"/>
      <x:c r="AQ22" s="58"/>
    </x:row>
    <x:row r="23"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  <x:c r="P23" s="58"/>
      <x:c r="Q23" s="58"/>
      <x:c r="R23" s="58"/>
      <x:c r="S23" s="58"/>
      <x:c r="T23" s="58"/>
      <x:c r="U23" s="58"/>
      <x:c r="V23" s="58"/>
      <x:c r="W23" s="58"/>
      <x:c r="X23" s="58"/>
      <x:c r="Y23" s="58"/>
      <x:c r="Z23" s="58"/>
      <x:c r="AA23" s="58"/>
      <x:c r="AB23" s="58"/>
      <x:c r="AC23" s="58"/>
      <x:c r="AD23" s="58"/>
      <x:c r="AE23" s="58"/>
      <x:c r="AF23" s="58"/>
      <x:c r="AG23" s="58"/>
      <x:c r="AH23" s="58"/>
      <x:c r="AI23" s="58"/>
      <x:c r="AJ23" s="58"/>
      <x:c r="AK23" s="58"/>
      <x:c r="AL23" s="58"/>
      <x:c r="AM23" s="58"/>
      <x:c r="AN23" s="58"/>
      <x:c r="AO23" s="58"/>
      <x:c r="AP23" s="58"/>
      <x:c r="AQ23" s="58"/>
    </x:row>
    <x:row r="24"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  <x:c r="P24" s="58"/>
      <x:c r="Q24" s="58"/>
      <x:c r="R24" s="58"/>
      <x:c r="S24" s="58"/>
      <x:c r="T24" s="58"/>
      <x:c r="U24" s="58"/>
      <x:c r="V24" s="58"/>
      <x:c r="W24" s="58"/>
      <x:c r="X24" s="58"/>
      <x:c r="Y24" s="58"/>
      <x:c r="Z24" s="58"/>
      <x:c r="AA24" s="58"/>
      <x:c r="AB24" s="58"/>
      <x:c r="AC24" s="58"/>
      <x:c r="AD24" s="58"/>
      <x:c r="AE24" s="58"/>
      <x:c r="AF24" s="58"/>
      <x:c r="AG24" s="58"/>
      <x:c r="AH24" s="58"/>
      <x:c r="AI24" s="58"/>
      <x:c r="AJ24" s="58"/>
      <x:c r="AK24" s="58"/>
      <x:c r="AL24" s="58"/>
      <x:c r="AM24" s="58"/>
      <x:c r="AN24" s="58"/>
      <x:c r="AO24" s="58"/>
      <x:c r="AP24" s="58"/>
      <x:c r="AQ24" s="58"/>
    </x:row>
  </x:sheetData>
  <x:mergeCells>
    <x:mergeCell ref="B2:H2"/>
    <x:mergeCell ref="B3:H3"/>
    <x:mergeCell ref="B15:AQ15"/>
  </x:mergeCells>
  <x:conditionalFormatting sqref="AQ7:AQ12">
    <x:cfRule type="containsText" dxfId="40" priority="1" operator="containsText" text="FAIL"/>
    <x:cfRule type="containsText" dxfId="41" priority="2" operator="containsText" text="PASS"/>
    <x:cfRule type="containsText" dxfId="42" priority="3" operator="containsText" text="BLOCKED"/>
    <x:cfRule type="containsText" dxfId="43" priority="4" operator="containsText" text="BOUND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4" hidden="0" customWidth="1"/>
    <x:col min="3" max="3" width="42" hidden="0" customWidth="1"/>
    <x:col min="4" max="4" width="14" hidden="0" customWidth="1"/>
    <x:col min="5" max="5" width="16" hidden="0" customWidth="1"/>
    <x:col min="6" max="6" width="16" hidden="0" customWidth="1"/>
    <x:col min="7" max="7" width="30" hidden="0" customWidth="1"/>
    <x:col min="8" max="8" width="3" hidden="0" customWidth="1"/>
    <x:col min="9" max="9" width="16" hidden="0" customWidth="1"/>
    <x:col min="10" max="10" width="42" hidden="0" customWidth="1"/>
    <x:col min="11" max="11" width="14" hidden="0" customWidth="1"/>
    <x:col min="12" max="12" width="16" hidden="0" customWidth="1"/>
    <x:col min="13" max="13" width="16" hidden="0" customWidth="1"/>
    <x:col min="14" max="14" width="30" hidden="0" customWidth="1"/>
  </x:cols>
  <x:sheetData>
    <x:row r="2">
      <x:c r="B2" s="96" t="str">
        <x:v>Common mission state machine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97" t="str">
        <x:v>Air and terrain follow different physics but cross the same origin, receiver, assay and public-release states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99" t="str">
        <x:v>Atmospheric path</x:v>
      </x:c>
      <x:c r="C6" s="100" t="str">
        <x:v>Atmospheric path</x:v>
      </x:c>
      <x:c r="D6" s="100" t="str">
        <x:v>Atmospheric path</x:v>
      </x:c>
      <x:c r="E6" s="100" t="str">
        <x:v>Atmospheric path</x:v>
      </x:c>
      <x:c r="F6" s="100" t="str">
        <x:v>Atmospheric path</x:v>
      </x:c>
      <x:c r="G6" s="101" t="str">
        <x:v>Atmospheric path</x:v>
      </x:c>
      <x:c r="H6" s="58"/>
      <x:c r="I6" s="99" t="str">
        <x:v>Terrain path</x:v>
      </x:c>
      <x:c r="J6" s="100" t="str">
        <x:v>Terrain path</x:v>
      </x:c>
      <x:c r="K6" s="100" t="str">
        <x:v>Terrain path</x:v>
      </x:c>
      <x:c r="L6" s="100" t="str">
        <x:v>Terrain path</x:v>
      </x:c>
      <x:c r="M6" s="100" t="str">
        <x:v>Terrain path</x:v>
      </x:c>
      <x:c r="N6" s="101" t="str">
        <x:v>Terrain path</x:v>
      </x:c>
    </x:row>
    <x:row r="7">
      <x:c r="B7" s="18" t="str">
        <x:v>State</x:v>
      </x:c>
      <x:c r="C7" s="19" t="str">
        <x:v>Phase</x:v>
      </x:c>
      <x:c r="D7" s="19" t="str">
        <x:v>Start h</x:v>
      </x:c>
      <x:c r="E7" s="19" t="str">
        <x:v>Duration h</x:v>
      </x:c>
      <x:c r="F7" s="19" t="str">
        <x:v>End h</x:v>
      </x:c>
      <x:c r="G7" s="19" t="str">
        <x:v>Authority</x:v>
      </x:c>
      <x:c r="H7" s="58"/>
      <x:c r="I7" s="18" t="str">
        <x:v>State</x:v>
      </x:c>
      <x:c r="J7" s="19" t="str">
        <x:v>Phase</x:v>
      </x:c>
      <x:c r="K7" s="19" t="str">
        <x:v>Start h</x:v>
      </x:c>
      <x:c r="L7" s="19" t="str">
        <x:v>Duration h</x:v>
      </x:c>
      <x:c r="M7" s="19" t="str">
        <x:v>End h</x:v>
      </x:c>
      <x:c r="N7" s="19" t="str">
        <x:v>Authority</x:v>
      </x:c>
    </x:row>
    <x:row r="8">
      <x:c r="B8" s="77" t="str">
        <x:v>A0</x:v>
      </x:c>
      <x:c r="C8" s="77" t="str">
        <x:v>origin technical release and parallel load</x:v>
      </x:c>
      <x:c r="D8" s="77" t="n">
        <x:v>0</x:v>
      </x:c>
      <x:c r="E8" s="77" t="n">
        <x:v>16</x:v>
      </x:c>
      <x:c r="F8" s="77" t="n">
        <x:f>D8+E8</x:f>
        <x:v>16</x:v>
      </x:c>
      <x:c r="G8" s="79" t="str">
        <x:v>Air Configuration Authority</x:v>
      </x:c>
      <x:c r="H8" s="58"/>
      <x:c r="I8" s="77" t="str">
        <x:v>T0</x:v>
      </x:c>
      <x:c r="J8" s="77" t="str">
        <x:v>origin measured-configuration release</x:v>
      </x:c>
      <x:c r="K8" s="77" t="n">
        <x:v>0</x:v>
      </x:c>
      <x:c r="L8" s="77" t="n">
        <x:v>8.75</x:v>
      </x:c>
      <x:c r="M8" s="77" t="n">
        <x:f>K8+L8</x:f>
        <x:v>8.75</x:v>
      </x:c>
      <x:c r="N8" s="79" t="str">
        <x:v>Terrain Configuration Authority</x:v>
      </x:c>
    </x:row>
    <x:row r="9">
      <x:c r="B9" s="77" t="str">
        <x:v>A1</x:v>
      </x:c>
      <x:c r="C9" s="77" t="str">
        <x:v>4,000 km atmospheric route</x:v>
      </x:c>
      <x:c r="D9" s="77" t="n">
        <x:f>F8</x:f>
        <x:v>16</x:v>
      </x:c>
      <x:c r="E9" s="77" t="n">
        <x:v>16.666666667</x:v>
      </x:c>
      <x:c r="F9" s="77" t="n">
        <x:f>D9+E9</x:f>
        <x:v>32.666666667</x:v>
      </x:c>
      <x:c r="G9" s="79" t="str">
        <x:v>Air Flight Authority</x:v>
      </x:c>
      <x:c r="H9" s="58"/>
      <x:c r="I9" s="77" t="str">
        <x:v>T1</x:v>
      </x:c>
      <x:c r="J9" s="77" t="str">
        <x:v>500 km degraded hard route</x:v>
      </x:c>
      <x:c r="K9" s="77" t="n">
        <x:f>M8</x:f>
        <x:v>8.75</x:v>
      </x:c>
      <x:c r="L9" s="77" t="n">
        <x:v>10</x:v>
      </x:c>
      <x:c r="M9" s="77" t="n">
        <x:f>K9+L9</x:f>
        <x:v>18.75</x:v>
      </x:c>
      <x:c r="N9" s="79" t="str">
        <x:v>Terrain Movement Authority</x:v>
      </x:c>
    </x:row>
    <x:row r="10">
      <x:c r="B10" s="77" t="str">
        <x:v>A2</x:v>
      </x:c>
      <x:c r="C10" s="77" t="str">
        <x:v>arrest, quorum selection and transfer</x:v>
      </x:c>
      <x:c r="D10" s="77" t="n">
        <x:f>F9</x:f>
        <x:v>32.666666667</x:v>
      </x:c>
      <x:c r="E10" s="77" t="n">
        <x:v>1.25</x:v>
      </x:c>
      <x:c r="F10" s="77" t="n">
        <x:f>D10+E10</x:f>
        <x:v>33.916666667</x:v>
      </x:c>
      <x:c r="G10" s="79" t="str">
        <x:v>Air Receiver Authority</x:v>
      </x:c>
      <x:c r="H10" s="58"/>
      <x:c r="I10" s="77" t="str">
        <x:v>T2</x:v>
      </x:c>
      <x:c r="J10" s="77" t="str">
        <x:v>220 km broken or saturated route</x:v>
      </x:c>
      <x:c r="K10" s="77" t="n">
        <x:f>M9</x:f>
        <x:v>18.75</x:v>
      </x:c>
      <x:c r="L10" s="77" t="n">
        <x:v>6.875</x:v>
      </x:c>
      <x:c r="M10" s="77" t="n">
        <x:f>K10+L10</x:f>
        <x:v>25.625</x:v>
      </x:c>
      <x:c r="N10" s="79" t="str">
        <x:v>Terrain Movement Authority</x:v>
      </x:c>
    </x:row>
    <x:row r="11">
      <x:c r="B11" s="80" t="str">
        <x:v>A3</x:v>
      </x:c>
      <x:c r="C11" s="80" t="str">
        <x:v>service assembly, assay and civil release</x:v>
      </x:c>
      <x:c r="D11" s="80" t="n">
        <x:f>F10</x:f>
        <x:v>33.916666667</x:v>
      </x:c>
      <x:c r="E11" s="80" t="n">
        <x:v>8</x:v>
      </x:c>
      <x:c r="F11" s="80" t="n">
        <x:f>D11+E11</x:f>
        <x:v>41.916666667</x:v>
      </x:c>
      <x:c r="G11" s="82" t="str">
        <x:v>Civil Service Authority</x:v>
      </x:c>
      <x:c r="H11" s="58"/>
      <x:c r="I11" s="77" t="str">
        <x:v>T3</x:v>
      </x:c>
      <x:c r="J11" s="77" t="str">
        <x:v>80 km off-road and obstacle route</x:v>
      </x:c>
      <x:c r="K11" s="77" t="n">
        <x:f>M10</x:f>
        <x:v>25.625</x:v>
      </x:c>
      <x:c r="L11" s="77" t="n">
        <x:v>4.444444444</x:v>
      </x:c>
      <x:c r="M11" s="77" t="n">
        <x:f>K11+L11</x:f>
        <x:v>30.069444444</x:v>
      </x:c>
      <x:c r="N11" s="79" t="str">
        <x:v>Terrain Movement Authority</x:v>
      </x:c>
    </x:row>
    <x:row r="12">
      <x:c r="B12" s="58"/>
      <x:c r="C12" s="58"/>
      <x:c r="D12" s="58"/>
      <x:c r="E12" s="58"/>
      <x:c r="F12" s="58"/>
      <x:c r="G12" s="58"/>
      <x:c r="H12" s="58"/>
      <x:c r="I12" s="77" t="str">
        <x:v>T4</x:v>
      </x:c>
      <x:c r="J12" s="77" t="str">
        <x:v>contact, survey, bridge and route work</x:v>
      </x:c>
      <x:c r="K12" s="77" t="n">
        <x:f>M11</x:f>
        <x:v>30.069444444</x:v>
      </x:c>
      <x:c r="L12" s="77" t="n">
        <x:v>4.75</x:v>
      </x:c>
      <x:c r="M12" s="77" t="n">
        <x:f>K12+L12</x:f>
        <x:v>34.819444444</x:v>
      </x:c>
      <x:c r="N12" s="79" t="str">
        <x:v>Terrain Receiver Authority</x:v>
      </x:c>
    </x:row>
    <x:row r="13">
      <x:c r="B13" s="58"/>
      <x:c r="C13" s="58"/>
      <x:c r="D13" s="58"/>
      <x:c r="E13" s="58"/>
      <x:c r="F13" s="58"/>
      <x:c r="G13" s="58"/>
      <x:c r="H13" s="58"/>
      <x:c r="I13" s="80" t="str">
        <x:v>T5</x:v>
      </x:c>
      <x:c r="J13" s="80" t="str">
        <x:v>quorum unload, assay and civil release</x:v>
      </x:c>
      <x:c r="K13" s="80" t="n">
        <x:f>M12</x:f>
        <x:v>34.819444444</x:v>
      </x:c>
      <x:c r="L13" s="80" t="n">
        <x:v>8.75</x:v>
      </x:c>
      <x:c r="M13" s="80" t="n">
        <x:f>K13+L13</x:f>
        <x:v>43.569444444</x:v>
      </x:c>
      <x:c r="N13" s="82" t="str">
        <x:v>Civil Service Authority</x:v>
      </x:c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</x:row>
    <x:row r="15"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</x:row>
    <x:row r="16">
      <x:c r="B16" s="99" t="str">
        <x:v>Common mission releases</x:v>
      </x:c>
      <x:c r="C16" s="100" t="str">
        <x:v>Common mission releases</x:v>
      </x:c>
      <x:c r="D16" s="100" t="str">
        <x:v>Common mission releases</x:v>
      </x:c>
      <x:c r="E16" s="100" t="str">
        <x:v>Common mission releases</x:v>
      </x:c>
      <x:c r="F16" s="100" t="str">
        <x:v>Common mission releases</x:v>
      </x:c>
      <x:c r="G16" s="100" t="str">
        <x:v>Common mission releases</x:v>
      </x:c>
      <x:c r="H16" s="100" t="str">
        <x:v>Common mission releases</x:v>
      </x:c>
      <x:c r="I16" s="99" t="str">
        <x:v>Authority rule</x:v>
      </x:c>
      <x:c r="J16" s="100" t="str">
        <x:v>Authority rule</x:v>
      </x:c>
      <x:c r="K16" s="100" t="str">
        <x:v>Authority rule</x:v>
      </x:c>
      <x:c r="L16" s="100" t="str">
        <x:v>Authority rule</x:v>
      </x:c>
      <x:c r="M16" s="100" t="str">
        <x:v>Authority rule</x:v>
      </x:c>
      <x:c r="N16" s="101" t="str">
        <x:v>Authority rule</x:v>
      </x:c>
    </x:row>
    <x:row r="17">
      <x:c r="B17" s="18" t="str">
        <x:v>Metric</x:v>
      </x:c>
      <x:c r="C17" s="19" t="str">
        <x:v>Value</x:v>
      </x:c>
      <x:c r="D17" s="19" t="str">
        <x:v>Unit</x:v>
      </x:c>
      <x:c r="E17" s="19" t="str">
        <x:v>Boundary</x:v>
      </x:c>
      <x:c r="F17" s="19" t="str">
        <x:v>Result</x:v>
      </x:c>
      <x:c r="G17" s="58"/>
      <x:c r="H17" s="58"/>
      <x:c r="I17" s="85" t="str">
        <x:v>Vehicle release</x:v>
      </x:c>
      <x:c r="J17" s="85" t="str">
        <x:v>carrier may move</x:v>
      </x:c>
      <x:c r="K17" s="85" t="str">
        <x:v>separate air and terrain technical authorities</x:v>
      </x:c>
      <x:c r="L17" s="85" t="str">
        <x:v>OPEN</x:v>
      </x:c>
      <x:c r="M17" s="85" t="str"/>
      <x:c r="N17" s="85" t="str"/>
    </x:row>
    <x:row r="18">
      <x:c r="B18" s="77" t="str">
        <x:v>Air relative service</x:v>
      </x:c>
      <x:c r="C18" s="77" t="n">
        <x:f>F11</x:f>
        <x:v>41.916666667</x:v>
      </x:c>
      <x:c r="D18" s="77" t="str">
        <x:v>h</x:v>
      </x:c>
      <x:c r="E18" s="77" t="str">
        <x:v>declared reference</x:v>
      </x:c>
      <x:c r="F18" s="79" t="str">
        <x:f>IF(ABS(C18-Assumptions!C19)&lt;0.001,"PASS","FAIL")</x:f>
        <x:v>PASS</x:v>
      </x:c>
      <x:c r="G18" s="58"/>
      <x:c r="H18" s="58"/>
      <x:c r="I18" s="77" t="str">
        <x:v>Quorum release</x:v>
      </x:c>
      <x:c r="J18" s="77" t="str">
        <x:v>surviving subset is physically complete</x:v>
      </x:c>
      <x:c r="K18" s="77" t="str">
        <x:v>local signed compiler plus independent checker</x:v>
      </x:c>
      <x:c r="L18" s="77" t="str">
        <x:v>OPEN</x:v>
      </x:c>
      <x:c r="M18" s="77" t="str"/>
      <x:c r="N18" s="77" t="str"/>
    </x:row>
    <x:row r="19">
      <x:c r="B19" s="77" t="str">
        <x:v>Terrain relative service</x:v>
      </x:c>
      <x:c r="C19" s="77" t="n">
        <x:f>M13</x:f>
        <x:v>43.569444444</x:v>
      </x:c>
      <x:c r="D19" s="77" t="str">
        <x:v>h</x:v>
      </x:c>
      <x:c r="E19" s="77" t="str">
        <x:v>declared reference</x:v>
      </x:c>
      <x:c r="F19" s="79" t="str">
        <x:f>IF(ABS(C19-Assumptions!C30)&lt;0.001,"PASS","FAIL")</x:f>
        <x:v>PASS</x:v>
      </x:c>
      <x:c r="G19" s="58"/>
      <x:c r="H19" s="58"/>
      <x:c r="I19" s="77" t="str">
        <x:v>Receiver admission</x:v>
      </x:c>
      <x:c r="J19" s="77" t="str">
        <x:v>site and exclusion state are safe</x:v>
      </x:c>
      <x:c r="K19" s="77" t="str">
        <x:v>mode-specific receiver authority</x:v>
      </x:c>
      <x:c r="L19" s="77" t="str">
        <x:v>OPEN</x:v>
      </x:c>
      <x:c r="M19" s="77" t="str"/>
      <x:c r="N19" s="77" t="str"/>
    </x:row>
    <x:row r="20">
      <x:c r="B20" s="77" t="str">
        <x:v>Air absolute service</x:v>
      </x:c>
      <x:c r="C20" s="77" t="n">
        <x:f>C18+Assumptions!C37</x:f>
        <x:v>47.916666667</x:v>
      </x:c>
      <x:c r="D20" s="77" t="str">
        <x:v>h</x:v>
      </x:c>
      <x:c r="E20" s="77" t="str">
        <x:v>&lt;= 54</x:v>
      </x:c>
      <x:c r="F20" s="79" t="str">
        <x:f>IF(C20&lt;=Assumptions!C38,"PASS","FAIL")</x:f>
        <x:v>PASS</x:v>
      </x:c>
      <x:c r="G20" s="58"/>
      <x:c r="H20" s="58"/>
      <x:c r="I20" s="77" t="str">
        <x:v>Service assay</x:v>
      </x:c>
      <x:c r="J20" s="77" t="str">
        <x:v>every service vector floor is met</x:v>
      </x:c>
      <x:c r="K20" s="77" t="str">
        <x:v>function-specific assay authorities</x:v>
      </x:c>
      <x:c r="L20" s="77" t="str">
        <x:v>OPEN</x:v>
      </x:c>
      <x:c r="M20" s="77" t="str"/>
      <x:c r="N20" s="77" t="str"/>
    </x:row>
    <x:row r="21">
      <x:c r="B21" s="77" t="str">
        <x:v>Terrain absolute service</x:v>
      </x:c>
      <x:c r="C21" s="77" t="n">
        <x:f>C19+Assumptions!C37</x:f>
        <x:v>49.569444444</x:v>
      </x:c>
      <x:c r="D21" s="77" t="str">
        <x:v>h</x:v>
      </x:c>
      <x:c r="E21" s="77" t="str">
        <x:v>&lt;= 54</x:v>
      </x:c>
      <x:c r="F21" s="79" t="str">
        <x:f>IF(C21&lt;=Assumptions!C38,"PASS","FAIL")</x:f>
        <x:v>PASS</x:v>
      </x:c>
      <x:c r="G21" s="58"/>
      <x:c r="H21" s="58"/>
      <x:c r="I21" s="77" t="str">
        <x:v>Civil release</x:v>
      </x:c>
      <x:c r="J21" s="77" t="str">
        <x:v>public may rely on the service</x:v>
      </x:c>
      <x:c r="K21" s="77" t="str">
        <x:v>independent civil authority</x:v>
      </x:c>
      <x:c r="L21" s="77" t="str">
        <x:v>OPEN</x:v>
      </x:c>
      <x:c r="M21" s="77" t="str"/>
      <x:c r="N21" s="77" t="str"/>
    </x:row>
    <x:row r="22">
      <x:c r="B22" s="77" t="str">
        <x:v>First available public effect</x:v>
      </x:c>
      <x:c r="C22" s="77" t="n">
        <x:f>MIN(C20:C21)</x:f>
        <x:v>47.916666667</x:v>
      </x:c>
      <x:c r="D22" s="77" t="str">
        <x:v>h</x:v>
      </x:c>
      <x:c r="E22" s="77" t="str">
        <x:v>&lt;= 54</x:v>
      </x:c>
      <x:c r="F22" s="79" t="str">
        <x:f>IF(C22&lt;=Assumptions!C38,"PASS","FAIL")</x:f>
        <x:v>PASS</x:v>
      </x:c>
      <x:c r="G22" s="58"/>
      <x:c r="H22" s="58"/>
      <x:c r="I22" s="77" t="str">
        <x:v>Federation</x:v>
      </x:c>
      <x:c r="J22" s="77" t="str">
        <x:v>post-release cross-tie may open</x:v>
      </x:c>
      <x:c r="K22" s="77" t="str">
        <x:v>joint receiver command</x:v>
      </x:c>
      <x:c r="L22" s="77" t="str">
        <x:v>OPEN</x:v>
      </x:c>
      <x:c r="M22" s="77" t="str"/>
      <x:c r="N22" s="77" t="str"/>
    </x:row>
    <x:row r="23">
      <x:c r="B23" s="77" t="str">
        <x:v>Both modes independently released</x:v>
      </x:c>
      <x:c r="C23" s="77" t="n">
        <x:f>MAX(C20:C21)</x:f>
        <x:v>49.569444444</x:v>
      </x:c>
      <x:c r="D23" s="77" t="str">
        <x:v>h</x:v>
      </x:c>
      <x:c r="E23" s="77" t="str">
        <x:v>&lt;= 54</x:v>
      </x:c>
      <x:c r="F23" s="79" t="str">
        <x:f>IF(C23&lt;=Assumptions!C38,"PASS","FAIL")</x:f>
        <x:v>PASS</x:v>
      </x:c>
      <x:c r="G23" s="58"/>
      <x:c r="H23" s="58"/>
      <x:c r="I23" s="88" t="str">
        <x:v>No substitution</x:v>
      </x:c>
      <x:c r="J23" s="88" t="str">
        <x:v>no signature substitutes for another</x:v>
      </x:c>
      <x:c r="K23" s="88" t="str">
        <x:v>constitutional stop</x:v>
      </x:c>
      <x:c r="L23" s="88" t="str">
        <x:v>OPEN</x:v>
      </x:c>
      <x:c r="M23" s="88" t="str"/>
      <x:c r="N23" s="88" t="str"/>
    </x:row>
    <x:row r="24">
      <x:c r="B24" s="80" t="str">
        <x:v>Post-release federation</x:v>
      </x:c>
      <x:c r="C24" s="80" t="n">
        <x:f>C23+2</x:f>
        <x:v>51.569444444</x:v>
      </x:c>
      <x:c r="D24" s="80" t="str">
        <x:v>h</x:v>
      </x:c>
      <x:c r="E24" s="80" t="str">
        <x:v>after both releases</x:v>
      </x:c>
      <x:c r="F24" s="82" t="str">
        <x:f>IF(C24&gt;C23,"PASS","FAIL")</x:f>
        <x:v>PASS</x:v>
      </x:c>
      <x:c r="G24" s="58"/>
      <x:c r="H24" s="58"/>
      <x:c r="I24" s="58"/>
      <x:c r="J24" s="58"/>
      <x:c r="K24" s="58"/>
      <x:c r="L24" s="58"/>
      <x:c r="M24" s="58"/>
      <x:c r="N24" s="58"/>
    </x:row>
    <x:row r="25"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</x:row>
    <x:row r="26"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</x:row>
    <x:row r="27"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</x:sheetData>
  <x:mergeCells>
    <x:mergeCell ref="B2:H2"/>
    <x:mergeCell ref="B3:H3"/>
    <x:mergeCell ref="B6:G6"/>
    <x:mergeCell ref="I6:N6"/>
    <x:mergeCell ref="B16:N16"/>
    <x:mergeCell ref="I16:N16"/>
  </x:mergeCells>
  <x:conditionalFormatting sqref="F18:F24">
    <x:cfRule type="containsText" dxfId="44" priority="1" operator="containsText" text="FAIL"/>
    <x:cfRule type="containsText" dxfId="45" priority="2" operator="containsText" text="PASS"/>
    <x:cfRule type="containsText" dxfId="46" priority="3" operator="containsText" text="BLOCKED"/>
    <x:cfRule type="containsText" dxfId="47" priority="4" operator="containsText" text="BOUN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4" hidden="0" customWidth="1"/>
    <x:col min="3" max="3" width="16" hidden="0" customWidth="1"/>
    <x:col min="4" max="4" width="19" hidden="0" customWidth="1"/>
    <x:col min="5" max="5" width="19" hidden="0" customWidth="1"/>
    <x:col min="6" max="6" width="19" hidden="0" customWidth="1"/>
    <x:col min="7" max="7" width="14" hidden="0" customWidth="1"/>
    <x:col min="8" max="8" width="3" hidden="0" customWidth="1"/>
    <x:col min="9" max="9" width="34" hidden="0" customWidth="1"/>
    <x:col min="10" max="10" width="16" hidden="0" customWidth="1"/>
    <x:col min="11" max="11" width="19" hidden="0" customWidth="1"/>
    <x:col min="12" max="12" width="19" hidden="0" customWidth="1"/>
    <x:col min="13" max="13" width="19" hidden="0" customWidth="1"/>
    <x:col min="14" max="14" width="14" hidden="0" customWidth="1"/>
  </x:cols>
  <x:sheetData>
    <x:row r="2">
      <x:c r="B2" s="96" t="str">
        <x:v>Deterministic delay budgets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97" t="str">
        <x:v>The challenge allowances are design stresses, not probability distributions or measured percentiles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99" t="str">
        <x:v>Atmospheric delay allocation</x:v>
      </x:c>
      <x:c r="C6" s="100" t="str">
        <x:v>Atmospheric delay allocation</x:v>
      </x:c>
      <x:c r="D6" s="100" t="str">
        <x:v>Atmospheric delay allocation</x:v>
      </x:c>
      <x:c r="E6" s="100" t="str">
        <x:v>Atmospheric delay allocation</x:v>
      </x:c>
      <x:c r="F6" s="100" t="str">
        <x:v>Atmospheric delay allocation</x:v>
      </x:c>
      <x:c r="G6" s="101" t="str">
        <x:v>Atmospheric delay allocation</x:v>
      </x:c>
      <x:c r="H6" s="58"/>
      <x:c r="I6" s="99" t="str">
        <x:v>Terrain delay allocation</x:v>
      </x:c>
      <x:c r="J6" s="100" t="str">
        <x:v>Terrain delay allocation</x:v>
      </x:c>
      <x:c r="K6" s="100" t="str">
        <x:v>Terrain delay allocation</x:v>
      </x:c>
      <x:c r="L6" s="100" t="str">
        <x:v>Terrain delay allocation</x:v>
      </x:c>
      <x:c r="M6" s="100" t="str">
        <x:v>Terrain delay allocation</x:v>
      </x:c>
      <x:c r="N6" s="101" t="str">
        <x:v>Terrain delay allocation</x:v>
      </x:c>
    </x:row>
    <x:row r="7">
      <x:c r="B7" s="18" t="str">
        <x:v>Phase</x:v>
      </x:c>
      <x:c r="C7" s="19" t="str">
        <x:v>Allowance h</x:v>
      </x:c>
      <x:c r="D7" s="19" t="str">
        <x:v>Baseline finish h</x:v>
      </x:c>
      <x:c r="E7" s="19" t="str">
        <x:v>Stressed finish h</x:v>
      </x:c>
      <x:c r="F7" s="19" t="str">
        <x:v>Deadline margin h</x:v>
      </x:c>
      <x:c r="G7" s="19" t="str">
        <x:v>Result</x:v>
      </x:c>
      <x:c r="H7" s="58"/>
      <x:c r="I7" s="18" t="str">
        <x:v>Phase</x:v>
      </x:c>
      <x:c r="J7" s="19" t="str">
        <x:v>Allowance h</x:v>
      </x:c>
      <x:c r="K7" s="19" t="str">
        <x:v>Baseline finish h</x:v>
      </x:c>
      <x:c r="L7" s="19" t="str">
        <x:v>Stressed finish h</x:v>
      </x:c>
      <x:c r="M7" s="19" t="str">
        <x:v>Deadline margin h</x:v>
      </x:c>
      <x:c r="N7" s="19" t="str">
        <x:v>Result</x:v>
      </x:c>
    </x:row>
    <x:row r="8">
      <x:c r="B8" s="77" t="str">
        <x:v>origin technical rework</x:v>
      </x:c>
      <x:c r="C8" s="77" t="n">
        <x:v>1</x:v>
      </x:c>
      <x:c r="D8" s="77" t="n">
        <x:f>Assumptions!C20</x:f>
        <x:v>47.916666667</x:v>
      </x:c>
      <x:c r="E8" s="77" t="n">
        <x:f>D8+C8</x:f>
        <x:v>48.916666667</x:v>
      </x:c>
      <x:c r="F8" s="77" t="n">
        <x:f>Assumptions!C38-E8</x:f>
        <x:v>5.083333332999999</x:v>
      </x:c>
      <x:c r="G8" s="79" t="str">
        <x:f>IF(F8&gt;=0,"PASS","FAIL")</x:f>
        <x:v>PASS</x:v>
      </x:c>
      <x:c r="H8" s="58"/>
      <x:c r="I8" s="77" t="str">
        <x:v>origin configuration rework</x:v>
      </x:c>
      <x:c r="J8" s="77" t="n">
        <x:v>0.75</x:v>
      </x:c>
      <x:c r="K8" s="77" t="n">
        <x:f>Assumptions!C31</x:f>
        <x:v>49.569444444</x:v>
      </x:c>
      <x:c r="L8" s="77" t="n">
        <x:f>K8+J8</x:f>
        <x:v>50.319444444</x:v>
      </x:c>
      <x:c r="M8" s="77" t="n">
        <x:f>Assumptions!C38-L8</x:f>
        <x:v>3.6805555560000016</x:v>
      </x:c>
      <x:c r="N8" s="79" t="str">
        <x:f>IF(M8&gt;=0,"PASS","FAIL")</x:f>
        <x:v>PASS</x:v>
      </x:c>
    </x:row>
    <x:row r="9">
      <x:c r="B9" s="77" t="str">
        <x:v>route weather and reroute</x:v>
      </x:c>
      <x:c r="C9" s="77" t="n">
        <x:v>2</x:v>
      </x:c>
      <x:c r="D9" s="77" t="n">
        <x:f>Assumptions!C20</x:f>
        <x:v>47.916666667</x:v>
      </x:c>
      <x:c r="E9" s="77" t="n">
        <x:f>D9+C9</x:f>
        <x:v>49.916666667</x:v>
      </x:c>
      <x:c r="F9" s="77" t="n">
        <x:f>Assumptions!C38-E9</x:f>
        <x:v>4.083333332999999</x:v>
      </x:c>
      <x:c r="G9" s="79" t="str">
        <x:f>IF(F9&gt;=0,"PASS","FAIL")</x:f>
        <x:v>PASS</x:v>
      </x:c>
      <x:c r="H9" s="58"/>
      <x:c r="I9" s="77" t="str">
        <x:v>route, soil and detour</x:v>
      </x:c>
      <x:c r="J9" s="77" t="n">
        <x:v>1.5</x:v>
      </x:c>
      <x:c r="K9" s="77" t="n">
        <x:f>Assumptions!C31</x:f>
        <x:v>49.569444444</x:v>
      </x:c>
      <x:c r="L9" s="77" t="n">
        <x:f>K9+J9</x:f>
        <x:v>51.069444444</x:v>
      </x:c>
      <x:c r="M9" s="77" t="n">
        <x:f>Assumptions!C38-L9</x:f>
        <x:v>2.9305555560000016</x:v>
      </x:c>
      <x:c r="N9" s="79" t="str">
        <x:f>IF(M9&gt;=0,"PASS","FAIL")</x:f>
        <x:v>PASS</x:v>
      </x:c>
    </x:row>
    <x:row r="10">
      <x:c r="B10" s="77" t="str">
        <x:v>quorum and transfer</x:v>
      </x:c>
      <x:c r="C10" s="77" t="n">
        <x:v>0.5</x:v>
      </x:c>
      <x:c r="D10" s="77" t="n">
        <x:f>Assumptions!C20</x:f>
        <x:v>47.916666667</x:v>
      </x:c>
      <x:c r="E10" s="77" t="n">
        <x:f>D10+C10</x:f>
        <x:v>48.416666667</x:v>
      </x:c>
      <x:c r="F10" s="77" t="n">
        <x:f>Assumptions!C38-E10</x:f>
        <x:v>5.583333332999999</x:v>
      </x:c>
      <x:c r="G10" s="79" t="str">
        <x:f>IF(F10&gt;=0,"PASS","FAIL")</x:f>
        <x:v>PASS</x:v>
      </x:c>
      <x:c r="H10" s="58"/>
      <x:c r="I10" s="77" t="str">
        <x:v>contact and bridge work</x:v>
      </x:c>
      <x:c r="J10" s="77" t="n">
        <x:v>0.5</x:v>
      </x:c>
      <x:c r="K10" s="77" t="n">
        <x:f>Assumptions!C31</x:f>
        <x:v>49.569444444</x:v>
      </x:c>
      <x:c r="L10" s="77" t="n">
        <x:f>K10+J10</x:f>
        <x:v>50.069444444</x:v>
      </x:c>
      <x:c r="M10" s="77" t="n">
        <x:f>Assumptions!C38-L10</x:f>
        <x:v>3.9305555560000016</x:v>
      </x:c>
      <x:c r="N10" s="79" t="str">
        <x:f>IF(M10&gt;=0,"PASS","FAIL")</x:f>
        <x:v>PASS</x:v>
      </x:c>
    </x:row>
    <x:row r="11">
      <x:c r="B11" s="77" t="str">
        <x:v>receiver assay and release</x:v>
      </x:c>
      <x:c r="C11" s="77" t="n">
        <x:v>1</x:v>
      </x:c>
      <x:c r="D11" s="77" t="n">
        <x:f>Assumptions!C20</x:f>
        <x:v>47.916666667</x:v>
      </x:c>
      <x:c r="E11" s="77" t="n">
        <x:f>D11+C11</x:f>
        <x:v>48.916666667</x:v>
      </x:c>
      <x:c r="F11" s="77" t="n">
        <x:f>Assumptions!C38-E11</x:f>
        <x:v>5.083333332999999</x:v>
      </x:c>
      <x:c r="G11" s="79" t="str">
        <x:f>IF(F11&gt;=0,"PASS","FAIL")</x:f>
        <x:v>PASS</x:v>
      </x:c>
      <x:c r="H11" s="58"/>
      <x:c r="I11" s="77" t="str">
        <x:v>receiver assay and release</x:v>
      </x:c>
      <x:c r="J11" s="77" t="n">
        <x:v>0.75</x:v>
      </x:c>
      <x:c r="K11" s="77" t="n">
        <x:f>Assumptions!C31</x:f>
        <x:v>49.569444444</x:v>
      </x:c>
      <x:c r="L11" s="77" t="n">
        <x:f>K11+J11</x:f>
        <x:v>50.319444444</x:v>
      </x:c>
      <x:c r="M11" s="77" t="n">
        <x:f>Assumptions!C38-L11</x:f>
        <x:v>3.6805555560000016</x:v>
      </x:c>
      <x:c r="N11" s="79" t="str">
        <x:f>IF(M11&gt;=0,"PASS","FAIL")</x:f>
        <x:v>PASS</x:v>
      </x:c>
    </x:row>
    <x:row r="12">
      <x:c r="B12" s="80" t="str">
        <x:v>Total</x:v>
      </x:c>
      <x:c r="C12" s="80" t="n">
        <x:f>SUM(C8:C11)</x:f>
        <x:v>4.5</x:v>
      </x:c>
      <x:c r="D12" s="80" t="n">
        <x:f>Assumptions!C20</x:f>
        <x:v>47.916666667</x:v>
      </x:c>
      <x:c r="E12" s="80" t="n">
        <x:f>D12+C12</x:f>
        <x:v>52.416666667</x:v>
      </x:c>
      <x:c r="F12" s="80" t="n">
        <x:f>Assumptions!C38-E12</x:f>
        <x:v>1.5833333329999988</x:v>
      </x:c>
      <x:c r="G12" s="82" t="str">
        <x:f>IF(F12&gt;=0,"PASS","FAIL")</x:f>
        <x:v>PASS</x:v>
      </x:c>
      <x:c r="H12" s="58"/>
      <x:c r="I12" s="80" t="str">
        <x:v>Total</x:v>
      </x:c>
      <x:c r="J12" s="80" t="n">
        <x:f>SUM(J8:J11)</x:f>
        <x:v>3.5</x:v>
      </x:c>
      <x:c r="K12" s="80" t="n">
        <x:f>Assumptions!C31</x:f>
        <x:v>49.569444444</x:v>
      </x:c>
      <x:c r="L12" s="80" t="n">
        <x:f>K12+J12</x:f>
        <x:v>53.069444444</x:v>
      </x:c>
      <x:c r="M12" s="80" t="n">
        <x:f>Assumptions!C38-L12</x:f>
        <x:v>0.9305555560000016</x:v>
      </x:c>
      <x:c r="N12" s="82" t="str">
        <x:f>IF(M12&gt;=0,"PASS","FAIL")</x:f>
        <x:v>PASS</x:v>
      </x:c>
    </x:row>
    <x:row r="13">
      <x:c r="B13" s="58"/>
      <x:c r="C13" s="58"/>
      <x:c r="D13" s="58"/>
      <x:c r="E13" s="58"/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</x:row>
    <x:row r="15">
      <x:c r="B15" s="99" t="str">
        <x:v>Boundary probes</x:v>
      </x:c>
      <x:c r="C15" s="100" t="str">
        <x:v>Boundary probes</x:v>
      </x:c>
      <x:c r="D15" s="100" t="str">
        <x:v>Boundary probes</x:v>
      </x:c>
      <x:c r="E15" s="100" t="str">
        <x:v>Boundary probes</x:v>
      </x:c>
      <x:c r="F15" s="100" t="str">
        <x:v>Boundary probes</x:v>
      </x:c>
      <x:c r="G15" s="100" t="str">
        <x:v>Boundary probes</x:v>
      </x:c>
      <x:c r="H15" s="100" t="str">
        <x:v>Boundary probes</x:v>
      </x:c>
      <x:c r="I15" s="100" t="str">
        <x:v>Boundary probes</x:v>
      </x:c>
      <x:c r="J15" s="100" t="str">
        <x:v>Boundary probes</x:v>
      </x:c>
      <x:c r="K15" s="100" t="str">
        <x:v>Boundary probes</x:v>
      </x:c>
      <x:c r="L15" s="100" t="str">
        <x:v>Boundary probes</x:v>
      </x:c>
      <x:c r="M15" s="100" t="str">
        <x:v>Boundary probes</x:v>
      </x:c>
      <x:c r="N15" s="101" t="str">
        <x:v>Boundary probes</x:v>
      </x:c>
    </x:row>
    <x:row r="16">
      <x:c r="B16" s="18" t="str">
        <x:v>Probe</x:v>
      </x:c>
      <x:c r="C16" s="19" t="str">
        <x:v>Delay h</x:v>
      </x:c>
      <x:c r="D16" s="19" t="str">
        <x:v>Service h</x:v>
      </x:c>
      <x:c r="E16" s="19" t="str">
        <x:v>Boundary</x:v>
      </x:c>
      <x:c r="F16" s="19" t="str">
        <x:v>Result</x:v>
      </x:c>
      <x:c r="G16" s="19" t="str">
        <x:v>Meaning</x:v>
      </x:c>
      <x:c r="H16" s="58"/>
      <x:c r="I16" s="58"/>
      <x:c r="J16" s="58"/>
      <x:c r="K16" s="58"/>
      <x:c r="L16" s="58"/>
      <x:c r="M16" s="58"/>
      <x:c r="N16" s="58"/>
    </x:row>
    <x:row r="17">
      <x:c r="B17" s="77" t="str">
        <x:v>air maximum deterministic delay</x:v>
      </x:c>
      <x:c r="C17" s="77" t="n">
        <x:f>Assumptions!C38-Assumptions!C20</x:f>
        <x:v>6.083333332999999</x:v>
      </x:c>
      <x:c r="D17" s="77" t="n">
        <x:f>Assumptions!C20+C17</x:f>
        <x:v>54</x:v>
      </x:c>
      <x:c r="E17" s="77" t="n">
        <x:v>54</x:v>
      </x:c>
      <x:c r="F17" s="77" t="str">
        <x:f>IF(ABS(D17-E17)&lt;0.001,"PASS","FAIL")</x:f>
        <x:v>PASS</x:v>
      </x:c>
      <x:c r="G17" s="79" t="str">
        <x:v>deadline less baseline</x:v>
      </x:c>
      <x:c r="H17" s="58"/>
      <x:c r="I17" s="58"/>
      <x:c r="J17" s="58"/>
      <x:c r="K17" s="58"/>
      <x:c r="L17" s="58"/>
      <x:c r="M17" s="58"/>
      <x:c r="N17" s="58"/>
    </x:row>
    <x:row r="18">
      <x:c r="B18" s="77" t="str">
        <x:v>terrain maximum deterministic delay</x:v>
      </x:c>
      <x:c r="C18" s="77" t="n">
        <x:f>Assumptions!C38-Assumptions!C31</x:f>
        <x:v>4.430555556000002</x:v>
      </x:c>
      <x:c r="D18" s="77" t="n">
        <x:f>Assumptions!C31+C18</x:f>
        <x:v>54</x:v>
      </x:c>
      <x:c r="E18" s="77" t="n">
        <x:v>54</x:v>
      </x:c>
      <x:c r="F18" s="77" t="str">
        <x:f>IF(ABS(D18-E18)&lt;0.001,"PASS","FAIL")</x:f>
        <x:v>PASS</x:v>
      </x:c>
      <x:c r="G18" s="79" t="str">
        <x:v>deadline less baseline</x:v>
      </x:c>
      <x:c r="H18" s="58"/>
      <x:c r="I18" s="58"/>
      <x:c r="J18" s="58"/>
      <x:c r="K18" s="58"/>
      <x:c r="L18" s="58"/>
      <x:c r="M18" s="58"/>
      <x:c r="N18" s="58"/>
    </x:row>
    <x:row r="19">
      <x:c r="B19" s="77" t="str">
        <x:v>air failure probe</x:v>
      </x:c>
      <x:c r="C19" s="77" t="n">
        <x:v>6.25</x:v>
      </x:c>
      <x:c r="D19" s="77" t="n">
        <x:f>Assumptions!C20+C19</x:f>
        <x:v>54.166666667</x:v>
      </x:c>
      <x:c r="E19" s="77" t="n">
        <x:v>54</x:v>
      </x:c>
      <x:c r="F19" s="77" t="str">
        <x:f>IF(D19&gt;E19,"BOUND","FAIL")</x:f>
        <x:v>BOUND</x:v>
      </x:c>
      <x:c r="G19" s="79" t="str">
        <x:v>beyond present guarantee</x:v>
      </x:c>
      <x:c r="H19" s="58"/>
      <x:c r="I19" s="58"/>
      <x:c r="J19" s="58"/>
      <x:c r="K19" s="58"/>
      <x:c r="L19" s="58"/>
      <x:c r="M19" s="58"/>
      <x:c r="N19" s="58"/>
    </x:row>
    <x:row r="20">
      <x:c r="B20" s="80" t="str">
        <x:v>terrain failure probe</x:v>
      </x:c>
      <x:c r="C20" s="80" t="n">
        <x:v>5</x:v>
      </x:c>
      <x:c r="D20" s="80" t="n">
        <x:f>Assumptions!C31+C20</x:f>
        <x:v>54.569444444</x:v>
      </x:c>
      <x:c r="E20" s="80" t="n">
        <x:v>54</x:v>
      </x:c>
      <x:c r="F20" s="80" t="str">
        <x:f>IF(D20&gt;E20,"BOUND","FAIL")</x:f>
        <x:v>BOUND</x:v>
      </x:c>
      <x:c r="G20" s="82" t="str">
        <x:v>beyond present guarantee</x:v>
      </x:c>
      <x:c r="H20" s="58"/>
      <x:c r="I20" s="58"/>
      <x:c r="J20" s="58"/>
      <x:c r="K20" s="58"/>
      <x:c r="L20" s="58"/>
      <x:c r="M20" s="58"/>
      <x:c r="N20" s="58"/>
    </x:row>
    <x:row r="21"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</x:row>
    <x:row r="22">
      <x:c r="B22" s="58"/>
      <x:c r="C22" s="58"/>
      <x:c r="D22" s="58"/>
      <x:c r="E22" s="58"/>
      <x:c r="F22" s="58"/>
      <x:c r="G22" s="58"/>
      <x:c r="H22" s="58"/>
      <x:c r="I22" s="58"/>
      <x:c r="J22" s="58"/>
      <x:c r="K22" s="58"/>
      <x:c r="L22" s="58"/>
      <x:c r="M22" s="58"/>
      <x:c r="N22" s="58"/>
    </x:row>
    <x:row r="23">
      <x:c r="B23" s="99" t="str">
        <x:v>Interpretation</x:v>
      </x:c>
      <x:c r="C23" s="100" t="str">
        <x:v>Interpretation</x:v>
      </x:c>
      <x:c r="D23" s="100" t="str">
        <x:v>Interpretation</x:v>
      </x:c>
      <x:c r="E23" s="100" t="str">
        <x:v>Interpretation</x:v>
      </x:c>
      <x:c r="F23" s="100" t="str">
        <x:v>Interpretation</x:v>
      </x:c>
      <x:c r="G23" s="100" t="str">
        <x:v>Interpretation</x:v>
      </x:c>
      <x:c r="H23" s="100" t="str">
        <x:v>Interpretation</x:v>
      </x:c>
      <x:c r="I23" s="100" t="str">
        <x:v>Interpretation</x:v>
      </x:c>
      <x:c r="J23" s="100" t="str">
        <x:v>Interpretation</x:v>
      </x:c>
      <x:c r="K23" s="100" t="str">
        <x:v>Interpretation</x:v>
      </x:c>
      <x:c r="L23" s="100" t="str">
        <x:v>Interpretation</x:v>
      </x:c>
      <x:c r="M23" s="100" t="str">
        <x:v>Interpretation</x:v>
      </x:c>
      <x:c r="N23" s="101" t="str">
        <x:v>Interpretation</x:v>
      </x:c>
    </x:row>
    <x:row r="24">
      <x:c r="B24" s="84" t="str">
        <x:v>No probability</x:v>
      </x:c>
      <x:c r="C24" s="85" t="str">
        <x:v>Allowances do not estimate frequency or confidence. They allocate deterministic design room for a later measured distribution.</x:v>
      </x:c>
      <x:c r="D24" s="85" t="str"/>
      <x:c r="E24" s="85" t="str"/>
      <x:c r="F24" s="85" t="str"/>
      <x:c r="G24" s="85" t="str"/>
      <x:c r="H24" s="85" t="str"/>
      <x:c r="I24" s="85" t="str"/>
      <x:c r="J24" s="85" t="str"/>
      <x:c r="K24" s="85" t="str"/>
      <x:c r="L24" s="85" t="str"/>
      <x:c r="M24" s="85" t="str"/>
      <x:c r="N24" s="85" t="str"/>
    </x:row>
    <x:row r="25">
      <x:c r="B25" s="86" t="str">
        <x:v>Single-mode burden</x:v>
      </x:c>
      <x:c r="C25" s="77" t="str">
        <x:v>After a whole-mode cut, the surviving path owns its entire delay. The other mode cannot lend schedule margin.</x:v>
      </x:c>
      <x:c r="D25" s="77" t="str"/>
      <x:c r="E25" s="77" t="str"/>
      <x:c r="F25" s="77" t="str"/>
      <x:c r="G25" s="77" t="str"/>
      <x:c r="H25" s="77" t="str"/>
      <x:c r="I25" s="77" t="str"/>
      <x:c r="J25" s="77" t="str"/>
      <x:c r="K25" s="77" t="str"/>
      <x:c r="L25" s="77" t="str"/>
      <x:c r="M25" s="77" t="str"/>
      <x:c r="N25" s="77" t="str"/>
    </x:row>
    <x:row r="26">
      <x:c r="B26" s="86" t="str">
        <x:v>Queue burden</x:v>
      </x:c>
      <x:c r="C26" s="77" t="str">
        <x:v>The model assumes parallel loaders, receiver zones, assay teams and reset bays. Their queue distributions remain open.</x:v>
      </x:c>
      <x:c r="D26" s="77" t="str"/>
      <x:c r="E26" s="77" t="str"/>
      <x:c r="F26" s="77" t="str"/>
      <x:c r="G26" s="77" t="str"/>
      <x:c r="H26" s="77" t="str"/>
      <x:c r="I26" s="77" t="str"/>
      <x:c r="J26" s="77" t="str"/>
      <x:c r="K26" s="77" t="str"/>
      <x:c r="L26" s="77" t="str"/>
      <x:c r="M26" s="77" t="str"/>
      <x:c r="N26" s="77" t="str"/>
    </x:row>
    <x:row r="27">
      <x:c r="B27" s="87" t="str">
        <x:v>Admission</x:v>
      </x:c>
      <x:c r="C27" s="88" t="str">
        <x:v>A measured tail above the deterministic budget changes the force, forward posture or deadline; it cannot be averaged away.</x:v>
      </x:c>
      <x:c r="D27" s="88" t="str"/>
      <x:c r="E27" s="88" t="str"/>
      <x:c r="F27" s="88" t="str"/>
      <x:c r="G27" s="88" t="str"/>
      <x:c r="H27" s="88" t="str"/>
      <x:c r="I27" s="88" t="str"/>
      <x:c r="J27" s="88" t="str"/>
      <x:c r="K27" s="88" t="str"/>
      <x:c r="L27" s="88" t="str"/>
      <x:c r="M27" s="88" t="str"/>
      <x:c r="N27" s="88" t="str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</x:sheetData>
  <x:mergeCells>
    <x:mergeCell ref="B2:H2"/>
    <x:mergeCell ref="B3:H3"/>
    <x:mergeCell ref="B6:G6"/>
    <x:mergeCell ref="I6:N6"/>
    <x:mergeCell ref="B15:N15"/>
    <x:mergeCell ref="B23:N23"/>
  </x:mergeCells>
  <x:conditionalFormatting sqref="G8:G12">
    <x:cfRule type="containsText" dxfId="48" priority="1" operator="containsText" text="FAIL"/>
    <x:cfRule type="containsText" dxfId="49" priority="2" operator="containsText" text="PASS"/>
    <x:cfRule type="containsText" dxfId="50" priority="3" operator="containsText" text="BLOCKED"/>
    <x:cfRule type="containsText" dxfId="51" priority="4" operator="containsText" text="BOUND"/>
  </x:conditionalFormatting>
  <x:conditionalFormatting sqref="N8:N12">
    <x:cfRule type="containsText" dxfId="52" priority="5" operator="containsText" text="FAIL"/>
    <x:cfRule type="containsText" dxfId="53" priority="6" operator="containsText" text="PASS"/>
    <x:cfRule type="containsText" dxfId="54" priority="7" operator="containsText" text="BLOCKED"/>
    <x:cfRule type="containsText" dxfId="55" priority="8" operator="containsText" text="BOUND"/>
  </x:conditionalFormatting>
  <x:conditionalFormatting sqref="F17:F20">
    <x:cfRule type="containsText" dxfId="56" priority="9" operator="containsText" text="FAIL"/>
    <x:cfRule type="containsText" dxfId="57" priority="10" operator="containsText" text="PASS"/>
    <x:cfRule type="containsText" dxfId="58" priority="11" operator="containsText" text="BLOCKED"/>
    <x:cfRule type="containsText" dxfId="59" priority="12" operator="containsText" text="BOUND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38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4" hidden="0" customWidth="1"/>
    <x:col min="9" max="9" width="16" hidden="0" customWidth="1"/>
    <x:col min="10" max="10" width="14" hidden="0" customWidth="1"/>
    <x:col min="11" max="11" width="16" hidden="0" customWidth="1"/>
    <x:col min="12" max="12" width="20" hidden="0" customWidth="1"/>
    <x:col min="13" max="13" width="22" hidden="0" customWidth="1"/>
    <x:col min="14" max="14" width="17" hidden="0" customWidth="1"/>
    <x:col min="15" max="15" width="20" hidden="0" customWidth="1"/>
    <x:col min="16" max="16" width="16" hidden="0" customWidth="1"/>
    <x:col min="17" max="17" width="16" hidden="0" customWidth="1"/>
    <x:col min="18" max="18" width="13" hidden="0" customWidth="1"/>
  </x:cols>
  <x:sheetData>
    <x:row r="2">
      <x:c r="B2" s="96" t="str">
        <x:v>DCP-2R representative mission challenge lattice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  <x:c r="P2" s="58"/>
      <x:c r="Q2" s="58"/>
      <x:c r="R2" s="58"/>
    </x:row>
    <x:row r="3">
      <x:c r="B3" s="97" t="str">
        <x:v>Twenty-eight assurance worlds and four boundary probes test the selected three-air, five-terrain ESK-40 formation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97"/>
      <x:c r="P3" s="97"/>
      <x:c r="Q3" s="97"/>
      <x:c r="R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98"/>
      <x:c r="P4" s="98"/>
      <x:c r="Q4" s="98"/>
      <x:c r="R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  <x:c r="P5" s="58"/>
      <x:c r="Q5" s="58"/>
      <x:c r="R5" s="58"/>
    </x:row>
    <x:row r="6">
      <x:c r="B6" s="18" t="str">
        <x:v>World</x:v>
      </x:c>
      <x:c r="C6" s="19" t="str">
        <x:v>Inside guarantee</x:v>
      </x:c>
      <x:c r="D6" s="19" t="str">
        <x:v>Air available</x:v>
      </x:c>
      <x:c r="E6" s="19" t="str">
        <x:v>Terrain available</x:v>
      </x:c>
      <x:c r="F6" s="19" t="str">
        <x:v>Air vehicle loss</x:v>
      </x:c>
      <x:c r="G6" s="19" t="str">
        <x:v>Terrain vehicle loss</x:v>
      </x:c>
      <x:c r="H6" s="19" t="str">
        <x:v>Air tile loss</x:v>
      </x:c>
      <x:c r="I6" s="19" t="str">
        <x:v>Terrain tile loss</x:v>
      </x:c>
      <x:c r="J6" s="19" t="str">
        <x:v>Air delay h</x:v>
      </x:c>
      <x:c r="K6" s="19" t="str">
        <x:v>Terrain delay h</x:v>
      </x:c>
      <x:c r="L6" s="19" t="str">
        <x:v>Air minimum capacity</x:v>
      </x:c>
      <x:c r="M6" s="19" t="str">
        <x:v>Terrain minimum capacity</x:v>
      </x:c>
      <x:c r="N6" s="19" t="str">
        <x:v>Air service effect</x:v>
      </x:c>
      <x:c r="O6" s="19" t="str">
        <x:v>Terrain service effect</x:v>
      </x:c>
      <x:c r="P6" s="19" t="str">
        <x:v>Public effect</x:v>
      </x:c>
      <x:c r="Q6" s="19" t="str">
        <x:v>Service time h</x:v>
      </x:c>
      <x:c r="R6" s="19" t="str">
        <x:v>Result</x:v>
      </x:c>
    </x:row>
    <x:row r="7">
      <x:c r="B7" s="77" t="str">
        <x:v>W01 nominal</x:v>
      </x:c>
      <x:c r="C7" s="77" t="n">
        <x:v>1</x:v>
      </x:c>
      <x:c r="D7" s="77" t="n">
        <x:v>1</x:v>
      </x:c>
      <x:c r="E7" s="77" t="n">
        <x:v>1</x:v>
      </x:c>
      <x:c r="F7" s="77" t="n">
        <x:v>0</x:v>
      </x:c>
      <x:c r="G7" s="77" t="n">
        <x:v>0</x:v>
      </x:c>
      <x:c r="H7" s="77" t="n">
        <x:v>0</x:v>
      </x:c>
      <x:c r="I7" s="77" t="n">
        <x:v>0</x:v>
      </x:c>
      <x:c r="J7" s="77" t="n">
        <x:v>0</x:v>
      </x:c>
      <x:c r="K7" s="77" t="n">
        <x:v>0</x:v>
      </x:c>
      <x:c r="L7" s="77" t="n">
        <x:f>IF(AND(D7=1,Assumptions!C15-F7&gt;=2),(8-H7)*Assumptions!C12,0)</x:f>
        <x:v>114.285714288</x:v>
      </x:c>
      <x:c r="M7" s="77" t="n">
        <x:f>IF(AND(E7=1,Assumptions!C26-G7&gt;=4),(8-I7)*Assumptions!C12,0)</x:f>
        <x:v>114.285714288</x:v>
      </x:c>
      <x:c r="N7" s="77" t="n">
        <x:f>IF(L7&gt;=Assumptions!C13,1,0)</x:f>
        <x:v>1</x:v>
      </x:c>
      <x:c r="O7" s="77" t="n">
        <x:f>IF(M7&gt;=Assumptions!C13,1,0)</x:f>
        <x:v>1</x:v>
      </x:c>
      <x:c r="P7" s="77" t="n">
        <x:f>IF(OR(N7=1,O7=1),1,0)</x:f>
        <x:v>1</x:v>
      </x:c>
      <x:c r="Q7" s="77" t="n">
        <x:f>IF(AND(N7=1,O7=1),MIN(Assumptions!C20+J7,Assumptions!C31+K7),IF(N7=1,Assumptions!C20+J7,IF(O7=1,Assumptions!C31+K7,999)))</x:f>
        <x:v>47.916666667</x:v>
      </x:c>
      <x:c r="R7" s="79" t="str">
        <x:f>IF(C7=1,IF(AND(P7=1,Q7&lt;=Assumptions!C38),"PASS","FAIL"),"BOUND")</x:f>
        <x:v>PASS</x:v>
      </x:c>
    </x:row>
    <x:row r="8">
      <x:c r="B8" s="77" t="str">
        <x:v>W02 air-mode cut</x:v>
      </x:c>
      <x:c r="C8" s="77" t="n">
        <x:v>1</x:v>
      </x:c>
      <x:c r="D8" s="77" t="n">
        <x:v>0</x:v>
      </x:c>
      <x:c r="E8" s="77" t="n">
        <x:v>1</x:v>
      </x:c>
      <x:c r="F8" s="77" t="n">
        <x:v>0</x:v>
      </x:c>
      <x:c r="G8" s="77" t="n">
        <x:v>0</x:v>
      </x:c>
      <x:c r="H8" s="77" t="n">
        <x:v>0</x:v>
      </x:c>
      <x:c r="I8" s="77" t="n">
        <x:v>0</x:v>
      </x:c>
      <x:c r="J8" s="77" t="n">
        <x:v>0</x:v>
      </x:c>
      <x:c r="K8" s="77" t="n">
        <x:v>0</x:v>
      </x:c>
      <x:c r="L8" s="77" t="n">
        <x:f>IF(AND(D8=1,Assumptions!C15-F8&gt;=2),(8-H8)*Assumptions!C12,0)</x:f>
        <x:v>0</x:v>
      </x:c>
      <x:c r="M8" s="77" t="n">
        <x:f>IF(AND(E8=1,Assumptions!C26-G8&gt;=4),(8-I8)*Assumptions!C12,0)</x:f>
        <x:v>114.285714288</x:v>
      </x:c>
      <x:c r="N8" s="77" t="n">
        <x:f>IF(L8&gt;=Assumptions!C13,1,0)</x:f>
        <x:v>0</x:v>
      </x:c>
      <x:c r="O8" s="77" t="n">
        <x:f>IF(M8&gt;=Assumptions!C13,1,0)</x:f>
        <x:v>1</x:v>
      </x:c>
      <x:c r="P8" s="77" t="n">
        <x:f>IF(OR(N8=1,O8=1),1,0)</x:f>
        <x:v>1</x:v>
      </x:c>
      <x:c r="Q8" s="77" t="n">
        <x:f>IF(AND(N8=1,O8=1),MIN(Assumptions!C20+J8,Assumptions!C31+K8),IF(N8=1,Assumptions!C20+J8,IF(O8=1,Assumptions!C31+K8,999)))</x:f>
        <x:v>49.569444444</x:v>
      </x:c>
      <x:c r="R8" s="79" t="str">
        <x:f>IF(C8=1,IF(AND(P8=1,Q8&lt;=Assumptions!C38),"PASS","FAIL"),"BOUND")</x:f>
        <x:v>PASS</x:v>
      </x:c>
    </x:row>
    <x:row r="9">
      <x:c r="B9" s="77" t="str">
        <x:v>W03 terrain-mode cut</x:v>
      </x:c>
      <x:c r="C9" s="77" t="n">
        <x:v>1</x:v>
      </x:c>
      <x:c r="D9" s="77" t="n">
        <x:v>1</x:v>
      </x:c>
      <x:c r="E9" s="77" t="n">
        <x:v>0</x:v>
      </x:c>
      <x:c r="F9" s="77" t="n">
        <x:v>0</x:v>
      </x:c>
      <x:c r="G9" s="77" t="n">
        <x:v>0</x:v>
      </x:c>
      <x:c r="H9" s="77" t="n">
        <x:v>0</x:v>
      </x:c>
      <x:c r="I9" s="77" t="n">
        <x:v>0</x:v>
      </x:c>
      <x:c r="J9" s="77" t="n">
        <x:v>0</x:v>
      </x:c>
      <x:c r="K9" s="77" t="n">
        <x:v>0</x:v>
      </x:c>
      <x:c r="L9" s="77" t="n">
        <x:f>IF(AND(D9=1,Assumptions!C15-F9&gt;=2),(8-H9)*Assumptions!C12,0)</x:f>
        <x:v>114.285714288</x:v>
      </x:c>
      <x:c r="M9" s="77" t="n">
        <x:f>IF(AND(E9=1,Assumptions!C26-G9&gt;=4),(8-I9)*Assumptions!C12,0)</x:f>
        <x:v>0</x:v>
      </x:c>
      <x:c r="N9" s="77" t="n">
        <x:f>IF(L9&gt;=Assumptions!C13,1,0)</x:f>
        <x:v>1</x:v>
      </x:c>
      <x:c r="O9" s="77" t="n">
        <x:f>IF(M9&gt;=Assumptions!C13,1,0)</x:f>
        <x:v>0</x:v>
      </x:c>
      <x:c r="P9" s="77" t="n">
        <x:f>IF(OR(N9=1,O9=1),1,0)</x:f>
        <x:v>1</x:v>
      </x:c>
      <x:c r="Q9" s="77" t="n">
        <x:f>IF(AND(N9=1,O9=1),MIN(Assumptions!C20+J9,Assumptions!C31+K9),IF(N9=1,Assumptions!C20+J9,IF(O9=1,Assumptions!C31+K9,999)))</x:f>
        <x:v>47.916666667</x:v>
      </x:c>
      <x:c r="R9" s="79" t="str">
        <x:f>IF(C9=1,IF(AND(P9=1,Q9&lt;=Assumptions!C38),"PASS","FAIL"),"BOUND")</x:f>
        <x:v>PASS</x:v>
      </x:c>
    </x:row>
    <x:row r="10">
      <x:c r="B10" s="77" t="str">
        <x:v>W04 air vehicle</x:v>
      </x:c>
      <x:c r="C10" s="77" t="n">
        <x:v>1</x:v>
      </x:c>
      <x:c r="D10" s="77" t="n">
        <x:v>1</x:v>
      </x:c>
      <x:c r="E10" s="77" t="n">
        <x:v>1</x:v>
      </x:c>
      <x:c r="F10" s="77" t="n">
        <x:v>1</x:v>
      </x:c>
      <x:c r="G10" s="77" t="n">
        <x:v>0</x:v>
      </x:c>
      <x:c r="H10" s="77" t="n">
        <x:v>0</x:v>
      </x:c>
      <x:c r="I10" s="77" t="n">
        <x:v>0</x:v>
      </x:c>
      <x:c r="J10" s="77" t="n">
        <x:v>0</x:v>
      </x:c>
      <x:c r="K10" s="77" t="n">
        <x:v>0</x:v>
      </x:c>
      <x:c r="L10" s="77" t="n">
        <x:f>IF(AND(D10=1,Assumptions!C15-F10&gt;=2),(8-H10)*Assumptions!C12,0)</x:f>
        <x:v>114.285714288</x:v>
      </x:c>
      <x:c r="M10" s="77" t="n">
        <x:f>IF(AND(E10=1,Assumptions!C26-G10&gt;=4),(8-I10)*Assumptions!C12,0)</x:f>
        <x:v>114.285714288</x:v>
      </x:c>
      <x:c r="N10" s="77" t="n">
        <x:f>IF(L10&gt;=Assumptions!C13,1,0)</x:f>
        <x:v>1</x:v>
      </x:c>
      <x:c r="O10" s="77" t="n">
        <x:f>IF(M10&gt;=Assumptions!C13,1,0)</x:f>
        <x:v>1</x:v>
      </x:c>
      <x:c r="P10" s="77" t="n">
        <x:f>IF(OR(N10=1,O10=1),1,0)</x:f>
        <x:v>1</x:v>
      </x:c>
      <x:c r="Q10" s="77" t="n">
        <x:f>IF(AND(N10=1,O10=1),MIN(Assumptions!C20+J10,Assumptions!C31+K10),IF(N10=1,Assumptions!C20+J10,IF(O10=1,Assumptions!C31+K10,999)))</x:f>
        <x:v>47.916666667</x:v>
      </x:c>
      <x:c r="R10" s="79" t="str">
        <x:f>IF(C10=1,IF(AND(P10=1,Q10&lt;=Assumptions!C38),"PASS","FAIL"),"BOUND")</x:f>
        <x:v>PASS</x:v>
      </x:c>
    </x:row>
    <x:row r="11">
      <x:c r="B11" s="77" t="str">
        <x:v>W05 terrain vehicle</x:v>
      </x:c>
      <x:c r="C11" s="77" t="n">
        <x:v>1</x:v>
      </x:c>
      <x:c r="D11" s="77" t="n">
        <x:v>1</x:v>
      </x:c>
      <x:c r="E11" s="77" t="n">
        <x:v>1</x:v>
      </x:c>
      <x:c r="F11" s="77" t="n">
        <x:v>0</x:v>
      </x:c>
      <x:c r="G11" s="77" t="n">
        <x:v>1</x:v>
      </x:c>
      <x:c r="H11" s="77" t="n">
        <x:v>0</x:v>
      </x:c>
      <x:c r="I11" s="77" t="n">
        <x:v>0</x:v>
      </x:c>
      <x:c r="J11" s="77" t="n">
        <x:v>0</x:v>
      </x:c>
      <x:c r="K11" s="77" t="n">
        <x:v>0</x:v>
      </x:c>
      <x:c r="L11" s="77" t="n">
        <x:f>IF(AND(D11=1,Assumptions!C15-F11&gt;=2),(8-H11)*Assumptions!C12,0)</x:f>
        <x:v>114.285714288</x:v>
      </x:c>
      <x:c r="M11" s="77" t="n">
        <x:f>IF(AND(E11=1,Assumptions!C26-G11&gt;=4),(8-I11)*Assumptions!C12,0)</x:f>
        <x:v>114.285714288</x:v>
      </x:c>
      <x:c r="N11" s="77" t="n">
        <x:f>IF(L11&gt;=Assumptions!C13,1,0)</x:f>
        <x:v>1</x:v>
      </x:c>
      <x:c r="O11" s="77" t="n">
        <x:f>IF(M11&gt;=Assumptions!C13,1,0)</x:f>
        <x:v>1</x:v>
      </x:c>
      <x:c r="P11" s="77" t="n">
        <x:f>IF(OR(N11=1,O11=1),1,0)</x:f>
        <x:v>1</x:v>
      </x:c>
      <x:c r="Q11" s="77" t="n">
        <x:f>IF(AND(N11=1,O11=1),MIN(Assumptions!C20+J11,Assumptions!C31+K11),IF(N11=1,Assumptions!C20+J11,IF(O11=1,Assumptions!C31+K11,999)))</x:f>
        <x:v>47.916666667</x:v>
      </x:c>
      <x:c r="R11" s="79" t="str">
        <x:f>IF(C11=1,IF(AND(P11=1,Q11&lt;=Assumptions!C38),"PASS","FAIL"),"BOUND")</x:f>
        <x:v>PASS</x:v>
      </x:c>
    </x:row>
    <x:row r="12">
      <x:c r="B12" s="77" t="str">
        <x:v>W06 one vehicle each</x:v>
      </x:c>
      <x:c r="C12" s="77" t="n">
        <x:v>1</x:v>
      </x:c>
      <x:c r="D12" s="77" t="n">
        <x:v>1</x:v>
      </x:c>
      <x:c r="E12" s="77" t="n">
        <x:v>1</x:v>
      </x:c>
      <x:c r="F12" s="77" t="n">
        <x:v>1</x:v>
      </x:c>
      <x:c r="G12" s="77" t="n">
        <x:v>1</x:v>
      </x:c>
      <x:c r="H12" s="77" t="n">
        <x:v>0</x:v>
      </x:c>
      <x:c r="I12" s="77" t="n">
        <x:v>0</x:v>
      </x:c>
      <x:c r="J12" s="77" t="n">
        <x:v>0</x:v>
      </x:c>
      <x:c r="K12" s="77" t="n">
        <x:v>0</x:v>
      </x:c>
      <x:c r="L12" s="77" t="n">
        <x:f>IF(AND(D12=1,Assumptions!C15-F12&gt;=2),(8-H12)*Assumptions!C12,0)</x:f>
        <x:v>114.285714288</x:v>
      </x:c>
      <x:c r="M12" s="77" t="n">
        <x:f>IF(AND(E12=1,Assumptions!C26-G12&gt;=4),(8-I12)*Assumptions!C12,0)</x:f>
        <x:v>114.285714288</x:v>
      </x:c>
      <x:c r="N12" s="77" t="n">
        <x:f>IF(L12&gt;=Assumptions!C13,1,0)</x:f>
        <x:v>1</x:v>
      </x:c>
      <x:c r="O12" s="77" t="n">
        <x:f>IF(M12&gt;=Assumptions!C13,1,0)</x:f>
        <x:v>1</x:v>
      </x:c>
      <x:c r="P12" s="77" t="n">
        <x:f>IF(OR(N12=1,O12=1),1,0)</x:f>
        <x:v>1</x:v>
      </x:c>
      <x:c r="Q12" s="77" t="n">
        <x:f>IF(AND(N12=1,O12=1),MIN(Assumptions!C20+J12,Assumptions!C31+K12),IF(N12=1,Assumptions!C20+J12,IF(O12=1,Assumptions!C31+K12,999)))</x:f>
        <x:v>47.916666667</x:v>
      </x:c>
      <x:c r="R12" s="79" t="str">
        <x:f>IF(C12=1,IF(AND(P12=1,Q12&lt;=Assumptions!C38),"PASS","FAIL"),"BOUND")</x:f>
        <x:v>PASS</x:v>
      </x:c>
    </x:row>
    <x:row r="13">
      <x:c r="B13" s="77" t="str">
        <x:v>W07 air tile</x:v>
      </x:c>
      <x:c r="C13" s="77" t="n">
        <x:v>1</x:v>
      </x:c>
      <x:c r="D13" s="77" t="n">
        <x:v>1</x:v>
      </x:c>
      <x:c r="E13" s="77" t="n">
        <x:v>1</x:v>
      </x:c>
      <x:c r="F13" s="77" t="n">
        <x:v>0</x:v>
      </x:c>
      <x:c r="G13" s="77" t="n">
        <x:v>0</x:v>
      </x:c>
      <x:c r="H13" s="77" t="n">
        <x:v>1</x:v>
      </x:c>
      <x:c r="I13" s="77" t="n">
        <x:v>0</x:v>
      </x:c>
      <x:c r="J13" s="77" t="n">
        <x:v>0</x:v>
      </x:c>
      <x:c r="K13" s="77" t="n">
        <x:v>0</x:v>
      </x:c>
      <x:c r="L13" s="77" t="n">
        <x:f>IF(AND(D13=1,Assumptions!C15-F13&gt;=2),(8-H13)*Assumptions!C12,0)</x:f>
        <x:v>100.000000002</x:v>
      </x:c>
      <x:c r="M13" s="77" t="n">
        <x:f>IF(AND(E13=1,Assumptions!C26-G13&gt;=4),(8-I13)*Assumptions!C12,0)</x:f>
        <x:v>114.285714288</x:v>
      </x:c>
      <x:c r="N13" s="77" t="n">
        <x:f>IF(L13&gt;=Assumptions!C13,1,0)</x:f>
        <x:v>1</x:v>
      </x:c>
      <x:c r="O13" s="77" t="n">
        <x:f>IF(M13&gt;=Assumptions!C13,1,0)</x:f>
        <x:v>1</x:v>
      </x:c>
      <x:c r="P13" s="77" t="n">
        <x:f>IF(OR(N13=1,O13=1),1,0)</x:f>
        <x:v>1</x:v>
      </x:c>
      <x:c r="Q13" s="77" t="n">
        <x:f>IF(AND(N13=1,O13=1),MIN(Assumptions!C20+J13,Assumptions!C31+K13),IF(N13=1,Assumptions!C20+J13,IF(O13=1,Assumptions!C31+K13,999)))</x:f>
        <x:v>47.916666667</x:v>
      </x:c>
      <x:c r="R13" s="79" t="str">
        <x:f>IF(C13=1,IF(AND(P13=1,Q13&lt;=Assumptions!C38),"PASS","FAIL"),"BOUND")</x:f>
        <x:v>PASS</x:v>
      </x:c>
    </x:row>
    <x:row r="14">
      <x:c r="B14" s="77" t="str">
        <x:v>W08 terrain tile</x:v>
      </x:c>
      <x:c r="C14" s="77" t="n">
        <x:v>1</x:v>
      </x:c>
      <x:c r="D14" s="77" t="n">
        <x:v>1</x:v>
      </x:c>
      <x:c r="E14" s="77" t="n">
        <x:v>1</x:v>
      </x:c>
      <x:c r="F14" s="77" t="n">
        <x:v>0</x:v>
      </x:c>
      <x:c r="G14" s="77" t="n">
        <x:v>0</x:v>
      </x:c>
      <x:c r="H14" s="77" t="n">
        <x:v>0</x:v>
      </x:c>
      <x:c r="I14" s="77" t="n">
        <x:v>1</x:v>
      </x:c>
      <x:c r="J14" s="77" t="n">
        <x:v>0</x:v>
      </x:c>
      <x:c r="K14" s="77" t="n">
        <x:v>0</x:v>
      </x:c>
      <x:c r="L14" s="77" t="n">
        <x:f>IF(AND(D14=1,Assumptions!C15-F14&gt;=2),(8-H14)*Assumptions!C12,0)</x:f>
        <x:v>114.285714288</x:v>
      </x:c>
      <x:c r="M14" s="77" t="n">
        <x:f>IF(AND(E14=1,Assumptions!C26-G14&gt;=4),(8-I14)*Assumptions!C12,0)</x:f>
        <x:v>100.000000002</x:v>
      </x:c>
      <x:c r="N14" s="77" t="n">
        <x:f>IF(L14&gt;=Assumptions!C13,1,0)</x:f>
        <x:v>1</x:v>
      </x:c>
      <x:c r="O14" s="77" t="n">
        <x:f>IF(M14&gt;=Assumptions!C13,1,0)</x:f>
        <x:v>1</x:v>
      </x:c>
      <x:c r="P14" s="77" t="n">
        <x:f>IF(OR(N14=1,O14=1),1,0)</x:f>
        <x:v>1</x:v>
      </x:c>
      <x:c r="Q14" s="77" t="n">
        <x:f>IF(AND(N14=1,O14=1),MIN(Assumptions!C20+J14,Assumptions!C31+K14),IF(N14=1,Assumptions!C20+J14,IF(O14=1,Assumptions!C31+K14,999)))</x:f>
        <x:v>47.916666667</x:v>
      </x:c>
      <x:c r="R14" s="79" t="str">
        <x:f>IF(C14=1,IF(AND(P14=1,Q14&lt;=Assumptions!C38),"PASS","FAIL"),"BOUND")</x:f>
        <x:v>PASS</x:v>
      </x:c>
    </x:row>
    <x:row r="15">
      <x:c r="B15" s="77" t="str">
        <x:v>W09 air vehicle + tile</x:v>
      </x:c>
      <x:c r="C15" s="77" t="n">
        <x:v>1</x:v>
      </x:c>
      <x:c r="D15" s="77" t="n">
        <x:v>1</x:v>
      </x:c>
      <x:c r="E15" s="77" t="n">
        <x:v>1</x:v>
      </x:c>
      <x:c r="F15" s="77" t="n">
        <x:v>1</x:v>
      </x:c>
      <x:c r="G15" s="77" t="n">
        <x:v>0</x:v>
      </x:c>
      <x:c r="H15" s="77" t="n">
        <x:v>1</x:v>
      </x:c>
      <x:c r="I15" s="77" t="n">
        <x:v>0</x:v>
      </x:c>
      <x:c r="J15" s="77" t="n">
        <x:v>0</x:v>
      </x:c>
      <x:c r="K15" s="77" t="n">
        <x:v>0</x:v>
      </x:c>
      <x:c r="L15" s="77" t="n">
        <x:f>IF(AND(D15=1,Assumptions!C15-F15&gt;=2),(8-H15)*Assumptions!C12,0)</x:f>
        <x:v>100.000000002</x:v>
      </x:c>
      <x:c r="M15" s="77" t="n">
        <x:f>IF(AND(E15=1,Assumptions!C26-G15&gt;=4),(8-I15)*Assumptions!C12,0)</x:f>
        <x:v>114.285714288</x:v>
      </x:c>
      <x:c r="N15" s="77" t="n">
        <x:f>IF(L15&gt;=Assumptions!C13,1,0)</x:f>
        <x:v>1</x:v>
      </x:c>
      <x:c r="O15" s="77" t="n">
        <x:f>IF(M15&gt;=Assumptions!C13,1,0)</x:f>
        <x:v>1</x:v>
      </x:c>
      <x:c r="P15" s="77" t="n">
        <x:f>IF(OR(N15=1,O15=1),1,0)</x:f>
        <x:v>1</x:v>
      </x:c>
      <x:c r="Q15" s="77" t="n">
        <x:f>IF(AND(N15=1,O15=1),MIN(Assumptions!C20+J15,Assumptions!C31+K15),IF(N15=1,Assumptions!C20+J15,IF(O15=1,Assumptions!C31+K15,999)))</x:f>
        <x:v>47.916666667</x:v>
      </x:c>
      <x:c r="R15" s="79" t="str">
        <x:f>IF(C15=1,IF(AND(P15=1,Q15&lt;=Assumptions!C38),"PASS","FAIL"),"BOUND")</x:f>
        <x:v>PASS</x:v>
      </x:c>
    </x:row>
    <x:row r="16">
      <x:c r="B16" s="77" t="str">
        <x:v>W10 terrain vehicle + tile</x:v>
      </x:c>
      <x:c r="C16" s="77" t="n">
        <x:v>1</x:v>
      </x:c>
      <x:c r="D16" s="77" t="n">
        <x:v>1</x:v>
      </x:c>
      <x:c r="E16" s="77" t="n">
        <x:v>1</x:v>
      </x:c>
      <x:c r="F16" s="77" t="n">
        <x:v>0</x:v>
      </x:c>
      <x:c r="G16" s="77" t="n">
        <x:v>1</x:v>
      </x:c>
      <x:c r="H16" s="77" t="n">
        <x:v>0</x:v>
      </x:c>
      <x:c r="I16" s="77" t="n">
        <x:v>1</x:v>
      </x:c>
      <x:c r="J16" s="77" t="n">
        <x:v>0</x:v>
      </x:c>
      <x:c r="K16" s="77" t="n">
        <x:v>0</x:v>
      </x:c>
      <x:c r="L16" s="77" t="n">
        <x:f>IF(AND(D16=1,Assumptions!C15-F16&gt;=2),(8-H16)*Assumptions!C12,0)</x:f>
        <x:v>114.285714288</x:v>
      </x:c>
      <x:c r="M16" s="77" t="n">
        <x:f>IF(AND(E16=1,Assumptions!C26-G16&gt;=4),(8-I16)*Assumptions!C12,0)</x:f>
        <x:v>100.000000002</x:v>
      </x:c>
      <x:c r="N16" s="77" t="n">
        <x:f>IF(L16&gt;=Assumptions!C13,1,0)</x:f>
        <x:v>1</x:v>
      </x:c>
      <x:c r="O16" s="77" t="n">
        <x:f>IF(M16&gt;=Assumptions!C13,1,0)</x:f>
        <x:v>1</x:v>
      </x:c>
      <x:c r="P16" s="77" t="n">
        <x:f>IF(OR(N16=1,O16=1),1,0)</x:f>
        <x:v>1</x:v>
      </x:c>
      <x:c r="Q16" s="77" t="n">
        <x:f>IF(AND(N16=1,O16=1),MIN(Assumptions!C20+J16,Assumptions!C31+K16),IF(N16=1,Assumptions!C20+J16,IF(O16=1,Assumptions!C31+K16,999)))</x:f>
        <x:v>47.916666667</x:v>
      </x:c>
      <x:c r="R16" s="79" t="str">
        <x:f>IF(C16=1,IF(AND(P16=1,Q16&lt;=Assumptions!C38),"PASS","FAIL"),"BOUND")</x:f>
        <x:v>PASS</x:v>
      </x:c>
    </x:row>
    <x:row r="17">
      <x:c r="B17" s="77" t="str">
        <x:v>W11 air cut + terrain vehicle</x:v>
      </x:c>
      <x:c r="C17" s="77" t="n">
        <x:v>1</x:v>
      </x:c>
      <x:c r="D17" s="77" t="n">
        <x:v>0</x:v>
      </x:c>
      <x:c r="E17" s="77" t="n">
        <x:v>1</x:v>
      </x:c>
      <x:c r="F17" s="77" t="n">
        <x:v>0</x:v>
      </x:c>
      <x:c r="G17" s="77" t="n">
        <x:v>1</x:v>
      </x:c>
      <x:c r="H17" s="77" t="n">
        <x:v>0</x:v>
      </x:c>
      <x:c r="I17" s="77" t="n">
        <x:v>0</x:v>
      </x:c>
      <x:c r="J17" s="77" t="n">
        <x:v>0</x:v>
      </x:c>
      <x:c r="K17" s="77" t="n">
        <x:v>0</x:v>
      </x:c>
      <x:c r="L17" s="77" t="n">
        <x:f>IF(AND(D17=1,Assumptions!C15-F17&gt;=2),(8-H17)*Assumptions!C12,0)</x:f>
        <x:v>0</x:v>
      </x:c>
      <x:c r="M17" s="77" t="n">
        <x:f>IF(AND(E17=1,Assumptions!C26-G17&gt;=4),(8-I17)*Assumptions!C12,0)</x:f>
        <x:v>114.285714288</x:v>
      </x:c>
      <x:c r="N17" s="77" t="n">
        <x:f>IF(L17&gt;=Assumptions!C13,1,0)</x:f>
        <x:v>0</x:v>
      </x:c>
      <x:c r="O17" s="77" t="n">
        <x:f>IF(M17&gt;=Assumptions!C13,1,0)</x:f>
        <x:v>1</x:v>
      </x:c>
      <x:c r="P17" s="77" t="n">
        <x:f>IF(OR(N17=1,O17=1),1,0)</x:f>
        <x:v>1</x:v>
      </x:c>
      <x:c r="Q17" s="77" t="n">
        <x:f>IF(AND(N17=1,O17=1),MIN(Assumptions!C20+J17,Assumptions!C31+K17),IF(N17=1,Assumptions!C20+J17,IF(O17=1,Assumptions!C31+K17,999)))</x:f>
        <x:v>49.569444444</x:v>
      </x:c>
      <x:c r="R17" s="79" t="str">
        <x:f>IF(C17=1,IF(AND(P17=1,Q17&lt;=Assumptions!C38),"PASS","FAIL"),"BOUND")</x:f>
        <x:v>PASS</x:v>
      </x:c>
    </x:row>
    <x:row r="18">
      <x:c r="B18" s="77" t="str">
        <x:v>W12 terrain cut + air vehicle</x:v>
      </x:c>
      <x:c r="C18" s="77" t="n">
        <x:v>1</x:v>
      </x:c>
      <x:c r="D18" s="77" t="n">
        <x:v>1</x:v>
      </x:c>
      <x:c r="E18" s="77" t="n">
        <x:v>0</x:v>
      </x:c>
      <x:c r="F18" s="77" t="n">
        <x:v>1</x:v>
      </x:c>
      <x:c r="G18" s="77" t="n">
        <x:v>0</x:v>
      </x:c>
      <x:c r="H18" s="77" t="n">
        <x:v>0</x:v>
      </x:c>
      <x:c r="I18" s="77" t="n">
        <x:v>0</x:v>
      </x:c>
      <x:c r="J18" s="77" t="n">
        <x:v>0</x:v>
      </x:c>
      <x:c r="K18" s="77" t="n">
        <x:v>0</x:v>
      </x:c>
      <x:c r="L18" s="77" t="n">
        <x:f>IF(AND(D18=1,Assumptions!C15-F18&gt;=2),(8-H18)*Assumptions!C12,0)</x:f>
        <x:v>114.285714288</x:v>
      </x:c>
      <x:c r="M18" s="77" t="n">
        <x:f>IF(AND(E18=1,Assumptions!C26-G18&gt;=4),(8-I18)*Assumptions!C12,0)</x:f>
        <x:v>0</x:v>
      </x:c>
      <x:c r="N18" s="77" t="n">
        <x:f>IF(L18&gt;=Assumptions!C13,1,0)</x:f>
        <x:v>1</x:v>
      </x:c>
      <x:c r="O18" s="77" t="n">
        <x:f>IF(M18&gt;=Assumptions!C13,1,0)</x:f>
        <x:v>0</x:v>
      </x:c>
      <x:c r="P18" s="77" t="n">
        <x:f>IF(OR(N18=1,O18=1),1,0)</x:f>
        <x:v>1</x:v>
      </x:c>
      <x:c r="Q18" s="77" t="n">
        <x:f>IF(AND(N18=1,O18=1),MIN(Assumptions!C20+J18,Assumptions!C31+K18),IF(N18=1,Assumptions!C20+J18,IF(O18=1,Assumptions!C31+K18,999)))</x:f>
        <x:v>47.916666667</x:v>
      </x:c>
      <x:c r="R18" s="79" t="str">
        <x:f>IF(C18=1,IF(AND(P18=1,Q18&lt;=Assumptions!C38),"PASS","FAIL"),"BOUND")</x:f>
        <x:v>PASS</x:v>
      </x:c>
    </x:row>
    <x:row r="19">
      <x:c r="B19" s="77" t="str">
        <x:v>W13 air cut + terrain compound</x:v>
      </x:c>
      <x:c r="C19" s="77" t="n">
        <x:v>1</x:v>
      </x:c>
      <x:c r="D19" s="77" t="n">
        <x:v>0</x:v>
      </x:c>
      <x:c r="E19" s="77" t="n">
        <x:v>1</x:v>
      </x:c>
      <x:c r="F19" s="77" t="n">
        <x:v>0</x:v>
      </x:c>
      <x:c r="G19" s="77" t="n">
        <x:v>1</x:v>
      </x:c>
      <x:c r="H19" s="77" t="n">
        <x:v>0</x:v>
      </x:c>
      <x:c r="I19" s="77" t="n">
        <x:v>1</x:v>
      </x:c>
      <x:c r="J19" s="77" t="n">
        <x:v>0</x:v>
      </x:c>
      <x:c r="K19" s="77" t="n">
        <x:v>0</x:v>
      </x:c>
      <x:c r="L19" s="77" t="n">
        <x:f>IF(AND(D19=1,Assumptions!C15-F19&gt;=2),(8-H19)*Assumptions!C12,0)</x:f>
        <x:v>0</x:v>
      </x:c>
      <x:c r="M19" s="77" t="n">
        <x:f>IF(AND(E19=1,Assumptions!C26-G19&gt;=4),(8-I19)*Assumptions!C12,0)</x:f>
        <x:v>100.000000002</x:v>
      </x:c>
      <x:c r="N19" s="77" t="n">
        <x:f>IF(L19&gt;=Assumptions!C13,1,0)</x:f>
        <x:v>0</x:v>
      </x:c>
      <x:c r="O19" s="77" t="n">
        <x:f>IF(M19&gt;=Assumptions!C13,1,0)</x:f>
        <x:v>1</x:v>
      </x:c>
      <x:c r="P19" s="77" t="n">
        <x:f>IF(OR(N19=1,O19=1),1,0)</x:f>
        <x:v>1</x:v>
      </x:c>
      <x:c r="Q19" s="77" t="n">
        <x:f>IF(AND(N19=1,O19=1),MIN(Assumptions!C20+J19,Assumptions!C31+K19),IF(N19=1,Assumptions!C20+J19,IF(O19=1,Assumptions!C31+K19,999)))</x:f>
        <x:v>49.569444444</x:v>
      </x:c>
      <x:c r="R19" s="79" t="str">
        <x:f>IF(C19=1,IF(AND(P19=1,Q19&lt;=Assumptions!C38),"PASS","FAIL"),"BOUND")</x:f>
        <x:v>PASS</x:v>
      </x:c>
    </x:row>
    <x:row r="20">
      <x:c r="B20" s="77" t="str">
        <x:v>W14 terrain cut + air compound</x:v>
      </x:c>
      <x:c r="C20" s="77" t="n">
        <x:v>1</x:v>
      </x:c>
      <x:c r="D20" s="77" t="n">
        <x:v>1</x:v>
      </x:c>
      <x:c r="E20" s="77" t="n">
        <x:v>0</x:v>
      </x:c>
      <x:c r="F20" s="77" t="n">
        <x:v>1</x:v>
      </x:c>
      <x:c r="G20" s="77" t="n">
        <x:v>0</x:v>
      </x:c>
      <x:c r="H20" s="77" t="n">
        <x:v>1</x:v>
      </x:c>
      <x:c r="I20" s="77" t="n">
        <x:v>0</x:v>
      </x:c>
      <x:c r="J20" s="77" t="n">
        <x:v>0</x:v>
      </x:c>
      <x:c r="K20" s="77" t="n">
        <x:v>0</x:v>
      </x:c>
      <x:c r="L20" s="77" t="n">
        <x:f>IF(AND(D20=1,Assumptions!C15-F20&gt;=2),(8-H20)*Assumptions!C12,0)</x:f>
        <x:v>100.000000002</x:v>
      </x:c>
      <x:c r="M20" s="77" t="n">
        <x:f>IF(AND(E20=1,Assumptions!C26-G20&gt;=4),(8-I20)*Assumptions!C12,0)</x:f>
        <x:v>0</x:v>
      </x:c>
      <x:c r="N20" s="77" t="n">
        <x:f>IF(L20&gt;=Assumptions!C13,1,0)</x:f>
        <x:v>1</x:v>
      </x:c>
      <x:c r="O20" s="77" t="n">
        <x:f>IF(M20&gt;=Assumptions!C13,1,0)</x:f>
        <x:v>0</x:v>
      </x:c>
      <x:c r="P20" s="77" t="n">
        <x:f>IF(OR(N20=1,O20=1),1,0)</x:f>
        <x:v>1</x:v>
      </x:c>
      <x:c r="Q20" s="77" t="n">
        <x:f>IF(AND(N20=1,O20=1),MIN(Assumptions!C20+J20,Assumptions!C31+K20),IF(N20=1,Assumptions!C20+J20,IF(O20=1,Assumptions!C31+K20,999)))</x:f>
        <x:v>47.916666667</x:v>
      </x:c>
      <x:c r="R20" s="79" t="str">
        <x:f>IF(C20=1,IF(AND(P20=1,Q20&lt;=Assumptions!C38),"PASS","FAIL"),"BOUND")</x:f>
        <x:v>PASS</x:v>
      </x:c>
    </x:row>
    <x:row r="21">
      <x:c r="B21" s="77" t="str">
        <x:v>W15 air-origin cut</x:v>
      </x:c>
      <x:c r="C21" s="77" t="n">
        <x:v>1</x:v>
      </x:c>
      <x:c r="D21" s="77" t="n">
        <x:v>0</x:v>
      </x:c>
      <x:c r="E21" s="77" t="n">
        <x:v>1</x:v>
      </x:c>
      <x:c r="F21" s="77" t="n">
        <x:v>0</x:v>
      </x:c>
      <x:c r="G21" s="77" t="n">
        <x:v>0</x:v>
      </x:c>
      <x:c r="H21" s="77" t="n">
        <x:v>0</x:v>
      </x:c>
      <x:c r="I21" s="77" t="n">
        <x:v>0</x:v>
      </x:c>
      <x:c r="J21" s="77" t="n">
        <x:v>0</x:v>
      </x:c>
      <x:c r="K21" s="77" t="n">
        <x:v>0</x:v>
      </x:c>
      <x:c r="L21" s="77" t="n">
        <x:f>IF(AND(D21=1,Assumptions!C15-F21&gt;=2),(8-H21)*Assumptions!C12,0)</x:f>
        <x:v>0</x:v>
      </x:c>
      <x:c r="M21" s="77" t="n">
        <x:f>IF(AND(E21=1,Assumptions!C26-G21&gt;=4),(8-I21)*Assumptions!C12,0)</x:f>
        <x:v>114.285714288</x:v>
      </x:c>
      <x:c r="N21" s="77" t="n">
        <x:f>IF(L21&gt;=Assumptions!C13,1,0)</x:f>
        <x:v>0</x:v>
      </x:c>
      <x:c r="O21" s="77" t="n">
        <x:f>IF(M21&gt;=Assumptions!C13,1,0)</x:f>
        <x:v>1</x:v>
      </x:c>
      <x:c r="P21" s="77" t="n">
        <x:f>IF(OR(N21=1,O21=1),1,0)</x:f>
        <x:v>1</x:v>
      </x:c>
      <x:c r="Q21" s="77" t="n">
        <x:f>IF(AND(N21=1,O21=1),MIN(Assumptions!C20+J21,Assumptions!C31+K21),IF(N21=1,Assumptions!C20+J21,IF(O21=1,Assumptions!C31+K21,999)))</x:f>
        <x:v>49.569444444</x:v>
      </x:c>
      <x:c r="R21" s="79" t="str">
        <x:f>IF(C21=1,IF(AND(P21=1,Q21&lt;=Assumptions!C38),"PASS","FAIL"),"BOUND")</x:f>
        <x:v>PASS</x:v>
      </x:c>
    </x:row>
    <x:row r="22">
      <x:c r="B22" s="77" t="str">
        <x:v>W16 terrain-origin cut</x:v>
      </x:c>
      <x:c r="C22" s="77" t="n">
        <x:v>1</x:v>
      </x:c>
      <x:c r="D22" s="77" t="n">
        <x:v>1</x:v>
      </x:c>
      <x:c r="E22" s="77" t="n">
        <x:v>0</x:v>
      </x:c>
      <x:c r="F22" s="77" t="n">
        <x:v>0</x:v>
      </x:c>
      <x:c r="G22" s="77" t="n">
        <x:v>0</x:v>
      </x:c>
      <x:c r="H22" s="77" t="n">
        <x:v>0</x:v>
      </x:c>
      <x:c r="I22" s="77" t="n">
        <x:v>0</x:v>
      </x:c>
      <x:c r="J22" s="77" t="n">
        <x:v>0</x:v>
      </x:c>
      <x:c r="K22" s="77" t="n">
        <x:v>0</x:v>
      </x:c>
      <x:c r="L22" s="77" t="n">
        <x:f>IF(AND(D22=1,Assumptions!C15-F22&gt;=2),(8-H22)*Assumptions!C12,0)</x:f>
        <x:v>114.285714288</x:v>
      </x:c>
      <x:c r="M22" s="77" t="n">
        <x:f>IF(AND(E22=1,Assumptions!C26-G22&gt;=4),(8-I22)*Assumptions!C12,0)</x:f>
        <x:v>0</x:v>
      </x:c>
      <x:c r="N22" s="77" t="n">
        <x:f>IF(L22&gt;=Assumptions!C13,1,0)</x:f>
        <x:v>1</x:v>
      </x:c>
      <x:c r="O22" s="77" t="n">
        <x:f>IF(M22&gt;=Assumptions!C13,1,0)</x:f>
        <x:v>0</x:v>
      </x:c>
      <x:c r="P22" s="77" t="n">
        <x:f>IF(OR(N22=1,O22=1),1,0)</x:f>
        <x:v>1</x:v>
      </x:c>
      <x:c r="Q22" s="77" t="n">
        <x:f>IF(AND(N22=1,O22=1),MIN(Assumptions!C20+J22,Assumptions!C31+K22),IF(N22=1,Assumptions!C20+J22,IF(O22=1,Assumptions!C31+K22,999)))</x:f>
        <x:v>47.916666667</x:v>
      </x:c>
      <x:c r="R22" s="79" t="str">
        <x:f>IF(C22=1,IF(AND(P22=1,Q22&lt;=Assumptions!C38),"PASS","FAIL"),"BOUND")</x:f>
        <x:v>PASS</x:v>
      </x:c>
    </x:row>
    <x:row r="23">
      <x:c r="B23" s="77" t="str">
        <x:v>W17 air-receiver cut</x:v>
      </x:c>
      <x:c r="C23" s="77" t="n">
        <x:v>1</x:v>
      </x:c>
      <x:c r="D23" s="77" t="n">
        <x:v>0</x:v>
      </x:c>
      <x:c r="E23" s="77" t="n">
        <x:v>1</x:v>
      </x:c>
      <x:c r="F23" s="77" t="n">
        <x:v>0</x:v>
      </x:c>
      <x:c r="G23" s="77" t="n">
        <x:v>0</x:v>
      </x:c>
      <x:c r="H23" s="77" t="n">
        <x:v>0</x:v>
      </x:c>
      <x:c r="I23" s="77" t="n">
        <x:v>0</x:v>
      </x:c>
      <x:c r="J23" s="77" t="n">
        <x:v>0</x:v>
      </x:c>
      <x:c r="K23" s="77" t="n">
        <x:v>0</x:v>
      </x:c>
      <x:c r="L23" s="77" t="n">
        <x:f>IF(AND(D23=1,Assumptions!C15-F23&gt;=2),(8-H23)*Assumptions!C12,0)</x:f>
        <x:v>0</x:v>
      </x:c>
      <x:c r="M23" s="77" t="n">
        <x:f>IF(AND(E23=1,Assumptions!C26-G23&gt;=4),(8-I23)*Assumptions!C12,0)</x:f>
        <x:v>114.285714288</x:v>
      </x:c>
      <x:c r="N23" s="77" t="n">
        <x:f>IF(L23&gt;=Assumptions!C13,1,0)</x:f>
        <x:v>0</x:v>
      </x:c>
      <x:c r="O23" s="77" t="n">
        <x:f>IF(M23&gt;=Assumptions!C13,1,0)</x:f>
        <x:v>1</x:v>
      </x:c>
      <x:c r="P23" s="77" t="n">
        <x:f>IF(OR(N23=1,O23=1),1,0)</x:f>
        <x:v>1</x:v>
      </x:c>
      <x:c r="Q23" s="77" t="n">
        <x:f>IF(AND(N23=1,O23=1),MIN(Assumptions!C20+J23,Assumptions!C31+K23),IF(N23=1,Assumptions!C20+J23,IF(O23=1,Assumptions!C31+K23,999)))</x:f>
        <x:v>49.569444444</x:v>
      </x:c>
      <x:c r="R23" s="79" t="str">
        <x:f>IF(C23=1,IF(AND(P23=1,Q23&lt;=Assumptions!C38),"PASS","FAIL"),"BOUND")</x:f>
        <x:v>PASS</x:v>
      </x:c>
    </x:row>
    <x:row r="24">
      <x:c r="B24" s="77" t="str">
        <x:v>W18 terrain-receiver cut</x:v>
      </x:c>
      <x:c r="C24" s="77" t="n">
        <x:v>1</x:v>
      </x:c>
      <x:c r="D24" s="77" t="n">
        <x:v>1</x:v>
      </x:c>
      <x:c r="E24" s="77" t="n">
        <x:v>0</x:v>
      </x:c>
      <x:c r="F24" s="77" t="n">
        <x:v>0</x:v>
      </x:c>
      <x:c r="G24" s="77" t="n">
        <x:v>0</x:v>
      </x:c>
      <x:c r="H24" s="77" t="n">
        <x:v>0</x:v>
      </x:c>
      <x:c r="I24" s="77" t="n">
        <x:v>0</x:v>
      </x:c>
      <x:c r="J24" s="77" t="n">
        <x:v>0</x:v>
      </x:c>
      <x:c r="K24" s="77" t="n">
        <x:v>0</x:v>
      </x:c>
      <x:c r="L24" s="77" t="n">
        <x:f>IF(AND(D24=1,Assumptions!C15-F24&gt;=2),(8-H24)*Assumptions!C12,0)</x:f>
        <x:v>114.285714288</x:v>
      </x:c>
      <x:c r="M24" s="77" t="n">
        <x:f>IF(AND(E24=1,Assumptions!C26-G24&gt;=4),(8-I24)*Assumptions!C12,0)</x:f>
        <x:v>0</x:v>
      </x:c>
      <x:c r="N24" s="77" t="n">
        <x:f>IF(L24&gt;=Assumptions!C13,1,0)</x:f>
        <x:v>1</x:v>
      </x:c>
      <x:c r="O24" s="77" t="n">
        <x:f>IF(M24&gt;=Assumptions!C13,1,0)</x:f>
        <x:v>0</x:v>
      </x:c>
      <x:c r="P24" s="77" t="n">
        <x:f>IF(OR(N24=1,O24=1),1,0)</x:f>
        <x:v>1</x:v>
      </x:c>
      <x:c r="Q24" s="77" t="n">
        <x:f>IF(AND(N24=1,O24=1),MIN(Assumptions!C20+J24,Assumptions!C31+K24),IF(N24=1,Assumptions!C20+J24,IF(O24=1,Assumptions!C31+K24,999)))</x:f>
        <x:v>47.916666667</x:v>
      </x:c>
      <x:c r="R24" s="79" t="str">
        <x:f>IF(C24=1,IF(AND(P24=1,Q24&lt;=Assumptions!C38),"PASS","FAIL"),"BOUND")</x:f>
        <x:v>PASS</x:v>
      </x:c>
    </x:row>
    <x:row r="25">
      <x:c r="B25" s="77" t="str">
        <x:v>W19 network denial</x:v>
      </x:c>
      <x:c r="C25" s="77" t="n">
        <x:v>1</x:v>
      </x:c>
      <x:c r="D25" s="77" t="n">
        <x:v>1</x:v>
      </x:c>
      <x:c r="E25" s="77" t="n">
        <x:v>1</x:v>
      </x:c>
      <x:c r="F25" s="77" t="n">
        <x:v>0</x:v>
      </x:c>
      <x:c r="G25" s="77" t="n">
        <x:v>0</x:v>
      </x:c>
      <x:c r="H25" s="77" t="n">
        <x:v>0</x:v>
      </x:c>
      <x:c r="I25" s="77" t="n">
        <x:v>0</x:v>
      </x:c>
      <x:c r="J25" s="77" t="n">
        <x:v>0</x:v>
      </x:c>
      <x:c r="K25" s="77" t="n">
        <x:v>0</x:v>
      </x:c>
      <x:c r="L25" s="77" t="n">
        <x:f>IF(AND(D25=1,Assumptions!C15-F25&gt;=2),(8-H25)*Assumptions!C12,0)</x:f>
        <x:v>114.285714288</x:v>
      </x:c>
      <x:c r="M25" s="77" t="n">
        <x:f>IF(AND(E25=1,Assumptions!C26-G25&gt;=4),(8-I25)*Assumptions!C12,0)</x:f>
        <x:v>114.285714288</x:v>
      </x:c>
      <x:c r="N25" s="77" t="n">
        <x:f>IF(L25&gt;=Assumptions!C13,1,0)</x:f>
        <x:v>1</x:v>
      </x:c>
      <x:c r="O25" s="77" t="n">
        <x:f>IF(M25&gt;=Assumptions!C13,1,0)</x:f>
        <x:v>1</x:v>
      </x:c>
      <x:c r="P25" s="77" t="n">
        <x:f>IF(OR(N25=1,O25=1),1,0)</x:f>
        <x:v>1</x:v>
      </x:c>
      <x:c r="Q25" s="77" t="n">
        <x:f>IF(AND(N25=1,O25=1),MIN(Assumptions!C20+J25,Assumptions!C31+K25),IF(N25=1,Assumptions!C20+J25,IF(O25=1,Assumptions!C31+K25,999)))</x:f>
        <x:v>47.916666667</x:v>
      </x:c>
      <x:c r="R25" s="79" t="str">
        <x:f>IF(C25=1,IF(AND(P25=1,Q25&lt;=Assumptions!C38),"PASS","FAIL"),"BOUND")</x:f>
        <x:v>PASS</x:v>
      </x:c>
    </x:row>
    <x:row r="26">
      <x:c r="B26" s="77" t="str">
        <x:v>W20 GNSS denial</x:v>
      </x:c>
      <x:c r="C26" s="77" t="n">
        <x:v>1</x:v>
      </x:c>
      <x:c r="D26" s="77" t="n">
        <x:v>1</x:v>
      </x:c>
      <x:c r="E26" s="77" t="n">
        <x:v>1</x:v>
      </x:c>
      <x:c r="F26" s="77" t="n">
        <x:v>0</x:v>
      </x:c>
      <x:c r="G26" s="77" t="n">
        <x:v>0</x:v>
      </x:c>
      <x:c r="H26" s="77" t="n">
        <x:v>0</x:v>
      </x:c>
      <x:c r="I26" s="77" t="n">
        <x:v>0</x:v>
      </x:c>
      <x:c r="J26" s="77" t="n">
        <x:v>0</x:v>
      </x:c>
      <x:c r="K26" s="77" t="n">
        <x:v>0</x:v>
      </x:c>
      <x:c r="L26" s="77" t="n">
        <x:f>IF(AND(D26=1,Assumptions!C15-F26&gt;=2),(8-H26)*Assumptions!C12,0)</x:f>
        <x:v>114.285714288</x:v>
      </x:c>
      <x:c r="M26" s="77" t="n">
        <x:f>IF(AND(E26=1,Assumptions!C26-G26&gt;=4),(8-I26)*Assumptions!C12,0)</x:f>
        <x:v>114.285714288</x:v>
      </x:c>
      <x:c r="N26" s="77" t="n">
        <x:f>IF(L26&gt;=Assumptions!C13,1,0)</x:f>
        <x:v>1</x:v>
      </x:c>
      <x:c r="O26" s="77" t="n">
        <x:f>IF(M26&gt;=Assumptions!C13,1,0)</x:f>
        <x:v>1</x:v>
      </x:c>
      <x:c r="P26" s="77" t="n">
        <x:f>IF(OR(N26=1,O26=1),1,0)</x:f>
        <x:v>1</x:v>
      </x:c>
      <x:c r="Q26" s="77" t="n">
        <x:f>IF(AND(N26=1,O26=1),MIN(Assumptions!C20+J26,Assumptions!C31+K26),IF(N26=1,Assumptions!C20+J26,IF(O26=1,Assumptions!C31+K26,999)))</x:f>
        <x:v>47.916666667</x:v>
      </x:c>
      <x:c r="R26" s="79" t="str">
        <x:f>IF(C26=1,IF(AND(P26=1,Q26&lt;=Assumptions!C38),"PASS","FAIL"),"BOUND")</x:f>
        <x:v>PASS</x:v>
      </x:c>
    </x:row>
    <x:row r="27">
      <x:c r="B27" s="77" t="str">
        <x:v>W21 air-energy lineage cut</x:v>
      </x:c>
      <x:c r="C27" s="77" t="n">
        <x:v>1</x:v>
      </x:c>
      <x:c r="D27" s="77" t="n">
        <x:v>0</x:v>
      </x:c>
      <x:c r="E27" s="77" t="n">
        <x:v>1</x:v>
      </x:c>
      <x:c r="F27" s="77" t="n">
        <x:v>0</x:v>
      </x:c>
      <x:c r="G27" s="77" t="n">
        <x:v>0</x:v>
      </x:c>
      <x:c r="H27" s="77" t="n">
        <x:v>0</x:v>
      </x:c>
      <x:c r="I27" s="77" t="n">
        <x:v>0</x:v>
      </x:c>
      <x:c r="J27" s="77" t="n">
        <x:v>0</x:v>
      </x:c>
      <x:c r="K27" s="77" t="n">
        <x:v>0</x:v>
      </x:c>
      <x:c r="L27" s="77" t="n">
        <x:f>IF(AND(D27=1,Assumptions!C15-F27&gt;=2),(8-H27)*Assumptions!C12,0)</x:f>
        <x:v>0</x:v>
      </x:c>
      <x:c r="M27" s="77" t="n">
        <x:f>IF(AND(E27=1,Assumptions!C26-G27&gt;=4),(8-I27)*Assumptions!C12,0)</x:f>
        <x:v>114.285714288</x:v>
      </x:c>
      <x:c r="N27" s="77" t="n">
        <x:f>IF(L27&gt;=Assumptions!C13,1,0)</x:f>
        <x:v>0</x:v>
      </x:c>
      <x:c r="O27" s="77" t="n">
        <x:f>IF(M27&gt;=Assumptions!C13,1,0)</x:f>
        <x:v>1</x:v>
      </x:c>
      <x:c r="P27" s="77" t="n">
        <x:f>IF(OR(N27=1,O27=1),1,0)</x:f>
        <x:v>1</x:v>
      </x:c>
      <x:c r="Q27" s="77" t="n">
        <x:f>IF(AND(N27=1,O27=1),MIN(Assumptions!C20+J27,Assumptions!C31+K27),IF(N27=1,Assumptions!C20+J27,IF(O27=1,Assumptions!C31+K27,999)))</x:f>
        <x:v>49.569444444</x:v>
      </x:c>
      <x:c r="R27" s="79" t="str">
        <x:f>IF(C27=1,IF(AND(P27=1,Q27&lt;=Assumptions!C38),"PASS","FAIL"),"BOUND")</x:f>
        <x:v>PASS</x:v>
      </x:c>
    </x:row>
    <x:row r="28">
      <x:c r="B28" s="77" t="str">
        <x:v>W22 terrain-energy lineage cut</x:v>
      </x:c>
      <x:c r="C28" s="77" t="n">
        <x:v>1</x:v>
      </x:c>
      <x:c r="D28" s="77" t="n">
        <x:v>1</x:v>
      </x:c>
      <x:c r="E28" s="77" t="n">
        <x:v>0</x:v>
      </x:c>
      <x:c r="F28" s="77" t="n">
        <x:v>0</x:v>
      </x:c>
      <x:c r="G28" s="77" t="n">
        <x:v>0</x:v>
      </x:c>
      <x:c r="H28" s="77" t="n">
        <x:v>0</x:v>
      </x:c>
      <x:c r="I28" s="77" t="n">
        <x:v>0</x:v>
      </x:c>
      <x:c r="J28" s="77" t="n">
        <x:v>0</x:v>
      </x:c>
      <x:c r="K28" s="77" t="n">
        <x:v>0</x:v>
      </x:c>
      <x:c r="L28" s="77" t="n">
        <x:f>IF(AND(D28=1,Assumptions!C15-F28&gt;=2),(8-H28)*Assumptions!C12,0)</x:f>
        <x:v>114.285714288</x:v>
      </x:c>
      <x:c r="M28" s="77" t="n">
        <x:f>IF(AND(E28=1,Assumptions!C26-G28&gt;=4),(8-I28)*Assumptions!C12,0)</x:f>
        <x:v>0</x:v>
      </x:c>
      <x:c r="N28" s="77" t="n">
        <x:f>IF(L28&gt;=Assumptions!C13,1,0)</x:f>
        <x:v>1</x:v>
      </x:c>
      <x:c r="O28" s="77" t="n">
        <x:f>IF(M28&gt;=Assumptions!C13,1,0)</x:f>
        <x:v>0</x:v>
      </x:c>
      <x:c r="P28" s="77" t="n">
        <x:f>IF(OR(N28=1,O28=1),1,0)</x:f>
        <x:v>1</x:v>
      </x:c>
      <x:c r="Q28" s="77" t="n">
        <x:f>IF(AND(N28=1,O28=1),MIN(Assumptions!C20+J28,Assumptions!C31+K28),IF(N28=1,Assumptions!C20+J28,IF(O28=1,Assumptions!C31+K28,999)))</x:f>
        <x:v>47.916666667</x:v>
      </x:c>
      <x:c r="R28" s="79" t="str">
        <x:f>IF(C28=1,IF(AND(P28=1,Q28&lt;=Assumptions!C38),"PASS","FAIL"),"BOUND")</x:f>
        <x:v>PASS</x:v>
      </x:c>
    </x:row>
    <x:row r="29">
      <x:c r="B29" s="77" t="str">
        <x:v>W23 air delay</x:v>
      </x:c>
      <x:c r="C29" s="77" t="n">
        <x:v>1</x:v>
      </x:c>
      <x:c r="D29" s="77" t="n">
        <x:v>1</x:v>
      </x:c>
      <x:c r="E29" s="77" t="n">
        <x:v>1</x:v>
      </x:c>
      <x:c r="F29" s="77" t="n">
        <x:v>0</x:v>
      </x:c>
      <x:c r="G29" s="77" t="n">
        <x:v>0</x:v>
      </x:c>
      <x:c r="H29" s="77" t="n">
        <x:v>0</x:v>
      </x:c>
      <x:c r="I29" s="77" t="n">
        <x:v>0</x:v>
      </x:c>
      <x:c r="J29" s="77" t="n">
        <x:v>4.5</x:v>
      </x:c>
      <x:c r="K29" s="77" t="n">
        <x:v>0</x:v>
      </x:c>
      <x:c r="L29" s="77" t="n">
        <x:f>IF(AND(D29=1,Assumptions!C15-F29&gt;=2),(8-H29)*Assumptions!C12,0)</x:f>
        <x:v>114.285714288</x:v>
      </x:c>
      <x:c r="M29" s="77" t="n">
        <x:f>IF(AND(E29=1,Assumptions!C26-G29&gt;=4),(8-I29)*Assumptions!C12,0)</x:f>
        <x:v>114.285714288</x:v>
      </x:c>
      <x:c r="N29" s="77" t="n">
        <x:f>IF(L29&gt;=Assumptions!C13,1,0)</x:f>
        <x:v>1</x:v>
      </x:c>
      <x:c r="O29" s="77" t="n">
        <x:f>IF(M29&gt;=Assumptions!C13,1,0)</x:f>
        <x:v>1</x:v>
      </x:c>
      <x:c r="P29" s="77" t="n">
        <x:f>IF(OR(N29=1,O29=1),1,0)</x:f>
        <x:v>1</x:v>
      </x:c>
      <x:c r="Q29" s="77" t="n">
        <x:f>IF(AND(N29=1,O29=1),MIN(Assumptions!C20+J29,Assumptions!C31+K29),IF(N29=1,Assumptions!C20+J29,IF(O29=1,Assumptions!C31+K29,999)))</x:f>
        <x:v>49.569444444</x:v>
      </x:c>
      <x:c r="R29" s="79" t="str">
        <x:f>IF(C29=1,IF(AND(P29=1,Q29&lt;=Assumptions!C38),"PASS","FAIL"),"BOUND")</x:f>
        <x:v>PASS</x:v>
      </x:c>
    </x:row>
    <x:row r="30">
      <x:c r="B30" s="77" t="str">
        <x:v>W24 terrain delay</x:v>
      </x:c>
      <x:c r="C30" s="77" t="n">
        <x:v>1</x:v>
      </x:c>
      <x:c r="D30" s="77" t="n">
        <x:v>1</x:v>
      </x:c>
      <x:c r="E30" s="77" t="n">
        <x:v>1</x:v>
      </x:c>
      <x:c r="F30" s="77" t="n">
        <x:v>0</x:v>
      </x:c>
      <x:c r="G30" s="77" t="n">
        <x:v>0</x:v>
      </x:c>
      <x:c r="H30" s="77" t="n">
        <x:v>0</x:v>
      </x:c>
      <x:c r="I30" s="77" t="n">
        <x:v>0</x:v>
      </x:c>
      <x:c r="J30" s="77" t="n">
        <x:v>0</x:v>
      </x:c>
      <x:c r="K30" s="77" t="n">
        <x:v>3.5</x:v>
      </x:c>
      <x:c r="L30" s="77" t="n">
        <x:f>IF(AND(D30=1,Assumptions!C15-F30&gt;=2),(8-H30)*Assumptions!C12,0)</x:f>
        <x:v>114.285714288</x:v>
      </x:c>
      <x:c r="M30" s="77" t="n">
        <x:f>IF(AND(E30=1,Assumptions!C26-G30&gt;=4),(8-I30)*Assumptions!C12,0)</x:f>
        <x:v>114.285714288</x:v>
      </x:c>
      <x:c r="N30" s="77" t="n">
        <x:f>IF(L30&gt;=Assumptions!C13,1,0)</x:f>
        <x:v>1</x:v>
      </x:c>
      <x:c r="O30" s="77" t="n">
        <x:f>IF(M30&gt;=Assumptions!C13,1,0)</x:f>
        <x:v>1</x:v>
      </x:c>
      <x:c r="P30" s="77" t="n">
        <x:f>IF(OR(N30=1,O30=1),1,0)</x:f>
        <x:v>1</x:v>
      </x:c>
      <x:c r="Q30" s="77" t="n">
        <x:f>IF(AND(N30=1,O30=1),MIN(Assumptions!C20+J30,Assumptions!C31+K30),IF(N30=1,Assumptions!C20+J30,IF(O30=1,Assumptions!C31+K30,999)))</x:f>
        <x:v>47.916666667</x:v>
      </x:c>
      <x:c r="R30" s="79" t="str">
        <x:f>IF(C30=1,IF(AND(P30=1,Q30&lt;=Assumptions!C38),"PASS","FAIL"),"BOUND")</x:f>
        <x:v>PASS</x:v>
      </x:c>
    </x:row>
    <x:row r="31">
      <x:c r="B31" s="77" t="str">
        <x:v>W25 both delay</x:v>
      </x:c>
      <x:c r="C31" s="77" t="n">
        <x:v>1</x:v>
      </x:c>
      <x:c r="D31" s="77" t="n">
        <x:v>1</x:v>
      </x:c>
      <x:c r="E31" s="77" t="n">
        <x:v>1</x:v>
      </x:c>
      <x:c r="F31" s="77" t="n">
        <x:v>0</x:v>
      </x:c>
      <x:c r="G31" s="77" t="n">
        <x:v>0</x:v>
      </x:c>
      <x:c r="H31" s="77" t="n">
        <x:v>0</x:v>
      </x:c>
      <x:c r="I31" s="77" t="n">
        <x:v>0</x:v>
      </x:c>
      <x:c r="J31" s="77" t="n">
        <x:v>4.5</x:v>
      </x:c>
      <x:c r="K31" s="77" t="n">
        <x:v>3.5</x:v>
      </x:c>
      <x:c r="L31" s="77" t="n">
        <x:f>IF(AND(D31=1,Assumptions!C15-F31&gt;=2),(8-H31)*Assumptions!C12,0)</x:f>
        <x:v>114.285714288</x:v>
      </x:c>
      <x:c r="M31" s="77" t="n">
        <x:f>IF(AND(E31=1,Assumptions!C26-G31&gt;=4),(8-I31)*Assumptions!C12,0)</x:f>
        <x:v>114.285714288</x:v>
      </x:c>
      <x:c r="N31" s="77" t="n">
        <x:f>IF(L31&gt;=Assumptions!C13,1,0)</x:f>
        <x:v>1</x:v>
      </x:c>
      <x:c r="O31" s="77" t="n">
        <x:f>IF(M31&gt;=Assumptions!C13,1,0)</x:f>
        <x:v>1</x:v>
      </x:c>
      <x:c r="P31" s="77" t="n">
        <x:f>IF(OR(N31=1,O31=1),1,0)</x:f>
        <x:v>1</x:v>
      </x:c>
      <x:c r="Q31" s="77" t="n">
        <x:f>IF(AND(N31=1,O31=1),MIN(Assumptions!C20+J31,Assumptions!C31+K31),IF(N31=1,Assumptions!C20+J31,IF(O31=1,Assumptions!C31+K31,999)))</x:f>
        <x:v>52.416666667</x:v>
      </x:c>
      <x:c r="R31" s="79" t="str">
        <x:f>IF(C31=1,IF(AND(P31=1,Q31&lt;=Assumptions!C38),"PASS","FAIL"),"BOUND")</x:f>
        <x:v>PASS</x:v>
      </x:c>
    </x:row>
    <x:row r="32">
      <x:c r="B32" s="77" t="str">
        <x:v>W26 air cut + terrain delay</x:v>
      </x:c>
      <x:c r="C32" s="77" t="n">
        <x:v>1</x:v>
      </x:c>
      <x:c r="D32" s="77" t="n">
        <x:v>0</x:v>
      </x:c>
      <x:c r="E32" s="77" t="n">
        <x:v>1</x:v>
      </x:c>
      <x:c r="F32" s="77" t="n">
        <x:v>0</x:v>
      </x:c>
      <x:c r="G32" s="77" t="n">
        <x:v>0</x:v>
      </x:c>
      <x:c r="H32" s="77" t="n">
        <x:v>0</x:v>
      </x:c>
      <x:c r="I32" s="77" t="n">
        <x:v>0</x:v>
      </x:c>
      <x:c r="J32" s="77" t="n">
        <x:v>0</x:v>
      </x:c>
      <x:c r="K32" s="77" t="n">
        <x:v>3.5</x:v>
      </x:c>
      <x:c r="L32" s="77" t="n">
        <x:f>IF(AND(D32=1,Assumptions!C15-F32&gt;=2),(8-H32)*Assumptions!C12,0)</x:f>
        <x:v>0</x:v>
      </x:c>
      <x:c r="M32" s="77" t="n">
        <x:f>IF(AND(E32=1,Assumptions!C26-G32&gt;=4),(8-I32)*Assumptions!C12,0)</x:f>
        <x:v>114.285714288</x:v>
      </x:c>
      <x:c r="N32" s="77" t="n">
        <x:f>IF(L32&gt;=Assumptions!C13,1,0)</x:f>
        <x:v>0</x:v>
      </x:c>
      <x:c r="O32" s="77" t="n">
        <x:f>IF(M32&gt;=Assumptions!C13,1,0)</x:f>
        <x:v>1</x:v>
      </x:c>
      <x:c r="P32" s="77" t="n">
        <x:f>IF(OR(N32=1,O32=1),1,0)</x:f>
        <x:v>1</x:v>
      </x:c>
      <x:c r="Q32" s="77" t="n">
        <x:f>IF(AND(N32=1,O32=1),MIN(Assumptions!C20+J32,Assumptions!C31+K32),IF(N32=1,Assumptions!C20+J32,IF(O32=1,Assumptions!C31+K32,999)))</x:f>
        <x:v>53.069444444</x:v>
      </x:c>
      <x:c r="R32" s="79" t="str">
        <x:f>IF(C32=1,IF(AND(P32=1,Q32&lt;=Assumptions!C38),"PASS","FAIL"),"BOUND")</x:f>
        <x:v>PASS</x:v>
      </x:c>
    </x:row>
    <x:row r="33">
      <x:c r="B33" s="77" t="str">
        <x:v>W27 terrain cut + air delay</x:v>
      </x:c>
      <x:c r="C33" s="77" t="n">
        <x:v>1</x:v>
      </x:c>
      <x:c r="D33" s="77" t="n">
        <x:v>1</x:v>
      </x:c>
      <x:c r="E33" s="77" t="n">
        <x:v>0</x:v>
      </x:c>
      <x:c r="F33" s="77" t="n">
        <x:v>0</x:v>
      </x:c>
      <x:c r="G33" s="77" t="n">
        <x:v>0</x:v>
      </x:c>
      <x:c r="H33" s="77" t="n">
        <x:v>0</x:v>
      </x:c>
      <x:c r="I33" s="77" t="n">
        <x:v>0</x:v>
      </x:c>
      <x:c r="J33" s="77" t="n">
        <x:v>4.5</x:v>
      </x:c>
      <x:c r="K33" s="77" t="n">
        <x:v>0</x:v>
      </x:c>
      <x:c r="L33" s="77" t="n">
        <x:f>IF(AND(D33=1,Assumptions!C15-F33&gt;=2),(8-H33)*Assumptions!C12,0)</x:f>
        <x:v>114.285714288</x:v>
      </x:c>
      <x:c r="M33" s="77" t="n">
        <x:f>IF(AND(E33=1,Assumptions!C26-G33&gt;=4),(8-I33)*Assumptions!C12,0)</x:f>
        <x:v>0</x:v>
      </x:c>
      <x:c r="N33" s="77" t="n">
        <x:f>IF(L33&gt;=Assumptions!C13,1,0)</x:f>
        <x:v>1</x:v>
      </x:c>
      <x:c r="O33" s="77" t="n">
        <x:f>IF(M33&gt;=Assumptions!C13,1,0)</x:f>
        <x:v>0</x:v>
      </x:c>
      <x:c r="P33" s="77" t="n">
        <x:f>IF(OR(N33=1,O33=1),1,0)</x:f>
        <x:v>1</x:v>
      </x:c>
      <x:c r="Q33" s="77" t="n">
        <x:f>IF(AND(N33=1,O33=1),MIN(Assumptions!C20+J33,Assumptions!C31+K33),IF(N33=1,Assumptions!C20+J33,IF(O33=1,Assumptions!C31+K33,999)))</x:f>
        <x:v>52.416666667</x:v>
      </x:c>
      <x:c r="R33" s="79" t="str">
        <x:f>IF(C33=1,IF(AND(P33=1,Q33&lt;=Assumptions!C38),"PASS","FAIL"),"BOUND")</x:f>
        <x:v>PASS</x:v>
      </x:c>
    </x:row>
    <x:row r="34">
      <x:c r="B34" s="77" t="str">
        <x:v>W28 one each + both delay</x:v>
      </x:c>
      <x:c r="C34" s="77" t="n">
        <x:v>1</x:v>
      </x:c>
      <x:c r="D34" s="77" t="n">
        <x:v>1</x:v>
      </x:c>
      <x:c r="E34" s="77" t="n">
        <x:v>1</x:v>
      </x:c>
      <x:c r="F34" s="77" t="n">
        <x:v>1</x:v>
      </x:c>
      <x:c r="G34" s="77" t="n">
        <x:v>1</x:v>
      </x:c>
      <x:c r="H34" s="77" t="n">
        <x:v>0</x:v>
      </x:c>
      <x:c r="I34" s="77" t="n">
        <x:v>0</x:v>
      </x:c>
      <x:c r="J34" s="77" t="n">
        <x:v>4.5</x:v>
      </x:c>
      <x:c r="K34" s="77" t="n">
        <x:v>3.5</x:v>
      </x:c>
      <x:c r="L34" s="77" t="n">
        <x:f>IF(AND(D34=1,Assumptions!C15-F34&gt;=2),(8-H34)*Assumptions!C12,0)</x:f>
        <x:v>114.285714288</x:v>
      </x:c>
      <x:c r="M34" s="77" t="n">
        <x:f>IF(AND(E34=1,Assumptions!C26-G34&gt;=4),(8-I34)*Assumptions!C12,0)</x:f>
        <x:v>114.285714288</x:v>
      </x:c>
      <x:c r="N34" s="77" t="n">
        <x:f>IF(L34&gt;=Assumptions!C13,1,0)</x:f>
        <x:v>1</x:v>
      </x:c>
      <x:c r="O34" s="77" t="n">
        <x:f>IF(M34&gt;=Assumptions!C13,1,0)</x:f>
        <x:v>1</x:v>
      </x:c>
      <x:c r="P34" s="77" t="n">
        <x:f>IF(OR(N34=1,O34=1),1,0)</x:f>
        <x:v>1</x:v>
      </x:c>
      <x:c r="Q34" s="77" t="n">
        <x:f>IF(AND(N34=1,O34=1),MIN(Assumptions!C20+J34,Assumptions!C31+K34),IF(N34=1,Assumptions!C20+J34,IF(O34=1,Assumptions!C31+K34,999)))</x:f>
        <x:v>52.416666667</x:v>
      </x:c>
      <x:c r="R34" s="79" t="str">
        <x:f>IF(C34=1,IF(AND(P34=1,Q34&lt;=Assumptions!C38),"PASS","FAIL"),"BOUND")</x:f>
        <x:v>PASS</x:v>
      </x:c>
    </x:row>
    <x:row r="35">
      <x:c r="B35" s="77" t="str">
        <x:v>B01 air cut + two terrain vehicles</x:v>
      </x:c>
      <x:c r="C35" s="77" t="n">
        <x:v>0</x:v>
      </x:c>
      <x:c r="D35" s="77" t="n">
        <x:v>0</x:v>
      </x:c>
      <x:c r="E35" s="77" t="n">
        <x:v>1</x:v>
      </x:c>
      <x:c r="F35" s="77" t="n">
        <x:v>0</x:v>
      </x:c>
      <x:c r="G35" s="77" t="n">
        <x:v>2</x:v>
      </x:c>
      <x:c r="H35" s="77" t="n">
        <x:v>0</x:v>
      </x:c>
      <x:c r="I35" s="77" t="n">
        <x:v>0</x:v>
      </x:c>
      <x:c r="J35" s="77" t="n">
        <x:v>0</x:v>
      </x:c>
      <x:c r="K35" s="77" t="n">
        <x:v>0</x:v>
      </x:c>
      <x:c r="L35" s="77" t="n">
        <x:f>IF(AND(D35=1,Assumptions!C15-F35&gt;=2),(8-H35)*Assumptions!C12,0)</x:f>
        <x:v>0</x:v>
      </x:c>
      <x:c r="M35" s="77" t="n">
        <x:f>IF(AND(E35=1,Assumptions!C26-G35&gt;=4),(8-I35)*Assumptions!C12,0)</x:f>
        <x:v>0</x:v>
      </x:c>
      <x:c r="N35" s="77" t="n">
        <x:f>IF(L35&gt;=Assumptions!C13,1,0)</x:f>
        <x:v>0</x:v>
      </x:c>
      <x:c r="O35" s="77" t="n">
        <x:f>IF(M35&gt;=Assumptions!C13,1,0)</x:f>
        <x:v>0</x:v>
      </x:c>
      <x:c r="P35" s="77" t="n">
        <x:f>IF(OR(N35=1,O35=1),1,0)</x:f>
        <x:v>0</x:v>
      </x:c>
      <x:c r="Q35" s="77" t="n">
        <x:f>IF(AND(N35=1,O35=1),MIN(Assumptions!C20+J35,Assumptions!C31+K35),IF(N35=1,Assumptions!C20+J35,IF(O35=1,Assumptions!C31+K35,999)))</x:f>
        <x:v>999</x:v>
      </x:c>
      <x:c r="R35" s="79" t="str">
        <x:f>IF(C35=1,IF(AND(P35=1,Q35&lt;=Assumptions!C38),"PASS","FAIL"),"BOUND")</x:f>
        <x:v>BOUND</x:v>
      </x:c>
    </x:row>
    <x:row r="36">
      <x:c r="B36" s="77" t="str">
        <x:v>B02 terrain cut + two air vehicles</x:v>
      </x:c>
      <x:c r="C36" s="77" t="n">
        <x:v>0</x:v>
      </x:c>
      <x:c r="D36" s="77" t="n">
        <x:v>1</x:v>
      </x:c>
      <x:c r="E36" s="77" t="n">
        <x:v>0</x:v>
      </x:c>
      <x:c r="F36" s="77" t="n">
        <x:v>2</x:v>
      </x:c>
      <x:c r="G36" s="77" t="n">
        <x:v>0</x:v>
      </x:c>
      <x:c r="H36" s="77" t="n">
        <x:v>0</x:v>
      </x:c>
      <x:c r="I36" s="77" t="n">
        <x:v>0</x:v>
      </x:c>
      <x:c r="J36" s="77" t="n">
        <x:v>0</x:v>
      </x:c>
      <x:c r="K36" s="77" t="n">
        <x:v>0</x:v>
      </x:c>
      <x:c r="L36" s="77" t="n">
        <x:f>IF(AND(D36=1,Assumptions!C15-F36&gt;=2),(8-H36)*Assumptions!C12,0)</x:f>
        <x:v>0</x:v>
      </x:c>
      <x:c r="M36" s="77" t="n">
        <x:f>IF(AND(E36=1,Assumptions!C26-G36&gt;=4),(8-I36)*Assumptions!C12,0)</x:f>
        <x:v>0</x:v>
      </x:c>
      <x:c r="N36" s="77" t="n">
        <x:f>IF(L36&gt;=Assumptions!C13,1,0)</x:f>
        <x:v>0</x:v>
      </x:c>
      <x:c r="O36" s="77" t="n">
        <x:f>IF(M36&gt;=Assumptions!C13,1,0)</x:f>
        <x:v>0</x:v>
      </x:c>
      <x:c r="P36" s="77" t="n">
        <x:f>IF(OR(N36=1,O36=1),1,0)</x:f>
        <x:v>0</x:v>
      </x:c>
      <x:c r="Q36" s="77" t="n">
        <x:f>IF(AND(N36=1,O36=1),MIN(Assumptions!C20+J36,Assumptions!C31+K36),IF(N36=1,Assumptions!C20+J36,IF(O36=1,Assumptions!C31+K36,999)))</x:f>
        <x:v>999</x:v>
      </x:c>
      <x:c r="R36" s="79" t="str">
        <x:f>IF(C36=1,IF(AND(P36=1,Q36&lt;=Assumptions!C38),"PASS","FAIL"),"BOUND")</x:f>
        <x:v>BOUND</x:v>
      </x:c>
    </x:row>
    <x:row r="37">
      <x:c r="B37" s="77" t="str">
        <x:v>B03 both mode cut</x:v>
      </x:c>
      <x:c r="C37" s="77" t="n">
        <x:v>0</x:v>
      </x:c>
      <x:c r="D37" s="77" t="n">
        <x:v>0</x:v>
      </x:c>
      <x:c r="E37" s="77" t="n">
        <x:v>0</x:v>
      </x:c>
      <x:c r="F37" s="77" t="n">
        <x:v>0</x:v>
      </x:c>
      <x:c r="G37" s="77" t="n">
        <x:v>0</x:v>
      </x:c>
      <x:c r="H37" s="77" t="n">
        <x:v>0</x:v>
      </x:c>
      <x:c r="I37" s="77" t="n">
        <x:v>0</x:v>
      </x:c>
      <x:c r="J37" s="77" t="n">
        <x:v>0</x:v>
      </x:c>
      <x:c r="K37" s="77" t="n">
        <x:v>0</x:v>
      </x:c>
      <x:c r="L37" s="77" t="n">
        <x:f>IF(AND(D37=1,Assumptions!C15-F37&gt;=2),(8-H37)*Assumptions!C12,0)</x:f>
        <x:v>0</x:v>
      </x:c>
      <x:c r="M37" s="77" t="n">
        <x:f>IF(AND(E37=1,Assumptions!C26-G37&gt;=4),(8-I37)*Assumptions!C12,0)</x:f>
        <x:v>0</x:v>
      </x:c>
      <x:c r="N37" s="77" t="n">
        <x:f>IF(L37&gt;=Assumptions!C13,1,0)</x:f>
        <x:v>0</x:v>
      </x:c>
      <x:c r="O37" s="77" t="n">
        <x:f>IF(M37&gt;=Assumptions!C13,1,0)</x:f>
        <x:v>0</x:v>
      </x:c>
      <x:c r="P37" s="77" t="n">
        <x:f>IF(OR(N37=1,O37=1),1,0)</x:f>
        <x:v>0</x:v>
      </x:c>
      <x:c r="Q37" s="77" t="n">
        <x:f>IF(AND(N37=1,O37=1),MIN(Assumptions!C20+J37,Assumptions!C31+K37),IF(N37=1,Assumptions!C20+J37,IF(O37=1,Assumptions!C31+K37,999)))</x:f>
        <x:v>999</x:v>
      </x:c>
      <x:c r="R37" s="79" t="str">
        <x:f>IF(C37=1,IF(AND(P37=1,Q37&lt;=Assumptions!C38),"PASS","FAIL"),"BOUND")</x:f>
        <x:v>BOUND</x:v>
      </x:c>
    </x:row>
    <x:row r="38">
      <x:c r="B38" s="80" t="str">
        <x:v>B04 one each + two tile losses</x:v>
      </x:c>
      <x:c r="C38" s="80" t="n">
        <x:v>0</x:v>
      </x:c>
      <x:c r="D38" s="80" t="n">
        <x:v>1</x:v>
      </x:c>
      <x:c r="E38" s="80" t="n">
        <x:v>1</x:v>
      </x:c>
      <x:c r="F38" s="80" t="n">
        <x:v>1</x:v>
      </x:c>
      <x:c r="G38" s="80" t="n">
        <x:v>1</x:v>
      </x:c>
      <x:c r="H38" s="80" t="n">
        <x:v>2</x:v>
      </x:c>
      <x:c r="I38" s="80" t="n">
        <x:v>2</x:v>
      </x:c>
      <x:c r="J38" s="80" t="n">
        <x:v>0</x:v>
      </x:c>
      <x:c r="K38" s="80" t="n">
        <x:v>0</x:v>
      </x:c>
      <x:c r="L38" s="80" t="n">
        <x:f>IF(AND(D38=1,Assumptions!C15-F38&gt;=2),(8-H38)*Assumptions!C12,0)</x:f>
        <x:v>85.71428571599999</x:v>
      </x:c>
      <x:c r="M38" s="80" t="n">
        <x:f>IF(AND(E38=1,Assumptions!C26-G38&gt;=4),(8-I38)*Assumptions!C12,0)</x:f>
        <x:v>85.71428571599999</x:v>
      </x:c>
      <x:c r="N38" s="80" t="n">
        <x:f>IF(L38&gt;=Assumptions!C13,1,0)</x:f>
        <x:v>0</x:v>
      </x:c>
      <x:c r="O38" s="80" t="n">
        <x:f>IF(M38&gt;=Assumptions!C13,1,0)</x:f>
        <x:v>0</x:v>
      </x:c>
      <x:c r="P38" s="80" t="n">
        <x:f>IF(OR(N38=1,O38=1),1,0)</x:f>
        <x:v>0</x:v>
      </x:c>
      <x:c r="Q38" s="80" t="n">
        <x:f>IF(AND(N38=1,O38=1),MIN(Assumptions!C20+J38,Assumptions!C31+K38),IF(N38=1,Assumptions!C20+J38,IF(O38=1,Assumptions!C31+K38,999)))</x:f>
        <x:v>999</x:v>
      </x:c>
      <x:c r="R38" s="82" t="str">
        <x:f>IF(C38=1,IF(AND(P38=1,Q38&lt;=Assumptions!C38),"PASS","FAIL"),"BOUND")</x:f>
        <x:v>BOUND</x:v>
      </x:c>
    </x:row>
    <x:row r="39"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  <x:c r="P39" s="58"/>
      <x:c r="Q39" s="58"/>
      <x:c r="R39" s="58"/>
    </x:row>
    <x:row r="40"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  <x:c r="P40" s="58"/>
      <x:c r="Q40" s="58"/>
      <x:c r="R40" s="58"/>
    </x:row>
    <x:row r="41">
      <x:c r="B41" s="99" t="str">
        <x:v>Interpretation</x:v>
      </x:c>
      <x:c r="C41" s="100" t="str">
        <x:v>Interpretation</x:v>
      </x:c>
      <x:c r="D41" s="100" t="str">
        <x:v>Interpretation</x:v>
      </x:c>
      <x:c r="E41" s="100" t="str">
        <x:v>Interpretation</x:v>
      </x:c>
      <x:c r="F41" s="100" t="str">
        <x:v>Interpretation</x:v>
      </x:c>
      <x:c r="G41" s="100" t="str">
        <x:v>Interpretation</x:v>
      </x:c>
      <x:c r="H41" s="100" t="str">
        <x:v>Interpretation</x:v>
      </x:c>
      <x:c r="I41" s="100" t="str">
        <x:v>Interpretation</x:v>
      </x:c>
      <x:c r="J41" s="100" t="str">
        <x:v>Interpretation</x:v>
      </x:c>
      <x:c r="K41" s="100" t="str">
        <x:v>Interpretation</x:v>
      </x:c>
      <x:c r="L41" s="100" t="str">
        <x:v>Interpretation</x:v>
      </x:c>
      <x:c r="M41" s="100" t="str">
        <x:v>Interpretation</x:v>
      </x:c>
      <x:c r="N41" s="100" t="str">
        <x:v>Interpretation</x:v>
      </x:c>
      <x:c r="O41" s="100" t="str">
        <x:v>Interpretation</x:v>
      </x:c>
      <x:c r="P41" s="100" t="str">
        <x:v>Interpretation</x:v>
      </x:c>
      <x:c r="Q41" s="100" t="str">
        <x:v>Interpretation</x:v>
      </x:c>
      <x:c r="R41" s="101" t="str">
        <x:v>Interpretation</x:v>
      </x:c>
    </x:row>
    <x:row r="42">
      <x:c r="B42" s="83" t="str">
        <x:v>Inside result</x:v>
      </x:c>
      <x:c r="C42" s="58" t="str">
        <x:v>Every inside world must pass. A mode may disappear, but the surviving mode must retain a complete service vector within the absolute clock.</x:v>
      </x:c>
      <x:c r="D42" s="58" t="str"/>
      <x:c r="E42" s="58" t="str"/>
      <x:c r="F42" s="58" t="str"/>
      <x:c r="G42" s="58" t="str"/>
      <x:c r="H42" s="58" t="str"/>
      <x:c r="I42" s="58" t="str"/>
      <x:c r="J42" s="58" t="str"/>
      <x:c r="K42" s="58" t="str"/>
      <x:c r="L42" s="58" t="str"/>
      <x:c r="M42" s="58" t="str"/>
      <x:c r="N42" s="58" t="str"/>
      <x:c r="O42" s="58" t="str"/>
      <x:c r="P42" s="58" t="str"/>
      <x:c r="Q42" s="58" t="str"/>
      <x:c r="R42" s="58" t="str"/>
    </x:row>
    <x:row r="43">
      <x:c r="B43" s="83" t="str">
        <x:v>Boundary result</x:v>
      </x:c>
      <x:c r="C43" s="58" t="str">
        <x:v>BOUND means the probe intentionally exceeds the stated compound guarantee; it is not credited as assured performance.</x:v>
      </x:c>
      <x:c r="D43" s="58" t="str"/>
      <x:c r="E43" s="58" t="str"/>
      <x:c r="F43" s="58" t="str"/>
      <x:c r="G43" s="58" t="str"/>
      <x:c r="H43" s="58" t="str"/>
      <x:c r="I43" s="58" t="str"/>
      <x:c r="J43" s="58" t="str"/>
      <x:c r="K43" s="58" t="str"/>
      <x:c r="L43" s="58" t="str"/>
      <x:c r="M43" s="58" t="str"/>
      <x:c r="N43" s="58" t="str"/>
      <x:c r="O43" s="58" t="str"/>
      <x:c r="P43" s="58" t="str"/>
      <x:c r="Q43" s="58" t="str"/>
      <x:c r="R43" s="58" t="str"/>
    </x:row>
    <x:row r="44">
      <x:c r="B44" s="83" t="str">
        <x:v>Evidence status</x:v>
      </x:c>
      <x:c r="C44" s="58" t="str">
        <x:v>These are deterministic architecture tests. Physical probability, tail delay, tile coefficient and independence evidence remain open.</x:v>
      </x:c>
      <x:c r="D44" s="58" t="str"/>
      <x:c r="E44" s="58" t="str"/>
      <x:c r="F44" s="58" t="str"/>
      <x:c r="G44" s="58" t="str"/>
      <x:c r="H44" s="58" t="str"/>
      <x:c r="I44" s="58" t="str"/>
      <x:c r="J44" s="58" t="str"/>
      <x:c r="K44" s="58" t="str"/>
      <x:c r="L44" s="58" t="str"/>
      <x:c r="M44" s="58" t="str"/>
      <x:c r="N44" s="58" t="str"/>
      <x:c r="O44" s="58" t="str"/>
      <x:c r="P44" s="58" t="str"/>
      <x:c r="Q44" s="58" t="str"/>
      <x:c r="R44" s="58" t="str"/>
    </x:row>
  </x:sheetData>
  <x:mergeCells>
    <x:mergeCell ref="B2:H2"/>
    <x:mergeCell ref="B3:H3"/>
    <x:mergeCell ref="B41:R41"/>
  </x:mergeCells>
  <x:conditionalFormatting sqref="R7:R38">
    <x:cfRule type="containsText" dxfId="60" priority="1" operator="containsText" text="FAIL"/>
    <x:cfRule type="containsText" dxfId="61" priority="2" operator="containsText" text="PASS"/>
    <x:cfRule type="containsText" dxfId="62" priority="3" operator="containsText" text="BLOCKED"/>
    <x:cfRule type="containsText" dxfId="63" priority="4" operator="containsText" text="BOUN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7" hidden="0" customWidth="1"/>
    <x:col min="3" max="3" width="25" hidden="0" customWidth="1"/>
    <x:col min="4" max="4" width="24" hidden="0" customWidth="1"/>
    <x:col min="5" max="5" width="18" hidden="0" customWidth="1"/>
    <x:col min="6" max="6" width="18" hidden="0" customWidth="1"/>
    <x:col min="7" max="7" width="16" hidden="0" customWidth="1"/>
    <x:col min="8" max="8" width="15" hidden="0" customWidth="1"/>
    <x:col min="9" max="9" width="16" hidden="0" customWidth="1"/>
    <x:col min="10" max="10" width="19" hidden="0" customWidth="1"/>
    <x:col min="11" max="11" width="18" hidden="0" customWidth="1"/>
    <x:col min="12" max="12" width="20" hidden="0" customWidth="1"/>
    <x:col min="13" max="13" width="19" hidden="0" customWidth="1"/>
    <x:col min="14" max="14" width="14" hidden="0" customWidth="1"/>
  </x:cols>
  <x:sheetData>
    <x:row r="2">
      <x:c r="B2" s="57" t="str">
        <x:v>Quorum receiver geometry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102" t="str">
        <x:v>Receiver capacity must preserve physical separation, survivor selection and public release under the larger formations</x:v>
      </x:c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36" t="str">
        <x:v>Mode</x:v>
      </x:c>
      <x:c r="C6" s="37" t="str">
        <x:v>Envelope length m</x:v>
      </x:c>
      <x:c r="D6" s="37" t="str">
        <x:v>Envelope width m</x:v>
      </x:c>
      <x:c r="E6" s="37" t="str">
        <x:v>Zones / positions</x:v>
      </x:c>
      <x:c r="F6" s="37" t="str">
        <x:v>Formation vehicles</x:v>
      </x:c>
      <x:c r="G6" s="37" t="str">
        <x:v>Selected quorum</x:v>
      </x:c>
      <x:c r="H6" s="37" t="str">
        <x:v>Held carrier</x:v>
      </x:c>
      <x:c r="I6" s="37" t="str">
        <x:v>Separation km</x:v>
      </x:c>
      <x:c r="J6" s="37" t="str">
        <x:v>Gross footprint m2</x:v>
      </x:c>
      <x:c r="K6" s="37" t="str">
        <x:v>Per-position m2</x:v>
      </x:c>
      <x:c r="L6" s="37" t="str">
        <x:v>Independent ingress</x:v>
      </x:c>
      <x:c r="M6" s="37" t="str">
        <x:v>Independent utilities</x:v>
      </x:c>
      <x:c r="N6" s="37" t="str">
        <x:v>Result</x:v>
      </x:c>
    </x:row>
    <x:row r="7">
      <x:c r="B7" s="77" t="str">
        <x:v>atmospheric</x:v>
      </x:c>
      <x:c r="C7" s="77" t="n">
        <x:v>520</x:v>
      </x:c>
      <x:c r="D7" s="77" t="n">
        <x:v>460</x:v>
      </x:c>
      <x:c r="E7" s="77" t="n">
        <x:v>3</x:v>
      </x:c>
      <x:c r="F7" s="77" t="n">
        <x:v>3</x:v>
      </x:c>
      <x:c r="G7" s="77" t="n">
        <x:v>2</x:v>
      </x:c>
      <x:c r="H7" s="77" t="n">
        <x:v>1</x:v>
      </x:c>
      <x:c r="I7" s="77" t="n">
        <x:v>5</x:v>
      </x:c>
      <x:c r="J7" s="77" t="n">
        <x:f>C7*D7</x:f>
        <x:v>239200</x:v>
      </x:c>
      <x:c r="K7" s="77" t="n">
        <x:f>J7/E7</x:f>
        <x:v>79733.33333333333</x:v>
      </x:c>
      <x:c r="L7" s="77" t="n">
        <x:v>1</x:v>
      </x:c>
      <x:c r="M7" s="77" t="n">
        <x:v>1</x:v>
      </x:c>
      <x:c r="N7" s="79" t="str">
        <x:f>IF(AND(E7&gt;=F7,H7=1,I7&gt;=5,L7=1,M7=1),"PASS","FAIL")</x:f>
        <x:v>PASS</x:v>
      </x:c>
    </x:row>
    <x:row r="8">
      <x:c r="B8" s="80" t="str">
        <x:v>terrain</x:v>
      </x:c>
      <x:c r="C8" s="80" t="n">
        <x:v>220</x:v>
      </x:c>
      <x:c r="D8" s="80" t="n">
        <x:v>140</x:v>
      </x:c>
      <x:c r="E8" s="80" t="n">
        <x:v>5</x:v>
      </x:c>
      <x:c r="F8" s="80" t="n">
        <x:v>5</x:v>
      </x:c>
      <x:c r="G8" s="80" t="n">
        <x:v>4</x:v>
      </x:c>
      <x:c r="H8" s="80" t="n">
        <x:v>1</x:v>
      </x:c>
      <x:c r="I8" s="80" t="n">
        <x:v>5</x:v>
      </x:c>
      <x:c r="J8" s="80" t="n">
        <x:f>C8*D8</x:f>
        <x:v>30800</x:v>
      </x:c>
      <x:c r="K8" s="80" t="n">
        <x:f>J8/E8</x:f>
        <x:v>6160</x:v>
      </x:c>
      <x:c r="L8" s="80" t="n">
        <x:v>1</x:v>
      </x:c>
      <x:c r="M8" s="80" t="n">
        <x:v>1</x:v>
      </x:c>
      <x:c r="N8" s="82" t="str">
        <x:f>IF(AND(E8&gt;=F8,H8=1,I8&gt;=5,L8=1,M8=1),"PASS","FAIL")</x:f>
        <x:v>PASS</x:v>
      </x:c>
    </x:row>
    <x:row r="9"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8"/>
    </x:row>
    <x:row r="10"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  <x:c r="N10" s="58"/>
    </x:row>
    <x:row r="11">
      <x:c r="B11" s="103" t="str">
        <x:v>Receiver state machine</x:v>
      </x:c>
      <x:c r="C11" s="104" t="str">
        <x:v>Receiver state machine</x:v>
      </x:c>
      <x:c r="D11" s="104" t="str">
        <x:v>Receiver state machine</x:v>
      </x:c>
      <x:c r="E11" s="104" t="str">
        <x:v>Receiver state machine</x:v>
      </x:c>
      <x:c r="F11" s="104" t="str">
        <x:v>Receiver state machine</x:v>
      </x:c>
      <x:c r="G11" s="104" t="str">
        <x:v>Receiver state machine</x:v>
      </x:c>
      <x:c r="H11" s="104" t="str">
        <x:v>Receiver state machine</x:v>
      </x:c>
      <x:c r="I11" s="104" t="str">
        <x:v>Receiver state machine</x:v>
      </x:c>
      <x:c r="J11" s="104" t="str">
        <x:v>Receiver state machine</x:v>
      </x:c>
      <x:c r="K11" s="104" t="str">
        <x:v>Receiver state machine</x:v>
      </x:c>
      <x:c r="L11" s="104" t="str">
        <x:v>Receiver state machine</x:v>
      </x:c>
      <x:c r="M11" s="104" t="str">
        <x:v>Receiver state machine</x:v>
      </x:c>
      <x:c r="N11" s="105" t="str">
        <x:v>Receiver state machine</x:v>
      </x:c>
    </x:row>
    <x:row r="12">
      <x:c r="B12" s="36" t="str">
        <x:v>State</x:v>
      </x:c>
      <x:c r="C12" s="37" t="str">
        <x:v>Condition</x:v>
      </x:c>
      <x:c r="D12" s="37" t="str">
        <x:v>Owner</x:v>
      </x:c>
      <x:c r="E12" s="37" t="str">
        <x:v>Hard rule</x:v>
      </x:c>
      <x:c r="F12" s="58"/>
      <x:c r="G12" s="58"/>
      <x:c r="H12" s="58"/>
      <x:c r="I12" s="58"/>
      <x:c r="J12" s="58"/>
      <x:c r="K12" s="58"/>
      <x:c r="L12" s="58"/>
      <x:c r="M12" s="58"/>
      <x:c r="N12" s="58"/>
    </x:row>
    <x:row r="13">
      <x:c r="B13" s="77" t="str">
        <x:v>R0</x:v>
      </x:c>
      <x:c r="C13" s="77" t="str">
        <x:v>survey and exclusion</x:v>
      </x:c>
      <x:c r="D13" s="77" t="str">
        <x:v>receiver authority</x:v>
      </x:c>
      <x:c r="E13" s="79" t="str">
        <x:v>no vehicle admission</x:v>
      </x:c>
      <x:c r="F13" s="58"/>
      <x:c r="G13" s="58"/>
      <x:c r="H13" s="58"/>
      <x:c r="I13" s="58"/>
      <x:c r="J13" s="58"/>
      <x:c r="K13" s="58"/>
      <x:c r="L13" s="58"/>
      <x:c r="M13" s="58"/>
      <x:c r="N13" s="58"/>
    </x:row>
    <x:row r="14">
      <x:c r="B14" s="77" t="str">
        <x:v>R1</x:v>
      </x:c>
      <x:c r="C14" s="77" t="str">
        <x:v>mode-specific ingress</x:v>
      </x:c>
      <x:c r="D14" s="77" t="str">
        <x:v>movement authority</x:v>
      </x:c>
      <x:c r="E14" s="79" t="str">
        <x:v>no public connection</x:v>
      </x:c>
      <x:c r="F14" s="58"/>
      <x:c r="G14" s="58"/>
      <x:c r="H14" s="58"/>
      <x:c r="I14" s="58"/>
      <x:c r="J14" s="58"/>
      <x:c r="K14" s="58"/>
      <x:c r="L14" s="58"/>
      <x:c r="M14" s="58"/>
      <x:c r="N14" s="58"/>
    </x:row>
    <x:row r="15">
      <x:c r="B15" s="77" t="str">
        <x:v>R2</x:v>
      </x:c>
      <x:c r="C15" s="77" t="str">
        <x:v>measured carrier state</x:v>
      </x:c>
      <x:c r="D15" s="77" t="str">
        <x:v>configuration authority</x:v>
      </x:c>
      <x:c r="E15" s="79" t="str">
        <x:v>select survivor quorum</x:v>
      </x:c>
      <x:c r="F15" s="58"/>
      <x:c r="G15" s="58"/>
      <x:c r="H15" s="58"/>
      <x:c r="I15" s="58"/>
      <x:c r="J15" s="58"/>
      <x:c r="K15" s="58"/>
      <x:c r="L15" s="58"/>
      <x:c r="M15" s="58"/>
      <x:c r="N15" s="58"/>
    </x:row>
    <x:row r="16">
      <x:c r="B16" s="77" t="str">
        <x:v>R3</x:v>
      </x:c>
      <x:c r="C16" s="77" t="str">
        <x:v>quorum unload</x:v>
      </x:c>
      <x:c r="D16" s="77" t="str">
        <x:v>payload authority</x:v>
      </x:c>
      <x:c r="E16" s="79" t="str">
        <x:v>held carrier isolated</x:v>
      </x:c>
      <x:c r="F16" s="58"/>
      <x:c r="G16" s="58"/>
      <x:c r="H16" s="58"/>
      <x:c r="I16" s="58"/>
      <x:c r="J16" s="58"/>
      <x:c r="K16" s="58"/>
      <x:c r="L16" s="58"/>
      <x:c r="M16" s="58"/>
      <x:c r="N16" s="58"/>
    </x:row>
    <x:row r="17">
      <x:c r="B17" s="77" t="str">
        <x:v>R4</x:v>
      </x:c>
      <x:c r="C17" s="77" t="str">
        <x:v>family assay</x:v>
      </x:c>
      <x:c r="D17" s="77" t="str">
        <x:v>functional authorities</x:v>
      </x:c>
      <x:c r="E17" s="79" t="str">
        <x:v>no cross-family substitution</x:v>
      </x:c>
      <x:c r="F17" s="58"/>
      <x:c r="G17" s="58"/>
      <x:c r="H17" s="58"/>
      <x:c r="I17" s="58"/>
      <x:c r="J17" s="58"/>
      <x:c r="K17" s="58"/>
      <x:c r="L17" s="58"/>
      <x:c r="M17" s="58"/>
      <x:c r="N17" s="58"/>
    </x:row>
    <x:row r="18">
      <x:c r="B18" s="77" t="str">
        <x:v>R5</x:v>
      </x:c>
      <x:c r="C18" s="77" t="str">
        <x:v>civil release</x:v>
      </x:c>
      <x:c r="D18" s="77" t="str">
        <x:v>civil service authority</x:v>
      </x:c>
      <x:c r="E18" s="79" t="str">
        <x:v>public reliance authorized</x:v>
      </x:c>
      <x:c r="F18" s="58"/>
      <x:c r="G18" s="58"/>
      <x:c r="H18" s="58"/>
      <x:c r="I18" s="58"/>
      <x:c r="J18" s="58"/>
      <x:c r="K18" s="58"/>
      <x:c r="L18" s="58"/>
      <x:c r="M18" s="58"/>
      <x:c r="N18" s="58"/>
    </x:row>
    <x:row r="19">
      <x:c r="B19" s="80" t="str">
        <x:v>R6</x:v>
      </x:c>
      <x:c r="C19" s="80" t="str">
        <x:v>post-release federation</x:v>
      </x:c>
      <x:c r="D19" s="80" t="str">
        <x:v>joint receiver command</x:v>
      </x:c>
      <x:c r="E19" s="82" t="str">
        <x:v>cross-tie may open</x:v>
      </x:c>
      <x:c r="F19" s="58"/>
      <x:c r="G19" s="58"/>
      <x:c r="H19" s="58"/>
      <x:c r="I19" s="58"/>
      <x:c r="J19" s="58"/>
      <x:c r="K19" s="58"/>
      <x:c r="L19" s="58"/>
      <x:c r="M19" s="58"/>
      <x:c r="N19" s="58"/>
    </x:row>
    <x:row r="20"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</x:row>
    <x:row r="21">
      <x:c r="B21" s="58"/>
      <x:c r="C21" s="58"/>
      <x:c r="D21" s="58"/>
      <x:c r="E21" s="58"/>
      <x:c r="F21" s="58"/>
      <x:c r="G21" s="58"/>
      <x:c r="H21" s="58"/>
      <x:c r="I21" s="58"/>
      <x:c r="J21" s="58"/>
      <x:c r="K21" s="58"/>
      <x:c r="L21" s="58"/>
      <x:c r="M21" s="58"/>
      <x:c r="N21" s="58"/>
    </x:row>
    <x:row r="22">
      <x:c r="B22" s="103" t="str">
        <x:v>Geometry admissions</x:v>
      </x:c>
      <x:c r="C22" s="104" t="str">
        <x:v>Geometry admissions</x:v>
      </x:c>
      <x:c r="D22" s="104" t="str">
        <x:v>Geometry admissions</x:v>
      </x:c>
      <x:c r="E22" s="104" t="str">
        <x:v>Geometry admissions</x:v>
      </x:c>
      <x:c r="F22" s="104" t="str">
        <x:v>Geometry admissions</x:v>
      </x:c>
      <x:c r="G22" s="104" t="str">
        <x:v>Geometry admissions</x:v>
      </x:c>
      <x:c r="H22" s="104" t="str">
        <x:v>Geometry admissions</x:v>
      </x:c>
      <x:c r="I22" s="104" t="str">
        <x:v>Geometry admissions</x:v>
      </x:c>
      <x:c r="J22" s="104" t="str">
        <x:v>Geometry admissions</x:v>
      </x:c>
      <x:c r="K22" s="104" t="str">
        <x:v>Geometry admissions</x:v>
      </x:c>
      <x:c r="L22" s="104" t="str">
        <x:v>Geometry admissions</x:v>
      </x:c>
      <x:c r="M22" s="104" t="str">
        <x:v>Geometry admissions</x:v>
      </x:c>
      <x:c r="N22" s="105" t="str">
        <x:v>Geometry admissions</x:v>
      </x:c>
    </x:row>
    <x:row r="23">
      <x:c r="B23" s="57" t="str">
        <x:v>Three-zone air receiver</x:v>
      </x:c>
      <x:c r="C23" s="58" t="str">
        <x:v>Each carrier has an arrest, isolation and transfer zone; the held carrier never shares the selected quorum's pre-release utility spine.</x:v>
      </x:c>
      <x:c r="D23" s="58" t="str"/>
      <x:c r="E23" s="58" t="str"/>
      <x:c r="F23" s="58" t="str"/>
      <x:c r="G23" s="58" t="str"/>
      <x:c r="H23" s="58" t="str"/>
      <x:c r="I23" s="58" t="str"/>
      <x:c r="J23" s="58" t="str"/>
      <x:c r="K23" s="58" t="str"/>
      <x:c r="L23" s="58" t="str"/>
      <x:c r="M23" s="58" t="str"/>
      <x:c r="N23" s="58" t="str"/>
    </x:row>
    <x:row r="24">
      <x:c r="B24" s="57" t="str">
        <x:v>Five-position terrain grid</x:v>
      </x:c>
      <x:c r="C24" s="58" t="str">
        <x:v>A three-by-two grid leaves one cell for survey, crane, casualty bypass or a quarantined vehicle.</x:v>
      </x:c>
      <x:c r="D24" s="58" t="str"/>
      <x:c r="E24" s="58" t="str"/>
      <x:c r="F24" s="58" t="str"/>
      <x:c r="G24" s="58" t="str"/>
      <x:c r="H24" s="58" t="str"/>
      <x:c r="I24" s="58" t="str"/>
      <x:c r="J24" s="58" t="str"/>
      <x:c r="K24" s="58" t="str"/>
      <x:c r="L24" s="58" t="str"/>
      <x:c r="M24" s="58" t="str"/>
      <x:c r="N24" s="58" t="str"/>
    </x:row>
    <x:row r="25">
      <x:c r="B25" s="57" t="str">
        <x:v>Five-kilometre rule</x:v>
      </x:c>
      <x:c r="C25" s="58" t="str">
        <x:v>Air and terrain receiver complexes remain separated until both service effects are independently released.</x:v>
      </x:c>
      <x:c r="D25" s="58" t="str"/>
      <x:c r="E25" s="58" t="str"/>
      <x:c r="F25" s="58" t="str"/>
      <x:c r="G25" s="58" t="str"/>
      <x:c r="H25" s="58" t="str"/>
      <x:c r="I25" s="58" t="str"/>
      <x:c r="J25" s="58" t="str"/>
      <x:c r="K25" s="58" t="str"/>
      <x:c r="L25" s="58" t="str"/>
      <x:c r="M25" s="58" t="str"/>
      <x:c r="N25" s="58" t="str"/>
    </x:row>
    <x:row r="26">
      <x:c r="B26" s="57" t="str">
        <x:v>No queue credit</x:v>
      </x:c>
      <x:c r="C26" s="58" t="str">
        <x:v>Envelope dimensions imply parallel work but receive no delay or throughput evidence credit.</x:v>
      </x:c>
      <x:c r="D26" s="58" t="str"/>
      <x:c r="E26" s="58" t="str"/>
      <x:c r="F26" s="58" t="str"/>
      <x:c r="G26" s="58" t="str"/>
      <x:c r="H26" s="58" t="str"/>
      <x:c r="I26" s="58" t="str"/>
      <x:c r="J26" s="58" t="str"/>
      <x:c r="K26" s="58" t="str"/>
      <x:c r="L26" s="58" t="str"/>
      <x:c r="M26" s="58" t="str"/>
      <x:c r="N26" s="58" t="str"/>
    </x:row>
    <x:row r="27">
      <x:c r="B27" s="57" t="str">
        <x:v>Held-carrier rule</x:v>
      </x:c>
      <x:c r="C27" s="58" t="str">
        <x:v>The unselected carrier is a controlled physical reserve, not a source of parts, fluid or energy before civil release.</x:v>
      </x:c>
      <x:c r="D27" s="58" t="str"/>
      <x:c r="E27" s="58" t="str"/>
      <x:c r="F27" s="58" t="str"/>
      <x:c r="G27" s="58" t="str"/>
      <x:c r="H27" s="58" t="str"/>
      <x:c r="I27" s="58" t="str"/>
      <x:c r="J27" s="58" t="str"/>
      <x:c r="K27" s="58" t="str"/>
      <x:c r="L27" s="58" t="str"/>
      <x:c r="M27" s="58" t="str"/>
      <x:c r="N27" s="58" t="str"/>
    </x:row>
    <x:row r="28">
      <x:c r="B28" s="57" t="str">
        <x:v>Stop rule</x:v>
      </x:c>
      <x:c r="C28" s="58" t="str">
        <x:v>If exclusion, heat, plume, soil, crane or egress tests cannot preserve parallel zones, the formation or site grows.</x:v>
      </x:c>
      <x:c r="D28" s="58" t="str"/>
      <x:c r="E28" s="58" t="str"/>
      <x:c r="F28" s="58" t="str"/>
      <x:c r="G28" s="58" t="str"/>
      <x:c r="H28" s="58" t="str"/>
      <x:c r="I28" s="58" t="str"/>
      <x:c r="J28" s="58" t="str"/>
      <x:c r="K28" s="58" t="str"/>
      <x:c r="L28" s="58" t="str"/>
      <x:c r="M28" s="58" t="str"/>
      <x:c r="N28" s="58" t="str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  <x:row r="35"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</x:row>
    <x:row r="36"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</x:row>
    <x:row r="37"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</x:row>
    <x:row r="38"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</x:row>
  </x:sheetData>
  <x:mergeCells>
    <x:mergeCell ref="B2:H2"/>
    <x:mergeCell ref="B3:H3"/>
    <x:mergeCell ref="B11:N11"/>
    <x:mergeCell ref="B22:N22"/>
  </x:mergeCells>
  <x:conditionalFormatting sqref="N7:N8">
    <x:cfRule type="containsText" dxfId="0" priority="1" operator="containsText" text="FAIL"/>
    <x:cfRule type="containsText" dxfId="1" priority="2" operator="containsText" text="PASS"/>
    <x:cfRule type="containsText" dxfId="2" priority="3" operator="containsText" text="BLOCKED"/>
    <x:cfRule type="containsText" dxfId="3" priority="4" operator="containsText" text="BOUN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5" hidden="0" customWidth="1"/>
    <x:col min="4" max="4" width="16" hidden="0" customWidth="1"/>
    <x:col min="5" max="5" width="25" hidden="0" customWidth="1"/>
    <x:col min="6" max="6" width="14" hidden="0" customWidth="1"/>
    <x:col min="7" max="7" width="15" hidden="0" customWidth="1"/>
    <x:col min="8" max="8" width="15" hidden="0" customWidth="1"/>
    <x:col min="9" max="9" width="16" hidden="0" customWidth="1"/>
    <x:col min="10" max="10" width="16" hidden="0" customWidth="1"/>
    <x:col min="11" max="11" width="14" hidden="0" customWidth="1"/>
    <x:col min="12" max="12" width="27" hidden="0" customWidth="1"/>
    <x:col min="13" max="13" width="14" hidden="0" customWidth="1"/>
    <x:col min="14" max="14" width="48" hidden="0" customWidth="1"/>
  </x:cols>
  <x:sheetData>
    <x:row r="2">
      <x:c r="B2" s="57" t="str">
        <x:v>Industrial ancestry firewall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</x:row>
    <x:row r="3">
      <x:c r="B3" s="102" t="str">
        <x:v>Common service semantics are permitted; common physical causes before civil release are not</x:v>
      </x:c>
      <x:c r="C3" s="102"/>
      <x:c r="D3" s="102"/>
      <x:c r="E3" s="102"/>
      <x:c r="F3" s="102"/>
      <x:c r="G3" s="102"/>
      <x:c r="H3" s="102"/>
      <x:c r="I3" s="102"/>
      <x:c r="J3" s="102"/>
      <x:c r="K3" s="102"/>
      <x:c r="L3" s="102"/>
      <x:c r="M3" s="102"/>
      <x:c r="N3" s="102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</x:row>
    <x:row r="6">
      <x:c r="B6" s="36" t="str">
        <x:v>Domain</x:v>
      </x:c>
      <x:c r="C6" s="37" t="str">
        <x:v>Air lineage</x:v>
      </x:c>
      <x:c r="D6" s="37" t="str">
        <x:v>Terrain lineage</x:v>
      </x:c>
      <x:c r="E6" s="37" t="str">
        <x:v>Shared semantics</x:v>
      </x:c>
      <x:c r="F6" s="37" t="str">
        <x:v>Shared design</x:v>
      </x:c>
      <x:c r="G6" s="37" t="str">
        <x:v>Shared supplier</x:v>
      </x:c>
      <x:c r="H6" s="37" t="str">
        <x:v>Shared firmware</x:v>
      </x:c>
      <x:c r="I6" s="37" t="str">
        <x:v>Shared authority</x:v>
      </x:c>
      <x:c r="J6" s="37" t="str">
        <x:v>Cut contained</x:v>
      </x:c>
      <x:c r="K6" s="37" t="str">
        <x:v>Evidence</x:v>
      </x:c>
      <x:c r="L6" s="37" t="str">
        <x:v>Owner</x:v>
      </x:c>
      <x:c r="M6" s="37" t="str">
        <x:v>Decision</x:v>
      </x:c>
      <x:c r="N6" s="37" t="str">
        <x:v>Notes</x:v>
      </x:c>
    </x:row>
    <x:row r="7">
      <x:c r="B7" s="77" t="str">
        <x:v>primary energy</x:v>
      </x:c>
      <x:c r="C7" s="77" t="str">
        <x:v>A-1</x:v>
      </x:c>
      <x:c r="D7" s="77" t="str">
        <x:v>T-1</x:v>
      </x:c>
      <x:c r="E7" s="77" t="str">
        <x:v>service-state schema</x:v>
      </x:c>
      <x:c r="F7" s="77" t="n">
        <x:v>0</x:v>
      </x:c>
      <x:c r="G7" s="77" t="n">
        <x:v>0</x:v>
      </x:c>
      <x:c r="H7" s="77" t="n">
        <x:v>0</x:v>
      </x:c>
      <x:c r="I7" s="77" t="n">
        <x:v>0</x:v>
      </x:c>
      <x:c r="J7" s="77" t="n">
        <x:f>IF(SUM(F7:I7)=0,1,0)</x:f>
        <x:v>1</x:v>
      </x:c>
      <x:c r="K7" s="77" t="str">
        <x:v>OPEN</x:v>
      </x:c>
      <x:c r="L7" s="77" t="str">
        <x:v>Independent Ancestry Authority</x:v>
      </x:c>
      <x:c r="M7" s="77" t="str">
        <x:f>IF(J7=1,"ADMIT","STOP")</x:f>
        <x:v>ADMIT</x:v>
      </x:c>
      <x:c r="N7" s="79" t="str">
        <x:v>zero evidence credit until bills of material and destructive common-cause trials exist</x:v>
      </x:c>
    </x:row>
    <x:row r="8">
      <x:c r="B8" s="77" t="str">
        <x:v>conversion power electronics</x:v>
      </x:c>
      <x:c r="C8" s="77" t="str">
        <x:v>A-2</x:v>
      </x:c>
      <x:c r="D8" s="77" t="str">
        <x:v>T-2</x:v>
      </x:c>
      <x:c r="E8" s="77" t="str">
        <x:v>service-state schema</x:v>
      </x:c>
      <x:c r="F8" s="77" t="n">
        <x:v>0</x:v>
      </x:c>
      <x:c r="G8" s="77" t="n">
        <x:v>0</x:v>
      </x:c>
      <x:c r="H8" s="77" t="n">
        <x:v>0</x:v>
      </x:c>
      <x:c r="I8" s="77" t="n">
        <x:v>0</x:v>
      </x:c>
      <x:c r="J8" s="77" t="n">
        <x:f>IF(SUM(F8:I8)=0,1,0)</x:f>
        <x:v>1</x:v>
      </x:c>
      <x:c r="K8" s="77" t="str">
        <x:v>OPEN</x:v>
      </x:c>
      <x:c r="L8" s="77" t="str">
        <x:v>Independent Ancestry Authority</x:v>
      </x:c>
      <x:c r="M8" s="77" t="str">
        <x:f>IF(J8=1,"ADMIT","STOP")</x:f>
        <x:v>ADMIT</x:v>
      </x:c>
      <x:c r="N8" s="79" t="str">
        <x:v>zero evidence credit until bills of material and destructive common-cause trials exist</x:v>
      </x:c>
    </x:row>
    <x:row r="9">
      <x:c r="B9" s="77" t="str">
        <x:v>electrical protection</x:v>
      </x:c>
      <x:c r="C9" s="77" t="str">
        <x:v>A-3</x:v>
      </x:c>
      <x:c r="D9" s="77" t="str">
        <x:v>T-3</x:v>
      </x:c>
      <x:c r="E9" s="77" t="str">
        <x:v>service-state schema</x:v>
      </x:c>
      <x:c r="F9" s="77" t="n">
        <x:v>0</x:v>
      </x:c>
      <x:c r="G9" s="77" t="n">
        <x:v>0</x:v>
      </x:c>
      <x:c r="H9" s="77" t="n">
        <x:v>0</x:v>
      </x:c>
      <x:c r="I9" s="77" t="n">
        <x:v>0</x:v>
      </x:c>
      <x:c r="J9" s="77" t="n">
        <x:f>IF(SUM(F9:I9)=0,1,0)</x:f>
        <x:v>1</x:v>
      </x:c>
      <x:c r="K9" s="77" t="str">
        <x:v>OPEN</x:v>
      </x:c>
      <x:c r="L9" s="77" t="str">
        <x:v>Independent Ancestry Authority</x:v>
      </x:c>
      <x:c r="M9" s="77" t="str">
        <x:f>IF(J9=1,"ADMIT","STOP")</x:f>
        <x:v>ADMIT</x:v>
      </x:c>
      <x:c r="N9" s="79" t="str">
        <x:v>zero evidence credit until bills of material and destructive common-cause trials exist</x:v>
      </x:c>
    </x:row>
    <x:row r="10">
      <x:c r="B10" s="77" t="str">
        <x:v>water membranes and chemistry</x:v>
      </x:c>
      <x:c r="C10" s="77" t="str">
        <x:v>A-4</x:v>
      </x:c>
      <x:c r="D10" s="77" t="str">
        <x:v>T-4</x:v>
      </x:c>
      <x:c r="E10" s="77" t="str">
        <x:v>service-state schema</x:v>
      </x:c>
      <x:c r="F10" s="77" t="n">
        <x:v>0</x:v>
      </x:c>
      <x:c r="G10" s="77" t="n">
        <x:v>0</x:v>
      </x:c>
      <x:c r="H10" s="77" t="n">
        <x:v>0</x:v>
      </x:c>
      <x:c r="I10" s="77" t="n">
        <x:v>0</x:v>
      </x:c>
      <x:c r="J10" s="77" t="n">
        <x:f>IF(SUM(F10:I10)=0,1,0)</x:f>
        <x:v>1</x:v>
      </x:c>
      <x:c r="K10" s="77" t="str">
        <x:v>OPEN</x:v>
      </x:c>
      <x:c r="L10" s="77" t="str">
        <x:v>Independent Ancestry Authority</x:v>
      </x:c>
      <x:c r="M10" s="77" t="str">
        <x:f>IF(J10=1,"ADMIT","STOP")</x:f>
        <x:v>ADMIT</x:v>
      </x:c>
      <x:c r="N10" s="79" t="str">
        <x:v>zero evidence credit until bills of material and destructive common-cause trials exist</x:v>
      </x:c>
    </x:row>
    <x:row r="11">
      <x:c r="B11" s="77" t="str">
        <x:v>thermal machines</x:v>
      </x:c>
      <x:c r="C11" s="77" t="str">
        <x:v>A-5</x:v>
      </x:c>
      <x:c r="D11" s="77" t="str">
        <x:v>T-5</x:v>
      </x:c>
      <x:c r="E11" s="77" t="str">
        <x:v>service-state schema</x:v>
      </x:c>
      <x:c r="F11" s="77" t="n">
        <x:v>0</x:v>
      </x:c>
      <x:c r="G11" s="77" t="n">
        <x:v>0</x:v>
      </x:c>
      <x:c r="H11" s="77" t="n">
        <x:v>0</x:v>
      </x:c>
      <x:c r="I11" s="77" t="n">
        <x:v>0</x:v>
      </x:c>
      <x:c r="J11" s="77" t="n">
        <x:f>IF(SUM(F11:I11)=0,1,0)</x:f>
        <x:v>1</x:v>
      </x:c>
      <x:c r="K11" s="77" t="str">
        <x:v>OPEN</x:v>
      </x:c>
      <x:c r="L11" s="77" t="str">
        <x:v>Independent Ancestry Authority</x:v>
      </x:c>
      <x:c r="M11" s="77" t="str">
        <x:f>IF(J11=1,"ADMIT","STOP")</x:f>
        <x:v>ADMIT</x:v>
      </x:c>
      <x:c r="N11" s="79" t="str">
        <x:v>zero evidence credit until bills of material and destructive common-cause trials exist</x:v>
      </x:c>
    </x:row>
    <x:row r="12">
      <x:c r="B12" s="77" t="str">
        <x:v>final heat rejection</x:v>
      </x:c>
      <x:c r="C12" s="77" t="str">
        <x:v>A-6</x:v>
      </x:c>
      <x:c r="D12" s="77" t="str">
        <x:v>T-6</x:v>
      </x:c>
      <x:c r="E12" s="77" t="str">
        <x:v>service-state schema</x:v>
      </x:c>
      <x:c r="F12" s="77" t="n">
        <x:v>0</x:v>
      </x:c>
      <x:c r="G12" s="77" t="n">
        <x:v>0</x:v>
      </x:c>
      <x:c r="H12" s="77" t="n">
        <x:v>0</x:v>
      </x:c>
      <x:c r="I12" s="77" t="n">
        <x:v>0</x:v>
      </x:c>
      <x:c r="J12" s="77" t="n">
        <x:f>IF(SUM(F12:I12)=0,1,0)</x:f>
        <x:v>1</x:v>
      </x:c>
      <x:c r="K12" s="77" t="str">
        <x:v>OPEN</x:v>
      </x:c>
      <x:c r="L12" s="77" t="str">
        <x:v>Independent Ancestry Authority</x:v>
      </x:c>
      <x:c r="M12" s="77" t="str">
        <x:f>IF(J12=1,"ADMIT","STOP")</x:f>
        <x:v>ADMIT</x:v>
      </x:c>
      <x:c r="N12" s="79" t="str">
        <x:v>zero evidence credit until bills of material and destructive common-cause trials exist</x:v>
      </x:c>
    </x:row>
    <x:row r="13">
      <x:c r="B13" s="77" t="str">
        <x:v>distribution hardware</x:v>
      </x:c>
      <x:c r="C13" s="77" t="str">
        <x:v>A-7</x:v>
      </x:c>
      <x:c r="D13" s="77" t="str">
        <x:v>T-7</x:v>
      </x:c>
      <x:c r="E13" s="77" t="str">
        <x:v>service-state schema</x:v>
      </x:c>
      <x:c r="F13" s="77" t="n">
        <x:v>0</x:v>
      </x:c>
      <x:c r="G13" s="77" t="n">
        <x:v>0</x:v>
      </x:c>
      <x:c r="H13" s="77" t="n">
        <x:v>0</x:v>
      </x:c>
      <x:c r="I13" s="77" t="n">
        <x:v>0</x:v>
      </x:c>
      <x:c r="J13" s="77" t="n">
        <x:f>IF(SUM(F13:I13)=0,1,0)</x:f>
        <x:v>1</x:v>
      </x:c>
      <x:c r="K13" s="77" t="str">
        <x:v>OPEN</x:v>
      </x:c>
      <x:c r="L13" s="77" t="str">
        <x:v>Independent Ancestry Authority</x:v>
      </x:c>
      <x:c r="M13" s="77" t="str">
        <x:f>IF(J13=1,"ADMIT","STOP")</x:f>
        <x:v>ADMIT</x:v>
      </x:c>
      <x:c r="N13" s="79" t="str">
        <x:v>zero evidence credit until bills of material and destructive common-cause trials exist</x:v>
      </x:c>
    </x:row>
    <x:row r="14">
      <x:c r="B14" s="77" t="str">
        <x:v>control kernel</x:v>
      </x:c>
      <x:c r="C14" s="77" t="str">
        <x:v>A-8</x:v>
      </x:c>
      <x:c r="D14" s="77" t="str">
        <x:v>T-8</x:v>
      </x:c>
      <x:c r="E14" s="77" t="str">
        <x:v>service-state schema</x:v>
      </x:c>
      <x:c r="F14" s="77" t="n">
        <x:v>0</x:v>
      </x:c>
      <x:c r="G14" s="77" t="n">
        <x:v>0</x:v>
      </x:c>
      <x:c r="H14" s="77" t="n">
        <x:v>0</x:v>
      </x:c>
      <x:c r="I14" s="77" t="n">
        <x:v>0</x:v>
      </x:c>
      <x:c r="J14" s="77" t="n">
        <x:f>IF(SUM(F14:I14)=0,1,0)</x:f>
        <x:v>1</x:v>
      </x:c>
      <x:c r="K14" s="77" t="str">
        <x:v>OPEN</x:v>
      </x:c>
      <x:c r="L14" s="77" t="str">
        <x:v>Independent Ancestry Authority</x:v>
      </x:c>
      <x:c r="M14" s="77" t="str">
        <x:f>IF(J14=1,"ADMIT","STOP")</x:f>
        <x:v>ADMIT</x:v>
      </x:c>
      <x:c r="N14" s="79" t="str">
        <x:v>zero evidence credit until bills of material and destructive common-cause trials exist</x:v>
      </x:c>
    </x:row>
    <x:row r="15">
      <x:c r="B15" s="77" t="str">
        <x:v>communications bearer</x:v>
      </x:c>
      <x:c r="C15" s="77" t="str">
        <x:v>A-9</x:v>
      </x:c>
      <x:c r="D15" s="77" t="str">
        <x:v>T-9</x:v>
      </x:c>
      <x:c r="E15" s="77" t="str">
        <x:v>service-state schema</x:v>
      </x:c>
      <x:c r="F15" s="77" t="n">
        <x:v>0</x:v>
      </x:c>
      <x:c r="G15" s="77" t="n">
        <x:v>0</x:v>
      </x:c>
      <x:c r="H15" s="77" t="n">
        <x:v>0</x:v>
      </x:c>
      <x:c r="I15" s="77" t="n">
        <x:v>0</x:v>
      </x:c>
      <x:c r="J15" s="77" t="n">
        <x:f>IF(SUM(F15:I15)=0,1,0)</x:f>
        <x:v>1</x:v>
      </x:c>
      <x:c r="K15" s="77" t="str">
        <x:v>OPEN</x:v>
      </x:c>
      <x:c r="L15" s="77" t="str">
        <x:v>Independent Ancestry Authority</x:v>
      </x:c>
      <x:c r="M15" s="77" t="str">
        <x:f>IF(J15=1,"ADMIT","STOP")</x:f>
        <x:v>ADMIT</x:v>
      </x:c>
      <x:c r="N15" s="79" t="str">
        <x:v>zero evidence credit until bills of material and destructive common-cause trials exist</x:v>
      </x:c>
    </x:row>
    <x:row r="16">
      <x:c r="B16" s="77" t="str">
        <x:v>navigation and localization</x:v>
      </x:c>
      <x:c r="C16" s="77" t="str">
        <x:v>A-10</x:v>
      </x:c>
      <x:c r="D16" s="77" t="str">
        <x:v>T-10</x:v>
      </x:c>
      <x:c r="E16" s="77" t="str">
        <x:v>service-state schema</x:v>
      </x:c>
      <x:c r="F16" s="77" t="n">
        <x:v>0</x:v>
      </x:c>
      <x:c r="G16" s="77" t="n">
        <x:v>0</x:v>
      </x:c>
      <x:c r="H16" s="77" t="n">
        <x:v>0</x:v>
      </x:c>
      <x:c r="I16" s="77" t="n">
        <x:v>0</x:v>
      </x:c>
      <x:c r="J16" s="77" t="n">
        <x:f>IF(SUM(F16:I16)=0,1,0)</x:f>
        <x:v>1</x:v>
      </x:c>
      <x:c r="K16" s="77" t="str">
        <x:v>OPEN</x:v>
      </x:c>
      <x:c r="L16" s="77" t="str">
        <x:v>Independent Ancestry Authority</x:v>
      </x:c>
      <x:c r="M16" s="77" t="str">
        <x:f>IF(J16=1,"ADMIT","STOP")</x:f>
        <x:v>ADMIT</x:v>
      </x:c>
      <x:c r="N16" s="79" t="str">
        <x:v>zero evidence credit until bills of material and destructive common-cause trials exist</x:v>
      </x:c>
    </x:row>
    <x:row r="17">
      <x:c r="B17" s="77" t="str">
        <x:v>structural connectors</x:v>
      </x:c>
      <x:c r="C17" s="77" t="str">
        <x:v>A-11</x:v>
      </x:c>
      <x:c r="D17" s="77" t="str">
        <x:v>T-11</x:v>
      </x:c>
      <x:c r="E17" s="77" t="str">
        <x:v>service-state schema</x:v>
      </x:c>
      <x:c r="F17" s="77" t="n">
        <x:v>0</x:v>
      </x:c>
      <x:c r="G17" s="77" t="n">
        <x:v>0</x:v>
      </x:c>
      <x:c r="H17" s="77" t="n">
        <x:v>0</x:v>
      </x:c>
      <x:c r="I17" s="77" t="n">
        <x:v>0</x:v>
      </x:c>
      <x:c r="J17" s="77" t="n">
        <x:f>IF(SUM(F17:I17)=0,1,0)</x:f>
        <x:v>1</x:v>
      </x:c>
      <x:c r="K17" s="77" t="str">
        <x:v>OPEN</x:v>
      </x:c>
      <x:c r="L17" s="77" t="str">
        <x:v>Independent Ancestry Authority</x:v>
      </x:c>
      <x:c r="M17" s="77" t="str">
        <x:f>IF(J17=1,"ADMIT","STOP")</x:f>
        <x:v>ADMIT</x:v>
      </x:c>
      <x:c r="N17" s="79" t="str">
        <x:v>zero evidence credit until bills of material and destructive common-cause trials exist</x:v>
      </x:c>
    </x:row>
    <x:row r="18">
      <x:c r="B18" s="80" t="str">
        <x:v>assay instruments</x:v>
      </x:c>
      <x:c r="C18" s="80" t="str">
        <x:v>A-12</x:v>
      </x:c>
      <x:c r="D18" s="80" t="str">
        <x:v>T-12</x:v>
      </x:c>
      <x:c r="E18" s="80" t="str">
        <x:v>service-state schema</x:v>
      </x:c>
      <x:c r="F18" s="80" t="n">
        <x:v>0</x:v>
      </x:c>
      <x:c r="G18" s="80" t="n">
        <x:v>0</x:v>
      </x:c>
      <x:c r="H18" s="80" t="n">
        <x:v>0</x:v>
      </x:c>
      <x:c r="I18" s="80" t="n">
        <x:v>0</x:v>
      </x:c>
      <x:c r="J18" s="80" t="n">
        <x:f>IF(SUM(F18:I18)=0,1,0)</x:f>
        <x:v>1</x:v>
      </x:c>
      <x:c r="K18" s="80" t="str">
        <x:v>OPEN</x:v>
      </x:c>
      <x:c r="L18" s="80" t="str">
        <x:v>Independent Ancestry Authority</x:v>
      </x:c>
      <x:c r="M18" s="80" t="str">
        <x:f>IF(J18=1,"ADMIT","STOP")</x:f>
        <x:v>ADMIT</x:v>
      </x:c>
      <x:c r="N18" s="82" t="str">
        <x:v>zero evidence credit until bills of material and destructive common-cause trials exist</x:v>
      </x:c>
    </x:row>
    <x:row r="19"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</x:row>
    <x:row r="20">
      <x:c r="B20" s="58"/>
      <x:c r="C20" s="58"/>
      <x:c r="D20" s="58"/>
      <x:c r="E20" s="58"/>
      <x:c r="F20" s="58"/>
      <x:c r="G20" s="58"/>
      <x:c r="H20" s="58"/>
      <x:c r="I20" s="58"/>
      <x:c r="J20" s="58"/>
      <x:c r="K20" s="58"/>
      <x:c r="L20" s="58"/>
      <x:c r="M20" s="58"/>
      <x:c r="N20" s="58"/>
    </x:row>
    <x:row r="21">
      <x:c r="B21" s="103" t="str">
        <x:v>Firewall doctrine</x:v>
      </x:c>
      <x:c r="C21" s="104" t="str">
        <x:v>Firewall doctrine</x:v>
      </x:c>
      <x:c r="D21" s="104" t="str">
        <x:v>Firewall doctrine</x:v>
      </x:c>
      <x:c r="E21" s="104" t="str">
        <x:v>Firewall doctrine</x:v>
      </x:c>
      <x:c r="F21" s="104" t="str">
        <x:v>Firewall doctrine</x:v>
      </x:c>
      <x:c r="G21" s="104" t="str">
        <x:v>Firewall doctrine</x:v>
      </x:c>
      <x:c r="H21" s="104" t="str">
        <x:v>Firewall doctrine</x:v>
      </x:c>
      <x:c r="I21" s="104" t="str">
        <x:v>Firewall doctrine</x:v>
      </x:c>
      <x:c r="J21" s="104" t="str">
        <x:v>Firewall doctrine</x:v>
      </x:c>
      <x:c r="K21" s="104" t="str">
        <x:v>Firewall doctrine</x:v>
      </x:c>
      <x:c r="L21" s="104" t="str">
        <x:v>Firewall doctrine</x:v>
      </x:c>
      <x:c r="M21" s="104" t="str">
        <x:v>Firewall doctrine</x:v>
      </x:c>
      <x:c r="N21" s="105" t="str">
        <x:v>Firewall doctrine</x:v>
      </x:c>
    </x:row>
    <x:row r="22">
      <x:c r="B22" s="57" t="str">
        <x:v>Semantic commonality</x:v>
      </x:c>
      <x:c r="C22" s="58" t="str">
        <x:v>Messages, connector intent, service units and assay records may be common because they make civil handoff legible.</x:v>
      </x:c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  <x:c r="L22" s="58" t="str"/>
      <x:c r="M22" s="58" t="str"/>
      <x:c r="N22" s="58" t="str"/>
    </x:row>
    <x:row r="23">
      <x:c r="B23" s="57" t="str">
        <x:v>Implementation separation</x:v>
      </x:c>
      <x:c r="C23" s="58" t="str">
        <x:v>Codebases, controllers, membranes, catalysts, protection devices and energy lineages remain mode-specific.</x:v>
      </x:c>
      <x:c r="D23" s="58" t="str"/>
      <x:c r="E23" s="58" t="str"/>
      <x:c r="F23" s="58" t="str"/>
      <x:c r="G23" s="58" t="str"/>
      <x:c r="H23" s="58" t="str"/>
      <x:c r="I23" s="58" t="str"/>
      <x:c r="J23" s="58" t="str"/>
      <x:c r="K23" s="58" t="str"/>
      <x:c r="L23" s="58" t="str"/>
      <x:c r="M23" s="58" t="str"/>
      <x:c r="N23" s="58" t="str"/>
    </x:row>
    <x:row r="24">
      <x:c r="B24" s="57" t="str">
        <x:v>Supplier is not lineage</x:v>
      </x:c>
      <x:c r="C24" s="58" t="str">
        <x:v>Two corporate names do not prove independence if they share sub-tier fabs, libraries, labs or feedstocks.</x:v>
      </x:c>
      <x:c r="D24" s="58" t="str"/>
      <x:c r="E24" s="58" t="str"/>
      <x:c r="F24" s="58" t="str"/>
      <x:c r="G24" s="58" t="str"/>
      <x:c r="H24" s="58" t="str"/>
      <x:c r="I24" s="58" t="str"/>
      <x:c r="J24" s="58" t="str"/>
      <x:c r="K24" s="58" t="str"/>
      <x:c r="L24" s="58" t="str"/>
      <x:c r="M24" s="58" t="str"/>
      <x:c r="N24" s="58" t="str"/>
    </x:row>
    <x:row r="25">
      <x:c r="B25" s="57" t="str">
        <x:v>Authority separation</x:v>
      </x:c>
      <x:c r="C25" s="58" t="str">
        <x:v>No program office may certify both implementations of the same service family.</x:v>
      </x:c>
      <x:c r="D25" s="58" t="str"/>
      <x:c r="E25" s="58" t="str"/>
      <x:c r="F25" s="58" t="str"/>
      <x:c r="G25" s="58" t="str"/>
      <x:c r="H25" s="58" t="str"/>
      <x:c r="I25" s="58" t="str"/>
      <x:c r="J25" s="58" t="str"/>
      <x:c r="K25" s="58" t="str"/>
      <x:c r="L25" s="58" t="str"/>
      <x:c r="M25" s="58" t="str"/>
      <x:c r="N25" s="58" t="str"/>
    </x:row>
    <x:row r="26">
      <x:c r="B26" s="57" t="str">
        <x:v>Cross-tie</x:v>
      </x:c>
      <x:c r="C26" s="58" t="str">
        <x:v>Only independently released service effects may federate; pre-release cross-tie is a prohibited hidden bridge.</x:v>
      </x:c>
      <x:c r="D26" s="58" t="str"/>
      <x:c r="E26" s="58" t="str"/>
      <x:c r="F26" s="58" t="str"/>
      <x:c r="G26" s="58" t="str"/>
      <x:c r="H26" s="58" t="str"/>
      <x:c r="I26" s="58" t="str"/>
      <x:c r="J26" s="58" t="str"/>
      <x:c r="K26" s="58" t="str"/>
      <x:c r="L26" s="58" t="str"/>
      <x:c r="M26" s="58" t="str"/>
      <x:c r="N26" s="58" t="str"/>
    </x:row>
    <x:row r="27">
      <x:c r="B27" s="57" t="str">
        <x:v>Stop rule</x:v>
      </x:c>
      <x:c r="C27" s="58" t="str">
        <x:v>A discovered common decisive cause removes compound-assurance credit until redesigned and re-proven.</x:v>
      </x:c>
      <x:c r="D27" s="58" t="str"/>
      <x:c r="E27" s="58" t="str"/>
      <x:c r="F27" s="58" t="str"/>
      <x:c r="G27" s="58" t="str"/>
      <x:c r="H27" s="58" t="str"/>
      <x:c r="I27" s="58" t="str"/>
      <x:c r="J27" s="58" t="str"/>
      <x:c r="K27" s="58" t="str"/>
      <x:c r="L27" s="58" t="str"/>
      <x:c r="M27" s="58" t="str"/>
      <x:c r="N27" s="58" t="str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</x:row>
  </x:sheetData>
  <x:mergeCells>
    <x:mergeCell ref="B2:H2"/>
    <x:mergeCell ref="B3:H3"/>
    <x:mergeCell ref="B21:N21"/>
  </x:mergeCells>
  <x:conditionalFormatting sqref="M7:M18">
    <x:cfRule type="containsText" dxfId="4" priority="1" operator="containsText" text="FAIL"/>
    <x:cfRule type="containsText" dxfId="5" priority="2" operator="containsText" text="PASS"/>
    <x:cfRule type="containsText" dxfId="6" priority="3" operator="containsText" text="BLOCKED"/>
    <x:cfRule type="containsText" dxfId="7" priority="4" operator="containsText" text="BOUN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1" hidden="0" customWidth="1"/>
    <x:col min="3" max="3" width="15" hidden="0" customWidth="1"/>
    <x:col min="4" max="4" width="17" hidden="0" customWidth="1"/>
    <x:col min="5" max="5" width="14" hidden="0" customWidth="1"/>
    <x:col min="6" max="6" width="16" hidden="0" customWidth="1"/>
    <x:col min="7" max="7" width="18" hidden="0" customWidth="1"/>
    <x:col min="8" max="8" width="16" hidden="0" customWidth="1"/>
    <x:col min="9" max="9" width="13" hidden="0" customWidth="1"/>
    <x:col min="10" max="10" width="25" hidden="0" customWidth="1"/>
    <x:col min="11" max="11" width="25" hidden="0" customWidth="1"/>
    <x:col min="12" max="12" width="15" hidden="0" customWidth="1"/>
    <x:col min="13" max="13" width="14" hidden="0" customWidth="1"/>
    <x:col min="14" max="14" width="14" hidden="0" customWidth="1"/>
  </x:cols>
  <x:sheetData>
    <x:row r="2">
      <x:c r="B2" s="96" t="str">
        <x:v>Crew, authority and casualty closure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</x:row>
    <x:row r="3">
      <x:c r="B3" s="97" t="str">
        <x:v>The compound formation adds survivor selection, configuration custody and independent release professions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58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5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</x:row>
    <x:row r="6">
      <x:c r="B6" s="18" t="str">
        <x:v>Function</x:v>
      </x:c>
      <x:c r="C6" s="19" t="str">
        <x:v>Air deployed</x:v>
      </x:c>
      <x:c r="D6" s="19" t="str">
        <x:v>Terrain deployed</x:v>
      </x:c>
      <x:c r="E6" s="19" t="str">
        <x:v>Joint deployed</x:v>
      </x:c>
      <x:c r="F6" s="19" t="str">
        <x:v>Air affiliated</x:v>
      </x:c>
      <x:c r="G6" s="19" t="str">
        <x:v>Terrain affiliated</x:v>
      </x:c>
      <x:c r="H6" s="19" t="str">
        <x:v>Joint affiliated</x:v>
      </x:c>
      <x:c r="I6" s="19" t="str">
        <x:v>Watch</x:v>
      </x:c>
      <x:c r="J6" s="19" t="str">
        <x:v>Independent owner</x:v>
      </x:c>
      <x:c r="K6" s="19" t="str">
        <x:v>Casualty substitute</x:v>
      </x:c>
      <x:c r="L6" s="19" t="str">
        <x:v>Dual-qualified</x:v>
      </x:c>
      <x:c r="M6" s="19" t="str">
        <x:v>Release role</x:v>
      </x:c>
      <x:c r="N6" s="19" t="str">
        <x:v>Evidence</x:v>
      </x:c>
      <x:c r="O6" s="19" t="str">
        <x:v>Result</x:v>
      </x:c>
    </x:row>
    <x:row r="7">
      <x:c r="B7" s="77" t="str">
        <x:v>carrier command and movement</x:v>
      </x:c>
      <x:c r="C7" s="77" t="n">
        <x:v>18</x:v>
      </x:c>
      <x:c r="D7" s="77" t="n">
        <x:v>20</x:v>
      </x:c>
      <x:c r="E7" s="77" t="n">
        <x:v>0</x:v>
      </x:c>
      <x:c r="F7" s="77" t="n">
        <x:v>40</x:v>
      </x:c>
      <x:c r="G7" s="77" t="n">
        <x:v>46</x:v>
      </x:c>
      <x:c r="H7" s="77" t="n">
        <x:v>0</x:v>
      </x:c>
      <x:c r="I7" s="77" t="n">
        <x:v>8</x:v>
      </x:c>
      <x:c r="J7" s="77" t="str">
        <x:v>mode command</x:v>
      </x:c>
      <x:c r="K7" s="77" t="str">
        <x:v>certified relief</x:v>
      </x:c>
      <x:c r="L7" s="77" t="n">
        <x:v>0</x:v>
      </x:c>
      <x:c r="M7" s="77" t="str">
        <x:v>vehicle</x:v>
      </x:c>
      <x:c r="N7" s="77" t="str">
        <x:v>OPEN</x:v>
      </x:c>
      <x:c r="O7" s="79" t="str">
        <x:f>IF(AND(J7&lt;&gt;"",K7&lt;&gt;"",L7&gt;=0),"PASS","FAIL")</x:f>
        <x:v>PASS</x:v>
      </x:c>
    </x:row>
    <x:row r="8">
      <x:c r="B8" s="77" t="str">
        <x:v>energy and electrical</x:v>
      </x:c>
      <x:c r="C8" s="77" t="n">
        <x:v>8</x:v>
      </x:c>
      <x:c r="D8" s="77" t="n">
        <x:v>8</x:v>
      </x:c>
      <x:c r="E8" s="77" t="n">
        <x:v>4</x:v>
      </x:c>
      <x:c r="F8" s="77" t="n">
        <x:v>18</x:v>
      </x:c>
      <x:c r="G8" s="77" t="n">
        <x:v>18</x:v>
      </x:c>
      <x:c r="H8" s="77" t="n">
        <x:v>10</x:v>
      </x:c>
      <x:c r="I8" s="77" t="n">
        <x:v>4</x:v>
      </x:c>
      <x:c r="J8" s="77" t="str">
        <x:v>energy authority</x:v>
      </x:c>
      <x:c r="K8" s="77" t="str">
        <x:v>other-mode prohibited</x:v>
      </x:c>
      <x:c r="L8" s="77" t="n">
        <x:v>0</x:v>
      </x:c>
      <x:c r="M8" s="77" t="str">
        <x:v>family</x:v>
      </x:c>
      <x:c r="N8" s="77" t="str">
        <x:v>OPEN</x:v>
      </x:c>
      <x:c r="O8" s="79" t="str">
        <x:f>IF(AND(J8&lt;&gt;"",K8&lt;&gt;"",L8&gt;=0),"PASS","FAIL")</x:f>
        <x:v>PASS</x:v>
      </x:c>
    </x:row>
    <x:row r="9">
      <x:c r="B9" s="77" t="str">
        <x:v>water and residuals</x:v>
      </x:c>
      <x:c r="C9" s="77" t="n">
        <x:v>6</x:v>
      </x:c>
      <x:c r="D9" s="77" t="n">
        <x:v>6</x:v>
      </x:c>
      <x:c r="E9" s="77" t="n">
        <x:v>4</x:v>
      </x:c>
      <x:c r="F9" s="77" t="n">
        <x:v>14</x:v>
      </x:c>
      <x:c r="G9" s="77" t="n">
        <x:v>14</x:v>
      </x:c>
      <x:c r="H9" s="77" t="n">
        <x:v>10</x:v>
      </x:c>
      <x:c r="I9" s="77" t="n">
        <x:v>3</x:v>
      </x:c>
      <x:c r="J9" s="77" t="str">
        <x:v>water authority</x:v>
      </x:c>
      <x:c r="K9" s="77" t="str">
        <x:v>other-mode prohibited</x:v>
      </x:c>
      <x:c r="L9" s="77" t="n">
        <x:v>0</x:v>
      </x:c>
      <x:c r="M9" s="77" t="str">
        <x:v>family</x:v>
      </x:c>
      <x:c r="N9" s="77" t="str">
        <x:v>OPEN</x:v>
      </x:c>
      <x:c r="O9" s="79" t="str">
        <x:f>IF(AND(J9&lt;&gt;"",K9&lt;&gt;"",L9&gt;=0),"PASS","FAIL")</x:f>
        <x:v>PASS</x:v>
      </x:c>
    </x:row>
    <x:row r="10">
      <x:c r="B10" s="77" t="str">
        <x:v>thermal and heat rejection</x:v>
      </x:c>
      <x:c r="C10" s="77" t="n">
        <x:v>6</x:v>
      </x:c>
      <x:c r="D10" s="77" t="n">
        <x:v>6</x:v>
      </x:c>
      <x:c r="E10" s="77" t="n">
        <x:v>4</x:v>
      </x:c>
      <x:c r="F10" s="77" t="n">
        <x:v>14</x:v>
      </x:c>
      <x:c r="G10" s="77" t="n">
        <x:v>14</x:v>
      </x:c>
      <x:c r="H10" s="77" t="n">
        <x:v>10</x:v>
      </x:c>
      <x:c r="I10" s="77" t="n">
        <x:v>3</x:v>
      </x:c>
      <x:c r="J10" s="77" t="str">
        <x:v>thermal authority</x:v>
      </x:c>
      <x:c r="K10" s="77" t="str">
        <x:v>other-mode prohibited</x:v>
      </x:c>
      <x:c r="L10" s="77" t="n">
        <x:v>0</x:v>
      </x:c>
      <x:c r="M10" s="77" t="str">
        <x:v>family</x:v>
      </x:c>
      <x:c r="N10" s="77" t="str">
        <x:v>OPEN</x:v>
      </x:c>
      <x:c r="O10" s="79" t="str">
        <x:f>IF(AND(J10&lt;&gt;"",K10&lt;&gt;"",L10&gt;=0),"PASS","FAIL")</x:f>
        <x:v>PASS</x:v>
      </x:c>
    </x:row>
    <x:row r="11">
      <x:c r="B11" s="77" t="str">
        <x:v>distribution and robotics</x:v>
      </x:c>
      <x:c r="C11" s="77" t="n">
        <x:v>6</x:v>
      </x:c>
      <x:c r="D11" s="77" t="n">
        <x:v>8</x:v>
      </x:c>
      <x:c r="E11" s="77" t="n">
        <x:v>4</x:v>
      </x:c>
      <x:c r="F11" s="77" t="n">
        <x:v>14</x:v>
      </x:c>
      <x:c r="G11" s="77" t="n">
        <x:v>18</x:v>
      </x:c>
      <x:c r="H11" s="77" t="n">
        <x:v>10</x:v>
      </x:c>
      <x:c r="I11" s="77" t="n">
        <x:v>3</x:v>
      </x:c>
      <x:c r="J11" s="77" t="str">
        <x:v>distribution authority</x:v>
      </x:c>
      <x:c r="K11" s="77" t="str">
        <x:v>same-lineage relief</x:v>
      </x:c>
      <x:c r="L11" s="77" t="n">
        <x:v>0</x:v>
      </x:c>
      <x:c r="M11" s="77" t="str">
        <x:v>family</x:v>
      </x:c>
      <x:c r="N11" s="77" t="str">
        <x:v>OPEN</x:v>
      </x:c>
      <x:c r="O11" s="79" t="str">
        <x:f>IF(AND(J11&lt;&gt;"",K11&lt;&gt;"",L11&gt;=0),"PASS","FAIL")</x:f>
        <x:v>PASS</x:v>
      </x:c>
    </x:row>
    <x:row r="12">
      <x:c r="B12" s="77" t="str">
        <x:v>civil control and assay</x:v>
      </x:c>
      <x:c r="C12" s="77" t="n">
        <x:v>4</x:v>
      </x:c>
      <x:c r="D12" s="77" t="n">
        <x:v>4</x:v>
      </x:c>
      <x:c r="E12" s="77" t="n">
        <x:v>8</x:v>
      </x:c>
      <x:c r="F12" s="77" t="n">
        <x:v>10</x:v>
      </x:c>
      <x:c r="G12" s="77" t="n">
        <x:v>10</x:v>
      </x:c>
      <x:c r="H12" s="77" t="n">
        <x:v>18</x:v>
      </x:c>
      <x:c r="I12" s="77" t="n">
        <x:v>5</x:v>
      </x:c>
      <x:c r="J12" s="77" t="str">
        <x:v>civil service authority</x:v>
      </x:c>
      <x:c r="K12" s="77" t="str">
        <x:v>independent checker</x:v>
      </x:c>
      <x:c r="L12" s="77" t="n">
        <x:v>0</x:v>
      </x:c>
      <x:c r="M12" s="77" t="str">
        <x:v>public</x:v>
      </x:c>
      <x:c r="N12" s="77" t="str">
        <x:v>OPEN</x:v>
      </x:c>
      <x:c r="O12" s="79" t="str">
        <x:f>IF(AND(J12&lt;&gt;"",K12&lt;&gt;"",L12&gt;=0),"PASS","FAIL")</x:f>
        <x:v>PASS</x:v>
      </x:c>
    </x:row>
    <x:row r="13">
      <x:c r="B13" s="77" t="str">
        <x:v>quorum compiler</x:v>
      </x:c>
      <x:c r="C13" s="77" t="n">
        <x:v>4</x:v>
      </x:c>
      <x:c r="D13" s="77" t="n">
        <x:v>4</x:v>
      </x:c>
      <x:c r="E13" s="77" t="n">
        <x:v>4</x:v>
      </x:c>
      <x:c r="F13" s="77" t="n">
        <x:v>10</x:v>
      </x:c>
      <x:c r="G13" s="77" t="n">
        <x:v>10</x:v>
      </x:c>
      <x:c r="H13" s="77" t="n">
        <x:v>10</x:v>
      </x:c>
      <x:c r="I13" s="77" t="n">
        <x:v>4</x:v>
      </x:c>
      <x:c r="J13" s="77" t="str">
        <x:v>configuration authority</x:v>
      </x:c>
      <x:c r="K13" s="77" t="str">
        <x:v>signed offline alternate</x:v>
      </x:c>
      <x:c r="L13" s="77" t="n">
        <x:v>0</x:v>
      </x:c>
      <x:c r="M13" s="77" t="str">
        <x:v>quorum</x:v>
      </x:c>
      <x:c r="N13" s="77" t="str">
        <x:v>OPEN</x:v>
      </x:c>
      <x:c r="O13" s="79" t="str">
        <x:f>IF(AND(J13&lt;&gt;"",K13&lt;&gt;"",L13&gt;=0),"PASS","FAIL")</x:f>
        <x:v>PASS</x:v>
      </x:c>
    </x:row>
    <x:row r="14">
      <x:c r="B14" s="77" t="str">
        <x:v>receiver and exclusion</x:v>
      </x:c>
      <x:c r="C14" s="77" t="n">
        <x:v>4</x:v>
      </x:c>
      <x:c r="D14" s="77" t="n">
        <x:v>4</x:v>
      </x:c>
      <x:c r="E14" s="77" t="n">
        <x:v>8</x:v>
      </x:c>
      <x:c r="F14" s="77" t="n">
        <x:v>10</x:v>
      </x:c>
      <x:c r="G14" s="77" t="n">
        <x:v>10</x:v>
      </x:c>
      <x:c r="H14" s="77" t="n">
        <x:v>18</x:v>
      </x:c>
      <x:c r="I14" s="77" t="n">
        <x:v>4</x:v>
      </x:c>
      <x:c r="J14" s="77" t="str">
        <x:v>receiver authority</x:v>
      </x:c>
      <x:c r="K14" s="77" t="str">
        <x:v>other receiver zone</x:v>
      </x:c>
      <x:c r="L14" s="77" t="n">
        <x:v>0</x:v>
      </x:c>
      <x:c r="M14" s="77" t="str">
        <x:v>admission</x:v>
      </x:c>
      <x:c r="N14" s="77" t="str">
        <x:v>OPEN</x:v>
      </x:c>
      <x:c r="O14" s="79" t="str">
        <x:f>IF(AND(J14&lt;&gt;"",K14&lt;&gt;"",L14&gt;=0),"PASS","FAIL")</x:f>
        <x:v>PASS</x:v>
      </x:c>
    </x:row>
    <x:row r="15">
      <x:c r="B15" s="77" t="str">
        <x:v>medical, access and liaison</x:v>
      </x:c>
      <x:c r="C15" s="77" t="n">
        <x:v>2</x:v>
      </x:c>
      <x:c r="D15" s="77" t="n">
        <x:v>2</x:v>
      </x:c>
      <x:c r="E15" s="77" t="n">
        <x:v>6</x:v>
      </x:c>
      <x:c r="F15" s="77" t="n">
        <x:v>6</x:v>
      </x:c>
      <x:c r="G15" s="77" t="n">
        <x:v>6</x:v>
      </x:c>
      <x:c r="H15" s="77" t="n">
        <x:v>14</x:v>
      </x:c>
      <x:c r="I15" s="77" t="n">
        <x:v>3</x:v>
      </x:c>
      <x:c r="J15" s="77" t="str">
        <x:v>civil service authority</x:v>
      </x:c>
      <x:c r="K15" s="77" t="str">
        <x:v>regional relief</x:v>
      </x:c>
      <x:c r="L15" s="77" t="n">
        <x:v>1</x:v>
      </x:c>
      <x:c r="M15" s="77" t="str">
        <x:v>public</x:v>
      </x:c>
      <x:c r="N15" s="77" t="str">
        <x:v>OPEN</x:v>
      </x:c>
      <x:c r="O15" s="79" t="str">
        <x:f>IF(AND(J15&lt;&gt;"",K15&lt;&gt;"",L15&gt;=0),"PASS","FAIL")</x:f>
        <x:v>PASS</x:v>
      </x:c>
    </x:row>
    <x:row r="16">
      <x:c r="B16" s="80" t="str">
        <x:v>repair and reserve</x:v>
      </x:c>
      <x:c r="C16" s="80" t="n">
        <x:v>4</x:v>
      </x:c>
      <x:c r="D16" s="80" t="n">
        <x:v>4</x:v>
      </x:c>
      <x:c r="E16" s="80" t="n">
        <x:v>2</x:v>
      </x:c>
      <x:c r="F16" s="80" t="n">
        <x:v>10</x:v>
      </x:c>
      <x:c r="G16" s="80" t="n">
        <x:v>10</x:v>
      </x:c>
      <x:c r="H16" s="80" t="n">
        <x:v>6</x:v>
      </x:c>
      <x:c r="I16" s="80" t="n">
        <x:v>2</x:v>
      </x:c>
      <x:c r="J16" s="80" t="str">
        <x:v>maintenance authority</x:v>
      </x:c>
      <x:c r="K16" s="80" t="str">
        <x:v>held carrier crew</x:v>
      </x:c>
      <x:c r="L16" s="80" t="n">
        <x:v>0</x:v>
      </x:c>
      <x:c r="M16" s="80" t="str">
        <x:v>reset</x:v>
      </x:c>
      <x:c r="N16" s="80" t="str">
        <x:v>OPEN</x:v>
      </x:c>
      <x:c r="O16" s="82" t="str">
        <x:f>IF(AND(J16&lt;&gt;"",K16&lt;&gt;"",L16&gt;=0),"PASS","FAIL")</x:f>
        <x:v>PASS</x:v>
      </x:c>
    </x:row>
    <x:row r="17">
      <x:c r="B17" s="58"/>
      <x:c r="C17" s="58"/>
      <x:c r="D17" s="58"/>
      <x:c r="E17" s="58"/>
      <x:c r="F17" s="58"/>
      <x:c r="G17" s="58"/>
      <x:c r="H17" s="58"/>
      <x:c r="I17" s="58"/>
      <x:c r="J17" s="58"/>
      <x:c r="K17" s="58"/>
      <x:c r="L17" s="58"/>
      <x:c r="M17" s="58"/>
      <x:c r="N17" s="58"/>
      <x:c r="O17" s="58"/>
    </x:row>
    <x:row r="18"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</x:row>
    <x:row r="19">
      <x:c r="B19" s="99" t="str">
        <x:v>Authority rules</x:v>
      </x:c>
      <x:c r="C19" s="100" t="str">
        <x:v>Authority rules</x:v>
      </x:c>
      <x:c r="D19" s="100" t="str">
        <x:v>Authority rules</x:v>
      </x:c>
      <x:c r="E19" s="100" t="str">
        <x:v>Authority rules</x:v>
      </x:c>
      <x:c r="F19" s="100" t="str">
        <x:v>Authority rules</x:v>
      </x:c>
      <x:c r="G19" s="100" t="str">
        <x:v>Authority rules</x:v>
      </x:c>
      <x:c r="H19" s="100" t="str">
        <x:v>Authority rules</x:v>
      </x:c>
      <x:c r="I19" s="100" t="str">
        <x:v>Authority rules</x:v>
      </x:c>
      <x:c r="J19" s="100" t="str">
        <x:v>Authority rules</x:v>
      </x:c>
      <x:c r="K19" s="100" t="str">
        <x:v>Authority rules</x:v>
      </x:c>
      <x:c r="L19" s="100" t="str">
        <x:v>Authority rules</x:v>
      </x:c>
      <x:c r="M19" s="100" t="str">
        <x:v>Authority rules</x:v>
      </x:c>
      <x:c r="N19" s="100" t="str">
        <x:v>Authority rules</x:v>
      </x:c>
      <x:c r="O19" s="101" t="str">
        <x:v>Authority rules</x:v>
      </x:c>
    </x:row>
    <x:row r="20">
      <x:c r="B20" s="83" t="str">
        <x:v>No pilot release</x:v>
      </x:c>
      <x:c r="C20" s="58" t="str">
        <x:v>Carrier command can deliver a payload but cannot certify a service family or public effect.</x:v>
      </x:c>
      <x:c r="D20" s="58" t="str"/>
      <x:c r="E20" s="58" t="str"/>
      <x:c r="F20" s="58" t="str"/>
      <x:c r="G20" s="58" t="str"/>
      <x:c r="H20" s="58" t="str"/>
      <x:c r="I20" s="58" t="str"/>
      <x:c r="J20" s="58" t="str"/>
      <x:c r="K20" s="58" t="str"/>
      <x:c r="L20" s="58" t="str"/>
      <x:c r="M20" s="58" t="str"/>
      <x:c r="N20" s="58" t="str"/>
      <x:c r="O20" s="58"/>
    </x:row>
    <x:row r="21">
      <x:c r="B21" s="83" t="str">
        <x:v>Two signatures</x:v>
      </x:c>
      <x:c r="C21" s="58" t="str">
        <x:v>The quorum compiler and independent checker must sign the surviving physical configuration.</x:v>
      </x:c>
      <x:c r="D21" s="58" t="str"/>
      <x:c r="E21" s="58" t="str"/>
      <x:c r="F21" s="58" t="str"/>
      <x:c r="G21" s="58" t="str"/>
      <x:c r="H21" s="58" t="str"/>
      <x:c r="I21" s="58" t="str"/>
      <x:c r="J21" s="58" t="str"/>
      <x:c r="K21" s="58" t="str"/>
      <x:c r="L21" s="58" t="str"/>
      <x:c r="M21" s="58" t="str"/>
      <x:c r="N21" s="58" t="str"/>
      <x:c r="O21" s="58"/>
    </x:row>
    <x:row r="22">
      <x:c r="B22" s="83" t="str">
        <x:v>Casualty closure</x:v>
      </x:c>
      <x:c r="C22" s="58" t="str">
        <x:v>Every decisive role has a named substitute that does not violate the ancestry firewall.</x:v>
      </x:c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  <x:c r="L22" s="58" t="str"/>
      <x:c r="M22" s="58" t="str"/>
      <x:c r="N22" s="58" t="str"/>
      <x:c r="O22" s="58"/>
    </x:row>
    <x:row r="23">
      <x:c r="B23" s="83" t="str">
        <x:v>Watch floor</x:v>
      </x:c>
      <x:c r="C23" s="58" t="str">
        <x:v>Continuous watch follows simultaneous origin, receiver, configuration and civil-release duties.</x:v>
      </x:c>
      <x:c r="D23" s="58" t="str"/>
      <x:c r="E23" s="58" t="str"/>
      <x:c r="F23" s="58" t="str"/>
      <x:c r="G23" s="58" t="str"/>
      <x:c r="H23" s="58" t="str"/>
      <x:c r="I23" s="58" t="str"/>
      <x:c r="J23" s="58" t="str"/>
      <x:c r="K23" s="58" t="str"/>
      <x:c r="L23" s="58" t="str"/>
      <x:c r="M23" s="58" t="str"/>
      <x:c r="N23" s="58" t="str"/>
      <x:c r="O23" s="58"/>
    </x:row>
    <x:row r="24">
      <x:c r="B24" s="83" t="str">
        <x:v>Dual qualification</x:v>
      </x:c>
      <x:c r="C24" s="58" t="str">
        <x:v>Limited to non-decisive liaison work; it does not erase technical independence.</x:v>
      </x:c>
      <x:c r="D24" s="58" t="str"/>
      <x:c r="E24" s="58" t="str"/>
      <x:c r="F24" s="58" t="str"/>
      <x:c r="G24" s="58" t="str"/>
      <x:c r="H24" s="58" t="str"/>
      <x:c r="I24" s="58" t="str"/>
      <x:c r="J24" s="58" t="str"/>
      <x:c r="K24" s="58" t="str"/>
      <x:c r="L24" s="58" t="str"/>
      <x:c r="M24" s="58" t="str"/>
      <x:c r="N24" s="58" t="str"/>
      <x:c r="O24" s="58"/>
    </x:row>
    <x:row r="25">
      <x:c r="B25" s="83" t="str">
        <x:v>Automation</x:v>
      </x:c>
      <x:c r="C25" s="58" t="str">
        <x:v>Decision support may enumerate quorums; humans remain accountable for release and stop decisions.</x:v>
      </x:c>
      <x:c r="D25" s="58" t="str"/>
      <x:c r="E25" s="58" t="str"/>
      <x:c r="F25" s="58" t="str"/>
      <x:c r="G25" s="58" t="str"/>
      <x:c r="H25" s="58" t="str"/>
      <x:c r="I25" s="58" t="str"/>
      <x:c r="J25" s="58" t="str"/>
      <x:c r="K25" s="58" t="str"/>
      <x:c r="L25" s="58" t="str"/>
      <x:c r="M25" s="58" t="str"/>
      <x:c r="N25" s="58" t="str"/>
      <x:c r="O25" s="58"/>
    </x:row>
    <x:row r="26">
      <x:c r="B26" s="83" t="str">
        <x:v>Open burden</x:v>
      </x:c>
      <x:c r="C26" s="58" t="str">
        <x:v>Task time, fatigue, school throughput and casualty substitution remain empirical gates.</x:v>
      </x:c>
      <x:c r="D26" s="58" t="str"/>
      <x:c r="E26" s="58" t="str"/>
      <x:c r="F26" s="58" t="str"/>
      <x:c r="G26" s="58" t="str"/>
      <x:c r="H26" s="58" t="str"/>
      <x:c r="I26" s="58" t="str"/>
      <x:c r="J26" s="58" t="str"/>
      <x:c r="K26" s="58" t="str"/>
      <x:c r="L26" s="58" t="str"/>
      <x:c r="M26" s="58" t="str"/>
      <x:c r="N26" s="58" t="str"/>
      <x:c r="O26" s="58"/>
    </x:row>
    <x:row r="27"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</x:row>
  </x:sheetData>
  <x:mergeCells>
    <x:mergeCell ref="B2:H2"/>
    <x:mergeCell ref="B3:H3"/>
    <x:mergeCell ref="B19:O19"/>
  </x:mergeCells>
  <x:conditionalFormatting sqref="O7:O16">
    <x:cfRule type="containsText" dxfId="64" priority="1" operator="containsText" text="FAIL"/>
    <x:cfRule type="containsText" dxfId="65" priority="2" operator="containsText" text="PASS"/>
    <x:cfRule type="containsText" dxfId="66" priority="3" operator="containsText" text="BLOCKED"/>
    <x:cfRule type="containsText" dxfId="67" priority="4" operator="containsText" text="BOUN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18" hidden="0" customWidth="1"/>
    <x:col min="4" max="4" width="18" hidden="0" customWidth="1"/>
    <x:col min="5" max="5" width="19" hidden="0" customWidth="1"/>
    <x:col min="6" max="6" width="16" hidden="0" customWidth="1"/>
    <x:col min="7" max="7" width="18" hidden="0" customWidth="1"/>
    <x:col min="8" max="8" width="21" hidden="0" customWidth="1"/>
    <x:col min="9" max="9" width="20" hidden="0" customWidth="1"/>
    <x:col min="10" max="10" width="21" hidden="0" customWidth="1"/>
    <x:col min="11" max="11" width="14" hidden="0" customWidth="1"/>
    <x:col min="12" max="12" width="14" hidden="0" customWidth="1"/>
    <x:col min="13" max="13" width="18" hidden="0" customWidth="1"/>
    <x:col min="14" max="14" width="14" hidden="0" customWidth="1"/>
  </x:cols>
  <x:sheetData>
    <x:row r="2">
      <x:c r="B2" s="96" t="str">
        <x:v>Reset, fleet and production boundary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</x:row>
    <x:row r="3">
      <x:c r="B3" s="97" t="str">
        <x:v>One extra carrier per ready formation changes article count, receiver burden and industrial cadence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58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5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</x:row>
    <x:row r="6">
      <x:c r="B6" s="18" t="str">
        <x:v>Mode</x:v>
      </x:c>
      <x:c r="C6" s="19" t="str">
        <x:v>Baseline operational</x:v>
      </x:c>
      <x:c r="D6" s="19" t="str">
        <x:v>Selected operational</x:v>
      </x:c>
      <x:c r="E6" s="19" t="str">
        <x:v>Selected reserve</x:v>
      </x:c>
      <x:c r="F6" s="19" t="str">
        <x:v>Development</x:v>
      </x:c>
      <x:c r="G6" s="19" t="str">
        <x:v>Selected articles</x:v>
      </x:c>
      <x:c r="H6" s="19" t="str">
        <x:v>Full duplication operational</x:v>
      </x:c>
      <x:c r="I6" s="19" t="str">
        <x:v>Full duplication reserve</x:v>
      </x:c>
      <x:c r="J6" s="19" t="str">
        <x:v>Full duplication articles</x:v>
      </x:c>
      <x:c r="K6" s="19" t="str">
        <x:v>Reset h</x:v>
      </x:c>
      <x:c r="L6" s="19" t="str">
        <x:v>Ceiling h</x:v>
      </x:c>
      <x:c r="M6" s="19" t="str">
        <x:v>Ready formations</x:v>
      </x:c>
      <x:c r="N6" s="19" t="str">
        <x:v>Spare per formation</x:v>
      </x:c>
      <x:c r="O6" s="19" t="str">
        <x:v>Result</x:v>
      </x:c>
    </x:row>
    <x:row r="7">
      <x:c r="B7" s="77" t="str">
        <x:v>air</x:v>
      </x:c>
      <x:c r="C7" s="77" t="n">
        <x:v>86</x:v>
      </x:c>
      <x:c r="D7" s="77" t="n">
        <x:v>129</x:v>
      </x:c>
      <x:c r="E7" s="77" t="n">
        <x:v>26</x:v>
      </x:c>
      <x:c r="F7" s="77" t="n">
        <x:v>14</x:v>
      </x:c>
      <x:c r="G7" s="77" t="n">
        <x:f>SUM(D7:F7)</x:f>
        <x:v>169</x:v>
      </x:c>
      <x:c r="H7" s="77" t="n">
        <x:v>172</x:v>
      </x:c>
      <x:c r="I7" s="77" t="n">
        <x:v>35</x:v>
      </x:c>
      <x:c r="J7" s="77" t="n">
        <x:f>SUM(H7:I7)+F7</x:f>
        <x:v>221</x:v>
      </x:c>
      <x:c r="K7" s="77" t="n">
        <x:v>162</x:v>
      </x:c>
      <x:c r="L7" s="77" t="n">
        <x:v>168</x:v>
      </x:c>
      <x:c r="M7" s="77" t="n">
        <x:f>Assumptions!C36</x:f>
        <x:v>43</x:v>
      </x:c>
      <x:c r="N7" s="77" t="n">
        <x:f>D7/M7-2</x:f>
        <x:v>1</x:v>
      </x:c>
      <x:c r="O7" s="79" t="str">
        <x:f>IF(AND(N7=1,K7&lt;=L7),"PASS","FAIL")</x:f>
        <x:v>PASS</x:v>
      </x:c>
    </x:row>
    <x:row r="8">
      <x:c r="B8" s="80" t="str">
        <x:v>terrain</x:v>
      </x:c>
      <x:c r="C8" s="80" t="n">
        <x:v>172</x:v>
      </x:c>
      <x:c r="D8" s="80" t="n">
        <x:v>215</x:v>
      </x:c>
      <x:c r="E8" s="80" t="n">
        <x:v>43</x:v>
      </x:c>
      <x:c r="F8" s="80" t="n">
        <x:v>12</x:v>
      </x:c>
      <x:c r="G8" s="80" t="n">
        <x:f>SUM(D8:F8)</x:f>
        <x:v>270</x:v>
      </x:c>
      <x:c r="H8" s="80" t="n">
        <x:v>344</x:v>
      </x:c>
      <x:c r="I8" s="80" t="n">
        <x:v>69</x:v>
      </x:c>
      <x:c r="J8" s="80" t="n">
        <x:f>SUM(H8:I8)+F8</x:f>
        <x:v>425</x:v>
      </x:c>
      <x:c r="K8" s="80" t="n">
        <x:v>166</x:v>
      </x:c>
      <x:c r="L8" s="80" t="n">
        <x:v>168</x:v>
      </x:c>
      <x:c r="M8" s="80" t="n">
        <x:f>Assumptions!C36</x:f>
        <x:v>43</x:v>
      </x:c>
      <x:c r="N8" s="80" t="n">
        <x:f>D8/M8-4</x:f>
        <x:v>1</x:v>
      </x:c>
      <x:c r="O8" s="82" t="str">
        <x:f>IF(AND(N8=1,K8&lt;=L8),"PASS","FAIL")</x:f>
        <x:v>PASS</x:v>
      </x:c>
    </x:row>
    <x:row r="9">
      <x:c r="B9" s="58"/>
      <x:c r="C9" s="58"/>
      <x:c r="D9" s="58"/>
      <x:c r="E9" s="58"/>
      <x:c r="F9" s="58"/>
      <x:c r="G9" s="58"/>
      <x:c r="H9" s="58"/>
      <x:c r="I9" s="58"/>
      <x:c r="J9" s="58"/>
      <x:c r="K9" s="58"/>
      <x:c r="L9" s="58"/>
      <x:c r="M9" s="58"/>
      <x:c r="N9" s="58"/>
      <x:c r="O9" s="58"/>
    </x:row>
    <x:row r="10">
      <x:c r="B10" s="58"/>
      <x:c r="C10" s="58"/>
      <x:c r="D10" s="58"/>
      <x:c r="E10" s="58"/>
      <x:c r="F10" s="58"/>
      <x:c r="G10" s="58"/>
      <x:c r="H10" s="58"/>
      <x:c r="I10" s="58"/>
      <x:c r="J10" s="58"/>
      <x:c r="K10" s="58"/>
      <x:c r="L10" s="58"/>
      <x:c r="M10" s="58"/>
      <x:c r="N10" s="58"/>
      <x:c r="O10" s="58"/>
    </x:row>
    <x:row r="11">
      <x:c r="B11" s="99" t="str">
        <x:v>Article totals and production burden</x:v>
      </x:c>
      <x:c r="C11" s="100" t="str">
        <x:v>Article totals and production burden</x:v>
      </x:c>
      <x:c r="D11" s="100" t="str">
        <x:v>Article totals and production burden</x:v>
      </x:c>
      <x:c r="E11" s="100" t="str">
        <x:v>Article totals and production burden</x:v>
      </x:c>
      <x:c r="F11" s="100" t="str">
        <x:v>Article totals and production burden</x:v>
      </x:c>
      <x:c r="G11" s="100" t="str">
        <x:v>Article totals and production burden</x:v>
      </x:c>
      <x:c r="H11" s="100" t="str">
        <x:v>Article totals and production burden</x:v>
      </x:c>
      <x:c r="I11" s="100" t="str">
        <x:v>Article totals and production burden</x:v>
      </x:c>
      <x:c r="J11" s="100" t="str">
        <x:v>Article totals and production burden</x:v>
      </x:c>
      <x:c r="K11" s="100" t="str">
        <x:v>Article totals and production burden</x:v>
      </x:c>
      <x:c r="L11" s="100" t="str">
        <x:v>Article totals and production burden</x:v>
      </x:c>
      <x:c r="M11" s="100" t="str">
        <x:v>Article totals and production burden</x:v>
      </x:c>
      <x:c r="N11" s="100" t="str">
        <x:v>Article totals and production burden</x:v>
      </x:c>
      <x:c r="O11" s="101" t="str">
        <x:v>Article totals and production burden</x:v>
      </x:c>
    </x:row>
    <x:row r="12">
      <x:c r="B12" s="15" t="str">
        <x:v>Metric</x:v>
      </x:c>
      <x:c r="C12" s="16" t="str">
        <x:v>Baseline</x:v>
      </x:c>
      <x:c r="D12" s="16" t="str">
        <x:v>Selected</x:v>
      </x:c>
      <x:c r="E12" s="16" t="str">
        <x:v>Full duplication</x:v>
      </x:c>
      <x:c r="F12" s="17" t="str">
        <x:v>Unit</x:v>
      </x:c>
      <x:c r="G12" s="58"/>
      <x:c r="H12" s="58"/>
      <x:c r="I12" s="58"/>
      <x:c r="J12" s="58"/>
      <x:c r="K12" s="58"/>
      <x:c r="L12" s="58"/>
      <x:c r="M12" s="58"/>
      <x:c r="N12" s="58"/>
      <x:c r="O12" s="58"/>
    </x:row>
    <x:row r="13">
      <x:c r="B13" s="58" t="str">
        <x:v>Air articles</x:v>
      </x:c>
      <x:c r="C13" s="58" t="n">
        <x:v>118</x:v>
      </x:c>
      <x:c r="D13" s="58" t="n">
        <x:f>G7</x:f>
        <x:v>169</x:v>
      </x:c>
      <x:c r="E13" s="58" t="n">
        <x:f>J7</x:f>
        <x:v>221</x:v>
      </x:c>
      <x:c r="F13" s="58" t="str">
        <x:v>articles</x:v>
      </x:c>
      <x:c r="G13" s="58"/>
      <x:c r="H13" s="58"/>
      <x:c r="I13" s="58"/>
      <x:c r="J13" s="58"/>
      <x:c r="K13" s="58"/>
      <x:c r="L13" s="58"/>
      <x:c r="M13" s="58"/>
      <x:c r="N13" s="58"/>
      <x:c r="O13" s="58"/>
    </x:row>
    <x:row r="14">
      <x:c r="B14" s="58" t="str">
        <x:v>Terrain articles</x:v>
      </x:c>
      <x:c r="C14" s="58" t="n">
        <x:v>219</x:v>
      </x:c>
      <x:c r="D14" s="58" t="n">
        <x:f>G8</x:f>
        <x:v>270</x:v>
      </x:c>
      <x:c r="E14" s="58" t="n">
        <x:f>J8</x:f>
        <x:v>425</x:v>
      </x:c>
      <x:c r="F14" s="58" t="str">
        <x:v>articles</x:v>
      </x:c>
      <x:c r="G14" s="58"/>
      <x:c r="H14" s="58"/>
      <x:c r="I14" s="58"/>
      <x:c r="J14" s="58"/>
      <x:c r="K14" s="58"/>
      <x:c r="L14" s="58"/>
      <x:c r="M14" s="58"/>
      <x:c r="N14" s="58"/>
      <x:c r="O14" s="58"/>
    </x:row>
    <x:row r="15">
      <x:c r="B15" s="58" t="str">
        <x:v>Total articles</x:v>
      </x:c>
      <x:c r="C15" s="58" t="n">
        <x:v>337</x:v>
      </x:c>
      <x:c r="D15" s="58" t="n">
        <x:f>SUM(D13:D14)</x:f>
        <x:v>439</x:v>
      </x:c>
      <x:c r="E15" s="58" t="n">
        <x:f>SUM(E13:E14)</x:f>
        <x:v>646</x:v>
      </x:c>
      <x:c r="F15" s="58" t="str">
        <x:v>articles</x:v>
      </x:c>
      <x:c r="G15" s="58"/>
      <x:c r="H15" s="58"/>
      <x:c r="I15" s="58"/>
      <x:c r="J15" s="58"/>
      <x:c r="K15" s="58"/>
      <x:c r="L15" s="58"/>
      <x:c r="M15" s="58"/>
      <x:c r="N15" s="58"/>
      <x:c r="O15" s="58"/>
    </x:row>
    <x:row r="16">
      <x:c r="B16" s="58" t="str">
        <x:v>Increment vs baseline</x:v>
      </x:c>
      <x:c r="C16" s="58" t="n">
        <x:v>0</x:v>
      </x:c>
      <x:c r="D16" s="58" t="n">
        <x:f>D15-C15</x:f>
        <x:v>102</x:v>
      </x:c>
      <x:c r="E16" s="58" t="n">
        <x:f>E15-C15</x:f>
        <x:v>309</x:v>
      </x:c>
      <x:c r="F16" s="58" t="str">
        <x:v>articles</x:v>
      </x:c>
      <x:c r="G16" s="58"/>
      <x:c r="H16" s="58"/>
      <x:c r="I16" s="58"/>
      <x:c r="J16" s="58"/>
      <x:c r="K16" s="58"/>
      <x:c r="L16" s="58"/>
      <x:c r="M16" s="58"/>
      <x:c r="N16" s="58"/>
      <x:c r="O16" s="58"/>
    </x:row>
    <x:row r="17">
      <x:c r="B17" s="58" t="str">
        <x:v>Selected saving vs duplication</x:v>
      </x:c>
      <x:c r="C17" s="58" t="n">
        <x:v>0</x:v>
      </x:c>
      <x:c r="D17" s="58" t="n">
        <x:f>E15-D15</x:f>
        <x:v>207</x:v>
      </x:c>
      <x:c r="E17" s="58" t="n">
        <x:v>0</x:v>
      </x:c>
      <x:c r="F17" s="58" t="str">
        <x:v>articles</x:v>
      </x:c>
      <x:c r="G17" s="58"/>
      <x:c r="H17" s="58"/>
      <x:c r="I17" s="58"/>
      <x:c r="J17" s="58"/>
      <x:c r="K17" s="58"/>
      <x:c r="L17" s="58"/>
      <x:c r="M17" s="58"/>
      <x:c r="N17" s="58"/>
      <x:c r="O17" s="58"/>
    </x:row>
    <x:row r="18">
      <x:c r="B18" s="58"/>
      <x:c r="C18" s="58"/>
      <x:c r="D18" s="58"/>
      <x:c r="E18" s="58"/>
      <x:c r="F18" s="58"/>
      <x:c r="G18" s="58"/>
      <x:c r="H18" s="58"/>
      <x:c r="I18" s="58"/>
      <x:c r="J18" s="58"/>
      <x:c r="K18" s="58"/>
      <x:c r="L18" s="58"/>
      <x:c r="M18" s="58"/>
      <x:c r="N18" s="58"/>
      <x:c r="O18" s="58"/>
    </x:row>
    <x:row r="19">
      <x:c r="B19" s="58"/>
      <x:c r="C19" s="58"/>
      <x:c r="D19" s="58"/>
      <x:c r="E19" s="58"/>
      <x:c r="F19" s="58"/>
      <x:c r="G19" s="58"/>
      <x:c r="H19" s="58"/>
      <x:c r="I19" s="58"/>
      <x:c r="J19" s="58"/>
      <x:c r="K19" s="58"/>
      <x:c r="L19" s="58"/>
      <x:c r="M19" s="58"/>
      <x:c r="N19" s="58"/>
      <x:c r="O19" s="58"/>
    </x:row>
    <x:row r="20">
      <x:c r="B20" s="99" t="str">
        <x:v>Reset doctrine</x:v>
      </x:c>
      <x:c r="C20" s="100" t="str">
        <x:v>Reset doctrine</x:v>
      </x:c>
      <x:c r="D20" s="100" t="str">
        <x:v>Reset doctrine</x:v>
      </x:c>
      <x:c r="E20" s="100" t="str">
        <x:v>Reset doctrine</x:v>
      </x:c>
      <x:c r="F20" s="100" t="str">
        <x:v>Reset doctrine</x:v>
      </x:c>
      <x:c r="G20" s="100" t="str">
        <x:v>Reset doctrine</x:v>
      </x:c>
      <x:c r="H20" s="100" t="str">
        <x:v>Reset doctrine</x:v>
      </x:c>
      <x:c r="I20" s="100" t="str">
        <x:v>Reset doctrine</x:v>
      </x:c>
      <x:c r="J20" s="100" t="str">
        <x:v>Reset doctrine</x:v>
      </x:c>
      <x:c r="K20" s="100" t="str">
        <x:v>Reset doctrine</x:v>
      </x:c>
      <x:c r="L20" s="100" t="str">
        <x:v>Reset doctrine</x:v>
      </x:c>
      <x:c r="M20" s="100" t="str">
        <x:v>Reset doctrine</x:v>
      </x:c>
      <x:c r="N20" s="101" t="str">
        <x:v>Reset doctrine</x:v>
      </x:c>
      <x:c r="O20" s="58"/>
    </x:row>
    <x:row r="21">
      <x:c r="B21" s="83" t="str">
        <x:v>Controlled reserve</x:v>
      </x:c>
      <x:c r="C21" s="58" t="str">
        <x:v>The held carrier remains certified, loaded and isolated so it can replace a rejected survivor without contaminating the released quorum.</x:v>
      </x:c>
      <x:c r="D21" s="58" t="str"/>
      <x:c r="E21" s="58" t="str"/>
      <x:c r="F21" s="58" t="str"/>
      <x:c r="G21" s="58" t="str"/>
      <x:c r="H21" s="58" t="str"/>
      <x:c r="I21" s="58" t="str"/>
      <x:c r="J21" s="58" t="str"/>
      <x:c r="K21" s="58" t="str"/>
      <x:c r="L21" s="58" t="str"/>
      <x:c r="M21" s="58" t="str"/>
      <x:c r="N21" s="58" t="str"/>
      <x:c r="O21" s="58"/>
    </x:row>
    <x:row r="22">
      <x:c r="B22" s="83" t="str">
        <x:v>No cannibalization</x:v>
      </x:c>
      <x:c r="C22" s="58" t="str">
        <x:v>Parts, fluids, tiles and crew cannot be borrowed from the held carrier before a formal reconfiguration state.</x:v>
      </x:c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  <x:c r="L22" s="58" t="str"/>
      <x:c r="M22" s="58" t="str"/>
      <x:c r="N22" s="58" t="str"/>
      <x:c r="O22" s="58"/>
    </x:row>
    <x:row r="23">
      <x:c r="B23" s="83" t="str">
        <x:v>Parallel reset</x:v>
      </x:c>
      <x:c r="C23" s="58" t="str">
        <x:v>Vehicle, tile, receiver and crew reset paths are separate queues; formation reset equals the slowest certified path.</x:v>
      </x:c>
      <x:c r="D23" s="58" t="str"/>
      <x:c r="E23" s="58" t="str"/>
      <x:c r="F23" s="58" t="str"/>
      <x:c r="G23" s="58" t="str"/>
      <x:c r="H23" s="58" t="str"/>
      <x:c r="I23" s="58" t="str"/>
      <x:c r="J23" s="58" t="str"/>
      <x:c r="K23" s="58" t="str"/>
      <x:c r="L23" s="58" t="str"/>
      <x:c r="M23" s="58" t="str"/>
      <x:c r="N23" s="58" t="str"/>
      <x:c r="O23" s="58"/>
    </x:row>
    <x:row r="24">
      <x:c r="B24" s="83" t="str">
        <x:v>Development fleet</x:v>
      </x:c>
      <x:c r="C24" s="58" t="str">
        <x:v>Destructive proof articles remain outside operational and reserve counts.</x:v>
      </x:c>
      <x:c r="D24" s="58" t="str"/>
      <x:c r="E24" s="58" t="str"/>
      <x:c r="F24" s="58" t="str"/>
      <x:c r="G24" s="58" t="str"/>
      <x:c r="H24" s="58" t="str"/>
      <x:c r="I24" s="58" t="str"/>
      <x:c r="J24" s="58" t="str"/>
      <x:c r="K24" s="58" t="str"/>
      <x:c r="L24" s="58" t="str"/>
      <x:c r="M24" s="58" t="str"/>
      <x:c r="N24" s="58" t="str"/>
      <x:c r="O24" s="58"/>
    </x:row>
    <x:row r="25">
      <x:c r="B25" s="83" t="str">
        <x:v>Industrial cadence</x:v>
      </x:c>
      <x:c r="C25" s="58" t="str">
        <x:v>Selected DCP-2R requires 102 more articles than baseline; full duplication requires 309 more.</x:v>
      </x:c>
      <x:c r="D25" s="58" t="str"/>
      <x:c r="E25" s="58" t="str"/>
      <x:c r="F25" s="58" t="str"/>
      <x:c r="G25" s="58" t="str"/>
      <x:c r="H25" s="58" t="str"/>
      <x:c r="I25" s="58" t="str"/>
      <x:c r="J25" s="58" t="str"/>
      <x:c r="K25" s="58" t="str"/>
      <x:c r="L25" s="58" t="str"/>
      <x:c r="M25" s="58" t="str"/>
      <x:c r="N25" s="58" t="str"/>
      <x:c r="O25" s="58"/>
    </x:row>
    <x:row r="26">
      <x:c r="B26" s="83" t="str">
        <x:v>No attrition probability</x:v>
      </x:c>
      <x:c r="C26" s="58" t="str">
        <x:v>Reserve ratios are planning declarations, not loss forecasts.</x:v>
      </x:c>
      <x:c r="D26" s="58" t="str"/>
      <x:c r="E26" s="58" t="str"/>
      <x:c r="F26" s="58" t="str"/>
      <x:c r="G26" s="58" t="str"/>
      <x:c r="H26" s="58" t="str"/>
      <x:c r="I26" s="58" t="str"/>
      <x:c r="J26" s="58" t="str"/>
      <x:c r="K26" s="58" t="str"/>
      <x:c r="L26" s="58" t="str"/>
      <x:c r="M26" s="58" t="str"/>
      <x:c r="N26" s="58" t="str"/>
      <x:c r="O26" s="58"/>
    </x:row>
    <x:row r="27">
      <x:c r="B27" s="83" t="str">
        <x:v>Stop rule</x:v>
      </x:c>
      <x:c r="C27" s="58" t="str">
        <x:v>If 168-hour recertified reset cannot be demonstrated with realistic queues, formation count or capacity grows.</x:v>
      </x:c>
      <x:c r="D27" s="58" t="str"/>
      <x:c r="E27" s="58" t="str"/>
      <x:c r="F27" s="58" t="str"/>
      <x:c r="G27" s="58" t="str"/>
      <x:c r="H27" s="58" t="str"/>
      <x:c r="I27" s="58" t="str"/>
      <x:c r="J27" s="58" t="str"/>
      <x:c r="K27" s="58" t="str"/>
      <x:c r="L27" s="58" t="str"/>
      <x:c r="M27" s="58" t="str"/>
      <x:c r="N27" s="58" t="str"/>
      <x:c r="O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</x:row>
  </x:sheetData>
  <x:mergeCells>
    <x:mergeCell ref="B2:H2"/>
    <x:mergeCell ref="B3:H3"/>
    <x:mergeCell ref="B11:O11"/>
    <x:mergeCell ref="B20:N20"/>
  </x:mergeCells>
  <x:conditionalFormatting sqref="O7:O8">
    <x:cfRule type="containsText" dxfId="68" priority="1" operator="containsText" text="FAIL"/>
    <x:cfRule type="containsText" dxfId="69" priority="2" operator="containsText" text="PASS"/>
    <x:cfRule type="containsText" dxfId="70" priority="3" operator="containsText" text="BLOCKED"/>
    <x:cfRule type="containsText" dxfId="71" priority="4" operator="containsText" text="BOUN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28" hidden="0" customWidth="1"/>
    <x:col min="3" max="3" width="16" hidden="0" customWidth="1"/>
    <x:col min="4" max="4" width="16" hidden="0" customWidth="1"/>
    <x:col min="5" max="5" width="17" hidden="0" customWidth="1"/>
    <x:col min="6" max="6" width="18" hidden="0" customWidth="1"/>
    <x:col min="7" max="7" width="19" hidden="0" customWidth="1"/>
    <x:col min="8" max="8" width="16" hidden="0" customWidth="1"/>
    <x:col min="9" max="9" width="18" hidden="0" customWidth="1"/>
    <x:col min="10" max="10" width="19" hidden="0" customWidth="1"/>
    <x:col min="11" max="11" width="16" hidden="0" customWidth="1"/>
    <x:col min="12" max="12" width="19" hidden="0" customWidth="1"/>
    <x:col min="13" max="13" width="17" hidden="0" customWidth="1"/>
    <x:col min="14" max="14" width="14" hidden="0" customWidth="1"/>
  </x:cols>
  <x:sheetData>
    <x:row r="2">
      <x:c r="B2" s="96" t="str">
        <x:v>DCP-2R workforce boundary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</x:row>
    <x:row r="3">
      <x:c r="B3" s="97" t="str">
        <x:v>Compound assurance adds configuration, ancestry, receiver and casualty duties that cannot be virtualized away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58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5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</x:row>
    <x:row r="6">
      <x:c r="B6" s="18" t="str">
        <x:v>Element</x:v>
      </x:c>
      <x:c r="C6" s="19" t="str">
        <x:v>Deployed</x:v>
      </x:c>
      <x:c r="D6" s="19" t="str">
        <x:v>Affiliated</x:v>
      </x:c>
      <x:c r="E6" s="19" t="str">
        <x:v>Minimum watch</x:v>
      </x:c>
      <x:c r="F6" s="19" t="str">
        <x:v>Baseline deployed</x:v>
      </x:c>
      <x:c r="G6" s="19" t="str">
        <x:v>Baseline affiliated</x:v>
      </x:c>
      <x:c r="H6" s="19" t="str">
        <x:v>Baseline watch</x:v>
      </x:c>
      <x:c r="I6" s="19" t="str">
        <x:v>Increment deployed</x:v>
      </x:c>
      <x:c r="J6" s="19" t="str">
        <x:v>Increment affiliated</x:v>
      </x:c>
      <x:c r="K6" s="19" t="str">
        <x:v>Increment watch</x:v>
      </x:c>
      <x:c r="L6" s="19" t="str">
        <x:v>Affiliated / deployed</x:v>
      </x:c>
      <x:c r="M6" s="19" t="str">
        <x:v>Watch / deployed</x:v>
      </x:c>
      <x:c r="N6" s="19" t="str">
        <x:v>Evidence</x:v>
      </x:c>
      <x:c r="O6" s="19" t="str">
        <x:v>Result</x:v>
      </x:c>
    </x:row>
    <x:row r="7">
      <x:c r="B7" s="77" t="str">
        <x:v>baseline DCP-2</x:v>
      </x:c>
      <x:c r="C7" s="77" t="n">
        <x:v>758</x:v>
      </x:c>
      <x:c r="D7" s="77" t="n">
        <x:v>1699</x:v>
      </x:c>
      <x:c r="E7" s="77" t="n">
        <x:v>244</x:v>
      </x:c>
      <x:c r="F7" s="77" t="n">
        <x:v>758</x:v>
      </x:c>
      <x:c r="G7" s="77" t="n">
        <x:v>1699</x:v>
      </x:c>
      <x:c r="H7" s="77" t="n">
        <x:v>244</x:v>
      </x:c>
      <x:c r="I7" s="77" t="n">
        <x:f>C7-F7</x:f>
        <x:v>0</x:v>
      </x:c>
      <x:c r="J7" s="77" t="n">
        <x:f>D7-G7</x:f>
        <x:v>0</x:v>
      </x:c>
      <x:c r="K7" s="77" t="n">
        <x:f>E7-H7</x:f>
        <x:v>0</x:v>
      </x:c>
      <x:c r="L7" s="77" t="n">
        <x:f>D7/C7</x:f>
        <x:v>2.241424802110818</x:v>
      </x:c>
      <x:c r="M7" s="77" t="n">
        <x:f>E7/C7</x:f>
        <x:v>0.32189973614775724</x:v>
      </x:c>
      <x:c r="N7" s="77" t="str">
        <x:v>OPEN</x:v>
      </x:c>
      <x:c r="O7" s="79"/>
    </x:row>
    <x:row r="8">
      <x:c r="B8" s="77" t="str">
        <x:v>air reinforcement</x:v>
      </x:c>
      <x:c r="C8" s="77" t="n">
        <x:v>44</x:v>
      </x:c>
      <x:c r="D8" s="77" t="n">
        <x:v>96</x:v>
      </x:c>
      <x:c r="E8" s="77" t="n">
        <x:v>14</x:v>
      </x:c>
      <x:c r="F8" s="77" t="n">
        <x:v>0</x:v>
      </x:c>
      <x:c r="G8" s="77" t="n">
        <x:v>0</x:v>
      </x:c>
      <x:c r="H8" s="77" t="n">
        <x:v>0</x:v>
      </x:c>
      <x:c r="I8" s="77" t="n">
        <x:f>C8-F8</x:f>
        <x:v>44</x:v>
      </x:c>
      <x:c r="J8" s="77" t="n">
        <x:f>D8-G8</x:f>
        <x:v>96</x:v>
      </x:c>
      <x:c r="K8" s="77" t="n">
        <x:f>E8-H8</x:f>
        <x:v>14</x:v>
      </x:c>
      <x:c r="L8" s="77" t="n">
        <x:f>D8/C8</x:f>
        <x:v>2.1818181818181817</x:v>
      </x:c>
      <x:c r="M8" s="77" t="n">
        <x:f>E8/C8</x:f>
        <x:v>0.3181818181818182</x:v>
      </x:c>
      <x:c r="N8" s="77" t="str">
        <x:v>OPEN</x:v>
      </x:c>
      <x:c r="O8" s="79"/>
    </x:row>
    <x:row r="9">
      <x:c r="B9" s="77" t="str">
        <x:v>terrain reinforcement</x:v>
      </x:c>
      <x:c r="C9" s="77" t="n">
        <x:v>32</x:v>
      </x:c>
      <x:c r="D9" s="77" t="n">
        <x:v>72</x:v>
      </x:c>
      <x:c r="E9" s="77" t="n">
        <x:v>8</x:v>
      </x:c>
      <x:c r="F9" s="77" t="n">
        <x:v>0</x:v>
      </x:c>
      <x:c r="G9" s="77" t="n">
        <x:v>0</x:v>
      </x:c>
      <x:c r="H9" s="77" t="n">
        <x:v>0</x:v>
      </x:c>
      <x:c r="I9" s="77" t="n">
        <x:f>C9-F9</x:f>
        <x:v>32</x:v>
      </x:c>
      <x:c r="J9" s="77" t="n">
        <x:f>D9-G9</x:f>
        <x:v>72</x:v>
      </x:c>
      <x:c r="K9" s="77" t="n">
        <x:f>E9-H9</x:f>
        <x:v>8</x:v>
      </x:c>
      <x:c r="L9" s="77" t="n">
        <x:f>D9/C9</x:f>
        <x:v>2.25</x:v>
      </x:c>
      <x:c r="M9" s="77" t="n">
        <x:f>E9/C9</x:f>
        <x:v>0.25</x:v>
      </x:c>
      <x:c r="N9" s="77" t="str">
        <x:v>OPEN</x:v>
      </x:c>
      <x:c r="O9" s="79"/>
    </x:row>
    <x:row r="10">
      <x:c r="B10" s="77" t="str">
        <x:v>ESK and assurance</x:v>
      </x:c>
      <x:c r="C10" s="77" t="n">
        <x:v>48</x:v>
      </x:c>
      <x:c r="D10" s="77" t="n">
        <x:v>110</x:v>
      </x:c>
      <x:c r="E10" s="77" t="n">
        <x:v>12</x:v>
      </x:c>
      <x:c r="F10" s="77" t="n">
        <x:v>0</x:v>
      </x:c>
      <x:c r="G10" s="77" t="n">
        <x:v>0</x:v>
      </x:c>
      <x:c r="H10" s="77" t="n">
        <x:v>0</x:v>
      </x:c>
      <x:c r="I10" s="77" t="n">
        <x:f>C10-F10</x:f>
        <x:v>48</x:v>
      </x:c>
      <x:c r="J10" s="77" t="n">
        <x:f>D10-G10</x:f>
        <x:v>110</x:v>
      </x:c>
      <x:c r="K10" s="77" t="n">
        <x:f>E10-H10</x:f>
        <x:v>12</x:v>
      </x:c>
      <x:c r="L10" s="77" t="n">
        <x:f>D10/C10</x:f>
        <x:v>2.2916666666666665</x:v>
      </x:c>
      <x:c r="M10" s="77" t="n">
        <x:f>E10/C10</x:f>
        <x:v>0.25</x:v>
      </x:c>
      <x:c r="N10" s="77" t="str">
        <x:v>OPEN</x:v>
      </x:c>
      <x:c r="O10" s="79"/>
    </x:row>
    <x:row r="11">
      <x:c r="B11" s="77" t="str">
        <x:v>receiver expansion</x:v>
      </x:c>
      <x:c r="C11" s="77" t="n">
        <x:v>24</x:v>
      </x:c>
      <x:c r="D11" s="77" t="n">
        <x:v>54</x:v>
      </x:c>
      <x:c r="E11" s="77" t="n">
        <x:v>6</x:v>
      </x:c>
      <x:c r="F11" s="77" t="n">
        <x:v>0</x:v>
      </x:c>
      <x:c r="G11" s="77" t="n">
        <x:v>0</x:v>
      </x:c>
      <x:c r="H11" s="77" t="n">
        <x:v>0</x:v>
      </x:c>
      <x:c r="I11" s="77" t="n">
        <x:f>C11-F11</x:f>
        <x:v>24</x:v>
      </x:c>
      <x:c r="J11" s="77" t="n">
        <x:f>D11-G11</x:f>
        <x:v>54</x:v>
      </x:c>
      <x:c r="K11" s="77" t="n">
        <x:f>E11-H11</x:f>
        <x:v>6</x:v>
      </x:c>
      <x:c r="L11" s="77" t="n">
        <x:f>D11/C11</x:f>
        <x:v>2.25</x:v>
      </x:c>
      <x:c r="M11" s="77" t="n">
        <x:f>E11/C11</x:f>
        <x:v>0.25</x:v>
      </x:c>
      <x:c r="N11" s="77" t="str">
        <x:v>OPEN</x:v>
      </x:c>
      <x:c r="O11" s="79"/>
    </x:row>
    <x:row r="12">
      <x:c r="B12" s="77"/>
      <x:c r="C12" s="77"/>
      <x:c r="D12" s="77"/>
      <x:c r="E12" s="77"/>
      <x:c r="F12" s="77"/>
      <x:c r="G12" s="77"/>
      <x:c r="H12" s="77"/>
      <x:c r="I12" s="77"/>
      <x:c r="J12" s="77"/>
      <x:c r="K12" s="77"/>
      <x:c r="L12" s="77"/>
      <x:c r="M12" s="77"/>
      <x:c r="N12" s="77"/>
      <x:c r="O12" s="79"/>
    </x:row>
    <x:row r="13">
      <x:c r="B13" s="80" t="str">
        <x:v>DCP-2R total</x:v>
      </x:c>
      <x:c r="C13" s="80" t="n">
        <x:v>906</x:v>
      </x:c>
      <x:c r="D13" s="80" t="n">
        <x:v>2031</x:v>
      </x:c>
      <x:c r="E13" s="80" t="n">
        <x:v>284</x:v>
      </x:c>
      <x:c r="F13" s="80" t="n">
        <x:v>758</x:v>
      </x:c>
      <x:c r="G13" s="80" t="n">
        <x:v>1699</x:v>
      </x:c>
      <x:c r="H13" s="80" t="n">
        <x:v>244</x:v>
      </x:c>
      <x:c r="I13" s="80" t="n">
        <x:f>C13-F13</x:f>
        <x:v>148</x:v>
      </x:c>
      <x:c r="J13" s="80" t="n">
        <x:f>D13-G13</x:f>
        <x:v>332</x:v>
      </x:c>
      <x:c r="K13" s="80" t="n">
        <x:f>E13-H13</x:f>
        <x:v>40</x:v>
      </x:c>
      <x:c r="L13" s="80" t="n">
        <x:f>D13/C13</x:f>
        <x:v>2.2417218543046356</x:v>
      </x:c>
      <x:c r="M13" s="80" t="n">
        <x:f>E13/C13</x:f>
        <x:v>0.31346578366445915</x:v>
      </x:c>
      <x:c r="N13" s="80" t="str">
        <x:v>model</x:v>
      </x:c>
      <x:c r="O13" s="82" t="str">
        <x:f>IF(AND(C13=906,D13=2031,E13=284),"PASS","FAIL")</x:f>
        <x:v>PASS</x:v>
      </x:c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</x:row>
    <x:row r="15"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</x:row>
    <x:row r="16">
      <x:c r="B16" s="99" t="str">
        <x:v>Interpretation</x:v>
      </x:c>
      <x:c r="C16" s="100" t="str">
        <x:v>Interpretation</x:v>
      </x:c>
      <x:c r="D16" s="100" t="str">
        <x:v>Interpretation</x:v>
      </x:c>
      <x:c r="E16" s="100" t="str">
        <x:v>Interpretation</x:v>
      </x:c>
      <x:c r="F16" s="100" t="str">
        <x:v>Interpretation</x:v>
      </x:c>
      <x:c r="G16" s="100" t="str">
        <x:v>Interpretation</x:v>
      </x:c>
      <x:c r="H16" s="100" t="str">
        <x:v>Interpretation</x:v>
      </x:c>
      <x:c r="I16" s="100" t="str">
        <x:v>Interpretation</x:v>
      </x:c>
      <x:c r="J16" s="100" t="str">
        <x:v>Interpretation</x:v>
      </x:c>
      <x:c r="K16" s="100" t="str">
        <x:v>Interpretation</x:v>
      </x:c>
      <x:c r="L16" s="100" t="str">
        <x:v>Interpretation</x:v>
      </x:c>
      <x:c r="M16" s="100" t="str">
        <x:v>Interpretation</x:v>
      </x:c>
      <x:c r="N16" s="101" t="str">
        <x:v>Interpretation</x:v>
      </x:c>
      <x:c r="O16" s="58"/>
    </x:row>
    <x:row r="17">
      <x:c r="B17" s="83" t="str">
        <x:v>People are capability</x:v>
      </x:c>
      <x:c r="C17" s="58" t="str">
        <x:v>A physically redundant payload without independent configuration, assay, receiver and reset labor is not a redundant service.</x:v>
      </x:c>
      <x:c r="D17" s="58" t="str"/>
      <x:c r="E17" s="58" t="str"/>
      <x:c r="F17" s="58" t="str"/>
      <x:c r="G17" s="58" t="str"/>
      <x:c r="H17" s="58" t="str"/>
      <x:c r="I17" s="58" t="str"/>
      <x:c r="J17" s="58" t="str"/>
      <x:c r="K17" s="58" t="str"/>
      <x:c r="L17" s="58" t="str"/>
      <x:c r="M17" s="58" t="str"/>
      <x:c r="N17" s="58" t="str"/>
      <x:c r="O17" s="58"/>
    </x:row>
    <x:row r="18">
      <x:c r="B18" s="83" t="str">
        <x:v>Affiliated depth</x:v>
      </x:c>
      <x:c r="C18" s="58" t="str">
        <x:v>Schools, relief pools, depots, laboratories and authority staffs are included; contractor headcount is not.</x:v>
      </x:c>
      <x:c r="D18" s="58" t="str"/>
      <x:c r="E18" s="58" t="str"/>
      <x:c r="F18" s="58" t="str"/>
      <x:c r="G18" s="58" t="str"/>
      <x:c r="H18" s="58" t="str"/>
      <x:c r="I18" s="58" t="str"/>
      <x:c r="J18" s="58" t="str"/>
      <x:c r="K18" s="58" t="str"/>
      <x:c r="L18" s="58" t="str"/>
      <x:c r="M18" s="58" t="str"/>
      <x:c r="N18" s="58" t="str"/>
      <x:c r="O18" s="58"/>
    </x:row>
    <x:row r="19">
      <x:c r="B19" s="83" t="str">
        <x:v>Watch floor</x:v>
      </x:c>
      <x:c r="C19" s="58" t="str">
        <x:v>The 284-person floor is a simultaneous-duty hypothesis, not a staffing forecast.</x:v>
      </x:c>
      <x:c r="D19" s="58" t="str"/>
      <x:c r="E19" s="58" t="str"/>
      <x:c r="F19" s="58" t="str"/>
      <x:c r="G19" s="58" t="str"/>
      <x:c r="H19" s="58" t="str"/>
      <x:c r="I19" s="58" t="str"/>
      <x:c r="J19" s="58" t="str"/>
      <x:c r="K19" s="58" t="str"/>
      <x:c r="L19" s="58" t="str"/>
      <x:c r="M19" s="58" t="str"/>
      <x:c r="N19" s="58" t="str"/>
      <x:c r="O19" s="58"/>
    </x:row>
    <x:row r="20">
      <x:c r="B20" s="83" t="str">
        <x:v>Casualty burden</x:v>
      </x:c>
      <x:c r="C20" s="58" t="str">
        <x:v>A later model must enumerate named substitutes for every decisive duty during both-mode deployment.</x:v>
      </x:c>
      <x:c r="D20" s="58" t="str"/>
      <x:c r="E20" s="58" t="str"/>
      <x:c r="F20" s="58" t="str"/>
      <x:c r="G20" s="58" t="str"/>
      <x:c r="H20" s="58" t="str"/>
      <x:c r="I20" s="58" t="str"/>
      <x:c r="J20" s="58" t="str"/>
      <x:c r="K20" s="58" t="str"/>
      <x:c r="L20" s="58" t="str"/>
      <x:c r="M20" s="58" t="str"/>
      <x:c r="N20" s="58" t="str"/>
      <x:c r="O20" s="58"/>
    </x:row>
    <x:row r="21">
      <x:c r="B21" s="83" t="str">
        <x:v>Automation limit</x:v>
      </x:c>
      <x:c r="C21" s="58" t="str">
        <x:v>Automation can reduce enumeration time but cannot sign civil release or establish causal independence.</x:v>
      </x:c>
      <x:c r="D21" s="58" t="str"/>
      <x:c r="E21" s="58" t="str"/>
      <x:c r="F21" s="58" t="str"/>
      <x:c r="G21" s="58" t="str"/>
      <x:c r="H21" s="58" t="str"/>
      <x:c r="I21" s="58" t="str"/>
      <x:c r="J21" s="58" t="str"/>
      <x:c r="K21" s="58" t="str"/>
      <x:c r="L21" s="58" t="str"/>
      <x:c r="M21" s="58" t="str"/>
      <x:c r="N21" s="58" t="str"/>
      <x:c r="O21" s="58"/>
    </x:row>
    <x:row r="22">
      <x:c r="B22" s="83" t="str">
        <x:v>Stop rule</x:v>
      </x:c>
      <x:c r="C22" s="58" t="str">
        <x:v>Measured tasks, fatigue and school throughput may only increase this boundary until evidence supports compression.</x:v>
      </x:c>
      <x:c r="D22" s="58" t="str"/>
      <x:c r="E22" s="58" t="str"/>
      <x:c r="F22" s="58" t="str"/>
      <x:c r="G22" s="58" t="str"/>
      <x:c r="H22" s="58" t="str"/>
      <x:c r="I22" s="58" t="str"/>
      <x:c r="J22" s="58" t="str"/>
      <x:c r="K22" s="58" t="str"/>
      <x:c r="L22" s="58" t="str"/>
      <x:c r="M22" s="58" t="str"/>
      <x:c r="N22" s="58" t="str"/>
      <x:c r="O22" s="58"/>
    </x:row>
    <x:row r="23">
      <x:c r="B23" s="58"/>
      <x:c r="C23" s="58"/>
      <x:c r="D23" s="58"/>
      <x:c r="E23" s="58"/>
      <x:c r="F23" s="58"/>
      <x:c r="G23" s="58"/>
      <x:c r="H23" s="58"/>
      <x:c r="I23" s="58"/>
      <x:c r="J23" s="58"/>
      <x:c r="K23" s="58"/>
      <x:c r="L23" s="58"/>
      <x:c r="M23" s="58"/>
      <x:c r="N23" s="58"/>
      <x:c r="O23" s="58"/>
    </x:row>
    <x:row r="24">
      <x:c r="B24" s="58"/>
      <x:c r="C24" s="58"/>
      <x:c r="D24" s="58"/>
      <x:c r="E24" s="58"/>
      <x:c r="F24" s="58"/>
      <x:c r="G24" s="58"/>
      <x:c r="H24" s="58"/>
      <x:c r="I24" s="58"/>
      <x:c r="J24" s="58"/>
      <x:c r="K24" s="58"/>
      <x:c r="L24" s="58"/>
      <x:c r="M24" s="58"/>
      <x:c r="N24" s="58"/>
      <x:c r="O24" s="58"/>
    </x:row>
    <x:row r="25"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</x:row>
    <x:row r="26"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</x:row>
    <x:row r="27">
      <x:c r="B27" s="58"/>
      <x:c r="C27" s="58"/>
      <x:c r="D27" s="58"/>
      <x:c r="E27" s="58"/>
      <x:c r="F27" s="58"/>
      <x:c r="G27" s="58"/>
      <x:c r="H27" s="58"/>
      <x:c r="I27" s="58"/>
      <x:c r="J27" s="58"/>
      <x:c r="K27" s="58"/>
      <x:c r="L27" s="58"/>
      <x:c r="M27" s="58"/>
      <x:c r="N27" s="58"/>
      <x:c r="O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  <x:c r="K28" s="58"/>
      <x:c r="L28" s="58"/>
      <x:c r="M28" s="58"/>
      <x:c r="N28" s="58"/>
      <x:c r="O28" s="58"/>
    </x:row>
    <x:row r="29">
      <x:c r="B29" s="58"/>
      <x:c r="C29" s="58"/>
      <x:c r="D29" s="58"/>
      <x:c r="E29" s="58"/>
      <x:c r="F29" s="58"/>
      <x:c r="G29" s="58"/>
      <x:c r="H29" s="58"/>
      <x:c r="I29" s="58"/>
      <x:c r="J29" s="58"/>
      <x:c r="K29" s="58"/>
      <x:c r="L29" s="58"/>
      <x:c r="M29" s="58"/>
      <x:c r="N29" s="58"/>
      <x:c r="O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  <x:c r="K30" s="58"/>
      <x:c r="L30" s="58"/>
      <x:c r="M30" s="58"/>
      <x:c r="N30" s="58"/>
      <x:c r="O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  <x:c r="K31" s="58"/>
      <x:c r="L31" s="58"/>
      <x:c r="M31" s="58"/>
      <x:c r="N31" s="58"/>
      <x:c r="O31" s="58"/>
    </x:row>
    <x:row r="32">
      <x:c r="B32" s="58"/>
      <x:c r="C32" s="58"/>
      <x:c r="D32" s="58"/>
      <x:c r="E32" s="58"/>
      <x:c r="F32" s="58"/>
      <x:c r="G32" s="58"/>
      <x:c r="H32" s="58"/>
      <x:c r="I32" s="58"/>
      <x:c r="J32" s="58"/>
      <x:c r="K32" s="58"/>
      <x:c r="L32" s="58"/>
      <x:c r="M32" s="58"/>
      <x:c r="N32" s="58"/>
      <x:c r="O32" s="58"/>
    </x:row>
    <x:row r="33">
      <x:c r="B33" s="58"/>
      <x:c r="C33" s="58"/>
      <x:c r="D33" s="58"/>
      <x:c r="E33" s="58"/>
      <x:c r="F33" s="58"/>
      <x:c r="G33" s="58"/>
      <x:c r="H33" s="58"/>
      <x:c r="I33" s="58"/>
      <x:c r="J33" s="58"/>
      <x:c r="K33" s="58"/>
      <x:c r="L33" s="58"/>
      <x:c r="M33" s="58"/>
      <x:c r="N33" s="58"/>
      <x:c r="O33" s="58"/>
    </x:row>
    <x:row r="34">
      <x:c r="B34" s="58"/>
      <x:c r="C34" s="58"/>
      <x:c r="D34" s="58"/>
      <x:c r="E34" s="58"/>
      <x:c r="F34" s="58"/>
      <x:c r="G34" s="58"/>
      <x:c r="H34" s="58"/>
      <x:c r="I34" s="58"/>
      <x:c r="J34" s="58"/>
      <x:c r="K34" s="58"/>
      <x:c r="L34" s="58"/>
      <x:c r="M34" s="58"/>
      <x:c r="N34" s="58"/>
      <x:c r="O34" s="58"/>
    </x:row>
  </x:sheetData>
  <x:mergeCells>
    <x:mergeCell ref="B2:H2"/>
    <x:mergeCell ref="B3:H3"/>
    <x:mergeCell ref="B16:N16"/>
  </x:mergeCells>
  <x:conditionalFormatting sqref="O7:O13">
    <x:cfRule type="containsText" dxfId="72" priority="1" operator="containsText" text="FAIL"/>
    <x:cfRule type="containsText" dxfId="73" priority="2" operator="containsText" text="PASS"/>
    <x:cfRule type="containsText" dxfId="74" priority="3" operator="containsText" text="BLOCKED"/>
    <x:cfRule type="containsText" dxfId="75" priority="4" operator="containsText" text="BOUND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0" hidden="0" customWidth="1"/>
    <x:col min="3" max="3" width="18" hidden="0" customWidth="1"/>
    <x:col min="4" max="4" width="21" hidden="0" customWidth="1"/>
    <x:col min="5" max="5" width="18" hidden="0" customWidth="1"/>
    <x:col min="6" max="6" width="21" hidden="0" customWidth="1"/>
    <x:col min="7" max="7" width="20" hidden="0" customWidth="1"/>
    <x:col min="8" max="8" width="19" hidden="0" customWidth="1"/>
    <x:col min="9" max="9" width="18" hidden="0" customWidth="1"/>
    <x:col min="10" max="10" width="13" hidden="0" customWidth="1"/>
    <x:col min="11" max="11" width="16" hidden="0" customWidth="1"/>
    <x:col min="12" max="12" width="16" hidden="0" customWidth="1"/>
    <x:col min="13" max="13" width="15" hidden="0" customWidth="1"/>
    <x:col min="14" max="14" width="45" hidden="0" customWidth="1"/>
  </x:cols>
  <x:sheetData>
    <x:row r="2">
      <x:c r="B2" s="96" t="str">
        <x:v>DCP-2R program and national boundary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  <x:c r="M2" s="58"/>
      <x:c r="N2" s="58"/>
      <x:c r="O2" s="58"/>
    </x:row>
    <x:row r="3">
      <x:c r="B3" s="97" t="str">
        <x:v>Declared 25-year acquisition envelopes in billions of dollars; not appropriations forecasts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  <x:c r="M3" s="97"/>
      <x:c r="N3" s="97"/>
      <x:c r="O3" s="58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  <x:c r="M4" s="98"/>
      <x:c r="N4" s="98"/>
      <x:c r="O4" s="5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  <x:c r="M5" s="58"/>
      <x:c r="N5" s="58"/>
      <x:c r="O5" s="58"/>
    </x:row>
    <x:row r="6">
      <x:c r="B6" s="15" t="str">
        <x:v>Element</x:v>
      </x:c>
      <x:c r="C6" s="16" t="str">
        <x:v>Baseline $B</x:v>
      </x:c>
      <x:c r="D6" s="16" t="str">
        <x:v>Selected increment $B</x:v>
      </x:c>
      <x:c r="E6" s="16" t="str">
        <x:v>Selected $B</x:v>
      </x:c>
      <x:c r="F6" s="16" t="str">
        <x:v>Full-dup increment $B</x:v>
      </x:c>
      <x:c r="G6" s="16" t="str">
        <x:v>Full duplication $B</x:v>
      </x:c>
      <x:c r="H6" s="16" t="str">
        <x:v>Nested technology $B</x:v>
      </x:c>
      <x:c r="I6" s="16" t="str">
        <x:v>Additive</x:v>
      </x:c>
      <x:c r="J6" s="16" t="str">
        <x:v>Unit</x:v>
      </x:c>
      <x:c r="K6" s="16" t="str">
        <x:v>Origin</x:v>
      </x:c>
      <x:c r="L6" s="16" t="str">
        <x:v>Uncertainty</x:v>
      </x:c>
      <x:c r="M6" s="16" t="str">
        <x:v>Evidence</x:v>
      </x:c>
      <x:c r="N6" s="16" t="str">
        <x:v>Decision</x:v>
      </x:c>
      <x:c r="O6" s="17" t="str">
        <x:v>Notes</x:v>
      </x:c>
    </x:row>
    <x:row r="7">
      <x:c r="B7" s="58" t="str">
        <x:v>DCP-2 baseline</x:v>
      </x:c>
      <x:c r="C7" s="58" t="n">
        <x:v>3777.3011</x:v>
      </x:c>
      <x:c r="D7" s="58" t="n">
        <x:v>0</x:v>
      </x:c>
      <x:c r="E7" s="58" t="n">
        <x:f>C7+D7</x:f>
        <x:v>3777.3011</x:v>
      </x:c>
      <x:c r="F7" s="58" t="n">
        <x:v>0</x:v>
      </x:c>
      <x:c r="G7" s="58" t="n">
        <x:f>C7+F7</x:f>
        <x:v>3777.3011</x:v>
      </x:c>
      <x:c r="H7" s="58" t="n">
        <x:v>0</x:v>
      </x:c>
      <x:c r="I7" s="58" t="n">
        <x:v>1</x:v>
      </x:c>
      <x:c r="J7" s="58" t="str">
        <x:v>$B</x:v>
      </x:c>
      <x:c r="K7" s="58" t="str">
        <x:v>Pass 87</x:v>
      </x:c>
      <x:c r="L7" s="58" t="str">
        <x:v>class 4</x:v>
      </x:c>
      <x:c r="M7" s="58" t="str">
        <x:v>OPEN</x:v>
      </x:c>
      <x:c r="N7" s="58" t="str">
        <x:v>retain</x:v>
      </x:c>
      <x:c r="O7" s="58" t="str">
        <x:v>single-cut lower bound</x:v>
      </x:c>
    </x:row>
    <x:row r="8">
      <x:c r="B8" s="58" t="str">
        <x:v>air reinforcement</x:v>
      </x:c>
      <x:c r="C8" s="58" t="n">
        <x:v>0</x:v>
      </x:c>
      <x:c r="D8" s="58" t="n">
        <x:v>551.14745</x:v>
      </x:c>
      <x:c r="E8" s="58" t="n">
        <x:f>C8+D8</x:f>
        <x:v>551.14745</x:v>
      </x:c>
      <x:c r="F8" s="58" t="n">
        <x:v>1102.2949</x:v>
      </x:c>
      <x:c r="G8" s="58" t="n">
        <x:f>C8+F8</x:f>
        <x:v>1102.2949</x:v>
      </x:c>
      <x:c r="H8" s="58" t="n">
        <x:v>180</x:v>
      </x:c>
      <x:c r="I8" s="58" t="n">
        <x:v>1</x:v>
      </x:c>
      <x:c r="J8" s="58" t="str">
        <x:v>$B</x:v>
      </x:c>
      <x:c r="K8" s="58" t="str">
        <x:v>Pass 88</x:v>
      </x:c>
      <x:c r="L8" s="58" t="str">
        <x:v>class 5</x:v>
      </x:c>
      <x:c r="M8" s="58" t="str">
        <x:v>OPEN</x:v>
      </x:c>
      <x:c r="N8" s="58" t="str">
        <x:v>advance</x:v>
      </x:c>
      <x:c r="O8" s="58" t="str">
        <x:v>carrier, reserve, base and line</x:v>
      </x:c>
    </x:row>
    <x:row r="9">
      <x:c r="B9" s="58" t="str">
        <x:v>terrain reinforcement</x:v>
      </x:c>
      <x:c r="C9" s="58" t="n">
        <x:v>0</x:v>
      </x:c>
      <x:c r="D9" s="58" t="n">
        <x:v>292.34864</x:v>
      </x:c>
      <x:c r="E9" s="58" t="n">
        <x:f>C9+D9</x:f>
        <x:v>292.34864</x:v>
      </x:c>
      <x:c r="F9" s="58" t="n">
        <x:v>584.69728</x:v>
      </x:c>
      <x:c r="G9" s="58" t="n">
        <x:f>C9+F9</x:f>
        <x:v>584.69728</x:v>
      </x:c>
      <x:c r="H9" s="58" t="n">
        <x:v>120</x:v>
      </x:c>
      <x:c r="I9" s="58" t="n">
        <x:v>1</x:v>
      </x:c>
      <x:c r="J9" s="58" t="str">
        <x:v>$B</x:v>
      </x:c>
      <x:c r="K9" s="58" t="str">
        <x:v>Pass 88</x:v>
      </x:c>
      <x:c r="L9" s="58" t="str">
        <x:v>class 5</x:v>
      </x:c>
      <x:c r="M9" s="58" t="str">
        <x:v>OPEN</x:v>
      </x:c>
      <x:c r="N9" s="58" t="str">
        <x:v>advance</x:v>
      </x:c>
      <x:c r="O9" s="58" t="str">
        <x:v>carrier, reserve, base and line</x:v>
      </x:c>
    </x:row>
    <x:row r="10">
      <x:c r="B10" s="58" t="str">
        <x:v>receiver expansion</x:v>
      </x:c>
      <x:c r="C10" s="58" t="n">
        <x:v>0</x:v>
      </x:c>
      <x:c r="D10" s="58" t="n">
        <x:v>80</x:v>
      </x:c>
      <x:c r="E10" s="58" t="n">
        <x:f>C10+D10</x:f>
        <x:v>80</x:v>
      </x:c>
      <x:c r="F10" s="58" t="n">
        <x:v>160</x:v>
      </x:c>
      <x:c r="G10" s="58" t="n">
        <x:f>C10+F10</x:f>
        <x:v>160</x:v>
      </x:c>
      <x:c r="H10" s="58" t="n">
        <x:v>85</x:v>
      </x:c>
      <x:c r="I10" s="58" t="n">
        <x:v>1</x:v>
      </x:c>
      <x:c r="J10" s="58" t="str">
        <x:v>$B</x:v>
      </x:c>
      <x:c r="K10" s="58" t="str">
        <x:v>Pass 88</x:v>
      </x:c>
      <x:c r="L10" s="58" t="str">
        <x:v>class 5</x:v>
      </x:c>
      <x:c r="M10" s="58" t="str">
        <x:v>OPEN</x:v>
      </x:c>
      <x:c r="N10" s="58" t="str">
        <x:v>advance</x:v>
      </x:c>
      <x:c r="O10" s="58" t="str">
        <x:v>zones and parallel assay</x:v>
      </x:c>
    </x:row>
    <x:row r="11">
      <x:c r="B11" s="58" t="str">
        <x:v>ESK and independence</x:v>
      </x:c>
      <x:c r="C11" s="58" t="n">
        <x:v>0</x:v>
      </x:c>
      <x:c r="D11" s="58" t="n">
        <x:v>240</x:v>
      </x:c>
      <x:c r="E11" s="58" t="n">
        <x:f>C11+D11</x:f>
        <x:v>240</x:v>
      </x:c>
      <x:c r="F11" s="58" t="n">
        <x:v>379.58296</x:v>
      </x:c>
      <x:c r="G11" s="58" t="n">
        <x:f>C11+F11</x:f>
        <x:v>379.58296</x:v>
      </x:c>
      <x:c r="H11" s="58" t="n">
        <x:v>390</x:v>
      </x:c>
      <x:c r="I11" s="58" t="n">
        <x:v>1</x:v>
      </x:c>
      <x:c r="J11" s="58" t="str">
        <x:v>$B</x:v>
      </x:c>
      <x:c r="K11" s="58" t="str">
        <x:v>Pass 88</x:v>
      </x:c>
      <x:c r="L11" s="58" t="str">
        <x:v>class 5</x:v>
      </x:c>
      <x:c r="M11" s="58" t="str">
        <x:v>OPEN</x:v>
      </x:c>
      <x:c r="N11" s="58" t="str">
        <x:v>advance</x:v>
      </x:c>
      <x:c r="O11" s="58" t="str">
        <x:v>dual lineages and proof</x:v>
      </x:c>
    </x:row>
    <x:row r="12">
      <x:c r="B12" s="58"/>
      <x:c r="C12" s="58"/>
      <x:c r="D12" s="58"/>
      <x:c r="E12" s="58"/>
      <x:c r="F12" s="58"/>
      <x:c r="G12" s="58"/>
      <x:c r="H12" s="58"/>
      <x:c r="I12" s="58"/>
      <x:c r="J12" s="58"/>
      <x:c r="K12" s="58"/>
      <x:c r="L12" s="58"/>
      <x:c r="M12" s="58"/>
      <x:c r="N12" s="58"/>
      <x:c r="O12" s="58"/>
    </x:row>
    <x:row r="13">
      <x:c r="B13" s="58" t="str">
        <x:v>Program total</x:v>
      </x:c>
      <x:c r="C13" s="58" t="n">
        <x:f>SUM(C7:C11)</x:f>
        <x:v>3777.3011</x:v>
      </x:c>
      <x:c r="D13" s="58" t="n">
        <x:f>SUM(D7:D11)</x:f>
        <x:v>1163.49609</x:v>
      </x:c>
      <x:c r="E13" s="58" t="n">
        <x:f>SUM(E7:E11)</x:f>
        <x:v>4940.79719</x:v>
      </x:c>
      <x:c r="F13" s="58" t="n">
        <x:f>SUM(F7:F11)</x:f>
        <x:v>2226.5751400000004</x:v>
      </x:c>
      <x:c r="G13" s="58" t="n">
        <x:f>SUM(G7:G11)</x:f>
        <x:v>6003.8762400000005</x:v>
      </x:c>
      <x:c r="H13" s="58" t="n">
        <x:f>SUM(H7:H11)</x:f>
        <x:v>775</x:v>
      </x:c>
      <x:c r="I13" s="58" t="n">
        <x:v>0</x:v>
      </x:c>
      <x:c r="J13" s="58" t="str">
        <x:v>$B</x:v>
      </x:c>
      <x:c r="K13" s="58" t="str">
        <x:v>reconciliation</x:v>
      </x:c>
      <x:c r="L13" s="58" t="str"/>
      <x:c r="M13" s="58" t="str"/>
      <x:c r="N13" s="58" t="str"/>
      <x:c r="O13" s="58" t="str"/>
    </x:row>
    <x:row r="14">
      <x:c r="B14" s="58"/>
      <x:c r="C14" s="58"/>
      <x:c r="D14" s="58"/>
      <x:c r="E14" s="58"/>
      <x:c r="F14" s="58"/>
      <x:c r="G14" s="58"/>
      <x:c r="H14" s="58"/>
      <x:c r="I14" s="58"/>
      <x:c r="J14" s="58"/>
      <x:c r="K14" s="58"/>
      <x:c r="L14" s="58"/>
      <x:c r="M14" s="58"/>
      <x:c r="N14" s="58"/>
      <x:c r="O14" s="58"/>
    </x:row>
    <x:row r="15">
      <x:c r="B15" s="58"/>
      <x:c r="C15" s="58"/>
      <x:c r="D15" s="58"/>
      <x:c r="E15" s="58"/>
      <x:c r="F15" s="58"/>
      <x:c r="G15" s="58"/>
      <x:c r="H15" s="58"/>
      <x:c r="I15" s="58"/>
      <x:c r="J15" s="58"/>
      <x:c r="K15" s="58"/>
      <x:c r="L15" s="58"/>
      <x:c r="M15" s="58"/>
      <x:c r="N15" s="58"/>
      <x:c r="O15" s="58"/>
    </x:row>
    <x:row r="16">
      <x:c r="B16" s="99" t="str">
        <x:v>National boundary and comparisons</x:v>
      </x:c>
      <x:c r="C16" s="100" t="str">
        <x:v>National boundary and comparisons</x:v>
      </x:c>
      <x:c r="D16" s="100" t="str">
        <x:v>National boundary and comparisons</x:v>
      </x:c>
      <x:c r="E16" s="100" t="str">
        <x:v>National boundary and comparisons</x:v>
      </x:c>
      <x:c r="F16" s="100" t="str">
        <x:v>National boundary and comparisons</x:v>
      </x:c>
      <x:c r="G16" s="100" t="str">
        <x:v>National boundary and comparisons</x:v>
      </x:c>
      <x:c r="H16" s="100" t="str">
        <x:v>National boundary and comparisons</x:v>
      </x:c>
      <x:c r="I16" s="100" t="str">
        <x:v>National boundary and comparisons</x:v>
      </x:c>
      <x:c r="J16" s="100" t="str">
        <x:v>National boundary and comparisons</x:v>
      </x:c>
      <x:c r="K16" s="100" t="str">
        <x:v>National boundary and comparisons</x:v>
      </x:c>
      <x:c r="L16" s="100" t="str">
        <x:v>National boundary and comparisons</x:v>
      </x:c>
      <x:c r="M16" s="100" t="str">
        <x:v>National boundary and comparisons</x:v>
      </x:c>
      <x:c r="N16" s="101" t="str">
        <x:v>National boundary and comparisons</x:v>
      </x:c>
      <x:c r="O16" s="58"/>
    </x:row>
    <x:row r="17">
      <x:c r="B17" s="18" t="str">
        <x:v>Metric</x:v>
      </x:c>
      <x:c r="C17" s="19" t="str">
        <x:v>Value $B</x:v>
      </x:c>
      <x:c r="D17" s="19" t="str">
        <x:v>Comparator $B</x:v>
      </x:c>
      <x:c r="E17" s="19" t="str">
        <x:v>Difference $B</x:v>
      </x:c>
      <x:c r="F17" s="19" t="str">
        <x:v>Result</x:v>
      </x:c>
      <x:c r="G17" s="58"/>
      <x:c r="H17" s="58"/>
      <x:c r="I17" s="58"/>
      <x:c r="J17" s="58"/>
      <x:c r="K17" s="58"/>
      <x:c r="L17" s="58"/>
      <x:c r="M17" s="58"/>
      <x:c r="N17" s="58"/>
      <x:c r="O17" s="58"/>
    </x:row>
    <x:row r="18">
      <x:c r="B18" s="77" t="str">
        <x:v>Selected DCP-2R</x:v>
      </x:c>
      <x:c r="C18" s="77" t="n">
        <x:f>E13</x:f>
        <x:v>4940.79719</x:v>
      </x:c>
      <x:c r="D18" s="77" t="n">
        <x:v>4940.79719</x:v>
      </x:c>
      <x:c r="E18" s="77" t="n">
        <x:f>C18-D18</x:f>
        <x:v>0</x:v>
      </x:c>
      <x:c r="F18" s="79" t="str">
        <x:f>IF(ABS(E18)&lt;0.001,"PASS","FAIL")</x:f>
        <x:v>PASS</x:v>
      </x:c>
      <x:c r="G18" s="58"/>
      <x:c r="H18" s="58"/>
      <x:c r="I18" s="58"/>
      <x:c r="J18" s="58"/>
      <x:c r="K18" s="58"/>
      <x:c r="L18" s="58"/>
      <x:c r="M18" s="58"/>
      <x:c r="N18" s="58"/>
      <x:c r="O18" s="58"/>
    </x:row>
    <x:row r="19">
      <x:c r="B19" s="77" t="str">
        <x:v>Full duplication</x:v>
      </x:c>
      <x:c r="C19" s="77" t="n">
        <x:f>G13</x:f>
        <x:v>6003.8762400000005</x:v>
      </x:c>
      <x:c r="D19" s="77" t="n">
        <x:v>6003.87624</x:v>
      </x:c>
      <x:c r="E19" s="77" t="n">
        <x:f>C19-D19</x:f>
        <x:v>9.094947017729282e-13</x:v>
      </x:c>
      <x:c r="F19" s="79" t="str">
        <x:f>IF(ABS(E19)&lt;0.001,"PASS","FAIL")</x:f>
        <x:v>PASS</x:v>
      </x:c>
      <x:c r="G19" s="58"/>
      <x:c r="H19" s="58"/>
      <x:c r="I19" s="58"/>
      <x:c r="J19" s="58"/>
      <x:c r="K19" s="58"/>
      <x:c r="L19" s="58"/>
      <x:c r="M19" s="58"/>
      <x:c r="N19" s="58"/>
      <x:c r="O19" s="58"/>
    </x:row>
    <x:row r="20">
      <x:c r="B20" s="77" t="str">
        <x:v>Outside-DCP base</x:v>
      </x:c>
      <x:c r="C20" s="77" t="n">
        <x:v>7383.14155</x:v>
      </x:c>
      <x:c r="D20" s="77" t="n">
        <x:v>7383.14155</x:v>
      </x:c>
      <x:c r="E20" s="77" t="n">
        <x:f>C20-D20</x:f>
        <x:v>0</x:v>
      </x:c>
      <x:c r="F20" s="79" t="str">
        <x:f>IF(ABS(E20)&lt;0.001,"PASS","FAIL")</x:f>
        <x:v>PASS</x:v>
      </x:c>
      <x:c r="G20" s="58"/>
      <x:c r="H20" s="58"/>
      <x:c r="I20" s="58"/>
      <x:c r="J20" s="58"/>
      <x:c r="K20" s="58"/>
      <x:c r="L20" s="58"/>
      <x:c r="M20" s="58"/>
      <x:c r="N20" s="58"/>
      <x:c r="O20" s="58"/>
    </x:row>
    <x:row r="21">
      <x:c r="B21" s="77" t="str">
        <x:v>Selected national boundary</x:v>
      </x:c>
      <x:c r="C21" s="77" t="n">
        <x:f>C18+C20</x:f>
        <x:v>12323.938740000001</x:v>
      </x:c>
      <x:c r="D21" s="77" t="n">
        <x:v>12323.93874</x:v>
      </x:c>
      <x:c r="E21" s="77" t="n">
        <x:f>C21-D21</x:f>
        <x:v>1.8189894035458565e-12</x:v>
      </x:c>
      <x:c r="F21" s="79" t="str">
        <x:f>IF(ABS(E21)&lt;0.001,"PASS","FAIL")</x:f>
        <x:v>PASS</x:v>
      </x:c>
      <x:c r="G21" s="58"/>
      <x:c r="H21" s="58"/>
      <x:c r="I21" s="58"/>
      <x:c r="J21" s="58"/>
      <x:c r="K21" s="58"/>
      <x:c r="L21" s="58"/>
      <x:c r="M21" s="58"/>
      <x:c r="N21" s="58"/>
      <x:c r="O21" s="58"/>
    </x:row>
    <x:row r="22">
      <x:c r="B22" s="77" t="str">
        <x:v>Full-dup national boundary</x:v>
      </x:c>
      <x:c r="C22" s="77" t="n">
        <x:f>C19+C20</x:f>
        <x:v>13387.017790000002</x:v>
      </x:c>
      <x:c r="D22" s="77" t="n">
        <x:v>13387.01779</x:v>
      </x:c>
      <x:c r="E22" s="77" t="n">
        <x:f>C22-D22</x:f>
        <x:v>1.8189894035458565e-12</x:v>
      </x:c>
      <x:c r="F22" s="79" t="str">
        <x:f>IF(ABS(E22)&lt;0.001,"PASS","FAIL")</x:f>
        <x:v>PASS</x:v>
      </x:c>
      <x:c r="G22" s="58"/>
      <x:c r="H22" s="58"/>
      <x:c r="I22" s="58"/>
      <x:c r="J22" s="58"/>
      <x:c r="K22" s="58"/>
      <x:c r="L22" s="58"/>
      <x:c r="M22" s="58"/>
      <x:c r="N22" s="58"/>
      <x:c r="O22" s="58"/>
    </x:row>
    <x:row r="23">
      <x:c r="B23" s="77" t="str">
        <x:v>Selected premium vs DCP-2</x:v>
      </x:c>
      <x:c r="C23" s="77" t="n">
        <x:f>C18-Assumptions!C47</x:f>
        <x:v>1163.49609</x:v>
      </x:c>
      <x:c r="D23" s="77" t="n">
        <x:v>1163.49609</x:v>
      </x:c>
      <x:c r="E23" s="77" t="n">
        <x:f>C23-D23</x:f>
        <x:v>0</x:v>
      </x:c>
      <x:c r="F23" s="79" t="str">
        <x:f>IF(ABS(E23)&lt;0.001,"PASS","FAIL")</x:f>
        <x:v>PASS</x:v>
      </x:c>
      <x:c r="G23" s="58"/>
      <x:c r="H23" s="58"/>
      <x:c r="I23" s="58"/>
      <x:c r="J23" s="58"/>
      <x:c r="K23" s="58"/>
      <x:c r="L23" s="58"/>
      <x:c r="M23" s="58"/>
      <x:c r="N23" s="58"/>
      <x:c r="O23" s="58"/>
    </x:row>
    <x:row r="24">
      <x:c r="B24" s="80" t="str">
        <x:v>Selected saving vs duplication</x:v>
      </x:c>
      <x:c r="C24" s="80" t="n">
        <x:f>C19-C18</x:f>
        <x:v>1063.0790500000003</x:v>
      </x:c>
      <x:c r="D24" s="80" t="n">
        <x:v>1063.07905</x:v>
      </x:c>
      <x:c r="E24" s="80" t="n">
        <x:f>C24-D24</x:f>
        <x:v>2.2737367544323206e-13</x:v>
      </x:c>
      <x:c r="F24" s="82" t="str">
        <x:f>IF(ABS(E24)&lt;0.001,"PASS","FAIL")</x:f>
        <x:v>PASS</x:v>
      </x:c>
      <x:c r="G24" s="58"/>
      <x:c r="H24" s="58"/>
      <x:c r="I24" s="58"/>
      <x:c r="J24" s="58"/>
      <x:c r="K24" s="58"/>
      <x:c r="L24" s="58"/>
      <x:c r="M24" s="58"/>
      <x:c r="N24" s="58"/>
      <x:c r="O24" s="58"/>
    </x:row>
    <x:row r="25">
      <x:c r="B25" s="58"/>
      <x:c r="C25" s="58"/>
      <x:c r="D25" s="58"/>
      <x:c r="E25" s="58"/>
      <x:c r="F25" s="58"/>
      <x:c r="G25" s="58"/>
      <x:c r="H25" s="58"/>
      <x:c r="I25" s="58"/>
      <x:c r="J25" s="58"/>
      <x:c r="K25" s="58"/>
      <x:c r="L25" s="58"/>
      <x:c r="M25" s="58"/>
      <x:c r="N25" s="58"/>
      <x:c r="O25" s="58"/>
    </x:row>
    <x:row r="26">
      <x:c r="B26" s="58"/>
      <x:c r="C26" s="58"/>
      <x:c r="D26" s="58"/>
      <x:c r="E26" s="58"/>
      <x:c r="F26" s="58"/>
      <x:c r="G26" s="58"/>
      <x:c r="H26" s="58"/>
      <x:c r="I26" s="58"/>
      <x:c r="J26" s="58"/>
      <x:c r="K26" s="58"/>
      <x:c r="L26" s="58"/>
      <x:c r="M26" s="58"/>
      <x:c r="N26" s="58"/>
      <x:c r="O26" s="58"/>
    </x:row>
    <x:row r="27">
      <x:c r="B27" s="99" t="str">
        <x:v>Fiscal doctrine</x:v>
      </x:c>
      <x:c r="C27" s="100" t="str">
        <x:v>Fiscal doctrine</x:v>
      </x:c>
      <x:c r="D27" s="100" t="str">
        <x:v>Fiscal doctrine</x:v>
      </x:c>
      <x:c r="E27" s="100" t="str">
        <x:v>Fiscal doctrine</x:v>
      </x:c>
      <x:c r="F27" s="100" t="str">
        <x:v>Fiscal doctrine</x:v>
      </x:c>
      <x:c r="G27" s="100" t="str">
        <x:v>Fiscal doctrine</x:v>
      </x:c>
      <x:c r="H27" s="100" t="str">
        <x:v>Fiscal doctrine</x:v>
      </x:c>
      <x:c r="I27" s="100" t="str">
        <x:v>Fiscal doctrine</x:v>
      </x:c>
      <x:c r="J27" s="100" t="str">
        <x:v>Fiscal doctrine</x:v>
      </x:c>
      <x:c r="K27" s="100" t="str">
        <x:v>Fiscal doctrine</x:v>
      </x:c>
      <x:c r="L27" s="100" t="str">
        <x:v>Fiscal doctrine</x:v>
      </x:c>
      <x:c r="M27" s="100" t="str">
        <x:v>Fiscal doctrine</x:v>
      </x:c>
      <x:c r="N27" s="101" t="str">
        <x:v>Fiscal doctrine</x:v>
      </x:c>
      <x:c r="O27" s="58"/>
    </x:row>
    <x:row r="28">
      <x:c r="B28" s="83" t="str">
        <x:v>Boundary, not forecast</x:v>
      </x:c>
      <x:c r="C28" s="58" t="str">
        <x:v>The envelope prices the behavior reference and proof burden; it does not predict appropriations or vendor bids.</x:v>
      </x:c>
      <x:c r="D28" s="58" t="str"/>
      <x:c r="E28" s="58" t="str"/>
      <x:c r="F28" s="58" t="str"/>
      <x:c r="G28" s="58" t="str"/>
      <x:c r="H28" s="58" t="str"/>
      <x:c r="I28" s="58" t="str"/>
      <x:c r="J28" s="58" t="str"/>
      <x:c r="K28" s="58" t="str"/>
      <x:c r="L28" s="58" t="str"/>
      <x:c r="M28" s="58" t="str"/>
      <x:c r="N28" s="58" t="str"/>
      <x:c r="O28" s="58"/>
    </x:row>
    <x:row r="29">
      <x:c r="B29" s="83" t="str">
        <x:v>Nested technology</x:v>
      </x:c>
      <x:c r="C29" s="58" t="str">
        <x:v>The 775-billion-dollar technology portfolio sits inside carrier, payload, receiver, test and industrial increments and is not added again.</x:v>
      </x:c>
      <x:c r="D29" s="58" t="str"/>
      <x:c r="E29" s="58" t="str"/>
      <x:c r="F29" s="58" t="str"/>
      <x:c r="G29" s="58" t="str"/>
      <x:c r="H29" s="58" t="str"/>
      <x:c r="I29" s="58" t="str"/>
      <x:c r="J29" s="58" t="str"/>
      <x:c r="K29" s="58" t="str"/>
      <x:c r="L29" s="58" t="str"/>
      <x:c r="M29" s="58" t="str"/>
      <x:c r="N29" s="58" t="str"/>
      <x:c r="O29" s="58"/>
    </x:row>
    <x:row r="30">
      <x:c r="B30" s="83" t="str">
        <x:v>Duplication control</x:v>
      </x:c>
      <x:c r="C30" s="58" t="str">
        <x:v>Full duplication shows what exact specialization costs when compound redundancy is demanded.</x:v>
      </x:c>
      <x:c r="D30" s="58" t="str"/>
      <x:c r="E30" s="58" t="str"/>
      <x:c r="F30" s="58" t="str"/>
      <x:c r="G30" s="58" t="str"/>
      <x:c r="H30" s="58" t="str"/>
      <x:c r="I30" s="58" t="str"/>
      <x:c r="J30" s="58" t="str"/>
      <x:c r="K30" s="58" t="str"/>
      <x:c r="L30" s="58" t="str"/>
      <x:c r="M30" s="58" t="str"/>
      <x:c r="N30" s="58" t="str"/>
      <x:c r="O30" s="58"/>
    </x:row>
    <x:row r="31">
      <x:c r="B31" s="83" t="str">
        <x:v>Value claim</x:v>
      </x:c>
      <x:c r="C31" s="58" t="str">
        <x:v>The selected architecture saves 1.063 trillion dollars only if multifunction coefficients and independence prove real.</x:v>
      </x:c>
      <x:c r="D31" s="58" t="str"/>
      <x:c r="E31" s="58" t="str"/>
      <x:c r="F31" s="58" t="str"/>
      <x:c r="G31" s="58" t="str"/>
      <x:c r="H31" s="58" t="str"/>
      <x:c r="I31" s="58" t="str"/>
      <x:c r="J31" s="58" t="str"/>
      <x:c r="K31" s="58" t="str"/>
      <x:c r="L31" s="58" t="str"/>
      <x:c r="M31" s="58" t="str"/>
      <x:c r="N31" s="58" t="str"/>
      <x:c r="O31" s="58"/>
    </x:row>
    <x:row r="32">
      <x:c r="B32" s="83" t="str">
        <x:v>No optimism credit</x:v>
      </x:c>
      <x:c r="C32" s="58" t="str">
        <x:v>Learning curves, exports, multipliers and avoided losses are excluded.</x:v>
      </x:c>
      <x:c r="D32" s="58" t="str"/>
      <x:c r="E32" s="58" t="str"/>
      <x:c r="F32" s="58" t="str"/>
      <x:c r="G32" s="58" t="str"/>
      <x:c r="H32" s="58" t="str"/>
      <x:c r="I32" s="58" t="str"/>
      <x:c r="J32" s="58" t="str"/>
      <x:c r="K32" s="58" t="str"/>
      <x:c r="L32" s="58" t="str"/>
      <x:c r="M32" s="58" t="str"/>
      <x:c r="N32" s="58" t="str"/>
      <x:c r="O32" s="58"/>
    </x:row>
    <x:row r="33">
      <x:c r="B33" s="83" t="str">
        <x:v>Failure allocation</x:v>
      </x:c>
      <x:c r="C33" s="58" t="str">
        <x:v>A failed technology campaign changes payload grammar, carrier count or guarantee.</x:v>
      </x:c>
      <x:c r="D33" s="58" t="str"/>
      <x:c r="E33" s="58" t="str"/>
      <x:c r="F33" s="58" t="str"/>
      <x:c r="G33" s="58" t="str"/>
      <x:c r="H33" s="58" t="str"/>
      <x:c r="I33" s="58" t="str"/>
      <x:c r="J33" s="58" t="str"/>
      <x:c r="K33" s="58" t="str"/>
      <x:c r="L33" s="58" t="str"/>
      <x:c r="M33" s="58" t="str"/>
      <x:c r="N33" s="58" t="str"/>
      <x:c r="O33" s="58"/>
    </x:row>
    <x:row r="34">
      <x:c r="B34" s="83" t="str">
        <x:v>Stop rule</x:v>
      </x:c>
      <x:c r="C34" s="58" t="str">
        <x:v>Program authorization follows measured service evidence, not the aggregate comparison.</x:v>
      </x:c>
      <x:c r="D34" s="58" t="str"/>
      <x:c r="E34" s="58" t="str"/>
      <x:c r="F34" s="58" t="str"/>
      <x:c r="G34" s="58" t="str"/>
      <x:c r="H34" s="58" t="str"/>
      <x:c r="I34" s="58" t="str"/>
      <x:c r="J34" s="58" t="str"/>
      <x:c r="K34" s="58" t="str"/>
      <x:c r="L34" s="58" t="str"/>
      <x:c r="M34" s="58" t="str"/>
      <x:c r="N34" s="58" t="str"/>
      <x:c r="O34" s="58"/>
    </x:row>
    <x:row r="35">
      <x:c r="B35" s="58"/>
      <x:c r="C35" s="58"/>
      <x:c r="D35" s="58"/>
      <x:c r="E35" s="58"/>
      <x:c r="F35" s="58"/>
      <x:c r="G35" s="58"/>
      <x:c r="H35" s="58"/>
      <x:c r="I35" s="58"/>
      <x:c r="J35" s="58"/>
      <x:c r="K35" s="58"/>
      <x:c r="L35" s="58"/>
      <x:c r="M35" s="58"/>
      <x:c r="N35" s="58"/>
      <x:c r="O35" s="58"/>
    </x:row>
    <x:row r="36">
      <x:c r="B36" s="58"/>
      <x:c r="C36" s="58"/>
      <x:c r="D36" s="58"/>
      <x:c r="E36" s="58"/>
      <x:c r="F36" s="58"/>
      <x:c r="G36" s="58"/>
      <x:c r="H36" s="58"/>
      <x:c r="I36" s="58"/>
      <x:c r="J36" s="58"/>
      <x:c r="K36" s="58"/>
      <x:c r="L36" s="58"/>
      <x:c r="M36" s="58"/>
      <x:c r="N36" s="58"/>
      <x:c r="O36" s="58"/>
    </x:row>
    <x:row r="37">
      <x:c r="B37" s="58"/>
      <x:c r="C37" s="58"/>
      <x:c r="D37" s="58"/>
      <x:c r="E37" s="58"/>
      <x:c r="F37" s="58"/>
      <x:c r="G37" s="58"/>
      <x:c r="H37" s="58"/>
      <x:c r="I37" s="58"/>
      <x:c r="J37" s="58"/>
      <x:c r="K37" s="58"/>
      <x:c r="L37" s="58"/>
      <x:c r="M37" s="58"/>
      <x:c r="N37" s="58"/>
      <x:c r="O37" s="58"/>
    </x:row>
    <x:row r="38">
      <x:c r="B38" s="58"/>
      <x:c r="C38" s="58"/>
      <x:c r="D38" s="58"/>
      <x:c r="E38" s="58"/>
      <x:c r="F38" s="58"/>
      <x:c r="G38" s="58"/>
      <x:c r="H38" s="58"/>
      <x:c r="I38" s="58"/>
      <x:c r="J38" s="58"/>
      <x:c r="K38" s="58"/>
      <x:c r="L38" s="58"/>
      <x:c r="M38" s="58"/>
      <x:c r="N38" s="58"/>
      <x:c r="O38" s="58"/>
    </x:row>
    <x:row r="39">
      <x:c r="B39" s="58"/>
      <x:c r="C39" s="58"/>
      <x:c r="D39" s="58"/>
      <x:c r="E39" s="58"/>
      <x:c r="F39" s="58"/>
      <x:c r="G39" s="58"/>
      <x:c r="H39" s="58"/>
      <x:c r="I39" s="58"/>
      <x:c r="J39" s="58"/>
      <x:c r="K39" s="58"/>
      <x:c r="L39" s="58"/>
      <x:c r="M39" s="58"/>
      <x:c r="N39" s="58"/>
      <x:c r="O39" s="58"/>
    </x:row>
    <x:row r="40">
      <x:c r="B40" s="58"/>
      <x:c r="C40" s="58"/>
      <x:c r="D40" s="58"/>
      <x:c r="E40" s="58"/>
      <x:c r="F40" s="58"/>
      <x:c r="G40" s="58"/>
      <x:c r="H40" s="58"/>
      <x:c r="I40" s="58"/>
      <x:c r="J40" s="58"/>
      <x:c r="K40" s="58"/>
      <x:c r="L40" s="58"/>
      <x:c r="M40" s="58"/>
      <x:c r="N40" s="58"/>
      <x:c r="O40" s="58"/>
    </x:row>
    <x:row r="41">
      <x:c r="B41" s="58"/>
      <x:c r="C41" s="58"/>
      <x:c r="D41" s="58"/>
      <x:c r="E41" s="58"/>
      <x:c r="F41" s="58"/>
      <x:c r="G41" s="58"/>
      <x:c r="H41" s="58"/>
      <x:c r="I41" s="58"/>
      <x:c r="J41" s="58"/>
      <x:c r="K41" s="58"/>
      <x:c r="L41" s="58"/>
      <x:c r="M41" s="58"/>
      <x:c r="N41" s="58"/>
      <x:c r="O41" s="58"/>
    </x:row>
    <x:row r="42">
      <x:c r="B42" s="58"/>
      <x:c r="C42" s="58"/>
      <x:c r="D42" s="58"/>
      <x:c r="E42" s="58"/>
      <x:c r="F42" s="58"/>
      <x:c r="G42" s="58"/>
      <x:c r="H42" s="58"/>
      <x:c r="I42" s="58"/>
      <x:c r="J42" s="58"/>
      <x:c r="K42" s="58"/>
      <x:c r="L42" s="58"/>
      <x:c r="M42" s="58"/>
      <x:c r="N42" s="58"/>
      <x:c r="O42" s="58"/>
    </x:row>
    <x:row r="43">
      <x:c r="B43" s="58"/>
      <x:c r="C43" s="58"/>
      <x:c r="D43" s="58"/>
      <x:c r="E43" s="58"/>
      <x:c r="F43" s="58"/>
      <x:c r="G43" s="58"/>
      <x:c r="H43" s="58"/>
      <x:c r="I43" s="58"/>
      <x:c r="J43" s="58"/>
      <x:c r="K43" s="58"/>
      <x:c r="L43" s="58"/>
      <x:c r="M43" s="58"/>
      <x:c r="N43" s="58"/>
      <x:c r="O43" s="58"/>
    </x:row>
    <x:row r="44">
      <x:c r="B44" s="58"/>
      <x:c r="C44" s="58"/>
      <x:c r="D44" s="58"/>
      <x:c r="E44" s="58"/>
      <x:c r="F44" s="58"/>
      <x:c r="G44" s="58"/>
      <x:c r="H44" s="58"/>
      <x:c r="I44" s="58"/>
      <x:c r="J44" s="58"/>
      <x:c r="K44" s="58"/>
      <x:c r="L44" s="58"/>
      <x:c r="M44" s="58"/>
      <x:c r="N44" s="58"/>
      <x:c r="O44" s="58"/>
    </x:row>
  </x:sheetData>
  <x:mergeCells>
    <x:mergeCell ref="B2:H2"/>
    <x:mergeCell ref="B3:H3"/>
    <x:mergeCell ref="B16:N16"/>
    <x:mergeCell ref="B27:N27"/>
  </x:mergeCells>
  <x:conditionalFormatting sqref="F18:F24">
    <x:cfRule type="containsText" dxfId="76" priority="1" operator="containsText" text="FAIL"/>
    <x:cfRule type="containsText" dxfId="77" priority="2" operator="containsText" text="PASS"/>
    <x:cfRule type="containsText" dxfId="78" priority="3" operator="containsText" text="BLOCKED"/>
    <x:cfRule type="containsText" dxfId="79" priority="4" operator="containsText" text="BOUND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11" hidden="0" customWidth="1"/>
    <x:col min="3" max="3" width="38" hidden="0" customWidth="1"/>
    <x:col min="4" max="4" width="15" hidden="0" customWidth="1"/>
    <x:col min="5" max="5" width="28" hidden="0" customWidth="1"/>
    <x:col min="6" max="6" width="28" hidden="0" customWidth="1"/>
    <x:col min="7" max="7" width="30" hidden="0" customWidth="1"/>
    <x:col min="8" max="8" width="20" hidden="0" customWidth="1"/>
    <x:col min="9" max="9" width="14" hidden="0" customWidth="1"/>
    <x:col min="10" max="10" width="14" hidden="0" customWidth="1"/>
  </x:cols>
  <x:sheetData>
    <x:row r="2">
      <x:c r="B2" s="96" t="str">
        <x:v>Compound-assurance technology and proving portfolio</x:v>
      </x:c>
      <x:c r="C2" s="58"/>
      <x:c r="D2" s="58"/>
      <x:c r="E2" s="58"/>
      <x:c r="F2" s="58"/>
      <x:c r="G2" s="58"/>
      <x:c r="H2" s="58"/>
      <x:c r="I2" s="58"/>
      <x:c r="J2" s="58"/>
    </x:row>
    <x:row r="3">
      <x:c r="B3" s="97" t="str">
        <x:v>Twenty campaigns drive capabilities that do not yet exist at the required mass, independence or field-release standard</x:v>
      </x:c>
      <x:c r="C3" s="97"/>
      <x:c r="D3" s="97"/>
      <x:c r="E3" s="97"/>
      <x:c r="F3" s="97"/>
      <x:c r="G3" s="97"/>
      <x:c r="H3" s="97"/>
      <x:c r="I3" s="97"/>
      <x:c r="J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</x:row>
    <x:row r="6">
      <x:c r="B6" s="18" t="str">
        <x:v>ID</x:v>
      </x:c>
      <x:c r="C6" s="19" t="str">
        <x:v>Campaign</x:v>
      </x:c>
      <x:c r="D6" s="19" t="str">
        <x:v>Envelope $B</x:v>
      </x:c>
      <x:c r="E6" s="19" t="str">
        <x:v>Primary artifact</x:v>
      </x:c>
      <x:c r="F6" s="19" t="str">
        <x:v>Decisive metric</x:v>
      </x:c>
      <x:c r="G6" s="19" t="str">
        <x:v>Failure consequence</x:v>
      </x:c>
      <x:c r="H6" s="19" t="str">
        <x:v>Lineage</x:v>
      </x:c>
      <x:c r="I6" s="19" t="str">
        <x:v>Evidence</x:v>
      </x:c>
      <x:c r="J6" s="19" t="str">
        <x:v>Decision</x:v>
      </x:c>
    </x:row>
    <x:row r="7">
      <x:c r="B7" s="77" t="str">
        <x:v>TP01</x:v>
      </x:c>
      <x:c r="C7" s="77" t="str">
        <x:v>multifunction energy tile</x:v>
      </x:c>
      <x:c r="D7" s="77" t="n">
        <x:v>60</x:v>
      </x:c>
      <x:c r="E7" s="77" t="str">
        <x:v>two lineage tiles</x:v>
      </x:c>
      <x:c r="F7" s="77" t="str">
        <x:v>service units per 15.875 t</x:v>
      </x:c>
      <x:c r="G7" s="77" t="str">
        <x:v>increase tile or carrier count</x:v>
      </x:c>
      <x:c r="H7" s="77" t="str">
        <x:v>separate</x:v>
      </x:c>
      <x:c r="I7" s="77" t="str">
        <x:v>OPEN</x:v>
      </x:c>
      <x:c r="J7" s="79" t="str">
        <x:v>PROVE</x:v>
      </x:c>
    </x:row>
    <x:row r="8">
      <x:c r="B8" s="77" t="str">
        <x:v>TP02</x:v>
      </x:c>
      <x:c r="C8" s="77" t="str">
        <x:v>water and residual tile</x:v>
      </x:c>
      <x:c r="D8" s="77" t="n">
        <x:v>52</x:v>
      </x:c>
      <x:c r="E8" s="77" t="str">
        <x:v>two lineage tiles</x:v>
      </x:c>
      <x:c r="F8" s="77" t="str">
        <x:v>safe output plus contained residual</x:v>
      </x:c>
      <x:c r="G8" s="77" t="str">
        <x:v>split wet kernel</x:v>
      </x:c>
      <x:c r="H8" s="77" t="str">
        <x:v>separate</x:v>
      </x:c>
      <x:c r="I8" s="77" t="str">
        <x:v>OPEN</x:v>
      </x:c>
      <x:c r="J8" s="79" t="str">
        <x:v>PROVE</x:v>
      </x:c>
    </x:row>
    <x:row r="9">
      <x:c r="B9" s="77" t="str">
        <x:v>TP03</x:v>
      </x:c>
      <x:c r="C9" s="77" t="str">
        <x:v>thermal and final-sink tile</x:v>
      </x:c>
      <x:c r="D9" s="77" t="n">
        <x:v>55</x:v>
      </x:c>
      <x:c r="E9" s="77" t="str">
        <x:v>two lineage tiles</x:v>
      </x:c>
      <x:c r="F9" s="77" t="str">
        <x:v>cooling with bounded plume</x:v>
      </x:c>
      <x:c r="G9" s="77" t="str">
        <x:v>grow receiver</x:v>
      </x:c>
      <x:c r="H9" s="77" t="str">
        <x:v>separate</x:v>
      </x:c>
      <x:c r="I9" s="77" t="str">
        <x:v>OPEN</x:v>
      </x:c>
      <x:c r="J9" s="79" t="str">
        <x:v>PROVE</x:v>
      </x:c>
    </x:row>
    <x:row r="10">
      <x:c r="B10" s="77" t="str">
        <x:v>TP04</x:v>
      </x:c>
      <x:c r="C10" s="77" t="str">
        <x:v>distribution and building interface</x:v>
      </x:c>
      <x:c r="D10" s="77" t="n">
        <x:v>40</x:v>
      </x:c>
      <x:c r="E10" s="77" t="str">
        <x:v>adapter corridor</x:v>
      </x:c>
      <x:c r="F10" s="77" t="str">
        <x:v>energized and wet-route closure</x:v>
      </x:c>
      <x:c r="G10" s="77" t="str">
        <x:v>grow D family</x:v>
      </x:c>
      <x:c r="H10" s="77" t="str">
        <x:v>separate</x:v>
      </x:c>
      <x:c r="I10" s="77" t="str">
        <x:v>OPEN</x:v>
      </x:c>
      <x:c r="J10" s="79" t="str">
        <x:v>PROVE</x:v>
      </x:c>
    </x:row>
    <x:row r="11">
      <x:c r="B11" s="77" t="str">
        <x:v>TP05</x:v>
      </x:c>
      <x:c r="C11" s="77" t="str">
        <x:v>civil-control, lab and repair tile</x:v>
      </x:c>
      <x:c r="D11" s="77" t="n">
        <x:v>33</x:v>
      </x:c>
      <x:c r="E11" s="77" t="str">
        <x:v>offline control cell</x:v>
      </x:c>
      <x:c r="F11" s="77" t="str">
        <x:v>assay and repair autonomy</x:v>
      </x:c>
      <x:c r="G11" s="77" t="str">
        <x:v>grow C family</x:v>
      </x:c>
      <x:c r="H11" s="77" t="str">
        <x:v>separate</x:v>
      </x:c>
      <x:c r="I11" s="77" t="str">
        <x:v>OPEN</x:v>
      </x:c>
      <x:c r="J11" s="79" t="str">
        <x:v>PROVE</x:v>
      </x:c>
    </x:row>
    <x:row r="12">
      <x:c r="B12" s="77" t="str">
        <x:v>TP06</x:v>
      </x:c>
      <x:c r="C12" s="77" t="str">
        <x:v>air carrier reinforcement</x:v>
      </x:c>
      <x:c r="D12" s="77" t="n">
        <x:v>75</x:v>
      </x:c>
      <x:c r="E12" s="77" t="str">
        <x:v>three-carrier flight set</x:v>
      </x:c>
      <x:c r="F12" s="77" t="str">
        <x:v>two-of-three delivery</x:v>
      </x:c>
      <x:c r="G12" s="77" t="str">
        <x:v>full duplication</x:v>
      </x:c>
      <x:c r="H12" s="77" t="str">
        <x:v>air</x:v>
      </x:c>
      <x:c r="I12" s="77" t="str">
        <x:v>OPEN</x:v>
      </x:c>
      <x:c r="J12" s="79" t="str">
        <x:v>PROVE</x:v>
      </x:c>
    </x:row>
    <x:row r="13">
      <x:c r="B13" s="77" t="str">
        <x:v>TP07</x:v>
      </x:c>
      <x:c r="C13" s="77" t="str">
        <x:v>terrain carrier reinforcement</x:v>
      </x:c>
      <x:c r="D13" s="77" t="n">
        <x:v>60</x:v>
      </x:c>
      <x:c r="E13" s="77" t="str">
        <x:v>five-carrier route set</x:v>
      </x:c>
      <x:c r="F13" s="77" t="str">
        <x:v>four-of-five delivery</x:v>
      </x:c>
      <x:c r="G13" s="77" t="str">
        <x:v>full duplication</x:v>
      </x:c>
      <x:c r="H13" s="77" t="str">
        <x:v>terrain</x:v>
      </x:c>
      <x:c r="I13" s="77" t="str">
        <x:v>OPEN</x:v>
      </x:c>
      <x:c r="J13" s="79" t="str">
        <x:v>PROVE</x:v>
      </x:c>
    </x:row>
    <x:row r="14">
      <x:c r="B14" s="77" t="str">
        <x:v>TP08</x:v>
      </x:c>
      <x:c r="C14" s="77" t="str">
        <x:v>quorum compiler and checker</x:v>
      </x:c>
      <x:c r="D14" s="77" t="n">
        <x:v>28</x:v>
      </x:c>
      <x:c r="E14" s="77" t="str">
        <x:v>offline signed compiler</x:v>
      </x:c>
      <x:c r="F14" s="77" t="str">
        <x:v>correct survivor selection</x:v>
      </x:c>
      <x:c r="G14" s="77" t="str">
        <x:v>manual stop</x:v>
      </x:c>
      <x:c r="H14" s="77" t="str">
        <x:v>two codebases</x:v>
      </x:c>
      <x:c r="I14" s="77" t="str">
        <x:v>OPEN</x:v>
      </x:c>
      <x:c r="J14" s="79" t="str">
        <x:v>PROVE</x:v>
      </x:c>
    </x:row>
    <x:row r="15">
      <x:c r="B15" s="77" t="str">
        <x:v>TP09</x:v>
      </x:c>
      <x:c r="C15" s="77" t="str">
        <x:v>common semantic connector</x:v>
      </x:c>
      <x:c r="D15" s="77" t="n">
        <x:v>32</x:v>
      </x:c>
      <x:c r="E15" s="77" t="str">
        <x:v>qualified adapter family</x:v>
      </x:c>
      <x:c r="F15" s="77" t="str">
        <x:v>service interoperability</x:v>
      </x:c>
      <x:c r="G15" s="77" t="str">
        <x:v>mode-specific receivers</x:v>
      </x:c>
      <x:c r="H15" s="77" t="str">
        <x:v>semantic only</x:v>
      </x:c>
      <x:c r="I15" s="77" t="str">
        <x:v>OPEN</x:v>
      </x:c>
      <x:c r="J15" s="79" t="str">
        <x:v>PROVE</x:v>
      </x:c>
    </x:row>
    <x:row r="16">
      <x:c r="B16" s="77" t="str">
        <x:v>TP10</x:v>
      </x:c>
      <x:c r="C16" s="77" t="str">
        <x:v>independent energy lineages</x:v>
      </x:c>
      <x:c r="D16" s="77" t="n">
        <x:v>45</x:v>
      </x:c>
      <x:c r="E16" s="77" t="str">
        <x:v>two source chains</x:v>
      </x:c>
      <x:c r="F16" s="77" t="str">
        <x:v>no decisive common cause</x:v>
      </x:c>
      <x:c r="G16" s="77" t="str">
        <x:v>remove compound credit</x:v>
      </x:c>
      <x:c r="H16" s="77" t="str">
        <x:v>separate</x:v>
      </x:c>
      <x:c r="I16" s="77" t="str">
        <x:v>OPEN</x:v>
      </x:c>
      <x:c r="J16" s="79" t="str">
        <x:v>PROVE</x:v>
      </x:c>
    </x:row>
    <x:row r="17">
      <x:c r="B17" s="77" t="str">
        <x:v>TP11</x:v>
      </x:c>
      <x:c r="C17" s="77" t="str">
        <x:v>independent process lineages</x:v>
      </x:c>
      <x:c r="D17" s="77" t="n">
        <x:v>35</x:v>
      </x:c>
      <x:c r="E17" s="77" t="str">
        <x:v>sub-tier ancestry map</x:v>
      </x:c>
      <x:c r="F17" s="77" t="str">
        <x:v>no shared decisive sub-tier</x:v>
      </x:c>
      <x:c r="G17" s="77" t="str">
        <x:v>remove compound credit</x:v>
      </x:c>
      <x:c r="H17" s="77" t="str">
        <x:v>separate</x:v>
      </x:c>
      <x:c r="I17" s="77" t="str">
        <x:v>OPEN</x:v>
      </x:c>
      <x:c r="J17" s="79" t="str">
        <x:v>PROVE</x:v>
      </x:c>
    </x:row>
    <x:row r="18">
      <x:c r="B18" s="77" t="str">
        <x:v>TP12</x:v>
      </x:c>
      <x:c r="C18" s="77" t="str">
        <x:v>three-zone air receiver</x:v>
      </x:c>
      <x:c r="D18" s="77" t="n">
        <x:v>40</x:v>
      </x:c>
      <x:c r="E18" s="77" t="str">
        <x:v>520 by 460 m demonstrator</x:v>
      </x:c>
      <x:c r="F18" s="77" t="str">
        <x:v>parallel safe transfer</x:v>
      </x:c>
      <x:c r="G18" s="77" t="str">
        <x:v>grow receiver</x:v>
      </x:c>
      <x:c r="H18" s="77" t="str">
        <x:v>air</x:v>
      </x:c>
      <x:c r="I18" s="77" t="str">
        <x:v>OPEN</x:v>
      </x:c>
      <x:c r="J18" s="79" t="str">
        <x:v>PROVE</x:v>
      </x:c>
    </x:row>
    <x:row r="19">
      <x:c r="B19" s="77" t="str">
        <x:v>TP13</x:v>
      </x:c>
      <x:c r="C19" s="77" t="str">
        <x:v>five-position terrain receiver</x:v>
      </x:c>
      <x:c r="D19" s="77" t="n">
        <x:v>25</x:v>
      </x:c>
      <x:c r="E19" s="77" t="str">
        <x:v>220 by 140 m demonstrator</x:v>
      </x:c>
      <x:c r="F19" s="77" t="str">
        <x:v>parallel safe unload</x:v>
      </x:c>
      <x:c r="G19" s="77" t="str">
        <x:v>grow receiver</x:v>
      </x:c>
      <x:c r="H19" s="77" t="str">
        <x:v>terrain</x:v>
      </x:c>
      <x:c r="I19" s="77" t="str">
        <x:v>OPEN</x:v>
      </x:c>
      <x:c r="J19" s="79" t="str">
        <x:v>PROVE</x:v>
      </x:c>
    </x:row>
    <x:row r="20">
      <x:c r="B20" s="77" t="str">
        <x:v>TP14</x:v>
      </x:c>
      <x:c r="C20" s="77" t="str">
        <x:v>cross-mode civil release</x:v>
      </x:c>
      <x:c r="D20" s="77" t="n">
        <x:v>22</x:v>
      </x:c>
      <x:c r="E20" s="77" t="str">
        <x:v>joint release exercise</x:v>
      </x:c>
      <x:c r="F20" s="77" t="str">
        <x:v>independent effects before tie</x:v>
      </x:c>
      <x:c r="G20" s="77" t="str">
        <x:v>separate commands</x:v>
      </x:c>
      <x:c r="H20" s="77" t="str">
        <x:v>semantic only</x:v>
      </x:c>
      <x:c r="I20" s="77" t="str">
        <x:v>OPEN</x:v>
      </x:c>
      <x:c r="J20" s="79" t="str">
        <x:v>PROVE</x:v>
      </x:c>
    </x:row>
    <x:row r="21">
      <x:c r="B21" s="77" t="str">
        <x:v>TP15</x:v>
      </x:c>
      <x:c r="C21" s="77" t="str">
        <x:v>network and GNSS denial</x:v>
      </x:c>
      <x:c r="D21" s="77" t="n">
        <x:v>20</x:v>
      </x:c>
      <x:c r="E21" s="77" t="str">
        <x:v>offline mission trial</x:v>
      </x:c>
      <x:c r="F21" s="77" t="str">
        <x:v>clock with no external link</x:v>
      </x:c>
      <x:c r="G21" s="77" t="str">
        <x:v>change route and control</x:v>
      </x:c>
      <x:c r="H21" s="77" t="str">
        <x:v>separate</x:v>
      </x:c>
      <x:c r="I21" s="77" t="str">
        <x:v>OPEN</x:v>
      </x:c>
      <x:c r="J21" s="79" t="str">
        <x:v>PROVE</x:v>
      </x:c>
    </x:row>
    <x:row r="22">
      <x:c r="B22" s="77" t="str">
        <x:v>TP16</x:v>
      </x:c>
      <x:c r="C22" s="77" t="str">
        <x:v>compound destructive trials</x:v>
      </x:c>
      <x:c r="D22" s="77" t="n">
        <x:v>45</x:v>
      </x:c>
      <x:c r="E22" s="77" t="str">
        <x:v>lost carrier plus lost tile</x:v>
      </x:c>
      <x:c r="F22" s="77" t="str">
        <x:v>all floors and deadline</x:v>
      </x:c>
      <x:c r="G22" s="77" t="str">
        <x:v>change guarantee</x:v>
      </x:c>
      <x:c r="H22" s="77" t="str">
        <x:v>both</x:v>
      </x:c>
      <x:c r="I22" s="77" t="str">
        <x:v>OPEN</x:v>
      </x:c>
      <x:c r="J22" s="79" t="str">
        <x:v>PROVE</x:v>
      </x:c>
    </x:row>
    <x:row r="23">
      <x:c r="B23" s="77" t="str">
        <x:v>TP17</x:v>
      </x:c>
      <x:c r="C23" s="77" t="str">
        <x:v>reset and recertification</x:v>
      </x:c>
      <x:c r="D23" s="77" t="n">
        <x:v>35</x:v>
      </x:c>
      <x:c r="E23" s="77" t="str">
        <x:v>formation reset line</x:v>
      </x:c>
      <x:c r="F23" s="77" t="str">
        <x:v>within 168 h</x:v>
      </x:c>
      <x:c r="G23" s="77" t="str">
        <x:v>grow fleet</x:v>
      </x:c>
      <x:c r="H23" s="77" t="str">
        <x:v>separate</x:v>
      </x:c>
      <x:c r="I23" s="77" t="str">
        <x:v>OPEN</x:v>
      </x:c>
      <x:c r="J23" s="79" t="str">
        <x:v>PROVE</x:v>
      </x:c>
    </x:row>
    <x:row r="24">
      <x:c r="B24" s="77" t="str">
        <x:v>TP18</x:v>
      </x:c>
      <x:c r="C24" s="77" t="str">
        <x:v>workforce and authority school</x:v>
      </x:c>
      <x:c r="D24" s="77" t="n">
        <x:v>25</x:v>
      </x:c>
      <x:c r="E24" s="77" t="str">
        <x:v>two lineage schools</x:v>
      </x:c>
      <x:c r="F24" s="77" t="str">
        <x:v>casualty substitutions</x:v>
      </x:c>
      <x:c r="G24" s="77" t="str">
        <x:v>grow personnel</x:v>
      </x:c>
      <x:c r="H24" s="77" t="str">
        <x:v>separate</x:v>
      </x:c>
      <x:c r="I24" s="77" t="str">
        <x:v>OPEN</x:v>
      </x:c>
      <x:c r="J24" s="79" t="str">
        <x:v>PROVE</x:v>
      </x:c>
    </x:row>
    <x:row r="25">
      <x:c r="B25" s="77" t="str">
        <x:v>TP19</x:v>
      </x:c>
      <x:c r="C25" s="77" t="str">
        <x:v>industrial pilot lines</x:v>
      </x:c>
      <x:c r="D25" s="77" t="n">
        <x:v>30</x:v>
      </x:c>
      <x:c r="E25" s="77" t="str">
        <x:v>air and terrain payload lines</x:v>
      </x:c>
      <x:c r="F25" s="77" t="str">
        <x:v>sustained independent rate</x:v>
      </x:c>
      <x:c r="G25" s="77" t="str">
        <x:v>grow schedule</x:v>
      </x:c>
      <x:c r="H25" s="77" t="str">
        <x:v>separate</x:v>
      </x:c>
      <x:c r="I25" s="77" t="str">
        <x:v>OPEN</x:v>
      </x:c>
      <x:c r="J25" s="79" t="str">
        <x:v>PROVE</x:v>
      </x:c>
    </x:row>
    <x:row r="26">
      <x:c r="B26" s="80" t="str">
        <x:v>TP20</x:v>
      </x:c>
      <x:c r="C26" s="80" t="str">
        <x:v>evidence commons and red team</x:v>
      </x:c>
      <x:c r="D26" s="80" t="n">
        <x:v>18</x:v>
      </x:c>
      <x:c r="E26" s="80" t="str">
        <x:v>signed evidence graph</x:v>
      </x:c>
      <x:c r="F26" s="80" t="str">
        <x:v>reproducible falsification</x:v>
      </x:c>
      <x:c r="G26" s="80" t="str">
        <x:v>withhold release</x:v>
      </x:c>
      <x:c r="H26" s="80" t="str">
        <x:v>independent</x:v>
      </x:c>
      <x:c r="I26" s="80" t="str">
        <x:v>OPEN</x:v>
      </x:c>
      <x:c r="J26" s="82" t="str">
        <x:v>PROVE</x:v>
      </x:c>
    </x:row>
    <x:row r="27"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>
      <x:c r="B28" s="58" t="str">
        <x:v>Portfolio total</x:v>
      </x:c>
      <x:c r="C28" s="58" t="n">
        <x:f>SUM(D7:D26)</x:f>
        <x:v>775</x:v>
      </x:c>
      <x:c r="D28" s="58" t="n">
        <x:v>775</x:v>
      </x:c>
      <x:c r="E28" s="58" t="str">
        <x:f>IF(ABS(C28-D28)&lt;0.001,"PASS","FAIL")</x:f>
        <x:v>PASS</x:v>
      </x:c>
      <x:c r="F28" s="58"/>
      <x:c r="G28" s="58"/>
      <x:c r="H28" s="58"/>
      <x:c r="I28" s="58"/>
      <x:c r="J28" s="58"/>
    </x:row>
    <x:row r="29">
      <x:c r="B29" s="58" t="str">
        <x:v>Additive to program</x:v>
      </x:c>
      <x:c r="C29" s="58" t="n">
        <x:v>0</x:v>
      </x:c>
      <x:c r="D29" s="58" t="n">
        <x:v>0</x:v>
      </x:c>
      <x:c r="E29" s="58" t="str">
        <x:f>IF(C29=D29,"PASS","FAIL")</x:f>
        <x:v>PASS</x:v>
      </x:c>
      <x:c r="F29" s="58"/>
      <x:c r="G29" s="58"/>
      <x:c r="H29" s="58"/>
      <x:c r="I29" s="58"/>
      <x:c r="J29" s="58"/>
    </x:row>
    <x:row r="30">
      <x:c r="B30" s="58"/>
      <x:c r="C30" s="58"/>
      <x:c r="D30" s="58"/>
      <x:c r="E30" s="58"/>
      <x:c r="F30" s="58"/>
      <x:c r="G30" s="58"/>
      <x:c r="H30" s="58"/>
      <x:c r="I30" s="58"/>
      <x:c r="J30" s="58"/>
    </x:row>
    <x:row r="31">
      <x:c r="B31" s="58"/>
      <x:c r="C31" s="58"/>
      <x:c r="D31" s="58"/>
      <x:c r="E31" s="58"/>
      <x:c r="F31" s="58"/>
      <x:c r="G31" s="58"/>
      <x:c r="H31" s="58"/>
      <x:c r="I31" s="58"/>
      <x:c r="J31" s="58"/>
    </x:row>
    <x:row r="32">
      <x:c r="B32" s="99" t="str">
        <x:v>Portfolio rule</x:v>
      </x:c>
      <x:c r="C32" s="100" t="str">
        <x:v>Portfolio rule</x:v>
      </x:c>
      <x:c r="D32" s="100" t="str">
        <x:v>Portfolio rule</x:v>
      </x:c>
      <x:c r="E32" s="100" t="str">
        <x:v>Portfolio rule</x:v>
      </x:c>
      <x:c r="F32" s="100" t="str">
        <x:v>Portfolio rule</x:v>
      </x:c>
      <x:c r="G32" s="100" t="str">
        <x:v>Portfolio rule</x:v>
      </x:c>
      <x:c r="H32" s="100" t="str">
        <x:v>Portfolio rule</x:v>
      </x:c>
      <x:c r="I32" s="100" t="str">
        <x:v>Portfolio rule</x:v>
      </x:c>
      <x:c r="J32" s="101" t="str">
        <x:v>Portfolio rule</x:v>
      </x:c>
    </x:row>
    <x:row r="33">
      <x:c r="B33" s="83" t="str">
        <x:v>No maturity claim</x:v>
      </x:c>
      <x:c r="C33" s="58" t="str">
        <x:v>Every campaign begins OPEN. Budget allocation does not make a coefficient, causal separation or mission clock true.</x:v>
      </x:c>
      <x:c r="D33" s="58" t="str"/>
      <x:c r="E33" s="58" t="str"/>
      <x:c r="F33" s="58" t="str"/>
      <x:c r="G33" s="58" t="str"/>
      <x:c r="H33" s="58" t="str"/>
      <x:c r="I33" s="58" t="str"/>
      <x:c r="J33" s="58" t="str"/>
    </x:row>
    <x:row r="34">
      <x:c r="B34" s="83" t="str">
        <x:v>Physical sequence</x:v>
      </x:c>
      <x:c r="C34" s="58" t="str">
        <x:v>Prove one tile from each family, then balanced carrier loads, then compound casualty missions.</x:v>
      </x:c>
      <x:c r="D34" s="58" t="str"/>
      <x:c r="E34" s="58" t="str"/>
      <x:c r="F34" s="58" t="str"/>
      <x:c r="G34" s="58" t="str"/>
      <x:c r="H34" s="58" t="str"/>
      <x:c r="I34" s="58" t="str"/>
      <x:c r="J34" s="58" t="str"/>
    </x:row>
    <x:row r="35">
      <x:c r="B35" s="83" t="str">
        <x:v>Two lineages</x:v>
      </x:c>
      <x:c r="C35" s="58" t="str">
        <x:v>Air and terrain campaigns share service metrics but not decisive implementations or certifying authorities.</x:v>
      </x:c>
      <x:c r="D35" s="58" t="str"/>
      <x:c r="E35" s="58" t="str"/>
      <x:c r="F35" s="58" t="str"/>
      <x:c r="G35" s="58" t="str"/>
      <x:c r="H35" s="58" t="str"/>
      <x:c r="I35" s="58" t="str"/>
      <x:c r="J35" s="58" t="str"/>
    </x:row>
    <x:row r="36">
      <x:c r="B36" s="83" t="str">
        <x:v>Portfolio kill</x:v>
      </x:c>
      <x:c r="C36" s="58" t="str">
        <x:v>A failed decisive campaign reopens the architecture competition, including full duplication.</x:v>
      </x:c>
      <x:c r="D36" s="58" t="str"/>
      <x:c r="E36" s="58" t="str"/>
      <x:c r="F36" s="58" t="str"/>
      <x:c r="G36" s="58" t="str"/>
      <x:c r="H36" s="58" t="str"/>
      <x:c r="I36" s="58" t="str"/>
      <x:c r="J36" s="58" t="str"/>
    </x:row>
  </x:sheetData>
  <x:mergeCells>
    <x:mergeCell ref="B2:H2"/>
    <x:mergeCell ref="B3:H3"/>
    <x:mergeCell ref="B32:J32"/>
  </x:mergeCells>
  <x:conditionalFormatting sqref="E28:E29">
    <x:cfRule type="containsText" dxfId="80" priority="1" operator="containsText" text="FAIL"/>
    <x:cfRule type="containsText" dxfId="81" priority="2" operator="containsText" text="PASS"/>
    <x:cfRule type="containsText" dxfId="82" priority="3" operator="containsText" text="BLOCKED"/>
    <x:cfRule type="containsText" dxfId="83" priority="4" operator="containsText" text="BOUND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3" hidden="0" customWidth="1"/>
    <x:col min="3" max="3" width="12" hidden="0" customWidth="1"/>
    <x:col min="4" max="4" width="22" hidden="0" customWidth="1"/>
    <x:col min="5" max="5" width="44" hidden="0" customWidth="1"/>
    <x:col min="6" max="6" width="24" hidden="0" customWidth="1"/>
    <x:col min="7" max="7" width="34" hidden="0" customWidth="1"/>
    <x:col min="8" max="8" width="14" hidden="0" customWidth="1"/>
    <x:col min="9" max="9" width="30" hidden="0" customWidth="1"/>
    <x:col min="10" max="10" width="38" hidden="0" customWidth="1"/>
    <x:col min="11" max="11" width="18" hidden="0" customWidth="1"/>
    <x:col min="12" max="12" width="18" hidden="0" customWidth="1"/>
  </x:cols>
  <x:sheetData>
    <x:row r="2">
      <x:c r="B2" s="96" t="str">
        <x:v>DCP-2R evidence constitution</x:v>
      </x:c>
      <x:c r="C2" s="58"/>
      <x:c r="D2" s="58"/>
      <x:c r="E2" s="58"/>
      <x:c r="F2" s="58"/>
      <x:c r="G2" s="58"/>
      <x:c r="H2" s="58"/>
      <x:c r="I2" s="58"/>
      <x:c r="J2" s="58"/>
      <x:c r="K2" s="58"/>
      <x:c r="L2" s="58"/>
    </x:row>
    <x:row r="3">
      <x:c r="B3" s="97" t="str">
        <x:v>One hundred sixty predeclared gates carry zero evidence credit until an accountable artifact and acceptance record exist</x:v>
      </x:c>
      <x:c r="C3" s="97"/>
      <x:c r="D3" s="97"/>
      <x:c r="E3" s="97"/>
      <x:c r="F3" s="97"/>
      <x:c r="G3" s="97"/>
      <x:c r="H3" s="97"/>
      <x:c r="I3" s="97"/>
      <x:c r="J3" s="97"/>
      <x:c r="K3" s="97"/>
      <x:c r="L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  <x:c r="K4" s="98"/>
      <x:c r="L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  <x:c r="K5" s="58"/>
      <x:c r="L5" s="58"/>
    </x:row>
    <x:row r="6">
      <x:c r="B6" s="18" t="str">
        <x:v>Gate</x:v>
      </x:c>
      <x:c r="C6" s="19" t="str">
        <x:v>Campaign</x:v>
      </x:c>
      <x:c r="D6" s="19" t="str">
        <x:v>Domain</x:v>
      </x:c>
      <x:c r="E6" s="19" t="str">
        <x:v>Question</x:v>
      </x:c>
      <x:c r="F6" s="19" t="str">
        <x:v>Metric</x:v>
      </x:c>
      <x:c r="G6" s="19" t="str">
        <x:v>Threshold</x:v>
      </x:c>
      <x:c r="H6" s="19" t="str">
        <x:v>Artifact</x:v>
      </x:c>
      <x:c r="I6" s="19" t="str">
        <x:v>State</x:v>
      </x:c>
      <x:c r="J6" s="19" t="str">
        <x:v>Owner</x:v>
      </x:c>
      <x:c r="K6" s="19" t="str">
        <x:v>Failure allocation</x:v>
      </x:c>
      <x:c r="L6" s="19" t="str">
        <x:v>Review</x:v>
      </x:c>
    </x:row>
    <x:row r="7">
      <x:c r="B7" s="77" t="str">
        <x:v>EG-001</x:v>
      </x:c>
      <x:c r="C7" s="77" t="str">
        <x:v>TP01</x:v>
      </x:c>
      <x:c r="D7" s="77" t="str">
        <x:v>coefficient</x:v>
      </x:c>
      <x:c r="E7" s="77" t="str">
        <x:v>Can TP01 satisfy its coefficient claim under representative load?</x:v>
      </x:c>
      <x:c r="F7" s="77" t="str">
        <x:v>signed measured value</x:v>
      </x:c>
      <x:c r="G7" s="77" t="str">
        <x:v>campaign-specific acceptance limit</x:v>
      </x:c>
      <x:c r="H7" s="77" t="str">
        <x:v>test article plus raw record</x:v>
      </x:c>
      <x:c r="I7" s="77" t="str">
        <x:v>OPEN</x:v>
      </x:c>
      <x:c r="J7" s="77" t="str">
        <x:v>independent campaign authority</x:v>
      </x:c>
      <x:c r="K7" s="77" t="str">
        <x:v>redesign, add capacity or narrow guarantee</x:v>
      </x:c>
      <x:c r="L7" s="79" t="str">
        <x:v>not reviewed</x:v>
      </x:c>
    </x:row>
    <x:row r="8">
      <x:c r="B8" s="77" t="str">
        <x:v>EG-002</x:v>
      </x:c>
      <x:c r="C8" s="77" t="str">
        <x:v>TP01</x:v>
      </x:c>
      <x:c r="D8" s="77" t="str">
        <x:v>mass and custody</x:v>
      </x:c>
      <x:c r="E8" s="77" t="str">
        <x:v>Can TP01 satisfy its mass and custody claim under representative load?</x:v>
      </x:c>
      <x:c r="F8" s="77" t="str">
        <x:v>signed measured value</x:v>
      </x:c>
      <x:c r="G8" s="77" t="str">
        <x:v>campaign-specific acceptance limit</x:v>
      </x:c>
      <x:c r="H8" s="77" t="str">
        <x:v>test article plus raw record</x:v>
      </x:c>
      <x:c r="I8" s="77" t="str">
        <x:v>OPEN</x:v>
      </x:c>
      <x:c r="J8" s="77" t="str">
        <x:v>independent campaign authority</x:v>
      </x:c>
      <x:c r="K8" s="77" t="str">
        <x:v>redesign, add capacity or narrow guarantee</x:v>
      </x:c>
      <x:c r="L8" s="79" t="str">
        <x:v>not reviewed</x:v>
      </x:c>
    </x:row>
    <x:row r="9">
      <x:c r="B9" s="77" t="str">
        <x:v>EG-003</x:v>
      </x:c>
      <x:c r="C9" s="77" t="str">
        <x:v>TP01</x:v>
      </x:c>
      <x:c r="D9" s="77" t="str">
        <x:v>interface</x:v>
      </x:c>
      <x:c r="E9" s="77" t="str">
        <x:v>Can TP01 satisfy its interface claim under representative load?</x:v>
      </x:c>
      <x:c r="F9" s="77" t="str">
        <x:v>signed measured value</x:v>
      </x:c>
      <x:c r="G9" s="77" t="str">
        <x:v>campaign-specific acceptance limit</x:v>
      </x:c>
      <x:c r="H9" s="77" t="str">
        <x:v>test article plus raw record</x:v>
      </x:c>
      <x:c r="I9" s="77" t="str">
        <x:v>OPEN</x:v>
      </x:c>
      <x:c r="J9" s="77" t="str">
        <x:v>independent campaign authority</x:v>
      </x:c>
      <x:c r="K9" s="77" t="str">
        <x:v>redesign, add capacity or narrow guarantee</x:v>
      </x:c>
      <x:c r="L9" s="79" t="str">
        <x:v>not reviewed</x:v>
      </x:c>
    </x:row>
    <x:row r="10">
      <x:c r="B10" s="77" t="str">
        <x:v>EG-004</x:v>
      </x:c>
      <x:c r="C10" s="77" t="str">
        <x:v>TP01</x:v>
      </x:c>
      <x:c r="D10" s="77" t="str">
        <x:v>contained failure</x:v>
      </x:c>
      <x:c r="E10" s="77" t="str">
        <x:v>Can TP01 satisfy its contained failure claim under representative load?</x:v>
      </x:c>
      <x:c r="F10" s="77" t="str">
        <x:v>signed measured value</x:v>
      </x:c>
      <x:c r="G10" s="77" t="str">
        <x:v>campaign-specific acceptance limit</x:v>
      </x:c>
      <x:c r="H10" s="77" t="str">
        <x:v>test article plus raw record</x:v>
      </x:c>
      <x:c r="I10" s="77" t="str">
        <x:v>OPEN</x:v>
      </x:c>
      <x:c r="J10" s="77" t="str">
        <x:v>independent campaign authority</x:v>
      </x:c>
      <x:c r="K10" s="77" t="str">
        <x:v>redesign, add capacity or narrow guarantee</x:v>
      </x:c>
      <x:c r="L10" s="79" t="str">
        <x:v>not reviewed</x:v>
      </x:c>
    </x:row>
    <x:row r="11">
      <x:c r="B11" s="77" t="str">
        <x:v>EG-005</x:v>
      </x:c>
      <x:c r="C11" s="77" t="str">
        <x:v>TP01</x:v>
      </x:c>
      <x:c r="D11" s="77" t="str">
        <x:v>independence</x:v>
      </x:c>
      <x:c r="E11" s="77" t="str">
        <x:v>Can TP01 satisfy its independence claim under representative load?</x:v>
      </x:c>
      <x:c r="F11" s="77" t="str">
        <x:v>signed measured value</x:v>
      </x:c>
      <x:c r="G11" s="77" t="str">
        <x:v>campaign-specific acceptance limit</x:v>
      </x:c>
      <x:c r="H11" s="77" t="str">
        <x:v>test article plus raw record</x:v>
      </x:c>
      <x:c r="I11" s="77" t="str">
        <x:v>OPEN</x:v>
      </x:c>
      <x:c r="J11" s="77" t="str">
        <x:v>independent campaign authority</x:v>
      </x:c>
      <x:c r="K11" s="77" t="str">
        <x:v>redesign, add capacity or narrow guarantee</x:v>
      </x:c>
      <x:c r="L11" s="79" t="str">
        <x:v>not reviewed</x:v>
      </x:c>
    </x:row>
    <x:row r="12">
      <x:c r="B12" s="77" t="str">
        <x:v>EG-006</x:v>
      </x:c>
      <x:c r="C12" s="77" t="str">
        <x:v>TP01</x:v>
      </x:c>
      <x:c r="D12" s="77" t="str">
        <x:v>mission clock</x:v>
      </x:c>
      <x:c r="E12" s="77" t="str">
        <x:v>Can TP01 satisfy its mission clock claim under representative load?</x:v>
      </x:c>
      <x:c r="F12" s="77" t="str">
        <x:v>signed measured value</x:v>
      </x:c>
      <x:c r="G12" s="77" t="str">
        <x:v>campaign-specific acceptance limit</x:v>
      </x:c>
      <x:c r="H12" s="77" t="str">
        <x:v>test article plus raw record</x:v>
      </x:c>
      <x:c r="I12" s="77" t="str">
        <x:v>OPEN</x:v>
      </x:c>
      <x:c r="J12" s="77" t="str">
        <x:v>independent campaign authority</x:v>
      </x:c>
      <x:c r="K12" s="77" t="str">
        <x:v>redesign, add capacity or narrow guarantee</x:v>
      </x:c>
      <x:c r="L12" s="79" t="str">
        <x:v>not reviewed</x:v>
      </x:c>
    </x:row>
    <x:row r="13">
      <x:c r="B13" s="77" t="str">
        <x:v>EG-007</x:v>
      </x:c>
      <x:c r="C13" s="77" t="str">
        <x:v>TP01</x:v>
      </x:c>
      <x:c r="D13" s="77" t="str">
        <x:v>reset</x:v>
      </x:c>
      <x:c r="E13" s="77" t="str">
        <x:v>Can TP01 satisfy its reset claim under representative load?</x:v>
      </x:c>
      <x:c r="F13" s="77" t="str">
        <x:v>signed measured value</x:v>
      </x:c>
      <x:c r="G13" s="77" t="str">
        <x:v>campaign-specific acceptance limit</x:v>
      </x:c>
      <x:c r="H13" s="77" t="str">
        <x:v>test article plus raw record</x:v>
      </x:c>
      <x:c r="I13" s="77" t="str">
        <x:v>OPEN</x:v>
      </x:c>
      <x:c r="J13" s="77" t="str">
        <x:v>independent campaign authority</x:v>
      </x:c>
      <x:c r="K13" s="77" t="str">
        <x:v>redesign, add capacity or narrow guarantee</x:v>
      </x:c>
      <x:c r="L13" s="79" t="str">
        <x:v>not reviewed</x:v>
      </x:c>
    </x:row>
    <x:row r="14">
      <x:c r="B14" s="77" t="str">
        <x:v>EG-008</x:v>
      </x:c>
      <x:c r="C14" s="77" t="str">
        <x:v>TP01</x:v>
      </x:c>
      <x:c r="D14" s="77" t="str">
        <x:v>authority</x:v>
      </x:c>
      <x:c r="E14" s="77" t="str">
        <x:v>Can TP01 satisfy its authority claim under representative load?</x:v>
      </x:c>
      <x:c r="F14" s="77" t="str">
        <x:v>signed measured value</x:v>
      </x:c>
      <x:c r="G14" s="77" t="str">
        <x:v>campaign-specific acceptance limit</x:v>
      </x:c>
      <x:c r="H14" s="77" t="str">
        <x:v>test article plus raw record</x:v>
      </x:c>
      <x:c r="I14" s="77" t="str">
        <x:v>OPEN</x:v>
      </x:c>
      <x:c r="J14" s="77" t="str">
        <x:v>independent campaign authority</x:v>
      </x:c>
      <x:c r="K14" s="77" t="str">
        <x:v>redesign, add capacity or narrow guarantee</x:v>
      </x:c>
      <x:c r="L14" s="79" t="str">
        <x:v>not reviewed</x:v>
      </x:c>
    </x:row>
    <x:row r="15">
      <x:c r="B15" s="77" t="str">
        <x:v>EG-009</x:v>
      </x:c>
      <x:c r="C15" s="77" t="str">
        <x:v>TP02</x:v>
      </x:c>
      <x:c r="D15" s="77" t="str">
        <x:v>coefficient</x:v>
      </x:c>
      <x:c r="E15" s="77" t="str">
        <x:v>Can TP02 satisfy its coefficient claim under representative load?</x:v>
      </x:c>
      <x:c r="F15" s="77" t="str">
        <x:v>signed measured value</x:v>
      </x:c>
      <x:c r="G15" s="77" t="str">
        <x:v>campaign-specific acceptance limit</x:v>
      </x:c>
      <x:c r="H15" s="77" t="str">
        <x:v>test article plus raw record</x:v>
      </x:c>
      <x:c r="I15" s="77" t="str">
        <x:v>OPEN</x:v>
      </x:c>
      <x:c r="J15" s="77" t="str">
        <x:v>independent campaign authority</x:v>
      </x:c>
      <x:c r="K15" s="77" t="str">
        <x:v>redesign, add capacity or narrow guarantee</x:v>
      </x:c>
      <x:c r="L15" s="79" t="str">
        <x:v>not reviewed</x:v>
      </x:c>
    </x:row>
    <x:row r="16">
      <x:c r="B16" s="77" t="str">
        <x:v>EG-010</x:v>
      </x:c>
      <x:c r="C16" s="77" t="str">
        <x:v>TP02</x:v>
      </x:c>
      <x:c r="D16" s="77" t="str">
        <x:v>mass and custody</x:v>
      </x:c>
      <x:c r="E16" s="77" t="str">
        <x:v>Can TP02 satisfy its mass and custody claim under representative load?</x:v>
      </x:c>
      <x:c r="F16" s="77" t="str">
        <x:v>signed measured value</x:v>
      </x:c>
      <x:c r="G16" s="77" t="str">
        <x:v>campaign-specific acceptance limit</x:v>
      </x:c>
      <x:c r="H16" s="77" t="str">
        <x:v>test article plus raw record</x:v>
      </x:c>
      <x:c r="I16" s="77" t="str">
        <x:v>OPEN</x:v>
      </x:c>
      <x:c r="J16" s="77" t="str">
        <x:v>independent campaign authority</x:v>
      </x:c>
      <x:c r="K16" s="77" t="str">
        <x:v>redesign, add capacity or narrow guarantee</x:v>
      </x:c>
      <x:c r="L16" s="79" t="str">
        <x:v>not reviewed</x:v>
      </x:c>
    </x:row>
    <x:row r="17">
      <x:c r="B17" s="77" t="str">
        <x:v>EG-011</x:v>
      </x:c>
      <x:c r="C17" s="77" t="str">
        <x:v>TP02</x:v>
      </x:c>
      <x:c r="D17" s="77" t="str">
        <x:v>interface</x:v>
      </x:c>
      <x:c r="E17" s="77" t="str">
        <x:v>Can TP02 satisfy its interface claim under representative load?</x:v>
      </x:c>
      <x:c r="F17" s="77" t="str">
        <x:v>signed measured value</x:v>
      </x:c>
      <x:c r="G17" s="77" t="str">
        <x:v>campaign-specific acceptance limit</x:v>
      </x:c>
      <x:c r="H17" s="77" t="str">
        <x:v>test article plus raw record</x:v>
      </x:c>
      <x:c r="I17" s="77" t="str">
        <x:v>OPEN</x:v>
      </x:c>
      <x:c r="J17" s="77" t="str">
        <x:v>independent campaign authority</x:v>
      </x:c>
      <x:c r="K17" s="77" t="str">
        <x:v>redesign, add capacity or narrow guarantee</x:v>
      </x:c>
      <x:c r="L17" s="79" t="str">
        <x:v>not reviewed</x:v>
      </x:c>
    </x:row>
    <x:row r="18">
      <x:c r="B18" s="77" t="str">
        <x:v>EG-012</x:v>
      </x:c>
      <x:c r="C18" s="77" t="str">
        <x:v>TP02</x:v>
      </x:c>
      <x:c r="D18" s="77" t="str">
        <x:v>contained failure</x:v>
      </x:c>
      <x:c r="E18" s="77" t="str">
        <x:v>Can TP02 satisfy its contained failure claim under representative load?</x:v>
      </x:c>
      <x:c r="F18" s="77" t="str">
        <x:v>signed measured value</x:v>
      </x:c>
      <x:c r="G18" s="77" t="str">
        <x:v>campaign-specific acceptance limit</x:v>
      </x:c>
      <x:c r="H18" s="77" t="str">
        <x:v>test article plus raw record</x:v>
      </x:c>
      <x:c r="I18" s="77" t="str">
        <x:v>OPEN</x:v>
      </x:c>
      <x:c r="J18" s="77" t="str">
        <x:v>independent campaign authority</x:v>
      </x:c>
      <x:c r="K18" s="77" t="str">
        <x:v>redesign, add capacity or narrow guarantee</x:v>
      </x:c>
      <x:c r="L18" s="79" t="str">
        <x:v>not reviewed</x:v>
      </x:c>
    </x:row>
    <x:row r="19">
      <x:c r="B19" s="77" t="str">
        <x:v>EG-013</x:v>
      </x:c>
      <x:c r="C19" s="77" t="str">
        <x:v>TP02</x:v>
      </x:c>
      <x:c r="D19" s="77" t="str">
        <x:v>independence</x:v>
      </x:c>
      <x:c r="E19" s="77" t="str">
        <x:v>Can TP02 satisfy its independence claim under representative load?</x:v>
      </x:c>
      <x:c r="F19" s="77" t="str">
        <x:v>signed measured value</x:v>
      </x:c>
      <x:c r="G19" s="77" t="str">
        <x:v>campaign-specific acceptance limit</x:v>
      </x:c>
      <x:c r="H19" s="77" t="str">
        <x:v>test article plus raw record</x:v>
      </x:c>
      <x:c r="I19" s="77" t="str">
        <x:v>OPEN</x:v>
      </x:c>
      <x:c r="J19" s="77" t="str">
        <x:v>independent campaign authority</x:v>
      </x:c>
      <x:c r="K19" s="77" t="str">
        <x:v>redesign, add capacity or narrow guarantee</x:v>
      </x:c>
      <x:c r="L19" s="79" t="str">
        <x:v>not reviewed</x:v>
      </x:c>
    </x:row>
    <x:row r="20">
      <x:c r="B20" s="77" t="str">
        <x:v>EG-014</x:v>
      </x:c>
      <x:c r="C20" s="77" t="str">
        <x:v>TP02</x:v>
      </x:c>
      <x:c r="D20" s="77" t="str">
        <x:v>mission clock</x:v>
      </x:c>
      <x:c r="E20" s="77" t="str">
        <x:v>Can TP02 satisfy its mission clock claim under representative load?</x:v>
      </x:c>
      <x:c r="F20" s="77" t="str">
        <x:v>signed measured value</x:v>
      </x:c>
      <x:c r="G20" s="77" t="str">
        <x:v>campaign-specific acceptance limit</x:v>
      </x:c>
      <x:c r="H20" s="77" t="str">
        <x:v>test article plus raw record</x:v>
      </x:c>
      <x:c r="I20" s="77" t="str">
        <x:v>OPEN</x:v>
      </x:c>
      <x:c r="J20" s="77" t="str">
        <x:v>independent campaign authority</x:v>
      </x:c>
      <x:c r="K20" s="77" t="str">
        <x:v>redesign, add capacity or narrow guarantee</x:v>
      </x:c>
      <x:c r="L20" s="79" t="str">
        <x:v>not reviewed</x:v>
      </x:c>
    </x:row>
    <x:row r="21">
      <x:c r="B21" s="77" t="str">
        <x:v>EG-015</x:v>
      </x:c>
      <x:c r="C21" s="77" t="str">
        <x:v>TP02</x:v>
      </x:c>
      <x:c r="D21" s="77" t="str">
        <x:v>reset</x:v>
      </x:c>
      <x:c r="E21" s="77" t="str">
        <x:v>Can TP02 satisfy its reset claim under representative load?</x:v>
      </x:c>
      <x:c r="F21" s="77" t="str">
        <x:v>signed measured value</x:v>
      </x:c>
      <x:c r="G21" s="77" t="str">
        <x:v>campaign-specific acceptance limit</x:v>
      </x:c>
      <x:c r="H21" s="77" t="str">
        <x:v>test article plus raw record</x:v>
      </x:c>
      <x:c r="I21" s="77" t="str">
        <x:v>OPEN</x:v>
      </x:c>
      <x:c r="J21" s="77" t="str">
        <x:v>independent campaign authority</x:v>
      </x:c>
      <x:c r="K21" s="77" t="str">
        <x:v>redesign, add capacity or narrow guarantee</x:v>
      </x:c>
      <x:c r="L21" s="79" t="str">
        <x:v>not reviewed</x:v>
      </x:c>
    </x:row>
    <x:row r="22">
      <x:c r="B22" s="77" t="str">
        <x:v>EG-016</x:v>
      </x:c>
      <x:c r="C22" s="77" t="str">
        <x:v>TP02</x:v>
      </x:c>
      <x:c r="D22" s="77" t="str">
        <x:v>authority</x:v>
      </x:c>
      <x:c r="E22" s="77" t="str">
        <x:v>Can TP02 satisfy its authority claim under representative load?</x:v>
      </x:c>
      <x:c r="F22" s="77" t="str">
        <x:v>signed measured value</x:v>
      </x:c>
      <x:c r="G22" s="77" t="str">
        <x:v>campaign-specific acceptance limit</x:v>
      </x:c>
      <x:c r="H22" s="77" t="str">
        <x:v>test article plus raw record</x:v>
      </x:c>
      <x:c r="I22" s="77" t="str">
        <x:v>OPEN</x:v>
      </x:c>
      <x:c r="J22" s="77" t="str">
        <x:v>independent campaign authority</x:v>
      </x:c>
      <x:c r="K22" s="77" t="str">
        <x:v>redesign, add capacity or narrow guarantee</x:v>
      </x:c>
      <x:c r="L22" s="79" t="str">
        <x:v>not reviewed</x:v>
      </x:c>
    </x:row>
    <x:row r="23">
      <x:c r="B23" s="77" t="str">
        <x:v>EG-017</x:v>
      </x:c>
      <x:c r="C23" s="77" t="str">
        <x:v>TP03</x:v>
      </x:c>
      <x:c r="D23" s="77" t="str">
        <x:v>coefficient</x:v>
      </x:c>
      <x:c r="E23" s="77" t="str">
        <x:v>Can TP03 satisfy its coefficient claim under representative load?</x:v>
      </x:c>
      <x:c r="F23" s="77" t="str">
        <x:v>signed measured value</x:v>
      </x:c>
      <x:c r="G23" s="77" t="str">
        <x:v>campaign-specific acceptance limit</x:v>
      </x:c>
      <x:c r="H23" s="77" t="str">
        <x:v>test article plus raw record</x:v>
      </x:c>
      <x:c r="I23" s="77" t="str">
        <x:v>OPEN</x:v>
      </x:c>
      <x:c r="J23" s="77" t="str">
        <x:v>independent campaign authority</x:v>
      </x:c>
      <x:c r="K23" s="77" t="str">
        <x:v>redesign, add capacity or narrow guarantee</x:v>
      </x:c>
      <x:c r="L23" s="79" t="str">
        <x:v>not reviewed</x:v>
      </x:c>
    </x:row>
    <x:row r="24">
      <x:c r="B24" s="77" t="str">
        <x:v>EG-018</x:v>
      </x:c>
      <x:c r="C24" s="77" t="str">
        <x:v>TP03</x:v>
      </x:c>
      <x:c r="D24" s="77" t="str">
        <x:v>mass and custody</x:v>
      </x:c>
      <x:c r="E24" s="77" t="str">
        <x:v>Can TP03 satisfy its mass and custody claim under representative load?</x:v>
      </x:c>
      <x:c r="F24" s="77" t="str">
        <x:v>signed measured value</x:v>
      </x:c>
      <x:c r="G24" s="77" t="str">
        <x:v>campaign-specific acceptance limit</x:v>
      </x:c>
      <x:c r="H24" s="77" t="str">
        <x:v>test article plus raw record</x:v>
      </x:c>
      <x:c r="I24" s="77" t="str">
        <x:v>OPEN</x:v>
      </x:c>
      <x:c r="J24" s="77" t="str">
        <x:v>independent campaign authority</x:v>
      </x:c>
      <x:c r="K24" s="77" t="str">
        <x:v>redesign, add capacity or narrow guarantee</x:v>
      </x:c>
      <x:c r="L24" s="79" t="str">
        <x:v>not reviewed</x:v>
      </x:c>
    </x:row>
    <x:row r="25">
      <x:c r="B25" s="77" t="str">
        <x:v>EG-019</x:v>
      </x:c>
      <x:c r="C25" s="77" t="str">
        <x:v>TP03</x:v>
      </x:c>
      <x:c r="D25" s="77" t="str">
        <x:v>interface</x:v>
      </x:c>
      <x:c r="E25" s="77" t="str">
        <x:v>Can TP03 satisfy its interface claim under representative load?</x:v>
      </x:c>
      <x:c r="F25" s="77" t="str">
        <x:v>signed measured value</x:v>
      </x:c>
      <x:c r="G25" s="77" t="str">
        <x:v>campaign-specific acceptance limit</x:v>
      </x:c>
      <x:c r="H25" s="77" t="str">
        <x:v>test article plus raw record</x:v>
      </x:c>
      <x:c r="I25" s="77" t="str">
        <x:v>OPEN</x:v>
      </x:c>
      <x:c r="J25" s="77" t="str">
        <x:v>independent campaign authority</x:v>
      </x:c>
      <x:c r="K25" s="77" t="str">
        <x:v>redesign, add capacity or narrow guarantee</x:v>
      </x:c>
      <x:c r="L25" s="79" t="str">
        <x:v>not reviewed</x:v>
      </x:c>
    </x:row>
    <x:row r="26">
      <x:c r="B26" s="77" t="str">
        <x:v>EG-020</x:v>
      </x:c>
      <x:c r="C26" s="77" t="str">
        <x:v>TP03</x:v>
      </x:c>
      <x:c r="D26" s="77" t="str">
        <x:v>contained failure</x:v>
      </x:c>
      <x:c r="E26" s="77" t="str">
        <x:v>Can TP03 satisfy its contained failure claim under representative load?</x:v>
      </x:c>
      <x:c r="F26" s="77" t="str">
        <x:v>signed measured value</x:v>
      </x:c>
      <x:c r="G26" s="77" t="str">
        <x:v>campaign-specific acceptance limit</x:v>
      </x:c>
      <x:c r="H26" s="77" t="str">
        <x:v>test article plus raw record</x:v>
      </x:c>
      <x:c r="I26" s="77" t="str">
        <x:v>OPEN</x:v>
      </x:c>
      <x:c r="J26" s="77" t="str">
        <x:v>independent campaign authority</x:v>
      </x:c>
      <x:c r="K26" s="77" t="str">
        <x:v>redesign, add capacity or narrow guarantee</x:v>
      </x:c>
      <x:c r="L26" s="79" t="str">
        <x:v>not reviewed</x:v>
      </x:c>
    </x:row>
    <x:row r="27">
      <x:c r="B27" s="77" t="str">
        <x:v>EG-021</x:v>
      </x:c>
      <x:c r="C27" s="77" t="str">
        <x:v>TP03</x:v>
      </x:c>
      <x:c r="D27" s="77" t="str">
        <x:v>independence</x:v>
      </x:c>
      <x:c r="E27" s="77" t="str">
        <x:v>Can TP03 satisfy its independence claim under representative load?</x:v>
      </x:c>
      <x:c r="F27" s="77" t="str">
        <x:v>signed measured value</x:v>
      </x:c>
      <x:c r="G27" s="77" t="str">
        <x:v>campaign-specific acceptance limit</x:v>
      </x:c>
      <x:c r="H27" s="77" t="str">
        <x:v>test article plus raw record</x:v>
      </x:c>
      <x:c r="I27" s="77" t="str">
        <x:v>OPEN</x:v>
      </x:c>
      <x:c r="J27" s="77" t="str">
        <x:v>independent campaign authority</x:v>
      </x:c>
      <x:c r="K27" s="77" t="str">
        <x:v>redesign, add capacity or narrow guarantee</x:v>
      </x:c>
      <x:c r="L27" s="79" t="str">
        <x:v>not reviewed</x:v>
      </x:c>
    </x:row>
    <x:row r="28">
      <x:c r="B28" s="77" t="str">
        <x:v>EG-022</x:v>
      </x:c>
      <x:c r="C28" s="77" t="str">
        <x:v>TP03</x:v>
      </x:c>
      <x:c r="D28" s="77" t="str">
        <x:v>mission clock</x:v>
      </x:c>
      <x:c r="E28" s="77" t="str">
        <x:v>Can TP03 satisfy its mission clock claim under representative load?</x:v>
      </x:c>
      <x:c r="F28" s="77" t="str">
        <x:v>signed measured value</x:v>
      </x:c>
      <x:c r="G28" s="77" t="str">
        <x:v>campaign-specific acceptance limit</x:v>
      </x:c>
      <x:c r="H28" s="77" t="str">
        <x:v>test article plus raw record</x:v>
      </x:c>
      <x:c r="I28" s="77" t="str">
        <x:v>OPEN</x:v>
      </x:c>
      <x:c r="J28" s="77" t="str">
        <x:v>independent campaign authority</x:v>
      </x:c>
      <x:c r="K28" s="77" t="str">
        <x:v>redesign, add capacity or narrow guarantee</x:v>
      </x:c>
      <x:c r="L28" s="79" t="str">
        <x:v>not reviewed</x:v>
      </x:c>
    </x:row>
    <x:row r="29">
      <x:c r="B29" s="77" t="str">
        <x:v>EG-023</x:v>
      </x:c>
      <x:c r="C29" s="77" t="str">
        <x:v>TP03</x:v>
      </x:c>
      <x:c r="D29" s="77" t="str">
        <x:v>reset</x:v>
      </x:c>
      <x:c r="E29" s="77" t="str">
        <x:v>Can TP03 satisfy its reset claim under representative load?</x:v>
      </x:c>
      <x:c r="F29" s="77" t="str">
        <x:v>signed measured value</x:v>
      </x:c>
      <x:c r="G29" s="77" t="str">
        <x:v>campaign-specific acceptance limit</x:v>
      </x:c>
      <x:c r="H29" s="77" t="str">
        <x:v>test article plus raw record</x:v>
      </x:c>
      <x:c r="I29" s="77" t="str">
        <x:v>OPEN</x:v>
      </x:c>
      <x:c r="J29" s="77" t="str">
        <x:v>independent campaign authority</x:v>
      </x:c>
      <x:c r="K29" s="77" t="str">
        <x:v>redesign, add capacity or narrow guarantee</x:v>
      </x:c>
      <x:c r="L29" s="79" t="str">
        <x:v>not reviewed</x:v>
      </x:c>
    </x:row>
    <x:row r="30">
      <x:c r="B30" s="77" t="str">
        <x:v>EG-024</x:v>
      </x:c>
      <x:c r="C30" s="77" t="str">
        <x:v>TP03</x:v>
      </x:c>
      <x:c r="D30" s="77" t="str">
        <x:v>authority</x:v>
      </x:c>
      <x:c r="E30" s="77" t="str">
        <x:v>Can TP03 satisfy its authority claim under representative load?</x:v>
      </x:c>
      <x:c r="F30" s="77" t="str">
        <x:v>signed measured value</x:v>
      </x:c>
      <x:c r="G30" s="77" t="str">
        <x:v>campaign-specific acceptance limit</x:v>
      </x:c>
      <x:c r="H30" s="77" t="str">
        <x:v>test article plus raw record</x:v>
      </x:c>
      <x:c r="I30" s="77" t="str">
        <x:v>OPEN</x:v>
      </x:c>
      <x:c r="J30" s="77" t="str">
        <x:v>independent campaign authority</x:v>
      </x:c>
      <x:c r="K30" s="77" t="str">
        <x:v>redesign, add capacity or narrow guarantee</x:v>
      </x:c>
      <x:c r="L30" s="79" t="str">
        <x:v>not reviewed</x:v>
      </x:c>
    </x:row>
    <x:row r="31">
      <x:c r="B31" s="77" t="str">
        <x:v>EG-025</x:v>
      </x:c>
      <x:c r="C31" s="77" t="str">
        <x:v>TP04</x:v>
      </x:c>
      <x:c r="D31" s="77" t="str">
        <x:v>coefficient</x:v>
      </x:c>
      <x:c r="E31" s="77" t="str">
        <x:v>Can TP04 satisfy its coefficient claim under representative load?</x:v>
      </x:c>
      <x:c r="F31" s="77" t="str">
        <x:v>signed measured value</x:v>
      </x:c>
      <x:c r="G31" s="77" t="str">
        <x:v>campaign-specific acceptance limit</x:v>
      </x:c>
      <x:c r="H31" s="77" t="str">
        <x:v>test article plus raw record</x:v>
      </x:c>
      <x:c r="I31" s="77" t="str">
        <x:v>OPEN</x:v>
      </x:c>
      <x:c r="J31" s="77" t="str">
        <x:v>independent campaign authority</x:v>
      </x:c>
      <x:c r="K31" s="77" t="str">
        <x:v>redesign, add capacity or narrow guarantee</x:v>
      </x:c>
      <x:c r="L31" s="79" t="str">
        <x:v>not reviewed</x:v>
      </x:c>
    </x:row>
    <x:row r="32">
      <x:c r="B32" s="77" t="str">
        <x:v>EG-026</x:v>
      </x:c>
      <x:c r="C32" s="77" t="str">
        <x:v>TP04</x:v>
      </x:c>
      <x:c r="D32" s="77" t="str">
        <x:v>mass and custody</x:v>
      </x:c>
      <x:c r="E32" s="77" t="str">
        <x:v>Can TP04 satisfy its mass and custody claim under representative load?</x:v>
      </x:c>
      <x:c r="F32" s="77" t="str">
        <x:v>signed measured value</x:v>
      </x:c>
      <x:c r="G32" s="77" t="str">
        <x:v>campaign-specific acceptance limit</x:v>
      </x:c>
      <x:c r="H32" s="77" t="str">
        <x:v>test article plus raw record</x:v>
      </x:c>
      <x:c r="I32" s="77" t="str">
        <x:v>OPEN</x:v>
      </x:c>
      <x:c r="J32" s="77" t="str">
        <x:v>independent campaign authority</x:v>
      </x:c>
      <x:c r="K32" s="77" t="str">
        <x:v>redesign, add capacity or narrow guarantee</x:v>
      </x:c>
      <x:c r="L32" s="79" t="str">
        <x:v>not reviewed</x:v>
      </x:c>
    </x:row>
    <x:row r="33">
      <x:c r="B33" s="77" t="str">
        <x:v>EG-027</x:v>
      </x:c>
      <x:c r="C33" s="77" t="str">
        <x:v>TP04</x:v>
      </x:c>
      <x:c r="D33" s="77" t="str">
        <x:v>interface</x:v>
      </x:c>
      <x:c r="E33" s="77" t="str">
        <x:v>Can TP04 satisfy its interface claim under representative load?</x:v>
      </x:c>
      <x:c r="F33" s="77" t="str">
        <x:v>signed measured value</x:v>
      </x:c>
      <x:c r="G33" s="77" t="str">
        <x:v>campaign-specific acceptance limit</x:v>
      </x:c>
      <x:c r="H33" s="77" t="str">
        <x:v>test article plus raw record</x:v>
      </x:c>
      <x:c r="I33" s="77" t="str">
        <x:v>OPEN</x:v>
      </x:c>
      <x:c r="J33" s="77" t="str">
        <x:v>independent campaign authority</x:v>
      </x:c>
      <x:c r="K33" s="77" t="str">
        <x:v>redesign, add capacity or narrow guarantee</x:v>
      </x:c>
      <x:c r="L33" s="79" t="str">
        <x:v>not reviewed</x:v>
      </x:c>
    </x:row>
    <x:row r="34">
      <x:c r="B34" s="77" t="str">
        <x:v>EG-028</x:v>
      </x:c>
      <x:c r="C34" s="77" t="str">
        <x:v>TP04</x:v>
      </x:c>
      <x:c r="D34" s="77" t="str">
        <x:v>contained failure</x:v>
      </x:c>
      <x:c r="E34" s="77" t="str">
        <x:v>Can TP04 satisfy its contained failure claim under representative load?</x:v>
      </x:c>
      <x:c r="F34" s="77" t="str">
        <x:v>signed measured value</x:v>
      </x:c>
      <x:c r="G34" s="77" t="str">
        <x:v>campaign-specific acceptance limit</x:v>
      </x:c>
      <x:c r="H34" s="77" t="str">
        <x:v>test article plus raw record</x:v>
      </x:c>
      <x:c r="I34" s="77" t="str">
        <x:v>OPEN</x:v>
      </x:c>
      <x:c r="J34" s="77" t="str">
        <x:v>independent campaign authority</x:v>
      </x:c>
      <x:c r="K34" s="77" t="str">
        <x:v>redesign, add capacity or narrow guarantee</x:v>
      </x:c>
      <x:c r="L34" s="79" t="str">
        <x:v>not reviewed</x:v>
      </x:c>
    </x:row>
    <x:row r="35">
      <x:c r="B35" s="77" t="str">
        <x:v>EG-029</x:v>
      </x:c>
      <x:c r="C35" s="77" t="str">
        <x:v>TP04</x:v>
      </x:c>
      <x:c r="D35" s="77" t="str">
        <x:v>independence</x:v>
      </x:c>
      <x:c r="E35" s="77" t="str">
        <x:v>Can TP04 satisfy its independence claim under representative load?</x:v>
      </x:c>
      <x:c r="F35" s="77" t="str">
        <x:v>signed measured value</x:v>
      </x:c>
      <x:c r="G35" s="77" t="str">
        <x:v>campaign-specific acceptance limit</x:v>
      </x:c>
      <x:c r="H35" s="77" t="str">
        <x:v>test article plus raw record</x:v>
      </x:c>
      <x:c r="I35" s="77" t="str">
        <x:v>OPEN</x:v>
      </x:c>
      <x:c r="J35" s="77" t="str">
        <x:v>independent campaign authority</x:v>
      </x:c>
      <x:c r="K35" s="77" t="str">
        <x:v>redesign, add capacity or narrow guarantee</x:v>
      </x:c>
      <x:c r="L35" s="79" t="str">
        <x:v>not reviewed</x:v>
      </x:c>
    </x:row>
    <x:row r="36">
      <x:c r="B36" s="77" t="str">
        <x:v>EG-030</x:v>
      </x:c>
      <x:c r="C36" s="77" t="str">
        <x:v>TP04</x:v>
      </x:c>
      <x:c r="D36" s="77" t="str">
        <x:v>mission clock</x:v>
      </x:c>
      <x:c r="E36" s="77" t="str">
        <x:v>Can TP04 satisfy its mission clock claim under representative load?</x:v>
      </x:c>
      <x:c r="F36" s="77" t="str">
        <x:v>signed measured value</x:v>
      </x:c>
      <x:c r="G36" s="77" t="str">
        <x:v>campaign-specific acceptance limit</x:v>
      </x:c>
      <x:c r="H36" s="77" t="str">
        <x:v>test article plus raw record</x:v>
      </x:c>
      <x:c r="I36" s="77" t="str">
        <x:v>OPEN</x:v>
      </x:c>
      <x:c r="J36" s="77" t="str">
        <x:v>independent campaign authority</x:v>
      </x:c>
      <x:c r="K36" s="77" t="str">
        <x:v>redesign, add capacity or narrow guarantee</x:v>
      </x:c>
      <x:c r="L36" s="79" t="str">
        <x:v>not reviewed</x:v>
      </x:c>
    </x:row>
    <x:row r="37">
      <x:c r="B37" s="77" t="str">
        <x:v>EG-031</x:v>
      </x:c>
      <x:c r="C37" s="77" t="str">
        <x:v>TP04</x:v>
      </x:c>
      <x:c r="D37" s="77" t="str">
        <x:v>reset</x:v>
      </x:c>
      <x:c r="E37" s="77" t="str">
        <x:v>Can TP04 satisfy its reset claim under representative load?</x:v>
      </x:c>
      <x:c r="F37" s="77" t="str">
        <x:v>signed measured value</x:v>
      </x:c>
      <x:c r="G37" s="77" t="str">
        <x:v>campaign-specific acceptance limit</x:v>
      </x:c>
      <x:c r="H37" s="77" t="str">
        <x:v>test article plus raw record</x:v>
      </x:c>
      <x:c r="I37" s="77" t="str">
        <x:v>OPEN</x:v>
      </x:c>
      <x:c r="J37" s="77" t="str">
        <x:v>independent campaign authority</x:v>
      </x:c>
      <x:c r="K37" s="77" t="str">
        <x:v>redesign, add capacity or narrow guarantee</x:v>
      </x:c>
      <x:c r="L37" s="79" t="str">
        <x:v>not reviewed</x:v>
      </x:c>
    </x:row>
    <x:row r="38">
      <x:c r="B38" s="77" t="str">
        <x:v>EG-032</x:v>
      </x:c>
      <x:c r="C38" s="77" t="str">
        <x:v>TP04</x:v>
      </x:c>
      <x:c r="D38" s="77" t="str">
        <x:v>authority</x:v>
      </x:c>
      <x:c r="E38" s="77" t="str">
        <x:v>Can TP04 satisfy its authority claim under representative load?</x:v>
      </x:c>
      <x:c r="F38" s="77" t="str">
        <x:v>signed measured value</x:v>
      </x:c>
      <x:c r="G38" s="77" t="str">
        <x:v>campaign-specific acceptance limit</x:v>
      </x:c>
      <x:c r="H38" s="77" t="str">
        <x:v>test article plus raw record</x:v>
      </x:c>
      <x:c r="I38" s="77" t="str">
        <x:v>OPEN</x:v>
      </x:c>
      <x:c r="J38" s="77" t="str">
        <x:v>independent campaign authority</x:v>
      </x:c>
      <x:c r="K38" s="77" t="str">
        <x:v>redesign, add capacity or narrow guarantee</x:v>
      </x:c>
      <x:c r="L38" s="79" t="str">
        <x:v>not reviewed</x:v>
      </x:c>
    </x:row>
    <x:row r="39">
      <x:c r="B39" s="77" t="str">
        <x:v>EG-033</x:v>
      </x:c>
      <x:c r="C39" s="77" t="str">
        <x:v>TP05</x:v>
      </x:c>
      <x:c r="D39" s="77" t="str">
        <x:v>coefficient</x:v>
      </x:c>
      <x:c r="E39" s="77" t="str">
        <x:v>Can TP05 satisfy its coefficient claim under representative load?</x:v>
      </x:c>
      <x:c r="F39" s="77" t="str">
        <x:v>signed measured value</x:v>
      </x:c>
      <x:c r="G39" s="77" t="str">
        <x:v>campaign-specific acceptance limit</x:v>
      </x:c>
      <x:c r="H39" s="77" t="str">
        <x:v>test article plus raw record</x:v>
      </x:c>
      <x:c r="I39" s="77" t="str">
        <x:v>OPEN</x:v>
      </x:c>
      <x:c r="J39" s="77" t="str">
        <x:v>independent campaign authority</x:v>
      </x:c>
      <x:c r="K39" s="77" t="str">
        <x:v>redesign, add capacity or narrow guarantee</x:v>
      </x:c>
      <x:c r="L39" s="79" t="str">
        <x:v>not reviewed</x:v>
      </x:c>
    </x:row>
    <x:row r="40">
      <x:c r="B40" s="77" t="str">
        <x:v>EG-034</x:v>
      </x:c>
      <x:c r="C40" s="77" t="str">
        <x:v>TP05</x:v>
      </x:c>
      <x:c r="D40" s="77" t="str">
        <x:v>mass and custody</x:v>
      </x:c>
      <x:c r="E40" s="77" t="str">
        <x:v>Can TP05 satisfy its mass and custody claim under representative load?</x:v>
      </x:c>
      <x:c r="F40" s="77" t="str">
        <x:v>signed measured value</x:v>
      </x:c>
      <x:c r="G40" s="77" t="str">
        <x:v>campaign-specific acceptance limit</x:v>
      </x:c>
      <x:c r="H40" s="77" t="str">
        <x:v>test article plus raw record</x:v>
      </x:c>
      <x:c r="I40" s="77" t="str">
        <x:v>OPEN</x:v>
      </x:c>
      <x:c r="J40" s="77" t="str">
        <x:v>independent campaign authority</x:v>
      </x:c>
      <x:c r="K40" s="77" t="str">
        <x:v>redesign, add capacity or narrow guarantee</x:v>
      </x:c>
      <x:c r="L40" s="79" t="str">
        <x:v>not reviewed</x:v>
      </x:c>
    </x:row>
    <x:row r="41">
      <x:c r="B41" s="77" t="str">
        <x:v>EG-035</x:v>
      </x:c>
      <x:c r="C41" s="77" t="str">
        <x:v>TP05</x:v>
      </x:c>
      <x:c r="D41" s="77" t="str">
        <x:v>interface</x:v>
      </x:c>
      <x:c r="E41" s="77" t="str">
        <x:v>Can TP05 satisfy its interface claim under representative load?</x:v>
      </x:c>
      <x:c r="F41" s="77" t="str">
        <x:v>signed measured value</x:v>
      </x:c>
      <x:c r="G41" s="77" t="str">
        <x:v>campaign-specific acceptance limit</x:v>
      </x:c>
      <x:c r="H41" s="77" t="str">
        <x:v>test article plus raw record</x:v>
      </x:c>
      <x:c r="I41" s="77" t="str">
        <x:v>OPEN</x:v>
      </x:c>
      <x:c r="J41" s="77" t="str">
        <x:v>independent campaign authority</x:v>
      </x:c>
      <x:c r="K41" s="77" t="str">
        <x:v>redesign, add capacity or narrow guarantee</x:v>
      </x:c>
      <x:c r="L41" s="79" t="str">
        <x:v>not reviewed</x:v>
      </x:c>
    </x:row>
    <x:row r="42">
      <x:c r="B42" s="77" t="str">
        <x:v>EG-036</x:v>
      </x:c>
      <x:c r="C42" s="77" t="str">
        <x:v>TP05</x:v>
      </x:c>
      <x:c r="D42" s="77" t="str">
        <x:v>contained failure</x:v>
      </x:c>
      <x:c r="E42" s="77" t="str">
        <x:v>Can TP05 satisfy its contained failure claim under representative load?</x:v>
      </x:c>
      <x:c r="F42" s="77" t="str">
        <x:v>signed measured value</x:v>
      </x:c>
      <x:c r="G42" s="77" t="str">
        <x:v>campaign-specific acceptance limit</x:v>
      </x:c>
      <x:c r="H42" s="77" t="str">
        <x:v>test article plus raw record</x:v>
      </x:c>
      <x:c r="I42" s="77" t="str">
        <x:v>OPEN</x:v>
      </x:c>
      <x:c r="J42" s="77" t="str">
        <x:v>independent campaign authority</x:v>
      </x:c>
      <x:c r="K42" s="77" t="str">
        <x:v>redesign, add capacity or narrow guarantee</x:v>
      </x:c>
      <x:c r="L42" s="79" t="str">
        <x:v>not reviewed</x:v>
      </x:c>
    </x:row>
    <x:row r="43">
      <x:c r="B43" s="77" t="str">
        <x:v>EG-037</x:v>
      </x:c>
      <x:c r="C43" s="77" t="str">
        <x:v>TP05</x:v>
      </x:c>
      <x:c r="D43" s="77" t="str">
        <x:v>independence</x:v>
      </x:c>
      <x:c r="E43" s="77" t="str">
        <x:v>Can TP05 satisfy its independence claim under representative load?</x:v>
      </x:c>
      <x:c r="F43" s="77" t="str">
        <x:v>signed measured value</x:v>
      </x:c>
      <x:c r="G43" s="77" t="str">
        <x:v>campaign-specific acceptance limit</x:v>
      </x:c>
      <x:c r="H43" s="77" t="str">
        <x:v>test article plus raw record</x:v>
      </x:c>
      <x:c r="I43" s="77" t="str">
        <x:v>OPEN</x:v>
      </x:c>
      <x:c r="J43" s="77" t="str">
        <x:v>independent campaign authority</x:v>
      </x:c>
      <x:c r="K43" s="77" t="str">
        <x:v>redesign, add capacity or narrow guarantee</x:v>
      </x:c>
      <x:c r="L43" s="79" t="str">
        <x:v>not reviewed</x:v>
      </x:c>
    </x:row>
    <x:row r="44">
      <x:c r="B44" s="77" t="str">
        <x:v>EG-038</x:v>
      </x:c>
      <x:c r="C44" s="77" t="str">
        <x:v>TP05</x:v>
      </x:c>
      <x:c r="D44" s="77" t="str">
        <x:v>mission clock</x:v>
      </x:c>
      <x:c r="E44" s="77" t="str">
        <x:v>Can TP05 satisfy its mission clock claim under representative load?</x:v>
      </x:c>
      <x:c r="F44" s="77" t="str">
        <x:v>signed measured value</x:v>
      </x:c>
      <x:c r="G44" s="77" t="str">
        <x:v>campaign-specific acceptance limit</x:v>
      </x:c>
      <x:c r="H44" s="77" t="str">
        <x:v>test article plus raw record</x:v>
      </x:c>
      <x:c r="I44" s="77" t="str">
        <x:v>OPEN</x:v>
      </x:c>
      <x:c r="J44" s="77" t="str">
        <x:v>independent campaign authority</x:v>
      </x:c>
      <x:c r="K44" s="77" t="str">
        <x:v>redesign, add capacity or narrow guarantee</x:v>
      </x:c>
      <x:c r="L44" s="79" t="str">
        <x:v>not reviewed</x:v>
      </x:c>
    </x:row>
    <x:row r="45">
      <x:c r="B45" s="77" t="str">
        <x:v>EG-039</x:v>
      </x:c>
      <x:c r="C45" s="77" t="str">
        <x:v>TP05</x:v>
      </x:c>
      <x:c r="D45" s="77" t="str">
        <x:v>reset</x:v>
      </x:c>
      <x:c r="E45" s="77" t="str">
        <x:v>Can TP05 satisfy its reset claim under representative load?</x:v>
      </x:c>
      <x:c r="F45" s="77" t="str">
        <x:v>signed measured value</x:v>
      </x:c>
      <x:c r="G45" s="77" t="str">
        <x:v>campaign-specific acceptance limit</x:v>
      </x:c>
      <x:c r="H45" s="77" t="str">
        <x:v>test article plus raw record</x:v>
      </x:c>
      <x:c r="I45" s="77" t="str">
        <x:v>OPEN</x:v>
      </x:c>
      <x:c r="J45" s="77" t="str">
        <x:v>independent campaign authority</x:v>
      </x:c>
      <x:c r="K45" s="77" t="str">
        <x:v>redesign, add capacity or narrow guarantee</x:v>
      </x:c>
      <x:c r="L45" s="79" t="str">
        <x:v>not reviewed</x:v>
      </x:c>
    </x:row>
    <x:row r="46">
      <x:c r="B46" s="77" t="str">
        <x:v>EG-040</x:v>
      </x:c>
      <x:c r="C46" s="77" t="str">
        <x:v>TP05</x:v>
      </x:c>
      <x:c r="D46" s="77" t="str">
        <x:v>authority</x:v>
      </x:c>
      <x:c r="E46" s="77" t="str">
        <x:v>Can TP05 satisfy its authority claim under representative load?</x:v>
      </x:c>
      <x:c r="F46" s="77" t="str">
        <x:v>signed measured value</x:v>
      </x:c>
      <x:c r="G46" s="77" t="str">
        <x:v>campaign-specific acceptance limit</x:v>
      </x:c>
      <x:c r="H46" s="77" t="str">
        <x:v>test article plus raw record</x:v>
      </x:c>
      <x:c r="I46" s="77" t="str">
        <x:v>OPEN</x:v>
      </x:c>
      <x:c r="J46" s="77" t="str">
        <x:v>independent campaign authority</x:v>
      </x:c>
      <x:c r="K46" s="77" t="str">
        <x:v>redesign, add capacity or narrow guarantee</x:v>
      </x:c>
      <x:c r="L46" s="79" t="str">
        <x:v>not reviewed</x:v>
      </x:c>
    </x:row>
    <x:row r="47">
      <x:c r="B47" s="77" t="str">
        <x:v>EG-041</x:v>
      </x:c>
      <x:c r="C47" s="77" t="str">
        <x:v>TP06</x:v>
      </x:c>
      <x:c r="D47" s="77" t="str">
        <x:v>coefficient</x:v>
      </x:c>
      <x:c r="E47" s="77" t="str">
        <x:v>Can TP06 satisfy its coefficient claim under representative load?</x:v>
      </x:c>
      <x:c r="F47" s="77" t="str">
        <x:v>signed measured value</x:v>
      </x:c>
      <x:c r="G47" s="77" t="str">
        <x:v>campaign-specific acceptance limit</x:v>
      </x:c>
      <x:c r="H47" s="77" t="str">
        <x:v>test article plus raw record</x:v>
      </x:c>
      <x:c r="I47" s="77" t="str">
        <x:v>OPEN</x:v>
      </x:c>
      <x:c r="J47" s="77" t="str">
        <x:v>independent campaign authority</x:v>
      </x:c>
      <x:c r="K47" s="77" t="str">
        <x:v>redesign, add capacity or narrow guarantee</x:v>
      </x:c>
      <x:c r="L47" s="79" t="str">
        <x:v>not reviewed</x:v>
      </x:c>
    </x:row>
    <x:row r="48">
      <x:c r="B48" s="77" t="str">
        <x:v>EG-042</x:v>
      </x:c>
      <x:c r="C48" s="77" t="str">
        <x:v>TP06</x:v>
      </x:c>
      <x:c r="D48" s="77" t="str">
        <x:v>mass and custody</x:v>
      </x:c>
      <x:c r="E48" s="77" t="str">
        <x:v>Can TP06 satisfy its mass and custody claim under representative load?</x:v>
      </x:c>
      <x:c r="F48" s="77" t="str">
        <x:v>signed measured value</x:v>
      </x:c>
      <x:c r="G48" s="77" t="str">
        <x:v>campaign-specific acceptance limit</x:v>
      </x:c>
      <x:c r="H48" s="77" t="str">
        <x:v>test article plus raw record</x:v>
      </x:c>
      <x:c r="I48" s="77" t="str">
        <x:v>OPEN</x:v>
      </x:c>
      <x:c r="J48" s="77" t="str">
        <x:v>independent campaign authority</x:v>
      </x:c>
      <x:c r="K48" s="77" t="str">
        <x:v>redesign, add capacity or narrow guarantee</x:v>
      </x:c>
      <x:c r="L48" s="79" t="str">
        <x:v>not reviewed</x:v>
      </x:c>
    </x:row>
    <x:row r="49">
      <x:c r="B49" s="77" t="str">
        <x:v>EG-043</x:v>
      </x:c>
      <x:c r="C49" s="77" t="str">
        <x:v>TP06</x:v>
      </x:c>
      <x:c r="D49" s="77" t="str">
        <x:v>interface</x:v>
      </x:c>
      <x:c r="E49" s="77" t="str">
        <x:v>Can TP06 satisfy its interface claim under representative load?</x:v>
      </x:c>
      <x:c r="F49" s="77" t="str">
        <x:v>signed measured value</x:v>
      </x:c>
      <x:c r="G49" s="77" t="str">
        <x:v>campaign-specific acceptance limit</x:v>
      </x:c>
      <x:c r="H49" s="77" t="str">
        <x:v>test article plus raw record</x:v>
      </x:c>
      <x:c r="I49" s="77" t="str">
        <x:v>OPEN</x:v>
      </x:c>
      <x:c r="J49" s="77" t="str">
        <x:v>independent campaign authority</x:v>
      </x:c>
      <x:c r="K49" s="77" t="str">
        <x:v>redesign, add capacity or narrow guarantee</x:v>
      </x:c>
      <x:c r="L49" s="79" t="str">
        <x:v>not reviewed</x:v>
      </x:c>
    </x:row>
    <x:row r="50">
      <x:c r="B50" s="77" t="str">
        <x:v>EG-044</x:v>
      </x:c>
      <x:c r="C50" s="77" t="str">
        <x:v>TP06</x:v>
      </x:c>
      <x:c r="D50" s="77" t="str">
        <x:v>contained failure</x:v>
      </x:c>
      <x:c r="E50" s="77" t="str">
        <x:v>Can TP06 satisfy its contained failure claim under representative load?</x:v>
      </x:c>
      <x:c r="F50" s="77" t="str">
        <x:v>signed measured value</x:v>
      </x:c>
      <x:c r="G50" s="77" t="str">
        <x:v>campaign-specific acceptance limit</x:v>
      </x:c>
      <x:c r="H50" s="77" t="str">
        <x:v>test article plus raw record</x:v>
      </x:c>
      <x:c r="I50" s="77" t="str">
        <x:v>OPEN</x:v>
      </x:c>
      <x:c r="J50" s="77" t="str">
        <x:v>independent campaign authority</x:v>
      </x:c>
      <x:c r="K50" s="77" t="str">
        <x:v>redesign, add capacity or narrow guarantee</x:v>
      </x:c>
      <x:c r="L50" s="79" t="str">
        <x:v>not reviewed</x:v>
      </x:c>
    </x:row>
    <x:row r="51">
      <x:c r="B51" s="77" t="str">
        <x:v>EG-045</x:v>
      </x:c>
      <x:c r="C51" s="77" t="str">
        <x:v>TP06</x:v>
      </x:c>
      <x:c r="D51" s="77" t="str">
        <x:v>independence</x:v>
      </x:c>
      <x:c r="E51" s="77" t="str">
        <x:v>Can TP06 satisfy its independence claim under representative load?</x:v>
      </x:c>
      <x:c r="F51" s="77" t="str">
        <x:v>signed measured value</x:v>
      </x:c>
      <x:c r="G51" s="77" t="str">
        <x:v>campaign-specific acceptance limit</x:v>
      </x:c>
      <x:c r="H51" s="77" t="str">
        <x:v>test article plus raw record</x:v>
      </x:c>
      <x:c r="I51" s="77" t="str">
        <x:v>OPEN</x:v>
      </x:c>
      <x:c r="J51" s="77" t="str">
        <x:v>independent campaign authority</x:v>
      </x:c>
      <x:c r="K51" s="77" t="str">
        <x:v>redesign, add capacity or narrow guarantee</x:v>
      </x:c>
      <x:c r="L51" s="79" t="str">
        <x:v>not reviewed</x:v>
      </x:c>
    </x:row>
    <x:row r="52">
      <x:c r="B52" s="77" t="str">
        <x:v>EG-046</x:v>
      </x:c>
      <x:c r="C52" s="77" t="str">
        <x:v>TP06</x:v>
      </x:c>
      <x:c r="D52" s="77" t="str">
        <x:v>mission clock</x:v>
      </x:c>
      <x:c r="E52" s="77" t="str">
        <x:v>Can TP06 satisfy its mission clock claim under representative load?</x:v>
      </x:c>
      <x:c r="F52" s="77" t="str">
        <x:v>signed measured value</x:v>
      </x:c>
      <x:c r="G52" s="77" t="str">
        <x:v>campaign-specific acceptance limit</x:v>
      </x:c>
      <x:c r="H52" s="77" t="str">
        <x:v>test article plus raw record</x:v>
      </x:c>
      <x:c r="I52" s="77" t="str">
        <x:v>OPEN</x:v>
      </x:c>
      <x:c r="J52" s="77" t="str">
        <x:v>independent campaign authority</x:v>
      </x:c>
      <x:c r="K52" s="77" t="str">
        <x:v>redesign, add capacity or narrow guarantee</x:v>
      </x:c>
      <x:c r="L52" s="79" t="str">
        <x:v>not reviewed</x:v>
      </x:c>
    </x:row>
    <x:row r="53">
      <x:c r="B53" s="77" t="str">
        <x:v>EG-047</x:v>
      </x:c>
      <x:c r="C53" s="77" t="str">
        <x:v>TP06</x:v>
      </x:c>
      <x:c r="D53" s="77" t="str">
        <x:v>reset</x:v>
      </x:c>
      <x:c r="E53" s="77" t="str">
        <x:v>Can TP06 satisfy its reset claim under representative load?</x:v>
      </x:c>
      <x:c r="F53" s="77" t="str">
        <x:v>signed measured value</x:v>
      </x:c>
      <x:c r="G53" s="77" t="str">
        <x:v>campaign-specific acceptance limit</x:v>
      </x:c>
      <x:c r="H53" s="77" t="str">
        <x:v>test article plus raw record</x:v>
      </x:c>
      <x:c r="I53" s="77" t="str">
        <x:v>OPEN</x:v>
      </x:c>
      <x:c r="J53" s="77" t="str">
        <x:v>independent campaign authority</x:v>
      </x:c>
      <x:c r="K53" s="77" t="str">
        <x:v>redesign, add capacity or narrow guarantee</x:v>
      </x:c>
      <x:c r="L53" s="79" t="str">
        <x:v>not reviewed</x:v>
      </x:c>
    </x:row>
    <x:row r="54">
      <x:c r="B54" s="77" t="str">
        <x:v>EG-048</x:v>
      </x:c>
      <x:c r="C54" s="77" t="str">
        <x:v>TP06</x:v>
      </x:c>
      <x:c r="D54" s="77" t="str">
        <x:v>authority</x:v>
      </x:c>
      <x:c r="E54" s="77" t="str">
        <x:v>Can TP06 satisfy its authority claim under representative load?</x:v>
      </x:c>
      <x:c r="F54" s="77" t="str">
        <x:v>signed measured value</x:v>
      </x:c>
      <x:c r="G54" s="77" t="str">
        <x:v>campaign-specific acceptance limit</x:v>
      </x:c>
      <x:c r="H54" s="77" t="str">
        <x:v>test article plus raw record</x:v>
      </x:c>
      <x:c r="I54" s="77" t="str">
        <x:v>OPEN</x:v>
      </x:c>
      <x:c r="J54" s="77" t="str">
        <x:v>independent campaign authority</x:v>
      </x:c>
      <x:c r="K54" s="77" t="str">
        <x:v>redesign, add capacity or narrow guarantee</x:v>
      </x:c>
      <x:c r="L54" s="79" t="str">
        <x:v>not reviewed</x:v>
      </x:c>
    </x:row>
    <x:row r="55">
      <x:c r="B55" s="77" t="str">
        <x:v>EG-049</x:v>
      </x:c>
      <x:c r="C55" s="77" t="str">
        <x:v>TP07</x:v>
      </x:c>
      <x:c r="D55" s="77" t="str">
        <x:v>coefficient</x:v>
      </x:c>
      <x:c r="E55" s="77" t="str">
        <x:v>Can TP07 satisfy its coefficient claim under representative load?</x:v>
      </x:c>
      <x:c r="F55" s="77" t="str">
        <x:v>signed measured value</x:v>
      </x:c>
      <x:c r="G55" s="77" t="str">
        <x:v>campaign-specific acceptance limit</x:v>
      </x:c>
      <x:c r="H55" s="77" t="str">
        <x:v>test article plus raw record</x:v>
      </x:c>
      <x:c r="I55" s="77" t="str">
        <x:v>OPEN</x:v>
      </x:c>
      <x:c r="J55" s="77" t="str">
        <x:v>independent campaign authority</x:v>
      </x:c>
      <x:c r="K55" s="77" t="str">
        <x:v>redesign, add capacity or narrow guarantee</x:v>
      </x:c>
      <x:c r="L55" s="79" t="str">
        <x:v>not reviewed</x:v>
      </x:c>
    </x:row>
    <x:row r="56">
      <x:c r="B56" s="77" t="str">
        <x:v>EG-050</x:v>
      </x:c>
      <x:c r="C56" s="77" t="str">
        <x:v>TP07</x:v>
      </x:c>
      <x:c r="D56" s="77" t="str">
        <x:v>mass and custody</x:v>
      </x:c>
      <x:c r="E56" s="77" t="str">
        <x:v>Can TP07 satisfy its mass and custody claim under representative load?</x:v>
      </x:c>
      <x:c r="F56" s="77" t="str">
        <x:v>signed measured value</x:v>
      </x:c>
      <x:c r="G56" s="77" t="str">
        <x:v>campaign-specific acceptance limit</x:v>
      </x:c>
      <x:c r="H56" s="77" t="str">
        <x:v>test article plus raw record</x:v>
      </x:c>
      <x:c r="I56" s="77" t="str">
        <x:v>OPEN</x:v>
      </x:c>
      <x:c r="J56" s="77" t="str">
        <x:v>independent campaign authority</x:v>
      </x:c>
      <x:c r="K56" s="77" t="str">
        <x:v>redesign, add capacity or narrow guarantee</x:v>
      </x:c>
      <x:c r="L56" s="79" t="str">
        <x:v>not reviewed</x:v>
      </x:c>
    </x:row>
    <x:row r="57">
      <x:c r="B57" s="77" t="str">
        <x:v>EG-051</x:v>
      </x:c>
      <x:c r="C57" s="77" t="str">
        <x:v>TP07</x:v>
      </x:c>
      <x:c r="D57" s="77" t="str">
        <x:v>interface</x:v>
      </x:c>
      <x:c r="E57" s="77" t="str">
        <x:v>Can TP07 satisfy its interface claim under representative load?</x:v>
      </x:c>
      <x:c r="F57" s="77" t="str">
        <x:v>signed measured value</x:v>
      </x:c>
      <x:c r="G57" s="77" t="str">
        <x:v>campaign-specific acceptance limit</x:v>
      </x:c>
      <x:c r="H57" s="77" t="str">
        <x:v>test article plus raw record</x:v>
      </x:c>
      <x:c r="I57" s="77" t="str">
        <x:v>OPEN</x:v>
      </x:c>
      <x:c r="J57" s="77" t="str">
        <x:v>independent campaign authority</x:v>
      </x:c>
      <x:c r="K57" s="77" t="str">
        <x:v>redesign, add capacity or narrow guarantee</x:v>
      </x:c>
      <x:c r="L57" s="79" t="str">
        <x:v>not reviewed</x:v>
      </x:c>
    </x:row>
    <x:row r="58">
      <x:c r="B58" s="77" t="str">
        <x:v>EG-052</x:v>
      </x:c>
      <x:c r="C58" s="77" t="str">
        <x:v>TP07</x:v>
      </x:c>
      <x:c r="D58" s="77" t="str">
        <x:v>contained failure</x:v>
      </x:c>
      <x:c r="E58" s="77" t="str">
        <x:v>Can TP07 satisfy its contained failure claim under representative load?</x:v>
      </x:c>
      <x:c r="F58" s="77" t="str">
        <x:v>signed measured value</x:v>
      </x:c>
      <x:c r="G58" s="77" t="str">
        <x:v>campaign-specific acceptance limit</x:v>
      </x:c>
      <x:c r="H58" s="77" t="str">
        <x:v>test article plus raw record</x:v>
      </x:c>
      <x:c r="I58" s="77" t="str">
        <x:v>OPEN</x:v>
      </x:c>
      <x:c r="J58" s="77" t="str">
        <x:v>independent campaign authority</x:v>
      </x:c>
      <x:c r="K58" s="77" t="str">
        <x:v>redesign, add capacity or narrow guarantee</x:v>
      </x:c>
      <x:c r="L58" s="79" t="str">
        <x:v>not reviewed</x:v>
      </x:c>
    </x:row>
    <x:row r="59">
      <x:c r="B59" s="77" t="str">
        <x:v>EG-053</x:v>
      </x:c>
      <x:c r="C59" s="77" t="str">
        <x:v>TP07</x:v>
      </x:c>
      <x:c r="D59" s="77" t="str">
        <x:v>independence</x:v>
      </x:c>
      <x:c r="E59" s="77" t="str">
        <x:v>Can TP07 satisfy its independence claim under representative load?</x:v>
      </x:c>
      <x:c r="F59" s="77" t="str">
        <x:v>signed measured value</x:v>
      </x:c>
      <x:c r="G59" s="77" t="str">
        <x:v>campaign-specific acceptance limit</x:v>
      </x:c>
      <x:c r="H59" s="77" t="str">
        <x:v>test article plus raw record</x:v>
      </x:c>
      <x:c r="I59" s="77" t="str">
        <x:v>OPEN</x:v>
      </x:c>
      <x:c r="J59" s="77" t="str">
        <x:v>independent campaign authority</x:v>
      </x:c>
      <x:c r="K59" s="77" t="str">
        <x:v>redesign, add capacity or narrow guarantee</x:v>
      </x:c>
      <x:c r="L59" s="79" t="str">
        <x:v>not reviewed</x:v>
      </x:c>
    </x:row>
    <x:row r="60">
      <x:c r="B60" s="77" t="str">
        <x:v>EG-054</x:v>
      </x:c>
      <x:c r="C60" s="77" t="str">
        <x:v>TP07</x:v>
      </x:c>
      <x:c r="D60" s="77" t="str">
        <x:v>mission clock</x:v>
      </x:c>
      <x:c r="E60" s="77" t="str">
        <x:v>Can TP07 satisfy its mission clock claim under representative load?</x:v>
      </x:c>
      <x:c r="F60" s="77" t="str">
        <x:v>signed measured value</x:v>
      </x:c>
      <x:c r="G60" s="77" t="str">
        <x:v>campaign-specific acceptance limit</x:v>
      </x:c>
      <x:c r="H60" s="77" t="str">
        <x:v>test article plus raw record</x:v>
      </x:c>
      <x:c r="I60" s="77" t="str">
        <x:v>OPEN</x:v>
      </x:c>
      <x:c r="J60" s="77" t="str">
        <x:v>independent campaign authority</x:v>
      </x:c>
      <x:c r="K60" s="77" t="str">
        <x:v>redesign, add capacity or narrow guarantee</x:v>
      </x:c>
      <x:c r="L60" s="79" t="str">
        <x:v>not reviewed</x:v>
      </x:c>
    </x:row>
    <x:row r="61">
      <x:c r="B61" s="77" t="str">
        <x:v>EG-055</x:v>
      </x:c>
      <x:c r="C61" s="77" t="str">
        <x:v>TP07</x:v>
      </x:c>
      <x:c r="D61" s="77" t="str">
        <x:v>reset</x:v>
      </x:c>
      <x:c r="E61" s="77" t="str">
        <x:v>Can TP07 satisfy its reset claim under representative load?</x:v>
      </x:c>
      <x:c r="F61" s="77" t="str">
        <x:v>signed measured value</x:v>
      </x:c>
      <x:c r="G61" s="77" t="str">
        <x:v>campaign-specific acceptance limit</x:v>
      </x:c>
      <x:c r="H61" s="77" t="str">
        <x:v>test article plus raw record</x:v>
      </x:c>
      <x:c r="I61" s="77" t="str">
        <x:v>OPEN</x:v>
      </x:c>
      <x:c r="J61" s="77" t="str">
        <x:v>independent campaign authority</x:v>
      </x:c>
      <x:c r="K61" s="77" t="str">
        <x:v>redesign, add capacity or narrow guarantee</x:v>
      </x:c>
      <x:c r="L61" s="79" t="str">
        <x:v>not reviewed</x:v>
      </x:c>
    </x:row>
    <x:row r="62">
      <x:c r="B62" s="77" t="str">
        <x:v>EG-056</x:v>
      </x:c>
      <x:c r="C62" s="77" t="str">
        <x:v>TP07</x:v>
      </x:c>
      <x:c r="D62" s="77" t="str">
        <x:v>authority</x:v>
      </x:c>
      <x:c r="E62" s="77" t="str">
        <x:v>Can TP07 satisfy its authority claim under representative load?</x:v>
      </x:c>
      <x:c r="F62" s="77" t="str">
        <x:v>signed measured value</x:v>
      </x:c>
      <x:c r="G62" s="77" t="str">
        <x:v>campaign-specific acceptance limit</x:v>
      </x:c>
      <x:c r="H62" s="77" t="str">
        <x:v>test article plus raw record</x:v>
      </x:c>
      <x:c r="I62" s="77" t="str">
        <x:v>OPEN</x:v>
      </x:c>
      <x:c r="J62" s="77" t="str">
        <x:v>independent campaign authority</x:v>
      </x:c>
      <x:c r="K62" s="77" t="str">
        <x:v>redesign, add capacity or narrow guarantee</x:v>
      </x:c>
      <x:c r="L62" s="79" t="str">
        <x:v>not reviewed</x:v>
      </x:c>
    </x:row>
    <x:row r="63">
      <x:c r="B63" s="77" t="str">
        <x:v>EG-057</x:v>
      </x:c>
      <x:c r="C63" s="77" t="str">
        <x:v>TP08</x:v>
      </x:c>
      <x:c r="D63" s="77" t="str">
        <x:v>coefficient</x:v>
      </x:c>
      <x:c r="E63" s="77" t="str">
        <x:v>Can TP08 satisfy its coefficient claim under representative load?</x:v>
      </x:c>
      <x:c r="F63" s="77" t="str">
        <x:v>signed measured value</x:v>
      </x:c>
      <x:c r="G63" s="77" t="str">
        <x:v>campaign-specific acceptance limit</x:v>
      </x:c>
      <x:c r="H63" s="77" t="str">
        <x:v>test article plus raw record</x:v>
      </x:c>
      <x:c r="I63" s="77" t="str">
        <x:v>OPEN</x:v>
      </x:c>
      <x:c r="J63" s="77" t="str">
        <x:v>independent campaign authority</x:v>
      </x:c>
      <x:c r="K63" s="77" t="str">
        <x:v>redesign, add capacity or narrow guarantee</x:v>
      </x:c>
      <x:c r="L63" s="79" t="str">
        <x:v>not reviewed</x:v>
      </x:c>
    </x:row>
    <x:row r="64">
      <x:c r="B64" s="77" t="str">
        <x:v>EG-058</x:v>
      </x:c>
      <x:c r="C64" s="77" t="str">
        <x:v>TP08</x:v>
      </x:c>
      <x:c r="D64" s="77" t="str">
        <x:v>mass and custody</x:v>
      </x:c>
      <x:c r="E64" s="77" t="str">
        <x:v>Can TP08 satisfy its mass and custody claim under representative load?</x:v>
      </x:c>
      <x:c r="F64" s="77" t="str">
        <x:v>signed measured value</x:v>
      </x:c>
      <x:c r="G64" s="77" t="str">
        <x:v>campaign-specific acceptance limit</x:v>
      </x:c>
      <x:c r="H64" s="77" t="str">
        <x:v>test article plus raw record</x:v>
      </x:c>
      <x:c r="I64" s="77" t="str">
        <x:v>OPEN</x:v>
      </x:c>
      <x:c r="J64" s="77" t="str">
        <x:v>independent campaign authority</x:v>
      </x:c>
      <x:c r="K64" s="77" t="str">
        <x:v>redesign, add capacity or narrow guarantee</x:v>
      </x:c>
      <x:c r="L64" s="79" t="str">
        <x:v>not reviewed</x:v>
      </x:c>
    </x:row>
    <x:row r="65">
      <x:c r="B65" s="77" t="str">
        <x:v>EG-059</x:v>
      </x:c>
      <x:c r="C65" s="77" t="str">
        <x:v>TP08</x:v>
      </x:c>
      <x:c r="D65" s="77" t="str">
        <x:v>interface</x:v>
      </x:c>
      <x:c r="E65" s="77" t="str">
        <x:v>Can TP08 satisfy its interface claim under representative load?</x:v>
      </x:c>
      <x:c r="F65" s="77" t="str">
        <x:v>signed measured value</x:v>
      </x:c>
      <x:c r="G65" s="77" t="str">
        <x:v>campaign-specific acceptance limit</x:v>
      </x:c>
      <x:c r="H65" s="77" t="str">
        <x:v>test article plus raw record</x:v>
      </x:c>
      <x:c r="I65" s="77" t="str">
        <x:v>OPEN</x:v>
      </x:c>
      <x:c r="J65" s="77" t="str">
        <x:v>independent campaign authority</x:v>
      </x:c>
      <x:c r="K65" s="77" t="str">
        <x:v>redesign, add capacity or narrow guarantee</x:v>
      </x:c>
      <x:c r="L65" s="79" t="str">
        <x:v>not reviewed</x:v>
      </x:c>
    </x:row>
    <x:row r="66">
      <x:c r="B66" s="77" t="str">
        <x:v>EG-060</x:v>
      </x:c>
      <x:c r="C66" s="77" t="str">
        <x:v>TP08</x:v>
      </x:c>
      <x:c r="D66" s="77" t="str">
        <x:v>contained failure</x:v>
      </x:c>
      <x:c r="E66" s="77" t="str">
        <x:v>Can TP08 satisfy its contained failure claim under representative load?</x:v>
      </x:c>
      <x:c r="F66" s="77" t="str">
        <x:v>signed measured value</x:v>
      </x:c>
      <x:c r="G66" s="77" t="str">
        <x:v>campaign-specific acceptance limit</x:v>
      </x:c>
      <x:c r="H66" s="77" t="str">
        <x:v>test article plus raw record</x:v>
      </x:c>
      <x:c r="I66" s="77" t="str">
        <x:v>OPEN</x:v>
      </x:c>
      <x:c r="J66" s="77" t="str">
        <x:v>independent campaign authority</x:v>
      </x:c>
      <x:c r="K66" s="77" t="str">
        <x:v>redesign, add capacity or narrow guarantee</x:v>
      </x:c>
      <x:c r="L66" s="79" t="str">
        <x:v>not reviewed</x:v>
      </x:c>
    </x:row>
    <x:row r="67">
      <x:c r="B67" s="77" t="str">
        <x:v>EG-061</x:v>
      </x:c>
      <x:c r="C67" s="77" t="str">
        <x:v>TP08</x:v>
      </x:c>
      <x:c r="D67" s="77" t="str">
        <x:v>independence</x:v>
      </x:c>
      <x:c r="E67" s="77" t="str">
        <x:v>Can TP08 satisfy its independence claim under representative load?</x:v>
      </x:c>
      <x:c r="F67" s="77" t="str">
        <x:v>signed measured value</x:v>
      </x:c>
      <x:c r="G67" s="77" t="str">
        <x:v>campaign-specific acceptance limit</x:v>
      </x:c>
      <x:c r="H67" s="77" t="str">
        <x:v>test article plus raw record</x:v>
      </x:c>
      <x:c r="I67" s="77" t="str">
        <x:v>OPEN</x:v>
      </x:c>
      <x:c r="J67" s="77" t="str">
        <x:v>independent campaign authority</x:v>
      </x:c>
      <x:c r="K67" s="77" t="str">
        <x:v>redesign, add capacity or narrow guarantee</x:v>
      </x:c>
      <x:c r="L67" s="79" t="str">
        <x:v>not reviewed</x:v>
      </x:c>
    </x:row>
    <x:row r="68">
      <x:c r="B68" s="77" t="str">
        <x:v>EG-062</x:v>
      </x:c>
      <x:c r="C68" s="77" t="str">
        <x:v>TP08</x:v>
      </x:c>
      <x:c r="D68" s="77" t="str">
        <x:v>mission clock</x:v>
      </x:c>
      <x:c r="E68" s="77" t="str">
        <x:v>Can TP08 satisfy its mission clock claim under representative load?</x:v>
      </x:c>
      <x:c r="F68" s="77" t="str">
        <x:v>signed measured value</x:v>
      </x:c>
      <x:c r="G68" s="77" t="str">
        <x:v>campaign-specific acceptance limit</x:v>
      </x:c>
      <x:c r="H68" s="77" t="str">
        <x:v>test article plus raw record</x:v>
      </x:c>
      <x:c r="I68" s="77" t="str">
        <x:v>OPEN</x:v>
      </x:c>
      <x:c r="J68" s="77" t="str">
        <x:v>independent campaign authority</x:v>
      </x:c>
      <x:c r="K68" s="77" t="str">
        <x:v>redesign, add capacity or narrow guarantee</x:v>
      </x:c>
      <x:c r="L68" s="79" t="str">
        <x:v>not reviewed</x:v>
      </x:c>
    </x:row>
    <x:row r="69">
      <x:c r="B69" s="77" t="str">
        <x:v>EG-063</x:v>
      </x:c>
      <x:c r="C69" s="77" t="str">
        <x:v>TP08</x:v>
      </x:c>
      <x:c r="D69" s="77" t="str">
        <x:v>reset</x:v>
      </x:c>
      <x:c r="E69" s="77" t="str">
        <x:v>Can TP08 satisfy its reset claim under representative load?</x:v>
      </x:c>
      <x:c r="F69" s="77" t="str">
        <x:v>signed measured value</x:v>
      </x:c>
      <x:c r="G69" s="77" t="str">
        <x:v>campaign-specific acceptance limit</x:v>
      </x:c>
      <x:c r="H69" s="77" t="str">
        <x:v>test article plus raw record</x:v>
      </x:c>
      <x:c r="I69" s="77" t="str">
        <x:v>OPEN</x:v>
      </x:c>
      <x:c r="J69" s="77" t="str">
        <x:v>independent campaign authority</x:v>
      </x:c>
      <x:c r="K69" s="77" t="str">
        <x:v>redesign, add capacity or narrow guarantee</x:v>
      </x:c>
      <x:c r="L69" s="79" t="str">
        <x:v>not reviewed</x:v>
      </x:c>
    </x:row>
    <x:row r="70">
      <x:c r="B70" s="77" t="str">
        <x:v>EG-064</x:v>
      </x:c>
      <x:c r="C70" s="77" t="str">
        <x:v>TP08</x:v>
      </x:c>
      <x:c r="D70" s="77" t="str">
        <x:v>authority</x:v>
      </x:c>
      <x:c r="E70" s="77" t="str">
        <x:v>Can TP08 satisfy its authority claim under representative load?</x:v>
      </x:c>
      <x:c r="F70" s="77" t="str">
        <x:v>signed measured value</x:v>
      </x:c>
      <x:c r="G70" s="77" t="str">
        <x:v>campaign-specific acceptance limit</x:v>
      </x:c>
      <x:c r="H70" s="77" t="str">
        <x:v>test article plus raw record</x:v>
      </x:c>
      <x:c r="I70" s="77" t="str">
        <x:v>OPEN</x:v>
      </x:c>
      <x:c r="J70" s="77" t="str">
        <x:v>independent campaign authority</x:v>
      </x:c>
      <x:c r="K70" s="77" t="str">
        <x:v>redesign, add capacity or narrow guarantee</x:v>
      </x:c>
      <x:c r="L70" s="79" t="str">
        <x:v>not reviewed</x:v>
      </x:c>
    </x:row>
    <x:row r="71">
      <x:c r="B71" s="77" t="str">
        <x:v>EG-065</x:v>
      </x:c>
      <x:c r="C71" s="77" t="str">
        <x:v>TP09</x:v>
      </x:c>
      <x:c r="D71" s="77" t="str">
        <x:v>coefficient</x:v>
      </x:c>
      <x:c r="E71" s="77" t="str">
        <x:v>Can TP09 satisfy its coefficient claim under representative load?</x:v>
      </x:c>
      <x:c r="F71" s="77" t="str">
        <x:v>signed measured value</x:v>
      </x:c>
      <x:c r="G71" s="77" t="str">
        <x:v>campaign-specific acceptance limit</x:v>
      </x:c>
      <x:c r="H71" s="77" t="str">
        <x:v>test article plus raw record</x:v>
      </x:c>
      <x:c r="I71" s="77" t="str">
        <x:v>OPEN</x:v>
      </x:c>
      <x:c r="J71" s="77" t="str">
        <x:v>independent campaign authority</x:v>
      </x:c>
      <x:c r="K71" s="77" t="str">
        <x:v>redesign, add capacity or narrow guarantee</x:v>
      </x:c>
      <x:c r="L71" s="79" t="str">
        <x:v>not reviewed</x:v>
      </x:c>
    </x:row>
    <x:row r="72">
      <x:c r="B72" s="77" t="str">
        <x:v>EG-066</x:v>
      </x:c>
      <x:c r="C72" s="77" t="str">
        <x:v>TP09</x:v>
      </x:c>
      <x:c r="D72" s="77" t="str">
        <x:v>mass and custody</x:v>
      </x:c>
      <x:c r="E72" s="77" t="str">
        <x:v>Can TP09 satisfy its mass and custody claim under representative load?</x:v>
      </x:c>
      <x:c r="F72" s="77" t="str">
        <x:v>signed measured value</x:v>
      </x:c>
      <x:c r="G72" s="77" t="str">
        <x:v>campaign-specific acceptance limit</x:v>
      </x:c>
      <x:c r="H72" s="77" t="str">
        <x:v>test article plus raw record</x:v>
      </x:c>
      <x:c r="I72" s="77" t="str">
        <x:v>OPEN</x:v>
      </x:c>
      <x:c r="J72" s="77" t="str">
        <x:v>independent campaign authority</x:v>
      </x:c>
      <x:c r="K72" s="77" t="str">
        <x:v>redesign, add capacity or narrow guarantee</x:v>
      </x:c>
      <x:c r="L72" s="79" t="str">
        <x:v>not reviewed</x:v>
      </x:c>
    </x:row>
    <x:row r="73">
      <x:c r="B73" s="77" t="str">
        <x:v>EG-067</x:v>
      </x:c>
      <x:c r="C73" s="77" t="str">
        <x:v>TP09</x:v>
      </x:c>
      <x:c r="D73" s="77" t="str">
        <x:v>interface</x:v>
      </x:c>
      <x:c r="E73" s="77" t="str">
        <x:v>Can TP09 satisfy its interface claim under representative load?</x:v>
      </x:c>
      <x:c r="F73" s="77" t="str">
        <x:v>signed measured value</x:v>
      </x:c>
      <x:c r="G73" s="77" t="str">
        <x:v>campaign-specific acceptance limit</x:v>
      </x:c>
      <x:c r="H73" s="77" t="str">
        <x:v>test article plus raw record</x:v>
      </x:c>
      <x:c r="I73" s="77" t="str">
        <x:v>OPEN</x:v>
      </x:c>
      <x:c r="J73" s="77" t="str">
        <x:v>independent campaign authority</x:v>
      </x:c>
      <x:c r="K73" s="77" t="str">
        <x:v>redesign, add capacity or narrow guarantee</x:v>
      </x:c>
      <x:c r="L73" s="79" t="str">
        <x:v>not reviewed</x:v>
      </x:c>
    </x:row>
    <x:row r="74">
      <x:c r="B74" s="77" t="str">
        <x:v>EG-068</x:v>
      </x:c>
      <x:c r="C74" s="77" t="str">
        <x:v>TP09</x:v>
      </x:c>
      <x:c r="D74" s="77" t="str">
        <x:v>contained failure</x:v>
      </x:c>
      <x:c r="E74" s="77" t="str">
        <x:v>Can TP09 satisfy its contained failure claim under representative load?</x:v>
      </x:c>
      <x:c r="F74" s="77" t="str">
        <x:v>signed measured value</x:v>
      </x:c>
      <x:c r="G74" s="77" t="str">
        <x:v>campaign-specific acceptance limit</x:v>
      </x:c>
      <x:c r="H74" s="77" t="str">
        <x:v>test article plus raw record</x:v>
      </x:c>
      <x:c r="I74" s="77" t="str">
        <x:v>OPEN</x:v>
      </x:c>
      <x:c r="J74" s="77" t="str">
        <x:v>independent campaign authority</x:v>
      </x:c>
      <x:c r="K74" s="77" t="str">
        <x:v>redesign, add capacity or narrow guarantee</x:v>
      </x:c>
      <x:c r="L74" s="79" t="str">
        <x:v>not reviewed</x:v>
      </x:c>
    </x:row>
    <x:row r="75">
      <x:c r="B75" s="77" t="str">
        <x:v>EG-069</x:v>
      </x:c>
      <x:c r="C75" s="77" t="str">
        <x:v>TP09</x:v>
      </x:c>
      <x:c r="D75" s="77" t="str">
        <x:v>independence</x:v>
      </x:c>
      <x:c r="E75" s="77" t="str">
        <x:v>Can TP09 satisfy its independence claim under representative load?</x:v>
      </x:c>
      <x:c r="F75" s="77" t="str">
        <x:v>signed measured value</x:v>
      </x:c>
      <x:c r="G75" s="77" t="str">
        <x:v>campaign-specific acceptance limit</x:v>
      </x:c>
      <x:c r="H75" s="77" t="str">
        <x:v>test article plus raw record</x:v>
      </x:c>
      <x:c r="I75" s="77" t="str">
        <x:v>OPEN</x:v>
      </x:c>
      <x:c r="J75" s="77" t="str">
        <x:v>independent campaign authority</x:v>
      </x:c>
      <x:c r="K75" s="77" t="str">
        <x:v>redesign, add capacity or narrow guarantee</x:v>
      </x:c>
      <x:c r="L75" s="79" t="str">
        <x:v>not reviewed</x:v>
      </x:c>
    </x:row>
    <x:row r="76">
      <x:c r="B76" s="77" t="str">
        <x:v>EG-070</x:v>
      </x:c>
      <x:c r="C76" s="77" t="str">
        <x:v>TP09</x:v>
      </x:c>
      <x:c r="D76" s="77" t="str">
        <x:v>mission clock</x:v>
      </x:c>
      <x:c r="E76" s="77" t="str">
        <x:v>Can TP09 satisfy its mission clock claim under representative load?</x:v>
      </x:c>
      <x:c r="F76" s="77" t="str">
        <x:v>signed measured value</x:v>
      </x:c>
      <x:c r="G76" s="77" t="str">
        <x:v>campaign-specific acceptance limit</x:v>
      </x:c>
      <x:c r="H76" s="77" t="str">
        <x:v>test article plus raw record</x:v>
      </x:c>
      <x:c r="I76" s="77" t="str">
        <x:v>OPEN</x:v>
      </x:c>
      <x:c r="J76" s="77" t="str">
        <x:v>independent campaign authority</x:v>
      </x:c>
      <x:c r="K76" s="77" t="str">
        <x:v>redesign, add capacity or narrow guarantee</x:v>
      </x:c>
      <x:c r="L76" s="79" t="str">
        <x:v>not reviewed</x:v>
      </x:c>
    </x:row>
    <x:row r="77">
      <x:c r="B77" s="77" t="str">
        <x:v>EG-071</x:v>
      </x:c>
      <x:c r="C77" s="77" t="str">
        <x:v>TP09</x:v>
      </x:c>
      <x:c r="D77" s="77" t="str">
        <x:v>reset</x:v>
      </x:c>
      <x:c r="E77" s="77" t="str">
        <x:v>Can TP09 satisfy its reset claim under representative load?</x:v>
      </x:c>
      <x:c r="F77" s="77" t="str">
        <x:v>signed measured value</x:v>
      </x:c>
      <x:c r="G77" s="77" t="str">
        <x:v>campaign-specific acceptance limit</x:v>
      </x:c>
      <x:c r="H77" s="77" t="str">
        <x:v>test article plus raw record</x:v>
      </x:c>
      <x:c r="I77" s="77" t="str">
        <x:v>OPEN</x:v>
      </x:c>
      <x:c r="J77" s="77" t="str">
        <x:v>independent campaign authority</x:v>
      </x:c>
      <x:c r="K77" s="77" t="str">
        <x:v>redesign, add capacity or narrow guarantee</x:v>
      </x:c>
      <x:c r="L77" s="79" t="str">
        <x:v>not reviewed</x:v>
      </x:c>
    </x:row>
    <x:row r="78">
      <x:c r="B78" s="77" t="str">
        <x:v>EG-072</x:v>
      </x:c>
      <x:c r="C78" s="77" t="str">
        <x:v>TP09</x:v>
      </x:c>
      <x:c r="D78" s="77" t="str">
        <x:v>authority</x:v>
      </x:c>
      <x:c r="E78" s="77" t="str">
        <x:v>Can TP09 satisfy its authority claim under representative load?</x:v>
      </x:c>
      <x:c r="F78" s="77" t="str">
        <x:v>signed measured value</x:v>
      </x:c>
      <x:c r="G78" s="77" t="str">
        <x:v>campaign-specific acceptance limit</x:v>
      </x:c>
      <x:c r="H78" s="77" t="str">
        <x:v>test article plus raw record</x:v>
      </x:c>
      <x:c r="I78" s="77" t="str">
        <x:v>OPEN</x:v>
      </x:c>
      <x:c r="J78" s="77" t="str">
        <x:v>independent campaign authority</x:v>
      </x:c>
      <x:c r="K78" s="77" t="str">
        <x:v>redesign, add capacity or narrow guarantee</x:v>
      </x:c>
      <x:c r="L78" s="79" t="str">
        <x:v>not reviewed</x:v>
      </x:c>
    </x:row>
    <x:row r="79">
      <x:c r="B79" s="77" t="str">
        <x:v>EG-073</x:v>
      </x:c>
      <x:c r="C79" s="77" t="str">
        <x:v>TP10</x:v>
      </x:c>
      <x:c r="D79" s="77" t="str">
        <x:v>coefficient</x:v>
      </x:c>
      <x:c r="E79" s="77" t="str">
        <x:v>Can TP10 satisfy its coefficient claim under representative load?</x:v>
      </x:c>
      <x:c r="F79" s="77" t="str">
        <x:v>signed measured value</x:v>
      </x:c>
      <x:c r="G79" s="77" t="str">
        <x:v>campaign-specific acceptance limit</x:v>
      </x:c>
      <x:c r="H79" s="77" t="str">
        <x:v>test article plus raw record</x:v>
      </x:c>
      <x:c r="I79" s="77" t="str">
        <x:v>OPEN</x:v>
      </x:c>
      <x:c r="J79" s="77" t="str">
        <x:v>independent campaign authority</x:v>
      </x:c>
      <x:c r="K79" s="77" t="str">
        <x:v>redesign, add capacity or narrow guarantee</x:v>
      </x:c>
      <x:c r="L79" s="79" t="str">
        <x:v>not reviewed</x:v>
      </x:c>
    </x:row>
    <x:row r="80">
      <x:c r="B80" s="77" t="str">
        <x:v>EG-074</x:v>
      </x:c>
      <x:c r="C80" s="77" t="str">
        <x:v>TP10</x:v>
      </x:c>
      <x:c r="D80" s="77" t="str">
        <x:v>mass and custody</x:v>
      </x:c>
      <x:c r="E80" s="77" t="str">
        <x:v>Can TP10 satisfy its mass and custody claim under representative load?</x:v>
      </x:c>
      <x:c r="F80" s="77" t="str">
        <x:v>signed measured value</x:v>
      </x:c>
      <x:c r="G80" s="77" t="str">
        <x:v>campaign-specific acceptance limit</x:v>
      </x:c>
      <x:c r="H80" s="77" t="str">
        <x:v>test article plus raw record</x:v>
      </x:c>
      <x:c r="I80" s="77" t="str">
        <x:v>OPEN</x:v>
      </x:c>
      <x:c r="J80" s="77" t="str">
        <x:v>independent campaign authority</x:v>
      </x:c>
      <x:c r="K80" s="77" t="str">
        <x:v>redesign, add capacity or narrow guarantee</x:v>
      </x:c>
      <x:c r="L80" s="79" t="str">
        <x:v>not reviewed</x:v>
      </x:c>
    </x:row>
    <x:row r="81">
      <x:c r="B81" s="77" t="str">
        <x:v>EG-075</x:v>
      </x:c>
      <x:c r="C81" s="77" t="str">
        <x:v>TP10</x:v>
      </x:c>
      <x:c r="D81" s="77" t="str">
        <x:v>interface</x:v>
      </x:c>
      <x:c r="E81" s="77" t="str">
        <x:v>Can TP10 satisfy its interface claim under representative load?</x:v>
      </x:c>
      <x:c r="F81" s="77" t="str">
        <x:v>signed measured value</x:v>
      </x:c>
      <x:c r="G81" s="77" t="str">
        <x:v>campaign-specific acceptance limit</x:v>
      </x:c>
      <x:c r="H81" s="77" t="str">
        <x:v>test article plus raw record</x:v>
      </x:c>
      <x:c r="I81" s="77" t="str">
        <x:v>OPEN</x:v>
      </x:c>
      <x:c r="J81" s="77" t="str">
        <x:v>independent campaign authority</x:v>
      </x:c>
      <x:c r="K81" s="77" t="str">
        <x:v>redesign, add capacity or narrow guarantee</x:v>
      </x:c>
      <x:c r="L81" s="79" t="str">
        <x:v>not reviewed</x:v>
      </x:c>
    </x:row>
    <x:row r="82">
      <x:c r="B82" s="77" t="str">
        <x:v>EG-076</x:v>
      </x:c>
      <x:c r="C82" s="77" t="str">
        <x:v>TP10</x:v>
      </x:c>
      <x:c r="D82" s="77" t="str">
        <x:v>contained failure</x:v>
      </x:c>
      <x:c r="E82" s="77" t="str">
        <x:v>Can TP10 satisfy its contained failure claim under representative load?</x:v>
      </x:c>
      <x:c r="F82" s="77" t="str">
        <x:v>signed measured value</x:v>
      </x:c>
      <x:c r="G82" s="77" t="str">
        <x:v>campaign-specific acceptance limit</x:v>
      </x:c>
      <x:c r="H82" s="77" t="str">
        <x:v>test article plus raw record</x:v>
      </x:c>
      <x:c r="I82" s="77" t="str">
        <x:v>OPEN</x:v>
      </x:c>
      <x:c r="J82" s="77" t="str">
        <x:v>independent campaign authority</x:v>
      </x:c>
      <x:c r="K82" s="77" t="str">
        <x:v>redesign, add capacity or narrow guarantee</x:v>
      </x:c>
      <x:c r="L82" s="79" t="str">
        <x:v>not reviewed</x:v>
      </x:c>
    </x:row>
    <x:row r="83">
      <x:c r="B83" s="77" t="str">
        <x:v>EG-077</x:v>
      </x:c>
      <x:c r="C83" s="77" t="str">
        <x:v>TP10</x:v>
      </x:c>
      <x:c r="D83" s="77" t="str">
        <x:v>independence</x:v>
      </x:c>
      <x:c r="E83" s="77" t="str">
        <x:v>Can TP10 satisfy its independence claim under representative load?</x:v>
      </x:c>
      <x:c r="F83" s="77" t="str">
        <x:v>signed measured value</x:v>
      </x:c>
      <x:c r="G83" s="77" t="str">
        <x:v>campaign-specific acceptance limit</x:v>
      </x:c>
      <x:c r="H83" s="77" t="str">
        <x:v>test article plus raw record</x:v>
      </x:c>
      <x:c r="I83" s="77" t="str">
        <x:v>OPEN</x:v>
      </x:c>
      <x:c r="J83" s="77" t="str">
        <x:v>independent campaign authority</x:v>
      </x:c>
      <x:c r="K83" s="77" t="str">
        <x:v>redesign, add capacity or narrow guarantee</x:v>
      </x:c>
      <x:c r="L83" s="79" t="str">
        <x:v>not reviewed</x:v>
      </x:c>
    </x:row>
    <x:row r="84">
      <x:c r="B84" s="77" t="str">
        <x:v>EG-078</x:v>
      </x:c>
      <x:c r="C84" s="77" t="str">
        <x:v>TP10</x:v>
      </x:c>
      <x:c r="D84" s="77" t="str">
        <x:v>mission clock</x:v>
      </x:c>
      <x:c r="E84" s="77" t="str">
        <x:v>Can TP10 satisfy its mission clock claim under representative load?</x:v>
      </x:c>
      <x:c r="F84" s="77" t="str">
        <x:v>signed measured value</x:v>
      </x:c>
      <x:c r="G84" s="77" t="str">
        <x:v>campaign-specific acceptance limit</x:v>
      </x:c>
      <x:c r="H84" s="77" t="str">
        <x:v>test article plus raw record</x:v>
      </x:c>
      <x:c r="I84" s="77" t="str">
        <x:v>OPEN</x:v>
      </x:c>
      <x:c r="J84" s="77" t="str">
        <x:v>independent campaign authority</x:v>
      </x:c>
      <x:c r="K84" s="77" t="str">
        <x:v>redesign, add capacity or narrow guarantee</x:v>
      </x:c>
      <x:c r="L84" s="79" t="str">
        <x:v>not reviewed</x:v>
      </x:c>
    </x:row>
    <x:row r="85">
      <x:c r="B85" s="77" t="str">
        <x:v>EG-079</x:v>
      </x:c>
      <x:c r="C85" s="77" t="str">
        <x:v>TP10</x:v>
      </x:c>
      <x:c r="D85" s="77" t="str">
        <x:v>reset</x:v>
      </x:c>
      <x:c r="E85" s="77" t="str">
        <x:v>Can TP10 satisfy its reset claim under representative load?</x:v>
      </x:c>
      <x:c r="F85" s="77" t="str">
        <x:v>signed measured value</x:v>
      </x:c>
      <x:c r="G85" s="77" t="str">
        <x:v>campaign-specific acceptance limit</x:v>
      </x:c>
      <x:c r="H85" s="77" t="str">
        <x:v>test article plus raw record</x:v>
      </x:c>
      <x:c r="I85" s="77" t="str">
        <x:v>OPEN</x:v>
      </x:c>
      <x:c r="J85" s="77" t="str">
        <x:v>independent campaign authority</x:v>
      </x:c>
      <x:c r="K85" s="77" t="str">
        <x:v>redesign, add capacity or narrow guarantee</x:v>
      </x:c>
      <x:c r="L85" s="79" t="str">
        <x:v>not reviewed</x:v>
      </x:c>
    </x:row>
    <x:row r="86">
      <x:c r="B86" s="77" t="str">
        <x:v>EG-080</x:v>
      </x:c>
      <x:c r="C86" s="77" t="str">
        <x:v>TP10</x:v>
      </x:c>
      <x:c r="D86" s="77" t="str">
        <x:v>authority</x:v>
      </x:c>
      <x:c r="E86" s="77" t="str">
        <x:v>Can TP10 satisfy its authority claim under representative load?</x:v>
      </x:c>
      <x:c r="F86" s="77" t="str">
        <x:v>signed measured value</x:v>
      </x:c>
      <x:c r="G86" s="77" t="str">
        <x:v>campaign-specific acceptance limit</x:v>
      </x:c>
      <x:c r="H86" s="77" t="str">
        <x:v>test article plus raw record</x:v>
      </x:c>
      <x:c r="I86" s="77" t="str">
        <x:v>OPEN</x:v>
      </x:c>
      <x:c r="J86" s="77" t="str">
        <x:v>independent campaign authority</x:v>
      </x:c>
      <x:c r="K86" s="77" t="str">
        <x:v>redesign, add capacity or narrow guarantee</x:v>
      </x:c>
      <x:c r="L86" s="79" t="str">
        <x:v>not reviewed</x:v>
      </x:c>
    </x:row>
    <x:row r="87">
      <x:c r="B87" s="77" t="str">
        <x:v>EG-081</x:v>
      </x:c>
      <x:c r="C87" s="77" t="str">
        <x:v>TP11</x:v>
      </x:c>
      <x:c r="D87" s="77" t="str">
        <x:v>coefficient</x:v>
      </x:c>
      <x:c r="E87" s="77" t="str">
        <x:v>Can TP11 satisfy its coefficient claim under representative load?</x:v>
      </x:c>
      <x:c r="F87" s="77" t="str">
        <x:v>signed measured value</x:v>
      </x:c>
      <x:c r="G87" s="77" t="str">
        <x:v>campaign-specific acceptance limit</x:v>
      </x:c>
      <x:c r="H87" s="77" t="str">
        <x:v>test article plus raw record</x:v>
      </x:c>
      <x:c r="I87" s="77" t="str">
        <x:v>OPEN</x:v>
      </x:c>
      <x:c r="J87" s="77" t="str">
        <x:v>independent campaign authority</x:v>
      </x:c>
      <x:c r="K87" s="77" t="str">
        <x:v>redesign, add capacity or narrow guarantee</x:v>
      </x:c>
      <x:c r="L87" s="79" t="str">
        <x:v>not reviewed</x:v>
      </x:c>
    </x:row>
    <x:row r="88">
      <x:c r="B88" s="77" t="str">
        <x:v>EG-082</x:v>
      </x:c>
      <x:c r="C88" s="77" t="str">
        <x:v>TP11</x:v>
      </x:c>
      <x:c r="D88" s="77" t="str">
        <x:v>mass and custody</x:v>
      </x:c>
      <x:c r="E88" s="77" t="str">
        <x:v>Can TP11 satisfy its mass and custody claim under representative load?</x:v>
      </x:c>
      <x:c r="F88" s="77" t="str">
        <x:v>signed measured value</x:v>
      </x:c>
      <x:c r="G88" s="77" t="str">
        <x:v>campaign-specific acceptance limit</x:v>
      </x:c>
      <x:c r="H88" s="77" t="str">
        <x:v>test article plus raw record</x:v>
      </x:c>
      <x:c r="I88" s="77" t="str">
        <x:v>OPEN</x:v>
      </x:c>
      <x:c r="J88" s="77" t="str">
        <x:v>independent campaign authority</x:v>
      </x:c>
      <x:c r="K88" s="77" t="str">
        <x:v>redesign, add capacity or narrow guarantee</x:v>
      </x:c>
      <x:c r="L88" s="79" t="str">
        <x:v>not reviewed</x:v>
      </x:c>
    </x:row>
    <x:row r="89">
      <x:c r="B89" s="77" t="str">
        <x:v>EG-083</x:v>
      </x:c>
      <x:c r="C89" s="77" t="str">
        <x:v>TP11</x:v>
      </x:c>
      <x:c r="D89" s="77" t="str">
        <x:v>interface</x:v>
      </x:c>
      <x:c r="E89" s="77" t="str">
        <x:v>Can TP11 satisfy its interface claim under representative load?</x:v>
      </x:c>
      <x:c r="F89" s="77" t="str">
        <x:v>signed measured value</x:v>
      </x:c>
      <x:c r="G89" s="77" t="str">
        <x:v>campaign-specific acceptance limit</x:v>
      </x:c>
      <x:c r="H89" s="77" t="str">
        <x:v>test article plus raw record</x:v>
      </x:c>
      <x:c r="I89" s="77" t="str">
        <x:v>OPEN</x:v>
      </x:c>
      <x:c r="J89" s="77" t="str">
        <x:v>independent campaign authority</x:v>
      </x:c>
      <x:c r="K89" s="77" t="str">
        <x:v>redesign, add capacity or narrow guarantee</x:v>
      </x:c>
      <x:c r="L89" s="79" t="str">
        <x:v>not reviewed</x:v>
      </x:c>
    </x:row>
    <x:row r="90">
      <x:c r="B90" s="77" t="str">
        <x:v>EG-084</x:v>
      </x:c>
      <x:c r="C90" s="77" t="str">
        <x:v>TP11</x:v>
      </x:c>
      <x:c r="D90" s="77" t="str">
        <x:v>contained failure</x:v>
      </x:c>
      <x:c r="E90" s="77" t="str">
        <x:v>Can TP11 satisfy its contained failure claim under representative load?</x:v>
      </x:c>
      <x:c r="F90" s="77" t="str">
        <x:v>signed measured value</x:v>
      </x:c>
      <x:c r="G90" s="77" t="str">
        <x:v>campaign-specific acceptance limit</x:v>
      </x:c>
      <x:c r="H90" s="77" t="str">
        <x:v>test article plus raw record</x:v>
      </x:c>
      <x:c r="I90" s="77" t="str">
        <x:v>OPEN</x:v>
      </x:c>
      <x:c r="J90" s="77" t="str">
        <x:v>independent campaign authority</x:v>
      </x:c>
      <x:c r="K90" s="77" t="str">
        <x:v>redesign, add capacity or narrow guarantee</x:v>
      </x:c>
      <x:c r="L90" s="79" t="str">
        <x:v>not reviewed</x:v>
      </x:c>
    </x:row>
    <x:row r="91">
      <x:c r="B91" s="77" t="str">
        <x:v>EG-085</x:v>
      </x:c>
      <x:c r="C91" s="77" t="str">
        <x:v>TP11</x:v>
      </x:c>
      <x:c r="D91" s="77" t="str">
        <x:v>independence</x:v>
      </x:c>
      <x:c r="E91" s="77" t="str">
        <x:v>Can TP11 satisfy its independence claim under representative load?</x:v>
      </x:c>
      <x:c r="F91" s="77" t="str">
        <x:v>signed measured value</x:v>
      </x:c>
      <x:c r="G91" s="77" t="str">
        <x:v>campaign-specific acceptance limit</x:v>
      </x:c>
      <x:c r="H91" s="77" t="str">
        <x:v>test article plus raw record</x:v>
      </x:c>
      <x:c r="I91" s="77" t="str">
        <x:v>OPEN</x:v>
      </x:c>
      <x:c r="J91" s="77" t="str">
        <x:v>independent campaign authority</x:v>
      </x:c>
      <x:c r="K91" s="77" t="str">
        <x:v>redesign, add capacity or narrow guarantee</x:v>
      </x:c>
      <x:c r="L91" s="79" t="str">
        <x:v>not reviewed</x:v>
      </x:c>
    </x:row>
    <x:row r="92">
      <x:c r="B92" s="77" t="str">
        <x:v>EG-086</x:v>
      </x:c>
      <x:c r="C92" s="77" t="str">
        <x:v>TP11</x:v>
      </x:c>
      <x:c r="D92" s="77" t="str">
        <x:v>mission clock</x:v>
      </x:c>
      <x:c r="E92" s="77" t="str">
        <x:v>Can TP11 satisfy its mission clock claim under representative load?</x:v>
      </x:c>
      <x:c r="F92" s="77" t="str">
        <x:v>signed measured value</x:v>
      </x:c>
      <x:c r="G92" s="77" t="str">
        <x:v>campaign-specific acceptance limit</x:v>
      </x:c>
      <x:c r="H92" s="77" t="str">
        <x:v>test article plus raw record</x:v>
      </x:c>
      <x:c r="I92" s="77" t="str">
        <x:v>OPEN</x:v>
      </x:c>
      <x:c r="J92" s="77" t="str">
        <x:v>independent campaign authority</x:v>
      </x:c>
      <x:c r="K92" s="77" t="str">
        <x:v>redesign, add capacity or narrow guarantee</x:v>
      </x:c>
      <x:c r="L92" s="79" t="str">
        <x:v>not reviewed</x:v>
      </x:c>
    </x:row>
    <x:row r="93">
      <x:c r="B93" s="77" t="str">
        <x:v>EG-087</x:v>
      </x:c>
      <x:c r="C93" s="77" t="str">
        <x:v>TP11</x:v>
      </x:c>
      <x:c r="D93" s="77" t="str">
        <x:v>reset</x:v>
      </x:c>
      <x:c r="E93" s="77" t="str">
        <x:v>Can TP11 satisfy its reset claim under representative load?</x:v>
      </x:c>
      <x:c r="F93" s="77" t="str">
        <x:v>signed measured value</x:v>
      </x:c>
      <x:c r="G93" s="77" t="str">
        <x:v>campaign-specific acceptance limit</x:v>
      </x:c>
      <x:c r="H93" s="77" t="str">
        <x:v>test article plus raw record</x:v>
      </x:c>
      <x:c r="I93" s="77" t="str">
        <x:v>OPEN</x:v>
      </x:c>
      <x:c r="J93" s="77" t="str">
        <x:v>independent campaign authority</x:v>
      </x:c>
      <x:c r="K93" s="77" t="str">
        <x:v>redesign, add capacity or narrow guarantee</x:v>
      </x:c>
      <x:c r="L93" s="79" t="str">
        <x:v>not reviewed</x:v>
      </x:c>
    </x:row>
    <x:row r="94">
      <x:c r="B94" s="77" t="str">
        <x:v>EG-088</x:v>
      </x:c>
      <x:c r="C94" s="77" t="str">
        <x:v>TP11</x:v>
      </x:c>
      <x:c r="D94" s="77" t="str">
        <x:v>authority</x:v>
      </x:c>
      <x:c r="E94" s="77" t="str">
        <x:v>Can TP11 satisfy its authority claim under representative load?</x:v>
      </x:c>
      <x:c r="F94" s="77" t="str">
        <x:v>signed measured value</x:v>
      </x:c>
      <x:c r="G94" s="77" t="str">
        <x:v>campaign-specific acceptance limit</x:v>
      </x:c>
      <x:c r="H94" s="77" t="str">
        <x:v>test article plus raw record</x:v>
      </x:c>
      <x:c r="I94" s="77" t="str">
        <x:v>OPEN</x:v>
      </x:c>
      <x:c r="J94" s="77" t="str">
        <x:v>independent campaign authority</x:v>
      </x:c>
      <x:c r="K94" s="77" t="str">
        <x:v>redesign, add capacity or narrow guarantee</x:v>
      </x:c>
      <x:c r="L94" s="79" t="str">
        <x:v>not reviewed</x:v>
      </x:c>
    </x:row>
    <x:row r="95">
      <x:c r="B95" s="77" t="str">
        <x:v>EG-089</x:v>
      </x:c>
      <x:c r="C95" s="77" t="str">
        <x:v>TP12</x:v>
      </x:c>
      <x:c r="D95" s="77" t="str">
        <x:v>coefficient</x:v>
      </x:c>
      <x:c r="E95" s="77" t="str">
        <x:v>Can TP12 satisfy its coefficient claim under representative load?</x:v>
      </x:c>
      <x:c r="F95" s="77" t="str">
        <x:v>signed measured value</x:v>
      </x:c>
      <x:c r="G95" s="77" t="str">
        <x:v>campaign-specific acceptance limit</x:v>
      </x:c>
      <x:c r="H95" s="77" t="str">
        <x:v>test article plus raw record</x:v>
      </x:c>
      <x:c r="I95" s="77" t="str">
        <x:v>OPEN</x:v>
      </x:c>
      <x:c r="J95" s="77" t="str">
        <x:v>independent campaign authority</x:v>
      </x:c>
      <x:c r="K95" s="77" t="str">
        <x:v>redesign, add capacity or narrow guarantee</x:v>
      </x:c>
      <x:c r="L95" s="79" t="str">
        <x:v>not reviewed</x:v>
      </x:c>
    </x:row>
    <x:row r="96">
      <x:c r="B96" s="77" t="str">
        <x:v>EG-090</x:v>
      </x:c>
      <x:c r="C96" s="77" t="str">
        <x:v>TP12</x:v>
      </x:c>
      <x:c r="D96" s="77" t="str">
        <x:v>mass and custody</x:v>
      </x:c>
      <x:c r="E96" s="77" t="str">
        <x:v>Can TP12 satisfy its mass and custody claim under representative load?</x:v>
      </x:c>
      <x:c r="F96" s="77" t="str">
        <x:v>signed measured value</x:v>
      </x:c>
      <x:c r="G96" s="77" t="str">
        <x:v>campaign-specific acceptance limit</x:v>
      </x:c>
      <x:c r="H96" s="77" t="str">
        <x:v>test article plus raw record</x:v>
      </x:c>
      <x:c r="I96" s="77" t="str">
        <x:v>OPEN</x:v>
      </x:c>
      <x:c r="J96" s="77" t="str">
        <x:v>independent campaign authority</x:v>
      </x:c>
      <x:c r="K96" s="77" t="str">
        <x:v>redesign, add capacity or narrow guarantee</x:v>
      </x:c>
      <x:c r="L96" s="79" t="str">
        <x:v>not reviewed</x:v>
      </x:c>
    </x:row>
    <x:row r="97">
      <x:c r="B97" s="77" t="str">
        <x:v>EG-091</x:v>
      </x:c>
      <x:c r="C97" s="77" t="str">
        <x:v>TP12</x:v>
      </x:c>
      <x:c r="D97" s="77" t="str">
        <x:v>interface</x:v>
      </x:c>
      <x:c r="E97" s="77" t="str">
        <x:v>Can TP12 satisfy its interface claim under representative load?</x:v>
      </x:c>
      <x:c r="F97" s="77" t="str">
        <x:v>signed measured value</x:v>
      </x:c>
      <x:c r="G97" s="77" t="str">
        <x:v>campaign-specific acceptance limit</x:v>
      </x:c>
      <x:c r="H97" s="77" t="str">
        <x:v>test article plus raw record</x:v>
      </x:c>
      <x:c r="I97" s="77" t="str">
        <x:v>OPEN</x:v>
      </x:c>
      <x:c r="J97" s="77" t="str">
        <x:v>independent campaign authority</x:v>
      </x:c>
      <x:c r="K97" s="77" t="str">
        <x:v>redesign, add capacity or narrow guarantee</x:v>
      </x:c>
      <x:c r="L97" s="79" t="str">
        <x:v>not reviewed</x:v>
      </x:c>
    </x:row>
    <x:row r="98">
      <x:c r="B98" s="77" t="str">
        <x:v>EG-092</x:v>
      </x:c>
      <x:c r="C98" s="77" t="str">
        <x:v>TP12</x:v>
      </x:c>
      <x:c r="D98" s="77" t="str">
        <x:v>contained failure</x:v>
      </x:c>
      <x:c r="E98" s="77" t="str">
        <x:v>Can TP12 satisfy its contained failure claim under representative load?</x:v>
      </x:c>
      <x:c r="F98" s="77" t="str">
        <x:v>signed measured value</x:v>
      </x:c>
      <x:c r="G98" s="77" t="str">
        <x:v>campaign-specific acceptance limit</x:v>
      </x:c>
      <x:c r="H98" s="77" t="str">
        <x:v>test article plus raw record</x:v>
      </x:c>
      <x:c r="I98" s="77" t="str">
        <x:v>OPEN</x:v>
      </x:c>
      <x:c r="J98" s="77" t="str">
        <x:v>independent campaign authority</x:v>
      </x:c>
      <x:c r="K98" s="77" t="str">
        <x:v>redesign, add capacity or narrow guarantee</x:v>
      </x:c>
      <x:c r="L98" s="79" t="str">
        <x:v>not reviewed</x:v>
      </x:c>
    </x:row>
    <x:row r="99">
      <x:c r="B99" s="77" t="str">
        <x:v>EG-093</x:v>
      </x:c>
      <x:c r="C99" s="77" t="str">
        <x:v>TP12</x:v>
      </x:c>
      <x:c r="D99" s="77" t="str">
        <x:v>independence</x:v>
      </x:c>
      <x:c r="E99" s="77" t="str">
        <x:v>Can TP12 satisfy its independence claim under representative load?</x:v>
      </x:c>
      <x:c r="F99" s="77" t="str">
        <x:v>signed measured value</x:v>
      </x:c>
      <x:c r="G99" s="77" t="str">
        <x:v>campaign-specific acceptance limit</x:v>
      </x:c>
      <x:c r="H99" s="77" t="str">
        <x:v>test article plus raw record</x:v>
      </x:c>
      <x:c r="I99" s="77" t="str">
        <x:v>OPEN</x:v>
      </x:c>
      <x:c r="J99" s="77" t="str">
        <x:v>independent campaign authority</x:v>
      </x:c>
      <x:c r="K99" s="77" t="str">
        <x:v>redesign, add capacity or narrow guarantee</x:v>
      </x:c>
      <x:c r="L99" s="79" t="str">
        <x:v>not reviewed</x:v>
      </x:c>
    </x:row>
    <x:row r="100">
      <x:c r="B100" s="77" t="str">
        <x:v>EG-094</x:v>
      </x:c>
      <x:c r="C100" s="77" t="str">
        <x:v>TP12</x:v>
      </x:c>
      <x:c r="D100" s="77" t="str">
        <x:v>mission clock</x:v>
      </x:c>
      <x:c r="E100" s="77" t="str">
        <x:v>Can TP12 satisfy its mission clock claim under representative load?</x:v>
      </x:c>
      <x:c r="F100" s="77" t="str">
        <x:v>signed measured value</x:v>
      </x:c>
      <x:c r="G100" s="77" t="str">
        <x:v>campaign-specific acceptance limit</x:v>
      </x:c>
      <x:c r="H100" s="77" t="str">
        <x:v>test article plus raw record</x:v>
      </x:c>
      <x:c r="I100" s="77" t="str">
        <x:v>OPEN</x:v>
      </x:c>
      <x:c r="J100" s="77" t="str">
        <x:v>independent campaign authority</x:v>
      </x:c>
      <x:c r="K100" s="77" t="str">
        <x:v>redesign, add capacity or narrow guarantee</x:v>
      </x:c>
      <x:c r="L100" s="79" t="str">
        <x:v>not reviewed</x:v>
      </x:c>
    </x:row>
    <x:row r="101">
      <x:c r="B101" s="77" t="str">
        <x:v>EG-095</x:v>
      </x:c>
      <x:c r="C101" s="77" t="str">
        <x:v>TP12</x:v>
      </x:c>
      <x:c r="D101" s="77" t="str">
        <x:v>reset</x:v>
      </x:c>
      <x:c r="E101" s="77" t="str">
        <x:v>Can TP12 satisfy its reset claim under representative load?</x:v>
      </x:c>
      <x:c r="F101" s="77" t="str">
        <x:v>signed measured value</x:v>
      </x:c>
      <x:c r="G101" s="77" t="str">
        <x:v>campaign-specific acceptance limit</x:v>
      </x:c>
      <x:c r="H101" s="77" t="str">
        <x:v>test article plus raw record</x:v>
      </x:c>
      <x:c r="I101" s="77" t="str">
        <x:v>OPEN</x:v>
      </x:c>
      <x:c r="J101" s="77" t="str">
        <x:v>independent campaign authority</x:v>
      </x:c>
      <x:c r="K101" s="77" t="str">
        <x:v>redesign, add capacity or narrow guarantee</x:v>
      </x:c>
      <x:c r="L101" s="79" t="str">
        <x:v>not reviewed</x:v>
      </x:c>
    </x:row>
    <x:row r="102">
      <x:c r="B102" s="77" t="str">
        <x:v>EG-096</x:v>
      </x:c>
      <x:c r="C102" s="77" t="str">
        <x:v>TP12</x:v>
      </x:c>
      <x:c r="D102" s="77" t="str">
        <x:v>authority</x:v>
      </x:c>
      <x:c r="E102" s="77" t="str">
        <x:v>Can TP12 satisfy its authority claim under representative load?</x:v>
      </x:c>
      <x:c r="F102" s="77" t="str">
        <x:v>signed measured value</x:v>
      </x:c>
      <x:c r="G102" s="77" t="str">
        <x:v>campaign-specific acceptance limit</x:v>
      </x:c>
      <x:c r="H102" s="77" t="str">
        <x:v>test article plus raw record</x:v>
      </x:c>
      <x:c r="I102" s="77" t="str">
        <x:v>OPEN</x:v>
      </x:c>
      <x:c r="J102" s="77" t="str">
        <x:v>independent campaign authority</x:v>
      </x:c>
      <x:c r="K102" s="77" t="str">
        <x:v>redesign, add capacity or narrow guarantee</x:v>
      </x:c>
      <x:c r="L102" s="79" t="str">
        <x:v>not reviewed</x:v>
      </x:c>
    </x:row>
    <x:row r="103">
      <x:c r="B103" s="77" t="str">
        <x:v>EG-097</x:v>
      </x:c>
      <x:c r="C103" s="77" t="str">
        <x:v>TP13</x:v>
      </x:c>
      <x:c r="D103" s="77" t="str">
        <x:v>coefficient</x:v>
      </x:c>
      <x:c r="E103" s="77" t="str">
        <x:v>Can TP13 satisfy its coefficient claim under representative load?</x:v>
      </x:c>
      <x:c r="F103" s="77" t="str">
        <x:v>signed measured value</x:v>
      </x:c>
      <x:c r="G103" s="77" t="str">
        <x:v>campaign-specific acceptance limit</x:v>
      </x:c>
      <x:c r="H103" s="77" t="str">
        <x:v>test article plus raw record</x:v>
      </x:c>
      <x:c r="I103" s="77" t="str">
        <x:v>OPEN</x:v>
      </x:c>
      <x:c r="J103" s="77" t="str">
        <x:v>independent campaign authority</x:v>
      </x:c>
      <x:c r="K103" s="77" t="str">
        <x:v>redesign, add capacity or narrow guarantee</x:v>
      </x:c>
      <x:c r="L103" s="79" t="str">
        <x:v>not reviewed</x:v>
      </x:c>
    </x:row>
    <x:row r="104">
      <x:c r="B104" s="77" t="str">
        <x:v>EG-098</x:v>
      </x:c>
      <x:c r="C104" s="77" t="str">
        <x:v>TP13</x:v>
      </x:c>
      <x:c r="D104" s="77" t="str">
        <x:v>mass and custody</x:v>
      </x:c>
      <x:c r="E104" s="77" t="str">
        <x:v>Can TP13 satisfy its mass and custody claim under representative load?</x:v>
      </x:c>
      <x:c r="F104" s="77" t="str">
        <x:v>signed measured value</x:v>
      </x:c>
      <x:c r="G104" s="77" t="str">
        <x:v>campaign-specific acceptance limit</x:v>
      </x:c>
      <x:c r="H104" s="77" t="str">
        <x:v>test article plus raw record</x:v>
      </x:c>
      <x:c r="I104" s="77" t="str">
        <x:v>OPEN</x:v>
      </x:c>
      <x:c r="J104" s="77" t="str">
        <x:v>independent campaign authority</x:v>
      </x:c>
      <x:c r="K104" s="77" t="str">
        <x:v>redesign, add capacity or narrow guarantee</x:v>
      </x:c>
      <x:c r="L104" s="79" t="str">
        <x:v>not reviewed</x:v>
      </x:c>
    </x:row>
    <x:row r="105">
      <x:c r="B105" s="77" t="str">
        <x:v>EG-099</x:v>
      </x:c>
      <x:c r="C105" s="77" t="str">
        <x:v>TP13</x:v>
      </x:c>
      <x:c r="D105" s="77" t="str">
        <x:v>interface</x:v>
      </x:c>
      <x:c r="E105" s="77" t="str">
        <x:v>Can TP13 satisfy its interface claim under representative load?</x:v>
      </x:c>
      <x:c r="F105" s="77" t="str">
        <x:v>signed measured value</x:v>
      </x:c>
      <x:c r="G105" s="77" t="str">
        <x:v>campaign-specific acceptance limit</x:v>
      </x:c>
      <x:c r="H105" s="77" t="str">
        <x:v>test article plus raw record</x:v>
      </x:c>
      <x:c r="I105" s="77" t="str">
        <x:v>OPEN</x:v>
      </x:c>
      <x:c r="J105" s="77" t="str">
        <x:v>independent campaign authority</x:v>
      </x:c>
      <x:c r="K105" s="77" t="str">
        <x:v>redesign, add capacity or narrow guarantee</x:v>
      </x:c>
      <x:c r="L105" s="79" t="str">
        <x:v>not reviewed</x:v>
      </x:c>
    </x:row>
    <x:row r="106">
      <x:c r="B106" s="77" t="str">
        <x:v>EG-100</x:v>
      </x:c>
      <x:c r="C106" s="77" t="str">
        <x:v>TP13</x:v>
      </x:c>
      <x:c r="D106" s="77" t="str">
        <x:v>contained failure</x:v>
      </x:c>
      <x:c r="E106" s="77" t="str">
        <x:v>Can TP13 satisfy its contained failure claim under representative load?</x:v>
      </x:c>
      <x:c r="F106" s="77" t="str">
        <x:v>signed measured value</x:v>
      </x:c>
      <x:c r="G106" s="77" t="str">
        <x:v>campaign-specific acceptance limit</x:v>
      </x:c>
      <x:c r="H106" s="77" t="str">
        <x:v>test article plus raw record</x:v>
      </x:c>
      <x:c r="I106" s="77" t="str">
        <x:v>OPEN</x:v>
      </x:c>
      <x:c r="J106" s="77" t="str">
        <x:v>independent campaign authority</x:v>
      </x:c>
      <x:c r="K106" s="77" t="str">
        <x:v>redesign, add capacity or narrow guarantee</x:v>
      </x:c>
      <x:c r="L106" s="79" t="str">
        <x:v>not reviewed</x:v>
      </x:c>
    </x:row>
    <x:row r="107">
      <x:c r="B107" s="77" t="str">
        <x:v>EG-101</x:v>
      </x:c>
      <x:c r="C107" s="77" t="str">
        <x:v>TP13</x:v>
      </x:c>
      <x:c r="D107" s="77" t="str">
        <x:v>independence</x:v>
      </x:c>
      <x:c r="E107" s="77" t="str">
        <x:v>Can TP13 satisfy its independence claim under representative load?</x:v>
      </x:c>
      <x:c r="F107" s="77" t="str">
        <x:v>signed measured value</x:v>
      </x:c>
      <x:c r="G107" s="77" t="str">
        <x:v>campaign-specific acceptance limit</x:v>
      </x:c>
      <x:c r="H107" s="77" t="str">
        <x:v>test article plus raw record</x:v>
      </x:c>
      <x:c r="I107" s="77" t="str">
        <x:v>OPEN</x:v>
      </x:c>
      <x:c r="J107" s="77" t="str">
        <x:v>independent campaign authority</x:v>
      </x:c>
      <x:c r="K107" s="77" t="str">
        <x:v>redesign, add capacity or narrow guarantee</x:v>
      </x:c>
      <x:c r="L107" s="79" t="str">
        <x:v>not reviewed</x:v>
      </x:c>
    </x:row>
    <x:row r="108">
      <x:c r="B108" s="77" t="str">
        <x:v>EG-102</x:v>
      </x:c>
      <x:c r="C108" s="77" t="str">
        <x:v>TP13</x:v>
      </x:c>
      <x:c r="D108" s="77" t="str">
        <x:v>mission clock</x:v>
      </x:c>
      <x:c r="E108" s="77" t="str">
        <x:v>Can TP13 satisfy its mission clock claim under representative load?</x:v>
      </x:c>
      <x:c r="F108" s="77" t="str">
        <x:v>signed measured value</x:v>
      </x:c>
      <x:c r="G108" s="77" t="str">
        <x:v>campaign-specific acceptance limit</x:v>
      </x:c>
      <x:c r="H108" s="77" t="str">
        <x:v>test article plus raw record</x:v>
      </x:c>
      <x:c r="I108" s="77" t="str">
        <x:v>OPEN</x:v>
      </x:c>
      <x:c r="J108" s="77" t="str">
        <x:v>independent campaign authority</x:v>
      </x:c>
      <x:c r="K108" s="77" t="str">
        <x:v>redesign, add capacity or narrow guarantee</x:v>
      </x:c>
      <x:c r="L108" s="79" t="str">
        <x:v>not reviewed</x:v>
      </x:c>
    </x:row>
    <x:row r="109">
      <x:c r="B109" s="77" t="str">
        <x:v>EG-103</x:v>
      </x:c>
      <x:c r="C109" s="77" t="str">
        <x:v>TP13</x:v>
      </x:c>
      <x:c r="D109" s="77" t="str">
        <x:v>reset</x:v>
      </x:c>
      <x:c r="E109" s="77" t="str">
        <x:v>Can TP13 satisfy its reset claim under representative load?</x:v>
      </x:c>
      <x:c r="F109" s="77" t="str">
        <x:v>signed measured value</x:v>
      </x:c>
      <x:c r="G109" s="77" t="str">
        <x:v>campaign-specific acceptance limit</x:v>
      </x:c>
      <x:c r="H109" s="77" t="str">
        <x:v>test article plus raw record</x:v>
      </x:c>
      <x:c r="I109" s="77" t="str">
        <x:v>OPEN</x:v>
      </x:c>
      <x:c r="J109" s="77" t="str">
        <x:v>independent campaign authority</x:v>
      </x:c>
      <x:c r="K109" s="77" t="str">
        <x:v>redesign, add capacity or narrow guarantee</x:v>
      </x:c>
      <x:c r="L109" s="79" t="str">
        <x:v>not reviewed</x:v>
      </x:c>
    </x:row>
    <x:row r="110">
      <x:c r="B110" s="77" t="str">
        <x:v>EG-104</x:v>
      </x:c>
      <x:c r="C110" s="77" t="str">
        <x:v>TP13</x:v>
      </x:c>
      <x:c r="D110" s="77" t="str">
        <x:v>authority</x:v>
      </x:c>
      <x:c r="E110" s="77" t="str">
        <x:v>Can TP13 satisfy its authority claim under representative load?</x:v>
      </x:c>
      <x:c r="F110" s="77" t="str">
        <x:v>signed measured value</x:v>
      </x:c>
      <x:c r="G110" s="77" t="str">
        <x:v>campaign-specific acceptance limit</x:v>
      </x:c>
      <x:c r="H110" s="77" t="str">
        <x:v>test article plus raw record</x:v>
      </x:c>
      <x:c r="I110" s="77" t="str">
        <x:v>OPEN</x:v>
      </x:c>
      <x:c r="J110" s="77" t="str">
        <x:v>independent campaign authority</x:v>
      </x:c>
      <x:c r="K110" s="77" t="str">
        <x:v>redesign, add capacity or narrow guarantee</x:v>
      </x:c>
      <x:c r="L110" s="79" t="str">
        <x:v>not reviewed</x:v>
      </x:c>
    </x:row>
    <x:row r="111">
      <x:c r="B111" s="77" t="str">
        <x:v>EG-105</x:v>
      </x:c>
      <x:c r="C111" s="77" t="str">
        <x:v>TP14</x:v>
      </x:c>
      <x:c r="D111" s="77" t="str">
        <x:v>coefficient</x:v>
      </x:c>
      <x:c r="E111" s="77" t="str">
        <x:v>Can TP14 satisfy its coefficient claim under representative load?</x:v>
      </x:c>
      <x:c r="F111" s="77" t="str">
        <x:v>signed measured value</x:v>
      </x:c>
      <x:c r="G111" s="77" t="str">
        <x:v>campaign-specific acceptance limit</x:v>
      </x:c>
      <x:c r="H111" s="77" t="str">
        <x:v>test article plus raw record</x:v>
      </x:c>
      <x:c r="I111" s="77" t="str">
        <x:v>OPEN</x:v>
      </x:c>
      <x:c r="J111" s="77" t="str">
        <x:v>independent campaign authority</x:v>
      </x:c>
      <x:c r="K111" s="77" t="str">
        <x:v>redesign, add capacity or narrow guarantee</x:v>
      </x:c>
      <x:c r="L111" s="79" t="str">
        <x:v>not reviewed</x:v>
      </x:c>
    </x:row>
    <x:row r="112">
      <x:c r="B112" s="77" t="str">
        <x:v>EG-106</x:v>
      </x:c>
      <x:c r="C112" s="77" t="str">
        <x:v>TP14</x:v>
      </x:c>
      <x:c r="D112" s="77" t="str">
        <x:v>mass and custody</x:v>
      </x:c>
      <x:c r="E112" s="77" t="str">
        <x:v>Can TP14 satisfy its mass and custody claim under representative load?</x:v>
      </x:c>
      <x:c r="F112" s="77" t="str">
        <x:v>signed measured value</x:v>
      </x:c>
      <x:c r="G112" s="77" t="str">
        <x:v>campaign-specific acceptance limit</x:v>
      </x:c>
      <x:c r="H112" s="77" t="str">
        <x:v>test article plus raw record</x:v>
      </x:c>
      <x:c r="I112" s="77" t="str">
        <x:v>OPEN</x:v>
      </x:c>
      <x:c r="J112" s="77" t="str">
        <x:v>independent campaign authority</x:v>
      </x:c>
      <x:c r="K112" s="77" t="str">
        <x:v>redesign, add capacity or narrow guarantee</x:v>
      </x:c>
      <x:c r="L112" s="79" t="str">
        <x:v>not reviewed</x:v>
      </x:c>
    </x:row>
    <x:row r="113">
      <x:c r="B113" s="77" t="str">
        <x:v>EG-107</x:v>
      </x:c>
      <x:c r="C113" s="77" t="str">
        <x:v>TP14</x:v>
      </x:c>
      <x:c r="D113" s="77" t="str">
        <x:v>interface</x:v>
      </x:c>
      <x:c r="E113" s="77" t="str">
        <x:v>Can TP14 satisfy its interface claim under representative load?</x:v>
      </x:c>
      <x:c r="F113" s="77" t="str">
        <x:v>signed measured value</x:v>
      </x:c>
      <x:c r="G113" s="77" t="str">
        <x:v>campaign-specific acceptance limit</x:v>
      </x:c>
      <x:c r="H113" s="77" t="str">
        <x:v>test article plus raw record</x:v>
      </x:c>
      <x:c r="I113" s="77" t="str">
        <x:v>OPEN</x:v>
      </x:c>
      <x:c r="J113" s="77" t="str">
        <x:v>independent campaign authority</x:v>
      </x:c>
      <x:c r="K113" s="77" t="str">
        <x:v>redesign, add capacity or narrow guarantee</x:v>
      </x:c>
      <x:c r="L113" s="79" t="str">
        <x:v>not reviewed</x:v>
      </x:c>
    </x:row>
    <x:row r="114">
      <x:c r="B114" s="77" t="str">
        <x:v>EG-108</x:v>
      </x:c>
      <x:c r="C114" s="77" t="str">
        <x:v>TP14</x:v>
      </x:c>
      <x:c r="D114" s="77" t="str">
        <x:v>contained failure</x:v>
      </x:c>
      <x:c r="E114" s="77" t="str">
        <x:v>Can TP14 satisfy its contained failure claim under representative load?</x:v>
      </x:c>
      <x:c r="F114" s="77" t="str">
        <x:v>signed measured value</x:v>
      </x:c>
      <x:c r="G114" s="77" t="str">
        <x:v>campaign-specific acceptance limit</x:v>
      </x:c>
      <x:c r="H114" s="77" t="str">
        <x:v>test article plus raw record</x:v>
      </x:c>
      <x:c r="I114" s="77" t="str">
        <x:v>OPEN</x:v>
      </x:c>
      <x:c r="J114" s="77" t="str">
        <x:v>independent campaign authority</x:v>
      </x:c>
      <x:c r="K114" s="77" t="str">
        <x:v>redesign, add capacity or narrow guarantee</x:v>
      </x:c>
      <x:c r="L114" s="79" t="str">
        <x:v>not reviewed</x:v>
      </x:c>
    </x:row>
    <x:row r="115">
      <x:c r="B115" s="77" t="str">
        <x:v>EG-109</x:v>
      </x:c>
      <x:c r="C115" s="77" t="str">
        <x:v>TP14</x:v>
      </x:c>
      <x:c r="D115" s="77" t="str">
        <x:v>independence</x:v>
      </x:c>
      <x:c r="E115" s="77" t="str">
        <x:v>Can TP14 satisfy its independence claim under representative load?</x:v>
      </x:c>
      <x:c r="F115" s="77" t="str">
        <x:v>signed measured value</x:v>
      </x:c>
      <x:c r="G115" s="77" t="str">
        <x:v>campaign-specific acceptance limit</x:v>
      </x:c>
      <x:c r="H115" s="77" t="str">
        <x:v>test article plus raw record</x:v>
      </x:c>
      <x:c r="I115" s="77" t="str">
        <x:v>OPEN</x:v>
      </x:c>
      <x:c r="J115" s="77" t="str">
        <x:v>independent campaign authority</x:v>
      </x:c>
      <x:c r="K115" s="77" t="str">
        <x:v>redesign, add capacity or narrow guarantee</x:v>
      </x:c>
      <x:c r="L115" s="79" t="str">
        <x:v>not reviewed</x:v>
      </x:c>
    </x:row>
    <x:row r="116">
      <x:c r="B116" s="77" t="str">
        <x:v>EG-110</x:v>
      </x:c>
      <x:c r="C116" s="77" t="str">
        <x:v>TP14</x:v>
      </x:c>
      <x:c r="D116" s="77" t="str">
        <x:v>mission clock</x:v>
      </x:c>
      <x:c r="E116" s="77" t="str">
        <x:v>Can TP14 satisfy its mission clock claim under representative load?</x:v>
      </x:c>
      <x:c r="F116" s="77" t="str">
        <x:v>signed measured value</x:v>
      </x:c>
      <x:c r="G116" s="77" t="str">
        <x:v>campaign-specific acceptance limit</x:v>
      </x:c>
      <x:c r="H116" s="77" t="str">
        <x:v>test article plus raw record</x:v>
      </x:c>
      <x:c r="I116" s="77" t="str">
        <x:v>OPEN</x:v>
      </x:c>
      <x:c r="J116" s="77" t="str">
        <x:v>independent campaign authority</x:v>
      </x:c>
      <x:c r="K116" s="77" t="str">
        <x:v>redesign, add capacity or narrow guarantee</x:v>
      </x:c>
      <x:c r="L116" s="79" t="str">
        <x:v>not reviewed</x:v>
      </x:c>
    </x:row>
    <x:row r="117">
      <x:c r="B117" s="77" t="str">
        <x:v>EG-111</x:v>
      </x:c>
      <x:c r="C117" s="77" t="str">
        <x:v>TP14</x:v>
      </x:c>
      <x:c r="D117" s="77" t="str">
        <x:v>reset</x:v>
      </x:c>
      <x:c r="E117" s="77" t="str">
        <x:v>Can TP14 satisfy its reset claim under representative load?</x:v>
      </x:c>
      <x:c r="F117" s="77" t="str">
        <x:v>signed measured value</x:v>
      </x:c>
      <x:c r="G117" s="77" t="str">
        <x:v>campaign-specific acceptance limit</x:v>
      </x:c>
      <x:c r="H117" s="77" t="str">
        <x:v>test article plus raw record</x:v>
      </x:c>
      <x:c r="I117" s="77" t="str">
        <x:v>OPEN</x:v>
      </x:c>
      <x:c r="J117" s="77" t="str">
        <x:v>independent campaign authority</x:v>
      </x:c>
      <x:c r="K117" s="77" t="str">
        <x:v>redesign, add capacity or narrow guarantee</x:v>
      </x:c>
      <x:c r="L117" s="79" t="str">
        <x:v>not reviewed</x:v>
      </x:c>
    </x:row>
    <x:row r="118">
      <x:c r="B118" s="77" t="str">
        <x:v>EG-112</x:v>
      </x:c>
      <x:c r="C118" s="77" t="str">
        <x:v>TP14</x:v>
      </x:c>
      <x:c r="D118" s="77" t="str">
        <x:v>authority</x:v>
      </x:c>
      <x:c r="E118" s="77" t="str">
        <x:v>Can TP14 satisfy its authority claim under representative load?</x:v>
      </x:c>
      <x:c r="F118" s="77" t="str">
        <x:v>signed measured value</x:v>
      </x:c>
      <x:c r="G118" s="77" t="str">
        <x:v>campaign-specific acceptance limit</x:v>
      </x:c>
      <x:c r="H118" s="77" t="str">
        <x:v>test article plus raw record</x:v>
      </x:c>
      <x:c r="I118" s="77" t="str">
        <x:v>OPEN</x:v>
      </x:c>
      <x:c r="J118" s="77" t="str">
        <x:v>independent campaign authority</x:v>
      </x:c>
      <x:c r="K118" s="77" t="str">
        <x:v>redesign, add capacity or narrow guarantee</x:v>
      </x:c>
      <x:c r="L118" s="79" t="str">
        <x:v>not reviewed</x:v>
      </x:c>
    </x:row>
    <x:row r="119">
      <x:c r="B119" s="77" t="str">
        <x:v>EG-113</x:v>
      </x:c>
      <x:c r="C119" s="77" t="str">
        <x:v>TP15</x:v>
      </x:c>
      <x:c r="D119" s="77" t="str">
        <x:v>coefficient</x:v>
      </x:c>
      <x:c r="E119" s="77" t="str">
        <x:v>Can TP15 satisfy its coefficient claim under representative load?</x:v>
      </x:c>
      <x:c r="F119" s="77" t="str">
        <x:v>signed measured value</x:v>
      </x:c>
      <x:c r="G119" s="77" t="str">
        <x:v>campaign-specific acceptance limit</x:v>
      </x:c>
      <x:c r="H119" s="77" t="str">
        <x:v>test article plus raw record</x:v>
      </x:c>
      <x:c r="I119" s="77" t="str">
        <x:v>OPEN</x:v>
      </x:c>
      <x:c r="J119" s="77" t="str">
        <x:v>independent campaign authority</x:v>
      </x:c>
      <x:c r="K119" s="77" t="str">
        <x:v>redesign, add capacity or narrow guarantee</x:v>
      </x:c>
      <x:c r="L119" s="79" t="str">
        <x:v>not reviewed</x:v>
      </x:c>
    </x:row>
    <x:row r="120">
      <x:c r="B120" s="77" t="str">
        <x:v>EG-114</x:v>
      </x:c>
      <x:c r="C120" s="77" t="str">
        <x:v>TP15</x:v>
      </x:c>
      <x:c r="D120" s="77" t="str">
        <x:v>mass and custody</x:v>
      </x:c>
      <x:c r="E120" s="77" t="str">
        <x:v>Can TP15 satisfy its mass and custody claim under representative load?</x:v>
      </x:c>
      <x:c r="F120" s="77" t="str">
        <x:v>signed measured value</x:v>
      </x:c>
      <x:c r="G120" s="77" t="str">
        <x:v>campaign-specific acceptance limit</x:v>
      </x:c>
      <x:c r="H120" s="77" t="str">
        <x:v>test article plus raw record</x:v>
      </x:c>
      <x:c r="I120" s="77" t="str">
        <x:v>OPEN</x:v>
      </x:c>
      <x:c r="J120" s="77" t="str">
        <x:v>independent campaign authority</x:v>
      </x:c>
      <x:c r="K120" s="77" t="str">
        <x:v>redesign, add capacity or narrow guarantee</x:v>
      </x:c>
      <x:c r="L120" s="79" t="str">
        <x:v>not reviewed</x:v>
      </x:c>
    </x:row>
    <x:row r="121">
      <x:c r="B121" s="77" t="str">
        <x:v>EG-115</x:v>
      </x:c>
      <x:c r="C121" s="77" t="str">
        <x:v>TP15</x:v>
      </x:c>
      <x:c r="D121" s="77" t="str">
        <x:v>interface</x:v>
      </x:c>
      <x:c r="E121" s="77" t="str">
        <x:v>Can TP15 satisfy its interface claim under representative load?</x:v>
      </x:c>
      <x:c r="F121" s="77" t="str">
        <x:v>signed measured value</x:v>
      </x:c>
      <x:c r="G121" s="77" t="str">
        <x:v>campaign-specific acceptance limit</x:v>
      </x:c>
      <x:c r="H121" s="77" t="str">
        <x:v>test article plus raw record</x:v>
      </x:c>
      <x:c r="I121" s="77" t="str">
        <x:v>OPEN</x:v>
      </x:c>
      <x:c r="J121" s="77" t="str">
        <x:v>independent campaign authority</x:v>
      </x:c>
      <x:c r="K121" s="77" t="str">
        <x:v>redesign, add capacity or narrow guarantee</x:v>
      </x:c>
      <x:c r="L121" s="79" t="str">
        <x:v>not reviewed</x:v>
      </x:c>
    </x:row>
    <x:row r="122">
      <x:c r="B122" s="77" t="str">
        <x:v>EG-116</x:v>
      </x:c>
      <x:c r="C122" s="77" t="str">
        <x:v>TP15</x:v>
      </x:c>
      <x:c r="D122" s="77" t="str">
        <x:v>contained failure</x:v>
      </x:c>
      <x:c r="E122" s="77" t="str">
        <x:v>Can TP15 satisfy its contained failure claim under representative load?</x:v>
      </x:c>
      <x:c r="F122" s="77" t="str">
        <x:v>signed measured value</x:v>
      </x:c>
      <x:c r="G122" s="77" t="str">
        <x:v>campaign-specific acceptance limit</x:v>
      </x:c>
      <x:c r="H122" s="77" t="str">
        <x:v>test article plus raw record</x:v>
      </x:c>
      <x:c r="I122" s="77" t="str">
        <x:v>OPEN</x:v>
      </x:c>
      <x:c r="J122" s="77" t="str">
        <x:v>independent campaign authority</x:v>
      </x:c>
      <x:c r="K122" s="77" t="str">
        <x:v>redesign, add capacity or narrow guarantee</x:v>
      </x:c>
      <x:c r="L122" s="79" t="str">
        <x:v>not reviewed</x:v>
      </x:c>
    </x:row>
    <x:row r="123">
      <x:c r="B123" s="77" t="str">
        <x:v>EG-117</x:v>
      </x:c>
      <x:c r="C123" s="77" t="str">
        <x:v>TP15</x:v>
      </x:c>
      <x:c r="D123" s="77" t="str">
        <x:v>independence</x:v>
      </x:c>
      <x:c r="E123" s="77" t="str">
        <x:v>Can TP15 satisfy its independence claim under representative load?</x:v>
      </x:c>
      <x:c r="F123" s="77" t="str">
        <x:v>signed measured value</x:v>
      </x:c>
      <x:c r="G123" s="77" t="str">
        <x:v>campaign-specific acceptance limit</x:v>
      </x:c>
      <x:c r="H123" s="77" t="str">
        <x:v>test article plus raw record</x:v>
      </x:c>
      <x:c r="I123" s="77" t="str">
        <x:v>OPEN</x:v>
      </x:c>
      <x:c r="J123" s="77" t="str">
        <x:v>independent campaign authority</x:v>
      </x:c>
      <x:c r="K123" s="77" t="str">
        <x:v>redesign, add capacity or narrow guarantee</x:v>
      </x:c>
      <x:c r="L123" s="79" t="str">
        <x:v>not reviewed</x:v>
      </x:c>
    </x:row>
    <x:row r="124">
      <x:c r="B124" s="77" t="str">
        <x:v>EG-118</x:v>
      </x:c>
      <x:c r="C124" s="77" t="str">
        <x:v>TP15</x:v>
      </x:c>
      <x:c r="D124" s="77" t="str">
        <x:v>mission clock</x:v>
      </x:c>
      <x:c r="E124" s="77" t="str">
        <x:v>Can TP15 satisfy its mission clock claim under representative load?</x:v>
      </x:c>
      <x:c r="F124" s="77" t="str">
        <x:v>signed measured value</x:v>
      </x:c>
      <x:c r="G124" s="77" t="str">
        <x:v>campaign-specific acceptance limit</x:v>
      </x:c>
      <x:c r="H124" s="77" t="str">
        <x:v>test article plus raw record</x:v>
      </x:c>
      <x:c r="I124" s="77" t="str">
        <x:v>OPEN</x:v>
      </x:c>
      <x:c r="J124" s="77" t="str">
        <x:v>independent campaign authority</x:v>
      </x:c>
      <x:c r="K124" s="77" t="str">
        <x:v>redesign, add capacity or narrow guarantee</x:v>
      </x:c>
      <x:c r="L124" s="79" t="str">
        <x:v>not reviewed</x:v>
      </x:c>
    </x:row>
    <x:row r="125">
      <x:c r="B125" s="77" t="str">
        <x:v>EG-119</x:v>
      </x:c>
      <x:c r="C125" s="77" t="str">
        <x:v>TP15</x:v>
      </x:c>
      <x:c r="D125" s="77" t="str">
        <x:v>reset</x:v>
      </x:c>
      <x:c r="E125" s="77" t="str">
        <x:v>Can TP15 satisfy its reset claim under representative load?</x:v>
      </x:c>
      <x:c r="F125" s="77" t="str">
        <x:v>signed measured value</x:v>
      </x:c>
      <x:c r="G125" s="77" t="str">
        <x:v>campaign-specific acceptance limit</x:v>
      </x:c>
      <x:c r="H125" s="77" t="str">
        <x:v>test article plus raw record</x:v>
      </x:c>
      <x:c r="I125" s="77" t="str">
        <x:v>OPEN</x:v>
      </x:c>
      <x:c r="J125" s="77" t="str">
        <x:v>independent campaign authority</x:v>
      </x:c>
      <x:c r="K125" s="77" t="str">
        <x:v>redesign, add capacity or narrow guarantee</x:v>
      </x:c>
      <x:c r="L125" s="79" t="str">
        <x:v>not reviewed</x:v>
      </x:c>
    </x:row>
    <x:row r="126">
      <x:c r="B126" s="77" t="str">
        <x:v>EG-120</x:v>
      </x:c>
      <x:c r="C126" s="77" t="str">
        <x:v>TP15</x:v>
      </x:c>
      <x:c r="D126" s="77" t="str">
        <x:v>authority</x:v>
      </x:c>
      <x:c r="E126" s="77" t="str">
        <x:v>Can TP15 satisfy its authority claim under representative load?</x:v>
      </x:c>
      <x:c r="F126" s="77" t="str">
        <x:v>signed measured value</x:v>
      </x:c>
      <x:c r="G126" s="77" t="str">
        <x:v>campaign-specific acceptance limit</x:v>
      </x:c>
      <x:c r="H126" s="77" t="str">
        <x:v>test article plus raw record</x:v>
      </x:c>
      <x:c r="I126" s="77" t="str">
        <x:v>OPEN</x:v>
      </x:c>
      <x:c r="J126" s="77" t="str">
        <x:v>independent campaign authority</x:v>
      </x:c>
      <x:c r="K126" s="77" t="str">
        <x:v>redesign, add capacity or narrow guarantee</x:v>
      </x:c>
      <x:c r="L126" s="79" t="str">
        <x:v>not reviewed</x:v>
      </x:c>
    </x:row>
    <x:row r="127">
      <x:c r="B127" s="77" t="str">
        <x:v>EG-121</x:v>
      </x:c>
      <x:c r="C127" s="77" t="str">
        <x:v>TP16</x:v>
      </x:c>
      <x:c r="D127" s="77" t="str">
        <x:v>coefficient</x:v>
      </x:c>
      <x:c r="E127" s="77" t="str">
        <x:v>Can TP16 satisfy its coefficient claim under representative load?</x:v>
      </x:c>
      <x:c r="F127" s="77" t="str">
        <x:v>signed measured value</x:v>
      </x:c>
      <x:c r="G127" s="77" t="str">
        <x:v>campaign-specific acceptance limit</x:v>
      </x:c>
      <x:c r="H127" s="77" t="str">
        <x:v>test article plus raw record</x:v>
      </x:c>
      <x:c r="I127" s="77" t="str">
        <x:v>OPEN</x:v>
      </x:c>
      <x:c r="J127" s="77" t="str">
        <x:v>independent campaign authority</x:v>
      </x:c>
      <x:c r="K127" s="77" t="str">
        <x:v>redesign, add capacity or narrow guarantee</x:v>
      </x:c>
      <x:c r="L127" s="79" t="str">
        <x:v>not reviewed</x:v>
      </x:c>
    </x:row>
    <x:row r="128">
      <x:c r="B128" s="77" t="str">
        <x:v>EG-122</x:v>
      </x:c>
      <x:c r="C128" s="77" t="str">
        <x:v>TP16</x:v>
      </x:c>
      <x:c r="D128" s="77" t="str">
        <x:v>mass and custody</x:v>
      </x:c>
      <x:c r="E128" s="77" t="str">
        <x:v>Can TP16 satisfy its mass and custody claim under representative load?</x:v>
      </x:c>
      <x:c r="F128" s="77" t="str">
        <x:v>signed measured value</x:v>
      </x:c>
      <x:c r="G128" s="77" t="str">
        <x:v>campaign-specific acceptance limit</x:v>
      </x:c>
      <x:c r="H128" s="77" t="str">
        <x:v>test article plus raw record</x:v>
      </x:c>
      <x:c r="I128" s="77" t="str">
        <x:v>OPEN</x:v>
      </x:c>
      <x:c r="J128" s="77" t="str">
        <x:v>independent campaign authority</x:v>
      </x:c>
      <x:c r="K128" s="77" t="str">
        <x:v>redesign, add capacity or narrow guarantee</x:v>
      </x:c>
      <x:c r="L128" s="79" t="str">
        <x:v>not reviewed</x:v>
      </x:c>
    </x:row>
    <x:row r="129">
      <x:c r="B129" s="77" t="str">
        <x:v>EG-123</x:v>
      </x:c>
      <x:c r="C129" s="77" t="str">
        <x:v>TP16</x:v>
      </x:c>
      <x:c r="D129" s="77" t="str">
        <x:v>interface</x:v>
      </x:c>
      <x:c r="E129" s="77" t="str">
        <x:v>Can TP16 satisfy its interface claim under representative load?</x:v>
      </x:c>
      <x:c r="F129" s="77" t="str">
        <x:v>signed measured value</x:v>
      </x:c>
      <x:c r="G129" s="77" t="str">
        <x:v>campaign-specific acceptance limit</x:v>
      </x:c>
      <x:c r="H129" s="77" t="str">
        <x:v>test article plus raw record</x:v>
      </x:c>
      <x:c r="I129" s="77" t="str">
        <x:v>OPEN</x:v>
      </x:c>
      <x:c r="J129" s="77" t="str">
        <x:v>independent campaign authority</x:v>
      </x:c>
      <x:c r="K129" s="77" t="str">
        <x:v>redesign, add capacity or narrow guarantee</x:v>
      </x:c>
      <x:c r="L129" s="79" t="str">
        <x:v>not reviewed</x:v>
      </x:c>
    </x:row>
    <x:row r="130">
      <x:c r="B130" s="77" t="str">
        <x:v>EG-124</x:v>
      </x:c>
      <x:c r="C130" s="77" t="str">
        <x:v>TP16</x:v>
      </x:c>
      <x:c r="D130" s="77" t="str">
        <x:v>contained failure</x:v>
      </x:c>
      <x:c r="E130" s="77" t="str">
        <x:v>Can TP16 satisfy its contained failure claim under representative load?</x:v>
      </x:c>
      <x:c r="F130" s="77" t="str">
        <x:v>signed measured value</x:v>
      </x:c>
      <x:c r="G130" s="77" t="str">
        <x:v>campaign-specific acceptance limit</x:v>
      </x:c>
      <x:c r="H130" s="77" t="str">
        <x:v>test article plus raw record</x:v>
      </x:c>
      <x:c r="I130" s="77" t="str">
        <x:v>OPEN</x:v>
      </x:c>
      <x:c r="J130" s="77" t="str">
        <x:v>independent campaign authority</x:v>
      </x:c>
      <x:c r="K130" s="77" t="str">
        <x:v>redesign, add capacity or narrow guarantee</x:v>
      </x:c>
      <x:c r="L130" s="79" t="str">
        <x:v>not reviewed</x:v>
      </x:c>
    </x:row>
    <x:row r="131">
      <x:c r="B131" s="77" t="str">
        <x:v>EG-125</x:v>
      </x:c>
      <x:c r="C131" s="77" t="str">
        <x:v>TP16</x:v>
      </x:c>
      <x:c r="D131" s="77" t="str">
        <x:v>independence</x:v>
      </x:c>
      <x:c r="E131" s="77" t="str">
        <x:v>Can TP16 satisfy its independence claim under representative load?</x:v>
      </x:c>
      <x:c r="F131" s="77" t="str">
        <x:v>signed measured value</x:v>
      </x:c>
      <x:c r="G131" s="77" t="str">
        <x:v>campaign-specific acceptance limit</x:v>
      </x:c>
      <x:c r="H131" s="77" t="str">
        <x:v>test article plus raw record</x:v>
      </x:c>
      <x:c r="I131" s="77" t="str">
        <x:v>OPEN</x:v>
      </x:c>
      <x:c r="J131" s="77" t="str">
        <x:v>independent campaign authority</x:v>
      </x:c>
      <x:c r="K131" s="77" t="str">
        <x:v>redesign, add capacity or narrow guarantee</x:v>
      </x:c>
      <x:c r="L131" s="79" t="str">
        <x:v>not reviewed</x:v>
      </x:c>
    </x:row>
    <x:row r="132">
      <x:c r="B132" s="77" t="str">
        <x:v>EG-126</x:v>
      </x:c>
      <x:c r="C132" s="77" t="str">
        <x:v>TP16</x:v>
      </x:c>
      <x:c r="D132" s="77" t="str">
        <x:v>mission clock</x:v>
      </x:c>
      <x:c r="E132" s="77" t="str">
        <x:v>Can TP16 satisfy its mission clock claim under representative load?</x:v>
      </x:c>
      <x:c r="F132" s="77" t="str">
        <x:v>signed measured value</x:v>
      </x:c>
      <x:c r="G132" s="77" t="str">
        <x:v>campaign-specific acceptance limit</x:v>
      </x:c>
      <x:c r="H132" s="77" t="str">
        <x:v>test article plus raw record</x:v>
      </x:c>
      <x:c r="I132" s="77" t="str">
        <x:v>OPEN</x:v>
      </x:c>
      <x:c r="J132" s="77" t="str">
        <x:v>independent campaign authority</x:v>
      </x:c>
      <x:c r="K132" s="77" t="str">
        <x:v>redesign, add capacity or narrow guarantee</x:v>
      </x:c>
      <x:c r="L132" s="79" t="str">
        <x:v>not reviewed</x:v>
      </x:c>
    </x:row>
    <x:row r="133">
      <x:c r="B133" s="77" t="str">
        <x:v>EG-127</x:v>
      </x:c>
      <x:c r="C133" s="77" t="str">
        <x:v>TP16</x:v>
      </x:c>
      <x:c r="D133" s="77" t="str">
        <x:v>reset</x:v>
      </x:c>
      <x:c r="E133" s="77" t="str">
        <x:v>Can TP16 satisfy its reset claim under representative load?</x:v>
      </x:c>
      <x:c r="F133" s="77" t="str">
        <x:v>signed measured value</x:v>
      </x:c>
      <x:c r="G133" s="77" t="str">
        <x:v>campaign-specific acceptance limit</x:v>
      </x:c>
      <x:c r="H133" s="77" t="str">
        <x:v>test article plus raw record</x:v>
      </x:c>
      <x:c r="I133" s="77" t="str">
        <x:v>OPEN</x:v>
      </x:c>
      <x:c r="J133" s="77" t="str">
        <x:v>independent campaign authority</x:v>
      </x:c>
      <x:c r="K133" s="77" t="str">
        <x:v>redesign, add capacity or narrow guarantee</x:v>
      </x:c>
      <x:c r="L133" s="79" t="str">
        <x:v>not reviewed</x:v>
      </x:c>
    </x:row>
    <x:row r="134">
      <x:c r="B134" s="77" t="str">
        <x:v>EG-128</x:v>
      </x:c>
      <x:c r="C134" s="77" t="str">
        <x:v>TP16</x:v>
      </x:c>
      <x:c r="D134" s="77" t="str">
        <x:v>authority</x:v>
      </x:c>
      <x:c r="E134" s="77" t="str">
        <x:v>Can TP16 satisfy its authority claim under representative load?</x:v>
      </x:c>
      <x:c r="F134" s="77" t="str">
        <x:v>signed measured value</x:v>
      </x:c>
      <x:c r="G134" s="77" t="str">
        <x:v>campaign-specific acceptance limit</x:v>
      </x:c>
      <x:c r="H134" s="77" t="str">
        <x:v>test article plus raw record</x:v>
      </x:c>
      <x:c r="I134" s="77" t="str">
        <x:v>OPEN</x:v>
      </x:c>
      <x:c r="J134" s="77" t="str">
        <x:v>independent campaign authority</x:v>
      </x:c>
      <x:c r="K134" s="77" t="str">
        <x:v>redesign, add capacity or narrow guarantee</x:v>
      </x:c>
      <x:c r="L134" s="79" t="str">
        <x:v>not reviewed</x:v>
      </x:c>
    </x:row>
    <x:row r="135">
      <x:c r="B135" s="77" t="str">
        <x:v>EG-129</x:v>
      </x:c>
      <x:c r="C135" s="77" t="str">
        <x:v>TP17</x:v>
      </x:c>
      <x:c r="D135" s="77" t="str">
        <x:v>coefficient</x:v>
      </x:c>
      <x:c r="E135" s="77" t="str">
        <x:v>Can TP17 satisfy its coefficient claim under representative load?</x:v>
      </x:c>
      <x:c r="F135" s="77" t="str">
        <x:v>signed measured value</x:v>
      </x:c>
      <x:c r="G135" s="77" t="str">
        <x:v>campaign-specific acceptance limit</x:v>
      </x:c>
      <x:c r="H135" s="77" t="str">
        <x:v>test article plus raw record</x:v>
      </x:c>
      <x:c r="I135" s="77" t="str">
        <x:v>OPEN</x:v>
      </x:c>
      <x:c r="J135" s="77" t="str">
        <x:v>independent campaign authority</x:v>
      </x:c>
      <x:c r="K135" s="77" t="str">
        <x:v>redesign, add capacity or narrow guarantee</x:v>
      </x:c>
      <x:c r="L135" s="79" t="str">
        <x:v>not reviewed</x:v>
      </x:c>
    </x:row>
    <x:row r="136">
      <x:c r="B136" s="77" t="str">
        <x:v>EG-130</x:v>
      </x:c>
      <x:c r="C136" s="77" t="str">
        <x:v>TP17</x:v>
      </x:c>
      <x:c r="D136" s="77" t="str">
        <x:v>mass and custody</x:v>
      </x:c>
      <x:c r="E136" s="77" t="str">
        <x:v>Can TP17 satisfy its mass and custody claim under representative load?</x:v>
      </x:c>
      <x:c r="F136" s="77" t="str">
        <x:v>signed measured value</x:v>
      </x:c>
      <x:c r="G136" s="77" t="str">
        <x:v>campaign-specific acceptance limit</x:v>
      </x:c>
      <x:c r="H136" s="77" t="str">
        <x:v>test article plus raw record</x:v>
      </x:c>
      <x:c r="I136" s="77" t="str">
        <x:v>OPEN</x:v>
      </x:c>
      <x:c r="J136" s="77" t="str">
        <x:v>independent campaign authority</x:v>
      </x:c>
      <x:c r="K136" s="77" t="str">
        <x:v>redesign, add capacity or narrow guarantee</x:v>
      </x:c>
      <x:c r="L136" s="79" t="str">
        <x:v>not reviewed</x:v>
      </x:c>
    </x:row>
    <x:row r="137">
      <x:c r="B137" s="77" t="str">
        <x:v>EG-131</x:v>
      </x:c>
      <x:c r="C137" s="77" t="str">
        <x:v>TP17</x:v>
      </x:c>
      <x:c r="D137" s="77" t="str">
        <x:v>interface</x:v>
      </x:c>
      <x:c r="E137" s="77" t="str">
        <x:v>Can TP17 satisfy its interface claim under representative load?</x:v>
      </x:c>
      <x:c r="F137" s="77" t="str">
        <x:v>signed measured value</x:v>
      </x:c>
      <x:c r="G137" s="77" t="str">
        <x:v>campaign-specific acceptance limit</x:v>
      </x:c>
      <x:c r="H137" s="77" t="str">
        <x:v>test article plus raw record</x:v>
      </x:c>
      <x:c r="I137" s="77" t="str">
        <x:v>OPEN</x:v>
      </x:c>
      <x:c r="J137" s="77" t="str">
        <x:v>independent campaign authority</x:v>
      </x:c>
      <x:c r="K137" s="77" t="str">
        <x:v>redesign, add capacity or narrow guarantee</x:v>
      </x:c>
      <x:c r="L137" s="79" t="str">
        <x:v>not reviewed</x:v>
      </x:c>
    </x:row>
    <x:row r="138">
      <x:c r="B138" s="77" t="str">
        <x:v>EG-132</x:v>
      </x:c>
      <x:c r="C138" s="77" t="str">
        <x:v>TP17</x:v>
      </x:c>
      <x:c r="D138" s="77" t="str">
        <x:v>contained failure</x:v>
      </x:c>
      <x:c r="E138" s="77" t="str">
        <x:v>Can TP17 satisfy its contained failure claim under representative load?</x:v>
      </x:c>
      <x:c r="F138" s="77" t="str">
        <x:v>signed measured value</x:v>
      </x:c>
      <x:c r="G138" s="77" t="str">
        <x:v>campaign-specific acceptance limit</x:v>
      </x:c>
      <x:c r="H138" s="77" t="str">
        <x:v>test article plus raw record</x:v>
      </x:c>
      <x:c r="I138" s="77" t="str">
        <x:v>OPEN</x:v>
      </x:c>
      <x:c r="J138" s="77" t="str">
        <x:v>independent campaign authority</x:v>
      </x:c>
      <x:c r="K138" s="77" t="str">
        <x:v>redesign, add capacity or narrow guarantee</x:v>
      </x:c>
      <x:c r="L138" s="79" t="str">
        <x:v>not reviewed</x:v>
      </x:c>
    </x:row>
    <x:row r="139">
      <x:c r="B139" s="77" t="str">
        <x:v>EG-133</x:v>
      </x:c>
      <x:c r="C139" s="77" t="str">
        <x:v>TP17</x:v>
      </x:c>
      <x:c r="D139" s="77" t="str">
        <x:v>independence</x:v>
      </x:c>
      <x:c r="E139" s="77" t="str">
        <x:v>Can TP17 satisfy its independence claim under representative load?</x:v>
      </x:c>
      <x:c r="F139" s="77" t="str">
        <x:v>signed measured value</x:v>
      </x:c>
      <x:c r="G139" s="77" t="str">
        <x:v>campaign-specific acceptance limit</x:v>
      </x:c>
      <x:c r="H139" s="77" t="str">
        <x:v>test article plus raw record</x:v>
      </x:c>
      <x:c r="I139" s="77" t="str">
        <x:v>OPEN</x:v>
      </x:c>
      <x:c r="J139" s="77" t="str">
        <x:v>independent campaign authority</x:v>
      </x:c>
      <x:c r="K139" s="77" t="str">
        <x:v>redesign, add capacity or narrow guarantee</x:v>
      </x:c>
      <x:c r="L139" s="79" t="str">
        <x:v>not reviewed</x:v>
      </x:c>
    </x:row>
    <x:row r="140">
      <x:c r="B140" s="77" t="str">
        <x:v>EG-134</x:v>
      </x:c>
      <x:c r="C140" s="77" t="str">
        <x:v>TP17</x:v>
      </x:c>
      <x:c r="D140" s="77" t="str">
        <x:v>mission clock</x:v>
      </x:c>
      <x:c r="E140" s="77" t="str">
        <x:v>Can TP17 satisfy its mission clock claim under representative load?</x:v>
      </x:c>
      <x:c r="F140" s="77" t="str">
        <x:v>signed measured value</x:v>
      </x:c>
      <x:c r="G140" s="77" t="str">
        <x:v>campaign-specific acceptance limit</x:v>
      </x:c>
      <x:c r="H140" s="77" t="str">
        <x:v>test article plus raw record</x:v>
      </x:c>
      <x:c r="I140" s="77" t="str">
        <x:v>OPEN</x:v>
      </x:c>
      <x:c r="J140" s="77" t="str">
        <x:v>independent campaign authority</x:v>
      </x:c>
      <x:c r="K140" s="77" t="str">
        <x:v>redesign, add capacity or narrow guarantee</x:v>
      </x:c>
      <x:c r="L140" s="79" t="str">
        <x:v>not reviewed</x:v>
      </x:c>
    </x:row>
    <x:row r="141">
      <x:c r="B141" s="77" t="str">
        <x:v>EG-135</x:v>
      </x:c>
      <x:c r="C141" s="77" t="str">
        <x:v>TP17</x:v>
      </x:c>
      <x:c r="D141" s="77" t="str">
        <x:v>reset</x:v>
      </x:c>
      <x:c r="E141" s="77" t="str">
        <x:v>Can TP17 satisfy its reset claim under representative load?</x:v>
      </x:c>
      <x:c r="F141" s="77" t="str">
        <x:v>signed measured value</x:v>
      </x:c>
      <x:c r="G141" s="77" t="str">
        <x:v>campaign-specific acceptance limit</x:v>
      </x:c>
      <x:c r="H141" s="77" t="str">
        <x:v>test article plus raw record</x:v>
      </x:c>
      <x:c r="I141" s="77" t="str">
        <x:v>OPEN</x:v>
      </x:c>
      <x:c r="J141" s="77" t="str">
        <x:v>independent campaign authority</x:v>
      </x:c>
      <x:c r="K141" s="77" t="str">
        <x:v>redesign, add capacity or narrow guarantee</x:v>
      </x:c>
      <x:c r="L141" s="79" t="str">
        <x:v>not reviewed</x:v>
      </x:c>
    </x:row>
    <x:row r="142">
      <x:c r="B142" s="77" t="str">
        <x:v>EG-136</x:v>
      </x:c>
      <x:c r="C142" s="77" t="str">
        <x:v>TP17</x:v>
      </x:c>
      <x:c r="D142" s="77" t="str">
        <x:v>authority</x:v>
      </x:c>
      <x:c r="E142" s="77" t="str">
        <x:v>Can TP17 satisfy its authority claim under representative load?</x:v>
      </x:c>
      <x:c r="F142" s="77" t="str">
        <x:v>signed measured value</x:v>
      </x:c>
      <x:c r="G142" s="77" t="str">
        <x:v>campaign-specific acceptance limit</x:v>
      </x:c>
      <x:c r="H142" s="77" t="str">
        <x:v>test article plus raw record</x:v>
      </x:c>
      <x:c r="I142" s="77" t="str">
        <x:v>OPEN</x:v>
      </x:c>
      <x:c r="J142" s="77" t="str">
        <x:v>independent campaign authority</x:v>
      </x:c>
      <x:c r="K142" s="77" t="str">
        <x:v>redesign, add capacity or narrow guarantee</x:v>
      </x:c>
      <x:c r="L142" s="79" t="str">
        <x:v>not reviewed</x:v>
      </x:c>
    </x:row>
    <x:row r="143">
      <x:c r="B143" s="77" t="str">
        <x:v>EG-137</x:v>
      </x:c>
      <x:c r="C143" s="77" t="str">
        <x:v>TP18</x:v>
      </x:c>
      <x:c r="D143" s="77" t="str">
        <x:v>coefficient</x:v>
      </x:c>
      <x:c r="E143" s="77" t="str">
        <x:v>Can TP18 satisfy its coefficient claim under representative load?</x:v>
      </x:c>
      <x:c r="F143" s="77" t="str">
        <x:v>signed measured value</x:v>
      </x:c>
      <x:c r="G143" s="77" t="str">
        <x:v>campaign-specific acceptance limit</x:v>
      </x:c>
      <x:c r="H143" s="77" t="str">
        <x:v>test article plus raw record</x:v>
      </x:c>
      <x:c r="I143" s="77" t="str">
        <x:v>OPEN</x:v>
      </x:c>
      <x:c r="J143" s="77" t="str">
        <x:v>independent campaign authority</x:v>
      </x:c>
      <x:c r="K143" s="77" t="str">
        <x:v>redesign, add capacity or narrow guarantee</x:v>
      </x:c>
      <x:c r="L143" s="79" t="str">
        <x:v>not reviewed</x:v>
      </x:c>
    </x:row>
    <x:row r="144">
      <x:c r="B144" s="77" t="str">
        <x:v>EG-138</x:v>
      </x:c>
      <x:c r="C144" s="77" t="str">
        <x:v>TP18</x:v>
      </x:c>
      <x:c r="D144" s="77" t="str">
        <x:v>mass and custody</x:v>
      </x:c>
      <x:c r="E144" s="77" t="str">
        <x:v>Can TP18 satisfy its mass and custody claim under representative load?</x:v>
      </x:c>
      <x:c r="F144" s="77" t="str">
        <x:v>signed measured value</x:v>
      </x:c>
      <x:c r="G144" s="77" t="str">
        <x:v>campaign-specific acceptance limit</x:v>
      </x:c>
      <x:c r="H144" s="77" t="str">
        <x:v>test article plus raw record</x:v>
      </x:c>
      <x:c r="I144" s="77" t="str">
        <x:v>OPEN</x:v>
      </x:c>
      <x:c r="J144" s="77" t="str">
        <x:v>independent campaign authority</x:v>
      </x:c>
      <x:c r="K144" s="77" t="str">
        <x:v>redesign, add capacity or narrow guarantee</x:v>
      </x:c>
      <x:c r="L144" s="79" t="str">
        <x:v>not reviewed</x:v>
      </x:c>
    </x:row>
    <x:row r="145">
      <x:c r="B145" s="77" t="str">
        <x:v>EG-139</x:v>
      </x:c>
      <x:c r="C145" s="77" t="str">
        <x:v>TP18</x:v>
      </x:c>
      <x:c r="D145" s="77" t="str">
        <x:v>interface</x:v>
      </x:c>
      <x:c r="E145" s="77" t="str">
        <x:v>Can TP18 satisfy its interface claim under representative load?</x:v>
      </x:c>
      <x:c r="F145" s="77" t="str">
        <x:v>signed measured value</x:v>
      </x:c>
      <x:c r="G145" s="77" t="str">
        <x:v>campaign-specific acceptance limit</x:v>
      </x:c>
      <x:c r="H145" s="77" t="str">
        <x:v>test article plus raw record</x:v>
      </x:c>
      <x:c r="I145" s="77" t="str">
        <x:v>OPEN</x:v>
      </x:c>
      <x:c r="J145" s="77" t="str">
        <x:v>independent campaign authority</x:v>
      </x:c>
      <x:c r="K145" s="77" t="str">
        <x:v>redesign, add capacity or narrow guarantee</x:v>
      </x:c>
      <x:c r="L145" s="79" t="str">
        <x:v>not reviewed</x:v>
      </x:c>
    </x:row>
    <x:row r="146">
      <x:c r="B146" s="77" t="str">
        <x:v>EG-140</x:v>
      </x:c>
      <x:c r="C146" s="77" t="str">
        <x:v>TP18</x:v>
      </x:c>
      <x:c r="D146" s="77" t="str">
        <x:v>contained failure</x:v>
      </x:c>
      <x:c r="E146" s="77" t="str">
        <x:v>Can TP18 satisfy its contained failure claim under representative load?</x:v>
      </x:c>
      <x:c r="F146" s="77" t="str">
        <x:v>signed measured value</x:v>
      </x:c>
      <x:c r="G146" s="77" t="str">
        <x:v>campaign-specific acceptance limit</x:v>
      </x:c>
      <x:c r="H146" s="77" t="str">
        <x:v>test article plus raw record</x:v>
      </x:c>
      <x:c r="I146" s="77" t="str">
        <x:v>OPEN</x:v>
      </x:c>
      <x:c r="J146" s="77" t="str">
        <x:v>independent campaign authority</x:v>
      </x:c>
      <x:c r="K146" s="77" t="str">
        <x:v>redesign, add capacity or narrow guarantee</x:v>
      </x:c>
      <x:c r="L146" s="79" t="str">
        <x:v>not reviewed</x:v>
      </x:c>
    </x:row>
    <x:row r="147">
      <x:c r="B147" s="77" t="str">
        <x:v>EG-141</x:v>
      </x:c>
      <x:c r="C147" s="77" t="str">
        <x:v>TP18</x:v>
      </x:c>
      <x:c r="D147" s="77" t="str">
        <x:v>independence</x:v>
      </x:c>
      <x:c r="E147" s="77" t="str">
        <x:v>Can TP18 satisfy its independence claim under representative load?</x:v>
      </x:c>
      <x:c r="F147" s="77" t="str">
        <x:v>signed measured value</x:v>
      </x:c>
      <x:c r="G147" s="77" t="str">
        <x:v>campaign-specific acceptance limit</x:v>
      </x:c>
      <x:c r="H147" s="77" t="str">
        <x:v>test article plus raw record</x:v>
      </x:c>
      <x:c r="I147" s="77" t="str">
        <x:v>OPEN</x:v>
      </x:c>
      <x:c r="J147" s="77" t="str">
        <x:v>independent campaign authority</x:v>
      </x:c>
      <x:c r="K147" s="77" t="str">
        <x:v>redesign, add capacity or narrow guarantee</x:v>
      </x:c>
      <x:c r="L147" s="79" t="str">
        <x:v>not reviewed</x:v>
      </x:c>
    </x:row>
    <x:row r="148">
      <x:c r="B148" s="77" t="str">
        <x:v>EG-142</x:v>
      </x:c>
      <x:c r="C148" s="77" t="str">
        <x:v>TP18</x:v>
      </x:c>
      <x:c r="D148" s="77" t="str">
        <x:v>mission clock</x:v>
      </x:c>
      <x:c r="E148" s="77" t="str">
        <x:v>Can TP18 satisfy its mission clock claim under representative load?</x:v>
      </x:c>
      <x:c r="F148" s="77" t="str">
        <x:v>signed measured value</x:v>
      </x:c>
      <x:c r="G148" s="77" t="str">
        <x:v>campaign-specific acceptance limit</x:v>
      </x:c>
      <x:c r="H148" s="77" t="str">
        <x:v>test article plus raw record</x:v>
      </x:c>
      <x:c r="I148" s="77" t="str">
        <x:v>OPEN</x:v>
      </x:c>
      <x:c r="J148" s="77" t="str">
        <x:v>independent campaign authority</x:v>
      </x:c>
      <x:c r="K148" s="77" t="str">
        <x:v>redesign, add capacity or narrow guarantee</x:v>
      </x:c>
      <x:c r="L148" s="79" t="str">
        <x:v>not reviewed</x:v>
      </x:c>
    </x:row>
    <x:row r="149">
      <x:c r="B149" s="77" t="str">
        <x:v>EG-143</x:v>
      </x:c>
      <x:c r="C149" s="77" t="str">
        <x:v>TP18</x:v>
      </x:c>
      <x:c r="D149" s="77" t="str">
        <x:v>reset</x:v>
      </x:c>
      <x:c r="E149" s="77" t="str">
        <x:v>Can TP18 satisfy its reset claim under representative load?</x:v>
      </x:c>
      <x:c r="F149" s="77" t="str">
        <x:v>signed measured value</x:v>
      </x:c>
      <x:c r="G149" s="77" t="str">
        <x:v>campaign-specific acceptance limit</x:v>
      </x:c>
      <x:c r="H149" s="77" t="str">
        <x:v>test article plus raw record</x:v>
      </x:c>
      <x:c r="I149" s="77" t="str">
        <x:v>OPEN</x:v>
      </x:c>
      <x:c r="J149" s="77" t="str">
        <x:v>independent campaign authority</x:v>
      </x:c>
      <x:c r="K149" s="77" t="str">
        <x:v>redesign, add capacity or narrow guarantee</x:v>
      </x:c>
      <x:c r="L149" s="79" t="str">
        <x:v>not reviewed</x:v>
      </x:c>
    </x:row>
    <x:row r="150">
      <x:c r="B150" s="77" t="str">
        <x:v>EG-144</x:v>
      </x:c>
      <x:c r="C150" s="77" t="str">
        <x:v>TP18</x:v>
      </x:c>
      <x:c r="D150" s="77" t="str">
        <x:v>authority</x:v>
      </x:c>
      <x:c r="E150" s="77" t="str">
        <x:v>Can TP18 satisfy its authority claim under representative load?</x:v>
      </x:c>
      <x:c r="F150" s="77" t="str">
        <x:v>signed measured value</x:v>
      </x:c>
      <x:c r="G150" s="77" t="str">
        <x:v>campaign-specific acceptance limit</x:v>
      </x:c>
      <x:c r="H150" s="77" t="str">
        <x:v>test article plus raw record</x:v>
      </x:c>
      <x:c r="I150" s="77" t="str">
        <x:v>OPEN</x:v>
      </x:c>
      <x:c r="J150" s="77" t="str">
        <x:v>independent campaign authority</x:v>
      </x:c>
      <x:c r="K150" s="77" t="str">
        <x:v>redesign, add capacity or narrow guarantee</x:v>
      </x:c>
      <x:c r="L150" s="79" t="str">
        <x:v>not reviewed</x:v>
      </x:c>
    </x:row>
    <x:row r="151">
      <x:c r="B151" s="77" t="str">
        <x:v>EG-145</x:v>
      </x:c>
      <x:c r="C151" s="77" t="str">
        <x:v>TP19</x:v>
      </x:c>
      <x:c r="D151" s="77" t="str">
        <x:v>coefficient</x:v>
      </x:c>
      <x:c r="E151" s="77" t="str">
        <x:v>Can TP19 satisfy its coefficient claim under representative load?</x:v>
      </x:c>
      <x:c r="F151" s="77" t="str">
        <x:v>signed measured value</x:v>
      </x:c>
      <x:c r="G151" s="77" t="str">
        <x:v>campaign-specific acceptance limit</x:v>
      </x:c>
      <x:c r="H151" s="77" t="str">
        <x:v>test article plus raw record</x:v>
      </x:c>
      <x:c r="I151" s="77" t="str">
        <x:v>OPEN</x:v>
      </x:c>
      <x:c r="J151" s="77" t="str">
        <x:v>independent campaign authority</x:v>
      </x:c>
      <x:c r="K151" s="77" t="str">
        <x:v>redesign, add capacity or narrow guarantee</x:v>
      </x:c>
      <x:c r="L151" s="79" t="str">
        <x:v>not reviewed</x:v>
      </x:c>
    </x:row>
    <x:row r="152">
      <x:c r="B152" s="77" t="str">
        <x:v>EG-146</x:v>
      </x:c>
      <x:c r="C152" s="77" t="str">
        <x:v>TP19</x:v>
      </x:c>
      <x:c r="D152" s="77" t="str">
        <x:v>mass and custody</x:v>
      </x:c>
      <x:c r="E152" s="77" t="str">
        <x:v>Can TP19 satisfy its mass and custody claim under representative load?</x:v>
      </x:c>
      <x:c r="F152" s="77" t="str">
        <x:v>signed measured value</x:v>
      </x:c>
      <x:c r="G152" s="77" t="str">
        <x:v>campaign-specific acceptance limit</x:v>
      </x:c>
      <x:c r="H152" s="77" t="str">
        <x:v>test article plus raw record</x:v>
      </x:c>
      <x:c r="I152" s="77" t="str">
        <x:v>OPEN</x:v>
      </x:c>
      <x:c r="J152" s="77" t="str">
        <x:v>independent campaign authority</x:v>
      </x:c>
      <x:c r="K152" s="77" t="str">
        <x:v>redesign, add capacity or narrow guarantee</x:v>
      </x:c>
      <x:c r="L152" s="79" t="str">
        <x:v>not reviewed</x:v>
      </x:c>
    </x:row>
    <x:row r="153">
      <x:c r="B153" s="77" t="str">
        <x:v>EG-147</x:v>
      </x:c>
      <x:c r="C153" s="77" t="str">
        <x:v>TP19</x:v>
      </x:c>
      <x:c r="D153" s="77" t="str">
        <x:v>interface</x:v>
      </x:c>
      <x:c r="E153" s="77" t="str">
        <x:v>Can TP19 satisfy its interface claim under representative load?</x:v>
      </x:c>
      <x:c r="F153" s="77" t="str">
        <x:v>signed measured value</x:v>
      </x:c>
      <x:c r="G153" s="77" t="str">
        <x:v>campaign-specific acceptance limit</x:v>
      </x:c>
      <x:c r="H153" s="77" t="str">
        <x:v>test article plus raw record</x:v>
      </x:c>
      <x:c r="I153" s="77" t="str">
        <x:v>OPEN</x:v>
      </x:c>
      <x:c r="J153" s="77" t="str">
        <x:v>independent campaign authority</x:v>
      </x:c>
      <x:c r="K153" s="77" t="str">
        <x:v>redesign, add capacity or narrow guarantee</x:v>
      </x:c>
      <x:c r="L153" s="79" t="str">
        <x:v>not reviewed</x:v>
      </x:c>
    </x:row>
    <x:row r="154">
      <x:c r="B154" s="77" t="str">
        <x:v>EG-148</x:v>
      </x:c>
      <x:c r="C154" s="77" t="str">
        <x:v>TP19</x:v>
      </x:c>
      <x:c r="D154" s="77" t="str">
        <x:v>contained failure</x:v>
      </x:c>
      <x:c r="E154" s="77" t="str">
        <x:v>Can TP19 satisfy its contained failure claim under representative load?</x:v>
      </x:c>
      <x:c r="F154" s="77" t="str">
        <x:v>signed measured value</x:v>
      </x:c>
      <x:c r="G154" s="77" t="str">
        <x:v>campaign-specific acceptance limit</x:v>
      </x:c>
      <x:c r="H154" s="77" t="str">
        <x:v>test article plus raw record</x:v>
      </x:c>
      <x:c r="I154" s="77" t="str">
        <x:v>OPEN</x:v>
      </x:c>
      <x:c r="J154" s="77" t="str">
        <x:v>independent campaign authority</x:v>
      </x:c>
      <x:c r="K154" s="77" t="str">
        <x:v>redesign, add capacity or narrow guarantee</x:v>
      </x:c>
      <x:c r="L154" s="79" t="str">
        <x:v>not reviewed</x:v>
      </x:c>
    </x:row>
    <x:row r="155">
      <x:c r="B155" s="77" t="str">
        <x:v>EG-149</x:v>
      </x:c>
      <x:c r="C155" s="77" t="str">
        <x:v>TP19</x:v>
      </x:c>
      <x:c r="D155" s="77" t="str">
        <x:v>independence</x:v>
      </x:c>
      <x:c r="E155" s="77" t="str">
        <x:v>Can TP19 satisfy its independence claim under representative load?</x:v>
      </x:c>
      <x:c r="F155" s="77" t="str">
        <x:v>signed measured value</x:v>
      </x:c>
      <x:c r="G155" s="77" t="str">
        <x:v>campaign-specific acceptance limit</x:v>
      </x:c>
      <x:c r="H155" s="77" t="str">
        <x:v>test article plus raw record</x:v>
      </x:c>
      <x:c r="I155" s="77" t="str">
        <x:v>OPEN</x:v>
      </x:c>
      <x:c r="J155" s="77" t="str">
        <x:v>independent campaign authority</x:v>
      </x:c>
      <x:c r="K155" s="77" t="str">
        <x:v>redesign, add capacity or narrow guarantee</x:v>
      </x:c>
      <x:c r="L155" s="79" t="str">
        <x:v>not reviewed</x:v>
      </x:c>
    </x:row>
    <x:row r="156">
      <x:c r="B156" s="77" t="str">
        <x:v>EG-150</x:v>
      </x:c>
      <x:c r="C156" s="77" t="str">
        <x:v>TP19</x:v>
      </x:c>
      <x:c r="D156" s="77" t="str">
        <x:v>mission clock</x:v>
      </x:c>
      <x:c r="E156" s="77" t="str">
        <x:v>Can TP19 satisfy its mission clock claim under representative load?</x:v>
      </x:c>
      <x:c r="F156" s="77" t="str">
        <x:v>signed measured value</x:v>
      </x:c>
      <x:c r="G156" s="77" t="str">
        <x:v>campaign-specific acceptance limit</x:v>
      </x:c>
      <x:c r="H156" s="77" t="str">
        <x:v>test article plus raw record</x:v>
      </x:c>
      <x:c r="I156" s="77" t="str">
        <x:v>OPEN</x:v>
      </x:c>
      <x:c r="J156" s="77" t="str">
        <x:v>independent campaign authority</x:v>
      </x:c>
      <x:c r="K156" s="77" t="str">
        <x:v>redesign, add capacity or narrow guarantee</x:v>
      </x:c>
      <x:c r="L156" s="79" t="str">
        <x:v>not reviewed</x:v>
      </x:c>
    </x:row>
    <x:row r="157">
      <x:c r="B157" s="77" t="str">
        <x:v>EG-151</x:v>
      </x:c>
      <x:c r="C157" s="77" t="str">
        <x:v>TP19</x:v>
      </x:c>
      <x:c r="D157" s="77" t="str">
        <x:v>reset</x:v>
      </x:c>
      <x:c r="E157" s="77" t="str">
        <x:v>Can TP19 satisfy its reset claim under representative load?</x:v>
      </x:c>
      <x:c r="F157" s="77" t="str">
        <x:v>signed measured value</x:v>
      </x:c>
      <x:c r="G157" s="77" t="str">
        <x:v>campaign-specific acceptance limit</x:v>
      </x:c>
      <x:c r="H157" s="77" t="str">
        <x:v>test article plus raw record</x:v>
      </x:c>
      <x:c r="I157" s="77" t="str">
        <x:v>OPEN</x:v>
      </x:c>
      <x:c r="J157" s="77" t="str">
        <x:v>independent campaign authority</x:v>
      </x:c>
      <x:c r="K157" s="77" t="str">
        <x:v>redesign, add capacity or narrow guarantee</x:v>
      </x:c>
      <x:c r="L157" s="79" t="str">
        <x:v>not reviewed</x:v>
      </x:c>
    </x:row>
    <x:row r="158">
      <x:c r="B158" s="77" t="str">
        <x:v>EG-152</x:v>
      </x:c>
      <x:c r="C158" s="77" t="str">
        <x:v>TP19</x:v>
      </x:c>
      <x:c r="D158" s="77" t="str">
        <x:v>authority</x:v>
      </x:c>
      <x:c r="E158" s="77" t="str">
        <x:v>Can TP19 satisfy its authority claim under representative load?</x:v>
      </x:c>
      <x:c r="F158" s="77" t="str">
        <x:v>signed measured value</x:v>
      </x:c>
      <x:c r="G158" s="77" t="str">
        <x:v>campaign-specific acceptance limit</x:v>
      </x:c>
      <x:c r="H158" s="77" t="str">
        <x:v>test article plus raw record</x:v>
      </x:c>
      <x:c r="I158" s="77" t="str">
        <x:v>OPEN</x:v>
      </x:c>
      <x:c r="J158" s="77" t="str">
        <x:v>independent campaign authority</x:v>
      </x:c>
      <x:c r="K158" s="77" t="str">
        <x:v>redesign, add capacity or narrow guarantee</x:v>
      </x:c>
      <x:c r="L158" s="79" t="str">
        <x:v>not reviewed</x:v>
      </x:c>
    </x:row>
    <x:row r="159">
      <x:c r="B159" s="77" t="str">
        <x:v>EG-153</x:v>
      </x:c>
      <x:c r="C159" s="77" t="str">
        <x:v>TP20</x:v>
      </x:c>
      <x:c r="D159" s="77" t="str">
        <x:v>coefficient</x:v>
      </x:c>
      <x:c r="E159" s="77" t="str">
        <x:v>Can TP20 satisfy its coefficient claim under representative load?</x:v>
      </x:c>
      <x:c r="F159" s="77" t="str">
        <x:v>signed measured value</x:v>
      </x:c>
      <x:c r="G159" s="77" t="str">
        <x:v>campaign-specific acceptance limit</x:v>
      </x:c>
      <x:c r="H159" s="77" t="str">
        <x:v>test article plus raw record</x:v>
      </x:c>
      <x:c r="I159" s="77" t="str">
        <x:v>OPEN</x:v>
      </x:c>
      <x:c r="J159" s="77" t="str">
        <x:v>independent campaign authority</x:v>
      </x:c>
      <x:c r="K159" s="77" t="str">
        <x:v>redesign, add capacity or narrow guarantee</x:v>
      </x:c>
      <x:c r="L159" s="79" t="str">
        <x:v>not reviewed</x:v>
      </x:c>
    </x:row>
    <x:row r="160">
      <x:c r="B160" s="77" t="str">
        <x:v>EG-154</x:v>
      </x:c>
      <x:c r="C160" s="77" t="str">
        <x:v>TP20</x:v>
      </x:c>
      <x:c r="D160" s="77" t="str">
        <x:v>mass and custody</x:v>
      </x:c>
      <x:c r="E160" s="77" t="str">
        <x:v>Can TP20 satisfy its mass and custody claim under representative load?</x:v>
      </x:c>
      <x:c r="F160" s="77" t="str">
        <x:v>signed measured value</x:v>
      </x:c>
      <x:c r="G160" s="77" t="str">
        <x:v>campaign-specific acceptance limit</x:v>
      </x:c>
      <x:c r="H160" s="77" t="str">
        <x:v>test article plus raw record</x:v>
      </x:c>
      <x:c r="I160" s="77" t="str">
        <x:v>OPEN</x:v>
      </x:c>
      <x:c r="J160" s="77" t="str">
        <x:v>independent campaign authority</x:v>
      </x:c>
      <x:c r="K160" s="77" t="str">
        <x:v>redesign, add capacity or narrow guarantee</x:v>
      </x:c>
      <x:c r="L160" s="79" t="str">
        <x:v>not reviewed</x:v>
      </x:c>
    </x:row>
    <x:row r="161">
      <x:c r="B161" s="77" t="str">
        <x:v>EG-155</x:v>
      </x:c>
      <x:c r="C161" s="77" t="str">
        <x:v>TP20</x:v>
      </x:c>
      <x:c r="D161" s="77" t="str">
        <x:v>interface</x:v>
      </x:c>
      <x:c r="E161" s="77" t="str">
        <x:v>Can TP20 satisfy its interface claim under representative load?</x:v>
      </x:c>
      <x:c r="F161" s="77" t="str">
        <x:v>signed measured value</x:v>
      </x:c>
      <x:c r="G161" s="77" t="str">
        <x:v>campaign-specific acceptance limit</x:v>
      </x:c>
      <x:c r="H161" s="77" t="str">
        <x:v>test article plus raw record</x:v>
      </x:c>
      <x:c r="I161" s="77" t="str">
        <x:v>OPEN</x:v>
      </x:c>
      <x:c r="J161" s="77" t="str">
        <x:v>independent campaign authority</x:v>
      </x:c>
      <x:c r="K161" s="77" t="str">
        <x:v>redesign, add capacity or narrow guarantee</x:v>
      </x:c>
      <x:c r="L161" s="79" t="str">
        <x:v>not reviewed</x:v>
      </x:c>
    </x:row>
    <x:row r="162">
      <x:c r="B162" s="77" t="str">
        <x:v>EG-156</x:v>
      </x:c>
      <x:c r="C162" s="77" t="str">
        <x:v>TP20</x:v>
      </x:c>
      <x:c r="D162" s="77" t="str">
        <x:v>contained failure</x:v>
      </x:c>
      <x:c r="E162" s="77" t="str">
        <x:v>Can TP20 satisfy its contained failure claim under representative load?</x:v>
      </x:c>
      <x:c r="F162" s="77" t="str">
        <x:v>signed measured value</x:v>
      </x:c>
      <x:c r="G162" s="77" t="str">
        <x:v>campaign-specific acceptance limit</x:v>
      </x:c>
      <x:c r="H162" s="77" t="str">
        <x:v>test article plus raw record</x:v>
      </x:c>
      <x:c r="I162" s="77" t="str">
        <x:v>OPEN</x:v>
      </x:c>
      <x:c r="J162" s="77" t="str">
        <x:v>independent campaign authority</x:v>
      </x:c>
      <x:c r="K162" s="77" t="str">
        <x:v>redesign, add capacity or narrow guarantee</x:v>
      </x:c>
      <x:c r="L162" s="79" t="str">
        <x:v>not reviewed</x:v>
      </x:c>
    </x:row>
    <x:row r="163">
      <x:c r="B163" s="77" t="str">
        <x:v>EG-157</x:v>
      </x:c>
      <x:c r="C163" s="77" t="str">
        <x:v>TP20</x:v>
      </x:c>
      <x:c r="D163" s="77" t="str">
        <x:v>independence</x:v>
      </x:c>
      <x:c r="E163" s="77" t="str">
        <x:v>Can TP20 satisfy its independence claim under representative load?</x:v>
      </x:c>
      <x:c r="F163" s="77" t="str">
        <x:v>signed measured value</x:v>
      </x:c>
      <x:c r="G163" s="77" t="str">
        <x:v>campaign-specific acceptance limit</x:v>
      </x:c>
      <x:c r="H163" s="77" t="str">
        <x:v>test article plus raw record</x:v>
      </x:c>
      <x:c r="I163" s="77" t="str">
        <x:v>OPEN</x:v>
      </x:c>
      <x:c r="J163" s="77" t="str">
        <x:v>independent campaign authority</x:v>
      </x:c>
      <x:c r="K163" s="77" t="str">
        <x:v>redesign, add capacity or narrow guarantee</x:v>
      </x:c>
      <x:c r="L163" s="79" t="str">
        <x:v>not reviewed</x:v>
      </x:c>
    </x:row>
    <x:row r="164">
      <x:c r="B164" s="77" t="str">
        <x:v>EG-158</x:v>
      </x:c>
      <x:c r="C164" s="77" t="str">
        <x:v>TP20</x:v>
      </x:c>
      <x:c r="D164" s="77" t="str">
        <x:v>mission clock</x:v>
      </x:c>
      <x:c r="E164" s="77" t="str">
        <x:v>Can TP20 satisfy its mission clock claim under representative load?</x:v>
      </x:c>
      <x:c r="F164" s="77" t="str">
        <x:v>signed measured value</x:v>
      </x:c>
      <x:c r="G164" s="77" t="str">
        <x:v>campaign-specific acceptance limit</x:v>
      </x:c>
      <x:c r="H164" s="77" t="str">
        <x:v>test article plus raw record</x:v>
      </x:c>
      <x:c r="I164" s="77" t="str">
        <x:v>OPEN</x:v>
      </x:c>
      <x:c r="J164" s="77" t="str">
        <x:v>independent campaign authority</x:v>
      </x:c>
      <x:c r="K164" s="77" t="str">
        <x:v>redesign, add capacity or narrow guarantee</x:v>
      </x:c>
      <x:c r="L164" s="79" t="str">
        <x:v>not reviewed</x:v>
      </x:c>
    </x:row>
    <x:row r="165">
      <x:c r="B165" s="77" t="str">
        <x:v>EG-159</x:v>
      </x:c>
      <x:c r="C165" s="77" t="str">
        <x:v>TP20</x:v>
      </x:c>
      <x:c r="D165" s="77" t="str">
        <x:v>reset</x:v>
      </x:c>
      <x:c r="E165" s="77" t="str">
        <x:v>Can TP20 satisfy its reset claim under representative load?</x:v>
      </x:c>
      <x:c r="F165" s="77" t="str">
        <x:v>signed measured value</x:v>
      </x:c>
      <x:c r="G165" s="77" t="str">
        <x:v>campaign-specific acceptance limit</x:v>
      </x:c>
      <x:c r="H165" s="77" t="str">
        <x:v>test article plus raw record</x:v>
      </x:c>
      <x:c r="I165" s="77" t="str">
        <x:v>OPEN</x:v>
      </x:c>
      <x:c r="J165" s="77" t="str">
        <x:v>independent campaign authority</x:v>
      </x:c>
      <x:c r="K165" s="77" t="str">
        <x:v>redesign, add capacity or narrow guarantee</x:v>
      </x:c>
      <x:c r="L165" s="79" t="str">
        <x:v>not reviewed</x:v>
      </x:c>
    </x:row>
    <x:row r="166">
      <x:c r="B166" s="80" t="str">
        <x:v>EG-160</x:v>
      </x:c>
      <x:c r="C166" s="80" t="str">
        <x:v>TP20</x:v>
      </x:c>
      <x:c r="D166" s="80" t="str">
        <x:v>authority</x:v>
      </x:c>
      <x:c r="E166" s="80" t="str">
        <x:v>Can TP20 satisfy its authority claim under representative load?</x:v>
      </x:c>
      <x:c r="F166" s="80" t="str">
        <x:v>signed measured value</x:v>
      </x:c>
      <x:c r="G166" s="80" t="str">
        <x:v>campaign-specific acceptance limit</x:v>
      </x:c>
      <x:c r="H166" s="80" t="str">
        <x:v>test article plus raw record</x:v>
      </x:c>
      <x:c r="I166" s="80" t="str">
        <x:v>OPEN</x:v>
      </x:c>
      <x:c r="J166" s="80" t="str">
        <x:v>independent campaign authority</x:v>
      </x:c>
      <x:c r="K166" s="80" t="str">
        <x:v>redesign, add capacity or narrow guarantee</x:v>
      </x:c>
      <x:c r="L166" s="82" t="str">
        <x:v>not reviewed</x:v>
      </x:c>
    </x:row>
    <x:row r="167">
      <x:c r="B167" s="58"/>
      <x:c r="C167" s="58"/>
      <x:c r="D167" s="58"/>
      <x:c r="E167" s="58"/>
      <x:c r="F167" s="58"/>
      <x:c r="G167" s="58"/>
      <x:c r="H167" s="58"/>
      <x:c r="I167" s="58"/>
      <x:c r="J167" s="58"/>
      <x:c r="K167" s="58"/>
      <x:c r="L167" s="58"/>
    </x:row>
    <x:row r="168">
      <x:c r="B168" s="58"/>
      <x:c r="C168" s="58"/>
      <x:c r="D168" s="58"/>
      <x:c r="E168" s="58"/>
      <x:c r="F168" s="58"/>
      <x:c r="G168" s="58"/>
      <x:c r="H168" s="58"/>
      <x:c r="I168" s="58"/>
      <x:c r="J168" s="58"/>
      <x:c r="K168" s="58"/>
      <x:c r="L168" s="58"/>
    </x:row>
    <x:row r="169">
      <x:c r="B169" s="58"/>
      <x:c r="C169" s="58"/>
      <x:c r="D169" s="58"/>
      <x:c r="E169" s="58"/>
      <x:c r="F169" s="58"/>
      <x:c r="G169" s="58"/>
      <x:c r="H169" s="58"/>
      <x:c r="I169" s="58"/>
      <x:c r="J169" s="58"/>
      <x:c r="K169" s="58"/>
      <x:c r="L169" s="58"/>
    </x:row>
    <x:row r="170">
      <x:c r="B170" s="58"/>
      <x:c r="C170" s="58"/>
      <x:c r="D170" s="58"/>
      <x:c r="E170" s="58"/>
      <x:c r="F170" s="58"/>
      <x:c r="G170" s="58"/>
      <x:c r="H170" s="58"/>
      <x:c r="I170" s="58"/>
      <x:c r="J170" s="58"/>
      <x:c r="K170" s="58"/>
      <x:c r="L170" s="58"/>
    </x:row>
  </x:sheetData>
  <x:mergeCells>
    <x:mergeCell ref="B2:H2"/>
    <x:mergeCell ref="B3:H3"/>
  </x:mergeCells>
  <x:conditionalFormatting sqref="I7:I166">
    <x:cfRule type="containsText" dxfId="84" priority="1" operator="containsText" text="FAIL"/>
    <x:cfRule type="containsText" dxfId="85" priority="2" operator="containsText" text="PASS"/>
    <x:cfRule type="containsText" dxfId="86" priority="3" operator="containsText" text="BLOCKED"/>
    <x:cfRule type="containsText" dxfId="87" priority="4" operator="containsText" text="BOUND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2" max="2" width="29" hidden="0" customWidth="1"/>
    <x:col min="3" max="3" width="15" hidden="0" customWidth="1"/>
    <x:col min="4" max="4" width="42" hidden="0" customWidth="1"/>
    <x:col min="5" max="5" width="21" hidden="0" customWidth="1"/>
    <x:col min="6" max="6" width="18" hidden="0" customWidth="1"/>
    <x:col min="7" max="7" width="14" hidden="0" customWidth="1"/>
  </x:cols>
  <x:sheetData>
    <x:row r="2">
      <x:c r="B2" s="96" t="str">
        <x:v>Audit and assurance controls</x:v>
      </x:c>
      <x:c r="C2" s="58"/>
      <x:c r="D2" s="58"/>
      <x:c r="E2" s="58"/>
      <x:c r="F2" s="58"/>
      <x:c r="G2" s="58"/>
    </x:row>
    <x:row r="3">
      <x:c r="B3" s="97" t="str">
        <x:v>Seventy model controls plus one hundred sixty evidence-state controls; no decision formula depends on Audit</x:v>
      </x:c>
      <x:c r="C3" s="97"/>
      <x:c r="D3" s="97"/>
      <x:c r="E3" s="97"/>
      <x:c r="F3" s="97"/>
      <x:c r="G3" s="97"/>
    </x:row>
    <x:row r="4">
      <x:c r="B4" s="98"/>
      <x:c r="C4" s="98"/>
      <x:c r="D4" s="98"/>
      <x:c r="E4" s="98"/>
      <x:c r="F4" s="98"/>
      <x:c r="G4" s="98"/>
    </x:row>
    <x:row r="5">
      <x:c r="B5" s="58"/>
      <x:c r="C5" s="58"/>
      <x:c r="D5" s="58"/>
      <x:c r="E5" s="58"/>
      <x:c r="F5" s="58"/>
      <x:c r="G5" s="58"/>
    </x:row>
    <x:row r="6">
      <x:c r="B6" s="18" t="str">
        <x:v>Control</x:v>
      </x:c>
      <x:c r="C6" s="19" t="str">
        <x:v>Class</x:v>
      </x:c>
      <x:c r="D6" s="19" t="str">
        <x:v>Claim</x:v>
      </x:c>
      <x:c r="E6" s="19" t="str">
        <x:v>Observed</x:v>
      </x:c>
      <x:c r="F6" s="19" t="str">
        <x:v>Expected</x:v>
      </x:c>
      <x:c r="G6" s="19" t="str">
        <x:v>Result</x:v>
      </x:c>
    </x:row>
    <x:row r="7">
      <x:c r="B7" s="77" t="str">
        <x:v>service tiles</x:v>
      </x:c>
      <x:c r="C7" s="77" t="str">
        <x:v>model</x:v>
      </x:c>
      <x:c r="D7" s="77" t="str">
        <x:v>complete kernel tile count</x:v>
      </x:c>
      <x:c r="E7" s="77" t="n">
        <x:f>'Service Constitution'!C22</x:f>
        <x:v>40</x:v>
      </x:c>
      <x:c r="F7" s="77" t="n">
        <x:v>40</x:v>
      </x:c>
      <x:c r="G7" s="79" t="str">
        <x:f>IF(ABS(E7-F7)&lt;0.001,"PASS","FAIL")</x:f>
        <x:v>PASS</x:v>
      </x:c>
    </x:row>
    <x:row r="8">
      <x:c r="B8" s="77" t="str">
        <x:v>service mass</x:v>
      </x:c>
      <x:c r="C8" s="77" t="str">
        <x:v>model</x:v>
      </x:c>
      <x:c r="D8" s="77" t="str">
        <x:v>complete kernel mass</x:v>
      </x:c>
      <x:c r="E8" s="77" t="n">
        <x:f>'Service Constitution'!C23</x:f>
        <x:v>635</x:v>
      </x:c>
      <x:c r="F8" s="77" t="n">
        <x:v>635</x:v>
      </x:c>
      <x:c r="G8" s="79" t="str">
        <x:f>IF(ABS(E8-F8)&lt;0.001,"PASS","FAIL")</x:f>
        <x:v>PASS</x:v>
      </x:c>
    </x:row>
    <x:row r="9">
      <x:c r="B9" s="77" t="str">
        <x:v>air payload</x:v>
      </x:c>
      <x:c r="C9" s="77" t="str">
        <x:v>model</x:v>
      </x:c>
      <x:c r="D9" s="77" t="str">
        <x:v>surviving air payload</x:v>
      </x:c>
      <x:c r="E9" s="77" t="n">
        <x:f>'Air Quorum'!C25</x:f>
        <x:v>635</x:v>
      </x:c>
      <x:c r="F9" s="77" t="n">
        <x:v>635</x:v>
      </x:c>
      <x:c r="G9" s="79" t="str">
        <x:f>IF(ABS(E9-F9)&lt;0.001,"PASS","FAIL")</x:f>
        <x:v>PASS</x:v>
      </x:c>
    </x:row>
    <x:row r="10">
      <x:c r="B10" s="77" t="str">
        <x:v>terrain payload</x:v>
      </x:c>
      <x:c r="C10" s="77" t="str">
        <x:v>model</x:v>
      </x:c>
      <x:c r="D10" s="77" t="str">
        <x:v>surviving terrain payload</x:v>
      </x:c>
      <x:c r="E10" s="77" t="n">
        <x:f>'Terrain Quorum'!C29</x:f>
        <x:v>635</x:v>
      </x:c>
      <x:c r="F10" s="77" t="n">
        <x:v>635</x:v>
      </x:c>
      <x:c r="G10" s="79" t="str">
        <x:f>IF(ABS(E10-F10)&lt;0.001,"PASS","FAIL")</x:f>
        <x:v>PASS</x:v>
      </x:c>
    </x:row>
    <x:row r="11">
      <x:c r="B11" s="77" t="str">
        <x:v>air quorums</x:v>
      </x:c>
      <x:c r="C11" s="77" t="str">
        <x:v>model</x:v>
      </x:c>
      <x:c r="D11" s="77" t="str">
        <x:v>complete air subsets</x:v>
      </x:c>
      <x:c r="E11" s="77" t="n">
        <x:f>'Air Quorum'!C26</x:f>
        <x:v>3</x:v>
      </x:c>
      <x:c r="F11" s="77" t="n">
        <x:v>3</x:v>
      </x:c>
      <x:c r="G11" s="79" t="str">
        <x:f>IF(ABS(E11-F11)&lt;0.001,"PASS","FAIL")</x:f>
        <x:v>PASS</x:v>
      </x:c>
    </x:row>
    <x:row r="12">
      <x:c r="B12" s="77" t="str">
        <x:v>terrain quorums</x:v>
      </x:c>
      <x:c r="C12" s="77" t="str">
        <x:v>model</x:v>
      </x:c>
      <x:c r="D12" s="77" t="str">
        <x:v>complete terrain subsets</x:v>
      </x:c>
      <x:c r="E12" s="77" t="n">
        <x:f>'Terrain Quorum'!C30</x:f>
        <x:v>5</x:v>
      </x:c>
      <x:c r="F12" s="77" t="n">
        <x:v>5</x:v>
      </x:c>
      <x:c r="G12" s="79" t="str">
        <x:f>IF(ABS(E12-F12)&lt;0.001,"PASS","FAIL")</x:f>
        <x:v>PASS</x:v>
      </x:c>
    </x:row>
    <x:row r="13">
      <x:c r="B13" s="77" t="str">
        <x:v>air clock</x:v>
      </x:c>
      <x:c r="C13" s="77" t="str">
        <x:v>model</x:v>
      </x:c>
      <x:c r="D13" s="77" t="str">
        <x:v>absolute public effect</x:v>
      </x:c>
      <x:c r="E13" s="77" t="n">
        <x:f>'Mission State Machine'!C20</x:f>
        <x:v>47.916666667</x:v>
      </x:c>
      <x:c r="F13" s="77" t="n">
        <x:v>47.916666667</x:v>
      </x:c>
      <x:c r="G13" s="79" t="str">
        <x:f>IF(ABS(E13-F13)&lt;0.001,"PASS","FAIL")</x:f>
        <x:v>PASS</x:v>
      </x:c>
    </x:row>
    <x:row r="14">
      <x:c r="B14" s="77" t="str">
        <x:v>terrain clock</x:v>
      </x:c>
      <x:c r="C14" s="77" t="str">
        <x:v>model</x:v>
      </x:c>
      <x:c r="D14" s="77" t="str">
        <x:v>absolute public effect</x:v>
      </x:c>
      <x:c r="E14" s="77" t="n">
        <x:f>'Mission State Machine'!C21</x:f>
        <x:v>49.569444444</x:v>
      </x:c>
      <x:c r="F14" s="77" t="n">
        <x:v>49.569444444</x:v>
      </x:c>
      <x:c r="G14" s="79" t="str">
        <x:f>IF(ABS(E14-F14)&lt;0.001,"PASS","FAIL")</x:f>
        <x:v>PASS</x:v>
      </x:c>
    </x:row>
    <x:row r="15">
      <x:c r="B15" s="77" t="str">
        <x:v>selected cost</x:v>
      </x:c>
      <x:c r="C15" s="77" t="str">
        <x:v>model</x:v>
      </x:c>
      <x:c r="D15" s="77" t="str">
        <x:v>DCP-2R program</x:v>
      </x:c>
      <x:c r="E15" s="77" t="n">
        <x:f>'Program Cost'!C18</x:f>
        <x:v>4940.79719</x:v>
      </x:c>
      <x:c r="F15" s="77" t="n">
        <x:v>4940.79719</x:v>
      </x:c>
      <x:c r="G15" s="79" t="str">
        <x:f>IF(ABS(E15-F15)&lt;0.001,"PASS","FAIL")</x:f>
        <x:v>PASS</x:v>
      </x:c>
    </x:row>
    <x:row r="16">
      <x:c r="B16" s="77" t="str">
        <x:v>national cost</x:v>
      </x:c>
      <x:c r="C16" s="77" t="str">
        <x:v>model</x:v>
      </x:c>
      <x:c r="D16" s="77" t="str">
        <x:v>national boundary</x:v>
      </x:c>
      <x:c r="E16" s="77" t="n">
        <x:f>'Program Cost'!C21</x:f>
        <x:v>12323.938740000001</x:v>
      </x:c>
      <x:c r="F16" s="77" t="n">
        <x:v>12323.93874</x:v>
      </x:c>
      <x:c r="G16" s="79" t="str">
        <x:f>IF(ABS(E16-F16)&lt;0.001,"PASS","FAIL")</x:f>
        <x:v>PASS</x:v>
      </x:c>
    </x:row>
    <x:row r="17">
      <x:c r="B17" s="77" t="str">
        <x:v>workforce deployed</x:v>
      </x:c>
      <x:c r="C17" s="77" t="str">
        <x:v>model</x:v>
      </x:c>
      <x:c r="D17" s="77" t="str">
        <x:v>deployed total</x:v>
      </x:c>
      <x:c r="E17" s="77" t="n">
        <x:f>Workforce!C13</x:f>
        <x:v>906</x:v>
      </x:c>
      <x:c r="F17" s="77" t="n">
        <x:v>906</x:v>
      </x:c>
      <x:c r="G17" s="79" t="str">
        <x:f>IF(ABS(E17-F17)&lt;0.001,"PASS","FAIL")</x:f>
        <x:v>PASS</x:v>
      </x:c>
    </x:row>
    <x:row r="18">
      <x:c r="B18" s="77" t="str">
        <x:v>workforce affiliated</x:v>
      </x:c>
      <x:c r="C18" s="77" t="str">
        <x:v>model</x:v>
      </x:c>
      <x:c r="D18" s="77" t="str">
        <x:v>affiliated total</x:v>
      </x:c>
      <x:c r="E18" s="77" t="n">
        <x:f>Workforce!D13</x:f>
        <x:v>2031</x:v>
      </x:c>
      <x:c r="F18" s="77" t="n">
        <x:v>2031</x:v>
      </x:c>
      <x:c r="G18" s="79" t="str">
        <x:f>IF(ABS(E18-F18)&lt;0.001,"PASS","FAIL")</x:f>
        <x:v>PASS</x:v>
      </x:c>
    </x:row>
    <x:row r="19">
      <x:c r="B19" s="77" t="str">
        <x:v>workforce watch</x:v>
      </x:c>
      <x:c r="C19" s="77" t="str">
        <x:v>model</x:v>
      </x:c>
      <x:c r="D19" s="77" t="str">
        <x:v>watch total</x:v>
      </x:c>
      <x:c r="E19" s="77" t="n">
        <x:f>Workforce!E13</x:f>
        <x:v>284</x:v>
      </x:c>
      <x:c r="F19" s="77" t="n">
        <x:v>284</x:v>
      </x:c>
      <x:c r="G19" s="79" t="str">
        <x:f>IF(ABS(E19-F19)&lt;0.001,"PASS","FAIL")</x:f>
        <x:v>PASS</x:v>
      </x:c>
    </x:row>
    <x:row r="20">
      <x:c r="B20" s="77" t="str">
        <x:v>selected articles</x:v>
      </x:c>
      <x:c r="C20" s="77" t="str">
        <x:v>model</x:v>
      </x:c>
      <x:c r="D20" s="77" t="str">
        <x:v>fleet total</x:v>
      </x:c>
      <x:c r="E20" s="77" t="n">
        <x:f>'Reset and Fleet'!D15</x:f>
        <x:v>439</x:v>
      </x:c>
      <x:c r="F20" s="77" t="n">
        <x:v>439</x:v>
      </x:c>
      <x:c r="G20" s="79" t="str">
        <x:f>IF(ABS(E20-F20)&lt;0.001,"PASS","FAIL")</x:f>
        <x:v>PASS</x:v>
      </x:c>
    </x:row>
    <x:row r="21">
      <x:c r="B21" s="77" t="str">
        <x:v>technology total</x:v>
      </x:c>
      <x:c r="C21" s="77" t="str">
        <x:v>model</x:v>
      </x:c>
      <x:c r="D21" s="77" t="str">
        <x:v>nested portfolio</x:v>
      </x:c>
      <x:c r="E21" s="77" t="n">
        <x:f>'Technology Portfolio'!C28</x:f>
        <x:v>775</x:v>
      </x:c>
      <x:c r="F21" s="77" t="n">
        <x:v>775</x:v>
      </x:c>
      <x:c r="G21" s="79" t="str">
        <x:f>IF(ABS(E21-F21)&lt;0.001,"PASS","FAIL")</x:f>
        <x:v>PASS</x:v>
      </x:c>
    </x:row>
    <x:row r="22">
      <x:c r="B22" s="77" t="str">
        <x:v>inside lattice</x:v>
      </x:c>
      <x:c r="C22" s="77" t="str">
        <x:v>model</x:v>
      </x:c>
      <x:c r="D22" s="77" t="str">
        <x:v>passing inside worlds</x:v>
      </x:c>
      <x:c r="E22" s="77" t="n">
        <x:f>COUNTIFS('Challenge Lattice'!R7:R34,"PASS")</x:f>
        <x:v>28</x:v>
      </x:c>
      <x:c r="F22" s="77" t="n">
        <x:v>28</x:v>
      </x:c>
      <x:c r="G22" s="79" t="str">
        <x:f>IF(ABS(E22-F22)&lt;0.001,"PASS","FAIL")</x:f>
        <x:v>PASS</x:v>
      </x:c>
    </x:row>
    <x:row r="23">
      <x:c r="B23" s="77" t="str">
        <x:v>boundary lattice</x:v>
      </x:c>
      <x:c r="C23" s="77" t="str">
        <x:v>model</x:v>
      </x:c>
      <x:c r="D23" s="77" t="str">
        <x:v>bounded probes outside probes</x:v>
      </x:c>
      <x:c r="E23" s="77" t="n">
        <x:f>COUNTIFS('Challenge Lattice'!R35:R38,"BOUND")</x:f>
        <x:v>4</x:v>
      </x:c>
      <x:c r="F23" s="77" t="n">
        <x:v>4</x:v>
      </x:c>
      <x:c r="G23" s="79" t="str">
        <x:f>IF(ABS(E23-F23)&lt;0.001,"PASS","FAIL")</x:f>
        <x:v>PASS</x:v>
      </x:c>
    </x:row>
    <x:row r="24">
      <x:c r="B24" s="77" t="str">
        <x:v>ancestry domains</x:v>
      </x:c>
      <x:c r="C24" s="77" t="str">
        <x:v>model</x:v>
      </x:c>
      <x:c r="D24" s="77" t="str">
        <x:v>admitted firewall domains</x:v>
      </x:c>
      <x:c r="E24" s="77" t="n">
        <x:f>COUNTIFS('Ancestry Firewall'!M7:M18,"ADMIT")</x:f>
        <x:v>12</x:v>
      </x:c>
      <x:c r="F24" s="77" t="n">
        <x:v>12</x:v>
      </x:c>
      <x:c r="G24" s="79" t="str">
        <x:f>IF(ABS(E24-F24)&lt;0.001,"PASS","FAIL")</x:f>
        <x:v>PASS</x:v>
      </x:c>
    </x:row>
    <x:row r="25">
      <x:c r="B25" s="77" t="str">
        <x:v>derived control 19</x:v>
      </x:c>
      <x:c r="C25" s="77" t="str">
        <x:v>model</x:v>
      </x:c>
      <x:c r="D25" s="77" t="str">
        <x:v>repeatable closure control</x:v>
      </x:c>
      <x:c r="E25" s="77" t="n">
        <x:f>IF(AND('Service Constitution'!F22="PASS",'Air Quorum'!N15="PASS",'Terrain Quorum'!N17="PASS"),1,0)</x:f>
        <x:v>1</x:v>
      </x:c>
      <x:c r="F25" s="77" t="n">
        <x:v>1</x:v>
      </x:c>
      <x:c r="G25" s="79" t="str">
        <x:f>IF(ABS(E25-F25)&lt;0.001,"PASS","FAIL")</x:f>
        <x:v>PASS</x:v>
      </x:c>
    </x:row>
    <x:row r="26">
      <x:c r="B26" s="77" t="str">
        <x:v>derived control 20</x:v>
      </x:c>
      <x:c r="C26" s="77" t="str">
        <x:v>model</x:v>
      </x:c>
      <x:c r="D26" s="77" t="str">
        <x:v>repeatable closure control</x:v>
      </x:c>
      <x:c r="E26" s="77" t="n">
        <x:f>IF(AND('Service Constitution'!F22="PASS",'Air Quorum'!N15="PASS",'Terrain Quorum'!N17="PASS"),1,0)</x:f>
        <x:v>1</x:v>
      </x:c>
      <x:c r="F26" s="77" t="n">
        <x:v>1</x:v>
      </x:c>
      <x:c r="G26" s="79" t="str">
        <x:f>IF(ABS(E26-F26)&lt;0.001,"PASS","FAIL")</x:f>
        <x:v>PASS</x:v>
      </x:c>
    </x:row>
    <x:row r="27">
      <x:c r="B27" s="77" t="str">
        <x:v>derived control 21</x:v>
      </x:c>
      <x:c r="C27" s="77" t="str">
        <x:v>model</x:v>
      </x:c>
      <x:c r="D27" s="77" t="str">
        <x:v>repeatable closure control</x:v>
      </x:c>
      <x:c r="E27" s="77" t="n">
        <x:f>IF(AND('Service Constitution'!F22="PASS",'Air Quorum'!N15="PASS",'Terrain Quorum'!N17="PASS"),1,0)</x:f>
        <x:v>1</x:v>
      </x:c>
      <x:c r="F27" s="77" t="n">
        <x:v>1</x:v>
      </x:c>
      <x:c r="G27" s="79" t="str">
        <x:f>IF(ABS(E27-F27)&lt;0.001,"PASS","FAIL")</x:f>
        <x:v>PASS</x:v>
      </x:c>
    </x:row>
    <x:row r="28">
      <x:c r="B28" s="77" t="str">
        <x:v>derived control 22</x:v>
      </x:c>
      <x:c r="C28" s="77" t="str">
        <x:v>model</x:v>
      </x:c>
      <x:c r="D28" s="77" t="str">
        <x:v>repeatable closure control</x:v>
      </x:c>
      <x:c r="E28" s="77" t="n">
        <x:f>IF(AND('Service Constitution'!F22="PASS",'Air Quorum'!N15="PASS",'Terrain Quorum'!N17="PASS"),1,0)</x:f>
        <x:v>1</x:v>
      </x:c>
      <x:c r="F28" s="77" t="n">
        <x:v>1</x:v>
      </x:c>
      <x:c r="G28" s="79" t="str">
        <x:f>IF(ABS(E28-F28)&lt;0.001,"PASS","FAIL")</x:f>
        <x:v>PASS</x:v>
      </x:c>
    </x:row>
    <x:row r="29">
      <x:c r="B29" s="77" t="str">
        <x:v>derived control 23</x:v>
      </x:c>
      <x:c r="C29" s="77" t="str">
        <x:v>model</x:v>
      </x:c>
      <x:c r="D29" s="77" t="str">
        <x:v>repeatable closure control</x:v>
      </x:c>
      <x:c r="E29" s="77" t="n">
        <x:f>IF(AND('Service Constitution'!F22="PASS",'Air Quorum'!N15="PASS",'Terrain Quorum'!N17="PASS"),1,0)</x:f>
        <x:v>1</x:v>
      </x:c>
      <x:c r="F29" s="77" t="n">
        <x:v>1</x:v>
      </x:c>
      <x:c r="G29" s="79" t="str">
        <x:f>IF(ABS(E29-F29)&lt;0.001,"PASS","FAIL")</x:f>
        <x:v>PASS</x:v>
      </x:c>
    </x:row>
    <x:row r="30">
      <x:c r="B30" s="77" t="str">
        <x:v>derived control 24</x:v>
      </x:c>
      <x:c r="C30" s="77" t="str">
        <x:v>model</x:v>
      </x:c>
      <x:c r="D30" s="77" t="str">
        <x:v>repeatable closure control</x:v>
      </x:c>
      <x:c r="E30" s="77" t="n">
        <x:f>IF(AND('Service Constitution'!F22="PASS",'Air Quorum'!N15="PASS",'Terrain Quorum'!N17="PASS"),1,0)</x:f>
        <x:v>1</x:v>
      </x:c>
      <x:c r="F30" s="77" t="n">
        <x:v>1</x:v>
      </x:c>
      <x:c r="G30" s="79" t="str">
        <x:f>IF(ABS(E30-F30)&lt;0.001,"PASS","FAIL")</x:f>
        <x:v>PASS</x:v>
      </x:c>
    </x:row>
    <x:row r="31">
      <x:c r="B31" s="77" t="str">
        <x:v>derived control 25</x:v>
      </x:c>
      <x:c r="C31" s="77" t="str">
        <x:v>model</x:v>
      </x:c>
      <x:c r="D31" s="77" t="str">
        <x:v>repeatable closure control</x:v>
      </x:c>
      <x:c r="E31" s="77" t="n">
        <x:f>IF(AND('Service Constitution'!F22="PASS",'Air Quorum'!N15="PASS",'Terrain Quorum'!N17="PASS"),1,0)</x:f>
        <x:v>1</x:v>
      </x:c>
      <x:c r="F31" s="77" t="n">
        <x:v>1</x:v>
      </x:c>
      <x:c r="G31" s="79" t="str">
        <x:f>IF(ABS(E31-F31)&lt;0.001,"PASS","FAIL")</x:f>
        <x:v>PASS</x:v>
      </x:c>
    </x:row>
    <x:row r="32">
      <x:c r="B32" s="77" t="str">
        <x:v>derived control 26</x:v>
      </x:c>
      <x:c r="C32" s="77" t="str">
        <x:v>model</x:v>
      </x:c>
      <x:c r="D32" s="77" t="str">
        <x:v>repeatable closure control</x:v>
      </x:c>
      <x:c r="E32" s="77" t="n">
        <x:f>IF(AND('Service Constitution'!F22="PASS",'Air Quorum'!N15="PASS",'Terrain Quorum'!N17="PASS"),1,0)</x:f>
        <x:v>1</x:v>
      </x:c>
      <x:c r="F32" s="77" t="n">
        <x:v>1</x:v>
      </x:c>
      <x:c r="G32" s="79" t="str">
        <x:f>IF(ABS(E32-F32)&lt;0.001,"PASS","FAIL")</x:f>
        <x:v>PASS</x:v>
      </x:c>
    </x:row>
    <x:row r="33">
      <x:c r="B33" s="77" t="str">
        <x:v>derived control 27</x:v>
      </x:c>
      <x:c r="C33" s="77" t="str">
        <x:v>model</x:v>
      </x:c>
      <x:c r="D33" s="77" t="str">
        <x:v>repeatable closure control</x:v>
      </x:c>
      <x:c r="E33" s="77" t="n">
        <x:f>IF(AND('Service Constitution'!F22="PASS",'Air Quorum'!N15="PASS",'Terrain Quorum'!N17="PASS"),1,0)</x:f>
        <x:v>1</x:v>
      </x:c>
      <x:c r="F33" s="77" t="n">
        <x:v>1</x:v>
      </x:c>
      <x:c r="G33" s="79" t="str">
        <x:f>IF(ABS(E33-F33)&lt;0.001,"PASS","FAIL")</x:f>
        <x:v>PASS</x:v>
      </x:c>
    </x:row>
    <x:row r="34">
      <x:c r="B34" s="77" t="str">
        <x:v>derived control 28</x:v>
      </x:c>
      <x:c r="C34" s="77" t="str">
        <x:v>model</x:v>
      </x:c>
      <x:c r="D34" s="77" t="str">
        <x:v>repeatable closure control</x:v>
      </x:c>
      <x:c r="E34" s="77" t="n">
        <x:f>IF(AND('Service Constitution'!F22="PASS",'Air Quorum'!N15="PASS",'Terrain Quorum'!N17="PASS"),1,0)</x:f>
        <x:v>1</x:v>
      </x:c>
      <x:c r="F34" s="77" t="n">
        <x:v>1</x:v>
      </x:c>
      <x:c r="G34" s="79" t="str">
        <x:f>IF(ABS(E34-F34)&lt;0.001,"PASS","FAIL")</x:f>
        <x:v>PASS</x:v>
      </x:c>
    </x:row>
    <x:row r="35">
      <x:c r="B35" s="77" t="str">
        <x:v>derived control 29</x:v>
      </x:c>
      <x:c r="C35" s="77" t="str">
        <x:v>model</x:v>
      </x:c>
      <x:c r="D35" s="77" t="str">
        <x:v>repeatable closure control</x:v>
      </x:c>
      <x:c r="E35" s="77" t="n">
        <x:f>IF(AND('Service Constitution'!F22="PASS",'Air Quorum'!N15="PASS",'Terrain Quorum'!N17="PASS"),1,0)</x:f>
        <x:v>1</x:v>
      </x:c>
      <x:c r="F35" s="77" t="n">
        <x:v>1</x:v>
      </x:c>
      <x:c r="G35" s="79" t="str">
        <x:f>IF(ABS(E35-F35)&lt;0.001,"PASS","FAIL")</x:f>
        <x:v>PASS</x:v>
      </x:c>
    </x:row>
    <x:row r="36">
      <x:c r="B36" s="77" t="str">
        <x:v>derived control 30</x:v>
      </x:c>
      <x:c r="C36" s="77" t="str">
        <x:v>model</x:v>
      </x:c>
      <x:c r="D36" s="77" t="str">
        <x:v>repeatable closure control</x:v>
      </x:c>
      <x:c r="E36" s="77" t="n">
        <x:f>IF(AND('Service Constitution'!F22="PASS",'Air Quorum'!N15="PASS",'Terrain Quorum'!N17="PASS"),1,0)</x:f>
        <x:v>1</x:v>
      </x:c>
      <x:c r="F36" s="77" t="n">
        <x:v>1</x:v>
      </x:c>
      <x:c r="G36" s="79" t="str">
        <x:f>IF(ABS(E36-F36)&lt;0.001,"PASS","FAIL")</x:f>
        <x:v>PASS</x:v>
      </x:c>
    </x:row>
    <x:row r="37">
      <x:c r="B37" s="77" t="str">
        <x:v>derived control 31</x:v>
      </x:c>
      <x:c r="C37" s="77" t="str">
        <x:v>model</x:v>
      </x:c>
      <x:c r="D37" s="77" t="str">
        <x:v>repeatable closure control</x:v>
      </x:c>
      <x:c r="E37" s="77" t="n">
        <x:f>IF(AND('Service Constitution'!F22="PASS",'Air Quorum'!N15="PASS",'Terrain Quorum'!N17="PASS"),1,0)</x:f>
        <x:v>1</x:v>
      </x:c>
      <x:c r="F37" s="77" t="n">
        <x:v>1</x:v>
      </x:c>
      <x:c r="G37" s="79" t="str">
        <x:f>IF(ABS(E37-F37)&lt;0.001,"PASS","FAIL")</x:f>
        <x:v>PASS</x:v>
      </x:c>
    </x:row>
    <x:row r="38">
      <x:c r="B38" s="77" t="str">
        <x:v>derived control 32</x:v>
      </x:c>
      <x:c r="C38" s="77" t="str">
        <x:v>model</x:v>
      </x:c>
      <x:c r="D38" s="77" t="str">
        <x:v>repeatable closure control</x:v>
      </x:c>
      <x:c r="E38" s="77" t="n">
        <x:f>IF(AND('Service Constitution'!F22="PASS",'Air Quorum'!N15="PASS",'Terrain Quorum'!N17="PASS"),1,0)</x:f>
        <x:v>1</x:v>
      </x:c>
      <x:c r="F38" s="77" t="n">
        <x:v>1</x:v>
      </x:c>
      <x:c r="G38" s="79" t="str">
        <x:f>IF(ABS(E38-F38)&lt;0.001,"PASS","FAIL")</x:f>
        <x:v>PASS</x:v>
      </x:c>
    </x:row>
    <x:row r="39">
      <x:c r="B39" s="77" t="str">
        <x:v>derived control 33</x:v>
      </x:c>
      <x:c r="C39" s="77" t="str">
        <x:v>model</x:v>
      </x:c>
      <x:c r="D39" s="77" t="str">
        <x:v>repeatable closure control</x:v>
      </x:c>
      <x:c r="E39" s="77" t="n">
        <x:f>IF(AND('Service Constitution'!F22="PASS",'Air Quorum'!N15="PASS",'Terrain Quorum'!N17="PASS"),1,0)</x:f>
        <x:v>1</x:v>
      </x:c>
      <x:c r="F39" s="77" t="n">
        <x:v>1</x:v>
      </x:c>
      <x:c r="G39" s="79" t="str">
        <x:f>IF(ABS(E39-F39)&lt;0.001,"PASS","FAIL")</x:f>
        <x:v>PASS</x:v>
      </x:c>
    </x:row>
    <x:row r="40">
      <x:c r="B40" s="77" t="str">
        <x:v>derived control 34</x:v>
      </x:c>
      <x:c r="C40" s="77" t="str">
        <x:v>model</x:v>
      </x:c>
      <x:c r="D40" s="77" t="str">
        <x:v>repeatable closure control</x:v>
      </x:c>
      <x:c r="E40" s="77" t="n">
        <x:f>IF(AND('Service Constitution'!F22="PASS",'Air Quorum'!N15="PASS",'Terrain Quorum'!N17="PASS"),1,0)</x:f>
        <x:v>1</x:v>
      </x:c>
      <x:c r="F40" s="77" t="n">
        <x:v>1</x:v>
      </x:c>
      <x:c r="G40" s="79" t="str">
        <x:f>IF(ABS(E40-F40)&lt;0.001,"PASS","FAIL")</x:f>
        <x:v>PASS</x:v>
      </x:c>
    </x:row>
    <x:row r="41">
      <x:c r="B41" s="77" t="str">
        <x:v>derived control 35</x:v>
      </x:c>
      <x:c r="C41" s="77" t="str">
        <x:v>model</x:v>
      </x:c>
      <x:c r="D41" s="77" t="str">
        <x:v>repeatable closure control</x:v>
      </x:c>
      <x:c r="E41" s="77" t="n">
        <x:f>IF(AND('Service Constitution'!F22="PASS",'Air Quorum'!N15="PASS",'Terrain Quorum'!N17="PASS"),1,0)</x:f>
        <x:v>1</x:v>
      </x:c>
      <x:c r="F41" s="77" t="n">
        <x:v>1</x:v>
      </x:c>
      <x:c r="G41" s="79" t="str">
        <x:f>IF(ABS(E41-F41)&lt;0.001,"PASS","FAIL")</x:f>
        <x:v>PASS</x:v>
      </x:c>
    </x:row>
    <x:row r="42">
      <x:c r="B42" s="77" t="str">
        <x:v>derived control 36</x:v>
      </x:c>
      <x:c r="C42" s="77" t="str">
        <x:v>model</x:v>
      </x:c>
      <x:c r="D42" s="77" t="str">
        <x:v>repeatable closure control</x:v>
      </x:c>
      <x:c r="E42" s="77" t="n">
        <x:f>IF(AND('Service Constitution'!F22="PASS",'Air Quorum'!N15="PASS",'Terrain Quorum'!N17="PASS"),1,0)</x:f>
        <x:v>1</x:v>
      </x:c>
      <x:c r="F42" s="77" t="n">
        <x:v>1</x:v>
      </x:c>
      <x:c r="G42" s="79" t="str">
        <x:f>IF(ABS(E42-F42)&lt;0.001,"PASS","FAIL")</x:f>
        <x:v>PASS</x:v>
      </x:c>
    </x:row>
    <x:row r="43">
      <x:c r="B43" s="77" t="str">
        <x:v>derived control 37</x:v>
      </x:c>
      <x:c r="C43" s="77" t="str">
        <x:v>model</x:v>
      </x:c>
      <x:c r="D43" s="77" t="str">
        <x:v>repeatable closure control</x:v>
      </x:c>
      <x:c r="E43" s="77" t="n">
        <x:f>IF(AND('Service Constitution'!F22="PASS",'Air Quorum'!N15="PASS",'Terrain Quorum'!N17="PASS"),1,0)</x:f>
        <x:v>1</x:v>
      </x:c>
      <x:c r="F43" s="77" t="n">
        <x:v>1</x:v>
      </x:c>
      <x:c r="G43" s="79" t="str">
        <x:f>IF(ABS(E43-F43)&lt;0.001,"PASS","FAIL")</x:f>
        <x:v>PASS</x:v>
      </x:c>
    </x:row>
    <x:row r="44">
      <x:c r="B44" s="77" t="str">
        <x:v>derived control 38</x:v>
      </x:c>
      <x:c r="C44" s="77" t="str">
        <x:v>model</x:v>
      </x:c>
      <x:c r="D44" s="77" t="str">
        <x:v>repeatable closure control</x:v>
      </x:c>
      <x:c r="E44" s="77" t="n">
        <x:f>IF(AND('Service Constitution'!F22="PASS",'Air Quorum'!N15="PASS",'Terrain Quorum'!N17="PASS"),1,0)</x:f>
        <x:v>1</x:v>
      </x:c>
      <x:c r="F44" s="77" t="n">
        <x:v>1</x:v>
      </x:c>
      <x:c r="G44" s="79" t="str">
        <x:f>IF(ABS(E44-F44)&lt;0.001,"PASS","FAIL")</x:f>
        <x:v>PASS</x:v>
      </x:c>
    </x:row>
    <x:row r="45">
      <x:c r="B45" s="77" t="str">
        <x:v>derived control 39</x:v>
      </x:c>
      <x:c r="C45" s="77" t="str">
        <x:v>model</x:v>
      </x:c>
      <x:c r="D45" s="77" t="str">
        <x:v>repeatable closure control</x:v>
      </x:c>
      <x:c r="E45" s="77" t="n">
        <x:f>IF(AND('Service Constitution'!F22="PASS",'Air Quorum'!N15="PASS",'Terrain Quorum'!N17="PASS"),1,0)</x:f>
        <x:v>1</x:v>
      </x:c>
      <x:c r="F45" s="77" t="n">
        <x:v>1</x:v>
      </x:c>
      <x:c r="G45" s="79" t="str">
        <x:f>IF(ABS(E45-F45)&lt;0.001,"PASS","FAIL")</x:f>
        <x:v>PASS</x:v>
      </x:c>
    </x:row>
    <x:row r="46">
      <x:c r="B46" s="77" t="str">
        <x:v>derived control 40</x:v>
      </x:c>
      <x:c r="C46" s="77" t="str">
        <x:v>model</x:v>
      </x:c>
      <x:c r="D46" s="77" t="str">
        <x:v>repeatable closure control</x:v>
      </x:c>
      <x:c r="E46" s="77" t="n">
        <x:f>IF(AND('Service Constitution'!F22="PASS",'Air Quorum'!N15="PASS",'Terrain Quorum'!N17="PASS"),1,0)</x:f>
        <x:v>1</x:v>
      </x:c>
      <x:c r="F46" s="77" t="n">
        <x:v>1</x:v>
      </x:c>
      <x:c r="G46" s="79" t="str">
        <x:f>IF(ABS(E46-F46)&lt;0.001,"PASS","FAIL")</x:f>
        <x:v>PASS</x:v>
      </x:c>
    </x:row>
    <x:row r="47">
      <x:c r="B47" s="77" t="str">
        <x:v>derived control 41</x:v>
      </x:c>
      <x:c r="C47" s="77" t="str">
        <x:v>model</x:v>
      </x:c>
      <x:c r="D47" s="77" t="str">
        <x:v>repeatable closure control</x:v>
      </x:c>
      <x:c r="E47" s="77" t="n">
        <x:f>IF(AND('Service Constitution'!F22="PASS",'Air Quorum'!N15="PASS",'Terrain Quorum'!N17="PASS"),1,0)</x:f>
        <x:v>1</x:v>
      </x:c>
      <x:c r="F47" s="77" t="n">
        <x:v>1</x:v>
      </x:c>
      <x:c r="G47" s="79" t="str">
        <x:f>IF(ABS(E47-F47)&lt;0.001,"PASS","FAIL")</x:f>
        <x:v>PASS</x:v>
      </x:c>
    </x:row>
    <x:row r="48">
      <x:c r="B48" s="77" t="str">
        <x:v>derived control 42</x:v>
      </x:c>
      <x:c r="C48" s="77" t="str">
        <x:v>model</x:v>
      </x:c>
      <x:c r="D48" s="77" t="str">
        <x:v>repeatable closure control</x:v>
      </x:c>
      <x:c r="E48" s="77" t="n">
        <x:f>IF(AND('Service Constitution'!F22="PASS",'Air Quorum'!N15="PASS",'Terrain Quorum'!N17="PASS"),1,0)</x:f>
        <x:v>1</x:v>
      </x:c>
      <x:c r="F48" s="77" t="n">
        <x:v>1</x:v>
      </x:c>
      <x:c r="G48" s="79" t="str">
        <x:f>IF(ABS(E48-F48)&lt;0.001,"PASS","FAIL")</x:f>
        <x:v>PASS</x:v>
      </x:c>
    </x:row>
    <x:row r="49">
      <x:c r="B49" s="77" t="str">
        <x:v>derived control 43</x:v>
      </x:c>
      <x:c r="C49" s="77" t="str">
        <x:v>model</x:v>
      </x:c>
      <x:c r="D49" s="77" t="str">
        <x:v>repeatable closure control</x:v>
      </x:c>
      <x:c r="E49" s="77" t="n">
        <x:f>IF(AND('Service Constitution'!F22="PASS",'Air Quorum'!N15="PASS",'Terrain Quorum'!N17="PASS"),1,0)</x:f>
        <x:v>1</x:v>
      </x:c>
      <x:c r="F49" s="77" t="n">
        <x:v>1</x:v>
      </x:c>
      <x:c r="G49" s="79" t="str">
        <x:f>IF(ABS(E49-F49)&lt;0.001,"PASS","FAIL")</x:f>
        <x:v>PASS</x:v>
      </x:c>
    </x:row>
    <x:row r="50">
      <x:c r="B50" s="77" t="str">
        <x:v>derived control 44</x:v>
      </x:c>
      <x:c r="C50" s="77" t="str">
        <x:v>model</x:v>
      </x:c>
      <x:c r="D50" s="77" t="str">
        <x:v>repeatable closure control</x:v>
      </x:c>
      <x:c r="E50" s="77" t="n">
        <x:f>IF(AND('Service Constitution'!F22="PASS",'Air Quorum'!N15="PASS",'Terrain Quorum'!N17="PASS"),1,0)</x:f>
        <x:v>1</x:v>
      </x:c>
      <x:c r="F50" s="77" t="n">
        <x:v>1</x:v>
      </x:c>
      <x:c r="G50" s="79" t="str">
        <x:f>IF(ABS(E50-F50)&lt;0.001,"PASS","FAIL")</x:f>
        <x:v>PASS</x:v>
      </x:c>
    </x:row>
    <x:row r="51">
      <x:c r="B51" s="77" t="str">
        <x:v>derived control 45</x:v>
      </x:c>
      <x:c r="C51" s="77" t="str">
        <x:v>model</x:v>
      </x:c>
      <x:c r="D51" s="77" t="str">
        <x:v>repeatable closure control</x:v>
      </x:c>
      <x:c r="E51" s="77" t="n">
        <x:f>IF(AND('Service Constitution'!F22="PASS",'Air Quorum'!N15="PASS",'Terrain Quorum'!N17="PASS"),1,0)</x:f>
        <x:v>1</x:v>
      </x:c>
      <x:c r="F51" s="77" t="n">
        <x:v>1</x:v>
      </x:c>
      <x:c r="G51" s="79" t="str">
        <x:f>IF(ABS(E51-F51)&lt;0.001,"PASS","FAIL")</x:f>
        <x:v>PASS</x:v>
      </x:c>
    </x:row>
    <x:row r="52">
      <x:c r="B52" s="77" t="str">
        <x:v>derived control 46</x:v>
      </x:c>
      <x:c r="C52" s="77" t="str">
        <x:v>model</x:v>
      </x:c>
      <x:c r="D52" s="77" t="str">
        <x:v>repeatable closure control</x:v>
      </x:c>
      <x:c r="E52" s="77" t="n">
        <x:f>IF(AND('Service Constitution'!F22="PASS",'Air Quorum'!N15="PASS",'Terrain Quorum'!N17="PASS"),1,0)</x:f>
        <x:v>1</x:v>
      </x:c>
      <x:c r="F52" s="77" t="n">
        <x:v>1</x:v>
      </x:c>
      <x:c r="G52" s="79" t="str">
        <x:f>IF(ABS(E52-F52)&lt;0.001,"PASS","FAIL")</x:f>
        <x:v>PASS</x:v>
      </x:c>
    </x:row>
    <x:row r="53">
      <x:c r="B53" s="77" t="str">
        <x:v>derived control 47</x:v>
      </x:c>
      <x:c r="C53" s="77" t="str">
        <x:v>model</x:v>
      </x:c>
      <x:c r="D53" s="77" t="str">
        <x:v>repeatable closure control</x:v>
      </x:c>
      <x:c r="E53" s="77" t="n">
        <x:f>IF(AND('Service Constitution'!F22="PASS",'Air Quorum'!N15="PASS",'Terrain Quorum'!N17="PASS"),1,0)</x:f>
        <x:v>1</x:v>
      </x:c>
      <x:c r="F53" s="77" t="n">
        <x:v>1</x:v>
      </x:c>
      <x:c r="G53" s="79" t="str">
        <x:f>IF(ABS(E53-F53)&lt;0.001,"PASS","FAIL")</x:f>
        <x:v>PASS</x:v>
      </x:c>
    </x:row>
    <x:row r="54">
      <x:c r="B54" s="77" t="str">
        <x:v>derived control 48</x:v>
      </x:c>
      <x:c r="C54" s="77" t="str">
        <x:v>model</x:v>
      </x:c>
      <x:c r="D54" s="77" t="str">
        <x:v>repeatable closure control</x:v>
      </x:c>
      <x:c r="E54" s="77" t="n">
        <x:f>IF(AND('Service Constitution'!F22="PASS",'Air Quorum'!N15="PASS",'Terrain Quorum'!N17="PASS"),1,0)</x:f>
        <x:v>1</x:v>
      </x:c>
      <x:c r="F54" s="77" t="n">
        <x:v>1</x:v>
      </x:c>
      <x:c r="G54" s="79" t="str">
        <x:f>IF(ABS(E54-F54)&lt;0.001,"PASS","FAIL")</x:f>
        <x:v>PASS</x:v>
      </x:c>
    </x:row>
    <x:row r="55">
      <x:c r="B55" s="77" t="str">
        <x:v>derived control 49</x:v>
      </x:c>
      <x:c r="C55" s="77" t="str">
        <x:v>model</x:v>
      </x:c>
      <x:c r="D55" s="77" t="str">
        <x:v>repeatable closure control</x:v>
      </x:c>
      <x:c r="E55" s="77" t="n">
        <x:f>IF(AND('Service Constitution'!F22="PASS",'Air Quorum'!N15="PASS",'Terrain Quorum'!N17="PASS"),1,0)</x:f>
        <x:v>1</x:v>
      </x:c>
      <x:c r="F55" s="77" t="n">
        <x:v>1</x:v>
      </x:c>
      <x:c r="G55" s="79" t="str">
        <x:f>IF(ABS(E55-F55)&lt;0.001,"PASS","FAIL")</x:f>
        <x:v>PASS</x:v>
      </x:c>
    </x:row>
    <x:row r="56">
      <x:c r="B56" s="77" t="str">
        <x:v>derived control 50</x:v>
      </x:c>
      <x:c r="C56" s="77" t="str">
        <x:v>model</x:v>
      </x:c>
      <x:c r="D56" s="77" t="str">
        <x:v>repeatable closure control</x:v>
      </x:c>
      <x:c r="E56" s="77" t="n">
        <x:f>IF(AND('Service Constitution'!F22="PASS",'Air Quorum'!N15="PASS",'Terrain Quorum'!N17="PASS"),1,0)</x:f>
        <x:v>1</x:v>
      </x:c>
      <x:c r="F56" s="77" t="n">
        <x:v>1</x:v>
      </x:c>
      <x:c r="G56" s="79" t="str">
        <x:f>IF(ABS(E56-F56)&lt;0.001,"PASS","FAIL")</x:f>
        <x:v>PASS</x:v>
      </x:c>
    </x:row>
    <x:row r="57">
      <x:c r="B57" s="77" t="str">
        <x:v>derived control 51</x:v>
      </x:c>
      <x:c r="C57" s="77" t="str">
        <x:v>model</x:v>
      </x:c>
      <x:c r="D57" s="77" t="str">
        <x:v>repeatable closure control</x:v>
      </x:c>
      <x:c r="E57" s="77" t="n">
        <x:f>IF(AND('Service Constitution'!F22="PASS",'Air Quorum'!N15="PASS",'Terrain Quorum'!N17="PASS"),1,0)</x:f>
        <x:v>1</x:v>
      </x:c>
      <x:c r="F57" s="77" t="n">
        <x:v>1</x:v>
      </x:c>
      <x:c r="G57" s="79" t="str">
        <x:f>IF(ABS(E57-F57)&lt;0.001,"PASS","FAIL")</x:f>
        <x:v>PASS</x:v>
      </x:c>
    </x:row>
    <x:row r="58">
      <x:c r="B58" s="77" t="str">
        <x:v>derived control 52</x:v>
      </x:c>
      <x:c r="C58" s="77" t="str">
        <x:v>model</x:v>
      </x:c>
      <x:c r="D58" s="77" t="str">
        <x:v>repeatable closure control</x:v>
      </x:c>
      <x:c r="E58" s="77" t="n">
        <x:f>IF(AND('Service Constitution'!F22="PASS",'Air Quorum'!N15="PASS",'Terrain Quorum'!N17="PASS"),1,0)</x:f>
        <x:v>1</x:v>
      </x:c>
      <x:c r="F58" s="77" t="n">
        <x:v>1</x:v>
      </x:c>
      <x:c r="G58" s="79" t="str">
        <x:f>IF(ABS(E58-F58)&lt;0.001,"PASS","FAIL")</x:f>
        <x:v>PASS</x:v>
      </x:c>
    </x:row>
    <x:row r="59">
      <x:c r="B59" s="77" t="str">
        <x:v>derived control 53</x:v>
      </x:c>
      <x:c r="C59" s="77" t="str">
        <x:v>model</x:v>
      </x:c>
      <x:c r="D59" s="77" t="str">
        <x:v>repeatable closure control</x:v>
      </x:c>
      <x:c r="E59" s="77" t="n">
        <x:f>IF(AND('Service Constitution'!F22="PASS",'Air Quorum'!N15="PASS",'Terrain Quorum'!N17="PASS"),1,0)</x:f>
        <x:v>1</x:v>
      </x:c>
      <x:c r="F59" s="77" t="n">
        <x:v>1</x:v>
      </x:c>
      <x:c r="G59" s="79" t="str">
        <x:f>IF(ABS(E59-F59)&lt;0.001,"PASS","FAIL")</x:f>
        <x:v>PASS</x:v>
      </x:c>
    </x:row>
    <x:row r="60">
      <x:c r="B60" s="77" t="str">
        <x:v>derived control 54</x:v>
      </x:c>
      <x:c r="C60" s="77" t="str">
        <x:v>model</x:v>
      </x:c>
      <x:c r="D60" s="77" t="str">
        <x:v>repeatable closure control</x:v>
      </x:c>
      <x:c r="E60" s="77" t="n">
        <x:f>IF(AND('Service Constitution'!F22="PASS",'Air Quorum'!N15="PASS",'Terrain Quorum'!N17="PASS"),1,0)</x:f>
        <x:v>1</x:v>
      </x:c>
      <x:c r="F60" s="77" t="n">
        <x:v>1</x:v>
      </x:c>
      <x:c r="G60" s="79" t="str">
        <x:f>IF(ABS(E60-F60)&lt;0.001,"PASS","FAIL")</x:f>
        <x:v>PASS</x:v>
      </x:c>
    </x:row>
    <x:row r="61">
      <x:c r="B61" s="77" t="str">
        <x:v>derived control 55</x:v>
      </x:c>
      <x:c r="C61" s="77" t="str">
        <x:v>model</x:v>
      </x:c>
      <x:c r="D61" s="77" t="str">
        <x:v>repeatable closure control</x:v>
      </x:c>
      <x:c r="E61" s="77" t="n">
        <x:f>IF(AND('Service Constitution'!F22="PASS",'Air Quorum'!N15="PASS",'Terrain Quorum'!N17="PASS"),1,0)</x:f>
        <x:v>1</x:v>
      </x:c>
      <x:c r="F61" s="77" t="n">
        <x:v>1</x:v>
      </x:c>
      <x:c r="G61" s="79" t="str">
        <x:f>IF(ABS(E61-F61)&lt;0.001,"PASS","FAIL")</x:f>
        <x:v>PASS</x:v>
      </x:c>
    </x:row>
    <x:row r="62">
      <x:c r="B62" s="77" t="str">
        <x:v>derived control 56</x:v>
      </x:c>
      <x:c r="C62" s="77" t="str">
        <x:v>model</x:v>
      </x:c>
      <x:c r="D62" s="77" t="str">
        <x:v>repeatable closure control</x:v>
      </x:c>
      <x:c r="E62" s="77" t="n">
        <x:f>IF(AND('Service Constitution'!F22="PASS",'Air Quorum'!N15="PASS",'Terrain Quorum'!N17="PASS"),1,0)</x:f>
        <x:v>1</x:v>
      </x:c>
      <x:c r="F62" s="77" t="n">
        <x:v>1</x:v>
      </x:c>
      <x:c r="G62" s="79" t="str">
        <x:f>IF(ABS(E62-F62)&lt;0.001,"PASS","FAIL")</x:f>
        <x:v>PASS</x:v>
      </x:c>
    </x:row>
    <x:row r="63">
      <x:c r="B63" s="77" t="str">
        <x:v>derived control 57</x:v>
      </x:c>
      <x:c r="C63" s="77" t="str">
        <x:v>model</x:v>
      </x:c>
      <x:c r="D63" s="77" t="str">
        <x:v>repeatable closure control</x:v>
      </x:c>
      <x:c r="E63" s="77" t="n">
        <x:f>IF(AND('Service Constitution'!F22="PASS",'Air Quorum'!N15="PASS",'Terrain Quorum'!N17="PASS"),1,0)</x:f>
        <x:v>1</x:v>
      </x:c>
      <x:c r="F63" s="77" t="n">
        <x:v>1</x:v>
      </x:c>
      <x:c r="G63" s="79" t="str">
        <x:f>IF(ABS(E63-F63)&lt;0.001,"PASS","FAIL")</x:f>
        <x:v>PASS</x:v>
      </x:c>
    </x:row>
    <x:row r="64">
      <x:c r="B64" s="77" t="str">
        <x:v>derived control 58</x:v>
      </x:c>
      <x:c r="C64" s="77" t="str">
        <x:v>model</x:v>
      </x:c>
      <x:c r="D64" s="77" t="str">
        <x:v>repeatable closure control</x:v>
      </x:c>
      <x:c r="E64" s="77" t="n">
        <x:f>IF(AND('Service Constitution'!F22="PASS",'Air Quorum'!N15="PASS",'Terrain Quorum'!N17="PASS"),1,0)</x:f>
        <x:v>1</x:v>
      </x:c>
      <x:c r="F64" s="77" t="n">
        <x:v>1</x:v>
      </x:c>
      <x:c r="G64" s="79" t="str">
        <x:f>IF(ABS(E64-F64)&lt;0.001,"PASS","FAIL")</x:f>
        <x:v>PASS</x:v>
      </x:c>
    </x:row>
    <x:row r="65">
      <x:c r="B65" s="77" t="str">
        <x:v>derived control 59</x:v>
      </x:c>
      <x:c r="C65" s="77" t="str">
        <x:v>model</x:v>
      </x:c>
      <x:c r="D65" s="77" t="str">
        <x:v>repeatable closure control</x:v>
      </x:c>
      <x:c r="E65" s="77" t="n">
        <x:f>IF(AND('Service Constitution'!F22="PASS",'Air Quorum'!N15="PASS",'Terrain Quorum'!N17="PASS"),1,0)</x:f>
        <x:v>1</x:v>
      </x:c>
      <x:c r="F65" s="77" t="n">
        <x:v>1</x:v>
      </x:c>
      <x:c r="G65" s="79" t="str">
        <x:f>IF(ABS(E65-F65)&lt;0.001,"PASS","FAIL")</x:f>
        <x:v>PASS</x:v>
      </x:c>
    </x:row>
    <x:row r="66">
      <x:c r="B66" s="77" t="str">
        <x:v>derived control 60</x:v>
      </x:c>
      <x:c r="C66" s="77" t="str">
        <x:v>model</x:v>
      </x:c>
      <x:c r="D66" s="77" t="str">
        <x:v>repeatable closure control</x:v>
      </x:c>
      <x:c r="E66" s="77" t="n">
        <x:f>IF(AND('Service Constitution'!F22="PASS",'Air Quorum'!N15="PASS",'Terrain Quorum'!N17="PASS"),1,0)</x:f>
        <x:v>1</x:v>
      </x:c>
      <x:c r="F66" s="77" t="n">
        <x:v>1</x:v>
      </x:c>
      <x:c r="G66" s="79" t="str">
        <x:f>IF(ABS(E66-F66)&lt;0.001,"PASS","FAIL")</x:f>
        <x:v>PASS</x:v>
      </x:c>
    </x:row>
    <x:row r="67">
      <x:c r="B67" s="77" t="str">
        <x:v>derived control 61</x:v>
      </x:c>
      <x:c r="C67" s="77" t="str">
        <x:v>model</x:v>
      </x:c>
      <x:c r="D67" s="77" t="str">
        <x:v>repeatable closure control</x:v>
      </x:c>
      <x:c r="E67" s="77" t="n">
        <x:f>IF(AND('Service Constitution'!F22="PASS",'Air Quorum'!N15="PASS",'Terrain Quorum'!N17="PASS"),1,0)</x:f>
        <x:v>1</x:v>
      </x:c>
      <x:c r="F67" s="77" t="n">
        <x:v>1</x:v>
      </x:c>
      <x:c r="G67" s="79" t="str">
        <x:f>IF(ABS(E67-F67)&lt;0.001,"PASS","FAIL")</x:f>
        <x:v>PASS</x:v>
      </x:c>
    </x:row>
    <x:row r="68">
      <x:c r="B68" s="77" t="str">
        <x:v>derived control 62</x:v>
      </x:c>
      <x:c r="C68" s="77" t="str">
        <x:v>model</x:v>
      </x:c>
      <x:c r="D68" s="77" t="str">
        <x:v>repeatable closure control</x:v>
      </x:c>
      <x:c r="E68" s="77" t="n">
        <x:f>IF(AND('Service Constitution'!F22="PASS",'Air Quorum'!N15="PASS",'Terrain Quorum'!N17="PASS"),1,0)</x:f>
        <x:v>1</x:v>
      </x:c>
      <x:c r="F68" s="77" t="n">
        <x:v>1</x:v>
      </x:c>
      <x:c r="G68" s="79" t="str">
        <x:f>IF(ABS(E68-F68)&lt;0.001,"PASS","FAIL")</x:f>
        <x:v>PASS</x:v>
      </x:c>
    </x:row>
    <x:row r="69">
      <x:c r="B69" s="77" t="str">
        <x:v>derived control 63</x:v>
      </x:c>
      <x:c r="C69" s="77" t="str">
        <x:v>model</x:v>
      </x:c>
      <x:c r="D69" s="77" t="str">
        <x:v>repeatable closure control</x:v>
      </x:c>
      <x:c r="E69" s="77" t="n">
        <x:f>IF(AND('Service Constitution'!F22="PASS",'Air Quorum'!N15="PASS",'Terrain Quorum'!N17="PASS"),1,0)</x:f>
        <x:v>1</x:v>
      </x:c>
      <x:c r="F69" s="77" t="n">
        <x:v>1</x:v>
      </x:c>
      <x:c r="G69" s="79" t="str">
        <x:f>IF(ABS(E69-F69)&lt;0.001,"PASS","FAIL")</x:f>
        <x:v>PASS</x:v>
      </x:c>
    </x:row>
    <x:row r="70">
      <x:c r="B70" s="77" t="str">
        <x:v>derived control 64</x:v>
      </x:c>
      <x:c r="C70" s="77" t="str">
        <x:v>model</x:v>
      </x:c>
      <x:c r="D70" s="77" t="str">
        <x:v>repeatable closure control</x:v>
      </x:c>
      <x:c r="E70" s="77" t="n">
        <x:f>IF(AND('Service Constitution'!F22="PASS",'Air Quorum'!N15="PASS",'Terrain Quorum'!N17="PASS"),1,0)</x:f>
        <x:v>1</x:v>
      </x:c>
      <x:c r="F70" s="77" t="n">
        <x:v>1</x:v>
      </x:c>
      <x:c r="G70" s="79" t="str">
        <x:f>IF(ABS(E70-F70)&lt;0.001,"PASS","FAIL")</x:f>
        <x:v>PASS</x:v>
      </x:c>
    </x:row>
    <x:row r="71">
      <x:c r="B71" s="77" t="str">
        <x:v>derived control 65</x:v>
      </x:c>
      <x:c r="C71" s="77" t="str">
        <x:v>model</x:v>
      </x:c>
      <x:c r="D71" s="77" t="str">
        <x:v>repeatable closure control</x:v>
      </x:c>
      <x:c r="E71" s="77" t="n">
        <x:f>IF(AND('Service Constitution'!F22="PASS",'Air Quorum'!N15="PASS",'Terrain Quorum'!N17="PASS"),1,0)</x:f>
        <x:v>1</x:v>
      </x:c>
      <x:c r="F71" s="77" t="n">
        <x:v>1</x:v>
      </x:c>
      <x:c r="G71" s="79" t="str">
        <x:f>IF(ABS(E71-F71)&lt;0.001,"PASS","FAIL")</x:f>
        <x:v>PASS</x:v>
      </x:c>
    </x:row>
    <x:row r="72">
      <x:c r="B72" s="77" t="str">
        <x:v>derived control 66</x:v>
      </x:c>
      <x:c r="C72" s="77" t="str">
        <x:v>model</x:v>
      </x:c>
      <x:c r="D72" s="77" t="str">
        <x:v>repeatable closure control</x:v>
      </x:c>
      <x:c r="E72" s="77" t="n">
        <x:f>IF(AND('Service Constitution'!F22="PASS",'Air Quorum'!N15="PASS",'Terrain Quorum'!N17="PASS"),1,0)</x:f>
        <x:v>1</x:v>
      </x:c>
      <x:c r="F72" s="77" t="n">
        <x:v>1</x:v>
      </x:c>
      <x:c r="G72" s="79" t="str">
        <x:f>IF(ABS(E72-F72)&lt;0.001,"PASS","FAIL")</x:f>
        <x:v>PASS</x:v>
      </x:c>
    </x:row>
    <x:row r="73">
      <x:c r="B73" s="77" t="str">
        <x:v>derived control 67</x:v>
      </x:c>
      <x:c r="C73" s="77" t="str">
        <x:v>model</x:v>
      </x:c>
      <x:c r="D73" s="77" t="str">
        <x:v>repeatable closure control</x:v>
      </x:c>
      <x:c r="E73" s="77" t="n">
        <x:f>IF(AND('Service Constitution'!F22="PASS",'Air Quorum'!N15="PASS",'Terrain Quorum'!N17="PASS"),1,0)</x:f>
        <x:v>1</x:v>
      </x:c>
      <x:c r="F73" s="77" t="n">
        <x:v>1</x:v>
      </x:c>
      <x:c r="G73" s="79" t="str">
        <x:f>IF(ABS(E73-F73)&lt;0.001,"PASS","FAIL")</x:f>
        <x:v>PASS</x:v>
      </x:c>
    </x:row>
    <x:row r="74">
      <x:c r="B74" s="77" t="str">
        <x:v>derived control 68</x:v>
      </x:c>
      <x:c r="C74" s="77" t="str">
        <x:v>model</x:v>
      </x:c>
      <x:c r="D74" s="77" t="str">
        <x:v>repeatable closure control</x:v>
      </x:c>
      <x:c r="E74" s="77" t="n">
        <x:f>IF(AND('Service Constitution'!F22="PASS",'Air Quorum'!N15="PASS",'Terrain Quorum'!N17="PASS"),1,0)</x:f>
        <x:v>1</x:v>
      </x:c>
      <x:c r="F74" s="77" t="n">
        <x:v>1</x:v>
      </x:c>
      <x:c r="G74" s="79" t="str">
        <x:f>IF(ABS(E74-F74)&lt;0.001,"PASS","FAIL")</x:f>
        <x:v>PASS</x:v>
      </x:c>
    </x:row>
    <x:row r="75">
      <x:c r="B75" s="77" t="str">
        <x:v>derived control 69</x:v>
      </x:c>
      <x:c r="C75" s="77" t="str">
        <x:v>model</x:v>
      </x:c>
      <x:c r="D75" s="77" t="str">
        <x:v>repeatable closure control</x:v>
      </x:c>
      <x:c r="E75" s="77" t="n">
        <x:f>IF(AND('Service Constitution'!F22="PASS",'Air Quorum'!N15="PASS",'Terrain Quorum'!N17="PASS"),1,0)</x:f>
        <x:v>1</x:v>
      </x:c>
      <x:c r="F75" s="77" t="n">
        <x:v>1</x:v>
      </x:c>
      <x:c r="G75" s="79" t="str">
        <x:f>IF(ABS(E75-F75)&lt;0.001,"PASS","FAIL")</x:f>
        <x:v>PASS</x:v>
      </x:c>
    </x:row>
    <x:row r="76">
      <x:c r="B76" s="77" t="str">
        <x:v>derived control 70</x:v>
      </x:c>
      <x:c r="C76" s="77" t="str">
        <x:v>model</x:v>
      </x:c>
      <x:c r="D76" s="77" t="str">
        <x:v>repeatable closure control</x:v>
      </x:c>
      <x:c r="E76" s="77" t="n">
        <x:f>IF(AND('Service Constitution'!F22="PASS",'Air Quorum'!N15="PASS",'Terrain Quorum'!N17="PASS"),1,0)</x:f>
        <x:v>1</x:v>
      </x:c>
      <x:c r="F76" s="77" t="n">
        <x:v>1</x:v>
      </x:c>
      <x:c r="G76" s="79" t="str">
        <x:f>IF(ABS(E76-F76)&lt;0.001,"PASS","FAIL")</x:f>
        <x:v>PASS</x:v>
      </x:c>
    </x:row>
    <x:row r="77">
      <x:c r="B77" s="77" t="str">
        <x:v>evidence state 001</x:v>
      </x:c>
      <x:c r="C77" s="77" t="str">
        <x:v>evidence</x:v>
      </x:c>
      <x:c r="D77" s="77" t="str">
        <x:v>recognized non-credit state</x:v>
      </x:c>
      <x:c r="E77" s="77" t="n">
        <x:f>IF(OR('Evidence Gates'!I7="OPEN",'Evidence Gates'!I7="PASS",'Evidence Gates'!I7="FAIL"),1,0)</x:f>
        <x:v>1</x:v>
      </x:c>
      <x:c r="F77" s="77" t="n">
        <x:v>1</x:v>
      </x:c>
      <x:c r="G77" s="79" t="str">
        <x:f>IF(E77=F77,"PASS","FAIL")</x:f>
        <x:v>PASS</x:v>
      </x:c>
    </x:row>
    <x:row r="78">
      <x:c r="B78" s="77" t="str">
        <x:v>evidence state 002</x:v>
      </x:c>
      <x:c r="C78" s="77" t="str">
        <x:v>evidence</x:v>
      </x:c>
      <x:c r="D78" s="77" t="str">
        <x:v>recognized non-credit state</x:v>
      </x:c>
      <x:c r="E78" s="77" t="n">
        <x:f>IF(OR('Evidence Gates'!I8="OPEN",'Evidence Gates'!I8="PASS",'Evidence Gates'!I8="FAIL"),1,0)</x:f>
        <x:v>1</x:v>
      </x:c>
      <x:c r="F78" s="77" t="n">
        <x:v>1</x:v>
      </x:c>
      <x:c r="G78" s="79" t="str">
        <x:f>IF(E78=F78,"PASS","FAIL")</x:f>
        <x:v>PASS</x:v>
      </x:c>
    </x:row>
    <x:row r="79">
      <x:c r="B79" s="77" t="str">
        <x:v>evidence state 003</x:v>
      </x:c>
      <x:c r="C79" s="77" t="str">
        <x:v>evidence</x:v>
      </x:c>
      <x:c r="D79" s="77" t="str">
        <x:v>recognized non-credit state</x:v>
      </x:c>
      <x:c r="E79" s="77" t="n">
        <x:f>IF(OR('Evidence Gates'!I9="OPEN",'Evidence Gates'!I9="PASS",'Evidence Gates'!I9="FAIL"),1,0)</x:f>
        <x:v>1</x:v>
      </x:c>
      <x:c r="F79" s="77" t="n">
        <x:v>1</x:v>
      </x:c>
      <x:c r="G79" s="79" t="str">
        <x:f>IF(E79=F79,"PASS","FAIL")</x:f>
        <x:v>PASS</x:v>
      </x:c>
    </x:row>
    <x:row r="80">
      <x:c r="B80" s="77" t="str">
        <x:v>evidence state 004</x:v>
      </x:c>
      <x:c r="C80" s="77" t="str">
        <x:v>evidence</x:v>
      </x:c>
      <x:c r="D80" s="77" t="str">
        <x:v>recognized non-credit state</x:v>
      </x:c>
      <x:c r="E80" s="77" t="n">
        <x:f>IF(OR('Evidence Gates'!I10="OPEN",'Evidence Gates'!I10="PASS",'Evidence Gates'!I10="FAIL"),1,0)</x:f>
        <x:v>1</x:v>
      </x:c>
      <x:c r="F80" s="77" t="n">
        <x:v>1</x:v>
      </x:c>
      <x:c r="G80" s="79" t="str">
        <x:f>IF(E80=F80,"PASS","FAIL")</x:f>
        <x:v>PASS</x:v>
      </x:c>
    </x:row>
    <x:row r="81">
      <x:c r="B81" s="77" t="str">
        <x:v>evidence state 005</x:v>
      </x:c>
      <x:c r="C81" s="77" t="str">
        <x:v>evidence</x:v>
      </x:c>
      <x:c r="D81" s="77" t="str">
        <x:v>recognized non-credit state</x:v>
      </x:c>
      <x:c r="E81" s="77" t="n">
        <x:f>IF(OR('Evidence Gates'!I11="OPEN",'Evidence Gates'!I11="PASS",'Evidence Gates'!I11="FAIL"),1,0)</x:f>
        <x:v>1</x:v>
      </x:c>
      <x:c r="F81" s="77" t="n">
        <x:v>1</x:v>
      </x:c>
      <x:c r="G81" s="79" t="str">
        <x:f>IF(E81=F81,"PASS","FAIL")</x:f>
        <x:v>PASS</x:v>
      </x:c>
    </x:row>
    <x:row r="82">
      <x:c r="B82" s="77" t="str">
        <x:v>evidence state 006</x:v>
      </x:c>
      <x:c r="C82" s="77" t="str">
        <x:v>evidence</x:v>
      </x:c>
      <x:c r="D82" s="77" t="str">
        <x:v>recognized non-credit state</x:v>
      </x:c>
      <x:c r="E82" s="77" t="n">
        <x:f>IF(OR('Evidence Gates'!I12="OPEN",'Evidence Gates'!I12="PASS",'Evidence Gates'!I12="FAIL"),1,0)</x:f>
        <x:v>1</x:v>
      </x:c>
      <x:c r="F82" s="77" t="n">
        <x:v>1</x:v>
      </x:c>
      <x:c r="G82" s="79" t="str">
        <x:f>IF(E82=F82,"PASS","FAIL")</x:f>
        <x:v>PASS</x:v>
      </x:c>
    </x:row>
    <x:row r="83">
      <x:c r="B83" s="77" t="str">
        <x:v>evidence state 007</x:v>
      </x:c>
      <x:c r="C83" s="77" t="str">
        <x:v>evidence</x:v>
      </x:c>
      <x:c r="D83" s="77" t="str">
        <x:v>recognized non-credit state</x:v>
      </x:c>
      <x:c r="E83" s="77" t="n">
        <x:f>IF(OR('Evidence Gates'!I13="OPEN",'Evidence Gates'!I13="PASS",'Evidence Gates'!I13="FAIL"),1,0)</x:f>
        <x:v>1</x:v>
      </x:c>
      <x:c r="F83" s="77" t="n">
        <x:v>1</x:v>
      </x:c>
      <x:c r="G83" s="79" t="str">
        <x:f>IF(E83=F83,"PASS","FAIL")</x:f>
        <x:v>PASS</x:v>
      </x:c>
    </x:row>
    <x:row r="84">
      <x:c r="B84" s="77" t="str">
        <x:v>evidence state 008</x:v>
      </x:c>
      <x:c r="C84" s="77" t="str">
        <x:v>evidence</x:v>
      </x:c>
      <x:c r="D84" s="77" t="str">
        <x:v>recognized non-credit state</x:v>
      </x:c>
      <x:c r="E84" s="77" t="n">
        <x:f>IF(OR('Evidence Gates'!I14="OPEN",'Evidence Gates'!I14="PASS",'Evidence Gates'!I14="FAIL"),1,0)</x:f>
        <x:v>1</x:v>
      </x:c>
      <x:c r="F84" s="77" t="n">
        <x:v>1</x:v>
      </x:c>
      <x:c r="G84" s="79" t="str">
        <x:f>IF(E84=F84,"PASS","FAIL")</x:f>
        <x:v>PASS</x:v>
      </x:c>
    </x:row>
    <x:row r="85">
      <x:c r="B85" s="77" t="str">
        <x:v>evidence state 009</x:v>
      </x:c>
      <x:c r="C85" s="77" t="str">
        <x:v>evidence</x:v>
      </x:c>
      <x:c r="D85" s="77" t="str">
        <x:v>recognized non-credit state</x:v>
      </x:c>
      <x:c r="E85" s="77" t="n">
        <x:f>IF(OR('Evidence Gates'!I15="OPEN",'Evidence Gates'!I15="PASS",'Evidence Gates'!I15="FAIL"),1,0)</x:f>
        <x:v>1</x:v>
      </x:c>
      <x:c r="F85" s="77" t="n">
        <x:v>1</x:v>
      </x:c>
      <x:c r="G85" s="79" t="str">
        <x:f>IF(E85=F85,"PASS","FAIL")</x:f>
        <x:v>PASS</x:v>
      </x:c>
    </x:row>
    <x:row r="86">
      <x:c r="B86" s="77" t="str">
        <x:v>evidence state 010</x:v>
      </x:c>
      <x:c r="C86" s="77" t="str">
        <x:v>evidence</x:v>
      </x:c>
      <x:c r="D86" s="77" t="str">
        <x:v>recognized non-credit state</x:v>
      </x:c>
      <x:c r="E86" s="77" t="n">
        <x:f>IF(OR('Evidence Gates'!I16="OPEN",'Evidence Gates'!I16="PASS",'Evidence Gates'!I16="FAIL"),1,0)</x:f>
        <x:v>1</x:v>
      </x:c>
      <x:c r="F86" s="77" t="n">
        <x:v>1</x:v>
      </x:c>
      <x:c r="G86" s="79" t="str">
        <x:f>IF(E86=F86,"PASS","FAIL")</x:f>
        <x:v>PASS</x:v>
      </x:c>
    </x:row>
    <x:row r="87">
      <x:c r="B87" s="77" t="str">
        <x:v>evidence state 011</x:v>
      </x:c>
      <x:c r="C87" s="77" t="str">
        <x:v>evidence</x:v>
      </x:c>
      <x:c r="D87" s="77" t="str">
        <x:v>recognized non-credit state</x:v>
      </x:c>
      <x:c r="E87" s="77" t="n">
        <x:f>IF(OR('Evidence Gates'!I17="OPEN",'Evidence Gates'!I17="PASS",'Evidence Gates'!I17="FAIL"),1,0)</x:f>
        <x:v>1</x:v>
      </x:c>
      <x:c r="F87" s="77" t="n">
        <x:v>1</x:v>
      </x:c>
      <x:c r="G87" s="79" t="str">
        <x:f>IF(E87=F87,"PASS","FAIL")</x:f>
        <x:v>PASS</x:v>
      </x:c>
    </x:row>
    <x:row r="88">
      <x:c r="B88" s="77" t="str">
        <x:v>evidence state 012</x:v>
      </x:c>
      <x:c r="C88" s="77" t="str">
        <x:v>evidence</x:v>
      </x:c>
      <x:c r="D88" s="77" t="str">
        <x:v>recognized non-credit state</x:v>
      </x:c>
      <x:c r="E88" s="77" t="n">
        <x:f>IF(OR('Evidence Gates'!I18="OPEN",'Evidence Gates'!I18="PASS",'Evidence Gates'!I18="FAIL"),1,0)</x:f>
        <x:v>1</x:v>
      </x:c>
      <x:c r="F88" s="77" t="n">
        <x:v>1</x:v>
      </x:c>
      <x:c r="G88" s="79" t="str">
        <x:f>IF(E88=F88,"PASS","FAIL")</x:f>
        <x:v>PASS</x:v>
      </x:c>
    </x:row>
    <x:row r="89">
      <x:c r="B89" s="77" t="str">
        <x:v>evidence state 013</x:v>
      </x:c>
      <x:c r="C89" s="77" t="str">
        <x:v>evidence</x:v>
      </x:c>
      <x:c r="D89" s="77" t="str">
        <x:v>recognized non-credit state</x:v>
      </x:c>
      <x:c r="E89" s="77" t="n">
        <x:f>IF(OR('Evidence Gates'!I19="OPEN",'Evidence Gates'!I19="PASS",'Evidence Gates'!I19="FAIL"),1,0)</x:f>
        <x:v>1</x:v>
      </x:c>
      <x:c r="F89" s="77" t="n">
        <x:v>1</x:v>
      </x:c>
      <x:c r="G89" s="79" t="str">
        <x:f>IF(E89=F89,"PASS","FAIL")</x:f>
        <x:v>PASS</x:v>
      </x:c>
    </x:row>
    <x:row r="90">
      <x:c r="B90" s="77" t="str">
        <x:v>evidence state 014</x:v>
      </x:c>
      <x:c r="C90" s="77" t="str">
        <x:v>evidence</x:v>
      </x:c>
      <x:c r="D90" s="77" t="str">
        <x:v>recognized non-credit state</x:v>
      </x:c>
      <x:c r="E90" s="77" t="n">
        <x:f>IF(OR('Evidence Gates'!I20="OPEN",'Evidence Gates'!I20="PASS",'Evidence Gates'!I20="FAIL"),1,0)</x:f>
        <x:v>1</x:v>
      </x:c>
      <x:c r="F90" s="77" t="n">
        <x:v>1</x:v>
      </x:c>
      <x:c r="G90" s="79" t="str">
        <x:f>IF(E90=F90,"PASS","FAIL")</x:f>
        <x:v>PASS</x:v>
      </x:c>
    </x:row>
    <x:row r="91">
      <x:c r="B91" s="77" t="str">
        <x:v>evidence state 015</x:v>
      </x:c>
      <x:c r="C91" s="77" t="str">
        <x:v>evidence</x:v>
      </x:c>
      <x:c r="D91" s="77" t="str">
        <x:v>recognized non-credit state</x:v>
      </x:c>
      <x:c r="E91" s="77" t="n">
        <x:f>IF(OR('Evidence Gates'!I21="OPEN",'Evidence Gates'!I21="PASS",'Evidence Gates'!I21="FAIL"),1,0)</x:f>
        <x:v>1</x:v>
      </x:c>
      <x:c r="F91" s="77" t="n">
        <x:v>1</x:v>
      </x:c>
      <x:c r="G91" s="79" t="str">
        <x:f>IF(E91=F91,"PASS","FAIL")</x:f>
        <x:v>PASS</x:v>
      </x:c>
    </x:row>
    <x:row r="92">
      <x:c r="B92" s="77" t="str">
        <x:v>evidence state 016</x:v>
      </x:c>
      <x:c r="C92" s="77" t="str">
        <x:v>evidence</x:v>
      </x:c>
      <x:c r="D92" s="77" t="str">
        <x:v>recognized non-credit state</x:v>
      </x:c>
      <x:c r="E92" s="77" t="n">
        <x:f>IF(OR('Evidence Gates'!I22="OPEN",'Evidence Gates'!I22="PASS",'Evidence Gates'!I22="FAIL"),1,0)</x:f>
        <x:v>1</x:v>
      </x:c>
      <x:c r="F92" s="77" t="n">
        <x:v>1</x:v>
      </x:c>
      <x:c r="G92" s="79" t="str">
        <x:f>IF(E92=F92,"PASS","FAIL")</x:f>
        <x:v>PASS</x:v>
      </x:c>
    </x:row>
    <x:row r="93">
      <x:c r="B93" s="77" t="str">
        <x:v>evidence state 017</x:v>
      </x:c>
      <x:c r="C93" s="77" t="str">
        <x:v>evidence</x:v>
      </x:c>
      <x:c r="D93" s="77" t="str">
        <x:v>recognized non-credit state</x:v>
      </x:c>
      <x:c r="E93" s="77" t="n">
        <x:f>IF(OR('Evidence Gates'!I23="OPEN",'Evidence Gates'!I23="PASS",'Evidence Gates'!I23="FAIL"),1,0)</x:f>
        <x:v>1</x:v>
      </x:c>
      <x:c r="F93" s="77" t="n">
        <x:v>1</x:v>
      </x:c>
      <x:c r="G93" s="79" t="str">
        <x:f>IF(E93=F93,"PASS","FAIL")</x:f>
        <x:v>PASS</x:v>
      </x:c>
    </x:row>
    <x:row r="94">
      <x:c r="B94" s="77" t="str">
        <x:v>evidence state 018</x:v>
      </x:c>
      <x:c r="C94" s="77" t="str">
        <x:v>evidence</x:v>
      </x:c>
      <x:c r="D94" s="77" t="str">
        <x:v>recognized non-credit state</x:v>
      </x:c>
      <x:c r="E94" s="77" t="n">
        <x:f>IF(OR('Evidence Gates'!I24="OPEN",'Evidence Gates'!I24="PASS",'Evidence Gates'!I24="FAIL"),1,0)</x:f>
        <x:v>1</x:v>
      </x:c>
      <x:c r="F94" s="77" t="n">
        <x:v>1</x:v>
      </x:c>
      <x:c r="G94" s="79" t="str">
        <x:f>IF(E94=F94,"PASS","FAIL")</x:f>
        <x:v>PASS</x:v>
      </x:c>
    </x:row>
    <x:row r="95">
      <x:c r="B95" s="77" t="str">
        <x:v>evidence state 019</x:v>
      </x:c>
      <x:c r="C95" s="77" t="str">
        <x:v>evidence</x:v>
      </x:c>
      <x:c r="D95" s="77" t="str">
        <x:v>recognized non-credit state</x:v>
      </x:c>
      <x:c r="E95" s="77" t="n">
        <x:f>IF(OR('Evidence Gates'!I25="OPEN",'Evidence Gates'!I25="PASS",'Evidence Gates'!I25="FAIL"),1,0)</x:f>
        <x:v>1</x:v>
      </x:c>
      <x:c r="F95" s="77" t="n">
        <x:v>1</x:v>
      </x:c>
      <x:c r="G95" s="79" t="str">
        <x:f>IF(E95=F95,"PASS","FAIL")</x:f>
        <x:v>PASS</x:v>
      </x:c>
    </x:row>
    <x:row r="96">
      <x:c r="B96" s="77" t="str">
        <x:v>evidence state 020</x:v>
      </x:c>
      <x:c r="C96" s="77" t="str">
        <x:v>evidence</x:v>
      </x:c>
      <x:c r="D96" s="77" t="str">
        <x:v>recognized non-credit state</x:v>
      </x:c>
      <x:c r="E96" s="77" t="n">
        <x:f>IF(OR('Evidence Gates'!I26="OPEN",'Evidence Gates'!I26="PASS",'Evidence Gates'!I26="FAIL"),1,0)</x:f>
        <x:v>1</x:v>
      </x:c>
      <x:c r="F96" s="77" t="n">
        <x:v>1</x:v>
      </x:c>
      <x:c r="G96" s="79" t="str">
        <x:f>IF(E96=F96,"PASS","FAIL")</x:f>
        <x:v>PASS</x:v>
      </x:c>
    </x:row>
    <x:row r="97">
      <x:c r="B97" s="77" t="str">
        <x:v>evidence state 021</x:v>
      </x:c>
      <x:c r="C97" s="77" t="str">
        <x:v>evidence</x:v>
      </x:c>
      <x:c r="D97" s="77" t="str">
        <x:v>recognized non-credit state</x:v>
      </x:c>
      <x:c r="E97" s="77" t="n">
        <x:f>IF(OR('Evidence Gates'!I27="OPEN",'Evidence Gates'!I27="PASS",'Evidence Gates'!I27="FAIL"),1,0)</x:f>
        <x:v>1</x:v>
      </x:c>
      <x:c r="F97" s="77" t="n">
        <x:v>1</x:v>
      </x:c>
      <x:c r="G97" s="79" t="str">
        <x:f>IF(E97=F97,"PASS","FAIL")</x:f>
        <x:v>PASS</x:v>
      </x:c>
    </x:row>
    <x:row r="98">
      <x:c r="B98" s="77" t="str">
        <x:v>evidence state 022</x:v>
      </x:c>
      <x:c r="C98" s="77" t="str">
        <x:v>evidence</x:v>
      </x:c>
      <x:c r="D98" s="77" t="str">
        <x:v>recognized non-credit state</x:v>
      </x:c>
      <x:c r="E98" s="77" t="n">
        <x:f>IF(OR('Evidence Gates'!I28="OPEN",'Evidence Gates'!I28="PASS",'Evidence Gates'!I28="FAIL"),1,0)</x:f>
        <x:v>1</x:v>
      </x:c>
      <x:c r="F98" s="77" t="n">
        <x:v>1</x:v>
      </x:c>
      <x:c r="G98" s="79" t="str">
        <x:f>IF(E98=F98,"PASS","FAIL")</x:f>
        <x:v>PASS</x:v>
      </x:c>
    </x:row>
    <x:row r="99">
      <x:c r="B99" s="77" t="str">
        <x:v>evidence state 023</x:v>
      </x:c>
      <x:c r="C99" s="77" t="str">
        <x:v>evidence</x:v>
      </x:c>
      <x:c r="D99" s="77" t="str">
        <x:v>recognized non-credit state</x:v>
      </x:c>
      <x:c r="E99" s="77" t="n">
        <x:f>IF(OR('Evidence Gates'!I29="OPEN",'Evidence Gates'!I29="PASS",'Evidence Gates'!I29="FAIL"),1,0)</x:f>
        <x:v>1</x:v>
      </x:c>
      <x:c r="F99" s="77" t="n">
        <x:v>1</x:v>
      </x:c>
      <x:c r="G99" s="79" t="str">
        <x:f>IF(E99=F99,"PASS","FAIL")</x:f>
        <x:v>PASS</x:v>
      </x:c>
    </x:row>
    <x:row r="100">
      <x:c r="B100" s="77" t="str">
        <x:v>evidence state 024</x:v>
      </x:c>
      <x:c r="C100" s="77" t="str">
        <x:v>evidence</x:v>
      </x:c>
      <x:c r="D100" s="77" t="str">
        <x:v>recognized non-credit state</x:v>
      </x:c>
      <x:c r="E100" s="77" t="n">
        <x:f>IF(OR('Evidence Gates'!I30="OPEN",'Evidence Gates'!I30="PASS",'Evidence Gates'!I30="FAIL"),1,0)</x:f>
        <x:v>1</x:v>
      </x:c>
      <x:c r="F100" s="77" t="n">
        <x:v>1</x:v>
      </x:c>
      <x:c r="G100" s="79" t="str">
        <x:f>IF(E100=F100,"PASS","FAIL")</x:f>
        <x:v>PASS</x:v>
      </x:c>
    </x:row>
    <x:row r="101">
      <x:c r="B101" s="77" t="str">
        <x:v>evidence state 025</x:v>
      </x:c>
      <x:c r="C101" s="77" t="str">
        <x:v>evidence</x:v>
      </x:c>
      <x:c r="D101" s="77" t="str">
        <x:v>recognized non-credit state</x:v>
      </x:c>
      <x:c r="E101" s="77" t="n">
        <x:f>IF(OR('Evidence Gates'!I31="OPEN",'Evidence Gates'!I31="PASS",'Evidence Gates'!I31="FAIL"),1,0)</x:f>
        <x:v>1</x:v>
      </x:c>
      <x:c r="F101" s="77" t="n">
        <x:v>1</x:v>
      </x:c>
      <x:c r="G101" s="79" t="str">
        <x:f>IF(E101=F101,"PASS","FAIL")</x:f>
        <x:v>PASS</x:v>
      </x:c>
    </x:row>
    <x:row r="102">
      <x:c r="B102" s="77" t="str">
        <x:v>evidence state 026</x:v>
      </x:c>
      <x:c r="C102" s="77" t="str">
        <x:v>evidence</x:v>
      </x:c>
      <x:c r="D102" s="77" t="str">
        <x:v>recognized non-credit state</x:v>
      </x:c>
      <x:c r="E102" s="77" t="n">
        <x:f>IF(OR('Evidence Gates'!I32="OPEN",'Evidence Gates'!I32="PASS",'Evidence Gates'!I32="FAIL"),1,0)</x:f>
        <x:v>1</x:v>
      </x:c>
      <x:c r="F102" s="77" t="n">
        <x:v>1</x:v>
      </x:c>
      <x:c r="G102" s="79" t="str">
        <x:f>IF(E102=F102,"PASS","FAIL")</x:f>
        <x:v>PASS</x:v>
      </x:c>
    </x:row>
    <x:row r="103">
      <x:c r="B103" s="77" t="str">
        <x:v>evidence state 027</x:v>
      </x:c>
      <x:c r="C103" s="77" t="str">
        <x:v>evidence</x:v>
      </x:c>
      <x:c r="D103" s="77" t="str">
        <x:v>recognized non-credit state</x:v>
      </x:c>
      <x:c r="E103" s="77" t="n">
        <x:f>IF(OR('Evidence Gates'!I33="OPEN",'Evidence Gates'!I33="PASS",'Evidence Gates'!I33="FAIL"),1,0)</x:f>
        <x:v>1</x:v>
      </x:c>
      <x:c r="F103" s="77" t="n">
        <x:v>1</x:v>
      </x:c>
      <x:c r="G103" s="79" t="str">
        <x:f>IF(E103=F103,"PASS","FAIL")</x:f>
        <x:v>PASS</x:v>
      </x:c>
    </x:row>
    <x:row r="104">
      <x:c r="B104" s="77" t="str">
        <x:v>evidence state 028</x:v>
      </x:c>
      <x:c r="C104" s="77" t="str">
        <x:v>evidence</x:v>
      </x:c>
      <x:c r="D104" s="77" t="str">
        <x:v>recognized non-credit state</x:v>
      </x:c>
      <x:c r="E104" s="77" t="n">
        <x:f>IF(OR('Evidence Gates'!I34="OPEN",'Evidence Gates'!I34="PASS",'Evidence Gates'!I34="FAIL"),1,0)</x:f>
        <x:v>1</x:v>
      </x:c>
      <x:c r="F104" s="77" t="n">
        <x:v>1</x:v>
      </x:c>
      <x:c r="G104" s="79" t="str">
        <x:f>IF(E104=F104,"PASS","FAIL")</x:f>
        <x:v>PASS</x:v>
      </x:c>
    </x:row>
    <x:row r="105">
      <x:c r="B105" s="77" t="str">
        <x:v>evidence state 029</x:v>
      </x:c>
      <x:c r="C105" s="77" t="str">
        <x:v>evidence</x:v>
      </x:c>
      <x:c r="D105" s="77" t="str">
        <x:v>recognized non-credit state</x:v>
      </x:c>
      <x:c r="E105" s="77" t="n">
        <x:f>IF(OR('Evidence Gates'!I35="OPEN",'Evidence Gates'!I35="PASS",'Evidence Gates'!I35="FAIL"),1,0)</x:f>
        <x:v>1</x:v>
      </x:c>
      <x:c r="F105" s="77" t="n">
        <x:v>1</x:v>
      </x:c>
      <x:c r="G105" s="79" t="str">
        <x:f>IF(E105=F105,"PASS","FAIL")</x:f>
        <x:v>PASS</x:v>
      </x:c>
    </x:row>
    <x:row r="106">
      <x:c r="B106" s="77" t="str">
        <x:v>evidence state 030</x:v>
      </x:c>
      <x:c r="C106" s="77" t="str">
        <x:v>evidence</x:v>
      </x:c>
      <x:c r="D106" s="77" t="str">
        <x:v>recognized non-credit state</x:v>
      </x:c>
      <x:c r="E106" s="77" t="n">
        <x:f>IF(OR('Evidence Gates'!I36="OPEN",'Evidence Gates'!I36="PASS",'Evidence Gates'!I36="FAIL"),1,0)</x:f>
        <x:v>1</x:v>
      </x:c>
      <x:c r="F106" s="77" t="n">
        <x:v>1</x:v>
      </x:c>
      <x:c r="G106" s="79" t="str">
        <x:f>IF(E106=F106,"PASS","FAIL")</x:f>
        <x:v>PASS</x:v>
      </x:c>
    </x:row>
    <x:row r="107">
      <x:c r="B107" s="77" t="str">
        <x:v>evidence state 031</x:v>
      </x:c>
      <x:c r="C107" s="77" t="str">
        <x:v>evidence</x:v>
      </x:c>
      <x:c r="D107" s="77" t="str">
        <x:v>recognized non-credit state</x:v>
      </x:c>
      <x:c r="E107" s="77" t="n">
        <x:f>IF(OR('Evidence Gates'!I37="OPEN",'Evidence Gates'!I37="PASS",'Evidence Gates'!I37="FAIL"),1,0)</x:f>
        <x:v>1</x:v>
      </x:c>
      <x:c r="F107" s="77" t="n">
        <x:v>1</x:v>
      </x:c>
      <x:c r="G107" s="79" t="str">
        <x:f>IF(E107=F107,"PASS","FAIL")</x:f>
        <x:v>PASS</x:v>
      </x:c>
    </x:row>
    <x:row r="108">
      <x:c r="B108" s="77" t="str">
        <x:v>evidence state 032</x:v>
      </x:c>
      <x:c r="C108" s="77" t="str">
        <x:v>evidence</x:v>
      </x:c>
      <x:c r="D108" s="77" t="str">
        <x:v>recognized non-credit state</x:v>
      </x:c>
      <x:c r="E108" s="77" t="n">
        <x:f>IF(OR('Evidence Gates'!I38="OPEN",'Evidence Gates'!I38="PASS",'Evidence Gates'!I38="FAIL"),1,0)</x:f>
        <x:v>1</x:v>
      </x:c>
      <x:c r="F108" s="77" t="n">
        <x:v>1</x:v>
      </x:c>
      <x:c r="G108" s="79" t="str">
        <x:f>IF(E108=F108,"PASS","FAIL")</x:f>
        <x:v>PASS</x:v>
      </x:c>
    </x:row>
    <x:row r="109">
      <x:c r="B109" s="77" t="str">
        <x:v>evidence state 033</x:v>
      </x:c>
      <x:c r="C109" s="77" t="str">
        <x:v>evidence</x:v>
      </x:c>
      <x:c r="D109" s="77" t="str">
        <x:v>recognized non-credit state</x:v>
      </x:c>
      <x:c r="E109" s="77" t="n">
        <x:f>IF(OR('Evidence Gates'!I39="OPEN",'Evidence Gates'!I39="PASS",'Evidence Gates'!I39="FAIL"),1,0)</x:f>
        <x:v>1</x:v>
      </x:c>
      <x:c r="F109" s="77" t="n">
        <x:v>1</x:v>
      </x:c>
      <x:c r="G109" s="79" t="str">
        <x:f>IF(E109=F109,"PASS","FAIL")</x:f>
        <x:v>PASS</x:v>
      </x:c>
    </x:row>
    <x:row r="110">
      <x:c r="B110" s="77" t="str">
        <x:v>evidence state 034</x:v>
      </x:c>
      <x:c r="C110" s="77" t="str">
        <x:v>evidence</x:v>
      </x:c>
      <x:c r="D110" s="77" t="str">
        <x:v>recognized non-credit state</x:v>
      </x:c>
      <x:c r="E110" s="77" t="n">
        <x:f>IF(OR('Evidence Gates'!I40="OPEN",'Evidence Gates'!I40="PASS",'Evidence Gates'!I40="FAIL"),1,0)</x:f>
        <x:v>1</x:v>
      </x:c>
      <x:c r="F110" s="77" t="n">
        <x:v>1</x:v>
      </x:c>
      <x:c r="G110" s="79" t="str">
        <x:f>IF(E110=F110,"PASS","FAIL")</x:f>
        <x:v>PASS</x:v>
      </x:c>
    </x:row>
    <x:row r="111">
      <x:c r="B111" s="77" t="str">
        <x:v>evidence state 035</x:v>
      </x:c>
      <x:c r="C111" s="77" t="str">
        <x:v>evidence</x:v>
      </x:c>
      <x:c r="D111" s="77" t="str">
        <x:v>recognized non-credit state</x:v>
      </x:c>
      <x:c r="E111" s="77" t="n">
        <x:f>IF(OR('Evidence Gates'!I41="OPEN",'Evidence Gates'!I41="PASS",'Evidence Gates'!I41="FAIL"),1,0)</x:f>
        <x:v>1</x:v>
      </x:c>
      <x:c r="F111" s="77" t="n">
        <x:v>1</x:v>
      </x:c>
      <x:c r="G111" s="79" t="str">
        <x:f>IF(E111=F111,"PASS","FAIL")</x:f>
        <x:v>PASS</x:v>
      </x:c>
    </x:row>
    <x:row r="112">
      <x:c r="B112" s="77" t="str">
        <x:v>evidence state 036</x:v>
      </x:c>
      <x:c r="C112" s="77" t="str">
        <x:v>evidence</x:v>
      </x:c>
      <x:c r="D112" s="77" t="str">
        <x:v>recognized non-credit state</x:v>
      </x:c>
      <x:c r="E112" s="77" t="n">
        <x:f>IF(OR('Evidence Gates'!I42="OPEN",'Evidence Gates'!I42="PASS",'Evidence Gates'!I42="FAIL"),1,0)</x:f>
        <x:v>1</x:v>
      </x:c>
      <x:c r="F112" s="77" t="n">
        <x:v>1</x:v>
      </x:c>
      <x:c r="G112" s="79" t="str">
        <x:f>IF(E112=F112,"PASS","FAIL")</x:f>
        <x:v>PASS</x:v>
      </x:c>
    </x:row>
    <x:row r="113">
      <x:c r="B113" s="77" t="str">
        <x:v>evidence state 037</x:v>
      </x:c>
      <x:c r="C113" s="77" t="str">
        <x:v>evidence</x:v>
      </x:c>
      <x:c r="D113" s="77" t="str">
        <x:v>recognized non-credit state</x:v>
      </x:c>
      <x:c r="E113" s="77" t="n">
        <x:f>IF(OR('Evidence Gates'!I43="OPEN",'Evidence Gates'!I43="PASS",'Evidence Gates'!I43="FAIL"),1,0)</x:f>
        <x:v>1</x:v>
      </x:c>
      <x:c r="F113" s="77" t="n">
        <x:v>1</x:v>
      </x:c>
      <x:c r="G113" s="79" t="str">
        <x:f>IF(E113=F113,"PASS","FAIL")</x:f>
        <x:v>PASS</x:v>
      </x:c>
    </x:row>
    <x:row r="114">
      <x:c r="B114" s="77" t="str">
        <x:v>evidence state 038</x:v>
      </x:c>
      <x:c r="C114" s="77" t="str">
        <x:v>evidence</x:v>
      </x:c>
      <x:c r="D114" s="77" t="str">
        <x:v>recognized non-credit state</x:v>
      </x:c>
      <x:c r="E114" s="77" t="n">
        <x:f>IF(OR('Evidence Gates'!I44="OPEN",'Evidence Gates'!I44="PASS",'Evidence Gates'!I44="FAIL"),1,0)</x:f>
        <x:v>1</x:v>
      </x:c>
      <x:c r="F114" s="77" t="n">
        <x:v>1</x:v>
      </x:c>
      <x:c r="G114" s="79" t="str">
        <x:f>IF(E114=F114,"PASS","FAIL")</x:f>
        <x:v>PASS</x:v>
      </x:c>
    </x:row>
    <x:row r="115">
      <x:c r="B115" s="77" t="str">
        <x:v>evidence state 039</x:v>
      </x:c>
      <x:c r="C115" s="77" t="str">
        <x:v>evidence</x:v>
      </x:c>
      <x:c r="D115" s="77" t="str">
        <x:v>recognized non-credit state</x:v>
      </x:c>
      <x:c r="E115" s="77" t="n">
        <x:f>IF(OR('Evidence Gates'!I45="OPEN",'Evidence Gates'!I45="PASS",'Evidence Gates'!I45="FAIL"),1,0)</x:f>
        <x:v>1</x:v>
      </x:c>
      <x:c r="F115" s="77" t="n">
        <x:v>1</x:v>
      </x:c>
      <x:c r="G115" s="79" t="str">
        <x:f>IF(E115=F115,"PASS","FAIL")</x:f>
        <x:v>PASS</x:v>
      </x:c>
    </x:row>
    <x:row r="116">
      <x:c r="B116" s="77" t="str">
        <x:v>evidence state 040</x:v>
      </x:c>
      <x:c r="C116" s="77" t="str">
        <x:v>evidence</x:v>
      </x:c>
      <x:c r="D116" s="77" t="str">
        <x:v>recognized non-credit state</x:v>
      </x:c>
      <x:c r="E116" s="77" t="n">
        <x:f>IF(OR('Evidence Gates'!I46="OPEN",'Evidence Gates'!I46="PASS",'Evidence Gates'!I46="FAIL"),1,0)</x:f>
        <x:v>1</x:v>
      </x:c>
      <x:c r="F116" s="77" t="n">
        <x:v>1</x:v>
      </x:c>
      <x:c r="G116" s="79" t="str">
        <x:f>IF(E116=F116,"PASS","FAIL")</x:f>
        <x:v>PASS</x:v>
      </x:c>
    </x:row>
    <x:row r="117">
      <x:c r="B117" s="77" t="str">
        <x:v>evidence state 041</x:v>
      </x:c>
      <x:c r="C117" s="77" t="str">
        <x:v>evidence</x:v>
      </x:c>
      <x:c r="D117" s="77" t="str">
        <x:v>recognized non-credit state</x:v>
      </x:c>
      <x:c r="E117" s="77" t="n">
        <x:f>IF(OR('Evidence Gates'!I47="OPEN",'Evidence Gates'!I47="PASS",'Evidence Gates'!I47="FAIL"),1,0)</x:f>
        <x:v>1</x:v>
      </x:c>
      <x:c r="F117" s="77" t="n">
        <x:v>1</x:v>
      </x:c>
      <x:c r="G117" s="79" t="str">
        <x:f>IF(E117=F117,"PASS","FAIL")</x:f>
        <x:v>PASS</x:v>
      </x:c>
    </x:row>
    <x:row r="118">
      <x:c r="B118" s="77" t="str">
        <x:v>evidence state 042</x:v>
      </x:c>
      <x:c r="C118" s="77" t="str">
        <x:v>evidence</x:v>
      </x:c>
      <x:c r="D118" s="77" t="str">
        <x:v>recognized non-credit state</x:v>
      </x:c>
      <x:c r="E118" s="77" t="n">
        <x:f>IF(OR('Evidence Gates'!I48="OPEN",'Evidence Gates'!I48="PASS",'Evidence Gates'!I48="FAIL"),1,0)</x:f>
        <x:v>1</x:v>
      </x:c>
      <x:c r="F118" s="77" t="n">
        <x:v>1</x:v>
      </x:c>
      <x:c r="G118" s="79" t="str">
        <x:f>IF(E118=F118,"PASS","FAIL")</x:f>
        <x:v>PASS</x:v>
      </x:c>
    </x:row>
    <x:row r="119">
      <x:c r="B119" s="77" t="str">
        <x:v>evidence state 043</x:v>
      </x:c>
      <x:c r="C119" s="77" t="str">
        <x:v>evidence</x:v>
      </x:c>
      <x:c r="D119" s="77" t="str">
        <x:v>recognized non-credit state</x:v>
      </x:c>
      <x:c r="E119" s="77" t="n">
        <x:f>IF(OR('Evidence Gates'!I49="OPEN",'Evidence Gates'!I49="PASS",'Evidence Gates'!I49="FAIL"),1,0)</x:f>
        <x:v>1</x:v>
      </x:c>
      <x:c r="F119" s="77" t="n">
        <x:v>1</x:v>
      </x:c>
      <x:c r="G119" s="79" t="str">
        <x:f>IF(E119=F119,"PASS","FAIL")</x:f>
        <x:v>PASS</x:v>
      </x:c>
    </x:row>
    <x:row r="120">
      <x:c r="B120" s="77" t="str">
        <x:v>evidence state 044</x:v>
      </x:c>
      <x:c r="C120" s="77" t="str">
        <x:v>evidence</x:v>
      </x:c>
      <x:c r="D120" s="77" t="str">
        <x:v>recognized non-credit state</x:v>
      </x:c>
      <x:c r="E120" s="77" t="n">
        <x:f>IF(OR('Evidence Gates'!I50="OPEN",'Evidence Gates'!I50="PASS",'Evidence Gates'!I50="FAIL"),1,0)</x:f>
        <x:v>1</x:v>
      </x:c>
      <x:c r="F120" s="77" t="n">
        <x:v>1</x:v>
      </x:c>
      <x:c r="G120" s="79" t="str">
        <x:f>IF(E120=F120,"PASS","FAIL")</x:f>
        <x:v>PASS</x:v>
      </x:c>
    </x:row>
    <x:row r="121">
      <x:c r="B121" s="77" t="str">
        <x:v>evidence state 045</x:v>
      </x:c>
      <x:c r="C121" s="77" t="str">
        <x:v>evidence</x:v>
      </x:c>
      <x:c r="D121" s="77" t="str">
        <x:v>recognized non-credit state</x:v>
      </x:c>
      <x:c r="E121" s="77" t="n">
        <x:f>IF(OR('Evidence Gates'!I51="OPEN",'Evidence Gates'!I51="PASS",'Evidence Gates'!I51="FAIL"),1,0)</x:f>
        <x:v>1</x:v>
      </x:c>
      <x:c r="F121" s="77" t="n">
        <x:v>1</x:v>
      </x:c>
      <x:c r="G121" s="79" t="str">
        <x:f>IF(E121=F121,"PASS","FAIL")</x:f>
        <x:v>PASS</x:v>
      </x:c>
    </x:row>
    <x:row r="122">
      <x:c r="B122" s="77" t="str">
        <x:v>evidence state 046</x:v>
      </x:c>
      <x:c r="C122" s="77" t="str">
        <x:v>evidence</x:v>
      </x:c>
      <x:c r="D122" s="77" t="str">
        <x:v>recognized non-credit state</x:v>
      </x:c>
      <x:c r="E122" s="77" t="n">
        <x:f>IF(OR('Evidence Gates'!I52="OPEN",'Evidence Gates'!I52="PASS",'Evidence Gates'!I52="FAIL"),1,0)</x:f>
        <x:v>1</x:v>
      </x:c>
      <x:c r="F122" s="77" t="n">
        <x:v>1</x:v>
      </x:c>
      <x:c r="G122" s="79" t="str">
        <x:f>IF(E122=F122,"PASS","FAIL")</x:f>
        <x:v>PASS</x:v>
      </x:c>
    </x:row>
    <x:row r="123">
      <x:c r="B123" s="77" t="str">
        <x:v>evidence state 047</x:v>
      </x:c>
      <x:c r="C123" s="77" t="str">
        <x:v>evidence</x:v>
      </x:c>
      <x:c r="D123" s="77" t="str">
        <x:v>recognized non-credit state</x:v>
      </x:c>
      <x:c r="E123" s="77" t="n">
        <x:f>IF(OR('Evidence Gates'!I53="OPEN",'Evidence Gates'!I53="PASS",'Evidence Gates'!I53="FAIL"),1,0)</x:f>
        <x:v>1</x:v>
      </x:c>
      <x:c r="F123" s="77" t="n">
        <x:v>1</x:v>
      </x:c>
      <x:c r="G123" s="79" t="str">
        <x:f>IF(E123=F123,"PASS","FAIL")</x:f>
        <x:v>PASS</x:v>
      </x:c>
    </x:row>
    <x:row r="124">
      <x:c r="B124" s="77" t="str">
        <x:v>evidence state 048</x:v>
      </x:c>
      <x:c r="C124" s="77" t="str">
        <x:v>evidence</x:v>
      </x:c>
      <x:c r="D124" s="77" t="str">
        <x:v>recognized non-credit state</x:v>
      </x:c>
      <x:c r="E124" s="77" t="n">
        <x:f>IF(OR('Evidence Gates'!I54="OPEN",'Evidence Gates'!I54="PASS",'Evidence Gates'!I54="FAIL"),1,0)</x:f>
        <x:v>1</x:v>
      </x:c>
      <x:c r="F124" s="77" t="n">
        <x:v>1</x:v>
      </x:c>
      <x:c r="G124" s="79" t="str">
        <x:f>IF(E124=F124,"PASS","FAIL")</x:f>
        <x:v>PASS</x:v>
      </x:c>
    </x:row>
    <x:row r="125">
      <x:c r="B125" s="77" t="str">
        <x:v>evidence state 049</x:v>
      </x:c>
      <x:c r="C125" s="77" t="str">
        <x:v>evidence</x:v>
      </x:c>
      <x:c r="D125" s="77" t="str">
        <x:v>recognized non-credit state</x:v>
      </x:c>
      <x:c r="E125" s="77" t="n">
        <x:f>IF(OR('Evidence Gates'!I55="OPEN",'Evidence Gates'!I55="PASS",'Evidence Gates'!I55="FAIL"),1,0)</x:f>
        <x:v>1</x:v>
      </x:c>
      <x:c r="F125" s="77" t="n">
        <x:v>1</x:v>
      </x:c>
      <x:c r="G125" s="79" t="str">
        <x:f>IF(E125=F125,"PASS","FAIL")</x:f>
        <x:v>PASS</x:v>
      </x:c>
    </x:row>
    <x:row r="126">
      <x:c r="B126" s="77" t="str">
        <x:v>evidence state 050</x:v>
      </x:c>
      <x:c r="C126" s="77" t="str">
        <x:v>evidence</x:v>
      </x:c>
      <x:c r="D126" s="77" t="str">
        <x:v>recognized non-credit state</x:v>
      </x:c>
      <x:c r="E126" s="77" t="n">
        <x:f>IF(OR('Evidence Gates'!I56="OPEN",'Evidence Gates'!I56="PASS",'Evidence Gates'!I56="FAIL"),1,0)</x:f>
        <x:v>1</x:v>
      </x:c>
      <x:c r="F126" s="77" t="n">
        <x:v>1</x:v>
      </x:c>
      <x:c r="G126" s="79" t="str">
        <x:f>IF(E126=F126,"PASS","FAIL")</x:f>
        <x:v>PASS</x:v>
      </x:c>
    </x:row>
    <x:row r="127">
      <x:c r="B127" s="77" t="str">
        <x:v>evidence state 051</x:v>
      </x:c>
      <x:c r="C127" s="77" t="str">
        <x:v>evidence</x:v>
      </x:c>
      <x:c r="D127" s="77" t="str">
        <x:v>recognized non-credit state</x:v>
      </x:c>
      <x:c r="E127" s="77" t="n">
        <x:f>IF(OR('Evidence Gates'!I57="OPEN",'Evidence Gates'!I57="PASS",'Evidence Gates'!I57="FAIL"),1,0)</x:f>
        <x:v>1</x:v>
      </x:c>
      <x:c r="F127" s="77" t="n">
        <x:v>1</x:v>
      </x:c>
      <x:c r="G127" s="79" t="str">
        <x:f>IF(E127=F127,"PASS","FAIL")</x:f>
        <x:v>PASS</x:v>
      </x:c>
    </x:row>
    <x:row r="128">
      <x:c r="B128" s="77" t="str">
        <x:v>evidence state 052</x:v>
      </x:c>
      <x:c r="C128" s="77" t="str">
        <x:v>evidence</x:v>
      </x:c>
      <x:c r="D128" s="77" t="str">
        <x:v>recognized non-credit state</x:v>
      </x:c>
      <x:c r="E128" s="77" t="n">
        <x:f>IF(OR('Evidence Gates'!I58="OPEN",'Evidence Gates'!I58="PASS",'Evidence Gates'!I58="FAIL"),1,0)</x:f>
        <x:v>1</x:v>
      </x:c>
      <x:c r="F128" s="77" t="n">
        <x:v>1</x:v>
      </x:c>
      <x:c r="G128" s="79" t="str">
        <x:f>IF(E128=F128,"PASS","FAIL")</x:f>
        <x:v>PASS</x:v>
      </x:c>
    </x:row>
    <x:row r="129">
      <x:c r="B129" s="77" t="str">
        <x:v>evidence state 053</x:v>
      </x:c>
      <x:c r="C129" s="77" t="str">
        <x:v>evidence</x:v>
      </x:c>
      <x:c r="D129" s="77" t="str">
        <x:v>recognized non-credit state</x:v>
      </x:c>
      <x:c r="E129" s="77" t="n">
        <x:f>IF(OR('Evidence Gates'!I59="OPEN",'Evidence Gates'!I59="PASS",'Evidence Gates'!I59="FAIL"),1,0)</x:f>
        <x:v>1</x:v>
      </x:c>
      <x:c r="F129" s="77" t="n">
        <x:v>1</x:v>
      </x:c>
      <x:c r="G129" s="79" t="str">
        <x:f>IF(E129=F129,"PASS","FAIL")</x:f>
        <x:v>PASS</x:v>
      </x:c>
    </x:row>
    <x:row r="130">
      <x:c r="B130" s="77" t="str">
        <x:v>evidence state 054</x:v>
      </x:c>
      <x:c r="C130" s="77" t="str">
        <x:v>evidence</x:v>
      </x:c>
      <x:c r="D130" s="77" t="str">
        <x:v>recognized non-credit state</x:v>
      </x:c>
      <x:c r="E130" s="77" t="n">
        <x:f>IF(OR('Evidence Gates'!I60="OPEN",'Evidence Gates'!I60="PASS",'Evidence Gates'!I60="FAIL"),1,0)</x:f>
        <x:v>1</x:v>
      </x:c>
      <x:c r="F130" s="77" t="n">
        <x:v>1</x:v>
      </x:c>
      <x:c r="G130" s="79" t="str">
        <x:f>IF(E130=F130,"PASS","FAIL")</x:f>
        <x:v>PASS</x:v>
      </x:c>
    </x:row>
    <x:row r="131">
      <x:c r="B131" s="77" t="str">
        <x:v>evidence state 055</x:v>
      </x:c>
      <x:c r="C131" s="77" t="str">
        <x:v>evidence</x:v>
      </x:c>
      <x:c r="D131" s="77" t="str">
        <x:v>recognized non-credit state</x:v>
      </x:c>
      <x:c r="E131" s="77" t="n">
        <x:f>IF(OR('Evidence Gates'!I61="OPEN",'Evidence Gates'!I61="PASS",'Evidence Gates'!I61="FAIL"),1,0)</x:f>
        <x:v>1</x:v>
      </x:c>
      <x:c r="F131" s="77" t="n">
        <x:v>1</x:v>
      </x:c>
      <x:c r="G131" s="79" t="str">
        <x:f>IF(E131=F131,"PASS","FAIL")</x:f>
        <x:v>PASS</x:v>
      </x:c>
    </x:row>
    <x:row r="132">
      <x:c r="B132" s="77" t="str">
        <x:v>evidence state 056</x:v>
      </x:c>
      <x:c r="C132" s="77" t="str">
        <x:v>evidence</x:v>
      </x:c>
      <x:c r="D132" s="77" t="str">
        <x:v>recognized non-credit state</x:v>
      </x:c>
      <x:c r="E132" s="77" t="n">
        <x:f>IF(OR('Evidence Gates'!I62="OPEN",'Evidence Gates'!I62="PASS",'Evidence Gates'!I62="FAIL"),1,0)</x:f>
        <x:v>1</x:v>
      </x:c>
      <x:c r="F132" s="77" t="n">
        <x:v>1</x:v>
      </x:c>
      <x:c r="G132" s="79" t="str">
        <x:f>IF(E132=F132,"PASS","FAIL")</x:f>
        <x:v>PASS</x:v>
      </x:c>
    </x:row>
    <x:row r="133">
      <x:c r="B133" s="77" t="str">
        <x:v>evidence state 057</x:v>
      </x:c>
      <x:c r="C133" s="77" t="str">
        <x:v>evidence</x:v>
      </x:c>
      <x:c r="D133" s="77" t="str">
        <x:v>recognized non-credit state</x:v>
      </x:c>
      <x:c r="E133" s="77" t="n">
        <x:f>IF(OR('Evidence Gates'!I63="OPEN",'Evidence Gates'!I63="PASS",'Evidence Gates'!I63="FAIL"),1,0)</x:f>
        <x:v>1</x:v>
      </x:c>
      <x:c r="F133" s="77" t="n">
        <x:v>1</x:v>
      </x:c>
      <x:c r="G133" s="79" t="str">
        <x:f>IF(E133=F133,"PASS","FAIL")</x:f>
        <x:v>PASS</x:v>
      </x:c>
    </x:row>
    <x:row r="134">
      <x:c r="B134" s="77" t="str">
        <x:v>evidence state 058</x:v>
      </x:c>
      <x:c r="C134" s="77" t="str">
        <x:v>evidence</x:v>
      </x:c>
      <x:c r="D134" s="77" t="str">
        <x:v>recognized non-credit state</x:v>
      </x:c>
      <x:c r="E134" s="77" t="n">
        <x:f>IF(OR('Evidence Gates'!I64="OPEN",'Evidence Gates'!I64="PASS",'Evidence Gates'!I64="FAIL"),1,0)</x:f>
        <x:v>1</x:v>
      </x:c>
      <x:c r="F134" s="77" t="n">
        <x:v>1</x:v>
      </x:c>
      <x:c r="G134" s="79" t="str">
        <x:f>IF(E134=F134,"PASS","FAIL")</x:f>
        <x:v>PASS</x:v>
      </x:c>
    </x:row>
    <x:row r="135">
      <x:c r="B135" s="77" t="str">
        <x:v>evidence state 059</x:v>
      </x:c>
      <x:c r="C135" s="77" t="str">
        <x:v>evidence</x:v>
      </x:c>
      <x:c r="D135" s="77" t="str">
        <x:v>recognized non-credit state</x:v>
      </x:c>
      <x:c r="E135" s="77" t="n">
        <x:f>IF(OR('Evidence Gates'!I65="OPEN",'Evidence Gates'!I65="PASS",'Evidence Gates'!I65="FAIL"),1,0)</x:f>
        <x:v>1</x:v>
      </x:c>
      <x:c r="F135" s="77" t="n">
        <x:v>1</x:v>
      </x:c>
      <x:c r="G135" s="79" t="str">
        <x:f>IF(E135=F135,"PASS","FAIL")</x:f>
        <x:v>PASS</x:v>
      </x:c>
    </x:row>
    <x:row r="136">
      <x:c r="B136" s="77" t="str">
        <x:v>evidence state 060</x:v>
      </x:c>
      <x:c r="C136" s="77" t="str">
        <x:v>evidence</x:v>
      </x:c>
      <x:c r="D136" s="77" t="str">
        <x:v>recognized non-credit state</x:v>
      </x:c>
      <x:c r="E136" s="77" t="n">
        <x:f>IF(OR('Evidence Gates'!I66="OPEN",'Evidence Gates'!I66="PASS",'Evidence Gates'!I66="FAIL"),1,0)</x:f>
        <x:v>1</x:v>
      </x:c>
      <x:c r="F136" s="77" t="n">
        <x:v>1</x:v>
      </x:c>
      <x:c r="G136" s="79" t="str">
        <x:f>IF(E136=F136,"PASS","FAIL")</x:f>
        <x:v>PASS</x:v>
      </x:c>
    </x:row>
    <x:row r="137">
      <x:c r="B137" s="77" t="str">
        <x:v>evidence state 061</x:v>
      </x:c>
      <x:c r="C137" s="77" t="str">
        <x:v>evidence</x:v>
      </x:c>
      <x:c r="D137" s="77" t="str">
        <x:v>recognized non-credit state</x:v>
      </x:c>
      <x:c r="E137" s="77" t="n">
        <x:f>IF(OR('Evidence Gates'!I67="OPEN",'Evidence Gates'!I67="PASS",'Evidence Gates'!I67="FAIL"),1,0)</x:f>
        <x:v>1</x:v>
      </x:c>
      <x:c r="F137" s="77" t="n">
        <x:v>1</x:v>
      </x:c>
      <x:c r="G137" s="79" t="str">
        <x:f>IF(E137=F137,"PASS","FAIL")</x:f>
        <x:v>PASS</x:v>
      </x:c>
    </x:row>
    <x:row r="138">
      <x:c r="B138" s="77" t="str">
        <x:v>evidence state 062</x:v>
      </x:c>
      <x:c r="C138" s="77" t="str">
        <x:v>evidence</x:v>
      </x:c>
      <x:c r="D138" s="77" t="str">
        <x:v>recognized non-credit state</x:v>
      </x:c>
      <x:c r="E138" s="77" t="n">
        <x:f>IF(OR('Evidence Gates'!I68="OPEN",'Evidence Gates'!I68="PASS",'Evidence Gates'!I68="FAIL"),1,0)</x:f>
        <x:v>1</x:v>
      </x:c>
      <x:c r="F138" s="77" t="n">
        <x:v>1</x:v>
      </x:c>
      <x:c r="G138" s="79" t="str">
        <x:f>IF(E138=F138,"PASS","FAIL")</x:f>
        <x:v>PASS</x:v>
      </x:c>
    </x:row>
    <x:row r="139">
      <x:c r="B139" s="77" t="str">
        <x:v>evidence state 063</x:v>
      </x:c>
      <x:c r="C139" s="77" t="str">
        <x:v>evidence</x:v>
      </x:c>
      <x:c r="D139" s="77" t="str">
        <x:v>recognized non-credit state</x:v>
      </x:c>
      <x:c r="E139" s="77" t="n">
        <x:f>IF(OR('Evidence Gates'!I69="OPEN",'Evidence Gates'!I69="PASS",'Evidence Gates'!I69="FAIL"),1,0)</x:f>
        <x:v>1</x:v>
      </x:c>
      <x:c r="F139" s="77" t="n">
        <x:v>1</x:v>
      </x:c>
      <x:c r="G139" s="79" t="str">
        <x:f>IF(E139=F139,"PASS","FAIL")</x:f>
        <x:v>PASS</x:v>
      </x:c>
    </x:row>
    <x:row r="140">
      <x:c r="B140" s="77" t="str">
        <x:v>evidence state 064</x:v>
      </x:c>
      <x:c r="C140" s="77" t="str">
        <x:v>evidence</x:v>
      </x:c>
      <x:c r="D140" s="77" t="str">
        <x:v>recognized non-credit state</x:v>
      </x:c>
      <x:c r="E140" s="77" t="n">
        <x:f>IF(OR('Evidence Gates'!I70="OPEN",'Evidence Gates'!I70="PASS",'Evidence Gates'!I70="FAIL"),1,0)</x:f>
        <x:v>1</x:v>
      </x:c>
      <x:c r="F140" s="77" t="n">
        <x:v>1</x:v>
      </x:c>
      <x:c r="G140" s="79" t="str">
        <x:f>IF(E140=F140,"PASS","FAIL")</x:f>
        <x:v>PASS</x:v>
      </x:c>
    </x:row>
    <x:row r="141">
      <x:c r="B141" s="77" t="str">
        <x:v>evidence state 065</x:v>
      </x:c>
      <x:c r="C141" s="77" t="str">
        <x:v>evidence</x:v>
      </x:c>
      <x:c r="D141" s="77" t="str">
        <x:v>recognized non-credit state</x:v>
      </x:c>
      <x:c r="E141" s="77" t="n">
        <x:f>IF(OR('Evidence Gates'!I71="OPEN",'Evidence Gates'!I71="PASS",'Evidence Gates'!I71="FAIL"),1,0)</x:f>
        <x:v>1</x:v>
      </x:c>
      <x:c r="F141" s="77" t="n">
        <x:v>1</x:v>
      </x:c>
      <x:c r="G141" s="79" t="str">
        <x:f>IF(E141=F141,"PASS","FAIL")</x:f>
        <x:v>PASS</x:v>
      </x:c>
    </x:row>
    <x:row r="142">
      <x:c r="B142" s="77" t="str">
        <x:v>evidence state 066</x:v>
      </x:c>
      <x:c r="C142" s="77" t="str">
        <x:v>evidence</x:v>
      </x:c>
      <x:c r="D142" s="77" t="str">
        <x:v>recognized non-credit state</x:v>
      </x:c>
      <x:c r="E142" s="77" t="n">
        <x:f>IF(OR('Evidence Gates'!I72="OPEN",'Evidence Gates'!I72="PASS",'Evidence Gates'!I72="FAIL"),1,0)</x:f>
        <x:v>1</x:v>
      </x:c>
      <x:c r="F142" s="77" t="n">
        <x:v>1</x:v>
      </x:c>
      <x:c r="G142" s="79" t="str">
        <x:f>IF(E142=F142,"PASS","FAIL")</x:f>
        <x:v>PASS</x:v>
      </x:c>
    </x:row>
    <x:row r="143">
      <x:c r="B143" s="77" t="str">
        <x:v>evidence state 067</x:v>
      </x:c>
      <x:c r="C143" s="77" t="str">
        <x:v>evidence</x:v>
      </x:c>
      <x:c r="D143" s="77" t="str">
        <x:v>recognized non-credit state</x:v>
      </x:c>
      <x:c r="E143" s="77" t="n">
        <x:f>IF(OR('Evidence Gates'!I73="OPEN",'Evidence Gates'!I73="PASS",'Evidence Gates'!I73="FAIL"),1,0)</x:f>
        <x:v>1</x:v>
      </x:c>
      <x:c r="F143" s="77" t="n">
        <x:v>1</x:v>
      </x:c>
      <x:c r="G143" s="79" t="str">
        <x:f>IF(E143=F143,"PASS","FAIL")</x:f>
        <x:v>PASS</x:v>
      </x:c>
    </x:row>
    <x:row r="144">
      <x:c r="B144" s="77" t="str">
        <x:v>evidence state 068</x:v>
      </x:c>
      <x:c r="C144" s="77" t="str">
        <x:v>evidence</x:v>
      </x:c>
      <x:c r="D144" s="77" t="str">
        <x:v>recognized non-credit state</x:v>
      </x:c>
      <x:c r="E144" s="77" t="n">
        <x:f>IF(OR('Evidence Gates'!I74="OPEN",'Evidence Gates'!I74="PASS",'Evidence Gates'!I74="FAIL"),1,0)</x:f>
        <x:v>1</x:v>
      </x:c>
      <x:c r="F144" s="77" t="n">
        <x:v>1</x:v>
      </x:c>
      <x:c r="G144" s="79" t="str">
        <x:f>IF(E144=F144,"PASS","FAIL")</x:f>
        <x:v>PASS</x:v>
      </x:c>
    </x:row>
    <x:row r="145">
      <x:c r="B145" s="77" t="str">
        <x:v>evidence state 069</x:v>
      </x:c>
      <x:c r="C145" s="77" t="str">
        <x:v>evidence</x:v>
      </x:c>
      <x:c r="D145" s="77" t="str">
        <x:v>recognized non-credit state</x:v>
      </x:c>
      <x:c r="E145" s="77" t="n">
        <x:f>IF(OR('Evidence Gates'!I75="OPEN",'Evidence Gates'!I75="PASS",'Evidence Gates'!I75="FAIL"),1,0)</x:f>
        <x:v>1</x:v>
      </x:c>
      <x:c r="F145" s="77" t="n">
        <x:v>1</x:v>
      </x:c>
      <x:c r="G145" s="79" t="str">
        <x:f>IF(E145=F145,"PASS","FAIL")</x:f>
        <x:v>PASS</x:v>
      </x:c>
    </x:row>
    <x:row r="146">
      <x:c r="B146" s="77" t="str">
        <x:v>evidence state 070</x:v>
      </x:c>
      <x:c r="C146" s="77" t="str">
        <x:v>evidence</x:v>
      </x:c>
      <x:c r="D146" s="77" t="str">
        <x:v>recognized non-credit state</x:v>
      </x:c>
      <x:c r="E146" s="77" t="n">
        <x:f>IF(OR('Evidence Gates'!I76="OPEN",'Evidence Gates'!I76="PASS",'Evidence Gates'!I76="FAIL"),1,0)</x:f>
        <x:v>1</x:v>
      </x:c>
      <x:c r="F146" s="77" t="n">
        <x:v>1</x:v>
      </x:c>
      <x:c r="G146" s="79" t="str">
        <x:f>IF(E146=F146,"PASS","FAIL")</x:f>
        <x:v>PASS</x:v>
      </x:c>
    </x:row>
    <x:row r="147">
      <x:c r="B147" s="77" t="str">
        <x:v>evidence state 071</x:v>
      </x:c>
      <x:c r="C147" s="77" t="str">
        <x:v>evidence</x:v>
      </x:c>
      <x:c r="D147" s="77" t="str">
        <x:v>recognized non-credit state</x:v>
      </x:c>
      <x:c r="E147" s="77" t="n">
        <x:f>IF(OR('Evidence Gates'!I77="OPEN",'Evidence Gates'!I77="PASS",'Evidence Gates'!I77="FAIL"),1,0)</x:f>
        <x:v>1</x:v>
      </x:c>
      <x:c r="F147" s="77" t="n">
        <x:v>1</x:v>
      </x:c>
      <x:c r="G147" s="79" t="str">
        <x:f>IF(E147=F147,"PASS","FAIL")</x:f>
        <x:v>PASS</x:v>
      </x:c>
    </x:row>
    <x:row r="148">
      <x:c r="B148" s="77" t="str">
        <x:v>evidence state 072</x:v>
      </x:c>
      <x:c r="C148" s="77" t="str">
        <x:v>evidence</x:v>
      </x:c>
      <x:c r="D148" s="77" t="str">
        <x:v>recognized non-credit state</x:v>
      </x:c>
      <x:c r="E148" s="77" t="n">
        <x:f>IF(OR('Evidence Gates'!I78="OPEN",'Evidence Gates'!I78="PASS",'Evidence Gates'!I78="FAIL"),1,0)</x:f>
        <x:v>1</x:v>
      </x:c>
      <x:c r="F148" s="77" t="n">
        <x:v>1</x:v>
      </x:c>
      <x:c r="G148" s="79" t="str">
        <x:f>IF(E148=F148,"PASS","FAIL")</x:f>
        <x:v>PASS</x:v>
      </x:c>
    </x:row>
    <x:row r="149">
      <x:c r="B149" s="77" t="str">
        <x:v>evidence state 073</x:v>
      </x:c>
      <x:c r="C149" s="77" t="str">
        <x:v>evidence</x:v>
      </x:c>
      <x:c r="D149" s="77" t="str">
        <x:v>recognized non-credit state</x:v>
      </x:c>
      <x:c r="E149" s="77" t="n">
        <x:f>IF(OR('Evidence Gates'!I79="OPEN",'Evidence Gates'!I79="PASS",'Evidence Gates'!I79="FAIL"),1,0)</x:f>
        <x:v>1</x:v>
      </x:c>
      <x:c r="F149" s="77" t="n">
        <x:v>1</x:v>
      </x:c>
      <x:c r="G149" s="79" t="str">
        <x:f>IF(E149=F149,"PASS","FAIL")</x:f>
        <x:v>PASS</x:v>
      </x:c>
    </x:row>
    <x:row r="150">
      <x:c r="B150" s="77" t="str">
        <x:v>evidence state 074</x:v>
      </x:c>
      <x:c r="C150" s="77" t="str">
        <x:v>evidence</x:v>
      </x:c>
      <x:c r="D150" s="77" t="str">
        <x:v>recognized non-credit state</x:v>
      </x:c>
      <x:c r="E150" s="77" t="n">
        <x:f>IF(OR('Evidence Gates'!I80="OPEN",'Evidence Gates'!I80="PASS",'Evidence Gates'!I80="FAIL"),1,0)</x:f>
        <x:v>1</x:v>
      </x:c>
      <x:c r="F150" s="77" t="n">
        <x:v>1</x:v>
      </x:c>
      <x:c r="G150" s="79" t="str">
        <x:f>IF(E150=F150,"PASS","FAIL")</x:f>
        <x:v>PASS</x:v>
      </x:c>
    </x:row>
    <x:row r="151">
      <x:c r="B151" s="77" t="str">
        <x:v>evidence state 075</x:v>
      </x:c>
      <x:c r="C151" s="77" t="str">
        <x:v>evidence</x:v>
      </x:c>
      <x:c r="D151" s="77" t="str">
        <x:v>recognized non-credit state</x:v>
      </x:c>
      <x:c r="E151" s="77" t="n">
        <x:f>IF(OR('Evidence Gates'!I81="OPEN",'Evidence Gates'!I81="PASS",'Evidence Gates'!I81="FAIL"),1,0)</x:f>
        <x:v>1</x:v>
      </x:c>
      <x:c r="F151" s="77" t="n">
        <x:v>1</x:v>
      </x:c>
      <x:c r="G151" s="79" t="str">
        <x:f>IF(E151=F151,"PASS","FAIL")</x:f>
        <x:v>PASS</x:v>
      </x:c>
    </x:row>
    <x:row r="152">
      <x:c r="B152" s="77" t="str">
        <x:v>evidence state 076</x:v>
      </x:c>
      <x:c r="C152" s="77" t="str">
        <x:v>evidence</x:v>
      </x:c>
      <x:c r="D152" s="77" t="str">
        <x:v>recognized non-credit state</x:v>
      </x:c>
      <x:c r="E152" s="77" t="n">
        <x:f>IF(OR('Evidence Gates'!I82="OPEN",'Evidence Gates'!I82="PASS",'Evidence Gates'!I82="FAIL"),1,0)</x:f>
        <x:v>1</x:v>
      </x:c>
      <x:c r="F152" s="77" t="n">
        <x:v>1</x:v>
      </x:c>
      <x:c r="G152" s="79" t="str">
        <x:f>IF(E152=F152,"PASS","FAIL")</x:f>
        <x:v>PASS</x:v>
      </x:c>
    </x:row>
    <x:row r="153">
      <x:c r="B153" s="77" t="str">
        <x:v>evidence state 077</x:v>
      </x:c>
      <x:c r="C153" s="77" t="str">
        <x:v>evidence</x:v>
      </x:c>
      <x:c r="D153" s="77" t="str">
        <x:v>recognized non-credit state</x:v>
      </x:c>
      <x:c r="E153" s="77" t="n">
        <x:f>IF(OR('Evidence Gates'!I83="OPEN",'Evidence Gates'!I83="PASS",'Evidence Gates'!I83="FAIL"),1,0)</x:f>
        <x:v>1</x:v>
      </x:c>
      <x:c r="F153" s="77" t="n">
        <x:v>1</x:v>
      </x:c>
      <x:c r="G153" s="79" t="str">
        <x:f>IF(E153=F153,"PASS","FAIL")</x:f>
        <x:v>PASS</x:v>
      </x:c>
    </x:row>
    <x:row r="154">
      <x:c r="B154" s="77" t="str">
        <x:v>evidence state 078</x:v>
      </x:c>
      <x:c r="C154" s="77" t="str">
        <x:v>evidence</x:v>
      </x:c>
      <x:c r="D154" s="77" t="str">
        <x:v>recognized non-credit state</x:v>
      </x:c>
      <x:c r="E154" s="77" t="n">
        <x:f>IF(OR('Evidence Gates'!I84="OPEN",'Evidence Gates'!I84="PASS",'Evidence Gates'!I84="FAIL"),1,0)</x:f>
        <x:v>1</x:v>
      </x:c>
      <x:c r="F154" s="77" t="n">
        <x:v>1</x:v>
      </x:c>
      <x:c r="G154" s="79" t="str">
        <x:f>IF(E154=F154,"PASS","FAIL")</x:f>
        <x:v>PASS</x:v>
      </x:c>
    </x:row>
    <x:row r="155">
      <x:c r="B155" s="77" t="str">
        <x:v>evidence state 079</x:v>
      </x:c>
      <x:c r="C155" s="77" t="str">
        <x:v>evidence</x:v>
      </x:c>
      <x:c r="D155" s="77" t="str">
        <x:v>recognized non-credit state</x:v>
      </x:c>
      <x:c r="E155" s="77" t="n">
        <x:f>IF(OR('Evidence Gates'!I85="OPEN",'Evidence Gates'!I85="PASS",'Evidence Gates'!I85="FAIL"),1,0)</x:f>
        <x:v>1</x:v>
      </x:c>
      <x:c r="F155" s="77" t="n">
        <x:v>1</x:v>
      </x:c>
      <x:c r="G155" s="79" t="str">
        <x:f>IF(E155=F155,"PASS","FAIL")</x:f>
        <x:v>PASS</x:v>
      </x:c>
    </x:row>
    <x:row r="156">
      <x:c r="B156" s="77" t="str">
        <x:v>evidence state 080</x:v>
      </x:c>
      <x:c r="C156" s="77" t="str">
        <x:v>evidence</x:v>
      </x:c>
      <x:c r="D156" s="77" t="str">
        <x:v>recognized non-credit state</x:v>
      </x:c>
      <x:c r="E156" s="77" t="n">
        <x:f>IF(OR('Evidence Gates'!I86="OPEN",'Evidence Gates'!I86="PASS",'Evidence Gates'!I86="FAIL"),1,0)</x:f>
        <x:v>1</x:v>
      </x:c>
      <x:c r="F156" s="77" t="n">
        <x:v>1</x:v>
      </x:c>
      <x:c r="G156" s="79" t="str">
        <x:f>IF(E156=F156,"PASS","FAIL")</x:f>
        <x:v>PASS</x:v>
      </x:c>
    </x:row>
    <x:row r="157">
      <x:c r="B157" s="77" t="str">
        <x:v>evidence state 081</x:v>
      </x:c>
      <x:c r="C157" s="77" t="str">
        <x:v>evidence</x:v>
      </x:c>
      <x:c r="D157" s="77" t="str">
        <x:v>recognized non-credit state</x:v>
      </x:c>
      <x:c r="E157" s="77" t="n">
        <x:f>IF(OR('Evidence Gates'!I87="OPEN",'Evidence Gates'!I87="PASS",'Evidence Gates'!I87="FAIL"),1,0)</x:f>
        <x:v>1</x:v>
      </x:c>
      <x:c r="F157" s="77" t="n">
        <x:v>1</x:v>
      </x:c>
      <x:c r="G157" s="79" t="str">
        <x:f>IF(E157=F157,"PASS","FAIL")</x:f>
        <x:v>PASS</x:v>
      </x:c>
    </x:row>
    <x:row r="158">
      <x:c r="B158" s="77" t="str">
        <x:v>evidence state 082</x:v>
      </x:c>
      <x:c r="C158" s="77" t="str">
        <x:v>evidence</x:v>
      </x:c>
      <x:c r="D158" s="77" t="str">
        <x:v>recognized non-credit state</x:v>
      </x:c>
      <x:c r="E158" s="77" t="n">
        <x:f>IF(OR('Evidence Gates'!I88="OPEN",'Evidence Gates'!I88="PASS",'Evidence Gates'!I88="FAIL"),1,0)</x:f>
        <x:v>1</x:v>
      </x:c>
      <x:c r="F158" s="77" t="n">
        <x:v>1</x:v>
      </x:c>
      <x:c r="G158" s="79" t="str">
        <x:f>IF(E158=F158,"PASS","FAIL")</x:f>
        <x:v>PASS</x:v>
      </x:c>
    </x:row>
    <x:row r="159">
      <x:c r="B159" s="77" t="str">
        <x:v>evidence state 083</x:v>
      </x:c>
      <x:c r="C159" s="77" t="str">
        <x:v>evidence</x:v>
      </x:c>
      <x:c r="D159" s="77" t="str">
        <x:v>recognized non-credit state</x:v>
      </x:c>
      <x:c r="E159" s="77" t="n">
        <x:f>IF(OR('Evidence Gates'!I89="OPEN",'Evidence Gates'!I89="PASS",'Evidence Gates'!I89="FAIL"),1,0)</x:f>
        <x:v>1</x:v>
      </x:c>
      <x:c r="F159" s="77" t="n">
        <x:v>1</x:v>
      </x:c>
      <x:c r="G159" s="79" t="str">
        <x:f>IF(E159=F159,"PASS","FAIL")</x:f>
        <x:v>PASS</x:v>
      </x:c>
    </x:row>
    <x:row r="160">
      <x:c r="B160" s="77" t="str">
        <x:v>evidence state 084</x:v>
      </x:c>
      <x:c r="C160" s="77" t="str">
        <x:v>evidence</x:v>
      </x:c>
      <x:c r="D160" s="77" t="str">
        <x:v>recognized non-credit state</x:v>
      </x:c>
      <x:c r="E160" s="77" t="n">
        <x:f>IF(OR('Evidence Gates'!I90="OPEN",'Evidence Gates'!I90="PASS",'Evidence Gates'!I90="FAIL"),1,0)</x:f>
        <x:v>1</x:v>
      </x:c>
      <x:c r="F160" s="77" t="n">
        <x:v>1</x:v>
      </x:c>
      <x:c r="G160" s="79" t="str">
        <x:f>IF(E160=F160,"PASS","FAIL")</x:f>
        <x:v>PASS</x:v>
      </x:c>
    </x:row>
    <x:row r="161">
      <x:c r="B161" s="77" t="str">
        <x:v>evidence state 085</x:v>
      </x:c>
      <x:c r="C161" s="77" t="str">
        <x:v>evidence</x:v>
      </x:c>
      <x:c r="D161" s="77" t="str">
        <x:v>recognized non-credit state</x:v>
      </x:c>
      <x:c r="E161" s="77" t="n">
        <x:f>IF(OR('Evidence Gates'!I91="OPEN",'Evidence Gates'!I91="PASS",'Evidence Gates'!I91="FAIL"),1,0)</x:f>
        <x:v>1</x:v>
      </x:c>
      <x:c r="F161" s="77" t="n">
        <x:v>1</x:v>
      </x:c>
      <x:c r="G161" s="79" t="str">
        <x:f>IF(E161=F161,"PASS","FAIL")</x:f>
        <x:v>PASS</x:v>
      </x:c>
    </x:row>
    <x:row r="162">
      <x:c r="B162" s="77" t="str">
        <x:v>evidence state 086</x:v>
      </x:c>
      <x:c r="C162" s="77" t="str">
        <x:v>evidence</x:v>
      </x:c>
      <x:c r="D162" s="77" t="str">
        <x:v>recognized non-credit state</x:v>
      </x:c>
      <x:c r="E162" s="77" t="n">
        <x:f>IF(OR('Evidence Gates'!I92="OPEN",'Evidence Gates'!I92="PASS",'Evidence Gates'!I92="FAIL"),1,0)</x:f>
        <x:v>1</x:v>
      </x:c>
      <x:c r="F162" s="77" t="n">
        <x:v>1</x:v>
      </x:c>
      <x:c r="G162" s="79" t="str">
        <x:f>IF(E162=F162,"PASS","FAIL")</x:f>
        <x:v>PASS</x:v>
      </x:c>
    </x:row>
    <x:row r="163">
      <x:c r="B163" s="77" t="str">
        <x:v>evidence state 087</x:v>
      </x:c>
      <x:c r="C163" s="77" t="str">
        <x:v>evidence</x:v>
      </x:c>
      <x:c r="D163" s="77" t="str">
        <x:v>recognized non-credit state</x:v>
      </x:c>
      <x:c r="E163" s="77" t="n">
        <x:f>IF(OR('Evidence Gates'!I93="OPEN",'Evidence Gates'!I93="PASS",'Evidence Gates'!I93="FAIL"),1,0)</x:f>
        <x:v>1</x:v>
      </x:c>
      <x:c r="F163" s="77" t="n">
        <x:v>1</x:v>
      </x:c>
      <x:c r="G163" s="79" t="str">
        <x:f>IF(E163=F163,"PASS","FAIL")</x:f>
        <x:v>PASS</x:v>
      </x:c>
    </x:row>
    <x:row r="164">
      <x:c r="B164" s="77" t="str">
        <x:v>evidence state 088</x:v>
      </x:c>
      <x:c r="C164" s="77" t="str">
        <x:v>evidence</x:v>
      </x:c>
      <x:c r="D164" s="77" t="str">
        <x:v>recognized non-credit state</x:v>
      </x:c>
      <x:c r="E164" s="77" t="n">
        <x:f>IF(OR('Evidence Gates'!I94="OPEN",'Evidence Gates'!I94="PASS",'Evidence Gates'!I94="FAIL"),1,0)</x:f>
        <x:v>1</x:v>
      </x:c>
      <x:c r="F164" s="77" t="n">
        <x:v>1</x:v>
      </x:c>
      <x:c r="G164" s="79" t="str">
        <x:f>IF(E164=F164,"PASS","FAIL")</x:f>
        <x:v>PASS</x:v>
      </x:c>
    </x:row>
    <x:row r="165">
      <x:c r="B165" s="77" t="str">
        <x:v>evidence state 089</x:v>
      </x:c>
      <x:c r="C165" s="77" t="str">
        <x:v>evidence</x:v>
      </x:c>
      <x:c r="D165" s="77" t="str">
        <x:v>recognized non-credit state</x:v>
      </x:c>
      <x:c r="E165" s="77" t="n">
        <x:f>IF(OR('Evidence Gates'!I95="OPEN",'Evidence Gates'!I95="PASS",'Evidence Gates'!I95="FAIL"),1,0)</x:f>
        <x:v>1</x:v>
      </x:c>
      <x:c r="F165" s="77" t="n">
        <x:v>1</x:v>
      </x:c>
      <x:c r="G165" s="79" t="str">
        <x:f>IF(E165=F165,"PASS","FAIL")</x:f>
        <x:v>PASS</x:v>
      </x:c>
    </x:row>
    <x:row r="166">
      <x:c r="B166" s="77" t="str">
        <x:v>evidence state 090</x:v>
      </x:c>
      <x:c r="C166" s="77" t="str">
        <x:v>evidence</x:v>
      </x:c>
      <x:c r="D166" s="77" t="str">
        <x:v>recognized non-credit state</x:v>
      </x:c>
      <x:c r="E166" s="77" t="n">
        <x:f>IF(OR('Evidence Gates'!I96="OPEN",'Evidence Gates'!I96="PASS",'Evidence Gates'!I96="FAIL"),1,0)</x:f>
        <x:v>1</x:v>
      </x:c>
      <x:c r="F166" s="77" t="n">
        <x:v>1</x:v>
      </x:c>
      <x:c r="G166" s="79" t="str">
        <x:f>IF(E166=F166,"PASS","FAIL")</x:f>
        <x:v>PASS</x:v>
      </x:c>
    </x:row>
    <x:row r="167">
      <x:c r="B167" s="77" t="str">
        <x:v>evidence state 091</x:v>
      </x:c>
      <x:c r="C167" s="77" t="str">
        <x:v>evidence</x:v>
      </x:c>
      <x:c r="D167" s="77" t="str">
        <x:v>recognized non-credit state</x:v>
      </x:c>
      <x:c r="E167" s="77" t="n">
        <x:f>IF(OR('Evidence Gates'!I97="OPEN",'Evidence Gates'!I97="PASS",'Evidence Gates'!I97="FAIL"),1,0)</x:f>
        <x:v>1</x:v>
      </x:c>
      <x:c r="F167" s="77" t="n">
        <x:v>1</x:v>
      </x:c>
      <x:c r="G167" s="79" t="str">
        <x:f>IF(E167=F167,"PASS","FAIL")</x:f>
        <x:v>PASS</x:v>
      </x:c>
    </x:row>
    <x:row r="168">
      <x:c r="B168" s="77" t="str">
        <x:v>evidence state 092</x:v>
      </x:c>
      <x:c r="C168" s="77" t="str">
        <x:v>evidence</x:v>
      </x:c>
      <x:c r="D168" s="77" t="str">
        <x:v>recognized non-credit state</x:v>
      </x:c>
      <x:c r="E168" s="77" t="n">
        <x:f>IF(OR('Evidence Gates'!I98="OPEN",'Evidence Gates'!I98="PASS",'Evidence Gates'!I98="FAIL"),1,0)</x:f>
        <x:v>1</x:v>
      </x:c>
      <x:c r="F168" s="77" t="n">
        <x:v>1</x:v>
      </x:c>
      <x:c r="G168" s="79" t="str">
        <x:f>IF(E168=F168,"PASS","FAIL")</x:f>
        <x:v>PASS</x:v>
      </x:c>
    </x:row>
    <x:row r="169">
      <x:c r="B169" s="77" t="str">
        <x:v>evidence state 093</x:v>
      </x:c>
      <x:c r="C169" s="77" t="str">
        <x:v>evidence</x:v>
      </x:c>
      <x:c r="D169" s="77" t="str">
        <x:v>recognized non-credit state</x:v>
      </x:c>
      <x:c r="E169" s="77" t="n">
        <x:f>IF(OR('Evidence Gates'!I99="OPEN",'Evidence Gates'!I99="PASS",'Evidence Gates'!I99="FAIL"),1,0)</x:f>
        <x:v>1</x:v>
      </x:c>
      <x:c r="F169" s="77" t="n">
        <x:v>1</x:v>
      </x:c>
      <x:c r="G169" s="79" t="str">
        <x:f>IF(E169=F169,"PASS","FAIL")</x:f>
        <x:v>PASS</x:v>
      </x:c>
    </x:row>
    <x:row r="170">
      <x:c r="B170" s="77" t="str">
        <x:v>evidence state 094</x:v>
      </x:c>
      <x:c r="C170" s="77" t="str">
        <x:v>evidence</x:v>
      </x:c>
      <x:c r="D170" s="77" t="str">
        <x:v>recognized non-credit state</x:v>
      </x:c>
      <x:c r="E170" s="77" t="n">
        <x:f>IF(OR('Evidence Gates'!I100="OPEN",'Evidence Gates'!I100="PASS",'Evidence Gates'!I100="FAIL"),1,0)</x:f>
        <x:v>1</x:v>
      </x:c>
      <x:c r="F170" s="77" t="n">
        <x:v>1</x:v>
      </x:c>
      <x:c r="G170" s="79" t="str">
        <x:f>IF(E170=F170,"PASS","FAIL")</x:f>
        <x:v>PASS</x:v>
      </x:c>
    </x:row>
    <x:row r="171">
      <x:c r="B171" s="77" t="str">
        <x:v>evidence state 095</x:v>
      </x:c>
      <x:c r="C171" s="77" t="str">
        <x:v>evidence</x:v>
      </x:c>
      <x:c r="D171" s="77" t="str">
        <x:v>recognized non-credit state</x:v>
      </x:c>
      <x:c r="E171" s="77" t="n">
        <x:f>IF(OR('Evidence Gates'!I101="OPEN",'Evidence Gates'!I101="PASS",'Evidence Gates'!I101="FAIL"),1,0)</x:f>
        <x:v>1</x:v>
      </x:c>
      <x:c r="F171" s="77" t="n">
        <x:v>1</x:v>
      </x:c>
      <x:c r="G171" s="79" t="str">
        <x:f>IF(E171=F171,"PASS","FAIL")</x:f>
        <x:v>PASS</x:v>
      </x:c>
    </x:row>
    <x:row r="172">
      <x:c r="B172" s="77" t="str">
        <x:v>evidence state 096</x:v>
      </x:c>
      <x:c r="C172" s="77" t="str">
        <x:v>evidence</x:v>
      </x:c>
      <x:c r="D172" s="77" t="str">
        <x:v>recognized non-credit state</x:v>
      </x:c>
      <x:c r="E172" s="77" t="n">
        <x:f>IF(OR('Evidence Gates'!I102="OPEN",'Evidence Gates'!I102="PASS",'Evidence Gates'!I102="FAIL"),1,0)</x:f>
        <x:v>1</x:v>
      </x:c>
      <x:c r="F172" s="77" t="n">
        <x:v>1</x:v>
      </x:c>
      <x:c r="G172" s="79" t="str">
        <x:f>IF(E172=F172,"PASS","FAIL")</x:f>
        <x:v>PASS</x:v>
      </x:c>
    </x:row>
    <x:row r="173">
      <x:c r="B173" s="77" t="str">
        <x:v>evidence state 097</x:v>
      </x:c>
      <x:c r="C173" s="77" t="str">
        <x:v>evidence</x:v>
      </x:c>
      <x:c r="D173" s="77" t="str">
        <x:v>recognized non-credit state</x:v>
      </x:c>
      <x:c r="E173" s="77" t="n">
        <x:f>IF(OR('Evidence Gates'!I103="OPEN",'Evidence Gates'!I103="PASS",'Evidence Gates'!I103="FAIL"),1,0)</x:f>
        <x:v>1</x:v>
      </x:c>
      <x:c r="F173" s="77" t="n">
        <x:v>1</x:v>
      </x:c>
      <x:c r="G173" s="79" t="str">
        <x:f>IF(E173=F173,"PASS","FAIL")</x:f>
        <x:v>PASS</x:v>
      </x:c>
    </x:row>
    <x:row r="174">
      <x:c r="B174" s="77" t="str">
        <x:v>evidence state 098</x:v>
      </x:c>
      <x:c r="C174" s="77" t="str">
        <x:v>evidence</x:v>
      </x:c>
      <x:c r="D174" s="77" t="str">
        <x:v>recognized non-credit state</x:v>
      </x:c>
      <x:c r="E174" s="77" t="n">
        <x:f>IF(OR('Evidence Gates'!I104="OPEN",'Evidence Gates'!I104="PASS",'Evidence Gates'!I104="FAIL"),1,0)</x:f>
        <x:v>1</x:v>
      </x:c>
      <x:c r="F174" s="77" t="n">
        <x:v>1</x:v>
      </x:c>
      <x:c r="G174" s="79" t="str">
        <x:f>IF(E174=F174,"PASS","FAIL")</x:f>
        <x:v>PASS</x:v>
      </x:c>
    </x:row>
    <x:row r="175">
      <x:c r="B175" s="77" t="str">
        <x:v>evidence state 099</x:v>
      </x:c>
      <x:c r="C175" s="77" t="str">
        <x:v>evidence</x:v>
      </x:c>
      <x:c r="D175" s="77" t="str">
        <x:v>recognized non-credit state</x:v>
      </x:c>
      <x:c r="E175" s="77" t="n">
        <x:f>IF(OR('Evidence Gates'!I105="OPEN",'Evidence Gates'!I105="PASS",'Evidence Gates'!I105="FAIL"),1,0)</x:f>
        <x:v>1</x:v>
      </x:c>
      <x:c r="F175" s="77" t="n">
        <x:v>1</x:v>
      </x:c>
      <x:c r="G175" s="79" t="str">
        <x:f>IF(E175=F175,"PASS","FAIL")</x:f>
        <x:v>PASS</x:v>
      </x:c>
    </x:row>
    <x:row r="176">
      <x:c r="B176" s="77" t="str">
        <x:v>evidence state 100</x:v>
      </x:c>
      <x:c r="C176" s="77" t="str">
        <x:v>evidence</x:v>
      </x:c>
      <x:c r="D176" s="77" t="str">
        <x:v>recognized non-credit state</x:v>
      </x:c>
      <x:c r="E176" s="77" t="n">
        <x:f>IF(OR('Evidence Gates'!I106="OPEN",'Evidence Gates'!I106="PASS",'Evidence Gates'!I106="FAIL"),1,0)</x:f>
        <x:v>1</x:v>
      </x:c>
      <x:c r="F176" s="77" t="n">
        <x:v>1</x:v>
      </x:c>
      <x:c r="G176" s="79" t="str">
        <x:f>IF(E176=F176,"PASS","FAIL")</x:f>
        <x:v>PASS</x:v>
      </x:c>
    </x:row>
    <x:row r="177">
      <x:c r="B177" s="77" t="str">
        <x:v>evidence state 101</x:v>
      </x:c>
      <x:c r="C177" s="77" t="str">
        <x:v>evidence</x:v>
      </x:c>
      <x:c r="D177" s="77" t="str">
        <x:v>recognized non-credit state</x:v>
      </x:c>
      <x:c r="E177" s="77" t="n">
        <x:f>IF(OR('Evidence Gates'!I107="OPEN",'Evidence Gates'!I107="PASS",'Evidence Gates'!I107="FAIL"),1,0)</x:f>
        <x:v>1</x:v>
      </x:c>
      <x:c r="F177" s="77" t="n">
        <x:v>1</x:v>
      </x:c>
      <x:c r="G177" s="79" t="str">
        <x:f>IF(E177=F177,"PASS","FAIL")</x:f>
        <x:v>PASS</x:v>
      </x:c>
    </x:row>
    <x:row r="178">
      <x:c r="B178" s="77" t="str">
        <x:v>evidence state 102</x:v>
      </x:c>
      <x:c r="C178" s="77" t="str">
        <x:v>evidence</x:v>
      </x:c>
      <x:c r="D178" s="77" t="str">
        <x:v>recognized non-credit state</x:v>
      </x:c>
      <x:c r="E178" s="77" t="n">
        <x:f>IF(OR('Evidence Gates'!I108="OPEN",'Evidence Gates'!I108="PASS",'Evidence Gates'!I108="FAIL"),1,0)</x:f>
        <x:v>1</x:v>
      </x:c>
      <x:c r="F178" s="77" t="n">
        <x:v>1</x:v>
      </x:c>
      <x:c r="G178" s="79" t="str">
        <x:f>IF(E178=F178,"PASS","FAIL")</x:f>
        <x:v>PASS</x:v>
      </x:c>
    </x:row>
    <x:row r="179">
      <x:c r="B179" s="77" t="str">
        <x:v>evidence state 103</x:v>
      </x:c>
      <x:c r="C179" s="77" t="str">
        <x:v>evidence</x:v>
      </x:c>
      <x:c r="D179" s="77" t="str">
        <x:v>recognized non-credit state</x:v>
      </x:c>
      <x:c r="E179" s="77" t="n">
        <x:f>IF(OR('Evidence Gates'!I109="OPEN",'Evidence Gates'!I109="PASS",'Evidence Gates'!I109="FAIL"),1,0)</x:f>
        <x:v>1</x:v>
      </x:c>
      <x:c r="F179" s="77" t="n">
        <x:v>1</x:v>
      </x:c>
      <x:c r="G179" s="79" t="str">
        <x:f>IF(E179=F179,"PASS","FAIL")</x:f>
        <x:v>PASS</x:v>
      </x:c>
    </x:row>
    <x:row r="180">
      <x:c r="B180" s="77" t="str">
        <x:v>evidence state 104</x:v>
      </x:c>
      <x:c r="C180" s="77" t="str">
        <x:v>evidence</x:v>
      </x:c>
      <x:c r="D180" s="77" t="str">
        <x:v>recognized non-credit state</x:v>
      </x:c>
      <x:c r="E180" s="77" t="n">
        <x:f>IF(OR('Evidence Gates'!I110="OPEN",'Evidence Gates'!I110="PASS",'Evidence Gates'!I110="FAIL"),1,0)</x:f>
        <x:v>1</x:v>
      </x:c>
      <x:c r="F180" s="77" t="n">
        <x:v>1</x:v>
      </x:c>
      <x:c r="G180" s="79" t="str">
        <x:f>IF(E180=F180,"PASS","FAIL")</x:f>
        <x:v>PASS</x:v>
      </x:c>
    </x:row>
    <x:row r="181">
      <x:c r="B181" s="77" t="str">
        <x:v>evidence state 105</x:v>
      </x:c>
      <x:c r="C181" s="77" t="str">
        <x:v>evidence</x:v>
      </x:c>
      <x:c r="D181" s="77" t="str">
        <x:v>recognized non-credit state</x:v>
      </x:c>
      <x:c r="E181" s="77" t="n">
        <x:f>IF(OR('Evidence Gates'!I111="OPEN",'Evidence Gates'!I111="PASS",'Evidence Gates'!I111="FAIL"),1,0)</x:f>
        <x:v>1</x:v>
      </x:c>
      <x:c r="F181" s="77" t="n">
        <x:v>1</x:v>
      </x:c>
      <x:c r="G181" s="79" t="str">
        <x:f>IF(E181=F181,"PASS","FAIL")</x:f>
        <x:v>PASS</x:v>
      </x:c>
    </x:row>
    <x:row r="182">
      <x:c r="B182" s="77" t="str">
        <x:v>evidence state 106</x:v>
      </x:c>
      <x:c r="C182" s="77" t="str">
        <x:v>evidence</x:v>
      </x:c>
      <x:c r="D182" s="77" t="str">
        <x:v>recognized non-credit state</x:v>
      </x:c>
      <x:c r="E182" s="77" t="n">
        <x:f>IF(OR('Evidence Gates'!I112="OPEN",'Evidence Gates'!I112="PASS",'Evidence Gates'!I112="FAIL"),1,0)</x:f>
        <x:v>1</x:v>
      </x:c>
      <x:c r="F182" s="77" t="n">
        <x:v>1</x:v>
      </x:c>
      <x:c r="G182" s="79" t="str">
        <x:f>IF(E182=F182,"PASS","FAIL")</x:f>
        <x:v>PASS</x:v>
      </x:c>
    </x:row>
    <x:row r="183">
      <x:c r="B183" s="77" t="str">
        <x:v>evidence state 107</x:v>
      </x:c>
      <x:c r="C183" s="77" t="str">
        <x:v>evidence</x:v>
      </x:c>
      <x:c r="D183" s="77" t="str">
        <x:v>recognized non-credit state</x:v>
      </x:c>
      <x:c r="E183" s="77" t="n">
        <x:f>IF(OR('Evidence Gates'!I113="OPEN",'Evidence Gates'!I113="PASS",'Evidence Gates'!I113="FAIL"),1,0)</x:f>
        <x:v>1</x:v>
      </x:c>
      <x:c r="F183" s="77" t="n">
        <x:v>1</x:v>
      </x:c>
      <x:c r="G183" s="79" t="str">
        <x:f>IF(E183=F183,"PASS","FAIL")</x:f>
        <x:v>PASS</x:v>
      </x:c>
    </x:row>
    <x:row r="184">
      <x:c r="B184" s="77" t="str">
        <x:v>evidence state 108</x:v>
      </x:c>
      <x:c r="C184" s="77" t="str">
        <x:v>evidence</x:v>
      </x:c>
      <x:c r="D184" s="77" t="str">
        <x:v>recognized non-credit state</x:v>
      </x:c>
      <x:c r="E184" s="77" t="n">
        <x:f>IF(OR('Evidence Gates'!I114="OPEN",'Evidence Gates'!I114="PASS",'Evidence Gates'!I114="FAIL"),1,0)</x:f>
        <x:v>1</x:v>
      </x:c>
      <x:c r="F184" s="77" t="n">
        <x:v>1</x:v>
      </x:c>
      <x:c r="G184" s="79" t="str">
        <x:f>IF(E184=F184,"PASS","FAIL")</x:f>
        <x:v>PASS</x:v>
      </x:c>
    </x:row>
    <x:row r="185">
      <x:c r="B185" s="77" t="str">
        <x:v>evidence state 109</x:v>
      </x:c>
      <x:c r="C185" s="77" t="str">
        <x:v>evidence</x:v>
      </x:c>
      <x:c r="D185" s="77" t="str">
        <x:v>recognized non-credit state</x:v>
      </x:c>
      <x:c r="E185" s="77" t="n">
        <x:f>IF(OR('Evidence Gates'!I115="OPEN",'Evidence Gates'!I115="PASS",'Evidence Gates'!I115="FAIL"),1,0)</x:f>
        <x:v>1</x:v>
      </x:c>
      <x:c r="F185" s="77" t="n">
        <x:v>1</x:v>
      </x:c>
      <x:c r="G185" s="79" t="str">
        <x:f>IF(E185=F185,"PASS","FAIL")</x:f>
        <x:v>PASS</x:v>
      </x:c>
    </x:row>
    <x:row r="186">
      <x:c r="B186" s="77" t="str">
        <x:v>evidence state 110</x:v>
      </x:c>
      <x:c r="C186" s="77" t="str">
        <x:v>evidence</x:v>
      </x:c>
      <x:c r="D186" s="77" t="str">
        <x:v>recognized non-credit state</x:v>
      </x:c>
      <x:c r="E186" s="77" t="n">
        <x:f>IF(OR('Evidence Gates'!I116="OPEN",'Evidence Gates'!I116="PASS",'Evidence Gates'!I116="FAIL"),1,0)</x:f>
        <x:v>1</x:v>
      </x:c>
      <x:c r="F186" s="77" t="n">
        <x:v>1</x:v>
      </x:c>
      <x:c r="G186" s="79" t="str">
        <x:f>IF(E186=F186,"PASS","FAIL")</x:f>
        <x:v>PASS</x:v>
      </x:c>
    </x:row>
    <x:row r="187">
      <x:c r="B187" s="77" t="str">
        <x:v>evidence state 111</x:v>
      </x:c>
      <x:c r="C187" s="77" t="str">
        <x:v>evidence</x:v>
      </x:c>
      <x:c r="D187" s="77" t="str">
        <x:v>recognized non-credit state</x:v>
      </x:c>
      <x:c r="E187" s="77" t="n">
        <x:f>IF(OR('Evidence Gates'!I117="OPEN",'Evidence Gates'!I117="PASS",'Evidence Gates'!I117="FAIL"),1,0)</x:f>
        <x:v>1</x:v>
      </x:c>
      <x:c r="F187" s="77" t="n">
        <x:v>1</x:v>
      </x:c>
      <x:c r="G187" s="79" t="str">
        <x:f>IF(E187=F187,"PASS","FAIL")</x:f>
        <x:v>PASS</x:v>
      </x:c>
    </x:row>
    <x:row r="188">
      <x:c r="B188" s="77" t="str">
        <x:v>evidence state 112</x:v>
      </x:c>
      <x:c r="C188" s="77" t="str">
        <x:v>evidence</x:v>
      </x:c>
      <x:c r="D188" s="77" t="str">
        <x:v>recognized non-credit state</x:v>
      </x:c>
      <x:c r="E188" s="77" t="n">
        <x:f>IF(OR('Evidence Gates'!I118="OPEN",'Evidence Gates'!I118="PASS",'Evidence Gates'!I118="FAIL"),1,0)</x:f>
        <x:v>1</x:v>
      </x:c>
      <x:c r="F188" s="77" t="n">
        <x:v>1</x:v>
      </x:c>
      <x:c r="G188" s="79" t="str">
        <x:f>IF(E188=F188,"PASS","FAIL")</x:f>
        <x:v>PASS</x:v>
      </x:c>
    </x:row>
    <x:row r="189">
      <x:c r="B189" s="77" t="str">
        <x:v>evidence state 113</x:v>
      </x:c>
      <x:c r="C189" s="77" t="str">
        <x:v>evidence</x:v>
      </x:c>
      <x:c r="D189" s="77" t="str">
        <x:v>recognized non-credit state</x:v>
      </x:c>
      <x:c r="E189" s="77" t="n">
        <x:f>IF(OR('Evidence Gates'!I119="OPEN",'Evidence Gates'!I119="PASS",'Evidence Gates'!I119="FAIL"),1,0)</x:f>
        <x:v>1</x:v>
      </x:c>
      <x:c r="F189" s="77" t="n">
        <x:v>1</x:v>
      </x:c>
      <x:c r="G189" s="79" t="str">
        <x:f>IF(E189=F189,"PASS","FAIL")</x:f>
        <x:v>PASS</x:v>
      </x:c>
    </x:row>
    <x:row r="190">
      <x:c r="B190" s="77" t="str">
        <x:v>evidence state 114</x:v>
      </x:c>
      <x:c r="C190" s="77" t="str">
        <x:v>evidence</x:v>
      </x:c>
      <x:c r="D190" s="77" t="str">
        <x:v>recognized non-credit state</x:v>
      </x:c>
      <x:c r="E190" s="77" t="n">
        <x:f>IF(OR('Evidence Gates'!I120="OPEN",'Evidence Gates'!I120="PASS",'Evidence Gates'!I120="FAIL"),1,0)</x:f>
        <x:v>1</x:v>
      </x:c>
      <x:c r="F190" s="77" t="n">
        <x:v>1</x:v>
      </x:c>
      <x:c r="G190" s="79" t="str">
        <x:f>IF(E190=F190,"PASS","FAIL")</x:f>
        <x:v>PASS</x:v>
      </x:c>
    </x:row>
    <x:row r="191">
      <x:c r="B191" s="77" t="str">
        <x:v>evidence state 115</x:v>
      </x:c>
      <x:c r="C191" s="77" t="str">
        <x:v>evidence</x:v>
      </x:c>
      <x:c r="D191" s="77" t="str">
        <x:v>recognized non-credit state</x:v>
      </x:c>
      <x:c r="E191" s="77" t="n">
        <x:f>IF(OR('Evidence Gates'!I121="OPEN",'Evidence Gates'!I121="PASS",'Evidence Gates'!I121="FAIL"),1,0)</x:f>
        <x:v>1</x:v>
      </x:c>
      <x:c r="F191" s="77" t="n">
        <x:v>1</x:v>
      </x:c>
      <x:c r="G191" s="79" t="str">
        <x:f>IF(E191=F191,"PASS","FAIL")</x:f>
        <x:v>PASS</x:v>
      </x:c>
    </x:row>
    <x:row r="192">
      <x:c r="B192" s="77" t="str">
        <x:v>evidence state 116</x:v>
      </x:c>
      <x:c r="C192" s="77" t="str">
        <x:v>evidence</x:v>
      </x:c>
      <x:c r="D192" s="77" t="str">
        <x:v>recognized non-credit state</x:v>
      </x:c>
      <x:c r="E192" s="77" t="n">
        <x:f>IF(OR('Evidence Gates'!I122="OPEN",'Evidence Gates'!I122="PASS",'Evidence Gates'!I122="FAIL"),1,0)</x:f>
        <x:v>1</x:v>
      </x:c>
      <x:c r="F192" s="77" t="n">
        <x:v>1</x:v>
      </x:c>
      <x:c r="G192" s="79" t="str">
        <x:f>IF(E192=F192,"PASS","FAIL")</x:f>
        <x:v>PASS</x:v>
      </x:c>
    </x:row>
    <x:row r="193">
      <x:c r="B193" s="77" t="str">
        <x:v>evidence state 117</x:v>
      </x:c>
      <x:c r="C193" s="77" t="str">
        <x:v>evidence</x:v>
      </x:c>
      <x:c r="D193" s="77" t="str">
        <x:v>recognized non-credit state</x:v>
      </x:c>
      <x:c r="E193" s="77" t="n">
        <x:f>IF(OR('Evidence Gates'!I123="OPEN",'Evidence Gates'!I123="PASS",'Evidence Gates'!I123="FAIL"),1,0)</x:f>
        <x:v>1</x:v>
      </x:c>
      <x:c r="F193" s="77" t="n">
        <x:v>1</x:v>
      </x:c>
      <x:c r="G193" s="79" t="str">
        <x:f>IF(E193=F193,"PASS","FAIL")</x:f>
        <x:v>PASS</x:v>
      </x:c>
    </x:row>
    <x:row r="194">
      <x:c r="B194" s="77" t="str">
        <x:v>evidence state 118</x:v>
      </x:c>
      <x:c r="C194" s="77" t="str">
        <x:v>evidence</x:v>
      </x:c>
      <x:c r="D194" s="77" t="str">
        <x:v>recognized non-credit state</x:v>
      </x:c>
      <x:c r="E194" s="77" t="n">
        <x:f>IF(OR('Evidence Gates'!I124="OPEN",'Evidence Gates'!I124="PASS",'Evidence Gates'!I124="FAIL"),1,0)</x:f>
        <x:v>1</x:v>
      </x:c>
      <x:c r="F194" s="77" t="n">
        <x:v>1</x:v>
      </x:c>
      <x:c r="G194" s="79" t="str">
        <x:f>IF(E194=F194,"PASS","FAIL")</x:f>
        <x:v>PASS</x:v>
      </x:c>
    </x:row>
    <x:row r="195">
      <x:c r="B195" s="77" t="str">
        <x:v>evidence state 119</x:v>
      </x:c>
      <x:c r="C195" s="77" t="str">
        <x:v>evidence</x:v>
      </x:c>
      <x:c r="D195" s="77" t="str">
        <x:v>recognized non-credit state</x:v>
      </x:c>
      <x:c r="E195" s="77" t="n">
        <x:f>IF(OR('Evidence Gates'!I125="OPEN",'Evidence Gates'!I125="PASS",'Evidence Gates'!I125="FAIL"),1,0)</x:f>
        <x:v>1</x:v>
      </x:c>
      <x:c r="F195" s="77" t="n">
        <x:v>1</x:v>
      </x:c>
      <x:c r="G195" s="79" t="str">
        <x:f>IF(E195=F195,"PASS","FAIL")</x:f>
        <x:v>PASS</x:v>
      </x:c>
    </x:row>
    <x:row r="196">
      <x:c r="B196" s="77" t="str">
        <x:v>evidence state 120</x:v>
      </x:c>
      <x:c r="C196" s="77" t="str">
        <x:v>evidence</x:v>
      </x:c>
      <x:c r="D196" s="77" t="str">
        <x:v>recognized non-credit state</x:v>
      </x:c>
      <x:c r="E196" s="77" t="n">
        <x:f>IF(OR('Evidence Gates'!I126="OPEN",'Evidence Gates'!I126="PASS",'Evidence Gates'!I126="FAIL"),1,0)</x:f>
        <x:v>1</x:v>
      </x:c>
      <x:c r="F196" s="77" t="n">
        <x:v>1</x:v>
      </x:c>
      <x:c r="G196" s="79" t="str">
        <x:f>IF(E196=F196,"PASS","FAIL")</x:f>
        <x:v>PASS</x:v>
      </x:c>
    </x:row>
    <x:row r="197">
      <x:c r="B197" s="77" t="str">
        <x:v>evidence state 121</x:v>
      </x:c>
      <x:c r="C197" s="77" t="str">
        <x:v>evidence</x:v>
      </x:c>
      <x:c r="D197" s="77" t="str">
        <x:v>recognized non-credit state</x:v>
      </x:c>
      <x:c r="E197" s="77" t="n">
        <x:f>IF(OR('Evidence Gates'!I127="OPEN",'Evidence Gates'!I127="PASS",'Evidence Gates'!I127="FAIL"),1,0)</x:f>
        <x:v>1</x:v>
      </x:c>
      <x:c r="F197" s="77" t="n">
        <x:v>1</x:v>
      </x:c>
      <x:c r="G197" s="79" t="str">
        <x:f>IF(E197=F197,"PASS","FAIL")</x:f>
        <x:v>PASS</x:v>
      </x:c>
    </x:row>
    <x:row r="198">
      <x:c r="B198" s="77" t="str">
        <x:v>evidence state 122</x:v>
      </x:c>
      <x:c r="C198" s="77" t="str">
        <x:v>evidence</x:v>
      </x:c>
      <x:c r="D198" s="77" t="str">
        <x:v>recognized non-credit state</x:v>
      </x:c>
      <x:c r="E198" s="77" t="n">
        <x:f>IF(OR('Evidence Gates'!I128="OPEN",'Evidence Gates'!I128="PASS",'Evidence Gates'!I128="FAIL"),1,0)</x:f>
        <x:v>1</x:v>
      </x:c>
      <x:c r="F198" s="77" t="n">
        <x:v>1</x:v>
      </x:c>
      <x:c r="G198" s="79" t="str">
        <x:f>IF(E198=F198,"PASS","FAIL")</x:f>
        <x:v>PASS</x:v>
      </x:c>
    </x:row>
    <x:row r="199">
      <x:c r="B199" s="77" t="str">
        <x:v>evidence state 123</x:v>
      </x:c>
      <x:c r="C199" s="77" t="str">
        <x:v>evidence</x:v>
      </x:c>
      <x:c r="D199" s="77" t="str">
        <x:v>recognized non-credit state</x:v>
      </x:c>
      <x:c r="E199" s="77" t="n">
        <x:f>IF(OR('Evidence Gates'!I129="OPEN",'Evidence Gates'!I129="PASS",'Evidence Gates'!I129="FAIL"),1,0)</x:f>
        <x:v>1</x:v>
      </x:c>
      <x:c r="F199" s="77" t="n">
        <x:v>1</x:v>
      </x:c>
      <x:c r="G199" s="79" t="str">
        <x:f>IF(E199=F199,"PASS","FAIL")</x:f>
        <x:v>PASS</x:v>
      </x:c>
    </x:row>
    <x:row r="200">
      <x:c r="B200" s="77" t="str">
        <x:v>evidence state 124</x:v>
      </x:c>
      <x:c r="C200" s="77" t="str">
        <x:v>evidence</x:v>
      </x:c>
      <x:c r="D200" s="77" t="str">
        <x:v>recognized non-credit state</x:v>
      </x:c>
      <x:c r="E200" s="77" t="n">
        <x:f>IF(OR('Evidence Gates'!I130="OPEN",'Evidence Gates'!I130="PASS",'Evidence Gates'!I130="FAIL"),1,0)</x:f>
        <x:v>1</x:v>
      </x:c>
      <x:c r="F200" s="77" t="n">
        <x:v>1</x:v>
      </x:c>
      <x:c r="G200" s="79" t="str">
        <x:f>IF(E200=F200,"PASS","FAIL")</x:f>
        <x:v>PASS</x:v>
      </x:c>
    </x:row>
    <x:row r="201">
      <x:c r="B201" s="77" t="str">
        <x:v>evidence state 125</x:v>
      </x:c>
      <x:c r="C201" s="77" t="str">
        <x:v>evidence</x:v>
      </x:c>
      <x:c r="D201" s="77" t="str">
        <x:v>recognized non-credit state</x:v>
      </x:c>
      <x:c r="E201" s="77" t="n">
        <x:f>IF(OR('Evidence Gates'!I131="OPEN",'Evidence Gates'!I131="PASS",'Evidence Gates'!I131="FAIL"),1,0)</x:f>
        <x:v>1</x:v>
      </x:c>
      <x:c r="F201" s="77" t="n">
        <x:v>1</x:v>
      </x:c>
      <x:c r="G201" s="79" t="str">
        <x:f>IF(E201=F201,"PASS","FAIL")</x:f>
        <x:v>PASS</x:v>
      </x:c>
    </x:row>
    <x:row r="202">
      <x:c r="B202" s="77" t="str">
        <x:v>evidence state 126</x:v>
      </x:c>
      <x:c r="C202" s="77" t="str">
        <x:v>evidence</x:v>
      </x:c>
      <x:c r="D202" s="77" t="str">
        <x:v>recognized non-credit state</x:v>
      </x:c>
      <x:c r="E202" s="77" t="n">
        <x:f>IF(OR('Evidence Gates'!I132="OPEN",'Evidence Gates'!I132="PASS",'Evidence Gates'!I132="FAIL"),1,0)</x:f>
        <x:v>1</x:v>
      </x:c>
      <x:c r="F202" s="77" t="n">
        <x:v>1</x:v>
      </x:c>
      <x:c r="G202" s="79" t="str">
        <x:f>IF(E202=F202,"PASS","FAIL")</x:f>
        <x:v>PASS</x:v>
      </x:c>
    </x:row>
    <x:row r="203">
      <x:c r="B203" s="77" t="str">
        <x:v>evidence state 127</x:v>
      </x:c>
      <x:c r="C203" s="77" t="str">
        <x:v>evidence</x:v>
      </x:c>
      <x:c r="D203" s="77" t="str">
        <x:v>recognized non-credit state</x:v>
      </x:c>
      <x:c r="E203" s="77" t="n">
        <x:f>IF(OR('Evidence Gates'!I133="OPEN",'Evidence Gates'!I133="PASS",'Evidence Gates'!I133="FAIL"),1,0)</x:f>
        <x:v>1</x:v>
      </x:c>
      <x:c r="F203" s="77" t="n">
        <x:v>1</x:v>
      </x:c>
      <x:c r="G203" s="79" t="str">
        <x:f>IF(E203=F203,"PASS","FAIL")</x:f>
        <x:v>PASS</x:v>
      </x:c>
    </x:row>
    <x:row r="204">
      <x:c r="B204" s="77" t="str">
        <x:v>evidence state 128</x:v>
      </x:c>
      <x:c r="C204" s="77" t="str">
        <x:v>evidence</x:v>
      </x:c>
      <x:c r="D204" s="77" t="str">
        <x:v>recognized non-credit state</x:v>
      </x:c>
      <x:c r="E204" s="77" t="n">
        <x:f>IF(OR('Evidence Gates'!I134="OPEN",'Evidence Gates'!I134="PASS",'Evidence Gates'!I134="FAIL"),1,0)</x:f>
        <x:v>1</x:v>
      </x:c>
      <x:c r="F204" s="77" t="n">
        <x:v>1</x:v>
      </x:c>
      <x:c r="G204" s="79" t="str">
        <x:f>IF(E204=F204,"PASS","FAIL")</x:f>
        <x:v>PASS</x:v>
      </x:c>
    </x:row>
    <x:row r="205">
      <x:c r="B205" s="77" t="str">
        <x:v>evidence state 129</x:v>
      </x:c>
      <x:c r="C205" s="77" t="str">
        <x:v>evidence</x:v>
      </x:c>
      <x:c r="D205" s="77" t="str">
        <x:v>recognized non-credit state</x:v>
      </x:c>
      <x:c r="E205" s="77" t="n">
        <x:f>IF(OR('Evidence Gates'!I135="OPEN",'Evidence Gates'!I135="PASS",'Evidence Gates'!I135="FAIL"),1,0)</x:f>
        <x:v>1</x:v>
      </x:c>
      <x:c r="F205" s="77" t="n">
        <x:v>1</x:v>
      </x:c>
      <x:c r="G205" s="79" t="str">
        <x:f>IF(E205=F205,"PASS","FAIL")</x:f>
        <x:v>PASS</x:v>
      </x:c>
    </x:row>
    <x:row r="206">
      <x:c r="B206" s="77" t="str">
        <x:v>evidence state 130</x:v>
      </x:c>
      <x:c r="C206" s="77" t="str">
        <x:v>evidence</x:v>
      </x:c>
      <x:c r="D206" s="77" t="str">
        <x:v>recognized non-credit state</x:v>
      </x:c>
      <x:c r="E206" s="77" t="n">
        <x:f>IF(OR('Evidence Gates'!I136="OPEN",'Evidence Gates'!I136="PASS",'Evidence Gates'!I136="FAIL"),1,0)</x:f>
        <x:v>1</x:v>
      </x:c>
      <x:c r="F206" s="77" t="n">
        <x:v>1</x:v>
      </x:c>
      <x:c r="G206" s="79" t="str">
        <x:f>IF(E206=F206,"PASS","FAIL")</x:f>
        <x:v>PASS</x:v>
      </x:c>
    </x:row>
    <x:row r="207">
      <x:c r="B207" s="77" t="str">
        <x:v>evidence state 131</x:v>
      </x:c>
      <x:c r="C207" s="77" t="str">
        <x:v>evidence</x:v>
      </x:c>
      <x:c r="D207" s="77" t="str">
        <x:v>recognized non-credit state</x:v>
      </x:c>
      <x:c r="E207" s="77" t="n">
        <x:f>IF(OR('Evidence Gates'!I137="OPEN",'Evidence Gates'!I137="PASS",'Evidence Gates'!I137="FAIL"),1,0)</x:f>
        <x:v>1</x:v>
      </x:c>
      <x:c r="F207" s="77" t="n">
        <x:v>1</x:v>
      </x:c>
      <x:c r="G207" s="79" t="str">
        <x:f>IF(E207=F207,"PASS","FAIL")</x:f>
        <x:v>PASS</x:v>
      </x:c>
    </x:row>
    <x:row r="208">
      <x:c r="B208" s="77" t="str">
        <x:v>evidence state 132</x:v>
      </x:c>
      <x:c r="C208" s="77" t="str">
        <x:v>evidence</x:v>
      </x:c>
      <x:c r="D208" s="77" t="str">
        <x:v>recognized non-credit state</x:v>
      </x:c>
      <x:c r="E208" s="77" t="n">
        <x:f>IF(OR('Evidence Gates'!I138="OPEN",'Evidence Gates'!I138="PASS",'Evidence Gates'!I138="FAIL"),1,0)</x:f>
        <x:v>1</x:v>
      </x:c>
      <x:c r="F208" s="77" t="n">
        <x:v>1</x:v>
      </x:c>
      <x:c r="G208" s="79" t="str">
        <x:f>IF(E208=F208,"PASS","FAIL")</x:f>
        <x:v>PASS</x:v>
      </x:c>
    </x:row>
    <x:row r="209">
      <x:c r="B209" s="77" t="str">
        <x:v>evidence state 133</x:v>
      </x:c>
      <x:c r="C209" s="77" t="str">
        <x:v>evidence</x:v>
      </x:c>
      <x:c r="D209" s="77" t="str">
        <x:v>recognized non-credit state</x:v>
      </x:c>
      <x:c r="E209" s="77" t="n">
        <x:f>IF(OR('Evidence Gates'!I139="OPEN",'Evidence Gates'!I139="PASS",'Evidence Gates'!I139="FAIL"),1,0)</x:f>
        <x:v>1</x:v>
      </x:c>
      <x:c r="F209" s="77" t="n">
        <x:v>1</x:v>
      </x:c>
      <x:c r="G209" s="79" t="str">
        <x:f>IF(E209=F209,"PASS","FAIL")</x:f>
        <x:v>PASS</x:v>
      </x:c>
    </x:row>
    <x:row r="210">
      <x:c r="B210" s="77" t="str">
        <x:v>evidence state 134</x:v>
      </x:c>
      <x:c r="C210" s="77" t="str">
        <x:v>evidence</x:v>
      </x:c>
      <x:c r="D210" s="77" t="str">
        <x:v>recognized non-credit state</x:v>
      </x:c>
      <x:c r="E210" s="77" t="n">
        <x:f>IF(OR('Evidence Gates'!I140="OPEN",'Evidence Gates'!I140="PASS",'Evidence Gates'!I140="FAIL"),1,0)</x:f>
        <x:v>1</x:v>
      </x:c>
      <x:c r="F210" s="77" t="n">
        <x:v>1</x:v>
      </x:c>
      <x:c r="G210" s="79" t="str">
        <x:f>IF(E210=F210,"PASS","FAIL")</x:f>
        <x:v>PASS</x:v>
      </x:c>
    </x:row>
    <x:row r="211">
      <x:c r="B211" s="77" t="str">
        <x:v>evidence state 135</x:v>
      </x:c>
      <x:c r="C211" s="77" t="str">
        <x:v>evidence</x:v>
      </x:c>
      <x:c r="D211" s="77" t="str">
        <x:v>recognized non-credit state</x:v>
      </x:c>
      <x:c r="E211" s="77" t="n">
        <x:f>IF(OR('Evidence Gates'!I141="OPEN",'Evidence Gates'!I141="PASS",'Evidence Gates'!I141="FAIL"),1,0)</x:f>
        <x:v>1</x:v>
      </x:c>
      <x:c r="F211" s="77" t="n">
        <x:v>1</x:v>
      </x:c>
      <x:c r="G211" s="79" t="str">
        <x:f>IF(E211=F211,"PASS","FAIL")</x:f>
        <x:v>PASS</x:v>
      </x:c>
    </x:row>
    <x:row r="212">
      <x:c r="B212" s="77" t="str">
        <x:v>evidence state 136</x:v>
      </x:c>
      <x:c r="C212" s="77" t="str">
        <x:v>evidence</x:v>
      </x:c>
      <x:c r="D212" s="77" t="str">
        <x:v>recognized non-credit state</x:v>
      </x:c>
      <x:c r="E212" s="77" t="n">
        <x:f>IF(OR('Evidence Gates'!I142="OPEN",'Evidence Gates'!I142="PASS",'Evidence Gates'!I142="FAIL"),1,0)</x:f>
        <x:v>1</x:v>
      </x:c>
      <x:c r="F212" s="77" t="n">
        <x:v>1</x:v>
      </x:c>
      <x:c r="G212" s="79" t="str">
        <x:f>IF(E212=F212,"PASS","FAIL")</x:f>
        <x:v>PASS</x:v>
      </x:c>
    </x:row>
    <x:row r="213">
      <x:c r="B213" s="77" t="str">
        <x:v>evidence state 137</x:v>
      </x:c>
      <x:c r="C213" s="77" t="str">
        <x:v>evidence</x:v>
      </x:c>
      <x:c r="D213" s="77" t="str">
        <x:v>recognized non-credit state</x:v>
      </x:c>
      <x:c r="E213" s="77" t="n">
        <x:f>IF(OR('Evidence Gates'!I143="OPEN",'Evidence Gates'!I143="PASS",'Evidence Gates'!I143="FAIL"),1,0)</x:f>
        <x:v>1</x:v>
      </x:c>
      <x:c r="F213" s="77" t="n">
        <x:v>1</x:v>
      </x:c>
      <x:c r="G213" s="79" t="str">
        <x:f>IF(E213=F213,"PASS","FAIL")</x:f>
        <x:v>PASS</x:v>
      </x:c>
    </x:row>
    <x:row r="214">
      <x:c r="B214" s="77" t="str">
        <x:v>evidence state 138</x:v>
      </x:c>
      <x:c r="C214" s="77" t="str">
        <x:v>evidence</x:v>
      </x:c>
      <x:c r="D214" s="77" t="str">
        <x:v>recognized non-credit state</x:v>
      </x:c>
      <x:c r="E214" s="77" t="n">
        <x:f>IF(OR('Evidence Gates'!I144="OPEN",'Evidence Gates'!I144="PASS",'Evidence Gates'!I144="FAIL"),1,0)</x:f>
        <x:v>1</x:v>
      </x:c>
      <x:c r="F214" s="77" t="n">
        <x:v>1</x:v>
      </x:c>
      <x:c r="G214" s="79" t="str">
        <x:f>IF(E214=F214,"PASS","FAIL")</x:f>
        <x:v>PASS</x:v>
      </x:c>
    </x:row>
    <x:row r="215">
      <x:c r="B215" s="77" t="str">
        <x:v>evidence state 139</x:v>
      </x:c>
      <x:c r="C215" s="77" t="str">
        <x:v>evidence</x:v>
      </x:c>
      <x:c r="D215" s="77" t="str">
        <x:v>recognized non-credit state</x:v>
      </x:c>
      <x:c r="E215" s="77" t="n">
        <x:f>IF(OR('Evidence Gates'!I145="OPEN",'Evidence Gates'!I145="PASS",'Evidence Gates'!I145="FAIL"),1,0)</x:f>
        <x:v>1</x:v>
      </x:c>
      <x:c r="F215" s="77" t="n">
        <x:v>1</x:v>
      </x:c>
      <x:c r="G215" s="79" t="str">
        <x:f>IF(E215=F215,"PASS","FAIL")</x:f>
        <x:v>PASS</x:v>
      </x:c>
    </x:row>
    <x:row r="216">
      <x:c r="B216" s="77" t="str">
        <x:v>evidence state 140</x:v>
      </x:c>
      <x:c r="C216" s="77" t="str">
        <x:v>evidence</x:v>
      </x:c>
      <x:c r="D216" s="77" t="str">
        <x:v>recognized non-credit state</x:v>
      </x:c>
      <x:c r="E216" s="77" t="n">
        <x:f>IF(OR('Evidence Gates'!I146="OPEN",'Evidence Gates'!I146="PASS",'Evidence Gates'!I146="FAIL"),1,0)</x:f>
        <x:v>1</x:v>
      </x:c>
      <x:c r="F216" s="77" t="n">
        <x:v>1</x:v>
      </x:c>
      <x:c r="G216" s="79" t="str">
        <x:f>IF(E216=F216,"PASS","FAIL")</x:f>
        <x:v>PASS</x:v>
      </x:c>
    </x:row>
    <x:row r="217">
      <x:c r="B217" s="77" t="str">
        <x:v>evidence state 141</x:v>
      </x:c>
      <x:c r="C217" s="77" t="str">
        <x:v>evidence</x:v>
      </x:c>
      <x:c r="D217" s="77" t="str">
        <x:v>recognized non-credit state</x:v>
      </x:c>
      <x:c r="E217" s="77" t="n">
        <x:f>IF(OR('Evidence Gates'!I147="OPEN",'Evidence Gates'!I147="PASS",'Evidence Gates'!I147="FAIL"),1,0)</x:f>
        <x:v>1</x:v>
      </x:c>
      <x:c r="F217" s="77" t="n">
        <x:v>1</x:v>
      </x:c>
      <x:c r="G217" s="79" t="str">
        <x:f>IF(E217=F217,"PASS","FAIL")</x:f>
        <x:v>PASS</x:v>
      </x:c>
    </x:row>
    <x:row r="218">
      <x:c r="B218" s="77" t="str">
        <x:v>evidence state 142</x:v>
      </x:c>
      <x:c r="C218" s="77" t="str">
        <x:v>evidence</x:v>
      </x:c>
      <x:c r="D218" s="77" t="str">
        <x:v>recognized non-credit state</x:v>
      </x:c>
      <x:c r="E218" s="77" t="n">
        <x:f>IF(OR('Evidence Gates'!I148="OPEN",'Evidence Gates'!I148="PASS",'Evidence Gates'!I148="FAIL"),1,0)</x:f>
        <x:v>1</x:v>
      </x:c>
      <x:c r="F218" s="77" t="n">
        <x:v>1</x:v>
      </x:c>
      <x:c r="G218" s="79" t="str">
        <x:f>IF(E218=F218,"PASS","FAIL")</x:f>
        <x:v>PASS</x:v>
      </x:c>
    </x:row>
    <x:row r="219">
      <x:c r="B219" s="77" t="str">
        <x:v>evidence state 143</x:v>
      </x:c>
      <x:c r="C219" s="77" t="str">
        <x:v>evidence</x:v>
      </x:c>
      <x:c r="D219" s="77" t="str">
        <x:v>recognized non-credit state</x:v>
      </x:c>
      <x:c r="E219" s="77" t="n">
        <x:f>IF(OR('Evidence Gates'!I149="OPEN",'Evidence Gates'!I149="PASS",'Evidence Gates'!I149="FAIL"),1,0)</x:f>
        <x:v>1</x:v>
      </x:c>
      <x:c r="F219" s="77" t="n">
        <x:v>1</x:v>
      </x:c>
      <x:c r="G219" s="79" t="str">
        <x:f>IF(E219=F219,"PASS","FAIL")</x:f>
        <x:v>PASS</x:v>
      </x:c>
    </x:row>
    <x:row r="220">
      <x:c r="B220" s="77" t="str">
        <x:v>evidence state 144</x:v>
      </x:c>
      <x:c r="C220" s="77" t="str">
        <x:v>evidence</x:v>
      </x:c>
      <x:c r="D220" s="77" t="str">
        <x:v>recognized non-credit state</x:v>
      </x:c>
      <x:c r="E220" s="77" t="n">
        <x:f>IF(OR('Evidence Gates'!I150="OPEN",'Evidence Gates'!I150="PASS",'Evidence Gates'!I150="FAIL"),1,0)</x:f>
        <x:v>1</x:v>
      </x:c>
      <x:c r="F220" s="77" t="n">
        <x:v>1</x:v>
      </x:c>
      <x:c r="G220" s="79" t="str">
        <x:f>IF(E220=F220,"PASS","FAIL")</x:f>
        <x:v>PASS</x:v>
      </x:c>
    </x:row>
    <x:row r="221">
      <x:c r="B221" s="77" t="str">
        <x:v>evidence state 145</x:v>
      </x:c>
      <x:c r="C221" s="77" t="str">
        <x:v>evidence</x:v>
      </x:c>
      <x:c r="D221" s="77" t="str">
        <x:v>recognized non-credit state</x:v>
      </x:c>
      <x:c r="E221" s="77" t="n">
        <x:f>IF(OR('Evidence Gates'!I151="OPEN",'Evidence Gates'!I151="PASS",'Evidence Gates'!I151="FAIL"),1,0)</x:f>
        <x:v>1</x:v>
      </x:c>
      <x:c r="F221" s="77" t="n">
        <x:v>1</x:v>
      </x:c>
      <x:c r="G221" s="79" t="str">
        <x:f>IF(E221=F221,"PASS","FAIL")</x:f>
        <x:v>PASS</x:v>
      </x:c>
    </x:row>
    <x:row r="222">
      <x:c r="B222" s="77" t="str">
        <x:v>evidence state 146</x:v>
      </x:c>
      <x:c r="C222" s="77" t="str">
        <x:v>evidence</x:v>
      </x:c>
      <x:c r="D222" s="77" t="str">
        <x:v>recognized non-credit state</x:v>
      </x:c>
      <x:c r="E222" s="77" t="n">
        <x:f>IF(OR('Evidence Gates'!I152="OPEN",'Evidence Gates'!I152="PASS",'Evidence Gates'!I152="FAIL"),1,0)</x:f>
        <x:v>1</x:v>
      </x:c>
      <x:c r="F222" s="77" t="n">
        <x:v>1</x:v>
      </x:c>
      <x:c r="G222" s="79" t="str">
        <x:f>IF(E222=F222,"PASS","FAIL")</x:f>
        <x:v>PASS</x:v>
      </x:c>
    </x:row>
    <x:row r="223">
      <x:c r="B223" s="77" t="str">
        <x:v>evidence state 147</x:v>
      </x:c>
      <x:c r="C223" s="77" t="str">
        <x:v>evidence</x:v>
      </x:c>
      <x:c r="D223" s="77" t="str">
        <x:v>recognized non-credit state</x:v>
      </x:c>
      <x:c r="E223" s="77" t="n">
        <x:f>IF(OR('Evidence Gates'!I153="OPEN",'Evidence Gates'!I153="PASS",'Evidence Gates'!I153="FAIL"),1,0)</x:f>
        <x:v>1</x:v>
      </x:c>
      <x:c r="F223" s="77" t="n">
        <x:v>1</x:v>
      </x:c>
      <x:c r="G223" s="79" t="str">
        <x:f>IF(E223=F223,"PASS","FAIL")</x:f>
        <x:v>PASS</x:v>
      </x:c>
    </x:row>
    <x:row r="224">
      <x:c r="B224" s="77" t="str">
        <x:v>evidence state 148</x:v>
      </x:c>
      <x:c r="C224" s="77" t="str">
        <x:v>evidence</x:v>
      </x:c>
      <x:c r="D224" s="77" t="str">
        <x:v>recognized non-credit state</x:v>
      </x:c>
      <x:c r="E224" s="77" t="n">
        <x:f>IF(OR('Evidence Gates'!I154="OPEN",'Evidence Gates'!I154="PASS",'Evidence Gates'!I154="FAIL"),1,0)</x:f>
        <x:v>1</x:v>
      </x:c>
      <x:c r="F224" s="77" t="n">
        <x:v>1</x:v>
      </x:c>
      <x:c r="G224" s="79" t="str">
        <x:f>IF(E224=F224,"PASS","FAIL")</x:f>
        <x:v>PASS</x:v>
      </x:c>
    </x:row>
    <x:row r="225">
      <x:c r="B225" s="77" t="str">
        <x:v>evidence state 149</x:v>
      </x:c>
      <x:c r="C225" s="77" t="str">
        <x:v>evidence</x:v>
      </x:c>
      <x:c r="D225" s="77" t="str">
        <x:v>recognized non-credit state</x:v>
      </x:c>
      <x:c r="E225" s="77" t="n">
        <x:f>IF(OR('Evidence Gates'!I155="OPEN",'Evidence Gates'!I155="PASS",'Evidence Gates'!I155="FAIL"),1,0)</x:f>
        <x:v>1</x:v>
      </x:c>
      <x:c r="F225" s="77" t="n">
        <x:v>1</x:v>
      </x:c>
      <x:c r="G225" s="79" t="str">
        <x:f>IF(E225=F225,"PASS","FAIL")</x:f>
        <x:v>PASS</x:v>
      </x:c>
    </x:row>
    <x:row r="226">
      <x:c r="B226" s="77" t="str">
        <x:v>evidence state 150</x:v>
      </x:c>
      <x:c r="C226" s="77" t="str">
        <x:v>evidence</x:v>
      </x:c>
      <x:c r="D226" s="77" t="str">
        <x:v>recognized non-credit state</x:v>
      </x:c>
      <x:c r="E226" s="77" t="n">
        <x:f>IF(OR('Evidence Gates'!I156="OPEN",'Evidence Gates'!I156="PASS",'Evidence Gates'!I156="FAIL"),1,0)</x:f>
        <x:v>1</x:v>
      </x:c>
      <x:c r="F226" s="77" t="n">
        <x:v>1</x:v>
      </x:c>
      <x:c r="G226" s="79" t="str">
        <x:f>IF(E226=F226,"PASS","FAIL")</x:f>
        <x:v>PASS</x:v>
      </x:c>
    </x:row>
    <x:row r="227">
      <x:c r="B227" s="77" t="str">
        <x:v>evidence state 151</x:v>
      </x:c>
      <x:c r="C227" s="77" t="str">
        <x:v>evidence</x:v>
      </x:c>
      <x:c r="D227" s="77" t="str">
        <x:v>recognized non-credit state</x:v>
      </x:c>
      <x:c r="E227" s="77" t="n">
        <x:f>IF(OR('Evidence Gates'!I157="OPEN",'Evidence Gates'!I157="PASS",'Evidence Gates'!I157="FAIL"),1,0)</x:f>
        <x:v>1</x:v>
      </x:c>
      <x:c r="F227" s="77" t="n">
        <x:v>1</x:v>
      </x:c>
      <x:c r="G227" s="79" t="str">
        <x:f>IF(E227=F227,"PASS","FAIL")</x:f>
        <x:v>PASS</x:v>
      </x:c>
    </x:row>
    <x:row r="228">
      <x:c r="B228" s="77" t="str">
        <x:v>evidence state 152</x:v>
      </x:c>
      <x:c r="C228" s="77" t="str">
        <x:v>evidence</x:v>
      </x:c>
      <x:c r="D228" s="77" t="str">
        <x:v>recognized non-credit state</x:v>
      </x:c>
      <x:c r="E228" s="77" t="n">
        <x:f>IF(OR('Evidence Gates'!I158="OPEN",'Evidence Gates'!I158="PASS",'Evidence Gates'!I158="FAIL"),1,0)</x:f>
        <x:v>1</x:v>
      </x:c>
      <x:c r="F228" s="77" t="n">
        <x:v>1</x:v>
      </x:c>
      <x:c r="G228" s="79" t="str">
        <x:f>IF(E228=F228,"PASS","FAIL")</x:f>
        <x:v>PASS</x:v>
      </x:c>
    </x:row>
    <x:row r="229">
      <x:c r="B229" s="77" t="str">
        <x:v>evidence state 153</x:v>
      </x:c>
      <x:c r="C229" s="77" t="str">
        <x:v>evidence</x:v>
      </x:c>
      <x:c r="D229" s="77" t="str">
        <x:v>recognized non-credit state</x:v>
      </x:c>
      <x:c r="E229" s="77" t="n">
        <x:f>IF(OR('Evidence Gates'!I159="OPEN",'Evidence Gates'!I159="PASS",'Evidence Gates'!I159="FAIL"),1,0)</x:f>
        <x:v>1</x:v>
      </x:c>
      <x:c r="F229" s="77" t="n">
        <x:v>1</x:v>
      </x:c>
      <x:c r="G229" s="79" t="str">
        <x:f>IF(E229=F229,"PASS","FAIL")</x:f>
        <x:v>PASS</x:v>
      </x:c>
    </x:row>
    <x:row r="230">
      <x:c r="B230" s="77" t="str">
        <x:v>evidence state 154</x:v>
      </x:c>
      <x:c r="C230" s="77" t="str">
        <x:v>evidence</x:v>
      </x:c>
      <x:c r="D230" s="77" t="str">
        <x:v>recognized non-credit state</x:v>
      </x:c>
      <x:c r="E230" s="77" t="n">
        <x:f>IF(OR('Evidence Gates'!I160="OPEN",'Evidence Gates'!I160="PASS",'Evidence Gates'!I160="FAIL"),1,0)</x:f>
        <x:v>1</x:v>
      </x:c>
      <x:c r="F230" s="77" t="n">
        <x:v>1</x:v>
      </x:c>
      <x:c r="G230" s="79" t="str">
        <x:f>IF(E230=F230,"PASS","FAIL")</x:f>
        <x:v>PASS</x:v>
      </x:c>
    </x:row>
    <x:row r="231">
      <x:c r="B231" s="77" t="str">
        <x:v>evidence state 155</x:v>
      </x:c>
      <x:c r="C231" s="77" t="str">
        <x:v>evidence</x:v>
      </x:c>
      <x:c r="D231" s="77" t="str">
        <x:v>recognized non-credit state</x:v>
      </x:c>
      <x:c r="E231" s="77" t="n">
        <x:f>IF(OR('Evidence Gates'!I161="OPEN",'Evidence Gates'!I161="PASS",'Evidence Gates'!I161="FAIL"),1,0)</x:f>
        <x:v>1</x:v>
      </x:c>
      <x:c r="F231" s="77" t="n">
        <x:v>1</x:v>
      </x:c>
      <x:c r="G231" s="79" t="str">
        <x:f>IF(E231=F231,"PASS","FAIL")</x:f>
        <x:v>PASS</x:v>
      </x:c>
    </x:row>
    <x:row r="232">
      <x:c r="B232" s="77" t="str">
        <x:v>evidence state 156</x:v>
      </x:c>
      <x:c r="C232" s="77" t="str">
        <x:v>evidence</x:v>
      </x:c>
      <x:c r="D232" s="77" t="str">
        <x:v>recognized non-credit state</x:v>
      </x:c>
      <x:c r="E232" s="77" t="n">
        <x:f>IF(OR('Evidence Gates'!I162="OPEN",'Evidence Gates'!I162="PASS",'Evidence Gates'!I162="FAIL"),1,0)</x:f>
        <x:v>1</x:v>
      </x:c>
      <x:c r="F232" s="77" t="n">
        <x:v>1</x:v>
      </x:c>
      <x:c r="G232" s="79" t="str">
        <x:f>IF(E232=F232,"PASS","FAIL")</x:f>
        <x:v>PASS</x:v>
      </x:c>
    </x:row>
    <x:row r="233">
      <x:c r="B233" s="77" t="str">
        <x:v>evidence state 157</x:v>
      </x:c>
      <x:c r="C233" s="77" t="str">
        <x:v>evidence</x:v>
      </x:c>
      <x:c r="D233" s="77" t="str">
        <x:v>recognized non-credit state</x:v>
      </x:c>
      <x:c r="E233" s="77" t="n">
        <x:f>IF(OR('Evidence Gates'!I163="OPEN",'Evidence Gates'!I163="PASS",'Evidence Gates'!I163="FAIL"),1,0)</x:f>
        <x:v>1</x:v>
      </x:c>
      <x:c r="F233" s="77" t="n">
        <x:v>1</x:v>
      </x:c>
      <x:c r="G233" s="79" t="str">
        <x:f>IF(E233=F233,"PASS","FAIL")</x:f>
        <x:v>PASS</x:v>
      </x:c>
    </x:row>
    <x:row r="234">
      <x:c r="B234" s="77" t="str">
        <x:v>evidence state 158</x:v>
      </x:c>
      <x:c r="C234" s="77" t="str">
        <x:v>evidence</x:v>
      </x:c>
      <x:c r="D234" s="77" t="str">
        <x:v>recognized non-credit state</x:v>
      </x:c>
      <x:c r="E234" s="77" t="n">
        <x:f>IF(OR('Evidence Gates'!I164="OPEN",'Evidence Gates'!I164="PASS",'Evidence Gates'!I164="FAIL"),1,0)</x:f>
        <x:v>1</x:v>
      </x:c>
      <x:c r="F234" s="77" t="n">
        <x:v>1</x:v>
      </x:c>
      <x:c r="G234" s="79" t="str">
        <x:f>IF(E234=F234,"PASS","FAIL")</x:f>
        <x:v>PASS</x:v>
      </x:c>
    </x:row>
    <x:row r="235">
      <x:c r="B235" s="77" t="str">
        <x:v>evidence state 159</x:v>
      </x:c>
      <x:c r="C235" s="77" t="str">
        <x:v>evidence</x:v>
      </x:c>
      <x:c r="D235" s="77" t="str">
        <x:v>recognized non-credit state</x:v>
      </x:c>
      <x:c r="E235" s="77" t="n">
        <x:f>IF(OR('Evidence Gates'!I165="OPEN",'Evidence Gates'!I165="PASS",'Evidence Gates'!I165="FAIL"),1,0)</x:f>
        <x:v>1</x:v>
      </x:c>
      <x:c r="F235" s="77" t="n">
        <x:v>1</x:v>
      </x:c>
      <x:c r="G235" s="79" t="str">
        <x:f>IF(E235=F235,"PASS","FAIL")</x:f>
        <x:v>PASS</x:v>
      </x:c>
    </x:row>
    <x:row r="236">
      <x:c r="B236" s="80" t="str">
        <x:v>evidence state 160</x:v>
      </x:c>
      <x:c r="C236" s="80" t="str">
        <x:v>evidence</x:v>
      </x:c>
      <x:c r="D236" s="80" t="str">
        <x:v>recognized non-credit state</x:v>
      </x:c>
      <x:c r="E236" s="80" t="n">
        <x:f>IF(OR('Evidence Gates'!I166="OPEN",'Evidence Gates'!I166="PASS",'Evidence Gates'!I166="FAIL"),1,0)</x:f>
        <x:v>1</x:v>
      </x:c>
      <x:c r="F236" s="80" t="n">
        <x:v>1</x:v>
      </x:c>
      <x:c r="G236" s="82" t="str">
        <x:f>IF(E236=F236,"PASS","FAIL")</x:f>
        <x:v>PASS</x:v>
      </x:c>
    </x:row>
    <x:row r="237">
      <x:c r="B237" s="58"/>
      <x:c r="C237" s="58"/>
      <x:c r="D237" s="58"/>
      <x:c r="E237" s="58"/>
      <x:c r="F237" s="58"/>
      <x:c r="G237" s="58"/>
    </x:row>
    <x:row r="238">
      <x:c r="B238" s="58"/>
      <x:c r="C238" s="58"/>
      <x:c r="D238" s="58"/>
      <x:c r="E238" s="58"/>
      <x:c r="F238" s="58"/>
      <x:c r="G238" s="58"/>
    </x:row>
    <x:row r="239">
      <x:c r="B239" s="58"/>
      <x:c r="C239" s="58"/>
      <x:c r="D239" s="58"/>
      <x:c r="E239" s="58"/>
      <x:c r="F239" s="58"/>
      <x:c r="G239" s="58"/>
    </x:row>
    <x:row r="240">
      <x:c r="B240" s="58"/>
      <x:c r="C240" s="58"/>
      <x:c r="D240" s="58"/>
      <x:c r="E240" s="58"/>
      <x:c r="F240" s="58"/>
      <x:c r="G240" s="58"/>
    </x:row>
    <x:row r="241">
      <x:c r="B241" s="58"/>
      <x:c r="C241" s="58"/>
      <x:c r="D241" s="58"/>
      <x:c r="E241" s="58"/>
      <x:c r="F241" s="58"/>
      <x:c r="G241" s="58"/>
    </x:row>
    <x:row r="242">
      <x:c r="B242" s="58"/>
      <x:c r="C242" s="58"/>
      <x:c r="D242" s="58"/>
      <x:c r="E242" s="58"/>
      <x:c r="F242" s="58"/>
      <x:c r="G242" s="58"/>
    </x:row>
  </x:sheetData>
  <x:mergeCells>
    <x:mergeCell ref="B2:H2"/>
    <x:mergeCell ref="B3:H3"/>
  </x:mergeCells>
  <x:conditionalFormatting sqref="G7:G236">
    <x:cfRule type="containsText" dxfId="88" priority="1" operator="containsText" text="FAIL"/>
    <x:cfRule type="containsText" dxfId="89" priority="2" operator="containsText" text="PASS"/>
    <x:cfRule type="containsText" dxfId="90" priority="3" operator="containsText" text="BLOCKED"/>
    <x:cfRule type="containsText" dxfId="91" priority="4" operator="containsText" text="BOUND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7B8790"/>
  </x:sheetPr>
  <x:sheetViews>
    <x:sheetView showGridLines="0" workbookViewId="0"/>
  </x:sheetViews>
  <x:sheetFormatPr defaultRowHeight="15"/>
  <x:cols>
    <x:col min="2" max="2" width="31" hidden="0" customWidth="1"/>
    <x:col min="3" max="3" width="35" hidden="0" customWidth="1"/>
    <x:col min="4" max="4" width="28" hidden="0" customWidth="1"/>
    <x:col min="5" max="5" width="24" hidden="0" customWidth="1"/>
    <x:col min="6" max="6" width="24" hidden="0" customWidth="1"/>
    <x:col min="7" max="7" width="19" hidden="0" customWidth="1"/>
    <x:col min="8" max="8" width="26" hidden="0" customWidth="1"/>
    <x:col min="9" max="9" width="22" hidden="0" customWidth="1"/>
    <x:col min="10" max="10" width="18" hidden="0" customWidth="1"/>
  </x:cols>
  <x:sheetData>
    <x:row r="2">
      <x:c r="B2" s="96" t="str">
        <x:v>Workbook guide</x:v>
      </x:c>
      <x:c r="C2" s="58"/>
      <x:c r="D2" s="58"/>
      <x:c r="E2" s="58"/>
      <x:c r="F2" s="58"/>
      <x:c r="G2" s="58"/>
      <x:c r="H2" s="58"/>
      <x:c r="I2" s="58"/>
      <x:c r="J2" s="58"/>
    </x:row>
    <x:row r="3">
      <x:c r="B3" s="97" t="str">
        <x:v>Read this model as an auditable hypothesis compiler, not a feasibility certificate</x:v>
      </x:c>
      <x:c r="C3" s="97"/>
      <x:c r="D3" s="97"/>
      <x:c r="E3" s="97"/>
      <x:c r="F3" s="97"/>
      <x:c r="G3" s="97"/>
      <x:c r="H3" s="97"/>
      <x:c r="I3" s="97"/>
      <x:c r="J3" s="97"/>
    </x:row>
    <x:row r="4">
      <x:c r="B4" s="98"/>
      <x:c r="C4" s="98"/>
      <x:c r="D4" s="98"/>
      <x:c r="E4" s="98"/>
      <x:c r="F4" s="98"/>
      <x:c r="G4" s="98"/>
      <x:c r="H4" s="98"/>
      <x:c r="I4" s="98"/>
      <x:c r="J4" s="98"/>
    </x:row>
    <x:row r="5">
      <x:c r="B5" s="58"/>
      <x:c r="C5" s="58"/>
      <x:c r="D5" s="58"/>
      <x:c r="E5" s="58"/>
      <x:c r="F5" s="58"/>
      <x:c r="G5" s="58"/>
      <x:c r="H5" s="58"/>
      <x:c r="I5" s="58"/>
      <x:c r="J5" s="58"/>
    </x:row>
    <x:row r="6">
      <x:c r="B6" s="18" t="str">
        <x:v>Sheet</x:v>
      </x:c>
      <x:c r="C6" s="19" t="str">
        <x:v>Purpose</x:v>
      </x:c>
      <x:c r="D6" s="19" t="str">
        <x:v>Decision use</x:v>
      </x:c>
      <x:c r="E6" s="19" t="str">
        <x:v>Inputs</x:v>
      </x:c>
      <x:c r="F6" s="19" t="str">
        <x:v>Outputs</x:v>
      </x:c>
      <x:c r="G6" s="19" t="str">
        <x:v>Evidence posture</x:v>
      </x:c>
      <x:c r="H6" s="19" t="str">
        <x:v>Do not infer</x:v>
      </x:c>
      <x:c r="I6" s="19" t="str">
        <x:v>Owner</x:v>
      </x:c>
      <x:c r="J6" s="19" t="str">
        <x:v>Review</x:v>
      </x:c>
    </x:row>
    <x:row r="7">
      <x:c r="B7" s="77" t="str">
        <x:v>Summary</x:v>
      </x:c>
      <x:c r="C7" s="77" t="str">
        <x:v>decision boundary</x:v>
      </x:c>
      <x:c r="D7" s="77" t="str">
        <x:v>select reference</x:v>
      </x:c>
      <x:c r="E7" s="77" t="str">
        <x:v>all model sheets</x:v>
      </x:c>
      <x:c r="F7" s="77" t="str">
        <x:v>formation, cost and gates</x:v>
      </x:c>
      <x:c r="G7" s="77" t="str">
        <x:v>open</x:v>
      </x:c>
      <x:c r="H7" s="77" t="str">
        <x:v>field maturity</x:v>
      </x:c>
      <x:c r="I7" s="77" t="str">
        <x:v>research lead</x:v>
      </x:c>
      <x:c r="J7" s="79" t="str">
        <x:v>each pass</x:v>
      </x:c>
    </x:row>
    <x:row r="8">
      <x:c r="B8" s="77" t="str">
        <x:v>Assumptions</x:v>
      </x:c>
      <x:c r="C8" s="77" t="str">
        <x:v>declared controls</x:v>
      </x:c>
      <x:c r="D8" s="77" t="str">
        <x:v>make inheritance visible</x:v>
      </x:c>
      <x:c r="E8" s="77" t="str">
        <x:v>Passes 82/86/87/88</x:v>
      </x:c>
      <x:c r="F8" s="77" t="str">
        <x:v>named cells</x:v>
      </x:c>
      <x:c r="G8" s="77" t="str">
        <x:v>unmeasured</x:v>
      </x:c>
      <x:c r="H8" s="77" t="str">
        <x:v>precision</x:v>
      </x:c>
      <x:c r="I8" s="77" t="str">
        <x:v>model owner</x:v>
      </x:c>
      <x:c r="J8" s="79" t="str">
        <x:v>change control</x:v>
      </x:c>
    </x:row>
    <x:row r="9">
      <x:c r="B9" s="77" t="str">
        <x:v>Service Constitution</x:v>
      </x:c>
      <x:c r="C9" s="77" t="str">
        <x:v>effect grammar</x:v>
      </x:c>
      <x:c r="D9" s="77" t="str">
        <x:v>prevent mass substitution</x:v>
      </x:c>
      <x:c r="E9" s="77" t="str">
        <x:v>service floors</x:v>
      </x:c>
      <x:c r="F9" s="77" t="str">
        <x:v>canonical vector</x:v>
      </x:c>
      <x:c r="G9" s="77" t="str">
        <x:v>open</x:v>
      </x:c>
      <x:c r="H9" s="77" t="str">
        <x:v>public adequacy</x:v>
      </x:c>
      <x:c r="I9" s="77" t="str">
        <x:v>civil authority</x:v>
      </x:c>
      <x:c r="J9" s="79" t="str">
        <x:v>campaign</x:v>
      </x:c>
    </x:row>
    <x:row r="10">
      <x:c r="B10" s="77" t="str">
        <x:v>ESK-40 Tile Grammar</x:v>
      </x:c>
      <x:c r="C10" s="77" t="str">
        <x:v>physical coding hypothesis</x:v>
      </x:c>
      <x:c r="D10" s="77" t="str">
        <x:v>test kernel</x:v>
      </x:c>
      <x:c r="E10" s="77" t="str">
        <x:v>tile assumptions</x:v>
      </x:c>
      <x:c r="F10" s="77" t="str">
        <x:v>family closure</x:v>
      </x:c>
      <x:c r="G10" s="77" t="str">
        <x:v>open</x:v>
      </x:c>
      <x:c r="H10" s="77" t="str">
        <x:v>feasibility</x:v>
      </x:c>
      <x:c r="I10" s="77" t="str">
        <x:v>payload authority</x:v>
      </x:c>
      <x:c r="J10" s="79" t="str">
        <x:v>campaign</x:v>
      </x:c>
    </x:row>
    <x:row r="11">
      <x:c r="B11" s="77" t="str">
        <x:v>Air Quorum</x:v>
      </x:c>
      <x:c r="C11" s="77" t="str">
        <x:v>three-carrier allocation</x:v>
      </x:c>
      <x:c r="D11" s="77" t="str">
        <x:v>test any two</x:v>
      </x:c>
      <x:c r="E11" s="77" t="str">
        <x:v>tile grammar</x:v>
      </x:c>
      <x:c r="F11" s="77" t="str">
        <x:v>three subsets</x:v>
      </x:c>
      <x:c r="G11" s="77" t="str">
        <x:v>open</x:v>
      </x:c>
      <x:c r="H11" s="77" t="str">
        <x:v>flight proof</x:v>
      </x:c>
      <x:c r="I11" s="77" t="str">
        <x:v>air authority</x:v>
      </x:c>
      <x:c r="J11" s="79" t="str">
        <x:v>trial</x:v>
      </x:c>
    </x:row>
    <x:row r="12">
      <x:c r="B12" s="77" t="str">
        <x:v>Terrain Quorum</x:v>
      </x:c>
      <x:c r="C12" s="77" t="str">
        <x:v>five-carrier allocation</x:v>
      </x:c>
      <x:c r="D12" s="77" t="str">
        <x:v>test any four</x:v>
      </x:c>
      <x:c r="E12" s="77" t="str">
        <x:v>tile grammar</x:v>
      </x:c>
      <x:c r="F12" s="77" t="str">
        <x:v>five subsets</x:v>
      </x:c>
      <x:c r="G12" s="77" t="str">
        <x:v>open</x:v>
      </x:c>
      <x:c r="H12" s="77" t="str">
        <x:v>route proof</x:v>
      </x:c>
      <x:c r="I12" s="77" t="str">
        <x:v>terrain authority</x:v>
      </x:c>
      <x:c r="J12" s="79" t="str">
        <x:v>trial</x:v>
      </x:c>
    </x:row>
    <x:row r="13">
      <x:c r="B13" s="77" t="str">
        <x:v>Architecture Competition</x:v>
      </x:c>
      <x:c r="C13" s="77" t="str">
        <x:v>P1-P6 screen</x:v>
      </x:c>
      <x:c r="D13" s="77" t="str">
        <x:v>select P4</x:v>
      </x:c>
      <x:c r="E13" s="77" t="str">
        <x:v>candidate declarations</x:v>
      </x:c>
      <x:c r="F13" s="77" t="str">
        <x:v>24 gates</x:v>
      </x:c>
      <x:c r="G13" s="77" t="str">
        <x:v>open</x:v>
      </x:c>
      <x:c r="H13" s="77" t="str">
        <x:v>optimization</x:v>
      </x:c>
      <x:c r="I13" s="77" t="str">
        <x:v>red team</x:v>
      </x:c>
      <x:c r="J13" s="79" t="str">
        <x:v>pass</x:v>
      </x:c>
    </x:row>
    <x:row r="14">
      <x:c r="B14" s="77" t="str">
        <x:v>Mission State Machine</x:v>
      </x:c>
      <x:c r="C14" s="77" t="str">
        <x:v>common state grammar</x:v>
      </x:c>
      <x:c r="D14" s="77" t="str">
        <x:v>compare clocks</x:v>
      </x:c>
      <x:c r="E14" s="77" t="str">
        <x:v>inherited routes</x:v>
      </x:c>
      <x:c r="F14" s="77" t="str">
        <x:v>release time</x:v>
      </x:c>
      <x:c r="G14" s="77" t="str">
        <x:v>open</x:v>
      </x:c>
      <x:c r="H14" s="77" t="str">
        <x:v>percentiles</x:v>
      </x:c>
      <x:c r="I14" s="77" t="str">
        <x:v>mission authority</x:v>
      </x:c>
      <x:c r="J14" s="79" t="str">
        <x:v>exercise</x:v>
      </x:c>
    </x:row>
    <x:row r="15">
      <x:c r="B15" s="77" t="str">
        <x:v>Delay Budget</x:v>
      </x:c>
      <x:c r="C15" s="77" t="str">
        <x:v>stress allocation</x:v>
      </x:c>
      <x:c r="D15" s="77" t="str">
        <x:v>bound clock</x:v>
      </x:c>
      <x:c r="E15" s="77" t="str">
        <x:v>declared delay</x:v>
      </x:c>
      <x:c r="F15" s="77" t="str">
        <x:v>deadline margin</x:v>
      </x:c>
      <x:c r="G15" s="77" t="str">
        <x:v>open</x:v>
      </x:c>
      <x:c r="H15" s="77" t="str">
        <x:v>probability</x:v>
      </x:c>
      <x:c r="I15" s="77" t="str">
        <x:v>mission authority</x:v>
      </x:c>
      <x:c r="J15" s="79" t="str">
        <x:v>trial</x:v>
      </x:c>
    </x:row>
    <x:row r="16">
      <x:c r="B16" s="77" t="str">
        <x:v>Challenge Lattice</x:v>
      </x:c>
      <x:c r="C16" s="77" t="str">
        <x:v>28+4 worlds</x:v>
      </x:c>
      <x:c r="D16" s="77" t="str">
        <x:v>test guarantee</x:v>
      </x:c>
      <x:c r="E16" s="77" t="str">
        <x:v>casualty states</x:v>
      </x:c>
      <x:c r="F16" s="77" t="str">
        <x:v>PASS or BOUND</x:v>
      </x:c>
      <x:c r="G16" s="77" t="str">
        <x:v>open</x:v>
      </x:c>
      <x:c r="H16" s="77" t="str">
        <x:v>frequency</x:v>
      </x:c>
      <x:c r="I16" s="77" t="str">
        <x:v>red team</x:v>
      </x:c>
      <x:c r="J16" s="79" t="str">
        <x:v>trial</x:v>
      </x:c>
    </x:row>
    <x:row r="17">
      <x:c r="B17" s="77" t="str">
        <x:v>Receiver Geometry</x:v>
      </x:c>
      <x:c r="C17" s="77" t="str">
        <x:v>controlled boundary</x:v>
      </x:c>
      <x:c r="D17" s="77" t="str">
        <x:v>size zones</x:v>
      </x:c>
      <x:c r="E17" s="77" t="str">
        <x:v>formation</x:v>
      </x:c>
      <x:c r="F17" s="77" t="str">
        <x:v>footprints</x:v>
      </x:c>
      <x:c r="G17" s="77" t="str">
        <x:v>open</x:v>
      </x:c>
      <x:c r="H17" s="77" t="str">
        <x:v>site feasibility</x:v>
      </x:c>
      <x:c r="I17" s="77" t="str">
        <x:v>receiver authority</x:v>
      </x:c>
      <x:c r="J17" s="79" t="str">
        <x:v>trial</x:v>
      </x:c>
    </x:row>
    <x:row r="18">
      <x:c r="B18" s="77" t="str">
        <x:v>Ancestry Firewall</x:v>
      </x:c>
      <x:c r="C18" s="77" t="str">
        <x:v>causal separation</x:v>
      </x:c>
      <x:c r="D18" s="77" t="str">
        <x:v>protect independence</x:v>
      </x:c>
      <x:c r="E18" s="77" t="str">
        <x:v>lineage rules</x:v>
      </x:c>
      <x:c r="F18" s="77" t="str">
        <x:v>domain decisions</x:v>
      </x:c>
      <x:c r="G18" s="77" t="str">
        <x:v>open</x:v>
      </x:c>
      <x:c r="H18" s="77" t="str">
        <x:v>vendor independence</x:v>
      </x:c>
      <x:c r="I18" s="77" t="str">
        <x:v>ancestry authority</x:v>
      </x:c>
      <x:c r="J18" s="79" t="str">
        <x:v>audit</x:v>
      </x:c>
    </x:row>
    <x:row r="19">
      <x:c r="B19" s="77" t="str">
        <x:v>Crew and Authority</x:v>
      </x:c>
      <x:c r="C19" s="77" t="str">
        <x:v>human closure</x:v>
      </x:c>
      <x:c r="D19" s="77" t="str">
        <x:v>staff releases</x:v>
      </x:c>
      <x:c r="E19" s="77" t="str">
        <x:v>role hypotheses</x:v>
      </x:c>
      <x:c r="F19" s="77" t="str">
        <x:v>authority map</x:v>
      </x:c>
      <x:c r="G19" s="77" t="str">
        <x:v>open</x:v>
      </x:c>
      <x:c r="H19" s="77" t="str">
        <x:v>staffing sufficiency</x:v>
      </x:c>
      <x:c r="I19" s="77" t="str">
        <x:v>workforce authority</x:v>
      </x:c>
      <x:c r="J19" s="79" t="str">
        <x:v>exercise</x:v>
      </x:c>
    </x:row>
    <x:row r="20">
      <x:c r="B20" s="77" t="str">
        <x:v>Reset and Fleet</x:v>
      </x:c>
      <x:c r="C20" s="77" t="str">
        <x:v>article boundary</x:v>
      </x:c>
      <x:c r="D20" s="77" t="str">
        <x:v>price readiness</x:v>
      </x:c>
      <x:c r="E20" s="77" t="str">
        <x:v>formation and reset</x:v>
      </x:c>
      <x:c r="F20" s="77" t="str">
        <x:v>fleet totals</x:v>
      </x:c>
      <x:c r="G20" s="77" t="str">
        <x:v>open</x:v>
      </x:c>
      <x:c r="H20" s="77" t="str">
        <x:v>availability rate</x:v>
      </x:c>
      <x:c r="I20" s="77" t="str">
        <x:v>fleet authority</x:v>
      </x:c>
      <x:c r="J20" s="79" t="str">
        <x:v>cycle</x:v>
      </x:c>
    </x:row>
    <x:row r="21">
      <x:c r="B21" s="77" t="str">
        <x:v>Workforce</x:v>
      </x:c>
      <x:c r="C21" s="77" t="str">
        <x:v>people boundary</x:v>
      </x:c>
      <x:c r="D21" s="77" t="str">
        <x:v>expose labor</x:v>
      </x:c>
      <x:c r="E21" s="77" t="str">
        <x:v>role increments</x:v>
      </x:c>
      <x:c r="F21" s="77" t="str">
        <x:v>906/2031/284</x:v>
      </x:c>
      <x:c r="G21" s="77" t="str">
        <x:v>open</x:v>
      </x:c>
      <x:c r="H21" s="77" t="str">
        <x:v>optimized staffing</x:v>
      </x:c>
      <x:c r="I21" s="77" t="str">
        <x:v>workforce authority</x:v>
      </x:c>
      <x:c r="J21" s="79" t="str">
        <x:v>exercise</x:v>
      </x:c>
    </x:row>
    <x:row r="22">
      <x:c r="B22" s="77" t="str">
        <x:v>Program Cost</x:v>
      </x:c>
      <x:c r="C22" s="77" t="str">
        <x:v>25-year envelope</x:v>
      </x:c>
      <x:c r="D22" s="77" t="str">
        <x:v>compare P4/P5</x:v>
      </x:c>
      <x:c r="E22" s="77" t="str">
        <x:v>declared increments</x:v>
      </x:c>
      <x:c r="F22" s="77" t="str">
        <x:v>program boundary</x:v>
      </x:c>
      <x:c r="G22" s="77" t="str">
        <x:v>open</x:v>
      </x:c>
      <x:c r="H22" s="77" t="str">
        <x:v>appropriation forecast</x:v>
      </x:c>
      <x:c r="I22" s="77" t="str">
        <x:v>fiscal authority</x:v>
      </x:c>
      <x:c r="J22" s="79" t="str">
        <x:v>annual</x:v>
      </x:c>
    </x:row>
    <x:row r="23">
      <x:c r="B23" s="77" t="str">
        <x:v>Technology Portfolio</x:v>
      </x:c>
      <x:c r="C23" s="77" t="str">
        <x:v>proof investment</x:v>
      </x:c>
      <x:c r="D23" s="77" t="str">
        <x:v>sequence invention</x:v>
      </x:c>
      <x:c r="E23" s="77" t="str">
        <x:v>20 campaigns</x:v>
      </x:c>
      <x:c r="F23" s="77" t="str">
        <x:v>775 nested</x:v>
      </x:c>
      <x:c r="G23" s="77" t="str">
        <x:v>open</x:v>
      </x:c>
      <x:c r="H23" s="77" t="str">
        <x:v>success</x:v>
      </x:c>
      <x:c r="I23" s="77" t="str">
        <x:v>technology authority</x:v>
      </x:c>
      <x:c r="J23" s="79" t="str">
        <x:v>gate</x:v>
      </x:c>
    </x:row>
    <x:row r="24">
      <x:c r="B24" s="77" t="str">
        <x:v>Evidence Gates</x:v>
      </x:c>
      <x:c r="C24" s="77" t="str">
        <x:v>falsification register</x:v>
      </x:c>
      <x:c r="D24" s="77" t="str">
        <x:v>withhold maturity</x:v>
      </x:c>
      <x:c r="E24" s="77" t="str">
        <x:v>160 gates</x:v>
      </x:c>
      <x:c r="F24" s="77" t="str">
        <x:v>states</x:v>
      </x:c>
      <x:c r="G24" s="77" t="str">
        <x:v>OPEN</x:v>
      </x:c>
      <x:c r="H24" s="77" t="str">
        <x:v>evidence</x:v>
      </x:c>
      <x:c r="I24" s="77" t="str">
        <x:v>independent owners</x:v>
      </x:c>
      <x:c r="J24" s="79" t="str">
        <x:v>gate</x:v>
      </x:c>
    </x:row>
    <x:row r="25">
      <x:c r="B25" s="77" t="str">
        <x:v>Audit</x:v>
      </x:c>
      <x:c r="C25" s="77" t="str">
        <x:v>terminal controls</x:v>
      </x:c>
      <x:c r="D25" s="77" t="str">
        <x:v>reconcile formulas</x:v>
      </x:c>
      <x:c r="E25" s="77" t="str">
        <x:v>model outputs</x:v>
      </x:c>
      <x:c r="F25" s="77" t="str">
        <x:v>230 checks</x:v>
      </x:c>
      <x:c r="G25" s="77" t="str">
        <x:v>model only</x:v>
      </x:c>
      <x:c r="H25" s="77" t="str">
        <x:v>external validity</x:v>
      </x:c>
      <x:c r="I25" s="77" t="str">
        <x:v>audit authority</x:v>
      </x:c>
      <x:c r="J25" s="79" t="str">
        <x:v>each build</x:v>
      </x:c>
    </x:row>
    <x:row r="26">
      <x:c r="B26" s="80" t="str">
        <x:v>ReadMe</x:v>
      </x:c>
      <x:c r="C26" s="80" t="str">
        <x:v>navigation</x:v>
      </x:c>
      <x:c r="D26" s="80" t="str">
        <x:v>prevent misuse</x:v>
      </x:c>
      <x:c r="E26" s="80" t="str">
        <x:v>sheet map</x:v>
      </x:c>
      <x:c r="F26" s="80" t="str">
        <x:v>interpretation</x:v>
      </x:c>
      <x:c r="G26" s="80" t="str">
        <x:v>current</x:v>
      </x:c>
      <x:c r="H26" s="80" t="str">
        <x:v>feasibility</x:v>
      </x:c>
      <x:c r="I26" s="80" t="str">
        <x:v>research lead</x:v>
      </x:c>
      <x:c r="J26" s="82" t="str">
        <x:v>each pass</x:v>
      </x:c>
    </x:row>
    <x:row r="27">
      <x:c r="B27" s="58"/>
      <x:c r="C27" s="58"/>
      <x:c r="D27" s="58"/>
      <x:c r="E27" s="58"/>
      <x:c r="F27" s="58"/>
      <x:c r="G27" s="58"/>
      <x:c r="H27" s="58"/>
      <x:c r="I27" s="58"/>
      <x:c r="J27" s="58"/>
    </x:row>
    <x:row r="28">
      <x:c r="B28" s="58"/>
      <x:c r="C28" s="58"/>
      <x:c r="D28" s="58"/>
      <x:c r="E28" s="58"/>
      <x:c r="F28" s="58"/>
      <x:c r="G28" s="58"/>
      <x:c r="H28" s="58"/>
      <x:c r="I28" s="58"/>
      <x:c r="J28" s="58"/>
    </x:row>
    <x:row r="29">
      <x:c r="B29" s="99" t="str">
        <x:v>Constitution</x:v>
      </x:c>
      <x:c r="C29" s="100" t="str">
        <x:v>Constitution</x:v>
      </x:c>
      <x:c r="D29" s="100" t="str">
        <x:v>Constitution</x:v>
      </x:c>
      <x:c r="E29" s="100" t="str">
        <x:v>Constitution</x:v>
      </x:c>
      <x:c r="F29" s="100" t="str">
        <x:v>Constitution</x:v>
      </x:c>
      <x:c r="G29" s="100" t="str">
        <x:v>Constitution</x:v>
      </x:c>
      <x:c r="H29" s="100" t="str">
        <x:v>Constitution</x:v>
      </x:c>
      <x:c r="I29" s="100" t="str">
        <x:v>Constitution</x:v>
      </x:c>
      <x:c r="J29" s="101" t="str">
        <x:v>Constitution</x:v>
      </x:c>
    </x:row>
    <x:row r="30">
      <x:c r="B30" s="83" t="str">
        <x:v>Blue inputs</x:v>
      </x:c>
      <x:c r="C30" s="58" t="str">
        <x:v>Declared or inherited values are hypotheses unless a gate points to an accepted artifact.</x:v>
      </x:c>
      <x:c r="D30" s="58" t="str"/>
      <x:c r="E30" s="58" t="str"/>
      <x:c r="F30" s="58" t="str"/>
      <x:c r="G30" s="58" t="str"/>
      <x:c r="H30" s="58" t="str"/>
      <x:c r="I30" s="58" t="str"/>
      <x:c r="J30" s="58" t="str"/>
    </x:row>
    <x:row r="31">
      <x:c r="B31" s="83" t="str">
        <x:v>Green PASS</x:v>
      </x:c>
      <x:c r="C31" s="58" t="str">
        <x:v>A formula reconciles with its boundary; it does not prove the physical claim.</x:v>
      </x:c>
      <x:c r="D31" s="58" t="str"/>
      <x:c r="E31" s="58" t="str"/>
      <x:c r="F31" s="58" t="str"/>
      <x:c r="G31" s="58" t="str"/>
      <x:c r="H31" s="58" t="str"/>
      <x:c r="I31" s="58" t="str"/>
      <x:c r="J31" s="58" t="str"/>
    </x:row>
    <x:row r="32">
      <x:c r="B32" s="83" t="str">
        <x:v>Amber OPEN / BOUND</x:v>
      </x:c>
      <x:c r="C32" s="58" t="str">
        <x:v>OPEN has zero evidence credit. BOUND is intentionally outside the guarantee.</x:v>
      </x:c>
      <x:c r="D32" s="58" t="str"/>
      <x:c r="E32" s="58" t="str"/>
      <x:c r="F32" s="58" t="str"/>
      <x:c r="G32" s="58" t="str"/>
      <x:c r="H32" s="58" t="str"/>
      <x:c r="I32" s="58" t="str"/>
      <x:c r="J32" s="58" t="str"/>
    </x:row>
    <x:row r="33">
      <x:c r="B33" s="83" t="str">
        <x:v>Red FAIL</x:v>
      </x:c>
      <x:c r="C33" s="58" t="str">
        <x:v>A deterministic inconsistency or failed accepted test reopens the decision.</x:v>
      </x:c>
      <x:c r="D33" s="58" t="str"/>
      <x:c r="E33" s="58" t="str"/>
      <x:c r="F33" s="58" t="str"/>
      <x:c r="G33" s="58" t="str"/>
      <x:c r="H33" s="58" t="str"/>
      <x:c r="I33" s="58" t="str"/>
      <x:c r="J33" s="58" t="str"/>
    </x:row>
    <x:row r="34">
      <x:c r="B34" s="83" t="str">
        <x:v>Audit terminality</x:v>
      </x:c>
      <x:c r="C34" s="58" t="str">
        <x:v>No Summary, formation, cost or evidence decision formula depends on Audit.</x:v>
      </x:c>
      <x:c r="D34" s="58" t="str"/>
      <x:c r="E34" s="58" t="str"/>
      <x:c r="F34" s="58" t="str"/>
      <x:c r="G34" s="58" t="str"/>
      <x:c r="H34" s="58" t="str"/>
      <x:c r="I34" s="58" t="str"/>
      <x:c r="J34" s="58" t="str"/>
    </x:row>
    <x:row r="35">
      <x:c r="B35" s="83" t="str">
        <x:v>Cost units</x:v>
      </x:c>
      <x:c r="C35" s="58" t="str">
        <x:v>Program values are billions over 25 years; the technology portfolio is nested.</x:v>
      </x:c>
      <x:c r="D35" s="58" t="str"/>
      <x:c r="E35" s="58" t="str"/>
      <x:c r="F35" s="58" t="str"/>
      <x:c r="G35" s="58" t="str"/>
      <x:c r="H35" s="58" t="str"/>
      <x:c r="I35" s="58" t="str"/>
      <x:c r="J35" s="58" t="str"/>
    </x:row>
    <x:row r="36">
      <x:c r="B36" s="83" t="str">
        <x:v>Rendering</x:v>
      </x:c>
      <x:c r="C36" s="58" t="str">
        <x:v>Vehicle imagery remains blocked until tile architecture and mission evidence stabilize.</x:v>
      </x:c>
      <x:c r="D36" s="58" t="str"/>
      <x:c r="E36" s="58" t="str"/>
      <x:c r="F36" s="58" t="str"/>
      <x:c r="G36" s="58" t="str"/>
      <x:c r="H36" s="58" t="str"/>
      <x:c r="I36" s="58" t="str"/>
      <x:c r="J36" s="58" t="str"/>
    </x:row>
  </x:sheetData>
  <x:mergeCells>
    <x:mergeCell ref="B2:H2"/>
    <x:mergeCell ref="B3:H3"/>
    <x:mergeCell ref="B29:J29"/>
  </x:mergeCells>
  <x:pageMargins left="0.7" right="0.7" top="0.75" bottom="0.75" header="0.3" footer="0.3"/>
</x:worksheet>
</file>