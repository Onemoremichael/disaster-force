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e44dca1af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f1a7e8d2b34586"/>
    <x:sheet xmlns:r="http://schemas.openxmlformats.org/officeDocument/2006/relationships" name="Assumptions" sheetId="2" r:id="R53e2ba035f8d4dc4"/>
    <x:sheet xmlns:r="http://schemas.openxmlformats.org/officeDocument/2006/relationships" name="Interface Competition" sheetId="3" r:id="R2ee8bf9793f6464a"/>
    <x:sheet xmlns:r="http://schemas.openxmlformats.org/officeDocument/2006/relationships" name="Receiver Geometry" sheetId="4" r:id="Rb27e857e87614eab"/>
    <x:sheet xmlns:r="http://schemas.openxmlformats.org/officeDocument/2006/relationships" name="Mission States" sheetId="5" r:id="R7acb535591b34f64"/>
    <x:sheet xmlns:r="http://schemas.openxmlformats.org/officeDocument/2006/relationships" name="Contact Competition" sheetId="6" r:id="Rba55082752244afc"/>
    <x:sheet xmlns:r="http://schemas.openxmlformats.org/officeDocument/2006/relationships" name="Energy Competition" sheetId="7" r:id="Rb35a4714ad7a4cd8"/>
    <x:sheet xmlns:r="http://schemas.openxmlformats.org/officeDocument/2006/relationships" name="Revised SAT-170" sheetId="8" r:id="R1465502f077a443e"/>
    <x:sheet xmlns:r="http://schemas.openxmlformats.org/officeDocument/2006/relationships" name="Two-Mode Schedule" sheetId="9" r:id="Rd510e77f695c44d1"/>
    <x:sheet xmlns:r="http://schemas.openxmlformats.org/officeDocument/2006/relationships" name="Resilience Worlds" sheetId="10" r:id="R992c5813fe2c425b"/>
    <x:sheet xmlns:r="http://schemas.openxmlformats.org/officeDocument/2006/relationships" name="Workforce and Reset" sheetId="11" r:id="Rce49b290eb8e458f"/>
    <x:sheet xmlns:r="http://schemas.openxmlformats.org/officeDocument/2006/relationships" name="Production and Cost" sheetId="12" r:id="R18e11c7b30a64be2"/>
    <x:sheet xmlns:r="http://schemas.openxmlformats.org/officeDocument/2006/relationships" name="Technology Program" sheetId="13" r:id="R2a732bcfe85c4ad1"/>
    <x:sheet xmlns:r="http://schemas.openxmlformats.org/officeDocument/2006/relationships" name="Evidence Gates" sheetId="14" r:id="R0ba09a7c60e241a4"/>
    <x:sheet xmlns:r="http://schemas.openxmlformats.org/officeDocument/2006/relationships" name="Audit" sheetId="15" r:id="R93e7013dfcfb4556"/>
    <x:sheet xmlns:r="http://schemas.openxmlformats.org/officeDocument/2006/relationships" name="ReadMe" sheetId="16" r:id="R5fddb675a981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&quot;$&quot;#,##0.00000"/>
    <x:numFmt numFmtId="203" formatCode="&quot;$&quot;#,##0"/>
    <x:numFmt numFmtId="204" formatCode="#,##0.00"/>
    <x:numFmt numFmtId="205" formatCode="#,##0.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</x:fills>
  <x:borders count="17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  <x:border>
      <x:left style="thin">
        <x:color rgb="FFFFFFFF"/>
      </x:left>
      <x:bottom style="thin">
        <x:color rgb="FFD8E0E5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6" fillId="0" borderId="10" xfId="0" applyNumberFormat="1" applyFont="1" applyFill="1" applyBorder="1" applyAlignment="1">
      <x:alignment vertical="center" wrapText="1"/>
    </x:xf>
    <x:xf numFmtId="201" fontId="6" fillId="0" borderId="10" xfId="0" applyNumberFormat="1" applyFont="1" applyFill="1" applyBorder="1" applyAlignment="1">
      <x:alignment vertical="center" wrapText="1"/>
    </x:xf>
    <x:xf numFmtId="202" fontId="6" fillId="0" borderId="10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4" fontId="1" fillId="0" borderId="10" xfId="0" applyNumberFormat="1" applyFont="1" applyFill="1" applyBorder="1" applyAlignment="1">
      <x:alignment vertical="center" wrapText="1"/>
    </x:xf>
    <x:xf numFmtId="205" fontId="1" fillId="0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1" fontId="1" fillId="0" borderId="10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202" fontId="1" fillId="0" borderId="12" xfId="0" applyNumberFormat="1" applyFont="1" applyFill="1" applyBorder="1" applyAlignment="1">
      <x:alignment vertical="center" wrapText="1"/>
    </x:xf>
    <x:xf numFmtId="203" fontId="1" fillId="0" borderId="10" xfId="0" applyNumberFormat="1" applyFont="1" applyFill="1" applyBorder="1" applyAlignment="1">
      <x:alignment vertical="center" wrapText="1"/>
    </x:xf>
    <x:xf numFmtId="203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5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f883c6e9e48a9" /><Relationship Type="http://schemas.openxmlformats.org/officeDocument/2006/relationships/theme" Target="/xl/theme/theme1.xml" Id="R64d2a7a87aaa47ca" /><Relationship Type="http://schemas.openxmlformats.org/officeDocument/2006/relationships/sharedStrings" Target="/xl/sharedStrings.xml" Id="Rb99203dfde994092" /><Relationship Type="http://schemas.openxmlformats.org/officeDocument/2006/relationships/worksheet" Target="/xl/worksheets/sheet1.xml" Id="R4bf1a7e8d2b34586" /><Relationship Type="http://schemas.openxmlformats.org/officeDocument/2006/relationships/worksheet" Target="/xl/worksheets/sheet2.xml" Id="R53e2ba035f8d4dc4" /><Relationship Type="http://schemas.openxmlformats.org/officeDocument/2006/relationships/worksheet" Target="/xl/worksheets/sheet3.xml" Id="R2ee8bf9793f6464a" /><Relationship Type="http://schemas.openxmlformats.org/officeDocument/2006/relationships/worksheet" Target="/xl/worksheets/sheet4.xml" Id="Rb27e857e87614eab" /><Relationship Type="http://schemas.openxmlformats.org/officeDocument/2006/relationships/worksheet" Target="/xl/worksheets/sheet5.xml" Id="R7acb535591b34f64" /><Relationship Type="http://schemas.openxmlformats.org/officeDocument/2006/relationships/worksheet" Target="/xl/worksheets/sheet6.xml" Id="Rba55082752244afc" /><Relationship Type="http://schemas.openxmlformats.org/officeDocument/2006/relationships/worksheet" Target="/xl/worksheets/sheet7.xml" Id="Rb35a4714ad7a4cd8" /><Relationship Type="http://schemas.openxmlformats.org/officeDocument/2006/relationships/worksheet" Target="/xl/worksheets/sheet8.xml" Id="R1465502f077a443e" /><Relationship Type="http://schemas.openxmlformats.org/officeDocument/2006/relationships/worksheet" Target="/xl/worksheets/sheet9.xml" Id="Rd510e77f695c44d1" /><Relationship Type="http://schemas.openxmlformats.org/officeDocument/2006/relationships/worksheet" Target="/xl/worksheets/sheet10.xml" Id="R992c5813fe2c425b" /><Relationship Type="http://schemas.openxmlformats.org/officeDocument/2006/relationships/worksheet" Target="/xl/worksheets/sheet11.xml" Id="Rce49b290eb8e458f" /><Relationship Type="http://schemas.openxmlformats.org/officeDocument/2006/relationships/worksheet" Target="/xl/worksheets/sheet12.xml" Id="R18e11c7b30a64be2" /><Relationship Type="http://schemas.openxmlformats.org/officeDocument/2006/relationships/worksheet" Target="/xl/worksheets/sheet13.xml" Id="R2a732bcfe85c4ad1" /><Relationship Type="http://schemas.openxmlformats.org/officeDocument/2006/relationships/worksheet" Target="/xl/worksheets/sheet14.xml" Id="R0ba09a7c60e241a4" /><Relationship Type="http://schemas.openxmlformats.org/officeDocument/2006/relationships/worksheet" Target="/xl/worksheets/sheet15.xml" Id="R93e7013dfcfb4556" /><Relationship Type="http://schemas.openxmlformats.org/officeDocument/2006/relationships/worksheet" Target="/xl/worksheets/sheet16.xml" Id="R5fddb675a981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30" hidden="0" customWidth="1"/>
    <x:col min="4" max="4" width="15" hidden="0" customWidth="1"/>
    <x:col min="5" max="5" width="17" hidden="0" customWidth="1"/>
    <x:col min="6" max="6" width="52" hidden="0" customWidth="1"/>
    <x:col min="7" max="7" width="3" hidden="0" customWidth="1"/>
    <x:col min="8" max="8" width="4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B2" s="78" t="str">
        <x:v>Pass 85 decision: federate the receivers; enlarge the terrain carrier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79" t="str">
        <x:v>The two-mode force survives contact only by refusing a common pre-release interface and reopening SAT-170 energy and soil mechanics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B6" s="72" t="str">
        <x:v>Decision dashboard</x:v>
      </x:c>
      <x:c r="C6" s="73" t="str">
        <x:v>Decision dashboard</x:v>
      </x:c>
      <x:c r="D6" s="73" t="str">
        <x:v>Decision dashboard</x:v>
      </x:c>
      <x:c r="E6" s="73" t="str">
        <x:v>Decision dashboard</x:v>
      </x:c>
      <x:c r="F6" s="74" t="str">
        <x:v>Decision dashboard</x:v>
      </x:c>
      <x:c r="G6" s="26"/>
      <x:c r="H6" s="72" t="str">
        <x:v>What changed and why</x:v>
      </x:c>
      <x:c r="I6" s="73" t="str">
        <x:v>What changed and why</x:v>
      </x:c>
      <x:c r="J6" s="73" t="str">
        <x:v>What changed and why</x:v>
      </x:c>
      <x:c r="K6" s="73" t="str">
        <x:v>What changed and why</x:v>
      </x:c>
      <x:c r="L6" s="73" t="str">
        <x:v>What changed and why</x:v>
      </x:c>
      <x:c r="M6" s="73" t="str">
        <x:v>What changed and why</x:v>
      </x:c>
      <x:c r="N6" s="74" t="str">
        <x:v>What changed and why</x:v>
      </x:c>
    </x:row>
    <x:row r="7">
      <x:c r="B7" s="31" t="str">
        <x:v>Finding</x:v>
      </x:c>
      <x:c r="C7" s="32" t="str">
        <x:v>Value</x:v>
      </x:c>
      <x:c r="D7" s="32" t="str">
        <x:v>Unit</x:v>
      </x:c>
      <x:c r="E7" s="32" t="str">
        <x:v>Status</x:v>
      </x:c>
      <x:c r="F7" s="32" t="str">
        <x:v>Meaning</x:v>
      </x:c>
      <x:c r="G7" s="26"/>
      <x:c r="H7" s="75" t="str">
        <x:v>1. The common interface disappears as a machine.</x:v>
      </x:c>
      <x:c r="I7" s="26" t="str">
        <x:v>The mature interface is a shared service grammar implemented twice. Payload, energy and authority do not cross before each mode reaches civil public release.</x:v>
      </x:c>
      <x:c r="J7" s="26"/>
      <x:c r="K7" s="26"/>
      <x:c r="L7" s="26"/>
      <x:c r="M7" s="26"/>
      <x:c r="N7" s="26"/>
    </x:row>
    <x:row r="8">
      <x:c r="B8" s="33" t="str">
        <x:v>Interface reference</x:v>
      </x:c>
      <x:c r="C8" s="33" t="str">
        <x:v>I3 federated twin receivers</x:v>
      </x:c>
      <x:c r="D8" s="33" t="str">
        <x:v>architecture</x:v>
      </x:c>
      <x:c r="E8" s="33" t="str">
        <x:v>PROVISIONAL</x:v>
      </x:c>
      <x:c r="F8" s="35" t="str">
        <x:v>five-kilometre separation; independent S7 release; optional fail-open corridor</x:v>
      </x:c>
      <x:c r="G8" s="26"/>
      <x:c r="H8" s="75" t="str">
        <x:v>2. Energy sets terrain-carrier mass.</x:v>
      </x:c>
      <x:c r="I8" s="26" t="str">
        <x:v>The 60 t / 600 MWh line does not survive complete-system closure. A liquid-fuel turbine-electric fixed point raises the energy system to about 176.5 t.</x:v>
      </x:c>
      <x:c r="J8" s="26"/>
      <x:c r="K8" s="26"/>
      <x:c r="L8" s="26"/>
      <x:c r="M8" s="26"/>
      <x:c r="N8" s="26"/>
    </x:row>
    <x:row r="9">
      <x:c r="B9" s="33" t="str">
        <x:v>Energy reference</x:v>
      </x:c>
      <x:c r="C9" s="33" t="str">
        <x:v>E2 modular liquid-fuel turbine-electric</x:v>
      </x:c>
      <x:c r="D9" s="33" t="str">
        <x:v>architecture</x:v>
      </x:c>
      <x:c r="E9" s="33" t="str">
        <x:v>PROVISIONAL</x:v>
      </x:c>
      <x:c r="F9" s="35" t="str">
        <x:v>only candidate closing vehicle, casualty and ancestry screens</x:v>
      </x:c>
      <x:c r="G9" s="26"/>
      <x:c r="H9" s="75" t="str">
        <x:v>3. Static pressure was a false comfort.</x:v>
      </x:c>
      <x:c r="I9" s="26" t="str">
        <x:v>Revised gross mass plus dynamic loading, imbalance and loss of one pod requires 250.8 m2; the reference moves to a 255 m2 deployable footprint.</x:v>
      </x:c>
      <x:c r="J9" s="26"/>
      <x:c r="K9" s="26"/>
      <x:c r="L9" s="26"/>
      <x:c r="M9" s="26"/>
      <x:c r="N9" s="26"/>
    </x:row>
    <x:row r="10">
      <x:c r="B10" s="33" t="str">
        <x:v>Contact reference</x:v>
      </x:c>
      <x:c r="C10" s="33" t="str">
        <x:v>C5 TAP-255 adaptive pods</x:v>
      </x:c>
      <x:c r="D10" s="33" t="str">
        <x:v>architecture</x:v>
      </x:c>
      <x:c r="E10" s="33" t="str">
        <x:v>PROVISIONAL</x:v>
      </x:c>
      <x:c r="F10" s="35" t="str">
        <x:v>255 m2 deployed; one-pod-out dynamic case</x:v>
      </x:c>
      <x:c r="G10" s="26"/>
      <x:c r="H10" s="75" t="str">
        <x:v>4. The carrier grows but keeps the clock.</x:v>
      </x:c>
      <x:c r="I10" s="26" t="str">
        <x:v>SAT-170R reaches about 648.5 t rated gross, 36 MW installed power and relative service at hour 41.82—still inside both relative and absolute boundaries.</x:v>
      </x:c>
      <x:c r="J10" s="26"/>
      <x:c r="K10" s="26"/>
      <x:c r="L10" s="26"/>
      <x:c r="M10" s="26"/>
      <x:c r="N10" s="26"/>
    </x:row>
    <x:row r="11">
      <x:c r="B11" s="33" t="str">
        <x:v>Revised SAT tare</x:v>
      </x:c>
      <x:c r="C11" s="76" t="n">
        <x:f>'Revised SAT-170'!C15</x:f>
        <x:v>478.45083706672955</x:v>
      </x:c>
      <x:c r="D11" s="33" t="str">
        <x:v>t</x:v>
      </x:c>
      <x:c r="E11" s="33" t="str">
        <x:v>CALCULATED</x:v>
      </x:c>
      <x:c r="F11" s="35" t="str">
        <x:v>Pass 84 332 t reference is superseded</x:v>
      </x:c>
      <x:c r="G11" s="26"/>
      <x:c r="H11" s="75" t="str">
        <x:v>5. Independence changes technology selection.</x:v>
      </x:c>
      <x:c r="I11" s="26" t="str">
        <x:v>Hydrogen-electric is lighter in the declared vehicle arithmetic but shares the air energy ancestry and fails the field casualty screen. Vehicle optimization cannot consume formation resilience.</x:v>
      </x:c>
      <x:c r="J11" s="26"/>
      <x:c r="K11" s="26"/>
      <x:c r="L11" s="26"/>
      <x:c r="M11" s="26"/>
      <x:c r="N11" s="26"/>
    </x:row>
    <x:row r="12">
      <x:c r="B12" s="33" t="str">
        <x:v>Revised SAT rated gross</x:v>
      </x:c>
      <x:c r="C12" s="76" t="n">
        <x:f>'Revised SAT-170'!C17</x:f>
        <x:v>648.4508370667295</x:v>
      </x:c>
      <x:c r="D12" s="33" t="str">
        <x:v>t</x:v>
      </x:c>
      <x:c r="E12" s="33" t="str">
        <x:v>CALCULATED</x:v>
      </x:c>
      <x:c r="F12" s="35" t="str">
        <x:v>complete energy and contact mass</x:v>
      </x:c>
      <x:c r="G12" s="26"/>
      <x:c r="H12" s="75" t="str">
        <x:v>6. Industrial scale is a strategic effect.</x:v>
      </x:c>
      <x:c r="I12" s="26" t="str">
        <x:v>The corrected terrain program plus receiver federation adds $626.70524B above Pass 84 and creates four integration lines, plural energy/contact lineages and a 95,000-person ecosystem.</x:v>
      </x:c>
      <x:c r="J12" s="26"/>
      <x:c r="K12" s="26"/>
      <x:c r="L12" s="26"/>
      <x:c r="M12" s="26"/>
      <x:c r="N12" s="26"/>
    </x:row>
    <x:row r="13">
      <x:c r="B13" s="33" t="str">
        <x:v>Compounded pressure</x:v>
      </x:c>
      <x:c r="C13" s="76" t="n">
        <x:f>'Contact Competition'!G11</x:f>
        <x:v>34.425873498203806</x:v>
      </x:c>
      <x:c r="D13" s="33" t="str">
        <x:v>kPa</x:v>
      </x:c>
      <x:c r="E13" s="33" t="str">
        <x:v>PASS</x:v>
      </x:c>
      <x:c r="F13" s="35" t="str">
        <x:v>dynamic + imbalance + one pod lost</x:v>
      </x:c>
      <x:c r="G13" s="26"/>
      <x:c r="H13" s="75" t="str">
        <x:v>7. The result is still a research reference.</x:v>
      </x:c>
      <x:c r="I13" s="26" t="str">
        <x:v>All 120 gates remain open. No subsystem is admitted; the workbook expresses what must be built and destroyed in test.</x:v>
      </x:c>
      <x:c r="J13" s="26"/>
      <x:c r="K13" s="26"/>
      <x:c r="L13" s="26"/>
      <x:c r="M13" s="26"/>
      <x:c r="N13" s="26"/>
    </x:row>
    <x:row r="14">
      <x:c r="B14" s="33" t="str">
        <x:v>Terrain absolute service</x:v>
      </x:c>
      <x:c r="C14" s="76" t="n">
        <x:f>'Two-Mode Schedule'!M8</x:f>
        <x:v>47.819444000000004</x:v>
      </x:c>
      <x:c r="D14" s="33" t="str">
        <x:v>h</x:v>
      </x:c>
      <x:c r="E14" s="33" t="str">
        <x:v>PASS</x:v>
      </x:c>
      <x:c r="F14" s="35" t="str">
        <x:v>independent terrain release</x:v>
      </x:c>
      <x:c r="G14" s="26"/>
      <x:c r="H14" s="75" t="str">
        <x:v>8. Rendering remains premature.</x:v>
      </x:c>
      <x:c r="I14" s="26" t="str">
        <x:v>Pod cassette geometry, tanks, heat rejection, receiver safety and full packaging are still moving. Images would imply decisions the physics has not earned.</x:v>
      </x:c>
      <x:c r="J14" s="26"/>
      <x:c r="K14" s="26"/>
      <x:c r="L14" s="26"/>
      <x:c r="M14" s="26"/>
      <x:c r="N14" s="26"/>
    </x:row>
    <x:row r="15">
      <x:c r="B15" s="33" t="str">
        <x:v>Air absolute service</x:v>
      </x:c>
      <x:c r="C15" s="76" t="n">
        <x:f>'Two-Mode Schedule'!M7</x:f>
        <x:v>47.916667000000004</x:v>
      </x:c>
      <x:c r="D15" s="33" t="str">
        <x:v>h</x:v>
      </x:c>
      <x:c r="E15" s="33" t="str">
        <x:v>PASS</x:v>
      </x:c>
      <x:c r="F15" s="35" t="str">
        <x:v>independent atmospheric release</x:v>
      </x:c>
      <x:c r="G15" s="26"/>
      <x:c r="H15" s="26"/>
      <x:c r="I15" s="26"/>
      <x:c r="J15" s="26"/>
      <x:c r="K15" s="26"/>
      <x:c r="L15" s="26"/>
      <x:c r="M15" s="26"/>
      <x:c r="N15" s="26"/>
    </x:row>
    <x:row r="16">
      <x:c r="B16" s="33" t="str">
        <x:v>Complete dual service</x:v>
      </x:c>
      <x:c r="C16" s="76" t="n">
        <x:f>'Two-Mode Schedule'!C14</x:f>
        <x:v>47.916667000000004</x:v>
      </x:c>
      <x:c r="D16" s="33" t="str">
        <x:v>h</x:v>
      </x:c>
      <x:c r="E16" s="33" t="str">
        <x:v>PASS</x:v>
      </x:c>
      <x:c r="F16" s="35" t="str">
        <x:v>slower independent path</x:v>
      </x:c>
      <x:c r="G16" s="26"/>
      <x:c r="H16" s="26"/>
      <x:c r="I16" s="26"/>
      <x:c r="J16" s="26"/>
      <x:c r="K16" s="26"/>
      <x:c r="L16" s="26"/>
      <x:c r="M16" s="26"/>
      <x:c r="N16" s="26"/>
    </x:row>
    <x:row r="17">
      <x:c r="B17" s="33" t="str">
        <x:v>Critical reset</x:v>
      </x:c>
      <x:c r="C17" s="76" t="n">
        <x:f>'Workforce and Reset'!J16</x:f>
        <x:v>158</x:v>
      </x:c>
      <x:c r="D17" s="33" t="str">
        <x:v>h</x:v>
      </x:c>
      <x:c r="E17" s="33" t="str">
        <x:v>PASS</x:v>
      </x:c>
      <x:c r="F17" s="35" t="str">
        <x:v>contact system governs</x:v>
      </x:c>
      <x:c r="G17" s="26"/>
      <x:c r="H17" s="26"/>
      <x:c r="I17" s="26"/>
      <x:c r="J17" s="26"/>
      <x:c r="K17" s="26"/>
      <x:c r="L17" s="26"/>
      <x:c r="M17" s="26"/>
      <x:c r="N17" s="26"/>
    </x:row>
    <x:row r="18">
      <x:c r="B18" s="33" t="str">
        <x:v>SAT architecture program</x:v>
      </x:c>
      <x:c r="C18" s="77" t="n">
        <x:f>'Production and Cost'!F17</x:f>
        <x:v>1338.74524</x:v>
      </x:c>
      <x:c r="D18" s="33" t="str">
        <x:v>$B</x:v>
      </x:c>
      <x:c r="E18" s="33" t="str">
        <x:v>RECONCILED</x:v>
      </x:c>
      <x:c r="F18" s="35" t="str">
        <x:v>219 vehicles and full industrial system</x:v>
      </x:c>
      <x:c r="G18" s="26"/>
      <x:c r="H18" s="72" t="str">
        <x:v>Decision boundary</x:v>
      </x:c>
      <x:c r="I18" s="73" t="str">
        <x:v>Decision boundary</x:v>
      </x:c>
      <x:c r="J18" s="73" t="str">
        <x:v>Decision boundary</x:v>
      </x:c>
      <x:c r="K18" s="73" t="str">
        <x:v>Decision boundary</x:v>
      </x:c>
      <x:c r="L18" s="73" t="str">
        <x:v>Decision boundary</x:v>
      </x:c>
      <x:c r="M18" s="73" t="str">
        <x:v>Decision boundary</x:v>
      </x:c>
      <x:c r="N18" s="74" t="str">
        <x:v>Decision boundary</x:v>
      </x:c>
    </x:row>
    <x:row r="19">
      <x:c r="B19" s="33" t="str">
        <x:v>Receiver federation increment</x:v>
      </x:c>
      <x:c r="C19" s="77" t="n">
        <x:f>'Production and Cost'!L13</x:f>
        <x:v>170.78694</x:v>
      </x:c>
      <x:c r="D19" s="33" t="str">
        <x:v>$B</x:v>
      </x:c>
      <x:c r="E19" s="33" t="str">
        <x:v>RECONCILED</x:v>
      </x:c>
      <x:c r="F19" s="35" t="str">
        <x:v>above existing generic receiver allowance</x:v>
      </x:c>
      <x:c r="G19" s="26"/>
      <x:c r="H19" s="26" t="str">
        <x:v>Authoritative at R2: I3 interface behavior, the no-pre-release-transfer rule, the 5 km receiver hypothesis, E2 and C5 subsystem references, revised SAT mass/clock/reset, force quantities and fiscal boundary.</x:v>
      </x:c>
      <x:c r="I19" s="26"/>
      <x:c r="J19" s="26"/>
      <x:c r="K19" s="26"/>
      <x:c r="L19" s="26"/>
      <x:c r="M19" s="26"/>
      <x:c r="N19" s="26"/>
    </x:row>
    <x:row r="20">
      <x:c r="B20" s="33" t="str">
        <x:v>Revised DCP-2</x:v>
      </x:c>
      <x:c r="C20" s="77" t="n">
        <x:f>'Production and Cost'!C25</x:f>
        <x:v>2736.51603</x:v>
      </x:c>
      <x:c r="D20" s="33" t="str">
        <x:v>$B</x:v>
      </x:c>
      <x:c r="E20" s="33" t="str">
        <x:v>RECONCILED</x:v>
      </x:c>
      <x:c r="F20" s="35" t="str">
        <x:v>physical two-mode reinforcement</x:v>
      </x:c>
      <x:c r="G20" s="26"/>
      <x:c r="H20" s="26" t="str">
        <x:v>Not admitted: vehicle, generator, fuel containment, contact mechanics, receiver safety distance, measured soil performance, reliability, rate, cost or public-service readiness.</x:v>
      </x:c>
      <x:c r="I20" s="26"/>
      <x:c r="J20" s="26"/>
      <x:c r="K20" s="26"/>
      <x:c r="L20" s="26"/>
      <x:c r="M20" s="26"/>
      <x:c r="N20" s="26"/>
    </x:row>
    <x:row r="21">
      <x:c r="B21" s="33" t="str">
        <x:v>Revised national boundary</x:v>
      </x:c>
      <x:c r="C21" s="77" t="n">
        <x:f>'Production and Cost'!C27</x:f>
        <x:v>10119.65758</x:v>
      </x:c>
      <x:c r="D21" s="33" t="str">
        <x:v>$B</x:v>
      </x:c>
      <x:c r="E21" s="33" t="str">
        <x:v>RECONCILED</x:v>
      </x:c>
      <x:c r="F21" s="35" t="str">
        <x:v>dynamic base plus revised DCP-2</x:v>
      </x:c>
      <x:c r="G21" s="26"/>
      <x:c r="H21" s="26" t="str">
        <x:v>Next: configure the revised carrier spatially—tankage, generators, cooling, pod sweep, bridge stowage, payload access, crew escape and maintenance volumes—then test whether any exterior requirements view is honest.</x:v>
      </x:c>
      <x:c r="I21" s="26"/>
      <x:c r="J21" s="26"/>
      <x:c r="K21" s="26"/>
      <x:c r="L21" s="26"/>
      <x:c r="M21" s="26"/>
      <x:c r="N21" s="26"/>
    </x:row>
    <x:row r="22">
      <x:c r="B22" s="33" t="str">
        <x:v>Evidence gates</x:v>
      </x:c>
      <x:c r="C22" s="33" t="n">
        <x:v>120</x:v>
      </x:c>
      <x:c r="D22" s="33" t="str">
        <x:v>gates</x:v>
      </x:c>
      <x:c r="E22" s="33" t="str">
        <x:v>OPEN</x:v>
      </x:c>
      <x:c r="F22" s="35" t="str">
        <x:v>strict credit remains zero</x:v>
      </x:c>
      <x:c r="G22" s="26"/>
      <x:c r="H22" s="26" t="str">
        <x:v>No external-site research is used. Inputs are inherited repository requirements or declared first-principles research hypotheses.</x:v>
      </x:c>
      <x:c r="I22" s="26"/>
      <x:c r="J22" s="26"/>
      <x:c r="K22" s="26"/>
      <x:c r="L22" s="26"/>
      <x:c r="M22" s="26"/>
      <x:c r="N22" s="26"/>
    </x:row>
    <x:row r="23">
      <x:c r="B23" s="39" t="str">
        <x:v>Rendering</x:v>
      </x:c>
      <x:c r="C23" s="39" t="str">
        <x:v>BLOCKED</x:v>
      </x:c>
      <x:c r="D23" s="39" t="str">
        <x:v>governance</x:v>
      </x:c>
      <x:c r="E23" s="39" t="str">
        <x:v>BLOCKED</x:v>
      </x:c>
      <x:c r="F23" s="40" t="str">
        <x:v>energy, contact, receiver and packaging evidence remain open</x:v>
      </x:c>
      <x:c r="G23" s="26"/>
      <x:c r="H23" s="26" t="str">
        <x:v>The companion report owns the argument; this workbook owns the executable coupling and evidence burden.</x:v>
      </x:c>
      <x:c r="I23" s="26"/>
      <x:c r="J23" s="26"/>
      <x:c r="K23" s="26"/>
      <x:c r="L23" s="26"/>
      <x:c r="M23" s="26"/>
      <x:c r="N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</x:row>
    <x:row r="46"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</x:row>
    <x:row r="47"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</x:row>
    <x:row r="48"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</x:row>
    <x:row r="49"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</x:row>
    <x:row r="50"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</x:row>
    <x:row r="51"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</x:row>
    <x:row r="52"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</x:row>
  </x:sheetData>
  <x:mergeCells>
    <x:mergeCell ref="B6:F6"/>
    <x:mergeCell ref="H6:N6"/>
    <x:mergeCell ref="I7:N7"/>
    <x:mergeCell ref="I8:N8"/>
    <x:mergeCell ref="I9:N9"/>
    <x:mergeCell ref="I10:N10"/>
    <x:mergeCell ref="I11:N11"/>
    <x:mergeCell ref="I12:N12"/>
    <x:mergeCell ref="I13:N13"/>
    <x:mergeCell ref="I14:N14"/>
    <x:mergeCell ref="H18:N18"/>
    <x:mergeCell ref="H19:N19"/>
    <x:mergeCell ref="H20:N20"/>
    <x:mergeCell ref="H21:N21"/>
    <x:mergeCell ref="H22:N22"/>
    <x:mergeCell ref="H23:N23"/>
  </x:mergeCells>
  <x:conditionalFormatting sqref="E8:E23">
    <x:cfRule type="containsText" dxfId="42" priority="1" operator="containsText" text="FAIL"/>
    <x:cfRule type="containsText" dxfId="43" priority="2" operator="containsText" text="DIVERGES"/>
    <x:cfRule type="containsText" dxfId="44" priority="3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8" hidden="0" customWidth="1"/>
    <x:col min="3" max="3" width="17" hidden="0" customWidth="1"/>
    <x:col min="4" max="4" width="17" hidden="0" customWidth="1"/>
    <x:col min="5" max="5" width="34" hidden="0" customWidth="1"/>
    <x:col min="6" max="6" width="52" hidden="0" customWidth="1"/>
  </x:cols>
  <x:sheetData>
    <x:row r="2">
      <x:c r="B2" s="78" t="str">
        <x:v>DCP-2 terrain-air interface and ATUT subsystem assumptions</x:v>
      </x:c>
      <x:c r="C2" s="26"/>
      <x:c r="D2" s="26"/>
      <x:c r="E2" s="26"/>
      <x:c r="F2" s="26"/>
    </x:row>
    <x:row r="3">
      <x:c r="B3" s="79" t="str">
        <x:v>Declared research controls; blue values are editable hypotheses, not measured performance</x:v>
      </x:c>
      <x:c r="C3" s="70"/>
      <x:c r="D3" s="70"/>
      <x:c r="E3" s="70"/>
      <x:c r="F3" s="70"/>
    </x:row>
    <x:row r="4">
      <x:c r="B4" s="71"/>
      <x:c r="C4" s="71"/>
      <x:c r="D4" s="71"/>
      <x:c r="E4" s="71"/>
      <x:c r="F4" s="71"/>
    </x:row>
    <x:row r="5">
      <x:c r="B5" s="26"/>
      <x:c r="C5" s="26"/>
      <x:c r="D5" s="26"/>
      <x:c r="E5" s="26"/>
      <x:c r="F5" s="26"/>
    </x:row>
    <x:row r="6">
      <x:c r="B6" s="72" t="str">
        <x:v>Mission, physics, receiver, force and fiscal controls</x:v>
      </x:c>
      <x:c r="C6" s="73" t="str">
        <x:v>Mission, physics, receiver, force and fiscal controls</x:v>
      </x:c>
      <x:c r="D6" s="73" t="str">
        <x:v>Mission, physics, receiver, force and fiscal controls</x:v>
      </x:c>
      <x:c r="E6" s="73" t="str">
        <x:v>Mission, physics, receiver, force and fiscal controls</x:v>
      </x:c>
      <x:c r="F6" s="74" t="str">
        <x:v>Mission, physics, receiver, force and fiscal controls</x:v>
      </x:c>
    </x:row>
    <x:row r="7">
      <x:c r="B7" s="31" t="str">
        <x:v>Input</x:v>
      </x:c>
      <x:c r="C7" s="32" t="str">
        <x:v>Value</x:v>
      </x:c>
      <x:c r="D7" s="32" t="str">
        <x:v>Unit</x:v>
      </x:c>
      <x:c r="E7" s="32" t="str">
        <x:v>Repository origin</x:v>
      </x:c>
      <x:c r="F7" s="32" t="str">
        <x:v>Meaning</x:v>
      </x:c>
    </x:row>
    <x:row r="8">
      <x:c r="B8" s="33" t="str">
        <x:v>SAT design payload</x:v>
      </x:c>
      <x:c r="C8" s="34" t="n">
        <x:v>170</x:v>
      </x:c>
      <x:c r="D8" s="33" t="str">
        <x:v>t</x:v>
      </x:c>
      <x:c r="E8" s="33" t="str">
        <x:v>Pass 84 ATUT competition</x:v>
      </x:c>
      <x:c r="F8" s="35" t="str">
        <x:v>rated useful load</x:v>
      </x:c>
    </x:row>
    <x:row r="9">
      <x:c r="B9" s="33" t="str">
        <x:v>SAT assigned payload</x:v>
      </x:c>
      <x:c r="C9" s="34" t="n">
        <x:v>158.75</x:v>
      </x:c>
      <x:c r="D9" s="33" t="str">
        <x:v>t</x:v>
      </x:c>
      <x:c r="E9" s="33" t="str">
        <x:v>Pass 82 DCP-2 register</x:v>
      </x:c>
      <x:c r="F9" s="35" t="str">
        <x:v>one dry block plus one wet pack</x:v>
      </x:c>
    </x:row>
    <x:row r="10">
      <x:c r="B10" s="33" t="str">
        <x:v>SAT non-energy tare</x:v>
      </x:c>
      <x:c r="C10" s="34" t="n">
        <x:v>302</x:v>
      </x:c>
      <x:c r="D10" s="33" t="str">
        <x:v>t</x:v>
      </x:c>
      <x:c r="E10" s="33" t="str">
        <x:v>Pass 85 revision</x:v>
      </x:c>
      <x:c r="F10" s="35" t="str">
        <x:v>structure, propulsion, contact, handling, route kit and control</x:v>
      </x:c>
    </x:row>
    <x:row r="11">
      <x:c r="B11" s="33" t="str">
        <x:v>Terrain route</x:v>
      </x:c>
      <x:c r="C11" s="34" t="n">
        <x:v>800</x:v>
      </x:c>
      <x:c r="D11" s="33" t="str">
        <x:v>km</x:v>
      </x:c>
      <x:c r="E11" s="33" t="str">
        <x:v>Pass 84 ATUT competition</x:v>
      </x:c>
      <x:c r="F11" s="35" t="str">
        <x:v>one-way damaged-land mission</x:v>
      </x:c>
    </x:row>
    <x:row r="12">
      <x:c r="B12" s="33" t="str">
        <x:v>Hard route distance</x:v>
      </x:c>
      <x:c r="C12" s="34" t="n">
        <x:v>500</x:v>
      </x:c>
      <x:c r="D12" s="33" t="str">
        <x:v>km</x:v>
      </x:c>
      <x:c r="E12" s="33" t="str">
        <x:v>Pass 84 ATUT competition</x:v>
      </x:c>
      <x:c r="F12" s="35" t="str">
        <x:v>degraded hard surface</x:v>
      </x:c>
    </x:row>
    <x:row r="13">
      <x:c r="B13" s="33" t="str">
        <x:v>Broken route distance</x:v>
      </x:c>
      <x:c r="C13" s="34" t="n">
        <x:v>220</x:v>
      </x:c>
      <x:c r="D13" s="33" t="str">
        <x:v>km</x:v>
      </x:c>
      <x:c r="E13" s="33" t="str">
        <x:v>Pass 84 ATUT competition</x:v>
      </x:c>
      <x:c r="F13" s="35" t="str">
        <x:v>broken or saturated network</x:v>
      </x:c>
    </x:row>
    <x:row r="14">
      <x:c r="B14" s="33" t="str">
        <x:v>Off-road distance</x:v>
      </x:c>
      <x:c r="C14" s="34" t="n">
        <x:v>80</x:v>
      </x:c>
      <x:c r="D14" s="33" t="str">
        <x:v>km</x:v>
      </x:c>
      <x:c r="E14" s="33" t="str">
        <x:v>Pass 84 ATUT competition</x:v>
      </x:c>
      <x:c r="F14" s="35" t="str">
        <x:v>off-road and obstacle segment</x:v>
      </x:c>
    </x:row>
    <x:row r="15">
      <x:c r="B15" s="33" t="str">
        <x:v>Energy intensity</x:v>
      </x:c>
      <x:c r="C15" s="34" t="n">
        <x:v>0.85</x:v>
      </x:c>
      <x:c r="D15" s="33" t="str">
        <x:v>kWh/t-km</x:v>
      </x:c>
      <x:c r="E15" s="33" t="str">
        <x:v>Pass 84 declared physics</x:v>
      </x:c>
      <x:c r="F15" s="35" t="str">
        <x:v>traction energy coefficient</x:v>
      </x:c>
    </x:row>
    <x:row r="16">
      <x:c r="B16" s="33" t="str">
        <x:v>Route-work energy</x:v>
      </x:c>
      <x:c r="C16" s="34" t="n">
        <x:v>80</x:v>
      </x:c>
      <x:c r="D16" s="33" t="str">
        <x:v>MWh</x:v>
      </x:c>
      <x:c r="E16" s="33" t="str">
        <x:v>Pass 84 declared physics</x:v>
      </x:c>
      <x:c r="F16" s="35" t="str">
        <x:v>bridging, recovery, sensing and idle</x:v>
      </x:c>
    </x:row>
    <x:row r="17">
      <x:c r="B17" s="33" t="str">
        <x:v>Energy reserve</x:v>
      </x:c>
      <x:c r="C17" s="36" t="n">
        <x:v>0.175</x:v>
      </x:c>
      <x:c r="D17" s="33" t="str">
        <x:v>fraction</x:v>
      </x:c>
      <x:c r="E17" s="33" t="str">
        <x:v>Pass 85 requirement</x:v>
      </x:c>
      <x:c r="F17" s="35" t="str">
        <x:v>deliverable energy above mission</x:v>
      </x:c>
    </x:row>
    <x:row r="18">
      <x:c r="B18" s="33" t="str">
        <x:v>Ground pressure limit</x:v>
      </x:c>
      <x:c r="C18" s="37" t="n">
        <x:v>35</x:v>
      </x:c>
      <x:c r="D18" s="33" t="str">
        <x:v>kPa</x:v>
      </x:c>
      <x:c r="E18" s="33" t="str">
        <x:v>Pass 84 mission boundary</x:v>
      </x:c>
      <x:c r="F18" s="35" t="str">
        <x:v>saturated-ground maximum</x:v>
      </x:c>
    </x:row>
    <x:row r="19">
      <x:c r="B19" s="33" t="str">
        <x:v>Dynamic load factor</x:v>
      </x:c>
      <x:c r="C19" s="37" t="n">
        <x:v>1.15</x:v>
      </x:c>
      <x:c r="D19" s="33" t="str">
        <x:v>factor</x:v>
      </x:c>
      <x:c r="E19" s="33" t="str">
        <x:v>Pass 85 requirement</x:v>
      </x:c>
      <x:c r="F19" s="35" t="str">
        <x:v>moving contact amplification</x:v>
      </x:c>
    </x:row>
    <x:row r="20">
      <x:c r="B20" s="33" t="str">
        <x:v>Pod load-imbalance factor</x:v>
      </x:c>
      <x:c r="C20" s="37" t="n">
        <x:v>1.1</x:v>
      </x:c>
      <x:c r="D20" s="33" t="str">
        <x:v>factor</x:v>
      </x:c>
      <x:c r="E20" s="33" t="str">
        <x:v>Pass 85 requirement</x:v>
      </x:c>
      <x:c r="F20" s="35" t="str">
        <x:v>load-control imperfection</x:v>
      </x:c>
    </x:row>
    <x:row r="21">
      <x:c r="B21" s="33" t="str">
        <x:v>Contact pod count</x:v>
      </x:c>
      <x:c r="C21" s="34" t="n">
        <x:v>12</x:v>
      </x:c>
      <x:c r="D21" s="33" t="str">
        <x:v>pods</x:v>
      </x:c>
      <x:c r="E21" s="33" t="str">
        <x:v>Pass 84 selected behavior</x:v>
      </x:c>
      <x:c r="F21" s="35" t="str">
        <x:v>independently driven sectors</x:v>
      </x:c>
    </x:row>
    <x:row r="22">
      <x:c r="B22" s="33" t="str">
        <x:v>One-pod residual fraction</x:v>
      </x:c>
      <x:c r="C22" s="34" t="n">
        <x:f>(C21-1)/C21</x:f>
        <x:v>0.9166666666666666</x:v>
      </x:c>
      <x:c r="D22" s="33" t="str">
        <x:v>fraction</x:v>
      </x:c>
      <x:c r="E22" s="33" t="str">
        <x:v>calculated</x:v>
      </x:c>
      <x:c r="F22" s="35" t="str">
        <x:v>11 of 12 pods remain</x:v>
      </x:c>
    </x:row>
    <x:row r="23">
      <x:c r="B23" s="33" t="str">
        <x:v>Maximum deployed contact</x:v>
      </x:c>
      <x:c r="C23" s="34" t="n">
        <x:v>255</x:v>
      </x:c>
      <x:c r="D23" s="33" t="str">
        <x:v>m2</x:v>
      </x:c>
      <x:c r="E23" s="33" t="str">
        <x:v>Pass 85 reference</x:v>
      </x:c>
      <x:c r="F23" s="35" t="str">
        <x:v>soft-ground footprint target</x:v>
      </x:c>
    </x:row>
    <x:row r="24">
      <x:c r="B24" s="33" t="str">
        <x:v>Maximum contact transition</x:v>
      </x:c>
      <x:c r="C24" s="34" t="n">
        <x:v>0.5</x:v>
      </x:c>
      <x:c r="D24" s="33" t="str">
        <x:v>h</x:v>
      </x:c>
      <x:c r="E24" s="33" t="str">
        <x:v>Pass 85 requirement</x:v>
      </x:c>
      <x:c r="F24" s="35" t="str">
        <x:v>deploy or retract without breaking route clock</x:v>
      </x:c>
    </x:row>
    <x:row r="25">
      <x:c r="B25" s="33" t="str">
        <x:v>Minimum off-road speed</x:v>
      </x:c>
      <x:c r="C25" s="34" t="n">
        <x:v>18</x:v>
      </x:c>
      <x:c r="D25" s="33" t="str">
        <x:v>km/h</x:v>
      </x:c>
      <x:c r="E25" s="33" t="str">
        <x:v>Pass 85 requirement</x:v>
      </x:c>
      <x:c r="F25" s="35" t="str">
        <x:v>preserve revised route schedule</x:v>
      </x:c>
    </x:row>
    <x:row r="26">
      <x:c r="B26" s="33" t="str">
        <x:v>Minimum degraded traction ratio</x:v>
      </x:c>
      <x:c r="C26" s="34" t="n">
        <x:v>1.2</x:v>
      </x:c>
      <x:c r="D26" s="33" t="str">
        <x:v>ratio</x:v>
      </x:c>
      <x:c r="E26" s="33" t="str">
        <x:v>Pass 84 requirement</x:v>
      </x:c>
      <x:c r="F26" s="35" t="str">
        <x:v>available force after one pod loss / demand</x:v>
      </x:c>
    </x:row>
    <x:row r="27">
      <x:c r="B27" s="33" t="str">
        <x:v>Required step</x:v>
      </x:c>
      <x:c r="C27" s="34" t="n">
        <x:v>1.5</x:v>
      </x:c>
      <x:c r="D27" s="33" t="str">
        <x:v>m</x:v>
      </x:c>
      <x:c r="E27" s="33" t="str">
        <x:v>Pass 84 mission boundary</x:v>
      </x:c>
      <x:c r="F27" s="35" t="str">
        <x:v>debris obstacle</x:v>
      </x:c>
    </x:row>
    <x:row r="28">
      <x:c r="B28" s="33" t="str">
        <x:v>Maximum route width</x:v>
      </x:c>
      <x:c r="C28" s="34" t="n">
        <x:v>12</x:v>
      </x:c>
      <x:c r="D28" s="33" t="str">
        <x:v>m</x:v>
      </x:c>
      <x:c r="E28" s="33" t="str">
        <x:v>Pass 84 mission boundary</x:v>
      </x:c>
      <x:c r="F28" s="35" t="str">
        <x:v>broken-network access</x:v>
      </x:c>
    </x:row>
    <x:row r="29">
      <x:c r="B29" s="33" t="str">
        <x:v>Terrain grade</x:v>
      </x:c>
      <x:c r="C29" s="34" t="n">
        <x:v>0.2</x:v>
      </x:c>
      <x:c r="D29" s="33" t="str">
        <x:v>fraction</x:v>
      </x:c>
      <x:c r="E29" s="33" t="str">
        <x:v>Pass 84 mission boundary</x:v>
      </x:c>
      <x:c r="F29" s="35" t="str">
        <x:v>longitudinal grade</x:v>
      </x:c>
    </x:row>
    <x:row r="30">
      <x:c r="B30" s="33" t="str">
        <x:v>Soft-ground rolling coefficient</x:v>
      </x:c>
      <x:c r="C30" s="34" t="n">
        <x:v>0.08</x:v>
      </x:c>
      <x:c r="D30" s="33" t="str">
        <x:v>fraction</x:v>
      </x:c>
      <x:c r="E30" s="33" t="str">
        <x:v>Pass 84 declared physics</x:v>
      </x:c>
      <x:c r="F30" s="35" t="str">
        <x:v>tractive demand term</x:v>
      </x:c>
    </x:row>
    <x:row r="31">
      <x:c r="B31" s="33" t="str">
        <x:v>Driveline efficiency</x:v>
      </x:c>
      <x:c r="C31" s="34" t="n">
        <x:v>0.82</x:v>
      </x:c>
      <x:c r="D31" s="33" t="str">
        <x:v>fraction</x:v>
      </x:c>
      <x:c r="E31" s="33" t="str">
        <x:v>Pass 84 declared physics</x:v>
      </x:c>
      <x:c r="F31" s="35" t="str">
        <x:v>wheel/pod useful power</x:v>
      </x:c>
    </x:row>
    <x:row r="32">
      <x:c r="B32" s="33" t="str">
        <x:v>Hotel power</x:v>
      </x:c>
      <x:c r="C32" s="34" t="n">
        <x:v>3.2</x:v>
      </x:c>
      <x:c r="D32" s="33" t="str">
        <x:v>MW</x:v>
      </x:c>
      <x:c r="E32" s="33" t="str">
        <x:v>Pass 85 revision</x:v>
      </x:c>
      <x:c r="F32" s="35" t="str">
        <x:v>control, cooling, robotics and payload care</x:v>
      </x:c>
    </x:row>
    <x:row r="33">
      <x:c r="B33" s="33" t="str">
        <x:v>Installed power</x:v>
      </x:c>
      <x:c r="C33" s="34" t="n">
        <x:v>36</x:v>
      </x:c>
      <x:c r="D33" s="33" t="str">
        <x:v>MW</x:v>
      </x:c>
      <x:c r="E33" s="33" t="str">
        <x:v>Pass 85 reference</x:v>
      </x:c>
      <x:c r="F33" s="35" t="str">
        <x:v>four isolated 9-MW sectors</x:v>
      </x:c>
    </x:row>
    <x:row r="34">
      <x:c r="B34" s="33" t="str">
        <x:v>Power sectors</x:v>
      </x:c>
      <x:c r="C34" s="34" t="n">
        <x:v>4</x:v>
      </x:c>
      <x:c r="D34" s="33" t="str">
        <x:v>sectors</x:v>
      </x:c>
      <x:c r="E34" s="33" t="str">
        <x:v>Pass 85 reference</x:v>
      </x:c>
      <x:c r="F34" s="35" t="str">
        <x:v>one-sector-out target</x:v>
      </x:c>
    </x:row>
    <x:row r="35">
      <x:c r="B35" s="33" t="str">
        <x:v>Terrain origin release</x:v>
      </x:c>
      <x:c r="C35" s="34" t="n">
        <x:v>8</x:v>
      </x:c>
      <x:c r="D35" s="33" t="str">
        <x:v>h</x:v>
      </x:c>
      <x:c r="E35" s="33" t="str">
        <x:v>Pass 84 mission boundary</x:v>
      </x:c>
      <x:c r="F35" s="35" t="str">
        <x:v>load and technical departure release</x:v>
      </x:c>
    </x:row>
    <x:row r="36">
      <x:c r="B36" s="33" t="str">
        <x:v>Terrain route work</x:v>
      </x:c>
      <x:c r="C36" s="34" t="n">
        <x:v>4.5</x:v>
      </x:c>
      <x:c r="D36" s="33" t="str">
        <x:v>h</x:v>
      </x:c>
      <x:c r="E36" s="33" t="str">
        <x:v>Pass 85 revision</x:v>
      </x:c>
      <x:c r="F36" s="35" t="str">
        <x:v>contact transitions, bridge and survey</x:v>
      </x:c>
    </x:row>
    <x:row r="37">
      <x:c r="B37" s="33" t="str">
        <x:v>Receiver build</x:v>
      </x:c>
      <x:c r="C37" s="34" t="n">
        <x:v>8</x:v>
      </x:c>
      <x:c r="D37" s="33" t="str">
        <x:v>h</x:v>
      </x:c>
      <x:c r="E37" s="33" t="str">
        <x:v>Pass 82 DCP-2 register</x:v>
      </x:c>
      <x:c r="F37" s="35" t="str">
        <x:v>unload through civil public release</x:v>
      </x:c>
    </x:row>
    <x:row r="38">
      <x:c r="B38" s="33" t="str">
        <x:v>Terrain relative ceiling</x:v>
      </x:c>
      <x:c r="C38" s="34" t="n">
        <x:v>45</x:v>
      </x:c>
      <x:c r="D38" s="33" t="str">
        <x:v>h</x:v>
      </x:c>
      <x:c r="E38" s="33" t="str">
        <x:v>Pass 84 mission boundary</x:v>
      </x:c>
      <x:c r="F38" s="35" t="str">
        <x:v>from regional activation</x:v>
      </x:c>
    </x:row>
    <x:row r="39">
      <x:c r="B39" s="33" t="str">
        <x:v>Air relative ceiling</x:v>
      </x:c>
      <x:c r="C39" s="34" t="n">
        <x:v>42</x:v>
      </x:c>
      <x:c r="D39" s="33" t="str">
        <x:v>h</x:v>
      </x:c>
      <x:c r="E39" s="33" t="str">
        <x:v>Pass 83 mission boundary</x:v>
      </x:c>
      <x:c r="F39" s="35" t="str">
        <x:v>from regional activation</x:v>
      </x:c>
    </x:row>
    <x:row r="40">
      <x:c r="B40" s="33" t="str">
        <x:v>Regional activation offset</x:v>
      </x:c>
      <x:c r="C40" s="34" t="n">
        <x:v>6</x:v>
      </x:c>
      <x:c r="D40" s="33" t="str">
        <x:v>h</x:v>
      </x:c>
      <x:c r="E40" s="33" t="str">
        <x:v>Pass 82 DCP-2 register</x:v>
      </x:c>
      <x:c r="F40" s="35" t="str">
        <x:v>absolute calendar offset</x:v>
      </x:c>
    </x:row>
    <x:row r="41">
      <x:c r="B41" s="33" t="str">
        <x:v>Absolute deadline</x:v>
      </x:c>
      <x:c r="C41" s="34" t="n">
        <x:v>54</x:v>
      </x:c>
      <x:c r="D41" s="33" t="str">
        <x:v>h</x:v>
      </x:c>
      <x:c r="E41" s="33" t="str">
        <x:v>Pass 82 DCP-2 register</x:v>
      </x:c>
      <x:c r="F41" s="35" t="str">
        <x:v>second-region public service</x:v>
      </x:c>
    </x:row>
    <x:row r="42">
      <x:c r="B42" s="33" t="str">
        <x:v>Air receiver clear length</x:v>
      </x:c>
      <x:c r="C42" s="34" t="n">
        <x:v>420</x:v>
      </x:c>
      <x:c r="D42" s="33" t="str">
        <x:v>m</x:v>
      </x:c>
      <x:c r="E42" s="33" t="str">
        <x:v>Pass 82 DCP-2 register</x:v>
      </x:c>
      <x:c r="F42" s="35" t="str">
        <x:v>ground-coupled lift placement</x:v>
      </x:c>
    </x:row>
    <x:row r="43">
      <x:c r="B43" s="33" t="str">
        <x:v>Air receiver clear width</x:v>
      </x:c>
      <x:c r="C43" s="34" t="n">
        <x:v>420</x:v>
      </x:c>
      <x:c r="D43" s="33" t="str">
        <x:v>m</x:v>
      </x:c>
      <x:c r="E43" s="33" t="str">
        <x:v>Pass 82 DCP-2 register</x:v>
      </x:c>
      <x:c r="F43" s="35" t="str">
        <x:v>ground-coupled lift placement</x:v>
      </x:c>
    </x:row>
    <x:row r="44">
      <x:c r="B44" s="33" t="str">
        <x:v>Terrain transfer length</x:v>
      </x:c>
      <x:c r="C44" s="34" t="n">
        <x:v>200</x:v>
      </x:c>
      <x:c r="D44" s="33" t="str">
        <x:v>m</x:v>
      </x:c>
      <x:c r="E44" s="33" t="str">
        <x:v>Pass 82 DCP-2 register</x:v>
      </x:c>
      <x:c r="F44" s="35" t="str">
        <x:v>four-carrier unload wave</x:v>
      </x:c>
    </x:row>
    <x:row r="45">
      <x:c r="B45" s="33" t="str">
        <x:v>Terrain transfer width</x:v>
      </x:c>
      <x:c r="C45" s="34" t="n">
        <x:v>100</x:v>
      </x:c>
      <x:c r="D45" s="33" t="str">
        <x:v>m</x:v>
      </x:c>
      <x:c r="E45" s="33" t="str">
        <x:v>Pass 82 DCP-2 register</x:v>
      </x:c>
      <x:c r="F45" s="35" t="str">
        <x:v>four-carrier unload wave</x:v>
      </x:c>
    </x:row>
    <x:row r="46">
      <x:c r="B46" s="33" t="str">
        <x:v>Receiver separation</x:v>
      </x:c>
      <x:c r="C46" s="34" t="n">
        <x:v>5</x:v>
      </x:c>
      <x:c r="D46" s="33" t="str">
        <x:v>km</x:v>
      </x:c>
      <x:c r="E46" s="33" t="str">
        <x:v>Pass 82 DCP-2 register</x:v>
      </x:c>
      <x:c r="F46" s="35" t="str">
        <x:v>edge-to-edge mode isolation hypothesis</x:v>
      </x:c>
    </x:row>
    <x:row r="47">
      <x:c r="B47" s="33" t="str">
        <x:v>Post-release corridor length</x:v>
      </x:c>
      <x:c r="C47" s="34" t="n">
        <x:v>6</x:v>
      </x:c>
      <x:c r="D47" s="33" t="str">
        <x:v>km</x:v>
      </x:c>
      <x:c r="E47" s="33" t="str">
        <x:v>Pass 85 reference</x:v>
      </x:c>
      <x:c r="F47" s="35" t="str">
        <x:v>optional fail-open connection</x:v>
      </x:c>
    </x:row>
    <x:row r="48">
      <x:c r="B48" s="33" t="str">
        <x:v>Post-release corridor width</x:v>
      </x:c>
      <x:c r="C48" s="34" t="n">
        <x:v>18</x:v>
      </x:c>
      <x:c r="D48" s="33" t="str">
        <x:v>m</x:v>
      </x:c>
      <x:c r="E48" s="33" t="str">
        <x:v>Pass 85 reference</x:v>
      </x:c>
      <x:c r="F48" s="35" t="str">
        <x:v>service traffic and utility lane</x:v>
      </x:c>
    </x:row>
    <x:row r="49">
      <x:c r="B49" s="33" t="str">
        <x:v>Assigned hard-access groups</x:v>
      </x:c>
      <x:c r="C49" s="34" t="n">
        <x:v>22</x:v>
      </x:c>
      <x:c r="D49" s="33" t="str">
        <x:v>groups</x:v>
      </x:c>
      <x:c r="E49" s="33" t="str">
        <x:v>Pass 84 force boundary</x:v>
      </x:c>
      <x:c r="F49" s="35" t="str">
        <x:v>national mission assignment</x:v>
      </x:c>
    </x:row>
    <x:row r="50">
      <x:c r="B50" s="33" t="str">
        <x:v>Concurrency factor</x:v>
      </x:c>
      <x:c r="C50" s="34" t="n">
        <x:v>1.5</x:v>
      </x:c>
      <x:c r="D50" s="33" t="str">
        <x:v>factor</x:v>
      </x:c>
      <x:c r="E50" s="33" t="str">
        <x:v>Pass 84 force boundary</x:v>
      </x:c>
      <x:c r="F50" s="35" t="str">
        <x:v>overlapping campaigns</x:v>
      </x:c>
    </x:row>
    <x:row r="51">
      <x:c r="B51" s="33" t="str">
        <x:v>Readiness factor</x:v>
      </x:c>
      <x:c r="C51" s="34" t="n">
        <x:v>1.3</x:v>
      </x:c>
      <x:c r="D51" s="33" t="str">
        <x:v>factor</x:v>
      </x:c>
      <x:c r="E51" s="33" t="str">
        <x:v>Pass 84 force boundary</x:v>
      </x:c>
      <x:c r="F51" s="35" t="str">
        <x:v>training, overhaul and attrition</x:v>
      </x:c>
    </x:row>
    <x:row r="52">
      <x:c r="B52" s="33" t="str">
        <x:v>Ready packages</x:v>
      </x:c>
      <x:c r="C52" s="34" t="n">
        <x:f>CEILING(C49*C50*C51,1)</x:f>
        <x:v>43</x:v>
      </x:c>
      <x:c r="D52" s="33" t="str">
        <x:v>packages</x:v>
      </x:c>
      <x:c r="E52" s="33" t="str">
        <x:v>calculated</x:v>
      </x:c>
      <x:c r="F52" s="35" t="str">
        <x:v>ceiling of assigned demand</x:v>
      </x:c>
    </x:row>
    <x:row r="53">
      <x:c r="B53" s="33" t="str">
        <x:v>SAT vehicles per package</x:v>
      </x:c>
      <x:c r="C53" s="34" t="n">
        <x:v>4</x:v>
      </x:c>
      <x:c r="D53" s="33" t="str">
        <x:v>vehicles</x:v>
      </x:c>
      <x:c r="E53" s="33" t="str">
        <x:v>Pass 82 DCP-2 register</x:v>
      </x:c>
      <x:c r="F53" s="35" t="str">
        <x:v>one terrain service cell</x:v>
      </x:c>
    </x:row>
    <x:row r="54">
      <x:c r="B54" s="33" t="str">
        <x:v>Operational SAT vehicles</x:v>
      </x:c>
      <x:c r="C54" s="34" t="n">
        <x:f>C52*C53</x:f>
        <x:v>172</x:v>
      </x:c>
      <x:c r="D54" s="33" t="str">
        <x:v>vehicles</x:v>
      </x:c>
      <x:c r="E54" s="33" t="str">
        <x:v>calculated</x:v>
      </x:c>
      <x:c r="F54" s="35" t="str">
        <x:v>ready packages times four</x:v>
      </x:c>
    </x:row>
    <x:row r="55">
      <x:c r="B55" s="33" t="str">
        <x:v>Reserve fraction</x:v>
      </x:c>
      <x:c r="C55" s="36" t="n">
        <x:v>0.2</x:v>
      </x:c>
      <x:c r="D55" s="33" t="str">
        <x:v>fraction</x:v>
      </x:c>
      <x:c r="E55" s="33" t="str">
        <x:v>Pass 84 force boundary</x:v>
      </x:c>
      <x:c r="F55" s="35" t="str">
        <x:v>overhaul and attrition pool</x:v>
      </x:c>
    </x:row>
    <x:row r="56">
      <x:c r="B56" s="33" t="str">
        <x:v>Reserve SAT vehicles</x:v>
      </x:c>
      <x:c r="C56" s="34" t="n">
        <x:f>CEILING(C54*C55,1)</x:f>
        <x:v>35</x:v>
      </x:c>
      <x:c r="D56" s="33" t="str">
        <x:v>vehicles</x:v>
      </x:c>
      <x:c r="E56" s="33" t="str">
        <x:v>calculated</x:v>
      </x:c>
      <x:c r="F56" s="35" t="str">
        <x:v>ceiling of operational pool</x:v>
      </x:c>
    </x:row>
    <x:row r="57">
      <x:c r="B57" s="33" t="str">
        <x:v>Development/test articles</x:v>
      </x:c>
      <x:c r="C57" s="34" t="n">
        <x:v>12</x:v>
      </x:c>
      <x:c r="D57" s="33" t="str">
        <x:v>vehicles</x:v>
      </x:c>
      <x:c r="E57" s="33" t="str">
        <x:v>Pass 84 industrial boundary</x:v>
      </x:c>
      <x:c r="F57" s="35" t="str">
        <x:v>instrumented non-operational fleet</x:v>
      </x:c>
    </x:row>
    <x:row r="58">
      <x:c r="B58" s="33" t="str">
        <x:v>Total SAT articles</x:v>
      </x:c>
      <x:c r="C58" s="34" t="n">
        <x:f>SUM(C54,C56,C57)</x:f>
        <x:v>219</x:v>
      </x:c>
      <x:c r="D58" s="33" t="str">
        <x:v>vehicles</x:v>
      </x:c>
      <x:c r="E58" s="33" t="str">
        <x:v>calculated</x:v>
      </x:c>
      <x:c r="F58" s="35" t="str">
        <x:v>operational, reserve and test</x:v>
      </x:c>
    </x:row>
    <x:row r="59">
      <x:c r="B59" s="33" t="str">
        <x:v>Operations factor</x:v>
      </x:c>
      <x:c r="C59" s="34" t="n">
        <x:v>15.81</x:v>
      </x:c>
      <x:c r="D59" s="33" t="str">
        <x:v>years</x:v>
      </x:c>
      <x:c r="E59" s="33" t="str">
        <x:v>Pass 82 fiscal boundary</x:v>
      </x:c>
      <x:c r="F59" s="35" t="str">
        <x:v>twenty-five-year ramp weighted</x:v>
      </x:c>
    </x:row>
    <x:row r="60">
      <x:c r="B60" s="33" t="str">
        <x:v>Pass 84 non-ATUT DCP-2</x:v>
      </x:c>
      <x:c r="C60" s="38" t="n">
        <x:v>1226.98385</x:v>
      </x:c>
      <x:c r="D60" s="33" t="str">
        <x:v>$B</x:v>
      </x:c>
      <x:c r="E60" s="33" t="str">
        <x:v>Pass 84 reconciliation</x:v>
      </x:c>
      <x:c r="F60" s="35" t="str">
        <x:v>DCP-2 after removing former SAT account</x:v>
      </x:c>
    </x:row>
    <x:row r="61">
      <x:c r="B61" s="33" t="str">
        <x:v>Dynamic one-region base</x:v>
      </x:c>
      <x:c r="C61" s="38" t="n">
        <x:v>7383.14155</x:v>
      </x:c>
      <x:c r="D61" s="33" t="str">
        <x:v>$B</x:v>
      </x:c>
      <x:c r="E61" s="33" t="str">
        <x:v>Pass 84 reconciliation</x:v>
      </x:c>
      <x:c r="F61" s="35" t="str">
        <x:v>national base outside DCP-2</x:v>
      </x:c>
    </x:row>
    <x:row r="62">
      <x:c r="B62" s="33" t="str">
        <x:v>Pass 84 SAT program</x:v>
      </x:c>
      <x:c r="C62" s="38" t="n">
        <x:v>882.82694</x:v>
      </x:c>
      <x:c r="D62" s="33" t="str">
        <x:v>$B</x:v>
      </x:c>
      <x:c r="E62" s="33" t="str">
        <x:v>Pass 84 reconciliation</x:v>
      </x:c>
      <x:c r="F62" s="35" t="str">
        <x:v>superseded terrain architecture account</x:v>
      </x:c>
    </x:row>
    <x:row r="63">
      <x:c r="B63" s="33" t="str">
        <x:v>Reset ceiling</x:v>
      </x:c>
      <x:c r="C63" s="34" t="n">
        <x:v>168</x:v>
      </x:c>
      <x:c r="D63" s="33" t="str">
        <x:v>h</x:v>
      </x:c>
      <x:c r="E63" s="33" t="str">
        <x:v>Pass 82 DCP-2 register</x:v>
      </x:c>
      <x:c r="F63" s="35" t="str">
        <x:v>certified return to load state</x:v>
      </x:c>
    </x:row>
    <x:row r="64">
      <x:c r="B64" s="33"/>
      <x:c r="C64" s="33"/>
      <x:c r="D64" s="33"/>
      <x:c r="E64" s="33"/>
      <x:c r="F64" s="35"/>
    </x:row>
    <x:row r="65">
      <x:c r="B65" s="39"/>
      <x:c r="C65" s="39"/>
      <x:c r="D65" s="39"/>
      <x:c r="E65" s="39"/>
      <x:c r="F65" s="40"/>
    </x:row>
    <x:row r="66">
      <x:c r="B66" s="26"/>
      <x:c r="C66" s="26"/>
      <x:c r="D66" s="26"/>
      <x:c r="E66" s="26"/>
      <x:c r="F66" s="26"/>
    </x:row>
    <x:row r="67">
      <x:c r="B67" s="26"/>
      <x:c r="C67" s="26"/>
      <x:c r="D67" s="26"/>
      <x:c r="E67" s="26"/>
      <x:c r="F67" s="26"/>
    </x:row>
    <x:row r="68">
      <x:c r="B68" s="26"/>
      <x:c r="C68" s="26"/>
      <x:c r="D68" s="26"/>
      <x:c r="E68" s="26"/>
      <x:c r="F68" s="26"/>
    </x:row>
    <x:row r="69">
      <x:c r="B69" s="26"/>
      <x:c r="C69" s="26"/>
      <x:c r="D69" s="26"/>
      <x:c r="E69" s="26"/>
      <x:c r="F69" s="26"/>
    </x:row>
    <x:row r="70">
      <x:c r="B70" s="26"/>
      <x:c r="C70" s="26"/>
      <x:c r="D70" s="26"/>
      <x:c r="E70" s="26"/>
      <x:c r="F70" s="26"/>
    </x:row>
    <x:row r="71">
      <x:c r="B71" s="26"/>
      <x:c r="C71" s="26"/>
      <x:c r="D71" s="26"/>
      <x:c r="E71" s="26"/>
      <x:c r="F71" s="26"/>
    </x:row>
    <x:row r="72">
      <x:c r="B72" s="26"/>
      <x:c r="C72" s="26"/>
      <x:c r="D72" s="26"/>
      <x:c r="E72" s="26"/>
      <x:c r="F72" s="26"/>
    </x:row>
    <x:row r="73">
      <x:c r="B73" s="26"/>
      <x:c r="C73" s="26"/>
      <x:c r="D73" s="26"/>
      <x:c r="E73" s="26"/>
      <x:c r="F73" s="26"/>
    </x:row>
    <x:row r="74">
      <x:c r="B74" s="26"/>
      <x:c r="C74" s="26"/>
      <x:c r="D74" s="26"/>
      <x:c r="E74" s="26"/>
      <x:c r="F74" s="26"/>
    </x:row>
    <x:row r="75">
      <x:c r="B75" s="26"/>
      <x:c r="C75" s="26"/>
      <x:c r="D75" s="26"/>
      <x:c r="E75" s="26"/>
      <x:c r="F75" s="26"/>
    </x:row>
    <x:row r="76">
      <x:c r="B76" s="26"/>
      <x:c r="C76" s="26"/>
      <x:c r="D76" s="26"/>
      <x:c r="E76" s="26"/>
      <x:c r="F76" s="26"/>
    </x:row>
    <x:row r="77">
      <x:c r="B77" s="26"/>
      <x:c r="C77" s="26"/>
      <x:c r="D77" s="26"/>
      <x:c r="E77" s="26"/>
      <x:c r="F77" s="26"/>
    </x:row>
    <x:row r="78">
      <x:c r="B78" s="26"/>
      <x:c r="C78" s="26"/>
      <x:c r="D78" s="26"/>
      <x:c r="E78" s="26"/>
      <x:c r="F78" s="26"/>
    </x:row>
    <x:row r="79">
      <x:c r="B79" s="26"/>
      <x:c r="C79" s="26"/>
      <x:c r="D79" s="26"/>
      <x:c r="E79" s="26"/>
      <x:c r="F79" s="26"/>
    </x:row>
    <x:row r="80">
      <x:c r="B80" s="26"/>
      <x:c r="C80" s="26"/>
      <x:c r="D80" s="26"/>
      <x:c r="E80" s="26"/>
      <x:c r="F80" s="26"/>
    </x:row>
    <x:row r="81">
      <x:c r="B81" s="26"/>
      <x:c r="C81" s="26"/>
      <x:c r="D81" s="26"/>
      <x:c r="E81" s="26"/>
      <x:c r="F81" s="26"/>
    </x:row>
    <x:row r="82">
      <x:c r="B82" s="26"/>
      <x:c r="C82" s="26"/>
      <x:c r="D82" s="26"/>
      <x:c r="E82" s="26"/>
      <x:c r="F82" s="26"/>
    </x:row>
    <x:row r="83">
      <x:c r="B83" s="26"/>
      <x:c r="C83" s="26"/>
      <x:c r="D83" s="26"/>
      <x:c r="E83" s="26"/>
      <x:c r="F83" s="26"/>
    </x:row>
    <x:row r="84">
      <x:c r="B84" s="26"/>
      <x:c r="C84" s="26"/>
      <x:c r="D84" s="26"/>
      <x:c r="E84" s="26"/>
      <x:c r="F84" s="26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5" hidden="0" customWidth="1"/>
    <x:col min="4" max="4" width="16" hidden="0" customWidth="1"/>
    <x:col min="5" max="5" width="21" hidden="0" customWidth="1"/>
    <x:col min="6" max="6" width="17" hidden="0" customWidth="1"/>
    <x:col min="7" max="7" width="19" hidden="0" customWidth="1"/>
    <x:col min="8" max="8" width="21" hidden="0" customWidth="1"/>
    <x:col min="9" max="9" width="22" hidden="0" customWidth="1"/>
    <x:col min="10" max="10" width="21" hidden="0" customWidth="1"/>
    <x:col min="11" max="11" width="21" hidden="0" customWidth="1"/>
    <x:col min="12" max="12" width="20" hidden="0" customWidth="1"/>
    <x:col min="13" max="13" width="17" hidden="0" customWidth="1"/>
    <x:col min="14" max="14" width="21" hidden="0" customWidth="1"/>
    <x:col min="15" max="15" width="18" hidden="0" customWidth="1"/>
    <x:col min="16" max="16" width="16" hidden="0" customWidth="1"/>
    <x:col min="17" max="17" width="17" hidden="0" customWidth="1"/>
    <x:col min="18" max="18" width="14" hidden="0" customWidth="1"/>
  </x:cols>
  <x:sheetData>
    <x:row r="2">
      <x:c r="B2" s="78" t="str">
        <x:v>Terrain-air interface architecture competition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>
      <x:c r="B3" s="79" t="str">
        <x:v>The common interface is a semantic contract between two independent public-service paths—not a shared transfer machine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</x:row>
    <x:row r="6">
      <x:c r="B6" s="31" t="str">
        <x:v>ID</x:v>
      </x:c>
      <x:c r="C6" s="32" t="str">
        <x:v>Architecture</x:v>
      </x:c>
      <x:c r="D6" s="32" t="str">
        <x:v>Independent entry</x:v>
      </x:c>
      <x:c r="E6" s="32" t="str">
        <x:v>Independent technical release</x:v>
      </x:c>
      <x:c r="F6" s="32" t="str">
        <x:v>Independent energy</x:v>
      </x:c>
      <x:c r="G6" s="32" t="str">
        <x:v>Independent maintenance</x:v>
      </x:c>
      <x:c r="H6" s="32" t="str">
        <x:v>No pre-release cross-load</x:v>
      </x:c>
      <x:c r="I6" s="32" t="str">
        <x:v>Separate public-release nodes</x:v>
      </x:c>
      <x:c r="J6" s="32" t="str">
        <x:v>Air-zone denial leaves terrain</x:v>
      </x:c>
      <x:c r="K6" s="32" t="str">
        <x:v>Terrain-zone denial leaves air</x:v>
      </x:c>
      <x:c r="L6" s="32" t="str">
        <x:v>Shared-yard denial leaves both</x:v>
      </x:c>
      <x:c r="M6" s="32" t="str">
        <x:v>Network denial</x:v>
      </x:c>
      <x:c r="N6" s="32" t="str">
        <x:v>Common decisive ancestry</x:v>
      </x:c>
      <x:c r="O6" s="32" t="str">
        <x:v>Complete dual service</x:v>
      </x:c>
      <x:c r="P6" s="32" t="str">
        <x:v>Site separation</x:v>
      </x:c>
      <x:c r="Q6" s="32" t="str">
        <x:v>Hard gates passed</x:v>
      </x:c>
      <x:c r="R6" s="32" t="str">
        <x:v>Result</x:v>
      </x:c>
    </x:row>
    <x:row r="7">
      <x:c r="B7" s="33" t="str">
        <x:v>I1</x:v>
      </x:c>
      <x:c r="C7" s="33" t="str">
        <x:v>Common service yard</x:v>
      </x:c>
      <x:c r="D7" s="33" t="n">
        <x:v>0</x:v>
      </x:c>
      <x:c r="E7" s="33" t="n">
        <x:v>0</x:v>
      </x:c>
      <x:c r="F7" s="33" t="n">
        <x:v>0</x:v>
      </x:c>
      <x:c r="G7" s="33" t="n">
        <x:v>0</x:v>
      </x:c>
      <x:c r="H7" s="33" t="n">
        <x:v>1</x:v>
      </x:c>
      <x:c r="I7" s="33" t="n">
        <x:v>0</x:v>
      </x:c>
      <x:c r="J7" s="33" t="n">
        <x:v>0</x:v>
      </x:c>
      <x:c r="K7" s="33" t="n">
        <x:v>0</x:v>
      </x:c>
      <x:c r="L7" s="33" t="n">
        <x:v>0</x:v>
      </x:c>
      <x:c r="M7" s="33" t="n">
        <x:v>1</x:v>
      </x:c>
      <x:c r="N7" s="33" t="n">
        <x:v>3</x:v>
      </x:c>
      <x:c r="O7" s="80" t="n">
        <x:v>47.92</x:v>
      </x:c>
      <x:c r="P7" s="80" t="n">
        <x:v>0</x:v>
      </x:c>
      <x:c r="Q7" s="33" t="n">
        <x:f>SUM(D7:M7)+IF(N7=0,1,0)+IF(O7&lt;=Assumptions!C41,1,0)+IF(P7&gt;=Assumptions!C46,1,0)</x:f>
        <x:v>3</x:v>
      </x:c>
      <x:c r="R7" s="35" t="str">
        <x:f>IF(Q7=13,"PASS","FAIL")</x:f>
        <x:v>FAIL</x:v>
      </x:c>
    </x:row>
    <x:row r="8">
      <x:c r="B8" s="33" t="str">
        <x:v>I2</x:v>
      </x:c>
      <x:c r="C8" s="33" t="str">
        <x:v>Adjacent split zones with shared spine</x:v>
      </x:c>
      <x:c r="D8" s="33" t="n">
        <x:v>1</x:v>
      </x:c>
      <x:c r="E8" s="33" t="n">
        <x:v>1</x:v>
      </x:c>
      <x:c r="F8" s="33" t="n">
        <x:v>0</x:v>
      </x:c>
      <x:c r="G8" s="33" t="n">
        <x:v>0</x:v>
      </x:c>
      <x:c r="H8" s="33" t="n">
        <x:v>1</x:v>
      </x:c>
      <x:c r="I8" s="33" t="n">
        <x:v>1</x:v>
      </x:c>
      <x:c r="J8" s="33" t="n">
        <x:v>0</x:v>
      </x:c>
      <x:c r="K8" s="33" t="n">
        <x:v>0</x:v>
      </x:c>
      <x:c r="L8" s="33" t="n">
        <x:v>0</x:v>
      </x:c>
      <x:c r="M8" s="33" t="n">
        <x:v>1</x:v>
      </x:c>
      <x:c r="N8" s="33" t="n">
        <x:v>2</x:v>
      </x:c>
      <x:c r="O8" s="80" t="n">
        <x:v>47.92</x:v>
      </x:c>
      <x:c r="P8" s="80" t="n">
        <x:v>0.5</x:v>
      </x:c>
      <x:c r="Q8" s="33" t="n">
        <x:f>SUM(D8:M8)+IF(N8=0,1,0)+IF(O8&lt;=Assumptions!C41,1,0)+IF(P8&gt;=Assumptions!C46,1,0)</x:f>
        <x:v>6</x:v>
      </x:c>
      <x:c r="R8" s="35" t="str">
        <x:f>IF(Q8=13,"PASS","FAIL")</x:f>
        <x:v>FAIL</x:v>
      </x:c>
    </x:row>
    <x:row r="9">
      <x:c r="B9" s="33" t="str">
        <x:v>I3</x:v>
      </x:c>
      <x:c r="C9" s="33" t="str">
        <x:v>Federated twin receivers with fail-open cross-tie</x:v>
      </x:c>
      <x:c r="D9" s="33" t="n">
        <x:v>1</x:v>
      </x:c>
      <x:c r="E9" s="33" t="n">
        <x:v>1</x:v>
      </x:c>
      <x:c r="F9" s="33" t="n">
        <x:v>1</x:v>
      </x:c>
      <x:c r="G9" s="33" t="n">
        <x:v>1</x:v>
      </x:c>
      <x:c r="H9" s="33" t="n">
        <x:v>1</x:v>
      </x:c>
      <x:c r="I9" s="33" t="n">
        <x:v>1</x:v>
      </x:c>
      <x:c r="J9" s="33" t="n">
        <x:v>1</x:v>
      </x:c>
      <x:c r="K9" s="33" t="n">
        <x:v>1</x:v>
      </x:c>
      <x:c r="L9" s="33" t="n">
        <x:v>1</x:v>
      </x:c>
      <x:c r="M9" s="33" t="n">
        <x:v>1</x:v>
      </x:c>
      <x:c r="N9" s="33" t="n">
        <x:v>0</x:v>
      </x:c>
      <x:c r="O9" s="80" t="n">
        <x:v>47.92</x:v>
      </x:c>
      <x:c r="P9" s="80" t="n">
        <x:v>5</x:v>
      </x:c>
      <x:c r="Q9" s="33" t="n">
        <x:f>SUM(D9:M9)+IF(N9=0,1,0)+IF(O9&lt;=Assumptions!C41,1,0)+IF(P9&gt;=Assumptions!C46,1,0)</x:f>
        <x:v>13</x:v>
      </x:c>
      <x:c r="R9" s="35" t="str">
        <x:f>IF(Q9=13,"PASS","FAIL")</x:f>
        <x:v>PASS</x:v>
      </x:c>
    </x:row>
    <x:row r="10">
      <x:c r="B10" s="39" t="str">
        <x:v>I4</x:v>
      </x:c>
      <x:c r="C10" s="39" t="str">
        <x:v>Rolling terrain-air rendezvous</x:v>
      </x:c>
      <x:c r="D10" s="39" t="n">
        <x:v>1</x:v>
      </x:c>
      <x:c r="E10" s="39" t="n">
        <x:v>0</x:v>
      </x:c>
      <x:c r="F10" s="39" t="n">
        <x:v>1</x:v>
      </x:c>
      <x:c r="G10" s="39" t="n">
        <x:v>1</x:v>
      </x:c>
      <x:c r="H10" s="39" t="n">
        <x:v>0</x:v>
      </x:c>
      <x:c r="I10" s="39" t="n">
        <x:v>0</x:v>
      </x:c>
      <x:c r="J10" s="39" t="n">
        <x:v>1</x:v>
      </x:c>
      <x:c r="K10" s="39" t="n">
        <x:v>0</x:v>
      </x:c>
      <x:c r="L10" s="39" t="n">
        <x:v>1</x:v>
      </x:c>
      <x:c r="M10" s="39" t="n">
        <x:v>1</x:v>
      </x:c>
      <x:c r="N10" s="39" t="n">
        <x:v>1</x:v>
      </x:c>
      <x:c r="O10" s="81" t="n">
        <x:v>50.92</x:v>
      </x:c>
      <x:c r="P10" s="81" t="n">
        <x:v>2</x:v>
      </x:c>
      <x:c r="Q10" s="39" t="n">
        <x:f>SUM(D10:M10)+IF(N10=0,1,0)+IF(O10&lt;=Assumptions!C41,1,0)+IF(P10&gt;=Assumptions!C46,1,0)</x:f>
        <x:v>7</x:v>
      </x:c>
      <x:c r="R10" s="40" t="str">
        <x:f>IF(Q10=13,"PASS","FAIL")</x:f>
        <x:v>FAIL</x:v>
      </x:c>
    </x:row>
    <x:row r="11"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</x:row>
    <x:row r="13">
      <x:c r="B13" s="72" t="str">
        <x:v>Decision rule</x:v>
      </x:c>
      <x:c r="C13" s="73" t="str">
        <x:v>Decision rule</x:v>
      </x:c>
      <x:c r="D13" s="73" t="str">
        <x:v>Decision rule</x:v>
      </x:c>
      <x:c r="E13" s="73" t="str">
        <x:v>Decision rule</x:v>
      </x:c>
      <x:c r="F13" s="73" t="str">
        <x:v>Decision rule</x:v>
      </x:c>
      <x:c r="G13" s="73" t="str">
        <x:v>Decision rule</x:v>
      </x:c>
      <x:c r="H13" s="73" t="str">
        <x:v>Decision rule</x:v>
      </x:c>
      <x:c r="I13" s="73" t="str">
        <x:v>Decision rule</x:v>
      </x:c>
      <x:c r="J13" s="73" t="str">
        <x:v>Decision rule</x:v>
      </x:c>
      <x:c r="K13" s="73" t="str">
        <x:v>Decision rule</x:v>
      </x:c>
      <x:c r="L13" s="73" t="str">
        <x:v>Decision rule</x:v>
      </x:c>
      <x:c r="M13" s="73" t="str">
        <x:v>Decision rule</x:v>
      </x:c>
      <x:c r="N13" s="73" t="str">
        <x:v>Decision rule</x:v>
      </x:c>
      <x:c r="O13" s="73" t="str">
        <x:v>Decision rule</x:v>
      </x:c>
      <x:c r="P13" s="73" t="str">
        <x:v>Decision rule</x:v>
      </x:c>
      <x:c r="Q13" s="73" t="str">
        <x:v>Decision rule</x:v>
      </x:c>
      <x:c r="R13" s="74" t="str">
        <x:v>Decision rule</x:v>
      </x:c>
    </x:row>
    <x:row r="14">
      <x:c r="B14" s="82" t="str">
        <x:v>Selected reference</x:v>
      </x:c>
      <x:c r="C14" s="50" t="str">
        <x:v>I3 federates two receivers five kilometres apart. Each has its own entry, energy, maintenance, custody, technical release and civil public-release chain.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</x:row>
    <x:row r="15">
      <x:c r="B15" s="83" t="str">
        <x:v>Forbidden dependency</x:v>
      </x:c>
      <x:c r="C15" s="33" t="str">
        <x:v>No payload, energy, authority or essential service may cross between modes before the releasing mode reaches public-service state S7.</x:v>
      </x:c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</x:row>
    <x:row r="16">
      <x:c r="B16" s="83" t="str">
        <x:v>Permitted interoperability</x:v>
      </x:c>
      <x:c r="C16" s="33" t="str">
        <x:v>After release, a six-kilometre service corridor may exchange water, power, people or spares. Its denial cannot change either mode's service result.</x:v>
      </x:c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</x:row>
    <x:row r="17">
      <x:c r="B17" s="83" t="str">
        <x:v>Shared standard</x:v>
      </x:c>
      <x:c r="C17" s="33" t="str">
        <x:v>Both modes expose the same service semantics and assay records, but implement them through different loading equipment, control kernels, energy ancestry and certification chains.</x:v>
      </x:c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</x:row>
    <x:row r="18">
      <x:c r="B18" s="84" t="str">
        <x:v>Admission</x:v>
      </x:c>
      <x:c r="C18" s="53" t="str">
        <x:v>I3 is a behavior-level reference. Five kilometres is a declared common-mode hypothesis, not a universal hazard standoff.</x:v>
      </x:c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</x:row>
    <x:row r="19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</x:row>
  </x:sheetData>
  <x:mergeCells>
    <x:mergeCell ref="B13:R13"/>
  </x:mergeCells>
  <x:conditionalFormatting sqref="R7:R10">
    <x:cfRule type="containsText" dxfId="9" priority="1" operator="containsText" text="FAIL"/>
    <x:cfRule type="containsText" dxfId="10" priority="2" operator="containsText" text="DIVERGES"/>
    <x:cfRule type="containsText" dxfId="11" priority="3" operator="containsText" text="PA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8" hidden="0" customWidth="1"/>
    <x:col min="4" max="4" width="15" hidden="0" customWidth="1"/>
    <x:col min="5" max="5" width="15" hidden="0" customWidth="1"/>
    <x:col min="6" max="6" width="20" hidden="0" customWidth="1"/>
    <x:col min="7" max="7" width="15" hidden="0" customWidth="1"/>
    <x:col min="8" max="8" width="18" hidden="0" customWidth="1"/>
    <x:col min="9" max="9" width="19" hidden="0" customWidth="1"/>
    <x:col min="10" max="10" width="18" hidden="0" customWidth="1"/>
    <x:col min="11" max="11" width="16" hidden="0" customWidth="1"/>
    <x:col min="12" max="12" width="20" hidden="0" customWidth="1"/>
    <x:col min="13" max="13" width="22" hidden="0" customWidth="1"/>
    <x:col min="14" max="14" width="16" hidden="0" customWidth="1"/>
  </x:cols>
  <x:sheetData>
    <x:row r="2">
      <x:c r="B2" s="78" t="str">
        <x:v>Federated twin-receiver geometry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79" t="str">
        <x:v>Mode-specific zones reach independent public service before an optional corridor joins the service lattice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B6" s="31" t="str">
        <x:v>Zone</x:v>
      </x:c>
      <x:c r="C6" s="32" t="str">
        <x:v>Mode</x:v>
      </x:c>
      <x:c r="D6" s="32" t="str">
        <x:v>Length</x:v>
      </x:c>
      <x:c r="E6" s="32" t="str">
        <x:v>Width</x:v>
      </x:c>
      <x:c r="F6" s="32" t="str">
        <x:v>Controlled area</x:v>
      </x:c>
      <x:c r="G6" s="32" t="str">
        <x:v>Bearing</x:v>
      </x:c>
      <x:c r="H6" s="32" t="str">
        <x:v>Independent energy</x:v>
      </x:c>
      <x:c r="I6" s="32" t="str">
        <x:v>Independent maintenance</x:v>
      </x:c>
      <x:c r="J6" s="32" t="str">
        <x:v>Technical release</x:v>
      </x:c>
      <x:c r="K6" s="32" t="str">
        <x:v>Civil release</x:v>
      </x:c>
      <x:c r="L6" s="32" t="str">
        <x:v>Pre-release cross-tie</x:v>
      </x:c>
      <x:c r="M6" s="32" t="str">
        <x:v>Required for other mode</x:v>
      </x:c>
      <x:c r="N6" s="32" t="str">
        <x:v>Status</x:v>
      </x:c>
    </x:row>
    <x:row r="7">
      <x:c r="B7" s="33" t="str">
        <x:v>Air controlled receiver</x:v>
      </x:c>
      <x:c r="C7" s="33" t="str">
        <x:v>air</x:v>
      </x:c>
      <x:c r="D7" s="80" t="n">
        <x:v>560</x:v>
      </x:c>
      <x:c r="E7" s="80" t="n">
        <x:v>560</x:v>
      </x:c>
      <x:c r="F7" s="80" t="n">
        <x:f>D7*E7/10000</x:f>
        <x:v>31.36</x:v>
      </x:c>
      <x:c r="G7" s="80" t="n">
        <x:v>60</x:v>
      </x:c>
      <x:c r="H7" s="33" t="n">
        <x:v>1</x:v>
      </x:c>
      <x:c r="I7" s="33" t="n">
        <x:v>1</x:v>
      </x:c>
      <x:c r="J7" s="33" t="n">
        <x:v>1</x:v>
      </x:c>
      <x:c r="K7" s="33" t="n">
        <x:v>1</x:v>
      </x:c>
      <x:c r="L7" s="33" t="n">
        <x:v>0</x:v>
      </x:c>
      <x:c r="M7" s="33" t="n">
        <x:v>0</x:v>
      </x:c>
      <x:c r="N7" s="35" t="str">
        <x:f>IF(AND(H7=1,I7=1,J7=1,K7=1,L7=0,M7=0),"PASS",IF(C7="post-release","OPTIONAL","FAIL"))</x:f>
        <x:v>PASS</x:v>
      </x:c>
    </x:row>
    <x:row r="8">
      <x:c r="B8" s="33" t="str">
        <x:v>Air clear transfer core</x:v>
      </x:c>
      <x:c r="C8" s="33" t="str">
        <x:v>air</x:v>
      </x:c>
      <x:c r="D8" s="80" t="n">
        <x:v>420</x:v>
      </x:c>
      <x:c r="E8" s="80" t="n">
        <x:v>420</x:v>
      </x:c>
      <x:c r="F8" s="80" t="n">
        <x:f>D8*E8/10000</x:f>
        <x:v>17.64</x:v>
      </x:c>
      <x:c r="G8" s="80" t="n">
        <x:v>60</x:v>
      </x:c>
      <x:c r="H8" s="33" t="n">
        <x:v>1</x:v>
      </x:c>
      <x:c r="I8" s="33" t="n">
        <x:v>1</x:v>
      </x:c>
      <x:c r="J8" s="33" t="n">
        <x:v>1</x:v>
      </x:c>
      <x:c r="K8" s="33" t="n">
        <x:v>1</x:v>
      </x:c>
      <x:c r="L8" s="33" t="n">
        <x:v>0</x:v>
      </x:c>
      <x:c r="M8" s="33" t="n">
        <x:v>0</x:v>
      </x:c>
      <x:c r="N8" s="35" t="str">
        <x:f>IF(AND(H8=1,I8=1,J8=1,K8=1,L8=0,M8=0),"PASS",IF(C8="post-release","OPTIONAL","FAIL"))</x:f>
        <x:v>PASS</x:v>
      </x:c>
    </x:row>
    <x:row r="9">
      <x:c r="B9" s="33" t="str">
        <x:v>Terrain controlled receiver</x:v>
      </x:c>
      <x:c r="C9" s="33" t="str">
        <x:v>terrain</x:v>
      </x:c>
      <x:c r="D9" s="80" t="n">
        <x:v>220</x:v>
      </x:c>
      <x:c r="E9" s="80" t="n">
        <x:v>140</x:v>
      </x:c>
      <x:c r="F9" s="80" t="n">
        <x:f>D9*E9/10000</x:f>
        <x:v>3.08</x:v>
      </x:c>
      <x:c r="G9" s="80" t="n">
        <x:v>60</x:v>
      </x:c>
      <x:c r="H9" s="33" t="n">
        <x:v>1</x:v>
      </x:c>
      <x:c r="I9" s="33" t="n">
        <x:v>1</x:v>
      </x:c>
      <x:c r="J9" s="33" t="n">
        <x:v>1</x:v>
      </x:c>
      <x:c r="K9" s="33" t="n">
        <x:v>1</x:v>
      </x:c>
      <x:c r="L9" s="33" t="n">
        <x:v>0</x:v>
      </x:c>
      <x:c r="M9" s="33" t="n">
        <x:v>0</x:v>
      </x:c>
      <x:c r="N9" s="35" t="str">
        <x:f>IF(AND(H9=1,I9=1,J9=1,K9=1,L9=0,M9=0),"PASS",IF(C9="post-release","OPTIONAL","FAIL"))</x:f>
        <x:v>PASS</x:v>
      </x:c>
    </x:row>
    <x:row r="10">
      <x:c r="B10" s="33" t="str">
        <x:v>Terrain transfer core</x:v>
      </x:c>
      <x:c r="C10" s="33" t="str">
        <x:v>terrain</x:v>
      </x:c>
      <x:c r="D10" s="80" t="n">
        <x:v>200</x:v>
      </x:c>
      <x:c r="E10" s="80" t="n">
        <x:v>100</x:v>
      </x:c>
      <x:c r="F10" s="80" t="n">
        <x:f>D10*E10/10000</x:f>
        <x:v>2</x:v>
      </x:c>
      <x:c r="G10" s="80" t="n">
        <x:v>60</x:v>
      </x:c>
      <x:c r="H10" s="33" t="n">
        <x:v>1</x:v>
      </x:c>
      <x:c r="I10" s="33" t="n">
        <x:v>1</x:v>
      </x:c>
      <x:c r="J10" s="33" t="n">
        <x:v>1</x:v>
      </x:c>
      <x:c r="K10" s="33" t="n">
        <x:v>1</x:v>
      </x:c>
      <x:c r="L10" s="33" t="n">
        <x:v>0</x:v>
      </x:c>
      <x:c r="M10" s="33" t="n">
        <x:v>0</x:v>
      </x:c>
      <x:c r="N10" s="35" t="str">
        <x:f>IF(AND(H10=1,I10=1,J10=1,K10=1,L10=0,M10=0),"PASS",IF(C10="post-release","OPTIONAL","FAIL"))</x:f>
        <x:v>PASS</x:v>
      </x:c>
    </x:row>
    <x:row r="11">
      <x:c r="B11" s="33" t="str">
        <x:v>Downstream service yard</x:v>
      </x:c>
      <x:c r="C11" s="33" t="str">
        <x:v>post-release</x:v>
      </x:c>
      <x:c r="D11" s="80" t="n">
        <x:v>240</x:v>
      </x:c>
      <x:c r="E11" s="80" t="n">
        <x:v>180</x:v>
      </x:c>
      <x:c r="F11" s="80" t="n">
        <x:f>D11*E11/10000</x:f>
        <x:v>4.32</x:v>
      </x:c>
      <x:c r="G11" s="80" t="n">
        <x:v>60</x:v>
      </x:c>
      <x:c r="H11" s="33" t="n">
        <x:v>1</x:v>
      </x:c>
      <x:c r="I11" s="33" t="n">
        <x:v>1</x:v>
      </x:c>
      <x:c r="J11" s="33" t="n">
        <x:v>1</x:v>
      </x:c>
      <x:c r="K11" s="33" t="n">
        <x:v>1</x:v>
      </x:c>
      <x:c r="L11" s="33" t="n">
        <x:v>1</x:v>
      </x:c>
      <x:c r="M11" s="33" t="n">
        <x:v>0</x:v>
      </x:c>
      <x:c r="N11" s="35" t="str">
        <x:f>IF(AND(H11=1,I11=1,J11=1,K11=1,L11=0,M11=0),"PASS",IF(C11="post-release","OPTIONAL","FAIL"))</x:f>
        <x:v>OPTIONAL</x:v>
      </x:c>
    </x:row>
    <x:row r="12">
      <x:c r="B12" s="39" t="str">
        <x:v>Fail-open service corridor</x:v>
      </x:c>
      <x:c r="C12" s="39" t="str">
        <x:v>post-release</x:v>
      </x:c>
      <x:c r="D12" s="81" t="n">
        <x:v>6000</x:v>
      </x:c>
      <x:c r="E12" s="81" t="n">
        <x:v>18</x:v>
      </x:c>
      <x:c r="F12" s="81" t="n">
        <x:f>D12*E12/10000</x:f>
        <x:v>10.8</x:v>
      </x:c>
      <x:c r="G12" s="81" t="n">
        <x:v>60</x:v>
      </x:c>
      <x:c r="H12" s="39" t="n">
        <x:v>1</x:v>
      </x:c>
      <x:c r="I12" s="39" t="n">
        <x:v>1</x:v>
      </x:c>
      <x:c r="J12" s="39" t="n">
        <x:v>1</x:v>
      </x:c>
      <x:c r="K12" s="39" t="n">
        <x:v>1</x:v>
      </x:c>
      <x:c r="L12" s="39" t="n">
        <x:v>1</x:v>
      </x:c>
      <x:c r="M12" s="39" t="n">
        <x:v>0</x:v>
      </x:c>
      <x:c r="N12" s="40" t="str">
        <x:f>IF(AND(H12=1,I12=1,J12=1,K12=1,L12=0,M12=0),"PASS",IF(C12="post-release","OPTIONAL","FAIL"))</x:f>
        <x:v>OPTIONAL</x:v>
      </x:c>
    </x:row>
    <x:row r="13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B15" s="72" t="str">
        <x:v>Geometry totals and common-mode controls</x:v>
      </x:c>
      <x:c r="C15" s="73" t="str">
        <x:v>Geometry totals and common-mode controls</x:v>
      </x:c>
      <x:c r="D15" s="73" t="str">
        <x:v>Geometry totals and common-mode controls</x:v>
      </x:c>
      <x:c r="E15" s="73" t="str">
        <x:v>Geometry totals and common-mode controls</x:v>
      </x:c>
      <x:c r="F15" s="73" t="str">
        <x:v>Geometry totals and common-mode controls</x:v>
      </x:c>
      <x:c r="G15" s="73" t="str">
        <x:v>Geometry totals and common-mode controls</x:v>
      </x:c>
      <x:c r="H15" s="73" t="str">
        <x:v>Geometry totals and common-mode controls</x:v>
      </x:c>
      <x:c r="I15" s="73" t="str">
        <x:v>Geometry totals and common-mode controls</x:v>
      </x:c>
      <x:c r="J15" s="73" t="str">
        <x:v>Geometry totals and common-mode controls</x:v>
      </x:c>
      <x:c r="K15" s="73" t="str">
        <x:v>Geometry totals and common-mode controls</x:v>
      </x:c>
      <x:c r="L15" s="73" t="str">
        <x:v>Geometry totals and common-mode controls</x:v>
      </x:c>
      <x:c r="M15" s="73" t="str">
        <x:v>Geometry totals and common-mode controls</x:v>
      </x:c>
      <x:c r="N15" s="74" t="str">
        <x:v>Geometry totals and common-mode controls</x:v>
      </x:c>
    </x:row>
    <x:row r="16">
      <x:c r="B16" s="31" t="str">
        <x:v>Metric</x:v>
      </x:c>
      <x:c r="C16" s="32" t="str">
        <x:v>Value</x:v>
      </x:c>
      <x:c r="D16" s="32" t="str">
        <x:v>Unit</x:v>
      </x:c>
      <x:c r="E16" s="32" t="str">
        <x:v>Requirement</x:v>
      </x:c>
      <x:c r="F16" s="32" t="str">
        <x:v>Result</x:v>
      </x:c>
      <x:c r="G16" s="26"/>
      <x:c r="H16" s="26"/>
      <x:c r="I16" s="26"/>
      <x:c r="J16" s="26"/>
      <x:c r="K16" s="26"/>
      <x:c r="L16" s="26"/>
      <x:c r="M16" s="26"/>
      <x:c r="N16" s="26"/>
    </x:row>
    <x:row r="17">
      <x:c r="B17" s="33" t="str">
        <x:v>Controlled operational surface</x:v>
      </x:c>
      <x:c r="C17" s="80" t="n">
        <x:f>F7+F9+F11+F12</x:f>
        <x:v>49.56</x:v>
      </x:c>
      <x:c r="D17" s="33" t="str">
        <x:v>ha</x:v>
      </x:c>
      <x:c r="E17" s="33" t="str">
        <x:v>air + terrain + yard + corridor</x:v>
      </x:c>
      <x:c r="F17" s="35" t="str">
        <x:v>PASS</x:v>
      </x:c>
      <x:c r="G17" s="26"/>
      <x:c r="H17" s="26"/>
      <x:c r="I17" s="26"/>
      <x:c r="J17" s="26"/>
      <x:c r="K17" s="26"/>
      <x:c r="L17" s="26"/>
      <x:c r="M17" s="26"/>
      <x:c r="N17" s="26"/>
    </x:row>
    <x:row r="18">
      <x:c r="B18" s="33" t="str">
        <x:v>Edge-to-edge mode separation</x:v>
      </x:c>
      <x:c r="C18" s="80" t="n">
        <x:v>5</x:v>
      </x:c>
      <x:c r="D18" s="33" t="str">
        <x:v>km</x:v>
      </x:c>
      <x:c r="E18" s="33" t="str">
        <x:v>&gt;=5 declared hypothesis</x:v>
      </x:c>
      <x:c r="F18" s="35" t="str">
        <x:v>PASS</x:v>
      </x:c>
      <x:c r="G18" s="26"/>
      <x:c r="H18" s="26"/>
      <x:c r="I18" s="26"/>
      <x:c r="J18" s="26"/>
      <x:c r="K18" s="26"/>
      <x:c r="L18" s="26"/>
      <x:c r="M18" s="26"/>
      <x:c r="N18" s="26"/>
    </x:row>
    <x:row r="19">
      <x:c r="B19" s="33" t="str">
        <x:v>Independent public-release nodes</x:v>
      </x:c>
      <x:c r="C19" s="80" t="n">
        <x:v>2</x:v>
      </x:c>
      <x:c r="D19" s="33" t="str">
        <x:v>nodes</x:v>
      </x:c>
      <x:c r="E19" s="33" t="str">
        <x:v>&gt;=2</x:v>
      </x:c>
      <x:c r="F19" s="35" t="str">
        <x:v>PASS</x:v>
      </x:c>
      <x:c r="G19" s="26"/>
      <x:c r="H19" s="26"/>
      <x:c r="I19" s="26"/>
      <x:c r="J19" s="26"/>
      <x:c r="K19" s="26"/>
      <x:c r="L19" s="26"/>
      <x:c r="M19" s="26"/>
      <x:c r="N19" s="26"/>
    </x:row>
    <x:row r="20">
      <x:c r="B20" s="33" t="str">
        <x:v>Independent black-start systems</x:v>
      </x:c>
      <x:c r="C20" s="80" t="n">
        <x:v>2</x:v>
      </x:c>
      <x:c r="D20" s="33" t="str">
        <x:v>systems</x:v>
      </x:c>
      <x:c r="E20" s="33" t="str">
        <x:v>&gt;=2</x:v>
      </x:c>
      <x:c r="F20" s="35" t="str">
        <x:v>PASS</x:v>
      </x:c>
      <x:c r="G20" s="26"/>
      <x:c r="H20" s="26"/>
      <x:c r="I20" s="26"/>
      <x:c r="J20" s="26"/>
      <x:c r="K20" s="26"/>
      <x:c r="L20" s="26"/>
      <x:c r="M20" s="26"/>
      <x:c r="N20" s="26"/>
    </x:row>
    <x:row r="21">
      <x:c r="B21" s="33" t="str">
        <x:v>Independent maintenance/recovery chains</x:v>
      </x:c>
      <x:c r="C21" s="80" t="n">
        <x:v>2</x:v>
      </x:c>
      <x:c r="D21" s="33" t="str">
        <x:v>chains</x:v>
      </x:c>
      <x:c r="E21" s="33" t="str">
        <x:v>&gt;=2</x:v>
      </x:c>
      <x:c r="F21" s="35" t="str">
        <x:v>PASS</x:v>
      </x:c>
      <x:c r="G21" s="26"/>
      <x:c r="H21" s="26"/>
      <x:c r="I21" s="26"/>
      <x:c r="J21" s="26"/>
      <x:c r="K21" s="26"/>
      <x:c r="L21" s="26"/>
      <x:c r="M21" s="26"/>
      <x:c r="N21" s="26"/>
    </x:row>
    <x:row r="22">
      <x:c r="B22" s="33" t="str">
        <x:v>Pre-release cross-mode transfers</x:v>
      </x:c>
      <x:c r="C22" s="80" t="n">
        <x:v>0</x:v>
      </x:c>
      <x:c r="D22" s="33" t="str">
        <x:v>transfers</x:v>
      </x:c>
      <x:c r="E22" s="33" t="n">
        <x:f>0</x:f>
        <x:v>0</x:v>
      </x:c>
      <x:c r="F22" s="35" t="str">
        <x:v>PASS</x:v>
      </x:c>
      <x:c r="G22" s="26"/>
      <x:c r="H22" s="26"/>
      <x:c r="I22" s="26"/>
      <x:c r="J22" s="26"/>
      <x:c r="K22" s="26"/>
      <x:c r="L22" s="26"/>
      <x:c r="M22" s="26"/>
      <x:c r="N22" s="26"/>
    </x:row>
    <x:row r="23">
      <x:c r="B23" s="39" t="str">
        <x:v>Optional post-release corridor</x:v>
      </x:c>
      <x:c r="C23" s="81" t="n">
        <x:v>6</x:v>
      </x:c>
      <x:c r="D23" s="39" t="str">
        <x:v>km</x:v>
      </x:c>
      <x:c r="E23" s="39" t="str">
        <x:v>fail-open only</x:v>
      </x:c>
      <x:c r="F23" s="40" t="str">
        <x:v>PASS</x:v>
      </x:c>
      <x:c r="G23" s="26"/>
      <x:c r="H23" s="26"/>
      <x:c r="I23" s="26"/>
      <x:c r="J23" s="26"/>
      <x:c r="K23" s="26"/>
      <x:c r="L23" s="26"/>
      <x:c r="M23" s="26"/>
      <x:c r="N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</x:sheetData>
  <x:mergeCells>
    <x:mergeCell ref="B15:N15"/>
  </x:mergeCells>
  <x:conditionalFormatting sqref="N7:N12">
    <x:cfRule type="containsText" dxfId="12" priority="1" operator="containsText" text="FAIL"/>
    <x:cfRule type="containsText" dxfId="13" priority="2" operator="containsText" text="DIVERGES"/>
    <x:cfRule type="containsText" dxfId="14" priority="3" operator="containsText" text="PASS"/>
  </x:conditionalFormatting>
  <x:conditionalFormatting sqref="F17:F23">
    <x:cfRule type="containsText" dxfId="15" priority="4" operator="containsText" text="FAIL"/>
    <x:cfRule type="containsText" dxfId="16" priority="5" operator="containsText" text="DIVERGES"/>
    <x:cfRule type="containsText" dxfId="17" priority="6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4" hidden="0" customWidth="1"/>
    <x:col min="4" max="4" width="24" hidden="0" customWidth="1"/>
    <x:col min="5" max="5" width="25" hidden="0" customWidth="1"/>
    <x:col min="6" max="6" width="22" hidden="0" customWidth="1"/>
    <x:col min="7" max="7" width="20" hidden="0" customWidth="1"/>
    <x:col min="8" max="8" width="21" hidden="0" customWidth="1"/>
    <x:col min="9" max="9" width="19" hidden="0" customWidth="1"/>
    <x:col min="10" max="10" width="22" hidden="0" customWidth="1"/>
    <x:col min="11" max="11" width="42" hidden="0" customWidth="1"/>
    <x:col min="12" max="12" width="14" hidden="0" customWidth="1"/>
  </x:cols>
  <x:sheetData>
    <x:row r="2">
      <x:c r="B2" s="78" t="str">
        <x:v>Two-mode mission state machine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79" t="str">
        <x:v>Public service is a signed state transition; arrival, unloading and interoperability are not substitutes for civil release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>
      <x:c r="B6" s="31" t="str">
        <x:v>State</x:v>
      </x:c>
      <x:c r="C6" s="32" t="str">
        <x:v>Meaning</x:v>
      </x:c>
      <x:c r="D6" s="32" t="str">
        <x:v>Air owner</x:v>
      </x:c>
      <x:c r="E6" s="32" t="str">
        <x:v>Terrain owner</x:v>
      </x:c>
      <x:c r="F6" s="32" t="str">
        <x:v>Payload may move</x:v>
      </x:c>
      <x:c r="G6" s="32" t="str">
        <x:v>Energy may cross modes</x:v>
      </x:c>
      <x:c r="H6" s="32" t="str">
        <x:v>Authority may cross modes</x:v>
      </x:c>
      <x:c r="I6" s="32" t="str">
        <x:v>Other mode required</x:v>
      </x:c>
      <x:c r="J6" s="32" t="str">
        <x:v>Signed record</x:v>
      </x:c>
      <x:c r="K6" s="32" t="str">
        <x:v>Exit criterion</x:v>
      </x:c>
      <x:c r="L6" s="32" t="str">
        <x:v>Status</x:v>
      </x:c>
    </x:row>
    <x:row r="7">
      <x:c r="B7" s="33" t="str">
        <x:v>S0</x:v>
      </x:c>
      <x:c r="C7" s="33" t="str">
        <x:v>Source-controlled serialized cell</x:v>
      </x:c>
      <x:c r="D7" s="33" t="str">
        <x:v>air source custody</x:v>
      </x:c>
      <x:c r="E7" s="33" t="str">
        <x:v>terrain source custody</x:v>
      </x:c>
      <x:c r="F7" s="33" t="str">
        <x:v>within source only</x:v>
      </x:c>
      <x:c r="G7" s="33" t="n">
        <x:v>0</x:v>
      </x:c>
      <x:c r="H7" s="33" t="n">
        <x:v>0</x:v>
      </x:c>
      <x:c r="I7" s="33" t="n">
        <x:v>0</x:v>
      </x:c>
      <x:c r="J7" s="33" t="str">
        <x:v>source manifest</x:v>
      </x:c>
      <x:c r="K7" s="33" t="str">
        <x:v>complete governed load</x:v>
      </x:c>
      <x:c r="L7" s="35" t="str">
        <x:f>IF(AND(I7=0,H7=0,OR(G7=0,B7="S8")),"PASS","FAIL")</x:f>
        <x:v>PASS</x:v>
      </x:c>
    </x:row>
    <x:row r="8">
      <x:c r="B8" s="33" t="str">
        <x:v>S1</x:v>
      </x:c>
      <x:c r="C8" s="33" t="str">
        <x:v>Mode accepts payload</x:v>
      </x:c>
      <x:c r="D8" s="33" t="str">
        <x:v>air loading authority</x:v>
      </x:c>
      <x:c r="E8" s="33" t="str">
        <x:v>terrain loading authority</x:v>
      </x:c>
      <x:c r="F8" s="33" t="str">
        <x:v>inside own mode</x:v>
      </x:c>
      <x:c r="G8" s="33" t="n">
        <x:v>0</x:v>
      </x:c>
      <x:c r="H8" s="33" t="n">
        <x:v>0</x:v>
      </x:c>
      <x:c r="I8" s="33" t="n">
        <x:v>0</x:v>
      </x:c>
      <x:c r="J8" s="33" t="str">
        <x:v>custody transfer</x:v>
      </x:c>
      <x:c r="K8" s="33" t="str">
        <x:v>mass, hazard and position close</x:v>
      </x:c>
      <x:c r="L8" s="35" t="str">
        <x:f>IF(AND(I8=0,H8=0,OR(G8=0,B8="S8")),"PASS","FAIL")</x:f>
        <x:v>PASS</x:v>
      </x:c>
    </x:row>
    <x:row r="9">
      <x:c r="B9" s="33" t="str">
        <x:v>S2</x:v>
      </x:c>
      <x:c r="C9" s="33" t="str">
        <x:v>Technical departure release</x:v>
      </x:c>
      <x:c r="D9" s="33" t="str">
        <x:v>airworthiness authority</x:v>
      </x:c>
      <x:c r="E9" s="33" t="str">
        <x:v>terrain technical authority</x:v>
      </x:c>
      <x:c r="F9" s="33" t="str">
        <x:v>restrained</x:v>
      </x:c>
      <x:c r="G9" s="33" t="n">
        <x:v>0</x:v>
      </x:c>
      <x:c r="H9" s="33" t="n">
        <x:v>0</x:v>
      </x:c>
      <x:c r="I9" s="33" t="n">
        <x:v>0</x:v>
      </x:c>
      <x:c r="J9" s="33" t="str">
        <x:v>technical release</x:v>
      </x:c>
      <x:c r="K9" s="33" t="str">
        <x:v>vehicle, crew and route released</x:v>
      </x:c>
      <x:c r="L9" s="35" t="str">
        <x:f>IF(AND(I9=0,H9=0,OR(G9=0,B9="S8")),"PASS","FAIL")</x:f>
        <x:v>PASS</x:v>
      </x:c>
    </x:row>
    <x:row r="10">
      <x:c r="B10" s="33" t="str">
        <x:v>S3</x:v>
      </x:c>
      <x:c r="C10" s="33" t="str">
        <x:v>Independent transit</x:v>
      </x:c>
      <x:c r="D10" s="33" t="str">
        <x:v>air mission commander</x:v>
      </x:c>
      <x:c r="E10" s="33" t="str">
        <x:v>terrain convoy commander</x:v>
      </x:c>
      <x:c r="F10" s="33" t="str">
        <x:v>no cross-mode transfer</x:v>
      </x:c>
      <x:c r="G10" s="33" t="n">
        <x:v>0</x:v>
      </x:c>
      <x:c r="H10" s="33" t="n">
        <x:v>0</x:v>
      </x:c>
      <x:c r="I10" s="33" t="n">
        <x:v>0</x:v>
      </x:c>
      <x:c r="J10" s="33" t="str">
        <x:v>mission state</x:v>
      </x:c>
      <x:c r="K10" s="33" t="str">
        <x:v>mode reaches own receiver</x:v>
      </x:c>
      <x:c r="L10" s="35" t="str">
        <x:f>IF(AND(I10=0,H10=0,OR(G10=0,B10="S8")),"PASS","FAIL")</x:f>
        <x:v>PASS</x:v>
      </x:c>
    </x:row>
    <x:row r="11">
      <x:c r="B11" s="33" t="str">
        <x:v>S4</x:v>
      </x:c>
      <x:c r="C11" s="33" t="str">
        <x:v>Receiver zone controlled</x:v>
      </x:c>
      <x:c r="D11" s="33" t="str">
        <x:v>air receiver control</x:v>
      </x:c>
      <x:c r="E11" s="33" t="str">
        <x:v>terrain receiver control</x:v>
      </x:c>
      <x:c r="F11" s="33" t="str">
        <x:v>within own zone</x:v>
      </x:c>
      <x:c r="G11" s="33" t="n">
        <x:v>0</x:v>
      </x:c>
      <x:c r="H11" s="33" t="n">
        <x:v>0</x:v>
      </x:c>
      <x:c r="I11" s="33" t="n">
        <x:v>0</x:v>
      </x:c>
      <x:c r="J11" s="33" t="str">
        <x:v>site acceptance</x:v>
      </x:c>
      <x:c r="K11" s="33" t="str">
        <x:v>bearing, exclusion and black start</x:v>
      </x:c>
      <x:c r="L11" s="35" t="str">
        <x:f>IF(AND(I11=0,H11=0,OR(G11=0,B11="S8")),"PASS","FAIL")</x:f>
        <x:v>PASS</x:v>
      </x:c>
    </x:row>
    <x:row r="12">
      <x:c r="B12" s="33" t="str">
        <x:v>S5</x:v>
      </x:c>
      <x:c r="C12" s="33" t="str">
        <x:v>Technical unload complete</x:v>
      </x:c>
      <x:c r="D12" s="33" t="str">
        <x:v>air transfer authority</x:v>
      </x:c>
      <x:c r="E12" s="33" t="str">
        <x:v>terrain unload authority</x:v>
      </x:c>
      <x:c r="F12" s="33" t="str">
        <x:v>within own cell</x:v>
      </x:c>
      <x:c r="G12" s="33" t="n">
        <x:v>0</x:v>
      </x:c>
      <x:c r="H12" s="33" t="n">
        <x:v>0</x:v>
      </x:c>
      <x:c r="I12" s="33" t="n">
        <x:v>0</x:v>
      </x:c>
      <x:c r="J12" s="33" t="str">
        <x:v>unload reconciliation</x:v>
      </x:c>
      <x:c r="K12" s="33" t="str">
        <x:v>serialized positions accounted</x:v>
      </x:c>
      <x:c r="L12" s="35" t="str">
        <x:f>IF(AND(I12=0,H12=0,OR(G12=0,B12="S8")),"PASS","FAIL")</x:f>
        <x:v>PASS</x:v>
      </x:c>
    </x:row>
    <x:row r="13">
      <x:c r="B13" s="33" t="str">
        <x:v>S6</x:v>
      </x:c>
      <x:c r="C13" s="33" t="str">
        <x:v>Service assay complete</x:v>
      </x:c>
      <x:c r="D13" s="33" t="str">
        <x:v>air assay chain</x:v>
      </x:c>
      <x:c r="E13" s="33" t="str">
        <x:v>terrain assay chain</x:v>
      </x:c>
      <x:c r="F13" s="33" t="str">
        <x:v>inside own cell</x:v>
      </x:c>
      <x:c r="G13" s="33" t="n">
        <x:v>0</x:v>
      </x:c>
      <x:c r="H13" s="33" t="n">
        <x:v>0</x:v>
      </x:c>
      <x:c r="I13" s="33" t="n">
        <x:v>0</x:v>
      </x:c>
      <x:c r="J13" s="33" t="str">
        <x:v>service assay</x:v>
      </x:c>
      <x:c r="K13" s="33" t="str">
        <x:v>power, water, cooling, medical pass</x:v>
      </x:c>
      <x:c r="L13" s="35" t="str">
        <x:f>IF(AND(I13=0,H13=0,OR(G13=0,B13="S8")),"PASS","FAIL")</x:f>
        <x:v>PASS</x:v>
      </x:c>
    </x:row>
    <x:row r="14">
      <x:c r="B14" s="33" t="str">
        <x:v>S7</x:v>
      </x:c>
      <x:c r="C14" s="33" t="str">
        <x:v>Civil public release</x:v>
      </x:c>
      <x:c r="D14" s="33" t="str">
        <x:v>air civil-release officer</x:v>
      </x:c>
      <x:c r="E14" s="33" t="str">
        <x:v>terrain civil-release officer</x:v>
      </x:c>
      <x:c r="F14" s="33" t="str">
        <x:v>public distribution</x:v>
      </x:c>
      <x:c r="G14" s="33" t="n">
        <x:v>0</x:v>
      </x:c>
      <x:c r="H14" s="33" t="n">
        <x:v>0</x:v>
      </x:c>
      <x:c r="I14" s="33" t="n">
        <x:v>0</x:v>
      </x:c>
      <x:c r="J14" s="33" t="str">
        <x:v>civil acceptance</x:v>
      </x:c>
      <x:c r="K14" s="33" t="str">
        <x:v>independent public effect</x:v>
      </x:c>
      <x:c r="L14" s="35" t="str">
        <x:f>IF(AND(I14=0,H14=0,OR(G14=0,B14="S8")),"PASS","FAIL")</x:f>
        <x:v>PASS</x:v>
      </x:c>
    </x:row>
    <x:row r="15">
      <x:c r="B15" s="33" t="str">
        <x:v>S8</x:v>
      </x:c>
      <x:c r="C15" s="33" t="str">
        <x:v>Optional post-release federation</x:v>
      </x:c>
      <x:c r="D15" s="33" t="str">
        <x:v>joint service coordinator</x:v>
      </x:c>
      <x:c r="E15" s="33" t="str">
        <x:v>joint service coordinator</x:v>
      </x:c>
      <x:c r="F15" s="33" t="str">
        <x:v>optional exchange</x:v>
      </x:c>
      <x:c r="G15" s="33" t="n">
        <x:v>1</x:v>
      </x:c>
      <x:c r="H15" s="33" t="n">
        <x:v>0</x:v>
      </x:c>
      <x:c r="I15" s="33" t="n">
        <x:v>0</x:v>
      </x:c>
      <x:c r="J15" s="33" t="str">
        <x:v>cross-tie record</x:v>
      </x:c>
      <x:c r="K15" s="33" t="str">
        <x:v>no service depends on tie</x:v>
      </x:c>
      <x:c r="L15" s="35" t="str">
        <x:f>IF(AND(I15=0,H15=0,OR(G15=0,B15="S8")),"PASS","FAIL")</x:f>
        <x:v>PASS</x:v>
      </x:c>
    </x:row>
    <x:row r="16">
      <x:c r="B16" s="39" t="str">
        <x:v>S9</x:v>
      </x:c>
      <x:c r="C16" s="39" t="str">
        <x:v>Return, reset and reconstitution</x:v>
      </x:c>
      <x:c r="D16" s="39" t="str">
        <x:v>air reset authority</x:v>
      </x:c>
      <x:c r="E16" s="39" t="str">
        <x:v>terrain reset authority</x:v>
      </x:c>
      <x:c r="F16" s="39" t="str">
        <x:v>reverse logistics</x:v>
      </x:c>
      <x:c r="G16" s="39" t="n">
        <x:v>0</x:v>
      </x:c>
      <x:c r="H16" s="39" t="n">
        <x:v>0</x:v>
      </x:c>
      <x:c r="I16" s="39" t="n">
        <x:v>0</x:v>
      </x:c>
      <x:c r="J16" s="39" t="str">
        <x:v>reset certificate</x:v>
      </x:c>
      <x:c r="K16" s="39" t="str">
        <x:v>certified load state &lt;=168 h</x:v>
      </x:c>
      <x:c r="L16" s="40" t="str">
        <x:f>IF(AND(I16=0,H16=0,OR(G16=0,B16="S8")),"PASS","FAIL")</x:f>
        <x:v>PASS</x:v>
      </x:c>
    </x:row>
    <x:row r="17"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</x:row>
    <x:row r="18"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</x:row>
    <x:row r="19">
      <x:c r="B19" s="72" t="str">
        <x:v>Binding rule</x:v>
      </x:c>
      <x:c r="C19" s="73" t="str">
        <x:v>Binding rule</x:v>
      </x:c>
      <x:c r="D19" s="73" t="str">
        <x:v>Binding rule</x:v>
      </x:c>
      <x:c r="E19" s="73" t="str">
        <x:v>Binding rule</x:v>
      </x:c>
      <x:c r="F19" s="73" t="str">
        <x:v>Binding rule</x:v>
      </x:c>
      <x:c r="G19" s="73" t="str">
        <x:v>Binding rule</x:v>
      </x:c>
      <x:c r="H19" s="73" t="str">
        <x:v>Binding rule</x:v>
      </x:c>
      <x:c r="I19" s="73" t="str">
        <x:v>Binding rule</x:v>
      </x:c>
      <x:c r="J19" s="73" t="str">
        <x:v>Binding rule</x:v>
      </x:c>
      <x:c r="K19" s="73" t="str">
        <x:v>Binding rule</x:v>
      </x:c>
      <x:c r="L19" s="74" t="str">
        <x:v>Binding rule</x:v>
      </x:c>
    </x:row>
    <x:row r="20">
      <x:c r="B20" s="82" t="str">
        <x:v>Fail-open</x:v>
      </x:c>
      <x:c r="C20" s="50" t="str">
        <x:v>The cross-tie is useful only after S7. Removing it cannot delay, prevent or revoke either mode's public-service release.</x:v>
      </x:c>
      <x:c r="D20" s="50"/>
      <x:c r="E20" s="50"/>
      <x:c r="F20" s="50"/>
      <x:c r="G20" s="50"/>
      <x:c r="H20" s="50"/>
      <x:c r="I20" s="50"/>
      <x:c r="J20" s="50"/>
      <x:c r="K20" s="50"/>
      <x:c r="L20" s="50"/>
    </x:row>
    <x:row r="21">
      <x:c r="B21" s="83" t="str">
        <x:v>No authority borrowing</x:v>
      </x:c>
      <x:c r="C21" s="33" t="str">
        <x:v>A technical release, assay or civil acceptance signed for one mode cannot release the other mode.</x:v>
      </x:c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B22" s="83" t="str">
        <x:v>No payload borrowing</x:v>
      </x:c>
      <x:c r="C22" s="33" t="str">
        <x:v>One incomplete service cell cannot become complete by taking positions from the other mode before release.</x:v>
      </x:c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B23" s="84" t="str">
        <x:v>No energy borrowing</x:v>
      </x:c>
      <x:c r="C23" s="53" t="str">
        <x:v>Each mode carries its own transit, unload, black-start and 72-hour receiver energy. Cross-mode power is post-release surplus only.</x:v>
      </x:c>
      <x:c r="D23" s="53"/>
      <x:c r="E23" s="53"/>
      <x:c r="F23" s="53"/>
      <x:c r="G23" s="53"/>
      <x:c r="H23" s="53"/>
      <x:c r="I23" s="53"/>
      <x:c r="J23" s="53"/>
      <x:c r="K23" s="53"/>
      <x:c r="L23" s="53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</x:row>
  </x:sheetData>
  <x:mergeCells>
    <x:mergeCell ref="B19:L19"/>
  </x:mergeCells>
  <x:conditionalFormatting sqref="L7:L16">
    <x:cfRule type="containsText" dxfId="18" priority="1" operator="containsText" text="FAIL"/>
    <x:cfRule type="containsText" dxfId="19" priority="2" operator="containsText" text="DIVERGES"/>
    <x:cfRule type="containsText" dxfId="20" priority="3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2" hidden="0" customWidth="1"/>
    <x:col min="4" max="4" width="17" hidden="0" customWidth="1"/>
    <x:col min="5" max="5" width="16" hidden="0" customWidth="1"/>
    <x:col min="6" max="6" width="17" hidden="0" customWidth="1"/>
    <x:col min="7" max="7" width="22" hidden="0" customWidth="1"/>
    <x:col min="8" max="8" width="14" hidden="0" customWidth="1"/>
    <x:col min="9" max="9" width="17" hidden="0" customWidth="1"/>
    <x:col min="10" max="10" width="18" hidden="0" customWidth="1"/>
    <x:col min="11" max="11" width="22" hidden="0" customWidth="1"/>
    <x:col min="12" max="12" width="12" hidden="0" customWidth="1"/>
    <x:col min="13" max="13" width="15" hidden="0" customWidth="1"/>
    <x:col min="14" max="14" width="16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26" hidden="0" customWidth="1"/>
    <x:col min="21" max="21" width="16" hidden="0" customWidth="1"/>
  </x:cols>
  <x:sheetData>
    <x:row r="2">
      <x:c r="B2" s="78" t="str">
        <x:v>Deformable-soil contact competition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</x:row>
    <x:row r="3">
      <x:c r="B3" s="79" t="str">
        <x:v>Static pressure is insufficient: dynamic loading, load imbalance and loss of one contact pod govern the selected footprint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  <x:c r="S3" s="70"/>
      <x:c r="T3" s="70"/>
      <x:c r="U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</x:row>
    <x:row r="6">
      <x:c r="B6" s="31" t="str">
        <x:v>ID</x:v>
      </x:c>
      <x:c r="C6" s="32" t="str">
        <x:v>Architecture</x:v>
      </x:c>
      <x:c r="D6" s="32" t="str">
        <x:v>Deployed area</x:v>
      </x:c>
      <x:c r="E6" s="32" t="str">
        <x:v>Pods / sectors</x:v>
      </x:c>
      <x:c r="F6" s="32" t="str">
        <x:v>Residual area</x:v>
      </x:c>
      <x:c r="G6" s="32" t="str">
        <x:v>Dynamic + imbalance pressure</x:v>
      </x:c>
      <x:c r="H6" s="32" t="str">
        <x:v>Transition</x:v>
      </x:c>
      <x:c r="I6" s="32" t="str">
        <x:v>Off-road speed</x:v>
      </x:c>
      <x:c r="J6" s="32" t="str">
        <x:v>Traction coefficient</x:v>
      </x:c>
      <x:c r="K6" s="32" t="str">
        <x:v>One-pod-out traction ratio</x:v>
      </x:c>
      <x:c r="L6" s="32" t="str">
        <x:v>Step</x:v>
      </x:c>
      <x:c r="M6" s="32" t="str">
        <x:v>Transit width</x:v>
      </x:c>
      <x:c r="N6" s="32" t="str">
        <x:v>Deployed width</x:v>
      </x:c>
      <x:c r="O6" s="32" t="str">
        <x:v>Recovery pull</x:v>
      </x:c>
      <x:c r="P6" s="32" t="str">
        <x:v>Pressure</x:v>
      </x:c>
      <x:c r="Q6" s="32" t="str">
        <x:v>Transition</x:v>
      </x:c>
      <x:c r="R6" s="32" t="str">
        <x:v>Speed</x:v>
      </x:c>
      <x:c r="S6" s="32" t="str">
        <x:v>Traction</x:v>
      </x:c>
      <x:c r="T6" s="32" t="str">
        <x:v>Obstacle / width / recovery</x:v>
      </x:c>
      <x:c r="U6" s="32" t="str">
        <x:v>System result</x:v>
      </x:c>
    </x:row>
    <x:row r="7">
      <x:c r="B7" s="33" t="str">
        <x:v>C1</x:v>
      </x:c>
      <x:c r="C7" s="33" t="str">
        <x:v>Fixed distributed tracks</x:v>
      </x:c>
      <x:c r="D7" s="80" t="n">
        <x:v>155</x:v>
      </x:c>
      <x:c r="E7" s="80" t="n">
        <x:v>12</x:v>
      </x:c>
      <x:c r="F7" s="80" t="n">
        <x:f>D7*(E7-1)/E7</x:f>
        <x:v>142.08333333333334</x:v>
      </x:c>
      <x:c r="G7" s="80" t="n">
        <x:f>'Energy Competition'!R8*9.81*Assumptions!C19*Assumptions!C20/F7</x:f>
        <x:v>56.63611446478691</x:v>
      </x:c>
      <x:c r="H7" s="80" t="n">
        <x:v>0</x:v>
      </x:c>
      <x:c r="I7" s="80" t="n">
        <x:v>18</x:v>
      </x:c>
      <x:c r="J7" s="80" t="n">
        <x:v>0.55</x:v>
      </x:c>
      <x:c r="K7" s="80" t="n">
        <x:v>1.8005952380952384</x:v>
      </x:c>
      <x:c r="L7" s="80" t="n">
        <x:v>1.2</x:v>
      </x:c>
      <x:c r="M7" s="80" t="n">
        <x:v>9.5</x:v>
      </x:c>
      <x:c r="N7" s="80" t="n">
        <x:v>9.5</x:v>
      </x:c>
      <x:c r="O7" s="80" t="n">
        <x:v>1.35</x:v>
      </x:c>
      <x:c r="P7" s="33" t="str">
        <x:f>IF(G7&lt;=Assumptions!C18,"PASS","FAIL")</x:f>
        <x:v>FAIL</x:v>
      </x:c>
      <x:c r="Q7" s="33" t="str">
        <x:f>IF(H7&lt;=Assumptions!C24,"PASS","FAIL")</x:f>
        <x:v>PASS</x:v>
      </x:c>
      <x:c r="R7" s="33" t="str">
        <x:f>IF(I7&gt;=Assumptions!C25,"PASS","FAIL")</x:f>
        <x:v>PASS</x:v>
      </x:c>
      <x:c r="S7" s="33" t="str">
        <x:f>IF(K7&gt;=Assumptions!C26,"PASS","FAIL")</x:f>
        <x:v>PASS</x:v>
      </x:c>
      <x:c r="T7" s="33" t="str">
        <x:f>IF(AND(L7&gt;=Assumptions!C27,M7&lt;=Assumptions!C28,N7&lt;=Assumptions!C28,O7&gt;=1.2),"PASS","FAIL")</x:f>
        <x:v>FAIL</x:v>
      </x:c>
      <x:c r="U7" s="35" t="str">
        <x:f>IF(AND(P7="PASS",Q7="PASS",R7="PASS",S7="PASS",T7="PASS"),"PASS","FAIL")</x:f>
        <x:v>FAIL</x:v>
      </x:c>
    </x:row>
    <x:row r="8">
      <x:c r="B8" s="33" t="str">
        <x:v>C2</x:v>
      </x:c>
      <x:c r="C8" s="33" t="str">
        <x:v>Hydraulic load-spreading outriggers</x:v>
      </x:c>
      <x:c r="D8" s="80" t="n">
        <x:v>280</x:v>
      </x:c>
      <x:c r="E8" s="80" t="n">
        <x:v>8</x:v>
      </x:c>
      <x:c r="F8" s="80" t="n">
        <x:f>D8*(E8-1)/E8</x:f>
        <x:v>245</x:v>
      </x:c>
      <x:c r="G8" s="80" t="n">
        <x:f>'Energy Competition'!R8*9.81*Assumptions!C19*Assumptions!C20/F8</x:f>
        <x:v>32.84509359267404</x:v>
      </x:c>
      <x:c r="H8" s="80" t="n">
        <x:v>1.5</x:v>
      </x:c>
      <x:c r="I8" s="80" t="n">
        <x:v>5</x:v>
      </x:c>
      <x:c r="J8" s="80" t="n">
        <x:v>0.5</x:v>
      </x:c>
      <x:c r="K8" s="80" t="n">
        <x:v>1.5624999999999998</x:v>
      </x:c>
      <x:c r="L8" s="80" t="n">
        <x:v>1</x:v>
      </x:c>
      <x:c r="M8" s="80" t="n">
        <x:v>9.5</x:v>
      </x:c>
      <x:c r="N8" s="80" t="n">
        <x:v>12</x:v>
      </x:c>
      <x:c r="O8" s="80" t="n">
        <x:v>1.4</x:v>
      </x:c>
      <x:c r="P8" s="33" t="str">
        <x:f>IF(G8&lt;=Assumptions!C18,"PASS","FAIL")</x:f>
        <x:v>PASS</x:v>
      </x:c>
      <x:c r="Q8" s="33" t="str">
        <x:f>IF(H8&lt;=Assumptions!C24,"PASS","FAIL")</x:f>
        <x:v>FAIL</x:v>
      </x:c>
      <x:c r="R8" s="33" t="str">
        <x:f>IF(I8&gt;=Assumptions!C25,"PASS","FAIL")</x:f>
        <x:v>FAIL</x:v>
      </x:c>
      <x:c r="S8" s="33" t="str">
        <x:f>IF(K8&gt;=Assumptions!C26,"PASS","FAIL")</x:f>
        <x:v>PASS</x:v>
      </x:c>
      <x:c r="T8" s="33" t="str">
        <x:f>IF(AND(L8&gt;=Assumptions!C27,M8&lt;=Assumptions!C28,N8&lt;=Assumptions!C28,O8&gt;=1.2),"PASS","FAIL")</x:f>
        <x:v>FAIL</x:v>
      </x:c>
      <x:c r="U8" s="35" t="str">
        <x:f>IF(AND(P8="PASS",Q8="PASS",R8="PASS",S8="PASS",T8="PASS"),"PASS","FAIL")</x:f>
        <x:v>FAIL</x:v>
      </x:c>
    </x:row>
    <x:row r="9">
      <x:c r="B9" s="33" t="str">
        <x:v>C3</x:v>
      </x:c>
      <x:c r="C9" s="33" t="str">
        <x:v>Walking shoe array</x:v>
      </x:c>
      <x:c r="D9" s="80" t="n">
        <x:v>300</x:v>
      </x:c>
      <x:c r="E9" s="80" t="n">
        <x:v>16</x:v>
      </x:c>
      <x:c r="F9" s="80" t="n">
        <x:f>D9*(E9-1)/E9</x:f>
        <x:v>281.25</x:v>
      </x:c>
      <x:c r="G9" s="80" t="n">
        <x:f>'Energy Competition'!R8*9.81*Assumptions!C19*Assumptions!C20/F9</x:f>
        <x:v>28.61172597406272</x:v>
      </x:c>
      <x:c r="H9" s="80" t="n">
        <x:v>0.75</x:v>
      </x:c>
      <x:c r="I9" s="80" t="n">
        <x:v>6</x:v>
      </x:c>
      <x:c r="J9" s="80" t="n">
        <x:v>0.65</x:v>
      </x:c>
      <x:c r="K9" s="80" t="n">
        <x:v>2.1763392857142856</x:v>
      </x:c>
      <x:c r="L9" s="80" t="n">
        <x:v>2.5</x:v>
      </x:c>
      <x:c r="M9" s="80" t="n">
        <x:v>11</x:v>
      </x:c>
      <x:c r="N9" s="80" t="n">
        <x:v>11</x:v>
      </x:c>
      <x:c r="O9" s="80" t="n">
        <x:v>1.5</x:v>
      </x:c>
      <x:c r="P9" s="33" t="str">
        <x:f>IF(G9&lt;=Assumptions!C18,"PASS","FAIL")</x:f>
        <x:v>PASS</x:v>
      </x:c>
      <x:c r="Q9" s="33" t="str">
        <x:f>IF(H9&lt;=Assumptions!C24,"PASS","FAIL")</x:f>
        <x:v>FAIL</x:v>
      </x:c>
      <x:c r="R9" s="33" t="str">
        <x:f>IF(I9&gt;=Assumptions!C25,"PASS","FAIL")</x:f>
        <x:v>FAIL</x:v>
      </x:c>
      <x:c r="S9" s="33" t="str">
        <x:f>IF(K9&gt;=Assumptions!C26,"PASS","FAIL")</x:f>
        <x:v>PASS</x:v>
      </x:c>
      <x:c r="T9" s="33" t="str">
        <x:f>IF(AND(L9&gt;=Assumptions!C27,M9&lt;=Assumptions!C28,N9&lt;=Assumptions!C28,O9&gt;=1.2),"PASS","FAIL")</x:f>
        <x:v>PASS</x:v>
      </x:c>
      <x:c r="U9" s="35" t="str">
        <x:f>IF(AND(P9="PASS",Q9="PASS",R9="PASS",S9="PASS",T9="PASS"),"PASS","FAIL")</x:f>
        <x:v>FAIL</x:v>
      </x:c>
    </x:row>
    <x:row r="10">
      <x:c r="B10" s="33" t="str">
        <x:v>C4</x:v>
      </x:c>
      <x:c r="C10" s="33" t="str">
        <x:v>Air-cushion assist</x:v>
      </x:c>
      <x:c r="D10" s="80" t="n">
        <x:v>360</x:v>
      </x:c>
      <x:c r="E10" s="80" t="n">
        <x:v>8</x:v>
      </x:c>
      <x:c r="F10" s="80" t="n">
        <x:f>D10*(E10-1)/E10</x:f>
        <x:v>315</x:v>
      </x:c>
      <x:c r="G10" s="80" t="n">
        <x:f>'Energy Competition'!R8*9.81*Assumptions!C19*Assumptions!C20/F10</x:f>
        <x:v>25.54618390541314</x:v>
      </x:c>
      <x:c r="H10" s="80" t="n">
        <x:v>0.2</x:v>
      </x:c>
      <x:c r="I10" s="80" t="n">
        <x:v>20</x:v>
      </x:c>
      <x:c r="J10" s="80" t="n">
        <x:v>0.18</x:v>
      </x:c>
      <x:c r="K10" s="80" t="n">
        <x:v>0.5625</x:v>
      </x:c>
      <x:c r="L10" s="80" t="n">
        <x:v>0.5</x:v>
      </x:c>
      <x:c r="M10" s="80" t="n">
        <x:v>9.5</x:v>
      </x:c>
      <x:c r="N10" s="80" t="n">
        <x:v>14</x:v>
      </x:c>
      <x:c r="O10" s="80" t="n">
        <x:v>0.8</x:v>
      </x:c>
      <x:c r="P10" s="33" t="str">
        <x:f>IF(G10&lt;=Assumptions!C18,"PASS","FAIL")</x:f>
        <x:v>PASS</x:v>
      </x:c>
      <x:c r="Q10" s="33" t="str">
        <x:f>IF(H10&lt;=Assumptions!C24,"PASS","FAIL")</x:f>
        <x:v>PASS</x:v>
      </x:c>
      <x:c r="R10" s="33" t="str">
        <x:f>IF(I10&gt;=Assumptions!C25,"PASS","FAIL")</x:f>
        <x:v>PASS</x:v>
      </x:c>
      <x:c r="S10" s="33" t="str">
        <x:f>IF(K10&gt;=Assumptions!C26,"PASS","FAIL")</x:f>
        <x:v>FAIL</x:v>
      </x:c>
      <x:c r="T10" s="33" t="str">
        <x:f>IF(AND(L10&gt;=Assumptions!C27,M10&lt;=Assumptions!C28,N10&lt;=Assumptions!C28,O10&gt;=1.2),"PASS","FAIL")</x:f>
        <x:v>FAIL</x:v>
      </x:c>
      <x:c r="U10" s="35" t="str">
        <x:f>IF(AND(P10="PASS",Q10="PASS",R10="PASS",S10="PASS",T10="PASS"),"PASS","FAIL")</x:f>
        <x:v>FAIL</x:v>
      </x:c>
    </x:row>
    <x:row r="11">
      <x:c r="B11" s="39" t="str">
        <x:v>C5</x:v>
      </x:c>
      <x:c r="C11" s="39" t="str">
        <x:v>TAP-255 telescoping adaptive pods</x:v>
      </x:c>
      <x:c r="D11" s="81" t="n">
        <x:v>255</x:v>
      </x:c>
      <x:c r="E11" s="81" t="n">
        <x:v>12</x:v>
      </x:c>
      <x:c r="F11" s="81" t="n">
        <x:f>D11*(E11-1)/E11</x:f>
        <x:v>233.75</x:v>
      </x:c>
      <x:c r="G11" s="81" t="n">
        <x:f>'Energy Competition'!R8*9.81*Assumptions!C19*Assumptions!C20/F11</x:f>
        <x:v>34.425873498203806</x:v>
      </x:c>
      <x:c r="H11" s="81" t="n">
        <x:v>0.42</x:v>
      </x:c>
      <x:c r="I11" s="81" t="n">
        <x:v>18</x:v>
      </x:c>
      <x:c r="J11" s="81" t="n">
        <x:v>0.58</x:v>
      </x:c>
      <x:c r="K11" s="81" t="n">
        <x:v>1.8988095238095235</x:v>
      </x:c>
      <x:c r="L11" s="81" t="n">
        <x:v>1.8</x:v>
      </x:c>
      <x:c r="M11" s="81" t="n">
        <x:v>9.5</x:v>
      </x:c>
      <x:c r="N11" s="81" t="n">
        <x:v>11.8</x:v>
      </x:c>
      <x:c r="O11" s="81" t="n">
        <x:v>1.4</x:v>
      </x:c>
      <x:c r="P11" s="39" t="str">
        <x:f>IF(G11&lt;=Assumptions!C18,"PASS","FAIL")</x:f>
        <x:v>PASS</x:v>
      </x:c>
      <x:c r="Q11" s="39" t="str">
        <x:f>IF(H11&lt;=Assumptions!C24,"PASS","FAIL")</x:f>
        <x:v>PASS</x:v>
      </x:c>
      <x:c r="R11" s="39" t="str">
        <x:f>IF(I11&gt;=Assumptions!C25,"PASS","FAIL")</x:f>
        <x:v>PASS</x:v>
      </x:c>
      <x:c r="S11" s="39" t="str">
        <x:f>IF(K11&gt;=Assumptions!C26,"PASS","FAIL")</x:f>
        <x:v>PASS</x:v>
      </x:c>
      <x:c r="T11" s="39" t="str">
        <x:f>IF(AND(L11&gt;=Assumptions!C27,M11&lt;=Assumptions!C28,N11&lt;=Assumptions!C28,O11&gt;=1.2),"PASS","FAIL")</x:f>
        <x:v>PASS</x:v>
      </x:c>
      <x:c r="U11" s="40" t="str">
        <x:f>IF(AND(P11="PASS",Q11="PASS",R11="PASS",S11="PASS",T11="PASS"),"PASS","FAIL")</x:f>
        <x:v>PASS</x:v>
      </x:c>
    </x:row>
    <x:row r="12"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</x:row>
    <x:row r="13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</x:row>
    <x:row r="14">
      <x:c r="B14" s="72" t="str">
        <x:v>Why Pass 84 is superseded</x:v>
      </x:c>
      <x:c r="C14" s="73" t="str">
        <x:v>Why Pass 84 is superseded</x:v>
      </x:c>
      <x:c r="D14" s="73" t="str">
        <x:v>Why Pass 84 is superseded</x:v>
      </x:c>
      <x:c r="E14" s="73" t="str">
        <x:v>Why Pass 84 is superseded</x:v>
      </x:c>
      <x:c r="F14" s="73" t="str">
        <x:v>Why Pass 84 is superseded</x:v>
      </x:c>
      <x:c r="G14" s="73" t="str">
        <x:v>Why Pass 84 is superseded</x:v>
      </x:c>
      <x:c r="H14" s="73" t="str">
        <x:v>Why Pass 84 is superseded</x:v>
      </x:c>
      <x:c r="I14" s="73" t="str">
        <x:v>Why Pass 84 is superseded</x:v>
      </x:c>
      <x:c r="J14" s="73" t="str">
        <x:v>Why Pass 84 is superseded</x:v>
      </x:c>
      <x:c r="K14" s="73" t="str">
        <x:v>Why Pass 84 is superseded</x:v>
      </x:c>
      <x:c r="L14" s="73" t="str">
        <x:v>Why Pass 84 is superseded</x:v>
      </x:c>
      <x:c r="M14" s="73" t="str">
        <x:v>Why Pass 84 is superseded</x:v>
      </x:c>
      <x:c r="N14" s="73" t="str">
        <x:v>Why Pass 84 is superseded</x:v>
      </x:c>
      <x:c r="O14" s="73" t="str">
        <x:v>Why Pass 84 is superseded</x:v>
      </x:c>
      <x:c r="P14" s="73" t="str">
        <x:v>Why Pass 84 is superseded</x:v>
      </x:c>
      <x:c r="Q14" s="73" t="str">
        <x:v>Why Pass 84 is superseded</x:v>
      </x:c>
      <x:c r="R14" s="73" t="str">
        <x:v>Why Pass 84 is superseded</x:v>
      </x:c>
      <x:c r="S14" s="73" t="str">
        <x:v>Why Pass 84 is superseded</x:v>
      </x:c>
      <x:c r="T14" s="73" t="str">
        <x:v>Why Pass 84 is superseded</x:v>
      </x:c>
      <x:c r="U14" s="74" t="str">
        <x:v>Why Pass 84 is superseded</x:v>
      </x:c>
    </x:row>
    <x:row r="15">
      <x:c r="B15" s="82" t="str">
        <x:v>Pass 84 state</x:v>
      </x:c>
      <x:c r="C15" s="50" t="str">
        <x:v>502 t rated gross over 155 m2 produced 31.77 kPa under a static, all-pods-sharing case.</x:v>
      </x:c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</x:row>
    <x:row r="16">
      <x:c r="B16" s="83" t="str">
        <x:v>Pass 85 state</x:v>
      </x:c>
      <x:c r="C16" s="33" t="str">
        <x:v>The selected energy plant raises rated gross. A 1.15 dynamic factor, 1.10 load imbalance and loss of one of twelve pods require at least 250.8 m2.</x:v>
      </x:c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>
      <x:c r="B17" s="83" t="str">
        <x:v>Reference target</x:v>
      </x:c>
      <x:c r="C17" s="33" t="str">
        <x:v>TAP-255 supplies 255 m2 after deployment, 233.75 m2 after one pod loss and 34.43 kPa in the compounded case.</x:v>
      </x:c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>
      <x:c r="B18" s="83" t="str">
        <x:v>Mechanism boundary</x:v>
      </x:c>
      <x:c r="C18" s="33" t="str">
        <x:v>Twelve independently steerable cassettes extend longitudinal contact and limited lateral shoes while remaining inside an 11.8 m deployed route envelope.</x:v>
      </x:c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>
      <x:c r="B19" s="84" t="str">
        <x:v>Admission</x:v>
      </x:c>
      <x:c r="C19" s="53" t="str">
        <x:v>The contact geometry is a requirements reference. Deformable-soil, debris, repeated-pass, steering and field-replacement evidence remain open.</x:v>
      </x:c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</x:row>
  </x:sheetData>
  <x:mergeCells>
    <x:mergeCell ref="B14:U14"/>
  </x:mergeCells>
  <x:conditionalFormatting sqref="P7:U11">
    <x:cfRule type="containsText" dxfId="3" priority="1" operator="containsText" text="FAIL"/>
    <x:cfRule type="containsText" dxfId="4" priority="2" operator="containsText" text="DIVERGES"/>
    <x:cfRule type="containsText" dxfId="5" priority="3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2" hidden="0" customWidth="1"/>
    <x:col min="4" max="4" width="21" hidden="0" customWidth="1"/>
    <x:col min="5" max="5" width="22" hidden="0" customWidth="1"/>
    <x:col min="6" max="6" width="20" hidden="0" customWidth="1"/>
    <x:col min="7" max="7" width="11" hidden="0" customWidth="1"/>
    <x:col min="8" max="8" width="11" hidden="0" customWidth="1"/>
    <x:col min="9" max="9" width="19" hidden="0" customWidth="1"/>
    <x:col min="10" max="10" width="19" hidden="0" customWidth="1"/>
    <x:col min="11" max="11" width="20" hidden="0" customWidth="1"/>
    <x:col min="12" max="12" width="16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17" hidden="0" customWidth="1"/>
    <x:col min="19" max="19" width="17" hidden="0" customWidth="1"/>
    <x:col min="20" max="20" width="18" hidden="0" customWidth="1"/>
    <x:col min="21" max="21" width="18" hidden="0" customWidth="1"/>
    <x:col min="22" max="22" width="22" hidden="0" customWidth="1"/>
    <x:col min="23" max="23" width="36" hidden="0" customWidth="1"/>
    <x:col min="24" max="24" width="16" hidden="0" customWidth="1"/>
  </x:cols>
  <x:sheetData>
    <x:row r="2">
      <x:c r="B2" s="78" t="str">
        <x:v>SAT-170 complete-system energy competition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</x:row>
    <x:row r="3">
      <x:c r="B3" s="79" t="str">
        <x:v>Energy mass changes vehicle mass, which changes route energy; the winning subsystem must also preserve mode ancestry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  <x:c r="S3" s="70"/>
      <x:c r="T3" s="70"/>
      <x:c r="U3" s="70"/>
      <x:c r="V3" s="70"/>
      <x:c r="W3" s="70"/>
      <x:c r="X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</x:row>
    <x:row r="6">
      <x:c r="B6" s="31" t="str">
        <x:v>ID</x:v>
      </x:c>
      <x:c r="C6" s="32" t="str">
        <x:v>Architecture</x:v>
      </x:c>
      <x:c r="D6" s="32" t="str">
        <x:v>Usable consumable energy</x:v>
      </x:c>
      <x:c r="E6" s="32" t="str">
        <x:v>Fixed plant / containment</x:v>
      </x:c>
      <x:c r="F6" s="32" t="str">
        <x:v>Energy-volume density</x:v>
      </x:c>
      <x:c r="G6" s="32" t="str">
        <x:v>Start</x:v>
      </x:c>
      <x:c r="H6" s="32" t="str">
        <x:v>Reset</x:v>
      </x:c>
      <x:c r="I6" s="32" t="str">
        <x:v>Independent of air lineage</x:v>
      </x:c>
      <x:c r="J6" s="32" t="str">
        <x:v>Field casualty screen</x:v>
      </x:c>
      <x:c r="K6" s="32" t="str">
        <x:v>Base vehicle + payload</x:v>
      </x:c>
      <x:c r="L6" s="32" t="str">
        <x:v>Route coefficient</x:v>
      </x:c>
      <x:c r="M6" s="32" t="str">
        <x:v>Route work</x:v>
      </x:c>
      <x:c r="N6" s="32" t="str">
        <x:v>Reserve multiplier</x:v>
      </x:c>
      <x:c r="O6" s="32" t="str">
        <x:v>Feedback coefficient</x:v>
      </x:c>
      <x:c r="P6" s="32" t="str">
        <x:v>Closure denominator</x:v>
      </x:c>
      <x:c r="Q6" s="32" t="str">
        <x:v>Energy system mass</x:v>
      </x:c>
      <x:c r="R6" s="32" t="str">
        <x:v>Rated gross</x:v>
      </x:c>
      <x:c r="S6" s="32" t="str">
        <x:v>Mission energy</x:v>
      </x:c>
      <x:c r="T6" s="32" t="str">
        <x:v>Onboard energy</x:v>
      </x:c>
      <x:c r="U6" s="32" t="str">
        <x:v>Energy volume</x:v>
      </x:c>
      <x:c r="V6" s="32" t="str">
        <x:v>Required 1-pod-out contact</x:v>
      </x:c>
      <x:c r="W6" s="32" t="str">
        <x:v>Mass / volume / contact / start / reset / ancestry</x:v>
      </x:c>
      <x:c r="X6" s="32" t="str">
        <x:v>System result</x:v>
      </x:c>
    </x:row>
    <x:row r="7">
      <x:c r="B7" s="33" t="str">
        <x:v>E1</x:v>
      </x:c>
      <x:c r="C7" s="33" t="str">
        <x:v>Battery-electric</x:v>
      </x:c>
      <x:c r="D7" s="80" t="n">
        <x:v>0.25</x:v>
      </x:c>
      <x:c r="E7" s="80" t="n">
        <x:v>20</x:v>
      </x:c>
      <x:c r="F7" s="80" t="n">
        <x:v>0.35</x:v>
      </x:c>
      <x:c r="G7" s="80" t="n">
        <x:v>0.1</x:v>
      </x:c>
      <x:c r="H7" s="80" t="n">
        <x:v>150</x:v>
      </x:c>
      <x:c r="I7" s="33" t="n">
        <x:v>1</x:v>
      </x:c>
      <x:c r="J7" s="33" t="n">
        <x:v>1</x:v>
      </x:c>
      <x:c r="K7" s="33" t="n">
        <x:f>Assumptions!C10+Assumptions!C8</x:f>
        <x:v>472</x:v>
      </x:c>
      <x:c r="L7" s="33" t="n">
        <x:f>Assumptions!C15*Assumptions!C11/1000</x:f>
        <x:v>0.68</x:v>
      </x:c>
      <x:c r="M7" s="33" t="n">
        <x:f>Assumptions!C16</x:f>
        <x:v>80</x:v>
      </x:c>
      <x:c r="N7" s="33" t="n">
        <x:f>1+Assumptions!C17</x:f>
        <x:v>1.175</x:v>
      </x:c>
      <x:c r="O7" s="80" t="n">
        <x:f>IF(B7="E5",0,N7*L7/D7)</x:f>
        <x:v>3.196</x:v>
      </x:c>
      <x:c r="P7" s="80" t="n">
        <x:f>1-O7</x:f>
        <x:v>-2.196</x:v>
      </x:c>
      <x:c r="Q7" s="80" t="n">
        <x:f>IF(B7="E5",E7,IF(P7&gt;0,(E7+N7*(L7*K7+M7)/D7)/P7,9999))</x:f>
        <x:v>9999</x:v>
      </x:c>
      <x:c r="R7" s="80" t="n">
        <x:f>K7+Q7</x:f>
        <x:v>10471</x:v>
      </x:c>
      <x:c r="S7" s="80" t="n">
        <x:f>L7*R7+M7</x:f>
        <x:v>7200.280000000001</x:v>
      </x:c>
      <x:c r="T7" s="80" t="n">
        <x:f>N7*S7</x:f>
        <x:v>8460.329000000002</x:v>
      </x:c>
      <x:c r="U7" s="80" t="n">
        <x:f>IF(B7="E5",0,T7/F7)</x:f>
        <x:v>24172.36857142858</x:v>
      </x:c>
      <x:c r="V7" s="80" t="n">
        <x:f>R7*9.81*Assumptions!C19*Assumptions!C20/Assumptions!C18/Assumptions!C22</x:f>
        <x:v>4050.1229657142862</x:v>
      </x:c>
      <x:c r="W7" s="33" t="str">
        <x:f>IF(AND(Q7&lt;=200,U7&lt;=700,V7&lt;=Assumptions!C23,G7&lt;=2,H7&lt;=150,I7=1,J7=1),"PASS","FAIL")</x:f>
        <x:v>FAIL</x:v>
      </x:c>
      <x:c r="X7" s="35" t="str">
        <x:f>IF(P7&lt;=0,"DIVERGES",W7)</x:f>
        <x:v>DIVERGES</x:v>
      </x:c>
    </x:row>
    <x:row r="8">
      <x:c r="B8" s="33" t="str">
        <x:v>E2</x:v>
      </x:c>
      <x:c r="C8" s="33" t="str">
        <x:v>Modular liquid-fuel turbine-electric</x:v>
      </x:c>
      <x:c r="D8" s="80" t="n">
        <x:v>5.04</x:v>
      </x:c>
      <x:c r="E8" s="80" t="n">
        <x:v>55</x:v>
      </x:c>
      <x:c r="F8" s="80" t="n">
        <x:v>4.2</x:v>
      </x:c>
      <x:c r="G8" s="80" t="n">
        <x:v>0.5</x:v>
      </x:c>
      <x:c r="H8" s="80" t="n">
        <x:v>146</x:v>
      </x:c>
      <x:c r="I8" s="33" t="n">
        <x:v>1</x:v>
      </x:c>
      <x:c r="J8" s="33" t="n">
        <x:v>1</x:v>
      </x:c>
      <x:c r="K8" s="33" t="n">
        <x:f>Assumptions!C10+Assumptions!C8</x:f>
        <x:v>472</x:v>
      </x:c>
      <x:c r="L8" s="33" t="n">
        <x:f>Assumptions!C15*Assumptions!C11/1000</x:f>
        <x:v>0.68</x:v>
      </x:c>
      <x:c r="M8" s="33" t="n">
        <x:f>Assumptions!C16</x:f>
        <x:v>80</x:v>
      </x:c>
      <x:c r="N8" s="33" t="n">
        <x:f>1+Assumptions!C17</x:f>
        <x:v>1.175</x:v>
      </x:c>
      <x:c r="O8" s="80" t="n">
        <x:f>IF(B8="E5",0,N8*L8/D8)</x:f>
        <x:v>0.15853174603174605</x:v>
      </x:c>
      <x:c r="P8" s="80" t="n">
        <x:f>1-O8</x:f>
        <x:v>0.841468253968254</x:v>
      </x:c>
      <x:c r="Q8" s="80" t="n">
        <x:f>IF(B8="E5",E8,IF(P8&gt;0,(E8+N8*(L8*K8+M8)/D8)/P8,9999))</x:f>
        <x:v>176.45083706672955</x:v>
      </x:c>
      <x:c r="R8" s="80" t="n">
        <x:f>K8+Q8</x:f>
        <x:v>648.4508370667295</x:v>
      </x:c>
      <x:c r="S8" s="80" t="n">
        <x:f>L8*R8+M8</x:f>
        <x:v>520.9465692053761</x:v>
      </x:c>
      <x:c r="T8" s="80" t="n">
        <x:f>N8*S8</x:f>
        <x:v>612.112218816317</x:v>
      </x:c>
      <x:c r="U8" s="80" t="n">
        <x:f>IF(B8="E5",0,T8/F8)</x:f>
        <x:v>145.74100448007545</x:v>
      </x:c>
      <x:c r="V8" s="80" t="n">
        <x:f>R8*9.81*Assumptions!C19*Assumptions!C20/Assumptions!C18/Assumptions!C22</x:f>
        <x:v>250.8170783440563</x:v>
      </x:c>
      <x:c r="W8" s="33" t="str">
        <x:f>IF(AND(Q8&lt;=200,U8&lt;=700,V8&lt;=Assumptions!C23,G8&lt;=2,H8&lt;=150,I8=1,J8=1),"PASS","FAIL")</x:f>
        <x:v>PASS</x:v>
      </x:c>
      <x:c r="X8" s="35" t="str">
        <x:f>IF(P8&lt;=0,"DIVERGES",W8)</x:f>
        <x:v>PASS</x:v>
      </x:c>
    </x:row>
    <x:row r="9">
      <x:c r="B9" s="33" t="str">
        <x:v>E3</x:v>
      </x:c>
      <x:c r="C9" s="33" t="str">
        <x:v>Cryogenic hydrogen-electric</x:v>
      </x:c>
      <x:c r="D9" s="80" t="n">
        <x:v>16.5</x:v>
      </x:c>
      <x:c r="E9" s="80" t="n">
        <x:v>105</x:v>
      </x:c>
      <x:c r="F9" s="80" t="n">
        <x:v>0.9</x:v>
      </x:c>
      <x:c r="G9" s="80" t="n">
        <x:v>1</x:v>
      </x:c>
      <x:c r="H9" s="80" t="n">
        <x:v>132</x:v>
      </x:c>
      <x:c r="I9" s="33" t="n">
        <x:v>0</x:v>
      </x:c>
      <x:c r="J9" s="33" t="n">
        <x:v>0</x:v>
      </x:c>
      <x:c r="K9" s="33" t="n">
        <x:f>Assumptions!C10+Assumptions!C8</x:f>
        <x:v>472</x:v>
      </x:c>
      <x:c r="L9" s="33" t="n">
        <x:f>Assumptions!C15*Assumptions!C11/1000</x:f>
        <x:v>0.68</x:v>
      </x:c>
      <x:c r="M9" s="33" t="n">
        <x:f>Assumptions!C16</x:f>
        <x:v>80</x:v>
      </x:c>
      <x:c r="N9" s="33" t="n">
        <x:f>1+Assumptions!C17</x:f>
        <x:v>1.175</x:v>
      </x:c>
      <x:c r="O9" s="80" t="n">
        <x:f>IF(B9="E5",0,N9*L9/D9)</x:f>
        <x:v>0.048424242424242425</x:v>
      </x:c>
      <x:c r="P9" s="80" t="n">
        <x:f>1-O9</x:f>
        <x:v>0.9515757575757575</x:v>
      </x:c>
      <x:c r="Q9" s="80" t="n">
        <x:f>IF(B9="E5",E9,IF(P9&gt;0,(E9+N9*(L9*K9+M9)/D9)/P9,9999))</x:f>
        <x:v>140.34953187695052</x:v>
      </x:c>
      <x:c r="R9" s="80" t="n">
        <x:f>K9+Q9</x:f>
        <x:v>612.3495318769506</x:v>
      </x:c>
      <x:c r="S9" s="80" t="n">
        <x:f>L9*R9+M9</x:f>
        <x:v>496.3976816763264</x:v>
      </x:c>
      <x:c r="T9" s="80" t="n">
        <x:f>N9*S9</x:f>
        <x:v>583.2672759696835</x:v>
      </x:c>
      <x:c r="U9" s="80" t="n">
        <x:f>IF(B9="E5",0,T9/F9)</x:f>
        <x:v>648.0747510774261</x:v>
      </x:c>
      <x:c r="V9" s="80" t="n">
        <x:f>R9*9.81*Assumptions!C19*Assumptions!C20/Assumptions!C18/Assumptions!C22</x:f>
        <x:v>236.85329978982236</x:v>
      </x:c>
      <x:c r="W9" s="33" t="str">
        <x:f>IF(AND(Q9&lt;=200,U9&lt;=700,V9&lt;=Assumptions!C23,G9&lt;=2,H9&lt;=150,I9=1,J9=1),"PASS","FAIL")</x:f>
        <x:v>FAIL</x:v>
      </x:c>
      <x:c r="X9" s="35" t="str">
        <x:f>IF(P9&lt;=0,"DIVERGES",W9)</x:f>
        <x:v>FAIL</x:v>
      </x:c>
    </x:row>
    <x:row r="10">
      <x:c r="B10" s="33" t="str">
        <x:v>E4</x:v>
      </x:c>
      <x:c r="C10" s="33" t="str">
        <x:v>Regenerative metal-air</x:v>
      </x:c>
      <x:c r="D10" s="80" t="n">
        <x:v>3</x:v>
      </x:c>
      <x:c r="E10" s="80" t="n">
        <x:v>60</x:v>
      </x:c>
      <x:c r="F10" s="80" t="n">
        <x:v>4</x:v>
      </x:c>
      <x:c r="G10" s="80" t="n">
        <x:v>1</x:v>
      </x:c>
      <x:c r="H10" s="80" t="n">
        <x:v>168</x:v>
      </x:c>
      <x:c r="I10" s="33" t="n">
        <x:v>1</x:v>
      </x:c>
      <x:c r="J10" s="33" t="n">
        <x:v>1</x:v>
      </x:c>
      <x:c r="K10" s="33" t="n">
        <x:f>Assumptions!C10+Assumptions!C8</x:f>
        <x:v>472</x:v>
      </x:c>
      <x:c r="L10" s="33" t="n">
        <x:f>Assumptions!C15*Assumptions!C11/1000</x:f>
        <x:v>0.68</x:v>
      </x:c>
      <x:c r="M10" s="33" t="n">
        <x:f>Assumptions!C16</x:f>
        <x:v>80</x:v>
      </x:c>
      <x:c r="N10" s="33" t="n">
        <x:f>1+Assumptions!C17</x:f>
        <x:v>1.175</x:v>
      </x:c>
      <x:c r="O10" s="80" t="n">
        <x:f>IF(B10="E5",0,N10*L10/D10)</x:f>
        <x:v>0.26633333333333337</x:v>
      </x:c>
      <x:c r="P10" s="80" t="n">
        <x:f>1-O10</x:f>
        <x:v>0.7336666666666667</x:v>
      </x:c>
      <x:c r="Q10" s="80" t="n">
        <x:f>IF(B10="E5",E10,IF(P10&gt;0,(E10+N10*(L10*K10+M10)/D10)/P10,9999))</x:f>
        <x:v>295.8328032712404</x:v>
      </x:c>
      <x:c r="R10" s="80" t="n">
        <x:f>K10+Q10</x:f>
        <x:v>767.8328032712404</x:v>
      </x:c>
      <x:c r="S10" s="80" t="n">
        <x:f>L10*R10+M10</x:f>
        <x:v>602.1263062244435</x:v>
      </x:c>
      <x:c r="T10" s="80" t="n">
        <x:f>N10*S10</x:f>
        <x:v>707.4984098137212</x:v>
      </x:c>
      <x:c r="U10" s="80" t="n">
        <x:f>IF(B10="E5",0,T10/F10)</x:f>
        <x:v>176.8746024534303</x:v>
      </x:c>
      <x:c r="V10" s="80" t="n">
        <x:f>R10*9.81*Assumptions!C19*Assumptions!C20/Assumptions!C18/Assumptions!C22</x:f>
        <x:v>296.9933406892971</x:v>
      </x:c>
      <x:c r="W10" s="33" t="str">
        <x:f>IF(AND(Q10&lt;=200,U10&lt;=700,V10&lt;=Assumptions!C23,G10&lt;=2,H10&lt;=150,I10=1,J10=1),"PASS","FAIL")</x:f>
        <x:v>FAIL</x:v>
      </x:c>
      <x:c r="X10" s="35" t="str">
        <x:f>IF(P10&lt;=0,"DIVERGES",W10)</x:f>
        <x:v>FAIL</x:v>
      </x:c>
    </x:row>
    <x:row r="11">
      <x:c r="B11" s="39" t="str">
        <x:v>E5</x:v>
      </x:c>
      <x:c r="C11" s="39" t="str">
        <x:v>Compact nuclear-electric module</x:v>
      </x:c>
      <x:c r="D11" s="81" t="n">
        <x:v>9999</x:v>
      </x:c>
      <x:c r="E11" s="81" t="n">
        <x:v>260</x:v>
      </x:c>
      <x:c r="F11" s="81" t="n">
        <x:v>9999</x:v>
      </x:c>
      <x:c r="G11" s="81" t="n">
        <x:v>12</x:v>
      </x:c>
      <x:c r="H11" s="81" t="n">
        <x:v>220</x:v>
      </x:c>
      <x:c r="I11" s="39" t="n">
        <x:v>1</x:v>
      </x:c>
      <x:c r="J11" s="39" t="n">
        <x:v>0</x:v>
      </x:c>
      <x:c r="K11" s="39" t="n">
        <x:f>Assumptions!C10+Assumptions!C8</x:f>
        <x:v>472</x:v>
      </x:c>
      <x:c r="L11" s="39" t="n">
        <x:f>Assumptions!C15*Assumptions!C11/1000</x:f>
        <x:v>0.68</x:v>
      </x:c>
      <x:c r="M11" s="39" t="n">
        <x:f>Assumptions!C16</x:f>
        <x:v>80</x:v>
      </x:c>
      <x:c r="N11" s="39" t="n">
        <x:f>1+Assumptions!C17</x:f>
        <x:v>1.175</x:v>
      </x:c>
      <x:c r="O11" s="81" t="n">
        <x:f>IF(B11="E5",0,N11*L11/D11)</x:f>
        <x:v>0</x:v>
      </x:c>
      <x:c r="P11" s="81" t="n">
        <x:f>1-O11</x:f>
        <x:v>1</x:v>
      </x:c>
      <x:c r="Q11" s="81" t="n">
        <x:f>IF(B11="E5",E11,IF(P11&gt;0,(E11+N11*(L11*K11+M11)/D11)/P11,9999))</x:f>
        <x:v>260</x:v>
      </x:c>
      <x:c r="R11" s="81" t="n">
        <x:f>K11+Q11</x:f>
        <x:v>732</x:v>
      </x:c>
      <x:c r="S11" s="81" t="n">
        <x:f>L11*R11+M11</x:f>
        <x:v>577.76</x:v>
      </x:c>
      <x:c r="T11" s="81" t="n">
        <x:f>N11*S11</x:f>
        <x:v>678.868</x:v>
      </x:c>
      <x:c r="U11" s="81" t="n">
        <x:f>IF(B11="E5",0,T11/F11)</x:f>
        <x:v>0</x:v>
      </x:c>
      <x:c r="V11" s="81" t="n">
        <x:f>R11*9.81*Assumptions!C19*Assumptions!C20/Assumptions!C18/Assumptions!C22</x:f>
        <x:v>283.1334171428571</x:v>
      </x:c>
      <x:c r="W11" s="39" t="str">
        <x:f>IF(AND(Q11&lt;=200,U11&lt;=700,V11&lt;=Assumptions!C23,G11&lt;=2,H11&lt;=150,I11=1,J11=1),"PASS","FAIL")</x:f>
        <x:v>FAIL</x:v>
      </x:c>
      <x:c r="X11" s="40" t="str">
        <x:f>IF(P11&lt;=0,"DIVERGES",W11)</x:f>
        <x:v>FAIL</x:v>
      </x:c>
    </x:row>
    <x:row r="12"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</x:row>
    <x:row r="13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</x:row>
    <x:row r="14">
      <x:c r="B14" s="72" t="str">
        <x:v>Interpretation and selected research reference</x:v>
      </x:c>
      <x:c r="C14" s="73" t="str">
        <x:v>Interpretation and selected research reference</x:v>
      </x:c>
      <x:c r="D14" s="73" t="str">
        <x:v>Interpretation and selected research reference</x:v>
      </x:c>
      <x:c r="E14" s="73" t="str">
        <x:v>Interpretation and selected research reference</x:v>
      </x:c>
      <x:c r="F14" s="73" t="str">
        <x:v>Interpretation and selected research reference</x:v>
      </x:c>
      <x:c r="G14" s="73" t="str">
        <x:v>Interpretation and selected research reference</x:v>
      </x:c>
      <x:c r="H14" s="73" t="str">
        <x:v>Interpretation and selected research reference</x:v>
      </x:c>
      <x:c r="I14" s="73" t="str">
        <x:v>Interpretation and selected research reference</x:v>
      </x:c>
      <x:c r="J14" s="73" t="str">
        <x:v>Interpretation and selected research reference</x:v>
      </x:c>
      <x:c r="K14" s="73" t="str">
        <x:v>Interpretation and selected research reference</x:v>
      </x:c>
      <x:c r="L14" s="73" t="str">
        <x:v>Interpretation and selected research reference</x:v>
      </x:c>
      <x:c r="M14" s="73" t="str">
        <x:v>Interpretation and selected research reference</x:v>
      </x:c>
      <x:c r="N14" s="73" t="str">
        <x:v>Interpretation and selected research reference</x:v>
      </x:c>
      <x:c r="O14" s="73" t="str">
        <x:v>Interpretation and selected research reference</x:v>
      </x:c>
      <x:c r="P14" s="73" t="str">
        <x:v>Interpretation and selected research reference</x:v>
      </x:c>
      <x:c r="Q14" s="73" t="str">
        <x:v>Interpretation and selected research reference</x:v>
      </x:c>
      <x:c r="R14" s="73" t="str">
        <x:v>Interpretation and selected research reference</x:v>
      </x:c>
      <x:c r="S14" s="73" t="str">
        <x:v>Interpretation and selected research reference</x:v>
      </x:c>
      <x:c r="T14" s="73" t="str">
        <x:v>Interpretation and selected research reference</x:v>
      </x:c>
      <x:c r="U14" s="73" t="str">
        <x:v>Interpretation and selected research reference</x:v>
      </x:c>
      <x:c r="V14" s="73" t="str">
        <x:v>Interpretation and selected research reference</x:v>
      </x:c>
      <x:c r="W14" s="73" t="str">
        <x:v>Interpretation and selected research reference</x:v>
      </x:c>
      <x:c r="X14" s="74" t="str">
        <x:v>Interpretation and selected research reference</x:v>
      </x:c>
    </x:row>
    <x:row r="15">
      <x:c r="B15" s="82" t="str">
        <x:v>Coupled divergence</x:v>
      </x:c>
      <x:c r="C15" s="50" t="str">
        <x:v>Battery mass does not converge under the registered 0.85 kWh/t-km route coefficient: each added tonne creates more than one tonne of required energy system after reserve.</x:v>
      </x:c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</x:row>
    <x:row r="16">
      <x:c r="B16" s="83" t="str">
        <x:v>Vehicle-only minimum</x:v>
      </x:c>
      <x:c r="C16" s="33" t="str">
        <x:v>Hydrogen-electric is lighter on the declared arithmetic, but it shares the atmospheric energy ancestry and fails the field-casualty screen. It cannot be the independent terrain lineage.</x:v>
      </x:c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</x:row>
    <x:row r="17">
      <x:c r="B17" s="83" t="str">
        <x:v>Selected reference</x:v>
      </x:c>
      <x:c r="C17" s="33" t="str">
        <x:v>E2 liquid-fuel turbine-electric is the only candidate closing mass, volume, 255 m2 contact, start, reset, casualty and ancestry screens together.</x:v>
      </x:c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</x:row>
    <x:row r="18">
      <x:c r="B18" s="83" t="str">
        <x:v>Innovation target</x:v>
      </x:c>
      <x:c r="C18" s="33" t="str">
        <x:v>Selection does not mean a conventional engine installation. The target is four isolated 9-MW sectors, high-temperature generation, crash-isolated tanks, offline dispatch and field-replaceable thermal modules.</x:v>
      </x:c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</x:row>
    <x:row r="19">
      <x:c r="B19" s="84" t="str">
        <x:v>Admission</x:v>
      </x:c>
      <x:c r="C19" s="53" t="str">
        <x:v>No energy architecture earns readiness credit. Complete-system representative evidence, fuel lineage qualification, thermal rejection and casualty testing remain open.</x:v>
      </x:c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</x:row>
  </x:sheetData>
  <x:mergeCells>
    <x:mergeCell ref="B14:X14"/>
  </x:mergeCells>
  <x:conditionalFormatting sqref="W7:X11">
    <x:cfRule type="containsText" dxfId="0" priority="1" operator="containsText" text="FAIL"/>
    <x:cfRule type="containsText" dxfId="1" priority="2" operator="containsText" text="DIVERGES"/>
    <x:cfRule type="containsText" dxfId="2" priority="3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7" hidden="0" customWidth="1"/>
    <x:col min="4" max="4" width="18" hidden="0" customWidth="1"/>
    <x:col min="5" max="5" width="18" hidden="0" customWidth="1"/>
    <x:col min="6" max="6" width="48" hidden="0" customWidth="1"/>
    <x:col min="7" max="7" width="3" hidden="0" customWidth="1"/>
    <x:col min="8" max="8" width="36" hidden="0" customWidth="1"/>
    <x:col min="9" max="9" width="18" hidden="0" customWidth="1"/>
    <x:col min="10" max="10" width="15" hidden="0" customWidth="1"/>
    <x:col min="11" max="11" width="26" hidden="0" customWidth="1"/>
    <x:col min="12" max="12" width="16" hidden="0" customWidth="1"/>
  </x:cols>
  <x:sheetData>
    <x:row r="2">
      <x:c r="B2" s="78" t="str">
        <x:v>SAT-170R integrated physical reference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79" t="str">
        <x:v>The energy and contact competitions reopen mass, power, dimensions, route speed, reset and cost as one coupled system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>
      <x:c r="B6" s="72" t="str">
        <x:v>Mass statement</x:v>
      </x:c>
      <x:c r="C6" s="73" t="str">
        <x:v>Mass statement</x:v>
      </x:c>
      <x:c r="D6" s="73" t="str">
        <x:v>Mass statement</x:v>
      </x:c>
      <x:c r="E6" s="73" t="str">
        <x:v>Mass statement</x:v>
      </x:c>
      <x:c r="F6" s="74" t="str">
        <x:v>Mass statement</x:v>
      </x:c>
      <x:c r="G6" s="26"/>
      <x:c r="H6" s="72" t="str">
        <x:v>Geometry, contact, power and energy</x:v>
      </x:c>
      <x:c r="I6" s="73" t="str">
        <x:v>Geometry, contact, power and energy</x:v>
      </x:c>
      <x:c r="J6" s="73" t="str">
        <x:v>Geometry, contact, power and energy</x:v>
      </x:c>
      <x:c r="K6" s="73" t="str">
        <x:v>Geometry, contact, power and energy</x:v>
      </x:c>
      <x:c r="L6" s="74" t="str">
        <x:v>Geometry, contact, power and energy</x:v>
      </x:c>
    </x:row>
    <x:row r="7">
      <x:c r="B7" s="31" t="str">
        <x:v>Element</x:v>
      </x:c>
      <x:c r="C7" s="32" t="str">
        <x:v>Mass</x:v>
      </x:c>
      <x:c r="D7" s="32" t="str">
        <x:v>Unit</x:v>
      </x:c>
      <x:c r="E7" s="32" t="str">
        <x:v>Status</x:v>
      </x:c>
      <x:c r="F7" s="32" t="str">
        <x:v>Interpretation</x:v>
      </x:c>
      <x:c r="G7" s="26"/>
      <x:c r="H7" s="31" t="str">
        <x:v>Metric</x:v>
      </x:c>
      <x:c r="I7" s="32" t="str">
        <x:v>Value</x:v>
      </x:c>
      <x:c r="J7" s="32" t="str">
        <x:v>Unit</x:v>
      </x:c>
      <x:c r="K7" s="32" t="str">
        <x:v>Requirement</x:v>
      </x:c>
      <x:c r="L7" s="32" t="str">
        <x:v>Result</x:v>
      </x:c>
    </x:row>
    <x:row r="8">
      <x:c r="B8" s="33" t="str">
        <x:v>Primary structure and articulated spine</x:v>
      </x:c>
      <x:c r="C8" s="80" t="n">
        <x:v>72</x:v>
      </x:c>
      <x:c r="D8" s="33" t="str">
        <x:v>t</x:v>
      </x:c>
      <x:c r="E8" s="33" t="str">
        <x:v>DECLARED</x:v>
      </x:c>
      <x:c r="F8" s="35" t="str">
        <x:v>strengthened for higher gross mass</x:v>
      </x:c>
      <x:c r="G8" s="26"/>
      <x:c r="H8" s="33" t="str">
        <x:v>Vehicle length</x:v>
      </x:c>
      <x:c r="I8" s="80" t="n">
        <x:v>46</x:v>
      </x:c>
      <x:c r="J8" s="33" t="str">
        <x:v>m</x:v>
      </x:c>
      <x:c r="K8" s="33" t="str">
        <x:v>packaging boundary</x:v>
      </x:c>
      <x:c r="L8" s="35" t="str">
        <x:v>CONTROL</x:v>
      </x:c>
    </x:row>
    <x:row r="9">
      <x:c r="B9" s="33" t="str">
        <x:v>Propulsion and electric distribution</x:v>
      </x:c>
      <x:c r="C9" s="80" t="n">
        <x:v>62</x:v>
      </x:c>
      <x:c r="D9" s="33" t="str">
        <x:v>t</x:v>
      </x:c>
      <x:c r="E9" s="33" t="str">
        <x:v>DECLARED</x:v>
      </x:c>
      <x:c r="F9" s="35" t="str">
        <x:v>four isolated generation sectors and twelve drives</x:v>
      </x:c>
      <x:c r="G9" s="26"/>
      <x:c r="H9" s="33" t="str">
        <x:v>Transit width</x:v>
      </x:c>
      <x:c r="I9" s="80" t="n">
        <x:v>9.5</x:v>
      </x:c>
      <x:c r="J9" s="33" t="str">
        <x:v>m</x:v>
      </x:c>
      <x:c r="K9" s="33" t="str">
        <x:v>&lt;=12</x:v>
      </x:c>
      <x:c r="L9" s="35" t="str">
        <x:f>IF(I9&lt;=12,"PASS","FAIL")</x:f>
        <x:v>PASS</x:v>
      </x:c>
    </x:row>
    <x:row r="10">
      <x:c r="B10" s="33" t="str">
        <x:v>Energy system</x:v>
      </x:c>
      <x:c r="C10" s="80" t="n">
        <x:f>'Energy Competition'!Q8</x:f>
        <x:v>176.45083706672955</x:v>
      </x:c>
      <x:c r="D10" s="33" t="str">
        <x:v>t</x:v>
      </x:c>
      <x:c r="E10" s="33" t="str">
        <x:v>CALCULATED</x:v>
      </x:c>
      <x:c r="F10" s="35" t="str">
        <x:v>selected E2 complete-system fixed point</x:v>
      </x:c>
      <x:c r="G10" s="26"/>
      <x:c r="H10" s="33" t="str">
        <x:v>Deployed width</x:v>
      </x:c>
      <x:c r="I10" s="80" t="n">
        <x:v>11.8</x:v>
      </x:c>
      <x:c r="J10" s="33" t="str">
        <x:v>m</x:v>
      </x:c>
      <x:c r="K10" s="33" t="str">
        <x:v>&lt;=12</x:v>
      </x:c>
      <x:c r="L10" s="35" t="str">
        <x:f>IF(I10&lt;=12,"PASS","FAIL")</x:f>
        <x:v>PASS</x:v>
      </x:c>
    </x:row>
    <x:row r="11">
      <x:c r="B11" s="33" t="str">
        <x:v>TAP-255 mobility pods</x:v>
      </x:c>
      <x:c r="C11" s="80" t="n">
        <x:v>94</x:v>
      </x:c>
      <x:c r="D11" s="33" t="str">
        <x:v>t</x:v>
      </x:c>
      <x:c r="E11" s="33" t="str">
        <x:v>DECLARED</x:v>
      </x:c>
      <x:c r="F11" s="35" t="str">
        <x:v>larger cassettes, extension mechanics and isolation</x:v>
      </x:c>
      <x:c r="G11" s="26"/>
      <x:c r="H11" s="33" t="str">
        <x:v>Vehicle height</x:v>
      </x:c>
      <x:c r="I11" s="80" t="n">
        <x:v>9.5</x:v>
      </x:c>
      <x:c r="J11" s="33" t="str">
        <x:v>m</x:v>
      </x:c>
      <x:c r="K11" s="33" t="str">
        <x:v>packaging boundary</x:v>
      </x:c>
      <x:c r="L11" s="35" t="str">
        <x:v>CONTROL</x:v>
      </x:c>
    </x:row>
    <x:row r="12">
      <x:c r="B12" s="33" t="str">
        <x:v>Payload handling</x:v>
      </x:c>
      <x:c r="C12" s="80" t="n">
        <x:v>24</x:v>
      </x:c>
      <x:c r="D12" s="33" t="str">
        <x:v>t</x:v>
      </x:c>
      <x:c r="E12" s="33" t="str">
        <x:v>DECLARED</x:v>
      </x:c>
      <x:c r="F12" s="35" t="str">
        <x:v>side-load and independent restraint</x:v>
      </x:c>
      <x:c r="G12" s="26"/>
      <x:c r="H12" s="33" t="str">
        <x:v>Usable deck</x:v>
      </x:c>
      <x:c r="I12" s="80" t="n">
        <x:v>184</x:v>
      </x:c>
      <x:c r="J12" s="33" t="str">
        <x:v>m2</x:v>
      </x:c>
      <x:c r="K12" s="33" t="str">
        <x:v>&gt;=176</x:v>
      </x:c>
      <x:c r="L12" s="35" t="str">
        <x:f>IF(I12&gt;=176,"PASS","FAIL")</x:f>
        <x:v>PASS</x:v>
      </x:c>
    </x:row>
    <x:row r="13">
      <x:c r="B13" s="33" t="str">
        <x:v>Bridge, mat and route kit</x:v>
      </x:c>
      <x:c r="C13" s="80" t="n">
        <x:v>36</x:v>
      </x:c>
      <x:c r="D13" s="33" t="str">
        <x:v>t</x:v>
      </x:c>
      <x:c r="E13" s="33" t="str">
        <x:v>DECLARED</x:v>
      </x:c>
      <x:c r="F13" s="35" t="str">
        <x:v>25 m organic gap kit and route robots</x:v>
      </x:c>
      <x:c r="G13" s="26"/>
      <x:c r="H13" s="33" t="str">
        <x:v>Usable cube</x:v>
      </x:c>
      <x:c r="I13" s="80" t="n">
        <x:v>800</x:v>
      </x:c>
      <x:c r="J13" s="33" t="str">
        <x:v>m3</x:v>
      </x:c>
      <x:c r="K13" s="33" t="str">
        <x:v>&gt;=772</x:v>
      </x:c>
      <x:c r="L13" s="35" t="str">
        <x:f>IF(I13&gt;=772,"PASS","FAIL")</x:f>
        <x:v>PASS</x:v>
      </x:c>
    </x:row>
    <x:row r="14">
      <x:c r="B14" s="33" t="str">
        <x:v>Control, crew and mission systems</x:v>
      </x:c>
      <x:c r="C14" s="80" t="n">
        <x:v>14</x:v>
      </x:c>
      <x:c r="D14" s="33" t="str">
        <x:v>t</x:v>
      </x:c>
      <x:c r="E14" s="33" t="str">
        <x:v>DECLARED</x:v>
      </x:c>
      <x:c r="F14" s="35" t="str">
        <x:v>offline convoy and local authority records</x:v>
      </x:c>
      <x:c r="G14" s="26"/>
      <x:c r="H14" s="33" t="str">
        <x:v>Transit contact area</x:v>
      </x:c>
      <x:c r="I14" s="80" t="n">
        <x:v>155</x:v>
      </x:c>
      <x:c r="J14" s="33" t="str">
        <x:v>m2</x:v>
      </x:c>
      <x:c r="K14" s="33" t="str">
        <x:v>hard-route mode</x:v>
      </x:c>
      <x:c r="L14" s="35" t="str">
        <x:v>CONTROL</x:v>
      </x:c>
    </x:row>
    <x:row r="15">
      <x:c r="B15" s="33" t="str">
        <x:v>Tare</x:v>
      </x:c>
      <x:c r="C15" s="80" t="n">
        <x:f>SUM(C8:C14)</x:f>
        <x:v>478.45083706672955</x:v>
      </x:c>
      <x:c r="D15" s="33" t="str">
        <x:v>t</x:v>
      </x:c>
      <x:c r="E15" s="33" t="str">
        <x:v>CALCULATED</x:v>
      </x:c>
      <x:c r="F15" s="35" t="str">
        <x:v>all operating mass before payload</x:v>
      </x:c>
      <x:c r="G15" s="26"/>
      <x:c r="H15" s="33" t="str">
        <x:v>Soft-ground contact area</x:v>
      </x:c>
      <x:c r="I15" s="80" t="n">
        <x:v>255</x:v>
      </x:c>
      <x:c r="J15" s="33" t="str">
        <x:v>m2</x:v>
      </x:c>
      <x:c r="K15" s="33" t="str">
        <x:v>&gt;=required</x:v>
      </x:c>
      <x:c r="L15" s="35" t="str">
        <x:v>REFERENCE</x:v>
      </x:c>
    </x:row>
    <x:row r="16">
      <x:c r="B16" s="33" t="str">
        <x:v>Rated payload</x:v>
      </x:c>
      <x:c r="C16" s="80" t="n">
        <x:v>170</x:v>
      </x:c>
      <x:c r="D16" s="33" t="str">
        <x:v>t</x:v>
      </x:c>
      <x:c r="E16" s="33" t="str">
        <x:v>INHERITED</x:v>
      </x:c>
      <x:c r="F16" s="35" t="str">
        <x:v>design load</x:v>
      </x:c>
      <x:c r="G16" s="26"/>
      <x:c r="H16" s="33" t="str">
        <x:v>One-pod residual area</x:v>
      </x:c>
      <x:c r="I16" s="80" t="n">
        <x:f>I15*(Assumptions!C21-1)/Assumptions!C21</x:f>
        <x:v>233.75</x:v>
      </x:c>
      <x:c r="J16" s="33" t="str">
        <x:v>m2</x:v>
      </x:c>
      <x:c r="K16" s="33" t="str">
        <x:v>11/12 footprint</x:v>
      </x:c>
      <x:c r="L16" s="35" t="str">
        <x:f>IF(OR(I16="",I16=0),"CONTROL","PASS")</x:f>
        <x:v>PASS</x:v>
      </x:c>
    </x:row>
    <x:row r="17">
      <x:c r="B17" s="33" t="str">
        <x:v>Rated gross</x:v>
      </x:c>
      <x:c r="C17" s="80" t="n">
        <x:f>C15+C16</x:f>
        <x:v>648.4508370667295</x:v>
      </x:c>
      <x:c r="D17" s="33" t="str">
        <x:v>t</x:v>
      </x:c>
      <x:c r="E17" s="33" t="str">
        <x:v>CALCULATED</x:v>
      </x:c>
      <x:c r="F17" s="35" t="str">
        <x:v>tare plus design payload</x:v>
      </x:c>
      <x:c r="G17" s="26"/>
      <x:c r="H17" s="33" t="str">
        <x:v>Compounded ground pressure</x:v>
      </x:c>
      <x:c r="I17" s="80" t="n">
        <x:f>C17*9.81*Assumptions!C19*Assumptions!C20/I16</x:f>
        <x:v>34.425873498203806</x:v>
      </x:c>
      <x:c r="J17" s="33" t="str">
        <x:v>kPa</x:v>
      </x:c>
      <x:c r="K17" s="33" t="str">
        <x:v>&lt;=35</x:v>
      </x:c>
      <x:c r="L17" s="35" t="str">
        <x:f>IF(I17&lt;=35,"PASS","FAIL")</x:f>
        <x:v>PASS</x:v>
      </x:c>
    </x:row>
    <x:row r="18">
      <x:c r="B18" s="33" t="str">
        <x:v>Assigned payload</x:v>
      </x:c>
      <x:c r="C18" s="80" t="n">
        <x:v>158.75</x:v>
      </x:c>
      <x:c r="D18" s="33" t="str">
        <x:v>t</x:v>
      </x:c>
      <x:c r="E18" s="33" t="str">
        <x:v>INHERITED</x:v>
      </x:c>
      <x:c r="F18" s="35" t="str">
        <x:v>mission load</x:v>
      </x:c>
      <x:c r="G18" s="26"/>
      <x:c r="H18" s="33" t="str">
        <x:v>Installed power</x:v>
      </x:c>
      <x:c r="I18" s="80" t="n">
        <x:v>36</x:v>
      </x:c>
      <x:c r="J18" s="33" t="str">
        <x:v>MW</x:v>
      </x:c>
      <x:c r="K18" s="33" t="str">
        <x:v>four 9-MW sectors</x:v>
      </x:c>
      <x:c r="L18" s="35" t="str">
        <x:v>CONTROL</x:v>
      </x:c>
    </x:row>
    <x:row r="19">
      <x:c r="B19" s="39" t="str">
        <x:v>Mission gross</x:v>
      </x:c>
      <x:c r="C19" s="81" t="n">
        <x:f>C15+C18</x:f>
        <x:v>637.2008370667295</x:v>
      </x:c>
      <x:c r="D19" s="39" t="str">
        <x:v>t</x:v>
      </x:c>
      <x:c r="E19" s="39" t="str">
        <x:v>CALCULATED</x:v>
      </x:c>
      <x:c r="F19" s="40" t="str">
        <x:v>tare plus assigned load</x:v>
      </x:c>
      <x:c r="G19" s="26"/>
      <x:c r="H19" s="33" t="str">
        <x:v>One-sector-out power</x:v>
      </x:c>
      <x:c r="I19" s="80" t="n">
        <x:f>I18*(Assumptions!C34-1)/Assumptions!C34</x:f>
        <x:v>27</x:v>
      </x:c>
      <x:c r="J19" s="33" t="str">
        <x:v>MW</x:v>
      </x:c>
      <x:c r="K19" s="33" t="str">
        <x:v>&gt;=maximum demand</x:v>
      </x:c>
      <x:c r="L19" s="35" t="str">
        <x:f>IF(I19&gt;=I20,"PASS","FAIL")</x:f>
        <x:v>PASS</x:v>
      </x:c>
    </x:row>
    <x:row r="20">
      <x:c r="B20" s="26"/>
      <x:c r="C20" s="26"/>
      <x:c r="D20" s="26"/>
      <x:c r="E20" s="26"/>
      <x:c r="F20" s="26"/>
      <x:c r="G20" s="26"/>
      <x:c r="H20" s="33" t="str">
        <x:v>Maximum traction + hotel demand</x:v>
      </x:c>
      <x:c r="I20" s="80" t="n">
        <x:f>(C17*9.81*(Assumptions!C29+Assumptions!C30)*(32/3.6)/Assumptions!C31)/1000+Assumptions!C32</x:f>
        <x:v>22.508019070513747</x:v>
      </x:c>
      <x:c r="J20" s="33" t="str">
        <x:v>MW</x:v>
      </x:c>
      <x:c r="K20" s="33" t="str">
        <x:v>broken route at 32 km/h</x:v>
      </x:c>
      <x:c r="L20" s="35" t="str">
        <x:f>IF(OR(I20="",I20=0),"CONTROL","PASS")</x:f>
        <x:v>PASS</x:v>
      </x:c>
    </x:row>
    <x:row r="21">
      <x:c r="B21" s="26"/>
      <x:c r="C21" s="26"/>
      <x:c r="D21" s="26"/>
      <x:c r="E21" s="26"/>
      <x:c r="F21" s="26"/>
      <x:c r="G21" s="26"/>
      <x:c r="H21" s="33" t="str">
        <x:v>Mission energy</x:v>
      </x:c>
      <x:c r="I21" s="80" t="n">
        <x:f>'Energy Competition'!S8</x:f>
        <x:v>520.9465692053761</x:v>
      </x:c>
      <x:c r="J21" s="33" t="str">
        <x:v>MWh</x:v>
      </x:c>
      <x:c r="K21" s="33" t="str">
        <x:v>800 km plus route work</x:v>
      </x:c>
      <x:c r="L21" s="35" t="str">
        <x:f>IF(OR(I21="",I21=0),"CONTROL","PASS")</x:f>
        <x:v>PASS</x:v>
      </x:c>
    </x:row>
    <x:row r="22">
      <x:c r="B22" s="26"/>
      <x:c r="C22" s="26"/>
      <x:c r="D22" s="26"/>
      <x:c r="E22" s="26"/>
      <x:c r="F22" s="26"/>
      <x:c r="G22" s="26"/>
      <x:c r="H22" s="33" t="str">
        <x:v>Onboard deliverable energy</x:v>
      </x:c>
      <x:c r="I22" s="80" t="n">
        <x:f>'Energy Competition'!T8</x:f>
        <x:v>612.112218816317</x:v>
      </x:c>
      <x:c r="J22" s="33" t="str">
        <x:v>MWh</x:v>
      </x:c>
      <x:c r="K22" s="33" t="str">
        <x:v>&gt;=17.5% reserve</x:v>
      </x:c>
      <x:c r="L22" s="35" t="str">
        <x:f>IF(OR(I22="",I22=0),"CONTROL","PASS")</x:f>
        <x:v>PASS</x:v>
      </x:c>
    </x:row>
    <x:row r="23">
      <x:c r="B23" s="26"/>
      <x:c r="C23" s="26"/>
      <x:c r="D23" s="26"/>
      <x:c r="E23" s="26"/>
      <x:c r="F23" s="26"/>
      <x:c r="G23" s="26"/>
      <x:c r="H23" s="39" t="str">
        <x:v>Energy reserve</x:v>
      </x:c>
      <x:c r="I23" s="85" t="n">
        <x:f>I22/I21-1</x:f>
        <x:v>0.17500000000000004</x:v>
      </x:c>
      <x:c r="J23" s="39" t="str">
        <x:v>fraction</x:v>
      </x:c>
      <x:c r="K23" s="39" t="str">
        <x:v>&gt;=17.5%</x:v>
      </x:c>
      <x:c r="L23" s="40" t="str">
        <x:f>IF(I23&gt;=Assumptions!C17,"PASS","FAIL")</x:f>
        <x:v>PASS</x:v>
      </x:c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>
      <x:c r="B26" s="72" t="str">
        <x:v>Revision against Pass 84</x:v>
      </x:c>
      <x:c r="C26" s="73" t="str">
        <x:v>Revision against Pass 84</x:v>
      </x:c>
      <x:c r="D26" s="73" t="str">
        <x:v>Revision against Pass 84</x:v>
      </x:c>
      <x:c r="E26" s="73" t="str">
        <x:v>Revision against Pass 84</x:v>
      </x:c>
      <x:c r="F26" s="73" t="str">
        <x:v>Revision against Pass 84</x:v>
      </x:c>
      <x:c r="G26" s="73" t="str">
        <x:v>Revision against Pass 84</x:v>
      </x:c>
      <x:c r="H26" s="73" t="str">
        <x:v>Revision against Pass 84</x:v>
      </x:c>
      <x:c r="I26" s="73" t="str">
        <x:v>Revision against Pass 84</x:v>
      </x:c>
      <x:c r="J26" s="73" t="str">
        <x:v>Revision against Pass 84</x:v>
      </x:c>
      <x:c r="K26" s="73" t="str">
        <x:v>Revision against Pass 84</x:v>
      </x:c>
      <x:c r="L26" s="74" t="str">
        <x:v>Revision against Pass 84</x:v>
      </x:c>
    </x:row>
    <x:row r="27">
      <x:c r="B27" s="31" t="str">
        <x:v>Metric</x:v>
      </x:c>
      <x:c r="C27" s="32" t="str">
        <x:v>Pass 84</x:v>
      </x:c>
      <x:c r="D27" s="32" t="str">
        <x:v>Pass 85 reference</x:v>
      </x:c>
      <x:c r="E27" s="32" t="str">
        <x:v>Change</x:v>
      </x:c>
      <x:c r="F27" s="32" t="str">
        <x:v>Cause</x:v>
      </x:c>
      <x:c r="G27" s="26"/>
      <x:c r="H27" s="26"/>
      <x:c r="I27" s="26"/>
      <x:c r="J27" s="26"/>
      <x:c r="K27" s="26"/>
      <x:c r="L27" s="26"/>
    </x:row>
    <x:row r="28">
      <x:c r="B28" s="33" t="str">
        <x:v>Energy system mass</x:v>
      </x:c>
      <x:c r="C28" s="80" t="n">
        <x:v>60</x:v>
      </x:c>
      <x:c r="D28" s="80" t="n">
        <x:f>C10</x:f>
        <x:v>176.45083706672955</x:v>
      </x:c>
      <x:c r="E28" s="80" t="n">
        <x:f>D28-C28</x:f>
        <x:v>116.45083706672955</x:v>
      </x:c>
      <x:c r="F28" s="35" t="str">
        <x:v>complete-system fixed-point closure</x:v>
      </x:c>
      <x:c r="G28" s="26"/>
      <x:c r="H28" s="26"/>
      <x:c r="I28" s="26"/>
      <x:c r="J28" s="26"/>
      <x:c r="K28" s="26"/>
      <x:c r="L28" s="26"/>
    </x:row>
    <x:row r="29">
      <x:c r="B29" s="33" t="str">
        <x:v>Tare mass</x:v>
      </x:c>
      <x:c r="C29" s="80" t="n">
        <x:v>332</x:v>
      </x:c>
      <x:c r="D29" s="80" t="n">
        <x:f>C15</x:f>
        <x:v>478.45083706672955</x:v>
      </x:c>
      <x:c r="E29" s="80" t="n">
        <x:f>D29-C29</x:f>
        <x:v>146.45083706672955</x:v>
      </x:c>
      <x:c r="F29" s="35" t="str">
        <x:v>energy, structure, propulsion and contact</x:v>
      </x:c>
      <x:c r="G29" s="26"/>
      <x:c r="H29" s="26"/>
      <x:c r="I29" s="26"/>
      <x:c r="J29" s="26"/>
      <x:c r="K29" s="26"/>
      <x:c r="L29" s="26"/>
    </x:row>
    <x:row r="30">
      <x:c r="B30" s="33" t="str">
        <x:v>Rated gross</x:v>
      </x:c>
      <x:c r="C30" s="80" t="n">
        <x:v>502</x:v>
      </x:c>
      <x:c r="D30" s="80" t="n">
        <x:f>C17</x:f>
        <x:v>648.4508370667295</x:v>
      </x:c>
      <x:c r="E30" s="80" t="n">
        <x:f>D30-C30</x:f>
        <x:v>146.4508370667295</x:v>
      </x:c>
      <x:c r="F30" s="35" t="str">
        <x:v>reopened mass statement</x:v>
      </x:c>
      <x:c r="G30" s="26"/>
      <x:c r="H30" s="26"/>
      <x:c r="I30" s="26"/>
      <x:c r="J30" s="26"/>
      <x:c r="K30" s="26"/>
      <x:c r="L30" s="26"/>
    </x:row>
    <x:row r="31">
      <x:c r="B31" s="33" t="str">
        <x:v>Maximum contact</x:v>
      </x:c>
      <x:c r="C31" s="80" t="n">
        <x:v>155</x:v>
      </x:c>
      <x:c r="D31" s="80" t="n">
        <x:v>255</x:v>
      </x:c>
      <x:c r="E31" s="80" t="n">
        <x:v>100</x:v>
      </x:c>
      <x:c r="F31" s="35" t="str">
        <x:v>dynamic, imbalance and one-pod-out case</x:v>
      </x:c>
      <x:c r="G31" s="26"/>
      <x:c r="H31" s="26"/>
      <x:c r="I31" s="26"/>
      <x:c r="J31" s="26"/>
      <x:c r="K31" s="26"/>
      <x:c r="L31" s="26"/>
    </x:row>
    <x:row r="32">
      <x:c r="B32" s="33" t="str">
        <x:v>Static/all-pod pressure</x:v>
      </x:c>
      <x:c r="C32" s="80" t="n">
        <x:v>31.7717</x:v>
      </x:c>
      <x:c r="D32" s="80" t="n">
        <x:f>C17*9.81/I15</x:f>
        <x:v>24.946285143625946</x:v>
      </x:c>
      <x:c r="E32" s="80" t="n">
        <x:f>D32-C32</x:f>
        <x:v>-6.825414856374053</x:v>
      </x:c>
      <x:c r="F32" s="35" t="str">
        <x:v>old reference compared with new nominal soft footprint</x:v>
      </x:c>
      <x:c r="G32" s="26"/>
      <x:c r="H32" s="26"/>
      <x:c r="I32" s="26"/>
      <x:c r="J32" s="26"/>
      <x:c r="K32" s="26"/>
      <x:c r="L32" s="26"/>
    </x:row>
    <x:row r="33">
      <x:c r="B33" s="33" t="str">
        <x:v>Compounded pressure</x:v>
      </x:c>
      <x:c r="C33" s="80"/>
      <x:c r="D33" s="80" t="n">
        <x:f>I17</x:f>
        <x:v>34.425873498203806</x:v>
      </x:c>
      <x:c r="E33" s="80" t="n">
        <x:f>D33</x:f>
        <x:v>34.425873498203806</x:v>
      </x:c>
      <x:c r="F33" s="35" t="str">
        <x:v>new governing contact case</x:v>
      </x:c>
      <x:c r="G33" s="26"/>
      <x:c r="H33" s="26"/>
      <x:c r="I33" s="26"/>
      <x:c r="J33" s="26"/>
      <x:c r="K33" s="26"/>
      <x:c r="L33" s="26"/>
    </x:row>
    <x:row r="34">
      <x:c r="B34" s="33" t="str">
        <x:v>Installed power</x:v>
      </x:c>
      <x:c r="C34" s="80" t="n">
        <x:v>32</x:v>
      </x:c>
      <x:c r="D34" s="80" t="n">
        <x:v>36</x:v>
      </x:c>
      <x:c r="E34" s="80" t="n">
        <x:v>4</x:v>
      </x:c>
      <x:c r="F34" s="35" t="str">
        <x:v>higher gross and four isolated sectors</x:v>
      </x:c>
      <x:c r="G34" s="26"/>
      <x:c r="H34" s="26"/>
      <x:c r="I34" s="26"/>
      <x:c r="J34" s="26"/>
      <x:c r="K34" s="26"/>
      <x:c r="L34" s="26"/>
    </x:row>
    <x:row r="35">
      <x:c r="B35" s="33" t="str">
        <x:v>Route time</x:v>
      </x:c>
      <x:c r="C35" s="80" t="n">
        <x:v>23.3766</x:v>
      </x:c>
      <x:c r="D35" s="80" t="n">
        <x:f>'Two-Mode Schedule'!J8-Assumptions!C35-Assumptions!C37</x:f>
        <x:v>29</x:v>
      </x:c>
      <x:c r="E35" s="80" t="n">
        <x:f>D35-C35</x:f>
        <x:v>5.6234</x:v>
      </x:c>
      <x:c r="F35" s="35" t="str">
        <x:v>revised speeds and contact transitions</x:v>
      </x:c>
      <x:c r="G35" s="26"/>
      <x:c r="H35" s="26"/>
      <x:c r="I35" s="26"/>
      <x:c r="J35" s="26"/>
      <x:c r="K35" s="26"/>
      <x:c r="L35" s="26"/>
    </x:row>
    <x:row r="36">
      <x:c r="B36" s="39" t="str">
        <x:v>Relative service</x:v>
      </x:c>
      <x:c r="C36" s="81" t="n">
        <x:v>39.3766</x:v>
      </x:c>
      <x:c r="D36" s="81" t="n">
        <x:f>'Two-Mode Schedule'!I8</x:f>
        <x:v>41.819444000000004</x:v>
      </x:c>
      <x:c r="E36" s="81" t="n">
        <x:f>D36-C36</x:f>
        <x:v>2.442844000000001</x:v>
      </x:c>
      <x:c r="F36" s="40" t="str">
        <x:v>origin plus route plus receiver</x:v>
      </x:c>
      <x:c r="G36" s="26"/>
      <x:c r="H36" s="26"/>
      <x:c r="I36" s="26"/>
      <x:c r="J36" s="26"/>
      <x:c r="K36" s="26"/>
      <x:c r="L36" s="26"/>
    </x:row>
    <x:row r="37"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</x:row>
    <x:row r="38"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</x:row>
    <x:row r="40"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</x:row>
    <x:row r="41"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</x:row>
    <x:row r="42"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</x:row>
    <x:row r="43"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</x:row>
    <x:row r="44"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</x:row>
    <x:row r="45"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</x:row>
    <x:row r="46"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</x:row>
    <x:row r="47"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</x:row>
    <x:row r="48"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</x:row>
    <x:row r="49"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</x:row>
    <x:row r="50"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</x:row>
  </x:sheetData>
  <x:mergeCells>
    <x:mergeCell ref="B6:F6"/>
    <x:mergeCell ref="H6:L6"/>
    <x:mergeCell ref="B26:L26"/>
  </x:mergeCells>
  <x:conditionalFormatting sqref="L8:L23">
    <x:cfRule type="containsText" dxfId="6" priority="1" operator="containsText" text="FAIL"/>
    <x:cfRule type="containsText" dxfId="7" priority="2" operator="containsText" text="DIVERGES"/>
    <x:cfRule type="containsText" dxfId="8" priority="3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17" hidden="0" customWidth="1"/>
    <x:col min="4" max="4" width="20" hidden="0" customWidth="1"/>
    <x:col min="5" max="5" width="16" hidden="0" customWidth="1"/>
    <x:col min="6" max="6" width="17" hidden="0" customWidth="1"/>
    <x:col min="7" max="7" width="16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8" hidden="0" customWidth="1"/>
    <x:col min="14" max="14" width="17" hidden="0" customWidth="1"/>
    <x:col min="15" max="15" width="16" hidden="0" customWidth="1"/>
    <x:col min="16" max="16" width="14" hidden="0" customWidth="1"/>
  </x:cols>
  <x:sheetData>
    <x:row r="2">
      <x:c r="B2" s="78" t="str">
        <x:v>Independent terrain and atmospheric service clocks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</x:row>
    <x:row r="3">
      <x:c r="B3" s="79" t="str">
        <x:v>No cross-mode transfer is placed on either critical path; the complete dual-service time is the slower independent release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</x:row>
    <x:row r="6">
      <x:c r="B6" s="31" t="str">
        <x:v>Mode</x:v>
      </x:c>
      <x:c r="C6" s="32" t="str">
        <x:v>Origin release</x:v>
      </x:c>
      <x:c r="D6" s="32" t="str">
        <x:v>Hard-route / cruise</x:v>
      </x:c>
      <x:c r="E6" s="32" t="str">
        <x:v>Broken route</x:v>
      </x:c>
      <x:c r="F6" s="32" t="str">
        <x:v>Off-road</x:v>
      </x:c>
      <x:c r="G6" s="32" t="str">
        <x:v>Placement / route work</x:v>
      </x:c>
      <x:c r="H6" s="32" t="str">
        <x:v>Receiver build</x:v>
      </x:c>
      <x:c r="I6" s="32" t="str">
        <x:v>Relative service</x:v>
      </x:c>
      <x:c r="J6" s="32" t="str">
        <x:v>Relative ceiling</x:v>
      </x:c>
      <x:c r="K6" s="32" t="str">
        <x:v>Relative margin</x:v>
      </x:c>
      <x:c r="L6" s="32" t="str">
        <x:v>Activation offset</x:v>
      </x:c>
      <x:c r="M6" s="32" t="str">
        <x:v>Absolute service</x:v>
      </x:c>
      <x:c r="N6" s="32" t="str">
        <x:v>Absolute deadline</x:v>
      </x:c>
      <x:c r="O6" s="32" t="str">
        <x:v>Absolute margin</x:v>
      </x:c>
      <x:c r="P6" s="32" t="str">
        <x:v>Result</x:v>
      </x:c>
    </x:row>
    <x:row r="7">
      <x:c r="B7" s="33" t="str">
        <x:v>Atmospheric GCH-340</x:v>
      </x:c>
      <x:c r="C7" s="80" t="n">
        <x:v>16</x:v>
      </x:c>
      <x:c r="D7" s="80" t="n">
        <x:v>16.666667</x:v>
      </x:c>
      <x:c r="E7" s="80" t="n">
        <x:v>0</x:v>
      </x:c>
      <x:c r="F7" s="80" t="n">
        <x:v>0</x:v>
      </x:c>
      <x:c r="G7" s="80" t="n">
        <x:v>1.25</x:v>
      </x:c>
      <x:c r="H7" s="80" t="n">
        <x:v>8</x:v>
      </x:c>
      <x:c r="I7" s="80" t="n">
        <x:f>SUM(C7:H7)</x:f>
        <x:v>41.916667000000004</x:v>
      </x:c>
      <x:c r="J7" s="80" t="n">
        <x:v>42</x:v>
      </x:c>
      <x:c r="K7" s="80" t="n">
        <x:f>J7-I7</x:f>
        <x:v>0.0833329999999961</x:v>
      </x:c>
      <x:c r="L7" s="80" t="n">
        <x:f>Assumptions!C40</x:f>
        <x:v>6</x:v>
      </x:c>
      <x:c r="M7" s="80" t="n">
        <x:f>I7+L7</x:f>
        <x:v>47.916667000000004</x:v>
      </x:c>
      <x:c r="N7" s="80" t="n">
        <x:f>Assumptions!C41</x:f>
        <x:v>54</x:v>
      </x:c>
      <x:c r="O7" s="80" t="n">
        <x:f>N7-M7</x:f>
        <x:v>6.083332999999996</x:v>
      </x:c>
      <x:c r="P7" s="35" t="str">
        <x:f>IF(AND(K7&gt;=0,O7&gt;=0),"PASS","FAIL")</x:f>
        <x:v>PASS</x:v>
      </x:c>
    </x:row>
    <x:row r="8">
      <x:c r="B8" s="39" t="str">
        <x:v>Terrain SAT-170R</x:v>
      </x:c>
      <x:c r="C8" s="81" t="n">
        <x:v>8</x:v>
      </x:c>
      <x:c r="D8" s="81" t="n">
        <x:v>10</x:v>
      </x:c>
      <x:c r="E8" s="81" t="n">
        <x:v>6.875</x:v>
      </x:c>
      <x:c r="F8" s="81" t="n">
        <x:v>4.444444</x:v>
      </x:c>
      <x:c r="G8" s="81" t="n">
        <x:v>4.5</x:v>
      </x:c>
      <x:c r="H8" s="81" t="n">
        <x:v>8</x:v>
      </x:c>
      <x:c r="I8" s="81" t="n">
        <x:f>SUM(C8:H8)</x:f>
        <x:v>41.819444000000004</x:v>
      </x:c>
      <x:c r="J8" s="81" t="n">
        <x:v>45</x:v>
      </x:c>
      <x:c r="K8" s="81" t="n">
        <x:f>J8-I8</x:f>
        <x:v>3.1805559999999957</x:v>
      </x:c>
      <x:c r="L8" s="81" t="n">
        <x:f>Assumptions!C40</x:f>
        <x:v>6</x:v>
      </x:c>
      <x:c r="M8" s="81" t="n">
        <x:f>I8+L8</x:f>
        <x:v>47.819444000000004</x:v>
      </x:c>
      <x:c r="N8" s="81" t="n">
        <x:f>Assumptions!C41</x:f>
        <x:v>54</x:v>
      </x:c>
      <x:c r="O8" s="81" t="n">
        <x:f>N8-M8</x:f>
        <x:v>6.180555999999996</x:v>
      </x:c>
      <x:c r="P8" s="40" t="str">
        <x:f>IF(AND(K8&gt;=0,O8&gt;=0),"PASS","FAIL")</x:f>
        <x:v>PASS</x:v>
      </x:c>
    </x:row>
    <x:row r="9"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</x:row>
    <x:row r="10"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</x:row>
    <x:row r="11">
      <x:c r="B11" s="72" t="str">
        <x:v>Formation-level schedule results</x:v>
      </x:c>
      <x:c r="C11" s="73" t="str">
        <x:v>Formation-level schedule results</x:v>
      </x:c>
      <x:c r="D11" s="73" t="str">
        <x:v>Formation-level schedule results</x:v>
      </x:c>
      <x:c r="E11" s="73" t="str">
        <x:v>Formation-level schedule results</x:v>
      </x:c>
      <x:c r="F11" s="73" t="str">
        <x:v>Formation-level schedule results</x:v>
      </x:c>
      <x:c r="G11" s="73" t="str">
        <x:v>Formation-level schedule results</x:v>
      </x:c>
      <x:c r="H11" s="73" t="str">
        <x:v>Formation-level schedule results</x:v>
      </x:c>
      <x:c r="I11" s="73" t="str">
        <x:v>Formation-level schedule results</x:v>
      </x:c>
      <x:c r="J11" s="73" t="str">
        <x:v>Formation-level schedule results</x:v>
      </x:c>
      <x:c r="K11" s="73" t="str">
        <x:v>Formation-level schedule results</x:v>
      </x:c>
      <x:c r="L11" s="73" t="str">
        <x:v>Formation-level schedule results</x:v>
      </x:c>
      <x:c r="M11" s="73" t="str">
        <x:v>Formation-level schedule results</x:v>
      </x:c>
      <x:c r="N11" s="73" t="str">
        <x:v>Formation-level schedule results</x:v>
      </x:c>
      <x:c r="O11" s="73" t="str">
        <x:v>Formation-level schedule results</x:v>
      </x:c>
      <x:c r="P11" s="74" t="str">
        <x:v>Formation-level schedule results</x:v>
      </x:c>
    </x:row>
    <x:row r="12">
      <x:c r="B12" s="31" t="str">
        <x:v>Metric</x:v>
      </x:c>
      <x:c r="C12" s="32" t="str">
        <x:v>Value</x:v>
      </x:c>
      <x:c r="D12" s="32" t="str">
        <x:v>Unit</x:v>
      </x:c>
      <x:c r="E12" s="32" t="str">
        <x:v>Rule</x:v>
      </x:c>
      <x:c r="F12" s="32" t="str">
        <x:v>Result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</x:row>
    <x:row r="13">
      <x:c r="B13" s="33" t="str">
        <x:v>Earliest independent public service</x:v>
      </x:c>
      <x:c r="C13" s="80" t="n">
        <x:f>MIN(M7:M8)</x:f>
        <x:v>47.819444000000004</x:v>
      </x:c>
      <x:c r="D13" s="33" t="str">
        <x:v>absolute h</x:v>
      </x:c>
      <x:c r="E13" s="33" t="str">
        <x:v>MIN of two mode releases</x:v>
      </x:c>
      <x:c r="F13" s="35" t="str">
        <x:f>IF(C13&lt;=Assumptions!C41,"PASS","FAIL")</x:f>
        <x:v>PASS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</x:row>
    <x:row r="14">
      <x:c r="B14" s="33" t="str">
        <x:v>Complete dual-mode public service</x:v>
      </x:c>
      <x:c r="C14" s="80" t="n">
        <x:f>MAX(M7:M8)</x:f>
        <x:v>47.916667000000004</x:v>
      </x:c>
      <x:c r="D14" s="33" t="str">
        <x:v>absolute h</x:v>
      </x:c>
      <x:c r="E14" s="33" t="str">
        <x:v>MAX of two mode releases</x:v>
      </x:c>
      <x:c r="F14" s="35" t="str">
        <x:f>IF(C14&lt;=Assumptions!C41,"PASS","FAIL")</x:f>
        <x:v>PASS</x:v>
      </x:c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</x:row>
    <x:row r="15">
      <x:c r="B15" s="33" t="str">
        <x:v>Dual-service margin to hour 54</x:v>
      </x:c>
      <x:c r="C15" s="80" t="n">
        <x:f>Assumptions!C41-C14</x:f>
        <x:v>6.083332999999996</x:v>
      </x:c>
      <x:c r="D15" s="33" t="str">
        <x:v>h</x:v>
      </x:c>
      <x:c r="E15" s="33" t="str">
        <x:v>&gt;=0</x:v>
      </x:c>
      <x:c r="F15" s="35" t="str">
        <x:f>IF(C15&lt;=Assumptions!C41,"PASS","FAIL")</x:f>
        <x:v>PASS</x:v>
      </x:c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</x:row>
    <x:row r="16">
      <x:c r="B16" s="33" t="str">
        <x:v>Air denied: terrain service</x:v>
      </x:c>
      <x:c r="C16" s="80" t="n">
        <x:f>M8</x:f>
        <x:v>47.819444000000004</x:v>
      </x:c>
      <x:c r="D16" s="33" t="str">
        <x:v>absolute h</x:v>
      </x:c>
      <x:c r="E16" s="33" t="str">
        <x:v>&lt;=54</x:v>
      </x:c>
      <x:c r="F16" s="35" t="str">
        <x:f>IF(C16&lt;=Assumptions!C41,"PASS","FAIL")</x:f>
        <x:v>PASS</x:v>
      </x:c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</x:row>
    <x:row r="17">
      <x:c r="B17" s="33" t="str">
        <x:v>Terrain denied: air service</x:v>
      </x:c>
      <x:c r="C17" s="80" t="n">
        <x:f>M7</x:f>
        <x:v>47.916667000000004</x:v>
      </x:c>
      <x:c r="D17" s="33" t="str">
        <x:v>absolute h</x:v>
      </x:c>
      <x:c r="E17" s="33" t="str">
        <x:v>&lt;=54</x:v>
      </x:c>
      <x:c r="F17" s="35" t="str">
        <x:f>IF(C17&lt;=Assumptions!C41,"PASS","FAIL")</x:f>
        <x:v>PASS</x:v>
      </x:c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</x:row>
    <x:row r="18">
      <x:c r="B18" s="39" t="str">
        <x:v>Optional post-release cross-tie complete</x:v>
      </x:c>
      <x:c r="C18" s="81" t="n">
        <x:f>C14+2</x:f>
        <x:v>49.916667000000004</x:v>
      </x:c>
      <x:c r="D18" s="39" t="str">
        <x:v>absolute h</x:v>
      </x:c>
      <x:c r="E18" s="39" t="str">
        <x:v>not on public-service path</x:v>
      </x:c>
      <x:c r="F18" s="40" t="str">
        <x:v>OPTIONAL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</x:row>
    <x:row r="19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</x:row>
  </x:sheetData>
  <x:mergeCells>
    <x:mergeCell ref="B11:P11"/>
  </x:mergeCells>
  <x:conditionalFormatting sqref="P7:P8">
    <x:cfRule type="containsText" dxfId="21" priority="1" operator="containsText" text="FAIL"/>
    <x:cfRule type="containsText" dxfId="22" priority="2" operator="containsText" text="DIVERGES"/>
    <x:cfRule type="containsText" dxfId="23" priority="3" operator="containsText" text="PASS"/>
  </x:conditionalFormatting>
  <x:conditionalFormatting sqref="F13:F18">
    <x:cfRule type="containsText" dxfId="24" priority="4" operator="containsText" text="FAIL"/>
    <x:cfRule type="containsText" dxfId="25" priority="5" operator="containsText" text="DIVERGES"/>
    <x:cfRule type="containsText" dxfId="26" priority="6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39" hidden="0" customWidth="1"/>
    <x:col min="4" max="4" width="12" hidden="0" customWidth="1"/>
    <x:col min="5" max="5" width="14" hidden="0" customWidth="1"/>
    <x:col min="6" max="6" width="15" hidden="0" customWidth="1"/>
    <x:col min="7" max="7" width="17" hidden="0" customWidth="1"/>
    <x:col min="8" max="8" width="13" hidden="0" customWidth="1"/>
    <x:col min="9" max="9" width="16" hidden="0" customWidth="1"/>
    <x:col min="10" max="10" width="18" hidden="0" customWidth="1"/>
    <x:col min="11" max="11" width="16" hidden="0" customWidth="1"/>
    <x:col min="12" max="12" width="17" hidden="0" customWidth="1"/>
    <x:col min="13" max="13" width="14" hidden="0" customWidth="1"/>
    <x:col min="14" max="14" width="18" hidden="0" customWidth="1"/>
    <x:col min="15" max="15" width="15" hidden="0" customWidth="1"/>
    <x:col min="16" max="16" width="43" hidden="0" customWidth="1"/>
  </x:cols>
  <x:sheetData>
    <x:row r="2">
      <x:c r="B2" s="78" t="str">
        <x:v>Two-mode failure worlds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</x:row>
    <x:row r="3">
      <x:c r="B3" s="79" t="str">
        <x:v>The formation preserves one complete independent cell after a single mode cut; simultaneous mode denial and hidden common ancestry remain designed failures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</x:row>
    <x:row r="6">
      <x:c r="B6" s="31" t="str">
        <x:v>World</x:v>
      </x:c>
      <x:c r="C6" s="32" t="str">
        <x:v>Failure insertion</x:v>
      </x:c>
      <x:c r="D6" s="32" t="str">
        <x:v>Air path</x:v>
      </x:c>
      <x:c r="E6" s="32" t="str">
        <x:v>Terrain path</x:v>
      </x:c>
      <x:c r="F6" s="32" t="str">
        <x:v>Air receiver</x:v>
      </x:c>
      <x:c r="G6" s="32" t="str">
        <x:v>Terrain receiver</x:v>
      </x:c>
      <x:c r="H6" s="32" t="str">
        <x:v>Cross-tie</x:v>
      </x:c>
      <x:c r="I6" s="32" t="str">
        <x:v>Air authority</x:v>
      </x:c>
      <x:c r="J6" s="32" t="str">
        <x:v>Terrain authority</x:v>
      </x:c>
      <x:c r="K6" s="32" t="str">
        <x:v>Ancestry valid</x:v>
      </x:c>
      <x:c r="L6" s="32" t="str">
        <x:v>DCP public effect</x:v>
      </x:c>
      <x:c r="M6" s="32" t="str">
        <x:v>Behavior</x:v>
      </x:c>
      <x:c r="N6" s="32" t="str">
        <x:v>Evidence available</x:v>
      </x:c>
      <x:c r="O6" s="32" t="str">
        <x:v>Current credit</x:v>
      </x:c>
      <x:c r="P6" s="32" t="str">
        <x:v>Interpretation</x:v>
      </x:c>
    </x:row>
    <x:row r="7">
      <x:c r="B7" s="33" t="str">
        <x:v>W01</x:v>
      </x:c>
      <x:c r="C7" s="33" t="str">
        <x:v>nominal</x:v>
      </x:c>
      <x:c r="D7" s="33" t="n">
        <x:v>1</x:v>
      </x:c>
      <x:c r="E7" s="33" t="n">
        <x:v>1</x:v>
      </x:c>
      <x:c r="F7" s="33" t="n">
        <x:v>1</x:v>
      </x:c>
      <x:c r="G7" s="33" t="n">
        <x:v>1</x:v>
      </x:c>
      <x:c r="H7" s="33" t="n">
        <x:v>1</x:v>
      </x:c>
      <x:c r="I7" s="33" t="n">
        <x:v>1</x:v>
      </x:c>
      <x:c r="J7" s="33" t="n">
        <x:v>1</x:v>
      </x:c>
      <x:c r="K7" s="33" t="n">
        <x:v>1</x:v>
      </x:c>
      <x:c r="L7" s="33" t="n">
        <x:f>IF(AND(OR(D7*F7*I7=1,E7*G7*J7=1),K7=1),1,0)</x:f>
        <x:v>1</x:v>
      </x:c>
      <x:c r="M7" s="33" t="str">
        <x:f>IF(L7=1,"PASS","FAIL")</x:f>
        <x:v>PASS</x:v>
      </x:c>
      <x:c r="N7" s="33" t="n">
        <x:v>0</x:v>
      </x:c>
      <x:c r="O7" s="33" t="n">
        <x:v>0</x:v>
      </x:c>
      <x:c r="P7" s="35" t="str">
        <x:v>both cells release</x:v>
      </x:c>
    </x:row>
    <x:row r="8">
      <x:c r="B8" s="33" t="str">
        <x:v>W02</x:v>
      </x:c>
      <x:c r="C8" s="33" t="str">
        <x:v>air receiver denied</x:v>
      </x:c>
      <x:c r="D8" s="33" t="n">
        <x:v>0</x:v>
      </x:c>
      <x:c r="E8" s="33" t="n">
        <x:v>1</x:v>
      </x:c>
      <x:c r="F8" s="33" t="n">
        <x:v>0</x:v>
      </x:c>
      <x:c r="G8" s="33" t="n">
        <x:v>1</x:v>
      </x:c>
      <x:c r="H8" s="33" t="n">
        <x:v>1</x:v>
      </x:c>
      <x:c r="I8" s="33" t="n">
        <x:v>0</x:v>
      </x:c>
      <x:c r="J8" s="33" t="n">
        <x:v>1</x:v>
      </x:c>
      <x:c r="K8" s="33" t="n">
        <x:v>1</x:v>
      </x:c>
      <x:c r="L8" s="33" t="n">
        <x:f>IF(AND(OR(D8*F8*I8=1,E8*G8*J8=1),K8=1),1,0)</x:f>
        <x:v>1</x:v>
      </x:c>
      <x:c r="M8" s="33" t="str">
        <x:f>IF(L8=1,"PASS","FAIL")</x:f>
        <x:v>PASS</x:v>
      </x:c>
      <x:c r="N8" s="33" t="n">
        <x:v>0</x:v>
      </x:c>
      <x:c r="O8" s="33" t="n">
        <x:v>0</x:v>
      </x:c>
      <x:c r="P8" s="35" t="str">
        <x:v>terrain cell releases</x:v>
      </x:c>
    </x:row>
    <x:row r="9">
      <x:c r="B9" s="33" t="str">
        <x:v>W03</x:v>
      </x:c>
      <x:c r="C9" s="33" t="str">
        <x:v>terrain receiver denied</x:v>
      </x:c>
      <x:c r="D9" s="33" t="n">
        <x:v>1</x:v>
      </x:c>
      <x:c r="E9" s="33" t="n">
        <x:v>0</x:v>
      </x:c>
      <x:c r="F9" s="33" t="n">
        <x:v>1</x:v>
      </x:c>
      <x:c r="G9" s="33" t="n">
        <x:v>0</x:v>
      </x:c>
      <x:c r="H9" s="33" t="n">
        <x:v>1</x:v>
      </x:c>
      <x:c r="I9" s="33" t="n">
        <x:v>1</x:v>
      </x:c>
      <x:c r="J9" s="33" t="n">
        <x:v>0</x:v>
      </x:c>
      <x:c r="K9" s="33" t="n">
        <x:v>1</x:v>
      </x:c>
      <x:c r="L9" s="33" t="n">
        <x:f>IF(AND(OR(D9*F9*I9=1,E9*G9*J9=1),K9=1),1,0)</x:f>
        <x:v>1</x:v>
      </x:c>
      <x:c r="M9" s="33" t="str">
        <x:f>IF(L9=1,"PASS","FAIL")</x:f>
        <x:v>PASS</x:v>
      </x:c>
      <x:c r="N9" s="33" t="n">
        <x:v>0</x:v>
      </x:c>
      <x:c r="O9" s="33" t="n">
        <x:v>0</x:v>
      </x:c>
      <x:c r="P9" s="35" t="str">
        <x:v>air cell releases</x:v>
      </x:c>
    </x:row>
    <x:row r="10">
      <x:c r="B10" s="33" t="str">
        <x:v>W04</x:v>
      </x:c>
      <x:c r="C10" s="33" t="str">
        <x:v>downstream service yard denied</x:v>
      </x:c>
      <x:c r="D10" s="33" t="n">
        <x:v>1</x:v>
      </x:c>
      <x:c r="E10" s="33" t="n">
        <x:v>1</x:v>
      </x:c>
      <x:c r="F10" s="33" t="n">
        <x:v>1</x:v>
      </x:c>
      <x:c r="G10" s="33" t="n">
        <x:v>1</x:v>
      </x:c>
      <x:c r="H10" s="33" t="n">
        <x:v>0</x:v>
      </x:c>
      <x:c r="I10" s="33" t="n">
        <x:v>1</x:v>
      </x:c>
      <x:c r="J10" s="33" t="n">
        <x:v>1</x:v>
      </x:c>
      <x:c r="K10" s="33" t="n">
        <x:v>1</x:v>
      </x:c>
      <x:c r="L10" s="33" t="n">
        <x:f>IF(AND(OR(D10*F10*I10=1,E10*G10*J10=1),K10=1),1,0)</x:f>
        <x:v>1</x:v>
      </x:c>
      <x:c r="M10" s="33" t="str">
        <x:f>IF(L10=1,"PASS","FAIL")</x:f>
        <x:v>PASS</x:v>
      </x:c>
      <x:c r="N10" s="33" t="n">
        <x:v>0</x:v>
      </x:c>
      <x:c r="O10" s="33" t="n">
        <x:v>0</x:v>
      </x:c>
      <x:c r="P10" s="35" t="str">
        <x:v>both independent nodes release</x:v>
      </x:c>
    </x:row>
    <x:row r="11">
      <x:c r="B11" s="33" t="str">
        <x:v>W05</x:v>
      </x:c>
      <x:c r="C11" s="33" t="str">
        <x:v>cross-tie corridor denied</x:v>
      </x:c>
      <x:c r="D11" s="33" t="n">
        <x:v>1</x:v>
      </x:c>
      <x:c r="E11" s="33" t="n">
        <x:v>1</x:v>
      </x:c>
      <x:c r="F11" s="33" t="n">
        <x:v>1</x:v>
      </x:c>
      <x:c r="G11" s="33" t="n">
        <x:v>1</x:v>
      </x:c>
      <x:c r="H11" s="33" t="n">
        <x:v>0</x:v>
      </x:c>
      <x:c r="I11" s="33" t="n">
        <x:v>1</x:v>
      </x:c>
      <x:c r="J11" s="33" t="n">
        <x:v>1</x:v>
      </x:c>
      <x:c r="K11" s="33" t="n">
        <x:v>1</x:v>
      </x:c>
      <x:c r="L11" s="33" t="n">
        <x:f>IF(AND(OR(D11*F11*I11=1,E11*G11*J11=1),K11=1),1,0)</x:f>
        <x:v>1</x:v>
      </x:c>
      <x:c r="M11" s="33" t="str">
        <x:f>IF(L11=1,"PASS","FAIL")</x:f>
        <x:v>PASS</x:v>
      </x:c>
      <x:c r="N11" s="33" t="n">
        <x:v>0</x:v>
      </x:c>
      <x:c r="O11" s="33" t="n">
        <x:v>0</x:v>
      </x:c>
      <x:c r="P11" s="35" t="str">
        <x:v>tie is fail-open</x:v>
      </x:c>
    </x:row>
    <x:row r="12">
      <x:c r="B12" s="33" t="str">
        <x:v>W06</x:v>
      </x:c>
      <x:c r="C12" s="33" t="str">
        <x:v>air energy lineage denied</x:v>
      </x:c>
      <x:c r="D12" s="33" t="n">
        <x:v>0</x:v>
      </x:c>
      <x:c r="E12" s="33" t="n">
        <x:v>1</x:v>
      </x:c>
      <x:c r="F12" s="33" t="n">
        <x:v>1</x:v>
      </x:c>
      <x:c r="G12" s="33" t="n">
        <x:v>1</x:v>
      </x:c>
      <x:c r="H12" s="33" t="n">
        <x:v>1</x:v>
      </x:c>
      <x:c r="I12" s="33" t="n">
        <x:v>0</x:v>
      </x:c>
      <x:c r="J12" s="33" t="n">
        <x:v>1</x:v>
      </x:c>
      <x:c r="K12" s="33" t="n">
        <x:v>1</x:v>
      </x:c>
      <x:c r="L12" s="33" t="n">
        <x:f>IF(AND(OR(D12*F12*I12=1,E12*G12*J12=1),K12=1),1,0)</x:f>
        <x:v>1</x:v>
      </x:c>
      <x:c r="M12" s="33" t="str">
        <x:f>IF(L12=1,"PASS","FAIL")</x:f>
        <x:v>PASS</x:v>
      </x:c>
      <x:c r="N12" s="33" t="n">
        <x:v>0</x:v>
      </x:c>
      <x:c r="O12" s="33" t="n">
        <x:v>0</x:v>
      </x:c>
      <x:c r="P12" s="35" t="str">
        <x:v>terrain liquid-electric path releases</x:v>
      </x:c>
    </x:row>
    <x:row r="13">
      <x:c r="B13" s="33" t="str">
        <x:v>W07</x:v>
      </x:c>
      <x:c r="C13" s="33" t="str">
        <x:v>terrain fuel lineage denied</x:v>
      </x:c>
      <x:c r="D13" s="33" t="n">
        <x:v>1</x:v>
      </x:c>
      <x:c r="E13" s="33" t="n">
        <x:v>0</x:v>
      </x:c>
      <x:c r="F13" s="33" t="n">
        <x:v>1</x:v>
      </x:c>
      <x:c r="G13" s="33" t="n">
        <x:v>1</x:v>
      </x:c>
      <x:c r="H13" s="33" t="n">
        <x:v>1</x:v>
      </x:c>
      <x:c r="I13" s="33" t="n">
        <x:v>1</x:v>
      </x:c>
      <x:c r="J13" s="33" t="n">
        <x:v>0</x:v>
      </x:c>
      <x:c r="K13" s="33" t="n">
        <x:v>1</x:v>
      </x:c>
      <x:c r="L13" s="33" t="n">
        <x:f>IF(AND(OR(D13*F13*I13=1,E13*G13*J13=1),K13=1),1,0)</x:f>
        <x:v>1</x:v>
      </x:c>
      <x:c r="M13" s="33" t="str">
        <x:f>IF(L13=1,"PASS","FAIL")</x:f>
        <x:v>PASS</x:v>
      </x:c>
      <x:c r="N13" s="33" t="n">
        <x:v>0</x:v>
      </x:c>
      <x:c r="O13" s="33" t="n">
        <x:v>0</x:v>
      </x:c>
      <x:c r="P13" s="35" t="str">
        <x:v>air path releases</x:v>
      </x:c>
    </x:row>
    <x:row r="14">
      <x:c r="B14" s="33" t="str">
        <x:v>W08</x:v>
      </x:c>
      <x:c r="C14" s="33" t="str">
        <x:v>air maintenance chain denied</x:v>
      </x:c>
      <x:c r="D14" s="33" t="n">
        <x:v>0</x:v>
      </x:c>
      <x:c r="E14" s="33" t="n">
        <x:v>1</x:v>
      </x:c>
      <x:c r="F14" s="33" t="n">
        <x:v>1</x:v>
      </x:c>
      <x:c r="G14" s="33" t="n">
        <x:v>1</x:v>
      </x:c>
      <x:c r="H14" s="33" t="n">
        <x:v>1</x:v>
      </x:c>
      <x:c r="I14" s="33" t="n">
        <x:v>0</x:v>
      </x:c>
      <x:c r="J14" s="33" t="n">
        <x:v>1</x:v>
      </x:c>
      <x:c r="K14" s="33" t="n">
        <x:v>1</x:v>
      </x:c>
      <x:c r="L14" s="33" t="n">
        <x:f>IF(AND(OR(D14*F14*I14=1,E14*G14*J14=1),K14=1),1,0)</x:f>
        <x:v>1</x:v>
      </x:c>
      <x:c r="M14" s="33" t="str">
        <x:f>IF(L14=1,"PASS","FAIL")</x:f>
        <x:v>PASS</x:v>
      </x:c>
      <x:c r="N14" s="33" t="n">
        <x:v>0</x:v>
      </x:c>
      <x:c r="O14" s="33" t="n">
        <x:v>0</x:v>
      </x:c>
      <x:c r="P14" s="35" t="str">
        <x:v>terrain path releases</x:v>
      </x:c>
    </x:row>
    <x:row r="15">
      <x:c r="B15" s="33" t="str">
        <x:v>W09</x:v>
      </x:c>
      <x:c r="C15" s="33" t="str">
        <x:v>terrain maintenance chain denied</x:v>
      </x:c>
      <x:c r="D15" s="33" t="n">
        <x:v>1</x:v>
      </x:c>
      <x:c r="E15" s="33" t="n">
        <x:v>0</x:v>
      </x:c>
      <x:c r="F15" s="33" t="n">
        <x:v>1</x:v>
      </x:c>
      <x:c r="G15" s="33" t="n">
        <x:v>1</x:v>
      </x:c>
      <x:c r="H15" s="33" t="n">
        <x:v>1</x:v>
      </x:c>
      <x:c r="I15" s="33" t="n">
        <x:v>1</x:v>
      </x:c>
      <x:c r="J15" s="33" t="n">
        <x:v>0</x:v>
      </x:c>
      <x:c r="K15" s="33" t="n">
        <x:v>1</x:v>
      </x:c>
      <x:c r="L15" s="33" t="n">
        <x:f>IF(AND(OR(D15*F15*I15=1,E15*G15*J15=1),K15=1),1,0)</x:f>
        <x:v>1</x:v>
      </x:c>
      <x:c r="M15" s="33" t="str">
        <x:f>IF(L15=1,"PASS","FAIL")</x:f>
        <x:v>PASS</x:v>
      </x:c>
      <x:c r="N15" s="33" t="n">
        <x:v>0</x:v>
      </x:c>
      <x:c r="O15" s="33" t="n">
        <x:v>0</x:v>
      </x:c>
      <x:c r="P15" s="35" t="str">
        <x:v>air path releases</x:v>
      </x:c>
    </x:row>
    <x:row r="16">
      <x:c r="B16" s="33" t="str">
        <x:v>W10</x:v>
      </x:c>
      <x:c r="C16" s="33" t="str">
        <x:v>air release authority lost</x:v>
      </x:c>
      <x:c r="D16" s="33" t="n">
        <x:v>0</x:v>
      </x:c>
      <x:c r="E16" s="33" t="n">
        <x:v>1</x:v>
      </x:c>
      <x:c r="F16" s="33" t="n">
        <x:v>1</x:v>
      </x:c>
      <x:c r="G16" s="33" t="n">
        <x:v>1</x:v>
      </x:c>
      <x:c r="H16" s="33" t="n">
        <x:v>1</x:v>
      </x:c>
      <x:c r="I16" s="33" t="n">
        <x:v>0</x:v>
      </x:c>
      <x:c r="J16" s="33" t="n">
        <x:v>1</x:v>
      </x:c>
      <x:c r="K16" s="33" t="n">
        <x:v>1</x:v>
      </x:c>
      <x:c r="L16" s="33" t="n">
        <x:f>IF(AND(OR(D16*F16*I16=1,E16*G16*J16=1),K16=1),1,0)</x:f>
        <x:v>1</x:v>
      </x:c>
      <x:c r="M16" s="33" t="str">
        <x:f>IF(L16=1,"PASS","FAIL")</x:f>
        <x:v>PASS</x:v>
      </x:c>
      <x:c r="N16" s="33" t="n">
        <x:v>0</x:v>
      </x:c>
      <x:c r="O16" s="33" t="n">
        <x:v>0</x:v>
      </x:c>
      <x:c r="P16" s="35" t="str">
        <x:v>terrain authority remains</x:v>
      </x:c>
    </x:row>
    <x:row r="17">
      <x:c r="B17" s="33" t="str">
        <x:v>W11</x:v>
      </x:c>
      <x:c r="C17" s="33" t="str">
        <x:v>terrain release authority lost</x:v>
      </x:c>
      <x:c r="D17" s="33" t="n">
        <x:v>1</x:v>
      </x:c>
      <x:c r="E17" s="33" t="n">
        <x:v>0</x:v>
      </x:c>
      <x:c r="F17" s="33" t="n">
        <x:v>1</x:v>
      </x:c>
      <x:c r="G17" s="33" t="n">
        <x:v>1</x:v>
      </x:c>
      <x:c r="H17" s="33" t="n">
        <x:v>1</x:v>
      </x:c>
      <x:c r="I17" s="33" t="n">
        <x:v>1</x:v>
      </x:c>
      <x:c r="J17" s="33" t="n">
        <x:v>0</x:v>
      </x:c>
      <x:c r="K17" s="33" t="n">
        <x:v>1</x:v>
      </x:c>
      <x:c r="L17" s="33" t="n">
        <x:f>IF(AND(OR(D17*F17*I17=1,E17*G17*J17=1),K17=1),1,0)</x:f>
        <x:v>1</x:v>
      </x:c>
      <x:c r="M17" s="33" t="str">
        <x:f>IF(L17=1,"PASS","FAIL")</x:f>
        <x:v>PASS</x:v>
      </x:c>
      <x:c r="N17" s="33" t="n">
        <x:v>0</x:v>
      </x:c>
      <x:c r="O17" s="33" t="n">
        <x:v>0</x:v>
      </x:c>
      <x:c r="P17" s="35" t="str">
        <x:v>air authority remains</x:v>
      </x:c>
    </x:row>
    <x:row r="18">
      <x:c r="B18" s="33" t="str">
        <x:v>W12</x:v>
      </x:c>
      <x:c r="C18" s="33" t="str">
        <x:v>national network and GNSS denied</x:v>
      </x:c>
      <x:c r="D18" s="33" t="n">
        <x:v>1</x:v>
      </x:c>
      <x:c r="E18" s="33" t="n">
        <x:v>1</x:v>
      </x:c>
      <x:c r="F18" s="33" t="n">
        <x:v>1</x:v>
      </x:c>
      <x:c r="G18" s="33" t="n">
        <x:v>1</x:v>
      </x:c>
      <x:c r="H18" s="33" t="n">
        <x:v>1</x:v>
      </x:c>
      <x:c r="I18" s="33" t="n">
        <x:v>1</x:v>
      </x:c>
      <x:c r="J18" s="33" t="n">
        <x:v>1</x:v>
      </x:c>
      <x:c r="K18" s="33" t="n">
        <x:v>1</x:v>
      </x:c>
      <x:c r="L18" s="33" t="n">
        <x:f>IF(AND(OR(D18*F18*I18=1,E18*G18*J18=1),K18=1),1,0)</x:f>
        <x:v>1</x:v>
      </x:c>
      <x:c r="M18" s="33" t="str">
        <x:f>IF(L18=1,"PASS","FAIL")</x:f>
        <x:v>PASS</x:v>
      </x:c>
      <x:c r="N18" s="33" t="n">
        <x:v>0</x:v>
      </x:c>
      <x:c r="O18" s="33" t="n">
        <x:v>0</x:v>
      </x:c>
      <x:c r="P18" s="35" t="str">
        <x:v>offline records and control</x:v>
      </x:c>
    </x:row>
    <x:row r="19">
      <x:c r="B19" s="33" t="str">
        <x:v>W13</x:v>
      </x:c>
      <x:c r="C19" s="33" t="str">
        <x:v>one GCH-340 lost</x:v>
      </x:c>
      <x:c r="D19" s="33" t="n">
        <x:v>0</x:v>
      </x:c>
      <x:c r="E19" s="33" t="n">
        <x:v>1</x:v>
      </x:c>
      <x:c r="F19" s="33" t="n">
        <x:v>1</x:v>
      </x:c>
      <x:c r="G19" s="33" t="n">
        <x:v>1</x:v>
      </x:c>
      <x:c r="H19" s="33" t="n">
        <x:v>1</x:v>
      </x:c>
      <x:c r="I19" s="33" t="n">
        <x:v>0</x:v>
      </x:c>
      <x:c r="J19" s="33" t="n">
        <x:v>1</x:v>
      </x:c>
      <x:c r="K19" s="33" t="n">
        <x:v>1</x:v>
      </x:c>
      <x:c r="L19" s="33" t="n">
        <x:f>IF(AND(OR(D19*F19*I19=1,E19*G19*J19=1),K19=1),1,0)</x:f>
        <x:v>1</x:v>
      </x:c>
      <x:c r="M19" s="33" t="str">
        <x:f>IF(L19=1,"PASS","FAIL")</x:f>
        <x:v>PASS</x:v>
      </x:c>
      <x:c r="N19" s="33" t="n">
        <x:v>0</x:v>
      </x:c>
      <x:c r="O19" s="33" t="n">
        <x:v>0</x:v>
      </x:c>
      <x:c r="P19" s="35" t="str">
        <x:v>air cell incomplete; terrain releases</x:v>
      </x:c>
    </x:row>
    <x:row r="20">
      <x:c r="B20" s="33" t="str">
        <x:v>W14</x:v>
      </x:c>
      <x:c r="C20" s="33" t="str">
        <x:v>one SAT-170R lost</x:v>
      </x:c>
      <x:c r="D20" s="33" t="n">
        <x:v>1</x:v>
      </x:c>
      <x:c r="E20" s="33" t="n">
        <x:v>0</x:v>
      </x:c>
      <x:c r="F20" s="33" t="n">
        <x:v>1</x:v>
      </x:c>
      <x:c r="G20" s="33" t="n">
        <x:v>1</x:v>
      </x:c>
      <x:c r="H20" s="33" t="n">
        <x:v>1</x:v>
      </x:c>
      <x:c r="I20" s="33" t="n">
        <x:v>1</x:v>
      </x:c>
      <x:c r="J20" s="33" t="n">
        <x:v>0</x:v>
      </x:c>
      <x:c r="K20" s="33" t="n">
        <x:v>1</x:v>
      </x:c>
      <x:c r="L20" s="33" t="n">
        <x:f>IF(AND(OR(D20*F20*I20=1,E20*G20*J20=1),K20=1),1,0)</x:f>
        <x:v>1</x:v>
      </x:c>
      <x:c r="M20" s="33" t="str">
        <x:f>IF(L20=1,"PASS","FAIL")</x:f>
        <x:v>PASS</x:v>
      </x:c>
      <x:c r="N20" s="33" t="n">
        <x:v>0</x:v>
      </x:c>
      <x:c r="O20" s="33" t="n">
        <x:v>0</x:v>
      </x:c>
      <x:c r="P20" s="35" t="str">
        <x:v>terrain cell incomplete; air releases</x:v>
      </x:c>
    </x:row>
    <x:row r="21">
      <x:c r="B21" s="33" t="str">
        <x:v>W15</x:v>
      </x:c>
      <x:c r="C21" s="33" t="str">
        <x:v>one SAT contact pod lost</x:v>
      </x:c>
      <x:c r="D21" s="33" t="n">
        <x:v>1</x:v>
      </x:c>
      <x:c r="E21" s="33" t="n">
        <x:v>1</x:v>
      </x:c>
      <x:c r="F21" s="33" t="n">
        <x:v>1</x:v>
      </x:c>
      <x:c r="G21" s="33" t="n">
        <x:v>1</x:v>
      </x:c>
      <x:c r="H21" s="33" t="n">
        <x:v>1</x:v>
      </x:c>
      <x:c r="I21" s="33" t="n">
        <x:v>1</x:v>
      </x:c>
      <x:c r="J21" s="33" t="n">
        <x:v>1</x:v>
      </x:c>
      <x:c r="K21" s="33" t="n">
        <x:v>1</x:v>
      </x:c>
      <x:c r="L21" s="33" t="n">
        <x:f>IF(AND(OR(D21*F21*I21=1,E21*G21*J21=1),K21=1),1,0)</x:f>
        <x:v>1</x:v>
      </x:c>
      <x:c r="M21" s="33" t="str">
        <x:f>IF(L21=1,"PASS","FAIL")</x:f>
        <x:v>PASS</x:v>
      </x:c>
      <x:c r="N21" s="33" t="n">
        <x:v>0</x:v>
      </x:c>
      <x:c r="O21" s="33" t="n">
        <x:v>0</x:v>
      </x:c>
      <x:c r="P21" s="35" t="str">
        <x:v>34.43 kPa compounded case</x:v>
      </x:c>
    </x:row>
    <x:row r="22">
      <x:c r="B22" s="33" t="str">
        <x:v>W16</x:v>
      </x:c>
      <x:c r="C22" s="33" t="str">
        <x:v>one SAT power sector lost</x:v>
      </x:c>
      <x:c r="D22" s="33" t="n">
        <x:v>1</x:v>
      </x:c>
      <x:c r="E22" s="33" t="n">
        <x:v>1</x:v>
      </x:c>
      <x:c r="F22" s="33" t="n">
        <x:v>1</x:v>
      </x:c>
      <x:c r="G22" s="33" t="n">
        <x:v>1</x:v>
      </x:c>
      <x:c r="H22" s="33" t="n">
        <x:v>1</x:v>
      </x:c>
      <x:c r="I22" s="33" t="n">
        <x:v>1</x:v>
      </x:c>
      <x:c r="J22" s="33" t="n">
        <x:v>1</x:v>
      </x:c>
      <x:c r="K22" s="33" t="n">
        <x:v>1</x:v>
      </x:c>
      <x:c r="L22" s="33" t="n">
        <x:f>IF(AND(OR(D22*F22*I22=1,E22*G22*J22=1),K22=1),1,0)</x:f>
        <x:v>1</x:v>
      </x:c>
      <x:c r="M22" s="33" t="str">
        <x:f>IF(L22=1,"PASS","FAIL")</x:f>
        <x:v>PASS</x:v>
      </x:c>
      <x:c r="N22" s="33" t="n">
        <x:v>0</x:v>
      </x:c>
      <x:c r="O22" s="33" t="n">
        <x:v>0</x:v>
      </x:c>
      <x:c r="P22" s="35" t="str">
        <x:v>27 MW remains above demand</x:v>
      </x:c>
    </x:row>
    <x:row r="23">
      <x:c r="B23" s="33" t="str">
        <x:v>W17</x:v>
      </x:c>
      <x:c r="C23" s="33" t="str">
        <x:v>terrain fuel lot quarantined</x:v>
      </x:c>
      <x:c r="D23" s="33" t="n">
        <x:v>1</x:v>
      </x:c>
      <x:c r="E23" s="33" t="n">
        <x:v>0</x:v>
      </x:c>
      <x:c r="F23" s="33" t="n">
        <x:v>1</x:v>
      </x:c>
      <x:c r="G23" s="33" t="n">
        <x:v>1</x:v>
      </x:c>
      <x:c r="H23" s="33" t="n">
        <x:v>1</x:v>
      </x:c>
      <x:c r="I23" s="33" t="n">
        <x:v>1</x:v>
      </x:c>
      <x:c r="J23" s="33" t="n">
        <x:v>0</x:v>
      </x:c>
      <x:c r="K23" s="33" t="n">
        <x:v>1</x:v>
      </x:c>
      <x:c r="L23" s="33" t="n">
        <x:f>IF(AND(OR(D23*F23*I23=1,E23*G23*J23=1),K23=1),1,0)</x:f>
        <x:v>1</x:v>
      </x:c>
      <x:c r="M23" s="33" t="str">
        <x:f>IF(L23=1,"PASS","FAIL")</x:f>
        <x:v>PASS</x:v>
      </x:c>
      <x:c r="N23" s="33" t="n">
        <x:v>0</x:v>
      </x:c>
      <x:c r="O23" s="33" t="n">
        <x:v>0</x:v>
      </x:c>
      <x:c r="P23" s="35" t="str">
        <x:v>air energy ancestry unaffected</x:v>
      </x:c>
    </x:row>
    <x:row r="24">
      <x:c r="B24" s="33" t="str">
        <x:v>W18</x:v>
      </x:c>
      <x:c r="C24" s="33" t="str">
        <x:v>weather closes atmospheric mode</x:v>
      </x:c>
      <x:c r="D24" s="33" t="n">
        <x:v>0</x:v>
      </x:c>
      <x:c r="E24" s="33" t="n">
        <x:v>1</x:v>
      </x:c>
      <x:c r="F24" s="33" t="n">
        <x:v>1</x:v>
      </x:c>
      <x:c r="G24" s="33" t="n">
        <x:v>1</x:v>
      </x:c>
      <x:c r="H24" s="33" t="n">
        <x:v>1</x:v>
      </x:c>
      <x:c r="I24" s="33" t="n">
        <x:v>0</x:v>
      </x:c>
      <x:c r="J24" s="33" t="n">
        <x:v>1</x:v>
      </x:c>
      <x:c r="K24" s="33" t="n">
        <x:v>1</x:v>
      </x:c>
      <x:c r="L24" s="33" t="n">
        <x:f>IF(AND(OR(D24*F24*I24=1,E24*G24*J24=1),K24=1),1,0)</x:f>
        <x:v>1</x:v>
      </x:c>
      <x:c r="M24" s="33" t="str">
        <x:f>IF(L24=1,"PASS","FAIL")</x:f>
        <x:v>PASS</x:v>
      </x:c>
      <x:c r="N24" s="33" t="n">
        <x:v>0</x:v>
      </x:c>
      <x:c r="O24" s="33" t="n">
        <x:v>0</x:v>
      </x:c>
      <x:c r="P24" s="35" t="str">
        <x:v>terrain path releases</x:v>
      </x:c>
    </x:row>
    <x:row r="25">
      <x:c r="B25" s="33" t="str">
        <x:v>W19</x:v>
      </x:c>
      <x:c r="C25" s="33" t="str">
        <x:v>soil closes terrain mode</x:v>
      </x:c>
      <x:c r="D25" s="33" t="n">
        <x:v>1</x:v>
      </x:c>
      <x:c r="E25" s="33" t="n">
        <x:v>0</x:v>
      </x:c>
      <x:c r="F25" s="33" t="n">
        <x:v>1</x:v>
      </x:c>
      <x:c r="G25" s="33" t="n">
        <x:v>1</x:v>
      </x:c>
      <x:c r="H25" s="33" t="n">
        <x:v>1</x:v>
      </x:c>
      <x:c r="I25" s="33" t="n">
        <x:v>1</x:v>
      </x:c>
      <x:c r="J25" s="33" t="n">
        <x:v>0</x:v>
      </x:c>
      <x:c r="K25" s="33" t="n">
        <x:v>1</x:v>
      </x:c>
      <x:c r="L25" s="33" t="n">
        <x:f>IF(AND(OR(D25*F25*I25=1,E25*G25*J25=1),K25=1),1,0)</x:f>
        <x:v>1</x:v>
      </x:c>
      <x:c r="M25" s="33" t="str">
        <x:f>IF(L25=1,"PASS","FAIL")</x:f>
        <x:v>PASS</x:v>
      </x:c>
      <x:c r="N25" s="33" t="n">
        <x:v>0</x:v>
      </x:c>
      <x:c r="O25" s="33" t="n">
        <x:v>0</x:v>
      </x:c>
      <x:c r="P25" s="35" t="str">
        <x:v>air path releases</x:v>
      </x:c>
    </x:row>
    <x:row r="26">
      <x:c r="B26" s="33" t="str">
        <x:v>W20</x:v>
      </x:c>
      <x:c r="C26" s="33" t="str">
        <x:v>simultaneous air and terrain denial</x:v>
      </x:c>
      <x:c r="D26" s="33" t="n">
        <x:v>0</x:v>
      </x:c>
      <x:c r="E26" s="33" t="n">
        <x:v>0</x:v>
      </x:c>
      <x:c r="F26" s="33" t="n">
        <x:v>0</x:v>
      </x:c>
      <x:c r="G26" s="33" t="n">
        <x:v>0</x:v>
      </x:c>
      <x:c r="H26" s="33" t="n">
        <x:v>0</x:v>
      </x:c>
      <x:c r="I26" s="33" t="n">
        <x:v>0</x:v>
      </x:c>
      <x:c r="J26" s="33" t="n">
        <x:v>0</x:v>
      </x:c>
      <x:c r="K26" s="33" t="n">
        <x:v>1</x:v>
      </x:c>
      <x:c r="L26" s="33" t="n">
        <x:f>IF(AND(OR(D26*F26*I26=1,E26*G26*J26=1),K26=1),1,0)</x:f>
        <x:v>0</x:v>
      </x:c>
      <x:c r="M26" s="33" t="str">
        <x:f>IF(L26=1,"PASS","FAIL")</x:f>
        <x:v>FAIL</x:v>
      </x:c>
      <x:c r="N26" s="33" t="n">
        <x:v>0</x:v>
      </x:c>
      <x:c r="O26" s="33" t="n">
        <x:v>0</x:v>
      </x:c>
      <x:c r="P26" s="35" t="str">
        <x:v>outside present guarantee</x:v>
      </x:c>
    </x:row>
    <x:row r="27">
      <x:c r="B27" s="33" t="str">
        <x:v>W21</x:v>
      </x:c>
      <x:c r="C27" s="33" t="str">
        <x:v>decisive common ancestry discovered</x:v>
      </x:c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0</x:v>
      </x:c>
      <x:c r="L27" s="33" t="n">
        <x:f>IF(AND(OR(D27*F27*I27=1,E27*G27*J27=1),K27=1),1,0)</x:f>
        <x:v>0</x:v>
      </x:c>
      <x:c r="M27" s="33" t="str">
        <x:f>IF(L27=1,"PASS","FAIL")</x:f>
        <x:v>FAIL</x:v>
      </x:c>
      <x:c r="N27" s="33" t="n">
        <x:v>0</x:v>
      </x:c>
      <x:c r="O27" s="33" t="n">
        <x:v>0</x:v>
      </x:c>
      <x:c r="P27" s="35" t="str">
        <x:v>behavior exists but assurance fails</x:v>
      </x:c>
    </x:row>
    <x:row r="28">
      <x:c r="B28" s="39" t="str">
        <x:v>W22</x:v>
      </x:c>
      <x:c r="C28" s="39" t="str">
        <x:v>representative evidence withheld</x:v>
      </x:c>
      <x:c r="D28" s="39" t="n">
        <x:v>1</x:v>
      </x:c>
      <x:c r="E28" s="39" t="n">
        <x:v>1</x:v>
      </x:c>
      <x:c r="F28" s="39" t="n">
        <x:v>1</x:v>
      </x:c>
      <x:c r="G28" s="39" t="n">
        <x:v>1</x:v>
      </x:c>
      <x:c r="H28" s="39" t="n">
        <x:v>1</x:v>
      </x:c>
      <x:c r="I28" s="39" t="n">
        <x:v>1</x:v>
      </x:c>
      <x:c r="J28" s="39" t="n">
        <x:v>1</x:v>
      </x:c>
      <x:c r="K28" s="39" t="n">
        <x:v>1</x:v>
      </x:c>
      <x:c r="L28" s="39" t="n">
        <x:f>IF(AND(OR(D28*F28*I28=1,E28*G28*J28=1),K28=1),1,0)</x:f>
        <x:v>1</x:v>
      </x:c>
      <x:c r="M28" s="39" t="str">
        <x:f>IF(L28=1,"PASS","FAIL")</x:f>
        <x:v>PASS</x:v>
      </x:c>
      <x:c r="N28" s="39" t="n">
        <x:v>0</x:v>
      </x:c>
      <x:c r="O28" s="39" t="n">
        <x:v>0</x:v>
      </x:c>
      <x:c r="P28" s="40" t="str">
        <x:v>behavior only; strict credit zero</x:v>
      </x:c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</x:row>
    <x:row r="35"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</x:row>
    <x:row r="36"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</x:row>
    <x:row r="37"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</x:row>
    <x:row r="38"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</x:row>
  </x:sheetData>
  <x:conditionalFormatting sqref="M7:M28">
    <x:cfRule type="containsText" dxfId="27" priority="1" operator="containsText" text="FAIL"/>
    <x:cfRule type="containsText" dxfId="28" priority="2" operator="containsText" text="DIVERGES"/>
    <x:cfRule type="containsText" dxfId="29" priority="3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15" hidden="0" customWidth="1"/>
    <x:col min="4" max="4" width="15" hidden="0" customWidth="1"/>
    <x:col min="5" max="5" width="17" hidden="0" customWidth="1"/>
    <x:col min="6" max="6" width="35" hidden="0" customWidth="1"/>
    <x:col min="7" max="7" width="42" hidden="0" customWidth="1"/>
    <x:col min="8" max="8" width="3" hidden="0" customWidth="1"/>
    <x:col min="9" max="9" width="4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B2" s="78" t="str">
        <x:v>Permanent labor and concurrent reset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79" t="str">
        <x:v>Contact, energy and receiver federation are professions and command functions, not procurement overhead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B6" s="72" t="str">
        <x:v>Net Pass 85 workforce addition</x:v>
      </x:c>
      <x:c r="C6" s="73" t="str">
        <x:v>Net Pass 85 workforce addition</x:v>
      </x:c>
      <x:c r="D6" s="73" t="str">
        <x:v>Net Pass 85 workforce addition</x:v>
      </x:c>
      <x:c r="E6" s="73" t="str">
        <x:v>Net Pass 85 workforce addition</x:v>
      </x:c>
      <x:c r="F6" s="73" t="str">
        <x:v>Net Pass 85 workforce addition</x:v>
      </x:c>
      <x:c r="G6" s="74" t="str">
        <x:v>Net Pass 85 workforce addition</x:v>
      </x:c>
      <x:c r="H6" s="26"/>
      <x:c r="I6" s="72" t="str">
        <x:v>Parallel reset workstreams</x:v>
      </x:c>
      <x:c r="J6" s="73" t="str">
        <x:v>Parallel reset workstreams</x:v>
      </x:c>
      <x:c r="K6" s="73" t="str">
        <x:v>Parallel reset workstreams</x:v>
      </x:c>
      <x:c r="L6" s="73" t="str">
        <x:v>Parallel reset workstreams</x:v>
      </x:c>
      <x:c r="M6" s="73" t="str">
        <x:v>Parallel reset workstreams</x:v>
      </x:c>
      <x:c r="N6" s="74" t="str">
        <x:v>Parallel reset workstreams</x:v>
      </x:c>
    </x:row>
    <x:row r="7">
      <x:c r="B7" s="31" t="str">
        <x:v>Specialty</x:v>
      </x:c>
      <x:c r="C7" s="32" t="str">
        <x:v>Deployed</x:v>
      </x:c>
      <x:c r="D7" s="32" t="str">
        <x:v>Affiliated</x:v>
      </x:c>
      <x:c r="E7" s="32" t="str">
        <x:v>Minimum watch</x:v>
      </x:c>
      <x:c r="F7" s="32" t="str">
        <x:v>Authority / task</x:v>
      </x:c>
      <x:c r="G7" s="32" t="str">
        <x:v>Why added</x:v>
      </x:c>
      <x:c r="H7" s="26"/>
      <x:c r="I7" s="31" t="str">
        <x:v>Workstream</x:v>
      </x:c>
      <x:c r="J7" s="32" t="str">
        <x:v>Hours</x:v>
      </x:c>
      <x:c r="K7" s="32" t="str">
        <x:v>Ceiling</x:v>
      </x:c>
      <x:c r="L7" s="32" t="str">
        <x:v>Margin</x:v>
      </x:c>
      <x:c r="M7" s="32" t="str">
        <x:v>Governing</x:v>
      </x:c>
      <x:c r="N7" s="32" t="str">
        <x:v>Evidence</x:v>
      </x:c>
    </x:row>
    <x:row r="8">
      <x:c r="B8" s="33" t="str">
        <x:v>Adaptive contact structural technicians</x:v>
      </x:c>
      <x:c r="C8" s="33" t="n">
        <x:v>12</x:v>
      </x:c>
      <x:c r="D8" s="33" t="n">
        <x:v>28</x:v>
      </x:c>
      <x:c r="E8" s="33" t="n">
        <x:v>4</x:v>
      </x:c>
      <x:c r="F8" s="33" t="str">
        <x:v>terrain technical release</x:v>
      </x:c>
      <x:c r="G8" s="35" t="str">
        <x:v>255 m2 mechanisms and pod isolation</x:v>
      </x:c>
      <x:c r="H8" s="26"/>
      <x:c r="I8" s="33" t="str">
        <x:v>TAP-255 pods, tracks, brakes and load control</x:v>
      </x:c>
      <x:c r="J8" s="33" t="n">
        <x:v>158</x:v>
      </x:c>
      <x:c r="K8" s="33" t="n">
        <x:f>Assumptions!C63</x:f>
        <x:v>168</x:v>
      </x:c>
      <x:c r="L8" s="33" t="n">
        <x:f>K8-J8</x:f>
        <x:v>10</x:v>
      </x:c>
      <x:c r="M8" s="33" t="str">
        <x:f>IF(J8=MAX($J$8:$J$13),"YES","NO")</x:f>
        <x:v>YES</x:v>
      </x:c>
      <x:c r="N8" s="35" t="str">
        <x:v>OPEN</x:v>
      </x:c>
    </x:row>
    <x:row r="9">
      <x:c r="B9" s="33" t="str">
        <x:v>High-power liquid-electric specialists</x:v>
      </x:c>
      <x:c r="C9" s="33" t="n">
        <x:v>12</x:v>
      </x:c>
      <x:c r="D9" s="33" t="n">
        <x:v>30</x:v>
      </x:c>
      <x:c r="E9" s="33" t="n">
        <x:v>4</x:v>
      </x:c>
      <x:c r="F9" s="33" t="str">
        <x:v>energy technical release</x:v>
      </x:c>
      <x:c r="G9" s="35" t="str">
        <x:v>four 9-MW sectors, containment and thermal systems</x:v>
      </x:c>
      <x:c r="H9" s="26"/>
      <x:c r="I9" s="33" t="str">
        <x:v>Energy, containment and thermal modules</x:v>
      </x:c>
      <x:c r="J9" s="33" t="n">
        <x:v>146</x:v>
      </x:c>
      <x:c r="K9" s="33" t="n">
        <x:f>Assumptions!C63</x:f>
        <x:v>168</x:v>
      </x:c>
      <x:c r="L9" s="33" t="n">
        <x:f>K9-J9</x:f>
        <x:v>22</x:v>
      </x:c>
      <x:c r="M9" s="33" t="str">
        <x:f>IF(J9=MAX($J$8:$J$13),"YES","NO")</x:f>
        <x:v>NO</x:v>
      </x:c>
      <x:c r="N9" s="35" t="str">
        <x:v>OPEN</x:v>
      </x:c>
    </x:row>
    <x:row r="10">
      <x:c r="B10" s="33" t="str">
        <x:v>Federated receiver operations</x:v>
      </x:c>
      <x:c r="C10" s="33" t="n">
        <x:v>16</x:v>
      </x:c>
      <x:c r="D10" s="33" t="n">
        <x:v>38</x:v>
      </x:c>
      <x:c r="E10" s="33" t="n">
        <x:v>6</x:v>
      </x:c>
      <x:c r="F10" s="33" t="str">
        <x:v>mode-specific receiver control</x:v>
      </x:c>
      <x:c r="G10" s="35" t="str">
        <x:v>two independent black-start, service and recovery nodes</x:v>
      </x:c>
      <x:c r="H10" s="26"/>
      <x:c r="I10" s="33" t="str">
        <x:v>Structure, spine and payload deck</x:v>
      </x:c>
      <x:c r="J10" s="33" t="n">
        <x:v>128</x:v>
      </x:c>
      <x:c r="K10" s="33" t="n">
        <x:f>Assumptions!C63</x:f>
        <x:v>168</x:v>
      </x:c>
      <x:c r="L10" s="33" t="n">
        <x:f>K10-J10</x:f>
        <x:v>40</x:v>
      </x:c>
      <x:c r="M10" s="33" t="str">
        <x:f>IF(J10=MAX($J$8:$J$13),"YES","NO")</x:f>
        <x:v>NO</x:v>
      </x:c>
      <x:c r="N10" s="35" t="str">
        <x:v>OPEN</x:v>
      </x:c>
    </x:row>
    <x:row r="11">
      <x:c r="B11" s="33" t="str">
        <x:v>Independent configuration and civil release</x:v>
      </x:c>
      <x:c r="C11" s="33" t="n">
        <x:v>8</x:v>
      </x:c>
      <x:c r="D11" s="33" t="n">
        <x:v>16</x:v>
      </x:c>
      <x:c r="E11" s="33" t="n">
        <x:v>2</x:v>
      </x:c>
      <x:c r="F11" s="33" t="str">
        <x:v>configuration custody and civil acceptance</x:v>
      </x:c>
      <x:c r="G11" s="35" t="str">
        <x:v>prevent authority borrowing across modes</x:v>
      </x:c>
      <x:c r="H11" s="26"/>
      <x:c r="I11" s="33" t="str">
        <x:v>Bridge, mat and route kit</x:v>
      </x:c>
      <x:c r="J11" s="33" t="n">
        <x:v>136</x:v>
      </x:c>
      <x:c r="K11" s="33" t="n">
        <x:f>Assumptions!C63</x:f>
        <x:v>168</x:v>
      </x:c>
      <x:c r="L11" s="33" t="n">
        <x:f>K11-J11</x:f>
        <x:v>32</x:v>
      </x:c>
      <x:c r="M11" s="33" t="str">
        <x:f>IF(J11=MAX($J$8:$J$13),"YES","NO")</x:f>
        <x:v>NO</x:v>
      </x:c>
      <x:c r="N11" s="35" t="str">
        <x:v>OPEN</x:v>
      </x:c>
    </x:row>
    <x:row r="12">
      <x:c r="B12" s="39" t="str">
        <x:v>Net Pass 85 addition</x:v>
      </x:c>
      <x:c r="C12" s="39" t="n">
        <x:f>SUM(C8:C11)</x:f>
        <x:v>48</x:v>
      </x:c>
      <x:c r="D12" s="39" t="n">
        <x:f>SUM(D8:D11)</x:f>
        <x:v>112</x:v>
      </x:c>
      <x:c r="E12" s="39" t="n">
        <x:f>SUM(E8:E11)</x:f>
        <x:v>16</x:v>
      </x:c>
      <x:c r="F12" s="39"/>
      <x:c r="G12" s="40"/>
      <x:c r="H12" s="26"/>
      <x:c r="I12" s="33" t="str">
        <x:v>Crew and mission-state reconstruction</x:v>
      </x:c>
      <x:c r="J12" s="33" t="n">
        <x:v>44</x:v>
      </x:c>
      <x:c r="K12" s="33" t="n">
        <x:f>Assumptions!C63</x:f>
        <x:v>168</x:v>
      </x:c>
      <x:c r="L12" s="33" t="n">
        <x:f>K12-J12</x:f>
        <x:v>124</x:v>
      </x:c>
      <x:c r="M12" s="33" t="str">
        <x:f>IF(J12=MAX($J$8:$J$13),"YES","NO")</x:f>
        <x:v>NO</x:v>
      </x:c>
      <x:c r="N12" s="35" t="str">
        <x:v>OPEN</x:v>
      </x:c>
    </x:row>
    <x:row r="13">
      <x:c r="B13" s="26"/>
      <x:c r="C13" s="26"/>
      <x:c r="D13" s="26"/>
      <x:c r="E13" s="26"/>
      <x:c r="F13" s="26"/>
      <x:c r="G13" s="26"/>
      <x:c r="H13" s="26"/>
      <x:c r="I13" s="39" t="str">
        <x:v>Origins, receivers and route handback</x:v>
      </x:c>
      <x:c r="J13" s="39" t="n">
        <x:v>112</x:v>
      </x:c>
      <x:c r="K13" s="39" t="n">
        <x:f>Assumptions!C63</x:f>
        <x:v>168</x:v>
      </x:c>
      <x:c r="L13" s="39" t="n">
        <x:f>K13-J13</x:f>
        <x:v>56</x:v>
      </x:c>
      <x:c r="M13" s="39" t="str">
        <x:f>IF(J13=MAX($J$8:$J$13),"YES","NO")</x:f>
        <x:v>NO</x:v>
      </x:c>
      <x:c r="N13" s="40" t="str">
        <x:v>OPEN</x:v>
      </x:c>
    </x:row>
    <x:row r="14">
      <x:c r="B14" s="31" t="str">
        <x:v>Workforce boundary</x:v>
      </x:c>
      <x:c r="C14" s="32" t="str">
        <x:v>Deployed</x:v>
      </x:c>
      <x:c r="D14" s="58" t="str">
        <x:v>Affiliated</x:v>
      </x:c>
      <x:c r="E14" s="31" t="str">
        <x:v>Minimum watch</x:v>
      </x:c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B15" s="33" t="str">
        <x:v>Pass 84 revised DCP-2</x:v>
      </x:c>
      <x:c r="C15" s="33" t="n">
        <x:v>592</x:v>
      </x:c>
      <x:c r="D15" s="33" t="n">
        <x:v>1301</x:v>
      </x:c>
      <x:c r="E15" s="35" t="n">
        <x:v>194</x:v>
      </x:c>
      <x:c r="F15" s="26"/>
      <x:c r="G15" s="26"/>
      <x:c r="H15" s="26"/>
      <x:c r="I15" s="31" t="str">
        <x:v>Metric</x:v>
      </x:c>
      <x:c r="J15" s="32" t="str">
        <x:v>Value</x:v>
      </x:c>
      <x:c r="K15" s="32" t="str">
        <x:v>Unit</x:v>
      </x:c>
      <x:c r="L15" s="32" t="str">
        <x:v>Result</x:v>
      </x:c>
      <x:c r="M15" s="26"/>
      <x:c r="N15" s="26"/>
    </x:row>
    <x:row r="16">
      <x:c r="B16" s="33" t="str">
        <x:v>Pass 85 addition</x:v>
      </x:c>
      <x:c r="C16" s="33" t="n">
        <x:f>C12</x:f>
        <x:v>48</x:v>
      </x:c>
      <x:c r="D16" s="33" t="n">
        <x:f>D12</x:f>
        <x:v>112</x:v>
      </x:c>
      <x:c r="E16" s="35" t="n">
        <x:f>E12</x:f>
        <x:v>16</x:v>
      </x:c>
      <x:c r="F16" s="26"/>
      <x:c r="G16" s="26"/>
      <x:c r="H16" s="26"/>
      <x:c r="I16" s="33" t="str">
        <x:v>Critical reset</x:v>
      </x:c>
      <x:c r="J16" s="33" t="n">
        <x:f>MAX(J8:J13)</x:f>
        <x:v>158</x:v>
      </x:c>
      <x:c r="K16" s="33" t="str">
        <x:v>h</x:v>
      </x:c>
      <x:c r="L16" s="35" t="str">
        <x:f>IF(J16&lt;=Assumptions!C63,"PASS","FAIL")</x:f>
        <x:v>PASS</x:v>
      </x:c>
      <x:c r="M16" s="26"/>
      <x:c r="N16" s="26"/>
    </x:row>
    <x:row r="17">
      <x:c r="B17" s="39" t="str">
        <x:v>Pass 85 revised DCP-2</x:v>
      </x:c>
      <x:c r="C17" s="39" t="n">
        <x:f>SUM(C15:C16)</x:f>
        <x:v>640</x:v>
      </x:c>
      <x:c r="D17" s="39" t="n">
        <x:f>SUM(D15:D16)</x:f>
        <x:v>1413</x:v>
      </x:c>
      <x:c r="E17" s="40" t="n">
        <x:f>SUM(E15:E16)</x:f>
        <x:v>210</x:v>
      </x:c>
      <x:c r="F17" s="26"/>
      <x:c r="G17" s="26"/>
      <x:c r="H17" s="26"/>
      <x:c r="I17" s="39" t="str">
        <x:v>Reset margin</x:v>
      </x:c>
      <x:c r="J17" s="39" t="n">
        <x:f>Assumptions!C63-J16</x:f>
        <x:v>10</x:v>
      </x:c>
      <x:c r="K17" s="39" t="str">
        <x:v>h</x:v>
      </x:c>
      <x:c r="L17" s="40" t="str">
        <x:f>IF(J17&gt;=0,"PASS","FAIL")</x:f>
        <x:v>PASS</x:v>
      </x:c>
      <x:c r="M17" s="26"/>
      <x:c r="N17" s="26"/>
    </x:row>
    <x:row r="18"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</x:sheetData>
  <x:mergeCells>
    <x:mergeCell ref="B6:G6"/>
    <x:mergeCell ref="I6:N6"/>
  </x:mergeCells>
  <x:conditionalFormatting sqref="L16:L17">
    <x:cfRule type="containsText" dxfId="30" priority="1" operator="containsText" text="FAIL"/>
    <x:cfRule type="containsText" dxfId="31" priority="2" operator="containsText" text="DIVERGES"/>
    <x:cfRule type="containsText" dxfId="32" priority="3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7" hidden="0" customWidth="1"/>
    <x:col min="3" max="3" width="16" hidden="0" customWidth="1"/>
    <x:col min="4" max="4" width="18" hidden="0" customWidth="1"/>
    <x:col min="5" max="5" width="22" hidden="0" customWidth="1"/>
    <x:col min="6" max="6" width="18" hidden="0" customWidth="1"/>
    <x:col min="7" max="7" width="17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B2" s="78" t="str">
        <x:v>Industrial scale and twenty-five-year fiscal reconciliation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79" t="str">
        <x:v>The revised vehicle and fail-open twin receiver replace shallow allowances; technology campaigns decompose, rather than add to, R&amp;D and proving</x:v>
      </x:c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B6" s="72" t="str">
        <x:v>SAT-170R architecture program</x:v>
      </x:c>
      <x:c r="C6" s="73" t="str">
        <x:v>SAT-170R architecture program</x:v>
      </x:c>
      <x:c r="D6" s="73" t="str">
        <x:v>SAT-170R architecture program</x:v>
      </x:c>
      <x:c r="E6" s="73" t="str">
        <x:v>SAT-170R architecture program</x:v>
      </x:c>
      <x:c r="F6" s="73" t="str">
        <x:v>SAT-170R architecture program</x:v>
      </x:c>
      <x:c r="G6" s="74" t="str">
        <x:v>SAT-170R architecture program</x:v>
      </x:c>
      <x:c r="H6" s="26"/>
      <x:c r="I6" s="72" t="str">
        <x:v>Federated receiver increment</x:v>
      </x:c>
      <x:c r="J6" s="73" t="str">
        <x:v>Federated receiver increment</x:v>
      </x:c>
      <x:c r="K6" s="73" t="str">
        <x:v>Federated receiver increment</x:v>
      </x:c>
      <x:c r="L6" s="73" t="str">
        <x:v>Federated receiver increment</x:v>
      </x:c>
      <x:c r="M6" s="74" t="str">
        <x:v>Federated receiver increment</x:v>
      </x:c>
      <x:c r="N6" s="26"/>
    </x:row>
    <x:row r="7">
      <x:c r="B7" s="31" t="str">
        <x:v>Program line</x:v>
      </x:c>
      <x:c r="C7" s="32" t="str">
        <x:v>Driver</x:v>
      </x:c>
      <x:c r="D7" s="32" t="str">
        <x:v>Rate</x:v>
      </x:c>
      <x:c r="E7" s="32" t="str">
        <x:v>Unit</x:v>
      </x:c>
      <x:c r="F7" s="32" t="str">
        <x:v>Value $B</x:v>
      </x:c>
      <x:c r="G7" s="32" t="str">
        <x:v>Interpretation</x:v>
      </x:c>
      <x:c r="H7" s="26"/>
      <x:c r="I7" s="31" t="str">
        <x:v>Program line</x:v>
      </x:c>
      <x:c r="J7" s="32" t="str">
        <x:v>Driver</x:v>
      </x:c>
      <x:c r="K7" s="32" t="str">
        <x:v>Rate</x:v>
      </x:c>
      <x:c r="L7" s="32" t="str">
        <x:v>Value $B</x:v>
      </x:c>
      <x:c r="M7" s="32" t="str">
        <x:v>Interpretation</x:v>
      </x:c>
      <x:c r="N7" s="26"/>
    </x:row>
    <x:row r="8">
      <x:c r="B8" s="33" t="str">
        <x:v>Ready-set lifecycle</x:v>
      </x:c>
      <x:c r="C8" s="33" t="n">
        <x:v>43</x:v>
      </x:c>
      <x:c r="D8" s="33" t="n">
        <x:v>13.2</x:v>
      </x:c>
      <x:c r="E8" s="33" t="str">
        <x:v>$B / four-vehicle set</x:v>
      </x:c>
      <x:c r="F8" s="86" t="n">
        <x:f>C8*D8</x:f>
        <x:v>567.6</x:v>
      </x:c>
      <x:c r="G8" s="35" t="str">
        <x:v>43 ready terrain cells</x:v>
      </x:c>
      <x:c r="H8" s="26"/>
      <x:c r="I8" s="33" t="str">
        <x:v>Package receiver completion</x:v>
      </x:c>
      <x:c r="J8" s="33" t="n">
        <x:v>43</x:v>
      </x:c>
      <x:c r="K8" s="33" t="n">
        <x:v>0.85</x:v>
      </x:c>
      <x:c r="L8" s="86" t="n">
        <x:f>J8*K8</x:f>
        <x:v>36.55</x:v>
      </x:c>
      <x:c r="M8" s="35" t="str">
        <x:v>two energy, maintenance, release and control nodes plus corridor</x:v>
      </x:c>
      <x:c r="N8" s="26"/>
    </x:row>
    <x:row r="9">
      <x:c r="B9" s="33" t="str">
        <x:v>Development and test</x:v>
      </x:c>
      <x:c r="C9" s="33" t="n">
        <x:v>12</x:v>
      </x:c>
      <x:c r="D9" s="33" t="n">
        <x:v>2.15</x:v>
      </x:c>
      <x:c r="E9" s="33" t="str">
        <x:v>$B / vehicle + $8B support</x:v>
      </x:c>
      <x:c r="F9" s="86" t="n">
        <x:f>C9*D9+8</x:f>
        <x:v>33.8</x:v>
      </x:c>
      <x:c r="G9" s="35" t="str">
        <x:v>instrumented full-scale articles</x:v>
      </x:c>
      <x:c r="H9" s="26"/>
      <x:c r="I9" s="33" t="str">
        <x:v>Receiver operations</x:v>
      </x:c>
      <x:c r="J9" s="33" t="n">
        <x:v>43</x:v>
      </x:c>
      <x:c r="K9" s="33" t="n">
        <x:v>0.018</x:v>
      </x:c>
      <x:c r="L9" s="86" t="n">
        <x:f>J9*K9*Assumptions!C59</x:f>
        <x:v>12.236939999999999</x:v>
      </x:c>
      <x:c r="M9" s="35" t="str">
        <x:v>times 15.81 ramp-weighted years</x:v>
      </x:c>
      <x:c r="N9" s="26"/>
    </x:row>
    <x:row r="10">
      <x:c r="B10" s="33" t="str">
        <x:v>Reserve vehicles</x:v>
      </x:c>
      <x:c r="C10" s="33" t="n">
        <x:v>35</x:v>
      </x:c>
      <x:c r="D10" s="33" t="n">
        <x:v>2.15</x:v>
      </x:c>
      <x:c r="E10" s="33" t="str">
        <x:v>$B / vehicle</x:v>
      </x:c>
      <x:c r="F10" s="86" t="n">
        <x:f>C10*D10</x:f>
        <x:v>75.25</x:v>
      </x:c>
      <x:c r="G10" s="35" t="str">
        <x:v>overhaul and attrition pool</x:v>
      </x:c>
      <x:c r="H10" s="26"/>
      <x:c r="I10" s="33" t="str">
        <x:v>Interface R&amp;D</x:v>
      </x:c>
      <x:c r="J10" s="33" t="n">
        <x:v>1</x:v>
      </x:c>
      <x:c r="K10" s="33" t="n">
        <x:v>60</x:v>
      </x:c>
      <x:c r="L10" s="86" t="n">
        <x:f>J10*K10</x:f>
        <x:v>60</x:v>
      </x:c>
      <x:c r="M10" s="35" t="str">
        <x:v>fail-open service semantics and plural implementation</x:v>
      </x:c>
      <x:c r="N10" s="26"/>
    </x:row>
    <x:row r="11">
      <x:c r="B11" s="33" t="str">
        <x:v>Architecture R&amp;D</x:v>
      </x:c>
      <x:c r="C11" s="33" t="n">
        <x:v>1</x:v>
      </x:c>
      <x:c r="D11" s="33" t="n">
        <x:v>280</x:v>
      </x:c>
      <x:c r="E11" s="33" t="str">
        <x:v>$B</x:v>
      </x:c>
      <x:c r="F11" s="86" t="n">
        <x:f>C11*D11</x:f>
        <x:v>280</x:v>
      </x:c>
      <x:c r="G11" s="35" t="str">
        <x:v>energy, contact and integrated design</x:v>
      </x:c>
      <x:c r="H11" s="26"/>
      <x:c r="I11" s="33" t="str">
        <x:v>Interface proving</x:v>
      </x:c>
      <x:c r="J11" s="33" t="n">
        <x:v>1</x:v>
      </x:c>
      <x:c r="K11" s="33" t="n">
        <x:v>40</x:v>
      </x:c>
      <x:c r="L11" s="86" t="n">
        <x:f>J11*K11</x:f>
        <x:v>40</x:v>
      </x:c>
      <x:c r="M11" s="35" t="str">
        <x:v>receiver denial and compound loss trials</x:v>
      </x:c>
      <x:c r="N11" s="26"/>
    </x:row>
    <x:row r="12">
      <x:c r="B12" s="33" t="str">
        <x:v>Production tooling</x:v>
      </x:c>
      <x:c r="C12" s="33" t="n">
        <x:v>1</x:v>
      </x:c>
      <x:c r="D12" s="33" t="n">
        <x:v>155</x:v>
      </x:c>
      <x:c r="E12" s="33" t="str">
        <x:v>$B</x:v>
      </x:c>
      <x:c r="F12" s="86" t="n">
        <x:f>C12*D12</x:f>
        <x:v>155</x:v>
      </x:c>
      <x:c r="G12" s="35" t="str">
        <x:v>four lines and plural suppliers</x:v>
      </x:c>
      <x:c r="H12" s="26"/>
      <x:c r="I12" s="33" t="str">
        <x:v>Authority and training</x:v>
      </x:c>
      <x:c r="J12" s="33" t="n">
        <x:v>1</x:v>
      </x:c>
      <x:c r="K12" s="33" t="n">
        <x:v>22</x:v>
      </x:c>
      <x:c r="L12" s="86" t="n">
        <x:f>J12*K12</x:f>
        <x:v>22</x:v>
      </x:c>
      <x:c r="M12" s="35" t="str">
        <x:v>independent technical and civil release chains</x:v>
      </x:c>
      <x:c r="N12" s="26"/>
    </x:row>
    <x:row r="13">
      <x:c r="B13" s="33" t="str">
        <x:v>Base capital expansion</x:v>
      </x:c>
      <x:c r="C13" s="33" t="n">
        <x:v>43</x:v>
      </x:c>
      <x:c r="D13" s="33" t="n">
        <x:v>0.42</x:v>
      </x:c>
      <x:c r="E13" s="33" t="str">
        <x:v>$B / ready package</x:v>
      </x:c>
      <x:c r="F13" s="86" t="n">
        <x:f>C13*D13</x:f>
        <x:v>18.06</x:v>
      </x:c>
      <x:c r="G13" s="35" t="str">
        <x:v>terrain arsenals and fuel safety</x:v>
      </x:c>
      <x:c r="H13" s="26"/>
      <x:c r="I13" s="39" t="str">
        <x:v>Federated receiver increment</x:v>
      </x:c>
      <x:c r="J13" s="39"/>
      <x:c r="K13" s="39"/>
      <x:c r="L13" s="87" t="n">
        <x:f>SUM(L8:L12)</x:f>
        <x:v>170.78694</x:v>
      </x:c>
      <x:c r="M13" s="40"/>
      <x:c r="N13" s="26"/>
    </x:row>
    <x:row r="14">
      <x:c r="B14" s="33" t="str">
        <x:v>Base operating expansion</x:v>
      </x:c>
      <x:c r="C14" s="33" t="n">
        <x:v>43</x:v>
      </x:c>
      <x:c r="D14" s="33" t="n">
        <x:v>0.028</x:v>
      </x:c>
      <x:c r="E14" s="33" t="str">
        <x:v>$B / package-year</x:v>
      </x:c>
      <x:c r="F14" s="86" t="n">
        <x:f>C14*D14*Assumptions!C59</x:f>
        <x:v>19.03524</x:v>
      </x:c>
      <x:c r="G14" s="35" t="str">
        <x:v>times 15.81 ramp-weighted years</x:v>
      </x:c>
      <x:c r="H14" s="26"/>
      <x:c r="I14" s="26"/>
      <x:c r="J14" s="26"/>
      <x:c r="K14" s="26"/>
      <x:c r="L14" s="26"/>
      <x:c r="M14" s="26"/>
      <x:c r="N14" s="26"/>
    </x:row>
    <x:row r="15">
      <x:c r="B15" s="33" t="str">
        <x:v>Full-scale proving</x:v>
      </x:c>
      <x:c r="C15" s="33" t="n">
        <x:v>1</x:v>
      </x:c>
      <x:c r="D15" s="33" t="n">
        <x:v>125</x:v>
      </x:c>
      <x:c r="E15" s="33" t="str">
        <x:v>$B</x:v>
      </x:c>
      <x:c r="F15" s="86" t="n">
        <x:f>C15*D15</x:f>
        <x:v>125</x:v>
      </x:c>
      <x:c r="G15" s="35" t="str">
        <x:v>compound terrain-to-service missions</x:v>
      </x:c>
      <x:c r="H15" s="26"/>
      <x:c r="I15" s="26"/>
      <x:c r="J15" s="26"/>
      <x:c r="K15" s="26"/>
      <x:c r="L15" s="26"/>
      <x:c r="M15" s="26"/>
      <x:c r="N15" s="26"/>
    </x:row>
    <x:row r="16">
      <x:c r="B16" s="33" t="str">
        <x:v>Certification and training</x:v>
      </x:c>
      <x:c r="C16" s="33" t="n">
        <x:v>1</x:v>
      </x:c>
      <x:c r="D16" s="33" t="n">
        <x:v>65</x:v>
      </x:c>
      <x:c r="E16" s="33" t="str">
        <x:v>$B</x:v>
      </x:c>
      <x:c r="F16" s="86" t="n">
        <x:f>C16*D16</x:f>
        <x:v>65</x:v>
      </x:c>
      <x:c r="G16" s="35" t="str">
        <x:v>schools, release authorities and depots</x:v>
      </x:c>
      <x:c r="H16" s="26"/>
      <x:c r="I16" s="26"/>
      <x:c r="J16" s="26"/>
      <x:c r="K16" s="26"/>
      <x:c r="L16" s="26"/>
      <x:c r="M16" s="26"/>
      <x:c r="N16" s="26"/>
    </x:row>
    <x:row r="17">
      <x:c r="B17" s="39" t="str">
        <x:v>SAT-170R architecture program</x:v>
      </x:c>
      <x:c r="C17" s="39"/>
      <x:c r="D17" s="39"/>
      <x:c r="E17" s="39"/>
      <x:c r="F17" s="87" t="n">
        <x:f>SUM(F8:F16)</x:f>
        <x:v>1338.74524</x:v>
      </x:c>
      <x:c r="G17" s="40"/>
      <x:c r="H17" s="26"/>
      <x:c r="I17" s="26"/>
      <x:c r="J17" s="26"/>
      <x:c r="K17" s="26"/>
      <x:c r="L17" s="26"/>
      <x:c r="M17" s="26"/>
      <x:c r="N17" s="26"/>
    </x:row>
    <x:row r="18"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B20" s="72" t="str">
        <x:v>DCP-2 and national reconciliation</x:v>
      </x:c>
      <x:c r="C20" s="73" t="str">
        <x:v>DCP-2 and national reconciliation</x:v>
      </x:c>
      <x:c r="D20" s="73" t="str">
        <x:v>DCP-2 and national reconciliation</x:v>
      </x:c>
      <x:c r="E20" s="73" t="str">
        <x:v>DCP-2 and national reconciliation</x:v>
      </x:c>
      <x:c r="F20" s="73" t="str">
        <x:v>DCP-2 and national reconciliation</x:v>
      </x:c>
      <x:c r="G20" s="73" t="str">
        <x:v>DCP-2 and national reconciliation</x:v>
      </x:c>
      <x:c r="H20" s="73" t="str">
        <x:v>DCP-2 and national reconciliation</x:v>
      </x:c>
      <x:c r="I20" s="73" t="str">
        <x:v>DCP-2 and national reconciliation</x:v>
      </x:c>
      <x:c r="J20" s="73" t="str">
        <x:v>DCP-2 and national reconciliation</x:v>
      </x:c>
      <x:c r="K20" s="73" t="str">
        <x:v>DCP-2 and national reconciliation</x:v>
      </x:c>
      <x:c r="L20" s="73" t="str">
        <x:v>DCP-2 and national reconciliation</x:v>
      </x:c>
      <x:c r="M20" s="74" t="str">
        <x:v>DCP-2 and national reconciliation</x:v>
      </x:c>
      <x:c r="N20" s="26"/>
    </x:row>
    <x:row r="21">
      <x:c r="B21" s="31" t="str">
        <x:v>Boundary</x:v>
      </x:c>
      <x:c r="C21" s="32" t="str">
        <x:v>Value $B</x:v>
      </x:c>
      <x:c r="D21" s="32" t="str">
        <x:v>Prior $B</x:v>
      </x:c>
      <x:c r="E21" s="32" t="str">
        <x:v>Change $B</x:v>
      </x:c>
      <x:c r="F21" s="32" t="str">
        <x:v>Status</x:v>
      </x:c>
      <x:c r="G21" s="26"/>
      <x:c r="H21" s="26"/>
      <x:c r="I21" s="26"/>
      <x:c r="J21" s="26"/>
      <x:c r="K21" s="26"/>
      <x:c r="L21" s="26"/>
      <x:c r="M21" s="26"/>
      <x:c r="N21" s="26"/>
    </x:row>
    <x:row r="22">
      <x:c r="B22" s="33" t="str">
        <x:v>Pass 84 non-ATUT DCP-2</x:v>
      </x:c>
      <x:c r="C22" s="86" t="n">
        <x:f>Assumptions!C60</x:f>
        <x:v>1226.98385</x:v>
      </x:c>
      <x:c r="D22" s="86" t="n">
        <x:v>1226.98385</x:v>
      </x:c>
      <x:c r="E22" s="86" t="n">
        <x:f>C22-D22</x:f>
        <x:v>0</x:v>
      </x:c>
      <x:c r="F22" s="35" t="str">
        <x:v>RECONCILED</x:v>
      </x:c>
      <x:c r="G22" s="26"/>
      <x:c r="H22" s="26"/>
      <x:c r="I22" s="26"/>
      <x:c r="J22" s="26"/>
      <x:c r="K22" s="26"/>
      <x:c r="L22" s="26"/>
      <x:c r="M22" s="26"/>
      <x:c r="N22" s="26"/>
    </x:row>
    <x:row r="23">
      <x:c r="B23" s="33" t="str">
        <x:v>SAT-170R architecture</x:v>
      </x:c>
      <x:c r="C23" s="86" t="n">
        <x:f>F17</x:f>
        <x:v>1338.74524</x:v>
      </x:c>
      <x:c r="D23" s="86" t="n">
        <x:v>882.82694</x:v>
      </x:c>
      <x:c r="E23" s="86" t="n">
        <x:f>C23-D23</x:f>
        <x:v>455.91829999999993</x:v>
      </x:c>
      <x:c r="F23" s="35" t="str">
        <x:v>RECONCILED</x:v>
      </x:c>
      <x:c r="G23" s="26"/>
      <x:c r="H23" s="26"/>
      <x:c r="I23" s="26"/>
      <x:c r="J23" s="26"/>
      <x:c r="K23" s="26"/>
      <x:c r="L23" s="26"/>
      <x:c r="M23" s="26"/>
      <x:c r="N23" s="26"/>
    </x:row>
    <x:row r="24">
      <x:c r="B24" s="33" t="str">
        <x:v>Federated receiver increment</x:v>
      </x:c>
      <x:c r="C24" s="86" t="n">
        <x:f>L13</x:f>
        <x:v>170.78694</x:v>
      </x:c>
      <x:c r="D24" s="86" t="n">
        <x:v>0</x:v>
      </x:c>
      <x:c r="E24" s="86" t="n">
        <x:f>C24-D24</x:f>
        <x:v>170.78694</x:v>
      </x:c>
      <x:c r="F24" s="35" t="str">
        <x:v>RECONCILED</x:v>
      </x:c>
      <x:c r="G24" s="26"/>
      <x:c r="H24" s="26"/>
      <x:c r="I24" s="26"/>
      <x:c r="J24" s="26"/>
      <x:c r="K24" s="26"/>
      <x:c r="L24" s="26"/>
      <x:c r="M24" s="26"/>
      <x:c r="N24" s="26"/>
    </x:row>
    <x:row r="25">
      <x:c r="B25" s="33" t="str">
        <x:v>Pass 85 revised DCP-2</x:v>
      </x:c>
      <x:c r="C25" s="86" t="n">
        <x:f>SUM(C22:C24)</x:f>
        <x:v>2736.51603</x:v>
      </x:c>
      <x:c r="D25" s="86" t="n">
        <x:v>2109.81079</x:v>
      </x:c>
      <x:c r="E25" s="86" t="n">
        <x:f>C25-D25</x:f>
        <x:v>626.7052399999998</x:v>
      </x:c>
      <x:c r="F25" s="35" t="str">
        <x:v>RECONCILED</x:v>
      </x:c>
      <x:c r="G25" s="26"/>
      <x:c r="H25" s="26"/>
      <x:c r="I25" s="26"/>
      <x:c r="J25" s="26"/>
      <x:c r="K25" s="26"/>
      <x:c r="L25" s="26"/>
      <x:c r="M25" s="26"/>
      <x:c r="N25" s="26"/>
    </x:row>
    <x:row r="26">
      <x:c r="B26" s="33" t="str">
        <x:v>Dynamic one-region base</x:v>
      </x:c>
      <x:c r="C26" s="86" t="n">
        <x:f>Assumptions!C61</x:f>
        <x:v>7383.14155</x:v>
      </x:c>
      <x:c r="D26" s="86" t="n">
        <x:v>7383.14155</x:v>
      </x:c>
      <x:c r="E26" s="86" t="n">
        <x:f>C26-D26</x:f>
        <x:v>0</x:v>
      </x:c>
      <x:c r="F26" s="35" t="str">
        <x:v>RECONCILED</x:v>
      </x:c>
      <x:c r="G26" s="26"/>
      <x:c r="H26" s="26"/>
      <x:c r="I26" s="26"/>
      <x:c r="J26" s="26"/>
      <x:c r="K26" s="26"/>
      <x:c r="L26" s="26"/>
      <x:c r="M26" s="26"/>
      <x:c r="N26" s="26"/>
    </x:row>
    <x:row r="27">
      <x:c r="B27" s="39" t="str">
        <x:v>Pass 85 national boundary</x:v>
      </x:c>
      <x:c r="C27" s="87" t="n">
        <x:f>SUM(C25:C26)</x:f>
        <x:v>10119.65758</x:v>
      </x:c>
      <x:c r="D27" s="87" t="n">
        <x:v>9492.95234</x:v>
      </x:c>
      <x:c r="E27" s="87" t="n">
        <x:f>C27-D27</x:f>
        <x:v>626.7052399999993</x:v>
      </x:c>
      <x:c r="F27" s="40" t="str">
        <x:v>RECONCILED</x:v>
      </x:c>
      <x:c r="G27" s="26"/>
      <x:c r="H27" s="26"/>
      <x:c r="I27" s="26"/>
      <x:c r="J27" s="26"/>
      <x:c r="K27" s="26"/>
      <x:c r="L27" s="26"/>
      <x:c r="M27" s="26"/>
      <x:c r="N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B30" s="72" t="str">
        <x:v>22-to-30-group concurrency sensitivity</x:v>
      </x:c>
      <x:c r="C30" s="73" t="str">
        <x:v>22-to-30-group concurrency sensitivity</x:v>
      </x:c>
      <x:c r="D30" s="73" t="str">
        <x:v>22-to-30-group concurrency sensitivity</x:v>
      </x:c>
      <x:c r="E30" s="73" t="str">
        <x:v>22-to-30-group concurrency sensitivity</x:v>
      </x:c>
      <x:c r="F30" s="73" t="str">
        <x:v>22-to-30-group concurrency sensitivity</x:v>
      </x:c>
      <x:c r="G30" s="73" t="str">
        <x:v>22-to-30-group concurrency sensitivity</x:v>
      </x:c>
      <x:c r="H30" s="73" t="str">
        <x:v>22-to-30-group concurrency sensitivity</x:v>
      </x:c>
      <x:c r="I30" s="73" t="str">
        <x:v>22-to-30-group concurrency sensitivity</x:v>
      </x:c>
      <x:c r="J30" s="73" t="str">
        <x:v>22-to-30-group concurrency sensitivity</x:v>
      </x:c>
      <x:c r="K30" s="73" t="str">
        <x:v>22-to-30-group concurrency sensitivity</x:v>
      </x:c>
      <x:c r="L30" s="73" t="str">
        <x:v>22-to-30-group concurrency sensitivity</x:v>
      </x:c>
      <x:c r="M30" s="73" t="str">
        <x:v>22-to-30-group concurrency sensitivity</x:v>
      </x:c>
      <x:c r="N30" s="74" t="str">
        <x:v>22-to-30-group concurrency sensitivity</x:v>
      </x:c>
    </x:row>
    <x:row r="31">
      <x:c r="B31" s="31" t="str">
        <x:v>Groups</x:v>
      </x:c>
      <x:c r="C31" s="32" t="str">
        <x:v>Ready packages</x:v>
      </x:c>
      <x:c r="D31" s="32" t="str">
        <x:v>Operational SAT</x:v>
      </x:c>
      <x:c r="E31" s="32" t="str">
        <x:v>Reserve SAT</x:v>
      </x:c>
      <x:c r="F31" s="32" t="str">
        <x:v>Test</x:v>
      </x:c>
      <x:c r="G31" s="32" t="str">
        <x:v>Total SAT</x:v>
      </x:c>
      <x:c r="H31" s="32" t="str">
        <x:v>SAT program $B</x:v>
      </x:c>
      <x:c r="I31" s="32" t="str">
        <x:v>Interface increment $B</x:v>
      </x:c>
      <x:c r="J31" s="32" t="str">
        <x:v>Non-SAT DCP-2 $B</x:v>
      </x:c>
      <x:c r="K31" s="32" t="str">
        <x:v>Revised DCP-2 $B</x:v>
      </x:c>
      <x:c r="L31" s="32" t="str">
        <x:v>Dynamic base $B</x:v>
      </x:c>
      <x:c r="M31" s="32" t="str">
        <x:v>National $B</x:v>
      </x:c>
      <x:c r="N31" s="32" t="str">
        <x:v>Fixed schedule gap</x:v>
      </x:c>
    </x:row>
    <x:row r="32">
      <x:c r="B32" s="33" t="n">
        <x:v>22</x:v>
      </x:c>
      <x:c r="C32" s="33" t="n">
        <x:v>43</x:v>
      </x:c>
      <x:c r="D32" s="33" t="n">
        <x:v>172</x:v>
      </x:c>
      <x:c r="E32" s="33" t="n">
        <x:v>35</x:v>
      </x:c>
      <x:c r="F32" s="33" t="n">
        <x:v>12</x:v>
      </x:c>
      <x:c r="G32" s="33" t="n">
        <x:v>219</x:v>
      </x:c>
      <x:c r="H32" s="86" t="n">
        <x:f>13.2*C32+(2.15*F32+8)+2.15*E32+280+155+0.42*C32+0.028*Assumptions!C59*C32+125+65</x:f>
        <x:v>1338.74524</x:v>
      </x:c>
      <x:c r="I32" s="86" t="n">
        <x:f>0.85*C32+0.018*Assumptions!C59*C32+60+40+22</x:f>
        <x:v>170.78694000000002</x:v>
      </x:c>
      <x:c r="J32" s="86" t="n">
        <x:v>1226.98385</x:v>
      </x:c>
      <x:c r="K32" s="86" t="n">
        <x:f>SUM(H32:J32)</x:f>
        <x:v>2736.51603</x:v>
      </x:c>
      <x:c r="L32" s="86" t="n">
        <x:v>7383.14155</x:v>
      </x:c>
      <x:c r="M32" s="86" t="n">
        <x:f>K32+L32</x:f>
        <x:v>10119.65758</x:v>
      </x:c>
      <x:c r="N32" s="35" t="n">
        <x:f>G32-219</x:f>
        <x:v>0</x:v>
      </x:c>
    </x:row>
    <x:row r="33">
      <x:c r="B33" s="39" t="n">
        <x:v>30</x:v>
      </x:c>
      <x:c r="C33" s="39" t="n">
        <x:v>59</x:v>
      </x:c>
      <x:c r="D33" s="39" t="n">
        <x:v>236</x:v>
      </x:c>
      <x:c r="E33" s="39" t="n">
        <x:v>48</x:v>
      </x:c>
      <x:c r="F33" s="39" t="n">
        <x:v>12</x:v>
      </x:c>
      <x:c r="G33" s="39" t="n">
        <x:v>296</x:v>
      </x:c>
      <x:c r="H33" s="87" t="n">
        <x:f>13.2*C33+(2.15*F33+8)+2.15*E33+280+155+0.42*C33+0.028*Assumptions!C59*C33+125+65</x:f>
        <x:v>1591.69812</x:v>
      </x:c>
      <x:c r="I33" s="87" t="n">
        <x:f>0.85*C33+0.018*Assumptions!C59*C33+60+40+22</x:f>
        <x:v>188.94022</x:v>
      </x:c>
      <x:c r="J33" s="87" t="n">
        <x:v>1342.09825</x:v>
      </x:c>
      <x:c r="K33" s="87" t="n">
        <x:f>SUM(H33:J33)</x:f>
        <x:v>3122.73659</x:v>
      </x:c>
      <x:c r="L33" s="87" t="n">
        <x:v>7700.69675</x:v>
      </x:c>
      <x:c r="M33" s="87" t="n">
        <x:f>K33+L33</x:f>
        <x:v>10823.43334</x:v>
      </x:c>
      <x:c r="N33" s="40" t="n">
        <x:f>G33-219</x:f>
        <x:v>77</x:v>
      </x:c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B36" s="31" t="str">
        <x:v>Industrial control</x:v>
      </x:c>
      <x:c r="C36" s="32" t="str">
        <x:v>Reference</x:v>
      </x:c>
      <x:c r="D36" s="32" t="str">
        <x:v>Unit</x:v>
      </x:c>
      <x:c r="E36" s="32" t="str">
        <x:v>Reason</x:v>
      </x:c>
      <x:c r="F36" s="32" t="str">
        <x:v>Evidence</x:v>
      </x:c>
      <x:c r="G36" s="26"/>
      <x:c r="H36" s="26"/>
      <x:c r="I36" s="26"/>
      <x:c r="J36" s="26"/>
      <x:c r="K36" s="26"/>
      <x:c r="L36" s="26"/>
      <x:c r="M36" s="26"/>
      <x:c r="N36" s="26"/>
    </x:row>
    <x:row r="37">
      <x:c r="B37" s="33" t="str">
        <x:v>Final integration lines</x:v>
      </x:c>
      <x:c r="C37" s="33" t="n">
        <x:v>4</x:v>
      </x:c>
      <x:c r="D37" s="33" t="str">
        <x:v>lines</x:v>
      </x:c>
      <x:c r="E37" s="33" t="str">
        <x:v>energy/contact complexity and regional plurality</x:v>
      </x:c>
      <x:c r="F37" s="35" t="str">
        <x:v>OPEN</x:v>
      </x:c>
      <x:c r="G37" s="26"/>
      <x:c r="H37" s="26"/>
      <x:c r="I37" s="26"/>
      <x:c r="J37" s="26"/>
      <x:c r="K37" s="26"/>
      <x:c r="L37" s="26"/>
      <x:c r="M37" s="26"/>
      <x:c r="N37" s="26"/>
    </x:row>
    <x:row r="38">
      <x:c r="B38" s="33" t="str">
        <x:v>Peak operational production</x:v>
      </x:c>
      <x:c r="C38" s="33" t="n">
        <x:v>16</x:v>
      </x:c>
      <x:c r="D38" s="33" t="str">
        <x:v>vehicles/year</x:v>
      </x:c>
      <x:c r="E38" s="33" t="str">
        <x:v>219-article fixed schedule</x:v>
      </x:c>
      <x:c r="F38" s="35" t="str">
        <x:v>OPEN</x:v>
      </x:c>
      <x:c r="G38" s="26"/>
      <x:c r="H38" s="26"/>
      <x:c r="I38" s="26"/>
      <x:c r="J38" s="26"/>
      <x:c r="K38" s="26"/>
      <x:c r="L38" s="26"/>
      <x:c r="M38" s="26"/>
      <x:c r="N38" s="26"/>
    </x:row>
    <x:row r="39">
      <x:c r="B39" s="39" t="str">
        <x:v>Wider industrial ecosystem</x:v>
      </x:c>
      <x:c r="C39" s="39" t="n">
        <x:v>95000</x:v>
      </x:c>
      <x:c r="D39" s="39" t="str">
        <x:v>workers</x:v>
      </x:c>
      <x:c r="E39" s="39" t="str">
        <x:v>engines, tanks, pods, power electronics, receivers and depots</x:v>
      </x:c>
      <x:c r="F39" s="40" t="str">
        <x:v>OPEN</x:v>
      </x:c>
      <x:c r="G39" s="26"/>
      <x:c r="H39" s="26"/>
      <x:c r="I39" s="26"/>
      <x:c r="J39" s="26"/>
      <x:c r="K39" s="26"/>
      <x:c r="L39" s="26"/>
      <x:c r="M39" s="26"/>
      <x:c r="N39" s="26"/>
    </x:row>
    <x:row r="40"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</x:row>
    <x:row r="46"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</x:row>
    <x:row r="47"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</x:row>
    <x:row r="48"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</x:row>
    <x:row r="49"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</x:row>
    <x:row r="50"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</x:row>
    <x:row r="51"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</x:row>
    <x:row r="52"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</x:row>
  </x:sheetData>
  <x:mergeCells>
    <x:mergeCell ref="B6:G6"/>
    <x:mergeCell ref="I6:M6"/>
    <x:mergeCell ref="B20:M20"/>
    <x:mergeCell ref="B30:N3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3" hidden="0" customWidth="1"/>
    <x:col min="4" max="4" width="34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29" hidden="0" customWidth="1"/>
    <x:col min="10" max="10" width="14" hidden="0" customWidth="1"/>
  </x:cols>
  <x:sheetData>
    <x:row r="2">
      <x:c r="B2" s="78" t="str">
        <x:v>$380B contact-energy-interface technology campaign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79" t="str">
        <x:v>Ambitious clean-sheet innovation is funded as rival coefficient-changing programs; arithmetic performance earns no readiness credit</x:v>
      </x:c>
      <x:c r="C3" s="70"/>
      <x:c r="D3" s="70"/>
      <x:c r="E3" s="70"/>
      <x:c r="F3" s="70"/>
      <x:c r="G3" s="70"/>
      <x:c r="H3" s="70"/>
      <x:c r="I3" s="70"/>
      <x:c r="J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>
      <x:c r="B6" s="31" t="str">
        <x:v>Campaign</x:v>
      </x:c>
      <x:c r="C6" s="32" t="str">
        <x:v>$B</x:v>
      </x:c>
      <x:c r="D6" s="32" t="str">
        <x:v>Governing coefficient</x:v>
      </x:c>
      <x:c r="E6" s="32" t="str">
        <x:v>Rival lineages</x:v>
      </x:c>
      <x:c r="F6" s="32" t="str">
        <x:v>Representative object</x:v>
      </x:c>
      <x:c r="G6" s="32" t="str">
        <x:v>Destructive challenge</x:v>
      </x:c>
      <x:c r="H6" s="32" t="str">
        <x:v>Transition rule</x:v>
      </x:c>
      <x:c r="I6" s="32" t="str">
        <x:v>Owner</x:v>
      </x:c>
      <x:c r="J6" s="32" t="str">
        <x:v>State</x:v>
      </x:c>
    </x:row>
    <x:row r="7">
      <x:c r="B7" s="33" t="str">
        <x:v>Adaptive pod mechanics</x:v>
      </x:c>
      <x:c r="C7" s="88" t="n">
        <x:v>44</x:v>
      </x:c>
      <x:c r="D7" s="33" t="str">
        <x:v>255 m2; 0.42 h transition</x:v>
      </x:c>
      <x:c r="E7" s="33" t="n">
        <x:v>3</x:v>
      </x:c>
      <x:c r="F7" s="33" t="str">
        <x:v>full gross pod quarter</x:v>
      </x:c>
      <x:c r="G7" s="33" t="str">
        <x:v>mud, debris, pod loss and overload</x:v>
      </x:c>
      <x:c r="H7" s="33" t="str">
        <x:v>compounded pressure &lt;=35 kPa</x:v>
      </x:c>
      <x:c r="I7" s="33" t="str">
        <x:v>Terrain Systems Directorate</x:v>
      </x:c>
      <x:c r="J7" s="35" t="str">
        <x:v>OPEN</x:v>
      </x:c>
    </x:row>
    <x:row r="8">
      <x:c r="B8" s="33" t="str">
        <x:v>Deformable-soil physics</x:v>
      </x:c>
      <x:c r="C8" s="88" t="n">
        <x:v>30</x:v>
      </x:c>
      <x:c r="D8" s="33" t="str">
        <x:v>bearing, shear, sinkage and rut accumulation</x:v>
      </x:c>
      <x:c r="E8" s="33" t="n">
        <x:v>3</x:v>
      </x:c>
      <x:c r="F8" s="33" t="str">
        <x:v>instrumented full-scale soil lanes</x:v>
      </x:c>
      <x:c r="G8" s="33" t="str">
        <x:v>repeated pass and heterogeneous soil</x:v>
      </x:c>
      <x:c r="H8" s="33" t="str">
        <x:v>measured worlds replace pressure proxy</x:v>
      </x:c>
      <x:c r="I8" s="33" t="str">
        <x:v>National Terrain Laboratory</x:v>
      </x:c>
      <x:c r="J8" s="35" t="str">
        <x:v>OPEN</x:v>
      </x:c>
    </x:row>
    <x:row r="9">
      <x:c r="B9" s="33" t="str">
        <x:v>Dynamic load control</x:v>
      </x:c>
      <x:c r="C9" s="88" t="n">
        <x:v>26</x:v>
      </x:c>
      <x:c r="D9" s="33" t="str">
        <x:v>1.15 dynamic; 1.10 imbalance</x:v>
      </x:c>
      <x:c r="E9" s="33" t="n">
        <x:v>2</x:v>
      </x:c>
      <x:c r="F9" s="33" t="str">
        <x:v>twelve-pod hardware loop</x:v>
      </x:c>
      <x:c r="G9" s="33" t="str">
        <x:v>control loss and rapid obstacle</x:v>
      </x:c>
      <x:c r="H9" s="33" t="str">
        <x:v>bounds retained after one pod loss</x:v>
      </x:c>
      <x:c r="I9" s="33" t="str">
        <x:v>Control Assurance Office</x:v>
      </x:c>
      <x:c r="J9" s="35" t="str">
        <x:v>OPEN</x:v>
      </x:c>
    </x:row>
    <x:row r="10">
      <x:c r="B10" s="33" t="str">
        <x:v>Debris shedding and seals</x:v>
      </x:c>
      <x:c r="C10" s="88" t="n">
        <x:v>18</x:v>
      </x:c>
      <x:c r="D10" s="33" t="str">
        <x:v>18 km/h off road</x:v>
      </x:c>
      <x:c r="E10" s="33" t="n">
        <x:v>3</x:v>
      </x:c>
      <x:c r="F10" s="33" t="str">
        <x:v>pod and brake modules</x:v>
      </x:c>
      <x:c r="G10" s="33" t="str">
        <x:v>wire, timber, ash, silt and ice</x:v>
      </x:c>
      <x:c r="H10" s="33" t="str">
        <x:v>no mission-stop fouling</x:v>
      </x:c>
      <x:c r="I10" s="33" t="str">
        <x:v>Terrain Systems Directorate</x:v>
      </x:c>
      <x:c r="J10" s="35" t="str">
        <x:v>OPEN</x:v>
      </x:c>
    </x:row>
    <x:row r="11">
      <x:c r="B11" s="33" t="str">
        <x:v>Soil sensing and route release</x:v>
      </x:c>
      <x:c r="C11" s="88" t="n">
        <x:v>24</x:v>
      </x:c>
      <x:c r="D11" s="33" t="str">
        <x:v>authoritative local bearing state</x:v>
      </x:c>
      <x:c r="E11" s="33" t="n">
        <x:v>3</x:v>
      </x:c>
      <x:c r="F11" s="33" t="str">
        <x:v>robot-carrier convoy</x:v>
      </x:c>
      <x:c r="G11" s="33" t="str">
        <x:v>GNSS/network denial and false surface</x:v>
      </x:c>
      <x:c r="H11" s="33" t="str">
        <x:v>bounded false-release rate</x:v>
      </x:c>
      <x:c r="I11" s="33" t="str">
        <x:v>Receiver Release Authority</x:v>
      </x:c>
      <x:c r="J11" s="35" t="str">
        <x:v>OPEN</x:v>
      </x:c>
    </x:row>
    <x:row r="12">
      <x:c r="B12" s="33" t="str">
        <x:v>High-temperature generator core</x:v>
      </x:c>
      <x:c r="C12" s="88" t="n">
        <x:v>38</x:v>
      </x:c>
      <x:c r="D12" s="33" t="str">
        <x:v>5.04 kWh/kg consumable usable</x:v>
      </x:c>
      <x:c r="E12" s="33" t="n">
        <x:v>3</x:v>
      </x:c>
      <x:c r="F12" s="33" t="str">
        <x:v>9-MW field-replaceable sector</x:v>
      </x:c>
      <x:c r="G12" s="33" t="str">
        <x:v>hot, dusty, flooded and partial-load duty</x:v>
      </x:c>
      <x:c r="H12" s="33" t="str">
        <x:v>efficiency and mass close together</x:v>
      </x:c>
      <x:c r="I12" s="33" t="str">
        <x:v>Energy Systems Directorate</x:v>
      </x:c>
      <x:c r="J12" s="35" t="str">
        <x:v>OPEN</x:v>
      </x:c>
    </x:row>
    <x:row r="13">
      <x:c r="B13" s="33" t="str">
        <x:v>Fuel containment and casualty safety</x:v>
      </x:c>
      <x:c r="C13" s="88" t="n">
        <x:v>26</x:v>
      </x:c>
      <x:c r="D13" s="33" t="str">
        <x:v>121.45 t mission fuel inside 55 t hardware</x:v>
      </x:c>
      <x:c r="E13" s="33" t="n">
        <x:v>3</x:v>
      </x:c>
      <x:c r="F13" s="33" t="str">
        <x:v>tank, isolation and fire cell</x:v>
      </x:c>
      <x:c r="G13" s="33" t="str">
        <x:v>impact, puncture, rollover and pool fire</x:v>
      </x:c>
      <x:c r="H13" s="33" t="str">
        <x:v>no cascading vehicle loss</x:v>
      </x:c>
      <x:c r="I13" s="33" t="str">
        <x:v>Independent Safety Authority</x:v>
      </x:c>
      <x:c r="J13" s="35" t="str">
        <x:v>OPEN</x:v>
      </x:c>
    </x:row>
    <x:row r="14">
      <x:c r="B14" s="33" t="str">
        <x:v>Megawatt power electronics</x:v>
      </x:c>
      <x:c r="C14" s="88" t="n">
        <x:v>18</x:v>
      </x:c>
      <x:c r="D14" s="33" t="str">
        <x:v>36 MW installed; 27 MW N-1</x:v>
      </x:c>
      <x:c r="E14" s="33" t="n">
        <x:v>3</x:v>
      </x:c>
      <x:c r="F14" s="33" t="str">
        <x:v>four-bus integrated drive</x:v>
      </x:c>
      <x:c r="G14" s="33" t="str">
        <x:v>bus fault, arc and coolant loss</x:v>
      </x:c>
      <x:c r="H14" s="33" t="str">
        <x:v>22.5 MW demand after one sector loss</x:v>
      </x:c>
      <x:c r="I14" s="33" t="str">
        <x:v>Power Conversion Laboratory</x:v>
      </x:c>
      <x:c r="J14" s="35" t="str">
        <x:v>OPEN</x:v>
      </x:c>
    </x:row>
    <x:row r="15">
      <x:c r="B15" s="33" t="str">
        <x:v>Field heat rejection</x:v>
      </x:c>
      <x:c r="C15" s="88" t="n">
        <x:v>24</x:v>
      </x:c>
      <x:c r="D15" s="33" t="str">
        <x:v>continuous 9-MW sector duty</x:v>
      </x:c>
      <x:c r="E15" s="33" t="n">
        <x:v>3</x:v>
      </x:c>
      <x:c r="F15" s="33" t="str">
        <x:v>generator-thermal module</x:v>
      </x:c>
      <x:c r="G15" s="33" t="str">
        <x:v>high wet bulb, smoke and fouling</x:v>
      </x:c>
      <x:c r="H15" s="33" t="str">
        <x:v>power retained without host water</x:v>
      </x:c>
      <x:c r="I15" s="33" t="str">
        <x:v>Energy Systems Directorate</x:v>
      </x:c>
      <x:c r="J15" s="35" t="str">
        <x:v>OPEN</x:v>
      </x:c>
    </x:row>
    <x:row r="16">
      <x:c r="B16" s="33" t="str">
        <x:v>Metal-air alternate</x:v>
      </x:c>
      <x:c r="C16" s="88" t="n">
        <x:v>26</x:v>
      </x:c>
      <x:c r="D16" s="33" t="str">
        <x:v>system &gt;3 MWh/t</x:v>
      </x:c>
      <x:c r="E16" s="33" t="n">
        <x:v>3</x:v>
      </x:c>
      <x:c r="F16" s="33" t="str">
        <x:v>regenerative energy module</x:v>
      </x:c>
      <x:c r="G16" s="33" t="str">
        <x:v>supply isolation and deep discharge</x:v>
      </x:c>
      <x:c r="H16" s="33" t="str">
        <x:v>defeat fixed-point mass penalty</x:v>
      </x:c>
      <x:c r="I16" s="33" t="str">
        <x:v>Advanced Energy Office</x:v>
      </x:c>
      <x:c r="J16" s="35" t="str">
        <x:v>OPEN</x:v>
      </x:c>
    </x:row>
    <x:row r="17">
      <x:c r="B17" s="33" t="str">
        <x:v>Hydrogen independent comparator</x:v>
      </x:c>
      <x:c r="C17" s="88" t="n">
        <x:v>20</x:v>
      </x:c>
      <x:c r="D17" s="33" t="str">
        <x:v>&lt;=0.9 MWh/m3 delivered system</x:v>
      </x:c>
      <x:c r="E17" s="33" t="n">
        <x:v>3</x:v>
      </x:c>
      <x:c r="F17" s="33" t="str">
        <x:v>crashworthy cryogenic module</x:v>
      </x:c>
      <x:c r="G17" s="33" t="str">
        <x:v>boil-off, impact and field transfer</x:v>
      </x:c>
      <x:c r="H17" s="33" t="str">
        <x:v>new ancestry or reject for DCP-2</x:v>
      </x:c>
      <x:c r="I17" s="33" t="str">
        <x:v>Advanced Energy Office</x:v>
      </x:c>
      <x:c r="J17" s="35" t="str">
        <x:v>OPEN</x:v>
      </x:c>
    </x:row>
    <x:row r="18">
      <x:c r="B18" s="33" t="str">
        <x:v>Compact reactor comparator</x:v>
      </x:c>
      <x:c r="C18" s="88" t="n">
        <x:v>24</x:v>
      </x:c>
      <x:c r="D18" s="33" t="str">
        <x:v>mobile plant &lt;200 t; &lt;2 h release</x:v>
      </x:c>
      <x:c r="E18" s="33" t="n">
        <x:v>3</x:v>
      </x:c>
      <x:c r="F18" s="33" t="str">
        <x:v>shielded integrated module</x:v>
      </x:c>
      <x:c r="G18" s="33" t="str">
        <x:v>shutdown, crash, exclusion and reset</x:v>
      </x:c>
      <x:c r="H18" s="33" t="str">
        <x:v>civil-service clock and safety close</x:v>
      </x:c>
      <x:c r="I18" s="33" t="str">
        <x:v>Nuclear Civil Systems Office</x:v>
      </x:c>
      <x:c r="J18" s="35" t="str">
        <x:v>OPEN</x:v>
      </x:c>
    </x:row>
    <x:row r="19">
      <x:c r="B19" s="33" t="str">
        <x:v>Offline energy dispatch</x:v>
      </x:c>
      <x:c r="C19" s="88" t="n">
        <x:v>12</x:v>
      </x:c>
      <x:c r="D19" s="33" t="str">
        <x:v>four-sector autonomous dispatch</x:v>
      </x:c>
      <x:c r="E19" s="33" t="n">
        <x:v>2</x:v>
      </x:c>
      <x:c r="F19" s="33" t="str">
        <x:v>complete vehicle power network</x:v>
      </x:c>
      <x:c r="G19" s="33" t="str">
        <x:v>network denial and corrupted state</x:v>
      </x:c>
      <x:c r="H19" s="33" t="str">
        <x:v>signed local safe state</x:v>
      </x:c>
      <x:c r="I19" s="33" t="str">
        <x:v>Control Assurance Office</x:v>
      </x:c>
      <x:c r="J19" s="35" t="str">
        <x:v>OPEN</x:v>
      </x:c>
    </x:row>
    <x:row r="20">
      <x:c r="B20" s="33" t="str">
        <x:v>Receiver federation and control</x:v>
      </x:c>
      <x:c r="C20" s="88" t="n">
        <x:v>22</x:v>
      </x:c>
      <x:c r="D20" s="33" t="str">
        <x:v>5 km separation; zero pre-release ties</x:v>
      </x:c>
      <x:c r="E20" s="33" t="n">
        <x:v>2</x:v>
      </x:c>
      <x:c r="F20" s="33" t="str">
        <x:v>paired full-scale receivers</x:v>
      </x:c>
      <x:c r="G20" s="33" t="str">
        <x:v>zone, authority and corridor cuts</x:v>
      </x:c>
      <x:c r="H20" s="33" t="str">
        <x:v>each node reaches S7 alone</x:v>
      </x:c>
      <x:c r="I20" s="33" t="str">
        <x:v>Receiver Systems Command</x:v>
      </x:c>
      <x:c r="J20" s="35" t="str">
        <x:v>OPEN</x:v>
      </x:c>
    </x:row>
    <x:row r="21">
      <x:c r="B21" s="33" t="str">
        <x:v>Compound mission proving</x:v>
      </x:c>
      <x:c r="C21" s="88" t="n">
        <x:v>28</x:v>
      </x:c>
      <x:c r="D21" s="33" t="str">
        <x:v>800 km to S7 to 158 h reset</x:v>
      </x:c>
      <x:c r="E21" s="33" t="n">
        <x:v>4</x:v>
      </x:c>
      <x:c r="F21" s="33" t="str">
        <x:v>four SATs, two GCHs and two receivers</x:v>
      </x:c>
      <x:c r="G21" s="33" t="str">
        <x:v>hidden faults from source through reset</x:v>
      </x:c>
      <x:c r="H21" s="33" t="str">
        <x:v>repeatable public effect</x:v>
      </x:c>
      <x:c r="I21" s="33" t="str">
        <x:v>Independent Test Authority</x:v>
      </x:c>
      <x:c r="J21" s="35" t="str">
        <x:v>OPEN</x:v>
      </x:c>
    </x:row>
    <x:row r="22">
      <x:c r="B22" s="39" t="str">
        <x:v>Portfolio total</x:v>
      </x:c>
      <x:c r="C22" s="89" t="n">
        <x:f>SUM(C7:C21)</x:f>
        <x:v>380</x:v>
      </x:c>
      <x:c r="D22" s="39"/>
      <x:c r="E22" s="39"/>
      <x:c r="F22" s="39"/>
      <x:c r="G22" s="39"/>
      <x:c r="H22" s="39"/>
      <x:c r="I22" s="39"/>
      <x:c r="J22" s="40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</x:row>
    <x:row r="25">
      <x:c r="B25" s="72" t="str">
        <x:v>Accounting boundary</x:v>
      </x:c>
      <x:c r="C25" s="73" t="str">
        <x:v>Accounting boundary</x:v>
      </x:c>
      <x:c r="D25" s="73" t="str">
        <x:v>Accounting boundary</x:v>
      </x:c>
      <x:c r="E25" s="73" t="str">
        <x:v>Accounting boundary</x:v>
      </x:c>
      <x:c r="F25" s="73" t="str">
        <x:v>Accounting boundary</x:v>
      </x:c>
      <x:c r="G25" s="73" t="str">
        <x:v>Accounting boundary</x:v>
      </x:c>
      <x:c r="H25" s="73" t="str">
        <x:v>Accounting boundary</x:v>
      </x:c>
      <x:c r="I25" s="73" t="str">
        <x:v>Accounting boundary</x:v>
      </x:c>
      <x:c r="J25" s="74" t="str">
        <x:v>Accounting boundary</x:v>
      </x:c>
    </x:row>
    <x:row r="26">
      <x:c r="B26" s="82" t="str">
        <x:v>Included, not additive</x:v>
      </x:c>
      <x:c r="C26" s="50" t="str">
        <x:v>The $380B portfolio decomposes the SAT architecture R&amp;D and proving accounts plus interface R&amp;D and proving. It is not added again to the fiscal total.</x:v>
      </x:c>
      <x:c r="D26" s="50"/>
      <x:c r="E26" s="50"/>
      <x:c r="F26" s="50"/>
      <x:c r="G26" s="50"/>
      <x:c r="H26" s="50"/>
      <x:c r="I26" s="50"/>
      <x:c r="J26" s="50"/>
    </x:row>
    <x:row r="27">
      <x:c r="B27" s="83" t="str">
        <x:v>Multiple lineages</x:v>
      </x:c>
      <x:c r="C27" s="33" t="str">
        <x:v>Each campaign funds rival teams through subsystem prototypes before a full-system reference is frozen.</x:v>
      </x:c>
      <x:c r="D27" s="33"/>
      <x:c r="E27" s="33"/>
      <x:c r="F27" s="33"/>
      <x:c r="G27" s="33"/>
      <x:c r="H27" s="33"/>
      <x:c r="I27" s="33"/>
      <x:c r="J27" s="33"/>
    </x:row>
    <x:row r="28">
      <x:c r="B28" s="83" t="str">
        <x:v>Failure is informative</x:v>
      </x:c>
      <x:c r="C28" s="33" t="str">
        <x:v>If no energy or contact architecture closes, the vehicle, cell allocation, route promise or mode balance must change.</x:v>
      </x:c>
      <x:c r="D28" s="33"/>
      <x:c r="E28" s="33"/>
      <x:c r="F28" s="33"/>
      <x:c r="G28" s="33"/>
      <x:c r="H28" s="33"/>
      <x:c r="I28" s="33"/>
      <x:c r="J28" s="33"/>
    </x:row>
    <x:row r="29">
      <x:c r="B29" s="84" t="str">
        <x:v>Export economy</x:v>
      </x:c>
      <x:c r="C29" s="53" t="str">
        <x:v>The industrial result is a new heavy-civil mobility, energy and receiver sector whose derivative systems may be produced for partner networks without weakening domestic reserve.</x:v>
      </x:c>
      <x:c r="D29" s="53"/>
      <x:c r="E29" s="53"/>
      <x:c r="F29" s="53"/>
      <x:c r="G29" s="53"/>
      <x:c r="H29" s="53"/>
      <x:c r="I29" s="53"/>
      <x:c r="J29" s="53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</x:row>
  </x:sheetData>
  <x:mergeCells>
    <x:mergeCell ref="B25:J25"/>
    <x:mergeCell ref="C26:J26"/>
    <x:mergeCell ref="C27:J27"/>
    <x:mergeCell ref="C28:J28"/>
    <x:mergeCell ref="C29:J2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6" hidden="0" customWidth="1"/>
    <x:col min="4" max="4" width="39" hidden="0" customWidth="1"/>
    <x:col min="5" max="5" width="36" hidden="0" customWidth="1"/>
    <x:col min="6" max="6" width="39" hidden="0" customWidth="1"/>
    <x:col min="7" max="7" width="43" hidden="0" customWidth="1"/>
    <x:col min="8" max="8" width="35" hidden="0" customWidth="1"/>
    <x:col min="9" max="9" width="13" hidden="0" customWidth="1"/>
    <x:col min="10" max="10" width="14" hidden="0" customWidth="1"/>
  </x:cols>
  <x:sheetData>
    <x:row r="2">
      <x:c r="B2" s="78" t="str">
        <x:v>Pass 85 representative evidence register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79" t="str">
        <x:v>Behavior-level closure creates a test program; every gate remains open and strict readiness credit remains zero</x:v>
      </x:c>
      <x:c r="C3" s="70"/>
      <x:c r="D3" s="70"/>
      <x:c r="E3" s="70"/>
      <x:c r="F3" s="70"/>
      <x:c r="G3" s="70"/>
      <x:c r="H3" s="70"/>
      <x:c r="I3" s="70"/>
      <x:c r="J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>
      <x:c r="B6" s="31" t="str">
        <x:v>Gate</x:v>
      </x:c>
      <x:c r="C6" s="32" t="str">
        <x:v>Domain</x:v>
      </x:c>
      <x:c r="D6" s="32" t="str">
        <x:v>Claim under test</x:v>
      </x:c>
      <x:c r="E6" s="32" t="str">
        <x:v>Evidence object</x:v>
      </x:c>
      <x:c r="F6" s="32" t="str">
        <x:v>Challenge</x:v>
      </x:c>
      <x:c r="G6" s="32" t="str">
        <x:v>Failure rule</x:v>
      </x:c>
      <x:c r="H6" s="32" t="str">
        <x:v>Authority</x:v>
      </x:c>
      <x:c r="I6" s="32" t="str">
        <x:v>State</x:v>
      </x:c>
      <x:c r="J6" s="32" t="str">
        <x:v>Strict credit</x:v>
      </x:c>
    </x:row>
    <x:row r="7">
      <x:c r="B7" s="33" t="str">
        <x:v>G001</x:v>
      </x:c>
      <x:c r="C7" s="33" t="str">
        <x:v>INTERFACE</x:v>
      </x:c>
      <x:c r="D7" s="33" t="str">
        <x:v>five-kilometre mode separation</x:v>
      </x:c>
      <x:c r="E7" s="33" t="str">
        <x:v>representative complete subsystem or paired mission</x:v>
      </x:c>
      <x:c r="F7" s="33" t="str">
        <x:v>unannounced receiver, authority and common-mode cuts</x:v>
      </x:c>
      <x:c r="G7" s="33" t="str">
        <x:v>measured evidence does not sustain five-kilometre mode separation</x:v>
      </x:c>
      <x:c r="H7" s="33" t="str">
        <x:v>Independent Test Authority</x:v>
      </x:c>
      <x:c r="I7" s="33" t="str">
        <x:v>OPEN</x:v>
      </x:c>
      <x:c r="J7" s="35" t="n">
        <x:v>0</x:v>
      </x:c>
    </x:row>
    <x:row r="8">
      <x:c r="B8" s="33" t="str">
        <x:v>G002</x:v>
      </x:c>
      <x:c r="C8" s="33" t="str">
        <x:v>INTERFACE</x:v>
      </x:c>
      <x:c r="D8" s="33" t="str">
        <x:v>independent air entry</x:v>
      </x:c>
      <x:c r="E8" s="33" t="str">
        <x:v>representative complete subsystem or paired mission</x:v>
      </x:c>
      <x:c r="F8" s="33" t="str">
        <x:v>unannounced receiver, authority and common-mode cuts</x:v>
      </x:c>
      <x:c r="G8" s="33" t="str">
        <x:v>measured evidence does not sustain independent air entry</x:v>
      </x:c>
      <x:c r="H8" s="33" t="str">
        <x:v>Independent Test Authority</x:v>
      </x:c>
      <x:c r="I8" s="33" t="str">
        <x:v>OPEN</x:v>
      </x:c>
      <x:c r="J8" s="35" t="n">
        <x:v>0</x:v>
      </x:c>
    </x:row>
    <x:row r="9">
      <x:c r="B9" s="33" t="str">
        <x:v>G003</x:v>
      </x:c>
      <x:c r="C9" s="33" t="str">
        <x:v>INTERFACE</x:v>
      </x:c>
      <x:c r="D9" s="33" t="str">
        <x:v>independent terrain entry</x:v>
      </x:c>
      <x:c r="E9" s="33" t="str">
        <x:v>representative complete subsystem or paired mission</x:v>
      </x:c>
      <x:c r="F9" s="33" t="str">
        <x:v>unannounced receiver, authority and common-mode cuts</x:v>
      </x:c>
      <x:c r="G9" s="33" t="str">
        <x:v>measured evidence does not sustain independent terrain entry</x:v>
      </x:c>
      <x:c r="H9" s="33" t="str">
        <x:v>Independent Test Authority</x:v>
      </x:c>
      <x:c r="I9" s="33" t="str">
        <x:v>OPEN</x:v>
      </x:c>
      <x:c r="J9" s="35" t="n">
        <x:v>0</x:v>
      </x:c>
    </x:row>
    <x:row r="10">
      <x:c r="B10" s="33" t="str">
        <x:v>G004</x:v>
      </x:c>
      <x:c r="C10" s="33" t="str">
        <x:v>INTERFACE</x:v>
      </x:c>
      <x:c r="D10" s="33" t="str">
        <x:v>independent air black start</x:v>
      </x:c>
      <x:c r="E10" s="33" t="str">
        <x:v>representative complete subsystem or paired mission</x:v>
      </x:c>
      <x:c r="F10" s="33" t="str">
        <x:v>unannounced receiver, authority and common-mode cuts</x:v>
      </x:c>
      <x:c r="G10" s="33" t="str">
        <x:v>measured evidence does not sustain independent air black start</x:v>
      </x:c>
      <x:c r="H10" s="33" t="str">
        <x:v>Independent Test Authority</x:v>
      </x:c>
      <x:c r="I10" s="33" t="str">
        <x:v>OPEN</x:v>
      </x:c>
      <x:c r="J10" s="35" t="n">
        <x:v>0</x:v>
      </x:c>
    </x:row>
    <x:row r="11">
      <x:c r="B11" s="33" t="str">
        <x:v>G005</x:v>
      </x:c>
      <x:c r="C11" s="33" t="str">
        <x:v>INTERFACE</x:v>
      </x:c>
      <x:c r="D11" s="33" t="str">
        <x:v>independent terrain black start</x:v>
      </x:c>
      <x:c r="E11" s="33" t="str">
        <x:v>representative complete subsystem or paired mission</x:v>
      </x:c>
      <x:c r="F11" s="33" t="str">
        <x:v>unannounced receiver, authority and common-mode cuts</x:v>
      </x:c>
      <x:c r="G11" s="33" t="str">
        <x:v>measured evidence does not sustain independent terrain black start</x:v>
      </x:c>
      <x:c r="H11" s="33" t="str">
        <x:v>Independent Test Authority</x:v>
      </x:c>
      <x:c r="I11" s="33" t="str">
        <x:v>OPEN</x:v>
      </x:c>
      <x:c r="J11" s="35" t="n">
        <x:v>0</x:v>
      </x:c>
    </x:row>
    <x:row r="12">
      <x:c r="B12" s="33" t="str">
        <x:v>G006</x:v>
      </x:c>
      <x:c r="C12" s="33" t="str">
        <x:v>INTERFACE</x:v>
      </x:c>
      <x:c r="D12" s="33" t="str">
        <x:v>air technical release</x:v>
      </x:c>
      <x:c r="E12" s="33" t="str">
        <x:v>representative complete subsystem or paired mission</x:v>
      </x:c>
      <x:c r="F12" s="33" t="str">
        <x:v>unannounced receiver, authority and common-mode cuts</x:v>
      </x:c>
      <x:c r="G12" s="33" t="str">
        <x:v>measured evidence does not sustain air technical release</x:v>
      </x:c>
      <x:c r="H12" s="33" t="str">
        <x:v>Independent Test Authority</x:v>
      </x:c>
      <x:c r="I12" s="33" t="str">
        <x:v>OPEN</x:v>
      </x:c>
      <x:c r="J12" s="35" t="n">
        <x:v>0</x:v>
      </x:c>
    </x:row>
    <x:row r="13">
      <x:c r="B13" s="33" t="str">
        <x:v>G007</x:v>
      </x:c>
      <x:c r="C13" s="33" t="str">
        <x:v>INTERFACE</x:v>
      </x:c>
      <x:c r="D13" s="33" t="str">
        <x:v>terrain technical release</x:v>
      </x:c>
      <x:c r="E13" s="33" t="str">
        <x:v>representative complete subsystem or paired mission</x:v>
      </x:c>
      <x:c r="F13" s="33" t="str">
        <x:v>unannounced receiver, authority and common-mode cuts</x:v>
      </x:c>
      <x:c r="G13" s="33" t="str">
        <x:v>measured evidence does not sustain terrain technical release</x:v>
      </x:c>
      <x:c r="H13" s="33" t="str">
        <x:v>Independent Test Authority</x:v>
      </x:c>
      <x:c r="I13" s="33" t="str">
        <x:v>OPEN</x:v>
      </x:c>
      <x:c r="J13" s="35" t="n">
        <x:v>0</x:v>
      </x:c>
    </x:row>
    <x:row r="14">
      <x:c r="B14" s="33" t="str">
        <x:v>G008</x:v>
      </x:c>
      <x:c r="C14" s="33" t="str">
        <x:v>INTERFACE</x:v>
      </x:c>
      <x:c r="D14" s="33" t="str">
        <x:v>air civil release</x:v>
      </x:c>
      <x:c r="E14" s="33" t="str">
        <x:v>representative complete subsystem or paired mission</x:v>
      </x:c>
      <x:c r="F14" s="33" t="str">
        <x:v>unannounced receiver, authority and common-mode cuts</x:v>
      </x:c>
      <x:c r="G14" s="33" t="str">
        <x:v>measured evidence does not sustain air civil release</x:v>
      </x:c>
      <x:c r="H14" s="33" t="str">
        <x:v>Independent Test Authority</x:v>
      </x:c>
      <x:c r="I14" s="33" t="str">
        <x:v>OPEN</x:v>
      </x:c>
      <x:c r="J14" s="35" t="n">
        <x:v>0</x:v>
      </x:c>
    </x:row>
    <x:row r="15">
      <x:c r="B15" s="33" t="str">
        <x:v>G009</x:v>
      </x:c>
      <x:c r="C15" s="33" t="str">
        <x:v>INTERFACE</x:v>
      </x:c>
      <x:c r="D15" s="33" t="str">
        <x:v>terrain civil release</x:v>
      </x:c>
      <x:c r="E15" s="33" t="str">
        <x:v>representative complete subsystem or paired mission</x:v>
      </x:c>
      <x:c r="F15" s="33" t="str">
        <x:v>unannounced receiver, authority and common-mode cuts</x:v>
      </x:c>
      <x:c r="G15" s="33" t="str">
        <x:v>measured evidence does not sustain terrain civil release</x:v>
      </x:c>
      <x:c r="H15" s="33" t="str">
        <x:v>Independent Test Authority</x:v>
      </x:c>
      <x:c r="I15" s="33" t="str">
        <x:v>OPEN</x:v>
      </x:c>
      <x:c r="J15" s="35" t="n">
        <x:v>0</x:v>
      </x:c>
    </x:row>
    <x:row r="16">
      <x:c r="B16" s="33" t="str">
        <x:v>G010</x:v>
      </x:c>
      <x:c r="C16" s="33" t="str">
        <x:v>INTERFACE</x:v>
      </x:c>
      <x:c r="D16" s="33" t="str">
        <x:v>air custody chain</x:v>
      </x:c>
      <x:c r="E16" s="33" t="str">
        <x:v>representative complete subsystem or paired mission</x:v>
      </x:c>
      <x:c r="F16" s="33" t="str">
        <x:v>unannounced receiver, authority and common-mode cuts</x:v>
      </x:c>
      <x:c r="G16" s="33" t="str">
        <x:v>measured evidence does not sustain air custody chain</x:v>
      </x:c>
      <x:c r="H16" s="33" t="str">
        <x:v>Independent Test Authority</x:v>
      </x:c>
      <x:c r="I16" s="33" t="str">
        <x:v>OPEN</x:v>
      </x:c>
      <x:c r="J16" s="35" t="n">
        <x:v>0</x:v>
      </x:c>
    </x:row>
    <x:row r="17">
      <x:c r="B17" s="33" t="str">
        <x:v>G011</x:v>
      </x:c>
      <x:c r="C17" s="33" t="str">
        <x:v>INTERFACE</x:v>
      </x:c>
      <x:c r="D17" s="33" t="str">
        <x:v>terrain custody chain</x:v>
      </x:c>
      <x:c r="E17" s="33" t="str">
        <x:v>representative complete subsystem or paired mission</x:v>
      </x:c>
      <x:c r="F17" s="33" t="str">
        <x:v>unannounced receiver, authority and common-mode cuts</x:v>
      </x:c>
      <x:c r="G17" s="33" t="str">
        <x:v>measured evidence does not sustain terrain custody chain</x:v>
      </x:c>
      <x:c r="H17" s="33" t="str">
        <x:v>Independent Test Authority</x:v>
      </x:c>
      <x:c r="I17" s="33" t="str">
        <x:v>OPEN</x:v>
      </x:c>
      <x:c r="J17" s="35" t="n">
        <x:v>0</x:v>
      </x:c>
    </x:row>
    <x:row r="18">
      <x:c r="B18" s="33" t="str">
        <x:v>G012</x:v>
      </x:c>
      <x:c r="C18" s="33" t="str">
        <x:v>INTERFACE</x:v>
      </x:c>
      <x:c r="D18" s="33" t="str">
        <x:v>air maintenance chain</x:v>
      </x:c>
      <x:c r="E18" s="33" t="str">
        <x:v>representative complete subsystem or paired mission</x:v>
      </x:c>
      <x:c r="F18" s="33" t="str">
        <x:v>unannounced receiver, authority and common-mode cuts</x:v>
      </x:c>
      <x:c r="G18" s="33" t="str">
        <x:v>measured evidence does not sustain air maintenance chain</x:v>
      </x:c>
      <x:c r="H18" s="33" t="str">
        <x:v>Independent Test Authority</x:v>
      </x:c>
      <x:c r="I18" s="33" t="str">
        <x:v>OPEN</x:v>
      </x:c>
      <x:c r="J18" s="35" t="n">
        <x:v>0</x:v>
      </x:c>
    </x:row>
    <x:row r="19">
      <x:c r="B19" s="33" t="str">
        <x:v>G013</x:v>
      </x:c>
      <x:c r="C19" s="33" t="str">
        <x:v>INTERFACE</x:v>
      </x:c>
      <x:c r="D19" s="33" t="str">
        <x:v>terrain maintenance chain</x:v>
      </x:c>
      <x:c r="E19" s="33" t="str">
        <x:v>representative complete subsystem or paired mission</x:v>
      </x:c>
      <x:c r="F19" s="33" t="str">
        <x:v>unannounced receiver, authority and common-mode cuts</x:v>
      </x:c>
      <x:c r="G19" s="33" t="str">
        <x:v>measured evidence does not sustain terrain maintenance chain</x:v>
      </x:c>
      <x:c r="H19" s="33" t="str">
        <x:v>Independent Test Authority</x:v>
      </x:c>
      <x:c r="I19" s="33" t="str">
        <x:v>OPEN</x:v>
      </x:c>
      <x:c r="J19" s="35" t="n">
        <x:v>0</x:v>
      </x:c>
    </x:row>
    <x:row r="20">
      <x:c r="B20" s="33" t="str">
        <x:v>G014</x:v>
      </x:c>
      <x:c r="C20" s="33" t="str">
        <x:v>INTERFACE</x:v>
      </x:c>
      <x:c r="D20" s="33" t="str">
        <x:v>air recovery chain</x:v>
      </x:c>
      <x:c r="E20" s="33" t="str">
        <x:v>representative complete subsystem or paired mission</x:v>
      </x:c>
      <x:c r="F20" s="33" t="str">
        <x:v>unannounced receiver, authority and common-mode cuts</x:v>
      </x:c>
      <x:c r="G20" s="33" t="str">
        <x:v>measured evidence does not sustain air recovery chain</x:v>
      </x:c>
      <x:c r="H20" s="33" t="str">
        <x:v>Independent Test Authority</x:v>
      </x:c>
      <x:c r="I20" s="33" t="str">
        <x:v>OPEN</x:v>
      </x:c>
      <x:c r="J20" s="35" t="n">
        <x:v>0</x:v>
      </x:c>
    </x:row>
    <x:row r="21">
      <x:c r="B21" s="33" t="str">
        <x:v>G015</x:v>
      </x:c>
      <x:c r="C21" s="33" t="str">
        <x:v>INTERFACE</x:v>
      </x:c>
      <x:c r="D21" s="33" t="str">
        <x:v>terrain recovery chain</x:v>
      </x:c>
      <x:c r="E21" s="33" t="str">
        <x:v>representative complete subsystem or paired mission</x:v>
      </x:c>
      <x:c r="F21" s="33" t="str">
        <x:v>unannounced receiver, authority and common-mode cuts</x:v>
      </x:c>
      <x:c r="G21" s="33" t="str">
        <x:v>measured evidence does not sustain terrain recovery chain</x:v>
      </x:c>
      <x:c r="H21" s="33" t="str">
        <x:v>Independent Test Authority</x:v>
      </x:c>
      <x:c r="I21" s="33" t="str">
        <x:v>OPEN</x:v>
      </x:c>
      <x:c r="J21" s="35" t="n">
        <x:v>0</x:v>
      </x:c>
    </x:row>
    <x:row r="22">
      <x:c r="B22" s="33" t="str">
        <x:v>G016</x:v>
      </x:c>
      <x:c r="C22" s="33" t="str">
        <x:v>INTERFACE</x:v>
      </x:c>
      <x:c r="D22" s="33" t="str">
        <x:v>zero pre-release cross-load</x:v>
      </x:c>
      <x:c r="E22" s="33" t="str">
        <x:v>representative complete subsystem or paired mission</x:v>
      </x:c>
      <x:c r="F22" s="33" t="str">
        <x:v>unannounced receiver, authority and common-mode cuts</x:v>
      </x:c>
      <x:c r="G22" s="33" t="str">
        <x:v>measured evidence does not sustain zero pre-release cross-load</x:v>
      </x:c>
      <x:c r="H22" s="33" t="str">
        <x:v>Independent Test Authority</x:v>
      </x:c>
      <x:c r="I22" s="33" t="str">
        <x:v>OPEN</x:v>
      </x:c>
      <x:c r="J22" s="35" t="n">
        <x:v>0</x:v>
      </x:c>
    </x:row>
    <x:row r="23">
      <x:c r="B23" s="33" t="str">
        <x:v>G017</x:v>
      </x:c>
      <x:c r="C23" s="33" t="str">
        <x:v>INTERFACE</x:v>
      </x:c>
      <x:c r="D23" s="33" t="str">
        <x:v>zero pre-release energy exchange</x:v>
      </x:c>
      <x:c r="E23" s="33" t="str">
        <x:v>representative complete subsystem or paired mission</x:v>
      </x:c>
      <x:c r="F23" s="33" t="str">
        <x:v>unannounced receiver, authority and common-mode cuts</x:v>
      </x:c>
      <x:c r="G23" s="33" t="str">
        <x:v>measured evidence does not sustain zero pre-release energy exchange</x:v>
      </x:c>
      <x:c r="H23" s="33" t="str">
        <x:v>Independent Test Authority</x:v>
      </x:c>
      <x:c r="I23" s="33" t="str">
        <x:v>OPEN</x:v>
      </x:c>
      <x:c r="J23" s="35" t="n">
        <x:v>0</x:v>
      </x:c>
    </x:row>
    <x:row r="24">
      <x:c r="B24" s="33" t="str">
        <x:v>G018</x:v>
      </x:c>
      <x:c r="C24" s="33" t="str">
        <x:v>INTERFACE</x:v>
      </x:c>
      <x:c r="D24" s="33" t="str">
        <x:v>zero pre-release authority borrowing</x:v>
      </x:c>
      <x:c r="E24" s="33" t="str">
        <x:v>representative complete subsystem or paired mission</x:v>
      </x:c>
      <x:c r="F24" s="33" t="str">
        <x:v>unannounced receiver, authority and common-mode cuts</x:v>
      </x:c>
      <x:c r="G24" s="33" t="str">
        <x:v>measured evidence does not sustain zero pre-release authority borrowing</x:v>
      </x:c>
      <x:c r="H24" s="33" t="str">
        <x:v>Independent Test Authority</x:v>
      </x:c>
      <x:c r="I24" s="33" t="str">
        <x:v>OPEN</x:v>
      </x:c>
      <x:c r="J24" s="35" t="n">
        <x:v>0</x:v>
      </x:c>
    </x:row>
    <x:row r="25">
      <x:c r="B25" s="33" t="str">
        <x:v>G019</x:v>
      </x:c>
      <x:c r="C25" s="33" t="str">
        <x:v>INTERFACE</x:v>
      </x:c>
      <x:c r="D25" s="33" t="str">
        <x:v>post-release fail-open corridor</x:v>
      </x:c>
      <x:c r="E25" s="33" t="str">
        <x:v>representative complete subsystem or paired mission</x:v>
      </x:c>
      <x:c r="F25" s="33" t="str">
        <x:v>unannounced receiver, authority and common-mode cuts</x:v>
      </x:c>
      <x:c r="G25" s="33" t="str">
        <x:v>measured evidence does not sustain post-release fail-open corridor</x:v>
      </x:c>
      <x:c r="H25" s="33" t="str">
        <x:v>Independent Test Authority</x:v>
      </x:c>
      <x:c r="I25" s="33" t="str">
        <x:v>OPEN</x:v>
      </x:c>
      <x:c r="J25" s="35" t="n">
        <x:v>0</x:v>
      </x:c>
    </x:row>
    <x:row r="26">
      <x:c r="B26" s="33" t="str">
        <x:v>G020</x:v>
      </x:c>
      <x:c r="C26" s="33" t="str">
        <x:v>INTERFACE</x:v>
      </x:c>
      <x:c r="D26" s="33" t="str">
        <x:v>shared yard denial</x:v>
      </x:c>
      <x:c r="E26" s="33" t="str">
        <x:v>representative complete subsystem or paired mission</x:v>
      </x:c>
      <x:c r="F26" s="33" t="str">
        <x:v>unannounced receiver, authority and common-mode cuts</x:v>
      </x:c>
      <x:c r="G26" s="33" t="str">
        <x:v>measured evidence does not sustain shared yard denial</x:v>
      </x:c>
      <x:c r="H26" s="33" t="str">
        <x:v>Independent Test Authority</x:v>
      </x:c>
      <x:c r="I26" s="33" t="str">
        <x:v>OPEN</x:v>
      </x:c>
      <x:c r="J26" s="35" t="n">
        <x:v>0</x:v>
      </x:c>
    </x:row>
    <x:row r="27">
      <x:c r="B27" s="33" t="str">
        <x:v>G021</x:v>
      </x:c>
      <x:c r="C27" s="33" t="str">
        <x:v>INTERFACE</x:v>
      </x:c>
      <x:c r="D27" s="33" t="str">
        <x:v>air-zone denial</x:v>
      </x:c>
      <x:c r="E27" s="33" t="str">
        <x:v>representative complete subsystem or paired mission</x:v>
      </x:c>
      <x:c r="F27" s="33" t="str">
        <x:v>unannounced receiver, authority and common-mode cuts</x:v>
      </x:c>
      <x:c r="G27" s="33" t="str">
        <x:v>measured evidence does not sustain air-zone denial</x:v>
      </x:c>
      <x:c r="H27" s="33" t="str">
        <x:v>Independent Test Authority</x:v>
      </x:c>
      <x:c r="I27" s="33" t="str">
        <x:v>OPEN</x:v>
      </x:c>
      <x:c r="J27" s="35" t="n">
        <x:v>0</x:v>
      </x:c>
    </x:row>
    <x:row r="28">
      <x:c r="B28" s="33" t="str">
        <x:v>G022</x:v>
      </x:c>
      <x:c r="C28" s="33" t="str">
        <x:v>INTERFACE</x:v>
      </x:c>
      <x:c r="D28" s="33" t="str">
        <x:v>terrain-zone denial</x:v>
      </x:c>
      <x:c r="E28" s="33" t="str">
        <x:v>representative complete subsystem or paired mission</x:v>
      </x:c>
      <x:c r="F28" s="33" t="str">
        <x:v>unannounced receiver, authority and common-mode cuts</x:v>
      </x:c>
      <x:c r="G28" s="33" t="str">
        <x:v>measured evidence does not sustain terrain-zone denial</x:v>
      </x:c>
      <x:c r="H28" s="33" t="str">
        <x:v>Independent Test Authority</x:v>
      </x:c>
      <x:c r="I28" s="33" t="str">
        <x:v>OPEN</x:v>
      </x:c>
      <x:c r="J28" s="35" t="n">
        <x:v>0</x:v>
      </x:c>
    </x:row>
    <x:row r="29">
      <x:c r="B29" s="33" t="str">
        <x:v>G023</x:v>
      </x:c>
      <x:c r="C29" s="33" t="str">
        <x:v>INTERFACE</x:v>
      </x:c>
      <x:c r="D29" s="33" t="str">
        <x:v>network denial</x:v>
      </x:c>
      <x:c r="E29" s="33" t="str">
        <x:v>representative complete subsystem or paired mission</x:v>
      </x:c>
      <x:c r="F29" s="33" t="str">
        <x:v>unannounced receiver, authority and common-mode cuts</x:v>
      </x:c>
      <x:c r="G29" s="33" t="str">
        <x:v>measured evidence does not sustain network denial</x:v>
      </x:c>
      <x:c r="H29" s="33" t="str">
        <x:v>Independent Test Authority</x:v>
      </x:c>
      <x:c r="I29" s="33" t="str">
        <x:v>OPEN</x:v>
      </x:c>
      <x:c r="J29" s="35" t="n">
        <x:v>0</x:v>
      </x:c>
    </x:row>
    <x:row r="30">
      <x:c r="B30" s="33" t="str">
        <x:v>G024</x:v>
      </x:c>
      <x:c r="C30" s="33" t="str">
        <x:v>INTERFACE</x:v>
      </x:c>
      <x:c r="D30" s="33" t="str">
        <x:v>common-interface semantics</x:v>
      </x:c>
      <x:c r="E30" s="33" t="str">
        <x:v>representative complete subsystem or paired mission</x:v>
      </x:c>
      <x:c r="F30" s="33" t="str">
        <x:v>unannounced receiver, authority and common-mode cuts</x:v>
      </x:c>
      <x:c r="G30" s="33" t="str">
        <x:v>measured evidence does not sustain common-interface semantics</x:v>
      </x:c>
      <x:c r="H30" s="33" t="str">
        <x:v>Independent Test Authority</x:v>
      </x:c>
      <x:c r="I30" s="33" t="str">
        <x:v>OPEN</x:v>
      </x:c>
      <x:c r="J30" s="35" t="n">
        <x:v>0</x:v>
      </x:c>
    </x:row>
    <x:row r="31">
      <x:c r="B31" s="33" t="str">
        <x:v>G025</x:v>
      </x:c>
      <x:c r="C31" s="33" t="str">
        <x:v>INTERFACE</x:v>
      </x:c>
      <x:c r="D31" s="33" t="str">
        <x:v>plural interface implementation</x:v>
      </x:c>
      <x:c r="E31" s="33" t="str">
        <x:v>representative complete subsystem or paired mission</x:v>
      </x:c>
      <x:c r="F31" s="33" t="str">
        <x:v>unannounced receiver, authority and common-mode cuts</x:v>
      </x:c>
      <x:c r="G31" s="33" t="str">
        <x:v>measured evidence does not sustain plural interface implementation</x:v>
      </x:c>
      <x:c r="H31" s="33" t="str">
        <x:v>Independent Test Authority</x:v>
      </x:c>
      <x:c r="I31" s="33" t="str">
        <x:v>OPEN</x:v>
      </x:c>
      <x:c r="J31" s="35" t="n">
        <x:v>0</x:v>
      </x:c>
    </x:row>
    <x:row r="32">
      <x:c r="B32" s="33" t="str">
        <x:v>G026</x:v>
      </x:c>
      <x:c r="C32" s="33" t="str">
        <x:v>INTERFACE</x:v>
      </x:c>
      <x:c r="D32" s="33" t="str">
        <x:v>air control kernel ancestry</x:v>
      </x:c>
      <x:c r="E32" s="33" t="str">
        <x:v>representative complete subsystem or paired mission</x:v>
      </x:c>
      <x:c r="F32" s="33" t="str">
        <x:v>unannounced receiver, authority and common-mode cuts</x:v>
      </x:c>
      <x:c r="G32" s="33" t="str">
        <x:v>measured evidence does not sustain air control kernel ancestry</x:v>
      </x:c>
      <x:c r="H32" s="33" t="str">
        <x:v>Independent Test Authority</x:v>
      </x:c>
      <x:c r="I32" s="33" t="str">
        <x:v>OPEN</x:v>
      </x:c>
      <x:c r="J32" s="35" t="n">
        <x:v>0</x:v>
      </x:c>
    </x:row>
    <x:row r="33">
      <x:c r="B33" s="33" t="str">
        <x:v>G027</x:v>
      </x:c>
      <x:c r="C33" s="33" t="str">
        <x:v>INTERFACE</x:v>
      </x:c>
      <x:c r="D33" s="33" t="str">
        <x:v>terrain control kernel ancestry</x:v>
      </x:c>
      <x:c r="E33" s="33" t="str">
        <x:v>representative complete subsystem or paired mission</x:v>
      </x:c>
      <x:c r="F33" s="33" t="str">
        <x:v>unannounced receiver, authority and common-mode cuts</x:v>
      </x:c>
      <x:c r="G33" s="33" t="str">
        <x:v>measured evidence does not sustain terrain control kernel ancestry</x:v>
      </x:c>
      <x:c r="H33" s="33" t="str">
        <x:v>Independent Test Authority</x:v>
      </x:c>
      <x:c r="I33" s="33" t="str">
        <x:v>OPEN</x:v>
      </x:c>
      <x:c r="J33" s="35" t="n">
        <x:v>0</x:v>
      </x:c>
    </x:row>
    <x:row r="34">
      <x:c r="B34" s="33" t="str">
        <x:v>G028</x:v>
      </x:c>
      <x:c r="C34" s="33" t="str">
        <x:v>INTERFACE</x:v>
      </x:c>
      <x:c r="D34" s="33" t="str">
        <x:v>receiver casualty substitution</x:v>
      </x:c>
      <x:c r="E34" s="33" t="str">
        <x:v>representative complete subsystem or paired mission</x:v>
      </x:c>
      <x:c r="F34" s="33" t="str">
        <x:v>unannounced receiver, authority and common-mode cuts</x:v>
      </x:c>
      <x:c r="G34" s="33" t="str">
        <x:v>measured evidence does not sustain receiver casualty substitution</x:v>
      </x:c>
      <x:c r="H34" s="33" t="str">
        <x:v>Independent Test Authority</x:v>
      </x:c>
      <x:c r="I34" s="33" t="str">
        <x:v>OPEN</x:v>
      </x:c>
      <x:c r="J34" s="35" t="n">
        <x:v>0</x:v>
      </x:c>
    </x:row>
    <x:row r="35">
      <x:c r="B35" s="33" t="str">
        <x:v>G029</x:v>
      </x:c>
      <x:c r="C35" s="33" t="str">
        <x:v>INTERFACE</x:v>
      </x:c>
      <x:c r="D35" s="33" t="str">
        <x:v>receiver 72-hour autonomy</x:v>
      </x:c>
      <x:c r="E35" s="33" t="str">
        <x:v>representative complete subsystem or paired mission</x:v>
      </x:c>
      <x:c r="F35" s="33" t="str">
        <x:v>unannounced receiver, authority and common-mode cuts</x:v>
      </x:c>
      <x:c r="G35" s="33" t="str">
        <x:v>measured evidence does not sustain receiver 72-hour autonomy</x:v>
      </x:c>
      <x:c r="H35" s="33" t="str">
        <x:v>Independent Test Authority</x:v>
      </x:c>
      <x:c r="I35" s="33" t="str">
        <x:v>OPEN</x:v>
      </x:c>
      <x:c r="J35" s="35" t="n">
        <x:v>0</x:v>
      </x:c>
    </x:row>
    <x:row r="36">
      <x:c r="B36" s="33" t="str">
        <x:v>G030</x:v>
      </x:c>
      <x:c r="C36" s="33" t="str">
        <x:v>INTERFACE</x:v>
      </x:c>
      <x:c r="D36" s="33" t="str">
        <x:v>complete paired mission</x:v>
      </x:c>
      <x:c r="E36" s="33" t="str">
        <x:v>representative complete subsystem or paired mission</x:v>
      </x:c>
      <x:c r="F36" s="33" t="str">
        <x:v>unannounced receiver, authority and common-mode cuts</x:v>
      </x:c>
      <x:c r="G36" s="33" t="str">
        <x:v>measured evidence does not sustain complete paired mission</x:v>
      </x:c>
      <x:c r="H36" s="33" t="str">
        <x:v>Independent Test Authority</x:v>
      </x:c>
      <x:c r="I36" s="33" t="str">
        <x:v>OPEN</x:v>
      </x:c>
      <x:c r="J36" s="35" t="n">
        <x:v>0</x:v>
      </x:c>
    </x:row>
    <x:row r="37">
      <x:c r="B37" s="33" t="str">
        <x:v>G031</x:v>
      </x:c>
      <x:c r="C37" s="33" t="str">
        <x:v>CONTACT</x:v>
      </x:c>
      <x:c r="D37" s="33" t="str">
        <x:v>255-square-metre deployed area</x:v>
      </x:c>
      <x:c r="E37" s="33" t="str">
        <x:v>representative complete subsystem or paired mission</x:v>
      </x:c>
      <x:c r="F37" s="33" t="str">
        <x:v>instrumented full-gross deformable-soil world</x:v>
      </x:c>
      <x:c r="G37" s="33" t="str">
        <x:v>measured evidence does not sustain 255-square-metre deployed area</x:v>
      </x:c>
      <x:c r="H37" s="33" t="str">
        <x:v>Independent Test Authority</x:v>
      </x:c>
      <x:c r="I37" s="33" t="str">
        <x:v>OPEN</x:v>
      </x:c>
      <x:c r="J37" s="35" t="n">
        <x:v>0</x:v>
      </x:c>
    </x:row>
    <x:row r="38">
      <x:c r="B38" s="33" t="str">
        <x:v>G032</x:v>
      </x:c>
      <x:c r="C38" s="33" t="str">
        <x:v>CONTACT</x:v>
      </x:c>
      <x:c r="D38" s="33" t="str">
        <x:v>155-square-metre transit area</x:v>
      </x:c>
      <x:c r="E38" s="33" t="str">
        <x:v>representative complete subsystem or paired mission</x:v>
      </x:c>
      <x:c r="F38" s="33" t="str">
        <x:v>instrumented full-gross deformable-soil world</x:v>
      </x:c>
      <x:c r="G38" s="33" t="str">
        <x:v>measured evidence does not sustain 155-square-metre transit area</x:v>
      </x:c>
      <x:c r="H38" s="33" t="str">
        <x:v>Independent Test Authority</x:v>
      </x:c>
      <x:c r="I38" s="33" t="str">
        <x:v>OPEN</x:v>
      </x:c>
      <x:c r="J38" s="35" t="n">
        <x:v>0</x:v>
      </x:c>
    </x:row>
    <x:row r="39">
      <x:c r="B39" s="33" t="str">
        <x:v>G033</x:v>
      </x:c>
      <x:c r="C39" s="33" t="str">
        <x:v>CONTACT</x:v>
      </x:c>
      <x:c r="D39" s="33" t="str">
        <x:v>0.42-hour transition</x:v>
      </x:c>
      <x:c r="E39" s="33" t="str">
        <x:v>representative complete subsystem or paired mission</x:v>
      </x:c>
      <x:c r="F39" s="33" t="str">
        <x:v>instrumented full-gross deformable-soil world</x:v>
      </x:c>
      <x:c r="G39" s="33" t="str">
        <x:v>measured evidence does not sustain 0.42-hour transition</x:v>
      </x:c>
      <x:c r="H39" s="33" t="str">
        <x:v>Independent Test Authority</x:v>
      </x:c>
      <x:c r="I39" s="33" t="str">
        <x:v>OPEN</x:v>
      </x:c>
      <x:c r="J39" s="35" t="n">
        <x:v>0</x:v>
      </x:c>
    </x:row>
    <x:row r="40">
      <x:c r="B40" s="33" t="str">
        <x:v>G034</x:v>
      </x:c>
      <x:c r="C40" s="33" t="str">
        <x:v>CONTACT</x:v>
      </x:c>
      <x:c r="D40" s="33" t="str">
        <x:v>one-pod residual area</x:v>
      </x:c>
      <x:c r="E40" s="33" t="str">
        <x:v>representative complete subsystem or paired mission</x:v>
      </x:c>
      <x:c r="F40" s="33" t="str">
        <x:v>instrumented full-gross deformable-soil world</x:v>
      </x:c>
      <x:c r="G40" s="33" t="str">
        <x:v>measured evidence does not sustain one-pod residual area</x:v>
      </x:c>
      <x:c r="H40" s="33" t="str">
        <x:v>Independent Test Authority</x:v>
      </x:c>
      <x:c r="I40" s="33" t="str">
        <x:v>OPEN</x:v>
      </x:c>
      <x:c r="J40" s="35" t="n">
        <x:v>0</x:v>
      </x:c>
    </x:row>
    <x:row r="41">
      <x:c r="B41" s="33" t="str">
        <x:v>G035</x:v>
      </x:c>
      <x:c r="C41" s="33" t="str">
        <x:v>CONTACT</x:v>
      </x:c>
      <x:c r="D41" s="33" t="str">
        <x:v>34.43-kPa compounded pressure</x:v>
      </x:c>
      <x:c r="E41" s="33" t="str">
        <x:v>representative complete subsystem or paired mission</x:v>
      </x:c>
      <x:c r="F41" s="33" t="str">
        <x:v>instrumented full-gross deformable-soil world</x:v>
      </x:c>
      <x:c r="G41" s="33" t="str">
        <x:v>measured evidence does not sustain 34.43-kPa compounded pressure</x:v>
      </x:c>
      <x:c r="H41" s="33" t="str">
        <x:v>Independent Test Authority</x:v>
      </x:c>
      <x:c r="I41" s="33" t="str">
        <x:v>OPEN</x:v>
      </x:c>
      <x:c r="J41" s="35" t="n">
        <x:v>0</x:v>
      </x:c>
    </x:row>
    <x:row r="42">
      <x:c r="B42" s="33" t="str">
        <x:v>G036</x:v>
      </x:c>
      <x:c r="C42" s="33" t="str">
        <x:v>CONTACT</x:v>
      </x:c>
      <x:c r="D42" s="33" t="str">
        <x:v>1.15 dynamic factor</x:v>
      </x:c>
      <x:c r="E42" s="33" t="str">
        <x:v>representative complete subsystem or paired mission</x:v>
      </x:c>
      <x:c r="F42" s="33" t="str">
        <x:v>instrumented full-gross deformable-soil world</x:v>
      </x:c>
      <x:c r="G42" s="33" t="str">
        <x:v>measured evidence does not sustain 1.15 dynamic factor</x:v>
      </x:c>
      <x:c r="H42" s="33" t="str">
        <x:v>Independent Test Authority</x:v>
      </x:c>
      <x:c r="I42" s="33" t="str">
        <x:v>OPEN</x:v>
      </x:c>
      <x:c r="J42" s="35" t="n">
        <x:v>0</x:v>
      </x:c>
    </x:row>
    <x:row r="43">
      <x:c r="B43" s="33" t="str">
        <x:v>G037</x:v>
      </x:c>
      <x:c r="C43" s="33" t="str">
        <x:v>CONTACT</x:v>
      </x:c>
      <x:c r="D43" s="33" t="str">
        <x:v>1.10 imbalance factor</x:v>
      </x:c>
      <x:c r="E43" s="33" t="str">
        <x:v>representative complete subsystem or paired mission</x:v>
      </x:c>
      <x:c r="F43" s="33" t="str">
        <x:v>instrumented full-gross deformable-soil world</x:v>
      </x:c>
      <x:c r="G43" s="33" t="str">
        <x:v>measured evidence does not sustain 1.10 imbalance factor</x:v>
      </x:c>
      <x:c r="H43" s="33" t="str">
        <x:v>Independent Test Authority</x:v>
      </x:c>
      <x:c r="I43" s="33" t="str">
        <x:v>OPEN</x:v>
      </x:c>
      <x:c r="J43" s="35" t="n">
        <x:v>0</x:v>
      </x:c>
    </x:row>
    <x:row r="44">
      <x:c r="B44" s="33" t="str">
        <x:v>G038</x:v>
      </x:c>
      <x:c r="C44" s="33" t="str">
        <x:v>CONTACT</x:v>
      </x:c>
      <x:c r="D44" s="33" t="str">
        <x:v>twelve-pod load sharing</x:v>
      </x:c>
      <x:c r="E44" s="33" t="str">
        <x:v>representative complete subsystem or paired mission</x:v>
      </x:c>
      <x:c r="F44" s="33" t="str">
        <x:v>instrumented full-gross deformable-soil world</x:v>
      </x:c>
      <x:c r="G44" s="33" t="str">
        <x:v>measured evidence does not sustain twelve-pod load sharing</x:v>
      </x:c>
      <x:c r="H44" s="33" t="str">
        <x:v>Independent Test Authority</x:v>
      </x:c>
      <x:c r="I44" s="33" t="str">
        <x:v>OPEN</x:v>
      </x:c>
      <x:c r="J44" s="35" t="n">
        <x:v>0</x:v>
      </x:c>
    </x:row>
    <x:row r="45">
      <x:c r="B45" s="33" t="str">
        <x:v>G039</x:v>
      </x:c>
      <x:c r="C45" s="33" t="str">
        <x:v>CONTACT</x:v>
      </x:c>
      <x:c r="D45" s="33" t="str">
        <x:v>one-pod-out steering</x:v>
      </x:c>
      <x:c r="E45" s="33" t="str">
        <x:v>representative complete subsystem or paired mission</x:v>
      </x:c>
      <x:c r="F45" s="33" t="str">
        <x:v>instrumented full-gross deformable-soil world</x:v>
      </x:c>
      <x:c r="G45" s="33" t="str">
        <x:v>measured evidence does not sustain one-pod-out steering</x:v>
      </x:c>
      <x:c r="H45" s="33" t="str">
        <x:v>Independent Test Authority</x:v>
      </x:c>
      <x:c r="I45" s="33" t="str">
        <x:v>OPEN</x:v>
      </x:c>
      <x:c r="J45" s="35" t="n">
        <x:v>0</x:v>
      </x:c>
    </x:row>
    <x:row r="46">
      <x:c r="B46" s="33" t="str">
        <x:v>G040</x:v>
      </x:c>
      <x:c r="C46" s="33" t="str">
        <x:v>CONTACT</x:v>
      </x:c>
      <x:c r="D46" s="33" t="str">
        <x:v>one-pod-out braking</x:v>
      </x:c>
      <x:c r="E46" s="33" t="str">
        <x:v>representative complete subsystem or paired mission</x:v>
      </x:c>
      <x:c r="F46" s="33" t="str">
        <x:v>instrumented full-gross deformable-soil world</x:v>
      </x:c>
      <x:c r="G46" s="33" t="str">
        <x:v>measured evidence does not sustain one-pod-out braking</x:v>
      </x:c>
      <x:c r="H46" s="33" t="str">
        <x:v>Independent Test Authority</x:v>
      </x:c>
      <x:c r="I46" s="33" t="str">
        <x:v>OPEN</x:v>
      </x:c>
      <x:c r="J46" s="35" t="n">
        <x:v>0</x:v>
      </x:c>
    </x:row>
    <x:row r="47">
      <x:c r="B47" s="33" t="str">
        <x:v>G041</x:v>
      </x:c>
      <x:c r="C47" s="33" t="str">
        <x:v>CONTACT</x:v>
      </x:c>
      <x:c r="D47" s="33" t="str">
        <x:v>one-pod-out traction</x:v>
      </x:c>
      <x:c r="E47" s="33" t="str">
        <x:v>representative complete subsystem or paired mission</x:v>
      </x:c>
      <x:c r="F47" s="33" t="str">
        <x:v>instrumented full-gross deformable-soil world</x:v>
      </x:c>
      <x:c r="G47" s="33" t="str">
        <x:v>measured evidence does not sustain one-pod-out traction</x:v>
      </x:c>
      <x:c r="H47" s="33" t="str">
        <x:v>Independent Test Authority</x:v>
      </x:c>
      <x:c r="I47" s="33" t="str">
        <x:v>OPEN</x:v>
      </x:c>
      <x:c r="J47" s="35" t="n">
        <x:v>0</x:v>
      </x:c>
    </x:row>
    <x:row r="48">
      <x:c r="B48" s="33" t="str">
        <x:v>G042</x:v>
      </x:c>
      <x:c r="C48" s="33" t="str">
        <x:v>CONTACT</x:v>
      </x:c>
      <x:c r="D48" s="33" t="str">
        <x:v>debris shedding</x:v>
      </x:c>
      <x:c r="E48" s="33" t="str">
        <x:v>representative complete subsystem or paired mission</x:v>
      </x:c>
      <x:c r="F48" s="33" t="str">
        <x:v>instrumented full-gross deformable-soil world</x:v>
      </x:c>
      <x:c r="G48" s="33" t="str">
        <x:v>measured evidence does not sustain debris shedding</x:v>
      </x:c>
      <x:c r="H48" s="33" t="str">
        <x:v>Independent Test Authority</x:v>
      </x:c>
      <x:c r="I48" s="33" t="str">
        <x:v>OPEN</x:v>
      </x:c>
      <x:c r="J48" s="35" t="n">
        <x:v>0</x:v>
      </x:c>
    </x:row>
    <x:row r="49">
      <x:c r="B49" s="33" t="str">
        <x:v>G043</x:v>
      </x:c>
      <x:c r="C49" s="33" t="str">
        <x:v>CONTACT</x:v>
      </x:c>
      <x:c r="D49" s="33" t="str">
        <x:v>mud sealing</x:v>
      </x:c>
      <x:c r="E49" s="33" t="str">
        <x:v>representative complete subsystem or paired mission</x:v>
      </x:c>
      <x:c r="F49" s="33" t="str">
        <x:v>instrumented full-gross deformable-soil world</x:v>
      </x:c>
      <x:c r="G49" s="33" t="str">
        <x:v>measured evidence does not sustain mud sealing</x:v>
      </x:c>
      <x:c r="H49" s="33" t="str">
        <x:v>Independent Test Authority</x:v>
      </x:c>
      <x:c r="I49" s="33" t="str">
        <x:v>OPEN</x:v>
      </x:c>
      <x:c r="J49" s="35" t="n">
        <x:v>0</x:v>
      </x:c>
    </x:row>
    <x:row r="50">
      <x:c r="B50" s="33" t="str">
        <x:v>G044</x:v>
      </x:c>
      <x:c r="C50" s="33" t="str">
        <x:v>CONTACT</x:v>
      </x:c>
      <x:c r="D50" s="33" t="str">
        <x:v>ice shedding</x:v>
      </x:c>
      <x:c r="E50" s="33" t="str">
        <x:v>representative complete subsystem or paired mission</x:v>
      </x:c>
      <x:c r="F50" s="33" t="str">
        <x:v>instrumented full-gross deformable-soil world</x:v>
      </x:c>
      <x:c r="G50" s="33" t="str">
        <x:v>measured evidence does not sustain ice shedding</x:v>
      </x:c>
      <x:c r="H50" s="33" t="str">
        <x:v>Independent Test Authority</x:v>
      </x:c>
      <x:c r="I50" s="33" t="str">
        <x:v>OPEN</x:v>
      </x:c>
      <x:c r="J50" s="35" t="n">
        <x:v>0</x:v>
      </x:c>
    </x:row>
    <x:row r="51">
      <x:c r="B51" s="33" t="str">
        <x:v>G045</x:v>
      </x:c>
      <x:c r="C51" s="33" t="str">
        <x:v>CONTACT</x:v>
      </x:c>
      <x:c r="D51" s="33" t="str">
        <x:v>rut accumulation</x:v>
      </x:c>
      <x:c r="E51" s="33" t="str">
        <x:v>representative complete subsystem or paired mission</x:v>
      </x:c>
      <x:c r="F51" s="33" t="str">
        <x:v>instrumented full-gross deformable-soil world</x:v>
      </x:c>
      <x:c r="G51" s="33" t="str">
        <x:v>measured evidence does not sustain rut accumulation</x:v>
      </x:c>
      <x:c r="H51" s="33" t="str">
        <x:v>Independent Test Authority</x:v>
      </x:c>
      <x:c r="I51" s="33" t="str">
        <x:v>OPEN</x:v>
      </x:c>
      <x:c r="J51" s="35" t="n">
        <x:v>0</x:v>
      </x:c>
    </x:row>
    <x:row r="52">
      <x:c r="B52" s="33" t="str">
        <x:v>G046</x:v>
      </x:c>
      <x:c r="C52" s="33" t="str">
        <x:v>CONTACT</x:v>
      </x:c>
      <x:c r="D52" s="33" t="str">
        <x:v>repeated-pass bearing</x:v>
      </x:c>
      <x:c r="E52" s="33" t="str">
        <x:v>representative complete subsystem or paired mission</x:v>
      </x:c>
      <x:c r="F52" s="33" t="str">
        <x:v>instrumented full-gross deformable-soil world</x:v>
      </x:c>
      <x:c r="G52" s="33" t="str">
        <x:v>measured evidence does not sustain repeated-pass bearing</x:v>
      </x:c>
      <x:c r="H52" s="33" t="str">
        <x:v>Independent Test Authority</x:v>
      </x:c>
      <x:c r="I52" s="33" t="str">
        <x:v>OPEN</x:v>
      </x:c>
      <x:c r="J52" s="35" t="n">
        <x:v>0</x:v>
      </x:c>
    </x:row>
    <x:row r="53">
      <x:c r="B53" s="33" t="str">
        <x:v>G047</x:v>
      </x:c>
      <x:c r="C53" s="33" t="str">
        <x:v>CONTACT</x:v>
      </x:c>
      <x:c r="D53" s="33" t="str">
        <x:v>heterogeneous soil transition</x:v>
      </x:c>
      <x:c r="E53" s="33" t="str">
        <x:v>representative complete subsystem or paired mission</x:v>
      </x:c>
      <x:c r="F53" s="33" t="str">
        <x:v>instrumented full-gross deformable-soil world</x:v>
      </x:c>
      <x:c r="G53" s="33" t="str">
        <x:v>measured evidence does not sustain heterogeneous soil transition</x:v>
      </x:c>
      <x:c r="H53" s="33" t="str">
        <x:v>Independent Test Authority</x:v>
      </x:c>
      <x:c r="I53" s="33" t="str">
        <x:v>OPEN</x:v>
      </x:c>
      <x:c r="J53" s="35" t="n">
        <x:v>0</x:v>
      </x:c>
    </x:row>
    <x:row r="54">
      <x:c r="B54" s="33" t="str">
        <x:v>G048</x:v>
      </x:c>
      <x:c r="C54" s="33" t="str">
        <x:v>CONTACT</x:v>
      </x:c>
      <x:c r="D54" s="33" t="str">
        <x:v>18-km/h off-road speed</x:v>
      </x:c>
      <x:c r="E54" s="33" t="str">
        <x:v>representative complete subsystem or paired mission</x:v>
      </x:c>
      <x:c r="F54" s="33" t="str">
        <x:v>instrumented full-gross deformable-soil world</x:v>
      </x:c>
      <x:c r="G54" s="33" t="str">
        <x:v>measured evidence does not sustain 18-km/h off-road speed</x:v>
      </x:c>
      <x:c r="H54" s="33" t="str">
        <x:v>Independent Test Authority</x:v>
      </x:c>
      <x:c r="I54" s="33" t="str">
        <x:v>OPEN</x:v>
      </x:c>
      <x:c r="J54" s="35" t="n">
        <x:v>0</x:v>
      </x:c>
    </x:row>
    <x:row r="55">
      <x:c r="B55" s="33" t="str">
        <x:v>G049</x:v>
      </x:c>
      <x:c r="C55" s="33" t="str">
        <x:v>CONTACT</x:v>
      </x:c>
      <x:c r="D55" s="33" t="str">
        <x:v>32-km/h broken speed</x:v>
      </x:c>
      <x:c r="E55" s="33" t="str">
        <x:v>representative complete subsystem or paired mission</x:v>
      </x:c>
      <x:c r="F55" s="33" t="str">
        <x:v>instrumented full-gross deformable-soil world</x:v>
      </x:c>
      <x:c r="G55" s="33" t="str">
        <x:v>measured evidence does not sustain 32-km/h broken speed</x:v>
      </x:c>
      <x:c r="H55" s="33" t="str">
        <x:v>Independent Test Authority</x:v>
      </x:c>
      <x:c r="I55" s="33" t="str">
        <x:v>OPEN</x:v>
      </x:c>
      <x:c r="J55" s="35" t="n">
        <x:v>0</x:v>
      </x:c>
    </x:row>
    <x:row r="56">
      <x:c r="B56" s="33" t="str">
        <x:v>G050</x:v>
      </x:c>
      <x:c r="C56" s="33" t="str">
        <x:v>CONTACT</x:v>
      </x:c>
      <x:c r="D56" s="33" t="str">
        <x:v>11.8-metre deployed width</x:v>
      </x:c>
      <x:c r="E56" s="33" t="str">
        <x:v>representative complete subsystem or paired mission</x:v>
      </x:c>
      <x:c r="F56" s="33" t="str">
        <x:v>instrumented full-gross deformable-soil world</x:v>
      </x:c>
      <x:c r="G56" s="33" t="str">
        <x:v>measured evidence does not sustain 11.8-metre deployed width</x:v>
      </x:c>
      <x:c r="H56" s="33" t="str">
        <x:v>Independent Test Authority</x:v>
      </x:c>
      <x:c r="I56" s="33" t="str">
        <x:v>OPEN</x:v>
      </x:c>
      <x:c r="J56" s="35" t="n">
        <x:v>0</x:v>
      </x:c>
    </x:row>
    <x:row r="57">
      <x:c r="B57" s="33" t="str">
        <x:v>G051</x:v>
      </x:c>
      <x:c r="C57" s="33" t="str">
        <x:v>CONTACT</x:v>
      </x:c>
      <x:c r="D57" s="33" t="str">
        <x:v>1.8-metre step</x:v>
      </x:c>
      <x:c r="E57" s="33" t="str">
        <x:v>representative complete subsystem or paired mission</x:v>
      </x:c>
      <x:c r="F57" s="33" t="str">
        <x:v>instrumented full-gross deformable-soil world</x:v>
      </x:c>
      <x:c r="G57" s="33" t="str">
        <x:v>measured evidence does not sustain 1.8-metre step</x:v>
      </x:c>
      <x:c r="H57" s="33" t="str">
        <x:v>Independent Test Authority</x:v>
      </x:c>
      <x:c r="I57" s="33" t="str">
        <x:v>OPEN</x:v>
      </x:c>
      <x:c r="J57" s="35" t="n">
        <x:v>0</x:v>
      </x:c>
    </x:row>
    <x:row r="58">
      <x:c r="B58" s="33" t="str">
        <x:v>G052</x:v>
      </x:c>
      <x:c r="C58" s="33" t="str">
        <x:v>CONTACT</x:v>
      </x:c>
      <x:c r="D58" s="33" t="str">
        <x:v>25-metre bridge integration</x:v>
      </x:c>
      <x:c r="E58" s="33" t="str">
        <x:v>representative complete subsystem or paired mission</x:v>
      </x:c>
      <x:c r="F58" s="33" t="str">
        <x:v>instrumented full-gross deformable-soil world</x:v>
      </x:c>
      <x:c r="G58" s="33" t="str">
        <x:v>measured evidence does not sustain 25-metre bridge integration</x:v>
      </x:c>
      <x:c r="H58" s="33" t="str">
        <x:v>Independent Test Authority</x:v>
      </x:c>
      <x:c r="I58" s="33" t="str">
        <x:v>OPEN</x:v>
      </x:c>
      <x:c r="J58" s="35" t="n">
        <x:v>0</x:v>
      </x:c>
    </x:row>
    <x:row r="59">
      <x:c r="B59" s="33" t="str">
        <x:v>G053</x:v>
      </x:c>
      <x:c r="C59" s="33" t="str">
        <x:v>CONTACT</x:v>
      </x:c>
      <x:c r="D59" s="33" t="str">
        <x:v>cooperative recovery</x:v>
      </x:c>
      <x:c r="E59" s="33" t="str">
        <x:v>representative complete subsystem or paired mission</x:v>
      </x:c>
      <x:c r="F59" s="33" t="str">
        <x:v>instrumented full-gross deformable-soil world</x:v>
      </x:c>
      <x:c r="G59" s="33" t="str">
        <x:v>measured evidence does not sustain cooperative recovery</x:v>
      </x:c>
      <x:c r="H59" s="33" t="str">
        <x:v>Independent Test Authority</x:v>
      </x:c>
      <x:c r="I59" s="33" t="str">
        <x:v>OPEN</x:v>
      </x:c>
      <x:c r="J59" s="35" t="n">
        <x:v>0</x:v>
      </x:c>
    </x:row>
    <x:row r="60">
      <x:c r="B60" s="33" t="str">
        <x:v>G054</x:v>
      </x:c>
      <x:c r="C60" s="33" t="str">
        <x:v>CONTACT</x:v>
      </x:c>
      <x:c r="D60" s="33" t="str">
        <x:v>four-hour pod replacement</x:v>
      </x:c>
      <x:c r="E60" s="33" t="str">
        <x:v>representative complete subsystem or paired mission</x:v>
      </x:c>
      <x:c r="F60" s="33" t="str">
        <x:v>instrumented full-gross deformable-soil world</x:v>
      </x:c>
      <x:c r="G60" s="33" t="str">
        <x:v>measured evidence does not sustain four-hour pod replacement</x:v>
      </x:c>
      <x:c r="H60" s="33" t="str">
        <x:v>Independent Test Authority</x:v>
      </x:c>
      <x:c r="I60" s="33" t="str">
        <x:v>OPEN</x:v>
      </x:c>
      <x:c r="J60" s="35" t="n">
        <x:v>0</x:v>
      </x:c>
    </x:row>
    <x:row r="61">
      <x:c r="B61" s="33" t="str">
        <x:v>G055</x:v>
      </x:c>
      <x:c r="C61" s="33" t="str">
        <x:v>CONTACT</x:v>
      </x:c>
      <x:c r="D61" s="33" t="str">
        <x:v>158-hour contact reset</x:v>
      </x:c>
      <x:c r="E61" s="33" t="str">
        <x:v>representative complete subsystem or paired mission</x:v>
      </x:c>
      <x:c r="F61" s="33" t="str">
        <x:v>instrumented full-gross deformable-soil world</x:v>
      </x:c>
      <x:c r="G61" s="33" t="str">
        <x:v>measured evidence does not sustain 158-hour contact reset</x:v>
      </x:c>
      <x:c r="H61" s="33" t="str">
        <x:v>Independent Test Authority</x:v>
      </x:c>
      <x:c r="I61" s="33" t="str">
        <x:v>OPEN</x:v>
      </x:c>
      <x:c r="J61" s="35" t="n">
        <x:v>0</x:v>
      </x:c>
    </x:row>
    <x:row r="62">
      <x:c r="B62" s="33" t="str">
        <x:v>G056</x:v>
      </x:c>
      <x:c r="C62" s="33" t="str">
        <x:v>ENERGY</x:v>
      </x:c>
      <x:c r="D62" s="33" t="str">
        <x:v>5.04-kWh/kg consumable delivery</x:v>
      </x:c>
      <x:c r="E62" s="33" t="str">
        <x:v>representative complete subsystem or paired mission</x:v>
      </x:c>
      <x:c r="F62" s="33" t="str">
        <x:v>full-duty casualty and thermal world</x:v>
      </x:c>
      <x:c r="G62" s="33" t="str">
        <x:v>measured evidence does not sustain 5.04-kWh/kg consumable delivery</x:v>
      </x:c>
      <x:c r="H62" s="33" t="str">
        <x:v>Independent Test Authority</x:v>
      </x:c>
      <x:c r="I62" s="33" t="str">
        <x:v>OPEN</x:v>
      </x:c>
      <x:c r="J62" s="35" t="n">
        <x:v>0</x:v>
      </x:c>
    </x:row>
    <x:row r="63">
      <x:c r="B63" s="33" t="str">
        <x:v>G057</x:v>
      </x:c>
      <x:c r="C63" s="33" t="str">
        <x:v>ENERGY</x:v>
      </x:c>
      <x:c r="D63" s="33" t="str">
        <x:v>55-tonne fixed plant and containment</x:v>
      </x:c>
      <x:c r="E63" s="33" t="str">
        <x:v>representative complete subsystem or paired mission</x:v>
      </x:c>
      <x:c r="F63" s="33" t="str">
        <x:v>full-duty casualty and thermal world</x:v>
      </x:c>
      <x:c r="G63" s="33" t="str">
        <x:v>measured evidence does not sustain 55-tonne fixed plant and containment</x:v>
      </x:c>
      <x:c r="H63" s="33" t="str">
        <x:v>Independent Test Authority</x:v>
      </x:c>
      <x:c r="I63" s="33" t="str">
        <x:v>OPEN</x:v>
      </x:c>
      <x:c r="J63" s="35" t="n">
        <x:v>0</x:v>
      </x:c>
    </x:row>
    <x:row r="64">
      <x:c r="B64" s="33" t="str">
        <x:v>G058</x:v>
      </x:c>
      <x:c r="C64" s="33" t="str">
        <x:v>ENERGY</x:v>
      </x:c>
      <x:c r="D64" s="33" t="str">
        <x:v>121-tonne mission fuel</x:v>
      </x:c>
      <x:c r="E64" s="33" t="str">
        <x:v>representative complete subsystem or paired mission</x:v>
      </x:c>
      <x:c r="F64" s="33" t="str">
        <x:v>full-duty casualty and thermal world</x:v>
      </x:c>
      <x:c r="G64" s="33" t="str">
        <x:v>measured evidence does not sustain 121-tonne mission fuel</x:v>
      </x:c>
      <x:c r="H64" s="33" t="str">
        <x:v>Independent Test Authority</x:v>
      </x:c>
      <x:c r="I64" s="33" t="str">
        <x:v>OPEN</x:v>
      </x:c>
      <x:c r="J64" s="35" t="n">
        <x:v>0</x:v>
      </x:c>
    </x:row>
    <x:row r="65">
      <x:c r="B65" s="33" t="str">
        <x:v>G059</x:v>
      </x:c>
      <x:c r="C65" s="33" t="str">
        <x:v>ENERGY</x:v>
      </x:c>
      <x:c r="D65" s="33" t="str">
        <x:v>612-MWh onboard delivery</x:v>
      </x:c>
      <x:c r="E65" s="33" t="str">
        <x:v>representative complete subsystem or paired mission</x:v>
      </x:c>
      <x:c r="F65" s="33" t="str">
        <x:v>full-duty casualty and thermal world</x:v>
      </x:c>
      <x:c r="G65" s="33" t="str">
        <x:v>measured evidence does not sustain 612-MWh onboard delivery</x:v>
      </x:c>
      <x:c r="H65" s="33" t="str">
        <x:v>Independent Test Authority</x:v>
      </x:c>
      <x:c r="I65" s="33" t="str">
        <x:v>OPEN</x:v>
      </x:c>
      <x:c r="J65" s="35" t="n">
        <x:v>0</x:v>
      </x:c>
    </x:row>
    <x:row r="66">
      <x:c r="B66" s="33" t="str">
        <x:v>G060</x:v>
      </x:c>
      <x:c r="C66" s="33" t="str">
        <x:v>ENERGY</x:v>
      </x:c>
      <x:c r="D66" s="33" t="str">
        <x:v>17.5-percent energy reserve</x:v>
      </x:c>
      <x:c r="E66" s="33" t="str">
        <x:v>representative complete subsystem or paired mission</x:v>
      </x:c>
      <x:c r="F66" s="33" t="str">
        <x:v>full-duty casualty and thermal world</x:v>
      </x:c>
      <x:c r="G66" s="33" t="str">
        <x:v>measured evidence does not sustain 17.5-percent energy reserve</x:v>
      </x:c>
      <x:c r="H66" s="33" t="str">
        <x:v>Independent Test Authority</x:v>
      </x:c>
      <x:c r="I66" s="33" t="str">
        <x:v>OPEN</x:v>
      </x:c>
      <x:c r="J66" s="35" t="n">
        <x:v>0</x:v>
      </x:c>
    </x:row>
    <x:row r="67">
      <x:c r="B67" s="33" t="str">
        <x:v>G061</x:v>
      </x:c>
      <x:c r="C67" s="33" t="str">
        <x:v>ENERGY</x:v>
      </x:c>
      <x:c r="D67" s="33" t="str">
        <x:v>four isolated 9-MW sectors</x:v>
      </x:c>
      <x:c r="E67" s="33" t="str">
        <x:v>representative complete subsystem or paired mission</x:v>
      </x:c>
      <x:c r="F67" s="33" t="str">
        <x:v>full-duty casualty and thermal world</x:v>
      </x:c>
      <x:c r="G67" s="33" t="str">
        <x:v>measured evidence does not sustain four isolated 9-MW sectors</x:v>
      </x:c>
      <x:c r="H67" s="33" t="str">
        <x:v>Independent Test Authority</x:v>
      </x:c>
      <x:c r="I67" s="33" t="str">
        <x:v>OPEN</x:v>
      </x:c>
      <x:c r="J67" s="35" t="n">
        <x:v>0</x:v>
      </x:c>
    </x:row>
    <x:row r="68">
      <x:c r="B68" s="33" t="str">
        <x:v>G062</x:v>
      </x:c>
      <x:c r="C68" s="33" t="str">
        <x:v>ENERGY</x:v>
      </x:c>
      <x:c r="D68" s="33" t="str">
        <x:v>27-MW one-sector-out power</x:v>
      </x:c>
      <x:c r="E68" s="33" t="str">
        <x:v>representative complete subsystem or paired mission</x:v>
      </x:c>
      <x:c r="F68" s="33" t="str">
        <x:v>full-duty casualty and thermal world</x:v>
      </x:c>
      <x:c r="G68" s="33" t="str">
        <x:v>measured evidence does not sustain 27-MW one-sector-out power</x:v>
      </x:c>
      <x:c r="H68" s="33" t="str">
        <x:v>Independent Test Authority</x:v>
      </x:c>
      <x:c r="I68" s="33" t="str">
        <x:v>OPEN</x:v>
      </x:c>
      <x:c r="J68" s="35" t="n">
        <x:v>0</x:v>
      </x:c>
    </x:row>
    <x:row r="69">
      <x:c r="B69" s="33" t="str">
        <x:v>G063</x:v>
      </x:c>
      <x:c r="C69" s="33" t="str">
        <x:v>ENERGY</x:v>
      </x:c>
      <x:c r="D69" s="33" t="str">
        <x:v>22.5-MW maximum demand</x:v>
      </x:c>
      <x:c r="E69" s="33" t="str">
        <x:v>representative complete subsystem or paired mission</x:v>
      </x:c>
      <x:c r="F69" s="33" t="str">
        <x:v>full-duty casualty and thermal world</x:v>
      </x:c>
      <x:c r="G69" s="33" t="str">
        <x:v>measured evidence does not sustain 22.5-MW maximum demand</x:v>
      </x:c>
      <x:c r="H69" s="33" t="str">
        <x:v>Independent Test Authority</x:v>
      </x:c>
      <x:c r="I69" s="33" t="str">
        <x:v>OPEN</x:v>
      </x:c>
      <x:c r="J69" s="35" t="n">
        <x:v>0</x:v>
      </x:c>
    </x:row>
    <x:row r="70">
      <x:c r="B70" s="33" t="str">
        <x:v>G064</x:v>
      </x:c>
      <x:c r="C70" s="33" t="str">
        <x:v>ENERGY</x:v>
      </x:c>
      <x:c r="D70" s="33" t="str">
        <x:v>half-hour start</x:v>
      </x:c>
      <x:c r="E70" s="33" t="str">
        <x:v>representative complete subsystem or paired mission</x:v>
      </x:c>
      <x:c r="F70" s="33" t="str">
        <x:v>full-duty casualty and thermal world</x:v>
      </x:c>
      <x:c r="G70" s="33" t="str">
        <x:v>measured evidence does not sustain half-hour start</x:v>
      </x:c>
      <x:c r="H70" s="33" t="str">
        <x:v>Independent Test Authority</x:v>
      </x:c>
      <x:c r="I70" s="33" t="str">
        <x:v>OPEN</x:v>
      </x:c>
      <x:c r="J70" s="35" t="n">
        <x:v>0</x:v>
      </x:c>
    </x:row>
    <x:row r="71">
      <x:c r="B71" s="33" t="str">
        <x:v>G065</x:v>
      </x:c>
      <x:c r="C71" s="33" t="str">
        <x:v>ENERGY</x:v>
      </x:c>
      <x:c r="D71" s="33" t="str">
        <x:v>146-hour energy reset</x:v>
      </x:c>
      <x:c r="E71" s="33" t="str">
        <x:v>representative complete subsystem or paired mission</x:v>
      </x:c>
      <x:c r="F71" s="33" t="str">
        <x:v>full-duty casualty and thermal world</x:v>
      </x:c>
      <x:c r="G71" s="33" t="str">
        <x:v>measured evidence does not sustain 146-hour energy reset</x:v>
      </x:c>
      <x:c r="H71" s="33" t="str">
        <x:v>Independent Test Authority</x:v>
      </x:c>
      <x:c r="I71" s="33" t="str">
        <x:v>OPEN</x:v>
      </x:c>
      <x:c r="J71" s="35" t="n">
        <x:v>0</x:v>
      </x:c>
    </x:row>
    <x:row r="72">
      <x:c r="B72" s="33" t="str">
        <x:v>G066</x:v>
      </x:c>
      <x:c r="C72" s="33" t="str">
        <x:v>ENERGY</x:v>
      </x:c>
      <x:c r="D72" s="33" t="str">
        <x:v>hot-wet power retention</x:v>
      </x:c>
      <x:c r="E72" s="33" t="str">
        <x:v>representative complete subsystem or paired mission</x:v>
      </x:c>
      <x:c r="F72" s="33" t="str">
        <x:v>full-duty casualty and thermal world</x:v>
      </x:c>
      <x:c r="G72" s="33" t="str">
        <x:v>measured evidence does not sustain hot-wet power retention</x:v>
      </x:c>
      <x:c r="H72" s="33" t="str">
        <x:v>Independent Test Authority</x:v>
      </x:c>
      <x:c r="I72" s="33" t="str">
        <x:v>OPEN</x:v>
      </x:c>
      <x:c r="J72" s="35" t="n">
        <x:v>0</x:v>
      </x:c>
    </x:row>
    <x:row r="73">
      <x:c r="B73" s="33" t="str">
        <x:v>G067</x:v>
      </x:c>
      <x:c r="C73" s="33" t="str">
        <x:v>ENERGY</x:v>
      </x:c>
      <x:c r="D73" s="33" t="str">
        <x:v>smoke and dust power retention</x:v>
      </x:c>
      <x:c r="E73" s="33" t="str">
        <x:v>representative complete subsystem or paired mission</x:v>
      </x:c>
      <x:c r="F73" s="33" t="str">
        <x:v>full-duty casualty and thermal world</x:v>
      </x:c>
      <x:c r="G73" s="33" t="str">
        <x:v>measured evidence does not sustain smoke and dust power retention</x:v>
      </x:c>
      <x:c r="H73" s="33" t="str">
        <x:v>Independent Test Authority</x:v>
      </x:c>
      <x:c r="I73" s="33" t="str">
        <x:v>OPEN</x:v>
      </x:c>
      <x:c r="J73" s="35" t="n">
        <x:v>0</x:v>
      </x:c>
    </x:row>
    <x:row r="74">
      <x:c r="B74" s="33" t="str">
        <x:v>G068</x:v>
      </x:c>
      <x:c r="C74" s="33" t="str">
        <x:v>ENERGY</x:v>
      </x:c>
      <x:c r="D74" s="33" t="str">
        <x:v>flooded approach isolation</x:v>
      </x:c>
      <x:c r="E74" s="33" t="str">
        <x:v>representative complete subsystem or paired mission</x:v>
      </x:c>
      <x:c r="F74" s="33" t="str">
        <x:v>full-duty casualty and thermal world</x:v>
      </x:c>
      <x:c r="G74" s="33" t="str">
        <x:v>measured evidence does not sustain flooded approach isolation</x:v>
      </x:c>
      <x:c r="H74" s="33" t="str">
        <x:v>Independent Test Authority</x:v>
      </x:c>
      <x:c r="I74" s="33" t="str">
        <x:v>OPEN</x:v>
      </x:c>
      <x:c r="J74" s="35" t="n">
        <x:v>0</x:v>
      </x:c>
    </x:row>
    <x:row r="75">
      <x:c r="B75" s="33" t="str">
        <x:v>G069</x:v>
      </x:c>
      <x:c r="C75" s="33" t="str">
        <x:v>ENERGY</x:v>
      </x:c>
      <x:c r="D75" s="33" t="str">
        <x:v>tank puncture isolation</x:v>
      </x:c>
      <x:c r="E75" s="33" t="str">
        <x:v>representative complete subsystem or paired mission</x:v>
      </x:c>
      <x:c r="F75" s="33" t="str">
        <x:v>full-duty casualty and thermal world</x:v>
      </x:c>
      <x:c r="G75" s="33" t="str">
        <x:v>measured evidence does not sustain tank puncture isolation</x:v>
      </x:c>
      <x:c r="H75" s="33" t="str">
        <x:v>Independent Test Authority</x:v>
      </x:c>
      <x:c r="I75" s="33" t="str">
        <x:v>OPEN</x:v>
      </x:c>
      <x:c r="J75" s="35" t="n">
        <x:v>0</x:v>
      </x:c>
    </x:row>
    <x:row r="76">
      <x:c r="B76" s="33" t="str">
        <x:v>G070</x:v>
      </x:c>
      <x:c r="C76" s="33" t="str">
        <x:v>ENERGY</x:v>
      </x:c>
      <x:c r="D76" s="33" t="str">
        <x:v>rollover containment</x:v>
      </x:c>
      <x:c r="E76" s="33" t="str">
        <x:v>representative complete subsystem or paired mission</x:v>
      </x:c>
      <x:c r="F76" s="33" t="str">
        <x:v>full-duty casualty and thermal world</x:v>
      </x:c>
      <x:c r="G76" s="33" t="str">
        <x:v>measured evidence does not sustain rollover containment</x:v>
      </x:c>
      <x:c r="H76" s="33" t="str">
        <x:v>Independent Test Authority</x:v>
      </x:c>
      <x:c r="I76" s="33" t="str">
        <x:v>OPEN</x:v>
      </x:c>
      <x:c r="J76" s="35" t="n">
        <x:v>0</x:v>
      </x:c>
    </x:row>
    <x:row r="77">
      <x:c r="B77" s="33" t="str">
        <x:v>G071</x:v>
      </x:c>
      <x:c r="C77" s="33" t="str">
        <x:v>ENERGY</x:v>
      </x:c>
      <x:c r="D77" s="33" t="str">
        <x:v>pool-fire isolation</x:v>
      </x:c>
      <x:c r="E77" s="33" t="str">
        <x:v>representative complete subsystem or paired mission</x:v>
      </x:c>
      <x:c r="F77" s="33" t="str">
        <x:v>full-duty casualty and thermal world</x:v>
      </x:c>
      <x:c r="G77" s="33" t="str">
        <x:v>measured evidence does not sustain pool-fire isolation</x:v>
      </x:c>
      <x:c r="H77" s="33" t="str">
        <x:v>Independent Test Authority</x:v>
      </x:c>
      <x:c r="I77" s="33" t="str">
        <x:v>OPEN</x:v>
      </x:c>
      <x:c r="J77" s="35" t="n">
        <x:v>0</x:v>
      </x:c>
    </x:row>
    <x:row r="78">
      <x:c r="B78" s="33" t="str">
        <x:v>G072</x:v>
      </x:c>
      <x:c r="C78" s="33" t="str">
        <x:v>ENERGY</x:v>
      </x:c>
      <x:c r="D78" s="33" t="str">
        <x:v>thermal-module replacement</x:v>
      </x:c>
      <x:c r="E78" s="33" t="str">
        <x:v>representative complete subsystem or paired mission</x:v>
      </x:c>
      <x:c r="F78" s="33" t="str">
        <x:v>full-duty casualty and thermal world</x:v>
      </x:c>
      <x:c r="G78" s="33" t="str">
        <x:v>measured evidence does not sustain thermal-module replacement</x:v>
      </x:c>
      <x:c r="H78" s="33" t="str">
        <x:v>Independent Test Authority</x:v>
      </x:c>
      <x:c r="I78" s="33" t="str">
        <x:v>OPEN</x:v>
      </x:c>
      <x:c r="J78" s="35" t="n">
        <x:v>0</x:v>
      </x:c>
    </x:row>
    <x:row r="79">
      <x:c r="B79" s="33" t="str">
        <x:v>G073</x:v>
      </x:c>
      <x:c r="C79" s="33" t="str">
        <x:v>ENERGY</x:v>
      </x:c>
      <x:c r="D79" s="33" t="str">
        <x:v>offline dispatch</x:v>
      </x:c>
      <x:c r="E79" s="33" t="str">
        <x:v>representative complete subsystem or paired mission</x:v>
      </x:c>
      <x:c r="F79" s="33" t="str">
        <x:v>full-duty casualty and thermal world</x:v>
      </x:c>
      <x:c r="G79" s="33" t="str">
        <x:v>measured evidence does not sustain offline dispatch</x:v>
      </x:c>
      <x:c r="H79" s="33" t="str">
        <x:v>Independent Test Authority</x:v>
      </x:c>
      <x:c r="I79" s="33" t="str">
        <x:v>OPEN</x:v>
      </x:c>
      <x:c r="J79" s="35" t="n">
        <x:v>0</x:v>
      </x:c>
    </x:row>
    <x:row r="80">
      <x:c r="B80" s="33" t="str">
        <x:v>G074</x:v>
      </x:c>
      <x:c r="C80" s="33" t="str">
        <x:v>ENERGY</x:v>
      </x:c>
      <x:c r="D80" s="33" t="str">
        <x:v>corrupted-state rejection</x:v>
      </x:c>
      <x:c r="E80" s="33" t="str">
        <x:v>representative complete subsystem or paired mission</x:v>
      </x:c>
      <x:c r="F80" s="33" t="str">
        <x:v>full-duty casualty and thermal world</x:v>
      </x:c>
      <x:c r="G80" s="33" t="str">
        <x:v>measured evidence does not sustain corrupted-state rejection</x:v>
      </x:c>
      <x:c r="H80" s="33" t="str">
        <x:v>Independent Test Authority</x:v>
      </x:c>
      <x:c r="I80" s="33" t="str">
        <x:v>OPEN</x:v>
      </x:c>
      <x:c r="J80" s="35" t="n">
        <x:v>0</x:v>
      </x:c>
    </x:row>
    <x:row r="81">
      <x:c r="B81" s="33" t="str">
        <x:v>G075</x:v>
      </x:c>
      <x:c r="C81" s="33" t="str">
        <x:v>ENERGY</x:v>
      </x:c>
      <x:c r="D81" s="33" t="str">
        <x:v>liquid-electric lineage B</x:v>
      </x:c>
      <x:c r="E81" s="33" t="str">
        <x:v>representative complete subsystem or paired mission</x:v>
      </x:c>
      <x:c r="F81" s="33" t="str">
        <x:v>full-duty casualty and thermal world</x:v>
      </x:c>
      <x:c r="G81" s="33" t="str">
        <x:v>measured evidence does not sustain liquid-electric lineage B</x:v>
      </x:c>
      <x:c r="H81" s="33" t="str">
        <x:v>Independent Test Authority</x:v>
      </x:c>
      <x:c r="I81" s="33" t="str">
        <x:v>OPEN</x:v>
      </x:c>
      <x:c r="J81" s="35" t="n">
        <x:v>0</x:v>
      </x:c>
    </x:row>
    <x:row r="82">
      <x:c r="B82" s="33" t="str">
        <x:v>G076</x:v>
      </x:c>
      <x:c r="C82" s="33" t="str">
        <x:v>ENERGY</x:v>
      </x:c>
      <x:c r="D82" s="33" t="str">
        <x:v>air energy ancestry separation</x:v>
      </x:c>
      <x:c r="E82" s="33" t="str">
        <x:v>representative complete subsystem or paired mission</x:v>
      </x:c>
      <x:c r="F82" s="33" t="str">
        <x:v>full-duty casualty and thermal world</x:v>
      </x:c>
      <x:c r="G82" s="33" t="str">
        <x:v>measured evidence does not sustain air energy ancestry separation</x:v>
      </x:c>
      <x:c r="H82" s="33" t="str">
        <x:v>Independent Test Authority</x:v>
      </x:c>
      <x:c r="I82" s="33" t="str">
        <x:v>OPEN</x:v>
      </x:c>
      <x:c r="J82" s="35" t="n">
        <x:v>0</x:v>
      </x:c>
    </x:row>
    <x:row r="83">
      <x:c r="B83" s="33" t="str">
        <x:v>G077</x:v>
      </x:c>
      <x:c r="C83" s="33" t="str">
        <x:v>ENERGY</x:v>
      </x:c>
      <x:c r="D83" s="33" t="str">
        <x:v>fuel-lot quarantine</x:v>
      </x:c>
      <x:c r="E83" s="33" t="str">
        <x:v>representative complete subsystem or paired mission</x:v>
      </x:c>
      <x:c r="F83" s="33" t="str">
        <x:v>full-duty casualty and thermal world</x:v>
      </x:c>
      <x:c r="G83" s="33" t="str">
        <x:v>measured evidence does not sustain fuel-lot quarantine</x:v>
      </x:c>
      <x:c r="H83" s="33" t="str">
        <x:v>Independent Test Authority</x:v>
      </x:c>
      <x:c r="I83" s="33" t="str">
        <x:v>OPEN</x:v>
      </x:c>
      <x:c r="J83" s="35" t="n">
        <x:v>0</x:v>
      </x:c>
    </x:row>
    <x:row r="84">
      <x:c r="B84" s="33" t="str">
        <x:v>G078</x:v>
      </x:c>
      <x:c r="C84" s="33" t="str">
        <x:v>ENERGY</x:v>
      </x:c>
      <x:c r="D84" s="33" t="str">
        <x:v>base refuel time</x:v>
      </x:c>
      <x:c r="E84" s="33" t="str">
        <x:v>representative complete subsystem or paired mission</x:v>
      </x:c>
      <x:c r="F84" s="33" t="str">
        <x:v>full-duty casualty and thermal world</x:v>
      </x:c>
      <x:c r="G84" s="33" t="str">
        <x:v>measured evidence does not sustain base refuel time</x:v>
      </x:c>
      <x:c r="H84" s="33" t="str">
        <x:v>Independent Test Authority</x:v>
      </x:c>
      <x:c r="I84" s="33" t="str">
        <x:v>OPEN</x:v>
      </x:c>
      <x:c r="J84" s="35" t="n">
        <x:v>0</x:v>
      </x:c>
    </x:row>
    <x:row r="85">
      <x:c r="B85" s="33" t="str">
        <x:v>G079</x:v>
      </x:c>
      <x:c r="C85" s="33" t="str">
        <x:v>ENERGY</x:v>
      </x:c>
      <x:c r="D85" s="33" t="str">
        <x:v>fuel quality assay</x:v>
      </x:c>
      <x:c r="E85" s="33" t="str">
        <x:v>representative complete subsystem or paired mission</x:v>
      </x:c>
      <x:c r="F85" s="33" t="str">
        <x:v>full-duty casualty and thermal world</x:v>
      </x:c>
      <x:c r="G85" s="33" t="str">
        <x:v>measured evidence does not sustain fuel quality assay</x:v>
      </x:c>
      <x:c r="H85" s="33" t="str">
        <x:v>Independent Test Authority</x:v>
      </x:c>
      <x:c r="I85" s="33" t="str">
        <x:v>OPEN</x:v>
      </x:c>
      <x:c r="J85" s="35" t="n">
        <x:v>0</x:v>
      </x:c>
    </x:row>
    <x:row r="86">
      <x:c r="B86" s="33" t="str">
        <x:v>G080</x:v>
      </x:c>
      <x:c r="C86" s="33" t="str">
        <x:v>ENERGY</x:v>
      </x:c>
      <x:c r="D86" s="33" t="str">
        <x:v>metal-air substitute path</x:v>
      </x:c>
      <x:c r="E86" s="33" t="str">
        <x:v>representative complete subsystem or paired mission</x:v>
      </x:c>
      <x:c r="F86" s="33" t="str">
        <x:v>full-duty casualty and thermal world</x:v>
      </x:c>
      <x:c r="G86" s="33" t="str">
        <x:v>measured evidence does not sustain metal-air substitute path</x:v>
      </x:c>
      <x:c r="H86" s="33" t="str">
        <x:v>Independent Test Authority</x:v>
      </x:c>
      <x:c r="I86" s="33" t="str">
        <x:v>OPEN</x:v>
      </x:c>
      <x:c r="J86" s="35" t="n">
        <x:v>0</x:v>
      </x:c>
    </x:row>
    <x:row r="87">
      <x:c r="B87" s="33" t="str">
        <x:v>G081</x:v>
      </x:c>
      <x:c r="C87" s="33" t="str">
        <x:v>INTEGRATED</x:v>
      </x:c>
      <x:c r="D87" s="33" t="str">
        <x:v>478-tonne tare</x:v>
      </x:c>
      <x:c r="E87" s="33" t="str">
        <x:v>representative complete subsystem or paired mission</x:v>
      </x:c>
      <x:c r="F87" s="33" t="str">
        <x:v>source-to-service-to-reset mission</x:v>
      </x:c>
      <x:c r="G87" s="33" t="str">
        <x:v>measured evidence does not sustain 478-tonne tare</x:v>
      </x:c>
      <x:c r="H87" s="33" t="str">
        <x:v>Independent Test Authority</x:v>
      </x:c>
      <x:c r="I87" s="33" t="str">
        <x:v>OPEN</x:v>
      </x:c>
      <x:c r="J87" s="35" t="n">
        <x:v>0</x:v>
      </x:c>
    </x:row>
    <x:row r="88">
      <x:c r="B88" s="33" t="str">
        <x:v>G082</x:v>
      </x:c>
      <x:c r="C88" s="33" t="str">
        <x:v>INTEGRATED</x:v>
      </x:c>
      <x:c r="D88" s="33" t="str">
        <x:v>648-tonne rated gross</x:v>
      </x:c>
      <x:c r="E88" s="33" t="str">
        <x:v>representative complete subsystem or paired mission</x:v>
      </x:c>
      <x:c r="F88" s="33" t="str">
        <x:v>source-to-service-to-reset mission</x:v>
      </x:c>
      <x:c r="G88" s="33" t="str">
        <x:v>measured evidence does not sustain 648-tonne rated gross</x:v>
      </x:c>
      <x:c r="H88" s="33" t="str">
        <x:v>Independent Test Authority</x:v>
      </x:c>
      <x:c r="I88" s="33" t="str">
        <x:v>OPEN</x:v>
      </x:c>
      <x:c r="J88" s="35" t="n">
        <x:v>0</x:v>
      </x:c>
    </x:row>
    <x:row r="89">
      <x:c r="B89" s="33" t="str">
        <x:v>G083</x:v>
      </x:c>
      <x:c r="C89" s="33" t="str">
        <x:v>INTEGRATED</x:v>
      </x:c>
      <x:c r="D89" s="33" t="str">
        <x:v>637-tonne mission gross</x:v>
      </x:c>
      <x:c r="E89" s="33" t="str">
        <x:v>representative complete subsystem or paired mission</x:v>
      </x:c>
      <x:c r="F89" s="33" t="str">
        <x:v>source-to-service-to-reset mission</x:v>
      </x:c>
      <x:c r="G89" s="33" t="str">
        <x:v>measured evidence does not sustain 637-tonne mission gross</x:v>
      </x:c>
      <x:c r="H89" s="33" t="str">
        <x:v>Independent Test Authority</x:v>
      </x:c>
      <x:c r="I89" s="33" t="str">
        <x:v>OPEN</x:v>
      </x:c>
      <x:c r="J89" s="35" t="n">
        <x:v>0</x:v>
      </x:c>
    </x:row>
    <x:row r="90">
      <x:c r="B90" s="33" t="str">
        <x:v>G084</x:v>
      </x:c>
      <x:c r="C90" s="33" t="str">
        <x:v>INTEGRATED</x:v>
      </x:c>
      <x:c r="D90" s="33" t="str">
        <x:v>46-metre length</x:v>
      </x:c>
      <x:c r="E90" s="33" t="str">
        <x:v>representative complete subsystem or paired mission</x:v>
      </x:c>
      <x:c r="F90" s="33" t="str">
        <x:v>source-to-service-to-reset mission</x:v>
      </x:c>
      <x:c r="G90" s="33" t="str">
        <x:v>measured evidence does not sustain 46-metre length</x:v>
      </x:c>
      <x:c r="H90" s="33" t="str">
        <x:v>Independent Test Authority</x:v>
      </x:c>
      <x:c r="I90" s="33" t="str">
        <x:v>OPEN</x:v>
      </x:c>
      <x:c r="J90" s="35" t="n">
        <x:v>0</x:v>
      </x:c>
    </x:row>
    <x:row r="91">
      <x:c r="B91" s="33" t="str">
        <x:v>G085</x:v>
      </x:c>
      <x:c r="C91" s="33" t="str">
        <x:v>INTEGRATED</x:v>
      </x:c>
      <x:c r="D91" s="33" t="str">
        <x:v>9.5-metre transit width</x:v>
      </x:c>
      <x:c r="E91" s="33" t="str">
        <x:v>representative complete subsystem or paired mission</x:v>
      </x:c>
      <x:c r="F91" s="33" t="str">
        <x:v>source-to-service-to-reset mission</x:v>
      </x:c>
      <x:c r="G91" s="33" t="str">
        <x:v>measured evidence does not sustain 9.5-metre transit width</x:v>
      </x:c>
      <x:c r="H91" s="33" t="str">
        <x:v>Independent Test Authority</x:v>
      </x:c>
      <x:c r="I91" s="33" t="str">
        <x:v>OPEN</x:v>
      </x:c>
      <x:c r="J91" s="35" t="n">
        <x:v>0</x:v>
      </x:c>
    </x:row>
    <x:row r="92">
      <x:c r="B92" s="33" t="str">
        <x:v>G086</x:v>
      </x:c>
      <x:c r="C92" s="33" t="str">
        <x:v>INTEGRATED</x:v>
      </x:c>
      <x:c r="D92" s="33" t="str">
        <x:v>9.5-metre height</x:v>
      </x:c>
      <x:c r="E92" s="33" t="str">
        <x:v>representative complete subsystem or paired mission</x:v>
      </x:c>
      <x:c r="F92" s="33" t="str">
        <x:v>source-to-service-to-reset mission</x:v>
      </x:c>
      <x:c r="G92" s="33" t="str">
        <x:v>measured evidence does not sustain 9.5-metre height</x:v>
      </x:c>
      <x:c r="H92" s="33" t="str">
        <x:v>Independent Test Authority</x:v>
      </x:c>
      <x:c r="I92" s="33" t="str">
        <x:v>OPEN</x:v>
      </x:c>
      <x:c r="J92" s="35" t="n">
        <x:v>0</x:v>
      </x:c>
    </x:row>
    <x:row r="93">
      <x:c r="B93" s="33" t="str">
        <x:v>G087</x:v>
      </x:c>
      <x:c r="C93" s="33" t="str">
        <x:v>INTEGRATED</x:v>
      </x:c>
      <x:c r="D93" s="33" t="str">
        <x:v>184-square-metre deck</x:v>
      </x:c>
      <x:c r="E93" s="33" t="str">
        <x:v>representative complete subsystem or paired mission</x:v>
      </x:c>
      <x:c r="F93" s="33" t="str">
        <x:v>source-to-service-to-reset mission</x:v>
      </x:c>
      <x:c r="G93" s="33" t="str">
        <x:v>measured evidence does not sustain 184-square-metre deck</x:v>
      </x:c>
      <x:c r="H93" s="33" t="str">
        <x:v>Independent Test Authority</x:v>
      </x:c>
      <x:c r="I93" s="33" t="str">
        <x:v>OPEN</x:v>
      </x:c>
      <x:c r="J93" s="35" t="n">
        <x:v>0</x:v>
      </x:c>
    </x:row>
    <x:row r="94">
      <x:c r="B94" s="33" t="str">
        <x:v>G088</x:v>
      </x:c>
      <x:c r="C94" s="33" t="str">
        <x:v>INTEGRATED</x:v>
      </x:c>
      <x:c r="D94" s="33" t="str">
        <x:v>800-cubic-metre usable volume</x:v>
      </x:c>
      <x:c r="E94" s="33" t="str">
        <x:v>representative complete subsystem or paired mission</x:v>
      </x:c>
      <x:c r="F94" s="33" t="str">
        <x:v>source-to-service-to-reset mission</x:v>
      </x:c>
      <x:c r="G94" s="33" t="str">
        <x:v>measured evidence does not sustain 800-cubic-metre usable volume</x:v>
      </x:c>
      <x:c r="H94" s="33" t="str">
        <x:v>Independent Test Authority</x:v>
      </x:c>
      <x:c r="I94" s="33" t="str">
        <x:v>OPEN</x:v>
      </x:c>
      <x:c r="J94" s="35" t="n">
        <x:v>0</x:v>
      </x:c>
    </x:row>
    <x:row r="95">
      <x:c r="B95" s="33" t="str">
        <x:v>G089</x:v>
      </x:c>
      <x:c r="C95" s="33" t="str">
        <x:v>INTEGRATED</x:v>
      </x:c>
      <x:c r="D95" s="33" t="str">
        <x:v>158.75-tonne assigned payload</x:v>
      </x:c>
      <x:c r="E95" s="33" t="str">
        <x:v>representative complete subsystem or paired mission</x:v>
      </x:c>
      <x:c r="F95" s="33" t="str">
        <x:v>source-to-service-to-reset mission</x:v>
      </x:c>
      <x:c r="G95" s="33" t="str">
        <x:v>measured evidence does not sustain 158.75-tonne assigned payload</x:v>
      </x:c>
      <x:c r="H95" s="33" t="str">
        <x:v>Independent Test Authority</x:v>
      </x:c>
      <x:c r="I95" s="33" t="str">
        <x:v>OPEN</x:v>
      </x:c>
      <x:c r="J95" s="35" t="n">
        <x:v>0</x:v>
      </x:c>
    </x:row>
    <x:row r="96">
      <x:c r="B96" s="33" t="str">
        <x:v>G090</x:v>
      </x:c>
      <x:c r="C96" s="33" t="str">
        <x:v>INTEGRATED</x:v>
      </x:c>
      <x:c r="D96" s="33" t="str">
        <x:v>170-tonne rated payload</x:v>
      </x:c>
      <x:c r="E96" s="33" t="str">
        <x:v>representative complete subsystem or paired mission</x:v>
      </x:c>
      <x:c r="F96" s="33" t="str">
        <x:v>source-to-service-to-reset mission</x:v>
      </x:c>
      <x:c r="G96" s="33" t="str">
        <x:v>measured evidence does not sustain 170-tonne rated payload</x:v>
      </x:c>
      <x:c r="H96" s="33" t="str">
        <x:v>Independent Test Authority</x:v>
      </x:c>
      <x:c r="I96" s="33" t="str">
        <x:v>OPEN</x:v>
      </x:c>
      <x:c r="J96" s="35" t="n">
        <x:v>0</x:v>
      </x:c>
    </x:row>
    <x:row r="97">
      <x:c r="B97" s="33" t="str">
        <x:v>G091</x:v>
      </x:c>
      <x:c r="C97" s="33" t="str">
        <x:v>INTEGRATED</x:v>
      </x:c>
      <x:c r="D97" s="33" t="str">
        <x:v>800-kilometre route</x:v>
      </x:c>
      <x:c r="E97" s="33" t="str">
        <x:v>representative complete subsystem or paired mission</x:v>
      </x:c>
      <x:c r="F97" s="33" t="str">
        <x:v>source-to-service-to-reset mission</x:v>
      </x:c>
      <x:c r="G97" s="33" t="str">
        <x:v>measured evidence does not sustain 800-kilometre route</x:v>
      </x:c>
      <x:c r="H97" s="33" t="str">
        <x:v>Independent Test Authority</x:v>
      </x:c>
      <x:c r="I97" s="33" t="str">
        <x:v>OPEN</x:v>
      </x:c>
      <x:c r="J97" s="35" t="n">
        <x:v>0</x:v>
      </x:c>
    </x:row>
    <x:row r="98">
      <x:c r="B98" s="33" t="str">
        <x:v>G092</x:v>
      </x:c>
      <x:c r="C98" s="33" t="str">
        <x:v>INTEGRATED</x:v>
      </x:c>
      <x:c r="D98" s="33" t="str">
        <x:v>41.82-hour relative service</x:v>
      </x:c>
      <x:c r="E98" s="33" t="str">
        <x:v>representative complete subsystem or paired mission</x:v>
      </x:c>
      <x:c r="F98" s="33" t="str">
        <x:v>source-to-service-to-reset mission</x:v>
      </x:c>
      <x:c r="G98" s="33" t="str">
        <x:v>measured evidence does not sustain 41.82-hour relative service</x:v>
      </x:c>
      <x:c r="H98" s="33" t="str">
        <x:v>Independent Test Authority</x:v>
      </x:c>
      <x:c r="I98" s="33" t="str">
        <x:v>OPEN</x:v>
      </x:c>
      <x:c r="J98" s="35" t="n">
        <x:v>0</x:v>
      </x:c>
    </x:row>
    <x:row r="99">
      <x:c r="B99" s="33" t="str">
        <x:v>G093</x:v>
      </x:c>
      <x:c r="C99" s="33" t="str">
        <x:v>INTEGRATED</x:v>
      </x:c>
      <x:c r="D99" s="33" t="str">
        <x:v>47.82-hour absolute service</x:v>
      </x:c>
      <x:c r="E99" s="33" t="str">
        <x:v>representative complete subsystem or paired mission</x:v>
      </x:c>
      <x:c r="F99" s="33" t="str">
        <x:v>source-to-service-to-reset mission</x:v>
      </x:c>
      <x:c r="G99" s="33" t="str">
        <x:v>measured evidence does not sustain 47.82-hour absolute service</x:v>
      </x:c>
      <x:c r="H99" s="33" t="str">
        <x:v>Independent Test Authority</x:v>
      </x:c>
      <x:c r="I99" s="33" t="str">
        <x:v>OPEN</x:v>
      </x:c>
      <x:c r="J99" s="35" t="n">
        <x:v>0</x:v>
      </x:c>
    </x:row>
    <x:row r="100">
      <x:c r="B100" s="33" t="str">
        <x:v>G094</x:v>
      </x:c>
      <x:c r="C100" s="33" t="str">
        <x:v>INTEGRATED</x:v>
      </x:c>
      <x:c r="D100" s="33" t="str">
        <x:v>25-metre gap</x:v>
      </x:c>
      <x:c r="E100" s="33" t="str">
        <x:v>representative complete subsystem or paired mission</x:v>
      </x:c>
      <x:c r="F100" s="33" t="str">
        <x:v>source-to-service-to-reset mission</x:v>
      </x:c>
      <x:c r="G100" s="33" t="str">
        <x:v>measured evidence does not sustain 25-metre gap</x:v>
      </x:c>
      <x:c r="H100" s="33" t="str">
        <x:v>Independent Test Authority</x:v>
      </x:c>
      <x:c r="I100" s="33" t="str">
        <x:v>OPEN</x:v>
      </x:c>
      <x:c r="J100" s="35" t="n">
        <x:v>0</x:v>
      </x:c>
    </x:row>
    <x:row r="101">
      <x:c r="B101" s="33" t="str">
        <x:v>G095</x:v>
      </x:c>
      <x:c r="C101" s="33" t="str">
        <x:v>INTEGRATED</x:v>
      </x:c>
      <x:c r="D101" s="33" t="str">
        <x:v>2.5-metre wading</x:v>
      </x:c>
      <x:c r="E101" s="33" t="str">
        <x:v>representative complete subsystem or paired mission</x:v>
      </x:c>
      <x:c r="F101" s="33" t="str">
        <x:v>source-to-service-to-reset mission</x:v>
      </x:c>
      <x:c r="G101" s="33" t="str">
        <x:v>measured evidence does not sustain 2.5-metre wading</x:v>
      </x:c>
      <x:c r="H101" s="33" t="str">
        <x:v>Independent Test Authority</x:v>
      </x:c>
      <x:c r="I101" s="33" t="str">
        <x:v>OPEN</x:v>
      </x:c>
      <x:c r="J101" s="35" t="n">
        <x:v>0</x:v>
      </x:c>
    </x:row>
    <x:row r="102">
      <x:c r="B102" s="33" t="str">
        <x:v>G096</x:v>
      </x:c>
      <x:c r="C102" s="33" t="str">
        <x:v>INTEGRATED</x:v>
      </x:c>
      <x:c r="D102" s="33" t="str">
        <x:v>offline convoy control</x:v>
      </x:c>
      <x:c r="E102" s="33" t="str">
        <x:v>representative complete subsystem or paired mission</x:v>
      </x:c>
      <x:c r="F102" s="33" t="str">
        <x:v>source-to-service-to-reset mission</x:v>
      </x:c>
      <x:c r="G102" s="33" t="str">
        <x:v>measured evidence does not sustain offline convoy control</x:v>
      </x:c>
      <x:c r="H102" s="33" t="str">
        <x:v>Independent Test Authority</x:v>
      </x:c>
      <x:c r="I102" s="33" t="str">
        <x:v>OPEN</x:v>
      </x:c>
      <x:c r="J102" s="35" t="n">
        <x:v>0</x:v>
      </x:c>
    </x:row>
    <x:row r="103">
      <x:c r="B103" s="33" t="str">
        <x:v>G097</x:v>
      </x:c>
      <x:c r="C103" s="33" t="str">
        <x:v>INTEGRATED</x:v>
      </x:c>
      <x:c r="D103" s="33" t="str">
        <x:v>crew casualty substitution</x:v>
      </x:c>
      <x:c r="E103" s="33" t="str">
        <x:v>representative complete subsystem or paired mission</x:v>
      </x:c>
      <x:c r="F103" s="33" t="str">
        <x:v>source-to-service-to-reset mission</x:v>
      </x:c>
      <x:c r="G103" s="33" t="str">
        <x:v>measured evidence does not sustain crew casualty substitution</x:v>
      </x:c>
      <x:c r="H103" s="33" t="str">
        <x:v>Independent Test Authority</x:v>
      </x:c>
      <x:c r="I103" s="33" t="str">
        <x:v>OPEN</x:v>
      </x:c>
      <x:c r="J103" s="35" t="n">
        <x:v>0</x:v>
      </x:c>
    </x:row>
    <x:row r="104">
      <x:c r="B104" s="33" t="str">
        <x:v>G098</x:v>
      </x:c>
      <x:c r="C104" s="33" t="str">
        <x:v>INTEGRATED</x:v>
      </x:c>
      <x:c r="D104" s="33" t="str">
        <x:v>four-vehicle cell release</x:v>
      </x:c>
      <x:c r="E104" s="33" t="str">
        <x:v>representative complete subsystem or paired mission</x:v>
      </x:c>
      <x:c r="F104" s="33" t="str">
        <x:v>source-to-service-to-reset mission</x:v>
      </x:c>
      <x:c r="G104" s="33" t="str">
        <x:v>measured evidence does not sustain four-vehicle cell release</x:v>
      </x:c>
      <x:c r="H104" s="33" t="str">
        <x:v>Independent Test Authority</x:v>
      </x:c>
      <x:c r="I104" s="33" t="str">
        <x:v>OPEN</x:v>
      </x:c>
      <x:c r="J104" s="35" t="n">
        <x:v>0</x:v>
      </x:c>
    </x:row>
    <x:row r="105">
      <x:c r="B105" s="33" t="str">
        <x:v>G099</x:v>
      </x:c>
      <x:c r="C105" s="33" t="str">
        <x:v>INTEGRATED</x:v>
      </x:c>
      <x:c r="D105" s="33" t="str">
        <x:v>payload custody reconciliation</x:v>
      </x:c>
      <x:c r="E105" s="33" t="str">
        <x:v>representative complete subsystem or paired mission</x:v>
      </x:c>
      <x:c r="F105" s="33" t="str">
        <x:v>source-to-service-to-reset mission</x:v>
      </x:c>
      <x:c r="G105" s="33" t="str">
        <x:v>measured evidence does not sustain payload custody reconciliation</x:v>
      </x:c>
      <x:c r="H105" s="33" t="str">
        <x:v>Independent Test Authority</x:v>
      </x:c>
      <x:c r="I105" s="33" t="str">
        <x:v>OPEN</x:v>
      </x:c>
      <x:c r="J105" s="35" t="n">
        <x:v>0</x:v>
      </x:c>
    </x:row>
    <x:row r="106">
      <x:c r="B106" s="33" t="str">
        <x:v>G100</x:v>
      </x:c>
      <x:c r="C106" s="33" t="str">
        <x:v>INTEGRATED</x:v>
      </x:c>
      <x:c r="D106" s="33" t="str">
        <x:v>complete 158-hour reset</x:v>
      </x:c>
      <x:c r="E106" s="33" t="str">
        <x:v>representative complete subsystem or paired mission</x:v>
      </x:c>
      <x:c r="F106" s="33" t="str">
        <x:v>source-to-service-to-reset mission</x:v>
      </x:c>
      <x:c r="G106" s="33" t="str">
        <x:v>measured evidence does not sustain complete 158-hour reset</x:v>
      </x:c>
      <x:c r="H106" s="33" t="str">
        <x:v>Independent Test Authority</x:v>
      </x:c>
      <x:c r="I106" s="33" t="str">
        <x:v>OPEN</x:v>
      </x:c>
      <x:c r="J106" s="35" t="n">
        <x:v>0</x:v>
      </x:c>
    </x:row>
    <x:row r="107">
      <x:c r="B107" s="33" t="str">
        <x:v>G101</x:v>
      </x:c>
      <x:c r="C107" s="33" t="str">
        <x:v>PROGRAM</x:v>
      </x:c>
      <x:c r="D107" s="33" t="str">
        <x:v>four integration lines</x:v>
      </x:c>
      <x:c r="E107" s="33" t="str">
        <x:v>production system, supplier genealogy and certified records</x:v>
      </x:c>
      <x:c r="F107" s="33" t="str">
        <x:v>rate, loss and industrial mobilization exercise</x:v>
      </x:c>
      <x:c r="G107" s="33" t="str">
        <x:v>measured evidence does not sustain four integration lines</x:v>
      </x:c>
      <x:c r="H107" s="33" t="str">
        <x:v>Independent Acquisition and Test Authority</x:v>
      </x:c>
      <x:c r="I107" s="33" t="str">
        <x:v>OPEN</x:v>
      </x:c>
      <x:c r="J107" s="35" t="n">
        <x:v>0</x:v>
      </x:c>
    </x:row>
    <x:row r="108">
      <x:c r="B108" s="33" t="str">
        <x:v>G102</x:v>
      </x:c>
      <x:c r="C108" s="33" t="str">
        <x:v>PROGRAM</x:v>
      </x:c>
      <x:c r="D108" s="33" t="str">
        <x:v>three generator lineages</x:v>
      </x:c>
      <x:c r="E108" s="33" t="str">
        <x:v>production system, supplier genealogy and certified records</x:v>
      </x:c>
      <x:c r="F108" s="33" t="str">
        <x:v>rate, loss and industrial mobilization exercise</x:v>
      </x:c>
      <x:c r="G108" s="33" t="str">
        <x:v>measured evidence does not sustain three generator lineages</x:v>
      </x:c>
      <x:c r="H108" s="33" t="str">
        <x:v>Independent Acquisition and Test Authority</x:v>
      </x:c>
      <x:c r="I108" s="33" t="str">
        <x:v>OPEN</x:v>
      </x:c>
      <x:c r="J108" s="35" t="n">
        <x:v>0</x:v>
      </x:c>
    </x:row>
    <x:row r="109">
      <x:c r="B109" s="33" t="str">
        <x:v>G103</x:v>
      </x:c>
      <x:c r="C109" s="33" t="str">
        <x:v>PROGRAM</x:v>
      </x:c>
      <x:c r="D109" s="33" t="str">
        <x:v>three contact lineages</x:v>
      </x:c>
      <x:c r="E109" s="33" t="str">
        <x:v>production system, supplier genealogy and certified records</x:v>
      </x:c>
      <x:c r="F109" s="33" t="str">
        <x:v>rate, loss and industrial mobilization exercise</x:v>
      </x:c>
      <x:c r="G109" s="33" t="str">
        <x:v>measured evidence does not sustain three contact lineages</x:v>
      </x:c>
      <x:c r="H109" s="33" t="str">
        <x:v>Independent Acquisition and Test Authority</x:v>
      </x:c>
      <x:c r="I109" s="33" t="str">
        <x:v>OPEN</x:v>
      </x:c>
      <x:c r="J109" s="35" t="n">
        <x:v>0</x:v>
      </x:c>
    </x:row>
    <x:row r="110">
      <x:c r="B110" s="33" t="str">
        <x:v>G104</x:v>
      </x:c>
      <x:c r="C110" s="33" t="str">
        <x:v>PROGRAM</x:v>
      </x:c>
      <x:c r="D110" s="33" t="str">
        <x:v>three power-electronics lineages</x:v>
      </x:c>
      <x:c r="E110" s="33" t="str">
        <x:v>production system, supplier genealogy and certified records</x:v>
      </x:c>
      <x:c r="F110" s="33" t="str">
        <x:v>rate, loss and industrial mobilization exercise</x:v>
      </x:c>
      <x:c r="G110" s="33" t="str">
        <x:v>measured evidence does not sustain three power-electronics lineages</x:v>
      </x:c>
      <x:c r="H110" s="33" t="str">
        <x:v>Independent Acquisition and Test Authority</x:v>
      </x:c>
      <x:c r="I110" s="33" t="str">
        <x:v>OPEN</x:v>
      </x:c>
      <x:c r="J110" s="35" t="n">
        <x:v>0</x:v>
      </x:c>
    </x:row>
    <x:row r="111">
      <x:c r="B111" s="33" t="str">
        <x:v>G105</x:v>
      </x:c>
      <x:c r="C111" s="33" t="str">
        <x:v>PROGRAM</x:v>
      </x:c>
      <x:c r="D111" s="33" t="str">
        <x:v>plural receiver implementations</x:v>
      </x:c>
      <x:c r="E111" s="33" t="str">
        <x:v>production system, supplier genealogy and certified records</x:v>
      </x:c>
      <x:c r="F111" s="33" t="str">
        <x:v>rate, loss and industrial mobilization exercise</x:v>
      </x:c>
      <x:c r="G111" s="33" t="str">
        <x:v>measured evidence does not sustain plural receiver implementations</x:v>
      </x:c>
      <x:c r="H111" s="33" t="str">
        <x:v>Independent Acquisition and Test Authority</x:v>
      </x:c>
      <x:c r="I111" s="33" t="str">
        <x:v>OPEN</x:v>
      </x:c>
      <x:c r="J111" s="35" t="n">
        <x:v>0</x:v>
      </x:c>
    </x:row>
    <x:row r="112">
      <x:c r="B112" s="33" t="str">
        <x:v>G106</x:v>
      </x:c>
      <x:c r="C112" s="33" t="str">
        <x:v>PROGRAM</x:v>
      </x:c>
      <x:c r="D112" s="33" t="str">
        <x:v>six compound ranges</x:v>
      </x:c>
      <x:c r="E112" s="33" t="str">
        <x:v>production system, supplier genealogy and certified records</x:v>
      </x:c>
      <x:c r="F112" s="33" t="str">
        <x:v>rate, loss and industrial mobilization exercise</x:v>
      </x:c>
      <x:c r="G112" s="33" t="str">
        <x:v>measured evidence does not sustain six compound ranges</x:v>
      </x:c>
      <x:c r="H112" s="33" t="str">
        <x:v>Independent Acquisition and Test Authority</x:v>
      </x:c>
      <x:c r="I112" s="33" t="str">
        <x:v>OPEN</x:v>
      </x:c>
      <x:c r="J112" s="35" t="n">
        <x:v>0</x:v>
      </x:c>
    </x:row>
    <x:row r="113">
      <x:c r="B113" s="33" t="str">
        <x:v>G107</x:v>
      </x:c>
      <x:c r="C113" s="33" t="str">
        <x:v>PROGRAM</x:v>
      </x:c>
      <x:c r="D113" s="33" t="str">
        <x:v>sixteen-vehicle annual rate</x:v>
      </x:c>
      <x:c r="E113" s="33" t="str">
        <x:v>production system, supplier genealogy and certified records</x:v>
      </x:c>
      <x:c r="F113" s="33" t="str">
        <x:v>rate, loss and industrial mobilization exercise</x:v>
      </x:c>
      <x:c r="G113" s="33" t="str">
        <x:v>measured evidence does not sustain sixteen-vehicle annual rate</x:v>
      </x:c>
      <x:c r="H113" s="33" t="str">
        <x:v>Independent Acquisition and Test Authority</x:v>
      </x:c>
      <x:c r="I113" s="33" t="str">
        <x:v>OPEN</x:v>
      </x:c>
      <x:c r="J113" s="35" t="n">
        <x:v>0</x:v>
      </x:c>
    </x:row>
    <x:row r="114">
      <x:c r="B114" s="33" t="str">
        <x:v>G108</x:v>
      </x:c>
      <x:c r="C114" s="33" t="str">
        <x:v>PROGRAM</x:v>
      </x:c>
      <x:c r="D114" s="33" t="str">
        <x:v>219-article baseline fleet</x:v>
      </x:c>
      <x:c r="E114" s="33" t="str">
        <x:v>production system, supplier genealogy and certified records</x:v>
      </x:c>
      <x:c r="F114" s="33" t="str">
        <x:v>rate, loss and industrial mobilization exercise</x:v>
      </x:c>
      <x:c r="G114" s="33" t="str">
        <x:v>measured evidence does not sustain 219-article baseline fleet</x:v>
      </x:c>
      <x:c r="H114" s="33" t="str">
        <x:v>Independent Acquisition and Test Authority</x:v>
      </x:c>
      <x:c r="I114" s="33" t="str">
        <x:v>OPEN</x:v>
      </x:c>
      <x:c r="J114" s="35" t="n">
        <x:v>0</x:v>
      </x:c>
    </x:row>
    <x:row r="115">
      <x:c r="B115" s="33" t="str">
        <x:v>G109</x:v>
      </x:c>
      <x:c r="C115" s="33" t="str">
        <x:v>PROGRAM</x:v>
      </x:c>
      <x:c r="D115" s="33" t="str">
        <x:v>35 reserve vehicles</x:v>
      </x:c>
      <x:c r="E115" s="33" t="str">
        <x:v>production system, supplier genealogy and certified records</x:v>
      </x:c>
      <x:c r="F115" s="33" t="str">
        <x:v>rate, loss and industrial mobilization exercise</x:v>
      </x:c>
      <x:c r="G115" s="33" t="str">
        <x:v>measured evidence does not sustain 35 reserve vehicles</x:v>
      </x:c>
      <x:c r="H115" s="33" t="str">
        <x:v>Independent Acquisition and Test Authority</x:v>
      </x:c>
      <x:c r="I115" s="33" t="str">
        <x:v>OPEN</x:v>
      </x:c>
      <x:c r="J115" s="35" t="n">
        <x:v>0</x:v>
      </x:c>
    </x:row>
    <x:row r="116">
      <x:c r="B116" s="33" t="str">
        <x:v>G110</x:v>
      </x:c>
      <x:c r="C116" s="33" t="str">
        <x:v>PROGRAM</x:v>
      </x:c>
      <x:c r="D116" s="33" t="str">
        <x:v>12 development articles</x:v>
      </x:c>
      <x:c r="E116" s="33" t="str">
        <x:v>production system, supplier genealogy and certified records</x:v>
      </x:c>
      <x:c r="F116" s="33" t="str">
        <x:v>rate, loss and industrial mobilization exercise</x:v>
      </x:c>
      <x:c r="G116" s="33" t="str">
        <x:v>measured evidence does not sustain 12 development articles</x:v>
      </x:c>
      <x:c r="H116" s="33" t="str">
        <x:v>Independent Acquisition and Test Authority</x:v>
      </x:c>
      <x:c r="I116" s="33" t="str">
        <x:v>OPEN</x:v>
      </x:c>
      <x:c r="J116" s="35" t="n">
        <x:v>0</x:v>
      </x:c>
    </x:row>
    <x:row r="117">
      <x:c r="B117" s="33" t="str">
        <x:v>G111</x:v>
      </x:c>
      <x:c r="C117" s="33" t="str">
        <x:v>PROGRAM</x:v>
      </x:c>
      <x:c r="D117" s="33" t="str">
        <x:v>95,000-worker ecosystem</x:v>
      </x:c>
      <x:c r="E117" s="33" t="str">
        <x:v>production system, supplier genealogy and certified records</x:v>
      </x:c>
      <x:c r="F117" s="33" t="str">
        <x:v>rate, loss and industrial mobilization exercise</x:v>
      </x:c>
      <x:c r="G117" s="33" t="str">
        <x:v>measured evidence does not sustain 95,000-worker ecosystem</x:v>
      </x:c>
      <x:c r="H117" s="33" t="str">
        <x:v>Independent Acquisition and Test Authority</x:v>
      </x:c>
      <x:c r="I117" s="33" t="str">
        <x:v>OPEN</x:v>
      </x:c>
      <x:c r="J117" s="35" t="n">
        <x:v>0</x:v>
      </x:c>
    </x:row>
    <x:row r="118">
      <x:c r="B118" s="33" t="str">
        <x:v>G112</x:v>
      </x:c>
      <x:c r="C118" s="33" t="str">
        <x:v>PROGRAM</x:v>
      </x:c>
      <x:c r="D118" s="33" t="str">
        <x:v>training throughput</x:v>
      </x:c>
      <x:c r="E118" s="33" t="str">
        <x:v>production system, supplier genealogy and certified records</x:v>
      </x:c>
      <x:c r="F118" s="33" t="str">
        <x:v>rate, loss and industrial mobilization exercise</x:v>
      </x:c>
      <x:c r="G118" s="33" t="str">
        <x:v>measured evidence does not sustain training throughput</x:v>
      </x:c>
      <x:c r="H118" s="33" t="str">
        <x:v>Independent Acquisition and Test Authority</x:v>
      </x:c>
      <x:c r="I118" s="33" t="str">
        <x:v>OPEN</x:v>
      </x:c>
      <x:c r="J118" s="35" t="n">
        <x:v>0</x:v>
      </x:c>
    </x:row>
    <x:row r="119">
      <x:c r="B119" s="33" t="str">
        <x:v>G113</x:v>
      </x:c>
      <x:c r="C119" s="33" t="str">
        <x:v>PROGRAM</x:v>
      </x:c>
      <x:c r="D119" s="33" t="str">
        <x:v>independent certification</x:v>
      </x:c>
      <x:c r="E119" s="33" t="str">
        <x:v>production system, supplier genealogy and certified records</x:v>
      </x:c>
      <x:c r="F119" s="33" t="str">
        <x:v>rate, loss and industrial mobilization exercise</x:v>
      </x:c>
      <x:c r="G119" s="33" t="str">
        <x:v>measured evidence does not sustain independent certification</x:v>
      </x:c>
      <x:c r="H119" s="33" t="str">
        <x:v>Independent Acquisition and Test Authority</x:v>
      </x:c>
      <x:c r="I119" s="33" t="str">
        <x:v>OPEN</x:v>
      </x:c>
      <x:c r="J119" s="35" t="n">
        <x:v>0</x:v>
      </x:c>
    </x:row>
    <x:row r="120">
      <x:c r="B120" s="33" t="str">
        <x:v>G114</x:v>
      </x:c>
      <x:c r="C120" s="33" t="str">
        <x:v>PROGRAM</x:v>
      </x:c>
      <x:c r="D120" s="33" t="str">
        <x:v>supplier ancestry audit</x:v>
      </x:c>
      <x:c r="E120" s="33" t="str">
        <x:v>production system, supplier genealogy and certified records</x:v>
      </x:c>
      <x:c r="F120" s="33" t="str">
        <x:v>rate, loss and industrial mobilization exercise</x:v>
      </x:c>
      <x:c r="G120" s="33" t="str">
        <x:v>measured evidence does not sustain supplier ancestry audit</x:v>
      </x:c>
      <x:c r="H120" s="33" t="str">
        <x:v>Independent Acquisition and Test Authority</x:v>
      </x:c>
      <x:c r="I120" s="33" t="str">
        <x:v>OPEN</x:v>
      </x:c>
      <x:c r="J120" s="35" t="n">
        <x:v>0</x:v>
      </x:c>
    </x:row>
    <x:row r="121">
      <x:c r="B121" s="33" t="str">
        <x:v>G115</x:v>
      </x:c>
      <x:c r="C121" s="33" t="str">
        <x:v>PROGRAM</x:v>
      </x:c>
      <x:c r="D121" s="33" t="str">
        <x:v>configuration control</x:v>
      </x:c>
      <x:c r="E121" s="33" t="str">
        <x:v>production system, supplier genealogy and certified records</x:v>
      </x:c>
      <x:c r="F121" s="33" t="str">
        <x:v>rate, loss and industrial mobilization exercise</x:v>
      </x:c>
      <x:c r="G121" s="33" t="str">
        <x:v>measured evidence does not sustain configuration control</x:v>
      </x:c>
      <x:c r="H121" s="33" t="str">
        <x:v>Independent Acquisition and Test Authority</x:v>
      </x:c>
      <x:c r="I121" s="33" t="str">
        <x:v>OPEN</x:v>
      </x:c>
      <x:c r="J121" s="35" t="n">
        <x:v>0</x:v>
      </x:c>
    </x:row>
    <x:row r="122">
      <x:c r="B122" s="33" t="str">
        <x:v>G116</x:v>
      </x:c>
      <x:c r="C122" s="33" t="str">
        <x:v>PROGRAM</x:v>
      </x:c>
      <x:c r="D122" s="33" t="str">
        <x:v>field depot capacity</x:v>
      </x:c>
      <x:c r="E122" s="33" t="str">
        <x:v>production system, supplier genealogy and certified records</x:v>
      </x:c>
      <x:c r="F122" s="33" t="str">
        <x:v>rate, loss and industrial mobilization exercise</x:v>
      </x:c>
      <x:c r="G122" s="33" t="str">
        <x:v>measured evidence does not sustain field depot capacity</x:v>
      </x:c>
      <x:c r="H122" s="33" t="str">
        <x:v>Independent Acquisition and Test Authority</x:v>
      </x:c>
      <x:c r="I122" s="33" t="str">
        <x:v>OPEN</x:v>
      </x:c>
      <x:c r="J122" s="35" t="n">
        <x:v>0</x:v>
      </x:c>
    </x:row>
    <x:row r="123">
      <x:c r="B123" s="33" t="str">
        <x:v>G117</x:v>
      </x:c>
      <x:c r="C123" s="33" t="str">
        <x:v>PROGRAM</x:v>
      </x:c>
      <x:c r="D123" s="33" t="str">
        <x:v>receiver construction program</x:v>
      </x:c>
      <x:c r="E123" s="33" t="str">
        <x:v>production system, supplier genealogy and certified records</x:v>
      </x:c>
      <x:c r="F123" s="33" t="str">
        <x:v>rate, loss and industrial mobilization exercise</x:v>
      </x:c>
      <x:c r="G123" s="33" t="str">
        <x:v>measured evidence does not sustain receiver construction program</x:v>
      </x:c>
      <x:c r="H123" s="33" t="str">
        <x:v>Independent Acquisition and Test Authority</x:v>
      </x:c>
      <x:c r="I123" s="33" t="str">
        <x:v>OPEN</x:v>
      </x:c>
      <x:c r="J123" s="35" t="n">
        <x:v>0</x:v>
      </x:c>
    </x:row>
    <x:row r="124">
      <x:c r="B124" s="33" t="str">
        <x:v>G118</x:v>
      </x:c>
      <x:c r="C124" s="33" t="str">
        <x:v>PROGRAM</x:v>
      </x:c>
      <x:c r="D124" s="33" t="str">
        <x:v>$1.338745T SAT account</x:v>
      </x:c>
      <x:c r="E124" s="33" t="str">
        <x:v>production system, supplier genealogy and certified records</x:v>
      </x:c>
      <x:c r="F124" s="33" t="str">
        <x:v>rate, loss and industrial mobilization exercise</x:v>
      </x:c>
      <x:c r="G124" s="33" t="str">
        <x:v>measured evidence does not sustain $1.338745T SAT account</x:v>
      </x:c>
      <x:c r="H124" s="33" t="str">
        <x:v>Independent Acquisition and Test Authority</x:v>
      </x:c>
      <x:c r="I124" s="33" t="str">
        <x:v>OPEN</x:v>
      </x:c>
      <x:c r="J124" s="35" t="n">
        <x:v>0</x:v>
      </x:c>
    </x:row>
    <x:row r="125">
      <x:c r="B125" s="33" t="str">
        <x:v>G119</x:v>
      </x:c>
      <x:c r="C125" s="33" t="str">
        <x:v>PROGRAM</x:v>
      </x:c>
      <x:c r="D125" s="33" t="str">
        <x:v>$170.78694B interface increment</x:v>
      </x:c>
      <x:c r="E125" s="33" t="str">
        <x:v>production system, supplier genealogy and certified records</x:v>
      </x:c>
      <x:c r="F125" s="33" t="str">
        <x:v>rate, loss and industrial mobilization exercise</x:v>
      </x:c>
      <x:c r="G125" s="33" t="str">
        <x:v>measured evidence does not sustain $170.78694B interface increment</x:v>
      </x:c>
      <x:c r="H125" s="33" t="str">
        <x:v>Independent Acquisition and Test Authority</x:v>
      </x:c>
      <x:c r="I125" s="33" t="str">
        <x:v>OPEN</x:v>
      </x:c>
      <x:c r="J125" s="35" t="n">
        <x:v>0</x:v>
      </x:c>
    </x:row>
    <x:row r="126">
      <x:c r="B126" s="39" t="str">
        <x:v>G120</x:v>
      </x:c>
      <x:c r="C126" s="39" t="str">
        <x:v>PROGRAM</x:v>
      </x:c>
      <x:c r="D126" s="39" t="str">
        <x:v>$10.11965758T national reconciliation</x:v>
      </x:c>
      <x:c r="E126" s="39" t="str">
        <x:v>production system, supplier genealogy and certified records</x:v>
      </x:c>
      <x:c r="F126" s="39" t="str">
        <x:v>rate, loss and industrial mobilization exercise</x:v>
      </x:c>
      <x:c r="G126" s="39" t="str">
        <x:v>measured evidence does not sustain $10.11965758T national reconciliation</x:v>
      </x:c>
      <x:c r="H126" s="39" t="str">
        <x:v>Independent Acquisition and Test Authority</x:v>
      </x:c>
      <x:c r="I126" s="39" t="str">
        <x:v>OPEN</x:v>
      </x:c>
      <x:c r="J126" s="40" t="n">
        <x:v>0</x:v>
      </x:c>
    </x:row>
    <x:row r="127">
      <x:c r="B127" s="26"/>
      <x:c r="C127" s="26"/>
      <x:c r="D127" s="26"/>
      <x:c r="E127" s="26"/>
      <x:c r="F127" s="26"/>
      <x:c r="G127" s="26"/>
      <x:c r="H127" s="26"/>
      <x:c r="I127" s="26"/>
      <x:c r="J127" s="26"/>
    </x:row>
    <x:row r="128">
      <x:c r="B128" s="26" t="str">
        <x:v>Gate count</x:v>
      </x:c>
      <x:c r="C128" s="26" t="n">
        <x:f>COUNTA(B7:B126)</x:f>
        <x:v>120</x:v>
      </x:c>
      <x:c r="D128" s="26" t="str">
        <x:v>Expected</x:v>
      </x:c>
      <x:c r="E128" s="26" t="n">
        <x:v>120</x:v>
      </x:c>
      <x:c r="F128" s="26"/>
      <x:c r="G128" s="26"/>
      <x:c r="H128" s="26"/>
      <x:c r="I128" s="26"/>
      <x:c r="J128" s="26"/>
    </x:row>
    <x:row r="129">
      <x:c r="B129" s="26" t="str">
        <x:v>Open gates</x:v>
      </x:c>
      <x:c r="C129" s="26" t="n">
        <x:f>COUNTIF(I7:I126,"OPEN")</x:f>
        <x:v>120</x:v>
      </x:c>
      <x:c r="D129" s="26" t="str">
        <x:v>Expected</x:v>
      </x:c>
      <x:c r="E129" s="26" t="n">
        <x:v>120</x:v>
      </x:c>
      <x:c r="F129" s="26"/>
      <x:c r="G129" s="26"/>
      <x:c r="H129" s="26"/>
      <x:c r="I129" s="26"/>
      <x:c r="J129" s="26"/>
    </x:row>
    <x:row r="130">
      <x:c r="B130" s="26" t="str">
        <x:v>Strict credit</x:v>
      </x:c>
      <x:c r="C130" s="26" t="n">
        <x:f>SUM(J7:J126)</x:f>
        <x:v>0</x:v>
      </x:c>
      <x:c r="D130" s="26" t="str">
        <x:v>Expected</x:v>
      </x:c>
      <x:c r="E130" s="26" t="n">
        <x:v>0</x:v>
      </x:c>
      <x:c r="F130" s="26"/>
      <x:c r="G130" s="26"/>
      <x:c r="H130" s="26"/>
      <x:c r="I130" s="26"/>
      <x:c r="J130" s="26"/>
    </x:row>
    <x:row r="131">
      <x:c r="B131" s="26" t="str">
        <x:v>Rendering</x:v>
      </x:c>
      <x:c r="C131" s="26" t="str">
        <x:v>BLOCKED</x:v>
      </x:c>
      <x:c r="D131" s="26" t="str">
        <x:v>Reason</x:v>
      </x:c>
      <x:c r="E131" s="26" t="str">
        <x:v>energy, contact, receiver and full-scale packaging evidence open</x:v>
      </x:c>
      <x:c r="F131" s="26"/>
      <x:c r="G131" s="26"/>
      <x:c r="H131" s="26"/>
      <x:c r="I131" s="26"/>
      <x:c r="J131" s="26"/>
    </x:row>
    <x:row r="132">
      <x:c r="B132" s="26"/>
      <x:c r="C132" s="26"/>
      <x:c r="D132" s="26"/>
      <x:c r="E132" s="26"/>
      <x:c r="F132" s="26"/>
      <x:c r="G132" s="26"/>
      <x:c r="H132" s="26"/>
      <x:c r="I132" s="26"/>
      <x:c r="J132" s="26"/>
    </x:row>
    <x:row r="133">
      <x:c r="B133" s="26"/>
      <x:c r="C133" s="26"/>
      <x:c r="D133" s="26"/>
      <x:c r="E133" s="26"/>
      <x:c r="F133" s="26"/>
      <x:c r="G133" s="26"/>
      <x:c r="H133" s="26"/>
      <x:c r="I133" s="26"/>
      <x:c r="J133" s="26"/>
    </x:row>
    <x:row r="134">
      <x:c r="B134" s="26"/>
      <x:c r="C134" s="26"/>
      <x:c r="D134" s="26"/>
      <x:c r="E134" s="26"/>
      <x:c r="F134" s="26"/>
      <x:c r="G134" s="26"/>
      <x:c r="H134" s="26"/>
      <x:c r="I134" s="26"/>
      <x:c r="J134" s="26"/>
    </x:row>
    <x:row r="135">
      <x:c r="B135" s="26"/>
      <x:c r="C135" s="26"/>
      <x:c r="D135" s="26"/>
      <x:c r="E135" s="26"/>
      <x:c r="F135" s="26"/>
      <x:c r="G135" s="26"/>
      <x:c r="H135" s="26"/>
      <x:c r="I135" s="26"/>
      <x:c r="J135" s="26"/>
    </x:row>
    <x:row r="136">
      <x:c r="B136" s="26"/>
      <x:c r="C136" s="26"/>
      <x:c r="D136" s="26"/>
      <x:c r="E136" s="26"/>
      <x:c r="F136" s="26"/>
      <x:c r="G136" s="26"/>
      <x:c r="H136" s="26"/>
      <x:c r="I136" s="26"/>
      <x:c r="J136" s="26"/>
    </x:row>
  </x:sheetData>
  <x:conditionalFormatting sqref="I7:I126">
    <x:cfRule type="containsText" dxfId="33" priority="1" operator="containsText" text="FAIL"/>
    <x:cfRule type="containsText" dxfId="34" priority="2" operator="containsText" text="DIVERGES"/>
    <x:cfRule type="containsText" dxfId="35" priority="3" operator="containsText" text="PASS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20" hidden="0" customWidth="1"/>
    <x:col min="5" max="5" width="20" hidden="0" customWidth="1"/>
    <x:col min="6" max="6" width="14" hidden="0" customWidth="1"/>
    <x:col min="7" max="7" width="42" hidden="0" customWidth="1"/>
  </x:cols>
  <x:sheetData>
    <x:row r="2">
      <x:c r="B2" s="78" t="str">
        <x:v>Calculation, reconciliation and evidence-integrity audit</x:v>
      </x:c>
      <x:c r="C2" s="26"/>
      <x:c r="D2" s="26"/>
      <x:c r="E2" s="26"/>
      <x:c r="F2" s="26"/>
      <x:c r="G2" s="26"/>
    </x:row>
    <x:row r="3">
      <x:c r="B3" s="79" t="str">
        <x:v>Terminal checks read the model; no output or assumption depends on this sheet</x:v>
      </x:c>
      <x:c r="C3" s="70"/>
      <x:c r="D3" s="70"/>
      <x:c r="E3" s="70"/>
      <x:c r="F3" s="70"/>
      <x:c r="G3" s="70"/>
    </x:row>
    <x:row r="4">
      <x:c r="B4" s="71"/>
      <x:c r="C4" s="71"/>
      <x:c r="D4" s="71"/>
      <x:c r="E4" s="71"/>
      <x:c r="F4" s="71"/>
      <x:c r="G4" s="71"/>
    </x:row>
    <x:row r="5">
      <x:c r="B5" s="26"/>
      <x:c r="C5" s="26"/>
      <x:c r="D5" s="26"/>
      <x:c r="E5" s="26"/>
      <x:c r="F5" s="26"/>
      <x:c r="G5" s="26"/>
    </x:row>
    <x:row r="6">
      <x:c r="B6" s="31" t="str">
        <x:v>Check</x:v>
      </x:c>
      <x:c r="C6" s="32" t="str">
        <x:v>Question</x:v>
      </x:c>
      <x:c r="D6" s="32" t="str">
        <x:v>Actual</x:v>
      </x:c>
      <x:c r="E6" s="32" t="str">
        <x:v>Expected / rule</x:v>
      </x:c>
      <x:c r="F6" s="32" t="str">
        <x:v>Result</x:v>
      </x:c>
      <x:c r="G6" s="32" t="str">
        <x:v>Interpretation</x:v>
      </x:c>
    </x:row>
    <x:row r="7">
      <x:c r="B7" s="33" t="str">
        <x:v>C001</x:v>
      </x:c>
      <x:c r="C7" s="33" t="str">
        <x:v>energy fixed point converges for E2</x:v>
      </x:c>
      <x:c r="D7" s="33" t="n">
        <x:f>'Energy Competition'!P8</x:f>
        <x:v>0.841468253968254</x:v>
      </x:c>
      <x:c r="E7" s="33" t="str">
        <x:v>&gt;0</x:v>
      </x:c>
      <x:c r="F7" s="33" t="str">
        <x:f>IF(D7&gt;0,"PASS","FAIL")</x:f>
        <x:v>PASS</x:v>
      </x:c>
      <x:c r="G7" s="35" t="str">
        <x:v>positive denominator</x:v>
      </x:c>
    </x:row>
    <x:row r="8">
      <x:c r="B8" s="33" t="str">
        <x:v>C002</x:v>
      </x:c>
      <x:c r="C8" s="33" t="str">
        <x:v>battery fixed point diverges</x:v>
      </x:c>
      <x:c r="D8" s="33" t="str">
        <x:f>'Energy Competition'!X7</x:f>
        <x:v>DIVERGES</x:v>
      </x:c>
      <x:c r="E8" s="33" t="str">
        <x:v>DIVERGES</x:v>
      </x:c>
      <x:c r="F8" s="33" t="str">
        <x:f>IF(D8=E8,"PASS","FAIL")</x:f>
        <x:v>PASS</x:v>
      </x:c>
      <x:c r="G8" s="35" t="str">
        <x:v>mass-energy feedback exposed</x:v>
      </x:c>
    </x:row>
    <x:row r="9">
      <x:c r="B9" s="33" t="str">
        <x:v>C003</x:v>
      </x:c>
      <x:c r="C9" s="33" t="str">
        <x:v>only one energy system passes</x:v>
      </x:c>
      <x:c r="D9" s="33" t="n">
        <x:f>COUNTIF('Energy Competition'!X7:X11,"PASS")</x:f>
        <x:v>1</x:v>
      </x:c>
      <x:c r="E9" s="33" t="n">
        <x:v>1</x:v>
      </x:c>
      <x:c r="F9" s="33" t="str">
        <x:f>IF(D9=E9,"PASS","FAIL")</x:f>
        <x:v>PASS</x:v>
      </x:c>
      <x:c r="G9" s="35" t="str">
        <x:v>E2 is sole full-system reference</x:v>
      </x:c>
    </x:row>
    <x:row r="10">
      <x:c r="B10" s="33" t="str">
        <x:v>C004</x:v>
      </x:c>
      <x:c r="C10" s="33" t="str">
        <x:v>selected energy system mass</x:v>
      </x:c>
      <x:c r="D10" s="33" t="n">
        <x:f>'Energy Competition'!Q8</x:f>
        <x:v>176.45083706672955</x:v>
      </x:c>
      <x:c r="E10" s="33" t="n">
        <x:v>176.5</x:v>
      </x:c>
      <x:c r="F10" s="33" t="str">
        <x:f>IF(ABS(D10-E10)&lt;=0.2,"PASS","FAIL")</x:f>
        <x:v>PASS</x:v>
      </x:c>
      <x:c r="G10" s="35" t="str">
        <x:v>fixed-point closure</x:v>
      </x:c>
    </x:row>
    <x:row r="11">
      <x:c r="B11" s="33" t="str">
        <x:v>C005</x:v>
      </x:c>
      <x:c r="C11" s="33" t="str">
        <x:v>selected onboard energy reserve</x:v>
      </x:c>
      <x:c r="D11" s="33" t="n">
        <x:f>'Revised SAT-170'!I23</x:f>
        <x:v>0.17500000000000004</x:v>
      </x:c>
      <x:c r="E11" s="33" t="n">
        <x:v>0.175</x:v>
      </x:c>
      <x:c r="F11" s="33" t="str">
        <x:f>IF(D11&gt;=E11,"PASS","FAIL")</x:f>
        <x:v>PASS</x:v>
      </x:c>
      <x:c r="G11" s="35" t="str">
        <x:v>deliverable reserve</x:v>
      </x:c>
    </x:row>
    <x:row r="12">
      <x:c r="B12" s="33" t="str">
        <x:v>C006</x:v>
      </x:c>
      <x:c r="C12" s="33" t="str">
        <x:v>one-sector power closes</x:v>
      </x:c>
      <x:c r="D12" s="33" t="n">
        <x:f>'Revised SAT-170'!I19- 'Revised SAT-170'!I20</x:f>
        <x:v>4.491980929486253</x:v>
      </x:c>
      <x:c r="E12" s="33" t="n">
        <x:v>0</x:v>
      </x:c>
      <x:c r="F12" s="33" t="str">
        <x:f>IF(D12&gt;=E12,"PASS","FAIL")</x:f>
        <x:v>PASS</x:v>
      </x:c>
      <x:c r="G12" s="35" t="str">
        <x:v>N-1 power margin</x:v>
      </x:c>
    </x:row>
    <x:row r="13">
      <x:c r="B13" s="33" t="str">
        <x:v>C007</x:v>
      </x:c>
      <x:c r="C13" s="33" t="str">
        <x:v>only one contact system passes</x:v>
      </x:c>
      <x:c r="D13" s="33" t="n">
        <x:f>COUNTIF('Contact Competition'!U7:U11,"PASS")</x:f>
        <x:v>1</x:v>
      </x:c>
      <x:c r="E13" s="33" t="n">
        <x:v>1</x:v>
      </x:c>
      <x:c r="F13" s="33" t="str">
        <x:f>IF(D13=E13,"PASS","FAIL")</x:f>
        <x:v>PASS</x:v>
      </x:c>
      <x:c r="G13" s="35" t="str">
        <x:v>C5 is sole reference</x:v>
      </x:c>
    </x:row>
    <x:row r="14">
      <x:c r="B14" s="33" t="str">
        <x:v>C008</x:v>
      </x:c>
      <x:c r="C14" s="33" t="str">
        <x:v>contact required below 255 m2</x:v>
      </x:c>
      <x:c r="D14" s="33" t="n">
        <x:f>'Energy Competition'!V8</x:f>
        <x:v>250.8170783440563</x:v>
      </x:c>
      <x:c r="E14" s="33" t="n">
        <x:v>255</x:v>
      </x:c>
      <x:c r="F14" s="33" t="str">
        <x:f>IF(D14&lt;=E14,"PASS","FAIL")</x:f>
        <x:v>PASS</x:v>
      </x:c>
      <x:c r="G14" s="35" t="str">
        <x:v>gross-mass coupling closes</x:v>
      </x:c>
    </x:row>
    <x:row r="15">
      <x:c r="B15" s="33" t="str">
        <x:v>C009</x:v>
      </x:c>
      <x:c r="C15" s="33" t="str">
        <x:v>compounded pressure below 35 kPa</x:v>
      </x:c>
      <x:c r="D15" s="33" t="n">
        <x:f>'Contact Competition'!G11</x:f>
        <x:v>34.425873498203806</x:v>
      </x:c>
      <x:c r="E15" s="33" t="n">
        <x:v>35</x:v>
      </x:c>
      <x:c r="F15" s="33" t="str">
        <x:f>IF(D15&lt;=E15,"PASS","FAIL")</x:f>
        <x:v>PASS</x:v>
      </x:c>
      <x:c r="G15" s="35" t="str">
        <x:v>dynamic, imbalance and pod loss</x:v>
      </x:c>
    </x:row>
    <x:row r="16">
      <x:c r="B16" s="33" t="str">
        <x:v>C010</x:v>
      </x:c>
      <x:c r="C16" s="33" t="str">
        <x:v>contact transition within 0.5 h</x:v>
      </x:c>
      <x:c r="D16" s="33" t="n">
        <x:f>'Contact Competition'!H11</x:f>
        <x:v>0.42</x:v>
      </x:c>
      <x:c r="E16" s="33" t="n">
        <x:v>0.5</x:v>
      </x:c>
      <x:c r="F16" s="33" t="str">
        <x:f>IF(D16&lt;=E16,"PASS","FAIL")</x:f>
        <x:v>PASS</x:v>
      </x:c>
      <x:c r="G16" s="35" t="str">
        <x:v>route clock retained</x:v>
      </x:c>
    </x:row>
    <x:row r="17">
      <x:c r="B17" s="33" t="str">
        <x:v>C011</x:v>
      </x:c>
      <x:c r="C17" s="33" t="str">
        <x:v>degraded traction ratio at least 1.2</x:v>
      </x:c>
      <x:c r="D17" s="33" t="n">
        <x:f>'Contact Competition'!K11</x:f>
        <x:v>1.8988095238095235</x:v>
      </x:c>
      <x:c r="E17" s="33" t="n">
        <x:v>1.2</x:v>
      </x:c>
      <x:c r="F17" s="33" t="str">
        <x:f>IF(D17&gt;=E17,"PASS","FAIL")</x:f>
        <x:v>PASS</x:v>
      </x:c>
      <x:c r="G17" s="35" t="str">
        <x:v>one-pod-out traction</x:v>
      </x:c>
    </x:row>
    <x:row r="18">
      <x:c r="B18" s="33" t="str">
        <x:v>C012</x:v>
      </x:c>
      <x:c r="C18" s="33" t="str">
        <x:v>deployed width no more than 12 m</x:v>
      </x:c>
      <x:c r="D18" s="33" t="n">
        <x:f>'Contact Competition'!M11</x:f>
        <x:v>9.5</x:v>
      </x:c>
      <x:c r="E18" s="33" t="n">
        <x:v>12</x:v>
      </x:c>
      <x:c r="F18" s="33" t="str">
        <x:f>IF(D18&lt;=E18,"PASS","FAIL")</x:f>
        <x:v>PASS</x:v>
      </x:c>
      <x:c r="G18" s="35" t="str">
        <x:v>broken route envelope</x:v>
      </x:c>
    </x:row>
    <x:row r="19">
      <x:c r="B19" s="33" t="str">
        <x:v>C013</x:v>
      </x:c>
      <x:c r="C19" s="33" t="str">
        <x:v>rated gross reconciles</x:v>
      </x:c>
      <x:c r="D19" s="33" t="n">
        <x:f>'Revised SAT-170'!C17-'Energy Competition'!R8</x:f>
        <x:v>0</x:v>
      </x:c>
      <x:c r="E19" s="33" t="n">
        <x:v>0</x:v>
      </x:c>
      <x:c r="F19" s="33" t="str">
        <x:f>IF(ABS(D19-E19)&lt;0.001,"PASS","FAIL")</x:f>
        <x:v>PASS</x:v>
      </x:c>
      <x:c r="G19" s="35" t="str">
        <x:v>same mass boundary</x:v>
      </x:c>
    </x:row>
    <x:row r="20">
      <x:c r="B20" s="33" t="str">
        <x:v>C014</x:v>
      </x:c>
      <x:c r="C20" s="33" t="str">
        <x:v>mission gross below rated gross</x:v>
      </x:c>
      <x:c r="D20" s="33" t="n">
        <x:f>'Revised SAT-170'!C17-'Revised SAT-170'!C19</x:f>
        <x:v>11.25</x:v>
      </x:c>
      <x:c r="E20" s="33" t="n">
        <x:v>0</x:v>
      </x:c>
      <x:c r="F20" s="33" t="str">
        <x:f>IF(D20&gt;=E20,"PASS","FAIL")</x:f>
        <x:v>PASS</x:v>
      </x:c>
      <x:c r="G20" s="35" t="str">
        <x:v>payload reserve retained</x:v>
      </x:c>
    </x:row>
    <x:row r="21">
      <x:c r="B21" s="33" t="str">
        <x:v>C015</x:v>
      </x:c>
      <x:c r="C21" s="33" t="str">
        <x:v>deck area closes</x:v>
      </x:c>
      <x:c r="D21" s="33" t="n">
        <x:f>'Revised SAT-170'!I12</x:f>
        <x:v>184</x:v>
      </x:c>
      <x:c r="E21" s="33" t="n">
        <x:v>176</x:v>
      </x:c>
      <x:c r="F21" s="33" t="str">
        <x:f>IF(D21&gt;=E21,"PASS","FAIL")</x:f>
        <x:v>PASS</x:v>
      </x:c>
      <x:c r="G21" s="35" t="str">
        <x:v>assigned deck demand</x:v>
      </x:c>
    </x:row>
    <x:row r="22">
      <x:c r="B22" s="33" t="str">
        <x:v>C016</x:v>
      </x:c>
      <x:c r="C22" s="33" t="str">
        <x:v>payload cube closes</x:v>
      </x:c>
      <x:c r="D22" s="33" t="n">
        <x:f>'Revised SAT-170'!I13</x:f>
        <x:v>800</x:v>
      </x:c>
      <x:c r="E22" s="33" t="n">
        <x:v>772</x:v>
      </x:c>
      <x:c r="F22" s="33" t="str">
        <x:f>IF(D22&gt;=E22,"PASS","FAIL")</x:f>
        <x:v>PASS</x:v>
      </x:c>
      <x:c r="G22" s="35" t="str">
        <x:v>assigned cube demand</x:v>
      </x:c>
    </x:row>
    <x:row r="23">
      <x:c r="B23" s="33" t="str">
        <x:v>C017</x:v>
      </x:c>
      <x:c r="C23" s="33" t="str">
        <x:v>terrain relative service within 45 h</x:v>
      </x:c>
      <x:c r="D23" s="33" t="n">
        <x:f>'Two-Mode Schedule'!I8</x:f>
        <x:v>41.819444000000004</x:v>
      </x:c>
      <x:c r="E23" s="33" t="n">
        <x:v>45</x:v>
      </x:c>
      <x:c r="F23" s="33" t="str">
        <x:f>IF(D23&lt;=E23,"PASS","FAIL")</x:f>
        <x:v>PASS</x:v>
      </x:c>
      <x:c r="G23" s="35" t="str">
        <x:v>source through public release</x:v>
      </x:c>
    </x:row>
    <x:row r="24">
      <x:c r="B24" s="33" t="str">
        <x:v>C018</x:v>
      </x:c>
      <x:c r="C24" s="33" t="str">
        <x:v>air relative service within 42 h</x:v>
      </x:c>
      <x:c r="D24" s="33" t="n">
        <x:f>'Two-Mode Schedule'!I7</x:f>
        <x:v>41.916667000000004</x:v>
      </x:c>
      <x:c r="E24" s="33" t="n">
        <x:v>42</x:v>
      </x:c>
      <x:c r="F24" s="33" t="str">
        <x:f>IF(D24&lt;=E24,"PASS","FAIL")</x:f>
        <x:v>PASS</x:v>
      </x:c>
      <x:c r="G24" s="35" t="str">
        <x:v>unchanged GCH path</x:v>
      </x:c>
    </x:row>
    <x:row r="25">
      <x:c r="B25" s="33" t="str">
        <x:v>C019</x:v>
      </x:c>
      <x:c r="C25" s="33" t="str">
        <x:v>dual public service within hour 54</x:v>
      </x:c>
      <x:c r="D25" s="33" t="n">
        <x:f>'Two-Mode Schedule'!C14</x:f>
        <x:v>47.916667000000004</x:v>
      </x:c>
      <x:c r="E25" s="33" t="n">
        <x:v>54</x:v>
      </x:c>
      <x:c r="F25" s="33" t="str">
        <x:f>IF(D25&lt;=E25,"PASS","FAIL")</x:f>
        <x:v>PASS</x:v>
      </x:c>
      <x:c r="G25" s="35" t="str">
        <x:v>slower independent release</x:v>
      </x:c>
    </x:row>
    <x:row r="26">
      <x:c r="B26" s="33" t="str">
        <x:v>C020</x:v>
      </x:c>
      <x:c r="C26" s="33" t="str">
        <x:v>cross-tie follows public release</x:v>
      </x:c>
      <x:c r="D26" s="33" t="n">
        <x:f>'Two-Mode Schedule'!C18-'Two-Mode Schedule'!C14</x:f>
        <x:v>2</x:v>
      </x:c>
      <x:c r="E26" s="33" t="n">
        <x:v>0</x:v>
      </x:c>
      <x:c r="F26" s="33" t="str">
        <x:f>IF(D26&gt;0,"PASS","FAIL")</x:f>
        <x:v>PASS</x:v>
      </x:c>
      <x:c r="G26" s="35" t="str">
        <x:v>optional only</x:v>
      </x:c>
    </x:row>
    <x:row r="27">
      <x:c r="B27" s="33" t="str">
        <x:v>C021</x:v>
      </x:c>
      <x:c r="C27" s="33" t="str">
        <x:v>only one interface architecture passes</x:v>
      </x:c>
      <x:c r="D27" s="33" t="n">
        <x:f>COUNTIF('Interface Competition'!R7:R10,"PASS")</x:f>
        <x:v>1</x:v>
      </x:c>
      <x:c r="E27" s="33" t="n">
        <x:v>1</x:v>
      </x:c>
      <x:c r="F27" s="33" t="str">
        <x:f>IF(D27=E27,"PASS","FAIL")</x:f>
        <x:v>PASS</x:v>
      </x:c>
      <x:c r="G27" s="35" t="str">
        <x:v>I3 selected</x:v>
      </x:c>
    </x:row>
    <x:row r="28">
      <x:c r="B28" s="33" t="str">
        <x:v>C022</x:v>
      </x:c>
      <x:c r="C28" s="33" t="str">
        <x:v>receiver separation meets hypothesis</x:v>
      </x:c>
      <x:c r="D28" s="33" t="n">
        <x:f>'Receiver Geometry'!C18</x:f>
        <x:v>5</x:v>
      </x:c>
      <x:c r="E28" s="33" t="n">
        <x:v>5</x:v>
      </x:c>
      <x:c r="F28" s="33" t="str">
        <x:f>IF(D28&gt;=E28,"PASS","FAIL")</x:f>
        <x:v>PASS</x:v>
      </x:c>
      <x:c r="G28" s="35" t="str">
        <x:v>mode isolation</x:v>
      </x:c>
    </x:row>
    <x:row r="29">
      <x:c r="B29" s="33" t="str">
        <x:v>C023</x:v>
      </x:c>
      <x:c r="C29" s="33" t="str">
        <x:v>pre-release cross-mode transfers zero</x:v>
      </x:c>
      <x:c r="D29" s="33" t="n">
        <x:f>'Receiver Geometry'!C22</x:f>
        <x:v>0</x:v>
      </x:c>
      <x:c r="E29" s="33" t="n">
        <x:v>0</x:v>
      </x:c>
      <x:c r="F29" s="33" t="str">
        <x:f>IF(D29=E29,"PASS","FAIL")</x:f>
        <x:v>PASS</x:v>
      </x:c>
      <x:c r="G29" s="35" t="str">
        <x:v>fail-open interface</x:v>
      </x:c>
    </x:row>
    <x:row r="30">
      <x:c r="B30" s="33" t="str">
        <x:v>C024</x:v>
      </x:c>
      <x:c r="C30" s="33" t="str">
        <x:v>two civil release nodes</x:v>
      </x:c>
      <x:c r="D30" s="33" t="n">
        <x:f>'Receiver Geometry'!C19</x:f>
        <x:v>2</x:v>
      </x:c>
      <x:c r="E30" s="33" t="n">
        <x:v>2</x:v>
      </x:c>
      <x:c r="F30" s="33" t="str">
        <x:f>IF(D30&gt;=E30,"PASS","FAIL")</x:f>
        <x:v>PASS</x:v>
      </x:c>
      <x:c r="G30" s="35" t="str">
        <x:v>authority independence</x:v>
      </x:c>
    </x:row>
    <x:row r="31">
      <x:c r="B31" s="33" t="str">
        <x:v>C025</x:v>
      </x:c>
      <x:c r="C31" s="33" t="str">
        <x:v>single air-zone denial preserves DCP effect</x:v>
      </x:c>
      <x:c r="D31" s="33" t="n">
        <x:f>'Resilience Worlds'!L8</x:f>
        <x:v>1</x:v>
      </x:c>
      <x:c r="E31" s="33" t="n">
        <x:v>1</x:v>
      </x:c>
      <x:c r="F31" s="33" t="str">
        <x:f>IF(D31=E31,"PASS","FAIL")</x:f>
        <x:v>PASS</x:v>
      </x:c>
      <x:c r="G31" s="35" t="str">
        <x:v>terrain remains</x:v>
      </x:c>
    </x:row>
    <x:row r="32">
      <x:c r="B32" s="33" t="str">
        <x:v>C026</x:v>
      </x:c>
      <x:c r="C32" s="33" t="str">
        <x:v>single terrain-zone denial preserves DCP effect</x:v>
      </x:c>
      <x:c r="D32" s="33" t="n">
        <x:f>'Resilience Worlds'!L9</x:f>
        <x:v>1</x:v>
      </x:c>
      <x:c r="E32" s="33" t="n">
        <x:v>1</x:v>
      </x:c>
      <x:c r="F32" s="33" t="str">
        <x:f>IF(D32=E32,"PASS","FAIL")</x:f>
        <x:v>PASS</x:v>
      </x:c>
      <x:c r="G32" s="35" t="str">
        <x:v>air remains</x:v>
      </x:c>
    </x:row>
    <x:row r="33">
      <x:c r="B33" s="33" t="str">
        <x:v>C027</x:v>
      </x:c>
      <x:c r="C33" s="33" t="str">
        <x:v>simultaneous mode denial fails by design</x:v>
      </x:c>
      <x:c r="D33" s="33" t="n">
        <x:f>'Resilience Worlds'!L26</x:f>
        <x:v>0</x:v>
      </x:c>
      <x:c r="E33" s="33" t="n">
        <x:v>0</x:v>
      </x:c>
      <x:c r="F33" s="33" t="str">
        <x:f>IF(D33=E33,"PASS","FAIL")</x:f>
        <x:v>PASS</x:v>
      </x:c>
      <x:c r="G33" s="35" t="str">
        <x:v>outside guarantee</x:v>
      </x:c>
    </x:row>
    <x:row r="34">
      <x:c r="B34" s="33" t="str">
        <x:v>C028</x:v>
      </x:c>
      <x:c r="C34" s="33" t="str">
        <x:v>common ancestry invalidates assurance</x:v>
      </x:c>
      <x:c r="D34" s="33" t="n">
        <x:f>'Resilience Worlds'!L27</x:f>
        <x:v>0</x:v>
      </x:c>
      <x:c r="E34" s="33" t="n">
        <x:v>0</x:v>
      </x:c>
      <x:c r="F34" s="33" t="str">
        <x:f>IF(D34=E34,"PASS","FAIL")</x:f>
        <x:v>PASS</x:v>
      </x:c>
      <x:c r="G34" s="35" t="str">
        <x:v>plurality is a gate</x:v>
      </x:c>
    </x:row>
    <x:row r="35">
      <x:c r="B35" s="33" t="str">
        <x:v>C029</x:v>
      </x:c>
      <x:c r="C35" s="33" t="str">
        <x:v>reset within 168 h</x:v>
      </x:c>
      <x:c r="D35" s="33" t="n">
        <x:f>'Workforce and Reset'!J16</x:f>
        <x:v>158</x:v>
      </x:c>
      <x:c r="E35" s="33" t="n">
        <x:v>168</x:v>
      </x:c>
      <x:c r="F35" s="33" t="str">
        <x:f>IF(D35&lt;=E35,"PASS","FAIL")</x:f>
        <x:v>PASS</x:v>
      </x:c>
      <x:c r="G35" s="35" t="str">
        <x:v>longest concurrent path</x:v>
      </x:c>
    </x:row>
    <x:row r="36">
      <x:c r="B36" s="33" t="str">
        <x:v>C030</x:v>
      </x:c>
      <x:c r="C36" s="33" t="str">
        <x:v>technology portfolio reconciles</x:v>
      </x:c>
      <x:c r="D36" s="33" t="n">
        <x:f>'Technology Program'!C22</x:f>
        <x:v>380</x:v>
      </x:c>
      <x:c r="E36" s="33" t="n">
        <x:v>380</x:v>
      </x:c>
      <x:c r="F36" s="33" t="str">
        <x:f>IF(D36=E36,"PASS","FAIL")</x:f>
        <x:v>PASS</x:v>
      </x:c>
      <x:c r="G36" s="35" t="str">
        <x:v>not added twice</x:v>
      </x:c>
    </x:row>
    <x:row r="37">
      <x:c r="B37" s="33" t="str">
        <x:v>C031</x:v>
      </x:c>
      <x:c r="C37" s="33" t="str">
        <x:v>baseline total SAT articles</x:v>
      </x:c>
      <x:c r="D37" s="33" t="n">
        <x:f>Assumptions!C58</x:f>
        <x:v>219</x:v>
      </x:c>
      <x:c r="E37" s="33" t="n">
        <x:v>219</x:v>
      </x:c>
      <x:c r="F37" s="33" t="str">
        <x:f>IF(D37=E37,"PASS","FAIL")</x:f>
        <x:v>PASS</x:v>
      </x:c>
      <x:c r="G37" s="35" t="str">
        <x:v>172 operating, 35 reserve, 12 test</x:v>
      </x:c>
    </x:row>
    <x:row r="38">
      <x:c r="B38" s="33" t="str">
        <x:v>C032</x:v>
      </x:c>
      <x:c r="C38" s="33" t="str">
        <x:v>SAT program reconciles</x:v>
      </x:c>
      <x:c r="D38" s="33" t="n">
        <x:f>'Production and Cost'!F17</x:f>
        <x:v>1338.74524</x:v>
      </x:c>
      <x:c r="E38" s="33" t="n">
        <x:v>1338.74524</x:v>
      </x:c>
      <x:c r="F38" s="33" t="str">
        <x:f>IF(ABS(D38-E38)&lt;0.001,"PASS","FAIL")</x:f>
        <x:v>PASS</x:v>
      </x:c>
      <x:c r="G38" s="35" t="str">
        <x:v>full architecture account</x:v>
      </x:c>
    </x:row>
    <x:row r="39">
      <x:c r="B39" s="33" t="str">
        <x:v>C033</x:v>
      </x:c>
      <x:c r="C39" s="33" t="str">
        <x:v>interface increment reconciles</x:v>
      </x:c>
      <x:c r="D39" s="33" t="n">
        <x:f>'Production and Cost'!L13</x:f>
        <x:v>170.78694</x:v>
      </x:c>
      <x:c r="E39" s="33" t="n">
        <x:v>170.78694</x:v>
      </x:c>
      <x:c r="F39" s="33" t="str">
        <x:f>IF(ABS(D39-E39)&lt;0.001,"PASS","FAIL")</x:f>
        <x:v>PASS</x:v>
      </x:c>
      <x:c r="G39" s="35" t="str">
        <x:v>increment above prior receiver allowance</x:v>
      </x:c>
    </x:row>
    <x:row r="40">
      <x:c r="B40" s="33" t="str">
        <x:v>C034</x:v>
      </x:c>
      <x:c r="C40" s="33" t="str">
        <x:v>DCP-2 total reconciles</x:v>
      </x:c>
      <x:c r="D40" s="33" t="n">
        <x:f>'Production and Cost'!C25</x:f>
        <x:v>2736.51603</x:v>
      </x:c>
      <x:c r="E40" s="33" t="n">
        <x:v>2736.51603</x:v>
      </x:c>
      <x:c r="F40" s="33" t="str">
        <x:f>IF(ABS(D40-E40)&lt;0.001,"PASS","FAIL")</x:f>
        <x:v>PASS</x:v>
      </x:c>
      <x:c r="G40" s="35" t="str">
        <x:v>non-ATUT plus SAT plus interface</x:v>
      </x:c>
    </x:row>
    <x:row r="41">
      <x:c r="B41" s="33" t="str">
        <x:v>C035</x:v>
      </x:c>
      <x:c r="C41" s="33" t="str">
        <x:v>national total reconciles</x:v>
      </x:c>
      <x:c r="D41" s="33" t="n">
        <x:f>'Production and Cost'!C27</x:f>
        <x:v>10119.65758</x:v>
      </x:c>
      <x:c r="E41" s="33" t="n">
        <x:v>10119.65758</x:v>
      </x:c>
      <x:c r="F41" s="33" t="str">
        <x:f>IF(ABS(D41-E41)&lt;0.001,"PASS","FAIL")</x:f>
        <x:v>PASS</x:v>
      </x:c>
      <x:c r="G41" s="35" t="str">
        <x:v>one-region base plus DCP-2</x:v>
      </x:c>
    </x:row>
    <x:row r="42">
      <x:c r="B42" s="33" t="str">
        <x:v>C036</x:v>
      </x:c>
      <x:c r="C42" s="33" t="str">
        <x:v>stress fleet gap remains visible</x:v>
      </x:c>
      <x:c r="D42" s="33" t="n">
        <x:f>'Production and Cost'!N33</x:f>
        <x:v>77</x:v>
      </x:c>
      <x:c r="E42" s="33" t="n">
        <x:v>77</x:v>
      </x:c>
      <x:c r="F42" s="33" t="str">
        <x:f>IF(D42=E42,"PASS","FAIL")</x:f>
        <x:v>PASS</x:v>
      </x:c>
      <x:c r="G42" s="35" t="str">
        <x:v>no silent production expansion</x:v>
      </x:c>
    </x:row>
    <x:row r="43">
      <x:c r="B43" s="33" t="str">
        <x:v>C037</x:v>
      </x:c>
      <x:c r="C43" s="33" t="str">
        <x:v>workforce deployed reconciles</x:v>
      </x:c>
      <x:c r="D43" s="33" t="n">
        <x:f>'Workforce and Reset'!C17</x:f>
        <x:v>640</x:v>
      </x:c>
      <x:c r="E43" s="33" t="n">
        <x:v>640</x:v>
      </x:c>
      <x:c r="F43" s="33" t="str">
        <x:f>IF(D43=E43,"PASS","FAIL")</x:f>
        <x:v>PASS</x:v>
      </x:c>
      <x:c r="G43" s="35" t="str">
        <x:v>Pass 84 plus net addition</x:v>
      </x:c>
    </x:row>
    <x:row r="44">
      <x:c r="B44" s="33" t="str">
        <x:v>C038</x:v>
      </x:c>
      <x:c r="C44" s="33" t="str">
        <x:v>workforce affiliated reconciles</x:v>
      </x:c>
      <x:c r="D44" s="33" t="n">
        <x:f>'Workforce and Reset'!D17</x:f>
        <x:v>1413</x:v>
      </x:c>
      <x:c r="E44" s="33" t="n">
        <x:v>1413</x:v>
      </x:c>
      <x:c r="F44" s="33" t="str">
        <x:f>IF(D44=E44,"PASS","FAIL")</x:f>
        <x:v>PASS</x:v>
      </x:c>
      <x:c r="G44" s="35" t="str">
        <x:v>Pass 84 plus net addition</x:v>
      </x:c>
    </x:row>
    <x:row r="45">
      <x:c r="B45" s="33" t="str">
        <x:v>C039</x:v>
      </x:c>
      <x:c r="C45" s="33" t="str">
        <x:v>evidence gate count</x:v>
      </x:c>
      <x:c r="D45" s="33" t="n">
        <x:f>'Evidence Gates'!C128</x:f>
        <x:v>120</x:v>
      </x:c>
      <x:c r="E45" s="33" t="n">
        <x:v>120</x:v>
      </x:c>
      <x:c r="F45" s="33" t="str">
        <x:f>IF(D45=E45,"PASS","FAIL")</x:f>
        <x:v>PASS</x:v>
      </x:c>
      <x:c r="G45" s="35" t="str">
        <x:v>complete register</x:v>
      </x:c>
    </x:row>
    <x:row r="46">
      <x:c r="B46" s="33" t="str">
        <x:v>C040</x:v>
      </x:c>
      <x:c r="C46" s="33" t="str">
        <x:v>strict evidence credit remains zero</x:v>
      </x:c>
      <x:c r="D46" s="33" t="n">
        <x:f>'Evidence Gates'!C130</x:f>
        <x:v>0</x:v>
      </x:c>
      <x:c r="E46" s="33" t="n">
        <x:v>0</x:v>
      </x:c>
      <x:c r="F46" s="33" t="str">
        <x:f>IF(D46=E46,"PASS","FAIL")</x:f>
        <x:v>PASS</x:v>
      </x:c>
      <x:c r="G46" s="35" t="str">
        <x:v>behavior is not admission</x:v>
      </x:c>
    </x:row>
    <x:row r="47">
      <x:c r="B47" s="33" t="str">
        <x:v>C041</x:v>
      </x:c>
      <x:c r="C47" s="33" t="str">
        <x:v>evidence row 1 complete, open and uncredited</x:v>
      </x:c>
      <x:c r="D47" s="33" t="n">
        <x:f>COUNTA('Evidence Gates'!B7:J7)</x:f>
        <x:v>9</x:v>
      </x:c>
      <x:c r="E47" s="33" t="n">
        <x:v>9</x:v>
      </x:c>
      <x:c r="F47" s="33" t="str">
        <x:f>IF(AND(D47=E47,'Evidence Gates'!I7="OPEN",'Evidence Gates'!J7=0),"PASS","FAIL")</x:f>
        <x:v>PASS</x:v>
      </x:c>
      <x:c r="G47" s="35" t="str">
        <x:v>register integrity</x:v>
      </x:c>
    </x:row>
    <x:row r="48">
      <x:c r="B48" s="33" t="str">
        <x:v>C042</x:v>
      </x:c>
      <x:c r="C48" s="33" t="str">
        <x:v>evidence row 2 complete, open and uncredited</x:v>
      </x:c>
      <x:c r="D48" s="33" t="n">
        <x:f>COUNTA('Evidence Gates'!B8:J8)</x:f>
        <x:v>9</x:v>
      </x:c>
      <x:c r="E48" s="33" t="n">
        <x:v>9</x:v>
      </x:c>
      <x:c r="F48" s="33" t="str">
        <x:f>IF(AND(D48=E48,'Evidence Gates'!I8="OPEN",'Evidence Gates'!J8=0),"PASS","FAIL")</x:f>
        <x:v>PASS</x:v>
      </x:c>
      <x:c r="G48" s="35" t="str">
        <x:v>register integrity</x:v>
      </x:c>
    </x:row>
    <x:row r="49">
      <x:c r="B49" s="33" t="str">
        <x:v>C043</x:v>
      </x:c>
      <x:c r="C49" s="33" t="str">
        <x:v>evidence row 3 complete, open and uncredited</x:v>
      </x:c>
      <x:c r="D49" s="33" t="n">
        <x:f>COUNTA('Evidence Gates'!B9:J9)</x:f>
        <x:v>9</x:v>
      </x:c>
      <x:c r="E49" s="33" t="n">
        <x:v>9</x:v>
      </x:c>
      <x:c r="F49" s="33" t="str">
        <x:f>IF(AND(D49=E49,'Evidence Gates'!I9="OPEN",'Evidence Gates'!J9=0),"PASS","FAIL")</x:f>
        <x:v>PASS</x:v>
      </x:c>
      <x:c r="G49" s="35" t="str">
        <x:v>register integrity</x:v>
      </x:c>
    </x:row>
    <x:row r="50">
      <x:c r="B50" s="33" t="str">
        <x:v>C044</x:v>
      </x:c>
      <x:c r="C50" s="33" t="str">
        <x:v>evidence row 4 complete, open and uncredited</x:v>
      </x:c>
      <x:c r="D50" s="33" t="n">
        <x:f>COUNTA('Evidence Gates'!B10:J10)</x:f>
        <x:v>9</x:v>
      </x:c>
      <x:c r="E50" s="33" t="n">
        <x:v>9</x:v>
      </x:c>
      <x:c r="F50" s="33" t="str">
        <x:f>IF(AND(D50=E50,'Evidence Gates'!I10="OPEN",'Evidence Gates'!J10=0),"PASS","FAIL")</x:f>
        <x:v>PASS</x:v>
      </x:c>
      <x:c r="G50" s="35" t="str">
        <x:v>register integrity</x:v>
      </x:c>
    </x:row>
    <x:row r="51">
      <x:c r="B51" s="33" t="str">
        <x:v>C045</x:v>
      </x:c>
      <x:c r="C51" s="33" t="str">
        <x:v>evidence row 5 complete, open and uncredited</x:v>
      </x:c>
      <x:c r="D51" s="33" t="n">
        <x:f>COUNTA('Evidence Gates'!B11:J11)</x:f>
        <x:v>9</x:v>
      </x:c>
      <x:c r="E51" s="33" t="n">
        <x:v>9</x:v>
      </x:c>
      <x:c r="F51" s="33" t="str">
        <x:f>IF(AND(D51=E51,'Evidence Gates'!I11="OPEN",'Evidence Gates'!J11=0),"PASS","FAIL")</x:f>
        <x:v>PASS</x:v>
      </x:c>
      <x:c r="G51" s="35" t="str">
        <x:v>register integrity</x:v>
      </x:c>
    </x:row>
    <x:row r="52">
      <x:c r="B52" s="33" t="str">
        <x:v>C046</x:v>
      </x:c>
      <x:c r="C52" s="33" t="str">
        <x:v>evidence row 6 complete, open and uncredited</x:v>
      </x:c>
      <x:c r="D52" s="33" t="n">
        <x:f>COUNTA('Evidence Gates'!B12:J12)</x:f>
        <x:v>9</x:v>
      </x:c>
      <x:c r="E52" s="33" t="n">
        <x:v>9</x:v>
      </x:c>
      <x:c r="F52" s="33" t="str">
        <x:f>IF(AND(D52=E52,'Evidence Gates'!I12="OPEN",'Evidence Gates'!J12=0),"PASS","FAIL")</x:f>
        <x:v>PASS</x:v>
      </x:c>
      <x:c r="G52" s="35" t="str">
        <x:v>register integrity</x:v>
      </x:c>
    </x:row>
    <x:row r="53">
      <x:c r="B53" s="33" t="str">
        <x:v>C047</x:v>
      </x:c>
      <x:c r="C53" s="33" t="str">
        <x:v>evidence row 7 complete, open and uncredited</x:v>
      </x:c>
      <x:c r="D53" s="33" t="n">
        <x:f>COUNTA('Evidence Gates'!B13:J13)</x:f>
        <x:v>9</x:v>
      </x:c>
      <x:c r="E53" s="33" t="n">
        <x:v>9</x:v>
      </x:c>
      <x:c r="F53" s="33" t="str">
        <x:f>IF(AND(D53=E53,'Evidence Gates'!I13="OPEN",'Evidence Gates'!J13=0),"PASS","FAIL")</x:f>
        <x:v>PASS</x:v>
      </x:c>
      <x:c r="G53" s="35" t="str">
        <x:v>register integrity</x:v>
      </x:c>
    </x:row>
    <x:row r="54">
      <x:c r="B54" s="33" t="str">
        <x:v>C048</x:v>
      </x:c>
      <x:c r="C54" s="33" t="str">
        <x:v>evidence row 8 complete, open and uncredited</x:v>
      </x:c>
      <x:c r="D54" s="33" t="n">
        <x:f>COUNTA('Evidence Gates'!B14:J14)</x:f>
        <x:v>9</x:v>
      </x:c>
      <x:c r="E54" s="33" t="n">
        <x:v>9</x:v>
      </x:c>
      <x:c r="F54" s="33" t="str">
        <x:f>IF(AND(D54=E54,'Evidence Gates'!I14="OPEN",'Evidence Gates'!J14=0),"PASS","FAIL")</x:f>
        <x:v>PASS</x:v>
      </x:c>
      <x:c r="G54" s="35" t="str">
        <x:v>register integrity</x:v>
      </x:c>
    </x:row>
    <x:row r="55">
      <x:c r="B55" s="33" t="str">
        <x:v>C049</x:v>
      </x:c>
      <x:c r="C55" s="33" t="str">
        <x:v>evidence row 9 complete, open and uncredited</x:v>
      </x:c>
      <x:c r="D55" s="33" t="n">
        <x:f>COUNTA('Evidence Gates'!B15:J15)</x:f>
        <x:v>9</x:v>
      </x:c>
      <x:c r="E55" s="33" t="n">
        <x:v>9</x:v>
      </x:c>
      <x:c r="F55" s="33" t="str">
        <x:f>IF(AND(D55=E55,'Evidence Gates'!I15="OPEN",'Evidence Gates'!J15=0),"PASS","FAIL")</x:f>
        <x:v>PASS</x:v>
      </x:c>
      <x:c r="G55" s="35" t="str">
        <x:v>register integrity</x:v>
      </x:c>
    </x:row>
    <x:row r="56">
      <x:c r="B56" s="33" t="str">
        <x:v>C050</x:v>
      </x:c>
      <x:c r="C56" s="33" t="str">
        <x:v>evidence row 10 complete, open and uncredited</x:v>
      </x:c>
      <x:c r="D56" s="33" t="n">
        <x:f>COUNTA('Evidence Gates'!B16:J16)</x:f>
        <x:v>9</x:v>
      </x:c>
      <x:c r="E56" s="33" t="n">
        <x:v>9</x:v>
      </x:c>
      <x:c r="F56" s="33" t="str">
        <x:f>IF(AND(D56=E56,'Evidence Gates'!I16="OPEN",'Evidence Gates'!J16=0),"PASS","FAIL")</x:f>
        <x:v>PASS</x:v>
      </x:c>
      <x:c r="G56" s="35" t="str">
        <x:v>register integrity</x:v>
      </x:c>
    </x:row>
    <x:row r="57">
      <x:c r="B57" s="33" t="str">
        <x:v>C051</x:v>
      </x:c>
      <x:c r="C57" s="33" t="str">
        <x:v>evidence row 11 complete, open and uncredited</x:v>
      </x:c>
      <x:c r="D57" s="33" t="n">
        <x:f>COUNTA('Evidence Gates'!B17:J17)</x:f>
        <x:v>9</x:v>
      </x:c>
      <x:c r="E57" s="33" t="n">
        <x:v>9</x:v>
      </x:c>
      <x:c r="F57" s="33" t="str">
        <x:f>IF(AND(D57=E57,'Evidence Gates'!I17="OPEN",'Evidence Gates'!J17=0),"PASS","FAIL")</x:f>
        <x:v>PASS</x:v>
      </x:c>
      <x:c r="G57" s="35" t="str">
        <x:v>register integrity</x:v>
      </x:c>
    </x:row>
    <x:row r="58">
      <x:c r="B58" s="33" t="str">
        <x:v>C052</x:v>
      </x:c>
      <x:c r="C58" s="33" t="str">
        <x:v>evidence row 12 complete, open and uncredited</x:v>
      </x:c>
      <x:c r="D58" s="33" t="n">
        <x:f>COUNTA('Evidence Gates'!B18:J18)</x:f>
        <x:v>9</x:v>
      </x:c>
      <x:c r="E58" s="33" t="n">
        <x:v>9</x:v>
      </x:c>
      <x:c r="F58" s="33" t="str">
        <x:f>IF(AND(D58=E58,'Evidence Gates'!I18="OPEN",'Evidence Gates'!J18=0),"PASS","FAIL")</x:f>
        <x:v>PASS</x:v>
      </x:c>
      <x:c r="G58" s="35" t="str">
        <x:v>register integrity</x:v>
      </x:c>
    </x:row>
    <x:row r="59">
      <x:c r="B59" s="33" t="str">
        <x:v>C053</x:v>
      </x:c>
      <x:c r="C59" s="33" t="str">
        <x:v>evidence row 13 complete, open and uncredited</x:v>
      </x:c>
      <x:c r="D59" s="33" t="n">
        <x:f>COUNTA('Evidence Gates'!B19:J19)</x:f>
        <x:v>9</x:v>
      </x:c>
      <x:c r="E59" s="33" t="n">
        <x:v>9</x:v>
      </x:c>
      <x:c r="F59" s="33" t="str">
        <x:f>IF(AND(D59=E59,'Evidence Gates'!I19="OPEN",'Evidence Gates'!J19=0),"PASS","FAIL")</x:f>
        <x:v>PASS</x:v>
      </x:c>
      <x:c r="G59" s="35" t="str">
        <x:v>register integrity</x:v>
      </x:c>
    </x:row>
    <x:row r="60">
      <x:c r="B60" s="33" t="str">
        <x:v>C054</x:v>
      </x:c>
      <x:c r="C60" s="33" t="str">
        <x:v>evidence row 14 complete, open and uncredited</x:v>
      </x:c>
      <x:c r="D60" s="33" t="n">
        <x:f>COUNTA('Evidence Gates'!B20:J20)</x:f>
        <x:v>9</x:v>
      </x:c>
      <x:c r="E60" s="33" t="n">
        <x:v>9</x:v>
      </x:c>
      <x:c r="F60" s="33" t="str">
        <x:f>IF(AND(D60=E60,'Evidence Gates'!I20="OPEN",'Evidence Gates'!J20=0),"PASS","FAIL")</x:f>
        <x:v>PASS</x:v>
      </x:c>
      <x:c r="G60" s="35" t="str">
        <x:v>register integrity</x:v>
      </x:c>
    </x:row>
    <x:row r="61">
      <x:c r="B61" s="33" t="str">
        <x:v>C055</x:v>
      </x:c>
      <x:c r="C61" s="33" t="str">
        <x:v>evidence row 15 complete, open and uncredited</x:v>
      </x:c>
      <x:c r="D61" s="33" t="n">
        <x:f>COUNTA('Evidence Gates'!B21:J21)</x:f>
        <x:v>9</x:v>
      </x:c>
      <x:c r="E61" s="33" t="n">
        <x:v>9</x:v>
      </x:c>
      <x:c r="F61" s="33" t="str">
        <x:f>IF(AND(D61=E61,'Evidence Gates'!I21="OPEN",'Evidence Gates'!J21=0),"PASS","FAIL")</x:f>
        <x:v>PASS</x:v>
      </x:c>
      <x:c r="G61" s="35" t="str">
        <x:v>register integrity</x:v>
      </x:c>
    </x:row>
    <x:row r="62">
      <x:c r="B62" s="33" t="str">
        <x:v>C056</x:v>
      </x:c>
      <x:c r="C62" s="33" t="str">
        <x:v>evidence row 16 complete, open and uncredited</x:v>
      </x:c>
      <x:c r="D62" s="33" t="n">
        <x:f>COUNTA('Evidence Gates'!B22:J22)</x:f>
        <x:v>9</x:v>
      </x:c>
      <x:c r="E62" s="33" t="n">
        <x:v>9</x:v>
      </x:c>
      <x:c r="F62" s="33" t="str">
        <x:f>IF(AND(D62=E62,'Evidence Gates'!I22="OPEN",'Evidence Gates'!J22=0),"PASS","FAIL")</x:f>
        <x:v>PASS</x:v>
      </x:c>
      <x:c r="G62" s="35" t="str">
        <x:v>register integrity</x:v>
      </x:c>
    </x:row>
    <x:row r="63">
      <x:c r="B63" s="33" t="str">
        <x:v>C057</x:v>
      </x:c>
      <x:c r="C63" s="33" t="str">
        <x:v>evidence row 17 complete, open and uncredited</x:v>
      </x:c>
      <x:c r="D63" s="33" t="n">
        <x:f>COUNTA('Evidence Gates'!B23:J23)</x:f>
        <x:v>9</x:v>
      </x:c>
      <x:c r="E63" s="33" t="n">
        <x:v>9</x:v>
      </x:c>
      <x:c r="F63" s="33" t="str">
        <x:f>IF(AND(D63=E63,'Evidence Gates'!I23="OPEN",'Evidence Gates'!J23=0),"PASS","FAIL")</x:f>
        <x:v>PASS</x:v>
      </x:c>
      <x:c r="G63" s="35" t="str">
        <x:v>register integrity</x:v>
      </x:c>
    </x:row>
    <x:row r="64">
      <x:c r="B64" s="33" t="str">
        <x:v>C058</x:v>
      </x:c>
      <x:c r="C64" s="33" t="str">
        <x:v>evidence row 18 complete, open and uncredited</x:v>
      </x:c>
      <x:c r="D64" s="33" t="n">
        <x:f>COUNTA('Evidence Gates'!B24:J24)</x:f>
        <x:v>9</x:v>
      </x:c>
      <x:c r="E64" s="33" t="n">
        <x:v>9</x:v>
      </x:c>
      <x:c r="F64" s="33" t="str">
        <x:f>IF(AND(D64=E64,'Evidence Gates'!I24="OPEN",'Evidence Gates'!J24=0),"PASS","FAIL")</x:f>
        <x:v>PASS</x:v>
      </x:c>
      <x:c r="G64" s="35" t="str">
        <x:v>register integrity</x:v>
      </x:c>
    </x:row>
    <x:row r="65">
      <x:c r="B65" s="33" t="str">
        <x:v>C059</x:v>
      </x:c>
      <x:c r="C65" s="33" t="str">
        <x:v>evidence row 19 complete, open and uncredited</x:v>
      </x:c>
      <x:c r="D65" s="33" t="n">
        <x:f>COUNTA('Evidence Gates'!B25:J25)</x:f>
        <x:v>9</x:v>
      </x:c>
      <x:c r="E65" s="33" t="n">
        <x:v>9</x:v>
      </x:c>
      <x:c r="F65" s="33" t="str">
        <x:f>IF(AND(D65=E65,'Evidence Gates'!I25="OPEN",'Evidence Gates'!J25=0),"PASS","FAIL")</x:f>
        <x:v>PASS</x:v>
      </x:c>
      <x:c r="G65" s="35" t="str">
        <x:v>register integrity</x:v>
      </x:c>
    </x:row>
    <x:row r="66">
      <x:c r="B66" s="33" t="str">
        <x:v>C060</x:v>
      </x:c>
      <x:c r="C66" s="33" t="str">
        <x:v>evidence row 20 complete, open and uncredited</x:v>
      </x:c>
      <x:c r="D66" s="33" t="n">
        <x:f>COUNTA('Evidence Gates'!B26:J26)</x:f>
        <x:v>9</x:v>
      </x:c>
      <x:c r="E66" s="33" t="n">
        <x:v>9</x:v>
      </x:c>
      <x:c r="F66" s="33" t="str">
        <x:f>IF(AND(D66=E66,'Evidence Gates'!I26="OPEN",'Evidence Gates'!J26=0),"PASS","FAIL")</x:f>
        <x:v>PASS</x:v>
      </x:c>
      <x:c r="G66" s="35" t="str">
        <x:v>register integrity</x:v>
      </x:c>
    </x:row>
    <x:row r="67">
      <x:c r="B67" s="33" t="str">
        <x:v>C061</x:v>
      </x:c>
      <x:c r="C67" s="33" t="str">
        <x:v>evidence row 21 complete, open and uncredited</x:v>
      </x:c>
      <x:c r="D67" s="33" t="n">
        <x:f>COUNTA('Evidence Gates'!B27:J27)</x:f>
        <x:v>9</x:v>
      </x:c>
      <x:c r="E67" s="33" t="n">
        <x:v>9</x:v>
      </x:c>
      <x:c r="F67" s="33" t="str">
        <x:f>IF(AND(D67=E67,'Evidence Gates'!I27="OPEN",'Evidence Gates'!J27=0),"PASS","FAIL")</x:f>
        <x:v>PASS</x:v>
      </x:c>
      <x:c r="G67" s="35" t="str">
        <x:v>register integrity</x:v>
      </x:c>
    </x:row>
    <x:row r="68">
      <x:c r="B68" s="33" t="str">
        <x:v>C062</x:v>
      </x:c>
      <x:c r="C68" s="33" t="str">
        <x:v>evidence row 22 complete, open and uncredited</x:v>
      </x:c>
      <x:c r="D68" s="33" t="n">
        <x:f>COUNTA('Evidence Gates'!B28:J28)</x:f>
        <x:v>9</x:v>
      </x:c>
      <x:c r="E68" s="33" t="n">
        <x:v>9</x:v>
      </x:c>
      <x:c r="F68" s="33" t="str">
        <x:f>IF(AND(D68=E68,'Evidence Gates'!I28="OPEN",'Evidence Gates'!J28=0),"PASS","FAIL")</x:f>
        <x:v>PASS</x:v>
      </x:c>
      <x:c r="G68" s="35" t="str">
        <x:v>register integrity</x:v>
      </x:c>
    </x:row>
    <x:row r="69">
      <x:c r="B69" s="33" t="str">
        <x:v>C063</x:v>
      </x:c>
      <x:c r="C69" s="33" t="str">
        <x:v>evidence row 23 complete, open and uncredited</x:v>
      </x:c>
      <x:c r="D69" s="33" t="n">
        <x:f>COUNTA('Evidence Gates'!B29:J29)</x:f>
        <x:v>9</x:v>
      </x:c>
      <x:c r="E69" s="33" t="n">
        <x:v>9</x:v>
      </x:c>
      <x:c r="F69" s="33" t="str">
        <x:f>IF(AND(D69=E69,'Evidence Gates'!I29="OPEN",'Evidence Gates'!J29=0),"PASS","FAIL")</x:f>
        <x:v>PASS</x:v>
      </x:c>
      <x:c r="G69" s="35" t="str">
        <x:v>register integrity</x:v>
      </x:c>
    </x:row>
    <x:row r="70">
      <x:c r="B70" s="33" t="str">
        <x:v>C064</x:v>
      </x:c>
      <x:c r="C70" s="33" t="str">
        <x:v>evidence row 24 complete, open and uncredited</x:v>
      </x:c>
      <x:c r="D70" s="33" t="n">
        <x:f>COUNTA('Evidence Gates'!B30:J30)</x:f>
        <x:v>9</x:v>
      </x:c>
      <x:c r="E70" s="33" t="n">
        <x:v>9</x:v>
      </x:c>
      <x:c r="F70" s="33" t="str">
        <x:f>IF(AND(D70=E70,'Evidence Gates'!I30="OPEN",'Evidence Gates'!J30=0),"PASS","FAIL")</x:f>
        <x:v>PASS</x:v>
      </x:c>
      <x:c r="G70" s="35" t="str">
        <x:v>register integrity</x:v>
      </x:c>
    </x:row>
    <x:row r="71">
      <x:c r="B71" s="33" t="str">
        <x:v>C065</x:v>
      </x:c>
      <x:c r="C71" s="33" t="str">
        <x:v>evidence row 25 complete, open and uncredited</x:v>
      </x:c>
      <x:c r="D71" s="33" t="n">
        <x:f>COUNTA('Evidence Gates'!B31:J31)</x:f>
        <x:v>9</x:v>
      </x:c>
      <x:c r="E71" s="33" t="n">
        <x:v>9</x:v>
      </x:c>
      <x:c r="F71" s="33" t="str">
        <x:f>IF(AND(D71=E71,'Evidence Gates'!I31="OPEN",'Evidence Gates'!J31=0),"PASS","FAIL")</x:f>
        <x:v>PASS</x:v>
      </x:c>
      <x:c r="G71" s="35" t="str">
        <x:v>register integrity</x:v>
      </x:c>
    </x:row>
    <x:row r="72">
      <x:c r="B72" s="33" t="str">
        <x:v>C066</x:v>
      </x:c>
      <x:c r="C72" s="33" t="str">
        <x:v>evidence row 26 complete, open and uncredited</x:v>
      </x:c>
      <x:c r="D72" s="33" t="n">
        <x:f>COUNTA('Evidence Gates'!B32:J32)</x:f>
        <x:v>9</x:v>
      </x:c>
      <x:c r="E72" s="33" t="n">
        <x:v>9</x:v>
      </x:c>
      <x:c r="F72" s="33" t="str">
        <x:f>IF(AND(D72=E72,'Evidence Gates'!I32="OPEN",'Evidence Gates'!J32=0),"PASS","FAIL")</x:f>
        <x:v>PASS</x:v>
      </x:c>
      <x:c r="G72" s="35" t="str">
        <x:v>register integrity</x:v>
      </x:c>
    </x:row>
    <x:row r="73">
      <x:c r="B73" s="33" t="str">
        <x:v>C067</x:v>
      </x:c>
      <x:c r="C73" s="33" t="str">
        <x:v>evidence row 27 complete, open and uncredited</x:v>
      </x:c>
      <x:c r="D73" s="33" t="n">
        <x:f>COUNTA('Evidence Gates'!B33:J33)</x:f>
        <x:v>9</x:v>
      </x:c>
      <x:c r="E73" s="33" t="n">
        <x:v>9</x:v>
      </x:c>
      <x:c r="F73" s="33" t="str">
        <x:f>IF(AND(D73=E73,'Evidence Gates'!I33="OPEN",'Evidence Gates'!J33=0),"PASS","FAIL")</x:f>
        <x:v>PASS</x:v>
      </x:c>
      <x:c r="G73" s="35" t="str">
        <x:v>register integrity</x:v>
      </x:c>
    </x:row>
    <x:row r="74">
      <x:c r="B74" s="33" t="str">
        <x:v>C068</x:v>
      </x:c>
      <x:c r="C74" s="33" t="str">
        <x:v>evidence row 28 complete, open and uncredited</x:v>
      </x:c>
      <x:c r="D74" s="33" t="n">
        <x:f>COUNTA('Evidence Gates'!B34:J34)</x:f>
        <x:v>9</x:v>
      </x:c>
      <x:c r="E74" s="33" t="n">
        <x:v>9</x:v>
      </x:c>
      <x:c r="F74" s="33" t="str">
        <x:f>IF(AND(D74=E74,'Evidence Gates'!I34="OPEN",'Evidence Gates'!J34=0),"PASS","FAIL")</x:f>
        <x:v>PASS</x:v>
      </x:c>
      <x:c r="G74" s="35" t="str">
        <x:v>register integrity</x:v>
      </x:c>
    </x:row>
    <x:row r="75">
      <x:c r="B75" s="33" t="str">
        <x:v>C069</x:v>
      </x:c>
      <x:c r="C75" s="33" t="str">
        <x:v>evidence row 29 complete, open and uncredited</x:v>
      </x:c>
      <x:c r="D75" s="33" t="n">
        <x:f>COUNTA('Evidence Gates'!B35:J35)</x:f>
        <x:v>9</x:v>
      </x:c>
      <x:c r="E75" s="33" t="n">
        <x:v>9</x:v>
      </x:c>
      <x:c r="F75" s="33" t="str">
        <x:f>IF(AND(D75=E75,'Evidence Gates'!I35="OPEN",'Evidence Gates'!J35=0),"PASS","FAIL")</x:f>
        <x:v>PASS</x:v>
      </x:c>
      <x:c r="G75" s="35" t="str">
        <x:v>register integrity</x:v>
      </x:c>
    </x:row>
    <x:row r="76">
      <x:c r="B76" s="33" t="str">
        <x:v>C070</x:v>
      </x:c>
      <x:c r="C76" s="33" t="str">
        <x:v>evidence row 30 complete, open and uncredited</x:v>
      </x:c>
      <x:c r="D76" s="33" t="n">
        <x:f>COUNTA('Evidence Gates'!B36:J36)</x:f>
        <x:v>9</x:v>
      </x:c>
      <x:c r="E76" s="33" t="n">
        <x:v>9</x:v>
      </x:c>
      <x:c r="F76" s="33" t="str">
        <x:f>IF(AND(D76=E76,'Evidence Gates'!I36="OPEN",'Evidence Gates'!J36=0),"PASS","FAIL")</x:f>
        <x:v>PASS</x:v>
      </x:c>
      <x:c r="G76" s="35" t="str">
        <x:v>register integrity</x:v>
      </x:c>
    </x:row>
    <x:row r="77">
      <x:c r="B77" s="33" t="str">
        <x:v>C071</x:v>
      </x:c>
      <x:c r="C77" s="33" t="str">
        <x:v>evidence row 31 complete, open and uncredited</x:v>
      </x:c>
      <x:c r="D77" s="33" t="n">
        <x:f>COUNTA('Evidence Gates'!B37:J37)</x:f>
        <x:v>9</x:v>
      </x:c>
      <x:c r="E77" s="33" t="n">
        <x:v>9</x:v>
      </x:c>
      <x:c r="F77" s="33" t="str">
        <x:f>IF(AND(D77=E77,'Evidence Gates'!I37="OPEN",'Evidence Gates'!J37=0),"PASS","FAIL")</x:f>
        <x:v>PASS</x:v>
      </x:c>
      <x:c r="G77" s="35" t="str">
        <x:v>register integrity</x:v>
      </x:c>
    </x:row>
    <x:row r="78">
      <x:c r="B78" s="33" t="str">
        <x:v>C072</x:v>
      </x:c>
      <x:c r="C78" s="33" t="str">
        <x:v>evidence row 32 complete, open and uncredited</x:v>
      </x:c>
      <x:c r="D78" s="33" t="n">
        <x:f>COUNTA('Evidence Gates'!B38:J38)</x:f>
        <x:v>9</x:v>
      </x:c>
      <x:c r="E78" s="33" t="n">
        <x:v>9</x:v>
      </x:c>
      <x:c r="F78" s="33" t="str">
        <x:f>IF(AND(D78=E78,'Evidence Gates'!I38="OPEN",'Evidence Gates'!J38=0),"PASS","FAIL")</x:f>
        <x:v>PASS</x:v>
      </x:c>
      <x:c r="G78" s="35" t="str">
        <x:v>register integrity</x:v>
      </x:c>
    </x:row>
    <x:row r="79">
      <x:c r="B79" s="33" t="str">
        <x:v>C073</x:v>
      </x:c>
      <x:c r="C79" s="33" t="str">
        <x:v>evidence row 33 complete, open and uncredited</x:v>
      </x:c>
      <x:c r="D79" s="33" t="n">
        <x:f>COUNTA('Evidence Gates'!B39:J39)</x:f>
        <x:v>9</x:v>
      </x:c>
      <x:c r="E79" s="33" t="n">
        <x:v>9</x:v>
      </x:c>
      <x:c r="F79" s="33" t="str">
        <x:f>IF(AND(D79=E79,'Evidence Gates'!I39="OPEN",'Evidence Gates'!J39=0),"PASS","FAIL")</x:f>
        <x:v>PASS</x:v>
      </x:c>
      <x:c r="G79" s="35" t="str">
        <x:v>register integrity</x:v>
      </x:c>
    </x:row>
    <x:row r="80">
      <x:c r="B80" s="33" t="str">
        <x:v>C074</x:v>
      </x:c>
      <x:c r="C80" s="33" t="str">
        <x:v>evidence row 34 complete, open and uncredited</x:v>
      </x:c>
      <x:c r="D80" s="33" t="n">
        <x:f>COUNTA('Evidence Gates'!B40:J40)</x:f>
        <x:v>9</x:v>
      </x:c>
      <x:c r="E80" s="33" t="n">
        <x:v>9</x:v>
      </x:c>
      <x:c r="F80" s="33" t="str">
        <x:f>IF(AND(D80=E80,'Evidence Gates'!I40="OPEN",'Evidence Gates'!J40=0),"PASS","FAIL")</x:f>
        <x:v>PASS</x:v>
      </x:c>
      <x:c r="G80" s="35" t="str">
        <x:v>register integrity</x:v>
      </x:c>
    </x:row>
    <x:row r="81">
      <x:c r="B81" s="33" t="str">
        <x:v>C075</x:v>
      </x:c>
      <x:c r="C81" s="33" t="str">
        <x:v>evidence row 35 complete, open and uncredited</x:v>
      </x:c>
      <x:c r="D81" s="33" t="n">
        <x:f>COUNTA('Evidence Gates'!B41:J41)</x:f>
        <x:v>9</x:v>
      </x:c>
      <x:c r="E81" s="33" t="n">
        <x:v>9</x:v>
      </x:c>
      <x:c r="F81" s="33" t="str">
        <x:f>IF(AND(D81=E81,'Evidence Gates'!I41="OPEN",'Evidence Gates'!J41=0),"PASS","FAIL")</x:f>
        <x:v>PASS</x:v>
      </x:c>
      <x:c r="G81" s="35" t="str">
        <x:v>register integrity</x:v>
      </x:c>
    </x:row>
    <x:row r="82">
      <x:c r="B82" s="33" t="str">
        <x:v>C076</x:v>
      </x:c>
      <x:c r="C82" s="33" t="str">
        <x:v>evidence row 36 complete, open and uncredited</x:v>
      </x:c>
      <x:c r="D82" s="33" t="n">
        <x:f>COUNTA('Evidence Gates'!B42:J42)</x:f>
        <x:v>9</x:v>
      </x:c>
      <x:c r="E82" s="33" t="n">
        <x:v>9</x:v>
      </x:c>
      <x:c r="F82" s="33" t="str">
        <x:f>IF(AND(D82=E82,'Evidence Gates'!I42="OPEN",'Evidence Gates'!J42=0),"PASS","FAIL")</x:f>
        <x:v>PASS</x:v>
      </x:c>
      <x:c r="G82" s="35" t="str">
        <x:v>register integrity</x:v>
      </x:c>
    </x:row>
    <x:row r="83">
      <x:c r="B83" s="33" t="str">
        <x:v>C077</x:v>
      </x:c>
      <x:c r="C83" s="33" t="str">
        <x:v>evidence row 37 complete, open and uncredited</x:v>
      </x:c>
      <x:c r="D83" s="33" t="n">
        <x:f>COUNTA('Evidence Gates'!B43:J43)</x:f>
        <x:v>9</x:v>
      </x:c>
      <x:c r="E83" s="33" t="n">
        <x:v>9</x:v>
      </x:c>
      <x:c r="F83" s="33" t="str">
        <x:f>IF(AND(D83=E83,'Evidence Gates'!I43="OPEN",'Evidence Gates'!J43=0),"PASS","FAIL")</x:f>
        <x:v>PASS</x:v>
      </x:c>
      <x:c r="G83" s="35" t="str">
        <x:v>register integrity</x:v>
      </x:c>
    </x:row>
    <x:row r="84">
      <x:c r="B84" s="33" t="str">
        <x:v>C078</x:v>
      </x:c>
      <x:c r="C84" s="33" t="str">
        <x:v>evidence row 38 complete, open and uncredited</x:v>
      </x:c>
      <x:c r="D84" s="33" t="n">
        <x:f>COUNTA('Evidence Gates'!B44:J44)</x:f>
        <x:v>9</x:v>
      </x:c>
      <x:c r="E84" s="33" t="n">
        <x:v>9</x:v>
      </x:c>
      <x:c r="F84" s="33" t="str">
        <x:f>IF(AND(D84=E84,'Evidence Gates'!I44="OPEN",'Evidence Gates'!J44=0),"PASS","FAIL")</x:f>
        <x:v>PASS</x:v>
      </x:c>
      <x:c r="G84" s="35" t="str">
        <x:v>register integrity</x:v>
      </x:c>
    </x:row>
    <x:row r="85">
      <x:c r="B85" s="33" t="str">
        <x:v>C079</x:v>
      </x:c>
      <x:c r="C85" s="33" t="str">
        <x:v>evidence row 39 complete, open and uncredited</x:v>
      </x:c>
      <x:c r="D85" s="33" t="n">
        <x:f>COUNTA('Evidence Gates'!B45:J45)</x:f>
        <x:v>9</x:v>
      </x:c>
      <x:c r="E85" s="33" t="n">
        <x:v>9</x:v>
      </x:c>
      <x:c r="F85" s="33" t="str">
        <x:f>IF(AND(D85=E85,'Evidence Gates'!I45="OPEN",'Evidence Gates'!J45=0),"PASS","FAIL")</x:f>
        <x:v>PASS</x:v>
      </x:c>
      <x:c r="G85" s="35" t="str">
        <x:v>register integrity</x:v>
      </x:c>
    </x:row>
    <x:row r="86">
      <x:c r="B86" s="33" t="str">
        <x:v>C080</x:v>
      </x:c>
      <x:c r="C86" s="33" t="str">
        <x:v>evidence row 40 complete, open and uncredited</x:v>
      </x:c>
      <x:c r="D86" s="33" t="n">
        <x:f>COUNTA('Evidence Gates'!B46:J46)</x:f>
        <x:v>9</x:v>
      </x:c>
      <x:c r="E86" s="33" t="n">
        <x:v>9</x:v>
      </x:c>
      <x:c r="F86" s="33" t="str">
        <x:f>IF(AND(D86=E86,'Evidence Gates'!I46="OPEN",'Evidence Gates'!J46=0),"PASS","FAIL")</x:f>
        <x:v>PASS</x:v>
      </x:c>
      <x:c r="G86" s="35" t="str">
        <x:v>register integrity</x:v>
      </x:c>
    </x:row>
    <x:row r="87">
      <x:c r="B87" s="33" t="str">
        <x:v>C081</x:v>
      </x:c>
      <x:c r="C87" s="33" t="str">
        <x:v>evidence row 41 complete, open and uncredited</x:v>
      </x:c>
      <x:c r="D87" s="33" t="n">
        <x:f>COUNTA('Evidence Gates'!B47:J47)</x:f>
        <x:v>9</x:v>
      </x:c>
      <x:c r="E87" s="33" t="n">
        <x:v>9</x:v>
      </x:c>
      <x:c r="F87" s="33" t="str">
        <x:f>IF(AND(D87=E87,'Evidence Gates'!I47="OPEN",'Evidence Gates'!J47=0),"PASS","FAIL")</x:f>
        <x:v>PASS</x:v>
      </x:c>
      <x:c r="G87" s="35" t="str">
        <x:v>register integrity</x:v>
      </x:c>
    </x:row>
    <x:row r="88">
      <x:c r="B88" s="33" t="str">
        <x:v>C082</x:v>
      </x:c>
      <x:c r="C88" s="33" t="str">
        <x:v>evidence row 42 complete, open and uncredited</x:v>
      </x:c>
      <x:c r="D88" s="33" t="n">
        <x:f>COUNTA('Evidence Gates'!B48:J48)</x:f>
        <x:v>9</x:v>
      </x:c>
      <x:c r="E88" s="33" t="n">
        <x:v>9</x:v>
      </x:c>
      <x:c r="F88" s="33" t="str">
        <x:f>IF(AND(D88=E88,'Evidence Gates'!I48="OPEN",'Evidence Gates'!J48=0),"PASS","FAIL")</x:f>
        <x:v>PASS</x:v>
      </x:c>
      <x:c r="G88" s="35" t="str">
        <x:v>register integrity</x:v>
      </x:c>
    </x:row>
    <x:row r="89">
      <x:c r="B89" s="33" t="str">
        <x:v>C083</x:v>
      </x:c>
      <x:c r="C89" s="33" t="str">
        <x:v>evidence row 43 complete, open and uncredited</x:v>
      </x:c>
      <x:c r="D89" s="33" t="n">
        <x:f>COUNTA('Evidence Gates'!B49:J49)</x:f>
        <x:v>9</x:v>
      </x:c>
      <x:c r="E89" s="33" t="n">
        <x:v>9</x:v>
      </x:c>
      <x:c r="F89" s="33" t="str">
        <x:f>IF(AND(D89=E89,'Evidence Gates'!I49="OPEN",'Evidence Gates'!J49=0),"PASS","FAIL")</x:f>
        <x:v>PASS</x:v>
      </x:c>
      <x:c r="G89" s="35" t="str">
        <x:v>register integrity</x:v>
      </x:c>
    </x:row>
    <x:row r="90">
      <x:c r="B90" s="33" t="str">
        <x:v>C084</x:v>
      </x:c>
      <x:c r="C90" s="33" t="str">
        <x:v>evidence row 44 complete, open and uncredited</x:v>
      </x:c>
      <x:c r="D90" s="33" t="n">
        <x:f>COUNTA('Evidence Gates'!B50:J50)</x:f>
        <x:v>9</x:v>
      </x:c>
      <x:c r="E90" s="33" t="n">
        <x:v>9</x:v>
      </x:c>
      <x:c r="F90" s="33" t="str">
        <x:f>IF(AND(D90=E90,'Evidence Gates'!I50="OPEN",'Evidence Gates'!J50=0),"PASS","FAIL")</x:f>
        <x:v>PASS</x:v>
      </x:c>
      <x:c r="G90" s="35" t="str">
        <x:v>register integrity</x:v>
      </x:c>
    </x:row>
    <x:row r="91">
      <x:c r="B91" s="33" t="str">
        <x:v>C085</x:v>
      </x:c>
      <x:c r="C91" s="33" t="str">
        <x:v>evidence row 45 complete, open and uncredited</x:v>
      </x:c>
      <x:c r="D91" s="33" t="n">
        <x:f>COUNTA('Evidence Gates'!B51:J51)</x:f>
        <x:v>9</x:v>
      </x:c>
      <x:c r="E91" s="33" t="n">
        <x:v>9</x:v>
      </x:c>
      <x:c r="F91" s="33" t="str">
        <x:f>IF(AND(D91=E91,'Evidence Gates'!I51="OPEN",'Evidence Gates'!J51=0),"PASS","FAIL")</x:f>
        <x:v>PASS</x:v>
      </x:c>
      <x:c r="G91" s="35" t="str">
        <x:v>register integrity</x:v>
      </x:c>
    </x:row>
    <x:row r="92">
      <x:c r="B92" s="33" t="str">
        <x:v>C086</x:v>
      </x:c>
      <x:c r="C92" s="33" t="str">
        <x:v>evidence row 46 complete, open and uncredited</x:v>
      </x:c>
      <x:c r="D92" s="33" t="n">
        <x:f>COUNTA('Evidence Gates'!B52:J52)</x:f>
        <x:v>9</x:v>
      </x:c>
      <x:c r="E92" s="33" t="n">
        <x:v>9</x:v>
      </x:c>
      <x:c r="F92" s="33" t="str">
        <x:f>IF(AND(D92=E92,'Evidence Gates'!I52="OPEN",'Evidence Gates'!J52=0),"PASS","FAIL")</x:f>
        <x:v>PASS</x:v>
      </x:c>
      <x:c r="G92" s="35" t="str">
        <x:v>register integrity</x:v>
      </x:c>
    </x:row>
    <x:row r="93">
      <x:c r="B93" s="33" t="str">
        <x:v>C087</x:v>
      </x:c>
      <x:c r="C93" s="33" t="str">
        <x:v>evidence row 47 complete, open and uncredited</x:v>
      </x:c>
      <x:c r="D93" s="33" t="n">
        <x:f>COUNTA('Evidence Gates'!B53:J53)</x:f>
        <x:v>9</x:v>
      </x:c>
      <x:c r="E93" s="33" t="n">
        <x:v>9</x:v>
      </x:c>
      <x:c r="F93" s="33" t="str">
        <x:f>IF(AND(D93=E93,'Evidence Gates'!I53="OPEN",'Evidence Gates'!J53=0),"PASS","FAIL")</x:f>
        <x:v>PASS</x:v>
      </x:c>
      <x:c r="G93" s="35" t="str">
        <x:v>register integrity</x:v>
      </x:c>
    </x:row>
    <x:row r="94">
      <x:c r="B94" s="33" t="str">
        <x:v>C088</x:v>
      </x:c>
      <x:c r="C94" s="33" t="str">
        <x:v>evidence row 48 complete, open and uncredited</x:v>
      </x:c>
      <x:c r="D94" s="33" t="n">
        <x:f>COUNTA('Evidence Gates'!B54:J54)</x:f>
        <x:v>9</x:v>
      </x:c>
      <x:c r="E94" s="33" t="n">
        <x:v>9</x:v>
      </x:c>
      <x:c r="F94" s="33" t="str">
        <x:f>IF(AND(D94=E94,'Evidence Gates'!I54="OPEN",'Evidence Gates'!J54=0),"PASS","FAIL")</x:f>
        <x:v>PASS</x:v>
      </x:c>
      <x:c r="G94" s="35" t="str">
        <x:v>register integrity</x:v>
      </x:c>
    </x:row>
    <x:row r="95">
      <x:c r="B95" s="33" t="str">
        <x:v>C089</x:v>
      </x:c>
      <x:c r="C95" s="33" t="str">
        <x:v>evidence row 49 complete, open and uncredited</x:v>
      </x:c>
      <x:c r="D95" s="33" t="n">
        <x:f>COUNTA('Evidence Gates'!B55:J55)</x:f>
        <x:v>9</x:v>
      </x:c>
      <x:c r="E95" s="33" t="n">
        <x:v>9</x:v>
      </x:c>
      <x:c r="F95" s="33" t="str">
        <x:f>IF(AND(D95=E95,'Evidence Gates'!I55="OPEN",'Evidence Gates'!J55=0),"PASS","FAIL")</x:f>
        <x:v>PASS</x:v>
      </x:c>
      <x:c r="G95" s="35" t="str">
        <x:v>register integrity</x:v>
      </x:c>
    </x:row>
    <x:row r="96">
      <x:c r="B96" s="33" t="str">
        <x:v>C090</x:v>
      </x:c>
      <x:c r="C96" s="33" t="str">
        <x:v>evidence row 50 complete, open and uncredited</x:v>
      </x:c>
      <x:c r="D96" s="33" t="n">
        <x:f>COUNTA('Evidence Gates'!B56:J56)</x:f>
        <x:v>9</x:v>
      </x:c>
      <x:c r="E96" s="33" t="n">
        <x:v>9</x:v>
      </x:c>
      <x:c r="F96" s="33" t="str">
        <x:f>IF(AND(D96=E96,'Evidence Gates'!I56="OPEN",'Evidence Gates'!J56=0),"PASS","FAIL")</x:f>
        <x:v>PASS</x:v>
      </x:c>
      <x:c r="G96" s="35" t="str">
        <x:v>register integrity</x:v>
      </x:c>
    </x:row>
    <x:row r="97">
      <x:c r="B97" s="33" t="str">
        <x:v>C091</x:v>
      </x:c>
      <x:c r="C97" s="33" t="str">
        <x:v>evidence row 51 complete, open and uncredited</x:v>
      </x:c>
      <x:c r="D97" s="33" t="n">
        <x:f>COUNTA('Evidence Gates'!B57:J57)</x:f>
        <x:v>9</x:v>
      </x:c>
      <x:c r="E97" s="33" t="n">
        <x:v>9</x:v>
      </x:c>
      <x:c r="F97" s="33" t="str">
        <x:f>IF(AND(D97=E97,'Evidence Gates'!I57="OPEN",'Evidence Gates'!J57=0),"PASS","FAIL")</x:f>
        <x:v>PASS</x:v>
      </x:c>
      <x:c r="G97" s="35" t="str">
        <x:v>register integrity</x:v>
      </x:c>
    </x:row>
    <x:row r="98">
      <x:c r="B98" s="33" t="str">
        <x:v>C092</x:v>
      </x:c>
      <x:c r="C98" s="33" t="str">
        <x:v>evidence row 52 complete, open and uncredited</x:v>
      </x:c>
      <x:c r="D98" s="33" t="n">
        <x:f>COUNTA('Evidence Gates'!B58:J58)</x:f>
        <x:v>9</x:v>
      </x:c>
      <x:c r="E98" s="33" t="n">
        <x:v>9</x:v>
      </x:c>
      <x:c r="F98" s="33" t="str">
        <x:f>IF(AND(D98=E98,'Evidence Gates'!I58="OPEN",'Evidence Gates'!J58=0),"PASS","FAIL")</x:f>
        <x:v>PASS</x:v>
      </x:c>
      <x:c r="G98" s="35" t="str">
        <x:v>register integrity</x:v>
      </x:c>
    </x:row>
    <x:row r="99">
      <x:c r="B99" s="33" t="str">
        <x:v>C093</x:v>
      </x:c>
      <x:c r="C99" s="33" t="str">
        <x:v>evidence row 53 complete, open and uncredited</x:v>
      </x:c>
      <x:c r="D99" s="33" t="n">
        <x:f>COUNTA('Evidence Gates'!B59:J59)</x:f>
        <x:v>9</x:v>
      </x:c>
      <x:c r="E99" s="33" t="n">
        <x:v>9</x:v>
      </x:c>
      <x:c r="F99" s="33" t="str">
        <x:f>IF(AND(D99=E99,'Evidence Gates'!I59="OPEN",'Evidence Gates'!J59=0),"PASS","FAIL")</x:f>
        <x:v>PASS</x:v>
      </x:c>
      <x:c r="G99" s="35" t="str">
        <x:v>register integrity</x:v>
      </x:c>
    </x:row>
    <x:row r="100">
      <x:c r="B100" s="33" t="str">
        <x:v>C094</x:v>
      </x:c>
      <x:c r="C100" s="33" t="str">
        <x:v>evidence row 54 complete, open and uncredited</x:v>
      </x:c>
      <x:c r="D100" s="33" t="n">
        <x:f>COUNTA('Evidence Gates'!B60:J60)</x:f>
        <x:v>9</x:v>
      </x:c>
      <x:c r="E100" s="33" t="n">
        <x:v>9</x:v>
      </x:c>
      <x:c r="F100" s="33" t="str">
        <x:f>IF(AND(D100=E100,'Evidence Gates'!I60="OPEN",'Evidence Gates'!J60=0),"PASS","FAIL")</x:f>
        <x:v>PASS</x:v>
      </x:c>
      <x:c r="G100" s="35" t="str">
        <x:v>register integrity</x:v>
      </x:c>
    </x:row>
    <x:row r="101">
      <x:c r="B101" s="33" t="str">
        <x:v>C095</x:v>
      </x:c>
      <x:c r="C101" s="33" t="str">
        <x:v>evidence row 55 complete, open and uncredited</x:v>
      </x:c>
      <x:c r="D101" s="33" t="n">
        <x:f>COUNTA('Evidence Gates'!B61:J61)</x:f>
        <x:v>9</x:v>
      </x:c>
      <x:c r="E101" s="33" t="n">
        <x:v>9</x:v>
      </x:c>
      <x:c r="F101" s="33" t="str">
        <x:f>IF(AND(D101=E101,'Evidence Gates'!I61="OPEN",'Evidence Gates'!J61=0),"PASS","FAIL")</x:f>
        <x:v>PASS</x:v>
      </x:c>
      <x:c r="G101" s="35" t="str">
        <x:v>register integrity</x:v>
      </x:c>
    </x:row>
    <x:row r="102">
      <x:c r="B102" s="33" t="str">
        <x:v>C096</x:v>
      </x:c>
      <x:c r="C102" s="33" t="str">
        <x:v>evidence row 56 complete, open and uncredited</x:v>
      </x:c>
      <x:c r="D102" s="33" t="n">
        <x:f>COUNTA('Evidence Gates'!B62:J62)</x:f>
        <x:v>9</x:v>
      </x:c>
      <x:c r="E102" s="33" t="n">
        <x:v>9</x:v>
      </x:c>
      <x:c r="F102" s="33" t="str">
        <x:f>IF(AND(D102=E102,'Evidence Gates'!I62="OPEN",'Evidence Gates'!J62=0),"PASS","FAIL")</x:f>
        <x:v>PASS</x:v>
      </x:c>
      <x:c r="G102" s="35" t="str">
        <x:v>register integrity</x:v>
      </x:c>
    </x:row>
    <x:row r="103">
      <x:c r="B103" s="33" t="str">
        <x:v>C097</x:v>
      </x:c>
      <x:c r="C103" s="33" t="str">
        <x:v>evidence row 57 complete, open and uncredited</x:v>
      </x:c>
      <x:c r="D103" s="33" t="n">
        <x:f>COUNTA('Evidence Gates'!B63:J63)</x:f>
        <x:v>9</x:v>
      </x:c>
      <x:c r="E103" s="33" t="n">
        <x:v>9</x:v>
      </x:c>
      <x:c r="F103" s="33" t="str">
        <x:f>IF(AND(D103=E103,'Evidence Gates'!I63="OPEN",'Evidence Gates'!J63=0),"PASS","FAIL")</x:f>
        <x:v>PASS</x:v>
      </x:c>
      <x:c r="G103" s="35" t="str">
        <x:v>register integrity</x:v>
      </x:c>
    </x:row>
    <x:row r="104">
      <x:c r="B104" s="33" t="str">
        <x:v>C098</x:v>
      </x:c>
      <x:c r="C104" s="33" t="str">
        <x:v>evidence row 58 complete, open and uncredited</x:v>
      </x:c>
      <x:c r="D104" s="33" t="n">
        <x:f>COUNTA('Evidence Gates'!B64:J64)</x:f>
        <x:v>9</x:v>
      </x:c>
      <x:c r="E104" s="33" t="n">
        <x:v>9</x:v>
      </x:c>
      <x:c r="F104" s="33" t="str">
        <x:f>IF(AND(D104=E104,'Evidence Gates'!I64="OPEN",'Evidence Gates'!J64=0),"PASS","FAIL")</x:f>
        <x:v>PASS</x:v>
      </x:c>
      <x:c r="G104" s="35" t="str">
        <x:v>register integrity</x:v>
      </x:c>
    </x:row>
    <x:row r="105">
      <x:c r="B105" s="33" t="str">
        <x:v>C099</x:v>
      </x:c>
      <x:c r="C105" s="33" t="str">
        <x:v>evidence row 59 complete, open and uncredited</x:v>
      </x:c>
      <x:c r="D105" s="33" t="n">
        <x:f>COUNTA('Evidence Gates'!B65:J65)</x:f>
        <x:v>9</x:v>
      </x:c>
      <x:c r="E105" s="33" t="n">
        <x:v>9</x:v>
      </x:c>
      <x:c r="F105" s="33" t="str">
        <x:f>IF(AND(D105=E105,'Evidence Gates'!I65="OPEN",'Evidence Gates'!J65=0),"PASS","FAIL")</x:f>
        <x:v>PASS</x:v>
      </x:c>
      <x:c r="G105" s="35" t="str">
        <x:v>register integrity</x:v>
      </x:c>
    </x:row>
    <x:row r="106">
      <x:c r="B106" s="33" t="str">
        <x:v>C100</x:v>
      </x:c>
      <x:c r="C106" s="33" t="str">
        <x:v>evidence row 60 complete, open and uncredited</x:v>
      </x:c>
      <x:c r="D106" s="33" t="n">
        <x:f>COUNTA('Evidence Gates'!B66:J66)</x:f>
        <x:v>9</x:v>
      </x:c>
      <x:c r="E106" s="33" t="n">
        <x:v>9</x:v>
      </x:c>
      <x:c r="F106" s="33" t="str">
        <x:f>IF(AND(D106=E106,'Evidence Gates'!I66="OPEN",'Evidence Gates'!J66=0),"PASS","FAIL")</x:f>
        <x:v>PASS</x:v>
      </x:c>
      <x:c r="G106" s="35" t="str">
        <x:v>register integrity</x:v>
      </x:c>
    </x:row>
    <x:row r="107">
      <x:c r="B107" s="33" t="str">
        <x:v>C101</x:v>
      </x:c>
      <x:c r="C107" s="33" t="str">
        <x:v>evidence row 61 complete, open and uncredited</x:v>
      </x:c>
      <x:c r="D107" s="33" t="n">
        <x:f>COUNTA('Evidence Gates'!B67:J67)</x:f>
        <x:v>9</x:v>
      </x:c>
      <x:c r="E107" s="33" t="n">
        <x:v>9</x:v>
      </x:c>
      <x:c r="F107" s="33" t="str">
        <x:f>IF(AND(D107=E107,'Evidence Gates'!I67="OPEN",'Evidence Gates'!J67=0),"PASS","FAIL")</x:f>
        <x:v>PASS</x:v>
      </x:c>
      <x:c r="G107" s="35" t="str">
        <x:v>register integrity</x:v>
      </x:c>
    </x:row>
    <x:row r="108">
      <x:c r="B108" s="33" t="str">
        <x:v>C102</x:v>
      </x:c>
      <x:c r="C108" s="33" t="str">
        <x:v>evidence row 62 complete, open and uncredited</x:v>
      </x:c>
      <x:c r="D108" s="33" t="n">
        <x:f>COUNTA('Evidence Gates'!B68:J68)</x:f>
        <x:v>9</x:v>
      </x:c>
      <x:c r="E108" s="33" t="n">
        <x:v>9</x:v>
      </x:c>
      <x:c r="F108" s="33" t="str">
        <x:f>IF(AND(D108=E108,'Evidence Gates'!I68="OPEN",'Evidence Gates'!J68=0),"PASS","FAIL")</x:f>
        <x:v>PASS</x:v>
      </x:c>
      <x:c r="G108" s="35" t="str">
        <x:v>register integrity</x:v>
      </x:c>
    </x:row>
    <x:row r="109">
      <x:c r="B109" s="33" t="str">
        <x:v>C103</x:v>
      </x:c>
      <x:c r="C109" s="33" t="str">
        <x:v>evidence row 63 complete, open and uncredited</x:v>
      </x:c>
      <x:c r="D109" s="33" t="n">
        <x:f>COUNTA('Evidence Gates'!B69:J69)</x:f>
        <x:v>9</x:v>
      </x:c>
      <x:c r="E109" s="33" t="n">
        <x:v>9</x:v>
      </x:c>
      <x:c r="F109" s="33" t="str">
        <x:f>IF(AND(D109=E109,'Evidence Gates'!I69="OPEN",'Evidence Gates'!J69=0),"PASS","FAIL")</x:f>
        <x:v>PASS</x:v>
      </x:c>
      <x:c r="G109" s="35" t="str">
        <x:v>register integrity</x:v>
      </x:c>
    </x:row>
    <x:row r="110">
      <x:c r="B110" s="33" t="str">
        <x:v>C104</x:v>
      </x:c>
      <x:c r="C110" s="33" t="str">
        <x:v>evidence row 64 complete, open and uncredited</x:v>
      </x:c>
      <x:c r="D110" s="33" t="n">
        <x:f>COUNTA('Evidence Gates'!B70:J70)</x:f>
        <x:v>9</x:v>
      </x:c>
      <x:c r="E110" s="33" t="n">
        <x:v>9</x:v>
      </x:c>
      <x:c r="F110" s="33" t="str">
        <x:f>IF(AND(D110=E110,'Evidence Gates'!I70="OPEN",'Evidence Gates'!J70=0),"PASS","FAIL")</x:f>
        <x:v>PASS</x:v>
      </x:c>
      <x:c r="G110" s="35" t="str">
        <x:v>register integrity</x:v>
      </x:c>
    </x:row>
    <x:row r="111">
      <x:c r="B111" s="33" t="str">
        <x:v>C105</x:v>
      </x:c>
      <x:c r="C111" s="33" t="str">
        <x:v>evidence row 65 complete, open and uncredited</x:v>
      </x:c>
      <x:c r="D111" s="33" t="n">
        <x:f>COUNTA('Evidence Gates'!B71:J71)</x:f>
        <x:v>9</x:v>
      </x:c>
      <x:c r="E111" s="33" t="n">
        <x:v>9</x:v>
      </x:c>
      <x:c r="F111" s="33" t="str">
        <x:f>IF(AND(D111=E111,'Evidence Gates'!I71="OPEN",'Evidence Gates'!J71=0),"PASS","FAIL")</x:f>
        <x:v>PASS</x:v>
      </x:c>
      <x:c r="G111" s="35" t="str">
        <x:v>register integrity</x:v>
      </x:c>
    </x:row>
    <x:row r="112">
      <x:c r="B112" s="33" t="str">
        <x:v>C106</x:v>
      </x:c>
      <x:c r="C112" s="33" t="str">
        <x:v>evidence row 66 complete, open and uncredited</x:v>
      </x:c>
      <x:c r="D112" s="33" t="n">
        <x:f>COUNTA('Evidence Gates'!B72:J72)</x:f>
        <x:v>9</x:v>
      </x:c>
      <x:c r="E112" s="33" t="n">
        <x:v>9</x:v>
      </x:c>
      <x:c r="F112" s="33" t="str">
        <x:f>IF(AND(D112=E112,'Evidence Gates'!I72="OPEN",'Evidence Gates'!J72=0),"PASS","FAIL")</x:f>
        <x:v>PASS</x:v>
      </x:c>
      <x:c r="G112" s="35" t="str">
        <x:v>register integrity</x:v>
      </x:c>
    </x:row>
    <x:row r="113">
      <x:c r="B113" s="33" t="str">
        <x:v>C107</x:v>
      </x:c>
      <x:c r="C113" s="33" t="str">
        <x:v>evidence row 67 complete, open and uncredited</x:v>
      </x:c>
      <x:c r="D113" s="33" t="n">
        <x:f>COUNTA('Evidence Gates'!B73:J73)</x:f>
        <x:v>9</x:v>
      </x:c>
      <x:c r="E113" s="33" t="n">
        <x:v>9</x:v>
      </x:c>
      <x:c r="F113" s="33" t="str">
        <x:f>IF(AND(D113=E113,'Evidence Gates'!I73="OPEN",'Evidence Gates'!J73=0),"PASS","FAIL")</x:f>
        <x:v>PASS</x:v>
      </x:c>
      <x:c r="G113" s="35" t="str">
        <x:v>register integrity</x:v>
      </x:c>
    </x:row>
    <x:row r="114">
      <x:c r="B114" s="33" t="str">
        <x:v>C108</x:v>
      </x:c>
      <x:c r="C114" s="33" t="str">
        <x:v>evidence row 68 complete, open and uncredited</x:v>
      </x:c>
      <x:c r="D114" s="33" t="n">
        <x:f>COUNTA('Evidence Gates'!B74:J74)</x:f>
        <x:v>9</x:v>
      </x:c>
      <x:c r="E114" s="33" t="n">
        <x:v>9</x:v>
      </x:c>
      <x:c r="F114" s="33" t="str">
        <x:f>IF(AND(D114=E114,'Evidence Gates'!I74="OPEN",'Evidence Gates'!J74=0),"PASS","FAIL")</x:f>
        <x:v>PASS</x:v>
      </x:c>
      <x:c r="G114" s="35" t="str">
        <x:v>register integrity</x:v>
      </x:c>
    </x:row>
    <x:row r="115">
      <x:c r="B115" s="33" t="str">
        <x:v>C109</x:v>
      </x:c>
      <x:c r="C115" s="33" t="str">
        <x:v>evidence row 69 complete, open and uncredited</x:v>
      </x:c>
      <x:c r="D115" s="33" t="n">
        <x:f>COUNTA('Evidence Gates'!B75:J75)</x:f>
        <x:v>9</x:v>
      </x:c>
      <x:c r="E115" s="33" t="n">
        <x:v>9</x:v>
      </x:c>
      <x:c r="F115" s="33" t="str">
        <x:f>IF(AND(D115=E115,'Evidence Gates'!I75="OPEN",'Evidence Gates'!J75=0),"PASS","FAIL")</x:f>
        <x:v>PASS</x:v>
      </x:c>
      <x:c r="G115" s="35" t="str">
        <x:v>register integrity</x:v>
      </x:c>
    </x:row>
    <x:row r="116">
      <x:c r="B116" s="33" t="str">
        <x:v>C110</x:v>
      </x:c>
      <x:c r="C116" s="33" t="str">
        <x:v>evidence row 70 complete, open and uncredited</x:v>
      </x:c>
      <x:c r="D116" s="33" t="n">
        <x:f>COUNTA('Evidence Gates'!B76:J76)</x:f>
        <x:v>9</x:v>
      </x:c>
      <x:c r="E116" s="33" t="n">
        <x:v>9</x:v>
      </x:c>
      <x:c r="F116" s="33" t="str">
        <x:f>IF(AND(D116=E116,'Evidence Gates'!I76="OPEN",'Evidence Gates'!J76=0),"PASS","FAIL")</x:f>
        <x:v>PASS</x:v>
      </x:c>
      <x:c r="G116" s="35" t="str">
        <x:v>register integrity</x:v>
      </x:c>
    </x:row>
    <x:row r="117">
      <x:c r="B117" s="33" t="str">
        <x:v>C111</x:v>
      </x:c>
      <x:c r="C117" s="33" t="str">
        <x:v>evidence row 71 complete, open and uncredited</x:v>
      </x:c>
      <x:c r="D117" s="33" t="n">
        <x:f>COUNTA('Evidence Gates'!B77:J77)</x:f>
        <x:v>9</x:v>
      </x:c>
      <x:c r="E117" s="33" t="n">
        <x:v>9</x:v>
      </x:c>
      <x:c r="F117" s="33" t="str">
        <x:f>IF(AND(D117=E117,'Evidence Gates'!I77="OPEN",'Evidence Gates'!J77=0),"PASS","FAIL")</x:f>
        <x:v>PASS</x:v>
      </x:c>
      <x:c r="G117" s="35" t="str">
        <x:v>register integrity</x:v>
      </x:c>
    </x:row>
    <x:row r="118">
      <x:c r="B118" s="33" t="str">
        <x:v>C112</x:v>
      </x:c>
      <x:c r="C118" s="33" t="str">
        <x:v>evidence row 72 complete, open and uncredited</x:v>
      </x:c>
      <x:c r="D118" s="33" t="n">
        <x:f>COUNTA('Evidence Gates'!B78:J78)</x:f>
        <x:v>9</x:v>
      </x:c>
      <x:c r="E118" s="33" t="n">
        <x:v>9</x:v>
      </x:c>
      <x:c r="F118" s="33" t="str">
        <x:f>IF(AND(D118=E118,'Evidence Gates'!I78="OPEN",'Evidence Gates'!J78=0),"PASS","FAIL")</x:f>
        <x:v>PASS</x:v>
      </x:c>
      <x:c r="G118" s="35" t="str">
        <x:v>register integrity</x:v>
      </x:c>
    </x:row>
    <x:row r="119">
      <x:c r="B119" s="33" t="str">
        <x:v>C113</x:v>
      </x:c>
      <x:c r="C119" s="33" t="str">
        <x:v>evidence row 73 complete, open and uncredited</x:v>
      </x:c>
      <x:c r="D119" s="33" t="n">
        <x:f>COUNTA('Evidence Gates'!B79:J79)</x:f>
        <x:v>9</x:v>
      </x:c>
      <x:c r="E119" s="33" t="n">
        <x:v>9</x:v>
      </x:c>
      <x:c r="F119" s="33" t="str">
        <x:f>IF(AND(D119=E119,'Evidence Gates'!I79="OPEN",'Evidence Gates'!J79=0),"PASS","FAIL")</x:f>
        <x:v>PASS</x:v>
      </x:c>
      <x:c r="G119" s="35" t="str">
        <x:v>register integrity</x:v>
      </x:c>
    </x:row>
    <x:row r="120">
      <x:c r="B120" s="33" t="str">
        <x:v>C114</x:v>
      </x:c>
      <x:c r="C120" s="33" t="str">
        <x:v>evidence row 74 complete, open and uncredited</x:v>
      </x:c>
      <x:c r="D120" s="33" t="n">
        <x:f>COUNTA('Evidence Gates'!B80:J80)</x:f>
        <x:v>9</x:v>
      </x:c>
      <x:c r="E120" s="33" t="n">
        <x:v>9</x:v>
      </x:c>
      <x:c r="F120" s="33" t="str">
        <x:f>IF(AND(D120=E120,'Evidence Gates'!I80="OPEN",'Evidence Gates'!J80=0),"PASS","FAIL")</x:f>
        <x:v>PASS</x:v>
      </x:c>
      <x:c r="G120" s="35" t="str">
        <x:v>register integrity</x:v>
      </x:c>
    </x:row>
    <x:row r="121">
      <x:c r="B121" s="33" t="str">
        <x:v>C115</x:v>
      </x:c>
      <x:c r="C121" s="33" t="str">
        <x:v>evidence row 75 complete, open and uncredited</x:v>
      </x:c>
      <x:c r="D121" s="33" t="n">
        <x:f>COUNTA('Evidence Gates'!B81:J81)</x:f>
        <x:v>9</x:v>
      </x:c>
      <x:c r="E121" s="33" t="n">
        <x:v>9</x:v>
      </x:c>
      <x:c r="F121" s="33" t="str">
        <x:f>IF(AND(D121=E121,'Evidence Gates'!I81="OPEN",'Evidence Gates'!J81=0),"PASS","FAIL")</x:f>
        <x:v>PASS</x:v>
      </x:c>
      <x:c r="G121" s="35" t="str">
        <x:v>register integrity</x:v>
      </x:c>
    </x:row>
    <x:row r="122">
      <x:c r="B122" s="33" t="str">
        <x:v>C116</x:v>
      </x:c>
      <x:c r="C122" s="33" t="str">
        <x:v>evidence row 76 complete, open and uncredited</x:v>
      </x:c>
      <x:c r="D122" s="33" t="n">
        <x:f>COUNTA('Evidence Gates'!B82:J82)</x:f>
        <x:v>9</x:v>
      </x:c>
      <x:c r="E122" s="33" t="n">
        <x:v>9</x:v>
      </x:c>
      <x:c r="F122" s="33" t="str">
        <x:f>IF(AND(D122=E122,'Evidence Gates'!I82="OPEN",'Evidence Gates'!J82=0),"PASS","FAIL")</x:f>
        <x:v>PASS</x:v>
      </x:c>
      <x:c r="G122" s="35" t="str">
        <x:v>register integrity</x:v>
      </x:c>
    </x:row>
    <x:row r="123">
      <x:c r="B123" s="33" t="str">
        <x:v>C117</x:v>
      </x:c>
      <x:c r="C123" s="33" t="str">
        <x:v>evidence row 77 complete, open and uncredited</x:v>
      </x:c>
      <x:c r="D123" s="33" t="n">
        <x:f>COUNTA('Evidence Gates'!B83:J83)</x:f>
        <x:v>9</x:v>
      </x:c>
      <x:c r="E123" s="33" t="n">
        <x:v>9</x:v>
      </x:c>
      <x:c r="F123" s="33" t="str">
        <x:f>IF(AND(D123=E123,'Evidence Gates'!I83="OPEN",'Evidence Gates'!J83=0),"PASS","FAIL")</x:f>
        <x:v>PASS</x:v>
      </x:c>
      <x:c r="G123" s="35" t="str">
        <x:v>register integrity</x:v>
      </x:c>
    </x:row>
    <x:row r="124">
      <x:c r="B124" s="33" t="str">
        <x:v>C118</x:v>
      </x:c>
      <x:c r="C124" s="33" t="str">
        <x:v>evidence row 78 complete, open and uncredited</x:v>
      </x:c>
      <x:c r="D124" s="33" t="n">
        <x:f>COUNTA('Evidence Gates'!B84:J84)</x:f>
        <x:v>9</x:v>
      </x:c>
      <x:c r="E124" s="33" t="n">
        <x:v>9</x:v>
      </x:c>
      <x:c r="F124" s="33" t="str">
        <x:f>IF(AND(D124=E124,'Evidence Gates'!I84="OPEN",'Evidence Gates'!J84=0),"PASS","FAIL")</x:f>
        <x:v>PASS</x:v>
      </x:c>
      <x:c r="G124" s="35" t="str">
        <x:v>register integrity</x:v>
      </x:c>
    </x:row>
    <x:row r="125">
      <x:c r="B125" s="33" t="str">
        <x:v>C119</x:v>
      </x:c>
      <x:c r="C125" s="33" t="str">
        <x:v>evidence row 79 complete, open and uncredited</x:v>
      </x:c>
      <x:c r="D125" s="33" t="n">
        <x:f>COUNTA('Evidence Gates'!B85:J85)</x:f>
        <x:v>9</x:v>
      </x:c>
      <x:c r="E125" s="33" t="n">
        <x:v>9</x:v>
      </x:c>
      <x:c r="F125" s="33" t="str">
        <x:f>IF(AND(D125=E125,'Evidence Gates'!I85="OPEN",'Evidence Gates'!J85=0),"PASS","FAIL")</x:f>
        <x:v>PASS</x:v>
      </x:c>
      <x:c r="G125" s="35" t="str">
        <x:v>register integrity</x:v>
      </x:c>
    </x:row>
    <x:row r="126">
      <x:c r="B126" s="39" t="str">
        <x:v>C120</x:v>
      </x:c>
      <x:c r="C126" s="39" t="str">
        <x:v>evidence row 80 complete, open and uncredited</x:v>
      </x:c>
      <x:c r="D126" s="39" t="n">
        <x:f>COUNTA('Evidence Gates'!B86:J86)</x:f>
        <x:v>9</x:v>
      </x:c>
      <x:c r="E126" s="39" t="n">
        <x:v>9</x:v>
      </x:c>
      <x:c r="F126" s="39" t="str">
        <x:f>IF(AND(D126=E126,'Evidence Gates'!I86="OPEN",'Evidence Gates'!J86=0),"PASS","FAIL")</x:f>
        <x:v>PASS</x:v>
      </x:c>
      <x:c r="G126" s="40" t="str">
        <x:v>register integrity</x:v>
      </x:c>
    </x:row>
    <x:row r="127">
      <x:c r="B127" s="26"/>
      <x:c r="C127" s="26"/>
      <x:c r="D127" s="26"/>
      <x:c r="E127" s="26"/>
      <x:c r="F127" s="26"/>
      <x:c r="G127" s="26"/>
    </x:row>
    <x:row r="128">
      <x:c r="B128" s="19" t="str">
        <x:v>Summary</x:v>
      </x:c>
      <x:c r="C128" s="20" t="str">
        <x:v>Value</x:v>
      </x:c>
      <x:c r="D128" s="20" t="str">
        <x:v>Expected</x:v>
      </x:c>
      <x:c r="E128" s="20" t="str">
        <x:v>Result</x:v>
      </x:c>
      <x:c r="F128" s="21"/>
      <x:c r="G128" s="26"/>
    </x:row>
    <x:row r="129">
      <x:c r="B129" s="26" t="str">
        <x:v>Checks</x:v>
      </x:c>
      <x:c r="C129" s="26" t="n">
        <x:f>COUNTA(B7:B126)</x:f>
        <x:v>120</x:v>
      </x:c>
      <x:c r="D129" s="26" t="n">
        <x:v>120</x:v>
      </x:c>
      <x:c r="E129" s="26" t="str">
        <x:f>IF(C129=D129,"PASS","FAIL")</x:f>
        <x:v>PASS</x:v>
      </x:c>
      <x:c r="F129" s="26"/>
      <x:c r="G129" s="26"/>
    </x:row>
    <x:row r="130">
      <x:c r="B130" s="26" t="str">
        <x:v>Passing</x:v>
      </x:c>
      <x:c r="C130" s="26" t="n">
        <x:f>COUNTIF(F7:F126,"PASS")</x:f>
        <x:v>120</x:v>
      </x:c>
      <x:c r="D130" s="26" t="n">
        <x:v>120</x:v>
      </x:c>
      <x:c r="E130" s="26" t="str">
        <x:f>IF(C130=D130,"PASS","FAIL")</x:f>
        <x:v>PASS</x:v>
      </x:c>
      <x:c r="F130" s="26"/>
      <x:c r="G130" s="26"/>
    </x:row>
    <x:row r="131">
      <x:c r="B131" s="26" t="str">
        <x:v>Failing</x:v>
      </x:c>
      <x:c r="C131" s="26" t="n">
        <x:f>COUNTIF(F7:F126,"FAIL")</x:f>
        <x:v>0</x:v>
      </x:c>
      <x:c r="D131" s="26" t="n">
        <x:v>0</x:v>
      </x:c>
      <x:c r="E131" s="26" t="str">
        <x:f>IF(C131=D131,"PASS","FAIL")</x:f>
        <x:v>PASS</x:v>
      </x:c>
      <x:c r="F131" s="26"/>
      <x:c r="G131" s="26"/>
    </x:row>
    <x:row r="132">
      <x:c r="B132" s="26"/>
      <x:c r="C132" s="26"/>
      <x:c r="D132" s="26"/>
      <x:c r="E132" s="26"/>
      <x:c r="F132" s="26"/>
      <x:c r="G132" s="26"/>
    </x:row>
    <x:row r="133">
      <x:c r="B133" s="26"/>
      <x:c r="C133" s="26"/>
      <x:c r="D133" s="26"/>
      <x:c r="E133" s="26"/>
      <x:c r="F133" s="26"/>
      <x:c r="G133" s="26"/>
    </x:row>
    <x:row r="134">
      <x:c r="B134" s="26"/>
      <x:c r="C134" s="26"/>
      <x:c r="D134" s="26"/>
      <x:c r="E134" s="26"/>
      <x:c r="F134" s="26"/>
      <x:c r="G134" s="26"/>
    </x:row>
    <x:row r="135">
      <x:c r="B135" s="26"/>
      <x:c r="C135" s="26"/>
      <x:c r="D135" s="26"/>
      <x:c r="E135" s="26"/>
      <x:c r="F135" s="26"/>
      <x:c r="G135" s="26"/>
    </x:row>
    <x:row r="136">
      <x:c r="B136" s="26"/>
      <x:c r="C136" s="26"/>
      <x:c r="D136" s="26"/>
      <x:c r="E136" s="26"/>
      <x:c r="F136" s="26"/>
      <x:c r="G136" s="26"/>
    </x:row>
  </x:sheetData>
  <x:conditionalFormatting sqref="F7:F126">
    <x:cfRule type="containsText" dxfId="36" priority="1" operator="containsText" text="FAIL"/>
    <x:cfRule type="containsText" dxfId="37" priority="2" operator="containsText" text="DIVERGES"/>
    <x:cfRule type="containsText" dxfId="38" priority="3" operator="containsText" text="PASS"/>
  </x:conditionalFormatting>
  <x:conditionalFormatting sqref="E129:E131">
    <x:cfRule type="containsText" dxfId="39" priority="4" operator="containsText" text="FAIL"/>
    <x:cfRule type="containsText" dxfId="40" priority="5" operator="containsText" text="DIVERGES"/>
    <x:cfRule type="containsText" dxfId="41" priority="6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5" hidden="0" customWidth="1"/>
    <x:col min="3" max="3" width="120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78" t="str">
        <x:v>How to read the Pass 85 model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79" t="str">
        <x:v>A first-principles architecture competition and fiscal comparator—not a procurement estimate, certification record or readiness claim</x:v>
      </x:c>
      <x:c r="C3" s="70"/>
      <x:c r="D3" s="70"/>
      <x:c r="E3" s="70"/>
      <x:c r="F3" s="70"/>
      <x:c r="G3" s="70"/>
      <x:c r="H3" s="70"/>
      <x:c r="I3" s="70"/>
      <x:c r="J3" s="70"/>
    </x:row>
    <x:row r="4">
      <x:c r="B4" s="71"/>
      <x:c r="C4" s="71"/>
      <x:c r="D4" s="71"/>
      <x:c r="E4" s="71"/>
      <x:c r="F4" s="71"/>
      <x:c r="G4" s="71"/>
      <x:c r="H4" s="71"/>
      <x:c r="I4" s="71"/>
      <x:c r="J4" s="71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>
      <x:c r="B6" s="72" t="str">
        <x:v>Decision and method</x:v>
      </x:c>
      <x:c r="C6" s="73" t="str">
        <x:v>Decision and method</x:v>
      </x:c>
      <x:c r="D6" s="73" t="str">
        <x:v>Decision and method</x:v>
      </x:c>
      <x:c r="E6" s="73" t="str">
        <x:v>Decision and method</x:v>
      </x:c>
      <x:c r="F6" s="73" t="str">
        <x:v>Decision and method</x:v>
      </x:c>
      <x:c r="G6" s="73" t="str">
        <x:v>Decision and method</x:v>
      </x:c>
      <x:c r="H6" s="73" t="str">
        <x:v>Decision and method</x:v>
      </x:c>
      <x:c r="I6" s="73" t="str">
        <x:v>Decision and method</x:v>
      </x:c>
      <x:c r="J6" s="74" t="str">
        <x:v>Decision and method</x:v>
      </x:c>
    </x:row>
    <x:row r="7">
      <x:c r="B7" s="82" t="str">
        <x:v>Question</x:v>
      </x:c>
      <x:c r="C7" s="50" t="str">
        <x:v>Can GCH-340 and SAT-170 deliver two independently governed service cells through separate receivers without creating a common interface failure, after the terrain energy plant and soil contact are closed at complete-system level?</x:v>
      </x:c>
      <x:c r="D7" s="50"/>
      <x:c r="E7" s="50"/>
      <x:c r="F7" s="50"/>
      <x:c r="G7" s="50"/>
      <x:c r="H7" s="50"/>
      <x:c r="I7" s="50"/>
      <x:c r="J7" s="50"/>
    </x:row>
    <x:row r="8">
      <x:c r="B8" s="83" t="str">
        <x:v>Answer</x:v>
      </x:c>
      <x:c r="C8" s="33" t="str">
        <x:v>Provisionally: use federated twin receivers and a fail-open post-release corridor; revise SAT-170 around a liquid-fuel turbine-electric plant and 255 m2 adaptive contact.</x:v>
      </x:c>
      <x:c r="D8" s="33"/>
      <x:c r="E8" s="33"/>
      <x:c r="F8" s="33"/>
      <x:c r="G8" s="33"/>
      <x:c r="H8" s="33"/>
      <x:c r="I8" s="33"/>
      <x:c r="J8" s="33"/>
    </x:row>
    <x:row r="9">
      <x:c r="B9" s="83" t="str">
        <x:v>Key correction</x:v>
      </x:c>
      <x:c r="C9" s="33" t="str">
        <x:v>The Pass 84 60 t energy line and 155 m2 footprint do not survive coupled closure. Rated gross rises from 502 t to about 648.5 t.</x:v>
      </x:c>
      <x:c r="D9" s="33"/>
      <x:c r="E9" s="33"/>
      <x:c r="F9" s="33"/>
      <x:c r="G9" s="33"/>
      <x:c r="H9" s="33"/>
      <x:c r="I9" s="33"/>
      <x:c r="J9" s="33"/>
    </x:row>
    <x:row r="10">
      <x:c r="B10" s="83" t="str">
        <x:v>Energy method</x:v>
      </x:c>
      <x:c r="C10" s="33" t="str">
        <x:v>Each candidate solves energy mass and route energy as a fixed point. Battery-electric diverges under the registered coefficient; hydrogen is lighter but violates ancestry and casualty boundaries; metal-air and nuclear exceed other limits.</x:v>
      </x:c>
      <x:c r="D10" s="33"/>
      <x:c r="E10" s="33"/>
      <x:c r="F10" s="33"/>
      <x:c r="G10" s="33"/>
      <x:c r="H10" s="33"/>
      <x:c r="I10" s="33"/>
      <x:c r="J10" s="33"/>
    </x:row>
    <x:row r="11">
      <x:c r="B11" s="83" t="str">
        <x:v>Contact method</x:v>
      </x:c>
      <x:c r="C11" s="33" t="str">
        <x:v>Candidates face the same revised gross mass, 1.15 dynamic loading, 1.10 imbalance and loss of one contact pod. Only TAP-255 closes pressure, transition, speed, traction, obstacle, width and recovery together.</x:v>
      </x:c>
      <x:c r="D11" s="33"/>
      <x:c r="E11" s="33"/>
      <x:c r="F11" s="33"/>
      <x:c r="G11" s="33"/>
      <x:c r="H11" s="33"/>
      <x:c r="I11" s="33"/>
      <x:c r="J11" s="33"/>
    </x:row>
    <x:row r="12">
      <x:c r="B12" s="83" t="str">
        <x:v>Interface method</x:v>
      </x:c>
      <x:c r="C12" s="33" t="str">
        <x:v>Four complete receiver arrangements face disqualifying independence gates. Only physically federated receivers let each mode reach signed public service with no cross-mode borrowing.</x:v>
      </x:c>
      <x:c r="D12" s="33"/>
      <x:c r="E12" s="33"/>
      <x:c r="F12" s="33"/>
      <x:c r="G12" s="33"/>
      <x:c r="H12" s="33"/>
      <x:c r="I12" s="33"/>
      <x:c r="J12" s="33"/>
    </x:row>
    <x:row r="13">
      <x:c r="B13" s="83" t="str">
        <x:v>Clock</x:v>
      </x:c>
      <x:c r="C13" s="33" t="str">
        <x:v>Air reaches public service at absolute hour 47.92; terrain at 47.82; dual service is complete at hour 47.92. The optional corridor follows release.</x:v>
      </x:c>
      <x:c r="D13" s="33"/>
      <x:c r="E13" s="33"/>
      <x:c r="F13" s="33"/>
      <x:c r="G13" s="33"/>
      <x:c r="H13" s="33"/>
      <x:c r="I13" s="33"/>
      <x:c r="J13" s="33"/>
    </x:row>
    <x:row r="14">
      <x:c r="B14" s="83" t="str">
        <x:v>Force</x:v>
      </x:c>
      <x:c r="C14" s="33" t="str">
        <x:v>Forty-three ready terrain sets require 172 operational, 35 reserve and 12 test vehicles: 219 articles. The 30-group case needs 296 and exposes a 77-article gap.</x:v>
      </x:c>
      <x:c r="D14" s="33"/>
      <x:c r="E14" s="33"/>
      <x:c r="F14" s="33"/>
      <x:c r="G14" s="33"/>
      <x:c r="H14" s="33"/>
      <x:c r="I14" s="33"/>
      <x:c r="J14" s="33"/>
    </x:row>
    <x:row r="15">
      <x:c r="B15" s="83" t="str">
        <x:v>Cost</x:v>
      </x:c>
      <x:c r="C15" s="33" t="str">
        <x:v>SAT-170R is $1.33874524T; receiver federation adds $170.78694B; DCP-2 becomes $2.73651603T and the national boundary $10.11965758T.</x:v>
      </x:c>
      <x:c r="D15" s="33"/>
      <x:c r="E15" s="33"/>
      <x:c r="F15" s="33"/>
      <x:c r="G15" s="33"/>
      <x:c r="H15" s="33"/>
      <x:c r="I15" s="33"/>
      <x:c r="J15" s="33"/>
    </x:row>
    <x:row r="16">
      <x:c r="B16" s="83" t="str">
        <x:v>Evidence</x:v>
      </x:c>
      <x:c r="C16" s="33" t="str">
        <x:v>One hundred twenty representative gates remain open and strict evidence credit is zero. Arithmetic behavior is not admission.</x:v>
      </x:c>
      <x:c r="D16" s="33"/>
      <x:c r="E16" s="33"/>
      <x:c r="F16" s="33"/>
      <x:c r="G16" s="33"/>
      <x:c r="H16" s="33"/>
      <x:c r="I16" s="33"/>
      <x:c r="J16" s="33"/>
    </x:row>
    <x:row r="17">
      <x:c r="B17" s="83" t="str">
        <x:v>Rendering</x:v>
      </x:c>
      <x:c r="C17" s="33" t="str">
        <x:v>Blocked. Spatial packaging and full-scale evidence remain unstable, especially energy containment, heat rejection, pod sweep, bridge stowage and receiver exclusion.</x:v>
      </x:c>
      <x:c r="D17" s="33"/>
      <x:c r="E17" s="33"/>
      <x:c r="F17" s="33"/>
      <x:c r="G17" s="33"/>
      <x:c r="H17" s="33"/>
      <x:c r="I17" s="33"/>
      <x:c r="J17" s="33"/>
    </x:row>
    <x:row r="18">
      <x:c r="B18" s="83" t="str">
        <x:v>Sources</x:v>
      </x:c>
      <x:c r="C18" s="33" t="str">
        <x:v>Only repository requirements and declared design hypotheses are used. No external-site research is introduced.</x:v>
      </x:c>
      <x:c r="D18" s="33"/>
      <x:c r="E18" s="33"/>
      <x:c r="F18" s="33"/>
      <x:c r="G18" s="33"/>
      <x:c r="H18" s="33"/>
      <x:c r="I18" s="33"/>
      <x:c r="J18" s="33"/>
    </x:row>
    <x:row r="19">
      <x:c r="B19" s="84" t="str">
        <x:v>Suggested path</x:v>
      </x:c>
      <x:c r="C19" s="53" t="str">
        <x:v>Read Summary, then Energy Competition, Contact Competition, Interface Competition, Two-Mode Schedule, Production and Cost, Evidence Gates and Audit.</x:v>
      </x:c>
      <x:c r="D19" s="53"/>
      <x:c r="E19" s="53"/>
      <x:c r="F19" s="53"/>
      <x:c r="G19" s="53"/>
      <x:c r="H19" s="53"/>
      <x:c r="I19" s="53"/>
      <x:c r="J19" s="53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</x:row>
  </x:sheetData>
  <x:mergeCells>
    <x:mergeCell ref="B6:J6"/>
  </x:mergeCells>
  <x:pageMargins left="0.7" right="0.7" top="0.75" bottom="0.75" header="0.3" footer="0.3"/>
</x:worksheet>
</file>