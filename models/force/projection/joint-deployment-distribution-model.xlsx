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936304201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e430254daa74955"/>
    <x:sheet xmlns:r="http://schemas.openxmlformats.org/officeDocument/2006/relationships" name="Controls" sheetId="2" r:id="Rfb84ed12966e4a12"/>
    <x:sheet xmlns:r="http://schemas.openxmlformats.org/officeDocument/2006/relationships" name="Campaigns" sheetId="3" r:id="R0eb53b9c15574cf9"/>
    <x:sheet xmlns:r="http://schemas.openxmlformats.org/officeDocument/2006/relationships" name="Wave Doctrine" sheetId="4" r:id="Rb3361bd124514f44"/>
    <x:sheet xmlns:r="http://schemas.openxmlformats.org/officeDocument/2006/relationships" name="Campaign Waves" sheetId="5" r:id="Rf157bbd25dcb4340"/>
    <x:sheet xmlns:r="http://schemas.openxmlformats.org/officeDocument/2006/relationships" name="Mode Assignment" sheetId="6" r:id="R914e96b156394bd7"/>
    <x:sheet xmlns:r="http://schemas.openxmlformats.org/officeDocument/2006/relationships" name="Movement Fleet" sheetId="7" r:id="R965881a62dc54673"/>
    <x:sheet xmlns:r="http://schemas.openxmlformats.org/officeDocument/2006/relationships" name="Movement Capacity" sheetId="8" r:id="Re5ac0260263c4598"/>
    <x:sheet xmlns:r="http://schemas.openxmlformats.org/officeDocument/2006/relationships" name="Entry Node Classes" sheetId="9" r:id="R123dfb283b664619"/>
    <x:sheet xmlns:r="http://schemas.openxmlformats.org/officeDocument/2006/relationships" name="Campaign Nodes" sheetId="10" r:id="R9114225655404135"/>
    <x:sheet xmlns:r="http://schemas.openxmlformats.org/officeDocument/2006/relationships" name="Reception" sheetId="11" r:id="Re15e3cfb75ed42ab"/>
    <x:sheet xmlns:r="http://schemas.openxmlformats.org/officeDocument/2006/relationships" name="Onward" sheetId="12" r:id="Rf3488c421e084cb1"/>
    <x:sheet xmlns:r="http://schemas.openxmlformats.org/officeDocument/2006/relationships" name="Responder Bases" sheetId="13" r:id="Rac14df0eb9064759"/>
    <x:sheet xmlns:r="http://schemas.openxmlformats.org/officeDocument/2006/relationships" name="Sustainment" sheetId="14" r:id="R74a9ba9606fb4f62"/>
    <x:sheet xmlns:r="http://schemas.openxmlformats.org/officeDocument/2006/relationships" name="End-to-End" sheetId="15" r:id="Rb2e2a76321d449c2"/>
    <x:sheet xmlns:r="http://schemas.openxmlformats.org/officeDocument/2006/relationships" name="Degraded Case" sheetId="16" r:id="Rb34749d222f847ca"/>
    <x:sheet xmlns:r="http://schemas.openxmlformats.org/officeDocument/2006/relationships" name="Force Structure" sheetId="17" r:id="R0e4df61e433740a0"/>
    <x:sheet xmlns:r="http://schemas.openxmlformats.org/officeDocument/2006/relationships" name="Asset Build" sheetId="18" r:id="R592481192f9f4567"/>
    <x:sheet xmlns:r="http://schemas.openxmlformats.org/officeDocument/2006/relationships" name="Prepared Network" sheetId="19" r:id="R0cc00f9835634460"/>
    <x:sheet xmlns:r="http://schemas.openxmlformats.org/officeDocument/2006/relationships" name="Workforce" sheetId="20" r:id="R7c196ab2f8124868"/>
    <x:sheet xmlns:r="http://schemas.openxmlformats.org/officeDocument/2006/relationships" name="Capital Crosswalk" sheetId="21" r:id="Ra33a198565b443ad"/>
    <x:sheet xmlns:r="http://schemas.openxmlformats.org/officeDocument/2006/relationships" name="Annual Funding" sheetId="22" r:id="Rda3867a08cc54d16"/>
    <x:sheet xmlns:r="http://schemas.openxmlformats.org/officeDocument/2006/relationships" name="Operating Cost" sheetId="23" r:id="R43ce053038744f32"/>
    <x:sheet xmlns:r="http://schemas.openxmlformats.org/officeDocument/2006/relationships" name="Innovation Portfolio" sheetId="24" r:id="Rea1dc5357e20409b"/>
    <x:sheet xmlns:r="http://schemas.openxmlformats.org/officeDocument/2006/relationships" name="Authority Gates" sheetId="25" r:id="R663ae436a5194cfe"/>
    <x:sheet xmlns:r="http://schemas.openxmlformats.org/officeDocument/2006/relationships" name="Failure Modes" sheetId="26" r:id="Rc29276d3de60446c"/>
    <x:sheet xmlns:r="http://schemas.openxmlformats.org/officeDocument/2006/relationships" name="Evidence Gates" sheetId="27" r:id="Rc1b1b3a1ee0147f1"/>
    <x:sheet xmlns:r="http://schemas.openxmlformats.org/officeDocument/2006/relationships" name="Sources" sheetId="28" r:id="Re2e0da2abb154670"/>
    <x:sheet xmlns:r="http://schemas.openxmlformats.org/officeDocument/2006/relationships" name="Checks" sheetId="29" r:id="R1d614fb7ad3b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_(* #,##0_);_(* (#,##0);_(* &quot;-&quot;_);_(@_)"/>
    <x:numFmt numFmtId="201" formatCode="0.00"/>
    <x:numFmt numFmtId="202" formatCode="_(* #,##0.0_);_(* (#,##0.0);_(* &quot;-&quot;_);_(@_)"/>
    <x:numFmt numFmtId="203" formatCode="_(* 0.0%_);_(* (0.0%);_(* &quot;-&quot;_);_(@_)"/>
    <x:numFmt numFmtId="204" formatCode="0.0"/>
    <x:numFmt numFmtId="205" formatCode="0.00&quot;x&quot;"/>
  </x:numFmts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44546A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FBF5EA"/>
      </x:patternFill>
    </x:fill>
  </x:fills>
  <x:borders count="5">
    <x:border/>
    <x:border>
      <x:bottom style="thin">
        <x:color rgb="FF17365D"/>
      </x:bottom>
    </x:border>
    <x:border>
      <x:bottom style="medium">
        <x:color rgb="FF17365D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1" fontId="6" fillId="0" borderId="4" xfId="0" applyNumberFormat="1" applyFont="1" applyFill="1" applyBorder="1" applyAlignment="1">
      <x:alignment vertical="top" wrapText="1"/>
    </x:xf>
    <x:xf numFmtId="202" fontId="6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203" fontId="7" fillId="4" borderId="4" xfId="0" applyNumberFormat="1" applyFont="1" applyFill="1" applyBorder="1" applyAlignment="1">
      <x:alignment vertical="top" wrapText="1"/>
    </x:xf>
    <x:xf numFmtId="200" fontId="7" fillId="4" borderId="4" xfId="0" applyNumberFormat="1" applyFont="1" applyFill="1" applyBorder="1" applyAlignment="1">
      <x:alignment vertical="top" wrapText="1"/>
    </x:xf>
    <x:xf numFmtId="203" fontId="6" fillId="0" borderId="4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4" fontId="7" fillId="4" borderId="4" xfId="0" applyNumberFormat="1" applyFont="1" applyFill="1" applyBorder="1" applyAlignment="1">
      <x:alignment vertical="top" wrapText="1"/>
    </x:xf>
    <x:xf numFmtId="204" fontId="6" fillId="0" borderId="4" xfId="0" applyNumberFormat="1" applyFont="1" applyFill="1" applyBorder="1" applyAlignment="1">
      <x:alignment vertical="top" wrapText="1"/>
    </x:xf>
    <x:xf numFmtId="202" fontId="7" fillId="4" borderId="4" xfId="0" applyNumberFormat="1" applyFont="1" applyFill="1" applyBorder="1" applyAlignment="1">
      <x:alignment vertical="top" wrapText="1"/>
    </x:xf>
    <x:xf numFmtId="205" fontId="6" fillId="0" borderId="4" xfId="0" applyNumberFormat="1" applyFont="1" applyFill="1" applyBorder="1" applyAlignment="1">
      <x:alignment vertical="top" wrapText="1"/>
    </x:xf>
    <x:xf numFmtId="203" fontId="5" fillId="0" borderId="4" xfId="0" applyNumberFormat="1" applyFont="1" applyFill="1" applyBorder="1" applyAlignment="1">
      <x:alignment vertical="top" wrapText="1"/>
    </x:xf>
    <x:xf numFmtId="202" fontId="5" fillId="0" borderId="4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3" fillId="2" borderId="2" xfId="0" applyNumberFormat="1" applyFont="1" applyFill="1" applyBorder="1"/>
    <x:xf numFmtId="202" fontId="4" fillId="3" borderId="3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</x:cellXfs>
  <x:cellStyles count="1">
    <x:cellStyle name="Normal" xfId="0"/>
  </x:cellStyles>
  <x:dxfs count="3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a7762da4e4a83" /><Relationship Type="http://schemas.openxmlformats.org/officeDocument/2006/relationships/theme" Target="/xl/theme/theme1.xml" Id="R75db4c9bf43c4e3f" /><Relationship Type="http://schemas.openxmlformats.org/officeDocument/2006/relationships/sharedStrings" Target="/xl/sharedStrings.xml" Id="Rc77e742933bd4f39" /><Relationship Type="http://schemas.openxmlformats.org/officeDocument/2006/relationships/worksheet" Target="/xl/worksheets/sheet1.xml" Id="R4e430254daa74955" /><Relationship Type="http://schemas.openxmlformats.org/officeDocument/2006/relationships/worksheet" Target="/xl/worksheets/sheet2.xml" Id="Rfb84ed12966e4a12" /><Relationship Type="http://schemas.openxmlformats.org/officeDocument/2006/relationships/worksheet" Target="/xl/worksheets/sheet3.xml" Id="R0eb53b9c15574cf9" /><Relationship Type="http://schemas.openxmlformats.org/officeDocument/2006/relationships/worksheet" Target="/xl/worksheets/sheet4.xml" Id="Rb3361bd124514f44" /><Relationship Type="http://schemas.openxmlformats.org/officeDocument/2006/relationships/worksheet" Target="/xl/worksheets/sheet5.xml" Id="Rf157bbd25dcb4340" /><Relationship Type="http://schemas.openxmlformats.org/officeDocument/2006/relationships/worksheet" Target="/xl/worksheets/sheet6.xml" Id="R914e96b156394bd7" /><Relationship Type="http://schemas.openxmlformats.org/officeDocument/2006/relationships/worksheet" Target="/xl/worksheets/sheet7.xml" Id="R965881a62dc54673" /><Relationship Type="http://schemas.openxmlformats.org/officeDocument/2006/relationships/worksheet" Target="/xl/worksheets/sheet8.xml" Id="Re5ac0260263c4598" /><Relationship Type="http://schemas.openxmlformats.org/officeDocument/2006/relationships/worksheet" Target="/xl/worksheets/sheet9.xml" Id="R123dfb283b664619" /><Relationship Type="http://schemas.openxmlformats.org/officeDocument/2006/relationships/worksheet" Target="/xl/worksheets/sheet10.xml" Id="R9114225655404135" /><Relationship Type="http://schemas.openxmlformats.org/officeDocument/2006/relationships/worksheet" Target="/xl/worksheets/sheet11.xml" Id="Re15e3cfb75ed42ab" /><Relationship Type="http://schemas.openxmlformats.org/officeDocument/2006/relationships/worksheet" Target="/xl/worksheets/sheet12.xml" Id="Rf3488c421e084cb1" /><Relationship Type="http://schemas.openxmlformats.org/officeDocument/2006/relationships/worksheet" Target="/xl/worksheets/sheet13.xml" Id="Rac14df0eb9064759" /><Relationship Type="http://schemas.openxmlformats.org/officeDocument/2006/relationships/worksheet" Target="/xl/worksheets/sheet14.xml" Id="R74a9ba9606fb4f62" /><Relationship Type="http://schemas.openxmlformats.org/officeDocument/2006/relationships/worksheet" Target="/xl/worksheets/sheet15.xml" Id="Rb2e2a76321d449c2" /><Relationship Type="http://schemas.openxmlformats.org/officeDocument/2006/relationships/worksheet" Target="/xl/worksheets/sheet16.xml" Id="Rb34749d222f847ca" /><Relationship Type="http://schemas.openxmlformats.org/officeDocument/2006/relationships/worksheet" Target="/xl/worksheets/sheet17.xml" Id="R0e4df61e433740a0" /><Relationship Type="http://schemas.openxmlformats.org/officeDocument/2006/relationships/worksheet" Target="/xl/worksheets/sheet18.xml" Id="R592481192f9f4567" /><Relationship Type="http://schemas.openxmlformats.org/officeDocument/2006/relationships/worksheet" Target="/xl/worksheets/sheet19.xml" Id="R0cc00f9835634460" /><Relationship Type="http://schemas.openxmlformats.org/officeDocument/2006/relationships/worksheet" Target="/xl/worksheets/sheet20.xml" Id="R7c196ab2f8124868" /><Relationship Type="http://schemas.openxmlformats.org/officeDocument/2006/relationships/worksheet" Target="/xl/worksheets/sheet21.xml" Id="Ra33a198565b443ad" /><Relationship Type="http://schemas.openxmlformats.org/officeDocument/2006/relationships/worksheet" Target="/xl/worksheets/sheet22.xml" Id="Rda3867a08cc54d16" /><Relationship Type="http://schemas.openxmlformats.org/officeDocument/2006/relationships/worksheet" Target="/xl/worksheets/sheet23.xml" Id="R43ce053038744f32" /><Relationship Type="http://schemas.openxmlformats.org/officeDocument/2006/relationships/worksheet" Target="/xl/worksheets/sheet24.xml" Id="Rea1dc5357e20409b" /><Relationship Type="http://schemas.openxmlformats.org/officeDocument/2006/relationships/worksheet" Target="/xl/worksheets/sheet25.xml" Id="R663ae436a5194cfe" /><Relationship Type="http://schemas.openxmlformats.org/officeDocument/2006/relationships/worksheet" Target="/xl/worksheets/sheet26.xml" Id="Rc29276d3de60446c" /><Relationship Type="http://schemas.openxmlformats.org/officeDocument/2006/relationships/worksheet" Target="/xl/worksheets/sheet27.xml" Id="Rc1b1b3a1ee0147f1" /><Relationship Type="http://schemas.openxmlformats.org/officeDocument/2006/relationships/worksheet" Target="/xl/worksheets/sheet28.xml" Id="Re2e0da2abb154670" /><Relationship Type="http://schemas.openxmlformats.org/officeDocument/2006/relationships/worksheet" Target="/xl/worksheets/sheet29.xml" Id="R1d614fb7ad3b46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b277d4a1794f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de6573f666b47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End-to-End Capacity Margin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Reference</c:v>
          </c:tx>
          <c:cat>
            <c:strRef>
              <c:f>'Read Me'!$N$7:$N$16</c:f>
              <c:strCache>
                <c:ptCount val="0"/>
              </c:strCache>
            </c:strRef>
          </c:cat>
          <c:val>
            <c:numRef>
              <c:f>'Read Me'!$O$7:$O$16</c:f>
              <c:numCache>
                <c:formatCode>0.00"x"</c:formatCode>
                <c:ptCount val="0"/>
              </c:numCache>
            </c:numRef>
          </c:val>
        </c:ser>
        <c:ser>
          <c:idx val="1"/>
          <c:order val="1"/>
          <c:tx>
            <c:v>Degraded</c:v>
          </c:tx>
          <c:cat>
            <c:strRef>
              <c:f>'Read Me'!$N$7:$N$16</c:f>
              <c:strCache>
                <c:ptCount val="0"/>
              </c:strCache>
            </c:strRef>
          </c:cat>
          <c:val>
            <c:numRef>
              <c:f>'Read Me'!$P$7:$P$16</c:f>
              <c:numCache>
                <c:formatCode>0.00"x"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x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Attributable Capital by Program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Capital $B</c:v>
          </c:tx>
          <c:marker>
            <c:symbol val="none"/>
          </c:marker>
          <c:cat>
            <c:strRef>
              <c:f>'Annual Funding'!$C$7:$C$31</c:f>
              <c:strCache>
                <c:ptCount val="0"/>
              </c:strCache>
            </c:strRef>
          </c:cat>
          <c:val>
            <c:numRef>
              <c:f>'Annual Funding'!$F$7:$F$31</c:f>
              <c:numCache>
                <c:formatCode>_(* #,##0.0_);_(* (#,##0.0);_(* "-"_);_(@_)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17</xdr:row>
      <xdr:rowOff>0</xdr:rowOff>
    </xdr:from>
    <xdr:to>
      <xdr:col>22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b277d4a1794f5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e6573f666b47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20bc0421c4459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.xml" Id="R85e136145cce49c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78" hidden="0" customWidth="1"/>
    <x:col min="5" max="5" width="16" hidden="0" customWidth="1"/>
    <x:col min="6" max="6" width="60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</x:cols>
  <x:sheetData>
    <x:row r="2">
      <x:c r="C2" s="2" t="str">
        <x:v>Joint Deployment and Distribution Enterprise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</x:row>
    <x:row r="3">
      <x:c r="C3" s="5" t="str">
        <x:v>Pass 24 reference model · damaged-theater entry, force closure and sustainment · FY2026 planning dollars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</x:row>
    <x:row r="5">
      <x:c r="C5" s="8" t="str">
        <x:v>Decision view</x:v>
      </x:c>
      <x:c r="D5" s="8"/>
      <x:c r="E5" s="8"/>
      <x:c r="F5" s="8"/>
      <x:c r="G5" s="8"/>
      <x:c r="H5" s="8"/>
      <x:c r="I5" s="8"/>
      <x:c r="J5" s="8"/>
      <x:c r="K5" s="8"/>
      <x:c r="L5" s="8"/>
      <x:c r="M5" s="38"/>
      <x:c r="N5" s="38"/>
      <x:c r="O5" s="38"/>
      <x:c r="P5" s="38"/>
      <x:c r="Q5" s="38"/>
    </x:row>
    <x:row r="6" ht="24" hidden="0" customHeight="1">
      <x:c r="C6" s="13" t="str">
        <x:v>Question</x:v>
      </x:c>
      <x:c r="D6" s="13" t="str">
        <x:v>Reference answer</x:v>
      </x:c>
      <x:c r="E6" s="38"/>
      <x:c r="F6" s="38"/>
      <x:c r="G6" s="38"/>
      <x:c r="H6" s="38"/>
      <x:c r="I6" s="38"/>
      <x:c r="J6" s="38"/>
      <x:c r="K6" s="38"/>
      <x:c r="L6" s="38"/>
      <x:c r="M6" s="38"/>
      <x:c r="N6" s="38" t="str">
        <x:v>Campaign</x:v>
      </x:c>
      <x:c r="O6" s="38" t="str">
        <x:v>Reference</x:v>
      </x:c>
      <x:c r="P6" s="38" t="str">
        <x:v>Degraded</x:v>
      </x:c>
      <x:c r="Q6" s="38"/>
    </x:row>
    <x:row r="7" ht="180" hidden="0" customHeight="1">
      <x:c r="C7" s="17" t="str">
        <x:v>What is being built?</x:v>
      </x:c>
      <x:c r="D7" s="17" t="str">
        <x:v>A permanent National Resilience Deployment and Distribution Enterprise under Strategic Mobility Command—not a logistics adjunct.</x:v>
      </x:c>
      <x:c r="E7" s="38"/>
      <x:c r="F7" s="38"/>
      <x:c r="G7" s="38"/>
      <x:c r="H7" s="38"/>
      <x:c r="I7" s="38"/>
      <x:c r="J7" s="38"/>
      <x:c r="K7" s="38"/>
      <x:c r="L7" s="38"/>
      <x:c r="M7" s="38"/>
      <x:c r="N7" s="40" t="str">
        <x:f>'End-to-End'!C7</x:f>
        <x:v>C1</x:v>
      </x:c>
      <x:c r="O7" s="41" t="n">
        <x:f>'End-to-End'!H7</x:f>
        <x:v>1.4482420278004906</x:v>
      </x:c>
      <x:c r="P7" s="41" t="n">
        <x:f>'End-to-End'!O7</x:f>
        <x:v>1.2310057236304168</x:v>
      </x:c>
      <x:c r="Q7" s="38"/>
    </x:row>
    <x:row r="8" ht="180" hidden="0" customHeight="1">
      <x:c r="C8" s="17" t="str">
        <x:v>What changes from Pass 23?</x:v>
      </x:c>
      <x:c r="D8" s="17" t="str">
        <x:v>Deployment is time-phased into anticipatory, 72-hour service, 14-day initial capability, 45-day force closure and 90-day depth.</x:v>
      </x:c>
      <x:c r="E8" s="38"/>
      <x:c r="F8" s="38"/>
      <x:c r="G8" s="38"/>
      <x:c r="H8" s="38"/>
      <x:c r="I8" s="38"/>
      <x:c r="J8" s="38"/>
      <x:c r="K8" s="38"/>
      <x:c r="L8" s="38"/>
      <x:c r="M8" s="38"/>
      <x:c r="N8" s="40" t="str">
        <x:f>'End-to-End'!C8</x:f>
        <x:v>C2</x:v>
      </x:c>
      <x:c r="O8" s="41" t="n">
        <x:f>'End-to-End'!H8</x:f>
        <x:v>1.228537455410226</x:v>
      </x:c>
      <x:c r="P8" s="41" t="n">
        <x:f>'End-to-End'!O8</x:f>
        <x:v>1.044256837098692</x:v>
      </x:c>
      <x:c r="Q8" s="38"/>
    </x:row>
    <x:row r="9" ht="204" hidden="0" customHeight="1">
      <x:c r="C9" s="17" t="str">
        <x:v>What closes?</x:v>
      </x:c>
      <x:c r="D9" s="17" t="str">
        <x:v>All ten reference campaigns close across movement, reception, onward movement, responder basing and daily sustainment under declared assumptions.</x:v>
      </x:c>
      <x:c r="E9" s="38"/>
      <x:c r="F9" s="38"/>
      <x:c r="G9" s="38"/>
      <x:c r="H9" s="38"/>
      <x:c r="I9" s="38"/>
      <x:c r="J9" s="38"/>
      <x:c r="K9" s="38"/>
      <x:c r="L9" s="38"/>
      <x:c r="M9" s="38"/>
      <x:c r="N9" s="40" t="str">
        <x:f>'End-to-End'!C9</x:f>
        <x:v>C3</x:v>
      </x:c>
      <x:c r="O9" s="41" t="n">
        <x:f>'End-to-End'!H9</x:f>
        <x:v>1.0923623445825932</x:v>
      </x:c>
      <x:c r="P9" s="41" t="n">
        <x:f>'End-to-End'!O9</x:f>
        <x:v>0.7646536412078153</x:v>
      </x:c>
      <x:c r="Q9" s="38"/>
    </x:row>
    <x:row r="10" ht="156" hidden="0" customHeight="1">
      <x:c r="C10" s="17" t="str">
        <x:v>What remains fragile?</x:v>
      </x:c>
      <x:c r="D10" s="17" t="str">
        <x:v>A correlated primary-entry-path loss breaks the Cascadia and allied megacity campaigns; eight of ten degraded chains close.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40" t="str">
        <x:f>'End-to-End'!C10</x:f>
        <x:v>M1</x:v>
      </x:c>
      <x:c r="O10" s="41" t="n">
        <x:f>'End-to-End'!H10</x:f>
        <x:v>1.1325071496663488</x:v>
      </x:c>
      <x:c r="P10" s="41" t="n">
        <x:f>'End-to-End'!O10</x:f>
        <x:v>1.0362383531960997</x:v>
      </x:c>
      <x:c r="Q10" s="38"/>
    </x:row>
    <x:row r="11" ht="216" hidden="0" customHeight="1">
      <x:c r="C11" s="17" t="str">
        <x:v>What does it cost?</x:v>
      </x:c>
      <x:c r="D11" s="17" t="str">
        <x:v>The attributable enterprise envelope is a decomposition of Pass 23—not additive to it—and includes formation, fixed-network, R&amp;D, workforce, digital and industrial lines.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40" t="str">
        <x:f>'End-to-End'!C11</x:f>
        <x:v>M2</x:v>
      </x:c>
      <x:c r="O11" s="41" t="n">
        <x:f>'End-to-End'!H11</x:f>
        <x:v>1.0259329747621018</x:v>
      </x:c>
      <x:c r="P11" s="41" t="n">
        <x:f>'End-to-End'!O11</x:f>
        <x:v>1.0054143152668598</x:v>
      </x:c>
      <x:c r="Q11" s="38"/>
    </x:row>
    <x:row r="12" ht="132" hidden="0" customHeight="1">
      <x:c r="C12" s="17" t="str">
        <x:v>Rendering status</x:v>
      </x:c>
      <x:c r="D12" s="17" t="str">
        <x:v>Blocked. The asset classes are planning equivalents until engineering configurations and evidence gates close.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40" t="str">
        <x:f>'End-to-End'!C12</x:f>
        <x:v>M3</x:v>
      </x:c>
      <x:c r="O12" s="41" t="n">
        <x:f>'End-to-End'!H12</x:f>
        <x:v>1.1892748324192564</x:v>
      </x:c>
      <x:c r="P12" s="41" t="n">
        <x:f>'End-to-End'!O12</x:f>
        <x:v>1.0108836075563679</x:v>
      </x:c>
      <x:c r="Q12" s="38"/>
    </x:row>
    <x:row r="13"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40" t="str">
        <x:f>'End-to-End'!C13</x:f>
        <x:v>M4</x:v>
      </x:c>
      <x:c r="O13" s="41" t="n">
        <x:f>'End-to-End'!H13</x:f>
        <x:v>1.2423319717786854</x:v>
      </x:c>
      <x:c r="P13" s="41" t="n">
        <x:f>'End-to-End'!O13</x:f>
        <x:v>1.0559821760118826</x:v>
      </x:c>
      <x:c r="Q13" s="38"/>
    </x:row>
    <x:row r="14"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40" t="str">
        <x:f>'End-to-End'!C14</x:f>
        <x:v>M5</x:v>
      </x:c>
      <x:c r="O14" s="41" t="n">
        <x:f>'End-to-End'!H14</x:f>
        <x:v>1.4389677419354838</x:v>
      </x:c>
      <x:c r="P14" s="41" t="n">
        <x:f>'End-to-End'!O14</x:f>
        <x:v>1.2231225806451613</x:v>
      </x:c>
      <x:c r="Q14" s="38"/>
    </x:row>
    <x:row r="15">
      <x:c r="C15" s="8" t="str">
        <x:v>Reader path</x:v>
      </x:c>
      <x:c r="D15" s="8"/>
      <x:c r="E15" s="8"/>
      <x:c r="F15" s="8"/>
      <x:c r="G15" s="8"/>
      <x:c r="H15" s="8"/>
      <x:c r="I15" s="8"/>
      <x:c r="J15" s="8"/>
      <x:c r="K15" s="8"/>
      <x:c r="L15" s="8"/>
      <x:c r="M15" s="38"/>
      <x:c r="N15" s="40" t="str">
        <x:f>'End-to-End'!C15</x:f>
        <x:v>G1</x:v>
      </x:c>
      <x:c r="O15" s="41" t="n">
        <x:f>'End-to-End'!H15</x:f>
        <x:v>1.0933333333333333</x:v>
      </x:c>
      <x:c r="P15" s="41" t="n">
        <x:f>'End-to-End'!O15</x:f>
        <x:v>0.7653333333333333</x:v>
      </x:c>
      <x:c r="Q15" s="38"/>
    </x:row>
    <x:row r="16" ht="15" hidden="0" customHeight="1">
      <x:c r="C16" s="13" t="str">
        <x:v>Sequence</x:v>
      </x:c>
      <x:c r="D16" s="13" t="str">
        <x:v>Read</x:v>
      </x:c>
      <x:c r="E16" s="13" t="str">
        <x:v>Decision</x:v>
      </x:c>
      <x:c r="F16" s="38"/>
      <x:c r="G16" s="38"/>
      <x:c r="H16" s="38"/>
      <x:c r="I16" s="38"/>
      <x:c r="J16" s="38"/>
      <x:c r="K16" s="38"/>
      <x:c r="L16" s="38"/>
      <x:c r="M16" s="38"/>
      <x:c r="N16" s="40" t="str">
        <x:f>'End-to-End'!C16</x:f>
        <x:v>G2</x:v>
      </x:c>
      <x:c r="O16" s="41" t="n">
        <x:f>'End-to-End'!H16</x:f>
        <x:v>1.0692233940556088</x:v>
      </x:c>
      <x:c r="P16" s="41" t="n">
        <x:f>'End-to-End'!O16</x:f>
        <x:v>1.0157622243528284</x:v>
      </x:c>
      <x:c r="Q16" s="38"/>
    </x:row>
    <x:row r="17" ht="72" hidden="0" customHeight="1">
      <x:c r="C17" s="17" t="n">
        <x:v>1</x:v>
      </x:c>
      <x:c r="D17" s="17" t="str">
        <x:v>Campaigns → Wave Doctrine → Campaign Waves</x:v>
      </x:c>
      <x:c r="E17" s="17" t="str">
        <x:v>Separate life-safety initiation from full force closure.</x:v>
      </x:c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</x:row>
    <x:row r="18" ht="84" hidden="0" customHeight="1">
      <x:c r="C18" s="17" t="n">
        <x:v>2</x:v>
      </x:c>
      <x:c r="D18" s="17" t="str">
        <x:v>Mode Assignment → Movement Fleet → Movement Capacity</x:v>
      </x:c>
      <x:c r="E18" s="17" t="str">
        <x:v>Test whether national lift closes by mode and deadline.</x:v>
      </x:c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</x:row>
    <x:row r="19" ht="72" hidden="0" customHeight="1">
      <x:c r="C19" s="17" t="n">
        <x:v>3</x:v>
      </x:c>
      <x:c r="D19" s="17" t="str">
        <x:v>Entry Node Classes → Campaign Nodes → Reception</x:v>
      </x:c>
      <x:c r="E19" s="17" t="str">
        <x:v>Test damaged-theater entry and correlated loss.</x:v>
      </x:c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</x:row>
    <x:row r="20" ht="72" hidden="0" customHeight="1">
      <x:c r="C20" s="17" t="n">
        <x:v>4</x:v>
      </x:c>
      <x:c r="D20" s="17" t="str">
        <x:v>Onward → Responder Bases → Sustainment → End-to-End</x:v>
      </x:c>
      <x:c r="E20" s="17" t="str">
        <x:v>Expose the weakest link in each campaign chain.</x:v>
      </x:c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</x:row>
    <x:row r="21" ht="84" hidden="0" customHeight="1">
      <x:c r="C21" s="17" t="n">
        <x:v>5</x:v>
      </x:c>
      <x:c r="D21" s="17" t="str">
        <x:v>Force Structure → Asset Build → Prepared Network → Workforce</x:v>
      </x:c>
      <x:c r="E21" s="17" t="str">
        <x:v>See what must exist before the emergency.</x:v>
      </x:c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</x:row>
    <x:row r="22" ht="96" hidden="0" customHeight="1">
      <x:c r="C22" s="17" t="n">
        <x:v>6</x:v>
      </x:c>
      <x:c r="D22" s="17" t="str">
        <x:v>Capital Crosswalk → Annual Funding → Operating Cost</x:v>
      </x:c>
      <x:c r="E22" s="17" t="str">
        <x:v>Reconcile this enterprise to the Pass 23 force and fiscal architecture.</x:v>
      </x:c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</x:row>
    <x:row r="23" ht="84" hidden="0" customHeight="1">
      <x:c r="C23" s="17" t="n">
        <x:v>7</x:v>
      </x:c>
      <x:c r="D23" s="17" t="str">
        <x:v>Innovation Portfolio → Authority Gates → Evidence Gates → Checks</x:v>
      </x:c>
      <x:c r="E23" s="17" t="str">
        <x:v>See what must be invented, governed and proven.</x:v>
      </x:c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</x:row>
    <x:row r="24"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</x:row>
    <x:row r="25"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</x:row>
    <x:row r="26"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</x:row>
    <x:row r="27">
      <x:c r="C27" s="8" t="str">
        <x:v>Headline outputs</x:v>
      </x:c>
      <x:c r="D27" s="8"/>
      <x:c r="E27" s="8"/>
      <x:c r="F27" s="8"/>
      <x:c r="G27" s="8"/>
      <x:c r="H27" s="8"/>
      <x:c r="I27" s="8"/>
      <x:c r="J27" s="8"/>
      <x:c r="K27" s="8"/>
      <x:c r="L27" s="8"/>
      <x:c r="M27" s="38"/>
      <x:c r="N27" s="38"/>
      <x:c r="O27" s="38"/>
      <x:c r="P27" s="38"/>
      <x:c r="Q27" s="38"/>
    </x:row>
    <x:row r="28" ht="15" hidden="0" customHeight="1">
      <x:c r="C28" s="13" t="str">
        <x:v>Metric</x:v>
      </x:c>
      <x:c r="D28" s="13" t="str">
        <x:v>Value</x:v>
      </x:c>
      <x:c r="E28" s="13" t="str">
        <x:v>Unit</x:v>
      </x:c>
      <x:c r="F28" s="13" t="str">
        <x:v>Meaning</x:v>
      </x:c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</x:row>
    <x:row r="29" ht="60" hidden="0" customHeight="1">
      <x:c r="C29" s="17" t="str">
        <x:v>Reference campaign chains closed</x:v>
      </x:c>
      <x:c r="D29" s="19" t="n">
        <x:f>COUNTIF('End-to-End'!$J$7:$J$16,"PASS")</x:f>
        <x:v>10</x:v>
      </x:c>
      <x:c r="E29" s="17" t="str">
        <x:v>of 10</x:v>
      </x:c>
      <x:c r="F29" s="17" t="str">
        <x:v>Every required link has margin ≥ 1.0</x:v>
      </x:c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</x:row>
    <x:row r="30" ht="48" hidden="0" customHeight="1">
      <x:c r="C30" s="17" t="str">
        <x:v>Degraded campaign chains closed</x:v>
      </x:c>
      <x:c r="D30" s="19" t="n">
        <x:f>COUNTIF('End-to-End'!$P$7:$P$16,"PASS")</x:f>
        <x:v>8</x:v>
      </x:c>
      <x:c r="E30" s="17" t="str">
        <x:v>of 10</x:v>
      </x:c>
      <x:c r="F30" s="17" t="str">
        <x:v>Correlated loss case; not a probability</x:v>
      </x:c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</x:row>
    <x:row r="31" ht="48" hidden="0" customHeight="1">
      <x:c r="C31" s="17" t="str">
        <x:v>Full deployed mass</x:v>
      </x:c>
      <x:c r="D31" s="20" t="n">
        <x:f>SUM('Campaigns'!$I$7:$I$16)/1000000</x:f>
        <x:v>11.5807</x:v>
      </x:c>
      <x:c r="E31" s="17" t="str">
        <x:v>million t</x:v>
      </x:c>
      <x:c r="F31" s="17" t="str">
        <x:v>Same ten-campaign force as Pass 23</x:v>
      </x:c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</x:row>
    <x:row r="32" ht="48" hidden="0" customHeight="1">
      <x:c r="C32" s="17" t="str">
        <x:v>Attributable capital envelope</x:v>
      </x:c>
      <x:c r="D32" s="20" t="n">
        <x:f>'Capital Crosswalk'!$D$35/1000</x:f>
        <x:v>4.74408</x:v>
      </x:c>
      <x:c r="E32" s="17" t="str">
        <x:v>$T</x:v>
      </x:c>
      <x:c r="F32" s="17" t="str">
        <x:v>Inside the $12.049T Pass 23 total</x:v>
      </x:c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</x:row>
    <x:row r="33" ht="48" hidden="0" customHeight="1">
      <x:c r="C33" s="17" t="str">
        <x:v>Affiliated enterprise workforce</x:v>
      </x:c>
      <x:c r="D33" s="20" t="n">
        <x:f>'Workforce'!$I$24/1000000</x:f>
        <x:v>1.2079312</x:v>
      </x:c>
      <x:c r="E33" s="17" t="str">
        <x:v>million billet-eq.</x:v>
      </x:c>
      <x:c r="F33" s="17" t="str">
        <x:v>Direct plus allocated institutional overhead</x:v>
      </x:c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</x:row>
    <x:row r="34" ht="60" hidden="0" customHeight="1">
      <x:c r="C34" s="17" t="str">
        <x:v>Mature annual operating screen</x:v>
      </x:c>
      <x:c r="D34" s="21" t="n">
        <x:f>'Operating Cost'!$D$24</x:f>
        <x:v>332.549057</x:v>
      </x:c>
      <x:c r="E34" s="17" t="str">
        <x:v>$B/year</x:v>
      </x:c>
      <x:c r="F34" s="17" t="str">
        <x:v>Crosswalk, not incremental appropriations</x:v>
      </x:c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</x:row>
  </x:sheetData>
  <x:mergeCells>
    <x:mergeCell ref="C5:L5"/>
    <x:mergeCell ref="C15:L15"/>
    <x:mergeCell ref="C27:L27"/>
  </x:mergeCells>
  <x:pageMargins left="0.7" right="0.7" top="0.75" bottom="0.75" header="0.3" footer="0.3"/>
  <x:drawing xmlns:r="http://schemas.openxmlformats.org/officeDocument/2006/relationships" r:id="Red20bc0421c44595"/>
</x:worksheet>
</file>

<file path=xl/worksheets/sheet2.xml><?xml version="1.0" encoding="utf-8"?>
<x:worksheet xmlns:x="http://schemas.openxmlformats.org/spreadsheetml/2006/main">
  <x:sheetPr>
    <x:tabColor rgb="FFF4E7D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8" hidden="0" customWidth="1"/>
    <x:col min="5" max="5" width="18" hidden="0" customWidth="1"/>
    <x:col min="6" max="6" width="68" hidden="0" customWidth="1"/>
  </x:cols>
  <x:sheetData>
    <x:row r="2">
      <x:c r="C2" s="2" t="str">
        <x:v>Controls</x:v>
      </x:c>
      <x:c r="D2" s="37"/>
      <x:c r="E2" s="37"/>
      <x:c r="F2" s="37"/>
      <x:c r="G2" s="37"/>
      <x:c r="H2" s="37"/>
      <x:c r="I2" s="37"/>
      <x:c r="J2" s="37"/>
      <x:c r="K2" s="37"/>
    </x:row>
    <x:row r="3">
      <x:c r="C3" s="5" t="str">
        <x:v>Editable policy and planning assumptions; blue type on pale tan cells. These are hypotheses, not validated performance.</x:v>
      </x:c>
      <x:c r="D3" s="5"/>
      <x:c r="E3" s="5"/>
      <x:c r="F3" s="5"/>
      <x:c r="G3" s="5"/>
      <x:c r="H3" s="5"/>
      <x:c r="I3" s="5"/>
      <x:c r="J3" s="5"/>
      <x:c r="K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</x:row>
    <x:row r="6" ht="24" hidden="0" customHeight="1">
      <x:c r="C6" s="13" t="str">
        <x:v>Variable</x:v>
      </x:c>
      <x:c r="D6" s="13" t="str">
        <x:v>Reference</x:v>
      </x:c>
      <x:c r="E6" s="13" t="str">
        <x:v>Unit</x:v>
      </x:c>
      <x:c r="F6" s="13" t="str">
        <x:v>Interpretation</x:v>
      </x:c>
      <x:c r="G6" s="38"/>
      <x:c r="H6" s="38"/>
      <x:c r="I6" s="38"/>
      <x:c r="J6" s="38"/>
      <x:c r="K6" s="38"/>
    </x:row>
    <x:row r="7" ht="48" hidden="0" customHeight="1">
      <x:c r="C7" s="17" t="str">
        <x:v>Reference campaign count</x:v>
      </x:c>
      <x:c r="D7" s="23" t="n">
        <x:v>10</x:v>
      </x:c>
      <x:c r="E7" s="17" t="str">
        <x:v>campaigns</x:v>
      </x:c>
      <x:c r="F7" s="17" t="str">
        <x:v>3 catastrophic + 5 major + 2 global</x:v>
      </x:c>
      <x:c r="G7" s="38"/>
      <x:c r="H7" s="38"/>
      <x:c r="I7" s="38"/>
      <x:c r="J7" s="38"/>
      <x:c r="K7" s="38"/>
    </x:row>
    <x:row r="8" ht="48" hidden="0" customHeight="1">
      <x:c r="C8" s="17" t="str">
        <x:v>Initial operating capability deadline</x:v>
      </x:c>
      <x:c r="D8" s="23" t="n">
        <x:v>14</x:v>
      </x:c>
      <x:c r="E8" s="17" t="str">
        <x:v>days</x:v>
      </x:c>
      <x:c r="F8" s="17" t="str">
        <x:v>R0 + R1 + R2 mass received and cleared</x:v>
      </x:c>
      <x:c r="G8" s="38"/>
      <x:c r="H8" s="38"/>
      <x:c r="I8" s="38"/>
      <x:c r="J8" s="38"/>
      <x:c r="K8" s="38"/>
    </x:row>
    <x:row r="9" ht="36" hidden="0" customHeight="1">
      <x:c r="C9" s="17" t="str">
        <x:v>Force-closure deadline</x:v>
      </x:c>
      <x:c r="D9" s="23" t="n">
        <x:v>45</x:v>
      </x:c>
      <x:c r="E9" s="17" t="str">
        <x:v>days</x:v>
      </x:c>
      <x:c r="F9" s="17" t="str">
        <x:v>R0 through R3 mass in theater</x:v>
      </x:c>
      <x:c r="G9" s="38"/>
      <x:c r="H9" s="38"/>
      <x:c r="I9" s="38"/>
      <x:c r="J9" s="38"/>
      <x:c r="K9" s="38"/>
    </x:row>
    <x:row r="10" ht="60" hidden="0" customHeight="1">
      <x:c r="C10" s="17" t="str">
        <x:v>Depth deadline</x:v>
      </x:c>
      <x:c r="D10" s="23" t="n">
        <x:v>90</x:v>
      </x:c>
      <x:c r="E10" s="17" t="str">
        <x:v>days</x:v>
      </x:c>
      <x:c r="F10" s="17" t="str">
        <x:v>All deployable mass and replacement depth</x:v>
      </x:c>
      <x:c r="G10" s="38"/>
      <x:c r="H10" s="38"/>
      <x:c r="I10" s="38"/>
      <x:c r="J10" s="38"/>
      <x:c r="K10" s="38"/>
    </x:row>
    <x:row r="11" ht="60" hidden="0" customHeight="1">
      <x:c r="C11" s="17" t="str">
        <x:v>Responder base modules per opening command</x:v>
      </x:c>
      <x:c r="D11" s="23" t="n">
        <x:v>8</x:v>
      </x:c>
      <x:c r="E11" s="17" t="str">
        <x:v>modules</x:v>
      </x:c>
      <x:c r="F11" s="17" t="str">
        <x:v>Modular sites, not one giant camp</x:v>
      </x:c>
      <x:c r="G11" s="38"/>
      <x:c r="H11" s="38"/>
      <x:c r="I11" s="38"/>
      <x:c r="J11" s="38"/>
      <x:c r="K11" s="38"/>
    </x:row>
    <x:row r="12" ht="48" hidden="0" customHeight="1">
      <x:c r="C12" s="17" t="str">
        <x:v>People per base module</x:v>
      </x:c>
      <x:c r="D12" s="23" t="n">
        <x:v>8250</x:v>
      </x:c>
      <x:c r="E12" s="17" t="str">
        <x:v>people</x:v>
      </x:c>
      <x:c r="F12" s="17" t="str">
        <x:v>Zero-host-utility designed capacity</x:v>
      </x:c>
      <x:c r="G12" s="38"/>
      <x:c r="H12" s="38"/>
      <x:c r="I12" s="38"/>
      <x:c r="J12" s="38"/>
      <x:c r="K12" s="38"/>
    </x:row>
    <x:row r="13" ht="48" hidden="0" customHeight="1">
      <x:c r="C13" s="17" t="str">
        <x:v>Base module availability</x:v>
      </x:c>
      <x:c r="D13" s="24" t="n">
        <x:v>0.8</x:v>
      </x:c>
      <x:c r="E13" s="17" t="str">
        <x:v>share</x:v>
      </x:c>
      <x:c r="F13" s="17" t="str">
        <x:v>Material, crew and movement availability</x:v>
      </x:c>
      <x:c r="G13" s="38"/>
      <x:c r="H13" s="38"/>
      <x:c r="I13" s="38"/>
      <x:c r="J13" s="38"/>
      <x:c r="K13" s="38"/>
    </x:row>
    <x:row r="14" ht="72" hidden="0" customHeight="1">
      <x:c r="C14" s="17" t="str">
        <x:v>Gross onward throughput per sustainment command</x:v>
      </x:c>
      <x:c r="D14" s="23" t="n">
        <x:v>18000</x:v>
      </x:c>
      <x:c r="E14" s="17" t="str">
        <x:v>t/day</x:v>
      </x:c>
      <x:c r="F14" s="17" t="str">
        <x:v>Before availability and route factors</x:v>
      </x:c>
      <x:c r="G14" s="38"/>
      <x:c r="H14" s="38"/>
      <x:c r="I14" s="38"/>
      <x:c r="J14" s="38"/>
      <x:c r="K14" s="38"/>
    </x:row>
    <x:row r="15" ht="60" hidden="0" customHeight="1">
      <x:c r="C15" s="17" t="str">
        <x:v>Onward availability</x:v>
      </x:c>
      <x:c r="D15" s="24" t="n">
        <x:v>0.82</x:v>
      </x:c>
      <x:c r="E15" s="17" t="str">
        <x:v>share</x:v>
      </x:c>
      <x:c r="F15" s="17" t="str">
        <x:v>Command, vehicles, hubs and communications</x:v>
      </x:c>
      <x:c r="G15" s="38"/>
      <x:c r="H15" s="38"/>
      <x:c r="I15" s="38"/>
      <x:c r="J15" s="38"/>
      <x:c r="K15" s="38"/>
    </x:row>
    <x:row r="16" ht="60" hidden="0" customHeight="1">
      <x:c r="C16" s="17" t="str">
        <x:v>Gross sustainment throughput per command</x:v>
      </x:c>
      <x:c r="D16" s="23" t="n">
        <x:v>8000</x:v>
      </x:c>
      <x:c r="E16" s="17" t="str">
        <x:v>t/day</x:v>
      </x:c>
      <x:c r="F16" s="17" t="str">
        <x:v>Daily replenishment and reverse flow</x:v>
      </x:c>
      <x:c r="G16" s="38"/>
      <x:c r="H16" s="38"/>
      <x:c r="I16" s="38"/>
      <x:c r="J16" s="38"/>
      <x:c r="K16" s="38"/>
    </x:row>
    <x:row r="17" ht="24" hidden="0" customHeight="1">
      <x:c r="C17" s="17" t="str">
        <x:v>Formation O&amp;M rate</x:v>
      </x:c>
      <x:c r="D17" s="24" t="n">
        <x:v>0.03</x:v>
      </x:c>
      <x:c r="E17" s="17" t="str">
        <x:v>share of capital/year</x:v>
      </x:c>
      <x:c r="F17" s="17" t="str">
        <x:v>Screening rate only</x:v>
      </x:c>
      <x:c r="G17" s="38"/>
      <x:c r="H17" s="38"/>
      <x:c r="I17" s="38"/>
      <x:c r="J17" s="38"/>
      <x:c r="K17" s="38"/>
    </x:row>
    <x:row r="18" ht="72" hidden="0" customHeight="1">
      <x:c r="C18" s="17" t="str">
        <x:v>Common enabling O&amp;M rate</x:v>
      </x:c>
      <x:c r="D18" s="24" t="n">
        <x:v>0.02</x:v>
      </x:c>
      <x:c r="E18" s="17" t="str">
        <x:v>share of capital/year</x:v>
      </x:c>
      <x:c r="F18" s="17" t="str">
        <x:v>Fixed network, research and industrial lines</x:v>
      </x:c>
      <x:c r="G18" s="38"/>
      <x:c r="H18" s="38"/>
      <x:c r="I18" s="38"/>
      <x:c r="J18" s="38"/>
      <x:c r="K18" s="38"/>
    </x:row>
    <x:row r="19" ht="48" hidden="0" customHeight="1">
      <x:c r="C19" s="17" t="str">
        <x:v>Institutional overhead</x:v>
      </x:c>
      <x:c r="D19" s="24" t="n">
        <x:v>0.12</x:v>
      </x:c>
      <x:c r="E19" s="17" t="str">
        <x:v>share of direct billets</x:v>
      </x:c>
      <x:c r="F19" s="17" t="str">
        <x:v>Allocated from Pass 23, not additive</x:v>
      </x:c>
      <x:c r="G19" s="38"/>
      <x:c r="H19" s="38"/>
      <x:c r="I19" s="38"/>
      <x:c r="J19" s="38"/>
      <x:c r="K19" s="38"/>
    </x:row>
    <x:row r="20" ht="36" hidden="0" customHeight="1">
      <x:c r="C20" s="17" t="str">
        <x:v>Program reserve</x:v>
      </x:c>
      <x:c r="D20" s="24" t="n">
        <x:v>0.2</x:v>
      </x:c>
      <x:c r="E20" s="17" t="str">
        <x:v>share of pre-reserve capital</x:v>
      </x:c>
      <x:c r="F20" s="17" t="str">
        <x:v>Pass 23 policy reserve</x:v>
      </x:c>
      <x:c r="G20" s="38"/>
      <x:c r="H20" s="38"/>
      <x:c r="I20" s="38"/>
      <x:c r="J20" s="38"/>
      <x:c r="K20" s="38"/>
    </x:row>
    <x:row r="21">
      <x:c r="C21" s="38"/>
      <x:c r="D21" s="38"/>
      <x:c r="E21" s="38"/>
      <x:c r="F21" s="38"/>
      <x:c r="G21" s="38"/>
      <x:c r="H21" s="38"/>
      <x:c r="I21" s="38"/>
      <x:c r="J21" s="38"/>
      <x:c r="K21" s="38"/>
    </x:row>
    <x:row r="22">
      <x:c r="C22" s="38"/>
      <x:c r="D22" s="38"/>
      <x:c r="E22" s="38"/>
      <x:c r="F22" s="38"/>
      <x:c r="G22" s="38"/>
      <x:c r="H22" s="38"/>
      <x:c r="I22" s="38"/>
      <x:c r="J22" s="38"/>
      <x:c r="K22" s="38"/>
    </x:row>
    <x:row r="23">
      <x:c r="C23" s="8" t="str">
        <x:v>Annual personnel-cost assumptions</x:v>
      </x:c>
      <x:c r="D23" s="8"/>
      <x:c r="E23" s="8"/>
      <x:c r="F23" s="8"/>
      <x:c r="G23" s="38"/>
      <x:c r="H23" s="38"/>
      <x:c r="I23" s="38"/>
      <x:c r="J23" s="38"/>
      <x:c r="K23" s="38"/>
    </x:row>
    <x:row r="24" ht="36" hidden="0" customHeight="1">
      <x:c r="C24" s="13" t="str">
        <x:v>Component</x:v>
      </x:c>
      <x:c r="D24" s="13" t="str">
        <x:v>$B per billet-equivalent</x:v>
      </x:c>
      <x:c r="E24" s="13" t="str">
        <x:v>$K equivalent</x:v>
      </x:c>
      <x:c r="F24" s="13" t="str">
        <x:v>Boundary</x:v>
      </x:c>
      <x:c r="G24" s="38"/>
      <x:c r="H24" s="38"/>
      <x:c r="I24" s="38"/>
      <x:c r="J24" s="38"/>
      <x:c r="K24" s="38"/>
    </x:row>
    <x:row r="25" ht="60" hidden="0" customHeight="1">
      <x:c r="C25" s="17" t="str">
        <x:v>Permanent federal</x:v>
      </x:c>
      <x:c r="D25" s="23" t="n">
        <x:v>0.00016</x:v>
      </x:c>
      <x:c r="E25" s="17" t="n">
        <x:v>160</x:v>
      </x:c>
      <x:c r="F25" s="17" t="str">
        <x:v>Compensation, benefits and ordinary support</x:v>
      </x:c>
      <x:c r="G25" s="38"/>
      <x:c r="H25" s="38"/>
      <x:c r="I25" s="38"/>
      <x:c r="J25" s="38"/>
      <x:c r="K25" s="38"/>
    </x:row>
    <x:row r="26" ht="60" hidden="0" customHeight="1">
      <x:c r="C26" s="17" t="str">
        <x:v>Federal reserve</x:v>
      </x:c>
      <x:c r="D26" s="23" t="n">
        <x:v>0.00005</x:v>
      </x:c>
      <x:c r="E26" s="17" t="n">
        <x:v>50</x:v>
      </x:c>
      <x:c r="F26" s="17" t="str">
        <x:v>Paid readiness, training and mobilization average</x:v>
      </x:c>
      <x:c r="G26" s="38"/>
      <x:c r="H26" s="38"/>
      <x:c r="I26" s="38"/>
      <x:c r="J26" s="38"/>
      <x:c r="K26" s="38"/>
    </x:row>
    <x:row r="27" ht="36" hidden="0" customHeight="1">
      <x:c r="C27" s="17" t="str">
        <x:v>State / territorial</x:v>
      </x:c>
      <x:c r="D27" s="23" t="n">
        <x:v>0.000055</x:v>
      </x:c>
      <x:c r="E27" s="17" t="n">
        <x:v>55</x:v>
      </x:c>
      <x:c r="F27" s="17" t="str">
        <x:v>Combined planning equivalent</x:v>
      </x:c>
      <x:c r="G27" s="38"/>
      <x:c r="H27" s="38"/>
      <x:c r="I27" s="38"/>
      <x:c r="J27" s="38"/>
      <x:c r="K27" s="38"/>
    </x:row>
    <x:row r="28" ht="48" hidden="0" customHeight="1">
      <x:c r="C28" s="17" t="str">
        <x:v>Certified industry</x:v>
      </x:c>
      <x:c r="D28" s="23" t="n">
        <x:v>0.00009</x:v>
      </x:c>
      <x:c r="E28" s="17" t="n">
        <x:v>90</x:v>
      </x:c>
      <x:c r="F28" s="17" t="str">
        <x:v>Readiness retainer and mobilizable labor</x:v>
      </x:c>
      <x:c r="G28" s="38"/>
      <x:c r="H28" s="38"/>
      <x:c r="I28" s="38"/>
      <x:c r="J28" s="38"/>
      <x:c r="K28" s="38"/>
    </x:row>
    <x:row r="29" ht="60" hidden="0" customHeight="1">
      <x:c r="C29" s="17" t="str">
        <x:v>Partner / allied</x:v>
      </x:c>
      <x:c r="D29" s="23" t="n">
        <x:v>0.00002</x:v>
      </x:c>
      <x:c r="E29" s="17" t="n">
        <x:v>20</x:v>
      </x:c>
      <x:c r="F29" s="17" t="str">
        <x:v>U.S. exercise and access support only</x:v>
      </x:c>
      <x:c r="G29" s="38"/>
      <x:c r="H29" s="38"/>
      <x:c r="I29" s="38"/>
      <x:c r="J29" s="38"/>
      <x:c r="K29" s="38"/>
    </x:row>
  </x:sheetData>
  <x:mergeCells>
    <x:mergeCell ref="C23:F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16" hidden="0" customWidth="1"/>
    <x:col min="5" max="5" width="48" hidden="0" customWidth="1"/>
    <x:col min="6" max="6" width="22" hidden="0" customWidth="1"/>
    <x:col min="7" max="7" width="12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  <x:col min="13" max="13" width="15" hidden="0" customWidth="1"/>
    <x:col min="14" max="14" width="15" hidden="0" customWidth="1"/>
  </x:cols>
  <x:sheetData>
    <x:row r="2">
      <x:c r="C2" s="2" t="str">
        <x:v>Campaign Set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C3" s="5" t="str">
        <x:v>The Pass 23 ten-campaign force translated into movement, entry and sustainment demand.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 ht="36" hidden="0" customHeight="1">
      <x:c r="C6" s="13" t="str">
        <x:v>ID</x:v>
      </x:c>
      <x:c r="D6" s="13" t="str">
        <x:v>Class</x:v>
      </x:c>
      <x:c r="E6" s="13" t="str">
        <x:v>Reference campaign</x:v>
      </x:c>
      <x:c r="F6" s="13" t="str">
        <x:v>Theater</x:v>
      </x:c>
      <x:c r="G6" s="13" t="str">
        <x:v>Duration d</x:v>
      </x:c>
      <x:c r="H6" s="13" t="str">
        <x:v>Deployed people</x:v>
      </x:c>
      <x:c r="I6" s="13" t="str">
        <x:v>Deployable mass t</x:v>
      </x:c>
      <x:c r="J6" s="13" t="str">
        <x:v>Supply t/day</x:v>
      </x:c>
      <x:c r="K6" s="13" t="str">
        <x:v>Opening commands</x:v>
      </x:c>
      <x:c r="L6" s="13" t="str">
        <x:v>Sustainment commands</x:v>
      </x:c>
      <x:c r="M6" s="13" t="str">
        <x:v>Forecast lead d</x:v>
      </x:c>
      <x:c r="N6" s="13" t="str">
        <x:v>Onset</x:v>
      </x:c>
      <x:c r="O6" s="38"/>
    </x:row>
    <x:row r="7" ht="60" hidden="0" customHeight="1">
      <x:c r="C7" s="23" t="str">
        <x:v>C1</x:v>
      </x:c>
      <x:c r="D7" s="23" t="str">
        <x:v>Catastrophic</x:v>
      </x:c>
      <x:c r="E7" s="23" t="str">
        <x:v>Continental grid failure during temperature extreme</x:v>
      </x:c>
      <x:c r="F7" s="23" t="str">
        <x:v>Domestic / continental</x:v>
      </x:c>
      <x:c r="G7" s="25" t="n">
        <x:v>180</x:v>
      </x:c>
      <x:c r="H7" s="25" t="n">
        <x:v>58510</x:v>
      </x:c>
      <x:c r="I7" s="25" t="n">
        <x:v>996800</x:v>
      </x:c>
      <x:c r="J7" s="25" t="n">
        <x:v>12230</x:v>
      </x:c>
      <x:c r="K7" s="25" t="n">
        <x:v>2</x:v>
      </x:c>
      <x:c r="L7" s="25" t="n">
        <x:v>3</x:v>
      </x:c>
      <x:c r="M7" s="25" t="n">
        <x:v>0</x:v>
      </x:c>
      <x:c r="N7" s="23" t="str">
        <x:v>systemic</x:v>
      </x:c>
      <x:c r="O7" s="38"/>
    </x:row>
    <x:row r="8" ht="36" hidden="0" customHeight="1">
      <x:c r="C8" s="23" t="str">
        <x:v>C2</x:v>
      </x:c>
      <x:c r="D8" s="23" t="str">
        <x:v>Catastrophic</x:v>
      </x:c>
      <x:c r="E8" s="23" t="str">
        <x:v>Sequential Gulf–Atlantic hurricane</x:v>
      </x:c>
      <x:c r="F8" s="23" t="str">
        <x:v>Domestic / coastal</x:v>
      </x:c>
      <x:c r="G8" s="25" t="n">
        <x:v>180</x:v>
      </x:c>
      <x:c r="H8" s="25" t="n">
        <x:v>83600</x:v>
      </x:c>
      <x:c r="I8" s="25" t="n">
        <x:v>1345600</x:v>
      </x:c>
      <x:c r="J8" s="25" t="n">
        <x:v>17335</x:v>
      </x:c>
      <x:c r="K8" s="25" t="n">
        <x:v>3</x:v>
      </x:c>
      <x:c r="L8" s="25" t="n">
        <x:v>4</x:v>
      </x:c>
      <x:c r="M8" s="25" t="n">
        <x:v>5</x:v>
      </x:c>
      <x:c r="N8" s="23" t="str">
        <x:v>forecast</x:v>
      </x:c>
      <x:c r="O8" s="38"/>
    </x:row>
    <x:row r="9" ht="48" hidden="0" customHeight="1">
      <x:c r="C9" s="23" t="str">
        <x:v>C3</x:v>
      </x:c>
      <x:c r="D9" s="23" t="str">
        <x:v>Catastrophic</x:v>
      </x:c>
      <x:c r="E9" s="23" t="str">
        <x:v>Cascadia earthquake and tsunami</x:v>
      </x:c>
      <x:c r="F9" s="23" t="str">
        <x:v>Domestic / coastal</x:v>
      </x:c>
      <x:c r="G9" s="25" t="n">
        <x:v>240</x:v>
      </x:c>
      <x:c r="H9" s="25" t="n">
        <x:v>108110</x:v>
      </x:c>
      <x:c r="I9" s="25" t="n">
        <x:v>1762600</x:v>
      </x:c>
      <x:c r="J9" s="25" t="n">
        <x:v>22520</x:v>
      </x:c>
      <x:c r="K9" s="25" t="n">
        <x:v>4</x:v>
      </x:c>
      <x:c r="L9" s="25" t="n">
        <x:v>5</x:v>
      </x:c>
      <x:c r="M9" s="25" t="n">
        <x:v>0</x:v>
      </x:c>
      <x:c r="N9" s="23" t="str">
        <x:v>no-notice</x:v>
      </x:c>
      <x:c r="O9" s="38"/>
    </x:row>
    <x:row r="10" ht="48" hidden="0" customHeight="1">
      <x:c r="C10" s="23" t="str">
        <x:v>M1</x:v>
      </x:c>
      <x:c r="D10" s="23" t="str">
        <x:v>Major</x:v>
      </x:c>
      <x:c r="E10" s="23" t="str">
        <x:v>Western wildfire–heat–smoke complex</x:v>
      </x:c>
      <x:c r="F10" s="23" t="str">
        <x:v>Domestic / west</x:v>
      </x:c>
      <x:c r="G10" s="25" t="n">
        <x:v>90</x:v>
      </x:c>
      <x:c r="H10" s="25" t="n">
        <x:v>41960</x:v>
      </x:c>
      <x:c r="I10" s="25" t="n">
        <x:v>646100</x:v>
      </x:c>
      <x:c r="J10" s="25" t="n">
        <x:v>8475</x:v>
      </x:c>
      <x:c r="K10" s="25" t="n">
        <x:v>1</x:v>
      </x:c>
      <x:c r="L10" s="25" t="n">
        <x:v>2</x:v>
      </x:c>
      <x:c r="M10" s="25" t="n">
        <x:v>3</x:v>
      </x:c>
      <x:c r="N10" s="23" t="str">
        <x:v>forecast</x:v>
      </x:c>
      <x:c r="O10" s="38"/>
    </x:row>
    <x:row r="11" ht="24" hidden="0" customHeight="1">
      <x:c r="C11" s="23" t="str">
        <x:v>M2</x:v>
      </x:c>
      <x:c r="D11" s="23" t="str">
        <x:v>Major</x:v>
      </x:c>
      <x:c r="E11" s="23" t="str">
        <x:v>Urban heat emergency</x:v>
      </x:c>
      <x:c r="F11" s="23" t="str">
        <x:v>Domestic / metro</x:v>
      </x:c>
      <x:c r="G11" s="25" t="n">
        <x:v>45</x:v>
      </x:c>
      <x:c r="H11" s="25" t="n">
        <x:v>45210</x:v>
      </x:c>
      <x:c r="I11" s="25" t="n">
        <x:v>725100</x:v>
      </x:c>
      <x:c r="J11" s="25" t="n">
        <x:v>9145</x:v>
      </x:c>
      <x:c r="K11" s="25" t="n">
        <x:v>1</x:v>
      </x:c>
      <x:c r="L11" s="25" t="n">
        <x:v>2</x:v>
      </x:c>
      <x:c r="M11" s="25" t="n">
        <x:v>4</x:v>
      </x:c>
      <x:c r="N11" s="23" t="str">
        <x:v>forecast</x:v>
      </x:c>
      <x:c r="O11" s="38"/>
    </x:row>
    <x:row r="12" ht="24" hidden="0" customHeight="1">
      <x:c r="C12" s="23" t="str">
        <x:v>M3</x:v>
      </x:c>
      <x:c r="D12" s="23" t="str">
        <x:v>Major</x:v>
      </x:c>
      <x:c r="E12" s="23" t="str">
        <x:v>Inland flood</x:v>
      </x:c>
      <x:c r="F12" s="23" t="str">
        <x:v>Domestic / inland</x:v>
      </x:c>
      <x:c r="G12" s="25" t="n">
        <x:v>120</x:v>
      </x:c>
      <x:c r="H12" s="25" t="n">
        <x:v>57230</x:v>
      </x:c>
      <x:c r="I12" s="25" t="n">
        <x:v>984600</x:v>
      </x:c>
      <x:c r="J12" s="25" t="n">
        <x:v>12195</x:v>
      </x:c>
      <x:c r="K12" s="25" t="n">
        <x:v>2</x:v>
      </x:c>
      <x:c r="L12" s="25" t="n">
        <x:v>3</x:v>
      </x:c>
      <x:c r="M12" s="25" t="n">
        <x:v>3</x:v>
      </x:c>
      <x:c r="N12" s="23" t="str">
        <x:v>forecast</x:v>
      </x:c>
      <x:c r="O12" s="38"/>
    </x:row>
    <x:row r="13" ht="36" hidden="0" customHeight="1">
      <x:c r="C13" s="23" t="str">
        <x:v>M4</x:v>
      </x:c>
      <x:c r="D13" s="23" t="str">
        <x:v>Major</x:v>
      </x:c>
      <x:c r="E13" s="23" t="str">
        <x:v>Regional tornado sequence</x:v>
      </x:c>
      <x:c r="F13" s="23" t="str">
        <x:v>Domestic / inland</x:v>
      </x:c>
      <x:c r="G13" s="25" t="n">
        <x:v>60</x:v>
      </x:c>
      <x:c r="H13" s="25" t="n">
        <x:v>64070</x:v>
      </x:c>
      <x:c r="I13" s="25" t="n">
        <x:v>1065600</x:v>
      </x:c>
      <x:c r="J13" s="25" t="n">
        <x:v>13465</x:v>
      </x:c>
      <x:c r="K13" s="25" t="n">
        <x:v>2</x:v>
      </x:c>
      <x:c r="L13" s="25" t="n">
        <x:v>3</x:v>
      </x:c>
      <x:c r="M13" s="25" t="n">
        <x:v>0</x:v>
      </x:c>
      <x:c r="N13" s="23" t="str">
        <x:v>no-notice</x:v>
      </x:c>
      <x:c r="O13" s="38"/>
    </x:row>
    <x:row r="14" ht="48" hidden="0" customHeight="1">
      <x:c r="C14" s="23" t="str">
        <x:v>M5</x:v>
      </x:c>
      <x:c r="D14" s="23" t="str">
        <x:v>Major</x:v>
      </x:c>
      <x:c r="E14" s="23" t="str">
        <x:v>Territorial drought and water emergency</x:v>
      </x:c>
      <x:c r="F14" s="23" t="str">
        <x:v>Territorial / island</x:v>
      </x:c>
      <x:c r="G14" s="25" t="n">
        <x:v>180</x:v>
      </x:c>
      <x:c r="H14" s="25" t="n">
        <x:v>56280</x:v>
      </x:c>
      <x:c r="I14" s="25" t="n">
        <x:v>899100</x:v>
      </x:c>
      <x:c r="J14" s="25" t="n">
        <x:v>11625</x:v>
      </x:c>
      <x:c r="K14" s="25" t="n">
        <x:v>2</x:v>
      </x:c>
      <x:c r="L14" s="25" t="n">
        <x:v>3</x:v>
      </x:c>
      <x:c r="M14" s="25" t="n">
        <x:v>10</x:v>
      </x:c>
      <x:c r="N14" s="23" t="str">
        <x:v>slow-onset</x:v>
      </x:c>
      <x:c r="O14" s="38"/>
    </x:row>
    <x:row r="15" ht="48" hidden="0" customHeight="1">
      <x:c r="C15" s="23" t="str">
        <x:v>G1</x:v>
      </x:c>
      <x:c r="D15" s="23" t="str">
        <x:v>Global</x:v>
      </x:c>
      <x:c r="E15" s="23" t="str">
        <x:v>Allied coastal megacity earthquake</x:v>
      </x:c>
      <x:c r="F15" s="23" t="str">
        <x:v>International / coastal</x:v>
      </x:c>
      <x:c r="G15" s="25" t="n">
        <x:v>180</x:v>
      </x:c>
      <x:c r="H15" s="25" t="n">
        <x:v>99430</x:v>
      </x:c>
      <x:c r="I15" s="25" t="n">
        <x:v>1573600</x:v>
      </x:c>
      <x:c r="J15" s="25" t="n">
        <x:v>20400</x:v>
      </x:c>
      <x:c r="K15" s="25" t="n">
        <x:v>3</x:v>
      </x:c>
      <x:c r="L15" s="25" t="n">
        <x:v>4</x:v>
      </x:c>
      <x:c r="M15" s="25" t="n">
        <x:v>0</x:v>
      </x:c>
      <x:c r="N15" s="23" t="str">
        <x:v>no-notice</x:v>
      </x:c>
      <x:c r="O15" s="38"/>
    </x:row>
    <x:row r="16" ht="48" hidden="0" customHeight="1">
      <x:c r="C16" s="23" t="str">
        <x:v>G2</x:v>
      </x:c>
      <x:c r="D16" s="23" t="str">
        <x:v>Global</x:v>
      </x:c>
      <x:c r="E16" s="23" t="str">
        <x:v>Regional flood and displacement mission</x:v>
      </x:c>
      <x:c r="F16" s="23" t="str">
        <x:v>International / regional</x:v>
      </x:c>
      <x:c r="G16" s="25" t="n">
        <x:v>180</x:v>
      </x:c>
      <x:c r="H16" s="25" t="n">
        <x:v>100090</x:v>
      </x:c>
      <x:c r="I16" s="25" t="n">
        <x:v>1581600</x:v>
      </x:c>
      <x:c r="J16" s="25" t="n">
        <x:v>20860</x:v>
      </x:c>
      <x:c r="K16" s="25" t="n">
        <x:v>3</x:v>
      </x:c>
      <x:c r="L16" s="25" t="n">
        <x:v>4</x:v>
      </x:c>
      <x:c r="M16" s="25" t="n">
        <x:v>3</x:v>
      </x:c>
      <x:c r="N16" s="23" t="str">
        <x:v>forecast</x:v>
      </x:c>
      <x:c r="O16" s="38"/>
    </x:row>
    <x:row r="17"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</x:row>
    <x:row r="18"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</x:row>
    <x:row r="19">
      <x:c r="C19" s="8" t="str">
        <x:v>Portfolio totals</x:v>
      </x:c>
      <x:c r="D19" s="8"/>
      <x:c r="E19" s="8"/>
      <x:c r="F19" s="8"/>
      <x:c r="G19" s="8"/>
      <x:c r="H19" s="8"/>
      <x:c r="I19" s="38"/>
      <x:c r="J19" s="38"/>
      <x:c r="K19" s="38"/>
      <x:c r="L19" s="38"/>
      <x:c r="M19" s="38"/>
      <x:c r="N19" s="38"/>
      <x:c r="O19" s="38"/>
    </x:row>
    <x:row r="20" ht="24" hidden="0" customHeight="1">
      <x:c r="C20" s="13" t="str">
        <x:v>Measure</x:v>
      </x:c>
      <x:c r="D20" s="13" t="str">
        <x:v>Value</x:v>
      </x:c>
      <x:c r="E20" s="13" t="str">
        <x:v>Unit</x:v>
      </x:c>
      <x:c r="F20" s="13" t="str">
        <x:v>Interpretation</x:v>
      </x:c>
      <x:c r="G20" s="38"/>
      <x:c r="H20" s="38"/>
      <x:c r="I20" s="38"/>
      <x:c r="J20" s="38"/>
      <x:c r="K20" s="38"/>
      <x:c r="L20" s="38"/>
      <x:c r="M20" s="38"/>
      <x:c r="N20" s="38"/>
      <x:c r="O20" s="38"/>
    </x:row>
    <x:row r="21" ht="48" hidden="0" customHeight="1">
      <x:c r="C21" s="17" t="str">
        <x:v>Simultaneous deployed people</x:v>
      </x:c>
      <x:c r="D21" s="19" t="n">
        <x:f>SUM(H7:H16)</x:f>
        <x:v>714490</x:v>
      </x:c>
      <x:c r="E21" s="17" t="str">
        <x:v>people</x:v>
      </x:c>
      <x:c r="F21" s="17" t="str">
        <x:v>Before rotation and institutional force</x:v>
      </x:c>
      <x:c r="G21" s="38"/>
      <x:c r="H21" s="38"/>
      <x:c r="I21" s="38"/>
      <x:c r="J21" s="38"/>
      <x:c r="K21" s="38"/>
      <x:c r="L21" s="38"/>
      <x:c r="M21" s="38"/>
      <x:c r="N21" s="38"/>
      <x:c r="O21" s="38"/>
    </x:row>
    <x:row r="22" ht="36" hidden="0" customHeight="1">
      <x:c r="C22" s="17" t="str">
        <x:v>Deployable mass</x:v>
      </x:c>
      <x:c r="D22" s="19" t="n">
        <x:f>SUM(I7:I16)</x:f>
        <x:v>11580700</x:v>
      </x:c>
      <x:c r="E22" s="17" t="str">
        <x:v>t</x:v>
      </x:c>
      <x:c r="F22" s="17" t="str">
        <x:v>Full formation mass</x:v>
      </x:c>
      <x:c r="G22" s="38"/>
      <x:c r="H22" s="38"/>
      <x:c r="I22" s="38"/>
      <x:c r="J22" s="38"/>
      <x:c r="K22" s="38"/>
      <x:c r="L22" s="38"/>
      <x:c r="M22" s="38"/>
      <x:c r="N22" s="38"/>
      <x:c r="O22" s="38"/>
    </x:row>
    <x:row r="23" ht="36" hidden="0" customHeight="1">
      <x:c r="C23" s="17" t="str">
        <x:v>Daily sustainment</x:v>
      </x:c>
      <x:c r="D23" s="19" t="n">
        <x:f>SUM(J7:J16)</x:f>
        <x:v>148250</x:v>
      </x:c>
      <x:c r="E23" s="17" t="str">
        <x:v>t/day</x:v>
      </x:c>
      <x:c r="F23" s="17" t="str">
        <x:v>Formation supply screen</x:v>
      </x:c>
      <x:c r="G23" s="38"/>
      <x:c r="H23" s="38"/>
      <x:c r="I23" s="38"/>
      <x:c r="J23" s="38"/>
      <x:c r="K23" s="38"/>
      <x:c r="L23" s="38"/>
      <x:c r="M23" s="38"/>
      <x:c r="N23" s="38"/>
      <x:c r="O23" s="38"/>
    </x:row>
    <x:row r="24" ht="36" hidden="0" customHeight="1">
      <x:c r="C24" s="17" t="str">
        <x:v>Opening commands</x:v>
      </x:c>
      <x:c r="D24" s="19" t="n">
        <x:f>SUM(K7:K16)</x:f>
        <x:v>23</x:v>
      </x:c>
      <x:c r="E24" s="17" t="str">
        <x:v>formations</x:v>
      </x:c>
      <x:c r="F24" s="17" t="str">
        <x:v>J-TOC simultaneous demand</x:v>
      </x:c>
      <x:c r="G24" s="38"/>
      <x:c r="H24" s="38"/>
      <x:c r="I24" s="38"/>
      <x:c r="J24" s="38"/>
      <x:c r="K24" s="38"/>
      <x:c r="L24" s="38"/>
      <x:c r="M24" s="38"/>
      <x:c r="N24" s="38"/>
      <x:c r="O24" s="38"/>
    </x:row>
    <x:row r="25" ht="36" hidden="0" customHeight="1">
      <x:c r="C25" s="17" t="str">
        <x:v>Sustainment commands</x:v>
      </x:c>
      <x:c r="D25" s="19" t="n">
        <x:f>SUM(L7:L16)</x:f>
        <x:v>33</x:v>
      </x:c>
      <x:c r="E25" s="17" t="str">
        <x:v>formations</x:v>
      </x:c>
      <x:c r="F25" s="17" t="str">
        <x:v>J-TSC simultaneous demand</x:v>
      </x:c>
      <x:c r="G25" s="38"/>
      <x:c r="H25" s="38"/>
      <x:c r="I25" s="38"/>
      <x:c r="J25" s="38"/>
      <x:c r="K25" s="38"/>
      <x:c r="L25" s="38"/>
      <x:c r="M25" s="38"/>
      <x:c r="N25" s="38"/>
      <x:c r="O25" s="38"/>
    </x:row>
  </x:sheetData>
  <x:mergeCells>
    <x:mergeCell ref="C19:H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24" hidden="0" customWidth="1"/>
    <x:col min="5" max="5" width="20" hidden="0" customWidth="1"/>
    <x:col min="6" max="6" width="20" hidden="0" customWidth="1"/>
    <x:col min="7" max="7" width="64" hidden="0" customWidth="1"/>
    <x:col min="8" max="8" width="58" hidden="0" customWidth="1"/>
  </x:cols>
  <x:sheetData>
    <x:row r="2">
      <x:c r="C2" s="2" t="str">
        <x:v>Deployment Wave Doctrine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A service-effect timeline prevents early life safety from being confused with full equipment closure.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Band</x:v>
      </x:c>
      <x:c r="D6" s="13" t="str">
        <x:v>Name</x:v>
      </x:c>
      <x:c r="E6" s="13" t="str">
        <x:v>Timing</x:v>
      </x:c>
      <x:c r="F6" s="13" t="str">
        <x:v>Cumulative deadline d</x:v>
      </x:c>
      <x:c r="G6" s="13" t="str">
        <x:v>Closure criterion</x:v>
      </x:c>
      <x:c r="H6" s="13" t="str">
        <x:v>Boundary</x:v>
      </x:c>
      <x:c r="I6" s="38"/>
      <x:c r="J6" s="38"/>
      <x:c r="K6" s="38"/>
      <x:c r="L6" s="38"/>
      <x:c r="M6" s="38"/>
    </x:row>
    <x:row r="7" ht="72" hidden="0" customHeight="1">
      <x:c r="C7" s="23" t="str">
        <x:v>R0</x:v>
      </x:c>
      <x:c r="D7" s="23" t="str">
        <x:v>Anticipatory</x:v>
      </x:c>
      <x:c r="E7" s="23" t="str">
        <x:v>-120 h to event</x:v>
      </x:c>
      <x:c r="F7" s="23" t="n">
        <x:v>0</x:v>
      </x:c>
      <x:c r="G7" s="23" t="str">
        <x:v>Stage reversible packages outside the impact zone</x:v>
      </x:c>
      <x:c r="H7" s="23" t="str">
        <x:v>Only forecastable campaigns receive credit</x:v>
      </x:c>
      <x:c r="I7" s="38"/>
      <x:c r="J7" s="38"/>
      <x:c r="K7" s="38"/>
      <x:c r="L7" s="38"/>
      <x:c r="M7" s="38"/>
    </x:row>
    <x:row r="8" ht="84" hidden="0" customHeight="1">
      <x:c r="C8" s="23" t="str">
        <x:v>R1</x:v>
      </x:c>
      <x:c r="D8" s="23" t="str">
        <x:v>Minimum viable service</x:v>
      </x:c>
      <x:c r="E8" s="23" t="str">
        <x:v>0–72 h</x:v>
      </x:c>
      <x:c r="F8" s="23" t="n">
        <x:v>3</x:v>
      </x:c>
      <x:c r="G8" s="23" t="str">
        <x:v>Command, access, life safety, medical continuity, communications</x:v>
      </x:c>
      <x:c r="H8" s="23" t="str">
        <x:v>Initiates bounded service; not force closure</x:v>
      </x:c>
      <x:c r="I8" s="38"/>
      <x:c r="J8" s="38"/>
      <x:c r="K8" s="38"/>
      <x:c r="L8" s="38"/>
      <x:c r="M8" s="38"/>
    </x:row>
    <x:row r="9" ht="84" hidden="0" customHeight="1">
      <x:c r="C9" s="23" t="str">
        <x:v>R2</x:v>
      </x:c>
      <x:c r="D9" s="23" t="str">
        <x:v>Initial operating capability</x:v>
      </x:c>
      <x:c r="E9" s="23" t="str">
        <x:v>Day 4–14</x:v>
      </x:c>
      <x:c r="F9" s="23" t="n">
        <x:v>14</x:v>
      </x:c>
      <x:c r="G9" s="23" t="str">
        <x:v>Stable entry network and first utility / health / hazard effects</x:v>
      </x:c>
      <x:c r="H9" s="23" t="str">
        <x:v>Reception and onward movement are binding</x:v>
      </x:c>
      <x:c r="I9" s="38"/>
      <x:c r="J9" s="38"/>
      <x:c r="K9" s="38"/>
      <x:c r="L9" s="38"/>
      <x:c r="M9" s="38"/>
    </x:row>
    <x:row r="10" ht="84" hidden="0" customHeight="1">
      <x:c r="C10" s="23" t="str">
        <x:v>R3</x:v>
      </x:c>
      <x:c r="D10" s="23" t="str">
        <x:v>Force closure</x:v>
      </x:c>
      <x:c r="E10" s="23" t="str">
        <x:v>Day 15–45</x:v>
      </x:c>
      <x:c r="F10" s="23" t="n">
        <x:v>45</x:v>
      </x:c>
      <x:c r="G10" s="23" t="str">
        <x:v>Complete operating formations and responder bases in theater</x:v>
      </x:c>
      <x:c r="H10" s="23" t="str">
        <x:v>Main sealift, rail and construction wave</x:v>
      </x:c>
      <x:c r="I10" s="38"/>
      <x:c r="J10" s="38"/>
      <x:c r="K10" s="38"/>
      <x:c r="L10" s="38"/>
      <x:c r="M10" s="38"/>
    </x:row>
    <x:row r="11" ht="84" hidden="0" customHeight="1">
      <x:c r="C11" s="23" t="str">
        <x:v>R4</x:v>
      </x:c>
      <x:c r="D11" s="23" t="str">
        <x:v>Depth and endurance</x:v>
      </x:c>
      <x:c r="E11" s="23" t="str">
        <x:v>Day 46–90</x:v>
      </x:c>
      <x:c r="F11" s="23" t="n">
        <x:v>90</x:v>
      </x:c>
      <x:c r="G11" s="23" t="str">
        <x:v>Replacement, stock depth, redundant routes and reconstitution</x:v>
      </x:c>
      <x:c r="H11" s="23" t="str">
        <x:v>No early-life-safety credit</x:v>
      </x:c>
      <x:c r="I11" s="38"/>
      <x:c r="J11" s="38"/>
      <x:c r="K11" s="38"/>
      <x:c r="L11" s="38"/>
      <x:c r="M11" s="38"/>
    </x:row>
    <x:row r="12"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</x:row>
    <x:row r="13"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</x:row>
    <x:row r="14">
      <x:c r="C14" s="8" t="str">
        <x:v>Rules</x:v>
      </x:c>
      <x:c r="D14" s="8"/>
      <x:c r="E14" s="8"/>
      <x:c r="F14" s="8"/>
      <x:c r="G14" s="8"/>
      <x:c r="H14" s="8"/>
      <x:c r="I14" s="38"/>
      <x:c r="J14" s="38"/>
      <x:c r="K14" s="38"/>
      <x:c r="L14" s="38"/>
      <x:c r="M14" s="38"/>
    </x:row>
    <x:row r="15" ht="15" hidden="0" customHeight="1">
      <x:c r="C15" s="13" t="str">
        <x:v>Rule</x:v>
      </x:c>
      <x:c r="D15" s="13" t="str">
        <x:v>Meaning</x:v>
      </x:c>
      <x:c r="E15" s="38"/>
      <x:c r="F15" s="38"/>
      <x:c r="G15" s="38"/>
      <x:c r="H15" s="38"/>
      <x:c r="I15" s="38"/>
      <x:c r="J15" s="38"/>
      <x:c r="K15" s="38"/>
      <x:c r="L15" s="38"/>
      <x:c r="M15" s="38"/>
    </x:row>
    <x:row r="16" ht="156" hidden="0" customHeight="1">
      <x:c r="C16" s="17" t="str">
        <x:v>Public effect precedes formation closure</x:v>
      </x:c>
      <x:c r="D16" s="17" t="str">
        <x:v>Small integrated packages may begin care, access, communications and command while heavy systems are still moving.</x:v>
      </x:c>
      <x:c r="E16" s="38"/>
      <x:c r="F16" s="38"/>
      <x:c r="G16" s="38"/>
      <x:c r="H16" s="38"/>
      <x:c r="I16" s="38"/>
      <x:c r="J16" s="38"/>
      <x:c r="K16" s="38"/>
      <x:c r="L16" s="38"/>
      <x:c r="M16" s="38"/>
    </x:row>
    <x:row r="17" ht="168" hidden="0" customHeight="1">
      <x:c r="C17" s="17" t="str">
        <x:v>No equipment-only credit</x:v>
      </x:c>
      <x:c r="D17" s="17" t="str">
        <x:v>A wave closes only when people, authority, communications, receiving capacity, support and output measurement arrive together.</x:v>
      </x:c>
      <x:c r="E17" s="38"/>
      <x:c r="F17" s="38"/>
      <x:c r="G17" s="38"/>
      <x:c r="H17" s="38"/>
      <x:c r="I17" s="38"/>
      <x:c r="J17" s="38"/>
      <x:c r="K17" s="38"/>
      <x:c r="L17" s="38"/>
      <x:c r="M17" s="38"/>
    </x:row>
    <x:row r="18" ht="108" hidden="0" customHeight="1">
      <x:c r="C18" s="17" t="str">
        <x:v>Anticipation is conditional</x:v>
      </x:c>
      <x:c r="D18" s="17" t="str">
        <x:v>R0 is credited only where forecast lead and reversible safe-zone staging exist.</x:v>
      </x:c>
      <x:c r="E18" s="38"/>
      <x:c r="F18" s="38"/>
      <x:c r="G18" s="38"/>
      <x:c r="H18" s="38"/>
      <x:c r="I18" s="38"/>
      <x:c r="J18" s="38"/>
      <x:c r="K18" s="38"/>
      <x:c r="L18" s="38"/>
      <x:c r="M18" s="38"/>
    </x:row>
    <x:row r="19" ht="132" hidden="0" customHeight="1">
      <x:c r="C19" s="17" t="str">
        <x:v>Mass is not value</x:v>
      </x:c>
      <x:c r="D19" s="17" t="str">
        <x:v>Movement priority is set by avoided harm and service dependency, not tonnes or platform visibility.</x:v>
      </x:c>
      <x:c r="E19" s="38"/>
      <x:c r="F19" s="38"/>
      <x:c r="G19" s="38"/>
      <x:c r="H19" s="38"/>
      <x:c r="I19" s="38"/>
      <x:c r="J19" s="38"/>
      <x:c r="K19" s="38"/>
      <x:c r="L19" s="38"/>
      <x:c r="M19" s="38"/>
    </x:row>
  </x:sheetData>
  <x:mergeCells>
    <x:mergeCell ref="C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48" hidden="0" customWidth="1"/>
    <x:col min="5" max="5" width="10" hidden="0" customWidth="1"/>
    <x:col min="6" max="6" width="2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58" hidden="0" customWidth="1"/>
  </x:cols>
  <x:sheetData>
    <x:row r="2">
      <x:c r="C2" s="2" t="str">
        <x:v>Campaign Wave Demand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Fifty time-phased demand records; fractions are editable and must reconcile to 100% by campaign.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Campaign</x:v>
      </x:c>
      <x:c r="D6" s="13" t="str">
        <x:v>Reference campaign</x:v>
      </x:c>
      <x:c r="E6" s="13" t="str">
        <x:v>Band</x:v>
      </x:c>
      <x:c r="F6" s="13" t="str">
        <x:v>Wave</x:v>
      </x:c>
      <x:c r="G6" s="13" t="str">
        <x:v>Mass share</x:v>
      </x:c>
      <x:c r="H6" s="13" t="str">
        <x:v>Cumulative share</x:v>
      </x:c>
      <x:c r="I6" s="13" t="str">
        <x:v>Full mass t</x:v>
      </x:c>
      <x:c r="J6" s="13" t="str">
        <x:v>Wave mass t</x:v>
      </x:c>
      <x:c r="K6" s="13" t="str">
        <x:v>Deadline d</x:v>
      </x:c>
      <x:c r="L6" s="13" t="str">
        <x:v>Public-effect meaning</x:v>
      </x:c>
      <x:c r="M6" s="38"/>
    </x:row>
    <x:row r="7" ht="60" hidden="0" customHeight="1">
      <x:c r="C7" s="17" t="str">
        <x:v>C1</x:v>
      </x:c>
      <x:c r="D7" s="17" t="str">
        <x:v>Continental grid failure during temperature extreme</x:v>
      </x:c>
      <x:c r="E7" s="17" t="str">
        <x:v>R0</x:v>
      </x:c>
      <x:c r="F7" s="17" t="str">
        <x:v>Anticipatory</x:v>
      </x:c>
      <x:c r="G7" s="24" t="n">
        <x:v>0.02</x:v>
      </x:c>
      <x:c r="H7" s="26" t="n">
        <x:f>SUM($G$7:G7)</x:f>
        <x:v>0.02</x:v>
      </x:c>
      <x:c r="I7" s="27" t="n">
        <x:v>996800</x:v>
      </x:c>
      <x:c r="J7" s="19" t="n">
        <x:f>G7*I7</x:f>
        <x:v>19936</x:v>
      </x:c>
      <x:c r="K7" s="17" t="n">
        <x:v>0</x:v>
      </x:c>
      <x:c r="L7" s="17" t="str">
        <x:v>Stage reversible packages outside the impact zone</x:v>
      </x:c>
      <x:c r="M7" s="38"/>
    </x:row>
    <x:row r="8" ht="84" hidden="0" customHeight="1">
      <x:c r="C8" s="17" t="str">
        <x:v>C1</x:v>
      </x:c>
      <x:c r="D8" s="17" t="str">
        <x:v>Continental grid failure during temperature extreme</x:v>
      </x:c>
      <x:c r="E8" s="17" t="str">
        <x:v>R1</x:v>
      </x:c>
      <x:c r="F8" s="17" t="str">
        <x:v>Minimum viable service</x:v>
      </x:c>
      <x:c r="G8" s="24" t="n">
        <x:v>0.06</x:v>
      </x:c>
      <x:c r="H8" s="26" t="n">
        <x:f>SUM($G$7:G8)</x:f>
        <x:v>0.08</x:v>
      </x:c>
      <x:c r="I8" s="27" t="n">
        <x:v>996800</x:v>
      </x:c>
      <x:c r="J8" s="19" t="n">
        <x:f>G8*I8</x:f>
        <x:v>59808</x:v>
      </x:c>
      <x:c r="K8" s="17" t="n">
        <x:v>3</x:v>
      </x:c>
      <x:c r="L8" s="17" t="str">
        <x:v>Command, access, life safety, medical continuity, communications</x:v>
      </x:c>
      <x:c r="M8" s="38"/>
    </x:row>
    <x:row r="9" ht="84" hidden="0" customHeight="1">
      <x:c r="C9" s="17" t="str">
        <x:v>C1</x:v>
      </x:c>
      <x:c r="D9" s="17" t="str">
        <x:v>Continental grid failure during temperature extreme</x:v>
      </x:c>
      <x:c r="E9" s="17" t="str">
        <x:v>R2</x:v>
      </x:c>
      <x:c r="F9" s="17" t="str">
        <x:v>Initial operating capability</x:v>
      </x:c>
      <x:c r="G9" s="24" t="n">
        <x:v>0.22</x:v>
      </x:c>
      <x:c r="H9" s="26" t="n">
        <x:f>SUM($G$7:G9)</x:f>
        <x:v>0.3</x:v>
      </x:c>
      <x:c r="I9" s="27" t="n">
        <x:v>996800</x:v>
      </x:c>
      <x:c r="J9" s="19" t="n">
        <x:f>G9*I9</x:f>
        <x:v>219296</x:v>
      </x:c>
      <x:c r="K9" s="17" t="n">
        <x:v>14</x:v>
      </x:c>
      <x:c r="L9" s="17" t="str">
        <x:v>Stable entry network and first utility / health / hazard effects</x:v>
      </x:c>
      <x:c r="M9" s="38"/>
    </x:row>
    <x:row r="10" ht="84" hidden="0" customHeight="1">
      <x:c r="C10" s="17" t="str">
        <x:v>C1</x:v>
      </x:c>
      <x:c r="D10" s="17" t="str">
        <x:v>Continental grid failure during temperature extreme</x:v>
      </x:c>
      <x:c r="E10" s="17" t="str">
        <x:v>R3</x:v>
      </x:c>
      <x:c r="F10" s="17" t="str">
        <x:v>Force closure</x:v>
      </x:c>
      <x:c r="G10" s="24" t="n">
        <x:v>0.45</x:v>
      </x:c>
      <x:c r="H10" s="26" t="n">
        <x:f>SUM($G$7:G10)</x:f>
        <x:v>0.75</x:v>
      </x:c>
      <x:c r="I10" s="27" t="n">
        <x:v>996800</x:v>
      </x:c>
      <x:c r="J10" s="19" t="n">
        <x:f>G10*I10</x:f>
        <x:v>448560</x:v>
      </x:c>
      <x:c r="K10" s="17" t="n">
        <x:v>45</x:v>
      </x:c>
      <x:c r="L10" s="17" t="str">
        <x:v>Complete operating formations and responder bases in theater</x:v>
      </x:c>
      <x:c r="M10" s="38"/>
    </x:row>
    <x:row r="11" ht="84" hidden="0" customHeight="1">
      <x:c r="C11" s="17" t="str">
        <x:v>C1</x:v>
      </x:c>
      <x:c r="D11" s="17" t="str">
        <x:v>Continental grid failure during temperature extreme</x:v>
      </x:c>
      <x:c r="E11" s="17" t="str">
        <x:v>R4</x:v>
      </x:c>
      <x:c r="F11" s="17" t="str">
        <x:v>Depth and endurance</x:v>
      </x:c>
      <x:c r="G11" s="24" t="n">
        <x:v>0.25</x:v>
      </x:c>
      <x:c r="H11" s="26" t="n">
        <x:f>SUM($G$7:G11)</x:f>
        <x:v>1</x:v>
      </x:c>
      <x:c r="I11" s="27" t="n">
        <x:v>996800</x:v>
      </x:c>
      <x:c r="J11" s="19" t="n">
        <x:f>G11*I11</x:f>
        <x:v>249200</x:v>
      </x:c>
      <x:c r="K11" s="17" t="n">
        <x:v>90</x:v>
      </x:c>
      <x:c r="L11" s="17" t="str">
        <x:v>Replacement, stock depth, redundant routes and reconstitution</x:v>
      </x:c>
      <x:c r="M11" s="38"/>
    </x:row>
    <x:row r="12" ht="60" hidden="0" customHeight="1">
      <x:c r="C12" s="17" t="str">
        <x:v>C2</x:v>
      </x:c>
      <x:c r="D12" s="17" t="str">
        <x:v>Sequential Gulf–Atlantic hurricane</x:v>
      </x:c>
      <x:c r="E12" s="17" t="str">
        <x:v>R0</x:v>
      </x:c>
      <x:c r="F12" s="17" t="str">
        <x:v>Anticipatory</x:v>
      </x:c>
      <x:c r="G12" s="24" t="n">
        <x:v>0.12</x:v>
      </x:c>
      <x:c r="H12" s="26" t="n">
        <x:f>SUM($G$12:G12)</x:f>
        <x:v>0.12</x:v>
      </x:c>
      <x:c r="I12" s="27" t="n">
        <x:v>1345600</x:v>
      </x:c>
      <x:c r="J12" s="19" t="n">
        <x:f>G12*I12</x:f>
        <x:v>161472</x:v>
      </x:c>
      <x:c r="K12" s="17" t="n">
        <x:v>0</x:v>
      </x:c>
      <x:c r="L12" s="17" t="str">
        <x:v>Stage reversible packages outside the impact zone</x:v>
      </x:c>
      <x:c r="M12" s="38"/>
    </x:row>
    <x:row r="13" ht="84" hidden="0" customHeight="1">
      <x:c r="C13" s="17" t="str">
        <x:v>C2</x:v>
      </x:c>
      <x:c r="D13" s="17" t="str">
        <x:v>Sequential Gulf–Atlantic hurricane</x:v>
      </x:c>
      <x:c r="E13" s="17" t="str">
        <x:v>R1</x:v>
      </x:c>
      <x:c r="F13" s="17" t="str">
        <x:v>Minimum viable service</x:v>
      </x:c>
      <x:c r="G13" s="24" t="n">
        <x:v>0.08</x:v>
      </x:c>
      <x:c r="H13" s="26" t="n">
        <x:f>SUM($G$12:G13)</x:f>
        <x:v>0.2</x:v>
      </x:c>
      <x:c r="I13" s="27" t="n">
        <x:v>1345600</x:v>
      </x:c>
      <x:c r="J13" s="19" t="n">
        <x:f>G13*I13</x:f>
        <x:v>107648</x:v>
      </x:c>
      <x:c r="K13" s="17" t="n">
        <x:v>3</x:v>
      </x:c>
      <x:c r="L13" s="17" t="str">
        <x:v>Command, access, life safety, medical continuity, communications</x:v>
      </x:c>
      <x:c r="M13" s="38"/>
    </x:row>
    <x:row r="14" ht="84" hidden="0" customHeight="1">
      <x:c r="C14" s="17" t="str">
        <x:v>C2</x:v>
      </x:c>
      <x:c r="D14" s="17" t="str">
        <x:v>Sequential Gulf–Atlantic hurricane</x:v>
      </x:c>
      <x:c r="E14" s="17" t="str">
        <x:v>R2</x:v>
      </x:c>
      <x:c r="F14" s="17" t="str">
        <x:v>Initial operating capability</x:v>
      </x:c>
      <x:c r="G14" s="24" t="n">
        <x:v>0.25</x:v>
      </x:c>
      <x:c r="H14" s="26" t="n">
        <x:f>SUM($G$12:G14)</x:f>
        <x:v>0.45</x:v>
      </x:c>
      <x:c r="I14" s="27" t="n">
        <x:v>1345600</x:v>
      </x:c>
      <x:c r="J14" s="19" t="n">
        <x:f>G14*I14</x:f>
        <x:v>336400</x:v>
      </x:c>
      <x:c r="K14" s="17" t="n">
        <x:v>14</x:v>
      </x:c>
      <x:c r="L14" s="17" t="str">
        <x:v>Stable entry network and first utility / health / hazard effects</x:v>
      </x:c>
      <x:c r="M14" s="38"/>
    </x:row>
    <x:row r="15" ht="84" hidden="0" customHeight="1">
      <x:c r="C15" s="17" t="str">
        <x:v>C2</x:v>
      </x:c>
      <x:c r="D15" s="17" t="str">
        <x:v>Sequential Gulf–Atlantic hurricane</x:v>
      </x:c>
      <x:c r="E15" s="17" t="str">
        <x:v>R3</x:v>
      </x:c>
      <x:c r="F15" s="17" t="str">
        <x:v>Force closure</x:v>
      </x:c>
      <x:c r="G15" s="24" t="n">
        <x:v>0.4</x:v>
      </x:c>
      <x:c r="H15" s="26" t="n">
        <x:f>SUM($G$12:G15)</x:f>
        <x:v>0.8500000000000001</x:v>
      </x:c>
      <x:c r="I15" s="27" t="n">
        <x:v>1345600</x:v>
      </x:c>
      <x:c r="J15" s="19" t="n">
        <x:f>G15*I15</x:f>
        <x:v>538240</x:v>
      </x:c>
      <x:c r="K15" s="17" t="n">
        <x:v>45</x:v>
      </x:c>
      <x:c r="L15" s="17" t="str">
        <x:v>Complete operating formations and responder bases in theater</x:v>
      </x:c>
      <x:c r="M15" s="38"/>
    </x:row>
    <x:row r="16" ht="84" hidden="0" customHeight="1">
      <x:c r="C16" s="17" t="str">
        <x:v>C2</x:v>
      </x:c>
      <x:c r="D16" s="17" t="str">
        <x:v>Sequential Gulf–Atlantic hurricane</x:v>
      </x:c>
      <x:c r="E16" s="17" t="str">
        <x:v>R4</x:v>
      </x:c>
      <x:c r="F16" s="17" t="str">
        <x:v>Depth and endurance</x:v>
      </x:c>
      <x:c r="G16" s="24" t="n">
        <x:v>0.15</x:v>
      </x:c>
      <x:c r="H16" s="26" t="n">
        <x:f>SUM($G$12:G16)</x:f>
        <x:v>1</x:v>
      </x:c>
      <x:c r="I16" s="27" t="n">
        <x:v>1345600</x:v>
      </x:c>
      <x:c r="J16" s="19" t="n">
        <x:f>G16*I16</x:f>
        <x:v>201840</x:v>
      </x:c>
      <x:c r="K16" s="17" t="n">
        <x:v>90</x:v>
      </x:c>
      <x:c r="L16" s="17" t="str">
        <x:v>Replacement, stock depth, redundant routes and reconstitution</x:v>
      </x:c>
      <x:c r="M16" s="38"/>
    </x:row>
    <x:row r="17" ht="60" hidden="0" customHeight="1">
      <x:c r="C17" s="17" t="str">
        <x:v>C3</x:v>
      </x:c>
      <x:c r="D17" s="17" t="str">
        <x:v>Cascadia earthquake and tsunami</x:v>
      </x:c>
      <x:c r="E17" s="17" t="str">
        <x:v>R0</x:v>
      </x:c>
      <x:c r="F17" s="17" t="str">
        <x:v>Anticipatory</x:v>
      </x:c>
      <x:c r="G17" s="24" t="n">
        <x:v>0</x:v>
      </x:c>
      <x:c r="H17" s="26" t="n">
        <x:f>SUM($G$17:G17)</x:f>
        <x:v>0</x:v>
      </x:c>
      <x:c r="I17" s="27" t="n">
        <x:v>1762600</x:v>
      </x:c>
      <x:c r="J17" s="19" t="n">
        <x:f>G17*I17</x:f>
        <x:v>0</x:v>
      </x:c>
      <x:c r="K17" s="17" t="n">
        <x:v>0</x:v>
      </x:c>
      <x:c r="L17" s="17" t="str">
        <x:v>Stage reversible packages outside the impact zone</x:v>
      </x:c>
      <x:c r="M17" s="38"/>
    </x:row>
    <x:row r="18" ht="84" hidden="0" customHeight="1">
      <x:c r="C18" s="17" t="str">
        <x:v>C3</x:v>
      </x:c>
      <x:c r="D18" s="17" t="str">
        <x:v>Cascadia earthquake and tsunami</x:v>
      </x:c>
      <x:c r="E18" s="17" t="str">
        <x:v>R1</x:v>
      </x:c>
      <x:c r="F18" s="17" t="str">
        <x:v>Minimum viable service</x:v>
      </x:c>
      <x:c r="G18" s="24" t="n">
        <x:v>0.05</x:v>
      </x:c>
      <x:c r="H18" s="26" t="n">
        <x:f>SUM($G$17:G18)</x:f>
        <x:v>0.05</x:v>
      </x:c>
      <x:c r="I18" s="27" t="n">
        <x:v>1762600</x:v>
      </x:c>
      <x:c r="J18" s="19" t="n">
        <x:f>G18*I18</x:f>
        <x:v>88130</x:v>
      </x:c>
      <x:c r="K18" s="17" t="n">
        <x:v>3</x:v>
      </x:c>
      <x:c r="L18" s="17" t="str">
        <x:v>Command, access, life safety, medical continuity, communications</x:v>
      </x:c>
      <x:c r="M18" s="38"/>
    </x:row>
    <x:row r="19" ht="84" hidden="0" customHeight="1">
      <x:c r="C19" s="17" t="str">
        <x:v>C3</x:v>
      </x:c>
      <x:c r="D19" s="17" t="str">
        <x:v>Cascadia earthquake and tsunami</x:v>
      </x:c>
      <x:c r="E19" s="17" t="str">
        <x:v>R2</x:v>
      </x:c>
      <x:c r="F19" s="17" t="str">
        <x:v>Initial operating capability</x:v>
      </x:c>
      <x:c r="G19" s="24" t="n">
        <x:v>0.18</x:v>
      </x:c>
      <x:c r="H19" s="26" t="n">
        <x:f>SUM($G$17:G19)</x:f>
        <x:v>0.22999999999999998</x:v>
      </x:c>
      <x:c r="I19" s="27" t="n">
        <x:v>1762600</x:v>
      </x:c>
      <x:c r="J19" s="19" t="n">
        <x:f>G19*I19</x:f>
        <x:v>317268</x:v>
      </x:c>
      <x:c r="K19" s="17" t="n">
        <x:v>14</x:v>
      </x:c>
      <x:c r="L19" s="17" t="str">
        <x:v>Stable entry network and first utility / health / hazard effects</x:v>
      </x:c>
      <x:c r="M19" s="38"/>
    </x:row>
    <x:row r="20" ht="84" hidden="0" customHeight="1">
      <x:c r="C20" s="17" t="str">
        <x:v>C3</x:v>
      </x:c>
      <x:c r="D20" s="17" t="str">
        <x:v>Cascadia earthquake and tsunami</x:v>
      </x:c>
      <x:c r="E20" s="17" t="str">
        <x:v>R3</x:v>
      </x:c>
      <x:c r="F20" s="17" t="str">
        <x:v>Force closure</x:v>
      </x:c>
      <x:c r="G20" s="24" t="n">
        <x:v>0.47</x:v>
      </x:c>
      <x:c r="H20" s="26" t="n">
        <x:f>SUM($G$17:G20)</x:f>
        <x:v>0.7</x:v>
      </x:c>
      <x:c r="I20" s="27" t="n">
        <x:v>1762600</x:v>
      </x:c>
      <x:c r="J20" s="19" t="n">
        <x:f>G20*I20</x:f>
        <x:v>828422</x:v>
      </x:c>
      <x:c r="K20" s="17" t="n">
        <x:v>45</x:v>
      </x:c>
      <x:c r="L20" s="17" t="str">
        <x:v>Complete operating formations and responder bases in theater</x:v>
      </x:c>
      <x:c r="M20" s="38"/>
    </x:row>
    <x:row r="21" ht="84" hidden="0" customHeight="1">
      <x:c r="C21" s="17" t="str">
        <x:v>C3</x:v>
      </x:c>
      <x:c r="D21" s="17" t="str">
        <x:v>Cascadia earthquake and tsunami</x:v>
      </x:c>
      <x:c r="E21" s="17" t="str">
        <x:v>R4</x:v>
      </x:c>
      <x:c r="F21" s="17" t="str">
        <x:v>Depth and endurance</x:v>
      </x:c>
      <x:c r="G21" s="24" t="n">
        <x:v>0.3</x:v>
      </x:c>
      <x:c r="H21" s="26" t="n">
        <x:f>SUM($G$17:G21)</x:f>
        <x:v>1</x:v>
      </x:c>
      <x:c r="I21" s="27" t="n">
        <x:v>1762600</x:v>
      </x:c>
      <x:c r="J21" s="19" t="n">
        <x:f>G21*I21</x:f>
        <x:v>528780</x:v>
      </x:c>
      <x:c r="K21" s="17" t="n">
        <x:v>90</x:v>
      </x:c>
      <x:c r="L21" s="17" t="str">
        <x:v>Replacement, stock depth, redundant routes and reconstitution</x:v>
      </x:c>
      <x:c r="M21" s="38"/>
    </x:row>
    <x:row r="22" ht="60" hidden="0" customHeight="1">
      <x:c r="C22" s="17" t="str">
        <x:v>M1</x:v>
      </x:c>
      <x:c r="D22" s="17" t="str">
        <x:v>Western wildfire–heat–smoke complex</x:v>
      </x:c>
      <x:c r="E22" s="17" t="str">
        <x:v>R0</x:v>
      </x:c>
      <x:c r="F22" s="17" t="str">
        <x:v>Anticipatory</x:v>
      </x:c>
      <x:c r="G22" s="24" t="n">
        <x:v>0.1</x:v>
      </x:c>
      <x:c r="H22" s="26" t="n">
        <x:f>SUM($G$22:G22)</x:f>
        <x:v>0.1</x:v>
      </x:c>
      <x:c r="I22" s="27" t="n">
        <x:v>646100</x:v>
      </x:c>
      <x:c r="J22" s="19" t="n">
        <x:f>G22*I22</x:f>
        <x:v>64610</x:v>
      </x:c>
      <x:c r="K22" s="17" t="n">
        <x:v>0</x:v>
      </x:c>
      <x:c r="L22" s="17" t="str">
        <x:v>Stage reversible packages outside the impact zone</x:v>
      </x:c>
      <x:c r="M22" s="38"/>
    </x:row>
    <x:row r="23" ht="84" hidden="0" customHeight="1">
      <x:c r="C23" s="17" t="str">
        <x:v>M1</x:v>
      </x:c>
      <x:c r="D23" s="17" t="str">
        <x:v>Western wildfire–heat–smoke complex</x:v>
      </x:c>
      <x:c r="E23" s="17" t="str">
        <x:v>R1</x:v>
      </x:c>
      <x:c r="F23" s="17" t="str">
        <x:v>Minimum viable service</x:v>
      </x:c>
      <x:c r="G23" s="24" t="n">
        <x:v>0.12</x:v>
      </x:c>
      <x:c r="H23" s="26" t="n">
        <x:f>SUM($G$22:G23)</x:f>
        <x:v>0.22</x:v>
      </x:c>
      <x:c r="I23" s="27" t="n">
        <x:v>646100</x:v>
      </x:c>
      <x:c r="J23" s="19" t="n">
        <x:f>G23*I23</x:f>
        <x:v>77532</x:v>
      </x:c>
      <x:c r="K23" s="17" t="n">
        <x:v>3</x:v>
      </x:c>
      <x:c r="L23" s="17" t="str">
        <x:v>Command, access, life safety, medical continuity, communications</x:v>
      </x:c>
      <x:c r="M23" s="38"/>
    </x:row>
    <x:row r="24" ht="84" hidden="0" customHeight="1">
      <x:c r="C24" s="17" t="str">
        <x:v>M1</x:v>
      </x:c>
      <x:c r="D24" s="17" t="str">
        <x:v>Western wildfire–heat–smoke complex</x:v>
      </x:c>
      <x:c r="E24" s="17" t="str">
        <x:v>R2</x:v>
      </x:c>
      <x:c r="F24" s="17" t="str">
        <x:v>Initial operating capability</x:v>
      </x:c>
      <x:c r="G24" s="24" t="n">
        <x:v>0.28</x:v>
      </x:c>
      <x:c r="H24" s="26" t="n">
        <x:f>SUM($G$22:G24)</x:f>
        <x:v>0.5</x:v>
      </x:c>
      <x:c r="I24" s="27" t="n">
        <x:v>646100</x:v>
      </x:c>
      <x:c r="J24" s="19" t="n">
        <x:f>G24*I24</x:f>
        <x:v>180908.00000000003</x:v>
      </x:c>
      <x:c r="K24" s="17" t="n">
        <x:v>14</x:v>
      </x:c>
      <x:c r="L24" s="17" t="str">
        <x:v>Stable entry network and first utility / health / hazard effects</x:v>
      </x:c>
      <x:c r="M24" s="38"/>
    </x:row>
    <x:row r="25" ht="84" hidden="0" customHeight="1">
      <x:c r="C25" s="17" t="str">
        <x:v>M1</x:v>
      </x:c>
      <x:c r="D25" s="17" t="str">
        <x:v>Western wildfire–heat–smoke complex</x:v>
      </x:c>
      <x:c r="E25" s="17" t="str">
        <x:v>R3</x:v>
      </x:c>
      <x:c r="F25" s="17" t="str">
        <x:v>Force closure</x:v>
      </x:c>
      <x:c r="G25" s="24" t="n">
        <x:v>0.35</x:v>
      </x:c>
      <x:c r="H25" s="26" t="n">
        <x:f>SUM($G$22:G25)</x:f>
        <x:v>0.85</x:v>
      </x:c>
      <x:c r="I25" s="27" t="n">
        <x:v>646100</x:v>
      </x:c>
      <x:c r="J25" s="19" t="n">
        <x:f>G25*I25</x:f>
        <x:v>226135</x:v>
      </x:c>
      <x:c r="K25" s="17" t="n">
        <x:v>45</x:v>
      </x:c>
      <x:c r="L25" s="17" t="str">
        <x:v>Complete operating formations and responder bases in theater</x:v>
      </x:c>
      <x:c r="M25" s="38"/>
    </x:row>
    <x:row r="26" ht="84" hidden="0" customHeight="1">
      <x:c r="C26" s="17" t="str">
        <x:v>M1</x:v>
      </x:c>
      <x:c r="D26" s="17" t="str">
        <x:v>Western wildfire–heat–smoke complex</x:v>
      </x:c>
      <x:c r="E26" s="17" t="str">
        <x:v>R4</x:v>
      </x:c>
      <x:c r="F26" s="17" t="str">
        <x:v>Depth and endurance</x:v>
      </x:c>
      <x:c r="G26" s="24" t="n">
        <x:v>0.15</x:v>
      </x:c>
      <x:c r="H26" s="26" t="n">
        <x:f>SUM($G$22:G26)</x:f>
        <x:v>1</x:v>
      </x:c>
      <x:c r="I26" s="27" t="n">
        <x:v>646100</x:v>
      </x:c>
      <x:c r="J26" s="19" t="n">
        <x:f>G26*I26</x:f>
        <x:v>96915</x:v>
      </x:c>
      <x:c r="K26" s="17" t="n">
        <x:v>90</x:v>
      </x:c>
      <x:c r="L26" s="17" t="str">
        <x:v>Replacement, stock depth, redundant routes and reconstitution</x:v>
      </x:c>
      <x:c r="M26" s="38"/>
    </x:row>
    <x:row r="27" ht="60" hidden="0" customHeight="1">
      <x:c r="C27" s="17" t="str">
        <x:v>M2</x:v>
      </x:c>
      <x:c r="D27" s="17" t="str">
        <x:v>Urban heat emergency</x:v>
      </x:c>
      <x:c r="E27" s="17" t="str">
        <x:v>R0</x:v>
      </x:c>
      <x:c r="F27" s="17" t="str">
        <x:v>Anticipatory</x:v>
      </x:c>
      <x:c r="G27" s="24" t="n">
        <x:v>0.08</x:v>
      </x:c>
      <x:c r="H27" s="26" t="n">
        <x:f>SUM($G$27:G27)</x:f>
        <x:v>0.08</x:v>
      </x:c>
      <x:c r="I27" s="27" t="n">
        <x:v>725100</x:v>
      </x:c>
      <x:c r="J27" s="19" t="n">
        <x:f>G27*I27</x:f>
        <x:v>58008</x:v>
      </x:c>
      <x:c r="K27" s="17" t="n">
        <x:v>0</x:v>
      </x:c>
      <x:c r="L27" s="17" t="str">
        <x:v>Stage reversible packages outside the impact zone</x:v>
      </x:c>
      <x:c r="M27" s="38"/>
    </x:row>
    <x:row r="28" ht="84" hidden="0" customHeight="1">
      <x:c r="C28" s="17" t="str">
        <x:v>M2</x:v>
      </x:c>
      <x:c r="D28" s="17" t="str">
        <x:v>Urban heat emergency</x:v>
      </x:c>
      <x:c r="E28" s="17" t="str">
        <x:v>R1</x:v>
      </x:c>
      <x:c r="F28" s="17" t="str">
        <x:v>Minimum viable service</x:v>
      </x:c>
      <x:c r="G28" s="24" t="n">
        <x:v>0.12</x:v>
      </x:c>
      <x:c r="H28" s="26" t="n">
        <x:f>SUM($G$27:G28)</x:f>
        <x:v>0.2</x:v>
      </x:c>
      <x:c r="I28" s="27" t="n">
        <x:v>725100</x:v>
      </x:c>
      <x:c r="J28" s="19" t="n">
        <x:f>G28*I28</x:f>
        <x:v>87012</x:v>
      </x:c>
      <x:c r="K28" s="17" t="n">
        <x:v>3</x:v>
      </x:c>
      <x:c r="L28" s="17" t="str">
        <x:v>Command, access, life safety, medical continuity, communications</x:v>
      </x:c>
      <x:c r="M28" s="38"/>
    </x:row>
    <x:row r="29" ht="84" hidden="0" customHeight="1">
      <x:c r="C29" s="17" t="str">
        <x:v>M2</x:v>
      </x:c>
      <x:c r="D29" s="17" t="str">
        <x:v>Urban heat emergency</x:v>
      </x:c>
      <x:c r="E29" s="17" t="str">
        <x:v>R2</x:v>
      </x:c>
      <x:c r="F29" s="17" t="str">
        <x:v>Initial operating capability</x:v>
      </x:c>
      <x:c r="G29" s="24" t="n">
        <x:v>0.3</x:v>
      </x:c>
      <x:c r="H29" s="26" t="n">
        <x:f>SUM($G$27:G29)</x:f>
        <x:v>0.5</x:v>
      </x:c>
      <x:c r="I29" s="27" t="n">
        <x:v>725100</x:v>
      </x:c>
      <x:c r="J29" s="19" t="n">
        <x:f>G29*I29</x:f>
        <x:v>217530</x:v>
      </x:c>
      <x:c r="K29" s="17" t="n">
        <x:v>14</x:v>
      </x:c>
      <x:c r="L29" s="17" t="str">
        <x:v>Stable entry network and first utility / health / hazard effects</x:v>
      </x:c>
      <x:c r="M29" s="38"/>
    </x:row>
    <x:row r="30" ht="84" hidden="0" customHeight="1">
      <x:c r="C30" s="17" t="str">
        <x:v>M2</x:v>
      </x:c>
      <x:c r="D30" s="17" t="str">
        <x:v>Urban heat emergency</x:v>
      </x:c>
      <x:c r="E30" s="17" t="str">
        <x:v>R3</x:v>
      </x:c>
      <x:c r="F30" s="17" t="str">
        <x:v>Force closure</x:v>
      </x:c>
      <x:c r="G30" s="24" t="n">
        <x:v>0.35</x:v>
      </x:c>
      <x:c r="H30" s="26" t="n">
        <x:f>SUM($G$27:G30)</x:f>
        <x:v>0.85</x:v>
      </x:c>
      <x:c r="I30" s="27" t="n">
        <x:v>725100</x:v>
      </x:c>
      <x:c r="J30" s="19" t="n">
        <x:f>G30*I30</x:f>
        <x:v>253784.99999999997</x:v>
      </x:c>
      <x:c r="K30" s="17" t="n">
        <x:v>45</x:v>
      </x:c>
      <x:c r="L30" s="17" t="str">
        <x:v>Complete operating formations and responder bases in theater</x:v>
      </x:c>
      <x:c r="M30" s="38"/>
    </x:row>
    <x:row r="31" ht="84" hidden="0" customHeight="1">
      <x:c r="C31" s="17" t="str">
        <x:v>M2</x:v>
      </x:c>
      <x:c r="D31" s="17" t="str">
        <x:v>Urban heat emergency</x:v>
      </x:c>
      <x:c r="E31" s="17" t="str">
        <x:v>R4</x:v>
      </x:c>
      <x:c r="F31" s="17" t="str">
        <x:v>Depth and endurance</x:v>
      </x:c>
      <x:c r="G31" s="24" t="n">
        <x:v>0.15</x:v>
      </x:c>
      <x:c r="H31" s="26" t="n">
        <x:f>SUM($G$27:G31)</x:f>
        <x:v>1</x:v>
      </x:c>
      <x:c r="I31" s="27" t="n">
        <x:v>725100</x:v>
      </x:c>
      <x:c r="J31" s="19" t="n">
        <x:f>G31*I31</x:f>
        <x:v>108765</x:v>
      </x:c>
      <x:c r="K31" s="17" t="n">
        <x:v>90</x:v>
      </x:c>
      <x:c r="L31" s="17" t="str">
        <x:v>Replacement, stock depth, redundant routes and reconstitution</x:v>
      </x:c>
      <x:c r="M31" s="38"/>
    </x:row>
    <x:row r="32" ht="60" hidden="0" customHeight="1">
      <x:c r="C32" s="17" t="str">
        <x:v>M3</x:v>
      </x:c>
      <x:c r="D32" s="17" t="str">
        <x:v>Inland flood</x:v>
      </x:c>
      <x:c r="E32" s="17" t="str">
        <x:v>R0</x:v>
      </x:c>
      <x:c r="F32" s="17" t="str">
        <x:v>Anticipatory</x:v>
      </x:c>
      <x:c r="G32" s="24" t="n">
        <x:v>0.08</x:v>
      </x:c>
      <x:c r="H32" s="26" t="n">
        <x:f>SUM($G$32:G32)</x:f>
        <x:v>0.08</x:v>
      </x:c>
      <x:c r="I32" s="27" t="n">
        <x:v>984600</x:v>
      </x:c>
      <x:c r="J32" s="19" t="n">
        <x:f>G32*I32</x:f>
        <x:v>78768</x:v>
      </x:c>
      <x:c r="K32" s="17" t="n">
        <x:v>0</x:v>
      </x:c>
      <x:c r="L32" s="17" t="str">
        <x:v>Stage reversible packages outside the impact zone</x:v>
      </x:c>
      <x:c r="M32" s="38"/>
    </x:row>
    <x:row r="33" ht="84" hidden="0" customHeight="1">
      <x:c r="C33" s="17" t="str">
        <x:v>M3</x:v>
      </x:c>
      <x:c r="D33" s="17" t="str">
        <x:v>Inland flood</x:v>
      </x:c>
      <x:c r="E33" s="17" t="str">
        <x:v>R1</x:v>
      </x:c>
      <x:c r="F33" s="17" t="str">
        <x:v>Minimum viable service</x:v>
      </x:c>
      <x:c r="G33" s="24" t="n">
        <x:v>0.1</x:v>
      </x:c>
      <x:c r="H33" s="26" t="n">
        <x:f>SUM($G$32:G33)</x:f>
        <x:v>0.18</x:v>
      </x:c>
      <x:c r="I33" s="27" t="n">
        <x:v>984600</x:v>
      </x:c>
      <x:c r="J33" s="19" t="n">
        <x:f>G33*I33</x:f>
        <x:v>98460</x:v>
      </x:c>
      <x:c r="K33" s="17" t="n">
        <x:v>3</x:v>
      </x:c>
      <x:c r="L33" s="17" t="str">
        <x:v>Command, access, life safety, medical continuity, communications</x:v>
      </x:c>
      <x:c r="M33" s="38"/>
    </x:row>
    <x:row r="34" ht="84" hidden="0" customHeight="1">
      <x:c r="C34" s="17" t="str">
        <x:v>M3</x:v>
      </x:c>
      <x:c r="D34" s="17" t="str">
        <x:v>Inland flood</x:v>
      </x:c>
      <x:c r="E34" s="17" t="str">
        <x:v>R2</x:v>
      </x:c>
      <x:c r="F34" s="17" t="str">
        <x:v>Initial operating capability</x:v>
      </x:c>
      <x:c r="G34" s="24" t="n">
        <x:v>0.27</x:v>
      </x:c>
      <x:c r="H34" s="26" t="n">
        <x:f>SUM($G$32:G34)</x:f>
        <x:v>0.45</x:v>
      </x:c>
      <x:c r="I34" s="27" t="n">
        <x:v>984600</x:v>
      </x:c>
      <x:c r="J34" s="19" t="n">
        <x:f>G34*I34</x:f>
        <x:v>265842</x:v>
      </x:c>
      <x:c r="K34" s="17" t="n">
        <x:v>14</x:v>
      </x:c>
      <x:c r="L34" s="17" t="str">
        <x:v>Stable entry network and first utility / health / hazard effects</x:v>
      </x:c>
      <x:c r="M34" s="38"/>
    </x:row>
    <x:row r="35" ht="84" hidden="0" customHeight="1">
      <x:c r="C35" s="17" t="str">
        <x:v>M3</x:v>
      </x:c>
      <x:c r="D35" s="17" t="str">
        <x:v>Inland flood</x:v>
      </x:c>
      <x:c r="E35" s="17" t="str">
        <x:v>R3</x:v>
      </x:c>
      <x:c r="F35" s="17" t="str">
        <x:v>Force closure</x:v>
      </x:c>
      <x:c r="G35" s="24" t="n">
        <x:v>0.4</x:v>
      </x:c>
      <x:c r="H35" s="26" t="n">
        <x:f>SUM($G$32:G35)</x:f>
        <x:v>0.8500000000000001</x:v>
      </x:c>
      <x:c r="I35" s="27" t="n">
        <x:v>984600</x:v>
      </x:c>
      <x:c r="J35" s="19" t="n">
        <x:f>G35*I35</x:f>
        <x:v>393840</x:v>
      </x:c>
      <x:c r="K35" s="17" t="n">
        <x:v>45</x:v>
      </x:c>
      <x:c r="L35" s="17" t="str">
        <x:v>Complete operating formations and responder bases in theater</x:v>
      </x:c>
      <x:c r="M35" s="38"/>
    </x:row>
    <x:row r="36" ht="84" hidden="0" customHeight="1">
      <x:c r="C36" s="17" t="str">
        <x:v>M3</x:v>
      </x:c>
      <x:c r="D36" s="17" t="str">
        <x:v>Inland flood</x:v>
      </x:c>
      <x:c r="E36" s="17" t="str">
        <x:v>R4</x:v>
      </x:c>
      <x:c r="F36" s="17" t="str">
        <x:v>Depth and endurance</x:v>
      </x:c>
      <x:c r="G36" s="24" t="n">
        <x:v>0.15</x:v>
      </x:c>
      <x:c r="H36" s="26" t="n">
        <x:f>SUM($G$32:G36)</x:f>
        <x:v>1</x:v>
      </x:c>
      <x:c r="I36" s="27" t="n">
        <x:v>984600</x:v>
      </x:c>
      <x:c r="J36" s="19" t="n">
        <x:f>G36*I36</x:f>
        <x:v>147690</x:v>
      </x:c>
      <x:c r="K36" s="17" t="n">
        <x:v>90</x:v>
      </x:c>
      <x:c r="L36" s="17" t="str">
        <x:v>Replacement, stock depth, redundant routes and reconstitution</x:v>
      </x:c>
      <x:c r="M36" s="38"/>
    </x:row>
    <x:row r="37" ht="60" hidden="0" customHeight="1">
      <x:c r="C37" s="17" t="str">
        <x:v>M4</x:v>
      </x:c>
      <x:c r="D37" s="17" t="str">
        <x:v>Regional tornado sequence</x:v>
      </x:c>
      <x:c r="E37" s="17" t="str">
        <x:v>R0</x:v>
      </x:c>
      <x:c r="F37" s="17" t="str">
        <x:v>Anticipatory</x:v>
      </x:c>
      <x:c r="G37" s="24" t="n">
        <x:v>0</x:v>
      </x:c>
      <x:c r="H37" s="26" t="n">
        <x:f>SUM($G$37:G37)</x:f>
        <x:v>0</x:v>
      </x:c>
      <x:c r="I37" s="27" t="n">
        <x:v>1065600</x:v>
      </x:c>
      <x:c r="J37" s="19" t="n">
        <x:f>G37*I37</x:f>
        <x:v>0</x:v>
      </x:c>
      <x:c r="K37" s="17" t="n">
        <x:v>0</x:v>
      </x:c>
      <x:c r="L37" s="17" t="str">
        <x:v>Stage reversible packages outside the impact zone</x:v>
      </x:c>
      <x:c r="M37" s="38"/>
    </x:row>
    <x:row r="38" ht="84" hidden="0" customHeight="1">
      <x:c r="C38" s="17" t="str">
        <x:v>M4</x:v>
      </x:c>
      <x:c r="D38" s="17" t="str">
        <x:v>Regional tornado sequence</x:v>
      </x:c>
      <x:c r="E38" s="17" t="str">
        <x:v>R1</x:v>
      </x:c>
      <x:c r="F38" s="17" t="str">
        <x:v>Minimum viable service</x:v>
      </x:c>
      <x:c r="G38" s="24" t="n">
        <x:v>0.1</x:v>
      </x:c>
      <x:c r="H38" s="26" t="n">
        <x:f>SUM($G$37:G38)</x:f>
        <x:v>0.1</x:v>
      </x:c>
      <x:c r="I38" s="27" t="n">
        <x:v>1065600</x:v>
      </x:c>
      <x:c r="J38" s="19" t="n">
        <x:f>G38*I38</x:f>
        <x:v>106560</x:v>
      </x:c>
      <x:c r="K38" s="17" t="n">
        <x:v>3</x:v>
      </x:c>
      <x:c r="L38" s="17" t="str">
        <x:v>Command, access, life safety, medical continuity, communications</x:v>
      </x:c>
      <x:c r="M38" s="38"/>
    </x:row>
    <x:row r="39" ht="84" hidden="0" customHeight="1">
      <x:c r="C39" s="17" t="str">
        <x:v>M4</x:v>
      </x:c>
      <x:c r="D39" s="17" t="str">
        <x:v>Regional tornado sequence</x:v>
      </x:c>
      <x:c r="E39" s="17" t="str">
        <x:v>R2</x:v>
      </x:c>
      <x:c r="F39" s="17" t="str">
        <x:v>Initial operating capability</x:v>
      </x:c>
      <x:c r="G39" s="24" t="n">
        <x:v>0.25</x:v>
      </x:c>
      <x:c r="H39" s="26" t="n">
        <x:f>SUM($G$37:G39)</x:f>
        <x:v>0.35</x:v>
      </x:c>
      <x:c r="I39" s="27" t="n">
        <x:v>1065600</x:v>
      </x:c>
      <x:c r="J39" s="19" t="n">
        <x:f>G39*I39</x:f>
        <x:v>266400</x:v>
      </x:c>
      <x:c r="K39" s="17" t="n">
        <x:v>14</x:v>
      </x:c>
      <x:c r="L39" s="17" t="str">
        <x:v>Stable entry network and first utility / health / hazard effects</x:v>
      </x:c>
      <x:c r="M39" s="38"/>
    </x:row>
    <x:row r="40" ht="84" hidden="0" customHeight="1">
      <x:c r="C40" s="17" t="str">
        <x:v>M4</x:v>
      </x:c>
      <x:c r="D40" s="17" t="str">
        <x:v>Regional tornado sequence</x:v>
      </x:c>
      <x:c r="E40" s="17" t="str">
        <x:v>R3</x:v>
      </x:c>
      <x:c r="F40" s="17" t="str">
        <x:v>Force closure</x:v>
      </x:c>
      <x:c r="G40" s="24" t="n">
        <x:v>0.45</x:v>
      </x:c>
      <x:c r="H40" s="26" t="n">
        <x:f>SUM($G$37:G40)</x:f>
        <x:v>0.8</x:v>
      </x:c>
      <x:c r="I40" s="27" t="n">
        <x:v>1065600</x:v>
      </x:c>
      <x:c r="J40" s="19" t="n">
        <x:f>G40*I40</x:f>
        <x:v>479520</x:v>
      </x:c>
      <x:c r="K40" s="17" t="n">
        <x:v>45</x:v>
      </x:c>
      <x:c r="L40" s="17" t="str">
        <x:v>Complete operating formations and responder bases in theater</x:v>
      </x:c>
      <x:c r="M40" s="38"/>
    </x:row>
    <x:row r="41" ht="84" hidden="0" customHeight="1">
      <x:c r="C41" s="17" t="str">
        <x:v>M4</x:v>
      </x:c>
      <x:c r="D41" s="17" t="str">
        <x:v>Regional tornado sequence</x:v>
      </x:c>
      <x:c r="E41" s="17" t="str">
        <x:v>R4</x:v>
      </x:c>
      <x:c r="F41" s="17" t="str">
        <x:v>Depth and endurance</x:v>
      </x:c>
      <x:c r="G41" s="24" t="n">
        <x:v>0.2</x:v>
      </x:c>
      <x:c r="H41" s="26" t="n">
        <x:f>SUM($G$37:G41)</x:f>
        <x:v>1</x:v>
      </x:c>
      <x:c r="I41" s="27" t="n">
        <x:v>1065600</x:v>
      </x:c>
      <x:c r="J41" s="19" t="n">
        <x:f>G41*I41</x:f>
        <x:v>213120</x:v>
      </x:c>
      <x:c r="K41" s="17" t="n">
        <x:v>90</x:v>
      </x:c>
      <x:c r="L41" s="17" t="str">
        <x:v>Replacement, stock depth, redundant routes and reconstitution</x:v>
      </x:c>
      <x:c r="M41" s="38"/>
    </x:row>
    <x:row r="42" ht="60" hidden="0" customHeight="1">
      <x:c r="C42" s="17" t="str">
        <x:v>M5</x:v>
      </x:c>
      <x:c r="D42" s="17" t="str">
        <x:v>Territorial drought and water emergency</x:v>
      </x:c>
      <x:c r="E42" s="17" t="str">
        <x:v>R0</x:v>
      </x:c>
      <x:c r="F42" s="17" t="str">
        <x:v>Anticipatory</x:v>
      </x:c>
      <x:c r="G42" s="24" t="n">
        <x:v>0.05</x:v>
      </x:c>
      <x:c r="H42" s="26" t="n">
        <x:f>SUM($G$42:G42)</x:f>
        <x:v>0.05</x:v>
      </x:c>
      <x:c r="I42" s="27" t="n">
        <x:v>899100</x:v>
      </x:c>
      <x:c r="J42" s="19" t="n">
        <x:f>G42*I42</x:f>
        <x:v>44955</x:v>
      </x:c>
      <x:c r="K42" s="17" t="n">
        <x:v>0</x:v>
      </x:c>
      <x:c r="L42" s="17" t="str">
        <x:v>Stage reversible packages outside the impact zone</x:v>
      </x:c>
      <x:c r="M42" s="38"/>
    </x:row>
    <x:row r="43" ht="84" hidden="0" customHeight="1">
      <x:c r="C43" s="17" t="str">
        <x:v>M5</x:v>
      </x:c>
      <x:c r="D43" s="17" t="str">
        <x:v>Territorial drought and water emergency</x:v>
      </x:c>
      <x:c r="E43" s="17" t="str">
        <x:v>R1</x:v>
      </x:c>
      <x:c r="F43" s="17" t="str">
        <x:v>Minimum viable service</x:v>
      </x:c>
      <x:c r="G43" s="24" t="n">
        <x:v>0.04</x:v>
      </x:c>
      <x:c r="H43" s="26" t="n">
        <x:f>SUM($G$42:G43)</x:f>
        <x:v>0.09</x:v>
      </x:c>
      <x:c r="I43" s="27" t="n">
        <x:v>899100</x:v>
      </x:c>
      <x:c r="J43" s="19" t="n">
        <x:f>G43*I43</x:f>
        <x:v>35964</x:v>
      </x:c>
      <x:c r="K43" s="17" t="n">
        <x:v>3</x:v>
      </x:c>
      <x:c r="L43" s="17" t="str">
        <x:v>Command, access, life safety, medical continuity, communications</x:v>
      </x:c>
      <x:c r="M43" s="38"/>
    </x:row>
    <x:row r="44" ht="84" hidden="0" customHeight="1">
      <x:c r="C44" s="17" t="str">
        <x:v>M5</x:v>
      </x:c>
      <x:c r="D44" s="17" t="str">
        <x:v>Territorial drought and water emergency</x:v>
      </x:c>
      <x:c r="E44" s="17" t="str">
        <x:v>R2</x:v>
      </x:c>
      <x:c r="F44" s="17" t="str">
        <x:v>Initial operating capability</x:v>
      </x:c>
      <x:c r="G44" s="24" t="n">
        <x:v>0.16</x:v>
      </x:c>
      <x:c r="H44" s="26" t="n">
        <x:f>SUM($G$42:G44)</x:f>
        <x:v>0.25</x:v>
      </x:c>
      <x:c r="I44" s="27" t="n">
        <x:v>899100</x:v>
      </x:c>
      <x:c r="J44" s="19" t="n">
        <x:f>G44*I44</x:f>
        <x:v>143856</x:v>
      </x:c>
      <x:c r="K44" s="17" t="n">
        <x:v>14</x:v>
      </x:c>
      <x:c r="L44" s="17" t="str">
        <x:v>Stable entry network and first utility / health / hazard effects</x:v>
      </x:c>
      <x:c r="M44" s="38"/>
    </x:row>
    <x:row r="45" ht="84" hidden="0" customHeight="1">
      <x:c r="C45" s="17" t="str">
        <x:v>M5</x:v>
      </x:c>
      <x:c r="D45" s="17" t="str">
        <x:v>Territorial drought and water emergency</x:v>
      </x:c>
      <x:c r="E45" s="17" t="str">
        <x:v>R3</x:v>
      </x:c>
      <x:c r="F45" s="17" t="str">
        <x:v>Force closure</x:v>
      </x:c>
      <x:c r="G45" s="24" t="n">
        <x:v>0.4</x:v>
      </x:c>
      <x:c r="H45" s="26" t="n">
        <x:f>SUM($G$42:G45)</x:f>
        <x:v>0.65</x:v>
      </x:c>
      <x:c r="I45" s="27" t="n">
        <x:v>899100</x:v>
      </x:c>
      <x:c r="J45" s="19" t="n">
        <x:f>G45*I45</x:f>
        <x:v>359640</x:v>
      </x:c>
      <x:c r="K45" s="17" t="n">
        <x:v>45</x:v>
      </x:c>
      <x:c r="L45" s="17" t="str">
        <x:v>Complete operating formations and responder bases in theater</x:v>
      </x:c>
      <x:c r="M45" s="38"/>
    </x:row>
    <x:row r="46" ht="84" hidden="0" customHeight="1">
      <x:c r="C46" s="17" t="str">
        <x:v>M5</x:v>
      </x:c>
      <x:c r="D46" s="17" t="str">
        <x:v>Territorial drought and water emergency</x:v>
      </x:c>
      <x:c r="E46" s="17" t="str">
        <x:v>R4</x:v>
      </x:c>
      <x:c r="F46" s="17" t="str">
        <x:v>Depth and endurance</x:v>
      </x:c>
      <x:c r="G46" s="24" t="n">
        <x:v>0.35</x:v>
      </x:c>
      <x:c r="H46" s="26" t="n">
        <x:f>SUM($G$42:G46)</x:f>
        <x:v>1</x:v>
      </x:c>
      <x:c r="I46" s="27" t="n">
        <x:v>899100</x:v>
      </x:c>
      <x:c r="J46" s="19" t="n">
        <x:f>G46*I46</x:f>
        <x:v>314685</x:v>
      </x:c>
      <x:c r="K46" s="17" t="n">
        <x:v>90</x:v>
      </x:c>
      <x:c r="L46" s="17" t="str">
        <x:v>Replacement, stock depth, redundant routes and reconstitution</x:v>
      </x:c>
      <x:c r="M46" s="38"/>
    </x:row>
    <x:row r="47" ht="60" hidden="0" customHeight="1">
      <x:c r="C47" s="17" t="str">
        <x:v>G1</x:v>
      </x:c>
      <x:c r="D47" s="17" t="str">
        <x:v>Allied coastal megacity earthquake</x:v>
      </x:c>
      <x:c r="E47" s="17" t="str">
        <x:v>R0</x:v>
      </x:c>
      <x:c r="F47" s="17" t="str">
        <x:v>Anticipatory</x:v>
      </x:c>
      <x:c r="G47" s="24" t="n">
        <x:v>0</x:v>
      </x:c>
      <x:c r="H47" s="26" t="n">
        <x:f>SUM($G$47:G47)</x:f>
        <x:v>0</x:v>
      </x:c>
      <x:c r="I47" s="27" t="n">
        <x:v>1573600</x:v>
      </x:c>
      <x:c r="J47" s="19" t="n">
        <x:f>G47*I47</x:f>
        <x:v>0</x:v>
      </x:c>
      <x:c r="K47" s="17" t="n">
        <x:v>0</x:v>
      </x:c>
      <x:c r="L47" s="17" t="str">
        <x:v>Stage reversible packages outside the impact zone</x:v>
      </x:c>
      <x:c r="M47" s="38"/>
    </x:row>
    <x:row r="48" ht="84" hidden="0" customHeight="1">
      <x:c r="C48" s="17" t="str">
        <x:v>G1</x:v>
      </x:c>
      <x:c r="D48" s="17" t="str">
        <x:v>Allied coastal megacity earthquake</x:v>
      </x:c>
      <x:c r="E48" s="17" t="str">
        <x:v>R1</x:v>
      </x:c>
      <x:c r="F48" s="17" t="str">
        <x:v>Minimum viable service</x:v>
      </x:c>
      <x:c r="G48" s="24" t="n">
        <x:v>0.04</x:v>
      </x:c>
      <x:c r="H48" s="26" t="n">
        <x:f>SUM($G$47:G48)</x:f>
        <x:v>0.04</x:v>
      </x:c>
      <x:c r="I48" s="27" t="n">
        <x:v>1573600</x:v>
      </x:c>
      <x:c r="J48" s="19" t="n">
        <x:f>G48*I48</x:f>
        <x:v>62944</x:v>
      </x:c>
      <x:c r="K48" s="17" t="n">
        <x:v>3</x:v>
      </x:c>
      <x:c r="L48" s="17" t="str">
        <x:v>Command, access, life safety, medical continuity, communications</x:v>
      </x:c>
      <x:c r="M48" s="38"/>
    </x:row>
    <x:row r="49" ht="84" hidden="0" customHeight="1">
      <x:c r="C49" s="17" t="str">
        <x:v>G1</x:v>
      </x:c>
      <x:c r="D49" s="17" t="str">
        <x:v>Allied coastal megacity earthquake</x:v>
      </x:c>
      <x:c r="E49" s="17" t="str">
        <x:v>R2</x:v>
      </x:c>
      <x:c r="F49" s="17" t="str">
        <x:v>Initial operating capability</x:v>
      </x:c>
      <x:c r="G49" s="24" t="n">
        <x:v>0.16</x:v>
      </x:c>
      <x:c r="H49" s="26" t="n">
        <x:f>SUM($G$47:G49)</x:f>
        <x:v>0.2</x:v>
      </x:c>
      <x:c r="I49" s="27" t="n">
        <x:v>1573600</x:v>
      </x:c>
      <x:c r="J49" s="19" t="n">
        <x:f>G49*I49</x:f>
        <x:v>251776</x:v>
      </x:c>
      <x:c r="K49" s="17" t="n">
        <x:v>14</x:v>
      </x:c>
      <x:c r="L49" s="17" t="str">
        <x:v>Stable entry network and first utility / health / hazard effects</x:v>
      </x:c>
      <x:c r="M49" s="38"/>
    </x:row>
    <x:row r="50" ht="84" hidden="0" customHeight="1">
      <x:c r="C50" s="17" t="str">
        <x:v>G1</x:v>
      </x:c>
      <x:c r="D50" s="17" t="str">
        <x:v>Allied coastal megacity earthquake</x:v>
      </x:c>
      <x:c r="E50" s="17" t="str">
        <x:v>R3</x:v>
      </x:c>
      <x:c r="F50" s="17" t="str">
        <x:v>Force closure</x:v>
      </x:c>
      <x:c r="G50" s="24" t="n">
        <x:v>0.45</x:v>
      </x:c>
      <x:c r="H50" s="26" t="n">
        <x:f>SUM($G$47:G50)</x:f>
        <x:v>0.65</x:v>
      </x:c>
      <x:c r="I50" s="27" t="n">
        <x:v>1573600</x:v>
      </x:c>
      <x:c r="J50" s="19" t="n">
        <x:f>G50*I50</x:f>
        <x:v>708120</x:v>
      </x:c>
      <x:c r="K50" s="17" t="n">
        <x:v>45</x:v>
      </x:c>
      <x:c r="L50" s="17" t="str">
        <x:v>Complete operating formations and responder bases in theater</x:v>
      </x:c>
      <x:c r="M50" s="38"/>
    </x:row>
    <x:row r="51" ht="84" hidden="0" customHeight="1">
      <x:c r="C51" s="17" t="str">
        <x:v>G1</x:v>
      </x:c>
      <x:c r="D51" s="17" t="str">
        <x:v>Allied coastal megacity earthquake</x:v>
      </x:c>
      <x:c r="E51" s="17" t="str">
        <x:v>R4</x:v>
      </x:c>
      <x:c r="F51" s="17" t="str">
        <x:v>Depth and endurance</x:v>
      </x:c>
      <x:c r="G51" s="24" t="n">
        <x:v>0.35</x:v>
      </x:c>
      <x:c r="H51" s="26" t="n">
        <x:f>SUM($G$47:G51)</x:f>
        <x:v>1</x:v>
      </x:c>
      <x:c r="I51" s="27" t="n">
        <x:v>1573600</x:v>
      </x:c>
      <x:c r="J51" s="19" t="n">
        <x:f>G51*I51</x:f>
        <x:v>550760</x:v>
      </x:c>
      <x:c r="K51" s="17" t="n">
        <x:v>90</x:v>
      </x:c>
      <x:c r="L51" s="17" t="str">
        <x:v>Replacement, stock depth, redundant routes and reconstitution</x:v>
      </x:c>
      <x:c r="M51" s="38"/>
    </x:row>
    <x:row r="52" ht="60" hidden="0" customHeight="1">
      <x:c r="C52" s="17" t="str">
        <x:v>G2</x:v>
      </x:c>
      <x:c r="D52" s="17" t="str">
        <x:v>Regional flood and displacement mission</x:v>
      </x:c>
      <x:c r="E52" s="17" t="str">
        <x:v>R0</x:v>
      </x:c>
      <x:c r="F52" s="17" t="str">
        <x:v>Anticipatory</x:v>
      </x:c>
      <x:c r="G52" s="24" t="n">
        <x:v>0.02</x:v>
      </x:c>
      <x:c r="H52" s="26" t="n">
        <x:f>SUM($G$52:G52)</x:f>
        <x:v>0.02</x:v>
      </x:c>
      <x:c r="I52" s="27" t="n">
        <x:v>1581600</x:v>
      </x:c>
      <x:c r="J52" s="19" t="n">
        <x:f>G52*I52</x:f>
        <x:v>31632</x:v>
      </x:c>
      <x:c r="K52" s="17" t="n">
        <x:v>0</x:v>
      </x:c>
      <x:c r="L52" s="17" t="str">
        <x:v>Stage reversible packages outside the impact zone</x:v>
      </x:c>
      <x:c r="M52" s="38"/>
    </x:row>
    <x:row r="53" ht="84" hidden="0" customHeight="1">
      <x:c r="C53" s="17" t="str">
        <x:v>G2</x:v>
      </x:c>
      <x:c r="D53" s="17" t="str">
        <x:v>Regional flood and displacement mission</x:v>
      </x:c>
      <x:c r="E53" s="17" t="str">
        <x:v>R1</x:v>
      </x:c>
      <x:c r="F53" s="17" t="str">
        <x:v>Minimum viable service</x:v>
      </x:c>
      <x:c r="G53" s="24" t="n">
        <x:v>0.05</x:v>
      </x:c>
      <x:c r="H53" s="26" t="n">
        <x:f>SUM($G$52:G53)</x:f>
        <x:v>0.07</x:v>
      </x:c>
      <x:c r="I53" s="27" t="n">
        <x:v>1581600</x:v>
      </x:c>
      <x:c r="J53" s="19" t="n">
        <x:f>G53*I53</x:f>
        <x:v>79080</x:v>
      </x:c>
      <x:c r="K53" s="17" t="n">
        <x:v>3</x:v>
      </x:c>
      <x:c r="L53" s="17" t="str">
        <x:v>Command, access, life safety, medical continuity, communications</x:v>
      </x:c>
      <x:c r="M53" s="38"/>
    </x:row>
    <x:row r="54" ht="84" hidden="0" customHeight="1">
      <x:c r="C54" s="17" t="str">
        <x:v>G2</x:v>
      </x:c>
      <x:c r="D54" s="17" t="str">
        <x:v>Regional flood and displacement mission</x:v>
      </x:c>
      <x:c r="E54" s="17" t="str">
        <x:v>R2</x:v>
      </x:c>
      <x:c r="F54" s="17" t="str">
        <x:v>Initial operating capability</x:v>
      </x:c>
      <x:c r="G54" s="24" t="n">
        <x:v>0.18</x:v>
      </x:c>
      <x:c r="H54" s="26" t="n">
        <x:f>SUM($G$52:G54)</x:f>
        <x:v>0.25</x:v>
      </x:c>
      <x:c r="I54" s="27" t="n">
        <x:v>1581600</x:v>
      </x:c>
      <x:c r="J54" s="19" t="n">
        <x:f>G54*I54</x:f>
        <x:v>284688</x:v>
      </x:c>
      <x:c r="K54" s="17" t="n">
        <x:v>14</x:v>
      </x:c>
      <x:c r="L54" s="17" t="str">
        <x:v>Stable entry network and first utility / health / hazard effects</x:v>
      </x:c>
      <x:c r="M54" s="38"/>
    </x:row>
    <x:row r="55" ht="84" hidden="0" customHeight="1">
      <x:c r="C55" s="17" t="str">
        <x:v>G2</x:v>
      </x:c>
      <x:c r="D55" s="17" t="str">
        <x:v>Regional flood and displacement mission</x:v>
      </x:c>
      <x:c r="E55" s="17" t="str">
        <x:v>R3</x:v>
      </x:c>
      <x:c r="F55" s="17" t="str">
        <x:v>Force closure</x:v>
      </x:c>
      <x:c r="G55" s="24" t="n">
        <x:v>0.45</x:v>
      </x:c>
      <x:c r="H55" s="26" t="n">
        <x:f>SUM($G$52:G55)</x:f>
        <x:v>0.7</x:v>
      </x:c>
      <x:c r="I55" s="27" t="n">
        <x:v>1581600</x:v>
      </x:c>
      <x:c r="J55" s="19" t="n">
        <x:f>G55*I55</x:f>
        <x:v>711720</x:v>
      </x:c>
      <x:c r="K55" s="17" t="n">
        <x:v>45</x:v>
      </x:c>
      <x:c r="L55" s="17" t="str">
        <x:v>Complete operating formations and responder bases in theater</x:v>
      </x:c>
      <x:c r="M55" s="38"/>
    </x:row>
    <x:row r="56" ht="84" hidden="0" customHeight="1">
      <x:c r="C56" s="17" t="str">
        <x:v>G2</x:v>
      </x:c>
      <x:c r="D56" s="17" t="str">
        <x:v>Regional flood and displacement mission</x:v>
      </x:c>
      <x:c r="E56" s="17" t="str">
        <x:v>R4</x:v>
      </x:c>
      <x:c r="F56" s="17" t="str">
        <x:v>Depth and endurance</x:v>
      </x:c>
      <x:c r="G56" s="24" t="n">
        <x:v>0.3</x:v>
      </x:c>
      <x:c r="H56" s="26" t="n">
        <x:f>SUM($G$52:G56)</x:f>
        <x:v>1</x:v>
      </x:c>
      <x:c r="I56" s="27" t="n">
        <x:v>1581600</x:v>
      </x:c>
      <x:c r="J56" s="19" t="n">
        <x:f>G56*I56</x:f>
        <x:v>474480</x:v>
      </x:c>
      <x:c r="K56" s="17" t="n">
        <x:v>90</x:v>
      </x:c>
      <x:c r="L56" s="17" t="str">
        <x:v>Replacement, stock depth, redundant routes and reconstitution</x:v>
      </x:c>
      <x:c r="M56" s="3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70" hidden="0" customWidth="1"/>
  </x:cols>
  <x:sheetData>
    <x:row r="2">
      <x:c r="C2" s="2" t="str">
        <x:v>Strategic Mode Assignment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Full-mass routing hypothesis by campaign. Actual time-phased load plans must be item-level.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Campaign</x:v>
      </x:c>
      <x:c r="D6" s="13" t="str">
        <x:v>Air</x:v>
      </x:c>
      <x:c r="E6" s="13" t="str">
        <x:v>Ocean</x:v>
      </x:c>
      <x:c r="F6" s="13" t="str">
        <x:v>Land / rail</x:v>
      </x:c>
      <x:c r="G6" s="13" t="str">
        <x:v>Inland water</x:v>
      </x:c>
      <x:c r="H6" s="13" t="str">
        <x:v>Share check</x:v>
      </x:c>
      <x:c r="I6" s="13" t="str">
        <x:v>Design logic</x:v>
      </x:c>
      <x:c r="J6" s="38"/>
      <x:c r="K6" s="38"/>
      <x:c r="L6" s="38"/>
      <x:c r="M6" s="38"/>
    </x:row>
    <x:row r="7" ht="96" hidden="0" customHeight="1">
      <x:c r="C7" s="17" t="str">
        <x:v>C1</x:v>
      </x:c>
      <x:c r="D7" s="24" t="n">
        <x:v>0.08</x:v>
      </x:c>
      <x:c r="E7" s="24" t="n">
        <x:v>0</x:v>
      </x:c>
      <x:c r="F7" s="24" t="n">
        <x:v>0.82</x:v>
      </x:c>
      <x:c r="G7" s="24" t="n">
        <x:v>0.1</x:v>
      </x:c>
      <x:c r="H7" s="26" t="n">
        <x:f>SUM(D7:G7)</x:f>
        <x:v>0.9999999999999999</x:v>
      </x:c>
      <x:c r="I7" s="17" t="str">
        <x:v>Continental surface network with air urgency and waterway relief</x:v>
      </x:c>
      <x:c r="J7" s="38"/>
      <x:c r="K7" s="38"/>
      <x:c r="L7" s="38"/>
      <x:c r="M7" s="38"/>
    </x:row>
    <x:row r="8" ht="60" hidden="0" customHeight="1">
      <x:c r="C8" s="17" t="str">
        <x:v>C2</x:v>
      </x:c>
      <x:c r="D8" s="24" t="n">
        <x:v>0.08</x:v>
      </x:c>
      <x:c r="E8" s="24" t="n">
        <x:v>0.45</x:v>
      </x:c>
      <x:c r="F8" s="24" t="n">
        <x:v>0.35</x:v>
      </x:c>
      <x:c r="G8" s="24" t="n">
        <x:v>0.12</x:v>
      </x:c>
      <x:c r="H8" s="26" t="n">
        <x:f>SUM(D8:G8)</x:f>
        <x:v>1</x:v>
      </x:c>
      <x:c r="I8" s="17" t="str">
        <x:v>Coastal access plus forecastable surface staging</x:v>
      </x:c>
      <x:c r="J8" s="38"/>
      <x:c r="K8" s="38"/>
      <x:c r="L8" s="38"/>
      <x:c r="M8" s="38"/>
    </x:row>
    <x:row r="9" ht="84" hidden="0" customHeight="1">
      <x:c r="C9" s="17" t="str">
        <x:v>C3</x:v>
      </x:c>
      <x:c r="D9" s="24" t="n">
        <x:v>0.1</x:v>
      </x:c>
      <x:c r="E9" s="24" t="n">
        <x:v>0.5</x:v>
      </x:c>
      <x:c r="F9" s="24" t="n">
        <x:v>0.25</x:v>
      </x:c>
      <x:c r="G9" s="24" t="n">
        <x:v>0.15</x:v>
      </x:c>
      <x:c r="H9" s="26" t="n">
        <x:f>SUM(D9:G9)</x:f>
        <x:v>1</x:v>
      </x:c>
      <x:c r="I9" s="17" t="str">
        <x:v>Damaged coast requires ocean, littoral and inland alternatives</x:v>
      </x:c>
      <x:c r="J9" s="38"/>
      <x:c r="K9" s="38"/>
      <x:c r="L9" s="38"/>
      <x:c r="M9" s="38"/>
    </x:row>
    <x:row r="10" ht="60" hidden="0" customHeight="1">
      <x:c r="C10" s="17" t="str">
        <x:v>M1</x:v>
      </x:c>
      <x:c r="D10" s="24" t="n">
        <x:v>0.12</x:v>
      </x:c>
      <x:c r="E10" s="24" t="n">
        <x:v>0</x:v>
      </x:c>
      <x:c r="F10" s="24" t="n">
        <x:v>0.83</x:v>
      </x:c>
      <x:c r="G10" s="24" t="n">
        <x:v>0.05</x:v>
      </x:c>
      <x:c r="H10" s="26" t="n">
        <x:f>SUM(D10:G10)</x:f>
        <x:v>1</x:v>
      </x:c>
      <x:c r="I10" s="17" t="str">
        <x:v>Distributed western surface and air response</x:v>
      </x:c>
      <x:c r="J10" s="38"/>
      <x:c r="K10" s="38"/>
      <x:c r="L10" s="38"/>
      <x:c r="M10" s="38"/>
    </x:row>
    <x:row r="11" ht="72" hidden="0" customHeight="1">
      <x:c r="C11" s="17" t="str">
        <x:v>M2</x:v>
      </x:c>
      <x:c r="D11" s="24" t="n">
        <x:v>0.15</x:v>
      </x:c>
      <x:c r="E11" s="24" t="n">
        <x:v>0</x:v>
      </x:c>
      <x:c r="F11" s="24" t="n">
        <x:v>0.85</x:v>
      </x:c>
      <x:c r="G11" s="24" t="n">
        <x:v>0</x:v>
      </x:c>
      <x:c r="H11" s="26" t="n">
        <x:f>SUM(D11:G11)</x:f>
        <x:v>1</x:v>
      </x:c>
      <x:c r="I11" s="17" t="str">
        <x:v>Metro air urgency but primarily surface-delivered support</x:v>
      </x:c>
      <x:c r="J11" s="38"/>
      <x:c r="K11" s="38"/>
      <x:c r="L11" s="38"/>
      <x:c r="M11" s="38"/>
    </x:row>
    <x:row r="12" ht="72" hidden="0" customHeight="1">
      <x:c r="C12" s="17" t="str">
        <x:v>M3</x:v>
      </x:c>
      <x:c r="D12" s="24" t="n">
        <x:v>0.08</x:v>
      </x:c>
      <x:c r="E12" s="24" t="n">
        <x:v>0.05</x:v>
      </x:c>
      <x:c r="F12" s="24" t="n">
        <x:v>0.55</x:v>
      </x:c>
      <x:c r="G12" s="24" t="n">
        <x:v>0.32</x:v>
      </x:c>
      <x:c r="H12" s="26" t="n">
        <x:f>SUM(D12:G12)</x:f>
        <x:v>1</x:v>
      </x:c>
      <x:c r="I12" s="17" t="str">
        <x:v>Inland water is a maneuver route, not only a hazard</x:v>
      </x:c>
      <x:c r="J12" s="38"/>
      <x:c r="K12" s="38"/>
      <x:c r="L12" s="38"/>
      <x:c r="M12" s="38"/>
    </x:row>
    <x:row r="13" ht="72" hidden="0" customHeight="1">
      <x:c r="C13" s="17" t="str">
        <x:v>M4</x:v>
      </x:c>
      <x:c r="D13" s="24" t="n">
        <x:v>0.12</x:v>
      </x:c>
      <x:c r="E13" s="24" t="n">
        <x:v>0</x:v>
      </x:c>
      <x:c r="F13" s="24" t="n">
        <x:v>0.8</x:v>
      </x:c>
      <x:c r="G13" s="24" t="n">
        <x:v>0.08</x:v>
      </x:c>
      <x:c r="H13" s="26" t="n">
        <x:f>SUM(D13:G13)</x:f>
        <x:v>1</x:v>
      </x:c>
      <x:c r="I13" s="17" t="str">
        <x:v>Distributed road / rail network with urgent air packages</x:v>
      </x:c>
      <x:c r="J13" s="38"/>
      <x:c r="K13" s="38"/>
      <x:c r="L13" s="38"/>
      <x:c r="M13" s="38"/>
    </x:row>
    <x:row r="14" ht="72" hidden="0" customHeight="1">
      <x:c r="C14" s="17" t="str">
        <x:v>M5</x:v>
      </x:c>
      <x:c r="D14" s="24" t="n">
        <x:v>0.08</x:v>
      </x:c>
      <x:c r="E14" s="24" t="n">
        <x:v>0.65</x:v>
      </x:c>
      <x:c r="F14" s="24" t="n">
        <x:v>0.12</x:v>
      </x:c>
      <x:c r="G14" s="24" t="n">
        <x:v>0.15</x:v>
      </x:c>
      <x:c r="H14" s="26" t="n">
        <x:f>SUM(D14:G14)</x:f>
        <x:v>1</x:v>
      </x:c>
      <x:c r="I14" s="17" t="str">
        <x:v>Island and territorial endurance depends on maritime movement</x:v>
      </x:c>
      <x:c r="J14" s="38"/>
      <x:c r="K14" s="38"/>
      <x:c r="L14" s="38"/>
      <x:c r="M14" s="38"/>
    </x:row>
    <x:row r="15" ht="48" hidden="0" customHeight="1">
      <x:c r="C15" s="17" t="str">
        <x:v>G1</x:v>
      </x:c>
      <x:c r="D15" s="24" t="n">
        <x:v>0.1</x:v>
      </x:c>
      <x:c r="E15" s="24" t="n">
        <x:v>0.75</x:v>
      </x:c>
      <x:c r="F15" s="24" t="n">
        <x:v>0.05</x:v>
      </x:c>
      <x:c r="G15" s="24" t="n">
        <x:v>0.1</x:v>
      </x:c>
      <x:c r="H15" s="26" t="n">
        <x:f>SUM(D15:G15)</x:f>
        <x:v>1</x:v>
      </x:c>
      <x:c r="I15" s="17" t="str">
        <x:v>Intercontinental heavy movement is maritime</x:v>
      </x:c>
      <x:c r="J15" s="38"/>
      <x:c r="K15" s="38"/>
      <x:c r="L15" s="38"/>
      <x:c r="M15" s="38"/>
    </x:row>
    <x:row r="16" ht="60" hidden="0" customHeight="1">
      <x:c r="C16" s="17" t="str">
        <x:v>G2</x:v>
      </x:c>
      <x:c r="D16" s="24" t="n">
        <x:v>0.08</x:v>
      </x:c>
      <x:c r="E16" s="24" t="n">
        <x:v>0.6</x:v>
      </x:c>
      <x:c r="F16" s="24" t="n">
        <x:v>0.1</x:v>
      </x:c>
      <x:c r="G16" s="24" t="n">
        <x:v>0.22</x:v>
      </x:c>
      <x:c r="H16" s="26" t="n">
        <x:f>SUM(D16:G16)</x:f>
        <x:v>0.9999999999999999</x:v>
      </x:c>
      <x:c r="I16" s="17" t="str">
        <x:v>Regional water access diversifies ocean entry</x:v>
      </x:c>
      <x:c r="J16" s="38"/>
      <x:c r="K16" s="38"/>
      <x:c r="L16" s="38"/>
      <x:c r="M16" s="3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16" hidden="0" customWidth="1"/>
    <x:col min="5" max="5" width="38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3" hidden="0" customWidth="1"/>
    <x:col min="12" max="12" width="16" hidden="0" customWidth="1"/>
    <x:col min="13" max="13" width="18" hidden="0" customWidth="1"/>
    <x:col min="14" max="14" width="64" hidden="0" customWidth="1"/>
  </x:cols>
  <x:sheetData>
    <x:row r="2">
      <x:c r="C2" s="2" t="str">
        <x:v>Strategic Movement Fleet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C3" s="5" t="str">
        <x:v>Purpose-built transport equivalents. Payload, availability, cycle and cost are design assumptions pending configurations.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 ht="24" hidden="0" customHeight="1">
      <x:c r="C6" s="13" t="str">
        <x:v>ID</x:v>
      </x:c>
      <x:c r="D6" s="13" t="str">
        <x:v>Mode</x:v>
      </x:c>
      <x:c r="E6" s="13" t="str">
        <x:v>Asset class</x:v>
      </x:c>
      <x:c r="F6" s="13" t="str">
        <x:v>Force owner</x:v>
      </x:c>
      <x:c r="G6" s="13" t="str">
        <x:v>Inventory</x:v>
      </x:c>
      <x:c r="H6" s="13" t="str">
        <x:v>Payload t</x:v>
      </x:c>
      <x:c r="I6" s="13" t="str">
        <x:v>Availability</x:v>
      </x:c>
      <x:c r="J6" s="13" t="str">
        <x:v>Cycles/day</x:v>
      </x:c>
      <x:c r="K6" s="13" t="str">
        <x:v>Activation d</x:v>
      </x:c>
      <x:c r="L6" s="13" t="str">
        <x:v>Unit capital $B</x:v>
      </x:c>
      <x:c r="M6" s="13" t="str">
        <x:v>Effective t/day</x:v>
      </x:c>
      <x:c r="N6" s="13" t="str">
        <x:v>Boundary</x:v>
      </x:c>
      <x:c r="O6" s="38"/>
    </x:row>
    <x:row r="7" ht="84" hidden="0" customHeight="1">
      <x:c r="C7" s="17" t="str">
        <x:v>F01</x:v>
      </x:c>
      <x:c r="D7" s="17" t="str">
        <x:v>Air</x:v>
      </x:c>
      <x:c r="E7" s="17" t="str">
        <x:v>Long-range heavy lifter</x:v>
      </x:c>
      <x:c r="F7" s="17" t="str">
        <x:v>A-SMW</x:v>
      </x:c>
      <x:c r="G7" s="25" t="n">
        <x:v>464</x:v>
      </x:c>
      <x:c r="H7" s="25" t="n">
        <x:v>100</x:v>
      </x:c>
      <x:c r="I7" s="24" t="n">
        <x:v>0.75</x:v>
      </x:c>
      <x:c r="J7" s="28" t="n">
        <x:v>0.6</x:v>
      </x:c>
      <x:c r="K7" s="28" t="n">
        <x:v>0.5</x:v>
      </x:c>
      <x:c r="L7" s="28" t="n">
        <x:v>0.45</x:v>
      </x:c>
      <x:c r="M7" s="29" t="n">
        <x:f>G7*H7*I7*J7</x:f>
        <x:v>20880</x:v>
      </x:c>
      <x:c r="N7" s="17" t="str">
        <x:v>Urgent intercontinental modules; payload-equivalent assumption</x:v>
      </x:c>
      <x:c r="O7" s="38"/>
    </x:row>
    <x:row r="8" ht="48" hidden="0" customHeight="1">
      <x:c r="C8" s="17" t="str">
        <x:v>F02</x:v>
      </x:c>
      <x:c r="D8" s="17" t="str">
        <x:v>Air</x:v>
      </x:c>
      <x:c r="E8" s="17" t="str">
        <x:v>Medium short-field strategic lifter</x:v>
      </x:c>
      <x:c r="F8" s="17" t="str">
        <x:v>A-SMW</x:v>
      </x:c>
      <x:c r="G8" s="25" t="n">
        <x:v>696</x:v>
      </x:c>
      <x:c r="H8" s="25" t="n">
        <x:v>35</x:v>
      </x:c>
      <x:c r="I8" s="24" t="n">
        <x:v>0.75</x:v>
      </x:c>
      <x:c r="J8" s="28" t="n">
        <x:v>1</x:v>
      </x:c>
      <x:c r="K8" s="28" t="n">
        <x:v>0.5</x:v>
      </x:c>
      <x:c r="L8" s="28" t="n">
        <x:v>0.18</x:v>
      </x:c>
      <x:c r="M8" s="29" t="n">
        <x:f>G8*H8*I8*J8</x:f>
        <x:v>18270</x:v>
      </x:c>
      <x:c r="N8" s="17" t="str">
        <x:v>Austere air access and regional movement</x:v>
      </x:c>
      <x:c r="O8" s="38"/>
    </x:row>
    <x:row r="9" ht="84" hidden="0" customHeight="1">
      <x:c r="C9" s="17" t="str">
        <x:v>F03</x:v>
      </x:c>
      <x:c r="D9" s="17" t="str">
        <x:v>Air</x:v>
      </x:c>
      <x:c r="E9" s="17" t="str">
        <x:v>Autonomous heavy cargo aircraft</x:v>
      </x:c>
      <x:c r="F9" s="17" t="str">
        <x:v>A-SMW</x:v>
      </x:c>
      <x:c r="G9" s="25" t="n">
        <x:v>2320</x:v>
      </x:c>
      <x:c r="H9" s="25" t="n">
        <x:v>8</x:v>
      </x:c>
      <x:c r="I9" s="24" t="n">
        <x:v>0.65</x:v>
      </x:c>
      <x:c r="J9" s="28" t="n">
        <x:v>1.2</x:v>
      </x:c>
      <x:c r="K9" s="28" t="n">
        <x:v>0.5</x:v>
      </x:c>
      <x:c r="L9" s="28" t="n">
        <x:v>0.035</x:v>
      </x:c>
      <x:c r="M9" s="29" t="n">
        <x:f>G9*H9*I9*J9</x:f>
        <x:v>14476.8</x:v>
      </x:c>
      <x:c r="N9" s="17" t="str">
        <x:v>Novel capability; technical and safety gates remain open</x:v>
      </x:c>
      <x:c r="O9" s="38"/>
    </x:row>
    <x:row r="10" ht="72" hidden="0" customHeight="1">
      <x:c r="C10" s="17" t="str">
        <x:v>F04</x:v>
      </x:c>
      <x:c r="D10" s="17" t="str">
        <x:v>Ocean</x:v>
      </x:c>
      <x:c r="E10" s="17" t="str">
        <x:v>Strategic response RO/RO</x:v>
      </x:c>
      <x:c r="F10" s="17" t="str">
        <x:v>M-SSG</x:v>
      </x:c>
      <x:c r="G10" s="25" t="n">
        <x:v>142</x:v>
      </x:c>
      <x:c r="H10" s="25" t="n">
        <x:v>25000</x:v>
      </x:c>
      <x:c r="I10" s="24" t="n">
        <x:v>0.8</x:v>
      </x:c>
      <x:c r="J10" s="28" t="n">
        <x:v>0.05</x:v>
      </x:c>
      <x:c r="K10" s="28" t="n">
        <x:v>4</x:v>
      </x:c>
      <x:c r="L10" s="28" t="n">
        <x:v>3</x:v>
      </x:c>
      <x:c r="M10" s="29" t="n">
        <x:f>G10*H10*I10*J10</x:f>
        <x:v>142000</x:v>
      </x:c>
      <x:c r="N10" s="17" t="str">
        <x:v>Purpose-built mission cargo and self-sustaining discharge</x:v>
      </x:c>
      <x:c r="O10" s="38"/>
    </x:row>
    <x:row r="11" ht="72" hidden="0" customHeight="1">
      <x:c r="C11" s="17" t="str">
        <x:v>F05</x:v>
      </x:c>
      <x:c r="D11" s="17" t="str">
        <x:v>Ocean</x:v>
      </x:c>
      <x:c r="E11" s="17" t="str">
        <x:v>Fast response logistics ship</x:v>
      </x:c>
      <x:c r="F11" s="17" t="str">
        <x:v>M-SSG</x:v>
      </x:c>
      <x:c r="G11" s="25" t="n">
        <x:v>71</x:v>
      </x:c>
      <x:c r="H11" s="25" t="n">
        <x:v>12000</x:v>
      </x:c>
      <x:c r="I11" s="24" t="n">
        <x:v>0.8</x:v>
      </x:c>
      <x:c r="J11" s="28" t="n">
        <x:v>0.083333</x:v>
      </x:c>
      <x:c r="K11" s="28" t="n">
        <x:v>3</x:v>
      </x:c>
      <x:c r="L11" s="28" t="n">
        <x:v>2</x:v>
      </x:c>
      <x:c r="M11" s="29" t="n">
        <x:f>G11*H11*I11*J11</x:f>
        <x:v>56799.772800000006</x:v>
      </x:c>
      <x:c r="N11" s="17" t="str">
        <x:v>Speed prioritizes closure over commercial efficiency</x:v>
      </x:c>
      <x:c r="O11" s="38"/>
    </x:row>
    <x:row r="12" ht="72" hidden="0" customHeight="1">
      <x:c r="C12" s="17" t="str">
        <x:v>F06</x:v>
      </x:c>
      <x:c r="D12" s="17" t="str">
        <x:v>Land / rail</x:v>
      </x:c>
      <x:c r="E12" s="17" t="str">
        <x:v>Resilience rail mission set</x:v>
      </x:c>
      <x:c r="F12" s="17" t="str">
        <x:v>J-TSC</x:v>
      </x:c>
      <x:c r="G12" s="25" t="n">
        <x:v>204</x:v>
      </x:c>
      <x:c r="H12" s="25" t="n">
        <x:v>3500</x:v>
      </x:c>
      <x:c r="I12" s="24" t="n">
        <x:v>0.8</x:v>
      </x:c>
      <x:c r="J12" s="28" t="n">
        <x:v>0.333333</x:v>
      </x:c>
      <x:c r="K12" s="28" t="n">
        <x:v>1</x:v>
      </x:c>
      <x:c r="L12" s="28" t="n">
        <x:v>0.1</x:v>
      </x:c>
      <x:c r="M12" s="29" t="n">
        <x:f>G12*H12*I12*J12</x:f>
        <x:v>190399.8096</x:v>
      </x:c>
      <x:c r="N12" s="17" t="str">
        <x:v>Locomotive, rolling stock, loading and repair package</x:v>
      </x:c>
      <x:c r="O12" s="38"/>
    </x:row>
    <x:row r="13" ht="72" hidden="0" customHeight="1">
      <x:c r="C13" s="17" t="str">
        <x:v>F07</x:v>
      </x:c>
      <x:c r="D13" s="17" t="str">
        <x:v>Land / rail</x:v>
      </x:c>
      <x:c r="E13" s="17" t="str">
        <x:v>Heavy highway convoy set</x:v>
      </x:c>
      <x:c r="F13" s="17" t="str">
        <x:v>J-TSC</x:v>
      </x:c>
      <x:c r="G13" s="25" t="n">
        <x:v>510</x:v>
      </x:c>
      <x:c r="H13" s="25" t="n">
        <x:v>1000</x:v>
      </x:c>
      <x:c r="I13" s="24" t="n">
        <x:v>0.8</x:v>
      </x:c>
      <x:c r="J13" s="28" t="n">
        <x:v>0.5</x:v>
      </x:c>
      <x:c r="K13" s="28" t="n">
        <x:v>1</x:v>
      </x:c>
      <x:c r="L13" s="28" t="n">
        <x:v>0.03</x:v>
      </x:c>
      <x:c r="M13" s="29" t="n">
        <x:f>G13*H13*I13*J13</x:f>
        <x:v>204000</x:v>
      </x:c>
      <x:c r="N13" s="17" t="str">
        <x:v>Fifty-vehicle equivalent with maintenance and drivers</x:v>
      </x:c>
      <x:c r="O13" s="38"/>
    </x:row>
    <x:row r="14" ht="60" hidden="0" customHeight="1">
      <x:c r="C14" s="17" t="str">
        <x:v>F08</x:v>
      </x:c>
      <x:c r="D14" s="17" t="str">
        <x:v>Inland water</x:v>
      </x:c>
      <x:c r="E14" s="17" t="str">
        <x:v>Modular barge train</x:v>
      </x:c>
      <x:c r="F14" s="17" t="str">
        <x:v>M-IWG</x:v>
      </x:c>
      <x:c r="G14" s="25" t="n">
        <x:v>216</x:v>
      </x:c>
      <x:c r="H14" s="25" t="n">
        <x:v>4000</x:v>
      </x:c>
      <x:c r="I14" s="24" t="n">
        <x:v>0.75</x:v>
      </x:c>
      <x:c r="J14" s="28" t="n">
        <x:v>0.25</x:v>
      </x:c>
      <x:c r="K14" s="28" t="n">
        <x:v>2</x:v>
      </x:c>
      <x:c r="L14" s="28" t="n">
        <x:v>0.18</x:v>
      </x:c>
      <x:c r="M14" s="29" t="n">
        <x:f>G14*H14*I14*J14</x:f>
        <x:v>162000</x:v>
      </x:c>
      <x:c r="N14" s="17" t="str">
        <x:v>Push boat, barges, ramp and handling system</x:v>
      </x:c>
      <x:c r="O14" s="38"/>
    </x:row>
    <x:row r="15" ht="60" hidden="0" customHeight="1">
      <x:c r="C15" s="17" t="str">
        <x:v>F09</x:v>
      </x:c>
      <x:c r="D15" s="17" t="str">
        <x:v>Inland water</x:v>
      </x:c>
      <x:c r="E15" s="17" t="str">
        <x:v>Shallow workboat / ferry set</x:v>
      </x:c>
      <x:c r="F15" s="17" t="str">
        <x:v>M-IWG</x:v>
      </x:c>
      <x:c r="G15" s="25" t="n">
        <x:v>108</x:v>
      </x:c>
      <x:c r="H15" s="25" t="n">
        <x:v>300</x:v>
      </x:c>
      <x:c r="I15" s="24" t="n">
        <x:v>0.75</x:v>
      </x:c>
      <x:c r="J15" s="28" t="n">
        <x:v>0.5</x:v>
      </x:c>
      <x:c r="K15" s="28" t="n">
        <x:v>1</x:v>
      </x:c>
      <x:c r="L15" s="28" t="n">
        <x:v>0.2</x:v>
      </x:c>
      <x:c r="M15" s="29" t="n">
        <x:f>G15*H15*I15*J15</x:f>
        <x:v>12150</x:v>
      </x:c>
      <x:c r="N15" s="17" t="str">
        <x:v>Local crossing and break-bulk movement</x:v>
      </x:c>
      <x:c r="O15" s="3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  <x:col min="11" max="11" width="13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>
      <x:c r="C2" s="2" t="str">
        <x:v>Movement Capacity by Deadline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8"/>
      <x:c r="S2" s="38"/>
    </x:row>
    <x:row r="3">
      <x:c r="C3" s="5" t="str">
        <x:v>National portfolio capacity by mode. Preposition credit is bounded; transport capacity accrues only after activation.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38"/>
      <x:c r="S3" s="38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</x:row>
    <x:row r="6" ht="24" hidden="0" customHeight="1">
      <x:c r="C6" s="13" t="str">
        <x:v>Mode</x:v>
      </x:c>
      <x:c r="D6" s="13" t="str">
        <x:v>Full demand t</x:v>
      </x:c>
      <x:c r="E6" s="13" t="str">
        <x:v>Due by 72h</x:v>
      </x:c>
      <x:c r="F6" s="13" t="str">
        <x:v>Due by 14d</x:v>
      </x:c>
      <x:c r="G6" s="13" t="str">
        <x:v>Due by 45d</x:v>
      </x:c>
      <x:c r="H6" s="13" t="str">
        <x:v>Due by 90d</x:v>
      </x:c>
      <x:c r="I6" s="13" t="str">
        <x:v>Preposition t</x:v>
      </x:c>
      <x:c r="J6" s="13" t="str">
        <x:v>Effective t/day</x:v>
      </x:c>
      <x:c r="K6" s="13" t="str">
        <x:v>Activation d</x:v>
      </x:c>
      <x:c r="L6" s="13" t="str">
        <x:v>72h capacity</x:v>
      </x:c>
      <x:c r="M6" s="13" t="str">
        <x:v>14d capacity</x:v>
      </x:c>
      <x:c r="N6" s="13" t="str">
        <x:v>45d capacity</x:v>
      </x:c>
      <x:c r="O6" s="13" t="str">
        <x:v>90d capacity</x:v>
      </x:c>
      <x:c r="P6" s="13" t="str">
        <x:v>72h status</x:v>
      </x:c>
      <x:c r="Q6" s="13" t="str">
        <x:v>14d status</x:v>
      </x:c>
      <x:c r="R6" s="13" t="str">
        <x:v>45d status</x:v>
      </x:c>
      <x:c r="S6" s="13" t="str">
        <x:v>90d status</x:v>
      </x:c>
    </x:row>
    <x:row r="7" ht="15" hidden="0" customHeight="1">
      <x:c r="C7" s="17" t="str">
        <x:v>Air</x:v>
      </x:c>
      <x:c r="D7" s="19" t="n">
        <x:f>SUMPRODUCT('Campaigns'!$I$7:$I$16,'Mode Assignment'!$D$7:$D$16)</x:f>
        <x:v>1112405</x:v>
      </x:c>
      <x:c r="E7" s="24" t="n">
        <x:v>0.15</x:v>
      </x:c>
      <x:c r="F7" s="24" t="n">
        <x:v>0.6</x:v>
      </x:c>
      <x:c r="G7" s="24" t="n">
        <x:v>0.95</x:v>
      </x:c>
      <x:c r="H7" s="24" t="n">
        <x:v>1</x:v>
      </x:c>
      <x:c r="I7" s="25" t="n">
        <x:v>75000</x:v>
      </x:c>
      <x:c r="J7" s="19" t="n">
        <x:f>SUMIF('Movement Fleet'!$D$7:$D$15,C7,'Movement Fleet'!$M$7:$M$15)</x:f>
        <x:v>53626.8</x:v>
      </x:c>
      <x:c r="K7" s="25" t="n">
        <x:v>0.5</x:v>
      </x:c>
      <x:c r="L7" s="19" t="n">
        <x:f>I7+MAX(0,3-K7)*J7</x:f>
        <x:v>209067</x:v>
      </x:c>
      <x:c r="M7" s="19" t="n">
        <x:f>I7+MAX(0,14-K7)*J7</x:f>
        <x:v>798961.8</x:v>
      </x:c>
      <x:c r="N7" s="19" t="n">
        <x:f>I7+MAX(0,45-K7)*J7</x:f>
        <x:v>2461392.6</x:v>
      </x:c>
      <x:c r="O7" s="19" t="n">
        <x:f>I7+MAX(0,90-K7)*J7</x:f>
        <x:v>4874598.600000001</x:v>
      </x:c>
      <x:c r="P7" s="18" t="str">
        <x:f>IF(L7&gt;=D7*E7,"PASS","FAIL")</x:f>
        <x:v>PASS</x:v>
      </x:c>
      <x:c r="Q7" s="18" t="str">
        <x:f>IF(M7&gt;=D7*F7,"PASS","FAIL")</x:f>
        <x:v>PASS</x:v>
      </x:c>
      <x:c r="R7" s="18" t="str">
        <x:f>IF(N7&gt;=D7*G7,"PASS","FAIL")</x:f>
        <x:v>PASS</x:v>
      </x:c>
      <x:c r="S7" s="18" t="str">
        <x:f>IF(O7&gt;=D7*H7,"PASS","FAIL")</x:f>
        <x:v>PASS</x:v>
      </x:c>
    </x:row>
    <x:row r="8" ht="15" hidden="0" customHeight="1">
      <x:c r="C8" s="17" t="str">
        <x:v>Ocean</x:v>
      </x:c>
      <x:c r="D8" s="19" t="n">
        <x:f>SUMPRODUCT('Campaigns'!$I$7:$I$16,'Mode Assignment'!$E$7:$E$16)</x:f>
        <x:v>4249625</x:v>
      </x:c>
      <x:c r="E8" s="24" t="n">
        <x:v>0.03</x:v>
      </x:c>
      <x:c r="F8" s="24" t="n">
        <x:v>0.25</x:v>
      </x:c>
      <x:c r="G8" s="24" t="n">
        <x:v>0.85</x:v>
      </x:c>
      <x:c r="H8" s="24" t="n">
        <x:v>1</x:v>
      </x:c>
      <x:c r="I8" s="25" t="n">
        <x:v>150000</x:v>
      </x:c>
      <x:c r="J8" s="19" t="n">
        <x:f>SUMIF('Movement Fleet'!$D$7:$D$15,C8,'Movement Fleet'!$M$7:$M$15)</x:f>
        <x:v>198799.7728</x:v>
      </x:c>
      <x:c r="K8" s="25" t="n">
        <x:v>4</x:v>
      </x:c>
      <x:c r="L8" s="19" t="n">
        <x:f>I8+MAX(0,3-K8)*J8</x:f>
        <x:v>150000</x:v>
      </x:c>
      <x:c r="M8" s="19" t="n">
        <x:f>I8+MAX(0,14-K8)*J8</x:f>
        <x:v>2137997.728</x:v>
      </x:c>
      <x:c r="N8" s="19" t="n">
        <x:f>I8+MAX(0,45-K8)*J8</x:f>
        <x:v>8300790.6848</x:v>
      </x:c>
      <x:c r="O8" s="19" t="n">
        <x:f>I8+MAX(0,90-K8)*J8</x:f>
        <x:v>17246780.4608</x:v>
      </x:c>
      <x:c r="P8" s="18" t="str">
        <x:f>IF(L8&gt;=D8*E8,"PASS","FAIL")</x:f>
        <x:v>PASS</x:v>
      </x:c>
      <x:c r="Q8" s="18" t="str">
        <x:f>IF(M8&gt;=D8*F8,"PASS","FAIL")</x:f>
        <x:v>PASS</x:v>
      </x:c>
      <x:c r="R8" s="18" t="str">
        <x:f>IF(N8&gt;=D8*G8,"PASS","FAIL")</x:f>
        <x:v>PASS</x:v>
      </x:c>
      <x:c r="S8" s="18" t="str">
        <x:f>IF(O8&gt;=D8*H8,"PASS","FAIL")</x:f>
        <x:v>PASS</x:v>
      </x:c>
    </x:row>
    <x:row r="9" ht="15" hidden="0" customHeight="1">
      <x:c r="C9" s="17" t="str">
        <x:v>Land / rail</x:v>
      </x:c>
      <x:c r="D9" s="19" t="n">
        <x:f>SUMPRODUCT('Campaigns'!$I$7:$I$16,'Mode Assignment'!$F$7:$F$16)</x:f>
        <x:v>4620326</x:v>
      </x:c>
      <x:c r="E9" s="24" t="n">
        <x:v>0.12</x:v>
      </x:c>
      <x:c r="F9" s="24" t="n">
        <x:v>0.55</x:v>
      </x:c>
      <x:c r="G9" s="24" t="n">
        <x:v>0.9</x:v>
      </x:c>
      <x:c r="H9" s="24" t="n">
        <x:v>1</x:v>
      </x:c>
      <x:c r="I9" s="25" t="n">
        <x:v>250000</x:v>
      </x:c>
      <x:c r="J9" s="19" t="n">
        <x:f>SUMIF('Movement Fleet'!$D$7:$D$15,C9,'Movement Fleet'!$M$7:$M$15)</x:f>
        <x:v>394399.80960000004</x:v>
      </x:c>
      <x:c r="K9" s="25" t="n">
        <x:v>1</x:v>
      </x:c>
      <x:c r="L9" s="19" t="n">
        <x:f>I9+MAX(0,3-K9)*J9</x:f>
        <x:v>1038799.6192000001</x:v>
      </x:c>
      <x:c r="M9" s="19" t="n">
        <x:f>I9+MAX(0,14-K9)*J9</x:f>
        <x:v>5377197.524800001</x:v>
      </x:c>
      <x:c r="N9" s="19" t="n">
        <x:f>I9+MAX(0,45-K9)*J9</x:f>
        <x:v>17603591.6224</x:v>
      </x:c>
      <x:c r="O9" s="19" t="n">
        <x:f>I9+MAX(0,90-K9)*J9</x:f>
        <x:v>35351583.054400004</x:v>
      </x:c>
      <x:c r="P9" s="18" t="str">
        <x:f>IF(L9&gt;=D9*E9,"PASS","FAIL")</x:f>
        <x:v>PASS</x:v>
      </x:c>
      <x:c r="Q9" s="18" t="str">
        <x:f>IF(M9&gt;=D9*F9,"PASS","FAIL")</x:f>
        <x:v>PASS</x:v>
      </x:c>
      <x:c r="R9" s="18" t="str">
        <x:f>IF(N9&gt;=D9*G9,"PASS","FAIL")</x:f>
        <x:v>PASS</x:v>
      </x:c>
      <x:c r="S9" s="18" t="str">
        <x:f>IF(O9&gt;=D9*H9,"PASS","FAIL")</x:f>
        <x:v>PASS</x:v>
      </x:c>
    </x:row>
    <x:row r="10" ht="24" hidden="0" customHeight="1">
      <x:c r="C10" s="17" t="str">
        <x:v>Inland water</x:v>
      </x:c>
      <x:c r="D10" s="19" t="n">
        <x:f>SUMPRODUCT('Campaigns'!$I$7:$I$16,'Mode Assignment'!$G$7:$G$16)</x:f>
        <x:v>1598344</x:v>
      </x:c>
      <x:c r="E10" s="24" t="n">
        <x:v>0.03</x:v>
      </x:c>
      <x:c r="F10" s="24" t="n">
        <x:v>0.4</x:v>
      </x:c>
      <x:c r="G10" s="24" t="n">
        <x:v>0.85</x:v>
      </x:c>
      <x:c r="H10" s="24" t="n">
        <x:v>1</x:v>
      </x:c>
      <x:c r="I10" s="25" t="n">
        <x:v>75000</x:v>
      </x:c>
      <x:c r="J10" s="19" t="n">
        <x:f>SUMIF('Movement Fleet'!$D$7:$D$15,C10,'Movement Fleet'!$M$7:$M$15)</x:f>
        <x:v>174150</x:v>
      </x:c>
      <x:c r="K10" s="25" t="n">
        <x:v>2</x:v>
      </x:c>
      <x:c r="L10" s="19" t="n">
        <x:f>I10+MAX(0,3-K10)*J10</x:f>
        <x:v>249150</x:v>
      </x:c>
      <x:c r="M10" s="19" t="n">
        <x:f>I10+MAX(0,14-K10)*J10</x:f>
        <x:v>2164800</x:v>
      </x:c>
      <x:c r="N10" s="19" t="n">
        <x:f>I10+MAX(0,45-K10)*J10</x:f>
        <x:v>7563450</x:v>
      </x:c>
      <x:c r="O10" s="19" t="n">
        <x:f>I10+MAX(0,90-K10)*J10</x:f>
        <x:v>15400200</x:v>
      </x:c>
      <x:c r="P10" s="18" t="str">
        <x:f>IF(L10&gt;=D10*E10,"PASS","FAIL")</x:f>
        <x:v>PASS</x:v>
      </x:c>
      <x:c r="Q10" s="18" t="str">
        <x:f>IF(M10&gt;=D10*F10,"PASS","FAIL")</x:f>
        <x:v>PASS</x:v>
      </x:c>
      <x:c r="R10" s="18" t="str">
        <x:f>IF(N10&gt;=D10*G10,"PASS","FAIL")</x:f>
        <x:v>PASS</x:v>
      </x:c>
      <x:c r="S10" s="18" t="str">
        <x:f>IF(O10&gt;=D10*H10,"PASS","FAIL")</x:f>
        <x:v>PASS</x:v>
      </x:c>
    </x:row>
  </x:sheetData>
  <x:conditionalFormatting sqref="P7:S1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OPEN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8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65" hidden="0" customWidth="1"/>
    <x:col min="10" max="10" width="16" hidden="0" customWidth="1"/>
    <x:col min="11" max="11" width="22" hidden="0" customWidth="1"/>
  </x:cols>
  <x:sheetData>
    <x:row r="2">
      <x:c r="C2" s="2" t="str">
        <x:v>Entry Node Classes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C3" s="5" t="str">
        <x:v>Fixed and mobile reception capacity. Effective throughput is theoretical throughput × force availability before campaign damage.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 ht="24" hidden="0" customHeight="1">
      <x:c r="C6" s="13" t="str">
        <x:v>ID</x:v>
      </x:c>
      <x:c r="D6" s="13" t="str">
        <x:v>Node class</x:v>
      </x:c>
      <x:c r="E6" s="13" t="str">
        <x:v>Inventory</x:v>
      </x:c>
      <x:c r="F6" s="13" t="str">
        <x:v>Gross t/day</x:v>
      </x:c>
      <x:c r="G6" s="13" t="str">
        <x:v>Availability</x:v>
      </x:c>
      <x:c r="H6" s="13" t="str">
        <x:v>Effective t/day</x:v>
      </x:c>
      <x:c r="I6" s="13" t="str">
        <x:v>Complete capability</x:v>
      </x:c>
      <x:c r="J6" s="13" t="str">
        <x:v>Unit capital $B</x:v>
      </x:c>
      <x:c r="K6" s="13" t="str">
        <x:v>Capital owner</x:v>
      </x:c>
      <x:c r="L6" s="38"/>
      <x:c r="M6" s="38"/>
      <x:c r="N6" s="38"/>
      <x:c r="O6" s="38"/>
    </x:row>
    <x:row r="7" ht="84" hidden="0" customHeight="1">
      <x:c r="C7" s="17" t="str">
        <x:v>NREC</x:v>
      </x:c>
      <x:c r="D7" s="17" t="str">
        <x:v>Prepared Resilience Entry Complex</x:v>
      </x:c>
      <x:c r="E7" s="25" t="n">
        <x:v>24</x:v>
      </x:c>
      <x:c r="F7" s="25" t="n">
        <x:v>45000</x:v>
      </x:c>
      <x:c r="G7" s="24" t="n">
        <x:v>0.9</x:v>
      </x:c>
      <x:c r="H7" s="19" t="n">
        <x:f>F7*G7</x:f>
        <x:v>40500</x:v>
      </x:c>
      <x:c r="I7" s="17" t="str">
        <x:v>Multi-modal anchor outside direct impact; paired with alternate</x:v>
      </x:c>
      <x:c r="J7" s="30" t="n">
        <x:v>10</x:v>
      </x:c>
      <x:c r="K7" s="23" t="str">
        <x:v>Prepared network</x:v>
      </x:c>
      <x:c r="L7" s="38"/>
      <x:c r="M7" s="38"/>
      <x:c r="N7" s="38"/>
      <x:c r="O7" s="38"/>
    </x:row>
    <x:row r="8" ht="72" hidden="0" customHeight="1">
      <x:c r="C8" s="17" t="str">
        <x:v>AEG</x:v>
      </x:c>
      <x:c r="D8" s="17" t="str">
        <x:v>Expeditionary Air Entry Group</x:v>
      </x:c>
      <x:c r="E8" s="25" t="n">
        <x:v>67</x:v>
      </x:c>
      <x:c r="F8" s="25" t="n">
        <x:v>1500</x:v>
      </x:c>
      <x:c r="G8" s="24" t="n">
        <x:v>0.75</x:v>
      </x:c>
      <x:c r="H8" s="19" t="n">
        <x:f>F8*G8</x:f>
        <x:v>1125</x:v>
      </x:c>
      <x:c r="I8" s="17" t="str">
        <x:v>Airfield assessment, repair, ATC, fuel, cargo and rescue</x:v>
      </x:c>
      <x:c r="J8" s="30" t="n">
        <x:v>2.5</x:v>
      </x:c>
      <x:c r="K8" s="23" t="str">
        <x:v>A-AAG</x:v>
      </x:c>
      <x:c r="L8" s="38"/>
      <x:c r="M8" s="38"/>
      <x:c r="N8" s="38"/>
      <x:c r="O8" s="38"/>
    </x:row>
    <x:row r="9" ht="72" hidden="0" customHeight="1">
      <x:c r="C9" s="17" t="str">
        <x:v>POG</x:v>
      </x:c>
      <x:c r="D9" s="17" t="str">
        <x:v>Expeditionary Port Opening Group</x:v>
      </x:c>
      <x:c r="E9" s="25" t="n">
        <x:v>60</x:v>
      </x:c>
      <x:c r="F9" s="25" t="n">
        <x:v>12000</x:v>
      </x:c>
      <x:c r="G9" s="24" t="n">
        <x:v>0.68</x:v>
      </x:c>
      <x:c r="H9" s="19" t="n">
        <x:f>F9*G9</x:f>
        <x:v>8160.000000000001</x:v>
      </x:c>
      <x:c r="I9" s="17" t="str">
        <x:v>Hydrography, clearance, salvage, cranes and control</x:v>
      </x:c>
      <x:c r="J9" s="30" t="n">
        <x:v>3</x:v>
      </x:c>
      <x:c r="K9" s="23" t="str">
        <x:v>M-POG</x:v>
      </x:c>
      <x:c r="L9" s="38"/>
      <x:c r="M9" s="38"/>
      <x:c r="N9" s="38"/>
      <x:c r="O9" s="38"/>
    </x:row>
    <x:row r="10" ht="60" hidden="0" customHeight="1">
      <x:c r="C10" s="17" t="str">
        <x:v>LAG</x:v>
      </x:c>
      <x:c r="D10" s="17" t="str">
        <x:v>Littoral Entry Group</x:v>
      </x:c>
      <x:c r="E10" s="25" t="n">
        <x:v>69</x:v>
      </x:c>
      <x:c r="F10" s="25" t="n">
        <x:v>6000</x:v>
      </x:c>
      <x:c r="G10" s="24" t="n">
        <x:v>0.68</x:v>
      </x:c>
      <x:c r="H10" s="19" t="n">
        <x:f>F10*G10</x:f>
        <x:v>4080.0000000000005</x:v>
      </x:c>
      <x:c r="I10" s="17" t="str">
        <x:v>Damaged-quay, beach and shallow-water transfer</x:v>
      </x:c>
      <x:c r="J10" s="30" t="n">
        <x:v>2</x:v>
      </x:c>
      <x:c r="K10" s="23" t="str">
        <x:v>M-LAG</x:v>
      </x:c>
      <x:c r="L10" s="38"/>
      <x:c r="M10" s="38"/>
      <x:c r="N10" s="38"/>
      <x:c r="O10" s="38"/>
    </x:row>
    <x:row r="11" ht="48" hidden="0" customHeight="1">
      <x:c r="C11" s="17" t="str">
        <x:v>IWG</x:v>
      </x:c>
      <x:c r="D11" s="17" t="str">
        <x:v>Inland Water Entry Group</x:v>
      </x:c>
      <x:c r="E11" s="25" t="n">
        <x:v>54</x:v>
      </x:c>
      <x:c r="F11" s="25" t="n">
        <x:v>8000</x:v>
      </x:c>
      <x:c r="G11" s="24" t="n">
        <x:v>0.68</x:v>
      </x:c>
      <x:c r="H11" s="19" t="n">
        <x:f>F11*G11</x:f>
        <x:v>5440</x:v>
      </x:c>
      <x:c r="I11" s="17" t="str">
        <x:v>River / lake terminal, ferry and distribution</x:v>
      </x:c>
      <x:c r="J11" s="30" t="n">
        <x:v>1.5</x:v>
      </x:c>
      <x:c r="K11" s="23" t="str">
        <x:v>M-IWG</x:v>
      </x:c>
      <x:c r="L11" s="38"/>
      <x:c r="M11" s="38"/>
      <x:c r="N11" s="38"/>
      <x:c r="O11" s="38"/>
    </x:row>
    <x:row r="12" ht="96" hidden="0" customHeight="1">
      <x:c r="C12" s="17" t="str">
        <x:v>LRG</x:v>
      </x:c>
      <x:c r="D12" s="17" t="str">
        <x:v>Land / Rail Entry Group</x:v>
      </x:c>
      <x:c r="E12" s="25" t="n">
        <x:v>121</x:v>
      </x:c>
      <x:c r="F12" s="25" t="n">
        <x:v>6000</x:v>
      </x:c>
      <x:c r="G12" s="24" t="n">
        <x:v>0.74</x:v>
      </x:c>
      <x:c r="H12" s="19" t="n">
        <x:f>F12*G12</x:f>
        <x:v>4440</x:v>
      </x:c>
      <x:c r="I12" s="17" t="str">
        <x:v>Route assessment, bridge access, railhead and terminal control</x:v>
      </x:c>
      <x:c r="J12" s="30" t="n">
        <x:v>1.2</x:v>
      </x:c>
      <x:c r="K12" s="23" t="str">
        <x:v>L-ROG</x:v>
      </x:c>
      <x:c r="L12" s="38"/>
      <x:c r="M12" s="38"/>
      <x:c r="N12" s="38"/>
      <x:c r="O12" s="3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4" hidden="0" customWidth="1"/>
    <x:col min="10" max="10" width="22" hidden="0" customWidth="1"/>
    <x:col min="11" max="11" width="22" hidden="0" customWidth="1"/>
    <x:col min="12" max="12" width="18" hidden="0" customWidth="1"/>
    <x:col min="13" max="13" width="66" hidden="0" customWidth="1"/>
  </x:cols>
  <x:sheetData>
    <x:row r="2">
      <x:c r="C2" s="2" t="str">
        <x:v>Campaign Entry Architecture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</x:row>
    <x:row r="3">
      <x:c r="C3" s="5" t="str">
        <x:v>Allocated fixed and mobile node equivalents for the ten simultaneous campaigns.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</x:row>
    <x:row r="6" ht="36" hidden="0" customHeight="1">
      <x:c r="C6" s="13" t="str">
        <x:v>Campaign</x:v>
      </x:c>
      <x:c r="D6" s="13" t="str">
        <x:v>NREC</x:v>
      </x:c>
      <x:c r="E6" s="13" t="str">
        <x:v>Air</x:v>
      </x:c>
      <x:c r="F6" s="13" t="str">
        <x:v>Port</x:v>
      </x:c>
      <x:c r="G6" s="13" t="str">
        <x:v>Littoral</x:v>
      </x:c>
      <x:c r="H6" s="13" t="str">
        <x:v>Inland</x:v>
      </x:c>
      <x:c r="I6" s="13" t="str">
        <x:v>Land / rail</x:v>
      </x:c>
      <x:c r="J6" s="13" t="str">
        <x:v>Reference damage factor</x:v>
      </x:c>
      <x:c r="K6" s="13" t="str">
        <x:v>Primary-path-loss factor</x:v>
      </x:c>
      <x:c r="L6" s="13" t="str">
        <x:v>Base access factor</x:v>
      </x:c>
      <x:c r="M6" s="13" t="str">
        <x:v>Architecture</x:v>
      </x:c>
      <x:c r="N6" s="38"/>
      <x:c r="O6" s="38"/>
      <x:c r="P6" s="38"/>
      <x:c r="Q6" s="38"/>
    </x:row>
    <x:row r="7" ht="48" hidden="0" customHeight="1">
      <x:c r="C7" s="17" t="str">
        <x:v>C1</x:v>
      </x:c>
      <x:c r="D7" s="23" t="n">
        <x:v>2</x:v>
      </x:c>
      <x:c r="E7" s="23" t="n">
        <x:v>2</x:v>
      </x:c>
      <x:c r="F7" s="23" t="n">
        <x:v>0</x:v>
      </x:c>
      <x:c r="G7" s="23" t="n">
        <x:v>0</x:v>
      </x:c>
      <x:c r="H7" s="23" t="n">
        <x:v>2</x:v>
      </x:c>
      <x:c r="I7" s="23" t="n">
        <x:v>10</x:v>
      </x:c>
      <x:c r="J7" s="24" t="n">
        <x:v>0.8</x:v>
      </x:c>
      <x:c r="K7" s="24" t="n">
        <x:v>0.7</x:v>
      </x:c>
      <x:c r="L7" s="24" t="n">
        <x:v>0.85</x:v>
      </x:c>
      <x:c r="M7" s="23" t="str">
        <x:v>Continental paired surface corridors</x:v>
      </x:c>
      <x:c r="N7" s="38"/>
      <x:c r="O7" s="38"/>
      <x:c r="P7" s="38"/>
      <x:c r="Q7" s="38"/>
    </x:row>
    <x:row r="8" ht="84" hidden="0" customHeight="1">
      <x:c r="C8" s="17" t="str">
        <x:v>C2</x:v>
      </x:c>
      <x:c r="D8" s="23" t="n">
        <x:v>3</x:v>
      </x:c>
      <x:c r="E8" s="23" t="n">
        <x:v>3</x:v>
      </x:c>
      <x:c r="F8" s="23" t="n">
        <x:v>5</x:v>
      </x:c>
      <x:c r="G8" s="23" t="n">
        <x:v>5</x:v>
      </x:c>
      <x:c r="H8" s="23" t="n">
        <x:v>2</x:v>
      </x:c>
      <x:c r="I8" s="23" t="n">
        <x:v>8</x:v>
      </x:c>
      <x:c r="J8" s="24" t="n">
        <x:v>0.75</x:v>
      </x:c>
      <x:c r="K8" s="24" t="n">
        <x:v>0.65</x:v>
      </x:c>
      <x:c r="L8" s="24" t="n">
        <x:v>0.85</x:v>
      </x:c>
      <x:c r="M8" s="23" t="str">
        <x:v>Forecast permits safe-zone staging; coast remains damaged</x:v>
      </x:c>
      <x:c r="N8" s="38"/>
      <x:c r="O8" s="38"/>
      <x:c r="P8" s="38"/>
      <x:c r="Q8" s="38"/>
    </x:row>
    <x:row r="9" ht="60" hidden="0" customHeight="1">
      <x:c r="C9" s="17" t="str">
        <x:v>C3</x:v>
      </x:c>
      <x:c r="D9" s="23" t="n">
        <x:v>2</x:v>
      </x:c>
      <x:c r="E9" s="23" t="n">
        <x:v>5</x:v>
      </x:c>
      <x:c r="F9" s="23" t="n">
        <x:v>6</x:v>
      </x:c>
      <x:c r="G9" s="23" t="n">
        <x:v>8</x:v>
      </x:c>
      <x:c r="H9" s="23" t="n">
        <x:v>2</x:v>
      </x:c>
      <x:c r="I9" s="23" t="n">
        <x:v>8</x:v>
      </x:c>
      <x:c r="J9" s="24" t="n">
        <x:v>0.55</x:v>
      </x:c>
      <x:c r="K9" s="24" t="n">
        <x:v>0.2</x:v>
      </x:c>
      <x:c r="L9" s="24" t="n">
        <x:v>0.7</x:v>
      </x:c>
      <x:c r="M9" s="23" t="str">
        <x:v>Severe correlated port, road and utility loss</x:v>
      </x:c>
      <x:c r="N9" s="38"/>
      <x:c r="O9" s="38"/>
      <x:c r="P9" s="38"/>
      <x:c r="Q9" s="38"/>
    </x:row>
    <x:row r="10" ht="36" hidden="0" customHeight="1">
      <x:c r="C10" s="17" t="str">
        <x:v>M1</x:v>
      </x:c>
      <x:c r="D10" s="23" t="n">
        <x:v>2</x:v>
      </x:c>
      <x:c r="E10" s="23" t="n">
        <x:v>3</x:v>
      </x:c>
      <x:c r="F10" s="23" t="n">
        <x:v>0</x:v>
      </x:c>
      <x:c r="G10" s="23" t="n">
        <x:v>0</x:v>
      </x:c>
      <x:c r="H10" s="23" t="n">
        <x:v>1</x:v>
      </x:c>
      <x:c r="I10" s="23" t="n">
        <x:v>7</x:v>
      </x:c>
      <x:c r="J10" s="24" t="n">
        <x:v>0.85</x:v>
      </x:c>
      <x:c r="K10" s="24" t="n">
        <x:v>0.75</x:v>
      </x:c>
      <x:c r="L10" s="24" t="n">
        <x:v>0.9</x:v>
      </x:c>
      <x:c r="M10" s="23" t="str">
        <x:v>Distributed western entry</x:v>
      </x:c>
      <x:c r="N10" s="38"/>
      <x:c r="O10" s="38"/>
      <x:c r="P10" s="38"/>
      <x:c r="Q10" s="38"/>
    </x:row>
    <x:row r="11" ht="48" hidden="0" customHeight="1">
      <x:c r="C11" s="17" t="str">
        <x:v>M2</x:v>
      </x:c>
      <x:c r="D11" s="23" t="n">
        <x:v>2</x:v>
      </x:c>
      <x:c r="E11" s="23" t="n">
        <x:v>3</x:v>
      </x:c>
      <x:c r="F11" s="23" t="n">
        <x:v>0</x:v>
      </x:c>
      <x:c r="G11" s="23" t="n">
        <x:v>0</x:v>
      </x:c>
      <x:c r="H11" s="23" t="n">
        <x:v>0</x:v>
      </x:c>
      <x:c r="I11" s="23" t="n">
        <x:v>6</x:v>
      </x:c>
      <x:c r="J11" s="24" t="n">
        <x:v>0.9</x:v>
      </x:c>
      <x:c r="K11" s="24" t="n">
        <x:v>0.8</x:v>
      </x:c>
      <x:c r="L11" s="24" t="n">
        <x:v>0.9</x:v>
      </x:c>
      <x:c r="M11" s="23" t="str">
        <x:v>Metro access with prepared complexes</x:v>
      </x:c>
      <x:c r="N11" s="38"/>
      <x:c r="O11" s="38"/>
      <x:c r="P11" s="38"/>
      <x:c r="Q11" s="38"/>
    </x:row>
    <x:row r="12" ht="48" hidden="0" customHeight="1">
      <x:c r="C12" s="17" t="str">
        <x:v>M3</x:v>
      </x:c>
      <x:c r="D12" s="23" t="n">
        <x:v>2</x:v>
      </x:c>
      <x:c r="E12" s="23" t="n">
        <x:v>2</x:v>
      </x:c>
      <x:c r="F12" s="23" t="n">
        <x:v>1</x:v>
      </x:c>
      <x:c r="G12" s="23" t="n">
        <x:v>2</x:v>
      </x:c>
      <x:c r="H12" s="23" t="n">
        <x:v>6</x:v>
      </x:c>
      <x:c r="I12" s="23" t="n">
        <x:v>7</x:v>
      </x:c>
      <x:c r="J12" s="24" t="n">
        <x:v>0.8</x:v>
      </x:c>
      <x:c r="K12" s="24" t="n">
        <x:v>0.7</x:v>
      </x:c>
      <x:c r="L12" s="24" t="n">
        <x:v>0.85</x:v>
      </x:c>
      <x:c r="M12" s="23" t="str">
        <x:v>Waterways supplement damaged roads</x:v>
      </x:c>
      <x:c r="N12" s="38"/>
      <x:c r="O12" s="38"/>
      <x:c r="P12" s="38"/>
      <x:c r="Q12" s="38"/>
    </x:row>
    <x:row r="13" ht="72" hidden="0" customHeight="1">
      <x:c r="C13" s="17" t="str">
        <x:v>M4</x:v>
      </x:c>
      <x:c r="D13" s="23" t="n">
        <x:v>2</x:v>
      </x:c>
      <x:c r="E13" s="23" t="n">
        <x:v>3</x:v>
      </x:c>
      <x:c r="F13" s="23" t="n">
        <x:v>0</x:v>
      </x:c>
      <x:c r="G13" s="23" t="n">
        <x:v>0</x:v>
      </x:c>
      <x:c r="H13" s="23" t="n">
        <x:v>2</x:v>
      </x:c>
      <x:c r="I13" s="23" t="n">
        <x:v>8</x:v>
      </x:c>
      <x:c r="J13" s="24" t="n">
        <x:v>0.8</x:v>
      </x:c>
      <x:c r="K13" s="24" t="n">
        <x:v>0.7</x:v>
      </x:c>
      <x:c r="L13" s="24" t="n">
        <x:v>0.85</x:v>
      </x:c>
      <x:c r="M13" s="23" t="str">
        <x:v>Many small damage clusters require distributed nodes</x:v>
      </x:c>
      <x:c r="N13" s="38"/>
      <x:c r="O13" s="38"/>
      <x:c r="P13" s="38"/>
      <x:c r="Q13" s="38"/>
    </x:row>
    <x:row r="14" ht="72" hidden="0" customHeight="1">
      <x:c r="C14" s="17" t="str">
        <x:v>M5</x:v>
      </x:c>
      <x:c r="D14" s="23" t="n">
        <x:v>1</x:v>
      </x:c>
      <x:c r="E14" s="23" t="n">
        <x:v>2</x:v>
      </x:c>
      <x:c r="F14" s="23" t="n">
        <x:v>4</x:v>
      </x:c>
      <x:c r="G14" s="23" t="n">
        <x:v>4</x:v>
      </x:c>
      <x:c r="H14" s="23" t="n">
        <x:v>3</x:v>
      </x:c>
      <x:c r="I14" s="23" t="n">
        <x:v>4</x:v>
      </x:c>
      <x:c r="J14" s="24" t="n">
        <x:v>0.75</x:v>
      </x:c>
      <x:c r="K14" s="24" t="n">
        <x:v>0.65</x:v>
      </x:c>
      <x:c r="L14" s="24" t="n">
        <x:v>0.85</x:v>
      </x:c>
      <x:c r="M14" s="23" t="str">
        <x:v>Territorial maritime bridge with one prepared anchor</x:v>
      </x:c>
      <x:c r="N14" s="38"/>
      <x:c r="O14" s="38"/>
      <x:c r="P14" s="38"/>
      <x:c r="Q14" s="38"/>
    </x:row>
    <x:row r="15" ht="96" hidden="0" customHeight="1">
      <x:c r="C15" s="17" t="str">
        <x:v>G1</x:v>
      </x:c>
      <x:c r="D15" s="23" t="n">
        <x:v>0</x:v>
      </x:c>
      <x:c r="E15" s="23" t="n">
        <x:v>5</x:v>
      </x:c>
      <x:c r="F15" s="23" t="n">
        <x:v>8</x:v>
      </x:c>
      <x:c r="G15" s="23" t="n">
        <x:v>9</x:v>
      </x:c>
      <x:c r="H15" s="23" t="n">
        <x:v>2</x:v>
      </x:c>
      <x:c r="I15" s="23" t="n">
        <x:v>8</x:v>
      </x:c>
      <x:c r="J15" s="24" t="n">
        <x:v>0.65</x:v>
      </x:c>
      <x:c r="K15" s="24" t="n">
        <x:v>0.22</x:v>
      </x:c>
      <x:c r="L15" s="24" t="n">
        <x:v>0.7</x:v>
      </x:c>
      <x:c r="M15" s="23" t="str">
        <x:v>No U.S. fixed complex; partner access and mobile opening only</x:v>
      </x:c>
      <x:c r="N15" s="38"/>
      <x:c r="O15" s="38"/>
      <x:c r="P15" s="38"/>
      <x:c r="Q15" s="38"/>
    </x:row>
    <x:row r="16" ht="60" hidden="0" customHeight="1">
      <x:c r="C16" s="17" t="str">
        <x:v>G2</x:v>
      </x:c>
      <x:c r="D16" s="23" t="n">
        <x:v>0</x:v>
      </x:c>
      <x:c r="E16" s="23" t="n">
        <x:v>5</x:v>
      </x:c>
      <x:c r="F16" s="23" t="n">
        <x:v>7</x:v>
      </x:c>
      <x:c r="G16" s="23" t="n">
        <x:v>9</x:v>
      </x:c>
      <x:c r="H16" s="23" t="n">
        <x:v>5</x:v>
      </x:c>
      <x:c r="I16" s="23" t="n">
        <x:v>8</x:v>
      </x:c>
      <x:c r="J16" s="24" t="n">
        <x:v>0.65</x:v>
      </x:c>
      <x:c r="K16" s="24" t="n">
        <x:v>0.55</x:v>
      </x:c>
      <x:c r="L16" s="24" t="n">
        <x:v>0.8</x:v>
      </x:c>
      <x:c r="M16" s="23" t="str">
        <x:v>Multiple sovereign nodes and inland-water routes</x:v>
      </x:c>
      <x:c r="N16" s="38"/>
      <x:c r="O16" s="38"/>
      <x:c r="P16" s="38"/>
      <x:c r="Q16" s="38"/>
    </x:row>
    <x:row r="17"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</x:row>
    <x:row r="18"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</x:row>
    <x:row r="19">
      <x:c r="C19" s="8" t="str">
        <x:v>Inventory reconciliation</x:v>
      </x:c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38"/>
      <x:c r="O19" s="38"/>
      <x:c r="P19" s="38"/>
      <x:c r="Q19" s="38"/>
    </x:row>
    <x:row r="20" ht="36" hidden="0" customHeight="1">
      <x:c r="C20" s="13" t="str">
        <x:v>Node class</x:v>
      </x:c>
      <x:c r="D20" s="13" t="str">
        <x:v>Allocated</x:v>
      </x:c>
      <x:c r="E20" s="13" t="str">
        <x:v>Inventory</x:v>
      </x:c>
      <x:c r="F20" s="13" t="str">
        <x:v>Availability-credit inventory</x:v>
      </x:c>
      <x:c r="G20" s="13" t="str">
        <x:v>Status</x:v>
      </x:c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</x:row>
    <x:row r="21" ht="48" hidden="0" customHeight="1">
      <x:c r="C21" s="17" t="str">
        <x:v>Prepared Resilience Entry Complex</x:v>
      </x:c>
      <x:c r="D21" s="19" t="n">
        <x:f>SUM(D7:D16)</x:f>
        <x:v>16</x:v>
      </x:c>
      <x:c r="E21" s="27" t="n">
        <x:v>24</x:v>
      </x:c>
      <x:c r="F21" s="19" t="n">
        <x:f>E21*'Entry Node Classes'!$G$7</x:f>
        <x:v>21.6</x:v>
      </x:c>
      <x:c r="G21" s="18" t="str">
        <x:f>IF(D21&lt;=F21,"PASS","FAIL")</x:f>
        <x:v>PASS</x:v>
      </x:c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</x:row>
    <x:row r="22" ht="36" hidden="0" customHeight="1">
      <x:c r="C22" s="17" t="str">
        <x:v>Expeditionary Air Entry Group</x:v>
      </x:c>
      <x:c r="D22" s="19" t="n">
        <x:f>SUM(E7:E16)</x:f>
        <x:v>33</x:v>
      </x:c>
      <x:c r="E22" s="27" t="n">
        <x:v>67</x:v>
      </x:c>
      <x:c r="F22" s="19" t="n">
        <x:f>E22*'Entry Node Classes'!$G$8</x:f>
        <x:v>50.25</x:v>
      </x:c>
      <x:c r="G22" s="18" t="str">
        <x:f>IF(D22&lt;=F22,"PASS","FAIL")</x:f>
        <x:v>PASS</x:v>
      </x:c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</x:row>
    <x:row r="23" ht="48" hidden="0" customHeight="1">
      <x:c r="C23" s="17" t="str">
        <x:v>Expeditionary Port Opening Group</x:v>
      </x:c>
      <x:c r="D23" s="19" t="n">
        <x:f>SUM(F7:F16)</x:f>
        <x:v>31</x:v>
      </x:c>
      <x:c r="E23" s="27" t="n">
        <x:v>60</x:v>
      </x:c>
      <x:c r="F23" s="19" t="n">
        <x:f>E23*'Entry Node Classes'!$G$9</x:f>
        <x:v>40.800000000000004</x:v>
      </x:c>
      <x:c r="G23" s="18" t="str">
        <x:f>IF(D23&lt;=F23,"PASS","FAIL")</x:f>
        <x:v>PASS</x:v>
      </x:c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</x:row>
    <x:row r="24" ht="36" hidden="0" customHeight="1">
      <x:c r="C24" s="17" t="str">
        <x:v>Littoral Entry Group</x:v>
      </x:c>
      <x:c r="D24" s="19" t="n">
        <x:f>SUM(G7:G16)</x:f>
        <x:v>37</x:v>
      </x:c>
      <x:c r="E24" s="27" t="n">
        <x:v>69</x:v>
      </x:c>
      <x:c r="F24" s="19" t="n">
        <x:f>E24*'Entry Node Classes'!$G$10</x:f>
        <x:v>46.92</x:v>
      </x:c>
      <x:c r="G24" s="18" t="str">
        <x:f>IF(D24&lt;=F24,"PASS","FAIL")</x:f>
        <x:v>PASS</x:v>
      </x:c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</x:row>
    <x:row r="25" ht="36" hidden="0" customHeight="1">
      <x:c r="C25" s="17" t="str">
        <x:v>Inland Water Entry Group</x:v>
      </x:c>
      <x:c r="D25" s="19" t="n">
        <x:f>SUM(H7:H16)</x:f>
        <x:v>25</x:v>
      </x:c>
      <x:c r="E25" s="27" t="n">
        <x:v>54</x:v>
      </x:c>
      <x:c r="F25" s="19" t="n">
        <x:f>E25*'Entry Node Classes'!$G$11</x:f>
        <x:v>36.720000000000006</x:v>
      </x:c>
      <x:c r="G25" s="18" t="str">
        <x:f>IF(D25&lt;=F25,"PASS","FAIL")</x:f>
        <x:v>PASS</x:v>
      </x:c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</x:row>
    <x:row r="26" ht="36" hidden="0" customHeight="1">
      <x:c r="C26" s="17" t="str">
        <x:v>Land / Rail Entry Group</x:v>
      </x:c>
      <x:c r="D26" s="19" t="n">
        <x:f>SUM(I7:I16)</x:f>
        <x:v>74</x:v>
      </x:c>
      <x:c r="E26" s="27" t="n">
        <x:v>121</x:v>
      </x:c>
      <x:c r="F26" s="19" t="n">
        <x:f>E26*'Entry Node Classes'!$G$12</x:f>
        <x:v>89.53999999999999</x:v>
      </x:c>
      <x:c r="G26" s="18" t="str">
        <x:f>IF(D26&lt;=F26,"PASS","FAIL")</x:f>
        <x:v>PASS</x:v>
      </x:c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</x:row>
  </x:sheetData>
  <x:mergeCells>
    <x:mergeCell ref="C19:M19"/>
  </x:mergeCells>
  <x:conditionalFormatting sqref="G21:G26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OPEN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8" hidden="0" customWidth="1"/>
    <x:col min="5" max="5" width="22" hidden="0" customWidth="1"/>
    <x:col min="6" max="6" width="17" hidden="0" customWidth="1"/>
    <x:col min="7" max="7" width="20" hidden="0" customWidth="1"/>
    <x:col min="8" max="8" width="17" hidden="0" customWidth="1"/>
    <x:col min="9" max="9" width="18" hidden="0" customWidth="1"/>
    <x:col min="10" max="10" width="20" hidden="0" customWidth="1"/>
    <x:col min="11" max="11" width="17" hidden="0" customWidth="1"/>
    <x:col min="12" max="12" width="13" hidden="0" customWidth="1"/>
    <x:col min="13" max="13" width="13" hidden="0" customWidth="1"/>
  </x:cols>
  <x:sheetData>
    <x:row r="2">
      <x:c r="C2" s="2" t="str">
        <x:v>Damaged-Theater Reception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</x:row>
    <x:row r="3">
      <x:c r="C3" s="5" t="str">
        <x:v>Fourteen-day initial operating capability. Capacity is the weighted entry portfolio after campaign damage.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</x:row>
    <x:row r="6" ht="24" hidden="0" customHeight="1">
      <x:c r="C6" s="13" t="str">
        <x:v>Campaign</x:v>
      </x:c>
      <x:c r="D6" s="13" t="str">
        <x:v>Required t/day</x:v>
      </x:c>
      <x:c r="E6" s="13" t="str">
        <x:v>Theoretical node t/day</x:v>
      </x:c>
      <x:c r="F6" s="13" t="str">
        <x:v>Reference damage</x:v>
      </x:c>
      <x:c r="G6" s="13" t="str">
        <x:v>Reference capacity</x:v>
      </x:c>
      <x:c r="H6" s="13" t="str">
        <x:v>Reference margin</x:v>
      </x:c>
      <x:c r="I6" s="13" t="str">
        <x:v>Primary-loss factor</x:v>
      </x:c>
      <x:c r="J6" s="13" t="str">
        <x:v>Degraded capacity</x:v>
      </x:c>
      <x:c r="K6" s="13" t="str">
        <x:v>Degraded margin</x:v>
      </x:c>
      <x:c r="L6" s="13" t="str">
        <x:v>Reference</x:v>
      </x:c>
      <x:c r="M6" s="13" t="str">
        <x:v>Degraded</x:v>
      </x:c>
      <x:c r="N6" s="38"/>
      <x:c r="O6" s="38"/>
      <x:c r="P6" s="38"/>
    </x:row>
    <x:row r="7" ht="15" hidden="0" customHeight="1">
      <x:c r="C7" s="17" t="str">
        <x:v>C1</x:v>
      </x:c>
      <x:c r="D7" s="19" t="n">
        <x:f>SUMIF('Campaign Waves'!$C$7:$C$56,C7,'Campaign Waves'!$J$7:$J$56)/14-SUMIFS('Campaign Waves'!$J$7:$J$56,'Campaign Waves'!$C$7:$C$56,C7,'Campaign Waves'!$E$7:$E$56,"R3")/14-SUMIFS('Campaign Waves'!$J$7:$J$56,'Campaign Waves'!$C$7:$C$56,C7,'Campaign Waves'!$E$7:$E$56,"R4")/14</x:f>
        <x:v>21360</x:v>
      </x:c>
      <x:c r="E7" s="19" t="n">
        <x:f>'Campaign Nodes'!D7*'Entry Node Classes'!$H$7+'Campaign Nodes'!E7*'Entry Node Classes'!$H$8+'Campaign Nodes'!F7*'Entry Node Classes'!$H$9+'Campaign Nodes'!G7*'Entry Node Classes'!$H$10+'Campaign Nodes'!H7*'Entry Node Classes'!$H$11+'Campaign Nodes'!I7*'Entry Node Classes'!$H$12</x:f>
        <x:v>138530</x:v>
      </x:c>
      <x:c r="F7" s="26" t="n">
        <x:f>'Campaign Nodes'!J7</x:f>
        <x:v>0.8</x:v>
      </x:c>
      <x:c r="G7" s="19" t="n">
        <x:f>E7*F7</x:f>
        <x:v>110824</x:v>
      </x:c>
      <x:c r="H7" s="31" t="n">
        <x:f>G7/D7</x:f>
        <x:v>5.188389513108614</x:v>
      </x:c>
      <x:c r="I7" s="26" t="n">
        <x:f>'Campaign Nodes'!K7</x:f>
        <x:v>0.7</x:v>
      </x:c>
      <x:c r="J7" s="19" t="n">
        <x:f>G7*I7</x:f>
        <x:v>77576.79999999999</x:v>
      </x:c>
      <x:c r="K7" s="31" t="n">
        <x:f>J7/D7</x:f>
        <x:v>3.6318726591760293</x:v>
      </x:c>
      <x:c r="L7" s="18" t="str">
        <x:f>IF(H7&gt;=1,"PASS","FAIL")</x:f>
        <x:v>PASS</x:v>
      </x:c>
      <x:c r="M7" s="18" t="str">
        <x:f>IF(K7&gt;=1,"PASS","FAIL")</x:f>
        <x:v>PASS</x:v>
      </x:c>
      <x:c r="N7" s="38"/>
      <x:c r="O7" s="38"/>
      <x:c r="P7" s="38"/>
    </x:row>
    <x:row r="8" ht="15" hidden="0" customHeight="1">
      <x:c r="C8" s="17" t="str">
        <x:v>C2</x:v>
      </x:c>
      <x:c r="D8" s="19" t="n">
        <x:f>SUMIF('Campaign Waves'!$C$7:$C$56,C8,'Campaign Waves'!$J$7:$J$56)/14-SUMIFS('Campaign Waves'!$J$7:$J$56,'Campaign Waves'!$C$7:$C$56,C8,'Campaign Waves'!$E$7:$E$56,"R3")/14-SUMIFS('Campaign Waves'!$J$7:$J$56,'Campaign Waves'!$C$7:$C$56,C8,'Campaign Waves'!$E$7:$E$56,"R4")/14</x:f>
        <x:v>43251.42857142857</x:v>
      </x:c>
      <x:c r="E8" s="19" t="n">
        <x:f>'Campaign Nodes'!D8*'Entry Node Classes'!$H$7+'Campaign Nodes'!E8*'Entry Node Classes'!$H$8+'Campaign Nodes'!F8*'Entry Node Classes'!$H$9+'Campaign Nodes'!G8*'Entry Node Classes'!$H$10+'Campaign Nodes'!H8*'Entry Node Classes'!$H$11+'Campaign Nodes'!I8*'Entry Node Classes'!$H$12</x:f>
        <x:v>232475</x:v>
      </x:c>
      <x:c r="F8" s="26" t="n">
        <x:f>'Campaign Nodes'!J8</x:f>
        <x:v>0.75</x:v>
      </x:c>
      <x:c r="G8" s="19" t="n">
        <x:f>E8*F8</x:f>
        <x:v>174356.25</x:v>
      </x:c>
      <x:c r="H8" s="31" t="n">
        <x:f>G8/D8</x:f>
        <x:v>4.03122522790329</x:v>
      </x:c>
      <x:c r="I8" s="26" t="n">
        <x:f>'Campaign Nodes'!K8</x:f>
        <x:v>0.65</x:v>
      </x:c>
      <x:c r="J8" s="19" t="n">
        <x:f>G8*I8</x:f>
        <x:v>113331.5625</x:v>
      </x:c>
      <x:c r="K8" s="31" t="n">
        <x:f>J8/D8</x:f>
        <x:v>2.620296398137138</x:v>
      </x:c>
      <x:c r="L8" s="18" t="str">
        <x:f>IF(H8&gt;=1,"PASS","FAIL")</x:f>
        <x:v>PASS</x:v>
      </x:c>
      <x:c r="M8" s="18" t="str">
        <x:f>IF(K8&gt;=1,"PASS","FAIL")</x:f>
        <x:v>PASS</x:v>
      </x:c>
      <x:c r="N8" s="38"/>
      <x:c r="O8" s="38"/>
      <x:c r="P8" s="38"/>
    </x:row>
    <x:row r="9" ht="15" hidden="0" customHeight="1">
      <x:c r="C9" s="17" t="str">
        <x:v>C3</x:v>
      </x:c>
      <x:c r="D9" s="19" t="n">
        <x:f>SUMIF('Campaign Waves'!$C$7:$C$56,C9,'Campaign Waves'!$J$7:$J$56)/14-SUMIFS('Campaign Waves'!$J$7:$J$56,'Campaign Waves'!$C$7:$C$56,C9,'Campaign Waves'!$E$7:$E$56,"R3")/14-SUMIFS('Campaign Waves'!$J$7:$J$56,'Campaign Waves'!$C$7:$C$56,C9,'Campaign Waves'!$E$7:$E$56,"R4")/14</x:f>
        <x:v>28957</x:v>
      </x:c>
      <x:c r="E9" s="19" t="n">
        <x:f>'Campaign Nodes'!D9*'Entry Node Classes'!$H$7+'Campaign Nodes'!E9*'Entry Node Classes'!$H$8+'Campaign Nodes'!F9*'Entry Node Classes'!$H$9+'Campaign Nodes'!G9*'Entry Node Classes'!$H$10+'Campaign Nodes'!H9*'Entry Node Classes'!$H$11+'Campaign Nodes'!I9*'Entry Node Classes'!$H$12</x:f>
        <x:v>214625</x:v>
      </x:c>
      <x:c r="F9" s="26" t="n">
        <x:f>'Campaign Nodes'!J9</x:f>
        <x:v>0.55</x:v>
      </x:c>
      <x:c r="G9" s="19" t="n">
        <x:f>E9*F9</x:f>
        <x:v>118043.75000000001</x:v>
      </x:c>
      <x:c r="H9" s="31" t="n">
        <x:f>G9/D9</x:f>
        <x:v>4.076518631073662</x:v>
      </x:c>
      <x:c r="I9" s="26" t="n">
        <x:f>'Campaign Nodes'!K9</x:f>
        <x:v>0.2</x:v>
      </x:c>
      <x:c r="J9" s="19" t="n">
        <x:f>G9*I9</x:f>
        <x:v>23608.750000000004</x:v>
      </x:c>
      <x:c r="K9" s="31" t="n">
        <x:f>J9/D9</x:f>
        <x:v>0.8153037262147323</x:v>
      </x:c>
      <x:c r="L9" s="18" t="str">
        <x:f>IF(H9&gt;=1,"PASS","FAIL")</x:f>
        <x:v>PASS</x:v>
      </x:c>
      <x:c r="M9" s="18" t="str">
        <x:f>IF(K9&gt;=1,"PASS","FAIL")</x:f>
        <x:v>FAIL</x:v>
      </x:c>
      <x:c r="N9" s="38"/>
      <x:c r="O9" s="38"/>
      <x:c r="P9" s="38"/>
    </x:row>
    <x:row r="10" ht="15" hidden="0" customHeight="1">
      <x:c r="C10" s="17" t="str">
        <x:v>M1</x:v>
      </x:c>
      <x:c r="D10" s="19" t="n">
        <x:f>SUMIF('Campaign Waves'!$C$7:$C$56,C10,'Campaign Waves'!$J$7:$J$56)/14-SUMIFS('Campaign Waves'!$J$7:$J$56,'Campaign Waves'!$C$7:$C$56,C10,'Campaign Waves'!$E$7:$E$56,"R3")/14-SUMIFS('Campaign Waves'!$J$7:$J$56,'Campaign Waves'!$C$7:$C$56,C10,'Campaign Waves'!$E$7:$E$56,"R4")/14</x:f>
        <x:v>23075</x:v>
      </x:c>
      <x:c r="E10" s="19" t="n">
        <x:f>'Campaign Nodes'!D10*'Entry Node Classes'!$H$7+'Campaign Nodes'!E10*'Entry Node Classes'!$H$8+'Campaign Nodes'!F10*'Entry Node Classes'!$H$9+'Campaign Nodes'!G10*'Entry Node Classes'!$H$10+'Campaign Nodes'!H10*'Entry Node Classes'!$H$11+'Campaign Nodes'!I10*'Entry Node Classes'!$H$12</x:f>
        <x:v>120895</x:v>
      </x:c>
      <x:c r="F10" s="26" t="n">
        <x:f>'Campaign Nodes'!J10</x:f>
        <x:v>0.85</x:v>
      </x:c>
      <x:c r="G10" s="19" t="n">
        <x:f>E10*F10</x:f>
        <x:v>102760.75</x:v>
      </x:c>
      <x:c r="H10" s="31" t="n">
        <x:f>G10/D10</x:f>
        <x:v>4.453336944745396</x:v>
      </x:c>
      <x:c r="I10" s="26" t="n">
        <x:f>'Campaign Nodes'!K10</x:f>
        <x:v>0.75</x:v>
      </x:c>
      <x:c r="J10" s="19" t="n">
        <x:f>G10*I10</x:f>
        <x:v>77070.5625</x:v>
      </x:c>
      <x:c r="K10" s="31" t="n">
        <x:f>J10/D10</x:f>
        <x:v>3.3400027085590467</x:v>
      </x:c>
      <x:c r="L10" s="18" t="str">
        <x:f>IF(H10&gt;=1,"PASS","FAIL")</x:f>
        <x:v>PASS</x:v>
      </x:c>
      <x:c r="M10" s="18" t="str">
        <x:f>IF(K10&gt;=1,"PASS","FAIL")</x:f>
        <x:v>PASS</x:v>
      </x:c>
      <x:c r="N10" s="38"/>
      <x:c r="O10" s="38"/>
      <x:c r="P10" s="38"/>
    </x:row>
    <x:row r="11" ht="15" hidden="0" customHeight="1">
      <x:c r="C11" s="17" t="str">
        <x:v>M2</x:v>
      </x:c>
      <x:c r="D11" s="19" t="n">
        <x:f>SUMIF('Campaign Waves'!$C$7:$C$56,C11,'Campaign Waves'!$J$7:$J$56)/14-SUMIFS('Campaign Waves'!$J$7:$J$56,'Campaign Waves'!$C$7:$C$56,C11,'Campaign Waves'!$E$7:$E$56,"R3")/14-SUMIFS('Campaign Waves'!$J$7:$J$56,'Campaign Waves'!$C$7:$C$56,C11,'Campaign Waves'!$E$7:$E$56,"R4")/14</x:f>
        <x:v>25896.428571428572</x:v>
      </x:c>
      <x:c r="E11" s="19" t="n">
        <x:f>'Campaign Nodes'!D11*'Entry Node Classes'!$H$7+'Campaign Nodes'!E11*'Entry Node Classes'!$H$8+'Campaign Nodes'!F11*'Entry Node Classes'!$H$9+'Campaign Nodes'!G11*'Entry Node Classes'!$H$10+'Campaign Nodes'!H11*'Entry Node Classes'!$H$11+'Campaign Nodes'!I11*'Entry Node Classes'!$H$12</x:f>
        <x:v>111015</x:v>
      </x:c>
      <x:c r="F11" s="26" t="n">
        <x:f>'Campaign Nodes'!J11</x:f>
        <x:v>0.9</x:v>
      </x:c>
      <x:c r="G11" s="19" t="n">
        <x:f>E11*F11</x:f>
        <x:v>99913.5</x:v>
      </x:c>
      <x:c r="H11" s="31" t="n">
        <x:f>G11/D11</x:f>
        <x:v>3.8581961108812575</x:v>
      </x:c>
      <x:c r="I11" s="26" t="n">
        <x:f>'Campaign Nodes'!K11</x:f>
        <x:v>0.8</x:v>
      </x:c>
      <x:c r="J11" s="19" t="n">
        <x:f>G11*I11</x:f>
        <x:v>79930.8</x:v>
      </x:c>
      <x:c r="K11" s="31" t="n">
        <x:f>J11/D11</x:f>
        <x:v>3.0865568887050063</x:v>
      </x:c>
      <x:c r="L11" s="18" t="str">
        <x:f>IF(H11&gt;=1,"PASS","FAIL")</x:f>
        <x:v>PASS</x:v>
      </x:c>
      <x:c r="M11" s="18" t="str">
        <x:f>IF(K11&gt;=1,"PASS","FAIL")</x:f>
        <x:v>PASS</x:v>
      </x:c>
      <x:c r="N11" s="38"/>
      <x:c r="O11" s="38"/>
      <x:c r="P11" s="38"/>
    </x:row>
    <x:row r="12" ht="15" hidden="0" customHeight="1">
      <x:c r="C12" s="17" t="str">
        <x:v>M3</x:v>
      </x:c>
      <x:c r="D12" s="19" t="n">
        <x:f>SUMIF('Campaign Waves'!$C$7:$C$56,C12,'Campaign Waves'!$J$7:$J$56)/14-SUMIFS('Campaign Waves'!$J$7:$J$56,'Campaign Waves'!$C$7:$C$56,C12,'Campaign Waves'!$E$7:$E$56,"R3")/14-SUMIFS('Campaign Waves'!$J$7:$J$56,'Campaign Waves'!$C$7:$C$56,C12,'Campaign Waves'!$E$7:$E$56,"R4")/14</x:f>
        <x:v>31647.85714285715</x:v>
      </x:c>
      <x:c r="E12" s="19" t="n">
        <x:f>'Campaign Nodes'!D12*'Entry Node Classes'!$H$7+'Campaign Nodes'!E12*'Entry Node Classes'!$H$8+'Campaign Nodes'!F12*'Entry Node Classes'!$H$9+'Campaign Nodes'!G12*'Entry Node Classes'!$H$10+'Campaign Nodes'!H12*'Entry Node Classes'!$H$11+'Campaign Nodes'!I12*'Entry Node Classes'!$H$12</x:f>
        <x:v>163290</x:v>
      </x:c>
      <x:c r="F12" s="26" t="n">
        <x:f>'Campaign Nodes'!J12</x:f>
        <x:v>0.8</x:v>
      </x:c>
      <x:c r="G12" s="19" t="n">
        <x:f>E12*F12</x:f>
        <x:v>130632</x:v>
      </x:c>
      <x:c r="H12" s="31" t="n">
        <x:f>G12/D12</x:f>
        <x:v>4.127672828221273</x:v>
      </x:c>
      <x:c r="I12" s="26" t="n">
        <x:f>'Campaign Nodes'!K12</x:f>
        <x:v>0.7</x:v>
      </x:c>
      <x:c r="J12" s="19" t="n">
        <x:f>G12*I12</x:f>
        <x:v>91442.4</x:v>
      </x:c>
      <x:c r="K12" s="31" t="n">
        <x:f>J12/D12</x:f>
        <x:v>2.8893709797548914</x:v>
      </x:c>
      <x:c r="L12" s="18" t="str">
        <x:f>IF(H12&gt;=1,"PASS","FAIL")</x:f>
        <x:v>PASS</x:v>
      </x:c>
      <x:c r="M12" s="18" t="str">
        <x:f>IF(K12&gt;=1,"PASS","FAIL")</x:f>
        <x:v>PASS</x:v>
      </x:c>
      <x:c r="N12" s="38"/>
      <x:c r="O12" s="38"/>
      <x:c r="P12" s="38"/>
    </x:row>
    <x:row r="13" ht="15" hidden="0" customHeight="1">
      <x:c r="C13" s="17" t="str">
        <x:v>M4</x:v>
      </x:c>
      <x:c r="D13" s="19" t="n">
        <x:f>SUMIF('Campaign Waves'!$C$7:$C$56,C13,'Campaign Waves'!$J$7:$J$56)/14-SUMIFS('Campaign Waves'!$J$7:$J$56,'Campaign Waves'!$C$7:$C$56,C13,'Campaign Waves'!$E$7:$E$56,"R3")/14-SUMIFS('Campaign Waves'!$J$7:$J$56,'Campaign Waves'!$C$7:$C$56,C13,'Campaign Waves'!$E$7:$E$56,"R4")/14</x:f>
        <x:v>26639.999999999993</x:v>
      </x:c>
      <x:c r="E13" s="19" t="n">
        <x:f>'Campaign Nodes'!D13*'Entry Node Classes'!$H$7+'Campaign Nodes'!E13*'Entry Node Classes'!$H$8+'Campaign Nodes'!F13*'Entry Node Classes'!$H$9+'Campaign Nodes'!G13*'Entry Node Classes'!$H$10+'Campaign Nodes'!H13*'Entry Node Classes'!$H$11+'Campaign Nodes'!I13*'Entry Node Classes'!$H$12</x:f>
        <x:v>130775</x:v>
      </x:c>
      <x:c r="F13" s="26" t="n">
        <x:f>'Campaign Nodes'!J13</x:f>
        <x:v>0.8</x:v>
      </x:c>
      <x:c r="G13" s="19" t="n">
        <x:f>E13*F13</x:f>
        <x:v>104620</x:v>
      </x:c>
      <x:c r="H13" s="31" t="n">
        <x:f>G13/D13</x:f>
        <x:v>3.927177177177178</x:v>
      </x:c>
      <x:c r="I13" s="26" t="n">
        <x:f>'Campaign Nodes'!K13</x:f>
        <x:v>0.7</x:v>
      </x:c>
      <x:c r="J13" s="19" t="n">
        <x:f>G13*I13</x:f>
        <x:v>73234</x:v>
      </x:c>
      <x:c r="K13" s="31" t="n">
        <x:f>J13/D13</x:f>
        <x:v>2.749024024024025</x:v>
      </x:c>
      <x:c r="L13" s="18" t="str">
        <x:f>IF(H13&gt;=1,"PASS","FAIL")</x:f>
        <x:v>PASS</x:v>
      </x:c>
      <x:c r="M13" s="18" t="str">
        <x:f>IF(K13&gt;=1,"PASS","FAIL")</x:f>
        <x:v>PASS</x:v>
      </x:c>
      <x:c r="N13" s="38"/>
      <x:c r="O13" s="38"/>
      <x:c r="P13" s="38"/>
    </x:row>
    <x:row r="14" ht="15" hidden="0" customHeight="1">
      <x:c r="C14" s="17" t="str">
        <x:v>M5</x:v>
      </x:c>
      <x:c r="D14" s="19" t="n">
        <x:f>SUMIF('Campaign Waves'!$C$7:$C$56,C14,'Campaign Waves'!$J$7:$J$56)/14-SUMIFS('Campaign Waves'!$J$7:$J$56,'Campaign Waves'!$C$7:$C$56,C14,'Campaign Waves'!$E$7:$E$56,"R3")/14-SUMIFS('Campaign Waves'!$J$7:$J$56,'Campaign Waves'!$C$7:$C$56,C14,'Campaign Waves'!$E$7:$E$56,"R4")/14</x:f>
        <x:v>16055.357142857145</x:v>
      </x:c>
      <x:c r="E14" s="19" t="n">
        <x:f>'Campaign Nodes'!D14*'Entry Node Classes'!$H$7+'Campaign Nodes'!E14*'Entry Node Classes'!$H$8+'Campaign Nodes'!F14*'Entry Node Classes'!$H$9+'Campaign Nodes'!G14*'Entry Node Classes'!$H$10+'Campaign Nodes'!H14*'Entry Node Classes'!$H$11+'Campaign Nodes'!I14*'Entry Node Classes'!$H$12</x:f>
        <x:v>125790</x:v>
      </x:c>
      <x:c r="F14" s="26" t="n">
        <x:f>'Campaign Nodes'!J14</x:f>
        <x:v>0.75</x:v>
      </x:c>
      <x:c r="G14" s="19" t="n">
        <x:f>E14*F14</x:f>
        <x:v>94342.5</x:v>
      </x:c>
      <x:c r="H14" s="31" t="n">
        <x:f>G14/D14</x:f>
        <x:v>5.8760760760760755</x:v>
      </x:c>
      <x:c r="I14" s="26" t="n">
        <x:f>'Campaign Nodes'!K14</x:f>
        <x:v>0.65</x:v>
      </x:c>
      <x:c r="J14" s="19" t="n">
        <x:f>G14*I14</x:f>
        <x:v>61322.625</x:v>
      </x:c>
      <x:c r="K14" s="31" t="n">
        <x:f>J14/D14</x:f>
        <x:v>3.819449449449449</x:v>
      </x:c>
      <x:c r="L14" s="18" t="str">
        <x:f>IF(H14&gt;=1,"PASS","FAIL")</x:f>
        <x:v>PASS</x:v>
      </x:c>
      <x:c r="M14" s="18" t="str">
        <x:f>IF(K14&gt;=1,"PASS","FAIL")</x:f>
        <x:v>PASS</x:v>
      </x:c>
      <x:c r="N14" s="38"/>
      <x:c r="O14" s="38"/>
      <x:c r="P14" s="38"/>
    </x:row>
    <x:row r="15" ht="15" hidden="0" customHeight="1">
      <x:c r="C15" s="17" t="str">
        <x:v>G1</x:v>
      </x:c>
      <x:c r="D15" s="19" t="n">
        <x:f>SUMIF('Campaign Waves'!$C$7:$C$56,C15,'Campaign Waves'!$J$7:$J$56)/14-SUMIFS('Campaign Waves'!$J$7:$J$56,'Campaign Waves'!$C$7:$C$56,C15,'Campaign Waves'!$E$7:$E$56,"R3")/14-SUMIFS('Campaign Waves'!$J$7:$J$56,'Campaign Waves'!$C$7:$C$56,C15,'Campaign Waves'!$E$7:$E$56,"R4")/14</x:f>
        <x:v>22480</x:v>
      </x:c>
      <x:c r="E15" s="19" t="n">
        <x:f>'Campaign Nodes'!D15*'Entry Node Classes'!$H$7+'Campaign Nodes'!E15*'Entry Node Classes'!$H$8+'Campaign Nodes'!F15*'Entry Node Classes'!$H$9+'Campaign Nodes'!G15*'Entry Node Classes'!$H$10+'Campaign Nodes'!H15*'Entry Node Classes'!$H$11+'Campaign Nodes'!I15*'Entry Node Classes'!$H$12</x:f>
        <x:v>154025</x:v>
      </x:c>
      <x:c r="F15" s="26" t="n">
        <x:f>'Campaign Nodes'!J15</x:f>
        <x:v>0.65</x:v>
      </x:c>
      <x:c r="G15" s="19" t="n">
        <x:f>E15*F15</x:f>
        <x:v>100116.25</x:v>
      </x:c>
      <x:c r="H15" s="31" t="n">
        <x:f>G15/D15</x:f>
        <x:v>4.453569839857651</x:v>
      </x:c>
      <x:c r="I15" s="26" t="n">
        <x:f>'Campaign Nodes'!K15</x:f>
        <x:v>0.22</x:v>
      </x:c>
      <x:c r="J15" s="19" t="n">
        <x:f>G15*I15</x:f>
        <x:v>22025.575</x:v>
      </x:c>
      <x:c r="K15" s="31" t="n">
        <x:f>J15/D15</x:f>
        <x:v>0.9797853647686833</x:v>
      </x:c>
      <x:c r="L15" s="18" t="str">
        <x:f>IF(H15&gt;=1,"PASS","FAIL")</x:f>
        <x:v>PASS</x:v>
      </x:c>
      <x:c r="M15" s="18" t="str">
        <x:f>IF(K15&gt;=1,"PASS","FAIL")</x:f>
        <x:v>FAIL</x:v>
      </x:c>
      <x:c r="N15" s="38"/>
      <x:c r="O15" s="38"/>
      <x:c r="P15" s="38"/>
    </x:row>
    <x:row r="16" ht="15" hidden="0" customHeight="1">
      <x:c r="C16" s="17" t="str">
        <x:v>G2</x:v>
      </x:c>
      <x:c r="D16" s="19" t="n">
        <x:f>SUMIF('Campaign Waves'!$C$7:$C$56,C16,'Campaign Waves'!$J$7:$J$56)/14-SUMIFS('Campaign Waves'!$J$7:$J$56,'Campaign Waves'!$C$7:$C$56,C16,'Campaign Waves'!$E$7:$E$56,"R3")/14-SUMIFS('Campaign Waves'!$J$7:$J$56,'Campaign Waves'!$C$7:$C$56,C16,'Campaign Waves'!$E$7:$E$56,"R4")/14</x:f>
        <x:v>28242.857142857138</x:v>
      </x:c>
      <x:c r="E16" s="19" t="n">
        <x:f>'Campaign Nodes'!D16*'Entry Node Classes'!$H$7+'Campaign Nodes'!E16*'Entry Node Classes'!$H$8+'Campaign Nodes'!F16*'Entry Node Classes'!$H$9+'Campaign Nodes'!G16*'Entry Node Classes'!$H$10+'Campaign Nodes'!H16*'Entry Node Classes'!$H$11+'Campaign Nodes'!I16*'Entry Node Classes'!$H$12</x:f>
        <x:v>162185</x:v>
      </x:c>
      <x:c r="F16" s="26" t="n">
        <x:f>'Campaign Nodes'!J16</x:f>
        <x:v>0.65</x:v>
      </x:c>
      <x:c r="G16" s="19" t="n">
        <x:f>E16*F16</x:f>
        <x:v>105420.25</x:v>
      </x:c>
      <x:c r="H16" s="31" t="n">
        <x:f>G16/D16</x:f>
        <x:v>3.732634041476986</x:v>
      </x:c>
      <x:c r="I16" s="26" t="n">
        <x:f>'Campaign Nodes'!K16</x:f>
        <x:v>0.55</x:v>
      </x:c>
      <x:c r="J16" s="19" t="n">
        <x:f>G16*I16</x:f>
        <x:v>57981.137500000004</x:v>
      </x:c>
      <x:c r="K16" s="31" t="n">
        <x:f>J16/D16</x:f>
        <x:v>2.0529487228123426</x:v>
      </x:c>
      <x:c r="L16" s="18" t="str">
        <x:f>IF(H16&gt;=1,"PASS","FAIL")</x:f>
        <x:v>PASS</x:v>
      </x:c>
      <x:c r="M16" s="18" t="str">
        <x:f>IF(K16&gt;=1,"PASS","FAIL")</x:f>
        <x:v>PASS</x:v>
      </x:c>
      <x:c r="N16" s="38"/>
      <x:c r="O16" s="38"/>
      <x:c r="P16" s="38"/>
    </x:row>
  </x:sheetData>
  <x:conditionalFormatting sqref="L7:M16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OPEN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7" hidden="0" customWidth="1"/>
    <x:col min="5" max="5" width="16" hidden="0" customWidth="1"/>
    <x:col min="6" max="6" width="18" hidden="0" customWidth="1"/>
    <x:col min="7" max="7" width="14" hidden="0" customWidth="1"/>
    <x:col min="8" max="8" width="20" hidden="0" customWidth="1"/>
    <x:col min="9" max="9" width="19" hidden="0" customWidth="1"/>
    <x:col min="10" max="10" width="17" hidden="0" customWidth="1"/>
    <x:col min="11" max="11" width="20" hidden="0" customWidth="1"/>
    <x:col min="12" max="12" width="19" hidden="0" customWidth="1"/>
    <x:col min="13" max="13" width="17" hidden="0" customWidth="1"/>
    <x:col min="14" max="14" width="13" hidden="0" customWidth="1"/>
    <x:col min="15" max="15" width="13" hidden="0" customWidth="1"/>
  </x:cols>
  <x:sheetData>
    <x:row r="2">
      <x:c r="C2" s="2" t="str">
        <x:v>Staging and Onward Movement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C3" s="5" t="str">
        <x:v>Theater throughput from entry node to operating location. Port clearance without onward capacity is not reception.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 ht="36" hidden="0" customHeight="1">
      <x:c r="C6" s="13" t="str">
        <x:v>Campaign</x:v>
      </x:c>
      <x:c r="D6" s="13" t="str">
        <x:v>Required t/day</x:v>
      </x:c>
      <x:c r="E6" s="13" t="str">
        <x:v>J-TSC allocated</x:v>
      </x:c>
      <x:c r="F6" s="13" t="str">
        <x:v>Gross per command</x:v>
      </x:c>
      <x:c r="G6" s="13" t="str">
        <x:v>Availability</x:v>
      </x:c>
      <x:c r="H6" s="13" t="str">
        <x:v>Reference route factor</x:v>
      </x:c>
      <x:c r="I6" s="13" t="str">
        <x:v>Reference capacity</x:v>
      </x:c>
      <x:c r="J6" s="13" t="str">
        <x:v>Reference margin</x:v>
      </x:c>
      <x:c r="K6" s="13" t="str">
        <x:v>Degraded route factor</x:v>
      </x:c>
      <x:c r="L6" s="13" t="str">
        <x:v>Degraded capacity</x:v>
      </x:c>
      <x:c r="M6" s="13" t="str">
        <x:v>Degraded margin</x:v>
      </x:c>
      <x:c r="N6" s="13" t="str">
        <x:v>Reference</x:v>
      </x:c>
      <x:c r="O6" s="13" t="str">
        <x:v>Degraded</x:v>
      </x:c>
    </x:row>
    <x:row r="7" ht="15" hidden="0" customHeight="1">
      <x:c r="C7" s="17" t="str">
        <x:v>C1</x:v>
      </x:c>
      <x:c r="D7" s="19" t="n">
        <x:f>'Reception'!D7</x:f>
        <x:v>21360</x:v>
      </x:c>
      <x:c r="E7" s="19" t="n">
        <x:v>3</x:v>
      </x:c>
      <x:c r="F7" s="19" t="n">
        <x:f>'Controls'!$D$14</x:f>
        <x:v>18000</x:v>
      </x:c>
      <x:c r="G7" s="26" t="n">
        <x:f>'Controls'!$D$15</x:f>
        <x:v>0.82</x:v>
      </x:c>
      <x:c r="H7" s="24" t="n">
        <x:v>0.85</x:v>
      </x:c>
      <x:c r="I7" s="19" t="n">
        <x:f>E7*F7*G7*H7</x:f>
        <x:v>37638</x:v>
      </x:c>
      <x:c r="J7" s="31" t="n">
        <x:f>I7/D7</x:f>
        <x:v>1.7620786516853932</x:v>
      </x:c>
      <x:c r="K7" s="24" t="n">
        <x:v>0.85</x:v>
      </x:c>
      <x:c r="L7" s="19" t="n">
        <x:f>I7*K7</x:f>
        <x:v>31992.3</x:v>
      </x:c>
      <x:c r="M7" s="31" t="n">
        <x:f>L7/D7</x:f>
        <x:v>1.4977668539325841</x:v>
      </x:c>
      <x:c r="N7" s="18" t="str">
        <x:f>IF(J7&gt;=1,"PASS","FAIL")</x:f>
        <x:v>PASS</x:v>
      </x:c>
      <x:c r="O7" s="18" t="str">
        <x:f>IF(M7&gt;=1,"PASS","FAIL")</x:f>
        <x:v>PASS</x:v>
      </x:c>
    </x:row>
    <x:row r="8" ht="15" hidden="0" customHeight="1">
      <x:c r="C8" s="17" t="str">
        <x:v>C2</x:v>
      </x:c>
      <x:c r="D8" s="19" t="n">
        <x:f>'Reception'!D8</x:f>
        <x:v>43251.42857142857</x:v>
      </x:c>
      <x:c r="E8" s="19" t="n">
        <x:v>4</x:v>
      </x:c>
      <x:c r="F8" s="19" t="n">
        <x:f>'Controls'!$D$14</x:f>
        <x:v>18000</x:v>
      </x:c>
      <x:c r="G8" s="26" t="n">
        <x:f>'Controls'!$D$15</x:f>
        <x:v>0.82</x:v>
      </x:c>
      <x:c r="H8" s="24" t="n">
        <x:v>0.9</x:v>
      </x:c>
      <x:c r="I8" s="19" t="n">
        <x:f>E8*F8*G8*H8</x:f>
        <x:v>53136</x:v>
      </x:c>
      <x:c r="J8" s="31" t="n">
        <x:f>I8/D8</x:f>
        <x:v>1.228537455410226</x:v>
      </x:c>
      <x:c r="K8" s="24" t="n">
        <x:v>0.85</x:v>
      </x:c>
      <x:c r="L8" s="19" t="n">
        <x:f>I8*K8</x:f>
        <x:v>45165.6</x:v>
      </x:c>
      <x:c r="M8" s="31" t="n">
        <x:f>L8/D8</x:f>
        <x:v>1.044256837098692</x:v>
      </x:c>
      <x:c r="N8" s="18" t="str">
        <x:f>IF(J8&gt;=1,"PASS","FAIL")</x:f>
        <x:v>PASS</x:v>
      </x:c>
      <x:c r="O8" s="18" t="str">
        <x:f>IF(M8&gt;=1,"PASS","FAIL")</x:f>
        <x:v>PASS</x:v>
      </x:c>
    </x:row>
    <x:row r="9" ht="15" hidden="0" customHeight="1">
      <x:c r="C9" s="17" t="str">
        <x:v>C3</x:v>
      </x:c>
      <x:c r="D9" s="19" t="n">
        <x:f>'Reception'!D9</x:f>
        <x:v>28957</x:v>
      </x:c>
      <x:c r="E9" s="19" t="n">
        <x:v>5</x:v>
      </x:c>
      <x:c r="F9" s="19" t="n">
        <x:f>'Controls'!$D$14</x:f>
        <x:v>18000</x:v>
      </x:c>
      <x:c r="G9" s="26" t="n">
        <x:f>'Controls'!$D$15</x:f>
        <x:v>0.82</x:v>
      </x:c>
      <x:c r="H9" s="24" t="n">
        <x:v>0.75</x:v>
      </x:c>
      <x:c r="I9" s="19" t="n">
        <x:f>E9*F9*G9*H9</x:f>
        <x:v>55350</x:v>
      </x:c>
      <x:c r="J9" s="31" t="n">
        <x:f>I9/D9</x:f>
        <x:v>1.9114549159097973</x:v>
      </x:c>
      <x:c r="K9" s="24" t="n">
        <x:v>0.7</x:v>
      </x:c>
      <x:c r="L9" s="19" t="n">
        <x:f>I9*K9</x:f>
        <x:v>38745</x:v>
      </x:c>
      <x:c r="M9" s="31" t="n">
        <x:f>L9/D9</x:f>
        <x:v>1.338018441136858</x:v>
      </x:c>
      <x:c r="N9" s="18" t="str">
        <x:f>IF(J9&gt;=1,"PASS","FAIL")</x:f>
        <x:v>PASS</x:v>
      </x:c>
      <x:c r="O9" s="18" t="str">
        <x:f>IF(M9&gt;=1,"PASS","FAIL")</x:f>
        <x:v>PASS</x:v>
      </x:c>
    </x:row>
    <x:row r="10" ht="15" hidden="0" customHeight="1">
      <x:c r="C10" s="17" t="str">
        <x:v>M1</x:v>
      </x:c>
      <x:c r="D10" s="19" t="n">
        <x:f>'Reception'!D10</x:f>
        <x:v>23075</x:v>
      </x:c>
      <x:c r="E10" s="19" t="n">
        <x:v>2</x:v>
      </x:c>
      <x:c r="F10" s="19" t="n">
        <x:f>'Controls'!$D$14</x:f>
        <x:v>18000</x:v>
      </x:c>
      <x:c r="G10" s="26" t="n">
        <x:f>'Controls'!$D$15</x:f>
        <x:v>0.82</x:v>
      </x:c>
      <x:c r="H10" s="24" t="n">
        <x:v>0.9</x:v>
      </x:c>
      <x:c r="I10" s="19" t="n">
        <x:f>E10*F10*G10*H10</x:f>
        <x:v>26568</x:v>
      </x:c>
      <x:c r="J10" s="31" t="n">
        <x:f>I10/D10</x:f>
        <x:v>1.1513759479956662</x:v>
      </x:c>
      <x:c r="K10" s="24" t="n">
        <x:v>0.9</x:v>
      </x:c>
      <x:c r="L10" s="19" t="n">
        <x:f>I10*K10</x:f>
        <x:v>23911.2</x:v>
      </x:c>
      <x:c r="M10" s="31" t="n">
        <x:f>L10/D10</x:f>
        <x:v>1.0362383531960997</x:v>
      </x:c>
      <x:c r="N10" s="18" t="str">
        <x:f>IF(J10&gt;=1,"PASS","FAIL")</x:f>
        <x:v>PASS</x:v>
      </x:c>
      <x:c r="O10" s="18" t="str">
        <x:f>IF(M10&gt;=1,"PASS","FAIL")</x:f>
        <x:v>PASS</x:v>
      </x:c>
    </x:row>
    <x:row r="11" ht="15" hidden="0" customHeight="1">
      <x:c r="C11" s="17" t="str">
        <x:v>M2</x:v>
      </x:c>
      <x:c r="D11" s="19" t="n">
        <x:f>'Reception'!D11</x:f>
        <x:v>25896.428571428572</x:v>
      </x:c>
      <x:c r="E11" s="19" t="n">
        <x:v>2</x:v>
      </x:c>
      <x:c r="F11" s="19" t="n">
        <x:f>'Controls'!$D$14</x:f>
        <x:v>18000</x:v>
      </x:c>
      <x:c r="G11" s="26" t="n">
        <x:f>'Controls'!$D$15</x:f>
        <x:v>0.82</x:v>
      </x:c>
      <x:c r="H11" s="24" t="n">
        <x:v>0.9</x:v>
      </x:c>
      <x:c r="I11" s="19" t="n">
        <x:f>E11*F11*G11*H11</x:f>
        <x:v>26568</x:v>
      </x:c>
      <x:c r="J11" s="31" t="n">
        <x:f>I11/D11</x:f>
        <x:v>1.0259329747621018</x:v>
      </x:c>
      <x:c r="K11" s="24" t="n">
        <x:v>0.98</x:v>
      </x:c>
      <x:c r="L11" s="19" t="n">
        <x:f>I11*K11</x:f>
        <x:v>26036.64</x:v>
      </x:c>
      <x:c r="M11" s="31" t="n">
        <x:f>L11/D11</x:f>
        <x:v>1.0054143152668598</x:v>
      </x:c>
      <x:c r="N11" s="18" t="str">
        <x:f>IF(J11&gt;=1,"PASS","FAIL")</x:f>
        <x:v>PASS</x:v>
      </x:c>
      <x:c r="O11" s="18" t="str">
        <x:f>IF(M11&gt;=1,"PASS","FAIL")</x:f>
        <x:v>PASS</x:v>
      </x:c>
    </x:row>
    <x:row r="12" ht="15" hidden="0" customHeight="1">
      <x:c r="C12" s="17" t="str">
        <x:v>M3</x:v>
      </x:c>
      <x:c r="D12" s="19" t="n">
        <x:f>'Reception'!D12</x:f>
        <x:v>31647.85714285715</x:v>
      </x:c>
      <x:c r="E12" s="19" t="n">
        <x:v>3</x:v>
      </x:c>
      <x:c r="F12" s="19" t="n">
        <x:f>'Controls'!$D$14</x:f>
        <x:v>18000</x:v>
      </x:c>
      <x:c r="G12" s="26" t="n">
        <x:f>'Controls'!$D$15</x:f>
        <x:v>0.82</x:v>
      </x:c>
      <x:c r="H12" s="24" t="n">
        <x:v>0.85</x:v>
      </x:c>
      <x:c r="I12" s="19" t="n">
        <x:f>E12*F12*G12*H12</x:f>
        <x:v>37638</x:v>
      </x:c>
      <x:c r="J12" s="31" t="n">
        <x:f>I12/D12</x:f>
        <x:v>1.1892748324192564</x:v>
      </x:c>
      <x:c r="K12" s="24" t="n">
        <x:v>0.85</x:v>
      </x:c>
      <x:c r="L12" s="19" t="n">
        <x:f>I12*K12</x:f>
        <x:v>31992.3</x:v>
      </x:c>
      <x:c r="M12" s="31" t="n">
        <x:f>L12/D12</x:f>
        <x:v>1.0108836075563679</x:v>
      </x:c>
      <x:c r="N12" s="18" t="str">
        <x:f>IF(J12&gt;=1,"PASS","FAIL")</x:f>
        <x:v>PASS</x:v>
      </x:c>
      <x:c r="O12" s="18" t="str">
        <x:f>IF(M12&gt;=1,"PASS","FAIL")</x:f>
        <x:v>PASS</x:v>
      </x:c>
    </x:row>
    <x:row r="13" ht="15" hidden="0" customHeight="1">
      <x:c r="C13" s="17" t="str">
        <x:v>M4</x:v>
      </x:c>
      <x:c r="D13" s="19" t="n">
        <x:f>'Reception'!D13</x:f>
        <x:v>26639.999999999993</x:v>
      </x:c>
      <x:c r="E13" s="19" t="n">
        <x:v>3</x:v>
      </x:c>
      <x:c r="F13" s="19" t="n">
        <x:f>'Controls'!$D$14</x:f>
        <x:v>18000</x:v>
      </x:c>
      <x:c r="G13" s="26" t="n">
        <x:f>'Controls'!$D$15</x:f>
        <x:v>0.82</x:v>
      </x:c>
      <x:c r="H13" s="24" t="n">
        <x:v>0.85</x:v>
      </x:c>
      <x:c r="I13" s="19" t="n">
        <x:f>E13*F13*G13*H13</x:f>
        <x:v>37638</x:v>
      </x:c>
      <x:c r="J13" s="31" t="n">
        <x:f>I13/D13</x:f>
        <x:v>1.4128378378378381</x:v>
      </x:c>
      <x:c r="K13" s="24" t="n">
        <x:v>0.85</x:v>
      </x:c>
      <x:c r="L13" s="19" t="n">
        <x:f>I13*K13</x:f>
        <x:v>31992.3</x:v>
      </x:c>
      <x:c r="M13" s="31" t="n">
        <x:f>L13/D13</x:f>
        <x:v>1.2009121621621626</x:v>
      </x:c>
      <x:c r="N13" s="18" t="str">
        <x:f>IF(J13&gt;=1,"PASS","FAIL")</x:f>
        <x:v>PASS</x:v>
      </x:c>
      <x:c r="O13" s="18" t="str">
        <x:f>IF(M13&gt;=1,"PASS","FAIL")</x:f>
        <x:v>PASS</x:v>
      </x:c>
    </x:row>
    <x:row r="14" ht="15" hidden="0" customHeight="1">
      <x:c r="C14" s="17" t="str">
        <x:v>M5</x:v>
      </x:c>
      <x:c r="D14" s="19" t="n">
        <x:f>'Reception'!D14</x:f>
        <x:v>16055.357142857145</x:v>
      </x:c>
      <x:c r="E14" s="19" t="n">
        <x:v>3</x:v>
      </x:c>
      <x:c r="F14" s="19" t="n">
        <x:f>'Controls'!$D$14</x:f>
        <x:v>18000</x:v>
      </x:c>
      <x:c r="G14" s="26" t="n">
        <x:f>'Controls'!$D$15</x:f>
        <x:v>0.82</x:v>
      </x:c>
      <x:c r="H14" s="24" t="n">
        <x:v>0.85</x:v>
      </x:c>
      <x:c r="I14" s="19" t="n">
        <x:f>E14*F14*G14*H14</x:f>
        <x:v>37638</x:v>
      </x:c>
      <x:c r="J14" s="31" t="n">
        <x:f>I14/D14</x:f>
        <x:v>2.344264264264264</x:v>
      </x:c>
      <x:c r="K14" s="24" t="n">
        <x:v>0.85</x:v>
      </x:c>
      <x:c r="L14" s="19" t="n">
        <x:f>I14*K14</x:f>
        <x:v>31992.3</x:v>
      </x:c>
      <x:c r="M14" s="31" t="n">
        <x:f>L14/D14</x:f>
        <x:v>1.9926246246246244</x:v>
      </x:c>
      <x:c r="N14" s="18" t="str">
        <x:f>IF(J14&gt;=1,"PASS","FAIL")</x:f>
        <x:v>PASS</x:v>
      </x:c>
      <x:c r="O14" s="18" t="str">
        <x:f>IF(M14&gt;=1,"PASS","FAIL")</x:f>
        <x:v>PASS</x:v>
      </x:c>
    </x:row>
    <x:row r="15" ht="15" hidden="0" customHeight="1">
      <x:c r="C15" s="17" t="str">
        <x:v>G1</x:v>
      </x:c>
      <x:c r="D15" s="19" t="n">
        <x:f>'Reception'!D15</x:f>
        <x:v>22480</x:v>
      </x:c>
      <x:c r="E15" s="19" t="n">
        <x:v>4</x:v>
      </x:c>
      <x:c r="F15" s="19" t="n">
        <x:f>'Controls'!$D$14</x:f>
        <x:v>18000</x:v>
      </x:c>
      <x:c r="G15" s="26" t="n">
        <x:f>'Controls'!$D$15</x:f>
        <x:v>0.82</x:v>
      </x:c>
      <x:c r="H15" s="24" t="n">
        <x:v>0.85</x:v>
      </x:c>
      <x:c r="I15" s="19" t="n">
        <x:f>E15*F15*G15*H15</x:f>
        <x:v>50184</x:v>
      </x:c>
      <x:c r="J15" s="31" t="n">
        <x:f>I15/D15</x:f>
        <x:v>2.232384341637011</x:v>
      </x:c>
      <x:c r="K15" s="24" t="n">
        <x:v>0.7</x:v>
      </x:c>
      <x:c r="L15" s="19" t="n">
        <x:f>I15*K15</x:f>
        <x:v>35128.799999999996</x:v>
      </x:c>
      <x:c r="M15" s="31" t="n">
        <x:f>L15/D15</x:f>
        <x:v>1.5626690391459073</x:v>
      </x:c>
      <x:c r="N15" s="18" t="str">
        <x:f>IF(J15&gt;=1,"PASS","FAIL")</x:f>
        <x:v>PASS</x:v>
      </x:c>
      <x:c r="O15" s="18" t="str">
        <x:f>IF(M15&gt;=1,"PASS","FAIL")</x:f>
        <x:v>PASS</x:v>
      </x:c>
    </x:row>
    <x:row r="16" ht="15" hidden="0" customHeight="1">
      <x:c r="C16" s="17" t="str">
        <x:v>G2</x:v>
      </x:c>
      <x:c r="D16" s="19" t="n">
        <x:f>'Reception'!D16</x:f>
        <x:v>28242.857142857138</x:v>
      </x:c>
      <x:c r="E16" s="19" t="n">
        <x:v>4</x:v>
      </x:c>
      <x:c r="F16" s="19" t="n">
        <x:f>'Controls'!$D$14</x:f>
        <x:v>18000</x:v>
      </x:c>
      <x:c r="G16" s="26" t="n">
        <x:f>'Controls'!$D$15</x:f>
        <x:v>0.82</x:v>
      </x:c>
      <x:c r="H16" s="24" t="n">
        <x:v>0.85</x:v>
      </x:c>
      <x:c r="I16" s="19" t="n">
        <x:f>E16*F16*G16*H16</x:f>
        <x:v>50184</x:v>
      </x:c>
      <x:c r="J16" s="31" t="n">
        <x:f>I16/D16</x:f>
        <x:v>1.7768740515933235</x:v>
      </x:c>
      <x:c r="K16" s="24" t="n">
        <x:v>0.8</x:v>
      </x:c>
      <x:c r="L16" s="19" t="n">
        <x:f>I16*K16</x:f>
        <x:v>40147.200000000004</x:v>
      </x:c>
      <x:c r="M16" s="31" t="n">
        <x:f>L16/D16</x:f>
        <x:v>1.421499241274659</x:v>
      </x:c>
      <x:c r="N16" s="18" t="str">
        <x:f>IF(J16&gt;=1,"PASS","FAIL")</x:f>
        <x:v>PASS</x:v>
      </x:c>
      <x:c r="O16" s="18" t="str">
        <x:f>IF(M16&gt;=1,"PASS","FAIL")</x:f>
        <x:v>PASS</x:v>
      </x:c>
    </x:row>
  </x:sheetData>
  <x:conditionalFormatting sqref="N7:O16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OPEN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4" hidden="0" customWidth="1"/>
    <x:col min="9" max="9" width="18" hidden="0" customWidth="1"/>
    <x:col min="10" max="10" width="19" hidden="0" customWidth="1"/>
    <x:col min="11" max="11" width="17" hidden="0" customWidth="1"/>
    <x:col min="12" max="12" width="18" hidden="0" customWidth="1"/>
    <x:col min="13" max="13" width="19" hidden="0" customWidth="1"/>
    <x:col min="14" max="14" width="17" hidden="0" customWidth="1"/>
    <x:col min="15" max="15" width="13" hidden="0" customWidth="1"/>
    <x:col min="16" max="16" width="13" hidden="0" customWidth="1"/>
  </x:cols>
  <x:sheetData>
    <x:row r="2">
      <x:c r="C2" s="2" t="str">
        <x:v>Responder Basing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8"/>
    </x:row>
    <x:row r="3">
      <x:c r="C3" s="5" t="str">
        <x:v>Self-sufficient living and work capacity protects responders and prevents the force from consuming damaged host utilities.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38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</x:row>
    <x:row r="6" ht="24" hidden="0" customHeight="1">
      <x:c r="C6" s="13" t="str">
        <x:v>Campaign</x:v>
      </x:c>
      <x:c r="D6" s="13" t="str">
        <x:v>Deployed people</x:v>
      </x:c>
      <x:c r="E6" s="13" t="str">
        <x:v>Opening commands</x:v>
      </x:c>
      <x:c r="F6" s="13" t="str">
        <x:v>Modules / command</x:v>
      </x:c>
      <x:c r="G6" s="13" t="str">
        <x:v>People / module</x:v>
      </x:c>
      <x:c r="H6" s="13" t="str">
        <x:v>Availability</x:v>
      </x:c>
      <x:c r="I6" s="13" t="str">
        <x:v>Reference access</x:v>
      </x:c>
      <x:c r="J6" s="13" t="str">
        <x:v>Reference capacity</x:v>
      </x:c>
      <x:c r="K6" s="13" t="str">
        <x:v>Reference margin</x:v>
      </x:c>
      <x:c r="L6" s="13" t="str">
        <x:v>Degraded access</x:v>
      </x:c>
      <x:c r="M6" s="13" t="str">
        <x:v>Degraded capacity</x:v>
      </x:c>
      <x:c r="N6" s="13" t="str">
        <x:v>Degraded margin</x:v>
      </x:c>
      <x:c r="O6" s="13" t="str">
        <x:v>Reference</x:v>
      </x:c>
      <x:c r="P6" s="13" t="str">
        <x:v>Degraded</x:v>
      </x:c>
    </x:row>
    <x:row r="7" ht="15" hidden="0" customHeight="1">
      <x:c r="C7" s="17" t="str">
        <x:v>C1</x:v>
      </x:c>
      <x:c r="D7" s="27" t="n">
        <x:v>58510</x:v>
      </x:c>
      <x:c r="E7" s="27" t="n">
        <x:v>2</x:v>
      </x:c>
      <x:c r="F7" s="19" t="n">
        <x:f>'Controls'!$D$11</x:f>
        <x:v>8</x:v>
      </x:c>
      <x:c r="G7" s="19" t="n">
        <x:f>'Controls'!$D$12</x:f>
        <x:v>8250</x:v>
      </x:c>
      <x:c r="H7" s="26" t="n">
        <x:f>'Controls'!$D$13</x:f>
        <x:v>0.8</x:v>
      </x:c>
      <x:c r="I7" s="32" t="n">
        <x:v>0.85</x:v>
      </x:c>
      <x:c r="J7" s="19" t="n">
        <x:f>E7*F7*G7*H7*I7</x:f>
        <x:v>89760</x:v>
      </x:c>
      <x:c r="K7" s="31" t="n">
        <x:f>J7/D7</x:f>
        <x:v>1.534096735600752</x:v>
      </x:c>
      <x:c r="L7" s="26" t="n">
        <x:f>IF(OR(C7="C3",C7="G1"),I7*0.70,I7*0.98)</x:f>
        <x:v>0.833</x:v>
      </x:c>
      <x:c r="M7" s="19" t="n">
        <x:f>E7*F7*G7*H7*L7</x:f>
        <x:v>87964.8</x:v>
      </x:c>
      <x:c r="N7" s="31" t="n">
        <x:f>M7/D7</x:f>
        <x:v>1.503414800888737</x:v>
      </x:c>
      <x:c r="O7" s="18" t="str">
        <x:f>IF(K7&gt;=1,"PASS","FAIL")</x:f>
        <x:v>PASS</x:v>
      </x:c>
      <x:c r="P7" s="18" t="str">
        <x:f>IF(N7&gt;=1,"PASS","FAIL")</x:f>
        <x:v>PASS</x:v>
      </x:c>
    </x:row>
    <x:row r="8" ht="15" hidden="0" customHeight="1">
      <x:c r="C8" s="17" t="str">
        <x:v>C2</x:v>
      </x:c>
      <x:c r="D8" s="27" t="n">
        <x:v>83600</x:v>
      </x:c>
      <x:c r="E8" s="27" t="n">
        <x:v>3</x:v>
      </x:c>
      <x:c r="F8" s="19" t="n">
        <x:f>'Controls'!$D$11</x:f>
        <x:v>8</x:v>
      </x:c>
      <x:c r="G8" s="19" t="n">
        <x:f>'Controls'!$D$12</x:f>
        <x:v>8250</x:v>
      </x:c>
      <x:c r="H8" s="26" t="n">
        <x:f>'Controls'!$D$13</x:f>
        <x:v>0.8</x:v>
      </x:c>
      <x:c r="I8" s="32" t="n">
        <x:v>0.85</x:v>
      </x:c>
      <x:c r="J8" s="19" t="n">
        <x:f>E8*F8*G8*H8*I8</x:f>
        <x:v>134640</x:v>
      </x:c>
      <x:c r="K8" s="31" t="n">
        <x:f>J8/D8</x:f>
        <x:v>1.6105263157894736</x:v>
      </x:c>
      <x:c r="L8" s="26" t="n">
        <x:f>IF(OR(C8="C3",C8="G1"),I8*0.70,I8*0.98)</x:f>
        <x:v>0.833</x:v>
      </x:c>
      <x:c r="M8" s="19" t="n">
        <x:f>E8*F8*G8*H8*L8</x:f>
        <x:v>131947.19999999998</x:v>
      </x:c>
      <x:c r="N8" s="31" t="n">
        <x:f>M8/D8</x:f>
        <x:v>1.578315789473684</x:v>
      </x:c>
      <x:c r="O8" s="18" t="str">
        <x:f>IF(K8&gt;=1,"PASS","FAIL")</x:f>
        <x:v>PASS</x:v>
      </x:c>
      <x:c r="P8" s="18" t="str">
        <x:f>IF(N8&gt;=1,"PASS","FAIL")</x:f>
        <x:v>PASS</x:v>
      </x:c>
    </x:row>
    <x:row r="9" ht="15" hidden="0" customHeight="1">
      <x:c r="C9" s="17" t="str">
        <x:v>C3</x:v>
      </x:c>
      <x:c r="D9" s="27" t="n">
        <x:v>108110</x:v>
      </x:c>
      <x:c r="E9" s="27" t="n">
        <x:v>4</x:v>
      </x:c>
      <x:c r="F9" s="19" t="n">
        <x:f>'Controls'!$D$11</x:f>
        <x:v>8</x:v>
      </x:c>
      <x:c r="G9" s="19" t="n">
        <x:f>'Controls'!$D$12</x:f>
        <x:v>8250</x:v>
      </x:c>
      <x:c r="H9" s="26" t="n">
        <x:f>'Controls'!$D$13</x:f>
        <x:v>0.8</x:v>
      </x:c>
      <x:c r="I9" s="32" t="n">
        <x:v>0.7</x:v>
      </x:c>
      <x:c r="J9" s="19" t="n">
        <x:f>E9*F9*G9*H9*I9</x:f>
        <x:v>147840</x:v>
      </x:c>
      <x:c r="K9" s="31" t="n">
        <x:f>J9/D9</x:f>
        <x:v>1.3674960688187956</x:v>
      </x:c>
      <x:c r="L9" s="26" t="n">
        <x:f>IF(OR(C9="C3",C9="G1"),I9*0.70,I9*0.98)</x:f>
        <x:v>0.48999999999999994</x:v>
      </x:c>
      <x:c r="M9" s="19" t="n">
        <x:f>E9*F9*G9*H9*L9</x:f>
        <x:v>103487.99999999999</x:v>
      </x:c>
      <x:c r="N9" s="31" t="n">
        <x:f>M9/D9</x:f>
        <x:v>0.9572472481731569</x:v>
      </x:c>
      <x:c r="O9" s="18" t="str">
        <x:f>IF(K9&gt;=1,"PASS","FAIL")</x:f>
        <x:v>PASS</x:v>
      </x:c>
      <x:c r="P9" s="18" t="str">
        <x:f>IF(N9&gt;=1,"PASS","FAIL")</x:f>
        <x:v>FAIL</x:v>
      </x:c>
    </x:row>
    <x:row r="10" ht="15" hidden="0" customHeight="1">
      <x:c r="C10" s="17" t="str">
        <x:v>M1</x:v>
      </x:c>
      <x:c r="D10" s="27" t="n">
        <x:v>41960</x:v>
      </x:c>
      <x:c r="E10" s="27" t="n">
        <x:v>1</x:v>
      </x:c>
      <x:c r="F10" s="19" t="n">
        <x:f>'Controls'!$D$11</x:f>
        <x:v>8</x:v>
      </x:c>
      <x:c r="G10" s="19" t="n">
        <x:f>'Controls'!$D$12</x:f>
        <x:v>8250</x:v>
      </x:c>
      <x:c r="H10" s="26" t="n">
        <x:f>'Controls'!$D$13</x:f>
        <x:v>0.8</x:v>
      </x:c>
      <x:c r="I10" s="32" t="n">
        <x:v>0.9</x:v>
      </x:c>
      <x:c r="J10" s="19" t="n">
        <x:f>E10*F10*G10*H10*I10</x:f>
        <x:v>47520</x:v>
      </x:c>
      <x:c r="K10" s="31" t="n">
        <x:f>J10/D10</x:f>
        <x:v>1.1325071496663488</x:v>
      </x:c>
      <x:c r="L10" s="26" t="n">
        <x:f>IF(OR(C10="C3",C10="G1"),I10*0.70,I10*0.98)</x:f>
        <x:v>0.882</x:v>
      </x:c>
      <x:c r="M10" s="19" t="n">
        <x:f>E10*F10*G10*H10*L10</x:f>
        <x:v>46569.6</x:v>
      </x:c>
      <x:c r="N10" s="31" t="n">
        <x:f>M10/D10</x:f>
        <x:v>1.1098570066730218</x:v>
      </x:c>
      <x:c r="O10" s="18" t="str">
        <x:f>IF(K10&gt;=1,"PASS","FAIL")</x:f>
        <x:v>PASS</x:v>
      </x:c>
      <x:c r="P10" s="18" t="str">
        <x:f>IF(N10&gt;=1,"PASS","FAIL")</x:f>
        <x:v>PASS</x:v>
      </x:c>
    </x:row>
    <x:row r="11" ht="15" hidden="0" customHeight="1">
      <x:c r="C11" s="17" t="str">
        <x:v>M2</x:v>
      </x:c>
      <x:c r="D11" s="27" t="n">
        <x:v>45210</x:v>
      </x:c>
      <x:c r="E11" s="27" t="n">
        <x:v>1</x:v>
      </x:c>
      <x:c r="F11" s="19" t="n">
        <x:f>'Controls'!$D$11</x:f>
        <x:v>8</x:v>
      </x:c>
      <x:c r="G11" s="19" t="n">
        <x:f>'Controls'!$D$12</x:f>
        <x:v>8250</x:v>
      </x:c>
      <x:c r="H11" s="26" t="n">
        <x:f>'Controls'!$D$13</x:f>
        <x:v>0.8</x:v>
      </x:c>
      <x:c r="I11" s="32" t="n">
        <x:v>0.9</x:v>
      </x:c>
      <x:c r="J11" s="19" t="n">
        <x:f>E11*F11*G11*H11*I11</x:f>
        <x:v>47520</x:v>
      </x:c>
      <x:c r="K11" s="31" t="n">
        <x:f>J11/D11</x:f>
        <x:v>1.051094890510949</x:v>
      </x:c>
      <x:c r="L11" s="26" t="n">
        <x:f>IF(OR(C11="C3",C11="G1"),I11*0.70,I11*0.98)</x:f>
        <x:v>0.882</x:v>
      </x:c>
      <x:c r="M11" s="19" t="n">
        <x:f>E11*F11*G11*H11*L11</x:f>
        <x:v>46569.6</x:v>
      </x:c>
      <x:c r="N11" s="31" t="n">
        <x:f>M11/D11</x:f>
        <x:v>1.03007299270073</x:v>
      </x:c>
      <x:c r="O11" s="18" t="str">
        <x:f>IF(K11&gt;=1,"PASS","FAIL")</x:f>
        <x:v>PASS</x:v>
      </x:c>
      <x:c r="P11" s="18" t="str">
        <x:f>IF(N11&gt;=1,"PASS","FAIL")</x:f>
        <x:v>PASS</x:v>
      </x:c>
    </x:row>
    <x:row r="12" ht="15" hidden="0" customHeight="1">
      <x:c r="C12" s="17" t="str">
        <x:v>M3</x:v>
      </x:c>
      <x:c r="D12" s="27" t="n">
        <x:v>57230</x:v>
      </x:c>
      <x:c r="E12" s="27" t="n">
        <x:v>2</x:v>
      </x:c>
      <x:c r="F12" s="19" t="n">
        <x:f>'Controls'!$D$11</x:f>
        <x:v>8</x:v>
      </x:c>
      <x:c r="G12" s="19" t="n">
        <x:f>'Controls'!$D$12</x:f>
        <x:v>8250</x:v>
      </x:c>
      <x:c r="H12" s="26" t="n">
        <x:f>'Controls'!$D$13</x:f>
        <x:v>0.8</x:v>
      </x:c>
      <x:c r="I12" s="32" t="n">
        <x:v>0.85</x:v>
      </x:c>
      <x:c r="J12" s="19" t="n">
        <x:f>E12*F12*G12*H12*I12</x:f>
        <x:v>89760</x:v>
      </x:c>
      <x:c r="K12" s="31" t="n">
        <x:f>J12/D12</x:f>
        <x:v>1.568408177529268</x:v>
      </x:c>
      <x:c r="L12" s="26" t="n">
        <x:f>IF(OR(C12="C3",C12="G1"),I12*0.70,I12*0.98)</x:f>
        <x:v>0.833</x:v>
      </x:c>
      <x:c r="M12" s="19" t="n">
        <x:f>E12*F12*G12*H12*L12</x:f>
        <x:v>87964.8</x:v>
      </x:c>
      <x:c r="N12" s="31" t="n">
        <x:f>M12/D12</x:f>
        <x:v>1.5370400139786826</x:v>
      </x:c>
      <x:c r="O12" s="18" t="str">
        <x:f>IF(K12&gt;=1,"PASS","FAIL")</x:f>
        <x:v>PASS</x:v>
      </x:c>
      <x:c r="P12" s="18" t="str">
        <x:f>IF(N12&gt;=1,"PASS","FAIL")</x:f>
        <x:v>PASS</x:v>
      </x:c>
    </x:row>
    <x:row r="13" ht="15" hidden="0" customHeight="1">
      <x:c r="C13" s="17" t="str">
        <x:v>M4</x:v>
      </x:c>
      <x:c r="D13" s="27" t="n">
        <x:v>64070</x:v>
      </x:c>
      <x:c r="E13" s="27" t="n">
        <x:v>2</x:v>
      </x:c>
      <x:c r="F13" s="19" t="n">
        <x:f>'Controls'!$D$11</x:f>
        <x:v>8</x:v>
      </x:c>
      <x:c r="G13" s="19" t="n">
        <x:f>'Controls'!$D$12</x:f>
        <x:v>8250</x:v>
      </x:c>
      <x:c r="H13" s="26" t="n">
        <x:f>'Controls'!$D$13</x:f>
        <x:v>0.8</x:v>
      </x:c>
      <x:c r="I13" s="32" t="n">
        <x:v>0.85</x:v>
      </x:c>
      <x:c r="J13" s="19" t="n">
        <x:f>E13*F13*G13*H13*I13</x:f>
        <x:v>89760</x:v>
      </x:c>
      <x:c r="K13" s="31" t="n">
        <x:f>J13/D13</x:f>
        <x:v>1.4009676915873264</x:v>
      </x:c>
      <x:c r="L13" s="26" t="n">
        <x:f>IF(OR(C13="C3",C13="G1"),I13*0.70,I13*0.98)</x:f>
        <x:v>0.833</x:v>
      </x:c>
      <x:c r="M13" s="19" t="n">
        <x:f>E13*F13*G13*H13*L13</x:f>
        <x:v>87964.8</x:v>
      </x:c>
      <x:c r="N13" s="31" t="n">
        <x:f>M13/D13</x:f>
        <x:v>1.3729483377555798</x:v>
      </x:c>
      <x:c r="O13" s="18" t="str">
        <x:f>IF(K13&gt;=1,"PASS","FAIL")</x:f>
        <x:v>PASS</x:v>
      </x:c>
      <x:c r="P13" s="18" t="str">
        <x:f>IF(N13&gt;=1,"PASS","FAIL")</x:f>
        <x:v>PASS</x:v>
      </x:c>
    </x:row>
    <x:row r="14" ht="15" hidden="0" customHeight="1">
      <x:c r="C14" s="17" t="str">
        <x:v>M5</x:v>
      </x:c>
      <x:c r="D14" s="27" t="n">
        <x:v>56280</x:v>
      </x:c>
      <x:c r="E14" s="27" t="n">
        <x:v>2</x:v>
      </x:c>
      <x:c r="F14" s="19" t="n">
        <x:f>'Controls'!$D$11</x:f>
        <x:v>8</x:v>
      </x:c>
      <x:c r="G14" s="19" t="n">
        <x:f>'Controls'!$D$12</x:f>
        <x:v>8250</x:v>
      </x:c>
      <x:c r="H14" s="26" t="n">
        <x:f>'Controls'!$D$13</x:f>
        <x:v>0.8</x:v>
      </x:c>
      <x:c r="I14" s="32" t="n">
        <x:v>0.85</x:v>
      </x:c>
      <x:c r="J14" s="19" t="n">
        <x:f>E14*F14*G14*H14*I14</x:f>
        <x:v>89760</x:v>
      </x:c>
      <x:c r="K14" s="31" t="n">
        <x:f>J14/D14</x:f>
        <x:v>1.5948827292110874</x:v>
      </x:c>
      <x:c r="L14" s="26" t="n">
        <x:f>IF(OR(C14="C3",C14="G1"),I14*0.70,I14*0.98)</x:f>
        <x:v>0.833</x:v>
      </x:c>
      <x:c r="M14" s="19" t="n">
        <x:f>E14*F14*G14*H14*L14</x:f>
        <x:v>87964.8</x:v>
      </x:c>
      <x:c r="N14" s="31" t="n">
        <x:f>M14/D14</x:f>
        <x:v>1.5629850746268656</x:v>
      </x:c>
      <x:c r="O14" s="18" t="str">
        <x:f>IF(K14&gt;=1,"PASS","FAIL")</x:f>
        <x:v>PASS</x:v>
      </x:c>
      <x:c r="P14" s="18" t="str">
        <x:f>IF(N14&gt;=1,"PASS","FAIL")</x:f>
        <x:v>PASS</x:v>
      </x:c>
    </x:row>
    <x:row r="15" ht="15" hidden="0" customHeight="1">
      <x:c r="C15" s="17" t="str">
        <x:v>G1</x:v>
      </x:c>
      <x:c r="D15" s="27" t="n">
        <x:v>99430</x:v>
      </x:c>
      <x:c r="E15" s="27" t="n">
        <x:v>3</x:v>
      </x:c>
      <x:c r="F15" s="19" t="n">
        <x:f>'Controls'!$D$11</x:f>
        <x:v>8</x:v>
      </x:c>
      <x:c r="G15" s="19" t="n">
        <x:f>'Controls'!$D$12</x:f>
        <x:v>8250</x:v>
      </x:c>
      <x:c r="H15" s="26" t="n">
        <x:f>'Controls'!$D$13</x:f>
        <x:v>0.8</x:v>
      </x:c>
      <x:c r="I15" s="32" t="n">
        <x:v>0.7</x:v>
      </x:c>
      <x:c r="J15" s="19" t="n">
        <x:f>E15*F15*G15*H15*I15</x:f>
        <x:v>110880</x:v>
      </x:c>
      <x:c r="K15" s="31" t="n">
        <x:f>J15/D15</x:f>
        <x:v>1.1151563914311575</x:v>
      </x:c>
      <x:c r="L15" s="26" t="n">
        <x:f>IF(OR(C15="C3",C15="G1"),I15*0.70,I15*0.98)</x:f>
        <x:v>0.48999999999999994</x:v>
      </x:c>
      <x:c r="M15" s="19" t="n">
        <x:f>E15*F15*G15*H15*L15</x:f>
        <x:v>77615.99999999999</x:v>
      </x:c>
      <x:c r="N15" s="31" t="n">
        <x:f>M15/D15</x:f>
        <x:v>0.7806094740018101</x:v>
      </x:c>
      <x:c r="O15" s="18" t="str">
        <x:f>IF(K15&gt;=1,"PASS","FAIL")</x:f>
        <x:v>PASS</x:v>
      </x:c>
      <x:c r="P15" s="18" t="str">
        <x:f>IF(N15&gt;=1,"PASS","FAIL")</x:f>
        <x:v>FAIL</x:v>
      </x:c>
    </x:row>
    <x:row r="16" ht="15" hidden="0" customHeight="1">
      <x:c r="C16" s="17" t="str">
        <x:v>G2</x:v>
      </x:c>
      <x:c r="D16" s="27" t="n">
        <x:v>100090</x:v>
      </x:c>
      <x:c r="E16" s="27" t="n">
        <x:v>3</x:v>
      </x:c>
      <x:c r="F16" s="19" t="n">
        <x:f>'Controls'!$D$11</x:f>
        <x:v>8</x:v>
      </x:c>
      <x:c r="G16" s="19" t="n">
        <x:f>'Controls'!$D$12</x:f>
        <x:v>8250</x:v>
      </x:c>
      <x:c r="H16" s="26" t="n">
        <x:f>'Controls'!$D$13</x:f>
        <x:v>0.8</x:v>
      </x:c>
      <x:c r="I16" s="32" t="n">
        <x:v>0.8</x:v>
      </x:c>
      <x:c r="J16" s="19" t="n">
        <x:f>E16*F16*G16*H16*I16</x:f>
        <x:v>126720</x:v>
      </x:c>
      <x:c r="K16" s="31" t="n">
        <x:f>J16/D16</x:f>
        <x:v>1.266060545509042</x:v>
      </x:c>
      <x:c r="L16" s="26" t="n">
        <x:f>IF(OR(C16="C3",C16="G1"),I16*0.70,I16*0.98)</x:f>
        <x:v>0.784</x:v>
      </x:c>
      <x:c r="M16" s="19" t="n">
        <x:f>E16*F16*G16*H16*L16</x:f>
        <x:v>124185.6</x:v>
      </x:c>
      <x:c r="N16" s="31" t="n">
        <x:f>M16/D16</x:f>
        <x:v>1.240739334598861</x:v>
      </x:c>
      <x:c r="O16" s="18" t="str">
        <x:f>IF(K16&gt;=1,"PASS","FAIL")</x:f>
        <x:v>PASS</x:v>
      </x:c>
      <x:c r="P16" s="18" t="str">
        <x:f>IF(N16&gt;=1,"PASS","FAIL")</x:f>
        <x:v>PASS</x:v>
      </x:c>
    </x:row>
  </x:sheetData>
  <x:conditionalFormatting sqref="O7:P16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OPEN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7" hidden="0" customWidth="1"/>
    <x:col min="5" max="5" width="16" hidden="0" customWidth="1"/>
    <x:col min="6" max="6" width="18" hidden="0" customWidth="1"/>
    <x:col min="7" max="7" width="14" hidden="0" customWidth="1"/>
    <x:col min="8" max="8" width="20" hidden="0" customWidth="1"/>
    <x:col min="9" max="9" width="19" hidden="0" customWidth="1"/>
    <x:col min="10" max="10" width="17" hidden="0" customWidth="1"/>
    <x:col min="11" max="11" width="20" hidden="0" customWidth="1"/>
    <x:col min="12" max="12" width="19" hidden="0" customWidth="1"/>
    <x:col min="13" max="13" width="17" hidden="0" customWidth="1"/>
    <x:col min="14" max="14" width="13" hidden="0" customWidth="1"/>
    <x:col min="15" max="15" width="13" hidden="0" customWidth="1"/>
  </x:cols>
  <x:sheetData>
    <x:row r="2">
      <x:c r="C2" s="2" t="str">
        <x:v>Sustainment and Reverse Flow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C3" s="5" t="str">
        <x:v>Daily supply capacity must include water, food, fuel, medical, repair, waste, casualties and returned equipment.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 ht="36" hidden="0" customHeight="1">
      <x:c r="C6" s="13" t="str">
        <x:v>Campaign</x:v>
      </x:c>
      <x:c r="D6" s="13" t="str">
        <x:v>Required t/day</x:v>
      </x:c>
      <x:c r="E6" s="13" t="str">
        <x:v>J-TSC allocated</x:v>
      </x:c>
      <x:c r="F6" s="13" t="str">
        <x:v>Gross per command</x:v>
      </x:c>
      <x:c r="G6" s="13" t="str">
        <x:v>Availability</x:v>
      </x:c>
      <x:c r="H6" s="13" t="str">
        <x:v>Reference route factor</x:v>
      </x:c>
      <x:c r="I6" s="13" t="str">
        <x:v>Reference capacity</x:v>
      </x:c>
      <x:c r="J6" s="13" t="str">
        <x:v>Reference margin</x:v>
      </x:c>
      <x:c r="K6" s="13" t="str">
        <x:v>Degraded route factor</x:v>
      </x:c>
      <x:c r="L6" s="13" t="str">
        <x:v>Degraded capacity</x:v>
      </x:c>
      <x:c r="M6" s="13" t="str">
        <x:v>Degraded margin</x:v>
      </x:c>
      <x:c r="N6" s="13" t="str">
        <x:v>Reference</x:v>
      </x:c>
      <x:c r="O6" s="13" t="str">
        <x:v>Degraded</x:v>
      </x:c>
    </x:row>
    <x:row r="7" ht="15" hidden="0" customHeight="1">
      <x:c r="C7" s="17" t="str">
        <x:v>C1</x:v>
      </x:c>
      <x:c r="D7" s="27" t="n">
        <x:v>12230</x:v>
      </x:c>
      <x:c r="E7" s="27" t="n">
        <x:v>3</x:v>
      </x:c>
      <x:c r="F7" s="19" t="n">
        <x:f>'Controls'!$D$16</x:f>
        <x:v>8000</x:v>
      </x:c>
      <x:c r="G7" s="26" t="n">
        <x:f>'Controls'!$D$15</x:f>
        <x:v>0.82</x:v>
      </x:c>
      <x:c r="H7" s="24" t="n">
        <x:v>0.9</x:v>
      </x:c>
      <x:c r="I7" s="19" t="n">
        <x:f>E7*F7*G7*H7</x:f>
        <x:v>17712</x:v>
      </x:c>
      <x:c r="J7" s="31" t="n">
        <x:f>I7/D7</x:f>
        <x:v>1.4482420278004906</x:v>
      </x:c>
      <x:c r="K7" s="24" t="n">
        <x:v>0.85</x:v>
      </x:c>
      <x:c r="L7" s="19" t="n">
        <x:f>I7*K7</x:f>
        <x:v>15055.199999999999</x:v>
      </x:c>
      <x:c r="M7" s="31" t="n">
        <x:f>L7/D7</x:f>
        <x:v>1.2310057236304168</x:v>
      </x:c>
      <x:c r="N7" s="18" t="str">
        <x:f>IF(J7&gt;=1,"PASS","FAIL")</x:f>
        <x:v>PASS</x:v>
      </x:c>
      <x:c r="O7" s="18" t="str">
        <x:f>IF(M7&gt;=1,"PASS","FAIL")</x:f>
        <x:v>PASS</x:v>
      </x:c>
    </x:row>
    <x:row r="8" ht="15" hidden="0" customHeight="1">
      <x:c r="C8" s="17" t="str">
        <x:v>C2</x:v>
      </x:c>
      <x:c r="D8" s="27" t="n">
        <x:v>17335</x:v>
      </x:c>
      <x:c r="E8" s="27" t="n">
        <x:v>4</x:v>
      </x:c>
      <x:c r="F8" s="19" t="n">
        <x:f>'Controls'!$D$16</x:f>
        <x:v>8000</x:v>
      </x:c>
      <x:c r="G8" s="26" t="n">
        <x:f>'Controls'!$D$15</x:f>
        <x:v>0.82</x:v>
      </x:c>
      <x:c r="H8" s="24" t="n">
        <x:v>0.9</x:v>
      </x:c>
      <x:c r="I8" s="19" t="n">
        <x:f>E8*F8*G8*H8</x:f>
        <x:v>23616</x:v>
      </x:c>
      <x:c r="J8" s="31" t="n">
        <x:f>I8/D8</x:f>
        <x:v>1.3623305451398904</x:v>
      </x:c>
      <x:c r="K8" s="24" t="n">
        <x:v>0.85</x:v>
      </x:c>
      <x:c r="L8" s="19" t="n">
        <x:f>I8*K8</x:f>
        <x:v>20073.6</x:v>
      </x:c>
      <x:c r="M8" s="31" t="n">
        <x:f>L8/D8</x:f>
        <x:v>1.1579809633689067</x:v>
      </x:c>
      <x:c r="N8" s="18" t="str">
        <x:f>IF(J8&gt;=1,"PASS","FAIL")</x:f>
        <x:v>PASS</x:v>
      </x:c>
      <x:c r="O8" s="18" t="str">
        <x:f>IF(M8&gt;=1,"PASS","FAIL")</x:f>
        <x:v>PASS</x:v>
      </x:c>
    </x:row>
    <x:row r="9" ht="15" hidden="0" customHeight="1">
      <x:c r="C9" s="17" t="str">
        <x:v>C3</x:v>
      </x:c>
      <x:c r="D9" s="27" t="n">
        <x:v>22520</x:v>
      </x:c>
      <x:c r="E9" s="27" t="n">
        <x:v>5</x:v>
      </x:c>
      <x:c r="F9" s="19" t="n">
        <x:f>'Controls'!$D$16</x:f>
        <x:v>8000</x:v>
      </x:c>
      <x:c r="G9" s="26" t="n">
        <x:f>'Controls'!$D$15</x:f>
        <x:v>0.82</x:v>
      </x:c>
      <x:c r="H9" s="24" t="n">
        <x:v>0.75</x:v>
      </x:c>
      <x:c r="I9" s="19" t="n">
        <x:f>E9*F9*G9*H9</x:f>
        <x:v>24600</x:v>
      </x:c>
      <x:c r="J9" s="31" t="n">
        <x:f>I9/D9</x:f>
        <x:v>1.0923623445825932</x:v>
      </x:c>
      <x:c r="K9" s="24" t="n">
        <x:v>0.7</x:v>
      </x:c>
      <x:c r="L9" s="19" t="n">
        <x:f>I9*K9</x:f>
        <x:v>17220</x:v>
      </x:c>
      <x:c r="M9" s="31" t="n">
        <x:f>L9/D9</x:f>
        <x:v>0.7646536412078153</x:v>
      </x:c>
      <x:c r="N9" s="18" t="str">
        <x:f>IF(J9&gt;=1,"PASS","FAIL")</x:f>
        <x:v>PASS</x:v>
      </x:c>
      <x:c r="O9" s="18" t="str">
        <x:f>IF(M9&gt;=1,"PASS","FAIL")</x:f>
        <x:v>FAIL</x:v>
      </x:c>
    </x:row>
    <x:row r="10" ht="15" hidden="0" customHeight="1">
      <x:c r="C10" s="17" t="str">
        <x:v>M1</x:v>
      </x:c>
      <x:c r="D10" s="27" t="n">
        <x:v>8475</x:v>
      </x:c>
      <x:c r="E10" s="27" t="n">
        <x:v>2</x:v>
      </x:c>
      <x:c r="F10" s="19" t="n">
        <x:f>'Controls'!$D$16</x:f>
        <x:v>8000</x:v>
      </x:c>
      <x:c r="G10" s="26" t="n">
        <x:f>'Controls'!$D$15</x:f>
        <x:v>0.82</x:v>
      </x:c>
      <x:c r="H10" s="24" t="n">
        <x:v>0.9</x:v>
      </x:c>
      <x:c r="I10" s="19" t="n">
        <x:f>E10*F10*G10*H10</x:f>
        <x:v>11808</x:v>
      </x:c>
      <x:c r="J10" s="31" t="n">
        <x:f>I10/D10</x:f>
        <x:v>1.3932743362831859</x:v>
      </x:c>
      <x:c r="K10" s="24" t="n">
        <x:v>0.9</x:v>
      </x:c>
      <x:c r="L10" s="19" t="n">
        <x:f>I10*K10</x:f>
        <x:v>10627.2</x:v>
      </x:c>
      <x:c r="M10" s="31" t="n">
        <x:f>L10/D10</x:f>
        <x:v>1.2539469026548673</x:v>
      </x:c>
      <x:c r="N10" s="18" t="str">
        <x:f>IF(J10&gt;=1,"PASS","FAIL")</x:f>
        <x:v>PASS</x:v>
      </x:c>
      <x:c r="O10" s="18" t="str">
        <x:f>IF(M10&gt;=1,"PASS","FAIL")</x:f>
        <x:v>PASS</x:v>
      </x:c>
    </x:row>
    <x:row r="11" ht="15" hidden="0" customHeight="1">
      <x:c r="C11" s="17" t="str">
        <x:v>M2</x:v>
      </x:c>
      <x:c r="D11" s="27" t="n">
        <x:v>9145</x:v>
      </x:c>
      <x:c r="E11" s="27" t="n">
        <x:v>2</x:v>
      </x:c>
      <x:c r="F11" s="19" t="n">
        <x:f>'Controls'!$D$16</x:f>
        <x:v>8000</x:v>
      </x:c>
      <x:c r="G11" s="26" t="n">
        <x:f>'Controls'!$D$15</x:f>
        <x:v>0.82</x:v>
      </x:c>
      <x:c r="H11" s="24" t="n">
        <x:v>0.9</x:v>
      </x:c>
      <x:c r="I11" s="19" t="n">
        <x:f>E11*F11*G11*H11</x:f>
        <x:v>11808</x:v>
      </x:c>
      <x:c r="J11" s="31" t="n">
        <x:f>I11/D11</x:f>
        <x:v>1.2911973756150903</x:v>
      </x:c>
      <x:c r="K11" s="24" t="n">
        <x:v>0.9</x:v>
      </x:c>
      <x:c r="L11" s="19" t="n">
        <x:f>I11*K11</x:f>
        <x:v>10627.2</x:v>
      </x:c>
      <x:c r="M11" s="31" t="n">
        <x:f>L11/D11</x:f>
        <x:v>1.1620776380535813</x:v>
      </x:c>
      <x:c r="N11" s="18" t="str">
        <x:f>IF(J11&gt;=1,"PASS","FAIL")</x:f>
        <x:v>PASS</x:v>
      </x:c>
      <x:c r="O11" s="18" t="str">
        <x:f>IF(M11&gt;=1,"PASS","FAIL")</x:f>
        <x:v>PASS</x:v>
      </x:c>
    </x:row>
    <x:row r="12" ht="15" hidden="0" customHeight="1">
      <x:c r="C12" s="17" t="str">
        <x:v>M3</x:v>
      </x:c>
      <x:c r="D12" s="27" t="n">
        <x:v>12195</x:v>
      </x:c>
      <x:c r="E12" s="27" t="n">
        <x:v>3</x:v>
      </x:c>
      <x:c r="F12" s="19" t="n">
        <x:f>'Controls'!$D$16</x:f>
        <x:v>8000</x:v>
      </x:c>
      <x:c r="G12" s="26" t="n">
        <x:f>'Controls'!$D$15</x:f>
        <x:v>0.82</x:v>
      </x:c>
      <x:c r="H12" s="24" t="n">
        <x:v>0.85</x:v>
      </x:c>
      <x:c r="I12" s="19" t="n">
        <x:f>E12*F12*G12*H12</x:f>
        <x:v>16728</x:v>
      </x:c>
      <x:c r="J12" s="31" t="n">
        <x:f>I12/D12</x:f>
        <x:v>1.371709717097171</x:v>
      </x:c>
      <x:c r="K12" s="24" t="n">
        <x:v>0.85</x:v>
      </x:c>
      <x:c r="L12" s="19" t="n">
        <x:f>I12*K12</x:f>
        <x:v>14218.8</x:v>
      </x:c>
      <x:c r="M12" s="31" t="n">
        <x:f>L12/D12</x:f>
        <x:v>1.1659532595325952</x:v>
      </x:c>
      <x:c r="N12" s="18" t="str">
        <x:f>IF(J12&gt;=1,"PASS","FAIL")</x:f>
        <x:v>PASS</x:v>
      </x:c>
      <x:c r="O12" s="18" t="str">
        <x:f>IF(M12&gt;=1,"PASS","FAIL")</x:f>
        <x:v>PASS</x:v>
      </x:c>
    </x:row>
    <x:row r="13" ht="15" hidden="0" customHeight="1">
      <x:c r="C13" s="17" t="str">
        <x:v>M4</x:v>
      </x:c>
      <x:c r="D13" s="27" t="n">
        <x:v>13465</x:v>
      </x:c>
      <x:c r="E13" s="27" t="n">
        <x:v>3</x:v>
      </x:c>
      <x:c r="F13" s="19" t="n">
        <x:f>'Controls'!$D$16</x:f>
        <x:v>8000</x:v>
      </x:c>
      <x:c r="G13" s="26" t="n">
        <x:f>'Controls'!$D$15</x:f>
        <x:v>0.82</x:v>
      </x:c>
      <x:c r="H13" s="24" t="n">
        <x:v>0.85</x:v>
      </x:c>
      <x:c r="I13" s="19" t="n">
        <x:f>E13*F13*G13*H13</x:f>
        <x:v>16728</x:v>
      </x:c>
      <x:c r="J13" s="31" t="n">
        <x:f>I13/D13</x:f>
        <x:v>1.2423319717786854</x:v>
      </x:c>
      <x:c r="K13" s="24" t="n">
        <x:v>0.85</x:v>
      </x:c>
      <x:c r="L13" s="19" t="n">
        <x:f>I13*K13</x:f>
        <x:v>14218.8</x:v>
      </x:c>
      <x:c r="M13" s="31" t="n">
        <x:f>L13/D13</x:f>
        <x:v>1.0559821760118826</x:v>
      </x:c>
      <x:c r="N13" s="18" t="str">
        <x:f>IF(J13&gt;=1,"PASS","FAIL")</x:f>
        <x:v>PASS</x:v>
      </x:c>
      <x:c r="O13" s="18" t="str">
        <x:f>IF(M13&gt;=1,"PASS","FAIL")</x:f>
        <x:v>PASS</x:v>
      </x:c>
    </x:row>
    <x:row r="14" ht="15" hidden="0" customHeight="1">
      <x:c r="C14" s="17" t="str">
        <x:v>M5</x:v>
      </x:c>
      <x:c r="D14" s="27" t="n">
        <x:v>11625</x:v>
      </x:c>
      <x:c r="E14" s="27" t="n">
        <x:v>3</x:v>
      </x:c>
      <x:c r="F14" s="19" t="n">
        <x:f>'Controls'!$D$16</x:f>
        <x:v>8000</x:v>
      </x:c>
      <x:c r="G14" s="26" t="n">
        <x:f>'Controls'!$D$15</x:f>
        <x:v>0.82</x:v>
      </x:c>
      <x:c r="H14" s="24" t="n">
        <x:v>0.85</x:v>
      </x:c>
      <x:c r="I14" s="19" t="n">
        <x:f>E14*F14*G14*H14</x:f>
        <x:v>16728</x:v>
      </x:c>
      <x:c r="J14" s="31" t="n">
        <x:f>I14/D14</x:f>
        <x:v>1.4389677419354838</x:v>
      </x:c>
      <x:c r="K14" s="24" t="n">
        <x:v>0.85</x:v>
      </x:c>
      <x:c r="L14" s="19" t="n">
        <x:f>I14*K14</x:f>
        <x:v>14218.8</x:v>
      </x:c>
      <x:c r="M14" s="31" t="n">
        <x:f>L14/D14</x:f>
        <x:v>1.2231225806451613</x:v>
      </x:c>
      <x:c r="N14" s="18" t="str">
        <x:f>IF(J14&gt;=1,"PASS","FAIL")</x:f>
        <x:v>PASS</x:v>
      </x:c>
      <x:c r="O14" s="18" t="str">
        <x:f>IF(M14&gt;=1,"PASS","FAIL")</x:f>
        <x:v>PASS</x:v>
      </x:c>
    </x:row>
    <x:row r="15" ht="15" hidden="0" customHeight="1">
      <x:c r="C15" s="17" t="str">
        <x:v>G1</x:v>
      </x:c>
      <x:c r="D15" s="27" t="n">
        <x:v>20400</x:v>
      </x:c>
      <x:c r="E15" s="27" t="n">
        <x:v>4</x:v>
      </x:c>
      <x:c r="F15" s="19" t="n">
        <x:f>'Controls'!$D$16</x:f>
        <x:v>8000</x:v>
      </x:c>
      <x:c r="G15" s="26" t="n">
        <x:f>'Controls'!$D$15</x:f>
        <x:v>0.82</x:v>
      </x:c>
      <x:c r="H15" s="24" t="n">
        <x:v>0.85</x:v>
      </x:c>
      <x:c r="I15" s="19" t="n">
        <x:f>E15*F15*G15*H15</x:f>
        <x:v>22304</x:v>
      </x:c>
      <x:c r="J15" s="31" t="n">
        <x:f>I15/D15</x:f>
        <x:v>1.0933333333333333</x:v>
      </x:c>
      <x:c r="K15" s="24" t="n">
        <x:v>0.7</x:v>
      </x:c>
      <x:c r="L15" s="19" t="n">
        <x:f>I15*K15</x:f>
        <x:v>15612.8</x:v>
      </x:c>
      <x:c r="M15" s="31" t="n">
        <x:f>L15/D15</x:f>
        <x:v>0.7653333333333333</x:v>
      </x:c>
      <x:c r="N15" s="18" t="str">
        <x:f>IF(J15&gt;=1,"PASS","FAIL")</x:f>
        <x:v>PASS</x:v>
      </x:c>
      <x:c r="O15" s="18" t="str">
        <x:f>IF(M15&gt;=1,"PASS","FAIL")</x:f>
        <x:v>FAIL</x:v>
      </x:c>
    </x:row>
    <x:row r="16" ht="15" hidden="0" customHeight="1">
      <x:c r="C16" s="17" t="str">
        <x:v>G2</x:v>
      </x:c>
      <x:c r="D16" s="27" t="n">
        <x:v>20860</x:v>
      </x:c>
      <x:c r="E16" s="27" t="n">
        <x:v>4</x:v>
      </x:c>
      <x:c r="F16" s="19" t="n">
        <x:f>'Controls'!$D$16</x:f>
        <x:v>8000</x:v>
      </x:c>
      <x:c r="G16" s="26" t="n">
        <x:f>'Controls'!$D$15</x:f>
        <x:v>0.82</x:v>
      </x:c>
      <x:c r="H16" s="24" t="n">
        <x:v>0.85</x:v>
      </x:c>
      <x:c r="I16" s="19" t="n">
        <x:f>E16*F16*G16*H16</x:f>
        <x:v>22304</x:v>
      </x:c>
      <x:c r="J16" s="31" t="n">
        <x:f>I16/D16</x:f>
        <x:v>1.0692233940556088</x:v>
      </x:c>
      <x:c r="K16" s="24" t="n">
        <x:v>0.95</x:v>
      </x:c>
      <x:c r="L16" s="19" t="n">
        <x:f>I16*K16</x:f>
        <x:v>21188.8</x:v>
      </x:c>
      <x:c r="M16" s="31" t="n">
        <x:f>L16/D16</x:f>
        <x:v>1.0157622243528284</x:v>
      </x:c>
      <x:c r="N16" s="18" t="str">
        <x:f>IF(J16&gt;=1,"PASS","FAIL")</x:f>
        <x:v>PASS</x:v>
      </x:c>
      <x:c r="O16" s="18" t="str">
        <x:f>IF(M16&gt;=1,"PASS","FAIL")</x:f>
        <x:v>PASS</x:v>
      </x:c>
    </x:row>
  </x:sheetData>
  <x:conditionalFormatting sqref="N7:O16">
    <x:cfRule type="containsText" dxfId="15" priority="1" operator="containsText" text="PASS"/>
    <x:cfRule type="containsText" dxfId="16" priority="2" operator="containsText" text="FAIL"/>
    <x:cfRule type="containsText" dxfId="17" priority="3" operator="containsText" text="OPE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4" hidden="0" customWidth="1"/>
    <x:col min="5" max="5" width="14" hidden="0" customWidth="1"/>
    <x:col min="6" max="6" width="17" hidden="0" customWidth="1"/>
    <x:col min="7" max="7" width="14" hidden="0" customWidth="1"/>
    <x:col min="8" max="8" width="18" hidden="0" customWidth="1"/>
    <x:col min="9" max="9" width="20" hidden="0" customWidth="1"/>
    <x:col min="10" max="10" width="13" hidden="0" customWidth="1"/>
    <x:col min="11" max="11" width="19" hidden="0" customWidth="1"/>
    <x:col min="12" max="12" width="17" hidden="0" customWidth="1"/>
    <x:col min="13" max="13" width="15" hidden="0" customWidth="1"/>
    <x:col min="14" max="14" width="20" hidden="0" customWidth="1"/>
    <x:col min="15" max="15" width="18" hidden="0" customWidth="1"/>
    <x:col min="16" max="16" width="13" hidden="0" customWidth="1"/>
  </x:cols>
  <x:sheetData>
    <x:row r="2">
      <x:c r="C2" s="2" t="str">
        <x:v>End-to-End Campaign Closure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</x:row>
    <x:row r="3">
      <x:c r="C3" s="5" t="str">
        <x:v>A campaign closes only at its weakest required link. Ratios are capacities divided by declared demand.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</x:row>
    <x:row r="6" ht="36" hidden="0" customHeight="1">
      <x:c r="C6" s="13" t="str">
        <x:v>Campaign</x:v>
      </x:c>
      <x:c r="D6" s="13" t="str">
        <x:v>Reception</x:v>
      </x:c>
      <x:c r="E6" s="13" t="str">
        <x:v>Onward</x:v>
      </x:c>
      <x:c r="F6" s="13" t="str">
        <x:v>Responder base</x:v>
      </x:c>
      <x:c r="G6" s="13" t="str">
        <x:v>Sustainment</x:v>
      </x:c>
      <x:c r="H6" s="13" t="str">
        <x:v>Reference minimum</x:v>
      </x:c>
      <x:c r="I6" s="13" t="str">
        <x:v>Binding reference link</x:v>
      </x:c>
      <x:c r="J6" s="13" t="str">
        <x:v>Reference</x:v>
      </x:c>
      <x:c r="K6" s="13" t="str">
        <x:v>Reception degraded</x:v>
      </x:c>
      <x:c r="L6" s="13" t="str">
        <x:v>Onward degraded</x:v>
      </x:c>
      <x:c r="M6" s="13" t="str">
        <x:v>Base degraded</x:v>
      </x:c>
      <x:c r="N6" s="13" t="str">
        <x:v>Sustainment degraded</x:v>
      </x:c>
      <x:c r="O6" s="13" t="str">
        <x:v>Degraded minimum</x:v>
      </x:c>
      <x:c r="P6" s="13" t="str">
        <x:v>Degraded</x:v>
      </x:c>
      <x:c r="Q6" s="38"/>
    </x:row>
    <x:row r="7" ht="15" hidden="0" customHeight="1">
      <x:c r="C7" s="17" t="str">
        <x:v>C1</x:v>
      </x:c>
      <x:c r="D7" s="31" t="n">
        <x:f>'Reception'!H7</x:f>
        <x:v>5.188389513108614</x:v>
      </x:c>
      <x:c r="E7" s="31" t="n">
        <x:f>'Onward'!J7</x:f>
        <x:v>1.7620786516853932</x:v>
      </x:c>
      <x:c r="F7" s="31" t="n">
        <x:f>'Responder Bases'!K7</x:f>
        <x:v>1.534096735600752</x:v>
      </x:c>
      <x:c r="G7" s="31" t="n">
        <x:f>'Sustainment'!J7</x:f>
        <x:v>1.4482420278004906</x:v>
      </x:c>
      <x:c r="H7" s="31" t="n">
        <x:f>MIN(D7:G7)</x:f>
        <x:v>1.4482420278004906</x:v>
      </x:c>
      <x:c r="I7" s="18" t="str">
        <x:f>IF(H7=D7,"Reception",IF(H7=E7,"Onward",IF(H7=F7,"Responder base","Sustainment")))</x:f>
        <x:v>Sustainment</x:v>
      </x:c>
      <x:c r="J7" s="18" t="str">
        <x:f>IF(H7&gt;=1,"PASS","FAIL")</x:f>
        <x:v>PASS</x:v>
      </x:c>
      <x:c r="K7" s="31" t="n">
        <x:f>'Reception'!K7</x:f>
        <x:v>3.6318726591760293</x:v>
      </x:c>
      <x:c r="L7" s="31" t="n">
        <x:f>'Onward'!M7</x:f>
        <x:v>1.4977668539325841</x:v>
      </x:c>
      <x:c r="M7" s="31" t="n">
        <x:f>'Responder Bases'!N7</x:f>
        <x:v>1.503414800888737</x:v>
      </x:c>
      <x:c r="N7" s="31" t="n">
        <x:f>'Sustainment'!M7</x:f>
        <x:v>1.2310057236304168</x:v>
      </x:c>
      <x:c r="O7" s="31" t="n">
        <x:f>MIN(K7:N7)</x:f>
        <x:v>1.2310057236304168</x:v>
      </x:c>
      <x:c r="P7" s="18" t="str">
        <x:f>IF(O7&gt;=1,"PASS","FAIL")</x:f>
        <x:v>PASS</x:v>
      </x:c>
      <x:c r="Q7" s="38"/>
    </x:row>
    <x:row r="8" ht="15" hidden="0" customHeight="1">
      <x:c r="C8" s="17" t="str">
        <x:v>C2</x:v>
      </x:c>
      <x:c r="D8" s="31" t="n">
        <x:f>'Reception'!H8</x:f>
        <x:v>4.03122522790329</x:v>
      </x:c>
      <x:c r="E8" s="31" t="n">
        <x:f>'Onward'!J8</x:f>
        <x:v>1.228537455410226</x:v>
      </x:c>
      <x:c r="F8" s="31" t="n">
        <x:f>'Responder Bases'!K8</x:f>
        <x:v>1.6105263157894736</x:v>
      </x:c>
      <x:c r="G8" s="31" t="n">
        <x:f>'Sustainment'!J8</x:f>
        <x:v>1.3623305451398904</x:v>
      </x:c>
      <x:c r="H8" s="31" t="n">
        <x:f>MIN(D8:G8)</x:f>
        <x:v>1.228537455410226</x:v>
      </x:c>
      <x:c r="I8" s="18" t="str">
        <x:f>IF(H8=D8,"Reception",IF(H8=E8,"Onward",IF(H8=F8,"Responder base","Sustainment")))</x:f>
        <x:v>Onward</x:v>
      </x:c>
      <x:c r="J8" s="18" t="str">
        <x:f>IF(H8&gt;=1,"PASS","FAIL")</x:f>
        <x:v>PASS</x:v>
      </x:c>
      <x:c r="K8" s="31" t="n">
        <x:f>'Reception'!K8</x:f>
        <x:v>2.620296398137138</x:v>
      </x:c>
      <x:c r="L8" s="31" t="n">
        <x:f>'Onward'!M8</x:f>
        <x:v>1.044256837098692</x:v>
      </x:c>
      <x:c r="M8" s="31" t="n">
        <x:f>'Responder Bases'!N8</x:f>
        <x:v>1.578315789473684</x:v>
      </x:c>
      <x:c r="N8" s="31" t="n">
        <x:f>'Sustainment'!M8</x:f>
        <x:v>1.1579809633689067</x:v>
      </x:c>
      <x:c r="O8" s="31" t="n">
        <x:f>MIN(K8:N8)</x:f>
        <x:v>1.044256837098692</x:v>
      </x:c>
      <x:c r="P8" s="18" t="str">
        <x:f>IF(O8&gt;=1,"PASS","FAIL")</x:f>
        <x:v>PASS</x:v>
      </x:c>
      <x:c r="Q8" s="38"/>
    </x:row>
    <x:row r="9" ht="15" hidden="0" customHeight="1">
      <x:c r="C9" s="17" t="str">
        <x:v>C3</x:v>
      </x:c>
      <x:c r="D9" s="31" t="n">
        <x:f>'Reception'!H9</x:f>
        <x:v>4.076518631073662</x:v>
      </x:c>
      <x:c r="E9" s="31" t="n">
        <x:f>'Onward'!J9</x:f>
        <x:v>1.9114549159097973</x:v>
      </x:c>
      <x:c r="F9" s="31" t="n">
        <x:f>'Responder Bases'!K9</x:f>
        <x:v>1.3674960688187956</x:v>
      </x:c>
      <x:c r="G9" s="31" t="n">
        <x:f>'Sustainment'!J9</x:f>
        <x:v>1.0923623445825932</x:v>
      </x:c>
      <x:c r="H9" s="31" t="n">
        <x:f>MIN(D9:G9)</x:f>
        <x:v>1.0923623445825932</x:v>
      </x:c>
      <x:c r="I9" s="18" t="str">
        <x:f>IF(H9=D9,"Reception",IF(H9=E9,"Onward",IF(H9=F9,"Responder base","Sustainment")))</x:f>
        <x:v>Sustainment</x:v>
      </x:c>
      <x:c r="J9" s="18" t="str">
        <x:f>IF(H9&gt;=1,"PASS","FAIL")</x:f>
        <x:v>PASS</x:v>
      </x:c>
      <x:c r="K9" s="31" t="n">
        <x:f>'Reception'!K9</x:f>
        <x:v>0.8153037262147323</x:v>
      </x:c>
      <x:c r="L9" s="31" t="n">
        <x:f>'Onward'!M9</x:f>
        <x:v>1.338018441136858</x:v>
      </x:c>
      <x:c r="M9" s="31" t="n">
        <x:f>'Responder Bases'!N9</x:f>
        <x:v>0.9572472481731569</x:v>
      </x:c>
      <x:c r="N9" s="31" t="n">
        <x:f>'Sustainment'!M9</x:f>
        <x:v>0.7646536412078153</x:v>
      </x:c>
      <x:c r="O9" s="31" t="n">
        <x:f>MIN(K9:N9)</x:f>
        <x:v>0.7646536412078153</x:v>
      </x:c>
      <x:c r="P9" s="18" t="str">
        <x:f>IF(O9&gt;=1,"PASS","FAIL")</x:f>
        <x:v>FAIL</x:v>
      </x:c>
      <x:c r="Q9" s="38"/>
    </x:row>
    <x:row r="10" ht="15" hidden="0" customHeight="1">
      <x:c r="C10" s="17" t="str">
        <x:v>M1</x:v>
      </x:c>
      <x:c r="D10" s="31" t="n">
        <x:f>'Reception'!H10</x:f>
        <x:v>4.453336944745396</x:v>
      </x:c>
      <x:c r="E10" s="31" t="n">
        <x:f>'Onward'!J10</x:f>
        <x:v>1.1513759479956662</x:v>
      </x:c>
      <x:c r="F10" s="31" t="n">
        <x:f>'Responder Bases'!K10</x:f>
        <x:v>1.1325071496663488</x:v>
      </x:c>
      <x:c r="G10" s="31" t="n">
        <x:f>'Sustainment'!J10</x:f>
        <x:v>1.3932743362831859</x:v>
      </x:c>
      <x:c r="H10" s="31" t="n">
        <x:f>MIN(D10:G10)</x:f>
        <x:v>1.1325071496663488</x:v>
      </x:c>
      <x:c r="I10" s="18" t="str">
        <x:f>IF(H10=D10,"Reception",IF(H10=E10,"Onward",IF(H10=F10,"Responder base","Sustainment")))</x:f>
        <x:v>Responder base</x:v>
      </x:c>
      <x:c r="J10" s="18" t="str">
        <x:f>IF(H10&gt;=1,"PASS","FAIL")</x:f>
        <x:v>PASS</x:v>
      </x:c>
      <x:c r="K10" s="31" t="n">
        <x:f>'Reception'!K10</x:f>
        <x:v>3.3400027085590467</x:v>
      </x:c>
      <x:c r="L10" s="31" t="n">
        <x:f>'Onward'!M10</x:f>
        <x:v>1.0362383531960997</x:v>
      </x:c>
      <x:c r="M10" s="31" t="n">
        <x:f>'Responder Bases'!N10</x:f>
        <x:v>1.1098570066730218</x:v>
      </x:c>
      <x:c r="N10" s="31" t="n">
        <x:f>'Sustainment'!M10</x:f>
        <x:v>1.2539469026548673</x:v>
      </x:c>
      <x:c r="O10" s="31" t="n">
        <x:f>MIN(K10:N10)</x:f>
        <x:v>1.0362383531960997</x:v>
      </x:c>
      <x:c r="P10" s="18" t="str">
        <x:f>IF(O10&gt;=1,"PASS","FAIL")</x:f>
        <x:v>PASS</x:v>
      </x:c>
      <x:c r="Q10" s="38"/>
    </x:row>
    <x:row r="11" ht="15" hidden="0" customHeight="1">
      <x:c r="C11" s="17" t="str">
        <x:v>M2</x:v>
      </x:c>
      <x:c r="D11" s="31" t="n">
        <x:f>'Reception'!H11</x:f>
        <x:v>3.8581961108812575</x:v>
      </x:c>
      <x:c r="E11" s="31" t="n">
        <x:f>'Onward'!J11</x:f>
        <x:v>1.0259329747621018</x:v>
      </x:c>
      <x:c r="F11" s="31" t="n">
        <x:f>'Responder Bases'!K11</x:f>
        <x:v>1.051094890510949</x:v>
      </x:c>
      <x:c r="G11" s="31" t="n">
        <x:f>'Sustainment'!J11</x:f>
        <x:v>1.2911973756150903</x:v>
      </x:c>
      <x:c r="H11" s="31" t="n">
        <x:f>MIN(D11:G11)</x:f>
        <x:v>1.0259329747621018</x:v>
      </x:c>
      <x:c r="I11" s="18" t="str">
        <x:f>IF(H11=D11,"Reception",IF(H11=E11,"Onward",IF(H11=F11,"Responder base","Sustainment")))</x:f>
        <x:v>Onward</x:v>
      </x:c>
      <x:c r="J11" s="18" t="str">
        <x:f>IF(H11&gt;=1,"PASS","FAIL")</x:f>
        <x:v>PASS</x:v>
      </x:c>
      <x:c r="K11" s="31" t="n">
        <x:f>'Reception'!K11</x:f>
        <x:v>3.0865568887050063</x:v>
      </x:c>
      <x:c r="L11" s="31" t="n">
        <x:f>'Onward'!M11</x:f>
        <x:v>1.0054143152668598</x:v>
      </x:c>
      <x:c r="M11" s="31" t="n">
        <x:f>'Responder Bases'!N11</x:f>
        <x:v>1.03007299270073</x:v>
      </x:c>
      <x:c r="N11" s="31" t="n">
        <x:f>'Sustainment'!M11</x:f>
        <x:v>1.1620776380535813</x:v>
      </x:c>
      <x:c r="O11" s="31" t="n">
        <x:f>MIN(K11:N11)</x:f>
        <x:v>1.0054143152668598</x:v>
      </x:c>
      <x:c r="P11" s="18" t="str">
        <x:f>IF(O11&gt;=1,"PASS","FAIL")</x:f>
        <x:v>PASS</x:v>
      </x:c>
      <x:c r="Q11" s="38"/>
    </x:row>
    <x:row r="12" ht="15" hidden="0" customHeight="1">
      <x:c r="C12" s="17" t="str">
        <x:v>M3</x:v>
      </x:c>
      <x:c r="D12" s="31" t="n">
        <x:f>'Reception'!H12</x:f>
        <x:v>4.127672828221273</x:v>
      </x:c>
      <x:c r="E12" s="31" t="n">
        <x:f>'Onward'!J12</x:f>
        <x:v>1.1892748324192564</x:v>
      </x:c>
      <x:c r="F12" s="31" t="n">
        <x:f>'Responder Bases'!K12</x:f>
        <x:v>1.568408177529268</x:v>
      </x:c>
      <x:c r="G12" s="31" t="n">
        <x:f>'Sustainment'!J12</x:f>
        <x:v>1.371709717097171</x:v>
      </x:c>
      <x:c r="H12" s="31" t="n">
        <x:f>MIN(D12:G12)</x:f>
        <x:v>1.1892748324192564</x:v>
      </x:c>
      <x:c r="I12" s="18" t="str">
        <x:f>IF(H12=D12,"Reception",IF(H12=E12,"Onward",IF(H12=F12,"Responder base","Sustainment")))</x:f>
        <x:v>Onward</x:v>
      </x:c>
      <x:c r="J12" s="18" t="str">
        <x:f>IF(H12&gt;=1,"PASS","FAIL")</x:f>
        <x:v>PASS</x:v>
      </x:c>
      <x:c r="K12" s="31" t="n">
        <x:f>'Reception'!K12</x:f>
        <x:v>2.8893709797548914</x:v>
      </x:c>
      <x:c r="L12" s="31" t="n">
        <x:f>'Onward'!M12</x:f>
        <x:v>1.0108836075563679</x:v>
      </x:c>
      <x:c r="M12" s="31" t="n">
        <x:f>'Responder Bases'!N12</x:f>
        <x:v>1.5370400139786826</x:v>
      </x:c>
      <x:c r="N12" s="31" t="n">
        <x:f>'Sustainment'!M12</x:f>
        <x:v>1.1659532595325952</x:v>
      </x:c>
      <x:c r="O12" s="31" t="n">
        <x:f>MIN(K12:N12)</x:f>
        <x:v>1.0108836075563679</x:v>
      </x:c>
      <x:c r="P12" s="18" t="str">
        <x:f>IF(O12&gt;=1,"PASS","FAIL")</x:f>
        <x:v>PASS</x:v>
      </x:c>
      <x:c r="Q12" s="38"/>
    </x:row>
    <x:row r="13" ht="15" hidden="0" customHeight="1">
      <x:c r="C13" s="17" t="str">
        <x:v>M4</x:v>
      </x:c>
      <x:c r="D13" s="31" t="n">
        <x:f>'Reception'!H13</x:f>
        <x:v>3.927177177177178</x:v>
      </x:c>
      <x:c r="E13" s="31" t="n">
        <x:f>'Onward'!J13</x:f>
        <x:v>1.4128378378378381</x:v>
      </x:c>
      <x:c r="F13" s="31" t="n">
        <x:f>'Responder Bases'!K13</x:f>
        <x:v>1.4009676915873264</x:v>
      </x:c>
      <x:c r="G13" s="31" t="n">
        <x:f>'Sustainment'!J13</x:f>
        <x:v>1.2423319717786854</x:v>
      </x:c>
      <x:c r="H13" s="31" t="n">
        <x:f>MIN(D13:G13)</x:f>
        <x:v>1.2423319717786854</x:v>
      </x:c>
      <x:c r="I13" s="18" t="str">
        <x:f>IF(H13=D13,"Reception",IF(H13=E13,"Onward",IF(H13=F13,"Responder base","Sustainment")))</x:f>
        <x:v>Sustainment</x:v>
      </x:c>
      <x:c r="J13" s="18" t="str">
        <x:f>IF(H13&gt;=1,"PASS","FAIL")</x:f>
        <x:v>PASS</x:v>
      </x:c>
      <x:c r="K13" s="31" t="n">
        <x:f>'Reception'!K13</x:f>
        <x:v>2.749024024024025</x:v>
      </x:c>
      <x:c r="L13" s="31" t="n">
        <x:f>'Onward'!M13</x:f>
        <x:v>1.2009121621621626</x:v>
      </x:c>
      <x:c r="M13" s="31" t="n">
        <x:f>'Responder Bases'!N13</x:f>
        <x:v>1.3729483377555798</x:v>
      </x:c>
      <x:c r="N13" s="31" t="n">
        <x:f>'Sustainment'!M13</x:f>
        <x:v>1.0559821760118826</x:v>
      </x:c>
      <x:c r="O13" s="31" t="n">
        <x:f>MIN(K13:N13)</x:f>
        <x:v>1.0559821760118826</x:v>
      </x:c>
      <x:c r="P13" s="18" t="str">
        <x:f>IF(O13&gt;=1,"PASS","FAIL")</x:f>
        <x:v>PASS</x:v>
      </x:c>
      <x:c r="Q13" s="38"/>
    </x:row>
    <x:row r="14" ht="15" hidden="0" customHeight="1">
      <x:c r="C14" s="17" t="str">
        <x:v>M5</x:v>
      </x:c>
      <x:c r="D14" s="31" t="n">
        <x:f>'Reception'!H14</x:f>
        <x:v>5.8760760760760755</x:v>
      </x:c>
      <x:c r="E14" s="31" t="n">
        <x:f>'Onward'!J14</x:f>
        <x:v>2.344264264264264</x:v>
      </x:c>
      <x:c r="F14" s="31" t="n">
        <x:f>'Responder Bases'!K14</x:f>
        <x:v>1.5948827292110874</x:v>
      </x:c>
      <x:c r="G14" s="31" t="n">
        <x:f>'Sustainment'!J14</x:f>
        <x:v>1.4389677419354838</x:v>
      </x:c>
      <x:c r="H14" s="31" t="n">
        <x:f>MIN(D14:G14)</x:f>
        <x:v>1.4389677419354838</x:v>
      </x:c>
      <x:c r="I14" s="18" t="str">
        <x:f>IF(H14=D14,"Reception",IF(H14=E14,"Onward",IF(H14=F14,"Responder base","Sustainment")))</x:f>
        <x:v>Sustainment</x:v>
      </x:c>
      <x:c r="J14" s="18" t="str">
        <x:f>IF(H14&gt;=1,"PASS","FAIL")</x:f>
        <x:v>PASS</x:v>
      </x:c>
      <x:c r="K14" s="31" t="n">
        <x:f>'Reception'!K14</x:f>
        <x:v>3.819449449449449</x:v>
      </x:c>
      <x:c r="L14" s="31" t="n">
        <x:f>'Onward'!M14</x:f>
        <x:v>1.9926246246246244</x:v>
      </x:c>
      <x:c r="M14" s="31" t="n">
        <x:f>'Responder Bases'!N14</x:f>
        <x:v>1.5629850746268656</x:v>
      </x:c>
      <x:c r="N14" s="31" t="n">
        <x:f>'Sustainment'!M14</x:f>
        <x:v>1.2231225806451613</x:v>
      </x:c>
      <x:c r="O14" s="31" t="n">
        <x:f>MIN(K14:N14)</x:f>
        <x:v>1.2231225806451613</x:v>
      </x:c>
      <x:c r="P14" s="18" t="str">
        <x:f>IF(O14&gt;=1,"PASS","FAIL")</x:f>
        <x:v>PASS</x:v>
      </x:c>
      <x:c r="Q14" s="38"/>
    </x:row>
    <x:row r="15" ht="15" hidden="0" customHeight="1">
      <x:c r="C15" s="17" t="str">
        <x:v>G1</x:v>
      </x:c>
      <x:c r="D15" s="31" t="n">
        <x:f>'Reception'!H15</x:f>
        <x:v>4.453569839857651</x:v>
      </x:c>
      <x:c r="E15" s="31" t="n">
        <x:f>'Onward'!J15</x:f>
        <x:v>2.232384341637011</x:v>
      </x:c>
      <x:c r="F15" s="31" t="n">
        <x:f>'Responder Bases'!K15</x:f>
        <x:v>1.1151563914311575</x:v>
      </x:c>
      <x:c r="G15" s="31" t="n">
        <x:f>'Sustainment'!J15</x:f>
        <x:v>1.0933333333333333</x:v>
      </x:c>
      <x:c r="H15" s="31" t="n">
        <x:f>MIN(D15:G15)</x:f>
        <x:v>1.0933333333333333</x:v>
      </x:c>
      <x:c r="I15" s="18" t="str">
        <x:f>IF(H15=D15,"Reception",IF(H15=E15,"Onward",IF(H15=F15,"Responder base","Sustainment")))</x:f>
        <x:v>Sustainment</x:v>
      </x:c>
      <x:c r="J15" s="18" t="str">
        <x:f>IF(H15&gt;=1,"PASS","FAIL")</x:f>
        <x:v>PASS</x:v>
      </x:c>
      <x:c r="K15" s="31" t="n">
        <x:f>'Reception'!K15</x:f>
        <x:v>0.9797853647686833</x:v>
      </x:c>
      <x:c r="L15" s="31" t="n">
        <x:f>'Onward'!M15</x:f>
        <x:v>1.5626690391459073</x:v>
      </x:c>
      <x:c r="M15" s="31" t="n">
        <x:f>'Responder Bases'!N15</x:f>
        <x:v>0.7806094740018101</x:v>
      </x:c>
      <x:c r="N15" s="31" t="n">
        <x:f>'Sustainment'!M15</x:f>
        <x:v>0.7653333333333333</x:v>
      </x:c>
      <x:c r="O15" s="31" t="n">
        <x:f>MIN(K15:N15)</x:f>
        <x:v>0.7653333333333333</x:v>
      </x:c>
      <x:c r="P15" s="18" t="str">
        <x:f>IF(O15&gt;=1,"PASS","FAIL")</x:f>
        <x:v>FAIL</x:v>
      </x:c>
      <x:c r="Q15" s="38"/>
    </x:row>
    <x:row r="16" ht="15" hidden="0" customHeight="1">
      <x:c r="C16" s="17" t="str">
        <x:v>G2</x:v>
      </x:c>
      <x:c r="D16" s="31" t="n">
        <x:f>'Reception'!H16</x:f>
        <x:v>3.732634041476986</x:v>
      </x:c>
      <x:c r="E16" s="31" t="n">
        <x:f>'Onward'!J16</x:f>
        <x:v>1.7768740515933235</x:v>
      </x:c>
      <x:c r="F16" s="31" t="n">
        <x:f>'Responder Bases'!K16</x:f>
        <x:v>1.266060545509042</x:v>
      </x:c>
      <x:c r="G16" s="31" t="n">
        <x:f>'Sustainment'!J16</x:f>
        <x:v>1.0692233940556088</x:v>
      </x:c>
      <x:c r="H16" s="31" t="n">
        <x:f>MIN(D16:G16)</x:f>
        <x:v>1.0692233940556088</x:v>
      </x:c>
      <x:c r="I16" s="18" t="str">
        <x:f>IF(H16=D16,"Reception",IF(H16=E16,"Onward",IF(H16=F16,"Responder base","Sustainment")))</x:f>
        <x:v>Sustainment</x:v>
      </x:c>
      <x:c r="J16" s="18" t="str">
        <x:f>IF(H16&gt;=1,"PASS","FAIL")</x:f>
        <x:v>PASS</x:v>
      </x:c>
      <x:c r="K16" s="31" t="n">
        <x:f>'Reception'!K16</x:f>
        <x:v>2.0529487228123426</x:v>
      </x:c>
      <x:c r="L16" s="31" t="n">
        <x:f>'Onward'!M16</x:f>
        <x:v>1.421499241274659</x:v>
      </x:c>
      <x:c r="M16" s="31" t="n">
        <x:f>'Responder Bases'!N16</x:f>
        <x:v>1.240739334598861</x:v>
      </x:c>
      <x:c r="N16" s="31" t="n">
        <x:f>'Sustainment'!M16</x:f>
        <x:v>1.0157622243528284</x:v>
      </x:c>
      <x:c r="O16" s="31" t="n">
        <x:f>MIN(K16:N16)</x:f>
        <x:v>1.0157622243528284</x:v>
      </x:c>
      <x:c r="P16" s="18" t="str">
        <x:f>IF(O16&gt;=1,"PASS","FAIL")</x:f>
        <x:v>PASS</x:v>
      </x:c>
      <x:c r="Q16" s="38"/>
    </x:row>
  </x:sheetData>
  <x:conditionalFormatting sqref="J7:J16">
    <x:cfRule type="containsText" dxfId="18" priority="1" operator="containsText" text="PASS"/>
    <x:cfRule type="containsText" dxfId="19" priority="2" operator="containsText" text="FAIL"/>
    <x:cfRule type="containsText" dxfId="20" priority="3" operator="containsText" text="OPEN"/>
  </x:conditionalFormatting>
  <x:conditionalFormatting sqref="P7:P16">
    <x:cfRule type="containsText" dxfId="21" priority="4" operator="containsText" text="PASS"/>
    <x:cfRule type="containsText" dxfId="22" priority="5" operator="containsText" text="FAIL"/>
    <x:cfRule type="containsText" dxfId="23" priority="6" operator="containsText" text="OPEN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8" hidden="0" customWidth="1"/>
    <x:col min="5" max="5" width="18" hidden="0" customWidth="1"/>
    <x:col min="6" max="6" width="17" hidden="0" customWidth="1"/>
    <x:col min="7" max="7" width="16" hidden="0" customWidth="1"/>
    <x:col min="8" max="8" width="82" hidden="0" customWidth="1"/>
  </x:cols>
  <x:sheetData>
    <x:row r="2">
      <x:c r="C2" s="2" t="str">
        <x:v>Correlated Primary-Path-Loss Case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C3" s="5" t="str">
        <x:v>Deterministic design stress: the largest entry path and connected host services are lost together. This is not a probability estimate.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 ht="24" hidden="0" customHeight="1">
      <x:c r="C6" s="13" t="str">
        <x:v>Campaign</x:v>
      </x:c>
      <x:c r="D6" s="13" t="str">
        <x:v>Reference minimum</x:v>
      </x:c>
      <x:c r="E6" s="13" t="str">
        <x:v>Degraded minimum</x:v>
      </x:c>
      <x:c r="F6" s="13" t="str">
        <x:v>Loss of margin</x:v>
      </x:c>
      <x:c r="G6" s="13" t="str">
        <x:v>Degraded status</x:v>
      </x:c>
      <x:c r="H6" s="13" t="str">
        <x:v>Interpretation</x:v>
      </x:c>
      <x:c r="I6" s="38"/>
      <x:c r="J6" s="38"/>
      <x:c r="K6" s="38"/>
      <x:c r="L6" s="38"/>
      <x:c r="M6" s="38"/>
      <x:c r="N6" s="38"/>
      <x:c r="O6" s="38"/>
    </x:row>
    <x:row r="7" ht="48" hidden="0" customHeight="1">
      <x:c r="C7" s="17" t="str">
        <x:v>C1</x:v>
      </x:c>
      <x:c r="D7" s="31" t="n">
        <x:f>'End-to-End'!H7</x:f>
        <x:v>1.4482420278004906</x:v>
      </x:c>
      <x:c r="E7" s="31" t="n">
        <x:f>'End-to-End'!O7</x:f>
        <x:v>1.2310057236304168</x:v>
      </x:c>
      <x:c r="F7" s="31" t="n">
        <x:f>D7-E7</x:f>
        <x:v>0.21723630417007378</x:v>
      </x:c>
      <x:c r="G7" s="18" t="str">
        <x:f>'End-to-End'!P7</x:f>
        <x:v>PASS</x:v>
      </x:c>
      <x:c r="H7" s="17" t="str">
        <x:v>Continental alternates preserve closure</x:v>
      </x:c>
      <x:c r="I7" s="38"/>
      <x:c r="J7" s="38"/>
      <x:c r="K7" s="38"/>
      <x:c r="L7" s="38"/>
      <x:c r="M7" s="38"/>
      <x:c r="N7" s="38"/>
      <x:c r="O7" s="38"/>
    </x:row>
    <x:row r="8" ht="48" hidden="0" customHeight="1">
      <x:c r="C8" s="17" t="str">
        <x:v>C2</x:v>
      </x:c>
      <x:c r="D8" s="31" t="n">
        <x:f>'End-to-End'!H8</x:f>
        <x:v>1.228537455410226</x:v>
      </x:c>
      <x:c r="E8" s="31" t="n">
        <x:f>'End-to-End'!O8</x:f>
        <x:v>1.044256837098692</x:v>
      </x:c>
      <x:c r="F8" s="31" t="n">
        <x:f>D8-E8</x:f>
        <x:v>0.18428061831153397</x:v>
      </x:c>
      <x:c r="G8" s="18" t="str">
        <x:f>'End-to-End'!P8</x:f>
        <x:v>PASS</x:v>
      </x:c>
      <x:c r="H8" s="17" t="str">
        <x:v>Forecast staging preserves closure</x:v>
      </x:c>
      <x:c r="I8" s="38"/>
      <x:c r="J8" s="38"/>
      <x:c r="K8" s="38"/>
      <x:c r="L8" s="38"/>
      <x:c r="M8" s="38"/>
      <x:c r="N8" s="38"/>
      <x:c r="O8" s="38"/>
    </x:row>
    <x:row r="9" ht="72" hidden="0" customHeight="1">
      <x:c r="C9" s="17" t="str">
        <x:v>C3</x:v>
      </x:c>
      <x:c r="D9" s="31" t="n">
        <x:f>'End-to-End'!H9</x:f>
        <x:v>1.0923623445825932</x:v>
      </x:c>
      <x:c r="E9" s="31" t="n">
        <x:f>'End-to-End'!O9</x:f>
        <x:v>0.7646536412078153</x:v>
      </x:c>
      <x:c r="F9" s="31" t="n">
        <x:f>D9-E9</x:f>
        <x:v>0.32770870337477787</x:v>
      </x:c>
      <x:c r="G9" s="18" t="str">
        <x:f>'End-to-End'!P9</x:f>
        <x:v>FAIL</x:v>
      </x:c>
      <x:c r="H9" s="17" t="str">
        <x:v>Pacific Northwest corridor and base redundancy insufficient</x:v>
      </x:c>
      <x:c r="I9" s="38"/>
      <x:c r="J9" s="38"/>
      <x:c r="K9" s="38"/>
      <x:c r="L9" s="38"/>
      <x:c r="M9" s="38"/>
      <x:c r="N9" s="38"/>
      <x:c r="O9" s="38"/>
    </x:row>
    <x:row r="10" ht="48" hidden="0" customHeight="1">
      <x:c r="C10" s="17" t="str">
        <x:v>M1</x:v>
      </x:c>
      <x:c r="D10" s="31" t="n">
        <x:f>'End-to-End'!H10</x:f>
        <x:v>1.1325071496663488</x:v>
      </x:c>
      <x:c r="E10" s="31" t="n">
        <x:f>'End-to-End'!O10</x:f>
        <x:v>1.0362383531960997</x:v>
      </x:c>
      <x:c r="F10" s="31" t="n">
        <x:f>D10-E10</x:f>
        <x:v>0.09626879647024911</x:v>
      </x:c>
      <x:c r="G10" s="18" t="str">
        <x:f>'End-to-End'!P10</x:f>
        <x:v>PASS</x:v>
      </x:c>
      <x:c r="H10" s="17" t="str">
        <x:v>Distributed paths preserve closure</x:v>
      </x:c>
      <x:c r="I10" s="38"/>
      <x:c r="J10" s="38"/>
      <x:c r="K10" s="38"/>
      <x:c r="L10" s="38"/>
      <x:c r="M10" s="38"/>
      <x:c r="N10" s="38"/>
      <x:c r="O10" s="38"/>
    </x:row>
    <x:row r="11" ht="60" hidden="0" customHeight="1">
      <x:c r="C11" s="17" t="str">
        <x:v>M2</x:v>
      </x:c>
      <x:c r="D11" s="31" t="n">
        <x:f>'End-to-End'!H11</x:f>
        <x:v>1.0259329747621018</x:v>
      </x:c>
      <x:c r="E11" s="31" t="n">
        <x:f>'End-to-End'!O11</x:f>
        <x:v>1.0054143152668598</x:v>
      </x:c>
      <x:c r="F11" s="31" t="n">
        <x:f>D11-E11</x:f>
        <x:v>0.02051865949524201</x:v>
      </x:c>
      <x:c r="G11" s="18" t="str">
        <x:f>'End-to-End'!P11</x:f>
        <x:v>PASS</x:v>
      </x:c>
      <x:c r="H11" s="17" t="str">
        <x:v>Prepared metro access preserves closure</x:v>
      </x:c>
      <x:c r="I11" s="38"/>
      <x:c r="J11" s="38"/>
      <x:c r="K11" s="38"/>
      <x:c r="L11" s="38"/>
      <x:c r="M11" s="38"/>
      <x:c r="N11" s="38"/>
      <x:c r="O11" s="38"/>
    </x:row>
    <x:row r="12" ht="48" hidden="0" customHeight="1">
      <x:c r="C12" s="17" t="str">
        <x:v>M3</x:v>
      </x:c>
      <x:c r="D12" s="31" t="n">
        <x:f>'End-to-End'!H12</x:f>
        <x:v>1.1892748324192564</x:v>
      </x:c>
      <x:c r="E12" s="31" t="n">
        <x:f>'End-to-End'!O12</x:f>
        <x:v>1.0108836075563679</x:v>
      </x:c>
      <x:c r="F12" s="31" t="n">
        <x:f>D12-E12</x:f>
        <x:v>0.1783912248628885</x:v>
      </x:c>
      <x:c r="G12" s="18" t="str">
        <x:f>'End-to-End'!P12</x:f>
        <x:v>PASS</x:v>
      </x:c>
      <x:c r="H12" s="17" t="str">
        <x:v>Waterway alternatives preserve closure</x:v>
      </x:c>
      <x:c r="I12" s="38"/>
      <x:c r="J12" s="38"/>
      <x:c r="K12" s="38"/>
      <x:c r="L12" s="38"/>
      <x:c r="M12" s="38"/>
      <x:c r="N12" s="38"/>
      <x:c r="O12" s="38"/>
    </x:row>
    <x:row r="13" ht="48" hidden="0" customHeight="1">
      <x:c r="C13" s="17" t="str">
        <x:v>M4</x:v>
      </x:c>
      <x:c r="D13" s="31" t="n">
        <x:f>'End-to-End'!H13</x:f>
        <x:v>1.2423319717786854</x:v>
      </x:c>
      <x:c r="E13" s="31" t="n">
        <x:f>'End-to-End'!O13</x:f>
        <x:v>1.0559821760118826</x:v>
      </x:c>
      <x:c r="F13" s="31" t="n">
        <x:f>D13-E13</x:f>
        <x:v>0.18634979576680277</x:v>
      </x:c>
      <x:c r="G13" s="18" t="str">
        <x:f>'End-to-End'!P13</x:f>
        <x:v>PASS</x:v>
      </x:c>
      <x:c r="H13" s="17" t="str">
        <x:v>Distributed terminals preserve closure</x:v>
      </x:c>
      <x:c r="I13" s="38"/>
      <x:c r="J13" s="38"/>
      <x:c r="K13" s="38"/>
      <x:c r="L13" s="38"/>
      <x:c r="M13" s="38"/>
      <x:c r="N13" s="38"/>
      <x:c r="O13" s="38"/>
    </x:row>
    <x:row r="14" ht="48" hidden="0" customHeight="1">
      <x:c r="C14" s="17" t="str">
        <x:v>M5</x:v>
      </x:c>
      <x:c r="D14" s="31" t="n">
        <x:f>'End-to-End'!H14</x:f>
        <x:v>1.4389677419354838</x:v>
      </x:c>
      <x:c r="E14" s="31" t="n">
        <x:f>'End-to-End'!O14</x:f>
        <x:v>1.2231225806451613</x:v>
      </x:c>
      <x:c r="F14" s="31" t="n">
        <x:f>D14-E14</x:f>
        <x:v>0.2158451612903225</x:v>
      </x:c>
      <x:c r="G14" s="18" t="str">
        <x:f>'End-to-End'!P14</x:f>
        <x:v>PASS</x:v>
      </x:c>
      <x:c r="H14" s="17" t="str">
        <x:v>Maritime bridge retains margin</x:v>
      </x:c>
      <x:c r="I14" s="38"/>
      <x:c r="J14" s="38"/>
      <x:c r="K14" s="38"/>
      <x:c r="L14" s="38"/>
      <x:c r="M14" s="38"/>
      <x:c r="N14" s="38"/>
      <x:c r="O14" s="38"/>
    </x:row>
    <x:row r="15" ht="60" hidden="0" customHeight="1">
      <x:c r="C15" s="17" t="str">
        <x:v>G1</x:v>
      </x:c>
      <x:c r="D15" s="31" t="n">
        <x:f>'End-to-End'!H15</x:f>
        <x:v>1.0933333333333333</x:v>
      </x:c>
      <x:c r="E15" s="31" t="n">
        <x:f>'End-to-End'!O15</x:f>
        <x:v>0.7653333333333333</x:v>
      </x:c>
      <x:c r="F15" s="31" t="n">
        <x:f>D15-E15</x:f>
        <x:v>0.32799999999999996</x:v>
      </x:c>
      <x:c r="G15" s="18" t="str">
        <x:f>'End-to-End'!P15</x:f>
        <x:v>FAIL</x:v>
      </x:c>
      <x:c r="H15" s="17" t="str">
        <x:v>Partner-node and responder-base depth insufficient</x:v>
      </x:c>
      <x:c r="I15" s="38"/>
      <x:c r="J15" s="38"/>
      <x:c r="K15" s="38"/>
      <x:c r="L15" s="38"/>
      <x:c r="M15" s="38"/>
      <x:c r="N15" s="38"/>
      <x:c r="O15" s="38"/>
    </x:row>
    <x:row r="16" ht="60" hidden="0" customHeight="1">
      <x:c r="C16" s="17" t="str">
        <x:v>G2</x:v>
      </x:c>
      <x:c r="D16" s="31" t="n">
        <x:f>'End-to-End'!H16</x:f>
        <x:v>1.0692233940556088</x:v>
      </x:c>
      <x:c r="E16" s="31" t="n">
        <x:f>'End-to-End'!O16</x:f>
        <x:v>1.0157622243528284</x:v>
      </x:c>
      <x:c r="F16" s="31" t="n">
        <x:f>D16-E16</x:f>
        <x:v>0.053461169702780476</x:v>
      </x:c>
      <x:c r="G16" s="18" t="str">
        <x:f>'End-to-End'!P16</x:f>
        <x:v>PASS</x:v>
      </x:c>
      <x:c r="H16" s="17" t="str">
        <x:v>Multinode regional architecture preserves closure</x:v>
      </x:c>
      <x:c r="I16" s="38"/>
      <x:c r="J16" s="38"/>
      <x:c r="K16" s="38"/>
      <x:c r="L16" s="38"/>
      <x:c r="M16" s="38"/>
      <x:c r="N16" s="38"/>
      <x:c r="O16" s="38"/>
    </x:row>
  </x:sheetData>
  <x:conditionalFormatting sqref="G7:G16">
    <x:cfRule type="containsText" dxfId="24" priority="1" operator="containsText" text="PASS"/>
    <x:cfRule type="containsText" dxfId="25" priority="2" operator="containsText" text="FAIL"/>
    <x:cfRule type="containsText" dxfId="26" priority="3" operator="containsText" text="OPEN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38" hidden="0" customWidth="1"/>
    <x:col min="5" max="5" width="13" hidden="0" customWidth="1"/>
    <x:col min="6" max="6" width="18" hidden="0" customWidth="1"/>
    <x:col min="7" max="7" width="18" hidden="0" customWidth="1"/>
    <x:col min="8" max="8" width="68" hidden="0" customWidth="1"/>
  </x:cols>
  <x:sheetData>
    <x:row r="2">
      <x:c r="C2" s="2" t="str">
        <x:v>Deployment Enterprise Force Structure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Eleven Pass 23 formation families constitute the standing entry, movement and sustainment enterprise.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WBS</x:v>
      </x:c>
      <x:c r="D6" s="13" t="str">
        <x:v>Formation</x:v>
      </x:c>
      <x:c r="E6" s="13" t="str">
        <x:v>Inventory</x:v>
      </x:c>
      <x:c r="F6" s="13" t="str">
        <x:v>Direct billets</x:v>
      </x:c>
      <x:c r="G6" s="13" t="str">
        <x:v>Pass 23 capital $B</x:v>
      </x:c>
      <x:c r="H6" s="13" t="str">
        <x:v>Role in chain</x:v>
      </x:c>
      <x:c r="I6" s="38"/>
      <x:c r="J6" s="38"/>
      <x:c r="K6" s="38"/>
      <x:c r="L6" s="38"/>
      <x:c r="M6" s="38"/>
    </x:row>
    <x:row r="7" ht="36" hidden="0" customHeight="1">
      <x:c r="C7" s="23" t="str">
        <x:v>A-SMW</x:v>
      </x:c>
      <x:c r="D7" s="23" t="str">
        <x:v>Strategic mobility wing</x:v>
      </x:c>
      <x:c r="E7" s="25" t="n">
        <x:v>58</x:v>
      </x:c>
      <x:c r="F7" s="25" t="n">
        <x:v>156600</x:v>
      </x:c>
      <x:c r="G7" s="30" t="n">
        <x:v>464</x:v>
      </x:c>
      <x:c r="H7" s="23" t="str">
        <x:v>Strategic air movement</x:v>
      </x:c>
      <x:c r="I7" s="38"/>
      <x:c r="J7" s="38"/>
      <x:c r="K7" s="38"/>
      <x:c r="L7" s="38"/>
      <x:c r="M7" s="38"/>
    </x:row>
    <x:row r="8" ht="48" hidden="0" customHeight="1">
      <x:c r="C8" s="23" t="str">
        <x:v>A-AAG</x:v>
      </x:c>
      <x:c r="D8" s="23" t="str">
        <x:v>Austere air-access group</x:v>
      </x:c>
      <x:c r="E8" s="25" t="n">
        <x:v>67</x:v>
      </x:c>
      <x:c r="F8" s="25" t="n">
        <x:v>70350</x:v>
      </x:c>
      <x:c r="G8" s="30" t="n">
        <x:v>167.5</x:v>
      </x:c>
      <x:c r="H8" s="23" t="str">
        <x:v>Open damaged and austere airfields</x:v>
      </x:c>
      <x:c r="I8" s="38"/>
      <x:c r="J8" s="38"/>
      <x:c r="K8" s="38"/>
      <x:c r="L8" s="38"/>
      <x:c r="M8" s="38"/>
    </x:row>
    <x:row r="9" ht="36" hidden="0" customHeight="1">
      <x:c r="C9" s="23" t="str">
        <x:v>A-TDG</x:v>
      </x:c>
      <x:c r="D9" s="23" t="str">
        <x:v>Tactical distribution group</x:v>
      </x:c>
      <x:c r="E9" s="25" t="n">
        <x:v>108</x:v>
      </x:c>
      <x:c r="F9" s="25" t="n">
        <x:v>145800</x:v>
      </x:c>
      <x:c r="G9" s="30" t="n">
        <x:v>324</x:v>
      </x:c>
      <x:c r="H9" s="23" t="str">
        <x:v>Hub-to-need movement</x:v>
      </x:c>
      <x:c r="I9" s="38"/>
      <x:c r="J9" s="38"/>
      <x:c r="K9" s="38"/>
      <x:c r="L9" s="38"/>
      <x:c r="M9" s="38"/>
    </x:row>
    <x:row r="10" ht="48" hidden="0" customHeight="1">
      <x:c r="C10" s="23" t="str">
        <x:v>M-POG</x:v>
      </x:c>
      <x:c r="D10" s="23" t="str">
        <x:v>Port-opening group</x:v>
      </x:c>
      <x:c r="E10" s="25" t="n">
        <x:v>60</x:v>
      </x:c>
      <x:c r="F10" s="25" t="n">
        <x:v>81000</x:v>
      </x:c>
      <x:c r="G10" s="30" t="n">
        <x:v>180</x:v>
      </x:c>
      <x:c r="H10" s="23" t="str">
        <x:v>Open and operate damaged ports</x:v>
      </x:c>
      <x:c r="I10" s="38"/>
      <x:c r="J10" s="38"/>
      <x:c r="K10" s="38"/>
      <x:c r="L10" s="38"/>
      <x:c r="M10" s="38"/>
    </x:row>
    <x:row r="11" ht="60" hidden="0" customHeight="1">
      <x:c r="C11" s="23" t="str">
        <x:v>M-LAG</x:v>
      </x:c>
      <x:c r="D11" s="23" t="str">
        <x:v>Littoral-access group</x:v>
      </x:c>
      <x:c r="E11" s="25" t="n">
        <x:v>69</x:v>
      </x:c>
      <x:c r="F11" s="25" t="n">
        <x:v>72450</x:v>
      </x:c>
      <x:c r="G11" s="30" t="n">
        <x:v>138</x:v>
      </x:c>
      <x:c r="H11" s="23" t="str">
        <x:v>Bridge ship-to-shore and damaged quays</x:v>
      </x:c>
      <x:c r="I11" s="38"/>
      <x:c r="J11" s="38"/>
      <x:c r="K11" s="38"/>
      <x:c r="L11" s="38"/>
      <x:c r="M11" s="38"/>
    </x:row>
    <x:row r="12" ht="48" hidden="0" customHeight="1">
      <x:c r="C12" s="23" t="str">
        <x:v>M-IWG</x:v>
      </x:c>
      <x:c r="D12" s="23" t="str">
        <x:v>Inland-waterway group</x:v>
      </x:c>
      <x:c r="E12" s="25" t="n">
        <x:v>54</x:v>
      </x:c>
      <x:c r="F12" s="25" t="n">
        <x:v>40500</x:v>
      </x:c>
      <x:c r="G12" s="30" t="n">
        <x:v>81</x:v>
      </x:c>
      <x:c r="H12" s="23" t="str">
        <x:v>Use rivers and lakes as access corridors</x:v>
      </x:c>
      <x:c r="I12" s="38"/>
      <x:c r="J12" s="38"/>
      <x:c r="K12" s="38"/>
      <x:c r="L12" s="38"/>
      <x:c r="M12" s="38"/>
    </x:row>
    <x:row r="13" ht="60" hidden="0" customHeight="1">
      <x:c r="C13" s="23" t="str">
        <x:v>M-OSG</x:v>
      </x:c>
      <x:c r="D13" s="23" t="str">
        <x:v>Offshore-support group</x:v>
      </x:c>
      <x:c r="E13" s="25" t="n">
        <x:v>45</x:v>
      </x:c>
      <x:c r="F13" s="25" t="n">
        <x:v>94500</x:v>
      </x:c>
      <x:c r="G13" s="30" t="n">
        <x:v>315</x:v>
      </x:c>
      <x:c r="H13" s="23" t="str">
        <x:v>Afloat repair, stores and responder support</x:v>
      </x:c>
      <x:c r="I13" s="38"/>
      <x:c r="J13" s="38"/>
      <x:c r="K13" s="38"/>
      <x:c r="L13" s="38"/>
      <x:c r="M13" s="38"/>
    </x:row>
    <x:row r="14" ht="60" hidden="0" customHeight="1">
      <x:c r="C14" s="23" t="str">
        <x:v>M-SSG</x:v>
      </x:c>
      <x:c r="D14" s="23" t="str">
        <x:v>Ocean sustainment group</x:v>
      </x:c>
      <x:c r="E14" s="25" t="n">
        <x:v>71</x:v>
      </x:c>
      <x:c r="F14" s="25" t="n">
        <x:v>138450</x:v>
      </x:c>
      <x:c r="G14" s="30" t="n">
        <x:v>639</x:v>
      </x:c>
      <x:c r="H14" s="23" t="str">
        <x:v>Strategic sealift, replenishment and retrograde</x:v>
      </x:c>
      <x:c r="I14" s="38"/>
      <x:c r="J14" s="38"/>
      <x:c r="K14" s="38"/>
      <x:c r="L14" s="38"/>
      <x:c r="M14" s="38"/>
    </x:row>
    <x:row r="15" ht="60" hidden="0" customHeight="1">
      <x:c r="C15" s="23" t="str">
        <x:v>L-ROG</x:v>
      </x:c>
      <x:c r="D15" s="23" t="str">
        <x:v>Access and route-opening group</x:v>
      </x:c>
      <x:c r="E15" s="25" t="n">
        <x:v>121</x:v>
      </x:c>
      <x:c r="F15" s="25" t="n">
        <x:v>110110</x:v>
      </x:c>
      <x:c r="G15" s="30" t="n">
        <x:v>145.2</x:v>
      </x:c>
      <x:c r="H15" s="23" t="str">
        <x:v>Open roads, bridges and rail corridors</x:v>
      </x:c>
      <x:c r="I15" s="38"/>
      <x:c r="J15" s="38"/>
      <x:c r="K15" s="38"/>
      <x:c r="L15" s="38"/>
      <x:c r="M15" s="38"/>
    </x:row>
    <x:row r="16" ht="72" hidden="0" customHeight="1">
      <x:c r="C16" s="23" t="str">
        <x:v>J-TOC</x:v>
      </x:c>
      <x:c r="D16" s="23" t="str">
        <x:v>Theater-opening command</x:v>
      </x:c>
      <x:c r="E16" s="25" t="n">
        <x:v>36</x:v>
      </x:c>
      <x:c r="F16" s="25" t="n">
        <x:v>54000</x:v>
      </x:c>
      <x:c r="G16" s="30" t="n">
        <x:v>43.2</x:v>
      </x:c>
      <x:c r="H16" s="23" t="str">
        <x:v>Integrate entry, authority, effects and responder bases</x:v>
      </x:c>
      <x:c r="I16" s="38"/>
      <x:c r="J16" s="38"/>
      <x:c r="K16" s="38"/>
      <x:c r="L16" s="38"/>
      <x:c r="M16" s="38"/>
    </x:row>
    <x:row r="17" ht="72" hidden="0" customHeight="1">
      <x:c r="C17" s="23" t="str">
        <x:v>J-TSC</x:v>
      </x:c>
      <x:c r="D17" s="23" t="str">
        <x:v>Theater sustainment command</x:v>
      </x:c>
      <x:c r="E17" s="25" t="n">
        <x:v>51</x:v>
      </x:c>
      <x:c r="F17" s="25" t="n">
        <x:v>114750</x:v>
      </x:c>
      <x:c r="G17" s="30" t="n">
        <x:v>76.5</x:v>
      </x:c>
      <x:c r="H17" s="23" t="str">
        <x:v>Control onward movement, sustainment and reverse flow</x:v>
      </x:c>
      <x:c r="I17" s="38"/>
      <x:c r="J17" s="38"/>
      <x:c r="K17" s="38"/>
      <x:c r="L17" s="38"/>
      <x:c r="M17" s="38"/>
    </x:row>
    <x:row r="18"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</x:row>
    <x:row r="19"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</x:row>
    <x:row r="20">
      <x:c r="C20" s="8" t="str">
        <x:v>Reconciliation</x:v>
      </x:c>
      <x:c r="D20" s="8"/>
      <x:c r="E20" s="8"/>
      <x:c r="F20" s="8"/>
      <x:c r="G20" s="8"/>
      <x:c r="H20" s="8"/>
      <x:c r="I20" s="38"/>
      <x:c r="J20" s="38"/>
      <x:c r="K20" s="38"/>
      <x:c r="L20" s="38"/>
      <x:c r="M20" s="38"/>
    </x:row>
    <x:row r="21" ht="15" hidden="0" customHeight="1">
      <x:c r="C21" s="13" t="str">
        <x:v>Measure</x:v>
      </x:c>
      <x:c r="D21" s="13" t="str">
        <x:v>Value</x:v>
      </x:c>
      <x:c r="E21" s="13" t="str">
        <x:v>Unit</x:v>
      </x:c>
      <x:c r="F21" s="13" t="str">
        <x:v>Boundary</x:v>
      </x:c>
      <x:c r="G21" s="38"/>
      <x:c r="H21" s="38"/>
      <x:c r="I21" s="38"/>
      <x:c r="J21" s="38"/>
      <x:c r="K21" s="38"/>
      <x:c r="L21" s="38"/>
      <x:c r="M21" s="38"/>
    </x:row>
    <x:row r="22" ht="36" hidden="0" customHeight="1">
      <x:c r="C22" s="17" t="str">
        <x:v>Formation families</x:v>
      </x:c>
      <x:c r="D22" s="19" t="n">
        <x:f>COUNTA(C7:C17)</x:f>
        <x:v>11</x:v>
      </x:c>
      <x:c r="E22" s="17" t="str">
        <x:v>lines</x:v>
      </x:c>
      <x:c r="F22" s="17" t="str">
        <x:v>Subset of 34 Pass 23 families</x:v>
      </x:c>
      <x:c r="G22" s="38"/>
      <x:c r="H22" s="38"/>
      <x:c r="I22" s="38"/>
      <x:c r="J22" s="38"/>
      <x:c r="K22" s="38"/>
      <x:c r="L22" s="38"/>
      <x:c r="M22" s="38"/>
    </x:row>
    <x:row r="23" ht="48" hidden="0" customHeight="1">
      <x:c r="C23" s="17" t="str">
        <x:v>Direct billets</x:v>
      </x:c>
      <x:c r="D23" s="19" t="n">
        <x:f>SUM(F7:F17)</x:f>
        <x:v>1078510</x:v>
      </x:c>
      <x:c r="E23" s="17" t="str">
        <x:v>billet-equivalents</x:v>
      </x:c>
      <x:c r="F23" s="17" t="str">
        <x:v>Before allocated institutional overhead</x:v>
      </x:c>
      <x:c r="G23" s="38"/>
      <x:c r="H23" s="38"/>
      <x:c r="I23" s="38"/>
      <x:c r="J23" s="38"/>
      <x:c r="K23" s="38"/>
      <x:c r="L23" s="38"/>
      <x:c r="M23" s="38"/>
    </x:row>
    <x:row r="24" ht="60" hidden="0" customHeight="1">
      <x:c r="C24" s="17" t="str">
        <x:v>Formation capital</x:v>
      </x:c>
      <x:c r="D24" s="19" t="n">
        <x:f>SUM(G7:G17)</x:f>
        <x:v>2573.3999999999996</x:v>
      </x:c>
      <x:c r="E24" s="17" t="str">
        <x:v>$B</x:v>
      </x:c>
      <x:c r="F24" s="17" t="str">
        <x:v>Inside Pass 23 non-NUPS formation acquisition</x:v>
      </x:c>
      <x:c r="G24" s="38"/>
      <x:c r="H24" s="38"/>
      <x:c r="I24" s="38"/>
      <x:c r="J24" s="38"/>
      <x:c r="K24" s="38"/>
      <x:c r="L24" s="38"/>
      <x:c r="M24" s="38"/>
    </x:row>
  </x:sheetData>
  <x:mergeCells>
    <x:mergeCell ref="C20:H20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44" hidden="0" customWidth="1"/>
    <x:col min="5" max="5" width="12" hidden="0" customWidth="1"/>
    <x:col min="6" max="6" width="18" hidden="0" customWidth="1"/>
    <x:col min="7" max="7" width="20" hidden="0" customWidth="1"/>
    <x:col min="8" max="8" width="66" hidden="0" customWidth="1"/>
  </x:cols>
  <x:sheetData>
    <x:row r="2">
      <x:c r="C2" s="2" t="str">
        <x:v>Purpose-Built Asset Build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C3" s="5" t="str">
        <x:v>Illustrative platform and system quantities allocated to the eleven formation budgets. No rendering or configuration claim.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  <x:row r="6" ht="36" hidden="0" customHeight="1">
      <x:c r="C6" s="13" t="str">
        <x:v>Source WBS</x:v>
      </x:c>
      <x:c r="D6" s="13" t="str">
        <x:v>Asset / system class</x:v>
      </x:c>
      <x:c r="E6" s="13" t="str">
        <x:v>Quantity</x:v>
      </x:c>
      <x:c r="F6" s="13" t="str">
        <x:v>Unit capital $B</x:v>
      </x:c>
      <x:c r="G6" s="13" t="str">
        <x:v>Extended capital $B</x:v>
      </x:c>
      <x:c r="H6" s="13" t="str">
        <x:v>Operational function</x:v>
      </x:c>
      <x:c r="I6" s="38"/>
      <x:c r="J6" s="38"/>
      <x:c r="K6" s="38"/>
      <x:c r="L6" s="38"/>
      <x:c r="M6" s="38"/>
      <x:c r="N6" s="38"/>
    </x:row>
    <x:row r="7" ht="24" hidden="0" customHeight="1">
      <x:c r="C7" s="23" t="str">
        <x:v>A-SMW</x:v>
      </x:c>
      <x:c r="D7" s="23" t="str">
        <x:v>Long-range heavy lifter</x:v>
      </x:c>
      <x:c r="E7" s="25" t="n">
        <x:v>464</x:v>
      </x:c>
      <x:c r="F7" s="30" t="n">
        <x:v>0.45</x:v>
      </x:c>
      <x:c r="G7" s="21" t="n">
        <x:f>E7*F7</x:f>
        <x:v>208.8</x:v>
      </x:c>
      <x:c r="H7" s="17" t="str">
        <x:v>Urgent strategic air</x:v>
      </x:c>
      <x:c r="I7" s="38"/>
      <x:c r="J7" s="38"/>
      <x:c r="K7" s="38"/>
      <x:c r="L7" s="38"/>
      <x:c r="M7" s="38"/>
      <x:c r="N7" s="38"/>
    </x:row>
    <x:row r="8" ht="48" hidden="0" customHeight="1">
      <x:c r="C8" s="23" t="str">
        <x:v>A-SMW</x:v>
      </x:c>
      <x:c r="D8" s="23" t="str">
        <x:v>Medium short-field strategic lifter</x:v>
      </x:c>
      <x:c r="E8" s="25" t="n">
        <x:v>696</x:v>
      </x:c>
      <x:c r="F8" s="30" t="n">
        <x:v>0.18</x:v>
      </x:c>
      <x:c r="G8" s="21" t="n">
        <x:f>E8*F8</x:f>
        <x:v>125.28</x:v>
      </x:c>
      <x:c r="H8" s="17" t="str">
        <x:v>Austere and regional air</x:v>
      </x:c>
      <x:c r="I8" s="38"/>
      <x:c r="J8" s="38"/>
      <x:c r="K8" s="38"/>
      <x:c r="L8" s="38"/>
      <x:c r="M8" s="38"/>
      <x:c r="N8" s="38"/>
    </x:row>
    <x:row r="9" ht="48" hidden="0" customHeight="1">
      <x:c r="C9" s="23" t="str">
        <x:v>A-SMW</x:v>
      </x:c>
      <x:c r="D9" s="23" t="str">
        <x:v>Autonomous heavy cargo aircraft</x:v>
      </x:c>
      <x:c r="E9" s="25" t="n">
        <x:v>2320</x:v>
      </x:c>
      <x:c r="F9" s="30" t="n">
        <x:v>0.035</x:v>
      </x:c>
      <x:c r="G9" s="21" t="n">
        <x:f>E9*F9</x:f>
        <x:v>81.2</x:v>
      </x:c>
      <x:c r="H9" s="17" t="str">
        <x:v>Novel distributed air movement</x:v>
      </x:c>
      <x:c r="I9" s="38"/>
      <x:c r="J9" s="38"/>
      <x:c r="K9" s="38"/>
      <x:c r="L9" s="38"/>
      <x:c r="M9" s="38"/>
      <x:c r="N9" s="38"/>
    </x:row>
    <x:row r="10" ht="48" hidden="0" customHeight="1">
      <x:c r="C10" s="23" t="str">
        <x:v>A-SMW</x:v>
      </x:c>
      <x:c r="D10" s="23" t="str">
        <x:v>Wing maintenance / loading system</x:v>
      </x:c>
      <x:c r="E10" s="25" t="n">
        <x:v>58</x:v>
      </x:c>
      <x:c r="F10" s="30" t="n">
        <x:v>0.84</x:v>
      </x:c>
      <x:c r="G10" s="21" t="n">
        <x:f>E10*F10</x:f>
        <x:v>48.72</x:v>
      </x:c>
      <x:c r="H10" s="17" t="str">
        <x:v>Depot, loading and readiness package</x:v>
      </x:c>
      <x:c r="I10" s="38"/>
      <x:c r="J10" s="38"/>
      <x:c r="K10" s="38"/>
      <x:c r="L10" s="38"/>
      <x:c r="M10" s="38"/>
      <x:c r="N10" s="38"/>
    </x:row>
    <x:row r="11" ht="48" hidden="0" customHeight="1">
      <x:c r="C11" s="23" t="str">
        <x:v>A-AAG</x:v>
      </x:c>
      <x:c r="D11" s="23" t="str">
        <x:v>Airfield opening core</x:v>
      </x:c>
      <x:c r="E11" s="25" t="n">
        <x:v>67</x:v>
      </x:c>
      <x:c r="F11" s="30" t="n">
        <x:v>1</x:v>
      </x:c>
      <x:c r="G11" s="21" t="n">
        <x:f>E11*F11</x:f>
        <x:v>67</x:v>
      </x:c>
      <x:c r="H11" s="17" t="str">
        <x:v>Assessment, command and airfield operations</x:v>
      </x:c>
      <x:c r="I11" s="38"/>
      <x:c r="J11" s="38"/>
      <x:c r="K11" s="38"/>
      <x:c r="L11" s="38"/>
      <x:c r="M11" s="38"/>
      <x:c r="N11" s="38"/>
    </x:row>
    <x:row r="12" ht="36" hidden="0" customHeight="1">
      <x:c r="C12" s="23" t="str">
        <x:v>A-AAG</x:v>
      </x:c>
      <x:c r="D12" s="23" t="str">
        <x:v>Runway repair / ATC / fuel set</x:v>
      </x:c>
      <x:c r="E12" s="25" t="n">
        <x:v>134</x:v>
      </x:c>
      <x:c r="F12" s="30" t="n">
        <x:v>0.5</x:v>
      </x:c>
      <x:c r="G12" s="21" t="n">
        <x:f>E12*F12</x:f>
        <x:v>67</x:v>
      </x:c>
      <x:c r="H12" s="17" t="str">
        <x:v>Two sets per group</x:v>
      </x:c>
      <x:c r="I12" s="38"/>
      <x:c r="J12" s="38"/>
      <x:c r="K12" s="38"/>
      <x:c r="L12" s="38"/>
      <x:c r="M12" s="38"/>
      <x:c r="N12" s="38"/>
    </x:row>
    <x:row r="13" ht="60" hidden="0" customHeight="1">
      <x:c r="C13" s="23" t="str">
        <x:v>A-AAG</x:v>
      </x:c>
      <x:c r="D13" s="23" t="str">
        <x:v>Air cargo / rescue set</x:v>
      </x:c>
      <x:c r="E13" s="25" t="n">
        <x:v>67</x:v>
      </x:c>
      <x:c r="F13" s="30" t="n">
        <x:v>0.5</x:v>
      </x:c>
      <x:c r="G13" s="21" t="n">
        <x:f>E13*F13</x:f>
        <x:v>33.5</x:v>
      </x:c>
      <x:c r="H13" s="17" t="str">
        <x:v>Handling, rescue and quick-turn maintenance</x:v>
      </x:c>
      <x:c r="I13" s="38"/>
      <x:c r="J13" s="38"/>
      <x:c r="K13" s="38"/>
      <x:c r="L13" s="38"/>
      <x:c r="M13" s="38"/>
      <x:c r="N13" s="38"/>
    </x:row>
    <x:row r="14" ht="36" hidden="0" customHeight="1">
      <x:c r="C14" s="23" t="str">
        <x:v>A-TDG</x:v>
      </x:c>
      <x:c r="D14" s="23" t="str">
        <x:v>Tactical cargo aircraft</x:v>
      </x:c>
      <x:c r="E14" s="25" t="n">
        <x:v>648</x:v>
      </x:c>
      <x:c r="F14" s="30" t="n">
        <x:v>0.22</x:v>
      </x:c>
      <x:c r="G14" s="21" t="n">
        <x:f>E14*F14</x:f>
        <x:v>142.56</x:v>
      </x:c>
      <x:c r="H14" s="17" t="str">
        <x:v>Short-field hub-to-need</x:v>
      </x:c>
      <x:c r="I14" s="38"/>
      <x:c r="J14" s="38"/>
      <x:c r="K14" s="38"/>
      <x:c r="L14" s="38"/>
      <x:c r="M14" s="38"/>
      <x:c r="N14" s="38"/>
    </x:row>
    <x:row r="15" ht="60" hidden="0" customHeight="1">
      <x:c r="C15" s="23" t="str">
        <x:v>A-TDG</x:v>
      </x:c>
      <x:c r="D15" s="23" t="str">
        <x:v>Vertical heavy lifter</x:v>
      </x:c>
      <x:c r="E15" s="25" t="n">
        <x:v>864</x:v>
      </x:c>
      <x:c r="F15" s="30" t="n">
        <x:v>0.15</x:v>
      </x:c>
      <x:c r="G15" s="21" t="n">
        <x:f>E15*F15</x:f>
        <x:v>129.6</x:v>
      </x:c>
      <x:c r="H15" s="17" t="str">
        <x:v>Precision access without intact runway</x:v>
      </x:c>
      <x:c r="I15" s="38"/>
      <x:c r="J15" s="38"/>
      <x:c r="K15" s="38"/>
      <x:c r="L15" s="38"/>
      <x:c r="M15" s="38"/>
      <x:c r="N15" s="38"/>
    </x:row>
    <x:row r="16" ht="36" hidden="0" customHeight="1">
      <x:c r="C16" s="23" t="str">
        <x:v>A-TDG</x:v>
      </x:c>
      <x:c r="D16" s="23" t="str">
        <x:v>Uncrewed cargo craft</x:v>
      </x:c>
      <x:c r="E16" s="25" t="n">
        <x:v>2160</x:v>
      </x:c>
      <x:c r="F16" s="30" t="n">
        <x:v>0.024</x:v>
      </x:c>
      <x:c r="G16" s="21" t="n">
        <x:f>E16*F16</x:f>
        <x:v>51.84</x:v>
      </x:c>
      <x:c r="H16" s="17" t="str">
        <x:v>Last-100-km recurring movement</x:v>
      </x:c>
      <x:c r="I16" s="38"/>
      <x:c r="J16" s="38"/>
      <x:c r="K16" s="38"/>
      <x:c r="L16" s="38"/>
      <x:c r="M16" s="38"/>
      <x:c r="N16" s="38"/>
    </x:row>
    <x:row r="17" ht="60" hidden="0" customHeight="1">
      <x:c r="C17" s="23" t="str">
        <x:v>M-POG</x:v>
      </x:c>
      <x:c r="D17" s="23" t="str">
        <x:v>Port opening system</x:v>
      </x:c>
      <x:c r="E17" s="25" t="n">
        <x:v>60</x:v>
      </x:c>
      <x:c r="F17" s="30" t="n">
        <x:v>1.5</x:v>
      </x:c>
      <x:c r="G17" s="21" t="n">
        <x:f>E17*F17</x:f>
        <x:v>90</x:v>
      </x:c>
      <x:c r="H17" s="17" t="str">
        <x:v>Survey, clearance, salvage and command</x:v>
      </x:c>
      <x:c r="I17" s="38"/>
      <x:c r="J17" s="38"/>
      <x:c r="K17" s="38"/>
      <x:c r="L17" s="38"/>
      <x:c r="M17" s="38"/>
      <x:c r="N17" s="38"/>
    </x:row>
    <x:row r="18" ht="48" hidden="0" customHeight="1">
      <x:c r="C18" s="23" t="str">
        <x:v>M-POG</x:v>
      </x:c>
      <x:c r="D18" s="23" t="str">
        <x:v>Heavy cargo handling set</x:v>
      </x:c>
      <x:c r="E18" s="25" t="n">
        <x:v>120</x:v>
      </x:c>
      <x:c r="F18" s="30" t="n">
        <x:v>0.4</x:v>
      </x:c>
      <x:c r="G18" s="21" t="n">
        <x:f>E18*F18</x:f>
        <x:v>48</x:v>
      </x:c>
      <x:c r="H18" s="17" t="str">
        <x:v>Cranes, reach stackers and power</x:v>
      </x:c>
      <x:c r="I18" s="38"/>
      <x:c r="J18" s="38"/>
      <x:c r="K18" s="38"/>
      <x:c r="L18" s="38"/>
      <x:c r="M18" s="38"/>
      <x:c r="N18" s="38"/>
    </x:row>
    <x:row r="19" ht="48" hidden="0" customHeight="1">
      <x:c r="C19" s="23" t="str">
        <x:v>M-POG</x:v>
      </x:c>
      <x:c r="D19" s="23" t="str">
        <x:v>Dredging / hydrographic set</x:v>
      </x:c>
      <x:c r="E19" s="25" t="n">
        <x:v>60</x:v>
      </x:c>
      <x:c r="F19" s="30" t="n">
        <x:v>0.7</x:v>
      </x:c>
      <x:c r="G19" s="21" t="n">
        <x:f>E19*F19</x:f>
        <x:v>42</x:v>
      </x:c>
      <x:c r="H19" s="17" t="str">
        <x:v>Channel, berth and obstruction recovery</x:v>
      </x:c>
      <x:c r="I19" s="38"/>
      <x:c r="J19" s="38"/>
      <x:c r="K19" s="38"/>
      <x:c r="L19" s="38"/>
      <x:c r="M19" s="38"/>
      <x:c r="N19" s="38"/>
    </x:row>
    <x:row r="20" ht="36" hidden="0" customHeight="1">
      <x:c r="C20" s="23" t="str">
        <x:v>M-LAG</x:v>
      </x:c>
      <x:c r="D20" s="23" t="str">
        <x:v>Shallow landing connector</x:v>
      </x:c>
      <x:c r="E20" s="25" t="n">
        <x:v>276</x:v>
      </x:c>
      <x:c r="F20" s="30" t="n">
        <x:v>0.25</x:v>
      </x:c>
      <x:c r="G20" s="21" t="n">
        <x:f>E20*F20</x:f>
        <x:v>69</x:v>
      </x:c>
      <x:c r="H20" s="17" t="str">
        <x:v>Four per group</x:v>
      </x:c>
      <x:c r="I20" s="38"/>
      <x:c r="J20" s="38"/>
      <x:c r="K20" s="38"/>
      <x:c r="L20" s="38"/>
      <x:c r="M20" s="38"/>
      <x:c r="N20" s="38"/>
    </x:row>
    <x:row r="21" ht="36" hidden="0" customHeight="1">
      <x:c r="C21" s="23" t="str">
        <x:v>M-LAG</x:v>
      </x:c>
      <x:c r="D21" s="23" t="str">
        <x:v>Modular causeway system</x:v>
      </x:c>
      <x:c r="E21" s="25" t="n">
        <x:v>138</x:v>
      </x:c>
      <x:c r="F21" s="30" t="n">
        <x:v>0.3</x:v>
      </x:c>
      <x:c r="G21" s="21" t="n">
        <x:f>E21*F21</x:f>
        <x:v>41.4</x:v>
      </x:c>
      <x:c r="H21" s="17" t="str">
        <x:v>Two per group</x:v>
      </x:c>
      <x:c r="I21" s="38"/>
      <x:c r="J21" s="38"/>
      <x:c r="K21" s="38"/>
      <x:c r="L21" s="38"/>
      <x:c r="M21" s="38"/>
      <x:c r="N21" s="38"/>
    </x:row>
    <x:row r="22" ht="60" hidden="0" customHeight="1">
      <x:c r="C22" s="23" t="str">
        <x:v>M-LAG</x:v>
      </x:c>
      <x:c r="D22" s="23" t="str">
        <x:v>Beach / damaged-quay interface pack</x:v>
      </x:c>
      <x:c r="E22" s="25" t="n">
        <x:v>69</x:v>
      </x:c>
      <x:c r="F22" s="30" t="n">
        <x:v>0.4</x:v>
      </x:c>
      <x:c r="G22" s="21" t="n">
        <x:f>E22*F22</x:f>
        <x:v>27.6</x:v>
      </x:c>
      <x:c r="H22" s="17" t="str">
        <x:v>One per group</x:v>
      </x:c>
      <x:c r="I22" s="38"/>
      <x:c r="J22" s="38"/>
      <x:c r="K22" s="38"/>
      <x:c r="L22" s="38"/>
      <x:c r="M22" s="38"/>
      <x:c r="N22" s="38"/>
    </x:row>
    <x:row r="23" ht="24" hidden="0" customHeight="1">
      <x:c r="C23" s="23" t="str">
        <x:v>M-IWG</x:v>
      </x:c>
      <x:c r="D23" s="23" t="str">
        <x:v>Modular barge train</x:v>
      </x:c>
      <x:c r="E23" s="25" t="n">
        <x:v>216</x:v>
      </x:c>
      <x:c r="F23" s="30" t="n">
        <x:v>0.18</x:v>
      </x:c>
      <x:c r="G23" s="21" t="n">
        <x:f>E23*F23</x:f>
        <x:v>38.879999999999995</x:v>
      </x:c>
      <x:c r="H23" s="17" t="str">
        <x:v>Four per group</x:v>
      </x:c>
      <x:c r="I23" s="38"/>
      <x:c r="J23" s="38"/>
      <x:c r="K23" s="38"/>
      <x:c r="L23" s="38"/>
      <x:c r="M23" s="38"/>
      <x:c r="N23" s="38"/>
    </x:row>
    <x:row r="24" ht="36" hidden="0" customHeight="1">
      <x:c r="C24" s="23" t="str">
        <x:v>M-IWG</x:v>
      </x:c>
      <x:c r="D24" s="23" t="str">
        <x:v>Shallow workboat / ferry set</x:v>
      </x:c>
      <x:c r="E24" s="25" t="n">
        <x:v>108</x:v>
      </x:c>
      <x:c r="F24" s="30" t="n">
        <x:v>0.2</x:v>
      </x:c>
      <x:c r="G24" s="21" t="n">
        <x:f>E24*F24</x:f>
        <x:v>21.6</x:v>
      </x:c>
      <x:c r="H24" s="17" t="str">
        <x:v>Two per group</x:v>
      </x:c>
      <x:c r="I24" s="38"/>
      <x:c r="J24" s="38"/>
      <x:c r="K24" s="38"/>
      <x:c r="L24" s="38"/>
      <x:c r="M24" s="38"/>
      <x:c r="N24" s="38"/>
    </x:row>
    <x:row r="25" ht="24" hidden="0" customHeight="1">
      <x:c r="C25" s="23" t="str">
        <x:v>M-IWG</x:v>
      </x:c>
      <x:c r="D25" s="23" t="str">
        <x:v>River terminal set</x:v>
      </x:c>
      <x:c r="E25" s="25" t="n">
        <x:v>54</x:v>
      </x:c>
      <x:c r="F25" s="30" t="n">
        <x:v>0.38</x:v>
      </x:c>
      <x:c r="G25" s="21" t="n">
        <x:f>E25*F25</x:f>
        <x:v>20.52</x:v>
      </x:c>
      <x:c r="H25" s="17" t="str">
        <x:v>One per group</x:v>
      </x:c>
      <x:c r="I25" s="38"/>
      <x:c r="J25" s="38"/>
      <x:c r="K25" s="38"/>
      <x:c r="L25" s="38"/>
      <x:c r="M25" s="38"/>
      <x:c r="N25" s="38"/>
    </x:row>
    <x:row r="26" ht="72" hidden="0" customHeight="1">
      <x:c r="C26" s="23" t="str">
        <x:v>M-OSG</x:v>
      </x:c>
      <x:c r="D26" s="23" t="str">
        <x:v>Offshore support ship</x:v>
      </x:c>
      <x:c r="E26" s="25" t="n">
        <x:v>45</x:v>
      </x:c>
      <x:c r="F26" s="30" t="n">
        <x:v>4</x:v>
      </x:c>
      <x:c r="G26" s="21" t="n">
        <x:f>E26*F26</x:f>
        <x:v>180</x:v>
      </x:c>
      <x:c r="H26" s="17" t="str">
        <x:v>Afloat stores, workshops and responder support</x:v>
      </x:c>
      <x:c r="I26" s="38"/>
      <x:c r="J26" s="38"/>
      <x:c r="K26" s="38"/>
      <x:c r="L26" s="38"/>
      <x:c r="M26" s="38"/>
      <x:c r="N26" s="38"/>
    </x:row>
    <x:row r="27" ht="48" hidden="0" customHeight="1">
      <x:c r="C27" s="23" t="str">
        <x:v>M-OSG</x:v>
      </x:c>
      <x:c r="D27" s="23" t="str">
        <x:v>Afloat repair / medical / base package</x:v>
      </x:c>
      <x:c r="E27" s="25" t="n">
        <x:v>45</x:v>
      </x:c>
      <x:c r="F27" s="30" t="n">
        <x:v>2</x:v>
      </x:c>
      <x:c r="G27" s="21" t="n">
        <x:f>E27*F27</x:f>
        <x:v>90</x:v>
      </x:c>
      <x:c r="H27" s="17" t="str">
        <x:v>Modular mission package</x:v>
      </x:c>
      <x:c r="I27" s="38"/>
      <x:c r="J27" s="38"/>
      <x:c r="K27" s="38"/>
      <x:c r="L27" s="38"/>
      <x:c r="M27" s="38"/>
      <x:c r="N27" s="38"/>
    </x:row>
    <x:row r="28" ht="24" hidden="0" customHeight="1">
      <x:c r="C28" s="23" t="str">
        <x:v>M-OSG</x:v>
      </x:c>
      <x:c r="D28" s="23" t="str">
        <x:v>Utility craft</x:v>
      </x:c>
      <x:c r="E28" s="25" t="n">
        <x:v>90</x:v>
      </x:c>
      <x:c r="F28" s="30" t="n">
        <x:v>0.5</x:v>
      </x:c>
      <x:c r="G28" s="21" t="n">
        <x:f>E28*F28</x:f>
        <x:v>45</x:v>
      </x:c>
      <x:c r="H28" s="17" t="str">
        <x:v>Two per group</x:v>
      </x:c>
      <x:c r="I28" s="38"/>
      <x:c r="J28" s="38"/>
      <x:c r="K28" s="38"/>
      <x:c r="L28" s="38"/>
      <x:c r="M28" s="38"/>
      <x:c r="N28" s="38"/>
    </x:row>
    <x:row r="29" ht="36" hidden="0" customHeight="1">
      <x:c r="C29" s="23" t="str">
        <x:v>M-SSG</x:v>
      </x:c>
      <x:c r="D29" s="23" t="str">
        <x:v>Strategic response RO/RO</x:v>
      </x:c>
      <x:c r="E29" s="25" t="n">
        <x:v>142</x:v>
      </x:c>
      <x:c r="F29" s="30" t="n">
        <x:v>3</x:v>
      </x:c>
      <x:c r="G29" s="21" t="n">
        <x:f>E29*F29</x:f>
        <x:v>426</x:v>
      </x:c>
      <x:c r="H29" s="17" t="str">
        <x:v>Two per group</x:v>
      </x:c>
      <x:c r="I29" s="38"/>
      <x:c r="J29" s="38"/>
      <x:c r="K29" s="38"/>
      <x:c r="L29" s="38"/>
      <x:c r="M29" s="38"/>
      <x:c r="N29" s="38"/>
    </x:row>
    <x:row r="30" ht="48" hidden="0" customHeight="1">
      <x:c r="C30" s="23" t="str">
        <x:v>M-SSG</x:v>
      </x:c>
      <x:c r="D30" s="23" t="str">
        <x:v>Fast response logistics ship</x:v>
      </x:c>
      <x:c r="E30" s="25" t="n">
        <x:v>71</x:v>
      </x:c>
      <x:c r="F30" s="30" t="n">
        <x:v>2</x:v>
      </x:c>
      <x:c r="G30" s="21" t="n">
        <x:f>E30*F30</x:f>
        <x:v>142</x:v>
      </x:c>
      <x:c r="H30" s="17" t="str">
        <x:v>One per group</x:v>
      </x:c>
      <x:c r="I30" s="38"/>
      <x:c r="J30" s="38"/>
      <x:c r="K30" s="38"/>
      <x:c r="L30" s="38"/>
      <x:c r="M30" s="38"/>
      <x:c r="N30" s="38"/>
    </x:row>
    <x:row r="31" ht="60" hidden="0" customHeight="1">
      <x:c r="C31" s="23" t="str">
        <x:v>M-SSG</x:v>
      </x:c>
      <x:c r="D31" s="23" t="str">
        <x:v>Fleet support / replenishment package</x:v>
      </x:c>
      <x:c r="E31" s="25" t="n">
        <x:v>71</x:v>
      </x:c>
      <x:c r="F31" s="30" t="n">
        <x:v>1</x:v>
      </x:c>
      <x:c r="G31" s="21" t="n">
        <x:f>E31*F31</x:f>
        <x:v>71</x:v>
      </x:c>
      <x:c r="H31" s="17" t="str">
        <x:v>One per group</x:v>
      </x:c>
      <x:c r="I31" s="38"/>
      <x:c r="J31" s="38"/>
      <x:c r="K31" s="38"/>
      <x:c r="L31" s="38"/>
      <x:c r="M31" s="38"/>
      <x:c r="N31" s="38"/>
    </x:row>
    <x:row r="32" ht="48" hidden="0" customHeight="1">
      <x:c r="C32" s="23" t="str">
        <x:v>L-ROG</x:v>
      </x:c>
      <x:c r="D32" s="23" t="str">
        <x:v>Route-opening train</x:v>
      </x:c>
      <x:c r="E32" s="25" t="n">
        <x:v>121</x:v>
      </x:c>
      <x:c r="F32" s="30" t="n">
        <x:v>0.55</x:v>
      </x:c>
      <x:c r="G32" s="21" t="n">
        <x:f>E32*F32</x:f>
        <x:v>66.55000000000001</x:v>
      </x:c>
      <x:c r="H32" s="17" t="str">
        <x:v>Survey, clearance and surface repair</x:v>
      </x:c>
      <x:c r="I32" s="38"/>
      <x:c r="J32" s="38"/>
      <x:c r="K32" s="38"/>
      <x:c r="L32" s="38"/>
      <x:c r="M32" s="38"/>
      <x:c r="N32" s="38"/>
    </x:row>
    <x:row r="33" ht="24" hidden="0" customHeight="1">
      <x:c r="C33" s="23" t="str">
        <x:v>L-ROG</x:v>
      </x:c>
      <x:c r="D33" s="23" t="str">
        <x:v>Modular crossing set</x:v>
      </x:c>
      <x:c r="E33" s="25" t="n">
        <x:v>242</x:v>
      </x:c>
      <x:c r="F33" s="30" t="n">
        <x:v>0.15</x:v>
      </x:c>
      <x:c r="G33" s="21" t="n">
        <x:f>E33*F33</x:f>
        <x:v>36.3</x:v>
      </x:c>
      <x:c r="H33" s="17" t="str">
        <x:v>Two per group</x:v>
      </x:c>
      <x:c r="I33" s="38"/>
      <x:c r="J33" s="38"/>
      <x:c r="K33" s="38"/>
      <x:c r="L33" s="38"/>
      <x:c r="M33" s="38"/>
      <x:c r="N33" s="38"/>
    </x:row>
    <x:row r="34" ht="48" hidden="0" customHeight="1">
      <x:c r="C34" s="23" t="str">
        <x:v>L-ROG</x:v>
      </x:c>
      <x:c r="D34" s="23" t="str">
        <x:v>Traffic / bridge assessment pack</x:v>
      </x:c>
      <x:c r="E34" s="25" t="n">
        <x:v>121</x:v>
      </x:c>
      <x:c r="F34" s="30" t="n">
        <x:v>0.15</x:v>
      </x:c>
      <x:c r="G34" s="21" t="n">
        <x:f>E34*F34</x:f>
        <x:v>18.15</x:v>
      </x:c>
      <x:c r="H34" s="17" t="str">
        <x:v>One per group</x:v>
      </x:c>
      <x:c r="I34" s="38"/>
      <x:c r="J34" s="38"/>
      <x:c r="K34" s="38"/>
      <x:c r="L34" s="38"/>
      <x:c r="M34" s="38"/>
      <x:c r="N34" s="38"/>
    </x:row>
    <x:row r="35" ht="48" hidden="0" customHeight="1">
      <x:c r="C35" s="23" t="str">
        <x:v>L-ROG</x:v>
      </x:c>
      <x:c r="D35" s="23" t="str">
        <x:v>Autonomous earthmoving fleet</x:v>
      </x:c>
      <x:c r="E35" s="25" t="n">
        <x:v>121</x:v>
      </x:c>
      <x:c r="F35" s="30" t="n">
        <x:v>0.2</x:v>
      </x:c>
      <x:c r="G35" s="21" t="n">
        <x:f>E35*F35</x:f>
        <x:v>24.200000000000003</x:v>
      </x:c>
      <x:c r="H35" s="17" t="str">
        <x:v>Novel high-tempo repair capability</x:v>
      </x:c>
      <x:c r="I35" s="38"/>
      <x:c r="J35" s="38"/>
      <x:c r="K35" s="38"/>
      <x:c r="L35" s="38"/>
      <x:c r="M35" s="38"/>
      <x:c r="N35" s="38"/>
    </x:row>
    <x:row r="36" ht="48" hidden="0" customHeight="1">
      <x:c r="C36" s="23" t="str">
        <x:v>J-TOC</x:v>
      </x:c>
      <x:c r="D36" s="23" t="str">
        <x:v>Command / sensing / interoperability core</x:v>
      </x:c>
      <x:c r="E36" s="25" t="n">
        <x:v>36</x:v>
      </x:c>
      <x:c r="F36" s="30" t="n">
        <x:v>0.5</x:v>
      </x:c>
      <x:c r="G36" s="21" t="n">
        <x:f>E36*F36</x:f>
        <x:v>18</x:v>
      </x:c>
      <x:c r="H36" s="17" t="str">
        <x:v>One per command</x:v>
      </x:c>
      <x:c r="I36" s="38"/>
      <x:c r="J36" s="38"/>
      <x:c r="K36" s="38"/>
      <x:c r="L36" s="38"/>
      <x:c r="M36" s="38"/>
      <x:c r="N36" s="38"/>
    </x:row>
    <x:row r="37" ht="24" hidden="0" customHeight="1">
      <x:c r="C37" s="23" t="str">
        <x:v>J-TOC</x:v>
      </x:c>
      <x:c r="D37" s="23" t="str">
        <x:v>Entry-control node</x:v>
      </x:c>
      <x:c r="E37" s="25" t="n">
        <x:v>72</x:v>
      </x:c>
      <x:c r="F37" s="30" t="n">
        <x:v>0.2</x:v>
      </x:c>
      <x:c r="G37" s="21" t="n">
        <x:f>E37*F37</x:f>
        <x:v>14.4</x:v>
      </x:c>
      <x:c r="H37" s="17" t="str">
        <x:v>Two per command</x:v>
      </x:c>
      <x:c r="I37" s="38"/>
      <x:c r="J37" s="38"/>
      <x:c r="K37" s="38"/>
      <x:c r="L37" s="38"/>
      <x:c r="M37" s="38"/>
      <x:c r="N37" s="38"/>
    </x:row>
    <x:row r="38" ht="48" hidden="0" customHeight="1">
      <x:c r="C38" s="23" t="str">
        <x:v>J-TOC</x:v>
      </x:c>
      <x:c r="D38" s="23" t="str">
        <x:v>Authority / service-integration pack</x:v>
      </x:c>
      <x:c r="E38" s="25" t="n">
        <x:v>36</x:v>
      </x:c>
      <x:c r="F38" s="30" t="n">
        <x:v>0.3</x:v>
      </x:c>
      <x:c r="G38" s="21" t="n">
        <x:f>E38*F38</x:f>
        <x:v>10.799999999999999</x:v>
      </x:c>
      <x:c r="H38" s="17" t="str">
        <x:v>One per command</x:v>
      </x:c>
      <x:c r="I38" s="38"/>
      <x:c r="J38" s="38"/>
      <x:c r="K38" s="38"/>
      <x:c r="L38" s="38"/>
      <x:c r="M38" s="38"/>
      <x:c r="N38" s="38"/>
    </x:row>
    <x:row r="39" ht="48" hidden="0" customHeight="1">
      <x:c r="C39" s="23" t="str">
        <x:v>J-TSC</x:v>
      </x:c>
      <x:c r="D39" s="23" t="str">
        <x:v>Theater distribution control node</x:v>
      </x:c>
      <x:c r="E39" s="25" t="n">
        <x:v>51</x:v>
      </x:c>
      <x:c r="F39" s="30" t="n">
        <x:v>0.3</x:v>
      </x:c>
      <x:c r="G39" s="21" t="n">
        <x:f>E39*F39</x:f>
        <x:v>15.299999999999999</x:v>
      </x:c>
      <x:c r="H39" s="17" t="str">
        <x:v>One per command</x:v>
      </x:c>
      <x:c r="I39" s="38"/>
      <x:c r="J39" s="38"/>
      <x:c r="K39" s="38"/>
      <x:c r="L39" s="38"/>
      <x:c r="M39" s="38"/>
      <x:c r="N39" s="38"/>
    </x:row>
    <x:row r="40" ht="36" hidden="0" customHeight="1">
      <x:c r="C40" s="23" t="str">
        <x:v>J-TSC</x:v>
      </x:c>
      <x:c r="D40" s="23" t="str">
        <x:v>Forward distribution hub</x:v>
      </x:c>
      <x:c r="E40" s="25" t="n">
        <x:v>102</x:v>
      </x:c>
      <x:c r="F40" s="30" t="n">
        <x:v>0.2</x:v>
      </x:c>
      <x:c r="G40" s="21" t="n">
        <x:f>E40*F40</x:f>
        <x:v>20.400000000000002</x:v>
      </x:c>
      <x:c r="H40" s="17" t="str">
        <x:v>Two per command</x:v>
      </x:c>
      <x:c r="I40" s="38"/>
      <x:c r="J40" s="38"/>
      <x:c r="K40" s="38"/>
      <x:c r="L40" s="38"/>
      <x:c r="M40" s="38"/>
      <x:c r="N40" s="38"/>
    </x:row>
    <x:row r="41" ht="36" hidden="0" customHeight="1">
      <x:c r="C41" s="23" t="str">
        <x:v>J-TSC</x:v>
      </x:c>
      <x:c r="D41" s="23" t="str">
        <x:v>Resilience rail mission set</x:v>
      </x:c>
      <x:c r="E41" s="25" t="n">
        <x:v>204</x:v>
      </x:c>
      <x:c r="F41" s="30" t="n">
        <x:v>0.1</x:v>
      </x:c>
      <x:c r="G41" s="21" t="n">
        <x:f>E41*F41</x:f>
        <x:v>20.400000000000002</x:v>
      </x:c>
      <x:c r="H41" s="17" t="str">
        <x:v>Four per command</x:v>
      </x:c>
      <x:c r="I41" s="38"/>
      <x:c r="J41" s="38"/>
      <x:c r="K41" s="38"/>
      <x:c r="L41" s="38"/>
      <x:c r="M41" s="38"/>
      <x:c r="N41" s="38"/>
    </x:row>
    <x:row r="42" ht="36" hidden="0" customHeight="1">
      <x:c r="C42" s="23" t="str">
        <x:v>J-TSC</x:v>
      </x:c>
      <x:c r="D42" s="23" t="str">
        <x:v>Heavy highway convoy set</x:v>
      </x:c>
      <x:c r="E42" s="25" t="n">
        <x:v>510</x:v>
      </x:c>
      <x:c r="F42" s="30" t="n">
        <x:v>0.03</x:v>
      </x:c>
      <x:c r="G42" s="21" t="n">
        <x:f>E42*F42</x:f>
        <x:v>15.299999999999999</x:v>
      </x:c>
      <x:c r="H42" s="17" t="str">
        <x:v>Ten per command</x:v>
      </x:c>
      <x:c r="I42" s="38"/>
      <x:c r="J42" s="38"/>
      <x:c r="K42" s="38"/>
      <x:c r="L42" s="38"/>
      <x:c r="M42" s="38"/>
      <x:c r="N42" s="38"/>
    </x:row>
    <x:row r="43" ht="48" hidden="0" customHeight="1">
      <x:c r="C43" s="23" t="str">
        <x:v>J-TSC</x:v>
      </x:c>
      <x:c r="D43" s="23" t="str">
        <x:v>Reverse-flow / reconstitution pack</x:v>
      </x:c>
      <x:c r="E43" s="25" t="n">
        <x:v>51</x:v>
      </x:c>
      <x:c r="F43" s="30" t="n">
        <x:v>0.1</x:v>
      </x:c>
      <x:c r="G43" s="21" t="n">
        <x:f>E43*F43</x:f>
        <x:v>5.1000000000000005</x:v>
      </x:c>
      <x:c r="H43" s="17" t="str">
        <x:v>One per command</x:v>
      </x:c>
      <x:c r="I43" s="38"/>
      <x:c r="J43" s="38"/>
      <x:c r="K43" s="38"/>
      <x:c r="L43" s="38"/>
      <x:c r="M43" s="38"/>
      <x:c r="N43" s="38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42" hidden="0" customWidth="1"/>
    <x:col min="5" max="5" width="12" hidden="0" customWidth="1"/>
    <x:col min="6" max="6" width="18" hidden="0" customWidth="1"/>
    <x:col min="7" max="7" width="18" hidden="0" customWidth="1"/>
    <x:col min="8" max="8" width="78" hidden="0" customWidth="1"/>
  </x:cols>
  <x:sheetData>
    <x:row r="2">
      <x:c r="C2" s="2" t="str">
        <x:v>Prepared National Entry Network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Permanent peacetime infrastructure makes crisis entry fast. Archetype counts are not siting recommendations.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ID</x:v>
      </x:c>
      <x:c r="D6" s="13" t="str">
        <x:v>Network element</x:v>
      </x:c>
      <x:c r="E6" s="13" t="str">
        <x:v>Quantity</x:v>
      </x:c>
      <x:c r="F6" s="13" t="str">
        <x:v>Unit capital $B</x:v>
      </x:c>
      <x:c r="G6" s="13" t="str">
        <x:v>Extended $B</x:v>
      </x:c>
      <x:c r="H6" s="13" t="str">
        <x:v>Design boundary</x:v>
      </x:c>
      <x:c r="I6" s="38"/>
      <x:c r="J6" s="38"/>
      <x:c r="K6" s="38"/>
      <x:c r="L6" s="38"/>
      <x:c r="M6" s="38"/>
    </x:row>
    <x:row r="7" ht="96" hidden="0" customHeight="1">
      <x:c r="C7" s="23" t="str">
        <x:v>N01</x:v>
      </x:c>
      <x:c r="D7" s="23" t="str">
        <x:v>Prepared Resilience Entry Complex</x:v>
      </x:c>
      <x:c r="E7" s="25" t="n">
        <x:v>24</x:v>
      </x:c>
      <x:c r="F7" s="30" t="n">
        <x:v>10</x:v>
      </x:c>
      <x:c r="G7" s="30" t="n">
        <x:v>240</x:v>
      </x:c>
      <x:c r="H7" s="23" t="str">
        <x:v>Paired multimodal nodes outside direct impact; no city siting claim</x:v>
      </x:c>
      <x:c r="I7" s="38"/>
      <x:c r="J7" s="38"/>
      <x:c r="K7" s="38"/>
      <x:c r="L7" s="38"/>
      <x:c r="M7" s="38"/>
    </x:row>
    <x:row r="8" ht="60" hidden="0" customHeight="1">
      <x:c r="C8" s="23" t="str">
        <x:v>N02</x:v>
      </x:c>
      <x:c r="D8" s="23" t="str">
        <x:v>Dispersed auxiliary airfield / terminal</x:v>
      </x:c>
      <x:c r="E8" s="25" t="n">
        <x:v>48</x:v>
      </x:c>
      <x:c r="F8" s="30" t="n">
        <x:v>3</x:v>
      </x:c>
      <x:c r="G8" s="30" t="n">
        <x:v>144</x:v>
      </x:c>
      <x:c r="H8" s="23" t="str">
        <x:v>Pre-surveyed, hardened interfaces and stored opening kits</x:v>
      </x:c>
      <x:c r="I8" s="38"/>
      <x:c r="J8" s="38"/>
      <x:c r="K8" s="38"/>
      <x:c r="L8" s="38"/>
      <x:c r="M8" s="38"/>
    </x:row>
    <x:row r="9" ht="72" hidden="0" customHeight="1">
      <x:c r="C9" s="23" t="str">
        <x:v>N03</x:v>
      </x:c>
      <x:c r="D9" s="23" t="str">
        <x:v>Inland distribution campus</x:v>
      </x:c>
      <x:c r="E9" s="25" t="n">
        <x:v>72</x:v>
      </x:c>
      <x:c r="F9" s="30" t="n">
        <x:v>1.5</x:v>
      </x:c>
      <x:c r="G9" s="30" t="n">
        <x:v>108</x:v>
      </x:c>
      <x:c r="H9" s="23" t="str">
        <x:v>Rail, road, water, cold chain, repair and reverse logistics</x:v>
      </x:c>
      <x:c r="I9" s="38"/>
      <x:c r="J9" s="38"/>
      <x:c r="K9" s="38"/>
      <x:c r="L9" s="38"/>
      <x:c r="M9" s="38"/>
    </x:row>
    <x:row r="10" ht="84" hidden="0" customHeight="1">
      <x:c r="C10" s="23" t="str">
        <x:v>N04</x:v>
      </x:c>
      <x:c r="D10" s="23" t="str">
        <x:v>Responder base campus</x:v>
      </x:c>
      <x:c r="E10" s="25" t="n">
        <x:v>60</x:v>
      </x:c>
      <x:c r="F10" s="30" t="n">
        <x:v>1.8</x:v>
      </x:c>
      <x:c r="G10" s="30" t="n">
        <x:v>108</x:v>
      </x:c>
      <x:c r="H10" s="23" t="str">
        <x:v>Zero-host-utility lodging, sanitation, medical and crew recovery</x:v>
      </x:c>
      <x:c r="I10" s="38"/>
      <x:c r="J10" s="38"/>
      <x:c r="K10" s="38"/>
      <x:c r="L10" s="38"/>
      <x:c r="M10" s="38"/>
    </x:row>
    <x:row r="11"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</x:row>
    <x:row r="12"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</x:row>
    <x:row r="13">
      <x:c r="C13" s="8" t="str">
        <x:v>Network doctrine</x:v>
      </x:c>
      <x:c r="D13" s="8"/>
      <x:c r="E13" s="8"/>
      <x:c r="F13" s="8"/>
      <x:c r="G13" s="8"/>
      <x:c r="H13" s="8"/>
      <x:c r="I13" s="38"/>
      <x:c r="J13" s="38"/>
      <x:c r="K13" s="38"/>
      <x:c r="L13" s="38"/>
      <x:c r="M13" s="38"/>
    </x:row>
    <x:row r="14" ht="24" hidden="0" customHeight="1">
      <x:c r="C14" s="13" t="str">
        <x:v>Principle</x:v>
      </x:c>
      <x:c r="D14" s="13" t="str">
        <x:v>Requirement</x:v>
      </x:c>
      <x:c r="E14" s="38"/>
      <x:c r="F14" s="38"/>
      <x:c r="G14" s="38"/>
      <x:c r="H14" s="38"/>
      <x:c r="I14" s="38"/>
      <x:c r="J14" s="38"/>
      <x:c r="K14" s="38"/>
      <x:c r="L14" s="38"/>
      <x:c r="M14" s="38"/>
    </x:row>
    <x:row r="15" ht="108" hidden="0" customHeight="1">
      <x:c r="C15" s="17" t="str">
        <x:v>Paired entry</x:v>
      </x:c>
      <x:c r="D15" s="17" t="str">
        <x:v>Every anchor has a geographically and infrastructurally independent alternate</x:v>
      </x:c>
      <x:c r="E15" s="38"/>
      <x:c r="F15" s="38"/>
      <x:c r="G15" s="38"/>
      <x:c r="H15" s="38"/>
      <x:c r="I15" s="38"/>
      <x:c r="J15" s="38"/>
      <x:c r="K15" s="38"/>
      <x:c r="L15" s="38"/>
      <x:c r="M15" s="38"/>
    </x:row>
    <x:row r="16" ht="108" hidden="0" customHeight="1">
      <x:c r="C16" s="17" t="str">
        <x:v>Safe-zone geometry</x:v>
      </x:c>
      <x:c r="D16" s="17" t="str">
        <x:v>Primary reception and responder bases sit outside the modeled correlated impact zone</x:v>
      </x:c>
      <x:c r="E16" s="38"/>
      <x:c r="F16" s="38"/>
      <x:c r="G16" s="38"/>
      <x:c r="H16" s="38"/>
      <x:c r="I16" s="38"/>
      <x:c r="J16" s="38"/>
      <x:c r="K16" s="38"/>
      <x:c r="L16" s="38"/>
      <x:c r="M16" s="38"/>
    </x:row>
    <x:row r="17" ht="144" hidden="0" customHeight="1">
      <x:c r="C17" s="17" t="str">
        <x:v>Daily use</x:v>
      </x:c>
      <x:c r="D17" s="17" t="str">
        <x:v>Ports, yards, airfields, colleges and depots sustain workforce and industrial demand between crises</x:v>
      </x:c>
      <x:c r="E17" s="38"/>
      <x:c r="F17" s="38"/>
      <x:c r="G17" s="38"/>
      <x:c r="H17" s="38"/>
      <x:c r="I17" s="38"/>
      <x:c r="J17" s="38"/>
      <x:c r="K17" s="38"/>
      <x:c r="L17" s="38"/>
      <x:c r="M17" s="38"/>
    </x:row>
    <x:row r="18" ht="108" hidden="0" customHeight="1">
      <x:c r="C18" s="17" t="str">
        <x:v>No host draw</x:v>
      </x:c>
      <x:c r="D18" s="17" t="str">
        <x:v>Base modules bring water, energy, sanitation, communications, food and waste systems</x:v>
      </x:c>
      <x:c r="E18" s="38"/>
      <x:c r="F18" s="38"/>
      <x:c r="G18" s="38"/>
      <x:c r="H18" s="38"/>
      <x:c r="I18" s="38"/>
      <x:c r="J18" s="38"/>
      <x:c r="K18" s="38"/>
      <x:c r="L18" s="38"/>
      <x:c r="M18" s="38"/>
    </x:row>
    <x:row r="19" ht="132" hidden="0" customHeight="1">
      <x:c r="C19" s="17" t="str">
        <x:v>Reverse logistics</x:v>
      </x:c>
      <x:c r="D19" s="17" t="str">
        <x:v>Casualties, contaminated waste, damaged equipment, containers and recovered assets have planned return paths</x:v>
      </x:c>
      <x:c r="E19" s="38"/>
      <x:c r="F19" s="38"/>
      <x:c r="G19" s="38"/>
      <x:c r="H19" s="38"/>
      <x:c r="I19" s="38"/>
      <x:c r="J19" s="38"/>
      <x:c r="K19" s="38"/>
      <x:c r="L19" s="38"/>
      <x:c r="M19" s="38"/>
    </x:row>
  </x:sheetData>
  <x:mergeCells>
    <x:mergeCell ref="C13:H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4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68" hidden="0" customWidth="1"/>
  </x:cols>
  <x:sheetData>
    <x:row r="2">
      <x:c r="C2" s="2" t="str">
        <x:v>Workforce Crosswalk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C3" s="5" t="str">
        <x:v>Component billets are copied from Pass 23 formation lines; institutional overhead is allocated, not added to the department total.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  <x:row r="6" ht="24" hidden="0" customHeight="1">
      <x:c r="C6" s="13" t="str">
        <x:v>WBS</x:v>
      </x:c>
      <x:c r="D6" s="13" t="str">
        <x:v>Permanent federal</x:v>
      </x:c>
      <x:c r="E6" s="13" t="str">
        <x:v>Federal reserve</x:v>
      </x:c>
      <x:c r="F6" s="13" t="str">
        <x:v>State / territorial</x:v>
      </x:c>
      <x:c r="G6" s="13" t="str">
        <x:v>Certified industry</x:v>
      </x:c>
      <x:c r="H6" s="13" t="str">
        <x:v>Partner / allied</x:v>
      </x:c>
      <x:c r="I6" s="13" t="str">
        <x:v>Direct total</x:v>
      </x:c>
      <x:c r="J6" s="38"/>
      <x:c r="K6" s="38"/>
      <x:c r="L6" s="38"/>
      <x:c r="M6" s="38"/>
      <x:c r="N6" s="38"/>
    </x:row>
    <x:row r="7" ht="15" hidden="0" customHeight="1">
      <x:c r="C7" s="17" t="str">
        <x:v>A-SMW</x:v>
      </x:c>
      <x:c r="D7" s="27" t="n">
        <x:v>101790</x:v>
      </x:c>
      <x:c r="E7" s="27" t="n">
        <x:v>39150</x:v>
      </x:c>
      <x:c r="F7" s="27" t="n">
        <x:v>7830</x:v>
      </x:c>
      <x:c r="G7" s="27" t="n">
        <x:v>7830</x:v>
      </x:c>
      <x:c r="H7" s="27" t="n">
        <x:v>0</x:v>
      </x:c>
      <x:c r="I7" s="19" t="n">
        <x:f>SUM(D7:H7)</x:f>
        <x:v>156600</x:v>
      </x:c>
      <x:c r="J7" s="38"/>
      <x:c r="K7" s="38"/>
      <x:c r="L7" s="38"/>
      <x:c r="M7" s="38"/>
      <x:c r="N7" s="38"/>
    </x:row>
    <x:row r="8" ht="15" hidden="0" customHeight="1">
      <x:c r="C8" s="17" t="str">
        <x:v>A-AAG</x:v>
      </x:c>
      <x:c r="D8" s="27" t="n">
        <x:v>45727.5</x:v>
      </x:c>
      <x:c r="E8" s="27" t="n">
        <x:v>17587.5</x:v>
      </x:c>
      <x:c r="F8" s="27" t="n">
        <x:v>3517.5</x:v>
      </x:c>
      <x:c r="G8" s="27" t="n">
        <x:v>3517.5</x:v>
      </x:c>
      <x:c r="H8" s="27" t="n">
        <x:v>0</x:v>
      </x:c>
      <x:c r="I8" s="19" t="n">
        <x:f>SUM(D8:H8)</x:f>
        <x:v>70350</x:v>
      </x:c>
      <x:c r="J8" s="38"/>
      <x:c r="K8" s="38"/>
      <x:c r="L8" s="38"/>
      <x:c r="M8" s="38"/>
      <x:c r="N8" s="38"/>
    </x:row>
    <x:row r="9" ht="15" hidden="0" customHeight="1">
      <x:c r="C9" s="17" t="str">
        <x:v>A-TDG</x:v>
      </x:c>
      <x:c r="D9" s="27" t="n">
        <x:v>94770</x:v>
      </x:c>
      <x:c r="E9" s="27" t="n">
        <x:v>36450</x:v>
      </x:c>
      <x:c r="F9" s="27" t="n">
        <x:v>7290</x:v>
      </x:c>
      <x:c r="G9" s="27" t="n">
        <x:v>7290</x:v>
      </x:c>
      <x:c r="H9" s="27" t="n">
        <x:v>0</x:v>
      </x:c>
      <x:c r="I9" s="19" t="n">
        <x:f>SUM(D9:H9)</x:f>
        <x:v>145800</x:v>
      </x:c>
      <x:c r="J9" s="38"/>
      <x:c r="K9" s="38"/>
      <x:c r="L9" s="38"/>
      <x:c r="M9" s="38"/>
      <x:c r="N9" s="38"/>
    </x:row>
    <x:row r="10" ht="15" hidden="0" customHeight="1">
      <x:c r="C10" s="17" t="str">
        <x:v>M-POG</x:v>
      </x:c>
      <x:c r="D10" s="27" t="n">
        <x:v>56700</x:v>
      </x:c>
      <x:c r="E10" s="27" t="n">
        <x:v>16200</x:v>
      </x:c>
      <x:c r="F10" s="27" t="n">
        <x:v>1620</x:v>
      </x:c>
      <x:c r="G10" s="27" t="n">
        <x:v>6480</x:v>
      </x:c>
      <x:c r="H10" s="27" t="n">
        <x:v>0</x:v>
      </x:c>
      <x:c r="I10" s="19" t="n">
        <x:f>SUM(D10:H10)</x:f>
        <x:v>81000</x:v>
      </x:c>
      <x:c r="J10" s="38"/>
      <x:c r="K10" s="38"/>
      <x:c r="L10" s="38"/>
      <x:c r="M10" s="38"/>
      <x:c r="N10" s="38"/>
    </x:row>
    <x:row r="11" ht="15" hidden="0" customHeight="1">
      <x:c r="C11" s="17" t="str">
        <x:v>M-LAG</x:v>
      </x:c>
      <x:c r="D11" s="27" t="n">
        <x:v>50715</x:v>
      </x:c>
      <x:c r="E11" s="27" t="n">
        <x:v>14490</x:v>
      </x:c>
      <x:c r="F11" s="27" t="n">
        <x:v>1449</x:v>
      </x:c>
      <x:c r="G11" s="27" t="n">
        <x:v>5796</x:v>
      </x:c>
      <x:c r="H11" s="27" t="n">
        <x:v>0</x:v>
      </x:c>
      <x:c r="I11" s="19" t="n">
        <x:f>SUM(D11:H11)</x:f>
        <x:v>72450</x:v>
      </x:c>
      <x:c r="J11" s="38"/>
      <x:c r="K11" s="38"/>
      <x:c r="L11" s="38"/>
      <x:c r="M11" s="38"/>
      <x:c r="N11" s="38"/>
    </x:row>
    <x:row r="12" ht="15" hidden="0" customHeight="1">
      <x:c r="C12" s="17" t="str">
        <x:v>M-IWG</x:v>
      </x:c>
      <x:c r="D12" s="27" t="n">
        <x:v>28350</x:v>
      </x:c>
      <x:c r="E12" s="27" t="n">
        <x:v>8100</x:v>
      </x:c>
      <x:c r="F12" s="27" t="n">
        <x:v>810</x:v>
      </x:c>
      <x:c r="G12" s="27" t="n">
        <x:v>3240</x:v>
      </x:c>
      <x:c r="H12" s="27" t="n">
        <x:v>0</x:v>
      </x:c>
      <x:c r="I12" s="19" t="n">
        <x:f>SUM(D12:H12)</x:f>
        <x:v>40500</x:v>
      </x:c>
      <x:c r="J12" s="38"/>
      <x:c r="K12" s="38"/>
      <x:c r="L12" s="38"/>
      <x:c r="M12" s="38"/>
      <x:c r="N12" s="38"/>
    </x:row>
    <x:row r="13" ht="15" hidden="0" customHeight="1">
      <x:c r="C13" s="17" t="str">
        <x:v>M-OSG</x:v>
      </x:c>
      <x:c r="D13" s="27" t="n">
        <x:v>66150</x:v>
      </x:c>
      <x:c r="E13" s="27" t="n">
        <x:v>18900</x:v>
      </x:c>
      <x:c r="F13" s="27" t="n">
        <x:v>1890</x:v>
      </x:c>
      <x:c r="G13" s="27" t="n">
        <x:v>7560</x:v>
      </x:c>
      <x:c r="H13" s="27" t="n">
        <x:v>0</x:v>
      </x:c>
      <x:c r="I13" s="19" t="n">
        <x:f>SUM(D13:H13)</x:f>
        <x:v>94500</x:v>
      </x:c>
      <x:c r="J13" s="38"/>
      <x:c r="K13" s="38"/>
      <x:c r="L13" s="38"/>
      <x:c r="M13" s="38"/>
      <x:c r="N13" s="38"/>
    </x:row>
    <x:row r="14" ht="15" hidden="0" customHeight="1">
      <x:c r="C14" s="17" t="str">
        <x:v>M-SSG</x:v>
      </x:c>
      <x:c r="D14" s="27" t="n">
        <x:v>96915</x:v>
      </x:c>
      <x:c r="E14" s="27" t="n">
        <x:v>27690</x:v>
      </x:c>
      <x:c r="F14" s="27" t="n">
        <x:v>2769</x:v>
      </x:c>
      <x:c r="G14" s="27" t="n">
        <x:v>11076</x:v>
      </x:c>
      <x:c r="H14" s="27" t="n">
        <x:v>0</x:v>
      </x:c>
      <x:c r="I14" s="19" t="n">
        <x:f>SUM(D14:H14)</x:f>
        <x:v>138450</x:v>
      </x:c>
      <x:c r="J14" s="38"/>
      <x:c r="K14" s="38"/>
      <x:c r="L14" s="38"/>
      <x:c r="M14" s="38"/>
      <x:c r="N14" s="38"/>
    </x:row>
    <x:row r="15" ht="15" hidden="0" customHeight="1">
      <x:c r="C15" s="17" t="str">
        <x:v>L-ROG</x:v>
      </x:c>
      <x:c r="D15" s="27" t="n">
        <x:v>38538.5</x:v>
      </x:c>
      <x:c r="E15" s="27" t="n">
        <x:v>27527.5</x:v>
      </x:c>
      <x:c r="F15" s="27" t="n">
        <x:v>27527.5</x:v>
      </x:c>
      <x:c r="G15" s="27" t="n">
        <x:v>16516.5</x:v>
      </x:c>
      <x:c r="H15" s="27" t="n">
        <x:v>0</x:v>
      </x:c>
      <x:c r="I15" s="19" t="n">
        <x:f>SUM(D15:H15)</x:f>
        <x:v>110110</x:v>
      </x:c>
      <x:c r="J15" s="38"/>
      <x:c r="K15" s="38"/>
      <x:c r="L15" s="38"/>
      <x:c r="M15" s="38"/>
      <x:c r="N15" s="38"/>
    </x:row>
    <x:row r="16" ht="15" hidden="0" customHeight="1">
      <x:c r="C16" s="17" t="str">
        <x:v>J-TOC</x:v>
      </x:c>
      <x:c r="D16" s="27" t="n">
        <x:v>32400</x:v>
      </x:c>
      <x:c r="E16" s="27" t="n">
        <x:v>10800</x:v>
      </x:c>
      <x:c r="F16" s="27" t="n">
        <x:v>5400</x:v>
      </x:c>
      <x:c r="G16" s="27" t="n">
        <x:v>2700</x:v>
      </x:c>
      <x:c r="H16" s="27" t="n">
        <x:v>2700</x:v>
      </x:c>
      <x:c r="I16" s="19" t="n">
        <x:f>SUM(D16:H16)</x:f>
        <x:v>54000</x:v>
      </x:c>
      <x:c r="J16" s="38"/>
      <x:c r="K16" s="38"/>
      <x:c r="L16" s="38"/>
      <x:c r="M16" s="38"/>
      <x:c r="N16" s="38"/>
    </x:row>
    <x:row r="17" ht="15" hidden="0" customHeight="1">
      <x:c r="C17" s="17" t="str">
        <x:v>J-TSC</x:v>
      </x:c>
      <x:c r="D17" s="27" t="n">
        <x:v>68850</x:v>
      </x:c>
      <x:c r="E17" s="27" t="n">
        <x:v>22950</x:v>
      </x:c>
      <x:c r="F17" s="27" t="n">
        <x:v>11475</x:v>
      </x:c>
      <x:c r="G17" s="27" t="n">
        <x:v>5737.5</x:v>
      </x:c>
      <x:c r="H17" s="27" t="n">
        <x:v>5737.5</x:v>
      </x:c>
      <x:c r="I17" s="19" t="n">
        <x:f>SUM(D17:H17)</x:f>
        <x:v>114750</x:v>
      </x:c>
      <x:c r="J17" s="38"/>
      <x:c r="K17" s="38"/>
      <x:c r="L17" s="38"/>
      <x:c r="M17" s="38"/>
      <x:c r="N17" s="38"/>
    </x:row>
    <x:row r="18"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</x:row>
    <x:row r="19"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</x:row>
    <x:row r="20">
      <x:c r="C20" s="8" t="str">
        <x:v>Enterprise establishment</x:v>
      </x:c>
      <x:c r="D20" s="8"/>
      <x:c r="E20" s="8"/>
      <x:c r="F20" s="8"/>
      <x:c r="G20" s="8"/>
      <x:c r="H20" s="8"/>
      <x:c r="I20" s="8"/>
      <x:c r="J20" s="8"/>
      <x:c r="K20" s="38"/>
      <x:c r="L20" s="38"/>
      <x:c r="M20" s="38"/>
      <x:c r="N20" s="38"/>
    </x:row>
    <x:row r="21" ht="24" hidden="0" customHeight="1">
      <x:c r="C21" s="13" t="str">
        <x:v>Line</x:v>
      </x:c>
      <x:c r="D21" s="13" t="str">
        <x:v>Permanent federal</x:v>
      </x:c>
      <x:c r="E21" s="13" t="str">
        <x:v>Federal reserve</x:v>
      </x:c>
      <x:c r="F21" s="13" t="str">
        <x:v>State / territorial</x:v>
      </x:c>
      <x:c r="G21" s="13" t="str">
        <x:v>Certified industry</x:v>
      </x:c>
      <x:c r="H21" s="13" t="str">
        <x:v>Partner / allied</x:v>
      </x:c>
      <x:c r="I21" s="13" t="str">
        <x:v>Total</x:v>
      </x:c>
      <x:c r="J21" s="13" t="str">
        <x:v>Boundary</x:v>
      </x:c>
      <x:c r="K21" s="38"/>
      <x:c r="L21" s="38"/>
      <x:c r="M21" s="38"/>
      <x:c r="N21" s="38"/>
    </x:row>
    <x:row r="22" ht="36" hidden="0" customHeight="1">
      <x:c r="C22" s="17" t="str">
        <x:v>Direct formations</x:v>
      </x:c>
      <x:c r="D22" s="19" t="n">
        <x:f>SUM(D7:D17)</x:f>
        <x:v>680906</x:v>
      </x:c>
      <x:c r="E22" s="19" t="n">
        <x:f>SUM(E7:E17)</x:f>
        <x:v>239845</x:v>
      </x:c>
      <x:c r="F22" s="19" t="n">
        <x:f>SUM(F7:F17)</x:f>
        <x:v>71578</x:v>
      </x:c>
      <x:c r="G22" s="19" t="n">
        <x:f>SUM(G7:G17)</x:f>
        <x:v>77743.5</x:v>
      </x:c>
      <x:c r="H22" s="19" t="n">
        <x:f>SUM(H7:H17)</x:f>
        <x:v>8437.5</x:v>
      </x:c>
      <x:c r="I22" s="19" t="n">
        <x:f>SUM(D22:H22)</x:f>
        <x:v>1078510</x:v>
      </x:c>
      <x:c r="J22" s="17" t="str">
        <x:v>Eleven Pass 23 lines</x:v>
      </x:c>
      <x:c r="K22" s="38"/>
      <x:c r="L22" s="38"/>
      <x:c r="M22" s="38"/>
      <x:c r="N22" s="38"/>
    </x:row>
    <x:row r="23" ht="84" hidden="0" customHeight="1">
      <x:c r="C23" s="17" t="str">
        <x:v>Allocated institutional overhead</x:v>
      </x:c>
      <x:c r="D23" s="19" t="n">
        <x:f>I22*'Controls'!$D$19</x:f>
        <x:v>129421.2</x:v>
      </x:c>
      <x:c r="E23" s="19" t="n">
        <x:v>0</x:v>
      </x:c>
      <x:c r="F23" s="19" t="n">
        <x:v>0</x:v>
      </x:c>
      <x:c r="G23" s="19" t="n">
        <x:v>0</x:v>
      </x:c>
      <x:c r="H23" s="19" t="n">
        <x:v>0</x:v>
      </x:c>
      <x:c r="I23" s="19" t="n">
        <x:f>SUM(D23:H23)</x:f>
        <x:v>129421.2</x:v>
      </x:c>
      <x:c r="J23" s="17" t="str">
        <x:v>12% of direct billets, held in permanent federal component</x:v>
      </x:c>
      <x:c r="K23" s="38"/>
      <x:c r="L23" s="38"/>
      <x:c r="M23" s="38"/>
      <x:c r="N23" s="38"/>
    </x:row>
    <x:row r="24" ht="48" hidden="0" customHeight="1">
      <x:c r="C24" s="17" t="str">
        <x:v>Affiliated enterprise workforce</x:v>
      </x:c>
      <x:c r="D24" s="19" t="n">
        <x:f>SUM(D22:D23)</x:f>
        <x:v>810327.2</x:v>
      </x:c>
      <x:c r="E24" s="19" t="n">
        <x:f>SUM(E22:E23)</x:f>
        <x:v>239845</x:v>
      </x:c>
      <x:c r="F24" s="19" t="n">
        <x:f>SUM(F22:F23)</x:f>
        <x:v>71578</x:v>
      </x:c>
      <x:c r="G24" s="19" t="n">
        <x:f>SUM(G22:G23)</x:f>
        <x:v>77743.5</x:v>
      </x:c>
      <x:c r="H24" s="19" t="n">
        <x:f>SUM(H22:H23)</x:f>
        <x:v>8437.5</x:v>
      </x:c>
      <x:c r="I24" s="19" t="n">
        <x:f>SUM(I22:I23)</x:f>
        <x:v>1207931.2</x:v>
      </x:c>
      <x:c r="J24" s="17" t="str">
        <x:v>Crosswalk, not federal employee headcount</x:v>
      </x:c>
      <x:c r="K24" s="38"/>
      <x:c r="L24" s="38"/>
      <x:c r="M24" s="38"/>
      <x:c r="N24" s="38"/>
    </x:row>
  </x:sheetData>
  <x:mergeCells>
    <x:mergeCell ref="C20:J20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4" hidden="0" customWidth="1"/>
    <x:col min="4" max="4" width="46" hidden="0" customWidth="1"/>
    <x:col min="5" max="5" width="18" hidden="0" customWidth="1"/>
    <x:col min="6" max="6" width="20" hidden="0" customWidth="1"/>
    <x:col min="7" max="7" width="18" hidden="0" customWidth="1"/>
    <x:col min="8" max="8" width="24" hidden="0" customWidth="1"/>
    <x:col min="9" max="9" width="66" hidden="0" customWidth="1"/>
  </x:cols>
  <x:sheetData>
    <x:row r="2">
      <x:c r="C2" s="2" t="str">
        <x:v>Capital Crosswalk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C3" s="5" t="str">
        <x:v>Pass 24 decomposes existing Pass 23 WBS lines. Nothing on this sheet is additive to the $12.049T department reference.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  <x:row r="6" ht="36" hidden="0" customHeight="1">
      <x:c r="C6" s="13" t="str">
        <x:v>Line</x:v>
      </x:c>
      <x:c r="D6" s="13" t="str">
        <x:v>Pass 23 source</x:v>
      </x:c>
      <x:c r="E6" s="13" t="str">
        <x:v>Source capital $B</x:v>
      </x:c>
      <x:c r="F6" s="13" t="str">
        <x:v>Pass 24 allocated $B</x:v>
      </x:c>
      <x:c r="G6" s="13" t="str">
        <x:v>Unallocated $B</x:v>
      </x:c>
      <x:c r="H6" s="13" t="str">
        <x:v>Treatment</x:v>
      </x:c>
      <x:c r="I6" s="13" t="str">
        <x:v>Boundary</x:v>
      </x:c>
      <x:c r="J6" s="38"/>
      <x:c r="K6" s="38"/>
      <x:c r="L6" s="38"/>
      <x:c r="M6" s="38"/>
      <x:c r="N6" s="38"/>
    </x:row>
    <x:row r="7" ht="48" hidden="0" customHeight="1">
      <x:c r="C7" s="17" t="str">
        <x:v>A-SMW</x:v>
      </x:c>
      <x:c r="D7" s="17" t="str">
        <x:v>Strategic mobility wing</x:v>
      </x:c>
      <x:c r="E7" s="33" t="n">
        <x:v>464</x:v>
      </x:c>
      <x:c r="F7" s="21" t="n">
        <x:f>SUMIF('Asset Build'!$C$7:$C$43,C7,'Asset Build'!$G$7:$G$43)</x:f>
        <x:v>464</x:v>
      </x:c>
      <x:c r="G7" s="21" t="n">
        <x:f>E7-F7</x:f>
        <x:v>0</x:v>
      </x:c>
      <x:c r="H7" s="17" t="str">
        <x:v>Formation sub-WBS</x:v>
      </x:c>
      <x:c r="I7" s="17" t="str">
        <x:v>Asset Build must reconcile to source</x:v>
      </x:c>
      <x:c r="J7" s="38"/>
      <x:c r="K7" s="38"/>
      <x:c r="L7" s="38"/>
      <x:c r="M7" s="38"/>
      <x:c r="N7" s="38"/>
    </x:row>
    <x:row r="8" ht="48" hidden="0" customHeight="1">
      <x:c r="C8" s="17" t="str">
        <x:v>A-AAG</x:v>
      </x:c>
      <x:c r="D8" s="17" t="str">
        <x:v>Austere air-access group</x:v>
      </x:c>
      <x:c r="E8" s="33" t="n">
        <x:v>167.5</x:v>
      </x:c>
      <x:c r="F8" s="21" t="n">
        <x:f>SUMIF('Asset Build'!$C$7:$C$43,C8,'Asset Build'!$G$7:$G$43)</x:f>
        <x:v>167.5</x:v>
      </x:c>
      <x:c r="G8" s="21" t="n">
        <x:f>E8-F8</x:f>
        <x:v>0</x:v>
      </x:c>
      <x:c r="H8" s="17" t="str">
        <x:v>Formation sub-WBS</x:v>
      </x:c>
      <x:c r="I8" s="17" t="str">
        <x:v>Asset Build must reconcile to source</x:v>
      </x:c>
      <x:c r="J8" s="38"/>
      <x:c r="K8" s="38"/>
      <x:c r="L8" s="38"/>
      <x:c r="M8" s="38"/>
      <x:c r="N8" s="38"/>
    </x:row>
    <x:row r="9" ht="48" hidden="0" customHeight="1">
      <x:c r="C9" s="17" t="str">
        <x:v>A-TDG</x:v>
      </x:c>
      <x:c r="D9" s="17" t="str">
        <x:v>Tactical distribution group</x:v>
      </x:c>
      <x:c r="E9" s="33" t="n">
        <x:v>324</x:v>
      </x:c>
      <x:c r="F9" s="21" t="n">
        <x:f>SUMIF('Asset Build'!$C$7:$C$43,C9,'Asset Build'!$G$7:$G$43)</x:f>
        <x:v>324</x:v>
      </x:c>
      <x:c r="G9" s="21" t="n">
        <x:f>E9-F9</x:f>
        <x:v>0</x:v>
      </x:c>
      <x:c r="H9" s="17" t="str">
        <x:v>Formation sub-WBS</x:v>
      </x:c>
      <x:c r="I9" s="17" t="str">
        <x:v>Asset Build must reconcile to source</x:v>
      </x:c>
      <x:c r="J9" s="38"/>
      <x:c r="K9" s="38"/>
      <x:c r="L9" s="38"/>
      <x:c r="M9" s="38"/>
      <x:c r="N9" s="38"/>
    </x:row>
    <x:row r="10" ht="48" hidden="0" customHeight="1">
      <x:c r="C10" s="17" t="str">
        <x:v>M-POG</x:v>
      </x:c>
      <x:c r="D10" s="17" t="str">
        <x:v>Port-opening group</x:v>
      </x:c>
      <x:c r="E10" s="33" t="n">
        <x:v>180</x:v>
      </x:c>
      <x:c r="F10" s="21" t="n">
        <x:f>SUMIF('Asset Build'!$C$7:$C$43,C10,'Asset Build'!$G$7:$G$43)</x:f>
        <x:v>180</x:v>
      </x:c>
      <x:c r="G10" s="21" t="n">
        <x:f>E10-F10</x:f>
        <x:v>0</x:v>
      </x:c>
      <x:c r="H10" s="17" t="str">
        <x:v>Formation sub-WBS</x:v>
      </x:c>
      <x:c r="I10" s="17" t="str">
        <x:v>Asset Build must reconcile to source</x:v>
      </x:c>
      <x:c r="J10" s="38"/>
      <x:c r="K10" s="38"/>
      <x:c r="L10" s="38"/>
      <x:c r="M10" s="38"/>
      <x:c r="N10" s="38"/>
    </x:row>
    <x:row r="11" ht="48" hidden="0" customHeight="1">
      <x:c r="C11" s="17" t="str">
        <x:v>M-LAG</x:v>
      </x:c>
      <x:c r="D11" s="17" t="str">
        <x:v>Littoral-access group</x:v>
      </x:c>
      <x:c r="E11" s="33" t="n">
        <x:v>138</x:v>
      </x:c>
      <x:c r="F11" s="21" t="n">
        <x:f>SUMIF('Asset Build'!$C$7:$C$43,C11,'Asset Build'!$G$7:$G$43)</x:f>
        <x:v>138</x:v>
      </x:c>
      <x:c r="G11" s="21" t="n">
        <x:f>E11-F11</x:f>
        <x:v>0</x:v>
      </x:c>
      <x:c r="H11" s="17" t="str">
        <x:v>Formation sub-WBS</x:v>
      </x:c>
      <x:c r="I11" s="17" t="str">
        <x:v>Asset Build must reconcile to source</x:v>
      </x:c>
      <x:c r="J11" s="38"/>
      <x:c r="K11" s="38"/>
      <x:c r="L11" s="38"/>
      <x:c r="M11" s="38"/>
      <x:c r="N11" s="38"/>
    </x:row>
    <x:row r="12" ht="48" hidden="0" customHeight="1">
      <x:c r="C12" s="17" t="str">
        <x:v>M-IWG</x:v>
      </x:c>
      <x:c r="D12" s="17" t="str">
        <x:v>Inland-waterway group</x:v>
      </x:c>
      <x:c r="E12" s="33" t="n">
        <x:v>81</x:v>
      </x:c>
      <x:c r="F12" s="21" t="n">
        <x:f>SUMIF('Asset Build'!$C$7:$C$43,C12,'Asset Build'!$G$7:$G$43)</x:f>
        <x:v>81</x:v>
      </x:c>
      <x:c r="G12" s="21" t="n">
        <x:f>E12-F12</x:f>
        <x:v>0</x:v>
      </x:c>
      <x:c r="H12" s="17" t="str">
        <x:v>Formation sub-WBS</x:v>
      </x:c>
      <x:c r="I12" s="17" t="str">
        <x:v>Asset Build must reconcile to source</x:v>
      </x:c>
      <x:c r="J12" s="38"/>
      <x:c r="K12" s="38"/>
      <x:c r="L12" s="38"/>
      <x:c r="M12" s="38"/>
      <x:c r="N12" s="38"/>
    </x:row>
    <x:row r="13" ht="48" hidden="0" customHeight="1">
      <x:c r="C13" s="17" t="str">
        <x:v>M-OSG</x:v>
      </x:c>
      <x:c r="D13" s="17" t="str">
        <x:v>Offshore-support group</x:v>
      </x:c>
      <x:c r="E13" s="33" t="n">
        <x:v>315</x:v>
      </x:c>
      <x:c r="F13" s="21" t="n">
        <x:f>SUMIF('Asset Build'!$C$7:$C$43,C13,'Asset Build'!$G$7:$G$43)</x:f>
        <x:v>315</x:v>
      </x:c>
      <x:c r="G13" s="21" t="n">
        <x:f>E13-F13</x:f>
        <x:v>0</x:v>
      </x:c>
      <x:c r="H13" s="17" t="str">
        <x:v>Formation sub-WBS</x:v>
      </x:c>
      <x:c r="I13" s="17" t="str">
        <x:v>Asset Build must reconcile to source</x:v>
      </x:c>
      <x:c r="J13" s="38"/>
      <x:c r="K13" s="38"/>
      <x:c r="L13" s="38"/>
      <x:c r="M13" s="38"/>
      <x:c r="N13" s="38"/>
    </x:row>
    <x:row r="14" ht="48" hidden="0" customHeight="1">
      <x:c r="C14" s="17" t="str">
        <x:v>M-SSG</x:v>
      </x:c>
      <x:c r="D14" s="17" t="str">
        <x:v>Ocean sustainment group</x:v>
      </x:c>
      <x:c r="E14" s="33" t="n">
        <x:v>639</x:v>
      </x:c>
      <x:c r="F14" s="21" t="n">
        <x:f>SUMIF('Asset Build'!$C$7:$C$43,C14,'Asset Build'!$G$7:$G$43)</x:f>
        <x:v>639</x:v>
      </x:c>
      <x:c r="G14" s="21" t="n">
        <x:f>E14-F14</x:f>
        <x:v>0</x:v>
      </x:c>
      <x:c r="H14" s="17" t="str">
        <x:v>Formation sub-WBS</x:v>
      </x:c>
      <x:c r="I14" s="17" t="str">
        <x:v>Asset Build must reconcile to source</x:v>
      </x:c>
      <x:c r="J14" s="38"/>
      <x:c r="K14" s="38"/>
      <x:c r="L14" s="38"/>
      <x:c r="M14" s="38"/>
      <x:c r="N14" s="38"/>
    </x:row>
    <x:row r="15" ht="48" hidden="0" customHeight="1">
      <x:c r="C15" s="17" t="str">
        <x:v>L-ROG</x:v>
      </x:c>
      <x:c r="D15" s="17" t="str">
        <x:v>Access and route-opening group</x:v>
      </x:c>
      <x:c r="E15" s="33" t="n">
        <x:v>145.2</x:v>
      </x:c>
      <x:c r="F15" s="21" t="n">
        <x:f>SUMIF('Asset Build'!$C$7:$C$43,C15,'Asset Build'!$G$7:$G$43)</x:f>
        <x:v>145.2</x:v>
      </x:c>
      <x:c r="G15" s="21" t="n">
        <x:f>E15-F15</x:f>
        <x:v>0</x:v>
      </x:c>
      <x:c r="H15" s="17" t="str">
        <x:v>Formation sub-WBS</x:v>
      </x:c>
      <x:c r="I15" s="17" t="str">
        <x:v>Asset Build must reconcile to source</x:v>
      </x:c>
      <x:c r="J15" s="38"/>
      <x:c r="K15" s="38"/>
      <x:c r="L15" s="38"/>
      <x:c r="M15" s="38"/>
      <x:c r="N15" s="38"/>
    </x:row>
    <x:row r="16" ht="48" hidden="0" customHeight="1">
      <x:c r="C16" s="17" t="str">
        <x:v>J-TOC</x:v>
      </x:c>
      <x:c r="D16" s="17" t="str">
        <x:v>Theater-opening command</x:v>
      </x:c>
      <x:c r="E16" s="33" t="n">
        <x:v>43.2</x:v>
      </x:c>
      <x:c r="F16" s="21" t="n">
        <x:f>SUMIF('Asset Build'!$C$7:$C$43,C16,'Asset Build'!$G$7:$G$43)</x:f>
        <x:v>43.199999999999996</x:v>
      </x:c>
      <x:c r="G16" s="21" t="n">
        <x:f>E16-F16</x:f>
        <x:v>7.105427357601002e-15</x:v>
      </x:c>
      <x:c r="H16" s="17" t="str">
        <x:v>Formation sub-WBS</x:v>
      </x:c>
      <x:c r="I16" s="17" t="str">
        <x:v>Asset Build must reconcile to source</x:v>
      </x:c>
      <x:c r="J16" s="38"/>
      <x:c r="K16" s="38"/>
      <x:c r="L16" s="38"/>
      <x:c r="M16" s="38"/>
      <x:c r="N16" s="38"/>
    </x:row>
    <x:row r="17" ht="48" hidden="0" customHeight="1">
      <x:c r="C17" s="17" t="str">
        <x:v>J-TSC</x:v>
      </x:c>
      <x:c r="D17" s="17" t="str">
        <x:v>Theater sustainment command</x:v>
      </x:c>
      <x:c r="E17" s="33" t="n">
        <x:v>76.5</x:v>
      </x:c>
      <x:c r="F17" s="21" t="n">
        <x:f>SUMIF('Asset Build'!$C$7:$C$43,C17,'Asset Build'!$G$7:$G$43)</x:f>
        <x:v>76.5</x:v>
      </x:c>
      <x:c r="G17" s="21" t="n">
        <x:f>E17-F17</x:f>
        <x:v>0</x:v>
      </x:c>
      <x:c r="H17" s="17" t="str">
        <x:v>Formation sub-WBS</x:v>
      </x:c>
      <x:c r="I17" s="17" t="str">
        <x:v>Asset Build must reconcile to source</x:v>
      </x:c>
      <x:c r="J17" s="38"/>
      <x:c r="K17" s="38"/>
      <x:c r="L17" s="38"/>
      <x:c r="M17" s="38"/>
      <x:c r="N17" s="38"/>
    </x:row>
    <x:row r="18"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</x:row>
    <x:row r="19"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</x:row>
    <x:row r="20">
      <x:c r="C20" s="8" t="str">
        <x:v>Common enabling allocations</x:v>
      </x:c>
      <x:c r="D20" s="8"/>
      <x:c r="E20" s="8"/>
      <x:c r="F20" s="8"/>
      <x:c r="G20" s="8"/>
      <x:c r="H20" s="8"/>
      <x:c r="I20" s="8"/>
      <x:c r="J20" s="38"/>
      <x:c r="K20" s="38"/>
      <x:c r="L20" s="38"/>
      <x:c r="M20" s="38"/>
      <x:c r="N20" s="38"/>
    </x:row>
    <x:row r="21" ht="36" hidden="0" customHeight="1">
      <x:c r="C21" s="13" t="str">
        <x:v>Line</x:v>
      </x:c>
      <x:c r="D21" s="13" t="str">
        <x:v>Pass 23 source</x:v>
      </x:c>
      <x:c r="E21" s="13" t="str">
        <x:v>Source capital $B</x:v>
      </x:c>
      <x:c r="F21" s="13" t="str">
        <x:v>Pass 24 allocated $B</x:v>
      </x:c>
      <x:c r="G21" s="13" t="str">
        <x:v>Unallocated $B</x:v>
      </x:c>
      <x:c r="H21" s="13" t="str">
        <x:v>Treatment</x:v>
      </x:c>
      <x:c r="I21" s="13" t="str">
        <x:v>Boundary</x:v>
      </x:c>
      <x:c r="J21" s="38"/>
      <x:c r="K21" s="38"/>
      <x:c r="L21" s="38"/>
      <x:c r="M21" s="38"/>
      <x:c r="N21" s="38"/>
    </x:row>
    <x:row r="22" ht="60" hidden="0" customHeight="1">
      <x:c r="C22" s="17" t="str">
        <x:v>3.1</x:v>
      </x:c>
      <x:c r="D22" s="17" t="str">
        <x:v>Non-NUPS bases, depots and ranges</x:v>
      </x:c>
      <x:c r="E22" s="33" t="n">
        <x:v>650</x:v>
      </x:c>
      <x:c r="F22" s="33" t="n">
        <x:v>600</x:v>
      </x:c>
      <x:c r="G22" s="21" t="n">
        <x:f>E22-F22</x:f>
        <x:v>50</x:v>
      </x:c>
      <x:c r="H22" s="17" t="str">
        <x:v>Prepared Network</x:v>
      </x:c>
      <x:c r="I22" s="17" t="str">
        <x:v>Four node classes; $50B remains elsewhere</x:v>
      </x:c>
      <x:c r="J22" s="38"/>
      <x:c r="K22" s="38"/>
      <x:c r="L22" s="38"/>
      <x:c r="M22" s="38"/>
      <x:c r="N22" s="38"/>
    </x:row>
    <x:row r="23" ht="60" hidden="0" customHeight="1">
      <x:c r="C23" s="17" t="str">
        <x:v>3.2</x:v>
      </x:c>
      <x:c r="D23" s="17" t="str">
        <x:v>Science, technology and proving outside NUPS</x:v>
      </x:c>
      <x:c r="E23" s="33" t="n">
        <x:v>1500</x:v>
      </x:c>
      <x:c r="F23" s="33" t="n">
        <x:v>220</x:v>
      </x:c>
      <x:c r="G23" s="21" t="n">
        <x:f>E23-F23</x:f>
        <x:v>1280</x:v>
      </x:c>
      <x:c r="H23" s="17" t="str">
        <x:v>Innovation Portfolio</x:v>
      </x:c>
      <x:c r="I23" s="17" t="str">
        <x:v>Mission-specific R&amp;D share</x:v>
      </x:c>
      <x:c r="J23" s="38"/>
      <x:c r="K23" s="38"/>
      <x:c r="L23" s="38"/>
      <x:c r="M23" s="38"/>
      <x:c r="N23" s="38"/>
    </x:row>
    <x:row r="24" ht="60" hidden="0" customHeight="1">
      <x:c r="C24" s="17" t="str">
        <x:v>3.3</x:v>
      </x:c>
      <x:c r="D24" s="17" t="str">
        <x:v>Education and workforce infrastructure</x:v>
      </x:c>
      <x:c r="E24" s="33" t="n">
        <x:v>350</x:v>
      </x:c>
      <x:c r="F24" s="33" t="n">
        <x:v>120</x:v>
      </x:c>
      <x:c r="G24" s="21" t="n">
        <x:f>E24-F24</x:f>
        <x:v>230</x:v>
      </x:c>
      <x:c r="H24" s="17" t="str">
        <x:v>Schools and qualification</x:v>
      </x:c>
      <x:c r="I24" s="17" t="str">
        <x:v>Deployment enterprise share</x:v>
      </x:c>
      <x:c r="J24" s="38"/>
      <x:c r="K24" s="38"/>
      <x:c r="L24" s="38"/>
      <x:c r="M24" s="38"/>
      <x:c r="N24" s="38"/>
    </x:row>
    <x:row r="25" ht="60" hidden="0" customHeight="1">
      <x:c r="C25" s="17" t="str">
        <x:v>3.4</x:v>
      </x:c>
      <x:c r="D25" s="17" t="str">
        <x:v>Information, forecast and common digital</x:v>
      </x:c>
      <x:c r="E25" s="33" t="n">
        <x:v>400</x:v>
      </x:c>
      <x:c r="F25" s="33" t="n">
        <x:v>90</x:v>
      </x:c>
      <x:c r="G25" s="21" t="n">
        <x:f>E25-F25</x:f>
        <x:v>310</x:v>
      </x:c>
      <x:c r="H25" s="17" t="str">
        <x:v>Movement and asset visibility</x:v>
      </x:c>
      <x:c r="I25" s="17" t="str">
        <x:v>Deployment enterprise share</x:v>
      </x:c>
      <x:c r="J25" s="38"/>
      <x:c r="K25" s="38"/>
      <x:c r="L25" s="38"/>
      <x:c r="M25" s="38"/>
      <x:c r="N25" s="38"/>
    </x:row>
    <x:row r="26" ht="72" hidden="0" customHeight="1">
      <x:c r="C26" s="17" t="str">
        <x:v>3.5</x:v>
      </x:c>
      <x:c r="D26" s="17" t="str">
        <x:v>Strategic industry and materials outside NUPS</x:v>
      </x:c>
      <x:c r="E26" s="33" t="n">
        <x:v>500</x:v>
      </x:c>
      <x:c r="F26" s="33" t="n">
        <x:v>350</x:v>
      </x:c>
      <x:c r="G26" s="21" t="n">
        <x:f>E26-F26</x:f>
        <x:v>150</x:v>
      </x:c>
      <x:c r="H26" s="17" t="str">
        <x:v>Shipyards, aircraft, rail and critical spares</x:v>
      </x:c>
      <x:c r="I26" s="17" t="str">
        <x:v>Deployment enterprise share</x:v>
      </x:c>
      <x:c r="J26" s="38"/>
      <x:c r="K26" s="38"/>
      <x:c r="L26" s="38"/>
      <x:c r="M26" s="38"/>
      <x:c r="N26" s="38"/>
    </x:row>
    <x:row r="27"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</x:row>
    <x:row r="28"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</x:row>
    <x:row r="29">
      <x:c r="C29" s="8" t="str">
        <x:v>Attributable envelope</x:v>
      </x:c>
      <x:c r="D29" s="8"/>
      <x:c r="E29" s="8"/>
      <x:c r="F29" s="8"/>
      <x:c r="G29" s="8"/>
      <x:c r="H29" s="8"/>
      <x:c r="I29" s="8"/>
      <x:c r="J29" s="38"/>
      <x:c r="K29" s="38"/>
      <x:c r="L29" s="38"/>
      <x:c r="M29" s="38"/>
      <x:c r="N29" s="38"/>
    </x:row>
    <x:row r="30" ht="36" hidden="0" customHeight="1">
      <x:c r="C30" s="13" t="str">
        <x:v>Measure</x:v>
      </x:c>
      <x:c r="D30" s="13" t="str">
        <x:v>Value $B</x:v>
      </x:c>
      <x:c r="E30" s="13" t="str">
        <x:v>Treatment</x:v>
      </x:c>
      <x:c r="F30" s="13" t="str">
        <x:v>Relationship to Pass 23</x:v>
      </x:c>
      <x:c r="G30" s="38"/>
      <x:c r="H30" s="38"/>
      <x:c r="I30" s="38"/>
      <x:c r="J30" s="38"/>
      <x:c r="K30" s="38"/>
      <x:c r="L30" s="38"/>
      <x:c r="M30" s="38"/>
      <x:c r="N30" s="38"/>
    </x:row>
    <x:row r="31" ht="60" hidden="0" customHeight="1">
      <x:c r="C31" s="17" t="str">
        <x:v>Formation capital</x:v>
      </x:c>
      <x:c r="D31" s="21" t="n">
        <x:f>SUM(F7:F17)</x:f>
        <x:v>2573.3999999999996</x:v>
      </x:c>
      <x:c r="E31" s="17" t="str">
        <x:v>Calculated</x:v>
      </x:c>
      <x:c r="F31" s="17" t="str">
        <x:v>Inside $4,942.85B non-NUPS formation line</x:v>
      </x:c>
      <x:c r="G31" s="38"/>
      <x:c r="H31" s="38"/>
      <x:c r="I31" s="38"/>
      <x:c r="J31" s="38"/>
      <x:c r="K31" s="38"/>
      <x:c r="L31" s="38"/>
      <x:c r="M31" s="38"/>
      <x:c r="N31" s="38"/>
    </x:row>
    <x:row r="32" ht="48" hidden="0" customHeight="1">
      <x:c r="C32" s="17" t="str">
        <x:v>Common enabling allocation</x:v>
      </x:c>
      <x:c r="D32" s="21" t="n">
        <x:f>SUM(F22:F26)</x:f>
        <x:v>1380</x:v>
      </x:c>
      <x:c r="E32" s="17" t="str">
        <x:v>Calculated</x:v>
      </x:c>
      <x:c r="F32" s="17" t="str">
        <x:v>Inside five common enabling lines</x:v>
      </x:c>
      <x:c r="G32" s="38"/>
      <x:c r="H32" s="38"/>
      <x:c r="I32" s="38"/>
      <x:c r="J32" s="38"/>
      <x:c r="K32" s="38"/>
      <x:c r="L32" s="38"/>
      <x:c r="M32" s="38"/>
      <x:c r="N32" s="38"/>
    </x:row>
    <x:row r="33" ht="36" hidden="0" customHeight="1">
      <x:c r="C33" s="17" t="str">
        <x:v>Pre-reserve attributable capital</x:v>
      </x:c>
      <x:c r="D33" s="21" t="n">
        <x:f>SUM(D31:D32)</x:f>
        <x:v>3953.3999999999996</x:v>
      </x:c>
      <x:c r="E33" s="17" t="str">
        <x:v>Subtotal</x:v>
      </x:c>
      <x:c r="F33" s="17" t="str">
        <x:v>No incremental claim</x:v>
      </x:c>
      <x:c r="G33" s="38"/>
      <x:c r="H33" s="38"/>
      <x:c r="I33" s="38"/>
      <x:c r="J33" s="38"/>
      <x:c r="K33" s="38"/>
      <x:c r="L33" s="38"/>
      <x:c r="M33" s="38"/>
      <x:c r="N33" s="38"/>
    </x:row>
    <x:row r="34" ht="48" hidden="0" customHeight="1">
      <x:c r="C34" s="17" t="str">
        <x:v>Attributable program reserve</x:v>
      </x:c>
      <x:c r="D34" s="21" t="n">
        <x:f>D33*'Controls'!$D$20</x:f>
        <x:v>790.68</x:v>
      </x:c>
      <x:c r="E34" s="17" t="str">
        <x:v>20% policy reserve</x:v>
      </x:c>
      <x:c r="F34" s="17" t="str">
        <x:v>Part of Pass 23 program reserve</x:v>
      </x:c>
      <x:c r="G34" s="38"/>
      <x:c r="H34" s="38"/>
      <x:c r="I34" s="38"/>
      <x:c r="J34" s="38"/>
      <x:c r="K34" s="38"/>
      <x:c r="L34" s="38"/>
      <x:c r="M34" s="38"/>
      <x:c r="N34" s="38"/>
    </x:row>
    <x:row r="35" ht="60" hidden="0" customHeight="1">
      <x:c r="C35" s="17" t="str">
        <x:v>Attributable capital envelope</x:v>
      </x:c>
      <x:c r="D35" s="21" t="n">
        <x:f>SUM(D33:D34)</x:f>
        <x:v>4744.08</x:v>
      </x:c>
      <x:c r="E35" s="17" t="str">
        <x:v>Reference</x:v>
      </x:c>
      <x:c r="F35" s="17" t="str">
        <x:v>Inside $12,049.02B department capital</x:v>
      </x:c>
      <x:c r="G35" s="38"/>
      <x:c r="H35" s="38"/>
      <x:c r="I35" s="38"/>
      <x:c r="J35" s="38"/>
      <x:c r="K35" s="38"/>
      <x:c r="L35" s="38"/>
      <x:c r="M35" s="38"/>
      <x:c r="N35" s="38"/>
    </x:row>
  </x:sheetData>
  <x:mergeCells>
    <x:mergeCell ref="C20:I20"/>
    <x:mergeCell ref="C29:I29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6" hidden="0" customWidth="1"/>
    <x:col min="4" max="4" width="14" hidden="0" customWidth="1"/>
    <x:col min="5" max="5" width="18" hidden="0" customWidth="1"/>
    <x:col min="6" max="6" width="16" hidden="0" customWidth="1"/>
    <x:col min="7" max="7" width="18" hidden="0" customWidth="1"/>
    <x:col min="8" max="8" width="64" hidden="0" customWidth="1"/>
  </x:cols>
  <x:sheetData>
    <x:row r="2">
      <x:c r="C2" s="2" t="str">
        <x:v>Twenty-Five-Year Funding Profile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C3" s="5" t="str">
        <x:v>Normalized planning weights phase the attributable enterprise envelope; FY2026 dollars, no escalation or financing assumptions.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 ht="24" hidden="0" customHeight="1">
      <x:c r="C6" s="13" t="str">
        <x:v>Program year</x:v>
      </x:c>
      <x:c r="D6" s="13" t="str">
        <x:v>Raw weight</x:v>
      </x:c>
      <x:c r="E6" s="13" t="str">
        <x:v>Normalized share</x:v>
      </x:c>
      <x:c r="F6" s="13" t="str">
        <x:v>Capital $B</x:v>
      </x:c>
      <x:c r="G6" s="13" t="str">
        <x:v>Cumulative $B</x:v>
      </x:c>
      <x:c r="H6" s="13" t="str">
        <x:v>Program focus</x:v>
      </x:c>
      <x:c r="I6" s="38"/>
      <x:c r="J6" s="38"/>
      <x:c r="K6" s="38"/>
      <x:c r="L6" s="38"/>
      <x:c r="M6" s="38"/>
      <x:c r="N6" s="38"/>
      <x:c r="O6" s="38"/>
    </x:row>
    <x:row r="7" ht="60" hidden="0" customHeight="1">
      <x:c r="C7" s="17" t="n">
        <x:v>1</x:v>
      </x:c>
      <x:c r="D7" s="28" t="n">
        <x:v>1.5</x:v>
      </x:c>
      <x:c r="E7" s="26" t="n">
        <x:f>D7/SUM($D$7:$D$31)</x:f>
        <x:v>0.016574585635359115</x:v>
      </x:c>
      <x:c r="F7" s="21" t="n">
        <x:f>E7*'Capital Crosswalk'!$D$35</x:f>
        <x:v>78.63116022099447</x:v>
      </x:c>
      <x:c r="G7" s="21" t="n">
        <x:f>SUM($F$7:F7)</x:f>
        <x:v>78.63116022099447</x:v>
      </x:c>
      <x:c r="H7" s="17" t="str">
        <x:v>architecture, prototypes and enabling sites</x:v>
      </x:c>
      <x:c r="I7" s="38"/>
      <x:c r="J7" s="38"/>
      <x:c r="K7" s="38"/>
      <x:c r="L7" s="38"/>
      <x:c r="M7" s="38"/>
      <x:c r="N7" s="38"/>
      <x:c r="O7" s="38"/>
    </x:row>
    <x:row r="8" ht="60" hidden="0" customHeight="1">
      <x:c r="C8" s="17" t="n">
        <x:v>2</x:v>
      </x:c>
      <x:c r="D8" s="28" t="n">
        <x:v>2</x:v>
      </x:c>
      <x:c r="E8" s="26" t="n">
        <x:f>D8/SUM($D$7:$D$31)</x:f>
        <x:v>0.022099447513812154</x:v>
      </x:c>
      <x:c r="F8" s="21" t="n">
        <x:f>E8*'Capital Crosswalk'!$D$35</x:f>
        <x:v>104.84154696132596</x:v>
      </x:c>
      <x:c r="G8" s="21" t="n">
        <x:f>SUM($F$7:F8)</x:f>
        <x:v>183.47270718232045</x:v>
      </x:c>
      <x:c r="H8" s="17" t="str">
        <x:v>architecture, prototypes and enabling sites</x:v>
      </x:c>
      <x:c r="I8" s="38"/>
      <x:c r="J8" s="38"/>
      <x:c r="K8" s="38"/>
      <x:c r="L8" s="38"/>
      <x:c r="M8" s="38"/>
      <x:c r="N8" s="38"/>
      <x:c r="O8" s="38"/>
    </x:row>
    <x:row r="9" ht="60" hidden="0" customHeight="1">
      <x:c r="C9" s="17" t="n">
        <x:v>3</x:v>
      </x:c>
      <x:c r="D9" s="28" t="n">
        <x:v>2.5</x:v>
      </x:c>
      <x:c r="E9" s="26" t="n">
        <x:f>D9/SUM($D$7:$D$31)</x:f>
        <x:v>0.027624309392265192</x:v>
      </x:c>
      <x:c r="F9" s="21" t="n">
        <x:f>E9*'Capital Crosswalk'!$D$35</x:f>
        <x:v>131.05193370165745</x:v>
      </x:c>
      <x:c r="G9" s="21" t="n">
        <x:f>SUM($F$7:F9)</x:f>
        <x:v>314.5246408839779</x:v>
      </x:c>
      <x:c r="H9" s="17" t="str">
        <x:v>architecture, prototypes and enabling sites</x:v>
      </x:c>
      <x:c r="I9" s="38"/>
      <x:c r="J9" s="38"/>
      <x:c r="K9" s="38"/>
      <x:c r="L9" s="38"/>
      <x:c r="M9" s="38"/>
      <x:c r="N9" s="38"/>
      <x:c r="O9" s="38"/>
    </x:row>
    <x:row r="10" ht="60" hidden="0" customHeight="1">
      <x:c r="C10" s="17" t="n">
        <x:v>4</x:v>
      </x:c>
      <x:c r="D10" s="28" t="n">
        <x:v>3</x:v>
      </x:c>
      <x:c r="E10" s="26" t="n">
        <x:f>D10/SUM($D$7:$D$31)</x:f>
        <x:v>0.03314917127071823</x:v>
      </x:c>
      <x:c r="F10" s="21" t="n">
        <x:f>E10*'Capital Crosswalk'!$D$35</x:f>
        <x:v>157.26232044198895</x:v>
      </x:c>
      <x:c r="G10" s="21" t="n">
        <x:f>SUM($F$7:F10)</x:f>
        <x:v>471.78696132596684</x:v>
      </x:c>
      <x:c r="H10" s="17" t="str">
        <x:v>architecture, prototypes and enabling sites</x:v>
      </x:c>
      <x:c r="I10" s="38"/>
      <x:c r="J10" s="38"/>
      <x:c r="K10" s="38"/>
      <x:c r="L10" s="38"/>
      <x:c r="M10" s="38"/>
      <x:c r="N10" s="38"/>
      <x:c r="O10" s="38"/>
    </x:row>
    <x:row r="11" ht="60" hidden="0" customHeight="1">
      <x:c r="C11" s="17" t="n">
        <x:v>5</x:v>
      </x:c>
      <x:c r="D11" s="28" t="n">
        <x:v>4</x:v>
      </x:c>
      <x:c r="E11" s="26" t="n">
        <x:f>D11/SUM($D$7:$D$31)</x:f>
        <x:v>0.04419889502762431</x:v>
      </x:c>
      <x:c r="F11" s="21" t="n">
        <x:f>E11*'Capital Crosswalk'!$D$35</x:f>
        <x:v>209.68309392265192</x:v>
      </x:c>
      <x:c r="G11" s="21" t="n">
        <x:f>SUM($F$7:F11)</x:f>
        <x:v>681.4700552486188</x:v>
      </x:c>
      <x:c r="H11" s="17" t="str">
        <x:v>industrial expansion and serial procurement</x:v>
      </x:c>
      <x:c r="I11" s="38"/>
      <x:c r="J11" s="38"/>
      <x:c r="K11" s="38"/>
      <x:c r="L11" s="38"/>
      <x:c r="M11" s="38"/>
      <x:c r="N11" s="38"/>
      <x:c r="O11" s="38"/>
    </x:row>
    <x:row r="12" ht="60" hidden="0" customHeight="1">
      <x:c r="C12" s="17" t="n">
        <x:v>6</x:v>
      </x:c>
      <x:c r="D12" s="28" t="n">
        <x:v>5</x:v>
      </x:c>
      <x:c r="E12" s="26" t="n">
        <x:f>D12/SUM($D$7:$D$31)</x:f>
        <x:v>0.055248618784530384</x:v>
      </x:c>
      <x:c r="F12" s="21" t="n">
        <x:f>E12*'Capital Crosswalk'!$D$35</x:f>
        <x:v>262.1038674033149</x:v>
      </x:c>
      <x:c r="G12" s="21" t="n">
        <x:f>SUM($F$7:F12)</x:f>
        <x:v>943.5739226519337</x:v>
      </x:c>
      <x:c r="H12" s="17" t="str">
        <x:v>industrial expansion and serial procurement</x:v>
      </x:c>
      <x:c r="I12" s="38"/>
      <x:c r="J12" s="38"/>
      <x:c r="K12" s="38"/>
      <x:c r="L12" s="38"/>
      <x:c r="M12" s="38"/>
      <x:c r="N12" s="38"/>
      <x:c r="O12" s="38"/>
    </x:row>
    <x:row r="13" ht="60" hidden="0" customHeight="1">
      <x:c r="C13" s="17" t="n">
        <x:v>7</x:v>
      </x:c>
      <x:c r="D13" s="28" t="n">
        <x:v>5.5</x:v>
      </x:c>
      <x:c r="E13" s="26" t="n">
        <x:f>D13/SUM($D$7:$D$31)</x:f>
        <x:v>0.06077348066298342</x:v>
      </x:c>
      <x:c r="F13" s="21" t="n">
        <x:f>E13*'Capital Crosswalk'!$D$35</x:f>
        <x:v>288.3142541436464</x:v>
      </x:c>
      <x:c r="G13" s="21" t="n">
        <x:f>SUM($F$7:F13)</x:f>
        <x:v>1231.88817679558</x:v>
      </x:c>
      <x:c r="H13" s="17" t="str">
        <x:v>industrial expansion and serial procurement</x:v>
      </x:c>
      <x:c r="I13" s="38"/>
      <x:c r="J13" s="38"/>
      <x:c r="K13" s="38"/>
      <x:c r="L13" s="38"/>
      <x:c r="M13" s="38"/>
      <x:c r="N13" s="38"/>
      <x:c r="O13" s="38"/>
    </x:row>
    <x:row r="14" ht="60" hidden="0" customHeight="1">
      <x:c r="C14" s="17" t="n">
        <x:v>8</x:v>
      </x:c>
      <x:c r="D14" s="28" t="n">
        <x:v>6</x:v>
      </x:c>
      <x:c r="E14" s="26" t="n">
        <x:f>D14/SUM($D$7:$D$31)</x:f>
        <x:v>0.06629834254143646</x:v>
      </x:c>
      <x:c r="F14" s="21" t="n">
        <x:f>E14*'Capital Crosswalk'!$D$35</x:f>
        <x:v>314.5246408839779</x:v>
      </x:c>
      <x:c r="G14" s="21" t="n">
        <x:f>SUM($F$7:F14)</x:f>
        <x:v>1546.412817679558</x:v>
      </x:c>
      <x:c r="H14" s="17" t="str">
        <x:v>industrial expansion and serial procurement</x:v>
      </x:c>
      <x:c r="I14" s="38"/>
      <x:c r="J14" s="38"/>
      <x:c r="K14" s="38"/>
      <x:c r="L14" s="38"/>
      <x:c r="M14" s="38"/>
      <x:c r="N14" s="38"/>
      <x:c r="O14" s="38"/>
    </x:row>
    <x:row r="15" ht="60" hidden="0" customHeight="1">
      <x:c r="C15" s="17" t="n">
        <x:v>9</x:v>
      </x:c>
      <x:c r="D15" s="28" t="n">
        <x:v>6.5</x:v>
      </x:c>
      <x:c r="E15" s="26" t="n">
        <x:f>D15/SUM($D$7:$D$31)</x:f>
        <x:v>0.0718232044198895</x:v>
      </x:c>
      <x:c r="F15" s="21" t="n">
        <x:f>E15*'Capital Crosswalk'!$D$35</x:f>
        <x:v>340.7350276243094</x:v>
      </x:c>
      <x:c r="G15" s="21" t="n">
        <x:f>SUM($F$7:F15)</x:f>
        <x:v>1887.1478453038674</x:v>
      </x:c>
      <x:c r="H15" s="17" t="str">
        <x:v>industrial expansion and serial procurement</x:v>
      </x:c>
      <x:c r="I15" s="38"/>
      <x:c r="J15" s="38"/>
      <x:c r="K15" s="38"/>
      <x:c r="L15" s="38"/>
      <x:c r="M15" s="38"/>
      <x:c r="N15" s="38"/>
      <x:c r="O15" s="38"/>
    </x:row>
    <x:row r="16" ht="60" hidden="0" customHeight="1">
      <x:c r="C16" s="17" t="n">
        <x:v>10</x:v>
      </x:c>
      <x:c r="D16" s="28" t="n">
        <x:v>6.5</x:v>
      </x:c>
      <x:c r="E16" s="26" t="n">
        <x:f>D16/SUM($D$7:$D$31)</x:f>
        <x:v>0.0718232044198895</x:v>
      </x:c>
      <x:c r="F16" s="21" t="n">
        <x:f>E16*'Capital Crosswalk'!$D$35</x:f>
        <x:v>340.7350276243094</x:v>
      </x:c>
      <x:c r="G16" s="21" t="n">
        <x:f>SUM($F$7:F16)</x:f>
        <x:v>2227.8828729281768</x:v>
      </x:c>
      <x:c r="H16" s="17" t="str">
        <x:v>industrial expansion and serial procurement</x:v>
      </x:c>
      <x:c r="I16" s="38"/>
      <x:c r="J16" s="38"/>
      <x:c r="K16" s="38"/>
      <x:c r="L16" s="38"/>
      <x:c r="M16" s="38"/>
      <x:c r="N16" s="38"/>
      <x:c r="O16" s="38"/>
    </x:row>
    <x:row r="17" ht="60" hidden="0" customHeight="1">
      <x:c r="C17" s="17" t="n">
        <x:v>11</x:v>
      </x:c>
      <x:c r="D17" s="28" t="n">
        <x:v>6.2</x:v>
      </x:c>
      <x:c r="E17" s="26" t="n">
        <x:f>D17/SUM($D$7:$D$31)</x:f>
        <x:v>0.06850828729281769</x:v>
      </x:c>
      <x:c r="F17" s="21" t="n">
        <x:f>E17*'Capital Crosswalk'!$D$35</x:f>
        <x:v>325.00879558011053</x:v>
      </x:c>
      <x:c r="G17" s="21" t="n">
        <x:f>SUM($F$7:F17)</x:f>
        <x:v>2552.8916685082872</x:v>
      </x:c>
      <x:c r="H17" s="17" t="str">
        <x:v>industrial expansion and serial procurement</x:v>
      </x:c>
      <x:c r="I17" s="38"/>
      <x:c r="J17" s="38"/>
      <x:c r="K17" s="38"/>
      <x:c r="L17" s="38"/>
      <x:c r="M17" s="38"/>
      <x:c r="N17" s="38"/>
      <x:c r="O17" s="38"/>
    </x:row>
    <x:row r="18" ht="60" hidden="0" customHeight="1">
      <x:c r="C18" s="17" t="n">
        <x:v>12</x:v>
      </x:c>
      <x:c r="D18" s="28" t="n">
        <x:v>5.8</x:v>
      </x:c>
      <x:c r="E18" s="26" t="n">
        <x:f>D18/SUM($D$7:$D$31)</x:f>
        <x:v>0.06408839779005525</x:v>
      </x:c>
      <x:c r="F18" s="21" t="n">
        <x:f>E18*'Capital Crosswalk'!$D$35</x:f>
        <x:v>304.0404861878453</x:v>
      </x:c>
      <x:c r="G18" s="21" t="n">
        <x:f>SUM($F$7:F18)</x:f>
        <x:v>2856.932154696133</x:v>
      </x:c>
      <x:c r="H18" s="17" t="str">
        <x:v>industrial expansion and serial procurement</x:v>
      </x:c>
      <x:c r="I18" s="38"/>
      <x:c r="J18" s="38"/>
      <x:c r="K18" s="38"/>
      <x:c r="L18" s="38"/>
      <x:c r="M18" s="38"/>
      <x:c r="N18" s="38"/>
      <x:c r="O18" s="38"/>
    </x:row>
    <x:row r="19" ht="60" hidden="0" customHeight="1">
      <x:c r="C19" s="17" t="n">
        <x:v>13</x:v>
      </x:c>
      <x:c r="D19" s="28" t="n">
        <x:v>5.4</x:v>
      </x:c>
      <x:c r="E19" s="26" t="n">
        <x:f>D19/SUM($D$7:$D$31)</x:f>
        <x:v>0.059668508287292824</x:v>
      </x:c>
      <x:c r="F19" s="21" t="n">
        <x:f>E19*'Capital Crosswalk'!$D$35</x:f>
        <x:v>283.0721767955801</x:v>
      </x:c>
      <x:c r="G19" s="21" t="n">
        <x:f>SUM($F$7:F19)</x:f>
        <x:v>3140.004331491713</x:v>
      </x:c>
      <x:c r="H19" s="17" t="str">
        <x:v>fleet completion and network depth</x:v>
      </x:c>
      <x:c r="I19" s="38"/>
      <x:c r="J19" s="38"/>
      <x:c r="K19" s="38"/>
      <x:c r="L19" s="38"/>
      <x:c r="M19" s="38"/>
      <x:c r="N19" s="38"/>
      <x:c r="O19" s="38"/>
    </x:row>
    <x:row r="20" ht="60" hidden="0" customHeight="1">
      <x:c r="C20" s="17" t="n">
        <x:v>14</x:v>
      </x:c>
      <x:c r="D20" s="28" t="n">
        <x:v>5</x:v>
      </x:c>
      <x:c r="E20" s="26" t="n">
        <x:f>D20/SUM($D$7:$D$31)</x:f>
        <x:v>0.055248618784530384</x:v>
      </x:c>
      <x:c r="F20" s="21" t="n">
        <x:f>E20*'Capital Crosswalk'!$D$35</x:f>
        <x:v>262.1038674033149</x:v>
      </x:c>
      <x:c r="G20" s="21" t="n">
        <x:f>SUM($F$7:F20)</x:f>
        <x:v>3402.1081988950277</x:v>
      </x:c>
      <x:c r="H20" s="17" t="str">
        <x:v>fleet completion and network depth</x:v>
      </x:c>
      <x:c r="I20" s="38"/>
      <x:c r="J20" s="38"/>
      <x:c r="K20" s="38"/>
      <x:c r="L20" s="38"/>
      <x:c r="M20" s="38"/>
      <x:c r="N20" s="38"/>
      <x:c r="O20" s="38"/>
    </x:row>
    <x:row r="21" ht="60" hidden="0" customHeight="1">
      <x:c r="C21" s="17" t="n">
        <x:v>15</x:v>
      </x:c>
      <x:c r="D21" s="28" t="n">
        <x:v>4.5</x:v>
      </x:c>
      <x:c r="E21" s="26" t="n">
        <x:f>D21/SUM($D$7:$D$31)</x:f>
        <x:v>0.049723756906077346</x:v>
      </x:c>
      <x:c r="F21" s="21" t="n">
        <x:f>E21*'Capital Crosswalk'!$D$35</x:f>
        <x:v>235.89348066298342</x:v>
      </x:c>
      <x:c r="G21" s="21" t="n">
        <x:f>SUM($F$7:F21)</x:f>
        <x:v>3638.0016795580113</x:v>
      </x:c>
      <x:c r="H21" s="17" t="str">
        <x:v>fleet completion and network depth</x:v>
      </x:c>
      <x:c r="I21" s="38"/>
      <x:c r="J21" s="38"/>
      <x:c r="K21" s="38"/>
      <x:c r="L21" s="38"/>
      <x:c r="M21" s="38"/>
      <x:c r="N21" s="38"/>
      <x:c r="O21" s="38"/>
    </x:row>
    <x:row r="22" ht="60" hidden="0" customHeight="1">
      <x:c r="C22" s="17" t="n">
        <x:v>16</x:v>
      </x:c>
      <x:c r="D22" s="28" t="n">
        <x:v>4</x:v>
      </x:c>
      <x:c r="E22" s="26" t="n">
        <x:f>D22/SUM($D$7:$D$31)</x:f>
        <x:v>0.04419889502762431</x:v>
      </x:c>
      <x:c r="F22" s="21" t="n">
        <x:f>E22*'Capital Crosswalk'!$D$35</x:f>
        <x:v>209.68309392265192</x:v>
      </x:c>
      <x:c r="G22" s="21" t="n">
        <x:f>SUM($F$7:F22)</x:f>
        <x:v>3847.6847734806634</x:v>
      </x:c>
      <x:c r="H22" s="17" t="str">
        <x:v>fleet completion and network depth</x:v>
      </x:c>
      <x:c r="I22" s="38"/>
      <x:c r="J22" s="38"/>
      <x:c r="K22" s="38"/>
      <x:c r="L22" s="38"/>
      <x:c r="M22" s="38"/>
      <x:c r="N22" s="38"/>
      <x:c r="O22" s="38"/>
    </x:row>
    <x:row r="23" ht="60" hidden="0" customHeight="1">
      <x:c r="C23" s="17" t="n">
        <x:v>17</x:v>
      </x:c>
      <x:c r="D23" s="28" t="n">
        <x:v>3.5</x:v>
      </x:c>
      <x:c r="E23" s="26" t="n">
        <x:f>D23/SUM($D$7:$D$31)</x:f>
        <x:v>0.03867403314917127</x:v>
      </x:c>
      <x:c r="F23" s="21" t="n">
        <x:f>E23*'Capital Crosswalk'!$D$35</x:f>
        <x:v>183.47270718232042</x:v>
      </x:c>
      <x:c r="G23" s="21" t="n">
        <x:f>SUM($F$7:F23)</x:f>
        <x:v>4031.1574806629837</x:v>
      </x:c>
      <x:c r="H23" s="17" t="str">
        <x:v>fleet completion and network depth</x:v>
      </x:c>
      <x:c r="I23" s="38"/>
      <x:c r="J23" s="38"/>
      <x:c r="K23" s="38"/>
      <x:c r="L23" s="38"/>
      <x:c r="M23" s="38"/>
      <x:c r="N23" s="38"/>
      <x:c r="O23" s="38"/>
    </x:row>
    <x:row r="24" ht="60" hidden="0" customHeight="1">
      <x:c r="C24" s="17" t="n">
        <x:v>18</x:v>
      </x:c>
      <x:c r="D24" s="28" t="n">
        <x:v>3</x:v>
      </x:c>
      <x:c r="E24" s="26" t="n">
        <x:f>D24/SUM($D$7:$D$31)</x:f>
        <x:v>0.03314917127071823</x:v>
      </x:c>
      <x:c r="F24" s="21" t="n">
        <x:f>E24*'Capital Crosswalk'!$D$35</x:f>
        <x:v>157.26232044198895</x:v>
      </x:c>
      <x:c r="G24" s="21" t="n">
        <x:f>SUM($F$7:F24)</x:f>
        <x:v>4188.419801104973</x:v>
      </x:c>
      <x:c r="H24" s="17" t="str">
        <x:v>fleet completion and network depth</x:v>
      </x:c>
      <x:c r="I24" s="38"/>
      <x:c r="J24" s="38"/>
      <x:c r="K24" s="38"/>
      <x:c r="L24" s="38"/>
      <x:c r="M24" s="38"/>
      <x:c r="N24" s="38"/>
      <x:c r="O24" s="38"/>
    </x:row>
    <x:row r="25" ht="60" hidden="0" customHeight="1">
      <x:c r="C25" s="17" t="n">
        <x:v>19</x:v>
      </x:c>
      <x:c r="D25" s="28" t="n">
        <x:v>2.5</x:v>
      </x:c>
      <x:c r="E25" s="26" t="n">
        <x:f>D25/SUM($D$7:$D$31)</x:f>
        <x:v>0.027624309392265192</x:v>
      </x:c>
      <x:c r="F25" s="21" t="n">
        <x:f>E25*'Capital Crosswalk'!$D$35</x:f>
        <x:v>131.05193370165745</x:v>
      </x:c>
      <x:c r="G25" s="21" t="n">
        <x:f>SUM($F$7:F25)</x:f>
        <x:v>4319.471734806631</x:v>
      </x:c>
      <x:c r="H25" s="17" t="str">
        <x:v>fleet completion and network depth</x:v>
      </x:c>
      <x:c r="I25" s="38"/>
      <x:c r="J25" s="38"/>
      <x:c r="K25" s="38"/>
      <x:c r="L25" s="38"/>
      <x:c r="M25" s="38"/>
      <x:c r="N25" s="38"/>
      <x:c r="O25" s="38"/>
    </x:row>
    <x:row r="26" ht="60" hidden="0" customHeight="1">
      <x:c r="C26" s="17" t="n">
        <x:v>20</x:v>
      </x:c>
      <x:c r="D26" s="28" t="n">
        <x:v>2.2</x:v>
      </x:c>
      <x:c r="E26" s="26" t="n">
        <x:f>D26/SUM($D$7:$D$31)</x:f>
        <x:v>0.024309392265193373</x:v>
      </x:c>
      <x:c r="F26" s="21" t="n">
        <x:f>E26*'Capital Crosswalk'!$D$35</x:f>
        <x:v>115.32570165745858</x:v>
      </x:c>
      <x:c r="G26" s="21" t="n">
        <x:f>SUM($F$7:F26)</x:f>
        <x:v>4434.7974364640895</x:v>
      </x:c>
      <x:c r="H26" s="17" t="str">
        <x:v>fleet completion and network depth</x:v>
      </x:c>
      <x:c r="I26" s="38"/>
      <x:c r="J26" s="38"/>
      <x:c r="K26" s="38"/>
      <x:c r="L26" s="38"/>
      <x:c r="M26" s="38"/>
      <x:c r="N26" s="38"/>
      <x:c r="O26" s="38"/>
    </x:row>
    <x:row r="27" ht="48" hidden="0" customHeight="1">
      <x:c r="C27" s="17" t="n">
        <x:v>21</x:v>
      </x:c>
      <x:c r="D27" s="28" t="n">
        <x:v>1.8</x:v>
      </x:c>
      <x:c r="E27" s="26" t="n">
        <x:f>D27/SUM($D$7:$D$31)</x:f>
        <x:v>0.01988950276243094</x:v>
      </x:c>
      <x:c r="F27" s="21" t="n">
        <x:f>E27*'Capital Crosswalk'!$D$35</x:f>
        <x:v>94.35739226519338</x:v>
      </x:c>
      <x:c r="G27" s="21" t="n">
        <x:f>SUM($F$7:F27)</x:f>
        <x:v>4529.154828729283</x:v>
      </x:c>
      <x:c r="H27" s="17" t="str">
        <x:v>replacement, reserve and closeout</x:v>
      </x:c>
      <x:c r="I27" s="38"/>
      <x:c r="J27" s="38"/>
      <x:c r="K27" s="38"/>
      <x:c r="L27" s="38"/>
      <x:c r="M27" s="38"/>
      <x:c r="N27" s="38"/>
      <x:c r="O27" s="38"/>
    </x:row>
    <x:row r="28" ht="48" hidden="0" customHeight="1">
      <x:c r="C28" s="17" t="n">
        <x:v>22</x:v>
      </x:c>
      <x:c r="D28" s="28" t="n">
        <x:v>1.5</x:v>
      </x:c>
      <x:c r="E28" s="26" t="n">
        <x:f>D28/SUM($D$7:$D$31)</x:f>
        <x:v>0.016574585635359115</x:v>
      </x:c>
      <x:c r="F28" s="21" t="n">
        <x:f>E28*'Capital Crosswalk'!$D$35</x:f>
        <x:v>78.63116022099447</x:v>
      </x:c>
      <x:c r="G28" s="21" t="n">
        <x:f>SUM($F$7:F28)</x:f>
        <x:v>4607.785988950277</x:v>
      </x:c>
      <x:c r="H28" s="17" t="str">
        <x:v>replacement, reserve and closeout</x:v>
      </x:c>
      <x:c r="I28" s="38"/>
      <x:c r="J28" s="38"/>
      <x:c r="K28" s="38"/>
      <x:c r="L28" s="38"/>
      <x:c r="M28" s="38"/>
      <x:c r="N28" s="38"/>
      <x:c r="O28" s="38"/>
    </x:row>
    <x:row r="29" ht="48" hidden="0" customHeight="1">
      <x:c r="C29" s="17" t="n">
        <x:v>23</x:v>
      </x:c>
      <x:c r="D29" s="28" t="n">
        <x:v>1.2</x:v>
      </x:c>
      <x:c r="E29" s="26" t="n">
        <x:f>D29/SUM($D$7:$D$31)</x:f>
        <x:v>0.013259668508287293</x:v>
      </x:c>
      <x:c r="F29" s="21" t="n">
        <x:f>E29*'Capital Crosswalk'!$D$35</x:f>
        <x:v>62.90492817679558</x:v>
      </x:c>
      <x:c r="G29" s="21" t="n">
        <x:f>SUM($F$7:F29)</x:f>
        <x:v>4670.690917127073</x:v>
      </x:c>
      <x:c r="H29" s="17" t="str">
        <x:v>replacement, reserve and closeout</x:v>
      </x:c>
      <x:c r="I29" s="38"/>
      <x:c r="J29" s="38"/>
      <x:c r="K29" s="38"/>
      <x:c r="L29" s="38"/>
      <x:c r="M29" s="38"/>
      <x:c r="N29" s="38"/>
      <x:c r="O29" s="38"/>
    </x:row>
    <x:row r="30" ht="48" hidden="0" customHeight="1">
      <x:c r="C30" s="17" t="n">
        <x:v>24</x:v>
      </x:c>
      <x:c r="D30" s="28" t="n">
        <x:v>0.8</x:v>
      </x:c>
      <x:c r="E30" s="26" t="n">
        <x:f>D30/SUM($D$7:$D$31)</x:f>
        <x:v>0.008839779005524863</x:v>
      </x:c>
      <x:c r="F30" s="21" t="n">
        <x:f>E30*'Capital Crosswalk'!$D$35</x:f>
        <x:v>41.93661878453039</x:v>
      </x:c>
      <x:c r="G30" s="21" t="n">
        <x:f>SUM($F$7:F30)</x:f>
        <x:v>4712.627535911603</x:v>
      </x:c>
      <x:c r="H30" s="17" t="str">
        <x:v>replacement, reserve and closeout</x:v>
      </x:c>
      <x:c r="I30" s="38"/>
      <x:c r="J30" s="38"/>
      <x:c r="K30" s="38"/>
      <x:c r="L30" s="38"/>
      <x:c r="M30" s="38"/>
      <x:c r="N30" s="38"/>
      <x:c r="O30" s="38"/>
    </x:row>
    <x:row r="31" ht="48" hidden="0" customHeight="1">
      <x:c r="C31" s="17" t="n">
        <x:v>25</x:v>
      </x:c>
      <x:c r="D31" s="28" t="n">
        <x:v>0.6</x:v>
      </x:c>
      <x:c r="E31" s="26" t="n">
        <x:f>D31/SUM($D$7:$D$31)</x:f>
        <x:v>0.0066298342541436465</x:v>
      </x:c>
      <x:c r="F31" s="21" t="n">
        <x:f>E31*'Capital Crosswalk'!$D$35</x:f>
        <x:v>31.45246408839779</x:v>
      </x:c>
      <x:c r="G31" s="21" t="n">
        <x:f>SUM($F$7:F31)</x:f>
        <x:v>4744.080000000001</x:v>
      </x:c>
      <x:c r="H31" s="17" t="str">
        <x:v>replacement, reserve and closeout</x:v>
      </x:c>
      <x:c r="I31" s="38"/>
      <x:c r="J31" s="38"/>
      <x:c r="K31" s="38"/>
      <x:c r="L31" s="38"/>
      <x:c r="M31" s="38"/>
      <x:c r="N31" s="38"/>
      <x:c r="O31" s="38"/>
    </x:row>
  </x:sheetData>
  <x:pageMargins left="0.7" right="0.7" top="0.75" bottom="0.75" header="0.3" footer="0.3"/>
  <x:drawing xmlns:r="http://schemas.openxmlformats.org/officeDocument/2006/relationships" r:id="R85e136145cce49c5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8" hidden="0" customWidth="1"/>
    <x:col min="5" max="5" width="32" hidden="0" customWidth="1"/>
    <x:col min="6" max="6" width="70" hidden="0" customWidth="1"/>
  </x:cols>
  <x:sheetData>
    <x:row r="2">
      <x:c r="C2" s="2" t="str">
        <x:v>Mature Annual Operating Screen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Crosswalk to Pass 23 component personnel and O&amp;M assumptions; not an incremental budget claim.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15" hidden="0" customHeight="1">
      <x:c r="C6" s="13" t="str">
        <x:v>Line</x:v>
      </x:c>
      <x:c r="D6" s="13" t="str">
        <x:v>Annual $B</x:v>
      </x:c>
      <x:c r="E6" s="13" t="str">
        <x:v>Method</x:v>
      </x:c>
      <x:c r="F6" s="13" t="str">
        <x:v>Boundary</x:v>
      </x:c>
      <x:c r="G6" s="38"/>
      <x:c r="H6" s="38"/>
      <x:c r="I6" s="38"/>
      <x:c r="J6" s="38"/>
      <x:c r="K6" s="38"/>
      <x:c r="L6" s="38"/>
      <x:c r="M6" s="38"/>
    </x:row>
    <x:row r="7" ht="48" hidden="0" customHeight="1">
      <x:c r="C7" s="17" t="str">
        <x:v>Permanent federal personnel</x:v>
      </x:c>
      <x:c r="D7" s="21" t="n">
        <x:f>'Workforce'!D24*'Controls'!$D$25</x:f>
        <x:v>129.652352</x:v>
      </x:c>
      <x:c r="E7" s="17" t="str">
        <x:v>Workforce × component rate</x:v>
      </x:c>
      <x:c r="F7" s="17" t="str">
        <x:v>Includes allocated institutional overhead</x:v>
      </x:c>
      <x:c r="G7" s="38"/>
      <x:c r="H7" s="38"/>
      <x:c r="I7" s="38"/>
      <x:c r="J7" s="38"/>
      <x:c r="K7" s="38"/>
      <x:c r="L7" s="38"/>
      <x:c r="M7" s="38"/>
    </x:row>
    <x:row r="8" ht="48" hidden="0" customHeight="1">
      <x:c r="C8" s="17" t="str">
        <x:v>Federal reserve personnel</x:v>
      </x:c>
      <x:c r="D8" s="21" t="n">
        <x:f>'Workforce'!E24*'Controls'!$D$26</x:f>
        <x:v>11.99225</x:v>
      </x:c>
      <x:c r="E8" s="17" t="str">
        <x:v>Workforce × component rate</x:v>
      </x:c>
      <x:c r="F8" s="17" t="str">
        <x:v>Readiness and mobilization average</x:v>
      </x:c>
      <x:c r="G8" s="38"/>
      <x:c r="H8" s="38"/>
      <x:c r="I8" s="38"/>
      <x:c r="J8" s="38"/>
      <x:c r="K8" s="38"/>
      <x:c r="L8" s="38"/>
      <x:c r="M8" s="38"/>
    </x:row>
    <x:row r="9" ht="48" hidden="0" customHeight="1">
      <x:c r="C9" s="17" t="str">
        <x:v>State / territorial personnel</x:v>
      </x:c>
      <x:c r="D9" s="21" t="n">
        <x:f>'Workforce'!F24*'Controls'!$D$27</x:f>
        <x:v>3.9367900000000002</x:v>
      </x:c>
      <x:c r="E9" s="17" t="str">
        <x:v>Workforce × component rate</x:v>
      </x:c>
      <x:c r="F9" s="17" t="str">
        <x:v>Combined planning equivalent</x:v>
      </x:c>
      <x:c r="G9" s="38"/>
      <x:c r="H9" s="38"/>
      <x:c r="I9" s="38"/>
      <x:c r="J9" s="38"/>
      <x:c r="K9" s="38"/>
      <x:c r="L9" s="38"/>
      <x:c r="M9" s="38"/>
    </x:row>
    <x:row r="10" ht="72" hidden="0" customHeight="1">
      <x:c r="C10" s="17" t="str">
        <x:v>Certified industrial force</x:v>
      </x:c>
      <x:c r="D10" s="21" t="n">
        <x:f>'Workforce'!G24*'Controls'!$D$28</x:f>
        <x:v>6.996915</x:v>
      </x:c>
      <x:c r="E10" s="17" t="str">
        <x:v>Workforce × component rate</x:v>
      </x:c>
      <x:c r="F10" s="17" t="str">
        <x:v>Readiness labor; separate enterprise retainer below</x:v>
      </x:c>
      <x:c r="G10" s="38"/>
      <x:c r="H10" s="38"/>
      <x:c r="I10" s="38"/>
      <x:c r="J10" s="38"/>
      <x:c r="K10" s="38"/>
      <x:c r="L10" s="38"/>
      <x:c r="M10" s="38"/>
    </x:row>
    <x:row r="11" ht="48" hidden="0" customHeight="1">
      <x:c r="C11" s="17" t="str">
        <x:v>Partner / allied support</x:v>
      </x:c>
      <x:c r="D11" s="21" t="n">
        <x:f>'Workforce'!H24*'Controls'!$D$29</x:f>
        <x:v>0.16875</x:v>
      </x:c>
      <x:c r="E11" s="17" t="str">
        <x:v>Workforce × component rate</x:v>
      </x:c>
      <x:c r="F11" s="17" t="str">
        <x:v>U.S. access and exercise support</x:v>
      </x:c>
      <x:c r="G11" s="38"/>
      <x:c r="H11" s="38"/>
      <x:c r="I11" s="38"/>
      <x:c r="J11" s="38"/>
      <x:c r="K11" s="38"/>
      <x:c r="L11" s="38"/>
      <x:c r="M11" s="38"/>
    </x:row>
    <x:row r="12" ht="48" hidden="0" customHeight="1">
      <x:c r="C12" s="17" t="str">
        <x:v>Formation maintenance and operation</x:v>
      </x:c>
      <x:c r="D12" s="21" t="n">
        <x:f>'Capital Crosswalk'!D31*'Controls'!$D$17</x:f>
        <x:v>77.20199999999998</x:v>
      </x:c>
      <x:c r="E12" s="17" t="str">
        <x:v>Formation capital × 3%</x:v>
      </x:c>
      <x:c r="F12" s="17" t="str">
        <x:v>Fleet and formation screening rate</x:v>
      </x:c>
      <x:c r="G12" s="38"/>
      <x:c r="H12" s="38"/>
      <x:c r="I12" s="38"/>
      <x:c r="J12" s="38"/>
      <x:c r="K12" s="38"/>
      <x:c r="L12" s="38"/>
      <x:c r="M12" s="38"/>
    </x:row>
    <x:row r="13" ht="72" hidden="0" customHeight="1">
      <x:c r="C13" s="17" t="str">
        <x:v>Common enabling operation</x:v>
      </x:c>
      <x:c r="D13" s="21" t="n">
        <x:f>'Capital Crosswalk'!D32*'Controls'!$D$18</x:f>
        <x:v>27.6</x:v>
      </x:c>
      <x:c r="E13" s="17" t="str">
        <x:v>Allocated common capital × 2%</x:v>
      </x:c>
      <x:c r="F13" s="17" t="str">
        <x:v>Sites, research infrastructure and industrial tooling</x:v>
      </x:c>
      <x:c r="G13" s="38"/>
      <x:c r="H13" s="38"/>
      <x:c r="I13" s="38"/>
      <x:c r="J13" s="38"/>
      <x:c r="K13" s="38"/>
      <x:c r="L13" s="38"/>
      <x:c r="M13" s="38"/>
    </x:row>
    <x:row r="14" ht="48" hidden="0" customHeight="1">
      <x:c r="C14" s="17" t="str">
        <x:v>Deployments and enterprise exercises</x:v>
      </x:c>
      <x:c r="D14" s="33" t="n">
        <x:v>25</x:v>
      </x:c>
      <x:c r="E14" s="17" t="str">
        <x:v>Planning allowance</x:v>
      </x:c>
      <x:c r="F14" s="17" t="str">
        <x:v>Multi-node closure exercises</x:v>
      </x:c>
      <x:c r="G14" s="38"/>
      <x:c r="H14" s="38"/>
      <x:c r="I14" s="38"/>
      <x:c r="J14" s="38"/>
      <x:c r="K14" s="38"/>
      <x:c r="L14" s="38"/>
      <x:c r="M14" s="38"/>
    </x:row>
    <x:row r="15" ht="36" hidden="0" customHeight="1">
      <x:c r="C15" s="17" t="str">
        <x:v>Stocks, containers and rotation</x:v>
      </x:c>
      <x:c r="D15" s="33" t="n">
        <x:v>15</x:v>
      </x:c>
      <x:c r="E15" s="17" t="str">
        <x:v>Planning allowance</x:v>
      </x:c>
      <x:c r="F15" s="17" t="str">
        <x:v>Mission-configured inventory</x:v>
      </x:c>
      <x:c r="G15" s="38"/>
      <x:c r="H15" s="38"/>
      <x:c r="I15" s="38"/>
      <x:c r="J15" s="38"/>
      <x:c r="K15" s="38"/>
      <x:c r="L15" s="38"/>
      <x:c r="M15" s="38"/>
    </x:row>
    <x:row r="16" ht="72" hidden="0" customHeight="1">
      <x:c r="C16" s="17" t="str">
        <x:v>Industrial readiness retainers</x:v>
      </x:c>
      <x:c r="D16" s="33" t="n">
        <x:v>15</x:v>
      </x:c>
      <x:c r="E16" s="17" t="str">
        <x:v>Planning allowance</x:v>
      </x:c>
      <x:c r="F16" s="17" t="str">
        <x:v>Priority lines, second sources and surge drills</x:v>
      </x:c>
      <x:c r="G16" s="38"/>
      <x:c r="H16" s="38"/>
      <x:c r="I16" s="38"/>
      <x:c r="J16" s="38"/>
      <x:c r="K16" s="38"/>
      <x:c r="L16" s="38"/>
      <x:c r="M16" s="38"/>
    </x:row>
    <x:row r="17" ht="60" hidden="0" customHeight="1">
      <x:c r="C17" s="17" t="str">
        <x:v>Continuous entry R&amp;T</x:v>
      </x:c>
      <x:c r="D17" s="33" t="n">
        <x:v>12</x:v>
      </x:c>
      <x:c r="E17" s="17" t="str">
        <x:v>Planning allowance</x:v>
      </x:c>
      <x:c r="F17" s="17" t="str">
        <x:v>Software, autonomy, materials and field trials</x:v>
      </x:c>
      <x:c r="G17" s="38"/>
      <x:c r="H17" s="38"/>
      <x:c r="I17" s="38"/>
      <x:c r="J17" s="38"/>
      <x:c r="K17" s="38"/>
      <x:c r="L17" s="38"/>
      <x:c r="M17" s="38"/>
    </x:row>
    <x:row r="18" ht="60" hidden="0" customHeight="1">
      <x:c r="C18" s="17" t="str">
        <x:v>Commercial and partner access</x:v>
      </x:c>
      <x:c r="D18" s="33" t="n">
        <x:v>8</x:v>
      </x:c>
      <x:c r="E18" s="17" t="str">
        <x:v>Planning allowance</x:v>
      </x:c>
      <x:c r="F18" s="17" t="str">
        <x:v>Access agreements and capacity assurance</x:v>
      </x:c>
      <x:c r="G18" s="38"/>
      <x:c r="H18" s="38"/>
      <x:c r="I18" s="38"/>
      <x:c r="J18" s="38"/>
      <x:c r="K18" s="38"/>
      <x:c r="L18" s="38"/>
      <x:c r="M18" s="38"/>
    </x:row>
    <x:row r="19">
      <x:c r="C19" s="38"/>
      <x:c r="D19" s="39"/>
      <x:c r="E19" s="38"/>
      <x:c r="F19" s="38"/>
      <x:c r="G19" s="38"/>
      <x:c r="H19" s="38"/>
      <x:c r="I19" s="38"/>
      <x:c r="J19" s="38"/>
      <x:c r="K19" s="38"/>
      <x:c r="L19" s="38"/>
      <x:c r="M19" s="38"/>
    </x:row>
    <x:row r="20">
      <x:c r="C20" s="38"/>
      <x:c r="D20" s="39"/>
      <x:c r="E20" s="38"/>
      <x:c r="F20" s="38"/>
      <x:c r="G20" s="38"/>
      <x:c r="H20" s="38"/>
      <x:c r="I20" s="38"/>
      <x:c r="J20" s="38"/>
      <x:c r="K20" s="38"/>
      <x:c r="L20" s="38"/>
      <x:c r="M20" s="38"/>
    </x:row>
    <x:row r="21">
      <x:c r="C21" s="38"/>
      <x:c r="D21" s="39"/>
      <x:c r="E21" s="38"/>
      <x:c r="F21" s="38"/>
      <x:c r="G21" s="38"/>
      <x:c r="H21" s="38"/>
      <x:c r="I21" s="38"/>
      <x:c r="J21" s="38"/>
      <x:c r="K21" s="38"/>
      <x:c r="L21" s="38"/>
      <x:c r="M21" s="38"/>
    </x:row>
    <x:row r="22">
      <x:c r="C22" s="8" t="str">
        <x:v>Mature total</x:v>
      </x:c>
      <x:c r="D22" s="35"/>
      <x:c r="E22" s="8"/>
      <x:c r="F22" s="8"/>
      <x:c r="G22" s="38"/>
      <x:c r="H22" s="38"/>
      <x:c r="I22" s="38"/>
      <x:c r="J22" s="38"/>
      <x:c r="K22" s="38"/>
      <x:c r="L22" s="38"/>
      <x:c r="M22" s="38"/>
    </x:row>
    <x:row r="23" ht="24" hidden="0" customHeight="1">
      <x:c r="C23" s="13" t="str">
        <x:v>Measure</x:v>
      </x:c>
      <x:c r="D23" s="36" t="str">
        <x:v>Value $B/year</x:v>
      </x:c>
      <x:c r="E23" s="13" t="str">
        <x:v>Meaning</x:v>
      </x:c>
      <x:c r="F23" s="38"/>
      <x:c r="G23" s="38"/>
      <x:c r="H23" s="38"/>
      <x:c r="I23" s="38"/>
      <x:c r="J23" s="38"/>
      <x:c r="K23" s="38"/>
      <x:c r="L23" s="38"/>
      <x:c r="M23" s="38"/>
    </x:row>
    <x:row r="24" ht="72" hidden="0" customHeight="1">
      <x:c r="C24" s="17" t="str">
        <x:v>Mature annual operating screen</x:v>
      </x:c>
      <x:c r="D24" s="21" t="n">
        <x:f>SUM(D7:D18)</x:f>
        <x:v>332.549057</x:v>
      </x:c>
      <x:c r="E24" s="17" t="str">
        <x:v>Included within the Pass 23 department O&amp;S architecture</x:v>
      </x:c>
      <x:c r="F24" s="38"/>
      <x:c r="G24" s="38"/>
      <x:c r="H24" s="38"/>
      <x:c r="I24" s="38"/>
      <x:c r="J24" s="38"/>
      <x:c r="K24" s="38"/>
      <x:c r="L24" s="38"/>
      <x:c r="M24" s="38"/>
    </x:row>
  </x:sheetData>
  <x:mergeCells>
    <x:mergeCell ref="C22:F2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42" hidden="0" customWidth="1"/>
    <x:col min="5" max="5" width="18" hidden="0" customWidth="1"/>
    <x:col min="6" max="6" width="16" hidden="0" customWidth="1"/>
    <x:col min="7" max="7" width="70" hidden="0" customWidth="1"/>
    <x:col min="8" max="8" width="70" hidden="0" customWidth="1"/>
  </x:cols>
  <x:sheetData>
    <x:row r="2">
      <x:c r="C2" s="2" t="str">
        <x:v>Deployment and Distribution Technology Frontier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C3" s="5" t="str">
        <x:v>A $220B mission R&amp;D portfolio aimed at bottlenecks no commercial market is likely to solve at required scale.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  <x:row r="6" ht="24" hidden="0" customHeight="1">
      <x:c r="C6" s="13" t="str">
        <x:v>ID</x:v>
      </x:c>
      <x:c r="D6" s="13" t="str">
        <x:v>Technology thrust</x:v>
      </x:c>
      <x:c r="E6" s="13" t="str">
        <x:v>25-year R&amp;D $B</x:v>
      </x:c>
      <x:c r="F6" s="13" t="str">
        <x:v>Maturity path</x:v>
      </x:c>
      <x:c r="G6" s="13" t="str">
        <x:v>Required advance</x:v>
      </x:c>
      <x:c r="H6" s="13" t="str">
        <x:v>Decisive evidence</x:v>
      </x:c>
      <x:c r="I6" s="38"/>
      <x:c r="J6" s="38"/>
      <x:c r="K6" s="38"/>
      <x:c r="L6" s="38"/>
      <x:c r="M6" s="38"/>
      <x:c r="N6" s="38"/>
    </x:row>
    <x:row r="7" ht="108" hidden="0" customHeight="1">
      <x:c r="C7" s="23" t="str">
        <x:v>I01</x:v>
      </x:c>
      <x:c r="D7" s="23" t="str">
        <x:v>Autonomous multimodal load choreography</x:v>
      </x:c>
      <x:c r="E7" s="30" t="n">
        <x:v>32</x:v>
      </x:c>
      <x:c r="F7" s="23" t="str">
        <x:v>R2→R4</x:v>
      </x:c>
      <x:c r="G7" s="23" t="str">
        <x:v>Machine-verifiable load, priority and reroute decisions across air, ship, rail and road</x:v>
      </x:c>
      <x:c r="H7" s="23" t="str">
        <x:v>Closed-loop trials with human override and public audit</x:v>
      </x:c>
      <x:c r="I7" s="38"/>
      <x:c r="J7" s="38"/>
      <x:c r="K7" s="38"/>
      <x:c r="L7" s="38"/>
      <x:c r="M7" s="38"/>
      <x:c r="N7" s="38"/>
    </x:row>
    <x:row r="8" ht="96" hidden="0" customHeight="1">
      <x:c r="C8" s="23" t="str">
        <x:v>I02</x:v>
      </x:c>
      <x:c r="D8" s="23" t="str">
        <x:v>Rapid runway and pavement regeneration</x:v>
      </x:c>
      <x:c r="E8" s="30" t="n">
        <x:v>28</x:v>
      </x:c>
      <x:c r="F8" s="23" t="str">
        <x:v>R2→R4</x:v>
      </x:c>
      <x:c r="G8" s="23" t="str">
        <x:v>Robotic assessment, repair materials and high-rate surface restoration</x:v>
      </x:c>
      <x:c r="H8" s="23" t="str">
        <x:v>Full-load cycles under heat, flood, debris and aftershock</x:v>
      </x:c>
      <x:c r="I8" s="38"/>
      <x:c r="J8" s="38"/>
      <x:c r="K8" s="38"/>
      <x:c r="L8" s="38"/>
      <x:c r="M8" s="38"/>
      <x:c r="N8" s="38"/>
    </x:row>
    <x:row r="9" ht="96" hidden="0" customHeight="1">
      <x:c r="C9" s="23" t="str">
        <x:v>I03</x:v>
      </x:c>
      <x:c r="D9" s="23" t="str">
        <x:v>Robotic port clearance and hydrography</x:v>
      </x:c>
      <x:c r="E9" s="30" t="n">
        <x:v>24</x:v>
      </x:c>
      <x:c r="F9" s="23" t="str">
        <x:v>R2→R4</x:v>
      </x:c>
      <x:c r="G9" s="23" t="str">
        <x:v>Map, clear, mark and reopen channels and berths without exposing crews</x:v>
      </x:c>
      <x:c r="H9" s="23" t="str">
        <x:v>Representative obstruction field and environmental release</x:v>
      </x:c>
      <x:c r="I9" s="38"/>
      <x:c r="J9" s="38"/>
      <x:c r="K9" s="38"/>
      <x:c r="L9" s="38"/>
      <x:c r="M9" s="38"/>
      <x:c r="N9" s="38"/>
    </x:row>
    <x:row r="10" ht="108" hidden="0" customHeight="1">
      <x:c r="C10" s="23" t="str">
        <x:v>I04</x:v>
      </x:c>
      <x:c r="D10" s="23" t="str">
        <x:v>Self-erecting piers and adaptive causeways</x:v>
      </x:c>
      <x:c r="E10" s="30" t="n">
        <x:v>26</x:v>
      </x:c>
      <x:c r="F10" s="23" t="str">
        <x:v>R1→R4</x:v>
      </x:c>
      <x:c r="G10" s="23" t="str">
        <x:v>Bridge ships to damaged shores across tide, sediment and sea-state variation</x:v>
      </x:c>
      <x:c r="H10" s="23" t="str">
        <x:v>Structural, fatigue, geotechnical and human-safety proof</x:v>
      </x:c>
      <x:c r="I10" s="38"/>
      <x:c r="J10" s="38"/>
      <x:c r="K10" s="38"/>
      <x:c r="L10" s="38"/>
      <x:c r="M10" s="38"/>
      <x:c r="N10" s="38"/>
    </x:row>
    <x:row r="11" ht="96" hidden="0" customHeight="1">
      <x:c r="C11" s="23" t="str">
        <x:v>I05</x:v>
      </x:c>
      <x:c r="D11" s="23" t="str">
        <x:v>Zero-host-utility responder bases</x:v>
      </x:c>
      <x:c r="E11" s="30" t="n">
        <x:v>22</x:v>
      </x:c>
      <x:c r="F11" s="23" t="str">
        <x:v>R3→R5</x:v>
      </x:c>
      <x:c r="G11" s="23" t="str">
        <x:v>Closed-loop water, energy, thermal, sanitation and waste for large workforces</x:v>
      </x:c>
      <x:c r="H11" s="23" t="str">
        <x:v>30–180 day occupied demonstration</x:v>
      </x:c>
      <x:c r="I11" s="38"/>
      <x:c r="J11" s="38"/>
      <x:c r="K11" s="38"/>
      <x:c r="L11" s="38"/>
      <x:c r="M11" s="38"/>
      <x:c r="N11" s="38"/>
    </x:row>
    <x:row r="12" ht="120" hidden="0" customHeight="1">
      <x:c r="C12" s="23" t="str">
        <x:v>I06</x:v>
      </x:c>
      <x:c r="D12" s="23" t="str">
        <x:v>Resilience intermodal container family</x:v>
      </x:c>
      <x:c r="E12" s="30" t="n">
        <x:v>18</x:v>
      </x:c>
      <x:c r="F12" s="23" t="str">
        <x:v>R2→R5</x:v>
      </x:c>
      <x:c r="G12" s="23" t="str">
        <x:v>Water, oxygen, cold-chain, power, workshop and data modules with common interfaces</x:v>
      </x:c>
      <x:c r="H12" s="23" t="str">
        <x:v>Drop, fire, flood, EMI and repeated-transfer qualification</x:v>
      </x:c>
      <x:c r="I12" s="38"/>
      <x:c r="J12" s="38"/>
      <x:c r="K12" s="38"/>
      <x:c r="L12" s="38"/>
      <x:c r="M12" s="38"/>
      <x:c r="N12" s="38"/>
    </x:row>
    <x:row r="13" ht="72" hidden="0" customHeight="1">
      <x:c r="C13" s="23" t="str">
        <x:v>I07</x:v>
      </x:c>
      <x:c r="D13" s="23" t="str">
        <x:v>Distributed cargo aircraft and vertical lift</x:v>
      </x:c>
      <x:c r="E13" s="30" t="n">
        <x:v>30</x:v>
      </x:c>
      <x:c r="F13" s="23" t="str">
        <x:v>R1→R4</x:v>
      </x:c>
      <x:c r="G13" s="23" t="str">
        <x:v>Move high-value modules when roads and runways fail</x:v>
      </x:c>
      <x:c r="H13" s="23" t="str">
        <x:v>Airworthiness, lost-link, weather and ground-risk evidence</x:v>
      </x:c>
      <x:c r="I13" s="38"/>
      <x:c r="J13" s="38"/>
      <x:c r="K13" s="38"/>
      <x:c r="L13" s="38"/>
      <x:c r="M13" s="38"/>
      <x:c r="N13" s="38"/>
    </x:row>
    <x:row r="14" ht="96" hidden="0" customHeight="1">
      <x:c r="C14" s="23" t="str">
        <x:v>I08</x:v>
      </x:c>
      <x:c r="D14" s="23" t="str">
        <x:v>Damage-tolerant in-transit visibility</x:v>
      </x:c>
      <x:c r="E14" s="30" t="n">
        <x:v>14</x:v>
      </x:c>
      <x:c r="F14" s="23" t="str">
        <x:v>R3→R5</x:v>
      </x:c>
      <x:c r="G14" s="23" t="str">
        <x:v>Authoritative identity, custody and condition under denied connectivity</x:v>
      </x:c>
      <x:c r="H14" s="23" t="str">
        <x:v>Offline reconciliation and cyber-resilience campaign</x:v>
      </x:c>
      <x:c r="I14" s="38"/>
      <x:c r="J14" s="38"/>
      <x:c r="K14" s="38"/>
      <x:c r="L14" s="38"/>
      <x:c r="M14" s="38"/>
      <x:c r="N14" s="38"/>
    </x:row>
    <x:row r="15" ht="84" hidden="0" customHeight="1">
      <x:c r="C15" s="23" t="str">
        <x:v>I09</x:v>
      </x:c>
      <x:c r="D15" s="23" t="str">
        <x:v>Rapid route and bridge digital certification</x:v>
      </x:c>
      <x:c r="E15" s="30" t="n">
        <x:v>12</x:v>
      </x:c>
      <x:c r="F15" s="23" t="str">
        <x:v>R2→R4</x:v>
      </x:c>
      <x:c r="G15" s="23" t="str">
        <x:v>Fuse sensing and engineering to release corridors by load class</x:v>
      </x:c>
      <x:c r="H15" s="23" t="str">
        <x:v>Blind validation against instrumented structures</x:v>
      </x:c>
      <x:c r="I15" s="38"/>
      <x:c r="J15" s="38"/>
      <x:c r="K15" s="38"/>
      <x:c r="L15" s="38"/>
      <x:c r="M15" s="38"/>
      <x:c r="N15" s="38"/>
    </x:row>
    <x:row r="16" ht="120" hidden="0" customHeight="1">
      <x:c r="C16" s="23" t="str">
        <x:v>I10</x:v>
      </x:c>
      <x:c r="D16" s="23" t="str">
        <x:v>Reverse-flow hazard logistics</x:v>
      </x:c>
      <x:c r="E16" s="30" t="n">
        <x:v>14</x:v>
      </x:c>
      <x:c r="F16" s="23" t="str">
        <x:v>R2→R5</x:v>
      </x:c>
      <x:c r="G16" s="23" t="str">
        <x:v>Safely move waste, contamination, casualties and damaged energy systems out</x:v>
      </x:c>
      <x:c r="H16" s="23" t="str">
        <x:v>End-to-end regulatory and field demonstration</x:v>
      </x:c>
      <x:c r="I16" s="38"/>
      <x:c r="J16" s="38"/>
      <x:c r="K16" s="38"/>
      <x:c r="L16" s="38"/>
      <x:c r="M16" s="38"/>
      <x:c r="N16" s="38"/>
    </x:row>
    <x:row r="17"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</x:row>
    <x:row r="18"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</x:row>
    <x:row r="19">
      <x:c r="C19" s="8" t="str">
        <x:v>Portfolio reconciliation</x:v>
      </x:c>
      <x:c r="D19" s="8"/>
      <x:c r="E19" s="8"/>
      <x:c r="F19" s="8"/>
      <x:c r="G19" s="8"/>
      <x:c r="H19" s="8"/>
      <x:c r="I19" s="38"/>
      <x:c r="J19" s="38"/>
      <x:c r="K19" s="38"/>
      <x:c r="L19" s="38"/>
      <x:c r="M19" s="38"/>
      <x:c r="N19" s="38"/>
    </x:row>
    <x:row r="20" ht="15" hidden="0" customHeight="1">
      <x:c r="C20" s="13" t="str">
        <x:v>Measure</x:v>
      </x:c>
      <x:c r="D20" s="13" t="str">
        <x:v>Value</x:v>
      </x:c>
      <x:c r="E20" s="13" t="str">
        <x:v>Status</x:v>
      </x:c>
      <x:c r="F20" s="13" t="str">
        <x:v>Boundary</x:v>
      </x:c>
      <x:c r="G20" s="38"/>
      <x:c r="H20" s="38"/>
      <x:c r="I20" s="38"/>
      <x:c r="J20" s="38"/>
      <x:c r="K20" s="38"/>
      <x:c r="L20" s="38"/>
      <x:c r="M20" s="38"/>
      <x:c r="N20" s="38"/>
    </x:row>
    <x:row r="21" ht="48" hidden="0" customHeight="1">
      <x:c r="C21" s="17" t="str">
        <x:v>R&amp;D allocation</x:v>
      </x:c>
      <x:c r="D21" s="18" t="n">
        <x:f>SUM(E7:E16)</x:f>
        <x:v>220</x:v>
      </x:c>
      <x:c r="E21" s="18" t="str">
        <x:f>IF(D21='Capital Crosswalk'!F23,"PASS","FAIL")</x:f>
        <x:v>PASS</x:v>
      </x:c>
      <x:c r="F21" s="17" t="str">
        <x:v>Must equal the $220B common-line allocation</x:v>
      </x:c>
      <x:c r="G21" s="38"/>
      <x:c r="H21" s="38"/>
      <x:c r="I21" s="38"/>
      <x:c r="J21" s="38"/>
      <x:c r="K21" s="38"/>
      <x:c r="L21" s="38"/>
      <x:c r="M21" s="38"/>
      <x:c r="N21" s="38"/>
    </x:row>
    <x:row r="22" ht="84" hidden="0" customHeight="1">
      <x:c r="C22" s="17" t="str">
        <x:v>Rendering eligibility</x:v>
      </x:c>
      <x:c r="D22" s="17" t="n">
        <x:v>0</x:v>
      </x:c>
      <x:c r="E22" s="17" t="str">
        <x:v>OPEN</x:v>
      </x:c>
      <x:c r="F22" s="17" t="str">
        <x:v>No major platform may be rendered from these planning equivalents</x:v>
      </x:c>
      <x:c r="G22" s="38"/>
      <x:c r="H22" s="38"/>
      <x:c r="I22" s="38"/>
      <x:c r="J22" s="38"/>
      <x:c r="K22" s="38"/>
      <x:c r="L22" s="38"/>
      <x:c r="M22" s="38"/>
      <x:c r="N22" s="38"/>
    </x:row>
  </x:sheetData>
  <x:mergeCells>
    <x:mergeCell ref="C19:H19"/>
  </x:mergeCells>
  <x:conditionalFormatting sqref="E21:E22">
    <x:cfRule type="containsText" dxfId="27" priority="1" operator="containsText" text="PASS"/>
    <x:cfRule type="containsText" dxfId="28" priority="2" operator="containsText" text="FAIL"/>
    <x:cfRule type="containsText" dxfId="29" priority="3" operator="containsText" text="OPEN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34" hidden="0" customWidth="1"/>
    <x:col min="5" max="5" width="62" hidden="0" customWidth="1"/>
    <x:col min="6" max="6" width="62" hidden="0" customWidth="1"/>
    <x:col min="7" max="7" width="26" hidden="0" customWidth="1"/>
  </x:cols>
  <x:sheetData>
    <x:row r="2">
      <x:c r="C2" s="2" t="str">
        <x:v>Authority and Service-Release Gates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Physical throughput cannot substitute for lawful access, safe operation or host acceptance.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Gate</x:v>
      </x:c>
      <x:c r="D6" s="13" t="str">
        <x:v>Decision owner</x:v>
      </x:c>
      <x:c r="E6" s="13" t="str">
        <x:v>Required record</x:v>
      </x:c>
      <x:c r="F6" s="13" t="str">
        <x:v>Failure if absent</x:v>
      </x:c>
      <x:c r="G6" s="13" t="str">
        <x:v>Model treatment</x:v>
      </x:c>
      <x:c r="H6" s="38"/>
      <x:c r="I6" s="38"/>
      <x:c r="J6" s="38"/>
      <x:c r="K6" s="38"/>
      <x:c r="L6" s="38"/>
      <x:c r="M6" s="38"/>
    </x:row>
    <x:row r="7" ht="60" hidden="0" customHeight="1">
      <x:c r="C7" s="17" t="str">
        <x:v>Mission invitation / domestic authorization</x:v>
      </x:c>
      <x:c r="D7" s="17" t="str">
        <x:v>Secretary + civil authority</x:v>
      </x:c>
      <x:c r="E7" s="17" t="str">
        <x:v>Scope, geography, duration and termination</x:v>
      </x:c>
      <x:c r="F7" s="17" t="str">
        <x:v>Force arrives without lawful mission</x:v>
      </x:c>
      <x:c r="G7" s="17" t="str">
        <x:v>Binary gate; not monetized</x:v>
      </x:c>
      <x:c r="H7" s="38"/>
      <x:c r="I7" s="38"/>
      <x:c r="J7" s="38"/>
      <x:c r="K7" s="38"/>
      <x:c r="L7" s="38"/>
      <x:c r="M7" s="38"/>
    </x:row>
    <x:row r="8" ht="60" hidden="0" customHeight="1">
      <x:c r="C8" s="17" t="str">
        <x:v>Node access</x:v>
      </x:c>
      <x:c r="D8" s="17" t="str">
        <x:v>Port, airport, rail, road and land authorities</x:v>
      </x:c>
      <x:c r="E8" s="17" t="str">
        <x:v>Access agreement and priority rules</x:v>
      </x:c>
      <x:c r="F8" s="17" t="str">
        <x:v>Capacity exists only on paper</x:v>
      </x:c>
      <x:c r="G8" s="17" t="str">
        <x:v>Evidence gate</x:v>
      </x:c>
      <x:c r="H8" s="38"/>
      <x:c r="I8" s="38"/>
      <x:c r="J8" s="38"/>
      <x:c r="K8" s="38"/>
      <x:c r="L8" s="38"/>
      <x:c r="M8" s="38"/>
    </x:row>
    <x:row r="9" ht="60" hidden="0" customHeight="1">
      <x:c r="C9" s="17" t="str">
        <x:v>Environmental and public-health release</x:v>
      </x:c>
      <x:c r="D9" s="17" t="str">
        <x:v>Technical authority</x:v>
      </x:c>
      <x:c r="E9" s="17" t="str">
        <x:v>Sampling, residual, waste and exposure record</x:v>
      </x:c>
      <x:c r="F9" s="17" t="str">
        <x:v>Response creates secondary harm</x:v>
      </x:c>
      <x:c r="G9" s="17" t="str">
        <x:v>Evidence gate</x:v>
      </x:c>
      <x:c r="H9" s="38"/>
      <x:c r="I9" s="38"/>
      <x:c r="J9" s="38"/>
      <x:c r="K9" s="38"/>
      <x:c r="L9" s="38"/>
      <x:c r="M9" s="38"/>
    </x:row>
    <x:row r="10" ht="84" hidden="0" customHeight="1">
      <x:c r="C10" s="17" t="str">
        <x:v>Structural / air / marine release</x:v>
      </x:c>
      <x:c r="D10" s="17" t="str">
        <x:v>Independent safety authority</x:v>
      </x:c>
      <x:c r="E10" s="17" t="str">
        <x:v>Load, airworthiness, seaworthiness and operating envelope</x:v>
      </x:c>
      <x:c r="F10" s="17" t="str">
        <x:v>Unsafe equipment enters service</x:v>
      </x:c>
      <x:c r="G10" s="17" t="str">
        <x:v>Evidence gate</x:v>
      </x:c>
      <x:c r="H10" s="38"/>
      <x:c r="I10" s="38"/>
      <x:c r="J10" s="38"/>
      <x:c r="K10" s="38"/>
      <x:c r="L10" s="38"/>
      <x:c r="M10" s="38"/>
    </x:row>
    <x:row r="11" ht="48" hidden="0" customHeight="1">
      <x:c r="C11" s="17" t="str">
        <x:v>Credential and data governance</x:v>
      </x:c>
      <x:c r="D11" s="17" t="str">
        <x:v>Health, utility and privacy authorities</x:v>
      </x:c>
      <x:c r="E11" s="17" t="str">
        <x:v>Credential, minimum data and audit policy</x:v>
      </x:c>
      <x:c r="F11" s="17" t="str">
        <x:v>Care and services cannot be accepted</x:v>
      </x:c>
      <x:c r="G11" s="17" t="str">
        <x:v>Evidence gate</x:v>
      </x:c>
      <x:c r="H11" s="38"/>
      <x:c r="I11" s="38"/>
      <x:c r="J11" s="38"/>
      <x:c r="K11" s="38"/>
      <x:c r="L11" s="38"/>
      <x:c r="M11" s="38"/>
    </x:row>
    <x:row r="12" ht="72" hidden="0" customHeight="1">
      <x:c r="C12" s="17" t="str">
        <x:v>Civil transfer and demobilization</x:v>
      </x:c>
      <x:c r="D12" s="17" t="str">
        <x:v>Host authority + inspector general</x:v>
      </x:c>
      <x:c r="E12" s="17" t="str">
        <x:v>Acceptance, records, liabilities and residual support</x:v>
      </x:c>
      <x:c r="F12" s="17" t="str">
        <x:v>Temporary response becomes unmanaged dependency</x:v>
      </x:c>
      <x:c r="G12" s="17" t="str">
        <x:v>Evidence gate</x:v>
      </x:c>
      <x:c r="H12" s="38"/>
      <x:c r="I12" s="38"/>
      <x:c r="J12" s="38"/>
      <x:c r="K12" s="38"/>
      <x:c r="L12" s="38"/>
      <x:c r="M12" s="38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4" hidden="0" customWidth="1"/>
    <x:col min="5" max="5" width="62" hidden="0" customWidth="1"/>
    <x:col min="6" max="6" width="62" hidden="0" customWidth="1"/>
    <x:col min="7" max="7" width="48" hidden="0" customWidth="1"/>
  </x:cols>
  <x:sheetData>
    <x:row r="2">
      <x:c r="C2" s="2" t="str">
        <x:v>Enterprise Failure Modes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Design hazards that a fleet-only approach misses.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ID</x:v>
      </x:c>
      <x:c r="D6" s="13" t="str">
        <x:v>Failure mode</x:v>
      </x:c>
      <x:c r="E6" s="13" t="str">
        <x:v>Mechanism</x:v>
      </x:c>
      <x:c r="F6" s="13" t="str">
        <x:v>Design response</x:v>
      </x:c>
      <x:c r="G6" s="13" t="str">
        <x:v>Residual research</x:v>
      </x:c>
      <x:c r="H6" s="38"/>
      <x:c r="I6" s="38"/>
      <x:c r="J6" s="38"/>
      <x:c r="K6" s="38"/>
      <x:c r="L6" s="38"/>
      <x:c r="M6" s="38"/>
    </x:row>
    <x:row r="7" ht="96" hidden="0" customHeight="1">
      <x:c r="C7" s="17" t="str">
        <x:v>F01</x:v>
      </x:c>
      <x:c r="D7" s="17" t="str">
        <x:v>Formation outruns entry</x:v>
      </x:c>
      <x:c r="E7" s="17" t="str">
        <x:v>Operating units are prioritized ahead of port, airfield and distribution forces</x:v>
      </x:c>
      <x:c r="F7" s="17" t="str">
        <x:v>Entry packages are first-class force elements in every wave</x:v>
      </x:c>
      <x:c r="G7" s="17" t="str">
        <x:v>Item-level time-phased trials</x:v>
      </x:c>
      <x:c r="H7" s="38"/>
      <x:c r="I7" s="38"/>
      <x:c r="J7" s="38"/>
      <x:c r="K7" s="38"/>
      <x:c r="L7" s="38"/>
      <x:c r="M7" s="38"/>
    </x:row>
    <x:row r="8" ht="72" hidden="0" customHeight="1">
      <x:c r="C8" s="17" t="str">
        <x:v>F02</x:v>
      </x:c>
      <x:c r="D8" s="17" t="str">
        <x:v>Port is open but cargo stops</x:v>
      </x:c>
      <x:c r="E8" s="17" t="str">
        <x:v>Berth clearance is mistaken for end-to-end distribution</x:v>
      </x:c>
      <x:c r="F8" s="17" t="str">
        <x:v>Measure node-to-destination throughput and backlog</x:v>
      </x:c>
      <x:c r="G8" s="17" t="str">
        <x:v>Live terminal exercises</x:v>
      </x:c>
      <x:c r="H8" s="38"/>
      <x:c r="I8" s="38"/>
      <x:c r="J8" s="38"/>
      <x:c r="K8" s="38"/>
      <x:c r="L8" s="38"/>
      <x:c r="M8" s="38"/>
    </x:row>
    <x:row r="9" ht="72" hidden="0" customHeight="1">
      <x:c r="C9" s="17" t="str">
        <x:v>F03</x:v>
      </x:c>
      <x:c r="D9" s="17" t="str">
        <x:v>Responder force consumes host services</x:v>
      </x:c>
      <x:c r="E9" s="17" t="str">
        <x:v>Bases draw damaged water, power, beds and sanitation</x:v>
      </x:c>
      <x:c r="F9" s="17" t="str">
        <x:v>Zero-host-utility base modules</x:v>
      </x:c>
      <x:c r="G9" s="17" t="str">
        <x:v>Long-duration occupied demonstration</x:v>
      </x:c>
      <x:c r="H9" s="38"/>
      <x:c r="I9" s="38"/>
      <x:c r="J9" s="38"/>
      <x:c r="K9" s="38"/>
      <x:c r="L9" s="38"/>
      <x:c r="M9" s="38"/>
    </x:row>
    <x:row r="10" ht="84" hidden="0" customHeight="1">
      <x:c r="C10" s="17" t="str">
        <x:v>F04</x:v>
      </x:c>
      <x:c r="D10" s="17" t="str">
        <x:v>Single-node optimism</x:v>
      </x:c>
      <x:c r="E10" s="17" t="str">
        <x:v>Several nominal nodes share one bridge, grid, channel or labor pool</x:v>
      </x:c>
      <x:c r="F10" s="17" t="str">
        <x:v>Independence map and primary-path-loss case</x:v>
      </x:c>
      <x:c r="G10" s="17" t="str">
        <x:v>Empirical covariance</x:v>
      </x:c>
      <x:c r="H10" s="38"/>
      <x:c r="I10" s="38"/>
      <x:c r="J10" s="38"/>
      <x:c r="K10" s="38"/>
      <x:c r="L10" s="38"/>
      <x:c r="M10" s="38"/>
    </x:row>
    <x:row r="11" ht="72" hidden="0" customHeight="1">
      <x:c r="C11" s="17" t="str">
        <x:v>F05</x:v>
      </x:c>
      <x:c r="D11" s="17" t="str">
        <x:v>Air urgency becomes air dependence</x:v>
      </x:c>
      <x:c r="E11" s="17" t="str">
        <x:v>Low-value heavy cargo crowds out life-safety modules</x:v>
      </x:c>
      <x:c r="F11" s="17" t="str">
        <x:v>Effect-based priorities and modal substitution</x:v>
      </x:c>
      <x:c r="G11" s="17" t="str">
        <x:v>Load-plan validation</x:v>
      </x:c>
      <x:c r="H11" s="38"/>
      <x:c r="I11" s="38"/>
      <x:c r="J11" s="38"/>
      <x:c r="K11" s="38"/>
      <x:c r="L11" s="38"/>
      <x:c r="M11" s="38"/>
    </x:row>
    <x:row r="12" ht="60" hidden="0" customHeight="1">
      <x:c r="C12" s="17" t="str">
        <x:v>F06</x:v>
      </x:c>
      <x:c r="D12" s="17" t="str">
        <x:v>Prepositioning is inside the hazard</x:v>
      </x:c>
      <x:c r="E12" s="17" t="str">
        <x:v>Staged stock is lost with the community it supports</x:v>
      </x:c>
      <x:c r="F12" s="17" t="str">
        <x:v>Safe-zone geometry and reversible dispersal</x:v>
      </x:c>
      <x:c r="G12" s="17" t="str">
        <x:v>Hazard-specific siting</x:v>
      </x:c>
      <x:c r="H12" s="38"/>
      <x:c r="I12" s="38"/>
      <x:c r="J12" s="38"/>
      <x:c r="K12" s="38"/>
      <x:c r="L12" s="38"/>
      <x:c r="M12" s="38"/>
    </x:row>
    <x:row r="13" ht="84" hidden="0" customHeight="1">
      <x:c r="C13" s="17" t="str">
        <x:v>F07</x:v>
      </x:c>
      <x:c r="D13" s="17" t="str">
        <x:v>Contract capacity is counted twice</x:v>
      </x:c>
      <x:c r="E13" s="17" t="str">
        <x:v>The same carrier, driver or mariner appears in multiple plans</x:v>
      </x:c>
      <x:c r="F13" s="17" t="str">
        <x:v>Named capacity reservations and readiness exercises</x:v>
      </x:c>
      <x:c r="G13" s="17" t="str">
        <x:v>Commercial network audit</x:v>
      </x:c>
      <x:c r="H13" s="38"/>
      <x:c r="I13" s="38"/>
      <x:c r="J13" s="38"/>
      <x:c r="K13" s="38"/>
      <x:c r="L13" s="38"/>
      <x:c r="M13" s="38"/>
    </x:row>
    <x:row r="14" ht="60" hidden="0" customHeight="1">
      <x:c r="C14" s="17" t="str">
        <x:v>F08</x:v>
      </x:c>
      <x:c r="D14" s="17" t="str">
        <x:v>Mariner / operator shortfall</x:v>
      </x:c>
      <x:c r="E14" s="17" t="str">
        <x:v>Platforms exist without qualified crews</x:v>
      </x:c>
      <x:c r="F14" s="17" t="str">
        <x:v>Permanent, reserve and industrial workforce pipeline</x:v>
      </x:c>
      <x:c r="G14" s="17" t="str">
        <x:v>Occupation-level model</x:v>
      </x:c>
      <x:c r="H14" s="38"/>
      <x:c r="I14" s="38"/>
      <x:c r="J14" s="38"/>
      <x:c r="K14" s="38"/>
      <x:c r="L14" s="38"/>
      <x:c r="M14" s="38"/>
    </x:row>
    <x:row r="15" ht="84" hidden="0" customHeight="1">
      <x:c r="C15" s="17" t="str">
        <x:v>F09</x:v>
      </x:c>
      <x:c r="D15" s="17" t="str">
        <x:v>Digital visibility is mistaken for control</x:v>
      </x:c>
      <x:c r="E15" s="17" t="str">
        <x:v>Tracking does not create cranes, routes or decisions</x:v>
      </x:c>
      <x:c r="F15" s="17" t="str">
        <x:v>Physical capacity and command authority remain separate</x:v>
      </x:c>
      <x:c r="G15" s="17" t="str">
        <x:v>D-DIL field trials</x:v>
      </x:c>
      <x:c r="H15" s="38"/>
      <x:c r="I15" s="38"/>
      <x:c r="J15" s="38"/>
      <x:c r="K15" s="38"/>
      <x:c r="L15" s="38"/>
      <x:c r="M15" s="38"/>
    </x:row>
    <x:row r="16" ht="96" hidden="0" customHeight="1">
      <x:c r="C16" s="17" t="str">
        <x:v>F10</x:v>
      </x:c>
      <x:c r="D16" s="17" t="str">
        <x:v>Hazardous reverse flow is omitted</x:v>
      </x:c>
      <x:c r="E16" s="17" t="str">
        <x:v>Waste, batteries, fuel, casualties and damaged equipment accumulate</x:v>
      </x:c>
      <x:c r="F16" s="17" t="str">
        <x:v>Dedicated reverse-flow packages and facilities</x:v>
      </x:c>
      <x:c r="G16" s="17" t="str">
        <x:v>Regulatory design</x:v>
      </x:c>
      <x:c r="H16" s="38"/>
      <x:c r="I16" s="38"/>
      <x:c r="J16" s="38"/>
      <x:c r="K16" s="38"/>
      <x:c r="L16" s="38"/>
      <x:c r="M16" s="38"/>
    </x:row>
    <x:row r="17" ht="60" hidden="0" customHeight="1">
      <x:c r="C17" s="17" t="str">
        <x:v>F11</x:v>
      </x:c>
      <x:c r="D17" s="17" t="str">
        <x:v>The host rejects technically valid service</x:v>
      </x:c>
      <x:c r="E17" s="17" t="str">
        <x:v>Standards, records or interfaces do not transfer</x:v>
      </x:c>
      <x:c r="F17" s="17" t="str">
        <x:v>Host acceptance designed before deployment</x:v>
      </x:c>
      <x:c r="G17" s="17" t="str">
        <x:v>Partner trials</x:v>
      </x:c>
      <x:c r="H17" s="38"/>
      <x:c r="I17" s="38"/>
      <x:c r="J17" s="38"/>
      <x:c r="K17" s="38"/>
      <x:c r="L17" s="38"/>
      <x:c r="M17" s="38"/>
    </x:row>
    <x:row r="18" ht="48" hidden="0" customHeight="1">
      <x:c r="C18" s="17" t="str">
        <x:v>F12</x:v>
      </x:c>
      <x:c r="D18" s="17" t="str">
        <x:v>Maintenance debt is hidden</x:v>
      </x:c>
      <x:c r="E18" s="17" t="str">
        <x:v>High tempo consumes future readiness</x:v>
      </x:c>
      <x:c r="F18" s="17" t="str">
        <x:v>Reconstitution starts during deployment</x:v>
      </x:c>
      <x:c r="G18" s="17" t="str">
        <x:v>Asset-level reset curves</x:v>
      </x:c>
      <x:c r="H18" s="38"/>
      <x:c r="I18" s="38"/>
      <x:c r="J18" s="38"/>
      <x:c r="K18" s="38"/>
      <x:c r="L18" s="38"/>
      <x:c r="M18" s="38"/>
    </x:row>
    <x:row r="19" ht="72" hidden="0" customHeight="1">
      <x:c r="C19" s="17" t="str">
        <x:v>F13</x:v>
      </x:c>
      <x:c r="D19" s="17" t="str">
        <x:v>Fixed hub becomes a regional choke point</x:v>
      </x:c>
      <x:c r="E19" s="17" t="str">
        <x:v>Concentration increases correlated loss</x:v>
      </x:c>
      <x:c r="F19" s="17" t="str">
        <x:v>Paired hubs, dispersed auxiliaries and mobile nodes</x:v>
      </x:c>
      <x:c r="G19" s="17" t="str">
        <x:v>Network interdiction simulations</x:v>
      </x:c>
      <x:c r="H19" s="38"/>
      <x:c r="I19" s="38"/>
      <x:c r="J19" s="38"/>
      <x:c r="K19" s="38"/>
      <x:c r="L19" s="38"/>
      <x:c r="M19" s="38"/>
    </x:row>
    <x:row r="20" ht="72" hidden="0" customHeight="1">
      <x:c r="C20" s="17" t="str">
        <x:v>F14</x:v>
      </x:c>
      <x:c r="D20" s="17" t="str">
        <x:v>Novel autonomy lacks public legitimacy</x:v>
      </x:c>
      <x:c r="E20" s="17" t="str">
        <x:v>Safety case and accountability trail are insufficient</x:v>
      </x:c>
      <x:c r="F20" s="17" t="str">
        <x:v>Independent release, bounded autonomy and auditability</x:v>
      </x:c>
      <x:c r="G20" s="17" t="str">
        <x:v>Human-factors and governance research</x:v>
      </x:c>
      <x:c r="H20" s="38"/>
      <x:c r="I20" s="38"/>
      <x:c r="J20" s="38"/>
      <x:c r="K20" s="38"/>
      <x:c r="L20" s="38"/>
      <x:c r="M20" s="38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44546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42" hidden="0" customWidth="1"/>
    <x:col min="5" max="5" width="88" hidden="0" customWidth="1"/>
    <x:col min="6" max="6" width="14" hidden="0" customWidth="1"/>
  </x:cols>
  <x:sheetData>
    <x:row r="2">
      <x:c r="C2" s="2" t="str">
        <x:v>Evidence and Maturity Gates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All gates remain open. The workbook establishes design hypotheses, not validated procurement requirements.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ID</x:v>
      </x:c>
      <x:c r="D6" s="13" t="str">
        <x:v>Gate</x:v>
      </x:c>
      <x:c r="E6" s="13" t="str">
        <x:v>Required evidence</x:v>
      </x:c>
      <x:c r="F6" s="13" t="str">
        <x:v>State</x:v>
      </x:c>
      <x:c r="G6" s="38"/>
      <x:c r="H6" s="38"/>
      <x:c r="I6" s="38"/>
      <x:c r="J6" s="38"/>
      <x:c r="K6" s="38"/>
      <x:c r="L6" s="38"/>
      <x:c r="M6" s="38"/>
    </x:row>
    <x:row r="7" ht="96" hidden="0" customHeight="1">
      <x:c r="C7" s="17" t="str">
        <x:v>E01</x:v>
      </x:c>
      <x:c r="D7" s="17" t="str">
        <x:v>Item-level deployment records</x:v>
      </x:c>
      <x:c r="E7" s="17" t="str">
        <x:v>Configuration-controlled people, mass, volume and load compatibility</x:v>
      </x:c>
      <x:c r="F7" s="17" t="str">
        <x:v>OPEN</x:v>
      </x:c>
      <x:c r="G7" s="38"/>
      <x:c r="H7" s="38"/>
      <x:c r="I7" s="38"/>
      <x:c r="J7" s="38"/>
      <x:c r="K7" s="38"/>
      <x:c r="L7" s="38"/>
      <x:c r="M7" s="38"/>
    </x:row>
    <x:row r="8" ht="72" hidden="0" customHeight="1">
      <x:c r="C8" s="17" t="str">
        <x:v>E02</x:v>
      </x:c>
      <x:c r="D8" s="17" t="str">
        <x:v>Wave-to-effect proof</x:v>
      </x:c>
      <x:c r="E8" s="17" t="str">
        <x:v>Demonstrate that each wave starts the claimed public service</x:v>
      </x:c>
      <x:c r="F8" s="17" t="str">
        <x:v>OPEN</x:v>
      </x:c>
      <x:c r="G8" s="38"/>
      <x:c r="H8" s="38"/>
      <x:c r="I8" s="38"/>
      <x:c r="J8" s="38"/>
      <x:c r="K8" s="38"/>
      <x:c r="L8" s="38"/>
      <x:c r="M8" s="38"/>
    </x:row>
    <x:row r="9" ht="96" hidden="0" customHeight="1">
      <x:c r="C9" s="17" t="str">
        <x:v>E03</x:v>
      </x:c>
      <x:c r="D9" s="17" t="str">
        <x:v>Aircraft performance</x:v>
      </x:c>
      <x:c r="E9" s="17" t="str">
        <x:v>Payload-range, runway, weather, maintenance and airworthiness</x:v>
      </x:c>
      <x:c r="F9" s="17" t="str">
        <x:v>OPEN</x:v>
      </x:c>
      <x:c r="G9" s="38"/>
      <x:c r="H9" s="38"/>
      <x:c r="I9" s="38"/>
      <x:c r="J9" s="38"/>
      <x:c r="K9" s="38"/>
      <x:c r="L9" s="38"/>
      <x:c r="M9" s="38"/>
    </x:row>
    <x:row r="10" ht="72" hidden="0" customHeight="1">
      <x:c r="C10" s="17" t="str">
        <x:v>E04</x:v>
      </x:c>
      <x:c r="D10" s="17" t="str">
        <x:v>Ship performance</x:v>
      </x:c>
      <x:c r="E10" s="17" t="str">
        <x:v>Cargo, stability, draft, discharge, crew and lifecycle</x:v>
      </x:c>
      <x:c r="F10" s="17" t="str">
        <x:v>OPEN</x:v>
      </x:c>
      <x:c r="G10" s="38"/>
      <x:c r="H10" s="38"/>
      <x:c r="I10" s="38"/>
      <x:c r="J10" s="38"/>
      <x:c r="K10" s="38"/>
      <x:c r="L10" s="38"/>
      <x:c r="M10" s="38"/>
    </x:row>
    <x:row r="11" ht="72" hidden="0" customHeight="1">
      <x:c r="C11" s="17" t="str">
        <x:v>E05</x:v>
      </x:c>
      <x:c r="D11" s="17" t="str">
        <x:v>Rail / road network</x:v>
      </x:c>
      <x:c r="E11" s="17" t="str">
        <x:v>Terminal, bridge, crew, fuel and cycle-time evidence</x:v>
      </x:c>
      <x:c r="F11" s="17" t="str">
        <x:v>OPEN</x:v>
      </x:c>
      <x:c r="G11" s="38"/>
      <x:c r="H11" s="38"/>
      <x:c r="I11" s="38"/>
      <x:c r="J11" s="38"/>
      <x:c r="K11" s="38"/>
      <x:c r="L11" s="38"/>
      <x:c r="M11" s="38"/>
    </x:row>
    <x:row r="12" ht="84" hidden="0" customHeight="1">
      <x:c r="C12" s="17" t="str">
        <x:v>E06</x:v>
      </x:c>
      <x:c r="D12" s="17" t="str">
        <x:v>Inland water network</x:v>
      </x:c>
      <x:c r="E12" s="17" t="str">
        <x:v>Draft, river stage, locks, terminals and seasonal limits</x:v>
      </x:c>
      <x:c r="F12" s="17" t="str">
        <x:v>OPEN</x:v>
      </x:c>
      <x:c r="G12" s="38"/>
      <x:c r="H12" s="38"/>
      <x:c r="I12" s="38"/>
      <x:c r="J12" s="38"/>
      <x:c r="K12" s="38"/>
      <x:c r="L12" s="38"/>
      <x:c r="M12" s="38"/>
    </x:row>
    <x:row r="13" ht="72" hidden="0" customHeight="1">
      <x:c r="C13" s="17" t="str">
        <x:v>E07</x:v>
      </x:c>
      <x:c r="D13" s="17" t="str">
        <x:v>Port opening throughput</x:v>
      </x:c>
      <x:c r="E13" s="17" t="str">
        <x:v>Hydrography through onward clearance under damage</x:v>
      </x:c>
      <x:c r="F13" s="17" t="str">
        <x:v>OPEN</x:v>
      </x:c>
      <x:c r="G13" s="38"/>
      <x:c r="H13" s="38"/>
      <x:c r="I13" s="38"/>
      <x:c r="J13" s="38"/>
      <x:c r="K13" s="38"/>
      <x:c r="L13" s="38"/>
      <x:c r="M13" s="38"/>
    </x:row>
    <x:row r="14" ht="60" hidden="0" customHeight="1">
      <x:c r="C14" s="17" t="str">
        <x:v>E08</x:v>
      </x:c>
      <x:c r="D14" s="17" t="str">
        <x:v>Airfield opening throughput</x:v>
      </x:c>
      <x:c r="E14" s="17" t="str">
        <x:v>Assessment through sustained sortie generation</x:v>
      </x:c>
      <x:c r="F14" s="17" t="str">
        <x:v>OPEN</x:v>
      </x:c>
      <x:c r="G14" s="38"/>
      <x:c r="H14" s="38"/>
      <x:c r="I14" s="38"/>
      <x:c r="J14" s="38"/>
      <x:c r="K14" s="38"/>
      <x:c r="L14" s="38"/>
      <x:c r="M14" s="38"/>
    </x:row>
    <x:row r="15" ht="72" hidden="0" customHeight="1">
      <x:c r="C15" s="17" t="str">
        <x:v>E09</x:v>
      </x:c>
      <x:c r="D15" s="17" t="str">
        <x:v>Route-opening throughput</x:v>
      </x:c>
      <x:c r="E15" s="17" t="str">
        <x:v>Survey, clearance, temporary works and traffic control</x:v>
      </x:c>
      <x:c r="F15" s="17" t="str">
        <x:v>OPEN</x:v>
      </x:c>
      <x:c r="G15" s="38"/>
      <x:c r="H15" s="38"/>
      <x:c r="I15" s="38"/>
      <x:c r="J15" s="38"/>
      <x:c r="K15" s="38"/>
      <x:c r="L15" s="38"/>
      <x:c r="M15" s="38"/>
    </x:row>
    <x:row r="16" ht="60" hidden="0" customHeight="1">
      <x:c r="C16" s="17" t="str">
        <x:v>E10</x:v>
      </x:c>
      <x:c r="D16" s="17" t="str">
        <x:v>Responder base endurance</x:v>
      </x:c>
      <x:c r="E16" s="17" t="str">
        <x:v>Occupied zero-host-utility demonstration</x:v>
      </x:c>
      <x:c r="F16" s="17" t="str">
        <x:v>OPEN</x:v>
      </x:c>
      <x:c r="G16" s="38"/>
      <x:c r="H16" s="38"/>
      <x:c r="I16" s="38"/>
      <x:c r="J16" s="38"/>
      <x:c r="K16" s="38"/>
      <x:c r="L16" s="38"/>
      <x:c r="M16" s="38"/>
    </x:row>
    <x:row r="17" ht="84" hidden="0" customHeight="1">
      <x:c r="C17" s="17" t="str">
        <x:v>E11</x:v>
      </x:c>
      <x:c r="D17" s="17" t="str">
        <x:v>Sustainment coefficients</x:v>
      </x:c>
      <x:c r="E17" s="17" t="str">
        <x:v>Commodity, maintenance, waste, health and reverse flow by formation</x:v>
      </x:c>
      <x:c r="F17" s="17" t="str">
        <x:v>OPEN</x:v>
      </x:c>
      <x:c r="G17" s="38"/>
      <x:c r="H17" s="38"/>
      <x:c r="I17" s="38"/>
      <x:c r="J17" s="38"/>
      <x:c r="K17" s="38"/>
      <x:c r="L17" s="38"/>
      <x:c r="M17" s="38"/>
    </x:row>
    <x:row r="18" ht="60" hidden="0" customHeight="1">
      <x:c r="C18" s="17" t="str">
        <x:v>E12</x:v>
      </x:c>
      <x:c r="D18" s="17" t="str">
        <x:v>Correlated damage</x:v>
      </x:c>
      <x:c r="E18" s="17" t="str">
        <x:v>Empirical node and route covariance by hazard</x:v>
      </x:c>
      <x:c r="F18" s="17" t="str">
        <x:v>OPEN</x:v>
      </x:c>
      <x:c r="G18" s="38"/>
      <x:c r="H18" s="38"/>
      <x:c r="I18" s="38"/>
      <x:c r="J18" s="38"/>
      <x:c r="K18" s="38"/>
      <x:c r="L18" s="38"/>
      <x:c r="M18" s="38"/>
    </x:row>
    <x:row r="19" ht="72" hidden="0" customHeight="1">
      <x:c r="C19" s="17" t="str">
        <x:v>E13</x:v>
      </x:c>
      <x:c r="D19" s="17" t="str">
        <x:v>Commercial capacity exclusivity</x:v>
      </x:c>
      <x:c r="E19" s="17" t="str">
        <x:v>Named carriers, crews, equipment and priority rights</x:v>
      </x:c>
      <x:c r="F19" s="17" t="str">
        <x:v>OPEN</x:v>
      </x:c>
      <x:c r="G19" s="38"/>
      <x:c r="H19" s="38"/>
      <x:c r="I19" s="38"/>
      <x:c r="J19" s="38"/>
      <x:c r="K19" s="38"/>
      <x:c r="L19" s="38"/>
      <x:c r="M19" s="38"/>
    </x:row>
    <x:row r="20" ht="72" hidden="0" customHeight="1">
      <x:c r="C20" s="17" t="str">
        <x:v>E14</x:v>
      </x:c>
      <x:c r="D20" s="17" t="str">
        <x:v>Workforce occupation model</x:v>
      </x:c>
      <x:c r="E20" s="17" t="str">
        <x:v>Training pipeline, retention, rotation and geographic supply</x:v>
      </x:c>
      <x:c r="F20" s="17" t="str">
        <x:v>OPEN</x:v>
      </x:c>
      <x:c r="G20" s="38"/>
      <x:c r="H20" s="38"/>
      <x:c r="I20" s="38"/>
      <x:c r="J20" s="38"/>
      <x:c r="K20" s="38"/>
      <x:c r="L20" s="38"/>
      <x:c r="M20" s="38"/>
    </x:row>
    <x:row r="21" ht="108" hidden="0" customHeight="1">
      <x:c r="C21" s="17" t="str">
        <x:v>E15</x:v>
      </x:c>
      <x:c r="D21" s="17" t="str">
        <x:v>Capital estimate</x:v>
      </x:c>
      <x:c r="E21" s="17" t="str">
        <x:v>Engineering WBS, learning curves, schedule and independent cost estimate</x:v>
      </x:c>
      <x:c r="F21" s="17" t="str">
        <x:v>OPEN</x:v>
      </x:c>
      <x:c r="G21" s="38"/>
      <x:c r="H21" s="38"/>
      <x:c r="I21" s="38"/>
      <x:c r="J21" s="38"/>
      <x:c r="K21" s="38"/>
      <x:c r="L21" s="38"/>
      <x:c r="M21" s="38"/>
    </x:row>
    <x:row r="22" ht="60" hidden="0" customHeight="1">
      <x:c r="C22" s="17" t="str">
        <x:v>E16</x:v>
      </x:c>
      <x:c r="D22" s="17" t="str">
        <x:v>Operating estimate</x:v>
      </x:c>
      <x:c r="E22" s="17" t="str">
        <x:v>Fuel, labor, maintenance, stock and exercise evidence</x:v>
      </x:c>
      <x:c r="F22" s="17" t="str">
        <x:v>OPEN</x:v>
      </x:c>
      <x:c r="G22" s="38"/>
      <x:c r="H22" s="38"/>
      <x:c r="I22" s="38"/>
      <x:c r="J22" s="38"/>
      <x:c r="K22" s="38"/>
      <x:c r="L22" s="38"/>
      <x:c r="M22" s="38"/>
    </x:row>
    <x:row r="23" ht="72" hidden="0" customHeight="1">
      <x:c r="C23" s="17" t="str">
        <x:v>E17</x:v>
      </x:c>
      <x:c r="D23" s="17" t="str">
        <x:v>Authority and access</x:v>
      </x:c>
      <x:c r="E23" s="17" t="str">
        <x:v>Domestic and international decision records exercised</x:v>
      </x:c>
      <x:c r="F23" s="17" t="str">
        <x:v>OPEN</x:v>
      </x:c>
      <x:c r="G23" s="38"/>
      <x:c r="H23" s="38"/>
      <x:c r="I23" s="38"/>
      <x:c r="J23" s="38"/>
      <x:c r="K23" s="38"/>
      <x:c r="L23" s="38"/>
      <x:c r="M23" s="38"/>
    </x:row>
    <x:row r="24" ht="72" hidden="0" customHeight="1">
      <x:c r="C24" s="17" t="str">
        <x:v>E18</x:v>
      </x:c>
      <x:c r="D24" s="17" t="str">
        <x:v>Cyber / D-DIL control</x:v>
      </x:c>
      <x:c r="E24" s="17" t="str">
        <x:v>Offline command, reconciliation, safety and recovery</x:v>
      </x:c>
      <x:c r="F24" s="17" t="str">
        <x:v>OPEN</x:v>
      </x:c>
      <x:c r="G24" s="38"/>
      <x:c r="H24" s="38"/>
      <x:c r="I24" s="38"/>
      <x:c r="J24" s="38"/>
      <x:c r="K24" s="38"/>
      <x:c r="L24" s="38"/>
      <x:c r="M24" s="38"/>
    </x:row>
    <x:row r="25" ht="72" hidden="0" customHeight="1">
      <x:c r="C25" s="17" t="str">
        <x:v>E19</x:v>
      </x:c>
      <x:c r="D25" s="17" t="str">
        <x:v>Campaign trials</x:v>
      </x:c>
      <x:c r="E25" s="17" t="str">
        <x:v>Ten simultaneous campaigns tested end to end</x:v>
      </x:c>
      <x:c r="F25" s="17" t="str">
        <x:v>OPEN</x:v>
      </x:c>
      <x:c r="G25" s="38"/>
      <x:c r="H25" s="38"/>
      <x:c r="I25" s="38"/>
      <x:c r="J25" s="38"/>
      <x:c r="K25" s="38"/>
      <x:c r="L25" s="38"/>
      <x:c r="M25" s="38"/>
    </x:row>
    <x:row r="26" ht="60" hidden="0" customHeight="1">
      <x:c r="C26" s="17" t="str">
        <x:v>E20</x:v>
      </x:c>
      <x:c r="D26" s="17" t="str">
        <x:v>Rendering release</x:v>
      </x:c>
      <x:c r="E26" s="17" t="str">
        <x:v>Engineering configuration, scale and interfaces closed</x:v>
      </x:c>
      <x:c r="F26" s="17" t="str">
        <x:v>OPEN</x:v>
      </x:c>
      <x:c r="G26" s="38"/>
      <x:c r="H26" s="38"/>
      <x:c r="I26" s="38"/>
      <x:c r="J26" s="38"/>
      <x:c r="K26" s="38"/>
      <x:c r="L26" s="38"/>
      <x:c r="M26" s="38"/>
    </x:row>
  </x:sheetData>
  <x:conditionalFormatting sqref="F7:F26">
    <x:cfRule type="containsText" dxfId="30" priority="1" operator="containsText" text="PASS"/>
    <x:cfRule type="containsText" dxfId="31" priority="2" operator="containsText" text="FAIL"/>
    <x:cfRule type="containsText" dxfId="32" priority="3" operator="containsText" text="OPEN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44546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48" hidden="0" customWidth="1"/>
    <x:col min="5" max="5" width="34" hidden="0" customWidth="1"/>
    <x:col min="6" max="6" width="14" hidden="0" customWidth="1"/>
    <x:col min="7" max="7" width="86" hidden="0" customWidth="1"/>
    <x:col min="8" max="8" width="72" hidden="0" customWidth="1"/>
  </x:cols>
  <x:sheetData>
    <x:row r="2">
      <x:c r="C2" s="2" t="str">
        <x:v>Sources and Model Provenance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Primary and official sources inform doctrine and historical constraints; all numerical design values remain explicit assumptions unless noted.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ID</x:v>
      </x:c>
      <x:c r="D6" s="13" t="str">
        <x:v>Source</x:v>
      </x:c>
      <x:c r="E6" s="13" t="str">
        <x:v>Institution</x:v>
      </x:c>
      <x:c r="F6" s="13" t="str">
        <x:v>As of</x:v>
      </x:c>
      <x:c r="G6" s="13" t="str">
        <x:v>URL / reference</x:v>
      </x:c>
      <x:c r="H6" s="13" t="str">
        <x:v>Use in this model</x:v>
      </x:c>
      <x:c r="I6" s="38"/>
      <x:c r="J6" s="38"/>
      <x:c r="K6" s="38"/>
      <x:c r="L6" s="38"/>
      <x:c r="M6" s="38"/>
    </x:row>
    <x:row r="7" ht="120" hidden="0" customHeight="1">
      <x:c r="C7" s="17" t="str">
        <x:v>S01</x:v>
      </x:c>
      <x:c r="D7" s="17" t="str">
        <x:v>JP 4-01, The Defense Transportation System</x:v>
      </x:c>
      <x:c r="E7" s="17" t="str">
        <x:v>Joint Chiefs of Staff</x:v>
      </x:c>
      <x:c r="F7" s="17" t="str">
        <x:v>2017</x:v>
      </x:c>
      <x:c r="G7" s="17" t="str">
        <x:v>https://www.jcs.mil/Portals/36/Documents/Doctrine/pubs/jp4_01_20170718.pdf</x:v>
      </x:c>
      <x:c r="H7" s="17" t="str">
        <x:v>Integrated transport management, time-phased requirements, JDDOC and JTF-PO</x:v>
      </x:c>
      <x:c r="I7" s="38"/>
      <x:c r="J7" s="38"/>
      <x:c r="K7" s="38"/>
      <x:c r="L7" s="38"/>
      <x:c r="M7" s="38"/>
    </x:row>
    <x:row r="8" ht="108" hidden="0" customHeight="1">
      <x:c r="C8" s="17" t="str">
        <x:v>S02</x:v>
      </x:c>
      <x:c r="D8" s="17" t="str">
        <x:v>Universal Joint Task List</x:v>
      </x:c>
      <x:c r="E8" s="17" t="str">
        <x:v>Joint Chiefs of Staff</x:v>
      </x:c>
      <x:c r="F8" s="17" t="str">
        <x:v>2026</x:v>
      </x:c>
      <x:c r="G8" s="17" t="str">
        <x:v>https://www.jcs.mil/Portals/36/Documents/Doctrine/training/ujtl_tasks.pdf</x:v>
      </x:c>
      <x:c r="H8" s="17" t="str">
        <x:v>Force closure, deployment, JRSOI and required delivery date concepts</x:v>
      </x:c>
      <x:c r="I8" s="38"/>
      <x:c r="J8" s="38"/>
      <x:c r="K8" s="38"/>
      <x:c r="L8" s="38"/>
      <x:c r="M8" s="38"/>
    </x:row>
    <x:row r="9" ht="96" hidden="0" customHeight="1">
      <x:c r="C9" s="17" t="str">
        <x:v>S03</x:v>
      </x:c>
      <x:c r="D9" s="17" t="str">
        <x:v>AFI 10-202, Contingency Response Force Operations</x:v>
      </x:c>
      <x:c r="E9" s="17" t="str">
        <x:v>Department of the Air Force</x:v>
      </x:c>
      <x:c r="F9" s="17" t="str">
        <x:v>2024</x:v>
      </x:c>
      <x:c r="G9" s="17" t="str">
        <x:v>https://static.e-publishing.af.mil/production/1/af_a3/publication/afi10-202/afi10-202.pdf</x:v>
      </x:c>
      <x:c r="H9" s="17" t="str">
        <x:v>Open-airbase force, rapid deployment and D-DIL conditions</x:v>
      </x:c>
      <x:c r="I9" s="38"/>
      <x:c r="J9" s="38"/>
      <x:c r="K9" s="38"/>
      <x:c r="L9" s="38"/>
      <x:c r="M9" s="38"/>
    </x:row>
    <x:row r="10" ht="108" hidden="0" customHeight="1">
      <x:c r="C10" s="17" t="str">
        <x:v>S04</x:v>
      </x:c>
      <x:c r="D10" s="17" t="str">
        <x:v>ATP 3-17.2 et al., Airfield Opening</x:v>
      </x:c>
      <x:c r="E10" s="17" t="str">
        <x:v>U.S. Army et al.</x:v>
      </x:c>
      <x:c r="F10" s="17" t="str">
        <x:v>2024</x:v>
      </x:c>
      <x:c r="G10" s="17" t="str">
        <x:v>https://static.e-publishing.af.mil/production/1/lemay_center/publication/afttp3-2.68/afttp3-2.68.pdf</x:v>
      </x:c>
      <x:c r="H10" s="17" t="str">
        <x:v>Scalable airfield assessment, command, cargo, fuel, medical and maintenance functions</x:v>
      </x:c>
      <x:c r="I10" s="38"/>
      <x:c r="J10" s="38"/>
      <x:c r="K10" s="38"/>
      <x:c r="L10" s="38"/>
      <x:c r="M10" s="38"/>
    </x:row>
    <x:row r="11" ht="96" hidden="0" customHeight="1">
      <x:c r="C11" s="17" t="str">
        <x:v>S05</x:v>
      </x:c>
      <x:c r="D11" s="17" t="str">
        <x:v>SDDC Capabilities Book / RPOE</x:v>
      </x:c>
      <x:c r="E11" s="17" t="str">
        <x:v>U.S. Army</x:v>
      </x:c>
      <x:c r="F11" s="17" t="str">
        <x:v>2025</x:v>
      </x:c>
      <x:c r="G11" s="17" t="str">
        <x:v>https://api.army.mil/e2/c/downloads/2025/09/10/7a17d558/sddc-capabilities-book.pdf</x:v>
      </x:c>
      <x:c r="H11" s="17" t="str">
        <x:v>Rapid port opening, in-transit visibility and initial distribution node</x:v>
      </x:c>
      <x:c r="I11" s="38"/>
      <x:c r="J11" s="38"/>
      <x:c r="K11" s="38"/>
      <x:c r="L11" s="38"/>
      <x:c r="M11" s="38"/>
    </x:row>
    <x:row r="12" ht="108" hidden="0" customHeight="1">
      <x:c r="C12" s="17" t="str">
        <x:v>S06</x:v>
      </x:c>
      <x:c r="D12" s="17" t="str">
        <x:v>Response and Recovery Federal Interagency Operational Plan</x:v>
      </x:c>
      <x:c r="E12" s="17" t="str">
        <x:v>FEMA</x:v>
      </x:c>
      <x:c r="F12" s="17" t="str">
        <x:v>2025</x:v>
      </x:c>
      <x:c r="G12" s="17" t="str">
        <x:v>https://www.fema.gov/sites/default/files/documents/fema_rd_response-recovery-fiop-npb-042025.pdf</x:v>
      </x:c>
      <x:c r="H12" s="17" t="str">
        <x:v>Incident support bases, federal staging areas and resource staging</x:v>
      </x:c>
      <x:c r="I12" s="38"/>
      <x:c r="J12" s="38"/>
      <x:c r="K12" s="38"/>
      <x:c r="L12" s="38"/>
      <x:c r="M12" s="38"/>
    </x:row>
    <x:row r="13" ht="132" hidden="0" customHeight="1">
      <x:c r="C13" s="17" t="str">
        <x:v>S07</x:v>
      </x:c>
      <x:c r="D13" s="17" t="str">
        <x:v>Ready Reserve Force</x:v>
      </x:c>
      <x:c r="E13" s="17" t="str">
        <x:v>MARAD</x:v>
      </x:c>
      <x:c r="F13" s="17" t="str">
        <x:v>2026</x:v>
      </x:c>
      <x:c r="G13" s="17" t="str">
        <x:v>https://www.maritime.dot.gov/national-defense-reserve-fleet/ndrf/maritime-administration%E2%80%99s-ready-reserve-force</x:v>
      </x:c>
      <x:c r="H13" s="17" t="str">
        <x:v>Reserve activation, outporting, crew and surge-sealift functions</x:v>
      </x:c>
      <x:c r="I13" s="38"/>
      <x:c r="J13" s="38"/>
      <x:c r="K13" s="38"/>
      <x:c r="L13" s="38"/>
      <x:c r="M13" s="38"/>
    </x:row>
    <x:row r="14" ht="108" hidden="0" customHeight="1">
      <x:c r="C14" s="17" t="str">
        <x:v>S08</x:v>
      </x:c>
      <x:c r="D14" s="17" t="str">
        <x:v>GAO-07-807, Defense Logistics</x:v>
      </x:c>
      <x:c r="E14" s="17" t="str">
        <x:v>Government Accountability Office</x:v>
      </x:c>
      <x:c r="F14" s="17" t="str">
        <x:v>2007</x:v>
      </x:c>
      <x:c r="G14" s="17" t="str">
        <x:v>https://www.gao.gov/products/gao-07-807</x:v>
      </x:c>
      <x:c r="H14" s="17" t="str">
        <x:v>Consequences of delaying port-opening forces and limits of isolated opening units</x:v>
      </x:c>
      <x:c r="I14" s="38"/>
      <x:c r="J14" s="38"/>
      <x:c r="K14" s="38"/>
      <x:c r="L14" s="38"/>
      <x:c r="M14" s="38"/>
    </x:row>
    <x:row r="15" ht="96" hidden="0" customHeight="1">
      <x:c r="C15" s="17" t="str">
        <x:v>S09</x:v>
      </x:c>
      <x:c r="D15" s="17" t="str">
        <x:v>GAO-17-503, Navy Readiness</x:v>
      </x:c>
      <x:c r="E15" s="17" t="str">
        <x:v>Government Accountability Office</x:v>
      </x:c>
      <x:c r="F15" s="17" t="str">
        <x:v>2017</x:v>
      </x:c>
      <x:c r="G15" s="17" t="str">
        <x:v>https://www.gao.gov/products/gao-17-503</x:v>
      </x:c>
      <x:c r="H15" s="17" t="str">
        <x:v>Aging sealift, readiness decline and capital-planning requirements</x:v>
      </x:c>
      <x:c r="I15" s="38"/>
      <x:c r="J15" s="38"/>
      <x:c r="K15" s="38"/>
      <x:c r="L15" s="38"/>
      <x:c r="M15" s="38"/>
    </x:row>
    <x:row r="16" ht="72" hidden="0" customHeight="1">
      <x:c r="C16" s="17" t="str">
        <x:v>S10</x:v>
      </x:c>
      <x:c r="D16" s="17" t="str">
        <x:v>GAO-21-125, Defense Transportation</x:v>
      </x:c>
      <x:c r="E16" s="17" t="str">
        <x:v>Government Accountability Office</x:v>
      </x:c>
      <x:c r="F16" s="17" t="str">
        <x:v>2021</x:v>
      </x:c>
      <x:c r="G16" s="17" t="str">
        <x:v>https://www.gao.gov/products/gao-21-125</x:v>
      </x:c>
      <x:c r="H16" s="17" t="str">
        <x:v>Mobility studies, contested training and sealift readiness</x:v>
      </x:c>
      <x:c r="I16" s="38"/>
      <x:c r="J16" s="38"/>
      <x:c r="K16" s="38"/>
      <x:c r="L16" s="38"/>
      <x:c r="M16" s="38"/>
    </x:row>
    <x:row r="17" ht="120" hidden="0" customHeight="1">
      <x:c r="C17" s="17" t="str">
        <x:v>S11</x:v>
      </x:c>
      <x:c r="D17" s="17" t="str">
        <x:v>National Emergency Preparedness Program</x:v>
      </x:c>
      <x:c r="E17" s="17" t="str">
        <x:v>U.S. Army Corps of Engineers</x:v>
      </x:c>
      <x:c r="F17" s="17" t="str">
        <x:v>current</x:v>
      </x:c>
      <x:c r="G17" s="17" t="str">
        <x:v>https://www.usace.army.mil/Missions/Emergency-Operations/National-Response-Framework/Emergency-Power/</x:v>
      </x:c>
      <x:c r="H17" s="17" t="str">
        <x:v>Emergency engineering, debris, power and infrastructure missions</x:v>
      </x:c>
      <x:c r="I17" s="38"/>
      <x:c r="J17" s="38"/>
      <x:c r="K17" s="38"/>
      <x:c r="L17" s="38"/>
      <x:c r="M17" s="38"/>
    </x:row>
    <x:row r="18" ht="108" hidden="0" customHeight="1">
      <x:c r="C18" s="17" t="str">
        <x:v>S12</x:v>
      </x:c>
      <x:c r="D18" s="17" t="str">
        <x:v>Joint Force Allocation Model</x:v>
      </x:c>
      <x:c r="E18" s="17" t="str">
        <x:v>Disaster Force Pass 23</x:v>
      </x:c>
      <x:c r="F18" s="17" t="str">
        <x:v>2026-09-04</x:v>
      </x:c>
      <x:c r="G18" s="17" t="str">
        <x:v>models/joint-force-allocation-model.xlsx</x:v>
      </x:c>
      <x:c r="H18" s="17" t="str">
        <x:v>Campaign mass, people, sustainment, formations, workforce and capital baseline</x:v>
      </x:c>
      <x:c r="I18" s="38"/>
      <x:c r="J18" s="38"/>
      <x:c r="K18" s="38"/>
      <x:c r="L18" s="38"/>
      <x:c r="M18" s="38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44546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46" hidden="0" customWidth="1"/>
    <x:col min="5" max="5" width="16" hidden="0" customWidth="1"/>
    <x:col min="6" max="6" width="70" hidden="0" customWidth="1"/>
  </x:cols>
  <x:sheetData>
    <x:row r="2">
      <x:c r="C2" s="2" t="str">
        <x:v>Model Checks</x:v>
      </x:c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C3" s="5" t="str">
        <x:v>PASS means the declared relationship holds; it does not validate the assumptions. OPEN is intentional uncertainty.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</x:row>
    <x:row r="5"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 ht="24" hidden="0" customHeight="1">
      <x:c r="C6" s="13" t="str">
        <x:v>ID</x:v>
      </x:c>
      <x:c r="D6" s="13" t="str">
        <x:v>Check</x:v>
      </x:c>
      <x:c r="E6" s="13" t="str">
        <x:v>Result</x:v>
      </x:c>
      <x:c r="F6" s="13" t="str">
        <x:v>Interpretation</x:v>
      </x:c>
      <x:c r="G6" s="38"/>
      <x:c r="H6" s="38"/>
      <x:c r="I6" s="38"/>
      <x:c r="J6" s="38"/>
      <x:c r="K6" s="38"/>
      <x:c r="L6" s="38"/>
      <x:c r="M6" s="38"/>
    </x:row>
    <x:row r="7" ht="36" hidden="0" customHeight="1">
      <x:c r="C7" s="17" t="str">
        <x:v>C01</x:v>
      </x:c>
      <x:c r="D7" s="17" t="str">
        <x:v>Ten campaigns present</x:v>
      </x:c>
      <x:c r="E7" s="18" t="str">
        <x:f>IF(COUNTA('Campaigns'!C7:C16)=10,"PASS","FAIL")</x:f>
        <x:v>PASS</x:v>
      </x:c>
      <x:c r="F7" s="17" t="str">
        <x:v>Portfolio scope</x:v>
      </x:c>
      <x:c r="G7" s="38"/>
      <x:c r="H7" s="38"/>
      <x:c r="I7" s="38"/>
      <x:c r="J7" s="38"/>
      <x:c r="K7" s="38"/>
      <x:c r="L7" s="38"/>
      <x:c r="M7" s="38"/>
    </x:row>
    <x:row r="8" ht="48" hidden="0" customHeight="1">
      <x:c r="C8" s="17" t="str">
        <x:v>C02</x:v>
      </x:c>
      <x:c r="D8" s="17" t="str">
        <x:v>Campaign wave shares equal 100%</x:v>
      </x:c>
      <x:c r="E8" s="18" t="str">
        <x:f>IF(AND(ABS('Campaign Waves'!H11-1)&lt;0.0001,ABS('Campaign Waves'!H16-1)&lt;0.0001,ABS('Campaign Waves'!H21-1)&lt;0.0001,ABS('Campaign Waves'!H26-1)&lt;0.0001,ABS('Campaign Waves'!H31-1)&lt;0.0001,ABS('Campaign Waves'!H36-1)&lt;0.0001,ABS('Campaign Waves'!H41-1)&lt;0.0001,ABS('Campaign Waves'!H46-1)&lt;0.0001,ABS('Campaign Waves'!H51-1)&lt;0.0001,ABS('Campaign Waves'!H56-1)&lt;0.0001),"PASS","FAIL")</x:f>
        <x:v>PASS</x:v>
      </x:c>
      <x:c r="F8" s="17" t="str">
        <x:v>Each campaign closes at 100%</x:v>
      </x:c>
      <x:c r="G8" s="38"/>
      <x:c r="H8" s="38"/>
      <x:c r="I8" s="38"/>
      <x:c r="J8" s="38"/>
      <x:c r="K8" s="38"/>
      <x:c r="L8" s="38"/>
      <x:c r="M8" s="38"/>
    </x:row>
    <x:row r="9" ht="36" hidden="0" customHeight="1">
      <x:c r="C9" s="17" t="str">
        <x:v>C03</x:v>
      </x:c>
      <x:c r="D9" s="17" t="str">
        <x:v>Mode shares equal 100%</x:v>
      </x:c>
      <x:c r="E9" s="18" t="str">
        <x:f>IF(AND(ABS('Mode Assignment'!H7-1)&lt;0.0001,ABS('Mode Assignment'!H8-1)&lt;0.0001,ABS('Mode Assignment'!H9-1)&lt;0.0001,ABS('Mode Assignment'!H10-1)&lt;0.0001,ABS('Mode Assignment'!H11-1)&lt;0.0001,ABS('Mode Assignment'!H12-1)&lt;0.0001,ABS('Mode Assignment'!H13-1)&lt;0.0001,ABS('Mode Assignment'!H14-1)&lt;0.0001,ABS('Mode Assignment'!H15-1)&lt;0.0001,ABS('Mode Assignment'!H16-1)&lt;0.0001),"PASS","FAIL")</x:f>
        <x:v>PASS</x:v>
      </x:c>
      <x:c r="F9" s="17" t="str">
        <x:v>No mass invented or omitted</x:v>
      </x:c>
      <x:c r="G9" s="38"/>
      <x:c r="H9" s="38"/>
      <x:c r="I9" s="38"/>
      <x:c r="J9" s="38"/>
      <x:c r="K9" s="38"/>
      <x:c r="L9" s="38"/>
      <x:c r="M9" s="38"/>
    </x:row>
    <x:row r="10" ht="48" hidden="0" customHeight="1">
      <x:c r="C10" s="17" t="str">
        <x:v>C04</x:v>
      </x:c>
      <x:c r="D10" s="17" t="str">
        <x:v>All movement deadlines close</x:v>
      </x:c>
      <x:c r="E10" s="18" t="str">
        <x:f>IF(COUNTIF('Movement Capacity'!P7:S10,"FAIL")=0,"PASS","FAIL")</x:f>
        <x:v>PASS</x:v>
      </x:c>
      <x:c r="F10" s="17" t="str">
        <x:v>Four modes × four deadlines</x:v>
      </x:c>
      <x:c r="G10" s="38"/>
      <x:c r="H10" s="38"/>
      <x:c r="I10" s="38"/>
      <x:c r="J10" s="38"/>
      <x:c r="K10" s="38"/>
      <x:c r="L10" s="38"/>
      <x:c r="M10" s="38"/>
    </x:row>
    <x:row r="11" ht="60" hidden="0" customHeight="1">
      <x:c r="C11" s="17" t="str">
        <x:v>C05</x:v>
      </x:c>
      <x:c r="D11" s="17" t="str">
        <x:v>Node allocations fit availability credit</x:v>
      </x:c>
      <x:c r="E11" s="18" t="str">
        <x:f>IF(COUNTIF('Campaign Nodes'!G21:G26,"FAIL")=0,"PASS","FAIL")</x:f>
        <x:v>PASS</x:v>
      </x:c>
      <x:c r="F11" s="17" t="str">
        <x:v>Ten-campaign simultaneous allocation</x:v>
      </x:c>
      <x:c r="G11" s="38"/>
      <x:c r="H11" s="38"/>
      <x:c r="I11" s="38"/>
      <x:c r="J11" s="38"/>
      <x:c r="K11" s="38"/>
      <x:c r="L11" s="38"/>
      <x:c r="M11" s="38"/>
    </x:row>
    <x:row r="12" ht="60" hidden="0" customHeight="1">
      <x:c r="C12" s="17" t="str">
        <x:v>C06</x:v>
      </x:c>
      <x:c r="D12" s="17" t="str">
        <x:v>All reference reception chains close</x:v>
      </x:c>
      <x:c r="E12" s="18" t="str">
        <x:f>IF(COUNTIF('Reception'!L7:L16,"FAIL")=0,"PASS","FAIL")</x:f>
        <x:v>PASS</x:v>
      </x:c>
      <x:c r="F12" s="17" t="str">
        <x:v>14-day reception</x:v>
      </x:c>
      <x:c r="G12" s="38"/>
      <x:c r="H12" s="38"/>
      <x:c r="I12" s="38"/>
      <x:c r="J12" s="38"/>
      <x:c r="K12" s="38"/>
      <x:c r="L12" s="38"/>
      <x:c r="M12" s="38"/>
    </x:row>
    <x:row r="13" ht="60" hidden="0" customHeight="1">
      <x:c r="C13" s="17" t="str">
        <x:v>C07</x:v>
      </x:c>
      <x:c r="D13" s="17" t="str">
        <x:v>All reference onward chains close</x:v>
      </x:c>
      <x:c r="E13" s="18" t="str">
        <x:f>IF(COUNTIF('Onward'!N7:N16,"FAIL")=0,"PASS","FAIL")</x:f>
        <x:v>PASS</x:v>
      </x:c>
      <x:c r="F13" s="17" t="str">
        <x:v>Staging and onward movement</x:v>
      </x:c>
      <x:c r="G13" s="38"/>
      <x:c r="H13" s="38"/>
      <x:c r="I13" s="38"/>
      <x:c r="J13" s="38"/>
      <x:c r="K13" s="38"/>
      <x:c r="L13" s="38"/>
      <x:c r="M13" s="38"/>
    </x:row>
    <x:row r="14" ht="48" hidden="0" customHeight="1">
      <x:c r="C14" s="17" t="str">
        <x:v>C08</x:v>
      </x:c>
      <x:c r="D14" s="17" t="str">
        <x:v>All reference responder bases close</x:v>
      </x:c>
      <x:c r="E14" s="18" t="str">
        <x:f>IF(COUNTIF('Responder Bases'!O7:O16,"FAIL")=0,"PASS","FAIL")</x:f>
        <x:v>PASS</x:v>
      </x:c>
      <x:c r="F14" s="17" t="str">
        <x:v>No host-service draw</x:v>
      </x:c>
      <x:c r="G14" s="38"/>
      <x:c r="H14" s="38"/>
      <x:c r="I14" s="38"/>
      <x:c r="J14" s="38"/>
      <x:c r="K14" s="38"/>
      <x:c r="L14" s="38"/>
      <x:c r="M14" s="38"/>
    </x:row>
    <x:row r="15" ht="60" hidden="0" customHeight="1">
      <x:c r="C15" s="17" t="str">
        <x:v>C09</x:v>
      </x:c>
      <x:c r="D15" s="17" t="str">
        <x:v>All reference sustainment chains close</x:v>
      </x:c>
      <x:c r="E15" s="18" t="str">
        <x:f>IF(COUNTIF('Sustainment'!N7:N16,"FAIL")=0,"PASS","FAIL")</x:f>
        <x:v>PASS</x:v>
      </x:c>
      <x:c r="F15" s="17" t="str">
        <x:v>Daily flow</x:v>
      </x:c>
      <x:c r="G15" s="38"/>
      <x:c r="H15" s="38"/>
      <x:c r="I15" s="38"/>
      <x:c r="J15" s="38"/>
      <x:c r="K15" s="38"/>
      <x:c r="L15" s="38"/>
      <x:c r="M15" s="38"/>
    </x:row>
    <x:row r="16" ht="60" hidden="0" customHeight="1">
      <x:c r="C16" s="17" t="str">
        <x:v>C10</x:v>
      </x:c>
      <x:c r="D16" s="17" t="str">
        <x:v>All reference end-to-end chains close</x:v>
      </x:c>
      <x:c r="E16" s="18" t="str">
        <x:f>IF(COUNTIF('End-to-End'!J7:J16,"FAIL")=0,"PASS","FAIL")</x:f>
        <x:v>PASS</x:v>
      </x:c>
      <x:c r="F16" s="17" t="str">
        <x:v>Weakest-link rule</x:v>
      </x:c>
      <x:c r="G16" s="38"/>
      <x:c r="H16" s="38"/>
      <x:c r="I16" s="38"/>
      <x:c r="J16" s="38"/>
      <x:c r="K16" s="38"/>
      <x:c r="L16" s="38"/>
      <x:c r="M16" s="38"/>
    </x:row>
    <x:row r="17" ht="60" hidden="0" customHeight="1">
      <x:c r="C17" s="17" t="str">
        <x:v>C11</x:v>
      </x:c>
      <x:c r="D17" s="17" t="str">
        <x:v>Exactly eight degraded chains close</x:v>
      </x:c>
      <x:c r="E17" s="18" t="str">
        <x:f>IF(COUNTIF('End-to-End'!P7:P16,"PASS")=8,"PASS","FAIL")</x:f>
        <x:v>PASS</x:v>
      </x:c>
      <x:c r="F17" s="17" t="str">
        <x:v>Cascadia and allied megacity remain short</x:v>
      </x:c>
      <x:c r="G17" s="38"/>
      <x:c r="H17" s="38"/>
      <x:c r="I17" s="38"/>
      <x:c r="J17" s="38"/>
      <x:c r="K17" s="38"/>
      <x:c r="L17" s="38"/>
      <x:c r="M17" s="38"/>
    </x:row>
    <x:row r="18" ht="48" hidden="0" customHeight="1">
      <x:c r="C18" s="17" t="str">
        <x:v>C12</x:v>
      </x:c>
      <x:c r="D18" s="17" t="str">
        <x:v>Force capital matches asset build</x:v>
      </x:c>
      <x:c r="E18" s="18" t="str">
        <x:f>IF(ABS(SUM('Force Structure'!G7:G17)-SUM('Asset Build'!G7:G43))&lt;0.01,"PASS","FAIL")</x:f>
        <x:v>PASS</x:v>
      </x:c>
      <x:c r="F18" s="17" t="str">
        <x:v>Formation sub-WBS</x:v>
      </x:c>
      <x:c r="G18" s="38"/>
      <x:c r="H18" s="38"/>
      <x:c r="I18" s="38"/>
      <x:c r="J18" s="38"/>
      <x:c r="K18" s="38"/>
      <x:c r="L18" s="38"/>
      <x:c r="M18" s="38"/>
    </x:row>
    <x:row r="19" ht="48" hidden="0" customHeight="1">
      <x:c r="C19" s="17" t="str">
        <x:v>C13</x:v>
      </x:c>
      <x:c r="D19" s="17" t="str">
        <x:v>Prepared network equals $600B</x:v>
      </x:c>
      <x:c r="E19" s="18" t="str">
        <x:f>IF(ABS(SUM('Prepared Network'!G7:G10)-600)&lt;0.01,"PASS","FAIL")</x:f>
        <x:v>PASS</x:v>
      </x:c>
      <x:c r="F19" s="17" t="str">
        <x:v>Inside Pass 23 common bases line</x:v>
      </x:c>
      <x:c r="G19" s="38"/>
      <x:c r="H19" s="38"/>
      <x:c r="I19" s="38"/>
      <x:c r="J19" s="38"/>
      <x:c r="K19" s="38"/>
      <x:c r="L19" s="38"/>
      <x:c r="M19" s="38"/>
    </x:row>
    <x:row r="20" ht="48" hidden="0" customHeight="1">
      <x:c r="C20" s="17" t="str">
        <x:v>C14</x:v>
      </x:c>
      <x:c r="D20" s="17" t="str">
        <x:v>Innovation portfolio equals $220B</x:v>
      </x:c>
      <x:c r="E20" s="18" t="str">
        <x:f>IF(ABS(SUM('Innovation Portfolio'!E7:E16)-220)&lt;0.01,"PASS","FAIL")</x:f>
        <x:v>PASS</x:v>
      </x:c>
      <x:c r="F20" s="17" t="str">
        <x:v>Inside Pass 23 R&amp;D line</x:v>
      </x:c>
      <x:c r="G20" s="38"/>
      <x:c r="H20" s="38"/>
      <x:c r="I20" s="38"/>
      <x:c r="J20" s="38"/>
      <x:c r="K20" s="38"/>
      <x:c r="L20" s="38"/>
      <x:c r="M20" s="38"/>
    </x:row>
    <x:row r="21" ht="36" hidden="0" customHeight="1">
      <x:c r="C21" s="17" t="str">
        <x:v>C15</x:v>
      </x:c>
      <x:c r="D21" s="17" t="str">
        <x:v>Capital reserve equals 20%</x:v>
      </x:c>
      <x:c r="E21" s="18" t="str">
        <x:f>IF(ABS('Capital Crosswalk'!D34/'Capital Crosswalk'!D33-'Controls'!D20)&lt;0.0001,"PASS","FAIL")</x:f>
        <x:v>PASS</x:v>
      </x:c>
      <x:c r="F21" s="17" t="str">
        <x:v>Explicit reserve</x:v>
      </x:c>
      <x:c r="G21" s="38"/>
      <x:c r="H21" s="38"/>
      <x:c r="I21" s="38"/>
      <x:c r="J21" s="38"/>
      <x:c r="K21" s="38"/>
      <x:c r="L21" s="38"/>
      <x:c r="M21" s="38"/>
    </x:row>
    <x:row r="22" ht="36" hidden="0" customHeight="1">
      <x:c r="C22" s="17" t="str">
        <x:v>C16</x:v>
      </x:c>
      <x:c r="D22" s="17" t="str">
        <x:v>Funding shares equal 100%</x:v>
      </x:c>
      <x:c r="E22" s="18" t="str">
        <x:f>IF(ABS(SUM('Annual Funding'!E7:E31)-1)&lt;0.0001,"PASS","FAIL")</x:f>
        <x:v>PASS</x:v>
      </x:c>
      <x:c r="F22" s="17" t="str">
        <x:v>Twenty-five program years</x:v>
      </x:c>
      <x:c r="G22" s="38"/>
      <x:c r="H22" s="38"/>
      <x:c r="I22" s="38"/>
      <x:c r="J22" s="38"/>
      <x:c r="K22" s="38"/>
      <x:c r="L22" s="38"/>
      <x:c r="M22" s="38"/>
    </x:row>
    <x:row r="23" ht="48" hidden="0" customHeight="1">
      <x:c r="C23" s="17" t="str">
        <x:v>C17</x:v>
      </x:c>
      <x:c r="D23" s="17" t="str">
        <x:v>Funding ties to attributable envelope</x:v>
      </x:c>
      <x:c r="E23" s="18" t="str">
        <x:f>IF(ABS('Annual Funding'!G31-'Capital Crosswalk'!D35)&lt;0.01,"PASS","FAIL")</x:f>
        <x:v>PASS</x:v>
      </x:c>
      <x:c r="F23" s="17" t="str">
        <x:v>No capital lost in phasing</x:v>
      </x:c>
      <x:c r="G23" s="38"/>
      <x:c r="H23" s="38"/>
      <x:c r="I23" s="38"/>
      <x:c r="J23" s="38"/>
      <x:c r="K23" s="38"/>
      <x:c r="L23" s="38"/>
      <x:c r="M23" s="38"/>
    </x:row>
    <x:row r="24" ht="48" hidden="0" customHeight="1">
      <x:c r="C24" s="17" t="str">
        <x:v>C18</x:v>
      </x:c>
      <x:c r="D24" s="17" t="str">
        <x:v>Workforce direct total matches force lines</x:v>
      </x:c>
      <x:c r="E24" s="18" t="str">
        <x:f>IF(ABS('Workforce'!I22-SUM('Force Structure'!F7:F17))&lt;0.01,"PASS","FAIL")</x:f>
        <x:v>PASS</x:v>
      </x:c>
      <x:c r="F24" s="17" t="str">
        <x:v>No billet double count</x:v>
      </x:c>
      <x:c r="G24" s="38"/>
      <x:c r="H24" s="38"/>
      <x:c r="I24" s="38"/>
      <x:c r="J24" s="38"/>
      <x:c r="K24" s="38"/>
      <x:c r="L24" s="38"/>
      <x:c r="M24" s="38"/>
    </x:row>
    <x:row r="25" ht="48" hidden="0" customHeight="1">
      <x:c r="C25" s="17" t="str">
        <x:v>C19</x:v>
      </x:c>
      <x:c r="D25" s="17" t="str">
        <x:v>Mature operating screen is positive</x:v>
      </x:c>
      <x:c r="E25" s="18" t="str">
        <x:f>IF('Operating Cost'!D18&gt;0,"PASS","FAIL")</x:f>
        <x:v>PASS</x:v>
      </x:c>
      <x:c r="F25" s="17" t="str">
        <x:v>Crosswalk only</x:v>
      </x:c>
      <x:c r="G25" s="38"/>
      <x:c r="H25" s="38"/>
      <x:c r="I25" s="38"/>
      <x:c r="J25" s="38"/>
      <x:c r="K25" s="38"/>
      <x:c r="L25" s="38"/>
      <x:c r="M25" s="38"/>
    </x:row>
    <x:row r="26" ht="48" hidden="0" customHeight="1">
      <x:c r="C26" s="17" t="str">
        <x:v>C20</x:v>
      </x:c>
      <x:c r="D26" s="17" t="str">
        <x:v>All evidence gates remain open</x:v>
      </x:c>
      <x:c r="E26" s="18" t="str">
        <x:f>IF(COUNTIF('Evidence Gates'!F7:F26,"OPEN")=20,"OPEN","FAIL")</x:f>
        <x:v>OPEN</x:v>
      </x:c>
      <x:c r="F26" s="17" t="str">
        <x:v>No validation claim</x:v>
      </x:c>
      <x:c r="G26" s="38"/>
      <x:c r="H26" s="38"/>
      <x:c r="I26" s="38"/>
      <x:c r="J26" s="38"/>
      <x:c r="K26" s="38"/>
      <x:c r="L26" s="38"/>
      <x:c r="M26" s="38"/>
    </x:row>
    <x:row r="27" ht="36" hidden="0" customHeight="1">
      <x:c r="C27" s="17" t="str">
        <x:v>C21</x:v>
      </x:c>
      <x:c r="D27" s="17" t="str">
        <x:v>Rendering remains blocked</x:v>
      </x:c>
      <x:c r="E27" s="18" t="str">
        <x:f>IF(COUNTIF('Evidence Gates'!F7:F26,"OPEN")&gt;0,"OPEN","FAIL")</x:f>
        <x:v>OPEN</x:v>
      </x:c>
      <x:c r="F27" s="17" t="str">
        <x:v>User-directed sequencing</x:v>
      </x:c>
      <x:c r="G27" s="38"/>
      <x:c r="H27" s="38"/>
      <x:c r="I27" s="38"/>
      <x:c r="J27" s="38"/>
      <x:c r="K27" s="38"/>
      <x:c r="L27" s="38"/>
      <x:c r="M27" s="38"/>
    </x:row>
  </x:sheetData>
  <x:conditionalFormatting sqref="E7:E27">
    <x:cfRule type="containsText" dxfId="33" priority="1" operator="containsText" text="PASS"/>
    <x:cfRule type="containsText" dxfId="34" priority="2" operator="containsText" text="FAIL"/>
    <x:cfRule type="containsText" dxfId="35" priority="3" operator="containsText" text="OPEN"/>
  </x:conditionalFormatting>
  <x:pageMargins left="0.7" right="0.7" top="0.75" bottom="0.75" header="0.3" footer="0.3"/>
</x:worksheet>
</file>