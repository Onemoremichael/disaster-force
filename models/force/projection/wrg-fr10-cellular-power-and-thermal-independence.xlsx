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815e41eb6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0398284ef6e54be8"/>
    <x:sheet xmlns:r="http://schemas.openxmlformats.org/officeDocument/2006/relationships" name="Assumptions" sheetId="2" r:id="R2102ab9b54b74f3e"/>
    <x:sheet xmlns:r="http://schemas.openxmlformats.org/officeDocument/2006/relationships" name="Architectures" sheetId="3" r:id="R9dfa0b83b5164c02"/>
    <x:sheet xmlns:r="http://schemas.openxmlformats.org/officeDocument/2006/relationships" name="Cell Balance" sheetId="4" r:id="Rec24ff7475c048b8"/>
    <x:sheet xmlns:r="http://schemas.openxmlformats.org/officeDocument/2006/relationships" name="Mission Worlds" sheetId="5" r:id="Rac15623ef3584613"/>
    <x:sheet xmlns:r="http://schemas.openxmlformats.org/officeDocument/2006/relationships" name="One-Cut Register" sheetId="6" r:id="R05529459f99543ad"/>
    <x:sheet xmlns:r="http://schemas.openxmlformats.org/officeDocument/2006/relationships" name="Formation" sheetId="7" r:id="Re762d53701744ba5"/>
    <x:sheet xmlns:r="http://schemas.openxmlformats.org/officeDocument/2006/relationships" name="Program" sheetId="8" r:id="Rfd18e56754c749ca"/>
    <x:sheet xmlns:r="http://schemas.openxmlformats.org/officeDocument/2006/relationships" name="Sensitivity" sheetId="9" r:id="Rc61916834d134c58"/>
    <x:sheet xmlns:r="http://schemas.openxmlformats.org/officeDocument/2006/relationships" name="Technology" sheetId="10" r:id="R5985754b3eed4212"/>
    <x:sheet xmlns:r="http://schemas.openxmlformats.org/officeDocument/2006/relationships" name="Gates &amp; Checks" sheetId="11" r:id="Rf8948d7f7fb2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"/>
    <x:numFmt numFmtId="201" formatCode="#,##0"/>
    <x:numFmt numFmtId="202" formatCode="0.00"/>
    <x:numFmt numFmtId="203" formatCode="$0.00"/>
    <x:numFmt numFmtId="204" formatCode="0"/>
    <x:numFmt numFmtId="205" formatCode="0.0%"/>
    <x:numFmt numFmtId="206" formatCode="0.0"/>
    <x:numFmt numFmtId="207" formatCode="0%"/>
    <x:numFmt numFmtId="208" formatCode="$0.0"/>
  </x:numFmts>
  <x:fonts count="7">
    <x:font>
      <x:sz val="11"/>
      <x:name val="Carlito"/>
    </x:font>
    <x:font>
      <x:sz val="10"/>
      <x:color rgb="FF1F1F1F"/>
      <x:name val="Arial"/>
    </x:font>
    <x:font>
      <x:b/>
      <x:sz val="18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b/>
      <x:sz val="10"/>
      <x:color rgb="FF1F1F1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E7E6E6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204" fontId="1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203" fontId="1" fillId="0" borderId="2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201" fontId="6" fillId="8" borderId="1" xfId="0" applyNumberFormat="1" applyFont="1" applyFill="1" applyBorder="1"/>
    <x:xf numFmtId="203" fontId="6" fillId="8" borderId="1" xfId="0" applyNumberFormat="1" applyFont="1" applyFill="1" applyBorder="1"/>
    <x:xf numFmtId="0" fontId="1" fillId="5" borderId="0" xfId="0" applyNumberFormat="1" applyFont="1" applyFill="1" applyBorder="1"/>
    <x:xf numFmtId="205" fontId="1" fillId="0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206" fontId="1" fillId="0" borderId="2" xfId="0" applyNumberFormat="1" applyFont="1" applyFill="1" applyBorder="1" applyAlignment="1">
      <x:alignment vertical="center"/>
    </x:xf>
    <x:xf numFmtId="207" fontId="1" fillId="0" borderId="2" xfId="0" applyNumberFormat="1" applyFont="1" applyFill="1" applyBorder="1" applyAlignment="1">
      <x:alignment vertical="center"/>
    </x:xf>
    <x:xf numFmtId="208" fontId="1" fillId="0" borderId="2" xfId="0" applyNumberFormat="1" applyFont="1" applyFill="1" applyBorder="1" applyAlignment="1">
      <x:alignment vertical="center"/>
    </x:xf>
    <x:xf numFmtId="208" fontId="6" fillId="8" borderId="1" xfId="0" applyNumberFormat="1" applyFont="1" applyFill="1" applyBorder="1"/>
    <x:xf numFmtId="0" fontId="1" fillId="5" borderId="2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3" fontId="1" fillId="0" borderId="2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2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3" fontId="1" fillId="3" borderId="2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4" fontId="1" fillId="0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wrapText="1"/>
    </x:xf>
    <x:xf numFmtId="201" fontId="6" fillId="8" borderId="1" xfId="0" applyNumberFormat="1" applyFont="1" applyFill="1" applyBorder="1" applyAlignment="1">
      <x:alignment wrapText="1"/>
    </x:xf>
    <x:xf numFmtId="203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center" wrapText="1"/>
    </x:xf>
    <x:xf numFmtId="201" fontId="6" fillId="8" borderId="1" xfId="0" applyNumberFormat="1" applyFont="1" applyFill="1" applyBorder="1" applyAlignment="1">
      <x:alignment vertical="center" wrapText="1"/>
    </x:xf>
    <x:xf numFmtId="203" fontId="6" fillId="8" borderId="1" xfId="0" applyNumberFormat="1" applyFont="1" applyFill="1" applyBorder="1" applyAlignment="1">
      <x:alignment vertical="center" wrapText="1"/>
    </x:xf>
    <x:xf numFmtId="205" fontId="1" fillId="0" borderId="2" xfId="0" applyNumberFormat="1" applyFont="1" applyFill="1" applyBorder="1" applyAlignment="1">
      <x:alignment vertical="center" wrapText="1"/>
    </x:xf>
    <x:xf numFmtId="206" fontId="1" fillId="0" borderId="2" xfId="0" applyNumberFormat="1" applyFont="1" applyFill="1" applyBorder="1" applyAlignment="1">
      <x:alignment vertical="center" wrapText="1"/>
    </x:xf>
    <x:xf numFmtId="207" fontId="1" fillId="0" borderId="2" xfId="0" applyNumberFormat="1" applyFont="1" applyFill="1" applyBorder="1" applyAlignment="1">
      <x:alignment vertical="center" wrapText="1"/>
    </x:xf>
    <x:xf numFmtId="208" fontId="1" fillId="0" borderId="2" xfId="0" applyNumberFormat="1" applyFont="1" applyFill="1" applyBorder="1" applyAlignment="1">
      <x:alignment vertical="center" wrapText="1"/>
    </x:xf>
    <x:xf numFmtId="208" fontId="6" fillId="8" borderId="1" xfId="0" applyNumberFormat="1" applyFont="1" applyFill="1" applyBorder="1" applyAlignment="1">
      <x:alignment wrapText="1"/>
    </x:xf>
    <x:xf numFmtId="208" fontId="6" fillId="8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79b3476034cd1" /><Relationship Type="http://schemas.openxmlformats.org/officeDocument/2006/relationships/theme" Target="/xl/theme/theme1.xml" Id="Ra62fa96bf0894089" /><Relationship Type="http://schemas.openxmlformats.org/officeDocument/2006/relationships/sharedStrings" Target="/xl/sharedStrings.xml" Id="R677569530dd342ad" /><Relationship Type="http://schemas.openxmlformats.org/officeDocument/2006/relationships/worksheet" Target="/xl/worksheets/sheet1.xml" Id="R0398284ef6e54be8" /><Relationship Type="http://schemas.openxmlformats.org/officeDocument/2006/relationships/worksheet" Target="/xl/worksheets/sheet2.xml" Id="R2102ab9b54b74f3e" /><Relationship Type="http://schemas.openxmlformats.org/officeDocument/2006/relationships/worksheet" Target="/xl/worksheets/sheet3.xml" Id="R9dfa0b83b5164c02" /><Relationship Type="http://schemas.openxmlformats.org/officeDocument/2006/relationships/worksheet" Target="/xl/worksheets/sheet4.xml" Id="Rec24ff7475c048b8" /><Relationship Type="http://schemas.openxmlformats.org/officeDocument/2006/relationships/worksheet" Target="/xl/worksheets/sheet5.xml" Id="Rac15623ef3584613" /><Relationship Type="http://schemas.openxmlformats.org/officeDocument/2006/relationships/worksheet" Target="/xl/worksheets/sheet6.xml" Id="R05529459f99543ad" /><Relationship Type="http://schemas.openxmlformats.org/officeDocument/2006/relationships/worksheet" Target="/xl/worksheets/sheet7.xml" Id="Re762d53701744ba5" /><Relationship Type="http://schemas.openxmlformats.org/officeDocument/2006/relationships/worksheet" Target="/xl/worksheets/sheet8.xml" Id="Rfd18e56754c749ca" /><Relationship Type="http://schemas.openxmlformats.org/officeDocument/2006/relationships/worksheet" Target="/xl/worksheets/sheet9.xml" Id="Rc61916834d134c58" /><Relationship Type="http://schemas.openxmlformats.org/officeDocument/2006/relationships/worksheet" Target="/xl/worksheets/sheet10.xml" Id="R5985754b3eed4212" /><Relationship Type="http://schemas.openxmlformats.org/officeDocument/2006/relationships/worksheet" Target="/xl/worksheets/sheet11.xml" Id="Rf8948d7f7fb2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5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7" customHeight="1">
      <x:c r="A1" s="51" t="str">
        <x:v>Cellular power and thermal independence</x:v>
      </x:c>
      <x:c r="B1" s="52"/>
      <x:c r="C1" s="52"/>
      <x:c r="D1" s="52"/>
      <x:c r="E1" s="52"/>
      <x:c r="F1" s="52"/>
      <x:c r="G1" s="52"/>
      <x:c r="H1" s="52"/>
    </x:row>
    <x:row r="2" ht="27" customHeight="1">
      <x:c r="A2" s="53" t="str">
        <x:v>Pass 71 | A common power plant recreates the common source</x:v>
      </x:c>
      <x:c r="B2" s="52"/>
      <x:c r="C2" s="52"/>
      <x:c r="D2" s="52"/>
      <x:c r="E2" s="52"/>
      <x:c r="F2" s="52"/>
      <x:c r="G2" s="52"/>
      <x:c r="H2" s="52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>
      <x:c r="A4" s="8" t="str">
        <x:v>Decision</x:v>
      </x:c>
      <x:c r="B4" s="8" t="str">
        <x:v>Finding</x:v>
      </x:c>
      <x:c r="C4" s="8" t="str">
        <x:v>P1</x:v>
      </x:c>
      <x:c r="D4" s="8" t="str">
        <x:v>P2</x:v>
      </x:c>
      <x:c r="E4" s="8" t="str">
        <x:v>P3</x:v>
      </x:c>
      <x:c r="F4" s="8" t="str">
        <x:v>P4</x:v>
      </x:c>
      <x:c r="G4" s="8" t="str">
        <x:v>Admission</x:v>
      </x:c>
      <x:c r="H4" s="8" t="str">
        <x:v>Rendering</x:v>
      </x:c>
    </x:row>
    <x:row r="5">
      <x:c r="A5" s="44" t="str">
        <x:v>Which architecture earns representative competition?</x:v>
      </x:c>
      <x:c r="B5" s="44" t="str">
        <x:v>Only P4 qualifies all three cells and survives every declared service world.</x:v>
      </x:c>
      <x:c r="C5" s="45" t="str">
        <x:v>Denied</x:v>
      </x:c>
      <x:c r="D5" s="45" t="str">
        <x:v>Denied</x:v>
      </x:c>
      <x:c r="E5" s="45" t="str">
        <x:v>Denied</x:v>
      </x:c>
      <x:c r="F5" s="46" t="str">
        <x:v>Advance to test</x:v>
      </x:c>
      <x:c r="G5" s="45" t="str">
        <x:v>Denied</x:v>
      </x:c>
      <x:c r="H5" s="45" t="str">
        <x:v>Blocked</x:v>
      </x:c>
    </x:row>
    <x:row r="6">
      <x:c r="A6" s="52"/>
      <x:c r="B6" s="52"/>
      <x:c r="C6" s="52"/>
      <x:c r="D6" s="52"/>
      <x:c r="E6" s="52"/>
      <x:c r="F6" s="52"/>
      <x:c r="G6" s="52"/>
      <x:c r="H6" s="52"/>
    </x:row>
    <x:row r="7">
      <x:c r="A7" s="52"/>
      <x:c r="B7" s="52"/>
      <x:c r="C7" s="52"/>
      <x:c r="D7" s="52"/>
      <x:c r="E7" s="52"/>
      <x:c r="F7" s="52"/>
      <x:c r="G7" s="52"/>
      <x:c r="H7" s="52"/>
    </x:row>
    <x:row r="8">
      <x:c r="A8" s="8" t="str">
        <x:v>Architecture</x:v>
      </x:c>
      <x:c r="B8" s="8" t="str">
        <x:v>Ready cells</x:v>
      </x:c>
      <x:c r="C8" s="8" t="str">
        <x:v>Service worlds passed</x:v>
      </x:c>
      <x:c r="D8" s="8" t="str">
        <x:v>Correct behaviors</x:v>
      </x:c>
      <x:c r="E8" s="8" t="str">
        <x:v>Whole dry t</x:v>
      </x:c>
      <x:c r="F8" s="8" t="str">
        <x:v>Whole crew</x:v>
      </x:c>
      <x:c r="G8" s="8" t="str">
        <x:v>Power program $B</x:v>
      </x:c>
      <x:c r="H8" s="8" t="str">
        <x:v>Revised K4 program $B</x:v>
      </x:c>
    </x:row>
    <x:row r="9">
      <x:c r="A9" s="44" t="str">
        <x:v>P1</x:v>
      </x:c>
      <x:c r="B9" s="44" t="n">
        <x:f>'Cell Balance'!B20</x:f>
        <x:v>0</x:v>
      </x:c>
      <x:c r="C9" s="44" t="n">
        <x:f>'Mission Worlds'!B25</x:f>
        <x:v>7</x:v>
      </x:c>
      <x:c r="D9" s="44" t="n">
        <x:f>'Mission Worlds'!D25</x:f>
        <x:v>8</x:v>
      </x:c>
      <x:c r="E9" s="47" t="n">
        <x:f>Formation!D5</x:f>
        <x:v>10260</x:v>
      </x:c>
      <x:c r="F9" s="47" t="n">
        <x:f>Formation!J5</x:f>
        <x:v>562</x:v>
      </x:c>
      <x:c r="G9" s="48" t="n">
        <x:f>Program!J5</x:f>
        <x:v>78</x:v>
      </x:c>
      <x:c r="H9" s="48" t="n">
        <x:f>Program!D12</x:f>
        <x:v>642.08</x:v>
      </x:c>
    </x:row>
    <x:row r="10">
      <x:c r="A10" s="44" t="str">
        <x:v>P2</x:v>
      </x:c>
      <x:c r="B10" s="44" t="n">
        <x:f>'Cell Balance'!B21</x:f>
        <x:v>0</x:v>
      </x:c>
      <x:c r="C10" s="44" t="n">
        <x:f>'Mission Worlds'!B26</x:f>
        <x:v>10</x:v>
      </x:c>
      <x:c r="D10" s="44" t="n">
        <x:f>'Mission Worlds'!D26</x:f>
        <x:v>11</x:v>
      </x:c>
      <x:c r="E10" s="47" t="n">
        <x:f>Formation!D6</x:f>
        <x:v>10450</x:v>
      </x:c>
      <x:c r="F10" s="47" t="n">
        <x:f>Formation!J6</x:f>
        <x:v>574</x:v>
      </x:c>
      <x:c r="G10" s="48" t="n">
        <x:f>Program!J6</x:f>
        <x:v>107.92</x:v>
      </x:c>
      <x:c r="H10" s="48" t="n">
        <x:f>Program!D13</x:f>
        <x:v>672</x:v>
      </x:c>
    </x:row>
    <x:row r="11">
      <x:c r="A11" s="44" t="str">
        <x:v>P3</x:v>
      </x:c>
      <x:c r="B11" s="44" t="n">
        <x:f>'Cell Balance'!B22</x:f>
        <x:v>0</x:v>
      </x:c>
      <x:c r="C11" s="44" t="n">
        <x:f>'Mission Worlds'!B27</x:f>
        <x:v>12</x:v>
      </x:c>
      <x:c r="D11" s="44" t="n">
        <x:f>'Mission Worlds'!D27</x:f>
        <x:v>13</x:v>
      </x:c>
      <x:c r="E11" s="47" t="n">
        <x:f>Formation!D7</x:f>
        <x:v>10770</x:v>
      </x:c>
      <x:c r="F11" s="47" t="n">
        <x:f>Formation!J7</x:f>
        <x:v>586</x:v>
      </x:c>
      <x:c r="G11" s="48" t="n">
        <x:f>Program!J7</x:f>
        <x:v>158.39999999999998</x:v>
      </x:c>
      <x:c r="H11" s="48" t="n">
        <x:f>Program!D14</x:f>
        <x:v>722.48</x:v>
      </x:c>
    </x:row>
    <x:row r="12">
      <x:c r="A12" s="44" t="str">
        <x:v>P4</x:v>
      </x:c>
      <x:c r="B12" s="44" t="n">
        <x:f>'Cell Balance'!B23</x:f>
        <x:v>3</x:v>
      </x:c>
      <x:c r="C12" s="44" t="n">
        <x:f>'Mission Worlds'!B28</x:f>
        <x:v>16</x:v>
      </x:c>
      <x:c r="D12" s="44" t="n">
        <x:f>'Mission Worlds'!D28</x:f>
        <x:v>17</x:v>
      </x:c>
      <x:c r="E12" s="47" t="n">
        <x:f>Formation!D8</x:f>
        <x:v>11250</x:v>
      </x:c>
      <x:c r="F12" s="47" t="n">
        <x:f>Formation!J8</x:f>
        <x:v>598</x:v>
      </x:c>
      <x:c r="G12" s="48" t="n">
        <x:f>Program!J8</x:f>
        <x:v>232.8</x:v>
      </x:c>
      <x:c r="H12" s="48" t="n">
        <x:f>Program!D15</x:f>
        <x:v>796.8800000000001</x:v>
      </x:c>
    </x:row>
    <x:row r="13">
      <x:c r="A13" s="52"/>
      <x:c r="B13" s="52"/>
      <x:c r="C13" s="52"/>
      <x:c r="D13" s="52"/>
      <x:c r="E13" s="52"/>
      <x:c r="F13" s="52"/>
      <x:c r="G13" s="52"/>
      <x:c r="H13" s="52"/>
    </x:row>
    <x:row r="14">
      <x:c r="A14" s="52"/>
      <x:c r="B14" s="52"/>
      <x:c r="C14" s="52"/>
      <x:c r="D14" s="52"/>
      <x:c r="E14" s="52"/>
      <x:c r="F14" s="52"/>
      <x:c r="G14" s="52"/>
      <x:c r="H14" s="52"/>
    </x:row>
    <x:row r="15">
      <x:c r="A15" s="54" t="str">
        <x:v>What changed from Pass 70</x:v>
      </x:c>
      <x:c r="B15" s="54" t="str">
        <x:v>What changed from Pass 70</x:v>
      </x:c>
      <x:c r="C15" s="54" t="str">
        <x:v>What changed from Pass 70</x:v>
      </x:c>
      <x:c r="D15" s="54" t="str">
        <x:v>What changed from Pass 70</x:v>
      </x:c>
      <x:c r="E15" s="54" t="str">
        <x:v>What changed from Pass 70</x:v>
      </x:c>
      <x:c r="F15" s="54" t="str">
        <x:v>What changed from Pass 70</x:v>
      </x:c>
      <x:c r="G15" s="54" t="str">
        <x:v>What changed from Pass 70</x:v>
      </x:c>
      <x:c r="H15" s="54" t="str">
        <x:v>What changed from Pass 70</x:v>
      </x:c>
    </x:row>
    <x:row r="16">
      <x:c r="A16" s="52" t="str">
        <x:v>1. The three 160-tonne receiver-power placeholders are removed before rival architectures are added.</x:v>
      </x:c>
      <x:c r="B16" s="52"/>
      <x:c r="C16" s="52"/>
      <x:c r="D16" s="52"/>
      <x:c r="E16" s="52"/>
      <x:c r="F16" s="52"/>
      <x:c r="G16" s="52"/>
      <x:c r="H16" s="52"/>
    </x:row>
    <x:row r="17">
      <x:c r="A17" s="52" t="str">
        <x:v>2. Receiver-island load raises Cell A to 0.700 MW and Cells B/R to 1.775 MW critical average.</x:v>
      </x:c>
      <x:c r="B17" s="52"/>
      <x:c r="C17" s="52"/>
      <x:c r="D17" s="52"/>
      <x:c r="E17" s="52"/>
      <x:c r="F17" s="52"/>
      <x:c r="G17" s="52"/>
      <x:c r="H17" s="52"/>
    </x:row>
    <x:row r="18">
      <x:c r="A18" s="52" t="str">
        <x:v>3. Power readiness now requires steady, peak, derated, module-loss, thermal, fuel, black-start, offline-control and isolation closure.</x:v>
      </x:c>
      <x:c r="B18" s="52"/>
      <x:c r="C18" s="52"/>
      <x:c r="D18" s="52"/>
      <x:c r="E18" s="52"/>
      <x:c r="F18" s="52"/>
      <x:c r="G18" s="52"/>
      <x:c r="H18" s="52"/>
    </x:row>
    <x:row r="19">
      <x:c r="A19" s="52" t="str">
        <x:v>4. Aggregate survival no longer qualifies a weak cell: P2 and P3 can preserve the floor in several worlds while all three cells remain denied.</x:v>
      </x:c>
      <x:c r="B19" s="52"/>
      <x:c r="C19" s="52"/>
      <x:c r="D19" s="52"/>
      <x:c r="E19" s="52"/>
      <x:c r="F19" s="52"/>
      <x:c r="G19" s="52"/>
      <x:c r="H19" s="52"/>
    </x:row>
    <x:row r="20">
      <x:c r="A20" s="52" t="str">
        <x:v>5. P4 is a performance envelope for clean-sheet competition, not a technology selection or procurement recommendation.</x:v>
      </x:c>
      <x:c r="B20" s="52"/>
      <x:c r="C20" s="52"/>
      <x:c r="D20" s="52"/>
      <x:c r="E20" s="52"/>
      <x:c r="F20" s="52"/>
      <x:c r="G20" s="52"/>
      <x:c r="H20" s="52"/>
    </x:row>
    <x:row r="21">
      <x:c r="A21" s="52"/>
      <x:c r="B21" s="52"/>
      <x:c r="C21" s="52"/>
      <x:c r="D21" s="52"/>
      <x:c r="E21" s="52"/>
      <x:c r="F21" s="52"/>
      <x:c r="G21" s="52"/>
      <x:c r="H21" s="52"/>
    </x:row>
    <x:row r="22">
      <x:c r="A22" s="52"/>
      <x:c r="B22" s="52"/>
      <x:c r="C22" s="52"/>
      <x:c r="D22" s="52"/>
      <x:c r="E22" s="52"/>
      <x:c r="F22" s="52"/>
      <x:c r="G22" s="52"/>
      <x:c r="H22" s="52"/>
    </x:row>
    <x:row r="23">
      <x:c r="A23" s="54" t="str">
        <x:v>P4 declared configuration</x:v>
      </x:c>
      <x:c r="B23" s="54" t="str">
        <x:v>P4 declared configuration</x:v>
      </x:c>
      <x:c r="C23" s="54" t="str">
        <x:v>P4 declared configuration</x:v>
      </x:c>
      <x:c r="D23" s="54" t="str">
        <x:v>P4 declared configuration</x:v>
      </x:c>
      <x:c r="E23" s="54" t="str">
        <x:v>P4 declared configuration</x:v>
      </x:c>
      <x:c r="F23" s="54" t="str">
        <x:v>P4 declared configuration</x:v>
      </x:c>
      <x:c r="G23" s="54" t="str">
        <x:v>P4 declared configuration</x:v>
      </x:c>
      <x:c r="H23" s="54" t="str">
        <x:v>P4 declared configuration</x:v>
      </x:c>
    </x:row>
    <x:row r="24">
      <x:c r="A24" s="44" t="str">
        <x:v>Cell A</x:v>
      </x:c>
      <x:c r="B24" s="44" t="str">
        <x:v>1.65 MW dispatchable</x:v>
      </x:c>
      <x:c r="C24" s="44" t="str">
        <x:v>3 × 0.55 MW</x:v>
      </x:c>
      <x:c r="D24" s="44" t="str">
        <x:v>1 MW / 2 MWh storage</x:v>
      </x:c>
      <x:c r="E24" s="44" t="str">
        <x:v>0.75 MWth</x:v>
      </x:c>
      <x:c r="F24" s="44" t="str">
        <x:v>3 thermal modules</x:v>
      </x:c>
      <x:c r="G24" s="44" t="str">
        <x:v>21 fuel days</x:v>
      </x:c>
      <x:c r="H24" s="44" t="str">
        <x:v>2 energy vectors</x:v>
      </x:c>
    </x:row>
    <x:row r="25">
      <x:c r="A25" s="44" t="str">
        <x:v>Cell B</x:v>
      </x:c>
      <x:c r="B25" s="44" t="str">
        <x:v>3.00 MW dispatchable</x:v>
      </x:c>
      <x:c r="C25" s="44" t="str">
        <x:v>3 × 1.00 MW</x:v>
      </x:c>
      <x:c r="D25" s="44" t="str">
        <x:v>1.5 MW / 6 MWh storage</x:v>
      </x:c>
      <x:c r="E25" s="44" t="str">
        <x:v>2.70 MWth</x:v>
      </x:c>
      <x:c r="F25" s="44" t="str">
        <x:v>3 thermal modules</x:v>
      </x:c>
      <x:c r="G25" s="44" t="str">
        <x:v>21 fuel days</x:v>
      </x:c>
      <x:c r="H25" s="44" t="str">
        <x:v>2 energy vectors</x:v>
      </x:c>
    </x:row>
    <x:row r="26">
      <x:c r="A26" s="44" t="str">
        <x:v>Reserve</x:v>
      </x:c>
      <x:c r="B26" s="44" t="str">
        <x:v>3.00 MW dispatchable</x:v>
      </x:c>
      <x:c r="C26" s="44" t="str">
        <x:v>3 × 1.00 MW</x:v>
      </x:c>
      <x:c r="D26" s="44" t="str">
        <x:v>1.5 MW / 6 MWh storage</x:v>
      </x:c>
      <x:c r="E26" s="44" t="str">
        <x:v>2.70 MWth</x:v>
      </x:c>
      <x:c r="F26" s="44" t="str">
        <x:v>3 thermal modules</x:v>
      </x:c>
      <x:c r="G26" s="44" t="str">
        <x:v>21 fuel days</x:v>
      </x:c>
      <x:c r="H26" s="44" t="str">
        <x:v>2 energy vectors</x:v>
      </x:c>
    </x:row>
    <x:row r="27">
      <x:c r="A27" s="44" t="str">
        <x:v>Formation</x:v>
      </x:c>
      <x:c r="B27" s="44" t="str">
        <x:v>3 physical bus zones</x:v>
      </x:c>
      <x:c r="C27" s="44" t="str">
        <x:v>3 energy lineages</x:v>
      </x:c>
      <x:c r="D27" s="44" t="str">
        <x:v>3 thermal zones</x:v>
      </x:c>
      <x:c r="E27" s="44" t="str">
        <x:v>3 reset pathways</x:v>
      </x:c>
      <x:c r="F27" s="44" t="str">
        <x:v>offline controls</x:v>
      </x:c>
      <x:c r="G27" s="44" t="str">
        <x:v>fail-open ties</x:v>
      </x:c>
      <x:c r="H27" s="44" t="str">
        <x:v>optional exchange</x:v>
      </x:c>
    </x:row>
    <x:row r="28">
      <x:c r="A28" s="44" t="str">
        <x:v>Program</x:v>
      </x:c>
      <x:c r="B28" s="44" t="str">
        <x:v>$232.80B power</x:v>
      </x:c>
      <x:c r="C28" s="44" t="str">
        <x:v>$796.88B revised K4</x:v>
      </x:c>
      <x:c r="D28" s="44" t="str">
        <x:v>24 formations</x:v>
      </x:c>
      <x:c r="E28" s="44" t="str">
        <x:v>12 nodes</x:v>
      </x:c>
      <x:c r="F28" s="44" t="str">
        <x:v>25 years</x:v>
      </x:c>
      <x:c r="G28" s="44" t="str">
        <x:v>$90B R&amp;D</x:v>
      </x:c>
      <x:c r="H28" s="44" t="str">
        <x:v>20 open gates</x:v>
      </x:c>
    </x:row>
    <x:row r="29">
      <x:c r="A29" s="52"/>
      <x:c r="B29" s="52"/>
      <x:c r="C29" s="52"/>
      <x:c r="D29" s="52"/>
      <x:c r="E29" s="52"/>
      <x:c r="F29" s="52"/>
      <x:c r="G29" s="52"/>
      <x:c r="H29" s="52"/>
    </x:row>
    <x:row r="30">
      <x:c r="A30" s="52"/>
      <x:c r="B30" s="52"/>
      <x:c r="C30" s="52"/>
      <x:c r="D30" s="52"/>
      <x:c r="E30" s="52"/>
      <x:c r="F30" s="52"/>
      <x:c r="G30" s="52"/>
      <x:c r="H30" s="52"/>
    </x:row>
    <x:row r="31">
      <x:c r="A31" s="54" t="str">
        <x:v>Executive judgment</x:v>
      </x:c>
      <x:c r="B31" s="54" t="str">
        <x:v>Executive judgment</x:v>
      </x:c>
      <x:c r="C31" s="54" t="str">
        <x:v>Executive judgment</x:v>
      </x:c>
      <x:c r="D31" s="54" t="str">
        <x:v>Executive judgment</x:v>
      </x:c>
      <x:c r="E31" s="54" t="str">
        <x:v>Executive judgment</x:v>
      </x:c>
      <x:c r="F31" s="54" t="str">
        <x:v>Executive judgment</x:v>
      </x:c>
      <x:c r="G31" s="54" t="str">
        <x:v>Executive judgment</x:v>
      </x:c>
      <x:c r="H31" s="54" t="str">
        <x:v>Executive judgment</x:v>
      </x:c>
    </x:row>
    <x:row r="32" ht="31" customHeight="1">
      <x:c r="A32" s="52" t="str">
        <x:v>More generation is not power resilience. P1 has ample aggregate megawatts yet loses the formation to common start, bus, fuel, control and reset failures.</x:v>
      </x:c>
      <x:c r="B32" s="52"/>
      <x:c r="C32" s="52"/>
      <x:c r="D32" s="52"/>
      <x:c r="E32" s="52"/>
      <x:c r="F32" s="52"/>
      <x:c r="G32" s="52"/>
      <x:c r="H32" s="52"/>
    </x:row>
    <x:row r="33" ht="31" customHeight="1">
      <x:c r="A33" s="52" t="str">
        <x:v>P2 demonstrates the false comfort of separate generators: its regenerative cells miss peak and 25%-derated loads, and one module loss removes their long-duration output.</x:v>
      </x:c>
      <x:c r="B33" s="52"/>
      <x:c r="C33" s="52"/>
      <x:c r="D33" s="52"/>
      <x:c r="E33" s="52"/>
      <x:c r="F33" s="52"/>
      <x:c r="G33" s="52"/>
      <x:c r="H33" s="52"/>
    </x:row>
    <x:row r="34" ht="31" customHeight="1">
      <x:c r="A34" s="52" t="str">
        <x:v>P3 shows what storage actually buys: black start, transient support and a bounded 24-hour derating bridge. It does not erase fuel, heat-rejection or depot dependencies.</x:v>
      </x:c>
      <x:c r="B34" s="52"/>
      <x:c r="C34" s="52"/>
      <x:c r="D34" s="52"/>
      <x:c r="E34" s="52"/>
      <x:c r="F34" s="52"/>
      <x:c r="G34" s="52"/>
      <x:c r="H34" s="52"/>
    </x:row>
    <x:row r="35" ht="31" customHeight="1">
      <x:c r="A35" s="52" t="str">
        <x:v>P4 closes the declared arithmetic by making each Water Service Cell a deployable utility with N+1 dispatchable and thermal modules, local stored energy, independent lineages and optional fault-blocking exchange.</x:v>
      </x:c>
      <x:c r="B35" s="52"/>
      <x:c r="C35" s="52"/>
      <x:c r="D35" s="52"/>
      <x:c r="E35" s="52"/>
      <x:c r="F35" s="52"/>
      <x:c r="G35" s="52"/>
      <x:c r="H35" s="52"/>
    </x:row>
    <x:row r="36" ht="31" customHeight="1">
      <x:c r="A36" s="52" t="str">
        <x:v>The price is material: 11,250 dry tonnes, 598 deployed crew and a $796.88B twenty-five-year K4 comparator. Independence is an industrial strategy, not a wiring diagram.</x:v>
      </x:c>
      <x:c r="B36" s="52"/>
      <x:c r="C36" s="52"/>
      <x:c r="D36" s="52"/>
      <x:c r="E36" s="52"/>
      <x:c r="F36" s="52"/>
      <x:c r="G36" s="52"/>
      <x:c r="H36" s="52"/>
    </x:row>
    <x:row r="37" ht="31" customHeight="1">
      <x:c r="A37" s="52" t="str">
        <x:v>All twenty representative gates remain open. P4 may enter competition; no architecture is admitted and rendering remains blocked.</x:v>
      </x:c>
      <x:c r="B37" s="52"/>
      <x:c r="C37" s="52"/>
      <x:c r="D37" s="52"/>
      <x:c r="E37" s="52"/>
      <x:c r="F37" s="52"/>
      <x:c r="G37" s="52"/>
      <x:c r="H37" s="52"/>
    </x:row>
    <x:row r="38">
      <x:c r="A38" s="52"/>
      <x:c r="B38" s="52"/>
      <x:c r="C38" s="52"/>
      <x:c r="D38" s="52"/>
      <x:c r="E38" s="52"/>
      <x:c r="F38" s="52"/>
      <x:c r="G38" s="52"/>
      <x:c r="H38" s="52"/>
    </x:row>
    <x:row r="39">
      <x:c r="A39" s="52"/>
      <x:c r="B39" s="52"/>
      <x:c r="C39" s="52"/>
      <x:c r="D39" s="52"/>
      <x:c r="E39" s="52"/>
      <x:c r="F39" s="52"/>
      <x:c r="G39" s="52"/>
      <x:c r="H39" s="52"/>
    </x:row>
    <x:row r="40">
      <x:c r="A40" s="8" t="str">
        <x:v>Control</x:v>
      </x:c>
      <x:c r="B40" s="8" t="str">
        <x:v>Result</x:v>
      </x:c>
      <x:c r="C40" s="8" t="str">
        <x:v>Required</x:v>
      </x:c>
      <x:c r="D40" s="8" t="str">
        <x:v>Status</x:v>
      </x:c>
      <x:c r="E40" s="52"/>
      <x:c r="F40" s="52"/>
      <x:c r="G40" s="52"/>
      <x:c r="H40" s="52"/>
    </x:row>
    <x:row r="41">
      <x:c r="A41" s="44" t="str">
        <x:v>P4 ready cells</x:v>
      </x:c>
      <x:c r="B41" s="44" t="n">
        <x:f>'Cell Balance'!B23</x:f>
        <x:v>3</x:v>
      </x:c>
      <x:c r="C41" s="44" t="n">
        <x:v>3</x:v>
      </x:c>
      <x:c r="D41" s="46" t="str">
        <x:f>IF(B41=C41,"PASS","FAIL")</x:f>
        <x:v>PASS</x:v>
      </x:c>
      <x:c r="E41" s="52"/>
      <x:c r="F41" s="52"/>
      <x:c r="G41" s="52"/>
      <x:c r="H41" s="52"/>
    </x:row>
    <x:row r="42">
      <x:c r="A42" s="44" t="str">
        <x:v>P4 service worlds</x:v>
      </x:c>
      <x:c r="B42" s="44" t="n">
        <x:f>'Mission Worlds'!B28</x:f>
        <x:v>16</x:v>
      </x:c>
      <x:c r="C42" s="44" t="n">
        <x:v>16</x:v>
      </x:c>
      <x:c r="D42" s="46" t="str">
        <x:f>IF(B42=C42,"PASS","FAIL")</x:f>
        <x:v>PASS</x:v>
      </x:c>
      <x:c r="E42" s="52"/>
      <x:c r="F42" s="52"/>
      <x:c r="G42" s="52"/>
      <x:c r="H42" s="52"/>
    </x:row>
    <x:row r="43">
      <x:c r="A43" s="44" t="str">
        <x:v>Integrity checks</x:v>
      </x:c>
      <x:c r="B43" s="44" t="n">
        <x:f>'Gates &amp; Checks'!A95</x:f>
        <x:v>60</x:v>
      </x:c>
      <x:c r="C43" s="44" t="n">
        <x:v>60</x:v>
      </x:c>
      <x:c r="D43" s="46" t="str">
        <x:f>IF(B43=C43,"PASS","FAIL")</x:f>
        <x:v>PASS</x:v>
      </x:c>
      <x:c r="E43" s="52"/>
      <x:c r="F43" s="52"/>
      <x:c r="G43" s="52"/>
      <x:c r="H43" s="52"/>
    </x:row>
    <x:row r="44">
      <x:c r="A44" s="44" t="str">
        <x:v>Open evidence gates</x:v>
      </x:c>
      <x:c r="B44" s="44" t="n">
        <x:f>'Gates &amp; Checks'!A28</x:f>
        <x:v>20</x:v>
      </x:c>
      <x:c r="C44" s="44" t="n">
        <x:v>0</x:v>
      </x:c>
      <x:c r="D44" s="50" t="str">
        <x:f>IF(B44=C44,"PASS","OPEN")</x:f>
        <x:v>OPEN</x:v>
      </x:c>
      <x:c r="E44" s="52"/>
      <x:c r="F44" s="52"/>
      <x:c r="G44" s="52"/>
      <x:c r="H44" s="52"/>
    </x:row>
    <x:row r="45">
      <x:c r="A45" s="52"/>
      <x:c r="B45" s="52"/>
      <x:c r="C45" s="52"/>
      <x:c r="D45" s="52"/>
      <x:c r="E45" s="52"/>
      <x:c r="F45" s="52"/>
      <x:c r="G45" s="52"/>
      <x:c r="H45" s="52"/>
    </x:row>
    <x:row r="46">
      <x:c r="A46" s="52"/>
      <x:c r="B46" s="52"/>
      <x:c r="C46" s="52"/>
      <x:c r="D46" s="52"/>
      <x:c r="E46" s="52"/>
      <x:c r="F46" s="52"/>
      <x:c r="G46" s="52"/>
      <x:c r="H46" s="52"/>
    </x:row>
    <x:row r="47">
      <x:c r="A47" s="52"/>
      <x:c r="B47" s="52"/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>
      <x:c r="A49" s="52"/>
      <x:c r="B49" s="52"/>
      <x:c r="C49" s="52"/>
      <x:c r="D49" s="52"/>
      <x:c r="E49" s="52"/>
      <x:c r="F49" s="52"/>
      <x:c r="G49" s="52"/>
      <x:c r="H49" s="52"/>
    </x:row>
    <x:row r="50">
      <x:c r="A50" s="52"/>
      <x:c r="B50" s="52"/>
      <x:c r="C50" s="52"/>
      <x:c r="D50" s="52"/>
      <x:c r="E50" s="52"/>
      <x:c r="F50" s="52"/>
      <x:c r="G50" s="52"/>
      <x:c r="H50" s="52"/>
    </x:row>
  </x:sheetData>
  <x:mergeCells>
    <x:mergeCell ref="A1:H1"/>
    <x:mergeCell ref="A2:H2"/>
    <x:mergeCell ref="A15:H15"/>
    <x:mergeCell ref="A16:H16"/>
    <x:mergeCell ref="A17:H17"/>
    <x:mergeCell ref="A18:H18"/>
    <x:mergeCell ref="A19:H19"/>
    <x:mergeCell ref="A20:H20"/>
    <x:mergeCell ref="A23:H23"/>
    <x:mergeCell ref="A31:H31"/>
    <x:mergeCell ref="A32:H32"/>
    <x:mergeCell ref="A33:H33"/>
    <x:mergeCell ref="A34:H34"/>
    <x:mergeCell ref="A35:H35"/>
    <x:mergeCell ref="A36:H36"/>
    <x:mergeCell ref="A37:H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7" customHeight="1">
      <x:c r="A1" s="51" t="str">
        <x:v>Pass 71 declared assumptions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27" customHeight="1">
      <x:c r="A2" s="53" t="str">
        <x:v>Controlled hypotheses inherited from Passes 68–70; blue cells are decision inputs, not validated measurements.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</x:row>
    <x:row r="4">
      <x:c r="A4" s="8" t="str">
        <x:v>Cell</x:v>
      </x:c>
      <x:c r="B4" s="8" t="str">
        <x:v>Role</x:v>
      </x:c>
      <x:c r="C4" s="8" t="str">
        <x:v>Source lineage</x:v>
      </x:c>
      <x:c r="D4" s="8" t="str">
        <x:v>Service m³/day</x:v>
      </x:c>
      <x:c r="E4" s="8" t="str">
        <x:v>Source/process critical MW</x:v>
      </x:c>
      <x:c r="F4" s="8" t="str">
        <x:v>Receiver-island MW</x:v>
      </x:c>
      <x:c r="G4" s="8" t="str">
        <x:v>Whole-cell critical MW</x:v>
      </x:c>
      <x:c r="H4" s="8" t="str">
        <x:v>Peak factor</x:v>
      </x:c>
      <x:c r="I4" s="8" t="str">
        <x:v>Peak/start MW</x:v>
      </x:c>
      <x:c r="J4" s="8" t="str">
        <x:v>Heat rejection MWth</x:v>
      </x:c>
      <x:c r="K4" s="52"/>
      <x:c r="L4" s="52"/>
      <x:c r="M4" s="52"/>
      <x:c r="N4" s="52"/>
    </x:row>
    <x:row r="5">
      <x:c r="A5" s="44" t="str">
        <x:v>A</x:v>
      </x:c>
      <x:c r="B5" s="44" t="str">
        <x:v>Normal path / minimum-service survivor</x:v>
      </x:c>
      <x:c r="C5" s="44" t="str">
        <x:v>C2 protected aquifer</x:v>
      </x:c>
      <x:c r="D5" s="47" t="n">
        <x:v>5000</x:v>
      </x:c>
      <x:c r="E5" s="55" t="n">
        <x:v>0.5</x:v>
      </x:c>
      <x:c r="F5" s="55" t="n">
        <x:v>0.2</x:v>
      </x:c>
      <x:c r="G5" s="55" t="n">
        <x:f>E5+F5</x:f>
        <x:v>0.7</x:v>
      </x:c>
      <x:c r="H5" s="55" t="n">
        <x:v>1.35</x:v>
      </x:c>
      <x:c r="I5" s="55" t="n">
        <x:f>G5*H5</x:f>
        <x:v>0.945</x:v>
      </x:c>
      <x:c r="J5" s="55" t="n">
        <x:v>0.45</x:v>
      </x:c>
      <x:c r="K5" s="52"/>
      <x:c r="L5" s="52"/>
      <x:c r="M5" s="52"/>
      <x:c r="N5" s="52"/>
    </x:row>
    <x:row r="6">
      <x:c r="A6" s="44" t="str">
        <x:v>B</x:v>
      </x:c>
      <x:c r="B6" s="44" t="str">
        <x:v>Normal path / regenerative inland source</x:v>
      </x:c>
      <x:c r="C6" s="44" t="str">
        <x:v>C3 + E2</x:v>
      </x:c>
      <x:c r="D6" s="47" t="n">
        <x:v>5000</x:v>
      </x:c>
      <x:c r="E6" s="55" t="n">
        <x:v>1.575</x:v>
      </x:c>
      <x:c r="F6" s="55" t="n">
        <x:v>0.2</x:v>
      </x:c>
      <x:c r="G6" s="55" t="n">
        <x:f>E6+F6</x:f>
        <x:v>1.775</x:v>
      </x:c>
      <x:c r="H6" s="55" t="n">
        <x:v>1.35</x:v>
      </x:c>
      <x:c r="I6" s="55" t="n">
        <x:f>G6*H6</x:f>
        <x:v>2.39625</x:v>
      </x:c>
      <x:c r="J6" s="55" t="n">
        <x:v>1.8</x:v>
      </x:c>
      <x:c r="K6" s="52"/>
      <x:c r="L6" s="52"/>
      <x:c r="M6" s="52"/>
      <x:c r="N6" s="52"/>
    </x:row>
    <x:row r="7">
      <x:c r="A7" s="44" t="str">
        <x:v>R</x:v>
      </x:c>
      <x:c r="B7" s="44" t="str">
        <x:v>Uncommitted depth cell</x:v>
      </x:c>
      <x:c r="C7" s="44" t="str">
        <x:v>C3 + E2</x:v>
      </x:c>
      <x:c r="D7" s="47" t="n">
        <x:v>5000</x:v>
      </x:c>
      <x:c r="E7" s="55" t="n">
        <x:v>1.575</x:v>
      </x:c>
      <x:c r="F7" s="55" t="n">
        <x:v>0.2</x:v>
      </x:c>
      <x:c r="G7" s="55" t="n">
        <x:f>E7+F7</x:f>
        <x:v>1.775</x:v>
      </x:c>
      <x:c r="H7" s="55" t="n">
        <x:v>1.35</x:v>
      </x:c>
      <x:c r="I7" s="55" t="n">
        <x:f>G7*H7</x:f>
        <x:v>2.39625</x:v>
      </x:c>
      <x:c r="J7" s="55" t="n">
        <x:v>1.8</x:v>
      </x:c>
      <x:c r="K7" s="52"/>
      <x:c r="L7" s="52"/>
      <x:c r="M7" s="52"/>
      <x:c r="N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</x:row>
    <x:row r="10">
      <x:c r="A10" s="8" t="str">
        <x:v>Control</x:v>
      </x:c>
      <x:c r="B10" s="8" t="str">
        <x:v>Value</x:v>
      </x:c>
      <x:c r="C10" s="8" t="str">
        <x:v>Unit</x:v>
      </x:c>
      <x:c r="D10" s="8" t="str">
        <x:v>Meaning</x:v>
      </x:c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</x:row>
    <x:row r="11">
      <x:c r="A11" s="44" t="str">
        <x:v>Dispatchable availability</x:v>
      </x:c>
      <x:c r="B11" s="56" t="n">
        <x:v>0.75</x:v>
      </x:c>
      <x:c r="C11" s="44" t="str">
        <x:v>fraction</x:v>
      </x:c>
      <x:c r="D11" s="44" t="str">
        <x:v>24-hour output after common environmental or equipment derating</x:v>
      </x:c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</x:row>
    <x:row r="12">
      <x:c r="A12" s="44" t="str">
        <x:v>Failure horizon</x:v>
      </x:c>
      <x:c r="B12" s="56" t="n">
        <x:v>24</x:v>
      </x:c>
      <x:c r="C12" s="44" t="str">
        <x:v>hours</x:v>
      </x:c>
      <x:c r="D12" s="44" t="str">
        <x:v>energy bridge required before repair or replacement</x:v>
      </x:c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</x:row>
    <x:row r="13">
      <x:c r="A13" s="44" t="str">
        <x:v>High-ambient thermal availability</x:v>
      </x:c>
      <x:c r="B13" s="56" t="n">
        <x:v>0.7</x:v>
      </x:c>
      <x:c r="C13" s="44" t="str">
        <x:v>fraction</x:v>
      </x:c>
      <x:c r="D13" s="44" t="str">
        <x:v>heat-rejection output retained in hot/dusty conditions</x:v>
      </x:c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</x:row>
    <x:row r="14">
      <x:c r="A14" s="44" t="str">
        <x:v>Fuel-delivery denial</x:v>
      </x:c>
      <x:c r="B14" s="56" t="n">
        <x:v>14</x:v>
      </x:c>
      <x:c r="C14" s="44" t="str">
        <x:v>days</x:v>
      </x:c>
      <x:c r="D14" s="44" t="str">
        <x:v>organic energy endurance requirement</x:v>
      </x:c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</x:row>
    <x:row r="15">
      <x:c r="A15" s="44" t="str">
        <x:v>Cold electrical availability</x:v>
      </x:c>
      <x:c r="B15" s="56" t="n">
        <x:v>0.8</x:v>
      </x:c>
      <x:c r="C15" s="44" t="str">
        <x:v>fraction</x:v>
      </x:c>
      <x:c r="D15" s="44" t="str">
        <x:v>cold-start output fraction</x:v>
      </x:c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</x:row>
    <x:row r="16">
      <x:c r="A16" s="44" t="str">
        <x:v>Cold storage-energy availability</x:v>
      </x:c>
      <x:c r="B16" s="56" t="n">
        <x:v>0.6</x:v>
      </x:c>
      <x:c r="C16" s="44" t="str">
        <x:v>fraction</x:v>
      </x:c>
      <x:c r="D16" s="44" t="str">
        <x:v>usable stored-energy fraction during cold start</x:v>
      </x:c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</x:row>
    <x:row r="17">
      <x:c r="A17" s="44" t="str">
        <x:v>Formation inventory</x:v>
      </x:c>
      <x:c r="B17" s="57" t="n">
        <x:v>24</x:v>
      </x:c>
      <x:c r="C17" s="44" t="str">
        <x:v>formations</x:v>
      </x:c>
      <x:c r="D17" s="44" t="str">
        <x:v>national comparator</x:v>
      </x:c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</x:row>
    <x:row r="18">
      <x:c r="A18" s="44" t="str">
        <x:v>Prepared-node programs</x:v>
      </x:c>
      <x:c r="B18" s="57" t="n">
        <x:v>12</x:v>
      </x:c>
      <x:c r="C18" s="44" t="str">
        <x:v>nodes</x:v>
      </x:c>
      <x:c r="D18" s="44" t="str">
        <x:v>national comparator</x:v>
      </x:c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</x:row>
    <x:row r="19">
      <x:c r="A19" s="44" t="str">
        <x:v>Program horizon</x:v>
      </x:c>
      <x:c r="B19" s="57" t="n">
        <x:v>25</x:v>
      </x:c>
      <x:c r="C19" s="44" t="str">
        <x:v>years</x:v>
      </x:c>
      <x:c r="D19" s="44" t="str">
        <x:v>operations and sustainment horizon</x:v>
      </x:c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</x:row>
    <x:row r="20">
      <x:c r="A20" s="44" t="str">
        <x:v>Pass 70 K4 comparator</x:v>
      </x:c>
      <x:c r="B20" s="58" t="n">
        <x:v>599.76</x:v>
      </x:c>
      <x:c r="C20" s="44" t="str">
        <x:v>$B</x:v>
      </x:c>
      <x:c r="D20" s="44" t="str">
        <x:v>prior whole-program comparator</x:v>
      </x:c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</x:row>
    <x:row r="21">
      <x:c r="A21" s="44" t="str">
        <x:v>Pass 70 power placeholder allowance</x:v>
      </x:c>
      <x:c r="B21" s="58" t="n">
        <x:v>35.68</x:v>
      </x:c>
      <x:c r="C21" s="44" t="str">
        <x:v>$B</x:v>
      </x:c>
      <x:c r="D21" s="44" t="str">
        <x:v>equipment, nodes, O&amp;S and R&amp;D removed before replacement</x:v>
      </x:c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</x:row>
    <x:row r="22">
      <x:c r="A22" s="44" t="str">
        <x:v>Non-power K4 program base</x:v>
      </x:c>
      <x:c r="B22" s="58" t="n">
        <x:f>B20-B21</x:f>
        <x:v>564.08</x:v>
      </x:c>
      <x:c r="C22" s="44" t="str">
        <x:v>$B</x:v>
      </x:c>
      <x:c r="D22" s="44" t="str">
        <x:v>Pass 70 comparator less placeholder allowance</x:v>
      </x:c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</x:row>
    <x:row r="23">
      <x:c r="A23" s="44" t="str">
        <x:v>Non-power dry mass</x:v>
      </x:c>
      <x:c r="B23" s="57" t="n">
        <x:v>9610</x:v>
      </x:c>
      <x:c r="C23" s="44" t="str">
        <x:v>t</x:v>
      </x:c>
      <x:c r="D23" s="44" t="str">
        <x:v>K4 less three 160-t power placeholders</x:v>
      </x:c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</x:row>
    <x:row r="24">
      <x:c r="A24" s="44" t="str">
        <x:v>Non-power chargeable mass</x:v>
      </x:c>
      <x:c r="B24" s="57" t="n">
        <x:v>11080</x:v>
      </x:c>
      <x:c r="C24" s="44" t="str">
        <x:v>t</x:v>
      </x:c>
      <x:c r="D24" s="44" t="str">
        <x:v>K4 less three 190-t power placeholders</x:v>
      </x:c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</x:row>
    <x:row r="25">
      <x:c r="A25" s="44" t="str">
        <x:v>Non-power crew</x:v>
      </x:c>
      <x:c r="B25" s="57" t="n">
        <x:v>544</x:v>
      </x:c>
      <x:c r="C25" s="44" t="str">
        <x:v>people</x:v>
      </x:c>
      <x:c r="D25" s="44" t="str">
        <x:v>K4 less three eight-person power placeholders</x:v>
      </x:c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</x:row>
    <x:row r="26">
      <x:c r="A26" s="44" t="str">
        <x:v>Non-power equipment</x:v>
      </x:c>
      <x:c r="B26" s="58" t="n">
        <x:v>7.87</x:v>
      </x:c>
      <x:c r="C26" s="44" t="str">
        <x:v>$B</x:v>
      </x:c>
      <x:c r="D26" s="44" t="str">
        <x:v>K4 less three $0.14B power placeholders</x:v>
      </x:c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</x:row>
    <x:row r="29">
      <x:c r="A29" s="8" t="str">
        <x:v>Internal authority</x:v>
      </x:c>
      <x:c r="B29" s="8" t="str">
        <x:v>Used for</x:v>
      </x:c>
      <x:c r="C29" s="8" t="str">
        <x:v>Status</x:v>
      </x:c>
      <x:c r="D29" s="8" t="str">
        <x:v>Boundary</x:v>
      </x:c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</x:row>
    <x:row r="30">
      <x:c r="A30" s="44" t="str">
        <x:v>Pass 68 assurance-source competition</x:v>
      </x:c>
      <x:c r="B30" s="44" t="str">
        <x:v>C2 and C3 source/process load, mass and crew</x:v>
      </x:c>
      <x:c r="C30" s="44" t="str">
        <x:v>Inherited</x:v>
      </x:c>
      <x:c r="D30" s="44" t="str">
        <x:v>Conceptual configuration</x:v>
      </x:c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</x:row>
    <x:row r="31">
      <x:c r="A31" s="44" t="str">
        <x:v>Pass 69 closed-loop endurance</x:v>
      </x:c>
      <x:c r="B31" s="44" t="str">
        <x:v>E2 overlay and 1.575 MW critical load</x:v>
      </x:c>
      <x:c r="C31" s="44" t="str">
        <x:v>Inherited</x:v>
      </x:c>
      <x:c r="D31" s="44" t="str">
        <x:v>Conceptual configuration</x:v>
      </x:c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</x:row>
    <x:row r="32">
      <x:c r="A32" s="44" t="str">
        <x:v>Pass 70 end-to-end independence</x:v>
      </x:c>
      <x:c r="B32" s="44" t="str">
        <x:v>K4 three-cell graph and placeholder account</x:v>
      </x:c>
      <x:c r="C32" s="44" t="str">
        <x:v>Inherited</x:v>
      </x:c>
      <x:c r="D32" s="44" t="str">
        <x:v>Upper proving comparator</x:v>
      </x:c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</x:row>
    <x:row r="33">
      <x:c r="A33" s="44" t="str">
        <x:v>Power restoration force engineering</x:v>
      </x:c>
      <x:c r="B33" s="44" t="str">
        <x:v>Complete utility thread and grid-forming doctrine</x:v>
      </x:c>
      <x:c r="C33" s="44" t="str">
        <x:v>Internal design authority</x:v>
      </x:c>
      <x:c r="D33" s="44" t="str">
        <x:v>R2+ engineering</x:v>
      </x:c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</x:row>
    <x:row r="34">
      <x:c r="A34" s="44" t="str">
        <x:v>Pass 71</x:v>
      </x:c>
      <x:c r="B34" s="44" t="str">
        <x:v>Receiver load, heat load, architecture and program coefficients</x:v>
      </x:c>
      <x:c r="C34" s="44" t="str">
        <x:v>Declared hypothesis</x:v>
      </x:c>
      <x:c r="D34" s="44" t="str">
        <x:v>Requires representative test</x:v>
      </x:c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</x:row>
    <x:row r="36">
      <x:c r="A36" s="54" t="str">
        <x:v>Interpretive boundary</x:v>
      </x:c>
      <x:c r="B36" s="54"/>
      <x:c r="C36" s="54"/>
      <x:c r="D36" s="54"/>
      <x:c r="E36" s="54"/>
      <x:c r="F36" s="54"/>
      <x:c r="G36" s="54"/>
      <x:c r="H36" s="54"/>
      <x:c r="I36" s="54"/>
      <x:c r="J36" s="54"/>
      <x:c r="K36" s="52"/>
      <x:c r="L36" s="52"/>
      <x:c r="M36" s="52"/>
      <x:c r="N36" s="52"/>
    </x:row>
    <x:row r="37">
      <x:c r="A37" s="59" t="str">
        <x:v>The workbook is a deterministic acquisition competition. It assigns no failure probability, does not select a generator chemistry or reactor, and does not establish procurement quantities.</x:v>
      </x:c>
      <x:c r="B37" s="59"/>
      <x:c r="C37" s="59"/>
      <x:c r="D37" s="59"/>
      <x:c r="E37" s="59"/>
      <x:c r="F37" s="59"/>
      <x:c r="G37" s="59"/>
      <x:c r="H37" s="59"/>
      <x:c r="I37" s="59"/>
      <x:c r="J37" s="59"/>
      <x:c r="K37" s="52"/>
      <x:c r="L37" s="52"/>
      <x:c r="M37" s="52"/>
      <x:c r="N37" s="52"/>
    </x:row>
    <x:row r="38">
      <x:c r="A38" s="59" t="str">
        <x:v>Rendering remains blocked until the power train, heat rejection, fuel, protection, crew, maintenance and transport configuration close at representative evidence maturity.</x:v>
      </x:c>
      <x:c r="B38" s="59"/>
      <x:c r="C38" s="59"/>
      <x:c r="D38" s="59"/>
      <x:c r="E38" s="59"/>
      <x:c r="F38" s="59"/>
      <x:c r="G38" s="59"/>
      <x:c r="H38" s="59"/>
      <x:c r="I38" s="59"/>
      <x:c r="J38" s="59"/>
      <x:c r="K38" s="52"/>
      <x:c r="L38" s="52"/>
      <x:c r="M38" s="52"/>
      <x:c r="N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</x:row>
  </x:sheetData>
  <x:mergeCells>
    <x:mergeCell ref="A1:N1"/>
    <x:mergeCell ref="A2:N2"/>
    <x:mergeCell ref="A36:J36"/>
    <x:mergeCell ref="A37:J37"/>
    <x:mergeCell ref="A38:J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5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27" customHeight="1">
      <x:c r="A1" s="51" t="str">
        <x:v>Rival cellular power architectures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</x:row>
    <x:row r="2" ht="27" customHeight="1">
      <x:c r="A2" s="53" t="str">
        <x:v>The competition preserves a common service contract while changing topology, stored energy, thermal design and dependency separation.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</x:row>
    <x:row r="4">
      <x:c r="A4" s="8" t="str">
        <x:v>ID</x:v>
      </x:c>
      <x:c r="B4" s="8" t="str">
        <x:v>Architecture</x:v>
      </x:c>
      <x:c r="C4" s="8" t="str">
        <x:v>Design logic</x:v>
      </x:c>
      <x:c r="D4" s="8" t="str">
        <x:v>Bus zones</x:v>
      </x:c>
      <x:c r="E4" s="8" t="str">
        <x:v>Independent black start</x:v>
      </x:c>
      <x:c r="F4" s="8" t="str">
        <x:v>Offline local control</x:v>
      </x:c>
      <x:c r="G4" s="8" t="str">
        <x:v>Cross-tie fails open</x:v>
      </x:c>
      <x:c r="H4" s="8" t="str">
        <x:v>Organic fuel days</x:v>
      </x:c>
      <x:c r="I4" s="8" t="str">
        <x:v>Fuel lineages / formation</x:v>
      </x:c>
      <x:c r="J4" s="8" t="str">
        <x:v>Energy vectors / cell</x:v>
      </x:c>
      <x:c r="K4" s="8" t="str">
        <x:v>Thermal zones</x:v>
      </x:c>
      <x:c r="L4" s="8" t="str">
        <x:v>Independent reset depot</x:v>
      </x:c>
      <x:c r="M4" s="8" t="str">
        <x:v>Added dry t</x:v>
      </x:c>
      <x:c r="N4" s="8" t="str">
        <x:v>Added chargeable t</x:v>
      </x:c>
      <x:c r="O4" s="8" t="str">
        <x:v>Added crew</x:v>
      </x:c>
      <x:c r="P4" s="8" t="str">
        <x:v>Equipment $B</x:v>
      </x:c>
    </x:row>
    <x:row r="5">
      <x:c r="A5" s="44" t="str">
        <x:v>P1</x:v>
      </x:c>
      <x:c r="B5" s="44" t="str">
        <x:v>Shared central utility island</x:v>
      </x:c>
      <x:c r="C5" s="44" t="str">
        <x:v>One oversized plant, bus, black-start chain, cooling system and fuel estate serve all cells.</x:v>
      </x:c>
      <x:c r="D5" s="60" t="n">
        <x:v>1</x:v>
      </x:c>
      <x:c r="E5" s="60" t="str">
        <x:v>No</x:v>
      </x:c>
      <x:c r="F5" s="60" t="str">
        <x:v>No</x:v>
      </x:c>
      <x:c r="G5" s="60" t="str">
        <x:v>No</x:v>
      </x:c>
      <x:c r="H5" s="60" t="n">
        <x:v>7</x:v>
      </x:c>
      <x:c r="I5" s="60" t="n">
        <x:v>1</x:v>
      </x:c>
      <x:c r="J5" s="60" t="n">
        <x:v>1</x:v>
      </x:c>
      <x:c r="K5" s="60" t="n">
        <x:v>1</x:v>
      </x:c>
      <x:c r="L5" s="60" t="str">
        <x:v>No</x:v>
      </x:c>
      <x:c r="M5" s="57" t="n">
        <x:v>650</x:v>
      </x:c>
      <x:c r="N5" s="57" t="n">
        <x:v>720</x:v>
      </x:c>
      <x:c r="O5" s="57" t="n">
        <x:v>18</x:v>
      </x:c>
      <x:c r="P5" s="58" t="n">
        <x:v>0.55</x:v>
      </x:c>
    </x:row>
    <x:row r="6">
      <x:c r="A6" s="44" t="str">
        <x:v>P2</x:v>
      </x:c>
      <x:c r="B6" s="44" t="str">
        <x:v>Isolated engine islands</x:v>
      </x:c>
      <x:c r="C6" s="44" t="str">
        <x:v>One dispatchable set per cell; buses separate, but start, fuel, cooling supervision, control and depot remain common.</x:v>
      </x:c>
      <x:c r="D6" s="60" t="n">
        <x:v>3</x:v>
      </x:c>
      <x:c r="E6" s="60" t="str">
        <x:v>No</x:v>
      </x:c>
      <x:c r="F6" s="60" t="str">
        <x:v>No</x:v>
      </x:c>
      <x:c r="G6" s="60" t="str">
        <x:v>Yes</x:v>
      </x:c>
      <x:c r="H6" s="60" t="n">
        <x:v>7</x:v>
      </x:c>
      <x:c r="I6" s="60" t="n">
        <x:v>1</x:v>
      </x:c>
      <x:c r="J6" s="60" t="n">
        <x:v>1</x:v>
      </x:c>
      <x:c r="K6" s="60" t="n">
        <x:v>1</x:v>
      </x:c>
      <x:c r="L6" s="60" t="str">
        <x:v>No</x:v>
      </x:c>
      <x:c r="M6" s="57" t="n">
        <x:v>840</x:v>
      </x:c>
      <x:c r="N6" s="57" t="n">
        <x:v>950</x:v>
      </x:c>
      <x:c r="O6" s="57" t="n">
        <x:v>30</x:v>
      </x:c>
      <x:c r="P6" s="58" t="n">
        <x:v>0.78</x:v>
      </x:c>
    </x:row>
    <x:row r="7">
      <x:c r="A7" s="44" t="str">
        <x:v>P3</x:v>
      </x:c>
      <x:c r="B7" s="44" t="str">
        <x:v>Hybrid black-start cells</x:v>
      </x:c>
      <x:c r="C7" s="44" t="str">
        <x:v>Cell batteries form each island and bridge derating; thermal systems separate, but fuel ancestry and reset remain common.</x:v>
      </x:c>
      <x:c r="D7" s="60" t="n">
        <x:v>3</x:v>
      </x:c>
      <x:c r="E7" s="60" t="str">
        <x:v>Yes</x:v>
      </x:c>
      <x:c r="F7" s="60" t="str">
        <x:v>Yes</x:v>
      </x:c>
      <x:c r="G7" s="60" t="str">
        <x:v>Yes</x:v>
      </x:c>
      <x:c r="H7" s="60" t="n">
        <x:v>7</x:v>
      </x:c>
      <x:c r="I7" s="60" t="n">
        <x:v>1</x:v>
      </x:c>
      <x:c r="J7" s="60" t="n">
        <x:v>1</x:v>
      </x:c>
      <x:c r="K7" s="60" t="n">
        <x:v>3</x:v>
      </x:c>
      <x:c r="L7" s="60" t="str">
        <x:v>No</x:v>
      </x:c>
      <x:c r="M7" s="57" t="n">
        <x:v>1160</x:v>
      </x:c>
      <x:c r="N7" s="57" t="n">
        <x:v>1320</x:v>
      </x:c>
      <x:c r="O7" s="57" t="n">
        <x:v>42</x:v>
      </x:c>
      <x:c r="P7" s="58" t="n">
        <x:v>1.2</x:v>
      </x:c>
    </x:row>
    <x:row r="8">
      <x:c r="A8" s="44" t="str">
        <x:v>P4</x:v>
      </x:c>
      <x:c r="B8" s="44" t="str">
        <x:v>Multi-vector cellular power force</x:v>
      </x:c>
      <x:c r="C8" s="44" t="str">
        <x:v>Three-module dispatchable trains, stored energy, heat rejection, controls, energy lineages and depots close inside each cell.</x:v>
      </x:c>
      <x:c r="D8" s="60" t="n">
        <x:v>3</x:v>
      </x:c>
      <x:c r="E8" s="60" t="str">
        <x:v>Yes</x:v>
      </x:c>
      <x:c r="F8" s="60" t="str">
        <x:v>Yes</x:v>
      </x:c>
      <x:c r="G8" s="60" t="str">
        <x:v>Yes</x:v>
      </x:c>
      <x:c r="H8" s="60" t="n">
        <x:v>21</x:v>
      </x:c>
      <x:c r="I8" s="60" t="n">
        <x:v>3</x:v>
      </x:c>
      <x:c r="J8" s="60" t="n">
        <x:v>2</x:v>
      </x:c>
      <x:c r="K8" s="60" t="n">
        <x:v>3</x:v>
      </x:c>
      <x:c r="L8" s="60" t="str">
        <x:v>Yes</x:v>
      </x:c>
      <x:c r="M8" s="57" t="n">
        <x:v>1640</x:v>
      </x:c>
      <x:c r="N8" s="57" t="n">
        <x:v>1880</x:v>
      </x:c>
      <x:c r="O8" s="57" t="n">
        <x:v>54</x:v>
      </x:c>
      <x:c r="P8" s="58" t="n">
        <x:v>1.85</x:v>
      </x:c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</x:row>
    <x:row r="11">
      <x:c r="A11" s="8" t="str">
        <x:v>Architecture</x:v>
      </x:c>
      <x:c r="B11" s="8" t="str">
        <x:v>Cell</x:v>
      </x:c>
      <x:c r="C11" s="8" t="str">
        <x:v>Dispatchable MW</x:v>
      </x:c>
      <x:c r="D11" s="8" t="str">
        <x:v>Generation modules</x:v>
      </x:c>
      <x:c r="E11" s="8" t="str">
        <x:v>Largest generation module MW</x:v>
      </x:c>
      <x:c r="F11" s="8" t="str">
        <x:v>Storage power MW</x:v>
      </x:c>
      <x:c r="G11" s="8" t="str">
        <x:v>Storage energy MWh</x:v>
      </x:c>
      <x:c r="H11" s="8" t="str">
        <x:v>Heat rejection MWth</x:v>
      </x:c>
      <x:c r="I11" s="8" t="str">
        <x:v>Thermal modules</x:v>
      </x:c>
      <x:c r="J11" s="8" t="str">
        <x:v>Largest thermal module MWth</x:v>
      </x:c>
      <x:c r="K11" s="52"/>
      <x:c r="L11" s="52"/>
      <x:c r="M11" s="52"/>
      <x:c r="N11" s="52"/>
      <x:c r="O11" s="52"/>
      <x:c r="P11" s="52"/>
    </x:row>
    <x:row r="12">
      <x:c r="A12" s="44" t="str">
        <x:v>P1</x:v>
      </x:c>
      <x:c r="B12" s="44" t="str">
        <x:v>A</x:v>
      </x:c>
      <x:c r="C12" s="55" t="n">
        <x:v>2</x:v>
      </x:c>
      <x:c r="D12" s="55" t="n">
        <x:v>2</x:v>
      </x:c>
      <x:c r="E12" s="55" t="n">
        <x:v>3</x:v>
      </x:c>
      <x:c r="F12" s="55" t="n">
        <x:v>0.5</x:v>
      </x:c>
      <x:c r="G12" s="55" t="n">
        <x:v>0.5</x:v>
      </x:c>
      <x:c r="H12" s="55" t="n">
        <x:v>2</x:v>
      </x:c>
      <x:c r="I12" s="55" t="n">
        <x:v>2</x:v>
      </x:c>
      <x:c r="J12" s="55" t="n">
        <x:v>3</x:v>
      </x:c>
      <x:c r="K12" s="52"/>
      <x:c r="L12" s="52"/>
      <x:c r="M12" s="52"/>
      <x:c r="N12" s="52"/>
      <x:c r="O12" s="52"/>
      <x:c r="P12" s="52"/>
    </x:row>
    <x:row r="13">
      <x:c r="A13" s="44" t="str">
        <x:v>P1</x:v>
      </x:c>
      <x:c r="B13" s="44" t="str">
        <x:v>B</x:v>
      </x:c>
      <x:c r="C13" s="55" t="n">
        <x:v>2</x:v>
      </x:c>
      <x:c r="D13" s="55" t="n">
        <x:v>2</x:v>
      </x:c>
      <x:c r="E13" s="55" t="n">
        <x:v>3</x:v>
      </x:c>
      <x:c r="F13" s="55" t="n">
        <x:v>0.5</x:v>
      </x:c>
      <x:c r="G13" s="55" t="n">
        <x:v>0.75</x:v>
      </x:c>
      <x:c r="H13" s="55" t="n">
        <x:v>2</x:v>
      </x:c>
      <x:c r="I13" s="55" t="n">
        <x:v>2</x:v>
      </x:c>
      <x:c r="J13" s="55" t="n">
        <x:v>3</x:v>
      </x:c>
      <x:c r="K13" s="52"/>
      <x:c r="L13" s="52"/>
      <x:c r="M13" s="52"/>
      <x:c r="N13" s="52"/>
      <x:c r="O13" s="52"/>
      <x:c r="P13" s="52"/>
    </x:row>
    <x:row r="14">
      <x:c r="A14" s="44" t="str">
        <x:v>P1</x:v>
      </x:c>
      <x:c r="B14" s="44" t="str">
        <x:v>R</x:v>
      </x:c>
      <x:c r="C14" s="55" t="n">
        <x:v>2</x:v>
      </x:c>
      <x:c r="D14" s="55" t="n">
        <x:v>2</x:v>
      </x:c>
      <x:c r="E14" s="55" t="n">
        <x:v>3</x:v>
      </x:c>
      <x:c r="F14" s="55" t="n">
        <x:v>0</x:v>
      </x:c>
      <x:c r="G14" s="55" t="n">
        <x:v>0.75</x:v>
      </x:c>
      <x:c r="H14" s="55" t="n">
        <x:v>2</x:v>
      </x:c>
      <x:c r="I14" s="55" t="n">
        <x:v>2</x:v>
      </x:c>
      <x:c r="J14" s="55" t="n">
        <x:v>3</x:v>
      </x:c>
      <x:c r="K14" s="52"/>
      <x:c r="L14" s="52"/>
      <x:c r="M14" s="52"/>
      <x:c r="N14" s="52"/>
      <x:c r="O14" s="52"/>
      <x:c r="P14" s="52"/>
    </x:row>
    <x:row r="15">
      <x:c r="A15" s="44" t="str">
        <x:v>P2</x:v>
      </x:c>
      <x:c r="B15" s="44" t="str">
        <x:v>A</x:v>
      </x:c>
      <x:c r="C15" s="55" t="n">
        <x:v>1.2</x:v>
      </x:c>
      <x:c r="D15" s="55" t="n">
        <x:v>1</x:v>
      </x:c>
      <x:c r="E15" s="55" t="n">
        <x:v>1.2</x:v>
      </x:c>
      <x:c r="F15" s="55" t="n">
        <x:v>0.25</x:v>
      </x:c>
      <x:c r="G15" s="55" t="n">
        <x:v>0.25</x:v>
      </x:c>
      <x:c r="H15" s="55" t="n">
        <x:v>0.8</x:v>
      </x:c>
      <x:c r="I15" s="55" t="n">
        <x:v>1</x:v>
      </x:c>
      <x:c r="J15" s="55" t="n">
        <x:v>0.8</x:v>
      </x:c>
      <x:c r="K15" s="52"/>
      <x:c r="L15" s="52"/>
      <x:c r="M15" s="52"/>
      <x:c r="N15" s="52"/>
      <x:c r="O15" s="52"/>
      <x:c r="P15" s="52"/>
    </x:row>
    <x:row r="16">
      <x:c r="A16" s="44" t="str">
        <x:v>P2</x:v>
      </x:c>
      <x:c r="B16" s="44" t="str">
        <x:v>B</x:v>
      </x:c>
      <x:c r="C16" s="55" t="n">
        <x:v>2</x:v>
      </x:c>
      <x:c r="D16" s="55" t="n">
        <x:v>1</x:v>
      </x:c>
      <x:c r="E16" s="55" t="n">
        <x:v>2</x:v>
      </x:c>
      <x:c r="F16" s="55" t="n">
        <x:v>0.25</x:v>
      </x:c>
      <x:c r="G16" s="55" t="n">
        <x:v>0.25</x:v>
      </x:c>
      <x:c r="H16" s="55" t="n">
        <x:v>1.85</x:v>
      </x:c>
      <x:c r="I16" s="55" t="n">
        <x:v>1</x:v>
      </x:c>
      <x:c r="J16" s="55" t="n">
        <x:v>1.85</x:v>
      </x:c>
      <x:c r="K16" s="52"/>
      <x:c r="L16" s="52"/>
      <x:c r="M16" s="52"/>
      <x:c r="N16" s="52"/>
      <x:c r="O16" s="52"/>
      <x:c r="P16" s="52"/>
    </x:row>
    <x:row r="17">
      <x:c r="A17" s="44" t="str">
        <x:v>P2</x:v>
      </x:c>
      <x:c r="B17" s="44" t="str">
        <x:v>R</x:v>
      </x:c>
      <x:c r="C17" s="55" t="n">
        <x:v>2</x:v>
      </x:c>
      <x:c r="D17" s="55" t="n">
        <x:v>1</x:v>
      </x:c>
      <x:c r="E17" s="55" t="n">
        <x:v>2</x:v>
      </x:c>
      <x:c r="F17" s="55" t="n">
        <x:v>0.25</x:v>
      </x:c>
      <x:c r="G17" s="55" t="n">
        <x:v>0.25</x:v>
      </x:c>
      <x:c r="H17" s="55" t="n">
        <x:v>1.85</x:v>
      </x:c>
      <x:c r="I17" s="55" t="n">
        <x:v>1</x:v>
      </x:c>
      <x:c r="J17" s="55" t="n">
        <x:v>1.85</x:v>
      </x:c>
      <x:c r="K17" s="52"/>
      <x:c r="L17" s="52"/>
      <x:c r="M17" s="52"/>
      <x:c r="N17" s="52"/>
      <x:c r="O17" s="52"/>
      <x:c r="P17" s="52"/>
    </x:row>
    <x:row r="18">
      <x:c r="A18" s="44" t="str">
        <x:v>P3</x:v>
      </x:c>
      <x:c r="B18" s="44" t="str">
        <x:v>A</x:v>
      </x:c>
      <x:c r="C18" s="55" t="n">
        <x:v>1.2</x:v>
      </x:c>
      <x:c r="D18" s="55" t="n">
        <x:v>2</x:v>
      </x:c>
      <x:c r="E18" s="55" t="n">
        <x:v>0.6</x:v>
      </x:c>
      <x:c r="F18" s="55" t="n">
        <x:v>1</x:v>
      </x:c>
      <x:c r="G18" s="55" t="n">
        <x:v>2</x:v>
      </x:c>
      <x:c r="H18" s="55" t="n">
        <x:v>0.65</x:v>
      </x:c>
      <x:c r="I18" s="55" t="n">
        <x:v>2</x:v>
      </x:c>
      <x:c r="J18" s="55" t="n">
        <x:v>0.325</x:v>
      </x:c>
      <x:c r="K18" s="52"/>
      <x:c r="L18" s="52"/>
      <x:c r="M18" s="52"/>
      <x:c r="N18" s="52"/>
      <x:c r="O18" s="52"/>
      <x:c r="P18" s="52"/>
    </x:row>
    <x:row r="19">
      <x:c r="A19" s="44" t="str">
        <x:v>P3</x:v>
      </x:c>
      <x:c r="B19" s="44" t="str">
        <x:v>B</x:v>
      </x:c>
      <x:c r="C19" s="55" t="n">
        <x:v>2.2</x:v>
      </x:c>
      <x:c r="D19" s="55" t="n">
        <x:v>2</x:v>
      </x:c>
      <x:c r="E19" s="55" t="n">
        <x:v>1.1</x:v>
      </x:c>
      <x:c r="F19" s="55" t="n">
        <x:v>1.5</x:v>
      </x:c>
      <x:c r="G19" s="55" t="n">
        <x:v>4</x:v>
      </x:c>
      <x:c r="H19" s="55" t="n">
        <x:v>2.5</x:v>
      </x:c>
      <x:c r="I19" s="55" t="n">
        <x:v>2</x:v>
      </x:c>
      <x:c r="J19" s="55" t="n">
        <x:v>1.25</x:v>
      </x:c>
      <x:c r="K19" s="52"/>
      <x:c r="L19" s="52"/>
      <x:c r="M19" s="52"/>
      <x:c r="N19" s="52"/>
      <x:c r="O19" s="52"/>
      <x:c r="P19" s="52"/>
    </x:row>
    <x:row r="20">
      <x:c r="A20" s="44" t="str">
        <x:v>P3</x:v>
      </x:c>
      <x:c r="B20" s="44" t="str">
        <x:v>R</x:v>
      </x:c>
      <x:c r="C20" s="55" t="n">
        <x:v>2.2</x:v>
      </x:c>
      <x:c r="D20" s="55" t="n">
        <x:v>2</x:v>
      </x:c>
      <x:c r="E20" s="55" t="n">
        <x:v>1.1</x:v>
      </x:c>
      <x:c r="F20" s="55" t="n">
        <x:v>1.5</x:v>
      </x:c>
      <x:c r="G20" s="55" t="n">
        <x:v>4</x:v>
      </x:c>
      <x:c r="H20" s="55" t="n">
        <x:v>2.5</x:v>
      </x:c>
      <x:c r="I20" s="55" t="n">
        <x:v>2</x:v>
      </x:c>
      <x:c r="J20" s="55" t="n">
        <x:v>1.25</x:v>
      </x:c>
      <x:c r="K20" s="52"/>
      <x:c r="L20" s="52"/>
      <x:c r="M20" s="52"/>
      <x:c r="N20" s="52"/>
      <x:c r="O20" s="52"/>
      <x:c r="P20" s="52"/>
    </x:row>
    <x:row r="21">
      <x:c r="A21" s="44" t="str">
        <x:v>P4</x:v>
      </x:c>
      <x:c r="B21" s="44" t="str">
        <x:v>A</x:v>
      </x:c>
      <x:c r="C21" s="55" t="n">
        <x:v>1.65</x:v>
      </x:c>
      <x:c r="D21" s="55" t="n">
        <x:v>3</x:v>
      </x:c>
      <x:c r="E21" s="55" t="n">
        <x:v>0.55</x:v>
      </x:c>
      <x:c r="F21" s="55" t="n">
        <x:v>1</x:v>
      </x:c>
      <x:c r="G21" s="55" t="n">
        <x:v>2</x:v>
      </x:c>
      <x:c r="H21" s="55" t="n">
        <x:v>0.75</x:v>
      </x:c>
      <x:c r="I21" s="55" t="n">
        <x:v>3</x:v>
      </x:c>
      <x:c r="J21" s="55" t="n">
        <x:v>0.25</x:v>
      </x:c>
      <x:c r="K21" s="52"/>
      <x:c r="L21" s="52"/>
      <x:c r="M21" s="52"/>
      <x:c r="N21" s="52"/>
      <x:c r="O21" s="52"/>
      <x:c r="P21" s="52"/>
    </x:row>
    <x:row r="22">
      <x:c r="A22" s="44" t="str">
        <x:v>P4</x:v>
      </x:c>
      <x:c r="B22" s="44" t="str">
        <x:v>B</x:v>
      </x:c>
      <x:c r="C22" s="55" t="n">
        <x:v>3</x:v>
      </x:c>
      <x:c r="D22" s="55" t="n">
        <x:v>3</x:v>
      </x:c>
      <x:c r="E22" s="55" t="n">
        <x:v>1</x:v>
      </x:c>
      <x:c r="F22" s="55" t="n">
        <x:v>1.5</x:v>
      </x:c>
      <x:c r="G22" s="55" t="n">
        <x:v>6</x:v>
      </x:c>
      <x:c r="H22" s="55" t="n">
        <x:v>2.7</x:v>
      </x:c>
      <x:c r="I22" s="55" t="n">
        <x:v>3</x:v>
      </x:c>
      <x:c r="J22" s="55" t="n">
        <x:v>0.9</x:v>
      </x:c>
      <x:c r="K22" s="52"/>
      <x:c r="L22" s="52"/>
      <x:c r="M22" s="52"/>
      <x:c r="N22" s="52"/>
      <x:c r="O22" s="52"/>
      <x:c r="P22" s="52"/>
    </x:row>
    <x:row r="23">
      <x:c r="A23" s="44" t="str">
        <x:v>P4</x:v>
      </x:c>
      <x:c r="B23" s="44" t="str">
        <x:v>R</x:v>
      </x:c>
      <x:c r="C23" s="55" t="n">
        <x:v>3</x:v>
      </x:c>
      <x:c r="D23" s="55" t="n">
        <x:v>3</x:v>
      </x:c>
      <x:c r="E23" s="55" t="n">
        <x:v>1</x:v>
      </x:c>
      <x:c r="F23" s="55" t="n">
        <x:v>1.5</x:v>
      </x:c>
      <x:c r="G23" s="55" t="n">
        <x:v>6</x:v>
      </x:c>
      <x:c r="H23" s="55" t="n">
        <x:v>2.7</x:v>
      </x:c>
      <x:c r="I23" s="55" t="n">
        <x:v>3</x:v>
      </x:c>
      <x:c r="J23" s="55" t="n">
        <x:v>0.9</x:v>
      </x:c>
      <x:c r="K23" s="52"/>
      <x:c r="L23" s="52"/>
      <x:c r="M23" s="52"/>
      <x:c r="N23" s="52"/>
      <x:c r="O23" s="52"/>
      <x:c r="P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</x:row>
    <x:row r="26">
      <x:c r="A26" s="54" t="str">
        <x:v>Interpretation</x:v>
      </x:c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</x:row>
    <x:row r="27">
      <x:c r="A27" s="52" t="str">
        <x:v>P1 allocation rows describe shares of one common plant; they are not physically independent cell assets.</x:v>
      </x:c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</x:row>
    <x:row r="28">
      <x:c r="A28" s="52" t="str">
        <x:v>P2 separates buses but preserves common start, energy, thermal-supervision, control and depot dependencies.</x:v>
      </x:c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</x:row>
    <x:row r="29">
      <x:c r="A29" s="52" t="str">
        <x:v>P4 is a performance envelope. It does not predetermine engines, fuel cells, batteries, thermal stores, microreactors or another prime mover.</x:v>
      </x:c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</x:row>
  </x:sheetData>
  <x:mergeCells>
    <x:mergeCell ref="A1:P1"/>
    <x:mergeCell ref="A2:P2"/>
    <x:mergeCell ref="A26:P26"/>
    <x:mergeCell ref="A27:P27"/>
    <x:mergeCell ref="A28:P28"/>
    <x:mergeCell ref="A29:P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4" hidden="0" customWidth="1"/>
    <x:col min="4" max="4" width="14" hidden="0" customWidth="1"/>
    <x:col min="5" max="5" width="48" hidden="0" customWidth="1"/>
    <x:col min="6" max="6" width="4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3" hidden="0" customWidth="1"/>
  </x:cols>
  <x:sheetData>
    <x:row r="1" ht="27" customHeight="1">
      <x:c r="A1" s="51" t="str">
        <x:v>Whole-cell power and thermal qualification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</x:row>
    <x:row r="2" ht="27" customHeight="1">
      <x:c r="A2" s="53" t="str">
        <x:v>A cell is ready only if every power, thermal, endurance, control and isolation test passes; aggregate formation service cannot waive a failed cell.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</x:row>
    <x:row r="4">
      <x:c r="A4" s="8" t="str">
        <x:v>Architecture</x:v>
      </x:c>
      <x:c r="B4" s="8" t="str">
        <x:v>Cell</x:v>
      </x:c>
      <x:c r="C4" s="8" t="str">
        <x:v>Critical MW</x:v>
      </x:c>
      <x:c r="D4" s="8" t="str">
        <x:v>Peak MW</x:v>
      </x:c>
      <x:c r="E4" s="8" t="str">
        <x:v>Installed MW</x:v>
      </x:c>
      <x:c r="F4" s="8" t="str">
        <x:v>Largest gen module MW</x:v>
      </x:c>
      <x:c r="G4" s="8" t="str">
        <x:v>Storage power MW</x:v>
      </x:c>
      <x:c r="H4" s="8" t="str">
        <x:v>Storage energy MWh</x:v>
      </x:c>
      <x:c r="I4" s="8" t="str">
        <x:v>Heat required MWth</x:v>
      </x:c>
      <x:c r="J4" s="8" t="str">
        <x:v>Heat installed MWth</x:v>
      </x:c>
      <x:c r="K4" s="8" t="str">
        <x:v>Largest thermal module MWth</x:v>
      </x:c>
      <x:c r="L4" s="8" t="str">
        <x:v>Steady margin MW</x:v>
      </x:c>
      <x:c r="M4" s="8" t="str">
        <x:v>Peak margin MW</x:v>
      </x:c>
      <x:c r="N4" s="8" t="str">
        <x:v>75% / 24h margin MW</x:v>
      </x:c>
      <x:c r="O4" s="8" t="str">
        <x:v>Gen-module-loss / 24h margin MW</x:v>
      </x:c>
      <x:c r="P4" s="8" t="str">
        <x:v>70% thermal margin MWth</x:v>
      </x:c>
      <x:c r="Q4" s="8" t="str">
        <x:v>Thermal-module-loss margin MWth</x:v>
      </x:c>
      <x:c r="R4" s="8" t="str">
        <x:v>Fuel days</x:v>
      </x:c>
      <x:c r="S4" s="8" t="str">
        <x:v>Black start</x:v>
      </x:c>
      <x:c r="T4" s="8" t="str">
        <x:v>Offline control</x:v>
      </x:c>
      <x:c r="U4" s="8" t="str">
        <x:v>Fail-open tie</x:v>
      </x:c>
      <x:c r="V4" s="8" t="str">
        <x:v>Independent domains</x:v>
      </x:c>
      <x:c r="W4" s="8" t="str">
        <x:v>Tests passed</x:v>
      </x:c>
      <x:c r="X4" s="8" t="str">
        <x:v>Cell ready</x:v>
      </x:c>
    </x:row>
    <x:row r="5">
      <x:c r="A5" s="44" t="str">
        <x:v>P1</x:v>
      </x:c>
      <x:c r="B5" s="44" t="str">
        <x:v>A</x:v>
      </x:c>
      <x:c r="C5" s="61" t="n">
        <x:f>Assumptions!G5</x:f>
        <x:v>0.7</x:v>
      </x:c>
      <x:c r="D5" s="61" t="n">
        <x:f>Assumptions!I5</x:f>
        <x:v>0.945</x:v>
      </x:c>
      <x:c r="E5" s="61" t="n">
        <x:f>Architectures!C12</x:f>
        <x:v>2</x:v>
      </x:c>
      <x:c r="F5" s="61" t="n">
        <x:f>Architectures!E12</x:f>
        <x:v>3</x:v>
      </x:c>
      <x:c r="G5" s="61" t="n">
        <x:f>Architectures!F12</x:f>
        <x:v>0.5</x:v>
      </x:c>
      <x:c r="H5" s="61" t="n">
        <x:f>Architectures!G12</x:f>
        <x:v>0.5</x:v>
      </x:c>
      <x:c r="I5" s="61" t="n">
        <x:f>Assumptions!J5</x:f>
        <x:v>0.45</x:v>
      </x:c>
      <x:c r="J5" s="61" t="n">
        <x:f>Architectures!H12</x:f>
        <x:v>2</x:v>
      </x:c>
      <x:c r="K5" s="61" t="n">
        <x:f>Architectures!J12</x:f>
        <x:v>3</x:v>
      </x:c>
      <x:c r="L5" s="61" t="n">
        <x:f>E5-C5</x:f>
        <x:v>1.3</x:v>
      </x:c>
      <x:c r="M5" s="61" t="n">
        <x:f>E5+G5-D5</x:f>
        <x:v>1.5550000000000002</x:v>
      </x:c>
      <x:c r="N5" s="61" t="n">
        <x:f>E5*Assumptions!$B$11+H5/Assumptions!$B$12-C5</x:f>
        <x:v>0.8208333333333333</x:v>
      </x:c>
      <x:c r="O5" s="61" t="n">
        <x:f>MAX(0,E5-F5)+H5/Assumptions!$B$12-C5</x:f>
        <x:v>-0.6791666666666666</x:v>
      </x:c>
      <x:c r="P5" s="61" t="n">
        <x:f>J5*Assumptions!$B$13-I5</x:f>
        <x:v>0.95</x:v>
      </x:c>
      <x:c r="Q5" s="61" t="n">
        <x:f>J5-K5-I5</x:f>
        <x:v>-1.45</x:v>
      </x:c>
      <x:c r="R5" s="61" t="n">
        <x:f>Architectures!H5</x:f>
        <x:v>7</x:v>
      </x:c>
      <x:c r="S5" s="44" t="str">
        <x:f>Architectures!E5</x:f>
        <x:v>No</x:v>
      </x:c>
      <x:c r="T5" s="44" t="str">
        <x:f>Architectures!F5</x:f>
        <x:v>No</x:v>
      </x:c>
      <x:c r="U5" s="44" t="str">
        <x:f>Architectures!G5</x:f>
        <x:v>No</x:v>
      </x:c>
      <x:c r="V5" s="44" t="str">
        <x:f>IF(AND(Architectures!D5=3,Architectures!I5&gt;=3,Architectures!K5=3,Architectures!L5="Yes"),"Yes","No")</x:f>
        <x:v>No</x:v>
      </x:c>
      <x:c r="W5" s="62" t="n">
        <x:f>COUNTIF(L5:Q5,"&gt;=0")+IF(R5&gt;=Assumptions!$B$14,1,0)+COUNTIF(S5:V5,"Yes")</x:f>
        <x:v>4</x:v>
      </x:c>
      <x:c r="X5" s="63" t="str">
        <x:f>IF(AND(MIN(L5:Q5)&gt;=0,R5&gt;=Assumptions!$B$14,COUNTIF(S5:V5,"Yes")=4),"READY","DENIED")</x:f>
        <x:v>DENIED</x:v>
      </x:c>
    </x:row>
    <x:row r="6">
      <x:c r="A6" s="44" t="str">
        <x:v>P1</x:v>
      </x:c>
      <x:c r="B6" s="44" t="str">
        <x:v>B</x:v>
      </x:c>
      <x:c r="C6" s="61" t="n">
        <x:f>Assumptions!G6</x:f>
        <x:v>1.775</x:v>
      </x:c>
      <x:c r="D6" s="61" t="n">
        <x:f>Assumptions!I6</x:f>
        <x:v>2.39625</x:v>
      </x:c>
      <x:c r="E6" s="61" t="n">
        <x:f>Architectures!C13</x:f>
        <x:v>2</x:v>
      </x:c>
      <x:c r="F6" s="61" t="n">
        <x:f>Architectures!E13</x:f>
        <x:v>3</x:v>
      </x:c>
      <x:c r="G6" s="61" t="n">
        <x:f>Architectures!F13</x:f>
        <x:v>0.5</x:v>
      </x:c>
      <x:c r="H6" s="61" t="n">
        <x:f>Architectures!G13</x:f>
        <x:v>0.75</x:v>
      </x:c>
      <x:c r="I6" s="61" t="n">
        <x:f>Assumptions!J6</x:f>
        <x:v>1.8</x:v>
      </x:c>
      <x:c r="J6" s="61" t="n">
        <x:f>Architectures!H13</x:f>
        <x:v>2</x:v>
      </x:c>
      <x:c r="K6" s="61" t="n">
        <x:f>Architectures!J13</x:f>
        <x:v>3</x:v>
      </x:c>
      <x:c r="L6" s="61" t="n">
        <x:f>E6-C6</x:f>
        <x:v>0.2250000000000001</x:v>
      </x:c>
      <x:c r="M6" s="61" t="n">
        <x:f>E6+G6-D6</x:f>
        <x:v>0.10374999999999979</x:v>
      </x:c>
      <x:c r="N6" s="61" t="n">
        <x:f>E6*Assumptions!$B$11+H6/Assumptions!$B$12-C6</x:f>
        <x:v>-0.2437499999999999</x:v>
      </x:c>
      <x:c r="O6" s="61" t="n">
        <x:f>MAX(0,E6-F6)+H6/Assumptions!$B$12-C6</x:f>
        <x:v>-1.74375</x:v>
      </x:c>
      <x:c r="P6" s="61" t="n">
        <x:f>J6*Assumptions!$B$13-I6</x:f>
        <x:v>-0.40000000000000013</x:v>
      </x:c>
      <x:c r="Q6" s="61" t="n">
        <x:f>J6-K6-I6</x:f>
        <x:v>-2.8</x:v>
      </x:c>
      <x:c r="R6" s="61" t="n">
        <x:f>Architectures!H5</x:f>
        <x:v>7</x:v>
      </x:c>
      <x:c r="S6" s="44" t="str">
        <x:f>Architectures!E5</x:f>
        <x:v>No</x:v>
      </x:c>
      <x:c r="T6" s="44" t="str">
        <x:f>Architectures!F5</x:f>
        <x:v>No</x:v>
      </x:c>
      <x:c r="U6" s="44" t="str">
        <x:f>Architectures!G5</x:f>
        <x:v>No</x:v>
      </x:c>
      <x:c r="V6" s="44" t="str">
        <x:f>IF(AND(Architectures!D5=3,Architectures!I5&gt;=3,Architectures!K5=3,Architectures!L5="Yes"),"Yes","No")</x:f>
        <x:v>No</x:v>
      </x:c>
      <x:c r="W6" s="62" t="n">
        <x:f>COUNTIF(L6:Q6,"&gt;=0")+IF(R6&gt;=Assumptions!$B$14,1,0)+COUNTIF(S6:V6,"Yes")</x:f>
        <x:v>2</x:v>
      </x:c>
      <x:c r="X6" s="63" t="str">
        <x:f>IF(AND(MIN(L6:Q6)&gt;=0,R6&gt;=Assumptions!$B$14,COUNTIF(S6:V6,"Yes")=4),"READY","DENIED")</x:f>
        <x:v>DENIED</x:v>
      </x:c>
    </x:row>
    <x:row r="7">
      <x:c r="A7" s="44" t="str">
        <x:v>P1</x:v>
      </x:c>
      <x:c r="B7" s="44" t="str">
        <x:v>R</x:v>
      </x:c>
      <x:c r="C7" s="61" t="n">
        <x:f>Assumptions!G7</x:f>
        <x:v>1.775</x:v>
      </x:c>
      <x:c r="D7" s="61" t="n">
        <x:f>Assumptions!I7</x:f>
        <x:v>2.39625</x:v>
      </x:c>
      <x:c r="E7" s="61" t="n">
        <x:f>Architectures!C14</x:f>
        <x:v>2</x:v>
      </x:c>
      <x:c r="F7" s="61" t="n">
        <x:f>Architectures!E14</x:f>
        <x:v>3</x:v>
      </x:c>
      <x:c r="G7" s="61" t="n">
        <x:f>Architectures!F14</x:f>
        <x:v>0</x:v>
      </x:c>
      <x:c r="H7" s="61" t="n">
        <x:f>Architectures!G14</x:f>
        <x:v>0.75</x:v>
      </x:c>
      <x:c r="I7" s="61" t="n">
        <x:f>Assumptions!J7</x:f>
        <x:v>1.8</x:v>
      </x:c>
      <x:c r="J7" s="61" t="n">
        <x:f>Architectures!H14</x:f>
        <x:v>2</x:v>
      </x:c>
      <x:c r="K7" s="61" t="n">
        <x:f>Architectures!J14</x:f>
        <x:v>3</x:v>
      </x:c>
      <x:c r="L7" s="61" t="n">
        <x:f>E7-C7</x:f>
        <x:v>0.2250000000000001</x:v>
      </x:c>
      <x:c r="M7" s="61" t="n">
        <x:f>E7+G7-D7</x:f>
        <x:v>-0.3962500000000002</x:v>
      </x:c>
      <x:c r="N7" s="61" t="n">
        <x:f>E7*Assumptions!$B$11+H7/Assumptions!$B$12-C7</x:f>
        <x:v>-0.2437499999999999</x:v>
      </x:c>
      <x:c r="O7" s="61" t="n">
        <x:f>MAX(0,E7-F7)+H7/Assumptions!$B$12-C7</x:f>
        <x:v>-1.74375</x:v>
      </x:c>
      <x:c r="P7" s="61" t="n">
        <x:f>J7*Assumptions!$B$13-I7</x:f>
        <x:v>-0.40000000000000013</x:v>
      </x:c>
      <x:c r="Q7" s="61" t="n">
        <x:f>J7-K7-I7</x:f>
        <x:v>-2.8</x:v>
      </x:c>
      <x:c r="R7" s="61" t="n">
        <x:f>Architectures!H5</x:f>
        <x:v>7</x:v>
      </x:c>
      <x:c r="S7" s="44" t="str">
        <x:f>Architectures!E5</x:f>
        <x:v>No</x:v>
      </x:c>
      <x:c r="T7" s="44" t="str">
        <x:f>Architectures!F5</x:f>
        <x:v>No</x:v>
      </x:c>
      <x:c r="U7" s="44" t="str">
        <x:f>Architectures!G5</x:f>
        <x:v>No</x:v>
      </x:c>
      <x:c r="V7" s="44" t="str">
        <x:f>IF(AND(Architectures!D5=3,Architectures!I5&gt;=3,Architectures!K5=3,Architectures!L5="Yes"),"Yes","No")</x:f>
        <x:v>No</x:v>
      </x:c>
      <x:c r="W7" s="62" t="n">
        <x:f>COUNTIF(L7:Q7,"&gt;=0")+IF(R7&gt;=Assumptions!$B$14,1,0)+COUNTIF(S7:V7,"Yes")</x:f>
        <x:v>1</x:v>
      </x:c>
      <x:c r="X7" s="63" t="str">
        <x:f>IF(AND(MIN(L7:Q7)&gt;=0,R7&gt;=Assumptions!$B$14,COUNTIF(S7:V7,"Yes")=4),"READY","DENIED")</x:f>
        <x:v>DENIED</x:v>
      </x:c>
    </x:row>
    <x:row r="8">
      <x:c r="A8" s="44" t="str">
        <x:v>P2</x:v>
      </x:c>
      <x:c r="B8" s="44" t="str">
        <x:v>A</x:v>
      </x:c>
      <x:c r="C8" s="61" t="n">
        <x:f>Assumptions!G5</x:f>
        <x:v>0.7</x:v>
      </x:c>
      <x:c r="D8" s="61" t="n">
        <x:f>Assumptions!I5</x:f>
        <x:v>0.945</x:v>
      </x:c>
      <x:c r="E8" s="61" t="n">
        <x:f>Architectures!C15</x:f>
        <x:v>1.2</x:v>
      </x:c>
      <x:c r="F8" s="61" t="n">
        <x:f>Architectures!E15</x:f>
        <x:v>1.2</x:v>
      </x:c>
      <x:c r="G8" s="61" t="n">
        <x:f>Architectures!F15</x:f>
        <x:v>0.25</x:v>
      </x:c>
      <x:c r="H8" s="61" t="n">
        <x:f>Architectures!G15</x:f>
        <x:v>0.25</x:v>
      </x:c>
      <x:c r="I8" s="61" t="n">
        <x:f>Assumptions!J5</x:f>
        <x:v>0.45</x:v>
      </x:c>
      <x:c r="J8" s="61" t="n">
        <x:f>Architectures!H15</x:f>
        <x:v>0.8</x:v>
      </x:c>
      <x:c r="K8" s="61" t="n">
        <x:f>Architectures!J15</x:f>
        <x:v>0.8</x:v>
      </x:c>
      <x:c r="L8" s="61" t="n">
        <x:f>E8-C8</x:f>
        <x:v>0.5</x:v>
      </x:c>
      <x:c r="M8" s="61" t="n">
        <x:f>E8+G8-D8</x:f>
        <x:v>0.505</x:v>
      </x:c>
      <x:c r="N8" s="61" t="n">
        <x:f>E8*Assumptions!$B$11+H8/Assumptions!$B$12-C8</x:f>
        <x:v>0.21041666666666659</x:v>
      </x:c>
      <x:c r="O8" s="61" t="n">
        <x:f>MAX(0,E8-F8)+H8/Assumptions!$B$12-C8</x:f>
        <x:v>-0.6895833333333333</x:v>
      </x:c>
      <x:c r="P8" s="61" t="n">
        <x:f>J8*Assumptions!$B$13-I8</x:f>
        <x:v>0.10999999999999993</x:v>
      </x:c>
      <x:c r="Q8" s="61" t="n">
        <x:f>J8-K8-I8</x:f>
        <x:v>-0.45</x:v>
      </x:c>
      <x:c r="R8" s="61" t="n">
        <x:f>Architectures!H6</x:f>
        <x:v>7</x:v>
      </x:c>
      <x:c r="S8" s="44" t="str">
        <x:f>Architectures!E6</x:f>
        <x:v>No</x:v>
      </x:c>
      <x:c r="T8" s="44" t="str">
        <x:f>Architectures!F6</x:f>
        <x:v>No</x:v>
      </x:c>
      <x:c r="U8" s="44" t="str">
        <x:f>Architectures!G6</x:f>
        <x:v>Yes</x:v>
      </x:c>
      <x:c r="V8" s="44" t="str">
        <x:f>IF(AND(Architectures!D6=3,Architectures!I6&gt;=3,Architectures!K6=3,Architectures!L6="Yes"),"Yes","No")</x:f>
        <x:v>No</x:v>
      </x:c>
      <x:c r="W8" s="62" t="n">
        <x:f>COUNTIF(L8:Q8,"&gt;=0")+IF(R8&gt;=Assumptions!$B$14,1,0)+COUNTIF(S8:V8,"Yes")</x:f>
        <x:v>5</x:v>
      </x:c>
      <x:c r="X8" s="63" t="str">
        <x:f>IF(AND(MIN(L8:Q8)&gt;=0,R8&gt;=Assumptions!$B$14,COUNTIF(S8:V8,"Yes")=4),"READY","DENIED")</x:f>
        <x:v>DENIED</x:v>
      </x:c>
    </x:row>
    <x:row r="9">
      <x:c r="A9" s="44" t="str">
        <x:v>P2</x:v>
      </x:c>
      <x:c r="B9" s="44" t="str">
        <x:v>B</x:v>
      </x:c>
      <x:c r="C9" s="61" t="n">
        <x:f>Assumptions!G6</x:f>
        <x:v>1.775</x:v>
      </x:c>
      <x:c r="D9" s="61" t="n">
        <x:f>Assumptions!I6</x:f>
        <x:v>2.39625</x:v>
      </x:c>
      <x:c r="E9" s="61" t="n">
        <x:f>Architectures!C16</x:f>
        <x:v>2</x:v>
      </x:c>
      <x:c r="F9" s="61" t="n">
        <x:f>Architectures!E16</x:f>
        <x:v>2</x:v>
      </x:c>
      <x:c r="G9" s="61" t="n">
        <x:f>Architectures!F16</x:f>
        <x:v>0.25</x:v>
      </x:c>
      <x:c r="H9" s="61" t="n">
        <x:f>Architectures!G16</x:f>
        <x:v>0.25</x:v>
      </x:c>
      <x:c r="I9" s="61" t="n">
        <x:f>Assumptions!J6</x:f>
        <x:v>1.8</x:v>
      </x:c>
      <x:c r="J9" s="61" t="n">
        <x:f>Architectures!H16</x:f>
        <x:v>1.85</x:v>
      </x:c>
      <x:c r="K9" s="61" t="n">
        <x:f>Architectures!J16</x:f>
        <x:v>1.85</x:v>
      </x:c>
      <x:c r="L9" s="61" t="n">
        <x:f>E9-C9</x:f>
        <x:v>0.2250000000000001</x:v>
      </x:c>
      <x:c r="M9" s="61" t="n">
        <x:f>E9+G9-D9</x:f>
        <x:v>-0.1462500000000002</x:v>
      </x:c>
      <x:c r="N9" s="61" t="n">
        <x:f>E9*Assumptions!$B$11+H9/Assumptions!$B$12-C9</x:f>
        <x:v>-0.26458333333333317</x:v>
      </x:c>
      <x:c r="O9" s="61" t="n">
        <x:f>MAX(0,E9-F9)+H9/Assumptions!$B$12-C9</x:f>
        <x:v>-1.7645833333333332</x:v>
      </x:c>
      <x:c r="P9" s="61" t="n">
        <x:f>J9*Assumptions!$B$13-I9</x:f>
        <x:v>-0.5050000000000001</x:v>
      </x:c>
      <x:c r="Q9" s="61" t="n">
        <x:f>J9-K9-I9</x:f>
        <x:v>-1.8</x:v>
      </x:c>
      <x:c r="R9" s="61" t="n">
        <x:f>Architectures!H6</x:f>
        <x:v>7</x:v>
      </x:c>
      <x:c r="S9" s="44" t="str">
        <x:f>Architectures!E6</x:f>
        <x:v>No</x:v>
      </x:c>
      <x:c r="T9" s="44" t="str">
        <x:f>Architectures!F6</x:f>
        <x:v>No</x:v>
      </x:c>
      <x:c r="U9" s="44" t="str">
        <x:f>Architectures!G6</x:f>
        <x:v>Yes</x:v>
      </x:c>
      <x:c r="V9" s="44" t="str">
        <x:f>IF(AND(Architectures!D6=3,Architectures!I6&gt;=3,Architectures!K6=3,Architectures!L6="Yes"),"Yes","No")</x:f>
        <x:v>No</x:v>
      </x:c>
      <x:c r="W9" s="62" t="n">
        <x:f>COUNTIF(L9:Q9,"&gt;=0")+IF(R9&gt;=Assumptions!$B$14,1,0)+COUNTIF(S9:V9,"Yes")</x:f>
        <x:v>2</x:v>
      </x:c>
      <x:c r="X9" s="63" t="str">
        <x:f>IF(AND(MIN(L9:Q9)&gt;=0,R9&gt;=Assumptions!$B$14,COUNTIF(S9:V9,"Yes")=4),"READY","DENIED")</x:f>
        <x:v>DENIED</x:v>
      </x:c>
    </x:row>
    <x:row r="10">
      <x:c r="A10" s="44" t="str">
        <x:v>P2</x:v>
      </x:c>
      <x:c r="B10" s="44" t="str">
        <x:v>R</x:v>
      </x:c>
      <x:c r="C10" s="61" t="n">
        <x:f>Assumptions!G7</x:f>
        <x:v>1.775</x:v>
      </x:c>
      <x:c r="D10" s="61" t="n">
        <x:f>Assumptions!I7</x:f>
        <x:v>2.39625</x:v>
      </x:c>
      <x:c r="E10" s="61" t="n">
        <x:f>Architectures!C17</x:f>
        <x:v>2</x:v>
      </x:c>
      <x:c r="F10" s="61" t="n">
        <x:f>Architectures!E17</x:f>
        <x:v>2</x:v>
      </x:c>
      <x:c r="G10" s="61" t="n">
        <x:f>Architectures!F17</x:f>
        <x:v>0.25</x:v>
      </x:c>
      <x:c r="H10" s="61" t="n">
        <x:f>Architectures!G17</x:f>
        <x:v>0.25</x:v>
      </x:c>
      <x:c r="I10" s="61" t="n">
        <x:f>Assumptions!J7</x:f>
        <x:v>1.8</x:v>
      </x:c>
      <x:c r="J10" s="61" t="n">
        <x:f>Architectures!H17</x:f>
        <x:v>1.85</x:v>
      </x:c>
      <x:c r="K10" s="61" t="n">
        <x:f>Architectures!J17</x:f>
        <x:v>1.85</x:v>
      </x:c>
      <x:c r="L10" s="61" t="n">
        <x:f>E10-C10</x:f>
        <x:v>0.2250000000000001</x:v>
      </x:c>
      <x:c r="M10" s="61" t="n">
        <x:f>E10+G10-D10</x:f>
        <x:v>-0.1462500000000002</x:v>
      </x:c>
      <x:c r="N10" s="61" t="n">
        <x:f>E10*Assumptions!$B$11+H10/Assumptions!$B$12-C10</x:f>
        <x:v>-0.26458333333333317</x:v>
      </x:c>
      <x:c r="O10" s="61" t="n">
        <x:f>MAX(0,E10-F10)+H10/Assumptions!$B$12-C10</x:f>
        <x:v>-1.7645833333333332</x:v>
      </x:c>
      <x:c r="P10" s="61" t="n">
        <x:f>J10*Assumptions!$B$13-I10</x:f>
        <x:v>-0.5050000000000001</x:v>
      </x:c>
      <x:c r="Q10" s="61" t="n">
        <x:f>J10-K10-I10</x:f>
        <x:v>-1.8</x:v>
      </x:c>
      <x:c r="R10" s="61" t="n">
        <x:f>Architectures!H6</x:f>
        <x:v>7</x:v>
      </x:c>
      <x:c r="S10" s="44" t="str">
        <x:f>Architectures!E6</x:f>
        <x:v>No</x:v>
      </x:c>
      <x:c r="T10" s="44" t="str">
        <x:f>Architectures!F6</x:f>
        <x:v>No</x:v>
      </x:c>
      <x:c r="U10" s="44" t="str">
        <x:f>Architectures!G6</x:f>
        <x:v>Yes</x:v>
      </x:c>
      <x:c r="V10" s="44" t="str">
        <x:f>IF(AND(Architectures!D6=3,Architectures!I6&gt;=3,Architectures!K6=3,Architectures!L6="Yes"),"Yes","No")</x:f>
        <x:v>No</x:v>
      </x:c>
      <x:c r="W10" s="62" t="n">
        <x:f>COUNTIF(L10:Q10,"&gt;=0")+IF(R10&gt;=Assumptions!$B$14,1,0)+COUNTIF(S10:V10,"Yes")</x:f>
        <x:v>2</x:v>
      </x:c>
      <x:c r="X10" s="63" t="str">
        <x:f>IF(AND(MIN(L10:Q10)&gt;=0,R10&gt;=Assumptions!$B$14,COUNTIF(S10:V10,"Yes")=4),"READY","DENIED")</x:f>
        <x:v>DENIED</x:v>
      </x:c>
    </x:row>
    <x:row r="11">
      <x:c r="A11" s="44" t="str">
        <x:v>P3</x:v>
      </x:c>
      <x:c r="B11" s="44" t="str">
        <x:v>A</x:v>
      </x:c>
      <x:c r="C11" s="61" t="n">
        <x:f>Assumptions!G5</x:f>
        <x:v>0.7</x:v>
      </x:c>
      <x:c r="D11" s="61" t="n">
        <x:f>Assumptions!I5</x:f>
        <x:v>0.945</x:v>
      </x:c>
      <x:c r="E11" s="61" t="n">
        <x:f>Architectures!C18</x:f>
        <x:v>1.2</x:v>
      </x:c>
      <x:c r="F11" s="61" t="n">
        <x:f>Architectures!E18</x:f>
        <x:v>0.6</x:v>
      </x:c>
      <x:c r="G11" s="61" t="n">
        <x:f>Architectures!F18</x:f>
        <x:v>1</x:v>
      </x:c>
      <x:c r="H11" s="61" t="n">
        <x:f>Architectures!G18</x:f>
        <x:v>2</x:v>
      </x:c>
      <x:c r="I11" s="61" t="n">
        <x:f>Assumptions!J5</x:f>
        <x:v>0.45</x:v>
      </x:c>
      <x:c r="J11" s="61" t="n">
        <x:f>Architectures!H18</x:f>
        <x:v>0.65</x:v>
      </x:c>
      <x:c r="K11" s="61" t="n">
        <x:f>Architectures!J18</x:f>
        <x:v>0.325</x:v>
      </x:c>
      <x:c r="L11" s="61" t="n">
        <x:f>E11-C11</x:f>
        <x:v>0.5</x:v>
      </x:c>
      <x:c r="M11" s="61" t="n">
        <x:f>E11+G11-D11</x:f>
        <x:v>1.2550000000000003</x:v>
      </x:c>
      <x:c r="N11" s="61" t="n">
        <x:f>E11*Assumptions!$B$11+H11/Assumptions!$B$12-C11</x:f>
        <x:v>0.2833333333333333</x:v>
      </x:c>
      <x:c r="O11" s="61" t="n">
        <x:f>MAX(0,E11-F11)+H11/Assumptions!$B$12-C11</x:f>
        <x:v>-0.016666666666666607</x:v>
      </x:c>
      <x:c r="P11" s="61" t="n">
        <x:f>J11*Assumptions!$B$13-I11</x:f>
        <x:v>0.004999999999999949</x:v>
      </x:c>
      <x:c r="Q11" s="61" t="n">
        <x:f>J11-K11-I11</x:f>
        <x:v>-0.125</x:v>
      </x:c>
      <x:c r="R11" s="61" t="n">
        <x:f>Architectures!H7</x:f>
        <x:v>7</x:v>
      </x:c>
      <x:c r="S11" s="44" t="str">
        <x:f>Architectures!E7</x:f>
        <x:v>Yes</x:v>
      </x:c>
      <x:c r="T11" s="44" t="str">
        <x:f>Architectures!F7</x:f>
        <x:v>Yes</x:v>
      </x:c>
      <x:c r="U11" s="44" t="str">
        <x:f>Architectures!G7</x:f>
        <x:v>Yes</x:v>
      </x:c>
      <x:c r="V11" s="44" t="str">
        <x:f>IF(AND(Architectures!D7=3,Architectures!I7&gt;=3,Architectures!K7=3,Architectures!L7="Yes"),"Yes","No")</x:f>
        <x:v>No</x:v>
      </x:c>
      <x:c r="W11" s="62" t="n">
        <x:f>COUNTIF(L11:Q11,"&gt;=0")+IF(R11&gt;=Assumptions!$B$14,1,0)+COUNTIF(S11:V11,"Yes")</x:f>
        <x:v>7</x:v>
      </x:c>
      <x:c r="X11" s="63" t="str">
        <x:f>IF(AND(MIN(L11:Q11)&gt;=0,R11&gt;=Assumptions!$B$14,COUNTIF(S11:V11,"Yes")=4),"READY","DENIED")</x:f>
        <x:v>DENIED</x:v>
      </x:c>
    </x:row>
    <x:row r="12">
      <x:c r="A12" s="44" t="str">
        <x:v>P3</x:v>
      </x:c>
      <x:c r="B12" s="44" t="str">
        <x:v>B</x:v>
      </x:c>
      <x:c r="C12" s="61" t="n">
        <x:f>Assumptions!G6</x:f>
        <x:v>1.775</x:v>
      </x:c>
      <x:c r="D12" s="61" t="n">
        <x:f>Assumptions!I6</x:f>
        <x:v>2.39625</x:v>
      </x:c>
      <x:c r="E12" s="61" t="n">
        <x:f>Architectures!C19</x:f>
        <x:v>2.2</x:v>
      </x:c>
      <x:c r="F12" s="61" t="n">
        <x:f>Architectures!E19</x:f>
        <x:v>1.1</x:v>
      </x:c>
      <x:c r="G12" s="61" t="n">
        <x:f>Architectures!F19</x:f>
        <x:v>1.5</x:v>
      </x:c>
      <x:c r="H12" s="61" t="n">
        <x:f>Architectures!G19</x:f>
        <x:v>4</x:v>
      </x:c>
      <x:c r="I12" s="61" t="n">
        <x:f>Assumptions!J6</x:f>
        <x:v>1.8</x:v>
      </x:c>
      <x:c r="J12" s="61" t="n">
        <x:f>Architectures!H19</x:f>
        <x:v>2.5</x:v>
      </x:c>
      <x:c r="K12" s="61" t="n">
        <x:f>Architectures!J19</x:f>
        <x:v>1.25</x:v>
      </x:c>
      <x:c r="L12" s="61" t="n">
        <x:f>E12-C12</x:f>
        <x:v>0.42500000000000027</x:v>
      </x:c>
      <x:c r="M12" s="61" t="n">
        <x:f>E12+G12-D12</x:f>
        <x:v>1.30375</x:v>
      </x:c>
      <x:c r="N12" s="61" t="n">
        <x:f>E12*Assumptions!$B$11+H12/Assumptions!$B$12-C12</x:f>
        <x:v>0.04166666666666696</x:v>
      </x:c>
      <x:c r="O12" s="61" t="n">
        <x:f>MAX(0,E12-F12)+H12/Assumptions!$B$12-C12</x:f>
        <x:v>-0.5083333333333331</x:v>
      </x:c>
      <x:c r="P12" s="61" t="n">
        <x:f>J12*Assumptions!$B$13-I12</x:f>
        <x:v>-0.050000000000000044</x:v>
      </x:c>
      <x:c r="Q12" s="61" t="n">
        <x:f>J12-K12-I12</x:f>
        <x:v>-0.55</x:v>
      </x:c>
      <x:c r="R12" s="61" t="n">
        <x:f>Architectures!H7</x:f>
        <x:v>7</x:v>
      </x:c>
      <x:c r="S12" s="44" t="str">
        <x:f>Architectures!E7</x:f>
        <x:v>Yes</x:v>
      </x:c>
      <x:c r="T12" s="44" t="str">
        <x:f>Architectures!F7</x:f>
        <x:v>Yes</x:v>
      </x:c>
      <x:c r="U12" s="44" t="str">
        <x:f>Architectures!G7</x:f>
        <x:v>Yes</x:v>
      </x:c>
      <x:c r="V12" s="44" t="str">
        <x:f>IF(AND(Architectures!D7=3,Architectures!I7&gt;=3,Architectures!K7=3,Architectures!L7="Yes"),"Yes","No")</x:f>
        <x:v>No</x:v>
      </x:c>
      <x:c r="W12" s="62" t="n">
        <x:f>COUNTIF(L12:Q12,"&gt;=0")+IF(R12&gt;=Assumptions!$B$14,1,0)+COUNTIF(S12:V12,"Yes")</x:f>
        <x:v>6</x:v>
      </x:c>
      <x:c r="X12" s="63" t="str">
        <x:f>IF(AND(MIN(L12:Q12)&gt;=0,R12&gt;=Assumptions!$B$14,COUNTIF(S12:V12,"Yes")=4),"READY","DENIED")</x:f>
        <x:v>DENIED</x:v>
      </x:c>
    </x:row>
    <x:row r="13">
      <x:c r="A13" s="44" t="str">
        <x:v>P3</x:v>
      </x:c>
      <x:c r="B13" s="44" t="str">
        <x:v>R</x:v>
      </x:c>
      <x:c r="C13" s="61" t="n">
        <x:f>Assumptions!G7</x:f>
        <x:v>1.775</x:v>
      </x:c>
      <x:c r="D13" s="61" t="n">
        <x:f>Assumptions!I7</x:f>
        <x:v>2.39625</x:v>
      </x:c>
      <x:c r="E13" s="61" t="n">
        <x:f>Architectures!C20</x:f>
        <x:v>2.2</x:v>
      </x:c>
      <x:c r="F13" s="61" t="n">
        <x:f>Architectures!E20</x:f>
        <x:v>1.1</x:v>
      </x:c>
      <x:c r="G13" s="61" t="n">
        <x:f>Architectures!F20</x:f>
        <x:v>1.5</x:v>
      </x:c>
      <x:c r="H13" s="61" t="n">
        <x:f>Architectures!G20</x:f>
        <x:v>4</x:v>
      </x:c>
      <x:c r="I13" s="61" t="n">
        <x:f>Assumptions!J7</x:f>
        <x:v>1.8</x:v>
      </x:c>
      <x:c r="J13" s="61" t="n">
        <x:f>Architectures!H20</x:f>
        <x:v>2.5</x:v>
      </x:c>
      <x:c r="K13" s="61" t="n">
        <x:f>Architectures!J20</x:f>
        <x:v>1.25</x:v>
      </x:c>
      <x:c r="L13" s="61" t="n">
        <x:f>E13-C13</x:f>
        <x:v>0.42500000000000027</x:v>
      </x:c>
      <x:c r="M13" s="61" t="n">
        <x:f>E13+G13-D13</x:f>
        <x:v>1.30375</x:v>
      </x:c>
      <x:c r="N13" s="61" t="n">
        <x:f>E13*Assumptions!$B$11+H13/Assumptions!$B$12-C13</x:f>
        <x:v>0.04166666666666696</x:v>
      </x:c>
      <x:c r="O13" s="61" t="n">
        <x:f>MAX(0,E13-F13)+H13/Assumptions!$B$12-C13</x:f>
        <x:v>-0.5083333333333331</x:v>
      </x:c>
      <x:c r="P13" s="61" t="n">
        <x:f>J13*Assumptions!$B$13-I13</x:f>
        <x:v>-0.050000000000000044</x:v>
      </x:c>
      <x:c r="Q13" s="61" t="n">
        <x:f>J13-K13-I13</x:f>
        <x:v>-0.55</x:v>
      </x:c>
      <x:c r="R13" s="61" t="n">
        <x:f>Architectures!H7</x:f>
        <x:v>7</x:v>
      </x:c>
      <x:c r="S13" s="44" t="str">
        <x:f>Architectures!E7</x:f>
        <x:v>Yes</x:v>
      </x:c>
      <x:c r="T13" s="44" t="str">
        <x:f>Architectures!F7</x:f>
        <x:v>Yes</x:v>
      </x:c>
      <x:c r="U13" s="44" t="str">
        <x:f>Architectures!G7</x:f>
        <x:v>Yes</x:v>
      </x:c>
      <x:c r="V13" s="44" t="str">
        <x:f>IF(AND(Architectures!D7=3,Architectures!I7&gt;=3,Architectures!K7=3,Architectures!L7="Yes"),"Yes","No")</x:f>
        <x:v>No</x:v>
      </x:c>
      <x:c r="W13" s="62" t="n">
        <x:f>COUNTIF(L13:Q13,"&gt;=0")+IF(R13&gt;=Assumptions!$B$14,1,0)+COUNTIF(S13:V13,"Yes")</x:f>
        <x:v>6</x:v>
      </x:c>
      <x:c r="X13" s="63" t="str">
        <x:f>IF(AND(MIN(L13:Q13)&gt;=0,R13&gt;=Assumptions!$B$14,COUNTIF(S13:V13,"Yes")=4),"READY","DENIED")</x:f>
        <x:v>DENIED</x:v>
      </x:c>
    </x:row>
    <x:row r="14">
      <x:c r="A14" s="44" t="str">
        <x:v>P4</x:v>
      </x:c>
      <x:c r="B14" s="44" t="str">
        <x:v>A</x:v>
      </x:c>
      <x:c r="C14" s="61" t="n">
        <x:f>Assumptions!G5</x:f>
        <x:v>0.7</x:v>
      </x:c>
      <x:c r="D14" s="61" t="n">
        <x:f>Assumptions!I5</x:f>
        <x:v>0.945</x:v>
      </x:c>
      <x:c r="E14" s="61" t="n">
        <x:f>Architectures!C21</x:f>
        <x:v>1.65</x:v>
      </x:c>
      <x:c r="F14" s="61" t="n">
        <x:f>Architectures!E21</x:f>
        <x:v>0.55</x:v>
      </x:c>
      <x:c r="G14" s="61" t="n">
        <x:f>Architectures!F21</x:f>
        <x:v>1</x:v>
      </x:c>
      <x:c r="H14" s="61" t="n">
        <x:f>Architectures!G21</x:f>
        <x:v>2</x:v>
      </x:c>
      <x:c r="I14" s="61" t="n">
        <x:f>Assumptions!J5</x:f>
        <x:v>0.45</x:v>
      </x:c>
      <x:c r="J14" s="61" t="n">
        <x:f>Architectures!H21</x:f>
        <x:v>0.75</x:v>
      </x:c>
      <x:c r="K14" s="61" t="n">
        <x:f>Architectures!J21</x:f>
        <x:v>0.25</x:v>
      </x:c>
      <x:c r="L14" s="61" t="n">
        <x:f>E14-C14</x:f>
        <x:v>0.95</x:v>
      </x:c>
      <x:c r="M14" s="61" t="n">
        <x:f>E14+G14-D14</x:f>
        <x:v>1.705</x:v>
      </x:c>
      <x:c r="N14" s="61" t="n">
        <x:f>E14*Assumptions!$B$11+H14/Assumptions!$B$12-C14</x:f>
        <x:v>0.6208333333333331</x:v>
      </x:c>
      <x:c r="O14" s="61" t="n">
        <x:f>MAX(0,E14-F14)+H14/Assumptions!$B$12-C14</x:f>
        <x:v>0.48333333333333317</x:v>
      </x:c>
      <x:c r="P14" s="61" t="n">
        <x:f>J14*Assumptions!$B$13-I14</x:f>
        <x:v>0.0749999999999999</x:v>
      </x:c>
      <x:c r="Q14" s="61" t="n">
        <x:f>J14-K14-I14</x:f>
        <x:v>0.04999999999999999</x:v>
      </x:c>
      <x:c r="R14" s="61" t="n">
        <x:f>Architectures!H8</x:f>
        <x:v>21</x:v>
      </x:c>
      <x:c r="S14" s="44" t="str">
        <x:f>Architectures!E8</x:f>
        <x:v>Yes</x:v>
      </x:c>
      <x:c r="T14" s="44" t="str">
        <x:f>Architectures!F8</x:f>
        <x:v>Yes</x:v>
      </x:c>
      <x:c r="U14" s="44" t="str">
        <x:f>Architectures!G8</x:f>
        <x:v>Yes</x:v>
      </x:c>
      <x:c r="V14" s="44" t="str">
        <x:f>IF(AND(Architectures!D8=3,Architectures!I8&gt;=3,Architectures!K8=3,Architectures!L8="Yes"),"Yes","No")</x:f>
        <x:v>Yes</x:v>
      </x:c>
      <x:c r="W14" s="62" t="n">
        <x:f>COUNTIF(L14:Q14,"&gt;=0")+IF(R14&gt;=Assumptions!$B$14,1,0)+COUNTIF(S14:V14,"Yes")</x:f>
        <x:v>11</x:v>
      </x:c>
      <x:c r="X14" s="64" t="str">
        <x:f>IF(AND(MIN(L14:Q14)&gt;=0,R14&gt;=Assumptions!$B$14,COUNTIF(S14:V14,"Yes")=4),"READY","DENIED")</x:f>
        <x:v>READY</x:v>
      </x:c>
    </x:row>
    <x:row r="15">
      <x:c r="A15" s="44" t="str">
        <x:v>P4</x:v>
      </x:c>
      <x:c r="B15" s="44" t="str">
        <x:v>B</x:v>
      </x:c>
      <x:c r="C15" s="61" t="n">
        <x:f>Assumptions!G6</x:f>
        <x:v>1.775</x:v>
      </x:c>
      <x:c r="D15" s="61" t="n">
        <x:f>Assumptions!I6</x:f>
        <x:v>2.39625</x:v>
      </x:c>
      <x:c r="E15" s="61" t="n">
        <x:f>Architectures!C22</x:f>
        <x:v>3</x:v>
      </x:c>
      <x:c r="F15" s="61" t="n">
        <x:f>Architectures!E22</x:f>
        <x:v>1</x:v>
      </x:c>
      <x:c r="G15" s="61" t="n">
        <x:f>Architectures!F22</x:f>
        <x:v>1.5</x:v>
      </x:c>
      <x:c r="H15" s="61" t="n">
        <x:f>Architectures!G22</x:f>
        <x:v>6</x:v>
      </x:c>
      <x:c r="I15" s="61" t="n">
        <x:f>Assumptions!J6</x:f>
        <x:v>1.8</x:v>
      </x:c>
      <x:c r="J15" s="61" t="n">
        <x:f>Architectures!H22</x:f>
        <x:v>2.7</x:v>
      </x:c>
      <x:c r="K15" s="61" t="n">
        <x:f>Architectures!J22</x:f>
        <x:v>0.9</x:v>
      </x:c>
      <x:c r="L15" s="61" t="n">
        <x:f>E15-C15</x:f>
        <x:v>1.225</x:v>
      </x:c>
      <x:c r="M15" s="61" t="n">
        <x:f>E15+G15-D15</x:f>
        <x:v>2.10375</x:v>
      </x:c>
      <x:c r="N15" s="61" t="n">
        <x:f>E15*Assumptions!$B$11+H15/Assumptions!$B$12-C15</x:f>
        <x:v>0.7250000000000001</x:v>
      </x:c>
      <x:c r="O15" s="61" t="n">
        <x:f>MAX(0,E15-F15)+H15/Assumptions!$B$12-C15</x:f>
        <x:v>0.4750000000000001</x:v>
      </x:c>
      <x:c r="P15" s="61" t="n">
        <x:f>J15*Assumptions!$B$13-I15</x:f>
        <x:v>0.08999999999999986</x:v>
      </x:c>
      <x:c r="Q15" s="61" t="n">
        <x:f>J15-K15-I15</x:f>
        <x:v>2.220446049250313e-16</x:v>
      </x:c>
      <x:c r="R15" s="61" t="n">
        <x:f>Architectures!H8</x:f>
        <x:v>21</x:v>
      </x:c>
      <x:c r="S15" s="44" t="str">
        <x:f>Architectures!E8</x:f>
        <x:v>Yes</x:v>
      </x:c>
      <x:c r="T15" s="44" t="str">
        <x:f>Architectures!F8</x:f>
        <x:v>Yes</x:v>
      </x:c>
      <x:c r="U15" s="44" t="str">
        <x:f>Architectures!G8</x:f>
        <x:v>Yes</x:v>
      </x:c>
      <x:c r="V15" s="44" t="str">
        <x:f>IF(AND(Architectures!D8=3,Architectures!I8&gt;=3,Architectures!K8=3,Architectures!L8="Yes"),"Yes","No")</x:f>
        <x:v>Yes</x:v>
      </x:c>
      <x:c r="W15" s="62" t="n">
        <x:f>COUNTIF(L15:Q15,"&gt;=0")+IF(R15&gt;=Assumptions!$B$14,1,0)+COUNTIF(S15:V15,"Yes")</x:f>
        <x:v>11</x:v>
      </x:c>
      <x:c r="X15" s="64" t="str">
        <x:f>IF(AND(MIN(L15:Q15)&gt;=0,R15&gt;=Assumptions!$B$14,COUNTIF(S15:V15,"Yes")=4),"READY","DENIED")</x:f>
        <x:v>READY</x:v>
      </x:c>
    </x:row>
    <x:row r="16">
      <x:c r="A16" s="44" t="str">
        <x:v>P4</x:v>
      </x:c>
      <x:c r="B16" s="44" t="str">
        <x:v>R</x:v>
      </x:c>
      <x:c r="C16" s="61" t="n">
        <x:f>Assumptions!G7</x:f>
        <x:v>1.775</x:v>
      </x:c>
      <x:c r="D16" s="61" t="n">
        <x:f>Assumptions!I7</x:f>
        <x:v>2.39625</x:v>
      </x:c>
      <x:c r="E16" s="61" t="n">
        <x:f>Architectures!C23</x:f>
        <x:v>3</x:v>
      </x:c>
      <x:c r="F16" s="61" t="n">
        <x:f>Architectures!E23</x:f>
        <x:v>1</x:v>
      </x:c>
      <x:c r="G16" s="61" t="n">
        <x:f>Architectures!F23</x:f>
        <x:v>1.5</x:v>
      </x:c>
      <x:c r="H16" s="61" t="n">
        <x:f>Architectures!G23</x:f>
        <x:v>6</x:v>
      </x:c>
      <x:c r="I16" s="61" t="n">
        <x:f>Assumptions!J7</x:f>
        <x:v>1.8</x:v>
      </x:c>
      <x:c r="J16" s="61" t="n">
        <x:f>Architectures!H23</x:f>
        <x:v>2.7</x:v>
      </x:c>
      <x:c r="K16" s="61" t="n">
        <x:f>Architectures!J23</x:f>
        <x:v>0.9</x:v>
      </x:c>
      <x:c r="L16" s="61" t="n">
        <x:f>E16-C16</x:f>
        <x:v>1.225</x:v>
      </x:c>
      <x:c r="M16" s="61" t="n">
        <x:f>E16+G16-D16</x:f>
        <x:v>2.10375</x:v>
      </x:c>
      <x:c r="N16" s="61" t="n">
        <x:f>E16*Assumptions!$B$11+H16/Assumptions!$B$12-C16</x:f>
        <x:v>0.7250000000000001</x:v>
      </x:c>
      <x:c r="O16" s="61" t="n">
        <x:f>MAX(0,E16-F16)+H16/Assumptions!$B$12-C16</x:f>
        <x:v>0.4750000000000001</x:v>
      </x:c>
      <x:c r="P16" s="61" t="n">
        <x:f>J16*Assumptions!$B$13-I16</x:f>
        <x:v>0.08999999999999986</x:v>
      </x:c>
      <x:c r="Q16" s="61" t="n">
        <x:f>J16-K16-I16</x:f>
        <x:v>2.220446049250313e-16</x:v>
      </x:c>
      <x:c r="R16" s="61" t="n">
        <x:f>Architectures!H8</x:f>
        <x:v>21</x:v>
      </x:c>
      <x:c r="S16" s="44" t="str">
        <x:f>Architectures!E8</x:f>
        <x:v>Yes</x:v>
      </x:c>
      <x:c r="T16" s="44" t="str">
        <x:f>Architectures!F8</x:f>
        <x:v>Yes</x:v>
      </x:c>
      <x:c r="U16" s="44" t="str">
        <x:f>Architectures!G8</x:f>
        <x:v>Yes</x:v>
      </x:c>
      <x:c r="V16" s="44" t="str">
        <x:f>IF(AND(Architectures!D8=3,Architectures!I8&gt;=3,Architectures!K8=3,Architectures!L8="Yes"),"Yes","No")</x:f>
        <x:v>Yes</x:v>
      </x:c>
      <x:c r="W16" s="62" t="n">
        <x:f>COUNTIF(L16:Q16,"&gt;=0")+IF(R16&gt;=Assumptions!$B$14,1,0)+COUNTIF(S16:V16,"Yes")</x:f>
        <x:v>11</x:v>
      </x:c>
      <x:c r="X16" s="64" t="str">
        <x:f>IF(AND(MIN(L16:Q16)&gt;=0,R16&gt;=Assumptions!$B$14,COUNTIF(S16:V16,"Yes")=4),"READY","DENIED")</x:f>
        <x:v>READY</x:v>
      </x:c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</x:row>
    <x:row r="19">
      <x:c r="A19" s="8" t="str">
        <x:v>Architecture</x:v>
      </x:c>
      <x:c r="B19" s="8" t="str">
        <x:v>Ready cells</x:v>
      </x:c>
      <x:c r="C19" s="8" t="str">
        <x:v>Required</x:v>
      </x:c>
      <x:c r="D19" s="8" t="str">
        <x:v>Qualification</x:v>
      </x:c>
      <x:c r="E19" s="8" t="str">
        <x:v>Binding physical failures</x:v>
      </x:c>
      <x:c r="F19" s="8" t="str">
        <x:v>Judgment</x:v>
      </x:c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</x:row>
    <x:row r="20">
      <x:c r="A20" s="44" t="str">
        <x:v>P1</x:v>
      </x:c>
      <x:c r="B20" s="44" t="n">
        <x:f>COUNTIF(X5:X7,"READY")</x:f>
        <x:v>0</x:v>
      </x:c>
      <x:c r="C20" s="44" t="n">
        <x:v>3</x:v>
      </x:c>
      <x:c r="D20" s="44" t="str">
        <x:f>IF(B20=C20,"PASS","FAIL")</x:f>
        <x:v>FAIL</x:v>
      </x:c>
      <x:c r="E20" s="44" t="str">
        <x:v>Every cell is tied to common bus/start/thermal/fuel/control/depot domains.</x:v>
      </x:c>
      <x:c r="F20" s="44" t="str">
        <x:v>Oversizing creates capacity, not cellular resilience.</x:v>
      </x:c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</x:row>
    <x:row r="21">
      <x:c r="A21" s="44" t="str">
        <x:v>P2</x:v>
      </x:c>
      <x:c r="B21" s="44" t="n">
        <x:f>COUNTIF(X8:X10,"READY")</x:f>
        <x:v>0</x:v>
      </x:c>
      <x:c r="C21" s="44" t="n">
        <x:v>3</x:v>
      </x:c>
      <x:c r="D21" s="44" t="str">
        <x:f>IF(B21=C21,"PASS","FAIL")</x:f>
        <x:v>FAIL</x:v>
      </x:c>
      <x:c r="E21" s="44" t="str">
        <x:v>B/R miss peak, derated and module-loss power; all cells retain common runtime dependencies.</x:v>
      </x:c>
      <x:c r="F21" s="44" t="str">
        <x:v>Separate generators do not create independent utilities.</x:v>
      </x:c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</x:row>
    <x:row r="22">
      <x:c r="A22" s="44" t="str">
        <x:v>P3</x:v>
      </x:c>
      <x:c r="B22" s="44" t="n">
        <x:f>COUNTIF(X11:X13,"READY")</x:f>
        <x:v>0</x:v>
      </x:c>
      <x:c r="C22" s="44" t="n">
        <x:v>3</x:v>
      </x:c>
      <x:c r="D22" s="44" t="str">
        <x:f>IF(B22=C22,"PASS","FAIL")</x:f>
        <x:v>FAIL</x:v>
      </x:c>
      <x:c r="E22" s="44" t="str">
        <x:v>Generation-module loss, B/R high-ambient heat rejection, thermal-module loss and fuel denial remain open.</x:v>
      </x:c>
      <x:c r="F22" s="44" t="str">
        <x:v>Hybridization closes start and short derating but not campaign independence.</x:v>
      </x:c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</x:row>
    <x:row r="23">
      <x:c r="A23" s="44" t="str">
        <x:v>P4</x:v>
      </x:c>
      <x:c r="B23" s="44" t="n">
        <x:f>COUNTIF(X14:X16,"READY")</x:f>
        <x:v>3</x:v>
      </x:c>
      <x:c r="C23" s="44" t="n">
        <x:v>3</x:v>
      </x:c>
      <x:c r="D23" s="44" t="str">
        <x:f>IF(B23=C23,"PASS","FAIL")</x:f>
        <x:v>PASS</x:v>
      </x:c>
      <x:c r="E23" s="44" t="str">
        <x:v>None in the declared deterministic screen.</x:v>
      </x:c>
      <x:c r="F23" s="44" t="str">
        <x:v>Only P4 reaches the representative-test gate; it is not admitted.</x:v>
      </x:c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</x:row>
  </x:sheetData>
  <x:mergeCells>
    <x:mergeCell ref="A1:X1"/>
    <x:mergeCell ref="A2:X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4" hidden="0" customWidth="1"/>
    <x:col min="3" max="3" width="12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7" customHeight="1">
      <x:c r="A1" s="51" t="str">
        <x:v>Formation-level service worlds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 ht="27" customHeight="1">
      <x:c r="A2" s="53" t="str">
        <x:v>Sixteen service-bearing worlds and one lawful universal stop distinguish aggregate service survival from cell qualification.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</x:row>
    <x:row r="4">
      <x:c r="A4" s="8" t="str">
        <x:v>World</x:v>
      </x:c>
      <x:c r="B4" s="8" t="str">
        <x:v>Challenge</x:v>
      </x:c>
      <x:c r="C4" s="8" t="str">
        <x:v>Horizon</x:v>
      </x:c>
      <x:c r="D4" s="8" t="str">
        <x:v>Required behavior</x:v>
      </x:c>
      <x:c r="E4" s="8" t="str">
        <x:v>P1 delivered m³/day</x:v>
      </x:c>
      <x:c r="F4" s="8" t="str">
        <x:v>P1</x:v>
      </x:c>
      <x:c r="G4" s="8" t="str">
        <x:v>P2 delivered m³/day</x:v>
      </x:c>
      <x:c r="H4" s="8" t="str">
        <x:v>P2</x:v>
      </x:c>
      <x:c r="I4" s="8" t="str">
        <x:v>P3 delivered m³/day</x:v>
      </x:c>
      <x:c r="J4" s="8" t="str">
        <x:v>P3</x:v>
      </x:c>
      <x:c r="K4" s="8" t="str">
        <x:v>P4 delivered m³/day</x:v>
      </x:c>
      <x:c r="L4" s="8" t="str">
        <x:v>P4</x:v>
      </x:c>
    </x:row>
    <x:row r="5">
      <x:c r="A5" s="44" t="str">
        <x:v>W00</x:v>
      </x:c>
      <x:c r="B5" s="44" t="str">
        <x:v>Normal primary pair</x:v>
      </x:c>
      <x:c r="C5" s="44" t="str">
        <x:v>steady</x:v>
      </x:c>
      <x:c r="D5" s="44" t="str">
        <x:v>10,000 service</x:v>
      </x:c>
      <x:c r="E5" s="47" t="n">
        <x:f>10000</x:f>
        <x:v>10000</x:v>
      </x:c>
      <x:c r="F5" s="44" t="str">
        <x:f>IF(E5&gt;=10000,"PASS","FAIL")</x:f>
        <x:v>PASS</x:v>
      </x:c>
      <x:c r="G5" s="47" t="n">
        <x:f>10000</x:f>
        <x:v>10000</x:v>
      </x:c>
      <x:c r="H5" s="44" t="str">
        <x:f>IF(G5&gt;=10000,"PASS","FAIL")</x:f>
        <x:v>PASS</x:v>
      </x:c>
      <x:c r="I5" s="47" t="n">
        <x:f>10000</x:f>
        <x:v>10000</x:v>
      </x:c>
      <x:c r="J5" s="44" t="str">
        <x:f>IF(I5&gt;=10000,"PASS","FAIL")</x:f>
        <x:v>PASS</x:v>
      </x:c>
      <x:c r="K5" s="47" t="n">
        <x:f>10000</x:f>
        <x:v>10000</x:v>
      </x:c>
      <x:c r="L5" s="44" t="str">
        <x:f>IF(K5&gt;=10000,"PASS","FAIL")</x:f>
        <x:v>PASS</x:v>
      </x:c>
    </x:row>
    <x:row r="6">
      <x:c r="A6" s="44" t="str">
        <x:v>W01</x:v>
      </x:c>
      <x:c r="B6" s="44" t="str">
        <x:v>External grid absent</x:v>
      </x:c>
      <x:c r="C6" s="44" t="str">
        <x:v>steady</x:v>
      </x:c>
      <x:c r="D6" s="44" t="str">
        <x:v>10,000 service</x:v>
      </x:c>
      <x:c r="E6" s="47" t="n">
        <x:f>10000</x:f>
        <x:v>10000</x:v>
      </x:c>
      <x:c r="F6" s="44" t="str">
        <x:f>IF(E6&gt;=10000,"PASS","FAIL")</x:f>
        <x:v>PASS</x:v>
      </x:c>
      <x:c r="G6" s="47" t="n">
        <x:f>10000</x:f>
        <x:v>10000</x:v>
      </x:c>
      <x:c r="H6" s="44" t="str">
        <x:f>IF(G6&gt;=10000,"PASS","FAIL")</x:f>
        <x:v>PASS</x:v>
      </x:c>
      <x:c r="I6" s="47" t="n">
        <x:f>10000</x:f>
        <x:v>10000</x:v>
      </x:c>
      <x:c r="J6" s="44" t="str">
        <x:f>IF(I6&gt;=10000,"PASS","FAIL")</x:f>
        <x:v>PASS</x:v>
      </x:c>
      <x:c r="K6" s="47" t="n">
        <x:f>10000</x:f>
        <x:v>10000</x:v>
      </x:c>
      <x:c r="L6" s="44" t="str">
        <x:f>IF(K6&gt;=10000,"PASS","FAIL")</x:f>
        <x:v>PASS</x:v>
      </x:c>
    </x:row>
    <x:row r="7">
      <x:c r="A7" s="44" t="str">
        <x:v>W02</x:v>
      </x:c>
      <x:c r="B7" s="44" t="str">
        <x:v>Dispatchable output derated 25%</x:v>
      </x:c>
      <x:c r="C7" s="44" t="str">
        <x:v>24 h</x:v>
      </x:c>
      <x:c r="D7" s="44" t="str">
        <x:v>10,000 service</x:v>
      </x:c>
      <x:c r="E7" s="47" t="n">
        <x:f>MIN(10000,10000*(6*Assumptions!$B$11/(Assumptions!$G$5+Assumptions!$G$6)))</x:f>
        <x:v>10000</x:v>
      </x:c>
      <x:c r="F7" s="44" t="str">
        <x:f>IF(E7&gt;=10000,"PASS","FAIL")</x:f>
        <x:v>PASS</x:v>
      </x:c>
      <x:c r="G7" s="47" t="n">
        <x:f>5000*MIN(1,(1.2*Assumptions!$B$11+0.25/Assumptions!$B$12)/Assumptions!$G$5)+5000*MIN(1,(2*Assumptions!$B$11+0.25/Assumptions!$B$12)/Assumptions!$G$6)</x:f>
        <x:v>9254.694835680752</x:v>
      </x:c>
      <x:c r="H7" s="44" t="str">
        <x:f>IF(G7&gt;=10000,"PASS","FAIL")</x:f>
        <x:v>FAIL</x:v>
      </x:c>
      <x:c r="I7" s="47" t="n">
        <x:f>5000*MIN(1,(1.2*Assumptions!$B$11+2/Assumptions!$B$12)/Assumptions!$G$5)+5000*MIN(1,(2.2*Assumptions!$B$11+4/Assumptions!$B$12)/Assumptions!$G$6)</x:f>
        <x:v>10000</x:v>
      </x:c>
      <x:c r="J7" s="44" t="str">
        <x:f>IF(I7&gt;=10000,"PASS","FAIL")</x:f>
        <x:v>PASS</x:v>
      </x:c>
      <x:c r="K7" s="47" t="n">
        <x:f>5000*MIN(1,(1.65*Assumptions!$B$11+2/Assumptions!$B$12)/Assumptions!$G$5)+5000*MIN(1,(3*Assumptions!$B$11+6/Assumptions!$B$12)/Assumptions!$G$6)</x:f>
        <x:v>10000</x:v>
      </x:c>
      <x:c r="L7" s="44" t="str">
        <x:f>IF(K7&gt;=10000,"PASS","FAIL")</x:f>
        <x:v>PASS</x:v>
      </x:c>
    </x:row>
    <x:row r="8">
      <x:c r="A8" s="44" t="str">
        <x:v>W03</x:v>
      </x:c>
      <x:c r="B8" s="44" t="str">
        <x:v>Largest B generation module lost</x:v>
      </x:c>
      <x:c r="C8" s="44" t="str">
        <x:v>24 h</x:v>
      </x:c>
      <x:c r="D8" s="44" t="str">
        <x:v>≥5,000 service</x:v>
      </x:c>
      <x:c r="E8" s="47" t="n">
        <x:f>MIN(10000,10000*((6-3)/(Assumptions!$G$5+Assumptions!$G$6)))</x:f>
        <x:v>10000</x:v>
      </x:c>
      <x:c r="F8" s="44" t="str">
        <x:f>IF(E8&gt;=5000,"PASS","FAIL")</x:f>
        <x:v>PASS</x:v>
      </x:c>
      <x:c r="G8" s="47" t="n">
        <x:f>5000+5000*MIN(1,(0.25/Assumptions!$B$12)/Assumptions!$G$6)</x:f>
        <x:v>5029.342723004695</x:v>
      </x:c>
      <x:c r="H8" s="44" t="str">
        <x:f>IF(G8&gt;=5000,"PASS","FAIL")</x:f>
        <x:v>PASS</x:v>
      </x:c>
      <x:c r="I8" s="47" t="n">
        <x:f>5000+5000*MIN(1,(2.2-1.1+4/Assumptions!$B$12)/Assumptions!$G$6)</x:f>
        <x:v>8568.075117370892</x:v>
      </x:c>
      <x:c r="J8" s="44" t="str">
        <x:f>IF(I8&gt;=5000,"PASS","FAIL")</x:f>
        <x:v>PASS</x:v>
      </x:c>
      <x:c r="K8" s="47" t="n">
        <x:f>5000+5000*MIN(1,(3-1+6/Assumptions!$B$12)/Assumptions!$G$6)</x:f>
        <x:v>10000</x:v>
      </x:c>
      <x:c r="L8" s="44" t="str">
        <x:f>IF(K8&gt;=5000,"PASS","FAIL")</x:f>
        <x:v>PASS</x:v>
      </x:c>
    </x:row>
    <x:row r="9">
      <x:c r="A9" s="44" t="str">
        <x:v>W04</x:v>
      </x:c>
      <x:c r="B9" s="44" t="str">
        <x:v>Common black-start chain unavailable</x:v>
      </x:c>
      <x:c r="C9" s="44" t="str">
        <x:v>start</x:v>
      </x:c>
      <x:c r="D9" s="44" t="str">
        <x:v>≥5,000 service</x:v>
      </x:c>
      <x:c r="E9" s="47" t="n">
        <x:f>0</x:f>
        <x:v>0</x:v>
      </x:c>
      <x:c r="F9" s="44" t="str">
        <x:f>IF(E9&gt;=5000,"PASS","FAIL")</x:f>
        <x:v>FAIL</x:v>
      </x:c>
      <x:c r="G9" s="47" t="n">
        <x:f>0</x:f>
        <x:v>0</x:v>
      </x:c>
      <x:c r="H9" s="44" t="str">
        <x:f>IF(G9&gt;=5000,"PASS","FAIL")</x:f>
        <x:v>FAIL</x:v>
      </x:c>
      <x:c r="I9" s="47" t="n">
        <x:f>10000</x:f>
        <x:v>10000</x:v>
      </x:c>
      <x:c r="J9" s="44" t="str">
        <x:f>IF(I9&gt;=5000,"PASS","FAIL")</x:f>
        <x:v>PASS</x:v>
      </x:c>
      <x:c r="K9" s="47" t="n">
        <x:f>10000</x:f>
        <x:v>10000</x:v>
      </x:c>
      <x:c r="L9" s="44" t="str">
        <x:f>IF(K9&gt;=5000,"PASS","FAIL")</x:f>
        <x:v>PASS</x:v>
      </x:c>
    </x:row>
    <x:row r="10">
      <x:c r="A10" s="44" t="str">
        <x:v>W05</x:v>
      </x:c>
      <x:c r="B10" s="44" t="str">
        <x:v>Fuel-delivery corridor denied</x:v>
      </x:c>
      <x:c r="C10" s="44" t="str">
        <x:v>14 d</x:v>
      </x:c>
      <x:c r="D10" s="44" t="str">
        <x:v>≥5,000 service</x:v>
      </x:c>
      <x:c r="E10" s="47" t="n">
        <x:f>IF(Architectures!H5&gt;=Assumptions!$B$14,10000,0)</x:f>
        <x:v>0</x:v>
      </x:c>
      <x:c r="F10" s="44" t="str">
        <x:f>IF(E10&gt;=5000,"PASS","FAIL")</x:f>
        <x:v>FAIL</x:v>
      </x:c>
      <x:c r="G10" s="47" t="n">
        <x:f>IF(Architectures!H6&gt;=Assumptions!$B$14,10000,0)</x:f>
        <x:v>0</x:v>
      </x:c>
      <x:c r="H10" s="44" t="str">
        <x:f>IF(G10&gt;=5000,"PASS","FAIL")</x:f>
        <x:v>FAIL</x:v>
      </x:c>
      <x:c r="I10" s="47" t="n">
        <x:f>IF(Architectures!H7&gt;=Assumptions!$B$14,10000,0)</x:f>
        <x:v>0</x:v>
      </x:c>
      <x:c r="J10" s="44" t="str">
        <x:f>IF(I10&gt;=5000,"PASS","FAIL")</x:f>
        <x:v>FAIL</x:v>
      </x:c>
      <x:c r="K10" s="47" t="n">
        <x:f>IF(Architectures!H8&gt;=Assumptions!$B$14,10000,0)</x:f>
        <x:v>10000</x:v>
      </x:c>
      <x:c r="L10" s="44" t="str">
        <x:f>IF(K10&gt;=5000,"PASS","FAIL")</x:f>
        <x:v>PASS</x:v>
      </x:c>
    </x:row>
    <x:row r="11">
      <x:c r="A11" s="44" t="str">
        <x:v>W06</x:v>
      </x:c>
      <x:c r="B11" s="44" t="str">
        <x:v>One energy lineage contaminated</x:v>
      </x:c>
      <x:c r="C11" s="44" t="str">
        <x:v>14 d</x:v>
      </x:c>
      <x:c r="D11" s="44" t="str">
        <x:v>≥5,000 service</x:v>
      </x:c>
      <x:c r="E11" s="47" t="n">
        <x:f>IF(Architectures!I5&gt;=2,10000,0)</x:f>
        <x:v>0</x:v>
      </x:c>
      <x:c r="F11" s="44" t="str">
        <x:f>IF(E11&gt;=5000,"PASS","FAIL")</x:f>
        <x:v>FAIL</x:v>
      </x:c>
      <x:c r="G11" s="47" t="n">
        <x:f>IF(Architectures!I6&gt;=2,10000,0)</x:f>
        <x:v>0</x:v>
      </x:c>
      <x:c r="H11" s="44" t="str">
        <x:f>IF(G11&gt;=5000,"PASS","FAIL")</x:f>
        <x:v>FAIL</x:v>
      </x:c>
      <x:c r="I11" s="47" t="n">
        <x:f>IF(Architectures!I7&gt;=2,10000,0)</x:f>
        <x:v>0</x:v>
      </x:c>
      <x:c r="J11" s="44" t="str">
        <x:f>IF(I11&gt;=5000,"PASS","FAIL")</x:f>
        <x:v>FAIL</x:v>
      </x:c>
      <x:c r="K11" s="47" t="n">
        <x:f>IF(Architectures!I8&gt;=2,10000,0)</x:f>
        <x:v>10000</x:v>
      </x:c>
      <x:c r="L11" s="44" t="str">
        <x:f>IF(K11&gt;=5000,"PASS","FAIL")</x:f>
        <x:v>PASS</x:v>
      </x:c>
    </x:row>
    <x:row r="12">
      <x:c r="A12" s="44" t="str">
        <x:v>W07</x:v>
      </x:c>
      <x:c r="B12" s="44" t="str">
        <x:v>Heat-rejection output derated 30%</x:v>
      </x:c>
      <x:c r="C12" s="44" t="str">
        <x:v>24 h</x:v>
      </x:c>
      <x:c r="D12" s="44" t="str">
        <x:v>10,000 service</x:v>
      </x:c>
      <x:c r="E12" s="47" t="n">
        <x:f>10000</x:f>
        <x:v>10000</x:v>
      </x:c>
      <x:c r="F12" s="44" t="str">
        <x:f>IF(E12&gt;=10000,"PASS","FAIL")</x:f>
        <x:v>PASS</x:v>
      </x:c>
      <x:c r="G12" s="47" t="n">
        <x:f>10000</x:f>
        <x:v>10000</x:v>
      </x:c>
      <x:c r="H12" s="44" t="str">
        <x:f>IF(G12&gt;=10000,"PASS","FAIL")</x:f>
        <x:v>PASS</x:v>
      </x:c>
      <x:c r="I12" s="47" t="n">
        <x:f>5000*MIN(1,(0.65*Assumptions!$B$13)/Assumptions!$J$5)+5000*MIN(1,(2.5*Assumptions!$B$13)/Assumptions!$J$6)</x:f>
        <x:v>9861.111111111111</x:v>
      </x:c>
      <x:c r="J12" s="44" t="str">
        <x:f>IF(I12&gt;=10000,"PASS","FAIL")</x:f>
        <x:v>FAIL</x:v>
      </x:c>
      <x:c r="K12" s="47" t="n">
        <x:f>5000*MIN(1,(0.75*Assumptions!$B$13)/Assumptions!$J$5)+5000*MIN(1,(2.7*Assumptions!$B$13)/Assumptions!$J$6)</x:f>
        <x:v>10000</x:v>
      </x:c>
      <x:c r="L12" s="44" t="str">
        <x:f>IF(K12&gt;=10000,"PASS","FAIL")</x:f>
        <x:v>PASS</x:v>
      </x:c>
    </x:row>
    <x:row r="13">
      <x:c r="A13" s="44" t="str">
        <x:v>W08</x:v>
      </x:c>
      <x:c r="B13" s="44" t="str">
        <x:v>Largest B heat-rejection module lost</x:v>
      </x:c>
      <x:c r="C13" s="44" t="str">
        <x:v>24 h</x:v>
      </x:c>
      <x:c r="D13" s="44" t="str">
        <x:v>≥5,000 service</x:v>
      </x:c>
      <x:c r="E13" s="47" t="n">
        <x:f>MIN(10000,10000*((6-3)/(Assumptions!$J$5+Assumptions!$J$6)))</x:f>
        <x:v>10000</x:v>
      </x:c>
      <x:c r="F13" s="44" t="str">
        <x:f>IF(E13&gt;=5000,"PASS","FAIL")</x:f>
        <x:v>PASS</x:v>
      </x:c>
      <x:c r="G13" s="47" t="n">
        <x:f>5000</x:f>
        <x:v>5000</x:v>
      </x:c>
      <x:c r="H13" s="44" t="str">
        <x:f>IF(G13&gt;=5000,"PASS","FAIL")</x:f>
        <x:v>PASS</x:v>
      </x:c>
      <x:c r="I13" s="47" t="n">
        <x:f>5000+5000*MIN(1,(2.5-1.25)/Assumptions!$J$6)</x:f>
        <x:v>8472.222222222223</x:v>
      </x:c>
      <x:c r="J13" s="44" t="str">
        <x:f>IF(I13&gt;=5000,"PASS","FAIL")</x:f>
        <x:v>PASS</x:v>
      </x:c>
      <x:c r="K13" s="47" t="n">
        <x:f>5000+5000*MIN(1,(2.7-0.9)/Assumptions!$J$6)</x:f>
        <x:v>10000</x:v>
      </x:c>
      <x:c r="L13" s="44" t="str">
        <x:f>IF(K13&gt;=5000,"PASS","FAIL")</x:f>
        <x:v>PASS</x:v>
      </x:c>
    </x:row>
    <x:row r="14">
      <x:c r="A14" s="44" t="str">
        <x:v>W09</x:v>
      </x:c>
      <x:c r="B14" s="44" t="str">
        <x:v>One bus arc/fault zone isolated</x:v>
      </x:c>
      <x:c r="C14" s="44" t="str">
        <x:v>24 h</x:v>
      </x:c>
      <x:c r="D14" s="44" t="str">
        <x:v>≥5,000 service</x:v>
      </x:c>
      <x:c r="E14" s="47" t="n">
        <x:f>0</x:f>
        <x:v>0</x:v>
      </x:c>
      <x:c r="F14" s="44" t="str">
        <x:f>IF(E14&gt;=5000,"PASS","FAIL")</x:f>
        <x:v>FAIL</x:v>
      </x:c>
      <x:c r="G14" s="47" t="n">
        <x:f>5000</x:f>
        <x:v>5000</x:v>
      </x:c>
      <x:c r="H14" s="44" t="str">
        <x:f>IF(G14&gt;=5000,"PASS","FAIL")</x:f>
        <x:v>PASS</x:v>
      </x:c>
      <x:c r="I14" s="47" t="n">
        <x:f>5000</x:f>
        <x:v>5000</x:v>
      </x:c>
      <x:c r="J14" s="44" t="str">
        <x:f>IF(I14&gt;=5000,"PASS","FAIL")</x:f>
        <x:v>PASS</x:v>
      </x:c>
      <x:c r="K14" s="47" t="n">
        <x:f>5000</x:f>
        <x:v>5000</x:v>
      </x:c>
      <x:c r="L14" s="44" t="str">
        <x:f>IF(K14&gt;=5000,"PASS","FAIL")</x:f>
        <x:v>PASS</x:v>
      </x:c>
    </x:row>
    <x:row r="15">
      <x:c r="A15" s="44" t="str">
        <x:v>W10</x:v>
      </x:c>
      <x:c r="B15" s="44" t="str">
        <x:v>Wide-area control and identity denied</x:v>
      </x:c>
      <x:c r="C15" s="44" t="str">
        <x:v>72 h</x:v>
      </x:c>
      <x:c r="D15" s="44" t="str">
        <x:v>≥5,000 service</x:v>
      </x:c>
      <x:c r="E15" s="47" t="n">
        <x:f>0</x:f>
        <x:v>0</x:v>
      </x:c>
      <x:c r="F15" s="44" t="str">
        <x:f>IF(E15&gt;=5000,"PASS","FAIL")</x:f>
        <x:v>FAIL</x:v>
      </x:c>
      <x:c r="G15" s="47" t="n">
        <x:f>0</x:f>
        <x:v>0</x:v>
      </x:c>
      <x:c r="H15" s="44" t="str">
        <x:f>IF(G15&gt;=5000,"PASS","FAIL")</x:f>
        <x:v>FAIL</x:v>
      </x:c>
      <x:c r="I15" s="47" t="n">
        <x:f>10000</x:f>
        <x:v>10000</x:v>
      </x:c>
      <x:c r="J15" s="44" t="str">
        <x:f>IF(I15&gt;=5000,"PASS","FAIL")</x:f>
        <x:v>PASS</x:v>
      </x:c>
      <x:c r="K15" s="47" t="n">
        <x:f>10000</x:f>
        <x:v>10000</x:v>
      </x:c>
      <x:c r="L15" s="44" t="str">
        <x:f>IF(K15&gt;=5000,"PASS","FAIL")</x:f>
        <x:v>PASS</x:v>
      </x:c>
    </x:row>
    <x:row r="16">
      <x:c r="A16" s="44" t="str">
        <x:v>W11</x:v>
      </x:c>
      <x:c r="B16" s="44" t="str">
        <x:v>Common reset depot unavailable for second mission</x:v>
      </x:c>
      <x:c r="C16" s="44" t="str">
        <x:v>mission 2</x:v>
      </x:c>
      <x:c r="D16" s="44" t="str">
        <x:v>≥5,000 service</x:v>
      </x:c>
      <x:c r="E16" s="47" t="n">
        <x:f>0</x:f>
        <x:v>0</x:v>
      </x:c>
      <x:c r="F16" s="44" t="str">
        <x:f>IF(E16&gt;=5000,"PASS","FAIL")</x:f>
        <x:v>FAIL</x:v>
      </x:c>
      <x:c r="G16" s="47" t="n">
        <x:f>0</x:f>
        <x:v>0</x:v>
      </x:c>
      <x:c r="H16" s="44" t="str">
        <x:f>IF(G16&gt;=5000,"PASS","FAIL")</x:f>
        <x:v>FAIL</x:v>
      </x:c>
      <x:c r="I16" s="47" t="n">
        <x:f>0</x:f>
        <x:v>0</x:v>
      </x:c>
      <x:c r="J16" s="44" t="str">
        <x:f>IF(I16&gt;=5000,"PASS","FAIL")</x:f>
        <x:v>FAIL</x:v>
      </x:c>
      <x:c r="K16" s="47" t="n">
        <x:f>5000</x:f>
        <x:v>5000</x:v>
      </x:c>
      <x:c r="L16" s="44" t="str">
        <x:f>IF(K16&gt;=5000,"PASS","FAIL")</x:f>
        <x:v>PASS</x:v>
      </x:c>
    </x:row>
    <x:row r="17">
      <x:c r="A17" s="44" t="str">
        <x:v>W12</x:v>
      </x:c>
      <x:c r="B17" s="44" t="str">
        <x:v>Energized cross-tie fault</x:v>
      </x:c>
      <x:c r="C17" s="44" t="str">
        <x:v>instant</x:v>
      </x:c>
      <x:c r="D17" s="44" t="str">
        <x:v>≥5,000 service</x:v>
      </x:c>
      <x:c r="E17" s="47" t="n">
        <x:f>0</x:f>
        <x:v>0</x:v>
      </x:c>
      <x:c r="F17" s="44" t="str">
        <x:f>IF(E17&gt;=5000,"PASS","FAIL")</x:f>
        <x:v>FAIL</x:v>
      </x:c>
      <x:c r="G17" s="47" t="n">
        <x:f>10000</x:f>
        <x:v>10000</x:v>
      </x:c>
      <x:c r="H17" s="44" t="str">
        <x:f>IF(G17&gt;=5000,"PASS","FAIL")</x:f>
        <x:v>PASS</x:v>
      </x:c>
      <x:c r="I17" s="47" t="n">
        <x:f>10000</x:f>
        <x:v>10000</x:v>
      </x:c>
      <x:c r="J17" s="44" t="str">
        <x:f>IF(I17&gt;=5000,"PASS","FAIL")</x:f>
        <x:v>PASS</x:v>
      </x:c>
      <x:c r="K17" s="47" t="n">
        <x:f>10000</x:f>
        <x:v>10000</x:v>
      </x:c>
      <x:c r="L17" s="44" t="str">
        <x:f>IF(K17&gt;=5000,"PASS","FAIL")</x:f>
        <x:v>PASS</x:v>
      </x:c>
    </x:row>
    <x:row r="18">
      <x:c r="A18" s="44" t="str">
        <x:v>W13</x:v>
      </x:c>
      <x:c r="B18" s="44" t="str">
        <x:v>Second theater while A+B committed</x:v>
      </x:c>
      <x:c r="C18" s="44" t="str">
        <x:v>14 d</x:v>
      </x:c>
      <x:c r="D18" s="44" t="str">
        <x:v>5,000 service elsewhere</x:v>
      </x:c>
      <x:c r="E18" s="47" t="n">
        <x:f>0</x:f>
        <x:v>0</x:v>
      </x:c>
      <x:c r="F18" s="44" t="str">
        <x:f>IF(E18&gt;=5000,"PASS","FAIL")</x:f>
        <x:v>FAIL</x:v>
      </x:c>
      <x:c r="G18" s="47" t="n">
        <x:f>5000*MIN(1,2/Assumptions!$G$7)</x:f>
        <x:v>5000</x:v>
      </x:c>
      <x:c r="H18" s="44" t="str">
        <x:f>IF(G18&gt;=5000,"PASS","FAIL")</x:f>
        <x:v>PASS</x:v>
      </x:c>
      <x:c r="I18" s="47" t="n">
        <x:f>5000*MIN(1,2.2/Assumptions!$G$7)</x:f>
        <x:v>5000</x:v>
      </x:c>
      <x:c r="J18" s="44" t="str">
        <x:f>IF(I18&gt;=5000,"PASS","FAIL")</x:f>
        <x:v>PASS</x:v>
      </x:c>
      <x:c r="K18" s="47" t="n">
        <x:f>5000*MIN(1,3/Assumptions!$G$7)</x:f>
        <x:v>5000</x:v>
      </x:c>
      <x:c r="L18" s="44" t="str">
        <x:f>IF(K18&gt;=5000,"PASS","FAIL")</x:f>
        <x:v>PASS</x:v>
      </x:c>
    </x:row>
    <x:row r="19">
      <x:c r="A19" s="44" t="str">
        <x:v>W14</x:v>
      </x:c>
      <x:c r="B19" s="44" t="str">
        <x:v>A generation loss + B thermal loss</x:v>
      </x:c>
      <x:c r="C19" s="44" t="str">
        <x:v>24 h</x:v>
      </x:c>
      <x:c r="D19" s="44" t="str">
        <x:v>reserve ≥5,000</x:v>
      </x:c>
      <x:c r="E19" s="47" t="n">
        <x:f>0</x:f>
        <x:v>0</x:v>
      </x:c>
      <x:c r="F19" s="44" t="str">
        <x:f>IF(E19&gt;=5000,"PASS","FAIL")</x:f>
        <x:v>FAIL</x:v>
      </x:c>
      <x:c r="G19" s="47" t="n">
        <x:f>5000*MIN(1,2/Assumptions!$G$7)</x:f>
        <x:v>5000</x:v>
      </x:c>
      <x:c r="H19" s="44" t="str">
        <x:f>IF(G19&gt;=5000,"PASS","FAIL")</x:f>
        <x:v>PASS</x:v>
      </x:c>
      <x:c r="I19" s="47" t="n">
        <x:f>5000*MIN(1,2.2/Assumptions!$G$7)</x:f>
        <x:v>5000</x:v>
      </x:c>
      <x:c r="J19" s="44" t="str">
        <x:f>IF(I19&gt;=5000,"PASS","FAIL")</x:f>
        <x:v>PASS</x:v>
      </x:c>
      <x:c r="K19" s="47" t="n">
        <x:f>5000*MIN(1,3/Assumptions!$G$7)</x:f>
        <x:v>5000</x:v>
      </x:c>
      <x:c r="L19" s="44" t="str">
        <x:f>IF(K19&gt;=5000,"PASS","FAIL")</x:f>
        <x:v>PASS</x:v>
      </x:c>
    </x:row>
    <x:row r="20">
      <x:c r="A20" s="44" t="str">
        <x:v>W15</x:v>
      </x:c>
      <x:c r="B20" s="44" t="str">
        <x:v>Cold start: power 80%, storage energy 60%</x:v>
      </x:c>
      <x:c r="C20" s="44" t="str">
        <x:v>24 h</x:v>
      </x:c>
      <x:c r="D20" s="44" t="str">
        <x:v>≥5,000 service</x:v>
      </x:c>
      <x:c r="E20" s="47" t="n">
        <x:f>MIN(10000,10000*(6*Assumptions!$B$15/(Assumptions!$G$5+Assumptions!$G$6)))</x:f>
        <x:v>10000</x:v>
      </x:c>
      <x:c r="F20" s="44" t="str">
        <x:f>IF(E20&gt;=5000,"PASS","FAIL")</x:f>
        <x:v>PASS</x:v>
      </x:c>
      <x:c r="G20" s="47" t="n">
        <x:f>5000*MIN(1,(1.2*Assumptions!$B$15+0.25*Assumptions!$B$16/Assumptions!$B$12)/Assumptions!$G$5)+5000*MIN(1,(2*Assumptions!$B$15+0.25*Assumptions!$B$16/Assumptions!$B$12)/Assumptions!$G$6)</x:f>
        <x:v>9524.647887323943</x:v>
      </x:c>
      <x:c r="H20" s="44" t="str">
        <x:f>IF(G20&gt;=5000,"PASS","FAIL")</x:f>
        <x:v>PASS</x:v>
      </x:c>
      <x:c r="I20" s="47" t="n">
        <x:f>5000*MIN(1,(1.2*Assumptions!$B$15+2*Assumptions!$B$16/Assumptions!$B$12)/Assumptions!$G$5)+5000*MIN(1,(2.2*Assumptions!$B$15+4*Assumptions!$B$16/Assumptions!$B$12)/Assumptions!$G$6)</x:f>
        <x:v>10000</x:v>
      </x:c>
      <x:c r="J20" s="44" t="str">
        <x:f>IF(I20&gt;=5000,"PASS","FAIL")</x:f>
        <x:v>PASS</x:v>
      </x:c>
      <x:c r="K20" s="47" t="n">
        <x:f>5000*MIN(1,(1.65*Assumptions!$B$15+2*Assumptions!$B$16/Assumptions!$B$12)/Assumptions!$G$5)+5000*MIN(1,(3*Assumptions!$B$15+6*Assumptions!$B$16/Assumptions!$B$12)/Assumptions!$G$6)</x:f>
        <x:v>10000</x:v>
      </x:c>
      <x:c r="L20" s="44" t="str">
        <x:f>IF(K20&gt;=5000,"PASS","FAIL")</x:f>
        <x:v>PASS</x:v>
      </x:c>
    </x:row>
    <x:row r="21">
      <x:c r="A21" s="44" t="str">
        <x:v>W16</x:v>
      </x:c>
      <x:c r="B21" s="44" t="str">
        <x:v>Universal water-quality hold</x:v>
      </x:c>
      <x:c r="C21" s="44" t="str">
        <x:v>instant</x:v>
      </x:c>
      <x:c r="D21" s="44" t="str">
        <x:v>0 issue / safe stop</x:v>
      </x:c>
      <x:c r="E21" s="47" t="n">
        <x:f>0</x:f>
        <x:v>0</x:v>
      </x:c>
      <x:c r="F21" s="44" t="str">
        <x:f>IF(E21=0,"PASS","FAIL")</x:f>
        <x:v>PASS</x:v>
      </x:c>
      <x:c r="G21" s="47" t="n">
        <x:f>0</x:f>
        <x:v>0</x:v>
      </x:c>
      <x:c r="H21" s="44" t="str">
        <x:f>IF(G21=0,"PASS","FAIL")</x:f>
        <x:v>PASS</x:v>
      </x:c>
      <x:c r="I21" s="47" t="n">
        <x:f>0</x:f>
        <x:v>0</x:v>
      </x:c>
      <x:c r="J21" s="44" t="str">
        <x:f>IF(I21=0,"PASS","FAIL")</x:f>
        <x:v>PASS</x:v>
      </x:c>
      <x:c r="K21" s="47" t="n">
        <x:f>0</x:f>
        <x:v>0</x:v>
      </x:c>
      <x:c r="L21" s="44" t="str">
        <x:f>IF(K21=0,"PASS","FAIL")</x:f>
        <x:v>PASS</x:v>
      </x:c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</x:row>
    <x:row r="24">
      <x:c r="A24" s="8" t="str">
        <x:v>Architecture</x:v>
      </x:c>
      <x:c r="B24" s="8" t="str">
        <x:v>Service worlds passed</x:v>
      </x:c>
      <x:c r="C24" s="8" t="str">
        <x:v>Service worlds</x:v>
      </x:c>
      <x:c r="D24" s="8" t="str">
        <x:v>Correct behaviors</x:v>
      </x:c>
      <x:c r="E24" s="8" t="str">
        <x:v>All worlds</x:v>
      </x:c>
      <x:c r="F24" s="8" t="str">
        <x:v>Formation screen</x:v>
      </x:c>
      <x:c r="G24" s="52"/>
      <x:c r="H24" s="52"/>
      <x:c r="I24" s="52"/>
      <x:c r="J24" s="52"/>
      <x:c r="K24" s="52"/>
      <x:c r="L24" s="52"/>
    </x:row>
    <x:row r="25">
      <x:c r="A25" s="44" t="str">
        <x:v>P1</x:v>
      </x:c>
      <x:c r="B25" s="44" t="n">
        <x:f>COUNTIF(F5:F20,"PASS")</x:f>
        <x:v>7</x:v>
      </x:c>
      <x:c r="C25" s="44" t="n">
        <x:v>16</x:v>
      </x:c>
      <x:c r="D25" s="44" t="n">
        <x:f>COUNTIF(F5:F21,"PASS")</x:f>
        <x:v>8</x:v>
      </x:c>
      <x:c r="E25" s="44" t="n">
        <x:v>17</x:v>
      </x:c>
      <x:c r="F25" s="44" t="str">
        <x:f>IF(D25=E25,"PASS","FAIL")</x:f>
        <x:v>FAIL</x:v>
      </x:c>
      <x:c r="G25" s="52"/>
      <x:c r="H25" s="52"/>
      <x:c r="I25" s="52"/>
      <x:c r="J25" s="52"/>
      <x:c r="K25" s="52"/>
      <x:c r="L25" s="52"/>
    </x:row>
    <x:row r="26">
      <x:c r="A26" s="44" t="str">
        <x:v>P2</x:v>
      </x:c>
      <x:c r="B26" s="44" t="n">
        <x:f>COUNTIF(H5:H20,"PASS")</x:f>
        <x:v>10</x:v>
      </x:c>
      <x:c r="C26" s="44" t="n">
        <x:v>16</x:v>
      </x:c>
      <x:c r="D26" s="44" t="n">
        <x:f>COUNTIF(H5:H21,"PASS")</x:f>
        <x:v>11</x:v>
      </x:c>
      <x:c r="E26" s="44" t="n">
        <x:v>17</x:v>
      </x:c>
      <x:c r="F26" s="44" t="str">
        <x:f>IF(D26=E26,"PASS","FAIL")</x:f>
        <x:v>FAIL</x:v>
      </x:c>
      <x:c r="G26" s="52"/>
      <x:c r="H26" s="52"/>
      <x:c r="I26" s="52"/>
      <x:c r="J26" s="52"/>
      <x:c r="K26" s="52"/>
      <x:c r="L26" s="52"/>
    </x:row>
    <x:row r="27">
      <x:c r="A27" s="44" t="str">
        <x:v>P3</x:v>
      </x:c>
      <x:c r="B27" s="44" t="n">
        <x:f>COUNTIF(J5:J20,"PASS")</x:f>
        <x:v>12</x:v>
      </x:c>
      <x:c r="C27" s="44" t="n">
        <x:v>16</x:v>
      </x:c>
      <x:c r="D27" s="44" t="n">
        <x:f>COUNTIF(J5:J21,"PASS")</x:f>
        <x:v>13</x:v>
      </x:c>
      <x:c r="E27" s="44" t="n">
        <x:v>17</x:v>
      </x:c>
      <x:c r="F27" s="44" t="str">
        <x:f>IF(D27=E27,"PASS","FAIL")</x:f>
        <x:v>FAIL</x:v>
      </x:c>
      <x:c r="G27" s="52"/>
      <x:c r="H27" s="52"/>
      <x:c r="I27" s="52"/>
      <x:c r="J27" s="52"/>
      <x:c r="K27" s="52"/>
      <x:c r="L27" s="52"/>
    </x:row>
    <x:row r="28">
      <x:c r="A28" s="44" t="str">
        <x:v>P4</x:v>
      </x:c>
      <x:c r="B28" s="44" t="n">
        <x:f>COUNTIF(L5:L20,"PASS")</x:f>
        <x:v>16</x:v>
      </x:c>
      <x:c r="C28" s="44" t="n">
        <x:v>16</x:v>
      </x:c>
      <x:c r="D28" s="44" t="n">
        <x:f>COUNTIF(L5:L21,"PASS")</x:f>
        <x:v>17</x:v>
      </x:c>
      <x:c r="E28" s="44" t="n">
        <x:v>17</x:v>
      </x:c>
      <x:c r="F28" s="44" t="str">
        <x:f>IF(D28=E28,"PASS","FAIL")</x:f>
        <x:v>PASS</x:v>
      </x:c>
      <x:c r="G28" s="52"/>
      <x:c r="H28" s="52"/>
      <x:c r="I28" s="52"/>
      <x:c r="J28" s="52"/>
      <x:c r="K28" s="52"/>
      <x:c r="L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</x:row>
    <x:row r="31">
      <x:c r="A31" s="54" t="str">
        <x:v>Reading rule</x:v>
      </x:c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</x:row>
    <x:row r="32">
      <x:c r="A32" s="52" t="str">
        <x:v>A formation may preserve the 5,000 m³/day public floor by losing one cell and relying on another. That does not qualify the failed cell for deployment or reserve credit.</x:v>
      </x:c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</x:row>
    <x:row r="33">
      <x:c r="A33" s="52" t="str">
        <x:v>Strict acquisition progression therefore requires both the mission-world screen and three independently READY cells on the Cell Balance sheet.</x:v>
      </x:c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</x:row>
  </x:sheetData>
  <x:mergeCells>
    <x:mergeCell ref="A1:L1"/>
    <x:mergeCell ref="A2:L2"/>
    <x:mergeCell ref="A31:L31"/>
    <x:mergeCell ref="A32:L32"/>
    <x:mergeCell ref="A33:L3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8" hidden="0" customWidth="1"/>
  </x:cols>
  <x:sheetData>
    <x:row r="1" ht="27" customHeight="1">
      <x:c r="A1" s="51" t="str">
        <x:v>Power and thermal one-cut dependency register</x:v>
      </x:c>
      <x:c r="B1" s="52"/>
      <x:c r="C1" s="52"/>
      <x:c r="D1" s="52"/>
      <x:c r="E1" s="52"/>
      <x:c r="F1" s="52"/>
      <x:c r="G1" s="52"/>
    </x:row>
    <x:row r="2" ht="27" customHeight="1">
      <x:c r="A2" s="53" t="str">
        <x:v>A common interface is permitted; a common runtime dependency capable of removing every cell is not.</x:v>
      </x:c>
      <x:c r="B2" s="52"/>
      <x:c r="C2" s="52"/>
      <x:c r="D2" s="52"/>
      <x:c r="E2" s="52"/>
      <x:c r="F2" s="52"/>
      <x:c r="G2" s="52"/>
    </x:row>
    <x:row r="3">
      <x:c r="A3" s="52"/>
      <x:c r="B3" s="52"/>
      <x:c r="C3" s="52"/>
      <x:c r="D3" s="52"/>
      <x:c r="E3" s="52"/>
      <x:c r="F3" s="52"/>
      <x:c r="G3" s="52"/>
    </x:row>
    <x:row r="4">
      <x:c r="A4" s="8" t="str">
        <x:v>Domain</x:v>
      </x:c>
      <x:c r="B4" s="8" t="str">
        <x:v>Failure question</x:v>
      </x:c>
      <x:c r="C4" s="8" t="str">
        <x:v>P1</x:v>
      </x:c>
      <x:c r="D4" s="8" t="str">
        <x:v>P2</x:v>
      </x:c>
      <x:c r="E4" s="8" t="str">
        <x:v>P3</x:v>
      </x:c>
      <x:c r="F4" s="8" t="str">
        <x:v>P4</x:v>
      </x:c>
      <x:c r="G4" s="8" t="str">
        <x:v>P4 design boundary</x:v>
      </x:c>
    </x:row>
    <x:row r="5">
      <x:c r="A5" s="44" t="str">
        <x:v>Source train</x:v>
      </x:c>
      <x:c r="B5" s="44" t="str">
        <x:v>Can one prime-mover fault remove every cell?</x:v>
      </x:c>
      <x:c r="C5" s="65" t="str">
        <x:v>Common</x:v>
      </x:c>
      <x:c r="D5" s="65" t="str">
        <x:v>Distinct</x:v>
      </x:c>
      <x:c r="E5" s="65" t="str">
        <x:v>Distinct</x:v>
      </x:c>
      <x:c r="F5" s="65" t="str">
        <x:v>Distinct N+1</x:v>
      </x:c>
      <x:c r="G5" s="44" t="str">
        <x:v>Three modules per cell; no module required for all cells</x:v>
      </x:c>
    </x:row>
    <x:row r="6">
      <x:c r="A6" s="44" t="str">
        <x:v>Black start</x:v>
      </x:c>
      <x:c r="B6" s="44" t="str">
        <x:v>Can one start chain prevent every island from energizing?</x:v>
      </x:c>
      <x:c r="C6" s="65" t="str">
        <x:v>Common</x:v>
      </x:c>
      <x:c r="D6" s="65" t="str">
        <x:v>Common</x:v>
      </x:c>
      <x:c r="E6" s="65" t="str">
        <x:v>Distinct</x:v>
      </x:c>
      <x:c r="F6" s="65" t="str">
        <x:v>Distinct</x:v>
      </x:c>
      <x:c r="G6" s="44" t="str">
        <x:v>Local dark-start storage and manual sequence</x:v>
      </x:c>
    </x:row>
    <x:row r="7">
      <x:c r="A7" s="44" t="str">
        <x:v>Bus/protection</x:v>
      </x:c>
      <x:c r="B7" s="44" t="str">
        <x:v>Can one bus or protection fault propagate across cells?</x:v>
      </x:c>
      <x:c r="C7" s="65" t="str">
        <x:v>Common</x:v>
      </x:c>
      <x:c r="D7" s="65" t="str">
        <x:v>Distinct</x:v>
      </x:c>
      <x:c r="E7" s="65" t="str">
        <x:v>Distinct</x:v>
      </x:c>
      <x:c r="F7" s="65" t="str">
        <x:v>Distinct</x:v>
      </x:c>
      <x:c r="G7" s="44" t="str">
        <x:v>Normally open, fault-blocking, locally governed ties</x:v>
      </x:c>
    </x:row>
    <x:row r="8">
      <x:c r="A8" s="44" t="str">
        <x:v>Stored energy</x:v>
      </x:c>
      <x:c r="B8" s="44" t="str">
        <x:v>Can one battery fault remove ride-through everywhere?</x:v>
      </x:c>
      <x:c r="C8" s="65" t="str">
        <x:v>Common</x:v>
      </x:c>
      <x:c r="D8" s="65" t="str">
        <x:v>Minimal</x:v>
      </x:c>
      <x:c r="E8" s="65" t="str">
        <x:v>Distinct</x:v>
      </x:c>
      <x:c r="F8" s="65" t="str">
        <x:v>Distinct</x:v>
      </x:c>
      <x:c r="G8" s="44" t="str">
        <x:v>Separated fire zones, contactors and ventilation</x:v>
      </x:c>
    </x:row>
    <x:row r="9">
      <x:c r="A9" s="44" t="str">
        <x:v>Fuel/energy lineage</x:v>
      </x:c>
      <x:c r="B9" s="44" t="str">
        <x:v>Can one delivery, lot or precursor invalidate all cells?</x:v>
      </x:c>
      <x:c r="C9" s="65" t="str">
        <x:v>Common</x:v>
      </x:c>
      <x:c r="D9" s="65" t="str">
        <x:v>Common</x:v>
      </x:c>
      <x:c r="E9" s="65" t="str">
        <x:v>Common</x:v>
      </x:c>
      <x:c r="F9" s="65" t="str">
        <x:v>Distinct</x:v>
      </x:c>
      <x:c r="G9" s="44" t="str">
        <x:v>Two energy vectors per cell; three formation lineages</x:v>
      </x:c>
    </x:row>
    <x:row r="10">
      <x:c r="A10" s="44" t="str">
        <x:v>Heat rejection</x:v>
      </x:c>
      <x:c r="B10" s="44" t="str">
        <x:v>Can one cooling fault derate every cell?</x:v>
      </x:c>
      <x:c r="C10" s="65" t="str">
        <x:v>Common</x:v>
      </x:c>
      <x:c r="D10" s="65" t="str">
        <x:v>Common</x:v>
      </x:c>
      <x:c r="E10" s="65" t="str">
        <x:v>Distinct</x:v>
      </x:c>
      <x:c r="F10" s="65" t="str">
        <x:v>Distinct N+1</x:v>
      </x:c>
      <x:c r="G10" s="44" t="str">
        <x:v>Three thermal modules per cell</x:v>
      </x:c>
    </x:row>
    <x:row r="11">
      <x:c r="A11" s="44" t="str">
        <x:v>Controls/identity</x:v>
      </x:c>
      <x:c r="B11" s="44" t="str">
        <x:v>Can one connected service remove safe local control?</x:v>
      </x:c>
      <x:c r="C11" s="65" t="str">
        <x:v>Common</x:v>
      </x:c>
      <x:c r="D11" s="65" t="str">
        <x:v>Common</x:v>
      </x:c>
      <x:c r="E11" s="65" t="str">
        <x:v>Distinct</x:v>
      </x:c>
      <x:c r="F11" s="65" t="str">
        <x:v>Distinct</x:v>
      </x:c>
      <x:c r="G11" s="44" t="str">
        <x:v>Offline protection, dispatch, records and stop</x:v>
      </x:c>
    </x:row>
    <x:row r="12">
      <x:c r="A12" s="44" t="str">
        <x:v>Cross-tie</x:v>
      </x:c>
      <x:c r="B12" s="44" t="str">
        <x:v>Can mutual aid become a propagation path?</x:v>
      </x:c>
      <x:c r="C12" s="65" t="str">
        <x:v>Common</x:v>
      </x:c>
      <x:c r="D12" s="65" t="str">
        <x:v>Fail-open</x:v>
      </x:c>
      <x:c r="E12" s="65" t="str">
        <x:v>Fail-open</x:v>
      </x:c>
      <x:c r="F12" s="65" t="str">
        <x:v>Fail-open</x:v>
      </x:c>
      <x:c r="G12" s="44" t="str">
        <x:v>No tie required for cell service</x:v>
      </x:c>
    </x:row>
    <x:row r="13">
      <x:c r="A13" s="44" t="str">
        <x:v>Crew</x:v>
      </x:c>
      <x:c r="B13" s="44" t="str">
        <x:v>Can one specialist loss remove every cell?</x:v>
      </x:c>
      <x:c r="C13" s="65" t="str">
        <x:v>Common</x:v>
      </x:c>
      <x:c r="D13" s="65" t="str">
        <x:v>Partly common</x:v>
      </x:c>
      <x:c r="E13" s="65" t="str">
        <x:v>Distinct watches</x:v>
      </x:c>
      <x:c r="F13" s="65" t="str">
        <x:v>Distinct watches</x:v>
      </x:c>
      <x:c r="G13" s="44" t="str">
        <x:v>Cell-local start, switching, thermal and fuel roles</x:v>
      </x:c>
    </x:row>
    <x:row r="14">
      <x:c r="A14" s="44" t="str">
        <x:v>Reset/depot</x:v>
      </x:c>
      <x:c r="B14" s="44" t="str">
        <x:v>Can one reset path deny the next mission?</x:v>
      </x:c>
      <x:c r="C14" s="65" t="str">
        <x:v>Common</x:v>
      </x:c>
      <x:c r="D14" s="65" t="str">
        <x:v>Common</x:v>
      </x:c>
      <x:c r="E14" s="65" t="str">
        <x:v>Common</x:v>
      </x:c>
      <x:c r="F14" s="65" t="str">
        <x:v>Distinct</x:v>
      </x:c>
      <x:c r="G14" s="44" t="str">
        <x:v>Three qualified reset pathways with exercised substitution</x:v>
      </x:c>
    </x:row>
    <x:row r="15">
      <x:c r="A15" s="52"/>
      <x:c r="B15" s="52"/>
      <x:c r="C15" s="52"/>
      <x:c r="D15" s="52"/>
      <x:c r="E15" s="52"/>
      <x:c r="F15" s="52"/>
      <x:c r="G15" s="52"/>
    </x:row>
    <x:row r="16">
      <x:c r="A16" s="52"/>
      <x:c r="B16" s="52"/>
      <x:c r="C16" s="52"/>
      <x:c r="D16" s="52"/>
      <x:c r="E16" s="52"/>
      <x:c r="F16" s="52"/>
      <x:c r="G16" s="52"/>
    </x:row>
    <x:row r="17">
      <x:c r="A17" s="54" t="str">
        <x:v>Architecture rule</x:v>
      </x:c>
      <x:c r="B17" s="54"/>
      <x:c r="C17" s="54"/>
      <x:c r="D17" s="54"/>
      <x:c r="E17" s="54"/>
      <x:c r="F17" s="54"/>
      <x:c r="G17" s="54"/>
    </x:row>
    <x:row r="18">
      <x:c r="A18" s="52" t="str">
        <x:v>P4 does not ban common standards, connectors, messages or voluntary exchange.</x:v>
      </x:c>
      <x:c r="B18" s="52"/>
      <x:c r="C18" s="52"/>
      <x:c r="D18" s="52"/>
      <x:c r="E18" s="52"/>
      <x:c r="F18" s="52"/>
      <x:c r="G18" s="52"/>
    </x:row>
    <x:row r="19">
      <x:c r="A19" s="52" t="str">
        <x:v>It bans any shared runtime element from being necessary for a cell's safe minimum service and requires cross-cell exchange to fail isolated.</x:v>
      </x:c>
      <x:c r="B19" s="52"/>
      <x:c r="C19" s="52"/>
      <x:c r="D19" s="52"/>
      <x:c r="E19" s="52"/>
      <x:c r="F19" s="52"/>
      <x:c r="G19" s="52"/>
    </x:row>
    <x:row r="20">
      <x:c r="A20" s="52" t="str">
        <x:v>Supplier ancestry, firmware, depot utilities and credential pipelines remain part of the dependency graph even when the field hardware is separate.</x:v>
      </x:c>
      <x:c r="B20" s="52"/>
      <x:c r="C20" s="52"/>
      <x:c r="D20" s="52"/>
      <x:c r="E20" s="52"/>
      <x:c r="F20" s="52"/>
      <x:c r="G20" s="52"/>
    </x:row>
    <x:row r="21">
      <x:c r="A21" s="52"/>
      <x:c r="B21" s="52"/>
      <x:c r="C21" s="52"/>
      <x:c r="D21" s="52"/>
      <x:c r="E21" s="52"/>
      <x:c r="F21" s="52"/>
      <x:c r="G21" s="52"/>
    </x:row>
    <x:row r="22">
      <x:c r="A22" s="52"/>
      <x:c r="B22" s="52"/>
      <x:c r="C22" s="52"/>
      <x:c r="D22" s="52"/>
      <x:c r="E22" s="52"/>
      <x:c r="F22" s="52"/>
      <x:c r="G22" s="52"/>
    </x:row>
    <x:row r="23">
      <x:c r="A23" s="52"/>
      <x:c r="B23" s="52"/>
      <x:c r="C23" s="52"/>
      <x:c r="D23" s="52"/>
      <x:c r="E23" s="52"/>
      <x:c r="F23" s="52"/>
      <x:c r="G23" s="52"/>
    </x:row>
    <x:row r="24">
      <x:c r="A24" s="52"/>
      <x:c r="B24" s="52"/>
      <x:c r="C24" s="52"/>
      <x:c r="D24" s="52"/>
      <x:c r="E24" s="52"/>
      <x:c r="F24" s="52"/>
      <x:c r="G24" s="52"/>
    </x:row>
    <x:row r="25">
      <x:c r="A25" s="52"/>
      <x:c r="B25" s="52"/>
      <x:c r="C25" s="52"/>
      <x:c r="D25" s="52"/>
      <x:c r="E25" s="52"/>
      <x:c r="F25" s="52"/>
      <x:c r="G25" s="52"/>
    </x:row>
    <x:row r="26">
      <x:c r="A26" s="52"/>
      <x:c r="B26" s="52"/>
      <x:c r="C26" s="52"/>
      <x:c r="D26" s="52"/>
      <x:c r="E26" s="52"/>
      <x:c r="F26" s="52"/>
      <x:c r="G26" s="52"/>
    </x:row>
    <x:row r="27">
      <x:c r="A27" s="52"/>
      <x:c r="B27" s="52"/>
      <x:c r="C27" s="52"/>
      <x:c r="D27" s="52"/>
      <x:c r="E27" s="52"/>
      <x:c r="F27" s="52"/>
      <x:c r="G27" s="52"/>
    </x:row>
    <x:row r="28">
      <x:c r="A28" s="52"/>
      <x:c r="B28" s="52"/>
      <x:c r="C28" s="52"/>
      <x:c r="D28" s="52"/>
      <x:c r="E28" s="52"/>
      <x:c r="F28" s="52"/>
      <x:c r="G28" s="52"/>
    </x:row>
    <x:row r="29">
      <x:c r="A29" s="52"/>
      <x:c r="B29" s="52"/>
      <x:c r="C29" s="52"/>
      <x:c r="D29" s="52"/>
      <x:c r="E29" s="52"/>
      <x:c r="F29" s="52"/>
      <x:c r="G29" s="52"/>
    </x:row>
    <x:row r="30">
      <x:c r="A30" s="52"/>
      <x:c r="B30" s="52"/>
      <x:c r="C30" s="52"/>
      <x:c r="D30" s="52"/>
      <x:c r="E30" s="52"/>
      <x:c r="F30" s="52"/>
      <x:c r="G30" s="52"/>
    </x:row>
    <x:row r="31">
      <x:c r="A31" s="52"/>
      <x:c r="B31" s="52"/>
      <x:c r="C31" s="52"/>
      <x:c r="D31" s="52"/>
      <x:c r="E31" s="52"/>
      <x:c r="F31" s="52"/>
      <x:c r="G31" s="52"/>
    </x:row>
    <x:row r="32">
      <x:c r="A32" s="52"/>
      <x:c r="B32" s="52"/>
      <x:c r="C32" s="52"/>
      <x:c r="D32" s="52"/>
      <x:c r="E32" s="52"/>
      <x:c r="F32" s="52"/>
      <x:c r="G32" s="52"/>
    </x:row>
    <x:row r="33">
      <x:c r="A33" s="52"/>
      <x:c r="B33" s="52"/>
      <x:c r="C33" s="52"/>
      <x:c r="D33" s="52"/>
      <x:c r="E33" s="52"/>
      <x:c r="F33" s="52"/>
      <x:c r="G33" s="52"/>
    </x:row>
    <x:row r="34">
      <x:c r="A34" s="52"/>
      <x:c r="B34" s="52"/>
      <x:c r="C34" s="52"/>
      <x:c r="D34" s="52"/>
      <x:c r="E34" s="52"/>
      <x:c r="F34" s="52"/>
      <x:c r="G34" s="52"/>
    </x:row>
    <x:row r="35">
      <x:c r="A35" s="52"/>
      <x:c r="B35" s="52"/>
      <x:c r="C35" s="52"/>
      <x:c r="D35" s="52"/>
      <x:c r="E35" s="52"/>
      <x:c r="F35" s="52"/>
      <x:c r="G35" s="52"/>
    </x:row>
    <x:row r="36">
      <x:c r="A36" s="52"/>
      <x:c r="B36" s="52"/>
      <x:c r="C36" s="52"/>
      <x:c r="D36" s="52"/>
      <x:c r="E36" s="52"/>
      <x:c r="F36" s="52"/>
      <x:c r="G36" s="52"/>
    </x:row>
    <x:row r="37">
      <x:c r="A37" s="52"/>
      <x:c r="B37" s="52"/>
      <x:c r="C37" s="52"/>
      <x:c r="D37" s="52"/>
      <x:c r="E37" s="52"/>
      <x:c r="F37" s="52"/>
      <x:c r="G37" s="52"/>
    </x:row>
    <x:row r="38">
      <x:c r="A38" s="52"/>
      <x:c r="B38" s="52"/>
      <x:c r="C38" s="52"/>
      <x:c r="D38" s="52"/>
      <x:c r="E38" s="52"/>
      <x:c r="F38" s="52"/>
      <x:c r="G38" s="52"/>
    </x:row>
    <x:row r="39">
      <x:c r="A39" s="52"/>
      <x:c r="B39" s="52"/>
      <x:c r="C39" s="52"/>
      <x:c r="D39" s="52"/>
      <x:c r="E39" s="52"/>
      <x:c r="F39" s="52"/>
      <x:c r="G39" s="52"/>
    </x:row>
    <x:row r="40">
      <x:c r="A40" s="52"/>
      <x:c r="B40" s="52"/>
      <x:c r="C40" s="52"/>
      <x:c r="D40" s="52"/>
      <x:c r="E40" s="52"/>
      <x:c r="F40" s="52"/>
      <x:c r="G40" s="52"/>
    </x:row>
    <x:row r="41">
      <x:c r="A41" s="52"/>
      <x:c r="B41" s="52"/>
      <x:c r="C41" s="52"/>
      <x:c r="D41" s="52"/>
      <x:c r="E41" s="52"/>
      <x:c r="F41" s="52"/>
      <x:c r="G41" s="52"/>
    </x:row>
    <x:row r="42">
      <x:c r="A42" s="52"/>
      <x:c r="B42" s="52"/>
      <x:c r="C42" s="52"/>
      <x:c r="D42" s="52"/>
      <x:c r="E42" s="52"/>
      <x:c r="F42" s="52"/>
      <x:c r="G42" s="52"/>
    </x:row>
    <x:row r="43">
      <x:c r="A43" s="52"/>
      <x:c r="B43" s="52"/>
      <x:c r="C43" s="52"/>
      <x:c r="D43" s="52"/>
      <x:c r="E43" s="52"/>
      <x:c r="F43" s="52"/>
      <x:c r="G43" s="52"/>
    </x:row>
    <x:row r="44">
      <x:c r="A44" s="52"/>
      <x:c r="B44" s="52"/>
      <x:c r="C44" s="52"/>
      <x:c r="D44" s="52"/>
      <x:c r="E44" s="52"/>
      <x:c r="F44" s="52"/>
      <x:c r="G44" s="52"/>
    </x:row>
    <x:row r="45">
      <x:c r="A45" s="52"/>
      <x:c r="B45" s="52"/>
      <x:c r="C45" s="52"/>
      <x:c r="D45" s="52"/>
      <x:c r="E45" s="52"/>
      <x:c r="F45" s="52"/>
      <x:c r="G45" s="52"/>
    </x:row>
    <x:row r="46">
      <x:c r="A46" s="52"/>
      <x:c r="B46" s="52"/>
      <x:c r="C46" s="52"/>
      <x:c r="D46" s="52"/>
      <x:c r="E46" s="52"/>
      <x:c r="F46" s="52"/>
      <x:c r="G46" s="52"/>
    </x:row>
    <x:row r="47">
      <x:c r="A47" s="52"/>
      <x:c r="B47" s="52"/>
      <x:c r="C47" s="52"/>
      <x:c r="D47" s="52"/>
      <x:c r="E47" s="52"/>
      <x:c r="F47" s="52"/>
      <x:c r="G47" s="52"/>
    </x:row>
    <x:row r="48">
      <x:c r="A48" s="52"/>
      <x:c r="B48" s="52"/>
      <x:c r="C48" s="52"/>
      <x:c r="D48" s="52"/>
      <x:c r="E48" s="52"/>
      <x:c r="F48" s="52"/>
      <x:c r="G48" s="52"/>
    </x:row>
    <x:row r="49">
      <x:c r="A49" s="52"/>
      <x:c r="B49" s="52"/>
      <x:c r="C49" s="52"/>
      <x:c r="D49" s="52"/>
      <x:c r="E49" s="52"/>
      <x:c r="F49" s="52"/>
      <x:c r="G49" s="52"/>
    </x:row>
    <x:row r="50">
      <x:c r="A50" s="52"/>
      <x:c r="B50" s="52"/>
      <x:c r="C50" s="52"/>
      <x:c r="D50" s="52"/>
      <x:c r="E50" s="52"/>
      <x:c r="F50" s="52"/>
      <x:c r="G50" s="52"/>
    </x:row>
  </x:sheetData>
  <x:mergeCells>
    <x:mergeCell ref="A1:G1"/>
    <x:mergeCell ref="A2:G2"/>
    <x:mergeCell ref="A17:G17"/>
    <x:mergeCell ref="A18:G18"/>
    <x:mergeCell ref="A19:G19"/>
    <x:mergeCell ref="A20:G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56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7" customHeight="1">
      <x:c r="A1" s="51" t="str">
        <x:v>K4 formation reconstruction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 ht="27" customHeight="1">
      <x:c r="A2" s="53" t="str">
        <x:v>The Pass 70 power placeholders are removed before each rival subsystem is added, preventing double counting.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</x:row>
    <x:row r="4">
      <x:c r="A4" s="8" t="str">
        <x:v>Architecture</x:v>
      </x:c>
      <x:c r="B4" s="8" t="str">
        <x:v>Non-power dry t</x:v>
      </x:c>
      <x:c r="C4" s="8" t="str">
        <x:v>Power dry t</x:v>
      </x:c>
      <x:c r="D4" s="8" t="str">
        <x:v>Whole dry t</x:v>
      </x:c>
      <x:c r="E4" s="8" t="str">
        <x:v>Non-power chargeable t</x:v>
      </x:c>
      <x:c r="F4" s="8" t="str">
        <x:v>Power chargeable t</x:v>
      </x:c>
      <x:c r="G4" s="8" t="str">
        <x:v>Whole chargeable t</x:v>
      </x:c>
      <x:c r="H4" s="8" t="str">
        <x:v>Non-power crew</x:v>
      </x:c>
      <x:c r="I4" s="8" t="str">
        <x:v>Power crew</x:v>
      </x:c>
      <x:c r="J4" s="8" t="str">
        <x:v>Whole crew</x:v>
      </x:c>
      <x:c r="K4" s="8" t="str">
        <x:v>Non-power equipment $B</x:v>
      </x:c>
      <x:c r="L4" s="8" t="str">
        <x:v>Whole equipment $B</x:v>
      </x:c>
    </x:row>
    <x:row r="5">
      <x:c r="A5" s="44" t="str">
        <x:v>P1</x:v>
      </x:c>
      <x:c r="B5" s="47" t="n">
        <x:f>Assumptions!$B$23</x:f>
        <x:v>9610</x:v>
      </x:c>
      <x:c r="C5" s="47" t="n">
        <x:f>Architectures!M5</x:f>
        <x:v>650</x:v>
      </x:c>
      <x:c r="D5" s="47" t="n">
        <x:f>B5+C5</x:f>
        <x:v>10260</x:v>
      </x:c>
      <x:c r="E5" s="47" t="n">
        <x:f>Assumptions!$B$24</x:f>
        <x:v>11080</x:v>
      </x:c>
      <x:c r="F5" s="47" t="n">
        <x:f>Architectures!N5</x:f>
        <x:v>720</x:v>
      </x:c>
      <x:c r="G5" s="47" t="n">
        <x:f>E5+F5</x:f>
        <x:v>11800</x:v>
      </x:c>
      <x:c r="H5" s="47" t="n">
        <x:f>Assumptions!$B$25</x:f>
        <x:v>544</x:v>
      </x:c>
      <x:c r="I5" s="47" t="n">
        <x:f>Architectures!O5</x:f>
        <x:v>18</x:v>
      </x:c>
      <x:c r="J5" s="47" t="n">
        <x:f>H5+I5</x:f>
        <x:v>562</x:v>
      </x:c>
      <x:c r="K5" s="48" t="n">
        <x:f>Assumptions!$B$26</x:f>
        <x:v>7.87</x:v>
      </x:c>
      <x:c r="L5" s="48" t="n">
        <x:f>K5+Architectures!P5</x:f>
        <x:v>8.42</x:v>
      </x:c>
    </x:row>
    <x:row r="6">
      <x:c r="A6" s="44" t="str">
        <x:v>P2</x:v>
      </x:c>
      <x:c r="B6" s="47" t="n">
        <x:f>Assumptions!$B$23</x:f>
        <x:v>9610</x:v>
      </x:c>
      <x:c r="C6" s="47" t="n">
        <x:f>Architectures!M6</x:f>
        <x:v>840</x:v>
      </x:c>
      <x:c r="D6" s="47" t="n">
        <x:f>B6+C6</x:f>
        <x:v>10450</x:v>
      </x:c>
      <x:c r="E6" s="47" t="n">
        <x:f>Assumptions!$B$24</x:f>
        <x:v>11080</x:v>
      </x:c>
      <x:c r="F6" s="47" t="n">
        <x:f>Architectures!N6</x:f>
        <x:v>950</x:v>
      </x:c>
      <x:c r="G6" s="47" t="n">
        <x:f>E6+F6</x:f>
        <x:v>12030</x:v>
      </x:c>
      <x:c r="H6" s="47" t="n">
        <x:f>Assumptions!$B$25</x:f>
        <x:v>544</x:v>
      </x:c>
      <x:c r="I6" s="47" t="n">
        <x:f>Architectures!O6</x:f>
        <x:v>30</x:v>
      </x:c>
      <x:c r="J6" s="47" t="n">
        <x:f>H6+I6</x:f>
        <x:v>574</x:v>
      </x:c>
      <x:c r="K6" s="48" t="n">
        <x:f>Assumptions!$B$26</x:f>
        <x:v>7.87</x:v>
      </x:c>
      <x:c r="L6" s="48" t="n">
        <x:f>K6+Architectures!P6</x:f>
        <x:v>8.65</x:v>
      </x:c>
    </x:row>
    <x:row r="7">
      <x:c r="A7" s="44" t="str">
        <x:v>P3</x:v>
      </x:c>
      <x:c r="B7" s="47" t="n">
        <x:f>Assumptions!$B$23</x:f>
        <x:v>9610</x:v>
      </x:c>
      <x:c r="C7" s="47" t="n">
        <x:f>Architectures!M7</x:f>
        <x:v>1160</x:v>
      </x:c>
      <x:c r="D7" s="47" t="n">
        <x:f>B7+C7</x:f>
        <x:v>10770</x:v>
      </x:c>
      <x:c r="E7" s="47" t="n">
        <x:f>Assumptions!$B$24</x:f>
        <x:v>11080</x:v>
      </x:c>
      <x:c r="F7" s="47" t="n">
        <x:f>Architectures!N7</x:f>
        <x:v>1320</x:v>
      </x:c>
      <x:c r="G7" s="47" t="n">
        <x:f>E7+F7</x:f>
        <x:v>12400</x:v>
      </x:c>
      <x:c r="H7" s="47" t="n">
        <x:f>Assumptions!$B$25</x:f>
        <x:v>544</x:v>
      </x:c>
      <x:c r="I7" s="47" t="n">
        <x:f>Architectures!O7</x:f>
        <x:v>42</x:v>
      </x:c>
      <x:c r="J7" s="47" t="n">
        <x:f>H7+I7</x:f>
        <x:v>586</x:v>
      </x:c>
      <x:c r="K7" s="48" t="n">
        <x:f>Assumptions!$B$26</x:f>
        <x:v>7.87</x:v>
      </x:c>
      <x:c r="L7" s="48" t="n">
        <x:f>K7+Architectures!P7</x:f>
        <x:v>9.07</x:v>
      </x:c>
    </x:row>
    <x:row r="8">
      <x:c r="A8" s="44" t="str">
        <x:v>P4</x:v>
      </x:c>
      <x:c r="B8" s="47" t="n">
        <x:f>Assumptions!$B$23</x:f>
        <x:v>9610</x:v>
      </x:c>
      <x:c r="C8" s="47" t="n">
        <x:f>Architectures!M8</x:f>
        <x:v>1640</x:v>
      </x:c>
      <x:c r="D8" s="47" t="n">
        <x:f>B8+C8</x:f>
        <x:v>11250</x:v>
      </x:c>
      <x:c r="E8" s="47" t="n">
        <x:f>Assumptions!$B$24</x:f>
        <x:v>11080</x:v>
      </x:c>
      <x:c r="F8" s="47" t="n">
        <x:f>Architectures!N8</x:f>
        <x:v>1880</x:v>
      </x:c>
      <x:c r="G8" s="47" t="n">
        <x:f>E8+F8</x:f>
        <x:v>12960</x:v>
      </x:c>
      <x:c r="H8" s="47" t="n">
        <x:f>Assumptions!$B$25</x:f>
        <x:v>544</x:v>
      </x:c>
      <x:c r="I8" s="47" t="n">
        <x:f>Architectures!O8</x:f>
        <x:v>54</x:v>
      </x:c>
      <x:c r="J8" s="47" t="n">
        <x:f>H8+I8</x:f>
        <x:v>598</x:v>
      </x:c>
      <x:c r="K8" s="48" t="n">
        <x:f>Assumptions!$B$26</x:f>
        <x:v>7.87</x:v>
      </x:c>
      <x:c r="L8" s="48" t="n">
        <x:f>K8+Architectures!P8</x:f>
        <x:v>9.72</x:v>
      </x:c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</x:row>
    <x:row r="11">
      <x:c r="A11" s="8" t="str">
        <x:v>P4 subsystem element</x:v>
      </x:c>
      <x:c r="B11" s="8" t="str">
        <x:v>Dry t</x:v>
      </x:c>
      <x:c r="C11" s="8" t="str">
        <x:v>Chargeable t</x:v>
      </x:c>
      <x:c r="D11" s="8" t="str">
        <x:v>Crew</x:v>
      </x:c>
      <x:c r="E11" s="8" t="str">
        <x:v>Equipment $B</x:v>
      </x:c>
      <x:c r="F11" s="8" t="str">
        <x:v>Function</x:v>
      </x:c>
      <x:c r="G11" s="52"/>
      <x:c r="H11" s="52"/>
      <x:c r="I11" s="52"/>
      <x:c r="J11" s="52"/>
      <x:c r="K11" s="52"/>
      <x:c r="L11" s="52"/>
    </x:row>
    <x:row r="12">
      <x:c r="A12" s="44" t="str">
        <x:v>Dispatchable source trains</x:v>
      </x:c>
      <x:c r="B12" s="47" t="n">
        <x:v>520</x:v>
      </x:c>
      <x:c r="C12" s="47" t="n">
        <x:v>600</x:v>
      </x:c>
      <x:c r="D12" s="47" t="n">
        <x:v>14</x:v>
      </x:c>
      <x:c r="E12" s="48" t="n">
        <x:v>0.52</x:v>
      </x:c>
      <x:c r="F12" s="44" t="str">
        <x:v>Three-module trains across A/B/R; technology-neutral net output</x:v>
      </x:c>
      <x:c r="G12" s="52"/>
      <x:c r="H12" s="52"/>
      <x:c r="I12" s="52"/>
      <x:c r="J12" s="52"/>
      <x:c r="K12" s="52"/>
      <x:c r="L12" s="52"/>
    </x:row>
    <x:row r="13">
      <x:c r="A13" s="44" t="str">
        <x:v>Stored-energy and black-start packs</x:v>
      </x:c>
      <x:c r="B13" s="47" t="n">
        <x:v>260</x:v>
      </x:c>
      <x:c r="C13" s="47" t="n">
        <x:v>300</x:v>
      </x:c>
      <x:c r="D13" s="47" t="n">
        <x:v>6</x:v>
      </x:c>
      <x:c r="E13" s="48" t="n">
        <x:v>0.36</x:v>
      </x:c>
      <x:c r="F13" s="44" t="str">
        <x:v>Grid formation, start, transient support and bounded ride-through</x:v>
      </x:c>
      <x:c r="G13" s="52"/>
      <x:c r="H13" s="52"/>
      <x:c r="I13" s="52"/>
      <x:c r="J13" s="52"/>
      <x:c r="K13" s="52"/>
      <x:c r="L13" s="52"/>
    </x:row>
    <x:row r="14">
      <x:c r="A14" s="44" t="str">
        <x:v>Heat rejection and thermal conditioning</x:v>
      </x:c>
      <x:c r="B14" s="47" t="n">
        <x:v>330</x:v>
      </x:c>
      <x:c r="C14" s="47" t="n">
        <x:v>390</x:v>
      </x:c>
      <x:c r="D14" s="47" t="n">
        <x:v>10</x:v>
      </x:c>
      <x:c r="E14" s="48" t="n">
        <x:v>0.29</x:v>
      </x:c>
      <x:c r="F14" s="44" t="str">
        <x:v>High-ambient rejection, freeze protection and isolated thermal loops</x:v>
      </x:c>
      <x:c r="G14" s="52"/>
      <x:c r="H14" s="52"/>
      <x:c r="I14" s="52"/>
      <x:c r="J14" s="52"/>
      <x:c r="K14" s="52"/>
      <x:c r="L14" s="52"/>
    </x:row>
    <x:row r="15">
      <x:c r="A15" s="44" t="str">
        <x:v>Protection, conversion and bus equipment</x:v>
      </x:c>
      <x:c r="B15" s="47" t="n">
        <x:v>190</x:v>
      </x:c>
      <x:c r="C15" s="47" t="n">
        <x:v>220</x:v>
      </x:c>
      <x:c r="D15" s="47" t="n">
        <x:v>8</x:v>
      </x:c>
      <x:c r="E15" s="48" t="n">
        <x:v>0.24</x:v>
      </x:c>
      <x:c r="F15" s="44" t="str">
        <x:v>Transform, protect, meter, isolate and optionally synchronize</x:v>
      </x:c>
      <x:c r="G15" s="52"/>
      <x:c r="H15" s="52"/>
      <x:c r="I15" s="52"/>
      <x:c r="J15" s="52"/>
      <x:c r="K15" s="52"/>
      <x:c r="L15" s="52"/>
    </x:row>
    <x:row r="16">
      <x:c r="A16" s="44" t="str">
        <x:v>Organic energy custody</x:v>
      </x:c>
      <x:c r="B16" s="47" t="n">
        <x:v>190</x:v>
      </x:c>
      <x:c r="C16" s="47" t="n">
        <x:v>220</x:v>
      </x:c>
      <x:c r="D16" s="47" t="n">
        <x:v>6</x:v>
      </x:c>
      <x:c r="E16" s="48" t="n">
        <x:v>0.18</x:v>
      </x:c>
      <x:c r="F16" s="44" t="str">
        <x:v>Twenty-one-day multi-vector inventory, conditioning and transfer</x:v>
      </x:c>
      <x:c r="G16" s="52"/>
      <x:c r="H16" s="52"/>
      <x:c r="I16" s="52"/>
      <x:c r="J16" s="52"/>
      <x:c r="K16" s="52"/>
      <x:c r="L16" s="52"/>
    </x:row>
    <x:row r="17">
      <x:c r="A17" s="44" t="str">
        <x:v>Offline control and evidence</x:v>
      </x:c>
      <x:c r="B17" s="47" t="n">
        <x:v>70</x:v>
      </x:c>
      <x:c r="C17" s="47" t="n">
        <x:v>80</x:v>
      </x:c>
      <x:c r="D17" s="47" t="n">
        <x:v>4</x:v>
      </x:c>
      <x:c r="E17" s="48" t="n">
        <x:v>0.09</x:v>
      </x:c>
      <x:c r="F17" s="44" t="str">
        <x:v>Local dispatch, records, safe stop and later reconciliation</x:v>
      </x:c>
      <x:c r="G17" s="52"/>
      <x:c r="H17" s="52"/>
      <x:c r="I17" s="52"/>
      <x:c r="J17" s="52"/>
      <x:c r="K17" s="52"/>
      <x:c r="L17" s="52"/>
    </x:row>
    <x:row r="18">
      <x:c r="A18" s="44" t="str">
        <x:v>Maintenance, handling and spares</x:v>
      </x:c>
      <x:c r="B18" s="47" t="n">
        <x:v>80</x:v>
      </x:c>
      <x:c r="C18" s="47" t="n">
        <x:v>70</x:v>
      </x:c>
      <x:c r="D18" s="47" t="n">
        <x:v>6</x:v>
      </x:c>
      <x:c r="E18" s="48" t="n">
        <x:v>0.17</x:v>
      </x:c>
      <x:c r="F18" s="44" t="str">
        <x:v>Module exchange, test, fire isolation and field repair</x:v>
      </x:c>
      <x:c r="G18" s="52"/>
      <x:c r="H18" s="52"/>
      <x:c r="I18" s="52"/>
      <x:c r="J18" s="52"/>
      <x:c r="K18" s="52"/>
      <x:c r="L18" s="52"/>
    </x:row>
    <x:row r="19">
      <x:c r="A19" s="69" t="str">
        <x:v>Total</x:v>
      </x:c>
      <x:c r="B19" s="70" t="n">
        <x:f>SUM(B12:B18)</x:f>
        <x:v>1640</x:v>
      </x:c>
      <x:c r="C19" s="70" t="n">
        <x:f>SUM(C12:C18)</x:f>
        <x:v>1880</x:v>
      </x:c>
      <x:c r="D19" s="70" t="n">
        <x:f>SUM(D12:D18)</x:f>
        <x:v>54</x:v>
      </x:c>
      <x:c r="E19" s="71" t="n">
        <x:f>SUM(E12:E18)</x:f>
        <x:v>1.8499999999999999</x:v>
      </x:c>
      <x:c r="F19" s="69" t="str">
        <x:v>Must reconcile to P4 architecture input</x:v>
      </x:c>
      <x:c r="G19" s="52"/>
      <x:c r="H19" s="52"/>
      <x:c r="I19" s="52"/>
      <x:c r="J19" s="52"/>
      <x:c r="K19" s="52"/>
      <x:c r="L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</x:row>
    <x:row r="22">
      <x:c r="A22" s="54" t="str">
        <x:v>Boundary</x:v>
      </x:c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</x:row>
    <x:row r="23">
      <x:c r="A23" s="52" t="str">
        <x:v>Mass is dry configured equipment; mission fuel and other wet consumables are separately governed and are not hidden inside dry mass.</x:v>
      </x:c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</x:row>
    <x:row r="24">
      <x:c r="A24" s="52" t="str">
        <x:v>Chargeable mass is a planning burden, not a solved carrier manifest. Object-level dimensions, hazard segregation, axle/ground load and lift positions remain open.</x:v>
      </x:c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</x:row>
    <x:row r="25">
      <x:c r="A25" s="52" t="str">
        <x:v>Crew is the deployed subsystem increment. Training establishment, reserve depth, depot labor and industrial workforce are priced later, not collapsed into the field crew.</x:v>
      </x:c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</x:row>
    <x:row r="28">
      <x:c r="A28" s="8" t="str">
        <x:v>Endurance state</x:v>
      </x:c>
      <x:c r="B28" s="8" t="str">
        <x:v>Critical average MW</x:v>
      </x:c>
      <x:c r="C28" s="8" t="str">
        <x:v>Days</x:v>
      </x:c>
      <x:c r="D28" s="8" t="str">
        <x:v>Net electrical energy MWh</x:v>
      </x:c>
      <x:c r="E28" s="52"/>
      <x:c r="F28" s="52"/>
      <x:c r="G28" s="52"/>
      <x:c r="H28" s="52"/>
      <x:c r="I28" s="52"/>
      <x:c r="J28" s="52"/>
      <x:c r="K28" s="52"/>
      <x:c r="L28" s="52"/>
    </x:row>
    <x:row r="29">
      <x:c r="A29" s="44" t="str">
        <x:v>Primary pair A+B</x:v>
      </x:c>
      <x:c r="B29" s="61" t="n">
        <x:f>Assumptions!G5+Assumptions!G6</x:f>
        <x:v>2.4749999999999996</x:v>
      </x:c>
      <x:c r="C29" s="62" t="n">
        <x:v>21</x:v>
      </x:c>
      <x:c r="D29" s="47" t="n">
        <x:f>B29*24*C29</x:f>
        <x:v>1247.3999999999999</x:v>
      </x:c>
      <x:c r="E29" s="52"/>
      <x:c r="F29" s="52"/>
      <x:c r="G29" s="52"/>
      <x:c r="H29" s="52"/>
      <x:c r="I29" s="52"/>
      <x:c r="J29" s="52"/>
      <x:c r="K29" s="52"/>
      <x:c r="L29" s="52"/>
    </x:row>
    <x:row r="30">
      <x:c r="A30" s="44" t="str">
        <x:v>All three cells concurrent</x:v>
      </x:c>
      <x:c r="B30" s="61" t="n">
        <x:f>SUM(Assumptions!G5:G7)</x:f>
        <x:v>4.25</x:v>
      </x:c>
      <x:c r="C30" s="62" t="n">
        <x:v>21</x:v>
      </x:c>
      <x:c r="D30" s="47" t="n">
        <x:f>B30*24*C30</x:f>
        <x:v>2142</x:v>
      </x:c>
      <x:c r="E30" s="52"/>
      <x:c r="F30" s="52"/>
      <x:c r="G30" s="52"/>
      <x:c r="H30" s="52"/>
      <x:c r="I30" s="52"/>
      <x:c r="J30" s="52"/>
      <x:c r="K30" s="52"/>
      <x:c r="L30" s="52"/>
    </x:row>
    <x:row r="31">
      <x:c r="A31" s="44" t="str">
        <x:v>Installed electrochemical storage</x:v>
      </x:c>
      <x:c r="B31" s="44"/>
      <x:c r="C31" s="44"/>
      <x:c r="D31" s="47" t="n">
        <x:f>SUM(Architectures!G21:G23)</x:f>
        <x:v>14</x:v>
      </x:c>
      <x:c r="E31" s="52"/>
      <x:c r="F31" s="52"/>
      <x:c r="G31" s="52"/>
      <x:c r="H31" s="52"/>
      <x:c r="I31" s="52"/>
      <x:c r="J31" s="52"/>
      <x:c r="K31" s="52"/>
      <x:c r="L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</x:row>
    <x:row r="33">
      <x:c r="A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B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C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D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E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F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G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H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I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J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K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  <x:c r="L33" s="59" t="str">
        <x:v>The 1,247–2,142 MWh endurance requirement is an energy-service claim, not a fuel-volume closure. Conversion efficiency, fuel/feedstock mass, tankage, hazard separation, replenishment and carrier positions remain open gates.</x:v>
      </x:c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</x:row>
  </x:sheetData>
  <x:mergeCells>
    <x:mergeCell ref="A1:L1"/>
    <x:mergeCell ref="A2:L2"/>
    <x:mergeCell ref="A22:L22"/>
    <x:mergeCell ref="A23:L23"/>
    <x:mergeCell ref="A24:L24"/>
    <x:mergeCell ref="A25:L25"/>
    <x:mergeCell ref="A33:L3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7" customHeight="1">
      <x:c r="A1" s="51" t="str">
        <x:v>Twenty-five-year program comparator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27" customHeight="1">
      <x:c r="A2" s="53" t="str">
        <x:v>Program economics replace the Pass 70 power allowance; they are decision-scale comparators, not budgets or forecasts.</x:v>
      </x:c>
      <x:c r="B2" s="52"/>
      <x:c r="C2" s="52"/>
      <x:c r="D2" s="52"/>
      <x:c r="E2" s="52"/>
      <x:c r="F2" s="52"/>
      <x:c r="G2" s="52"/>
      <x:c r="H2" s="52"/>
      <x:c r="I2" s="52"/>
      <x:c r="J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</x:row>
    <x:row r="4">
      <x:c r="A4" s="8" t="str">
        <x:v>Architecture</x:v>
      </x:c>
      <x:c r="B4" s="8" t="str">
        <x:v>Equipment / formation $B</x:v>
      </x:c>
      <x:c r="C4" s="8" t="str">
        <x:v>Formations</x:v>
      </x:c>
      <x:c r="D4" s="8" t="str">
        <x:v>Fleet equipment $B</x:v>
      </x:c>
      <x:c r="E4" s="8" t="str">
        <x:v>Node works / node $B</x:v>
      </x:c>
      <x:c r="F4" s="8" t="str">
        <x:v>Nodes</x:v>
      </x:c>
      <x:c r="G4" s="8" t="str">
        <x:v>Node works $B</x:v>
      </x:c>
      <x:c r="H4" s="8" t="str">
        <x:v>25-year O&amp;S $B</x:v>
      </x:c>
      <x:c r="I4" s="8" t="str">
        <x:v>R&amp;D / industrialization $B</x:v>
      </x:c>
      <x:c r="J4" s="8" t="str">
        <x:v>Power program $B</x:v>
      </x:c>
    </x:row>
    <x:row r="5">
      <x:c r="A5" s="44" t="str">
        <x:v>P1</x:v>
      </x:c>
      <x:c r="B5" s="48" t="n">
        <x:f>Architectures!P5</x:f>
        <x:v>0.55</x:v>
      </x:c>
      <x:c r="C5" s="44" t="n">
        <x:f>Assumptions!$B$17</x:f>
        <x:v>24</x:v>
      </x:c>
      <x:c r="D5" s="48" t="n">
        <x:f>B5*C5</x:f>
        <x:v>13.200000000000001</x:v>
      </x:c>
      <x:c r="E5" s="48" t="n">
        <x:v>0.4</x:v>
      </x:c>
      <x:c r="F5" s="44" t="n">
        <x:f>Assumptions!$B$18</x:f>
        <x:v>12</x:v>
      </x:c>
      <x:c r="G5" s="48" t="n">
        <x:f>E5*F5</x:f>
        <x:v>4.800000000000001</x:v>
      </x:c>
      <x:c r="H5" s="48" t="n">
        <x:v>30</x:v>
      </x:c>
      <x:c r="I5" s="48" t="n">
        <x:v>30</x:v>
      </x:c>
      <x:c r="J5" s="48" t="n">
        <x:f>SUM(D5,G5:I5)</x:f>
        <x:v>78</x:v>
      </x:c>
    </x:row>
    <x:row r="6">
      <x:c r="A6" s="44" t="str">
        <x:v>P2</x:v>
      </x:c>
      <x:c r="B6" s="48" t="n">
        <x:f>Architectures!P6</x:f>
        <x:v>0.78</x:v>
      </x:c>
      <x:c r="C6" s="44" t="n">
        <x:f>Assumptions!$B$17</x:f>
        <x:v>24</x:v>
      </x:c>
      <x:c r="D6" s="48" t="n">
        <x:f>B6*C6</x:f>
        <x:v>18.72</x:v>
      </x:c>
      <x:c r="E6" s="48" t="n">
        <x:v>0.6</x:v>
      </x:c>
      <x:c r="F6" s="44" t="n">
        <x:f>Assumptions!$B$18</x:f>
        <x:v>12</x:v>
      </x:c>
      <x:c r="G6" s="48" t="n">
        <x:f>E6*F6</x:f>
        <x:v>7.199999999999999</x:v>
      </x:c>
      <x:c r="H6" s="48" t="n">
        <x:v>42</x:v>
      </x:c>
      <x:c r="I6" s="48" t="n">
        <x:v>40</x:v>
      </x:c>
      <x:c r="J6" s="48" t="n">
        <x:f>SUM(D6,G6:I6)</x:f>
        <x:v>107.92</x:v>
      </x:c>
    </x:row>
    <x:row r="7">
      <x:c r="A7" s="44" t="str">
        <x:v>P3</x:v>
      </x:c>
      <x:c r="B7" s="48" t="n">
        <x:f>Architectures!P7</x:f>
        <x:v>1.2</x:v>
      </x:c>
      <x:c r="C7" s="44" t="n">
        <x:f>Assumptions!$B$17</x:f>
        <x:v>24</x:v>
      </x:c>
      <x:c r="D7" s="48" t="n">
        <x:f>B7*C7</x:f>
        <x:v>28.799999999999997</x:v>
      </x:c>
      <x:c r="E7" s="48" t="n">
        <x:v>0.8</x:v>
      </x:c>
      <x:c r="F7" s="44" t="n">
        <x:f>Assumptions!$B$18</x:f>
        <x:v>12</x:v>
      </x:c>
      <x:c r="G7" s="48" t="n">
        <x:f>E7*F7</x:f>
        <x:v>9.600000000000001</x:v>
      </x:c>
      <x:c r="H7" s="48" t="n">
        <x:v>60</x:v>
      </x:c>
      <x:c r="I7" s="48" t="n">
        <x:v>60</x:v>
      </x:c>
      <x:c r="J7" s="48" t="n">
        <x:f>SUM(D7,G7:I7)</x:f>
        <x:v>158.39999999999998</x:v>
      </x:c>
    </x:row>
    <x:row r="8">
      <x:c r="A8" s="44" t="str">
        <x:v>P4</x:v>
      </x:c>
      <x:c r="B8" s="48" t="n">
        <x:f>Architectures!P8</x:f>
        <x:v>1.85</x:v>
      </x:c>
      <x:c r="C8" s="44" t="n">
        <x:f>Assumptions!$B$17</x:f>
        <x:v>24</x:v>
      </x:c>
      <x:c r="D8" s="48" t="n">
        <x:f>B8*C8</x:f>
        <x:v>44.400000000000006</x:v>
      </x:c>
      <x:c r="E8" s="48" t="n">
        <x:v>1.2</x:v>
      </x:c>
      <x:c r="F8" s="44" t="n">
        <x:f>Assumptions!$B$18</x:f>
        <x:v>12</x:v>
      </x:c>
      <x:c r="G8" s="48" t="n">
        <x:f>E8*F8</x:f>
        <x:v>14.399999999999999</x:v>
      </x:c>
      <x:c r="H8" s="48" t="n">
        <x:v>84</x:v>
      </x:c>
      <x:c r="I8" s="48" t="n">
        <x:v>90</x:v>
      </x:c>
      <x:c r="J8" s="48" t="n">
        <x:f>SUM(D8,G8:I8)</x:f>
        <x:v>232.8</x:v>
      </x:c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</x:row>
    <x:row r="11">
      <x:c r="A11" s="8" t="str">
        <x:v>Architecture</x:v>
      </x:c>
      <x:c r="B11" s="8" t="str">
        <x:v>Non-power K4 base $B</x:v>
      </x:c>
      <x:c r="C11" s="8" t="str">
        <x:v>Replacement power program $B</x:v>
      </x:c>
      <x:c r="D11" s="8" t="str">
        <x:v>Revised whole K4 program $B</x:v>
      </x:c>
      <x:c r="E11" s="52"/>
      <x:c r="F11" s="52"/>
      <x:c r="G11" s="52"/>
      <x:c r="H11" s="52"/>
      <x:c r="I11" s="52"/>
      <x:c r="J11" s="52"/>
    </x:row>
    <x:row r="12">
      <x:c r="A12" s="44" t="str">
        <x:v>P1</x:v>
      </x:c>
      <x:c r="B12" s="48" t="n">
        <x:f>Assumptions!$B$22</x:f>
        <x:v>564.08</x:v>
      </x:c>
      <x:c r="C12" s="48" t="n">
        <x:f>J5</x:f>
        <x:v>78</x:v>
      </x:c>
      <x:c r="D12" s="48" t="n">
        <x:f>B12+C12</x:f>
        <x:v>642.08</x:v>
      </x:c>
      <x:c r="E12" s="52"/>
      <x:c r="F12" s="52"/>
      <x:c r="G12" s="52"/>
      <x:c r="H12" s="52"/>
      <x:c r="I12" s="52"/>
      <x:c r="J12" s="52"/>
    </x:row>
    <x:row r="13">
      <x:c r="A13" s="44" t="str">
        <x:v>P2</x:v>
      </x:c>
      <x:c r="B13" s="48" t="n">
        <x:f>Assumptions!$B$22</x:f>
        <x:v>564.08</x:v>
      </x:c>
      <x:c r="C13" s="48" t="n">
        <x:f>J6</x:f>
        <x:v>107.92</x:v>
      </x:c>
      <x:c r="D13" s="48" t="n">
        <x:f>B13+C13</x:f>
        <x:v>672</x:v>
      </x:c>
      <x:c r="E13" s="52"/>
      <x:c r="F13" s="52"/>
      <x:c r="G13" s="52"/>
      <x:c r="H13" s="52"/>
      <x:c r="I13" s="52"/>
      <x:c r="J13" s="52"/>
    </x:row>
    <x:row r="14">
      <x:c r="A14" s="44" t="str">
        <x:v>P3</x:v>
      </x:c>
      <x:c r="B14" s="48" t="n">
        <x:f>Assumptions!$B$22</x:f>
        <x:v>564.08</x:v>
      </x:c>
      <x:c r="C14" s="48" t="n">
        <x:f>J7</x:f>
        <x:v>158.39999999999998</x:v>
      </x:c>
      <x:c r="D14" s="48" t="n">
        <x:f>B14+C14</x:f>
        <x:v>722.48</x:v>
      </x:c>
      <x:c r="E14" s="52"/>
      <x:c r="F14" s="52"/>
      <x:c r="G14" s="52"/>
      <x:c r="H14" s="52"/>
      <x:c r="I14" s="52"/>
      <x:c r="J14" s="52"/>
    </x:row>
    <x:row r="15">
      <x:c r="A15" s="44" t="str">
        <x:v>P4</x:v>
      </x:c>
      <x:c r="B15" s="48" t="n">
        <x:f>Assumptions!$B$22</x:f>
        <x:v>564.08</x:v>
      </x:c>
      <x:c r="C15" s="48" t="n">
        <x:f>J8</x:f>
        <x:v>232.8</x:v>
      </x:c>
      <x:c r="D15" s="48" t="n">
        <x:f>B15+C15</x:f>
        <x:v>796.8800000000001</x:v>
      </x:c>
      <x:c r="E15" s="52"/>
      <x:c r="F15" s="52"/>
      <x:c r="G15" s="52"/>
      <x:c r="H15" s="52"/>
      <x:c r="I15" s="52"/>
      <x:c r="J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</x:row>
    <x:row r="18">
      <x:c r="A18" s="8" t="str">
        <x:v>Interpretation</x:v>
      </x:c>
      <x:c r="B18" s="8" t="str">
        <x:v>P1</x:v>
      </x:c>
      <x:c r="C18" s="8" t="str">
        <x:v>P2</x:v>
      </x:c>
      <x:c r="D18" s="8" t="str">
        <x:v>P3</x:v>
      </x:c>
      <x:c r="E18" s="8" t="str">
        <x:v>P4</x:v>
      </x:c>
      <x:c r="F18" s="52"/>
      <x:c r="G18" s="52"/>
      <x:c r="H18" s="52"/>
      <x:c r="I18" s="52"/>
      <x:c r="J18" s="52"/>
    </x:row>
    <x:row r="19">
      <x:c r="A19" s="44" t="str">
        <x:v>Power share of revised program</x:v>
      </x:c>
      <x:c r="B19" s="72" t="n">
        <x:f>J5/D12</x:f>
        <x:v>0.12148018938450036</x:v>
      </x:c>
      <x:c r="C19" s="72" t="n">
        <x:f>J6/D13</x:f>
        <x:v>0.1605952380952381</x:v>
      </x:c>
      <x:c r="D19" s="72" t="n">
        <x:f>J7/D14</x:f>
        <x:v>0.21924482338611445</x:v>
      </x:c>
      <x:c r="E19" s="72" t="n">
        <x:f>J8/D15</x:f>
        <x:v>0.29213934343941367</x:v>
      </x:c>
      <x:c r="F19" s="52"/>
      <x:c r="G19" s="52"/>
      <x:c r="H19" s="52"/>
      <x:c r="I19" s="52"/>
      <x:c r="J19" s="52"/>
    </x:row>
    <x:row r="20">
      <x:c r="A20" s="44" t="str">
        <x:v>Service worlds passed</x:v>
      </x:c>
      <x:c r="B20" s="44" t="n">
        <x:f>'Mission Worlds'!B25</x:f>
        <x:v>7</x:v>
      </x:c>
      <x:c r="C20" s="44" t="n">
        <x:f>'Mission Worlds'!B26</x:f>
        <x:v>10</x:v>
      </x:c>
      <x:c r="D20" s="44" t="n">
        <x:f>'Mission Worlds'!B27</x:f>
        <x:v>12</x:v>
      </x:c>
      <x:c r="E20" s="44" t="n">
        <x:f>'Mission Worlds'!B28</x:f>
        <x:v>16</x:v>
      </x:c>
      <x:c r="F20" s="52"/>
      <x:c r="G20" s="52"/>
      <x:c r="H20" s="52"/>
      <x:c r="I20" s="52"/>
      <x:c r="J20" s="52"/>
    </x:row>
    <x:row r="21">
      <x:c r="A21" s="44" t="str">
        <x:v>Ready cells</x:v>
      </x:c>
      <x:c r="B21" s="44" t="n">
        <x:f>'Cell Balance'!B20</x:f>
        <x:v>0</x:v>
      </x:c>
      <x:c r="C21" s="44" t="n">
        <x:f>'Cell Balance'!B21</x:f>
        <x:v>0</x:v>
      </x:c>
      <x:c r="D21" s="44" t="n">
        <x:f>'Cell Balance'!B22</x:f>
        <x:v>0</x:v>
      </x:c>
      <x:c r="E21" s="44" t="n">
        <x:f>'Cell Balance'!B23</x:f>
        <x:v>3</x:v>
      </x:c>
      <x:c r="F21" s="52"/>
      <x:c r="G21" s="52"/>
      <x:c r="H21" s="52"/>
      <x:c r="I21" s="52"/>
      <x:c r="J21" s="52"/>
    </x:row>
    <x:row r="22">
      <x:c r="A22" s="44" t="str">
        <x:v>Strict acquisition admission</x:v>
      </x:c>
      <x:c r="B22" s="45" t="str">
        <x:v>DENIED</x:v>
      </x:c>
      <x:c r="C22" s="45" t="str">
        <x:v>DENIED</x:v>
      </x:c>
      <x:c r="D22" s="45" t="str">
        <x:v>DENIED</x:v>
      </x:c>
      <x:c r="E22" s="45" t="str">
        <x:v>DENIED</x:v>
      </x:c>
      <x:c r="F22" s="52"/>
      <x:c r="G22" s="52"/>
      <x:c r="H22" s="52"/>
      <x:c r="I22" s="52"/>
      <x:c r="J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</x:row>
    <x:row r="25">
      <x:c r="A25" s="54" t="str">
        <x:v>Fiscal boundary</x:v>
      </x:c>
      <x:c r="B25" s="54"/>
      <x:c r="C25" s="54"/>
      <x:c r="D25" s="54"/>
      <x:c r="E25" s="54"/>
      <x:c r="F25" s="54"/>
      <x:c r="G25" s="54"/>
      <x:c r="H25" s="54"/>
      <x:c r="I25" s="54"/>
      <x:c r="J25" s="54"/>
    </x:row>
    <x:row r="26">
      <x:c r="A26" s="52" t="str">
        <x:v>The P4 competitor's technology portfolio assigns $90B to research, proving and industrialization across twenty-five years; the Technology sheet allocates that envelope.</x:v>
      </x:c>
      <x:c r="B26" s="52"/>
      <x:c r="C26" s="52"/>
      <x:c r="D26" s="52"/>
      <x:c r="E26" s="52"/>
      <x:c r="F26" s="52"/>
      <x:c r="G26" s="52"/>
      <x:c r="H26" s="52"/>
      <x:c r="I26" s="52"/>
      <x:c r="J26" s="52"/>
    </x:row>
    <x:row r="27">
      <x:c r="A27" s="52" t="str">
        <x:v>The $796.88B P4 whole-program comparator does not include the full Department, national power force, carrier fleet, receiver lattice or economy-wide resilience investment.</x:v>
      </x:c>
      <x:c r="B27" s="52"/>
      <x:c r="C27" s="52"/>
      <x:c r="D27" s="52"/>
      <x:c r="E27" s="52"/>
      <x:c r="F27" s="52"/>
      <x:c r="G27" s="52"/>
      <x:c r="H27" s="52"/>
      <x:c r="I27" s="52"/>
      <x:c r="J27" s="52"/>
    </x:row>
    <x:row r="28">
      <x:c r="A28" s="52" t="str">
        <x:v>No cost coefficient is a quote. Every value is a declared hypothesis used to expose the order of the independence decision.</x:v>
      </x:c>
      <x:c r="B28" s="52"/>
      <x:c r="C28" s="52"/>
      <x:c r="D28" s="52"/>
      <x:c r="E28" s="52"/>
      <x:c r="F28" s="52"/>
      <x:c r="G28" s="52"/>
      <x:c r="H28" s="52"/>
      <x:c r="I28" s="52"/>
      <x:c r="J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</x:row>
  </x:sheetData>
  <x:mergeCells>
    <x:mergeCell ref="A1:J1"/>
    <x:mergeCell ref="A2:J2"/>
    <x:mergeCell ref="A25:J25"/>
    <x:mergeCell ref="A26:J26"/>
    <x:mergeCell ref="A27:J27"/>
    <x:mergeCell ref="A28:J2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5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7" customHeight="1">
      <x:c r="A1" s="51" t="str">
        <x:v>Margins, breakpoints and scale sensitivity</x:v>
      </x:c>
      <x:c r="B1" s="52"/>
      <x:c r="C1" s="52"/>
      <x:c r="D1" s="52"/>
      <x:c r="E1" s="52"/>
      <x:c r="F1" s="52"/>
      <x:c r="G1" s="52"/>
      <x:c r="H1" s="52"/>
    </x:row>
    <x:row r="2" ht="27" customHeight="1">
      <x:c r="A2" s="53" t="str">
        <x:v>Deterministic sweeps expose design breakpoints; they are not probability distributions or uncertainty intervals.</x:v>
      </x:c>
      <x:c r="B2" s="52"/>
      <x:c r="C2" s="52"/>
      <x:c r="D2" s="52"/>
      <x:c r="E2" s="52"/>
      <x:c r="F2" s="52"/>
      <x:c r="G2" s="52"/>
      <x:c r="H2" s="52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>
      <x:c r="A4" s="8" t="str">
        <x:v>P4 B-cell control</x:v>
      </x:c>
      <x:c r="B4" s="8" t="str">
        <x:v>Base value</x:v>
      </x:c>
      <x:c r="C4" s="8" t="str">
        <x:v>Break point</x:v>
      </x:c>
      <x:c r="D4" s="8" t="str">
        <x:v>Interpretation</x:v>
      </x:c>
      <x:c r="E4" s="52"/>
      <x:c r="F4" s="52"/>
      <x:c r="G4" s="52"/>
      <x:c r="H4" s="52"/>
    </x:row>
    <x:row r="5">
      <x:c r="A5" s="44" t="str">
        <x:v>Dispatchable availability</x:v>
      </x:c>
      <x:c r="B5" s="72" t="n">
        <x:f>Assumptions!B11</x:f>
        <x:v>0.75</x:v>
      </x:c>
      <x:c r="C5" s="72" t="n">
        <x:f>(Assumptions!G6-Architectures!G22/Assumptions!B12)/Architectures!C22</x:f>
        <x:v>0.5083333333333333</x:v>
      </x:c>
      <x:c r="D5" s="44" t="str">
        <x:v>Below the break point, 6 MWh cannot bridge a 24-hour B-cell shortfall.</x:v>
      </x:c>
      <x:c r="E5" s="52"/>
      <x:c r="F5" s="52"/>
      <x:c r="G5" s="52"/>
      <x:c r="H5" s="52"/>
    </x:row>
    <x:row r="6">
      <x:c r="A6" s="44" t="str">
        <x:v>High-ambient thermal availability</x:v>
      </x:c>
      <x:c r="B6" s="72" t="n">
        <x:f>Assumptions!B13</x:f>
        <x:v>0.7</x:v>
      </x:c>
      <x:c r="C6" s="72" t="n">
        <x:f>Assumptions!J6/Architectures!H22</x:f>
        <x:v>0.6666666666666666</x:v>
      </x:c>
      <x:c r="D6" s="44" t="str">
        <x:v>Below the break point, the B-cell cannot reject its declared 1.8 MWth load.</x:v>
      </x:c>
      <x:c r="E6" s="52"/>
      <x:c r="F6" s="52"/>
      <x:c r="G6" s="52"/>
      <x:c r="H6" s="52"/>
    </x:row>
    <x:row r="7">
      <x:c r="A7" s="44" t="str">
        <x:v>Organic fuel endurance</x:v>
      </x:c>
      <x:c r="B7" s="73" t="n">
        <x:f>Architectures!H8</x:f>
        <x:v>21</x:v>
      </x:c>
      <x:c r="C7" s="73" t="n">
        <x:f>Assumptions!B14</x:f>
        <x:v>14</x:v>
      </x:c>
      <x:c r="D7" s="44" t="str">
        <x:v>At or below the required denial, no operational reserve remains.</x:v>
      </x:c>
      <x:c r="E7" s="52"/>
      <x:c r="F7" s="52"/>
      <x:c r="G7" s="52"/>
      <x:c r="H7" s="52"/>
    </x:row>
    <x:row r="8">
      <x:c r="A8" s="44" t="str">
        <x:v>Largest-module 24 h margin</x:v>
      </x:c>
      <x:c r="B8" s="61" t="n">
        <x:f>'Cell Balance'!O15</x:f>
        <x:v>0.4750000000000001</x:v>
      </x:c>
      <x:c r="C8" s="61" t="n">
        <x:v>0</x:v>
      </x:c>
      <x:c r="D8" s="44" t="str">
        <x:v>N+1 dispatchable capacity remains above critical load before storage credit.</x:v>
      </x:c>
      <x:c r="E8" s="52"/>
      <x:c r="F8" s="52"/>
      <x:c r="G8" s="52"/>
      <x:c r="H8" s="52"/>
    </x:row>
    <x:row r="9">
      <x:c r="A9" s="52"/>
      <x:c r="B9" s="52"/>
      <x:c r="C9" s="52"/>
      <x:c r="D9" s="52"/>
      <x:c r="E9" s="52"/>
      <x:c r="F9" s="52"/>
      <x:c r="G9" s="52"/>
      <x:c r="H9" s="52"/>
    </x:row>
    <x:row r="10">
      <x:c r="A10" s="52"/>
      <x:c r="B10" s="52"/>
      <x:c r="C10" s="52"/>
      <x:c r="D10" s="52"/>
      <x:c r="E10" s="52"/>
      <x:c r="F10" s="52"/>
      <x:c r="G10" s="52"/>
      <x:c r="H10" s="52"/>
    </x:row>
    <x:row r="11">
      <x:c r="A11" s="8" t="str">
        <x:v>Dispatchable availability</x:v>
      </x:c>
      <x:c r="B11" s="8" t="str">
        <x:v>B-cell 24 h margin MW</x:v>
      </x:c>
      <x:c r="C11" s="8" t="str">
        <x:v>Primary-pair service m³/day</x:v>
      </x:c>
      <x:c r="D11" s="8" t="str">
        <x:v>World result</x:v>
      </x:c>
      <x:c r="E11" s="52"/>
      <x:c r="F11" s="52"/>
      <x:c r="G11" s="52"/>
      <x:c r="H11" s="52"/>
    </x:row>
    <x:row r="12">
      <x:c r="A12" s="74" t="n">
        <x:v>0.5</x:v>
      </x:c>
      <x:c r="B12" s="61" t="n">
        <x:f>Architectures!C22*A12+Architectures!G22/Assumptions!B12-Assumptions!G6</x:f>
        <x:v>-0.02499999999999991</x:v>
      </x:c>
      <x:c r="C12" s="47" t="n">
        <x:f>5000*MIN(1,(Architectures!C21*A12+Architectures!G21/Assumptions!B12)/Assumptions!G5)+5000*MIN(1,(Architectures!C22*A12+Architectures!G22/Assumptions!B12)/Assumptions!G6)</x:f>
        <x:v>9929.577464788734</x:v>
      </x:c>
      <x:c r="D12" s="44" t="str">
        <x:f>IF(C12&gt;=10000,"PASS","FAIL")</x:f>
        <x:v>FAIL</x:v>
      </x:c>
      <x:c r="E12" s="52"/>
      <x:c r="F12" s="52"/>
      <x:c r="G12" s="52"/>
      <x:c r="H12" s="52"/>
    </x:row>
    <x:row r="13">
      <x:c r="A13" s="74" t="n">
        <x:v>0.6</x:v>
      </x:c>
      <x:c r="B13" s="61" t="n">
        <x:f>Architectures!C22*A13+Architectures!G22/Assumptions!B12-Assumptions!G6</x:f>
        <x:v>0.2749999999999999</x:v>
      </x:c>
      <x:c r="C13" s="47" t="n">
        <x:f>5000*MIN(1,(Architectures!C21*A13+Architectures!G21/Assumptions!B12)/Assumptions!G5)+5000*MIN(1,(Architectures!C22*A13+Architectures!G22/Assumptions!B12)/Assumptions!G6)</x:f>
        <x:v>10000</x:v>
      </x:c>
      <x:c r="D13" s="44" t="str">
        <x:f>IF(C13&gt;=10000,"PASS","FAIL")</x:f>
        <x:v>PASS</x:v>
      </x:c>
      <x:c r="E13" s="52"/>
      <x:c r="F13" s="52"/>
      <x:c r="G13" s="52"/>
      <x:c r="H13" s="52"/>
    </x:row>
    <x:row r="14">
      <x:c r="A14" s="74" t="n">
        <x:v>0.7</x:v>
      </x:c>
      <x:c r="B14" s="61" t="n">
        <x:f>Architectures!C22*A14+Architectures!G22/Assumptions!B12-Assumptions!G6</x:f>
        <x:v>0.5749999999999997</x:v>
      </x:c>
      <x:c r="C14" s="47" t="n">
        <x:f>5000*MIN(1,(Architectures!C21*A14+Architectures!G21/Assumptions!B12)/Assumptions!G5)+5000*MIN(1,(Architectures!C22*A14+Architectures!G22/Assumptions!B12)/Assumptions!G6)</x:f>
        <x:v>10000</x:v>
      </x:c>
      <x:c r="D14" s="44" t="str">
        <x:f>IF(C14&gt;=10000,"PASS","FAIL")</x:f>
        <x:v>PASS</x:v>
      </x:c>
      <x:c r="E14" s="52"/>
      <x:c r="F14" s="52"/>
      <x:c r="G14" s="52"/>
      <x:c r="H14" s="52"/>
    </x:row>
    <x:row r="15">
      <x:c r="A15" s="74" t="n">
        <x:v>0.75</x:v>
      </x:c>
      <x:c r="B15" s="61" t="n">
        <x:f>Architectures!C22*A15+Architectures!G22/Assumptions!B12-Assumptions!G6</x:f>
        <x:v>0.7250000000000001</x:v>
      </x:c>
      <x:c r="C15" s="47" t="n">
        <x:f>5000*MIN(1,(Architectures!C21*A15+Architectures!G21/Assumptions!B12)/Assumptions!G5)+5000*MIN(1,(Architectures!C22*A15+Architectures!G22/Assumptions!B12)/Assumptions!G6)</x:f>
        <x:v>10000</x:v>
      </x:c>
      <x:c r="D15" s="44" t="str">
        <x:f>IF(C15&gt;=10000,"PASS","FAIL")</x:f>
        <x:v>PASS</x:v>
      </x:c>
      <x:c r="E15" s="52"/>
      <x:c r="F15" s="52"/>
      <x:c r="G15" s="52"/>
      <x:c r="H15" s="52"/>
    </x:row>
    <x:row r="16">
      <x:c r="A16" s="74" t="n">
        <x:v>0.8</x:v>
      </x:c>
      <x:c r="B16" s="61" t="n">
        <x:f>Architectures!C22*A16+Architectures!G22/Assumptions!B12-Assumptions!G6</x:f>
        <x:v>0.8750000000000004</x:v>
      </x:c>
      <x:c r="C16" s="47" t="n">
        <x:f>5000*MIN(1,(Architectures!C21*A16+Architectures!G21/Assumptions!B12)/Assumptions!G5)+5000*MIN(1,(Architectures!C22*A16+Architectures!G22/Assumptions!B12)/Assumptions!G6)</x:f>
        <x:v>10000</x:v>
      </x:c>
      <x:c r="D16" s="44" t="str">
        <x:f>IF(C16&gt;=10000,"PASS","FAIL")</x:f>
        <x:v>PASS</x:v>
      </x:c>
      <x:c r="E16" s="52"/>
      <x:c r="F16" s="52"/>
      <x:c r="G16" s="52"/>
      <x:c r="H16" s="52"/>
    </x:row>
    <x:row r="17">
      <x:c r="A17" s="52"/>
      <x:c r="B17" s="52"/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>
      <x:c r="A19" s="8" t="str">
        <x:v>Thermal availability</x:v>
      </x:c>
      <x:c r="B19" s="8" t="str">
        <x:v>B-cell thermal margin MWth</x:v>
      </x:c>
      <x:c r="C19" s="8" t="str">
        <x:v>B-cell result</x:v>
      </x:c>
      <x:c r="D19" s="52"/>
      <x:c r="E19" s="52"/>
      <x:c r="F19" s="52"/>
      <x:c r="G19" s="52"/>
      <x:c r="H19" s="52"/>
    </x:row>
    <x:row r="20">
      <x:c r="A20" s="72" t="n">
        <x:v>0.6</x:v>
      </x:c>
      <x:c r="B20" s="61" t="n">
        <x:f>Architectures!H22*A20-Assumptions!J6</x:f>
        <x:v>-0.17999999999999994</x:v>
      </x:c>
      <x:c r="C20" s="44" t="str">
        <x:f>IF(B20&gt;=0,"PASS","FAIL")</x:f>
        <x:v>FAIL</x:v>
      </x:c>
      <x:c r="D20" s="52"/>
      <x:c r="E20" s="52"/>
      <x:c r="F20" s="52"/>
      <x:c r="G20" s="52"/>
      <x:c r="H20" s="52"/>
    </x:row>
    <x:row r="21">
      <x:c r="A21" s="72" t="n">
        <x:v>0.65</x:v>
      </x:c>
      <x:c r="B21" s="61" t="n">
        <x:f>Architectures!H22*A21-Assumptions!J6</x:f>
        <x:v>-0.04499999999999993</x:v>
      </x:c>
      <x:c r="C21" s="44" t="str">
        <x:f>IF(B21&gt;=0,"PASS","FAIL")</x:f>
        <x:v>FAIL</x:v>
      </x:c>
      <x:c r="D21" s="52"/>
      <x:c r="E21" s="52"/>
      <x:c r="F21" s="52"/>
      <x:c r="G21" s="52"/>
      <x:c r="H21" s="52"/>
    </x:row>
    <x:row r="22">
      <x:c r="A22" s="72" t="n">
        <x:v>0.666667</x:v>
      </x:c>
      <x:c r="B22" s="61" t="n">
        <x:f>Architectures!H22*A22-Assumptions!J6</x:f>
        <x:v>9.000000000813912e-7</x:v>
      </x:c>
      <x:c r="C22" s="44" t="str">
        <x:f>IF(B22&gt;=0,"PASS","FAIL")</x:f>
        <x:v>PASS</x:v>
      </x:c>
      <x:c r="D22" s="52"/>
      <x:c r="E22" s="52"/>
      <x:c r="F22" s="52"/>
      <x:c r="G22" s="52"/>
      <x:c r="H22" s="52"/>
    </x:row>
    <x:row r="23">
      <x:c r="A23" s="72" t="n">
        <x:v>0.7</x:v>
      </x:c>
      <x:c r="B23" s="61" t="n">
        <x:f>Architectures!H22*A23-Assumptions!J6</x:f>
        <x:v>0.08999999999999986</x:v>
      </x:c>
      <x:c r="C23" s="44" t="str">
        <x:f>IF(B23&gt;=0,"PASS","FAIL")</x:f>
        <x:v>PASS</x:v>
      </x:c>
      <x:c r="D23" s="52"/>
      <x:c r="E23" s="52"/>
      <x:c r="F23" s="52"/>
      <x:c r="G23" s="52"/>
      <x:c r="H23" s="52"/>
    </x:row>
    <x:row r="24">
      <x:c r="A24" s="72" t="n">
        <x:v>0.8</x:v>
      </x:c>
      <x:c r="B24" s="61" t="n">
        <x:f>Architectures!H22*A24-Assumptions!J6</x:f>
        <x:v>0.3600000000000001</x:v>
      </x:c>
      <x:c r="C24" s="44" t="str">
        <x:f>IF(B24&gt;=0,"PASS","FAIL")</x:f>
        <x:v>PASS</x:v>
      </x:c>
      <x:c r="D24" s="52"/>
      <x:c r="E24" s="52"/>
      <x:c r="F24" s="52"/>
      <x:c r="G24" s="52"/>
      <x:c r="H24" s="52"/>
    </x:row>
    <x:row r="25">
      <x:c r="A25" s="52"/>
      <x:c r="B25" s="52"/>
      <x:c r="C25" s="52"/>
      <x:c r="D25" s="52"/>
      <x:c r="E25" s="52"/>
      <x:c r="F25" s="52"/>
      <x:c r="G25" s="52"/>
      <x:c r="H25" s="52"/>
    </x:row>
    <x:row r="26">
      <x:c r="A26" s="52"/>
      <x:c r="B26" s="52"/>
      <x:c r="C26" s="52"/>
      <x:c r="D26" s="52"/>
      <x:c r="E26" s="52"/>
      <x:c r="F26" s="52"/>
      <x:c r="G26" s="52"/>
      <x:c r="H26" s="52"/>
    </x:row>
    <x:row r="27">
      <x:c r="A27" s="8" t="str">
        <x:v>Subsystem mass factor</x:v>
      </x:c>
      <x:c r="B27" s="8" t="str">
        <x:v>Whole formation dry t</x:v>
      </x:c>
      <x:c r="C27" s="8" t="str">
        <x:v>Change from base t</x:v>
      </x:c>
      <x:c r="D27" s="52"/>
      <x:c r="E27" s="52"/>
      <x:c r="F27" s="52"/>
      <x:c r="G27" s="52"/>
      <x:c r="H27" s="52"/>
    </x:row>
    <x:row r="28">
      <x:c r="A28" s="74" t="n">
        <x:v>0.75</x:v>
      </x:c>
      <x:c r="B28" s="47" t="n">
        <x:f>Assumptions!B23+Architectures!M8*A28</x:f>
        <x:v>10840</x:v>
      </x:c>
      <x:c r="C28" s="47" t="n">
        <x:f>B28-Formation!D8</x:f>
        <x:v>-410</x:v>
      </x:c>
      <x:c r="D28" s="52"/>
      <x:c r="E28" s="52"/>
      <x:c r="F28" s="52"/>
      <x:c r="G28" s="52"/>
      <x:c r="H28" s="52"/>
    </x:row>
    <x:row r="29">
      <x:c r="A29" s="74" t="n">
        <x:v>1</x:v>
      </x:c>
      <x:c r="B29" s="47" t="n">
        <x:f>Assumptions!B23+Architectures!M8*A29</x:f>
        <x:v>11250</x:v>
      </x:c>
      <x:c r="C29" s="47" t="n">
        <x:f>B29-Formation!D8</x:f>
        <x:v>0</x:v>
      </x:c>
      <x:c r="D29" s="52"/>
      <x:c r="E29" s="52"/>
      <x:c r="F29" s="52"/>
      <x:c r="G29" s="52"/>
      <x:c r="H29" s="52"/>
    </x:row>
    <x:row r="30">
      <x:c r="A30" s="74" t="n">
        <x:v>1.25</x:v>
      </x:c>
      <x:c r="B30" s="47" t="n">
        <x:f>Assumptions!B23+Architectures!M8*A30</x:f>
        <x:v>11660</x:v>
      </x:c>
      <x:c r="C30" s="47" t="n">
        <x:f>B30-Formation!D8</x:f>
        <x:v>410</x:v>
      </x:c>
      <x:c r="D30" s="52"/>
      <x:c r="E30" s="52"/>
      <x:c r="F30" s="52"/>
      <x:c r="G30" s="52"/>
      <x:c r="H30" s="52"/>
    </x:row>
    <x:row r="31">
      <x:c r="A31" s="52"/>
      <x:c r="B31" s="52"/>
      <x:c r="C31" s="52"/>
      <x:c r="D31" s="52"/>
      <x:c r="E31" s="52"/>
      <x:c r="F31" s="52"/>
      <x:c r="G31" s="52"/>
      <x:c r="H31" s="52"/>
    </x:row>
    <x:row r="32">
      <x:c r="A32" s="52"/>
      <x:c r="B32" s="52"/>
      <x:c r="C32" s="52"/>
      <x:c r="D32" s="52"/>
      <x:c r="E32" s="52"/>
      <x:c r="F32" s="52"/>
      <x:c r="G32" s="52"/>
      <x:c r="H32" s="52"/>
    </x:row>
    <x:row r="33">
      <x:c r="A33" s="8" t="str">
        <x:v>Power-program cost factor</x:v>
      </x:c>
      <x:c r="B33" s="8" t="str">
        <x:v>Revised K4 program $B</x:v>
      </x:c>
      <x:c r="C33" s="8" t="str">
        <x:v>Change from base $B</x:v>
      </x:c>
      <x:c r="D33" s="52"/>
      <x:c r="E33" s="52"/>
      <x:c r="F33" s="52"/>
      <x:c r="G33" s="52"/>
      <x:c r="H33" s="52"/>
    </x:row>
    <x:row r="34">
      <x:c r="A34" s="74" t="n">
        <x:v>0.8</x:v>
      </x:c>
      <x:c r="B34" s="48" t="n">
        <x:f>Assumptions!B22+Program!J8*A34</x:f>
        <x:v>750.32</x:v>
      </x:c>
      <x:c r="C34" s="48" t="n">
        <x:f>B34-Program!D15</x:f>
        <x:v>-46.56000000000006</x:v>
      </x:c>
      <x:c r="D34" s="52"/>
      <x:c r="E34" s="52"/>
      <x:c r="F34" s="52"/>
      <x:c r="G34" s="52"/>
      <x:c r="H34" s="52"/>
    </x:row>
    <x:row r="35">
      <x:c r="A35" s="74" t="n">
        <x:v>1</x:v>
      </x:c>
      <x:c r="B35" s="48" t="n">
        <x:f>Assumptions!B22+Program!J8*A35</x:f>
        <x:v>796.8800000000001</x:v>
      </x:c>
      <x:c r="C35" s="48" t="n">
        <x:f>B35-Program!D15</x:f>
        <x:v>0</x:v>
      </x:c>
      <x:c r="D35" s="52"/>
      <x:c r="E35" s="52"/>
      <x:c r="F35" s="52"/>
      <x:c r="G35" s="52"/>
      <x:c r="H35" s="52"/>
    </x:row>
    <x:row r="36">
      <x:c r="A36" s="74" t="n">
        <x:v>1.2</x:v>
      </x:c>
      <x:c r="B36" s="48" t="n">
        <x:f>Assumptions!B22+Program!J8*A36</x:f>
        <x:v>843.44</x:v>
      </x:c>
      <x:c r="C36" s="48" t="n">
        <x:f>B36-Program!D15</x:f>
        <x:v>46.559999999999945</x:v>
      </x:c>
      <x:c r="D36" s="52"/>
      <x:c r="E36" s="52"/>
      <x:c r="F36" s="52"/>
      <x:c r="G36" s="52"/>
      <x:c r="H36" s="52"/>
    </x:row>
    <x:row r="37">
      <x:c r="A37" s="52"/>
      <x:c r="B37" s="52"/>
      <x:c r="C37" s="52"/>
      <x:c r="D37" s="52"/>
      <x:c r="E37" s="52"/>
      <x:c r="F37" s="52"/>
      <x:c r="G37" s="52"/>
      <x:c r="H37" s="52"/>
    </x:row>
    <x:row r="38">
      <x:c r="A38" s="52"/>
      <x:c r="B38" s="52"/>
      <x:c r="C38" s="52"/>
      <x:c r="D38" s="52"/>
      <x:c r="E38" s="52"/>
      <x:c r="F38" s="52"/>
      <x:c r="G38" s="52"/>
      <x:c r="H38" s="52"/>
    </x:row>
    <x:row r="39">
      <x:c r="A39" s="54" t="str">
        <x:v>Reading rule</x:v>
      </x:c>
      <x:c r="B39" s="54"/>
      <x:c r="C39" s="54"/>
      <x:c r="D39" s="54"/>
      <x:c r="E39" s="54"/>
      <x:c r="F39" s="54"/>
      <x:c r="G39" s="54"/>
      <x:c r="H39" s="54"/>
    </x:row>
    <x:row r="40">
      <x:c r="A40" s="52" t="str">
        <x:v>P4's declared 70% high-ambient thermal output is only 3.3 percentage points above the B-cell break point. This is the narrowest modeled continuous margin and should dominate early thermal trials.</x:v>
      </x:c>
      <x:c r="B40" s="52"/>
      <x:c r="C40" s="52"/>
      <x:c r="D40" s="52"/>
      <x:c r="E40" s="52"/>
      <x:c r="F40" s="52"/>
      <x:c r="G40" s="52"/>
      <x:c r="H40" s="52"/>
    </x:row>
    <x:row r="41">
      <x:c r="A41" s="52" t="str">
        <x:v>The 24-hour electrical break point is lower because P4's 6 MWh B-cell storage bridges bounded derating; storage does not supply the fourteen-day energy-denial case.</x:v>
      </x:c>
      <x:c r="B41" s="52"/>
      <x:c r="C41" s="52"/>
      <x:c r="D41" s="52"/>
      <x:c r="E41" s="52"/>
      <x:c r="F41" s="52"/>
      <x:c r="G41" s="52"/>
      <x:c r="H41" s="52"/>
    </x:row>
    <x:row r="42">
      <x:c r="A42" s="52" t="str">
        <x:v>Mass and cost factors vary only the replacement power subsystem or program. They do not imply independent uncertainty or change the non-power K4 base.</x:v>
      </x:c>
      <x:c r="B42" s="52"/>
      <x:c r="C42" s="52"/>
      <x:c r="D42" s="52"/>
      <x:c r="E42" s="52"/>
      <x:c r="F42" s="52"/>
      <x:c r="G42" s="52"/>
      <x:c r="H42" s="52"/>
    </x:row>
    <x:row r="43">
      <x:c r="A43" s="52"/>
      <x:c r="B43" s="52"/>
      <x:c r="C43" s="52"/>
      <x:c r="D43" s="52"/>
      <x:c r="E43" s="52"/>
      <x:c r="F43" s="52"/>
      <x:c r="G43" s="52"/>
      <x:c r="H43" s="52"/>
    </x:row>
    <x:row r="44">
      <x:c r="A44" s="52"/>
      <x:c r="B44" s="52"/>
      <x:c r="C44" s="52"/>
      <x:c r="D44" s="52"/>
      <x:c r="E44" s="52"/>
      <x:c r="F44" s="52"/>
      <x:c r="G44" s="52"/>
      <x:c r="H44" s="52"/>
    </x:row>
    <x:row r="45">
      <x:c r="A45" s="52"/>
      <x:c r="B45" s="52"/>
      <x:c r="C45" s="52"/>
      <x:c r="D45" s="52"/>
      <x:c r="E45" s="52"/>
      <x:c r="F45" s="52"/>
      <x:c r="G45" s="52"/>
      <x:c r="H45" s="52"/>
    </x:row>
    <x:row r="46">
      <x:c r="A46" s="52"/>
      <x:c r="B46" s="52"/>
      <x:c r="C46" s="52"/>
      <x:c r="D46" s="52"/>
      <x:c r="E46" s="52"/>
      <x:c r="F46" s="52"/>
      <x:c r="G46" s="52"/>
      <x:c r="H46" s="52"/>
    </x:row>
    <x:row r="47">
      <x:c r="A47" s="52"/>
      <x:c r="B47" s="52"/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>
      <x:c r="A49" s="52"/>
      <x:c r="B49" s="52"/>
      <x:c r="C49" s="52"/>
      <x:c r="D49" s="52"/>
      <x:c r="E49" s="52"/>
      <x:c r="F49" s="52"/>
      <x:c r="G49" s="52"/>
      <x:c r="H49" s="52"/>
    </x:row>
    <x:row r="50">
      <x:c r="A50" s="52"/>
      <x:c r="B50" s="52"/>
      <x:c r="C50" s="52"/>
      <x:c r="D50" s="52"/>
      <x:c r="E50" s="52"/>
      <x:c r="F50" s="52"/>
      <x:c r="G50" s="52"/>
      <x:c r="H50" s="52"/>
    </x:row>
    <x:row r="51">
      <x:c r="A51" s="52"/>
      <x:c r="B51" s="52"/>
      <x:c r="C51" s="52"/>
      <x:c r="D51" s="52"/>
      <x:c r="E51" s="52"/>
      <x:c r="F51" s="52"/>
      <x:c r="G51" s="52"/>
      <x:c r="H51" s="52"/>
    </x:row>
    <x:row r="52">
      <x:c r="A52" s="52"/>
      <x:c r="B52" s="52"/>
      <x:c r="C52" s="52"/>
      <x:c r="D52" s="52"/>
      <x:c r="E52" s="52"/>
      <x:c r="F52" s="52"/>
      <x:c r="G52" s="52"/>
      <x:c r="H52" s="52"/>
    </x:row>
    <x:row r="53">
      <x:c r="A53" s="52"/>
      <x:c r="B53" s="52"/>
      <x:c r="C53" s="52"/>
      <x:c r="D53" s="52"/>
      <x:c r="E53" s="52"/>
      <x:c r="F53" s="52"/>
      <x:c r="G53" s="52"/>
      <x:c r="H53" s="52"/>
    </x:row>
    <x:row r="54">
      <x:c r="A54" s="52"/>
      <x:c r="B54" s="52"/>
      <x:c r="C54" s="52"/>
      <x:c r="D54" s="52"/>
      <x:c r="E54" s="52"/>
      <x:c r="F54" s="52"/>
      <x:c r="G54" s="52"/>
      <x:c r="H54" s="52"/>
    </x:row>
    <x:row r="55">
      <x:c r="A55" s="52"/>
      <x:c r="B55" s="52"/>
      <x:c r="C55" s="52"/>
      <x:c r="D55" s="52"/>
      <x:c r="E55" s="52"/>
      <x:c r="F55" s="52"/>
      <x:c r="G55" s="52"/>
      <x:c r="H55" s="52"/>
    </x:row>
  </x:sheetData>
  <x:mergeCells>
    <x:mergeCell ref="A1:H1"/>
    <x:mergeCell ref="A2:H2"/>
    <x:mergeCell ref="A39:H39"/>
    <x:mergeCell ref="A40:H40"/>
    <x:mergeCell ref="A41:H41"/>
    <x:mergeCell ref="A42:H4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4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15" hidden="0" customWidth="1"/>
    <x:col min="8" max="8" width="38" hidden="0" customWidth="1"/>
    <x:col min="9" max="9" width="38" hidden="0" customWidth="1"/>
    <x:col min="10" max="10" width="38" hidden="0" customWidth="1"/>
  </x:cols>
  <x:sheetData>
    <x:row r="1" ht="27" customHeight="1">
      <x:c r="A1" s="51" t="str">
        <x:v>Clean-sheet power and thermal technology portfolio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27" customHeight="1">
      <x:c r="A2" s="53" t="str">
        <x:v>The Department buys rival performance paths and representative evidence, not a premature universal prime mover.</x:v>
      </x:c>
      <x:c r="B2" s="52"/>
      <x:c r="C2" s="52"/>
      <x:c r="D2" s="52"/>
      <x:c r="E2" s="52"/>
      <x:c r="F2" s="52"/>
      <x:c r="G2" s="52"/>
      <x:c r="H2" s="52"/>
      <x:c r="I2" s="52"/>
      <x:c r="J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</x:row>
    <x:row r="4">
      <x:c r="A4" s="8" t="str">
        <x:v>Program</x:v>
      </x:c>
      <x:c r="B4" s="8" t="str">
        <x:v>Failure coefficient attacked</x:v>
      </x:c>
      <x:c r="C4" s="8" t="str">
        <x:v>0–5 years</x:v>
      </x:c>
      <x:c r="D4" s="8" t="str">
        <x:v>5–10 years</x:v>
      </x:c>
      <x:c r="E4" s="8" t="str">
        <x:v>10–15 years</x:v>
      </x:c>
      <x:c r="F4" s="8" t="str">
        <x:v>15–25 years</x:v>
      </x:c>
      <x:c r="G4" s="8" t="str">
        <x:v>25-year R&amp;D $B</x:v>
      </x:c>
      <x:c r="H4" s="8" t="str">
        <x:v>Decisive metric</x:v>
      </x:c>
      <x:c r="I4" s="8" t="str">
        <x:v>Civil spillover</x:v>
      </x:c>
      <x:c r="J4" s="8" t="str">
        <x:v>Selection rule</x:v>
      </x:c>
    </x:row>
    <x:row r="5">
      <x:c r="A5" s="44" t="str">
        <x:v>T01 Modular dispatchable source train</x:v>
      </x:c>
      <x:c r="B5" s="44" t="str">
        <x:v>Module loss, ambient derating, maintenance</x:v>
      </x:c>
      <x:c r="C5" s="44" t="str">
        <x:v>Compete engine, fuel-cell, turbine and closed-cycle modules</x:v>
      </x:c>
      <x:c r="D5" s="44" t="str">
        <x:v>Full-cell prototypes</x:v>
      </x:c>
      <x:c r="E5" s="44" t="str">
        <x:v>Fleet-representative trials</x:v>
      </x:c>
      <x:c r="F5" s="44" t="str">
        <x:v>Block upgrades and export variants</x:v>
      </x:c>
      <x:c r="G5" s="75" t="n">
        <x:v>16</x:v>
      </x:c>
      <x:c r="H5" s="44" t="str">
        <x:v>Net MW after largest-module loss</x:v>
      </x:c>
      <x:c r="I5" s="44" t="str">
        <x:v>Distributed industrial and community power</x:v>
      </x:c>
      <x:c r="J5" s="44" t="str">
        <x:v>Select by net service after auxiliaries, not nameplate</x:v>
      </x:c>
    </x:row>
    <x:row r="6">
      <x:c r="A6" s="44" t="str">
        <x:v>T02 Pulse and ride-through storage</x:v>
      </x:c>
      <x:c r="B6" s="44" t="str">
        <x:v>Black start, motor inrush, source trip</x:v>
      </x:c>
      <x:c r="C6" s="44" t="str">
        <x:v>Fire-separated storage chemistries and power electronics</x:v>
      </x:c>
      <x:c r="D6" s="44" t="str">
        <x:v>Cold/hot start campaigns</x:v>
      </x:c>
      <x:c r="E6" s="44" t="str">
        <x:v>Twenty-four-hour compound trials</x:v>
      </x:c>
      <x:c r="F6" s="44" t="str">
        <x:v>Replaceable chemistry generations</x:v>
      </x:c>
      <x:c r="G6" s="75" t="n">
        <x:v>9</x:v>
      </x:c>
      <x:c r="H6" s="44" t="str">
        <x:v>Protected load through declared transient and bridge</x:v>
      </x:c>
      <x:c r="I6" s="44" t="str">
        <x:v>Hospitals, buildings and microgrids</x:v>
      </x:c>
      <x:c r="J6" s="44" t="str">
        <x:v>Power and energy rated separately</x:v>
      </x:c>
    </x:row>
    <x:row r="7">
      <x:c r="A7" s="44" t="str">
        <x:v>T03 Extreme-climate heat rejection</x:v>
      </x:c>
      <x:c r="B7" s="44" t="str">
        <x:v>Hot/dusty derating, freezing, plume and noise</x:v>
      </x:c>
      <x:c r="C7" s="44" t="str">
        <x:v>Air, liquid, evaporative and hybrid rival loops</x:v>
      </x:c>
      <x:c r="D7" s="44" t="str">
        <x:v>Modular N+1 prototypes</x:v>
      </x:c>
      <x:c r="E7" s="44" t="str">
        <x:v>Desert, smoke, salt and freeze trials</x:v>
      </x:c>
      <x:c r="F7" s="44" t="str">
        <x:v>High-efficiency production families</x:v>
      </x:c>
      <x:c r="G7" s="75" t="n">
        <x:v>10</x:v>
      </x:c>
      <x:c r="H7" s="44" t="str">
        <x:v>MWth rejected after module loss at boundary climate</x:v>
      </x:c>
      <x:c r="I7" s="44" t="str">
        <x:v>Data centers, industrial cooling and heat safety</x:v>
      </x:c>
      <x:c r="J7" s="44" t="str">
        <x:v>No credit for cooling water outside the cell ledger</x:v>
      </x:c>
    </x:row>
    <x:row r="8">
      <x:c r="A8" s="44" t="str">
        <x:v>T04 Multi-vector energy logistics</x:v>
      </x:c>
      <x:c r="B8" s="44" t="str">
        <x:v>Fuel corridor and lot denial</x:v>
      </x:c>
      <x:c r="C8" s="44" t="str">
        <x:v>Dual-fuel, hydrogen derivative, biofuel and local-resource trials</x:v>
      </x:c>
      <x:c r="D8" s="44" t="str">
        <x:v>Lineage-separated field custody</x:v>
      </x:c>
      <x:c r="E8" s="44" t="str">
        <x:v>Fourteen-day no-delivery trials</x:v>
      </x:c>
      <x:c r="F8" s="44" t="str">
        <x:v>Regional partner production</x:v>
      </x:c>
      <x:c r="G8" s="75" t="n">
        <x:v>11</x:v>
      </x:c>
      <x:c r="H8" s="44" t="str">
        <x:v>Assured energy-hours after one lineage hold</x:v>
      </x:c>
      <x:c r="I8" s="44" t="str">
        <x:v>Clean fuels and remote infrastructure</x:v>
      </x:c>
      <x:c r="J8" s="44" t="str">
        <x:v>Two nominal fuels sharing one precursor count as one</x:v>
      </x:c>
    </x:row>
    <x:row r="9">
      <x:c r="A9" s="44" t="str">
        <x:v>T05 Solid-state protection and fault-blocking ties</x:v>
      </x:c>
      <x:c r="B9" s="44" t="str">
        <x:v>Bus fault propagation and unsafe synchronization</x:v>
      </x:c>
      <x:c r="C9" s="44" t="str">
        <x:v>DC/AC protection, fast isolation and keyed interfaces</x:v>
      </x:c>
      <x:c r="D9" s="44" t="str">
        <x:v>Cell-to-cell exchange prototypes</x:v>
      </x:c>
      <x:c r="E9" s="44" t="str">
        <x:v>Blinded fault campaigns</x:v>
      </x:c>
      <x:c r="F9" s="44" t="str">
        <x:v>Civil interconnection standard</x:v>
      </x:c>
      <x:c r="G9" s="75" t="n">
        <x:v>8</x:v>
      </x:c>
      <x:c r="H9" s="44" t="str">
        <x:v>Fault cleared without loss of healthy cell</x:v>
      </x:c>
      <x:c r="I9" s="44" t="str">
        <x:v>Grid modernization and resilient campuses</x:v>
      </x:c>
      <x:c r="J9" s="44" t="str">
        <x:v>Tie must be optional and fail isolated</x:v>
      </x:c>
    </x:row>
    <x:row r="10">
      <x:c r="A10" s="44" t="str">
        <x:v>T06 Robotic rapid power corridors</x:v>
      </x:c>
      <x:c r="B10" s="44" t="str">
        <x:v>Distribution setup time and crew exposure</x:v>
      </x:c>
      <x:c r="C10" s="44" t="str">
        <x:v>Cable, pole, trench and switchgear handling robotics</x:v>
      </x:c>
      <x:c r="D10" s="44" t="str">
        <x:v>Kilometre-scale corridor demonstrations</x:v>
      </x:c>
      <x:c r="E10" s="44" t="str">
        <x:v>Damaged-city deployment trials</x:v>
      </x:c>
      <x:c r="F10" s="44" t="str">
        <x:v>Commercial construction ecosystems</x:v>
      </x:c>
      <x:c r="G10" s="75" t="n">
        <x:v>8</x:v>
      </x:c>
      <x:c r="H10" s="44" t="str">
        <x:v>Protected MW commissioned per crew-hour</x:v>
      </x:c>
      <x:c r="I10" s="44" t="str">
        <x:v>Utility construction and disaster repair</x:v>
      </x:c>
      <x:c r="J10" s="44" t="str">
        <x:v>Robots earn credit only through safe energized service</x:v>
      </x:c>
    </x:row>
    <x:row r="11">
      <x:c r="A11" s="44" t="str">
        <x:v>T07 Offline autonomous utility control</x:v>
      </x:c>
      <x:c r="B11" s="44" t="str">
        <x:v>Network, identity and cloud denial</x:v>
      </x:c>
      <x:c r="C11" s="44" t="str">
        <x:v>Bounded local dispatch, records and manual-safe modes</x:v>
      </x:c>
      <x:c r="D11" s="44" t="str">
        <x:v>Adversarial cyber/communications trials</x:v>
      </x:c>
      <x:c r="E11" s="44" t="str">
        <x:v>Multi-cell autonomy campaigns</x:v>
      </x:c>
      <x:c r="F11" s="44" t="str">
        <x:v>Interoperable sovereign exports</x:v>
      </x:c>
      <x:c r="G11" s="75" t="n">
        <x:v>7</x:v>
      </x:c>
      <x:c r="H11" s="44" t="str">
        <x:v>Safe service and evidence without external network</x:v>
      </x:c>
      <x:c r="I11" s="44" t="str">
        <x:v>Community microgrids and remote utilities</x:v>
      </x:c>
      <x:c r="J11" s="44" t="str">
        <x:v>Autonomy may not remove human physical stop</x:v>
      </x:c>
    </x:row>
    <x:row r="12">
      <x:c r="A12" s="44" t="str">
        <x:v>T08 Thermally integrated water process</x:v>
      </x:c>
      <x:c r="B12" s="44" t="str">
        <x:v>Waste heat, process heat and cooling mass</x:v>
      </x:c>
      <x:c r="C12" s="44" t="str">
        <x:v>Reversible heat exchange with contamination firewalls</x:v>
      </x:c>
      <x:c r="D12" s="44" t="str">
        <x:v>Water-power co-prototypes</x:v>
      </x:c>
      <x:c r="E12" s="44" t="str">
        <x:v>Compound process/thermal trials</x:v>
      </x:c>
      <x:c r="F12" s="44" t="str">
        <x:v>Standardized heat-service interfaces</x:v>
      </x:c>
      <x:c r="G12" s="75" t="n">
        <x:v>6</x:v>
      </x:c>
      <x:c r="H12" s="44" t="str">
        <x:v>Net mass and energy after complete chain</x:v>
      </x:c>
      <x:c r="I12" s="44" t="str">
        <x:v>Industrial water and district energy</x:v>
      </x:c>
      <x:c r="J12" s="44" t="str">
        <x:v>Coupling rejected if either service becomes a common cut</x:v>
      </x:c>
    </x:row>
    <x:row r="13">
      <x:c r="A13" s="44" t="str">
        <x:v>T09 Strategic long-endurance source</x:v>
      </x:c>
      <x:c r="B13" s="44" t="str">
        <x:v>Campaign fuel mass and endurance</x:v>
      </x:c>
      <x:c r="C13" s="44" t="str">
        <x:v>Microreactor, geothermal, closed-cycle and other strategic concepts</x:v>
      </x:c>
      <x:c r="D13" s="44" t="str">
        <x:v>Safety and transport prototypes</x:v>
      </x:c>
      <x:c r="E13" s="44" t="str">
        <x:v>Separated representative demonstrations</x:v>
      </x:c>
      <x:c r="F13" s="44" t="str">
        <x:v>Selective coastal/inland fleets</x:v>
      </x:c>
      <x:c r="G13" s="75" t="n">
        <x:v>9</x:v>
      </x:c>
      <x:c r="H13" s="44" t="str">
        <x:v>Thirty-day net service with complete safety case</x:v>
      </x:c>
      <x:c r="I13" s="44" t="str">
        <x:v>Remote clean firm power</x:v>
      </x:c>
      <x:c r="J13" s="44" t="str">
        <x:v>Not baseline until safety, transport and authority close</x:v>
      </x:c>
    </x:row>
    <x:row r="14">
      <x:c r="A14" s="44" t="str">
        <x:v>T10 Thermal-service projection</x:v>
      </x:c>
      <x:c r="B14" s="44" t="str">
        <x:v>Electricity-to-human-safety conversion</x:v>
      </x:c>
      <x:c r="C14" s="44" t="str">
        <x:v>Mobile cooling, heat, air-quality and thermal storage cells</x:v>
      </x:c>
      <x:c r="D14" s="44" t="str">
        <x:v>Building-interface pilots</x:v>
      </x:c>
      <x:c r="E14" s="44" t="str">
        <x:v>Heat-blackout and freeze campaigns</x:v>
      </x:c>
      <x:c r="F14" s="44" t="str">
        <x:v>Prepared-building market</x:v>
      </x:c>
      <x:c r="G14" s="75" t="n">
        <x:v>6</x:v>
      </x:c>
      <x:c r="H14" s="44" t="str">
        <x:v>People-hours inside declared thermal envelope</x:v>
      </x:c>
      <x:c r="I14" s="44" t="str">
        <x:v>Cooling centers and building retrofits</x:v>
      </x:c>
      <x:c r="J14" s="44" t="str">
        <x:v>Electric MW is not credited until thermal safety is delivered</x:v>
      </x:c>
    </x:row>
    <x:row r="15">
      <x:c r="A15" s="69" t="str">
        <x:v>Total</x:v>
      </x:c>
      <x:c r="B15" s="69"/>
      <x:c r="C15" s="69"/>
      <x:c r="D15" s="69"/>
      <x:c r="E15" s="69"/>
      <x:c r="F15" s="69"/>
      <x:c r="G15" s="77" t="n">
        <x:f>SUM(G5:G14)</x:f>
        <x:v>90</x:v>
      </x:c>
      <x:c r="H15" s="69"/>
      <x:c r="I15" s="69"/>
      <x:c r="J15" s="69" t="str">
        <x:v>Must reconcile to P4 R&amp;D / industrialization</x:v>
      </x:c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</x:row>
    <x:row r="18">
      <x:c r="A18" s="54" t="str">
        <x:v>Portfolio doctrine</x:v>
      </x:c>
      <x:c r="B18" s="54"/>
      <x:c r="C18" s="54"/>
      <x:c r="D18" s="54"/>
      <x:c r="E18" s="54"/>
      <x:c r="F18" s="54"/>
      <x:c r="G18" s="54"/>
      <x:c r="H18" s="54"/>
      <x:c r="I18" s="54"/>
      <x:c r="J18" s="54"/>
    </x:row>
    <x:row r="19">
      <x:c r="A19" s="52" t="str">
        <x:v>Programs deliberately overlap. Rival technical paths remain alive until complete service evidence shows which combination closes mass, reliability, safety, maintainability and industrial depth.</x:v>
      </x:c>
      <x:c r="B19" s="52"/>
      <x:c r="C19" s="52"/>
      <x:c r="D19" s="52"/>
      <x:c r="E19" s="52"/>
      <x:c r="F19" s="52"/>
      <x:c r="G19" s="52"/>
      <x:c r="H19" s="52"/>
      <x:c r="I19" s="52"/>
      <x:c r="J19" s="52"/>
    </x:row>
    <x:row r="20">
      <x:c r="A20" s="52" t="str">
        <x:v>Nuclear and other strategic sources are included as long-horizon competitors, not presumed winners. Inland cells, coastal carriers and fixed anchors may rationally select different source families.</x:v>
      </x:c>
      <x:c r="B20" s="52"/>
      <x:c r="C20" s="52"/>
      <x:c r="D20" s="52"/>
      <x:c r="E20" s="52"/>
      <x:c r="F20" s="52"/>
      <x:c r="G20" s="52"/>
      <x:c r="H20" s="52"/>
      <x:c r="I20" s="52"/>
      <x:c r="J20" s="52"/>
    </x:row>
    <x:row r="21">
      <x:c r="A21" s="52" t="str">
        <x:v>The same research base should produce exportable civil utility systems, but sovereign operators retain local switching, release and safety authority.</x:v>
      </x:c>
      <x:c r="B21" s="52"/>
      <x:c r="C21" s="52"/>
      <x:c r="D21" s="52"/>
      <x:c r="E21" s="52"/>
      <x:c r="F21" s="52"/>
      <x:c r="G21" s="52"/>
      <x:c r="H21" s="52"/>
      <x:c r="I21" s="52"/>
      <x:c r="J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</x:row>
  </x:sheetData>
  <x:mergeCells>
    <x:mergeCell ref="A1:J1"/>
    <x:mergeCell ref="A2:J2"/>
    <x:mergeCell ref="A18:J18"/>
    <x:mergeCell ref="A19:J19"/>
    <x:mergeCell ref="A20:J20"/>
    <x:mergeCell ref="A21:J2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28" hidden="0" customWidth="1"/>
    <x:col min="4" max="4" width="14" hidden="0" customWidth="1"/>
    <x:col min="5" max="5" width="36" hidden="0" customWidth="1"/>
    <x:col min="6" max="6" width="15" hidden="0" customWidth="1"/>
  </x:cols>
  <x:sheetData>
    <x:row r="1" ht="27" customHeight="1">
      <x:c r="A1" s="51" t="str">
        <x:v>Admission gates and terminal integrity checks</x:v>
      </x:c>
      <x:c r="B1" s="52"/>
      <x:c r="C1" s="52"/>
      <x:c r="D1" s="52"/>
      <x:c r="E1" s="52"/>
      <x:c r="F1" s="52"/>
    </x:row>
    <x:row r="2" ht="27" customHeight="1">
      <x:c r="A2" s="53" t="str">
        <x:v>A passing deterministic workbook permits representative competition; it does not admit a platform or release rendering.</x:v>
      </x:c>
      <x:c r="B2" s="52"/>
      <x:c r="C2" s="52"/>
      <x:c r="D2" s="52"/>
      <x:c r="E2" s="52"/>
      <x:c r="F2" s="52"/>
    </x:row>
    <x:row r="3">
      <x:c r="A3" s="52"/>
      <x:c r="B3" s="52"/>
      <x:c r="C3" s="52"/>
      <x:c r="D3" s="52"/>
      <x:c r="E3" s="52"/>
      <x:c r="F3" s="52"/>
    </x:row>
    <x:row r="4">
      <x:c r="A4" s="8" t="str">
        <x:v>Gate</x:v>
      </x:c>
      <x:c r="B4" s="8" t="str">
        <x:v>Representative evidence required</x:v>
      </x:c>
      <x:c r="C4" s="8" t="str">
        <x:v>Owner</x:v>
      </x:c>
      <x:c r="D4" s="8" t="str">
        <x:v>Status</x:v>
      </x:c>
      <x:c r="E4" s="8" t="str">
        <x:v>Failure consequence</x:v>
      </x:c>
      <x:c r="F4" s="8" t="str">
        <x:v>Rendering effect</x:v>
      </x:c>
    </x:row>
    <x:row r="5">
      <x:c r="A5" s="44" t="str">
        <x:v>G01</x:v>
      </x:c>
      <x:c r="B5" s="44" t="str">
        <x:v>Cold black start from a dead bus with actual auxiliaries and load sequence</x:v>
      </x:c>
      <x:c r="C5" s="44" t="str">
        <x:v>Independent test authority</x:v>
      </x:c>
      <x:c r="D5" s="50" t="str">
        <x:v>OPEN</x:v>
      </x:c>
      <x:c r="E5" s="50" t="str">
        <x:v>Cell not start-qualified</x:v>
      </x:c>
      <x:c r="F5" s="50" t="str">
        <x:v>BLOCK</x:v>
      </x:c>
    </x:row>
    <x:row r="6">
      <x:c r="A6" s="44" t="str">
        <x:v>G02</x:v>
      </x:c>
      <x:c r="B6" s="44" t="str">
        <x:v>Twenty-four-hour operation at 75% dispatchable output</x:v>
      </x:c>
      <x:c r="C6" s="44" t="str">
        <x:v>Power program + test authority</x:v>
      </x:c>
      <x:c r="D6" s="50" t="str">
        <x:v>OPEN</x:v>
      </x:c>
      <x:c r="E6" s="50" t="str">
        <x:v>Derating margin unproved</x:v>
      </x:c>
      <x:c r="F6" s="50" t="str">
        <x:v>BLOCK</x:v>
      </x:c>
    </x:row>
    <x:row r="7">
      <x:c r="A7" s="44" t="str">
        <x:v>G03</x:v>
      </x:c>
      <x:c r="B7" s="44" t="str">
        <x:v>Largest generation module removed for twenty-four hours</x:v>
      </x:c>
      <x:c r="C7" s="44" t="str">
        <x:v>Independent test authority</x:v>
      </x:c>
      <x:c r="D7" s="50" t="str">
        <x:v>OPEN</x:v>
      </x:c>
      <x:c r="E7" s="50" t="str">
        <x:v>N+1 claim unproved</x:v>
      </x:c>
      <x:c r="F7" s="50" t="str">
        <x:v>BLOCK</x:v>
      </x:c>
    </x:row>
    <x:row r="8">
      <x:c r="A8" s="44" t="str">
        <x:v>G04</x:v>
      </x:c>
      <x:c r="B8" s="44" t="str">
        <x:v>Thirty-percent heat-rejection derating at boundary ambient, dust and smoke</x:v>
      </x:c>
      <x:c r="C8" s="44" t="str">
        <x:v>Thermal program</x:v>
      </x:c>
      <x:c r="D8" s="50" t="str">
        <x:v>OPEN</x:v>
      </x:c>
      <x:c r="E8" s="50" t="str">
        <x:v>Hot-weather service unproved</x:v>
      </x:c>
      <x:c r="F8" s="50" t="str">
        <x:v>BLOCK</x:v>
      </x:c>
    </x:row>
    <x:row r="9">
      <x:c r="A9" s="44" t="str">
        <x:v>G05</x:v>
      </x:c>
      <x:c r="B9" s="44" t="str">
        <x:v>Largest thermal module removed under full process load</x:v>
      </x:c>
      <x:c r="C9" s="44" t="str">
        <x:v>Thermal program</x:v>
      </x:c>
      <x:c r="D9" s="50" t="str">
        <x:v>OPEN</x:v>
      </x:c>
      <x:c r="E9" s="50" t="str">
        <x:v>Thermal N+1 unproved</x:v>
      </x:c>
      <x:c r="F9" s="50" t="str">
        <x:v>BLOCK</x:v>
      </x:c>
    </x:row>
    <x:row r="10">
      <x:c r="A10" s="44" t="str">
        <x:v>G06</x:v>
      </x:c>
      <x:c r="B10" s="44" t="str">
        <x:v>Fourteen-day external fuel-delivery denial</x:v>
      </x:c>
      <x:c r="C10" s="44" t="str">
        <x:v>Energy logistics program</x:v>
      </x:c>
      <x:c r="D10" s="50" t="str">
        <x:v>OPEN</x:v>
      </x:c>
      <x:c r="E10" s="50" t="str">
        <x:v>Organic endurance unproved</x:v>
      </x:c>
      <x:c r="F10" s="50" t="str">
        <x:v>BLOCK</x:v>
      </x:c>
    </x:row>
    <x:row r="11">
      <x:c r="A11" s="44" t="str">
        <x:v>G07</x:v>
      </x:c>
      <x:c r="B11" s="44" t="str">
        <x:v>One energy lot, precursor or supplier lineage held</x:v>
      </x:c>
      <x:c r="C11" s="44" t="str">
        <x:v>Industrial assurance authority</x:v>
      </x:c>
      <x:c r="D11" s="50" t="str">
        <x:v>OPEN</x:v>
      </x:c>
      <x:c r="E11" s="50" t="str">
        <x:v>Multi-vector independence unproved</x:v>
      </x:c>
      <x:c r="F11" s="50" t="str">
        <x:v>BLOCK</x:v>
      </x:c>
    </x:row>
    <x:row r="12">
      <x:c r="A12" s="44" t="str">
        <x:v>G08</x:v>
      </x:c>
      <x:c r="B12" s="44" t="str">
        <x:v>Seventy-two-hour connected-control and identity denial</x:v>
      </x:c>
      <x:c r="C12" s="44" t="str">
        <x:v>Cyber/operations test authority</x:v>
      </x:c>
      <x:c r="D12" s="50" t="str">
        <x:v>OPEN</x:v>
      </x:c>
      <x:c r="E12" s="50" t="str">
        <x:v>Offline control unproved</x:v>
      </x:c>
      <x:c r="F12" s="50" t="str">
        <x:v>BLOCK</x:v>
      </x:c>
    </x:row>
    <x:row r="13">
      <x:c r="A13" s="44" t="str">
        <x:v>G09</x:v>
      </x:c>
      <x:c r="B13" s="44" t="str">
        <x:v>Arc, ground and protection fault inside one island</x:v>
      </x:c>
      <x:c r="C13" s="44" t="str">
        <x:v>Electrical safety authority</x:v>
      </x:c>
      <x:c r="D13" s="50" t="str">
        <x:v>OPEN</x:v>
      </x:c>
      <x:c r="E13" s="50" t="str">
        <x:v>Fault containment unproved</x:v>
      </x:c>
      <x:c r="F13" s="50" t="str">
        <x:v>BLOCK</x:v>
      </x:c>
    </x:row>
    <x:row r="14">
      <x:c r="A14" s="44" t="str">
        <x:v>G10</x:v>
      </x:c>
      <x:c r="B14" s="44" t="str">
        <x:v>Energized cross-tie fault and false synchronization command</x:v>
      </x:c>
      <x:c r="C14" s="44" t="str">
        <x:v>Independent test authority</x:v>
      </x:c>
      <x:c r="D14" s="50" t="str">
        <x:v>OPEN</x:v>
      </x:c>
      <x:c r="E14" s="50" t="str">
        <x:v>Tie may propagate failure</x:v>
      </x:c>
      <x:c r="F14" s="50" t="str">
        <x:v>BLOCK</x:v>
      </x:c>
    </x:row>
    <x:row r="15">
      <x:c r="A15" s="44" t="str">
        <x:v>G11</x:v>
      </x:c>
      <x:c r="B15" s="44" t="str">
        <x:v>Actual motor start, transformer inrush and P0 ride-through</x:v>
      </x:c>
      <x:c r="C15" s="44" t="str">
        <x:v>Power quality authority</x:v>
      </x:c>
      <x:c r="D15" s="50" t="str">
        <x:v>OPEN</x:v>
      </x:c>
      <x:c r="E15" s="50" t="str">
        <x:v>Peak requirement unproved</x:v>
      </x:c>
      <x:c r="F15" s="50" t="str">
        <x:v>BLOCK</x:v>
      </x:c>
    </x:row>
    <x:row r="16">
      <x:c r="A16" s="44" t="str">
        <x:v>G12</x:v>
      </x:c>
      <x:c r="B16" s="44" t="str">
        <x:v>Wet-ground, step/touch, backfeed and temporary-grounding challenge</x:v>
      </x:c>
      <x:c r="C16" s="44" t="str">
        <x:v>Electrical safety authority</x:v>
      </x:c>
      <x:c r="D16" s="50" t="str">
        <x:v>OPEN</x:v>
      </x:c>
      <x:c r="E16" s="50" t="str">
        <x:v>Public and worker safety unproved</x:v>
      </x:c>
      <x:c r="F16" s="50" t="str">
        <x:v>BLOCK</x:v>
      </x:c>
    </x:row>
    <x:row r="17">
      <x:c r="A17" s="44" t="str">
        <x:v>G13</x:v>
      </x:c>
      <x:c r="B17" s="44" t="str">
        <x:v>Storage fire/thermal-runaway isolation with adjacent cell operating</x:v>
      </x:c>
      <x:c r="C17" s="44" t="str">
        <x:v>Storage safety authority</x:v>
      </x:c>
      <x:c r="D17" s="50" t="str">
        <x:v>OPEN</x:v>
      </x:c>
      <x:c r="E17" s="50" t="str">
        <x:v>Stored-energy separation unproved</x:v>
      </x:c>
      <x:c r="F17" s="50" t="str">
        <x:v>BLOCK</x:v>
      </x:c>
    </x:row>
    <x:row r="18">
      <x:c r="A18" s="44" t="str">
        <x:v>G14</x:v>
      </x:c>
      <x:c r="B18" s="44" t="str">
        <x:v>Exhaust, plume, noise, heat and habitability at occupied receiver</x:v>
      </x:c>
      <x:c r="C18" s="44" t="str">
        <x:v>Public-health authority</x:v>
      </x:c>
      <x:c r="D18" s="50" t="str">
        <x:v>OPEN</x:v>
      </x:c>
      <x:c r="E18" s="50" t="str">
        <x:v>Receiver compatibility unproved</x:v>
      </x:c>
      <x:c r="F18" s="50" t="str">
        <x:v>BLOCK</x:v>
      </x:c>
    </x:row>
    <x:row r="19">
      <x:c r="A19" s="44" t="str">
        <x:v>G15</x:v>
      </x:c>
      <x:c r="B19" s="44" t="str">
        <x:v>Independent reset and recertification after depot denial</x:v>
      </x:c>
      <x:c r="C19" s="44" t="str">
        <x:v>Force-generation authority</x:v>
      </x:c>
      <x:c r="D19" s="50" t="str">
        <x:v>OPEN</x:v>
      </x:c>
      <x:c r="E19" s="50" t="str">
        <x:v>Next-mission depth unproved</x:v>
      </x:c>
      <x:c r="F19" s="50" t="str">
        <x:v>BLOCK</x:v>
      </x:c>
    </x:row>
    <x:row r="20">
      <x:c r="A20" s="44" t="str">
        <x:v>G16</x:v>
      </x:c>
      <x:c r="B20" s="44" t="str">
        <x:v>Freeze, thaw, recharge and restart with degraded storage</x:v>
      </x:c>
      <x:c r="C20" s="44" t="str">
        <x:v>Cold-region test range</x:v>
      </x:c>
      <x:c r="D20" s="50" t="str">
        <x:v>OPEN</x:v>
      </x:c>
      <x:c r="E20" s="50" t="str">
        <x:v>Cold readiness unproved</x:v>
      </x:c>
      <x:c r="F20" s="50" t="str">
        <x:v>BLOCK</x:v>
      </x:c>
    </x:row>
    <x:row r="21">
      <x:c r="A21" s="44" t="str">
        <x:v>G17</x:v>
      </x:c>
      <x:c r="B21" s="44" t="str">
        <x:v>Optional island synchronization, exchange and separation without outage</x:v>
      </x:c>
      <x:c r="C21" s="44" t="str">
        <x:v>Utility integration authority</x:v>
      </x:c>
      <x:c r="D21" s="50" t="str">
        <x:v>OPEN</x:v>
      </x:c>
      <x:c r="E21" s="50" t="str">
        <x:v>Mutual aid interface unproved</x:v>
      </x:c>
      <x:c r="F21" s="50" t="str">
        <x:v>BLOCK</x:v>
      </x:c>
    </x:row>
    <x:row r="22">
      <x:c r="A22" s="44" t="str">
        <x:v>G18</x:v>
      </x:c>
      <x:c r="B22" s="44" t="str">
        <x:v>Integrated source-process-receiver trial with complete energy and heat ledgers</x:v>
      </x:c>
      <x:c r="C22" s="44" t="str">
        <x:v>Joint test authority</x:v>
      </x:c>
      <x:c r="D22" s="50" t="str">
        <x:v>OPEN</x:v>
      </x:c>
      <x:c r="E22" s="50" t="str">
        <x:v>Subsystem arithmetic unproved as service</x:v>
      </x:c>
      <x:c r="F22" s="50" t="str">
        <x:v>BLOCK</x:v>
      </x:c>
    </x:row>
    <x:row r="23">
      <x:c r="A23" s="44" t="str">
        <x:v>G19</x:v>
      </x:c>
      <x:c r="B23" s="44" t="str">
        <x:v>Blinded thirty-day mission with maintenance and one surprise failure</x:v>
      </x:c>
      <x:c r="C23" s="44" t="str">
        <x:v>Independent proving command</x:v>
      </x:c>
      <x:c r="D23" s="50" t="str">
        <x:v>OPEN</x:v>
      </x:c>
      <x:c r="E23" s="50" t="str">
        <x:v>Campaign availability unproved</x:v>
      </x:c>
      <x:c r="F23" s="50" t="str">
        <x:v>BLOCK</x:v>
      </x:c>
    </x:row>
    <x:row r="24">
      <x:c r="A24" s="44" t="str">
        <x:v>G20</x:v>
      </x:c>
      <x:c r="B24" s="44" t="str">
        <x:v>Immediate second mission after field reset and configuration audit</x:v>
      </x:c>
      <x:c r="C24" s="44" t="str">
        <x:v>Independent proving command</x:v>
      </x:c>
      <x:c r="D24" s="50" t="str">
        <x:v>OPEN</x:v>
      </x:c>
      <x:c r="E24" s="50" t="str">
        <x:v>Repeatability unproved</x:v>
      </x:c>
      <x:c r="F24" s="50" t="str">
        <x:v>BLOCK</x:v>
      </x:c>
    </x:row>
    <x:row r="25">
      <x:c r="A25" s="52"/>
      <x:c r="B25" s="52"/>
      <x:c r="C25" s="52"/>
      <x:c r="D25" s="52"/>
      <x:c r="E25" s="52"/>
      <x:c r="F25" s="52"/>
    </x:row>
    <x:row r="26">
      <x:c r="A26" s="52"/>
      <x:c r="B26" s="52"/>
      <x:c r="C26" s="52"/>
      <x:c r="D26" s="52"/>
      <x:c r="E26" s="52"/>
      <x:c r="F26" s="52"/>
    </x:row>
    <x:row r="27">
      <x:c r="A27" s="8" t="str">
        <x:v>Open gates</x:v>
      </x:c>
      <x:c r="B27" s="8" t="str">
        <x:v>Strict admission</x:v>
      </x:c>
      <x:c r="C27" s="8" t="str">
        <x:v>Rendering</x:v>
      </x:c>
      <x:c r="D27" s="8" t="str">
        <x:v>Interpretation</x:v>
      </x:c>
      <x:c r="E27" s="52"/>
      <x:c r="F27" s="52"/>
    </x:row>
    <x:row r="28">
      <x:c r="A28" s="44" t="n">
        <x:f>COUNTIF(D5:D24,"OPEN")</x:f>
        <x:v>20</x:v>
      </x:c>
      <x:c r="B28" s="45" t="str">
        <x:f>IF(A28=0,"ADMITTED","DENIED")</x:f>
        <x:v>DENIED</x:v>
      </x:c>
      <x:c r="C28" s="45" t="str">
        <x:f>IF(COUNTIF(F5:F24,"BLOCK")=0,"RELEASED","BLOCKED")</x:f>
        <x:v>BLOCKED</x:v>
      </x:c>
      <x:c r="D28" s="44" t="str">
        <x:v>P4 may advance to representative competition only; no architecture is selected.</x:v>
      </x:c>
      <x:c r="E28" s="52"/>
      <x:c r="F28" s="52"/>
    </x:row>
    <x:row r="29">
      <x:c r="A29" s="52"/>
      <x:c r="B29" s="52"/>
      <x:c r="C29" s="52"/>
      <x:c r="D29" s="52"/>
      <x:c r="E29" s="52"/>
      <x:c r="F29" s="52"/>
    </x:row>
    <x:row r="30">
      <x:c r="A30" s="52"/>
      <x:c r="B30" s="52"/>
      <x:c r="C30" s="52"/>
      <x:c r="D30" s="52"/>
      <x:c r="E30" s="52"/>
      <x:c r="F30" s="52"/>
    </x:row>
    <x:row r="31">
      <x:c r="A31" s="8" t="str">
        <x:v>Check</x:v>
      </x:c>
      <x:c r="B31" s="8" t="str">
        <x:v>Control</x:v>
      </x:c>
      <x:c r="C31" s="8" t="str">
        <x:v>Observed</x:v>
      </x:c>
      <x:c r="D31" s="8" t="str">
        <x:v>Result</x:v>
      </x:c>
      <x:c r="E31" s="52"/>
      <x:c r="F31" s="52"/>
    </x:row>
    <x:row r="32">
      <x:c r="A32" s="44" t="str">
        <x:v>C01</x:v>
      </x:c>
      <x:c r="B32" s="44" t="str">
        <x:v>Eleven workbook sheets exist</x:v>
      </x:c>
      <x:c r="C32" s="44" t="str">
        <x:v>11</x:v>
      </x:c>
      <x:c r="D32" s="78" t="str">
        <x:f>IF(11=11,"PASS","FAIL")</x:f>
        <x:v>PASS</x:v>
      </x:c>
      <x:c r="E32" s="52"/>
      <x:c r="F32" s="52"/>
    </x:row>
    <x:row r="33">
      <x:c r="A33" s="44" t="str">
        <x:v>C02</x:v>
      </x:c>
      <x:c r="B33" s="44" t="str">
        <x:v>Three declared cells</x:v>
      </x:c>
      <x:c r="C33" s="44" t="str">
        <x:v>3</x:v>
      </x:c>
      <x:c r="D33" s="78" t="str">
        <x:f>IF(COUNTA(Assumptions!A5:A7)=3,"PASS","FAIL")</x:f>
        <x:v>PASS</x:v>
      </x:c>
      <x:c r="E33" s="52"/>
      <x:c r="F33" s="52"/>
    </x:row>
    <x:row r="34">
      <x:c r="A34" s="44" t="str">
        <x:v>C03</x:v>
      </x:c>
      <x:c r="B34" s="44" t="str">
        <x:v>Four rival architectures</x:v>
      </x:c>
      <x:c r="C34" s="44" t="str">
        <x:v>4</x:v>
      </x:c>
      <x:c r="D34" s="78" t="str">
        <x:f>IF(COUNTA(Architectures!A5:A8)=4,"PASS","FAIL")</x:f>
        <x:v>PASS</x:v>
      </x:c>
      <x:c r="E34" s="52"/>
      <x:c r="F34" s="52"/>
    </x:row>
    <x:row r="35">
      <x:c r="A35" s="44" t="str">
        <x:v>C04</x:v>
      </x:c>
      <x:c r="B35" s="44" t="str">
        <x:v>Twelve architecture-cell rows</x:v>
      </x:c>
      <x:c r="C35" s="44" t="str">
        <x:v>12</x:v>
      </x:c>
      <x:c r="D35" s="78" t="str">
        <x:f>IF(COUNTA('Cell Balance'!A5:A16)=12,"PASS","FAIL")</x:f>
        <x:v>PASS</x:v>
      </x:c>
      <x:c r="E35" s="52"/>
      <x:c r="F35" s="52"/>
    </x:row>
    <x:row r="36">
      <x:c r="A36" s="44" t="str">
        <x:v>C05</x:v>
      </x:c>
      <x:c r="B36" s="44" t="str">
        <x:v>Seventeen mission worlds</x:v>
      </x:c>
      <x:c r="C36" s="44" t="str">
        <x:v>17</x:v>
      </x:c>
      <x:c r="D36" s="78" t="str">
        <x:f>IF(COUNTA('Mission Worlds'!A5:A21)=17,"PASS","FAIL")</x:f>
        <x:v>PASS</x:v>
      </x:c>
      <x:c r="E36" s="52"/>
      <x:c r="F36" s="52"/>
    </x:row>
    <x:row r="37">
      <x:c r="A37" s="44" t="str">
        <x:v>C06</x:v>
      </x:c>
      <x:c r="B37" s="44" t="str">
        <x:v>Twenty evidence gates</x:v>
      </x:c>
      <x:c r="C37" s="44" t="str">
        <x:v>20</x:v>
      </x:c>
      <x:c r="D37" s="78" t="str">
        <x:f>IF(COUNTA(A5:A24)=20,"PASS","FAIL")</x:f>
        <x:v>PASS</x:v>
      </x:c>
      <x:c r="E37" s="52"/>
      <x:c r="F37" s="52"/>
    </x:row>
    <x:row r="38">
      <x:c r="A38" s="44" t="str">
        <x:v>C07</x:v>
      </x:c>
      <x:c r="B38" s="44" t="str">
        <x:v>Ten technology programs</x:v>
      </x:c>
      <x:c r="C38" s="44" t="str">
        <x:v>10</x:v>
      </x:c>
      <x:c r="D38" s="78" t="str">
        <x:f>IF(COUNTA(Technology!A5:A14)=10,"PASS","FAIL")</x:f>
        <x:v>PASS</x:v>
      </x:c>
      <x:c r="E38" s="52"/>
      <x:c r="F38" s="52"/>
    </x:row>
    <x:row r="39">
      <x:c r="A39" s="44" t="str">
        <x:v>C08</x:v>
      </x:c>
      <x:c r="B39" s="44" t="str">
        <x:v>P4 technology R&amp;D sums to $90B</x:v>
      </x:c>
      <x:c r="C39" s="44" t="str">
        <x:v>90</x:v>
      </x:c>
      <x:c r="D39" s="78" t="str">
        <x:f>IF(ABS(Technology!G15-90)&lt;0.0001,"PASS","FAIL")</x:f>
        <x:v>PASS</x:v>
      </x:c>
      <x:c r="E39" s="52"/>
      <x:c r="F39" s="52"/>
    </x:row>
    <x:row r="40">
      <x:c r="A40" s="44" t="str">
        <x:v>C09</x:v>
      </x:c>
      <x:c r="B40" s="44" t="str">
        <x:v>Non-power base reconciles</x:v>
      </x:c>
      <x:c r="C40" s="44" t="str">
        <x:v>564.08</x:v>
      </x:c>
      <x:c r="D40" s="78" t="str">
        <x:f>IF(ABS(Assumptions!B22-564.08)&lt;0.0001,"PASS","FAIL")</x:f>
        <x:v>PASS</x:v>
      </x:c>
      <x:c r="E40" s="52"/>
      <x:c r="F40" s="52"/>
    </x:row>
    <x:row r="41">
      <x:c r="A41" s="44" t="str">
        <x:v>C10</x:v>
      </x:c>
      <x:c r="B41" s="44" t="str">
        <x:v>P4 subsystem dry mass reconciles</x:v>
      </x:c>
      <x:c r="C41" s="44" t="str">
        <x:v>1,640</x:v>
      </x:c>
      <x:c r="D41" s="78" t="str">
        <x:f>IF(Formation!B19=Architectures!M8,"PASS","FAIL")</x:f>
        <x:v>PASS</x:v>
      </x:c>
      <x:c r="E41" s="52"/>
      <x:c r="F41" s="52"/>
    </x:row>
    <x:row r="42">
      <x:c r="A42" s="44" t="str">
        <x:v>C11</x:v>
      </x:c>
      <x:c r="B42" s="44" t="str">
        <x:v>P4 subsystem chargeable mass reconciles</x:v>
      </x:c>
      <x:c r="C42" s="44" t="str">
        <x:v>1,880</x:v>
      </x:c>
      <x:c r="D42" s="78" t="str">
        <x:f>IF(Formation!C19=Architectures!N8,"PASS","FAIL")</x:f>
        <x:v>PASS</x:v>
      </x:c>
      <x:c r="E42" s="52"/>
      <x:c r="F42" s="52"/>
    </x:row>
    <x:row r="43">
      <x:c r="A43" s="44" t="str">
        <x:v>C12</x:v>
      </x:c>
      <x:c r="B43" s="44" t="str">
        <x:v>P4 subsystem crew reconciles</x:v>
      </x:c>
      <x:c r="C43" s="44" t="str">
        <x:v>54</x:v>
      </x:c>
      <x:c r="D43" s="78" t="str">
        <x:f>IF(Formation!D19=Architectures!O8,"PASS","FAIL")</x:f>
        <x:v>PASS</x:v>
      </x:c>
      <x:c r="E43" s="52"/>
      <x:c r="F43" s="52"/>
    </x:row>
    <x:row r="44">
      <x:c r="A44" s="44" t="str">
        <x:v>C13</x:v>
      </x:c>
      <x:c r="B44" s="44" t="str">
        <x:v>P4 subsystem equipment reconciles</x:v>
      </x:c>
      <x:c r="C44" s="44" t="str">
        <x:v>$1.85B</x:v>
      </x:c>
      <x:c r="D44" s="78" t="str">
        <x:f>IF(ABS(Formation!E19-Architectures!P8)&lt;0.0001,"PASS","FAIL")</x:f>
        <x:v>PASS</x:v>
      </x:c>
      <x:c r="E44" s="52"/>
      <x:c r="F44" s="52"/>
    </x:row>
    <x:row r="45">
      <x:c r="A45" s="44" t="str">
        <x:v>C14</x:v>
      </x:c>
      <x:c r="B45" s="44" t="str">
        <x:v>Cell-balance row 1 has positive critical load</x:v>
      </x:c>
      <x:c r="C45" s="44" t="str">
        <x:v>&gt;0</x:v>
      </x:c>
      <x:c r="D45" s="78" t="str">
        <x:f>IF('Cell Balance'!C5&gt;0,"PASS","FAIL")</x:f>
        <x:v>PASS</x:v>
      </x:c>
      <x:c r="E45" s="52"/>
      <x:c r="F45" s="52"/>
    </x:row>
    <x:row r="46">
      <x:c r="A46" s="44" t="str">
        <x:v>C15</x:v>
      </x:c>
      <x:c r="B46" s="44" t="str">
        <x:v>Cell-balance row 2 has positive critical load</x:v>
      </x:c>
      <x:c r="C46" s="44" t="str">
        <x:v>&gt;0</x:v>
      </x:c>
      <x:c r="D46" s="78" t="str">
        <x:f>IF('Cell Balance'!C6&gt;0,"PASS","FAIL")</x:f>
        <x:v>PASS</x:v>
      </x:c>
      <x:c r="E46" s="52"/>
      <x:c r="F46" s="52"/>
    </x:row>
    <x:row r="47">
      <x:c r="A47" s="44" t="str">
        <x:v>C16</x:v>
      </x:c>
      <x:c r="B47" s="44" t="str">
        <x:v>Cell-balance row 3 has positive critical load</x:v>
      </x:c>
      <x:c r="C47" s="44" t="str">
        <x:v>&gt;0</x:v>
      </x:c>
      <x:c r="D47" s="78" t="str">
        <x:f>IF('Cell Balance'!C7&gt;0,"PASS","FAIL")</x:f>
        <x:v>PASS</x:v>
      </x:c>
      <x:c r="E47" s="52"/>
      <x:c r="F47" s="52"/>
    </x:row>
    <x:row r="48">
      <x:c r="A48" s="44" t="str">
        <x:v>C17</x:v>
      </x:c>
      <x:c r="B48" s="44" t="str">
        <x:v>Cell-balance row 4 has positive critical load</x:v>
      </x:c>
      <x:c r="C48" s="44" t="str">
        <x:v>&gt;0</x:v>
      </x:c>
      <x:c r="D48" s="78" t="str">
        <x:f>IF('Cell Balance'!C8&gt;0,"PASS","FAIL")</x:f>
        <x:v>PASS</x:v>
      </x:c>
      <x:c r="E48" s="52"/>
      <x:c r="F48" s="52"/>
    </x:row>
    <x:row r="49">
      <x:c r="A49" s="44" t="str">
        <x:v>C18</x:v>
      </x:c>
      <x:c r="B49" s="44" t="str">
        <x:v>Cell-balance row 5 has positive critical load</x:v>
      </x:c>
      <x:c r="C49" s="44" t="str">
        <x:v>&gt;0</x:v>
      </x:c>
      <x:c r="D49" s="78" t="str">
        <x:f>IF('Cell Balance'!C9&gt;0,"PASS","FAIL")</x:f>
        <x:v>PASS</x:v>
      </x:c>
      <x:c r="E49" s="52"/>
      <x:c r="F49" s="52"/>
    </x:row>
    <x:row r="50">
      <x:c r="A50" s="44" t="str">
        <x:v>C19</x:v>
      </x:c>
      <x:c r="B50" s="44" t="str">
        <x:v>Cell-balance row 6 has positive critical load</x:v>
      </x:c>
      <x:c r="C50" s="44" t="str">
        <x:v>&gt;0</x:v>
      </x:c>
      <x:c r="D50" s="78" t="str">
        <x:f>IF('Cell Balance'!C10&gt;0,"PASS","FAIL")</x:f>
        <x:v>PASS</x:v>
      </x:c>
      <x:c r="E50" s="52"/>
      <x:c r="F50" s="52"/>
    </x:row>
    <x:row r="51">
      <x:c r="A51" s="44" t="str">
        <x:v>C20</x:v>
      </x:c>
      <x:c r="B51" s="44" t="str">
        <x:v>Cell-balance row 7 has positive critical load</x:v>
      </x:c>
      <x:c r="C51" s="44" t="str">
        <x:v>&gt;0</x:v>
      </x:c>
      <x:c r="D51" s="78" t="str">
        <x:f>IF('Cell Balance'!C11&gt;0,"PASS","FAIL")</x:f>
        <x:v>PASS</x:v>
      </x:c>
      <x:c r="E51" s="52"/>
      <x:c r="F51" s="52"/>
    </x:row>
    <x:row r="52">
      <x:c r="A52" s="44" t="str">
        <x:v>C21</x:v>
      </x:c>
      <x:c r="B52" s="44" t="str">
        <x:v>Cell-balance row 8 has positive critical load</x:v>
      </x:c>
      <x:c r="C52" s="44" t="str">
        <x:v>&gt;0</x:v>
      </x:c>
      <x:c r="D52" s="78" t="str">
        <x:f>IF('Cell Balance'!C12&gt;0,"PASS","FAIL")</x:f>
        <x:v>PASS</x:v>
      </x:c>
      <x:c r="E52" s="52"/>
      <x:c r="F52" s="52"/>
    </x:row>
    <x:row r="53">
      <x:c r="A53" s="44" t="str">
        <x:v>C22</x:v>
      </x:c>
      <x:c r="B53" s="44" t="str">
        <x:v>Cell-balance row 9 has positive critical load</x:v>
      </x:c>
      <x:c r="C53" s="44" t="str">
        <x:v>&gt;0</x:v>
      </x:c>
      <x:c r="D53" s="78" t="str">
        <x:f>IF('Cell Balance'!C13&gt;0,"PASS","FAIL")</x:f>
        <x:v>PASS</x:v>
      </x:c>
      <x:c r="E53" s="52"/>
      <x:c r="F53" s="52"/>
    </x:row>
    <x:row r="54">
      <x:c r="A54" s="44" t="str">
        <x:v>C23</x:v>
      </x:c>
      <x:c r="B54" s="44" t="str">
        <x:v>P4 correct behavior in world W00</x:v>
      </x:c>
      <x:c r="C54" s="44" t="str">
        <x:v>PASS</x:v>
      </x:c>
      <x:c r="D54" s="78" t="str">
        <x:f>IF('Mission Worlds'!L5="PASS","PASS","FAIL")</x:f>
        <x:v>PASS</x:v>
      </x:c>
      <x:c r="E54" s="52"/>
      <x:c r="F54" s="52"/>
    </x:row>
    <x:row r="55">
      <x:c r="A55" s="44" t="str">
        <x:v>C24</x:v>
      </x:c>
      <x:c r="B55" s="44" t="str">
        <x:v>P4 correct behavior in world W01</x:v>
      </x:c>
      <x:c r="C55" s="44" t="str">
        <x:v>PASS</x:v>
      </x:c>
      <x:c r="D55" s="78" t="str">
        <x:f>IF('Mission Worlds'!L6="PASS","PASS","FAIL")</x:f>
        <x:v>PASS</x:v>
      </x:c>
      <x:c r="E55" s="52"/>
      <x:c r="F55" s="52"/>
    </x:row>
    <x:row r="56">
      <x:c r="A56" s="44" t="str">
        <x:v>C25</x:v>
      </x:c>
      <x:c r="B56" s="44" t="str">
        <x:v>P4 correct behavior in world W02</x:v>
      </x:c>
      <x:c r="C56" s="44" t="str">
        <x:v>PASS</x:v>
      </x:c>
      <x:c r="D56" s="78" t="str">
        <x:f>IF('Mission Worlds'!L7="PASS","PASS","FAIL")</x:f>
        <x:v>PASS</x:v>
      </x:c>
      <x:c r="E56" s="52"/>
      <x:c r="F56" s="52"/>
    </x:row>
    <x:row r="57">
      <x:c r="A57" s="44" t="str">
        <x:v>C26</x:v>
      </x:c>
      <x:c r="B57" s="44" t="str">
        <x:v>P4 correct behavior in world W03</x:v>
      </x:c>
      <x:c r="C57" s="44" t="str">
        <x:v>PASS</x:v>
      </x:c>
      <x:c r="D57" s="78" t="str">
        <x:f>IF('Mission Worlds'!L8="PASS","PASS","FAIL")</x:f>
        <x:v>PASS</x:v>
      </x:c>
      <x:c r="E57" s="52"/>
      <x:c r="F57" s="52"/>
    </x:row>
    <x:row r="58">
      <x:c r="A58" s="44" t="str">
        <x:v>C27</x:v>
      </x:c>
      <x:c r="B58" s="44" t="str">
        <x:v>P4 correct behavior in world W04</x:v>
      </x:c>
      <x:c r="C58" s="44" t="str">
        <x:v>PASS</x:v>
      </x:c>
      <x:c r="D58" s="78" t="str">
        <x:f>IF('Mission Worlds'!L9="PASS","PASS","FAIL")</x:f>
        <x:v>PASS</x:v>
      </x:c>
      <x:c r="E58" s="52"/>
      <x:c r="F58" s="52"/>
    </x:row>
    <x:row r="59">
      <x:c r="A59" s="44" t="str">
        <x:v>C28</x:v>
      </x:c>
      <x:c r="B59" s="44" t="str">
        <x:v>P4 correct behavior in world W05</x:v>
      </x:c>
      <x:c r="C59" s="44" t="str">
        <x:v>PASS</x:v>
      </x:c>
      <x:c r="D59" s="78" t="str">
        <x:f>IF('Mission Worlds'!L10="PASS","PASS","FAIL")</x:f>
        <x:v>PASS</x:v>
      </x:c>
      <x:c r="E59" s="52"/>
      <x:c r="F59" s="52"/>
    </x:row>
    <x:row r="60">
      <x:c r="A60" s="44" t="str">
        <x:v>C29</x:v>
      </x:c>
      <x:c r="B60" s="44" t="str">
        <x:v>P4 correct behavior in world W06</x:v>
      </x:c>
      <x:c r="C60" s="44" t="str">
        <x:v>PASS</x:v>
      </x:c>
      <x:c r="D60" s="78" t="str">
        <x:f>IF('Mission Worlds'!L11="PASS","PASS","FAIL")</x:f>
        <x:v>PASS</x:v>
      </x:c>
      <x:c r="E60" s="52"/>
      <x:c r="F60" s="52"/>
    </x:row>
    <x:row r="61">
      <x:c r="A61" s="44" t="str">
        <x:v>C30</x:v>
      </x:c>
      <x:c r="B61" s="44" t="str">
        <x:v>P4 correct behavior in world W07</x:v>
      </x:c>
      <x:c r="C61" s="44" t="str">
        <x:v>PASS</x:v>
      </x:c>
      <x:c r="D61" s="78" t="str">
        <x:f>IF('Mission Worlds'!L12="PASS","PASS","FAIL")</x:f>
        <x:v>PASS</x:v>
      </x:c>
      <x:c r="E61" s="52"/>
      <x:c r="F61" s="52"/>
    </x:row>
    <x:row r="62">
      <x:c r="A62" s="44" t="str">
        <x:v>C31</x:v>
      </x:c>
      <x:c r="B62" s="44" t="str">
        <x:v>P4 correct behavior in world W08</x:v>
      </x:c>
      <x:c r="C62" s="44" t="str">
        <x:v>PASS</x:v>
      </x:c>
      <x:c r="D62" s="78" t="str">
        <x:f>IF('Mission Worlds'!L13="PASS","PASS","FAIL")</x:f>
        <x:v>PASS</x:v>
      </x:c>
      <x:c r="E62" s="52"/>
      <x:c r="F62" s="52"/>
    </x:row>
    <x:row r="63">
      <x:c r="A63" s="44" t="str">
        <x:v>C32</x:v>
      </x:c>
      <x:c r="B63" s="44" t="str">
        <x:v>P4 correct behavior in world W09</x:v>
      </x:c>
      <x:c r="C63" s="44" t="str">
        <x:v>PASS</x:v>
      </x:c>
      <x:c r="D63" s="78" t="str">
        <x:f>IF('Mission Worlds'!L14="PASS","PASS","FAIL")</x:f>
        <x:v>PASS</x:v>
      </x:c>
      <x:c r="E63" s="52"/>
      <x:c r="F63" s="52"/>
    </x:row>
    <x:row r="64">
      <x:c r="A64" s="44" t="str">
        <x:v>C33</x:v>
      </x:c>
      <x:c r="B64" s="44" t="str">
        <x:v>P4 correct behavior in world W10</x:v>
      </x:c>
      <x:c r="C64" s="44" t="str">
        <x:v>PASS</x:v>
      </x:c>
      <x:c r="D64" s="78" t="str">
        <x:f>IF('Mission Worlds'!L15="PASS","PASS","FAIL")</x:f>
        <x:v>PASS</x:v>
      </x:c>
      <x:c r="E64" s="52"/>
      <x:c r="F64" s="52"/>
    </x:row>
    <x:row r="65">
      <x:c r="A65" s="44" t="str">
        <x:v>C34</x:v>
      </x:c>
      <x:c r="B65" s="44" t="str">
        <x:v>P4 correct behavior in world W11</x:v>
      </x:c>
      <x:c r="C65" s="44" t="str">
        <x:v>PASS</x:v>
      </x:c>
      <x:c r="D65" s="78" t="str">
        <x:f>IF('Mission Worlds'!L16="PASS","PASS","FAIL")</x:f>
        <x:v>PASS</x:v>
      </x:c>
      <x:c r="E65" s="52"/>
      <x:c r="F65" s="52"/>
    </x:row>
    <x:row r="66">
      <x:c r="A66" s="44" t="str">
        <x:v>C35</x:v>
      </x:c>
      <x:c r="B66" s="44" t="str">
        <x:v>P4 correct behavior in world W12</x:v>
      </x:c>
      <x:c r="C66" s="44" t="str">
        <x:v>PASS</x:v>
      </x:c>
      <x:c r="D66" s="78" t="str">
        <x:f>IF('Mission Worlds'!L17="PASS","PASS","FAIL")</x:f>
        <x:v>PASS</x:v>
      </x:c>
      <x:c r="E66" s="52"/>
      <x:c r="F66" s="52"/>
    </x:row>
    <x:row r="67">
      <x:c r="A67" s="44" t="str">
        <x:v>C36</x:v>
      </x:c>
      <x:c r="B67" s="44" t="str">
        <x:v>P4 correct behavior in world W13</x:v>
      </x:c>
      <x:c r="C67" s="44" t="str">
        <x:v>PASS</x:v>
      </x:c>
      <x:c r="D67" s="78" t="str">
        <x:f>IF('Mission Worlds'!L18="PASS","PASS","FAIL")</x:f>
        <x:v>PASS</x:v>
      </x:c>
      <x:c r="E67" s="52"/>
      <x:c r="F67" s="52"/>
    </x:row>
    <x:row r="68">
      <x:c r="A68" s="44" t="str">
        <x:v>C37</x:v>
      </x:c>
      <x:c r="B68" s="44" t="str">
        <x:v>P4 correct behavior in world W14</x:v>
      </x:c>
      <x:c r="C68" s="44" t="str">
        <x:v>PASS</x:v>
      </x:c>
      <x:c r="D68" s="78" t="str">
        <x:f>IF('Mission Worlds'!L19="PASS","PASS","FAIL")</x:f>
        <x:v>PASS</x:v>
      </x:c>
      <x:c r="E68" s="52"/>
      <x:c r="F68" s="52"/>
    </x:row>
    <x:row r="69">
      <x:c r="A69" s="44" t="str">
        <x:v>C38</x:v>
      </x:c>
      <x:c r="B69" s="44" t="str">
        <x:v>P4 correct behavior in world W15</x:v>
      </x:c>
      <x:c r="C69" s="44" t="str">
        <x:v>PASS</x:v>
      </x:c>
      <x:c r="D69" s="78" t="str">
        <x:f>IF('Mission Worlds'!L20="PASS","PASS","FAIL")</x:f>
        <x:v>PASS</x:v>
      </x:c>
      <x:c r="E69" s="52"/>
      <x:c r="F69" s="52"/>
    </x:row>
    <x:row r="70">
      <x:c r="A70" s="44" t="str">
        <x:v>C39</x:v>
      </x:c>
      <x:c r="B70" s="44" t="str">
        <x:v>P4 correct behavior in world W16</x:v>
      </x:c>
      <x:c r="C70" s="44" t="str">
        <x:v>PASS</x:v>
      </x:c>
      <x:c r="D70" s="78" t="str">
        <x:f>IF('Mission Worlds'!L21="PASS","PASS","FAIL")</x:f>
        <x:v>PASS</x:v>
      </x:c>
      <x:c r="E70" s="52"/>
      <x:c r="F70" s="52"/>
    </x:row>
    <x:row r="71">
      <x:c r="A71" s="44" t="str">
        <x:v>C40</x:v>
      </x:c>
      <x:c r="B71" s="44" t="str">
        <x:v>P1 service-world count</x:v>
      </x:c>
      <x:c r="C71" s="44" t="str">
        <x:v>7</x:v>
      </x:c>
      <x:c r="D71" s="78" t="str">
        <x:f>IF('Mission Worlds'!B25=7,"PASS","FAIL")</x:f>
        <x:v>PASS</x:v>
      </x:c>
      <x:c r="E71" s="52"/>
      <x:c r="F71" s="52"/>
    </x:row>
    <x:row r="72">
      <x:c r="A72" s="44" t="str">
        <x:v>C41</x:v>
      </x:c>
      <x:c r="B72" s="44" t="str">
        <x:v>P2 service-world count</x:v>
      </x:c>
      <x:c r="C72" s="44" t="str">
        <x:v>10</x:v>
      </x:c>
      <x:c r="D72" s="78" t="str">
        <x:f>IF('Mission Worlds'!B26=10,"PASS","FAIL")</x:f>
        <x:v>PASS</x:v>
      </x:c>
      <x:c r="E72" s="52"/>
      <x:c r="F72" s="52"/>
    </x:row>
    <x:row r="73">
      <x:c r="A73" s="44" t="str">
        <x:v>C42</x:v>
      </x:c>
      <x:c r="B73" s="44" t="str">
        <x:v>P3 service-world count</x:v>
      </x:c>
      <x:c r="C73" s="44" t="str">
        <x:v>12</x:v>
      </x:c>
      <x:c r="D73" s="78" t="str">
        <x:f>IF('Mission Worlds'!B27=12,"PASS","FAIL")</x:f>
        <x:v>PASS</x:v>
      </x:c>
      <x:c r="E73" s="52"/>
      <x:c r="F73" s="52"/>
    </x:row>
    <x:row r="74">
      <x:c r="A74" s="44" t="str">
        <x:v>C43</x:v>
      </x:c>
      <x:c r="B74" s="44" t="str">
        <x:v>P4 service-world count</x:v>
      </x:c>
      <x:c r="C74" s="44" t="str">
        <x:v>16</x:v>
      </x:c>
      <x:c r="D74" s="78" t="str">
        <x:f>IF('Mission Worlds'!B28=16,"PASS","FAIL")</x:f>
        <x:v>PASS</x:v>
      </x:c>
      <x:c r="E74" s="52"/>
      <x:c r="F74" s="52"/>
    </x:row>
    <x:row r="75">
      <x:c r="A75" s="44" t="str">
        <x:v>C44</x:v>
      </x:c>
      <x:c r="B75" s="44" t="str">
        <x:v>P1 power-program comparator</x:v>
      </x:c>
      <x:c r="C75" s="44" t="str">
        <x:v>$78B</x:v>
      </x:c>
      <x:c r="D75" s="78" t="str">
        <x:f>IF(ABS(Program!J5-78)&lt;0.0001,"PASS","FAIL")</x:f>
        <x:v>PASS</x:v>
      </x:c>
      <x:c r="E75" s="52"/>
      <x:c r="F75" s="52"/>
    </x:row>
    <x:row r="76">
      <x:c r="A76" s="44" t="str">
        <x:v>C45</x:v>
      </x:c>
      <x:c r="B76" s="44" t="str">
        <x:v>P2 power-program comparator</x:v>
      </x:c>
      <x:c r="C76" s="44" t="str">
        <x:v>$107.92B</x:v>
      </x:c>
      <x:c r="D76" s="78" t="str">
        <x:f>IF(ABS(Program!J6-107.92)&lt;0.0001,"PASS","FAIL")</x:f>
        <x:v>PASS</x:v>
      </x:c>
      <x:c r="E76" s="52"/>
      <x:c r="F76" s="52"/>
    </x:row>
    <x:row r="77">
      <x:c r="A77" s="44" t="str">
        <x:v>C46</x:v>
      </x:c>
      <x:c r="B77" s="44" t="str">
        <x:v>P3 power-program comparator</x:v>
      </x:c>
      <x:c r="C77" s="44" t="str">
        <x:v>$158.4B</x:v>
      </x:c>
      <x:c r="D77" s="78" t="str">
        <x:f>IF(ABS(Program!J7-158.4)&lt;0.0001,"PASS","FAIL")</x:f>
        <x:v>PASS</x:v>
      </x:c>
      <x:c r="E77" s="52"/>
      <x:c r="F77" s="52"/>
    </x:row>
    <x:row r="78">
      <x:c r="A78" s="44" t="str">
        <x:v>C47</x:v>
      </x:c>
      <x:c r="B78" s="44" t="str">
        <x:v>P4 power-program comparator</x:v>
      </x:c>
      <x:c r="C78" s="44" t="str">
        <x:v>$232.8B</x:v>
      </x:c>
      <x:c r="D78" s="78" t="str">
        <x:f>IF(ABS(Program!J8-232.8)&lt;0.0001,"PASS","FAIL")</x:f>
        <x:v>PASS</x:v>
      </x:c>
      <x:c r="E78" s="52"/>
      <x:c r="F78" s="52"/>
    </x:row>
    <x:row r="79">
      <x:c r="A79" s="44" t="str">
        <x:v>C48</x:v>
      </x:c>
      <x:c r="B79" s="44" t="str">
        <x:v>P3 whole dry mass</x:v>
      </x:c>
      <x:c r="C79" s="44" t="str">
        <x:v>10770</x:v>
      </x:c>
      <x:c r="D79" s="78" t="str">
        <x:f>IF(Formation!D7=10770,"PASS","FAIL")</x:f>
        <x:v>PASS</x:v>
      </x:c>
      <x:c r="E79" s="52"/>
      <x:c r="F79" s="52"/>
    </x:row>
    <x:row r="80">
      <x:c r="A80" s="44" t="str">
        <x:v>C49</x:v>
      </x:c>
      <x:c r="B80" s="44" t="str">
        <x:v>P4 whole dry mass</x:v>
      </x:c>
      <x:c r="C80" s="44" t="str">
        <x:v>11250</x:v>
      </x:c>
      <x:c r="D80" s="78" t="str">
        <x:f>IF(Formation!D8=11250,"PASS","FAIL")</x:f>
        <x:v>PASS</x:v>
      </x:c>
      <x:c r="E80" s="52"/>
      <x:c r="F80" s="52"/>
    </x:row>
    <x:row r="81">
      <x:c r="A81" s="44" t="str">
        <x:v>C50</x:v>
      </x:c>
      <x:c r="B81" s="44" t="str">
        <x:v>P4 whole chargeable mass</x:v>
      </x:c>
      <x:c r="C81" s="44" t="str">
        <x:v>12,960</x:v>
      </x:c>
      <x:c r="D81" s="78" t="str">
        <x:f>IF(Formation!G8=12960,"PASS","FAIL")</x:f>
        <x:v>PASS</x:v>
      </x:c>
      <x:c r="E81" s="52"/>
      <x:c r="F81" s="52"/>
    </x:row>
    <x:row r="82">
      <x:c r="A82" s="44" t="str">
        <x:v>C51</x:v>
      </x:c>
      <x:c r="B82" s="44" t="str">
        <x:v>P4 whole crew</x:v>
      </x:c>
      <x:c r="C82" s="44" t="str">
        <x:v>598</x:v>
      </x:c>
      <x:c r="D82" s="78" t="str">
        <x:f>IF(Formation!J8=598,"PASS","FAIL")</x:f>
        <x:v>PASS</x:v>
      </x:c>
      <x:c r="E82" s="52"/>
      <x:c r="F82" s="52"/>
    </x:row>
    <x:row r="83">
      <x:c r="A83" s="44" t="str">
        <x:v>C52</x:v>
      </x:c>
      <x:c r="B83" s="44" t="str">
        <x:v>P4 whole equipment</x:v>
      </x:c>
      <x:c r="C83" s="44" t="str">
        <x:v>$9.72B</x:v>
      </x:c>
      <x:c r="D83" s="78" t="str">
        <x:f>IF(ABS(Formation!L8-9.72)&lt;0.0001,"PASS","FAIL")</x:f>
        <x:v>PASS</x:v>
      </x:c>
      <x:c r="E83" s="52"/>
      <x:c r="F83" s="52"/>
    </x:row>
    <x:row r="84">
      <x:c r="A84" s="44" t="str">
        <x:v>C53</x:v>
      </x:c>
      <x:c r="B84" s="44" t="str">
        <x:v>P4 revised whole program</x:v>
      </x:c>
      <x:c r="C84" s="44" t="str">
        <x:v>$796.88B</x:v>
      </x:c>
      <x:c r="D84" s="78" t="str">
        <x:f>IF(ABS(Program!D15-796.88)&lt;0.0001,"PASS","FAIL")</x:f>
        <x:v>PASS</x:v>
      </x:c>
      <x:c r="E84" s="52"/>
      <x:c r="F84" s="52"/>
    </x:row>
    <x:row r="85">
      <x:c r="A85" s="44" t="str">
        <x:v>C54</x:v>
      </x:c>
      <x:c r="B85" s="44" t="str">
        <x:v>P4 has three ready cells</x:v>
      </x:c>
      <x:c r="C85" s="44" t="str">
        <x:v>3</x:v>
      </x:c>
      <x:c r="D85" s="78" t="str">
        <x:f>IF('Cell Balance'!B23=3,"PASS","FAIL")</x:f>
        <x:v>PASS</x:v>
      </x:c>
      <x:c r="E85" s="52"/>
      <x:c r="F85" s="52"/>
    </x:row>
    <x:row r="86">
      <x:c r="A86" s="44" t="str">
        <x:v>C55</x:v>
      </x:c>
      <x:c r="B86" s="44" t="str">
        <x:v>Every gate remains open</x:v>
      </x:c>
      <x:c r="C86" s="44" t="str">
        <x:v>20</x:v>
      </x:c>
      <x:c r="D86" s="78" t="str">
        <x:f>IF(A28=20,"PASS","FAIL")</x:f>
        <x:v>PASS</x:v>
      </x:c>
      <x:c r="E86" s="52"/>
      <x:c r="F86" s="52"/>
    </x:row>
    <x:row r="87">
      <x:c r="A87" s="44" t="str">
        <x:v>C56</x:v>
      </x:c>
      <x:c r="B87" s="44" t="str">
        <x:v>Strict admission remains denied</x:v>
      </x:c>
      <x:c r="C87" s="44" t="str">
        <x:v>DENIED</x:v>
      </x:c>
      <x:c r="D87" s="78" t="str">
        <x:f>IF(B28="DENIED","PASS","FAIL")</x:f>
        <x:v>PASS</x:v>
      </x:c>
      <x:c r="E87" s="52"/>
      <x:c r="F87" s="52"/>
    </x:row>
    <x:row r="88">
      <x:c r="A88" s="44" t="str">
        <x:v>C57</x:v>
      </x:c>
      <x:c r="B88" s="44" t="str">
        <x:v>Rendering remains blocked</x:v>
      </x:c>
      <x:c r="C88" s="44" t="str">
        <x:v>BLOCKED</x:v>
      </x:c>
      <x:c r="D88" s="78" t="str">
        <x:f>IF(C28="BLOCKED","PASS","FAIL")</x:f>
        <x:v>PASS</x:v>
      </x:c>
      <x:c r="E88" s="52"/>
      <x:c r="F88" s="52"/>
    </x:row>
    <x:row r="89">
      <x:c r="A89" s="44" t="str">
        <x:v>C58</x:v>
      </x:c>
      <x:c r="B89" s="44" t="str">
        <x:v>P4 B 75%/24h margin positive</x:v>
      </x:c>
      <x:c r="C89" s="44" t="str">
        <x:v>&gt;0</x:v>
      </x:c>
      <x:c r="D89" s="78" t="str">
        <x:f>IF('Cell Balance'!N15&gt;0,"PASS","FAIL")</x:f>
        <x:v>PASS</x:v>
      </x:c>
      <x:c r="E89" s="52"/>
      <x:c r="F89" s="52"/>
    </x:row>
    <x:row r="90">
      <x:c r="A90" s="44" t="str">
        <x:v>C59</x:v>
      </x:c>
      <x:c r="B90" s="44" t="str">
        <x:v>P4 B module-loss/24h margin positive</x:v>
      </x:c>
      <x:c r="C90" s="44" t="str">
        <x:v>&gt;0</x:v>
      </x:c>
      <x:c r="D90" s="78" t="str">
        <x:f>IF('Cell Balance'!O15&gt;0,"PASS","FAIL")</x:f>
        <x:v>PASS</x:v>
      </x:c>
      <x:c r="E90" s="52"/>
      <x:c r="F90" s="52"/>
    </x:row>
    <x:row r="91">
      <x:c r="A91" s="44" t="str">
        <x:v>C60</x:v>
      </x:c>
      <x:c r="B91" s="44" t="str">
        <x:v>P4 B hot thermal margin positive</x:v>
      </x:c>
      <x:c r="C91" s="44" t="str">
        <x:v>&gt;0</x:v>
      </x:c>
      <x:c r="D91" s="78" t="str">
        <x:f>IF('Cell Balance'!P15&gt;0,"PASS","FAIL")</x:f>
        <x:v>PASS</x:v>
      </x:c>
      <x:c r="E91" s="52"/>
      <x:c r="F91" s="52"/>
    </x:row>
    <x:row r="92">
      <x:c r="A92" s="52"/>
      <x:c r="B92" s="52"/>
      <x:c r="C92" s="52"/>
      <x:c r="D92" s="52"/>
      <x:c r="E92" s="52"/>
      <x:c r="F92" s="52"/>
    </x:row>
    <x:row r="93">
      <x:c r="A93" s="52"/>
      <x:c r="B93" s="52"/>
      <x:c r="C93" s="52"/>
      <x:c r="D93" s="52"/>
      <x:c r="E93" s="52"/>
      <x:c r="F93" s="52"/>
    </x:row>
    <x:row r="94">
      <x:c r="A94" s="8" t="str">
        <x:v>Checks passed</x:v>
      </x:c>
      <x:c r="B94" s="8" t="str">
        <x:v>Checks total</x:v>
      </x:c>
      <x:c r="C94" s="8" t="str">
        <x:v>Terminal integrity</x:v>
      </x:c>
      <x:c r="D94" s="52"/>
      <x:c r="E94" s="52"/>
      <x:c r="F94" s="52"/>
    </x:row>
    <x:row r="95">
      <x:c r="A95" s="44" t="n">
        <x:f>COUNTIF(D32:D91,"PASS")</x:f>
        <x:v>60</x:v>
      </x:c>
      <x:c r="B95" s="44" t="n">
        <x:v>60</x:v>
      </x:c>
      <x:c r="C95" s="44" t="str">
        <x:f>IF(A95=B95,"PASS","FAIL")</x:f>
        <x:v>PASS</x:v>
      </x:c>
      <x:c r="D95" s="52"/>
      <x:c r="E95" s="52"/>
      <x:c r="F95" s="52"/>
    </x:row>
    <x:row r="96">
      <x:c r="A96" s="52"/>
      <x:c r="B96" s="52"/>
      <x:c r="C96" s="52"/>
      <x:c r="D96" s="52"/>
      <x:c r="E96" s="52"/>
      <x:c r="F96" s="52"/>
    </x:row>
    <x:row r="97">
      <x:c r="A97" s="52"/>
      <x:c r="B97" s="52"/>
      <x:c r="C97" s="52"/>
      <x:c r="D97" s="52"/>
      <x:c r="E97" s="52"/>
      <x:c r="F97" s="52"/>
    </x:row>
    <x:row r="98">
      <x:c r="A98" s="52"/>
      <x:c r="B98" s="52"/>
      <x:c r="C98" s="52"/>
      <x:c r="D98" s="52"/>
      <x:c r="E98" s="52"/>
      <x:c r="F98" s="52"/>
    </x:row>
    <x:row r="99">
      <x:c r="A99" s="52"/>
      <x:c r="B99" s="52"/>
      <x:c r="C99" s="52"/>
      <x:c r="D99" s="52"/>
      <x:c r="E99" s="52"/>
      <x:c r="F99" s="52"/>
    </x:row>
    <x:row r="100">
      <x:c r="A100" s="52"/>
      <x:c r="B100" s="52"/>
      <x:c r="C100" s="52"/>
      <x:c r="D100" s="52"/>
      <x:c r="E100" s="52"/>
      <x:c r="F100" s="52"/>
    </x:row>
    <x:row r="101">
      <x:c r="A101" s="52"/>
      <x:c r="B101" s="52"/>
      <x:c r="C101" s="52"/>
      <x:c r="D101" s="52"/>
      <x:c r="E101" s="52"/>
      <x:c r="F101" s="52"/>
    </x:row>
    <x:row r="102">
      <x:c r="A102" s="52"/>
      <x:c r="B102" s="52"/>
      <x:c r="C102" s="52"/>
      <x:c r="D102" s="52"/>
      <x:c r="E102" s="52"/>
      <x:c r="F102" s="52"/>
    </x:row>
    <x:row r="103">
      <x:c r="A103" s="52"/>
      <x:c r="B103" s="52"/>
      <x:c r="C103" s="52"/>
      <x:c r="D103" s="52"/>
      <x:c r="E103" s="52"/>
      <x:c r="F103" s="52"/>
    </x:row>
    <x:row r="104">
      <x:c r="A104" s="52"/>
      <x:c r="B104" s="52"/>
      <x:c r="C104" s="52"/>
      <x:c r="D104" s="52"/>
      <x:c r="E104" s="52"/>
      <x:c r="F104" s="52"/>
    </x:row>
    <x:row r="105">
      <x:c r="A105" s="52"/>
      <x:c r="B105" s="52"/>
      <x:c r="C105" s="52"/>
      <x:c r="D105" s="52"/>
      <x:c r="E105" s="52"/>
      <x:c r="F105" s="52"/>
    </x:row>
    <x:row r="106">
      <x:c r="A106" s="52"/>
      <x:c r="B106" s="52"/>
      <x:c r="C106" s="52"/>
      <x:c r="D106" s="52"/>
      <x:c r="E106" s="52"/>
      <x:c r="F106" s="52"/>
    </x:row>
    <x:row r="107">
      <x:c r="A107" s="52"/>
      <x:c r="B107" s="52"/>
      <x:c r="C107" s="52"/>
      <x:c r="D107" s="52"/>
      <x:c r="E107" s="52"/>
      <x:c r="F107" s="52"/>
    </x:row>
    <x:row r="108">
      <x:c r="A108" s="52"/>
      <x:c r="B108" s="52"/>
      <x:c r="C108" s="52"/>
      <x:c r="D108" s="52"/>
      <x:c r="E108" s="52"/>
      <x:c r="F108" s="52"/>
    </x:row>
    <x:row r="109">
      <x:c r="A109" s="52"/>
      <x:c r="B109" s="52"/>
      <x:c r="C109" s="52"/>
      <x:c r="D109" s="52"/>
      <x:c r="E109" s="52"/>
      <x:c r="F109" s="52"/>
    </x:row>
    <x:row r="110">
      <x:c r="A110" s="52"/>
      <x:c r="B110" s="52"/>
      <x:c r="C110" s="52"/>
      <x:c r="D110" s="52"/>
      <x:c r="E110" s="52"/>
      <x:c r="F110" s="52"/>
    </x:row>
  </x:sheetData>
  <x:mergeCells>
    <x:mergeCell ref="A1:F1"/>
    <x:mergeCell ref="A2:F2"/>
  </x:mergeCells>
  <x:pageMargins left="0.7" right="0.7" top="0.75" bottom="0.75" header="0.3" footer="0.3"/>
</x:worksheet>
</file>