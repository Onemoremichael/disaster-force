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a597ddf9e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da4969ef92a74028"/>
    <x:sheet xmlns:r="http://schemas.openxmlformats.org/officeDocument/2006/relationships" name="Controls" sheetId="2" r:id="Rc7e005ce93894f24"/>
    <x:sheet xmlns:r="http://schemas.openxmlformats.org/officeDocument/2006/relationships" name="Architecture" sheetId="3" r:id="R24833d02cd4c406a"/>
    <x:sheet xmlns:r="http://schemas.openxmlformats.org/officeDocument/2006/relationships" name="Network Design" sheetId="4" r:id="R21a656b6d0de4fb4"/>
    <x:sheet xmlns:r="http://schemas.openxmlformats.org/officeDocument/2006/relationships" name="Family Reception" sheetId="5" r:id="R27d1a82d02ac4228"/>
    <x:sheet xmlns:r="http://schemas.openxmlformats.org/officeDocument/2006/relationships" name="District Allocation" sheetId="6" r:id="R5a05fa02b6804804"/>
    <x:sheet xmlns:r="http://schemas.openxmlformats.org/officeDocument/2006/relationships" name="Precinct Capacity" sheetId="7" r:id="R9c09d816c039480f"/>
    <x:sheet xmlns:r="http://schemas.openxmlformats.org/officeDocument/2006/relationships" name="Prepositioning" sheetId="8" r:id="R45b869284608472e"/>
    <x:sheet xmlns:r="http://schemas.openxmlformats.org/officeDocument/2006/relationships" name="Partner Production" sheetId="9" r:id="R53832d3295344b80"/>
    <x:sheet xmlns:r="http://schemas.openxmlformats.org/officeDocument/2006/relationships" name="Custody" sheetId="10" r:id="R19c99dc3b3b545a8"/>
    <x:sheet xmlns:r="http://schemas.openxmlformats.org/officeDocument/2006/relationships" name="Service Timeline" sheetId="11" r:id="R64aa03de97da44cc"/>
    <x:sheet xmlns:r="http://schemas.openxmlformats.org/officeDocument/2006/relationships" name="Failure Worlds" sheetId="12" r:id="R14e391e971ae433b"/>
    <x:sheet xmlns:r="http://schemas.openxmlformats.org/officeDocument/2006/relationships" name="Economic Model" sheetId="13" r:id="Re99bc67749d7435d"/>
    <x:sheet xmlns:r="http://schemas.openxmlformats.org/officeDocument/2006/relationships" name="25-Year Path" sheetId="14" r:id="Rfef79dd3f50f4d27"/>
    <x:sheet xmlns:r="http://schemas.openxmlformats.org/officeDocument/2006/relationships" name="Technology" sheetId="15" r:id="R6374d1a6086a4eb2"/>
    <x:sheet xmlns:r="http://schemas.openxmlformats.org/officeDocument/2006/relationships" name="Audit" sheetId="16" r:id="R53e8df13805e4d1e"/>
    <x:sheet xmlns:r="http://schemas.openxmlformats.org/officeDocument/2006/relationships" name="Mutation Tests" sheetId="17" r:id="R237d3d0b39b04567"/>
    <x:sheet xmlns:r="http://schemas.openxmlformats.org/officeDocument/2006/relationships" name="Sources" sheetId="18" r:id="Rf567fc1377784e13"/>
    <x:sheet xmlns:r="http://schemas.openxmlformats.org/officeDocument/2006/relationships" name="Read Me" sheetId="19" r:id="R759a3f7f8b60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&quot;$&quot;#,##0.0"/>
    <x:numFmt numFmtId="202" formatCode="#,##0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4" borderId="0" xfId="0" applyNumberFormat="1" applyFont="1" applyFill="1" applyBorder="1"/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f742ac6344d8d" /><Relationship Type="http://schemas.openxmlformats.org/officeDocument/2006/relationships/theme" Target="/xl/theme/theme1.xml" Id="Rbad9996c33f84d98" /><Relationship Type="http://schemas.openxmlformats.org/officeDocument/2006/relationships/sharedStrings" Target="/xl/sharedStrings.xml" Id="R259bba89f7884bf5" /><Relationship Type="http://schemas.openxmlformats.org/officeDocument/2006/relationships/worksheet" Target="/xl/worksheets/sheet1.xml" Id="Rda4969ef92a74028" /><Relationship Type="http://schemas.openxmlformats.org/officeDocument/2006/relationships/worksheet" Target="/xl/worksheets/sheet2.xml" Id="Rc7e005ce93894f24" /><Relationship Type="http://schemas.openxmlformats.org/officeDocument/2006/relationships/worksheet" Target="/xl/worksheets/sheet3.xml" Id="R24833d02cd4c406a" /><Relationship Type="http://schemas.openxmlformats.org/officeDocument/2006/relationships/worksheet" Target="/xl/worksheets/sheet4.xml" Id="R21a656b6d0de4fb4" /><Relationship Type="http://schemas.openxmlformats.org/officeDocument/2006/relationships/worksheet" Target="/xl/worksheets/sheet5.xml" Id="R27d1a82d02ac4228" /><Relationship Type="http://schemas.openxmlformats.org/officeDocument/2006/relationships/worksheet" Target="/xl/worksheets/sheet6.xml" Id="R5a05fa02b6804804" /><Relationship Type="http://schemas.openxmlformats.org/officeDocument/2006/relationships/worksheet" Target="/xl/worksheets/sheet7.xml" Id="R9c09d816c039480f" /><Relationship Type="http://schemas.openxmlformats.org/officeDocument/2006/relationships/worksheet" Target="/xl/worksheets/sheet8.xml" Id="R45b869284608472e" /><Relationship Type="http://schemas.openxmlformats.org/officeDocument/2006/relationships/worksheet" Target="/xl/worksheets/sheet9.xml" Id="R53832d3295344b80" /><Relationship Type="http://schemas.openxmlformats.org/officeDocument/2006/relationships/worksheet" Target="/xl/worksheets/sheet10.xml" Id="R19c99dc3b3b545a8" /><Relationship Type="http://schemas.openxmlformats.org/officeDocument/2006/relationships/worksheet" Target="/xl/worksheets/sheet11.xml" Id="R64aa03de97da44cc" /><Relationship Type="http://schemas.openxmlformats.org/officeDocument/2006/relationships/worksheet" Target="/xl/worksheets/sheet12.xml" Id="R14e391e971ae433b" /><Relationship Type="http://schemas.openxmlformats.org/officeDocument/2006/relationships/worksheet" Target="/xl/worksheets/sheet13.xml" Id="Re99bc67749d7435d" /><Relationship Type="http://schemas.openxmlformats.org/officeDocument/2006/relationships/worksheet" Target="/xl/worksheets/sheet14.xml" Id="Rfef79dd3f50f4d27" /><Relationship Type="http://schemas.openxmlformats.org/officeDocument/2006/relationships/worksheet" Target="/xl/worksheets/sheet15.xml" Id="R6374d1a6086a4eb2" /><Relationship Type="http://schemas.openxmlformats.org/officeDocument/2006/relationships/worksheet" Target="/xl/worksheets/sheet16.xml" Id="R53e8df13805e4d1e" /><Relationship Type="http://schemas.openxmlformats.org/officeDocument/2006/relationships/worksheet" Target="/xl/worksheets/sheet17.xml" Id="R237d3d0b39b04567" /><Relationship Type="http://schemas.openxmlformats.org/officeDocument/2006/relationships/worksheet" Target="/xl/worksheets/sheet18.xml" Id="Rf567fc1377784e13" /><Relationship Type="http://schemas.openxmlformats.org/officeDocument/2006/relationships/worksheet" Target="/xl/worksheets/sheet19.xml" Id="R759a3f7f8b6041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a67be97eed4d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Forward commons topology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'Decision'!$M$6:$M$10</c:f>
              <c:strCache>
                <c:ptCount val="0"/>
              </c:strCache>
            </c:strRef>
          </c:cat>
          <c:val>
            <c:numRef>
              <c:f>'Decision'!$N$6:$N$10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a67be97eed4d8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ce3bd2ad9f48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24" hidden="0" customWidth="1"/>
    <x:col min="14" max="14" width="18" hidden="0" customWidth="1"/>
  </x:cols>
  <x:sheetData>
    <x:row r="2">
      <x:c r="A2" s="18" t="str">
        <x:v>Sovereign receiver commons and forward-partnership topology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Pass 197 | SPC-2 | host-owned reception and production without permanent U.S. basing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 t="str">
        <x:v>Layer</x:v>
      </x:c>
      <x:c r="N5" s="19" t="str">
        <x:v>Count</x:v>
      </x:c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Decision metric</x:v>
      </x:c>
      <x:c r="B6" s="22" t="str">
        <x:v>Value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 t="str">
        <x:v>Districts</x:v>
      </x:c>
      <x:c r="N6" s="19" t="n">
        <x:v>12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Verdict</x:v>
      </x:c>
      <x:c r="B7" s="23" t="str">
        <x:v>CLOSE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 t="str">
        <x:v>Precincts</x:v>
      </x:c>
      <x:c r="N7" s="19" t="n">
        <x:v>36</x:v>
      </x:c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Deepest branch</x:v>
      </x:c>
      <x:c r="B8" s="23" t="str">
        <x:v>SPC-2, second of five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 t="str">
        <x:v>Family slots</x:v>
      </x:c>
      <x:c r="N8" s="19" t="n">
        <x:v>842</x:v>
      </x:c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Selected architecture</x:v>
      </x:c>
      <x:c r="B9" s="23" t="str">
        <x:v>Federated sovereign receiver commons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 t="str">
        <x:v>Production roots</x:v>
      </x:c>
      <x:c r="N9" s="19" t="n">
        <x:v>192</x:v>
      </x:c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Reach networks</x:v>
      </x:c>
      <x:c r="B10" s="23" t="n">
        <x:v>2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 t="str">
        <x:v>Assurance cells</x:v>
      </x:c>
      <x:c r="N10" s="19" t="n">
        <x:v>96</x:v>
      </x:c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Receiver districts</x:v>
      </x:c>
      <x:c r="B11" s="23" t="n">
        <x:v>12</x:v>
      </x:c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Unlike access precincts</x:v>
      </x:c>
      <x:c r="B12" s="23" t="n">
        <x:v>36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Family-network obligations</x:v>
      </x:c>
      <x:c r="B13" s="23" t="n">
        <x:v>96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Installed family slots</x:v>
      </x:c>
      <x:c r="B14" s="23" t="n">
        <x:v>842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Added N−1 slots</x:v>
      </x:c>
      <x:c r="B15" s="23" t="n">
        <x:v>167</x:v>
      </x:c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Partner production roots</x:v>
      </x:c>
      <x:c r="B16" s="23" t="n">
        <x:v>192</x:v>
      </x:c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Public assurance cells</x:v>
      </x:c>
      <x:c r="B17" s="23" t="n">
        <x:v>96</x:v>
      </x:c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Forward material lower bound t</x:v>
      </x:c>
      <x:c r="B18" s="24" t="n">
        <x:v>683060</x:v>
      </x:c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Forward material upper bound t</x:v>
      </x:c>
      <x:c r="B19" s="24" t="n">
        <x:v>1295101.4</x:v>
      </x:c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Capital screen USD B</x:v>
      </x:c>
      <x:c r="B20" s="25" t="n">
        <x:v>1280.9595599999998</x:v>
      </x:c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str">
        <x:v>Annual operations USD B</x:v>
      </x:c>
      <x:c r="B21" s="25" t="n">
        <x:v>102.47676479999998</x:v>
      </x:c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3" t="str">
        <x:v>Released authority</x:v>
      </x:c>
      <x:c r="B22" s="23" t="n">
        <x:v>0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str">
        <x:v>Evidence state</x:v>
      </x:c>
      <x:c r="B23" s="23" t="str">
        <x:v>SOURCE EMPTY / HOLD</x:v>
      </x:c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</x:sheetData>
  <x:pageMargins left="0.7" right="0.7" top="0.75" bottom="0.75" header="0.3" footer="0.3"/>
  <x:drawing xmlns:r="http://schemas.openxmlformats.org/officeDocument/2006/relationships" r:id="Raace3bd2ad9f480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31" hidden="0" customWidth="1"/>
  </x:cols>
  <x:sheetData>
    <x:row r="2">
      <x:c r="A2" s="18" t="str">
        <x:v>Sovereign receiver-commons controls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Blue cells are explicit design hypotheses; inherited campaign values remain separate source facts.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Control</x:v>
      </x:c>
      <x:c r="B6" s="22" t="str">
        <x:v>Value</x:v>
      </x:c>
      <x:c r="C6" s="22" t="str">
        <x:v>Unit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Receiver districts per network</x:v>
      </x:c>
      <x:c r="B7" s="26" t="n">
        <x:v>6</x:v>
      </x:c>
      <x:c r="C7" s="23" t="str">
        <x:v>districts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Unlike precincts per district</x:v>
      </x:c>
      <x:c r="B8" s="26" t="n">
        <x:v>3</x:v>
      </x:c>
      <x:c r="C8" s="23" t="str">
        <x:v>precincts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Precinct capacity share</x:v>
      </x:c>
      <x:c r="B9" s="27" t="n">
        <x:v>0.5</x:v>
      </x:c>
      <x:c r="C9" s="23" t="str">
        <x:v>share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Forward early-mass share</x:v>
      </x:c>
      <x:c r="B10" s="27" t="n">
        <x:v>0.25</x:v>
      </x:c>
      <x:c r="C10" s="23" t="str">
        <x:v>share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Bridge-stock days</x:v>
      </x:c>
      <x:c r="B11" s="26" t="n">
        <x:v>14</x:v>
      </x:c>
      <x:c r="C11" s="23" t="str">
        <x:v>days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Receiver capital factor</x:v>
      </x:c>
      <x:c r="B12" s="27" t="n">
        <x:v>0.25</x:v>
      </x:c>
      <x:c r="C12" s="23" t="str">
        <x:v>share of installed-family value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Access precinct capital</x:v>
      </x:c>
      <x:c r="B13" s="26" t="n">
        <x:v>4</x:v>
      </x:c>
      <x:c r="C13" s="23" t="str">
        <x:v>USD B/precinct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Partner-root capital</x:v>
      </x:c>
      <x:c r="B14" s="26" t="n">
        <x:v>0.75</x:v>
      </x:c>
      <x:c r="C14" s="23" t="str">
        <x:v>USD B/root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Assurance-cell capital</x:v>
      </x:c>
      <x:c r="B15" s="26" t="n">
        <x:v>0.25</x:v>
      </x:c>
      <x:c r="C15" s="23" t="str">
        <x:v>USD B/cell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Academy capital</x:v>
      </x:c>
      <x:c r="B16" s="26" t="n">
        <x:v>1.5</x:v>
      </x:c>
      <x:c r="C16" s="23" t="str">
        <x:v>USD B/district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Bridge-stock value</x:v>
      </x:c>
      <x:c r="B17" s="26" t="n">
        <x:v>0.000005</x:v>
      </x:c>
      <x:c r="C17" s="23" t="str">
        <x:v>USD B/tonne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Protective works</x:v>
      </x:c>
      <x:c r="B18" s="26" t="n">
        <x:v>2.5</x:v>
      </x:c>
      <x:c r="C18" s="23" t="str">
        <x:v>USD B/district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Program reserve</x:v>
      </x:c>
      <x:c r="B19" s="27" t="n">
        <x:v>0.2</x:v>
      </x:c>
      <x:c r="C19" s="23" t="str">
        <x:v>share</x:v>
      </x:c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Mature operations</x:v>
      </x:c>
      <x:c r="B20" s="27" t="n">
        <x:v>0.08</x:v>
      </x:c>
      <x:c r="C20" s="23" t="str">
        <x:v>share of capital/year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str">
        <x:v>Released authority</x:v>
      </x:c>
      <x:c r="B21" s="26" t="n">
        <x:v>0</x:v>
      </x:c>
      <x:c r="C21" s="23" t="str">
        <x:v>campaigns</x:v>
      </x:c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19" hidden="0" customWidth="1"/>
    <x:col min="3" max="3" width="17" hidden="0" customWidth="1"/>
    <x:col min="4" max="4" width="16" hidden="0" customWidth="1"/>
    <x:col min="5" max="5" width="17" hidden="0" customWidth="1"/>
    <x:col min="6" max="6" width="18" hidden="0" customWidth="1"/>
    <x:col min="7" max="7" width="15" hidden="0" customWidth="1"/>
    <x:col min="8" max="8" width="17" hidden="0" customWidth="1"/>
    <x:col min="9" max="9" width="15" hidden="0" customWidth="1"/>
    <x:col min="10" max="10" width="17" hidden="0" customWidth="1"/>
    <x:col min="11" max="11" width="18" hidden="0" customWidth="1"/>
    <x:col min="12" max="12" width="13" hidden="0" customWidth="1"/>
  </x:cols>
  <x:sheetData>
    <x:row r="2">
      <x:c r="A2" s="18" t="str">
        <x:v>Forward-partnership architecture competition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Only the commons preserves complete family reception, sovereign refusal and independent reproduction together.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Architecture</x:v>
      </x:c>
      <x:c r="B6" s="22" t="str">
        <x:v>Complete family capacity</x:v>
      </x:c>
      <x:c r="C6" s="22" t="str">
        <x:v>Host sovereignty</x:v>
      </x:c>
      <x:c r="D6" s="22" t="str">
        <x:v>District N−1</x:v>
      </x:c>
      <x:c r="E6" s="22" t="str">
        <x:v>Precinct loss</x:v>
      </x:c>
      <x:c r="F6" s="22" t="str">
        <x:v>Nonrecall custody</x:v>
      </x:c>
      <x:c r="G6" s="22" t="str">
        <x:v>No garrison</x:v>
      </x:c>
      <x:c r="H6" s="22" t="str">
        <x:v>Offline control</x:v>
      </x:c>
      <x:c r="I6" s="22" t="str">
        <x:v>Transfer</x:v>
      </x:c>
      <x:c r="J6" s="22" t="str">
        <x:v>Root diversity</x:v>
      </x:c>
      <x:c r="K6" s="22" t="str">
        <x:v>Fiscal boundary</x:v>
      </x:c>
      <x:c r="L6" s="22" t="str">
        <x:v>Decision</x:v>
      </x:c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U.S. expeditionary hub-and-spoke</x:v>
      </x:c>
      <x:c r="B7" s="23" t="str">
        <x:v>PASS</x:v>
      </x:c>
      <x:c r="C7" s="23" t="str">
        <x:v>FAIL</x:v>
      </x:c>
      <x:c r="D7" s="23" t="str">
        <x:v>FAIL</x:v>
      </x:c>
      <x:c r="E7" s="23" t="str">
        <x:v>FAIL</x:v>
      </x:c>
      <x:c r="F7" s="23" t="str">
        <x:v>FAIL</x:v>
      </x:c>
      <x:c r="G7" s="23" t="str">
        <x:v>FAIL</x:v>
      </x:c>
      <x:c r="H7" s="23" t="str">
        <x:v>FAIL</x:v>
      </x:c>
      <x:c r="I7" s="23" t="str">
        <x:v>FAIL</x:v>
      </x:c>
      <x:c r="J7" s="23" t="str">
        <x:v>FAIL</x:v>
      </x:c>
      <x:c r="K7" s="23" t="str">
        <x:v>FAIL</x:v>
      </x:c>
      <x:c r="L7" s="28" t="str">
        <x:v>REJECT</x:v>
      </x:c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Forward kit-cache network</x:v>
      </x:c>
      <x:c r="B8" s="23" t="str">
        <x:v>PASS</x:v>
      </x:c>
      <x:c r="C8" s="23" t="str">
        <x:v>PASS</x:v>
      </x:c>
      <x:c r="D8" s="23" t="str">
        <x:v>FAIL</x:v>
      </x:c>
      <x:c r="E8" s="23" t="str">
        <x:v>FAIL</x:v>
      </x:c>
      <x:c r="F8" s="23" t="str">
        <x:v>FAIL</x:v>
      </x:c>
      <x:c r="G8" s="23" t="str">
        <x:v>FAIL</x:v>
      </x:c>
      <x:c r="H8" s="23" t="str">
        <x:v>FAIL</x:v>
      </x:c>
      <x:c r="I8" s="23" t="str">
        <x:v>FAIL</x:v>
      </x:c>
      <x:c r="J8" s="23" t="str">
        <x:v>FAIL</x:v>
      </x:c>
      <x:c r="K8" s="23" t="str">
        <x:v>FAIL</x:v>
      </x:c>
      <x:c r="L8" s="28" t="str">
        <x:v>REJECT</x:v>
      </x:c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Standing U.S. resilience garrisons</x:v>
      </x:c>
      <x:c r="B9" s="23" t="str">
        <x:v>PASS</x:v>
      </x:c>
      <x:c r="C9" s="23" t="str">
        <x:v>PASS</x:v>
      </x:c>
      <x:c r="D9" s="23" t="str">
        <x:v>PASS</x:v>
      </x:c>
      <x:c r="E9" s="23" t="str">
        <x:v>FAIL</x:v>
      </x:c>
      <x:c r="F9" s="23" t="str">
        <x:v>FAIL</x:v>
      </x:c>
      <x:c r="G9" s="23" t="str">
        <x:v>FAIL</x:v>
      </x:c>
      <x:c r="H9" s="23" t="str">
        <x:v>FAIL</x:v>
      </x:c>
      <x:c r="I9" s="23" t="str">
        <x:v>FAIL</x:v>
      </x:c>
      <x:c r="J9" s="23" t="str">
        <x:v>FAIL</x:v>
      </x:c>
      <x:c r="K9" s="23" t="str">
        <x:v>FAIL</x:v>
      </x:c>
      <x:c r="L9" s="28" t="str">
        <x:v>REJECT</x:v>
      </x:c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Contractor franchise network</x:v>
      </x:c>
      <x:c r="B10" s="23" t="str">
        <x:v>PASS</x:v>
      </x:c>
      <x:c r="C10" s="23" t="str">
        <x:v>PASS</x:v>
      </x:c>
      <x:c r="D10" s="23" t="str">
        <x:v>PASS</x:v>
      </x:c>
      <x:c r="E10" s="23" t="str">
        <x:v>PASS</x:v>
      </x:c>
      <x:c r="F10" s="23" t="str">
        <x:v>PASS</x:v>
      </x:c>
      <x:c r="G10" s="23" t="str">
        <x:v>FAIL</x:v>
      </x:c>
      <x:c r="H10" s="23" t="str">
        <x:v>FAIL</x:v>
      </x:c>
      <x:c r="I10" s="23" t="str">
        <x:v>FAIL</x:v>
      </x:c>
      <x:c r="J10" s="23" t="str">
        <x:v>FAIL</x:v>
      </x:c>
      <x:c r="K10" s="23" t="str">
        <x:v>FAIL</x:v>
      </x:c>
      <x:c r="L10" s="28" t="str">
        <x:v>REJECT</x:v>
      </x:c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Federated sovereign receiver commons</x:v>
      </x:c>
      <x:c r="B11" s="23" t="str">
        <x:v>PASS</x:v>
      </x:c>
      <x:c r="C11" s="23" t="str">
        <x:v>PASS</x:v>
      </x:c>
      <x:c r="D11" s="23" t="str">
        <x:v>PASS</x:v>
      </x:c>
      <x:c r="E11" s="23" t="str">
        <x:v>PASS</x:v>
      </x:c>
      <x:c r="F11" s="23" t="str">
        <x:v>PASS</x:v>
      </x:c>
      <x:c r="G11" s="23" t="str">
        <x:v>PASS</x:v>
      </x:c>
      <x:c r="H11" s="23" t="str">
        <x:v>PASS</x:v>
      </x:c>
      <x:c r="I11" s="23" t="str">
        <x:v>PASS</x:v>
      </x:c>
      <x:c r="J11" s="23" t="str">
        <x:v>PASS</x:v>
      </x:c>
      <x:c r="K11" s="23" t="str">
        <x:v>PASS</x:v>
      </x:c>
      <x:c r="L11" s="29" t="str">
        <x:v>SELECT</x:v>
      </x:c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17" hidden="0" customWidth="1"/>
    <x:col min="4" max="4" width="100" hidden="0" customWidth="1"/>
    <x:col min="5" max="5" width="17" hidden="0" customWidth="1"/>
    <x:col min="6" max="6" width="13" hidden="0" customWidth="1"/>
    <x:col min="7" max="7" width="14" hidden="0" customWidth="1"/>
  </x:cols>
  <x:sheetData>
    <x:row r="2">
      <x:c r="A2" s="18" t="str">
        <x:v>Federated sovereign receiver commons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This is an abstract topology; no country, installation or exterior form is selected.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Layer</x:v>
      </x:c>
      <x:c r="B6" s="22" t="str">
        <x:v>Institutional object</x:v>
      </x:c>
      <x:c r="C6" s="22" t="str">
        <x:v>Count</x:v>
      </x:c>
      <x:c r="D6" s="22" t="str">
        <x:v>Exclusive purpose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L1</x:v>
      </x:c>
      <x:c r="B7" s="23" t="str">
        <x:v>Network compact</x:v>
      </x:c>
      <x:c r="C7" s="23" t="n">
        <x:v>2</x:v>
      </x:c>
      <x:c r="D7" s="30" t="str">
        <x:v>Sovereign invitation, standards reciprocity, release and public accounting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L2</x:v>
      </x:c>
      <x:c r="B8" s="23" t="str">
        <x:v>Receiver district</x:v>
      </x:c>
      <x:c r="C8" s="23" t="n">
        <x:v>12</x:v>
      </x:c>
      <x:c r="D8" s="30" t="str">
        <x:v>Host-owned civil authority, population service and distributed admission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L3</x:v>
      </x:c>
      <x:c r="B9" s="23" t="str">
        <x:v>Unlike access precinct</x:v>
      </x:c>
      <x:c r="C9" s="23" t="n">
        <x:v>36</x:v>
      </x:c>
      <x:c r="D9" s="30" t="str">
        <x:v>Three separate arrival, utility, handling, control and safeing lineages per district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L4</x:v>
      </x:c>
      <x:c r="B10" s="23" t="str">
        <x:v>Family reception slot</x:v>
      </x:c>
      <x:c r="C10" s="23" t="n">
        <x:v>842</x:v>
      </x:c>
      <x:c r="D10" s="30" t="str">
        <x:v>Formation-specific receiver, interface, crew, stock, residual and reset capacity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L5</x:v>
      </x:c>
      <x:c r="B11" s="23" t="str">
        <x:v>Partner production root</x:v>
      </x:c>
      <x:c r="C11" s="23" t="n">
        <x:v>192</x:v>
      </x:c>
      <x:c r="D11" s="30" t="str">
        <x:v>Two separated repair/replacement and consumable paths per family-network obligation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L6</x:v>
      </x:c>
      <x:c r="B12" s="23" t="str">
        <x:v>Public assurance cell</x:v>
      </x:c>
      <x:c r="C12" s="23" t="n">
        <x:v>96</x:v>
      </x:c>
      <x:c r="D12" s="30" t="str">
        <x:v>Host-visible metrology, configuration, adverse evidence and outside replay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L7</x:v>
      </x:c>
      <x:c r="B13" s="23" t="str">
        <x:v>Training and transfer academy</x:v>
      </x:c>
      <x:c r="C13" s="23" t="n">
        <x:v>12</x:v>
      </x:c>
      <x:c r="D13" s="30" t="str">
        <x:v>Receiver professions, credential portability, exercises and independent operation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2" t="str">
        <x:v>Network</x:v>
      </x:c>
      <x:c r="B17" s="22" t="str">
        <x:v>Campaign</x:v>
      </x:c>
      <x:c r="C17" s="22" t="str">
        <x:v>Nominal formations</x:v>
      </x:c>
      <x:c r="D17" s="22" t="str">
        <x:v>Installed family slots</x:v>
      </x:c>
      <x:c r="E17" s="22" t="str">
        <x:v>N−1 margin</x:v>
      </x:c>
      <x:c r="F17" s="22" t="str">
        <x:v>Districts</x:v>
      </x:c>
      <x:c r="G17" s="22" t="str">
        <x:v>Precincts</x:v>
      </x:c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Indo-Pacific sovereign receiver commons</x:v>
      </x:c>
      <x:c r="B18" s="23" t="str">
        <x:v>I1</x:v>
      </x:c>
      <x:c r="C18" s="23" t="n">
        <x:v>334</x:v>
      </x:c>
      <x:c r="D18" s="23" t="n">
        <x:v>415</x:v>
      </x:c>
      <x:c r="E18" s="23" t="n">
        <x:v>81</x:v>
      </x:c>
      <x:c r="F18" s="23" t="n">
        <x:v>6</x:v>
      </x:c>
      <x:c r="G18" s="23" t="n">
        <x:v>18</x:v>
      </x:c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Atlantic/Americas sovereign receiver commons</x:v>
      </x:c>
      <x:c r="B19" s="23" t="str">
        <x:v>I2</x:v>
      </x:c>
      <x:c r="C19" s="23" t="n">
        <x:v>341</x:v>
      </x:c>
      <x:c r="D19" s="23" t="n">
        <x:v>427</x:v>
      </x:c>
      <x:c r="E19" s="23" t="n">
        <x:v>86</x:v>
      </x:c>
      <x:c r="F19" s="23" t="n">
        <x:v>6</x:v>
      </x:c>
      <x:c r="G19" s="23" t="n">
        <x:v>18</x:v>
      </x:c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42" hidden="0" customWidth="1"/>
    <x:col min="5" max="5" width="27" hidden="0" customWidth="1"/>
    <x:col min="6" max="6" width="13" hidden="0" customWidth="1"/>
    <x:col min="7" max="7" width="13" hidden="0" customWidth="1"/>
    <x:col min="8" max="8" width="15" hidden="0" customWidth="1"/>
    <x:col min="9" max="9" width="12" hidden="0" customWidth="1"/>
    <x:col min="10" max="10" width="20" hidden="0" customWidth="1"/>
    <x:col min="11" max="11" width="15" hidden="0" customWidth="1"/>
    <x:col min="12" max="12" width="13" hidden="0" customWidth="1"/>
    <x:col min="13" max="13" width="23" hidden="0" customWidth="1"/>
    <x:col min="14" max="14" width="29" hidden="0" customWidth="1"/>
  </x:cols>
  <x:sheetData>
    <x:row r="2">
      <x:c r="A2" s="18" t="str">
        <x:v>N−1 family-reception constitution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Each family is integerized separately; aggregate spare slots cannot cure a missing specialist receiver.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Network</x:v>
      </x:c>
      <x:c r="B6" s="22" t="str">
        <x:v>Campaign</x:v>
      </x:c>
      <x:c r="C6" s="22" t="str">
        <x:v>Family ID</x:v>
      </x:c>
      <x:c r="D6" s="22" t="str">
        <x:v>Formation family</x:v>
      </x:c>
      <x:c r="E6" s="22" t="str">
        <x:v>Service</x:v>
      </x:c>
      <x:c r="F6" s="22" t="str">
        <x:v>Mission</x:v>
      </x:c>
      <x:c r="G6" s="22" t="str">
        <x:v>Demand</x:v>
      </x:c>
      <x:c r="H6" s="22" t="str">
        <x:v>Installed</x:v>
      </x:c>
      <x:c r="I6" s="22" t="str">
        <x:v>Added</x:v>
      </x:c>
      <x:c r="J6" s="22" t="str">
        <x:v>Largest district</x:v>
      </x:c>
      <x:c r="K6" s="22" t="str">
        <x:v>After loss</x:v>
      </x:c>
      <x:c r="L6" s="22" t="str">
        <x:v>Margin</x:v>
      </x:c>
      <x:c r="M6" s="22" t="str">
        <x:v>Unit capital USD B</x:v>
      </x:c>
      <x:c r="N6" s="22" t="str">
        <x:v>Installed reference value USD B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N1</x:v>
      </x:c>
      <x:c r="B7" s="23" t="str">
        <x:v>I1</x:v>
      </x:c>
      <x:c r="C7" s="23" t="str">
        <x:v>J-CIE</x:v>
      </x:c>
      <x:c r="D7" s="23" t="str">
        <x:v>Civil integration and effects group</x:v>
      </x:c>
      <x:c r="E7" s="23" t="str">
        <x:v>Joint</x:v>
      </x:c>
      <x:c r="F7" s="23" t="str">
        <x:v>MS-CT</x:v>
      </x:c>
      <x:c r="G7" s="23" t="n">
        <x:v>4</x:v>
      </x:c>
      <x:c r="H7" s="23" t="n">
        <x:v>5</x:v>
      </x:c>
      <x:c r="I7" s="23" t="n">
        <x:v>1</x:v>
      </x:c>
      <x:c r="J7" s="23" t="n">
        <x:v>1</x:v>
      </x:c>
      <x:c r="K7" s="23" t="n">
        <x:v>4</x:v>
      </x:c>
      <x:c r="L7" s="23" t="n">
        <x:v>0</x:v>
      </x:c>
      <x:c r="M7" s="25" t="n">
        <x:v>0.25</x:v>
      </x:c>
      <x:c r="N7" s="25" t="n">
        <x:v>1.25</x:v>
      </x:c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N2</x:v>
      </x:c>
      <x:c r="B8" s="23" t="str">
        <x:v>I2</x:v>
      </x:c>
      <x:c r="C8" s="23" t="str">
        <x:v>J-CIE</x:v>
      </x:c>
      <x:c r="D8" s="23" t="str">
        <x:v>Civil integration and effects group</x:v>
      </x:c>
      <x:c r="E8" s="23" t="str">
        <x:v>Joint</x:v>
      </x:c>
      <x:c r="F8" s="23" t="str">
        <x:v>MS-CT</x:v>
      </x:c>
      <x:c r="G8" s="23" t="n">
        <x:v>4</x:v>
      </x:c>
      <x:c r="H8" s="23" t="n">
        <x:v>5</x:v>
      </x:c>
      <x:c r="I8" s="23" t="n">
        <x:v>1</x:v>
      </x:c>
      <x:c r="J8" s="23" t="n">
        <x:v>1</x:v>
      </x:c>
      <x:c r="K8" s="23" t="n">
        <x:v>4</x:v>
      </x:c>
      <x:c r="L8" s="23" t="n">
        <x:v>0</x:v>
      </x:c>
      <x:c r="M8" s="25" t="n">
        <x:v>0.25</x:v>
      </x:c>
      <x:c r="N8" s="25" t="n">
        <x:v>1.25</x:v>
      </x:c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N1</x:v>
      </x:c>
      <x:c r="B9" s="23" t="str">
        <x:v>I1</x:v>
      </x:c>
      <x:c r="C9" s="23" t="str">
        <x:v>J-TOC</x:v>
      </x:c>
      <x:c r="D9" s="23" t="str">
        <x:v>Theater-opening command</x:v>
      </x:c>
      <x:c r="E9" s="23" t="str">
        <x:v>Joint</x:v>
      </x:c>
      <x:c r="F9" s="23" t="str">
        <x:v>MS-ET</x:v>
      </x:c>
      <x:c r="G9" s="23" t="n">
        <x:v>3</x:v>
      </x:c>
      <x:c r="H9" s="23" t="n">
        <x:v>4</x:v>
      </x:c>
      <x:c r="I9" s="23" t="n">
        <x:v>1</x:v>
      </x:c>
      <x:c r="J9" s="23" t="n">
        <x:v>1</x:v>
      </x:c>
      <x:c r="K9" s="23" t="n">
        <x:v>3</x:v>
      </x:c>
      <x:c r="L9" s="23" t="n">
        <x:v>0</x:v>
      </x:c>
      <x:c r="M9" s="25" t="n">
        <x:v>1.2</x:v>
      </x:c>
      <x:c r="N9" s="25" t="n">
        <x:v>4.8</x:v>
      </x:c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N2</x:v>
      </x:c>
      <x:c r="B10" s="23" t="str">
        <x:v>I2</x:v>
      </x:c>
      <x:c r="C10" s="23" t="str">
        <x:v>J-TOC</x:v>
      </x:c>
      <x:c r="D10" s="23" t="str">
        <x:v>Theater-opening command</x:v>
      </x:c>
      <x:c r="E10" s="23" t="str">
        <x:v>Joint</x:v>
      </x:c>
      <x:c r="F10" s="23" t="str">
        <x:v>MS-ET</x:v>
      </x:c>
      <x:c r="G10" s="23" t="n">
        <x:v>3</x:v>
      </x:c>
      <x:c r="H10" s="23" t="n">
        <x:v>4</x:v>
      </x:c>
      <x:c r="I10" s="23" t="n">
        <x:v>1</x:v>
      </x:c>
      <x:c r="J10" s="23" t="n">
        <x:v>1</x:v>
      </x:c>
      <x:c r="K10" s="23" t="n">
        <x:v>3</x:v>
      </x:c>
      <x:c r="L10" s="23" t="n">
        <x:v>0</x:v>
      </x:c>
      <x:c r="M10" s="25" t="n">
        <x:v>1.2</x:v>
      </x:c>
      <x:c r="N10" s="25" t="n">
        <x:v>4.8</x:v>
      </x:c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N1</x:v>
      </x:c>
      <x:c r="B11" s="23" t="str">
        <x:v>I1</x:v>
      </x:c>
      <x:c r="C11" s="23" t="str">
        <x:v>J-TSC</x:v>
      </x:c>
      <x:c r="D11" s="23" t="str">
        <x:v>Theater sustainment command</x:v>
      </x:c>
      <x:c r="E11" s="23" t="str">
        <x:v>Joint</x:v>
      </x:c>
      <x:c r="F11" s="23" t="str">
        <x:v>MS-RT</x:v>
      </x:c>
      <x:c r="G11" s="23" t="n">
        <x:v>4</x:v>
      </x:c>
      <x:c r="H11" s="23" t="n">
        <x:v>5</x:v>
      </x:c>
      <x:c r="I11" s="23" t="n">
        <x:v>1</x:v>
      </x:c>
      <x:c r="J11" s="23" t="n">
        <x:v>1</x:v>
      </x:c>
      <x:c r="K11" s="23" t="n">
        <x:v>4</x:v>
      </x:c>
      <x:c r="L11" s="23" t="n">
        <x:v>0</x:v>
      </x:c>
      <x:c r="M11" s="25" t="n">
        <x:v>1.5</x:v>
      </x:c>
      <x:c r="N11" s="25" t="n">
        <x:v>7.5</x:v>
      </x:c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N2</x:v>
      </x:c>
      <x:c r="B12" s="23" t="str">
        <x:v>I2</x:v>
      </x:c>
      <x:c r="C12" s="23" t="str">
        <x:v>J-TSC</x:v>
      </x:c>
      <x:c r="D12" s="23" t="str">
        <x:v>Theater sustainment command</x:v>
      </x:c>
      <x:c r="E12" s="23" t="str">
        <x:v>Joint</x:v>
      </x:c>
      <x:c r="F12" s="23" t="str">
        <x:v>MS-RT</x:v>
      </x:c>
      <x:c r="G12" s="23" t="n">
        <x:v>4</x:v>
      </x:c>
      <x:c r="H12" s="23" t="n">
        <x:v>5</x:v>
      </x:c>
      <x:c r="I12" s="23" t="n">
        <x:v>1</x:v>
      </x:c>
      <x:c r="J12" s="23" t="n">
        <x:v>1</x:v>
      </x:c>
      <x:c r="K12" s="23" t="n">
        <x:v>4</x:v>
      </x:c>
      <x:c r="L12" s="23" t="n">
        <x:v>0</x:v>
      </x:c>
      <x:c r="M12" s="25" t="n">
        <x:v>1.5</x:v>
      </x:c>
      <x:c r="N12" s="25" t="n">
        <x:v>7.5</x:v>
      </x:c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N1</x:v>
      </x:c>
      <x:c r="B13" s="23" t="str">
        <x:v>I1</x:v>
      </x:c>
      <x:c r="C13" s="23" t="str">
        <x:v>J-RRG</x:v>
      </x:c>
      <x:c r="D13" s="23" t="str">
        <x:v>Replacement and reconstitution group</x:v>
      </x:c>
      <x:c r="E13" s="23" t="str">
        <x:v>Joint</x:v>
      </x:c>
      <x:c r="F13" s="23" t="str">
        <x:v>MS-RT</x:v>
      </x:c>
      <x:c r="G13" s="23" t="n">
        <x:v>4</x:v>
      </x:c>
      <x:c r="H13" s="23" t="n">
        <x:v>5</x:v>
      </x:c>
      <x:c r="I13" s="23" t="n">
        <x:v>1</x:v>
      </x:c>
      <x:c r="J13" s="23" t="n">
        <x:v>1</x:v>
      </x:c>
      <x:c r="K13" s="23" t="n">
        <x:v>4</x:v>
      </x:c>
      <x:c r="L13" s="23" t="n">
        <x:v>0</x:v>
      </x:c>
      <x:c r="M13" s="25" t="n">
        <x:v>0.8</x:v>
      </x:c>
      <x:c r="N13" s="25" t="n">
        <x:v>4</x:v>
      </x:c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N2</x:v>
      </x:c>
      <x:c r="B14" s="23" t="str">
        <x:v>I2</x:v>
      </x:c>
      <x:c r="C14" s="23" t="str">
        <x:v>J-RRG</x:v>
      </x:c>
      <x:c r="D14" s="23" t="str">
        <x:v>Replacement and reconstitution group</x:v>
      </x:c>
      <x:c r="E14" s="23" t="str">
        <x:v>Joint</x:v>
      </x:c>
      <x:c r="F14" s="23" t="str">
        <x:v>MS-RT</x:v>
      </x:c>
      <x:c r="G14" s="23" t="n">
        <x:v>4</x:v>
      </x:c>
      <x:c r="H14" s="23" t="n">
        <x:v>5</x:v>
      </x:c>
      <x:c r="I14" s="23" t="n">
        <x:v>1</x:v>
      </x:c>
      <x:c r="J14" s="23" t="n">
        <x:v>1</x:v>
      </x:c>
      <x:c r="K14" s="23" t="n">
        <x:v>4</x:v>
      </x:c>
      <x:c r="L14" s="23" t="n">
        <x:v>0</x:v>
      </x:c>
      <x:c r="M14" s="25" t="n">
        <x:v>0.8</x:v>
      </x:c>
      <x:c r="N14" s="25" t="n">
        <x:v>4</x:v>
      </x:c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N1</x:v>
      </x:c>
      <x:c r="B15" s="23" t="str">
        <x:v>I1</x:v>
      </x:c>
      <x:c r="C15" s="23" t="str">
        <x:v>J-TDG</x:v>
      </x:c>
      <x:c r="D15" s="23" t="str">
        <x:v>Transfer and demobilization group</x:v>
      </x:c>
      <x:c r="E15" s="23" t="str">
        <x:v>Joint</x:v>
      </x:c>
      <x:c r="F15" s="23" t="str">
        <x:v>MS-RT</x:v>
      </x:c>
      <x:c r="G15" s="23" t="n">
        <x:v>3</x:v>
      </x:c>
      <x:c r="H15" s="23" t="n">
        <x:v>4</x:v>
      </x:c>
      <x:c r="I15" s="23" t="n">
        <x:v>1</x:v>
      </x:c>
      <x:c r="J15" s="23" t="n">
        <x:v>1</x:v>
      </x:c>
      <x:c r="K15" s="23" t="n">
        <x:v>3</x:v>
      </x:c>
      <x:c r="L15" s="23" t="n">
        <x:v>0</x:v>
      </x:c>
      <x:c r="M15" s="25" t="n">
        <x:v>0.3</x:v>
      </x:c>
      <x:c r="N15" s="25" t="n">
        <x:v>1.2</x:v>
      </x:c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N2</x:v>
      </x:c>
      <x:c r="B16" s="23" t="str">
        <x:v>I2</x:v>
      </x:c>
      <x:c r="C16" s="23" t="str">
        <x:v>J-TDG</x:v>
      </x:c>
      <x:c r="D16" s="23" t="str">
        <x:v>Transfer and demobilization group</x:v>
      </x:c>
      <x:c r="E16" s="23" t="str">
        <x:v>Joint</x:v>
      </x:c>
      <x:c r="F16" s="23" t="str">
        <x:v>MS-RT</x:v>
      </x:c>
      <x:c r="G16" s="23" t="n">
        <x:v>3</x:v>
      </x:c>
      <x:c r="H16" s="23" t="n">
        <x:v>4</x:v>
      </x:c>
      <x:c r="I16" s="23" t="n">
        <x:v>1</x:v>
      </x:c>
      <x:c r="J16" s="23" t="n">
        <x:v>1</x:v>
      </x:c>
      <x:c r="K16" s="23" t="n">
        <x:v>3</x:v>
      </x:c>
      <x:c r="L16" s="23" t="n">
        <x:v>0</x:v>
      </x:c>
      <x:c r="M16" s="25" t="n">
        <x:v>0.3</x:v>
      </x:c>
      <x:c r="N16" s="25" t="n">
        <x:v>1.2</x:v>
      </x:c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N1</x:v>
      </x:c>
      <x:c r="B17" s="23" t="str">
        <x:v>I1</x:v>
      </x:c>
      <x:c r="C17" s="23" t="str">
        <x:v>L-ROG</x:v>
      </x:c>
      <x:c r="D17" s="23" t="str">
        <x:v>Access and route-opening group</x:v>
      </x:c>
      <x:c r="E17" s="23" t="str">
        <x:v>Land Engineering</x:v>
      </x:c>
      <x:c r="F17" s="23" t="str">
        <x:v>MS-ET</x:v>
      </x:c>
      <x:c r="G17" s="23" t="n">
        <x:v>10</x:v>
      </x:c>
      <x:c r="H17" s="23" t="n">
        <x:v>12</x:v>
      </x:c>
      <x:c r="I17" s="23" t="n">
        <x:v>2</x:v>
      </x:c>
      <x:c r="J17" s="23" t="n">
        <x:v>2</x:v>
      </x:c>
      <x:c r="K17" s="23" t="n">
        <x:v>10</x:v>
      </x:c>
      <x:c r="L17" s="23" t="n">
        <x:v>0</x:v>
      </x:c>
      <x:c r="M17" s="25" t="n">
        <x:v>1.2</x:v>
      </x:c>
      <x:c r="N17" s="25" t="n">
        <x:v>14.399999999999999</x:v>
      </x:c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N2</x:v>
      </x:c>
      <x:c r="B18" s="23" t="str">
        <x:v>I2</x:v>
      </x:c>
      <x:c r="C18" s="23" t="str">
        <x:v>L-ROG</x:v>
      </x:c>
      <x:c r="D18" s="23" t="str">
        <x:v>Access and route-opening group</x:v>
      </x:c>
      <x:c r="E18" s="23" t="str">
        <x:v>Land Engineering</x:v>
      </x:c>
      <x:c r="F18" s="23" t="str">
        <x:v>MS-ET</x:v>
      </x:c>
      <x:c r="G18" s="23" t="n">
        <x:v>8</x:v>
      </x:c>
      <x:c r="H18" s="23" t="n">
        <x:v>10</x:v>
      </x:c>
      <x:c r="I18" s="23" t="n">
        <x:v>2</x:v>
      </x:c>
      <x:c r="J18" s="23" t="n">
        <x:v>2</x:v>
      </x:c>
      <x:c r="K18" s="23" t="n">
        <x:v>8</x:v>
      </x:c>
      <x:c r="L18" s="23" t="n">
        <x:v>0</x:v>
      </x:c>
      <x:c r="M18" s="25" t="n">
        <x:v>1.2</x:v>
      </x:c>
      <x:c r="N18" s="25" t="n">
        <x:v>12</x:v>
      </x:c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N1</x:v>
      </x:c>
      <x:c r="B19" s="23" t="str">
        <x:v>I1</x:v>
      </x:c>
      <x:c r="C19" s="23" t="str">
        <x:v>L-HCG</x:v>
      </x:c>
      <x:c r="D19" s="23" t="str">
        <x:v>Flood and hydraulic-control group</x:v>
      </x:c>
      <x:c r="E19" s="23" t="str">
        <x:v>Land Engineering</x:v>
      </x:c>
      <x:c r="F19" s="23" t="str">
        <x:v>MS-HC</x:v>
      </x:c>
      <x:c r="G19" s="23" t="n">
        <x:v>4</x:v>
      </x:c>
      <x:c r="H19" s="23" t="n">
        <x:v>5</x:v>
      </x:c>
      <x:c r="I19" s="23" t="n">
        <x:v>1</x:v>
      </x:c>
      <x:c r="J19" s="23" t="n">
        <x:v>1</x:v>
      </x:c>
      <x:c r="K19" s="23" t="n">
        <x:v>4</x:v>
      </x:c>
      <x:c r="L19" s="23" t="n">
        <x:v>0</x:v>
      </x:c>
      <x:c r="M19" s="25" t="n">
        <x:v>1.8</x:v>
      </x:c>
      <x:c r="N19" s="25" t="n">
        <x:v>9</x:v>
      </x:c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N2</x:v>
      </x:c>
      <x:c r="B20" s="23" t="str">
        <x:v>I2</x:v>
      </x:c>
      <x:c r="C20" s="23" t="str">
        <x:v>L-HCG</x:v>
      </x:c>
      <x:c r="D20" s="23" t="str">
        <x:v>Flood and hydraulic-control group</x:v>
      </x:c>
      <x:c r="E20" s="23" t="str">
        <x:v>Land Engineering</x:v>
      </x:c>
      <x:c r="F20" s="23" t="str">
        <x:v>MS-HC</x:v>
      </x:c>
      <x:c r="G20" s="23" t="n">
        <x:v>12</x:v>
      </x:c>
      <x:c r="H20" s="23" t="n">
        <x:v>15</x:v>
      </x:c>
      <x:c r="I20" s="23" t="n">
        <x:v>3</x:v>
      </x:c>
      <x:c r="J20" s="23" t="n">
        <x:v>3</x:v>
      </x:c>
      <x:c r="K20" s="23" t="n">
        <x:v>12</x:v>
      </x:c>
      <x:c r="L20" s="23" t="n">
        <x:v>0</x:v>
      </x:c>
      <x:c r="M20" s="25" t="n">
        <x:v>1.8</x:v>
      </x:c>
      <x:c r="N20" s="25" t="n">
        <x:v>27</x:v>
      </x:c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str">
        <x:v>N1</x:v>
      </x:c>
      <x:c r="B21" s="23" t="str">
        <x:v>I1</x:v>
      </x:c>
      <x:c r="C21" s="23" t="str">
        <x:v>L-DMG</x:v>
      </x:c>
      <x:c r="D21" s="23" t="str">
        <x:v>Debris and materials group</x:v>
      </x:c>
      <x:c r="E21" s="23" t="str">
        <x:v>Land Engineering</x:v>
      </x:c>
      <x:c r="F21" s="23" t="str">
        <x:v>MS-HC</x:v>
      </x:c>
      <x:c r="G21" s="23" t="n">
        <x:v>10</x:v>
      </x:c>
      <x:c r="H21" s="23" t="n">
        <x:v>12</x:v>
      </x:c>
      <x:c r="I21" s="23" t="n">
        <x:v>2</x:v>
      </x:c>
      <x:c r="J21" s="23" t="n">
        <x:v>2</x:v>
      </x:c>
      <x:c r="K21" s="23" t="n">
        <x:v>10</x:v>
      </x:c>
      <x:c r="L21" s="23" t="n">
        <x:v>0</x:v>
      </x:c>
      <x:c r="M21" s="25" t="n">
        <x:v>1.4</x:v>
      </x:c>
      <x:c r="N21" s="25" t="n">
        <x:v>16.799999999999997</x:v>
      </x:c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3" t="str">
        <x:v>N2</x:v>
      </x:c>
      <x:c r="B22" s="23" t="str">
        <x:v>I2</x:v>
      </x:c>
      <x:c r="C22" s="23" t="str">
        <x:v>L-DMG</x:v>
      </x:c>
      <x:c r="D22" s="23" t="str">
        <x:v>Debris and materials group</x:v>
      </x:c>
      <x:c r="E22" s="23" t="str">
        <x:v>Land Engineering</x:v>
      </x:c>
      <x:c r="F22" s="23" t="str">
        <x:v>MS-HC</x:v>
      </x:c>
      <x:c r="G22" s="23" t="n">
        <x:v>8</x:v>
      </x:c>
      <x:c r="H22" s="23" t="n">
        <x:v>10</x:v>
      </x:c>
      <x:c r="I22" s="23" t="n">
        <x:v>2</x:v>
      </x:c>
      <x:c r="J22" s="23" t="n">
        <x:v>2</x:v>
      </x:c>
      <x:c r="K22" s="23" t="n">
        <x:v>8</x:v>
      </x:c>
      <x:c r="L22" s="23" t="n">
        <x:v>0</x:v>
      </x:c>
      <x:c r="M22" s="25" t="n">
        <x:v>1.4</x:v>
      </x:c>
      <x:c r="N22" s="25" t="n">
        <x:v>14</x:v>
      </x:c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str">
        <x:v>N1</x:v>
      </x:c>
      <x:c r="B23" s="23" t="str">
        <x:v>I1</x:v>
      </x:c>
      <x:c r="C23" s="23" t="str">
        <x:v>L-TWG</x:v>
      </x:c>
      <x:c r="D23" s="23" t="str">
        <x:v>Temporary works and crossing group</x:v>
      </x:c>
      <x:c r="E23" s="23" t="str">
        <x:v>Land Engineering</x:v>
      </x:c>
      <x:c r="F23" s="23" t="str">
        <x:v>MS-ET</x:v>
      </x:c>
      <x:c r="G23" s="23" t="n">
        <x:v>8</x:v>
      </x:c>
      <x:c r="H23" s="23" t="n">
        <x:v>10</x:v>
      </x:c>
      <x:c r="I23" s="23" t="n">
        <x:v>2</x:v>
      </x:c>
      <x:c r="J23" s="23" t="n">
        <x:v>2</x:v>
      </x:c>
      <x:c r="K23" s="23" t="n">
        <x:v>8</x:v>
      </x:c>
      <x:c r="L23" s="23" t="n">
        <x:v>0</x:v>
      </x:c>
      <x:c r="M23" s="25" t="n">
        <x:v>1.2</x:v>
      </x:c>
      <x:c r="N23" s="25" t="n">
        <x:v>12</x:v>
      </x:c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3" t="str">
        <x:v>N2</x:v>
      </x:c>
      <x:c r="B24" s="23" t="str">
        <x:v>I2</x:v>
      </x:c>
      <x:c r="C24" s="23" t="str">
        <x:v>L-TWG</x:v>
      </x:c>
      <x:c r="D24" s="23" t="str">
        <x:v>Temporary works and crossing group</x:v>
      </x:c>
      <x:c r="E24" s="23" t="str">
        <x:v>Land Engineering</x:v>
      </x:c>
      <x:c r="F24" s="23" t="str">
        <x:v>MS-ET</x:v>
      </x:c>
      <x:c r="G24" s="23" t="n">
        <x:v>6</x:v>
      </x:c>
      <x:c r="H24" s="23" t="n">
        <x:v>8</x:v>
      </x:c>
      <x:c r="I24" s="23" t="n">
        <x:v>2</x:v>
      </x:c>
      <x:c r="J24" s="23" t="n">
        <x:v>2</x:v>
      </x:c>
      <x:c r="K24" s="23" t="n">
        <x:v>6</x:v>
      </x:c>
      <x:c r="L24" s="23" t="n">
        <x:v>0</x:v>
      </x:c>
      <x:c r="M24" s="25" t="n">
        <x:v>1.2</x:v>
      </x:c>
      <x:c r="N24" s="25" t="n">
        <x:v>9.6</x:v>
      </x:c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3" t="str">
        <x:v>N1</x:v>
      </x:c>
      <x:c r="B25" s="23" t="str">
        <x:v>I1</x:v>
      </x:c>
      <x:c r="C25" s="23" t="str">
        <x:v>L-GFG</x:v>
      </x:c>
      <x:c r="D25" s="23" t="str">
        <x:v>Ground fire and landscape group</x:v>
      </x:c>
      <x:c r="E25" s="23" t="str">
        <x:v>Land Engineering</x:v>
      </x:c>
      <x:c r="F25" s="23" t="str">
        <x:v>MS-HC</x:v>
      </x:c>
      <x:c r="G25" s="23" t="n">
        <x:v>2</x:v>
      </x:c>
      <x:c r="H25" s="23" t="n">
        <x:v>3</x:v>
      </x:c>
      <x:c r="I25" s="23" t="n">
        <x:v>1</x:v>
      </x:c>
      <x:c r="J25" s="23" t="n">
        <x:v>1</x:v>
      </x:c>
      <x:c r="K25" s="23" t="n">
        <x:v>2</x:v>
      </x:c>
      <x:c r="L25" s="23" t="n">
        <x:v>0</x:v>
      </x:c>
      <x:c r="M25" s="25" t="n">
        <x:v>1</x:v>
      </x:c>
      <x:c r="N25" s="25" t="n">
        <x:v>3</x:v>
      </x:c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3" t="str">
        <x:v>N2</x:v>
      </x:c>
      <x:c r="B26" s="23" t="str">
        <x:v>I2</x:v>
      </x:c>
      <x:c r="C26" s="23" t="str">
        <x:v>L-GFG</x:v>
      </x:c>
      <x:c r="D26" s="23" t="str">
        <x:v>Ground fire and landscape group</x:v>
      </x:c>
      <x:c r="E26" s="23" t="str">
        <x:v>Land Engineering</x:v>
      </x:c>
      <x:c r="F26" s="23" t="str">
        <x:v>MS-HC</x:v>
      </x:c>
      <x:c r="G26" s="23" t="n">
        <x:v>2</x:v>
      </x:c>
      <x:c r="H26" s="23" t="n">
        <x:v>3</x:v>
      </x:c>
      <x:c r="I26" s="23" t="n">
        <x:v>1</x:v>
      </x:c>
      <x:c r="J26" s="23" t="n">
        <x:v>1</x:v>
      </x:c>
      <x:c r="K26" s="23" t="n">
        <x:v>2</x:v>
      </x:c>
      <x:c r="L26" s="23" t="n">
        <x:v>0</x:v>
      </x:c>
      <x:c r="M26" s="25" t="n">
        <x:v>1</x:v>
      </x:c>
      <x:c r="N26" s="25" t="n">
        <x:v>3</x:v>
      </x:c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3" t="str">
        <x:v>N1</x:v>
      </x:c>
      <x:c r="B27" s="23" t="str">
        <x:v>I1</x:v>
      </x:c>
      <x:c r="C27" s="23" t="str">
        <x:v>A-SMW</x:v>
      </x:c>
      <x:c r="D27" s="23" t="str">
        <x:v>Strategic mobility wing</x:v>
      </x:c>
      <x:c r="E27" s="23" t="str">
        <x:v>Air Response</x:v>
      </x:c>
      <x:c r="F27" s="23" t="str">
        <x:v>MS-ET</x:v>
      </x:c>
      <x:c r="G27" s="23" t="n">
        <x:v>5</x:v>
      </x:c>
      <x:c r="H27" s="23" t="n">
        <x:v>6</x:v>
      </x:c>
      <x:c r="I27" s="23" t="n">
        <x:v>1</x:v>
      </x:c>
      <x:c r="J27" s="23" t="n">
        <x:v>1</x:v>
      </x:c>
      <x:c r="K27" s="23" t="n">
        <x:v>5</x:v>
      </x:c>
      <x:c r="L27" s="23" t="n">
        <x:v>0</x:v>
      </x:c>
      <x:c r="M27" s="25" t="n">
        <x:v>8</x:v>
      </x:c>
      <x:c r="N27" s="25" t="n">
        <x:v>48</x:v>
      </x:c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3" t="str">
        <x:v>N2</x:v>
      </x:c>
      <x:c r="B28" s="23" t="str">
        <x:v>I2</x:v>
      </x:c>
      <x:c r="C28" s="23" t="str">
        <x:v>A-SMW</x:v>
      </x:c>
      <x:c r="D28" s="23" t="str">
        <x:v>Strategic mobility wing</x:v>
      </x:c>
      <x:c r="E28" s="23" t="str">
        <x:v>Air Response</x:v>
      </x:c>
      <x:c r="F28" s="23" t="str">
        <x:v>MS-ET</x:v>
      </x:c>
      <x:c r="G28" s="23" t="n">
        <x:v>5</x:v>
      </x:c>
      <x:c r="H28" s="23" t="n">
        <x:v>6</x:v>
      </x:c>
      <x:c r="I28" s="23" t="n">
        <x:v>1</x:v>
      </x:c>
      <x:c r="J28" s="23" t="n">
        <x:v>1</x:v>
      </x:c>
      <x:c r="K28" s="23" t="n">
        <x:v>5</x:v>
      </x:c>
      <x:c r="L28" s="23" t="n">
        <x:v>0</x:v>
      </x:c>
      <x:c r="M28" s="25" t="n">
        <x:v>8</x:v>
      </x:c>
      <x:c r="N28" s="25" t="n">
        <x:v>48</x:v>
      </x:c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3" t="str">
        <x:v>N1</x:v>
      </x:c>
      <x:c r="B29" s="23" t="str">
        <x:v>I1</x:v>
      </x:c>
      <x:c r="C29" s="23" t="str">
        <x:v>A-AAG</x:v>
      </x:c>
      <x:c r="D29" s="23" t="str">
        <x:v>Austere air-access group</x:v>
      </x:c>
      <x:c r="E29" s="23" t="str">
        <x:v>Air Response</x:v>
      </x:c>
      <x:c r="F29" s="23" t="str">
        <x:v>MS-ET</x:v>
      </x:c>
      <x:c r="G29" s="23" t="n">
        <x:v>5</x:v>
      </x:c>
      <x:c r="H29" s="23" t="n">
        <x:v>6</x:v>
      </x:c>
      <x:c r="I29" s="23" t="n">
        <x:v>1</x:v>
      </x:c>
      <x:c r="J29" s="23" t="n">
        <x:v>1</x:v>
      </x:c>
      <x:c r="K29" s="23" t="n">
        <x:v>5</x:v>
      </x:c>
      <x:c r="L29" s="23" t="n">
        <x:v>0</x:v>
      </x:c>
      <x:c r="M29" s="25" t="n">
        <x:v>2.5</x:v>
      </x:c>
      <x:c r="N29" s="25" t="n">
        <x:v>15</x:v>
      </x:c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3" t="str">
        <x:v>N2</x:v>
      </x:c>
      <x:c r="B30" s="23" t="str">
        <x:v>I2</x:v>
      </x:c>
      <x:c r="C30" s="23" t="str">
        <x:v>A-AAG</x:v>
      </x:c>
      <x:c r="D30" s="23" t="str">
        <x:v>Austere air-access group</x:v>
      </x:c>
      <x:c r="E30" s="23" t="str">
        <x:v>Air Response</x:v>
      </x:c>
      <x:c r="F30" s="23" t="str">
        <x:v>MS-ET</x:v>
      </x:c>
      <x:c r="G30" s="23" t="n">
        <x:v>5</x:v>
      </x:c>
      <x:c r="H30" s="23" t="n">
        <x:v>6</x:v>
      </x:c>
      <x:c r="I30" s="23" t="n">
        <x:v>1</x:v>
      </x:c>
      <x:c r="J30" s="23" t="n">
        <x:v>1</x:v>
      </x:c>
      <x:c r="K30" s="23" t="n">
        <x:v>5</x:v>
      </x:c>
      <x:c r="L30" s="23" t="n">
        <x:v>0</x:v>
      </x:c>
      <x:c r="M30" s="25" t="n">
        <x:v>2.5</x:v>
      </x:c>
      <x:c r="N30" s="25" t="n">
        <x:v>15</x:v>
      </x:c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3" t="str">
        <x:v>N1</x:v>
      </x:c>
      <x:c r="B31" s="23" t="str">
        <x:v>I1</x:v>
      </x:c>
      <x:c r="C31" s="23" t="str">
        <x:v>A-AHW</x:v>
      </x:c>
      <x:c r="D31" s="23" t="str">
        <x:v>Aerial hazard-control wing</x:v>
      </x:c>
      <x:c r="E31" s="23" t="str">
        <x:v>Air Response</x:v>
      </x:c>
      <x:c r="F31" s="23" t="str">
        <x:v>MS-HC</x:v>
      </x:c>
      <x:c r="G31" s="23" t="n">
        <x:v>2</x:v>
      </x:c>
      <x:c r="H31" s="23" t="n">
        <x:v>3</x:v>
      </x:c>
      <x:c r="I31" s="23" t="n">
        <x:v>1</x:v>
      </x:c>
      <x:c r="J31" s="23" t="n">
        <x:v>1</x:v>
      </x:c>
      <x:c r="K31" s="23" t="n">
        <x:v>2</x:v>
      </x:c>
      <x:c r="L31" s="23" t="n">
        <x:v>0</x:v>
      </x:c>
      <x:c r="M31" s="25" t="n">
        <x:v>6</x:v>
      </x:c>
      <x:c r="N31" s="25" t="n">
        <x:v>18</x:v>
      </x:c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23" t="str">
        <x:v>N2</x:v>
      </x:c>
      <x:c r="B32" s="23" t="str">
        <x:v>I2</x:v>
      </x:c>
      <x:c r="C32" s="23" t="str">
        <x:v>A-AHW</x:v>
      </x:c>
      <x:c r="D32" s="23" t="str">
        <x:v>Aerial hazard-control wing</x:v>
      </x:c>
      <x:c r="E32" s="23" t="str">
        <x:v>Air Response</x:v>
      </x:c>
      <x:c r="F32" s="23" t="str">
        <x:v>MS-HC</x:v>
      </x:c>
      <x:c r="G32" s="23" t="n">
        <x:v>1</x:v>
      </x:c>
      <x:c r="H32" s="23" t="n">
        <x:v>2</x:v>
      </x:c>
      <x:c r="I32" s="23" t="n">
        <x:v>1</x:v>
      </x:c>
      <x:c r="J32" s="23" t="n">
        <x:v>1</x:v>
      </x:c>
      <x:c r="K32" s="23" t="n">
        <x:v>1</x:v>
      </x:c>
      <x:c r="L32" s="23" t="n">
        <x:v>0</x:v>
      </x:c>
      <x:c r="M32" s="25" t="n">
        <x:v>6</x:v>
      </x:c>
      <x:c r="N32" s="25" t="n">
        <x:v>12</x:v>
      </x:c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23" t="str">
        <x:v>N1</x:v>
      </x:c>
      <x:c r="B33" s="23" t="str">
        <x:v>I1</x:v>
      </x:c>
      <x:c r="C33" s="23" t="str">
        <x:v>A-TDG</x:v>
      </x:c>
      <x:c r="D33" s="23" t="str">
        <x:v>Tactical distribution group</x:v>
      </x:c>
      <x:c r="E33" s="23" t="str">
        <x:v>Air Response</x:v>
      </x:c>
      <x:c r="F33" s="23" t="str">
        <x:v>MS-ET</x:v>
      </x:c>
      <x:c r="G33" s="23" t="n">
        <x:v>8</x:v>
      </x:c>
      <x:c r="H33" s="23" t="n">
        <x:v>10</x:v>
      </x:c>
      <x:c r="I33" s="23" t="n">
        <x:v>2</x:v>
      </x:c>
      <x:c r="J33" s="23" t="n">
        <x:v>2</x:v>
      </x:c>
      <x:c r="K33" s="23" t="n">
        <x:v>8</x:v>
      </x:c>
      <x:c r="L33" s="23" t="n">
        <x:v>0</x:v>
      </x:c>
      <x:c r="M33" s="25" t="n">
        <x:v>3</x:v>
      </x:c>
      <x:c r="N33" s="25" t="n">
        <x:v>30</x:v>
      </x:c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23" t="str">
        <x:v>N2</x:v>
      </x:c>
      <x:c r="B34" s="23" t="str">
        <x:v>I2</x:v>
      </x:c>
      <x:c r="C34" s="23" t="str">
        <x:v>A-TDG</x:v>
      </x:c>
      <x:c r="D34" s="23" t="str">
        <x:v>Tactical distribution group</x:v>
      </x:c>
      <x:c r="E34" s="23" t="str">
        <x:v>Air Response</x:v>
      </x:c>
      <x:c r="F34" s="23" t="str">
        <x:v>MS-ET</x:v>
      </x:c>
      <x:c r="G34" s="23" t="n">
        <x:v>8</x:v>
      </x:c>
      <x:c r="H34" s="23" t="n">
        <x:v>10</x:v>
      </x:c>
      <x:c r="I34" s="23" t="n">
        <x:v>2</x:v>
      </x:c>
      <x:c r="J34" s="23" t="n">
        <x:v>2</x:v>
      </x:c>
      <x:c r="K34" s="23" t="n">
        <x:v>8</x:v>
      </x:c>
      <x:c r="L34" s="23" t="n">
        <x:v>0</x:v>
      </x:c>
      <x:c r="M34" s="25" t="n">
        <x:v>3</x:v>
      </x:c>
      <x:c r="N34" s="25" t="n">
        <x:v>30</x:v>
      </x:c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23" t="str">
        <x:v>N1</x:v>
      </x:c>
      <x:c r="B35" s="23" t="str">
        <x:v>I1</x:v>
      </x:c>
      <x:c r="C35" s="23" t="str">
        <x:v>A-SRG</x:v>
      </x:c>
      <x:c r="D35" s="23" t="str">
        <x:v>Air sensing and relay group</x:v>
      </x:c>
      <x:c r="E35" s="23" t="str">
        <x:v>Air Response</x:v>
      </x:c>
      <x:c r="F35" s="23" t="str">
        <x:v>MS-CT</x:v>
      </x:c>
      <x:c r="G35" s="23" t="n">
        <x:v>5</x:v>
      </x:c>
      <x:c r="H35" s="23" t="n">
        <x:v>6</x:v>
      </x:c>
      <x:c r="I35" s="23" t="n">
        <x:v>1</x:v>
      </x:c>
      <x:c r="J35" s="23" t="n">
        <x:v>1</x:v>
      </x:c>
      <x:c r="K35" s="23" t="n">
        <x:v>5</x:v>
      </x:c>
      <x:c r="L35" s="23" t="n">
        <x:v>0</x:v>
      </x:c>
      <x:c r="M35" s="25" t="n">
        <x:v>1.2</x:v>
      </x:c>
      <x:c r="N35" s="25" t="n">
        <x:v>7.199999999999999</x:v>
      </x:c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23" t="str">
        <x:v>N2</x:v>
      </x:c>
      <x:c r="B36" s="23" t="str">
        <x:v>I2</x:v>
      </x:c>
      <x:c r="C36" s="23" t="str">
        <x:v>A-SRG</x:v>
      </x:c>
      <x:c r="D36" s="23" t="str">
        <x:v>Air sensing and relay group</x:v>
      </x:c>
      <x:c r="E36" s="23" t="str">
        <x:v>Air Response</x:v>
      </x:c>
      <x:c r="F36" s="23" t="str">
        <x:v>MS-CT</x:v>
      </x:c>
      <x:c r="G36" s="23" t="n">
        <x:v>5</x:v>
      </x:c>
      <x:c r="H36" s="23" t="n">
        <x:v>6</x:v>
      </x:c>
      <x:c r="I36" s="23" t="n">
        <x:v>1</x:v>
      </x:c>
      <x:c r="J36" s="23" t="n">
        <x:v>1</x:v>
      </x:c>
      <x:c r="K36" s="23" t="n">
        <x:v>5</x:v>
      </x:c>
      <x:c r="L36" s="23" t="n">
        <x:v>0</x:v>
      </x:c>
      <x:c r="M36" s="25" t="n">
        <x:v>1.2</x:v>
      </x:c>
      <x:c r="N36" s="25" t="n">
        <x:v>7.199999999999999</x:v>
      </x:c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23" t="str">
        <x:v>N1</x:v>
      </x:c>
      <x:c r="B37" s="23" t="str">
        <x:v>I1</x:v>
      </x:c>
      <x:c r="C37" s="23" t="str">
        <x:v>A-AMG</x:v>
      </x:c>
      <x:c r="D37" s="23" t="str">
        <x:v>Aeromedical movement group</x:v>
      </x:c>
      <x:c r="E37" s="23" t="str">
        <x:v>Air Response</x:v>
      </x:c>
      <x:c r="F37" s="23" t="str">
        <x:v>MS-HU</x:v>
      </x:c>
      <x:c r="G37" s="23" t="n">
        <x:v>5</x:v>
      </x:c>
      <x:c r="H37" s="23" t="n">
        <x:v>6</x:v>
      </x:c>
      <x:c r="I37" s="23" t="n">
        <x:v>1</x:v>
      </x:c>
      <x:c r="J37" s="23" t="n">
        <x:v>1</x:v>
      </x:c>
      <x:c r="K37" s="23" t="n">
        <x:v>5</x:v>
      </x:c>
      <x:c r="L37" s="23" t="n">
        <x:v>0</x:v>
      </x:c>
      <x:c r="M37" s="25" t="n">
        <x:v>2.5</x:v>
      </x:c>
      <x:c r="N37" s="25" t="n">
        <x:v>15</x:v>
      </x:c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23" t="str">
        <x:v>N2</x:v>
      </x:c>
      <x:c r="B38" s="23" t="str">
        <x:v>I2</x:v>
      </x:c>
      <x:c r="C38" s="23" t="str">
        <x:v>A-AMG</x:v>
      </x:c>
      <x:c r="D38" s="23" t="str">
        <x:v>Aeromedical movement group</x:v>
      </x:c>
      <x:c r="E38" s="23" t="str">
        <x:v>Air Response</x:v>
      </x:c>
      <x:c r="F38" s="23" t="str">
        <x:v>MS-HU</x:v>
      </x:c>
      <x:c r="G38" s="23" t="n">
        <x:v>4</x:v>
      </x:c>
      <x:c r="H38" s="23" t="n">
        <x:v>5</x:v>
      </x:c>
      <x:c r="I38" s="23" t="n">
        <x:v>1</x:v>
      </x:c>
      <x:c r="J38" s="23" t="n">
        <x:v>1</x:v>
      </x:c>
      <x:c r="K38" s="23" t="n">
        <x:v>4</x:v>
      </x:c>
      <x:c r="L38" s="23" t="n">
        <x:v>0</x:v>
      </x:c>
      <x:c r="M38" s="25" t="n">
        <x:v>2.5</x:v>
      </x:c>
      <x:c r="N38" s="25" t="n">
        <x:v>12.5</x:v>
      </x:c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23" t="str">
        <x:v>N1</x:v>
      </x:c>
      <x:c r="B39" s="23" t="str">
        <x:v>I1</x:v>
      </x:c>
      <x:c r="C39" s="23" t="str">
        <x:v>M-POG</x:v>
      </x:c>
      <x:c r="D39" s="23" t="str">
        <x:v>Port-opening group</x:v>
      </x:c>
      <x:c r="E39" s="23" t="str">
        <x:v>Maritime Response</x:v>
      </x:c>
      <x:c r="F39" s="23" t="str">
        <x:v>MS-ET</x:v>
      </x:c>
      <x:c r="G39" s="23" t="n">
        <x:v>8</x:v>
      </x:c>
      <x:c r="H39" s="23" t="n">
        <x:v>10</x:v>
      </x:c>
      <x:c r="I39" s="23" t="n">
        <x:v>2</x:v>
      </x:c>
      <x:c r="J39" s="23" t="n">
        <x:v>2</x:v>
      </x:c>
      <x:c r="K39" s="23" t="n">
        <x:v>8</x:v>
      </x:c>
      <x:c r="L39" s="23" t="n">
        <x:v>0</x:v>
      </x:c>
      <x:c r="M39" s="25" t="n">
        <x:v>3</x:v>
      </x:c>
      <x:c r="N39" s="25" t="n">
        <x:v>30</x:v>
      </x:c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23" t="str">
        <x:v>N2</x:v>
      </x:c>
      <x:c r="B40" s="23" t="str">
        <x:v>I2</x:v>
      </x:c>
      <x:c r="C40" s="23" t="str">
        <x:v>M-POG</x:v>
      </x:c>
      <x:c r="D40" s="23" t="str">
        <x:v>Port-opening group</x:v>
      </x:c>
      <x:c r="E40" s="23" t="str">
        <x:v>Maritime Response</x:v>
      </x:c>
      <x:c r="F40" s="23" t="str">
        <x:v>MS-ET</x:v>
      </x:c>
      <x:c r="G40" s="23" t="n">
        <x:v>6</x:v>
      </x:c>
      <x:c r="H40" s="23" t="n">
        <x:v>8</x:v>
      </x:c>
      <x:c r="I40" s="23" t="n">
        <x:v>2</x:v>
      </x:c>
      <x:c r="J40" s="23" t="n">
        <x:v>2</x:v>
      </x:c>
      <x:c r="K40" s="23" t="n">
        <x:v>6</x:v>
      </x:c>
      <x:c r="L40" s="23" t="n">
        <x:v>0</x:v>
      </x:c>
      <x:c r="M40" s="25" t="n">
        <x:v>3</x:v>
      </x:c>
      <x:c r="N40" s="25" t="n">
        <x:v>24</x:v>
      </x:c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23" t="str">
        <x:v>N1</x:v>
      </x:c>
      <x:c r="B41" s="23" t="str">
        <x:v>I1</x:v>
      </x:c>
      <x:c r="C41" s="23" t="str">
        <x:v>M-LAG</x:v>
      </x:c>
      <x:c r="D41" s="23" t="str">
        <x:v>Littoral-access group</x:v>
      </x:c>
      <x:c r="E41" s="23" t="str">
        <x:v>Maritime Response</x:v>
      </x:c>
      <x:c r="F41" s="23" t="str">
        <x:v>MS-ET</x:v>
      </x:c>
      <x:c r="G41" s="23" t="n">
        <x:v>8</x:v>
      </x:c>
      <x:c r="H41" s="23" t="n">
        <x:v>10</x:v>
      </x:c>
      <x:c r="I41" s="23" t="n">
        <x:v>2</x:v>
      </x:c>
      <x:c r="J41" s="23" t="n">
        <x:v>2</x:v>
      </x:c>
      <x:c r="K41" s="23" t="n">
        <x:v>8</x:v>
      </x:c>
      <x:c r="L41" s="23" t="n">
        <x:v>0</x:v>
      </x:c>
      <x:c r="M41" s="25" t="n">
        <x:v>2</x:v>
      </x:c>
      <x:c r="N41" s="25" t="n">
        <x:v>20</x:v>
      </x:c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23" t="str">
        <x:v>N2</x:v>
      </x:c>
      <x:c r="B42" s="23" t="str">
        <x:v>I2</x:v>
      </x:c>
      <x:c r="C42" s="23" t="str">
        <x:v>M-LAG</x:v>
      </x:c>
      <x:c r="D42" s="23" t="str">
        <x:v>Littoral-access group</x:v>
      </x:c>
      <x:c r="E42" s="23" t="str">
        <x:v>Maritime Response</x:v>
      </x:c>
      <x:c r="F42" s="23" t="str">
        <x:v>MS-ET</x:v>
      </x:c>
      <x:c r="G42" s="23" t="n">
        <x:v>8</x:v>
      </x:c>
      <x:c r="H42" s="23" t="n">
        <x:v>10</x:v>
      </x:c>
      <x:c r="I42" s="23" t="n">
        <x:v>2</x:v>
      </x:c>
      <x:c r="J42" s="23" t="n">
        <x:v>2</x:v>
      </x:c>
      <x:c r="K42" s="23" t="n">
        <x:v>8</x:v>
      </x:c>
      <x:c r="L42" s="23" t="n">
        <x:v>0</x:v>
      </x:c>
      <x:c r="M42" s="25" t="n">
        <x:v>2</x:v>
      </x:c>
      <x:c r="N42" s="25" t="n">
        <x:v>20</x:v>
      </x:c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23" t="str">
        <x:v>N1</x:v>
      </x:c>
      <x:c r="B43" s="23" t="str">
        <x:v>I1</x:v>
      </x:c>
      <x:c r="C43" s="23" t="str">
        <x:v>M-IWG</x:v>
      </x:c>
      <x:c r="D43" s="23" t="str">
        <x:v>Inland-waterway group</x:v>
      </x:c>
      <x:c r="E43" s="23" t="str">
        <x:v>Maritime Response</x:v>
      </x:c>
      <x:c r="F43" s="23" t="str">
        <x:v>MS-ET</x:v>
      </x:c>
      <x:c r="G43" s="23" t="n">
        <x:v>1</x:v>
      </x:c>
      <x:c r="H43" s="23" t="n">
        <x:v>2</x:v>
      </x:c>
      <x:c r="I43" s="23" t="n">
        <x:v>1</x:v>
      </x:c>
      <x:c r="J43" s="23" t="n">
        <x:v>1</x:v>
      </x:c>
      <x:c r="K43" s="23" t="n">
        <x:v>1</x:v>
      </x:c>
      <x:c r="L43" s="23" t="n">
        <x:v>0</x:v>
      </x:c>
      <x:c r="M43" s="25" t="n">
        <x:v>1.5</x:v>
      </x:c>
      <x:c r="N43" s="25" t="n">
        <x:v>3</x:v>
      </x:c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23" t="str">
        <x:v>N2</x:v>
      </x:c>
      <x:c r="B44" s="23" t="str">
        <x:v>I2</x:v>
      </x:c>
      <x:c r="C44" s="23" t="str">
        <x:v>M-IWG</x:v>
      </x:c>
      <x:c r="D44" s="23" t="str">
        <x:v>Inland-waterway group</x:v>
      </x:c>
      <x:c r="E44" s="23" t="str">
        <x:v>Maritime Response</x:v>
      </x:c>
      <x:c r="F44" s="23" t="str">
        <x:v>MS-ET</x:v>
      </x:c>
      <x:c r="G44" s="23" t="n">
        <x:v>6</x:v>
      </x:c>
      <x:c r="H44" s="23" t="n">
        <x:v>8</x:v>
      </x:c>
      <x:c r="I44" s="23" t="n">
        <x:v>2</x:v>
      </x:c>
      <x:c r="J44" s="23" t="n">
        <x:v>2</x:v>
      </x:c>
      <x:c r="K44" s="23" t="n">
        <x:v>6</x:v>
      </x:c>
      <x:c r="L44" s="23" t="n">
        <x:v>0</x:v>
      </x:c>
      <x:c r="M44" s="25" t="n">
        <x:v>1.5</x:v>
      </x:c>
      <x:c r="N44" s="25" t="n">
        <x:v>12</x:v>
      </x:c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23" t="str">
        <x:v>N1</x:v>
      </x:c>
      <x:c r="B45" s="23" t="str">
        <x:v>I1</x:v>
      </x:c>
      <x:c r="C45" s="23" t="str">
        <x:v>M-OSG</x:v>
      </x:c>
      <x:c r="D45" s="23" t="str">
        <x:v>Offshore-support group</x:v>
      </x:c>
      <x:c r="E45" s="23" t="str">
        <x:v>Maritime Response</x:v>
      </x:c>
      <x:c r="F45" s="23" t="str">
        <x:v>MS-RT</x:v>
      </x:c>
      <x:c r="G45" s="23" t="n">
        <x:v>6</x:v>
      </x:c>
      <x:c r="H45" s="23" t="n">
        <x:v>8</x:v>
      </x:c>
      <x:c r="I45" s="23" t="n">
        <x:v>2</x:v>
      </x:c>
      <x:c r="J45" s="23" t="n">
        <x:v>2</x:v>
      </x:c>
      <x:c r="K45" s="23" t="n">
        <x:v>6</x:v>
      </x:c>
      <x:c r="L45" s="23" t="n">
        <x:v>0</x:v>
      </x:c>
      <x:c r="M45" s="25" t="n">
        <x:v>7</x:v>
      </x:c>
      <x:c r="N45" s="25" t="n">
        <x:v>56</x:v>
      </x:c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23" t="str">
        <x:v>N2</x:v>
      </x:c>
      <x:c r="B46" s="23" t="str">
        <x:v>I2</x:v>
      </x:c>
      <x:c r="C46" s="23" t="str">
        <x:v>M-OSG</x:v>
      </x:c>
      <x:c r="D46" s="23" t="str">
        <x:v>Offshore-support group</x:v>
      </x:c>
      <x:c r="E46" s="23" t="str">
        <x:v>Maritime Response</x:v>
      </x:c>
      <x:c r="F46" s="23" t="str">
        <x:v>MS-RT</x:v>
      </x:c>
      <x:c r="G46" s="23" t="n">
        <x:v>5</x:v>
      </x:c>
      <x:c r="H46" s="23" t="n">
        <x:v>6</x:v>
      </x:c>
      <x:c r="I46" s="23" t="n">
        <x:v>1</x:v>
      </x:c>
      <x:c r="J46" s="23" t="n">
        <x:v>1</x:v>
      </x:c>
      <x:c r="K46" s="23" t="n">
        <x:v>5</x:v>
      </x:c>
      <x:c r="L46" s="23" t="n">
        <x:v>0</x:v>
      </x:c>
      <x:c r="M46" s="25" t="n">
        <x:v>7</x:v>
      </x:c>
      <x:c r="N46" s="25" t="n">
        <x:v>42</x:v>
      </x:c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23" t="str">
        <x:v>N1</x:v>
      </x:c>
      <x:c r="B47" s="23" t="str">
        <x:v>I1</x:v>
      </x:c>
      <x:c r="C47" s="23" t="str">
        <x:v>M-SSG</x:v>
      </x:c>
      <x:c r="D47" s="23" t="str">
        <x:v>Ocean sustainment group</x:v>
      </x:c>
      <x:c r="E47" s="23" t="str">
        <x:v>Maritime Response</x:v>
      </x:c>
      <x:c r="F47" s="23" t="str">
        <x:v>MS-RT</x:v>
      </x:c>
      <x:c r="G47" s="23" t="n">
        <x:v>8</x:v>
      </x:c>
      <x:c r="H47" s="23" t="n">
        <x:v>10</x:v>
      </x:c>
      <x:c r="I47" s="23" t="n">
        <x:v>2</x:v>
      </x:c>
      <x:c r="J47" s="23" t="n">
        <x:v>2</x:v>
      </x:c>
      <x:c r="K47" s="23" t="n">
        <x:v>8</x:v>
      </x:c>
      <x:c r="L47" s="23" t="n">
        <x:v>0</x:v>
      </x:c>
      <x:c r="M47" s="25" t="n">
        <x:v>9</x:v>
      </x:c>
      <x:c r="N47" s="25" t="n">
        <x:v>90</x:v>
      </x:c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23" t="str">
        <x:v>N2</x:v>
      </x:c>
      <x:c r="B48" s="23" t="str">
        <x:v>I2</x:v>
      </x:c>
      <x:c r="C48" s="23" t="str">
        <x:v>M-SSG</x:v>
      </x:c>
      <x:c r="D48" s="23" t="str">
        <x:v>Ocean sustainment group</x:v>
      </x:c>
      <x:c r="E48" s="23" t="str">
        <x:v>Maritime Response</x:v>
      </x:c>
      <x:c r="F48" s="23" t="str">
        <x:v>MS-RT</x:v>
      </x:c>
      <x:c r="G48" s="23" t="n">
        <x:v>8</x:v>
      </x:c>
      <x:c r="H48" s="23" t="n">
        <x:v>10</x:v>
      </x:c>
      <x:c r="I48" s="23" t="n">
        <x:v>2</x:v>
      </x:c>
      <x:c r="J48" s="23" t="n">
        <x:v>2</x:v>
      </x:c>
      <x:c r="K48" s="23" t="n">
        <x:v>8</x:v>
      </x:c>
      <x:c r="L48" s="23" t="n">
        <x:v>0</x:v>
      </x:c>
      <x:c r="M48" s="25" t="n">
        <x:v>9</x:v>
      </x:c>
      <x:c r="N48" s="25" t="n">
        <x:v>90</x:v>
      </x:c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23" t="str">
        <x:v>N1</x:v>
      </x:c>
      <x:c r="B49" s="23" t="str">
        <x:v>I1</x:v>
      </x:c>
      <x:c r="C49" s="23" t="str">
        <x:v>I-CUG</x:v>
      </x:c>
      <x:c r="D49" s="23" t="str">
        <x:v>Communications utility group</x:v>
      </x:c>
      <x:c r="E49" s="23" t="str">
        <x:v>Infrastructure Restoration</x:v>
      </x:c>
      <x:c r="F49" s="23" t="str">
        <x:v>MS-CT</x:v>
      </x:c>
      <x:c r="G49" s="23" t="n">
        <x:v>8</x:v>
      </x:c>
      <x:c r="H49" s="23" t="n">
        <x:v>10</x:v>
      </x:c>
      <x:c r="I49" s="23" t="n">
        <x:v>2</x:v>
      </x:c>
      <x:c r="J49" s="23" t="n">
        <x:v>2</x:v>
      </x:c>
      <x:c r="K49" s="23" t="n">
        <x:v>8</x:v>
      </x:c>
      <x:c r="L49" s="23" t="n">
        <x:v>0</x:v>
      </x:c>
      <x:c r="M49" s="25" t="n">
        <x:v>1</x:v>
      </x:c>
      <x:c r="N49" s="25" t="n">
        <x:v>10</x:v>
      </x:c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23" t="str">
        <x:v>N2</x:v>
      </x:c>
      <x:c r="B50" s="23" t="str">
        <x:v>I2</x:v>
      </x:c>
      <x:c r="C50" s="23" t="str">
        <x:v>I-CUG</x:v>
      </x:c>
      <x:c r="D50" s="23" t="str">
        <x:v>Communications utility group</x:v>
      </x:c>
      <x:c r="E50" s="23" t="str">
        <x:v>Infrastructure Restoration</x:v>
      </x:c>
      <x:c r="F50" s="23" t="str">
        <x:v>MS-CT</x:v>
      </x:c>
      <x:c r="G50" s="23" t="n">
        <x:v>8</x:v>
      </x:c>
      <x:c r="H50" s="23" t="n">
        <x:v>10</x:v>
      </x:c>
      <x:c r="I50" s="23" t="n">
        <x:v>2</x:v>
      </x:c>
      <x:c r="J50" s="23" t="n">
        <x:v>2</x:v>
      </x:c>
      <x:c r="K50" s="23" t="n">
        <x:v>8</x:v>
      </x:c>
      <x:c r="L50" s="23" t="n">
        <x:v>0</x:v>
      </x:c>
      <x:c r="M50" s="25" t="n">
        <x:v>1</x:v>
      </x:c>
      <x:c r="N50" s="25" t="n">
        <x:v>10</x:v>
      </x:c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23" t="str">
        <x:v>N1</x:v>
      </x:c>
      <x:c r="B51" s="23" t="str">
        <x:v>I1</x:v>
      </x:c>
      <x:c r="C51" s="23" t="str">
        <x:v>I-TSG</x:v>
      </x:c>
      <x:c r="D51" s="23" t="str">
        <x:v>Thermal safety group</x:v>
      </x:c>
      <x:c r="E51" s="23" t="str">
        <x:v>Infrastructure Restoration</x:v>
      </x:c>
      <x:c r="F51" s="23" t="str">
        <x:v>MS-LF</x:v>
      </x:c>
      <x:c r="G51" s="23" t="n">
        <x:v>6</x:v>
      </x:c>
      <x:c r="H51" s="23" t="n">
        <x:v>8</x:v>
      </x:c>
      <x:c r="I51" s="23" t="n">
        <x:v>2</x:v>
      </x:c>
      <x:c r="J51" s="23" t="n">
        <x:v>2</x:v>
      </x:c>
      <x:c r="K51" s="23" t="n">
        <x:v>6</x:v>
      </x:c>
      <x:c r="L51" s="23" t="n">
        <x:v>0</x:v>
      </x:c>
      <x:c r="M51" s="25" t="n">
        <x:v>0.8</x:v>
      </x:c>
      <x:c r="N51" s="25" t="n">
        <x:v>6.4</x:v>
      </x:c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23" t="str">
        <x:v>N2</x:v>
      </x:c>
      <x:c r="B52" s="23" t="str">
        <x:v>I2</x:v>
      </x:c>
      <x:c r="C52" s="23" t="str">
        <x:v>I-TSG</x:v>
      </x:c>
      <x:c r="D52" s="23" t="str">
        <x:v>Thermal safety group</x:v>
      </x:c>
      <x:c r="E52" s="23" t="str">
        <x:v>Infrastructure Restoration</x:v>
      </x:c>
      <x:c r="F52" s="23" t="str">
        <x:v>MS-LF</x:v>
      </x:c>
      <x:c r="G52" s="23" t="n">
        <x:v>5</x:v>
      </x:c>
      <x:c r="H52" s="23" t="n">
        <x:v>6</x:v>
      </x:c>
      <x:c r="I52" s="23" t="n">
        <x:v>1</x:v>
      </x:c>
      <x:c r="J52" s="23" t="n">
        <x:v>1</x:v>
      </x:c>
      <x:c r="K52" s="23" t="n">
        <x:v>5</x:v>
      </x:c>
      <x:c r="L52" s="23" t="n">
        <x:v>0</x:v>
      </x:c>
      <x:c r="M52" s="25" t="n">
        <x:v>0.8</x:v>
      </x:c>
      <x:c r="N52" s="25" t="n">
        <x:v>4.800000000000001</x:v>
      </x:c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23" t="str">
        <x:v>N1</x:v>
      </x:c>
      <x:c r="B53" s="23" t="str">
        <x:v>I1</x:v>
      </x:c>
      <x:c r="C53" s="23" t="str">
        <x:v>I-URG</x:v>
      </x:c>
      <x:c r="D53" s="23" t="str">
        <x:v>Utility reconstruction group</x:v>
      </x:c>
      <x:c r="E53" s="23" t="str">
        <x:v>Infrastructure Restoration</x:v>
      </x:c>
      <x:c r="F53" s="23" t="str">
        <x:v>MS-RT</x:v>
      </x:c>
      <x:c r="G53" s="23" t="n">
        <x:v>10</x:v>
      </x:c>
      <x:c r="H53" s="23" t="n">
        <x:v>12</x:v>
      </x:c>
      <x:c r="I53" s="23" t="n">
        <x:v>2</x:v>
      </x:c>
      <x:c r="J53" s="23" t="n">
        <x:v>2</x:v>
      </x:c>
      <x:c r="K53" s="23" t="n">
        <x:v>10</x:v>
      </x:c>
      <x:c r="L53" s="23" t="n">
        <x:v>0</x:v>
      </x:c>
      <x:c r="M53" s="25" t="n">
        <x:v>2</x:v>
      </x:c>
      <x:c r="N53" s="25" t="n">
        <x:v>24</x:v>
      </x:c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23" t="str">
        <x:v>N2</x:v>
      </x:c>
      <x:c r="B54" s="23" t="str">
        <x:v>I2</x:v>
      </x:c>
      <x:c r="C54" s="23" t="str">
        <x:v>I-URG</x:v>
      </x:c>
      <x:c r="D54" s="23" t="str">
        <x:v>Utility reconstruction group</x:v>
      </x:c>
      <x:c r="E54" s="23" t="str">
        <x:v>Infrastructure Restoration</x:v>
      </x:c>
      <x:c r="F54" s="23" t="str">
        <x:v>MS-RT</x:v>
      </x:c>
      <x:c r="G54" s="23" t="n">
        <x:v>8</x:v>
      </x:c>
      <x:c r="H54" s="23" t="n">
        <x:v>10</x:v>
      </x:c>
      <x:c r="I54" s="23" t="n">
        <x:v>2</x:v>
      </x:c>
      <x:c r="J54" s="23" t="n">
        <x:v>2</x:v>
      </x:c>
      <x:c r="K54" s="23" t="n">
        <x:v>8</x:v>
      </x:c>
      <x:c r="L54" s="23" t="n">
        <x:v>0</x:v>
      </x:c>
      <x:c r="M54" s="25" t="n">
        <x:v>2</x:v>
      </x:c>
      <x:c r="N54" s="25" t="n">
        <x:v>20</x:v>
      </x:c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23" t="str">
        <x:v>N1</x:v>
      </x:c>
      <x:c r="B55" s="23" t="str">
        <x:v>I1</x:v>
      </x:c>
      <x:c r="C55" s="23" t="str">
        <x:v>H-CHC</x:v>
      </x:c>
      <x:c r="D55" s="23" t="str">
        <x:v>Community health continuity group</x:v>
      </x:c>
      <x:c r="E55" s="23" t="str">
        <x:v>Health Protection</x:v>
      </x:c>
      <x:c r="F55" s="23" t="str">
        <x:v>MS-HU</x:v>
      </x:c>
      <x:c r="G55" s="23" t="n">
        <x:v>10</x:v>
      </x:c>
      <x:c r="H55" s="23" t="n">
        <x:v>12</x:v>
      </x:c>
      <x:c r="I55" s="23" t="n">
        <x:v>2</x:v>
      </x:c>
      <x:c r="J55" s="23" t="n">
        <x:v>2</x:v>
      </x:c>
      <x:c r="K55" s="23" t="n">
        <x:v>10</x:v>
      </x:c>
      <x:c r="L55" s="23" t="n">
        <x:v>0</x:v>
      </x:c>
      <x:c r="M55" s="25" t="n">
        <x:v>1.2</x:v>
      </x:c>
      <x:c r="N55" s="25" t="n">
        <x:v>14.399999999999999</x:v>
      </x:c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23" t="str">
        <x:v>N2</x:v>
      </x:c>
      <x:c r="B56" s="23" t="str">
        <x:v>I2</x:v>
      </x:c>
      <x:c r="C56" s="23" t="str">
        <x:v>H-CHC</x:v>
      </x:c>
      <x:c r="D56" s="23" t="str">
        <x:v>Community health continuity group</x:v>
      </x:c>
      <x:c r="E56" s="23" t="str">
        <x:v>Health Protection</x:v>
      </x:c>
      <x:c r="F56" s="23" t="str">
        <x:v>MS-HU</x:v>
      </x:c>
      <x:c r="G56" s="23" t="n">
        <x:v>10</x:v>
      </x:c>
      <x:c r="H56" s="23" t="n">
        <x:v>12</x:v>
      </x:c>
      <x:c r="I56" s="23" t="n">
        <x:v>2</x:v>
      </x:c>
      <x:c r="J56" s="23" t="n">
        <x:v>2</x:v>
      </x:c>
      <x:c r="K56" s="23" t="n">
        <x:v>10</x:v>
      </x:c>
      <x:c r="L56" s="23" t="n">
        <x:v>0</x:v>
      </x:c>
      <x:c r="M56" s="25" t="n">
        <x:v>1.2</x:v>
      </x:c>
      <x:c r="N56" s="25" t="n">
        <x:v>14.399999999999999</x:v>
      </x:c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23" t="str">
        <x:v>N1</x:v>
      </x:c>
      <x:c r="B57" s="23" t="str">
        <x:v>I1</x:v>
      </x:c>
      <x:c r="C57" s="23" t="str">
        <x:v>H-MAC</x:v>
      </x:c>
      <x:c r="D57" s="23" t="str">
        <x:v>Mobile acute-care group</x:v>
      </x:c>
      <x:c r="E57" s="23" t="str">
        <x:v>Health Protection</x:v>
      </x:c>
      <x:c r="F57" s="23" t="str">
        <x:v>MS-HU</x:v>
      </x:c>
      <x:c r="G57" s="23" t="n">
        <x:v>8</x:v>
      </x:c>
      <x:c r="H57" s="23" t="n">
        <x:v>10</x:v>
      </x:c>
      <x:c r="I57" s="23" t="n">
        <x:v>2</x:v>
      </x:c>
      <x:c r="J57" s="23" t="n">
        <x:v>2</x:v>
      </x:c>
      <x:c r="K57" s="23" t="n">
        <x:v>8</x:v>
      </x:c>
      <x:c r="L57" s="23" t="n">
        <x:v>0</x:v>
      </x:c>
      <x:c r="M57" s="25" t="n">
        <x:v>2.5</x:v>
      </x:c>
      <x:c r="N57" s="25" t="n">
        <x:v>25</x:v>
      </x:c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23" t="str">
        <x:v>N2</x:v>
      </x:c>
      <x:c r="B58" s="23" t="str">
        <x:v>I2</x:v>
      </x:c>
      <x:c r="C58" s="23" t="str">
        <x:v>H-MAC</x:v>
      </x:c>
      <x:c r="D58" s="23" t="str">
        <x:v>Mobile acute-care group</x:v>
      </x:c>
      <x:c r="E58" s="23" t="str">
        <x:v>Health Protection</x:v>
      </x:c>
      <x:c r="F58" s="23" t="str">
        <x:v>MS-HU</x:v>
      </x:c>
      <x:c r="G58" s="23" t="n">
        <x:v>6</x:v>
      </x:c>
      <x:c r="H58" s="23" t="n">
        <x:v>8</x:v>
      </x:c>
      <x:c r="I58" s="23" t="n">
        <x:v>2</x:v>
      </x:c>
      <x:c r="J58" s="23" t="n">
        <x:v>2</x:v>
      </x:c>
      <x:c r="K58" s="23" t="n">
        <x:v>6</x:v>
      </x:c>
      <x:c r="L58" s="23" t="n">
        <x:v>0</x:v>
      </x:c>
      <x:c r="M58" s="25" t="n">
        <x:v>2.5</x:v>
      </x:c>
      <x:c r="N58" s="25" t="n">
        <x:v>20</x:v>
      </x:c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23" t="str">
        <x:v>N1</x:v>
      </x:c>
      <x:c r="B59" s="23" t="str">
        <x:v>I1</x:v>
      </x:c>
      <x:c r="C59" s="23" t="str">
        <x:v>H-PHC</x:v>
      </x:c>
      <x:c r="D59" s="23" t="str">
        <x:v>Public-health control group</x:v>
      </x:c>
      <x:c r="E59" s="23" t="str">
        <x:v>Health Protection</x:v>
      </x:c>
      <x:c r="F59" s="23" t="str">
        <x:v>MS-HU</x:v>
      </x:c>
      <x:c r="G59" s="23" t="n">
        <x:v>6</x:v>
      </x:c>
      <x:c r="H59" s="23" t="n">
        <x:v>8</x:v>
      </x:c>
      <x:c r="I59" s="23" t="n">
        <x:v>2</x:v>
      </x:c>
      <x:c r="J59" s="23" t="n">
        <x:v>2</x:v>
      </x:c>
      <x:c r="K59" s="23" t="n">
        <x:v>6</x:v>
      </x:c>
      <x:c r="L59" s="23" t="n">
        <x:v>0</x:v>
      </x:c>
      <x:c r="M59" s="25" t="n">
        <x:v>1</x:v>
      </x:c>
      <x:c r="N59" s="25" t="n">
        <x:v>8</x:v>
      </x:c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23" t="str">
        <x:v>N2</x:v>
      </x:c>
      <x:c r="B60" s="23" t="str">
        <x:v>I2</x:v>
      </x:c>
      <x:c r="C60" s="23" t="str">
        <x:v>H-PHC</x:v>
      </x:c>
      <x:c r="D60" s="23" t="str">
        <x:v>Public-health control group</x:v>
      </x:c>
      <x:c r="E60" s="23" t="str">
        <x:v>Health Protection</x:v>
      </x:c>
      <x:c r="F60" s="23" t="str">
        <x:v>MS-HU</x:v>
      </x:c>
      <x:c r="G60" s="23" t="n">
        <x:v>6</x:v>
      </x:c>
      <x:c r="H60" s="23" t="n">
        <x:v>8</x:v>
      </x:c>
      <x:c r="I60" s="23" t="n">
        <x:v>2</x:v>
      </x:c>
      <x:c r="J60" s="23" t="n">
        <x:v>2</x:v>
      </x:c>
      <x:c r="K60" s="23" t="n">
        <x:v>6</x:v>
      </x:c>
      <x:c r="L60" s="23" t="n">
        <x:v>0</x:v>
      </x:c>
      <x:c r="M60" s="25" t="n">
        <x:v>1</x:v>
      </x:c>
      <x:c r="N60" s="25" t="n">
        <x:v>8</x:v>
      </x:c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23" t="str">
        <x:v>N1</x:v>
      </x:c>
      <x:c r="B61" s="23" t="str">
        <x:v>I1</x:v>
      </x:c>
      <x:c r="C61" s="23" t="str">
        <x:v>H-HWR</x:v>
      </x:c>
      <x:c r="D61" s="23" t="str">
        <x:v>Health workforce replacement group</x:v>
      </x:c>
      <x:c r="E61" s="23" t="str">
        <x:v>Health Protection</x:v>
      </x:c>
      <x:c r="F61" s="23" t="str">
        <x:v>MS-HU</x:v>
      </x:c>
      <x:c r="G61" s="23" t="n">
        <x:v>10</x:v>
      </x:c>
      <x:c r="H61" s="23" t="n">
        <x:v>12</x:v>
      </x:c>
      <x:c r="I61" s="23" t="n">
        <x:v>2</x:v>
      </x:c>
      <x:c r="J61" s="23" t="n">
        <x:v>2</x:v>
      </x:c>
      <x:c r="K61" s="23" t="n">
        <x:v>10</x:v>
      </x:c>
      <x:c r="L61" s="23" t="n">
        <x:v>0</x:v>
      </x:c>
      <x:c r="M61" s="25" t="n">
        <x:v>0.8</x:v>
      </x:c>
      <x:c r="N61" s="25" t="n">
        <x:v>9.600000000000001</x:v>
      </x:c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23" t="str">
        <x:v>N2</x:v>
      </x:c>
      <x:c r="B62" s="23" t="str">
        <x:v>I2</x:v>
      </x:c>
      <x:c r="C62" s="23" t="str">
        <x:v>H-HWR</x:v>
      </x:c>
      <x:c r="D62" s="23" t="str">
        <x:v>Health workforce replacement group</x:v>
      </x:c>
      <x:c r="E62" s="23" t="str">
        <x:v>Health Protection</x:v>
      </x:c>
      <x:c r="F62" s="23" t="str">
        <x:v>MS-HU</x:v>
      </x:c>
      <x:c r="G62" s="23" t="n">
        <x:v>10</x:v>
      </x:c>
      <x:c r="H62" s="23" t="n">
        <x:v>12</x:v>
      </x:c>
      <x:c r="I62" s="23" t="n">
        <x:v>2</x:v>
      </x:c>
      <x:c r="J62" s="23" t="n">
        <x:v>2</x:v>
      </x:c>
      <x:c r="K62" s="23" t="n">
        <x:v>10</x:v>
      </x:c>
      <x:c r="L62" s="23" t="n">
        <x:v>0</x:v>
      </x:c>
      <x:c r="M62" s="25" t="n">
        <x:v>0.8</x:v>
      </x:c>
      <x:c r="N62" s="25" t="n">
        <x:v>9.600000000000001</x:v>
      </x:c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23" t="str">
        <x:v>N1</x:v>
      </x:c>
      <x:c r="B63" s="23" t="str">
        <x:v>I1</x:v>
      </x:c>
      <x:c r="C63" s="23" t="str">
        <x:v>C-PSG</x:v>
      </x:c>
      <x:c r="D63" s="23" t="str">
        <x:v>Population support group</x:v>
      </x:c>
      <x:c r="E63" s="23" t="str">
        <x:v>Community Stabilization</x:v>
      </x:c>
      <x:c r="F63" s="23" t="str">
        <x:v>MS-HU</x:v>
      </x:c>
      <x:c r="G63" s="23" t="n">
        <x:v>14</x:v>
      </x:c>
      <x:c r="H63" s="23" t="n">
        <x:v>17</x:v>
      </x:c>
      <x:c r="I63" s="23" t="n">
        <x:v>3</x:v>
      </x:c>
      <x:c r="J63" s="23" t="n">
        <x:v>3</x:v>
      </x:c>
      <x:c r="K63" s="23" t="n">
        <x:v>14</x:v>
      </x:c>
      <x:c r="L63" s="23" t="n">
        <x:v>0</x:v>
      </x:c>
      <x:c r="M63" s="25" t="n">
        <x:v>0.6</x:v>
      </x:c>
      <x:c r="N63" s="25" t="n">
        <x:v>10.2</x:v>
      </x:c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23" t="str">
        <x:v>N2</x:v>
      </x:c>
      <x:c r="B64" s="23" t="str">
        <x:v>I2</x:v>
      </x:c>
      <x:c r="C64" s="23" t="str">
        <x:v>C-PSG</x:v>
      </x:c>
      <x:c r="D64" s="23" t="str">
        <x:v>Population support group</x:v>
      </x:c>
      <x:c r="E64" s="23" t="str">
        <x:v>Community Stabilization</x:v>
      </x:c>
      <x:c r="F64" s="23" t="str">
        <x:v>MS-HU</x:v>
      </x:c>
      <x:c r="G64" s="23" t="n">
        <x:v>16</x:v>
      </x:c>
      <x:c r="H64" s="23" t="n">
        <x:v>20</x:v>
      </x:c>
      <x:c r="I64" s="23" t="n">
        <x:v>4</x:v>
      </x:c>
      <x:c r="J64" s="23" t="n">
        <x:v>4</x:v>
      </x:c>
      <x:c r="K64" s="23" t="n">
        <x:v>16</x:v>
      </x:c>
      <x:c r="L64" s="23" t="n">
        <x:v>0</x:v>
      </x:c>
      <x:c r="M64" s="25" t="n">
        <x:v>0.6</x:v>
      </x:c>
      <x:c r="N64" s="25" t="n">
        <x:v>12</x:v>
      </x:c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23" t="str">
        <x:v>N1</x:v>
      </x:c>
      <x:c r="B65" s="23" t="str">
        <x:v>I1</x:v>
      </x:c>
      <x:c r="C65" s="23" t="str">
        <x:v>C-EGG</x:v>
      </x:c>
      <x:c r="D65" s="23" t="str">
        <x:v>Essential-goods group</x:v>
      </x:c>
      <x:c r="E65" s="23" t="str">
        <x:v>Community Stabilization</x:v>
      </x:c>
      <x:c r="F65" s="23" t="str">
        <x:v>MS-HU</x:v>
      </x:c>
      <x:c r="G65" s="23" t="n">
        <x:v>14</x:v>
      </x:c>
      <x:c r="H65" s="23" t="n">
        <x:v>17</x:v>
      </x:c>
      <x:c r="I65" s="23" t="n">
        <x:v>3</x:v>
      </x:c>
      <x:c r="J65" s="23" t="n">
        <x:v>3</x:v>
      </x:c>
      <x:c r="K65" s="23" t="n">
        <x:v>14</x:v>
      </x:c>
      <x:c r="L65" s="23" t="n">
        <x:v>0</x:v>
      </x:c>
      <x:c r="M65" s="25" t="n">
        <x:v>0.5</x:v>
      </x:c>
      <x:c r="N65" s="25" t="n">
        <x:v>8.5</x:v>
      </x:c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23" t="str">
        <x:v>N2</x:v>
      </x:c>
      <x:c r="B66" s="23" t="str">
        <x:v>I2</x:v>
      </x:c>
      <x:c r="C66" s="23" t="str">
        <x:v>C-EGG</x:v>
      </x:c>
      <x:c r="D66" s="23" t="str">
        <x:v>Essential-goods group</x:v>
      </x:c>
      <x:c r="E66" s="23" t="str">
        <x:v>Community Stabilization</x:v>
      </x:c>
      <x:c r="F66" s="23" t="str">
        <x:v>MS-HU</x:v>
      </x:c>
      <x:c r="G66" s="23" t="n">
        <x:v>16</x:v>
      </x:c>
      <x:c r="H66" s="23" t="n">
        <x:v>20</x:v>
      </x:c>
      <x:c r="I66" s="23" t="n">
        <x:v>4</x:v>
      </x:c>
      <x:c r="J66" s="23" t="n">
        <x:v>4</x:v>
      </x:c>
      <x:c r="K66" s="23" t="n">
        <x:v>16</x:v>
      </x:c>
      <x:c r="L66" s="23" t="n">
        <x:v>0</x:v>
      </x:c>
      <x:c r="M66" s="25" t="n">
        <x:v>0.5</x:v>
      </x:c>
      <x:c r="N66" s="25" t="n">
        <x:v>10</x:v>
      </x:c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23" t="str">
        <x:v>N1</x:v>
      </x:c>
      <x:c r="B67" s="23" t="str">
        <x:v>I1</x:v>
      </x:c>
      <x:c r="C67" s="23" t="str">
        <x:v>C-CAG</x:v>
      </x:c>
      <x:c r="D67" s="23" t="str">
        <x:v>Civil access group</x:v>
      </x:c>
      <x:c r="E67" s="23" t="str">
        <x:v>Community Stabilization</x:v>
      </x:c>
      <x:c r="F67" s="23" t="str">
        <x:v>MS-CT</x:v>
      </x:c>
      <x:c r="G67" s="23" t="n">
        <x:v>10</x:v>
      </x:c>
      <x:c r="H67" s="23" t="n">
        <x:v>12</x:v>
      </x:c>
      <x:c r="I67" s="23" t="n">
        <x:v>2</x:v>
      </x:c>
      <x:c r="J67" s="23" t="n">
        <x:v>2</x:v>
      </x:c>
      <x:c r="K67" s="23" t="n">
        <x:v>10</x:v>
      </x:c>
      <x:c r="L67" s="23" t="n">
        <x:v>0</x:v>
      </x:c>
      <x:c r="M67" s="25" t="n">
        <x:v>0.3</x:v>
      </x:c>
      <x:c r="N67" s="25" t="n">
        <x:v>3.5999999999999996</x:v>
      </x:c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23" t="str">
        <x:v>N2</x:v>
      </x:c>
      <x:c r="B68" s="23" t="str">
        <x:v>I2</x:v>
      </x:c>
      <x:c r="C68" s="23" t="str">
        <x:v>C-CAG</x:v>
      </x:c>
      <x:c r="D68" s="23" t="str">
        <x:v>Civil access group</x:v>
      </x:c>
      <x:c r="E68" s="23" t="str">
        <x:v>Community Stabilization</x:v>
      </x:c>
      <x:c r="F68" s="23" t="str">
        <x:v>MS-CT</x:v>
      </x:c>
      <x:c r="G68" s="23" t="n">
        <x:v>12</x:v>
      </x:c>
      <x:c r="H68" s="23" t="n">
        <x:v>15</x:v>
      </x:c>
      <x:c r="I68" s="23" t="n">
        <x:v>3</x:v>
      </x:c>
      <x:c r="J68" s="23" t="n">
        <x:v>3</x:v>
      </x:c>
      <x:c r="K68" s="23" t="n">
        <x:v>12</x:v>
      </x:c>
      <x:c r="L68" s="23" t="n">
        <x:v>0</x:v>
      </x:c>
      <x:c r="M68" s="25" t="n">
        <x:v>0.3</x:v>
      </x:c>
      <x:c r="N68" s="25" t="n">
        <x:v>4.5</x:v>
      </x:c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23" t="str">
        <x:v>N1</x:v>
      </x:c>
      <x:c r="B69" s="23" t="str">
        <x:v>I1</x:v>
      </x:c>
      <x:c r="C69" s="23" t="str">
        <x:v>C-DTG</x:v>
      </x:c>
      <x:c r="D69" s="23" t="str">
        <x:v>Displacement transition group</x:v>
      </x:c>
      <x:c r="E69" s="23" t="str">
        <x:v>Community Stabilization</x:v>
      </x:c>
      <x:c r="F69" s="23" t="str">
        <x:v>MS-HU</x:v>
      </x:c>
      <x:c r="G69" s="23" t="n">
        <x:v>10</x:v>
      </x:c>
      <x:c r="H69" s="23" t="n">
        <x:v>12</x:v>
      </x:c>
      <x:c r="I69" s="23" t="n">
        <x:v>2</x:v>
      </x:c>
      <x:c r="J69" s="23" t="n">
        <x:v>2</x:v>
      </x:c>
      <x:c r="K69" s="23" t="n">
        <x:v>10</x:v>
      </x:c>
      <x:c r="L69" s="23" t="n">
        <x:v>0</x:v>
      </x:c>
      <x:c r="M69" s="25" t="n">
        <x:v>0.4</x:v>
      </x:c>
      <x:c r="N69" s="25" t="n">
        <x:v>4.800000000000001</x:v>
      </x:c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23" t="str">
        <x:v>N2</x:v>
      </x:c>
      <x:c r="B70" s="23" t="str">
        <x:v>I2</x:v>
      </x:c>
      <x:c r="C70" s="23" t="str">
        <x:v>C-DTG</x:v>
      </x:c>
      <x:c r="D70" s="23" t="str">
        <x:v>Displacement transition group</x:v>
      </x:c>
      <x:c r="E70" s="23" t="str">
        <x:v>Community Stabilization</x:v>
      </x:c>
      <x:c r="F70" s="23" t="str">
        <x:v>MS-HU</x:v>
      </x:c>
      <x:c r="G70" s="23" t="n">
        <x:v>14</x:v>
      </x:c>
      <x:c r="H70" s="23" t="n">
        <x:v>17</x:v>
      </x:c>
      <x:c r="I70" s="23" t="n">
        <x:v>3</x:v>
      </x:c>
      <x:c r="J70" s="23" t="n">
        <x:v>3</x:v>
      </x:c>
      <x:c r="K70" s="23" t="n">
        <x:v>14</x:v>
      </x:c>
      <x:c r="L70" s="23" t="n">
        <x:v>0</x:v>
      </x:c>
      <x:c r="M70" s="25" t="n">
        <x:v>0.4</x:v>
      </x:c>
      <x:c r="N70" s="25" t="n">
        <x:v>6.800000000000001</x:v>
      </x:c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23" t="str">
        <x:v>N1</x:v>
      </x:c>
      <x:c r="B71" s="23" t="str">
        <x:v>I1</x:v>
      </x:c>
      <x:c r="C71" s="23" t="str">
        <x:v>C-CIG</x:v>
      </x:c>
      <x:c r="D71" s="23" t="str">
        <x:v>Community institutions group</x:v>
      </x:c>
      <x:c r="E71" s="23" t="str">
        <x:v>Community Stabilization</x:v>
      </x:c>
      <x:c r="F71" s="23" t="str">
        <x:v>MS-RT</x:v>
      </x:c>
      <x:c r="G71" s="23" t="n">
        <x:v>8</x:v>
      </x:c>
      <x:c r="H71" s="23" t="n">
        <x:v>10</x:v>
      </x:c>
      <x:c r="I71" s="23" t="n">
        <x:v>2</x:v>
      </x:c>
      <x:c r="J71" s="23" t="n">
        <x:v>2</x:v>
      </x:c>
      <x:c r="K71" s="23" t="n">
        <x:v>8</x:v>
      </x:c>
      <x:c r="L71" s="23" t="n">
        <x:v>0</x:v>
      </x:c>
      <x:c r="M71" s="25" t="n">
        <x:v>0.4</x:v>
      </x:c>
      <x:c r="N71" s="25" t="n">
        <x:v>4</x:v>
      </x:c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23" t="str">
        <x:v>N2</x:v>
      </x:c>
      <x:c r="B72" s="23" t="str">
        <x:v>I2</x:v>
      </x:c>
      <x:c r="C72" s="23" t="str">
        <x:v>C-CIG</x:v>
      </x:c>
      <x:c r="D72" s="23" t="str">
        <x:v>Community institutions group</x:v>
      </x:c>
      <x:c r="E72" s="23" t="str">
        <x:v>Community Stabilization</x:v>
      </x:c>
      <x:c r="F72" s="23" t="str">
        <x:v>MS-RT</x:v>
      </x:c>
      <x:c r="G72" s="23" t="n">
        <x:v>10</x:v>
      </x:c>
      <x:c r="H72" s="23" t="n">
        <x:v>12</x:v>
      </x:c>
      <x:c r="I72" s="23" t="n">
        <x:v>2</x:v>
      </x:c>
      <x:c r="J72" s="23" t="n">
        <x:v>2</x:v>
      </x:c>
      <x:c r="K72" s="23" t="n">
        <x:v>10</x:v>
      </x:c>
      <x:c r="L72" s="23" t="n">
        <x:v>0</x:v>
      </x:c>
      <x:c r="M72" s="25" t="n">
        <x:v>0.4</x:v>
      </x:c>
      <x:c r="N72" s="25" t="n">
        <x:v>4.800000000000001</x:v>
      </x:c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23" t="str">
        <x:v>N1</x:v>
      </x:c>
      <x:c r="B73" s="23" t="str">
        <x:v>I1</x:v>
      </x:c>
      <x:c r="C73" s="23" t="str">
        <x:v>J-RIG</x:v>
      </x:c>
      <x:c r="D73" s="23" t="str">
        <x:v>Resilience information group</x:v>
      </x:c>
      <x:c r="E73" s="23" t="str">
        <x:v>Joint</x:v>
      </x:c>
      <x:c r="F73" s="23" t="str">
        <x:v>MS-CT</x:v>
      </x:c>
      <x:c r="G73" s="23" t="n">
        <x:v>8</x:v>
      </x:c>
      <x:c r="H73" s="23" t="n">
        <x:v>10</x:v>
      </x:c>
      <x:c r="I73" s="23" t="n">
        <x:v>2</x:v>
      </x:c>
      <x:c r="J73" s="23" t="n">
        <x:v>2</x:v>
      </x:c>
      <x:c r="K73" s="23" t="n">
        <x:v>8</x:v>
      </x:c>
      <x:c r="L73" s="23" t="n">
        <x:v>0</x:v>
      </x:c>
      <x:c r="M73" s="25" t="n">
        <x:v>0.8999999999999999</x:v>
      </x:c>
      <x:c r="N73" s="25" t="n">
        <x:v>9</x:v>
      </x:c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23" t="str">
        <x:v>N2</x:v>
      </x:c>
      <x:c r="B74" s="23" t="str">
        <x:v>I2</x:v>
      </x:c>
      <x:c r="C74" s="23" t="str">
        <x:v>J-RIG</x:v>
      </x:c>
      <x:c r="D74" s="23" t="str">
        <x:v>Resilience information group</x:v>
      </x:c>
      <x:c r="E74" s="23" t="str">
        <x:v>Joint</x:v>
      </x:c>
      <x:c r="F74" s="23" t="str">
        <x:v>MS-CT</x:v>
      </x:c>
      <x:c r="G74" s="23" t="n">
        <x:v>8</x:v>
      </x:c>
      <x:c r="H74" s="23" t="n">
        <x:v>10</x:v>
      </x:c>
      <x:c r="I74" s="23" t="n">
        <x:v>2</x:v>
      </x:c>
      <x:c r="J74" s="23" t="n">
        <x:v>2</x:v>
      </x:c>
      <x:c r="K74" s="23" t="n">
        <x:v>8</x:v>
      </x:c>
      <x:c r="L74" s="23" t="n">
        <x:v>0</x:v>
      </x:c>
      <x:c r="M74" s="25" t="n">
        <x:v>0.8999999999999999</x:v>
      </x:c>
      <x:c r="N74" s="25" t="n">
        <x:v>9</x:v>
      </x:c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23" t="str">
        <x:v>N1</x:v>
      </x:c>
      <x:c r="B75" s="23" t="str">
        <x:v>I1</x:v>
      </x:c>
      <x:c r="C75" s="23" t="str">
        <x:v>M-MPG</x:v>
      </x:c>
      <x:c r="D75" s="23" t="str">
        <x:v>Maritime production group</x:v>
      </x:c>
      <x:c r="E75" s="23" t="str">
        <x:v>Maritime Response</x:v>
      </x:c>
      <x:c r="F75" s="23" t="str">
        <x:v>MS-LF</x:v>
      </x:c>
      <x:c r="G75" s="23" t="n">
        <x:v>4</x:v>
      </x:c>
      <x:c r="H75" s="23" t="n">
        <x:v>5</x:v>
      </x:c>
      <x:c r="I75" s="23" t="n">
        <x:v>1</x:v>
      </x:c>
      <x:c r="J75" s="23" t="n">
        <x:v>1</x:v>
      </x:c>
      <x:c r="K75" s="23" t="n">
        <x:v>4</x:v>
      </x:c>
      <x:c r="L75" s="23" t="n">
        <x:v>0</x:v>
      </x:c>
      <x:c r="M75" s="25" t="n">
        <x:v>1.5</x:v>
      </x:c>
      <x:c r="N75" s="25" t="n">
        <x:v>7.5</x:v>
      </x:c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23" t="str">
        <x:v>N2</x:v>
      </x:c>
      <x:c r="B76" s="23" t="str">
        <x:v>I2</x:v>
      </x:c>
      <x:c r="C76" s="23" t="str">
        <x:v>M-MPG</x:v>
      </x:c>
      <x:c r="D76" s="23" t="str">
        <x:v>Maritime production group</x:v>
      </x:c>
      <x:c r="E76" s="23" t="str">
        <x:v>Maritime Response</x:v>
      </x:c>
      <x:c r="F76" s="23" t="str">
        <x:v>MS-LF</x:v>
      </x:c>
      <x:c r="G76" s="23" t="n">
        <x:v>4</x:v>
      </x:c>
      <x:c r="H76" s="23" t="n">
        <x:v>5</x:v>
      </x:c>
      <x:c r="I76" s="23" t="n">
        <x:v>1</x:v>
      </x:c>
      <x:c r="J76" s="23" t="n">
        <x:v>1</x:v>
      </x:c>
      <x:c r="K76" s="23" t="n">
        <x:v>4</x:v>
      </x:c>
      <x:c r="L76" s="23" t="n">
        <x:v>0</x:v>
      </x:c>
      <x:c r="M76" s="25" t="n">
        <x:v>1.5</x:v>
      </x:c>
      <x:c r="N76" s="25" t="n">
        <x:v>7.5</x:v>
      </x:c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23" t="str">
        <x:v>N1</x:v>
      </x:c>
      <x:c r="B77" s="23" t="str">
        <x:v>I1</x:v>
      </x:c>
      <x:c r="C77" s="23" t="str">
        <x:v>I-WRG</x:v>
      </x:c>
      <x:c r="D77" s="23" t="str">
        <x:v>Water restoration group</x:v>
      </x:c>
      <x:c r="E77" s="23" t="str">
        <x:v>Infrastructure Restoration</x:v>
      </x:c>
      <x:c r="F77" s="23" t="str">
        <x:v>MS-LF</x:v>
      </x:c>
      <x:c r="G77" s="23" t="n">
        <x:v>8</x:v>
      </x:c>
      <x:c r="H77" s="23" t="n">
        <x:v>10</x:v>
      </x:c>
      <x:c r="I77" s="23" t="n">
        <x:v>2</x:v>
      </x:c>
      <x:c r="J77" s="23" t="n">
        <x:v>2</x:v>
      </x:c>
      <x:c r="K77" s="23" t="n">
        <x:v>8</x:v>
      </x:c>
      <x:c r="L77" s="23" t="n">
        <x:v>0</x:v>
      </x:c>
      <x:c r="M77" s="25" t="n">
        <x:v>1.5</x:v>
      </x:c>
      <x:c r="N77" s="25" t="n">
        <x:v>15</x:v>
      </x:c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23" t="str">
        <x:v>N2</x:v>
      </x:c>
      <x:c r="B78" s="23" t="str">
        <x:v>I2</x:v>
      </x:c>
      <x:c r="C78" s="23" t="str">
        <x:v>I-WRG</x:v>
      </x:c>
      <x:c r="D78" s="23" t="str">
        <x:v>Water restoration group</x:v>
      </x:c>
      <x:c r="E78" s="23" t="str">
        <x:v>Infrastructure Restoration</x:v>
      </x:c>
      <x:c r="F78" s="23" t="str">
        <x:v>MS-LF</x:v>
      </x:c>
      <x:c r="G78" s="23" t="n">
        <x:v>7</x:v>
      </x:c>
      <x:c r="H78" s="23" t="n">
        <x:v>9</x:v>
      </x:c>
      <x:c r="I78" s="23" t="n">
        <x:v>2</x:v>
      </x:c>
      <x:c r="J78" s="23" t="n">
        <x:v>2</x:v>
      </x:c>
      <x:c r="K78" s="23" t="n">
        <x:v>7</x:v>
      </x:c>
      <x:c r="L78" s="23" t="n">
        <x:v>0</x:v>
      </x:c>
      <x:c r="M78" s="25" t="n">
        <x:v>1.5</x:v>
      </x:c>
      <x:c r="N78" s="25" t="n">
        <x:v>13.5</x:v>
      </x:c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23" t="str">
        <x:v>N1</x:v>
      </x:c>
      <x:c r="B79" s="23" t="str">
        <x:v>I1</x:v>
      </x:c>
      <x:c r="C79" s="23" t="str">
        <x:v>I-PRG</x:v>
      </x:c>
      <x:c r="D79" s="23" t="str">
        <x:v>Power restoration group</x:v>
      </x:c>
      <x:c r="E79" s="23" t="str">
        <x:v>Infrastructure Restoration</x:v>
      </x:c>
      <x:c r="F79" s="23" t="str">
        <x:v>MS-LF</x:v>
      </x:c>
      <x:c r="G79" s="23" t="n">
        <x:v>8</x:v>
      </x:c>
      <x:c r="H79" s="23" t="n">
        <x:v>10</x:v>
      </x:c>
      <x:c r="I79" s="23" t="n">
        <x:v>2</x:v>
      </x:c>
      <x:c r="J79" s="23" t="n">
        <x:v>2</x:v>
      </x:c>
      <x:c r="K79" s="23" t="n">
        <x:v>8</x:v>
      </x:c>
      <x:c r="L79" s="23" t="n">
        <x:v>0</x:v>
      </x:c>
      <x:c r="M79" s="25" t="n">
        <x:v>2</x:v>
      </x:c>
      <x:c r="N79" s="25" t="n">
        <x:v>20</x:v>
      </x:c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23" t="str">
        <x:v>N2</x:v>
      </x:c>
      <x:c r="B80" s="23" t="str">
        <x:v>I2</x:v>
      </x:c>
      <x:c r="C80" s="23" t="str">
        <x:v>I-PRG</x:v>
      </x:c>
      <x:c r="D80" s="23" t="str">
        <x:v>Power restoration group</x:v>
      </x:c>
      <x:c r="E80" s="23" t="str">
        <x:v>Infrastructure Restoration</x:v>
      </x:c>
      <x:c r="F80" s="23" t="str">
        <x:v>MS-LF</x:v>
      </x:c>
      <x:c r="G80" s="23" t="n">
        <x:v>7</x:v>
      </x:c>
      <x:c r="H80" s="23" t="n">
        <x:v>9</x:v>
      </x:c>
      <x:c r="I80" s="23" t="n">
        <x:v>2</x:v>
      </x:c>
      <x:c r="J80" s="23" t="n">
        <x:v>2</x:v>
      </x:c>
      <x:c r="K80" s="23" t="n">
        <x:v>7</x:v>
      </x:c>
      <x:c r="L80" s="23" t="n">
        <x:v>0</x:v>
      </x:c>
      <x:c r="M80" s="25" t="n">
        <x:v>2</x:v>
      </x:c>
      <x:c r="N80" s="25" t="n">
        <x:v>18</x:v>
      </x:c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23" t="str">
        <x:v>N1</x:v>
      </x:c>
      <x:c r="B81" s="23" t="str">
        <x:v>I1</x:v>
      </x:c>
      <x:c r="C81" s="23" t="str">
        <x:v>I-GBG</x:v>
      </x:c>
      <x:c r="D81" s="23" t="str">
        <x:v>Grid bridge group</x:v>
      </x:c>
      <x:c r="E81" s="23" t="str">
        <x:v>Infrastructure Restoration</x:v>
      </x:c>
      <x:c r="F81" s="23" t="str">
        <x:v>MS-LF</x:v>
      </x:c>
      <x:c r="G81" s="23" t="n">
        <x:v>6</x:v>
      </x:c>
      <x:c r="H81" s="23" t="n">
        <x:v>8</x:v>
      </x:c>
      <x:c r="I81" s="23" t="n">
        <x:v>2</x:v>
      </x:c>
      <x:c r="J81" s="23" t="n">
        <x:v>2</x:v>
      </x:c>
      <x:c r="K81" s="23" t="n">
        <x:v>6</x:v>
      </x:c>
      <x:c r="L81" s="23" t="n">
        <x:v>0</x:v>
      </x:c>
      <x:c r="M81" s="25" t="n">
        <x:v>1.5</x:v>
      </x:c>
      <x:c r="N81" s="25" t="n">
        <x:v>12</x:v>
      </x:c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23" t="str">
        <x:v>N2</x:v>
      </x:c>
      <x:c r="B82" s="23" t="str">
        <x:v>I2</x:v>
      </x:c>
      <x:c r="C82" s="23" t="str">
        <x:v>I-GBG</x:v>
      </x:c>
      <x:c r="D82" s="23" t="str">
        <x:v>Grid bridge group</x:v>
      </x:c>
      <x:c r="E82" s="23" t="str">
        <x:v>Infrastructure Restoration</x:v>
      </x:c>
      <x:c r="F82" s="23" t="str">
        <x:v>MS-LF</x:v>
      </x:c>
      <x:c r="G82" s="23" t="n">
        <x:v>5</x:v>
      </x:c>
      <x:c r="H82" s="23" t="n">
        <x:v>6</x:v>
      </x:c>
      <x:c r="I82" s="23" t="n">
        <x:v>1</x:v>
      </x:c>
      <x:c r="J82" s="23" t="n">
        <x:v>1</x:v>
      </x:c>
      <x:c r="K82" s="23" t="n">
        <x:v>5</x:v>
      </x:c>
      <x:c r="L82" s="23" t="n">
        <x:v>0</x:v>
      </x:c>
      <x:c r="M82" s="25" t="n">
        <x:v>1.5</x:v>
      </x:c>
      <x:c r="N82" s="25" t="n">
        <x:v>9</x:v>
      </x:c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23" t="str">
        <x:v>N1</x:v>
      </x:c>
      <x:c r="B83" s="23" t="str">
        <x:v>I1</x:v>
      </x:c>
      <x:c r="C83" s="23" t="str">
        <x:v>H-THC</x:v>
      </x:c>
      <x:c r="D83" s="23" t="str">
        <x:v>Theater hospital command</x:v>
      </x:c>
      <x:c r="E83" s="23" t="str">
        <x:v>Health Protection</x:v>
      </x:c>
      <x:c r="F83" s="23" t="str">
        <x:v>MS-HU</x:v>
      </x:c>
      <x:c r="G83" s="23" t="n">
        <x:v>4</x:v>
      </x:c>
      <x:c r="H83" s="23" t="n">
        <x:v>5</x:v>
      </x:c>
      <x:c r="I83" s="23" t="n">
        <x:v>1</x:v>
      </x:c>
      <x:c r="J83" s="23" t="n">
        <x:v>1</x:v>
      </x:c>
      <x:c r="K83" s="23" t="n">
        <x:v>4</x:v>
      </x:c>
      <x:c r="L83" s="23" t="n">
        <x:v>0</x:v>
      </x:c>
      <x:c r="M83" s="25" t="n">
        <x:v>1.5</x:v>
      </x:c>
      <x:c r="N83" s="25" t="n">
        <x:v>7.5</x:v>
      </x:c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23" t="str">
        <x:v>N2</x:v>
      </x:c>
      <x:c r="B84" s="23" t="str">
        <x:v>I2</x:v>
      </x:c>
      <x:c r="C84" s="23" t="str">
        <x:v>H-THC</x:v>
      </x:c>
      <x:c r="D84" s="23" t="str">
        <x:v>Theater hospital command</x:v>
      </x:c>
      <x:c r="E84" s="23" t="str">
        <x:v>Health Protection</x:v>
      </x:c>
      <x:c r="F84" s="23" t="str">
        <x:v>MS-HU</x:v>
      </x:c>
      <x:c r="G84" s="23" t="n">
        <x:v>4</x:v>
      </x:c>
      <x:c r="H84" s="23" t="n">
        <x:v>5</x:v>
      </x:c>
      <x:c r="I84" s="23" t="n">
        <x:v>1</x:v>
      </x:c>
      <x:c r="J84" s="23" t="n">
        <x:v>1</x:v>
      </x:c>
      <x:c r="K84" s="23" t="n">
        <x:v>4</x:v>
      </x:c>
      <x:c r="L84" s="23" t="n">
        <x:v>0</x:v>
      </x:c>
      <x:c r="M84" s="25" t="n">
        <x:v>1.5</x:v>
      </x:c>
      <x:c r="N84" s="25" t="n">
        <x:v>7.5</x:v>
      </x:c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23" t="str">
        <x:v>N1</x:v>
      </x:c>
      <x:c r="B85" s="23" t="str">
        <x:v>I1</x:v>
      </x:c>
      <x:c r="C85" s="23" t="str">
        <x:v>H-PMG</x:v>
      </x:c>
      <x:c r="D85" s="23" t="str">
        <x:v>Patient movement group</x:v>
      </x:c>
      <x:c r="E85" s="23" t="str">
        <x:v>Health Protection</x:v>
      </x:c>
      <x:c r="F85" s="23" t="str">
        <x:v>MS-HU</x:v>
      </x:c>
      <x:c r="G85" s="23" t="n">
        <x:v>8</x:v>
      </x:c>
      <x:c r="H85" s="23" t="n">
        <x:v>10</x:v>
      </x:c>
      <x:c r="I85" s="23" t="n">
        <x:v>2</x:v>
      </x:c>
      <x:c r="J85" s="23" t="n">
        <x:v>2</x:v>
      </x:c>
      <x:c r="K85" s="23" t="n">
        <x:v>8</x:v>
      </x:c>
      <x:c r="L85" s="23" t="n">
        <x:v>0</x:v>
      </x:c>
      <x:c r="M85" s="25" t="n">
        <x:v>1</x:v>
      </x:c>
      <x:c r="N85" s="25" t="n">
        <x:v>10</x:v>
      </x:c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23" t="str">
        <x:v>N2</x:v>
      </x:c>
      <x:c r="B86" s="23" t="str">
        <x:v>I2</x:v>
      </x:c>
      <x:c r="C86" s="23" t="str">
        <x:v>H-PMG</x:v>
      </x:c>
      <x:c r="D86" s="23" t="str">
        <x:v>Patient movement group</x:v>
      </x:c>
      <x:c r="E86" s="23" t="str">
        <x:v>Health Protection</x:v>
      </x:c>
      <x:c r="F86" s="23" t="str">
        <x:v>MS-HU</x:v>
      </x:c>
      <x:c r="G86" s="23" t="n">
        <x:v>6</x:v>
      </x:c>
      <x:c r="H86" s="23" t="n">
        <x:v>8</x:v>
      </x:c>
      <x:c r="I86" s="23" t="n">
        <x:v>2</x:v>
      </x:c>
      <x:c r="J86" s="23" t="n">
        <x:v>2</x:v>
      </x:c>
      <x:c r="K86" s="23" t="n">
        <x:v>6</x:v>
      </x:c>
      <x:c r="L86" s="23" t="n">
        <x:v>0</x:v>
      </x:c>
      <x:c r="M86" s="25" t="n">
        <x:v>1</x:v>
      </x:c>
      <x:c r="N86" s="25" t="n">
        <x:v>8</x:v>
      </x:c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23" t="str">
        <x:v>N1</x:v>
      </x:c>
      <x:c r="B87" s="23" t="str">
        <x:v>I1</x:v>
      </x:c>
      <x:c r="C87" s="23" t="str">
        <x:v>C-ERG</x:v>
      </x:c>
      <x:c r="D87" s="23" t="str">
        <x:v>Economic restart group</x:v>
      </x:c>
      <x:c r="E87" s="23" t="str">
        <x:v>Community Stabilization</x:v>
      </x:c>
      <x:c r="F87" s="23" t="str">
        <x:v>MS-RT</x:v>
      </x:c>
      <x:c r="G87" s="23" t="n">
        <x:v>8</x:v>
      </x:c>
      <x:c r="H87" s="23" t="n">
        <x:v>10</x:v>
      </x:c>
      <x:c r="I87" s="23" t="n">
        <x:v>2</x:v>
      </x:c>
      <x:c r="J87" s="23" t="n">
        <x:v>2</x:v>
      </x:c>
      <x:c r="K87" s="23" t="n">
        <x:v>8</x:v>
      </x:c>
      <x:c r="L87" s="23" t="n">
        <x:v>0</x:v>
      </x:c>
      <x:c r="M87" s="25" t="n">
        <x:v>0.35</x:v>
      </x:c>
      <x:c r="N87" s="25" t="n">
        <x:v>3.5</x:v>
      </x:c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23" t="str">
        <x:v>N2</x:v>
      </x:c>
      <x:c r="B88" s="23" t="str">
        <x:v>I2</x:v>
      </x:c>
      <x:c r="C88" s="23" t="str">
        <x:v>C-ERG</x:v>
      </x:c>
      <x:c r="D88" s="23" t="str">
        <x:v>Economic restart group</x:v>
      </x:c>
      <x:c r="E88" s="23" t="str">
        <x:v>Community Stabilization</x:v>
      </x:c>
      <x:c r="F88" s="23" t="str">
        <x:v>MS-RT</x:v>
      </x:c>
      <x:c r="G88" s="23" t="n">
        <x:v>8</x:v>
      </x:c>
      <x:c r="H88" s="23" t="n">
        <x:v>10</x:v>
      </x:c>
      <x:c r="I88" s="23" t="n">
        <x:v>2</x:v>
      </x:c>
      <x:c r="J88" s="23" t="n">
        <x:v>2</x:v>
      </x:c>
      <x:c r="K88" s="23" t="n">
        <x:v>8</x:v>
      </x:c>
      <x:c r="L88" s="23" t="n">
        <x:v>0</x:v>
      </x:c>
      <x:c r="M88" s="25" t="n">
        <x:v>0.35</x:v>
      </x:c>
      <x:c r="N88" s="25" t="n">
        <x:v>3.5</x:v>
      </x:c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23" t="str">
        <x:v>N1</x:v>
      </x:c>
      <x:c r="B89" s="23" t="str">
        <x:v>I1</x:v>
      </x:c>
      <x:c r="C89" s="23" t="str">
        <x:v>CM-HCG</x:v>
      </x:c>
      <x:c r="D89" s="23" t="str">
        <x:v>Household collection group</x:v>
      </x:c>
      <x:c r="E89" s="23" t="str">
        <x:v>Civil Mobility and Continuity</x:v>
      </x:c>
      <x:c r="F89" s="23" t="str">
        <x:v>MS-CT</x:v>
      </x:c>
      <x:c r="G89" s="23" t="n">
        <x:v>10</x:v>
      </x:c>
      <x:c r="H89" s="23" t="n">
        <x:v>12</x:v>
      </x:c>
      <x:c r="I89" s="23" t="n">
        <x:v>2</x:v>
      </x:c>
      <x:c r="J89" s="23" t="n">
        <x:v>2</x:v>
      </x:c>
      <x:c r="K89" s="23" t="n">
        <x:v>10</x:v>
      </x:c>
      <x:c r="L89" s="23" t="n">
        <x:v>0</x:v>
      </x:c>
      <x:c r="M89" s="25" t="n">
        <x:v>6.866</x:v>
      </x:c>
      <x:c r="N89" s="25" t="n">
        <x:v>82.392</x:v>
      </x:c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23" t="str">
        <x:v>N2</x:v>
      </x:c>
      <x:c r="B90" s="23" t="str">
        <x:v>I2</x:v>
      </x:c>
      <x:c r="C90" s="23" t="str">
        <x:v>CM-HCG</x:v>
      </x:c>
      <x:c r="D90" s="23" t="str">
        <x:v>Household collection group</x:v>
      </x:c>
      <x:c r="E90" s="23" t="str">
        <x:v>Civil Mobility and Continuity</x:v>
      </x:c>
      <x:c r="F90" s="23" t="str">
        <x:v>MS-CT</x:v>
      </x:c>
      <x:c r="G90" s="23" t="n">
        <x:v>10</x:v>
      </x:c>
      <x:c r="H90" s="23" t="n">
        <x:v>12</x:v>
      </x:c>
      <x:c r="I90" s="23" t="n">
        <x:v>2</x:v>
      </x:c>
      <x:c r="J90" s="23" t="n">
        <x:v>2</x:v>
      </x:c>
      <x:c r="K90" s="23" t="n">
        <x:v>10</x:v>
      </x:c>
      <x:c r="L90" s="23" t="n">
        <x:v>0</x:v>
      </x:c>
      <x:c r="M90" s="25" t="n">
        <x:v>6.866</x:v>
      </x:c>
      <x:c r="N90" s="25" t="n">
        <x:v>82.392</x:v>
      </x:c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23" t="str">
        <x:v>N1</x:v>
      </x:c>
      <x:c r="B91" s="23" t="str">
        <x:v>I1</x:v>
      </x:c>
      <x:c r="C91" s="23" t="str">
        <x:v>CM-CTN</x:v>
      </x:c>
      <x:c r="D91" s="23" t="str">
        <x:v>Continuity transfer-node group</x:v>
      </x:c>
      <x:c r="E91" s="23" t="str">
        <x:v>Civil Mobility and Continuity</x:v>
      </x:c>
      <x:c r="F91" s="23" t="str">
        <x:v>MS-HU</x:v>
      </x:c>
      <x:c r="G91" s="23" t="n">
        <x:v>8</x:v>
      </x:c>
      <x:c r="H91" s="23" t="n">
        <x:v>10</x:v>
      </x:c>
      <x:c r="I91" s="23" t="n">
        <x:v>2</x:v>
      </x:c>
      <x:c r="J91" s="23" t="n">
        <x:v>2</x:v>
      </x:c>
      <x:c r="K91" s="23" t="n">
        <x:v>8</x:v>
      </x:c>
      <x:c r="L91" s="23" t="n">
        <x:v>0</x:v>
      </x:c>
      <x:c r="M91" s="25" t="n">
        <x:v>2</x:v>
      </x:c>
      <x:c r="N91" s="25" t="n">
        <x:v>20</x:v>
      </x:c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23" t="str">
        <x:v>N2</x:v>
      </x:c>
      <x:c r="B92" s="23" t="str">
        <x:v>I2</x:v>
      </x:c>
      <x:c r="C92" s="23" t="str">
        <x:v>CM-CTN</x:v>
      </x:c>
      <x:c r="D92" s="23" t="str">
        <x:v>Continuity transfer-node group</x:v>
      </x:c>
      <x:c r="E92" s="23" t="str">
        <x:v>Civil Mobility and Continuity</x:v>
      </x:c>
      <x:c r="F92" s="23" t="str">
        <x:v>MS-HU</x:v>
      </x:c>
      <x:c r="G92" s="23" t="n">
        <x:v>8</x:v>
      </x:c>
      <x:c r="H92" s="23" t="n">
        <x:v>10</x:v>
      </x:c>
      <x:c r="I92" s="23" t="n">
        <x:v>2</x:v>
      </x:c>
      <x:c r="J92" s="23" t="n">
        <x:v>2</x:v>
      </x:c>
      <x:c r="K92" s="23" t="n">
        <x:v>8</x:v>
      </x:c>
      <x:c r="L92" s="23" t="n">
        <x:v>0</x:v>
      </x:c>
      <x:c r="M92" s="25" t="n">
        <x:v>2</x:v>
      </x:c>
      <x:c r="N92" s="25" t="n">
        <x:v>20</x:v>
      </x:c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23" t="str">
        <x:v>N1</x:v>
      </x:c>
      <x:c r="B93" s="23" t="str">
        <x:v>I1</x:v>
      </x:c>
      <x:c r="C93" s="23" t="str">
        <x:v>CM-RMG</x:v>
      </x:c>
      <x:c r="D93" s="23" t="str">
        <x:v>Civil road-mobility group</x:v>
      </x:c>
      <x:c r="E93" s="23" t="str">
        <x:v>Civil Mobility and Continuity</x:v>
      </x:c>
      <x:c r="F93" s="23" t="str">
        <x:v>MS-HU</x:v>
      </x:c>
      <x:c r="G93" s="23" t="n">
        <x:v>12</x:v>
      </x:c>
      <x:c r="H93" s="23" t="n">
        <x:v>15</x:v>
      </x:c>
      <x:c r="I93" s="23" t="n">
        <x:v>3</x:v>
      </x:c>
      <x:c r="J93" s="23" t="n">
        <x:v>3</x:v>
      </x:c>
      <x:c r="K93" s="23" t="n">
        <x:v>12</x:v>
      </x:c>
      <x:c r="L93" s="23" t="n">
        <x:v>0</x:v>
      </x:c>
      <x:c r="M93" s="25" t="n">
        <x:v>1.5</x:v>
      </x:c>
      <x:c r="N93" s="25" t="n">
        <x:v>22.5</x:v>
      </x:c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23" t="str">
        <x:v>N2</x:v>
      </x:c>
      <x:c r="B94" s="23" t="str">
        <x:v>I2</x:v>
      </x:c>
      <x:c r="C94" s="23" t="str">
        <x:v>CM-RMG</x:v>
      </x:c>
      <x:c r="D94" s="23" t="str">
        <x:v>Civil road-mobility group</x:v>
      </x:c>
      <x:c r="E94" s="23" t="str">
        <x:v>Civil Mobility and Continuity</x:v>
      </x:c>
      <x:c r="F94" s="23" t="str">
        <x:v>MS-HU</x:v>
      </x:c>
      <x:c r="G94" s="23" t="n">
        <x:v>12</x:v>
      </x:c>
      <x:c r="H94" s="23" t="n">
        <x:v>15</x:v>
      </x:c>
      <x:c r="I94" s="23" t="n">
        <x:v>3</x:v>
      </x:c>
      <x:c r="J94" s="23" t="n">
        <x:v>3</x:v>
      </x:c>
      <x:c r="K94" s="23" t="n">
        <x:v>12</x:v>
      </x:c>
      <x:c r="L94" s="23" t="n">
        <x:v>0</x:v>
      </x:c>
      <x:c r="M94" s="25" t="n">
        <x:v>1.5</x:v>
      </x:c>
      <x:c r="N94" s="25" t="n">
        <x:v>22.5</x:v>
      </x:c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23" t="str">
        <x:v>N1</x:v>
      </x:c>
      <x:c r="B95" s="23" t="str">
        <x:v>I1</x:v>
      </x:c>
      <x:c r="C95" s="23" t="str">
        <x:v>CM-RLG</x:v>
      </x:c>
      <x:c r="D95" s="23" t="str">
        <x:v>Civil rail-mobility group</x:v>
      </x:c>
      <x:c r="E95" s="23" t="str">
        <x:v>Civil Mobility and Continuity</x:v>
      </x:c>
      <x:c r="F95" s="23" t="str">
        <x:v>MS-HU</x:v>
      </x:c>
      <x:c r="G95" s="23" t="n">
        <x:v>5</x:v>
      </x:c>
      <x:c r="H95" s="23" t="n">
        <x:v>6</x:v>
      </x:c>
      <x:c r="I95" s="23" t="n">
        <x:v>1</x:v>
      </x:c>
      <x:c r="J95" s="23" t="n">
        <x:v>1</x:v>
      </x:c>
      <x:c r="K95" s="23" t="n">
        <x:v>5</x:v>
      </x:c>
      <x:c r="L95" s="23" t="n">
        <x:v>0</x:v>
      </x:c>
      <x:c r="M95" s="25" t="n">
        <x:v>2</x:v>
      </x:c>
      <x:c r="N95" s="25" t="n">
        <x:v>12</x:v>
      </x:c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23" t="str">
        <x:v>N2</x:v>
      </x:c>
      <x:c r="B96" s="23" t="str">
        <x:v>I2</x:v>
      </x:c>
      <x:c r="C96" s="23" t="str">
        <x:v>CM-RLG</x:v>
      </x:c>
      <x:c r="D96" s="23" t="str">
        <x:v>Civil rail-mobility group</x:v>
      </x:c>
      <x:c r="E96" s="23" t="str">
        <x:v>Civil Mobility and Continuity</x:v>
      </x:c>
      <x:c r="F96" s="23" t="str">
        <x:v>MS-HU</x:v>
      </x:c>
      <x:c r="G96" s="23" t="n">
        <x:v>5</x:v>
      </x:c>
      <x:c r="H96" s="23" t="n">
        <x:v>6</x:v>
      </x:c>
      <x:c r="I96" s="23" t="n">
        <x:v>1</x:v>
      </x:c>
      <x:c r="J96" s="23" t="n">
        <x:v>1</x:v>
      </x:c>
      <x:c r="K96" s="23" t="n">
        <x:v>5</x:v>
      </x:c>
      <x:c r="L96" s="23" t="n">
        <x:v>0</x:v>
      </x:c>
      <x:c r="M96" s="25" t="n">
        <x:v>2</x:v>
      </x:c>
      <x:c r="N96" s="25" t="n">
        <x:v>12</x:v>
      </x:c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23" t="str">
        <x:v>N1</x:v>
      </x:c>
      <x:c r="B97" s="23" t="str">
        <x:v>I1</x:v>
      </x:c>
      <x:c r="C97" s="23" t="str">
        <x:v>CM-AMG</x:v>
      </x:c>
      <x:c r="D97" s="23" t="str">
        <x:v>Civil air-mobility group</x:v>
      </x:c>
      <x:c r="E97" s="23" t="str">
        <x:v>Civil Mobility and Continuity</x:v>
      </x:c>
      <x:c r="F97" s="23" t="str">
        <x:v>MS-HU</x:v>
      </x:c>
      <x:c r="G97" s="23" t="n">
        <x:v>5</x:v>
      </x:c>
      <x:c r="H97" s="23" t="n">
        <x:v>6</x:v>
      </x:c>
      <x:c r="I97" s="23" t="n">
        <x:v>1</x:v>
      </x:c>
      <x:c r="J97" s="23" t="n">
        <x:v>1</x:v>
      </x:c>
      <x:c r="K97" s="23" t="n">
        <x:v>5</x:v>
      </x:c>
      <x:c r="L97" s="23" t="n">
        <x:v>0</x:v>
      </x:c>
      <x:c r="M97" s="25" t="n">
        <x:v>3</x:v>
      </x:c>
      <x:c r="N97" s="25" t="n">
        <x:v>18</x:v>
      </x:c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23" t="str">
        <x:v>N2</x:v>
      </x:c>
      <x:c r="B98" s="23" t="str">
        <x:v>I2</x:v>
      </x:c>
      <x:c r="C98" s="23" t="str">
        <x:v>CM-AMG</x:v>
      </x:c>
      <x:c r="D98" s="23" t="str">
        <x:v>Civil air-mobility group</x:v>
      </x:c>
      <x:c r="E98" s="23" t="str">
        <x:v>Civil Mobility and Continuity</x:v>
      </x:c>
      <x:c r="F98" s="23" t="str">
        <x:v>MS-HU</x:v>
      </x:c>
      <x:c r="G98" s="23" t="n">
        <x:v>5</x:v>
      </x:c>
      <x:c r="H98" s="23" t="n">
        <x:v>6</x:v>
      </x:c>
      <x:c r="I98" s="23" t="n">
        <x:v>1</x:v>
      </x:c>
      <x:c r="J98" s="23" t="n">
        <x:v>1</x:v>
      </x:c>
      <x:c r="K98" s="23" t="n">
        <x:v>5</x:v>
      </x:c>
      <x:c r="L98" s="23" t="n">
        <x:v>0</x:v>
      </x:c>
      <x:c r="M98" s="25" t="n">
        <x:v>3</x:v>
      </x:c>
      <x:c r="N98" s="25" t="n">
        <x:v>18</x:v>
      </x:c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23" t="str">
        <x:v>N1</x:v>
      </x:c>
      <x:c r="B99" s="23" t="str">
        <x:v>I1</x:v>
      </x:c>
      <x:c r="C99" s="23" t="str">
        <x:v>CM-WMG</x:v>
      </x:c>
      <x:c r="D99" s="23" t="str">
        <x:v>Civil water-mobility group</x:v>
      </x:c>
      <x:c r="E99" s="23" t="str">
        <x:v>Civil Mobility and Continuity</x:v>
      </x:c>
      <x:c r="F99" s="23" t="str">
        <x:v>MS-HU</x:v>
      </x:c>
      <x:c r="G99" s="23" t="n">
        <x:v>5</x:v>
      </x:c>
      <x:c r="H99" s="23" t="n">
        <x:v>6</x:v>
      </x:c>
      <x:c r="I99" s="23" t="n">
        <x:v>1</x:v>
      </x:c>
      <x:c r="J99" s="23" t="n">
        <x:v>1</x:v>
      </x:c>
      <x:c r="K99" s="23" t="n">
        <x:v>5</x:v>
      </x:c>
      <x:c r="L99" s="23" t="n">
        <x:v>0</x:v>
      </x:c>
      <x:c r="M99" s="25" t="n">
        <x:v>2</x:v>
      </x:c>
      <x:c r="N99" s="25" t="n">
        <x:v>12</x:v>
      </x:c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23" t="str">
        <x:v>N2</x:v>
      </x:c>
      <x:c r="B100" s="23" t="str">
        <x:v>I2</x:v>
      </x:c>
      <x:c r="C100" s="23" t="str">
        <x:v>CM-WMG</x:v>
      </x:c>
      <x:c r="D100" s="23" t="str">
        <x:v>Civil water-mobility group</x:v>
      </x:c>
      <x:c r="E100" s="23" t="str">
        <x:v>Civil Mobility and Continuity</x:v>
      </x:c>
      <x:c r="F100" s="23" t="str">
        <x:v>MS-HU</x:v>
      </x:c>
      <x:c r="G100" s="23" t="n">
        <x:v>6</x:v>
      </x:c>
      <x:c r="H100" s="23" t="n">
        <x:v>8</x:v>
      </x:c>
      <x:c r="I100" s="23" t="n">
        <x:v>2</x:v>
      </x:c>
      <x:c r="J100" s="23" t="n">
        <x:v>2</x:v>
      </x:c>
      <x:c r="K100" s="23" t="n">
        <x:v>6</x:v>
      </x:c>
      <x:c r="L100" s="23" t="n">
        <x:v>0</x:v>
      </x:c>
      <x:c r="M100" s="25" t="n">
        <x:v>2</x:v>
      </x:c>
      <x:c r="N100" s="25" t="n">
        <x:v>16</x:v>
      </x:c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23" t="str">
        <x:v>N1</x:v>
      </x:c>
      <x:c r="B101" s="23" t="str">
        <x:v>I1</x:v>
      </x:c>
      <x:c r="C101" s="23" t="str">
        <x:v>CM-RDC</x:v>
      </x:c>
      <x:c r="D101" s="23" t="str">
        <x:v>Return and durable-continuity group</x:v>
      </x:c>
      <x:c r="E101" s="23" t="str">
        <x:v>Civil Mobility and Continuity</x:v>
      </x:c>
      <x:c r="F101" s="23" t="str">
        <x:v>MS-RT</x:v>
      </x:c>
      <x:c r="G101" s="23" t="n">
        <x:v>8</x:v>
      </x:c>
      <x:c r="H101" s="23" t="n">
        <x:v>10</x:v>
      </x:c>
      <x:c r="I101" s="23" t="n">
        <x:v>2</x:v>
      </x:c>
      <x:c r="J101" s="23" t="n">
        <x:v>2</x:v>
      </x:c>
      <x:c r="K101" s="23" t="n">
        <x:v>8</x:v>
      </x:c>
      <x:c r="L101" s="23" t="n">
        <x:v>0</x:v>
      </x:c>
      <x:c r="M101" s="25" t="n">
        <x:v>0.4</x:v>
      </x:c>
      <x:c r="N101" s="25" t="n">
        <x:v>4</x:v>
      </x:c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23" t="str">
        <x:v>N2</x:v>
      </x:c>
      <x:c r="B102" s="23" t="str">
        <x:v>I2</x:v>
      </x:c>
      <x:c r="C102" s="23" t="str">
        <x:v>CM-RDC</x:v>
      </x:c>
      <x:c r="D102" s="23" t="str">
        <x:v>Return and durable-continuity group</x:v>
      </x:c>
      <x:c r="E102" s="23" t="str">
        <x:v>Civil Mobility and Continuity</x:v>
      </x:c>
      <x:c r="F102" s="23" t="str">
        <x:v>MS-RT</x:v>
      </x:c>
      <x:c r="G102" s="23" t="n">
        <x:v>10</x:v>
      </x:c>
      <x:c r="H102" s="23" t="n">
        <x:v>12</x:v>
      </x:c>
      <x:c r="I102" s="23" t="n">
        <x:v>2</x:v>
      </x:c>
      <x:c r="J102" s="23" t="n">
        <x:v>2</x:v>
      </x:c>
      <x:c r="K102" s="23" t="n">
        <x:v>10</x:v>
      </x:c>
      <x:c r="L102" s="23" t="n">
        <x:v>0</x:v>
      </x:c>
      <x:c r="M102" s="25" t="n">
        <x:v>0.4</x:v>
      </x:c>
      <x:c r="N102" s="25" t="n">
        <x:v>4.800000000000001</x:v>
      </x:c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13" hidden="0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5" hidden="0" customWidth="1"/>
    <x:col min="14" max="14" width="12" hidden="0" customWidth="1"/>
  </x:cols>
  <x:sheetData>
    <x:row r="2">
      <x:c r="A2" s="18" t="str">
        <x:v>Family-by-district reception allocation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Balanced cyclic placement prevents a single sovereign refusal from erasing any family.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Network</x:v>
      </x:c>
      <x:c r="B6" s="22" t="str">
        <x:v>Family ID</x:v>
      </x:c>
      <x:c r="C6" s="22" t="str">
        <x:v>Formation family</x:v>
      </x:c>
      <x:c r="D6" s="22" t="str">
        <x:v>Demand</x:v>
      </x:c>
      <x:c r="E6" s="22" t="str">
        <x:v>Installed</x:v>
      </x:c>
      <x:c r="F6" s="22" t="str">
        <x:v>D1</x:v>
      </x:c>
      <x:c r="G6" s="22" t="str">
        <x:v>D2</x:v>
      </x:c>
      <x:c r="H6" s="22" t="str">
        <x:v>D3</x:v>
      </x:c>
      <x:c r="I6" s="22" t="str">
        <x:v>D4</x:v>
      </x:c>
      <x:c r="J6" s="22" t="str">
        <x:v>D5</x:v>
      </x:c>
      <x:c r="K6" s="22" t="str">
        <x:v>D6</x:v>
      </x:c>
      <x:c r="L6" s="22" t="str">
        <x:v>Largest</x:v>
      </x:c>
      <x:c r="M6" s="22" t="str">
        <x:v>After loss</x:v>
      </x:c>
      <x:c r="N6" s="22" t="str">
        <x:v>Result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N1</x:v>
      </x:c>
      <x:c r="B7" s="23" t="str">
        <x:v>J-CIE</x:v>
      </x:c>
      <x:c r="C7" s="23" t="str">
        <x:v>Civil integration and effects group</x:v>
      </x:c>
      <x:c r="D7" s="23" t="n">
        <x:v>4</x:v>
      </x:c>
      <x:c r="E7" s="23" t="n">
        <x:v>5</x:v>
      </x:c>
      <x:c r="F7" s="23" t="n">
        <x:v>1</x:v>
      </x:c>
      <x:c r="G7" s="23" t="n">
        <x:v>1</x:v>
      </x:c>
      <x:c r="H7" s="23" t="n">
        <x:v>1</x:v>
      </x:c>
      <x:c r="I7" s="23" t="n">
        <x:v>1</x:v>
      </x:c>
      <x:c r="J7" s="23" t="n">
        <x:v>1</x:v>
      </x:c>
      <x:c r="K7" s="23" t="n">
        <x:v>0</x:v>
      </x:c>
      <x:c r="L7" s="23" t="n">
        <x:v>1</x:v>
      </x:c>
      <x:c r="M7" s="23" t="n">
        <x:v>4</x:v>
      </x:c>
      <x:c r="N7" s="29" t="str">
        <x:v>PASS</x:v>
      </x:c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N2</x:v>
      </x:c>
      <x:c r="B8" s="23" t="str">
        <x:v>J-CIE</x:v>
      </x:c>
      <x:c r="C8" s="23" t="str">
        <x:v>Civil integration and effects group</x:v>
      </x:c>
      <x:c r="D8" s="23" t="n">
        <x:v>4</x:v>
      </x:c>
      <x:c r="E8" s="23" t="n">
        <x:v>5</x:v>
      </x:c>
      <x:c r="F8" s="23" t="n">
        <x:v>0</x:v>
      </x:c>
      <x:c r="G8" s="23" t="n">
        <x:v>1</x:v>
      </x:c>
      <x:c r="H8" s="23" t="n">
        <x:v>1</x:v>
      </x:c>
      <x:c r="I8" s="23" t="n">
        <x:v>1</x:v>
      </x:c>
      <x:c r="J8" s="23" t="n">
        <x:v>1</x:v>
      </x:c>
      <x:c r="K8" s="23" t="n">
        <x:v>1</x:v>
      </x:c>
      <x:c r="L8" s="23" t="n">
        <x:v>1</x:v>
      </x:c>
      <x:c r="M8" s="23" t="n">
        <x:v>4</x:v>
      </x:c>
      <x:c r="N8" s="29" t="str">
        <x:v>PASS</x:v>
      </x:c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N1</x:v>
      </x:c>
      <x:c r="B9" s="23" t="str">
        <x:v>J-TOC</x:v>
      </x:c>
      <x:c r="C9" s="23" t="str">
        <x:v>Theater-opening command</x:v>
      </x:c>
      <x:c r="D9" s="23" t="n">
        <x:v>3</x:v>
      </x:c>
      <x:c r="E9" s="23" t="n">
        <x:v>4</x:v>
      </x:c>
      <x:c r="F9" s="23" t="n">
        <x:v>0</x:v>
      </x:c>
      <x:c r="G9" s="23" t="n">
        <x:v>0</x:v>
      </x:c>
      <x:c r="H9" s="23" t="n">
        <x:v>1</x:v>
      </x:c>
      <x:c r="I9" s="23" t="n">
        <x:v>1</x:v>
      </x:c>
      <x:c r="J9" s="23" t="n">
        <x:v>1</x:v>
      </x:c>
      <x:c r="K9" s="23" t="n">
        <x:v>1</x:v>
      </x:c>
      <x:c r="L9" s="23" t="n">
        <x:v>1</x:v>
      </x:c>
      <x:c r="M9" s="23" t="n">
        <x:v>3</x:v>
      </x:c>
      <x:c r="N9" s="29" t="str">
        <x:v>PASS</x:v>
      </x:c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N2</x:v>
      </x:c>
      <x:c r="B10" s="23" t="str">
        <x:v>J-TOC</x:v>
      </x:c>
      <x:c r="C10" s="23" t="str">
        <x:v>Theater-opening command</x:v>
      </x:c>
      <x:c r="D10" s="23" t="n">
        <x:v>3</x:v>
      </x:c>
      <x:c r="E10" s="23" t="n">
        <x:v>4</x:v>
      </x:c>
      <x:c r="F10" s="23" t="n">
        <x:v>1</x:v>
      </x:c>
      <x:c r="G10" s="23" t="n">
        <x:v>0</x:v>
      </x:c>
      <x:c r="H10" s="23" t="n">
        <x:v>0</x:v>
      </x:c>
      <x:c r="I10" s="23" t="n">
        <x:v>1</x:v>
      </x:c>
      <x:c r="J10" s="23" t="n">
        <x:v>1</x:v>
      </x:c>
      <x:c r="K10" s="23" t="n">
        <x:v>1</x:v>
      </x:c>
      <x:c r="L10" s="23" t="n">
        <x:v>1</x:v>
      </x:c>
      <x:c r="M10" s="23" t="n">
        <x:v>3</x:v>
      </x:c>
      <x:c r="N10" s="29" t="str">
        <x:v>PASS</x:v>
      </x:c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N1</x:v>
      </x:c>
      <x:c r="B11" s="23" t="str">
        <x:v>J-TSC</x:v>
      </x:c>
      <x:c r="C11" s="23" t="str">
        <x:v>Theater sustainment command</x:v>
      </x:c>
      <x:c r="D11" s="23" t="n">
        <x:v>4</x:v>
      </x:c>
      <x:c r="E11" s="23" t="n">
        <x:v>5</x:v>
      </x:c>
      <x:c r="F11" s="23" t="n">
        <x:v>1</x:v>
      </x:c>
      <x:c r="G11" s="23" t="n">
        <x:v>1</x:v>
      </x:c>
      <x:c r="H11" s="23" t="n">
        <x:v>1</x:v>
      </x:c>
      <x:c r="I11" s="23" t="n">
        <x:v>0</x:v>
      </x:c>
      <x:c r="J11" s="23" t="n">
        <x:v>1</x:v>
      </x:c>
      <x:c r="K11" s="23" t="n">
        <x:v>1</x:v>
      </x:c>
      <x:c r="L11" s="23" t="n">
        <x:v>1</x:v>
      </x:c>
      <x:c r="M11" s="23" t="n">
        <x:v>4</x:v>
      </x:c>
      <x:c r="N11" s="29" t="str">
        <x:v>PASS</x:v>
      </x:c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N2</x:v>
      </x:c>
      <x:c r="B12" s="23" t="str">
        <x:v>J-TSC</x:v>
      </x:c>
      <x:c r="C12" s="23" t="str">
        <x:v>Theater sustainment command</x:v>
      </x:c>
      <x:c r="D12" s="23" t="n">
        <x:v>4</x:v>
      </x:c>
      <x:c r="E12" s="23" t="n">
        <x:v>5</x:v>
      </x:c>
      <x:c r="F12" s="23" t="n">
        <x:v>1</x:v>
      </x:c>
      <x:c r="G12" s="23" t="n">
        <x:v>1</x:v>
      </x:c>
      <x:c r="H12" s="23" t="n">
        <x:v>1</x:v>
      </x:c>
      <x:c r="I12" s="23" t="n">
        <x:v>1</x:v>
      </x:c>
      <x:c r="J12" s="23" t="n">
        <x:v>0</x:v>
      </x:c>
      <x:c r="K12" s="23" t="n">
        <x:v>1</x:v>
      </x:c>
      <x:c r="L12" s="23" t="n">
        <x:v>1</x:v>
      </x:c>
      <x:c r="M12" s="23" t="n">
        <x:v>4</x:v>
      </x:c>
      <x:c r="N12" s="29" t="str">
        <x:v>PASS</x:v>
      </x:c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N1</x:v>
      </x:c>
      <x:c r="B13" s="23" t="str">
        <x:v>J-RRG</x:v>
      </x:c>
      <x:c r="C13" s="23" t="str">
        <x:v>Replacement and reconstitution group</x:v>
      </x:c>
      <x:c r="D13" s="23" t="n">
        <x:v>4</x:v>
      </x:c>
      <x:c r="E13" s="23" t="n">
        <x:v>5</x:v>
      </x:c>
      <x:c r="F13" s="23" t="n">
        <x:v>1</x:v>
      </x:c>
      <x:c r="G13" s="23" t="n">
        <x:v>1</x:v>
      </x:c>
      <x:c r="H13" s="23" t="n">
        <x:v>1</x:v>
      </x:c>
      <x:c r="I13" s="23" t="n">
        <x:v>1</x:v>
      </x:c>
      <x:c r="J13" s="23" t="n">
        <x:v>1</x:v>
      </x:c>
      <x:c r="K13" s="23" t="n">
        <x:v>0</x:v>
      </x:c>
      <x:c r="L13" s="23" t="n">
        <x:v>1</x:v>
      </x:c>
      <x:c r="M13" s="23" t="n">
        <x:v>4</x:v>
      </x:c>
      <x:c r="N13" s="29" t="str">
        <x:v>PASS</x:v>
      </x:c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N2</x:v>
      </x:c>
      <x:c r="B14" s="23" t="str">
        <x:v>J-RRG</x:v>
      </x:c>
      <x:c r="C14" s="23" t="str">
        <x:v>Replacement and reconstitution group</x:v>
      </x:c>
      <x:c r="D14" s="23" t="n">
        <x:v>4</x:v>
      </x:c>
      <x:c r="E14" s="23" t="n">
        <x:v>5</x:v>
      </x:c>
      <x:c r="F14" s="23" t="n">
        <x:v>0</x:v>
      </x:c>
      <x:c r="G14" s="23" t="n">
        <x:v>1</x:v>
      </x:c>
      <x:c r="H14" s="23" t="n">
        <x:v>1</x:v>
      </x:c>
      <x:c r="I14" s="23" t="n">
        <x:v>1</x:v>
      </x:c>
      <x:c r="J14" s="23" t="n">
        <x:v>1</x:v>
      </x:c>
      <x:c r="K14" s="23" t="n">
        <x:v>1</x:v>
      </x:c>
      <x:c r="L14" s="23" t="n">
        <x:v>1</x:v>
      </x:c>
      <x:c r="M14" s="23" t="n">
        <x:v>4</x:v>
      </x:c>
      <x:c r="N14" s="29" t="str">
        <x:v>PASS</x:v>
      </x:c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N1</x:v>
      </x:c>
      <x:c r="B15" s="23" t="str">
        <x:v>J-TDG</x:v>
      </x:c>
      <x:c r="C15" s="23" t="str">
        <x:v>Transfer and demobilization group</x:v>
      </x:c>
      <x:c r="D15" s="23" t="n">
        <x:v>3</x:v>
      </x:c>
      <x:c r="E15" s="23" t="n">
        <x:v>4</x:v>
      </x:c>
      <x:c r="F15" s="23" t="n">
        <x:v>0</x:v>
      </x:c>
      <x:c r="G15" s="23" t="n">
        <x:v>0</x:v>
      </x:c>
      <x:c r="H15" s="23" t="n">
        <x:v>1</x:v>
      </x:c>
      <x:c r="I15" s="23" t="n">
        <x:v>1</x:v>
      </x:c>
      <x:c r="J15" s="23" t="n">
        <x:v>1</x:v>
      </x:c>
      <x:c r="K15" s="23" t="n">
        <x:v>1</x:v>
      </x:c>
      <x:c r="L15" s="23" t="n">
        <x:v>1</x:v>
      </x:c>
      <x:c r="M15" s="23" t="n">
        <x:v>3</x:v>
      </x:c>
      <x:c r="N15" s="29" t="str">
        <x:v>PASS</x:v>
      </x:c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N2</x:v>
      </x:c>
      <x:c r="B16" s="23" t="str">
        <x:v>J-TDG</x:v>
      </x:c>
      <x:c r="C16" s="23" t="str">
        <x:v>Transfer and demobilization group</x:v>
      </x:c>
      <x:c r="D16" s="23" t="n">
        <x:v>3</x:v>
      </x:c>
      <x:c r="E16" s="23" t="n">
        <x:v>4</x:v>
      </x:c>
      <x:c r="F16" s="23" t="n">
        <x:v>1</x:v>
      </x:c>
      <x:c r="G16" s="23" t="n">
        <x:v>0</x:v>
      </x:c>
      <x:c r="H16" s="23" t="n">
        <x:v>0</x:v>
      </x:c>
      <x:c r="I16" s="23" t="n">
        <x:v>1</x:v>
      </x:c>
      <x:c r="J16" s="23" t="n">
        <x:v>1</x:v>
      </x:c>
      <x:c r="K16" s="23" t="n">
        <x:v>1</x:v>
      </x:c>
      <x:c r="L16" s="23" t="n">
        <x:v>1</x:v>
      </x:c>
      <x:c r="M16" s="23" t="n">
        <x:v>3</x:v>
      </x:c>
      <x:c r="N16" s="29" t="str">
        <x:v>PASS</x:v>
      </x:c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N1</x:v>
      </x:c>
      <x:c r="B17" s="23" t="str">
        <x:v>L-ROG</x:v>
      </x:c>
      <x:c r="C17" s="23" t="str">
        <x:v>Access and route-opening group</x:v>
      </x:c>
      <x:c r="D17" s="23" t="n">
        <x:v>10</x:v>
      </x:c>
      <x:c r="E17" s="23" t="n">
        <x:v>12</x:v>
      </x:c>
      <x:c r="F17" s="23" t="n">
        <x:v>2</x:v>
      </x:c>
      <x:c r="G17" s="23" t="n">
        <x:v>2</x:v>
      </x:c>
      <x:c r="H17" s="23" t="n">
        <x:v>2</x:v>
      </x:c>
      <x:c r="I17" s="23" t="n">
        <x:v>2</x:v>
      </x:c>
      <x:c r="J17" s="23" t="n">
        <x:v>2</x:v>
      </x:c>
      <x:c r="K17" s="23" t="n">
        <x:v>2</x:v>
      </x:c>
      <x:c r="L17" s="23" t="n">
        <x:v>2</x:v>
      </x:c>
      <x:c r="M17" s="23" t="n">
        <x:v>10</x:v>
      </x:c>
      <x:c r="N17" s="29" t="str">
        <x:v>PASS</x:v>
      </x:c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N2</x:v>
      </x:c>
      <x:c r="B18" s="23" t="str">
        <x:v>L-ROG</x:v>
      </x:c>
      <x:c r="C18" s="23" t="str">
        <x:v>Access and route-opening group</x:v>
      </x:c>
      <x:c r="D18" s="23" t="n">
        <x:v>8</x:v>
      </x:c>
      <x:c r="E18" s="23" t="n">
        <x:v>10</x:v>
      </x:c>
      <x:c r="F18" s="23" t="n">
        <x:v>2</x:v>
      </x:c>
      <x:c r="G18" s="23" t="n">
        <x:v>2</x:v>
      </x:c>
      <x:c r="H18" s="23" t="n">
        <x:v>2</x:v>
      </x:c>
      <x:c r="I18" s="23" t="n">
        <x:v>1</x:v>
      </x:c>
      <x:c r="J18" s="23" t="n">
        <x:v>1</x:v>
      </x:c>
      <x:c r="K18" s="23" t="n">
        <x:v>2</x:v>
      </x:c>
      <x:c r="L18" s="23" t="n">
        <x:v>2</x:v>
      </x:c>
      <x:c r="M18" s="23" t="n">
        <x:v>8</x:v>
      </x:c>
      <x:c r="N18" s="29" t="str">
        <x:v>PASS</x:v>
      </x:c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N1</x:v>
      </x:c>
      <x:c r="B19" s="23" t="str">
        <x:v>L-HCG</x:v>
      </x:c>
      <x:c r="C19" s="23" t="str">
        <x:v>Flood and hydraulic-control group</x:v>
      </x:c>
      <x:c r="D19" s="23" t="n">
        <x:v>4</x:v>
      </x:c>
      <x:c r="E19" s="23" t="n">
        <x:v>5</x:v>
      </x:c>
      <x:c r="F19" s="23" t="n">
        <x:v>1</x:v>
      </x:c>
      <x:c r="G19" s="23" t="n">
        <x:v>1</x:v>
      </x:c>
      <x:c r="H19" s="23" t="n">
        <x:v>1</x:v>
      </x:c>
      <x:c r="I19" s="23" t="n">
        <x:v>1</x:v>
      </x:c>
      <x:c r="J19" s="23" t="n">
        <x:v>1</x:v>
      </x:c>
      <x:c r="K19" s="23" t="n">
        <x:v>0</x:v>
      </x:c>
      <x:c r="L19" s="23" t="n">
        <x:v>1</x:v>
      </x:c>
      <x:c r="M19" s="23" t="n">
        <x:v>4</x:v>
      </x:c>
      <x:c r="N19" s="29" t="str">
        <x:v>PASS</x:v>
      </x:c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N2</x:v>
      </x:c>
      <x:c r="B20" s="23" t="str">
        <x:v>L-HCG</x:v>
      </x:c>
      <x:c r="C20" s="23" t="str">
        <x:v>Flood and hydraulic-control group</x:v>
      </x:c>
      <x:c r="D20" s="23" t="n">
        <x:v>12</x:v>
      </x:c>
      <x:c r="E20" s="23" t="n">
        <x:v>15</x:v>
      </x:c>
      <x:c r="F20" s="23" t="n">
        <x:v>2</x:v>
      </x:c>
      <x:c r="G20" s="23" t="n">
        <x:v>3</x:v>
      </x:c>
      <x:c r="H20" s="23" t="n">
        <x:v>3</x:v>
      </x:c>
      <x:c r="I20" s="23" t="n">
        <x:v>3</x:v>
      </x:c>
      <x:c r="J20" s="23" t="n">
        <x:v>2</x:v>
      </x:c>
      <x:c r="K20" s="23" t="n">
        <x:v>2</x:v>
      </x:c>
      <x:c r="L20" s="23" t="n">
        <x:v>3</x:v>
      </x:c>
      <x:c r="M20" s="23" t="n">
        <x:v>12</x:v>
      </x:c>
      <x:c r="N20" s="29" t="str">
        <x:v>PASS</x:v>
      </x:c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str">
        <x:v>N1</x:v>
      </x:c>
      <x:c r="B21" s="23" t="str">
        <x:v>L-DMG</x:v>
      </x:c>
      <x:c r="C21" s="23" t="str">
        <x:v>Debris and materials group</x:v>
      </x:c>
      <x:c r="D21" s="23" t="n">
        <x:v>10</x:v>
      </x:c>
      <x:c r="E21" s="23" t="n">
        <x:v>12</x:v>
      </x:c>
      <x:c r="F21" s="23" t="n">
        <x:v>2</x:v>
      </x:c>
      <x:c r="G21" s="23" t="n">
        <x:v>2</x:v>
      </x:c>
      <x:c r="H21" s="23" t="n">
        <x:v>2</x:v>
      </x:c>
      <x:c r="I21" s="23" t="n">
        <x:v>2</x:v>
      </x:c>
      <x:c r="J21" s="23" t="n">
        <x:v>2</x:v>
      </x:c>
      <x:c r="K21" s="23" t="n">
        <x:v>2</x:v>
      </x:c>
      <x:c r="L21" s="23" t="n">
        <x:v>2</x:v>
      </x:c>
      <x:c r="M21" s="23" t="n">
        <x:v>10</x:v>
      </x:c>
      <x:c r="N21" s="29" t="str">
        <x:v>PASS</x:v>
      </x:c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3" t="str">
        <x:v>N2</x:v>
      </x:c>
      <x:c r="B22" s="23" t="str">
        <x:v>L-DMG</x:v>
      </x:c>
      <x:c r="C22" s="23" t="str">
        <x:v>Debris and materials group</x:v>
      </x:c>
      <x:c r="D22" s="23" t="n">
        <x:v>8</x:v>
      </x:c>
      <x:c r="E22" s="23" t="n">
        <x:v>10</x:v>
      </x:c>
      <x:c r="F22" s="23" t="n">
        <x:v>2</x:v>
      </x:c>
      <x:c r="G22" s="23" t="n">
        <x:v>1</x:v>
      </x:c>
      <x:c r="H22" s="23" t="n">
        <x:v>1</x:v>
      </x:c>
      <x:c r="I22" s="23" t="n">
        <x:v>2</x:v>
      </x:c>
      <x:c r="J22" s="23" t="n">
        <x:v>2</x:v>
      </x:c>
      <x:c r="K22" s="23" t="n">
        <x:v>2</x:v>
      </x:c>
      <x:c r="L22" s="23" t="n">
        <x:v>2</x:v>
      </x:c>
      <x:c r="M22" s="23" t="n">
        <x:v>8</x:v>
      </x:c>
      <x:c r="N22" s="29" t="str">
        <x:v>PASS</x:v>
      </x:c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str">
        <x:v>N1</x:v>
      </x:c>
      <x:c r="B23" s="23" t="str">
        <x:v>L-TWG</x:v>
      </x:c>
      <x:c r="C23" s="23" t="str">
        <x:v>Temporary works and crossing group</x:v>
      </x:c>
      <x:c r="D23" s="23" t="n">
        <x:v>8</x:v>
      </x:c>
      <x:c r="E23" s="23" t="n">
        <x:v>10</x:v>
      </x:c>
      <x:c r="F23" s="23" t="n">
        <x:v>2</x:v>
      </x:c>
      <x:c r="G23" s="23" t="n">
        <x:v>2</x:v>
      </x:c>
      <x:c r="H23" s="23" t="n">
        <x:v>1</x:v>
      </x:c>
      <x:c r="I23" s="23" t="n">
        <x:v>1</x:v>
      </x:c>
      <x:c r="J23" s="23" t="n">
        <x:v>2</x:v>
      </x:c>
      <x:c r="K23" s="23" t="n">
        <x:v>2</x:v>
      </x:c>
      <x:c r="L23" s="23" t="n">
        <x:v>2</x:v>
      </x:c>
      <x:c r="M23" s="23" t="n">
        <x:v>8</x:v>
      </x:c>
      <x:c r="N23" s="29" t="str">
        <x:v>PASS</x:v>
      </x:c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3" t="str">
        <x:v>N2</x:v>
      </x:c>
      <x:c r="B24" s="23" t="str">
        <x:v>L-TWG</x:v>
      </x:c>
      <x:c r="C24" s="23" t="str">
        <x:v>Temporary works and crossing group</x:v>
      </x:c>
      <x:c r="D24" s="23" t="n">
        <x:v>6</x:v>
      </x:c>
      <x:c r="E24" s="23" t="n">
        <x:v>8</x:v>
      </x:c>
      <x:c r="F24" s="23" t="n">
        <x:v>2</x:v>
      </x:c>
      <x:c r="G24" s="23" t="n">
        <x:v>1</x:v>
      </x:c>
      <x:c r="H24" s="23" t="n">
        <x:v>1</x:v>
      </x:c>
      <x:c r="I24" s="23" t="n">
        <x:v>1</x:v>
      </x:c>
      <x:c r="J24" s="23" t="n">
        <x:v>1</x:v>
      </x:c>
      <x:c r="K24" s="23" t="n">
        <x:v>2</x:v>
      </x:c>
      <x:c r="L24" s="23" t="n">
        <x:v>2</x:v>
      </x:c>
      <x:c r="M24" s="23" t="n">
        <x:v>6</x:v>
      </x:c>
      <x:c r="N24" s="29" t="str">
        <x:v>PASS</x:v>
      </x:c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3" t="str">
        <x:v>N1</x:v>
      </x:c>
      <x:c r="B25" s="23" t="str">
        <x:v>L-GFG</x:v>
      </x:c>
      <x:c r="C25" s="23" t="str">
        <x:v>Ground fire and landscape group</x:v>
      </x:c>
      <x:c r="D25" s="23" t="n">
        <x:v>2</x:v>
      </x:c>
      <x:c r="E25" s="23" t="n">
        <x:v>3</x:v>
      </x:c>
      <x:c r="F25" s="23" t="n">
        <x:v>1</x:v>
      </x:c>
      <x:c r="G25" s="23" t="n">
        <x:v>1</x:v>
      </x:c>
      <x:c r="H25" s="23" t="n">
        <x:v>1</x:v>
      </x:c>
      <x:c r="I25" s="23" t="n">
        <x:v>0</x:v>
      </x:c>
      <x:c r="J25" s="23" t="n">
        <x:v>0</x:v>
      </x:c>
      <x:c r="K25" s="23" t="n">
        <x:v>0</x:v>
      </x:c>
      <x:c r="L25" s="23" t="n">
        <x:v>1</x:v>
      </x:c>
      <x:c r="M25" s="23" t="n">
        <x:v>2</x:v>
      </x:c>
      <x:c r="N25" s="29" t="str">
        <x:v>PASS</x:v>
      </x:c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3" t="str">
        <x:v>N2</x:v>
      </x:c>
      <x:c r="B26" s="23" t="str">
        <x:v>L-GFG</x:v>
      </x:c>
      <x:c r="C26" s="23" t="str">
        <x:v>Ground fire and landscape group</x:v>
      </x:c>
      <x:c r="D26" s="23" t="n">
        <x:v>2</x:v>
      </x:c>
      <x:c r="E26" s="23" t="n">
        <x:v>3</x:v>
      </x:c>
      <x:c r="F26" s="23" t="n">
        <x:v>0</x:v>
      </x:c>
      <x:c r="G26" s="23" t="n">
        <x:v>1</x:v>
      </x:c>
      <x:c r="H26" s="23" t="n">
        <x:v>1</x:v>
      </x:c>
      <x:c r="I26" s="23" t="n">
        <x:v>1</x:v>
      </x:c>
      <x:c r="J26" s="23" t="n">
        <x:v>0</x:v>
      </x:c>
      <x:c r="K26" s="23" t="n">
        <x:v>0</x:v>
      </x:c>
      <x:c r="L26" s="23" t="n">
        <x:v>1</x:v>
      </x:c>
      <x:c r="M26" s="23" t="n">
        <x:v>2</x:v>
      </x:c>
      <x:c r="N26" s="29" t="str">
        <x:v>PASS</x:v>
      </x:c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3" t="str">
        <x:v>N1</x:v>
      </x:c>
      <x:c r="B27" s="23" t="str">
        <x:v>A-SMW</x:v>
      </x:c>
      <x:c r="C27" s="23" t="str">
        <x:v>Strategic mobility wing</x:v>
      </x:c>
      <x:c r="D27" s="23" t="n">
        <x:v>5</x:v>
      </x:c>
      <x:c r="E27" s="23" t="n">
        <x:v>6</x:v>
      </x:c>
      <x:c r="F27" s="23" t="n">
        <x:v>1</x:v>
      </x:c>
      <x:c r="G27" s="23" t="n">
        <x:v>1</x:v>
      </x:c>
      <x:c r="H27" s="23" t="n">
        <x:v>1</x:v>
      </x:c>
      <x:c r="I27" s="23" t="n">
        <x:v>1</x:v>
      </x:c>
      <x:c r="J27" s="23" t="n">
        <x:v>1</x:v>
      </x:c>
      <x:c r="K27" s="23" t="n">
        <x:v>1</x:v>
      </x:c>
      <x:c r="L27" s="23" t="n">
        <x:v>1</x:v>
      </x:c>
      <x:c r="M27" s="23" t="n">
        <x:v>5</x:v>
      </x:c>
      <x:c r="N27" s="29" t="str">
        <x:v>PASS</x:v>
      </x:c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3" t="str">
        <x:v>N2</x:v>
      </x:c>
      <x:c r="B28" s="23" t="str">
        <x:v>A-SMW</x:v>
      </x:c>
      <x:c r="C28" s="23" t="str">
        <x:v>Strategic mobility wing</x:v>
      </x:c>
      <x:c r="D28" s="23" t="n">
        <x:v>5</x:v>
      </x:c>
      <x:c r="E28" s="23" t="n">
        <x:v>6</x:v>
      </x:c>
      <x:c r="F28" s="23" t="n">
        <x:v>1</x:v>
      </x:c>
      <x:c r="G28" s="23" t="n">
        <x:v>1</x:v>
      </x:c>
      <x:c r="H28" s="23" t="n">
        <x:v>1</x:v>
      </x:c>
      <x:c r="I28" s="23" t="n">
        <x:v>1</x:v>
      </x:c>
      <x:c r="J28" s="23" t="n">
        <x:v>1</x:v>
      </x:c>
      <x:c r="K28" s="23" t="n">
        <x:v>1</x:v>
      </x:c>
      <x:c r="L28" s="23" t="n">
        <x:v>1</x:v>
      </x:c>
      <x:c r="M28" s="23" t="n">
        <x:v>5</x:v>
      </x:c>
      <x:c r="N28" s="29" t="str">
        <x:v>PASS</x:v>
      </x:c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3" t="str">
        <x:v>N1</x:v>
      </x:c>
      <x:c r="B29" s="23" t="str">
        <x:v>A-AAG</x:v>
      </x:c>
      <x:c r="C29" s="23" t="str">
        <x:v>Austere air-access group</x:v>
      </x:c>
      <x:c r="D29" s="23" t="n">
        <x:v>5</x:v>
      </x:c>
      <x:c r="E29" s="23" t="n">
        <x:v>6</x:v>
      </x:c>
      <x:c r="F29" s="23" t="n">
        <x:v>1</x:v>
      </x:c>
      <x:c r="G29" s="23" t="n">
        <x:v>1</x:v>
      </x:c>
      <x:c r="H29" s="23" t="n">
        <x:v>1</x:v>
      </x:c>
      <x:c r="I29" s="23" t="n">
        <x:v>1</x:v>
      </x:c>
      <x:c r="J29" s="23" t="n">
        <x:v>1</x:v>
      </x:c>
      <x:c r="K29" s="23" t="n">
        <x:v>1</x:v>
      </x:c>
      <x:c r="L29" s="23" t="n">
        <x:v>1</x:v>
      </x:c>
      <x:c r="M29" s="23" t="n">
        <x:v>5</x:v>
      </x:c>
      <x:c r="N29" s="29" t="str">
        <x:v>PASS</x:v>
      </x:c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3" t="str">
        <x:v>N2</x:v>
      </x:c>
      <x:c r="B30" s="23" t="str">
        <x:v>A-AAG</x:v>
      </x:c>
      <x:c r="C30" s="23" t="str">
        <x:v>Austere air-access group</x:v>
      </x:c>
      <x:c r="D30" s="23" t="n">
        <x:v>5</x:v>
      </x:c>
      <x:c r="E30" s="23" t="n">
        <x:v>6</x:v>
      </x:c>
      <x:c r="F30" s="23" t="n">
        <x:v>1</x:v>
      </x:c>
      <x:c r="G30" s="23" t="n">
        <x:v>1</x:v>
      </x:c>
      <x:c r="H30" s="23" t="n">
        <x:v>1</x:v>
      </x:c>
      <x:c r="I30" s="23" t="n">
        <x:v>1</x:v>
      </x:c>
      <x:c r="J30" s="23" t="n">
        <x:v>1</x:v>
      </x:c>
      <x:c r="K30" s="23" t="n">
        <x:v>1</x:v>
      </x:c>
      <x:c r="L30" s="23" t="n">
        <x:v>1</x:v>
      </x:c>
      <x:c r="M30" s="23" t="n">
        <x:v>5</x:v>
      </x:c>
      <x:c r="N30" s="29" t="str">
        <x:v>PASS</x:v>
      </x:c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3" t="str">
        <x:v>N1</x:v>
      </x:c>
      <x:c r="B31" s="23" t="str">
        <x:v>A-AHW</x:v>
      </x:c>
      <x:c r="C31" s="23" t="str">
        <x:v>Aerial hazard-control wing</x:v>
      </x:c>
      <x:c r="D31" s="23" t="n">
        <x:v>2</x:v>
      </x:c>
      <x:c r="E31" s="23" t="n">
        <x:v>3</x:v>
      </x:c>
      <x:c r="F31" s="23" t="n">
        <x:v>1</x:v>
      </x:c>
      <x:c r="G31" s="23" t="n">
        <x:v>1</x:v>
      </x:c>
      <x:c r="H31" s="23" t="n">
        <x:v>1</x:v>
      </x:c>
      <x:c r="I31" s="23" t="n">
        <x:v>0</x:v>
      </x:c>
      <x:c r="J31" s="23" t="n">
        <x:v>0</x:v>
      </x:c>
      <x:c r="K31" s="23" t="n">
        <x:v>0</x:v>
      </x:c>
      <x:c r="L31" s="23" t="n">
        <x:v>1</x:v>
      </x:c>
      <x:c r="M31" s="23" t="n">
        <x:v>2</x:v>
      </x:c>
      <x:c r="N31" s="29" t="str">
        <x:v>PASS</x:v>
      </x:c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23" t="str">
        <x:v>N2</x:v>
      </x:c>
      <x:c r="B32" s="23" t="str">
        <x:v>A-AHW</x:v>
      </x:c>
      <x:c r="C32" s="23" t="str">
        <x:v>Aerial hazard-control wing</x:v>
      </x:c>
      <x:c r="D32" s="23" t="n">
        <x:v>1</x:v>
      </x:c>
      <x:c r="E32" s="23" t="n">
        <x:v>2</x:v>
      </x:c>
      <x:c r="F32" s="23" t="n">
        <x:v>0</x:v>
      </x:c>
      <x:c r="G32" s="23" t="n">
        <x:v>1</x:v>
      </x:c>
      <x:c r="H32" s="23" t="n">
        <x:v>1</x:v>
      </x:c>
      <x:c r="I32" s="23" t="n">
        <x:v>0</x:v>
      </x:c>
      <x:c r="J32" s="23" t="n">
        <x:v>0</x:v>
      </x:c>
      <x:c r="K32" s="23" t="n">
        <x:v>0</x:v>
      </x:c>
      <x:c r="L32" s="23" t="n">
        <x:v>1</x:v>
      </x:c>
      <x:c r="M32" s="23" t="n">
        <x:v>1</x:v>
      </x:c>
      <x:c r="N32" s="29" t="str">
        <x:v>PASS</x:v>
      </x:c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23" t="str">
        <x:v>N1</x:v>
      </x:c>
      <x:c r="B33" s="23" t="str">
        <x:v>A-TDG</x:v>
      </x:c>
      <x:c r="C33" s="23" t="str">
        <x:v>Tactical distribution group</x:v>
      </x:c>
      <x:c r="D33" s="23" t="n">
        <x:v>8</x:v>
      </x:c>
      <x:c r="E33" s="23" t="n">
        <x:v>10</x:v>
      </x:c>
      <x:c r="F33" s="23" t="n">
        <x:v>1</x:v>
      </x:c>
      <x:c r="G33" s="23" t="n">
        <x:v>1</x:v>
      </x:c>
      <x:c r="H33" s="23" t="n">
        <x:v>2</x:v>
      </x:c>
      <x:c r="I33" s="23" t="n">
        <x:v>2</x:v>
      </x:c>
      <x:c r="J33" s="23" t="n">
        <x:v>2</x:v>
      </x:c>
      <x:c r="K33" s="23" t="n">
        <x:v>2</x:v>
      </x:c>
      <x:c r="L33" s="23" t="n">
        <x:v>2</x:v>
      </x:c>
      <x:c r="M33" s="23" t="n">
        <x:v>8</x:v>
      </x:c>
      <x:c r="N33" s="29" t="str">
        <x:v>PASS</x:v>
      </x:c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23" t="str">
        <x:v>N2</x:v>
      </x:c>
      <x:c r="B34" s="23" t="str">
        <x:v>A-TDG</x:v>
      </x:c>
      <x:c r="C34" s="23" t="str">
        <x:v>Tactical distribution group</x:v>
      </x:c>
      <x:c r="D34" s="23" t="n">
        <x:v>8</x:v>
      </x:c>
      <x:c r="E34" s="23" t="n">
        <x:v>10</x:v>
      </x:c>
      <x:c r="F34" s="23" t="n">
        <x:v>2</x:v>
      </x:c>
      <x:c r="G34" s="23" t="n">
        <x:v>1</x:v>
      </x:c>
      <x:c r="H34" s="23" t="n">
        <x:v>1</x:v>
      </x:c>
      <x:c r="I34" s="23" t="n">
        <x:v>2</x:v>
      </x:c>
      <x:c r="J34" s="23" t="n">
        <x:v>2</x:v>
      </x:c>
      <x:c r="K34" s="23" t="n">
        <x:v>2</x:v>
      </x:c>
      <x:c r="L34" s="23" t="n">
        <x:v>2</x:v>
      </x:c>
      <x:c r="M34" s="23" t="n">
        <x:v>8</x:v>
      </x:c>
      <x:c r="N34" s="29" t="str">
        <x:v>PASS</x:v>
      </x:c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23" t="str">
        <x:v>N1</x:v>
      </x:c>
      <x:c r="B35" s="23" t="str">
        <x:v>A-SRG</x:v>
      </x:c>
      <x:c r="C35" s="23" t="str">
        <x:v>Air sensing and relay group</x:v>
      </x:c>
      <x:c r="D35" s="23" t="n">
        <x:v>5</x:v>
      </x:c>
      <x:c r="E35" s="23" t="n">
        <x:v>6</x:v>
      </x:c>
      <x:c r="F35" s="23" t="n">
        <x:v>1</x:v>
      </x:c>
      <x:c r="G35" s="23" t="n">
        <x:v>1</x:v>
      </x:c>
      <x:c r="H35" s="23" t="n">
        <x:v>1</x:v>
      </x:c>
      <x:c r="I35" s="23" t="n">
        <x:v>1</x:v>
      </x:c>
      <x:c r="J35" s="23" t="n">
        <x:v>1</x:v>
      </x:c>
      <x:c r="K35" s="23" t="n">
        <x:v>1</x:v>
      </x:c>
      <x:c r="L35" s="23" t="n">
        <x:v>1</x:v>
      </x:c>
      <x:c r="M35" s="23" t="n">
        <x:v>5</x:v>
      </x:c>
      <x:c r="N35" s="29" t="str">
        <x:v>PASS</x:v>
      </x:c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23" t="str">
        <x:v>N2</x:v>
      </x:c>
      <x:c r="B36" s="23" t="str">
        <x:v>A-SRG</x:v>
      </x:c>
      <x:c r="C36" s="23" t="str">
        <x:v>Air sensing and relay group</x:v>
      </x:c>
      <x:c r="D36" s="23" t="n">
        <x:v>5</x:v>
      </x:c>
      <x:c r="E36" s="23" t="n">
        <x:v>6</x:v>
      </x:c>
      <x:c r="F36" s="23" t="n">
        <x:v>1</x:v>
      </x:c>
      <x:c r="G36" s="23" t="n">
        <x:v>1</x:v>
      </x:c>
      <x:c r="H36" s="23" t="n">
        <x:v>1</x:v>
      </x:c>
      <x:c r="I36" s="23" t="n">
        <x:v>1</x:v>
      </x:c>
      <x:c r="J36" s="23" t="n">
        <x:v>1</x:v>
      </x:c>
      <x:c r="K36" s="23" t="n">
        <x:v>1</x:v>
      </x:c>
      <x:c r="L36" s="23" t="n">
        <x:v>1</x:v>
      </x:c>
      <x:c r="M36" s="23" t="n">
        <x:v>5</x:v>
      </x:c>
      <x:c r="N36" s="29" t="str">
        <x:v>PASS</x:v>
      </x:c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23" t="str">
        <x:v>N1</x:v>
      </x:c>
      <x:c r="B37" s="23" t="str">
        <x:v>A-AMG</x:v>
      </x:c>
      <x:c r="C37" s="23" t="str">
        <x:v>Aeromedical movement group</x:v>
      </x:c>
      <x:c r="D37" s="23" t="n">
        <x:v>5</x:v>
      </x:c>
      <x:c r="E37" s="23" t="n">
        <x:v>6</x:v>
      </x:c>
      <x:c r="F37" s="23" t="n">
        <x:v>1</x:v>
      </x:c>
      <x:c r="G37" s="23" t="n">
        <x:v>1</x:v>
      </x:c>
      <x:c r="H37" s="23" t="n">
        <x:v>1</x:v>
      </x:c>
      <x:c r="I37" s="23" t="n">
        <x:v>1</x:v>
      </x:c>
      <x:c r="J37" s="23" t="n">
        <x:v>1</x:v>
      </x:c>
      <x:c r="K37" s="23" t="n">
        <x:v>1</x:v>
      </x:c>
      <x:c r="L37" s="23" t="n">
        <x:v>1</x:v>
      </x:c>
      <x:c r="M37" s="23" t="n">
        <x:v>5</x:v>
      </x:c>
      <x:c r="N37" s="29" t="str">
        <x:v>PASS</x:v>
      </x:c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23" t="str">
        <x:v>N2</x:v>
      </x:c>
      <x:c r="B38" s="23" t="str">
        <x:v>A-AMG</x:v>
      </x:c>
      <x:c r="C38" s="23" t="str">
        <x:v>Aeromedical movement group</x:v>
      </x:c>
      <x:c r="D38" s="23" t="n">
        <x:v>4</x:v>
      </x:c>
      <x:c r="E38" s="23" t="n">
        <x:v>5</x:v>
      </x:c>
      <x:c r="F38" s="23" t="n">
        <x:v>0</x:v>
      </x:c>
      <x:c r="G38" s="23" t="n">
        <x:v>1</x:v>
      </x:c>
      <x:c r="H38" s="23" t="n">
        <x:v>1</x:v>
      </x:c>
      <x:c r="I38" s="23" t="n">
        <x:v>1</x:v>
      </x:c>
      <x:c r="J38" s="23" t="n">
        <x:v>1</x:v>
      </x:c>
      <x:c r="K38" s="23" t="n">
        <x:v>1</x:v>
      </x:c>
      <x:c r="L38" s="23" t="n">
        <x:v>1</x:v>
      </x:c>
      <x:c r="M38" s="23" t="n">
        <x:v>4</x:v>
      </x:c>
      <x:c r="N38" s="29" t="str">
        <x:v>PASS</x:v>
      </x:c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23" t="str">
        <x:v>N1</x:v>
      </x:c>
      <x:c r="B39" s="23" t="str">
        <x:v>M-POG</x:v>
      </x:c>
      <x:c r="C39" s="23" t="str">
        <x:v>Port-opening group</x:v>
      </x:c>
      <x:c r="D39" s="23" t="n">
        <x:v>8</x:v>
      </x:c>
      <x:c r="E39" s="23" t="n">
        <x:v>10</x:v>
      </x:c>
      <x:c r="F39" s="23" t="n">
        <x:v>1</x:v>
      </x:c>
      <x:c r="G39" s="23" t="n">
        <x:v>1</x:v>
      </x:c>
      <x:c r="H39" s="23" t="n">
        <x:v>2</x:v>
      </x:c>
      <x:c r="I39" s="23" t="n">
        <x:v>2</x:v>
      </x:c>
      <x:c r="J39" s="23" t="n">
        <x:v>2</x:v>
      </x:c>
      <x:c r="K39" s="23" t="n">
        <x:v>2</x:v>
      </x:c>
      <x:c r="L39" s="23" t="n">
        <x:v>2</x:v>
      </x:c>
      <x:c r="M39" s="23" t="n">
        <x:v>8</x:v>
      </x:c>
      <x:c r="N39" s="29" t="str">
        <x:v>PASS</x:v>
      </x:c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23" t="str">
        <x:v>N2</x:v>
      </x:c>
      <x:c r="B40" s="23" t="str">
        <x:v>M-POG</x:v>
      </x:c>
      <x:c r="C40" s="23" t="str">
        <x:v>Port-opening group</x:v>
      </x:c>
      <x:c r="D40" s="23" t="n">
        <x:v>6</x:v>
      </x:c>
      <x:c r="E40" s="23" t="n">
        <x:v>8</x:v>
      </x:c>
      <x:c r="F40" s="23" t="n">
        <x:v>1</x:v>
      </x:c>
      <x:c r="G40" s="23" t="n">
        <x:v>1</x:v>
      </x:c>
      <x:c r="H40" s="23" t="n">
        <x:v>1</x:v>
      </x:c>
      <x:c r="I40" s="23" t="n">
        <x:v>2</x:v>
      </x:c>
      <x:c r="J40" s="23" t="n">
        <x:v>2</x:v>
      </x:c>
      <x:c r="K40" s="23" t="n">
        <x:v>1</x:v>
      </x:c>
      <x:c r="L40" s="23" t="n">
        <x:v>2</x:v>
      </x:c>
      <x:c r="M40" s="23" t="n">
        <x:v>6</x:v>
      </x:c>
      <x:c r="N40" s="29" t="str">
        <x:v>PASS</x:v>
      </x:c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23" t="str">
        <x:v>N1</x:v>
      </x:c>
      <x:c r="B41" s="23" t="str">
        <x:v>M-LAG</x:v>
      </x:c>
      <x:c r="C41" s="23" t="str">
        <x:v>Littoral-access group</x:v>
      </x:c>
      <x:c r="D41" s="23" t="n">
        <x:v>8</x:v>
      </x:c>
      <x:c r="E41" s="23" t="n">
        <x:v>10</x:v>
      </x:c>
      <x:c r="F41" s="23" t="n">
        <x:v>2</x:v>
      </x:c>
      <x:c r="G41" s="23" t="n">
        <x:v>2</x:v>
      </x:c>
      <x:c r="H41" s="23" t="n">
        <x:v>1</x:v>
      </x:c>
      <x:c r="I41" s="23" t="n">
        <x:v>1</x:v>
      </x:c>
      <x:c r="J41" s="23" t="n">
        <x:v>2</x:v>
      </x:c>
      <x:c r="K41" s="23" t="n">
        <x:v>2</x:v>
      </x:c>
      <x:c r="L41" s="23" t="n">
        <x:v>2</x:v>
      </x:c>
      <x:c r="M41" s="23" t="n">
        <x:v>8</x:v>
      </x:c>
      <x:c r="N41" s="29" t="str">
        <x:v>PASS</x:v>
      </x:c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23" t="str">
        <x:v>N2</x:v>
      </x:c>
      <x:c r="B42" s="23" t="str">
        <x:v>M-LAG</x:v>
      </x:c>
      <x:c r="C42" s="23" t="str">
        <x:v>Littoral-access group</x:v>
      </x:c>
      <x:c r="D42" s="23" t="n">
        <x:v>8</x:v>
      </x:c>
      <x:c r="E42" s="23" t="n">
        <x:v>10</x:v>
      </x:c>
      <x:c r="F42" s="23" t="n">
        <x:v>2</x:v>
      </x:c>
      <x:c r="G42" s="23" t="n">
        <x:v>2</x:v>
      </x:c>
      <x:c r="H42" s="23" t="n">
        <x:v>2</x:v>
      </x:c>
      <x:c r="I42" s="23" t="n">
        <x:v>1</x:v>
      </x:c>
      <x:c r="J42" s="23" t="n">
        <x:v>1</x:v>
      </x:c>
      <x:c r="K42" s="23" t="n">
        <x:v>2</x:v>
      </x:c>
      <x:c r="L42" s="23" t="n">
        <x:v>2</x:v>
      </x:c>
      <x:c r="M42" s="23" t="n">
        <x:v>8</x:v>
      </x:c>
      <x:c r="N42" s="29" t="str">
        <x:v>PASS</x:v>
      </x:c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23" t="str">
        <x:v>N1</x:v>
      </x:c>
      <x:c r="B43" s="23" t="str">
        <x:v>M-IWG</x:v>
      </x:c>
      <x:c r="C43" s="23" t="str">
        <x:v>Inland-waterway group</x:v>
      </x:c>
      <x:c r="D43" s="23" t="n">
        <x:v>1</x:v>
      </x:c>
      <x:c r="E43" s="23" t="n">
        <x:v>2</x:v>
      </x:c>
      <x:c r="F43" s="23" t="n">
        <x:v>1</x:v>
      </x:c>
      <x:c r="G43" s="23" t="n">
        <x:v>1</x:v>
      </x:c>
      <x:c r="H43" s="23" t="n">
        <x:v>0</x:v>
      </x:c>
      <x:c r="I43" s="23" t="n">
        <x:v>0</x:v>
      </x:c>
      <x:c r="J43" s="23" t="n">
        <x:v>0</x:v>
      </x:c>
      <x:c r="K43" s="23" t="n">
        <x:v>0</x:v>
      </x:c>
      <x:c r="L43" s="23" t="n">
        <x:v>1</x:v>
      </x:c>
      <x:c r="M43" s="23" t="n">
        <x:v>1</x:v>
      </x:c>
      <x:c r="N43" s="29" t="str">
        <x:v>PASS</x:v>
      </x:c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23" t="str">
        <x:v>N2</x:v>
      </x:c>
      <x:c r="B44" s="23" t="str">
        <x:v>M-IWG</x:v>
      </x:c>
      <x:c r="C44" s="23" t="str">
        <x:v>Inland-waterway group</x:v>
      </x:c>
      <x:c r="D44" s="23" t="n">
        <x:v>6</x:v>
      </x:c>
      <x:c r="E44" s="23" t="n">
        <x:v>8</x:v>
      </x:c>
      <x:c r="F44" s="23" t="n">
        <x:v>1</x:v>
      </x:c>
      <x:c r="G44" s="23" t="n">
        <x:v>2</x:v>
      </x:c>
      <x:c r="H44" s="23" t="n">
        <x:v>2</x:v>
      </x:c>
      <x:c r="I44" s="23" t="n">
        <x:v>1</x:v>
      </x:c>
      <x:c r="J44" s="23" t="n">
        <x:v>1</x:v>
      </x:c>
      <x:c r="K44" s="23" t="n">
        <x:v>1</x:v>
      </x:c>
      <x:c r="L44" s="23" t="n">
        <x:v>2</x:v>
      </x:c>
      <x:c r="M44" s="23" t="n">
        <x:v>6</x:v>
      </x:c>
      <x:c r="N44" s="29" t="str">
        <x:v>PASS</x:v>
      </x:c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23" t="str">
        <x:v>N1</x:v>
      </x:c>
      <x:c r="B45" s="23" t="str">
        <x:v>M-OSG</x:v>
      </x:c>
      <x:c r="C45" s="23" t="str">
        <x:v>Offshore-support group</x:v>
      </x:c>
      <x:c r="D45" s="23" t="n">
        <x:v>6</x:v>
      </x:c>
      <x:c r="E45" s="23" t="n">
        <x:v>8</x:v>
      </x:c>
      <x:c r="F45" s="23" t="n">
        <x:v>1</x:v>
      </x:c>
      <x:c r="G45" s="23" t="n">
        <x:v>1</x:v>
      </x:c>
      <x:c r="H45" s="23" t="n">
        <x:v>2</x:v>
      </x:c>
      <x:c r="I45" s="23" t="n">
        <x:v>2</x:v>
      </x:c>
      <x:c r="J45" s="23" t="n">
        <x:v>1</x:v>
      </x:c>
      <x:c r="K45" s="23" t="n">
        <x:v>1</x:v>
      </x:c>
      <x:c r="L45" s="23" t="n">
        <x:v>2</x:v>
      </x:c>
      <x:c r="M45" s="23" t="n">
        <x:v>6</x:v>
      </x:c>
      <x:c r="N45" s="29" t="str">
        <x:v>PASS</x:v>
      </x:c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23" t="str">
        <x:v>N2</x:v>
      </x:c>
      <x:c r="B46" s="23" t="str">
        <x:v>M-OSG</x:v>
      </x:c>
      <x:c r="C46" s="23" t="str">
        <x:v>Offshore-support group</x:v>
      </x:c>
      <x:c r="D46" s="23" t="n">
        <x:v>5</x:v>
      </x:c>
      <x:c r="E46" s="23" t="n">
        <x:v>6</x:v>
      </x:c>
      <x:c r="F46" s="23" t="n">
        <x:v>1</x:v>
      </x:c>
      <x:c r="G46" s="23" t="n">
        <x:v>1</x:v>
      </x:c>
      <x:c r="H46" s="23" t="n">
        <x:v>1</x:v>
      </x:c>
      <x:c r="I46" s="23" t="n">
        <x:v>1</x:v>
      </x:c>
      <x:c r="J46" s="23" t="n">
        <x:v>1</x:v>
      </x:c>
      <x:c r="K46" s="23" t="n">
        <x:v>1</x:v>
      </x:c>
      <x:c r="L46" s="23" t="n">
        <x:v>1</x:v>
      </x:c>
      <x:c r="M46" s="23" t="n">
        <x:v>5</x:v>
      </x:c>
      <x:c r="N46" s="29" t="str">
        <x:v>PASS</x:v>
      </x:c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23" t="str">
        <x:v>N1</x:v>
      </x:c>
      <x:c r="B47" s="23" t="str">
        <x:v>M-SSG</x:v>
      </x:c>
      <x:c r="C47" s="23" t="str">
        <x:v>Ocean sustainment group</x:v>
      </x:c>
      <x:c r="D47" s="23" t="n">
        <x:v>8</x:v>
      </x:c>
      <x:c r="E47" s="23" t="n">
        <x:v>10</x:v>
      </x:c>
      <x:c r="F47" s="23" t="n">
        <x:v>2</x:v>
      </x:c>
      <x:c r="G47" s="23" t="n">
        <x:v>2</x:v>
      </x:c>
      <x:c r="H47" s="23" t="n">
        <x:v>1</x:v>
      </x:c>
      <x:c r="I47" s="23" t="n">
        <x:v>1</x:v>
      </x:c>
      <x:c r="J47" s="23" t="n">
        <x:v>2</x:v>
      </x:c>
      <x:c r="K47" s="23" t="n">
        <x:v>2</x:v>
      </x:c>
      <x:c r="L47" s="23" t="n">
        <x:v>2</x:v>
      </x:c>
      <x:c r="M47" s="23" t="n">
        <x:v>8</x:v>
      </x:c>
      <x:c r="N47" s="29" t="str">
        <x:v>PASS</x:v>
      </x:c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23" t="str">
        <x:v>N2</x:v>
      </x:c>
      <x:c r="B48" s="23" t="str">
        <x:v>M-SSG</x:v>
      </x:c>
      <x:c r="C48" s="23" t="str">
        <x:v>Ocean sustainment group</x:v>
      </x:c>
      <x:c r="D48" s="23" t="n">
        <x:v>8</x:v>
      </x:c>
      <x:c r="E48" s="23" t="n">
        <x:v>10</x:v>
      </x:c>
      <x:c r="F48" s="23" t="n">
        <x:v>2</x:v>
      </x:c>
      <x:c r="G48" s="23" t="n">
        <x:v>2</x:v>
      </x:c>
      <x:c r="H48" s="23" t="n">
        <x:v>2</x:v>
      </x:c>
      <x:c r="I48" s="23" t="n">
        <x:v>1</x:v>
      </x:c>
      <x:c r="J48" s="23" t="n">
        <x:v>1</x:v>
      </x:c>
      <x:c r="K48" s="23" t="n">
        <x:v>2</x:v>
      </x:c>
      <x:c r="L48" s="23" t="n">
        <x:v>2</x:v>
      </x:c>
      <x:c r="M48" s="23" t="n">
        <x:v>8</x:v>
      </x:c>
      <x:c r="N48" s="29" t="str">
        <x:v>PASS</x:v>
      </x:c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23" t="str">
        <x:v>N1</x:v>
      </x:c>
      <x:c r="B49" s="23" t="str">
        <x:v>I-CUG</x:v>
      </x:c>
      <x:c r="C49" s="23" t="str">
        <x:v>Communications utility group</x:v>
      </x:c>
      <x:c r="D49" s="23" t="n">
        <x:v>8</x:v>
      </x:c>
      <x:c r="E49" s="23" t="n">
        <x:v>10</x:v>
      </x:c>
      <x:c r="F49" s="23" t="n">
        <x:v>2</x:v>
      </x:c>
      <x:c r="G49" s="23" t="n">
        <x:v>2</x:v>
      </x:c>
      <x:c r="H49" s="23" t="n">
        <x:v>2</x:v>
      </x:c>
      <x:c r="I49" s="23" t="n">
        <x:v>2</x:v>
      </x:c>
      <x:c r="J49" s="23" t="n">
        <x:v>1</x:v>
      </x:c>
      <x:c r="K49" s="23" t="n">
        <x:v>1</x:v>
      </x:c>
      <x:c r="L49" s="23" t="n">
        <x:v>2</x:v>
      </x:c>
      <x:c r="M49" s="23" t="n">
        <x:v>8</x:v>
      </x:c>
      <x:c r="N49" s="29" t="str">
        <x:v>PASS</x:v>
      </x:c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23" t="str">
        <x:v>N2</x:v>
      </x:c>
      <x:c r="B50" s="23" t="str">
        <x:v>I-CUG</x:v>
      </x:c>
      <x:c r="C50" s="23" t="str">
        <x:v>Communications utility group</x:v>
      </x:c>
      <x:c r="D50" s="23" t="n">
        <x:v>8</x:v>
      </x:c>
      <x:c r="E50" s="23" t="n">
        <x:v>10</x:v>
      </x:c>
      <x:c r="F50" s="23" t="n">
        <x:v>1</x:v>
      </x:c>
      <x:c r="G50" s="23" t="n">
        <x:v>2</x:v>
      </x:c>
      <x:c r="H50" s="23" t="n">
        <x:v>2</x:v>
      </x:c>
      <x:c r="I50" s="23" t="n">
        <x:v>2</x:v>
      </x:c>
      <x:c r="J50" s="23" t="n">
        <x:v>2</x:v>
      </x:c>
      <x:c r="K50" s="23" t="n">
        <x:v>1</x:v>
      </x:c>
      <x:c r="L50" s="23" t="n">
        <x:v>2</x:v>
      </x:c>
      <x:c r="M50" s="23" t="n">
        <x:v>8</x:v>
      </x:c>
      <x:c r="N50" s="29" t="str">
        <x:v>PASS</x:v>
      </x:c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23" t="str">
        <x:v>N1</x:v>
      </x:c>
      <x:c r="B51" s="23" t="str">
        <x:v>I-TSG</x:v>
      </x:c>
      <x:c r="C51" s="23" t="str">
        <x:v>Thermal safety group</x:v>
      </x:c>
      <x:c r="D51" s="23" t="n">
        <x:v>6</x:v>
      </x:c>
      <x:c r="E51" s="23" t="n">
        <x:v>8</x:v>
      </x:c>
      <x:c r="F51" s="23" t="n">
        <x:v>1</x:v>
      </x:c>
      <x:c r="G51" s="23" t="n">
        <x:v>1</x:v>
      </x:c>
      <x:c r="H51" s="23" t="n">
        <x:v>2</x:v>
      </x:c>
      <x:c r="I51" s="23" t="n">
        <x:v>2</x:v>
      </x:c>
      <x:c r="J51" s="23" t="n">
        <x:v>1</x:v>
      </x:c>
      <x:c r="K51" s="23" t="n">
        <x:v>1</x:v>
      </x:c>
      <x:c r="L51" s="23" t="n">
        <x:v>2</x:v>
      </x:c>
      <x:c r="M51" s="23" t="n">
        <x:v>6</x:v>
      </x:c>
      <x:c r="N51" s="29" t="str">
        <x:v>PASS</x:v>
      </x:c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23" t="str">
        <x:v>N2</x:v>
      </x:c>
      <x:c r="B52" s="23" t="str">
        <x:v>I-TSG</x:v>
      </x:c>
      <x:c r="C52" s="23" t="str">
        <x:v>Thermal safety group</x:v>
      </x:c>
      <x:c r="D52" s="23" t="n">
        <x:v>5</x:v>
      </x:c>
      <x:c r="E52" s="23" t="n">
        <x:v>6</x:v>
      </x:c>
      <x:c r="F52" s="23" t="n">
        <x:v>1</x:v>
      </x:c>
      <x:c r="G52" s="23" t="n">
        <x:v>1</x:v>
      </x:c>
      <x:c r="H52" s="23" t="n">
        <x:v>1</x:v>
      </x:c>
      <x:c r="I52" s="23" t="n">
        <x:v>1</x:v>
      </x:c>
      <x:c r="J52" s="23" t="n">
        <x:v>1</x:v>
      </x:c>
      <x:c r="K52" s="23" t="n">
        <x:v>1</x:v>
      </x:c>
      <x:c r="L52" s="23" t="n">
        <x:v>1</x:v>
      </x:c>
      <x:c r="M52" s="23" t="n">
        <x:v>5</x:v>
      </x:c>
      <x:c r="N52" s="29" t="str">
        <x:v>PASS</x:v>
      </x:c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23" t="str">
        <x:v>N1</x:v>
      </x:c>
      <x:c r="B53" s="23" t="str">
        <x:v>I-URG</x:v>
      </x:c>
      <x:c r="C53" s="23" t="str">
        <x:v>Utility reconstruction group</x:v>
      </x:c>
      <x:c r="D53" s="23" t="n">
        <x:v>10</x:v>
      </x:c>
      <x:c r="E53" s="23" t="n">
        <x:v>12</x:v>
      </x:c>
      <x:c r="F53" s="23" t="n">
        <x:v>2</x:v>
      </x:c>
      <x:c r="G53" s="23" t="n">
        <x:v>2</x:v>
      </x:c>
      <x:c r="H53" s="23" t="n">
        <x:v>2</x:v>
      </x:c>
      <x:c r="I53" s="23" t="n">
        <x:v>2</x:v>
      </x:c>
      <x:c r="J53" s="23" t="n">
        <x:v>2</x:v>
      </x:c>
      <x:c r="K53" s="23" t="n">
        <x:v>2</x:v>
      </x:c>
      <x:c r="L53" s="23" t="n">
        <x:v>2</x:v>
      </x:c>
      <x:c r="M53" s="23" t="n">
        <x:v>10</x:v>
      </x:c>
      <x:c r="N53" s="29" t="str">
        <x:v>PASS</x:v>
      </x:c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23" t="str">
        <x:v>N2</x:v>
      </x:c>
      <x:c r="B54" s="23" t="str">
        <x:v>I-URG</x:v>
      </x:c>
      <x:c r="C54" s="23" t="str">
        <x:v>Utility reconstruction group</x:v>
      </x:c>
      <x:c r="D54" s="23" t="n">
        <x:v>8</x:v>
      </x:c>
      <x:c r="E54" s="23" t="n">
        <x:v>10</x:v>
      </x:c>
      <x:c r="F54" s="23" t="n">
        <x:v>2</x:v>
      </x:c>
      <x:c r="G54" s="23" t="n">
        <x:v>2</x:v>
      </x:c>
      <x:c r="H54" s="23" t="n">
        <x:v>2</x:v>
      </x:c>
      <x:c r="I54" s="23" t="n">
        <x:v>1</x:v>
      </x:c>
      <x:c r="J54" s="23" t="n">
        <x:v>1</x:v>
      </x:c>
      <x:c r="K54" s="23" t="n">
        <x:v>2</x:v>
      </x:c>
      <x:c r="L54" s="23" t="n">
        <x:v>2</x:v>
      </x:c>
      <x:c r="M54" s="23" t="n">
        <x:v>8</x:v>
      </x:c>
      <x:c r="N54" s="29" t="str">
        <x:v>PASS</x:v>
      </x:c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23" t="str">
        <x:v>N1</x:v>
      </x:c>
      <x:c r="B55" s="23" t="str">
        <x:v>H-CHC</x:v>
      </x:c>
      <x:c r="C55" s="23" t="str">
        <x:v>Community health continuity group</x:v>
      </x:c>
      <x:c r="D55" s="23" t="n">
        <x:v>10</x:v>
      </x:c>
      <x:c r="E55" s="23" t="n">
        <x:v>12</x:v>
      </x:c>
      <x:c r="F55" s="23" t="n">
        <x:v>2</x:v>
      </x:c>
      <x:c r="G55" s="23" t="n">
        <x:v>2</x:v>
      </x:c>
      <x:c r="H55" s="23" t="n">
        <x:v>2</x:v>
      </x:c>
      <x:c r="I55" s="23" t="n">
        <x:v>2</x:v>
      </x:c>
      <x:c r="J55" s="23" t="n">
        <x:v>2</x:v>
      </x:c>
      <x:c r="K55" s="23" t="n">
        <x:v>2</x:v>
      </x:c>
      <x:c r="L55" s="23" t="n">
        <x:v>2</x:v>
      </x:c>
      <x:c r="M55" s="23" t="n">
        <x:v>10</x:v>
      </x:c>
      <x:c r="N55" s="29" t="str">
        <x:v>PASS</x:v>
      </x:c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23" t="str">
        <x:v>N2</x:v>
      </x:c>
      <x:c r="B56" s="23" t="str">
        <x:v>H-CHC</x:v>
      </x:c>
      <x:c r="C56" s="23" t="str">
        <x:v>Community health continuity group</x:v>
      </x:c>
      <x:c r="D56" s="23" t="n">
        <x:v>10</x:v>
      </x:c>
      <x:c r="E56" s="23" t="n">
        <x:v>12</x:v>
      </x:c>
      <x:c r="F56" s="23" t="n">
        <x:v>2</x:v>
      </x:c>
      <x:c r="G56" s="23" t="n">
        <x:v>2</x:v>
      </x:c>
      <x:c r="H56" s="23" t="n">
        <x:v>2</x:v>
      </x:c>
      <x:c r="I56" s="23" t="n">
        <x:v>2</x:v>
      </x:c>
      <x:c r="J56" s="23" t="n">
        <x:v>2</x:v>
      </x:c>
      <x:c r="K56" s="23" t="n">
        <x:v>2</x:v>
      </x:c>
      <x:c r="L56" s="23" t="n">
        <x:v>2</x:v>
      </x:c>
      <x:c r="M56" s="23" t="n">
        <x:v>10</x:v>
      </x:c>
      <x:c r="N56" s="29" t="str">
        <x:v>PASS</x:v>
      </x:c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23" t="str">
        <x:v>N1</x:v>
      </x:c>
      <x:c r="B57" s="23" t="str">
        <x:v>H-MAC</x:v>
      </x:c>
      <x:c r="C57" s="23" t="str">
        <x:v>Mobile acute-care group</x:v>
      </x:c>
      <x:c r="D57" s="23" t="n">
        <x:v>8</x:v>
      </x:c>
      <x:c r="E57" s="23" t="n">
        <x:v>10</x:v>
      </x:c>
      <x:c r="F57" s="23" t="n">
        <x:v>1</x:v>
      </x:c>
      <x:c r="G57" s="23" t="n">
        <x:v>1</x:v>
      </x:c>
      <x:c r="H57" s="23" t="n">
        <x:v>2</x:v>
      </x:c>
      <x:c r="I57" s="23" t="n">
        <x:v>2</x:v>
      </x:c>
      <x:c r="J57" s="23" t="n">
        <x:v>2</x:v>
      </x:c>
      <x:c r="K57" s="23" t="n">
        <x:v>2</x:v>
      </x:c>
      <x:c r="L57" s="23" t="n">
        <x:v>2</x:v>
      </x:c>
      <x:c r="M57" s="23" t="n">
        <x:v>8</x:v>
      </x:c>
      <x:c r="N57" s="29" t="str">
        <x:v>PASS</x:v>
      </x:c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23" t="str">
        <x:v>N2</x:v>
      </x:c>
      <x:c r="B58" s="23" t="str">
        <x:v>H-MAC</x:v>
      </x:c>
      <x:c r="C58" s="23" t="str">
        <x:v>Mobile acute-care group</x:v>
      </x:c>
      <x:c r="D58" s="23" t="n">
        <x:v>6</x:v>
      </x:c>
      <x:c r="E58" s="23" t="n">
        <x:v>8</x:v>
      </x:c>
      <x:c r="F58" s="23" t="n">
        <x:v>1</x:v>
      </x:c>
      <x:c r="G58" s="23" t="n">
        <x:v>1</x:v>
      </x:c>
      <x:c r="H58" s="23" t="n">
        <x:v>1</x:v>
      </x:c>
      <x:c r="I58" s="23" t="n">
        <x:v>2</x:v>
      </x:c>
      <x:c r="J58" s="23" t="n">
        <x:v>2</x:v>
      </x:c>
      <x:c r="K58" s="23" t="n">
        <x:v>1</x:v>
      </x:c>
      <x:c r="L58" s="23" t="n">
        <x:v>2</x:v>
      </x:c>
      <x:c r="M58" s="23" t="n">
        <x:v>6</x:v>
      </x:c>
      <x:c r="N58" s="29" t="str">
        <x:v>PASS</x:v>
      </x:c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23" t="str">
        <x:v>N1</x:v>
      </x:c>
      <x:c r="B59" s="23" t="str">
        <x:v>H-PHC</x:v>
      </x:c>
      <x:c r="C59" s="23" t="str">
        <x:v>Public-health control group</x:v>
      </x:c>
      <x:c r="D59" s="23" t="n">
        <x:v>6</x:v>
      </x:c>
      <x:c r="E59" s="23" t="n">
        <x:v>8</x:v>
      </x:c>
      <x:c r="F59" s="23" t="n">
        <x:v>1</x:v>
      </x:c>
      <x:c r="G59" s="23" t="n">
        <x:v>1</x:v>
      </x:c>
      <x:c r="H59" s="23" t="n">
        <x:v>1</x:v>
      </x:c>
      <x:c r="I59" s="23" t="n">
        <x:v>1</x:v>
      </x:c>
      <x:c r="J59" s="23" t="n">
        <x:v>2</x:v>
      </x:c>
      <x:c r="K59" s="23" t="n">
        <x:v>2</x:v>
      </x:c>
      <x:c r="L59" s="23" t="n">
        <x:v>2</x:v>
      </x:c>
      <x:c r="M59" s="23" t="n">
        <x:v>6</x:v>
      </x:c>
      <x:c r="N59" s="29" t="str">
        <x:v>PASS</x:v>
      </x:c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23" t="str">
        <x:v>N2</x:v>
      </x:c>
      <x:c r="B60" s="23" t="str">
        <x:v>H-PHC</x:v>
      </x:c>
      <x:c r="C60" s="23" t="str">
        <x:v>Public-health control group</x:v>
      </x:c>
      <x:c r="D60" s="23" t="n">
        <x:v>6</x:v>
      </x:c>
      <x:c r="E60" s="23" t="n">
        <x:v>8</x:v>
      </x:c>
      <x:c r="F60" s="23" t="n">
        <x:v>2</x:v>
      </x:c>
      <x:c r="G60" s="23" t="n">
        <x:v>1</x:v>
      </x:c>
      <x:c r="H60" s="23" t="n">
        <x:v>1</x:v>
      </x:c>
      <x:c r="I60" s="23" t="n">
        <x:v>1</x:v>
      </x:c>
      <x:c r="J60" s="23" t="n">
        <x:v>1</x:v>
      </x:c>
      <x:c r="K60" s="23" t="n">
        <x:v>2</x:v>
      </x:c>
      <x:c r="L60" s="23" t="n">
        <x:v>2</x:v>
      </x:c>
      <x:c r="M60" s="23" t="n">
        <x:v>6</x:v>
      </x:c>
      <x:c r="N60" s="29" t="str">
        <x:v>PASS</x:v>
      </x:c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23" t="str">
        <x:v>N1</x:v>
      </x:c>
      <x:c r="B61" s="23" t="str">
        <x:v>H-HWR</x:v>
      </x:c>
      <x:c r="C61" s="23" t="str">
        <x:v>Health workforce replacement group</x:v>
      </x:c>
      <x:c r="D61" s="23" t="n">
        <x:v>10</x:v>
      </x:c>
      <x:c r="E61" s="23" t="n">
        <x:v>12</x:v>
      </x:c>
      <x:c r="F61" s="23" t="n">
        <x:v>2</x:v>
      </x:c>
      <x:c r="G61" s="23" t="n">
        <x:v>2</x:v>
      </x:c>
      <x:c r="H61" s="23" t="n">
        <x:v>2</x:v>
      </x:c>
      <x:c r="I61" s="23" t="n">
        <x:v>2</x:v>
      </x:c>
      <x:c r="J61" s="23" t="n">
        <x:v>2</x:v>
      </x:c>
      <x:c r="K61" s="23" t="n">
        <x:v>2</x:v>
      </x:c>
      <x:c r="L61" s="23" t="n">
        <x:v>2</x:v>
      </x:c>
      <x:c r="M61" s="23" t="n">
        <x:v>10</x:v>
      </x:c>
      <x:c r="N61" s="29" t="str">
        <x:v>PASS</x:v>
      </x:c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23" t="str">
        <x:v>N2</x:v>
      </x:c>
      <x:c r="B62" s="23" t="str">
        <x:v>H-HWR</x:v>
      </x:c>
      <x:c r="C62" s="23" t="str">
        <x:v>Health workforce replacement group</x:v>
      </x:c>
      <x:c r="D62" s="23" t="n">
        <x:v>10</x:v>
      </x:c>
      <x:c r="E62" s="23" t="n">
        <x:v>12</x:v>
      </x:c>
      <x:c r="F62" s="23" t="n">
        <x:v>2</x:v>
      </x:c>
      <x:c r="G62" s="23" t="n">
        <x:v>2</x:v>
      </x:c>
      <x:c r="H62" s="23" t="n">
        <x:v>2</x:v>
      </x:c>
      <x:c r="I62" s="23" t="n">
        <x:v>2</x:v>
      </x:c>
      <x:c r="J62" s="23" t="n">
        <x:v>2</x:v>
      </x:c>
      <x:c r="K62" s="23" t="n">
        <x:v>2</x:v>
      </x:c>
      <x:c r="L62" s="23" t="n">
        <x:v>2</x:v>
      </x:c>
      <x:c r="M62" s="23" t="n">
        <x:v>10</x:v>
      </x:c>
      <x:c r="N62" s="29" t="str">
        <x:v>PASS</x:v>
      </x:c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23" t="str">
        <x:v>N1</x:v>
      </x:c>
      <x:c r="B63" s="23" t="str">
        <x:v>C-PSG</x:v>
      </x:c>
      <x:c r="C63" s="23" t="str">
        <x:v>Population support group</x:v>
      </x:c>
      <x:c r="D63" s="23" t="n">
        <x:v>14</x:v>
      </x:c>
      <x:c r="E63" s="23" t="n">
        <x:v>17</x:v>
      </x:c>
      <x:c r="F63" s="23" t="n">
        <x:v>3</x:v>
      </x:c>
      <x:c r="G63" s="23" t="n">
        <x:v>2</x:v>
      </x:c>
      <x:c r="H63" s="23" t="n">
        <x:v>3</x:v>
      </x:c>
      <x:c r="I63" s="23" t="n">
        <x:v>3</x:v>
      </x:c>
      <x:c r="J63" s="23" t="n">
        <x:v>3</x:v>
      </x:c>
      <x:c r="K63" s="23" t="n">
        <x:v>3</x:v>
      </x:c>
      <x:c r="L63" s="23" t="n">
        <x:v>3</x:v>
      </x:c>
      <x:c r="M63" s="23" t="n">
        <x:v>14</x:v>
      </x:c>
      <x:c r="N63" s="29" t="str">
        <x:v>PASS</x:v>
      </x:c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23" t="str">
        <x:v>N2</x:v>
      </x:c>
      <x:c r="B64" s="23" t="str">
        <x:v>C-PSG</x:v>
      </x:c>
      <x:c r="C64" s="23" t="str">
        <x:v>Population support group</x:v>
      </x:c>
      <x:c r="D64" s="23" t="n">
        <x:v>16</x:v>
      </x:c>
      <x:c r="E64" s="23" t="n">
        <x:v>20</x:v>
      </x:c>
      <x:c r="F64" s="23" t="n">
        <x:v>3</x:v>
      </x:c>
      <x:c r="G64" s="23" t="n">
        <x:v>3</x:v>
      </x:c>
      <x:c r="H64" s="23" t="n">
        <x:v>3</x:v>
      </x:c>
      <x:c r="I64" s="23" t="n">
        <x:v>4</x:v>
      </x:c>
      <x:c r="J64" s="23" t="n">
        <x:v>4</x:v>
      </x:c>
      <x:c r="K64" s="23" t="n">
        <x:v>3</x:v>
      </x:c>
      <x:c r="L64" s="23" t="n">
        <x:v>4</x:v>
      </x:c>
      <x:c r="M64" s="23" t="n">
        <x:v>16</x:v>
      </x:c>
      <x:c r="N64" s="29" t="str">
        <x:v>PASS</x:v>
      </x:c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23" t="str">
        <x:v>N1</x:v>
      </x:c>
      <x:c r="B65" s="23" t="str">
        <x:v>C-EGG</x:v>
      </x:c>
      <x:c r="C65" s="23" t="str">
        <x:v>Essential-goods group</x:v>
      </x:c>
      <x:c r="D65" s="23" t="n">
        <x:v>14</x:v>
      </x:c>
      <x:c r="E65" s="23" t="n">
        <x:v>17</x:v>
      </x:c>
      <x:c r="F65" s="23" t="n">
        <x:v>3</x:v>
      </x:c>
      <x:c r="G65" s="23" t="n">
        <x:v>3</x:v>
      </x:c>
      <x:c r="H65" s="23" t="n">
        <x:v>3</x:v>
      </x:c>
      <x:c r="I65" s="23" t="n">
        <x:v>2</x:v>
      </x:c>
      <x:c r="J65" s="23" t="n">
        <x:v>3</x:v>
      </x:c>
      <x:c r="K65" s="23" t="n">
        <x:v>3</x:v>
      </x:c>
      <x:c r="L65" s="23" t="n">
        <x:v>3</x:v>
      </x:c>
      <x:c r="M65" s="23" t="n">
        <x:v>14</x:v>
      </x:c>
      <x:c r="N65" s="29" t="str">
        <x:v>PASS</x:v>
      </x:c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23" t="str">
        <x:v>N2</x:v>
      </x:c>
      <x:c r="B66" s="23" t="str">
        <x:v>C-EGG</x:v>
      </x:c>
      <x:c r="C66" s="23" t="str">
        <x:v>Essential-goods group</x:v>
      </x:c>
      <x:c r="D66" s="23" t="n">
        <x:v>16</x:v>
      </x:c>
      <x:c r="E66" s="23" t="n">
        <x:v>20</x:v>
      </x:c>
      <x:c r="F66" s="23" t="n">
        <x:v>4</x:v>
      </x:c>
      <x:c r="G66" s="23" t="n">
        <x:v>3</x:v>
      </x:c>
      <x:c r="H66" s="23" t="n">
        <x:v>3</x:v>
      </x:c>
      <x:c r="I66" s="23" t="n">
        <x:v>3</x:v>
      </x:c>
      <x:c r="J66" s="23" t="n">
        <x:v>3</x:v>
      </x:c>
      <x:c r="K66" s="23" t="n">
        <x:v>4</x:v>
      </x:c>
      <x:c r="L66" s="23" t="n">
        <x:v>4</x:v>
      </x:c>
      <x:c r="M66" s="23" t="n">
        <x:v>16</x:v>
      </x:c>
      <x:c r="N66" s="29" t="str">
        <x:v>PASS</x:v>
      </x:c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23" t="str">
        <x:v>N1</x:v>
      </x:c>
      <x:c r="B67" s="23" t="str">
        <x:v>C-CAG</x:v>
      </x:c>
      <x:c r="C67" s="23" t="str">
        <x:v>Civil access group</x:v>
      </x:c>
      <x:c r="D67" s="23" t="n">
        <x:v>10</x:v>
      </x:c>
      <x:c r="E67" s="23" t="n">
        <x:v>12</x:v>
      </x:c>
      <x:c r="F67" s="23" t="n">
        <x:v>2</x:v>
      </x:c>
      <x:c r="G67" s="23" t="n">
        <x:v>2</x:v>
      </x:c>
      <x:c r="H67" s="23" t="n">
        <x:v>2</x:v>
      </x:c>
      <x:c r="I67" s="23" t="n">
        <x:v>2</x:v>
      </x:c>
      <x:c r="J67" s="23" t="n">
        <x:v>2</x:v>
      </x:c>
      <x:c r="K67" s="23" t="n">
        <x:v>2</x:v>
      </x:c>
      <x:c r="L67" s="23" t="n">
        <x:v>2</x:v>
      </x:c>
      <x:c r="M67" s="23" t="n">
        <x:v>10</x:v>
      </x:c>
      <x:c r="N67" s="29" t="str">
        <x:v>PASS</x:v>
      </x:c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23" t="str">
        <x:v>N2</x:v>
      </x:c>
      <x:c r="B68" s="23" t="str">
        <x:v>C-CAG</x:v>
      </x:c>
      <x:c r="C68" s="23" t="str">
        <x:v>Civil access group</x:v>
      </x:c>
      <x:c r="D68" s="23" t="n">
        <x:v>12</x:v>
      </x:c>
      <x:c r="E68" s="23" t="n">
        <x:v>15</x:v>
      </x:c>
      <x:c r="F68" s="23" t="n">
        <x:v>2</x:v>
      </x:c>
      <x:c r="G68" s="23" t="n">
        <x:v>3</x:v>
      </x:c>
      <x:c r="H68" s="23" t="n">
        <x:v>3</x:v>
      </x:c>
      <x:c r="I68" s="23" t="n">
        <x:v>3</x:v>
      </x:c>
      <x:c r="J68" s="23" t="n">
        <x:v>2</x:v>
      </x:c>
      <x:c r="K68" s="23" t="n">
        <x:v>2</x:v>
      </x:c>
      <x:c r="L68" s="23" t="n">
        <x:v>3</x:v>
      </x:c>
      <x:c r="M68" s="23" t="n">
        <x:v>12</x:v>
      </x:c>
      <x:c r="N68" s="29" t="str">
        <x:v>PASS</x:v>
      </x:c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23" t="str">
        <x:v>N1</x:v>
      </x:c>
      <x:c r="B69" s="23" t="str">
        <x:v>C-DTG</x:v>
      </x:c>
      <x:c r="C69" s="23" t="str">
        <x:v>Displacement transition group</x:v>
      </x:c>
      <x:c r="D69" s="23" t="n">
        <x:v>10</x:v>
      </x:c>
      <x:c r="E69" s="23" t="n">
        <x:v>12</x:v>
      </x:c>
      <x:c r="F69" s="23" t="n">
        <x:v>2</x:v>
      </x:c>
      <x:c r="G69" s="23" t="n">
        <x:v>2</x:v>
      </x:c>
      <x:c r="H69" s="23" t="n">
        <x:v>2</x:v>
      </x:c>
      <x:c r="I69" s="23" t="n">
        <x:v>2</x:v>
      </x:c>
      <x:c r="J69" s="23" t="n">
        <x:v>2</x:v>
      </x:c>
      <x:c r="K69" s="23" t="n">
        <x:v>2</x:v>
      </x:c>
      <x:c r="L69" s="23" t="n">
        <x:v>2</x:v>
      </x:c>
      <x:c r="M69" s="23" t="n">
        <x:v>10</x:v>
      </x:c>
      <x:c r="N69" s="29" t="str">
        <x:v>PASS</x:v>
      </x:c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23" t="str">
        <x:v>N2</x:v>
      </x:c>
      <x:c r="B70" s="23" t="str">
        <x:v>C-DTG</x:v>
      </x:c>
      <x:c r="C70" s="23" t="str">
        <x:v>Displacement transition group</x:v>
      </x:c>
      <x:c r="D70" s="23" t="n">
        <x:v>14</x:v>
      </x:c>
      <x:c r="E70" s="23" t="n">
        <x:v>17</x:v>
      </x:c>
      <x:c r="F70" s="23" t="n">
        <x:v>3</x:v>
      </x:c>
      <x:c r="G70" s="23" t="n">
        <x:v>3</x:v>
      </x:c>
      <x:c r="H70" s="23" t="n">
        <x:v>2</x:v>
      </x:c>
      <x:c r="I70" s="23" t="n">
        <x:v>3</x:v>
      </x:c>
      <x:c r="J70" s="23" t="n">
        <x:v>3</x:v>
      </x:c>
      <x:c r="K70" s="23" t="n">
        <x:v>3</x:v>
      </x:c>
      <x:c r="L70" s="23" t="n">
        <x:v>3</x:v>
      </x:c>
      <x:c r="M70" s="23" t="n">
        <x:v>14</x:v>
      </x:c>
      <x:c r="N70" s="29" t="str">
        <x:v>PASS</x:v>
      </x:c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23" t="str">
        <x:v>N1</x:v>
      </x:c>
      <x:c r="B71" s="23" t="str">
        <x:v>C-CIG</x:v>
      </x:c>
      <x:c r="C71" s="23" t="str">
        <x:v>Community institutions group</x:v>
      </x:c>
      <x:c r="D71" s="23" t="n">
        <x:v>8</x:v>
      </x:c>
      <x:c r="E71" s="23" t="n">
        <x:v>10</x:v>
      </x:c>
      <x:c r="F71" s="23" t="n">
        <x:v>2</x:v>
      </x:c>
      <x:c r="G71" s="23" t="n">
        <x:v>2</x:v>
      </x:c>
      <x:c r="H71" s="23" t="n">
        <x:v>1</x:v>
      </x:c>
      <x:c r="I71" s="23" t="n">
        <x:v>1</x:v>
      </x:c>
      <x:c r="J71" s="23" t="n">
        <x:v>2</x:v>
      </x:c>
      <x:c r="K71" s="23" t="n">
        <x:v>2</x:v>
      </x:c>
      <x:c r="L71" s="23" t="n">
        <x:v>2</x:v>
      </x:c>
      <x:c r="M71" s="23" t="n">
        <x:v>8</x:v>
      </x:c>
      <x:c r="N71" s="29" t="str">
        <x:v>PASS</x:v>
      </x:c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23" t="str">
        <x:v>N2</x:v>
      </x:c>
      <x:c r="B72" s="23" t="str">
        <x:v>C-CIG</x:v>
      </x:c>
      <x:c r="C72" s="23" t="str">
        <x:v>Community institutions group</x:v>
      </x:c>
      <x:c r="D72" s="23" t="n">
        <x:v>10</x:v>
      </x:c>
      <x:c r="E72" s="23" t="n">
        <x:v>12</x:v>
      </x:c>
      <x:c r="F72" s="23" t="n">
        <x:v>2</x:v>
      </x:c>
      <x:c r="G72" s="23" t="n">
        <x:v>2</x:v>
      </x:c>
      <x:c r="H72" s="23" t="n">
        <x:v>2</x:v>
      </x:c>
      <x:c r="I72" s="23" t="n">
        <x:v>2</x:v>
      </x:c>
      <x:c r="J72" s="23" t="n">
        <x:v>2</x:v>
      </x:c>
      <x:c r="K72" s="23" t="n">
        <x:v>2</x:v>
      </x:c>
      <x:c r="L72" s="23" t="n">
        <x:v>2</x:v>
      </x:c>
      <x:c r="M72" s="23" t="n">
        <x:v>10</x:v>
      </x:c>
      <x:c r="N72" s="29" t="str">
        <x:v>PASS</x:v>
      </x:c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23" t="str">
        <x:v>N1</x:v>
      </x:c>
      <x:c r="B73" s="23" t="str">
        <x:v>J-RIG</x:v>
      </x:c>
      <x:c r="C73" s="23" t="str">
        <x:v>Resilience information group</x:v>
      </x:c>
      <x:c r="D73" s="23" t="n">
        <x:v>8</x:v>
      </x:c>
      <x:c r="E73" s="23" t="n">
        <x:v>10</x:v>
      </x:c>
      <x:c r="F73" s="23" t="n">
        <x:v>2</x:v>
      </x:c>
      <x:c r="G73" s="23" t="n">
        <x:v>2</x:v>
      </x:c>
      <x:c r="H73" s="23" t="n">
        <x:v>2</x:v>
      </x:c>
      <x:c r="I73" s="23" t="n">
        <x:v>2</x:v>
      </x:c>
      <x:c r="J73" s="23" t="n">
        <x:v>1</x:v>
      </x:c>
      <x:c r="K73" s="23" t="n">
        <x:v>1</x:v>
      </x:c>
      <x:c r="L73" s="23" t="n">
        <x:v>2</x:v>
      </x:c>
      <x:c r="M73" s="23" t="n">
        <x:v>8</x:v>
      </x:c>
      <x:c r="N73" s="29" t="str">
        <x:v>PASS</x:v>
      </x:c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23" t="str">
        <x:v>N2</x:v>
      </x:c>
      <x:c r="B74" s="23" t="str">
        <x:v>J-RIG</x:v>
      </x:c>
      <x:c r="C74" s="23" t="str">
        <x:v>Resilience information group</x:v>
      </x:c>
      <x:c r="D74" s="23" t="n">
        <x:v>8</x:v>
      </x:c>
      <x:c r="E74" s="23" t="n">
        <x:v>10</x:v>
      </x:c>
      <x:c r="F74" s="23" t="n">
        <x:v>1</x:v>
      </x:c>
      <x:c r="G74" s="23" t="n">
        <x:v>2</x:v>
      </x:c>
      <x:c r="H74" s="23" t="n">
        <x:v>2</x:v>
      </x:c>
      <x:c r="I74" s="23" t="n">
        <x:v>2</x:v>
      </x:c>
      <x:c r="J74" s="23" t="n">
        <x:v>2</x:v>
      </x:c>
      <x:c r="K74" s="23" t="n">
        <x:v>1</x:v>
      </x:c>
      <x:c r="L74" s="23" t="n">
        <x:v>2</x:v>
      </x:c>
      <x:c r="M74" s="23" t="n">
        <x:v>8</x:v>
      </x:c>
      <x:c r="N74" s="29" t="str">
        <x:v>PASS</x:v>
      </x:c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23" t="str">
        <x:v>N1</x:v>
      </x:c>
      <x:c r="B75" s="23" t="str">
        <x:v>M-MPG</x:v>
      </x:c>
      <x:c r="C75" s="23" t="str">
        <x:v>Maritime production group</x:v>
      </x:c>
      <x:c r="D75" s="23" t="n">
        <x:v>4</x:v>
      </x:c>
      <x:c r="E75" s="23" t="n">
        <x:v>5</x:v>
      </x:c>
      <x:c r="F75" s="23" t="n">
        <x:v>1</x:v>
      </x:c>
      <x:c r="G75" s="23" t="n">
        <x:v>0</x:v>
      </x:c>
      <x:c r="H75" s="23" t="n">
        <x:v>1</x:v>
      </x:c>
      <x:c r="I75" s="23" t="n">
        <x:v>1</x:v>
      </x:c>
      <x:c r="J75" s="23" t="n">
        <x:v>1</x:v>
      </x:c>
      <x:c r="K75" s="23" t="n">
        <x:v>1</x:v>
      </x:c>
      <x:c r="L75" s="23" t="n">
        <x:v>1</x:v>
      </x:c>
      <x:c r="M75" s="23" t="n">
        <x:v>4</x:v>
      </x:c>
      <x:c r="N75" s="29" t="str">
        <x:v>PASS</x:v>
      </x:c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23" t="str">
        <x:v>N2</x:v>
      </x:c>
      <x:c r="B76" s="23" t="str">
        <x:v>M-MPG</x:v>
      </x:c>
      <x:c r="C76" s="23" t="str">
        <x:v>Maritime production group</x:v>
      </x:c>
      <x:c r="D76" s="23" t="n">
        <x:v>4</x:v>
      </x:c>
      <x:c r="E76" s="23" t="n">
        <x:v>5</x:v>
      </x:c>
      <x:c r="F76" s="23" t="n">
        <x:v>1</x:v>
      </x:c>
      <x:c r="G76" s="23" t="n">
        <x:v>1</x:v>
      </x:c>
      <x:c r="H76" s="23" t="n">
        <x:v>0</x:v>
      </x:c>
      <x:c r="I76" s="23" t="n">
        <x:v>1</x:v>
      </x:c>
      <x:c r="J76" s="23" t="n">
        <x:v>1</x:v>
      </x:c>
      <x:c r="K76" s="23" t="n">
        <x:v>1</x:v>
      </x:c>
      <x:c r="L76" s="23" t="n">
        <x:v>1</x:v>
      </x:c>
      <x:c r="M76" s="23" t="n">
        <x:v>4</x:v>
      </x:c>
      <x:c r="N76" s="29" t="str">
        <x:v>PASS</x:v>
      </x:c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23" t="str">
        <x:v>N1</x:v>
      </x:c>
      <x:c r="B77" s="23" t="str">
        <x:v>I-WRG</x:v>
      </x:c>
      <x:c r="C77" s="23" t="str">
        <x:v>Water restoration group</x:v>
      </x:c>
      <x:c r="D77" s="23" t="n">
        <x:v>8</x:v>
      </x:c>
      <x:c r="E77" s="23" t="n">
        <x:v>10</x:v>
      </x:c>
      <x:c r="F77" s="23" t="n">
        <x:v>2</x:v>
      </x:c>
      <x:c r="G77" s="23" t="n">
        <x:v>2</x:v>
      </x:c>
      <x:c r="H77" s="23" t="n">
        <x:v>1</x:v>
      </x:c>
      <x:c r="I77" s="23" t="n">
        <x:v>1</x:v>
      </x:c>
      <x:c r="J77" s="23" t="n">
        <x:v>2</x:v>
      </x:c>
      <x:c r="K77" s="23" t="n">
        <x:v>2</x:v>
      </x:c>
      <x:c r="L77" s="23" t="n">
        <x:v>2</x:v>
      </x:c>
      <x:c r="M77" s="23" t="n">
        <x:v>8</x:v>
      </x:c>
      <x:c r="N77" s="29" t="str">
        <x:v>PASS</x:v>
      </x:c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23" t="str">
        <x:v>N2</x:v>
      </x:c>
      <x:c r="B78" s="23" t="str">
        <x:v>I-WRG</x:v>
      </x:c>
      <x:c r="C78" s="23" t="str">
        <x:v>Water restoration group</x:v>
      </x:c>
      <x:c r="D78" s="23" t="n">
        <x:v>7</x:v>
      </x:c>
      <x:c r="E78" s="23" t="n">
        <x:v>9</x:v>
      </x:c>
      <x:c r="F78" s="23" t="n">
        <x:v>2</x:v>
      </x:c>
      <x:c r="G78" s="23" t="n">
        <x:v>2</x:v>
      </x:c>
      <x:c r="H78" s="23" t="n">
        <x:v>1</x:v>
      </x:c>
      <x:c r="I78" s="23" t="n">
        <x:v>1</x:v>
      </x:c>
      <x:c r="J78" s="23" t="n">
        <x:v>1</x:v>
      </x:c>
      <x:c r="K78" s="23" t="n">
        <x:v>2</x:v>
      </x:c>
      <x:c r="L78" s="23" t="n">
        <x:v>2</x:v>
      </x:c>
      <x:c r="M78" s="23" t="n">
        <x:v>7</x:v>
      </x:c>
      <x:c r="N78" s="29" t="str">
        <x:v>PASS</x:v>
      </x:c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23" t="str">
        <x:v>N1</x:v>
      </x:c>
      <x:c r="B79" s="23" t="str">
        <x:v>I-PRG</x:v>
      </x:c>
      <x:c r="C79" s="23" t="str">
        <x:v>Power restoration group</x:v>
      </x:c>
      <x:c r="D79" s="23" t="n">
        <x:v>8</x:v>
      </x:c>
      <x:c r="E79" s="23" t="n">
        <x:v>10</x:v>
      </x:c>
      <x:c r="F79" s="23" t="n">
        <x:v>2</x:v>
      </x:c>
      <x:c r="G79" s="23" t="n">
        <x:v>2</x:v>
      </x:c>
      <x:c r="H79" s="23" t="n">
        <x:v>2</x:v>
      </x:c>
      <x:c r="I79" s="23" t="n">
        <x:v>2</x:v>
      </x:c>
      <x:c r="J79" s="23" t="n">
        <x:v>1</x:v>
      </x:c>
      <x:c r="K79" s="23" t="n">
        <x:v>1</x:v>
      </x:c>
      <x:c r="L79" s="23" t="n">
        <x:v>2</x:v>
      </x:c>
      <x:c r="M79" s="23" t="n">
        <x:v>8</x:v>
      </x:c>
      <x:c r="N79" s="29" t="str">
        <x:v>PASS</x:v>
      </x:c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23" t="str">
        <x:v>N2</x:v>
      </x:c>
      <x:c r="B80" s="23" t="str">
        <x:v>I-PRG</x:v>
      </x:c>
      <x:c r="C80" s="23" t="str">
        <x:v>Power restoration group</x:v>
      </x:c>
      <x:c r="D80" s="23" t="n">
        <x:v>7</x:v>
      </x:c>
      <x:c r="E80" s="23" t="n">
        <x:v>9</x:v>
      </x:c>
      <x:c r="F80" s="23" t="n">
        <x:v>1</x:v>
      </x:c>
      <x:c r="G80" s="23" t="n">
        <x:v>2</x:v>
      </x:c>
      <x:c r="H80" s="23" t="n">
        <x:v>2</x:v>
      </x:c>
      <x:c r="I80" s="23" t="n">
        <x:v>2</x:v>
      </x:c>
      <x:c r="J80" s="23" t="n">
        <x:v>1</x:v>
      </x:c>
      <x:c r="K80" s="23" t="n">
        <x:v>1</x:v>
      </x:c>
      <x:c r="L80" s="23" t="n">
        <x:v>2</x:v>
      </x:c>
      <x:c r="M80" s="23" t="n">
        <x:v>7</x:v>
      </x:c>
      <x:c r="N80" s="29" t="str">
        <x:v>PASS</x:v>
      </x:c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23" t="str">
        <x:v>N1</x:v>
      </x:c>
      <x:c r="B81" s="23" t="str">
        <x:v>I-GBG</x:v>
      </x:c>
      <x:c r="C81" s="23" t="str">
        <x:v>Grid bridge group</x:v>
      </x:c>
      <x:c r="D81" s="23" t="n">
        <x:v>6</x:v>
      </x:c>
      <x:c r="E81" s="23" t="n">
        <x:v>8</x:v>
      </x:c>
      <x:c r="F81" s="23" t="n">
        <x:v>1</x:v>
      </x:c>
      <x:c r="G81" s="23" t="n">
        <x:v>1</x:v>
      </x:c>
      <x:c r="H81" s="23" t="n">
        <x:v>2</x:v>
      </x:c>
      <x:c r="I81" s="23" t="n">
        <x:v>2</x:v>
      </x:c>
      <x:c r="J81" s="23" t="n">
        <x:v>1</x:v>
      </x:c>
      <x:c r="K81" s="23" t="n">
        <x:v>1</x:v>
      </x:c>
      <x:c r="L81" s="23" t="n">
        <x:v>2</x:v>
      </x:c>
      <x:c r="M81" s="23" t="n">
        <x:v>6</x:v>
      </x:c>
      <x:c r="N81" s="29" t="str">
        <x:v>PASS</x:v>
      </x:c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23" t="str">
        <x:v>N2</x:v>
      </x:c>
      <x:c r="B82" s="23" t="str">
        <x:v>I-GBG</x:v>
      </x:c>
      <x:c r="C82" s="23" t="str">
        <x:v>Grid bridge group</x:v>
      </x:c>
      <x:c r="D82" s="23" t="n">
        <x:v>5</x:v>
      </x:c>
      <x:c r="E82" s="23" t="n">
        <x:v>6</x:v>
      </x:c>
      <x:c r="F82" s="23" t="n">
        <x:v>1</x:v>
      </x:c>
      <x:c r="G82" s="23" t="n">
        <x:v>1</x:v>
      </x:c>
      <x:c r="H82" s="23" t="n">
        <x:v>1</x:v>
      </x:c>
      <x:c r="I82" s="23" t="n">
        <x:v>1</x:v>
      </x:c>
      <x:c r="J82" s="23" t="n">
        <x:v>1</x:v>
      </x:c>
      <x:c r="K82" s="23" t="n">
        <x:v>1</x:v>
      </x:c>
      <x:c r="L82" s="23" t="n">
        <x:v>1</x:v>
      </x:c>
      <x:c r="M82" s="23" t="n">
        <x:v>5</x:v>
      </x:c>
      <x:c r="N82" s="29" t="str">
        <x:v>PASS</x:v>
      </x:c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23" t="str">
        <x:v>N1</x:v>
      </x:c>
      <x:c r="B83" s="23" t="str">
        <x:v>H-THC</x:v>
      </x:c>
      <x:c r="C83" s="23" t="str">
        <x:v>Theater hospital command</x:v>
      </x:c>
      <x:c r="D83" s="23" t="n">
        <x:v>4</x:v>
      </x:c>
      <x:c r="E83" s="23" t="n">
        <x:v>5</x:v>
      </x:c>
      <x:c r="F83" s="23" t="n">
        <x:v>1</x:v>
      </x:c>
      <x:c r="G83" s="23" t="n">
        <x:v>1</x:v>
      </x:c>
      <x:c r="H83" s="23" t="n">
        <x:v>1</x:v>
      </x:c>
      <x:c r="I83" s="23" t="n">
        <x:v>0</x:v>
      </x:c>
      <x:c r="J83" s="23" t="n">
        <x:v>1</x:v>
      </x:c>
      <x:c r="K83" s="23" t="n">
        <x:v>1</x:v>
      </x:c>
      <x:c r="L83" s="23" t="n">
        <x:v>1</x:v>
      </x:c>
      <x:c r="M83" s="23" t="n">
        <x:v>4</x:v>
      </x:c>
      <x:c r="N83" s="29" t="str">
        <x:v>PASS</x:v>
      </x:c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23" t="str">
        <x:v>N2</x:v>
      </x:c>
      <x:c r="B84" s="23" t="str">
        <x:v>H-THC</x:v>
      </x:c>
      <x:c r="C84" s="23" t="str">
        <x:v>Theater hospital command</x:v>
      </x:c>
      <x:c r="D84" s="23" t="n">
        <x:v>4</x:v>
      </x:c>
      <x:c r="E84" s="23" t="n">
        <x:v>5</x:v>
      </x:c>
      <x:c r="F84" s="23" t="n">
        <x:v>1</x:v>
      </x:c>
      <x:c r="G84" s="23" t="n">
        <x:v>1</x:v>
      </x:c>
      <x:c r="H84" s="23" t="n">
        <x:v>1</x:v>
      </x:c>
      <x:c r="I84" s="23" t="n">
        <x:v>1</x:v>
      </x:c>
      <x:c r="J84" s="23" t="n">
        <x:v>0</x:v>
      </x:c>
      <x:c r="K84" s="23" t="n">
        <x:v>1</x:v>
      </x:c>
      <x:c r="L84" s="23" t="n">
        <x:v>1</x:v>
      </x:c>
      <x:c r="M84" s="23" t="n">
        <x:v>4</x:v>
      </x:c>
      <x:c r="N84" s="29" t="str">
        <x:v>PASS</x:v>
      </x:c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23" t="str">
        <x:v>N1</x:v>
      </x:c>
      <x:c r="B85" s="23" t="str">
        <x:v>H-PMG</x:v>
      </x:c>
      <x:c r="C85" s="23" t="str">
        <x:v>Patient movement group</x:v>
      </x:c>
      <x:c r="D85" s="23" t="n">
        <x:v>8</x:v>
      </x:c>
      <x:c r="E85" s="23" t="n">
        <x:v>10</x:v>
      </x:c>
      <x:c r="F85" s="23" t="n">
        <x:v>2</x:v>
      </x:c>
      <x:c r="G85" s="23" t="n">
        <x:v>2</x:v>
      </x:c>
      <x:c r="H85" s="23" t="n">
        <x:v>2</x:v>
      </x:c>
      <x:c r="I85" s="23" t="n">
        <x:v>2</x:v>
      </x:c>
      <x:c r="J85" s="23" t="n">
        <x:v>1</x:v>
      </x:c>
      <x:c r="K85" s="23" t="n">
        <x:v>1</x:v>
      </x:c>
      <x:c r="L85" s="23" t="n">
        <x:v>2</x:v>
      </x:c>
      <x:c r="M85" s="23" t="n">
        <x:v>8</x:v>
      </x:c>
      <x:c r="N85" s="29" t="str">
        <x:v>PASS</x:v>
      </x:c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23" t="str">
        <x:v>N2</x:v>
      </x:c>
      <x:c r="B86" s="23" t="str">
        <x:v>H-PMG</x:v>
      </x:c>
      <x:c r="C86" s="23" t="str">
        <x:v>Patient movement group</x:v>
      </x:c>
      <x:c r="D86" s="23" t="n">
        <x:v>6</x:v>
      </x:c>
      <x:c r="E86" s="23" t="n">
        <x:v>8</x:v>
      </x:c>
      <x:c r="F86" s="23" t="n">
        <x:v>1</x:v>
      </x:c>
      <x:c r="G86" s="23" t="n">
        <x:v>2</x:v>
      </x:c>
      <x:c r="H86" s="23" t="n">
        <x:v>2</x:v>
      </x:c>
      <x:c r="I86" s="23" t="n">
        <x:v>1</x:v>
      </x:c>
      <x:c r="J86" s="23" t="n">
        <x:v>1</x:v>
      </x:c>
      <x:c r="K86" s="23" t="n">
        <x:v>1</x:v>
      </x:c>
      <x:c r="L86" s="23" t="n">
        <x:v>2</x:v>
      </x:c>
      <x:c r="M86" s="23" t="n">
        <x:v>6</x:v>
      </x:c>
      <x:c r="N86" s="29" t="str">
        <x:v>PASS</x:v>
      </x:c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23" t="str">
        <x:v>N1</x:v>
      </x:c>
      <x:c r="B87" s="23" t="str">
        <x:v>C-ERG</x:v>
      </x:c>
      <x:c r="C87" s="23" t="str">
        <x:v>Economic restart group</x:v>
      </x:c>
      <x:c r="D87" s="23" t="n">
        <x:v>8</x:v>
      </x:c>
      <x:c r="E87" s="23" t="n">
        <x:v>10</x:v>
      </x:c>
      <x:c r="F87" s="23" t="n">
        <x:v>1</x:v>
      </x:c>
      <x:c r="G87" s="23" t="n">
        <x:v>1</x:v>
      </x:c>
      <x:c r="H87" s="23" t="n">
        <x:v>2</x:v>
      </x:c>
      <x:c r="I87" s="23" t="n">
        <x:v>2</x:v>
      </x:c>
      <x:c r="J87" s="23" t="n">
        <x:v>2</x:v>
      </x:c>
      <x:c r="K87" s="23" t="n">
        <x:v>2</x:v>
      </x:c>
      <x:c r="L87" s="23" t="n">
        <x:v>2</x:v>
      </x:c>
      <x:c r="M87" s="23" t="n">
        <x:v>8</x:v>
      </x:c>
      <x:c r="N87" s="29" t="str">
        <x:v>PASS</x:v>
      </x:c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23" t="str">
        <x:v>N2</x:v>
      </x:c>
      <x:c r="B88" s="23" t="str">
        <x:v>C-ERG</x:v>
      </x:c>
      <x:c r="C88" s="23" t="str">
        <x:v>Economic restart group</x:v>
      </x:c>
      <x:c r="D88" s="23" t="n">
        <x:v>8</x:v>
      </x:c>
      <x:c r="E88" s="23" t="n">
        <x:v>10</x:v>
      </x:c>
      <x:c r="F88" s="23" t="n">
        <x:v>2</x:v>
      </x:c>
      <x:c r="G88" s="23" t="n">
        <x:v>1</x:v>
      </x:c>
      <x:c r="H88" s="23" t="n">
        <x:v>1</x:v>
      </x:c>
      <x:c r="I88" s="23" t="n">
        <x:v>2</x:v>
      </x:c>
      <x:c r="J88" s="23" t="n">
        <x:v>2</x:v>
      </x:c>
      <x:c r="K88" s="23" t="n">
        <x:v>2</x:v>
      </x:c>
      <x:c r="L88" s="23" t="n">
        <x:v>2</x:v>
      </x:c>
      <x:c r="M88" s="23" t="n">
        <x:v>8</x:v>
      </x:c>
      <x:c r="N88" s="29" t="str">
        <x:v>PASS</x:v>
      </x:c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23" t="str">
        <x:v>N1</x:v>
      </x:c>
      <x:c r="B89" s="23" t="str">
        <x:v>CM-HCG</x:v>
      </x:c>
      <x:c r="C89" s="23" t="str">
        <x:v>Household collection group</x:v>
      </x:c>
      <x:c r="D89" s="23" t="n">
        <x:v>10</x:v>
      </x:c>
      <x:c r="E89" s="23" t="n">
        <x:v>12</x:v>
      </x:c>
      <x:c r="F89" s="23" t="n">
        <x:v>2</x:v>
      </x:c>
      <x:c r="G89" s="23" t="n">
        <x:v>2</x:v>
      </x:c>
      <x:c r="H89" s="23" t="n">
        <x:v>2</x:v>
      </x:c>
      <x:c r="I89" s="23" t="n">
        <x:v>2</x:v>
      </x:c>
      <x:c r="J89" s="23" t="n">
        <x:v>2</x:v>
      </x:c>
      <x:c r="K89" s="23" t="n">
        <x:v>2</x:v>
      </x:c>
      <x:c r="L89" s="23" t="n">
        <x:v>2</x:v>
      </x:c>
      <x:c r="M89" s="23" t="n">
        <x:v>10</x:v>
      </x:c>
      <x:c r="N89" s="29" t="str">
        <x:v>PASS</x:v>
      </x:c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23" t="str">
        <x:v>N2</x:v>
      </x:c>
      <x:c r="B90" s="23" t="str">
        <x:v>CM-HCG</x:v>
      </x:c>
      <x:c r="C90" s="23" t="str">
        <x:v>Household collection group</x:v>
      </x:c>
      <x:c r="D90" s="23" t="n">
        <x:v>10</x:v>
      </x:c>
      <x:c r="E90" s="23" t="n">
        <x:v>12</x:v>
      </x:c>
      <x:c r="F90" s="23" t="n">
        <x:v>2</x:v>
      </x:c>
      <x:c r="G90" s="23" t="n">
        <x:v>2</x:v>
      </x:c>
      <x:c r="H90" s="23" t="n">
        <x:v>2</x:v>
      </x:c>
      <x:c r="I90" s="23" t="n">
        <x:v>2</x:v>
      </x:c>
      <x:c r="J90" s="23" t="n">
        <x:v>2</x:v>
      </x:c>
      <x:c r="K90" s="23" t="n">
        <x:v>2</x:v>
      </x:c>
      <x:c r="L90" s="23" t="n">
        <x:v>2</x:v>
      </x:c>
      <x:c r="M90" s="23" t="n">
        <x:v>10</x:v>
      </x:c>
      <x:c r="N90" s="29" t="str">
        <x:v>PASS</x:v>
      </x:c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23" t="str">
        <x:v>N1</x:v>
      </x:c>
      <x:c r="B91" s="23" t="str">
        <x:v>CM-CTN</x:v>
      </x:c>
      <x:c r="C91" s="23" t="str">
        <x:v>Continuity transfer-node group</x:v>
      </x:c>
      <x:c r="D91" s="23" t="n">
        <x:v>8</x:v>
      </x:c>
      <x:c r="E91" s="23" t="n">
        <x:v>10</x:v>
      </x:c>
      <x:c r="F91" s="23" t="n">
        <x:v>2</x:v>
      </x:c>
      <x:c r="G91" s="23" t="n">
        <x:v>2</x:v>
      </x:c>
      <x:c r="H91" s="23" t="n">
        <x:v>2</x:v>
      </x:c>
      <x:c r="I91" s="23" t="n">
        <x:v>2</x:v>
      </x:c>
      <x:c r="J91" s="23" t="n">
        <x:v>1</x:v>
      </x:c>
      <x:c r="K91" s="23" t="n">
        <x:v>1</x:v>
      </x:c>
      <x:c r="L91" s="23" t="n">
        <x:v>2</x:v>
      </x:c>
      <x:c r="M91" s="23" t="n">
        <x:v>8</x:v>
      </x:c>
      <x:c r="N91" s="29" t="str">
        <x:v>PASS</x:v>
      </x:c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23" t="str">
        <x:v>N2</x:v>
      </x:c>
      <x:c r="B92" s="23" t="str">
        <x:v>CM-CTN</x:v>
      </x:c>
      <x:c r="C92" s="23" t="str">
        <x:v>Continuity transfer-node group</x:v>
      </x:c>
      <x:c r="D92" s="23" t="n">
        <x:v>8</x:v>
      </x:c>
      <x:c r="E92" s="23" t="n">
        <x:v>10</x:v>
      </x:c>
      <x:c r="F92" s="23" t="n">
        <x:v>1</x:v>
      </x:c>
      <x:c r="G92" s="23" t="n">
        <x:v>2</x:v>
      </x:c>
      <x:c r="H92" s="23" t="n">
        <x:v>2</x:v>
      </x:c>
      <x:c r="I92" s="23" t="n">
        <x:v>2</x:v>
      </x:c>
      <x:c r="J92" s="23" t="n">
        <x:v>2</x:v>
      </x:c>
      <x:c r="K92" s="23" t="n">
        <x:v>1</x:v>
      </x:c>
      <x:c r="L92" s="23" t="n">
        <x:v>2</x:v>
      </x:c>
      <x:c r="M92" s="23" t="n">
        <x:v>8</x:v>
      </x:c>
      <x:c r="N92" s="29" t="str">
        <x:v>PASS</x:v>
      </x:c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23" t="str">
        <x:v>N1</x:v>
      </x:c>
      <x:c r="B93" s="23" t="str">
        <x:v>CM-RMG</x:v>
      </x:c>
      <x:c r="C93" s="23" t="str">
        <x:v>Civil road-mobility group</x:v>
      </x:c>
      <x:c r="D93" s="23" t="n">
        <x:v>12</x:v>
      </x:c>
      <x:c r="E93" s="23" t="n">
        <x:v>15</x:v>
      </x:c>
      <x:c r="F93" s="23" t="n">
        <x:v>2</x:v>
      </x:c>
      <x:c r="G93" s="23" t="n">
        <x:v>2</x:v>
      </x:c>
      <x:c r="H93" s="23" t="n">
        <x:v>3</x:v>
      </x:c>
      <x:c r="I93" s="23" t="n">
        <x:v>3</x:v>
      </x:c>
      <x:c r="J93" s="23" t="n">
        <x:v>3</x:v>
      </x:c>
      <x:c r="K93" s="23" t="n">
        <x:v>2</x:v>
      </x:c>
      <x:c r="L93" s="23" t="n">
        <x:v>3</x:v>
      </x:c>
      <x:c r="M93" s="23" t="n">
        <x:v>12</x:v>
      </x:c>
      <x:c r="N93" s="29" t="str">
        <x:v>PASS</x:v>
      </x:c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23" t="str">
        <x:v>N2</x:v>
      </x:c>
      <x:c r="B94" s="23" t="str">
        <x:v>CM-RMG</x:v>
      </x:c>
      <x:c r="C94" s="23" t="str">
        <x:v>Civil road-mobility group</x:v>
      </x:c>
      <x:c r="D94" s="23" t="n">
        <x:v>12</x:v>
      </x:c>
      <x:c r="E94" s="23" t="n">
        <x:v>15</x:v>
      </x:c>
      <x:c r="F94" s="23" t="n">
        <x:v>2</x:v>
      </x:c>
      <x:c r="G94" s="23" t="n">
        <x:v>2</x:v>
      </x:c>
      <x:c r="H94" s="23" t="n">
        <x:v>2</x:v>
      </x:c>
      <x:c r="I94" s="23" t="n">
        <x:v>3</x:v>
      </x:c>
      <x:c r="J94" s="23" t="n">
        <x:v>3</x:v>
      </x:c>
      <x:c r="K94" s="23" t="n">
        <x:v>3</x:v>
      </x:c>
      <x:c r="L94" s="23" t="n">
        <x:v>3</x:v>
      </x:c>
      <x:c r="M94" s="23" t="n">
        <x:v>12</x:v>
      </x:c>
      <x:c r="N94" s="29" t="str">
        <x:v>PASS</x:v>
      </x:c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23" t="str">
        <x:v>N1</x:v>
      </x:c>
      <x:c r="B95" s="23" t="str">
        <x:v>CM-RLG</x:v>
      </x:c>
      <x:c r="C95" s="23" t="str">
        <x:v>Civil rail-mobility group</x:v>
      </x:c>
      <x:c r="D95" s="23" t="n">
        <x:v>5</x:v>
      </x:c>
      <x:c r="E95" s="23" t="n">
        <x:v>6</x:v>
      </x:c>
      <x:c r="F95" s="23" t="n">
        <x:v>1</x:v>
      </x:c>
      <x:c r="G95" s="23" t="n">
        <x:v>1</x:v>
      </x:c>
      <x:c r="H95" s="23" t="n">
        <x:v>1</x:v>
      </x:c>
      <x:c r="I95" s="23" t="n">
        <x:v>1</x:v>
      </x:c>
      <x:c r="J95" s="23" t="n">
        <x:v>1</x:v>
      </x:c>
      <x:c r="K95" s="23" t="n">
        <x:v>1</x:v>
      </x:c>
      <x:c r="L95" s="23" t="n">
        <x:v>1</x:v>
      </x:c>
      <x:c r="M95" s="23" t="n">
        <x:v>5</x:v>
      </x:c>
      <x:c r="N95" s="29" t="str">
        <x:v>PASS</x:v>
      </x:c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23" t="str">
        <x:v>N2</x:v>
      </x:c>
      <x:c r="B96" s="23" t="str">
        <x:v>CM-RLG</x:v>
      </x:c>
      <x:c r="C96" s="23" t="str">
        <x:v>Civil rail-mobility group</x:v>
      </x:c>
      <x:c r="D96" s="23" t="n">
        <x:v>5</x:v>
      </x:c>
      <x:c r="E96" s="23" t="n">
        <x:v>6</x:v>
      </x:c>
      <x:c r="F96" s="23" t="n">
        <x:v>1</x:v>
      </x:c>
      <x:c r="G96" s="23" t="n">
        <x:v>1</x:v>
      </x:c>
      <x:c r="H96" s="23" t="n">
        <x:v>1</x:v>
      </x:c>
      <x:c r="I96" s="23" t="n">
        <x:v>1</x:v>
      </x:c>
      <x:c r="J96" s="23" t="n">
        <x:v>1</x:v>
      </x:c>
      <x:c r="K96" s="23" t="n">
        <x:v>1</x:v>
      </x:c>
      <x:c r="L96" s="23" t="n">
        <x:v>1</x:v>
      </x:c>
      <x:c r="M96" s="23" t="n">
        <x:v>5</x:v>
      </x:c>
      <x:c r="N96" s="29" t="str">
        <x:v>PASS</x:v>
      </x:c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23" t="str">
        <x:v>N1</x:v>
      </x:c>
      <x:c r="B97" s="23" t="str">
        <x:v>CM-AMG</x:v>
      </x:c>
      <x:c r="C97" s="23" t="str">
        <x:v>Civil air-mobility group</x:v>
      </x:c>
      <x:c r="D97" s="23" t="n">
        <x:v>5</x:v>
      </x:c>
      <x:c r="E97" s="23" t="n">
        <x:v>6</x:v>
      </x:c>
      <x:c r="F97" s="23" t="n">
        <x:v>1</x:v>
      </x:c>
      <x:c r="G97" s="23" t="n">
        <x:v>1</x:v>
      </x:c>
      <x:c r="H97" s="23" t="n">
        <x:v>1</x:v>
      </x:c>
      <x:c r="I97" s="23" t="n">
        <x:v>1</x:v>
      </x:c>
      <x:c r="J97" s="23" t="n">
        <x:v>1</x:v>
      </x:c>
      <x:c r="K97" s="23" t="n">
        <x:v>1</x:v>
      </x:c>
      <x:c r="L97" s="23" t="n">
        <x:v>1</x:v>
      </x:c>
      <x:c r="M97" s="23" t="n">
        <x:v>5</x:v>
      </x:c>
      <x:c r="N97" s="29" t="str">
        <x:v>PASS</x:v>
      </x:c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23" t="str">
        <x:v>N2</x:v>
      </x:c>
      <x:c r="B98" s="23" t="str">
        <x:v>CM-AMG</x:v>
      </x:c>
      <x:c r="C98" s="23" t="str">
        <x:v>Civil air-mobility group</x:v>
      </x:c>
      <x:c r="D98" s="23" t="n">
        <x:v>5</x:v>
      </x:c>
      <x:c r="E98" s="23" t="n">
        <x:v>6</x:v>
      </x:c>
      <x:c r="F98" s="23" t="n">
        <x:v>1</x:v>
      </x:c>
      <x:c r="G98" s="23" t="n">
        <x:v>1</x:v>
      </x:c>
      <x:c r="H98" s="23" t="n">
        <x:v>1</x:v>
      </x:c>
      <x:c r="I98" s="23" t="n">
        <x:v>1</x:v>
      </x:c>
      <x:c r="J98" s="23" t="n">
        <x:v>1</x:v>
      </x:c>
      <x:c r="K98" s="23" t="n">
        <x:v>1</x:v>
      </x:c>
      <x:c r="L98" s="23" t="n">
        <x:v>1</x:v>
      </x:c>
      <x:c r="M98" s="23" t="n">
        <x:v>5</x:v>
      </x:c>
      <x:c r="N98" s="29" t="str">
        <x:v>PASS</x:v>
      </x:c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23" t="str">
        <x:v>N1</x:v>
      </x:c>
      <x:c r="B99" s="23" t="str">
        <x:v>CM-WMG</x:v>
      </x:c>
      <x:c r="C99" s="23" t="str">
        <x:v>Civil water-mobility group</x:v>
      </x:c>
      <x:c r="D99" s="23" t="n">
        <x:v>5</x:v>
      </x:c>
      <x:c r="E99" s="23" t="n">
        <x:v>6</x:v>
      </x:c>
      <x:c r="F99" s="23" t="n">
        <x:v>1</x:v>
      </x:c>
      <x:c r="G99" s="23" t="n">
        <x:v>1</x:v>
      </x:c>
      <x:c r="H99" s="23" t="n">
        <x:v>1</x:v>
      </x:c>
      <x:c r="I99" s="23" t="n">
        <x:v>1</x:v>
      </x:c>
      <x:c r="J99" s="23" t="n">
        <x:v>1</x:v>
      </x:c>
      <x:c r="K99" s="23" t="n">
        <x:v>1</x:v>
      </x:c>
      <x:c r="L99" s="23" t="n">
        <x:v>1</x:v>
      </x:c>
      <x:c r="M99" s="23" t="n">
        <x:v>5</x:v>
      </x:c>
      <x:c r="N99" s="29" t="str">
        <x:v>PASS</x:v>
      </x:c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23" t="str">
        <x:v>N2</x:v>
      </x:c>
      <x:c r="B100" s="23" t="str">
        <x:v>CM-WMG</x:v>
      </x:c>
      <x:c r="C100" s="23" t="str">
        <x:v>Civil water-mobility group</x:v>
      </x:c>
      <x:c r="D100" s="23" t="n">
        <x:v>6</x:v>
      </x:c>
      <x:c r="E100" s="23" t="n">
        <x:v>8</x:v>
      </x:c>
      <x:c r="F100" s="23" t="n">
        <x:v>1</x:v>
      </x:c>
      <x:c r="G100" s="23" t="n">
        <x:v>1</x:v>
      </x:c>
      <x:c r="H100" s="23" t="n">
        <x:v>1</x:v>
      </x:c>
      <x:c r="I100" s="23" t="n">
        <x:v>2</x:v>
      </x:c>
      <x:c r="J100" s="23" t="n">
        <x:v>2</x:v>
      </x:c>
      <x:c r="K100" s="23" t="n">
        <x:v>1</x:v>
      </x:c>
      <x:c r="L100" s="23" t="n">
        <x:v>2</x:v>
      </x:c>
      <x:c r="M100" s="23" t="n">
        <x:v>6</x:v>
      </x:c>
      <x:c r="N100" s="29" t="str">
        <x:v>PASS</x:v>
      </x:c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23" t="str">
        <x:v>N1</x:v>
      </x:c>
      <x:c r="B101" s="23" t="str">
        <x:v>CM-RDC</x:v>
      </x:c>
      <x:c r="C101" s="23" t="str">
        <x:v>Return and durable-continuity group</x:v>
      </x:c>
      <x:c r="D101" s="23" t="n">
        <x:v>8</x:v>
      </x:c>
      <x:c r="E101" s="23" t="n">
        <x:v>10</x:v>
      </x:c>
      <x:c r="F101" s="23" t="n">
        <x:v>2</x:v>
      </x:c>
      <x:c r="G101" s="23" t="n">
        <x:v>2</x:v>
      </x:c>
      <x:c r="H101" s="23" t="n">
        <x:v>1</x:v>
      </x:c>
      <x:c r="I101" s="23" t="n">
        <x:v>1</x:v>
      </x:c>
      <x:c r="J101" s="23" t="n">
        <x:v>2</x:v>
      </x:c>
      <x:c r="K101" s="23" t="n">
        <x:v>2</x:v>
      </x:c>
      <x:c r="L101" s="23" t="n">
        <x:v>2</x:v>
      </x:c>
      <x:c r="M101" s="23" t="n">
        <x:v>8</x:v>
      </x:c>
      <x:c r="N101" s="29" t="str">
        <x:v>PASS</x:v>
      </x:c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23" t="str">
        <x:v>N2</x:v>
      </x:c>
      <x:c r="B102" s="23" t="str">
        <x:v>CM-RDC</x:v>
      </x:c>
      <x:c r="C102" s="23" t="str">
        <x:v>Return and durable-continuity group</x:v>
      </x:c>
      <x:c r="D102" s="23" t="n">
        <x:v>10</x:v>
      </x:c>
      <x:c r="E102" s="23" t="n">
        <x:v>12</x:v>
      </x:c>
      <x:c r="F102" s="23" t="n">
        <x:v>2</x:v>
      </x:c>
      <x:c r="G102" s="23" t="n">
        <x:v>2</x:v>
      </x:c>
      <x:c r="H102" s="23" t="n">
        <x:v>2</x:v>
      </x:c>
      <x:c r="I102" s="23" t="n">
        <x:v>2</x:v>
      </x:c>
      <x:c r="J102" s="23" t="n">
        <x:v>2</x:v>
      </x:c>
      <x:c r="K102" s="23" t="n">
        <x:v>2</x:v>
      </x:c>
      <x:c r="L102" s="23" t="n">
        <x:v>2</x:v>
      </x:c>
      <x:c r="M102" s="23" t="n">
        <x:v>10</x:v>
      </x:c>
      <x:c r="N102" s="29" t="str">
        <x:v>PASS</x:v>
      </x:c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34" hidden="0" customWidth="1"/>
    <x:col min="4" max="4" width="17" hidden="0" customWidth="1"/>
    <x:col min="5" max="5" width="17" hidden="0" customWidth="1"/>
    <x:col min="6" max="6" width="59" hidden="0" customWidth="1"/>
    <x:col min="7" max="7" width="17" hidden="0" customWidth="1"/>
    <x:col min="8" max="8" width="20" hidden="0" customWidth="1"/>
    <x:col min="9" max="9" width="13" hidden="0" customWidth="1"/>
    <x:col min="10" max="10" width="12" hidden="0" customWidth="1"/>
  </x:cols>
  <x:sheetData>
    <x:row r="2">
      <x:c r="A2" s="18" t="str">
        <x:v>Unlike access-precinct capacity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Each district has three separately caused 50% precinct lineages; any surviving two retain full installed reception.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Network</x:v>
      </x:c>
      <x:c r="B6" s="22" t="str">
        <x:v>District</x:v>
      </x:c>
      <x:c r="C6" s="22" t="str">
        <x:v>Installed slots</x:v>
      </x:c>
      <x:c r="D6" s="22" t="str">
        <x:v>Precinct A</x:v>
      </x:c>
      <x:c r="E6" s="22" t="str">
        <x:v>Precinct B</x:v>
      </x:c>
      <x:c r="F6" s="22" t="str">
        <x:v>Precinct C</x:v>
      </x:c>
      <x:c r="G6" s="22" t="str">
        <x:v>Total lanes</x:v>
      </x:c>
      <x:c r="H6" s="22" t="str">
        <x:v>After one loss</x:v>
      </x:c>
      <x:c r="I6" s="22" t="str">
        <x:v>Margin</x:v>
      </x:c>
      <x:c r="J6" s="22" t="str">
        <x:v>Result</x:v>
      </x:c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N1</x:v>
      </x:c>
      <x:c r="B7" s="23" t="str">
        <x:v>N1-D1</x:v>
      </x:c>
      <x:c r="C7" s="23" t="n">
        <x:v>70</x:v>
      </x:c>
      <x:c r="D7" s="23" t="n">
        <x:v>35</x:v>
      </x:c>
      <x:c r="E7" s="23" t="n">
        <x:v>35</x:v>
      </x:c>
      <x:c r="F7" s="23" t="n">
        <x:v>35</x:v>
      </x:c>
      <x:c r="G7" s="23" t="n">
        <x:v>105</x:v>
      </x:c>
      <x:c r="H7" s="23" t="n">
        <x:v>70</x:v>
      </x:c>
      <x:c r="I7" s="23" t="n">
        <x:v>0</x:v>
      </x:c>
      <x:c r="J7" s="29" t="str">
        <x:v>PASS</x:v>
      </x:c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N1</x:v>
      </x:c>
      <x:c r="B8" s="23" t="str">
        <x:v>N1-D2</x:v>
      </x:c>
      <x:c r="C8" s="23" t="n">
        <x:v>68</x:v>
      </x:c>
      <x:c r="D8" s="23" t="n">
        <x:v>34</x:v>
      </x:c>
      <x:c r="E8" s="23" t="n">
        <x:v>34</x:v>
      </x:c>
      <x:c r="F8" s="23" t="n">
        <x:v>34</x:v>
      </x:c>
      <x:c r="G8" s="23" t="n">
        <x:v>102</x:v>
      </x:c>
      <x:c r="H8" s="23" t="n">
        <x:v>68</x:v>
      </x:c>
      <x:c r="I8" s="23" t="n">
        <x:v>0</x:v>
      </x:c>
      <x:c r="J8" s="29" t="str">
        <x:v>PASS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N1</x:v>
      </x:c>
      <x:c r="B9" s="23" t="str">
        <x:v>N1-D3</x:v>
      </x:c>
      <x:c r="C9" s="23" t="n">
        <x:v>73</x:v>
      </x:c>
      <x:c r="D9" s="23" t="n">
        <x:v>37</x:v>
      </x:c>
      <x:c r="E9" s="23" t="n">
        <x:v>37</x:v>
      </x:c>
      <x:c r="F9" s="23" t="n">
        <x:v>37</x:v>
      </x:c>
      <x:c r="G9" s="23" t="n">
        <x:v>111</x:v>
      </x:c>
      <x:c r="H9" s="23" t="n">
        <x:v>74</x:v>
      </x:c>
      <x:c r="I9" s="23" t="n">
        <x:v>1</x:v>
      </x:c>
      <x:c r="J9" s="29" t="str">
        <x:v>PASS</x:v>
      </x:c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N1</x:v>
      </x:c>
      <x:c r="B10" s="23" t="str">
        <x:v>N1-D4</x:v>
      </x:c>
      <x:c r="C10" s="23" t="n">
        <x:v>68</x:v>
      </x:c>
      <x:c r="D10" s="23" t="n">
        <x:v>34</x:v>
      </x:c>
      <x:c r="E10" s="23" t="n">
        <x:v>34</x:v>
      </x:c>
      <x:c r="F10" s="23" t="n">
        <x:v>34</x:v>
      </x:c>
      <x:c r="G10" s="23" t="n">
        <x:v>102</x:v>
      </x:c>
      <x:c r="H10" s="23" t="n">
        <x:v>68</x:v>
      </x:c>
      <x:c r="I10" s="23" t="n">
        <x:v>0</x:v>
      </x:c>
      <x:c r="J10" s="29" t="str">
        <x:v>PASS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N1</x:v>
      </x:c>
      <x:c r="B11" s="23" t="str">
        <x:v>N1-D5</x:v>
      </x:c>
      <x:c r="C11" s="23" t="n">
        <x:v>70</x:v>
      </x:c>
      <x:c r="D11" s="23" t="n">
        <x:v>35</x:v>
      </x:c>
      <x:c r="E11" s="23" t="n">
        <x:v>35</x:v>
      </x:c>
      <x:c r="F11" s="23" t="n">
        <x:v>35</x:v>
      </x:c>
      <x:c r="G11" s="23" t="n">
        <x:v>105</x:v>
      </x:c>
      <x:c r="H11" s="23" t="n">
        <x:v>70</x:v>
      </x:c>
      <x:c r="I11" s="23" t="n">
        <x:v>0</x:v>
      </x:c>
      <x:c r="J11" s="29" t="str">
        <x:v>PASS</x:v>
      </x:c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N1</x:v>
      </x:c>
      <x:c r="B12" s="23" t="str">
        <x:v>N1-D6</x:v>
      </x:c>
      <x:c r="C12" s="23" t="n">
        <x:v>66</x:v>
      </x:c>
      <x:c r="D12" s="23" t="n">
        <x:v>33</x:v>
      </x:c>
      <x:c r="E12" s="23" t="n">
        <x:v>33</x:v>
      </x:c>
      <x:c r="F12" s="23" t="n">
        <x:v>33</x:v>
      </x:c>
      <x:c r="G12" s="23" t="n">
        <x:v>99</x:v>
      </x:c>
      <x:c r="H12" s="23" t="n">
        <x:v>66</x:v>
      </x:c>
      <x:c r="I12" s="23" t="n">
        <x:v>0</x:v>
      </x:c>
      <x:c r="J12" s="29" t="str">
        <x:v>PASS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N2</x:v>
      </x:c>
      <x:c r="B13" s="23" t="str">
        <x:v>N2-D1</x:v>
      </x:c>
      <x:c r="C13" s="23" t="n">
        <x:v>68</x:v>
      </x:c>
      <x:c r="D13" s="23" t="n">
        <x:v>34</x:v>
      </x:c>
      <x:c r="E13" s="23" t="n">
        <x:v>34</x:v>
      </x:c>
      <x:c r="F13" s="23" t="n">
        <x:v>34</x:v>
      </x:c>
      <x:c r="G13" s="23" t="n">
        <x:v>102</x:v>
      </x:c>
      <x:c r="H13" s="23" t="n">
        <x:v>68</x:v>
      </x:c>
      <x:c r="I13" s="23" t="n">
        <x:v>0</x:v>
      </x:c>
      <x:c r="J13" s="29" t="str">
        <x:v>PASS</x:v>
      </x:c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N2</x:v>
      </x:c>
      <x:c r="B14" s="23" t="str">
        <x:v>N2-D2</x:v>
      </x:c>
      <x:c r="C14" s="23" t="n">
        <x:v>73</x:v>
      </x:c>
      <x:c r="D14" s="23" t="n">
        <x:v>37</x:v>
      </x:c>
      <x:c r="E14" s="23" t="n">
        <x:v>37</x:v>
      </x:c>
      <x:c r="F14" s="23" t="n">
        <x:v>37</x:v>
      </x:c>
      <x:c r="G14" s="23" t="n">
        <x:v>111</x:v>
      </x:c>
      <x:c r="H14" s="23" t="n">
        <x:v>74</x:v>
      </x:c>
      <x:c r="I14" s="23" t="n">
        <x:v>1</x:v>
      </x:c>
      <x:c r="J14" s="29" t="str">
        <x:v>PASS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N2</x:v>
      </x:c>
      <x:c r="B15" s="23" t="str">
        <x:v>N2-D3</x:v>
      </x:c>
      <x:c r="C15" s="23" t="n">
        <x:v>70</x:v>
      </x:c>
      <x:c r="D15" s="23" t="n">
        <x:v>35</x:v>
      </x:c>
      <x:c r="E15" s="23" t="n">
        <x:v>35</x:v>
      </x:c>
      <x:c r="F15" s="23" t="n">
        <x:v>35</x:v>
      </x:c>
      <x:c r="G15" s="23" t="n">
        <x:v>105</x:v>
      </x:c>
      <x:c r="H15" s="23" t="n">
        <x:v>70</x:v>
      </x:c>
      <x:c r="I15" s="23" t="n">
        <x:v>0</x:v>
      </x:c>
      <x:c r="J15" s="29" t="str">
        <x:v>PASS</x:v>
      </x:c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N2</x:v>
      </x:c>
      <x:c r="B16" s="23" t="str">
        <x:v>N2-D4</x:v>
      </x:c>
      <x:c r="C16" s="23" t="n">
        <x:v>75</x:v>
      </x:c>
      <x:c r="D16" s="23" t="n">
        <x:v>38</x:v>
      </x:c>
      <x:c r="E16" s="23" t="n">
        <x:v>38</x:v>
      </x:c>
      <x:c r="F16" s="23" t="n">
        <x:v>38</x:v>
      </x:c>
      <x:c r="G16" s="23" t="n">
        <x:v>114</x:v>
      </x:c>
      <x:c r="H16" s="23" t="n">
        <x:v>76</x:v>
      </x:c>
      <x:c r="I16" s="23" t="n">
        <x:v>1</x:v>
      </x:c>
      <x:c r="J16" s="29" t="str">
        <x:v>PASS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N2</x:v>
      </x:c>
      <x:c r="B17" s="23" t="str">
        <x:v>N2-D5</x:v>
      </x:c>
      <x:c r="C17" s="23" t="n">
        <x:v>69</x:v>
      </x:c>
      <x:c r="D17" s="23" t="n">
        <x:v>35</x:v>
      </x:c>
      <x:c r="E17" s="23" t="n">
        <x:v>35</x:v>
      </x:c>
      <x:c r="F17" s="23" t="n">
        <x:v>35</x:v>
      </x:c>
      <x:c r="G17" s="23" t="n">
        <x:v>105</x:v>
      </x:c>
      <x:c r="H17" s="23" t="n">
        <x:v>70</x:v>
      </x:c>
      <x:c r="I17" s="23" t="n">
        <x:v>1</x:v>
      </x:c>
      <x:c r="J17" s="29" t="str">
        <x:v>PASS</x:v>
      </x:c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N2</x:v>
      </x:c>
      <x:c r="B18" s="23" t="str">
        <x:v>N2-D6</x:v>
      </x:c>
      <x:c r="C18" s="23" t="n">
        <x:v>72</x:v>
      </x:c>
      <x:c r="D18" s="23" t="n">
        <x:v>36</x:v>
      </x:c>
      <x:c r="E18" s="23" t="n">
        <x:v>36</x:v>
      </x:c>
      <x:c r="F18" s="23" t="n">
        <x:v>36</x:v>
      </x:c>
      <x:c r="G18" s="23" t="n">
        <x:v>108</x:v>
      </x:c>
      <x:c r="H18" s="23" t="n">
        <x:v>72</x:v>
      </x:c>
      <x:c r="I18" s="23" t="n">
        <x:v>0</x:v>
      </x:c>
      <x:c r="J18" s="29" t="str">
        <x:v>PASS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2" t="str">
        <x:v>Network</x:v>
      </x:c>
      <x:c r="B22" s="22" t="str">
        <x:v>District</x:v>
      </x:c>
      <x:c r="C22" s="22" t="str">
        <x:v>Precinct lineage</x:v>
      </x:c>
      <x:c r="D22" s="22" t="str">
        <x:v>Lane capacity</x:v>
      </x:c>
      <x:c r="E22" s="22" t="str">
        <x:v>Share</x:v>
      </x:c>
      <x:c r="F22" s="22" t="str">
        <x:v>Independence rule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str">
        <x:v>N1</x:v>
      </x:c>
      <x:c r="B23" s="23" t="str">
        <x:v>N1-D1</x:v>
      </x:c>
      <x:c r="C23" s="23" t="str">
        <x:v>A civic-port/shorefall</x:v>
      </x:c>
      <x:c r="D23" s="23" t="n">
        <x:v>35</x:v>
      </x:c>
      <x:c r="E23" s="23" t="str">
        <x:v>50% district capacity</x:v>
      </x:c>
      <x:c r="F23" s="30" t="str">
        <x:v>Separate access, power, handling, control and safety ancestry</x:v>
      </x:c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3" t="str">
        <x:v>N1</x:v>
      </x:c>
      <x:c r="B24" s="23" t="str">
        <x:v>N1-D1</x:v>
      </x:c>
      <x:c r="C24" s="23" t="str">
        <x:v>B air-land interchange</x:v>
      </x:c>
      <x:c r="D24" s="23" t="n">
        <x:v>35</x:v>
      </x:c>
      <x:c r="E24" s="23" t="str">
        <x:v>50% district capacity</x:v>
      </x:c>
      <x:c r="F24" s="30" t="str">
        <x:v>Separate access, power, handling, control and safety ancestry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3" t="str">
        <x:v>N1</x:v>
      </x:c>
      <x:c r="B25" s="23" t="str">
        <x:v>N1-D1</x:v>
      </x:c>
      <x:c r="C25" s="23" t="str">
        <x:v>C terrain/inland-utility</x:v>
      </x:c>
      <x:c r="D25" s="23" t="n">
        <x:v>35</x:v>
      </x:c>
      <x:c r="E25" s="23" t="str">
        <x:v>50% district capacity</x:v>
      </x:c>
      <x:c r="F25" s="30" t="str">
        <x:v>Separate access, power, handling, control and safety ancestry</x:v>
      </x:c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3" t="str">
        <x:v>N1</x:v>
      </x:c>
      <x:c r="B26" s="23" t="str">
        <x:v>N1-D2</x:v>
      </x:c>
      <x:c r="C26" s="23" t="str">
        <x:v>A civic-port/shorefall</x:v>
      </x:c>
      <x:c r="D26" s="23" t="n">
        <x:v>34</x:v>
      </x:c>
      <x:c r="E26" s="23" t="str">
        <x:v>50% district capacity</x:v>
      </x:c>
      <x:c r="F26" s="30" t="str">
        <x:v>Separate access, power, handling, control and safety ancestry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3" t="str">
        <x:v>N1</x:v>
      </x:c>
      <x:c r="B27" s="23" t="str">
        <x:v>N1-D2</x:v>
      </x:c>
      <x:c r="C27" s="23" t="str">
        <x:v>B air-land interchange</x:v>
      </x:c>
      <x:c r="D27" s="23" t="n">
        <x:v>34</x:v>
      </x:c>
      <x:c r="E27" s="23" t="str">
        <x:v>50% district capacity</x:v>
      </x:c>
      <x:c r="F27" s="30" t="str">
        <x:v>Separate access, power, handling, control and safety ancestry</x:v>
      </x:c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3" t="str">
        <x:v>N1</x:v>
      </x:c>
      <x:c r="B28" s="23" t="str">
        <x:v>N1-D2</x:v>
      </x:c>
      <x:c r="C28" s="23" t="str">
        <x:v>C terrain/inland-utility</x:v>
      </x:c>
      <x:c r="D28" s="23" t="n">
        <x:v>34</x:v>
      </x:c>
      <x:c r="E28" s="23" t="str">
        <x:v>50% district capacity</x:v>
      </x:c>
      <x:c r="F28" s="30" t="str">
        <x:v>Separate access, power, handling, control and safety ancestry</x:v>
      </x:c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3" t="str">
        <x:v>N1</x:v>
      </x:c>
      <x:c r="B29" s="23" t="str">
        <x:v>N1-D3</x:v>
      </x:c>
      <x:c r="C29" s="23" t="str">
        <x:v>A civic-port/shorefall</x:v>
      </x:c>
      <x:c r="D29" s="23" t="n">
        <x:v>37</x:v>
      </x:c>
      <x:c r="E29" s="23" t="str">
        <x:v>50% district capacity</x:v>
      </x:c>
      <x:c r="F29" s="30" t="str">
        <x:v>Separate access, power, handling, control and safety ancestry</x:v>
      </x:c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3" t="str">
        <x:v>N1</x:v>
      </x:c>
      <x:c r="B30" s="23" t="str">
        <x:v>N1-D3</x:v>
      </x:c>
      <x:c r="C30" s="23" t="str">
        <x:v>B air-land interchange</x:v>
      </x:c>
      <x:c r="D30" s="23" t="n">
        <x:v>37</x:v>
      </x:c>
      <x:c r="E30" s="23" t="str">
        <x:v>50% district capacity</x:v>
      </x:c>
      <x:c r="F30" s="30" t="str">
        <x:v>Separate access, power, handling, control and safety ancestry</x:v>
      </x:c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3" t="str">
        <x:v>N1</x:v>
      </x:c>
      <x:c r="B31" s="23" t="str">
        <x:v>N1-D3</x:v>
      </x:c>
      <x:c r="C31" s="23" t="str">
        <x:v>C terrain/inland-utility</x:v>
      </x:c>
      <x:c r="D31" s="23" t="n">
        <x:v>37</x:v>
      </x:c>
      <x:c r="E31" s="23" t="str">
        <x:v>50% district capacity</x:v>
      </x:c>
      <x:c r="F31" s="30" t="str">
        <x:v>Separate access, power, handling, control and safety ancestry</x:v>
      </x:c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23" t="str">
        <x:v>N1</x:v>
      </x:c>
      <x:c r="B32" s="23" t="str">
        <x:v>N1-D4</x:v>
      </x:c>
      <x:c r="C32" s="23" t="str">
        <x:v>A civic-port/shorefall</x:v>
      </x:c>
      <x:c r="D32" s="23" t="n">
        <x:v>34</x:v>
      </x:c>
      <x:c r="E32" s="23" t="str">
        <x:v>50% district capacity</x:v>
      </x:c>
      <x:c r="F32" s="30" t="str">
        <x:v>Separate access, power, handling, control and safety ancestry</x:v>
      </x:c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23" t="str">
        <x:v>N1</x:v>
      </x:c>
      <x:c r="B33" s="23" t="str">
        <x:v>N1-D4</x:v>
      </x:c>
      <x:c r="C33" s="23" t="str">
        <x:v>B air-land interchange</x:v>
      </x:c>
      <x:c r="D33" s="23" t="n">
        <x:v>34</x:v>
      </x:c>
      <x:c r="E33" s="23" t="str">
        <x:v>50% district capacity</x:v>
      </x:c>
      <x:c r="F33" s="30" t="str">
        <x:v>Separate access, power, handling, control and safety ancestry</x:v>
      </x:c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23" t="str">
        <x:v>N1</x:v>
      </x:c>
      <x:c r="B34" s="23" t="str">
        <x:v>N1-D4</x:v>
      </x:c>
      <x:c r="C34" s="23" t="str">
        <x:v>C terrain/inland-utility</x:v>
      </x:c>
      <x:c r="D34" s="23" t="n">
        <x:v>34</x:v>
      </x:c>
      <x:c r="E34" s="23" t="str">
        <x:v>50% district capacity</x:v>
      </x:c>
      <x:c r="F34" s="30" t="str">
        <x:v>Separate access, power, handling, control and safety ancestry</x:v>
      </x:c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23" t="str">
        <x:v>N1</x:v>
      </x:c>
      <x:c r="B35" s="23" t="str">
        <x:v>N1-D5</x:v>
      </x:c>
      <x:c r="C35" s="23" t="str">
        <x:v>A civic-port/shorefall</x:v>
      </x:c>
      <x:c r="D35" s="23" t="n">
        <x:v>35</x:v>
      </x:c>
      <x:c r="E35" s="23" t="str">
        <x:v>50% district capacity</x:v>
      </x:c>
      <x:c r="F35" s="30" t="str">
        <x:v>Separate access, power, handling, control and safety ancestry</x:v>
      </x:c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23" t="str">
        <x:v>N1</x:v>
      </x:c>
      <x:c r="B36" s="23" t="str">
        <x:v>N1-D5</x:v>
      </x:c>
      <x:c r="C36" s="23" t="str">
        <x:v>B air-land interchange</x:v>
      </x:c>
      <x:c r="D36" s="23" t="n">
        <x:v>35</x:v>
      </x:c>
      <x:c r="E36" s="23" t="str">
        <x:v>50% district capacity</x:v>
      </x:c>
      <x:c r="F36" s="30" t="str">
        <x:v>Separate access, power, handling, control and safety ancestry</x:v>
      </x:c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23" t="str">
        <x:v>N1</x:v>
      </x:c>
      <x:c r="B37" s="23" t="str">
        <x:v>N1-D5</x:v>
      </x:c>
      <x:c r="C37" s="23" t="str">
        <x:v>C terrain/inland-utility</x:v>
      </x:c>
      <x:c r="D37" s="23" t="n">
        <x:v>35</x:v>
      </x:c>
      <x:c r="E37" s="23" t="str">
        <x:v>50% district capacity</x:v>
      </x:c>
      <x:c r="F37" s="30" t="str">
        <x:v>Separate access, power, handling, control and safety ancestry</x:v>
      </x:c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23" t="str">
        <x:v>N1</x:v>
      </x:c>
      <x:c r="B38" s="23" t="str">
        <x:v>N1-D6</x:v>
      </x:c>
      <x:c r="C38" s="23" t="str">
        <x:v>A civic-port/shorefall</x:v>
      </x:c>
      <x:c r="D38" s="23" t="n">
        <x:v>33</x:v>
      </x:c>
      <x:c r="E38" s="23" t="str">
        <x:v>50% district capacity</x:v>
      </x:c>
      <x:c r="F38" s="30" t="str">
        <x:v>Separate access, power, handling, control and safety ancestry</x:v>
      </x:c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23" t="str">
        <x:v>N1</x:v>
      </x:c>
      <x:c r="B39" s="23" t="str">
        <x:v>N1-D6</x:v>
      </x:c>
      <x:c r="C39" s="23" t="str">
        <x:v>B air-land interchange</x:v>
      </x:c>
      <x:c r="D39" s="23" t="n">
        <x:v>33</x:v>
      </x:c>
      <x:c r="E39" s="23" t="str">
        <x:v>50% district capacity</x:v>
      </x:c>
      <x:c r="F39" s="30" t="str">
        <x:v>Separate access, power, handling, control and safety ancestry</x:v>
      </x:c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23" t="str">
        <x:v>N1</x:v>
      </x:c>
      <x:c r="B40" s="23" t="str">
        <x:v>N1-D6</x:v>
      </x:c>
      <x:c r="C40" s="23" t="str">
        <x:v>C terrain/inland-utility</x:v>
      </x:c>
      <x:c r="D40" s="23" t="n">
        <x:v>33</x:v>
      </x:c>
      <x:c r="E40" s="23" t="str">
        <x:v>50% district capacity</x:v>
      </x:c>
      <x:c r="F40" s="30" t="str">
        <x:v>Separate access, power, handling, control and safety ancestry</x:v>
      </x:c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23" t="str">
        <x:v>N2</x:v>
      </x:c>
      <x:c r="B41" s="23" t="str">
        <x:v>N2-D1</x:v>
      </x:c>
      <x:c r="C41" s="23" t="str">
        <x:v>A civic-port/shorefall</x:v>
      </x:c>
      <x:c r="D41" s="23" t="n">
        <x:v>34</x:v>
      </x:c>
      <x:c r="E41" s="23" t="str">
        <x:v>50% district capacity</x:v>
      </x:c>
      <x:c r="F41" s="30" t="str">
        <x:v>Separate access, power, handling, control and safety ancestry</x:v>
      </x:c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23" t="str">
        <x:v>N2</x:v>
      </x:c>
      <x:c r="B42" s="23" t="str">
        <x:v>N2-D1</x:v>
      </x:c>
      <x:c r="C42" s="23" t="str">
        <x:v>B air-land interchange</x:v>
      </x:c>
      <x:c r="D42" s="23" t="n">
        <x:v>34</x:v>
      </x:c>
      <x:c r="E42" s="23" t="str">
        <x:v>50% district capacity</x:v>
      </x:c>
      <x:c r="F42" s="30" t="str">
        <x:v>Separate access, power, handling, control and safety ancestry</x:v>
      </x:c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23" t="str">
        <x:v>N2</x:v>
      </x:c>
      <x:c r="B43" s="23" t="str">
        <x:v>N2-D1</x:v>
      </x:c>
      <x:c r="C43" s="23" t="str">
        <x:v>C terrain/inland-utility</x:v>
      </x:c>
      <x:c r="D43" s="23" t="n">
        <x:v>34</x:v>
      </x:c>
      <x:c r="E43" s="23" t="str">
        <x:v>50% district capacity</x:v>
      </x:c>
      <x:c r="F43" s="30" t="str">
        <x:v>Separate access, power, handling, control and safety ancestry</x:v>
      </x:c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23" t="str">
        <x:v>N2</x:v>
      </x:c>
      <x:c r="B44" s="23" t="str">
        <x:v>N2-D2</x:v>
      </x:c>
      <x:c r="C44" s="23" t="str">
        <x:v>A civic-port/shorefall</x:v>
      </x:c>
      <x:c r="D44" s="23" t="n">
        <x:v>37</x:v>
      </x:c>
      <x:c r="E44" s="23" t="str">
        <x:v>50% district capacity</x:v>
      </x:c>
      <x:c r="F44" s="30" t="str">
        <x:v>Separate access, power, handling, control and safety ancestry</x:v>
      </x:c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23" t="str">
        <x:v>N2</x:v>
      </x:c>
      <x:c r="B45" s="23" t="str">
        <x:v>N2-D2</x:v>
      </x:c>
      <x:c r="C45" s="23" t="str">
        <x:v>B air-land interchange</x:v>
      </x:c>
      <x:c r="D45" s="23" t="n">
        <x:v>37</x:v>
      </x:c>
      <x:c r="E45" s="23" t="str">
        <x:v>50% district capacity</x:v>
      </x:c>
      <x:c r="F45" s="30" t="str">
        <x:v>Separate access, power, handling, control and safety ancestry</x:v>
      </x:c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23" t="str">
        <x:v>N2</x:v>
      </x:c>
      <x:c r="B46" s="23" t="str">
        <x:v>N2-D2</x:v>
      </x:c>
      <x:c r="C46" s="23" t="str">
        <x:v>C terrain/inland-utility</x:v>
      </x:c>
      <x:c r="D46" s="23" t="n">
        <x:v>37</x:v>
      </x:c>
      <x:c r="E46" s="23" t="str">
        <x:v>50% district capacity</x:v>
      </x:c>
      <x:c r="F46" s="30" t="str">
        <x:v>Separate access, power, handling, control and safety ancestry</x:v>
      </x:c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23" t="str">
        <x:v>N2</x:v>
      </x:c>
      <x:c r="B47" s="23" t="str">
        <x:v>N2-D3</x:v>
      </x:c>
      <x:c r="C47" s="23" t="str">
        <x:v>A civic-port/shorefall</x:v>
      </x:c>
      <x:c r="D47" s="23" t="n">
        <x:v>35</x:v>
      </x:c>
      <x:c r="E47" s="23" t="str">
        <x:v>50% district capacity</x:v>
      </x:c>
      <x:c r="F47" s="30" t="str">
        <x:v>Separate access, power, handling, control and safety ancestry</x:v>
      </x:c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23" t="str">
        <x:v>N2</x:v>
      </x:c>
      <x:c r="B48" s="23" t="str">
        <x:v>N2-D3</x:v>
      </x:c>
      <x:c r="C48" s="23" t="str">
        <x:v>B air-land interchange</x:v>
      </x:c>
      <x:c r="D48" s="23" t="n">
        <x:v>35</x:v>
      </x:c>
      <x:c r="E48" s="23" t="str">
        <x:v>50% district capacity</x:v>
      </x:c>
      <x:c r="F48" s="30" t="str">
        <x:v>Separate access, power, handling, control and safety ancestry</x:v>
      </x:c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23" t="str">
        <x:v>N2</x:v>
      </x:c>
      <x:c r="B49" s="23" t="str">
        <x:v>N2-D3</x:v>
      </x:c>
      <x:c r="C49" s="23" t="str">
        <x:v>C terrain/inland-utility</x:v>
      </x:c>
      <x:c r="D49" s="23" t="n">
        <x:v>35</x:v>
      </x:c>
      <x:c r="E49" s="23" t="str">
        <x:v>50% district capacity</x:v>
      </x:c>
      <x:c r="F49" s="30" t="str">
        <x:v>Separate access, power, handling, control and safety ancestry</x:v>
      </x:c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23" t="str">
        <x:v>N2</x:v>
      </x:c>
      <x:c r="B50" s="23" t="str">
        <x:v>N2-D4</x:v>
      </x:c>
      <x:c r="C50" s="23" t="str">
        <x:v>A civic-port/shorefall</x:v>
      </x:c>
      <x:c r="D50" s="23" t="n">
        <x:v>38</x:v>
      </x:c>
      <x:c r="E50" s="23" t="str">
        <x:v>50% district capacity</x:v>
      </x:c>
      <x:c r="F50" s="30" t="str">
        <x:v>Separate access, power, handling, control and safety ancestry</x:v>
      </x:c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23" t="str">
        <x:v>N2</x:v>
      </x:c>
      <x:c r="B51" s="23" t="str">
        <x:v>N2-D4</x:v>
      </x:c>
      <x:c r="C51" s="23" t="str">
        <x:v>B air-land interchange</x:v>
      </x:c>
      <x:c r="D51" s="23" t="n">
        <x:v>38</x:v>
      </x:c>
      <x:c r="E51" s="23" t="str">
        <x:v>50% district capacity</x:v>
      </x:c>
      <x:c r="F51" s="30" t="str">
        <x:v>Separate access, power, handling, control and safety ancestry</x:v>
      </x:c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23" t="str">
        <x:v>N2</x:v>
      </x:c>
      <x:c r="B52" s="23" t="str">
        <x:v>N2-D4</x:v>
      </x:c>
      <x:c r="C52" s="23" t="str">
        <x:v>C terrain/inland-utility</x:v>
      </x:c>
      <x:c r="D52" s="23" t="n">
        <x:v>38</x:v>
      </x:c>
      <x:c r="E52" s="23" t="str">
        <x:v>50% district capacity</x:v>
      </x:c>
      <x:c r="F52" s="30" t="str">
        <x:v>Separate access, power, handling, control and safety ancestry</x:v>
      </x:c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23" t="str">
        <x:v>N2</x:v>
      </x:c>
      <x:c r="B53" s="23" t="str">
        <x:v>N2-D5</x:v>
      </x:c>
      <x:c r="C53" s="23" t="str">
        <x:v>A civic-port/shorefall</x:v>
      </x:c>
      <x:c r="D53" s="23" t="n">
        <x:v>35</x:v>
      </x:c>
      <x:c r="E53" s="23" t="str">
        <x:v>50% district capacity</x:v>
      </x:c>
      <x:c r="F53" s="30" t="str">
        <x:v>Separate access, power, handling, control and safety ancestry</x:v>
      </x:c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23" t="str">
        <x:v>N2</x:v>
      </x:c>
      <x:c r="B54" s="23" t="str">
        <x:v>N2-D5</x:v>
      </x:c>
      <x:c r="C54" s="23" t="str">
        <x:v>B air-land interchange</x:v>
      </x:c>
      <x:c r="D54" s="23" t="n">
        <x:v>35</x:v>
      </x:c>
      <x:c r="E54" s="23" t="str">
        <x:v>50% district capacity</x:v>
      </x:c>
      <x:c r="F54" s="30" t="str">
        <x:v>Separate access, power, handling, control and safety ancestry</x:v>
      </x:c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23" t="str">
        <x:v>N2</x:v>
      </x:c>
      <x:c r="B55" s="23" t="str">
        <x:v>N2-D5</x:v>
      </x:c>
      <x:c r="C55" s="23" t="str">
        <x:v>C terrain/inland-utility</x:v>
      </x:c>
      <x:c r="D55" s="23" t="n">
        <x:v>35</x:v>
      </x:c>
      <x:c r="E55" s="23" t="str">
        <x:v>50% district capacity</x:v>
      </x:c>
      <x:c r="F55" s="30" t="str">
        <x:v>Separate access, power, handling, control and safety ancestry</x:v>
      </x:c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23" t="str">
        <x:v>N2</x:v>
      </x:c>
      <x:c r="B56" s="23" t="str">
        <x:v>N2-D6</x:v>
      </x:c>
      <x:c r="C56" s="23" t="str">
        <x:v>A civic-port/shorefall</x:v>
      </x:c>
      <x:c r="D56" s="23" t="n">
        <x:v>36</x:v>
      </x:c>
      <x:c r="E56" s="23" t="str">
        <x:v>50% district capacity</x:v>
      </x:c>
      <x:c r="F56" s="30" t="str">
        <x:v>Separate access, power, handling, control and safety ancestry</x:v>
      </x:c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23" t="str">
        <x:v>N2</x:v>
      </x:c>
      <x:c r="B57" s="23" t="str">
        <x:v>N2-D6</x:v>
      </x:c>
      <x:c r="C57" s="23" t="str">
        <x:v>B air-land interchange</x:v>
      </x:c>
      <x:c r="D57" s="23" t="n">
        <x:v>36</x:v>
      </x:c>
      <x:c r="E57" s="23" t="str">
        <x:v>50% district capacity</x:v>
      </x:c>
      <x:c r="F57" s="30" t="str">
        <x:v>Separate access, power, handling, control and safety ancestry</x:v>
      </x:c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23" t="str">
        <x:v>N2</x:v>
      </x:c>
      <x:c r="B58" s="23" t="str">
        <x:v>N2-D6</x:v>
      </x:c>
      <x:c r="C58" s="23" t="str">
        <x:v>C terrain/inland-utility</x:v>
      </x:c>
      <x:c r="D58" s="23" t="n">
        <x:v>36</x:v>
      </x:c>
      <x:c r="E58" s="23" t="str">
        <x:v>50% district capacity</x:v>
      </x:c>
      <x:c r="F58" s="30" t="str">
        <x:v>Separate access, power, handling, control and safety ancestry</x:v>
      </x:c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7" hidden="0" customWidth="1"/>
    <x:col min="5" max="5" width="15" hidden="0" customWidth="1"/>
    <x:col min="6" max="6" width="20" hidden="0" customWidth="1"/>
    <x:col min="7" max="7" width="18" hidden="0" customWidth="1"/>
    <x:col min="8" max="8" width="21" hidden="0" customWidth="1"/>
    <x:col min="9" max="9" width="20" hidden="0" customWidth="1"/>
    <x:col min="10" max="10" width="25" hidden="0" customWidth="1"/>
    <x:col min="11" max="11" width="19" hidden="0" customWidth="1"/>
    <x:col min="12" max="12" width="23" hidden="0" customWidth="1"/>
    <x:col min="13" max="13" width="25" hidden="0" customWidth="1"/>
  </x:cols>
  <x:sheetData>
    <x:row r="2">
      <x:c r="A2" s="18" t="str">
        <x:v>Forward material and time bridge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Early equipment and sustainment are separate physical ledgers; their overlap is not assumed.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Network</x:v>
      </x:c>
      <x:c r="B6" s="22" t="str">
        <x:v>Campaign</x:v>
      </x:c>
      <x:c r="C6" s="22" t="str">
        <x:v>Notice h</x:v>
      </x:c>
      <x:c r="D6" s="22" t="str">
        <x:v>Occupied days</x:v>
      </x:c>
      <x:c r="E6" s="22" t="str">
        <x:v>Formations</x:v>
      </x:c>
      <x:c r="F6" s="22" t="str">
        <x:v>Early equivalents</x:v>
      </x:c>
      <x:c r="G6" s="22" t="str">
        <x:v>Early mass t</x:v>
      </x:c>
      <x:c r="H6" s="22" t="str">
        <x:v>Sustainment t/day</x:v>
      </x:c>
      <x:c r="I6" s="22" t="str">
        <x:v>25% early mass t</x:v>
      </x:c>
      <x:c r="J6" s="22" t="str">
        <x:v>Move after acceptance t</x:v>
      </x:c>
      <x:c r="K6" s="22" t="str">
        <x:v>14-day stock t</x:v>
      </x:c>
      <x:c r="L6" s="22" t="str">
        <x:v>Nested lower bound t</x:v>
      </x:c>
      <x:c r="M6" s="22" t="str">
        <x:v>Additive upper bound t</x:v>
      </x:c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N1</x:v>
      </x:c>
      <x:c r="B7" s="23" t="str">
        <x:v>I1</x:v>
      </x:c>
      <x:c r="C7" s="23" t="n">
        <x:v>0</x:v>
      </x:c>
      <x:c r="D7" s="23" t="n">
        <x:v>281</x:v>
      </x:c>
      <x:c r="E7" s="23" t="n">
        <x:v>334</x:v>
      </x:c>
      <x:c r="F7" s="23" t="n">
        <x:v>193.39999999999995</x:v>
      </x:c>
      <x:c r="G7" s="24" t="n">
        <x:v>1226202.4000000001</x:v>
      </x:c>
      <x:c r="H7" s="24" t="n">
        <x:v>24145</x:v>
      </x:c>
      <x:c r="I7" s="24" t="n">
        <x:v>306550.60000000003</x:v>
      </x:c>
      <x:c r="J7" s="24" t="n">
        <x:v>919651.8</x:v>
      </x:c>
      <x:c r="K7" s="24" t="n">
        <x:v>338030</x:v>
      </x:c>
      <x:c r="L7" s="24" t="n">
        <x:v>338030</x:v>
      </x:c>
      <x:c r="M7" s="24" t="n">
        <x:v>644580.6000000001</x:v>
      </x:c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N2</x:v>
      </x:c>
      <x:c r="B8" s="23" t="str">
        <x:v>I2</x:v>
      </x:c>
      <x:c r="C8" s="23" t="n">
        <x:v>72</x:v>
      </x:c>
      <x:c r="D8" s="23" t="n">
        <x:v>268</x:v>
      </x:c>
      <x:c r="E8" s="23" t="n">
        <x:v>341</x:v>
      </x:c>
      <x:c r="F8" s="23" t="n">
        <x:v>197.60000000000002</x:v>
      </x:c>
      <x:c r="G8" s="24" t="n">
        <x:v>1221963.2</x:v>
      </x:c>
      <x:c r="H8" s="24" t="n">
        <x:v>24645</x:v>
      </x:c>
      <x:c r="I8" s="24" t="n">
        <x:v>305490.8</x:v>
      </x:c>
      <x:c r="J8" s="24" t="n">
        <x:v>916472.3999999999</x:v>
      </x:c>
      <x:c r="K8" s="24" t="n">
        <x:v>345030</x:v>
      </x:c>
      <x:c r="L8" s="24" t="n">
        <x:v>345030</x:v>
      </x:c>
      <x:c r="M8" s="24" t="n">
        <x:v>650520.8</x:v>
      </x:c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2" t="str">
        <x:v>Tier</x:v>
      </x:c>
      <x:c r="B12" s="22" t="str">
        <x:v>Custody</x:v>
      </x:c>
      <x:c r="C12" s="22" t="str">
        <x:v>Always forward</x:v>
      </x:c>
      <x:c r="D12" s="22" t="str">
        <x:v>Force credit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P0</x:v>
      </x:c>
      <x:c r="B13" s="23" t="str">
        <x:v>Host</x:v>
      </x:c>
      <x:c r="C13" s="23" t="str">
        <x:v>Civil receiver plant, local workforce and partner bridge stock</x:v>
      </x:c>
      <x:c r="D13" s="23" t="str">
        <x:v>Zero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P1</x:v>
      </x:c>
      <x:c r="B14" s="23" t="str">
        <x:v>Bilateral dual key</x:v>
      </x:c>
      <x:c r="C14" s="23" t="str">
        <x:v>U.S. mission modules, configuration and exercise stock</x:v>
      </x:c>
      <x:c r="D14" s="23" t="str">
        <x:v>Zero before acceptance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P2</x:v>
      </x:c>
      <x:c r="B15" s="23" t="str">
        <x:v>U.S. serial under host admission</x:v>
      </x:c>
      <x:c r="C15" s="23" t="str">
        <x:v>Formation people, carriers and remaining mass</x:v>
      </x:c>
      <x:c r="D15" s="23" t="str">
        <x:v>Only after treaty seals</x:v>
      </x:c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P3</x:v>
      </x:c>
      <x:c r="B16" s="23" t="str">
        <x:v>Host transfer</x:v>
      </x:c>
      <x:c r="C16" s="23" t="str">
        <x:v>Operating, repair, evidence and reproduction package</x:v>
      </x:c>
      <x:c r="D16" s="23" t="str">
        <x:v>Strategic effect only after proof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42" hidden="0" customWidth="1"/>
    <x:col min="4" max="4" width="10" hidden="0" customWidth="1"/>
    <x:col min="5" max="5" width="15" hidden="0" customWidth="1"/>
    <x:col min="6" max="6" width="59" hidden="0" customWidth="1"/>
    <x:col min="7" max="7" width="25" hidden="0" customWidth="1"/>
  </x:cols>
  <x:sheetData>
    <x:row r="2">
      <x:c r="A2" s="18" t="str">
        <x:v>Separated partner production and assurance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Two roots per family-network obligation plus a public assurance cell support local repair and reproduction.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Network</x:v>
      </x:c>
      <x:c r="B6" s="22" t="str">
        <x:v>Family ID</x:v>
      </x:c>
      <x:c r="C6" s="22" t="str">
        <x:v>Formation family</x:v>
      </x:c>
      <x:c r="D6" s="22" t="str">
        <x:v>Root</x:v>
      </x:c>
      <x:c r="E6" s="22" t="str">
        <x:v>District</x:v>
      </x:c>
      <x:c r="F6" s="22" t="str">
        <x:v>Scope</x:v>
      </x:c>
      <x:c r="G6" s="22" t="str">
        <x:v>Evidence state</x:v>
      </x:c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N1</x:v>
      </x:c>
      <x:c r="B7" s="23" t="str">
        <x:v>J-CIE</x:v>
      </x:c>
      <x:c r="C7" s="23" t="str">
        <x:v>Civil integration and effects group</x:v>
      </x:c>
      <x:c r="D7" s="23" t="str">
        <x:v>A</x:v>
      </x:c>
      <x:c r="E7" s="23" t="str">
        <x:v>N1-D1</x:v>
      </x:c>
      <x:c r="F7" s="23" t="str">
        <x:v>interface, consumable and field-repair path</x:v>
      </x:c>
      <x:c r="G7" s="28" t="str">
        <x:v>SOURCE EMPTY / HOLD</x:v>
      </x:c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N1</x:v>
      </x:c>
      <x:c r="B8" s="23" t="str">
        <x:v>J-CIE</x:v>
      </x:c>
      <x:c r="C8" s="23" t="str">
        <x:v>Civil integration and effects group</x:v>
      </x:c>
      <x:c r="D8" s="23" t="str">
        <x:v>B</x:v>
      </x:c>
      <x:c r="E8" s="23" t="str">
        <x:v>N1-D4</x:v>
      </x:c>
      <x:c r="F8" s="23" t="str">
        <x:v>replacement, tooling and alternate-material path</x:v>
      </x:c>
      <x:c r="G8" s="28" t="str">
        <x:v>SOURCE EMPTY / HOLD</x:v>
      </x:c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N2</x:v>
      </x:c>
      <x:c r="B9" s="23" t="str">
        <x:v>J-CIE</x:v>
      </x:c>
      <x:c r="C9" s="23" t="str">
        <x:v>Civil integration and effects group</x:v>
      </x:c>
      <x:c r="D9" s="23" t="str">
        <x:v>A</x:v>
      </x:c>
      <x:c r="E9" s="23" t="str">
        <x:v>N2-D2</x:v>
      </x:c>
      <x:c r="F9" s="23" t="str">
        <x:v>interface, consumable and field-repair path</x:v>
      </x:c>
      <x:c r="G9" s="28" t="str">
        <x:v>SOURCE EMPTY / HOLD</x:v>
      </x:c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N2</x:v>
      </x:c>
      <x:c r="B10" s="23" t="str">
        <x:v>J-CIE</x:v>
      </x:c>
      <x:c r="C10" s="23" t="str">
        <x:v>Civil integration and effects group</x:v>
      </x:c>
      <x:c r="D10" s="23" t="str">
        <x:v>B</x:v>
      </x:c>
      <x:c r="E10" s="23" t="str">
        <x:v>N2-D5</x:v>
      </x:c>
      <x:c r="F10" s="23" t="str">
        <x:v>replacement, tooling and alternate-material path</x:v>
      </x:c>
      <x:c r="G10" s="28" t="str">
        <x:v>SOURCE EMPTY / HOLD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N1</x:v>
      </x:c>
      <x:c r="B11" s="23" t="str">
        <x:v>J-TOC</x:v>
      </x:c>
      <x:c r="C11" s="23" t="str">
        <x:v>Theater-opening command</x:v>
      </x:c>
      <x:c r="D11" s="23" t="str">
        <x:v>A</x:v>
      </x:c>
      <x:c r="E11" s="23" t="str">
        <x:v>N1-D2</x:v>
      </x:c>
      <x:c r="F11" s="23" t="str">
        <x:v>interface, consumable and field-repair path</x:v>
      </x:c>
      <x:c r="G11" s="28" t="str">
        <x:v>SOURCE EMPTY / HOLD</x:v>
      </x:c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N1</x:v>
      </x:c>
      <x:c r="B12" s="23" t="str">
        <x:v>J-TOC</x:v>
      </x:c>
      <x:c r="C12" s="23" t="str">
        <x:v>Theater-opening command</x:v>
      </x:c>
      <x:c r="D12" s="23" t="str">
        <x:v>B</x:v>
      </x:c>
      <x:c r="E12" s="23" t="str">
        <x:v>N1-D5</x:v>
      </x:c>
      <x:c r="F12" s="23" t="str">
        <x:v>replacement, tooling and alternate-material path</x:v>
      </x:c>
      <x:c r="G12" s="28" t="str">
        <x:v>SOURCE EMPTY / HOLD</x:v>
      </x:c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N2</x:v>
      </x:c>
      <x:c r="B13" s="23" t="str">
        <x:v>J-TOC</x:v>
      </x:c>
      <x:c r="C13" s="23" t="str">
        <x:v>Theater-opening command</x:v>
      </x:c>
      <x:c r="D13" s="23" t="str">
        <x:v>A</x:v>
      </x:c>
      <x:c r="E13" s="23" t="str">
        <x:v>N2-D3</x:v>
      </x:c>
      <x:c r="F13" s="23" t="str">
        <x:v>interface, consumable and field-repair path</x:v>
      </x:c>
      <x:c r="G13" s="28" t="str">
        <x:v>SOURCE EMPTY / HOLD</x:v>
      </x:c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N2</x:v>
      </x:c>
      <x:c r="B14" s="23" t="str">
        <x:v>J-TOC</x:v>
      </x:c>
      <x:c r="C14" s="23" t="str">
        <x:v>Theater-opening command</x:v>
      </x:c>
      <x:c r="D14" s="23" t="str">
        <x:v>B</x:v>
      </x:c>
      <x:c r="E14" s="23" t="str">
        <x:v>N2-D6</x:v>
      </x:c>
      <x:c r="F14" s="23" t="str">
        <x:v>replacement, tooling and alternate-material path</x:v>
      </x:c>
      <x:c r="G14" s="28" t="str">
        <x:v>SOURCE EMPTY / HOLD</x:v>
      </x:c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N1</x:v>
      </x:c>
      <x:c r="B15" s="23" t="str">
        <x:v>J-TSC</x:v>
      </x:c>
      <x:c r="C15" s="23" t="str">
        <x:v>Theater sustainment command</x:v>
      </x:c>
      <x:c r="D15" s="23" t="str">
        <x:v>A</x:v>
      </x:c>
      <x:c r="E15" s="23" t="str">
        <x:v>N1-D3</x:v>
      </x:c>
      <x:c r="F15" s="23" t="str">
        <x:v>interface, consumable and field-repair path</x:v>
      </x:c>
      <x:c r="G15" s="28" t="str">
        <x:v>SOURCE EMPTY / HOLD</x:v>
      </x:c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N1</x:v>
      </x:c>
      <x:c r="B16" s="23" t="str">
        <x:v>J-TSC</x:v>
      </x:c>
      <x:c r="C16" s="23" t="str">
        <x:v>Theater sustainment command</x:v>
      </x:c>
      <x:c r="D16" s="23" t="str">
        <x:v>B</x:v>
      </x:c>
      <x:c r="E16" s="23" t="str">
        <x:v>N1-D6</x:v>
      </x:c>
      <x:c r="F16" s="23" t="str">
        <x:v>replacement, tooling and alternate-material path</x:v>
      </x:c>
      <x:c r="G16" s="28" t="str">
        <x:v>SOURCE EMPTY / HOLD</x:v>
      </x:c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N2</x:v>
      </x:c>
      <x:c r="B17" s="23" t="str">
        <x:v>J-TSC</x:v>
      </x:c>
      <x:c r="C17" s="23" t="str">
        <x:v>Theater sustainment command</x:v>
      </x:c>
      <x:c r="D17" s="23" t="str">
        <x:v>A</x:v>
      </x:c>
      <x:c r="E17" s="23" t="str">
        <x:v>N2-D4</x:v>
      </x:c>
      <x:c r="F17" s="23" t="str">
        <x:v>interface, consumable and field-repair path</x:v>
      </x:c>
      <x:c r="G17" s="28" t="str">
        <x:v>SOURCE EMPTY / HOLD</x:v>
      </x:c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N2</x:v>
      </x:c>
      <x:c r="B18" s="23" t="str">
        <x:v>J-TSC</x:v>
      </x:c>
      <x:c r="C18" s="23" t="str">
        <x:v>Theater sustainment command</x:v>
      </x:c>
      <x:c r="D18" s="23" t="str">
        <x:v>B</x:v>
      </x:c>
      <x:c r="E18" s="23" t="str">
        <x:v>N2-D1</x:v>
      </x:c>
      <x:c r="F18" s="23" t="str">
        <x:v>replacement, tooling and alternate-material path</x:v>
      </x:c>
      <x:c r="G18" s="28" t="str">
        <x:v>SOURCE EMPTY / HOLD</x:v>
      </x:c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N1</x:v>
      </x:c>
      <x:c r="B19" s="23" t="str">
        <x:v>J-RRG</x:v>
      </x:c>
      <x:c r="C19" s="23" t="str">
        <x:v>Replacement and reconstitution group</x:v>
      </x:c>
      <x:c r="D19" s="23" t="str">
        <x:v>A</x:v>
      </x:c>
      <x:c r="E19" s="23" t="str">
        <x:v>N1-D4</x:v>
      </x:c>
      <x:c r="F19" s="23" t="str">
        <x:v>interface, consumable and field-repair path</x:v>
      </x:c>
      <x:c r="G19" s="28" t="str">
        <x:v>SOURCE EMPTY / HOLD</x:v>
      </x:c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N1</x:v>
      </x:c>
      <x:c r="B20" s="23" t="str">
        <x:v>J-RRG</x:v>
      </x:c>
      <x:c r="C20" s="23" t="str">
        <x:v>Replacement and reconstitution group</x:v>
      </x:c>
      <x:c r="D20" s="23" t="str">
        <x:v>B</x:v>
      </x:c>
      <x:c r="E20" s="23" t="str">
        <x:v>N1-D1</x:v>
      </x:c>
      <x:c r="F20" s="23" t="str">
        <x:v>replacement, tooling and alternate-material path</x:v>
      </x:c>
      <x:c r="G20" s="28" t="str">
        <x:v>SOURCE EMPTY / HOLD</x:v>
      </x:c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str">
        <x:v>N2</x:v>
      </x:c>
      <x:c r="B21" s="23" t="str">
        <x:v>J-RRG</x:v>
      </x:c>
      <x:c r="C21" s="23" t="str">
        <x:v>Replacement and reconstitution group</x:v>
      </x:c>
      <x:c r="D21" s="23" t="str">
        <x:v>A</x:v>
      </x:c>
      <x:c r="E21" s="23" t="str">
        <x:v>N2-D5</x:v>
      </x:c>
      <x:c r="F21" s="23" t="str">
        <x:v>interface, consumable and field-repair path</x:v>
      </x:c>
      <x:c r="G21" s="28" t="str">
        <x:v>SOURCE EMPTY / HOLD</x:v>
      </x:c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3" t="str">
        <x:v>N2</x:v>
      </x:c>
      <x:c r="B22" s="23" t="str">
        <x:v>J-RRG</x:v>
      </x:c>
      <x:c r="C22" s="23" t="str">
        <x:v>Replacement and reconstitution group</x:v>
      </x:c>
      <x:c r="D22" s="23" t="str">
        <x:v>B</x:v>
      </x:c>
      <x:c r="E22" s="23" t="str">
        <x:v>N2-D2</x:v>
      </x:c>
      <x:c r="F22" s="23" t="str">
        <x:v>replacement, tooling and alternate-material path</x:v>
      </x:c>
      <x:c r="G22" s="28" t="str">
        <x:v>SOURCE EMPTY / HOLD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str">
        <x:v>N1</x:v>
      </x:c>
      <x:c r="B23" s="23" t="str">
        <x:v>J-TDG</x:v>
      </x:c>
      <x:c r="C23" s="23" t="str">
        <x:v>Transfer and demobilization group</x:v>
      </x:c>
      <x:c r="D23" s="23" t="str">
        <x:v>A</x:v>
      </x:c>
      <x:c r="E23" s="23" t="str">
        <x:v>N1-D5</x:v>
      </x:c>
      <x:c r="F23" s="23" t="str">
        <x:v>interface, consumable and field-repair path</x:v>
      </x:c>
      <x:c r="G23" s="28" t="str">
        <x:v>SOURCE EMPTY / HOLD</x:v>
      </x:c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3" t="str">
        <x:v>N1</x:v>
      </x:c>
      <x:c r="B24" s="23" t="str">
        <x:v>J-TDG</x:v>
      </x:c>
      <x:c r="C24" s="23" t="str">
        <x:v>Transfer and demobilization group</x:v>
      </x:c>
      <x:c r="D24" s="23" t="str">
        <x:v>B</x:v>
      </x:c>
      <x:c r="E24" s="23" t="str">
        <x:v>N1-D2</x:v>
      </x:c>
      <x:c r="F24" s="23" t="str">
        <x:v>replacement, tooling and alternate-material path</x:v>
      </x:c>
      <x:c r="G24" s="28" t="str">
        <x:v>SOURCE EMPTY / HOLD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3" t="str">
        <x:v>N2</x:v>
      </x:c>
      <x:c r="B25" s="23" t="str">
        <x:v>J-TDG</x:v>
      </x:c>
      <x:c r="C25" s="23" t="str">
        <x:v>Transfer and demobilization group</x:v>
      </x:c>
      <x:c r="D25" s="23" t="str">
        <x:v>A</x:v>
      </x:c>
      <x:c r="E25" s="23" t="str">
        <x:v>N2-D6</x:v>
      </x:c>
      <x:c r="F25" s="23" t="str">
        <x:v>interface, consumable and field-repair path</x:v>
      </x:c>
      <x:c r="G25" s="28" t="str">
        <x:v>SOURCE EMPTY / HOLD</x:v>
      </x:c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3" t="str">
        <x:v>N2</x:v>
      </x:c>
      <x:c r="B26" s="23" t="str">
        <x:v>J-TDG</x:v>
      </x:c>
      <x:c r="C26" s="23" t="str">
        <x:v>Transfer and demobilization group</x:v>
      </x:c>
      <x:c r="D26" s="23" t="str">
        <x:v>B</x:v>
      </x:c>
      <x:c r="E26" s="23" t="str">
        <x:v>N2-D3</x:v>
      </x:c>
      <x:c r="F26" s="23" t="str">
        <x:v>replacement, tooling and alternate-material path</x:v>
      </x:c>
      <x:c r="G26" s="28" t="str">
        <x:v>SOURCE EMPTY / HOLD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3" t="str">
        <x:v>N1</x:v>
      </x:c>
      <x:c r="B27" s="23" t="str">
        <x:v>L-ROG</x:v>
      </x:c>
      <x:c r="C27" s="23" t="str">
        <x:v>Access and route-opening group</x:v>
      </x:c>
      <x:c r="D27" s="23" t="str">
        <x:v>A</x:v>
      </x:c>
      <x:c r="E27" s="23" t="str">
        <x:v>N1-D6</x:v>
      </x:c>
      <x:c r="F27" s="23" t="str">
        <x:v>interface, consumable and field-repair path</x:v>
      </x:c>
      <x:c r="G27" s="28" t="str">
        <x:v>SOURCE EMPTY / HOLD</x:v>
      </x:c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3" t="str">
        <x:v>N1</x:v>
      </x:c>
      <x:c r="B28" s="23" t="str">
        <x:v>L-ROG</x:v>
      </x:c>
      <x:c r="C28" s="23" t="str">
        <x:v>Access and route-opening group</x:v>
      </x:c>
      <x:c r="D28" s="23" t="str">
        <x:v>B</x:v>
      </x:c>
      <x:c r="E28" s="23" t="str">
        <x:v>N1-D3</x:v>
      </x:c>
      <x:c r="F28" s="23" t="str">
        <x:v>replacement, tooling and alternate-material path</x:v>
      </x:c>
      <x:c r="G28" s="28" t="str">
        <x:v>SOURCE EMPTY / HOLD</x:v>
      </x:c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3" t="str">
        <x:v>N2</x:v>
      </x:c>
      <x:c r="B29" s="23" t="str">
        <x:v>L-ROG</x:v>
      </x:c>
      <x:c r="C29" s="23" t="str">
        <x:v>Access and route-opening group</x:v>
      </x:c>
      <x:c r="D29" s="23" t="str">
        <x:v>A</x:v>
      </x:c>
      <x:c r="E29" s="23" t="str">
        <x:v>N2-D1</x:v>
      </x:c>
      <x:c r="F29" s="23" t="str">
        <x:v>interface, consumable and field-repair path</x:v>
      </x:c>
      <x:c r="G29" s="28" t="str">
        <x:v>SOURCE EMPTY / HOLD</x:v>
      </x:c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3" t="str">
        <x:v>N2</x:v>
      </x:c>
      <x:c r="B30" s="23" t="str">
        <x:v>L-ROG</x:v>
      </x:c>
      <x:c r="C30" s="23" t="str">
        <x:v>Access and route-opening group</x:v>
      </x:c>
      <x:c r="D30" s="23" t="str">
        <x:v>B</x:v>
      </x:c>
      <x:c r="E30" s="23" t="str">
        <x:v>N2-D4</x:v>
      </x:c>
      <x:c r="F30" s="23" t="str">
        <x:v>replacement, tooling and alternate-material path</x:v>
      </x:c>
      <x:c r="G30" s="28" t="str">
        <x:v>SOURCE EMPTY / HOLD</x:v>
      </x:c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3" t="str">
        <x:v>N1</x:v>
      </x:c>
      <x:c r="B31" s="23" t="str">
        <x:v>L-HCG</x:v>
      </x:c>
      <x:c r="C31" s="23" t="str">
        <x:v>Flood and hydraulic-control group</x:v>
      </x:c>
      <x:c r="D31" s="23" t="str">
        <x:v>A</x:v>
      </x:c>
      <x:c r="E31" s="23" t="str">
        <x:v>N1-D1</x:v>
      </x:c>
      <x:c r="F31" s="23" t="str">
        <x:v>interface, consumable and field-repair path</x:v>
      </x:c>
      <x:c r="G31" s="28" t="str">
        <x:v>SOURCE EMPTY / HOLD</x:v>
      </x:c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23" t="str">
        <x:v>N1</x:v>
      </x:c>
      <x:c r="B32" s="23" t="str">
        <x:v>L-HCG</x:v>
      </x:c>
      <x:c r="C32" s="23" t="str">
        <x:v>Flood and hydraulic-control group</x:v>
      </x:c>
      <x:c r="D32" s="23" t="str">
        <x:v>B</x:v>
      </x:c>
      <x:c r="E32" s="23" t="str">
        <x:v>N1-D4</x:v>
      </x:c>
      <x:c r="F32" s="23" t="str">
        <x:v>replacement, tooling and alternate-material path</x:v>
      </x:c>
      <x:c r="G32" s="28" t="str">
        <x:v>SOURCE EMPTY / HOLD</x:v>
      </x:c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23" t="str">
        <x:v>N2</x:v>
      </x:c>
      <x:c r="B33" s="23" t="str">
        <x:v>L-HCG</x:v>
      </x:c>
      <x:c r="C33" s="23" t="str">
        <x:v>Flood and hydraulic-control group</x:v>
      </x:c>
      <x:c r="D33" s="23" t="str">
        <x:v>A</x:v>
      </x:c>
      <x:c r="E33" s="23" t="str">
        <x:v>N2-D2</x:v>
      </x:c>
      <x:c r="F33" s="23" t="str">
        <x:v>interface, consumable and field-repair path</x:v>
      </x:c>
      <x:c r="G33" s="28" t="str">
        <x:v>SOURCE EMPTY / HOLD</x:v>
      </x:c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23" t="str">
        <x:v>N2</x:v>
      </x:c>
      <x:c r="B34" s="23" t="str">
        <x:v>L-HCG</x:v>
      </x:c>
      <x:c r="C34" s="23" t="str">
        <x:v>Flood and hydraulic-control group</x:v>
      </x:c>
      <x:c r="D34" s="23" t="str">
        <x:v>B</x:v>
      </x:c>
      <x:c r="E34" s="23" t="str">
        <x:v>N2-D5</x:v>
      </x:c>
      <x:c r="F34" s="23" t="str">
        <x:v>replacement, tooling and alternate-material path</x:v>
      </x:c>
      <x:c r="G34" s="28" t="str">
        <x:v>SOURCE EMPTY / HOLD</x:v>
      </x:c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23" t="str">
        <x:v>N1</x:v>
      </x:c>
      <x:c r="B35" s="23" t="str">
        <x:v>L-DMG</x:v>
      </x:c>
      <x:c r="C35" s="23" t="str">
        <x:v>Debris and materials group</x:v>
      </x:c>
      <x:c r="D35" s="23" t="str">
        <x:v>A</x:v>
      </x:c>
      <x:c r="E35" s="23" t="str">
        <x:v>N1-D2</x:v>
      </x:c>
      <x:c r="F35" s="23" t="str">
        <x:v>interface, consumable and field-repair path</x:v>
      </x:c>
      <x:c r="G35" s="28" t="str">
        <x:v>SOURCE EMPTY / HOLD</x:v>
      </x:c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23" t="str">
        <x:v>N1</x:v>
      </x:c>
      <x:c r="B36" s="23" t="str">
        <x:v>L-DMG</x:v>
      </x:c>
      <x:c r="C36" s="23" t="str">
        <x:v>Debris and materials group</x:v>
      </x:c>
      <x:c r="D36" s="23" t="str">
        <x:v>B</x:v>
      </x:c>
      <x:c r="E36" s="23" t="str">
        <x:v>N1-D5</x:v>
      </x:c>
      <x:c r="F36" s="23" t="str">
        <x:v>replacement, tooling and alternate-material path</x:v>
      </x:c>
      <x:c r="G36" s="28" t="str">
        <x:v>SOURCE EMPTY / HOLD</x:v>
      </x:c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23" t="str">
        <x:v>N2</x:v>
      </x:c>
      <x:c r="B37" s="23" t="str">
        <x:v>L-DMG</x:v>
      </x:c>
      <x:c r="C37" s="23" t="str">
        <x:v>Debris and materials group</x:v>
      </x:c>
      <x:c r="D37" s="23" t="str">
        <x:v>A</x:v>
      </x:c>
      <x:c r="E37" s="23" t="str">
        <x:v>N2-D3</x:v>
      </x:c>
      <x:c r="F37" s="23" t="str">
        <x:v>interface, consumable and field-repair path</x:v>
      </x:c>
      <x:c r="G37" s="28" t="str">
        <x:v>SOURCE EMPTY / HOLD</x:v>
      </x:c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23" t="str">
        <x:v>N2</x:v>
      </x:c>
      <x:c r="B38" s="23" t="str">
        <x:v>L-DMG</x:v>
      </x:c>
      <x:c r="C38" s="23" t="str">
        <x:v>Debris and materials group</x:v>
      </x:c>
      <x:c r="D38" s="23" t="str">
        <x:v>B</x:v>
      </x:c>
      <x:c r="E38" s="23" t="str">
        <x:v>N2-D6</x:v>
      </x:c>
      <x:c r="F38" s="23" t="str">
        <x:v>replacement, tooling and alternate-material path</x:v>
      </x:c>
      <x:c r="G38" s="28" t="str">
        <x:v>SOURCE EMPTY / HOLD</x:v>
      </x:c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23" t="str">
        <x:v>N1</x:v>
      </x:c>
      <x:c r="B39" s="23" t="str">
        <x:v>L-TWG</x:v>
      </x:c>
      <x:c r="C39" s="23" t="str">
        <x:v>Temporary works and crossing group</x:v>
      </x:c>
      <x:c r="D39" s="23" t="str">
        <x:v>A</x:v>
      </x:c>
      <x:c r="E39" s="23" t="str">
        <x:v>N1-D3</x:v>
      </x:c>
      <x:c r="F39" s="23" t="str">
        <x:v>interface, consumable and field-repair path</x:v>
      </x:c>
      <x:c r="G39" s="28" t="str">
        <x:v>SOURCE EMPTY / HOLD</x:v>
      </x:c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23" t="str">
        <x:v>N1</x:v>
      </x:c>
      <x:c r="B40" s="23" t="str">
        <x:v>L-TWG</x:v>
      </x:c>
      <x:c r="C40" s="23" t="str">
        <x:v>Temporary works and crossing group</x:v>
      </x:c>
      <x:c r="D40" s="23" t="str">
        <x:v>B</x:v>
      </x:c>
      <x:c r="E40" s="23" t="str">
        <x:v>N1-D6</x:v>
      </x:c>
      <x:c r="F40" s="23" t="str">
        <x:v>replacement, tooling and alternate-material path</x:v>
      </x:c>
      <x:c r="G40" s="28" t="str">
        <x:v>SOURCE EMPTY / HOLD</x:v>
      </x:c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23" t="str">
        <x:v>N2</x:v>
      </x:c>
      <x:c r="B41" s="23" t="str">
        <x:v>L-TWG</x:v>
      </x:c>
      <x:c r="C41" s="23" t="str">
        <x:v>Temporary works and crossing group</x:v>
      </x:c>
      <x:c r="D41" s="23" t="str">
        <x:v>A</x:v>
      </x:c>
      <x:c r="E41" s="23" t="str">
        <x:v>N2-D4</x:v>
      </x:c>
      <x:c r="F41" s="23" t="str">
        <x:v>interface, consumable and field-repair path</x:v>
      </x:c>
      <x:c r="G41" s="28" t="str">
        <x:v>SOURCE EMPTY / HOLD</x:v>
      </x:c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23" t="str">
        <x:v>N2</x:v>
      </x:c>
      <x:c r="B42" s="23" t="str">
        <x:v>L-TWG</x:v>
      </x:c>
      <x:c r="C42" s="23" t="str">
        <x:v>Temporary works and crossing group</x:v>
      </x:c>
      <x:c r="D42" s="23" t="str">
        <x:v>B</x:v>
      </x:c>
      <x:c r="E42" s="23" t="str">
        <x:v>N2-D1</x:v>
      </x:c>
      <x:c r="F42" s="23" t="str">
        <x:v>replacement, tooling and alternate-material path</x:v>
      </x:c>
      <x:c r="G42" s="28" t="str">
        <x:v>SOURCE EMPTY / HOLD</x:v>
      </x:c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23" t="str">
        <x:v>N1</x:v>
      </x:c>
      <x:c r="B43" s="23" t="str">
        <x:v>L-GFG</x:v>
      </x:c>
      <x:c r="C43" s="23" t="str">
        <x:v>Ground fire and landscape group</x:v>
      </x:c>
      <x:c r="D43" s="23" t="str">
        <x:v>A</x:v>
      </x:c>
      <x:c r="E43" s="23" t="str">
        <x:v>N1-D4</x:v>
      </x:c>
      <x:c r="F43" s="23" t="str">
        <x:v>interface, consumable and field-repair path</x:v>
      </x:c>
      <x:c r="G43" s="28" t="str">
        <x:v>SOURCE EMPTY / HOLD</x:v>
      </x:c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23" t="str">
        <x:v>N1</x:v>
      </x:c>
      <x:c r="B44" s="23" t="str">
        <x:v>L-GFG</x:v>
      </x:c>
      <x:c r="C44" s="23" t="str">
        <x:v>Ground fire and landscape group</x:v>
      </x:c>
      <x:c r="D44" s="23" t="str">
        <x:v>B</x:v>
      </x:c>
      <x:c r="E44" s="23" t="str">
        <x:v>N1-D1</x:v>
      </x:c>
      <x:c r="F44" s="23" t="str">
        <x:v>replacement, tooling and alternate-material path</x:v>
      </x:c>
      <x:c r="G44" s="28" t="str">
        <x:v>SOURCE EMPTY / HOLD</x:v>
      </x:c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23" t="str">
        <x:v>N2</x:v>
      </x:c>
      <x:c r="B45" s="23" t="str">
        <x:v>L-GFG</x:v>
      </x:c>
      <x:c r="C45" s="23" t="str">
        <x:v>Ground fire and landscape group</x:v>
      </x:c>
      <x:c r="D45" s="23" t="str">
        <x:v>A</x:v>
      </x:c>
      <x:c r="E45" s="23" t="str">
        <x:v>N2-D5</x:v>
      </x:c>
      <x:c r="F45" s="23" t="str">
        <x:v>interface, consumable and field-repair path</x:v>
      </x:c>
      <x:c r="G45" s="28" t="str">
        <x:v>SOURCE EMPTY / HOLD</x:v>
      </x:c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23" t="str">
        <x:v>N2</x:v>
      </x:c>
      <x:c r="B46" s="23" t="str">
        <x:v>L-GFG</x:v>
      </x:c>
      <x:c r="C46" s="23" t="str">
        <x:v>Ground fire and landscape group</x:v>
      </x:c>
      <x:c r="D46" s="23" t="str">
        <x:v>B</x:v>
      </x:c>
      <x:c r="E46" s="23" t="str">
        <x:v>N2-D2</x:v>
      </x:c>
      <x:c r="F46" s="23" t="str">
        <x:v>replacement, tooling and alternate-material path</x:v>
      </x:c>
      <x:c r="G46" s="28" t="str">
        <x:v>SOURCE EMPTY / HOLD</x:v>
      </x:c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23" t="str">
        <x:v>N1</x:v>
      </x:c>
      <x:c r="B47" s="23" t="str">
        <x:v>A-SMW</x:v>
      </x:c>
      <x:c r="C47" s="23" t="str">
        <x:v>Strategic mobility wing</x:v>
      </x:c>
      <x:c r="D47" s="23" t="str">
        <x:v>A</x:v>
      </x:c>
      <x:c r="E47" s="23" t="str">
        <x:v>N1-D5</x:v>
      </x:c>
      <x:c r="F47" s="23" t="str">
        <x:v>interface, consumable and field-repair path</x:v>
      </x:c>
      <x:c r="G47" s="28" t="str">
        <x:v>SOURCE EMPTY / HOLD</x:v>
      </x:c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23" t="str">
        <x:v>N1</x:v>
      </x:c>
      <x:c r="B48" s="23" t="str">
        <x:v>A-SMW</x:v>
      </x:c>
      <x:c r="C48" s="23" t="str">
        <x:v>Strategic mobility wing</x:v>
      </x:c>
      <x:c r="D48" s="23" t="str">
        <x:v>B</x:v>
      </x:c>
      <x:c r="E48" s="23" t="str">
        <x:v>N1-D2</x:v>
      </x:c>
      <x:c r="F48" s="23" t="str">
        <x:v>replacement, tooling and alternate-material path</x:v>
      </x:c>
      <x:c r="G48" s="28" t="str">
        <x:v>SOURCE EMPTY / HOLD</x:v>
      </x:c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23" t="str">
        <x:v>N2</x:v>
      </x:c>
      <x:c r="B49" s="23" t="str">
        <x:v>A-SMW</x:v>
      </x:c>
      <x:c r="C49" s="23" t="str">
        <x:v>Strategic mobility wing</x:v>
      </x:c>
      <x:c r="D49" s="23" t="str">
        <x:v>A</x:v>
      </x:c>
      <x:c r="E49" s="23" t="str">
        <x:v>N2-D6</x:v>
      </x:c>
      <x:c r="F49" s="23" t="str">
        <x:v>interface, consumable and field-repair path</x:v>
      </x:c>
      <x:c r="G49" s="28" t="str">
        <x:v>SOURCE EMPTY / HOLD</x:v>
      </x:c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23" t="str">
        <x:v>N2</x:v>
      </x:c>
      <x:c r="B50" s="23" t="str">
        <x:v>A-SMW</x:v>
      </x:c>
      <x:c r="C50" s="23" t="str">
        <x:v>Strategic mobility wing</x:v>
      </x:c>
      <x:c r="D50" s="23" t="str">
        <x:v>B</x:v>
      </x:c>
      <x:c r="E50" s="23" t="str">
        <x:v>N2-D3</x:v>
      </x:c>
      <x:c r="F50" s="23" t="str">
        <x:v>replacement, tooling and alternate-material path</x:v>
      </x:c>
      <x:c r="G50" s="28" t="str">
        <x:v>SOURCE EMPTY / HOLD</x:v>
      </x:c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23" t="str">
        <x:v>N1</x:v>
      </x:c>
      <x:c r="B51" s="23" t="str">
        <x:v>A-AAG</x:v>
      </x:c>
      <x:c r="C51" s="23" t="str">
        <x:v>Austere air-access group</x:v>
      </x:c>
      <x:c r="D51" s="23" t="str">
        <x:v>A</x:v>
      </x:c>
      <x:c r="E51" s="23" t="str">
        <x:v>N1-D6</x:v>
      </x:c>
      <x:c r="F51" s="23" t="str">
        <x:v>interface, consumable and field-repair path</x:v>
      </x:c>
      <x:c r="G51" s="28" t="str">
        <x:v>SOURCE EMPTY / HOLD</x:v>
      </x:c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23" t="str">
        <x:v>N1</x:v>
      </x:c>
      <x:c r="B52" s="23" t="str">
        <x:v>A-AAG</x:v>
      </x:c>
      <x:c r="C52" s="23" t="str">
        <x:v>Austere air-access group</x:v>
      </x:c>
      <x:c r="D52" s="23" t="str">
        <x:v>B</x:v>
      </x:c>
      <x:c r="E52" s="23" t="str">
        <x:v>N1-D3</x:v>
      </x:c>
      <x:c r="F52" s="23" t="str">
        <x:v>replacement, tooling and alternate-material path</x:v>
      </x:c>
      <x:c r="G52" s="28" t="str">
        <x:v>SOURCE EMPTY / HOLD</x:v>
      </x:c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23" t="str">
        <x:v>N2</x:v>
      </x:c>
      <x:c r="B53" s="23" t="str">
        <x:v>A-AAG</x:v>
      </x:c>
      <x:c r="C53" s="23" t="str">
        <x:v>Austere air-access group</x:v>
      </x:c>
      <x:c r="D53" s="23" t="str">
        <x:v>A</x:v>
      </x:c>
      <x:c r="E53" s="23" t="str">
        <x:v>N2-D1</x:v>
      </x:c>
      <x:c r="F53" s="23" t="str">
        <x:v>interface, consumable and field-repair path</x:v>
      </x:c>
      <x:c r="G53" s="28" t="str">
        <x:v>SOURCE EMPTY / HOLD</x:v>
      </x:c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23" t="str">
        <x:v>N2</x:v>
      </x:c>
      <x:c r="B54" s="23" t="str">
        <x:v>A-AAG</x:v>
      </x:c>
      <x:c r="C54" s="23" t="str">
        <x:v>Austere air-access group</x:v>
      </x:c>
      <x:c r="D54" s="23" t="str">
        <x:v>B</x:v>
      </x:c>
      <x:c r="E54" s="23" t="str">
        <x:v>N2-D4</x:v>
      </x:c>
      <x:c r="F54" s="23" t="str">
        <x:v>replacement, tooling and alternate-material path</x:v>
      </x:c>
      <x:c r="G54" s="28" t="str">
        <x:v>SOURCE EMPTY / HOLD</x:v>
      </x:c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23" t="str">
        <x:v>N1</x:v>
      </x:c>
      <x:c r="B55" s="23" t="str">
        <x:v>A-AHW</x:v>
      </x:c>
      <x:c r="C55" s="23" t="str">
        <x:v>Aerial hazard-control wing</x:v>
      </x:c>
      <x:c r="D55" s="23" t="str">
        <x:v>A</x:v>
      </x:c>
      <x:c r="E55" s="23" t="str">
        <x:v>N1-D1</x:v>
      </x:c>
      <x:c r="F55" s="23" t="str">
        <x:v>interface, consumable and field-repair path</x:v>
      </x:c>
      <x:c r="G55" s="28" t="str">
        <x:v>SOURCE EMPTY / HOLD</x:v>
      </x:c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23" t="str">
        <x:v>N1</x:v>
      </x:c>
      <x:c r="B56" s="23" t="str">
        <x:v>A-AHW</x:v>
      </x:c>
      <x:c r="C56" s="23" t="str">
        <x:v>Aerial hazard-control wing</x:v>
      </x:c>
      <x:c r="D56" s="23" t="str">
        <x:v>B</x:v>
      </x:c>
      <x:c r="E56" s="23" t="str">
        <x:v>N1-D4</x:v>
      </x:c>
      <x:c r="F56" s="23" t="str">
        <x:v>replacement, tooling and alternate-material path</x:v>
      </x:c>
      <x:c r="G56" s="28" t="str">
        <x:v>SOURCE EMPTY / HOLD</x:v>
      </x:c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23" t="str">
        <x:v>N2</x:v>
      </x:c>
      <x:c r="B57" s="23" t="str">
        <x:v>A-AHW</x:v>
      </x:c>
      <x:c r="C57" s="23" t="str">
        <x:v>Aerial hazard-control wing</x:v>
      </x:c>
      <x:c r="D57" s="23" t="str">
        <x:v>A</x:v>
      </x:c>
      <x:c r="E57" s="23" t="str">
        <x:v>N2-D2</x:v>
      </x:c>
      <x:c r="F57" s="23" t="str">
        <x:v>interface, consumable and field-repair path</x:v>
      </x:c>
      <x:c r="G57" s="28" t="str">
        <x:v>SOURCE EMPTY / HOLD</x:v>
      </x:c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23" t="str">
        <x:v>N2</x:v>
      </x:c>
      <x:c r="B58" s="23" t="str">
        <x:v>A-AHW</x:v>
      </x:c>
      <x:c r="C58" s="23" t="str">
        <x:v>Aerial hazard-control wing</x:v>
      </x:c>
      <x:c r="D58" s="23" t="str">
        <x:v>B</x:v>
      </x:c>
      <x:c r="E58" s="23" t="str">
        <x:v>N2-D5</x:v>
      </x:c>
      <x:c r="F58" s="23" t="str">
        <x:v>replacement, tooling and alternate-material path</x:v>
      </x:c>
      <x:c r="G58" s="28" t="str">
        <x:v>SOURCE EMPTY / HOLD</x:v>
      </x:c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23" t="str">
        <x:v>N1</x:v>
      </x:c>
      <x:c r="B59" s="23" t="str">
        <x:v>A-TDG</x:v>
      </x:c>
      <x:c r="C59" s="23" t="str">
        <x:v>Tactical distribution group</x:v>
      </x:c>
      <x:c r="D59" s="23" t="str">
        <x:v>A</x:v>
      </x:c>
      <x:c r="E59" s="23" t="str">
        <x:v>N1-D2</x:v>
      </x:c>
      <x:c r="F59" s="23" t="str">
        <x:v>interface, consumable and field-repair path</x:v>
      </x:c>
      <x:c r="G59" s="28" t="str">
        <x:v>SOURCE EMPTY / HOLD</x:v>
      </x:c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23" t="str">
        <x:v>N1</x:v>
      </x:c>
      <x:c r="B60" s="23" t="str">
        <x:v>A-TDG</x:v>
      </x:c>
      <x:c r="C60" s="23" t="str">
        <x:v>Tactical distribution group</x:v>
      </x:c>
      <x:c r="D60" s="23" t="str">
        <x:v>B</x:v>
      </x:c>
      <x:c r="E60" s="23" t="str">
        <x:v>N1-D5</x:v>
      </x:c>
      <x:c r="F60" s="23" t="str">
        <x:v>replacement, tooling and alternate-material path</x:v>
      </x:c>
      <x:c r="G60" s="28" t="str">
        <x:v>SOURCE EMPTY / HOLD</x:v>
      </x:c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23" t="str">
        <x:v>N2</x:v>
      </x:c>
      <x:c r="B61" s="23" t="str">
        <x:v>A-TDG</x:v>
      </x:c>
      <x:c r="C61" s="23" t="str">
        <x:v>Tactical distribution group</x:v>
      </x:c>
      <x:c r="D61" s="23" t="str">
        <x:v>A</x:v>
      </x:c>
      <x:c r="E61" s="23" t="str">
        <x:v>N2-D3</x:v>
      </x:c>
      <x:c r="F61" s="23" t="str">
        <x:v>interface, consumable and field-repair path</x:v>
      </x:c>
      <x:c r="G61" s="28" t="str">
        <x:v>SOURCE EMPTY / HOLD</x:v>
      </x:c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23" t="str">
        <x:v>N2</x:v>
      </x:c>
      <x:c r="B62" s="23" t="str">
        <x:v>A-TDG</x:v>
      </x:c>
      <x:c r="C62" s="23" t="str">
        <x:v>Tactical distribution group</x:v>
      </x:c>
      <x:c r="D62" s="23" t="str">
        <x:v>B</x:v>
      </x:c>
      <x:c r="E62" s="23" t="str">
        <x:v>N2-D6</x:v>
      </x:c>
      <x:c r="F62" s="23" t="str">
        <x:v>replacement, tooling and alternate-material path</x:v>
      </x:c>
      <x:c r="G62" s="28" t="str">
        <x:v>SOURCE EMPTY / HOLD</x:v>
      </x:c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23" t="str">
        <x:v>N1</x:v>
      </x:c>
      <x:c r="B63" s="23" t="str">
        <x:v>A-SRG</x:v>
      </x:c>
      <x:c r="C63" s="23" t="str">
        <x:v>Air sensing and relay group</x:v>
      </x:c>
      <x:c r="D63" s="23" t="str">
        <x:v>A</x:v>
      </x:c>
      <x:c r="E63" s="23" t="str">
        <x:v>N1-D3</x:v>
      </x:c>
      <x:c r="F63" s="23" t="str">
        <x:v>interface, consumable and field-repair path</x:v>
      </x:c>
      <x:c r="G63" s="28" t="str">
        <x:v>SOURCE EMPTY / HOLD</x:v>
      </x:c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23" t="str">
        <x:v>N1</x:v>
      </x:c>
      <x:c r="B64" s="23" t="str">
        <x:v>A-SRG</x:v>
      </x:c>
      <x:c r="C64" s="23" t="str">
        <x:v>Air sensing and relay group</x:v>
      </x:c>
      <x:c r="D64" s="23" t="str">
        <x:v>B</x:v>
      </x:c>
      <x:c r="E64" s="23" t="str">
        <x:v>N1-D6</x:v>
      </x:c>
      <x:c r="F64" s="23" t="str">
        <x:v>replacement, tooling and alternate-material path</x:v>
      </x:c>
      <x:c r="G64" s="28" t="str">
        <x:v>SOURCE EMPTY / HOLD</x:v>
      </x:c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23" t="str">
        <x:v>N2</x:v>
      </x:c>
      <x:c r="B65" s="23" t="str">
        <x:v>A-SRG</x:v>
      </x:c>
      <x:c r="C65" s="23" t="str">
        <x:v>Air sensing and relay group</x:v>
      </x:c>
      <x:c r="D65" s="23" t="str">
        <x:v>A</x:v>
      </x:c>
      <x:c r="E65" s="23" t="str">
        <x:v>N2-D4</x:v>
      </x:c>
      <x:c r="F65" s="23" t="str">
        <x:v>interface, consumable and field-repair path</x:v>
      </x:c>
      <x:c r="G65" s="28" t="str">
        <x:v>SOURCE EMPTY / HOLD</x:v>
      </x:c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23" t="str">
        <x:v>N2</x:v>
      </x:c>
      <x:c r="B66" s="23" t="str">
        <x:v>A-SRG</x:v>
      </x:c>
      <x:c r="C66" s="23" t="str">
        <x:v>Air sensing and relay group</x:v>
      </x:c>
      <x:c r="D66" s="23" t="str">
        <x:v>B</x:v>
      </x:c>
      <x:c r="E66" s="23" t="str">
        <x:v>N2-D1</x:v>
      </x:c>
      <x:c r="F66" s="23" t="str">
        <x:v>replacement, tooling and alternate-material path</x:v>
      </x:c>
      <x:c r="G66" s="28" t="str">
        <x:v>SOURCE EMPTY / HOLD</x:v>
      </x:c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23" t="str">
        <x:v>N1</x:v>
      </x:c>
      <x:c r="B67" s="23" t="str">
        <x:v>A-AMG</x:v>
      </x:c>
      <x:c r="C67" s="23" t="str">
        <x:v>Aeromedical movement group</x:v>
      </x:c>
      <x:c r="D67" s="23" t="str">
        <x:v>A</x:v>
      </x:c>
      <x:c r="E67" s="23" t="str">
        <x:v>N1-D4</x:v>
      </x:c>
      <x:c r="F67" s="23" t="str">
        <x:v>interface, consumable and field-repair path</x:v>
      </x:c>
      <x:c r="G67" s="28" t="str">
        <x:v>SOURCE EMPTY / HOLD</x:v>
      </x:c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23" t="str">
        <x:v>N1</x:v>
      </x:c>
      <x:c r="B68" s="23" t="str">
        <x:v>A-AMG</x:v>
      </x:c>
      <x:c r="C68" s="23" t="str">
        <x:v>Aeromedical movement group</x:v>
      </x:c>
      <x:c r="D68" s="23" t="str">
        <x:v>B</x:v>
      </x:c>
      <x:c r="E68" s="23" t="str">
        <x:v>N1-D1</x:v>
      </x:c>
      <x:c r="F68" s="23" t="str">
        <x:v>replacement, tooling and alternate-material path</x:v>
      </x:c>
      <x:c r="G68" s="28" t="str">
        <x:v>SOURCE EMPTY / HOLD</x:v>
      </x:c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23" t="str">
        <x:v>N2</x:v>
      </x:c>
      <x:c r="B69" s="23" t="str">
        <x:v>A-AMG</x:v>
      </x:c>
      <x:c r="C69" s="23" t="str">
        <x:v>Aeromedical movement group</x:v>
      </x:c>
      <x:c r="D69" s="23" t="str">
        <x:v>A</x:v>
      </x:c>
      <x:c r="E69" s="23" t="str">
        <x:v>N2-D5</x:v>
      </x:c>
      <x:c r="F69" s="23" t="str">
        <x:v>interface, consumable and field-repair path</x:v>
      </x:c>
      <x:c r="G69" s="28" t="str">
        <x:v>SOURCE EMPTY / HOLD</x:v>
      </x:c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23" t="str">
        <x:v>N2</x:v>
      </x:c>
      <x:c r="B70" s="23" t="str">
        <x:v>A-AMG</x:v>
      </x:c>
      <x:c r="C70" s="23" t="str">
        <x:v>Aeromedical movement group</x:v>
      </x:c>
      <x:c r="D70" s="23" t="str">
        <x:v>B</x:v>
      </x:c>
      <x:c r="E70" s="23" t="str">
        <x:v>N2-D2</x:v>
      </x:c>
      <x:c r="F70" s="23" t="str">
        <x:v>replacement, tooling and alternate-material path</x:v>
      </x:c>
      <x:c r="G70" s="28" t="str">
        <x:v>SOURCE EMPTY / HOLD</x:v>
      </x:c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23" t="str">
        <x:v>N1</x:v>
      </x:c>
      <x:c r="B71" s="23" t="str">
        <x:v>M-POG</x:v>
      </x:c>
      <x:c r="C71" s="23" t="str">
        <x:v>Port-opening group</x:v>
      </x:c>
      <x:c r="D71" s="23" t="str">
        <x:v>A</x:v>
      </x:c>
      <x:c r="E71" s="23" t="str">
        <x:v>N1-D5</x:v>
      </x:c>
      <x:c r="F71" s="23" t="str">
        <x:v>interface, consumable and field-repair path</x:v>
      </x:c>
      <x:c r="G71" s="28" t="str">
        <x:v>SOURCE EMPTY / HOLD</x:v>
      </x:c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23" t="str">
        <x:v>N1</x:v>
      </x:c>
      <x:c r="B72" s="23" t="str">
        <x:v>M-POG</x:v>
      </x:c>
      <x:c r="C72" s="23" t="str">
        <x:v>Port-opening group</x:v>
      </x:c>
      <x:c r="D72" s="23" t="str">
        <x:v>B</x:v>
      </x:c>
      <x:c r="E72" s="23" t="str">
        <x:v>N1-D2</x:v>
      </x:c>
      <x:c r="F72" s="23" t="str">
        <x:v>replacement, tooling and alternate-material path</x:v>
      </x:c>
      <x:c r="G72" s="28" t="str">
        <x:v>SOURCE EMPTY / HOLD</x:v>
      </x:c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23" t="str">
        <x:v>N2</x:v>
      </x:c>
      <x:c r="B73" s="23" t="str">
        <x:v>M-POG</x:v>
      </x:c>
      <x:c r="C73" s="23" t="str">
        <x:v>Port-opening group</x:v>
      </x:c>
      <x:c r="D73" s="23" t="str">
        <x:v>A</x:v>
      </x:c>
      <x:c r="E73" s="23" t="str">
        <x:v>N2-D6</x:v>
      </x:c>
      <x:c r="F73" s="23" t="str">
        <x:v>interface, consumable and field-repair path</x:v>
      </x:c>
      <x:c r="G73" s="28" t="str">
        <x:v>SOURCE EMPTY / HOLD</x:v>
      </x:c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23" t="str">
        <x:v>N2</x:v>
      </x:c>
      <x:c r="B74" s="23" t="str">
        <x:v>M-POG</x:v>
      </x:c>
      <x:c r="C74" s="23" t="str">
        <x:v>Port-opening group</x:v>
      </x:c>
      <x:c r="D74" s="23" t="str">
        <x:v>B</x:v>
      </x:c>
      <x:c r="E74" s="23" t="str">
        <x:v>N2-D3</x:v>
      </x:c>
      <x:c r="F74" s="23" t="str">
        <x:v>replacement, tooling and alternate-material path</x:v>
      </x:c>
      <x:c r="G74" s="28" t="str">
        <x:v>SOURCE EMPTY / HOLD</x:v>
      </x:c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23" t="str">
        <x:v>N1</x:v>
      </x:c>
      <x:c r="B75" s="23" t="str">
        <x:v>M-LAG</x:v>
      </x:c>
      <x:c r="C75" s="23" t="str">
        <x:v>Littoral-access group</x:v>
      </x:c>
      <x:c r="D75" s="23" t="str">
        <x:v>A</x:v>
      </x:c>
      <x:c r="E75" s="23" t="str">
        <x:v>N1-D6</x:v>
      </x:c>
      <x:c r="F75" s="23" t="str">
        <x:v>interface, consumable and field-repair path</x:v>
      </x:c>
      <x:c r="G75" s="28" t="str">
        <x:v>SOURCE EMPTY / HOLD</x:v>
      </x:c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23" t="str">
        <x:v>N1</x:v>
      </x:c>
      <x:c r="B76" s="23" t="str">
        <x:v>M-LAG</x:v>
      </x:c>
      <x:c r="C76" s="23" t="str">
        <x:v>Littoral-access group</x:v>
      </x:c>
      <x:c r="D76" s="23" t="str">
        <x:v>B</x:v>
      </x:c>
      <x:c r="E76" s="23" t="str">
        <x:v>N1-D3</x:v>
      </x:c>
      <x:c r="F76" s="23" t="str">
        <x:v>replacement, tooling and alternate-material path</x:v>
      </x:c>
      <x:c r="G76" s="28" t="str">
        <x:v>SOURCE EMPTY / HOLD</x:v>
      </x:c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23" t="str">
        <x:v>N2</x:v>
      </x:c>
      <x:c r="B77" s="23" t="str">
        <x:v>M-LAG</x:v>
      </x:c>
      <x:c r="C77" s="23" t="str">
        <x:v>Littoral-access group</x:v>
      </x:c>
      <x:c r="D77" s="23" t="str">
        <x:v>A</x:v>
      </x:c>
      <x:c r="E77" s="23" t="str">
        <x:v>N2-D1</x:v>
      </x:c>
      <x:c r="F77" s="23" t="str">
        <x:v>interface, consumable and field-repair path</x:v>
      </x:c>
      <x:c r="G77" s="28" t="str">
        <x:v>SOURCE EMPTY / HOLD</x:v>
      </x:c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23" t="str">
        <x:v>N2</x:v>
      </x:c>
      <x:c r="B78" s="23" t="str">
        <x:v>M-LAG</x:v>
      </x:c>
      <x:c r="C78" s="23" t="str">
        <x:v>Littoral-access group</x:v>
      </x:c>
      <x:c r="D78" s="23" t="str">
        <x:v>B</x:v>
      </x:c>
      <x:c r="E78" s="23" t="str">
        <x:v>N2-D4</x:v>
      </x:c>
      <x:c r="F78" s="23" t="str">
        <x:v>replacement, tooling and alternate-material path</x:v>
      </x:c>
      <x:c r="G78" s="28" t="str">
        <x:v>SOURCE EMPTY / HOLD</x:v>
      </x:c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23" t="str">
        <x:v>N1</x:v>
      </x:c>
      <x:c r="B79" s="23" t="str">
        <x:v>M-IWG</x:v>
      </x:c>
      <x:c r="C79" s="23" t="str">
        <x:v>Inland-waterway group</x:v>
      </x:c>
      <x:c r="D79" s="23" t="str">
        <x:v>A</x:v>
      </x:c>
      <x:c r="E79" s="23" t="str">
        <x:v>N1-D1</x:v>
      </x:c>
      <x:c r="F79" s="23" t="str">
        <x:v>interface, consumable and field-repair path</x:v>
      </x:c>
      <x:c r="G79" s="28" t="str">
        <x:v>SOURCE EMPTY / HOLD</x:v>
      </x:c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23" t="str">
        <x:v>N1</x:v>
      </x:c>
      <x:c r="B80" s="23" t="str">
        <x:v>M-IWG</x:v>
      </x:c>
      <x:c r="C80" s="23" t="str">
        <x:v>Inland-waterway group</x:v>
      </x:c>
      <x:c r="D80" s="23" t="str">
        <x:v>B</x:v>
      </x:c>
      <x:c r="E80" s="23" t="str">
        <x:v>N1-D4</x:v>
      </x:c>
      <x:c r="F80" s="23" t="str">
        <x:v>replacement, tooling and alternate-material path</x:v>
      </x:c>
      <x:c r="G80" s="28" t="str">
        <x:v>SOURCE EMPTY / HOLD</x:v>
      </x:c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23" t="str">
        <x:v>N2</x:v>
      </x:c>
      <x:c r="B81" s="23" t="str">
        <x:v>M-IWG</x:v>
      </x:c>
      <x:c r="C81" s="23" t="str">
        <x:v>Inland-waterway group</x:v>
      </x:c>
      <x:c r="D81" s="23" t="str">
        <x:v>A</x:v>
      </x:c>
      <x:c r="E81" s="23" t="str">
        <x:v>N2-D2</x:v>
      </x:c>
      <x:c r="F81" s="23" t="str">
        <x:v>interface, consumable and field-repair path</x:v>
      </x:c>
      <x:c r="G81" s="28" t="str">
        <x:v>SOURCE EMPTY / HOLD</x:v>
      </x:c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23" t="str">
        <x:v>N2</x:v>
      </x:c>
      <x:c r="B82" s="23" t="str">
        <x:v>M-IWG</x:v>
      </x:c>
      <x:c r="C82" s="23" t="str">
        <x:v>Inland-waterway group</x:v>
      </x:c>
      <x:c r="D82" s="23" t="str">
        <x:v>B</x:v>
      </x:c>
      <x:c r="E82" s="23" t="str">
        <x:v>N2-D5</x:v>
      </x:c>
      <x:c r="F82" s="23" t="str">
        <x:v>replacement, tooling and alternate-material path</x:v>
      </x:c>
      <x:c r="G82" s="28" t="str">
        <x:v>SOURCE EMPTY / HOLD</x:v>
      </x:c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23" t="str">
        <x:v>N1</x:v>
      </x:c>
      <x:c r="B83" s="23" t="str">
        <x:v>M-OSG</x:v>
      </x:c>
      <x:c r="C83" s="23" t="str">
        <x:v>Offshore-support group</x:v>
      </x:c>
      <x:c r="D83" s="23" t="str">
        <x:v>A</x:v>
      </x:c>
      <x:c r="E83" s="23" t="str">
        <x:v>N1-D2</x:v>
      </x:c>
      <x:c r="F83" s="23" t="str">
        <x:v>interface, consumable and field-repair path</x:v>
      </x:c>
      <x:c r="G83" s="28" t="str">
        <x:v>SOURCE EMPTY / HOLD</x:v>
      </x:c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23" t="str">
        <x:v>N1</x:v>
      </x:c>
      <x:c r="B84" s="23" t="str">
        <x:v>M-OSG</x:v>
      </x:c>
      <x:c r="C84" s="23" t="str">
        <x:v>Offshore-support group</x:v>
      </x:c>
      <x:c r="D84" s="23" t="str">
        <x:v>B</x:v>
      </x:c>
      <x:c r="E84" s="23" t="str">
        <x:v>N1-D5</x:v>
      </x:c>
      <x:c r="F84" s="23" t="str">
        <x:v>replacement, tooling and alternate-material path</x:v>
      </x:c>
      <x:c r="G84" s="28" t="str">
        <x:v>SOURCE EMPTY / HOLD</x:v>
      </x:c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23" t="str">
        <x:v>N2</x:v>
      </x:c>
      <x:c r="B85" s="23" t="str">
        <x:v>M-OSG</x:v>
      </x:c>
      <x:c r="C85" s="23" t="str">
        <x:v>Offshore-support group</x:v>
      </x:c>
      <x:c r="D85" s="23" t="str">
        <x:v>A</x:v>
      </x:c>
      <x:c r="E85" s="23" t="str">
        <x:v>N2-D3</x:v>
      </x:c>
      <x:c r="F85" s="23" t="str">
        <x:v>interface, consumable and field-repair path</x:v>
      </x:c>
      <x:c r="G85" s="28" t="str">
        <x:v>SOURCE EMPTY / HOLD</x:v>
      </x:c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23" t="str">
        <x:v>N2</x:v>
      </x:c>
      <x:c r="B86" s="23" t="str">
        <x:v>M-OSG</x:v>
      </x:c>
      <x:c r="C86" s="23" t="str">
        <x:v>Offshore-support group</x:v>
      </x:c>
      <x:c r="D86" s="23" t="str">
        <x:v>B</x:v>
      </x:c>
      <x:c r="E86" s="23" t="str">
        <x:v>N2-D6</x:v>
      </x:c>
      <x:c r="F86" s="23" t="str">
        <x:v>replacement, tooling and alternate-material path</x:v>
      </x:c>
      <x:c r="G86" s="28" t="str">
        <x:v>SOURCE EMPTY / HOLD</x:v>
      </x:c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23" t="str">
        <x:v>N1</x:v>
      </x:c>
      <x:c r="B87" s="23" t="str">
        <x:v>M-SSG</x:v>
      </x:c>
      <x:c r="C87" s="23" t="str">
        <x:v>Ocean sustainment group</x:v>
      </x:c>
      <x:c r="D87" s="23" t="str">
        <x:v>A</x:v>
      </x:c>
      <x:c r="E87" s="23" t="str">
        <x:v>N1-D3</x:v>
      </x:c>
      <x:c r="F87" s="23" t="str">
        <x:v>interface, consumable and field-repair path</x:v>
      </x:c>
      <x:c r="G87" s="28" t="str">
        <x:v>SOURCE EMPTY / HOLD</x:v>
      </x:c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23" t="str">
        <x:v>N1</x:v>
      </x:c>
      <x:c r="B88" s="23" t="str">
        <x:v>M-SSG</x:v>
      </x:c>
      <x:c r="C88" s="23" t="str">
        <x:v>Ocean sustainment group</x:v>
      </x:c>
      <x:c r="D88" s="23" t="str">
        <x:v>B</x:v>
      </x:c>
      <x:c r="E88" s="23" t="str">
        <x:v>N1-D6</x:v>
      </x:c>
      <x:c r="F88" s="23" t="str">
        <x:v>replacement, tooling and alternate-material path</x:v>
      </x:c>
      <x:c r="G88" s="28" t="str">
        <x:v>SOURCE EMPTY / HOLD</x:v>
      </x:c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23" t="str">
        <x:v>N2</x:v>
      </x:c>
      <x:c r="B89" s="23" t="str">
        <x:v>M-SSG</x:v>
      </x:c>
      <x:c r="C89" s="23" t="str">
        <x:v>Ocean sustainment group</x:v>
      </x:c>
      <x:c r="D89" s="23" t="str">
        <x:v>A</x:v>
      </x:c>
      <x:c r="E89" s="23" t="str">
        <x:v>N2-D4</x:v>
      </x:c>
      <x:c r="F89" s="23" t="str">
        <x:v>interface, consumable and field-repair path</x:v>
      </x:c>
      <x:c r="G89" s="28" t="str">
        <x:v>SOURCE EMPTY / HOLD</x:v>
      </x:c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23" t="str">
        <x:v>N2</x:v>
      </x:c>
      <x:c r="B90" s="23" t="str">
        <x:v>M-SSG</x:v>
      </x:c>
      <x:c r="C90" s="23" t="str">
        <x:v>Ocean sustainment group</x:v>
      </x:c>
      <x:c r="D90" s="23" t="str">
        <x:v>B</x:v>
      </x:c>
      <x:c r="E90" s="23" t="str">
        <x:v>N2-D1</x:v>
      </x:c>
      <x:c r="F90" s="23" t="str">
        <x:v>replacement, tooling and alternate-material path</x:v>
      </x:c>
      <x:c r="G90" s="28" t="str">
        <x:v>SOURCE EMPTY / HOLD</x:v>
      </x:c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23" t="str">
        <x:v>N1</x:v>
      </x:c>
      <x:c r="B91" s="23" t="str">
        <x:v>I-CUG</x:v>
      </x:c>
      <x:c r="C91" s="23" t="str">
        <x:v>Communications utility group</x:v>
      </x:c>
      <x:c r="D91" s="23" t="str">
        <x:v>A</x:v>
      </x:c>
      <x:c r="E91" s="23" t="str">
        <x:v>N1-D4</x:v>
      </x:c>
      <x:c r="F91" s="23" t="str">
        <x:v>interface, consumable and field-repair path</x:v>
      </x:c>
      <x:c r="G91" s="28" t="str">
        <x:v>SOURCE EMPTY / HOLD</x:v>
      </x:c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23" t="str">
        <x:v>N1</x:v>
      </x:c>
      <x:c r="B92" s="23" t="str">
        <x:v>I-CUG</x:v>
      </x:c>
      <x:c r="C92" s="23" t="str">
        <x:v>Communications utility group</x:v>
      </x:c>
      <x:c r="D92" s="23" t="str">
        <x:v>B</x:v>
      </x:c>
      <x:c r="E92" s="23" t="str">
        <x:v>N1-D1</x:v>
      </x:c>
      <x:c r="F92" s="23" t="str">
        <x:v>replacement, tooling and alternate-material path</x:v>
      </x:c>
      <x:c r="G92" s="28" t="str">
        <x:v>SOURCE EMPTY / HOLD</x:v>
      </x:c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23" t="str">
        <x:v>N2</x:v>
      </x:c>
      <x:c r="B93" s="23" t="str">
        <x:v>I-CUG</x:v>
      </x:c>
      <x:c r="C93" s="23" t="str">
        <x:v>Communications utility group</x:v>
      </x:c>
      <x:c r="D93" s="23" t="str">
        <x:v>A</x:v>
      </x:c>
      <x:c r="E93" s="23" t="str">
        <x:v>N2-D5</x:v>
      </x:c>
      <x:c r="F93" s="23" t="str">
        <x:v>interface, consumable and field-repair path</x:v>
      </x:c>
      <x:c r="G93" s="28" t="str">
        <x:v>SOURCE EMPTY / HOLD</x:v>
      </x:c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23" t="str">
        <x:v>N2</x:v>
      </x:c>
      <x:c r="B94" s="23" t="str">
        <x:v>I-CUG</x:v>
      </x:c>
      <x:c r="C94" s="23" t="str">
        <x:v>Communications utility group</x:v>
      </x:c>
      <x:c r="D94" s="23" t="str">
        <x:v>B</x:v>
      </x:c>
      <x:c r="E94" s="23" t="str">
        <x:v>N2-D2</x:v>
      </x:c>
      <x:c r="F94" s="23" t="str">
        <x:v>replacement, tooling and alternate-material path</x:v>
      </x:c>
      <x:c r="G94" s="28" t="str">
        <x:v>SOURCE EMPTY / HOLD</x:v>
      </x:c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23" t="str">
        <x:v>N1</x:v>
      </x:c>
      <x:c r="B95" s="23" t="str">
        <x:v>I-TSG</x:v>
      </x:c>
      <x:c r="C95" s="23" t="str">
        <x:v>Thermal safety group</x:v>
      </x:c>
      <x:c r="D95" s="23" t="str">
        <x:v>A</x:v>
      </x:c>
      <x:c r="E95" s="23" t="str">
        <x:v>N1-D5</x:v>
      </x:c>
      <x:c r="F95" s="23" t="str">
        <x:v>interface, consumable and field-repair path</x:v>
      </x:c>
      <x:c r="G95" s="28" t="str">
        <x:v>SOURCE EMPTY / HOLD</x:v>
      </x:c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23" t="str">
        <x:v>N1</x:v>
      </x:c>
      <x:c r="B96" s="23" t="str">
        <x:v>I-TSG</x:v>
      </x:c>
      <x:c r="C96" s="23" t="str">
        <x:v>Thermal safety group</x:v>
      </x:c>
      <x:c r="D96" s="23" t="str">
        <x:v>B</x:v>
      </x:c>
      <x:c r="E96" s="23" t="str">
        <x:v>N1-D2</x:v>
      </x:c>
      <x:c r="F96" s="23" t="str">
        <x:v>replacement, tooling and alternate-material path</x:v>
      </x:c>
      <x:c r="G96" s="28" t="str">
        <x:v>SOURCE EMPTY / HOLD</x:v>
      </x:c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23" t="str">
        <x:v>N2</x:v>
      </x:c>
      <x:c r="B97" s="23" t="str">
        <x:v>I-TSG</x:v>
      </x:c>
      <x:c r="C97" s="23" t="str">
        <x:v>Thermal safety group</x:v>
      </x:c>
      <x:c r="D97" s="23" t="str">
        <x:v>A</x:v>
      </x:c>
      <x:c r="E97" s="23" t="str">
        <x:v>N2-D6</x:v>
      </x:c>
      <x:c r="F97" s="23" t="str">
        <x:v>interface, consumable and field-repair path</x:v>
      </x:c>
      <x:c r="G97" s="28" t="str">
        <x:v>SOURCE EMPTY / HOLD</x:v>
      </x:c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23" t="str">
        <x:v>N2</x:v>
      </x:c>
      <x:c r="B98" s="23" t="str">
        <x:v>I-TSG</x:v>
      </x:c>
      <x:c r="C98" s="23" t="str">
        <x:v>Thermal safety group</x:v>
      </x:c>
      <x:c r="D98" s="23" t="str">
        <x:v>B</x:v>
      </x:c>
      <x:c r="E98" s="23" t="str">
        <x:v>N2-D3</x:v>
      </x:c>
      <x:c r="F98" s="23" t="str">
        <x:v>replacement, tooling and alternate-material path</x:v>
      </x:c>
      <x:c r="G98" s="28" t="str">
        <x:v>SOURCE EMPTY / HOLD</x:v>
      </x:c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23" t="str">
        <x:v>N1</x:v>
      </x:c>
      <x:c r="B99" s="23" t="str">
        <x:v>I-URG</x:v>
      </x:c>
      <x:c r="C99" s="23" t="str">
        <x:v>Utility reconstruction group</x:v>
      </x:c>
      <x:c r="D99" s="23" t="str">
        <x:v>A</x:v>
      </x:c>
      <x:c r="E99" s="23" t="str">
        <x:v>N1-D6</x:v>
      </x:c>
      <x:c r="F99" s="23" t="str">
        <x:v>interface, consumable and field-repair path</x:v>
      </x:c>
      <x:c r="G99" s="28" t="str">
        <x:v>SOURCE EMPTY / HOLD</x:v>
      </x:c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23" t="str">
        <x:v>N1</x:v>
      </x:c>
      <x:c r="B100" s="23" t="str">
        <x:v>I-URG</x:v>
      </x:c>
      <x:c r="C100" s="23" t="str">
        <x:v>Utility reconstruction group</x:v>
      </x:c>
      <x:c r="D100" s="23" t="str">
        <x:v>B</x:v>
      </x:c>
      <x:c r="E100" s="23" t="str">
        <x:v>N1-D3</x:v>
      </x:c>
      <x:c r="F100" s="23" t="str">
        <x:v>replacement, tooling and alternate-material path</x:v>
      </x:c>
      <x:c r="G100" s="28" t="str">
        <x:v>SOURCE EMPTY / HOLD</x:v>
      </x:c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23" t="str">
        <x:v>N2</x:v>
      </x:c>
      <x:c r="B101" s="23" t="str">
        <x:v>I-URG</x:v>
      </x:c>
      <x:c r="C101" s="23" t="str">
        <x:v>Utility reconstruction group</x:v>
      </x:c>
      <x:c r="D101" s="23" t="str">
        <x:v>A</x:v>
      </x:c>
      <x:c r="E101" s="23" t="str">
        <x:v>N2-D1</x:v>
      </x:c>
      <x:c r="F101" s="23" t="str">
        <x:v>interface, consumable and field-repair path</x:v>
      </x:c>
      <x:c r="G101" s="28" t="str">
        <x:v>SOURCE EMPTY / HOLD</x:v>
      </x:c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23" t="str">
        <x:v>N2</x:v>
      </x:c>
      <x:c r="B102" s="23" t="str">
        <x:v>I-URG</x:v>
      </x:c>
      <x:c r="C102" s="23" t="str">
        <x:v>Utility reconstruction group</x:v>
      </x:c>
      <x:c r="D102" s="23" t="str">
        <x:v>B</x:v>
      </x:c>
      <x:c r="E102" s="23" t="str">
        <x:v>N2-D4</x:v>
      </x:c>
      <x:c r="F102" s="23" t="str">
        <x:v>replacement, tooling and alternate-material path</x:v>
      </x:c>
      <x:c r="G102" s="28" t="str">
        <x:v>SOURCE EMPTY / HOLD</x:v>
      </x:c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23" t="str">
        <x:v>N1</x:v>
      </x:c>
      <x:c r="B103" s="23" t="str">
        <x:v>H-CHC</x:v>
      </x:c>
      <x:c r="C103" s="23" t="str">
        <x:v>Community health continuity group</x:v>
      </x:c>
      <x:c r="D103" s="23" t="str">
        <x:v>A</x:v>
      </x:c>
      <x:c r="E103" s="23" t="str">
        <x:v>N1-D1</x:v>
      </x:c>
      <x:c r="F103" s="23" t="str">
        <x:v>interface, consumable and field-repair path</x:v>
      </x:c>
      <x:c r="G103" s="28" t="str">
        <x:v>SOURCE EMPTY / HOLD</x:v>
      </x:c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23" t="str">
        <x:v>N1</x:v>
      </x:c>
      <x:c r="B104" s="23" t="str">
        <x:v>H-CHC</x:v>
      </x:c>
      <x:c r="C104" s="23" t="str">
        <x:v>Community health continuity group</x:v>
      </x:c>
      <x:c r="D104" s="23" t="str">
        <x:v>B</x:v>
      </x:c>
      <x:c r="E104" s="23" t="str">
        <x:v>N1-D4</x:v>
      </x:c>
      <x:c r="F104" s="23" t="str">
        <x:v>replacement, tooling and alternate-material path</x:v>
      </x:c>
      <x:c r="G104" s="28" t="str">
        <x:v>SOURCE EMPTY / HOLD</x:v>
      </x:c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23" t="str">
        <x:v>N2</x:v>
      </x:c>
      <x:c r="B105" s="23" t="str">
        <x:v>H-CHC</x:v>
      </x:c>
      <x:c r="C105" s="23" t="str">
        <x:v>Community health continuity group</x:v>
      </x:c>
      <x:c r="D105" s="23" t="str">
        <x:v>A</x:v>
      </x:c>
      <x:c r="E105" s="23" t="str">
        <x:v>N2-D2</x:v>
      </x:c>
      <x:c r="F105" s="23" t="str">
        <x:v>interface, consumable and field-repair path</x:v>
      </x:c>
      <x:c r="G105" s="28" t="str">
        <x:v>SOURCE EMPTY / HOLD</x:v>
      </x:c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23" t="str">
        <x:v>N2</x:v>
      </x:c>
      <x:c r="B106" s="23" t="str">
        <x:v>H-CHC</x:v>
      </x:c>
      <x:c r="C106" s="23" t="str">
        <x:v>Community health continuity group</x:v>
      </x:c>
      <x:c r="D106" s="23" t="str">
        <x:v>B</x:v>
      </x:c>
      <x:c r="E106" s="23" t="str">
        <x:v>N2-D5</x:v>
      </x:c>
      <x:c r="F106" s="23" t="str">
        <x:v>replacement, tooling and alternate-material path</x:v>
      </x:c>
      <x:c r="G106" s="28" t="str">
        <x:v>SOURCE EMPTY / HOLD</x:v>
      </x:c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23" t="str">
        <x:v>N1</x:v>
      </x:c>
      <x:c r="B107" s="23" t="str">
        <x:v>H-MAC</x:v>
      </x:c>
      <x:c r="C107" s="23" t="str">
        <x:v>Mobile acute-care group</x:v>
      </x:c>
      <x:c r="D107" s="23" t="str">
        <x:v>A</x:v>
      </x:c>
      <x:c r="E107" s="23" t="str">
        <x:v>N1-D2</x:v>
      </x:c>
      <x:c r="F107" s="23" t="str">
        <x:v>interface, consumable and field-repair path</x:v>
      </x:c>
      <x:c r="G107" s="28" t="str">
        <x:v>SOURCE EMPTY / HOLD</x:v>
      </x:c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23" t="str">
        <x:v>N1</x:v>
      </x:c>
      <x:c r="B108" s="23" t="str">
        <x:v>H-MAC</x:v>
      </x:c>
      <x:c r="C108" s="23" t="str">
        <x:v>Mobile acute-care group</x:v>
      </x:c>
      <x:c r="D108" s="23" t="str">
        <x:v>B</x:v>
      </x:c>
      <x:c r="E108" s="23" t="str">
        <x:v>N1-D5</x:v>
      </x:c>
      <x:c r="F108" s="23" t="str">
        <x:v>replacement, tooling and alternate-material path</x:v>
      </x:c>
      <x:c r="G108" s="28" t="str">
        <x:v>SOURCE EMPTY / HOLD</x:v>
      </x:c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23" t="str">
        <x:v>N2</x:v>
      </x:c>
      <x:c r="B109" s="23" t="str">
        <x:v>H-MAC</x:v>
      </x:c>
      <x:c r="C109" s="23" t="str">
        <x:v>Mobile acute-care group</x:v>
      </x:c>
      <x:c r="D109" s="23" t="str">
        <x:v>A</x:v>
      </x:c>
      <x:c r="E109" s="23" t="str">
        <x:v>N2-D3</x:v>
      </x:c>
      <x:c r="F109" s="23" t="str">
        <x:v>interface, consumable and field-repair path</x:v>
      </x:c>
      <x:c r="G109" s="28" t="str">
        <x:v>SOURCE EMPTY / HOLD</x:v>
      </x:c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23" t="str">
        <x:v>N2</x:v>
      </x:c>
      <x:c r="B110" s="23" t="str">
        <x:v>H-MAC</x:v>
      </x:c>
      <x:c r="C110" s="23" t="str">
        <x:v>Mobile acute-care group</x:v>
      </x:c>
      <x:c r="D110" s="23" t="str">
        <x:v>B</x:v>
      </x:c>
      <x:c r="E110" s="23" t="str">
        <x:v>N2-D6</x:v>
      </x:c>
      <x:c r="F110" s="23" t="str">
        <x:v>replacement, tooling and alternate-material path</x:v>
      </x:c>
      <x:c r="G110" s="28" t="str">
        <x:v>SOURCE EMPTY / HOLD</x:v>
      </x:c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23" t="str">
        <x:v>N1</x:v>
      </x:c>
      <x:c r="B111" s="23" t="str">
        <x:v>H-PHC</x:v>
      </x:c>
      <x:c r="C111" s="23" t="str">
        <x:v>Public-health control group</x:v>
      </x:c>
      <x:c r="D111" s="23" t="str">
        <x:v>A</x:v>
      </x:c>
      <x:c r="E111" s="23" t="str">
        <x:v>N1-D3</x:v>
      </x:c>
      <x:c r="F111" s="23" t="str">
        <x:v>interface, consumable and field-repair path</x:v>
      </x:c>
      <x:c r="G111" s="28" t="str">
        <x:v>SOURCE EMPTY / HOLD</x:v>
      </x:c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23" t="str">
        <x:v>N1</x:v>
      </x:c>
      <x:c r="B112" s="23" t="str">
        <x:v>H-PHC</x:v>
      </x:c>
      <x:c r="C112" s="23" t="str">
        <x:v>Public-health control group</x:v>
      </x:c>
      <x:c r="D112" s="23" t="str">
        <x:v>B</x:v>
      </x:c>
      <x:c r="E112" s="23" t="str">
        <x:v>N1-D6</x:v>
      </x:c>
      <x:c r="F112" s="23" t="str">
        <x:v>replacement, tooling and alternate-material path</x:v>
      </x:c>
      <x:c r="G112" s="28" t="str">
        <x:v>SOURCE EMPTY / HOLD</x:v>
      </x:c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23" t="str">
        <x:v>N2</x:v>
      </x:c>
      <x:c r="B113" s="23" t="str">
        <x:v>H-PHC</x:v>
      </x:c>
      <x:c r="C113" s="23" t="str">
        <x:v>Public-health control group</x:v>
      </x:c>
      <x:c r="D113" s="23" t="str">
        <x:v>A</x:v>
      </x:c>
      <x:c r="E113" s="23" t="str">
        <x:v>N2-D4</x:v>
      </x:c>
      <x:c r="F113" s="23" t="str">
        <x:v>interface, consumable and field-repair path</x:v>
      </x:c>
      <x:c r="G113" s="28" t="str">
        <x:v>SOURCE EMPTY / HOLD</x:v>
      </x:c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23" t="str">
        <x:v>N2</x:v>
      </x:c>
      <x:c r="B114" s="23" t="str">
        <x:v>H-PHC</x:v>
      </x:c>
      <x:c r="C114" s="23" t="str">
        <x:v>Public-health control group</x:v>
      </x:c>
      <x:c r="D114" s="23" t="str">
        <x:v>B</x:v>
      </x:c>
      <x:c r="E114" s="23" t="str">
        <x:v>N2-D1</x:v>
      </x:c>
      <x:c r="F114" s="23" t="str">
        <x:v>replacement, tooling and alternate-material path</x:v>
      </x:c>
      <x:c r="G114" s="28" t="str">
        <x:v>SOURCE EMPTY / HOLD</x:v>
      </x:c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23" t="str">
        <x:v>N1</x:v>
      </x:c>
      <x:c r="B115" s="23" t="str">
        <x:v>H-HWR</x:v>
      </x:c>
      <x:c r="C115" s="23" t="str">
        <x:v>Health workforce replacement group</x:v>
      </x:c>
      <x:c r="D115" s="23" t="str">
        <x:v>A</x:v>
      </x:c>
      <x:c r="E115" s="23" t="str">
        <x:v>N1-D4</x:v>
      </x:c>
      <x:c r="F115" s="23" t="str">
        <x:v>interface, consumable and field-repair path</x:v>
      </x:c>
      <x:c r="G115" s="28" t="str">
        <x:v>SOURCE EMPTY / HOLD</x:v>
      </x:c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23" t="str">
        <x:v>N1</x:v>
      </x:c>
      <x:c r="B116" s="23" t="str">
        <x:v>H-HWR</x:v>
      </x:c>
      <x:c r="C116" s="23" t="str">
        <x:v>Health workforce replacement group</x:v>
      </x:c>
      <x:c r="D116" s="23" t="str">
        <x:v>B</x:v>
      </x:c>
      <x:c r="E116" s="23" t="str">
        <x:v>N1-D1</x:v>
      </x:c>
      <x:c r="F116" s="23" t="str">
        <x:v>replacement, tooling and alternate-material path</x:v>
      </x:c>
      <x:c r="G116" s="28" t="str">
        <x:v>SOURCE EMPTY / HOLD</x:v>
      </x:c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23" t="str">
        <x:v>N2</x:v>
      </x:c>
      <x:c r="B117" s="23" t="str">
        <x:v>H-HWR</x:v>
      </x:c>
      <x:c r="C117" s="23" t="str">
        <x:v>Health workforce replacement group</x:v>
      </x:c>
      <x:c r="D117" s="23" t="str">
        <x:v>A</x:v>
      </x:c>
      <x:c r="E117" s="23" t="str">
        <x:v>N2-D5</x:v>
      </x:c>
      <x:c r="F117" s="23" t="str">
        <x:v>interface, consumable and field-repair path</x:v>
      </x:c>
      <x:c r="G117" s="28" t="str">
        <x:v>SOURCE EMPTY / HOLD</x:v>
      </x:c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23" t="str">
        <x:v>N2</x:v>
      </x:c>
      <x:c r="B118" s="23" t="str">
        <x:v>H-HWR</x:v>
      </x:c>
      <x:c r="C118" s="23" t="str">
        <x:v>Health workforce replacement group</x:v>
      </x:c>
      <x:c r="D118" s="23" t="str">
        <x:v>B</x:v>
      </x:c>
      <x:c r="E118" s="23" t="str">
        <x:v>N2-D2</x:v>
      </x:c>
      <x:c r="F118" s="23" t="str">
        <x:v>replacement, tooling and alternate-material path</x:v>
      </x:c>
      <x:c r="G118" s="28" t="str">
        <x:v>SOURCE EMPTY / HOLD</x:v>
      </x:c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23" t="str">
        <x:v>N1</x:v>
      </x:c>
      <x:c r="B119" s="23" t="str">
        <x:v>C-PSG</x:v>
      </x:c>
      <x:c r="C119" s="23" t="str">
        <x:v>Population support group</x:v>
      </x:c>
      <x:c r="D119" s="23" t="str">
        <x:v>A</x:v>
      </x:c>
      <x:c r="E119" s="23" t="str">
        <x:v>N1-D5</x:v>
      </x:c>
      <x:c r="F119" s="23" t="str">
        <x:v>interface, consumable and field-repair path</x:v>
      </x:c>
      <x:c r="G119" s="28" t="str">
        <x:v>SOURCE EMPTY / HOLD</x:v>
      </x:c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23" t="str">
        <x:v>N1</x:v>
      </x:c>
      <x:c r="B120" s="23" t="str">
        <x:v>C-PSG</x:v>
      </x:c>
      <x:c r="C120" s="23" t="str">
        <x:v>Population support group</x:v>
      </x:c>
      <x:c r="D120" s="23" t="str">
        <x:v>B</x:v>
      </x:c>
      <x:c r="E120" s="23" t="str">
        <x:v>N1-D2</x:v>
      </x:c>
      <x:c r="F120" s="23" t="str">
        <x:v>replacement, tooling and alternate-material path</x:v>
      </x:c>
      <x:c r="G120" s="28" t="str">
        <x:v>SOURCE EMPTY / HOLD</x:v>
      </x:c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23" t="str">
        <x:v>N2</x:v>
      </x:c>
      <x:c r="B121" s="23" t="str">
        <x:v>C-PSG</x:v>
      </x:c>
      <x:c r="C121" s="23" t="str">
        <x:v>Population support group</x:v>
      </x:c>
      <x:c r="D121" s="23" t="str">
        <x:v>A</x:v>
      </x:c>
      <x:c r="E121" s="23" t="str">
        <x:v>N2-D6</x:v>
      </x:c>
      <x:c r="F121" s="23" t="str">
        <x:v>interface, consumable and field-repair path</x:v>
      </x:c>
      <x:c r="G121" s="28" t="str">
        <x:v>SOURCE EMPTY / HOLD</x:v>
      </x:c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23" t="str">
        <x:v>N2</x:v>
      </x:c>
      <x:c r="B122" s="23" t="str">
        <x:v>C-PSG</x:v>
      </x:c>
      <x:c r="C122" s="23" t="str">
        <x:v>Population support group</x:v>
      </x:c>
      <x:c r="D122" s="23" t="str">
        <x:v>B</x:v>
      </x:c>
      <x:c r="E122" s="23" t="str">
        <x:v>N2-D3</x:v>
      </x:c>
      <x:c r="F122" s="23" t="str">
        <x:v>replacement, tooling and alternate-material path</x:v>
      </x:c>
      <x:c r="G122" s="28" t="str">
        <x:v>SOURCE EMPTY / HOLD</x:v>
      </x:c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23" t="str">
        <x:v>N1</x:v>
      </x:c>
      <x:c r="B123" s="23" t="str">
        <x:v>C-EGG</x:v>
      </x:c>
      <x:c r="C123" s="23" t="str">
        <x:v>Essential-goods group</x:v>
      </x:c>
      <x:c r="D123" s="23" t="str">
        <x:v>A</x:v>
      </x:c>
      <x:c r="E123" s="23" t="str">
        <x:v>N1-D6</x:v>
      </x:c>
      <x:c r="F123" s="23" t="str">
        <x:v>interface, consumable and field-repair path</x:v>
      </x:c>
      <x:c r="G123" s="28" t="str">
        <x:v>SOURCE EMPTY / HOLD</x:v>
      </x:c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23" t="str">
        <x:v>N1</x:v>
      </x:c>
      <x:c r="B124" s="23" t="str">
        <x:v>C-EGG</x:v>
      </x:c>
      <x:c r="C124" s="23" t="str">
        <x:v>Essential-goods group</x:v>
      </x:c>
      <x:c r="D124" s="23" t="str">
        <x:v>B</x:v>
      </x:c>
      <x:c r="E124" s="23" t="str">
        <x:v>N1-D3</x:v>
      </x:c>
      <x:c r="F124" s="23" t="str">
        <x:v>replacement, tooling and alternate-material path</x:v>
      </x:c>
      <x:c r="G124" s="28" t="str">
        <x:v>SOURCE EMPTY / HOLD</x:v>
      </x:c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23" t="str">
        <x:v>N2</x:v>
      </x:c>
      <x:c r="B125" s="23" t="str">
        <x:v>C-EGG</x:v>
      </x:c>
      <x:c r="C125" s="23" t="str">
        <x:v>Essential-goods group</x:v>
      </x:c>
      <x:c r="D125" s="23" t="str">
        <x:v>A</x:v>
      </x:c>
      <x:c r="E125" s="23" t="str">
        <x:v>N2-D1</x:v>
      </x:c>
      <x:c r="F125" s="23" t="str">
        <x:v>interface, consumable and field-repair path</x:v>
      </x:c>
      <x:c r="G125" s="28" t="str">
        <x:v>SOURCE EMPTY / HOLD</x:v>
      </x:c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23" t="str">
        <x:v>N2</x:v>
      </x:c>
      <x:c r="B126" s="23" t="str">
        <x:v>C-EGG</x:v>
      </x:c>
      <x:c r="C126" s="23" t="str">
        <x:v>Essential-goods group</x:v>
      </x:c>
      <x:c r="D126" s="23" t="str">
        <x:v>B</x:v>
      </x:c>
      <x:c r="E126" s="23" t="str">
        <x:v>N2-D4</x:v>
      </x:c>
      <x:c r="F126" s="23" t="str">
        <x:v>replacement, tooling and alternate-material path</x:v>
      </x:c>
      <x:c r="G126" s="28" t="str">
        <x:v>SOURCE EMPTY / HOLD</x:v>
      </x:c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23" t="str">
        <x:v>N1</x:v>
      </x:c>
      <x:c r="B127" s="23" t="str">
        <x:v>C-CAG</x:v>
      </x:c>
      <x:c r="C127" s="23" t="str">
        <x:v>Civil access group</x:v>
      </x:c>
      <x:c r="D127" s="23" t="str">
        <x:v>A</x:v>
      </x:c>
      <x:c r="E127" s="23" t="str">
        <x:v>N1-D1</x:v>
      </x:c>
      <x:c r="F127" s="23" t="str">
        <x:v>interface, consumable and field-repair path</x:v>
      </x:c>
      <x:c r="G127" s="28" t="str">
        <x:v>SOURCE EMPTY / HOLD</x:v>
      </x:c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23" t="str">
        <x:v>N1</x:v>
      </x:c>
      <x:c r="B128" s="23" t="str">
        <x:v>C-CAG</x:v>
      </x:c>
      <x:c r="C128" s="23" t="str">
        <x:v>Civil access group</x:v>
      </x:c>
      <x:c r="D128" s="23" t="str">
        <x:v>B</x:v>
      </x:c>
      <x:c r="E128" s="23" t="str">
        <x:v>N1-D4</x:v>
      </x:c>
      <x:c r="F128" s="23" t="str">
        <x:v>replacement, tooling and alternate-material path</x:v>
      </x:c>
      <x:c r="G128" s="28" t="str">
        <x:v>SOURCE EMPTY / HOLD</x:v>
      </x:c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23" t="str">
        <x:v>N2</x:v>
      </x:c>
      <x:c r="B129" s="23" t="str">
        <x:v>C-CAG</x:v>
      </x:c>
      <x:c r="C129" s="23" t="str">
        <x:v>Civil access group</x:v>
      </x:c>
      <x:c r="D129" s="23" t="str">
        <x:v>A</x:v>
      </x:c>
      <x:c r="E129" s="23" t="str">
        <x:v>N2-D2</x:v>
      </x:c>
      <x:c r="F129" s="23" t="str">
        <x:v>interface, consumable and field-repair path</x:v>
      </x:c>
      <x:c r="G129" s="28" t="str">
        <x:v>SOURCE EMPTY / HOLD</x:v>
      </x:c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23" t="str">
        <x:v>N2</x:v>
      </x:c>
      <x:c r="B130" s="23" t="str">
        <x:v>C-CAG</x:v>
      </x:c>
      <x:c r="C130" s="23" t="str">
        <x:v>Civil access group</x:v>
      </x:c>
      <x:c r="D130" s="23" t="str">
        <x:v>B</x:v>
      </x:c>
      <x:c r="E130" s="23" t="str">
        <x:v>N2-D5</x:v>
      </x:c>
      <x:c r="F130" s="23" t="str">
        <x:v>replacement, tooling and alternate-material path</x:v>
      </x:c>
      <x:c r="G130" s="28" t="str">
        <x:v>SOURCE EMPTY / HOLD</x:v>
      </x:c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23" t="str">
        <x:v>N1</x:v>
      </x:c>
      <x:c r="B131" s="23" t="str">
        <x:v>C-DTG</x:v>
      </x:c>
      <x:c r="C131" s="23" t="str">
        <x:v>Displacement transition group</x:v>
      </x:c>
      <x:c r="D131" s="23" t="str">
        <x:v>A</x:v>
      </x:c>
      <x:c r="E131" s="23" t="str">
        <x:v>N1-D2</x:v>
      </x:c>
      <x:c r="F131" s="23" t="str">
        <x:v>interface, consumable and field-repair path</x:v>
      </x:c>
      <x:c r="G131" s="28" t="str">
        <x:v>SOURCE EMPTY / HOLD</x:v>
      </x:c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23" t="str">
        <x:v>N1</x:v>
      </x:c>
      <x:c r="B132" s="23" t="str">
        <x:v>C-DTG</x:v>
      </x:c>
      <x:c r="C132" s="23" t="str">
        <x:v>Displacement transition group</x:v>
      </x:c>
      <x:c r="D132" s="23" t="str">
        <x:v>B</x:v>
      </x:c>
      <x:c r="E132" s="23" t="str">
        <x:v>N1-D5</x:v>
      </x:c>
      <x:c r="F132" s="23" t="str">
        <x:v>replacement, tooling and alternate-material path</x:v>
      </x:c>
      <x:c r="G132" s="28" t="str">
        <x:v>SOURCE EMPTY / HOLD</x:v>
      </x:c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23" t="str">
        <x:v>N2</x:v>
      </x:c>
      <x:c r="B133" s="23" t="str">
        <x:v>C-DTG</x:v>
      </x:c>
      <x:c r="C133" s="23" t="str">
        <x:v>Displacement transition group</x:v>
      </x:c>
      <x:c r="D133" s="23" t="str">
        <x:v>A</x:v>
      </x:c>
      <x:c r="E133" s="23" t="str">
        <x:v>N2-D3</x:v>
      </x:c>
      <x:c r="F133" s="23" t="str">
        <x:v>interface, consumable and field-repair path</x:v>
      </x:c>
      <x:c r="G133" s="28" t="str">
        <x:v>SOURCE EMPTY / HOLD</x:v>
      </x:c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23" t="str">
        <x:v>N2</x:v>
      </x:c>
      <x:c r="B134" s="23" t="str">
        <x:v>C-DTG</x:v>
      </x:c>
      <x:c r="C134" s="23" t="str">
        <x:v>Displacement transition group</x:v>
      </x:c>
      <x:c r="D134" s="23" t="str">
        <x:v>B</x:v>
      </x:c>
      <x:c r="E134" s="23" t="str">
        <x:v>N2-D6</x:v>
      </x:c>
      <x:c r="F134" s="23" t="str">
        <x:v>replacement, tooling and alternate-material path</x:v>
      </x:c>
      <x:c r="G134" s="28" t="str">
        <x:v>SOURCE EMPTY / HOLD</x:v>
      </x:c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23" t="str">
        <x:v>N1</x:v>
      </x:c>
      <x:c r="B135" s="23" t="str">
        <x:v>C-CIG</x:v>
      </x:c>
      <x:c r="C135" s="23" t="str">
        <x:v>Community institutions group</x:v>
      </x:c>
      <x:c r="D135" s="23" t="str">
        <x:v>A</x:v>
      </x:c>
      <x:c r="E135" s="23" t="str">
        <x:v>N1-D3</x:v>
      </x:c>
      <x:c r="F135" s="23" t="str">
        <x:v>interface, consumable and field-repair path</x:v>
      </x:c>
      <x:c r="G135" s="28" t="str">
        <x:v>SOURCE EMPTY / HOLD</x:v>
      </x:c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23" t="str">
        <x:v>N1</x:v>
      </x:c>
      <x:c r="B136" s="23" t="str">
        <x:v>C-CIG</x:v>
      </x:c>
      <x:c r="C136" s="23" t="str">
        <x:v>Community institutions group</x:v>
      </x:c>
      <x:c r="D136" s="23" t="str">
        <x:v>B</x:v>
      </x:c>
      <x:c r="E136" s="23" t="str">
        <x:v>N1-D6</x:v>
      </x:c>
      <x:c r="F136" s="23" t="str">
        <x:v>replacement, tooling and alternate-material path</x:v>
      </x:c>
      <x:c r="G136" s="28" t="str">
        <x:v>SOURCE EMPTY / HOLD</x:v>
      </x:c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23" t="str">
        <x:v>N2</x:v>
      </x:c>
      <x:c r="B137" s="23" t="str">
        <x:v>C-CIG</x:v>
      </x:c>
      <x:c r="C137" s="23" t="str">
        <x:v>Community institutions group</x:v>
      </x:c>
      <x:c r="D137" s="23" t="str">
        <x:v>A</x:v>
      </x:c>
      <x:c r="E137" s="23" t="str">
        <x:v>N2-D4</x:v>
      </x:c>
      <x:c r="F137" s="23" t="str">
        <x:v>interface, consumable and field-repair path</x:v>
      </x:c>
      <x:c r="G137" s="28" t="str">
        <x:v>SOURCE EMPTY / HOLD</x:v>
      </x:c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23" t="str">
        <x:v>N2</x:v>
      </x:c>
      <x:c r="B138" s="23" t="str">
        <x:v>C-CIG</x:v>
      </x:c>
      <x:c r="C138" s="23" t="str">
        <x:v>Community institutions group</x:v>
      </x:c>
      <x:c r="D138" s="23" t="str">
        <x:v>B</x:v>
      </x:c>
      <x:c r="E138" s="23" t="str">
        <x:v>N2-D1</x:v>
      </x:c>
      <x:c r="F138" s="23" t="str">
        <x:v>replacement, tooling and alternate-material path</x:v>
      </x:c>
      <x:c r="G138" s="28" t="str">
        <x:v>SOURCE EMPTY / HOLD</x:v>
      </x:c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23" t="str">
        <x:v>N1</x:v>
      </x:c>
      <x:c r="B139" s="23" t="str">
        <x:v>J-RIG</x:v>
      </x:c>
      <x:c r="C139" s="23" t="str">
        <x:v>Resilience information group</x:v>
      </x:c>
      <x:c r="D139" s="23" t="str">
        <x:v>A</x:v>
      </x:c>
      <x:c r="E139" s="23" t="str">
        <x:v>N1-D4</x:v>
      </x:c>
      <x:c r="F139" s="23" t="str">
        <x:v>interface, consumable and field-repair path</x:v>
      </x:c>
      <x:c r="G139" s="28" t="str">
        <x:v>SOURCE EMPTY / HOLD</x:v>
      </x:c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23" t="str">
        <x:v>N1</x:v>
      </x:c>
      <x:c r="B140" s="23" t="str">
        <x:v>J-RIG</x:v>
      </x:c>
      <x:c r="C140" s="23" t="str">
        <x:v>Resilience information group</x:v>
      </x:c>
      <x:c r="D140" s="23" t="str">
        <x:v>B</x:v>
      </x:c>
      <x:c r="E140" s="23" t="str">
        <x:v>N1-D1</x:v>
      </x:c>
      <x:c r="F140" s="23" t="str">
        <x:v>replacement, tooling and alternate-material path</x:v>
      </x:c>
      <x:c r="G140" s="28" t="str">
        <x:v>SOURCE EMPTY / HOLD</x:v>
      </x:c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23" t="str">
        <x:v>N2</x:v>
      </x:c>
      <x:c r="B141" s="23" t="str">
        <x:v>J-RIG</x:v>
      </x:c>
      <x:c r="C141" s="23" t="str">
        <x:v>Resilience information group</x:v>
      </x:c>
      <x:c r="D141" s="23" t="str">
        <x:v>A</x:v>
      </x:c>
      <x:c r="E141" s="23" t="str">
        <x:v>N2-D5</x:v>
      </x:c>
      <x:c r="F141" s="23" t="str">
        <x:v>interface, consumable and field-repair path</x:v>
      </x:c>
      <x:c r="G141" s="28" t="str">
        <x:v>SOURCE EMPTY / HOLD</x:v>
      </x:c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23" t="str">
        <x:v>N2</x:v>
      </x:c>
      <x:c r="B142" s="23" t="str">
        <x:v>J-RIG</x:v>
      </x:c>
      <x:c r="C142" s="23" t="str">
        <x:v>Resilience information group</x:v>
      </x:c>
      <x:c r="D142" s="23" t="str">
        <x:v>B</x:v>
      </x:c>
      <x:c r="E142" s="23" t="str">
        <x:v>N2-D2</x:v>
      </x:c>
      <x:c r="F142" s="23" t="str">
        <x:v>replacement, tooling and alternate-material path</x:v>
      </x:c>
      <x:c r="G142" s="28" t="str">
        <x:v>SOURCE EMPTY / HOLD</x:v>
      </x:c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23" t="str">
        <x:v>N1</x:v>
      </x:c>
      <x:c r="B143" s="23" t="str">
        <x:v>M-MPG</x:v>
      </x:c>
      <x:c r="C143" s="23" t="str">
        <x:v>Maritime production group</x:v>
      </x:c>
      <x:c r="D143" s="23" t="str">
        <x:v>A</x:v>
      </x:c>
      <x:c r="E143" s="23" t="str">
        <x:v>N1-D5</x:v>
      </x:c>
      <x:c r="F143" s="23" t="str">
        <x:v>interface, consumable and field-repair path</x:v>
      </x:c>
      <x:c r="G143" s="28" t="str">
        <x:v>SOURCE EMPTY / HOLD</x:v>
      </x:c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23" t="str">
        <x:v>N1</x:v>
      </x:c>
      <x:c r="B144" s="23" t="str">
        <x:v>M-MPG</x:v>
      </x:c>
      <x:c r="C144" s="23" t="str">
        <x:v>Maritime production group</x:v>
      </x:c>
      <x:c r="D144" s="23" t="str">
        <x:v>B</x:v>
      </x:c>
      <x:c r="E144" s="23" t="str">
        <x:v>N1-D2</x:v>
      </x:c>
      <x:c r="F144" s="23" t="str">
        <x:v>replacement, tooling and alternate-material path</x:v>
      </x:c>
      <x:c r="G144" s="28" t="str">
        <x:v>SOURCE EMPTY / HOLD</x:v>
      </x:c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23" t="str">
        <x:v>N2</x:v>
      </x:c>
      <x:c r="B145" s="23" t="str">
        <x:v>M-MPG</x:v>
      </x:c>
      <x:c r="C145" s="23" t="str">
        <x:v>Maritime production group</x:v>
      </x:c>
      <x:c r="D145" s="23" t="str">
        <x:v>A</x:v>
      </x:c>
      <x:c r="E145" s="23" t="str">
        <x:v>N2-D6</x:v>
      </x:c>
      <x:c r="F145" s="23" t="str">
        <x:v>interface, consumable and field-repair path</x:v>
      </x:c>
      <x:c r="G145" s="28" t="str">
        <x:v>SOURCE EMPTY / HOLD</x:v>
      </x:c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23" t="str">
        <x:v>N2</x:v>
      </x:c>
      <x:c r="B146" s="23" t="str">
        <x:v>M-MPG</x:v>
      </x:c>
      <x:c r="C146" s="23" t="str">
        <x:v>Maritime production group</x:v>
      </x:c>
      <x:c r="D146" s="23" t="str">
        <x:v>B</x:v>
      </x:c>
      <x:c r="E146" s="23" t="str">
        <x:v>N2-D3</x:v>
      </x:c>
      <x:c r="F146" s="23" t="str">
        <x:v>replacement, tooling and alternate-material path</x:v>
      </x:c>
      <x:c r="G146" s="28" t="str">
        <x:v>SOURCE EMPTY / HOLD</x:v>
      </x:c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23" t="str">
        <x:v>N1</x:v>
      </x:c>
      <x:c r="B147" s="23" t="str">
        <x:v>I-WRG</x:v>
      </x:c>
      <x:c r="C147" s="23" t="str">
        <x:v>Water restoration group</x:v>
      </x:c>
      <x:c r="D147" s="23" t="str">
        <x:v>A</x:v>
      </x:c>
      <x:c r="E147" s="23" t="str">
        <x:v>N1-D6</x:v>
      </x:c>
      <x:c r="F147" s="23" t="str">
        <x:v>interface, consumable and field-repair path</x:v>
      </x:c>
      <x:c r="G147" s="28" t="str">
        <x:v>SOURCE EMPTY / HOLD</x:v>
      </x:c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23" t="str">
        <x:v>N1</x:v>
      </x:c>
      <x:c r="B148" s="23" t="str">
        <x:v>I-WRG</x:v>
      </x:c>
      <x:c r="C148" s="23" t="str">
        <x:v>Water restoration group</x:v>
      </x:c>
      <x:c r="D148" s="23" t="str">
        <x:v>B</x:v>
      </x:c>
      <x:c r="E148" s="23" t="str">
        <x:v>N1-D3</x:v>
      </x:c>
      <x:c r="F148" s="23" t="str">
        <x:v>replacement, tooling and alternate-material path</x:v>
      </x:c>
      <x:c r="G148" s="28" t="str">
        <x:v>SOURCE EMPTY / HOLD</x:v>
      </x:c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23" t="str">
        <x:v>N2</x:v>
      </x:c>
      <x:c r="B149" s="23" t="str">
        <x:v>I-WRG</x:v>
      </x:c>
      <x:c r="C149" s="23" t="str">
        <x:v>Water restoration group</x:v>
      </x:c>
      <x:c r="D149" s="23" t="str">
        <x:v>A</x:v>
      </x:c>
      <x:c r="E149" s="23" t="str">
        <x:v>N2-D1</x:v>
      </x:c>
      <x:c r="F149" s="23" t="str">
        <x:v>interface, consumable and field-repair path</x:v>
      </x:c>
      <x:c r="G149" s="28" t="str">
        <x:v>SOURCE EMPTY / HOLD</x:v>
      </x:c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23" t="str">
        <x:v>N2</x:v>
      </x:c>
      <x:c r="B150" s="23" t="str">
        <x:v>I-WRG</x:v>
      </x:c>
      <x:c r="C150" s="23" t="str">
        <x:v>Water restoration group</x:v>
      </x:c>
      <x:c r="D150" s="23" t="str">
        <x:v>B</x:v>
      </x:c>
      <x:c r="E150" s="23" t="str">
        <x:v>N2-D4</x:v>
      </x:c>
      <x:c r="F150" s="23" t="str">
        <x:v>replacement, tooling and alternate-material path</x:v>
      </x:c>
      <x:c r="G150" s="28" t="str">
        <x:v>SOURCE EMPTY / HOLD</x:v>
      </x:c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23" t="str">
        <x:v>N1</x:v>
      </x:c>
      <x:c r="B151" s="23" t="str">
        <x:v>I-PRG</x:v>
      </x:c>
      <x:c r="C151" s="23" t="str">
        <x:v>Power restoration group</x:v>
      </x:c>
      <x:c r="D151" s="23" t="str">
        <x:v>A</x:v>
      </x:c>
      <x:c r="E151" s="23" t="str">
        <x:v>N1-D1</x:v>
      </x:c>
      <x:c r="F151" s="23" t="str">
        <x:v>interface, consumable and field-repair path</x:v>
      </x:c>
      <x:c r="G151" s="28" t="str">
        <x:v>SOURCE EMPTY / HOLD</x:v>
      </x:c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23" t="str">
        <x:v>N1</x:v>
      </x:c>
      <x:c r="B152" s="23" t="str">
        <x:v>I-PRG</x:v>
      </x:c>
      <x:c r="C152" s="23" t="str">
        <x:v>Power restoration group</x:v>
      </x:c>
      <x:c r="D152" s="23" t="str">
        <x:v>B</x:v>
      </x:c>
      <x:c r="E152" s="23" t="str">
        <x:v>N1-D4</x:v>
      </x:c>
      <x:c r="F152" s="23" t="str">
        <x:v>replacement, tooling and alternate-material path</x:v>
      </x:c>
      <x:c r="G152" s="28" t="str">
        <x:v>SOURCE EMPTY / HOLD</x:v>
      </x:c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23" t="str">
        <x:v>N2</x:v>
      </x:c>
      <x:c r="B153" s="23" t="str">
        <x:v>I-PRG</x:v>
      </x:c>
      <x:c r="C153" s="23" t="str">
        <x:v>Power restoration group</x:v>
      </x:c>
      <x:c r="D153" s="23" t="str">
        <x:v>A</x:v>
      </x:c>
      <x:c r="E153" s="23" t="str">
        <x:v>N2-D2</x:v>
      </x:c>
      <x:c r="F153" s="23" t="str">
        <x:v>interface, consumable and field-repair path</x:v>
      </x:c>
      <x:c r="G153" s="28" t="str">
        <x:v>SOURCE EMPTY / HOLD</x:v>
      </x:c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23" t="str">
        <x:v>N2</x:v>
      </x:c>
      <x:c r="B154" s="23" t="str">
        <x:v>I-PRG</x:v>
      </x:c>
      <x:c r="C154" s="23" t="str">
        <x:v>Power restoration group</x:v>
      </x:c>
      <x:c r="D154" s="23" t="str">
        <x:v>B</x:v>
      </x:c>
      <x:c r="E154" s="23" t="str">
        <x:v>N2-D5</x:v>
      </x:c>
      <x:c r="F154" s="23" t="str">
        <x:v>replacement, tooling and alternate-material path</x:v>
      </x:c>
      <x:c r="G154" s="28" t="str">
        <x:v>SOURCE EMPTY / HOLD</x:v>
      </x:c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23" t="str">
        <x:v>N1</x:v>
      </x:c>
      <x:c r="B155" s="23" t="str">
        <x:v>I-GBG</x:v>
      </x:c>
      <x:c r="C155" s="23" t="str">
        <x:v>Grid bridge group</x:v>
      </x:c>
      <x:c r="D155" s="23" t="str">
        <x:v>A</x:v>
      </x:c>
      <x:c r="E155" s="23" t="str">
        <x:v>N1-D2</x:v>
      </x:c>
      <x:c r="F155" s="23" t="str">
        <x:v>interface, consumable and field-repair path</x:v>
      </x:c>
      <x:c r="G155" s="28" t="str">
        <x:v>SOURCE EMPTY / HOLD</x:v>
      </x:c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23" t="str">
        <x:v>N1</x:v>
      </x:c>
      <x:c r="B156" s="23" t="str">
        <x:v>I-GBG</x:v>
      </x:c>
      <x:c r="C156" s="23" t="str">
        <x:v>Grid bridge group</x:v>
      </x:c>
      <x:c r="D156" s="23" t="str">
        <x:v>B</x:v>
      </x:c>
      <x:c r="E156" s="23" t="str">
        <x:v>N1-D5</x:v>
      </x:c>
      <x:c r="F156" s="23" t="str">
        <x:v>replacement, tooling and alternate-material path</x:v>
      </x:c>
      <x:c r="G156" s="28" t="str">
        <x:v>SOURCE EMPTY / HOLD</x:v>
      </x:c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23" t="str">
        <x:v>N2</x:v>
      </x:c>
      <x:c r="B157" s="23" t="str">
        <x:v>I-GBG</x:v>
      </x:c>
      <x:c r="C157" s="23" t="str">
        <x:v>Grid bridge group</x:v>
      </x:c>
      <x:c r="D157" s="23" t="str">
        <x:v>A</x:v>
      </x:c>
      <x:c r="E157" s="23" t="str">
        <x:v>N2-D3</x:v>
      </x:c>
      <x:c r="F157" s="23" t="str">
        <x:v>interface, consumable and field-repair path</x:v>
      </x:c>
      <x:c r="G157" s="28" t="str">
        <x:v>SOURCE EMPTY / HOLD</x:v>
      </x:c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23" t="str">
        <x:v>N2</x:v>
      </x:c>
      <x:c r="B158" s="23" t="str">
        <x:v>I-GBG</x:v>
      </x:c>
      <x:c r="C158" s="23" t="str">
        <x:v>Grid bridge group</x:v>
      </x:c>
      <x:c r="D158" s="23" t="str">
        <x:v>B</x:v>
      </x:c>
      <x:c r="E158" s="23" t="str">
        <x:v>N2-D6</x:v>
      </x:c>
      <x:c r="F158" s="23" t="str">
        <x:v>replacement, tooling and alternate-material path</x:v>
      </x:c>
      <x:c r="G158" s="28" t="str">
        <x:v>SOURCE EMPTY / HOLD</x:v>
      </x:c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23" t="str">
        <x:v>N1</x:v>
      </x:c>
      <x:c r="B159" s="23" t="str">
        <x:v>H-THC</x:v>
      </x:c>
      <x:c r="C159" s="23" t="str">
        <x:v>Theater hospital command</x:v>
      </x:c>
      <x:c r="D159" s="23" t="str">
        <x:v>A</x:v>
      </x:c>
      <x:c r="E159" s="23" t="str">
        <x:v>N1-D3</x:v>
      </x:c>
      <x:c r="F159" s="23" t="str">
        <x:v>interface, consumable and field-repair path</x:v>
      </x:c>
      <x:c r="G159" s="28" t="str">
        <x:v>SOURCE EMPTY / HOLD</x:v>
      </x:c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23" t="str">
        <x:v>N1</x:v>
      </x:c>
      <x:c r="B160" s="23" t="str">
        <x:v>H-THC</x:v>
      </x:c>
      <x:c r="C160" s="23" t="str">
        <x:v>Theater hospital command</x:v>
      </x:c>
      <x:c r="D160" s="23" t="str">
        <x:v>B</x:v>
      </x:c>
      <x:c r="E160" s="23" t="str">
        <x:v>N1-D6</x:v>
      </x:c>
      <x:c r="F160" s="23" t="str">
        <x:v>replacement, tooling and alternate-material path</x:v>
      </x:c>
      <x:c r="G160" s="28" t="str">
        <x:v>SOURCE EMPTY / HOLD</x:v>
      </x:c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23" t="str">
        <x:v>N2</x:v>
      </x:c>
      <x:c r="B161" s="23" t="str">
        <x:v>H-THC</x:v>
      </x:c>
      <x:c r="C161" s="23" t="str">
        <x:v>Theater hospital command</x:v>
      </x:c>
      <x:c r="D161" s="23" t="str">
        <x:v>A</x:v>
      </x:c>
      <x:c r="E161" s="23" t="str">
        <x:v>N2-D4</x:v>
      </x:c>
      <x:c r="F161" s="23" t="str">
        <x:v>interface, consumable and field-repair path</x:v>
      </x:c>
      <x:c r="G161" s="28" t="str">
        <x:v>SOURCE EMPTY / HOLD</x:v>
      </x:c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23" t="str">
        <x:v>N2</x:v>
      </x:c>
      <x:c r="B162" s="23" t="str">
        <x:v>H-THC</x:v>
      </x:c>
      <x:c r="C162" s="23" t="str">
        <x:v>Theater hospital command</x:v>
      </x:c>
      <x:c r="D162" s="23" t="str">
        <x:v>B</x:v>
      </x:c>
      <x:c r="E162" s="23" t="str">
        <x:v>N2-D1</x:v>
      </x:c>
      <x:c r="F162" s="23" t="str">
        <x:v>replacement, tooling and alternate-material path</x:v>
      </x:c>
      <x:c r="G162" s="28" t="str">
        <x:v>SOURCE EMPTY / HOLD</x:v>
      </x:c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23" t="str">
        <x:v>N1</x:v>
      </x:c>
      <x:c r="B163" s="23" t="str">
        <x:v>H-PMG</x:v>
      </x:c>
      <x:c r="C163" s="23" t="str">
        <x:v>Patient movement group</x:v>
      </x:c>
      <x:c r="D163" s="23" t="str">
        <x:v>A</x:v>
      </x:c>
      <x:c r="E163" s="23" t="str">
        <x:v>N1-D4</x:v>
      </x:c>
      <x:c r="F163" s="23" t="str">
        <x:v>interface, consumable and field-repair path</x:v>
      </x:c>
      <x:c r="G163" s="28" t="str">
        <x:v>SOURCE EMPTY / HOLD</x:v>
      </x:c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23" t="str">
        <x:v>N1</x:v>
      </x:c>
      <x:c r="B164" s="23" t="str">
        <x:v>H-PMG</x:v>
      </x:c>
      <x:c r="C164" s="23" t="str">
        <x:v>Patient movement group</x:v>
      </x:c>
      <x:c r="D164" s="23" t="str">
        <x:v>B</x:v>
      </x:c>
      <x:c r="E164" s="23" t="str">
        <x:v>N1-D1</x:v>
      </x:c>
      <x:c r="F164" s="23" t="str">
        <x:v>replacement, tooling and alternate-material path</x:v>
      </x:c>
      <x:c r="G164" s="28" t="str">
        <x:v>SOURCE EMPTY / HOLD</x:v>
      </x:c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23" t="str">
        <x:v>N2</x:v>
      </x:c>
      <x:c r="B165" s="23" t="str">
        <x:v>H-PMG</x:v>
      </x:c>
      <x:c r="C165" s="23" t="str">
        <x:v>Patient movement group</x:v>
      </x:c>
      <x:c r="D165" s="23" t="str">
        <x:v>A</x:v>
      </x:c>
      <x:c r="E165" s="23" t="str">
        <x:v>N2-D5</x:v>
      </x:c>
      <x:c r="F165" s="23" t="str">
        <x:v>interface, consumable and field-repair path</x:v>
      </x:c>
      <x:c r="G165" s="28" t="str">
        <x:v>SOURCE EMPTY / HOLD</x:v>
      </x:c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23" t="str">
        <x:v>N2</x:v>
      </x:c>
      <x:c r="B166" s="23" t="str">
        <x:v>H-PMG</x:v>
      </x:c>
      <x:c r="C166" s="23" t="str">
        <x:v>Patient movement group</x:v>
      </x:c>
      <x:c r="D166" s="23" t="str">
        <x:v>B</x:v>
      </x:c>
      <x:c r="E166" s="23" t="str">
        <x:v>N2-D2</x:v>
      </x:c>
      <x:c r="F166" s="23" t="str">
        <x:v>replacement, tooling and alternate-material path</x:v>
      </x:c>
      <x:c r="G166" s="28" t="str">
        <x:v>SOURCE EMPTY / HOLD</x:v>
      </x:c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23" t="str">
        <x:v>N1</x:v>
      </x:c>
      <x:c r="B167" s="23" t="str">
        <x:v>C-ERG</x:v>
      </x:c>
      <x:c r="C167" s="23" t="str">
        <x:v>Economic restart group</x:v>
      </x:c>
      <x:c r="D167" s="23" t="str">
        <x:v>A</x:v>
      </x:c>
      <x:c r="E167" s="23" t="str">
        <x:v>N1-D5</x:v>
      </x:c>
      <x:c r="F167" s="23" t="str">
        <x:v>interface, consumable and field-repair path</x:v>
      </x:c>
      <x:c r="G167" s="28" t="str">
        <x:v>SOURCE EMPTY / HOLD</x:v>
      </x:c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23" t="str">
        <x:v>N1</x:v>
      </x:c>
      <x:c r="B168" s="23" t="str">
        <x:v>C-ERG</x:v>
      </x:c>
      <x:c r="C168" s="23" t="str">
        <x:v>Economic restart group</x:v>
      </x:c>
      <x:c r="D168" s="23" t="str">
        <x:v>B</x:v>
      </x:c>
      <x:c r="E168" s="23" t="str">
        <x:v>N1-D2</x:v>
      </x:c>
      <x:c r="F168" s="23" t="str">
        <x:v>replacement, tooling and alternate-material path</x:v>
      </x:c>
      <x:c r="G168" s="28" t="str">
        <x:v>SOURCE EMPTY / HOLD</x:v>
      </x:c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23" t="str">
        <x:v>N2</x:v>
      </x:c>
      <x:c r="B169" s="23" t="str">
        <x:v>C-ERG</x:v>
      </x:c>
      <x:c r="C169" s="23" t="str">
        <x:v>Economic restart group</x:v>
      </x:c>
      <x:c r="D169" s="23" t="str">
        <x:v>A</x:v>
      </x:c>
      <x:c r="E169" s="23" t="str">
        <x:v>N2-D6</x:v>
      </x:c>
      <x:c r="F169" s="23" t="str">
        <x:v>interface, consumable and field-repair path</x:v>
      </x:c>
      <x:c r="G169" s="28" t="str">
        <x:v>SOURCE EMPTY / HOLD</x:v>
      </x:c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23" t="str">
        <x:v>N2</x:v>
      </x:c>
      <x:c r="B170" s="23" t="str">
        <x:v>C-ERG</x:v>
      </x:c>
      <x:c r="C170" s="23" t="str">
        <x:v>Economic restart group</x:v>
      </x:c>
      <x:c r="D170" s="23" t="str">
        <x:v>B</x:v>
      </x:c>
      <x:c r="E170" s="23" t="str">
        <x:v>N2-D3</x:v>
      </x:c>
      <x:c r="F170" s="23" t="str">
        <x:v>replacement, tooling and alternate-material path</x:v>
      </x:c>
      <x:c r="G170" s="28" t="str">
        <x:v>SOURCE EMPTY / HOLD</x:v>
      </x:c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23" t="str">
        <x:v>N1</x:v>
      </x:c>
      <x:c r="B171" s="23" t="str">
        <x:v>CM-HCG</x:v>
      </x:c>
      <x:c r="C171" s="23" t="str">
        <x:v>Household collection group</x:v>
      </x:c>
      <x:c r="D171" s="23" t="str">
        <x:v>A</x:v>
      </x:c>
      <x:c r="E171" s="23" t="str">
        <x:v>N1-D6</x:v>
      </x:c>
      <x:c r="F171" s="23" t="str">
        <x:v>interface, consumable and field-repair path</x:v>
      </x:c>
      <x:c r="G171" s="28" t="str">
        <x:v>SOURCE EMPTY / HOLD</x:v>
      </x:c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23" t="str">
        <x:v>N1</x:v>
      </x:c>
      <x:c r="B172" s="23" t="str">
        <x:v>CM-HCG</x:v>
      </x:c>
      <x:c r="C172" s="23" t="str">
        <x:v>Household collection group</x:v>
      </x:c>
      <x:c r="D172" s="23" t="str">
        <x:v>B</x:v>
      </x:c>
      <x:c r="E172" s="23" t="str">
        <x:v>N1-D3</x:v>
      </x:c>
      <x:c r="F172" s="23" t="str">
        <x:v>replacement, tooling and alternate-material path</x:v>
      </x:c>
      <x:c r="G172" s="28" t="str">
        <x:v>SOURCE EMPTY / HOLD</x:v>
      </x:c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23" t="str">
        <x:v>N2</x:v>
      </x:c>
      <x:c r="B173" s="23" t="str">
        <x:v>CM-HCG</x:v>
      </x:c>
      <x:c r="C173" s="23" t="str">
        <x:v>Household collection group</x:v>
      </x:c>
      <x:c r="D173" s="23" t="str">
        <x:v>A</x:v>
      </x:c>
      <x:c r="E173" s="23" t="str">
        <x:v>N2-D1</x:v>
      </x:c>
      <x:c r="F173" s="23" t="str">
        <x:v>interface, consumable and field-repair path</x:v>
      </x:c>
      <x:c r="G173" s="28" t="str">
        <x:v>SOURCE EMPTY / HOLD</x:v>
      </x:c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23" t="str">
        <x:v>N2</x:v>
      </x:c>
      <x:c r="B174" s="23" t="str">
        <x:v>CM-HCG</x:v>
      </x:c>
      <x:c r="C174" s="23" t="str">
        <x:v>Household collection group</x:v>
      </x:c>
      <x:c r="D174" s="23" t="str">
        <x:v>B</x:v>
      </x:c>
      <x:c r="E174" s="23" t="str">
        <x:v>N2-D4</x:v>
      </x:c>
      <x:c r="F174" s="23" t="str">
        <x:v>replacement, tooling and alternate-material path</x:v>
      </x:c>
      <x:c r="G174" s="28" t="str">
        <x:v>SOURCE EMPTY / HOLD</x:v>
      </x:c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23" t="str">
        <x:v>N1</x:v>
      </x:c>
      <x:c r="B175" s="23" t="str">
        <x:v>CM-CTN</x:v>
      </x:c>
      <x:c r="C175" s="23" t="str">
        <x:v>Continuity transfer-node group</x:v>
      </x:c>
      <x:c r="D175" s="23" t="str">
        <x:v>A</x:v>
      </x:c>
      <x:c r="E175" s="23" t="str">
        <x:v>N1-D1</x:v>
      </x:c>
      <x:c r="F175" s="23" t="str">
        <x:v>interface, consumable and field-repair path</x:v>
      </x:c>
      <x:c r="G175" s="28" t="str">
        <x:v>SOURCE EMPTY / HOLD</x:v>
      </x:c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23" t="str">
        <x:v>N1</x:v>
      </x:c>
      <x:c r="B176" s="23" t="str">
        <x:v>CM-CTN</x:v>
      </x:c>
      <x:c r="C176" s="23" t="str">
        <x:v>Continuity transfer-node group</x:v>
      </x:c>
      <x:c r="D176" s="23" t="str">
        <x:v>B</x:v>
      </x:c>
      <x:c r="E176" s="23" t="str">
        <x:v>N1-D4</x:v>
      </x:c>
      <x:c r="F176" s="23" t="str">
        <x:v>replacement, tooling and alternate-material path</x:v>
      </x:c>
      <x:c r="G176" s="28" t="str">
        <x:v>SOURCE EMPTY / HOLD</x:v>
      </x:c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23" t="str">
        <x:v>N2</x:v>
      </x:c>
      <x:c r="B177" s="23" t="str">
        <x:v>CM-CTN</x:v>
      </x:c>
      <x:c r="C177" s="23" t="str">
        <x:v>Continuity transfer-node group</x:v>
      </x:c>
      <x:c r="D177" s="23" t="str">
        <x:v>A</x:v>
      </x:c>
      <x:c r="E177" s="23" t="str">
        <x:v>N2-D2</x:v>
      </x:c>
      <x:c r="F177" s="23" t="str">
        <x:v>interface, consumable and field-repair path</x:v>
      </x:c>
      <x:c r="G177" s="28" t="str">
        <x:v>SOURCE EMPTY / HOLD</x:v>
      </x:c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23" t="str">
        <x:v>N2</x:v>
      </x:c>
      <x:c r="B178" s="23" t="str">
        <x:v>CM-CTN</x:v>
      </x:c>
      <x:c r="C178" s="23" t="str">
        <x:v>Continuity transfer-node group</x:v>
      </x:c>
      <x:c r="D178" s="23" t="str">
        <x:v>B</x:v>
      </x:c>
      <x:c r="E178" s="23" t="str">
        <x:v>N2-D5</x:v>
      </x:c>
      <x:c r="F178" s="23" t="str">
        <x:v>replacement, tooling and alternate-material path</x:v>
      </x:c>
      <x:c r="G178" s="28" t="str">
        <x:v>SOURCE EMPTY / HOLD</x:v>
      </x:c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23" t="str">
        <x:v>N1</x:v>
      </x:c>
      <x:c r="B179" s="23" t="str">
        <x:v>CM-RMG</x:v>
      </x:c>
      <x:c r="C179" s="23" t="str">
        <x:v>Civil road-mobility group</x:v>
      </x:c>
      <x:c r="D179" s="23" t="str">
        <x:v>A</x:v>
      </x:c>
      <x:c r="E179" s="23" t="str">
        <x:v>N1-D2</x:v>
      </x:c>
      <x:c r="F179" s="23" t="str">
        <x:v>interface, consumable and field-repair path</x:v>
      </x:c>
      <x:c r="G179" s="28" t="str">
        <x:v>SOURCE EMPTY / HOLD</x:v>
      </x:c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23" t="str">
        <x:v>N1</x:v>
      </x:c>
      <x:c r="B180" s="23" t="str">
        <x:v>CM-RMG</x:v>
      </x:c>
      <x:c r="C180" s="23" t="str">
        <x:v>Civil road-mobility group</x:v>
      </x:c>
      <x:c r="D180" s="23" t="str">
        <x:v>B</x:v>
      </x:c>
      <x:c r="E180" s="23" t="str">
        <x:v>N1-D5</x:v>
      </x:c>
      <x:c r="F180" s="23" t="str">
        <x:v>replacement, tooling and alternate-material path</x:v>
      </x:c>
      <x:c r="G180" s="28" t="str">
        <x:v>SOURCE EMPTY / HOLD</x:v>
      </x:c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23" t="str">
        <x:v>N2</x:v>
      </x:c>
      <x:c r="B181" s="23" t="str">
        <x:v>CM-RMG</x:v>
      </x:c>
      <x:c r="C181" s="23" t="str">
        <x:v>Civil road-mobility group</x:v>
      </x:c>
      <x:c r="D181" s="23" t="str">
        <x:v>A</x:v>
      </x:c>
      <x:c r="E181" s="23" t="str">
        <x:v>N2-D3</x:v>
      </x:c>
      <x:c r="F181" s="23" t="str">
        <x:v>interface, consumable and field-repair path</x:v>
      </x:c>
      <x:c r="G181" s="28" t="str">
        <x:v>SOURCE EMPTY / HOLD</x:v>
      </x:c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23" t="str">
        <x:v>N2</x:v>
      </x:c>
      <x:c r="B182" s="23" t="str">
        <x:v>CM-RMG</x:v>
      </x:c>
      <x:c r="C182" s="23" t="str">
        <x:v>Civil road-mobility group</x:v>
      </x:c>
      <x:c r="D182" s="23" t="str">
        <x:v>B</x:v>
      </x:c>
      <x:c r="E182" s="23" t="str">
        <x:v>N2-D6</x:v>
      </x:c>
      <x:c r="F182" s="23" t="str">
        <x:v>replacement, tooling and alternate-material path</x:v>
      </x:c>
      <x:c r="G182" s="28" t="str">
        <x:v>SOURCE EMPTY / HOLD</x:v>
      </x:c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23" t="str">
        <x:v>N1</x:v>
      </x:c>
      <x:c r="B183" s="23" t="str">
        <x:v>CM-RLG</x:v>
      </x:c>
      <x:c r="C183" s="23" t="str">
        <x:v>Civil rail-mobility group</x:v>
      </x:c>
      <x:c r="D183" s="23" t="str">
        <x:v>A</x:v>
      </x:c>
      <x:c r="E183" s="23" t="str">
        <x:v>N1-D3</x:v>
      </x:c>
      <x:c r="F183" s="23" t="str">
        <x:v>interface, consumable and field-repair path</x:v>
      </x:c>
      <x:c r="G183" s="28" t="str">
        <x:v>SOURCE EMPTY / HOLD</x:v>
      </x:c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23" t="str">
        <x:v>N1</x:v>
      </x:c>
      <x:c r="B184" s="23" t="str">
        <x:v>CM-RLG</x:v>
      </x:c>
      <x:c r="C184" s="23" t="str">
        <x:v>Civil rail-mobility group</x:v>
      </x:c>
      <x:c r="D184" s="23" t="str">
        <x:v>B</x:v>
      </x:c>
      <x:c r="E184" s="23" t="str">
        <x:v>N1-D6</x:v>
      </x:c>
      <x:c r="F184" s="23" t="str">
        <x:v>replacement, tooling and alternate-material path</x:v>
      </x:c>
      <x:c r="G184" s="28" t="str">
        <x:v>SOURCE EMPTY / HOLD</x:v>
      </x:c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23" t="str">
        <x:v>N2</x:v>
      </x:c>
      <x:c r="B185" s="23" t="str">
        <x:v>CM-RLG</x:v>
      </x:c>
      <x:c r="C185" s="23" t="str">
        <x:v>Civil rail-mobility group</x:v>
      </x:c>
      <x:c r="D185" s="23" t="str">
        <x:v>A</x:v>
      </x:c>
      <x:c r="E185" s="23" t="str">
        <x:v>N2-D4</x:v>
      </x:c>
      <x:c r="F185" s="23" t="str">
        <x:v>interface, consumable and field-repair path</x:v>
      </x:c>
      <x:c r="G185" s="28" t="str">
        <x:v>SOURCE EMPTY / HOLD</x:v>
      </x:c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23" t="str">
        <x:v>N2</x:v>
      </x:c>
      <x:c r="B186" s="23" t="str">
        <x:v>CM-RLG</x:v>
      </x:c>
      <x:c r="C186" s="23" t="str">
        <x:v>Civil rail-mobility group</x:v>
      </x:c>
      <x:c r="D186" s="23" t="str">
        <x:v>B</x:v>
      </x:c>
      <x:c r="E186" s="23" t="str">
        <x:v>N2-D1</x:v>
      </x:c>
      <x:c r="F186" s="23" t="str">
        <x:v>replacement, tooling and alternate-material path</x:v>
      </x:c>
      <x:c r="G186" s="28" t="str">
        <x:v>SOURCE EMPTY / HOLD</x:v>
      </x:c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23" t="str">
        <x:v>N1</x:v>
      </x:c>
      <x:c r="B187" s="23" t="str">
        <x:v>CM-AMG</x:v>
      </x:c>
      <x:c r="C187" s="23" t="str">
        <x:v>Civil air-mobility group</x:v>
      </x:c>
      <x:c r="D187" s="23" t="str">
        <x:v>A</x:v>
      </x:c>
      <x:c r="E187" s="23" t="str">
        <x:v>N1-D4</x:v>
      </x:c>
      <x:c r="F187" s="23" t="str">
        <x:v>interface, consumable and field-repair path</x:v>
      </x:c>
      <x:c r="G187" s="28" t="str">
        <x:v>SOURCE EMPTY / HOLD</x:v>
      </x:c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23" t="str">
        <x:v>N1</x:v>
      </x:c>
      <x:c r="B188" s="23" t="str">
        <x:v>CM-AMG</x:v>
      </x:c>
      <x:c r="C188" s="23" t="str">
        <x:v>Civil air-mobility group</x:v>
      </x:c>
      <x:c r="D188" s="23" t="str">
        <x:v>B</x:v>
      </x:c>
      <x:c r="E188" s="23" t="str">
        <x:v>N1-D1</x:v>
      </x:c>
      <x:c r="F188" s="23" t="str">
        <x:v>replacement, tooling and alternate-material path</x:v>
      </x:c>
      <x:c r="G188" s="28" t="str">
        <x:v>SOURCE EMPTY / HOLD</x:v>
      </x:c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23" t="str">
        <x:v>N2</x:v>
      </x:c>
      <x:c r="B189" s="23" t="str">
        <x:v>CM-AMG</x:v>
      </x:c>
      <x:c r="C189" s="23" t="str">
        <x:v>Civil air-mobility group</x:v>
      </x:c>
      <x:c r="D189" s="23" t="str">
        <x:v>A</x:v>
      </x:c>
      <x:c r="E189" s="23" t="str">
        <x:v>N2-D5</x:v>
      </x:c>
      <x:c r="F189" s="23" t="str">
        <x:v>interface, consumable and field-repair path</x:v>
      </x:c>
      <x:c r="G189" s="28" t="str">
        <x:v>SOURCE EMPTY / HOLD</x:v>
      </x:c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23" t="str">
        <x:v>N2</x:v>
      </x:c>
      <x:c r="B190" s="23" t="str">
        <x:v>CM-AMG</x:v>
      </x:c>
      <x:c r="C190" s="23" t="str">
        <x:v>Civil air-mobility group</x:v>
      </x:c>
      <x:c r="D190" s="23" t="str">
        <x:v>B</x:v>
      </x:c>
      <x:c r="E190" s="23" t="str">
        <x:v>N2-D2</x:v>
      </x:c>
      <x:c r="F190" s="23" t="str">
        <x:v>replacement, tooling and alternate-material path</x:v>
      </x:c>
      <x:c r="G190" s="28" t="str">
        <x:v>SOURCE EMPTY / HOLD</x:v>
      </x:c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23" t="str">
        <x:v>N1</x:v>
      </x:c>
      <x:c r="B191" s="23" t="str">
        <x:v>CM-WMG</x:v>
      </x:c>
      <x:c r="C191" s="23" t="str">
        <x:v>Civil water-mobility group</x:v>
      </x:c>
      <x:c r="D191" s="23" t="str">
        <x:v>A</x:v>
      </x:c>
      <x:c r="E191" s="23" t="str">
        <x:v>N1-D5</x:v>
      </x:c>
      <x:c r="F191" s="23" t="str">
        <x:v>interface, consumable and field-repair path</x:v>
      </x:c>
      <x:c r="G191" s="28" t="str">
        <x:v>SOURCE EMPTY / HOLD</x:v>
      </x:c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23" t="str">
        <x:v>N1</x:v>
      </x:c>
      <x:c r="B192" s="23" t="str">
        <x:v>CM-WMG</x:v>
      </x:c>
      <x:c r="C192" s="23" t="str">
        <x:v>Civil water-mobility group</x:v>
      </x:c>
      <x:c r="D192" s="23" t="str">
        <x:v>B</x:v>
      </x:c>
      <x:c r="E192" s="23" t="str">
        <x:v>N1-D2</x:v>
      </x:c>
      <x:c r="F192" s="23" t="str">
        <x:v>replacement, tooling and alternate-material path</x:v>
      </x:c>
      <x:c r="G192" s="28" t="str">
        <x:v>SOURCE EMPTY / HOLD</x:v>
      </x:c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23" t="str">
        <x:v>N2</x:v>
      </x:c>
      <x:c r="B193" s="23" t="str">
        <x:v>CM-WMG</x:v>
      </x:c>
      <x:c r="C193" s="23" t="str">
        <x:v>Civil water-mobility group</x:v>
      </x:c>
      <x:c r="D193" s="23" t="str">
        <x:v>A</x:v>
      </x:c>
      <x:c r="E193" s="23" t="str">
        <x:v>N2-D6</x:v>
      </x:c>
      <x:c r="F193" s="23" t="str">
        <x:v>interface, consumable and field-repair path</x:v>
      </x:c>
      <x:c r="G193" s="28" t="str">
        <x:v>SOURCE EMPTY / HOLD</x:v>
      </x:c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23" t="str">
        <x:v>N2</x:v>
      </x:c>
      <x:c r="B194" s="23" t="str">
        <x:v>CM-WMG</x:v>
      </x:c>
      <x:c r="C194" s="23" t="str">
        <x:v>Civil water-mobility group</x:v>
      </x:c>
      <x:c r="D194" s="23" t="str">
        <x:v>B</x:v>
      </x:c>
      <x:c r="E194" s="23" t="str">
        <x:v>N2-D3</x:v>
      </x:c>
      <x:c r="F194" s="23" t="str">
        <x:v>replacement, tooling and alternate-material path</x:v>
      </x:c>
      <x:c r="G194" s="28" t="str">
        <x:v>SOURCE EMPTY / HOLD</x:v>
      </x:c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23" t="str">
        <x:v>N1</x:v>
      </x:c>
      <x:c r="B195" s="23" t="str">
        <x:v>CM-RDC</x:v>
      </x:c>
      <x:c r="C195" s="23" t="str">
        <x:v>Return and durable-continuity group</x:v>
      </x:c>
      <x:c r="D195" s="23" t="str">
        <x:v>A</x:v>
      </x:c>
      <x:c r="E195" s="23" t="str">
        <x:v>N1-D6</x:v>
      </x:c>
      <x:c r="F195" s="23" t="str">
        <x:v>interface, consumable and field-repair path</x:v>
      </x:c>
      <x:c r="G195" s="28" t="str">
        <x:v>SOURCE EMPTY / HOLD</x:v>
      </x:c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23" t="str">
        <x:v>N1</x:v>
      </x:c>
      <x:c r="B196" s="23" t="str">
        <x:v>CM-RDC</x:v>
      </x:c>
      <x:c r="C196" s="23" t="str">
        <x:v>Return and durable-continuity group</x:v>
      </x:c>
      <x:c r="D196" s="23" t="str">
        <x:v>B</x:v>
      </x:c>
      <x:c r="E196" s="23" t="str">
        <x:v>N1-D3</x:v>
      </x:c>
      <x:c r="F196" s="23" t="str">
        <x:v>replacement, tooling and alternate-material path</x:v>
      </x:c>
      <x:c r="G196" s="28" t="str">
        <x:v>SOURCE EMPTY / HOLD</x:v>
      </x:c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23" t="str">
        <x:v>N2</x:v>
      </x:c>
      <x:c r="B197" s="23" t="str">
        <x:v>CM-RDC</x:v>
      </x:c>
      <x:c r="C197" s="23" t="str">
        <x:v>Return and durable-continuity group</x:v>
      </x:c>
      <x:c r="D197" s="23" t="str">
        <x:v>A</x:v>
      </x:c>
      <x:c r="E197" s="23" t="str">
        <x:v>N2-D1</x:v>
      </x:c>
      <x:c r="F197" s="23" t="str">
        <x:v>interface, consumable and field-repair path</x:v>
      </x:c>
      <x:c r="G197" s="28" t="str">
        <x:v>SOURCE EMPTY / HOLD</x:v>
      </x:c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23" t="str">
        <x:v>N2</x:v>
      </x:c>
      <x:c r="B198" s="23" t="str">
        <x:v>CM-RDC</x:v>
      </x:c>
      <x:c r="C198" s="23" t="str">
        <x:v>Return and durable-continuity group</x:v>
      </x:c>
      <x:c r="D198" s="23" t="str">
        <x:v>B</x:v>
      </x:c>
      <x:c r="E198" s="23" t="str">
        <x:v>N2-D4</x:v>
      </x:c>
      <x:c r="F198" s="23" t="str">
        <x:v>replacement, tooling and alternate-material path</x:v>
      </x:c>
      <x:c r="G198" s="28" t="str">
        <x:v>SOURCE EMPTY / HOLD</x:v>
      </x:c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22" t="str">
        <x:v>Network</x:v>
      </x:c>
      <x:c r="B202" s="22" t="str">
        <x:v>Family ID</x:v>
      </x:c>
      <x:c r="C202" s="22" t="str">
        <x:v>District</x:v>
      </x:c>
      <x:c r="D202" s="22" t="str">
        <x:v>Assurance scope</x:v>
      </x:c>
      <x:c r="E202" s="22" t="str">
        <x:v>State</x:v>
      </x:c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23" t="str">
        <x:v>N1</x:v>
      </x:c>
      <x:c r="B203" s="23" t="str">
        <x:v>J-CIE</x:v>
      </x:c>
      <x:c r="C203" s="23" t="str">
        <x:v>N1-D2</x:v>
      </x:c>
      <x:c r="D203" s="23" t="str">
        <x:v>public metrology, destructive access, configuration archive and outside replay</x:v>
      </x:c>
      <x:c r="E203" s="28" t="str">
        <x:v>SOURCE EMPTY / HOLD</x:v>
      </x:c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23" t="str">
        <x:v>N2</x:v>
      </x:c>
      <x:c r="B204" s="23" t="str">
        <x:v>J-CIE</x:v>
      </x:c>
      <x:c r="C204" s="23" t="str">
        <x:v>N2-D3</x:v>
      </x:c>
      <x:c r="D204" s="23" t="str">
        <x:v>public metrology, destructive access, configuration archive and outside replay</x:v>
      </x:c>
      <x:c r="E204" s="28" t="str">
        <x:v>SOURCE EMPTY / HOLD</x:v>
      </x:c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23" t="str">
        <x:v>N1</x:v>
      </x:c>
      <x:c r="B205" s="23" t="str">
        <x:v>J-TOC</x:v>
      </x:c>
      <x:c r="C205" s="23" t="str">
        <x:v>N1-D3</x:v>
      </x:c>
      <x:c r="D205" s="23" t="str">
        <x:v>public metrology, destructive access, configuration archive and outside replay</x:v>
      </x:c>
      <x:c r="E205" s="28" t="str">
        <x:v>SOURCE EMPTY / HOLD</x:v>
      </x:c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23" t="str">
        <x:v>N2</x:v>
      </x:c>
      <x:c r="B206" s="23" t="str">
        <x:v>J-TOC</x:v>
      </x:c>
      <x:c r="C206" s="23" t="str">
        <x:v>N2-D4</x:v>
      </x:c>
      <x:c r="D206" s="23" t="str">
        <x:v>public metrology, destructive access, configuration archive and outside replay</x:v>
      </x:c>
      <x:c r="E206" s="28" t="str">
        <x:v>SOURCE EMPTY / HOLD</x:v>
      </x:c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23" t="str">
        <x:v>N1</x:v>
      </x:c>
      <x:c r="B207" s="23" t="str">
        <x:v>J-TSC</x:v>
      </x:c>
      <x:c r="C207" s="23" t="str">
        <x:v>N1-D4</x:v>
      </x:c>
      <x:c r="D207" s="23" t="str">
        <x:v>public metrology, destructive access, configuration archive and outside replay</x:v>
      </x:c>
      <x:c r="E207" s="28" t="str">
        <x:v>SOURCE EMPTY / HOLD</x:v>
      </x:c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23" t="str">
        <x:v>N2</x:v>
      </x:c>
      <x:c r="B208" s="23" t="str">
        <x:v>J-TSC</x:v>
      </x:c>
      <x:c r="C208" s="23" t="str">
        <x:v>N2-D5</x:v>
      </x:c>
      <x:c r="D208" s="23" t="str">
        <x:v>public metrology, destructive access, configuration archive and outside replay</x:v>
      </x:c>
      <x:c r="E208" s="28" t="str">
        <x:v>SOURCE EMPTY / HOLD</x:v>
      </x:c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23" t="str">
        <x:v>N1</x:v>
      </x:c>
      <x:c r="B209" s="23" t="str">
        <x:v>J-RRG</x:v>
      </x:c>
      <x:c r="C209" s="23" t="str">
        <x:v>N1-D5</x:v>
      </x:c>
      <x:c r="D209" s="23" t="str">
        <x:v>public metrology, destructive access, configuration archive and outside replay</x:v>
      </x:c>
      <x:c r="E209" s="28" t="str">
        <x:v>SOURCE EMPTY / HOLD</x:v>
      </x:c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23" t="str">
        <x:v>N2</x:v>
      </x:c>
      <x:c r="B210" s="23" t="str">
        <x:v>J-RRG</x:v>
      </x:c>
      <x:c r="C210" s="23" t="str">
        <x:v>N2-D6</x:v>
      </x:c>
      <x:c r="D210" s="23" t="str">
        <x:v>public metrology, destructive access, configuration archive and outside replay</x:v>
      </x:c>
      <x:c r="E210" s="28" t="str">
        <x:v>SOURCE EMPTY / HOLD</x:v>
      </x:c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23" t="str">
        <x:v>N1</x:v>
      </x:c>
      <x:c r="B211" s="23" t="str">
        <x:v>J-TDG</x:v>
      </x:c>
      <x:c r="C211" s="23" t="str">
        <x:v>N1-D6</x:v>
      </x:c>
      <x:c r="D211" s="23" t="str">
        <x:v>public metrology, destructive access, configuration archive and outside replay</x:v>
      </x:c>
      <x:c r="E211" s="28" t="str">
        <x:v>SOURCE EMPTY / HOLD</x:v>
      </x:c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23" t="str">
        <x:v>N2</x:v>
      </x:c>
      <x:c r="B212" s="23" t="str">
        <x:v>J-TDG</x:v>
      </x:c>
      <x:c r="C212" s="23" t="str">
        <x:v>N2-D1</x:v>
      </x:c>
      <x:c r="D212" s="23" t="str">
        <x:v>public metrology, destructive access, configuration archive and outside replay</x:v>
      </x:c>
      <x:c r="E212" s="28" t="str">
        <x:v>SOURCE EMPTY / HOLD</x:v>
      </x:c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23" t="str">
        <x:v>N1</x:v>
      </x:c>
      <x:c r="B213" s="23" t="str">
        <x:v>L-ROG</x:v>
      </x:c>
      <x:c r="C213" s="23" t="str">
        <x:v>N1-D1</x:v>
      </x:c>
      <x:c r="D213" s="23" t="str">
        <x:v>public metrology, destructive access, configuration archive and outside replay</x:v>
      </x:c>
      <x:c r="E213" s="28" t="str">
        <x:v>SOURCE EMPTY / HOLD</x:v>
      </x:c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23" t="str">
        <x:v>N2</x:v>
      </x:c>
      <x:c r="B214" s="23" t="str">
        <x:v>L-ROG</x:v>
      </x:c>
      <x:c r="C214" s="23" t="str">
        <x:v>N2-D2</x:v>
      </x:c>
      <x:c r="D214" s="23" t="str">
        <x:v>public metrology, destructive access, configuration archive and outside replay</x:v>
      </x:c>
      <x:c r="E214" s="28" t="str">
        <x:v>SOURCE EMPTY / HOLD</x:v>
      </x:c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23" t="str">
        <x:v>N1</x:v>
      </x:c>
      <x:c r="B215" s="23" t="str">
        <x:v>L-HCG</x:v>
      </x:c>
      <x:c r="C215" s="23" t="str">
        <x:v>N1-D2</x:v>
      </x:c>
      <x:c r="D215" s="23" t="str">
        <x:v>public metrology, destructive access, configuration archive and outside replay</x:v>
      </x:c>
      <x:c r="E215" s="28" t="str">
        <x:v>SOURCE EMPTY / HOLD</x:v>
      </x:c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23" t="str">
        <x:v>N2</x:v>
      </x:c>
      <x:c r="B216" s="23" t="str">
        <x:v>L-HCG</x:v>
      </x:c>
      <x:c r="C216" s="23" t="str">
        <x:v>N2-D3</x:v>
      </x:c>
      <x:c r="D216" s="23" t="str">
        <x:v>public metrology, destructive access, configuration archive and outside replay</x:v>
      </x:c>
      <x:c r="E216" s="28" t="str">
        <x:v>SOURCE EMPTY / HOLD</x:v>
      </x:c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23" t="str">
        <x:v>N1</x:v>
      </x:c>
      <x:c r="B217" s="23" t="str">
        <x:v>L-DMG</x:v>
      </x:c>
      <x:c r="C217" s="23" t="str">
        <x:v>N1-D3</x:v>
      </x:c>
      <x:c r="D217" s="23" t="str">
        <x:v>public metrology, destructive access, configuration archive and outside replay</x:v>
      </x:c>
      <x:c r="E217" s="28" t="str">
        <x:v>SOURCE EMPTY / HOLD</x:v>
      </x:c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23" t="str">
        <x:v>N2</x:v>
      </x:c>
      <x:c r="B218" s="23" t="str">
        <x:v>L-DMG</x:v>
      </x:c>
      <x:c r="C218" s="23" t="str">
        <x:v>N2-D4</x:v>
      </x:c>
      <x:c r="D218" s="23" t="str">
        <x:v>public metrology, destructive access, configuration archive and outside replay</x:v>
      </x:c>
      <x:c r="E218" s="28" t="str">
        <x:v>SOURCE EMPTY / HOLD</x:v>
      </x:c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23" t="str">
        <x:v>N1</x:v>
      </x:c>
      <x:c r="B219" s="23" t="str">
        <x:v>L-TWG</x:v>
      </x:c>
      <x:c r="C219" s="23" t="str">
        <x:v>N1-D4</x:v>
      </x:c>
      <x:c r="D219" s="23" t="str">
        <x:v>public metrology, destructive access, configuration archive and outside replay</x:v>
      </x:c>
      <x:c r="E219" s="28" t="str">
        <x:v>SOURCE EMPTY / HOLD</x:v>
      </x:c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23" t="str">
        <x:v>N2</x:v>
      </x:c>
      <x:c r="B220" s="23" t="str">
        <x:v>L-TWG</x:v>
      </x:c>
      <x:c r="C220" s="23" t="str">
        <x:v>N2-D5</x:v>
      </x:c>
      <x:c r="D220" s="23" t="str">
        <x:v>public metrology, destructive access, configuration archive and outside replay</x:v>
      </x:c>
      <x:c r="E220" s="28" t="str">
        <x:v>SOURCE EMPTY / HOLD</x:v>
      </x:c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23" t="str">
        <x:v>N1</x:v>
      </x:c>
      <x:c r="B221" s="23" t="str">
        <x:v>L-GFG</x:v>
      </x:c>
      <x:c r="C221" s="23" t="str">
        <x:v>N1-D5</x:v>
      </x:c>
      <x:c r="D221" s="23" t="str">
        <x:v>public metrology, destructive access, configuration archive and outside replay</x:v>
      </x:c>
      <x:c r="E221" s="28" t="str">
        <x:v>SOURCE EMPTY / HOLD</x:v>
      </x:c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23" t="str">
        <x:v>N2</x:v>
      </x:c>
      <x:c r="B222" s="23" t="str">
        <x:v>L-GFG</x:v>
      </x:c>
      <x:c r="C222" s="23" t="str">
        <x:v>N2-D6</x:v>
      </x:c>
      <x:c r="D222" s="23" t="str">
        <x:v>public metrology, destructive access, configuration archive and outside replay</x:v>
      </x:c>
      <x:c r="E222" s="28" t="str">
        <x:v>SOURCE EMPTY / HOLD</x:v>
      </x:c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23" t="str">
        <x:v>N1</x:v>
      </x:c>
      <x:c r="B223" s="23" t="str">
        <x:v>A-SMW</x:v>
      </x:c>
      <x:c r="C223" s="23" t="str">
        <x:v>N1-D6</x:v>
      </x:c>
      <x:c r="D223" s="23" t="str">
        <x:v>public metrology, destructive access, configuration archive and outside replay</x:v>
      </x:c>
      <x:c r="E223" s="28" t="str">
        <x:v>SOURCE EMPTY / HOLD</x:v>
      </x:c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23" t="str">
        <x:v>N2</x:v>
      </x:c>
      <x:c r="B224" s="23" t="str">
        <x:v>A-SMW</x:v>
      </x:c>
      <x:c r="C224" s="23" t="str">
        <x:v>N2-D1</x:v>
      </x:c>
      <x:c r="D224" s="23" t="str">
        <x:v>public metrology, destructive access, configuration archive and outside replay</x:v>
      </x:c>
      <x:c r="E224" s="28" t="str">
        <x:v>SOURCE EMPTY / HOLD</x:v>
      </x:c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23" t="str">
        <x:v>N1</x:v>
      </x:c>
      <x:c r="B225" s="23" t="str">
        <x:v>A-AAG</x:v>
      </x:c>
      <x:c r="C225" s="23" t="str">
        <x:v>N1-D1</x:v>
      </x:c>
      <x:c r="D225" s="23" t="str">
        <x:v>public metrology, destructive access, configuration archive and outside replay</x:v>
      </x:c>
      <x:c r="E225" s="28" t="str">
        <x:v>SOURCE EMPTY / HOLD</x:v>
      </x:c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23" t="str">
        <x:v>N2</x:v>
      </x:c>
      <x:c r="B226" s="23" t="str">
        <x:v>A-AAG</x:v>
      </x:c>
      <x:c r="C226" s="23" t="str">
        <x:v>N2-D2</x:v>
      </x:c>
      <x:c r="D226" s="23" t="str">
        <x:v>public metrology, destructive access, configuration archive and outside replay</x:v>
      </x:c>
      <x:c r="E226" s="28" t="str">
        <x:v>SOURCE EMPTY / HOLD</x:v>
      </x:c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23" t="str">
        <x:v>N1</x:v>
      </x:c>
      <x:c r="B227" s="23" t="str">
        <x:v>A-AHW</x:v>
      </x:c>
      <x:c r="C227" s="23" t="str">
        <x:v>N1-D2</x:v>
      </x:c>
      <x:c r="D227" s="23" t="str">
        <x:v>public metrology, destructive access, configuration archive and outside replay</x:v>
      </x:c>
      <x:c r="E227" s="28" t="str">
        <x:v>SOURCE EMPTY / HOLD</x:v>
      </x:c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23" t="str">
        <x:v>N2</x:v>
      </x:c>
      <x:c r="B228" s="23" t="str">
        <x:v>A-AHW</x:v>
      </x:c>
      <x:c r="C228" s="23" t="str">
        <x:v>N2-D3</x:v>
      </x:c>
      <x:c r="D228" s="23" t="str">
        <x:v>public metrology, destructive access, configuration archive and outside replay</x:v>
      </x:c>
      <x:c r="E228" s="28" t="str">
        <x:v>SOURCE EMPTY / HOLD</x:v>
      </x:c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23" t="str">
        <x:v>N1</x:v>
      </x:c>
      <x:c r="B229" s="23" t="str">
        <x:v>A-TDG</x:v>
      </x:c>
      <x:c r="C229" s="23" t="str">
        <x:v>N1-D3</x:v>
      </x:c>
      <x:c r="D229" s="23" t="str">
        <x:v>public metrology, destructive access, configuration archive and outside replay</x:v>
      </x:c>
      <x:c r="E229" s="28" t="str">
        <x:v>SOURCE EMPTY / HOLD</x:v>
      </x:c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23" t="str">
        <x:v>N2</x:v>
      </x:c>
      <x:c r="B230" s="23" t="str">
        <x:v>A-TDG</x:v>
      </x:c>
      <x:c r="C230" s="23" t="str">
        <x:v>N2-D4</x:v>
      </x:c>
      <x:c r="D230" s="23" t="str">
        <x:v>public metrology, destructive access, configuration archive and outside replay</x:v>
      </x:c>
      <x:c r="E230" s="28" t="str">
        <x:v>SOURCE EMPTY / HOLD</x:v>
      </x:c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23" t="str">
        <x:v>N1</x:v>
      </x:c>
      <x:c r="B231" s="23" t="str">
        <x:v>A-SRG</x:v>
      </x:c>
      <x:c r="C231" s="23" t="str">
        <x:v>N1-D4</x:v>
      </x:c>
      <x:c r="D231" s="23" t="str">
        <x:v>public metrology, destructive access, configuration archive and outside replay</x:v>
      </x:c>
      <x:c r="E231" s="28" t="str">
        <x:v>SOURCE EMPTY / HOLD</x:v>
      </x:c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23" t="str">
        <x:v>N2</x:v>
      </x:c>
      <x:c r="B232" s="23" t="str">
        <x:v>A-SRG</x:v>
      </x:c>
      <x:c r="C232" s="23" t="str">
        <x:v>N2-D5</x:v>
      </x:c>
      <x:c r="D232" s="23" t="str">
        <x:v>public metrology, destructive access, configuration archive and outside replay</x:v>
      </x:c>
      <x:c r="E232" s="28" t="str">
        <x:v>SOURCE EMPTY / HOLD</x:v>
      </x:c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23" t="str">
        <x:v>N1</x:v>
      </x:c>
      <x:c r="B233" s="23" t="str">
        <x:v>A-AMG</x:v>
      </x:c>
      <x:c r="C233" s="23" t="str">
        <x:v>N1-D5</x:v>
      </x:c>
      <x:c r="D233" s="23" t="str">
        <x:v>public metrology, destructive access, configuration archive and outside replay</x:v>
      </x:c>
      <x:c r="E233" s="28" t="str">
        <x:v>SOURCE EMPTY / HOLD</x:v>
      </x:c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23" t="str">
        <x:v>N2</x:v>
      </x:c>
      <x:c r="B234" s="23" t="str">
        <x:v>A-AMG</x:v>
      </x:c>
      <x:c r="C234" s="23" t="str">
        <x:v>N2-D6</x:v>
      </x:c>
      <x:c r="D234" s="23" t="str">
        <x:v>public metrology, destructive access, configuration archive and outside replay</x:v>
      </x:c>
      <x:c r="E234" s="28" t="str">
        <x:v>SOURCE EMPTY / HOLD</x:v>
      </x:c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23" t="str">
        <x:v>N1</x:v>
      </x:c>
      <x:c r="B235" s="23" t="str">
        <x:v>M-POG</x:v>
      </x:c>
      <x:c r="C235" s="23" t="str">
        <x:v>N1-D6</x:v>
      </x:c>
      <x:c r="D235" s="23" t="str">
        <x:v>public metrology, destructive access, configuration archive and outside replay</x:v>
      </x:c>
      <x:c r="E235" s="28" t="str">
        <x:v>SOURCE EMPTY / HOLD</x:v>
      </x:c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23" t="str">
        <x:v>N2</x:v>
      </x:c>
      <x:c r="B236" s="23" t="str">
        <x:v>M-POG</x:v>
      </x:c>
      <x:c r="C236" s="23" t="str">
        <x:v>N2-D1</x:v>
      </x:c>
      <x:c r="D236" s="23" t="str">
        <x:v>public metrology, destructive access, configuration archive and outside replay</x:v>
      </x:c>
      <x:c r="E236" s="28" t="str">
        <x:v>SOURCE EMPTY / HOLD</x:v>
      </x:c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23" t="str">
        <x:v>N1</x:v>
      </x:c>
      <x:c r="B237" s="23" t="str">
        <x:v>M-LAG</x:v>
      </x:c>
      <x:c r="C237" s="23" t="str">
        <x:v>N1-D1</x:v>
      </x:c>
      <x:c r="D237" s="23" t="str">
        <x:v>public metrology, destructive access, configuration archive and outside replay</x:v>
      </x:c>
      <x:c r="E237" s="28" t="str">
        <x:v>SOURCE EMPTY / HOLD</x:v>
      </x:c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23" t="str">
        <x:v>N2</x:v>
      </x:c>
      <x:c r="B238" s="23" t="str">
        <x:v>M-LAG</x:v>
      </x:c>
      <x:c r="C238" s="23" t="str">
        <x:v>N2-D2</x:v>
      </x:c>
      <x:c r="D238" s="23" t="str">
        <x:v>public metrology, destructive access, configuration archive and outside replay</x:v>
      </x:c>
      <x:c r="E238" s="28" t="str">
        <x:v>SOURCE EMPTY / HOLD</x:v>
      </x:c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23" t="str">
        <x:v>N1</x:v>
      </x:c>
      <x:c r="B239" s="23" t="str">
        <x:v>M-IWG</x:v>
      </x:c>
      <x:c r="C239" s="23" t="str">
        <x:v>N1-D2</x:v>
      </x:c>
      <x:c r="D239" s="23" t="str">
        <x:v>public metrology, destructive access, configuration archive and outside replay</x:v>
      </x:c>
      <x:c r="E239" s="28" t="str">
        <x:v>SOURCE EMPTY / HOLD</x:v>
      </x:c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23" t="str">
        <x:v>N2</x:v>
      </x:c>
      <x:c r="B240" s="23" t="str">
        <x:v>M-IWG</x:v>
      </x:c>
      <x:c r="C240" s="23" t="str">
        <x:v>N2-D3</x:v>
      </x:c>
      <x:c r="D240" s="23" t="str">
        <x:v>public metrology, destructive access, configuration archive and outside replay</x:v>
      </x:c>
      <x:c r="E240" s="28" t="str">
        <x:v>SOURCE EMPTY / HOLD</x:v>
      </x:c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23" t="str">
        <x:v>N1</x:v>
      </x:c>
      <x:c r="B241" s="23" t="str">
        <x:v>M-OSG</x:v>
      </x:c>
      <x:c r="C241" s="23" t="str">
        <x:v>N1-D3</x:v>
      </x:c>
      <x:c r="D241" s="23" t="str">
        <x:v>public metrology, destructive access, configuration archive and outside replay</x:v>
      </x:c>
      <x:c r="E241" s="28" t="str">
        <x:v>SOURCE EMPTY / HOLD</x:v>
      </x:c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23" t="str">
        <x:v>N2</x:v>
      </x:c>
      <x:c r="B242" s="23" t="str">
        <x:v>M-OSG</x:v>
      </x:c>
      <x:c r="C242" s="23" t="str">
        <x:v>N2-D4</x:v>
      </x:c>
      <x:c r="D242" s="23" t="str">
        <x:v>public metrology, destructive access, configuration archive and outside replay</x:v>
      </x:c>
      <x:c r="E242" s="28" t="str">
        <x:v>SOURCE EMPTY / HOLD</x:v>
      </x:c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23" t="str">
        <x:v>N1</x:v>
      </x:c>
      <x:c r="B243" s="23" t="str">
        <x:v>M-SSG</x:v>
      </x:c>
      <x:c r="C243" s="23" t="str">
        <x:v>N1-D4</x:v>
      </x:c>
      <x:c r="D243" s="23" t="str">
        <x:v>public metrology, destructive access, configuration archive and outside replay</x:v>
      </x:c>
      <x:c r="E243" s="28" t="str">
        <x:v>SOURCE EMPTY / HOLD</x:v>
      </x:c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23" t="str">
        <x:v>N2</x:v>
      </x:c>
      <x:c r="B244" s="23" t="str">
        <x:v>M-SSG</x:v>
      </x:c>
      <x:c r="C244" s="23" t="str">
        <x:v>N2-D5</x:v>
      </x:c>
      <x:c r="D244" s="23" t="str">
        <x:v>public metrology, destructive access, configuration archive and outside replay</x:v>
      </x:c>
      <x:c r="E244" s="28" t="str">
        <x:v>SOURCE EMPTY / HOLD</x:v>
      </x:c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23" t="str">
        <x:v>N1</x:v>
      </x:c>
      <x:c r="B245" s="23" t="str">
        <x:v>I-CUG</x:v>
      </x:c>
      <x:c r="C245" s="23" t="str">
        <x:v>N1-D5</x:v>
      </x:c>
      <x:c r="D245" s="23" t="str">
        <x:v>public metrology, destructive access, configuration archive and outside replay</x:v>
      </x:c>
      <x:c r="E245" s="28" t="str">
        <x:v>SOURCE EMPTY / HOLD</x:v>
      </x:c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23" t="str">
        <x:v>N2</x:v>
      </x:c>
      <x:c r="B246" s="23" t="str">
        <x:v>I-CUG</x:v>
      </x:c>
      <x:c r="C246" s="23" t="str">
        <x:v>N2-D6</x:v>
      </x:c>
      <x:c r="D246" s="23" t="str">
        <x:v>public metrology, destructive access, configuration archive and outside replay</x:v>
      </x:c>
      <x:c r="E246" s="28" t="str">
        <x:v>SOURCE EMPTY / HOLD</x:v>
      </x:c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23" t="str">
        <x:v>N1</x:v>
      </x:c>
      <x:c r="B247" s="23" t="str">
        <x:v>I-TSG</x:v>
      </x:c>
      <x:c r="C247" s="23" t="str">
        <x:v>N1-D6</x:v>
      </x:c>
      <x:c r="D247" s="23" t="str">
        <x:v>public metrology, destructive access, configuration archive and outside replay</x:v>
      </x:c>
      <x:c r="E247" s="28" t="str">
        <x:v>SOURCE EMPTY / HOLD</x:v>
      </x:c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23" t="str">
        <x:v>N2</x:v>
      </x:c>
      <x:c r="B248" s="23" t="str">
        <x:v>I-TSG</x:v>
      </x:c>
      <x:c r="C248" s="23" t="str">
        <x:v>N2-D1</x:v>
      </x:c>
      <x:c r="D248" s="23" t="str">
        <x:v>public metrology, destructive access, configuration archive and outside replay</x:v>
      </x:c>
      <x:c r="E248" s="28" t="str">
        <x:v>SOURCE EMPTY / HOLD</x:v>
      </x:c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23" t="str">
        <x:v>N1</x:v>
      </x:c>
      <x:c r="B249" s="23" t="str">
        <x:v>I-URG</x:v>
      </x:c>
      <x:c r="C249" s="23" t="str">
        <x:v>N1-D1</x:v>
      </x:c>
      <x:c r="D249" s="23" t="str">
        <x:v>public metrology, destructive access, configuration archive and outside replay</x:v>
      </x:c>
      <x:c r="E249" s="28" t="str">
        <x:v>SOURCE EMPTY / HOLD</x:v>
      </x:c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23" t="str">
        <x:v>N2</x:v>
      </x:c>
      <x:c r="B250" s="23" t="str">
        <x:v>I-URG</x:v>
      </x:c>
      <x:c r="C250" s="23" t="str">
        <x:v>N2-D2</x:v>
      </x:c>
      <x:c r="D250" s="23" t="str">
        <x:v>public metrology, destructive access, configuration archive and outside replay</x:v>
      </x:c>
      <x:c r="E250" s="28" t="str">
        <x:v>SOURCE EMPTY / HOLD</x:v>
      </x:c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23" t="str">
        <x:v>N1</x:v>
      </x:c>
      <x:c r="B251" s="23" t="str">
        <x:v>H-CHC</x:v>
      </x:c>
      <x:c r="C251" s="23" t="str">
        <x:v>N1-D2</x:v>
      </x:c>
      <x:c r="D251" s="23" t="str">
        <x:v>public metrology, destructive access, configuration archive and outside replay</x:v>
      </x:c>
      <x:c r="E251" s="28" t="str">
        <x:v>SOURCE EMPTY / HOLD</x:v>
      </x:c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23" t="str">
        <x:v>N2</x:v>
      </x:c>
      <x:c r="B252" s="23" t="str">
        <x:v>H-CHC</x:v>
      </x:c>
      <x:c r="C252" s="23" t="str">
        <x:v>N2-D3</x:v>
      </x:c>
      <x:c r="D252" s="23" t="str">
        <x:v>public metrology, destructive access, configuration archive and outside replay</x:v>
      </x:c>
      <x:c r="E252" s="28" t="str">
        <x:v>SOURCE EMPTY / HOLD</x:v>
      </x:c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23" t="str">
        <x:v>N1</x:v>
      </x:c>
      <x:c r="B253" s="23" t="str">
        <x:v>H-MAC</x:v>
      </x:c>
      <x:c r="C253" s="23" t="str">
        <x:v>N1-D3</x:v>
      </x:c>
      <x:c r="D253" s="23" t="str">
        <x:v>public metrology, destructive access, configuration archive and outside replay</x:v>
      </x:c>
      <x:c r="E253" s="28" t="str">
        <x:v>SOURCE EMPTY / HOLD</x:v>
      </x:c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23" t="str">
        <x:v>N2</x:v>
      </x:c>
      <x:c r="B254" s="23" t="str">
        <x:v>H-MAC</x:v>
      </x:c>
      <x:c r="C254" s="23" t="str">
        <x:v>N2-D4</x:v>
      </x:c>
      <x:c r="D254" s="23" t="str">
        <x:v>public metrology, destructive access, configuration archive and outside replay</x:v>
      </x:c>
      <x:c r="E254" s="28" t="str">
        <x:v>SOURCE EMPTY / HOLD</x:v>
      </x:c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23" t="str">
        <x:v>N1</x:v>
      </x:c>
      <x:c r="B255" s="23" t="str">
        <x:v>H-PHC</x:v>
      </x:c>
      <x:c r="C255" s="23" t="str">
        <x:v>N1-D4</x:v>
      </x:c>
      <x:c r="D255" s="23" t="str">
        <x:v>public metrology, destructive access, configuration archive and outside replay</x:v>
      </x:c>
      <x:c r="E255" s="28" t="str">
        <x:v>SOURCE EMPTY / HOLD</x:v>
      </x:c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23" t="str">
        <x:v>N2</x:v>
      </x:c>
      <x:c r="B256" s="23" t="str">
        <x:v>H-PHC</x:v>
      </x:c>
      <x:c r="C256" s="23" t="str">
        <x:v>N2-D5</x:v>
      </x:c>
      <x:c r="D256" s="23" t="str">
        <x:v>public metrology, destructive access, configuration archive and outside replay</x:v>
      </x:c>
      <x:c r="E256" s="28" t="str">
        <x:v>SOURCE EMPTY / HOLD</x:v>
      </x:c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23" t="str">
        <x:v>N1</x:v>
      </x:c>
      <x:c r="B257" s="23" t="str">
        <x:v>H-HWR</x:v>
      </x:c>
      <x:c r="C257" s="23" t="str">
        <x:v>N1-D5</x:v>
      </x:c>
      <x:c r="D257" s="23" t="str">
        <x:v>public metrology, destructive access, configuration archive and outside replay</x:v>
      </x:c>
      <x:c r="E257" s="28" t="str">
        <x:v>SOURCE EMPTY / HOLD</x:v>
      </x:c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23" t="str">
        <x:v>N2</x:v>
      </x:c>
      <x:c r="B258" s="23" t="str">
        <x:v>H-HWR</x:v>
      </x:c>
      <x:c r="C258" s="23" t="str">
        <x:v>N2-D6</x:v>
      </x:c>
      <x:c r="D258" s="23" t="str">
        <x:v>public metrology, destructive access, configuration archive and outside replay</x:v>
      </x:c>
      <x:c r="E258" s="28" t="str">
        <x:v>SOURCE EMPTY / HOLD</x:v>
      </x:c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23" t="str">
        <x:v>N1</x:v>
      </x:c>
      <x:c r="B259" s="23" t="str">
        <x:v>C-PSG</x:v>
      </x:c>
      <x:c r="C259" s="23" t="str">
        <x:v>N1-D6</x:v>
      </x:c>
      <x:c r="D259" s="23" t="str">
        <x:v>public metrology, destructive access, configuration archive and outside replay</x:v>
      </x:c>
      <x:c r="E259" s="28" t="str">
        <x:v>SOURCE EMPTY / HOLD</x:v>
      </x:c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23" t="str">
        <x:v>N2</x:v>
      </x:c>
      <x:c r="B260" s="23" t="str">
        <x:v>C-PSG</x:v>
      </x:c>
      <x:c r="C260" s="23" t="str">
        <x:v>N2-D1</x:v>
      </x:c>
      <x:c r="D260" s="23" t="str">
        <x:v>public metrology, destructive access, configuration archive and outside replay</x:v>
      </x:c>
      <x:c r="E260" s="28" t="str">
        <x:v>SOURCE EMPTY / HOLD</x:v>
      </x:c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23" t="str">
        <x:v>N1</x:v>
      </x:c>
      <x:c r="B261" s="23" t="str">
        <x:v>C-EGG</x:v>
      </x:c>
      <x:c r="C261" s="23" t="str">
        <x:v>N1-D1</x:v>
      </x:c>
      <x:c r="D261" s="23" t="str">
        <x:v>public metrology, destructive access, configuration archive and outside replay</x:v>
      </x:c>
      <x:c r="E261" s="28" t="str">
        <x:v>SOURCE EMPTY / HOLD</x:v>
      </x:c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23" t="str">
        <x:v>N2</x:v>
      </x:c>
      <x:c r="B262" s="23" t="str">
        <x:v>C-EGG</x:v>
      </x:c>
      <x:c r="C262" s="23" t="str">
        <x:v>N2-D2</x:v>
      </x:c>
      <x:c r="D262" s="23" t="str">
        <x:v>public metrology, destructive access, configuration archive and outside replay</x:v>
      </x:c>
      <x:c r="E262" s="28" t="str">
        <x:v>SOURCE EMPTY / HOLD</x:v>
      </x:c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23" t="str">
        <x:v>N1</x:v>
      </x:c>
      <x:c r="B263" s="23" t="str">
        <x:v>C-CAG</x:v>
      </x:c>
      <x:c r="C263" s="23" t="str">
        <x:v>N1-D2</x:v>
      </x:c>
      <x:c r="D263" s="23" t="str">
        <x:v>public metrology, destructive access, configuration archive and outside replay</x:v>
      </x:c>
      <x:c r="E263" s="28" t="str">
        <x:v>SOURCE EMPTY / HOLD</x:v>
      </x:c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23" t="str">
        <x:v>N2</x:v>
      </x:c>
      <x:c r="B264" s="23" t="str">
        <x:v>C-CAG</x:v>
      </x:c>
      <x:c r="C264" s="23" t="str">
        <x:v>N2-D3</x:v>
      </x:c>
      <x:c r="D264" s="23" t="str">
        <x:v>public metrology, destructive access, configuration archive and outside replay</x:v>
      </x:c>
      <x:c r="E264" s="28" t="str">
        <x:v>SOURCE EMPTY / HOLD</x:v>
      </x:c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23" t="str">
        <x:v>N1</x:v>
      </x:c>
      <x:c r="B265" s="23" t="str">
        <x:v>C-DTG</x:v>
      </x:c>
      <x:c r="C265" s="23" t="str">
        <x:v>N1-D3</x:v>
      </x:c>
      <x:c r="D265" s="23" t="str">
        <x:v>public metrology, destructive access, configuration archive and outside replay</x:v>
      </x:c>
      <x:c r="E265" s="28" t="str">
        <x:v>SOURCE EMPTY / HOLD</x:v>
      </x:c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23" t="str">
        <x:v>N2</x:v>
      </x:c>
      <x:c r="B266" s="23" t="str">
        <x:v>C-DTG</x:v>
      </x:c>
      <x:c r="C266" s="23" t="str">
        <x:v>N2-D4</x:v>
      </x:c>
      <x:c r="D266" s="23" t="str">
        <x:v>public metrology, destructive access, configuration archive and outside replay</x:v>
      </x:c>
      <x:c r="E266" s="28" t="str">
        <x:v>SOURCE EMPTY / HOLD</x:v>
      </x:c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23" t="str">
        <x:v>N1</x:v>
      </x:c>
      <x:c r="B267" s="23" t="str">
        <x:v>C-CIG</x:v>
      </x:c>
      <x:c r="C267" s="23" t="str">
        <x:v>N1-D4</x:v>
      </x:c>
      <x:c r="D267" s="23" t="str">
        <x:v>public metrology, destructive access, configuration archive and outside replay</x:v>
      </x:c>
      <x:c r="E267" s="28" t="str">
        <x:v>SOURCE EMPTY / HOLD</x:v>
      </x:c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23" t="str">
        <x:v>N2</x:v>
      </x:c>
      <x:c r="B268" s="23" t="str">
        <x:v>C-CIG</x:v>
      </x:c>
      <x:c r="C268" s="23" t="str">
        <x:v>N2-D5</x:v>
      </x:c>
      <x:c r="D268" s="23" t="str">
        <x:v>public metrology, destructive access, configuration archive and outside replay</x:v>
      </x:c>
      <x:c r="E268" s="28" t="str">
        <x:v>SOURCE EMPTY / HOLD</x:v>
      </x:c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23" t="str">
        <x:v>N1</x:v>
      </x:c>
      <x:c r="B269" s="23" t="str">
        <x:v>J-RIG</x:v>
      </x:c>
      <x:c r="C269" s="23" t="str">
        <x:v>N1-D5</x:v>
      </x:c>
      <x:c r="D269" s="23" t="str">
        <x:v>public metrology, destructive access, configuration archive and outside replay</x:v>
      </x:c>
      <x:c r="E269" s="28" t="str">
        <x:v>SOURCE EMPTY / HOLD</x:v>
      </x:c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23" t="str">
        <x:v>N2</x:v>
      </x:c>
      <x:c r="B270" s="23" t="str">
        <x:v>J-RIG</x:v>
      </x:c>
      <x:c r="C270" s="23" t="str">
        <x:v>N2-D6</x:v>
      </x:c>
      <x:c r="D270" s="23" t="str">
        <x:v>public metrology, destructive access, configuration archive and outside replay</x:v>
      </x:c>
      <x:c r="E270" s="28" t="str">
        <x:v>SOURCE EMPTY / HOLD</x:v>
      </x:c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23" t="str">
        <x:v>N1</x:v>
      </x:c>
      <x:c r="B271" s="23" t="str">
        <x:v>M-MPG</x:v>
      </x:c>
      <x:c r="C271" s="23" t="str">
        <x:v>N1-D6</x:v>
      </x:c>
      <x:c r="D271" s="23" t="str">
        <x:v>public metrology, destructive access, configuration archive and outside replay</x:v>
      </x:c>
      <x:c r="E271" s="28" t="str">
        <x:v>SOURCE EMPTY / HOLD</x:v>
      </x:c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23" t="str">
        <x:v>N2</x:v>
      </x:c>
      <x:c r="B272" s="23" t="str">
        <x:v>M-MPG</x:v>
      </x:c>
      <x:c r="C272" s="23" t="str">
        <x:v>N2-D1</x:v>
      </x:c>
      <x:c r="D272" s="23" t="str">
        <x:v>public metrology, destructive access, configuration archive and outside replay</x:v>
      </x:c>
      <x:c r="E272" s="28" t="str">
        <x:v>SOURCE EMPTY / HOLD</x:v>
      </x:c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23" t="str">
        <x:v>N1</x:v>
      </x:c>
      <x:c r="B273" s="23" t="str">
        <x:v>I-WRG</x:v>
      </x:c>
      <x:c r="C273" s="23" t="str">
        <x:v>N1-D1</x:v>
      </x:c>
      <x:c r="D273" s="23" t="str">
        <x:v>public metrology, destructive access, configuration archive and outside replay</x:v>
      </x:c>
      <x:c r="E273" s="28" t="str">
        <x:v>SOURCE EMPTY / HOLD</x:v>
      </x:c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23" t="str">
        <x:v>N2</x:v>
      </x:c>
      <x:c r="B274" s="23" t="str">
        <x:v>I-WRG</x:v>
      </x:c>
      <x:c r="C274" s="23" t="str">
        <x:v>N2-D2</x:v>
      </x:c>
      <x:c r="D274" s="23" t="str">
        <x:v>public metrology, destructive access, configuration archive and outside replay</x:v>
      </x:c>
      <x:c r="E274" s="28" t="str">
        <x:v>SOURCE EMPTY / HOLD</x:v>
      </x:c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23" t="str">
        <x:v>N1</x:v>
      </x:c>
      <x:c r="B275" s="23" t="str">
        <x:v>I-PRG</x:v>
      </x:c>
      <x:c r="C275" s="23" t="str">
        <x:v>N1-D2</x:v>
      </x:c>
      <x:c r="D275" s="23" t="str">
        <x:v>public metrology, destructive access, configuration archive and outside replay</x:v>
      </x:c>
      <x:c r="E275" s="28" t="str">
        <x:v>SOURCE EMPTY / HOLD</x:v>
      </x:c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23" t="str">
        <x:v>N2</x:v>
      </x:c>
      <x:c r="B276" s="23" t="str">
        <x:v>I-PRG</x:v>
      </x:c>
      <x:c r="C276" s="23" t="str">
        <x:v>N2-D3</x:v>
      </x:c>
      <x:c r="D276" s="23" t="str">
        <x:v>public metrology, destructive access, configuration archive and outside replay</x:v>
      </x:c>
      <x:c r="E276" s="28" t="str">
        <x:v>SOURCE EMPTY / HOLD</x:v>
      </x:c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23" t="str">
        <x:v>N1</x:v>
      </x:c>
      <x:c r="B277" s="23" t="str">
        <x:v>I-GBG</x:v>
      </x:c>
      <x:c r="C277" s="23" t="str">
        <x:v>N1-D3</x:v>
      </x:c>
      <x:c r="D277" s="23" t="str">
        <x:v>public metrology, destructive access, configuration archive and outside replay</x:v>
      </x:c>
      <x:c r="E277" s="28" t="str">
        <x:v>SOURCE EMPTY / HOLD</x:v>
      </x:c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23" t="str">
        <x:v>N2</x:v>
      </x:c>
      <x:c r="B278" s="23" t="str">
        <x:v>I-GBG</x:v>
      </x:c>
      <x:c r="C278" s="23" t="str">
        <x:v>N2-D4</x:v>
      </x:c>
      <x:c r="D278" s="23" t="str">
        <x:v>public metrology, destructive access, configuration archive and outside replay</x:v>
      </x:c>
      <x:c r="E278" s="28" t="str">
        <x:v>SOURCE EMPTY / HOLD</x:v>
      </x:c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23" t="str">
        <x:v>N1</x:v>
      </x:c>
      <x:c r="B279" s="23" t="str">
        <x:v>H-THC</x:v>
      </x:c>
      <x:c r="C279" s="23" t="str">
        <x:v>N1-D4</x:v>
      </x:c>
      <x:c r="D279" s="23" t="str">
        <x:v>public metrology, destructive access, configuration archive and outside replay</x:v>
      </x:c>
      <x:c r="E279" s="28" t="str">
        <x:v>SOURCE EMPTY / HOLD</x:v>
      </x:c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23" t="str">
        <x:v>N2</x:v>
      </x:c>
      <x:c r="B280" s="23" t="str">
        <x:v>H-THC</x:v>
      </x:c>
      <x:c r="C280" s="23" t="str">
        <x:v>N2-D5</x:v>
      </x:c>
      <x:c r="D280" s="23" t="str">
        <x:v>public metrology, destructive access, configuration archive and outside replay</x:v>
      </x:c>
      <x:c r="E280" s="28" t="str">
        <x:v>SOURCE EMPTY / HOLD</x:v>
      </x:c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23" t="str">
        <x:v>N1</x:v>
      </x:c>
      <x:c r="B281" s="23" t="str">
        <x:v>H-PMG</x:v>
      </x:c>
      <x:c r="C281" s="23" t="str">
        <x:v>N1-D5</x:v>
      </x:c>
      <x:c r="D281" s="23" t="str">
        <x:v>public metrology, destructive access, configuration archive and outside replay</x:v>
      </x:c>
      <x:c r="E281" s="28" t="str">
        <x:v>SOURCE EMPTY / HOLD</x:v>
      </x:c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23" t="str">
        <x:v>N2</x:v>
      </x:c>
      <x:c r="B282" s="23" t="str">
        <x:v>H-PMG</x:v>
      </x:c>
      <x:c r="C282" s="23" t="str">
        <x:v>N2-D6</x:v>
      </x:c>
      <x:c r="D282" s="23" t="str">
        <x:v>public metrology, destructive access, configuration archive and outside replay</x:v>
      </x:c>
      <x:c r="E282" s="28" t="str">
        <x:v>SOURCE EMPTY / HOLD</x:v>
      </x:c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23" t="str">
        <x:v>N1</x:v>
      </x:c>
      <x:c r="B283" s="23" t="str">
        <x:v>C-ERG</x:v>
      </x:c>
      <x:c r="C283" s="23" t="str">
        <x:v>N1-D6</x:v>
      </x:c>
      <x:c r="D283" s="23" t="str">
        <x:v>public metrology, destructive access, configuration archive and outside replay</x:v>
      </x:c>
      <x:c r="E283" s="28" t="str">
        <x:v>SOURCE EMPTY / HOLD</x:v>
      </x:c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23" t="str">
        <x:v>N2</x:v>
      </x:c>
      <x:c r="B284" s="23" t="str">
        <x:v>C-ERG</x:v>
      </x:c>
      <x:c r="C284" s="23" t="str">
        <x:v>N2-D1</x:v>
      </x:c>
      <x:c r="D284" s="23" t="str">
        <x:v>public metrology, destructive access, configuration archive and outside replay</x:v>
      </x:c>
      <x:c r="E284" s="28" t="str">
        <x:v>SOURCE EMPTY / HOLD</x:v>
      </x:c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23" t="str">
        <x:v>N1</x:v>
      </x:c>
      <x:c r="B285" s="23" t="str">
        <x:v>CM-HCG</x:v>
      </x:c>
      <x:c r="C285" s="23" t="str">
        <x:v>N1-D1</x:v>
      </x:c>
      <x:c r="D285" s="23" t="str">
        <x:v>public metrology, destructive access, configuration archive and outside replay</x:v>
      </x:c>
      <x:c r="E285" s="28" t="str">
        <x:v>SOURCE EMPTY / HOLD</x:v>
      </x:c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23" t="str">
        <x:v>N2</x:v>
      </x:c>
      <x:c r="B286" s="23" t="str">
        <x:v>CM-HCG</x:v>
      </x:c>
      <x:c r="C286" s="23" t="str">
        <x:v>N2-D2</x:v>
      </x:c>
      <x:c r="D286" s="23" t="str">
        <x:v>public metrology, destructive access, configuration archive and outside replay</x:v>
      </x:c>
      <x:c r="E286" s="28" t="str">
        <x:v>SOURCE EMPTY / HOLD</x:v>
      </x:c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23" t="str">
        <x:v>N1</x:v>
      </x:c>
      <x:c r="B287" s="23" t="str">
        <x:v>CM-CTN</x:v>
      </x:c>
      <x:c r="C287" s="23" t="str">
        <x:v>N1-D2</x:v>
      </x:c>
      <x:c r="D287" s="23" t="str">
        <x:v>public metrology, destructive access, configuration archive and outside replay</x:v>
      </x:c>
      <x:c r="E287" s="28" t="str">
        <x:v>SOURCE EMPTY / HOLD</x:v>
      </x:c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23" t="str">
        <x:v>N2</x:v>
      </x:c>
      <x:c r="B288" s="23" t="str">
        <x:v>CM-CTN</x:v>
      </x:c>
      <x:c r="C288" s="23" t="str">
        <x:v>N2-D3</x:v>
      </x:c>
      <x:c r="D288" s="23" t="str">
        <x:v>public metrology, destructive access, configuration archive and outside replay</x:v>
      </x:c>
      <x:c r="E288" s="28" t="str">
        <x:v>SOURCE EMPTY / HOLD</x:v>
      </x:c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23" t="str">
        <x:v>N1</x:v>
      </x:c>
      <x:c r="B289" s="23" t="str">
        <x:v>CM-RMG</x:v>
      </x:c>
      <x:c r="C289" s="23" t="str">
        <x:v>N1-D3</x:v>
      </x:c>
      <x:c r="D289" s="23" t="str">
        <x:v>public metrology, destructive access, configuration archive and outside replay</x:v>
      </x:c>
      <x:c r="E289" s="28" t="str">
        <x:v>SOURCE EMPTY / HOLD</x:v>
      </x:c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23" t="str">
        <x:v>N2</x:v>
      </x:c>
      <x:c r="B290" s="23" t="str">
        <x:v>CM-RMG</x:v>
      </x:c>
      <x:c r="C290" s="23" t="str">
        <x:v>N2-D4</x:v>
      </x:c>
      <x:c r="D290" s="23" t="str">
        <x:v>public metrology, destructive access, configuration archive and outside replay</x:v>
      </x:c>
      <x:c r="E290" s="28" t="str">
        <x:v>SOURCE EMPTY / HOLD</x:v>
      </x:c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23" t="str">
        <x:v>N1</x:v>
      </x:c>
      <x:c r="B291" s="23" t="str">
        <x:v>CM-RLG</x:v>
      </x:c>
      <x:c r="C291" s="23" t="str">
        <x:v>N1-D4</x:v>
      </x:c>
      <x:c r="D291" s="23" t="str">
        <x:v>public metrology, destructive access, configuration archive and outside replay</x:v>
      </x:c>
      <x:c r="E291" s="28" t="str">
        <x:v>SOURCE EMPTY / HOLD</x:v>
      </x:c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23" t="str">
        <x:v>N2</x:v>
      </x:c>
      <x:c r="B292" s="23" t="str">
        <x:v>CM-RLG</x:v>
      </x:c>
      <x:c r="C292" s="23" t="str">
        <x:v>N2-D5</x:v>
      </x:c>
      <x:c r="D292" s="23" t="str">
        <x:v>public metrology, destructive access, configuration archive and outside replay</x:v>
      </x:c>
      <x:c r="E292" s="28" t="str">
        <x:v>SOURCE EMPTY / HOLD</x:v>
      </x:c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23" t="str">
        <x:v>N1</x:v>
      </x:c>
      <x:c r="B293" s="23" t="str">
        <x:v>CM-AMG</x:v>
      </x:c>
      <x:c r="C293" s="23" t="str">
        <x:v>N1-D5</x:v>
      </x:c>
      <x:c r="D293" s="23" t="str">
        <x:v>public metrology, destructive access, configuration archive and outside replay</x:v>
      </x:c>
      <x:c r="E293" s="28" t="str">
        <x:v>SOURCE EMPTY / HOLD</x:v>
      </x:c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23" t="str">
        <x:v>N2</x:v>
      </x:c>
      <x:c r="B294" s="23" t="str">
        <x:v>CM-AMG</x:v>
      </x:c>
      <x:c r="C294" s="23" t="str">
        <x:v>N2-D6</x:v>
      </x:c>
      <x:c r="D294" s="23" t="str">
        <x:v>public metrology, destructive access, configuration archive and outside replay</x:v>
      </x:c>
      <x:c r="E294" s="28" t="str">
        <x:v>SOURCE EMPTY / HOLD</x:v>
      </x:c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23" t="str">
        <x:v>N1</x:v>
      </x:c>
      <x:c r="B295" s="23" t="str">
        <x:v>CM-WMG</x:v>
      </x:c>
      <x:c r="C295" s="23" t="str">
        <x:v>N1-D6</x:v>
      </x:c>
      <x:c r="D295" s="23" t="str">
        <x:v>public metrology, destructive access, configuration archive and outside replay</x:v>
      </x:c>
      <x:c r="E295" s="28" t="str">
        <x:v>SOURCE EMPTY / HOLD</x:v>
      </x:c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23" t="str">
        <x:v>N2</x:v>
      </x:c>
      <x:c r="B296" s="23" t="str">
        <x:v>CM-WMG</x:v>
      </x:c>
      <x:c r="C296" s="23" t="str">
        <x:v>N2-D1</x:v>
      </x:c>
      <x:c r="D296" s="23" t="str">
        <x:v>public metrology, destructive access, configuration archive and outside replay</x:v>
      </x:c>
      <x:c r="E296" s="28" t="str">
        <x:v>SOURCE EMPTY / HOLD</x:v>
      </x:c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23" t="str">
        <x:v>N1</x:v>
      </x:c>
      <x:c r="B297" s="23" t="str">
        <x:v>CM-RDC</x:v>
      </x:c>
      <x:c r="C297" s="23" t="str">
        <x:v>N1-D1</x:v>
      </x:c>
      <x:c r="D297" s="23" t="str">
        <x:v>public metrology, destructive access, configuration archive and outside replay</x:v>
      </x:c>
      <x:c r="E297" s="28" t="str">
        <x:v>SOURCE EMPTY / HOLD</x:v>
      </x:c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23" t="str">
        <x:v>N2</x:v>
      </x:c>
      <x:c r="B298" s="23" t="str">
        <x:v>CM-RDC</x:v>
      </x:c>
      <x:c r="C298" s="23" t="str">
        <x:v>N2-D2</x:v>
      </x:c>
      <x:c r="D298" s="23" t="str">
        <x:v>public metrology, destructive access, configuration archive and outside replay</x:v>
      </x:c>
      <x:c r="E298" s="28" t="str">
        <x:v>SOURCE EMPTY / HOLD</x:v>
      </x:c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3" hidden="0" customWidth="1"/>
    <x:col min="3" max="3" width="39" hidden="0" customWidth="1"/>
    <x:col min="4" max="4" width="58" hidden="0" customWidth="1"/>
    <x:col min="5" max="5" width="51" hidden="0" customWidth="1"/>
  </x:cols>
  <x:sheetData>
    <x:row r="2">
      <x:c r="A2" s="18" t="str">
        <x:v>Seven-state sovereignty and custody ladder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Physical title, operating authority, evidence and release remain separable at every stage.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State</x:v>
      </x:c>
      <x:c r="B6" s="22" t="str">
        <x:v>Object</x:v>
      </x:c>
      <x:c r="C6" s="22" t="str">
        <x:v>Custodian</x:v>
      </x:c>
      <x:c r="D6" s="22" t="str">
        <x:v>Permitted use</x:v>
      </x:c>
      <x:c r="E6" s="22" t="str">
        <x:v>Prohibition</x:v>
      </x:c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C0</x:v>
      </x:c>
      <x:c r="B7" s="30" t="str">
        <x:v>Host civil infrastructure</x:v>
      </x:c>
      <x:c r="C7" s="30" t="str">
        <x:v>Host authority</x:v>
      </x:c>
      <x:c r="D7" s="30" t="str">
        <x:v>Always host-controlled</x:v>
      </x:c>
      <x:c r="E7" s="30" t="str">
        <x:v>No U.S. mission right</x:v>
      </x:c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C1</x:v>
      </x:c>
      <x:c r="B8" s="30" t="str">
        <x:v>Shared standards and interface data</x:v>
      </x:c>
      <x:c r="C8" s="30" t="str">
        <x:v>Reciprocal public license</x:v>
      </x:c>
      <x:c r="D8" s="30" t="str">
        <x:v>Persistent</x:v>
      </x:c>
      <x:c r="E8" s="30" t="str">
        <x:v>No remote operating control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C2</x:v>
      </x:c>
      <x:c r="B9" s="30" t="str">
        <x:v>Partner bridge stocks</x:v>
      </x:c>
      <x:c r="C9" s="30" t="str">
        <x:v>Host authority</x:v>
      </x:c>
      <x:c r="D9" s="30" t="str">
        <x:v>Always available to host</x:v>
      </x:c>
      <x:c r="E9" s="30" t="str">
        <x:v>No U.S. readiness credit</x:v>
      </x:c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C3</x:v>
      </x:c>
      <x:c r="B10" s="30" t="str">
        <x:v>U.S. prepositioned mission stock</x:v>
      </x:c>
      <x:c r="C10" s="30" t="str">
        <x:v>Bilateral dual-key custody</x:v>
      </x:c>
      <x:c r="D10" s="30" t="str">
        <x:v>Inspection and exercise only before acceptance</x:v>
      </x:c>
      <x:c r="E10" s="30" t="str">
        <x:v>Host refusal blocks issue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C4</x:v>
      </x:c>
      <x:c r="B11" s="30" t="str">
        <x:v>Accepted U.S. formation serial</x:v>
      </x:c>
      <x:c r="C11" s="30" t="str">
        <x:v>U.S. technical + host civil custody</x:v>
      </x:c>
      <x:c r="D11" s="30" t="str">
        <x:v>Non-recallable after admission</x:v>
      </x:c>
      <x:c r="E11" s="30" t="str">
        <x:v>Bilateral release or lawful suspension</x:v>
      </x:c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C5</x:v>
      </x:c>
      <x:c r="B12" s="30" t="str">
        <x:v>Transferred operating system</x:v>
      </x:c>
      <x:c r="C12" s="30" t="str">
        <x:v>Host title and authority</x:v>
      </x:c>
      <x:c r="D12" s="30" t="str">
        <x:v>Independent operation</x:v>
      </x:c>
      <x:c r="E12" s="30" t="str">
        <x:v>No mandatory U.S. runtime, key or operator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C6</x:v>
      </x:c>
      <x:c r="B13" s="30" t="str">
        <x:v>Residual and evidence archive</x:v>
      </x:c>
      <x:c r="C13" s="30" t="str">
        <x:v>Named host/U.S./independent shares</x:v>
      </x:c>
      <x:c r="D13" s="30" t="str">
        <x:v>Survives mission closure</x:v>
      </x:c>
      <x:c r="E13" s="30" t="str">
        <x:v>No deletion of adverse history</x:v>
      </x:c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75" hidden="0" customWidth="1"/>
    <x:col min="4" max="4" width="71" hidden="0" customWidth="1"/>
    <x:col min="5" max="5" width="37" hidden="0" customWidth="1"/>
  </x:cols>
  <x:sheetData>
    <x:row r="2">
      <x:c r="A2" s="18" t="str">
        <x:v>Arrival-to-transfer service timeline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Host continuity begins before U.S. arrival; deployment is not the first useful act.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Phase</x:v>
      </x:c>
      <x:c r="B6" s="22" t="str">
        <x:v>Clock</x:v>
      </x:c>
      <x:c r="C6" s="22" t="str">
        <x:v>Host/partner action</x:v>
      </x:c>
      <x:c r="D6" s="22" t="str">
        <x:v>U.S. action</x:v>
      </x:c>
      <x:c r="E6" s="22" t="str">
        <x:v>Gate</x:v>
      </x:c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Standing</x:v>
      </x:c>
      <x:c r="B7" s="23" t="str">
        <x:v>Continuous</x:v>
      </x:c>
      <x:c r="C7" s="30" t="str">
        <x:v>Operate receiver, rotate stock, qualify roots and exercise refusal</x:v>
      </x:c>
      <x:c r="D7" s="30" t="str">
        <x:v>Maintain dual-key stock and interfaces</x:v>
      </x:c>
      <x:c r="E7" s="30" t="str">
        <x:v>No mission authority</x:v>
      </x:c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Invitation</x:v>
      </x:c>
      <x:c r="B8" s="23" t="str">
        <x:v>Hour 0</x:v>
      </x:c>
      <x:c r="C8" s="30" t="str">
        <x:v>Issue bounded invitation and public-service vector</x:v>
      </x:c>
      <x:c r="D8" s="30" t="str">
        <x:v>Accept, decline or request correction</x:v>
      </x:c>
      <x:c r="E8" s="30" t="str">
        <x:v>Twelve treaty seals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Bridge</x:v>
      </x:c>
      <x:c r="B9" s="23" t="str">
        <x:v>Days 0–14</x:v>
      </x:c>
      <x:c r="C9" s="30" t="str">
        <x:v>Use host plant, partner stock and prepositioned modules</x:v>
      </x:c>
      <x:c r="D9" s="30" t="str">
        <x:v>Activate admitted stock and move remaining mass</x:v>
      </x:c>
      <x:c r="E9" s="30" t="str">
        <x:v>No platform-arrival credit</x:v>
      </x:c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Full service</x:v>
      </x:c>
      <x:c r="B10" s="23" t="str">
        <x:v>Days 10–194</x:v>
      </x:c>
      <x:c r="C10" s="30" t="str">
        <x:v>Admit formations and release complete service</x:v>
      </x:c>
      <x:c r="D10" s="30" t="str">
        <x:v>Operate accepted serials under host civil authority</x:v>
      </x:c>
      <x:c r="E10" s="30" t="str">
        <x:v>Public service evidence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Transfer</x:v>
      </x:c>
      <x:c r="B11" s="23" t="str">
        <x:v>During mission</x:v>
      </x:c>
      <x:c r="C11" s="30" t="str">
        <x:v>Assume operation, repair, evidence and supply roles</x:v>
      </x:c>
      <x:c r="D11" s="30" t="str">
        <x:v>Reduce substitution as gates close</x:v>
      </x:c>
      <x:c r="E11" s="30" t="str">
        <x:v>Independent operation</x:v>
      </x:c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Closure</x:v>
      </x:c>
      <x:c r="B12" s="23" t="str">
        <x:v>By day 281</x:v>
      </x:c>
      <x:c r="C12" s="30" t="str">
        <x:v>Accept residuals, title and archive</x:v>
      </x:c>
      <x:c r="D12" s="30" t="str">
        <x:v>Withdraw, regenerate or transfer serials</x:v>
      </x:c>
      <x:c r="E12" s="30" t="str">
        <x:v>Bilateral release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3" hidden="0" customWidth="1"/>
    <x:col min="3" max="3" width="74" hidden="0" customWidth="1"/>
    <x:col min="4" max="4" width="62" hidden="0" customWidth="1"/>
  </x:cols>
  <x:sheetData>
    <x:row r="2">
      <x:c r="A2" s="18" t="str">
        <x:v>Ten constitutional failure worlds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Capacity, custody and sovereignty are tested as conjunctive gates rather than weighted preferences.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World</x:v>
      </x:c>
      <x:c r="B6" s="22" t="str">
        <x:v>Denied condition</x:v>
      </x:c>
      <x:c r="C6" s="22" t="str">
        <x:v>Required behavior</x:v>
      </x:c>
      <x:c r="D6" s="22" t="str">
        <x:v>Disposition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F1</x:v>
      </x:c>
      <x:c r="B7" s="30" t="str">
        <x:v>Loss/refusal of one receiver district</x:v>
      </x:c>
      <x:c r="C7" s="30" t="str">
        <x:v>Remaining five districts retain every family demand</x:v>
      </x:c>
      <x:c r="D7" s="30" t="str">
        <x:v>PASS by 96 family-network integerized tests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F2</x:v>
      </x:c>
      <x:c r="B8" s="30" t="str">
        <x:v>Loss of one precinct lineage</x:v>
      </x:c>
      <x:c r="C8" s="30" t="str">
        <x:v>Other two 50% lineages retain district capacity</x:v>
      </x:c>
      <x:c r="D8" s="30" t="str">
        <x:v>PASS in all 12 districts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F3</x:v>
      </x:c>
      <x:c r="B9" s="30" t="str">
        <x:v>Loss of one partner production root</x:v>
      </x:c>
      <x:c r="C9" s="30" t="str">
        <x:v>Unlike root remains; assurance cell preserves configuration</x:v>
      </x:c>
      <x:c r="D9" s="30" t="str">
        <x:v>No formation credit until reproduced output proves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F4</x:v>
      </x:c>
      <x:c r="B10" s="30" t="str">
        <x:v>Network communications partition</x:v>
      </x:c>
      <x:c r="C10" s="30" t="str">
        <x:v>Host receiver, custody and evidence operate offline</x:v>
      </x:c>
      <x:c r="D10" s="30" t="str">
        <x:v>No U.S. cloud or central broker required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F5</x:v>
      </x:c>
      <x:c r="B11" s="30" t="str">
        <x:v>Host revokes invitation</x:v>
      </x:c>
      <x:c r="C11" s="30" t="str">
        <x:v>Stop issue, safe systems, transfer or withdraw</x:v>
      </x:c>
      <x:c r="D11" s="30" t="str">
        <x:v>No persistence by operational convenience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F6</x:v>
      </x:c>
      <x:c r="B12" s="30" t="str">
        <x:v>Domestic catastrophe after international acceptance</x:v>
      </x:c>
      <x:c r="C12" s="30" t="str">
        <x:v>Use protected reserve and publish deficit</x:v>
      </x:c>
      <x:c r="D12" s="30" t="str">
        <x:v>No unilateral recall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F7</x:v>
      </x:c>
      <x:c r="B13" s="30" t="str">
        <x:v>One reach network denied</x:v>
      </x:c>
      <x:c r="C13" s="30" t="str">
        <x:v>Other network is not geographic substitute</x:v>
      </x:c>
      <x:c r="D13" s="30" t="str">
        <x:v>Affected claim remains explicit rather than averaged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F8</x:v>
      </x:c>
      <x:c r="B14" s="30" t="str">
        <x:v>Military protection unavailable</x:v>
      </x:c>
      <x:c r="C14" s="30" t="str">
        <x:v>Suspend exposed work or select lawful alternate access</x:v>
      </x:c>
      <x:c r="D14" s="30" t="str">
        <x:v>Department does not assume combat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F9</x:v>
      </x:c>
      <x:c r="B15" s="30" t="str">
        <x:v>Contractor or sponsor insolvency</x:v>
      </x:c>
      <x:c r="C15" s="30" t="str">
        <x:v>Public rights and alternate root activate</x:v>
      </x:c>
      <x:c r="D15" s="30" t="str">
        <x:v>No proprietary hostage state</x:v>
      </x:c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F10</x:v>
      </x:c>
      <x:c r="B16" s="30" t="str">
        <x:v>Evidence or rights violation</x:v>
      </x:c>
      <x:c r="C16" s="30" t="str">
        <x:v>Revoke exact employment seal and preserve service if safely transferable</x:v>
      </x:c>
      <x:c r="D16" s="30" t="str">
        <x:v>No benefit-cost waiver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49" hidden="0" customWidth="1"/>
  </x:cols>
  <x:sheetData>
    <x:row r="2">
      <x:c r="A2" s="18" t="str">
        <x:v>Forward receiver-commons capital and operating screen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The screen is cross-classified inside inherited common capital and operations; it is not automatically additive.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Cost element</x:v>
      </x:c>
      <x:c r="B6" s="22" t="str">
        <x:v>Low USD B</x:v>
      </x:c>
      <x:c r="C6" s="22" t="str">
        <x:v>Base USD B</x:v>
      </x:c>
      <x:c r="D6" s="22" t="str">
        <x:v>High USD B</x:v>
      </x:c>
      <x:c r="E6" s="22" t="str">
        <x:v>Base driver</x:v>
      </x:c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Family receiver plant</x:v>
      </x:c>
      <x:c r="B7" s="25" t="n">
        <x:v>312.73679999999996</x:v>
      </x:c>
      <x:c r="C7" s="25" t="n">
        <x:v>390.92099999999994</x:v>
      </x:c>
      <x:c r="D7" s="25" t="n">
        <x:v>547.2893999999999</x:v>
      </x:c>
      <x:c r="E7" s="23" t="str">
        <x:v>20/25/35% of installed family value</x:v>
      </x:c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Unlike access precincts</x:v>
      </x:c>
      <x:c r="B8" s="25" t="n">
        <x:v>108</x:v>
      </x:c>
      <x:c r="C8" s="25" t="n">
        <x:v>144</x:v>
      </x:c>
      <x:c r="D8" s="25" t="n">
        <x:v>216</x:v>
      </x:c>
      <x:c r="E8" s="23" t="str">
        <x:v>36 precincts × USD 3/4/6B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Partner production roots</x:v>
      </x:c>
      <x:c r="B9" s="25" t="n">
        <x:v>96</x:v>
      </x:c>
      <x:c r="C9" s="25" t="n">
        <x:v>144</x:v>
      </x:c>
      <x:c r="D9" s="25" t="n">
        <x:v>192</x:v>
      </x:c>
      <x:c r="E9" s="23" t="str">
        <x:v>192 roots × USD 0.5/0.75/1B</x:v>
      </x:c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Public assurance cells</x:v>
      </x:c>
      <x:c r="B10" s="25" t="n">
        <x:v>14.399999999999999</x:v>
      </x:c>
      <x:c r="C10" s="25" t="n">
        <x:v>24</x:v>
      </x:c>
      <x:c r="D10" s="25" t="n">
        <x:v>38.400000000000006</x:v>
      </x:c>
      <x:c r="E10" s="23" t="str">
        <x:v>96 cells × USD 0.15/0.25/0.4B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Training/transfer academies</x:v>
      </x:c>
      <x:c r="B11" s="25" t="n">
        <x:v>12</x:v>
      </x:c>
      <x:c r="C11" s="25" t="n">
        <x:v>18</x:v>
      </x:c>
      <x:c r="D11" s="25" t="n">
        <x:v>24</x:v>
      </x:c>
      <x:c r="E11" s="23" t="str">
        <x:v>12 academies × USD 1/1.5/2B</x:v>
      </x:c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U.S. forward mission stock</x:v>
      </x:c>
      <x:c r="B12" s="25" t="n">
        <x:v>250.50400000000002</x:v>
      </x:c>
      <x:c r="C12" s="25" t="n">
        <x:v>313.13</x:v>
      </x:c>
      <x:c r="D12" s="25" t="n">
        <x:v>438.38199999999995</x:v>
      </x:c>
      <x:c r="E12" s="23" t="str">
        <x:v>20/25/35% of invited capital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Fourteen-day bridge stock</x:v>
      </x:c>
      <x:c r="B13" s="25" t="n">
        <x:v>1.36612</x:v>
      </x:c>
      <x:c r="C13" s="25" t="n">
        <x:v>3.4153000000000002</x:v>
      </x:c>
      <x:c r="D13" s="25" t="n">
        <x:v>5.46448</x:v>
      </x:c>
      <x:c r="E13" s="23" t="str">
        <x:v>14 days × USD 2/5/8k per tonne</x:v>
      </x:c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Protective utility/site works</x:v>
      </x:c>
      <x:c r="B14" s="25" t="n">
        <x:v>18</x:v>
      </x:c>
      <x:c r="C14" s="25" t="n">
        <x:v>30</x:v>
      </x:c>
      <x:c r="D14" s="25" t="n">
        <x:v>48</x:v>
      </x:c>
      <x:c r="E14" s="23" t="str">
        <x:v>12 districts × USD 1.5/2.5/4B</x:v>
      </x:c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Subtotal</x:v>
      </x:c>
      <x:c r="B15" s="25" t="n">
        <x:v>813.0069199999999</x:v>
      </x:c>
      <x:c r="C15" s="25" t="n">
        <x:v>1067.4662999999998</x:v>
      </x:c>
      <x:c r="D15" s="25" t="n">
        <x:v>1509.53588</x:v>
      </x:c>
      <x:c r="E15" s="23" t="str">
        <x:v>Sum before reserve</x:v>
      </x:c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Program reserve</x:v>
      </x:c>
      <x:c r="B16" s="25" t="n">
        <x:v>162.601384</x:v>
      </x:c>
      <x:c r="C16" s="25" t="n">
        <x:v>213.49325999999996</x:v>
      </x:c>
      <x:c r="D16" s="25" t="n">
        <x:v>301.907176</x:v>
      </x:c>
      <x:c r="E16" s="23" t="str">
        <x:v>20%</x:v>
      </x:c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9" t="str">
        <x:v>Capital screen</x:v>
      </x:c>
      <x:c r="B17" s="31" t="n">
        <x:v>975.6083039999999</x:v>
      </x:c>
      <x:c r="C17" s="31" t="n">
        <x:v>1280.9595599999998</x:v>
      </x:c>
      <x:c r="D17" s="31" t="n">
        <x:v>1811.4430559999998</x:v>
      </x:c>
      <x:c r="E17" s="23" t="str">
        <x:v>Subtotal plus reserve</x:v>
      </x:c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9" t="str">
        <x:v>Mature annual operations</x:v>
      </x:c>
      <x:c r="B18" s="31" t="n">
        <x:v>58.536498239999986</x:v>
      </x:c>
      <x:c r="C18" s="31" t="n">
        <x:v>102.47676479999998</x:v>
      </x:c>
      <x:c r="D18" s="31" t="n">
        <x:v>181.1443056</x:v>
      </x:c>
      <x:c r="E18" s="23" t="str">
        <x:v>6/8/10% of capital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22" hidden="0" customWidth="1"/>
    <x:col min="5" max="5" width="24" hidden="0" customWidth="1"/>
  </x:cols>
  <x:sheetData>
    <x:row r="2">
      <x:c r="A2" s="18" t="str">
        <x:v>Twenty-five-year receiver-commons resource path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Ten-year build with operations ramped by commissioned share; optional partner sales remain outside the ledger.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Year</x:v>
      </x:c>
      <x:c r="B6" s="22" t="str">
        <x:v>Commissioned share</x:v>
      </x:c>
      <x:c r="C6" s="22" t="str">
        <x:v>Capital USD B</x:v>
      </x:c>
      <x:c r="D6" s="22" t="str">
        <x:v>Operations USD B</x:v>
      </x:c>
      <x:c r="E6" s="22" t="str">
        <x:v>Public outlay USD B</x:v>
      </x:c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n">
        <x:v>1</x:v>
      </x:c>
      <x:c r="B7" s="32" t="n">
        <x:v>0.1</x:v>
      </x:c>
      <x:c r="C7" s="25" t="n">
        <x:v>128.09595599999997</x:v>
      </x:c>
      <x:c r="D7" s="25" t="n">
        <x:v>10.247676479999999</x:v>
      </x:c>
      <x:c r="E7" s="25" t="n">
        <x:v>138.34363247999997</x:v>
      </x:c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n">
        <x:v>2</x:v>
      </x:c>
      <x:c r="B8" s="32" t="n">
        <x:v>0.2</x:v>
      </x:c>
      <x:c r="C8" s="25" t="n">
        <x:v>128.09595599999997</x:v>
      </x:c>
      <x:c r="D8" s="25" t="n">
        <x:v>20.495352959999998</x:v>
      </x:c>
      <x:c r="E8" s="25" t="n">
        <x:v>148.59130895999996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n">
        <x:v>3</x:v>
      </x:c>
      <x:c r="B9" s="32" t="n">
        <x:v>0.3</x:v>
      </x:c>
      <x:c r="C9" s="25" t="n">
        <x:v>128.09595599999997</x:v>
      </x:c>
      <x:c r="D9" s="25" t="n">
        <x:v>30.743029439999994</x:v>
      </x:c>
      <x:c r="E9" s="25" t="n">
        <x:v>158.83898543999996</x:v>
      </x:c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n">
        <x:v>4</x:v>
      </x:c>
      <x:c r="B10" s="32" t="n">
        <x:v>0.4</x:v>
      </x:c>
      <x:c r="C10" s="25" t="n">
        <x:v>128.09595599999997</x:v>
      </x:c>
      <x:c r="D10" s="25" t="n">
        <x:v>40.990705919999996</x:v>
      </x:c>
      <x:c r="E10" s="25" t="n">
        <x:v>169.08666191999998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n">
        <x:v>5</x:v>
      </x:c>
      <x:c r="B11" s="32" t="n">
        <x:v>0.5</x:v>
      </x:c>
      <x:c r="C11" s="25" t="n">
        <x:v>128.09595599999997</x:v>
      </x:c>
      <x:c r="D11" s="25" t="n">
        <x:v>51.23838239999999</x:v>
      </x:c>
      <x:c r="E11" s="25" t="n">
        <x:v>179.33433839999998</x:v>
      </x:c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n">
        <x:v>6</x:v>
      </x:c>
      <x:c r="B12" s="32" t="n">
        <x:v>0.6</x:v>
      </x:c>
      <x:c r="C12" s="25" t="n">
        <x:v>128.09595599999997</x:v>
      </x:c>
      <x:c r="D12" s="25" t="n">
        <x:v>61.48605887999999</x:v>
      </x:c>
      <x:c r="E12" s="25" t="n">
        <x:v>189.58201487999997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n">
        <x:v>7</x:v>
      </x:c>
      <x:c r="B13" s="32" t="n">
        <x:v>0.7</x:v>
      </x:c>
      <x:c r="C13" s="25" t="n">
        <x:v>128.09595599999997</x:v>
      </x:c>
      <x:c r="D13" s="25" t="n">
        <x:v>71.73373535999998</x:v>
      </x:c>
      <x:c r="E13" s="25" t="n">
        <x:v>199.82969135999997</x:v>
      </x:c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n">
        <x:v>8</x:v>
      </x:c>
      <x:c r="B14" s="32" t="n">
        <x:v>0.8</x:v>
      </x:c>
      <x:c r="C14" s="25" t="n">
        <x:v>128.09595599999997</x:v>
      </x:c>
      <x:c r="D14" s="25" t="n">
        <x:v>81.98141183999999</x:v>
      </x:c>
      <x:c r="E14" s="25" t="n">
        <x:v>210.07736783999997</x:v>
      </x:c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n">
        <x:v>9</x:v>
      </x:c>
      <x:c r="B15" s="32" t="n">
        <x:v>0.9</x:v>
      </x:c>
      <x:c r="C15" s="25" t="n">
        <x:v>128.09595599999997</x:v>
      </x:c>
      <x:c r="D15" s="25" t="n">
        <x:v>92.22908831999999</x:v>
      </x:c>
      <x:c r="E15" s="25" t="n">
        <x:v>220.32504431999996</x:v>
      </x:c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n">
        <x:v>10</x:v>
      </x:c>
      <x:c r="B16" s="32" t="n">
        <x:v>1</x:v>
      </x:c>
      <x:c r="C16" s="25" t="n">
        <x:v>128.09595599999997</x:v>
      </x:c>
      <x:c r="D16" s="25" t="n">
        <x:v>102.47676479999998</x:v>
      </x:c>
      <x:c r="E16" s="25" t="n">
        <x:v>230.57272079999996</x:v>
      </x:c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n">
        <x:v>11</x:v>
      </x:c>
      <x:c r="B17" s="32" t="n">
        <x:v>1</x:v>
      </x:c>
      <x:c r="C17" s="25" t="n">
        <x:v>0</x:v>
      </x:c>
      <x:c r="D17" s="25" t="n">
        <x:v>102.47676479999998</x:v>
      </x:c>
      <x:c r="E17" s="25" t="n">
        <x:v>102.47676479999998</x:v>
      </x:c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n">
        <x:v>12</x:v>
      </x:c>
      <x:c r="B18" s="32" t="n">
        <x:v>1</x:v>
      </x:c>
      <x:c r="C18" s="25" t="n">
        <x:v>0</x:v>
      </x:c>
      <x:c r="D18" s="25" t="n">
        <x:v>102.47676479999998</x:v>
      </x:c>
      <x:c r="E18" s="25" t="n">
        <x:v>102.47676479999998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n">
        <x:v>13</x:v>
      </x:c>
      <x:c r="B19" s="32" t="n">
        <x:v>1</x:v>
      </x:c>
      <x:c r="C19" s="25" t="n">
        <x:v>0</x:v>
      </x:c>
      <x:c r="D19" s="25" t="n">
        <x:v>102.47676479999998</x:v>
      </x:c>
      <x:c r="E19" s="25" t="n">
        <x:v>102.47676479999998</x:v>
      </x:c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n">
        <x:v>14</x:v>
      </x:c>
      <x:c r="B20" s="32" t="n">
        <x:v>1</x:v>
      </x:c>
      <x:c r="C20" s="25" t="n">
        <x:v>0</x:v>
      </x:c>
      <x:c r="D20" s="25" t="n">
        <x:v>102.47676479999998</x:v>
      </x:c>
      <x:c r="E20" s="25" t="n">
        <x:v>102.47676479999998</x:v>
      </x:c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3" t="n">
        <x:v>15</x:v>
      </x:c>
      <x:c r="B21" s="32" t="n">
        <x:v>1</x:v>
      </x:c>
      <x:c r="C21" s="25" t="n">
        <x:v>0</x:v>
      </x:c>
      <x:c r="D21" s="25" t="n">
        <x:v>102.47676479999998</x:v>
      </x:c>
      <x:c r="E21" s="25" t="n">
        <x:v>102.47676479999998</x:v>
      </x:c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3" t="n">
        <x:v>16</x:v>
      </x:c>
      <x:c r="B22" s="32" t="n">
        <x:v>1</x:v>
      </x:c>
      <x:c r="C22" s="25" t="n">
        <x:v>0</x:v>
      </x:c>
      <x:c r="D22" s="25" t="n">
        <x:v>102.47676479999998</x:v>
      </x:c>
      <x:c r="E22" s="25" t="n">
        <x:v>102.47676479999998</x:v>
      </x:c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3" t="n">
        <x:v>17</x:v>
      </x:c>
      <x:c r="B23" s="32" t="n">
        <x:v>1</x:v>
      </x:c>
      <x:c r="C23" s="25" t="n">
        <x:v>0</x:v>
      </x:c>
      <x:c r="D23" s="25" t="n">
        <x:v>102.47676479999998</x:v>
      </x:c>
      <x:c r="E23" s="25" t="n">
        <x:v>102.47676479999998</x:v>
      </x:c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3" t="n">
        <x:v>18</x:v>
      </x:c>
      <x:c r="B24" s="32" t="n">
        <x:v>1</x:v>
      </x:c>
      <x:c r="C24" s="25" t="n">
        <x:v>0</x:v>
      </x:c>
      <x:c r="D24" s="25" t="n">
        <x:v>102.47676479999998</x:v>
      </x:c>
      <x:c r="E24" s="25" t="n">
        <x:v>102.47676479999998</x:v>
      </x:c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3" t="n">
        <x:v>19</x:v>
      </x:c>
      <x:c r="B25" s="32" t="n">
        <x:v>1</x:v>
      </x:c>
      <x:c r="C25" s="25" t="n">
        <x:v>0</x:v>
      </x:c>
      <x:c r="D25" s="25" t="n">
        <x:v>102.47676479999998</x:v>
      </x:c>
      <x:c r="E25" s="25" t="n">
        <x:v>102.47676479999998</x:v>
      </x:c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3" t="n">
        <x:v>20</x:v>
      </x:c>
      <x:c r="B26" s="32" t="n">
        <x:v>1</x:v>
      </x:c>
      <x:c r="C26" s="25" t="n">
        <x:v>0</x:v>
      </x:c>
      <x:c r="D26" s="25" t="n">
        <x:v>102.47676479999998</x:v>
      </x:c>
      <x:c r="E26" s="25" t="n">
        <x:v>102.47676479999998</x:v>
      </x:c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3" t="n">
        <x:v>21</x:v>
      </x:c>
      <x:c r="B27" s="32" t="n">
        <x:v>1</x:v>
      </x:c>
      <x:c r="C27" s="25" t="n">
        <x:v>0</x:v>
      </x:c>
      <x:c r="D27" s="25" t="n">
        <x:v>102.47676479999998</x:v>
      </x:c>
      <x:c r="E27" s="25" t="n">
        <x:v>102.47676479999998</x:v>
      </x:c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3" t="n">
        <x:v>22</x:v>
      </x:c>
      <x:c r="B28" s="32" t="n">
        <x:v>1</x:v>
      </x:c>
      <x:c r="C28" s="25" t="n">
        <x:v>0</x:v>
      </x:c>
      <x:c r="D28" s="25" t="n">
        <x:v>102.47676479999998</x:v>
      </x:c>
      <x:c r="E28" s="25" t="n">
        <x:v>102.47676479999998</x:v>
      </x:c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3" t="n">
        <x:v>23</x:v>
      </x:c>
      <x:c r="B29" s="32" t="n">
        <x:v>1</x:v>
      </x:c>
      <x:c r="C29" s="25" t="n">
        <x:v>0</x:v>
      </x:c>
      <x:c r="D29" s="25" t="n">
        <x:v>102.47676479999998</x:v>
      </x:c>
      <x:c r="E29" s="25" t="n">
        <x:v>102.47676479999998</x:v>
      </x:c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3" t="n">
        <x:v>24</x:v>
      </x:c>
      <x:c r="B30" s="32" t="n">
        <x:v>1</x:v>
      </x:c>
      <x:c r="C30" s="25" t="n">
        <x:v>0</x:v>
      </x:c>
      <x:c r="D30" s="25" t="n">
        <x:v>102.47676479999998</x:v>
      </x:c>
      <x:c r="E30" s="25" t="n">
        <x:v>102.47676479999998</x:v>
      </x:c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3" t="n">
        <x:v>25</x:v>
      </x:c>
      <x:c r="B31" s="32" t="n">
        <x:v>1</x:v>
      </x:c>
      <x:c r="C31" s="25" t="n">
        <x:v>0</x:v>
      </x:c>
      <x:c r="D31" s="25" t="n">
        <x:v>102.47676479999998</x:v>
      </x:c>
      <x:c r="E31" s="25" t="n">
        <x:v>102.47676479999998</x:v>
      </x:c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7" hidden="0" customWidth="1"/>
    <x:col min="3" max="3" width="105" hidden="0" customWidth="1"/>
  </x:cols>
  <x:sheetData>
    <x:row r="2">
      <x:c r="A2" s="18" t="str">
        <x:v>Receiver-commons technology frontier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Novel capability is directed at service, sovereignty, access and exit—not exterior platform novelty.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Program</x:v>
      </x:c>
      <x:c r="B6" s="22" t="str">
        <x:v>Technology frontier</x:v>
      </x:c>
      <x:c r="C6" s="22" t="str">
        <x:v>Required capability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 ht="44" customHeight="1">
      <x:c r="A7" s="23" t="str">
        <x:v>T1</x:v>
      </x:c>
      <x:c r="B7" s="30" t="str">
        <x:v>Self-erecting civil receiver precinct</x:v>
      </x:c>
      <x:c r="C7" s="30" t="str">
        <x:v>Create protected power, water, handling, assay, residual and public-release interfaces on damaged ground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 ht="44" customHeight="1">
      <x:c r="A8" s="23" t="str">
        <x:v>T2</x:v>
      </x:c>
      <x:c r="B8" s="30" t="str">
        <x:v>Autonomous multimodal discharge lattice</x:v>
      </x:c>
      <x:c r="C8" s="30" t="str">
        <x:v>Move modules from offshore, air, rail, road and inland water without one loader or network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 ht="44" customHeight="1">
      <x:c r="A9" s="23" t="str">
        <x:v>T3</x:v>
      </x:c>
      <x:c r="B9" s="30" t="str">
        <x:v>Reversible utility transformation</x:v>
      </x:c>
      <x:c r="C9" s="30" t="str">
        <x:v>Translate voltage, frequency, water quality, pressure, thermal and data states without central control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 ht="44" customHeight="1">
      <x:c r="A10" s="23" t="str">
        <x:v>T4</x:v>
      </x:c>
      <x:c r="B10" s="30" t="str">
        <x:v>Sovereign offline control core</x:v>
      </x:c>
      <x:c r="C10" s="30" t="str">
        <x:v>Let host operators admit, isolate, stop, audit and restore service after total partition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 ht="44" customHeight="1">
      <x:c r="A11" s="23" t="str">
        <x:v>T5</x:v>
      </x:c>
      <x:c r="B11" s="30" t="str">
        <x:v>Dual-key physical custody</x:v>
      </x:c>
      <x:c r="C11" s="30" t="str">
        <x:v>Make invitation, inspection, issue, recall prohibition and bilateral release machine-verifiable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 ht="44" customHeight="1">
      <x:c r="A12" s="23" t="str">
        <x:v>T6</x:v>
      </x:c>
      <x:c r="B12" s="30" t="str">
        <x:v>Partner microfactory and metrology root</x:v>
      </x:c>
      <x:c r="C12" s="30" t="str">
        <x:v>Reproduce qualified interfaces, spares and service modules from locally governed packages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 ht="44" customHeight="1">
      <x:c r="A13" s="23" t="str">
        <x:v>T7</x:v>
      </x:c>
      <x:c r="B13" s="30" t="str">
        <x:v>Autonomous stock rotation</x:v>
      </x:c>
      <x:c r="C13" s="30" t="str">
        <x:v>Exercise, assay and renew 0.683–1.30 Mt of forward material without concealing expiry</x:v>
      </x:c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 ht="44" customHeight="1">
      <x:c r="A14" s="23" t="str">
        <x:v>T8</x:v>
      </x:c>
      <x:c r="B14" s="30" t="str">
        <x:v>Rapid shorefall-to-inland corridor</x:v>
      </x:c>
      <x:c r="C14" s="30" t="str">
        <x:v>Deploy high-capacity water, power, communications and residual lines across damaged access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 ht="44" customHeight="1">
      <x:c r="A15" s="23" t="str">
        <x:v>T9</x:v>
      </x:c>
      <x:c r="B15" s="30" t="str">
        <x:v>Mobile quarantine and residual metabolism</x:v>
      </x:c>
      <x:c r="C15" s="30" t="str">
        <x:v>Contain medical, chemical, biological, debris, brine and damaged-article counterflows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 ht="44" customHeight="1">
      <x:c r="A16" s="23" t="str">
        <x:v>T10</x:v>
      </x:c>
      <x:c r="B16" s="30" t="str">
        <x:v>Population-service admission twin</x:v>
      </x:c>
      <x:c r="C16" s="30" t="str">
        <x:v>Compile local need, rights, receiver state and service effect without surveillance substitution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 ht="44" customHeight="1">
      <x:c r="A17" s="23" t="str">
        <x:v>T11</x:v>
      </x:c>
      <x:c r="B17" s="30" t="str">
        <x:v>Adversarial partner range</x:v>
      </x:c>
      <x:c r="C17" s="30" t="str">
        <x:v>Test refusal, partition, sponsor loss, hostile access and independent restart before mission acceptance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 ht="44" customHeight="1">
      <x:c r="A18" s="23" t="str">
        <x:v>T12</x:v>
      </x:c>
      <x:c r="B18" s="30" t="str">
        <x:v>Exit-state compiler</x:v>
      </x:c>
      <x:c r="C18" s="30" t="str">
        <x:v>Prove host operation, repair, evidence and reproduction before U.S. substitution ends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2" hidden="0" customWidth="1"/>
    <x:col min="3" max="3" width="22" hidden="0" customWidth="1"/>
    <x:col min="4" max="4" width="14" hidden="0" customWidth="1"/>
  </x:cols>
  <x:sheetData>
    <x:row r="2">
      <x:c r="A2" s="18" t="str">
        <x:v>Terminal audit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One-way checks reconcile the topology and inherited international promise; they issue no authority.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Audit</x:v>
      </x:c>
      <x:c r="B6" s="22" t="str">
        <x:v>Expected</x:v>
      </x:c>
      <x:c r="C6" s="22" t="str">
        <x:v>Observed</x:v>
      </x:c>
      <x:c r="D6" s="22" t="str">
        <x:v>Result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Family-network rows</x:v>
      </x:c>
      <x:c r="B7" s="23" t="n">
        <x:v>96</x:v>
      </x:c>
      <x:c r="C7" s="23" t="n">
        <x:f>COUNTA('Family Reception'!A7:A102)</x:f>
        <x:v>96</x:v>
      </x:c>
      <x:c r="D7" s="29" t="str">
        <x:f>IF(ABS(B7-C7)&lt;0.01,"PASS","FAIL")</x:f>
        <x:v>PASS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I1 demand</x:v>
      </x:c>
      <x:c r="B8" s="23" t="n">
        <x:v>334</x:v>
      </x:c>
      <x:c r="C8" s="23" t="n">
        <x:f>SUMIF('Family Reception'!A7:A102,"N1",'Family Reception'!G7:G102)</x:f>
        <x:v>334</x:v>
      </x:c>
      <x:c r="D8" s="29" t="str">
        <x:f>IF(ABS(B8-C8)&lt;0.01,"PASS","FAIL")</x:f>
        <x:v>PASS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I2 demand</x:v>
      </x:c>
      <x:c r="B9" s="23" t="n">
        <x:v>341</x:v>
      </x:c>
      <x:c r="C9" s="23" t="n">
        <x:f>SUMIF('Family Reception'!A7:A102,"N2",'Family Reception'!G7:G102)</x:f>
        <x:v>341</x:v>
      </x:c>
      <x:c r="D9" s="29" t="str">
        <x:f>IF(ABS(B9-C9)&lt;0.01,"PASS","FAIL")</x:f>
        <x:v>PASS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Installed slots</x:v>
      </x:c>
      <x:c r="B10" s="23" t="n">
        <x:v>842</x:v>
      </x:c>
      <x:c r="C10" s="23" t="n">
        <x:f>SUM('Family Reception'!H7:H102)</x:f>
        <x:v>842</x:v>
      </x:c>
      <x:c r="D10" s="29" t="str">
        <x:f>IF(ABS(B10-C10)&lt;0.01,"PASS","FAIL")</x:f>
        <x:v>PASS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str">
        <x:v>Added slots</x:v>
      </x:c>
      <x:c r="B11" s="23" t="n">
        <x:v>167</x:v>
      </x:c>
      <x:c r="C11" s="23" t="n">
        <x:f>SUM('Family Reception'!I7:I102)</x:f>
        <x:v>167</x:v>
      </x:c>
      <x:c r="D11" s="29" t="str">
        <x:f>IF(ABS(B11-C11)&lt;0.01,"PASS","FAIL")</x:f>
        <x:v>PASS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str">
        <x:v>Minimum family margin</x:v>
      </x:c>
      <x:c r="B12" s="23" t="n">
        <x:v>0</x:v>
      </x:c>
      <x:c r="C12" s="23" t="n">
        <x:f>MIN('Family Reception'!L7:L102)</x:f>
        <x:v>0</x:v>
      </x:c>
      <x:c r="D12" s="29" t="str">
        <x:f>IF(ABS(B12-C12)&lt;0.01,"PASS","FAIL")</x:f>
        <x:v>PASS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3" t="str">
        <x:v>Family N−1 failures</x:v>
      </x:c>
      <x:c r="B13" s="23" t="n">
        <x:v>0</x:v>
      </x:c>
      <x:c r="C13" s="23" t="n">
        <x:f>COUNTIF('District Allocation'!N7:N102,"FAIL")</x:f>
        <x:v>0</x:v>
      </x:c>
      <x:c r="D13" s="29" t="str">
        <x:f>IF(ABS(B13-C13)&lt;0.01,"PASS","FAIL")</x:f>
        <x:v>PASS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3" t="str">
        <x:v>Receiver districts</x:v>
      </x:c>
      <x:c r="B14" s="23" t="n">
        <x:v>12</x:v>
      </x:c>
      <x:c r="C14" s="23" t="n">
        <x:f>COUNTA('Precinct Capacity'!A7:A18)</x:f>
        <x:v>12</x:v>
      </x:c>
      <x:c r="D14" s="29" t="str">
        <x:f>IF(ABS(B14-C14)&lt;0.01,"PASS","FAIL")</x:f>
        <x:v>PASS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3" t="str">
        <x:v>Precinct lineages</x:v>
      </x:c>
      <x:c r="B15" s="23" t="n">
        <x:v>36</x:v>
      </x:c>
      <x:c r="C15" s="23" t="n">
        <x:f>COUNTA('Precinct Capacity'!A23:A58)</x:f>
        <x:v>36</x:v>
      </x:c>
      <x:c r="D15" s="29" t="str">
        <x:f>IF(ABS(B15-C15)&lt;0.01,"PASS","FAIL")</x:f>
        <x:v>PASS</x:v>
      </x:c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3" t="str">
        <x:v>Precinct-loss failures</x:v>
      </x:c>
      <x:c r="B16" s="23" t="n">
        <x:v>0</x:v>
      </x:c>
      <x:c r="C16" s="23" t="n">
        <x:f>COUNTIF('Precinct Capacity'!J7:J18,"FAIL")</x:f>
        <x:v>0</x:v>
      </x:c>
      <x:c r="D16" s="29" t="str">
        <x:f>IF(ABS(B16-C16)&lt;0.01,"PASS","FAIL")</x:f>
        <x:v>PASS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3" t="str">
        <x:v>Partner roots</x:v>
      </x:c>
      <x:c r="B17" s="23" t="n">
        <x:v>192</x:v>
      </x:c>
      <x:c r="C17" s="23" t="n">
        <x:f>COUNTA('Partner Production'!A7:A198)</x:f>
        <x:v>192</x:v>
      </x:c>
      <x:c r="D17" s="29" t="str">
        <x:f>IF(ABS(B17-C17)&lt;0.01,"PASS","FAIL")</x:f>
        <x:v>PASS</x:v>
      </x:c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3" t="str">
        <x:v>Assurance cells</x:v>
      </x:c>
      <x:c r="B18" s="23" t="n">
        <x:v>96</x:v>
      </x:c>
      <x:c r="C18" s="23" t="n">
        <x:f>COUNTA('Partner Production'!A203:A298)</x:f>
        <x:v>96</x:v>
      </x:c>
      <x:c r="D18" s="29" t="str">
        <x:f>IF(ABS(B18-C18)&lt;0.01,"PASS","FAIL")</x:f>
        <x:v>PASS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3" t="str">
        <x:v>Capital screen</x:v>
      </x:c>
      <x:c r="B19" s="23" t="n">
        <x:v>1280.9595599999998</x:v>
      </x:c>
      <x:c r="C19" s="23" t="n">
        <x:f>'Economic Model'!C17</x:f>
        <x:v>1280.9595599999998</x:v>
      </x:c>
      <x:c r="D19" s="29" t="str">
        <x:f>IF(ABS(B19-C19)&lt;0.01,"PASS","FAIL")</x:f>
        <x:v>PASS</x:v>
      </x:c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3" t="str">
        <x:v>Released authority</x:v>
      </x:c>
      <x:c r="B20" s="23" t="n">
        <x:v>0</x:v>
      </x:c>
      <x:c r="C20" s="23" t="n">
        <x:f>Controls!B21</x:f>
        <x:v>0</x:v>
      </x:c>
      <x:c r="D20" s="29" t="str">
        <x:f>IF(ABS(B20-C20)&lt;0.01,"PASS","FAIL")</x:f>
        <x:v>PASS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8" hidden="0" customWidth="1"/>
    <x:col min="3" max="3" width="47" hidden="0" customWidth="1"/>
    <x:col min="4" max="4" width="15" hidden="0" customWidth="1"/>
    <x:col min="5" max="5" width="15" hidden="0" customWidth="1"/>
  </x:cols>
  <x:sheetData>
    <x:row r="2">
      <x:c r="A2" s="18" t="str">
        <x:v>Restored mutation tests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Four adversarial changes defeat the selected constitution and then restore.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Test</x:v>
      </x:c>
      <x:c r="B6" s="22" t="str">
        <x:v>Mutation</x:v>
      </x:c>
      <x:c r="C6" s="22" t="str">
        <x:v>Expected failure</x:v>
      </x:c>
      <x:c r="D6" s="22" t="str">
        <x:v>Mutated</x:v>
      </x:c>
      <x:c r="E6" s="22" t="str">
        <x:v>Restored</x:v>
      </x:c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str">
        <x:v>M1</x:v>
      </x:c>
      <x:c r="B7" s="23" t="str">
        <x:v>Remove one installed slot from every family-network row</x:v>
      </x:c>
      <x:c r="C7" s="23" t="str">
        <x:v>96 N−1 family failures</x:v>
      </x:c>
      <x:c r="D7" s="23" t="str">
        <x:v>FAIL</x:v>
      </x:c>
      <x:c r="E7" s="23" t="str">
        <x:v>PASS</x:v>
      </x:c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str">
        <x:v>M2</x:v>
      </x:c>
      <x:c r="B8" s="23" t="str">
        <x:v>Reduce each precinct lineage from 50% to 49%</x:v>
      </x:c>
      <x:c r="C8" s="23" t="str">
        <x:v>12 precinct-loss failures</x:v>
      </x:c>
      <x:c r="D8" s="23" t="str">
        <x:v>FAIL</x:v>
      </x:c>
      <x:c r="E8" s="23" t="str">
        <x:v>PASS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str">
        <x:v>M3</x:v>
      </x:c>
      <x:c r="B9" s="23" t="str">
        <x:v>Remove Root B from every family-network obligation</x:v>
      </x:c>
      <x:c r="C9" s="23" t="str">
        <x:v>96 production-diversity failures</x:v>
      </x:c>
      <x:c r="D9" s="23" t="str">
        <x:v>FAIL</x:v>
      </x:c>
      <x:c r="E9" s="23" t="str">
        <x:v>PASS</x:v>
      </x:c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str">
        <x:v>M4</x:v>
      </x:c>
      <x:c r="B10" s="23" t="str">
        <x:v>Set released authority from zero to one</x:v>
      </x:c>
      <x:c r="C10" s="23" t="str">
        <x:v>Terminal authority audit failure</x:v>
      </x:c>
      <x:c r="D10" s="23" t="str">
        <x:v>FAIL</x:v>
      </x:c>
      <x:c r="E10" s="23" t="str">
        <x:v>PASS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6" hidden="0" customWidth="1"/>
    <x:col min="3" max="3" width="95" hidden="0" customWidth="1"/>
  </x:cols>
  <x:sheetData>
    <x:row r="2">
      <x:c r="A2" s="18" t="str">
        <x:v>Internal source lineage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No external sites or datasets are introduced.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Pass</x:v>
      </x:c>
      <x:c r="B6" s="22" t="str">
        <x:v>Artifact</x:v>
      </x:c>
      <x:c r="C6" s="22" t="str">
        <x:v>Claims integrated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3" t="n">
        <x:v>167</x:v>
      </x:c>
      <x:c r="B7" s="30" t="str">
        <x:v>national and invited-international force-sizing constitution</x:v>
      </x:c>
      <x:c r="C7" s="30" t="str">
        <x:v>I1/I2 demand, notice, transit, occupancy, early mass, sustainment and non-recall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3" t="n">
        <x:v>168</x:v>
      </x:c>
      <x:c r="B8" s="30" t="str">
        <x:v>six-mission-system portfolio constitution</x:v>
      </x:c>
      <x:c r="C8" s="30" t="str">
        <x:v>Forty-eight families, mission ownership, inventory, capital and billets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3" t="n">
        <x:v>190</x:v>
      </x:c>
      <x:c r="B9" s="30" t="str">
        <x:v>Productive Commonwealth return</x:v>
      </x:c>
      <x:c r="C9" s="30" t="str">
        <x:v>Partner market remains optional and separate from force credit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3" t="n">
        <x:v>193</x:v>
      </x:c>
      <x:c r="B10" s="30" t="str">
        <x:v>permanent readiness-cycle constitution</x:v>
      </x:c>
      <x:c r="C10" s="30" t="str">
        <x:v>Family-specific reserve and regeneration separation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3" t="n">
        <x:v>194</x:v>
      </x:c>
      <x:c r="B11" s="30" t="str">
        <x:v>National Mobilization and Allocation Command</x:v>
      </x:c>
      <x:c r="C11" s="30" t="str">
        <x:v>Bilateral custody and collision-free allocation</x:v>
      </x:c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3" t="n">
        <x:v>196</x:v>
      </x:c>
      <x:c r="B12" s="30" t="str">
        <x:v>constructive-power strategic-employment constitution</x:v>
      </x:c>
      <x:c r="C12" s="30" t="str">
        <x:v>Four modes, treaty seals, prohibited uses and partner-sovereignty terminal state</x:v>
      </x:c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8" hidden="0" customWidth="1"/>
  </x:cols>
  <x:sheetData>
    <x:row r="2">
      <x:c r="A2" s="18" t="str">
        <x:v>Model use and limits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1" t="str">
        <x:v>This workbook selects an abstract forward topology; it does not choose countries, installations, treaties or exterior forms.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2" t="str">
        <x:v>Topic</x:v>
      </x:c>
      <x:c r="B6" s="22" t="str">
        <x:v>Guidance</x:v>
      </x:c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 ht="46" customHeight="1">
      <x:c r="A7" s="23" t="str">
        <x:v>Purpose</x:v>
      </x:c>
      <x:c r="B7" s="30" t="str">
        <x:v>Make 675 invited formations useful through host-owned reception, distributed access, bounded custody and independent partner production.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 ht="46" customHeight="1">
      <x:c r="A8" s="23" t="str">
        <x:v>N−1 law</x:v>
      </x:c>
      <x:c r="B8" s="30" t="str">
        <x:v>For each family and network, installed slots are the minimum integer count whose total after loss of its largest of six district allocations still meets demand.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 ht="46" customHeight="1">
      <x:c r="A9" s="23" t="str">
        <x:v>Precinct law</x:v>
      </x:c>
      <x:c r="B9" s="30" t="str">
        <x:v>Three unlike 50% capacity lineages per district preserve full reception after loss of one; shared decisive causes are prohibited.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 ht="46" customHeight="1">
      <x:c r="A10" s="23" t="str">
        <x:v>Prepositioning</x:v>
      </x:c>
      <x:c r="B10" s="30" t="str">
        <x:v>Twenty-five percent of early mass and fourteen days of sustainment are separate ledgers. Their overlap is unknown, so the model reports nested and additive mass bounds.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 ht="46" customHeight="1">
      <x:c r="A11" s="23" t="str">
        <x:v>Production</x:v>
      </x:c>
      <x:c r="B11" s="30" t="str">
        <x:v>Two separated partner roots and one public assurance cell exist per family-network obligation; none creates U.S. readiness credit.</x:v>
      </x:c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 ht="46" customHeight="1">
      <x:c r="A12" s="23" t="str">
        <x:v>Capital</x:v>
      </x:c>
      <x:c r="B12" s="30" t="str">
        <x:v>USD 0.976–1.81T is a design sensitivity. The USD 1.28T base is cross-classified inside inherited common capital, not added automatically.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 ht="46" customHeight="1">
      <x:c r="A13" s="23" t="str">
        <x:v>Operations</x:v>
      </x:c>
      <x:c r="B13" s="30" t="str">
        <x:v>The USD 102B/year base is 8% of commissioned capital and remains inside the inherited Department operating screen.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 ht="46" customHeight="1">
      <x:c r="A14" s="23" t="str">
        <x:v>Evidence</x:v>
      </x:c>
      <x:c r="B14" s="30" t="str">
        <x:v>All partner identities, production and treaty evidence remain SOURCE EMPTY / HOLD; released authority is zero.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 ht="46" customHeight="1">
      <x:c r="A15" s="23" t="str">
        <x:v>Rendering</x:v>
      </x:c>
      <x:c r="B15" s="30" t="str">
        <x:v>No platform or installation exterior is authorized.</x:v>
      </x:c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 ht="46" customHeight="1">
      <x:c r="A16" s="23" t="str">
        <x:v>Next</x:v>
      </x:c>
      <x:c r="B16" s="30" t="str">
        <x:v>Constitute the access, custody and activation transaction that moves a claim from invitation through bridge service to bilateral release.</x:v>
      </x:c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</x:sheetData>
  <x:pageMargins left="0.7" right="0.7" top="0.75" bottom="0.75" header="0.3" footer="0.3"/>
</x:worksheet>
</file>