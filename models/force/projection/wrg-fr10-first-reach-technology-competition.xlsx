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91557e11b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68d4b079c61f408a"/>
    <x:sheet xmlns:r="http://schemas.openxmlformats.org/officeDocument/2006/relationships" name="01 Controls" sheetId="2" r:id="R47ccb84890d043b8"/>
    <x:sheet xmlns:r="http://schemas.openxmlformats.org/officeDocument/2006/relationships" name="02 Geometry" sheetId="3" r:id="R63bd97ae19f042e7"/>
    <x:sheet xmlns:r="http://schemas.openxmlformats.org/officeDocument/2006/relationships" name="03 Service Chain" sheetId="4" r:id="Rca0bccdbf90b4bc3"/>
    <x:sheet xmlns:r="http://schemas.openxmlformats.org/officeDocument/2006/relationships" name="04 Conveyance Rivals" sheetId="5" r:id="R994f09ff8d354f4f"/>
    <x:sheet xmlns:r="http://schemas.openxmlformats.org/officeDocument/2006/relationships" name="05 Deployment" sheetId="6" r:id="R68b1da162cbd4f00"/>
    <x:sheet xmlns:r="http://schemas.openxmlformats.org/officeDocument/2006/relationships" name="06 Failure &amp; Repair" sheetId="7" r:id="R2a51640780f04c34"/>
    <x:sheet xmlns:r="http://schemas.openxmlformats.org/officeDocument/2006/relationships" name="07 Program" sheetId="8" r:id="R883ab8b6b4c240d7"/>
    <x:sheet xmlns:r="http://schemas.openxmlformats.org/officeDocument/2006/relationships" name="08 Test Contract" sheetId="9" r:id="R4a2660bafa554716"/>
    <x:sheet xmlns:r="http://schemas.openxmlformats.org/officeDocument/2006/relationships" name="09 Evidence" sheetId="10" r:id="R6b7f93aebb5c46c3"/>
    <x:sheet xmlns:r="http://schemas.openxmlformats.org/officeDocument/2006/relationships" name="10 Integrity" sheetId="11" r:id="R69b644f3c2d8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"/>
    <x:numFmt numFmtId="202" formatCode="#,##0.000"/>
    <x:numFmt numFmtId="203" formatCode="#,##0.0"/>
    <x:numFmt numFmtId="204" formatCode="0%"/>
    <x:numFmt numFmtId="205" formatCode="$#,##0.0"/>
    <x:numFmt numFmtId="206" formatCode="#,##0.000000"/>
  </x:numFmts>
  <x:fonts count="7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b/>
      <x:sz val="10"/>
      <x:color rgb="FF172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4">
    <x:border/>
    <x:border>
      <x:bottom style="medium">
        <x:color rgb="FF17324D"/>
      </x:bottom>
    </x:border>
    <x:border>
      <x:bottom style="medium">
        <x:color rgb="FFFFFFFF"/>
      </x:bottom>
    </x:border>
    <x:border>
      <x:top style="double">
        <x:color rgb="FF17324D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205" fontId="6" fillId="0" borderId="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205" fontId="6" fillId="0" borderId="3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80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c5cd825f74c9f" /><Relationship Type="http://schemas.openxmlformats.org/officeDocument/2006/relationships/theme" Target="/xl/theme/theme1.xml" Id="R892ac07a423e4aa1" /><Relationship Type="http://schemas.openxmlformats.org/officeDocument/2006/relationships/sharedStrings" Target="/xl/sharedStrings.xml" Id="Rc7f32212d131423b" /><Relationship Type="http://schemas.openxmlformats.org/officeDocument/2006/relationships/worksheet" Target="/xl/worksheets/sheet1.xml" Id="R68d4b079c61f408a" /><Relationship Type="http://schemas.openxmlformats.org/officeDocument/2006/relationships/worksheet" Target="/xl/worksheets/sheet2.xml" Id="R47ccb84890d043b8" /><Relationship Type="http://schemas.openxmlformats.org/officeDocument/2006/relationships/worksheet" Target="/xl/worksheets/sheet3.xml" Id="R63bd97ae19f042e7" /><Relationship Type="http://schemas.openxmlformats.org/officeDocument/2006/relationships/worksheet" Target="/xl/worksheets/sheet4.xml" Id="Rca0bccdbf90b4bc3" /><Relationship Type="http://schemas.openxmlformats.org/officeDocument/2006/relationships/worksheet" Target="/xl/worksheets/sheet5.xml" Id="R994f09ff8d354f4f" /><Relationship Type="http://schemas.openxmlformats.org/officeDocument/2006/relationships/worksheet" Target="/xl/worksheets/sheet6.xml" Id="R68b1da162cbd4f00" /><Relationship Type="http://schemas.openxmlformats.org/officeDocument/2006/relationships/worksheet" Target="/xl/worksheets/sheet7.xml" Id="R2a51640780f04c34" /><Relationship Type="http://schemas.openxmlformats.org/officeDocument/2006/relationships/worksheet" Target="/xl/worksheets/sheet8.xml" Id="R883ab8b6b4c240d7" /><Relationship Type="http://schemas.openxmlformats.org/officeDocument/2006/relationships/worksheet" Target="/xl/worksheets/sheet9.xml" Id="R4a2660bafa554716" /><Relationship Type="http://schemas.openxmlformats.org/officeDocument/2006/relationships/worksheet" Target="/xl/worksheets/sheet10.xml" Id="R6b7f93aebb5c46c3" /><Relationship Type="http://schemas.openxmlformats.org/officeDocument/2006/relationships/worksheet" Target="/xl/worksheets/sheet11.xml" Id="R69b644f3c2d84ee7" /></Relationships>
</file>

<file path=xl/tables/table1.xml><?xml version="1.0" encoding="utf-8"?>
<x:table xmlns:x="http://schemas.openxmlformats.org/spreadsheetml/2006/main" id="1" name="FirstReachControlTable" displayName="FirstReachControlTable" ref="C5:G34" headerRowCount="1" totalsRowCount="0" totalsRowShown="0">
  <x:tableColumns count="5">
    <x:tableColumn id="1" name="Control"/>
    <x:tableColumn id="2" name="Value"/>
    <x:tableColumn id="3" name="Unit"/>
    <x:tableColumn id="4" name="Use"/>
    <x:tableColumn id="5" name="Evidence 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rstReachGeometryTable" displayName="FirstReachGeometryTable" ref="C5:G34" headerRowCount="1" totalsRowCount="0" totalsRowShown="0">
  <x:tableColumns count="5">
    <x:tableColumn id="1" name="Metric"/>
    <x:tableColumn id="2" name="Result"/>
    <x:tableColumn id="3" name="Unit"/>
    <x:tableColumn id="4" name="Formula meaning"/>
    <x:tableColumn id="5" name="Decision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FirstReachServiceChainTable" displayName="FirstReachServiceChainTable" ref="C5:O22" headerRowCount="1" totalsRowCount="0" totalsRowShown="0">
  <x:tableColumns count="13">
    <x:tableColumn id="1" name="Complement"/>
    <x:tableColumn id="2" name="Function"/>
    <x:tableColumn id="3" name="Configuration unit"/>
    <x:tableColumn id="4" name="Quantity"/>
    <x:tableColumn id="5" name="Unit mass t"/>
    <x:tableColumn id="6" name="Mass t"/>
    <x:tableColumn id="7" name="Cube m³"/>
    <x:tableColumn id="8" name="Chargeable t"/>
    <x:tableColumn id="9" name="Capacity"/>
    <x:tableColumn id="10" name="Capacity unit"/>
    <x:tableColumn id="11" name="Arithmetic state"/>
    <x:tableColumn id="12" name="Evidence state"/>
    <x:tableColumn id="13" name="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onveyanceRivalTable" displayName="ConveyanceRivalTable" ref="C5:AH9" headerRowCount="1" totalsRowCount="0" totalsRowShown="0">
  <x:tableColumns count="32">
    <x:tableColumn id="1" name="Rival"/>
    <x:tableColumn id="2" name="Architecture"/>
    <x:tableColumn id="3" name="Segment length m"/>
    <x:tableColumn id="4" name="Mass factor"/>
    <x:tableColumn id="5" name="Material density t/m³"/>
    <x:tableColumn id="6" name="Packing efficiency"/>
    <x:tableColumn id="7" name="Packaging mass share"/>
    <x:tableColumn id="8" name="Fixed process mass t"/>
    <x:tableColumn id="9" name="Fixed process cube m³"/>
    <x:tableColumn id="10" name="Max unit mass t"/>
    <x:tableColumn id="11" name="Workfronts"/>
    <x:tableColumn id="12" name="Lay rate km/front-day"/>
    <x:tableColumn id="13" name="Commissioning days"/>
    <x:tableColumn id="14" name="Pressure gate"/>
    <x:tableColumn id="15" name="Potable gate"/>
    <x:tableColumn id="16" name="Repair gate"/>
    <x:tableColumn id="17" name="Reuse gate"/>
    <x:tableColumn id="18" name="Material mass t"/>
    <x:tableColumn id="19" name="Material volume m³"/>
    <x:tableColumn id="20" name="Packed cube m³"/>
    <x:tableColumn id="21" name="Transport mass t"/>
    <x:tableColumn id="22" name="Chargeable t"/>
    <x:tableColumn id="23" name="Segments"/>
    <x:tableColumn id="24" name="Field joints"/>
    <x:tableColumn id="25" name="Standard positions"/>
    <x:tableColumn id="26" name="Heavy positions"/>
    <x:tableColumn id="27" name="Standard indivisible fit"/>
    <x:tableColumn id="28" name="Heavy indivisible fit"/>
    <x:tableColumn id="29" name="Service time h"/>
    <x:tableColumn id="30" name="120 h screen"/>
    <x:tableColumn id="31" name="Evidence state"/>
    <x:tableColumn id="32" name="Render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rstReachDeploymentTable" displayName="FirstReachDeploymentTable" ref="C5:Q9" headerRowCount="1" totalsRowCount="0" totalsRowShown="0">
  <x:tableColumns count="15">
    <x:tableColumn id="1" name="Rival"/>
    <x:tableColumn id="2" name="Conveyance mass t"/>
    <x:tableColumn id="3" name="Conveyance cube m³"/>
    <x:tableColumn id="4" name="Conveyance chargeable t"/>
    <x:tableColumn id="5" name="Non-pipe chain mass t"/>
    <x:tableColumn id="6" name="Total dry system mass t"/>
    <x:tableColumn id="7" name="Non-pipe chargeable t"/>
    <x:tableColumn id="8" name="Total chargeable t"/>
    <x:tableColumn id="9" name="Standard lower-bound positions"/>
    <x:tableColumn id="10" name="Heavy lower-bound positions"/>
    <x:tableColumn id="11" name="Conveyance service h"/>
    <x:tableColumn id="12" name="Parallel source setup h"/>
    <x:tableColumn id="13" name="Earliest system service h"/>
    <x:tableColumn id="14" name="120 h screen"/>
    <x:tableColumn id="15" name="Strict service admis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rstReachFailureTable" displayName="FirstReachFailureTable" ref="C5:M25" headerRowCount="1" totalsRowCount="0" totalsRowShown="0">
  <x:tableColumns count="11">
    <x:tableColumn id="1" name="Rival"/>
    <x:tableColumn id="2" name="Failure case"/>
    <x:tableColumn id="3" name="Initial service share"/>
    <x:tableColumn id="4" name="Declared repair h"/>
    <x:tableColumn id="5" name="Target service during repair"/>
    <x:tableColumn id="6" name="Target restoration h"/>
    <x:tableColumn id="7" name="Reserve object"/>
    <x:tableColumn id="8" name="Remote diagnosis"/>
    <x:tableColumn id="9" name="Field method"/>
    <x:tableColumn id="10" name="Evidence state"/>
    <x:tableColumn id="11" name="Deci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rstReachProgramTable" displayName="FirstReachProgramTable" ref="C5:K17" headerRowCount="1" totalsRowCount="0" totalsRowShown="0">
  <x:tableColumns count="9">
    <x:tableColumn id="1" name="WBS"/>
    <x:tableColumn id="2" name="Program element"/>
    <x:tableColumn id="3" name="Quantity"/>
    <x:tableColumn id="4" name="Unit cost $B"/>
    <x:tableColumn id="5" name="Base $B"/>
    <x:tableColumn id="6" name="Low $B"/>
    <x:tableColumn id="7" name="High $B"/>
    <x:tableColumn id="8" name="Primary deliverable"/>
    <x:tableColumn id="9" name="Cost 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rstReachPhaseTable" displayName="FirstReachPhaseTable" ref="C25:I30" headerRowCount="1" totalsRowCount="0" totalsRowShown="0">
  <x:tableColumns count="7">
    <x:tableColumn id="1" name="Phase"/>
    <x:tableColumn id="2" name="Years"/>
    <x:tableColumn id="3" name="Base share"/>
    <x:tableColumn id="4" name="Base $B"/>
    <x:tableColumn id="5" name="Low $B"/>
    <x:tableColumn id="6" name="High $B"/>
    <x:tableColumn id="7" name="Primary deci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rstReachTestGateTable" displayName="FirstReachTestGateTable" ref="C5:J21" headerRowCount="1" totalsRowCount="0" totalsRowShown="0">
  <x:tableColumns count="8">
    <x:tableColumn id="1" name="Gate"/>
    <x:tableColumn id="2" name="Required demonstration"/>
    <x:tableColumn id="3" name="Measure"/>
    <x:tableColumn id="4" name="Threshold"/>
    <x:tableColumn id="5" name="Rivals"/>
    <x:tableColumn id="6" name="Authority"/>
    <x:tableColumn id="7" name="Current evidence"/>
    <x:tableColumn id="8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rstReachIntegrityTable" displayName="FirstReachIntegrityTable" ref="C5:H33" headerRowCount="1" totalsRowCount="0" totalsRowShown="0">
  <x:tableColumns count="6">
    <x:tableColumn id="1" name="Check"/>
    <x:tableColumn id="2" name="Observed"/>
    <x:tableColumn id="3" name="Expected"/>
    <x:tableColumn id="4" name="Difference"/>
    <x:tableColumn id="5" name="Tolerance"/>
    <x:tableColumn id="6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c2cee033184c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d4f597cd454d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d0cfe142954e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87e5cd525248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466001632849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3012a78c2840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26688aa5344505" /><Relationship Type="http://schemas.openxmlformats.org/officeDocument/2006/relationships/table" Target="/xl/tables/table8.xml" Id="R89e803cf210e40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d7869363bc447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a0d38b79278451c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3" max="3" width="37" hidden="0" customWidth="1"/>
    <x:col min="4" max="4" width="20" hidden="0" customWidth="1"/>
    <x:col min="5" max="5" width="17" hidden="0" customWidth="1"/>
    <x:col min="6" max="6" width="55" hidden="0" customWidth="1"/>
    <x:col min="7" max="7" width="4" hidden="0" customWidth="1"/>
    <x:col min="8" max="8" width="39" hidden="0" customWidth="1"/>
    <x:col min="9" max="9" width="39" hidden="0" customWidth="1"/>
    <x:col min="10" max="10" width="39" hidden="0" customWidth="1"/>
    <x:col min="11" max="11" width="41" hidden="0" customWidth="1"/>
    <x:col min="12" max="12" width="35" hidden="0" customWidth="1"/>
    <x:col min="13" max="13" width="38" hidden="0" customWidth="1"/>
    <x:col min="14" max="14" width="39" hidden="0" customWidth="1"/>
    <x:col min="15" max="15" width="18" hidden="0" customWidth="1"/>
    <x:col min="16" max="16" width="40" hidden="0" customWidth="1"/>
    <x:col min="17" max="17" width="18" hidden="0" customWidth="1"/>
  </x:cols>
  <x:sheetData>
    <x:row r="2">
      <x:c r="C2" s="2" t="str">
        <x:v>First-reach water system and technology competition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C3" s="3" t="str">
        <x:v>Pass 64 defines a complete 10 km, 10,000 m³/day mission and preserves every reason that none of four conveyance rivals can yet be selected or rendered.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C5" s="9" t="str">
        <x:v>Measure</x:v>
      </x:c>
      <x:c r="D5" s="9" t="str">
        <x:v>Result</x:v>
      </x:c>
      <x:c r="E5" s="9" t="str">
        <x:v>Unit</x:v>
      </x:c>
      <x:c r="F5" s="9" t="str">
        <x:v>Decision meaning</x:v>
      </x:c>
      <x:c r="H5" s="9" t="str">
        <x:v>Judgment</x:v>
      </x:c>
      <x:c r="I5" s="9" t="str">
        <x:v>Evidence</x:v>
      </x:c>
      <x:c r="J5" s="9" t="str">
        <x:v>What changed</x:v>
      </x:c>
      <x:c r="K5" s="9" t="str">
        <x:v>Force consequence</x:v>
      </x:c>
      <x:c r="L5" s="9" t="str">
        <x:v>Technology consequence</x:v>
      </x:c>
      <x:c r="M5" s="9" t="str">
        <x:v>Institutional owner</x:v>
      </x:c>
      <x:c r="N5" s="9" t="str">
        <x:v>Evidence boundary</x:v>
      </x:c>
      <x:c r="O5" s="9" t="str">
        <x:v>State</x:v>
      </x:c>
      <x:c r="P5" s="9" t="str">
        <x:v>Next proof</x:v>
      </x:c>
      <x:c r="Q5" s="9" t="str">
        <x:v>Rendering</x:v>
      </x:c>
    </x:row>
    <x:row r="6" ht="108" customHeight="1">
      <x:c r="C6" s="11" t="str">
        <x:v>Mission output</x:v>
      </x:c>
      <x:c r="D6" s="18" t="n">
        <x:f>'01 Controls'!D8</x:f>
        <x:v>10000</x:v>
      </x:c>
      <x:c r="E6" s="11" t="str">
        <x:v>m³/day</x:v>
      </x:c>
      <x:c r="F6" s="16" t="str">
        <x:v>Accessible certified service, not plant-fence production</x:v>
      </x:c>
      <x:c r="H6" s="16" t="str">
        <x:v>A first reach is a complete utility, not a pipe demonstration.</x:v>
      </x:c>
      <x:c r="I6" s="16" t="str">
        <x:v>Seventeen service-chain rows span command through regeneration.</x:v>
      </x:c>
      <x:c r="J6" s="16" t="str">
        <x:v>Command, quality, sanitation, public access and support are explicit.</x:v>
      </x:c>
      <x:c r="K6" s="16" t="str">
        <x:v>A water formation is generated and admitted by complements.</x:v>
      </x:c>
      <x:c r="L6" s="16" t="str">
        <x:v>Conveyance cannot win outside the common receiver and service chain.</x:v>
      </x:c>
      <x:c r="M6" s="16" t="str">
        <x:v>WRG generating service and receiving command</x:v>
      </x:c>
      <x:c r="N6" s="16" t="str">
        <x:v>All quantities remain planning configurations.</x:v>
      </x:c>
      <x:c r="O6" s="16" t="str">
        <x:v>OPEN</x:v>
      </x:c>
      <x:c r="P6" s="16" t="str">
        <x:v>Commission one complete 10 km receiver mission</x:v>
      </x:c>
      <x:c r="Q6" s="16" t="str">
        <x:v>BLOCKED</x:v>
      </x:c>
    </x:row>
    <x:row r="7" ht="108" customHeight="1">
      <x:c r="C7" s="11" t="str">
        <x:v>Supported population</x:v>
      </x:c>
      <x:c r="D7" s="18" t="n">
        <x:f>'01 Controls'!D9</x:f>
        <x:v>200000</x:v>
      </x:c>
      <x:c r="E7" s="11" t="str">
        <x:v>people</x:v>
      </x:c>
      <x:c r="F7" s="16" t="str">
        <x:v>At the declared 50 L/person/day service</x:v>
      </x:c>
      <x:c r="H7" s="16" t="str">
        <x:v>The 0.5 m geometry is feasible but not yet resilient.</x:v>
      </x:c>
      <x:c r="I7" s="16" t="str">
        <x:v>10,000 m³/day produces about 0.59 m/s in one line.</x:v>
      </x:c>
      <x:c r="J7" s="16" t="str">
        <x:v>The line falls just below the prior velocity band and a rupture drops bulk flow to zero.</x:v>
      </x:c>
      <x:c r="K7" s="16" t="str">
        <x:v>Normal-flow arithmetic cannot establish degraded service.</x:v>
      </x:c>
      <x:c r="L7" s="16" t="str">
        <x:v>Compete parallel smaller lines, sectional bypass and local buffering.</x:v>
      </x:c>
      <x:c r="M7" s="16" t="str">
        <x:v>Water systems authority</x:v>
      </x:c>
      <x:c r="N7" s="16" t="str">
        <x:v>No transient or line-outage trial exists.</x:v>
      </x:c>
      <x:c r="O7" s="16" t="str">
        <x:v>FAIL</x:v>
      </x:c>
      <x:c r="P7" s="16" t="str">
        <x:v>Run hydraulic and rupture architecture competition</x:v>
      </x:c>
      <x:c r="Q7" s="16" t="str">
        <x:v>BLOCKED</x:v>
      </x:c>
    </x:row>
    <x:row r="8" ht="108" customHeight="1">
      <x:c r="C8" s="11" t="str">
        <x:v>Installed first reach</x:v>
      </x:c>
      <x:c r="D8" s="18" t="n">
        <x:f>'01 Controls'!D6</x:f>
        <x:v>10</x:v>
      </x:c>
      <x:c r="E8" s="11" t="str">
        <x:v>km</x:v>
      </x:c>
      <x:c r="F8" s="16" t="str">
        <x:v>Representative corridor, not the full WRG-50</x:v>
      </x:c>
      <x:c r="H8" s="16" t="str">
        <x:v>Hollow pipe transport is the first industrial design problem.</x:v>
      </x:c>
      <x:c r="I8" s="16" t="str">
        <x:v>Reference material occupies over 600 m³ before voids; the inherited cube remains impossible.</x:v>
      </x:c>
      <x:c r="J8" s="16" t="str">
        <x:v>Rivals separate sectional, reeled, extruded and fold-flat transport forms.</x:v>
      </x:c>
      <x:c r="K8" s="16" t="str">
        <x:v>Strategic mobility demand depends on manufacturing form.</x:v>
      </x:c>
      <x:c r="L8" s="16" t="str">
        <x:v>Mobile extrusion trades factory common mode for dense freight; fold-flat trades qualification risk for mass and speed.</x:v>
      </x:c>
      <x:c r="M8" s="16" t="str">
        <x:v>Configuration bureau and industrial base authority</x:v>
      </x:c>
      <x:c r="N8" s="16" t="str">
        <x:v>All packing efficiencies are source geometry or declared targets.</x:v>
      </x:c>
      <x:c r="O8" s="16" t="str">
        <x:v>OPEN</x:v>
      </x:c>
      <x:c r="P8" s="16" t="str">
        <x:v>Build and measure four full-scale sets</x:v>
      </x:c>
      <x:c r="Q8" s="16" t="str">
        <x:v>BLOCKED</x:v>
      </x:c>
    </x:row>
    <x:row r="9" ht="108" customHeight="1">
      <x:c r="C9" s="11" t="str">
        <x:v>Reference pipe material</x:v>
      </x:c>
      <x:c r="D9" s="18" t="n">
        <x:f>'02 Geometry'!D19</x:f>
        <x:v>583.6381018669034</x:v>
      </x:c>
      <x:c r="E9" s="11" t="str">
        <x:v>t</x:v>
      </x:c>
      <x:c r="F9" s="16" t="str">
        <x:v>Includes 10% repair reserve; excludes packaging and fittings</x:v>
      </x:c>
      <x:c r="H9" s="16" t="str">
        <x:v>The fastest declared rival is not the current winner.</x:v>
      </x:c>
      <x:c r="I9" s="16" t="str">
        <x:v>F-500 screens near 78 h but all pressure, potable, repair and reuse gates are open.</x:v>
      </x:c>
      <x:c r="J9" s="16" t="str">
        <x:v>Schedule is one dimension inside a strict evidence contract.</x:v>
      </x:c>
      <x:c r="K9" s="16" t="str">
        <x:v>No service or procurement credit follows from target speed.</x:v>
      </x:c>
      <x:c r="L9" s="16" t="str">
        <x:v>Maintain independent rival teams through representative qualification.</x:v>
      </x:c>
      <x:c r="M9" s="16" t="str">
        <x:v>Independent RTE authority</x:v>
      </x:c>
      <x:c r="N9" s="16" t="str">
        <x:v>No full-scale article or receiver trial exists.</x:v>
      </x:c>
      <x:c r="O9" s="16" t="str">
        <x:v>DENIED</x:v>
      </x:c>
      <x:c r="P9" s="16" t="str">
        <x:v>Execute common test matrix</x:v>
      </x:c>
      <x:c r="Q9" s="16" t="str">
        <x:v>BLOCKED</x:v>
      </x:c>
    </x:row>
    <x:row r="10" ht="108" customHeight="1">
      <x:c r="C10" s="11" t="str">
        <x:v>Water inside installed trunk</x:v>
      </x:c>
      <x:c r="D10" s="18" t="n">
        <x:f>'02 Geometry'!D22</x:f>
        <x:v>1963.4954084936207</x:v>
      </x:c>
      <x:c r="E10" s="11" t="str">
        <x:v>t</x:v>
      </x:c>
      <x:c r="F10" s="16" t="str">
        <x:v>Commissioning inventory excluded from dry transport mass</x:v>
      </x:c>
      <x:c r="H10" s="16" t="str">
        <x:v>Simple proportional scaling understates sanitation and governance.</x:v>
      </x:c>
      <x:c r="I10" s="16" t="str">
        <x:v>Three wastewater trains are required at 75% return flow; command and survey were absent from the prior manifest.</x:v>
      </x:c>
      <x:c r="J10" s="16" t="str">
        <x:v>Whole units and missing functions replace one-fifth arithmetic.</x:v>
      </x:c>
      <x:c r="K10" s="16" t="str">
        <x:v>The small formation remains a multi-thousand-tonne force.</x:v>
      </x:c>
      <x:c r="L10" s="16" t="str">
        <x:v>Automated construction must integrate authority, quality and residual custody.</x:v>
      </x:c>
      <x:c r="M10" s="16" t="str">
        <x:v>WRG generating service</x:v>
      </x:c>
      <x:c r="N10" s="16" t="str">
        <x:v>Fleet and support rows remain inherited placeholders.</x:v>
      </x:c>
      <x:c r="O10" s="16" t="str">
        <x:v>OPEN</x:v>
      </x:c>
      <x:c r="P10" s="16" t="str">
        <x:v>Issue itemized first-reach bill of material</x:v>
      </x:c>
      <x:c r="Q10" s="16" t="str">
        <x:v>BLOCKED</x:v>
      </x:c>
    </x:row>
    <x:row r="11" ht="108" customHeight="1">
      <x:c r="C11" s="11" t="str">
        <x:v>Mean trunk velocity</x:v>
      </x:c>
      <x:c r="D11" s="18" t="n">
        <x:f>'02 Geometry'!D11</x:f>
        <x:v>0.589462752192205</x:v>
      </x:c>
      <x:c r="E11" s="11" t="str">
        <x:v>m/s</x:v>
      </x:c>
      <x:c r="F11" s="16" t="str">
        <x:v>Below the prior 0.60 m/s planning band</x:v>
      </x:c>
      <x:c r="H11" s="16" t="str">
        <x:v>A serious technology program is an industrial system.</x:v>
      </x:c>
      <x:c r="I11" s="16" t="str">
        <x:v>$110.4B base funds four rivals, six corridors, twelve receivers, four pilot lines, twenty-four initial sets and regional reset capacity.</x:v>
      </x:c>
      <x:c r="J11" s="16" t="str">
        <x:v>The program buys competition, receivers, evidence and manufacturing, not one futuristic tube.</x:v>
      </x:c>
      <x:c r="K11" s="16" t="str">
        <x:v>First-reach capacity can become a repeatable national force unit.</x:v>
      </x:c>
      <x:c r="L11" s="16" t="str">
        <x:v>Termination gates protect novelty without preselecting an incumbent architecture.</x:v>
      </x:c>
      <x:c r="M11" s="16" t="str">
        <x:v>Resilience Acquisition Executive</x:v>
      </x:c>
      <x:c r="N11" s="16" t="str">
        <x:v>Low/base/high are declared program cases, not forecasts.</x:v>
      </x:c>
      <x:c r="O11" s="16" t="str">
        <x:v>OPEN</x:v>
      </x:c>
      <x:c r="P11" s="16" t="str">
        <x:v>Cost representative articles and production designs</x:v>
      </x:c>
      <x:c r="Q11" s="16" t="str">
        <x:v>BLOCKED</x:v>
      </x:c>
    </x:row>
    <x:row r="12" ht="34" customHeight="1">
      <x:c r="C12" s="11" t="str">
        <x:v>Reference rival service time</x:v>
      </x:c>
      <x:c r="D12" s="18" t="n">
        <x:f>'04 Conveyance Rivals'!AE6</x:f>
        <x:v>152</x:v>
      </x:c>
      <x:c r="E12" s="11" t="str">
        <x:v>hours</x:v>
      </x:c>
      <x:c r="F12" s="16" t="str">
        <x:v>S-12 reaches service in 152 h on declared rates</x:v>
      </x:c>
    </x:row>
    <x:row r="13" ht="34" customHeight="1">
      <x:c r="C13" s="11" t="str">
        <x:v>Fastest declared rival time</x:v>
      </x:c>
      <x:c r="D13" s="18" t="n">
        <x:f>MIN('04 Conveyance Rivals'!AE6:AE9)</x:f>
        <x:v>78</x:v>
      </x:c>
      <x:c r="E13" s="11" t="str">
        <x:v>hours</x:v>
      </x:c>
      <x:c r="F13" s="16" t="str">
        <x:v>F-500 target is 78 h before integrated-chain constraints</x:v>
      </x:c>
    </x:row>
    <x:row r="14" ht="34" customHeight="1">
      <x:c r="C14" s="11" t="str">
        <x:v>Minimum total dry system mass</x:v>
      </x:c>
      <x:c r="D14" s="18" t="n">
        <x:f>MIN('05 Deployment'!H6:H9)</x:f>
        <x:v>3861.860529294863</x:v>
      </x:c>
      <x:c r="E14" s="11" t="str">
        <x:v>t</x:v>
      </x:c>
      <x:c r="F14" s="16" t="str">
        <x:v>Includes complete-chain planning manifest</x:v>
      </x:c>
    </x:row>
    <x:row r="15" ht="34" customHeight="1">
      <x:c r="C15" s="11" t="str">
        <x:v>Wastewater trains</x:v>
      </x:c>
      <x:c r="D15" s="18" t="n">
        <x:f>'02 Geometry'!D31</x:f>
        <x:v>3</x:v>
      </x:c>
      <x:c r="E15" s="11" t="str">
        <x:v>trains</x:v>
      </x:c>
      <x:c r="F15" s="16" t="str">
        <x:v>Three trains close the 75% return-flow arithmetic</x:v>
      </x:c>
    </x:row>
    <x:row r="16" ht="34" customHeight="1">
      <x:c r="C16" s="11" t="str">
        <x:v>Admitted complements</x:v>
      </x:c>
      <x:c r="D16" s="18" t="n">
        <x:f>COUNTIFS('03 Service Chain'!I27:I33,"ADMITTED")</x:f>
        <x:v>0</x:v>
      </x:c>
      <x:c r="E16" s="11" t="str">
        <x:v>of 7</x:v>
      </x:c>
      <x:c r="F16" s="16" t="str">
        <x:v>No complement has representative release evidence</x:v>
      </x:c>
    </x:row>
    <x:row r="17" ht="34" customHeight="1">
      <x:c r="C17" s="11" t="str">
        <x:v>Strict rival service admissions</x:v>
      </x:c>
      <x:c r="D17" s="18" t="n">
        <x:f>COUNTIFS('05 Deployment'!Q6:Q9,"ADMITTED")</x:f>
        <x:v>0</x:v>
      </x:c>
      <x:c r="E17" s="11" t="str">
        <x:v>of 4</x:v>
      </x:c>
      <x:c r="F17" s="16" t="str">
        <x:v>All rivals remain research configurations</x:v>
      </x:c>
    </x:row>
    <x:row r="18" ht="34" customHeight="1">
      <x:c r="C18" s="11" t="str">
        <x:v>Open test gates</x:v>
      </x:c>
      <x:c r="D18" s="18" t="n">
        <x:f>COUNTIFS('08 Test Contract'!J6:J21,"OPEN")</x:f>
        <x:v>15</x:v>
      </x:c>
      <x:c r="E18" s="11" t="str">
        <x:v>gates</x:v>
      </x:c>
      <x:c r="F18" s="16" t="str">
        <x:v>Fifteen technical and mission gates remain open</x:v>
      </x:c>
    </x:row>
    <x:row r="19" ht="34" customHeight="1">
      <x:c r="C19" s="11" t="str">
        <x:v>Program base</x:v>
      </x:c>
      <x:c r="D19" s="18" t="n">
        <x:f>'07 Program'!G20</x:f>
        <x:v>110.4</x:v>
      </x:c>
      <x:c r="E19" s="11" t="str">
        <x:v>$B/25 years</x:v>
      </x:c>
      <x:c r="F19" s="16" t="str">
        <x:v>Complete first-reach technology and proving slice</x:v>
      </x:c>
    </x:row>
    <x:row r="20" ht="34" customHeight="1">
      <x:c r="C20" s="11" t="str">
        <x:v>Program low</x:v>
      </x:c>
      <x:c r="D20" s="18" t="n">
        <x:f>'07 Program'!H20</x:f>
        <x:v>82.8</x:v>
      </x:c>
      <x:c r="E20" s="11" t="str">
        <x:v>$B/25 years</x:v>
      </x:c>
      <x:c r="F20" s="16" t="str">
        <x:v>Declared 0.75× comparison</x:v>
      </x:c>
    </x:row>
    <x:row r="21" ht="34" customHeight="1">
      <x:c r="C21" s="11" t="str">
        <x:v>Program high</x:v>
      </x:c>
      <x:c r="D21" s="18" t="n">
        <x:f>'07 Program'!I20</x:f>
        <x:v>149.04</x:v>
      </x:c>
      <x:c r="E21" s="11" t="str">
        <x:v>$B/25 years</x:v>
      </x:c>
      <x:c r="F21" s="16" t="str">
        <x:v>Declared 1.35× comparison</x:v>
      </x:c>
    </x:row>
    <x:row r="22" ht="34" customHeight="1">
      <x:c r="C22" s="11" t="str">
        <x:v>Selected conveyance rival</x:v>
      </x:c>
      <x:c r="D22" s="11" t="str">
        <x:v>NONE</x:v>
      </x:c>
      <x:c r="E22" s="11" t="str">
        <x:v>state</x:v>
      </x:c>
      <x:c r="F22" s="16" t="str">
        <x:v>Competition remains open</x:v>
      </x:c>
    </x:row>
    <x:row r="23" ht="34" customHeight="1">
      <x:c r="C23" s="11" t="str">
        <x:v>Rendering</x:v>
      </x:c>
      <x:c r="D23" s="11" t="str">
        <x:v>BLOCKED</x:v>
      </x:c>
      <x:c r="E23" s="11" t="str">
        <x:v>state</x:v>
      </x:c>
      <x:c r="F23" s="16" t="str">
        <x:v>Requires R3 physics, configuration and representative mission evidence</x:v>
      </x:c>
    </x:row>
  </x:sheetData>
  <x:conditionalFormatting sqref="D6:D23">
    <x:cfRule type="containsText" dxfId="144" priority="1" operator="containsText" text="FAIL"/>
    <x:cfRule type="containsText" dxfId="145" priority="2" operator="containsText" text="DENIED"/>
    <x:cfRule type="containsText" dxfId="146" priority="3" operator="containsText" text="BLOCKED"/>
    <x:cfRule type="containsText" dxfId="147" priority="4" operator="containsText" text="INVALID"/>
    <x:cfRule type="containsText" dxfId="148" priority="5" operator="containsText" text="OPEN"/>
    <x:cfRule type="containsText" dxfId="149" priority="6" operator="containsText" text="UNTESTED"/>
    <x:cfRule type="containsText" dxfId="150" priority="7" operator="containsText" text="DECLARED"/>
    <x:cfRule type="containsText" dxfId="151" priority="8" operator="containsText" text="PASS"/>
    <x:cfRule type="containsText" dxfId="152" priority="9" operator="containsText" text="MET"/>
  </x:conditionalFormatting>
  <x:conditionalFormatting sqref="O6:O11">
    <x:cfRule type="containsText" dxfId="153" priority="10" operator="containsText" text="FAIL"/>
    <x:cfRule type="containsText" dxfId="154" priority="11" operator="containsText" text="DENIED"/>
    <x:cfRule type="containsText" dxfId="155" priority="12" operator="containsText" text="BLOCKED"/>
    <x:cfRule type="containsText" dxfId="156" priority="13" operator="containsText" text="INVALID"/>
    <x:cfRule type="containsText" dxfId="157" priority="14" operator="containsText" text="OPEN"/>
    <x:cfRule type="containsText" dxfId="158" priority="15" operator="containsText" text="UNTESTED"/>
    <x:cfRule type="containsText" dxfId="159" priority="16" operator="containsText" text="DECLARED"/>
    <x:cfRule type="containsText" dxfId="160" priority="17" operator="containsText" text="PASS"/>
    <x:cfRule type="containsText" dxfId="161" priority="18" operator="containsText" text="MET"/>
  </x:conditionalFormatting>
  <x:conditionalFormatting sqref="Q6:Q11">
    <x:cfRule type="containsText" dxfId="162" priority="19" operator="containsText" text="FAIL"/>
    <x:cfRule type="containsText" dxfId="163" priority="20" operator="containsText" text="DENIED"/>
    <x:cfRule type="containsText" dxfId="164" priority="21" operator="containsText" text="BLOCKED"/>
    <x:cfRule type="containsText" dxfId="165" priority="22" operator="containsText" text="INVALID"/>
    <x:cfRule type="containsText" dxfId="166" priority="23" operator="containsText" text="OPEN"/>
    <x:cfRule type="containsText" dxfId="167" priority="24" operator="containsText" text="UNTESTED"/>
    <x:cfRule type="containsText" dxfId="168" priority="25" operator="containsText" text="DECLARED"/>
    <x:cfRule type="containsText" dxfId="169" priority="26" operator="containsText" text="PASS"/>
    <x:cfRule type="containsText" dxfId="170" priority="27" operator="containsText" text="ME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8" hidden="0" customWidth="1"/>
    <x:col min="4" max="4" width="19" hidden="0" customWidth="1"/>
    <x:col min="5" max="5" width="18" hidden="0" customWidth="1"/>
    <x:col min="6" max="6" width="49" hidden="0" customWidth="1"/>
    <x:col min="7" max="7" width="21" hidden="0" customWidth="1"/>
  </x:cols>
  <x:sheetData>
    <x:row r="2">
      <x:c r="C2" s="2" t="str">
        <x:v>First-reach water mission controls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Blue cells are declared research inputs. They are requirements and comparison assumptions, not verified field performance.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Control</x:v>
      </x:c>
      <x:c r="D5" s="9" t="str">
        <x:v>Value</x:v>
      </x:c>
      <x:c r="E5" s="9" t="str">
        <x:v>Unit</x:v>
      </x:c>
      <x:c r="F5" s="9" t="str">
        <x:v>Use</x:v>
      </x:c>
      <x:c r="G5" s="9" t="str">
        <x:v>Evidence state</x:v>
      </x:c>
    </x:row>
    <x:row r="6" ht="30" customHeight="1">
      <x:c r="C6" s="11" t="str">
        <x:v>Installed trunk length</x:v>
      </x:c>
      <x:c r="D6" s="13" t="n">
        <x:v>10</x:v>
      </x:c>
      <x:c r="E6" s="16" t="str">
        <x:v>km</x:v>
      </x:c>
      <x:c r="F6" s="16" t="str">
        <x:v>Named first-reach corridor</x:v>
      </x:c>
      <x:c r="G6" s="16" t="str">
        <x:v>DECLARED</x:v>
      </x:c>
    </x:row>
    <x:row r="7" ht="30" customHeight="1">
      <x:c r="C7" s="11" t="str">
        <x:v>Repair reserve share</x:v>
      </x:c>
      <x:c r="D7" s="14" t="n">
        <x:v>0.1</x:v>
      </x:c>
      <x:c r="E7" s="16" t="str">
        <x:v>share</x:v>
      </x:c>
      <x:c r="F7" s="16" t="str">
        <x:v>Transported pipe beyond installed reach</x:v>
      </x:c>
      <x:c r="G7" s="16" t="str">
        <x:v>DECLARED</x:v>
      </x:c>
    </x:row>
    <x:row r="8" ht="30" customHeight="1">
      <x:c r="C8" s="11" t="str">
        <x:v>Product-water service</x:v>
      </x:c>
      <x:c r="D8" s="13" t="n">
        <x:v>10000</x:v>
      </x:c>
      <x:c r="E8" s="16" t="str">
        <x:v>m³/day</x:v>
      </x:c>
      <x:c r="F8" s="16" t="str">
        <x:v>Point-of-use mission output</x:v>
      </x:c>
      <x:c r="G8" s="16" t="str">
        <x:v>DECLARED</x:v>
      </x:c>
    </x:row>
    <x:row r="9" ht="30" customHeight="1">
      <x:c r="C9" s="11" t="str">
        <x:v>Supported population</x:v>
      </x:c>
      <x:c r="D9" s="13" t="n">
        <x:v>200000</x:v>
      </x:c>
      <x:c r="E9" s="16" t="str">
        <x:v>people</x:v>
      </x:c>
      <x:c r="F9" s="16" t="str">
        <x:v>Service denominator</x:v>
      </x:c>
      <x:c r="G9" s="16" t="str">
        <x:v>DECLARED</x:v>
      </x:c>
    </x:row>
    <x:row r="10" ht="30" customHeight="1">
      <x:c r="C10" s="11" t="str">
        <x:v>Service level</x:v>
      </x:c>
      <x:c r="D10" s="13" t="n">
        <x:v>50</x:v>
      </x:c>
      <x:c r="E10" s="16" t="str">
        <x:v>L/person/day</x:v>
      </x:c>
      <x:c r="F10" s="16" t="str">
        <x:v>Expanded emergency community service</x:v>
      </x:c>
      <x:c r="G10" s="16" t="str">
        <x:v>DECLARED</x:v>
      </x:c>
    </x:row>
    <x:row r="11" ht="30" customHeight="1">
      <x:c r="C11" s="11" t="str">
        <x:v>Representative operation</x:v>
      </x:c>
      <x:c r="D11" s="13" t="n">
        <x:v>7</x:v>
      </x:c>
      <x:c r="E11" s="16" t="str">
        <x:v>days</x:v>
      </x:c>
      <x:c r="F11" s="16" t="str">
        <x:v>Initial continuous trial period</x:v>
      </x:c>
      <x:c r="G11" s="16" t="str">
        <x:v>DECLARED</x:v>
      </x:c>
    </x:row>
    <x:row r="12" ht="30" customHeight="1">
      <x:c r="C12" s="11" t="str">
        <x:v>Wastewater return share</x:v>
      </x:c>
      <x:c r="D12" s="14" t="n">
        <x:v>0.75</x:v>
      </x:c>
      <x:c r="E12" s="16" t="str">
        <x:v>share</x:v>
      </x:c>
      <x:c r="F12" s="16" t="str">
        <x:v>Planning return-flow case</x:v>
      </x:c>
      <x:c r="G12" s="16" t="str">
        <x:v>DECLARED</x:v>
      </x:c>
    </x:row>
    <x:row r="13" ht="30" customHeight="1">
      <x:c r="C13" s="11" t="str">
        <x:v>Seawater recovery</x:v>
      </x:c>
      <x:c r="D13" s="14" t="n">
        <x:v>0.5</x:v>
      </x:c>
      <x:c r="E13" s="16" t="str">
        <x:v>share</x:v>
      </x:c>
      <x:c r="F13" s="16" t="str">
        <x:v>High-energy source envelope</x:v>
      </x:c>
      <x:c r="G13" s="16" t="str">
        <x:v>DECLARED</x:v>
      </x:c>
    </x:row>
    <x:row r="14" ht="30" customHeight="1">
      <x:c r="C14" s="11" t="str">
        <x:v>Fresh-source process energy</x:v>
      </x:c>
      <x:c r="D14" s="13" t="n">
        <x:v>0.5</x:v>
      </x:c>
      <x:c r="E14" s="16" t="str">
        <x:v>kWh/m³</x:v>
      </x:c>
      <x:c r="F14" s="16" t="str">
        <x:v>Comparison input only</x:v>
      </x:c>
      <x:c r="G14" s="16" t="str">
        <x:v>DECLARED</x:v>
      </x:c>
    </x:row>
    <x:row r="15" ht="30" customHeight="1">
      <x:c r="C15" s="11" t="str">
        <x:v>Seawater process energy</x:v>
      </x:c>
      <x:c r="D15" s="13" t="n">
        <x:v>4</x:v>
      </x:c>
      <x:c r="E15" s="16" t="str">
        <x:v>kWh/m³</x:v>
      </x:c>
      <x:c r="F15" s="16" t="str">
        <x:v>Comparison input only</x:v>
      </x:c>
      <x:c r="G15" s="16" t="str">
        <x:v>DECLARED</x:v>
      </x:c>
    </x:row>
    <x:row r="16" ht="30" customHeight="1">
      <x:c r="C16" s="11" t="str">
        <x:v>Pipe internal diameter</x:v>
      </x:c>
      <x:c r="D16" s="13" t="n">
        <x:v>0.5</x:v>
      </x:c>
      <x:c r="E16" s="16" t="str">
        <x:v>m</x:v>
      </x:c>
      <x:c r="F16" s="16" t="str">
        <x:v>Hydraulic and material geometry</x:v>
      </x:c>
      <x:c r="G16" s="16" t="str">
        <x:v>SOURCE VALUE</x:v>
      </x:c>
    </x:row>
    <x:row r="17" ht="30" customHeight="1">
      <x:c r="C17" s="11" t="str">
        <x:v>Pipe dimension ratio</x:v>
      </x:c>
      <x:c r="D17" s="13" t="n">
        <x:v>17</x:v>
      </x:c>
      <x:c r="E17" s="16" t="str">
        <x:v>OD/wall</x:v>
      </x:c>
      <x:c r="F17" s="16" t="str">
        <x:v>Illustrative thermoplastic reference</x:v>
      </x:c>
      <x:c r="G17" s="16" t="str">
        <x:v>SOURCE VALUE</x:v>
      </x:c>
    </x:row>
    <x:row r="18" ht="30" customHeight="1">
      <x:c r="C18" s="11" t="str">
        <x:v>Reference pipe density</x:v>
      </x:c>
      <x:c r="D18" s="13" t="n">
        <x:v>0.95</x:v>
      </x:c>
      <x:c r="E18" s="16" t="str">
        <x:v>t/m³</x:v>
      </x:c>
      <x:c r="F18" s="16" t="str">
        <x:v>Material mass</x:v>
      </x:c>
      <x:c r="G18" s="16" t="str">
        <x:v>SOURCE VALUE</x:v>
      </x:c>
    </x:row>
    <x:row r="19" ht="30" customHeight="1">
      <x:c r="C19" s="11" t="str">
        <x:v>Darcy friction factor</x:v>
      </x:c>
      <x:c r="D19" s="13" t="n">
        <x:v>0.015</x:v>
      </x:c>
      <x:c r="E19" s="16" t="str">
        <x:v>factor</x:v>
      </x:c>
      <x:c r="F19" s="16" t="str">
        <x:v>Reference hydraulic screen</x:v>
      </x:c>
      <x:c r="G19" s="16" t="str">
        <x:v>DECLARED</x:v>
      </x:c>
    </x:row>
    <x:row r="20" ht="30" customHeight="1">
      <x:c r="C20" s="11" t="str">
        <x:v>Static head</x:v>
      </x:c>
      <x:c r="D20" s="13" t="n">
        <x:v>20</x:v>
      </x:c>
      <x:c r="E20" s="16" t="str">
        <x:v>m</x:v>
      </x:c>
      <x:c r="F20" s="16" t="str">
        <x:v>Representative first-reach route</x:v>
      </x:c>
      <x:c r="G20" s="16" t="str">
        <x:v>DECLARED</x:v>
      </x:c>
    </x:row>
    <x:row r="21" ht="30" customHeight="1">
      <x:c r="C21" s="11" t="str">
        <x:v>Pump efficiency</x:v>
      </x:c>
      <x:c r="D21" s="14" t="n">
        <x:v>0.75</x:v>
      </x:c>
      <x:c r="E21" s="16" t="str">
        <x:v>share</x:v>
      </x:c>
      <x:c r="F21" s="16" t="str">
        <x:v>Hydraulic shaft-power screen</x:v>
      </x:c>
      <x:c r="G21" s="16" t="str">
        <x:v>DECLARED</x:v>
      </x:c>
    </x:row>
    <x:row r="22" ht="30" customHeight="1">
      <x:c r="C22" s="11" t="str">
        <x:v>Water density</x:v>
      </x:c>
      <x:c r="D22" s="13" t="n">
        <x:v>1000</x:v>
      </x:c>
      <x:c r="E22" s="16" t="str">
        <x:v>kg/m³</x:v>
      </x:c>
      <x:c r="F22" s="16" t="str">
        <x:v>Hydraulic calculation</x:v>
      </x:c>
      <x:c r="G22" s="16" t="str">
        <x:v>PHYSICAL CONSTANT</x:v>
      </x:c>
    </x:row>
    <x:row r="23" ht="30" customHeight="1">
      <x:c r="C23" s="11" t="str">
        <x:v>Gravity</x:v>
      </x:c>
      <x:c r="D23" s="13" t="n">
        <x:v>9.81</x:v>
      </x:c>
      <x:c r="E23" s="16" t="str">
        <x:v>m/s²</x:v>
      </x:c>
      <x:c r="F23" s="16" t="str">
        <x:v>Hydraulic calculation</x:v>
      </x:c>
      <x:c r="G23" s="16" t="str">
        <x:v>PHYSICAL CONSTANT</x:v>
      </x:c>
    </x:row>
    <x:row r="24" ht="30" customHeight="1">
      <x:c r="C24" s="11" t="str">
        <x:v>Road and rail density floor</x:v>
      </x:c>
      <x:c r="D24" s="13" t="n">
        <x:v>0.2</x:v>
      </x:c>
      <x:c r="E24" s="16" t="str">
        <x:v>t/m³</x:v>
      </x:c>
      <x:c r="F24" s="16" t="str">
        <x:v>Chargeable transport burden</x:v>
      </x:c>
      <x:c r="G24" s="16" t="str">
        <x:v>DECLARED</x:v>
      </x:c>
    </x:row>
    <x:row r="25" ht="30" customHeight="1">
      <x:c r="C25" s="11" t="str">
        <x:v>Standard surface position</x:v>
      </x:c>
      <x:c r="D25" s="13" t="n">
        <x:v>40</x:v>
      </x:c>
      <x:c r="E25" s="16" t="str">
        <x:v>t</x:v>
      </x:c>
      <x:c r="F25" s="16" t="str">
        <x:v>Inherited planning screen</x:v>
      </x:c>
      <x:c r="G25" s="16" t="str">
        <x:v>DECLARED</x:v>
      </x:c>
    </x:row>
    <x:row r="26" ht="30" customHeight="1">
      <x:c r="C26" s="11" t="str">
        <x:v>Heavy surface target</x:v>
      </x:c>
      <x:c r="D26" s="13" t="n">
        <x:v>120</x:v>
      </x:c>
      <x:c r="E26" s="16" t="str">
        <x:v>t</x:v>
      </x:c>
      <x:c r="F26" s="16" t="str">
        <x:v>Clean-sheet planning target</x:v>
      </x:c>
      <x:c r="G26" s="16" t="str">
        <x:v>DECLARED</x:v>
      </x:c>
    </x:row>
    <x:row r="27" ht="30" customHeight="1">
      <x:c r="C27" s="11" t="str">
        <x:v>First-service target</x:v>
      </x:c>
      <x:c r="D27" s="13" t="n">
        <x:v>120</x:v>
      </x:c>
      <x:c r="E27" s="16" t="str">
        <x:v>hours</x:v>
      </x:c>
      <x:c r="F27" s="16" t="str">
        <x:v>Comparative acquisition requirement</x:v>
      </x:c>
      <x:c r="G27" s="16" t="str">
        <x:v>DECLARED</x:v>
      </x:c>
    </x:row>
    <x:row r="28" ht="30" customHeight="1">
      <x:c r="C28" s="11" t="str">
        <x:v>Wastewater train capacity</x:v>
      </x:c>
      <x:c r="D28" s="13" t="n">
        <x:v>2500</x:v>
      </x:c>
      <x:c r="E28" s="16" t="str">
        <x:v>m³/day</x:v>
      </x:c>
      <x:c r="F28" s="16" t="str">
        <x:v>Inherited unit capacity</x:v>
      </x:c>
      <x:c r="G28" s="16" t="str">
        <x:v>SOURCE VALUE</x:v>
      </x:c>
    </x:row>
    <x:row r="29" ht="30" customHeight="1">
      <x:c r="C29" s="11" t="str">
        <x:v>Product-water storage</x:v>
      </x:c>
      <x:c r="D29" s="13" t="n">
        <x:v>12</x:v>
      </x:c>
      <x:c r="E29" s="16" t="str">
        <x:v>hours</x:v>
      </x:c>
      <x:c r="F29" s="16" t="str">
        <x:v>Buffer requirement</x:v>
      </x:c>
      <x:c r="G29" s="16" t="str">
        <x:v>DECLARED</x:v>
      </x:c>
    </x:row>
    <x:row r="30" ht="30" customHeight="1">
      <x:c r="C30" s="11" t="str">
        <x:v>Reference minimum velocity</x:v>
      </x:c>
      <x:c r="D30" s="13" t="n">
        <x:v>0.6</x:v>
      </x:c>
      <x:c r="E30" s="16" t="str">
        <x:v>m/s</x:v>
      </x:c>
      <x:c r="F30" s="16" t="str">
        <x:v>Prior design band lower edge</x:v>
      </x:c>
      <x:c r="G30" s="16" t="str">
        <x:v>DECLARED</x:v>
      </x:c>
    </x:row>
    <x:row r="31" ht="30" customHeight="1">
      <x:c r="C31" s="11" t="str">
        <x:v>Reference maximum velocity</x:v>
      </x:c>
      <x:c r="D31" s="13" t="n">
        <x:v>1.5</x:v>
      </x:c>
      <x:c r="E31" s="16" t="str">
        <x:v>m/s</x:v>
      </x:c>
      <x:c r="F31" s="16" t="str">
        <x:v>Prior design band upper edge</x:v>
      </x:c>
      <x:c r="G31" s="16" t="str">
        <x:v>DECLARED</x:v>
      </x:c>
    </x:row>
    <x:row r="32" ht="30" customHeight="1">
      <x:c r="C32" s="11" t="str">
        <x:v>Program low multiplier</x:v>
      </x:c>
      <x:c r="D32" s="15" t="n">
        <x:v>0.75</x:v>
      </x:c>
      <x:c r="E32" s="16" t="str">
        <x:v>x base</x:v>
      </x:c>
      <x:c r="F32" s="16" t="str">
        <x:v>Comparative cost range</x:v>
      </x:c>
      <x:c r="G32" s="16" t="str">
        <x:v>DECLARED</x:v>
      </x:c>
    </x:row>
    <x:row r="33" ht="30" customHeight="1">
      <x:c r="C33" s="11" t="str">
        <x:v>Program high multiplier</x:v>
      </x:c>
      <x:c r="D33" s="15" t="n">
        <x:v>1.35</x:v>
      </x:c>
      <x:c r="E33" s="16" t="str">
        <x:v>x base</x:v>
      </x:c>
      <x:c r="F33" s="16" t="str">
        <x:v>Comparative cost range</x:v>
      </x:c>
      <x:c r="G33" s="16" t="str">
        <x:v>DECLARED</x:v>
      </x:c>
    </x:row>
    <x:row r="34" ht="30" customHeight="1">
      <x:c r="C34" s="11" t="str">
        <x:v>Program reserve</x:v>
      </x:c>
      <x:c r="D34" s="14" t="n">
        <x:v>0.15</x:v>
      </x:c>
      <x:c r="E34" s="16" t="str">
        <x:v>share</x:v>
      </x:c>
      <x:c r="F34" s="16" t="str">
        <x:v>Named WBS reserve</x:v>
      </x:c>
      <x:c r="G34" s="16" t="str">
        <x:v>DECLARED</x:v>
      </x:c>
    </x:row>
  </x:sheetData>
  <x:conditionalFormatting sqref="G6:G34">
    <x:cfRule type="containsText" dxfId="0" priority="1" operator="containsText" text="FAIL"/>
    <x:cfRule type="containsText" dxfId="1" priority="2" operator="containsText" text="DENIED"/>
    <x:cfRule type="containsText" dxfId="2" priority="3" operator="containsText" text="BLOCKED"/>
    <x:cfRule type="containsText" dxfId="3" priority="4" operator="containsText" text="INVALID"/>
    <x:cfRule type="containsText" dxfId="4" priority="5" operator="containsText" text="OPEN"/>
    <x:cfRule type="containsText" dxfId="5" priority="6" operator="containsText" text="UNTESTED"/>
    <x:cfRule type="containsText" dxfId="6" priority="7" operator="containsText" text="DECLARED"/>
    <x:cfRule type="containsText" dxfId="7" priority="8" operator="containsText" text="PASS"/>
    <x:cfRule type="containsText" dxfId="8" priority="9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4ec2cee033184c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8" hidden="0" customWidth="1"/>
    <x:col min="4" max="4" width="21" hidden="0" customWidth="1"/>
    <x:col min="5" max="5" width="20" hidden="0" customWidth="1"/>
    <x:col min="6" max="6" width="58" hidden="0" customWidth="1"/>
    <x:col min="7" max="7" width="25" hidden="0" customWidth="1"/>
  </x:cols>
  <x:sheetData>
    <x:row r="2">
      <x:c r="C2" s="2" t="str">
        <x:v>Hydraulic, material and stored-fluid geometry</x:v>
      </x:c>
      <x:c r="D2" s="1"/>
      <x:c r="E2" s="1"/>
      <x:c r="F2" s="1"/>
      <x:c r="G2" s="1"/>
      <x:c r="H2" s="1"/>
      <x:c r="I2" s="1"/>
      <x:c r="J2" s="1"/>
    </x:row>
    <x:row r="3">
      <x:c r="C3" s="3" t="str">
        <x:v>The model distinguishes installed pipe, transported repair reserve, packed structure and water placed into service after deployment.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Metric</x:v>
      </x:c>
      <x:c r="D5" s="9" t="str">
        <x:v>Result</x:v>
      </x:c>
      <x:c r="E5" s="9" t="str">
        <x:v>Unit</x:v>
      </x:c>
      <x:c r="F5" s="9" t="str">
        <x:v>Formula meaning</x:v>
      </x:c>
      <x:c r="G5" s="9" t="str">
        <x:v>Decision state</x:v>
      </x:c>
    </x:row>
    <x:row r="6" ht="34" customHeight="1">
      <x:c r="C6" s="11" t="str">
        <x:v>Installed length</x:v>
      </x:c>
      <x:c r="D6" s="17" t="n">
        <x:f>'01 Controls'!D6</x:f>
        <x:v>10</x:v>
      </x:c>
      <x:c r="E6" s="11" t="str">
        <x:v>km</x:v>
      </x:c>
      <x:c r="F6" s="16" t="str">
        <x:v>Mission corridor</x:v>
      </x:c>
      <x:c r="G6" s="16" t="str">
        <x:v>DECLARED</x:v>
      </x:c>
    </x:row>
    <x:row r="7" ht="34" customHeight="1">
      <x:c r="C7" s="11" t="str">
        <x:v>Transported repair reserve</x:v>
      </x:c>
      <x:c r="D7" s="17" t="n">
        <x:f>'01 Controls'!D6*'01 Controls'!D7</x:f>
        <x:v>1</x:v>
      </x:c>
      <x:c r="E7" s="11" t="str">
        <x:v>km</x:v>
      </x:c>
      <x:c r="F7" s="16" t="str">
        <x:v>Additional material, not installed capacity</x:v>
      </x:c>
      <x:c r="G7" s="16" t="str">
        <x:v>DECLARED</x:v>
      </x:c>
    </x:row>
    <x:row r="8" ht="34" customHeight="1">
      <x:c r="C8" s="11" t="str">
        <x:v>Total transported length</x:v>
      </x:c>
      <x:c r="D8" s="17" t="n">
        <x:f>D6+D7</x:f>
        <x:v>11</x:v>
      </x:c>
      <x:c r="E8" s="11" t="str">
        <x:v>km</x:v>
      </x:c>
      <x:c r="F8" s="16" t="str">
        <x:v>Installed plus repair reserve</x:v>
      </x:c>
      <x:c r="G8" s="16" t="str">
        <x:v>CALCULATED</x:v>
      </x:c>
    </x:row>
    <x:row r="9" ht="34" customHeight="1">
      <x:c r="C9" s="11" t="str">
        <x:v>Product flow</x:v>
      </x:c>
      <x:c r="D9" s="17" t="n">
        <x:f>'01 Controls'!D8/86400</x:f>
        <x:v>0.11574074074074074</x:v>
      </x:c>
      <x:c r="E9" s="11" t="str">
        <x:v>m³/s</x:v>
      </x:c>
      <x:c r="F9" s="16" t="str">
        <x:v>Daily mission output converted to seconds</x:v>
      </x:c>
      <x:c r="G9" s="16" t="str">
        <x:v>CALCULATED</x:v>
      </x:c>
    </x:row>
    <x:row r="10" ht="34" customHeight="1">
      <x:c r="C10" s="11" t="str">
        <x:v>Flow area</x:v>
      </x:c>
      <x:c r="D10" s="17" t="n">
        <x:f>PI()*'01 Controls'!D16^2/4</x:f>
        <x:v>0.19634954084936207</x:v>
      </x:c>
      <x:c r="E10" s="11" t="str">
        <x:v>m²</x:v>
      </x:c>
      <x:c r="F10" s="16" t="str">
        <x:v>Circular internal section</x:v>
      </x:c>
      <x:c r="G10" s="16" t="str">
        <x:v>CALCULATED</x:v>
      </x:c>
    </x:row>
    <x:row r="11" ht="34" customHeight="1">
      <x:c r="C11" s="11" t="str">
        <x:v>Mean velocity</x:v>
      </x:c>
      <x:c r="D11" s="17" t="n">
        <x:f>D9/D10</x:f>
        <x:v>0.589462752192205</x:v>
      </x:c>
      <x:c r="E11" s="11" t="str">
        <x:v>m/s</x:v>
      </x:c>
      <x:c r="F11" s="16" t="str">
        <x:v>Flow divided by internal area</x:v>
      </x:c>
      <x:c r="G11" s="16" t="str">
        <x:v>CALCULATED</x:v>
      </x:c>
    </x:row>
    <x:row r="12" ht="34" customHeight="1">
      <x:c r="C12" s="11" t="str">
        <x:v>Velocity screen</x:v>
      </x:c>
      <x:c r="D12" s="17" t="str">
        <x:f>IF(D11&lt;'01 Controls'!D30,"BELOW BAND",IF(D11&gt;'01 Controls'!D31,"ABOVE BAND","WITHIN BAND"))</x:f>
        <x:v>BELOW BAND</x:v>
      </x:c>
      <x:c r="E12" s="11" t="str">
        <x:v>state</x:v>
      </x:c>
      <x:c r="F12" s="16" t="str">
        <x:v>Comparison with prior declared band</x:v>
      </x:c>
      <x:c r="G12" s="16" t="str">
        <x:v>OPEN</x:v>
      </x:c>
    </x:row>
    <x:row r="13" ht="34" customHeight="1">
      <x:c r="C13" s="11" t="str">
        <x:v>Outer diameter</x:v>
      </x:c>
      <x:c r="D13" s="17" t="n">
        <x:f>'01 Controls'!D16/(1-2/'01 Controls'!D17)</x:f>
        <x:v>0.5666666666666667</x:v>
      </x:c>
      <x:c r="E13" s="11" t="str">
        <x:v>m</x:v>
      </x:c>
      <x:c r="F13" s="16" t="str">
        <x:v>DR geometry</x:v>
      </x:c>
      <x:c r="G13" s="16" t="str">
        <x:v>CALCULATED</x:v>
      </x:c>
    </x:row>
    <x:row r="14" ht="34" customHeight="1">
      <x:c r="C14" s="11" t="str">
        <x:v>Wall thickness</x:v>
      </x:c>
      <x:c r="D14" s="17" t="n">
        <x:f>D13/'01 Controls'!D17</x:f>
        <x:v>0.03333333333333333</x:v>
      </x:c>
      <x:c r="E14" s="11" t="str">
        <x:v>m</x:v>
      </x:c>
      <x:c r="F14" s="16" t="str">
        <x:v>Outer diameter divided by DR</x:v>
      </x:c>
      <x:c r="G14" s="16" t="str">
        <x:v>CALCULATED</x:v>
      </x:c>
    </x:row>
    <x:row r="15" ht="34" customHeight="1">
      <x:c r="C15" s="11" t="str">
        <x:v>Material section</x:v>
      </x:c>
      <x:c r="D15" s="17" t="n">
        <x:f>PI()*(D13^2-'01 Controls'!D16^2)/4</x:f>
        <x:v>0.05585053606381851</x:v>
      </x:c>
      <x:c r="E15" s="11" t="str">
        <x:v>m²</x:v>
      </x:c>
      <x:c r="F15" s="16" t="str">
        <x:v>Annular wall section</x:v>
      </x:c>
      <x:c r="G15" s="16" t="str">
        <x:v>CALCULATED</x:v>
      </x:c>
    </x:row>
    <x:row r="16" ht="34" customHeight="1">
      <x:c r="C16" s="11" t="str">
        <x:v>Linear material mass</x:v>
      </x:c>
      <x:c r="D16" s="17" t="n">
        <x:f>D15*1000*'01 Controls'!D18</x:f>
        <x:v>53.05800926062758</x:v>
      </x:c>
      <x:c r="E16" s="11" t="str">
        <x:v>t/km</x:v>
      </x:c>
      <x:c r="F16" s="16" t="str">
        <x:v>Section times density</x:v>
      </x:c>
      <x:c r="G16" s="16" t="str">
        <x:v>CALCULATED</x:v>
      </x:c>
    </x:row>
    <x:row r="17" ht="34" customHeight="1">
      <x:c r="C17" s="11" t="str">
        <x:v>Installed pipe mass</x:v>
      </x:c>
      <x:c r="D17" s="17" t="n">
        <x:f>D16*D6</x:f>
        <x:v>530.5800926062758</x:v>
      </x:c>
      <x:c r="E17" s="11" t="str">
        <x:v>t</x:v>
      </x:c>
      <x:c r="F17" s="16" t="str">
        <x:v>Does not include reserve or fittings</x:v>
      </x:c>
      <x:c r="G17" s="16" t="str">
        <x:v>CALCULATED</x:v>
      </x:c>
    </x:row>
    <x:row r="18" ht="34" customHeight="1">
      <x:c r="C18" s="11" t="str">
        <x:v>Repair-reserve pipe mass</x:v>
      </x:c>
      <x:c r="D18" s="17" t="n">
        <x:f>D16*D7</x:f>
        <x:v>53.05800926062758</x:v>
      </x:c>
      <x:c r="E18" s="11" t="str">
        <x:v>t</x:v>
      </x:c>
      <x:c r="F18" s="16" t="str">
        <x:v>Transported configuration reserve</x:v>
      </x:c>
      <x:c r="G18" s="16" t="str">
        <x:v>CALCULATED</x:v>
      </x:c>
    </x:row>
    <x:row r="19" ht="34" customHeight="1">
      <x:c r="C19" s="11" t="str">
        <x:v>Total reference pipe mass</x:v>
      </x:c>
      <x:c r="D19" s="17" t="n">
        <x:f>D17+D18</x:f>
        <x:v>583.6381018669034</x:v>
      </x:c>
      <x:c r="E19" s="11" t="str">
        <x:v>t</x:v>
      </x:c>
      <x:c r="F19" s="16" t="str">
        <x:v>Baseline material before packaging</x:v>
      </x:c>
      <x:c r="G19" s="16" t="str">
        <x:v>CALCULATED</x:v>
      </x:c>
    </x:row>
    <x:row r="20" ht="34" customHeight="1">
      <x:c r="C20" s="11" t="str">
        <x:v>Total pipe material volume</x:v>
      </x:c>
      <x:c r="D20" s="17" t="n">
        <x:f>D19/'01 Controls'!D18</x:f>
        <x:v>614.3558967020036</x:v>
      </x:c>
      <x:c r="E20" s="11" t="str">
        <x:v>m³</x:v>
      </x:c>
      <x:c r="F20" s="16" t="str">
        <x:v>Physical lower bound for packed cube</x:v>
      </x:c>
      <x:c r="G20" s="16" t="str">
        <x:v>CALCULATED</x:v>
      </x:c>
    </x:row>
    <x:row r="21" ht="34" customHeight="1">
      <x:c r="C21" s="11" t="str">
        <x:v>Water in installed trunk</x:v>
      </x:c>
      <x:c r="D21" s="17" t="n">
        <x:f>D10*D6*1000</x:f>
        <x:v>1963.4954084936207</x:v>
      </x:c>
      <x:c r="E21" s="11" t="str">
        <x:v>m³</x:v>
      </x:c>
      <x:c r="F21" s="16" t="str">
        <x:v>Commissioning inventory after placement</x:v>
      </x:c>
      <x:c r="G21" s="16" t="str">
        <x:v>EXCLUDED FROM TRANSPORT</x:v>
      </x:c>
    </x:row>
    <x:row r="22" ht="34" customHeight="1">
      <x:c r="C22" s="11" t="str">
        <x:v>Water mass in installed trunk</x:v>
      </x:c>
      <x:c r="D22" s="17" t="n">
        <x:f>D21*'01 Controls'!D22/1000</x:f>
        <x:v>1963.4954084936207</x:v>
      </x:c>
      <x:c r="E22" s="11" t="str">
        <x:v>t</x:v>
      </x:c>
      <x:c r="F22" s="16" t="str">
        <x:v>Fluid is not dry deployment mass</x:v>
      </x:c>
      <x:c r="G22" s="16" t="str">
        <x:v>EXCLUDED FROM TRANSPORT</x:v>
      </x:c>
    </x:row>
    <x:row r="23" ht="34" customHeight="1">
      <x:c r="C23" s="11" t="str">
        <x:v>Friction head</x:v>
      </x:c>
      <x:c r="D23" s="17" t="n">
        <x:f>'01 Controls'!D19*(D6*1000/'01 Controls'!D16)*(D11^2/(2*'01 Controls'!D23))</x:f>
        <x:v>5.312940920825825</x:v>
      </x:c>
      <x:c r="E23" s="11" t="str">
        <x:v>m</x:v>
      </x:c>
      <x:c r="F23" s="16" t="str">
        <x:v>Darcy-Weisbach reference</x:v>
      </x:c>
      <x:c r="G23" s="16" t="str">
        <x:v>CALCULATED</x:v>
      </x:c>
    </x:row>
    <x:row r="24" ht="34" customHeight="1">
      <x:c r="C24" s="11" t="str">
        <x:v>Total dynamic head</x:v>
      </x:c>
      <x:c r="D24" s="17" t="n">
        <x:f>D23+'01 Controls'!D20</x:f>
        <x:v>25.312940920825824</x:v>
      </x:c>
      <x:c r="E24" s="11" t="str">
        <x:v>m</x:v>
      </x:c>
      <x:c r="F24" s="16" t="str">
        <x:v>Static plus friction; minor loss and surge absent</x:v>
      </x:c>
      <x:c r="G24" s="16" t="str">
        <x:v>OPEN</x:v>
      </x:c>
    </x:row>
    <x:row r="25" ht="34" customHeight="1">
      <x:c r="C25" s="11" t="str">
        <x:v>Hydraulic shaft power</x:v>
      </x:c>
      <x:c r="D25" s="17" t="n">
        <x:f>'01 Controls'!D22*'01 Controls'!D23*D9*D24/'01 Controls'!D21/1000</x:f>
        <x:v>38.3209800051391</x:v>
      </x:c>
      <x:c r="E25" s="11" t="str">
        <x:v>kW</x:v>
      </x:c>
      <x:c r="F25" s="16" t="str">
        <x:v>Idealized continuous power</x:v>
      </x:c>
      <x:c r="G25" s="16" t="str">
        <x:v>CALCULATED</x:v>
      </x:c>
    </x:row>
    <x:row r="26" ht="34" customHeight="1">
      <x:c r="C26" s="11" t="str">
        <x:v>Fresh-source process load</x:v>
      </x:c>
      <x:c r="D26" s="17" t="n">
        <x:f>'01 Controls'!D8*'01 Controls'!D14/24/1000</x:f>
        <x:v>0.20833333333333334</x:v>
      </x:c>
      <x:c r="E26" s="11" t="str">
        <x:v>MW average</x:v>
      </x:c>
      <x:c r="F26" s="16" t="str">
        <x:v>Declared process-energy comparator</x:v>
      </x:c>
      <x:c r="G26" s="16" t="str">
        <x:v>DECLARED</x:v>
      </x:c>
    </x:row>
    <x:row r="27" ht="34" customHeight="1">
      <x:c r="C27" s="11" t="str">
        <x:v>Seawater process load</x:v>
      </x:c>
      <x:c r="D27" s="17" t="n">
        <x:f>'01 Controls'!D8*'01 Controls'!D15/24/1000</x:f>
        <x:v>1.6666666666666667</x:v>
      </x:c>
      <x:c r="E27" s="11" t="str">
        <x:v>MW average</x:v>
      </x:c>
      <x:c r="F27" s="16" t="str">
        <x:v>Declared process-energy comparator</x:v>
      </x:c>
      <x:c r="G27" s="16" t="str">
        <x:v>DECLARED</x:v>
      </x:c>
    </x:row>
    <x:row r="28" ht="34" customHeight="1">
      <x:c r="C28" s="11" t="str">
        <x:v>Seawater feed</x:v>
      </x:c>
      <x:c r="D28" s="17" t="n">
        <x:f>'01 Controls'!D8/'01 Controls'!D13</x:f>
        <x:v>20000</x:v>
      </x:c>
      <x:c r="E28" s="11" t="str">
        <x:v>m³/day</x:v>
      </x:c>
      <x:c r="F28" s="16" t="str">
        <x:v>Product divided by recovery</x:v>
      </x:c>
      <x:c r="G28" s="16" t="str">
        <x:v>CALCULATED</x:v>
      </x:c>
    </x:row>
    <x:row r="29" ht="34" customHeight="1">
      <x:c r="C29" s="11" t="str">
        <x:v>Seawater concentrate</x:v>
      </x:c>
      <x:c r="D29" s="17" t="n">
        <x:f>D28-'01 Controls'!D8</x:f>
        <x:v>10000</x:v>
      </x:c>
      <x:c r="E29" s="11" t="str">
        <x:v>m³/day</x:v>
      </x:c>
      <x:c r="F29" s="16" t="str">
        <x:v>Separate residual path required</x:v>
      </x:c>
      <x:c r="G29" s="16" t="str">
        <x:v>OPEN</x:v>
      </x:c>
    </x:row>
    <x:row r="30" ht="34" customHeight="1">
      <x:c r="C30" s="11" t="str">
        <x:v>Wastewater return</x:v>
      </x:c>
      <x:c r="D30" s="17" t="n">
        <x:f>'01 Controls'!D8*'01 Controls'!D12</x:f>
        <x:v>7500</x:v>
      </x:c>
      <x:c r="E30" s="11" t="str">
        <x:v>m³/day</x:v>
      </x:c>
      <x:c r="F30" s="16" t="str">
        <x:v>Community return-flow planning case</x:v>
      </x:c>
      <x:c r="G30" s="16" t="str">
        <x:v>CALCULATED</x:v>
      </x:c>
    </x:row>
    <x:row r="31" ht="34" customHeight="1">
      <x:c r="C31" s="11" t="str">
        <x:v>Required wastewater trains</x:v>
      </x:c>
      <x:c r="D31" s="17" t="n">
        <x:f>ROUNDUP(D30/'01 Controls'!D28,0)</x:f>
        <x:v>3</x:v>
      </x:c>
      <x:c r="E31" s="11" t="str">
        <x:v>trains</x:v>
      </x:c>
      <x:c r="F31" s="16" t="str">
        <x:v>No fractional-train credit</x:v>
      </x:c>
      <x:c r="G31" s="16" t="str">
        <x:v>CALCULATED</x:v>
      </x:c>
    </x:row>
    <x:row r="32" ht="34" customHeight="1">
      <x:c r="C32" s="11" t="str">
        <x:v>Product-water buffer</x:v>
      </x:c>
      <x:c r="D32" s="17" t="n">
        <x:f>'01 Controls'!D8*'01 Controls'!D29/24</x:f>
        <x:v>5000</x:v>
      </x:c>
      <x:c r="E32" s="11" t="str">
        <x:v>m³</x:v>
      </x:c>
      <x:c r="F32" s="16" t="str">
        <x:v>Twelve-hour storage requirement</x:v>
      </x:c>
      <x:c r="G32" s="16" t="str">
        <x:v>CALCULATED</x:v>
      </x:c>
    </x:row>
    <x:row r="33" ht="34" customHeight="1">
      <x:c r="C33" s="11" t="str">
        <x:v>Prior WRG source pipe cube</x:v>
      </x:c>
      <x:c r="D33" s="17" t="n">
        <x:f>18*D8</x:f>
        <x:v>198</x:v>
      </x:c>
      <x:c r="E33" s="11" t="str">
        <x:v>m³</x:v>
      </x:c>
      <x:c r="F33" s="16" t="str">
        <x:v>Inherited 18 m³/km applied to total transported length</x:v>
      </x:c>
      <x:c r="G33" s="16" t="str">
        <x:v>INVALID</x:v>
      </x:c>
    </x:row>
    <x:row r="34" ht="34" customHeight="1">
      <x:c r="C34" s="11" t="str">
        <x:v>Material-volume contradiction</x:v>
      </x:c>
      <x:c r="D34" s="17" t="str">
        <x:f>IF(D33&lt;D20,"FAIL","PASS")</x:f>
        <x:v>FAIL</x:v>
      </x:c>
      <x:c r="E34" s="11" t="str">
        <x:v>state</x:v>
      </x:c>
      <x:c r="F34" s="16" t="str">
        <x:v>Packed cube cannot be smaller than material</x:v>
      </x:c>
      <x:c r="G34" s="16" t="str">
        <x:v>FAIL</x:v>
      </x:c>
    </x:row>
  </x:sheetData>
  <x:conditionalFormatting sqref="D6:D34">
    <x:cfRule type="containsText" dxfId="9" priority="1" operator="containsText" text="FAIL"/>
    <x:cfRule type="containsText" dxfId="10" priority="2" operator="containsText" text="DENIED"/>
    <x:cfRule type="containsText" dxfId="11" priority="3" operator="containsText" text="BLOCKED"/>
    <x:cfRule type="containsText" dxfId="12" priority="4" operator="containsText" text="INVALID"/>
    <x:cfRule type="containsText" dxfId="13" priority="5" operator="containsText" text="OPEN"/>
    <x:cfRule type="containsText" dxfId="14" priority="6" operator="containsText" text="UNTESTED"/>
    <x:cfRule type="containsText" dxfId="15" priority="7" operator="containsText" text="DECLARED"/>
    <x:cfRule type="containsText" dxfId="16" priority="8" operator="containsText" text="PASS"/>
    <x:cfRule type="containsText" dxfId="17" priority="9" operator="containsText" text="MET"/>
  </x:conditionalFormatting>
  <x:conditionalFormatting sqref="G6:G34">
    <x:cfRule type="containsText" dxfId="18" priority="10" operator="containsText" text="FAIL"/>
    <x:cfRule type="containsText" dxfId="19" priority="11" operator="containsText" text="DENIED"/>
    <x:cfRule type="containsText" dxfId="20" priority="12" operator="containsText" text="BLOCKED"/>
    <x:cfRule type="containsText" dxfId="21" priority="13" operator="containsText" text="INVALID"/>
    <x:cfRule type="containsText" dxfId="22" priority="14" operator="containsText" text="OPEN"/>
    <x:cfRule type="containsText" dxfId="23" priority="15" operator="containsText" text="UNTESTED"/>
    <x:cfRule type="containsText" dxfId="24" priority="16" operator="containsText" text="DECLARED"/>
    <x:cfRule type="containsText" dxfId="25" priority="17" operator="containsText" text="PASS"/>
    <x:cfRule type="containsText" dxfId="26" priority="1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8fd4f597cd454d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4" hidden="0" customWidth="1"/>
    <x:col min="4" max="4" width="37" hidden="0" customWidth="1"/>
    <x:col min="5" max="5" width="27" hidden="0" customWidth="1"/>
    <x:col min="6" max="6" width="12" hidden="0" customWidth="1"/>
    <x:col min="7" max="7" width="16" hidden="0" customWidth="1"/>
    <x:col min="8" max="8" width="17" hidden="0" customWidth="1"/>
    <x:col min="9" max="9" width="17" hidden="0" customWidth="1"/>
    <x:col min="10" max="10" width="18" hidden="0" customWidth="1"/>
    <x:col min="11" max="11" width="15" hidden="0" customWidth="1"/>
    <x:col min="12" max="12" width="20" hidden="0" customWidth="1"/>
    <x:col min="13" max="13" width="18" hidden="0" customWidth="1"/>
    <x:col min="14" max="14" width="18" hidden="0" customWidth="1"/>
    <x:col min="15" max="15" width="58" hidden="0" customWidth="1"/>
  </x:cols>
  <x:sheetData>
    <x:row r="2">
      <x:c r="C2" s="2" t="str">
        <x:v>Complete first-reach service chain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C3" s="3" t="str">
        <x:v>The manifest closes ordinary flow arithmetic but preserves redundancy, residual, receiver, packaging and qualification gaps.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5">
      <x:c r="C5" s="9" t="str">
        <x:v>Complement</x:v>
      </x:c>
      <x:c r="D5" s="9" t="str">
        <x:v>Function</x:v>
      </x:c>
      <x:c r="E5" s="9" t="str">
        <x:v>Configuration unit</x:v>
      </x:c>
      <x:c r="F5" s="9" t="str">
        <x:v>Quantity</x:v>
      </x:c>
      <x:c r="G5" s="9" t="str">
        <x:v>Unit mass t</x:v>
      </x:c>
      <x:c r="H5" s="9" t="str">
        <x:v>Mass t</x:v>
      </x:c>
      <x:c r="I5" s="9" t="str">
        <x:v>Cube m³</x:v>
      </x:c>
      <x:c r="J5" s="9" t="str">
        <x:v>Chargeable t</x:v>
      </x:c>
      <x:c r="K5" s="9" t="str">
        <x:v>Capacity</x:v>
      </x:c>
      <x:c r="L5" s="9" t="str">
        <x:v>Capacity unit</x:v>
      </x:c>
      <x:c r="M5" s="9" t="str">
        <x:v>Arithmetic state</x:v>
      </x:c>
      <x:c r="N5" s="9" t="str">
        <x:v>Evidence state</x:v>
      </x:c>
      <x:c r="O5" s="9" t="str">
        <x:v>Boundary</x:v>
      </x:c>
    </x:row>
    <x:row r="6" ht="52" customHeight="1">
      <x:c r="C6" s="11" t="str">
        <x:v>C00</x:v>
      </x:c>
      <x:c r="D6" s="16" t="str">
        <x:v>Command, survey and civil integration</x:v>
      </x:c>
      <x:c r="E6" s="16" t="str">
        <x:v>module</x:v>
      </x:c>
      <x:c r="F6" s="19" t="n">
        <x:v>8</x:v>
      </x:c>
      <x:c r="G6" s="19" t="n">
        <x:v>12</x:v>
      </x:c>
      <x:c r="H6" s="19" t="n">
        <x:f>F6*G6</x:f>
        <x:v>96</x:v>
      </x:c>
      <x:c r="I6" s="19" t="n">
        <x:v>400</x:v>
      </x:c>
      <x:c r="J6" s="19" t="n">
        <x:f>MAX(H6,I6*'01 Controls'!$D$24)</x:f>
        <x:v>96</x:v>
      </x:c>
      <x:c r="K6" s="19" t="n">
        <x:v>1</x:v>
      </x:c>
      <x:c r="L6" s="19" t="str">
        <x:v>mission cell</x:v>
      </x:c>
      <x:c r="M6" s="16" t="str">
        <x:v>MET</x:v>
      </x:c>
      <x:c r="N6" s="16" t="str">
        <x:v>OPEN</x:v>
      </x:c>
      <x:c r="O6" s="16" t="str">
        <x:v>Newly declared placeholder; absent from Pass 63 source manifest</x:v>
      </x:c>
    </x:row>
    <x:row r="7" ht="52" customHeight="1">
      <x:c r="C7" s="11" t="str">
        <x:v>C01</x:v>
      </x:c>
      <x:c r="D7" s="16" t="str">
        <x:v>Source-water intake</x:v>
      </x:c>
      <x:c r="E7" s="16" t="str">
        <x:v>intake set</x:v>
      </x:c>
      <x:c r="F7" s="19" t="n">
        <x:v>1</x:v>
      </x:c>
      <x:c r="G7" s="19" t="n">
        <x:v>80</x:v>
      </x:c>
      <x:c r="H7" s="19" t="n">
        <x:f>F7*G7</x:f>
        <x:v>80</x:v>
      </x:c>
      <x:c r="I7" s="19" t="n">
        <x:v>350</x:v>
      </x:c>
      <x:c r="J7" s="19" t="n">
        <x:f>MAX(H7,I7*'01 Controls'!$D$24)</x:f>
        <x:v>80</x:v>
      </x:c>
      <x:c r="K7" s="19" t="n">
        <x:v>20000</x:v>
      </x:c>
      <x:c r="L7" s="19" t="str">
        <x:v>m³/day feed</x:v>
      </x:c>
      <x:c r="M7" s="16" t="str">
        <x:v>MET</x:v>
      </x:c>
      <x:c r="N7" s="16" t="str">
        <x:v>OPEN</x:v>
      </x:c>
      <x:c r="O7" s="16" t="str">
        <x:v>Capacity is a declared saline-envelope target</x:v>
      </x:c>
    </x:row>
    <x:row r="8" ht="52" customHeight="1">
      <x:c r="C8" s="11" t="str">
        <x:v>C01</x:v>
      </x:c>
      <x:c r="D8" s="16" t="str">
        <x:v>Independent quality laboratories</x:v>
      </x:c>
      <x:c r="E8" s="16" t="str">
        <x:v>lab</x:v>
      </x:c>
      <x:c r="F8" s="19" t="n">
        <x:v>2</x:v>
      </x:c>
      <x:c r="G8" s="19" t="n">
        <x:v>25</x:v>
      </x:c>
      <x:c r="H8" s="19" t="n">
        <x:f>F8*G8</x:f>
        <x:v>50</x:v>
      </x:c>
      <x:c r="I8" s="19" t="n">
        <x:v>180</x:v>
      </x:c>
      <x:c r="J8" s="19" t="n">
        <x:f>MAX(H8,I8*'01 Controls'!$D$24)</x:f>
        <x:v>50</x:v>
      </x:c>
      <x:c r="K8" s="19" t="n">
        <x:v>2</x:v>
      </x:c>
      <x:c r="L8" s="19" t="str">
        <x:v>independent labs</x:v>
      </x:c>
      <x:c r="M8" s="16" t="str">
        <x:v>MET</x:v>
      </x:c>
      <x:c r="N8" s="16" t="str">
        <x:v>OPEN</x:v>
      </x:c>
      <x:c r="O8" s="16" t="str">
        <x:v>Release authority and analyte envelope unproved</x:v>
      </x:c>
    </x:row>
    <x:row r="9" ht="52" customHeight="1">
      <x:c r="C9" s="11" t="str">
        <x:v>C02</x:v>
      </x:c>
      <x:c r="D9" s="16" t="str">
        <x:v>Treatment</x:v>
      </x:c>
      <x:c r="E9" s="16" t="str">
        <x:v>10,000 m³/day train</x:v>
      </x:c>
      <x:c r="F9" s="19" t="n">
        <x:v>1</x:v>
      </x:c>
      <x:c r="G9" s="19" t="n">
        <x:v>350</x:v>
      </x:c>
      <x:c r="H9" s="19" t="n">
        <x:f>F9*G9</x:f>
        <x:v>350</x:v>
      </x:c>
      <x:c r="I9" s="19" t="n">
        <x:v>1200</x:v>
      </x:c>
      <x:c r="J9" s="19" t="n">
        <x:f>MAX(H9,I9*'01 Controls'!$D$24)</x:f>
        <x:v>350</x:v>
      </x:c>
      <x:c r="K9" s="19" t="n">
        <x:v>10000</x:v>
      </x:c>
      <x:c r="L9" s="19" t="str">
        <x:v>m³/day product</x:v>
      </x:c>
      <x:c r="M9" s="16" t="str">
        <x:v>MET</x:v>
      </x:c>
      <x:c r="N9" s="16" t="str">
        <x:v>FAIL</x:v>
      </x:c>
      <x:c r="O9" s="16" t="str">
        <x:v>Normal output closes; one train provides no process redundancy</x:v>
      </x:c>
    </x:row>
    <x:row r="10" ht="52" customHeight="1">
      <x:c r="C10" s="11" t="str">
        <x:v>C03</x:v>
      </x:c>
      <x:c r="D10" s="16" t="str">
        <x:v>Pipe, including 10% repair reserve</x:v>
      </x:c>
      <x:c r="E10" s="16" t="str">
        <x:v>rival configuration</x:v>
      </x:c>
      <x:c r="F10" s="19" t="n">
        <x:v>1</x:v>
      </x:c>
      <x:c r="G10" s="19" t="n">
        <x:f>'04 Conveyance Rivals'!W6</x:f>
        <x:v>688.6746740909318</x:v>
      </x:c>
      <x:c r="H10" s="19" t="n">
        <x:f>F10*G10</x:f>
        <x:v>688.6746740909318</x:v>
      </x:c>
      <x:c r="I10" s="19" t="n">
        <x:f>'04 Conveyance Rivals'!V6</x:f>
        <x:v>3710.7810155287566</x:v>
      </x:c>
      <x:c r="J10" s="19" t="n">
        <x:f>MAX(H10,I10*'01 Controls'!$D$24)</x:f>
        <x:v>742.1562031057514</x:v>
      </x:c>
      <x:c r="K10" s="19" t="n">
        <x:v>10</x:v>
      </x:c>
      <x:c r="L10" s="19" t="str">
        <x:v>km installed</x:v>
      </x:c>
      <x:c r="M10" s="16" t="str">
        <x:v>MET</x:v>
      </x:c>
      <x:c r="N10" s="16" t="str">
        <x:v>OPEN</x:v>
      </x:c>
      <x:c r="O10" s="16" t="str">
        <x:v>Transport mass and cube depend on conveyance rival</x:v>
      </x:c>
    </x:row>
    <x:row r="11" ht="52" customHeight="1">
      <x:c r="C11" s="11" t="str">
        <x:v>C03</x:v>
      </x:c>
      <x:c r="D11" s="16" t="str">
        <x:v>Fittings, valves, anchors and bypass</x:v>
      </x:c>
      <x:c r="E11" s="16" t="str">
        <x:v>reach set</x:v>
      </x:c>
      <x:c r="F11" s="19" t="n">
        <x:v>1</x:v>
      </x:c>
      <x:c r="G11" s="19" t="n">
        <x:f>'02 Geometry'!D19*8%</x:f>
        <x:v>46.69104814935228</x:v>
      </x:c>
      <x:c r="H11" s="19" t="n">
        <x:f>F11*G11</x:f>
        <x:v>46.69104814935228</x:v>
      </x:c>
      <x:c r="I11" s="19" t="n">
        <x:v>180</x:v>
      </x:c>
      <x:c r="J11" s="19" t="n">
        <x:f>MAX(H11,I11*'01 Controls'!$D$24)</x:f>
        <x:v>46.69104814935228</x:v>
      </x:c>
      <x:c r="K11" s="19" t="n">
        <x:v>1</x:v>
      </x:c>
      <x:c r="L11" s="19" t="str">
        <x:v>reach</x:v>
      </x:c>
      <x:c r="M11" s="16" t="str">
        <x:v>MET</x:v>
      </x:c>
      <x:c r="N11" s="16" t="str">
        <x:v>OPEN</x:v>
      </x:c>
      <x:c r="O11" s="16" t="str">
        <x:v>Mass uses 8% of reference pipe material; bill of material absent</x:v>
      </x:c>
    </x:row>
    <x:row r="12" ht="52" customHeight="1">
      <x:c r="C12" s="11" t="str">
        <x:v>C03</x:v>
      </x:c>
      <x:c r="D12" s="16" t="str">
        <x:v>Booster and pressure control</x:v>
      </x:c>
      <x:c r="E12" s="16" t="str">
        <x:v>station</x:v>
      </x:c>
      <x:c r="F12" s="19" t="n">
        <x:v>1</x:v>
      </x:c>
      <x:c r="G12" s="19" t="n">
        <x:v>85</x:v>
      </x:c>
      <x:c r="H12" s="19" t="n">
        <x:f>F12*G12</x:f>
        <x:v>85</x:v>
      </x:c>
      <x:c r="I12" s="19" t="n">
        <x:v>300</x:v>
      </x:c>
      <x:c r="J12" s="19" t="n">
        <x:f>MAX(H12,I12*'01 Controls'!$D$24)</x:f>
        <x:v>85</x:v>
      </x:c>
      <x:c r="K12" s="19" t="n">
        <x:v>1</x:v>
      </x:c>
      <x:c r="L12" s="19" t="str">
        <x:v>pressure cell</x:v>
      </x:c>
      <x:c r="M12" s="16" t="str">
        <x:v>MET</x:v>
      </x:c>
      <x:c r="N12" s="16" t="str">
        <x:v>OPEN</x:v>
      </x:c>
      <x:c r="O12" s="16" t="str">
        <x:v>Surge, controls and route pressure profile unproved</x:v>
      </x:c>
    </x:row>
    <x:row r="13" ht="52" customHeight="1">
      <x:c r="C13" s="11" t="str">
        <x:v>C03</x:v>
      </x:c>
      <x:c r="D13" s="16" t="str">
        <x:v>Break tank and sanitary hardware</x:v>
      </x:c>
      <x:c r="E13" s="16" t="str">
        <x:v>set</x:v>
      </x:c>
      <x:c r="F13" s="19" t="n">
        <x:v>1</x:v>
      </x:c>
      <x:c r="G13" s="19" t="n">
        <x:v>120</x:v>
      </x:c>
      <x:c r="H13" s="19" t="n">
        <x:f>F13*G13</x:f>
        <x:v>120</x:v>
      </x:c>
      <x:c r="I13" s="19" t="n">
        <x:v>900</x:v>
      </x:c>
      <x:c r="J13" s="19" t="n">
        <x:f>MAX(H13,I13*'01 Controls'!$D$24)</x:f>
        <x:v>180</x:v>
      </x:c>
      <x:c r="K13" s="19" t="n">
        <x:v>1</x:v>
      </x:c>
      <x:c r="L13" s="19" t="str">
        <x:v>pressure cell</x:v>
      </x:c>
      <x:c r="M13" s="16" t="str">
        <x:v>MET</x:v>
      </x:c>
      <x:c r="N13" s="16" t="str">
        <x:v>OPEN</x:v>
      </x:c>
      <x:c r="O13" s="16" t="str">
        <x:v>Low-density package exceeds heavy position by chargeable burden</x:v>
      </x:c>
    </x:row>
    <x:row r="14" ht="52" customHeight="1">
      <x:c r="C14" s="11" t="str">
        <x:v>C04</x:v>
      </x:c>
      <x:c r="D14" s="16" t="str">
        <x:v>Product storage hardware</x:v>
      </x:c>
      <x:c r="E14" s="16" t="str">
        <x:v>set</x:v>
      </x:c>
      <x:c r="F14" s="19" t="n">
        <x:v>2</x:v>
      </x:c>
      <x:c r="G14" s="19" t="n">
        <x:v>90</x:v>
      </x:c>
      <x:c r="H14" s="19" t="n">
        <x:f>F14*G14</x:f>
        <x:v>180</x:v>
      </x:c>
      <x:c r="I14" s="19" t="n">
        <x:v>1000</x:v>
      </x:c>
      <x:c r="J14" s="19" t="n">
        <x:f>MAX(H14,I14*'01 Controls'!$D$24)</x:f>
        <x:v>200</x:v>
      </x:c>
      <x:c r="K14" s="19" t="n">
        <x:v>5000</x:v>
      </x:c>
      <x:c r="L14" s="19" t="str">
        <x:v>m³ buffer</x:v>
      </x:c>
      <x:c r="M14" s="16" t="str">
        <x:v>MET</x:v>
      </x:c>
      <x:c r="N14" s="16" t="str">
        <x:v>OPEN</x:v>
      </x:c>
      <x:c r="O14" s="16" t="str">
        <x:v>Stored water mass excluded; site earthworks not configured</x:v>
      </x:c>
    </x:row>
    <x:row r="15" ht="52" customHeight="1">
      <x:c r="C15" s="11" t="str">
        <x:v>C04</x:v>
      </x:c>
      <x:c r="D15" s="16" t="str">
        <x:v>Accessible public interfaces</x:v>
      </x:c>
      <x:c r="E15" s="16" t="str">
        <x:v>interface</x:v>
      </x:c>
      <x:c r="F15" s="19" t="n">
        <x:v>23</x:v>
      </x:c>
      <x:c r="G15" s="19" t="n">
        <x:v>3</x:v>
      </x:c>
      <x:c r="H15" s="19" t="n">
        <x:f>F15*G15</x:f>
        <x:v>69</x:v>
      </x:c>
      <x:c r="I15" s="19" t="n">
        <x:v>414</x:v>
      </x:c>
      <x:c r="J15" s="19" t="n">
        <x:f>MAX(H15,I15*'01 Controls'!$D$24)</x:f>
        <x:v>82.80000000000001</x:v>
      </x:c>
      <x:c r="K15" s="19" t="n">
        <x:v>23</x:v>
      </x:c>
      <x:c r="L15" s="19" t="str">
        <x:v>sites</x:v>
      </x:c>
      <x:c r="M15" s="16" t="str">
        <x:v>MET</x:v>
      </x:c>
      <x:c r="N15" s="16" t="str">
        <x:v>OPEN</x:v>
      </x:c>
      <x:c r="O15" s="16" t="str">
        <x:v>One-fifth density corrected upward from 22.2 to whole sites</x:v>
      </x:c>
    </x:row>
    <x:row r="16" ht="52" customHeight="1">
      <x:c r="C16" s="11" t="str">
        <x:v>C05</x:v>
      </x:c>
      <x:c r="D16" s="16" t="str">
        <x:v>Wastewater treatment</x:v>
      </x:c>
      <x:c r="E16" s="16" t="str">
        <x:v>2,500 m³/day train</x:v>
      </x:c>
      <x:c r="F16" s="19" t="n">
        <x:v>3</x:v>
      </x:c>
      <x:c r="G16" s="19" t="n">
        <x:v>180</x:v>
      </x:c>
      <x:c r="H16" s="19" t="n">
        <x:f>F16*G16</x:f>
        <x:v>540</x:v>
      </x:c>
      <x:c r="I16" s="19" t="n">
        <x:v>1950</x:v>
      </x:c>
      <x:c r="J16" s="19" t="n">
        <x:f>MAX(H16,I16*'01 Controls'!$D$24)</x:f>
        <x:v>540</x:v>
      </x:c>
      <x:c r="K16" s="19" t="n">
        <x:v>7500</x:v>
      </x:c>
      <x:c r="L16" s="19" t="str">
        <x:v>m³/day</x:v>
      </x:c>
      <x:c r="M16" s="16" t="str">
        <x:v>MET</x:v>
      </x:c>
      <x:c r="N16" s="16" t="str">
        <x:v>OPEN</x:v>
      </x:c>
      <x:c r="O16" s="16" t="str">
        <x:v>Three trains close the 75% return-flow case; residual outlet open</x:v>
      </x:c>
    </x:row>
    <x:row r="17" ht="52" customHeight="1">
      <x:c r="C17" s="11" t="str">
        <x:v>C03</x:v>
      </x:c>
      <x:c r="D17" s="16" t="str">
        <x:v>Route construction machines</x:v>
      </x:c>
      <x:c r="E17" s="16" t="str">
        <x:v>machine</x:v>
      </x:c>
      <x:c r="F17" s="19" t="n">
        <x:v>12</x:v>
      </x:c>
      <x:c r="G17" s="19" t="n">
        <x:v>32</x:v>
      </x:c>
      <x:c r="H17" s="19" t="n">
        <x:f>F17*G17</x:f>
        <x:v>384</x:v>
      </x:c>
      <x:c r="I17" s="19" t="n">
        <x:v>1680</x:v>
      </x:c>
      <x:c r="J17" s="19" t="n">
        <x:f>MAX(H17,I17*'01 Controls'!$D$24)</x:f>
        <x:v>384</x:v>
      </x:c>
      <x:c r="K17" s="19" t="n">
        <x:v>12</x:v>
      </x:c>
      <x:c r="L17" s="19" t="str">
        <x:v>machines</x:v>
      </x:c>
      <x:c r="M17" s="16" t="str">
        <x:v>MET</x:v>
      </x:c>
      <x:c r="N17" s="16" t="str">
        <x:v>OPEN</x:v>
      </x:c>
      <x:c r="O17" s="16" t="str">
        <x:v>Inherited proportional placeholder; task mix unconfigured</x:v>
      </x:c>
    </x:row>
    <x:row r="18" ht="52" customHeight="1">
      <x:c r="C18" s="11" t="str">
        <x:v>C04</x:v>
      </x:c>
      <x:c r="D18" s="16" t="str">
        <x:v>Organic transport vehicles</x:v>
      </x:c>
      <x:c r="E18" s="16" t="str">
        <x:v>vehicle</x:v>
      </x:c>
      <x:c r="F18" s="19" t="n">
        <x:v>44</x:v>
      </x:c>
      <x:c r="G18" s="19" t="n">
        <x:v>18</x:v>
      </x:c>
      <x:c r="H18" s="19" t="n">
        <x:f>F18*G18</x:f>
        <x:v>792</x:v>
      </x:c>
      <x:c r="I18" s="19" t="n">
        <x:v>3740</x:v>
      </x:c>
      <x:c r="J18" s="19" t="n">
        <x:f>MAX(H18,I18*'01 Controls'!$D$24)</x:f>
        <x:v>792</x:v>
      </x:c>
      <x:c r="K18" s="19" t="n">
        <x:v>44</x:v>
      </x:c>
      <x:c r="L18" s="19" t="str">
        <x:v>vehicles</x:v>
      </x:c>
      <x:c r="M18" s="16" t="str">
        <x:v>MET</x:v>
      </x:c>
      <x:c r="N18" s="16" t="str">
        <x:v>OPEN</x:v>
      </x:c>
      <x:c r="O18" s="16" t="str">
        <x:v>Inherited proportional placeholder; fleet mix unconfigured</x:v>
      </x:c>
    </x:row>
    <x:row r="19" ht="52" customHeight="1">
      <x:c r="C19" s="11" t="str">
        <x:v>C03</x:v>
      </x:c>
      <x:c r="D19" s="16" t="str">
        <x:v>Power modules</x:v>
      </x:c>
      <x:c r="E19" s="16" t="str">
        <x:v>5 MW-class module</x:v>
      </x:c>
      <x:c r="F19" s="19" t="n">
        <x:v>2</x:v>
      </x:c>
      <x:c r="G19" s="19" t="n">
        <x:v>70</x:v>
      </x:c>
      <x:c r="H19" s="19" t="n">
        <x:f>F19*G19</x:f>
        <x:v>140</x:v>
      </x:c>
      <x:c r="I19" s="19" t="n">
        <x:v>500</x:v>
      </x:c>
      <x:c r="J19" s="19" t="n">
        <x:f>MAX(H19,I19*'01 Controls'!$D$24)</x:f>
        <x:v>140</x:v>
      </x:c>
      <x:c r="K19" s="19" t="n">
        <x:v>10</x:v>
      </x:c>
      <x:c r="L19" s="19" t="str">
        <x:v>MW installed</x:v>
      </x:c>
      <x:c r="M19" s="16" t="str">
        <x:v>MET</x:v>
      </x:c>
      <x:c r="N19" s="16" t="str">
        <x:v>OPEN</x:v>
      </x:c>
      <x:c r="O19" s="16" t="str">
        <x:v>Technology, protection and black-start interfaces unresolved</x:v>
      </x:c>
    </x:row>
    <x:row r="20" ht="52" customHeight="1">
      <x:c r="C20" s="11" t="str">
        <x:v>C06</x:v>
      </x:c>
      <x:c r="D20" s="16" t="str">
        <x:v>Camp, workshop and warehouse</x:v>
      </x:c>
      <x:c r="E20" s="16" t="str">
        <x:v>support module</x:v>
      </x:c>
      <x:c r="F20" s="19" t="n">
        <x:v>24</x:v>
      </x:c>
      <x:c r="G20" s="19" t="n">
        <x:v>12</x:v>
      </x:c>
      <x:c r="H20" s="19" t="n">
        <x:f>F20*G20</x:f>
        <x:v>288</x:v>
      </x:c>
      <x:c r="I20" s="19" t="n">
        <x:v>1320</x:v>
      </x:c>
      <x:c r="J20" s="19" t="n">
        <x:f>MAX(H20,I20*'01 Controls'!$D$24)</x:f>
        <x:v>288</x:v>
      </x:c>
      <x:c r="K20" s="19" t="n">
        <x:v>24</x:v>
      </x:c>
      <x:c r="L20" s="19" t="str">
        <x:v>modules</x:v>
      </x:c>
      <x:c r="M20" s="16" t="str">
        <x:v>MET</x:v>
      </x:c>
      <x:c r="N20" s="16" t="str">
        <x:v>OPEN</x:v>
      </x:c>
      <x:c r="O20" s="16" t="str">
        <x:v>Inherited proportional placeholder</x:v>
      </x:c>
    </x:row>
    <x:row r="21" ht="52" customHeight="1">
      <x:c r="C21" s="11" t="str">
        <x:v>C06</x:v>
      </x:c>
      <x:c r="D21" s="16" t="str">
        <x:v>Equipment-specific spares</x:v>
      </x:c>
      <x:c r="E21" s="16" t="str">
        <x:v>package</x:v>
      </x:c>
      <x:c r="F21" s="19" t="n">
        <x:v>4</x:v>
      </x:c>
      <x:c r="G21" s="19" t="n">
        <x:v>20</x:v>
      </x:c>
      <x:c r="H21" s="19" t="n">
        <x:f>F21*G21</x:f>
        <x:v>80</x:v>
      </x:c>
      <x:c r="I21" s="19" t="n">
        <x:v>320</x:v>
      </x:c>
      <x:c r="J21" s="19" t="n">
        <x:f>MAX(H21,I21*'01 Controls'!$D$24)</x:f>
        <x:v>80</x:v>
      </x:c>
      <x:c r="K21" s="19" t="n">
        <x:v>4</x:v>
      </x:c>
      <x:c r="L21" s="19" t="str">
        <x:v>packages</x:v>
      </x:c>
      <x:c r="M21" s="16" t="str">
        <x:v>MET</x:v>
      </x:c>
      <x:c r="N21" s="16" t="str">
        <x:v>OPEN</x:v>
      </x:c>
      <x:c r="O21" s="16" t="str">
        <x:v>Applicability and failure allocation absent</x:v>
      </x:c>
    </x:row>
    <x:row r="22" ht="52" customHeight="1">
      <x:c r="C22" s="11" t="str">
        <x:v>C02</x:v>
      </x:c>
      <x:c r="D22" s="16" t="str">
        <x:v>Seven-day treatment consumables</x:v>
      </x:c>
      <x:c r="E22" s="16" t="str">
        <x:v>lot</x:v>
      </x:c>
      <x:c r="F22" s="19" t="n">
        <x:v>1</x:v>
      </x:c>
      <x:c r="G22" s="19" t="n">
        <x:v>4.9</x:v>
      </x:c>
      <x:c r="H22" s="19" t="n">
        <x:f>F22*G22</x:f>
        <x:v>4.9</x:v>
      </x:c>
      <x:c r="I22" s="19" t="n">
        <x:v>20</x:v>
      </x:c>
      <x:c r="J22" s="19" t="n">
        <x:f>MAX(H22,I22*'01 Controls'!$D$24)</x:f>
        <x:v>4.9</x:v>
      </x:c>
      <x:c r="K22" s="19" t="n">
        <x:v>7</x:v>
      </x:c>
      <x:c r="L22" s="19" t="str">
        <x:v>days</x:v>
      </x:c>
      <x:c r="M22" s="16" t="str">
        <x:v>MET</x:v>
      </x:c>
      <x:c r="N22" s="16" t="str">
        <x:v>OPEN</x:v>
      </x:c>
      <x:c r="O22" s="16" t="str">
        <x:v>Derived from source coefficient; chemical identity and hazard absent</x:v>
      </x:c>
    </x:row>
    <x:row r="26">
      <x:c r="C26" s="9" t="str">
        <x:v>Complement</x:v>
      </x:c>
      <x:c r="D26" s="9" t="str">
        <x:v>Required service</x:v>
      </x:c>
      <x:c r="E26" s="9" t="str">
        <x:v>Rows</x:v>
      </x:c>
      <x:c r="F26" s="9" t="str">
        <x:v>Arithmetic gaps</x:v>
      </x:c>
      <x:c r="G26" s="9" t="str">
        <x:v>Evidence gaps</x:v>
      </x:c>
      <x:c r="H26" s="9" t="str">
        <x:v>Admitted rows</x:v>
      </x:c>
      <x:c r="I26" s="9" t="str">
        <x:v>Complement admission</x:v>
      </x:c>
      <x:c r="J26" s="9" t="str">
        <x:v>Failure consequence</x:v>
      </x:c>
    </x:row>
    <x:row r="27" ht="46" customHeight="1">
      <x:c r="C27" s="11" t="str">
        <x:v>C00</x:v>
      </x:c>
      <x:c r="D27" s="16" t="str">
        <x:v>Command, route survey and civil authority</x:v>
      </x:c>
      <x:c r="E27" s="16" t="n">
        <x:f>COUNTIFS($C$6:$C$22,C27)</x:f>
        <x:v>1</x:v>
      </x:c>
      <x:c r="F27" s="16" t="n">
        <x:f>COUNTIFS($C$6:$C$22,C27,$M$6:$M$22,"FAIL")</x:f>
        <x:v>0</x:v>
      </x:c>
      <x:c r="G27" s="16" t="n">
        <x:f>COUNTIFS($C$6:$C$22,C27,$N$6:$N$22,"OPEN")+COUNTIFS($C$6:$C$22,C27,$N$6:$N$22,"FAIL")</x:f>
        <x:v>1</x:v>
      </x:c>
      <x:c r="H27" s="16" t="n">
        <x:f>COUNTIFS($C$6:$C$22,C27,$N$6:$N$22,"PASS")</x:f>
        <x:v>0</x:v>
      </x:c>
      <x:c r="I27" s="16" t="str">
        <x:f>IF(AND(F27=0,G27=0,E27&gt;0),"ADMITTED","DENIED")</x:f>
        <x:v>DENIED</x:v>
      </x:c>
      <x:c r="J27" s="16" t="str">
        <x:v>No public-service credit when this complement is not admitted</x:v>
      </x:c>
    </x:row>
    <x:row r="28" ht="46" customHeight="1">
      <x:c r="C28" s="11" t="str">
        <x:v>C01</x:v>
      </x:c>
      <x:c r="D28" s="16" t="str">
        <x:v>Qualified source and independent quality release</x:v>
      </x:c>
      <x:c r="E28" s="16" t="n">
        <x:f>COUNTIFS($C$6:$C$22,C28)</x:f>
        <x:v>2</x:v>
      </x:c>
      <x:c r="F28" s="16" t="n">
        <x:f>COUNTIFS($C$6:$C$22,C28,$M$6:$M$22,"FAIL")</x:f>
        <x:v>0</x:v>
      </x:c>
      <x:c r="G28" s="16" t="n">
        <x:f>COUNTIFS($C$6:$C$22,C28,$N$6:$N$22,"OPEN")+COUNTIFS($C$6:$C$22,C28,$N$6:$N$22,"FAIL")</x:f>
        <x:v>2</x:v>
      </x:c>
      <x:c r="H28" s="16" t="n">
        <x:f>COUNTIFS($C$6:$C$22,C28,$N$6:$N$22,"PASS")</x:f>
        <x:v>0</x:v>
      </x:c>
      <x:c r="I28" s="16" t="str">
        <x:f>IF(AND(F28=0,G28=0,E28&gt;0),"ADMITTED","DENIED")</x:f>
        <x:v>DENIED</x:v>
      </x:c>
      <x:c r="J28" s="16" t="str">
        <x:v>No public-service credit when this complement is not admitted</x:v>
      </x:c>
    </x:row>
    <x:row r="29" ht="46" customHeight="1">
      <x:c r="C29" s="11" t="str">
        <x:v>C02</x:v>
      </x:c>
      <x:c r="D29" s="16" t="str">
        <x:v>Treatment and consumables</x:v>
      </x:c>
      <x:c r="E29" s="16" t="n">
        <x:f>COUNTIFS($C$6:$C$22,C29)</x:f>
        <x:v>2</x:v>
      </x:c>
      <x:c r="F29" s="16" t="n">
        <x:f>COUNTIFS($C$6:$C$22,C29,$M$6:$M$22,"FAIL")</x:f>
        <x:v>0</x:v>
      </x:c>
      <x:c r="G29" s="16" t="n">
        <x:f>COUNTIFS($C$6:$C$22,C29,$N$6:$N$22,"OPEN")+COUNTIFS($C$6:$C$22,C29,$N$6:$N$22,"FAIL")</x:f>
        <x:v>2</x:v>
      </x:c>
      <x:c r="H29" s="16" t="n">
        <x:f>COUNTIFS($C$6:$C$22,C29,$N$6:$N$22,"PASS")</x:f>
        <x:v>0</x:v>
      </x:c>
      <x:c r="I29" s="16" t="str">
        <x:f>IF(AND(F29=0,G29=0,E29&gt;0),"ADMITTED","DENIED")</x:f>
        <x:v>DENIED</x:v>
      </x:c>
      <x:c r="J29" s="16" t="str">
        <x:v>No public-service credit when this complement is not admitted</x:v>
      </x:c>
    </x:row>
    <x:row r="30" ht="46" customHeight="1">
      <x:c r="C30" s="11" t="str">
        <x:v>C03</x:v>
      </x:c>
      <x:c r="D30" s="16" t="str">
        <x:v>Conveyance, pressure, construction and power</x:v>
      </x:c>
      <x:c r="E30" s="16" t="n">
        <x:f>COUNTIFS($C$6:$C$22,C30)</x:f>
        <x:v>6</x:v>
      </x:c>
      <x:c r="F30" s="16" t="n">
        <x:f>COUNTIFS($C$6:$C$22,C30,$M$6:$M$22,"FAIL")</x:f>
        <x:v>0</x:v>
      </x:c>
      <x:c r="G30" s="16" t="n">
        <x:f>COUNTIFS($C$6:$C$22,C30,$N$6:$N$22,"OPEN")+COUNTIFS($C$6:$C$22,C30,$N$6:$N$22,"FAIL")</x:f>
        <x:v>6</x:v>
      </x:c>
      <x:c r="H30" s="16" t="n">
        <x:f>COUNTIFS($C$6:$C$22,C30,$N$6:$N$22,"PASS")</x:f>
        <x:v>0</x:v>
      </x:c>
      <x:c r="I30" s="16" t="str">
        <x:f>IF(AND(F30=0,G30=0,E30&gt;0),"ADMITTED","DENIED")</x:f>
        <x:v>DENIED</x:v>
      </x:c>
      <x:c r="J30" s="16" t="str">
        <x:v>No public-service credit when this complement is not admitted</x:v>
      </x:c>
    </x:row>
    <x:row r="31" ht="46" customHeight="1">
      <x:c r="C31" s="11" t="str">
        <x:v>C04</x:v>
      </x:c>
      <x:c r="D31" s="16" t="str">
        <x:v>Buffering, accessible distribution and organic mobility</x:v>
      </x:c>
      <x:c r="E31" s="16" t="n">
        <x:f>COUNTIFS($C$6:$C$22,C31)</x:f>
        <x:v>3</x:v>
      </x:c>
      <x:c r="F31" s="16" t="n">
        <x:f>COUNTIFS($C$6:$C$22,C31,$M$6:$M$22,"FAIL")</x:f>
        <x:v>0</x:v>
      </x:c>
      <x:c r="G31" s="16" t="n">
        <x:f>COUNTIFS($C$6:$C$22,C31,$N$6:$N$22,"OPEN")+COUNTIFS($C$6:$C$22,C31,$N$6:$N$22,"FAIL")</x:f>
        <x:v>3</x:v>
      </x:c>
      <x:c r="H31" s="16" t="n">
        <x:f>COUNTIFS($C$6:$C$22,C31,$N$6:$N$22,"PASS")</x:f>
        <x:v>0</x:v>
      </x:c>
      <x:c r="I31" s="16" t="str">
        <x:f>IF(AND(F31=0,G31=0,E31&gt;0),"ADMITTED","DENIED")</x:f>
        <x:v>DENIED</x:v>
      </x:c>
      <x:c r="J31" s="16" t="str">
        <x:v>No public-service credit when this complement is not admitted</x:v>
      </x:c>
    </x:row>
    <x:row r="32" ht="46" customHeight="1">
      <x:c r="C32" s="11" t="str">
        <x:v>C05</x:v>
      </x:c>
      <x:c r="D32" s="16" t="str">
        <x:v>Wastewater and lawful residual control</x:v>
      </x:c>
      <x:c r="E32" s="16" t="n">
        <x:f>COUNTIFS($C$6:$C$22,C32)</x:f>
        <x:v>1</x:v>
      </x:c>
      <x:c r="F32" s="16" t="n">
        <x:f>COUNTIFS($C$6:$C$22,C32,$M$6:$M$22,"FAIL")</x:f>
        <x:v>0</x:v>
      </x:c>
      <x:c r="G32" s="16" t="n">
        <x:f>COUNTIFS($C$6:$C$22,C32,$N$6:$N$22,"OPEN")+COUNTIFS($C$6:$C$22,C32,$N$6:$N$22,"FAIL")</x:f>
        <x:v>1</x:v>
      </x:c>
      <x:c r="H32" s="16" t="n">
        <x:f>COUNTIFS($C$6:$C$22,C32,$N$6:$N$22,"PASS")</x:f>
        <x:v>0</x:v>
      </x:c>
      <x:c r="I32" s="16" t="str">
        <x:f>IF(AND(F32=0,G32=0,E32&gt;0),"ADMITTED","DENIED")</x:f>
        <x:v>DENIED</x:v>
      </x:c>
      <x:c r="J32" s="16" t="str">
        <x:v>No public-service credit when this complement is not admitted</x:v>
      </x:c>
    </x:row>
    <x:row r="33" ht="46" customHeight="1">
      <x:c r="C33" s="11" t="str">
        <x:v>C06</x:v>
      </x:c>
      <x:c r="D33" s="16" t="str">
        <x:v>Sustainment, repair and regeneration</x:v>
      </x:c>
      <x:c r="E33" s="16" t="n">
        <x:f>COUNTIFS($C$6:$C$22,C33)</x:f>
        <x:v>2</x:v>
      </x:c>
      <x:c r="F33" s="16" t="n">
        <x:f>COUNTIFS($C$6:$C$22,C33,$M$6:$M$22,"FAIL")</x:f>
        <x:v>0</x:v>
      </x:c>
      <x:c r="G33" s="16" t="n">
        <x:f>COUNTIFS($C$6:$C$22,C33,$N$6:$N$22,"OPEN")+COUNTIFS($C$6:$C$22,C33,$N$6:$N$22,"FAIL")</x:f>
        <x:v>2</x:v>
      </x:c>
      <x:c r="H33" s="16" t="n">
        <x:f>COUNTIFS($C$6:$C$22,C33,$N$6:$N$22,"PASS")</x:f>
        <x:v>0</x:v>
      </x:c>
      <x:c r="I33" s="16" t="str">
        <x:f>IF(AND(F33=0,G33=0,E33&gt;0),"ADMITTED","DENIED")</x:f>
        <x:v>DENIED</x:v>
      </x:c>
      <x:c r="J33" s="16" t="str">
        <x:v>No public-service credit when this complement is not admitted</x:v>
      </x:c>
    </x:row>
  </x:sheetData>
  <x:conditionalFormatting sqref="M6:N22">
    <x:cfRule type="containsText" dxfId="54" priority="1" operator="containsText" text="FAIL"/>
    <x:cfRule type="containsText" dxfId="55" priority="2" operator="containsText" text="DENIED"/>
    <x:cfRule type="containsText" dxfId="56" priority="3" operator="containsText" text="BLOCKED"/>
    <x:cfRule type="containsText" dxfId="57" priority="4" operator="containsText" text="INVALID"/>
    <x:cfRule type="containsText" dxfId="58" priority="5" operator="containsText" text="OPEN"/>
    <x:cfRule type="containsText" dxfId="59" priority="6" operator="containsText" text="UNTESTED"/>
    <x:cfRule type="containsText" dxfId="60" priority="7" operator="containsText" text="DECLARED"/>
    <x:cfRule type="containsText" dxfId="61" priority="8" operator="containsText" text="PASS"/>
    <x:cfRule type="containsText" dxfId="62" priority="9" operator="containsText" text="MET"/>
  </x:conditionalFormatting>
  <x:conditionalFormatting sqref="I27:I33">
    <x:cfRule type="containsText" dxfId="63" priority="10" operator="containsText" text="FAIL"/>
    <x:cfRule type="containsText" dxfId="64" priority="11" operator="containsText" text="DENIED"/>
    <x:cfRule type="containsText" dxfId="65" priority="12" operator="containsText" text="BLOCKED"/>
    <x:cfRule type="containsText" dxfId="66" priority="13" operator="containsText" text="INVALID"/>
    <x:cfRule type="containsText" dxfId="67" priority="14" operator="containsText" text="OPEN"/>
    <x:cfRule type="containsText" dxfId="68" priority="15" operator="containsText" text="UNTESTED"/>
    <x:cfRule type="containsText" dxfId="69" priority="16" operator="containsText" text="DECLARED"/>
    <x:cfRule type="containsText" dxfId="70" priority="17" operator="containsText" text="PASS"/>
    <x:cfRule type="containsText" dxfId="71" priority="1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2cd0cfe142954e9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13" hidden="0" customWidth="1"/>
    <x:col min="4" max="4" width="42" hidden="0" customWidth="1"/>
    <x:col min="5" max="5" width="18" hidden="0" customWidth="1"/>
    <x:col min="6" max="6" width="14" hidden="0" customWidth="1"/>
    <x:col min="7" max="7" width="20" hidden="0" customWidth="1"/>
    <x:col min="8" max="8" width="19" hidden="0" customWidth="1"/>
    <x:col min="9" max="9" width="22" hidden="0" customWidth="1"/>
    <x:col min="10" max="10" width="21" hidden="0" customWidth="1"/>
    <x:col min="11" max="11" width="22" hidden="0" customWidth="1"/>
    <x:col min="12" max="12" width="19" hidden="0" customWidth="1"/>
    <x:col min="13" max="13" width="14" hidden="0" customWidth="1"/>
    <x:col min="14" max="14" width="23" hidden="0" customWidth="1"/>
    <x:col min="15" max="15" width="2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0" hidden="0" customWidth="1"/>
    <x:col min="21" max="21" width="21" hidden="0" customWidth="1"/>
    <x:col min="22" max="22" width="21" hidden="0" customWidth="1"/>
    <x:col min="23" max="23" width="19" hidden="0" customWidth="1"/>
    <x:col min="24" max="24" width="17" hidden="0" customWidth="1"/>
    <x:col min="25" max="25" width="14" hidden="0" customWidth="1"/>
    <x:col min="26" max="26" width="14" hidden="0" customWidth="1"/>
    <x:col min="27" max="27" width="20" hidden="0" customWidth="1"/>
    <x:col min="28" max="28" width="18" hidden="0" customWidth="1"/>
    <x:col min="29" max="29" width="24" hidden="0" customWidth="1"/>
    <x:col min="30" max="30" width="21" hidden="0" customWidth="1"/>
    <x:col min="31" max="31" width="18" hidden="0" customWidth="1"/>
    <x:col min="32" max="32" width="17" hidden="0" customWidth="1"/>
    <x:col min="33" max="33" width="18" hidden="0" customWidth="1"/>
    <x:col min="34" max="34" width="17" hidden="0" customWidth="1"/>
  </x:cols>
  <x:sheetData>
    <x:row r="2">
      <x:c r="C2" s="2" t="str">
        <x:v>Conveyance technology competition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C3" s="3" t="str">
        <x:v>Four rival architectures carry the same installed reach and repair reserve. Novel coefficients are explicit targets and none is selected.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</x:row>
    <x:row r="5">
      <x:c r="C5" s="9" t="str">
        <x:v>Rival</x:v>
      </x:c>
      <x:c r="D5" s="9" t="str">
        <x:v>Architecture</x:v>
      </x:c>
      <x:c r="E5" s="9" t="str">
        <x:v>Segment length m</x:v>
      </x:c>
      <x:c r="F5" s="9" t="str">
        <x:v>Mass factor</x:v>
      </x:c>
      <x:c r="G5" s="9" t="str">
        <x:v>Material density t/m³</x:v>
      </x:c>
      <x:c r="H5" s="9" t="str">
        <x:v>Packing efficiency</x:v>
      </x:c>
      <x:c r="I5" s="9" t="str">
        <x:v>Packaging mass share</x:v>
      </x:c>
      <x:c r="J5" s="9" t="str">
        <x:v>Fixed process mass t</x:v>
      </x:c>
      <x:c r="K5" s="9" t="str">
        <x:v>Fixed process cube m³</x:v>
      </x:c>
      <x:c r="L5" s="9" t="str">
        <x:v>Max unit mass t</x:v>
      </x:c>
      <x:c r="M5" s="9" t="str">
        <x:v>Workfronts</x:v>
      </x:c>
      <x:c r="N5" s="9" t="str">
        <x:v>Lay rate km/front-day</x:v>
      </x:c>
      <x:c r="O5" s="9" t="str">
        <x:v>Commissioning days</x:v>
      </x:c>
      <x:c r="P5" s="9" t="str">
        <x:v>Pressure gate</x:v>
      </x:c>
      <x:c r="Q5" s="9" t="str">
        <x:v>Potable gate</x:v>
      </x:c>
      <x:c r="R5" s="9" t="str">
        <x:v>Repair gate</x:v>
      </x:c>
      <x:c r="S5" s="9" t="str">
        <x:v>Reuse gate</x:v>
      </x:c>
      <x:c r="T5" s="9" t="str">
        <x:v>Material mass t</x:v>
      </x:c>
      <x:c r="U5" s="9" t="str">
        <x:v>Material volume m³</x:v>
      </x:c>
      <x:c r="V5" s="9" t="str">
        <x:v>Packed cube m³</x:v>
      </x:c>
      <x:c r="W5" s="9" t="str">
        <x:v>Transport mass t</x:v>
      </x:c>
      <x:c r="X5" s="9" t="str">
        <x:v>Chargeable t</x:v>
      </x:c>
      <x:c r="Y5" s="9" t="str">
        <x:v>Segments</x:v>
      </x:c>
      <x:c r="Z5" s="9" t="str">
        <x:v>Field joints</x:v>
      </x:c>
      <x:c r="AA5" s="9" t="str">
        <x:v>Standard positions</x:v>
      </x:c>
      <x:c r="AB5" s="9" t="str">
        <x:v>Heavy positions</x:v>
      </x:c>
      <x:c r="AC5" s="9" t="str">
        <x:v>Standard indivisible fit</x:v>
      </x:c>
      <x:c r="AD5" s="9" t="str">
        <x:v>Heavy indivisible fit</x:v>
      </x:c>
      <x:c r="AE5" s="9" t="str">
        <x:v>Service time h</x:v>
      </x:c>
      <x:c r="AF5" s="9" t="str">
        <x:v>120 h screen</x:v>
      </x:c>
      <x:c r="AG5" s="9" t="str">
        <x:v>Evidence state</x:v>
      </x:c>
      <x:c r="AH5" s="9" t="str">
        <x:v>Rendering</x:v>
      </x:c>
    </x:row>
    <x:row r="6" ht="52" customHeight="1">
      <x:c r="C6" s="11" t="str">
        <x:v>S-12</x:v>
      </x:c>
      <x:c r="D6" s="11" t="str">
        <x:v>Twelve-meter sectional thermoplastic</x:v>
      </x:c>
      <x:c r="E6" s="13" t="n">
        <x:v>12</x:v>
      </x:c>
      <x:c r="F6" s="15" t="n">
        <x:v>1</x:v>
      </x:c>
      <x:c r="G6" s="15" t="n">
        <x:v>0.95</x:v>
      </x:c>
      <x:c r="H6" s="14" t="n">
        <x:v>0.174</x:v>
      </x:c>
      <x:c r="I6" s="14" t="n">
        <x:v>0.12</x:v>
      </x:c>
      <x:c r="J6" s="13" t="n">
        <x:v>35</x:v>
      </x:c>
      <x:c r="K6" s="13" t="n">
        <x:v>180</x:v>
      </x:c>
      <x:c r="L6" s="13" t="n">
        <x:v>24</x:v>
      </x:c>
      <x:c r="M6" s="13" t="n">
        <x:v>5</x:v>
      </x:c>
      <x:c r="N6" s="13" t="n">
        <x:v>0.6</x:v>
      </x:c>
      <x:c r="O6" s="13" t="n">
        <x:v>3</x:v>
      </x:c>
      <x:c r="P6" s="16" t="str">
        <x:v>OPEN</x:v>
      </x:c>
      <x:c r="Q6" s="16" t="str">
        <x:v>OPEN</x:v>
      </x:c>
      <x:c r="R6" s="16" t="str">
        <x:v>OPEN</x:v>
      </x:c>
      <x:c r="S6" s="16" t="str">
        <x:v>OPEN</x:v>
      </x:c>
      <x:c r="T6" s="18" t="n">
        <x:f>'02 Geometry'!$D$19*F6</x:f>
        <x:v>583.6381018669034</x:v>
      </x:c>
      <x:c r="U6" s="18" t="n">
        <x:f>IF(AND(ISNUMBER(T6),ISNUMBER(G6),G6&gt;0),T6/G6,"n.a.")</x:f>
        <x:v>614.3558967020036</x:v>
      </x:c>
      <x:c r="V6" s="18" t="n">
        <x:f>IF(AND(ISNUMBER(U6),ISNUMBER(H6),H6&gt;0,ISNUMBER(K6)),U6/H6+K6,"n.a.")</x:f>
        <x:v>3710.7810155287566</x:v>
      </x:c>
      <x:c r="W6" s="18" t="n">
        <x:f>IF(AND(ISNUMBER(T6),ISNUMBER(I6),ISNUMBER(J6)),T6*(1+I6)+J6,"n.a.")</x:f>
        <x:v>688.6746740909318</x:v>
      </x:c>
      <x:c r="X6" s="18" t="n">
        <x:f>IF(AND(ISNUMBER(W6),ISNUMBER(V6)),MAX(W6,V6*'01 Controls'!$D$24),"n.a.")</x:f>
        <x:v>742.1562031057514</x:v>
      </x:c>
      <x:c r="Y6" s="11" t="n">
        <x:f>IF(AND(ISNUMBER(E6),E6&gt;0),ROUNDUP('02 Geometry'!$D$8*1000/E6,0),"n.a.")</x:f>
        <x:v>917</x:v>
      </x:c>
      <x:c r="Z6" s="11" t="n">
        <x:f>IF(ISNUMBER(Y6),MAX(Y6-1,0),"n.a.")</x:f>
        <x:v>916</x:v>
      </x:c>
      <x:c r="AA6" s="11" t="n">
        <x:f>IF(AND(ISNUMBER(X6),'01 Controls'!$D$25&gt;0),ROUNDUP(X6/'01 Controls'!$D$25,0),"n.a.")</x:f>
        <x:v>19</x:v>
      </x:c>
      <x:c r="AB6" s="11" t="n">
        <x:f>IF(AND(ISNUMBER(X6),'01 Controls'!$D$26&gt;0),ROUNDUP(X6/'01 Controls'!$D$26,0),"n.a.")</x:f>
        <x:v>7</x:v>
      </x:c>
      <x:c r="AC6" s="11" t="str">
        <x:f>IF(ISNUMBER(L6),IF(L6&lt;='01 Controls'!$D$25,"PASS","FAIL"),"n.a.")</x:f>
        <x:v>PASS</x:v>
      </x:c>
      <x:c r="AD6" s="11" t="str">
        <x:f>IF(ISNUMBER(L6),IF(L6&lt;='01 Controls'!$D$26,"PASS","FAIL"),"n.a.")</x:f>
        <x:v>PASS</x:v>
      </x:c>
      <x:c r="AE6" s="18" t="n">
        <x:f>IF(AND(ISNUMBER(M6),M6&gt;0,ISNUMBER(N6),N6&gt;0,ISNUMBER(O6)),('01 Controls'!$D$6/(M6*N6)+O6)*24,"n.a.")</x:f>
        <x:v>152</x:v>
      </x:c>
      <x:c r="AF6" s="11" t="str">
        <x:f>IF(ISNUMBER(AE6),IF(AE6&lt;='01 Controls'!$D$27,"PASS","FAIL"),"n.a.")</x:f>
        <x:v>FAIL</x:v>
      </x:c>
      <x:c r="AG6" s="11" t="str">
        <x:v>UNTESTED</x:v>
      </x:c>
      <x:c r="AH6" s="11" t="str">
        <x:v>BLOCKED</x:v>
      </x:c>
    </x:row>
    <x:row r="7" ht="52" customHeight="1">
      <x:c r="C7" s="11" t="str">
        <x:v>R-250</x:v>
      </x:c>
      <x:c r="D7" s="11" t="str">
        <x:v>Reusable 250-meter reel or cassette</x:v>
      </x:c>
      <x:c r="E7" s="13" t="n">
        <x:v>250</x:v>
      </x:c>
      <x:c r="F7" s="15" t="n">
        <x:v>1</x:v>
      </x:c>
      <x:c r="G7" s="15" t="n">
        <x:v>0.95</x:v>
      </x:c>
      <x:c r="H7" s="14" t="n">
        <x:v>0.12</x:v>
      </x:c>
      <x:c r="I7" s="14" t="n">
        <x:v>0.18</x:v>
      </x:c>
      <x:c r="J7" s="13" t="n">
        <x:v>80</x:v>
      </x:c>
      <x:c r="K7" s="13" t="n">
        <x:v>420</x:v>
      </x:c>
      <x:c r="L7" s="13" t="n">
        <x:v>36</x:v>
      </x:c>
      <x:c r="M7" s="13" t="n">
        <x:v>4</x:v>
      </x:c>
      <x:c r="N7" s="13" t="n">
        <x:v>1.5</x:v>
      </x:c>
      <x:c r="O7" s="13" t="n">
        <x:v>2.5</x:v>
      </x:c>
      <x:c r="P7" s="16" t="str">
        <x:v>OPEN</x:v>
      </x:c>
      <x:c r="Q7" s="16" t="str">
        <x:v>OPEN</x:v>
      </x:c>
      <x:c r="R7" s="16" t="str">
        <x:v>OPEN</x:v>
      </x:c>
      <x:c r="S7" s="16" t="str">
        <x:v>OPEN</x:v>
      </x:c>
      <x:c r="T7" s="18" t="n">
        <x:f>'02 Geometry'!$D$19*F7</x:f>
        <x:v>583.6381018669034</x:v>
      </x:c>
      <x:c r="U7" s="18" t="n">
        <x:f>IF(AND(ISNUMBER(T7),ISNUMBER(G7),G7&gt;0),T7/G7,"n.a.")</x:f>
        <x:v>614.3558967020036</x:v>
      </x:c>
      <x:c r="V7" s="18" t="n">
        <x:f>IF(AND(ISNUMBER(U7),ISNUMBER(H7),H7&gt;0,ISNUMBER(K7)),U7/H7+K7,"n.a.")</x:f>
        <x:v>5539.632472516697</x:v>
      </x:c>
      <x:c r="W7" s="18" t="n">
        <x:f>IF(AND(ISNUMBER(T7),ISNUMBER(I7),ISNUMBER(J7)),T7*(1+I7)+J7,"n.a.")</x:f>
        <x:v>768.692960202946</x:v>
      </x:c>
      <x:c r="X7" s="18" t="n">
        <x:f>IF(AND(ISNUMBER(W7),ISNUMBER(V7)),MAX(W7,V7*'01 Controls'!$D$24),"n.a.")</x:f>
        <x:v>1107.9264945033394</x:v>
      </x:c>
      <x:c r="Y7" s="11" t="n">
        <x:f>IF(AND(ISNUMBER(E7),E7&gt;0),ROUNDUP('02 Geometry'!$D$8*1000/E7,0),"n.a.")</x:f>
        <x:v>44</x:v>
      </x:c>
      <x:c r="Z7" s="11" t="n">
        <x:f>IF(ISNUMBER(Y7),MAX(Y7-1,0),"n.a.")</x:f>
        <x:v>43</x:v>
      </x:c>
      <x:c r="AA7" s="11" t="n">
        <x:f>IF(AND(ISNUMBER(X7),'01 Controls'!$D$25&gt;0),ROUNDUP(X7/'01 Controls'!$D$25,0),"n.a.")</x:f>
        <x:v>28</x:v>
      </x:c>
      <x:c r="AB7" s="11" t="n">
        <x:f>IF(AND(ISNUMBER(X7),'01 Controls'!$D$26&gt;0),ROUNDUP(X7/'01 Controls'!$D$26,0),"n.a.")</x:f>
        <x:v>10</x:v>
      </x:c>
      <x:c r="AC7" s="11" t="str">
        <x:f>IF(ISNUMBER(L7),IF(L7&lt;='01 Controls'!$D$25,"PASS","FAIL"),"n.a.")</x:f>
        <x:v>PASS</x:v>
      </x:c>
      <x:c r="AD7" s="11" t="str">
        <x:f>IF(ISNUMBER(L7),IF(L7&lt;='01 Controls'!$D$26,"PASS","FAIL"),"n.a.")</x:f>
        <x:v>PASS</x:v>
      </x:c>
      <x:c r="AE7" s="18" t="n">
        <x:f>IF(AND(ISNUMBER(M7),M7&gt;0,ISNUMBER(N7),N7&gt;0,ISNUMBER(O7)),('01 Controls'!$D$6/(M7*N7)+O7)*24,"n.a.")</x:f>
        <x:v>100</x:v>
      </x:c>
      <x:c r="AF7" s="11" t="str">
        <x:f>IF(ISNUMBER(AE7),IF(AE7&lt;='01 Controls'!$D$27,"PASS","FAIL"),"n.a.")</x:f>
        <x:v>PASS</x:v>
      </x:c>
      <x:c r="AG7" s="11" t="str">
        <x:v>UNTESTED</x:v>
      </x:c>
      <x:c r="AH7" s="11" t="str">
        <x:v>BLOCKED</x:v>
      </x:c>
    </x:row>
    <x:row r="8" ht="52" customHeight="1">
      <x:c r="C8" s="11" t="str">
        <x:v>X-500</x:v>
      </x:c>
      <x:c r="D8" s="11" t="str">
        <x:v>Mobile continuous field extrusion</x:v>
      </x:c>
      <x:c r="E8" s="13" t="n">
        <x:v>500</x:v>
      </x:c>
      <x:c r="F8" s="15" t="n">
        <x:v>1</x:v>
      </x:c>
      <x:c r="G8" s="15" t="n">
        <x:v>0.95</x:v>
      </x:c>
      <x:c r="H8" s="14" t="n">
        <x:v>0.75</x:v>
      </x:c>
      <x:c r="I8" s="14" t="n">
        <x:v>0.1</x:v>
      </x:c>
      <x:c r="J8" s="13" t="n">
        <x:v>280</x:v>
      </x:c>
      <x:c r="K8" s="13" t="n">
        <x:v>1200</x:v>
      </x:c>
      <x:c r="L8" s="13" t="n">
        <x:v>95</x:v>
      </x:c>
      <x:c r="M8" s="13" t="n">
        <x:v>4</x:v>
      </x:c>
      <x:c r="N8" s="13" t="n">
        <x:v>0.9</x:v>
      </x:c>
      <x:c r="O8" s="13" t="n">
        <x:v>2.5</x:v>
      </x:c>
      <x:c r="P8" s="16" t="str">
        <x:v>OPEN</x:v>
      </x:c>
      <x:c r="Q8" s="16" t="str">
        <x:v>OPEN</x:v>
      </x:c>
      <x:c r="R8" s="16" t="str">
        <x:v>OPEN</x:v>
      </x:c>
      <x:c r="S8" s="16" t="str">
        <x:v>OPEN</x:v>
      </x:c>
      <x:c r="T8" s="18" t="n">
        <x:f>'02 Geometry'!$D$19*F8</x:f>
        <x:v>583.6381018669034</x:v>
      </x:c>
      <x:c r="U8" s="18" t="n">
        <x:f>IF(AND(ISNUMBER(T8),ISNUMBER(G8),G8&gt;0),T8/G8,"n.a.")</x:f>
        <x:v>614.3558967020036</x:v>
      </x:c>
      <x:c r="V8" s="18" t="n">
        <x:f>IF(AND(ISNUMBER(U8),ISNUMBER(H8),H8&gt;0,ISNUMBER(K8)),U8/H8+K8,"n.a.")</x:f>
        <x:v>2019.1411956026714</x:v>
      </x:c>
      <x:c r="W8" s="18" t="n">
        <x:f>IF(AND(ISNUMBER(T8),ISNUMBER(I8),ISNUMBER(J8)),T8*(1+I8)+J8,"n.a.")</x:f>
        <x:v>922.0019120535939</x:v>
      </x:c>
      <x:c r="X8" s="18" t="n">
        <x:f>IF(AND(ISNUMBER(W8),ISNUMBER(V8)),MAX(W8,V8*'01 Controls'!$D$24),"n.a.")</x:f>
        <x:v>922.0019120535939</x:v>
      </x:c>
      <x:c r="Y8" s="11" t="n">
        <x:f>IF(AND(ISNUMBER(E8),E8&gt;0),ROUNDUP('02 Geometry'!$D$8*1000/E8,0),"n.a.")</x:f>
        <x:v>22</x:v>
      </x:c>
      <x:c r="Z8" s="11" t="n">
        <x:f>IF(ISNUMBER(Y8),MAX(Y8-1,0),"n.a.")</x:f>
        <x:v>21</x:v>
      </x:c>
      <x:c r="AA8" s="11" t="n">
        <x:f>IF(AND(ISNUMBER(X8),'01 Controls'!$D$25&gt;0),ROUNDUP(X8/'01 Controls'!$D$25,0),"n.a.")</x:f>
        <x:v>24</x:v>
      </x:c>
      <x:c r="AB8" s="11" t="n">
        <x:f>IF(AND(ISNUMBER(X8),'01 Controls'!$D$26&gt;0),ROUNDUP(X8/'01 Controls'!$D$26,0),"n.a.")</x:f>
        <x:v>8</x:v>
      </x:c>
      <x:c r="AC8" s="11" t="str">
        <x:f>IF(ISNUMBER(L8),IF(L8&lt;='01 Controls'!$D$25,"PASS","FAIL"),"n.a.")</x:f>
        <x:v>FAIL</x:v>
      </x:c>
      <x:c r="AD8" s="11" t="str">
        <x:f>IF(ISNUMBER(L8),IF(L8&lt;='01 Controls'!$D$26,"PASS","FAIL"),"n.a.")</x:f>
        <x:v>PASS</x:v>
      </x:c>
      <x:c r="AE8" s="18" t="n">
        <x:f>IF(AND(ISNUMBER(M8),M8&gt;0,ISNUMBER(N8),N8&gt;0,ISNUMBER(O8)),('01 Controls'!$D$6/(M8*N8)+O8)*24,"n.a.")</x:f>
        <x:v>126.66666666666666</x:v>
      </x:c>
      <x:c r="AF8" s="11" t="str">
        <x:f>IF(ISNUMBER(AE8),IF(AE8&lt;='01 Controls'!$D$27,"PASS","FAIL"),"n.a.")</x:f>
        <x:v>FAIL</x:v>
      </x:c>
      <x:c r="AG8" s="11" t="str">
        <x:v>UNTESTED</x:v>
      </x:c>
      <x:c r="AH8" s="11" t="str">
        <x:v>BLOCKED</x:v>
      </x:c>
    </x:row>
    <x:row r="9" ht="52" customHeight="1">
      <x:c r="C9" s="11" t="str">
        <x:v>F-500</x:v>
      </x:c>
      <x:c r="D9" s="11" t="str">
        <x:v>Fold-flat structural composite conduit</x:v>
      </x:c>
      <x:c r="E9" s="13" t="n">
        <x:v>500</x:v>
      </x:c>
      <x:c r="F9" s="15" t="n">
        <x:v>0.65</x:v>
      </x:c>
      <x:c r="G9" s="15" t="n">
        <x:v>1.1</x:v>
      </x:c>
      <x:c r="H9" s="14" t="n">
        <x:v>0.45</x:v>
      </x:c>
      <x:c r="I9" s="14" t="n">
        <x:v>0.15</x:v>
      </x:c>
      <x:c r="J9" s="13" t="n">
        <x:v>120</x:v>
      </x:c>
      <x:c r="K9" s="13" t="n">
        <x:v>600</x:v>
      </x:c>
      <x:c r="L9" s="13" t="n">
        <x:v>70</x:v>
      </x:c>
      <x:c r="M9" s="13" t="n">
        <x:v>4</x:v>
      </x:c>
      <x:c r="N9" s="13" t="n">
        <x:v>2</x:v>
      </x:c>
      <x:c r="O9" s="13" t="n">
        <x:v>2</x:v>
      </x:c>
      <x:c r="P9" s="16" t="str">
        <x:v>OPEN</x:v>
      </x:c>
      <x:c r="Q9" s="16" t="str">
        <x:v>OPEN</x:v>
      </x:c>
      <x:c r="R9" s="16" t="str">
        <x:v>OPEN</x:v>
      </x:c>
      <x:c r="S9" s="16" t="str">
        <x:v>OPEN</x:v>
      </x:c>
      <x:c r="T9" s="18" t="n">
        <x:f>'02 Geometry'!$D$19*F9</x:f>
        <x:v>379.36476621348726</x:v>
      </x:c>
      <x:c r="U9" s="18" t="n">
        <x:f>IF(AND(ISNUMBER(T9),ISNUMBER(G9),G9&gt;0),T9/G9,"n.a.")</x:f>
        <x:v>344.8770601940793</x:v>
      </x:c>
      <x:c r="V9" s="18" t="n">
        <x:f>IF(AND(ISNUMBER(U9),ISNUMBER(H9),H9&gt;0,ISNUMBER(K9)),U9/H9+K9,"n.a.")</x:f>
        <x:v>1366.393467097954</x:v>
      </x:c>
      <x:c r="W9" s="18" t="n">
        <x:f>IF(AND(ISNUMBER(T9),ISNUMBER(I9),ISNUMBER(J9)),T9*(1+I9)+J9,"n.a.")</x:f>
        <x:v>556.2694811455103</x:v>
      </x:c>
      <x:c r="X9" s="18" t="n">
        <x:f>IF(AND(ISNUMBER(W9),ISNUMBER(V9)),MAX(W9,V9*'01 Controls'!$D$24),"n.a.")</x:f>
        <x:v>556.2694811455103</x:v>
      </x:c>
      <x:c r="Y9" s="11" t="n">
        <x:f>IF(AND(ISNUMBER(E9),E9&gt;0),ROUNDUP('02 Geometry'!$D$8*1000/E9,0),"n.a.")</x:f>
        <x:v>22</x:v>
      </x:c>
      <x:c r="Z9" s="11" t="n">
        <x:f>IF(ISNUMBER(Y9),MAX(Y9-1,0),"n.a.")</x:f>
        <x:v>21</x:v>
      </x:c>
      <x:c r="AA9" s="11" t="n">
        <x:f>IF(AND(ISNUMBER(X9),'01 Controls'!$D$25&gt;0),ROUNDUP(X9/'01 Controls'!$D$25,0),"n.a.")</x:f>
        <x:v>14</x:v>
      </x:c>
      <x:c r="AB9" s="11" t="n">
        <x:f>IF(AND(ISNUMBER(X9),'01 Controls'!$D$26&gt;0),ROUNDUP(X9/'01 Controls'!$D$26,0),"n.a.")</x:f>
        <x:v>5</x:v>
      </x:c>
      <x:c r="AC9" s="11" t="str">
        <x:f>IF(ISNUMBER(L9),IF(L9&lt;='01 Controls'!$D$25,"PASS","FAIL"),"n.a.")</x:f>
        <x:v>FAIL</x:v>
      </x:c>
      <x:c r="AD9" s="11" t="str">
        <x:f>IF(ISNUMBER(L9),IF(L9&lt;='01 Controls'!$D$26,"PASS","FAIL"),"n.a.")</x:f>
        <x:v>PASS</x:v>
      </x:c>
      <x:c r="AE9" s="18" t="n">
        <x:f>IF(AND(ISNUMBER(M9),M9&gt;0,ISNUMBER(N9),N9&gt;0,ISNUMBER(O9)),('01 Controls'!$D$6/(M9*N9)+O9)*24,"n.a.")</x:f>
        <x:v>78</x:v>
      </x:c>
      <x:c r="AF9" s="11" t="str">
        <x:f>IF(ISNUMBER(AE9),IF(AE9&lt;='01 Controls'!$D$27,"PASS","FAIL"),"n.a.")</x:f>
        <x:v>PASS</x:v>
      </x:c>
      <x:c r="AG9" s="11" t="str">
        <x:v>UNTESTED</x:v>
      </x:c>
      <x:c r="AH9" s="11" t="str">
        <x:v>BLOCKED</x:v>
      </x:c>
    </x:row>
    <x:row r="14">
      <x:c r="C14" s="9" t="str">
        <x:v>Rival</x:v>
      </x:c>
      <x:c r="D14" s="9" t="str">
        <x:v>Primary transport advantage</x:v>
      </x:c>
      <x:c r="E14" s="9" t="str">
        <x:v>Binding risk</x:v>
      </x:c>
      <x:c r="F14" s="9" t="str">
        <x:v>Machine-system implication</x:v>
      </x:c>
      <x:c r="G14" s="9" t="str">
        <x:v>Qualification burden</x:v>
      </x:c>
      <x:c r="H14" s="9" t="str">
        <x:v>Current decision</x:v>
      </x:c>
    </x:row>
    <x:row r="15" ht="78" customHeight="1">
      <x:c r="C15" s="11" t="str">
        <x:v>S-12</x:v>
      </x:c>
      <x:c r="D15" s="16" t="str">
        <x:v>Known sectional geometry and distributed unit mass</x:v>
      </x:c>
      <x:c r="E15" s="16" t="str">
        <x:v>834 transported segments across installed reach and reserve; roughly 833 potential interfaces</x:v>
      </x:c>
      <x:c r="F15" s="16" t="str">
        <x:v>High-throughput pipe shuttle, alignment, fusion, inspection and joint records</x:v>
      </x:c>
      <x:c r="G15" s="16" t="str">
        <x:v>Prove rate and joint reliability under seven representative terrains</x:v>
      </x:c>
      <x:c r="H15" s="16" t="str">
        <x:v>RETAIN AS REFERENCE</x:v>
      </x:c>
    </x:row>
    <x:row r="16" ht="78" customHeight="1">
      <x:c r="C16" s="11" t="str">
        <x:v>R-250</x:v>
      </x:c>
      <x:c r="D16" s="16" t="str">
        <x:v>Forty-four long segments sharply reduce field interfaces</x:v>
      </x:c>
      <x:c r="E16" s="16" t="str">
        <x:v>Large hollow reels consume volume and impose bend-radius, handling and road-envelope constraints</x:v>
      </x:c>
      <x:c r="F16" s="16" t="str">
        <x:v>Purpose-built cassette carriers, powered payout and curvature control</x:v>
      </x:c>
      <x:c r="G16" s="16" t="str">
        <x:v>Full-scale reel geometry, cyclic reuse, pressure and potable qualification</x:v>
      </x:c>
      <x:c r="H16" s="16" t="str">
        <x:v>RETAIN AS RIVAL</x:v>
      </x:c>
    </x:row>
    <x:row r="17" ht="78" customHeight="1">
      <x:c r="C17" s="11" t="str">
        <x:v>X-500</x:v>
      </x:c>
      <x:c r="D17" s="16" t="str">
        <x:v>Dense resin transport displaces hollow-pipe cube</x:v>
      </x:c>
      <x:c r="E17" s="16" t="str">
        <x:v>A 95-tonne production module fails the standard position screen and factory loss can stop the workfront</x:v>
      </x:c>
      <x:c r="F17" s="16" t="str">
        <x:v>Mobile extrusion cells, cooling, dimensional inspection and redundant process trains</x:v>
      </x:c>
      <x:c r="G17" s="16" t="str">
        <x:v>Continuous wall quality, start-stop joints, contamination and factory-loss recovery</x:v>
      </x:c>
      <x:c r="H17" s="16" t="str">
        <x:v>RETAIN AS RIVAL</x:v>
      </x:c>
    </x:row>
    <x:row r="18" ht="78" customHeight="1">
      <x:c r="C18" s="11" t="str">
        <x:v>F-500</x:v>
      </x:c>
      <x:c r="D18" s="16" t="str">
        <x:v>Lowest target mass and fast deployment</x:v>
      </x:c>
      <x:c r="E18" s="16" t="str">
        <x:v>Pressure class, surge, potable barrier, abrasion, collapse and repair are unproved</x:v>
      </x:c>
      <x:c r="F18" s="16" t="str">
        <x:v>Composite layup, fold control, mobile deployment and localized repair robotics</x:v>
      </x:c>
      <x:c r="G18" s="16" t="str">
        <x:v>Representative pressure cycling, chemical migration, terrain damage and repeated regeneration</x:v>
      </x:c>
      <x:c r="H18" s="16" t="str">
        <x:v>RETAIN AS RIVAL</x:v>
      </x:c>
    </x:row>
  </x:sheetData>
  <x:conditionalFormatting sqref="P6:S9">
    <x:cfRule type="containsText" dxfId="27" priority="1" operator="containsText" text="FAIL"/>
    <x:cfRule type="containsText" dxfId="28" priority="2" operator="containsText" text="DENIED"/>
    <x:cfRule type="containsText" dxfId="29" priority="3" operator="containsText" text="BLOCKED"/>
    <x:cfRule type="containsText" dxfId="30" priority="4" operator="containsText" text="INVALID"/>
    <x:cfRule type="containsText" dxfId="31" priority="5" operator="containsText" text="OPEN"/>
    <x:cfRule type="containsText" dxfId="32" priority="6" operator="containsText" text="UNTESTED"/>
    <x:cfRule type="containsText" dxfId="33" priority="7" operator="containsText" text="DECLARED"/>
    <x:cfRule type="containsText" dxfId="34" priority="8" operator="containsText" text="PASS"/>
    <x:cfRule type="containsText" dxfId="35" priority="9" operator="containsText" text="MET"/>
  </x:conditionalFormatting>
  <x:conditionalFormatting sqref="AC6:AH9">
    <x:cfRule type="containsText" dxfId="36" priority="10" operator="containsText" text="FAIL"/>
    <x:cfRule type="containsText" dxfId="37" priority="11" operator="containsText" text="DENIED"/>
    <x:cfRule type="containsText" dxfId="38" priority="12" operator="containsText" text="BLOCKED"/>
    <x:cfRule type="containsText" dxfId="39" priority="13" operator="containsText" text="INVALID"/>
    <x:cfRule type="containsText" dxfId="40" priority="14" operator="containsText" text="OPEN"/>
    <x:cfRule type="containsText" dxfId="41" priority="15" operator="containsText" text="UNTESTED"/>
    <x:cfRule type="containsText" dxfId="42" priority="16" operator="containsText" text="DECLARED"/>
    <x:cfRule type="containsText" dxfId="43" priority="17" operator="containsText" text="PASS"/>
    <x:cfRule type="containsText" dxfId="44" priority="18" operator="containsText" text="MET"/>
  </x:conditionalFormatting>
  <x:conditionalFormatting sqref="H15:H18">
    <x:cfRule type="containsText" dxfId="45" priority="19" operator="containsText" text="FAIL"/>
    <x:cfRule type="containsText" dxfId="46" priority="20" operator="containsText" text="DENIED"/>
    <x:cfRule type="containsText" dxfId="47" priority="21" operator="containsText" text="BLOCKED"/>
    <x:cfRule type="containsText" dxfId="48" priority="22" operator="containsText" text="INVALID"/>
    <x:cfRule type="containsText" dxfId="49" priority="23" operator="containsText" text="OPEN"/>
    <x:cfRule type="containsText" dxfId="50" priority="24" operator="containsText" text="UNTESTED"/>
    <x:cfRule type="containsText" dxfId="51" priority="25" operator="containsText" text="DECLARED"/>
    <x:cfRule type="containsText" dxfId="52" priority="26" operator="containsText" text="PASS"/>
    <x:cfRule type="containsText" dxfId="53" priority="27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eb87e5cd5252485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4" hidden="0" customWidth="1"/>
    <x:col min="4" max="4" width="36" hidden="0" customWidth="1"/>
    <x:col min="5" max="5" width="36" hidden="0" customWidth="1"/>
    <x:col min="6" max="6" width="24" hidden="0" customWidth="1"/>
    <x:col min="7" max="7" width="24" hidden="0" customWidth="1"/>
    <x:col min="8" max="8" width="38" hidden="0" customWidth="1"/>
    <x:col min="9" max="9" width="21" hidden="0" customWidth="1"/>
    <x:col min="10" max="10" width="44" hidden="0" customWidth="1"/>
    <x:col min="11" max="11" width="28" hidden="0" customWidth="1"/>
    <x:col min="12" max="12" width="26" hidden="0" customWidth="1"/>
    <x:col min="13" max="13" width="23" hidden="0" customWidth="1"/>
    <x:col min="14" max="14" width="23" hidden="0" customWidth="1"/>
    <x:col min="15" max="15" width="26" hidden="0" customWidth="1"/>
    <x:col min="16" max="16" width="18" hidden="0" customWidth="1"/>
    <x:col min="17" max="17" width="23" hidden="0" customWidth="1"/>
  </x:cols>
  <x:sheetData>
    <x:row r="2">
      <x:c r="C2" s="2" t="str">
        <x:v>Deployment, workfront and service-time comparison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C3" s="3" t="str">
        <x:v>Position counts are chargeable-burden lower bounds. They do not release indivisible loads, routes, nodes or receivers.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5">
      <x:c r="C5" s="9" t="str">
        <x:v>Rival</x:v>
      </x:c>
      <x:c r="D5" s="9" t="str">
        <x:v>Conveyance mass t</x:v>
      </x:c>
      <x:c r="E5" s="9" t="str">
        <x:v>Conveyance cube m³</x:v>
      </x:c>
      <x:c r="F5" s="9" t="str">
        <x:v>Conveyance chargeable t</x:v>
      </x:c>
      <x:c r="G5" s="9" t="str">
        <x:v>Non-pipe chain mass t</x:v>
      </x:c>
      <x:c r="H5" s="9" t="str">
        <x:v>Total dry system mass t</x:v>
      </x:c>
      <x:c r="I5" s="9" t="str">
        <x:v>Non-pipe chargeable t</x:v>
      </x:c>
      <x:c r="J5" s="9" t="str">
        <x:v>Total chargeable t</x:v>
      </x:c>
      <x:c r="K5" s="9" t="str">
        <x:v>Standard lower-bound positions</x:v>
      </x:c>
      <x:c r="L5" s="9" t="str">
        <x:v>Heavy lower-bound positions</x:v>
      </x:c>
      <x:c r="M5" s="9" t="str">
        <x:v>Conveyance service h</x:v>
      </x:c>
      <x:c r="N5" s="9" t="str">
        <x:v>Parallel source setup h</x:v>
      </x:c>
      <x:c r="O5" s="9" t="str">
        <x:v>Earliest system service h</x:v>
      </x:c>
      <x:c r="P5" s="9" t="str">
        <x:v>120 h screen</x:v>
      </x:c>
      <x:c r="Q5" s="9" t="str">
        <x:v>Strict service admission</x:v>
      </x:c>
    </x:row>
    <x:row r="6" ht="42" customHeight="1">
      <x:c r="C6" s="11" t="str">
        <x:f>'04 Conveyance Rivals'!C6</x:f>
        <x:v>S-12</x:v>
      </x:c>
      <x:c r="D6" s="18" t="n">
        <x:f>'04 Conveyance Rivals'!W6</x:f>
        <x:v>688.6746740909318</x:v>
      </x:c>
      <x:c r="E6" s="18" t="n">
        <x:f>'04 Conveyance Rivals'!V6</x:f>
        <x:v>3710.7810155287566</x:v>
      </x:c>
      <x:c r="F6" s="18" t="n">
        <x:f>'04 Conveyance Rivals'!X6</x:f>
        <x:v>742.1562031057514</x:v>
      </x:c>
      <x:c r="G6" s="18" t="n">
        <x:f>SUM('03 Service Chain'!$H$6:$H$22)-'03 Service Chain'!$H$10</x:f>
        <x:v>3305.591048149353</x:v>
      </x:c>
      <x:c r="H6" s="18" t="n">
        <x:f>D6+G6</x:f>
        <x:v>3994.265722240285</x:v>
      </x:c>
      <x:c r="I6" s="18" t="n">
        <x:f>SUM('03 Service Chain'!$J$6:$J$22)-'03 Service Chain'!$J$10</x:f>
        <x:v>3399.3910481493517</x:v>
      </x:c>
      <x:c r="J6" s="18" t="n">
        <x:f>F6+I6</x:f>
        <x:v>4141.547251255103</x:v>
      </x:c>
      <x:c r="K6" s="18" t="n">
        <x:f>ROUNDUP(J6/'01 Controls'!$D$25,0)</x:f>
        <x:v>104</x:v>
      </x:c>
      <x:c r="L6" s="18" t="n">
        <x:f>ROUNDUP(J6/'01 Controls'!$D$26,0)</x:f>
        <x:v>35</x:v>
      </x:c>
      <x:c r="M6" s="18" t="n">
        <x:f>'04 Conveyance Rivals'!AE6</x:f>
        <x:v>152</x:v>
      </x:c>
      <x:c r="N6" s="18" t="n">
        <x:v>96</x:v>
      </x:c>
      <x:c r="O6" s="18" t="n">
        <x:f>MAX(M6,N6)</x:f>
        <x:v>152</x:v>
      </x:c>
      <x:c r="P6" s="11" t="str">
        <x:f>IF(O6&lt;='01 Controls'!$D$27,"PASS","FAIL")</x:f>
        <x:v>FAIL</x:v>
      </x:c>
      <x:c r="Q6" s="11" t="str">
        <x:v>DENIED</x:v>
      </x:c>
    </x:row>
    <x:row r="7" ht="42" customHeight="1">
      <x:c r="C7" s="11" t="str">
        <x:f>'04 Conveyance Rivals'!C7</x:f>
        <x:v>R-250</x:v>
      </x:c>
      <x:c r="D7" s="18" t="n">
        <x:f>'04 Conveyance Rivals'!W7</x:f>
        <x:v>768.692960202946</x:v>
      </x:c>
      <x:c r="E7" s="18" t="n">
        <x:f>'04 Conveyance Rivals'!V7</x:f>
        <x:v>5539.632472516697</x:v>
      </x:c>
      <x:c r="F7" s="18" t="n">
        <x:f>'04 Conveyance Rivals'!X7</x:f>
        <x:v>1107.9264945033394</x:v>
      </x:c>
      <x:c r="G7" s="18" t="n">
        <x:f>SUM('03 Service Chain'!$H$6:$H$22)-'03 Service Chain'!$H$10</x:f>
        <x:v>3305.591048149353</x:v>
      </x:c>
      <x:c r="H7" s="18" t="n">
        <x:f>D7+G7</x:f>
        <x:v>4074.2840083522988</x:v>
      </x:c>
      <x:c r="I7" s="18" t="n">
        <x:f>SUM('03 Service Chain'!$J$6:$J$22)-'03 Service Chain'!$J$10</x:f>
        <x:v>3399.3910481493517</x:v>
      </x:c>
      <x:c r="J7" s="18" t="n">
        <x:f>F7+I7</x:f>
        <x:v>4507.317542652691</x:v>
      </x:c>
      <x:c r="K7" s="18" t="n">
        <x:f>ROUNDUP(J7/'01 Controls'!$D$25,0)</x:f>
        <x:v>113</x:v>
      </x:c>
      <x:c r="L7" s="18" t="n">
        <x:f>ROUNDUP(J7/'01 Controls'!$D$26,0)</x:f>
        <x:v>38</x:v>
      </x:c>
      <x:c r="M7" s="18" t="n">
        <x:f>'04 Conveyance Rivals'!AE7</x:f>
        <x:v>100</x:v>
      </x:c>
      <x:c r="N7" s="18" t="n">
        <x:v>96</x:v>
      </x:c>
      <x:c r="O7" s="18" t="n">
        <x:f>MAX(M7,N7)</x:f>
        <x:v>100</x:v>
      </x:c>
      <x:c r="P7" s="11" t="str">
        <x:f>IF(O7&lt;='01 Controls'!$D$27,"PASS","FAIL")</x:f>
        <x:v>PASS</x:v>
      </x:c>
      <x:c r="Q7" s="11" t="str">
        <x:v>DENIED</x:v>
      </x:c>
    </x:row>
    <x:row r="8" ht="42" customHeight="1">
      <x:c r="C8" s="11" t="str">
        <x:f>'04 Conveyance Rivals'!C8</x:f>
        <x:v>X-500</x:v>
      </x:c>
      <x:c r="D8" s="18" t="n">
        <x:f>'04 Conveyance Rivals'!W8</x:f>
        <x:v>922.0019120535939</x:v>
      </x:c>
      <x:c r="E8" s="18" t="n">
        <x:f>'04 Conveyance Rivals'!V8</x:f>
        <x:v>2019.1411956026714</x:v>
      </x:c>
      <x:c r="F8" s="18" t="n">
        <x:f>'04 Conveyance Rivals'!X8</x:f>
        <x:v>922.0019120535939</x:v>
      </x:c>
      <x:c r="G8" s="18" t="n">
        <x:f>SUM('03 Service Chain'!$H$6:$H$22)-'03 Service Chain'!$H$10</x:f>
        <x:v>3305.591048149353</x:v>
      </x:c>
      <x:c r="H8" s="18" t="n">
        <x:f>D8+G8</x:f>
        <x:v>4227.592960202946</x:v>
      </x:c>
      <x:c r="I8" s="18" t="n">
        <x:f>SUM('03 Service Chain'!$J$6:$J$22)-'03 Service Chain'!$J$10</x:f>
        <x:v>3399.3910481493517</x:v>
      </x:c>
      <x:c r="J8" s="18" t="n">
        <x:f>F8+I8</x:f>
        <x:v>4321.392960202946</x:v>
      </x:c>
      <x:c r="K8" s="18" t="n">
        <x:f>ROUNDUP(J8/'01 Controls'!$D$25,0)</x:f>
        <x:v>109</x:v>
      </x:c>
      <x:c r="L8" s="18" t="n">
        <x:f>ROUNDUP(J8/'01 Controls'!$D$26,0)</x:f>
        <x:v>37</x:v>
      </x:c>
      <x:c r="M8" s="18" t="n">
        <x:f>'04 Conveyance Rivals'!AE8</x:f>
        <x:v>126.66666666666666</x:v>
      </x:c>
      <x:c r="N8" s="18" t="n">
        <x:v>96</x:v>
      </x:c>
      <x:c r="O8" s="18" t="n">
        <x:f>MAX(M8,N8)</x:f>
        <x:v>126.66666666666666</x:v>
      </x:c>
      <x:c r="P8" s="11" t="str">
        <x:f>IF(O8&lt;='01 Controls'!$D$27,"PASS","FAIL")</x:f>
        <x:v>FAIL</x:v>
      </x:c>
      <x:c r="Q8" s="11" t="str">
        <x:v>DENIED</x:v>
      </x:c>
    </x:row>
    <x:row r="9" ht="42" customHeight="1">
      <x:c r="C9" s="11" t="str">
        <x:f>'04 Conveyance Rivals'!C9</x:f>
        <x:v>F-500</x:v>
      </x:c>
      <x:c r="D9" s="18" t="n">
        <x:f>'04 Conveyance Rivals'!W9</x:f>
        <x:v>556.2694811455103</x:v>
      </x:c>
      <x:c r="E9" s="18" t="n">
        <x:f>'04 Conveyance Rivals'!V9</x:f>
        <x:v>1366.393467097954</x:v>
      </x:c>
      <x:c r="F9" s="18" t="n">
        <x:f>'04 Conveyance Rivals'!X9</x:f>
        <x:v>556.2694811455103</x:v>
      </x:c>
      <x:c r="G9" s="18" t="n">
        <x:f>SUM('03 Service Chain'!$H$6:$H$22)-'03 Service Chain'!$H$10</x:f>
        <x:v>3305.591048149353</x:v>
      </x:c>
      <x:c r="H9" s="18" t="n">
        <x:f>D9+G9</x:f>
        <x:v>3861.860529294863</x:v>
      </x:c>
      <x:c r="I9" s="18" t="n">
        <x:f>SUM('03 Service Chain'!$J$6:$J$22)-'03 Service Chain'!$J$10</x:f>
        <x:v>3399.3910481493517</x:v>
      </x:c>
      <x:c r="J9" s="18" t="n">
        <x:f>F9+I9</x:f>
        <x:v>3955.660529294862</x:v>
      </x:c>
      <x:c r="K9" s="18" t="n">
        <x:f>ROUNDUP(J9/'01 Controls'!$D$25,0)</x:f>
        <x:v>99</x:v>
      </x:c>
      <x:c r="L9" s="18" t="n">
        <x:f>ROUNDUP(J9/'01 Controls'!$D$26,0)</x:f>
        <x:v>33</x:v>
      </x:c>
      <x:c r="M9" s="18" t="n">
        <x:f>'04 Conveyance Rivals'!AE9</x:f>
        <x:v>78</x:v>
      </x:c>
      <x:c r="N9" s="18" t="n">
        <x:v>96</x:v>
      </x:c>
      <x:c r="O9" s="18" t="n">
        <x:f>MAX(M9,N9)</x:f>
        <x:v>96</x:v>
      </x:c>
      <x:c r="P9" s="11" t="str">
        <x:f>IF(O9&lt;='01 Controls'!$D$27,"PASS","FAIL")</x:f>
        <x:v>PASS</x:v>
      </x:c>
      <x:c r="Q9" s="11" t="str">
        <x:v>DENIED</x:v>
      </x:c>
    </x:row>
    <x:row r="14">
      <x:c r="C14" s="9" t="str">
        <x:v>Stage</x:v>
      </x:c>
      <x:c r="D14" s="9" t="str">
        <x:v>Responsible element</x:v>
      </x:c>
      <x:c r="E14" s="9" t="str">
        <x:v>Start condition</x:v>
      </x:c>
      <x:c r="F14" s="9" t="str">
        <x:v>Declared duration h</x:v>
      </x:c>
      <x:c r="G14" s="9" t="str">
        <x:v>Can overlap</x:v>
      </x:c>
      <x:c r="H14" s="9" t="str">
        <x:v>Completion evidence</x:v>
      </x:c>
      <x:c r="I14" s="9" t="str">
        <x:v>Current state</x:v>
      </x:c>
      <x:c r="J14" s="9" t="str">
        <x:v>Why it binds</x:v>
      </x:c>
    </x:row>
    <x:row r="15" ht="82" customHeight="1">
      <x:c r="C15" s="11" t="str">
        <x:v>Receiver possession</x:v>
      </x:c>
      <x:c r="D15" s="16" t="str">
        <x:v>Receiving command and civil authority</x:v>
      </x:c>
      <x:c r="E15" s="16" t="str">
        <x:v>Activation</x:v>
      </x:c>
      <x:c r="F15" s="16" t="n">
        <x:v>24</x:v>
      </x:c>
      <x:c r="G15" s="16" t="str">
        <x:v>No</x:v>
      </x:c>
      <x:c r="H15" s="16" t="str">
        <x:v>Named site and authority</x:v>
      </x:c>
      <x:c r="I15" s="16" t="str">
        <x:v>OPEN</x:v>
      </x:c>
      <x:c r="J15" s="16" t="str">
        <x:v>No deployment can be admitted without lawful site access</x:v>
      </x:c>
    </x:row>
    <x:row r="16" ht="82" customHeight="1">
      <x:c r="C16" s="11" t="str">
        <x:v>Route survey and release</x:v>
      </x:c>
      <x:c r="D16" s="16" t="str">
        <x:v>Survey and civil integration modules</x:v>
      </x:c>
      <x:c r="E16" s="16" t="str">
        <x:v>Receiver possession</x:v>
      </x:c>
      <x:c r="F16" s="16" t="n">
        <x:v>24</x:v>
      </x:c>
      <x:c r="G16" s="16" t="str">
        <x:v>Partly</x:v>
      </x:c>
      <x:c r="H16" s="16" t="str">
        <x:v>Traversable alignment, crossings and pressure profile</x:v>
      </x:c>
      <x:c r="I16" s="16" t="str">
        <x:v>OPEN</x:v>
      </x:c>
      <x:c r="J16" s="16" t="str">
        <x:v>All lay-rate claims depend on representative terrain and authority</x:v>
      </x:c>
    </x:row>
    <x:row r="17" ht="82" customHeight="1">
      <x:c r="C17" s="11" t="str">
        <x:v>Source qualification</x:v>
      </x:c>
      <x:c r="D17" s="16" t="str">
        <x:v>Source and quality complement</x:v>
      </x:c>
      <x:c r="E17" s="16" t="str">
        <x:v>Receiver possession</x:v>
      </x:c>
      <x:c r="F17" s="16" t="n">
        <x:v>36</x:v>
      </x:c>
      <x:c r="G17" s="16" t="str">
        <x:v>Yes</x:v>
      </x:c>
      <x:c r="H17" s="16" t="str">
        <x:v>Feed envelope and intake release</x:v>
      </x:c>
      <x:c r="I17" s="16" t="str">
        <x:v>OPEN</x:v>
      </x:c>
      <x:c r="J17" s="16" t="str">
        <x:v>Treatment choice cannot precede source characterization</x:v>
      </x:c>
    </x:row>
    <x:row r="18" ht="82" customHeight="1">
      <x:c r="C18" s="11" t="str">
        <x:v>Treatment and power setup</x:v>
      </x:c>
      <x:c r="D18" s="16" t="str">
        <x:v>Treatment and utility support</x:v>
      </x:c>
      <x:c r="E18" s="16" t="str">
        <x:v>Source and pad release</x:v>
      </x:c>
      <x:c r="F18" s="16" t="n">
        <x:v>72</x:v>
      </x:c>
      <x:c r="G18" s="16" t="str">
        <x:v>Yes</x:v>
      </x:c>
      <x:c r="H18" s="16" t="str">
        <x:v>Certified process and protected power</x:v>
      </x:c>
      <x:c r="I18" s="16" t="str">
        <x:v>OPEN</x:v>
      </x:c>
      <x:c r="J18" s="16" t="str">
        <x:v>One treatment train has no failure reserve</x:v>
      </x:c>
    </x:row>
    <x:row r="19" ht="82" customHeight="1">
      <x:c r="C19" s="11" t="str">
        <x:v>Conveyance construction</x:v>
      </x:c>
      <x:c r="D19" s="16" t="str">
        <x:v>Rival workfronts</x:v>
      </x:c>
      <x:c r="E19" s="16" t="str">
        <x:v>Released route and delivered configuration</x:v>
      </x:c>
      <x:c r="F19" s="16"/>
      <x:c r="G19" s="16" t="str">
        <x:v>Yes</x:v>
      </x:c>
      <x:c r="H19" s="16" t="str">
        <x:v>Serialized joints, pressure test and disinfection</x:v>
      </x:c>
      <x:c r="I19" s="16" t="str">
        <x:v>UNTESTED</x:v>
      </x:c>
      <x:c r="J19" s="16" t="str">
        <x:v>Rival-specific critical path</x:v>
      </x:c>
    </x:row>
    <x:row r="20" ht="82" customHeight="1">
      <x:c r="C20" s="11" t="str">
        <x:v>Storage and public access</x:v>
      </x:c>
      <x:c r="D20" s="16" t="str">
        <x:v>Distribution complement</x:v>
      </x:c>
      <x:c r="E20" s="16" t="str">
        <x:v>Released pads and route</x:v>
      </x:c>
      <x:c r="F20" s="16" t="n">
        <x:v>60</x:v>
      </x:c>
      <x:c r="G20" s="16" t="str">
        <x:v>Yes</x:v>
      </x:c>
      <x:c r="H20" s="16" t="str">
        <x:v>Sanitary buffer and accessible sites</x:v>
      </x:c>
      <x:c r="I20" s="16" t="str">
        <x:v>OPEN</x:v>
      </x:c>
      <x:c r="J20" s="16" t="str">
        <x:v>Bulk water is not a public effect</x:v>
      </x:c>
    </x:row>
    <x:row r="21" ht="82" customHeight="1">
      <x:c r="C21" s="11" t="str">
        <x:v>Wastewater and residual path</x:v>
      </x:c>
      <x:c r="D21" s="16" t="str">
        <x:v>Sanitation complement</x:v>
      </x:c>
      <x:c r="E21" s="16" t="str">
        <x:v>Civil discharge authority</x:v>
      </x:c>
      <x:c r="F21" s="16" t="n">
        <x:v>72</x:v>
      </x:c>
      <x:c r="G21" s="16" t="str">
        <x:v>Yes</x:v>
      </x:c>
      <x:c r="H21" s="16" t="str">
        <x:v>Return-flow and concentrate acceptance</x:v>
      </x:c>
      <x:c r="I21" s="16" t="str">
        <x:v>OPEN</x:v>
      </x:c>
      <x:c r="J21" s="16" t="str">
        <x:v>A supply mission can create a second public-health failure</x:v>
      </x:c>
    </x:row>
    <x:row r="22" ht="82" customHeight="1">
      <x:c r="C22" s="11" t="str">
        <x:v>Integrated commissioning</x:v>
      </x:c>
      <x:c r="D22" s="16" t="str">
        <x:v>Independent technical and quality authorities</x:v>
      </x:c>
      <x:c r="E22" s="16" t="str">
        <x:v>All complements complete</x:v>
      </x:c>
      <x:c r="F22" s="16" t="n">
        <x:v>24</x:v>
      </x:c>
      <x:c r="G22" s="16" t="str">
        <x:v>No</x:v>
      </x:c>
      <x:c r="H22" s="16" t="str">
        <x:v>72-hour stable service and civil acceptance</x:v>
      </x:c>
      <x:c r="I22" s="16" t="str">
        <x:v>OPEN</x:v>
      </x:c>
      <x:c r="J22" s="16" t="str">
        <x:v>No rival has executed the complete chain</x:v>
      </x:c>
    </x:row>
  </x:sheetData>
  <x:conditionalFormatting sqref="P6:Q9">
    <x:cfRule type="containsText" dxfId="72" priority="1" operator="containsText" text="FAIL"/>
    <x:cfRule type="containsText" dxfId="73" priority="2" operator="containsText" text="DENIED"/>
    <x:cfRule type="containsText" dxfId="74" priority="3" operator="containsText" text="BLOCKED"/>
    <x:cfRule type="containsText" dxfId="75" priority="4" operator="containsText" text="INVALID"/>
    <x:cfRule type="containsText" dxfId="76" priority="5" operator="containsText" text="OPEN"/>
    <x:cfRule type="containsText" dxfId="77" priority="6" operator="containsText" text="UNTESTED"/>
    <x:cfRule type="containsText" dxfId="78" priority="7" operator="containsText" text="DECLARED"/>
    <x:cfRule type="containsText" dxfId="79" priority="8" operator="containsText" text="PASS"/>
    <x:cfRule type="containsText" dxfId="80" priority="9" operator="containsText" text="MET"/>
  </x:conditionalFormatting>
  <x:conditionalFormatting sqref="I15:I22">
    <x:cfRule type="containsText" dxfId="81" priority="10" operator="containsText" text="FAIL"/>
    <x:cfRule type="containsText" dxfId="82" priority="11" operator="containsText" text="DENIED"/>
    <x:cfRule type="containsText" dxfId="83" priority="12" operator="containsText" text="BLOCKED"/>
    <x:cfRule type="containsText" dxfId="84" priority="13" operator="containsText" text="INVALID"/>
    <x:cfRule type="containsText" dxfId="85" priority="14" operator="containsText" text="OPEN"/>
    <x:cfRule type="containsText" dxfId="86" priority="15" operator="containsText" text="UNTESTED"/>
    <x:cfRule type="containsText" dxfId="87" priority="16" operator="containsText" text="DECLARED"/>
    <x:cfRule type="containsText" dxfId="88" priority="17" operator="containsText" text="PASS"/>
    <x:cfRule type="containsText" dxfId="89" priority="1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234660016328497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5" hidden="0" customWidth="1"/>
    <x:col min="4" max="4" width="36" hidden="0" customWidth="1"/>
    <x:col min="5" max="5" width="20" hidden="0" customWidth="1"/>
    <x:col min="6" max="6" width="20" hidden="0" customWidth="1"/>
    <x:col min="7" max="7" width="27" hidden="0" customWidth="1"/>
    <x:col min="8" max="8" width="23" hidden="0" customWidth="1"/>
    <x:col min="9" max="9" width="30" hidden="0" customWidth="1"/>
    <x:col min="10" max="10" width="19" hidden="0" customWidth="1"/>
    <x:col min="11" max="11" width="35" hidden="0" customWidth="1"/>
    <x:col min="12" max="12" width="18" hidden="0" customWidth="1"/>
    <x:col min="13" max="13" width="17" hidden="0" customWidth="1"/>
  </x:cols>
  <x:sheetData>
    <x:row r="2">
      <x:c r="C2" s="2" t="str">
        <x:v>Failure, degraded service and repair competition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C3" s="3" t="str">
        <x:v>A single installed trunk has no inherent line-outage continuity. Repair speed cannot substitute for an admitted degraded-service architecture.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5">
      <x:c r="C5" s="9" t="str">
        <x:v>Rival</x:v>
      </x:c>
      <x:c r="D5" s="9" t="str">
        <x:v>Failure case</x:v>
      </x:c>
      <x:c r="E5" s="9" t="str">
        <x:v>Initial service share</x:v>
      </x:c>
      <x:c r="F5" s="9" t="str">
        <x:v>Declared repair h</x:v>
      </x:c>
      <x:c r="G5" s="9" t="str">
        <x:v>Target service during repair</x:v>
      </x:c>
      <x:c r="H5" s="9" t="str">
        <x:v>Target restoration h</x:v>
      </x:c>
      <x:c r="I5" s="9" t="str">
        <x:v>Reserve object</x:v>
      </x:c>
      <x:c r="J5" s="9" t="str">
        <x:v>Remote diagnosis</x:v>
      </x:c>
      <x:c r="K5" s="9" t="str">
        <x:v>Field method</x:v>
      </x:c>
      <x:c r="L5" s="9" t="str">
        <x:v>Evidence state</x:v>
      </x:c>
      <x:c r="M5" s="9" t="str">
        <x:v>Decision</x:v>
      </x:c>
    </x:row>
    <x:row r="6" ht="48" customHeight="1">
      <x:c r="C6" s="11" t="str">
        <x:v>S-12</x:v>
      </x:c>
      <x:c r="D6" s="16" t="str">
        <x:v>Single full-bore rupture</x:v>
      </x:c>
      <x:c r="E6" s="20" t="n">
        <x:v>0</x:v>
      </x:c>
      <x:c r="F6" s="16" t="n">
        <x:v>18</x:v>
      </x:c>
      <x:c r="G6" s="20" t="n">
        <x:v>0.5</x:v>
      </x:c>
      <x:c r="H6" s="16" t="n">
        <x:v>24</x:v>
      </x:c>
      <x:c r="I6" s="16" t="str">
        <x:v>10% pipe reserve</x:v>
      </x:c>
      <x:c r="J6" s="16" t="str">
        <x:v>Target</x:v>
      </x:c>
      <x:c r="K6" s="16" t="str">
        <x:v>Rival-specific procedure</x:v>
      </x:c>
      <x:c r="L6" s="16" t="str">
        <x:v>UNTESTED</x:v>
      </x:c>
      <x:c r="M6" s="16" t="str">
        <x:f>IF(AND(E6&gt;=G6,F6&lt;=H6,L6="PASS"),"PASS","FAIL")</x:f>
        <x:v>FAIL</x:v>
      </x:c>
    </x:row>
    <x:row r="7" ht="48" customHeight="1">
      <x:c r="C7" s="11" t="str">
        <x:v>S-12</x:v>
      </x:c>
      <x:c r="D7" s="16" t="str">
        <x:v>Representative field-joint defect</x:v>
      </x:c>
      <x:c r="E7" s="20" t="n">
        <x:v>0</x:v>
      </x:c>
      <x:c r="F7" s="16" t="n">
        <x:v>8</x:v>
      </x:c>
      <x:c r="G7" s="20" t="n">
        <x:v>0.5</x:v>
      </x:c>
      <x:c r="H7" s="16" t="n">
        <x:v>12</x:v>
      </x:c>
      <x:c r="I7" s="16" t="str">
        <x:v>Named subsystem reserve required</x:v>
      </x:c>
      <x:c r="J7" s="16" t="str">
        <x:v>Target</x:v>
      </x:c>
      <x:c r="K7" s="16" t="str">
        <x:v>Rival-specific procedure</x:v>
      </x:c>
      <x:c r="L7" s="16" t="str">
        <x:v>UNTESTED</x:v>
      </x:c>
      <x:c r="M7" s="16" t="str">
        <x:f>IF(AND(E7&gt;=G7,F7&lt;=H7,L7="PASS"),"PASS","FAIL")</x:f>
        <x:v>FAIL</x:v>
      </x:c>
    </x:row>
    <x:row r="8" ht="48" customHeight="1">
      <x:c r="C8" s="11" t="str">
        <x:v>S-12</x:v>
      </x:c>
      <x:c r="D8" s="16" t="str">
        <x:v>Primary handling or process module loss</x:v>
      </x:c>
      <x:c r="E8" s="20" t="n">
        <x:v>0</x:v>
      </x:c>
      <x:c r="F8" s="16" t="n">
        <x:v>12</x:v>
      </x:c>
      <x:c r="G8" s="20" t="n">
        <x:v>0.5</x:v>
      </x:c>
      <x:c r="H8" s="16" t="n">
        <x:v>24</x:v>
      </x:c>
      <x:c r="I8" s="16" t="str">
        <x:v>Named subsystem reserve required</x:v>
      </x:c>
      <x:c r="J8" s="16" t="str">
        <x:v>Target</x:v>
      </x:c>
      <x:c r="K8" s="16" t="str">
        <x:v>Rival-specific procedure</x:v>
      </x:c>
      <x:c r="L8" s="16" t="str">
        <x:v>UNTESTED</x:v>
      </x:c>
      <x:c r="M8" s="16" t="str">
        <x:f>IF(AND(E8&gt;=G8,F8&lt;=H8,L8="PASS"),"PASS","FAIL")</x:f>
        <x:v>FAIL</x:v>
      </x:c>
    </x:row>
    <x:row r="9" ht="48" customHeight="1">
      <x:c r="C9" s="11" t="str">
        <x:v>S-12</x:v>
      </x:c>
      <x:c r="D9" s="16" t="str">
        <x:v>One power module unavailable</x:v>
      </x:c>
      <x:c r="E9" s="20" t="n">
        <x:v>1</x:v>
      </x:c>
      <x:c r="F9" s="16" t="n">
        <x:v>4</x:v>
      </x:c>
      <x:c r="G9" s="20" t="n">
        <x:v>1</x:v>
      </x:c>
      <x:c r="H9" s="16" t="n">
        <x:v>8</x:v>
      </x:c>
      <x:c r="I9" s="16" t="str">
        <x:v>Named subsystem reserve required</x:v>
      </x:c>
      <x:c r="J9" s="16" t="str">
        <x:v>Target</x:v>
      </x:c>
      <x:c r="K9" s="16" t="str">
        <x:v>Rival-specific procedure</x:v>
      </x:c>
      <x:c r="L9" s="16" t="str">
        <x:v>UNTESTED</x:v>
      </x:c>
      <x:c r="M9" s="16" t="str">
        <x:f>IF(AND(E9&gt;=G9,F9&lt;=H9,L9="PASS"),"PASS","FAIL")</x:f>
        <x:v>FAIL</x:v>
      </x:c>
    </x:row>
    <x:row r="10" ht="48" customHeight="1">
      <x:c r="C10" s="11" t="str">
        <x:v>S-12</x:v>
      </x:c>
      <x:c r="D10" s="16" t="str">
        <x:v>Receiver contamination hold</x:v>
      </x:c>
      <x:c r="E10" s="20" t="n">
        <x:v>0</x:v>
      </x:c>
      <x:c r="F10" s="16" t="n">
        <x:v>24</x:v>
      </x:c>
      <x:c r="G10" s="20" t="n">
        <x:v>0.5</x:v>
      </x:c>
      <x:c r="H10" s="16" t="n">
        <x:v>24</x:v>
      </x:c>
      <x:c r="I10" s="16" t="str">
        <x:v>Named subsystem reserve required</x:v>
      </x:c>
      <x:c r="J10" s="16" t="str">
        <x:v>Target</x:v>
      </x:c>
      <x:c r="K10" s="16" t="str">
        <x:v>Rival-specific procedure</x:v>
      </x:c>
      <x:c r="L10" s="16" t="str">
        <x:v>UNTESTED</x:v>
      </x:c>
      <x:c r="M10" s="16" t="str">
        <x:f>IF(AND(E10&gt;=G10,F10&lt;=H10,L10="PASS"),"PASS","FAIL")</x:f>
        <x:v>FAIL</x:v>
      </x:c>
    </x:row>
    <x:row r="11" ht="48" customHeight="1">
      <x:c r="C11" s="11" t="str">
        <x:v>R-250</x:v>
      </x:c>
      <x:c r="D11" s="16" t="str">
        <x:v>Single full-bore rupture</x:v>
      </x:c>
      <x:c r="E11" s="20" t="n">
        <x:v>0</x:v>
      </x:c>
      <x:c r="F11" s="16" t="n">
        <x:v>12</x:v>
      </x:c>
      <x:c r="G11" s="20" t="n">
        <x:v>0.5</x:v>
      </x:c>
      <x:c r="H11" s="16" t="n">
        <x:v>24</x:v>
      </x:c>
      <x:c r="I11" s="16" t="str">
        <x:v>10% pipe reserve</x:v>
      </x:c>
      <x:c r="J11" s="16" t="str">
        <x:v>Target</x:v>
      </x:c>
      <x:c r="K11" s="16" t="str">
        <x:v>Rival-specific procedure</x:v>
      </x:c>
      <x:c r="L11" s="16" t="str">
        <x:v>UNTESTED</x:v>
      </x:c>
      <x:c r="M11" s="16" t="str">
        <x:f>IF(AND(E11&gt;=G11,F11&lt;=H11,L11="PASS"),"PASS","FAIL")</x:f>
        <x:v>FAIL</x:v>
      </x:c>
    </x:row>
    <x:row r="12" ht="48" customHeight="1">
      <x:c r="C12" s="11" t="str">
        <x:v>R-250</x:v>
      </x:c>
      <x:c r="D12" s="16" t="str">
        <x:v>Representative field-joint defect</x:v>
      </x:c>
      <x:c r="E12" s="20" t="n">
        <x:v>0</x:v>
      </x:c>
      <x:c r="F12" s="16" t="n">
        <x:v>8</x:v>
      </x:c>
      <x:c r="G12" s="20" t="n">
        <x:v>0.5</x:v>
      </x:c>
      <x:c r="H12" s="16" t="n">
        <x:v>12</x:v>
      </x:c>
      <x:c r="I12" s="16" t="str">
        <x:v>Named subsystem reserve required</x:v>
      </x:c>
      <x:c r="J12" s="16" t="str">
        <x:v>Target</x:v>
      </x:c>
      <x:c r="K12" s="16" t="str">
        <x:v>Rival-specific procedure</x:v>
      </x:c>
      <x:c r="L12" s="16" t="str">
        <x:v>UNTESTED</x:v>
      </x:c>
      <x:c r="M12" s="16" t="str">
        <x:f>IF(AND(E12&gt;=G12,F12&lt;=H12,L12="PASS"),"PASS","FAIL")</x:f>
        <x:v>FAIL</x:v>
      </x:c>
    </x:row>
    <x:row r="13" ht="48" customHeight="1">
      <x:c r="C13" s="11" t="str">
        <x:v>R-250</x:v>
      </x:c>
      <x:c r="D13" s="16" t="str">
        <x:v>Primary handling or process module loss</x:v>
      </x:c>
      <x:c r="E13" s="20" t="n">
        <x:v>0</x:v>
      </x:c>
      <x:c r="F13" s="16" t="n">
        <x:v>36</x:v>
      </x:c>
      <x:c r="G13" s="20" t="n">
        <x:v>0.5</x:v>
      </x:c>
      <x:c r="H13" s="16" t="n">
        <x:v>24</x:v>
      </x:c>
      <x:c r="I13" s="16" t="str">
        <x:v>Named subsystem reserve required</x:v>
      </x:c>
      <x:c r="J13" s="16" t="str">
        <x:v>Target</x:v>
      </x:c>
      <x:c r="K13" s="16" t="str">
        <x:v>Rival-specific procedure</x:v>
      </x:c>
      <x:c r="L13" s="16" t="str">
        <x:v>UNTESTED</x:v>
      </x:c>
      <x:c r="M13" s="16" t="str">
        <x:f>IF(AND(E13&gt;=G13,F13&lt;=H13,L13="PASS"),"PASS","FAIL")</x:f>
        <x:v>FAIL</x:v>
      </x:c>
    </x:row>
    <x:row r="14" ht="48" customHeight="1">
      <x:c r="C14" s="11" t="str">
        <x:v>R-250</x:v>
      </x:c>
      <x:c r="D14" s="16" t="str">
        <x:v>One power module unavailable</x:v>
      </x:c>
      <x:c r="E14" s="20" t="n">
        <x:v>1</x:v>
      </x:c>
      <x:c r="F14" s="16" t="n">
        <x:v>4</x:v>
      </x:c>
      <x:c r="G14" s="20" t="n">
        <x:v>1</x:v>
      </x:c>
      <x:c r="H14" s="16" t="n">
        <x:v>8</x:v>
      </x:c>
      <x:c r="I14" s="16" t="str">
        <x:v>Named subsystem reserve required</x:v>
      </x:c>
      <x:c r="J14" s="16" t="str">
        <x:v>Target</x:v>
      </x:c>
      <x:c r="K14" s="16" t="str">
        <x:v>Rival-specific procedure</x:v>
      </x:c>
      <x:c r="L14" s="16" t="str">
        <x:v>UNTESTED</x:v>
      </x:c>
      <x:c r="M14" s="16" t="str">
        <x:f>IF(AND(E14&gt;=G14,F14&lt;=H14,L14="PASS"),"PASS","FAIL")</x:f>
        <x:v>FAIL</x:v>
      </x:c>
    </x:row>
    <x:row r="15" ht="48" customHeight="1">
      <x:c r="C15" s="11" t="str">
        <x:v>R-250</x:v>
      </x:c>
      <x:c r="D15" s="16" t="str">
        <x:v>Receiver contamination hold</x:v>
      </x:c>
      <x:c r="E15" s="20" t="n">
        <x:v>0</x:v>
      </x:c>
      <x:c r="F15" s="16" t="n">
        <x:v>24</x:v>
      </x:c>
      <x:c r="G15" s="20" t="n">
        <x:v>0.5</x:v>
      </x:c>
      <x:c r="H15" s="16" t="n">
        <x:v>24</x:v>
      </x:c>
      <x:c r="I15" s="16" t="str">
        <x:v>Named subsystem reserve required</x:v>
      </x:c>
      <x:c r="J15" s="16" t="str">
        <x:v>Target</x:v>
      </x:c>
      <x:c r="K15" s="16" t="str">
        <x:v>Rival-specific procedure</x:v>
      </x:c>
      <x:c r="L15" s="16" t="str">
        <x:v>UNTESTED</x:v>
      </x:c>
      <x:c r="M15" s="16" t="str">
        <x:f>IF(AND(E15&gt;=G15,F15&lt;=H15,L15="PASS"),"PASS","FAIL")</x:f>
        <x:v>FAIL</x:v>
      </x:c>
    </x:row>
    <x:row r="16" ht="48" customHeight="1">
      <x:c r="C16" s="11" t="str">
        <x:v>X-500</x:v>
      </x:c>
      <x:c r="D16" s="16" t="str">
        <x:v>Single full-bore rupture</x:v>
      </x:c>
      <x:c r="E16" s="20" t="n">
        <x:v>0</x:v>
      </x:c>
      <x:c r="F16" s="16" t="n">
        <x:v>10</x:v>
      </x:c>
      <x:c r="G16" s="20" t="n">
        <x:v>0.5</x:v>
      </x:c>
      <x:c r="H16" s="16" t="n">
        <x:v>24</x:v>
      </x:c>
      <x:c r="I16" s="16" t="str">
        <x:v>10% pipe reserve</x:v>
      </x:c>
      <x:c r="J16" s="16" t="str">
        <x:v>Target</x:v>
      </x:c>
      <x:c r="K16" s="16" t="str">
        <x:v>Rival-specific procedure</x:v>
      </x:c>
      <x:c r="L16" s="16" t="str">
        <x:v>UNTESTED</x:v>
      </x:c>
      <x:c r="M16" s="16" t="str">
        <x:f>IF(AND(E16&gt;=G16,F16&lt;=H16,L16="PASS"),"PASS","FAIL")</x:f>
        <x:v>FAIL</x:v>
      </x:c>
    </x:row>
    <x:row r="17" ht="48" customHeight="1">
      <x:c r="C17" s="11" t="str">
        <x:v>X-500</x:v>
      </x:c>
      <x:c r="D17" s="16" t="str">
        <x:v>Representative field-joint defect</x:v>
      </x:c>
      <x:c r="E17" s="20" t="n">
        <x:v>0</x:v>
      </x:c>
      <x:c r="F17" s="16" t="n">
        <x:v>6</x:v>
      </x:c>
      <x:c r="G17" s="20" t="n">
        <x:v>0.5</x:v>
      </x:c>
      <x:c r="H17" s="16" t="n">
        <x:v>12</x:v>
      </x:c>
      <x:c r="I17" s="16" t="str">
        <x:v>Named subsystem reserve required</x:v>
      </x:c>
      <x:c r="J17" s="16" t="str">
        <x:v>Target</x:v>
      </x:c>
      <x:c r="K17" s="16" t="str">
        <x:v>Rival-specific procedure</x:v>
      </x:c>
      <x:c r="L17" s="16" t="str">
        <x:v>UNTESTED</x:v>
      </x:c>
      <x:c r="M17" s="16" t="str">
        <x:f>IF(AND(E17&gt;=G17,F17&lt;=H17,L17="PASS"),"PASS","FAIL")</x:f>
        <x:v>FAIL</x:v>
      </x:c>
    </x:row>
    <x:row r="18" ht="48" customHeight="1">
      <x:c r="C18" s="11" t="str">
        <x:v>X-500</x:v>
      </x:c>
      <x:c r="D18" s="16" t="str">
        <x:v>Primary handling or process module loss</x:v>
      </x:c>
      <x:c r="E18" s="20" t="n">
        <x:v>0</x:v>
      </x:c>
      <x:c r="F18" s="16" t="n">
        <x:v>96</x:v>
      </x:c>
      <x:c r="G18" s="20" t="n">
        <x:v>0.5</x:v>
      </x:c>
      <x:c r="H18" s="16" t="n">
        <x:v>24</x:v>
      </x:c>
      <x:c r="I18" s="16" t="str">
        <x:v>Named subsystem reserve required</x:v>
      </x:c>
      <x:c r="J18" s="16" t="str">
        <x:v>Target</x:v>
      </x:c>
      <x:c r="K18" s="16" t="str">
        <x:v>Rival-specific procedure</x:v>
      </x:c>
      <x:c r="L18" s="16" t="str">
        <x:v>UNTESTED</x:v>
      </x:c>
      <x:c r="M18" s="16" t="str">
        <x:f>IF(AND(E18&gt;=G18,F18&lt;=H18,L18="PASS"),"PASS","FAIL")</x:f>
        <x:v>FAIL</x:v>
      </x:c>
    </x:row>
    <x:row r="19" ht="48" customHeight="1">
      <x:c r="C19" s="11" t="str">
        <x:v>X-500</x:v>
      </x:c>
      <x:c r="D19" s="16" t="str">
        <x:v>One power module unavailable</x:v>
      </x:c>
      <x:c r="E19" s="20" t="n">
        <x:v>1</x:v>
      </x:c>
      <x:c r="F19" s="16" t="n">
        <x:v>4</x:v>
      </x:c>
      <x:c r="G19" s="20" t="n">
        <x:v>1</x:v>
      </x:c>
      <x:c r="H19" s="16" t="n">
        <x:v>8</x:v>
      </x:c>
      <x:c r="I19" s="16" t="str">
        <x:v>Named subsystem reserve required</x:v>
      </x:c>
      <x:c r="J19" s="16" t="str">
        <x:v>Target</x:v>
      </x:c>
      <x:c r="K19" s="16" t="str">
        <x:v>Rival-specific procedure</x:v>
      </x:c>
      <x:c r="L19" s="16" t="str">
        <x:v>UNTESTED</x:v>
      </x:c>
      <x:c r="M19" s="16" t="str">
        <x:f>IF(AND(E19&gt;=G19,F19&lt;=H19,L19="PASS"),"PASS","FAIL")</x:f>
        <x:v>FAIL</x:v>
      </x:c>
    </x:row>
    <x:row r="20" ht="48" customHeight="1">
      <x:c r="C20" s="11" t="str">
        <x:v>X-500</x:v>
      </x:c>
      <x:c r="D20" s="16" t="str">
        <x:v>Receiver contamination hold</x:v>
      </x:c>
      <x:c r="E20" s="20" t="n">
        <x:v>0</x:v>
      </x:c>
      <x:c r="F20" s="16" t="n">
        <x:v>24</x:v>
      </x:c>
      <x:c r="G20" s="20" t="n">
        <x:v>0.5</x:v>
      </x:c>
      <x:c r="H20" s="16" t="n">
        <x:v>24</x:v>
      </x:c>
      <x:c r="I20" s="16" t="str">
        <x:v>Named subsystem reserve required</x:v>
      </x:c>
      <x:c r="J20" s="16" t="str">
        <x:v>Target</x:v>
      </x:c>
      <x:c r="K20" s="16" t="str">
        <x:v>Rival-specific procedure</x:v>
      </x:c>
      <x:c r="L20" s="16" t="str">
        <x:v>UNTESTED</x:v>
      </x:c>
      <x:c r="M20" s="16" t="str">
        <x:f>IF(AND(E20&gt;=G20,F20&lt;=H20,L20="PASS"),"PASS","FAIL")</x:f>
        <x:v>FAIL</x:v>
      </x:c>
    </x:row>
    <x:row r="21" ht="48" customHeight="1">
      <x:c r="C21" s="11" t="str">
        <x:v>F-500</x:v>
      </x:c>
      <x:c r="D21" s="16" t="str">
        <x:v>Single full-bore rupture</x:v>
      </x:c>
      <x:c r="E21" s="20" t="n">
        <x:v>0</x:v>
      </x:c>
      <x:c r="F21" s="16" t="n">
        <x:v>6</x:v>
      </x:c>
      <x:c r="G21" s="20" t="n">
        <x:v>0.5</x:v>
      </x:c>
      <x:c r="H21" s="16" t="n">
        <x:v>24</x:v>
      </x:c>
      <x:c r="I21" s="16" t="str">
        <x:v>10% pipe reserve</x:v>
      </x:c>
      <x:c r="J21" s="16" t="str">
        <x:v>Target</x:v>
      </x:c>
      <x:c r="K21" s="16" t="str">
        <x:v>Rival-specific procedure</x:v>
      </x:c>
      <x:c r="L21" s="16" t="str">
        <x:v>UNTESTED</x:v>
      </x:c>
      <x:c r="M21" s="16" t="str">
        <x:f>IF(AND(E21&gt;=G21,F21&lt;=H21,L21="PASS"),"PASS","FAIL")</x:f>
        <x:v>FAIL</x:v>
      </x:c>
    </x:row>
    <x:row r="22" ht="48" customHeight="1">
      <x:c r="C22" s="11" t="str">
        <x:v>F-500</x:v>
      </x:c>
      <x:c r="D22" s="16" t="str">
        <x:v>Representative field-joint defect</x:v>
      </x:c>
      <x:c r="E22" s="20" t="n">
        <x:v>0</x:v>
      </x:c>
      <x:c r="F22" s="16" t="n">
        <x:v>4</x:v>
      </x:c>
      <x:c r="G22" s="20" t="n">
        <x:v>0.5</x:v>
      </x:c>
      <x:c r="H22" s="16" t="n">
        <x:v>12</x:v>
      </x:c>
      <x:c r="I22" s="16" t="str">
        <x:v>Named subsystem reserve required</x:v>
      </x:c>
      <x:c r="J22" s="16" t="str">
        <x:v>Target</x:v>
      </x:c>
      <x:c r="K22" s="16" t="str">
        <x:v>Rival-specific procedure</x:v>
      </x:c>
      <x:c r="L22" s="16" t="str">
        <x:v>UNTESTED</x:v>
      </x:c>
      <x:c r="M22" s="16" t="str">
        <x:f>IF(AND(E22&gt;=G22,F22&lt;=H22,L22="PASS"),"PASS","FAIL")</x:f>
        <x:v>FAIL</x:v>
      </x:c>
    </x:row>
    <x:row r="23" ht="48" customHeight="1">
      <x:c r="C23" s="11" t="str">
        <x:v>F-500</x:v>
      </x:c>
      <x:c r="D23" s="16" t="str">
        <x:v>Primary handling or process module loss</x:v>
      </x:c>
      <x:c r="E23" s="20" t="n">
        <x:v>0</x:v>
      </x:c>
      <x:c r="F23" s="16" t="n">
        <x:v>48</x:v>
      </x:c>
      <x:c r="G23" s="20" t="n">
        <x:v>0.5</x:v>
      </x:c>
      <x:c r="H23" s="16" t="n">
        <x:v>24</x:v>
      </x:c>
      <x:c r="I23" s="16" t="str">
        <x:v>Named subsystem reserve required</x:v>
      </x:c>
      <x:c r="J23" s="16" t="str">
        <x:v>Target</x:v>
      </x:c>
      <x:c r="K23" s="16" t="str">
        <x:v>Rival-specific procedure</x:v>
      </x:c>
      <x:c r="L23" s="16" t="str">
        <x:v>UNTESTED</x:v>
      </x:c>
      <x:c r="M23" s="16" t="str">
        <x:f>IF(AND(E23&gt;=G23,F23&lt;=H23,L23="PASS"),"PASS","FAIL")</x:f>
        <x:v>FAIL</x:v>
      </x:c>
    </x:row>
    <x:row r="24" ht="48" customHeight="1">
      <x:c r="C24" s="11" t="str">
        <x:v>F-500</x:v>
      </x:c>
      <x:c r="D24" s="16" t="str">
        <x:v>One power module unavailable</x:v>
      </x:c>
      <x:c r="E24" s="20" t="n">
        <x:v>1</x:v>
      </x:c>
      <x:c r="F24" s="16" t="n">
        <x:v>4</x:v>
      </x:c>
      <x:c r="G24" s="20" t="n">
        <x:v>1</x:v>
      </x:c>
      <x:c r="H24" s="16" t="n">
        <x:v>8</x:v>
      </x:c>
      <x:c r="I24" s="16" t="str">
        <x:v>Named subsystem reserve required</x:v>
      </x:c>
      <x:c r="J24" s="16" t="str">
        <x:v>Target</x:v>
      </x:c>
      <x:c r="K24" s="16" t="str">
        <x:v>Rival-specific procedure</x:v>
      </x:c>
      <x:c r="L24" s="16" t="str">
        <x:v>UNTESTED</x:v>
      </x:c>
      <x:c r="M24" s="16" t="str">
        <x:f>IF(AND(E24&gt;=G24,F24&lt;=H24,L24="PASS"),"PASS","FAIL")</x:f>
        <x:v>FAIL</x:v>
      </x:c>
    </x:row>
    <x:row r="25" ht="48" customHeight="1">
      <x:c r="C25" s="11" t="str">
        <x:v>F-500</x:v>
      </x:c>
      <x:c r="D25" s="16" t="str">
        <x:v>Receiver contamination hold</x:v>
      </x:c>
      <x:c r="E25" s="20" t="n">
        <x:v>0</x:v>
      </x:c>
      <x:c r="F25" s="16" t="n">
        <x:v>24</x:v>
      </x:c>
      <x:c r="G25" s="20" t="n">
        <x:v>0.5</x:v>
      </x:c>
      <x:c r="H25" s="16" t="n">
        <x:v>24</x:v>
      </x:c>
      <x:c r="I25" s="16" t="str">
        <x:v>Named subsystem reserve required</x:v>
      </x:c>
      <x:c r="J25" s="16" t="str">
        <x:v>Target</x:v>
      </x:c>
      <x:c r="K25" s="16" t="str">
        <x:v>Rival-specific procedure</x:v>
      </x:c>
      <x:c r="L25" s="16" t="str">
        <x:v>UNTESTED</x:v>
      </x:c>
      <x:c r="M25" s="16" t="str">
        <x:f>IF(AND(E25&gt;=G25,F25&lt;=H25,L25="PASS"),"PASS","FAIL")</x:f>
        <x:v>FAIL</x:v>
      </x:c>
    </x:row>
    <x:row r="31">
      <x:c r="C31" s="9" t="str">
        <x:v>System finding</x:v>
      </x:c>
      <x:c r="D31" s="9" t="str">
        <x:v>Current architecture</x:v>
      </x:c>
      <x:c r="E31" s="9" t="str">
        <x:v>Required design change</x:v>
      </x:c>
      <x:c r="F31" s="9" t="str">
        <x:v>Acquisition consequence</x:v>
      </x:c>
      <x:c r="G31" s="9" t="str">
        <x:v>Evidence needed</x:v>
      </x:c>
      <x:c r="H31" s="9" t="str">
        <x:v>Rendering</x:v>
      </x:c>
    </x:row>
    <x:row r="32" ht="78" customHeight="1">
      <x:c r="C32" s="11" t="str">
        <x:v>Line outage continuity</x:v>
      </x:c>
      <x:c r="D32" s="16" t="str">
        <x:v>One installed 0.5 m trunk; rupture produces zero bulk delivery</x:v>
      </x:c>
      <x:c r="E32" s="16" t="str">
        <x:v>Compete two smaller parallel lines, sectional bypass, local buffer or alternate route</x:v>
      </x:c>
      <x:c r="F32" s="16" t="str">
        <x:v>Degraded-service fraction becomes a contractual measure</x:v>
      </x:c>
      <x:c r="G32" s="16" t="str">
        <x:v>Full-flow rupture and lawful public-service trial</x:v>
      </x:c>
      <x:c r="H32" s="16" t="str">
        <x:v>BLOCKED</x:v>
      </x:c>
    </x:row>
    <x:row r="33" ht="78" customHeight="1">
      <x:c r="C33" s="11" t="str">
        <x:v>Repair reserve</x:v>
      </x:c>
      <x:c r="D33" s="16" t="str">
        <x:v>Ten percent material mass without serialized damage cases</x:v>
      </x:c>
      <x:c r="E33" s="16" t="str">
        <x:v>Allocate segments, joints, valves, liners, tools and crews to named failures</x:v>
      </x:c>
      <x:c r="F33" s="16" t="str">
        <x:v>Reserve procurement follows failure coverage, not a percentage</x:v>
      </x:c>
      <x:c r="G33" s="16" t="str">
        <x:v>Seeded damage matrix and second-event reset</x:v>
      </x:c>
      <x:c r="H33" s="16" t="str">
        <x:v>BLOCKED</x:v>
      </x:c>
    </x:row>
    <x:row r="34" ht="78" customHeight="1">
      <x:c r="C34" s="11" t="str">
        <x:v>Process common mode</x:v>
      </x:c>
      <x:c r="D34" s="16" t="str">
        <x:v>Extrusion and fold-flat rivals depend on specialized mobile process modules</x:v>
      </x:c>
      <x:c r="E34" s="16" t="str">
        <x:v>Compete independent work cells and cross-rival repair interfaces</x:v>
      </x:c>
      <x:c r="F34" s="16" t="str">
        <x:v>Factory availability enters formation quantity</x:v>
      </x:c>
      <x:c r="G34" s="16" t="str">
        <x:v>Deliberate process-cell loss during corridor build</x:v>
      </x:c>
      <x:c r="H34" s="16" t="str">
        <x:v>BLOCKED</x:v>
      </x:c>
    </x:row>
    <x:row r="35" ht="78" customHeight="1">
      <x:c r="C35" s="11" t="str">
        <x:v>Receiver common mode</x:v>
      </x:c>
      <x:c r="D35" s="16" t="str">
        <x:v>All rivals share storage, discharge, quality and civil acceptance</x:v>
      </x:c>
      <x:c r="E35" s="16" t="str">
        <x:v>Build prepared receiver variants and isolated storage sectors</x:v>
      </x:c>
      <x:c r="F35" s="16" t="str">
        <x:v>Receiver capital is part of force structure</x:v>
      </x:c>
      <x:c r="G35" s="16" t="str">
        <x:v>Contamination hold and receiver-switch exercise</x:v>
      </x:c>
      <x:c r="H35" s="16" t="str">
        <x:v>BLOCKED</x:v>
      </x:c>
    </x:row>
  </x:sheetData>
  <x:conditionalFormatting sqref="L6:M25">
    <x:cfRule type="containsText" dxfId="90" priority="1" operator="containsText" text="FAIL"/>
    <x:cfRule type="containsText" dxfId="91" priority="2" operator="containsText" text="DENIED"/>
    <x:cfRule type="containsText" dxfId="92" priority="3" operator="containsText" text="BLOCKED"/>
    <x:cfRule type="containsText" dxfId="93" priority="4" operator="containsText" text="INVALID"/>
    <x:cfRule type="containsText" dxfId="94" priority="5" operator="containsText" text="OPEN"/>
    <x:cfRule type="containsText" dxfId="95" priority="6" operator="containsText" text="UNTESTED"/>
    <x:cfRule type="containsText" dxfId="96" priority="7" operator="containsText" text="DECLARED"/>
    <x:cfRule type="containsText" dxfId="97" priority="8" operator="containsText" text="PASS"/>
    <x:cfRule type="containsText" dxfId="98" priority="9" operator="containsText" text="MET"/>
  </x:conditionalFormatting>
  <x:conditionalFormatting sqref="H32:H35">
    <x:cfRule type="containsText" dxfId="99" priority="10" operator="containsText" text="FAIL"/>
    <x:cfRule type="containsText" dxfId="100" priority="11" operator="containsText" text="DENIED"/>
    <x:cfRule type="containsText" dxfId="101" priority="12" operator="containsText" text="BLOCKED"/>
    <x:cfRule type="containsText" dxfId="102" priority="13" operator="containsText" text="INVALID"/>
    <x:cfRule type="containsText" dxfId="103" priority="14" operator="containsText" text="OPEN"/>
    <x:cfRule type="containsText" dxfId="104" priority="15" operator="containsText" text="UNTESTED"/>
    <x:cfRule type="containsText" dxfId="105" priority="16" operator="containsText" text="DECLARED"/>
    <x:cfRule type="containsText" dxfId="106" priority="17" operator="containsText" text="PASS"/>
    <x:cfRule type="containsText" dxfId="107" priority="1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d83012a78c28405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2" hidden="0" customWidth="1"/>
    <x:col min="4" max="4" width="43" hidden="0" customWidth="1"/>
    <x:col min="5" max="5" width="13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52" hidden="0" customWidth="1"/>
    <x:col min="11" max="11" width="18" hidden="0" customWidth="1"/>
  </x:cols>
  <x:sheetData>
    <x:row r="2">
      <x:c r="C2" s="2" t="str">
        <x:v>Twenty-five-year first-reach technology program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C3" s="3" t="str">
        <x:v>This is a declared acquisition slice for conveyance and complete-chain proving. It excludes national water-force procurement, strategic carriers and maritime platforms.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C5" s="9" t="str">
        <x:v>WBS</x:v>
      </x:c>
      <x:c r="D5" s="9" t="str">
        <x:v>Program element</x:v>
      </x:c>
      <x:c r="E5" s="9" t="str">
        <x:v>Quantity</x:v>
      </x:c>
      <x:c r="F5" s="9" t="str">
        <x:v>Unit cost $B</x:v>
      </x:c>
      <x:c r="G5" s="9" t="str">
        <x:v>Base $B</x:v>
      </x:c>
      <x:c r="H5" s="9" t="str">
        <x:v>Low $B</x:v>
      </x:c>
      <x:c r="I5" s="9" t="str">
        <x:v>High $B</x:v>
      </x:c>
      <x:c r="J5" s="9" t="str">
        <x:v>Primary deliverable</x:v>
      </x:c>
      <x:c r="K5" s="9" t="str">
        <x:v>Cost state</x:v>
      </x:c>
    </x:row>
    <x:row r="6" ht="46" customHeight="1">
      <x:c r="C6" s="11" t="str">
        <x:v>1.1</x:v>
      </x:c>
      <x:c r="D6" s="16" t="str">
        <x:v>Competing architecture teams</x:v>
      </x:c>
      <x:c r="E6" s="16" t="n">
        <x:v>4</x:v>
      </x:c>
      <x:c r="F6" s="21" t="n">
        <x:v>0.45</x:v>
      </x:c>
      <x:c r="G6" s="21" t="n">
        <x:f>E6*F6</x:f>
        <x:v>1.8</x:v>
      </x:c>
      <x:c r="H6" s="21" t="n">
        <x:f>G6*'01 Controls'!$D$32</x:f>
        <x:v>1.35</x:v>
      </x:c>
      <x:c r="I6" s="21" t="n">
        <x:f>G6*'01 Controls'!$D$33</x:f>
        <x:v>2.43</x:v>
      </x:c>
      <x:c r="J6" s="16" t="str">
        <x:v>Four independent configurations</x:v>
      </x:c>
      <x:c r="K6" s="16" t="str">
        <x:v>DECLARED</x:v>
      </x:c>
    </x:row>
    <x:row r="7" ht="46" customHeight="1">
      <x:c r="C7" s="11" t="str">
        <x:v>1.2</x:v>
      </x:c>
      <x:c r="D7" s="16" t="str">
        <x:v>Materials and process qualification</x:v>
      </x:c>
      <x:c r="E7" s="16" t="n">
        <x:v>4</x:v>
      </x:c>
      <x:c r="F7" s="21" t="n">
        <x:v>1.2</x:v>
      </x:c>
      <x:c r="G7" s="21" t="n">
        <x:f>E7*F7</x:f>
        <x:v>4.8</x:v>
      </x:c>
      <x:c r="H7" s="21" t="n">
        <x:f>G7*'01 Controls'!$D$32</x:f>
        <x:v>3.5999999999999996</x:v>
      </x:c>
      <x:c r="I7" s="21" t="n">
        <x:f>G7*'01 Controls'!$D$33</x:f>
        <x:v>6.48</x:v>
      </x:c>
      <x:c r="J7" s="16" t="str">
        <x:v>Pressure, potable, aging and repair evidence</x:v>
      </x:c>
      <x:c r="K7" s="16" t="str">
        <x:v>DECLARED</x:v>
      </x:c>
    </x:row>
    <x:row r="8" ht="46" customHeight="1">
      <x:c r="C8" s="11" t="str">
        <x:v>2.1</x:v>
      </x:c>
      <x:c r="D8" s="16" t="str">
        <x:v>Full-scale 10 km prototype sets</x:v>
      </x:c>
      <x:c r="E8" s="16" t="n">
        <x:v>4</x:v>
      </x:c>
      <x:c r="F8" s="21" t="n">
        <x:v>1.8</x:v>
      </x:c>
      <x:c r="G8" s="21" t="n">
        <x:f>E8*F8</x:f>
        <x:v>7.2</x:v>
      </x:c>
      <x:c r="H8" s="21" t="n">
        <x:f>G8*'01 Controls'!$D$32</x:f>
        <x:v>5.4</x:v>
      </x:c>
      <x:c r="I8" s="21" t="n">
        <x:f>G8*'01 Controls'!$D$33</x:f>
        <x:v>9.72</x:v>
      </x:c>
      <x:c r="J8" s="16" t="str">
        <x:v>One complete set for each rival</x:v>
      </x:c>
      <x:c r="K8" s="16" t="str">
        <x:v>DECLARED</x:v>
      </x:c>
    </x:row>
    <x:row r="9" ht="46" customHeight="1">
      <x:c r="C9" s="11" t="str">
        <x:v>2.2</x:v>
      </x:c>
      <x:c r="D9" s="16" t="str">
        <x:v>Representative proving corridors</x:v>
      </x:c>
      <x:c r="E9" s="16" t="n">
        <x:v>6</x:v>
      </x:c>
      <x:c r="F9" s="21" t="n">
        <x:v>1.5</x:v>
      </x:c>
      <x:c r="G9" s="21" t="n">
        <x:f>E9*F9</x:f>
        <x:v>9</x:v>
      </x:c>
      <x:c r="H9" s="21" t="n">
        <x:f>G9*'01 Controls'!$D$32</x:f>
        <x:v>6.75</x:v>
      </x:c>
      <x:c r="I9" s="21" t="n">
        <x:f>G9*'01 Controls'!$D$33</x:f>
        <x:v>12.15</x:v>
      </x:c>
      <x:c r="J9" s="16" t="str">
        <x:v>Urban, rubble, steep, frozen, fire and inundated routes</x:v>
      </x:c>
      <x:c r="K9" s="16" t="str">
        <x:v>DECLARED</x:v>
      </x:c>
    </x:row>
    <x:row r="10" ht="46" customHeight="1">
      <x:c r="C10" s="11" t="str">
        <x:v>2.3</x:v>
      </x:c>
      <x:c r="D10" s="16" t="str">
        <x:v>Autonomous and optionally crewed machine prototypes</x:v>
      </x:c>
      <x:c r="E10" s="16" t="n">
        <x:v>12</x:v>
      </x:c>
      <x:c r="F10" s="21" t="n">
        <x:v>0.35</x:v>
      </x:c>
      <x:c r="G10" s="21" t="n">
        <x:f>E10*F10</x:f>
        <x:v>4.199999999999999</x:v>
      </x:c>
      <x:c r="H10" s="21" t="n">
        <x:f>G10*'01 Controls'!$D$32</x:f>
        <x:v>3.1499999999999995</x:v>
      </x:c>
      <x:c r="I10" s="21" t="n">
        <x:f>G10*'01 Controls'!$D$33</x:f>
        <x:v>5.669999999999999</x:v>
      </x:c>
      <x:c r="J10" s="16" t="str">
        <x:v>Survey, handling, joining, inspection and repair cells</x:v>
      </x:c>
      <x:c r="K10" s="16" t="str">
        <x:v>DECLARED</x:v>
      </x:c>
    </x:row>
    <x:row r="11" ht="46" customHeight="1">
      <x:c r="C11" s="11" t="str">
        <x:v>3.1</x:v>
      </x:c>
      <x:c r="D11" s="16" t="str">
        <x:v>Prepared first-reach receiver nodes</x:v>
      </x:c>
      <x:c r="E11" s="16" t="n">
        <x:v>12</x:v>
      </x:c>
      <x:c r="F11" s="21" t="n">
        <x:v>0.6</x:v>
      </x:c>
      <x:c r="G11" s="21" t="n">
        <x:f>E11*F11</x:f>
        <x:v>7.199999999999999</x:v>
      </x:c>
      <x:c r="H11" s="21" t="n">
        <x:f>G11*'01 Controls'!$D$32</x:f>
        <x:v>5.3999999999999995</x:v>
      </x:c>
      <x:c r="I11" s="21" t="n">
        <x:f>G11*'01 Controls'!$D$33</x:f>
        <x:v>9.719999999999999</x:v>
      </x:c>
      <x:c r="J11" s="16" t="str">
        <x:v>Source, pad, storage, discharge and public-access variants</x:v>
      </x:c>
      <x:c r="K11" s="16" t="str">
        <x:v>DECLARED</x:v>
      </x:c>
    </x:row>
    <x:row r="12" ht="46" customHeight="1">
      <x:c r="C12" s="11" t="str">
        <x:v>3.2</x:v>
      </x:c>
      <x:c r="D12" s="16" t="str">
        <x:v>Configuration, safety and digital release system</x:v>
      </x:c>
      <x:c r="E12" s="16" t="n">
        <x:v>1</x:v>
      </x:c>
      <x:c r="F12" s="21" t="n">
        <x:v>3</x:v>
      </x:c>
      <x:c r="G12" s="21" t="n">
        <x:f>E12*F12</x:f>
        <x:v>3</x:v>
      </x:c>
      <x:c r="H12" s="21" t="n">
        <x:f>G12*'01 Controls'!$D$32</x:f>
        <x:v>2.25</x:v>
      </x:c>
      <x:c r="I12" s="21" t="n">
        <x:f>G12*'01 Controls'!$D$33</x:f>
        <x:v>4.050000000000001</x:v>
      </x:c>
      <x:c r="J12" s="16" t="str">
        <x:v>Object, joint, route, node and receiver authority</x:v>
      </x:c>
      <x:c r="K12" s="16" t="str">
        <x:v>DECLARED</x:v>
      </x:c>
    </x:row>
    <x:row r="13" ht="46" customHeight="1">
      <x:c r="C13" s="11" t="str">
        <x:v>4.1</x:v>
      </x:c>
      <x:c r="D13" s="16" t="str">
        <x:v>Pilot production lines</x:v>
      </x:c>
      <x:c r="E13" s="16" t="n">
        <x:v>4</x:v>
      </x:c>
      <x:c r="F13" s="21" t="n">
        <x:v>2.5</x:v>
      </x:c>
      <x:c r="G13" s="21" t="n">
        <x:f>E13*F13</x:f>
        <x:v>10</x:v>
      </x:c>
      <x:c r="H13" s="21" t="n">
        <x:f>G13*'01 Controls'!$D$32</x:f>
        <x:v>7.5</x:v>
      </x:c>
      <x:c r="I13" s="21" t="n">
        <x:f>G13*'01 Controls'!$D$33</x:f>
        <x:v>13.5</x:v>
      </x:c>
      <x:c r="J13" s="16" t="str">
        <x:v>Competed manufacturing capacity</x:v>
      </x:c>
      <x:c r="K13" s="16" t="str">
        <x:v>DECLARED</x:v>
      </x:c>
    </x:row>
    <x:row r="14" ht="46" customHeight="1">
      <x:c r="C14" s="11" t="str">
        <x:v>4.2</x:v>
      </x:c>
      <x:c r="D14" s="16" t="str">
        <x:v>Independent test enterprise</x:v>
      </x:c>
      <x:c r="E14" s="16" t="n">
        <x:v>1</x:v>
      </x:c>
      <x:c r="F14" s="21" t="n">
        <x:v>4</x:v>
      </x:c>
      <x:c r="G14" s="21" t="n">
        <x:f>E14*F14</x:f>
        <x:v>4</x:v>
      </x:c>
      <x:c r="H14" s="21" t="n">
        <x:f>G14*'01 Controls'!$D$32</x:f>
        <x:v>3</x:v>
      </x:c>
      <x:c r="I14" s="21" t="n">
        <x:f>G14*'01 Controls'!$D$33</x:f>
        <x:v>5.4</x:v>
      </x:c>
      <x:c r="J14" s="16" t="str">
        <x:v>Full-mission observation and evidence custody</x:v>
      </x:c>
      <x:c r="K14" s="16" t="str">
        <x:v>DECLARED</x:v>
      </x:c>
    </x:row>
    <x:row r="15" ht="46" customHeight="1">
      <x:c r="C15" s="11" t="str">
        <x:v>5.1</x:v>
      </x:c>
      <x:c r="D15" s="16" t="str">
        <x:v>Initial operational first-reach sets</x:v>
      </x:c>
      <x:c r="E15" s="16" t="n">
        <x:v>24</x:v>
      </x:c>
      <x:c r="F15" s="21" t="n">
        <x:v>1.2</x:v>
      </x:c>
      <x:c r="G15" s="21" t="n">
        <x:f>E15*F15</x:f>
        <x:v>28.799999999999997</x:v>
      </x:c>
      <x:c r="H15" s="21" t="n">
        <x:f>G15*'01 Controls'!$D$32</x:f>
        <x:v>21.599999999999998</x:v>
      </x:c>
      <x:c r="I15" s="21" t="n">
        <x:f>G15*'01 Controls'!$D$33</x:f>
        <x:v>38.879999999999995</x:v>
      </x:c>
      <x:c r="J15" s="16" t="str">
        <x:v>Fielded sets after down-select gates</x:v>
      </x:c>
      <x:c r="K15" s="16" t="str">
        <x:v>DECLARED</x:v>
      </x:c>
    </x:row>
    <x:row r="16" ht="46" customHeight="1">
      <x:c r="C16" s="11" t="str">
        <x:v>5.2</x:v>
      </x:c>
      <x:c r="D16" s="16" t="str">
        <x:v>Regional depots and schools</x:v>
      </x:c>
      <x:c r="E16" s="16" t="n">
        <x:v>6</x:v>
      </x:c>
      <x:c r="F16" s="21" t="n">
        <x:v>1</x:v>
      </x:c>
      <x:c r="G16" s="21" t="n">
        <x:f>E16*F16</x:f>
        <x:v>6</x:v>
      </x:c>
      <x:c r="H16" s="21" t="n">
        <x:f>G16*'01 Controls'!$D$32</x:f>
        <x:v>4.5</x:v>
      </x:c>
      <x:c r="I16" s="21" t="n">
        <x:f>G16*'01 Controls'!$D$33</x:f>
        <x:v>8.100000000000001</x:v>
      </x:c>
      <x:c r="J16" s="16" t="str">
        <x:v>Training, spares, reset and second-event readiness</x:v>
      </x:c>
      <x:c r="K16" s="16" t="str">
        <x:v>DECLARED</x:v>
      </x:c>
    </x:row>
    <x:row r="17" ht="46" customHeight="1">
      <x:c r="C17" s="11" t="str">
        <x:v>5.3</x:v>
      </x:c>
      <x:c r="D17" s="16" t="str">
        <x:v>Industrial mobilization capacity</x:v>
      </x:c>
      <x:c r="E17" s="16" t="n">
        <x:v>1</x:v>
      </x:c>
      <x:c r="F17" s="21" t="n">
        <x:v>10</x:v>
      </x:c>
      <x:c r="G17" s="21" t="n">
        <x:f>E17*F17</x:f>
        <x:v>10</x:v>
      </x:c>
      <x:c r="H17" s="21" t="n">
        <x:f>G17*'01 Controls'!$D$32</x:f>
        <x:v>7.5</x:v>
      </x:c>
      <x:c r="I17" s="21" t="n">
        <x:f>G17*'01 Controls'!$D$33</x:f>
        <x:v>13.5</x:v>
      </x:c>
      <x:c r="J17" s="16" t="str">
        <x:v>Surge tooling, strategic material and supplier qualification</x:v>
      </x:c>
      <x:c r="K17" s="16" t="str">
        <x:v>DECLARED</x:v>
      </x:c>
    </x:row>
    <x:row r="18" ht="46" customHeight="1">
      <x:c r="C18" s="22" t="str"/>
      <x:c r="D18" s="23" t="str">
        <x:v>Program subtotal</x:v>
      </x:c>
      <x:c r="E18" s="23"/>
      <x:c r="F18" s="24"/>
      <x:c r="G18" s="24" t="n">
        <x:f>SUM(G6:G17)</x:f>
        <x:v>96</x:v>
      </x:c>
      <x:c r="H18" s="24" t="n">
        <x:f>SUM(H6:H17)</x:f>
        <x:v>72</x:v>
      </x:c>
      <x:c r="I18" s="24" t="n">
        <x:f>SUM(I6:I17)</x:f>
        <x:v>129.6</x:v>
      </x:c>
      <x:c r="J18" s="23" t="str">
        <x:v>Before reserve</x:v>
      </x:c>
      <x:c r="K18" s="23" t="str">
        <x:v>CALCULATED</x:v>
      </x:c>
    </x:row>
    <x:row r="19" ht="46" customHeight="1">
      <x:c r="C19" s="22" t="str"/>
      <x:c r="D19" s="23" t="str">
        <x:v>Named program reserve</x:v>
      </x:c>
      <x:c r="E19" s="23"/>
      <x:c r="F19" s="24"/>
      <x:c r="G19" s="24" t="n">
        <x:f>G18*'01 Controls'!$D$34</x:f>
        <x:v>14.399999999999999</x:v>
      </x:c>
      <x:c r="H19" s="24" t="n">
        <x:f>H18*'01 Controls'!$D$34</x:f>
        <x:v>10.799999999999999</x:v>
      </x:c>
      <x:c r="I19" s="24" t="n">
        <x:f>I18*'01 Controls'!$D$34</x:f>
        <x:v>19.439999999999998</x:v>
      </x:c>
      <x:c r="J19" s="23" t="str">
        <x:v>Controlled reserve, not unconfigured mass</x:v>
      </x:c>
      <x:c r="K19" s="23" t="str">
        <x:v>DECLARED</x:v>
      </x:c>
    </x:row>
    <x:row r="20" ht="46" customHeight="1">
      <x:c r="C20" s="25" t="str"/>
      <x:c r="D20" s="26" t="str">
        <x:v>Program total</x:v>
      </x:c>
      <x:c r="E20" s="26"/>
      <x:c r="F20" s="27"/>
      <x:c r="G20" s="27" t="n">
        <x:f>G18+G19</x:f>
        <x:v>110.4</x:v>
      </x:c>
      <x:c r="H20" s="27" t="n">
        <x:f>H18+H19</x:f>
        <x:v>82.8</x:v>
      </x:c>
      <x:c r="I20" s="27" t="n">
        <x:f>I18+I19</x:f>
        <x:v>149.04</x:v>
      </x:c>
      <x:c r="J20" s="26" t="str">
        <x:v>Technology program only</x:v>
      </x:c>
      <x:c r="K20" s="26" t="str">
        <x:v>CALCULATED</x:v>
      </x:c>
    </x:row>
    <x:row r="25">
      <x:c r="C25" s="9" t="str">
        <x:v>Phase</x:v>
      </x:c>
      <x:c r="D25" s="9" t="str">
        <x:v>Years</x:v>
      </x:c>
      <x:c r="E25" s="9" t="str">
        <x:v>Base share</x:v>
      </x:c>
      <x:c r="F25" s="9" t="str">
        <x:v>Base $B</x:v>
      </x:c>
      <x:c r="G25" s="9" t="str">
        <x:v>Low $B</x:v>
      </x:c>
      <x:c r="H25" s="9" t="str">
        <x:v>High $B</x:v>
      </x:c>
      <x:c r="I25" s="9" t="str">
        <x:v>Primary decision</x:v>
      </x:c>
    </x:row>
    <x:row r="26" ht="56" customHeight="1">
      <x:c r="C26" s="16" t="str">
        <x:v>Discovery and qualification</x:v>
      </x:c>
      <x:c r="D26" s="11" t="str">
        <x:v>1–5</x:v>
      </x:c>
      <x:c r="E26" s="28" t="n">
        <x:v>0.18</x:v>
      </x:c>
      <x:c r="F26" s="29" t="n">
        <x:f>$G$20*E26</x:f>
        <x:v>19.872</x:v>
      </x:c>
      <x:c r="G26" s="29" t="n">
        <x:f>$H$20*E26</x:f>
        <x:v>14.903999999999998</x:v>
      </x:c>
      <x:c r="H26" s="29" t="n">
        <x:f>$I$20*E26</x:f>
        <x:v>26.827199999999998</x:v>
      </x:c>
      <x:c r="I26" s="16" t="str">
        <x:v>Retain or terminate rival architectures</x:v>
      </x:c>
    </x:row>
    <x:row r="27" ht="56" customHeight="1">
      <x:c r="C27" s="16" t="str">
        <x:v>Prototype and corridor proof</x:v>
      </x:c>
      <x:c r="D27" s="11" t="str">
        <x:v>6–10</x:v>
      </x:c>
      <x:c r="E27" s="28" t="n">
        <x:v>0.25</x:v>
      </x:c>
      <x:c r="F27" s="29" t="n">
        <x:f>$G$20*E27</x:f>
        <x:v>27.6</x:v>
      </x:c>
      <x:c r="G27" s="29" t="n">
        <x:f>$H$20*E27</x:f>
        <x:v>20.7</x:v>
      </x:c>
      <x:c r="H27" s="29" t="n">
        <x:f>$I$20*E27</x:f>
        <x:v>37.26</x:v>
      </x:c>
      <x:c r="I27" s="16" t="str">
        <x:v>Demonstrate complete first-reach service</x:v>
      </x:c>
    </x:row>
    <x:row r="28" ht="56" customHeight="1">
      <x:c r="C28" s="16" t="str">
        <x:v>Pilot production and receiver network</x:v>
      </x:c>
      <x:c r="D28" s="11" t="str">
        <x:v>11–15</x:v>
      </x:c>
      <x:c r="E28" s="28" t="n">
        <x:v>0.28</x:v>
      </x:c>
      <x:c r="F28" s="29" t="n">
        <x:f>$G$20*E28</x:f>
        <x:v>30.912000000000006</x:v>
      </x:c>
      <x:c r="G28" s="29" t="n">
        <x:f>$H$20*E28</x:f>
        <x:v>23.184</x:v>
      </x:c>
      <x:c r="H28" s="29" t="n">
        <x:f>$I$20*E28</x:f>
        <x:v>41.7312</x:v>
      </x:c>
      <x:c r="I28" s="16" t="str">
        <x:v>Freeze interfaces and production designs</x:v>
      </x:c>
    </x:row>
    <x:row r="29" ht="56" customHeight="1">
      <x:c r="C29" s="16" t="str">
        <x:v>Initial fielding and regional readiness</x:v>
      </x:c>
      <x:c r="D29" s="11" t="str">
        <x:v>16–20</x:v>
      </x:c>
      <x:c r="E29" s="28" t="n">
        <x:v>0.19</x:v>
      </x:c>
      <x:c r="F29" s="29" t="n">
        <x:f>$G$20*E29</x:f>
        <x:v>20.976000000000003</x:v>
      </x:c>
      <x:c r="G29" s="29" t="n">
        <x:f>$H$20*E29</x:f>
        <x:v>15.732</x:v>
      </x:c>
      <x:c r="H29" s="29" t="n">
        <x:f>$I$20*E29</x:f>
        <x:v>28.3176</x:v>
      </x:c>
      <x:c r="I29" s="16" t="str">
        <x:v>Generate operational sets and crews</x:v>
      </x:c>
    </x:row>
    <x:row r="30" ht="56" customHeight="1">
      <x:c r="C30" s="16" t="str">
        <x:v>Regeneration, upgrades and mobilization</x:v>
      </x:c>
      <x:c r="D30" s="11" t="str">
        <x:v>21–25</x:v>
      </x:c>
      <x:c r="E30" s="28" t="n">
        <x:v>0.1</x:v>
      </x:c>
      <x:c r="F30" s="29" t="n">
        <x:f>$G$20*E30</x:f>
        <x:v>11.040000000000001</x:v>
      </x:c>
      <x:c r="G30" s="29" t="n">
        <x:f>$H$20*E30</x:f>
        <x:v>8.28</x:v>
      </x:c>
      <x:c r="H30" s="29" t="n">
        <x:f>$I$20*E30</x:f>
        <x:v>14.904</x:v>
      </x:c>
      <x:c r="I30" s="16" t="str">
        <x:v>Prove second-event readiness and surge</x:v>
      </x:c>
    </x:row>
  </x:sheetData>
  <x:conditionalFormatting sqref="K6:K20">
    <x:cfRule type="containsText" dxfId="108" priority="1" operator="containsText" text="FAIL"/>
    <x:cfRule type="containsText" dxfId="109" priority="2" operator="containsText" text="DENIED"/>
    <x:cfRule type="containsText" dxfId="110" priority="3" operator="containsText" text="BLOCKED"/>
    <x:cfRule type="containsText" dxfId="111" priority="4" operator="containsText" text="INVALID"/>
    <x:cfRule type="containsText" dxfId="112" priority="5" operator="containsText" text="OPEN"/>
    <x:cfRule type="containsText" dxfId="113" priority="6" operator="containsText" text="UNTESTED"/>
    <x:cfRule type="containsText" dxfId="114" priority="7" operator="containsText" text="DECLARED"/>
    <x:cfRule type="containsText" dxfId="115" priority="8" operator="containsText" text="PASS"/>
    <x:cfRule type="containsText" dxfId="116" priority="9" operator="containsText" text="MET"/>
  </x:conditionalFormatting>
  <x:pageMargins left="0.7" right="0.7" top="0.75" bottom="0.75" header="0.3" footer="0.3"/>
  <x:tableParts count="2">
    <x:tablePart xmlns:r="http://schemas.openxmlformats.org/officeDocument/2006/relationships" r:id="Ra526688aa5344505"/>
    <x:tablePart xmlns:r="http://schemas.openxmlformats.org/officeDocument/2006/relationships" r:id="R89e803cf210e406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43" hidden="0" customWidth="1"/>
    <x:col min="5" max="5" width="35" hidden="0" customWidth="1"/>
    <x:col min="6" max="6" width="28" hidden="0" customWidth="1"/>
    <x:col min="7" max="7" width="19" hidden="0" customWidth="1"/>
    <x:col min="8" max="8" width="32" hidden="0" customWidth="1"/>
    <x:col min="9" max="9" width="30" hidden="0" customWidth="1"/>
    <x:col min="10" max="10" width="18" hidden="0" customWidth="1"/>
  </x:cols>
  <x:sheetData>
    <x:row r="2">
      <x:c r="C2" s="2" t="str">
        <x:v>Representative first-reach test contract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C3" s="3" t="str">
        <x:v>The program advances configurations through evidence. A fast pipe-laying demonstration alone cannot release a water force or a rendering.</x:v>
      </x:c>
      <x:c r="D3" s="3"/>
      <x:c r="E3" s="3"/>
      <x:c r="F3" s="3"/>
      <x:c r="G3" s="3"/>
      <x:c r="H3" s="3"/>
      <x:c r="I3" s="3"/>
      <x:c r="J3" s="3"/>
      <x:c r="K3" s="3"/>
      <x:c r="L3" s="3"/>
    </x:row>
    <x:row r="5">
      <x:c r="C5" s="9" t="str">
        <x:v>Gate</x:v>
      </x:c>
      <x:c r="D5" s="9" t="str">
        <x:v>Required demonstration</x:v>
      </x:c>
      <x:c r="E5" s="9" t="str">
        <x:v>Measure</x:v>
      </x:c>
      <x:c r="F5" s="9" t="str">
        <x:v>Threshold</x:v>
      </x:c>
      <x:c r="G5" s="9" t="str">
        <x:v>Rivals</x:v>
      </x:c>
      <x:c r="H5" s="9" t="str">
        <x:v>Authority</x:v>
      </x:c>
      <x:c r="I5" s="9" t="str">
        <x:v>Current evidence</x:v>
      </x:c>
      <x:c r="J5" s="9" t="str">
        <x:v>State</x:v>
      </x:c>
    </x:row>
    <x:row r="6" ht="62" customHeight="1">
      <x:c r="C6" s="11" t="str">
        <x:v>G01</x:v>
      </x:c>
      <x:c r="D6" s="16" t="str">
        <x:v>As-packed configuration</x:v>
      </x:c>
      <x:c r="E6" s="16" t="str">
        <x:v>Measured mass, envelope, center of gravity and handling</x:v>
      </x:c>
      <x:c r="F6" s="16" t="str">
        <x:v>Every object released</x:v>
      </x:c>
      <x:c r="G6" s="16" t="str">
        <x:v>All</x:v>
      </x:c>
      <x:c r="H6" s="16" t="str">
        <x:v>Configuration bureau</x:v>
      </x:c>
      <x:c r="I6" s="16" t="str">
        <x:v>No representative set</x:v>
      </x:c>
      <x:c r="J6" s="16" t="str">
        <x:v>OPEN</x:v>
      </x:c>
    </x:row>
    <x:row r="7" ht="62" customHeight="1">
      <x:c r="C7" s="11" t="str">
        <x:v>G02</x:v>
      </x:c>
      <x:c r="D7" s="16" t="str">
        <x:v>Hydraulic performance</x:v>
      </x:c>
      <x:c r="E7" s="16" t="str">
        <x:v>10,000 m³/day across surveyed 10 km route</x:v>
      </x:c>
      <x:c r="F7" s="16" t="str">
        <x:v>72 h stable operation</x:v>
      </x:c>
      <x:c r="G7" s="16" t="str">
        <x:v>All</x:v>
      </x:c>
      <x:c r="H7" s="16" t="str">
        <x:v>Water systems authority</x:v>
      </x:c>
      <x:c r="I7" s="16" t="str">
        <x:v>Calculated only</x:v>
      </x:c>
      <x:c r="J7" s="16" t="str">
        <x:v>OPEN</x:v>
      </x:c>
    </x:row>
    <x:row r="8" ht="62" customHeight="1">
      <x:c r="C8" s="11" t="str">
        <x:v>G03</x:v>
      </x:c>
      <x:c r="D8" s="16" t="str">
        <x:v>Pressure and surge</x:v>
      </x:c>
      <x:c r="E8" s="16" t="str">
        <x:v>Normal, startup, trip, closure and rupture pressures</x:v>
      </x:c>
      <x:c r="F8" s="16" t="str">
        <x:v>Within released class</x:v>
      </x:c>
      <x:c r="G8" s="16" t="str">
        <x:v>All</x:v>
      </x:c>
      <x:c r="H8" s="16" t="str">
        <x:v>Independent pressure safety</x:v>
      </x:c>
      <x:c r="I8" s="16" t="str">
        <x:v>No transient model or test</x:v>
      </x:c>
      <x:c r="J8" s="16" t="str">
        <x:v>OPEN</x:v>
      </x:c>
    </x:row>
    <x:row r="9" ht="62" customHeight="1">
      <x:c r="C9" s="11" t="str">
        <x:v>G04</x:v>
      </x:c>
      <x:c r="D9" s="16" t="str">
        <x:v>Potable material and sanitary control</x:v>
      </x:c>
      <x:c r="E9" s="16" t="str">
        <x:v>Migration, microbial control, cleaning and disinfection</x:v>
      </x:c>
      <x:c r="F9" s="16" t="str">
        <x:v>Independent release</x:v>
      </x:c>
      <x:c r="G9" s="16" t="str">
        <x:v>All</x:v>
      </x:c>
      <x:c r="H9" s="16" t="str">
        <x:v>Water quality authority</x:v>
      </x:c>
      <x:c r="I9" s="16" t="str">
        <x:v>No representative chain</x:v>
      </x:c>
      <x:c r="J9" s="16" t="str">
        <x:v>OPEN</x:v>
      </x:c>
    </x:row>
    <x:row r="10" ht="62" customHeight="1">
      <x:c r="C10" s="11" t="str">
        <x:v>G05</x:v>
      </x:c>
      <x:c r="D10" s="16" t="str">
        <x:v>Representative workfront rate</x:v>
      </x:c>
      <x:c r="E10" s="16" t="str">
        <x:v>Installed km/front-day by terrain</x:v>
      </x:c>
      <x:c r="F10" s="16" t="str">
        <x:v>Meets rival declaration</x:v>
      </x:c>
      <x:c r="G10" s="16" t="str">
        <x:v>All</x:v>
      </x:c>
      <x:c r="H10" s="16" t="str">
        <x:v>Independent RTE authority</x:v>
      </x:c>
      <x:c r="I10" s="16" t="str">
        <x:v>Targets only</x:v>
      </x:c>
      <x:c r="J10" s="16" t="str">
        <x:v>OPEN</x:v>
      </x:c>
    </x:row>
    <x:row r="11" ht="62" customHeight="1">
      <x:c r="C11" s="11" t="str">
        <x:v>G06</x:v>
      </x:c>
      <x:c r="D11" s="16" t="str">
        <x:v>Joint and continuous-wall quality</x:v>
      </x:c>
      <x:c r="E11" s="16" t="str">
        <x:v>Defects, nondestructive inspection and traceability</x:v>
      </x:c>
      <x:c r="F11" s="16" t="str">
        <x:v>Released defect limit</x:v>
      </x:c>
      <x:c r="G11" s="16" t="str">
        <x:v>All</x:v>
      </x:c>
      <x:c r="H11" s="16" t="str">
        <x:v>Configuration and quality authorities</x:v>
      </x:c>
      <x:c r="I11" s="16" t="str">
        <x:v>No production evidence</x:v>
      </x:c>
      <x:c r="J11" s="16" t="str">
        <x:v>OPEN</x:v>
      </x:c>
    </x:row>
    <x:row r="12" ht="62" customHeight="1">
      <x:c r="C12" s="11" t="str">
        <x:v>G07</x:v>
      </x:c>
      <x:c r="D12" s="16" t="str">
        <x:v>Complete service within deadline</x:v>
      </x:c>
      <x:c r="E12" s="16" t="str">
        <x:v>Accessible certified service</x:v>
      </x:c>
      <x:c r="F12" s="16" t="str">
        <x:v>At or before 120 h</x:v>
      </x:c>
      <x:c r="G12" s="16" t="str">
        <x:v>All</x:v>
      </x:c>
      <x:c r="H12" s="16" t="str">
        <x:v>Mission assurance authority</x:v>
      </x:c>
      <x:c r="I12" s="16" t="str">
        <x:v>No receiver trial</x:v>
      </x:c>
      <x:c r="J12" s="16" t="str">
        <x:v>OPEN</x:v>
      </x:c>
    </x:row>
    <x:row r="13" ht="62" customHeight="1">
      <x:c r="C13" s="11" t="str">
        <x:v>G08</x:v>
      </x:c>
      <x:c r="D13" s="16" t="str">
        <x:v>Wastewater and residual closure</x:v>
      </x:c>
      <x:c r="E13" s="16" t="str">
        <x:v>7,500 m³/day return plus source residual</x:v>
      </x:c>
      <x:c r="F13" s="16" t="str">
        <x:v>No uncontrolled discharge</x:v>
      </x:c>
      <x:c r="G13" s="16" t="str">
        <x:v>All</x:v>
      </x:c>
      <x:c r="H13" s="16" t="str">
        <x:v>Environmental and public-health authorities</x:v>
      </x:c>
      <x:c r="I13" s="16" t="str">
        <x:v>Capacity arithmetic only</x:v>
      </x:c>
      <x:c r="J13" s="16" t="str">
        <x:v>OPEN</x:v>
      </x:c>
    </x:row>
    <x:row r="14" ht="62" customHeight="1">
      <x:c r="C14" s="11" t="str">
        <x:v>G09</x:v>
      </x:c>
      <x:c r="D14" s="16" t="str">
        <x:v>Rupture degraded service</x:v>
      </x:c>
      <x:c r="E14" s="16" t="str">
        <x:v>Service share during repair</x:v>
      </x:c>
      <x:c r="F14" s="16" t="str">
        <x:v>At least 50%</x:v>
      </x:c>
      <x:c r="G14" s="16" t="str">
        <x:v>All</x:v>
      </x:c>
      <x:c r="H14" s="16" t="str">
        <x:v>Mission assurance authority</x:v>
      </x:c>
      <x:c r="I14" s="16" t="str">
        <x:v>Current single line yields 0%</x:v>
      </x:c>
      <x:c r="J14" s="16" t="str">
        <x:v>OPEN</x:v>
      </x:c>
    </x:row>
    <x:row r="15" ht="62" customHeight="1">
      <x:c r="C15" s="11" t="str">
        <x:v>G10</x:v>
      </x:c>
      <x:c r="D15" s="16" t="str">
        <x:v>Seeded repair</x:v>
      </x:c>
      <x:c r="E15" s="16" t="str">
        <x:v>Fault isolation and restoration</x:v>
      </x:c>
      <x:c r="F15" s="16" t="str">
        <x:v>Within case target</x:v>
      </x:c>
      <x:c r="G15" s="16" t="str">
        <x:v>All</x:v>
      </x:c>
      <x:c r="H15" s="16" t="str">
        <x:v>Independent RTE authority</x:v>
      </x:c>
      <x:c r="I15" s="16" t="str">
        <x:v>Repair times declared</x:v>
      </x:c>
      <x:c r="J15" s="16" t="str">
        <x:v>OPEN</x:v>
      </x:c>
    </x:row>
    <x:row r="16" ht="62" customHeight="1">
      <x:c r="C16" s="11" t="str">
        <x:v>G11</x:v>
      </x:c>
      <x:c r="D16" s="16" t="str">
        <x:v>Receiver switching</x:v>
      </x:c>
      <x:c r="E16" s="16" t="str">
        <x:v>Move service to alternate prepared site</x:v>
      </x:c>
      <x:c r="F16" s="16" t="str">
        <x:v>No unsafe release</x:v>
      </x:c>
      <x:c r="G16" s="16" t="str">
        <x:v>All</x:v>
      </x:c>
      <x:c r="H16" s="16" t="str">
        <x:v>Receiving command</x:v>
      </x:c>
      <x:c r="I16" s="16" t="str">
        <x:v>No alternate receiver</x:v>
      </x:c>
      <x:c r="J16" s="16" t="str">
        <x:v>OPEN</x:v>
      </x:c>
    </x:row>
    <x:row r="17" ht="62" customHeight="1">
      <x:c r="C17" s="11" t="str">
        <x:v>G12</x:v>
      </x:c>
      <x:c r="D17" s="16" t="str">
        <x:v>Seven-day workforce endurance</x:v>
      </x:c>
      <x:c r="E17" s="16" t="str">
        <x:v>Qualified shifts, exposure and maintenance</x:v>
      </x:c>
      <x:c r="F17" s="16" t="str">
        <x:v>No uncovered position</x:v>
      </x:c>
      <x:c r="G17" s="16" t="str">
        <x:v>All</x:v>
      </x:c>
      <x:c r="H17" s="16" t="str">
        <x:v>Occupational assurance authority</x:v>
      </x:c>
      <x:c r="I17" s="16" t="str">
        <x:v>Workforce not configured</x:v>
      </x:c>
      <x:c r="J17" s="16" t="str">
        <x:v>OPEN</x:v>
      </x:c>
    </x:row>
    <x:row r="18" ht="62" customHeight="1">
      <x:c r="C18" s="11" t="str">
        <x:v>G13</x:v>
      </x:c>
      <x:c r="D18" s="16" t="str">
        <x:v>Regeneration</x:v>
      </x:c>
      <x:c r="E18" s="16" t="str">
        <x:v>Recover, inspect, repair and replenish</x:v>
      </x:c>
      <x:c r="F18" s="16" t="str">
        <x:v>Second set ready by target</x:v>
      </x:c>
      <x:c r="G18" s="16" t="str">
        <x:v>All</x:v>
      </x:c>
      <x:c r="H18" s="16" t="str">
        <x:v>Depot and generating service</x:v>
      </x:c>
      <x:c r="I18" s="16" t="str">
        <x:v>No reset evidence</x:v>
      </x:c>
      <x:c r="J18" s="16" t="str">
        <x:v>OPEN</x:v>
      </x:c>
    </x:row>
    <x:row r="19" ht="62" customHeight="1">
      <x:c r="C19" s="11" t="str">
        <x:v>G14</x:v>
      </x:c>
      <x:c r="D19" s="16" t="str">
        <x:v>Second-event mission</x:v>
      </x:c>
      <x:c r="E19" s="16" t="str">
        <x:v>Repeat on different terrain and source</x:v>
      </x:c>
      <x:c r="F19" s="16" t="str">
        <x:v>All service gates pass</x:v>
      </x:c>
      <x:c r="G19" s="16" t="str">
        <x:v>Down-selected</x:v>
      </x:c>
      <x:c r="H19" s="16" t="str">
        <x:v>Independent RTE authority</x:v>
      </x:c>
      <x:c r="I19" s="16" t="str">
        <x:v>No second mission</x:v>
      </x:c>
      <x:c r="J19" s="16" t="str">
        <x:v>OPEN</x:v>
      </x:c>
    </x:row>
    <x:row r="20" ht="62" customHeight="1">
      <x:c r="C20" s="11" t="str">
        <x:v>G15</x:v>
      </x:c>
      <x:c r="D20" s="16" t="str">
        <x:v>Industrial rate</x:v>
      </x:c>
      <x:c r="E20" s="16" t="str">
        <x:v>Qualified sets and repair stocks per year</x:v>
      </x:c>
      <x:c r="F20" s="16" t="str">
        <x:v>Mobilization target met</x:v>
      </x:c>
      <x:c r="G20" s="16" t="str">
        <x:v>Down-selected</x:v>
      </x:c>
      <x:c r="H20" s="16" t="str">
        <x:v>Industrial base authority</x:v>
      </x:c>
      <x:c r="I20" s="16" t="str">
        <x:v>No pilot line</x:v>
      </x:c>
      <x:c r="J20" s="16" t="str">
        <x:v>OPEN</x:v>
      </x:c>
    </x:row>
    <x:row r="21" ht="62" customHeight="1">
      <x:c r="C21" s="11" t="str">
        <x:v>G16</x:v>
      </x:c>
      <x:c r="D21" s="16" t="str">
        <x:v>Rendering release</x:v>
      </x:c>
      <x:c r="E21" s="16" t="str">
        <x:v>R3 physics, configuration and mission evidence</x:v>
      </x:c>
      <x:c r="F21" s="16" t="str">
        <x:v>All core gates pass</x:v>
      </x:c>
      <x:c r="G21" s="16" t="str">
        <x:v>Down-selected</x:v>
      </x:c>
      <x:c r="H21" s="16" t="str">
        <x:v>Independent RTE authority</x:v>
      </x:c>
      <x:c r="I21" s="16" t="str">
        <x:v>Zero gates passed</x:v>
      </x:c>
      <x:c r="J21" s="16" t="str">
        <x:v>BLOCKED</x:v>
      </x:c>
    </x:row>
    <x:row r="26">
      <x:c r="C26" s="9" t="str">
        <x:v>Evidence stage</x:v>
      </x:c>
      <x:c r="D26" s="9" t="str">
        <x:v>Meaning</x:v>
      </x:c>
      <x:c r="E26" s="9" t="str">
        <x:v>Admits</x:v>
      </x:c>
      <x:c r="F26" s="9" t="str">
        <x:v>Does not admit</x:v>
      </x:c>
      <x:c r="G26" s="9" t="str">
        <x:v>Required owner</x:v>
      </x:c>
      <x:c r="H26" s="9" t="str">
        <x:v>Current result</x:v>
      </x:c>
    </x:row>
    <x:row r="27" ht="52" customHeight="1">
      <x:c r="C27" s="11" t="str">
        <x:v>R1</x:v>
      </x:c>
      <x:c r="D27" s="16" t="str">
        <x:v>Functional architecture</x:v>
      </x:c>
      <x:c r="E27" s="16" t="str">
        <x:v>Mission decomposition</x:v>
      </x:c>
      <x:c r="F27" s="16" t="str">
        <x:v>Equipment quantity</x:v>
      </x:c>
      <x:c r="G27" s="16" t="str">
        <x:v>Systems engineering</x:v>
      </x:c>
      <x:c r="H27" s="16" t="str">
        <x:v>PASS</x:v>
      </x:c>
    </x:row>
    <x:row r="28" ht="52" customHeight="1">
      <x:c r="C28" s="11" t="str">
        <x:v>R2</x:v>
      </x:c>
      <x:c r="D28" s="16" t="str">
        <x:v>Bounded configuration concept</x:v>
      </x:c>
      <x:c r="E28" s="16" t="str">
        <x:v>Rival competition</x:v>
      </x:c>
      <x:c r="F28" s="16" t="str">
        <x:v>Procurement baseline</x:v>
      </x:c>
      <x:c r="G28" s="16" t="str">
        <x:v>Generating service</x:v>
      </x:c>
      <x:c r="H28" s="16" t="str">
        <x:v>PASS</x:v>
      </x:c>
    </x:row>
    <x:row r="29" ht="52" customHeight="1">
      <x:c r="C29" s="11" t="str">
        <x:v>R2+</x:v>
      </x:c>
      <x:c r="D29" s="16" t="str">
        <x:v>First-order physics and manifest</x:v>
      </x:c>
      <x:c r="E29" s="16" t="str">
        <x:v>Prototype requirement</x:v>
      </x:c>
      <x:c r="F29" s="16" t="str">
        <x:v>Operational readiness</x:v>
      </x:c>
      <x:c r="G29" s="16" t="str">
        <x:v>Technical authorities</x:v>
      </x:c>
      <x:c r="H29" s="16" t="str">
        <x:v>PASS</x:v>
      </x:c>
    </x:row>
    <x:row r="30" ht="52" customHeight="1">
      <x:c r="C30" s="11" t="str">
        <x:v>R3</x:v>
      </x:c>
      <x:c r="D30" s="16" t="str">
        <x:v>Closed physics with representative evidence</x:v>
      </x:c>
      <x:c r="E30" s="16" t="str">
        <x:v>Conditional design release</x:v>
      </x:c>
      <x:c r="F30" s="16" t="str">
        <x:v>Repeatable formation</x:v>
      </x:c>
      <x:c r="G30" s="16" t="str">
        <x:v>Independent RTE authority</x:v>
      </x:c>
      <x:c r="H30" s="16" t="str">
        <x:v>OPEN</x:v>
      </x:c>
    </x:row>
    <x:row r="31" ht="52" customHeight="1">
      <x:c r="C31" s="11" t="str">
        <x:v>R4</x:v>
      </x:c>
      <x:c r="D31" s="16" t="str">
        <x:v>Repeatable formation demonstration</x:v>
      </x:c>
      <x:c r="E31" s="16" t="str">
        <x:v>Operational generation</x:v>
      </x:c>
      <x:c r="F31" s="16" t="str">
        <x:v>Permanent universal fit</x:v>
      </x:c>
      <x:c r="G31" s="16" t="str">
        <x:v>Mission assurance authority</x:v>
      </x:c>
      <x:c r="H31" s="16" t="str">
        <x:v>OPEN</x:v>
      </x:c>
    </x:row>
  </x:sheetData>
  <x:conditionalFormatting sqref="J6:J21">
    <x:cfRule type="containsText" dxfId="117" priority="1" operator="containsText" text="FAIL"/>
    <x:cfRule type="containsText" dxfId="118" priority="2" operator="containsText" text="DENIED"/>
    <x:cfRule type="containsText" dxfId="119" priority="3" operator="containsText" text="BLOCKED"/>
    <x:cfRule type="containsText" dxfId="120" priority="4" operator="containsText" text="INVALID"/>
    <x:cfRule type="containsText" dxfId="121" priority="5" operator="containsText" text="OPEN"/>
    <x:cfRule type="containsText" dxfId="122" priority="6" operator="containsText" text="UNTESTED"/>
    <x:cfRule type="containsText" dxfId="123" priority="7" operator="containsText" text="DECLARED"/>
    <x:cfRule type="containsText" dxfId="124" priority="8" operator="containsText" text="PASS"/>
    <x:cfRule type="containsText" dxfId="125" priority="9" operator="containsText" text="MET"/>
  </x:conditionalFormatting>
  <x:conditionalFormatting sqref="H27:H31">
    <x:cfRule type="containsText" dxfId="126" priority="10" operator="containsText" text="FAIL"/>
    <x:cfRule type="containsText" dxfId="127" priority="11" operator="containsText" text="DENIED"/>
    <x:cfRule type="containsText" dxfId="128" priority="12" operator="containsText" text="BLOCKED"/>
    <x:cfRule type="containsText" dxfId="129" priority="13" operator="containsText" text="INVALID"/>
    <x:cfRule type="containsText" dxfId="130" priority="14" operator="containsText" text="OPEN"/>
    <x:cfRule type="containsText" dxfId="131" priority="15" operator="containsText" text="UNTESTED"/>
    <x:cfRule type="containsText" dxfId="132" priority="16" operator="containsText" text="DECLARED"/>
    <x:cfRule type="containsText" dxfId="133" priority="17" operator="containsText" text="PASS"/>
    <x:cfRule type="containsText" dxfId="134" priority="18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bd7869363bc447fe"/>
  </x:tableParts>
</x:worksheet>
</file>

<file path=xl/worksheets/sheet10.xml><?xml version="1.0" encoding="utf-8"?>
<x:worksheet xmlns:x="http://schemas.openxmlformats.org/spreadsheetml/2006/main">
  <x:sheetPr>
    <x:tabColor rgb="FF5C68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6" hidden="0" customWidth="1"/>
    <x:col min="4" max="4" width="55" hidden="0" customWidth="1"/>
    <x:col min="5" max="5" width="44" hidden="0" customWidth="1"/>
    <x:col min="6" max="6" width="42" hidden="0" customWidth="1"/>
    <x:col min="7" max="7" width="48" hidden="0" customWidth="1"/>
    <x:col min="8" max="8" width="18" hidden="0" customWidth="1"/>
  </x:cols>
  <x:sheetData>
    <x:row r="2">
      <x:c r="C2" s="2" t="str">
        <x:v>Repository authorities and evidence boundaries</x:v>
      </x:c>
      <x:c r="D2" s="1"/>
      <x:c r="E2" s="1"/>
      <x:c r="F2" s="1"/>
      <x:c r="G2" s="1"/>
      <x:c r="H2" s="1"/>
      <x:c r="I2" s="1"/>
      <x:c r="J2" s="1"/>
    </x:row>
    <x:row r="3">
      <x:c r="C3" s="3" t="str">
        <x:v>Pass 64 uses committed internal research only. No new external-site research is introduced.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Source</x:v>
      </x:c>
      <x:c r="D5" s="9" t="str">
        <x:v>Repository authority</x:v>
      </x:c>
      <x:c r="E5" s="9" t="str">
        <x:v>Use</x:v>
      </x:c>
      <x:c r="F5" s="9" t="str">
        <x:v>Treatment</x:v>
      </x:c>
      <x:c r="G5" s="9" t="str">
        <x:v>Boundary</x:v>
      </x:c>
    </x:row>
    <x:row r="6" ht="62" customHeight="1">
      <x:c r="C6" s="11" t="str">
        <x:v>S01</x:v>
      </x:c>
      <x:c r="D6" s="16" t="str">
        <x:v>research/systems/water/force-engineering.md</x:v>
      </x:c>
      <x:c r="E6" s="16" t="str">
        <x:v>Complete water-service chain, WRG-50 physics and operational doctrine</x:v>
      </x:c>
      <x:c r="F6" s="16" t="str">
        <x:v>Current mission-system authority</x:v>
      </x:c>
      <x:c r="G6" s="16" t="str">
        <x:v>R2+; route, source and hardware evidence remain open</x:v>
      </x:c>
    </x:row>
    <x:row r="7" ht="62" customHeight="1">
      <x:c r="C7" s="11" t="str">
        <x:v>S02</x:v>
      </x:c>
      <x:c r="D7" s="16" t="str">
        <x:v>research/systems/water/configuration-model.md</x:v>
      </x:c>
      <x:c r="E7" s="16" t="str">
        <x:v>Formation manifest, treatment, conveyance, wastewater and program assumptions</x:v>
      </x:c>
      <x:c r="F7" s="16" t="str">
        <x:v>Internal quantitative authority</x:v>
      </x:c>
      <x:c r="G7" s="16" t="str">
        <x:v>Source units remain preliminary</x:v>
      </x:c>
    </x:row>
    <x:row r="8" ht="62" customHeight="1">
      <x:c r="C8" s="11" t="str">
        <x:v>S03</x:v>
      </x:c>
      <x:c r="D8" s="16" t="str">
        <x:v>models/systems/water/water-restoration-engineering.xlsx</x:v>
      </x:c>
      <x:c r="E8" s="16" t="str">
        <x:v>Original pipe and lift values and sixteen-line manifest</x:v>
      </x:c>
      <x:c r="F8" s="16" t="str">
        <x:v>Committed source workbook</x:v>
      </x:c>
      <x:c r="G8" s="16" t="str">
        <x:v>Pipe cube is invalid under material-volume lower bound</x:v>
      </x:c>
    </x:row>
    <x:row r="9" ht="62" customHeight="1">
      <x:c r="C9" s="11" t="str">
        <x:v>S04</x:v>
      </x:c>
      <x:c r="D9" s="16" t="str">
        <x:v>research/force/projection/wrg50-serial-manifest-and-configuration-admission.md</x:v>
      </x:c>
      <x:c r="E9" s="16" t="str">
        <x:v>Object release protocol, complement preservation and receiver admission</x:v>
      </x:c>
      <x:c r="F9" s="16" t="str">
        <x:v>Pass 63 configuration authority</x:v>
      </x:c>
      <x:c r="G9" s="16" t="str">
        <x:v>Zero objects currently admitted</x:v>
      </x:c>
    </x:row>
    <x:row r="10" ht="62" customHeight="1">
      <x:c r="C10" s="11" t="str">
        <x:v>S05</x:v>
      </x:c>
      <x:c r="D10" s="16" t="str">
        <x:v>models/force/projection/wrg50-serial-manifest-and-admission-model.xlsx</x:v>
      </x:c>
      <x:c r="E10" s="16" t="str">
        <x:v>690 planning objects and transport screens</x:v>
      </x:c>
      <x:c r="F10" s="16" t="str">
        <x:v>Committed predecessor model</x:v>
      </x:c>
      <x:c r="G10" s="16" t="str">
        <x:v>Aggregate source cannot provide a first-reach bill of material</x:v>
      </x:c>
    </x:row>
    <x:row r="11" ht="62" customHeight="1">
      <x:c r="C11" s="11" t="str">
        <x:v>S06</x:v>
      </x:c>
      <x:c r="D11" s="16" t="str">
        <x:v>research/force/projection/carrier-node-requirements-and-industrial-program.md</x:v>
      </x:c>
      <x:c r="E11" s="16" t="str">
        <x:v>Chargeable burden and surface position targets</x:v>
      </x:c>
      <x:c r="F11" s="16" t="str">
        <x:v>Strategic mobility authority</x:v>
      </x:c>
      <x:c r="G11" s="16" t="str">
        <x:v>Position targets are clean-sheet hypotheses</x:v>
      </x:c>
    </x:row>
    <x:row r="12" ht="62" customHeight="1">
      <x:c r="C12" s="11" t="str">
        <x:v>S07</x:v>
      </x:c>
      <x:c r="D12" s="16" t="str">
        <x:v>research/systems/common-technical-architecture.md</x:v>
      </x:c>
      <x:c r="E12" s="16" t="str">
        <x:v>Configuration, interface and assurance doctrine</x:v>
      </x:c>
      <x:c r="F12" s="16" t="str">
        <x:v>Common technical authority</x:v>
      </x:c>
      <x:c r="G12" s="16" t="str">
        <x:v>No water configuration has interface release</x:v>
      </x:c>
    </x:row>
    <x:row r="13" ht="62" customHeight="1">
      <x:c r="C13" s="11" t="str">
        <x:v>S08</x:v>
      </x:c>
      <x:c r="D13" s="16" t="str">
        <x:v>research/force/force-architecture.md</x:v>
      </x:c>
      <x:c r="E13" s="16" t="str">
        <x:v>Generating, employment, reception and assurance separation</x:v>
      </x:c>
      <x:c r="F13" s="16" t="str">
        <x:v>Institutional authority</x:v>
      </x:c>
      <x:c r="G13" s="16" t="str">
        <x:v>Organization cannot substitute for technical evidence</x:v>
      </x:c>
    </x:row>
    <x:row r="18">
      <x:c r="C18" s="9" t="str">
        <x:v>Claim class</x:v>
      </x:c>
      <x:c r="D18" s="9" t="str">
        <x:v>Example</x:v>
      </x:c>
      <x:c r="E18" s="9" t="str">
        <x:v>Allowed use</x:v>
      </x:c>
      <x:c r="F18" s="9" t="str">
        <x:v>Prohibited use</x:v>
      </x:c>
      <x:c r="G18" s="9" t="str">
        <x:v>Required successor evidence</x:v>
      </x:c>
      <x:c r="H18" s="9" t="str">
        <x:v>State</x:v>
      </x:c>
    </x:row>
    <x:row r="19" ht="58" customHeight="1">
      <x:c r="C19" s="11" t="str">
        <x:v>SOURCE VALUE</x:v>
      </x:c>
      <x:c r="D19" s="16" t="str">
        <x:v>0.5 m ID and DR17 reference</x:v>
      </x:c>
      <x:c r="E19" s="16" t="str">
        <x:v>Reproduce predecessor calculation</x:v>
      </x:c>
      <x:c r="F19" s="16" t="str">
        <x:v>Treat as selected final material</x:v>
      </x:c>
      <x:c r="G19" s="16" t="str">
        <x:v>Requirements review and material competition</x:v>
      </x:c>
      <x:c r="H19" s="16" t="str">
        <x:v>OPEN</x:v>
      </x:c>
    </x:row>
    <x:row r="20" ht="58" customHeight="1">
      <x:c r="C20" s="11" t="str">
        <x:v>CALCULATED</x:v>
      </x:c>
      <x:c r="D20" s="16" t="str">
        <x:v>53.058 t/km material mass</x:v>
      </x:c>
      <x:c r="E20" s="16" t="str">
        <x:v>Check arithmetic under declared geometry</x:v>
      </x:c>
      <x:c r="F20" s="16" t="str">
        <x:v>Claim measured configuration mass</x:v>
      </x:c>
      <x:c r="G20" s="16" t="str">
        <x:v>Build and weigh representative articles</x:v>
      </x:c>
      <x:c r="H20" s="16" t="str">
        <x:v>OPEN</x:v>
      </x:c>
    </x:row>
    <x:row r="21" ht="58" customHeight="1">
      <x:c r="C21" s="11" t="str">
        <x:v>DECLARED</x:v>
      </x:c>
      <x:c r="D21" s="16" t="str">
        <x:v>120 h service target</x:v>
      </x:c>
      <x:c r="E21" s="16" t="str">
        <x:v>Compare rival requirements</x:v>
      </x:c>
      <x:c r="F21" s="16" t="str">
        <x:v>Claim achieved readiness</x:v>
      </x:c>
      <x:c r="G21" s="16" t="str">
        <x:v>Representative full-mission trial</x:v>
      </x:c>
      <x:c r="H21" s="16" t="str">
        <x:v>OPEN</x:v>
      </x:c>
    </x:row>
    <x:row r="22" ht="58" customHeight="1">
      <x:c r="C22" s="11" t="str">
        <x:v>TARGET</x:v>
      </x:c>
      <x:c r="D22" s="16" t="str">
        <x:v>F-500 mass factor and workfront rate</x:v>
      </x:c>
      <x:c r="E22" s="16" t="str">
        <x:v>Define technology program</x:v>
      </x:c>
      <x:c r="F22" s="16" t="str">
        <x:v>Select acquisition winner</x:v>
      </x:c>
      <x:c r="G22" s="16" t="str">
        <x:v>Qualification and repeated corridor results</x:v>
      </x:c>
      <x:c r="H22" s="16" t="str">
        <x:v>OPEN</x:v>
      </x:c>
    </x:row>
    <x:row r="23" ht="58" customHeight="1">
      <x:c r="C23" s="11" t="str">
        <x:v>INVALID</x:v>
      </x:c>
      <x:c r="D23" s="16" t="str">
        <x:v>18 m³/km source pipe cube</x:v>
      </x:c>
      <x:c r="E23" s="16" t="str">
        <x:v>Expose contradiction</x:v>
      </x:c>
      <x:c r="F23" s="16" t="str">
        <x:v>Plan transport or storage</x:v>
      </x:c>
      <x:c r="G23" s="16" t="str">
        <x:v>Measured as-packed configuration</x:v>
      </x:c>
      <x:c r="H23" s="16" t="str">
        <x:v>FAIL</x:v>
      </x:c>
    </x:row>
    <x:row r="24" ht="58" customHeight="1">
      <x:c r="C24" s="11" t="str">
        <x:v>UNTESTED</x:v>
      </x:c>
      <x:c r="D24" s="16" t="str">
        <x:v>Rival repair and installation rates</x:v>
      </x:c>
      <x:c r="E24" s="16" t="str">
        <x:v>Design trials</x:v>
      </x:c>
      <x:c r="F24" s="16" t="str">
        <x:v>Credit public service</x:v>
      </x:c>
      <x:c r="G24" s="16" t="str">
        <x:v>Independent observed result</x:v>
      </x:c>
      <x:c r="H24" s="16" t="str">
        <x:v>OPEN</x:v>
      </x:c>
    </x:row>
  </x:sheetData>
  <x:conditionalFormatting sqref="H19:H24">
    <x:cfRule type="containsText" dxfId="135" priority="1" operator="containsText" text="FAIL"/>
    <x:cfRule type="containsText" dxfId="136" priority="2" operator="containsText" text="DENIED"/>
    <x:cfRule type="containsText" dxfId="137" priority="3" operator="containsText" text="BLOCKED"/>
    <x:cfRule type="containsText" dxfId="138" priority="4" operator="containsText" text="INVALID"/>
    <x:cfRule type="containsText" dxfId="139" priority="5" operator="containsText" text="OPEN"/>
    <x:cfRule type="containsText" dxfId="140" priority="6" operator="containsText" text="UNTESTED"/>
    <x:cfRule type="containsText" dxfId="141" priority="7" operator="containsText" text="DECLARED"/>
    <x:cfRule type="containsText" dxfId="142" priority="8" operator="containsText" text="PASS"/>
    <x:cfRule type="containsText" dxfId="143" priority="9" operator="containsText" text="MET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65507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2" hidden="0" customWidth="1"/>
    <x:col min="4" max="4" width="23" hidden="0" customWidth="1"/>
    <x:col min="5" max="5" width="23" hidden="0" customWidth="1"/>
    <x:col min="6" max="6" width="21" hidden="0" customWidth="1"/>
    <x:col min="7" max="7" width="18" hidden="0" customWidth="1"/>
    <x:col min="8" max="8" width="16" hidden="0" customWidth="1"/>
  </x:cols>
  <x:sheetData>
    <x:row r="2">
      <x:c r="C2" s="2" t="str">
        <x:v>Model integrity</x:v>
      </x:c>
      <x:c r="D2" s="1"/>
      <x:c r="E2" s="1"/>
      <x:c r="F2" s="1"/>
      <x:c r="G2" s="1"/>
      <x:c r="H2" s="1"/>
      <x:c r="I2" s="1"/>
      <x:c r="J2" s="1"/>
    </x:row>
    <x:row r="3">
      <x:c r="C3" s="3" t="str">
        <x:v>Terminal checks observe the model. No output or build depends on this sheet.</x:v>
      </x:c>
      <x:c r="D3" s="3"/>
      <x:c r="E3" s="3"/>
      <x:c r="F3" s="3"/>
      <x:c r="G3" s="3"/>
      <x:c r="H3" s="3"/>
      <x:c r="I3" s="3"/>
      <x:c r="J3" s="3"/>
    </x:row>
    <x:row r="5">
      <x:c r="C5" s="9" t="str">
        <x:v>Check</x:v>
      </x:c>
      <x:c r="D5" s="9" t="str">
        <x:v>Observed</x:v>
      </x:c>
      <x:c r="E5" s="9" t="str">
        <x:v>Expected</x:v>
      </x:c>
      <x:c r="F5" s="9" t="str">
        <x:v>Difference</x:v>
      </x:c>
      <x:c r="G5" s="9" t="str">
        <x:v>Tolerance</x:v>
      </x:c>
      <x:c r="H5" s="9" t="str">
        <x:v>Result</x:v>
      </x:c>
    </x:row>
    <x:row r="6" ht="30" customHeight="1">
      <x:c r="C6" s="11" t="str">
        <x:v>Service demand reconciles</x:v>
      </x:c>
      <x:c r="D6" s="30" t="n">
        <x:f>'01 Controls'!D9*'01 Controls'!D10/1000</x:f>
        <x:v>10000</x:v>
      </x:c>
      <x:c r="E6" s="30" t="n">
        <x:f>'01 Controls'!D8</x:f>
        <x:v>10000</x:v>
      </x:c>
      <x:c r="F6" s="30" t="n">
        <x:f>IF(AND(ISNUMBER(D6),ISNUMBER(E6)),D6-E6,"n.a.")</x:f>
        <x:v>0</x:v>
      </x:c>
      <x:c r="G6" s="30" t="n">
        <x:v>0.000001</x:v>
      </x:c>
      <x:c r="H6" s="11" t="str">
        <x:f>IF(AND(ISNUMBER(D6),ISNUMBER(E6),ABS(D6-E6)&lt;=G6),"PASS","FAIL")</x:f>
        <x:v>PASS</x:v>
      </x:c>
    </x:row>
    <x:row r="7" ht="30" customHeight="1">
      <x:c r="C7" s="11" t="str">
        <x:v>Total transported length</x:v>
      </x:c>
      <x:c r="D7" s="30" t="n">
        <x:f>'02 Geometry'!D6*(1+'01 Controls'!D7)</x:f>
        <x:v>11</x:v>
      </x:c>
      <x:c r="E7" s="30" t="n">
        <x:f>'02 Geometry'!D8</x:f>
        <x:v>11</x:v>
      </x:c>
      <x:c r="F7" s="30" t="n">
        <x:f>IF(AND(ISNUMBER(D7),ISNUMBER(E7)),D7-E7,"n.a.")</x:f>
        <x:v>0</x:v>
      </x:c>
      <x:c r="G7" s="30" t="n">
        <x:v>0.000001</x:v>
      </x:c>
      <x:c r="H7" s="11" t="str">
        <x:f>IF(AND(ISNUMBER(D7),ISNUMBER(E7),ABS(D7-E7)&lt;=G7),"PASS","FAIL")</x:f>
        <x:v>PASS</x:v>
      </x:c>
    </x:row>
    <x:row r="8" ht="30" customHeight="1">
      <x:c r="C8" s="11" t="str">
        <x:v>DR geometry identity</x:v>
      </x:c>
      <x:c r="D8" s="30" t="n">
        <x:f>'02 Geometry'!D13-2*'02 Geometry'!D14</x:f>
        <x:v>0.5</x:v>
      </x:c>
      <x:c r="E8" s="30" t="n">
        <x:f>'01 Controls'!D16</x:f>
        <x:v>0.5</x:v>
      </x:c>
      <x:c r="F8" s="30" t="n">
        <x:f>IF(AND(ISNUMBER(D8),ISNUMBER(E8)),D8-E8,"n.a.")</x:f>
        <x:v>0</x:v>
      </x:c>
      <x:c r="G8" s="30" t="n">
        <x:v>0.000001</x:v>
      </x:c>
      <x:c r="H8" s="11" t="str">
        <x:f>IF(AND(ISNUMBER(D8),ISNUMBER(E8),ABS(D8-E8)&lt;=G8),"PASS","FAIL")</x:f>
        <x:v>PASS</x:v>
      </x:c>
    </x:row>
    <x:row r="9" ht="30" customHeight="1">
      <x:c r="C9" s="11" t="str">
        <x:v>Installed pipe mass</x:v>
      </x:c>
      <x:c r="D9" s="30" t="n">
        <x:f>'02 Geometry'!D16*'02 Geometry'!D6</x:f>
        <x:v>530.5800926062758</x:v>
      </x:c>
      <x:c r="E9" s="30" t="n">
        <x:f>'02 Geometry'!D17</x:f>
        <x:v>530.5800926062758</x:v>
      </x:c>
      <x:c r="F9" s="30" t="n">
        <x:f>IF(AND(ISNUMBER(D9),ISNUMBER(E9)),D9-E9,"n.a.")</x:f>
        <x:v>0</x:v>
      </x:c>
      <x:c r="G9" s="30" t="n">
        <x:v>0.000001</x:v>
      </x:c>
      <x:c r="H9" s="11" t="str">
        <x:f>IF(AND(ISNUMBER(D9),ISNUMBER(E9),ABS(D9-E9)&lt;=G9),"PASS","FAIL")</x:f>
        <x:v>PASS</x:v>
      </x:c>
    </x:row>
    <x:row r="10" ht="30" customHeight="1">
      <x:c r="C10" s="11" t="str">
        <x:v>Pipe volume lower bound</x:v>
      </x:c>
      <x:c r="D10" s="30" t="n">
        <x:f>'02 Geometry'!D19/'01 Controls'!D18</x:f>
        <x:v>614.3558967020036</x:v>
      </x:c>
      <x:c r="E10" s="30" t="n">
        <x:f>'02 Geometry'!D20</x:f>
        <x:v>614.3558967020036</x:v>
      </x:c>
      <x:c r="F10" s="30" t="n">
        <x:f>IF(AND(ISNUMBER(D10),ISNUMBER(E10)),D10-E10,"n.a.")</x:f>
        <x:v>0</x:v>
      </x:c>
      <x:c r="G10" s="30" t="n">
        <x:v>0.000001</x:v>
      </x:c>
      <x:c r="H10" s="11" t="str">
        <x:f>IF(AND(ISNUMBER(D10),ISNUMBER(E10),ABS(D10-E10)&lt;=G10),"PASS","FAIL")</x:f>
        <x:v>PASS</x:v>
      </x:c>
    </x:row>
    <x:row r="11" ht="30" customHeight="1">
      <x:c r="C11" s="11" t="str">
        <x:v>Stored water volume</x:v>
      </x:c>
      <x:c r="D11" s="30" t="n">
        <x:f>PI()*'01 Controls'!D16^2/4*'01 Controls'!D6*1000</x:f>
        <x:v>1963.4954084936207</x:v>
      </x:c>
      <x:c r="E11" s="30" t="n">
        <x:f>'02 Geometry'!D21</x:f>
        <x:v>1963.4954084936207</x:v>
      </x:c>
      <x:c r="F11" s="30" t="n">
        <x:f>IF(AND(ISNUMBER(D11),ISNUMBER(E11)),D11-E11,"n.a.")</x:f>
        <x:v>0</x:v>
      </x:c>
      <x:c r="G11" s="30" t="n">
        <x:v>0.000001</x:v>
      </x:c>
      <x:c r="H11" s="11" t="str">
        <x:f>IF(AND(ISNUMBER(D11),ISNUMBER(E11),ABS(D11-E11)&lt;=G11),"PASS","FAIL")</x:f>
        <x:v>PASS</x:v>
      </x:c>
    </x:row>
    <x:row r="12" ht="30" customHeight="1">
      <x:c r="C12" s="11" t="str">
        <x:v>Wastewater return</x:v>
      </x:c>
      <x:c r="D12" s="30" t="n">
        <x:f>'01 Controls'!D8*'01 Controls'!D12</x:f>
        <x:v>7500</x:v>
      </x:c>
      <x:c r="E12" s="30" t="n">
        <x:f>'02 Geometry'!D30</x:f>
        <x:v>7500</x:v>
      </x:c>
      <x:c r="F12" s="30" t="n">
        <x:f>IF(AND(ISNUMBER(D12),ISNUMBER(E12)),D12-E12,"n.a.")</x:f>
        <x:v>0</x:v>
      </x:c>
      <x:c r="G12" s="30" t="n">
        <x:v>0.000001</x:v>
      </x:c>
      <x:c r="H12" s="11" t="str">
        <x:f>IF(AND(ISNUMBER(D12),ISNUMBER(E12),ABS(D12-E12)&lt;=G12),"PASS","FAIL")</x:f>
        <x:v>PASS</x:v>
      </x:c>
    </x:row>
    <x:row r="13" ht="30" customHeight="1">
      <x:c r="C13" s="11" t="str">
        <x:v>Wastewater train count</x:v>
      </x:c>
      <x:c r="D13" s="30" t="n">
        <x:f>ROUNDUP('02 Geometry'!D30/'01 Controls'!D28,0)</x:f>
        <x:v>3</x:v>
      </x:c>
      <x:c r="E13" s="30" t="n">
        <x:f>'02 Geometry'!D31</x:f>
        <x:v>3</x:v>
      </x:c>
      <x:c r="F13" s="30" t="n">
        <x:f>IF(AND(ISNUMBER(D13),ISNUMBER(E13)),D13-E13,"n.a.")</x:f>
        <x:v>0</x:v>
      </x:c>
      <x:c r="G13" s="30" t="n">
        <x:v>0</x:v>
      </x:c>
      <x:c r="H13" s="11" t="str">
        <x:f>IF(AND(ISNUMBER(D13),ISNUMBER(E13),ABS(D13-E13)&lt;=G13),"PASS","FAIL")</x:f>
        <x:v>PASS</x:v>
      </x:c>
    </x:row>
    <x:row r="14" ht="30" customHeight="1">
      <x:c r="C14" s="11" t="str">
        <x:v>Rival rows</x:v>
      </x:c>
      <x:c r="D14" s="30" t="n">
        <x:f>ROWS('04 Conveyance Rivals'!C6:C9)</x:f>
        <x:v>4</x:v>
      </x:c>
      <x:c r="E14" s="30" t="n">
        <x:v>4</x:v>
      </x:c>
      <x:c r="F14" s="30" t="n">
        <x:f>IF(AND(ISNUMBER(D14),ISNUMBER(E14)),D14-E14,"n.a.")</x:f>
        <x:v>0</x:v>
      </x:c>
      <x:c r="G14" s="30" t="n">
        <x:v>0</x:v>
      </x:c>
      <x:c r="H14" s="11" t="str">
        <x:f>IF(AND(ISNUMBER(D14),ISNUMBER(E14),ABS(D14-E14)&lt;=G14),"PASS","FAIL")</x:f>
        <x:v>PASS</x:v>
      </x:c>
    </x:row>
    <x:row r="15" ht="30" customHeight="1">
      <x:c r="C15" s="11" t="str">
        <x:v>Rival pack volume floor</x:v>
      </x:c>
      <x:c r="D15" s="30" t="n">
        <x:f>IF('04 Conveyance Rivals'!V6&gt;='04 Conveyance Rivals'!U6,1,0)+IF('04 Conveyance Rivals'!V7&gt;='04 Conveyance Rivals'!U7,1,0)+IF('04 Conveyance Rivals'!V8&gt;='04 Conveyance Rivals'!U8,1,0)+IF('04 Conveyance Rivals'!V9&gt;='04 Conveyance Rivals'!U9,1,0)</x:f>
        <x:v>4</x:v>
      </x:c>
      <x:c r="E15" s="30" t="n">
        <x:v>4</x:v>
      </x:c>
      <x:c r="F15" s="30" t="n">
        <x:f>IF(AND(ISNUMBER(D15),ISNUMBER(E15)),D15-E15,"n.a.")</x:f>
        <x:v>0</x:v>
      </x:c>
      <x:c r="G15" s="30" t="n">
        <x:v>0</x:v>
      </x:c>
      <x:c r="H15" s="11" t="str">
        <x:f>IF(AND(ISNUMBER(D15),ISNUMBER(E15),ABS(D15-E15)&lt;=G15),"PASS","FAIL")</x:f>
        <x:v>PASS</x:v>
      </x:c>
    </x:row>
    <x:row r="16" ht="30" customHeight="1">
      <x:c r="C16" s="11" t="str">
        <x:v>Heavy indivisible fit count</x:v>
      </x:c>
      <x:c r="D16" s="30" t="n">
        <x:f>COUNTIFS('04 Conveyance Rivals'!AD6:AD9,"PASS")</x:f>
        <x:v>4</x:v>
      </x:c>
      <x:c r="E16" s="30" t="n">
        <x:v>4</x:v>
      </x:c>
      <x:c r="F16" s="30" t="n">
        <x:f>IF(AND(ISNUMBER(D16),ISNUMBER(E16)),D16-E16,"n.a.")</x:f>
        <x:v>0</x:v>
      </x:c>
      <x:c r="G16" s="30" t="n">
        <x:v>0</x:v>
      </x:c>
      <x:c r="H16" s="11" t="str">
        <x:f>IF(AND(ISNUMBER(D16),ISNUMBER(E16),ABS(D16-E16)&lt;=G16),"PASS","FAIL")</x:f>
        <x:v>PASS</x:v>
      </x:c>
    </x:row>
    <x:row r="17" ht="30" customHeight="1">
      <x:c r="C17" s="11" t="str">
        <x:v>Standard indivisible fit count</x:v>
      </x:c>
      <x:c r="D17" s="30" t="n">
        <x:f>COUNTIFS('04 Conveyance Rivals'!AC6:AC9,"PASS")</x:f>
        <x:v>2</x:v>
      </x:c>
      <x:c r="E17" s="30" t="n">
        <x:v>2</x:v>
      </x:c>
      <x:c r="F17" s="30" t="n">
        <x:f>IF(AND(ISNUMBER(D17),ISNUMBER(E17)),D17-E17,"n.a.")</x:f>
        <x:v>0</x:v>
      </x:c>
      <x:c r="G17" s="30" t="n">
        <x:v>0</x:v>
      </x:c>
      <x:c r="H17" s="11" t="str">
        <x:f>IF(AND(ISNUMBER(D17),ISNUMBER(E17),ABS(D17-E17)&lt;=G17),"PASS","FAIL")</x:f>
        <x:v>PASS</x:v>
      </x:c>
    </x:row>
    <x:row r="18" ht="30" customHeight="1">
      <x:c r="C18" s="11" t="str">
        <x:v>Reference service hours</x:v>
      </x:c>
      <x:c r="D18" s="30" t="n">
        <x:f>('01 Controls'!D6/('04 Conveyance Rivals'!M6*'04 Conveyance Rivals'!N6)+'04 Conveyance Rivals'!O6)*24</x:f>
        <x:v>152</x:v>
      </x:c>
      <x:c r="E18" s="30" t="n">
        <x:f>'04 Conveyance Rivals'!AE6</x:f>
        <x:v>152</x:v>
      </x:c>
      <x:c r="F18" s="30" t="n">
        <x:f>IF(AND(ISNUMBER(D18),ISNUMBER(E18)),D18-E18,"n.a.")</x:f>
        <x:v>0</x:v>
      </x:c>
      <x:c r="G18" s="30" t="n">
        <x:v>0.000001</x:v>
      </x:c>
      <x:c r="H18" s="11" t="str">
        <x:f>IF(AND(ISNUMBER(D18),ISNUMBER(E18),ABS(D18-E18)&lt;=G18),"PASS","FAIL")</x:f>
        <x:v>PASS</x:v>
      </x:c>
    </x:row>
    <x:row r="19" ht="30" customHeight="1">
      <x:c r="C19" s="11" t="str">
        <x:v>System rival rows</x:v>
      </x:c>
      <x:c r="D19" s="30" t="n">
        <x:f>ROWS('05 Deployment'!C6:C9)</x:f>
        <x:v>4</x:v>
      </x:c>
      <x:c r="E19" s="30" t="n">
        <x:v>4</x:v>
      </x:c>
      <x:c r="F19" s="30" t="n">
        <x:f>IF(AND(ISNUMBER(D19),ISNUMBER(E19)),D19-E19,"n.a.")</x:f>
        <x:v>0</x:v>
      </x:c>
      <x:c r="G19" s="30" t="n">
        <x:v>0</x:v>
      </x:c>
      <x:c r="H19" s="11" t="str">
        <x:f>IF(AND(ISNUMBER(D19),ISNUMBER(E19),ABS(D19-E19)&lt;=G19),"PASS","FAIL")</x:f>
        <x:v>PASS</x:v>
      </x:c>
    </x:row>
    <x:row r="20" ht="30" customHeight="1">
      <x:c r="C20" s="11" t="str">
        <x:v>Strict service admissions</x:v>
      </x:c>
      <x:c r="D20" s="30" t="n">
        <x:f>COUNTIFS('05 Deployment'!Q6:Q9,"ADMITTED")</x:f>
        <x:v>0</x:v>
      </x:c>
      <x:c r="E20" s="30" t="n">
        <x:v>0</x:v>
      </x:c>
      <x:c r="F20" s="30" t="n">
        <x:f>IF(AND(ISNUMBER(D20),ISNUMBER(E20)),D20-E20,"n.a.")</x:f>
        <x:v>0</x:v>
      </x:c>
      <x:c r="G20" s="30" t="n">
        <x:v>0</x:v>
      </x:c>
      <x:c r="H20" s="11" t="str">
        <x:f>IF(AND(ISNUMBER(D20),ISNUMBER(E20),ABS(D20-E20)&lt;=G20),"PASS","FAIL")</x:f>
        <x:v>PASS</x:v>
      </x:c>
    </x:row>
    <x:row r="21" ht="30" customHeight="1">
      <x:c r="C21" s="11" t="str">
        <x:v>Complement rows</x:v>
      </x:c>
      <x:c r="D21" s="30" t="n">
        <x:f>ROWS('03 Service Chain'!C27:C33)</x:f>
        <x:v>7</x:v>
      </x:c>
      <x:c r="E21" s="30" t="n">
        <x:v>7</x:v>
      </x:c>
      <x:c r="F21" s="30" t="n">
        <x:f>IF(AND(ISNUMBER(D21),ISNUMBER(E21)),D21-E21,"n.a.")</x:f>
        <x:v>0</x:v>
      </x:c>
      <x:c r="G21" s="30" t="n">
        <x:v>0</x:v>
      </x:c>
      <x:c r="H21" s="11" t="str">
        <x:f>IF(AND(ISNUMBER(D21),ISNUMBER(E21),ABS(D21-E21)&lt;=G21),"PASS","FAIL")</x:f>
        <x:v>PASS</x:v>
      </x:c>
    </x:row>
    <x:row r="22" ht="30" customHeight="1">
      <x:c r="C22" s="11" t="str">
        <x:v>Admitted complements</x:v>
      </x:c>
      <x:c r="D22" s="30" t="n">
        <x:f>COUNTIFS('03 Service Chain'!I27:I33,"ADMITTED")</x:f>
        <x:v>0</x:v>
      </x:c>
      <x:c r="E22" s="30" t="n">
        <x:v>0</x:v>
      </x:c>
      <x:c r="F22" s="30" t="n">
        <x:f>IF(AND(ISNUMBER(D22),ISNUMBER(E22)),D22-E22,"n.a.")</x:f>
        <x:v>0</x:v>
      </x:c>
      <x:c r="G22" s="30" t="n">
        <x:v>0</x:v>
      </x:c>
      <x:c r="H22" s="11" t="str">
        <x:f>IF(AND(ISNUMBER(D22),ISNUMBER(E22),ABS(D22-E22)&lt;=G22),"PASS","FAIL")</x:f>
        <x:v>PASS</x:v>
      </x:c>
    </x:row>
    <x:row r="23" ht="30" customHeight="1">
      <x:c r="C23" s="11" t="str">
        <x:v>Failure test rows</x:v>
      </x:c>
      <x:c r="D23" s="30" t="n">
        <x:f>ROWS('06 Failure &amp; Repair'!C6:C25)</x:f>
        <x:v>20</x:v>
      </x:c>
      <x:c r="E23" s="30" t="n">
        <x:v>20</x:v>
      </x:c>
      <x:c r="F23" s="30" t="n">
        <x:f>IF(AND(ISNUMBER(D23),ISNUMBER(E23)),D23-E23,"n.a.")</x:f>
        <x:v>0</x:v>
      </x:c>
      <x:c r="G23" s="30" t="n">
        <x:v>0</x:v>
      </x:c>
      <x:c r="H23" s="11" t="str">
        <x:f>IF(AND(ISNUMBER(D23),ISNUMBER(E23),ABS(D23-E23)&lt;=G23),"PASS","FAIL")</x:f>
        <x:v>PASS</x:v>
      </x:c>
    </x:row>
    <x:row r="24" ht="30" customHeight="1">
      <x:c r="C24" s="11" t="str">
        <x:v>Failure test passes</x:v>
      </x:c>
      <x:c r="D24" s="30" t="n">
        <x:f>COUNTIFS('06 Failure &amp; Repair'!M6:M25,"PASS")</x:f>
        <x:v>0</x:v>
      </x:c>
      <x:c r="E24" s="30" t="n">
        <x:v>0</x:v>
      </x:c>
      <x:c r="F24" s="30" t="n">
        <x:f>IF(AND(ISNUMBER(D24),ISNUMBER(E24)),D24-E24,"n.a.")</x:f>
        <x:v>0</x:v>
      </x:c>
      <x:c r="G24" s="30" t="n">
        <x:v>0</x:v>
      </x:c>
      <x:c r="H24" s="11" t="str">
        <x:f>IF(AND(ISNUMBER(D24),ISNUMBER(E24),ABS(D24-E24)&lt;=G24),"PASS","FAIL")</x:f>
        <x:v>PASS</x:v>
      </x:c>
    </x:row>
    <x:row r="25" ht="30" customHeight="1">
      <x:c r="C25" s="11" t="str">
        <x:v>Program subtotal</x:v>
      </x:c>
      <x:c r="D25" s="30" t="n">
        <x:f>SUM('07 Program'!G6:G17)</x:f>
        <x:v>96</x:v>
      </x:c>
      <x:c r="E25" s="30" t="n">
        <x:f>'07 Program'!G18</x:f>
        <x:v>96</x:v>
      </x:c>
      <x:c r="F25" s="30" t="n">
        <x:f>IF(AND(ISNUMBER(D25),ISNUMBER(E25)),D25-E25,"n.a.")</x:f>
        <x:v>0</x:v>
      </x:c>
      <x:c r="G25" s="30" t="n">
        <x:v>0.000001</x:v>
      </x:c>
      <x:c r="H25" s="11" t="str">
        <x:f>IF(AND(ISNUMBER(D25),ISNUMBER(E25),ABS(D25-E25)&lt;=G25),"PASS","FAIL")</x:f>
        <x:v>PASS</x:v>
      </x:c>
    </x:row>
    <x:row r="26" ht="30" customHeight="1">
      <x:c r="C26" s="11" t="str">
        <x:v>Program reserve</x:v>
      </x:c>
      <x:c r="D26" s="30" t="n">
        <x:f>'07 Program'!G18*'01 Controls'!D34</x:f>
        <x:v>14.399999999999999</x:v>
      </x:c>
      <x:c r="E26" s="30" t="n">
        <x:f>'07 Program'!G19</x:f>
        <x:v>14.399999999999999</x:v>
      </x:c>
      <x:c r="F26" s="30" t="n">
        <x:f>IF(AND(ISNUMBER(D26),ISNUMBER(E26)),D26-E26,"n.a.")</x:f>
        <x:v>0</x:v>
      </x:c>
      <x:c r="G26" s="30" t="n">
        <x:v>0.000001</x:v>
      </x:c>
      <x:c r="H26" s="11" t="str">
        <x:f>IF(AND(ISNUMBER(D26),ISNUMBER(E26),ABS(D26-E26)&lt;=G26),"PASS","FAIL")</x:f>
        <x:v>PASS</x:v>
      </x:c>
    </x:row>
    <x:row r="27" ht="30" customHeight="1">
      <x:c r="C27" s="11" t="str">
        <x:v>Program total</x:v>
      </x:c>
      <x:c r="D27" s="30" t="n">
        <x:f>'07 Program'!G18+'07 Program'!G19</x:f>
        <x:v>110.4</x:v>
      </x:c>
      <x:c r="E27" s="30" t="n">
        <x:f>'07 Program'!G20</x:f>
        <x:v>110.4</x:v>
      </x:c>
      <x:c r="F27" s="30" t="n">
        <x:f>IF(AND(ISNUMBER(D27),ISNUMBER(E27)),D27-E27,"n.a.")</x:f>
        <x:v>0</x:v>
      </x:c>
      <x:c r="G27" s="30" t="n">
        <x:v>0.000001</x:v>
      </x:c>
      <x:c r="H27" s="11" t="str">
        <x:f>IF(AND(ISNUMBER(D27),ISNUMBER(E27),ABS(D27-E27)&lt;=G27),"PASS","FAIL")</x:f>
        <x:v>PASS</x:v>
      </x:c>
    </x:row>
    <x:row r="28" ht="30" customHeight="1">
      <x:c r="C28" s="11" t="str">
        <x:v>Program phase shares</x:v>
      </x:c>
      <x:c r="D28" s="30" t="n">
        <x:f>SUM('07 Program'!E26:E30)</x:f>
        <x:v>0.9999999999999999</x:v>
      </x:c>
      <x:c r="E28" s="30" t="n">
        <x:v>1</x:v>
      </x:c>
      <x:c r="F28" s="30" t="n">
        <x:f>IF(AND(ISNUMBER(D28),ISNUMBER(E28)),D28-E28,"n.a.")</x:f>
        <x:v>-1.1102230246251565e-16</x:v>
      </x:c>
      <x:c r="G28" s="30" t="n">
        <x:v>0.000001</x:v>
      </x:c>
      <x:c r="H28" s="11" t="str">
        <x:f>IF(AND(ISNUMBER(D28),ISNUMBER(E28),ABS(D28-E28)&lt;=G28),"PASS","FAIL")</x:f>
        <x:v>PASS</x:v>
      </x:c>
    </x:row>
    <x:row r="29" ht="30" customHeight="1">
      <x:c r="C29" s="11" t="str">
        <x:v>Program phase dollars</x:v>
      </x:c>
      <x:c r="D29" s="30" t="n">
        <x:f>SUM('07 Program'!F26:F30)</x:f>
        <x:v>110.40000000000002</x:v>
      </x:c>
      <x:c r="E29" s="30" t="n">
        <x:f>'07 Program'!G20</x:f>
        <x:v>110.4</x:v>
      </x:c>
      <x:c r="F29" s="30" t="n">
        <x:f>IF(AND(ISNUMBER(D29),ISNUMBER(E29)),D29-E29,"n.a.")</x:f>
        <x:v>1.4210854715202004e-14</x:v>
      </x:c>
      <x:c r="G29" s="30" t="n">
        <x:v>0.000001</x:v>
      </x:c>
      <x:c r="H29" s="11" t="str">
        <x:f>IF(AND(ISNUMBER(D29),ISNUMBER(E29),ABS(D29-E29)&lt;=G29),"PASS","FAIL")</x:f>
        <x:v>PASS</x:v>
      </x:c>
    </x:row>
    <x:row r="30" ht="30" customHeight="1">
      <x:c r="C30" s="11" t="str">
        <x:v>Low below base</x:v>
      </x:c>
      <x:c r="D30" s="30" t="n">
        <x:f>IF('07 Program'!H20&lt;'07 Program'!G20,1,0)</x:f>
        <x:v>1</x:v>
      </x:c>
      <x:c r="E30" s="30" t="n">
        <x:v>1</x:v>
      </x:c>
      <x:c r="F30" s="30" t="n">
        <x:f>IF(AND(ISNUMBER(D30),ISNUMBER(E30)),D30-E30,"n.a.")</x:f>
        <x:v>0</x:v>
      </x:c>
      <x:c r="G30" s="30" t="n">
        <x:v>0</x:v>
      </x:c>
      <x:c r="H30" s="11" t="str">
        <x:f>IF(AND(ISNUMBER(D30),ISNUMBER(E30),ABS(D30-E30)&lt;=G30),"PASS","FAIL")</x:f>
        <x:v>PASS</x:v>
      </x:c>
    </x:row>
    <x:row r="31" ht="30" customHeight="1">
      <x:c r="C31" s="11" t="str">
        <x:v>High above base</x:v>
      </x:c>
      <x:c r="D31" s="30" t="n">
        <x:f>IF('07 Program'!I20&gt;'07 Program'!G20,1,0)</x:f>
        <x:v>1</x:v>
      </x:c>
      <x:c r="E31" s="30" t="n">
        <x:v>1</x:v>
      </x:c>
      <x:c r="F31" s="30" t="n">
        <x:f>IF(AND(ISNUMBER(D31),ISNUMBER(E31)),D31-E31,"n.a.")</x:f>
        <x:v>0</x:v>
      </x:c>
      <x:c r="G31" s="30" t="n">
        <x:v>0</x:v>
      </x:c>
      <x:c r="H31" s="11" t="str">
        <x:f>IF(AND(ISNUMBER(D31),ISNUMBER(E31),ABS(D31-E31)&lt;=G31),"PASS","FAIL")</x:f>
        <x:v>PASS</x:v>
      </x:c>
    </x:row>
    <x:row r="32" ht="30" customHeight="1">
      <x:c r="C32" s="11" t="str">
        <x:v>Test gates</x:v>
      </x:c>
      <x:c r="D32" s="30" t="n">
        <x:f>ROWS('08 Test Contract'!C6:C21)</x:f>
        <x:v>16</x:v>
      </x:c>
      <x:c r="E32" s="30" t="n">
        <x:v>16</x:v>
      </x:c>
      <x:c r="F32" s="30" t="n">
        <x:f>IF(AND(ISNUMBER(D32),ISNUMBER(E32)),D32-E32,"n.a.")</x:f>
        <x:v>0</x:v>
      </x:c>
      <x:c r="G32" s="30" t="n">
        <x:v>0</x:v>
      </x:c>
      <x:c r="H32" s="11" t="str">
        <x:f>IF(AND(ISNUMBER(D32),ISNUMBER(E32),ABS(D32-E32)&lt;=G32),"PASS","FAIL")</x:f>
        <x:v>PASS</x:v>
      </x:c>
    </x:row>
    <x:row r="33" ht="30" customHeight="1">
      <x:c r="C33" s="11" t="str">
        <x:v>Rendering remains blocked</x:v>
      </x:c>
      <x:c r="D33" s="30" t="n">
        <x:f>COUNTIFS('08 Test Contract'!J21,"BLOCKED")</x:f>
        <x:v>1</x:v>
      </x:c>
      <x:c r="E33" s="30" t="n">
        <x:v>1</x:v>
      </x:c>
      <x:c r="F33" s="30" t="n">
        <x:f>IF(AND(ISNUMBER(D33),ISNUMBER(E33)),D33-E33,"n.a.")</x:f>
        <x:v>0</x:v>
      </x:c>
      <x:c r="G33" s="30" t="n">
        <x:v>0</x:v>
      </x:c>
      <x:c r="H33" s="11" t="str">
        <x:f>IF(AND(ISNUMBER(D33),ISNUMBER(E33),ABS(D33-E33)&lt;=G33),"PASS","FAIL")</x:f>
        <x:v>PASS</x:v>
      </x:c>
    </x:row>
  </x:sheetData>
  <x:conditionalFormatting sqref="H6:H33">
    <x:cfRule type="containsText" dxfId="171" priority="1" operator="containsText" text="FAIL"/>
    <x:cfRule type="containsText" dxfId="172" priority="2" operator="containsText" text="DENIED"/>
    <x:cfRule type="containsText" dxfId="173" priority="3" operator="containsText" text="BLOCKED"/>
    <x:cfRule type="containsText" dxfId="174" priority="4" operator="containsText" text="INVALID"/>
    <x:cfRule type="containsText" dxfId="175" priority="5" operator="containsText" text="OPEN"/>
    <x:cfRule type="containsText" dxfId="176" priority="6" operator="containsText" text="UNTESTED"/>
    <x:cfRule type="containsText" dxfId="177" priority="7" operator="containsText" text="DECLARED"/>
    <x:cfRule type="containsText" dxfId="178" priority="8" operator="containsText" text="PASS"/>
    <x:cfRule type="containsText" dxfId="179" priority="9" operator="containsText" text="MET"/>
  </x:conditionalFormatting>
  <x:pageMargins left="0.7" right="0.7" top="0.75" bottom="0.75" header="0.3" footer="0.3"/>
  <x:tableParts count="1">
    <x:tablePart xmlns:r="http://schemas.openxmlformats.org/officeDocument/2006/relationships" r:id="R6a0d38b79278451c"/>
  </x:tableParts>
</x:worksheet>
</file>